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cloudoemenergy-my.sharepoint.com/personal/nadia_oemenergy_com_br/Documents/02 - Geração/11 - Novembro/"/>
    </mc:Choice>
  </mc:AlternateContent>
  <xr:revisionPtr revIDLastSave="0" documentId="8_{C0ACFEF9-39D3-45E2-A4AC-72419A35C54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Geração_Dezembro" sheetId="2" r:id="rId1"/>
    <sheet name="Março 2026" sheetId="12" r:id="rId2"/>
    <sheet name="Fevereiro 2026" sheetId="11" r:id="rId3"/>
    <sheet name=" Janeiro 2026" sheetId="10" r:id="rId4"/>
    <sheet name="REF" sheetId="9" r:id="rId5"/>
    <sheet name="Dezembro" sheetId="8" r:id="rId6"/>
    <sheet name="Ocorrências_Novembro" sheetId="6" r:id="rId7"/>
    <sheet name="Ocorrências _ Bruto" sheetId="7" r:id="rId8"/>
    <sheet name="De-Para" sheetId="4" r:id="rId9"/>
  </sheets>
  <definedNames>
    <definedName name="_xlnm._FilterDatabase" localSheetId="3" hidden="1">' Janeiro 2026'!$A$1:$Q$1</definedName>
    <definedName name="_xlnm._FilterDatabase" localSheetId="8" hidden="1">'De-Para'!$A$1:$B$80</definedName>
    <definedName name="_xlnm._FilterDatabase" localSheetId="5" hidden="1">Dezembro!$A$1:$Q$439</definedName>
    <definedName name="_xlnm._FilterDatabase" localSheetId="2" hidden="1">'Fevereiro 2026'!$A$1:$Q$1</definedName>
    <definedName name="_xlnm._FilterDatabase" localSheetId="1" hidden="1">'Março 2026'!$A$1:$Q$1</definedName>
    <definedName name="_xlnm._FilterDatabase" localSheetId="6" hidden="1">Ocorrências_Novembro!$A$1:$Q$1683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79" i="12" l="1"/>
  <c r="Q980" i="12"/>
  <c r="Q981" i="12"/>
  <c r="Q982" i="12"/>
  <c r="Q983" i="12"/>
  <c r="Q984" i="12"/>
  <c r="Q985" i="12"/>
  <c r="Q986" i="12"/>
  <c r="Q987" i="12"/>
  <c r="Q988" i="12"/>
  <c r="Q989" i="12"/>
  <c r="Q990" i="12"/>
  <c r="Q991" i="12"/>
  <c r="Q992" i="12"/>
  <c r="Q993" i="12"/>
  <c r="Q994" i="12"/>
  <c r="Q995" i="12"/>
  <c r="Q996" i="12"/>
  <c r="Q997" i="12"/>
  <c r="Q998" i="12"/>
  <c r="Q999" i="12"/>
  <c r="Q1000" i="12"/>
  <c r="Q1001" i="12"/>
  <c r="Q1002" i="12"/>
  <c r="Q1003" i="12"/>
  <c r="Q1004" i="12"/>
  <c r="Q1005" i="12"/>
  <c r="Q1006" i="12"/>
  <c r="Q1007" i="12"/>
  <c r="Q1008" i="12"/>
  <c r="Q1009" i="12"/>
  <c r="Q1010" i="12"/>
  <c r="Q1011" i="12"/>
  <c r="Q1012" i="12"/>
  <c r="Q1013" i="12"/>
  <c r="Q1014" i="12"/>
  <c r="Q1015" i="12"/>
  <c r="Q1016" i="12"/>
  <c r="Q1017" i="12"/>
  <c r="Q1018" i="12"/>
  <c r="Q1019" i="12"/>
  <c r="Q1020" i="12"/>
  <c r="Q1021" i="12"/>
  <c r="Q1022" i="12"/>
  <c r="Q1023" i="12"/>
  <c r="Q1024" i="12"/>
  <c r="Q1025" i="12"/>
  <c r="Q1026" i="12"/>
  <c r="Q1027" i="12"/>
  <c r="Q1028" i="12"/>
  <c r="Q1029" i="12"/>
  <c r="Q1030" i="12"/>
  <c r="Q1031" i="12"/>
  <c r="Q1032" i="12"/>
  <c r="Q1033" i="12"/>
  <c r="Q1034" i="12"/>
  <c r="Q1035" i="12"/>
  <c r="Q1036" i="12"/>
  <c r="Q1037" i="12"/>
  <c r="Q1038" i="12"/>
  <c r="Q1039" i="12"/>
  <c r="Q1040" i="12"/>
  <c r="Q1041" i="12"/>
  <c r="Q1042" i="12"/>
  <c r="Q1043" i="12"/>
  <c r="Q1044" i="12"/>
  <c r="Q1045" i="12"/>
  <c r="Q1046" i="12"/>
  <c r="Q1047" i="12"/>
  <c r="Q1048" i="12"/>
  <c r="Q1049" i="12"/>
  <c r="Q1050" i="12"/>
  <c r="Q1051" i="12"/>
  <c r="Q1052" i="12"/>
  <c r="Q1053" i="12"/>
  <c r="Q1054" i="12"/>
  <c r="Q1055" i="12"/>
  <c r="Q1056" i="12"/>
  <c r="Q1057" i="12"/>
  <c r="Q1058" i="12"/>
  <c r="Q1059" i="12"/>
  <c r="Q1060" i="12"/>
  <c r="Q1061" i="12"/>
  <c r="Q1062" i="12"/>
  <c r="Q1063" i="12"/>
  <c r="Q1064" i="12"/>
  <c r="Q1065" i="12"/>
  <c r="Q1066" i="12"/>
  <c r="Q1067" i="12"/>
  <c r="Q1068" i="12"/>
  <c r="Q1069" i="12"/>
  <c r="Q1070" i="12"/>
  <c r="Q1071" i="12"/>
  <c r="Q1072" i="12"/>
  <c r="Q1073" i="12"/>
  <c r="Q1074" i="12"/>
  <c r="Q1075" i="12"/>
  <c r="Q1076" i="12"/>
  <c r="Q1077" i="12"/>
  <c r="Q1078" i="12"/>
  <c r="Q1079" i="12"/>
  <c r="Q1080" i="12"/>
  <c r="Q1081" i="12"/>
  <c r="Q1082" i="12"/>
  <c r="Q1083" i="12"/>
  <c r="Q1084" i="12"/>
  <c r="Q1085" i="12"/>
  <c r="Q1086" i="12"/>
  <c r="Q1087" i="12"/>
  <c r="Q1088" i="12"/>
  <c r="Q1089" i="12"/>
  <c r="Q1090" i="12"/>
  <c r="Q1091" i="12"/>
  <c r="Q1092" i="12"/>
  <c r="Q1093" i="12"/>
  <c r="Q1094" i="12"/>
  <c r="Q1095" i="12"/>
  <c r="Q1096" i="12"/>
  <c r="Q1097" i="12"/>
  <c r="Q1098" i="12"/>
  <c r="Q1099" i="12"/>
  <c r="Q1100" i="12"/>
  <c r="Q1101" i="12"/>
  <c r="Q1102" i="12"/>
  <c r="Q1103" i="12"/>
  <c r="Q1104" i="12"/>
  <c r="Q1105" i="12"/>
  <c r="Q1106" i="12"/>
  <c r="Q1107" i="12"/>
  <c r="Q1108" i="12"/>
  <c r="Q1109" i="12"/>
  <c r="Q1110" i="12"/>
  <c r="Q1111" i="12"/>
  <c r="Q1112" i="12"/>
  <c r="Q1113" i="12"/>
  <c r="Q1114" i="12"/>
  <c r="Q1115" i="12"/>
  <c r="Q1116" i="12"/>
  <c r="Q1117" i="12"/>
  <c r="Q1118" i="12"/>
  <c r="Q1119" i="12"/>
  <c r="Q1120" i="12"/>
  <c r="Q1121" i="12"/>
  <c r="Q1122" i="12"/>
  <c r="Q1123" i="12"/>
  <c r="Q1124" i="12"/>
  <c r="Q1125" i="12"/>
  <c r="Q1126" i="12"/>
  <c r="Q1127" i="12"/>
  <c r="Q1128" i="12"/>
  <c r="Q1129" i="12"/>
  <c r="Q1130" i="12"/>
  <c r="Q1131" i="12"/>
  <c r="Q1132" i="12"/>
  <c r="Q1133" i="12"/>
  <c r="Q1134" i="12"/>
  <c r="Q1135" i="12"/>
  <c r="Q1136" i="12"/>
  <c r="Q1137" i="12"/>
  <c r="Q1138" i="12"/>
  <c r="Q1139" i="12"/>
  <c r="Q1140" i="12"/>
  <c r="Q1141" i="12"/>
  <c r="Q1142" i="12"/>
  <c r="Q1143" i="12"/>
  <c r="Q1144" i="12"/>
  <c r="Q1145" i="12"/>
  <c r="Q1146" i="12"/>
  <c r="Q1147" i="12"/>
  <c r="Q1148" i="12"/>
  <c r="Q1149" i="12"/>
  <c r="Q1150" i="12"/>
  <c r="Q1151" i="12"/>
  <c r="Q1152" i="12"/>
  <c r="Q1153" i="12"/>
  <c r="Q1154" i="12"/>
  <c r="Q1155" i="12"/>
  <c r="Q1156" i="12"/>
  <c r="Q1157" i="12"/>
  <c r="Q1158" i="12"/>
  <c r="Q1159" i="12"/>
  <c r="Q1160" i="12"/>
  <c r="Q1161" i="12"/>
  <c r="Q1162" i="12"/>
  <c r="Q1163" i="12"/>
  <c r="Q1164" i="12"/>
  <c r="Q1165" i="12"/>
  <c r="Q1166" i="12"/>
  <c r="Q1167" i="12"/>
  <c r="Q1168" i="12"/>
  <c r="Q1169" i="12"/>
  <c r="Q1170" i="12"/>
  <c r="Q1171" i="12"/>
  <c r="Q1172" i="12"/>
  <c r="Q1173" i="12"/>
  <c r="Q1174" i="12"/>
  <c r="Q1175" i="12"/>
  <c r="Q1176" i="12"/>
  <c r="Q1177" i="12"/>
  <c r="Q1178" i="12"/>
  <c r="Q1179" i="12"/>
  <c r="Q1180" i="12"/>
  <c r="Q1181" i="12"/>
  <c r="Q1182" i="12"/>
  <c r="Q1183" i="12"/>
  <c r="Q1184" i="12"/>
  <c r="Q1185" i="12"/>
  <c r="Q1186" i="12"/>
  <c r="Q1187" i="12"/>
  <c r="Q1188" i="12"/>
  <c r="Q1189" i="12"/>
  <c r="Q1190" i="12"/>
  <c r="Q1191" i="12"/>
  <c r="Q1192" i="12"/>
  <c r="Q1193" i="12"/>
  <c r="Q1194" i="12"/>
  <c r="Q1195" i="12"/>
  <c r="Q1196" i="12"/>
  <c r="Q1197" i="12"/>
  <c r="Q1198" i="12"/>
  <c r="Q1199" i="12"/>
  <c r="Q1200" i="12"/>
  <c r="Q1201" i="12"/>
  <c r="Q1202" i="12"/>
  <c r="Q1203" i="12"/>
  <c r="Q1204" i="12"/>
  <c r="Q1205" i="12"/>
  <c r="Q1206" i="12"/>
  <c r="Q1207" i="12"/>
  <c r="Q1208" i="12"/>
  <c r="Q1209" i="12"/>
  <c r="Q1210" i="12"/>
  <c r="Q1211" i="12"/>
  <c r="Q1212" i="12"/>
  <c r="Q1213" i="12"/>
  <c r="Q1214" i="12"/>
  <c r="Q1215" i="12"/>
  <c r="Q1216" i="12"/>
  <c r="Q1217" i="12"/>
  <c r="Q1218" i="12"/>
  <c r="Q1219" i="12"/>
  <c r="Q1220" i="12"/>
  <c r="Q1221" i="12"/>
  <c r="Q1222" i="12"/>
  <c r="Q1223" i="12"/>
  <c r="Q1224" i="12"/>
  <c r="Q1225" i="12"/>
  <c r="Q1226" i="12"/>
  <c r="Q1227" i="12"/>
  <c r="Q1228" i="12"/>
  <c r="Q1229" i="12"/>
  <c r="Q1230" i="12"/>
  <c r="Q1231" i="12"/>
  <c r="Q1232" i="12"/>
  <c r="Q1233" i="12"/>
  <c r="Q1234" i="12"/>
  <c r="Q1235" i="12"/>
  <c r="Q1236" i="12"/>
  <c r="Q1237" i="12"/>
  <c r="Q1238" i="12"/>
  <c r="Q1239" i="12"/>
  <c r="Q1240" i="12"/>
  <c r="Q1241" i="12"/>
  <c r="Q1242" i="12"/>
  <c r="Q1243" i="12"/>
  <c r="Q1244" i="12"/>
  <c r="Q1245" i="12"/>
  <c r="Q1246" i="12"/>
  <c r="Q1247" i="12"/>
  <c r="Q1248" i="12"/>
  <c r="Q1249" i="12"/>
  <c r="Q1250" i="12"/>
  <c r="Q1251" i="12"/>
  <c r="Q1252" i="12"/>
  <c r="Q1253" i="12"/>
  <c r="Q1254" i="12"/>
  <c r="Q1255" i="12"/>
  <c r="Q1256" i="12"/>
  <c r="Q1257" i="12"/>
  <c r="Q1258" i="12"/>
  <c r="Q1259" i="12"/>
  <c r="Q1260" i="12"/>
  <c r="Q1261" i="12"/>
  <c r="Q1262" i="12"/>
  <c r="Q1263" i="12"/>
  <c r="Q1264" i="12"/>
  <c r="Q1265" i="12"/>
  <c r="Q1266" i="12"/>
  <c r="Q1267" i="12"/>
  <c r="Q1268" i="12"/>
  <c r="Q1269" i="12"/>
  <c r="Q1270" i="12"/>
  <c r="Q1271" i="12"/>
  <c r="Q1272" i="12"/>
  <c r="Q1273" i="12"/>
  <c r="Q1274" i="12"/>
  <c r="Q1275" i="12"/>
  <c r="Q1276" i="12"/>
  <c r="Q1277" i="12"/>
  <c r="Q1278" i="12"/>
  <c r="Q1279" i="12"/>
  <c r="Q1280" i="12"/>
  <c r="Q1281" i="12"/>
  <c r="Q1282" i="12"/>
  <c r="Q1283" i="12"/>
  <c r="Q1284" i="12"/>
  <c r="Q1285" i="12"/>
  <c r="Q1286" i="12"/>
  <c r="Q1287" i="12"/>
  <c r="Q1288" i="12"/>
  <c r="Q1289" i="12"/>
  <c r="Q1290" i="12"/>
  <c r="Q1291" i="12"/>
  <c r="Q1292" i="12"/>
  <c r="Q1293" i="12"/>
  <c r="Q1294" i="12"/>
  <c r="Q1295" i="12"/>
  <c r="Q1296" i="12"/>
  <c r="Q1297" i="12"/>
  <c r="Q1298" i="12"/>
  <c r="Q1299" i="12"/>
  <c r="Q1300" i="12"/>
  <c r="Q1301" i="12"/>
  <c r="Q1302" i="12"/>
  <c r="Q1303" i="12"/>
  <c r="Q1304" i="12"/>
  <c r="Q1305" i="12"/>
  <c r="Q1306" i="12"/>
  <c r="Q1307" i="12"/>
  <c r="Q1308" i="12"/>
  <c r="Q1309" i="12"/>
  <c r="Q1310" i="12"/>
  <c r="Q1311" i="12"/>
  <c r="Q1312" i="12"/>
  <c r="Q1313" i="12"/>
  <c r="Q1314" i="12"/>
  <c r="Q1315" i="12"/>
  <c r="Q1316" i="12"/>
  <c r="Q1317" i="12"/>
  <c r="Q1318" i="12"/>
  <c r="Q1319" i="12"/>
  <c r="Q1320" i="12"/>
  <c r="Q1321" i="12"/>
  <c r="Q1322" i="12"/>
  <c r="Q1323" i="12"/>
  <c r="Q1324" i="12"/>
  <c r="Q1325" i="12"/>
  <c r="Q1326" i="12"/>
  <c r="Q1327" i="12"/>
  <c r="Q1328" i="12"/>
  <c r="Q1329" i="12"/>
  <c r="Q1330" i="12"/>
  <c r="Q1331" i="12"/>
  <c r="Q1332" i="12"/>
  <c r="Q1333" i="12"/>
  <c r="Q1334" i="12"/>
  <c r="Q1335" i="12"/>
  <c r="Q1336" i="12"/>
  <c r="Q1337" i="12"/>
  <c r="Q1338" i="12"/>
  <c r="Q1339" i="12"/>
  <c r="Q1340" i="12"/>
  <c r="Q1341" i="12"/>
  <c r="Q1342" i="12"/>
  <c r="Q1343" i="12"/>
  <c r="Q1344" i="12"/>
  <c r="Q1345" i="12"/>
  <c r="Q1346" i="12"/>
  <c r="Q1347" i="12"/>
  <c r="Q1348" i="12"/>
  <c r="Q1349" i="12"/>
  <c r="Q1350" i="12"/>
  <c r="Q1351" i="12"/>
  <c r="Q1352" i="12"/>
  <c r="Q1353" i="12"/>
  <c r="Q1354" i="12"/>
  <c r="Q1355" i="12"/>
  <c r="Q1356" i="12"/>
  <c r="Q1357" i="12"/>
  <c r="Q1358" i="12"/>
  <c r="Q1359" i="12"/>
  <c r="Q1360" i="12"/>
  <c r="Q1361" i="12"/>
  <c r="Q1362" i="12"/>
  <c r="Q1363" i="12"/>
  <c r="Q1364" i="12"/>
  <c r="Q1365" i="12"/>
  <c r="Q1366" i="12"/>
  <c r="Q1367" i="12"/>
  <c r="Q1368" i="12"/>
  <c r="Q1369" i="12"/>
  <c r="Q1370" i="12"/>
  <c r="Q1371" i="12"/>
  <c r="Q1372" i="12"/>
  <c r="Q1373" i="12"/>
  <c r="Q1374" i="12"/>
  <c r="Q1375" i="12"/>
  <c r="Q1376" i="12"/>
  <c r="Q1377" i="12"/>
  <c r="Q1378" i="12"/>
  <c r="Q1379" i="12"/>
  <c r="Q1380" i="12"/>
  <c r="Q1381" i="12"/>
  <c r="Q1382" i="12"/>
  <c r="Q1383" i="12"/>
  <c r="Q1384" i="12"/>
  <c r="Q1385" i="12"/>
  <c r="Q1386" i="12"/>
  <c r="Q1387" i="12"/>
  <c r="Q1388" i="12"/>
  <c r="Q1389" i="12"/>
  <c r="Q1390" i="12"/>
  <c r="Q1391" i="12"/>
  <c r="Q1392" i="12"/>
  <c r="Q1393" i="12"/>
  <c r="Q1394" i="12"/>
  <c r="Q1395" i="12"/>
  <c r="Q1396" i="12"/>
  <c r="Q1397" i="12"/>
  <c r="Q1398" i="12"/>
  <c r="Q1399" i="12"/>
  <c r="Q1400" i="12"/>
  <c r="Q1401" i="12"/>
  <c r="Q1402" i="12"/>
  <c r="Q1403" i="12"/>
  <c r="Q1404" i="12"/>
  <c r="Q1405" i="12"/>
  <c r="Q1406" i="12"/>
  <c r="Q1407" i="12"/>
  <c r="Q1408" i="12"/>
  <c r="Q1409" i="12"/>
  <c r="Q1410" i="12"/>
  <c r="Q1411" i="12"/>
  <c r="Q1412" i="12"/>
  <c r="Q1413" i="12"/>
  <c r="Q1414" i="12"/>
  <c r="Q1415" i="12"/>
  <c r="Q1416" i="12"/>
  <c r="Q1417" i="12"/>
  <c r="Q1418" i="12"/>
  <c r="Q1419" i="12"/>
  <c r="Q1420" i="12"/>
  <c r="Q1421" i="12"/>
  <c r="Q1422" i="12"/>
  <c r="Q1423" i="12"/>
  <c r="Q1424" i="12"/>
  <c r="Q1425" i="12"/>
  <c r="Q1426" i="12"/>
  <c r="Q1427" i="12"/>
  <c r="Q1428" i="12"/>
  <c r="Q1429" i="12"/>
  <c r="Q1430" i="12"/>
  <c r="Q1431" i="12"/>
  <c r="Q1432" i="12"/>
  <c r="Q1433" i="12"/>
  <c r="Q1434" i="12"/>
  <c r="Q1435" i="12"/>
  <c r="Q1436" i="12"/>
  <c r="Q1437" i="12"/>
  <c r="Q1438" i="12"/>
  <c r="Q1439" i="12"/>
  <c r="Q1440" i="12"/>
  <c r="Q1441" i="12"/>
  <c r="Q1442" i="12"/>
  <c r="Q1443" i="12"/>
  <c r="Q1444" i="12"/>
  <c r="Q1445" i="12"/>
  <c r="Q1446" i="12"/>
  <c r="Q1447" i="12"/>
  <c r="Q1448" i="12"/>
  <c r="Q1449" i="12"/>
  <c r="Q1450" i="12"/>
  <c r="Q1451" i="12"/>
  <c r="Q1452" i="12"/>
  <c r="Q1453" i="12"/>
  <c r="Q1454" i="12"/>
  <c r="Q1455" i="12"/>
  <c r="Q1456" i="12"/>
  <c r="Q1457" i="12"/>
  <c r="Q1458" i="12"/>
  <c r="Q1459" i="12"/>
  <c r="Q1460" i="12"/>
  <c r="Q1461" i="12"/>
  <c r="Q1462" i="12"/>
  <c r="Q1463" i="12"/>
  <c r="Q1464" i="12"/>
  <c r="Q1465" i="12"/>
  <c r="Q1466" i="12"/>
  <c r="Q1467" i="12"/>
  <c r="Q1468" i="12"/>
  <c r="Q1469" i="12"/>
  <c r="Q1470" i="12"/>
  <c r="Q1471" i="12"/>
  <c r="Q1472" i="12"/>
  <c r="Q1473" i="12"/>
  <c r="Q1474" i="12"/>
  <c r="Q1475" i="12"/>
  <c r="Q1476" i="12"/>
  <c r="Q1477" i="12"/>
  <c r="Q1478" i="12"/>
  <c r="Q1479" i="12"/>
  <c r="Q1480" i="12"/>
  <c r="Q1481" i="12"/>
  <c r="Q1482" i="12"/>
  <c r="Q1483" i="12"/>
  <c r="Q1484" i="12"/>
  <c r="Q1485" i="12"/>
  <c r="Q1486" i="12"/>
  <c r="Q1487" i="12"/>
  <c r="Q1488" i="12"/>
  <c r="Q1489" i="12"/>
  <c r="Q1490" i="12"/>
  <c r="Q1491" i="12"/>
  <c r="Q1492" i="12"/>
  <c r="Q1493" i="12"/>
  <c r="Q1494" i="12"/>
  <c r="Q1495" i="12"/>
  <c r="Q1496" i="12"/>
  <c r="Q1497" i="12"/>
  <c r="Q1498" i="12"/>
  <c r="Q1499" i="12"/>
  <c r="Q1500" i="12"/>
  <c r="Q1501" i="12"/>
  <c r="Q1502" i="12"/>
  <c r="Q1503" i="12"/>
  <c r="Q1504" i="12"/>
  <c r="Q1505" i="12"/>
  <c r="Q1506" i="12"/>
  <c r="Q1507" i="12"/>
  <c r="Q1508" i="12"/>
  <c r="Q1509" i="12"/>
  <c r="Q1510" i="12"/>
  <c r="Q1511" i="12"/>
  <c r="Q1512" i="12"/>
  <c r="Q1513" i="12"/>
  <c r="Q1514" i="12"/>
  <c r="Q1515" i="12"/>
  <c r="Q1516" i="12"/>
  <c r="Q1517" i="12"/>
  <c r="Q1518" i="12"/>
  <c r="Q1519" i="12"/>
  <c r="Q1520" i="12"/>
  <c r="Q1521" i="12"/>
  <c r="Q1522" i="12"/>
  <c r="Q1523" i="12"/>
  <c r="Q1524" i="12"/>
  <c r="Q1525" i="12"/>
  <c r="Q1526" i="12"/>
  <c r="Q1527" i="12"/>
  <c r="Q1528" i="12"/>
  <c r="Q1529" i="12"/>
  <c r="Q1530" i="12"/>
  <c r="Q1531" i="12"/>
  <c r="Q1532" i="12"/>
  <c r="Q1533" i="12"/>
  <c r="Q1534" i="12"/>
  <c r="Q1535" i="12"/>
  <c r="Q1536" i="12"/>
  <c r="Q1537" i="12"/>
  <c r="Q1538" i="12"/>
  <c r="Q1539" i="12"/>
  <c r="Q1540" i="12"/>
  <c r="Q1541" i="12"/>
  <c r="Q1542" i="12"/>
  <c r="Q1543" i="12"/>
  <c r="Q1544" i="12"/>
  <c r="Q1545" i="12"/>
  <c r="Q1546" i="12"/>
  <c r="Q1547" i="12"/>
  <c r="Q1548" i="12"/>
  <c r="Q1549" i="12"/>
  <c r="Q1550" i="12"/>
  <c r="Q1551" i="12"/>
  <c r="Q1552" i="12"/>
  <c r="Q1553" i="12"/>
  <c r="Q1554" i="12"/>
  <c r="Q1555" i="12"/>
  <c r="Q1556" i="12"/>
  <c r="Q1557" i="12"/>
  <c r="Q1558" i="12"/>
  <c r="Q1559" i="12"/>
  <c r="Q1560" i="12"/>
  <c r="Q1561" i="12"/>
  <c r="Q1562" i="12"/>
  <c r="Q1563" i="12"/>
  <c r="Q1564" i="12"/>
  <c r="Q1565" i="12"/>
  <c r="Q1566" i="12"/>
  <c r="Q1567" i="12"/>
  <c r="Q1568" i="12"/>
  <c r="Q1569" i="12"/>
  <c r="Q1570" i="12"/>
  <c r="Q1571" i="12"/>
  <c r="Q1572" i="12"/>
  <c r="Q1573" i="12"/>
  <c r="Q1574" i="12"/>
  <c r="Q1575" i="12"/>
  <c r="Q1576" i="12"/>
  <c r="Q1577" i="12"/>
  <c r="Q1578" i="12"/>
  <c r="Q1579" i="12"/>
  <c r="Q1580" i="12"/>
  <c r="Q1581" i="12"/>
  <c r="Q1582" i="12"/>
  <c r="Q1583" i="12"/>
  <c r="Q1584" i="12"/>
  <c r="Q1585" i="12"/>
  <c r="Q1586" i="12"/>
  <c r="Q1587" i="12"/>
  <c r="Q1588" i="12"/>
  <c r="Q1589" i="12"/>
  <c r="Q1590" i="12"/>
  <c r="Q1591" i="12"/>
  <c r="Q1592" i="12"/>
  <c r="Q977" i="12"/>
  <c r="Q978" i="12"/>
  <c r="Q976" i="12"/>
  <c r="P977" i="12"/>
  <c r="P978" i="12"/>
  <c r="P979" i="12"/>
  <c r="P980" i="12"/>
  <c r="P981" i="12"/>
  <c r="P982" i="12"/>
  <c r="P983" i="12"/>
  <c r="P984" i="12"/>
  <c r="P985" i="12"/>
  <c r="P986" i="12"/>
  <c r="P987" i="12"/>
  <c r="P988" i="12"/>
  <c r="P989" i="12"/>
  <c r="P990" i="12"/>
  <c r="P991" i="12"/>
  <c r="P992" i="12"/>
  <c r="P993" i="12"/>
  <c r="P994" i="12"/>
  <c r="P995" i="12"/>
  <c r="P996" i="12"/>
  <c r="P997" i="12"/>
  <c r="P998" i="12"/>
  <c r="P999" i="12"/>
  <c r="P1000" i="12"/>
  <c r="P1001" i="12"/>
  <c r="P1002" i="12"/>
  <c r="P1003" i="12"/>
  <c r="P1004" i="12"/>
  <c r="P1005" i="12"/>
  <c r="P1006" i="12"/>
  <c r="P1007" i="12"/>
  <c r="P1008" i="12"/>
  <c r="P1009" i="12"/>
  <c r="P1010" i="12"/>
  <c r="P1011" i="12"/>
  <c r="P1012" i="12"/>
  <c r="P1013" i="12"/>
  <c r="P1014" i="12"/>
  <c r="P1015" i="12"/>
  <c r="P1016" i="12"/>
  <c r="P1017" i="12"/>
  <c r="P1018" i="12"/>
  <c r="P1019" i="12"/>
  <c r="P1020" i="12"/>
  <c r="P1021" i="12"/>
  <c r="P1022" i="12"/>
  <c r="P1023" i="12"/>
  <c r="P1024" i="12"/>
  <c r="P1025" i="12"/>
  <c r="P1026" i="12"/>
  <c r="P1027" i="12"/>
  <c r="P1028" i="12"/>
  <c r="P1029" i="12"/>
  <c r="P1030" i="12"/>
  <c r="P1031" i="12"/>
  <c r="P1032" i="12"/>
  <c r="P1033" i="12"/>
  <c r="P1034" i="12"/>
  <c r="P1035" i="12"/>
  <c r="P1036" i="12"/>
  <c r="P1037" i="12"/>
  <c r="P1038" i="12"/>
  <c r="P1039" i="12"/>
  <c r="P1040" i="12"/>
  <c r="P1041" i="12"/>
  <c r="P1042" i="12"/>
  <c r="P1043" i="12"/>
  <c r="P1044" i="12"/>
  <c r="P1045" i="12"/>
  <c r="P1046" i="12"/>
  <c r="P1047" i="12"/>
  <c r="P1048" i="12"/>
  <c r="P1049" i="12"/>
  <c r="P1050" i="12"/>
  <c r="K1208" i="12"/>
  <c r="K1209" i="12"/>
  <c r="K1210" i="12"/>
  <c r="K1211" i="12"/>
  <c r="K1212" i="12"/>
  <c r="K1213" i="12"/>
  <c r="K1214" i="12"/>
  <c r="K1215" i="12"/>
  <c r="K1216" i="12"/>
  <c r="K1217" i="12"/>
  <c r="K1218" i="12"/>
  <c r="K1219" i="12"/>
  <c r="K1220" i="12"/>
  <c r="K1221" i="12"/>
  <c r="K1222" i="12"/>
  <c r="K1223" i="12"/>
  <c r="K1224" i="12"/>
  <c r="K1225" i="12"/>
  <c r="K1226" i="12"/>
  <c r="K1227" i="12"/>
  <c r="K1228" i="12"/>
  <c r="K1229" i="12"/>
  <c r="K1230" i="12"/>
  <c r="K1231" i="12"/>
  <c r="K1232" i="12"/>
  <c r="K1233" i="12"/>
  <c r="K1234" i="12"/>
  <c r="K1235" i="12"/>
  <c r="K1236" i="12"/>
  <c r="K1237" i="12"/>
  <c r="K1238" i="12"/>
  <c r="K1239" i="12"/>
  <c r="K1240" i="12"/>
  <c r="K1241" i="12"/>
  <c r="K1242" i="12"/>
  <c r="K1243" i="12"/>
  <c r="K1244" i="12"/>
  <c r="K1245" i="12"/>
  <c r="K1246" i="12"/>
  <c r="K1247" i="12"/>
  <c r="K1248" i="12"/>
  <c r="K1249" i="12"/>
  <c r="K1250" i="12"/>
  <c r="K1251" i="12"/>
  <c r="K1252" i="12"/>
  <c r="K1253" i="12"/>
  <c r="K1254" i="12"/>
  <c r="K1255" i="12"/>
  <c r="K1256" i="12"/>
  <c r="K1257" i="12"/>
  <c r="K1258" i="12"/>
  <c r="K1259" i="12"/>
  <c r="K1260" i="12"/>
  <c r="K1261" i="12"/>
  <c r="K1262" i="12"/>
  <c r="K1263" i="12"/>
  <c r="K1264" i="12"/>
  <c r="K1265" i="12"/>
  <c r="K1266" i="12"/>
  <c r="K1267" i="12"/>
  <c r="K1268" i="12"/>
  <c r="K1269" i="12"/>
  <c r="K1270" i="12"/>
  <c r="K1271" i="12"/>
  <c r="K1272" i="12"/>
  <c r="K1273" i="12"/>
  <c r="K1274" i="12"/>
  <c r="K1275" i="12"/>
  <c r="K1276" i="12"/>
  <c r="K1277" i="12"/>
  <c r="K1278" i="12"/>
  <c r="K1279" i="12"/>
  <c r="K1280" i="12"/>
  <c r="K1281" i="12"/>
  <c r="K1282" i="12"/>
  <c r="K1283" i="12"/>
  <c r="K1284" i="12"/>
  <c r="K1285" i="12"/>
  <c r="K1286" i="12"/>
  <c r="K1287" i="12"/>
  <c r="K1288" i="12"/>
  <c r="K1289" i="12"/>
  <c r="K1290" i="12"/>
  <c r="K1291" i="12"/>
  <c r="K1292" i="12"/>
  <c r="K1293" i="12"/>
  <c r="K1294" i="12"/>
  <c r="K1295" i="12"/>
  <c r="K1296" i="12"/>
  <c r="K1297" i="12"/>
  <c r="K1298" i="12"/>
  <c r="K1299" i="12"/>
  <c r="K1300" i="12"/>
  <c r="K1301" i="12"/>
  <c r="K1302" i="12"/>
  <c r="K1303" i="12"/>
  <c r="K1304" i="12"/>
  <c r="K1305" i="12"/>
  <c r="K1306" i="12"/>
  <c r="K1307" i="12"/>
  <c r="K1308" i="12"/>
  <c r="K1309" i="12"/>
  <c r="K1310" i="12"/>
  <c r="K1311" i="12"/>
  <c r="K1312" i="12"/>
  <c r="K1313" i="12"/>
  <c r="K1314" i="12"/>
  <c r="K1315" i="12"/>
  <c r="K1316" i="12"/>
  <c r="K1317" i="12"/>
  <c r="K1318" i="12"/>
  <c r="K1319" i="12"/>
  <c r="K1320" i="12"/>
  <c r="K1321" i="12"/>
  <c r="K1322" i="12"/>
  <c r="K1323" i="12"/>
  <c r="K1324" i="12"/>
  <c r="K1325" i="12"/>
  <c r="K1326" i="12"/>
  <c r="K1327" i="12"/>
  <c r="K1328" i="12"/>
  <c r="K1329" i="12"/>
  <c r="K1330" i="12"/>
  <c r="K1331" i="12"/>
  <c r="K1332" i="12"/>
  <c r="K1333" i="12"/>
  <c r="K1334" i="12"/>
  <c r="K1335" i="12"/>
  <c r="K1336" i="12"/>
  <c r="K1337" i="12"/>
  <c r="K1338" i="12"/>
  <c r="K1339" i="12"/>
  <c r="K1340" i="12"/>
  <c r="K1341" i="12"/>
  <c r="K1342" i="12"/>
  <c r="K1343" i="12"/>
  <c r="K1344" i="12"/>
  <c r="K1345" i="12"/>
  <c r="K1346" i="12"/>
  <c r="K1347" i="12"/>
  <c r="K1348" i="12"/>
  <c r="K1349" i="12"/>
  <c r="K1350" i="12"/>
  <c r="K1351" i="12"/>
  <c r="K1352" i="12"/>
  <c r="K1353" i="12"/>
  <c r="K1354" i="12"/>
  <c r="K1355" i="12"/>
  <c r="K1356" i="12"/>
  <c r="K1357" i="12"/>
  <c r="K1358" i="12"/>
  <c r="K1359" i="12"/>
  <c r="K1360" i="12"/>
  <c r="K1361" i="12"/>
  <c r="K1362" i="12"/>
  <c r="K1363" i="12"/>
  <c r="K1364" i="12"/>
  <c r="K1365" i="12"/>
  <c r="K1366" i="12"/>
  <c r="K1367" i="12"/>
  <c r="K1368" i="12"/>
  <c r="K1369" i="12"/>
  <c r="K1370" i="12"/>
  <c r="K1371" i="12"/>
  <c r="K1372" i="12"/>
  <c r="K1373" i="12"/>
  <c r="K1374" i="12"/>
  <c r="K1375" i="12"/>
  <c r="K1376" i="12"/>
  <c r="K1377" i="12"/>
  <c r="K1378" i="12"/>
  <c r="K1379" i="12"/>
  <c r="K1380" i="12"/>
  <c r="K1381" i="12"/>
  <c r="K1382" i="12"/>
  <c r="K1383" i="12"/>
  <c r="K1384" i="12"/>
  <c r="K1385" i="12"/>
  <c r="K1386" i="12"/>
  <c r="K1387" i="12"/>
  <c r="K1388" i="12"/>
  <c r="K1389" i="12"/>
  <c r="K1390" i="12"/>
  <c r="K1391" i="12"/>
  <c r="K1392" i="12"/>
  <c r="K1393" i="12"/>
  <c r="K1394" i="12"/>
  <c r="K1395" i="12"/>
  <c r="K1396" i="12"/>
  <c r="K1397" i="12"/>
  <c r="K1398" i="12"/>
  <c r="K1399" i="12"/>
  <c r="K1400" i="12"/>
  <c r="K1401" i="12"/>
  <c r="K1402" i="12"/>
  <c r="K1403" i="12"/>
  <c r="K1404" i="12"/>
  <c r="K1405" i="12"/>
  <c r="K1406" i="12"/>
  <c r="K1407" i="12"/>
  <c r="K1408" i="12"/>
  <c r="K1409" i="12"/>
  <c r="K1410" i="12"/>
  <c r="K1411" i="12"/>
  <c r="K1412" i="12"/>
  <c r="K1413" i="12"/>
  <c r="K1414" i="12"/>
  <c r="K1415" i="12"/>
  <c r="K1416" i="12"/>
  <c r="K1417" i="12"/>
  <c r="K1418" i="12"/>
  <c r="K1419" i="12"/>
  <c r="K1420" i="12"/>
  <c r="K1421" i="12"/>
  <c r="K1422" i="12"/>
  <c r="K1423" i="12"/>
  <c r="K1424" i="12"/>
  <c r="K1425" i="12"/>
  <c r="K1426" i="12"/>
  <c r="K1427" i="12"/>
  <c r="K1428" i="12"/>
  <c r="K1429" i="12"/>
  <c r="K1430" i="12"/>
  <c r="K1431" i="12"/>
  <c r="K1432" i="12"/>
  <c r="K1433" i="12"/>
  <c r="K1434" i="12"/>
  <c r="K1435" i="12"/>
  <c r="K1436" i="12"/>
  <c r="K1437" i="12"/>
  <c r="K1438" i="12"/>
  <c r="K1439" i="12"/>
  <c r="K1440" i="12"/>
  <c r="K1441" i="12"/>
  <c r="K1442" i="12"/>
  <c r="K1443" i="12"/>
  <c r="K1444" i="12"/>
  <c r="K1445" i="12"/>
  <c r="K1446" i="12"/>
  <c r="K1447" i="12"/>
  <c r="K1448" i="12"/>
  <c r="K1449" i="12"/>
  <c r="K1450" i="12"/>
  <c r="K1451" i="12"/>
  <c r="K1452" i="12"/>
  <c r="K1453" i="12"/>
  <c r="K1454" i="12"/>
  <c r="K1455" i="12"/>
  <c r="K1456" i="12"/>
  <c r="K1457" i="12"/>
  <c r="K1458" i="12"/>
  <c r="K1459" i="12"/>
  <c r="K1460" i="12"/>
  <c r="K1461" i="12"/>
  <c r="K1462" i="12"/>
  <c r="K1463" i="12"/>
  <c r="K1464" i="12"/>
  <c r="K1465" i="12"/>
  <c r="K1466" i="12"/>
  <c r="K1467" i="12"/>
  <c r="K1468" i="12"/>
  <c r="K1469" i="12"/>
  <c r="K1470" i="12"/>
  <c r="K1471" i="12"/>
  <c r="K1472" i="12"/>
  <c r="K1473" i="12"/>
  <c r="K1474" i="12"/>
  <c r="K1475" i="12"/>
  <c r="K1476" i="12"/>
  <c r="K1477" i="12"/>
  <c r="K1478" i="12"/>
  <c r="K1479" i="12"/>
  <c r="K1480" i="12"/>
  <c r="K1481" i="12"/>
  <c r="K1482" i="12"/>
  <c r="K1483" i="12"/>
  <c r="K1484" i="12"/>
  <c r="K1485" i="12"/>
  <c r="K1486" i="12"/>
  <c r="K1487" i="12"/>
  <c r="K1488" i="12"/>
  <c r="K1489" i="12"/>
  <c r="K1490" i="12"/>
  <c r="K1491" i="12"/>
  <c r="K1492" i="12"/>
  <c r="K1493" i="12"/>
  <c r="K1494" i="12"/>
  <c r="K1495" i="12"/>
  <c r="K1496" i="12"/>
  <c r="K1497" i="12"/>
  <c r="K1498" i="12"/>
  <c r="K1499" i="12"/>
  <c r="K1500" i="12"/>
  <c r="K1501" i="12"/>
  <c r="K1502" i="12"/>
  <c r="K1503" i="12"/>
  <c r="K1504" i="12"/>
  <c r="K1505" i="12"/>
  <c r="K1506" i="12"/>
  <c r="K1507" i="12"/>
  <c r="K1508" i="12"/>
  <c r="K1509" i="12"/>
  <c r="K1510" i="12"/>
  <c r="K1511" i="12"/>
  <c r="K1512" i="12"/>
  <c r="K1513" i="12"/>
  <c r="K1514" i="12"/>
  <c r="K1515" i="12"/>
  <c r="K1516" i="12"/>
  <c r="K1517" i="12"/>
  <c r="K1518" i="12"/>
  <c r="K1519" i="12"/>
  <c r="K1520" i="12"/>
  <c r="K1521" i="12"/>
  <c r="K1522" i="12"/>
  <c r="K1523" i="12"/>
  <c r="K1524" i="12"/>
  <c r="K1525" i="12"/>
  <c r="K1526" i="12"/>
  <c r="K1527" i="12"/>
  <c r="K1528" i="12"/>
  <c r="K1529" i="12"/>
  <c r="K1530" i="12"/>
  <c r="K1531" i="12"/>
  <c r="K1532" i="12"/>
  <c r="K1533" i="12"/>
  <c r="K1534" i="12"/>
  <c r="K1535" i="12"/>
  <c r="K1536" i="12"/>
  <c r="K1537" i="12"/>
  <c r="K1538" i="12"/>
  <c r="K1539" i="12"/>
  <c r="K1540" i="12"/>
  <c r="K1541" i="12"/>
  <c r="K1542" i="12"/>
  <c r="K1543" i="12"/>
  <c r="K1544" i="12"/>
  <c r="K1545" i="12"/>
  <c r="K1546" i="12"/>
  <c r="K1547" i="12"/>
  <c r="K1548" i="12"/>
  <c r="K1549" i="12"/>
  <c r="K1550" i="12"/>
  <c r="K1551" i="12"/>
  <c r="K1552" i="12"/>
  <c r="K1553" i="12"/>
  <c r="K1554" i="12"/>
  <c r="K1555" i="12"/>
  <c r="K1556" i="12"/>
  <c r="K1557" i="12"/>
  <c r="K1558" i="12"/>
  <c r="K1559" i="12"/>
  <c r="K1560" i="12"/>
  <c r="K1561" i="12"/>
  <c r="K1562" i="12"/>
  <c r="K1563" i="12"/>
  <c r="K1564" i="12"/>
  <c r="K1565" i="12"/>
  <c r="K1566" i="12"/>
  <c r="K1567" i="12"/>
  <c r="K1568" i="12"/>
  <c r="K1569" i="12"/>
  <c r="K1570" i="12"/>
  <c r="K1571" i="12"/>
  <c r="K1572" i="12"/>
  <c r="K1573" i="12"/>
  <c r="K1574" i="12"/>
  <c r="K1575" i="12"/>
  <c r="K1576" i="12"/>
  <c r="K1577" i="12"/>
  <c r="K1578" i="12"/>
  <c r="K1579" i="12"/>
  <c r="K1580" i="12"/>
  <c r="K1581" i="12"/>
  <c r="K1582" i="12"/>
  <c r="K1583" i="12"/>
  <c r="K1584" i="12"/>
  <c r="K1585" i="12"/>
  <c r="K1586" i="12"/>
  <c r="K1587" i="12"/>
  <c r="K1588" i="12"/>
  <c r="K1589" i="12"/>
  <c r="K1590" i="12"/>
  <c r="K1591" i="12"/>
  <c r="K1592" i="12"/>
  <c r="K1098" i="12"/>
  <c r="K1099" i="12"/>
  <c r="K1100" i="12"/>
  <c r="K1101" i="12"/>
  <c r="K1102" i="12"/>
  <c r="K1103" i="12"/>
  <c r="K1104" i="12"/>
  <c r="K1105" i="12"/>
  <c r="K1106" i="12"/>
  <c r="K1107" i="12"/>
  <c r="K1108" i="12"/>
  <c r="K1109" i="12"/>
  <c r="K1110" i="12"/>
  <c r="K1111" i="12"/>
  <c r="K1112" i="12"/>
  <c r="K1113" i="12"/>
  <c r="K1114" i="12"/>
  <c r="K1115" i="12"/>
  <c r="K1116" i="12"/>
  <c r="K1117" i="12"/>
  <c r="K1118" i="12"/>
  <c r="K1119" i="12"/>
  <c r="K1120" i="12"/>
  <c r="K1121" i="12"/>
  <c r="K1122" i="12"/>
  <c r="K1123" i="12"/>
  <c r="K1124" i="12"/>
  <c r="K1125" i="12"/>
  <c r="K1126" i="12"/>
  <c r="K1127" i="12"/>
  <c r="K1128" i="12"/>
  <c r="K1129" i="12"/>
  <c r="K1130" i="12"/>
  <c r="K1131" i="12"/>
  <c r="K1132" i="12"/>
  <c r="K1133" i="12"/>
  <c r="K1134" i="12"/>
  <c r="K1135" i="12"/>
  <c r="K1136" i="12"/>
  <c r="K1137" i="12"/>
  <c r="K1138" i="12"/>
  <c r="K1139" i="12"/>
  <c r="K1140" i="12"/>
  <c r="K1141" i="12"/>
  <c r="K1142" i="12"/>
  <c r="K1143" i="12"/>
  <c r="K1144" i="12"/>
  <c r="K1145" i="12"/>
  <c r="K1146" i="12"/>
  <c r="K1147" i="12"/>
  <c r="K1148" i="12"/>
  <c r="K1149" i="12"/>
  <c r="K1150" i="12"/>
  <c r="K1151" i="12"/>
  <c r="K1152" i="12"/>
  <c r="K1153" i="12"/>
  <c r="K1154" i="12"/>
  <c r="K1155" i="12"/>
  <c r="K1156" i="12"/>
  <c r="K1157" i="12"/>
  <c r="K1158" i="12"/>
  <c r="K1159" i="12"/>
  <c r="K1160" i="12"/>
  <c r="K1161" i="12"/>
  <c r="K1162" i="12"/>
  <c r="K1163" i="12"/>
  <c r="K1164" i="12"/>
  <c r="K1165" i="12"/>
  <c r="K1166" i="12"/>
  <c r="K1167" i="12"/>
  <c r="K1168" i="12"/>
  <c r="K1169" i="12"/>
  <c r="K1170" i="12"/>
  <c r="K1171" i="12"/>
  <c r="K1172" i="12"/>
  <c r="K1173" i="12"/>
  <c r="K1174" i="12"/>
  <c r="K1175" i="12"/>
  <c r="K1176" i="12"/>
  <c r="K1177" i="12"/>
  <c r="K1178" i="12"/>
  <c r="K1179" i="12"/>
  <c r="K1180" i="12"/>
  <c r="K1181" i="12"/>
  <c r="K1182" i="12"/>
  <c r="K1183" i="12"/>
  <c r="K1184" i="12"/>
  <c r="K1185" i="12"/>
  <c r="K1186" i="12"/>
  <c r="K1187" i="12"/>
  <c r="K1188" i="12"/>
  <c r="K1189" i="12"/>
  <c r="K1190" i="12"/>
  <c r="K1191" i="12"/>
  <c r="K1192" i="12"/>
  <c r="K1193" i="12"/>
  <c r="K1194" i="12"/>
  <c r="K1195" i="12"/>
  <c r="K1196" i="12"/>
  <c r="K1197" i="12"/>
  <c r="K1198" i="12"/>
  <c r="K1199" i="12"/>
  <c r="K1200" i="12"/>
  <c r="K1201" i="12"/>
  <c r="K1202" i="12"/>
  <c r="K1203" i="12"/>
  <c r="K1204" i="12"/>
  <c r="K1205" i="12"/>
  <c r="K1206" i="12"/>
  <c r="K1207" i="12"/>
  <c r="K1005" i="12"/>
  <c r="K1006" i="12"/>
  <c r="K1007" i="12"/>
  <c r="K1008" i="12"/>
  <c r="K1009" i="12"/>
  <c r="K1010" i="12"/>
  <c r="K1011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026" i="12"/>
  <c r="K1027" i="12"/>
  <c r="K1028" i="12"/>
  <c r="K1029" i="12"/>
  <c r="K1030" i="12"/>
  <c r="K1031" i="12"/>
  <c r="K1032" i="12"/>
  <c r="K1033" i="12"/>
  <c r="K1034" i="12"/>
  <c r="K1035" i="12"/>
  <c r="K1036" i="12"/>
  <c r="K1037" i="12"/>
  <c r="K1038" i="12"/>
  <c r="K1039" i="12"/>
  <c r="K1040" i="12"/>
  <c r="K1041" i="12"/>
  <c r="K1042" i="12"/>
  <c r="K1043" i="12"/>
  <c r="K1044" i="12"/>
  <c r="K1045" i="12"/>
  <c r="K1046" i="12"/>
  <c r="K1047" i="12"/>
  <c r="K1048" i="12"/>
  <c r="K1049" i="12"/>
  <c r="K1050" i="12"/>
  <c r="K1051" i="12"/>
  <c r="K1052" i="12"/>
  <c r="K1053" i="12"/>
  <c r="K1054" i="12"/>
  <c r="K1055" i="12"/>
  <c r="K1056" i="12"/>
  <c r="K1057" i="12"/>
  <c r="K1058" i="12"/>
  <c r="K1059" i="12"/>
  <c r="K1060" i="12"/>
  <c r="K1061" i="12"/>
  <c r="K1062" i="12"/>
  <c r="K1063" i="12"/>
  <c r="K1064" i="12"/>
  <c r="K1065" i="12"/>
  <c r="K1066" i="12"/>
  <c r="K1067" i="12"/>
  <c r="K1068" i="12"/>
  <c r="K1069" i="12"/>
  <c r="K1070" i="12"/>
  <c r="K1071" i="12"/>
  <c r="K1072" i="12"/>
  <c r="K1073" i="12"/>
  <c r="K1074" i="12"/>
  <c r="K1075" i="12"/>
  <c r="K1076" i="12"/>
  <c r="K1077" i="12"/>
  <c r="K1078" i="12"/>
  <c r="K1079" i="12"/>
  <c r="K1080" i="12"/>
  <c r="K1081" i="12"/>
  <c r="K1082" i="12"/>
  <c r="K1083" i="12"/>
  <c r="K1084" i="12"/>
  <c r="K1085" i="12"/>
  <c r="K1086" i="12"/>
  <c r="K1087" i="12"/>
  <c r="K1088" i="12"/>
  <c r="K1089" i="12"/>
  <c r="K1090" i="12"/>
  <c r="K1091" i="12"/>
  <c r="K1092" i="12"/>
  <c r="K1093" i="12"/>
  <c r="K1094" i="12"/>
  <c r="K1095" i="12"/>
  <c r="K1096" i="12"/>
  <c r="K1097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2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898" i="12"/>
  <c r="K899" i="12"/>
  <c r="K90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918" i="12"/>
  <c r="K919" i="12"/>
  <c r="K920" i="12"/>
  <c r="K921" i="12"/>
  <c r="K922" i="12"/>
  <c r="K923" i="12"/>
  <c r="K924" i="12"/>
  <c r="K925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938" i="12"/>
  <c r="K939" i="12"/>
  <c r="K940" i="12"/>
  <c r="K941" i="12"/>
  <c r="K942" i="12"/>
  <c r="K943" i="12"/>
  <c r="K944" i="12"/>
  <c r="K945" i="12"/>
  <c r="K946" i="12"/>
  <c r="K947" i="12"/>
  <c r="K948" i="12"/>
  <c r="K949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2" i="12"/>
  <c r="K963" i="12"/>
  <c r="K964" i="12"/>
  <c r="K965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0" i="12"/>
  <c r="K981" i="12"/>
  <c r="K982" i="12"/>
  <c r="K983" i="12"/>
  <c r="K984" i="12"/>
  <c r="K985" i="12"/>
  <c r="K986" i="12"/>
  <c r="K987" i="12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1000" i="12"/>
  <c r="K1001" i="12"/>
  <c r="K1002" i="12"/>
  <c r="K1003" i="12"/>
  <c r="K1004" i="12"/>
  <c r="Q888" i="12"/>
  <c r="Q779" i="12"/>
  <c r="Q780" i="12"/>
  <c r="Q781" i="12"/>
  <c r="Q782" i="12"/>
  <c r="Q783" i="12"/>
  <c r="Q784" i="12"/>
  <c r="Q785" i="12"/>
  <c r="Q786" i="12"/>
  <c r="Q787" i="12"/>
  <c r="Q788" i="12"/>
  <c r="Q789" i="12"/>
  <c r="Q790" i="12"/>
  <c r="Q791" i="12"/>
  <c r="Q792" i="12"/>
  <c r="Q793" i="12"/>
  <c r="Q794" i="12"/>
  <c r="Q795" i="12"/>
  <c r="Q796" i="12"/>
  <c r="Q797" i="12"/>
  <c r="Q798" i="12"/>
  <c r="Q799" i="12"/>
  <c r="Q800" i="12"/>
  <c r="Q801" i="12"/>
  <c r="Q802" i="12"/>
  <c r="Q803" i="12"/>
  <c r="Q804" i="12"/>
  <c r="Q805" i="12"/>
  <c r="Q806" i="12"/>
  <c r="Q807" i="12"/>
  <c r="Q808" i="12"/>
  <c r="Q809" i="12"/>
  <c r="Q810" i="12"/>
  <c r="Q811" i="12"/>
  <c r="Q812" i="12"/>
  <c r="Q813" i="12"/>
  <c r="Q814" i="12"/>
  <c r="Q815" i="12"/>
  <c r="Q816" i="12"/>
  <c r="Q817" i="12"/>
  <c r="Q818" i="12"/>
  <c r="Q819" i="12"/>
  <c r="Q820" i="12"/>
  <c r="Q821" i="12"/>
  <c r="Q822" i="12"/>
  <c r="Q823" i="12"/>
  <c r="Q824" i="12"/>
  <c r="Q825" i="12"/>
  <c r="Q826" i="12"/>
  <c r="Q827" i="12"/>
  <c r="Q828" i="12"/>
  <c r="Q829" i="12"/>
  <c r="Q830" i="12"/>
  <c r="Q831" i="12"/>
  <c r="Q832" i="12"/>
  <c r="Q833" i="12"/>
  <c r="Q834" i="12"/>
  <c r="Q835" i="12"/>
  <c r="Q836" i="12"/>
  <c r="Q837" i="12"/>
  <c r="Q838" i="12"/>
  <c r="Q839" i="12"/>
  <c r="Q840" i="12"/>
  <c r="Q841" i="12"/>
  <c r="Q842" i="12"/>
  <c r="Q843" i="12"/>
  <c r="Q844" i="12"/>
  <c r="Q845" i="12"/>
  <c r="Q846" i="12"/>
  <c r="Q847" i="12"/>
  <c r="Q848" i="12"/>
  <c r="Q849" i="12"/>
  <c r="Q850" i="12"/>
  <c r="Q851" i="12"/>
  <c r="Q852" i="12"/>
  <c r="Q853" i="12"/>
  <c r="Q854" i="12"/>
  <c r="Q855" i="12"/>
  <c r="Q856" i="12"/>
  <c r="Q857" i="12"/>
  <c r="Q858" i="12"/>
  <c r="Q859" i="12"/>
  <c r="Q860" i="12"/>
  <c r="Q861" i="12"/>
  <c r="Q862" i="12"/>
  <c r="Q863" i="12"/>
  <c r="Q864" i="12"/>
  <c r="Q865" i="12"/>
  <c r="Q866" i="12"/>
  <c r="Q867" i="12"/>
  <c r="Q868" i="12"/>
  <c r="Q869" i="12"/>
  <c r="Q870" i="12"/>
  <c r="Q871" i="12"/>
  <c r="Q872" i="12"/>
  <c r="Q873" i="12"/>
  <c r="Q874" i="12"/>
  <c r="Q875" i="12"/>
  <c r="Q876" i="12"/>
  <c r="Q877" i="12"/>
  <c r="Q878" i="12"/>
  <c r="Q879" i="12"/>
  <c r="Q880" i="12"/>
  <c r="Q881" i="12"/>
  <c r="Q882" i="12"/>
  <c r="Q883" i="12"/>
  <c r="Q884" i="12"/>
  <c r="Q885" i="12"/>
  <c r="Q886" i="12"/>
  <c r="Q887" i="12"/>
  <c r="Q889" i="12"/>
  <c r="Q890" i="12"/>
  <c r="Q891" i="12"/>
  <c r="Q892" i="12"/>
  <c r="Q893" i="12"/>
  <c r="Q894" i="12"/>
  <c r="Q895" i="12"/>
  <c r="Q896" i="12"/>
  <c r="Q897" i="12"/>
  <c r="Q898" i="12"/>
  <c r="Q899" i="12"/>
  <c r="Q900" i="12"/>
  <c r="Q901" i="12"/>
  <c r="Q778" i="12"/>
  <c r="Q776" i="12"/>
  <c r="Q921" i="12"/>
  <c r="Q922" i="12"/>
  <c r="Q923" i="12"/>
  <c r="Q916" i="12"/>
  <c r="Q917" i="12"/>
  <c r="Q918" i="12"/>
  <c r="Q919" i="12"/>
  <c r="Q920" i="12"/>
  <c r="Q924" i="12"/>
  <c r="Q925" i="12"/>
  <c r="Q926" i="12"/>
  <c r="Q927" i="12"/>
  <c r="Q928" i="12"/>
  <c r="Q929" i="12"/>
  <c r="Q930" i="12"/>
  <c r="Q931" i="12"/>
  <c r="Q932" i="12"/>
  <c r="Q933" i="12"/>
  <c r="Q934" i="12"/>
  <c r="Q935" i="12"/>
  <c r="Q936" i="12"/>
  <c r="Q937" i="12"/>
  <c r="Q938" i="12"/>
  <c r="Q939" i="12"/>
  <c r="Q940" i="12"/>
  <c r="Q941" i="12"/>
  <c r="Q942" i="12"/>
  <c r="Q943" i="12"/>
  <c r="Q944" i="12"/>
  <c r="Q945" i="12"/>
  <c r="Q946" i="12"/>
  <c r="Q947" i="12"/>
  <c r="Q948" i="12"/>
  <c r="Q949" i="12"/>
  <c r="Q950" i="12"/>
  <c r="Q951" i="12"/>
  <c r="Q952" i="12"/>
  <c r="Q953" i="12"/>
  <c r="Q954" i="12"/>
  <c r="Q955" i="12"/>
  <c r="Q956" i="12"/>
  <c r="Q957" i="12"/>
  <c r="Q958" i="12"/>
  <c r="Q959" i="12"/>
  <c r="Q960" i="12"/>
  <c r="Q961" i="12"/>
  <c r="Q962" i="12"/>
  <c r="Q963" i="12"/>
  <c r="Q964" i="12"/>
  <c r="P853" i="12"/>
  <c r="P854" i="12"/>
  <c r="P855" i="12"/>
  <c r="P856" i="12"/>
  <c r="P857" i="12"/>
  <c r="P858" i="12"/>
  <c r="P859" i="12"/>
  <c r="P860" i="12"/>
  <c r="P861" i="12"/>
  <c r="P862" i="12"/>
  <c r="P863" i="12"/>
  <c r="P864" i="12"/>
  <c r="P865" i="12"/>
  <c r="P866" i="12"/>
  <c r="P867" i="12"/>
  <c r="P868" i="12"/>
  <c r="P869" i="12"/>
  <c r="P870" i="12"/>
  <c r="P871" i="12"/>
  <c r="P872" i="12"/>
  <c r="P873" i="12"/>
  <c r="P874" i="12"/>
  <c r="P875" i="12"/>
  <c r="P876" i="12"/>
  <c r="P877" i="12"/>
  <c r="P878" i="12"/>
  <c r="P879" i="12"/>
  <c r="P880" i="12"/>
  <c r="P881" i="12"/>
  <c r="P882" i="12"/>
  <c r="P883" i="12"/>
  <c r="P884" i="12"/>
  <c r="P819" i="12"/>
  <c r="P820" i="12"/>
  <c r="P821" i="12"/>
  <c r="P822" i="12"/>
  <c r="P823" i="12"/>
  <c r="P824" i="12"/>
  <c r="P825" i="12"/>
  <c r="P826" i="12"/>
  <c r="P827" i="12"/>
  <c r="P828" i="12"/>
  <c r="P829" i="12"/>
  <c r="P830" i="12"/>
  <c r="P831" i="12"/>
  <c r="P832" i="12"/>
  <c r="P833" i="12"/>
  <c r="P834" i="12"/>
  <c r="P835" i="12"/>
  <c r="P836" i="12"/>
  <c r="P837" i="12"/>
  <c r="P838" i="12"/>
  <c r="P839" i="12"/>
  <c r="P840" i="12"/>
  <c r="P841" i="12"/>
  <c r="P842" i="12"/>
  <c r="P843" i="12"/>
  <c r="P844" i="12"/>
  <c r="P845" i="12"/>
  <c r="P846" i="12"/>
  <c r="P847" i="12"/>
  <c r="P848" i="12"/>
  <c r="P849" i="12"/>
  <c r="P850" i="12"/>
  <c r="P851" i="12"/>
  <c r="P852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P750" i="12"/>
  <c r="P751" i="12"/>
  <c r="P752" i="12"/>
  <c r="P753" i="12"/>
  <c r="P754" i="12"/>
  <c r="P755" i="12"/>
  <c r="P756" i="12"/>
  <c r="P757" i="12"/>
  <c r="P758" i="12"/>
  <c r="P759" i="12"/>
  <c r="P760" i="12"/>
  <c r="P761" i="12"/>
  <c r="P762" i="12"/>
  <c r="P763" i="12"/>
  <c r="P764" i="12"/>
  <c r="P765" i="12"/>
  <c r="P766" i="12"/>
  <c r="P767" i="12"/>
  <c r="P768" i="12"/>
  <c r="P769" i="12"/>
  <c r="P770" i="12"/>
  <c r="P771" i="12"/>
  <c r="P772" i="12"/>
  <c r="P773" i="12"/>
  <c r="P774" i="12"/>
  <c r="P775" i="12"/>
  <c r="P776" i="12"/>
  <c r="P777" i="12"/>
  <c r="P778" i="12"/>
  <c r="P779" i="12"/>
  <c r="P780" i="12"/>
  <c r="P781" i="12"/>
  <c r="P782" i="12"/>
  <c r="P783" i="12"/>
  <c r="P784" i="12"/>
  <c r="P785" i="12"/>
  <c r="P786" i="12"/>
  <c r="P787" i="12"/>
  <c r="P788" i="12"/>
  <c r="P789" i="12"/>
  <c r="P790" i="12"/>
  <c r="P791" i="12"/>
  <c r="P792" i="12"/>
  <c r="P793" i="12"/>
  <c r="P794" i="12"/>
  <c r="P795" i="12"/>
  <c r="P796" i="12"/>
  <c r="P797" i="12"/>
  <c r="P798" i="12"/>
  <c r="P799" i="12"/>
  <c r="P800" i="12"/>
  <c r="P801" i="12"/>
  <c r="P802" i="12"/>
  <c r="P803" i="12"/>
  <c r="P804" i="12"/>
  <c r="P805" i="12"/>
  <c r="P655" i="12"/>
  <c r="Q655" i="12"/>
  <c r="P656" i="12"/>
  <c r="Q656" i="12"/>
  <c r="P657" i="12"/>
  <c r="Q657" i="12"/>
  <c r="P658" i="12"/>
  <c r="Q658" i="12"/>
  <c r="K658" i="12"/>
  <c r="K657" i="12"/>
  <c r="K656" i="12"/>
  <c r="K655" i="12"/>
  <c r="K654" i="12"/>
  <c r="Q494" i="12"/>
  <c r="P494" i="12"/>
  <c r="K494" i="12"/>
  <c r="G494" i="12"/>
  <c r="G2" i="12"/>
  <c r="Q2" i="12"/>
  <c r="P2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67" i="12"/>
  <c r="P468" i="12"/>
  <c r="P469" i="12"/>
  <c r="P470" i="12"/>
  <c r="P471" i="12"/>
  <c r="P472" i="12"/>
  <c r="P473" i="12"/>
  <c r="P474" i="12"/>
  <c r="P475" i="12"/>
  <c r="P476" i="12"/>
  <c r="K428" i="12"/>
  <c r="K427" i="12"/>
  <c r="K426" i="12"/>
  <c r="K425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819" i="12"/>
  <c r="K820" i="12"/>
  <c r="K821" i="12"/>
  <c r="K822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737" i="12"/>
  <c r="K738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672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706" i="12"/>
  <c r="K707" i="12"/>
  <c r="K708" i="12"/>
  <c r="K709" i="12"/>
  <c r="K710" i="12"/>
  <c r="K711" i="12"/>
  <c r="K712" i="12"/>
  <c r="K713" i="12"/>
  <c r="K714" i="12"/>
  <c r="K715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646" i="12"/>
  <c r="K647" i="12"/>
  <c r="K648" i="12"/>
  <c r="K649" i="12"/>
  <c r="K650" i="12"/>
  <c r="K651" i="12"/>
  <c r="K652" i="12"/>
  <c r="K653" i="12"/>
  <c r="K659" i="12"/>
  <c r="K660" i="12"/>
  <c r="K661" i="12"/>
  <c r="K662" i="12"/>
  <c r="K663" i="12"/>
  <c r="K664" i="12"/>
  <c r="K665" i="12"/>
  <c r="K666" i="12"/>
  <c r="K667" i="12"/>
  <c r="K668" i="12"/>
  <c r="K669" i="12"/>
  <c r="K670" i="12"/>
  <c r="K671" i="12"/>
  <c r="K526" i="12"/>
  <c r="K527" i="12"/>
  <c r="K528" i="12"/>
  <c r="K529" i="12"/>
  <c r="K530" i="12"/>
  <c r="K531" i="12"/>
  <c r="K532" i="12"/>
  <c r="K533" i="12"/>
  <c r="K534" i="12"/>
  <c r="K535" i="12"/>
  <c r="K536" i="12"/>
  <c r="K537" i="12"/>
  <c r="K538" i="12"/>
  <c r="K539" i="12"/>
  <c r="K540" i="12"/>
  <c r="K541" i="12"/>
  <c r="K542" i="12"/>
  <c r="K543" i="12"/>
  <c r="K544" i="12"/>
  <c r="K545" i="12"/>
  <c r="K546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574" i="12"/>
  <c r="K575" i="12"/>
  <c r="K576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422" i="12"/>
  <c r="K423" i="12"/>
  <c r="K424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517" i="12"/>
  <c r="K518" i="12"/>
  <c r="K519" i="12"/>
  <c r="K520" i="12"/>
  <c r="K521" i="12"/>
  <c r="K522" i="12"/>
  <c r="K523" i="12"/>
  <c r="K524" i="12"/>
  <c r="K525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Q194" i="12"/>
  <c r="Q195" i="12"/>
  <c r="Q196" i="12"/>
  <c r="Q197" i="12"/>
  <c r="Q198" i="12"/>
  <c r="Q199" i="12"/>
  <c r="Q200" i="12"/>
  <c r="Q201" i="12"/>
  <c r="Q202" i="12"/>
  <c r="Q190" i="12"/>
  <c r="Q191" i="12"/>
  <c r="Q192" i="12"/>
  <c r="Q193" i="12"/>
  <c r="P193" i="12"/>
  <c r="P194" i="12"/>
  <c r="P195" i="12"/>
  <c r="P196" i="12"/>
  <c r="P197" i="12"/>
  <c r="P198" i="12"/>
  <c r="P199" i="12"/>
  <c r="P200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K200" i="12"/>
  <c r="K199" i="12"/>
  <c r="K198" i="12"/>
  <c r="K197" i="12"/>
  <c r="K196" i="12"/>
  <c r="K195" i="12"/>
  <c r="K194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K181" i="12"/>
  <c r="K180" i="12"/>
  <c r="K179" i="12"/>
  <c r="K178" i="12"/>
  <c r="K177" i="12"/>
  <c r="K176" i="12"/>
  <c r="K175" i="12"/>
  <c r="K174" i="12"/>
  <c r="K173" i="12"/>
  <c r="K172" i="12"/>
  <c r="K171" i="12"/>
  <c r="K170" i="12"/>
  <c r="K169" i="12"/>
  <c r="K168" i="12"/>
  <c r="K167" i="12"/>
  <c r="K166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52" i="12"/>
  <c r="K151" i="12"/>
  <c r="K150" i="12"/>
  <c r="K149" i="12"/>
  <c r="K148" i="12"/>
  <c r="K147" i="12"/>
  <c r="K146" i="12"/>
  <c r="K145" i="12"/>
  <c r="K144" i="12"/>
  <c r="K143" i="12"/>
  <c r="K142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P59" i="12"/>
  <c r="P60" i="12"/>
  <c r="P61" i="12"/>
  <c r="P62" i="12"/>
  <c r="P63" i="12"/>
  <c r="P64" i="12"/>
  <c r="P65" i="12"/>
  <c r="P66" i="12"/>
  <c r="P67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P4" i="12"/>
  <c r="Q4" i="12"/>
  <c r="P5" i="12"/>
  <c r="Q5" i="12"/>
  <c r="P6" i="12"/>
  <c r="Q6" i="12"/>
  <c r="P7" i="12"/>
  <c r="Q7" i="12"/>
  <c r="P8" i="12"/>
  <c r="Q8" i="12"/>
  <c r="P9" i="12"/>
  <c r="Q9" i="12"/>
  <c r="P10" i="12"/>
  <c r="Q10" i="12"/>
  <c r="P11" i="12"/>
  <c r="Q11" i="12"/>
  <c r="P12" i="12"/>
  <c r="Q12" i="12"/>
  <c r="P13" i="12"/>
  <c r="Q13" i="12"/>
  <c r="P14" i="12"/>
  <c r="Q14" i="12"/>
  <c r="P15" i="12"/>
  <c r="Q15" i="12"/>
  <c r="P16" i="12"/>
  <c r="Q16" i="12"/>
  <c r="P17" i="12"/>
  <c r="Q17" i="12"/>
  <c r="P18" i="12"/>
  <c r="Q18" i="12"/>
  <c r="P19" i="12"/>
  <c r="Q19" i="12"/>
  <c r="P20" i="12"/>
  <c r="Q20" i="12"/>
  <c r="P21" i="12"/>
  <c r="Q21" i="12"/>
  <c r="P22" i="12"/>
  <c r="Q22" i="12"/>
  <c r="P23" i="12"/>
  <c r="Q23" i="12"/>
  <c r="P24" i="12"/>
  <c r="Q24" i="12"/>
  <c r="P25" i="12"/>
  <c r="Q25" i="12"/>
  <c r="P26" i="12"/>
  <c r="Q26" i="12"/>
  <c r="P27" i="12"/>
  <c r="Q27" i="12"/>
  <c r="P28" i="12"/>
  <c r="Q28" i="12"/>
  <c r="P29" i="12"/>
  <c r="Q29" i="12"/>
  <c r="P30" i="12"/>
  <c r="Q30" i="12"/>
  <c r="P31" i="12"/>
  <c r="Q31" i="12"/>
  <c r="P32" i="12"/>
  <c r="Q32" i="12"/>
  <c r="P33" i="12"/>
  <c r="Q33" i="12"/>
  <c r="P34" i="12"/>
  <c r="Q34" i="12"/>
  <c r="P35" i="12"/>
  <c r="Q35" i="12"/>
  <c r="P36" i="12"/>
  <c r="Q36" i="12"/>
  <c r="P37" i="12"/>
  <c r="Q37" i="12"/>
  <c r="P38" i="12"/>
  <c r="Q38" i="12"/>
  <c r="P39" i="12"/>
  <c r="Q39" i="12"/>
  <c r="P40" i="12"/>
  <c r="Q40" i="12"/>
  <c r="P41" i="12"/>
  <c r="Q41" i="12"/>
  <c r="P42" i="12"/>
  <c r="Q42" i="12"/>
  <c r="P43" i="12"/>
  <c r="Q43" i="12"/>
  <c r="P44" i="12"/>
  <c r="Q44" i="12"/>
  <c r="P45" i="12"/>
  <c r="Q45" i="12"/>
  <c r="P46" i="12"/>
  <c r="Q46" i="12"/>
  <c r="P47" i="12"/>
  <c r="Q47" i="12"/>
  <c r="P48" i="12"/>
  <c r="Q48" i="12"/>
  <c r="P49" i="12"/>
  <c r="Q49" i="12"/>
  <c r="P50" i="12"/>
  <c r="Q50" i="12"/>
  <c r="P51" i="12"/>
  <c r="Q51" i="12"/>
  <c r="P52" i="12"/>
  <c r="Q52" i="12"/>
  <c r="P53" i="12"/>
  <c r="Q53" i="12"/>
  <c r="P54" i="12"/>
  <c r="Q54" i="12"/>
  <c r="P55" i="12"/>
  <c r="Q55" i="12"/>
  <c r="P56" i="12"/>
  <c r="Q56" i="12"/>
  <c r="P57" i="12"/>
  <c r="Q57" i="12"/>
  <c r="P58" i="12"/>
  <c r="Q58" i="12"/>
  <c r="Q59" i="12"/>
  <c r="Q3" i="12"/>
  <c r="P3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3" i="12"/>
  <c r="P1592" i="12"/>
  <c r="G1592" i="12"/>
  <c r="P1591" i="12"/>
  <c r="G1591" i="12"/>
  <c r="P1590" i="12"/>
  <c r="G1590" i="12"/>
  <c r="P1589" i="12"/>
  <c r="G1589" i="12"/>
  <c r="P1588" i="12"/>
  <c r="G1588" i="12"/>
  <c r="P1587" i="12"/>
  <c r="G1587" i="12"/>
  <c r="P1586" i="12"/>
  <c r="G1586" i="12"/>
  <c r="P1585" i="12"/>
  <c r="G1585" i="12"/>
  <c r="P1584" i="12"/>
  <c r="G1584" i="12"/>
  <c r="P1583" i="12"/>
  <c r="G1583" i="12"/>
  <c r="P1582" i="12"/>
  <c r="G1582" i="12"/>
  <c r="P1581" i="12"/>
  <c r="G1581" i="12"/>
  <c r="P1580" i="12"/>
  <c r="G1580" i="12"/>
  <c r="P1579" i="12"/>
  <c r="G1579" i="12"/>
  <c r="P1578" i="12"/>
  <c r="G1578" i="12"/>
  <c r="P1577" i="12"/>
  <c r="G1577" i="12"/>
  <c r="P1576" i="12"/>
  <c r="G1576" i="12"/>
  <c r="P1575" i="12"/>
  <c r="G1575" i="12"/>
  <c r="P1574" i="12"/>
  <c r="G1574" i="12"/>
  <c r="P1573" i="12"/>
  <c r="G1573" i="12"/>
  <c r="P1572" i="12"/>
  <c r="G1572" i="12"/>
  <c r="P1571" i="12"/>
  <c r="G1571" i="12"/>
  <c r="P1570" i="12"/>
  <c r="G1570" i="12"/>
  <c r="P1569" i="12"/>
  <c r="G1569" i="12"/>
  <c r="P1568" i="12"/>
  <c r="G1568" i="12"/>
  <c r="P1567" i="12"/>
  <c r="G1567" i="12"/>
  <c r="P1566" i="12"/>
  <c r="G1566" i="12"/>
  <c r="P1565" i="12"/>
  <c r="G1565" i="12"/>
  <c r="P1564" i="12"/>
  <c r="G1564" i="12"/>
  <c r="P1563" i="12"/>
  <c r="G1563" i="12"/>
  <c r="P1562" i="12"/>
  <c r="G1562" i="12"/>
  <c r="P1561" i="12"/>
  <c r="G1561" i="12"/>
  <c r="P1560" i="12"/>
  <c r="G1560" i="12"/>
  <c r="P1559" i="12"/>
  <c r="G1559" i="12"/>
  <c r="P1558" i="12"/>
  <c r="G1558" i="12"/>
  <c r="P1557" i="12"/>
  <c r="G1557" i="12"/>
  <c r="P1556" i="12"/>
  <c r="G1556" i="12"/>
  <c r="P1555" i="12"/>
  <c r="G1555" i="12"/>
  <c r="P1554" i="12"/>
  <c r="G1554" i="12"/>
  <c r="P1553" i="12"/>
  <c r="G1553" i="12"/>
  <c r="P1552" i="12"/>
  <c r="G1552" i="12"/>
  <c r="P1551" i="12"/>
  <c r="G1551" i="12"/>
  <c r="P1550" i="12"/>
  <c r="G1550" i="12"/>
  <c r="P1549" i="12"/>
  <c r="G1549" i="12"/>
  <c r="P1548" i="12"/>
  <c r="G1548" i="12"/>
  <c r="P1547" i="12"/>
  <c r="G1547" i="12"/>
  <c r="P1546" i="12"/>
  <c r="G1546" i="12"/>
  <c r="P1545" i="12"/>
  <c r="G1545" i="12"/>
  <c r="P1544" i="12"/>
  <c r="G1544" i="12"/>
  <c r="P1543" i="12"/>
  <c r="G1543" i="12"/>
  <c r="P1542" i="12"/>
  <c r="G1542" i="12"/>
  <c r="P1541" i="12"/>
  <c r="G1541" i="12"/>
  <c r="P1540" i="12"/>
  <c r="G1540" i="12"/>
  <c r="P1539" i="12"/>
  <c r="G1539" i="12"/>
  <c r="P1538" i="12"/>
  <c r="G1538" i="12"/>
  <c r="P1537" i="12"/>
  <c r="G1537" i="12"/>
  <c r="P1536" i="12"/>
  <c r="G1536" i="12"/>
  <c r="P1535" i="12"/>
  <c r="G1535" i="12"/>
  <c r="P1534" i="12"/>
  <c r="G1534" i="12"/>
  <c r="P1533" i="12"/>
  <c r="G1533" i="12"/>
  <c r="P1532" i="12"/>
  <c r="G1532" i="12"/>
  <c r="P1531" i="12"/>
  <c r="G1531" i="12"/>
  <c r="P1530" i="12"/>
  <c r="G1530" i="12"/>
  <c r="P1529" i="12"/>
  <c r="G1529" i="12"/>
  <c r="P1528" i="12"/>
  <c r="G1528" i="12"/>
  <c r="P1527" i="12"/>
  <c r="G1527" i="12"/>
  <c r="P1526" i="12"/>
  <c r="G1526" i="12"/>
  <c r="P1525" i="12"/>
  <c r="G1525" i="12"/>
  <c r="P1524" i="12"/>
  <c r="G1524" i="12"/>
  <c r="P1523" i="12"/>
  <c r="G1523" i="12"/>
  <c r="P1522" i="12"/>
  <c r="G1522" i="12"/>
  <c r="P1521" i="12"/>
  <c r="G1521" i="12"/>
  <c r="P1520" i="12"/>
  <c r="G1520" i="12"/>
  <c r="P1519" i="12"/>
  <c r="G1519" i="12"/>
  <c r="P1518" i="12"/>
  <c r="G1518" i="12"/>
  <c r="P1517" i="12"/>
  <c r="G1517" i="12"/>
  <c r="P1516" i="12"/>
  <c r="G1516" i="12"/>
  <c r="P1515" i="12"/>
  <c r="G1515" i="12"/>
  <c r="P1514" i="12"/>
  <c r="G1514" i="12"/>
  <c r="P1513" i="12"/>
  <c r="G1513" i="12"/>
  <c r="P1512" i="12"/>
  <c r="G1512" i="12"/>
  <c r="P1511" i="12"/>
  <c r="G1511" i="12"/>
  <c r="P1510" i="12"/>
  <c r="G1510" i="12"/>
  <c r="P1509" i="12"/>
  <c r="G1509" i="12"/>
  <c r="P1508" i="12"/>
  <c r="G1508" i="12"/>
  <c r="P1507" i="12"/>
  <c r="G1507" i="12"/>
  <c r="P1506" i="12"/>
  <c r="G1506" i="12"/>
  <c r="P1505" i="12"/>
  <c r="G1505" i="12"/>
  <c r="P1504" i="12"/>
  <c r="G1504" i="12"/>
  <c r="P1503" i="12"/>
  <c r="G1503" i="12"/>
  <c r="P1502" i="12"/>
  <c r="G1502" i="12"/>
  <c r="P1501" i="12"/>
  <c r="G1501" i="12"/>
  <c r="P1500" i="12"/>
  <c r="G1500" i="12"/>
  <c r="P1499" i="12"/>
  <c r="G1499" i="12"/>
  <c r="P1498" i="12"/>
  <c r="G1498" i="12"/>
  <c r="P1497" i="12"/>
  <c r="G1497" i="12"/>
  <c r="P1496" i="12"/>
  <c r="G1496" i="12"/>
  <c r="P1495" i="12"/>
  <c r="G1495" i="12"/>
  <c r="P1494" i="12"/>
  <c r="G1494" i="12"/>
  <c r="P1493" i="12"/>
  <c r="G1493" i="12"/>
  <c r="P1492" i="12"/>
  <c r="G1492" i="12"/>
  <c r="P1491" i="12"/>
  <c r="G1491" i="12"/>
  <c r="P1490" i="12"/>
  <c r="G1490" i="12"/>
  <c r="P1489" i="12"/>
  <c r="G1489" i="12"/>
  <c r="P1488" i="12"/>
  <c r="G1488" i="12"/>
  <c r="P1487" i="12"/>
  <c r="G1487" i="12"/>
  <c r="P1486" i="12"/>
  <c r="G1486" i="12"/>
  <c r="P1485" i="12"/>
  <c r="G1485" i="12"/>
  <c r="P1484" i="12"/>
  <c r="G1484" i="12"/>
  <c r="P1483" i="12"/>
  <c r="G1483" i="12"/>
  <c r="P1482" i="12"/>
  <c r="G1482" i="12"/>
  <c r="P1481" i="12"/>
  <c r="G1481" i="12"/>
  <c r="P1480" i="12"/>
  <c r="G1480" i="12"/>
  <c r="P1479" i="12"/>
  <c r="G1479" i="12"/>
  <c r="P1478" i="12"/>
  <c r="G1478" i="12"/>
  <c r="P1477" i="12"/>
  <c r="G1477" i="12"/>
  <c r="P1476" i="12"/>
  <c r="G1476" i="12"/>
  <c r="P1475" i="12"/>
  <c r="G1475" i="12"/>
  <c r="P1474" i="12"/>
  <c r="G1474" i="12"/>
  <c r="P1473" i="12"/>
  <c r="G1473" i="12"/>
  <c r="P1472" i="12"/>
  <c r="G1472" i="12"/>
  <c r="P1471" i="12"/>
  <c r="G1471" i="12"/>
  <c r="P1470" i="12"/>
  <c r="G1470" i="12"/>
  <c r="P1469" i="12"/>
  <c r="G1469" i="12"/>
  <c r="P1468" i="12"/>
  <c r="G1468" i="12"/>
  <c r="P1467" i="12"/>
  <c r="G1467" i="12"/>
  <c r="P1466" i="12"/>
  <c r="G1466" i="12"/>
  <c r="P1465" i="12"/>
  <c r="G1465" i="12"/>
  <c r="P1464" i="12"/>
  <c r="G1464" i="12"/>
  <c r="P1463" i="12"/>
  <c r="G1463" i="12"/>
  <c r="P1462" i="12"/>
  <c r="G1462" i="12"/>
  <c r="P1461" i="12"/>
  <c r="G1461" i="12"/>
  <c r="P1460" i="12"/>
  <c r="G1460" i="12"/>
  <c r="P1459" i="12"/>
  <c r="G1459" i="12"/>
  <c r="P1458" i="12"/>
  <c r="G1458" i="12"/>
  <c r="P1457" i="12"/>
  <c r="G1457" i="12"/>
  <c r="P1456" i="12"/>
  <c r="G1456" i="12"/>
  <c r="P1455" i="12"/>
  <c r="G1455" i="12"/>
  <c r="P1454" i="12"/>
  <c r="G1454" i="12"/>
  <c r="P1453" i="12"/>
  <c r="G1453" i="12"/>
  <c r="P1452" i="12"/>
  <c r="G1452" i="12"/>
  <c r="P1451" i="12"/>
  <c r="G1451" i="12"/>
  <c r="P1450" i="12"/>
  <c r="G1450" i="12"/>
  <c r="P1449" i="12"/>
  <c r="G1449" i="12"/>
  <c r="P1448" i="12"/>
  <c r="G1448" i="12"/>
  <c r="P1447" i="12"/>
  <c r="G1447" i="12"/>
  <c r="P1446" i="12"/>
  <c r="G1446" i="12"/>
  <c r="P1445" i="12"/>
  <c r="G1445" i="12"/>
  <c r="P1444" i="12"/>
  <c r="G1444" i="12"/>
  <c r="P1443" i="12"/>
  <c r="G1443" i="12"/>
  <c r="P1442" i="12"/>
  <c r="G1442" i="12"/>
  <c r="P1441" i="12"/>
  <c r="G1441" i="12"/>
  <c r="P1440" i="12"/>
  <c r="G1440" i="12"/>
  <c r="P1439" i="12"/>
  <c r="G1439" i="12"/>
  <c r="P1438" i="12"/>
  <c r="G1438" i="12"/>
  <c r="P1437" i="12"/>
  <c r="G1437" i="12"/>
  <c r="P1436" i="12"/>
  <c r="G1436" i="12"/>
  <c r="P1435" i="12"/>
  <c r="G1435" i="12"/>
  <c r="P1434" i="12"/>
  <c r="G1434" i="12"/>
  <c r="P1433" i="12"/>
  <c r="G1433" i="12"/>
  <c r="P1432" i="12"/>
  <c r="G1432" i="12"/>
  <c r="P1431" i="12"/>
  <c r="G1431" i="12"/>
  <c r="P1430" i="12"/>
  <c r="G1430" i="12"/>
  <c r="P1429" i="12"/>
  <c r="G1429" i="12"/>
  <c r="P1428" i="12"/>
  <c r="G1428" i="12"/>
  <c r="P1427" i="12"/>
  <c r="G1427" i="12"/>
  <c r="P1426" i="12"/>
  <c r="G1426" i="12"/>
  <c r="P1425" i="12"/>
  <c r="G1425" i="12"/>
  <c r="P1424" i="12"/>
  <c r="G1424" i="12"/>
  <c r="P1423" i="12"/>
  <c r="G1423" i="12"/>
  <c r="P1422" i="12"/>
  <c r="G1422" i="12"/>
  <c r="P1421" i="12"/>
  <c r="G1421" i="12"/>
  <c r="P1420" i="12"/>
  <c r="G1420" i="12"/>
  <c r="P1419" i="12"/>
  <c r="G1419" i="12"/>
  <c r="P1418" i="12"/>
  <c r="G1418" i="12"/>
  <c r="P1417" i="12"/>
  <c r="G1417" i="12"/>
  <c r="P1416" i="12"/>
  <c r="G1416" i="12"/>
  <c r="P1415" i="12"/>
  <c r="G1415" i="12"/>
  <c r="P1414" i="12"/>
  <c r="G1414" i="12"/>
  <c r="P1413" i="12"/>
  <c r="G1413" i="12"/>
  <c r="P1412" i="12"/>
  <c r="G1412" i="12"/>
  <c r="P1411" i="12"/>
  <c r="G1411" i="12"/>
  <c r="P1410" i="12"/>
  <c r="G1410" i="12"/>
  <c r="P1409" i="12"/>
  <c r="G1409" i="12"/>
  <c r="P1408" i="12"/>
  <c r="G1408" i="12"/>
  <c r="P1407" i="12"/>
  <c r="G1407" i="12"/>
  <c r="P1406" i="12"/>
  <c r="G1406" i="12"/>
  <c r="P1405" i="12"/>
  <c r="G1405" i="12"/>
  <c r="P1404" i="12"/>
  <c r="G1404" i="12"/>
  <c r="P1403" i="12"/>
  <c r="G1403" i="12"/>
  <c r="P1402" i="12"/>
  <c r="G1402" i="12"/>
  <c r="P1401" i="12"/>
  <c r="G1401" i="12"/>
  <c r="P1400" i="12"/>
  <c r="G1400" i="12"/>
  <c r="P1399" i="12"/>
  <c r="G1399" i="12"/>
  <c r="P1398" i="12"/>
  <c r="G1398" i="12"/>
  <c r="P1397" i="12"/>
  <c r="G1397" i="12"/>
  <c r="P1396" i="12"/>
  <c r="G1396" i="12"/>
  <c r="P1395" i="12"/>
  <c r="G1395" i="12"/>
  <c r="P1394" i="12"/>
  <c r="G1394" i="12"/>
  <c r="P1393" i="12"/>
  <c r="G1393" i="12"/>
  <c r="P1392" i="12"/>
  <c r="G1392" i="12"/>
  <c r="P1391" i="12"/>
  <c r="G1391" i="12"/>
  <c r="P1390" i="12"/>
  <c r="G1390" i="12"/>
  <c r="P1389" i="12"/>
  <c r="G1389" i="12"/>
  <c r="P1388" i="12"/>
  <c r="G1388" i="12"/>
  <c r="P1387" i="12"/>
  <c r="G1387" i="12"/>
  <c r="P1386" i="12"/>
  <c r="G1386" i="12"/>
  <c r="P1385" i="12"/>
  <c r="G1385" i="12"/>
  <c r="P1384" i="12"/>
  <c r="G1384" i="12"/>
  <c r="P1383" i="12"/>
  <c r="G1383" i="12"/>
  <c r="P1382" i="12"/>
  <c r="G1382" i="12"/>
  <c r="P1381" i="12"/>
  <c r="G1381" i="12"/>
  <c r="P1380" i="12"/>
  <c r="G1380" i="12"/>
  <c r="P1379" i="12"/>
  <c r="G1379" i="12"/>
  <c r="P1378" i="12"/>
  <c r="G1378" i="12"/>
  <c r="P1377" i="12"/>
  <c r="G1377" i="12"/>
  <c r="P1376" i="12"/>
  <c r="G1376" i="12"/>
  <c r="P1375" i="12"/>
  <c r="G1375" i="12"/>
  <c r="P1374" i="12"/>
  <c r="G1374" i="12"/>
  <c r="P1373" i="12"/>
  <c r="G1373" i="12"/>
  <c r="P1372" i="12"/>
  <c r="G1372" i="12"/>
  <c r="P1371" i="12"/>
  <c r="G1371" i="12"/>
  <c r="P1370" i="12"/>
  <c r="G1370" i="12"/>
  <c r="P1369" i="12"/>
  <c r="G1369" i="12"/>
  <c r="P1368" i="12"/>
  <c r="G1368" i="12"/>
  <c r="P1367" i="12"/>
  <c r="G1367" i="12"/>
  <c r="P1366" i="12"/>
  <c r="G1366" i="12"/>
  <c r="P1365" i="12"/>
  <c r="G1365" i="12"/>
  <c r="P1364" i="12"/>
  <c r="G1364" i="12"/>
  <c r="P1363" i="12"/>
  <c r="G1363" i="12"/>
  <c r="P1362" i="12"/>
  <c r="G1362" i="12"/>
  <c r="P1361" i="12"/>
  <c r="G1361" i="12"/>
  <c r="P1360" i="12"/>
  <c r="G1360" i="12"/>
  <c r="P1359" i="12"/>
  <c r="G1359" i="12"/>
  <c r="P1358" i="12"/>
  <c r="G1358" i="12"/>
  <c r="P1357" i="12"/>
  <c r="G1357" i="12"/>
  <c r="P1356" i="12"/>
  <c r="G1356" i="12"/>
  <c r="P1355" i="12"/>
  <c r="G1355" i="12"/>
  <c r="P1354" i="12"/>
  <c r="G1354" i="12"/>
  <c r="P1353" i="12"/>
  <c r="G1353" i="12"/>
  <c r="P1352" i="12"/>
  <c r="G1352" i="12"/>
  <c r="P1351" i="12"/>
  <c r="G1351" i="12"/>
  <c r="P1350" i="12"/>
  <c r="G1350" i="12"/>
  <c r="P1349" i="12"/>
  <c r="G1349" i="12"/>
  <c r="P1348" i="12"/>
  <c r="G1348" i="12"/>
  <c r="P1347" i="12"/>
  <c r="G1347" i="12"/>
  <c r="P1346" i="12"/>
  <c r="G1346" i="12"/>
  <c r="P1345" i="12"/>
  <c r="G1345" i="12"/>
  <c r="P1344" i="12"/>
  <c r="G1344" i="12"/>
  <c r="P1343" i="12"/>
  <c r="G1343" i="12"/>
  <c r="P1342" i="12"/>
  <c r="G1342" i="12"/>
  <c r="P1341" i="12"/>
  <c r="G1341" i="12"/>
  <c r="P1340" i="12"/>
  <c r="G1340" i="12"/>
  <c r="P1339" i="12"/>
  <c r="G1339" i="12"/>
  <c r="P1338" i="12"/>
  <c r="G1338" i="12"/>
  <c r="P1337" i="12"/>
  <c r="G1337" i="12"/>
  <c r="P1336" i="12"/>
  <c r="G1336" i="12"/>
  <c r="P1335" i="12"/>
  <c r="G1335" i="12"/>
  <c r="P1334" i="12"/>
  <c r="G1334" i="12"/>
  <c r="P1333" i="12"/>
  <c r="G1333" i="12"/>
  <c r="P1332" i="12"/>
  <c r="G1332" i="12"/>
  <c r="P1331" i="12"/>
  <c r="G1331" i="12"/>
  <c r="P1330" i="12"/>
  <c r="G1330" i="12"/>
  <c r="P1329" i="12"/>
  <c r="G1329" i="12"/>
  <c r="P1328" i="12"/>
  <c r="G1328" i="12"/>
  <c r="P1327" i="12"/>
  <c r="G1327" i="12"/>
  <c r="P1326" i="12"/>
  <c r="G1326" i="12"/>
  <c r="P1325" i="12"/>
  <c r="G1325" i="12"/>
  <c r="P1324" i="12"/>
  <c r="G1324" i="12"/>
  <c r="P1323" i="12"/>
  <c r="G1323" i="12"/>
  <c r="P1322" i="12"/>
  <c r="G1322" i="12"/>
  <c r="P1321" i="12"/>
  <c r="G1321" i="12"/>
  <c r="P1320" i="12"/>
  <c r="G1320" i="12"/>
  <c r="P1319" i="12"/>
  <c r="G1319" i="12"/>
  <c r="P1318" i="12"/>
  <c r="G1318" i="12"/>
  <c r="P1317" i="12"/>
  <c r="G1317" i="12"/>
  <c r="P1316" i="12"/>
  <c r="G1316" i="12"/>
  <c r="P1315" i="12"/>
  <c r="G1315" i="12"/>
  <c r="P1314" i="12"/>
  <c r="G1314" i="12"/>
  <c r="P1313" i="12"/>
  <c r="G1313" i="12"/>
  <c r="P1312" i="12"/>
  <c r="G1312" i="12"/>
  <c r="P1311" i="12"/>
  <c r="G1311" i="12"/>
  <c r="P1310" i="12"/>
  <c r="G1310" i="12"/>
  <c r="P1309" i="12"/>
  <c r="G1309" i="12"/>
  <c r="P1308" i="12"/>
  <c r="G1308" i="12"/>
  <c r="P1307" i="12"/>
  <c r="G1307" i="12"/>
  <c r="P1306" i="12"/>
  <c r="G1306" i="12"/>
  <c r="P1305" i="12"/>
  <c r="G1305" i="12"/>
  <c r="P1304" i="12"/>
  <c r="G1304" i="12"/>
  <c r="P1303" i="12"/>
  <c r="G1303" i="12"/>
  <c r="P1302" i="12"/>
  <c r="G1302" i="12"/>
  <c r="P1301" i="12"/>
  <c r="G1301" i="12"/>
  <c r="P1300" i="12"/>
  <c r="G1300" i="12"/>
  <c r="P1299" i="12"/>
  <c r="G1299" i="12"/>
  <c r="P1298" i="12"/>
  <c r="G1298" i="12"/>
  <c r="P1297" i="12"/>
  <c r="G1297" i="12"/>
  <c r="P1296" i="12"/>
  <c r="G1296" i="12"/>
  <c r="P1295" i="12"/>
  <c r="G1295" i="12"/>
  <c r="P1294" i="12"/>
  <c r="G1294" i="12"/>
  <c r="P1293" i="12"/>
  <c r="G1293" i="12"/>
  <c r="P1292" i="12"/>
  <c r="G1292" i="12"/>
  <c r="P1291" i="12"/>
  <c r="G1291" i="12"/>
  <c r="P1290" i="12"/>
  <c r="G1290" i="12"/>
  <c r="P1289" i="12"/>
  <c r="G1289" i="12"/>
  <c r="P1288" i="12"/>
  <c r="G1288" i="12"/>
  <c r="P1287" i="12"/>
  <c r="G1287" i="12"/>
  <c r="P1286" i="12"/>
  <c r="G1286" i="12"/>
  <c r="P1285" i="12"/>
  <c r="G1285" i="12"/>
  <c r="P1284" i="12"/>
  <c r="G1284" i="12"/>
  <c r="P1283" i="12"/>
  <c r="G1283" i="12"/>
  <c r="P1282" i="12"/>
  <c r="G1282" i="12"/>
  <c r="P1281" i="12"/>
  <c r="G1281" i="12"/>
  <c r="P1280" i="12"/>
  <c r="G1280" i="12"/>
  <c r="P1279" i="12"/>
  <c r="G1279" i="12"/>
  <c r="P1278" i="12"/>
  <c r="G1278" i="12"/>
  <c r="P1277" i="12"/>
  <c r="G1277" i="12"/>
  <c r="P1276" i="12"/>
  <c r="G1276" i="12"/>
  <c r="P1275" i="12"/>
  <c r="G1275" i="12"/>
  <c r="P1274" i="12"/>
  <c r="G1274" i="12"/>
  <c r="P1273" i="12"/>
  <c r="G1273" i="12"/>
  <c r="P1272" i="12"/>
  <c r="G1272" i="12"/>
  <c r="P1271" i="12"/>
  <c r="G1271" i="12"/>
  <c r="P1270" i="12"/>
  <c r="G1270" i="12"/>
  <c r="P1269" i="12"/>
  <c r="G1269" i="12"/>
  <c r="P1268" i="12"/>
  <c r="G1268" i="12"/>
  <c r="P1267" i="12"/>
  <c r="G1267" i="12"/>
  <c r="P1266" i="12"/>
  <c r="G1266" i="12"/>
  <c r="P1265" i="12"/>
  <c r="G1265" i="12"/>
  <c r="P1264" i="12"/>
  <c r="G1264" i="12"/>
  <c r="P1263" i="12"/>
  <c r="G1263" i="12"/>
  <c r="P1262" i="12"/>
  <c r="G1262" i="12"/>
  <c r="P1261" i="12"/>
  <c r="G1261" i="12"/>
  <c r="P1260" i="12"/>
  <c r="G1260" i="12"/>
  <c r="P1259" i="12"/>
  <c r="G1259" i="12"/>
  <c r="P1258" i="12"/>
  <c r="G1258" i="12"/>
  <c r="P1257" i="12"/>
  <c r="G1257" i="12"/>
  <c r="P1256" i="12"/>
  <c r="G1256" i="12"/>
  <c r="P1255" i="12"/>
  <c r="G1255" i="12"/>
  <c r="P1254" i="12"/>
  <c r="G1254" i="12"/>
  <c r="P1253" i="12"/>
  <c r="G1253" i="12"/>
  <c r="P1252" i="12"/>
  <c r="G1252" i="12"/>
  <c r="P1251" i="12"/>
  <c r="G1251" i="12"/>
  <c r="P1250" i="12"/>
  <c r="G1250" i="12"/>
  <c r="P1249" i="12"/>
  <c r="G1249" i="12"/>
  <c r="P1248" i="12"/>
  <c r="G1248" i="12"/>
  <c r="P1247" i="12"/>
  <c r="G1247" i="12"/>
  <c r="P1246" i="12"/>
  <c r="G1246" i="12"/>
  <c r="P1245" i="12"/>
  <c r="G1245" i="12"/>
  <c r="P1244" i="12"/>
  <c r="G1244" i="12"/>
  <c r="P1243" i="12"/>
  <c r="G1243" i="12"/>
  <c r="P1242" i="12"/>
  <c r="G1242" i="12"/>
  <c r="P1241" i="12"/>
  <c r="G1241" i="12"/>
  <c r="P1240" i="12"/>
  <c r="G1240" i="12"/>
  <c r="P1239" i="12"/>
  <c r="G1239" i="12"/>
  <c r="P1238" i="12"/>
  <c r="G1238" i="12"/>
  <c r="P1237" i="12"/>
  <c r="G1237" i="12"/>
  <c r="P1236" i="12"/>
  <c r="G1236" i="12"/>
  <c r="P1235" i="12"/>
  <c r="G1235" i="12"/>
  <c r="P1234" i="12"/>
  <c r="G1234" i="12"/>
  <c r="P1233" i="12"/>
  <c r="G1233" i="12"/>
  <c r="P1232" i="12"/>
  <c r="G1232" i="12"/>
  <c r="P1231" i="12"/>
  <c r="G1231" i="12"/>
  <c r="P1230" i="12"/>
  <c r="G1230" i="12"/>
  <c r="P1229" i="12"/>
  <c r="G1229" i="12"/>
  <c r="P1228" i="12"/>
  <c r="G1228" i="12"/>
  <c r="P1227" i="12"/>
  <c r="G1227" i="12"/>
  <c r="P1226" i="12"/>
  <c r="G1226" i="12"/>
  <c r="P1225" i="12"/>
  <c r="G1225" i="12"/>
  <c r="P1224" i="12"/>
  <c r="G1224" i="12"/>
  <c r="P1223" i="12"/>
  <c r="G1223" i="12"/>
  <c r="P1222" i="12"/>
  <c r="G1222" i="12"/>
  <c r="P1221" i="12"/>
  <c r="G1221" i="12"/>
  <c r="P1220" i="12"/>
  <c r="G1220" i="12"/>
  <c r="P1219" i="12"/>
  <c r="G1219" i="12"/>
  <c r="P1218" i="12"/>
  <c r="G1218" i="12"/>
  <c r="P1217" i="12"/>
  <c r="G1217" i="12"/>
  <c r="P1216" i="12"/>
  <c r="G1216" i="12"/>
  <c r="P1215" i="12"/>
  <c r="G1215" i="12"/>
  <c r="P1214" i="12"/>
  <c r="G1214" i="12"/>
  <c r="P1213" i="12"/>
  <c r="G1213" i="12"/>
  <c r="P1212" i="12"/>
  <c r="G1212" i="12"/>
  <c r="P1211" i="12"/>
  <c r="G1211" i="12"/>
  <c r="P1210" i="12"/>
  <c r="G1210" i="12"/>
  <c r="P1209" i="12"/>
  <c r="G1209" i="12"/>
  <c r="P1208" i="12"/>
  <c r="G1208" i="12"/>
  <c r="P1207" i="12"/>
  <c r="G1207" i="12"/>
  <c r="P1206" i="12"/>
  <c r="G1206" i="12"/>
  <c r="P1205" i="12"/>
  <c r="G1205" i="12"/>
  <c r="P1204" i="12"/>
  <c r="G1204" i="12"/>
  <c r="P1203" i="12"/>
  <c r="G1203" i="12"/>
  <c r="P1202" i="12"/>
  <c r="G1202" i="12"/>
  <c r="P1201" i="12"/>
  <c r="G1201" i="12"/>
  <c r="P1200" i="12"/>
  <c r="G1200" i="12"/>
  <c r="P1199" i="12"/>
  <c r="G1199" i="12"/>
  <c r="P1198" i="12"/>
  <c r="G1198" i="12"/>
  <c r="P1197" i="12"/>
  <c r="G1197" i="12"/>
  <c r="P1196" i="12"/>
  <c r="G1196" i="12"/>
  <c r="P1195" i="12"/>
  <c r="G1195" i="12"/>
  <c r="P1194" i="12"/>
  <c r="G1194" i="12"/>
  <c r="P1193" i="12"/>
  <c r="G1193" i="12"/>
  <c r="P1192" i="12"/>
  <c r="G1192" i="12"/>
  <c r="P1191" i="12"/>
  <c r="G1191" i="12"/>
  <c r="P1190" i="12"/>
  <c r="G1190" i="12"/>
  <c r="P1189" i="12"/>
  <c r="G1189" i="12"/>
  <c r="P1188" i="12"/>
  <c r="G1188" i="12"/>
  <c r="P1187" i="12"/>
  <c r="G1187" i="12"/>
  <c r="P1186" i="12"/>
  <c r="G1186" i="12"/>
  <c r="P1185" i="12"/>
  <c r="G1185" i="12"/>
  <c r="P1184" i="12"/>
  <c r="G1184" i="12"/>
  <c r="P1183" i="12"/>
  <c r="G1183" i="12"/>
  <c r="P1182" i="12"/>
  <c r="G1182" i="12"/>
  <c r="P1181" i="12"/>
  <c r="G1181" i="12"/>
  <c r="P1180" i="12"/>
  <c r="G1180" i="12"/>
  <c r="P1179" i="12"/>
  <c r="G1179" i="12"/>
  <c r="P1178" i="12"/>
  <c r="G1178" i="12"/>
  <c r="P1177" i="12"/>
  <c r="G1177" i="12"/>
  <c r="P1176" i="12"/>
  <c r="G1176" i="12"/>
  <c r="P1175" i="12"/>
  <c r="G1175" i="12"/>
  <c r="P1174" i="12"/>
  <c r="G1174" i="12"/>
  <c r="P1173" i="12"/>
  <c r="G1173" i="12"/>
  <c r="P1172" i="12"/>
  <c r="G1172" i="12"/>
  <c r="P1171" i="12"/>
  <c r="G1171" i="12"/>
  <c r="P1170" i="12"/>
  <c r="G1170" i="12"/>
  <c r="P1169" i="12"/>
  <c r="G1169" i="12"/>
  <c r="P1168" i="12"/>
  <c r="G1168" i="12"/>
  <c r="P1167" i="12"/>
  <c r="G1167" i="12"/>
  <c r="P1166" i="12"/>
  <c r="G1166" i="12"/>
  <c r="P1165" i="12"/>
  <c r="G1165" i="12"/>
  <c r="P1164" i="12"/>
  <c r="G1164" i="12"/>
  <c r="P1163" i="12"/>
  <c r="G1163" i="12"/>
  <c r="P1162" i="12"/>
  <c r="G1162" i="12"/>
  <c r="P1161" i="12"/>
  <c r="G1161" i="12"/>
  <c r="P1160" i="12"/>
  <c r="G1160" i="12"/>
  <c r="P1159" i="12"/>
  <c r="G1159" i="12"/>
  <c r="P1158" i="12"/>
  <c r="G1158" i="12"/>
  <c r="P1157" i="12"/>
  <c r="G1157" i="12"/>
  <c r="P1156" i="12"/>
  <c r="G1156" i="12"/>
  <c r="P1155" i="12"/>
  <c r="G1155" i="12"/>
  <c r="P1154" i="12"/>
  <c r="G1154" i="12"/>
  <c r="P1153" i="12"/>
  <c r="G1153" i="12"/>
  <c r="P1152" i="12"/>
  <c r="G1152" i="12"/>
  <c r="P1151" i="12"/>
  <c r="G1151" i="12"/>
  <c r="P1150" i="12"/>
  <c r="G1150" i="12"/>
  <c r="P1149" i="12"/>
  <c r="G1149" i="12"/>
  <c r="P1148" i="12"/>
  <c r="G1148" i="12"/>
  <c r="P1147" i="12"/>
  <c r="G1147" i="12"/>
  <c r="P1146" i="12"/>
  <c r="G1146" i="12"/>
  <c r="P1145" i="12"/>
  <c r="G1145" i="12"/>
  <c r="P1144" i="12"/>
  <c r="G1144" i="12"/>
  <c r="P1143" i="12"/>
  <c r="G1143" i="12"/>
  <c r="P1142" i="12"/>
  <c r="G1142" i="12"/>
  <c r="P1141" i="12"/>
  <c r="G1141" i="12"/>
  <c r="P1140" i="12"/>
  <c r="G1140" i="12"/>
  <c r="P1139" i="12"/>
  <c r="G1139" i="12"/>
  <c r="P1138" i="12"/>
  <c r="G1138" i="12"/>
  <c r="P1137" i="12"/>
  <c r="G1137" i="12"/>
  <c r="P1136" i="12"/>
  <c r="G1136" i="12"/>
  <c r="P1135" i="12"/>
  <c r="G1135" i="12"/>
  <c r="P1134" i="12"/>
  <c r="G1134" i="12"/>
  <c r="P1133" i="12"/>
  <c r="G1133" i="12"/>
  <c r="P1132" i="12"/>
  <c r="G1132" i="12"/>
  <c r="P1131" i="12"/>
  <c r="G1131" i="12"/>
  <c r="P1130" i="12"/>
  <c r="G1130" i="12"/>
  <c r="P1129" i="12"/>
  <c r="G1129" i="12"/>
  <c r="P1128" i="12"/>
  <c r="G1128" i="12"/>
  <c r="P1127" i="12"/>
  <c r="G1127" i="12"/>
  <c r="P1126" i="12"/>
  <c r="G1126" i="12"/>
  <c r="P1125" i="12"/>
  <c r="G1125" i="12"/>
  <c r="P1124" i="12"/>
  <c r="G1124" i="12"/>
  <c r="P1123" i="12"/>
  <c r="G1123" i="12"/>
  <c r="P1122" i="12"/>
  <c r="G1122" i="12"/>
  <c r="P1121" i="12"/>
  <c r="G1121" i="12"/>
  <c r="P1120" i="12"/>
  <c r="G1120" i="12"/>
  <c r="P1119" i="12"/>
  <c r="G1119" i="12"/>
  <c r="P1118" i="12"/>
  <c r="G1118" i="12"/>
  <c r="P1117" i="12"/>
  <c r="G1117" i="12"/>
  <c r="P1116" i="12"/>
  <c r="G1116" i="12"/>
  <c r="P1115" i="12"/>
  <c r="G1115" i="12"/>
  <c r="P1114" i="12"/>
  <c r="G1114" i="12"/>
  <c r="P1113" i="12"/>
  <c r="G1113" i="12"/>
  <c r="P1112" i="12"/>
  <c r="G1112" i="12"/>
  <c r="P1111" i="12"/>
  <c r="G1111" i="12"/>
  <c r="P1110" i="12"/>
  <c r="G1110" i="12"/>
  <c r="P1109" i="12"/>
  <c r="G1109" i="12"/>
  <c r="P1108" i="12"/>
  <c r="G1108" i="12"/>
  <c r="P1107" i="12"/>
  <c r="G1107" i="12"/>
  <c r="P1106" i="12"/>
  <c r="G1106" i="12"/>
  <c r="P1105" i="12"/>
  <c r="G1105" i="12"/>
  <c r="P1104" i="12"/>
  <c r="G1104" i="12"/>
  <c r="P1103" i="12"/>
  <c r="G1103" i="12"/>
  <c r="P1102" i="12"/>
  <c r="G1102" i="12"/>
  <c r="P1101" i="12"/>
  <c r="G1101" i="12"/>
  <c r="P1100" i="12"/>
  <c r="G1100" i="12"/>
  <c r="P1099" i="12"/>
  <c r="G1099" i="12"/>
  <c r="P1098" i="12"/>
  <c r="G1098" i="12"/>
  <c r="P1097" i="12"/>
  <c r="G1097" i="12"/>
  <c r="P1096" i="12"/>
  <c r="G1096" i="12"/>
  <c r="P1095" i="12"/>
  <c r="G1095" i="12"/>
  <c r="P1094" i="12"/>
  <c r="G1094" i="12"/>
  <c r="P1093" i="12"/>
  <c r="G1093" i="12"/>
  <c r="P1092" i="12"/>
  <c r="G1092" i="12"/>
  <c r="P1091" i="12"/>
  <c r="G1091" i="12"/>
  <c r="P1090" i="12"/>
  <c r="G1090" i="12"/>
  <c r="P1089" i="12"/>
  <c r="G1089" i="12"/>
  <c r="P1088" i="12"/>
  <c r="G1088" i="12"/>
  <c r="P1087" i="12"/>
  <c r="G1087" i="12"/>
  <c r="P1086" i="12"/>
  <c r="G1086" i="12"/>
  <c r="P1085" i="12"/>
  <c r="G1085" i="12"/>
  <c r="P1084" i="12"/>
  <c r="G1084" i="12"/>
  <c r="P1083" i="12"/>
  <c r="G1083" i="12"/>
  <c r="P1082" i="12"/>
  <c r="G1082" i="12"/>
  <c r="P1081" i="12"/>
  <c r="G1081" i="12"/>
  <c r="P1080" i="12"/>
  <c r="G1080" i="12"/>
  <c r="P1079" i="12"/>
  <c r="G1079" i="12"/>
  <c r="P1078" i="12"/>
  <c r="G1078" i="12"/>
  <c r="P1077" i="12"/>
  <c r="G1077" i="12"/>
  <c r="P1076" i="12"/>
  <c r="G1076" i="12"/>
  <c r="P1075" i="12"/>
  <c r="G1075" i="12"/>
  <c r="P1074" i="12"/>
  <c r="G1074" i="12"/>
  <c r="P1073" i="12"/>
  <c r="G1073" i="12"/>
  <c r="P1072" i="12"/>
  <c r="G1072" i="12"/>
  <c r="P1071" i="12"/>
  <c r="G1071" i="12"/>
  <c r="P1070" i="12"/>
  <c r="G1070" i="12"/>
  <c r="P1069" i="12"/>
  <c r="G1069" i="12"/>
  <c r="P1068" i="12"/>
  <c r="G1068" i="12"/>
  <c r="P1067" i="12"/>
  <c r="G1067" i="12"/>
  <c r="P1066" i="12"/>
  <c r="G1066" i="12"/>
  <c r="P1065" i="12"/>
  <c r="G1065" i="12"/>
  <c r="P1064" i="12"/>
  <c r="G1064" i="12"/>
  <c r="P1063" i="12"/>
  <c r="G1063" i="12"/>
  <c r="P1062" i="12"/>
  <c r="G1062" i="12"/>
  <c r="P1061" i="12"/>
  <c r="G1061" i="12"/>
  <c r="P1060" i="12"/>
  <c r="G1060" i="12"/>
  <c r="P1059" i="12"/>
  <c r="G1059" i="12"/>
  <c r="P1058" i="12"/>
  <c r="G1058" i="12"/>
  <c r="P1057" i="12"/>
  <c r="G1057" i="12"/>
  <c r="P1056" i="12"/>
  <c r="G1056" i="12"/>
  <c r="P1055" i="12"/>
  <c r="G1055" i="12"/>
  <c r="P1054" i="12"/>
  <c r="G1054" i="12"/>
  <c r="P1053" i="12"/>
  <c r="G1053" i="12"/>
  <c r="P1052" i="12"/>
  <c r="G1052" i="12"/>
  <c r="P1051" i="12"/>
  <c r="G1051" i="12"/>
  <c r="G1050" i="12"/>
  <c r="G1049" i="12"/>
  <c r="G1048" i="12"/>
  <c r="G1047" i="12"/>
  <c r="G1046" i="12"/>
  <c r="G1045" i="12"/>
  <c r="G1044" i="12"/>
  <c r="G1043" i="12"/>
  <c r="G1042" i="12"/>
  <c r="G1041" i="12"/>
  <c r="G1040" i="12"/>
  <c r="G1039" i="12"/>
  <c r="G1038" i="12"/>
  <c r="G1037" i="12"/>
  <c r="G1036" i="12"/>
  <c r="G1035" i="12"/>
  <c r="G1034" i="12"/>
  <c r="G1033" i="12"/>
  <c r="G1032" i="12"/>
  <c r="G1031" i="12"/>
  <c r="G1030" i="12"/>
  <c r="G1029" i="12"/>
  <c r="G1028" i="12"/>
  <c r="G1027" i="12"/>
  <c r="G1026" i="12"/>
  <c r="G1025" i="12"/>
  <c r="G1024" i="12"/>
  <c r="G1023" i="12"/>
  <c r="G1022" i="12"/>
  <c r="G1021" i="12"/>
  <c r="G1020" i="12"/>
  <c r="G1019" i="12"/>
  <c r="G1018" i="12"/>
  <c r="G1017" i="12"/>
  <c r="G1016" i="12"/>
  <c r="G1015" i="12"/>
  <c r="G1014" i="12"/>
  <c r="G1013" i="12"/>
  <c r="G1012" i="12"/>
  <c r="G1011" i="12"/>
  <c r="G1010" i="12"/>
  <c r="G1009" i="12"/>
  <c r="G1008" i="12"/>
  <c r="G1007" i="12"/>
  <c r="G1006" i="12"/>
  <c r="G1005" i="12"/>
  <c r="G1004" i="12"/>
  <c r="G1003" i="12"/>
  <c r="G1002" i="12"/>
  <c r="G1001" i="12"/>
  <c r="G1000" i="12"/>
  <c r="G999" i="12"/>
  <c r="G998" i="12"/>
  <c r="G997" i="12"/>
  <c r="G996" i="12"/>
  <c r="G995" i="12"/>
  <c r="G994" i="12"/>
  <c r="G993" i="12"/>
  <c r="G992" i="12"/>
  <c r="G991" i="12"/>
  <c r="G990" i="12"/>
  <c r="G989" i="12"/>
  <c r="G988" i="12"/>
  <c r="G987" i="12"/>
  <c r="G986" i="12"/>
  <c r="G985" i="12"/>
  <c r="G984" i="12"/>
  <c r="G983" i="12"/>
  <c r="G982" i="12"/>
  <c r="G981" i="12"/>
  <c r="G980" i="12"/>
  <c r="G979" i="12"/>
  <c r="G978" i="12"/>
  <c r="G977" i="12"/>
  <c r="P976" i="12"/>
  <c r="G976" i="12"/>
  <c r="Q975" i="12"/>
  <c r="P975" i="12"/>
  <c r="G975" i="12"/>
  <c r="Q974" i="12"/>
  <c r="P974" i="12"/>
  <c r="G974" i="12"/>
  <c r="Q973" i="12"/>
  <c r="P973" i="12"/>
  <c r="G973" i="12"/>
  <c r="Q972" i="12"/>
  <c r="P972" i="12"/>
  <c r="G972" i="12"/>
  <c r="Q971" i="12"/>
  <c r="P971" i="12"/>
  <c r="G971" i="12"/>
  <c r="Q970" i="12"/>
  <c r="P970" i="12"/>
  <c r="G970" i="12"/>
  <c r="Q969" i="12"/>
  <c r="P969" i="12"/>
  <c r="G969" i="12"/>
  <c r="Q968" i="12"/>
  <c r="P968" i="12"/>
  <c r="G968" i="12"/>
  <c r="Q967" i="12"/>
  <c r="P967" i="12"/>
  <c r="G967" i="12"/>
  <c r="Q966" i="12"/>
  <c r="P966" i="12"/>
  <c r="G966" i="12"/>
  <c r="Q965" i="12"/>
  <c r="P965" i="12"/>
  <c r="G965" i="12"/>
  <c r="P964" i="12"/>
  <c r="G964" i="12"/>
  <c r="P963" i="12"/>
  <c r="G963" i="12"/>
  <c r="P962" i="12"/>
  <c r="G962" i="12"/>
  <c r="P961" i="12"/>
  <c r="G961" i="12"/>
  <c r="P960" i="12"/>
  <c r="G960" i="12"/>
  <c r="P959" i="12"/>
  <c r="G959" i="12"/>
  <c r="P958" i="12"/>
  <c r="G958" i="12"/>
  <c r="P957" i="12"/>
  <c r="G957" i="12"/>
  <c r="P956" i="12"/>
  <c r="G956" i="12"/>
  <c r="P955" i="12"/>
  <c r="G955" i="12"/>
  <c r="P954" i="12"/>
  <c r="G954" i="12"/>
  <c r="P953" i="12"/>
  <c r="G953" i="12"/>
  <c r="P952" i="12"/>
  <c r="G952" i="12"/>
  <c r="P951" i="12"/>
  <c r="G951" i="12"/>
  <c r="P950" i="12"/>
  <c r="G950" i="12"/>
  <c r="P949" i="12"/>
  <c r="G949" i="12"/>
  <c r="P948" i="12"/>
  <c r="G948" i="12"/>
  <c r="P947" i="12"/>
  <c r="G947" i="12"/>
  <c r="P946" i="12"/>
  <c r="G946" i="12"/>
  <c r="P945" i="12"/>
  <c r="G945" i="12"/>
  <c r="P944" i="12"/>
  <c r="G944" i="12"/>
  <c r="P943" i="12"/>
  <c r="G943" i="12"/>
  <c r="P942" i="12"/>
  <c r="G942" i="12"/>
  <c r="P941" i="12"/>
  <c r="G941" i="12"/>
  <c r="P940" i="12"/>
  <c r="G940" i="12"/>
  <c r="P939" i="12"/>
  <c r="G939" i="12"/>
  <c r="P938" i="12"/>
  <c r="G938" i="12"/>
  <c r="P937" i="12"/>
  <c r="G937" i="12"/>
  <c r="P936" i="12"/>
  <c r="G936" i="12"/>
  <c r="P935" i="12"/>
  <c r="G935" i="12"/>
  <c r="P934" i="12"/>
  <c r="G934" i="12"/>
  <c r="P933" i="12"/>
  <c r="G933" i="12"/>
  <c r="P932" i="12"/>
  <c r="G932" i="12"/>
  <c r="P931" i="12"/>
  <c r="G931" i="12"/>
  <c r="P930" i="12"/>
  <c r="G930" i="12"/>
  <c r="P929" i="12"/>
  <c r="G929" i="12"/>
  <c r="P928" i="12"/>
  <c r="G928" i="12"/>
  <c r="P927" i="12"/>
  <c r="G927" i="12"/>
  <c r="P926" i="12"/>
  <c r="G926" i="12"/>
  <c r="P925" i="12"/>
  <c r="G925" i="12"/>
  <c r="P924" i="12"/>
  <c r="G924" i="12"/>
  <c r="P923" i="12"/>
  <c r="G923" i="12"/>
  <c r="P922" i="12"/>
  <c r="G922" i="12"/>
  <c r="P921" i="12"/>
  <c r="G921" i="12"/>
  <c r="P920" i="12"/>
  <c r="G920" i="12"/>
  <c r="P919" i="12"/>
  <c r="G919" i="12"/>
  <c r="P918" i="12"/>
  <c r="G918" i="12"/>
  <c r="P917" i="12"/>
  <c r="G917" i="12"/>
  <c r="P916" i="12"/>
  <c r="G916" i="12"/>
  <c r="Q915" i="12"/>
  <c r="P915" i="12"/>
  <c r="G915" i="12"/>
  <c r="Q914" i="12"/>
  <c r="P914" i="12"/>
  <c r="G914" i="12"/>
  <c r="Q913" i="12"/>
  <c r="P913" i="12"/>
  <c r="G913" i="12"/>
  <c r="Q912" i="12"/>
  <c r="P912" i="12"/>
  <c r="G912" i="12"/>
  <c r="Q911" i="12"/>
  <c r="P911" i="12"/>
  <c r="G911" i="12"/>
  <c r="Q910" i="12"/>
  <c r="P910" i="12"/>
  <c r="G910" i="12"/>
  <c r="Q909" i="12"/>
  <c r="P909" i="12"/>
  <c r="G909" i="12"/>
  <c r="Q908" i="12"/>
  <c r="P908" i="12"/>
  <c r="G908" i="12"/>
  <c r="Q907" i="12"/>
  <c r="P907" i="12"/>
  <c r="G907" i="12"/>
  <c r="Q906" i="12"/>
  <c r="P906" i="12"/>
  <c r="G906" i="12"/>
  <c r="Q905" i="12"/>
  <c r="P905" i="12"/>
  <c r="G905" i="12"/>
  <c r="Q904" i="12"/>
  <c r="P904" i="12"/>
  <c r="G904" i="12"/>
  <c r="Q903" i="12"/>
  <c r="P903" i="12"/>
  <c r="G903" i="12"/>
  <c r="Q902" i="12"/>
  <c r="P902" i="12"/>
  <c r="G902" i="12"/>
  <c r="P901" i="12"/>
  <c r="G901" i="12"/>
  <c r="P900" i="12"/>
  <c r="G900" i="12"/>
  <c r="P899" i="12"/>
  <c r="G899" i="12"/>
  <c r="P898" i="12"/>
  <c r="G898" i="12"/>
  <c r="P897" i="12"/>
  <c r="G897" i="12"/>
  <c r="P896" i="12"/>
  <c r="G896" i="12"/>
  <c r="P895" i="12"/>
  <c r="G895" i="12"/>
  <c r="P894" i="12"/>
  <c r="G894" i="12"/>
  <c r="P893" i="12"/>
  <c r="G893" i="12"/>
  <c r="P892" i="12"/>
  <c r="G892" i="12"/>
  <c r="P891" i="12"/>
  <c r="G891" i="12"/>
  <c r="P890" i="12"/>
  <c r="G890" i="12"/>
  <c r="P889" i="12"/>
  <c r="G889" i="12"/>
  <c r="P888" i="12"/>
  <c r="G888" i="12"/>
  <c r="P887" i="12"/>
  <c r="G887" i="12"/>
  <c r="P886" i="12"/>
  <c r="G886" i="12"/>
  <c r="P885" i="12"/>
  <c r="G885" i="12"/>
  <c r="G884" i="12"/>
  <c r="G883" i="12"/>
  <c r="G882" i="12"/>
  <c r="G881" i="12"/>
  <c r="G880" i="12"/>
  <c r="G879" i="12"/>
  <c r="G878" i="12"/>
  <c r="G877" i="12"/>
  <c r="G876" i="12"/>
  <c r="G875" i="12"/>
  <c r="G874" i="12"/>
  <c r="G873" i="12"/>
  <c r="G872" i="12"/>
  <c r="G871" i="12"/>
  <c r="G870" i="12"/>
  <c r="G869" i="12"/>
  <c r="G868" i="12"/>
  <c r="G867" i="12"/>
  <c r="G866" i="12"/>
  <c r="G865" i="12"/>
  <c r="G864" i="12"/>
  <c r="G863" i="12"/>
  <c r="G862" i="12"/>
  <c r="G861" i="12"/>
  <c r="G860" i="12"/>
  <c r="G859" i="12"/>
  <c r="G858" i="12"/>
  <c r="G857" i="12"/>
  <c r="G856" i="12"/>
  <c r="G855" i="12"/>
  <c r="G854" i="12"/>
  <c r="G853" i="12"/>
  <c r="G852" i="12"/>
  <c r="G851" i="12"/>
  <c r="G850" i="12"/>
  <c r="G849" i="12"/>
  <c r="G848" i="12"/>
  <c r="G847" i="12"/>
  <c r="G846" i="12"/>
  <c r="G845" i="12"/>
  <c r="G844" i="12"/>
  <c r="G843" i="12"/>
  <c r="G842" i="12"/>
  <c r="G841" i="12"/>
  <c r="G840" i="12"/>
  <c r="G839" i="12"/>
  <c r="G838" i="12"/>
  <c r="G837" i="12"/>
  <c r="G836" i="12"/>
  <c r="G835" i="12"/>
  <c r="G834" i="12"/>
  <c r="G833" i="12"/>
  <c r="G832" i="12"/>
  <c r="G831" i="12"/>
  <c r="G830" i="12"/>
  <c r="G829" i="12"/>
  <c r="G828" i="12"/>
  <c r="G827" i="12"/>
  <c r="G826" i="12"/>
  <c r="G825" i="12"/>
  <c r="G824" i="12"/>
  <c r="G823" i="12"/>
  <c r="G822" i="12"/>
  <c r="G821" i="12"/>
  <c r="G820" i="12"/>
  <c r="G819" i="12"/>
  <c r="P818" i="12"/>
  <c r="G818" i="12"/>
  <c r="P817" i="12"/>
  <c r="P816" i="12"/>
  <c r="P815" i="12"/>
  <c r="P814" i="12"/>
  <c r="P813" i="12"/>
  <c r="P812" i="12"/>
  <c r="P811" i="12"/>
  <c r="P810" i="12"/>
  <c r="P809" i="12"/>
  <c r="P808" i="12"/>
  <c r="P807" i="12"/>
  <c r="P806" i="12"/>
  <c r="G800" i="12"/>
  <c r="G799" i="12"/>
  <c r="G798" i="12"/>
  <c r="G797" i="12"/>
  <c r="G796" i="12"/>
  <c r="G795" i="12"/>
  <c r="G794" i="12"/>
  <c r="G793" i="12"/>
  <c r="G792" i="12"/>
  <c r="G791" i="12"/>
  <c r="G790" i="12"/>
  <c r="G789" i="12"/>
  <c r="G788" i="12"/>
  <c r="G787" i="12"/>
  <c r="G786" i="12"/>
  <c r="G785" i="12"/>
  <c r="G784" i="12"/>
  <c r="G783" i="12"/>
  <c r="G782" i="12"/>
  <c r="G781" i="12"/>
  <c r="G780" i="12"/>
  <c r="G779" i="12"/>
  <c r="G778" i="12"/>
  <c r="Q777" i="12"/>
  <c r="G777" i="12"/>
  <c r="G776" i="12"/>
  <c r="Q775" i="12"/>
  <c r="G775" i="12"/>
  <c r="Q774" i="12"/>
  <c r="G774" i="12"/>
  <c r="Q773" i="12"/>
  <c r="G773" i="12"/>
  <c r="Q772" i="12"/>
  <c r="G772" i="12"/>
  <c r="Q771" i="12"/>
  <c r="G771" i="12"/>
  <c r="Q770" i="12"/>
  <c r="G770" i="12"/>
  <c r="Q769" i="12"/>
  <c r="G769" i="12"/>
  <c r="Q768" i="12"/>
  <c r="G768" i="12"/>
  <c r="G767" i="12"/>
  <c r="G766" i="12"/>
  <c r="G765" i="12"/>
  <c r="G764" i="12"/>
  <c r="G763" i="12"/>
  <c r="G762" i="12"/>
  <c r="G761" i="12"/>
  <c r="G760" i="12"/>
  <c r="G759" i="12"/>
  <c r="G758" i="12"/>
  <c r="G757" i="12"/>
  <c r="G756" i="12"/>
  <c r="G755" i="12"/>
  <c r="G754" i="12"/>
  <c r="G753" i="12"/>
  <c r="G752" i="12"/>
  <c r="G751" i="12"/>
  <c r="G750" i="12"/>
  <c r="Q749" i="12"/>
  <c r="P749" i="12"/>
  <c r="G749" i="12"/>
  <c r="Q748" i="12"/>
  <c r="P748" i="12"/>
  <c r="G748" i="12"/>
  <c r="Q747" i="12"/>
  <c r="P747" i="12"/>
  <c r="G747" i="12"/>
  <c r="Q746" i="12"/>
  <c r="P746" i="12"/>
  <c r="G746" i="12"/>
  <c r="Q745" i="12"/>
  <c r="P745" i="12"/>
  <c r="G745" i="12"/>
  <c r="Q744" i="12"/>
  <c r="P744" i="12"/>
  <c r="G744" i="12"/>
  <c r="Q743" i="12"/>
  <c r="P743" i="12"/>
  <c r="G743" i="12"/>
  <c r="Q742" i="12"/>
  <c r="P742" i="12"/>
  <c r="G742" i="12"/>
  <c r="Q741" i="12"/>
  <c r="P741" i="12"/>
  <c r="G741" i="12"/>
  <c r="Q740" i="12"/>
  <c r="P740" i="12"/>
  <c r="G740" i="12"/>
  <c r="Q739" i="12"/>
  <c r="P739" i="12"/>
  <c r="G739" i="12"/>
  <c r="Q738" i="12"/>
  <c r="P738" i="12"/>
  <c r="G738" i="12"/>
  <c r="Q737" i="12"/>
  <c r="P737" i="12"/>
  <c r="G737" i="12"/>
  <c r="Q736" i="12"/>
  <c r="P736" i="12"/>
  <c r="G736" i="12"/>
  <c r="Q735" i="12"/>
  <c r="P735" i="12"/>
  <c r="G735" i="12"/>
  <c r="Q734" i="12"/>
  <c r="P734" i="12"/>
  <c r="G734" i="12"/>
  <c r="Q733" i="12"/>
  <c r="P733" i="12"/>
  <c r="G733" i="12"/>
  <c r="Q732" i="12"/>
  <c r="P732" i="12"/>
  <c r="G732" i="12"/>
  <c r="Q731" i="12"/>
  <c r="P731" i="12"/>
  <c r="G731" i="12"/>
  <c r="Q730" i="12"/>
  <c r="P730" i="12"/>
  <c r="G730" i="12"/>
  <c r="Q729" i="12"/>
  <c r="P729" i="12"/>
  <c r="G729" i="12"/>
  <c r="Q728" i="12"/>
  <c r="P728" i="12"/>
  <c r="G728" i="12"/>
  <c r="Q727" i="12"/>
  <c r="P727" i="12"/>
  <c r="G727" i="12"/>
  <c r="Q726" i="12"/>
  <c r="P726" i="12"/>
  <c r="G726" i="12"/>
  <c r="Q725" i="12"/>
  <c r="P725" i="12"/>
  <c r="G725" i="12"/>
  <c r="Q724" i="12"/>
  <c r="P724" i="12"/>
  <c r="G724" i="12"/>
  <c r="Q723" i="12"/>
  <c r="P723" i="12"/>
  <c r="G723" i="12"/>
  <c r="Q722" i="12"/>
  <c r="P722" i="12"/>
  <c r="G722" i="12"/>
  <c r="Q721" i="12"/>
  <c r="P721" i="12"/>
  <c r="G721" i="12"/>
  <c r="Q720" i="12"/>
  <c r="P720" i="12"/>
  <c r="G720" i="12"/>
  <c r="Q719" i="12"/>
  <c r="P719" i="12"/>
  <c r="G719" i="12"/>
  <c r="Q718" i="12"/>
  <c r="P718" i="12"/>
  <c r="G718" i="12"/>
  <c r="Q717" i="12"/>
  <c r="P717" i="12"/>
  <c r="G717" i="12"/>
  <c r="Q716" i="12"/>
  <c r="P716" i="12"/>
  <c r="G716" i="12"/>
  <c r="Q715" i="12"/>
  <c r="P715" i="12"/>
  <c r="G715" i="12"/>
  <c r="Q714" i="12"/>
  <c r="P714" i="12"/>
  <c r="G714" i="12"/>
  <c r="Q713" i="12"/>
  <c r="P713" i="12"/>
  <c r="G713" i="12"/>
  <c r="Q712" i="12"/>
  <c r="P712" i="12"/>
  <c r="G712" i="12"/>
  <c r="Q711" i="12"/>
  <c r="P711" i="12"/>
  <c r="G711" i="12"/>
  <c r="Q710" i="12"/>
  <c r="P710" i="12"/>
  <c r="G710" i="12"/>
  <c r="Q709" i="12"/>
  <c r="P709" i="12"/>
  <c r="G709" i="12"/>
  <c r="Q708" i="12"/>
  <c r="P708" i="12"/>
  <c r="G708" i="12"/>
  <c r="Q707" i="12"/>
  <c r="P707" i="12"/>
  <c r="G707" i="12"/>
  <c r="Q706" i="12"/>
  <c r="P706" i="12"/>
  <c r="G706" i="12"/>
  <c r="Q705" i="12"/>
  <c r="P705" i="12"/>
  <c r="G705" i="12"/>
  <c r="Q704" i="12"/>
  <c r="P704" i="12"/>
  <c r="G704" i="12"/>
  <c r="Q703" i="12"/>
  <c r="P703" i="12"/>
  <c r="G703" i="12"/>
  <c r="Q702" i="12"/>
  <c r="P702" i="12"/>
  <c r="G702" i="12"/>
  <c r="Q701" i="12"/>
  <c r="P701" i="12"/>
  <c r="G701" i="12"/>
  <c r="Q700" i="12"/>
  <c r="P700" i="12"/>
  <c r="G700" i="12"/>
  <c r="Q699" i="12"/>
  <c r="P699" i="12"/>
  <c r="G699" i="12"/>
  <c r="Q698" i="12"/>
  <c r="P698" i="12"/>
  <c r="G698" i="12"/>
  <c r="Q697" i="12"/>
  <c r="P697" i="12"/>
  <c r="G697" i="12"/>
  <c r="Q696" i="12"/>
  <c r="P696" i="12"/>
  <c r="G696" i="12"/>
  <c r="Q695" i="12"/>
  <c r="P695" i="12"/>
  <c r="G695" i="12"/>
  <c r="Q694" i="12"/>
  <c r="P694" i="12"/>
  <c r="G694" i="12"/>
  <c r="Q693" i="12"/>
  <c r="P693" i="12"/>
  <c r="G693" i="12"/>
  <c r="Q692" i="12"/>
  <c r="P692" i="12"/>
  <c r="G692" i="12"/>
  <c r="Q691" i="12"/>
  <c r="P691" i="12"/>
  <c r="G691" i="12"/>
  <c r="Q690" i="12"/>
  <c r="P690" i="12"/>
  <c r="G690" i="12"/>
  <c r="Q689" i="12"/>
  <c r="P689" i="12"/>
  <c r="G689" i="12"/>
  <c r="Q688" i="12"/>
  <c r="P688" i="12"/>
  <c r="G688" i="12"/>
  <c r="Q687" i="12"/>
  <c r="P687" i="12"/>
  <c r="G687" i="12"/>
  <c r="Q686" i="12"/>
  <c r="P686" i="12"/>
  <c r="G686" i="12"/>
  <c r="Q685" i="12"/>
  <c r="P685" i="12"/>
  <c r="G685" i="12"/>
  <c r="Q684" i="12"/>
  <c r="P684" i="12"/>
  <c r="G684" i="12"/>
  <c r="Q683" i="12"/>
  <c r="P683" i="12"/>
  <c r="G683" i="12"/>
  <c r="Q682" i="12"/>
  <c r="P682" i="12"/>
  <c r="G682" i="12"/>
  <c r="Q681" i="12"/>
  <c r="P681" i="12"/>
  <c r="G681" i="12"/>
  <c r="Q680" i="12"/>
  <c r="P680" i="12"/>
  <c r="G680" i="12"/>
  <c r="Q679" i="12"/>
  <c r="P679" i="12"/>
  <c r="G679" i="12"/>
  <c r="Q678" i="12"/>
  <c r="P678" i="12"/>
  <c r="G678" i="12"/>
  <c r="Q677" i="12"/>
  <c r="P677" i="12"/>
  <c r="G677" i="12"/>
  <c r="Q676" i="12"/>
  <c r="P676" i="12"/>
  <c r="G676" i="12"/>
  <c r="Q675" i="12"/>
  <c r="P675" i="12"/>
  <c r="G675" i="12"/>
  <c r="Q674" i="12"/>
  <c r="P674" i="12"/>
  <c r="G674" i="12"/>
  <c r="Q673" i="12"/>
  <c r="P673" i="12"/>
  <c r="G673" i="12"/>
  <c r="Q672" i="12"/>
  <c r="P672" i="12"/>
  <c r="G672" i="12"/>
  <c r="Q671" i="12"/>
  <c r="P671" i="12"/>
  <c r="G671" i="12"/>
  <c r="Q670" i="12"/>
  <c r="P670" i="12"/>
  <c r="G670" i="12"/>
  <c r="Q669" i="12"/>
  <c r="P669" i="12"/>
  <c r="G669" i="12"/>
  <c r="Q668" i="12"/>
  <c r="P668" i="12"/>
  <c r="G668" i="12"/>
  <c r="Q667" i="12"/>
  <c r="P667" i="12"/>
  <c r="G667" i="12"/>
  <c r="Q666" i="12"/>
  <c r="P666" i="12"/>
  <c r="G666" i="12"/>
  <c r="Q665" i="12"/>
  <c r="P665" i="12"/>
  <c r="G665" i="12"/>
  <c r="Q664" i="12"/>
  <c r="P664" i="12"/>
  <c r="G664" i="12"/>
  <c r="Q663" i="12"/>
  <c r="P663" i="12"/>
  <c r="G663" i="12"/>
  <c r="Q662" i="12"/>
  <c r="P662" i="12"/>
  <c r="G662" i="12"/>
  <c r="Q661" i="12"/>
  <c r="P661" i="12"/>
  <c r="G661" i="12"/>
  <c r="Q660" i="12"/>
  <c r="P660" i="12"/>
  <c r="G660" i="12"/>
  <c r="Q659" i="12"/>
  <c r="P659" i="12"/>
  <c r="G659" i="12"/>
  <c r="G658" i="12"/>
  <c r="G657" i="12"/>
  <c r="G656" i="12"/>
  <c r="G655" i="12"/>
  <c r="Q654" i="12"/>
  <c r="P654" i="12"/>
  <c r="G654" i="12"/>
  <c r="Q653" i="12"/>
  <c r="P653" i="12"/>
  <c r="G653" i="12"/>
  <c r="Q652" i="12"/>
  <c r="P652" i="12"/>
  <c r="G652" i="12"/>
  <c r="Q651" i="12"/>
  <c r="P651" i="12"/>
  <c r="G651" i="12"/>
  <c r="Q650" i="12"/>
  <c r="P650" i="12"/>
  <c r="G650" i="12"/>
  <c r="Q649" i="12"/>
  <c r="P649" i="12"/>
  <c r="G649" i="12"/>
  <c r="Q648" i="12"/>
  <c r="P648" i="12"/>
  <c r="G648" i="12"/>
  <c r="Q647" i="12"/>
  <c r="P647" i="12"/>
  <c r="G647" i="12"/>
  <c r="Q646" i="12"/>
  <c r="P646" i="12"/>
  <c r="G646" i="12"/>
  <c r="Q645" i="12"/>
  <c r="P645" i="12"/>
  <c r="G645" i="12"/>
  <c r="Q644" i="12"/>
  <c r="P644" i="12"/>
  <c r="G644" i="12"/>
  <c r="Q643" i="12"/>
  <c r="P643" i="12"/>
  <c r="G643" i="12"/>
  <c r="Q642" i="12"/>
  <c r="P642" i="12"/>
  <c r="G642" i="12"/>
  <c r="Q641" i="12"/>
  <c r="P641" i="12"/>
  <c r="G641" i="12"/>
  <c r="Q640" i="12"/>
  <c r="P640" i="12"/>
  <c r="G640" i="12"/>
  <c r="Q639" i="12"/>
  <c r="P639" i="12"/>
  <c r="G639" i="12"/>
  <c r="Q638" i="12"/>
  <c r="P638" i="12"/>
  <c r="G638" i="12"/>
  <c r="Q637" i="12"/>
  <c r="P637" i="12"/>
  <c r="G637" i="12"/>
  <c r="Q636" i="12"/>
  <c r="P636" i="12"/>
  <c r="G636" i="12"/>
  <c r="Q635" i="12"/>
  <c r="P635" i="12"/>
  <c r="G635" i="12"/>
  <c r="Q634" i="12"/>
  <c r="P634" i="12"/>
  <c r="G634" i="12"/>
  <c r="Q633" i="12"/>
  <c r="P633" i="12"/>
  <c r="G633" i="12"/>
  <c r="Q632" i="12"/>
  <c r="P632" i="12"/>
  <c r="G632" i="12"/>
  <c r="Q631" i="12"/>
  <c r="P631" i="12"/>
  <c r="G631" i="12"/>
  <c r="Q630" i="12"/>
  <c r="P630" i="12"/>
  <c r="G630" i="12"/>
  <c r="Q629" i="12"/>
  <c r="P629" i="12"/>
  <c r="G629" i="12"/>
  <c r="Q628" i="12"/>
  <c r="P628" i="12"/>
  <c r="G628" i="12"/>
  <c r="Q627" i="12"/>
  <c r="P627" i="12"/>
  <c r="G627" i="12"/>
  <c r="Q626" i="12"/>
  <c r="P626" i="12"/>
  <c r="G626" i="12"/>
  <c r="Q625" i="12"/>
  <c r="P625" i="12"/>
  <c r="G625" i="12"/>
  <c r="Q624" i="12"/>
  <c r="P624" i="12"/>
  <c r="G624" i="12"/>
  <c r="Q623" i="12"/>
  <c r="P623" i="12"/>
  <c r="G623" i="12"/>
  <c r="Q622" i="12"/>
  <c r="P622" i="12"/>
  <c r="G622" i="12"/>
  <c r="Q621" i="12"/>
  <c r="P621" i="12"/>
  <c r="G621" i="12"/>
  <c r="Q620" i="12"/>
  <c r="P620" i="12"/>
  <c r="G620" i="12"/>
  <c r="Q619" i="12"/>
  <c r="P619" i="12"/>
  <c r="G619" i="12"/>
  <c r="Q618" i="12"/>
  <c r="P618" i="12"/>
  <c r="G618" i="12"/>
  <c r="Q617" i="12"/>
  <c r="P617" i="12"/>
  <c r="G617" i="12"/>
  <c r="Q616" i="12"/>
  <c r="P616" i="12"/>
  <c r="G616" i="12"/>
  <c r="Q615" i="12"/>
  <c r="P615" i="12"/>
  <c r="G615" i="12"/>
  <c r="Q614" i="12"/>
  <c r="P614" i="12"/>
  <c r="G614" i="12"/>
  <c r="Q613" i="12"/>
  <c r="P613" i="12"/>
  <c r="G613" i="12"/>
  <c r="Q612" i="12"/>
  <c r="P612" i="12"/>
  <c r="G612" i="12"/>
  <c r="Q611" i="12"/>
  <c r="P611" i="12"/>
  <c r="G611" i="12"/>
  <c r="Q610" i="12"/>
  <c r="P610" i="12"/>
  <c r="G610" i="12"/>
  <c r="Q609" i="12"/>
  <c r="P609" i="12"/>
  <c r="G609" i="12"/>
  <c r="Q608" i="12"/>
  <c r="P608" i="12"/>
  <c r="G608" i="12"/>
  <c r="Q607" i="12"/>
  <c r="P607" i="12"/>
  <c r="G607" i="12"/>
  <c r="Q606" i="12"/>
  <c r="P606" i="12"/>
  <c r="G606" i="12"/>
  <c r="Q605" i="12"/>
  <c r="P605" i="12"/>
  <c r="G605" i="12"/>
  <c r="Q604" i="12"/>
  <c r="P604" i="12"/>
  <c r="G604" i="12"/>
  <c r="Q603" i="12"/>
  <c r="P603" i="12"/>
  <c r="G603" i="12"/>
  <c r="Q602" i="12"/>
  <c r="P602" i="12"/>
  <c r="G602" i="12"/>
  <c r="Q601" i="12"/>
  <c r="P601" i="12"/>
  <c r="G601" i="12"/>
  <c r="Q600" i="12"/>
  <c r="P600" i="12"/>
  <c r="G600" i="12"/>
  <c r="Q599" i="12"/>
  <c r="P599" i="12"/>
  <c r="G599" i="12"/>
  <c r="Q598" i="12"/>
  <c r="P598" i="12"/>
  <c r="G598" i="12"/>
  <c r="Q597" i="12"/>
  <c r="P597" i="12"/>
  <c r="G597" i="12"/>
  <c r="Q596" i="12"/>
  <c r="P596" i="12"/>
  <c r="G596" i="12"/>
  <c r="Q595" i="12"/>
  <c r="P595" i="12"/>
  <c r="G595" i="12"/>
  <c r="Q594" i="12"/>
  <c r="P594" i="12"/>
  <c r="G594" i="12"/>
  <c r="Q593" i="12"/>
  <c r="P593" i="12"/>
  <c r="G593" i="12"/>
  <c r="Q592" i="12"/>
  <c r="P592" i="12"/>
  <c r="G592" i="12"/>
  <c r="Q591" i="12"/>
  <c r="P591" i="12"/>
  <c r="G591" i="12"/>
  <c r="Q590" i="12"/>
  <c r="P590" i="12"/>
  <c r="G590" i="12"/>
  <c r="Q589" i="12"/>
  <c r="P589" i="12"/>
  <c r="G589" i="12"/>
  <c r="Q588" i="12"/>
  <c r="P588" i="12"/>
  <c r="G588" i="12"/>
  <c r="Q587" i="12"/>
  <c r="P587" i="12"/>
  <c r="G587" i="12"/>
  <c r="Q586" i="12"/>
  <c r="P586" i="12"/>
  <c r="G586" i="12"/>
  <c r="Q585" i="12"/>
  <c r="P585" i="12"/>
  <c r="G585" i="12"/>
  <c r="Q584" i="12"/>
  <c r="P584" i="12"/>
  <c r="G584" i="12"/>
  <c r="Q583" i="12"/>
  <c r="P583" i="12"/>
  <c r="G583" i="12"/>
  <c r="Q582" i="12"/>
  <c r="P582" i="12"/>
  <c r="G582" i="12"/>
  <c r="Q581" i="12"/>
  <c r="P581" i="12"/>
  <c r="G581" i="12"/>
  <c r="Q580" i="12"/>
  <c r="P580" i="12"/>
  <c r="G580" i="12"/>
  <c r="Q579" i="12"/>
  <c r="P579" i="12"/>
  <c r="G579" i="12"/>
  <c r="Q578" i="12"/>
  <c r="P578" i="12"/>
  <c r="G578" i="12"/>
  <c r="Q577" i="12"/>
  <c r="P577" i="12"/>
  <c r="G577" i="12"/>
  <c r="Q576" i="12"/>
  <c r="P576" i="12"/>
  <c r="G576" i="12"/>
  <c r="Q575" i="12"/>
  <c r="P575" i="12"/>
  <c r="G575" i="12"/>
  <c r="Q574" i="12"/>
  <c r="P574" i="12"/>
  <c r="G574" i="12"/>
  <c r="Q573" i="12"/>
  <c r="P573" i="12"/>
  <c r="G573" i="12"/>
  <c r="Q572" i="12"/>
  <c r="P572" i="12"/>
  <c r="G572" i="12"/>
  <c r="Q571" i="12"/>
  <c r="P571" i="12"/>
  <c r="G571" i="12"/>
  <c r="Q570" i="12"/>
  <c r="P570" i="12"/>
  <c r="G570" i="12"/>
  <c r="Q569" i="12"/>
  <c r="P569" i="12"/>
  <c r="G569" i="12"/>
  <c r="Q568" i="12"/>
  <c r="P568" i="12"/>
  <c r="G568" i="12"/>
  <c r="Q567" i="12"/>
  <c r="P567" i="12"/>
  <c r="G567" i="12"/>
  <c r="Q566" i="12"/>
  <c r="P566" i="12"/>
  <c r="G566" i="12"/>
  <c r="Q565" i="12"/>
  <c r="P565" i="12"/>
  <c r="G565" i="12"/>
  <c r="Q564" i="12"/>
  <c r="P564" i="12"/>
  <c r="G564" i="12"/>
  <c r="Q563" i="12"/>
  <c r="P563" i="12"/>
  <c r="G563" i="12"/>
  <c r="Q562" i="12"/>
  <c r="P562" i="12"/>
  <c r="G562" i="12"/>
  <c r="Q561" i="12"/>
  <c r="P561" i="12"/>
  <c r="G561" i="12"/>
  <c r="Q560" i="12"/>
  <c r="P560" i="12"/>
  <c r="G560" i="12"/>
  <c r="Q559" i="12"/>
  <c r="P559" i="12"/>
  <c r="G559" i="12"/>
  <c r="Q558" i="12"/>
  <c r="P558" i="12"/>
  <c r="G558" i="12"/>
  <c r="Q557" i="12"/>
  <c r="P557" i="12"/>
  <c r="G557" i="12"/>
  <c r="Q556" i="12"/>
  <c r="P556" i="12"/>
  <c r="G556" i="12"/>
  <c r="Q555" i="12"/>
  <c r="P555" i="12"/>
  <c r="G555" i="12"/>
  <c r="Q554" i="12"/>
  <c r="P554" i="12"/>
  <c r="G554" i="12"/>
  <c r="Q553" i="12"/>
  <c r="P553" i="12"/>
  <c r="G553" i="12"/>
  <c r="Q552" i="12"/>
  <c r="P552" i="12"/>
  <c r="G552" i="12"/>
  <c r="Q551" i="12"/>
  <c r="P551" i="12"/>
  <c r="G551" i="12"/>
  <c r="Q550" i="12"/>
  <c r="P550" i="12"/>
  <c r="G550" i="12"/>
  <c r="Q549" i="12"/>
  <c r="P549" i="12"/>
  <c r="G549" i="12"/>
  <c r="Q548" i="12"/>
  <c r="P548" i="12"/>
  <c r="G548" i="12"/>
  <c r="Q547" i="12"/>
  <c r="P547" i="12"/>
  <c r="G547" i="12"/>
  <c r="Q546" i="12"/>
  <c r="P546" i="12"/>
  <c r="G546" i="12"/>
  <c r="Q545" i="12"/>
  <c r="P545" i="12"/>
  <c r="G545" i="12"/>
  <c r="Q544" i="12"/>
  <c r="P544" i="12"/>
  <c r="G544" i="12"/>
  <c r="Q543" i="12"/>
  <c r="P543" i="12"/>
  <c r="G543" i="12"/>
  <c r="Q542" i="12"/>
  <c r="P542" i="12"/>
  <c r="G542" i="12"/>
  <c r="Q541" i="12"/>
  <c r="P541" i="12"/>
  <c r="G541" i="12"/>
  <c r="Q540" i="12"/>
  <c r="P540" i="12"/>
  <c r="G540" i="12"/>
  <c r="Q539" i="12"/>
  <c r="P539" i="12"/>
  <c r="G539" i="12"/>
  <c r="Q538" i="12"/>
  <c r="P538" i="12"/>
  <c r="G538" i="12"/>
  <c r="Q537" i="12"/>
  <c r="P537" i="12"/>
  <c r="G537" i="12"/>
  <c r="Q536" i="12"/>
  <c r="P536" i="12"/>
  <c r="G536" i="12"/>
  <c r="Q535" i="12"/>
  <c r="P535" i="12"/>
  <c r="G535" i="12"/>
  <c r="Q534" i="12"/>
  <c r="P534" i="12"/>
  <c r="G534" i="12"/>
  <c r="Q533" i="12"/>
  <c r="P533" i="12"/>
  <c r="G533" i="12"/>
  <c r="Q532" i="12"/>
  <c r="P532" i="12"/>
  <c r="G532" i="12"/>
  <c r="Q531" i="12"/>
  <c r="P531" i="12"/>
  <c r="G531" i="12"/>
  <c r="Q530" i="12"/>
  <c r="P530" i="12"/>
  <c r="G530" i="12"/>
  <c r="Q529" i="12"/>
  <c r="P529" i="12"/>
  <c r="G529" i="12"/>
  <c r="Q528" i="12"/>
  <c r="P528" i="12"/>
  <c r="G528" i="12"/>
  <c r="Q527" i="12"/>
  <c r="P527" i="12"/>
  <c r="G527" i="12"/>
  <c r="Q526" i="12"/>
  <c r="P526" i="12"/>
  <c r="G526" i="12"/>
  <c r="Q525" i="12"/>
  <c r="P525" i="12"/>
  <c r="G525" i="12"/>
  <c r="Q524" i="12"/>
  <c r="P524" i="12"/>
  <c r="G524" i="12"/>
  <c r="Q523" i="12"/>
  <c r="P523" i="12"/>
  <c r="G523" i="12"/>
  <c r="Q522" i="12"/>
  <c r="P522" i="12"/>
  <c r="G522" i="12"/>
  <c r="Q521" i="12"/>
  <c r="P521" i="12"/>
  <c r="G521" i="12"/>
  <c r="Q520" i="12"/>
  <c r="P520" i="12"/>
  <c r="G520" i="12"/>
  <c r="Q519" i="12"/>
  <c r="P519" i="12"/>
  <c r="G519" i="12"/>
  <c r="Q518" i="12"/>
  <c r="P518" i="12"/>
  <c r="G518" i="12"/>
  <c r="Q517" i="12"/>
  <c r="P517" i="12"/>
  <c r="G517" i="12"/>
  <c r="Q516" i="12"/>
  <c r="P516" i="12"/>
  <c r="G516" i="12"/>
  <c r="Q515" i="12"/>
  <c r="P515" i="12"/>
  <c r="G515" i="12"/>
  <c r="Q514" i="12"/>
  <c r="P514" i="12"/>
  <c r="G514" i="12"/>
  <c r="Q513" i="12"/>
  <c r="P513" i="12"/>
  <c r="G513" i="12"/>
  <c r="Q512" i="12"/>
  <c r="P512" i="12"/>
  <c r="G512" i="12"/>
  <c r="Q511" i="12"/>
  <c r="P511" i="12"/>
  <c r="G511" i="12"/>
  <c r="Q510" i="12"/>
  <c r="P510" i="12"/>
  <c r="G510" i="12"/>
  <c r="Q509" i="12"/>
  <c r="P509" i="12"/>
  <c r="G509" i="12"/>
  <c r="Q508" i="12"/>
  <c r="P508" i="12"/>
  <c r="G508" i="12"/>
  <c r="Q507" i="12"/>
  <c r="P507" i="12"/>
  <c r="G507" i="12"/>
  <c r="Q506" i="12"/>
  <c r="P506" i="12"/>
  <c r="G506" i="12"/>
  <c r="Q505" i="12"/>
  <c r="P505" i="12"/>
  <c r="G505" i="12"/>
  <c r="Q504" i="12"/>
  <c r="P504" i="12"/>
  <c r="G504" i="12"/>
  <c r="Q503" i="12"/>
  <c r="P503" i="12"/>
  <c r="G503" i="12"/>
  <c r="Q502" i="12"/>
  <c r="P502" i="12"/>
  <c r="G502" i="12"/>
  <c r="Q501" i="12"/>
  <c r="P501" i="12"/>
  <c r="G501" i="12"/>
  <c r="Q500" i="12"/>
  <c r="P500" i="12"/>
  <c r="G500" i="12"/>
  <c r="Q499" i="12"/>
  <c r="P499" i="12"/>
  <c r="G499" i="12"/>
  <c r="Q498" i="12"/>
  <c r="P498" i="12"/>
  <c r="G498" i="12"/>
  <c r="Q497" i="12"/>
  <c r="P497" i="12"/>
  <c r="G497" i="12"/>
  <c r="Q496" i="12"/>
  <c r="P496" i="12"/>
  <c r="G496" i="12"/>
  <c r="Q495" i="12"/>
  <c r="P495" i="12"/>
  <c r="G495" i="12"/>
  <c r="Q493" i="12"/>
  <c r="P493" i="12"/>
  <c r="G493" i="12"/>
  <c r="Q492" i="12"/>
  <c r="P492" i="12"/>
  <c r="G492" i="12"/>
  <c r="Q491" i="12"/>
  <c r="P491" i="12"/>
  <c r="G491" i="12"/>
  <c r="Q490" i="12"/>
  <c r="P490" i="12"/>
  <c r="G490" i="12"/>
  <c r="Q489" i="12"/>
  <c r="P489" i="12"/>
  <c r="G489" i="12"/>
  <c r="Q488" i="12"/>
  <c r="P488" i="12"/>
  <c r="G488" i="12"/>
  <c r="Q487" i="12"/>
  <c r="P487" i="12"/>
  <c r="G487" i="12"/>
  <c r="Q486" i="12"/>
  <c r="P486" i="12"/>
  <c r="G486" i="12"/>
  <c r="Q485" i="12"/>
  <c r="P485" i="12"/>
  <c r="G485" i="12"/>
  <c r="Q484" i="12"/>
  <c r="P484" i="12"/>
  <c r="G484" i="12"/>
  <c r="Q483" i="12"/>
  <c r="P483" i="12"/>
  <c r="G483" i="12"/>
  <c r="Q482" i="12"/>
  <c r="P482" i="12"/>
  <c r="G482" i="12"/>
  <c r="Q481" i="12"/>
  <c r="P481" i="12"/>
  <c r="G481" i="12"/>
  <c r="Q480" i="12"/>
  <c r="P480" i="12"/>
  <c r="G480" i="12"/>
  <c r="Q479" i="12"/>
  <c r="P479" i="12"/>
  <c r="G479" i="12"/>
  <c r="Q478" i="12"/>
  <c r="P478" i="12"/>
  <c r="G478" i="12"/>
  <c r="Q477" i="12"/>
  <c r="P477" i="12"/>
  <c r="G477" i="12"/>
  <c r="Q476" i="12"/>
  <c r="G476" i="12"/>
  <c r="Q475" i="12"/>
  <c r="G475" i="12"/>
  <c r="Q474" i="12"/>
  <c r="G474" i="12"/>
  <c r="Q473" i="12"/>
  <c r="G473" i="12"/>
  <c r="Q472" i="12"/>
  <c r="G472" i="12"/>
  <c r="Q471" i="12"/>
  <c r="G471" i="12"/>
  <c r="Q470" i="12"/>
  <c r="G470" i="12"/>
  <c r="Q469" i="12"/>
  <c r="G469" i="12"/>
  <c r="Q468" i="12"/>
  <c r="G468" i="12"/>
  <c r="Q467" i="12"/>
  <c r="G467" i="12"/>
  <c r="Q466" i="12"/>
  <c r="G466" i="12"/>
  <c r="Q465" i="12"/>
  <c r="G465" i="12"/>
  <c r="Q464" i="12"/>
  <c r="G464" i="12"/>
  <c r="Q463" i="12"/>
  <c r="G463" i="12"/>
  <c r="Q462" i="12"/>
  <c r="G462" i="12"/>
  <c r="Q461" i="12"/>
  <c r="G461" i="12"/>
  <c r="Q460" i="12"/>
  <c r="G460" i="12"/>
  <c r="Q459" i="12"/>
  <c r="G459" i="12"/>
  <c r="Q458" i="12"/>
  <c r="G458" i="12"/>
  <c r="Q457" i="12"/>
  <c r="G457" i="12"/>
  <c r="Q456" i="12"/>
  <c r="G456" i="12"/>
  <c r="Q455" i="12"/>
  <c r="G455" i="12"/>
  <c r="Q454" i="12"/>
  <c r="G454" i="12"/>
  <c r="Q453" i="12"/>
  <c r="G453" i="12"/>
  <c r="Q452" i="12"/>
  <c r="G452" i="12"/>
  <c r="Q451" i="12"/>
  <c r="G451" i="12"/>
  <c r="Q450" i="12"/>
  <c r="G450" i="12"/>
  <c r="Q449" i="12"/>
  <c r="G449" i="12"/>
  <c r="Q448" i="12"/>
  <c r="G448" i="12"/>
  <c r="Q447" i="12"/>
  <c r="G447" i="12"/>
  <c r="Q446" i="12"/>
  <c r="G446" i="12"/>
  <c r="Q445" i="12"/>
  <c r="G445" i="12"/>
  <c r="Q444" i="12"/>
  <c r="G444" i="12"/>
  <c r="Q443" i="12"/>
  <c r="G443" i="12"/>
  <c r="Q442" i="12"/>
  <c r="G442" i="12"/>
  <c r="Q441" i="12"/>
  <c r="G441" i="12"/>
  <c r="Q440" i="12"/>
  <c r="G440" i="12"/>
  <c r="Q439" i="12"/>
  <c r="G439" i="12"/>
  <c r="Q438" i="12"/>
  <c r="G438" i="12"/>
  <c r="Q437" i="12"/>
  <c r="G437" i="12"/>
  <c r="Q436" i="12"/>
  <c r="G436" i="12"/>
  <c r="Q435" i="12"/>
  <c r="G435" i="12"/>
  <c r="Q434" i="12"/>
  <c r="G434" i="12"/>
  <c r="Q433" i="12"/>
  <c r="G433" i="12"/>
  <c r="Q432" i="12"/>
  <c r="G432" i="12"/>
  <c r="Q431" i="12"/>
  <c r="G431" i="12"/>
  <c r="Q430" i="12"/>
  <c r="G430" i="12"/>
  <c r="Q429" i="12"/>
  <c r="G429" i="12"/>
  <c r="Q428" i="12"/>
  <c r="G428" i="12"/>
  <c r="Q427" i="12"/>
  <c r="P427" i="12"/>
  <c r="G427" i="12"/>
  <c r="Q426" i="12"/>
  <c r="P426" i="12"/>
  <c r="G426" i="12"/>
  <c r="Q425" i="12"/>
  <c r="P425" i="12"/>
  <c r="G425" i="12"/>
  <c r="Q424" i="12"/>
  <c r="P424" i="12"/>
  <c r="G424" i="12"/>
  <c r="Q423" i="12"/>
  <c r="P423" i="12"/>
  <c r="G423" i="12"/>
  <c r="Q422" i="12"/>
  <c r="P422" i="12"/>
  <c r="G422" i="12"/>
  <c r="Q421" i="12"/>
  <c r="P421" i="12"/>
  <c r="G421" i="12"/>
  <c r="Q420" i="12"/>
  <c r="P420" i="12"/>
  <c r="G420" i="12"/>
  <c r="Q419" i="12"/>
  <c r="P419" i="12"/>
  <c r="G419" i="12"/>
  <c r="Q418" i="12"/>
  <c r="P418" i="12"/>
  <c r="G418" i="12"/>
  <c r="Q417" i="12"/>
  <c r="P417" i="12"/>
  <c r="G417" i="12"/>
  <c r="Q416" i="12"/>
  <c r="P416" i="12"/>
  <c r="G416" i="12"/>
  <c r="Q415" i="12"/>
  <c r="P415" i="12"/>
  <c r="G415" i="12"/>
  <c r="Q414" i="12"/>
  <c r="P414" i="12"/>
  <c r="G414" i="12"/>
  <c r="Q413" i="12"/>
  <c r="P413" i="12"/>
  <c r="G413" i="12"/>
  <c r="Q412" i="12"/>
  <c r="P412" i="12"/>
  <c r="G412" i="12"/>
  <c r="Q411" i="12"/>
  <c r="P411" i="12"/>
  <c r="G411" i="12"/>
  <c r="Q410" i="12"/>
  <c r="P410" i="12"/>
  <c r="G410" i="12"/>
  <c r="Q409" i="12"/>
  <c r="P409" i="12"/>
  <c r="G409" i="12"/>
  <c r="Q408" i="12"/>
  <c r="P408" i="12"/>
  <c r="G408" i="12"/>
  <c r="Q407" i="12"/>
  <c r="P407" i="12"/>
  <c r="G407" i="12"/>
  <c r="Q406" i="12"/>
  <c r="P406" i="12"/>
  <c r="G406" i="12"/>
  <c r="Q405" i="12"/>
  <c r="P405" i="12"/>
  <c r="G405" i="12"/>
  <c r="Q404" i="12"/>
  <c r="P404" i="12"/>
  <c r="G404" i="12"/>
  <c r="Q403" i="12"/>
  <c r="P403" i="12"/>
  <c r="G403" i="12"/>
  <c r="Q402" i="12"/>
  <c r="P402" i="12"/>
  <c r="G402" i="12"/>
  <c r="Q401" i="12"/>
  <c r="P401" i="12"/>
  <c r="G401" i="12"/>
  <c r="Q400" i="12"/>
  <c r="P400" i="12"/>
  <c r="G400" i="12"/>
  <c r="Q399" i="12"/>
  <c r="P399" i="12"/>
  <c r="G399" i="12"/>
  <c r="Q398" i="12"/>
  <c r="P398" i="12"/>
  <c r="G398" i="12"/>
  <c r="Q397" i="12"/>
  <c r="P397" i="12"/>
  <c r="G397" i="12"/>
  <c r="Q396" i="12"/>
  <c r="P396" i="12"/>
  <c r="G396" i="12"/>
  <c r="Q395" i="12"/>
  <c r="P395" i="12"/>
  <c r="G395" i="12"/>
  <c r="Q394" i="12"/>
  <c r="P394" i="12"/>
  <c r="G394" i="12"/>
  <c r="Q393" i="12"/>
  <c r="K393" i="12"/>
  <c r="G393" i="12"/>
  <c r="Q392" i="12"/>
  <c r="K392" i="12"/>
  <c r="G392" i="12"/>
  <c r="Q391" i="12"/>
  <c r="K391" i="12"/>
  <c r="G391" i="12"/>
  <c r="Q390" i="12"/>
  <c r="K390" i="12"/>
  <c r="G390" i="12"/>
  <c r="Q389" i="12"/>
  <c r="K389" i="12"/>
  <c r="G389" i="12"/>
  <c r="Q388" i="12"/>
  <c r="K388" i="12"/>
  <c r="G388" i="12"/>
  <c r="Q387" i="12"/>
  <c r="K387" i="12"/>
  <c r="G387" i="12"/>
  <c r="Q386" i="12"/>
  <c r="K386" i="12"/>
  <c r="G386" i="12"/>
  <c r="Q385" i="12"/>
  <c r="K385" i="12"/>
  <c r="G385" i="12"/>
  <c r="Q384" i="12"/>
  <c r="K384" i="12"/>
  <c r="G384" i="12"/>
  <c r="Q383" i="12"/>
  <c r="K383" i="12"/>
  <c r="G383" i="12"/>
  <c r="Q382" i="12"/>
  <c r="K382" i="12"/>
  <c r="G382" i="12"/>
  <c r="Q381" i="12"/>
  <c r="K381" i="12"/>
  <c r="G381" i="12"/>
  <c r="Q380" i="12"/>
  <c r="K380" i="12"/>
  <c r="G380" i="12"/>
  <c r="Q379" i="12"/>
  <c r="K379" i="12"/>
  <c r="G379" i="12"/>
  <c r="Q378" i="12"/>
  <c r="K378" i="12"/>
  <c r="G378" i="12"/>
  <c r="Q377" i="12"/>
  <c r="K377" i="12"/>
  <c r="G377" i="12"/>
  <c r="Q376" i="12"/>
  <c r="K376" i="12"/>
  <c r="G376" i="12"/>
  <c r="Q375" i="12"/>
  <c r="K375" i="12"/>
  <c r="G375" i="12"/>
  <c r="Q374" i="12"/>
  <c r="K374" i="12"/>
  <c r="G374" i="12"/>
  <c r="Q373" i="12"/>
  <c r="K373" i="12"/>
  <c r="G373" i="12"/>
  <c r="Q372" i="12"/>
  <c r="K372" i="12"/>
  <c r="G372" i="12"/>
  <c r="Q371" i="12"/>
  <c r="K371" i="12"/>
  <c r="G371" i="12"/>
  <c r="Q370" i="12"/>
  <c r="K370" i="12"/>
  <c r="G370" i="12"/>
  <c r="Q369" i="12"/>
  <c r="P369" i="12"/>
  <c r="K369" i="12"/>
  <c r="G369" i="12"/>
  <c r="Q368" i="12"/>
  <c r="P368" i="12"/>
  <c r="K368" i="12"/>
  <c r="G368" i="12"/>
  <c r="Q367" i="12"/>
  <c r="P367" i="12"/>
  <c r="K367" i="12"/>
  <c r="G367" i="12"/>
  <c r="Q366" i="12"/>
  <c r="P366" i="12"/>
  <c r="K366" i="12"/>
  <c r="G366" i="12"/>
  <c r="Q365" i="12"/>
  <c r="P365" i="12"/>
  <c r="K365" i="12"/>
  <c r="G365" i="12"/>
  <c r="Q364" i="12"/>
  <c r="P364" i="12"/>
  <c r="K364" i="12"/>
  <c r="G364" i="12"/>
  <c r="Q363" i="12"/>
  <c r="P363" i="12"/>
  <c r="K363" i="12"/>
  <c r="G363" i="12"/>
  <c r="Q362" i="12"/>
  <c r="P362" i="12"/>
  <c r="K362" i="12"/>
  <c r="G362" i="12"/>
  <c r="Q361" i="12"/>
  <c r="P361" i="12"/>
  <c r="K361" i="12"/>
  <c r="G361" i="12"/>
  <c r="Q360" i="12"/>
  <c r="P360" i="12"/>
  <c r="K360" i="12"/>
  <c r="G360" i="12"/>
  <c r="Q359" i="12"/>
  <c r="P359" i="12"/>
  <c r="K359" i="12"/>
  <c r="G359" i="12"/>
  <c r="Q358" i="12"/>
  <c r="P358" i="12"/>
  <c r="K358" i="12"/>
  <c r="G358" i="12"/>
  <c r="Q357" i="12"/>
  <c r="P357" i="12"/>
  <c r="K357" i="12"/>
  <c r="G357" i="12"/>
  <c r="Q356" i="12"/>
  <c r="P356" i="12"/>
  <c r="K356" i="12"/>
  <c r="G356" i="12"/>
  <c r="Q355" i="12"/>
  <c r="P355" i="12"/>
  <c r="K355" i="12"/>
  <c r="G355" i="12"/>
  <c r="Q354" i="12"/>
  <c r="P354" i="12"/>
  <c r="K354" i="12"/>
  <c r="G354" i="12"/>
  <c r="Q353" i="12"/>
  <c r="P353" i="12"/>
  <c r="K353" i="12"/>
  <c r="G353" i="12"/>
  <c r="Q352" i="12"/>
  <c r="P352" i="12"/>
  <c r="K352" i="12"/>
  <c r="G352" i="12"/>
  <c r="Q351" i="12"/>
  <c r="P351" i="12"/>
  <c r="K351" i="12"/>
  <c r="G351" i="12"/>
  <c r="Q350" i="12"/>
  <c r="P350" i="12"/>
  <c r="K350" i="12"/>
  <c r="G350" i="12"/>
  <c r="Q349" i="12"/>
  <c r="P349" i="12"/>
  <c r="K349" i="12"/>
  <c r="G349" i="12"/>
  <c r="Q348" i="12"/>
  <c r="P348" i="12"/>
  <c r="K348" i="12"/>
  <c r="G348" i="12"/>
  <c r="Q347" i="12"/>
  <c r="P347" i="12"/>
  <c r="K347" i="12"/>
  <c r="G347" i="12"/>
  <c r="Q346" i="12"/>
  <c r="P346" i="12"/>
  <c r="K346" i="12"/>
  <c r="G346" i="12"/>
  <c r="Q345" i="12"/>
  <c r="P345" i="12"/>
  <c r="K345" i="12"/>
  <c r="G345" i="12"/>
  <c r="Q344" i="12"/>
  <c r="P344" i="12"/>
  <c r="K344" i="12"/>
  <c r="G344" i="12"/>
  <c r="Q343" i="12"/>
  <c r="P343" i="12"/>
  <c r="K343" i="12"/>
  <c r="G343" i="12"/>
  <c r="Q342" i="12"/>
  <c r="P342" i="12"/>
  <c r="K342" i="12"/>
  <c r="G342" i="12"/>
  <c r="Q341" i="12"/>
  <c r="P341" i="12"/>
  <c r="K341" i="12"/>
  <c r="G341" i="12"/>
  <c r="Q340" i="12"/>
  <c r="P340" i="12"/>
  <c r="K340" i="12"/>
  <c r="G340" i="12"/>
  <c r="Q339" i="12"/>
  <c r="P339" i="12"/>
  <c r="K339" i="12"/>
  <c r="G339" i="12"/>
  <c r="Q338" i="12"/>
  <c r="P338" i="12"/>
  <c r="K338" i="12"/>
  <c r="G338" i="12"/>
  <c r="Q337" i="12"/>
  <c r="P337" i="12"/>
  <c r="K337" i="12"/>
  <c r="G337" i="12"/>
  <c r="Q336" i="12"/>
  <c r="P336" i="12"/>
  <c r="K336" i="12"/>
  <c r="G336" i="12"/>
  <c r="Q335" i="12"/>
  <c r="P335" i="12"/>
  <c r="K335" i="12"/>
  <c r="G335" i="12"/>
  <c r="Q334" i="12"/>
  <c r="P334" i="12"/>
  <c r="K334" i="12"/>
  <c r="G334" i="12"/>
  <c r="Q333" i="12"/>
  <c r="P333" i="12"/>
  <c r="K333" i="12"/>
  <c r="G333" i="12"/>
  <c r="Q332" i="12"/>
  <c r="P332" i="12"/>
  <c r="K332" i="12"/>
  <c r="G332" i="12"/>
  <c r="Q331" i="12"/>
  <c r="P331" i="12"/>
  <c r="K331" i="12"/>
  <c r="G331" i="12"/>
  <c r="Q330" i="12"/>
  <c r="P330" i="12"/>
  <c r="K330" i="12"/>
  <c r="G330" i="12"/>
  <c r="Q329" i="12"/>
  <c r="P329" i="12"/>
  <c r="K329" i="12"/>
  <c r="G329" i="12"/>
  <c r="Q328" i="12"/>
  <c r="P328" i="12"/>
  <c r="K328" i="12"/>
  <c r="G328" i="12"/>
  <c r="Q327" i="12"/>
  <c r="P327" i="12"/>
  <c r="K327" i="12"/>
  <c r="G327" i="12"/>
  <c r="Q326" i="12"/>
  <c r="P326" i="12"/>
  <c r="K326" i="12"/>
  <c r="G326" i="12"/>
  <c r="Q325" i="12"/>
  <c r="P325" i="12"/>
  <c r="K325" i="12"/>
  <c r="G325" i="12"/>
  <c r="P324" i="12"/>
  <c r="K324" i="12"/>
  <c r="G324" i="12"/>
  <c r="P323" i="12"/>
  <c r="K323" i="12"/>
  <c r="G323" i="12"/>
  <c r="P322" i="12"/>
  <c r="K322" i="12"/>
  <c r="G322" i="12"/>
  <c r="P321" i="12"/>
  <c r="K321" i="12"/>
  <c r="G321" i="12"/>
  <c r="P320" i="12"/>
  <c r="K320" i="12"/>
  <c r="G320" i="12"/>
  <c r="P319" i="12"/>
  <c r="K319" i="12"/>
  <c r="G319" i="12"/>
  <c r="P318" i="12"/>
  <c r="K318" i="12"/>
  <c r="G318" i="12"/>
  <c r="P317" i="12"/>
  <c r="K317" i="12"/>
  <c r="G317" i="12"/>
  <c r="P316" i="12"/>
  <c r="K316" i="12"/>
  <c r="G316" i="12"/>
  <c r="P315" i="12"/>
  <c r="K315" i="12"/>
  <c r="G315" i="12"/>
  <c r="P314" i="12"/>
  <c r="K314" i="12"/>
  <c r="G314" i="12"/>
  <c r="P313" i="12"/>
  <c r="K313" i="12"/>
  <c r="G313" i="12"/>
  <c r="P312" i="12"/>
  <c r="K312" i="12"/>
  <c r="G312" i="12"/>
  <c r="P311" i="12"/>
  <c r="K311" i="12"/>
  <c r="G311" i="12"/>
  <c r="P310" i="12"/>
  <c r="K310" i="12"/>
  <c r="G310" i="12"/>
  <c r="P309" i="12"/>
  <c r="K309" i="12"/>
  <c r="G309" i="12"/>
  <c r="P308" i="12"/>
  <c r="K308" i="12"/>
  <c r="G308" i="12"/>
  <c r="P307" i="12"/>
  <c r="K307" i="12"/>
  <c r="G307" i="12"/>
  <c r="P306" i="12"/>
  <c r="K306" i="12"/>
  <c r="G306" i="12"/>
  <c r="P305" i="12"/>
  <c r="K305" i="12"/>
  <c r="G305" i="12"/>
  <c r="P304" i="12"/>
  <c r="K304" i="12"/>
  <c r="G304" i="12"/>
  <c r="P303" i="12"/>
  <c r="K303" i="12"/>
  <c r="G303" i="12"/>
  <c r="P302" i="12"/>
  <c r="K302" i="12"/>
  <c r="G302" i="12"/>
  <c r="P301" i="12"/>
  <c r="K301" i="12"/>
  <c r="G301" i="12"/>
  <c r="P300" i="12"/>
  <c r="K300" i="12"/>
  <c r="G300" i="12"/>
  <c r="P299" i="12"/>
  <c r="K299" i="12"/>
  <c r="G299" i="12"/>
  <c r="K298" i="12"/>
  <c r="G298" i="12"/>
  <c r="K297" i="12"/>
  <c r="G297" i="12"/>
  <c r="K296" i="12"/>
  <c r="G296" i="12"/>
  <c r="K295" i="12"/>
  <c r="G295" i="12"/>
  <c r="K294" i="12"/>
  <c r="G294" i="12"/>
  <c r="K293" i="12"/>
  <c r="G293" i="12"/>
  <c r="K292" i="12"/>
  <c r="G292" i="12"/>
  <c r="K291" i="12"/>
  <c r="G291" i="12"/>
  <c r="K290" i="12"/>
  <c r="G290" i="12"/>
  <c r="K289" i="12"/>
  <c r="G289" i="12"/>
  <c r="K288" i="12"/>
  <c r="G288" i="12"/>
  <c r="K287" i="12"/>
  <c r="G287" i="12"/>
  <c r="K286" i="12"/>
  <c r="G286" i="12"/>
  <c r="K285" i="12"/>
  <c r="G285" i="12"/>
  <c r="K284" i="12"/>
  <c r="G284" i="12"/>
  <c r="K283" i="12"/>
  <c r="G283" i="12"/>
  <c r="K282" i="12"/>
  <c r="G282" i="12"/>
  <c r="K281" i="12"/>
  <c r="G281" i="12"/>
  <c r="K280" i="12"/>
  <c r="G280" i="12"/>
  <c r="K279" i="12"/>
  <c r="G279" i="12"/>
  <c r="K278" i="12"/>
  <c r="G278" i="12"/>
  <c r="K277" i="12"/>
  <c r="G277" i="12"/>
  <c r="K276" i="12"/>
  <c r="G276" i="12"/>
  <c r="K275" i="12"/>
  <c r="G275" i="12"/>
  <c r="K274" i="12"/>
  <c r="G274" i="12"/>
  <c r="K273" i="12"/>
  <c r="G273" i="12"/>
  <c r="K272" i="12"/>
  <c r="G272" i="12"/>
  <c r="K271" i="12"/>
  <c r="G271" i="12"/>
  <c r="K270" i="12"/>
  <c r="G270" i="12"/>
  <c r="K269" i="12"/>
  <c r="G269" i="12"/>
  <c r="K268" i="12"/>
  <c r="G268" i="12"/>
  <c r="K267" i="12"/>
  <c r="G267" i="12"/>
  <c r="K266" i="12"/>
  <c r="G266" i="12"/>
  <c r="K265" i="12"/>
  <c r="G265" i="12"/>
  <c r="K264" i="12"/>
  <c r="G264" i="12"/>
  <c r="K263" i="12"/>
  <c r="G263" i="12"/>
  <c r="K262" i="12"/>
  <c r="G262" i="12"/>
  <c r="K261" i="12"/>
  <c r="G261" i="12"/>
  <c r="K260" i="12"/>
  <c r="G260" i="12"/>
  <c r="K259" i="12"/>
  <c r="G259" i="12"/>
  <c r="K258" i="12"/>
  <c r="G258" i="12"/>
  <c r="K257" i="12"/>
  <c r="G257" i="12"/>
  <c r="K256" i="12"/>
  <c r="G256" i="12"/>
  <c r="K255" i="12"/>
  <c r="G255" i="12"/>
  <c r="K254" i="12"/>
  <c r="G254" i="12"/>
  <c r="K253" i="12"/>
  <c r="G253" i="12"/>
  <c r="K252" i="12"/>
  <c r="G252" i="12"/>
  <c r="K251" i="12"/>
  <c r="G251" i="12"/>
  <c r="K250" i="12"/>
  <c r="G250" i="12"/>
  <c r="K249" i="12"/>
  <c r="G249" i="12"/>
  <c r="K248" i="12"/>
  <c r="G248" i="12"/>
  <c r="K247" i="12"/>
  <c r="G247" i="12"/>
  <c r="K246" i="12"/>
  <c r="G246" i="12"/>
  <c r="K245" i="12"/>
  <c r="G245" i="12"/>
  <c r="K244" i="12"/>
  <c r="G244" i="12"/>
  <c r="K243" i="12"/>
  <c r="G243" i="12"/>
  <c r="K242" i="12"/>
  <c r="G242" i="12"/>
  <c r="K241" i="12"/>
  <c r="G241" i="12"/>
  <c r="K240" i="12"/>
  <c r="G240" i="12"/>
  <c r="K239" i="12"/>
  <c r="G239" i="12"/>
  <c r="K238" i="12"/>
  <c r="G238" i="12"/>
  <c r="K237" i="12"/>
  <c r="G237" i="12"/>
  <c r="K236" i="12"/>
  <c r="G236" i="12"/>
  <c r="K235" i="12"/>
  <c r="G235" i="12"/>
  <c r="K234" i="12"/>
  <c r="G234" i="12"/>
  <c r="K233" i="12"/>
  <c r="G233" i="12"/>
  <c r="K232" i="12"/>
  <c r="G232" i="12"/>
  <c r="K231" i="12"/>
  <c r="G231" i="12"/>
  <c r="K230" i="12"/>
  <c r="G230" i="12"/>
  <c r="K229" i="12"/>
  <c r="G229" i="12"/>
  <c r="K228" i="12"/>
  <c r="G228" i="12"/>
  <c r="K227" i="12"/>
  <c r="G227" i="12"/>
  <c r="K226" i="12"/>
  <c r="G226" i="12"/>
  <c r="K225" i="12"/>
  <c r="G225" i="12"/>
  <c r="K224" i="12"/>
  <c r="G224" i="12"/>
  <c r="K223" i="12"/>
  <c r="G223" i="12"/>
  <c r="K222" i="12"/>
  <c r="G222" i="12"/>
  <c r="K221" i="12"/>
  <c r="G221" i="12"/>
  <c r="K220" i="12"/>
  <c r="G220" i="12"/>
  <c r="K219" i="12"/>
  <c r="G219" i="12"/>
  <c r="P218" i="12"/>
  <c r="K218" i="12"/>
  <c r="G218" i="12"/>
  <c r="P217" i="12"/>
  <c r="K217" i="12"/>
  <c r="G217" i="12"/>
  <c r="P216" i="12"/>
  <c r="K216" i="12"/>
  <c r="G216" i="12"/>
  <c r="P215" i="12"/>
  <c r="K215" i="12"/>
  <c r="G215" i="12"/>
  <c r="P214" i="12"/>
  <c r="K214" i="12"/>
  <c r="G214" i="12"/>
  <c r="P213" i="12"/>
  <c r="K213" i="12"/>
  <c r="G213" i="12"/>
  <c r="P212" i="12"/>
  <c r="K212" i="12"/>
  <c r="G212" i="12"/>
  <c r="P211" i="12"/>
  <c r="K211" i="12"/>
  <c r="G211" i="12"/>
  <c r="P210" i="12"/>
  <c r="K210" i="12"/>
  <c r="G210" i="12"/>
  <c r="P209" i="12"/>
  <c r="K209" i="12"/>
  <c r="G209" i="12"/>
  <c r="P208" i="12"/>
  <c r="K208" i="12"/>
  <c r="G208" i="12"/>
  <c r="P207" i="12"/>
  <c r="K207" i="12"/>
  <c r="G207" i="12"/>
  <c r="P206" i="12"/>
  <c r="K206" i="12"/>
  <c r="G206" i="12"/>
  <c r="P205" i="12"/>
  <c r="K205" i="12"/>
  <c r="G205" i="12"/>
  <c r="P204" i="12"/>
  <c r="K204" i="12"/>
  <c r="G204" i="12"/>
  <c r="P203" i="12"/>
  <c r="K203" i="12"/>
  <c r="G203" i="12"/>
  <c r="P202" i="12"/>
  <c r="K202" i="12"/>
  <c r="G202" i="12"/>
  <c r="P201" i="12"/>
  <c r="K201" i="12"/>
  <c r="G201" i="12"/>
  <c r="G200" i="12"/>
  <c r="G199" i="12"/>
  <c r="G198" i="12"/>
  <c r="G197" i="12"/>
  <c r="G196" i="12"/>
  <c r="G195" i="12"/>
  <c r="G194" i="12"/>
  <c r="G193" i="12"/>
  <c r="P192" i="12"/>
  <c r="G192" i="12"/>
  <c r="P191" i="12"/>
  <c r="G191" i="12"/>
  <c r="P190" i="12"/>
  <c r="G190" i="12"/>
  <c r="Q189" i="12"/>
  <c r="P189" i="12"/>
  <c r="G189" i="12"/>
  <c r="Q188" i="12"/>
  <c r="P188" i="12"/>
  <c r="G188" i="12"/>
  <c r="Q187" i="12"/>
  <c r="P187" i="12"/>
  <c r="G187" i="12"/>
  <c r="Q186" i="12"/>
  <c r="P186" i="12"/>
  <c r="G186" i="12"/>
  <c r="Q185" i="12"/>
  <c r="P185" i="12"/>
  <c r="G185" i="12"/>
  <c r="Q184" i="12"/>
  <c r="P184" i="12"/>
  <c r="G184" i="12"/>
  <c r="Q183" i="12"/>
  <c r="P183" i="12"/>
  <c r="G183" i="12"/>
  <c r="Q182" i="12"/>
  <c r="P182" i="12"/>
  <c r="G182" i="12"/>
  <c r="Q181" i="12"/>
  <c r="P181" i="12"/>
  <c r="G181" i="12"/>
  <c r="Q180" i="12"/>
  <c r="P180" i="12"/>
  <c r="G180" i="12"/>
  <c r="Q179" i="12"/>
  <c r="P179" i="12"/>
  <c r="G179" i="12"/>
  <c r="Q178" i="12"/>
  <c r="P178" i="12"/>
  <c r="G178" i="12"/>
  <c r="Q177" i="12"/>
  <c r="P177" i="12"/>
  <c r="G177" i="12"/>
  <c r="Q176" i="12"/>
  <c r="P176" i="12"/>
  <c r="G176" i="12"/>
  <c r="Q175" i="12"/>
  <c r="P175" i="12"/>
  <c r="G175" i="12"/>
  <c r="Q174" i="12"/>
  <c r="P174" i="12"/>
  <c r="G174" i="12"/>
  <c r="Q173" i="12"/>
  <c r="P173" i="12"/>
  <c r="G173" i="12"/>
  <c r="Q172" i="12"/>
  <c r="P172" i="12"/>
  <c r="G172" i="12"/>
  <c r="Q171" i="12"/>
  <c r="P171" i="12"/>
  <c r="G171" i="12"/>
  <c r="Q170" i="12"/>
  <c r="P170" i="12"/>
  <c r="G170" i="12"/>
  <c r="Q169" i="12"/>
  <c r="P169" i="12"/>
  <c r="G169" i="12"/>
  <c r="Q168" i="12"/>
  <c r="P168" i="12"/>
  <c r="G168" i="12"/>
  <c r="Q167" i="12"/>
  <c r="P167" i="12"/>
  <c r="G167" i="12"/>
  <c r="Q166" i="12"/>
  <c r="P166" i="12"/>
  <c r="G166" i="12"/>
  <c r="Q165" i="12"/>
  <c r="P165" i="12"/>
  <c r="G165" i="12"/>
  <c r="Q164" i="12"/>
  <c r="P164" i="12"/>
  <c r="G164" i="12"/>
  <c r="Q163" i="12"/>
  <c r="P163" i="12"/>
  <c r="G163" i="12"/>
  <c r="Q162" i="12"/>
  <c r="P162" i="12"/>
  <c r="G162" i="12"/>
  <c r="Q161" i="12"/>
  <c r="P161" i="12"/>
  <c r="G161" i="12"/>
  <c r="Q160" i="12"/>
  <c r="P160" i="12"/>
  <c r="G160" i="12"/>
  <c r="Q159" i="12"/>
  <c r="P159" i="12"/>
  <c r="G159" i="12"/>
  <c r="Q158" i="12"/>
  <c r="P158" i="12"/>
  <c r="G158" i="12"/>
  <c r="Q157" i="12"/>
  <c r="P157" i="12"/>
  <c r="G157" i="12"/>
  <c r="Q156" i="12"/>
  <c r="P156" i="12"/>
  <c r="G156" i="12"/>
  <c r="Q155" i="12"/>
  <c r="P155" i="12"/>
  <c r="G155" i="12"/>
  <c r="Q154" i="12"/>
  <c r="P154" i="12"/>
  <c r="G154" i="12"/>
  <c r="Q153" i="12"/>
  <c r="P153" i="12"/>
  <c r="G153" i="12"/>
  <c r="Q152" i="12"/>
  <c r="P152" i="12"/>
  <c r="G152" i="12"/>
  <c r="Q151" i="12"/>
  <c r="P151" i="12"/>
  <c r="G151" i="12"/>
  <c r="Q150" i="12"/>
  <c r="P150" i="12"/>
  <c r="G150" i="12"/>
  <c r="Q149" i="12"/>
  <c r="P149" i="12"/>
  <c r="G149" i="12"/>
  <c r="Q148" i="12"/>
  <c r="P148" i="12"/>
  <c r="G148" i="12"/>
  <c r="Q147" i="12"/>
  <c r="P147" i="12"/>
  <c r="G147" i="12"/>
  <c r="Q146" i="12"/>
  <c r="P146" i="12"/>
  <c r="G146" i="12"/>
  <c r="Q145" i="12"/>
  <c r="P145" i="12"/>
  <c r="G145" i="12"/>
  <c r="Q144" i="12"/>
  <c r="P144" i="12"/>
  <c r="G144" i="12"/>
  <c r="Q143" i="12"/>
  <c r="P143" i="12"/>
  <c r="G143" i="12"/>
  <c r="Q142" i="12"/>
  <c r="P142" i="12"/>
  <c r="G142" i="12"/>
  <c r="Q141" i="12"/>
  <c r="P141" i="12"/>
  <c r="G141" i="12"/>
  <c r="Q140" i="12"/>
  <c r="P140" i="12"/>
  <c r="G140" i="12"/>
  <c r="Q139" i="12"/>
  <c r="P139" i="12"/>
  <c r="G139" i="12"/>
  <c r="Q138" i="12"/>
  <c r="P138" i="12"/>
  <c r="G138" i="12"/>
  <c r="Q137" i="12"/>
  <c r="P137" i="12"/>
  <c r="G137" i="12"/>
  <c r="Q136" i="12"/>
  <c r="P136" i="12"/>
  <c r="G136" i="12"/>
  <c r="Q135" i="12"/>
  <c r="P135" i="12"/>
  <c r="G135" i="12"/>
  <c r="Q134" i="12"/>
  <c r="P134" i="12"/>
  <c r="G134" i="12"/>
  <c r="Q133" i="12"/>
  <c r="P133" i="12"/>
  <c r="G133" i="12"/>
  <c r="Q132" i="12"/>
  <c r="P132" i="12"/>
  <c r="G132" i="12"/>
  <c r="Q131" i="12"/>
  <c r="P131" i="12"/>
  <c r="G131" i="12"/>
  <c r="Q130" i="12"/>
  <c r="P130" i="12"/>
  <c r="G130" i="12"/>
  <c r="Q129" i="12"/>
  <c r="P129" i="12"/>
  <c r="G129" i="12"/>
  <c r="Q128" i="12"/>
  <c r="P128" i="12"/>
  <c r="G128" i="12"/>
  <c r="Q127" i="12"/>
  <c r="P127" i="12"/>
  <c r="G127" i="12"/>
  <c r="Q126" i="12"/>
  <c r="P126" i="12"/>
  <c r="G126" i="12"/>
  <c r="Q125" i="12"/>
  <c r="P125" i="12"/>
  <c r="G125" i="12"/>
  <c r="Q124" i="12"/>
  <c r="P124" i="12"/>
  <c r="G124" i="12"/>
  <c r="Q123" i="12"/>
  <c r="P123" i="12"/>
  <c r="G123" i="12"/>
  <c r="Q122" i="12"/>
  <c r="P122" i="12"/>
  <c r="G122" i="12"/>
  <c r="Q121" i="12"/>
  <c r="P121" i="12"/>
  <c r="G121" i="12"/>
  <c r="Q120" i="12"/>
  <c r="P120" i="12"/>
  <c r="G120" i="12"/>
  <c r="Q119" i="12"/>
  <c r="P119" i="12"/>
  <c r="G119" i="12"/>
  <c r="Q118" i="12"/>
  <c r="P118" i="12"/>
  <c r="G118" i="12"/>
  <c r="Q117" i="12"/>
  <c r="P117" i="12"/>
  <c r="G117" i="12"/>
  <c r="Q116" i="12"/>
  <c r="P116" i="12"/>
  <c r="G116" i="12"/>
  <c r="Q115" i="12"/>
  <c r="P115" i="12"/>
  <c r="G115" i="12"/>
  <c r="Q114" i="12"/>
  <c r="P114" i="12"/>
  <c r="G114" i="12"/>
  <c r="Q113" i="12"/>
  <c r="P113" i="12"/>
  <c r="G113" i="12"/>
  <c r="Q112" i="12"/>
  <c r="P112" i="12"/>
  <c r="G112" i="12"/>
  <c r="Q111" i="12"/>
  <c r="P111" i="12"/>
  <c r="G111" i="12"/>
  <c r="Q110" i="12"/>
  <c r="P110" i="12"/>
  <c r="G110" i="12"/>
  <c r="Q109" i="12"/>
  <c r="P109" i="12"/>
  <c r="G109" i="12"/>
  <c r="Q108" i="12"/>
  <c r="P108" i="12"/>
  <c r="G108" i="12"/>
  <c r="Q107" i="12"/>
  <c r="P107" i="12"/>
  <c r="G107" i="12"/>
  <c r="Q106" i="12"/>
  <c r="P106" i="12"/>
  <c r="G106" i="12"/>
  <c r="Q105" i="12"/>
  <c r="P105" i="12"/>
  <c r="G105" i="12"/>
  <c r="Q104" i="12"/>
  <c r="P104" i="12"/>
  <c r="G104" i="12"/>
  <c r="Q103" i="12"/>
  <c r="P103" i="12"/>
  <c r="G103" i="12"/>
  <c r="Q102" i="12"/>
  <c r="P102" i="12"/>
  <c r="G102" i="12"/>
  <c r="Q101" i="12"/>
  <c r="P101" i="12"/>
  <c r="G101" i="12"/>
  <c r="Q100" i="12"/>
  <c r="P100" i="12"/>
  <c r="G100" i="12"/>
  <c r="Q99" i="12"/>
  <c r="P99" i="12"/>
  <c r="G99" i="12"/>
  <c r="Q98" i="12"/>
  <c r="P98" i="12"/>
  <c r="G98" i="12"/>
  <c r="Q97" i="12"/>
  <c r="P97" i="12"/>
  <c r="G97" i="12"/>
  <c r="Q96" i="12"/>
  <c r="P96" i="12"/>
  <c r="G96" i="12"/>
  <c r="Q95" i="12"/>
  <c r="P95" i="12"/>
  <c r="G95" i="12"/>
  <c r="Q94" i="12"/>
  <c r="P94" i="12"/>
  <c r="G94" i="12"/>
  <c r="Q93" i="12"/>
  <c r="P93" i="12"/>
  <c r="G93" i="12"/>
  <c r="Q92" i="12"/>
  <c r="P92" i="12"/>
  <c r="G92" i="12"/>
  <c r="Q91" i="12"/>
  <c r="P91" i="12"/>
  <c r="G91" i="12"/>
  <c r="Q90" i="12"/>
  <c r="P90" i="12"/>
  <c r="G90" i="12"/>
  <c r="Q89" i="12"/>
  <c r="P89" i="12"/>
  <c r="G89" i="12"/>
  <c r="Q88" i="12"/>
  <c r="P88" i="12"/>
  <c r="G88" i="12"/>
  <c r="Q87" i="12"/>
  <c r="P87" i="12"/>
  <c r="G87" i="12"/>
  <c r="Q86" i="12"/>
  <c r="P86" i="12"/>
  <c r="G86" i="12"/>
  <c r="Q85" i="12"/>
  <c r="P85" i="12"/>
  <c r="G85" i="12"/>
  <c r="Q84" i="12"/>
  <c r="P84" i="12"/>
  <c r="G84" i="12"/>
  <c r="Q83" i="12"/>
  <c r="P83" i="12"/>
  <c r="G83" i="12"/>
  <c r="Q82" i="12"/>
  <c r="P82" i="12"/>
  <c r="G82" i="12"/>
  <c r="Q81" i="12"/>
  <c r="P81" i="12"/>
  <c r="G81" i="12"/>
  <c r="Q80" i="12"/>
  <c r="P80" i="12"/>
  <c r="G80" i="12"/>
  <c r="Q79" i="12"/>
  <c r="P79" i="12"/>
  <c r="G79" i="12"/>
  <c r="Q78" i="12"/>
  <c r="P78" i="12"/>
  <c r="G78" i="12"/>
  <c r="Q77" i="12"/>
  <c r="P77" i="12"/>
  <c r="G77" i="12"/>
  <c r="P76" i="12"/>
  <c r="G76" i="12"/>
  <c r="P75" i="12"/>
  <c r="G75" i="12"/>
  <c r="P74" i="12"/>
  <c r="G74" i="12"/>
  <c r="P73" i="12"/>
  <c r="G73" i="12"/>
  <c r="P72" i="12"/>
  <c r="G72" i="12"/>
  <c r="P71" i="12"/>
  <c r="P70" i="12"/>
  <c r="P69" i="12"/>
  <c r="P68" i="12"/>
  <c r="Q1575" i="11"/>
  <c r="P1575" i="11"/>
  <c r="Q1574" i="11"/>
  <c r="P1574" i="11"/>
  <c r="Q1573" i="11"/>
  <c r="P1573" i="11"/>
  <c r="Q1572" i="11"/>
  <c r="P1572" i="11"/>
  <c r="Q1571" i="11"/>
  <c r="P1571" i="11"/>
  <c r="Q1570" i="11"/>
  <c r="P1570" i="11"/>
  <c r="Q1569" i="11"/>
  <c r="P1569" i="11"/>
  <c r="Q1568" i="11"/>
  <c r="P1568" i="11"/>
  <c r="Q1567" i="11"/>
  <c r="P1567" i="11"/>
  <c r="Q1566" i="11"/>
  <c r="P1566" i="11"/>
  <c r="Q1565" i="11"/>
  <c r="P1565" i="11"/>
  <c r="Q1564" i="11"/>
  <c r="P1564" i="11"/>
  <c r="Q1563" i="11"/>
  <c r="P1563" i="11"/>
  <c r="Q1562" i="11"/>
  <c r="P1562" i="11"/>
  <c r="Q1561" i="11"/>
  <c r="P1561" i="11"/>
  <c r="Q1560" i="11"/>
  <c r="P1560" i="11"/>
  <c r="Q1559" i="11"/>
  <c r="P1559" i="11"/>
  <c r="Q1558" i="11"/>
  <c r="P1558" i="11"/>
  <c r="Q1557" i="11"/>
  <c r="P1557" i="11"/>
  <c r="Q1556" i="11"/>
  <c r="P1556" i="11"/>
  <c r="Q1555" i="11"/>
  <c r="P1555" i="11"/>
  <c r="Q1554" i="11"/>
  <c r="P1554" i="11"/>
  <c r="Q1553" i="11"/>
  <c r="P1553" i="11"/>
  <c r="Q1552" i="11"/>
  <c r="P1552" i="11"/>
  <c r="Q1551" i="11"/>
  <c r="P1551" i="11"/>
  <c r="Q1550" i="11"/>
  <c r="P1550" i="11"/>
  <c r="Q1549" i="11"/>
  <c r="P1549" i="11"/>
  <c r="Q1548" i="11"/>
  <c r="P1548" i="11"/>
  <c r="Q1547" i="11"/>
  <c r="P1547" i="11"/>
  <c r="Q1546" i="11"/>
  <c r="P1546" i="11"/>
  <c r="Q1545" i="11"/>
  <c r="P1545" i="11"/>
  <c r="Q1544" i="11"/>
  <c r="P1544" i="11"/>
  <c r="Q1543" i="11"/>
  <c r="P1543" i="11"/>
  <c r="Q1542" i="11"/>
  <c r="P1542" i="11"/>
  <c r="Q1541" i="11"/>
  <c r="P1541" i="11"/>
  <c r="Q1540" i="11"/>
  <c r="P1540" i="11"/>
  <c r="Q1539" i="11"/>
  <c r="P1539" i="11"/>
  <c r="Q1538" i="11"/>
  <c r="P1538" i="11"/>
  <c r="Q1537" i="11"/>
  <c r="P1537" i="11"/>
  <c r="Q1536" i="11"/>
  <c r="P1536" i="11"/>
  <c r="Q1535" i="11"/>
  <c r="P1535" i="11"/>
  <c r="Q1534" i="11"/>
  <c r="P1534" i="11"/>
  <c r="Q1533" i="11"/>
  <c r="P1533" i="11"/>
  <c r="Q1532" i="11"/>
  <c r="P1532" i="11"/>
  <c r="Q1531" i="11"/>
  <c r="P1531" i="11"/>
  <c r="Q1530" i="11"/>
  <c r="P1530" i="11"/>
  <c r="Q1529" i="11"/>
  <c r="P1529" i="11"/>
  <c r="Q1528" i="11"/>
  <c r="P1528" i="11"/>
  <c r="Q1527" i="11"/>
  <c r="P1527" i="11"/>
  <c r="Q1526" i="11"/>
  <c r="P1526" i="11"/>
  <c r="Q1525" i="11"/>
  <c r="P1525" i="11"/>
  <c r="Q1524" i="11"/>
  <c r="P1524" i="11"/>
  <c r="Q1523" i="11"/>
  <c r="P1523" i="11"/>
  <c r="Q1522" i="11"/>
  <c r="P1522" i="11"/>
  <c r="Q1521" i="11"/>
  <c r="P1521" i="11"/>
  <c r="Q1520" i="11"/>
  <c r="P1520" i="11"/>
  <c r="Q1519" i="11"/>
  <c r="P1519" i="11"/>
  <c r="Q1518" i="11"/>
  <c r="P1518" i="11"/>
  <c r="Q1517" i="11"/>
  <c r="P1517" i="11"/>
  <c r="Q1516" i="11"/>
  <c r="P1516" i="11"/>
  <c r="Q1515" i="11"/>
  <c r="P1515" i="11"/>
  <c r="Q1514" i="11"/>
  <c r="P1514" i="11"/>
  <c r="Q1513" i="11"/>
  <c r="P1513" i="11"/>
  <c r="Q1512" i="11"/>
  <c r="P1512" i="11"/>
  <c r="Q1511" i="11"/>
  <c r="P1511" i="11"/>
  <c r="Q1510" i="11"/>
  <c r="P1510" i="11"/>
  <c r="Q1509" i="11"/>
  <c r="P1509" i="11"/>
  <c r="Q1508" i="11"/>
  <c r="P1508" i="11"/>
  <c r="Q1507" i="11"/>
  <c r="P1507" i="11"/>
  <c r="Q1506" i="11"/>
  <c r="P1506" i="11"/>
  <c r="Q1505" i="11"/>
  <c r="P1505" i="11"/>
  <c r="Q1504" i="11"/>
  <c r="P1504" i="11"/>
  <c r="Q1503" i="11"/>
  <c r="P1503" i="11"/>
  <c r="Q1502" i="11"/>
  <c r="P1502" i="11"/>
  <c r="Q1501" i="11"/>
  <c r="P1501" i="11"/>
  <c r="Q1500" i="11"/>
  <c r="P1500" i="11"/>
  <c r="Q1499" i="11"/>
  <c r="P1499" i="11"/>
  <c r="Q1498" i="11"/>
  <c r="P1498" i="11"/>
  <c r="Q1497" i="11"/>
  <c r="P1497" i="11"/>
  <c r="Q1496" i="11"/>
  <c r="P1496" i="11"/>
  <c r="Q1495" i="11"/>
  <c r="P1495" i="11"/>
  <c r="Q1494" i="11"/>
  <c r="P1494" i="11"/>
  <c r="Q1493" i="11"/>
  <c r="P1493" i="11"/>
  <c r="Q1492" i="11"/>
  <c r="P1492" i="11"/>
  <c r="Q1491" i="11"/>
  <c r="P1491" i="11"/>
  <c r="Q1490" i="11"/>
  <c r="P1490" i="11"/>
  <c r="Q1489" i="11"/>
  <c r="P1489" i="11"/>
  <c r="Q1488" i="11"/>
  <c r="P1488" i="11"/>
  <c r="Q1487" i="11"/>
  <c r="P1487" i="11"/>
  <c r="Q1486" i="11"/>
  <c r="P1486" i="11"/>
  <c r="Q1485" i="11"/>
  <c r="P1485" i="11"/>
  <c r="Q1484" i="11"/>
  <c r="P1484" i="11"/>
  <c r="Q1483" i="11"/>
  <c r="P1483" i="11"/>
  <c r="Q1482" i="11"/>
  <c r="P1482" i="11"/>
  <c r="Q1481" i="11"/>
  <c r="P1481" i="11"/>
  <c r="Q1480" i="11"/>
  <c r="P1480" i="11"/>
  <c r="Q1479" i="11"/>
  <c r="P1479" i="11"/>
  <c r="Q1478" i="11"/>
  <c r="P1478" i="11"/>
  <c r="Q1477" i="11"/>
  <c r="P1477" i="11"/>
  <c r="Q1476" i="11"/>
  <c r="P1476" i="11"/>
  <c r="Q1475" i="11"/>
  <c r="P1475" i="11"/>
  <c r="Q1474" i="11"/>
  <c r="P1474" i="11"/>
  <c r="Q1473" i="11"/>
  <c r="P1473" i="11"/>
  <c r="Q1472" i="11"/>
  <c r="P1472" i="11"/>
  <c r="Q1471" i="11"/>
  <c r="P1471" i="11"/>
  <c r="Q1470" i="11"/>
  <c r="P1470" i="11"/>
  <c r="Q1469" i="11"/>
  <c r="P1469" i="11"/>
  <c r="Q1468" i="11"/>
  <c r="P1468" i="11"/>
  <c r="Q1467" i="11"/>
  <c r="P1467" i="11"/>
  <c r="Q1466" i="11"/>
  <c r="P1466" i="11"/>
  <c r="Q1465" i="11"/>
  <c r="P1465" i="11"/>
  <c r="Q1464" i="11"/>
  <c r="P1464" i="11"/>
  <c r="Q1463" i="11"/>
  <c r="P1463" i="11"/>
  <c r="Q1462" i="11"/>
  <c r="P1462" i="11"/>
  <c r="Q1461" i="11"/>
  <c r="P1461" i="11"/>
  <c r="Q1460" i="11"/>
  <c r="P1460" i="11"/>
  <c r="Q1459" i="11"/>
  <c r="P1459" i="11"/>
  <c r="Q1458" i="11"/>
  <c r="P1458" i="11"/>
  <c r="Q1457" i="11"/>
  <c r="P1457" i="11"/>
  <c r="Q1456" i="11"/>
  <c r="P1456" i="11"/>
  <c r="Q1455" i="11"/>
  <c r="P1455" i="11"/>
  <c r="Q1454" i="11"/>
  <c r="P1454" i="11"/>
  <c r="Q1453" i="11"/>
  <c r="P1453" i="11"/>
  <c r="Q1452" i="11"/>
  <c r="P1452" i="11"/>
  <c r="Q1451" i="11"/>
  <c r="P1451" i="11"/>
  <c r="Q1450" i="11"/>
  <c r="P1450" i="11"/>
  <c r="Q1449" i="11"/>
  <c r="P1449" i="11"/>
  <c r="Q1448" i="11"/>
  <c r="P1448" i="11"/>
  <c r="Q1447" i="11"/>
  <c r="P1447" i="11"/>
  <c r="Q1446" i="11"/>
  <c r="P1446" i="11"/>
  <c r="Q1445" i="11"/>
  <c r="P1445" i="11"/>
  <c r="Q1444" i="11"/>
  <c r="P1444" i="11"/>
  <c r="Q1443" i="11"/>
  <c r="P1443" i="11"/>
  <c r="Q1442" i="11"/>
  <c r="P1442" i="11"/>
  <c r="Q1441" i="11"/>
  <c r="P1441" i="11"/>
  <c r="Q1440" i="11"/>
  <c r="P1440" i="11"/>
  <c r="Q1439" i="11"/>
  <c r="P1439" i="11"/>
  <c r="Q1438" i="11"/>
  <c r="P1438" i="11"/>
  <c r="Q1437" i="11"/>
  <c r="P1437" i="11"/>
  <c r="Q1436" i="11"/>
  <c r="P1436" i="11"/>
  <c r="Q1435" i="11"/>
  <c r="P1435" i="11"/>
  <c r="Q1434" i="11"/>
  <c r="P1434" i="11"/>
  <c r="Q1433" i="11"/>
  <c r="P1433" i="11"/>
  <c r="Q1432" i="11"/>
  <c r="P1432" i="11"/>
  <c r="Q1431" i="11"/>
  <c r="P1431" i="11"/>
  <c r="Q1430" i="11"/>
  <c r="P1430" i="11"/>
  <c r="Q1429" i="11"/>
  <c r="P1429" i="11"/>
  <c r="Q1428" i="11"/>
  <c r="P1428" i="11"/>
  <c r="Q1427" i="11"/>
  <c r="P1427" i="11"/>
  <c r="Q1426" i="11"/>
  <c r="P1426" i="11"/>
  <c r="Q1425" i="11"/>
  <c r="P1425" i="11"/>
  <c r="Q1424" i="11"/>
  <c r="P1424" i="11"/>
  <c r="Q1423" i="11"/>
  <c r="P1423" i="11"/>
  <c r="Q1422" i="11"/>
  <c r="P1422" i="11"/>
  <c r="Q1421" i="11"/>
  <c r="P1421" i="11"/>
  <c r="Q1420" i="11"/>
  <c r="P1420" i="11"/>
  <c r="Q1419" i="11"/>
  <c r="P1419" i="11"/>
  <c r="Q1418" i="11"/>
  <c r="P1418" i="11"/>
  <c r="Q1417" i="11"/>
  <c r="P1417" i="11"/>
  <c r="Q1416" i="11"/>
  <c r="P1416" i="11"/>
  <c r="Q1415" i="11"/>
  <c r="P1415" i="11"/>
  <c r="Q1414" i="11"/>
  <c r="P1414" i="11"/>
  <c r="Q1413" i="11"/>
  <c r="P1413" i="11"/>
  <c r="Q1412" i="11"/>
  <c r="P1412" i="11"/>
  <c r="Q1411" i="11"/>
  <c r="P1411" i="11"/>
  <c r="Q1410" i="11"/>
  <c r="P1410" i="11"/>
  <c r="Q1409" i="11"/>
  <c r="P1409" i="11"/>
  <c r="Q1408" i="11"/>
  <c r="P1408" i="11"/>
  <c r="Q1407" i="11"/>
  <c r="P1407" i="11"/>
  <c r="Q1406" i="11"/>
  <c r="P1406" i="11"/>
  <c r="Q1405" i="11"/>
  <c r="P1405" i="11"/>
  <c r="Q1404" i="11"/>
  <c r="P1404" i="11"/>
  <c r="Q1403" i="11"/>
  <c r="P1403" i="11"/>
  <c r="Q1402" i="11"/>
  <c r="P1402" i="11"/>
  <c r="Q1401" i="11"/>
  <c r="P1401" i="11"/>
  <c r="Q1400" i="11"/>
  <c r="P1400" i="11"/>
  <c r="Q1399" i="11"/>
  <c r="P1399" i="11"/>
  <c r="Q1398" i="11"/>
  <c r="P1398" i="11"/>
  <c r="Q1397" i="11"/>
  <c r="P1397" i="11"/>
  <c r="Q1396" i="11"/>
  <c r="P1396" i="11"/>
  <c r="Q1395" i="11"/>
  <c r="P1395" i="11"/>
  <c r="Q1394" i="11"/>
  <c r="P1394" i="11"/>
  <c r="Q1393" i="11"/>
  <c r="P1393" i="11"/>
  <c r="Q1392" i="11"/>
  <c r="P1392" i="11"/>
  <c r="Q1391" i="11"/>
  <c r="P1391" i="11"/>
  <c r="Q1390" i="11"/>
  <c r="P1390" i="11"/>
  <c r="Q1389" i="11"/>
  <c r="P1389" i="11"/>
  <c r="Q1388" i="11"/>
  <c r="P1388" i="11"/>
  <c r="Q1387" i="11"/>
  <c r="P1387" i="11"/>
  <c r="Q1386" i="11"/>
  <c r="P1386" i="11"/>
  <c r="Q1385" i="11"/>
  <c r="P1385" i="11"/>
  <c r="Q1384" i="11"/>
  <c r="P1384" i="11"/>
  <c r="Q1383" i="11"/>
  <c r="P1383" i="11"/>
  <c r="Q1382" i="11"/>
  <c r="P1382" i="11"/>
  <c r="Q1381" i="11"/>
  <c r="P1381" i="11"/>
  <c r="Q1380" i="11"/>
  <c r="P1380" i="11"/>
  <c r="Q1379" i="11"/>
  <c r="P1379" i="11"/>
  <c r="Q1378" i="11"/>
  <c r="P1378" i="11"/>
  <c r="Q1377" i="11"/>
  <c r="P1377" i="11"/>
  <c r="Q1376" i="11"/>
  <c r="P1376" i="11"/>
  <c r="Q1375" i="11"/>
  <c r="P1375" i="11"/>
  <c r="Q1374" i="11"/>
  <c r="P1374" i="11"/>
  <c r="Q1373" i="11"/>
  <c r="P1373" i="11"/>
  <c r="Q1372" i="11"/>
  <c r="P1372" i="11"/>
  <c r="Q1371" i="11"/>
  <c r="P1371" i="11"/>
  <c r="Q1370" i="11"/>
  <c r="P1370" i="11"/>
  <c r="Q1369" i="11"/>
  <c r="P1369" i="11"/>
  <c r="Q1368" i="11"/>
  <c r="P1368" i="11"/>
  <c r="Q1367" i="11"/>
  <c r="P1367" i="11"/>
  <c r="Q1366" i="11"/>
  <c r="P1366" i="11"/>
  <c r="Q1365" i="11"/>
  <c r="P1365" i="11"/>
  <c r="Q1364" i="11"/>
  <c r="P1364" i="11"/>
  <c r="Q1363" i="11"/>
  <c r="P1363" i="11"/>
  <c r="Q1362" i="11"/>
  <c r="P1362" i="11"/>
  <c r="Q1361" i="11"/>
  <c r="P1361" i="11"/>
  <c r="Q1360" i="11"/>
  <c r="P1360" i="11"/>
  <c r="Q1359" i="11"/>
  <c r="P1359" i="11"/>
  <c r="Q1358" i="11"/>
  <c r="P1358" i="11"/>
  <c r="Q1357" i="11"/>
  <c r="P1357" i="11"/>
  <c r="Q1356" i="11"/>
  <c r="P1356" i="11"/>
  <c r="Q1355" i="11"/>
  <c r="P1355" i="11"/>
  <c r="Q1354" i="11"/>
  <c r="P1354" i="11"/>
  <c r="Q1353" i="11"/>
  <c r="P1353" i="11"/>
  <c r="Q1352" i="11"/>
  <c r="P1352" i="11"/>
  <c r="Q1351" i="11"/>
  <c r="P1351" i="11"/>
  <c r="Q1350" i="11"/>
  <c r="P1350" i="11"/>
  <c r="Q1349" i="11"/>
  <c r="P1349" i="11"/>
  <c r="Q1348" i="11"/>
  <c r="P1348" i="11"/>
  <c r="Q1347" i="11"/>
  <c r="P1347" i="11"/>
  <c r="Q1346" i="11"/>
  <c r="P1346" i="11"/>
  <c r="Q1345" i="11"/>
  <c r="P1345" i="11"/>
  <c r="Q1344" i="11"/>
  <c r="P1344" i="11"/>
  <c r="Q1343" i="11"/>
  <c r="P1343" i="11"/>
  <c r="Q1342" i="11"/>
  <c r="P1342" i="11"/>
  <c r="Q1341" i="11"/>
  <c r="P1341" i="11"/>
  <c r="Q1340" i="11"/>
  <c r="P1340" i="11"/>
  <c r="Q1339" i="11"/>
  <c r="P1339" i="11"/>
  <c r="Q1338" i="11"/>
  <c r="P1338" i="11"/>
  <c r="Q1337" i="11"/>
  <c r="P1337" i="11"/>
  <c r="Q1336" i="11"/>
  <c r="P1336" i="11"/>
  <c r="Q1335" i="11"/>
  <c r="P1335" i="11"/>
  <c r="Q1334" i="11"/>
  <c r="P1334" i="11"/>
  <c r="Q1333" i="11"/>
  <c r="P1333" i="11"/>
  <c r="Q1332" i="11"/>
  <c r="P1332" i="11"/>
  <c r="Q1331" i="11"/>
  <c r="P1331" i="11"/>
  <c r="Q1330" i="11"/>
  <c r="P1330" i="11"/>
  <c r="Q1329" i="11"/>
  <c r="P1329" i="11"/>
  <c r="Q1328" i="11"/>
  <c r="P1328" i="11"/>
  <c r="Q1327" i="11"/>
  <c r="P1327" i="11"/>
  <c r="Q1326" i="11"/>
  <c r="P1326" i="11"/>
  <c r="Q1325" i="11"/>
  <c r="P1325" i="11"/>
  <c r="Q1324" i="11"/>
  <c r="P1324" i="11"/>
  <c r="Q1323" i="11"/>
  <c r="P1323" i="11"/>
  <c r="Q1322" i="11"/>
  <c r="P1322" i="11"/>
  <c r="Q1321" i="11"/>
  <c r="P1321" i="11"/>
  <c r="Q1320" i="11"/>
  <c r="P1320" i="11"/>
  <c r="Q1319" i="11"/>
  <c r="P1319" i="11"/>
  <c r="Q1318" i="11"/>
  <c r="P1318" i="11"/>
  <c r="Q1317" i="11"/>
  <c r="P1317" i="11"/>
  <c r="Q1316" i="11"/>
  <c r="P1316" i="11"/>
  <c r="Q1315" i="11"/>
  <c r="P1315" i="11"/>
  <c r="Q1314" i="11"/>
  <c r="P1314" i="11"/>
  <c r="Q1313" i="11"/>
  <c r="P1313" i="11"/>
  <c r="Q1312" i="11"/>
  <c r="P1312" i="11"/>
  <c r="Q1311" i="11"/>
  <c r="P1311" i="11"/>
  <c r="Q1310" i="11"/>
  <c r="P1310" i="11"/>
  <c r="Q1309" i="11"/>
  <c r="P1309" i="11"/>
  <c r="Q1308" i="11"/>
  <c r="P1308" i="11"/>
  <c r="Q1307" i="11"/>
  <c r="P1307" i="11"/>
  <c r="Q1306" i="11"/>
  <c r="P1306" i="11"/>
  <c r="Q1305" i="11"/>
  <c r="P1305" i="11"/>
  <c r="Q1304" i="11"/>
  <c r="P1304" i="11"/>
  <c r="Q1303" i="11"/>
  <c r="P1303" i="11"/>
  <c r="Q1302" i="11"/>
  <c r="P1302" i="11"/>
  <c r="Q1301" i="11"/>
  <c r="P1301" i="11"/>
  <c r="Q1300" i="11"/>
  <c r="P1300" i="11"/>
  <c r="Q1299" i="11"/>
  <c r="P1299" i="11"/>
  <c r="Q1298" i="11"/>
  <c r="P1298" i="11"/>
  <c r="Q1297" i="11"/>
  <c r="P1297" i="11"/>
  <c r="Q1296" i="11"/>
  <c r="P1296" i="11"/>
  <c r="Q1295" i="11"/>
  <c r="P1295" i="11"/>
  <c r="Q1294" i="11"/>
  <c r="P1294" i="11"/>
  <c r="Q1293" i="11"/>
  <c r="P1293" i="11"/>
  <c r="Q1292" i="11"/>
  <c r="P1292" i="11"/>
  <c r="Q1291" i="11"/>
  <c r="P1291" i="11"/>
  <c r="Q1290" i="11"/>
  <c r="P1290" i="11"/>
  <c r="Q1289" i="11"/>
  <c r="P1289" i="11"/>
  <c r="Q1288" i="11"/>
  <c r="P1288" i="11"/>
  <c r="Q1287" i="11"/>
  <c r="P1287" i="11"/>
  <c r="Q1286" i="11"/>
  <c r="P1286" i="11"/>
  <c r="Q1285" i="11"/>
  <c r="P1285" i="11"/>
  <c r="Q1284" i="11"/>
  <c r="P1284" i="11"/>
  <c r="Q1283" i="11"/>
  <c r="P1283" i="11"/>
  <c r="Q1282" i="11"/>
  <c r="P1282" i="11"/>
  <c r="Q1281" i="11"/>
  <c r="P1281" i="11"/>
  <c r="Q1280" i="11"/>
  <c r="P1280" i="11"/>
  <c r="Q1279" i="11"/>
  <c r="P1279" i="11"/>
  <c r="Q1278" i="11"/>
  <c r="P1278" i="11"/>
  <c r="Q1277" i="11"/>
  <c r="P1277" i="11"/>
  <c r="Q1276" i="11"/>
  <c r="P1276" i="11"/>
  <c r="Q1275" i="11"/>
  <c r="P1275" i="11"/>
  <c r="Q1274" i="11"/>
  <c r="P1274" i="11"/>
  <c r="Q1273" i="11"/>
  <c r="P1273" i="11"/>
  <c r="Q1272" i="11"/>
  <c r="P1272" i="11"/>
  <c r="Q1271" i="11"/>
  <c r="P1271" i="11"/>
  <c r="Q1270" i="11"/>
  <c r="P1270" i="11"/>
  <c r="Q1269" i="11"/>
  <c r="P1269" i="11"/>
  <c r="Q1268" i="11"/>
  <c r="P1268" i="11"/>
  <c r="Q1267" i="11"/>
  <c r="P1267" i="11"/>
  <c r="Q1266" i="11"/>
  <c r="P1266" i="11"/>
  <c r="Q1265" i="11"/>
  <c r="P1265" i="11"/>
  <c r="Q1264" i="11"/>
  <c r="P1264" i="11"/>
  <c r="Q1263" i="11"/>
  <c r="P1263" i="11"/>
  <c r="Q1262" i="11"/>
  <c r="P1262" i="11"/>
  <c r="Q1261" i="11"/>
  <c r="P1261" i="11"/>
  <c r="Q1260" i="11"/>
  <c r="P1260" i="11"/>
  <c r="Q1259" i="11"/>
  <c r="P1259" i="11"/>
  <c r="Q1258" i="11"/>
  <c r="P1258" i="11"/>
  <c r="Q1257" i="11"/>
  <c r="P1257" i="11"/>
  <c r="Q1256" i="11"/>
  <c r="P1256" i="11"/>
  <c r="Q1255" i="11"/>
  <c r="P1255" i="11"/>
  <c r="Q1254" i="11"/>
  <c r="P1254" i="11"/>
  <c r="Q1253" i="11"/>
  <c r="P1253" i="11"/>
  <c r="Q1252" i="11"/>
  <c r="P1252" i="11"/>
  <c r="Q1251" i="11"/>
  <c r="P1251" i="11"/>
  <c r="Q1250" i="11"/>
  <c r="P1250" i="11"/>
  <c r="Q1249" i="11"/>
  <c r="P1249" i="11"/>
  <c r="Q1248" i="11"/>
  <c r="P1248" i="11"/>
  <c r="Q1247" i="11"/>
  <c r="P1247" i="11"/>
  <c r="Q1246" i="11"/>
  <c r="P1246" i="11"/>
  <c r="Q1245" i="11"/>
  <c r="P1245" i="11"/>
  <c r="Q1244" i="11"/>
  <c r="P1244" i="11"/>
  <c r="Q1243" i="11"/>
  <c r="P1243" i="11"/>
  <c r="Q1242" i="11"/>
  <c r="P1242" i="11"/>
  <c r="Q1241" i="11"/>
  <c r="P1241" i="11"/>
  <c r="Q1240" i="11"/>
  <c r="P1240" i="11"/>
  <c r="Q1239" i="11"/>
  <c r="P1239" i="11"/>
  <c r="Q1238" i="11"/>
  <c r="P1238" i="11"/>
  <c r="Q1237" i="11"/>
  <c r="P1237" i="11"/>
  <c r="Q1236" i="11"/>
  <c r="P1236" i="11"/>
  <c r="Q1235" i="11"/>
  <c r="P1235" i="11"/>
  <c r="Q1234" i="11"/>
  <c r="P1234" i="11"/>
  <c r="Q1233" i="11"/>
  <c r="P1233" i="11"/>
  <c r="Q1232" i="11"/>
  <c r="P1232" i="11"/>
  <c r="Q1231" i="11"/>
  <c r="P1231" i="11"/>
  <c r="Q1230" i="11"/>
  <c r="P1230" i="11"/>
  <c r="Q1229" i="11"/>
  <c r="P1229" i="11"/>
  <c r="Q1228" i="11"/>
  <c r="P1228" i="11"/>
  <c r="Q1227" i="11"/>
  <c r="P1227" i="11"/>
  <c r="Q1226" i="11"/>
  <c r="P1226" i="11"/>
  <c r="Q1225" i="11"/>
  <c r="P1225" i="11"/>
  <c r="Q1224" i="11"/>
  <c r="P1224" i="11"/>
  <c r="Q1223" i="11"/>
  <c r="P1223" i="11"/>
  <c r="Q1222" i="11"/>
  <c r="P1222" i="11"/>
  <c r="Q1221" i="11"/>
  <c r="P1221" i="11"/>
  <c r="Q1220" i="11"/>
  <c r="P1220" i="11"/>
  <c r="Q1219" i="11"/>
  <c r="P1219" i="11"/>
  <c r="Q1218" i="11"/>
  <c r="P1218" i="11"/>
  <c r="Q1217" i="11"/>
  <c r="P1217" i="11"/>
  <c r="Q1216" i="11"/>
  <c r="P1216" i="11"/>
  <c r="Q1215" i="11"/>
  <c r="P1215" i="11"/>
  <c r="Q1214" i="11"/>
  <c r="P1214" i="11"/>
  <c r="Q1213" i="11"/>
  <c r="P1213" i="11"/>
  <c r="Q1212" i="11"/>
  <c r="P1212" i="11"/>
  <c r="Q1211" i="11"/>
  <c r="P1211" i="11"/>
  <c r="Q1210" i="11"/>
  <c r="P1210" i="11"/>
  <c r="Q1209" i="11"/>
  <c r="P1209" i="11"/>
  <c r="Q1208" i="11"/>
  <c r="P1208" i="11"/>
  <c r="Q1207" i="11"/>
  <c r="P1207" i="11"/>
  <c r="Q1206" i="11"/>
  <c r="P1206" i="11"/>
  <c r="Q1205" i="11"/>
  <c r="P1205" i="11"/>
  <c r="Q1204" i="11"/>
  <c r="P1204" i="11"/>
  <c r="Q1203" i="11"/>
  <c r="P1203" i="11"/>
  <c r="Q1202" i="11"/>
  <c r="P1202" i="11"/>
  <c r="Q1201" i="11"/>
  <c r="P1201" i="11"/>
  <c r="Q1200" i="11"/>
  <c r="P1200" i="11"/>
  <c r="Q1199" i="11"/>
  <c r="P1199" i="11"/>
  <c r="Q1198" i="11"/>
  <c r="P1198" i="11"/>
  <c r="Q1197" i="11"/>
  <c r="P1197" i="11"/>
  <c r="Q1196" i="11"/>
  <c r="P1196" i="11"/>
  <c r="Q1195" i="11"/>
  <c r="P1195" i="11"/>
  <c r="Q1194" i="11"/>
  <c r="P1194" i="11"/>
  <c r="Q1193" i="11"/>
  <c r="P1193" i="11"/>
  <c r="Q1192" i="11"/>
  <c r="P1192" i="11"/>
  <c r="Q1191" i="11"/>
  <c r="P1191" i="11"/>
  <c r="Q1190" i="11"/>
  <c r="P1190" i="11"/>
  <c r="Q1189" i="11"/>
  <c r="P1189" i="11"/>
  <c r="Q1188" i="11"/>
  <c r="P1188" i="11"/>
  <c r="Q1187" i="11"/>
  <c r="P1187" i="11"/>
  <c r="Q1186" i="11"/>
  <c r="P1186" i="11"/>
  <c r="Q1185" i="11"/>
  <c r="P1185" i="11"/>
  <c r="Q1184" i="11"/>
  <c r="P1184" i="11"/>
  <c r="Q1183" i="11"/>
  <c r="P1183" i="11"/>
  <c r="Q1182" i="11"/>
  <c r="P1182" i="11"/>
  <c r="Q1181" i="11"/>
  <c r="P1181" i="11"/>
  <c r="Q1180" i="11"/>
  <c r="P1180" i="11"/>
  <c r="Q1179" i="11"/>
  <c r="P1179" i="11"/>
  <c r="Q1178" i="11"/>
  <c r="P1178" i="11"/>
  <c r="Q1177" i="11"/>
  <c r="P1177" i="11"/>
  <c r="Q1176" i="11"/>
  <c r="P1176" i="11"/>
  <c r="Q1175" i="11"/>
  <c r="P1175" i="11"/>
  <c r="Q1174" i="11"/>
  <c r="P1174" i="11"/>
  <c r="Q1173" i="11"/>
  <c r="P1173" i="11"/>
  <c r="Q1172" i="11"/>
  <c r="P1172" i="11"/>
  <c r="Q1171" i="11"/>
  <c r="P1171" i="11"/>
  <c r="Q1170" i="11"/>
  <c r="P1170" i="11"/>
  <c r="Q1169" i="11"/>
  <c r="P1169" i="11"/>
  <c r="Q1168" i="11"/>
  <c r="P1168" i="11"/>
  <c r="Q1167" i="11"/>
  <c r="P1167" i="11"/>
  <c r="Q1166" i="11"/>
  <c r="P1166" i="11"/>
  <c r="Q1165" i="11"/>
  <c r="P1165" i="11"/>
  <c r="Q1164" i="11"/>
  <c r="P1164" i="11"/>
  <c r="Q1163" i="11"/>
  <c r="P1163" i="11"/>
  <c r="Q1162" i="11"/>
  <c r="P1162" i="11"/>
  <c r="Q1161" i="11"/>
  <c r="P1161" i="11"/>
  <c r="Q1160" i="11"/>
  <c r="P1160" i="11"/>
  <c r="Q1159" i="11"/>
  <c r="P1159" i="11"/>
  <c r="Q1158" i="11"/>
  <c r="P1158" i="11"/>
  <c r="Q1157" i="11"/>
  <c r="P1157" i="11"/>
  <c r="Q1156" i="11"/>
  <c r="P1156" i="11"/>
  <c r="Q1155" i="11"/>
  <c r="P1155" i="11"/>
  <c r="Q1154" i="11"/>
  <c r="P1154" i="11"/>
  <c r="Q1153" i="11"/>
  <c r="P1153" i="11"/>
  <c r="Q1152" i="11"/>
  <c r="P1152" i="11"/>
  <c r="Q1151" i="11"/>
  <c r="P1151" i="11"/>
  <c r="Q1150" i="11"/>
  <c r="P1150" i="11"/>
  <c r="Q1149" i="11"/>
  <c r="P1149" i="11"/>
  <c r="Q1148" i="11"/>
  <c r="P1148" i="11"/>
  <c r="Q1147" i="11"/>
  <c r="P1147" i="11"/>
  <c r="Q1146" i="11"/>
  <c r="P1146" i="11"/>
  <c r="Q1145" i="11"/>
  <c r="P1145" i="11"/>
  <c r="Q1144" i="11"/>
  <c r="P1144" i="11"/>
  <c r="Q1143" i="11"/>
  <c r="P1143" i="11"/>
  <c r="Q1142" i="11"/>
  <c r="P1142" i="11"/>
  <c r="Q1141" i="11"/>
  <c r="P1141" i="11"/>
  <c r="Q1140" i="11"/>
  <c r="P1140" i="11"/>
  <c r="Q1139" i="11"/>
  <c r="P1139" i="11"/>
  <c r="Q1138" i="11"/>
  <c r="P1138" i="11"/>
  <c r="Q1137" i="11"/>
  <c r="P1137" i="11"/>
  <c r="Q1136" i="11"/>
  <c r="P1136" i="11"/>
  <c r="Q1135" i="11"/>
  <c r="P1135" i="11"/>
  <c r="Q1134" i="11"/>
  <c r="P1134" i="11"/>
  <c r="Q1133" i="11"/>
  <c r="P1133" i="11"/>
  <c r="Q1132" i="11"/>
  <c r="P1132" i="11"/>
  <c r="Q1131" i="11"/>
  <c r="P1131" i="11"/>
  <c r="Q1130" i="11"/>
  <c r="P1130" i="11"/>
  <c r="Q1129" i="11"/>
  <c r="P1129" i="11"/>
  <c r="Q1128" i="11"/>
  <c r="P1128" i="11"/>
  <c r="Q1127" i="11"/>
  <c r="P1127" i="11"/>
  <c r="Q1126" i="11"/>
  <c r="P1126" i="11"/>
  <c r="Q1125" i="11"/>
  <c r="P1125" i="11"/>
  <c r="Q1124" i="11"/>
  <c r="P1124" i="11"/>
  <c r="Q1123" i="11"/>
  <c r="P1123" i="11"/>
  <c r="Q1122" i="11"/>
  <c r="P1122" i="11"/>
  <c r="Q1121" i="11"/>
  <c r="P1121" i="11"/>
  <c r="Q1120" i="11"/>
  <c r="P1120" i="11"/>
  <c r="Q1119" i="11"/>
  <c r="P1119" i="11"/>
  <c r="Q1118" i="11"/>
  <c r="P1118" i="11"/>
  <c r="Q1117" i="11"/>
  <c r="P1117" i="11"/>
  <c r="Q1116" i="11"/>
  <c r="P1116" i="11"/>
  <c r="Q1115" i="11"/>
  <c r="P1115" i="11"/>
  <c r="Q1114" i="11"/>
  <c r="P1114" i="11"/>
  <c r="Q1113" i="11"/>
  <c r="P1113" i="11"/>
  <c r="Q1112" i="11"/>
  <c r="P1112" i="11"/>
  <c r="Q1111" i="11"/>
  <c r="P1111" i="11"/>
  <c r="Q1110" i="11"/>
  <c r="P1110" i="11"/>
  <c r="Q1109" i="11"/>
  <c r="P1109" i="11"/>
  <c r="Q1108" i="11"/>
  <c r="P1108" i="11"/>
  <c r="Q1107" i="11"/>
  <c r="P1107" i="11"/>
  <c r="Q1106" i="11"/>
  <c r="P1106" i="11"/>
  <c r="Q1105" i="11"/>
  <c r="P1105" i="11"/>
  <c r="Q1104" i="11"/>
  <c r="P1104" i="11"/>
  <c r="Q1103" i="11"/>
  <c r="P1103" i="11"/>
  <c r="Q1102" i="11"/>
  <c r="P1102" i="11"/>
  <c r="Q1101" i="11"/>
  <c r="P1101" i="11"/>
  <c r="Q1100" i="11"/>
  <c r="P1100" i="11"/>
  <c r="Q1099" i="11"/>
  <c r="P1099" i="11"/>
  <c r="Q1098" i="11"/>
  <c r="P1098" i="11"/>
  <c r="Q1097" i="11"/>
  <c r="P1097" i="11"/>
  <c r="Q1096" i="11"/>
  <c r="P1096" i="11"/>
  <c r="Q1095" i="11"/>
  <c r="P1095" i="11"/>
  <c r="Q1094" i="11"/>
  <c r="P1094" i="11"/>
  <c r="Q1093" i="11"/>
  <c r="P1093" i="11"/>
  <c r="Q1092" i="11"/>
  <c r="P1092" i="11"/>
  <c r="Q1091" i="11"/>
  <c r="P1091" i="11"/>
  <c r="Q1090" i="11"/>
  <c r="P1090" i="11"/>
  <c r="Q1089" i="11"/>
  <c r="P1089" i="11"/>
  <c r="Q1088" i="11"/>
  <c r="P1088" i="11"/>
  <c r="Q1087" i="11"/>
  <c r="P1087" i="11"/>
  <c r="Q1086" i="11"/>
  <c r="P1086" i="11"/>
  <c r="Q1085" i="11"/>
  <c r="P1085" i="11"/>
  <c r="Q1084" i="11"/>
  <c r="P1084" i="11"/>
  <c r="Q1083" i="11"/>
  <c r="P1083" i="11"/>
  <c r="Q1082" i="11"/>
  <c r="P1082" i="11"/>
  <c r="Q1081" i="11"/>
  <c r="P1081" i="11"/>
  <c r="Q1080" i="11"/>
  <c r="P1080" i="11"/>
  <c r="Q1079" i="11"/>
  <c r="P1079" i="11"/>
  <c r="Q1078" i="11"/>
  <c r="P1078" i="11"/>
  <c r="Q1077" i="11"/>
  <c r="P1077" i="11"/>
  <c r="Q1076" i="11"/>
  <c r="P1076" i="11"/>
  <c r="Q1075" i="11"/>
  <c r="P1075" i="11"/>
  <c r="Q1074" i="11"/>
  <c r="P1074" i="11"/>
  <c r="Q1073" i="11"/>
  <c r="P1073" i="11"/>
  <c r="Q1072" i="11"/>
  <c r="P1072" i="11"/>
  <c r="Q1071" i="11"/>
  <c r="P1071" i="11"/>
  <c r="Q1070" i="11"/>
  <c r="P1070" i="11"/>
  <c r="Q1069" i="11"/>
  <c r="P1069" i="11"/>
  <c r="Q1068" i="11"/>
  <c r="P1068" i="11"/>
  <c r="Q1067" i="11"/>
  <c r="P1067" i="11"/>
  <c r="Q1066" i="11"/>
  <c r="P1066" i="11"/>
  <c r="Q1065" i="11"/>
  <c r="P1065" i="11"/>
  <c r="Q1064" i="11"/>
  <c r="P1064" i="11"/>
  <c r="Q1063" i="11"/>
  <c r="P1063" i="11"/>
  <c r="Q1062" i="11"/>
  <c r="P1062" i="11"/>
  <c r="Q1061" i="11"/>
  <c r="P1061" i="11"/>
  <c r="Q1060" i="11"/>
  <c r="P1060" i="11"/>
  <c r="Q1059" i="11"/>
  <c r="P1059" i="11"/>
  <c r="Q1058" i="11"/>
  <c r="P1058" i="11"/>
  <c r="Q1057" i="11"/>
  <c r="P1057" i="11"/>
  <c r="Q1056" i="11"/>
  <c r="P1056" i="11"/>
  <c r="Q1055" i="11"/>
  <c r="P1055" i="11"/>
  <c r="Q1054" i="11"/>
  <c r="P1054" i="11"/>
  <c r="Q1053" i="11"/>
  <c r="P1053" i="11"/>
  <c r="Q1052" i="11"/>
  <c r="P1052" i="11"/>
  <c r="Q1051" i="11"/>
  <c r="P1051" i="11"/>
  <c r="Q1050" i="11"/>
  <c r="P1050" i="11"/>
  <c r="Q1049" i="11"/>
  <c r="P1049" i="11"/>
  <c r="Q1048" i="11"/>
  <c r="P1048" i="11"/>
  <c r="Q1047" i="11"/>
  <c r="P1047" i="11"/>
  <c r="Q1046" i="11"/>
  <c r="P1046" i="11"/>
  <c r="Q1045" i="11"/>
  <c r="P1045" i="11"/>
  <c r="Q1044" i="11"/>
  <c r="P1044" i="11"/>
  <c r="Q1043" i="11"/>
  <c r="P1043" i="11"/>
  <c r="Q1042" i="11"/>
  <c r="P1042" i="11"/>
  <c r="Q1041" i="11"/>
  <c r="P1041" i="11"/>
  <c r="Q1040" i="11"/>
  <c r="P1040" i="11"/>
  <c r="Q1039" i="11"/>
  <c r="P1039" i="11"/>
  <c r="Q1038" i="11"/>
  <c r="P1038" i="11"/>
  <c r="Q1037" i="11"/>
  <c r="P1037" i="11"/>
  <c r="Q1036" i="11"/>
  <c r="P1036" i="11"/>
  <c r="Q1035" i="11"/>
  <c r="P1035" i="11"/>
  <c r="Q1034" i="11"/>
  <c r="P1034" i="11"/>
  <c r="Q1033" i="11"/>
  <c r="P1033" i="11"/>
  <c r="Q1032" i="11"/>
  <c r="P1032" i="11"/>
  <c r="Q1031" i="11"/>
  <c r="P1031" i="11"/>
  <c r="Q1030" i="11"/>
  <c r="P1030" i="11"/>
  <c r="Q1029" i="11"/>
  <c r="P1029" i="11"/>
  <c r="Q1028" i="11"/>
  <c r="P1028" i="11"/>
  <c r="Q1027" i="11"/>
  <c r="P1027" i="11"/>
  <c r="Q1026" i="11"/>
  <c r="P1026" i="11"/>
  <c r="Q1025" i="11"/>
  <c r="P1025" i="11"/>
  <c r="Q1024" i="11"/>
  <c r="P1024" i="11"/>
  <c r="Q1023" i="11"/>
  <c r="P1023" i="11"/>
  <c r="Q1022" i="11"/>
  <c r="P1022" i="11"/>
  <c r="Q1021" i="11"/>
  <c r="P1021" i="11"/>
  <c r="Q1020" i="11"/>
  <c r="P1020" i="11"/>
  <c r="Q1019" i="11"/>
  <c r="P1019" i="11"/>
  <c r="Q1018" i="11"/>
  <c r="P1018" i="11"/>
  <c r="Q1017" i="11"/>
  <c r="P1017" i="11"/>
  <c r="Q1016" i="11"/>
  <c r="P1016" i="11"/>
  <c r="Q1015" i="11"/>
  <c r="P1015" i="11"/>
  <c r="Q1014" i="11"/>
  <c r="P1014" i="11"/>
  <c r="Q1013" i="11"/>
  <c r="P1013" i="11"/>
  <c r="Q1012" i="11"/>
  <c r="P1012" i="11"/>
  <c r="Q1011" i="11"/>
  <c r="P1011" i="11"/>
  <c r="Q1010" i="11"/>
  <c r="P1010" i="11"/>
  <c r="Q1009" i="11"/>
  <c r="P1009" i="11"/>
  <c r="Q1008" i="11"/>
  <c r="P1008" i="11"/>
  <c r="Q1007" i="11"/>
  <c r="P1007" i="11"/>
  <c r="Q1006" i="11"/>
  <c r="P1006" i="11"/>
  <c r="Q1005" i="11"/>
  <c r="P1005" i="11"/>
  <c r="Q1004" i="11"/>
  <c r="P1004" i="11"/>
  <c r="Q1003" i="11"/>
  <c r="P1003" i="11"/>
  <c r="Q1002" i="11"/>
  <c r="P1002" i="11"/>
  <c r="Q1001" i="11"/>
  <c r="P1001" i="11"/>
  <c r="Q1000" i="11"/>
  <c r="P1000" i="11"/>
  <c r="Q999" i="11"/>
  <c r="P999" i="11"/>
  <c r="Q998" i="11"/>
  <c r="P998" i="11"/>
  <c r="Q997" i="11"/>
  <c r="P997" i="11"/>
  <c r="Q996" i="11"/>
  <c r="P996" i="11"/>
  <c r="Q995" i="11"/>
  <c r="P995" i="11"/>
  <c r="Q994" i="11"/>
  <c r="P994" i="11"/>
  <c r="Q993" i="11"/>
  <c r="P993" i="11"/>
  <c r="Q992" i="11"/>
  <c r="P992" i="11"/>
  <c r="Q991" i="11"/>
  <c r="P991" i="11"/>
  <c r="Q990" i="11"/>
  <c r="P990" i="11"/>
  <c r="Q989" i="11"/>
  <c r="P989" i="11"/>
  <c r="Q988" i="11"/>
  <c r="P988" i="11"/>
  <c r="Q987" i="11"/>
  <c r="P987" i="11"/>
  <c r="Q986" i="11"/>
  <c r="P986" i="11"/>
  <c r="Q985" i="11"/>
  <c r="P985" i="11"/>
  <c r="Q984" i="11"/>
  <c r="P984" i="11"/>
  <c r="Q983" i="11"/>
  <c r="P983" i="11"/>
  <c r="Q982" i="11"/>
  <c r="P982" i="11"/>
  <c r="Q981" i="11"/>
  <c r="P981" i="11"/>
  <c r="Q980" i="11"/>
  <c r="P980" i="11"/>
  <c r="Q979" i="11"/>
  <c r="P979" i="11"/>
  <c r="Q978" i="11"/>
  <c r="P978" i="11"/>
  <c r="Q977" i="11"/>
  <c r="P977" i="11"/>
  <c r="Q976" i="11"/>
  <c r="P976" i="11"/>
  <c r="Q975" i="11"/>
  <c r="P975" i="11"/>
  <c r="Q974" i="11"/>
  <c r="P974" i="11"/>
  <c r="Q973" i="11"/>
  <c r="P973" i="11"/>
  <c r="Q972" i="11"/>
  <c r="P972" i="11"/>
  <c r="Q971" i="11"/>
  <c r="P971" i="11"/>
  <c r="Q970" i="11"/>
  <c r="P970" i="11"/>
  <c r="Q969" i="11"/>
  <c r="P969" i="11"/>
  <c r="Q968" i="11"/>
  <c r="P968" i="11"/>
  <c r="Q967" i="11"/>
  <c r="P967" i="11"/>
  <c r="Q966" i="11"/>
  <c r="P966" i="11"/>
  <c r="Q965" i="11"/>
  <c r="P965" i="11"/>
  <c r="Q964" i="11"/>
  <c r="P964" i="11"/>
  <c r="Q963" i="11"/>
  <c r="P963" i="11"/>
  <c r="Q962" i="11"/>
  <c r="Q959" i="11"/>
  <c r="P959" i="11"/>
  <c r="Q958" i="11"/>
  <c r="P958" i="11"/>
  <c r="Q957" i="11"/>
  <c r="P957" i="11"/>
  <c r="Q956" i="11"/>
  <c r="P956" i="11"/>
  <c r="Q955" i="11"/>
  <c r="P955" i="11"/>
  <c r="Q954" i="11"/>
  <c r="P954" i="11"/>
  <c r="Q953" i="11"/>
  <c r="P953" i="11"/>
  <c r="Q952" i="11"/>
  <c r="P952" i="11"/>
  <c r="Q951" i="11"/>
  <c r="P951" i="11"/>
  <c r="Q950" i="11"/>
  <c r="P950" i="11"/>
  <c r="Q949" i="11"/>
  <c r="P949" i="11"/>
  <c r="Q948" i="11"/>
  <c r="P948" i="11"/>
  <c r="Q947" i="11"/>
  <c r="P947" i="11"/>
  <c r="Q946" i="11"/>
  <c r="P946" i="11"/>
  <c r="Q945" i="11"/>
  <c r="P945" i="11"/>
  <c r="Q944" i="11"/>
  <c r="P944" i="11"/>
  <c r="Q943" i="11"/>
  <c r="P943" i="11"/>
  <c r="Q942" i="11"/>
  <c r="P942" i="11"/>
  <c r="Q941" i="11"/>
  <c r="P941" i="11"/>
  <c r="Q940" i="11"/>
  <c r="P940" i="11"/>
  <c r="Q939" i="11"/>
  <c r="P939" i="11"/>
  <c r="Q938" i="11"/>
  <c r="P938" i="11"/>
  <c r="Q937" i="11"/>
  <c r="P937" i="11"/>
  <c r="Q936" i="11"/>
  <c r="P936" i="11"/>
  <c r="Q935" i="11"/>
  <c r="P935" i="11"/>
  <c r="Q934" i="11"/>
  <c r="P934" i="11"/>
  <c r="Q933" i="11"/>
  <c r="P933" i="11"/>
  <c r="Q932" i="11"/>
  <c r="P932" i="11"/>
  <c r="Q931" i="11"/>
  <c r="P931" i="11"/>
  <c r="Q930" i="11"/>
  <c r="P930" i="11"/>
  <c r="Q929" i="11"/>
  <c r="P929" i="11"/>
  <c r="Q928" i="11"/>
  <c r="P928" i="11"/>
  <c r="Q927" i="11"/>
  <c r="P927" i="11"/>
  <c r="Q926" i="11"/>
  <c r="P926" i="11"/>
  <c r="Q925" i="11"/>
  <c r="P925" i="11"/>
  <c r="Q924" i="11"/>
  <c r="P924" i="11"/>
  <c r="Q923" i="11"/>
  <c r="P923" i="11"/>
  <c r="Q922" i="11"/>
  <c r="P922" i="11"/>
  <c r="Q921" i="11"/>
  <c r="P921" i="11"/>
  <c r="Q920" i="11"/>
  <c r="P920" i="11"/>
  <c r="Q919" i="11"/>
  <c r="P919" i="11"/>
  <c r="Q918" i="11"/>
  <c r="P918" i="11"/>
  <c r="Q917" i="11"/>
  <c r="P917" i="11"/>
  <c r="Q916" i="11"/>
  <c r="P916" i="11"/>
  <c r="Q915" i="11"/>
  <c r="P915" i="11"/>
  <c r="Q914" i="11"/>
  <c r="P914" i="11"/>
  <c r="Q913" i="11"/>
  <c r="P913" i="11"/>
  <c r="Q912" i="11"/>
  <c r="P912" i="11"/>
  <c r="Q911" i="11"/>
  <c r="P911" i="11"/>
  <c r="Q910" i="11"/>
  <c r="P910" i="11"/>
  <c r="Q909" i="11"/>
  <c r="P909" i="11"/>
  <c r="Q908" i="11"/>
  <c r="P908" i="11"/>
  <c r="Q907" i="11"/>
  <c r="P907" i="11"/>
  <c r="Q906" i="11"/>
  <c r="P906" i="11"/>
  <c r="Q905" i="11"/>
  <c r="P905" i="11"/>
  <c r="Q904" i="11"/>
  <c r="P904" i="11"/>
  <c r="Q903" i="11"/>
  <c r="P903" i="11"/>
  <c r="Q902" i="11"/>
  <c r="P902" i="11"/>
  <c r="Q901" i="11"/>
  <c r="P901" i="11"/>
  <c r="Q900" i="11"/>
  <c r="P900" i="11"/>
  <c r="Q899" i="11"/>
  <c r="P899" i="11"/>
  <c r="Q898" i="11"/>
  <c r="P898" i="11"/>
  <c r="Q897" i="11"/>
  <c r="P897" i="11"/>
  <c r="Q896" i="11"/>
  <c r="P896" i="11"/>
  <c r="Q895" i="11"/>
  <c r="P895" i="11"/>
  <c r="Q894" i="11"/>
  <c r="P894" i="11"/>
  <c r="Q893" i="11"/>
  <c r="P893" i="11"/>
  <c r="Q892" i="11"/>
  <c r="P892" i="11"/>
  <c r="Q891" i="11"/>
  <c r="P891" i="11"/>
  <c r="Q890" i="11"/>
  <c r="P890" i="11"/>
  <c r="Q889" i="11"/>
  <c r="P889" i="11"/>
  <c r="Q888" i="11"/>
  <c r="P888" i="11"/>
  <c r="Q887" i="11"/>
  <c r="P887" i="11"/>
  <c r="Q886" i="11"/>
  <c r="P886" i="11"/>
  <c r="Q885" i="11"/>
  <c r="P885" i="11"/>
  <c r="Q884" i="11"/>
  <c r="P884" i="11"/>
  <c r="Q883" i="11"/>
  <c r="P883" i="11"/>
  <c r="Q882" i="11"/>
  <c r="P882" i="11"/>
  <c r="Q881" i="11"/>
  <c r="P881" i="11"/>
  <c r="Q880" i="11"/>
  <c r="P880" i="11"/>
  <c r="Q879" i="11"/>
  <c r="P879" i="11"/>
  <c r="Q878" i="11"/>
  <c r="P878" i="11"/>
  <c r="Q877" i="11"/>
  <c r="P877" i="11"/>
  <c r="Q876" i="11"/>
  <c r="P876" i="11"/>
  <c r="Q875" i="11"/>
  <c r="P875" i="11"/>
  <c r="Q874" i="11"/>
  <c r="P874" i="11"/>
  <c r="Q873" i="11"/>
  <c r="P873" i="11"/>
  <c r="Q872" i="11"/>
  <c r="P872" i="11"/>
  <c r="Q871" i="11"/>
  <c r="P871" i="11"/>
  <c r="Q870" i="11"/>
  <c r="P870" i="11"/>
  <c r="Q869" i="11"/>
  <c r="P869" i="11"/>
  <c r="Q868" i="11"/>
  <c r="P868" i="11"/>
  <c r="Q867" i="11"/>
  <c r="P867" i="11"/>
  <c r="Q866" i="11"/>
  <c r="P866" i="11"/>
  <c r="Q865" i="11"/>
  <c r="P865" i="11"/>
  <c r="Q864" i="11"/>
  <c r="P864" i="11"/>
  <c r="Q863" i="11"/>
  <c r="P863" i="11"/>
  <c r="Q862" i="11"/>
  <c r="P862" i="11"/>
  <c r="Q861" i="11"/>
  <c r="P861" i="11"/>
  <c r="Q860" i="11"/>
  <c r="P860" i="11"/>
  <c r="Q859" i="11"/>
  <c r="P859" i="11"/>
  <c r="Q858" i="11"/>
  <c r="P858" i="11"/>
  <c r="Q857" i="11"/>
  <c r="P857" i="11"/>
  <c r="Q856" i="11"/>
  <c r="P856" i="11"/>
  <c r="Q855" i="11"/>
  <c r="P855" i="11"/>
  <c r="Q854" i="11"/>
  <c r="P854" i="11"/>
  <c r="Q853" i="11"/>
  <c r="P853" i="11"/>
  <c r="Q852" i="11"/>
  <c r="P852" i="11"/>
  <c r="Q851" i="11"/>
  <c r="P851" i="11"/>
  <c r="Q850" i="11"/>
  <c r="P850" i="11"/>
  <c r="Q849" i="11"/>
  <c r="P849" i="11"/>
  <c r="Q848" i="11"/>
  <c r="P848" i="11"/>
  <c r="Q847" i="11"/>
  <c r="P847" i="11"/>
  <c r="Q846" i="11"/>
  <c r="P846" i="11"/>
  <c r="Q845" i="11"/>
  <c r="P845" i="11"/>
  <c r="Q844" i="11"/>
  <c r="P844" i="11"/>
  <c r="Q843" i="11"/>
  <c r="P843" i="11"/>
  <c r="Q842" i="11"/>
  <c r="P842" i="11"/>
  <c r="Q841" i="11"/>
  <c r="P841" i="11"/>
  <c r="Q840" i="11"/>
  <c r="P840" i="11"/>
  <c r="Q839" i="11"/>
  <c r="P839" i="11"/>
  <c r="Q838" i="11"/>
  <c r="P838" i="11"/>
  <c r="Q837" i="11"/>
  <c r="P837" i="11"/>
  <c r="Q836" i="11"/>
  <c r="P836" i="11"/>
  <c r="Q835" i="11"/>
  <c r="P835" i="11"/>
  <c r="Q834" i="11"/>
  <c r="P834" i="11"/>
  <c r="Q833" i="11"/>
  <c r="P833" i="11"/>
  <c r="Q832" i="11"/>
  <c r="P832" i="11"/>
  <c r="Q831" i="11"/>
  <c r="P831" i="11"/>
  <c r="Q830" i="11"/>
  <c r="P830" i="11"/>
  <c r="Q829" i="11"/>
  <c r="P829" i="11"/>
  <c r="Q828" i="11"/>
  <c r="P828" i="11"/>
  <c r="Q827" i="11"/>
  <c r="P827" i="11"/>
  <c r="Q826" i="11"/>
  <c r="P826" i="11"/>
  <c r="Q825" i="11"/>
  <c r="P825" i="11"/>
  <c r="Q824" i="11"/>
  <c r="P824" i="11"/>
  <c r="Q823" i="11"/>
  <c r="P823" i="11"/>
  <c r="Q822" i="11"/>
  <c r="P822" i="11"/>
  <c r="Q821" i="11"/>
  <c r="P821" i="11"/>
  <c r="Q820" i="11"/>
  <c r="P820" i="11"/>
  <c r="Q819" i="11"/>
  <c r="P819" i="11"/>
  <c r="Q818" i="11"/>
  <c r="P818" i="11"/>
  <c r="Q817" i="11"/>
  <c r="P817" i="11"/>
  <c r="Q816" i="11"/>
  <c r="P816" i="11"/>
  <c r="Q815" i="11"/>
  <c r="P815" i="11"/>
  <c r="Q814" i="11"/>
  <c r="P814" i="11"/>
  <c r="Q813" i="11"/>
  <c r="P813" i="11"/>
  <c r="Q812" i="11"/>
  <c r="P812" i="11"/>
  <c r="Q811" i="11"/>
  <c r="P811" i="11"/>
  <c r="Q810" i="11"/>
  <c r="P810" i="11"/>
  <c r="Q809" i="11"/>
  <c r="P809" i="11"/>
  <c r="Q808" i="11"/>
  <c r="P808" i="11"/>
  <c r="Q807" i="11"/>
  <c r="P807" i="11"/>
  <c r="Q806" i="11"/>
  <c r="P806" i="11"/>
  <c r="Q805" i="11"/>
  <c r="P805" i="11"/>
  <c r="Q804" i="11"/>
  <c r="P804" i="11"/>
  <c r="Q803" i="11"/>
  <c r="P803" i="11"/>
  <c r="Q802" i="11"/>
  <c r="P802" i="11"/>
  <c r="Q801" i="11"/>
  <c r="P801" i="11"/>
  <c r="Q800" i="11"/>
  <c r="P800" i="11"/>
  <c r="Q799" i="11"/>
  <c r="P799" i="11"/>
  <c r="Q798" i="11"/>
  <c r="P798" i="11"/>
  <c r="Q797" i="11"/>
  <c r="P797" i="11"/>
  <c r="Q796" i="11"/>
  <c r="P796" i="11"/>
  <c r="Q795" i="11"/>
  <c r="P795" i="11"/>
  <c r="Q794" i="11"/>
  <c r="P794" i="11"/>
  <c r="Q793" i="11"/>
  <c r="P793" i="11"/>
  <c r="Q792" i="11"/>
  <c r="P792" i="11"/>
  <c r="Q791" i="11"/>
  <c r="P791" i="11"/>
  <c r="Q790" i="11"/>
  <c r="P790" i="11"/>
  <c r="Q789" i="11"/>
  <c r="P789" i="11"/>
  <c r="Q788" i="11"/>
  <c r="P788" i="11"/>
  <c r="Q787" i="11"/>
  <c r="P787" i="11"/>
  <c r="Q786" i="11"/>
  <c r="P786" i="11"/>
  <c r="Q785" i="11"/>
  <c r="P785" i="11"/>
  <c r="Q784" i="11"/>
  <c r="P784" i="11"/>
  <c r="Q783" i="11"/>
  <c r="P783" i="11"/>
  <c r="Q782" i="11"/>
  <c r="P782" i="11"/>
  <c r="Q781" i="11"/>
  <c r="P781" i="11"/>
  <c r="Q780" i="11"/>
  <c r="P780" i="11"/>
  <c r="Q779" i="11"/>
  <c r="P779" i="11"/>
  <c r="Q778" i="11"/>
  <c r="P778" i="11"/>
  <c r="Q777" i="11"/>
  <c r="P777" i="11"/>
  <c r="Q776" i="11"/>
  <c r="P776" i="11"/>
  <c r="Q775" i="11"/>
  <c r="P775" i="11"/>
  <c r="Q774" i="11"/>
  <c r="P774" i="11"/>
  <c r="Q773" i="11"/>
  <c r="P773" i="11"/>
  <c r="Q772" i="11"/>
  <c r="P772" i="11"/>
  <c r="Q771" i="11"/>
  <c r="P771" i="11"/>
  <c r="Q770" i="11"/>
  <c r="P770" i="11"/>
  <c r="Q769" i="11"/>
  <c r="P769" i="11"/>
  <c r="Q768" i="11"/>
  <c r="P768" i="11"/>
  <c r="Q767" i="11"/>
  <c r="P767" i="11"/>
  <c r="Q766" i="11"/>
  <c r="P766" i="11"/>
  <c r="Q765" i="11"/>
  <c r="P765" i="11"/>
  <c r="Q764" i="11"/>
  <c r="P764" i="11"/>
  <c r="Q763" i="11"/>
  <c r="P763" i="11"/>
  <c r="Q762" i="11"/>
  <c r="P762" i="11"/>
  <c r="Q761" i="11"/>
  <c r="P761" i="11"/>
  <c r="Q760" i="11"/>
  <c r="P760" i="11"/>
  <c r="Q759" i="11"/>
  <c r="P759" i="11"/>
  <c r="Q758" i="11"/>
  <c r="P758" i="11"/>
  <c r="Q757" i="11"/>
  <c r="P757" i="11"/>
  <c r="Q756" i="11"/>
  <c r="P756" i="11"/>
  <c r="Q755" i="11"/>
  <c r="P755" i="11"/>
  <c r="Q754" i="11"/>
  <c r="P754" i="11"/>
  <c r="Q753" i="11"/>
  <c r="P753" i="11"/>
  <c r="Q752" i="11"/>
  <c r="P752" i="11"/>
  <c r="Q751" i="11"/>
  <c r="P751" i="11"/>
  <c r="Q732" i="11"/>
  <c r="P732" i="11"/>
  <c r="Q731" i="11"/>
  <c r="P731" i="11"/>
  <c r="Q730" i="11"/>
  <c r="P730" i="11"/>
  <c r="Q729" i="11"/>
  <c r="P729" i="11"/>
  <c r="Q728" i="11"/>
  <c r="P728" i="11"/>
  <c r="Q727" i="11"/>
  <c r="P727" i="11"/>
  <c r="Q726" i="11"/>
  <c r="P726" i="11"/>
  <c r="Q725" i="11"/>
  <c r="P725" i="11"/>
  <c r="Q724" i="11"/>
  <c r="P724" i="11"/>
  <c r="Q723" i="11"/>
  <c r="P723" i="11"/>
  <c r="Q722" i="11"/>
  <c r="P722" i="11"/>
  <c r="Q721" i="11"/>
  <c r="P721" i="11"/>
  <c r="Q720" i="11"/>
  <c r="P720" i="11"/>
  <c r="Q719" i="11"/>
  <c r="P719" i="11"/>
  <c r="Q718" i="11"/>
  <c r="P718" i="11"/>
  <c r="Q717" i="11"/>
  <c r="P717" i="11"/>
  <c r="Q716" i="11"/>
  <c r="P716" i="11"/>
  <c r="Q715" i="11"/>
  <c r="P715" i="11"/>
  <c r="Q714" i="11"/>
  <c r="P714" i="11"/>
  <c r="Q713" i="11"/>
  <c r="P713" i="11"/>
  <c r="Q712" i="11"/>
  <c r="P712" i="11"/>
  <c r="Q711" i="11"/>
  <c r="P711" i="11"/>
  <c r="Q710" i="11"/>
  <c r="P710" i="11"/>
  <c r="Q709" i="11"/>
  <c r="P709" i="11"/>
  <c r="Q708" i="11"/>
  <c r="P708" i="11"/>
  <c r="Q707" i="11"/>
  <c r="P707" i="11"/>
  <c r="Q706" i="11"/>
  <c r="P706" i="11"/>
  <c r="Q705" i="11"/>
  <c r="P705" i="11"/>
  <c r="Q704" i="11"/>
  <c r="P704" i="11"/>
  <c r="Q703" i="11"/>
  <c r="P703" i="11"/>
  <c r="Q702" i="11"/>
  <c r="P702" i="11"/>
  <c r="Q701" i="11"/>
  <c r="P701" i="11"/>
  <c r="Q700" i="11"/>
  <c r="P700" i="11"/>
  <c r="Q699" i="11"/>
  <c r="P699" i="11"/>
  <c r="Q698" i="11"/>
  <c r="P698" i="11"/>
  <c r="Q697" i="11"/>
  <c r="P697" i="11"/>
  <c r="Q696" i="11"/>
  <c r="P696" i="11"/>
  <c r="Q695" i="11"/>
  <c r="P695" i="11"/>
  <c r="Q694" i="11"/>
  <c r="P694" i="11"/>
  <c r="Q693" i="11"/>
  <c r="P693" i="11"/>
  <c r="Q692" i="11"/>
  <c r="P692" i="11"/>
  <c r="Q691" i="11"/>
  <c r="P691" i="11"/>
  <c r="Q690" i="11"/>
  <c r="P690" i="11"/>
  <c r="Q689" i="11"/>
  <c r="P689" i="11"/>
  <c r="Q688" i="11"/>
  <c r="P688" i="11"/>
  <c r="Q687" i="11"/>
  <c r="P687" i="11"/>
  <c r="Q686" i="11"/>
  <c r="P686" i="11"/>
  <c r="Q685" i="11"/>
  <c r="P685" i="11"/>
  <c r="Q684" i="11"/>
  <c r="P684" i="11"/>
  <c r="Q683" i="11"/>
  <c r="P683" i="11"/>
  <c r="Q682" i="11"/>
  <c r="P682" i="11"/>
  <c r="Q681" i="11"/>
  <c r="P681" i="11"/>
  <c r="Q680" i="11"/>
  <c r="P680" i="11"/>
  <c r="Q679" i="11"/>
  <c r="P679" i="11"/>
  <c r="Q678" i="11"/>
  <c r="P678" i="11"/>
  <c r="Q677" i="11"/>
  <c r="P677" i="11"/>
  <c r="Q676" i="11"/>
  <c r="P676" i="11"/>
  <c r="Q675" i="11"/>
  <c r="P675" i="11"/>
  <c r="Q674" i="11"/>
  <c r="P674" i="11"/>
  <c r="Q673" i="11"/>
  <c r="P673" i="11"/>
  <c r="Q672" i="11"/>
  <c r="P672" i="11"/>
  <c r="Q671" i="11"/>
  <c r="P671" i="11"/>
  <c r="Q670" i="11"/>
  <c r="P670" i="11"/>
  <c r="Q669" i="11"/>
  <c r="P669" i="11"/>
  <c r="Q668" i="11"/>
  <c r="P668" i="11"/>
  <c r="Q667" i="11"/>
  <c r="P667" i="11"/>
  <c r="Q666" i="11"/>
  <c r="P666" i="11"/>
  <c r="Q665" i="11"/>
  <c r="P665" i="11"/>
  <c r="Q664" i="11"/>
  <c r="P664" i="11"/>
  <c r="Q663" i="11"/>
  <c r="P663" i="11"/>
  <c r="Q662" i="11"/>
  <c r="P662" i="11"/>
  <c r="Q661" i="11"/>
  <c r="P661" i="11"/>
  <c r="Q660" i="11"/>
  <c r="P660" i="11"/>
  <c r="Q659" i="11"/>
  <c r="P659" i="11"/>
  <c r="Q658" i="11"/>
  <c r="P658" i="11"/>
  <c r="Q657" i="11"/>
  <c r="P657" i="11"/>
  <c r="Q656" i="11"/>
  <c r="P656" i="11"/>
  <c r="Q655" i="11"/>
  <c r="P655" i="11"/>
  <c r="Q654" i="11"/>
  <c r="P654" i="11"/>
  <c r="Q653" i="11"/>
  <c r="P653" i="11"/>
  <c r="Q652" i="11"/>
  <c r="P652" i="11"/>
  <c r="Q651" i="11"/>
  <c r="P651" i="11"/>
  <c r="Q650" i="11"/>
  <c r="P650" i="11"/>
  <c r="Q649" i="11"/>
  <c r="P649" i="11"/>
  <c r="Q648" i="11"/>
  <c r="P648" i="11"/>
  <c r="Q647" i="11"/>
  <c r="P647" i="11"/>
  <c r="Q646" i="11"/>
  <c r="P646" i="11"/>
  <c r="Q645" i="11"/>
  <c r="P645" i="11"/>
  <c r="Q644" i="11"/>
  <c r="P644" i="11"/>
  <c r="Q643" i="11"/>
  <c r="P643" i="11"/>
  <c r="Q642" i="11"/>
  <c r="P642" i="11"/>
  <c r="Q641" i="11"/>
  <c r="P641" i="11"/>
  <c r="Q640" i="11"/>
  <c r="P640" i="11"/>
  <c r="Q639" i="11"/>
  <c r="P639" i="11"/>
  <c r="Q638" i="11"/>
  <c r="P638" i="11"/>
  <c r="Q637" i="11"/>
  <c r="P637" i="11"/>
  <c r="Q636" i="11"/>
  <c r="P636" i="11"/>
  <c r="Q635" i="11"/>
  <c r="P635" i="11"/>
  <c r="Q634" i="11"/>
  <c r="P634" i="11"/>
  <c r="Q633" i="11"/>
  <c r="P633" i="11"/>
  <c r="Q632" i="11"/>
  <c r="P632" i="11"/>
  <c r="Q631" i="11"/>
  <c r="P631" i="11"/>
  <c r="Q630" i="11"/>
  <c r="P630" i="11"/>
  <c r="Q629" i="11"/>
  <c r="P629" i="11"/>
  <c r="Q628" i="11"/>
  <c r="P628" i="11"/>
  <c r="Q627" i="11"/>
  <c r="P627" i="11"/>
  <c r="Q626" i="11"/>
  <c r="P626" i="11"/>
  <c r="Q625" i="11"/>
  <c r="P625" i="11"/>
  <c r="Q624" i="11"/>
  <c r="P624" i="11"/>
  <c r="Q623" i="11"/>
  <c r="P623" i="11"/>
  <c r="Q622" i="11"/>
  <c r="P622" i="11"/>
  <c r="Q621" i="11"/>
  <c r="P621" i="11"/>
  <c r="Q620" i="11"/>
  <c r="P620" i="11"/>
  <c r="Q619" i="11"/>
  <c r="P619" i="11"/>
  <c r="Q618" i="11"/>
  <c r="P618" i="11"/>
  <c r="Q617" i="11"/>
  <c r="P617" i="11"/>
  <c r="Q616" i="11"/>
  <c r="P616" i="11"/>
  <c r="Q615" i="11"/>
  <c r="P615" i="11"/>
  <c r="Q614" i="11"/>
  <c r="P614" i="11"/>
  <c r="Q613" i="11"/>
  <c r="P613" i="11"/>
  <c r="Q612" i="11"/>
  <c r="P612" i="11"/>
  <c r="Q611" i="11"/>
  <c r="P611" i="11"/>
  <c r="Q610" i="11"/>
  <c r="P610" i="11"/>
  <c r="Q609" i="11"/>
  <c r="P609" i="11"/>
  <c r="Q608" i="11"/>
  <c r="P608" i="11"/>
  <c r="Q607" i="11"/>
  <c r="P607" i="11"/>
  <c r="Q606" i="11"/>
  <c r="P606" i="11"/>
  <c r="Q605" i="11"/>
  <c r="P605" i="11"/>
  <c r="Q604" i="11"/>
  <c r="P604" i="11"/>
  <c r="Q603" i="11"/>
  <c r="P603" i="11"/>
  <c r="Q602" i="11"/>
  <c r="P602" i="11"/>
  <c r="Q601" i="11"/>
  <c r="P601" i="11"/>
  <c r="Q600" i="11"/>
  <c r="P600" i="11"/>
  <c r="Q599" i="11"/>
  <c r="P599" i="11"/>
  <c r="Q598" i="11"/>
  <c r="P598" i="11"/>
  <c r="Q597" i="11"/>
  <c r="P597" i="11"/>
  <c r="Q596" i="11"/>
  <c r="P596" i="11"/>
  <c r="Q595" i="11"/>
  <c r="P595" i="11"/>
  <c r="Q594" i="11"/>
  <c r="P594" i="11"/>
  <c r="Q593" i="11"/>
  <c r="P593" i="11"/>
  <c r="Q592" i="11"/>
  <c r="P592" i="11"/>
  <c r="Q591" i="11"/>
  <c r="P591" i="11"/>
  <c r="Q590" i="11"/>
  <c r="P590" i="11"/>
  <c r="Q589" i="11"/>
  <c r="P589" i="11"/>
  <c r="Q588" i="11"/>
  <c r="P588" i="11"/>
  <c r="Q587" i="11"/>
  <c r="P587" i="11"/>
  <c r="Q586" i="11"/>
  <c r="P586" i="11"/>
  <c r="Q585" i="11"/>
  <c r="P585" i="11"/>
  <c r="Q584" i="11"/>
  <c r="P584" i="11"/>
  <c r="Q583" i="11"/>
  <c r="P583" i="11"/>
  <c r="Q582" i="11"/>
  <c r="P582" i="11"/>
  <c r="Q581" i="11"/>
  <c r="P581" i="11"/>
  <c r="Q580" i="11"/>
  <c r="P580" i="11"/>
  <c r="Q579" i="11"/>
  <c r="P579" i="11"/>
  <c r="Q578" i="11"/>
  <c r="P578" i="11"/>
  <c r="Q577" i="11"/>
  <c r="P577" i="11"/>
  <c r="Q576" i="11"/>
  <c r="P576" i="11"/>
  <c r="Q575" i="11"/>
  <c r="P575" i="11"/>
  <c r="Q574" i="11"/>
  <c r="P574" i="11"/>
  <c r="Q573" i="11"/>
  <c r="P573" i="11"/>
  <c r="Q572" i="11"/>
  <c r="P572" i="11"/>
  <c r="Q571" i="11"/>
  <c r="P571" i="11"/>
  <c r="Q570" i="11"/>
  <c r="P570" i="11"/>
  <c r="Q569" i="11"/>
  <c r="P569" i="11"/>
  <c r="Q568" i="11"/>
  <c r="P568" i="11"/>
  <c r="Q567" i="11"/>
  <c r="P567" i="11"/>
  <c r="Q566" i="11"/>
  <c r="P566" i="11"/>
  <c r="Q565" i="11"/>
  <c r="P565" i="11"/>
  <c r="Q564" i="11"/>
  <c r="P564" i="11"/>
  <c r="Q563" i="11"/>
  <c r="P563" i="11"/>
  <c r="Q562" i="11"/>
  <c r="P562" i="11"/>
  <c r="Q561" i="11"/>
  <c r="P561" i="11"/>
  <c r="Q560" i="11"/>
  <c r="P560" i="11"/>
  <c r="Q559" i="11"/>
  <c r="P559" i="11"/>
  <c r="Q558" i="11"/>
  <c r="P558" i="11"/>
  <c r="Q557" i="11"/>
  <c r="P557" i="11"/>
  <c r="Q556" i="11"/>
  <c r="P556" i="11"/>
  <c r="Q555" i="11"/>
  <c r="P555" i="11"/>
  <c r="Q554" i="11"/>
  <c r="P554" i="11"/>
  <c r="Q553" i="11"/>
  <c r="P553" i="11"/>
  <c r="Q552" i="11"/>
  <c r="P552" i="11"/>
  <c r="Q551" i="11"/>
  <c r="P551" i="11"/>
  <c r="Q550" i="11"/>
  <c r="P550" i="11"/>
  <c r="Q549" i="11"/>
  <c r="P549" i="11"/>
  <c r="Q548" i="11"/>
  <c r="P548" i="11"/>
  <c r="Q547" i="11"/>
  <c r="P547" i="11"/>
  <c r="Q546" i="11"/>
  <c r="P546" i="11"/>
  <c r="Q545" i="11"/>
  <c r="P545" i="11"/>
  <c r="Q544" i="11"/>
  <c r="P544" i="11"/>
  <c r="Q543" i="11"/>
  <c r="P543" i="11"/>
  <c r="Q542" i="11"/>
  <c r="P542" i="11"/>
  <c r="Q541" i="11"/>
  <c r="P541" i="11"/>
  <c r="Q540" i="11"/>
  <c r="P540" i="11"/>
  <c r="Q539" i="11"/>
  <c r="P539" i="11"/>
  <c r="Q538" i="11"/>
  <c r="P538" i="11"/>
  <c r="Q537" i="11"/>
  <c r="P537" i="11"/>
  <c r="Q536" i="11"/>
  <c r="P536" i="11"/>
  <c r="Q535" i="11"/>
  <c r="P535" i="11"/>
  <c r="Q534" i="11"/>
  <c r="P534" i="11"/>
  <c r="Q533" i="11"/>
  <c r="P533" i="11"/>
  <c r="Q532" i="11"/>
  <c r="P532" i="11"/>
  <c r="Q531" i="11"/>
  <c r="P531" i="11"/>
  <c r="Q530" i="11"/>
  <c r="P530" i="11"/>
  <c r="Q529" i="11"/>
  <c r="P529" i="11"/>
  <c r="Q528" i="11"/>
  <c r="P528" i="11"/>
  <c r="Q527" i="11"/>
  <c r="P527" i="11"/>
  <c r="Q526" i="11"/>
  <c r="P526" i="11"/>
  <c r="Q525" i="11"/>
  <c r="P525" i="11"/>
  <c r="Q524" i="11"/>
  <c r="P524" i="11"/>
  <c r="Q523" i="11"/>
  <c r="P523" i="11"/>
  <c r="Q522" i="11"/>
  <c r="P522" i="11"/>
  <c r="Q521" i="11"/>
  <c r="P521" i="11"/>
  <c r="Q520" i="11"/>
  <c r="P520" i="11"/>
  <c r="Q519" i="11"/>
  <c r="P519" i="11"/>
  <c r="Q518" i="11"/>
  <c r="P518" i="11"/>
  <c r="Q517" i="11"/>
  <c r="P517" i="11"/>
  <c r="Q516" i="11"/>
  <c r="P516" i="11"/>
  <c r="Q515" i="11"/>
  <c r="P515" i="11"/>
  <c r="Q514" i="11"/>
  <c r="P514" i="11"/>
  <c r="Q513" i="11"/>
  <c r="P513" i="11"/>
  <c r="Q512" i="11"/>
  <c r="P512" i="11"/>
  <c r="Q511" i="11"/>
  <c r="P511" i="11"/>
  <c r="Q510" i="11"/>
  <c r="P510" i="11"/>
  <c r="Q509" i="11"/>
  <c r="P509" i="11"/>
  <c r="Q508" i="11"/>
  <c r="P508" i="11"/>
  <c r="Q507" i="11"/>
  <c r="P507" i="11"/>
  <c r="Q506" i="11"/>
  <c r="P506" i="11"/>
  <c r="Q505" i="11"/>
  <c r="P505" i="11"/>
  <c r="Q504" i="11"/>
  <c r="P504" i="11"/>
  <c r="Q503" i="11"/>
  <c r="P503" i="11"/>
  <c r="Q502" i="11"/>
  <c r="P502" i="11"/>
  <c r="Q501" i="11"/>
  <c r="P501" i="11"/>
  <c r="Q500" i="11"/>
  <c r="P500" i="11"/>
  <c r="Q499" i="11"/>
  <c r="P499" i="11"/>
  <c r="Q498" i="11"/>
  <c r="P498" i="11"/>
  <c r="Q497" i="11"/>
  <c r="P497" i="11"/>
  <c r="Q496" i="11"/>
  <c r="P496" i="11"/>
  <c r="Q495" i="11"/>
  <c r="P495" i="11"/>
  <c r="Q494" i="11"/>
  <c r="P494" i="11"/>
  <c r="Q493" i="11"/>
  <c r="P493" i="11"/>
  <c r="Q492" i="11"/>
  <c r="P492" i="11"/>
  <c r="Q491" i="11"/>
  <c r="P491" i="11"/>
  <c r="Q490" i="11"/>
  <c r="P490" i="11"/>
  <c r="Q489" i="11"/>
  <c r="P489" i="11"/>
  <c r="Q488" i="11"/>
  <c r="P488" i="11"/>
  <c r="Q487" i="11"/>
  <c r="P487" i="11"/>
  <c r="Q486" i="11"/>
  <c r="P486" i="11"/>
  <c r="Q485" i="11"/>
  <c r="P485" i="11"/>
  <c r="Q484" i="11"/>
  <c r="P484" i="11"/>
  <c r="Q483" i="11"/>
  <c r="P483" i="11"/>
  <c r="Q482" i="11"/>
  <c r="P482" i="11"/>
  <c r="Q481" i="11"/>
  <c r="P481" i="11"/>
  <c r="Q480" i="11"/>
  <c r="P480" i="11"/>
  <c r="Q479" i="11"/>
  <c r="P479" i="11"/>
  <c r="Q478" i="11"/>
  <c r="P478" i="11"/>
  <c r="Q477" i="11"/>
  <c r="P477" i="11"/>
  <c r="Q476" i="11"/>
  <c r="P476" i="11"/>
  <c r="Q475" i="11"/>
  <c r="P475" i="11"/>
  <c r="Q474" i="11"/>
  <c r="P474" i="11"/>
  <c r="Q473" i="11"/>
  <c r="P473" i="11"/>
  <c r="Q472" i="11"/>
  <c r="P472" i="11"/>
  <c r="Q471" i="11"/>
  <c r="P471" i="11"/>
  <c r="Q470" i="11"/>
  <c r="P470" i="11"/>
  <c r="Q469" i="11"/>
  <c r="P469" i="11"/>
  <c r="Q468" i="11"/>
  <c r="P468" i="11"/>
  <c r="Q467" i="11"/>
  <c r="P467" i="11"/>
  <c r="Q466" i="11"/>
  <c r="P466" i="11"/>
  <c r="Q465" i="11"/>
  <c r="P465" i="11"/>
  <c r="Q464" i="11"/>
  <c r="P464" i="11"/>
  <c r="Q463" i="11"/>
  <c r="P463" i="11"/>
  <c r="Q462" i="11"/>
  <c r="P462" i="11"/>
  <c r="Q461" i="11"/>
  <c r="P461" i="11"/>
  <c r="Q460" i="11"/>
  <c r="P460" i="11"/>
  <c r="Q459" i="11"/>
  <c r="P459" i="11"/>
  <c r="Q458" i="11"/>
  <c r="P458" i="11"/>
  <c r="Q457" i="11"/>
  <c r="P457" i="11"/>
  <c r="Q456" i="11"/>
  <c r="P456" i="11"/>
  <c r="Q455" i="11"/>
  <c r="P455" i="11"/>
  <c r="Q454" i="11"/>
  <c r="P454" i="11"/>
  <c r="Q453" i="11"/>
  <c r="P453" i="11"/>
  <c r="Q452" i="11"/>
  <c r="P452" i="11"/>
  <c r="Q451" i="11"/>
  <c r="P451" i="11"/>
  <c r="Q450" i="11"/>
  <c r="P450" i="11"/>
  <c r="Q449" i="11"/>
  <c r="P449" i="11"/>
  <c r="Q448" i="11"/>
  <c r="P448" i="11"/>
  <c r="Q447" i="11"/>
  <c r="P447" i="11"/>
  <c r="Q446" i="11"/>
  <c r="P446" i="11"/>
  <c r="Q445" i="11"/>
  <c r="P445" i="11"/>
  <c r="Q444" i="11"/>
  <c r="P444" i="11"/>
  <c r="Q443" i="11"/>
  <c r="P443" i="11"/>
  <c r="Q442" i="11"/>
  <c r="P442" i="11"/>
  <c r="Q441" i="11"/>
  <c r="P441" i="11"/>
  <c r="Q440" i="11"/>
  <c r="P440" i="11"/>
  <c r="Q439" i="11"/>
  <c r="P439" i="11"/>
  <c r="Q438" i="11"/>
  <c r="P438" i="11"/>
  <c r="Q437" i="11"/>
  <c r="P437" i="11"/>
  <c r="Q436" i="11"/>
  <c r="P436" i="11"/>
  <c r="Q435" i="11"/>
  <c r="P435" i="11"/>
  <c r="Q434" i="11"/>
  <c r="P434" i="11"/>
  <c r="Q433" i="11"/>
  <c r="P433" i="11"/>
  <c r="Q432" i="11"/>
  <c r="P432" i="11"/>
  <c r="Q431" i="11"/>
  <c r="P431" i="11"/>
  <c r="Q430" i="11"/>
  <c r="P430" i="11"/>
  <c r="Q429" i="11"/>
  <c r="P429" i="11"/>
  <c r="Q428" i="11"/>
  <c r="P428" i="11"/>
  <c r="Q427" i="11"/>
  <c r="P427" i="11"/>
  <c r="Q426" i="11"/>
  <c r="P426" i="11"/>
  <c r="Q425" i="11"/>
  <c r="P425" i="11"/>
  <c r="Q424" i="11"/>
  <c r="P424" i="11"/>
  <c r="Q423" i="11"/>
  <c r="P423" i="11"/>
  <c r="Q422" i="11"/>
  <c r="P422" i="11"/>
  <c r="Q421" i="11"/>
  <c r="P421" i="11"/>
  <c r="Q420" i="11"/>
  <c r="P420" i="11"/>
  <c r="Q419" i="11"/>
  <c r="P419" i="11"/>
  <c r="Q418" i="11"/>
  <c r="P418" i="11"/>
  <c r="Q417" i="11"/>
  <c r="P417" i="11"/>
  <c r="Q416" i="11"/>
  <c r="P416" i="11"/>
  <c r="Q415" i="11"/>
  <c r="P415" i="11"/>
  <c r="Q414" i="11"/>
  <c r="P414" i="11"/>
  <c r="Q413" i="11"/>
  <c r="P413" i="11"/>
  <c r="Q412" i="11"/>
  <c r="P412" i="11"/>
  <c r="Q411" i="11"/>
  <c r="P411" i="11"/>
  <c r="Q410" i="11"/>
  <c r="P410" i="11"/>
  <c r="Q409" i="11"/>
  <c r="P409" i="11"/>
  <c r="Q408" i="11"/>
  <c r="P408" i="11"/>
  <c r="Q407" i="11"/>
  <c r="P407" i="11"/>
  <c r="Q406" i="11"/>
  <c r="P406" i="11"/>
  <c r="Q405" i="11"/>
  <c r="P405" i="11"/>
  <c r="Q404" i="11"/>
  <c r="P404" i="11"/>
  <c r="Q403" i="11"/>
  <c r="P403" i="11"/>
  <c r="Q402" i="11"/>
  <c r="P402" i="11"/>
  <c r="Q401" i="11"/>
  <c r="P401" i="11"/>
  <c r="Q400" i="11"/>
  <c r="P400" i="11"/>
  <c r="Q399" i="11"/>
  <c r="P399" i="11"/>
  <c r="Q398" i="11"/>
  <c r="P398" i="11"/>
  <c r="Q397" i="11"/>
  <c r="P397" i="11"/>
  <c r="Q396" i="11"/>
  <c r="P396" i="11"/>
  <c r="Q395" i="11"/>
  <c r="P395" i="11"/>
  <c r="Q394" i="11"/>
  <c r="P394" i="11"/>
  <c r="Q393" i="11"/>
  <c r="P393" i="11"/>
  <c r="Q392" i="11"/>
  <c r="P392" i="11"/>
  <c r="Q391" i="11"/>
  <c r="P391" i="11"/>
  <c r="Q390" i="11"/>
  <c r="P390" i="11"/>
  <c r="Q389" i="11"/>
  <c r="P389" i="11"/>
  <c r="Q388" i="11"/>
  <c r="P388" i="11"/>
  <c r="Q387" i="11"/>
  <c r="P387" i="11"/>
  <c r="Q386" i="11"/>
  <c r="P386" i="11"/>
  <c r="Q385" i="11"/>
  <c r="P385" i="11"/>
  <c r="Q384" i="11"/>
  <c r="P384" i="11"/>
  <c r="Q383" i="11"/>
  <c r="P383" i="11"/>
  <c r="Q382" i="11"/>
  <c r="P382" i="11"/>
  <c r="Q381" i="11"/>
  <c r="P381" i="11"/>
  <c r="Q380" i="11"/>
  <c r="P380" i="11"/>
  <c r="Q379" i="11"/>
  <c r="P379" i="11"/>
  <c r="Q378" i="11"/>
  <c r="P378" i="11"/>
  <c r="Q377" i="11"/>
  <c r="P377" i="11"/>
  <c r="Q376" i="11"/>
  <c r="P376" i="11"/>
  <c r="Q375" i="11"/>
  <c r="P375" i="11"/>
  <c r="Q374" i="11"/>
  <c r="P374" i="11"/>
  <c r="Q373" i="11"/>
  <c r="P373" i="11"/>
  <c r="Q372" i="11"/>
  <c r="P372" i="11"/>
  <c r="Q371" i="11"/>
  <c r="P371" i="11"/>
  <c r="Q370" i="11"/>
  <c r="P370" i="11"/>
  <c r="Q369" i="11"/>
  <c r="P369" i="11"/>
  <c r="Q368" i="11"/>
  <c r="P368" i="11"/>
  <c r="Q367" i="11"/>
  <c r="P367" i="11"/>
  <c r="Q366" i="11"/>
  <c r="P366" i="11"/>
  <c r="Q365" i="11"/>
  <c r="P365" i="11"/>
  <c r="Q364" i="11"/>
  <c r="P364" i="11"/>
  <c r="Q363" i="11"/>
  <c r="P363" i="11"/>
  <c r="Q362" i="11"/>
  <c r="P362" i="11"/>
  <c r="Q361" i="11"/>
  <c r="P361" i="11"/>
  <c r="Q360" i="11"/>
  <c r="P360" i="11"/>
  <c r="Q359" i="11"/>
  <c r="P359" i="11"/>
  <c r="Q358" i="11"/>
  <c r="P358" i="11"/>
  <c r="Q357" i="11"/>
  <c r="P357" i="11"/>
  <c r="Q356" i="11"/>
  <c r="P356" i="11"/>
  <c r="Q355" i="11"/>
  <c r="P355" i="11"/>
  <c r="Q354" i="11"/>
  <c r="P354" i="11"/>
  <c r="Q353" i="11"/>
  <c r="P353" i="11"/>
  <c r="Q352" i="11"/>
  <c r="P352" i="11"/>
  <c r="Q351" i="11"/>
  <c r="P351" i="11"/>
  <c r="Q350" i="11"/>
  <c r="P350" i="11"/>
  <c r="Q349" i="11"/>
  <c r="P349" i="11"/>
  <c r="Q348" i="11"/>
  <c r="P348" i="11"/>
  <c r="Q347" i="11"/>
  <c r="P347" i="11"/>
  <c r="Q346" i="11"/>
  <c r="P346" i="11"/>
  <c r="Q345" i="11"/>
  <c r="P345" i="11"/>
  <c r="Q344" i="11"/>
  <c r="P344" i="11"/>
  <c r="Q343" i="11"/>
  <c r="P343" i="11"/>
  <c r="Q342" i="11"/>
  <c r="P342" i="11"/>
  <c r="Q341" i="11"/>
  <c r="P341" i="11"/>
  <c r="Q340" i="11"/>
  <c r="P340" i="11"/>
  <c r="Q339" i="11"/>
  <c r="P339" i="11"/>
  <c r="Q338" i="11"/>
  <c r="P338" i="11"/>
  <c r="Q337" i="11"/>
  <c r="P337" i="11"/>
  <c r="Q336" i="11"/>
  <c r="P336" i="11"/>
  <c r="Q335" i="11"/>
  <c r="P335" i="11"/>
  <c r="Q334" i="11"/>
  <c r="P334" i="11"/>
  <c r="Q333" i="11"/>
  <c r="P333" i="11"/>
  <c r="Q332" i="11"/>
  <c r="P332" i="11"/>
  <c r="Q331" i="11"/>
  <c r="P331" i="11"/>
  <c r="Q330" i="11"/>
  <c r="P330" i="11"/>
  <c r="Q329" i="11"/>
  <c r="P329" i="11"/>
  <c r="Q328" i="11"/>
  <c r="P328" i="11"/>
  <c r="Q327" i="11"/>
  <c r="P327" i="11"/>
  <c r="Q326" i="11"/>
  <c r="P326" i="11"/>
  <c r="Q325" i="11"/>
  <c r="P325" i="11"/>
  <c r="Q324" i="11"/>
  <c r="P324" i="11"/>
  <c r="Q323" i="11"/>
  <c r="P323" i="11"/>
  <c r="Q322" i="11"/>
  <c r="P322" i="11"/>
  <c r="Q321" i="11"/>
  <c r="P321" i="11"/>
  <c r="Q320" i="11"/>
  <c r="P320" i="11"/>
  <c r="Q319" i="11"/>
  <c r="P319" i="11"/>
  <c r="Q318" i="11"/>
  <c r="P318" i="11"/>
  <c r="Q317" i="11"/>
  <c r="P317" i="11"/>
  <c r="Q316" i="11"/>
  <c r="P316" i="11"/>
  <c r="Q315" i="11"/>
  <c r="P315" i="11"/>
  <c r="Q314" i="11"/>
  <c r="P314" i="11"/>
  <c r="Q313" i="11"/>
  <c r="P313" i="11"/>
  <c r="Q312" i="11"/>
  <c r="P312" i="11"/>
  <c r="Q311" i="11"/>
  <c r="P311" i="11"/>
  <c r="Q310" i="11"/>
  <c r="P310" i="11"/>
  <c r="Q309" i="11"/>
  <c r="P309" i="11"/>
  <c r="Q308" i="11"/>
  <c r="P308" i="11"/>
  <c r="Q307" i="11"/>
  <c r="P307" i="11"/>
  <c r="Q306" i="11"/>
  <c r="P306" i="11"/>
  <c r="Q305" i="11"/>
  <c r="P305" i="11"/>
  <c r="Q304" i="11"/>
  <c r="P304" i="11"/>
  <c r="Q303" i="11"/>
  <c r="P303" i="11"/>
  <c r="Q302" i="11"/>
  <c r="P302" i="11"/>
  <c r="Q301" i="11"/>
  <c r="P301" i="11"/>
  <c r="Q300" i="11"/>
  <c r="P300" i="11"/>
  <c r="Q299" i="11"/>
  <c r="P299" i="11"/>
  <c r="Q298" i="11"/>
  <c r="P298" i="11"/>
  <c r="Q297" i="11"/>
  <c r="P297" i="11"/>
  <c r="Q296" i="11"/>
  <c r="P296" i="11"/>
  <c r="Q295" i="11"/>
  <c r="P295" i="11"/>
  <c r="Q294" i="11"/>
  <c r="P294" i="11"/>
  <c r="Q293" i="11"/>
  <c r="P293" i="11"/>
  <c r="Q292" i="11"/>
  <c r="P292" i="11"/>
  <c r="Q291" i="11"/>
  <c r="P291" i="11"/>
  <c r="Q290" i="11"/>
  <c r="P290" i="11"/>
  <c r="Q289" i="11"/>
  <c r="P289" i="11"/>
  <c r="Q288" i="11"/>
  <c r="P288" i="11"/>
  <c r="Q287" i="11"/>
  <c r="P287" i="11"/>
  <c r="Q286" i="11"/>
  <c r="P286" i="11"/>
  <c r="Q285" i="11"/>
  <c r="P285" i="11"/>
  <c r="Q284" i="11"/>
  <c r="P284" i="11"/>
  <c r="Q283" i="11"/>
  <c r="P283" i="11"/>
  <c r="Q282" i="11"/>
  <c r="P282" i="11"/>
  <c r="Q281" i="11"/>
  <c r="P281" i="11"/>
  <c r="Q280" i="11"/>
  <c r="P280" i="11"/>
  <c r="Q279" i="11"/>
  <c r="P279" i="11"/>
  <c r="Q278" i="11"/>
  <c r="P278" i="11"/>
  <c r="Q277" i="11"/>
  <c r="P277" i="11"/>
  <c r="Q276" i="11"/>
  <c r="P276" i="11"/>
  <c r="Q275" i="11"/>
  <c r="P275" i="11"/>
  <c r="Q274" i="11"/>
  <c r="P274" i="11"/>
  <c r="Q273" i="11"/>
  <c r="P273" i="11"/>
  <c r="Q272" i="11"/>
  <c r="P272" i="11"/>
  <c r="Q271" i="11"/>
  <c r="P271" i="11"/>
  <c r="Q270" i="11"/>
  <c r="P270" i="11"/>
  <c r="Q269" i="11"/>
  <c r="P269" i="11"/>
  <c r="Q268" i="11"/>
  <c r="P268" i="11"/>
  <c r="Q267" i="11"/>
  <c r="P267" i="11"/>
  <c r="Q266" i="11"/>
  <c r="P266" i="11"/>
  <c r="Q265" i="11"/>
  <c r="P265" i="11"/>
  <c r="Q264" i="11"/>
  <c r="P264" i="11"/>
  <c r="Q263" i="11"/>
  <c r="P263" i="11"/>
  <c r="Q262" i="11"/>
  <c r="P262" i="11"/>
  <c r="Q261" i="11"/>
  <c r="P261" i="11"/>
  <c r="Q260" i="11"/>
  <c r="P260" i="11"/>
  <c r="Q259" i="11"/>
  <c r="P259" i="11"/>
  <c r="Q258" i="11"/>
  <c r="P258" i="11"/>
  <c r="Q257" i="11"/>
  <c r="P257" i="11"/>
  <c r="Q256" i="11"/>
  <c r="P256" i="11"/>
  <c r="Q255" i="11"/>
  <c r="P255" i="11"/>
  <c r="Q254" i="11"/>
  <c r="P254" i="11"/>
  <c r="Q253" i="11"/>
  <c r="P253" i="11"/>
  <c r="Q252" i="11"/>
  <c r="P252" i="11"/>
  <c r="Q251" i="11"/>
  <c r="P251" i="11"/>
  <c r="Q250" i="11"/>
  <c r="P250" i="11"/>
  <c r="Q249" i="11"/>
  <c r="P249" i="11"/>
  <c r="Q248" i="11"/>
  <c r="P248" i="11"/>
  <c r="Q247" i="11"/>
  <c r="P247" i="11"/>
  <c r="Q246" i="11"/>
  <c r="P246" i="11"/>
  <c r="Q245" i="11"/>
  <c r="P245" i="11"/>
  <c r="Q244" i="11"/>
  <c r="P244" i="11"/>
  <c r="Q243" i="11"/>
  <c r="P243" i="11"/>
  <c r="Q242" i="11"/>
  <c r="P242" i="11"/>
  <c r="Q241" i="11"/>
  <c r="P241" i="11"/>
  <c r="Q240" i="11"/>
  <c r="P240" i="11"/>
  <c r="Q239" i="11"/>
  <c r="P239" i="11"/>
  <c r="Q238" i="11"/>
  <c r="P238" i="11"/>
  <c r="Q237" i="11"/>
  <c r="P237" i="11"/>
  <c r="Q236" i="11"/>
  <c r="P236" i="11"/>
  <c r="Q235" i="11"/>
  <c r="P235" i="11"/>
  <c r="Q234" i="11"/>
  <c r="P234" i="11"/>
  <c r="Q233" i="11"/>
  <c r="P233" i="11"/>
  <c r="Q232" i="11"/>
  <c r="P232" i="11"/>
  <c r="Q231" i="11"/>
  <c r="P231" i="11"/>
  <c r="Q230" i="11"/>
  <c r="P230" i="11"/>
  <c r="Q229" i="11"/>
  <c r="P229" i="11"/>
  <c r="Q228" i="11"/>
  <c r="P228" i="11"/>
  <c r="Q227" i="11"/>
  <c r="P227" i="11"/>
  <c r="Q226" i="11"/>
  <c r="P226" i="11"/>
  <c r="Q225" i="11"/>
  <c r="P225" i="11"/>
  <c r="Q224" i="11"/>
  <c r="P224" i="11"/>
  <c r="Q223" i="11"/>
  <c r="P223" i="11"/>
  <c r="Q222" i="11"/>
  <c r="P222" i="11"/>
  <c r="Q221" i="11"/>
  <c r="P221" i="11"/>
  <c r="Q220" i="11"/>
  <c r="P220" i="11"/>
  <c r="Q219" i="11"/>
  <c r="P219" i="11"/>
  <c r="Q218" i="11"/>
  <c r="P218" i="11"/>
  <c r="Q217" i="11"/>
  <c r="P217" i="11"/>
  <c r="Q216" i="11"/>
  <c r="P216" i="11"/>
  <c r="Q215" i="11"/>
  <c r="P215" i="11"/>
  <c r="Q214" i="11"/>
  <c r="P214" i="11"/>
  <c r="Q213" i="11"/>
  <c r="P213" i="11"/>
  <c r="Q212" i="11"/>
  <c r="P212" i="11"/>
  <c r="Q211" i="11"/>
  <c r="P211" i="11"/>
  <c r="Q210" i="11"/>
  <c r="P210" i="11"/>
  <c r="Q209" i="11"/>
  <c r="P209" i="11"/>
  <c r="Q208" i="11"/>
  <c r="P208" i="11"/>
  <c r="Q207" i="11"/>
  <c r="P207" i="11"/>
  <c r="Q206" i="11"/>
  <c r="P206" i="11"/>
  <c r="Q205" i="11"/>
  <c r="P205" i="11"/>
  <c r="Q204" i="11"/>
  <c r="P204" i="11"/>
  <c r="Q203" i="11"/>
  <c r="P203" i="11"/>
  <c r="Q202" i="11"/>
  <c r="P202" i="11"/>
  <c r="Q201" i="11"/>
  <c r="P201" i="11"/>
  <c r="Q200" i="11"/>
  <c r="P200" i="11"/>
  <c r="Q199" i="11"/>
  <c r="P199" i="11"/>
  <c r="Q198" i="11"/>
  <c r="P198" i="11"/>
  <c r="Q197" i="11"/>
  <c r="P197" i="11"/>
  <c r="Q196" i="11"/>
  <c r="P196" i="11"/>
  <c r="Q195" i="11"/>
  <c r="P195" i="11"/>
  <c r="Q194" i="11"/>
  <c r="P194" i="11"/>
  <c r="Q193" i="11"/>
  <c r="P193" i="11"/>
  <c r="Q192" i="11"/>
  <c r="P192" i="11"/>
  <c r="Q191" i="11"/>
  <c r="P191" i="11"/>
  <c r="Q190" i="11"/>
  <c r="P190" i="11"/>
  <c r="Q189" i="11"/>
  <c r="P189" i="11"/>
  <c r="Q188" i="11"/>
  <c r="P188" i="11"/>
  <c r="Q187" i="11"/>
  <c r="P187" i="11"/>
  <c r="Q186" i="11"/>
  <c r="P186" i="11"/>
  <c r="Q185" i="11"/>
  <c r="P185" i="11"/>
  <c r="Q184" i="11"/>
  <c r="P184" i="11"/>
  <c r="Q183" i="11"/>
  <c r="P183" i="11"/>
  <c r="Q182" i="11"/>
  <c r="P182" i="11"/>
  <c r="Q181" i="11"/>
  <c r="P181" i="11"/>
  <c r="Q180" i="11"/>
  <c r="P180" i="11"/>
  <c r="Q179" i="11"/>
  <c r="P179" i="11"/>
  <c r="Q178" i="11"/>
  <c r="P178" i="11"/>
  <c r="Q177" i="11"/>
  <c r="P177" i="11"/>
  <c r="Q176" i="11"/>
  <c r="P176" i="11"/>
  <c r="Q175" i="11"/>
  <c r="P175" i="11"/>
  <c r="Q174" i="11"/>
  <c r="P174" i="11"/>
  <c r="Q173" i="11"/>
  <c r="P173" i="11"/>
  <c r="Q172" i="11"/>
  <c r="P172" i="11"/>
  <c r="Q171" i="11"/>
  <c r="P171" i="11"/>
  <c r="Q170" i="11"/>
  <c r="P170" i="11"/>
  <c r="Q169" i="11"/>
  <c r="P169" i="11"/>
  <c r="Q168" i="11"/>
  <c r="P168" i="11"/>
  <c r="Q167" i="11"/>
  <c r="P167" i="11"/>
  <c r="Q166" i="11"/>
  <c r="P166" i="11"/>
  <c r="Q165" i="11"/>
  <c r="P165" i="11"/>
  <c r="Q164" i="11"/>
  <c r="P164" i="11"/>
  <c r="Q163" i="11"/>
  <c r="P163" i="11"/>
  <c r="Q162" i="11"/>
  <c r="P162" i="11"/>
  <c r="Q161" i="11"/>
  <c r="P161" i="11"/>
  <c r="Q160" i="11"/>
  <c r="P160" i="11"/>
  <c r="Q159" i="11"/>
  <c r="P159" i="11"/>
  <c r="Q158" i="11"/>
  <c r="P158" i="11"/>
  <c r="Q157" i="11"/>
  <c r="P157" i="11"/>
  <c r="Q156" i="11"/>
  <c r="P156" i="11"/>
  <c r="Q155" i="11"/>
  <c r="P155" i="11"/>
  <c r="Q154" i="11"/>
  <c r="P154" i="11"/>
  <c r="Q153" i="11"/>
  <c r="P153" i="11"/>
  <c r="Q152" i="11"/>
  <c r="P152" i="11"/>
  <c r="Q151" i="11"/>
  <c r="P151" i="11"/>
  <c r="Q150" i="11"/>
  <c r="P150" i="11"/>
  <c r="Q149" i="11"/>
  <c r="P149" i="11"/>
  <c r="Q148" i="11"/>
  <c r="P148" i="11"/>
  <c r="Q147" i="11"/>
  <c r="P147" i="11"/>
  <c r="Q146" i="11"/>
  <c r="P146" i="11"/>
  <c r="Q145" i="11"/>
  <c r="P145" i="11"/>
  <c r="Q144" i="11"/>
  <c r="P144" i="11"/>
  <c r="Q143" i="11"/>
  <c r="P143" i="11"/>
  <c r="Q142" i="11"/>
  <c r="P142" i="11"/>
  <c r="Q141" i="11"/>
  <c r="P141" i="11"/>
  <c r="Q140" i="11"/>
  <c r="P140" i="11"/>
  <c r="Q139" i="11"/>
  <c r="P139" i="11"/>
  <c r="Q138" i="11"/>
  <c r="P138" i="11"/>
  <c r="Q137" i="11"/>
  <c r="P137" i="11"/>
  <c r="Q136" i="11"/>
  <c r="P136" i="11"/>
  <c r="Q135" i="11"/>
  <c r="P135" i="11"/>
  <c r="Q134" i="11"/>
  <c r="P134" i="11"/>
  <c r="Q133" i="11"/>
  <c r="P133" i="11"/>
  <c r="Q132" i="11"/>
  <c r="P132" i="11"/>
  <c r="Q131" i="11"/>
  <c r="P131" i="11"/>
  <c r="Q130" i="11"/>
  <c r="P130" i="11"/>
  <c r="Q129" i="11"/>
  <c r="P129" i="11"/>
  <c r="Q128" i="11"/>
  <c r="P128" i="11"/>
  <c r="Q127" i="11"/>
  <c r="P127" i="11"/>
  <c r="Q126" i="11"/>
  <c r="P126" i="11"/>
  <c r="Q125" i="11"/>
  <c r="P125" i="11"/>
  <c r="Q124" i="11"/>
  <c r="P124" i="11"/>
  <c r="Q123" i="11"/>
  <c r="P123" i="11"/>
  <c r="Q122" i="11"/>
  <c r="P122" i="11"/>
  <c r="Q121" i="11"/>
  <c r="P121" i="11"/>
  <c r="Q120" i="11"/>
  <c r="P120" i="11"/>
  <c r="Q119" i="11"/>
  <c r="P119" i="11"/>
  <c r="Q118" i="11"/>
  <c r="P118" i="11"/>
  <c r="Q117" i="11"/>
  <c r="P117" i="11"/>
  <c r="Q116" i="11"/>
  <c r="P116" i="11"/>
  <c r="Q115" i="11"/>
  <c r="P115" i="11"/>
  <c r="Q114" i="11"/>
  <c r="P114" i="11"/>
  <c r="Q113" i="11"/>
  <c r="P113" i="11"/>
  <c r="Q112" i="11"/>
  <c r="P112" i="11"/>
  <c r="Q111" i="11"/>
  <c r="P111" i="11"/>
  <c r="Q110" i="11"/>
  <c r="P110" i="11"/>
  <c r="Q109" i="11"/>
  <c r="P109" i="11"/>
  <c r="Q108" i="11"/>
  <c r="P108" i="11"/>
  <c r="Q107" i="11"/>
  <c r="P107" i="11"/>
  <c r="Q106" i="11"/>
  <c r="P106" i="11"/>
  <c r="Q105" i="11"/>
  <c r="P105" i="11"/>
  <c r="Q104" i="11"/>
  <c r="P104" i="11"/>
  <c r="Q103" i="11"/>
  <c r="P103" i="11"/>
  <c r="Q102" i="11"/>
  <c r="P102" i="11"/>
  <c r="Q101" i="11"/>
  <c r="P101" i="11"/>
  <c r="Q100" i="11"/>
  <c r="P100" i="11"/>
  <c r="Q99" i="11"/>
  <c r="P99" i="11"/>
  <c r="Q98" i="11"/>
  <c r="P98" i="11"/>
  <c r="Q97" i="11"/>
  <c r="P97" i="11"/>
  <c r="Q96" i="11"/>
  <c r="P96" i="11"/>
  <c r="Q95" i="11"/>
  <c r="P95" i="11"/>
  <c r="Q94" i="11"/>
  <c r="P94" i="11"/>
  <c r="Q93" i="11"/>
  <c r="P93" i="11"/>
  <c r="Q92" i="11"/>
  <c r="P92" i="11"/>
  <c r="Q91" i="11"/>
  <c r="P91" i="11"/>
  <c r="Q90" i="11"/>
  <c r="P90" i="11"/>
  <c r="Q89" i="11"/>
  <c r="P89" i="11"/>
  <c r="Q88" i="11"/>
  <c r="P88" i="11"/>
  <c r="Q87" i="11"/>
  <c r="P87" i="11"/>
  <c r="Q86" i="11"/>
  <c r="P86" i="11"/>
  <c r="Q85" i="11"/>
  <c r="P85" i="11"/>
  <c r="Q84" i="11"/>
  <c r="P84" i="11"/>
  <c r="Q83" i="11"/>
  <c r="P83" i="11"/>
  <c r="Q82" i="11"/>
  <c r="P82" i="11"/>
  <c r="Q81" i="11"/>
  <c r="P81" i="11"/>
  <c r="Q80" i="11"/>
  <c r="P80" i="11"/>
  <c r="Q79" i="11"/>
  <c r="P79" i="11"/>
  <c r="Q78" i="11"/>
  <c r="P78" i="11"/>
  <c r="Q77" i="11"/>
  <c r="P77" i="11"/>
  <c r="Q76" i="11"/>
  <c r="P76" i="11"/>
  <c r="Q75" i="11"/>
  <c r="P75" i="11"/>
  <c r="Q74" i="11"/>
  <c r="P74" i="11"/>
  <c r="Q73" i="11"/>
  <c r="P73" i="11"/>
  <c r="Q72" i="11"/>
  <c r="P72" i="11"/>
  <c r="Q71" i="11"/>
  <c r="P71" i="11"/>
  <c r="Q70" i="11"/>
  <c r="P70" i="11"/>
  <c r="Q69" i="11"/>
  <c r="P69" i="11"/>
  <c r="Q68" i="11"/>
  <c r="P68" i="11"/>
  <c r="Q67" i="11"/>
  <c r="P67" i="11"/>
  <c r="Q66" i="11"/>
  <c r="P66" i="11"/>
  <c r="Q65" i="11"/>
  <c r="P65" i="11"/>
  <c r="Q64" i="11"/>
  <c r="P64" i="11"/>
  <c r="Q63" i="11"/>
  <c r="P63" i="11"/>
  <c r="Q62" i="11"/>
  <c r="P62" i="11"/>
  <c r="Q61" i="11"/>
  <c r="P61" i="11"/>
  <c r="Q60" i="11"/>
  <c r="P60" i="11"/>
  <c r="Q59" i="11"/>
  <c r="P59" i="11"/>
  <c r="Q58" i="11"/>
  <c r="P58" i="11"/>
  <c r="Q57" i="11"/>
  <c r="P57" i="11"/>
  <c r="Q56" i="11"/>
  <c r="P56" i="11"/>
  <c r="Q55" i="11"/>
  <c r="P55" i="11"/>
  <c r="Q54" i="11"/>
  <c r="P54" i="11"/>
  <c r="Q53" i="11"/>
  <c r="P53" i="11"/>
  <c r="Q52" i="11"/>
  <c r="P52" i="11"/>
  <c r="Q51" i="11"/>
  <c r="P51" i="11"/>
  <c r="Q50" i="11"/>
  <c r="P50" i="11"/>
  <c r="Q49" i="11"/>
  <c r="P49" i="11"/>
  <c r="Q48" i="11"/>
  <c r="P48" i="11"/>
  <c r="Q47" i="11"/>
  <c r="P47" i="11"/>
  <c r="Q46" i="11"/>
  <c r="P46" i="11"/>
  <c r="Q45" i="11"/>
  <c r="P45" i="11"/>
  <c r="Q44" i="11"/>
  <c r="P44" i="11"/>
  <c r="Q43" i="11"/>
  <c r="P43" i="11"/>
  <c r="Q42" i="11"/>
  <c r="P42" i="11"/>
  <c r="Q41" i="11"/>
  <c r="P41" i="11"/>
  <c r="Q40" i="11"/>
  <c r="P40" i="11"/>
  <c r="Q39" i="11"/>
  <c r="P39" i="11"/>
  <c r="Q38" i="11"/>
  <c r="P38" i="11"/>
  <c r="Q37" i="11"/>
  <c r="P37" i="11"/>
  <c r="Q36" i="11"/>
  <c r="P36" i="11"/>
  <c r="Q35" i="11"/>
  <c r="P35" i="11"/>
  <c r="Q34" i="11"/>
  <c r="P34" i="11"/>
  <c r="Q33" i="11"/>
  <c r="P33" i="11"/>
  <c r="Q32" i="11"/>
  <c r="P32" i="11"/>
  <c r="Q31" i="11"/>
  <c r="P31" i="11"/>
  <c r="Q30" i="11"/>
  <c r="P30" i="11"/>
  <c r="Q29" i="11"/>
  <c r="P29" i="11"/>
  <c r="Q28" i="11"/>
  <c r="P28" i="11"/>
  <c r="Q27" i="11"/>
  <c r="P27" i="11"/>
  <c r="Q26" i="11"/>
  <c r="P26" i="11"/>
  <c r="Q25" i="11"/>
  <c r="P25" i="11"/>
  <c r="Q24" i="11"/>
  <c r="P24" i="11"/>
  <c r="Q23" i="11"/>
  <c r="P23" i="11"/>
  <c r="Q22" i="11"/>
  <c r="P22" i="11"/>
  <c r="Q21" i="11"/>
  <c r="P21" i="11"/>
  <c r="Q20" i="11"/>
  <c r="P20" i="11"/>
  <c r="Q19" i="11"/>
  <c r="P19" i="11"/>
  <c r="Q18" i="11"/>
  <c r="P18" i="11"/>
  <c r="Q17" i="11"/>
  <c r="P17" i="11"/>
  <c r="Q16" i="11"/>
  <c r="P16" i="11"/>
  <c r="Q15" i="11"/>
  <c r="P15" i="11"/>
  <c r="Q14" i="11"/>
  <c r="P14" i="11"/>
  <c r="Q13" i="11"/>
  <c r="P13" i="11"/>
  <c r="Q12" i="11"/>
  <c r="P12" i="11"/>
  <c r="Q11" i="11"/>
  <c r="P11" i="11"/>
  <c r="Q10" i="11"/>
  <c r="P10" i="11"/>
  <c r="Q9" i="11"/>
  <c r="P9" i="11"/>
  <c r="Q8" i="11"/>
  <c r="P8" i="11"/>
  <c r="Q7" i="11"/>
  <c r="P7" i="11"/>
  <c r="Q6" i="11"/>
  <c r="P6" i="11"/>
  <c r="Q5" i="11"/>
  <c r="P5" i="11"/>
  <c r="Q4" i="11"/>
  <c r="P4" i="11"/>
  <c r="Q3" i="11"/>
  <c r="P3" i="11"/>
  <c r="Q2" i="11"/>
  <c r="P2" i="11"/>
  <c r="K1288" i="10"/>
  <c r="K1289" i="10"/>
  <c r="K1290" i="10"/>
  <c r="K1291" i="10"/>
  <c r="K1292" i="10"/>
  <c r="K1293" i="10"/>
  <c r="K1294" i="10"/>
  <c r="K1287" i="10"/>
  <c r="Q962" i="10"/>
  <c r="K629" i="10"/>
  <c r="K628" i="10"/>
  <c r="K627" i="10"/>
  <c r="K626" i="10"/>
  <c r="K625" i="10"/>
  <c r="K624" i="10"/>
  <c r="K623" i="10"/>
  <c r="K622" i="10"/>
  <c r="K621" i="10"/>
  <c r="K620" i="10"/>
  <c r="K619" i="10"/>
  <c r="K618" i="10"/>
  <c r="K617" i="10"/>
  <c r="K616" i="10"/>
  <c r="K615" i="10"/>
  <c r="K614" i="10"/>
  <c r="K613" i="10"/>
  <c r="K612" i="10"/>
  <c r="K611" i="10"/>
  <c r="K139" i="10"/>
  <c r="K138" i="10"/>
  <c r="K137" i="10"/>
  <c r="K136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09" i="10"/>
  <c r="L309" i="10"/>
  <c r="G750" i="10"/>
  <c r="G749" i="10"/>
  <c r="G748" i="10"/>
  <c r="G747" i="10"/>
  <c r="G746" i="10"/>
  <c r="G745" i="10"/>
  <c r="G744" i="10"/>
  <c r="G743" i="10"/>
  <c r="G742" i="10"/>
  <c r="G741" i="10"/>
  <c r="G740" i="10"/>
  <c r="G739" i="10"/>
  <c r="G738" i="10"/>
  <c r="G737" i="10"/>
  <c r="G736" i="10"/>
  <c r="G735" i="10"/>
  <c r="G734" i="10"/>
  <c r="G733" i="10"/>
  <c r="K369" i="10"/>
  <c r="K370" i="10"/>
  <c r="K371" i="10"/>
  <c r="K372" i="10"/>
  <c r="K373" i="10"/>
  <c r="K374" i="10"/>
  <c r="K375" i="10"/>
  <c r="K368" i="10"/>
  <c r="G960" i="10"/>
  <c r="G961" i="10"/>
  <c r="G962" i="10"/>
  <c r="Q1575" i="10"/>
  <c r="P1575" i="10"/>
  <c r="Q1574" i="10"/>
  <c r="P1574" i="10"/>
  <c r="Q1573" i="10"/>
  <c r="P1573" i="10"/>
  <c r="Q1572" i="10"/>
  <c r="P1572" i="10"/>
  <c r="Q1571" i="10"/>
  <c r="P1571" i="10"/>
  <c r="Q1570" i="10"/>
  <c r="P1570" i="10"/>
  <c r="Q1569" i="10"/>
  <c r="P1569" i="10"/>
  <c r="Q1568" i="10"/>
  <c r="P1568" i="10"/>
  <c r="Q1567" i="10"/>
  <c r="P1567" i="10"/>
  <c r="Q1566" i="10"/>
  <c r="P1566" i="10"/>
  <c r="G1566" i="10"/>
  <c r="G1567" i="10"/>
  <c r="G1568" i="10"/>
  <c r="G1569" i="10"/>
  <c r="G1570" i="10"/>
  <c r="G1571" i="10"/>
  <c r="G1572" i="10"/>
  <c r="G1573" i="10"/>
  <c r="G1574" i="10"/>
  <c r="G1575" i="10"/>
  <c r="P1537" i="10"/>
  <c r="Q1537" i="10"/>
  <c r="P1538" i="10"/>
  <c r="Q1538" i="10"/>
  <c r="P1539" i="10"/>
  <c r="Q1539" i="10"/>
  <c r="P1540" i="10"/>
  <c r="Q1540" i="10"/>
  <c r="P1541" i="10"/>
  <c r="Q1541" i="10"/>
  <c r="P1542" i="10"/>
  <c r="Q1542" i="10"/>
  <c r="P1543" i="10"/>
  <c r="Q1543" i="10"/>
  <c r="P1544" i="10"/>
  <c r="Q1544" i="10"/>
  <c r="P1545" i="10"/>
  <c r="Q1545" i="10"/>
  <c r="P1546" i="10"/>
  <c r="Q1546" i="10"/>
  <c r="P1547" i="10"/>
  <c r="Q1547" i="10"/>
  <c r="P1548" i="10"/>
  <c r="Q1548" i="10"/>
  <c r="P1549" i="10"/>
  <c r="Q1549" i="10"/>
  <c r="P1550" i="10"/>
  <c r="Q1550" i="10"/>
  <c r="P1551" i="10"/>
  <c r="Q1551" i="10"/>
  <c r="P1552" i="10"/>
  <c r="Q1552" i="10"/>
  <c r="P1553" i="10"/>
  <c r="Q1553" i="10"/>
  <c r="P1554" i="10"/>
  <c r="Q1554" i="10"/>
  <c r="P1555" i="10"/>
  <c r="Q1555" i="10"/>
  <c r="P1556" i="10"/>
  <c r="Q1556" i="10"/>
  <c r="P1557" i="10"/>
  <c r="Q1557" i="10"/>
  <c r="P1558" i="10"/>
  <c r="Q1558" i="10"/>
  <c r="P1559" i="10"/>
  <c r="Q1559" i="10"/>
  <c r="P1560" i="10"/>
  <c r="Q1560" i="10"/>
  <c r="P1561" i="10"/>
  <c r="Q1561" i="10"/>
  <c r="P1562" i="10"/>
  <c r="Q1562" i="10"/>
  <c r="P1563" i="10"/>
  <c r="Q1563" i="10"/>
  <c r="P1564" i="10"/>
  <c r="Q1564" i="10"/>
  <c r="P1565" i="10"/>
  <c r="Q1565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37" i="10"/>
  <c r="G1538" i="10"/>
  <c r="G1539" i="10"/>
  <c r="G1540" i="10"/>
  <c r="G1541" i="10"/>
  <c r="G1542" i="10"/>
  <c r="G1543" i="10"/>
  <c r="G1544" i="10"/>
  <c r="Q1536" i="10"/>
  <c r="P1536" i="10"/>
  <c r="G1536" i="10"/>
  <c r="Q1535" i="10"/>
  <c r="P1535" i="10"/>
  <c r="G1535" i="10"/>
  <c r="Q1534" i="10"/>
  <c r="P1534" i="10"/>
  <c r="G1534" i="10"/>
  <c r="Q1533" i="10"/>
  <c r="P1533" i="10"/>
  <c r="G1533" i="10"/>
  <c r="Q1532" i="10"/>
  <c r="P1532" i="10"/>
  <c r="G1532" i="10"/>
  <c r="G1528" i="10"/>
  <c r="G1529" i="10"/>
  <c r="G1530" i="10"/>
  <c r="G1531" i="10"/>
  <c r="Q1531" i="10"/>
  <c r="P1531" i="10"/>
  <c r="Q1530" i="10"/>
  <c r="P1530" i="10"/>
  <c r="Q1529" i="10"/>
  <c r="P1529" i="10"/>
  <c r="Q1528" i="10"/>
  <c r="P1528" i="10"/>
  <c r="P1527" i="10"/>
  <c r="Q1527" i="10"/>
  <c r="G1527" i="10"/>
  <c r="Q1526" i="10"/>
  <c r="P1526" i="10"/>
  <c r="G1526" i="10"/>
  <c r="P1516" i="10"/>
  <c r="Q1516" i="10"/>
  <c r="P1517" i="10"/>
  <c r="Q1517" i="10"/>
  <c r="P1518" i="10"/>
  <c r="Q1518" i="10"/>
  <c r="P1519" i="10"/>
  <c r="Q1519" i="10"/>
  <c r="P1520" i="10"/>
  <c r="Q1520" i="10"/>
  <c r="P1521" i="10"/>
  <c r="Q1521" i="10"/>
  <c r="P1522" i="10"/>
  <c r="Q1522" i="10"/>
  <c r="P1523" i="10"/>
  <c r="Q1523" i="10"/>
  <c r="P1524" i="10"/>
  <c r="Q1524" i="10"/>
  <c r="P1525" i="10"/>
  <c r="Q1525" i="10"/>
  <c r="G1522" i="10"/>
  <c r="G1523" i="10"/>
  <c r="G1524" i="10"/>
  <c r="G1525" i="10"/>
  <c r="G1516" i="10"/>
  <c r="G1517" i="10"/>
  <c r="G1518" i="10"/>
  <c r="G1519" i="10"/>
  <c r="G1520" i="10"/>
  <c r="G1521" i="10"/>
  <c r="G1510" i="10"/>
  <c r="G1511" i="10"/>
  <c r="G1512" i="10"/>
  <c r="G1513" i="10"/>
  <c r="G1514" i="10"/>
  <c r="Q1514" i="10"/>
  <c r="P1514" i="10"/>
  <c r="Q1513" i="10"/>
  <c r="P1513" i="10"/>
  <c r="Q1512" i="10"/>
  <c r="P1512" i="10"/>
  <c r="Q1511" i="10"/>
  <c r="P1511" i="10"/>
  <c r="Q1510" i="10"/>
  <c r="P1510" i="10"/>
  <c r="Q1509" i="10"/>
  <c r="P1509" i="10"/>
  <c r="G1509" i="10"/>
  <c r="Q1508" i="10"/>
  <c r="P1508" i="10"/>
  <c r="G1508" i="10"/>
  <c r="Q1507" i="10"/>
  <c r="P1507" i="10"/>
  <c r="G1507" i="10"/>
  <c r="Q1506" i="10"/>
  <c r="P1506" i="10"/>
  <c r="G1506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Q1492" i="10"/>
  <c r="P1492" i="10"/>
  <c r="G1492" i="10"/>
  <c r="Q1491" i="10"/>
  <c r="P1491" i="10"/>
  <c r="G1491" i="10"/>
  <c r="Q1490" i="10"/>
  <c r="P1490" i="10"/>
  <c r="G1490" i="10"/>
  <c r="Q1489" i="10"/>
  <c r="P1489" i="10"/>
  <c r="G1489" i="10"/>
  <c r="G1483" i="10"/>
  <c r="G1482" i="10"/>
  <c r="G1481" i="10"/>
  <c r="G1484" i="10"/>
  <c r="G1485" i="10"/>
  <c r="G1486" i="10"/>
  <c r="G1487" i="10"/>
  <c r="G1488" i="10"/>
  <c r="Q1488" i="10"/>
  <c r="P1488" i="10"/>
  <c r="Q1487" i="10"/>
  <c r="P1487" i="10"/>
  <c r="Q1486" i="10"/>
  <c r="P1486" i="10"/>
  <c r="Q1485" i="10"/>
  <c r="P1485" i="10"/>
  <c r="Q1484" i="10"/>
  <c r="P1484" i="10"/>
  <c r="Q1479" i="10"/>
  <c r="P1479" i="10"/>
  <c r="G1479" i="10"/>
  <c r="G1480" i="10"/>
  <c r="P1480" i="10"/>
  <c r="Q1480" i="10"/>
  <c r="P1481" i="10"/>
  <c r="Q1481" i="10"/>
  <c r="P1482" i="10"/>
  <c r="Q1482" i="10"/>
  <c r="P1483" i="10"/>
  <c r="Q1483" i="10"/>
  <c r="P1493" i="10"/>
  <c r="Q1493" i="10"/>
  <c r="P1494" i="10"/>
  <c r="Q1494" i="10"/>
  <c r="P1495" i="10"/>
  <c r="Q1495" i="10"/>
  <c r="P1496" i="10"/>
  <c r="Q1496" i="10"/>
  <c r="P1497" i="10"/>
  <c r="Q1497" i="10"/>
  <c r="P1498" i="10"/>
  <c r="Q1498" i="10"/>
  <c r="P1499" i="10"/>
  <c r="Q1499" i="10"/>
  <c r="P1500" i="10"/>
  <c r="Q1500" i="10"/>
  <c r="P1501" i="10"/>
  <c r="Q1501" i="10"/>
  <c r="P1502" i="10"/>
  <c r="Q1502" i="10"/>
  <c r="P1503" i="10"/>
  <c r="Q1503" i="10"/>
  <c r="P1504" i="10"/>
  <c r="Q1504" i="10"/>
  <c r="P1505" i="10"/>
  <c r="Q1505" i="10"/>
  <c r="P1474" i="10"/>
  <c r="Q1474" i="10"/>
  <c r="P1475" i="10"/>
  <c r="Q1475" i="10"/>
  <c r="P1476" i="10"/>
  <c r="Q1476" i="10"/>
  <c r="P1477" i="10"/>
  <c r="Q1477" i="10"/>
  <c r="P1478" i="10"/>
  <c r="Q1478" i="10"/>
  <c r="G1474" i="10"/>
  <c r="G1475" i="10"/>
  <c r="G1476" i="10"/>
  <c r="G1477" i="10"/>
  <c r="G1478" i="10"/>
  <c r="P1361" i="10"/>
  <c r="P1362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359" i="10"/>
  <c r="P360" i="10"/>
  <c r="P361" i="10"/>
  <c r="P362" i="10"/>
  <c r="P363" i="10"/>
  <c r="P364" i="10"/>
  <c r="P365" i="10"/>
  <c r="P382" i="10"/>
  <c r="P432" i="10"/>
  <c r="P433" i="10"/>
  <c r="P434" i="10"/>
  <c r="P435" i="10"/>
  <c r="P436" i="10"/>
  <c r="P437" i="10"/>
  <c r="P438" i="10"/>
  <c r="Q580" i="10"/>
  <c r="Q85" i="10"/>
  <c r="Q86" i="10"/>
  <c r="Q87" i="10"/>
  <c r="Q88" i="10"/>
  <c r="Q89" i="10"/>
  <c r="Q90" i="10"/>
  <c r="Q91" i="10"/>
  <c r="Q92" i="10"/>
  <c r="Q93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454" i="10"/>
  <c r="Q455" i="10"/>
  <c r="Q456" i="10"/>
  <c r="Q457" i="10"/>
  <c r="Q458" i="10"/>
  <c r="Q6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22" i="10"/>
  <c r="Q23" i="10"/>
  <c r="Q24" i="10"/>
  <c r="Q25" i="10"/>
  <c r="Q26" i="10"/>
  <c r="Q27" i="10"/>
  <c r="Q28" i="10"/>
  <c r="Q29" i="10"/>
  <c r="Q30" i="10"/>
  <c r="Q31" i="10"/>
  <c r="Q32" i="10"/>
  <c r="Q660" i="10"/>
  <c r="Q661" i="10"/>
  <c r="Q662" i="10"/>
  <c r="Q663" i="10"/>
  <c r="Q664" i="10"/>
  <c r="Q856" i="10"/>
  <c r="Q857" i="10"/>
  <c r="Q858" i="10"/>
  <c r="Q859" i="10"/>
  <c r="Q8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669" i="10"/>
  <c r="Q670" i="10"/>
  <c r="Q671" i="10"/>
  <c r="Q672" i="10"/>
  <c r="Q673" i="10"/>
  <c r="Q674" i="10"/>
  <c r="Q675" i="10"/>
  <c r="Q676" i="10"/>
  <c r="Q721" i="10"/>
  <c r="Q722" i="10"/>
  <c r="Q723" i="10"/>
  <c r="Q724" i="10"/>
  <c r="Q725" i="10"/>
  <c r="Q726" i="10"/>
  <c r="Q727" i="10"/>
  <c r="Q728" i="10"/>
  <c r="Q751" i="10"/>
  <c r="Q752" i="10"/>
  <c r="Q753" i="10"/>
  <c r="Q754" i="10"/>
  <c r="Q755" i="10"/>
  <c r="Q756" i="10"/>
  <c r="Q757" i="10"/>
  <c r="Q849" i="10"/>
  <c r="Q850" i="10"/>
  <c r="Q851" i="10"/>
  <c r="Q852" i="10"/>
  <c r="Q853" i="10"/>
  <c r="Q854" i="10"/>
  <c r="Q85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665" i="10"/>
  <c r="Q666" i="10"/>
  <c r="Q667" i="10"/>
  <c r="Q668" i="10"/>
  <c r="Q729" i="10"/>
  <c r="Q730" i="10"/>
  <c r="Q731" i="10"/>
  <c r="Q732" i="10"/>
  <c r="Q758" i="10"/>
  <c r="Q760" i="10"/>
  <c r="Q759" i="10"/>
  <c r="Q70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102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58" i="10"/>
  <c r="Q1071" i="10"/>
  <c r="Q1072" i="10"/>
  <c r="Q1073" i="10"/>
  <c r="Q1074" i="10"/>
  <c r="Q1075" i="10"/>
  <c r="Q1076" i="10"/>
  <c r="Q1077" i="10"/>
  <c r="Q1078" i="10"/>
  <c r="Q1079" i="10"/>
  <c r="Q1080" i="10"/>
  <c r="Q108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Q1134" i="10"/>
  <c r="Q1135" i="10"/>
  <c r="Q1136" i="10"/>
  <c r="Q1137" i="10"/>
  <c r="Q1138" i="10"/>
  <c r="Q1139" i="10"/>
  <c r="Q1140" i="10"/>
  <c r="Q1141" i="10"/>
  <c r="Q1142" i="10"/>
  <c r="Q1143" i="10"/>
  <c r="Q1144" i="10"/>
  <c r="Q1145" i="10"/>
  <c r="Q1146" i="10"/>
  <c r="Q1147" i="10"/>
  <c r="Q1148" i="10"/>
  <c r="Q1149" i="10"/>
  <c r="Q1150" i="10"/>
  <c r="Q1151" i="10"/>
  <c r="Q1152" i="10"/>
  <c r="Q1153" i="10"/>
  <c r="Q1154" i="10"/>
  <c r="Q1155" i="10"/>
  <c r="Q1156" i="10"/>
  <c r="Q1157" i="10"/>
  <c r="Q1158" i="10"/>
  <c r="Q1159" i="10"/>
  <c r="Q1160" i="10"/>
  <c r="Q1161" i="10"/>
  <c r="Q1162" i="10"/>
  <c r="Q1163" i="10"/>
  <c r="Q1164" i="10"/>
  <c r="Q1165" i="10"/>
  <c r="Q1166" i="10"/>
  <c r="Q1167" i="10"/>
  <c r="Q1168" i="10"/>
  <c r="Q1169" i="10"/>
  <c r="Q1170" i="10"/>
  <c r="Q1171" i="10"/>
  <c r="Q1172" i="10"/>
  <c r="Q1173" i="10"/>
  <c r="Q1174" i="10"/>
  <c r="Q1175" i="10"/>
  <c r="Q1176" i="10"/>
  <c r="Q1177" i="10"/>
  <c r="Q1178" i="10"/>
  <c r="Q1179" i="10"/>
  <c r="Q1180" i="10"/>
  <c r="Q1181" i="10"/>
  <c r="Q1182" i="10"/>
  <c r="Q1183" i="10"/>
  <c r="Q1184" i="10"/>
  <c r="Q1185" i="10"/>
  <c r="Q1186" i="10"/>
  <c r="Q1187" i="10"/>
  <c r="Q1188" i="10"/>
  <c r="Q1189" i="10"/>
  <c r="Q1190" i="10"/>
  <c r="Q1191" i="10"/>
  <c r="Q1192" i="10"/>
  <c r="Q1193" i="10"/>
  <c r="Q1194" i="10"/>
  <c r="Q1195" i="10"/>
  <c r="Q1196" i="10"/>
  <c r="Q1197" i="10"/>
  <c r="Q1198" i="10"/>
  <c r="Q1199" i="10"/>
  <c r="Q1200" i="10"/>
  <c r="Q1201" i="10"/>
  <c r="Q1202" i="10"/>
  <c r="Q1203" i="10"/>
  <c r="Q1204" i="10"/>
  <c r="Q1515" i="10"/>
  <c r="Q1205" i="10"/>
  <c r="Q1206" i="10"/>
  <c r="Q1207" i="10"/>
  <c r="Q1208" i="10"/>
  <c r="Q1209" i="10"/>
  <c r="Q1210" i="10"/>
  <c r="Q1211" i="10"/>
  <c r="Q1212" i="10"/>
  <c r="Q1213" i="10"/>
  <c r="Q1214" i="10"/>
  <c r="Q1215" i="10"/>
  <c r="Q1216" i="10"/>
  <c r="Q1217" i="10"/>
  <c r="Q1218" i="10"/>
  <c r="Q1219" i="10"/>
  <c r="Q1220" i="10"/>
  <c r="Q1221" i="10"/>
  <c r="Q1222" i="10"/>
  <c r="Q1223" i="10"/>
  <c r="Q1224" i="10"/>
  <c r="Q1225" i="10"/>
  <c r="Q1226" i="10"/>
  <c r="Q1227" i="10"/>
  <c r="Q1228" i="10"/>
  <c r="Q1229" i="10"/>
  <c r="Q1230" i="10"/>
  <c r="Q1231" i="10"/>
  <c r="Q1232" i="10"/>
  <c r="Q1233" i="10"/>
  <c r="Q1234" i="10"/>
  <c r="Q1235" i="10"/>
  <c r="Q1236" i="10"/>
  <c r="Q1237" i="10"/>
  <c r="Q1238" i="10"/>
  <c r="Q1239" i="10"/>
  <c r="Q1240" i="10"/>
  <c r="Q1241" i="10"/>
  <c r="Q1242" i="10"/>
  <c r="Q1243" i="10"/>
  <c r="Q1244" i="10"/>
  <c r="Q1245" i="10"/>
  <c r="Q1246" i="10"/>
  <c r="Q1247" i="10"/>
  <c r="Q1248" i="10"/>
  <c r="Q1249" i="10"/>
  <c r="Q1250" i="10"/>
  <c r="Q1251" i="10"/>
  <c r="Q1252" i="10"/>
  <c r="Q1253" i="10"/>
  <c r="Q1254" i="10"/>
  <c r="Q1255" i="10"/>
  <c r="Q1256" i="10"/>
  <c r="Q1257" i="10"/>
  <c r="Q1258" i="10"/>
  <c r="Q1259" i="10"/>
  <c r="Q1260" i="10"/>
  <c r="Q1261" i="10"/>
  <c r="Q1262" i="10"/>
  <c r="Q1263" i="10"/>
  <c r="Q1264" i="10"/>
  <c r="Q1265" i="10"/>
  <c r="Q1266" i="10"/>
  <c r="Q1267" i="10"/>
  <c r="Q1268" i="10"/>
  <c r="Q1269" i="10"/>
  <c r="Q1270" i="10"/>
  <c r="Q1271" i="10"/>
  <c r="Q1272" i="10"/>
  <c r="Q1273" i="10"/>
  <c r="Q1274" i="10"/>
  <c r="Q1275" i="10"/>
  <c r="Q1276" i="10"/>
  <c r="Q1277" i="10"/>
  <c r="Q1278" i="10"/>
  <c r="Q1279" i="10"/>
  <c r="Q1280" i="10"/>
  <c r="Q1281" i="10"/>
  <c r="Q1282" i="10"/>
  <c r="Q1283" i="10"/>
  <c r="Q1284" i="10"/>
  <c r="Q1285" i="10"/>
  <c r="Q1286" i="10"/>
  <c r="Q1295" i="10"/>
  <c r="Q1296" i="10"/>
  <c r="Q1297" i="10"/>
  <c r="Q1298" i="10"/>
  <c r="Q1299" i="10"/>
  <c r="Q1300" i="10"/>
  <c r="Q1301" i="10"/>
  <c r="Q1302" i="10"/>
  <c r="Q1303" i="10"/>
  <c r="Q1304" i="10"/>
  <c r="Q1305" i="10"/>
  <c r="Q1306" i="10"/>
  <c r="Q1307" i="10"/>
  <c r="Q1308" i="10"/>
  <c r="Q1309" i="10"/>
  <c r="Q1310" i="10"/>
  <c r="Q1311" i="10"/>
  <c r="Q1312" i="10"/>
  <c r="Q1313" i="10"/>
  <c r="Q1314" i="10"/>
  <c r="Q1315" i="10"/>
  <c r="Q1287" i="10"/>
  <c r="Q1288" i="10"/>
  <c r="Q1289" i="10"/>
  <c r="Q1290" i="10"/>
  <c r="Q1291" i="10"/>
  <c r="Q1292" i="10"/>
  <c r="Q1293" i="10"/>
  <c r="Q1294" i="10"/>
  <c r="Q1317" i="10"/>
  <c r="Q1318" i="10"/>
  <c r="Q1319" i="10"/>
  <c r="Q1320" i="10"/>
  <c r="Q1321" i="10"/>
  <c r="Q1322" i="10"/>
  <c r="Q1323" i="10"/>
  <c r="Q1324" i="10"/>
  <c r="Q1325" i="10"/>
  <c r="Q1326" i="10"/>
  <c r="Q1327" i="10"/>
  <c r="Q1328" i="10"/>
  <c r="Q1329" i="10"/>
  <c r="Q1330" i="10"/>
  <c r="Q1331" i="10"/>
  <c r="Q1332" i="10"/>
  <c r="Q1333" i="10"/>
  <c r="Q1334" i="10"/>
  <c r="Q1335" i="10"/>
  <c r="Q1336" i="10"/>
  <c r="Q1337" i="10"/>
  <c r="Q1338" i="10"/>
  <c r="Q1339" i="10"/>
  <c r="Q1340" i="10"/>
  <c r="Q1341" i="10"/>
  <c r="Q1342" i="10"/>
  <c r="Q1343" i="10"/>
  <c r="Q1344" i="10"/>
  <c r="Q1345" i="10"/>
  <c r="Q1346" i="10"/>
  <c r="Q1347" i="10"/>
  <c r="Q1348" i="10"/>
  <c r="Q1349" i="10"/>
  <c r="Q1350" i="10"/>
  <c r="Q1351" i="10"/>
  <c r="Q1352" i="10"/>
  <c r="Q1353" i="10"/>
  <c r="Q1354" i="10"/>
  <c r="Q1355" i="10"/>
  <c r="Q1356" i="10"/>
  <c r="Q1357" i="10"/>
  <c r="Q1358" i="10"/>
  <c r="Q1359" i="10"/>
  <c r="Q1360" i="10"/>
  <c r="Q1405" i="10"/>
  <c r="Q1406" i="10"/>
  <c r="Q1407" i="10"/>
  <c r="Q1408" i="10"/>
  <c r="Q1409" i="10"/>
  <c r="Q1410" i="10"/>
  <c r="Q1411" i="10"/>
  <c r="Q1412" i="10"/>
  <c r="Q1413" i="10"/>
  <c r="Q1414" i="10"/>
  <c r="Q1415" i="10"/>
  <c r="Q1416" i="10"/>
  <c r="Q1417" i="10"/>
  <c r="Q1418" i="10"/>
  <c r="Q1419" i="10"/>
  <c r="Q1430" i="10"/>
  <c r="Q1431" i="10"/>
  <c r="Q1432" i="10"/>
  <c r="Q1433" i="10"/>
  <c r="Q1434" i="10"/>
  <c r="Q1435" i="10"/>
  <c r="Q1436" i="10"/>
  <c r="Q1437" i="10"/>
  <c r="Q1438" i="10"/>
  <c r="Q1439" i="10"/>
  <c r="Q1440" i="10"/>
  <c r="Q1441" i="10"/>
  <c r="Q1442" i="10"/>
  <c r="Q1443" i="10"/>
  <c r="Q1444" i="10"/>
  <c r="Q1445" i="10"/>
  <c r="Q1446" i="10"/>
  <c r="Q1447" i="10"/>
  <c r="Q1448" i="10"/>
  <c r="Q1449" i="10"/>
  <c r="Q1450" i="10"/>
  <c r="Q1451" i="10"/>
  <c r="Q1452" i="10"/>
  <c r="Q1453" i="10"/>
  <c r="Q1454" i="10"/>
  <c r="Q1455" i="10"/>
  <c r="Q1456" i="10"/>
  <c r="Q1457" i="10"/>
  <c r="Q1458" i="10"/>
  <c r="Q1459" i="10"/>
  <c r="Q1460" i="10"/>
  <c r="Q1461" i="10"/>
  <c r="Q1462" i="10"/>
  <c r="Q1463" i="10"/>
  <c r="Q1464" i="10"/>
  <c r="Q1465" i="10"/>
  <c r="Q1466" i="10"/>
  <c r="Q1467" i="10"/>
  <c r="Q1468" i="10"/>
  <c r="Q1469" i="10"/>
  <c r="Q1470" i="10"/>
  <c r="Q1471" i="10"/>
  <c r="Q1472" i="10"/>
  <c r="Q1473" i="10"/>
  <c r="Q1420" i="10"/>
  <c r="Q1421" i="10"/>
  <c r="Q1422" i="10"/>
  <c r="Q1423" i="10"/>
  <c r="Q1424" i="10"/>
  <c r="Q1425" i="10"/>
  <c r="Q1426" i="10"/>
  <c r="Q1427" i="10"/>
  <c r="Q1428" i="10"/>
  <c r="Q1429" i="10"/>
  <c r="Q1316" i="10"/>
  <c r="Q1361" i="10"/>
  <c r="Q1362" i="10"/>
  <c r="Q1363" i="10"/>
  <c r="Q1364" i="10"/>
  <c r="Q1365" i="10"/>
  <c r="Q1366" i="10"/>
  <c r="Q1367" i="10"/>
  <c r="Q1368" i="10"/>
  <c r="Q1369" i="10"/>
  <c r="Q1370" i="10"/>
  <c r="Q1371" i="10"/>
  <c r="Q1372" i="10"/>
  <c r="Q1373" i="10"/>
  <c r="Q1374" i="10"/>
  <c r="Q1375" i="10"/>
  <c r="Q1376" i="10"/>
  <c r="Q1377" i="10"/>
  <c r="Q1378" i="10"/>
  <c r="Q1379" i="10"/>
  <c r="Q1380" i="10"/>
  <c r="Q1381" i="10"/>
  <c r="Q1382" i="10"/>
  <c r="Q1383" i="10"/>
  <c r="Q1384" i="10"/>
  <c r="Q1385" i="10"/>
  <c r="Q1386" i="10"/>
  <c r="Q1387" i="10"/>
  <c r="Q1388" i="10"/>
  <c r="Q1389" i="10"/>
  <c r="Q1390" i="10"/>
  <c r="Q1391" i="10"/>
  <c r="Q1392" i="10"/>
  <c r="Q1393" i="10"/>
  <c r="Q1394" i="10"/>
  <c r="Q1395" i="10"/>
  <c r="Q1396" i="10"/>
  <c r="Q1397" i="10"/>
  <c r="Q1398" i="10"/>
  <c r="Q1399" i="10"/>
  <c r="Q1400" i="10"/>
  <c r="Q1401" i="10"/>
  <c r="Q1402" i="10"/>
  <c r="Q1403" i="10"/>
  <c r="Q1404" i="10"/>
  <c r="P255" i="10"/>
  <c r="P256" i="10"/>
  <c r="P257" i="10"/>
  <c r="P258" i="10"/>
  <c r="P368" i="10"/>
  <c r="P369" i="10"/>
  <c r="P370" i="10"/>
  <c r="P371" i="10"/>
  <c r="P372" i="10"/>
  <c r="P373" i="10"/>
  <c r="P374" i="10"/>
  <c r="P375" i="10"/>
  <c r="P428" i="10"/>
  <c r="P429" i="10"/>
  <c r="P430" i="10"/>
  <c r="P431" i="10"/>
  <c r="P450" i="10"/>
  <c r="P451" i="10"/>
  <c r="P452" i="10"/>
  <c r="P453" i="10"/>
  <c r="P580" i="10"/>
  <c r="P85" i="10"/>
  <c r="P86" i="10"/>
  <c r="P87" i="10"/>
  <c r="P88" i="10"/>
  <c r="P89" i="10"/>
  <c r="P90" i="10"/>
  <c r="P91" i="10"/>
  <c r="P92" i="10"/>
  <c r="P93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454" i="10"/>
  <c r="P455" i="10"/>
  <c r="P456" i="10"/>
  <c r="P457" i="10"/>
  <c r="P458" i="10"/>
  <c r="P659" i="10"/>
  <c r="P560" i="10"/>
  <c r="P253" i="10"/>
  <c r="P254" i="10"/>
  <c r="P1371" i="10"/>
  <c r="P1372" i="10"/>
  <c r="P1373" i="10"/>
  <c r="P1374" i="10"/>
  <c r="P1375" i="10"/>
  <c r="P1376" i="10"/>
  <c r="P1377" i="10"/>
  <c r="P1378" i="10"/>
  <c r="P1379" i="10"/>
  <c r="P1380" i="10"/>
  <c r="P1381" i="10"/>
  <c r="P1382" i="10"/>
  <c r="P1383" i="10"/>
  <c r="P1384" i="10"/>
  <c r="P1385" i="10"/>
  <c r="P1386" i="10"/>
  <c r="P1387" i="10"/>
  <c r="P1388" i="10"/>
  <c r="P1389" i="10"/>
  <c r="P1390" i="10"/>
  <c r="P1391" i="10"/>
  <c r="P1392" i="10"/>
  <c r="P1393" i="10"/>
  <c r="P1394" i="10"/>
  <c r="P1395" i="10"/>
  <c r="P1396" i="10"/>
  <c r="P1397" i="10"/>
  <c r="P1398" i="10"/>
  <c r="P1399" i="10"/>
  <c r="P1400" i="10"/>
  <c r="P1401" i="10"/>
  <c r="P1402" i="10"/>
  <c r="P1403" i="10"/>
  <c r="P1404" i="10"/>
  <c r="P1363" i="10"/>
  <c r="P1364" i="10"/>
  <c r="P1365" i="10"/>
  <c r="P1366" i="10"/>
  <c r="P1367" i="10"/>
  <c r="P1368" i="10"/>
  <c r="P1369" i="10"/>
  <c r="P1370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283" i="10"/>
  <c r="G1422" i="10"/>
  <c r="G1423" i="10"/>
  <c r="G1424" i="10"/>
  <c r="G1425" i="10"/>
  <c r="G1426" i="10"/>
  <c r="G1427" i="10"/>
  <c r="G1428" i="10"/>
  <c r="G1429" i="10"/>
  <c r="G1316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67" i="10"/>
  <c r="G1144" i="10"/>
  <c r="P1105" i="10"/>
  <c r="P1106" i="10"/>
  <c r="P1107" i="10"/>
  <c r="P1108" i="10"/>
  <c r="P1109" i="10"/>
  <c r="P1110" i="10"/>
  <c r="P1111" i="10"/>
  <c r="G1100" i="10"/>
  <c r="G1101" i="10"/>
  <c r="G1102" i="10"/>
  <c r="G1103" i="10"/>
  <c r="G1104" i="10"/>
  <c r="G1105" i="10"/>
  <c r="G1106" i="10"/>
  <c r="G1107" i="10"/>
  <c r="G1108" i="10"/>
  <c r="G1109" i="10"/>
  <c r="P1103" i="10"/>
  <c r="P1113" i="10"/>
  <c r="P1114" i="10"/>
  <c r="P1115" i="10"/>
  <c r="P1116" i="10"/>
  <c r="P1117" i="10"/>
  <c r="P1118" i="10"/>
  <c r="P1119" i="10"/>
  <c r="P1120" i="10"/>
  <c r="P1121" i="10"/>
  <c r="P1122" i="10"/>
  <c r="P1123" i="10"/>
  <c r="P1124" i="10"/>
  <c r="P1125" i="10"/>
  <c r="P1126" i="10"/>
  <c r="P1127" i="10"/>
  <c r="P1128" i="10"/>
  <c r="P1129" i="10"/>
  <c r="P1104" i="10"/>
  <c r="P1112" i="10"/>
  <c r="P1071" i="10"/>
  <c r="P1072" i="10"/>
  <c r="P1073" i="10"/>
  <c r="P1074" i="10"/>
  <c r="P1075" i="10"/>
  <c r="P1076" i="10"/>
  <c r="P1077" i="10"/>
  <c r="G1068" i="10"/>
  <c r="G1069" i="10"/>
  <c r="G1070" i="10"/>
  <c r="G1058" i="10"/>
  <c r="G1071" i="10"/>
  <c r="G1072" i="10"/>
  <c r="G1073" i="10"/>
  <c r="G1074" i="10"/>
  <c r="G1075" i="10"/>
  <c r="P1058" i="10"/>
  <c r="P1016" i="10"/>
  <c r="P1017" i="10"/>
  <c r="P1018" i="10"/>
  <c r="P1019" i="10"/>
  <c r="P1020" i="10"/>
  <c r="P1021" i="10"/>
  <c r="P1022" i="10"/>
  <c r="P1023" i="10"/>
  <c r="P1024" i="10"/>
  <c r="P1025" i="10"/>
  <c r="P1026" i="10"/>
  <c r="P1027" i="10"/>
  <c r="P1028" i="10"/>
  <c r="P1029" i="10"/>
  <c r="P1030" i="10"/>
  <c r="P1031" i="10"/>
  <c r="P1032" i="10"/>
  <c r="P1033" i="10"/>
  <c r="P1034" i="10"/>
  <c r="P1035" i="10"/>
  <c r="P1036" i="10"/>
  <c r="P1037" i="10"/>
  <c r="P1038" i="10"/>
  <c r="P1039" i="10"/>
  <c r="P1040" i="10"/>
  <c r="P1041" i="10"/>
  <c r="P1042" i="10"/>
  <c r="P1043" i="10"/>
  <c r="P1044" i="10"/>
  <c r="P1045" i="10"/>
  <c r="P1046" i="10"/>
  <c r="P1047" i="10"/>
  <c r="P1048" i="10"/>
  <c r="P1049" i="10"/>
  <c r="P1050" i="10"/>
  <c r="P1051" i="10"/>
  <c r="P1052" i="10"/>
  <c r="P1053" i="10"/>
  <c r="P1054" i="10"/>
  <c r="P1055" i="10"/>
  <c r="P1056" i="10"/>
  <c r="P1057" i="10"/>
  <c r="P1059" i="10"/>
  <c r="P1060" i="10"/>
  <c r="P1061" i="10"/>
  <c r="P1062" i="10"/>
  <c r="P1063" i="10"/>
  <c r="P1064" i="10"/>
  <c r="P1065" i="10"/>
  <c r="P1066" i="10"/>
  <c r="P1067" i="10"/>
  <c r="P1068" i="10"/>
  <c r="P1069" i="10"/>
  <c r="P1070" i="10"/>
  <c r="P1078" i="10"/>
  <c r="P1079" i="10"/>
  <c r="P1080" i="10"/>
  <c r="P1081" i="10"/>
  <c r="P1082" i="10"/>
  <c r="P1083" i="10"/>
  <c r="P1084" i="10"/>
  <c r="P1085" i="10"/>
  <c r="P1086" i="10"/>
  <c r="P1087" i="10"/>
  <c r="P1088" i="10"/>
  <c r="P1089" i="10"/>
  <c r="P1090" i="10"/>
  <c r="P1091" i="10"/>
  <c r="P1092" i="10"/>
  <c r="P1093" i="10"/>
  <c r="P1094" i="10"/>
  <c r="P1095" i="10"/>
  <c r="P1096" i="10"/>
  <c r="P1097" i="10"/>
  <c r="P1098" i="10"/>
  <c r="P1099" i="10"/>
  <c r="P1100" i="10"/>
  <c r="P1101" i="10"/>
  <c r="P1102" i="10"/>
  <c r="P1130" i="10"/>
  <c r="P1131" i="10"/>
  <c r="P1132" i="10"/>
  <c r="P1133" i="10"/>
  <c r="P1134" i="10"/>
  <c r="P1135" i="10"/>
  <c r="P1136" i="10"/>
  <c r="P1137" i="10"/>
  <c r="P1138" i="10"/>
  <c r="P1139" i="10"/>
  <c r="P1140" i="10"/>
  <c r="P1141" i="10"/>
  <c r="P1142" i="10"/>
  <c r="P1143" i="10"/>
  <c r="P1144" i="10"/>
  <c r="P1145" i="10"/>
  <c r="P1146" i="10"/>
  <c r="P1147" i="10"/>
  <c r="P1148" i="10"/>
  <c r="P1149" i="10"/>
  <c r="P1150" i="10"/>
  <c r="P1151" i="10"/>
  <c r="P1152" i="10"/>
  <c r="P1153" i="10"/>
  <c r="P1154" i="10"/>
  <c r="P1155" i="10"/>
  <c r="P1156" i="10"/>
  <c r="P1157" i="10"/>
  <c r="P1158" i="10"/>
  <c r="P1159" i="10"/>
  <c r="P1160" i="10"/>
  <c r="P1161" i="10"/>
  <c r="P1162" i="10"/>
  <c r="P1163" i="10"/>
  <c r="P1164" i="10"/>
  <c r="P1165" i="10"/>
  <c r="P1166" i="10"/>
  <c r="P1167" i="10"/>
  <c r="P1168" i="10"/>
  <c r="P1169" i="10"/>
  <c r="P1170" i="10"/>
  <c r="P1171" i="10"/>
  <c r="P1172" i="10"/>
  <c r="P1173" i="10"/>
  <c r="P1174" i="10"/>
  <c r="P1175" i="10"/>
  <c r="P1176" i="10"/>
  <c r="P1177" i="10"/>
  <c r="P1178" i="10"/>
  <c r="P1179" i="10"/>
  <c r="P1180" i="10"/>
  <c r="P1181" i="10"/>
  <c r="P1182" i="10"/>
  <c r="P1183" i="10"/>
  <c r="P1184" i="10"/>
  <c r="P1185" i="10"/>
  <c r="P1186" i="10"/>
  <c r="P1187" i="10"/>
  <c r="P1188" i="10"/>
  <c r="P1189" i="10"/>
  <c r="P1190" i="10"/>
  <c r="P1191" i="10"/>
  <c r="P1192" i="10"/>
  <c r="P1193" i="10"/>
  <c r="P1194" i="10"/>
  <c r="P1195" i="10"/>
  <c r="P1196" i="10"/>
  <c r="P1197" i="10"/>
  <c r="P1198" i="10"/>
  <c r="P1199" i="10"/>
  <c r="P1200" i="10"/>
  <c r="P1201" i="10"/>
  <c r="P1202" i="10"/>
  <c r="P1203" i="10"/>
  <c r="P1204" i="10"/>
  <c r="P1515" i="10"/>
  <c r="P1205" i="10"/>
  <c r="P1206" i="10"/>
  <c r="P1207" i="10"/>
  <c r="P1208" i="10"/>
  <c r="P1209" i="10"/>
  <c r="P1210" i="10"/>
  <c r="P1211" i="10"/>
  <c r="P1212" i="10"/>
  <c r="P1213" i="10"/>
  <c r="P1214" i="10"/>
  <c r="P1215" i="10"/>
  <c r="P1216" i="10"/>
  <c r="P1217" i="10"/>
  <c r="P1218" i="10"/>
  <c r="P1219" i="10"/>
  <c r="P1220" i="10"/>
  <c r="P1221" i="10"/>
  <c r="P1222" i="10"/>
  <c r="P1223" i="10"/>
  <c r="P1224" i="10"/>
  <c r="P1225" i="10"/>
  <c r="P1226" i="10"/>
  <c r="P1227" i="10"/>
  <c r="P1228" i="10"/>
  <c r="P1229" i="10"/>
  <c r="P1230" i="10"/>
  <c r="P1231" i="10"/>
  <c r="P1232" i="10"/>
  <c r="P1233" i="10"/>
  <c r="P1234" i="10"/>
  <c r="P1235" i="10"/>
  <c r="P1236" i="10"/>
  <c r="P1237" i="10"/>
  <c r="P1238" i="10"/>
  <c r="P1239" i="10"/>
  <c r="P1240" i="10"/>
  <c r="P1241" i="10"/>
  <c r="P1242" i="10"/>
  <c r="P1243" i="10"/>
  <c r="P1244" i="10"/>
  <c r="P1245" i="10"/>
  <c r="P1246" i="10"/>
  <c r="P1247" i="10"/>
  <c r="P1248" i="10"/>
  <c r="P1249" i="10"/>
  <c r="P1250" i="10"/>
  <c r="P1251" i="10"/>
  <c r="P1252" i="10"/>
  <c r="P1253" i="10"/>
  <c r="P1254" i="10"/>
  <c r="P1255" i="10"/>
  <c r="P1256" i="10"/>
  <c r="P1257" i="10"/>
  <c r="P1258" i="10"/>
  <c r="P1259" i="10"/>
  <c r="P1260" i="10"/>
  <c r="P1261" i="10"/>
  <c r="P1262" i="10"/>
  <c r="P1263" i="10"/>
  <c r="P1264" i="10"/>
  <c r="P1265" i="10"/>
  <c r="P1266" i="10"/>
  <c r="P1267" i="10"/>
  <c r="P1268" i="10"/>
  <c r="P1269" i="10"/>
  <c r="P1270" i="10"/>
  <c r="P1271" i="10"/>
  <c r="P1272" i="10"/>
  <c r="P1273" i="10"/>
  <c r="P1274" i="10"/>
  <c r="P1275" i="10"/>
  <c r="P1276" i="10"/>
  <c r="P1277" i="10"/>
  <c r="P1278" i="10"/>
  <c r="P1279" i="10"/>
  <c r="P1280" i="10"/>
  <c r="P1281" i="10"/>
  <c r="P1282" i="10"/>
  <c r="P1283" i="10"/>
  <c r="P1284" i="10"/>
  <c r="P1285" i="10"/>
  <c r="P1286" i="10"/>
  <c r="P1295" i="10"/>
  <c r="P1296" i="10"/>
  <c r="P1297" i="10"/>
  <c r="P1298" i="10"/>
  <c r="P1299" i="10"/>
  <c r="P1300" i="10"/>
  <c r="P1301" i="10"/>
  <c r="P1302" i="10"/>
  <c r="P1303" i="10"/>
  <c r="P1304" i="10"/>
  <c r="P1305" i="10"/>
  <c r="P1306" i="10"/>
  <c r="P1307" i="10"/>
  <c r="P1308" i="10"/>
  <c r="P1309" i="10"/>
  <c r="P1310" i="10"/>
  <c r="P1311" i="10"/>
  <c r="P1312" i="10"/>
  <c r="P1313" i="10"/>
  <c r="P1314" i="10"/>
  <c r="P1315" i="10"/>
  <c r="P1287" i="10"/>
  <c r="P1288" i="10"/>
  <c r="P1289" i="10"/>
  <c r="P1290" i="10"/>
  <c r="P1291" i="10"/>
  <c r="P1292" i="10"/>
  <c r="P1293" i="10"/>
  <c r="P1294" i="10"/>
  <c r="P1317" i="10"/>
  <c r="P1318" i="10"/>
  <c r="P1319" i="10"/>
  <c r="P1320" i="10"/>
  <c r="P1321" i="10"/>
  <c r="P1322" i="10"/>
  <c r="P1323" i="10"/>
  <c r="P1324" i="10"/>
  <c r="P1325" i="10"/>
  <c r="P1326" i="10"/>
  <c r="P1327" i="10"/>
  <c r="P1328" i="10"/>
  <c r="P1329" i="10"/>
  <c r="P1330" i="10"/>
  <c r="P1331" i="10"/>
  <c r="P1332" i="10"/>
  <c r="P1333" i="10"/>
  <c r="P1334" i="10"/>
  <c r="P1335" i="10"/>
  <c r="P1336" i="10"/>
  <c r="P1337" i="10"/>
  <c r="P1338" i="10"/>
  <c r="P1339" i="10"/>
  <c r="P1340" i="10"/>
  <c r="P1341" i="10"/>
  <c r="P1342" i="10"/>
  <c r="P1343" i="10"/>
  <c r="P1344" i="10"/>
  <c r="P1345" i="10"/>
  <c r="P1346" i="10"/>
  <c r="P1347" i="10"/>
  <c r="P1348" i="10"/>
  <c r="P1349" i="10"/>
  <c r="P1350" i="10"/>
  <c r="P1351" i="10"/>
  <c r="P1352" i="10"/>
  <c r="P1353" i="10"/>
  <c r="P1354" i="10"/>
  <c r="P1355" i="10"/>
  <c r="P1356" i="10"/>
  <c r="P1357" i="10"/>
  <c r="P1358" i="10"/>
  <c r="P1359" i="10"/>
  <c r="P1360" i="10"/>
  <c r="P1405" i="10"/>
  <c r="P1406" i="10"/>
  <c r="P1407" i="10"/>
  <c r="P1408" i="10"/>
  <c r="P1409" i="10"/>
  <c r="P1410" i="10"/>
  <c r="P1411" i="10"/>
  <c r="P1412" i="10"/>
  <c r="P1413" i="10"/>
  <c r="P1414" i="10"/>
  <c r="P1415" i="10"/>
  <c r="P1416" i="10"/>
  <c r="P1417" i="10"/>
  <c r="P1418" i="10"/>
  <c r="P1419" i="10"/>
  <c r="P1430" i="10"/>
  <c r="P1431" i="10"/>
  <c r="P1432" i="10"/>
  <c r="P1433" i="10"/>
  <c r="P1434" i="10"/>
  <c r="P1435" i="10"/>
  <c r="P1436" i="10"/>
  <c r="P1437" i="10"/>
  <c r="P1438" i="10"/>
  <c r="P1439" i="10"/>
  <c r="P1440" i="10"/>
  <c r="P1441" i="10"/>
  <c r="P1442" i="10"/>
  <c r="P1443" i="10"/>
  <c r="P1444" i="10"/>
  <c r="P1445" i="10"/>
  <c r="P1446" i="10"/>
  <c r="P1447" i="10"/>
  <c r="P1448" i="10"/>
  <c r="P1449" i="10"/>
  <c r="P1450" i="10"/>
  <c r="P1451" i="10"/>
  <c r="P1452" i="10"/>
  <c r="P1453" i="10"/>
  <c r="P1454" i="10"/>
  <c r="P1455" i="10"/>
  <c r="P1456" i="10"/>
  <c r="P1457" i="10"/>
  <c r="P1458" i="10"/>
  <c r="P1459" i="10"/>
  <c r="P1460" i="10"/>
  <c r="P1461" i="10"/>
  <c r="P1462" i="10"/>
  <c r="P1463" i="10"/>
  <c r="P1464" i="10"/>
  <c r="P1465" i="10"/>
  <c r="P1466" i="10"/>
  <c r="P1467" i="10"/>
  <c r="P1468" i="10"/>
  <c r="P1469" i="10"/>
  <c r="P1470" i="10"/>
  <c r="P1471" i="10"/>
  <c r="P1472" i="10"/>
  <c r="P1473" i="10"/>
  <c r="P1420" i="10"/>
  <c r="P1421" i="10"/>
  <c r="P1422" i="10"/>
  <c r="P1423" i="10"/>
  <c r="P1424" i="10"/>
  <c r="P1425" i="10"/>
  <c r="P1426" i="10"/>
  <c r="P1427" i="10"/>
  <c r="P1428" i="10"/>
  <c r="P1429" i="10"/>
  <c r="P1316" i="10"/>
  <c r="G1024" i="10"/>
  <c r="G1411" i="10"/>
  <c r="G1412" i="10"/>
  <c r="G1413" i="10"/>
  <c r="G1414" i="10"/>
  <c r="G1415" i="10"/>
  <c r="G1416" i="10"/>
  <c r="G1417" i="10"/>
  <c r="G1418" i="10"/>
  <c r="G141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20" i="10"/>
  <c r="G1421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4" i="10"/>
  <c r="G1285" i="10"/>
  <c r="G1286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287" i="10"/>
  <c r="G1288" i="10"/>
  <c r="G1289" i="10"/>
  <c r="G1290" i="10"/>
  <c r="G1291" i="10"/>
  <c r="G1292" i="10"/>
  <c r="G1293" i="10"/>
  <c r="G1294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405" i="10"/>
  <c r="G1406" i="10"/>
  <c r="G1407" i="10"/>
  <c r="G1408" i="10"/>
  <c r="G1409" i="10"/>
  <c r="G1410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1002" i="10"/>
  <c r="P1003" i="10"/>
  <c r="P1004" i="10"/>
  <c r="P1005" i="10"/>
  <c r="P1006" i="10"/>
  <c r="P1007" i="10"/>
  <c r="P1008" i="10"/>
  <c r="P1009" i="10"/>
  <c r="P1010" i="10"/>
  <c r="P1011" i="10"/>
  <c r="P1012" i="10"/>
  <c r="P1013" i="10"/>
  <c r="P1014" i="10"/>
  <c r="P1015" i="10"/>
  <c r="P968" i="10"/>
  <c r="P70" i="10"/>
  <c r="P963" i="10"/>
  <c r="P964" i="10"/>
  <c r="P965" i="10"/>
  <c r="P966" i="10"/>
  <c r="P967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665" i="10"/>
  <c r="G666" i="10"/>
  <c r="G667" i="10"/>
  <c r="G668" i="10"/>
  <c r="G729" i="10"/>
  <c r="G730" i="10"/>
  <c r="G731" i="10"/>
  <c r="G732" i="10"/>
  <c r="G758" i="10"/>
  <c r="G760" i="10"/>
  <c r="G759" i="10"/>
  <c r="G70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9" i="10"/>
  <c r="G1060" i="10"/>
  <c r="G1061" i="10"/>
  <c r="G1062" i="10"/>
  <c r="G1063" i="10"/>
  <c r="G1064" i="10"/>
  <c r="G1065" i="10"/>
  <c r="G1066" i="10"/>
  <c r="G1067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96" i="10"/>
  <c r="G1197" i="10"/>
  <c r="G1198" i="10"/>
  <c r="G1199" i="10"/>
  <c r="G1200" i="10"/>
  <c r="G1201" i="10"/>
  <c r="G1202" i="10"/>
  <c r="G1203" i="10"/>
  <c r="G1204" i="10"/>
  <c r="G1515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946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431" i="10"/>
  <c r="K430" i="10"/>
  <c r="K429" i="10"/>
  <c r="K428" i="10"/>
  <c r="P214" i="10"/>
  <c r="Q214" i="10"/>
  <c r="G181" i="10"/>
  <c r="G182" i="10"/>
  <c r="G183" i="10"/>
  <c r="G184" i="10"/>
  <c r="G185" i="10"/>
  <c r="G186" i="10"/>
  <c r="K654" i="10"/>
  <c r="K653" i="10"/>
  <c r="K652" i="10"/>
  <c r="K651" i="10"/>
  <c r="K630" i="10"/>
  <c r="Q505" i="10"/>
  <c r="Q506" i="10"/>
  <c r="Q507" i="10"/>
  <c r="Q508" i="10"/>
  <c r="Q509" i="10"/>
  <c r="Q510" i="10"/>
  <c r="Q511" i="10"/>
  <c r="Q512" i="10"/>
  <c r="P381" i="10"/>
  <c r="P505" i="10"/>
  <c r="P506" i="10"/>
  <c r="P507" i="10"/>
  <c r="P508" i="10"/>
  <c r="P509" i="10"/>
  <c r="P510" i="10"/>
  <c r="P511" i="10"/>
  <c r="P512" i="10"/>
  <c r="P513" i="10"/>
  <c r="G11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581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G383" i="10"/>
  <c r="G384" i="10"/>
  <c r="G385" i="10"/>
  <c r="G386" i="10"/>
  <c r="P236" i="10"/>
  <c r="Q236" i="10"/>
  <c r="P237" i="10"/>
  <c r="Q237" i="10"/>
  <c r="P238" i="10"/>
  <c r="Q238" i="10"/>
  <c r="P239" i="10"/>
  <c r="Q239" i="10"/>
  <c r="P240" i="10"/>
  <c r="Q240" i="10"/>
  <c r="P241" i="10"/>
  <c r="Q241" i="10"/>
  <c r="P242" i="10"/>
  <c r="Q242" i="10"/>
  <c r="P259" i="10"/>
  <c r="Q259" i="10"/>
  <c r="P260" i="10"/>
  <c r="Q260" i="10"/>
  <c r="P261" i="10"/>
  <c r="Q261" i="10"/>
  <c r="P262" i="10"/>
  <c r="Q262" i="10"/>
  <c r="P263" i="10"/>
  <c r="Q263" i="10"/>
  <c r="P264" i="10"/>
  <c r="Q264" i="10"/>
  <c r="P265" i="10"/>
  <c r="Q265" i="10"/>
  <c r="P266" i="10"/>
  <c r="Q266" i="10"/>
  <c r="P267" i="10"/>
  <c r="Q267" i="10"/>
  <c r="P268" i="10"/>
  <c r="Q268" i="10"/>
  <c r="P269" i="10"/>
  <c r="Q269" i="10"/>
  <c r="P270" i="10"/>
  <c r="Q270" i="10"/>
  <c r="P271" i="10"/>
  <c r="Q271" i="10"/>
  <c r="P272" i="10"/>
  <c r="Q272" i="10"/>
  <c r="P273" i="10"/>
  <c r="Q273" i="10"/>
  <c r="P274" i="10"/>
  <c r="Q274" i="10"/>
  <c r="P275" i="10"/>
  <c r="Q275" i="10"/>
  <c r="P276" i="10"/>
  <c r="Q276" i="10"/>
  <c r="P277" i="10"/>
  <c r="Q277" i="10"/>
  <c r="P278" i="10"/>
  <c r="Q278" i="10"/>
  <c r="P309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P377" i="10"/>
  <c r="Q377" i="10"/>
  <c r="P378" i="10"/>
  <c r="Q378" i="10"/>
  <c r="P379" i="10"/>
  <c r="Q379" i="10"/>
  <c r="P380" i="10"/>
  <c r="Q380" i="10"/>
  <c r="Q381" i="10"/>
  <c r="Q513" i="10"/>
  <c r="P514" i="10"/>
  <c r="Q514" i="10"/>
  <c r="P515" i="10"/>
  <c r="Q515" i="10"/>
  <c r="P516" i="10"/>
  <c r="Q516" i="10"/>
  <c r="P517" i="10"/>
  <c r="Q517" i="10"/>
  <c r="P518" i="10"/>
  <c r="Q518" i="10"/>
  <c r="P519" i="10"/>
  <c r="Q519" i="10"/>
  <c r="P520" i="10"/>
  <c r="Q520" i="10"/>
  <c r="P521" i="10"/>
  <c r="Q521" i="10"/>
  <c r="P522" i="10"/>
  <c r="Q522" i="10"/>
  <c r="P523" i="10"/>
  <c r="Q523" i="10"/>
  <c r="P524" i="10"/>
  <c r="Q524" i="10"/>
  <c r="P525" i="10"/>
  <c r="Q525" i="10"/>
  <c r="P526" i="10"/>
  <c r="Q526" i="10"/>
  <c r="P527" i="10"/>
  <c r="Q527" i="10"/>
  <c r="P528" i="10"/>
  <c r="Q528" i="10"/>
  <c r="P529" i="10"/>
  <c r="Q529" i="10"/>
  <c r="P479" i="10"/>
  <c r="Q479" i="10"/>
  <c r="P480" i="10"/>
  <c r="Q480" i="10"/>
  <c r="P481" i="10"/>
  <c r="Q481" i="10"/>
  <c r="P482" i="10"/>
  <c r="Q482" i="10"/>
  <c r="P483" i="10"/>
  <c r="Q483" i="10"/>
  <c r="P484" i="10"/>
  <c r="Q484" i="10"/>
  <c r="P485" i="10"/>
  <c r="Q485" i="10"/>
  <c r="P486" i="10"/>
  <c r="Q486" i="10"/>
  <c r="P487" i="10"/>
  <c r="Q487" i="10"/>
  <c r="P488" i="10"/>
  <c r="Q488" i="10"/>
  <c r="P489" i="10"/>
  <c r="Q489" i="10"/>
  <c r="P490" i="10"/>
  <c r="Q490" i="10"/>
  <c r="P491" i="10"/>
  <c r="Q491" i="10"/>
  <c r="P492" i="10"/>
  <c r="Q492" i="10"/>
  <c r="P493" i="10"/>
  <c r="Q493" i="10"/>
  <c r="P494" i="10"/>
  <c r="Q494" i="10"/>
  <c r="P495" i="10"/>
  <c r="Q495" i="10"/>
  <c r="P496" i="10"/>
  <c r="Q496" i="10"/>
  <c r="P497" i="10"/>
  <c r="Q497" i="10"/>
  <c r="P498" i="10"/>
  <c r="Q498" i="10"/>
  <c r="P499" i="10"/>
  <c r="Q499" i="10"/>
  <c r="P500" i="10"/>
  <c r="Q500" i="10"/>
  <c r="P501" i="10"/>
  <c r="Q501" i="10"/>
  <c r="P502" i="10"/>
  <c r="Q502" i="10"/>
  <c r="P503" i="10"/>
  <c r="Q503" i="10"/>
  <c r="P535" i="10"/>
  <c r="Q535" i="10"/>
  <c r="P536" i="10"/>
  <c r="Q536" i="10"/>
  <c r="P537" i="10"/>
  <c r="Q537" i="10"/>
  <c r="P538" i="10"/>
  <c r="Q538" i="10"/>
  <c r="P539" i="10"/>
  <c r="Q539" i="10"/>
  <c r="P540" i="10"/>
  <c r="Q540" i="10"/>
  <c r="P541" i="10"/>
  <c r="Q541" i="10"/>
  <c r="P542" i="10"/>
  <c r="Q542" i="10"/>
  <c r="P543" i="10"/>
  <c r="Q543" i="10"/>
  <c r="P544" i="10"/>
  <c r="Q544" i="10"/>
  <c r="P545" i="10"/>
  <c r="Q545" i="10"/>
  <c r="P546" i="10"/>
  <c r="Q546" i="10"/>
  <c r="P547" i="10"/>
  <c r="Q547" i="10"/>
  <c r="P548" i="10"/>
  <c r="Q548" i="10"/>
  <c r="P549" i="10"/>
  <c r="Q549" i="10"/>
  <c r="P550" i="10"/>
  <c r="Q550" i="10"/>
  <c r="P551" i="10"/>
  <c r="Q551" i="10"/>
  <c r="P552" i="10"/>
  <c r="Q552" i="10"/>
  <c r="P553" i="10"/>
  <c r="Q553" i="10"/>
  <c r="P554" i="10"/>
  <c r="Q554" i="10"/>
  <c r="P555" i="10"/>
  <c r="Q555" i="10"/>
  <c r="P556" i="10"/>
  <c r="Q556" i="10"/>
  <c r="P557" i="10"/>
  <c r="Q557" i="10"/>
  <c r="P558" i="10"/>
  <c r="Q558" i="10"/>
  <c r="P559" i="10"/>
  <c r="Q559" i="10"/>
  <c r="P279" i="10"/>
  <c r="Q279" i="10"/>
  <c r="P280" i="10"/>
  <c r="Q280" i="10"/>
  <c r="P281" i="10"/>
  <c r="Q281" i="10"/>
  <c r="P282" i="10"/>
  <c r="Q282" i="10"/>
  <c r="P283" i="10"/>
  <c r="Q283" i="10"/>
  <c r="P581" i="10"/>
  <c r="Q581" i="10"/>
  <c r="P582" i="10"/>
  <c r="Q582" i="10"/>
  <c r="P583" i="10"/>
  <c r="Q583" i="10"/>
  <c r="P584" i="10"/>
  <c r="Q584" i="10"/>
  <c r="P585" i="10"/>
  <c r="Q585" i="10"/>
  <c r="P586" i="10"/>
  <c r="Q586" i="10"/>
  <c r="P587" i="10"/>
  <c r="Q587" i="10"/>
  <c r="P588" i="10"/>
  <c r="Q588" i="10"/>
  <c r="P589" i="10"/>
  <c r="Q589" i="10"/>
  <c r="P590" i="10"/>
  <c r="Q590" i="10"/>
  <c r="P591" i="10"/>
  <c r="Q591" i="10"/>
  <c r="P592" i="10"/>
  <c r="Q592" i="10"/>
  <c r="P593" i="10"/>
  <c r="Q593" i="10"/>
  <c r="P594" i="10"/>
  <c r="Q594" i="10"/>
  <c r="P595" i="10"/>
  <c r="Q595" i="10"/>
  <c r="P596" i="10"/>
  <c r="Q596" i="10"/>
  <c r="P597" i="10"/>
  <c r="Q597" i="10"/>
  <c r="P598" i="10"/>
  <c r="Q598" i="10"/>
  <c r="P599" i="10"/>
  <c r="Q599" i="10"/>
  <c r="P600" i="10"/>
  <c r="Q600" i="10"/>
  <c r="P601" i="10"/>
  <c r="Q601" i="10"/>
  <c r="P602" i="10"/>
  <c r="Q602" i="10"/>
  <c r="P603" i="10"/>
  <c r="Q603" i="10"/>
  <c r="P604" i="10"/>
  <c r="Q604" i="10"/>
  <c r="P605" i="10"/>
  <c r="Q605" i="10"/>
  <c r="P606" i="10"/>
  <c r="Q606" i="10"/>
  <c r="P71" i="10"/>
  <c r="Q71" i="10"/>
  <c r="P72" i="10"/>
  <c r="Q72" i="10"/>
  <c r="P73" i="10"/>
  <c r="Q73" i="10"/>
  <c r="P74" i="10"/>
  <c r="Q74" i="10"/>
  <c r="P75" i="10"/>
  <c r="Q75" i="10"/>
  <c r="P76" i="10"/>
  <c r="Q76" i="10"/>
  <c r="P77" i="10"/>
  <c r="Q77" i="10"/>
  <c r="P78" i="10"/>
  <c r="Q78" i="10"/>
  <c r="P79" i="10"/>
  <c r="Q79" i="10"/>
  <c r="P80" i="10"/>
  <c r="Q80" i="10"/>
  <c r="P81" i="10"/>
  <c r="Q81" i="10"/>
  <c r="P82" i="10"/>
  <c r="Q82" i="10"/>
  <c r="P83" i="10"/>
  <c r="Q83" i="10"/>
  <c r="P84" i="10"/>
  <c r="Q84" i="10"/>
  <c r="P110" i="10"/>
  <c r="Q110" i="10"/>
  <c r="P111" i="10"/>
  <c r="Q111" i="10"/>
  <c r="P136" i="10"/>
  <c r="Q136" i="10"/>
  <c r="P137" i="10"/>
  <c r="Q137" i="10"/>
  <c r="P138" i="10"/>
  <c r="Q138" i="10"/>
  <c r="P139" i="10"/>
  <c r="Q139" i="10"/>
  <c r="P205" i="10"/>
  <c r="Q205" i="10"/>
  <c r="P206" i="10"/>
  <c r="Q206" i="10"/>
  <c r="P207" i="10"/>
  <c r="Q207" i="10"/>
  <c r="P208" i="10"/>
  <c r="Q208" i="10"/>
  <c r="P243" i="10"/>
  <c r="Q243" i="10"/>
  <c r="P244" i="10"/>
  <c r="Q244" i="10"/>
  <c r="P245" i="10"/>
  <c r="Q245" i="10"/>
  <c r="P246" i="10"/>
  <c r="Q246" i="10"/>
  <c r="P247" i="10"/>
  <c r="Q247" i="10"/>
  <c r="P248" i="10"/>
  <c r="Q248" i="10"/>
  <c r="P249" i="10"/>
  <c r="Q249" i="10"/>
  <c r="P250" i="10"/>
  <c r="Q250" i="10"/>
  <c r="P334" i="10"/>
  <c r="Q334" i="10"/>
  <c r="P335" i="10"/>
  <c r="Q335" i="10"/>
  <c r="P336" i="10"/>
  <c r="Q336" i="10"/>
  <c r="P337" i="10"/>
  <c r="Q337" i="10"/>
  <c r="P338" i="10"/>
  <c r="Q338" i="10"/>
  <c r="P339" i="10"/>
  <c r="Q339" i="10"/>
  <c r="P340" i="10"/>
  <c r="Q340" i="10"/>
  <c r="P341" i="10"/>
  <c r="Q341" i="10"/>
  <c r="P342" i="10"/>
  <c r="Q342" i="10"/>
  <c r="P343" i="10"/>
  <c r="Q343" i="10"/>
  <c r="P344" i="10"/>
  <c r="Q344" i="10"/>
  <c r="P345" i="10"/>
  <c r="Q345" i="10"/>
  <c r="P346" i="10"/>
  <c r="Q346" i="10"/>
  <c r="P347" i="10"/>
  <c r="Q347" i="10"/>
  <c r="P348" i="10"/>
  <c r="Q348" i="10"/>
  <c r="P349" i="10"/>
  <c r="Q349" i="10"/>
  <c r="P350" i="10"/>
  <c r="Q350" i="10"/>
  <c r="P351" i="10"/>
  <c r="Q351" i="10"/>
  <c r="P352" i="10"/>
  <c r="Q352" i="10"/>
  <c r="P353" i="10"/>
  <c r="Q353" i="10"/>
  <c r="P504" i="10"/>
  <c r="Q504" i="10"/>
  <c r="P611" i="10"/>
  <c r="Q611" i="10"/>
  <c r="P612" i="10"/>
  <c r="Q612" i="10"/>
  <c r="P613" i="10"/>
  <c r="Q613" i="10"/>
  <c r="P614" i="10"/>
  <c r="Q614" i="10"/>
  <c r="P615" i="10"/>
  <c r="Q615" i="10"/>
  <c r="P616" i="10"/>
  <c r="Q616" i="10"/>
  <c r="P617" i="10"/>
  <c r="Q617" i="10"/>
  <c r="P618" i="10"/>
  <c r="Q618" i="10"/>
  <c r="P619" i="10"/>
  <c r="Q619" i="10"/>
  <c r="P620" i="10"/>
  <c r="Q620" i="10"/>
  <c r="P621" i="10"/>
  <c r="Q621" i="10"/>
  <c r="P622" i="10"/>
  <c r="Q622" i="10"/>
  <c r="P623" i="10"/>
  <c r="Q623" i="10"/>
  <c r="P624" i="10"/>
  <c r="Q624" i="10"/>
  <c r="P625" i="10"/>
  <c r="Q625" i="10"/>
  <c r="P626" i="10"/>
  <c r="Q626" i="10"/>
  <c r="P627" i="10"/>
  <c r="Q627" i="10"/>
  <c r="P628" i="10"/>
  <c r="Q628" i="10"/>
  <c r="P629" i="10"/>
  <c r="Q629" i="10"/>
  <c r="P630" i="10"/>
  <c r="Q630" i="10"/>
  <c r="P651" i="10"/>
  <c r="Q651" i="10"/>
  <c r="P652" i="10"/>
  <c r="Q652" i="10"/>
  <c r="P653" i="10"/>
  <c r="Q653" i="10"/>
  <c r="P654" i="10"/>
  <c r="Q654" i="10"/>
  <c r="P655" i="10"/>
  <c r="Q655" i="10"/>
  <c r="P656" i="10"/>
  <c r="Q656" i="10"/>
  <c r="P657" i="10"/>
  <c r="Q657" i="10"/>
  <c r="P658" i="10"/>
  <c r="Q658" i="10"/>
  <c r="P62" i="10"/>
  <c r="Q62" i="10"/>
  <c r="P63" i="10"/>
  <c r="Q63" i="10"/>
  <c r="P64" i="10"/>
  <c r="Q64" i="10"/>
  <c r="P65" i="10"/>
  <c r="Q65" i="10"/>
  <c r="P66" i="10"/>
  <c r="Q66" i="10"/>
  <c r="P67" i="10"/>
  <c r="Q67" i="10"/>
  <c r="P68" i="10"/>
  <c r="Q68" i="10"/>
  <c r="P69" i="10"/>
  <c r="Q69" i="10"/>
  <c r="P180" i="10"/>
  <c r="Q180" i="10"/>
  <c r="P181" i="10"/>
  <c r="Q181" i="10"/>
  <c r="P182" i="10"/>
  <c r="Q182" i="10"/>
  <c r="P183" i="10"/>
  <c r="Q183" i="10"/>
  <c r="P184" i="10"/>
  <c r="Q184" i="10"/>
  <c r="P185" i="10"/>
  <c r="Q185" i="10"/>
  <c r="P186" i="10"/>
  <c r="Q186" i="10"/>
  <c r="P187" i="10"/>
  <c r="Q187" i="10"/>
  <c r="P210" i="10"/>
  <c r="Q210" i="10"/>
  <c r="P211" i="10"/>
  <c r="Q211" i="10"/>
  <c r="P212" i="10"/>
  <c r="Q212" i="10"/>
  <c r="P213" i="10"/>
  <c r="Q213" i="10"/>
  <c r="P215" i="10"/>
  <c r="Q215" i="10"/>
  <c r="P216" i="10"/>
  <c r="Q216" i="10"/>
  <c r="P217" i="10"/>
  <c r="Q217" i="10"/>
  <c r="P251" i="10"/>
  <c r="Q251" i="10"/>
  <c r="P252" i="10"/>
  <c r="Q252" i="10"/>
  <c r="Q253" i="10"/>
  <c r="Q254" i="10"/>
  <c r="Q255" i="10"/>
  <c r="Q256" i="10"/>
  <c r="Q257" i="10"/>
  <c r="Q258" i="10"/>
  <c r="Q368" i="10"/>
  <c r="Q369" i="10"/>
  <c r="Q370" i="10"/>
  <c r="Q371" i="10"/>
  <c r="Q372" i="10"/>
  <c r="Q373" i="10"/>
  <c r="Q374" i="10"/>
  <c r="Q375" i="10"/>
  <c r="Q428" i="10"/>
  <c r="Q429" i="10"/>
  <c r="Q430" i="10"/>
  <c r="Q431" i="10"/>
  <c r="Q450" i="10"/>
  <c r="Q451" i="10"/>
  <c r="Q452" i="10"/>
  <c r="Q453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22" i="10"/>
  <c r="P23" i="10"/>
  <c r="P24" i="10"/>
  <c r="P25" i="10"/>
  <c r="P26" i="10"/>
  <c r="P27" i="10"/>
  <c r="P28" i="10"/>
  <c r="P29" i="10"/>
  <c r="P30" i="10"/>
  <c r="P31" i="10"/>
  <c r="P32" i="10"/>
  <c r="P660" i="10"/>
  <c r="P661" i="10"/>
  <c r="P662" i="10"/>
  <c r="P663" i="10"/>
  <c r="P664" i="10"/>
  <c r="P856" i="10"/>
  <c r="P857" i="10"/>
  <c r="P858" i="10"/>
  <c r="P859" i="10"/>
  <c r="P8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669" i="10"/>
  <c r="P670" i="10"/>
  <c r="P671" i="10"/>
  <c r="P672" i="10"/>
  <c r="P673" i="10"/>
  <c r="P674" i="10"/>
  <c r="P675" i="10"/>
  <c r="P676" i="10"/>
  <c r="P721" i="10"/>
  <c r="P722" i="10"/>
  <c r="P723" i="10"/>
  <c r="P724" i="10"/>
  <c r="P725" i="10"/>
  <c r="P726" i="10"/>
  <c r="P727" i="10"/>
  <c r="P728" i="10"/>
  <c r="P751" i="10"/>
  <c r="P752" i="10"/>
  <c r="P753" i="10"/>
  <c r="P754" i="10"/>
  <c r="P755" i="10"/>
  <c r="P756" i="10"/>
  <c r="P757" i="10"/>
  <c r="P849" i="10"/>
  <c r="P850" i="10"/>
  <c r="P851" i="10"/>
  <c r="P852" i="10"/>
  <c r="P853" i="10"/>
  <c r="P854" i="10"/>
  <c r="P85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861" i="10"/>
  <c r="P862" i="10"/>
  <c r="P863" i="10"/>
  <c r="P864" i="10"/>
  <c r="P865" i="10"/>
  <c r="P86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665" i="10"/>
  <c r="P666" i="10"/>
  <c r="P667" i="10"/>
  <c r="P668" i="10"/>
  <c r="P729" i="10"/>
  <c r="P730" i="10"/>
  <c r="P731" i="10"/>
  <c r="P732" i="10"/>
  <c r="P758" i="10"/>
  <c r="P760" i="10"/>
  <c r="P759" i="10"/>
  <c r="P307" i="10"/>
  <c r="Q307" i="10"/>
  <c r="P308" i="10"/>
  <c r="Q308" i="10"/>
  <c r="P383" i="10"/>
  <c r="Q383" i="10"/>
  <c r="P384" i="10"/>
  <c r="Q384" i="10"/>
  <c r="P385" i="10"/>
  <c r="Q385" i="10"/>
  <c r="P386" i="10"/>
  <c r="Q386" i="10"/>
  <c r="P387" i="10"/>
  <c r="Q387" i="10"/>
  <c r="P388" i="10"/>
  <c r="Q388" i="10"/>
  <c r="P389" i="10"/>
  <c r="Q389" i="10"/>
  <c r="P390" i="10"/>
  <c r="Q390" i="10"/>
  <c r="P391" i="10"/>
  <c r="Q391" i="10"/>
  <c r="P392" i="10"/>
  <c r="Q392" i="10"/>
  <c r="P393" i="10"/>
  <c r="Q393" i="10"/>
  <c r="P394" i="10"/>
  <c r="Q394" i="10"/>
  <c r="P395" i="10"/>
  <c r="Q395" i="10"/>
  <c r="P396" i="10"/>
  <c r="Q396" i="10"/>
  <c r="P397" i="10"/>
  <c r="Q397" i="10"/>
  <c r="P398" i="10"/>
  <c r="Q398" i="10"/>
  <c r="P399" i="10"/>
  <c r="Q399" i="10"/>
  <c r="P400" i="10"/>
  <c r="Q400" i="10"/>
  <c r="P401" i="10"/>
  <c r="Q401" i="10"/>
  <c r="P402" i="10"/>
  <c r="Q402" i="10"/>
  <c r="P408" i="10"/>
  <c r="Q408" i="10"/>
  <c r="P409" i="10"/>
  <c r="Q409" i="10"/>
  <c r="P410" i="10"/>
  <c r="Q410" i="10"/>
  <c r="P411" i="10"/>
  <c r="Q411" i="10"/>
  <c r="P412" i="10"/>
  <c r="Q412" i="10"/>
  <c r="P413" i="10"/>
  <c r="Q413" i="10"/>
  <c r="P414" i="10"/>
  <c r="Q414" i="10"/>
  <c r="P415" i="10"/>
  <c r="Q415" i="10"/>
  <c r="P416" i="10"/>
  <c r="Q416" i="10"/>
  <c r="P417" i="10"/>
  <c r="Q417" i="10"/>
  <c r="P418" i="10"/>
  <c r="Q418" i="10"/>
  <c r="P419" i="10"/>
  <c r="Q419" i="10"/>
  <c r="P420" i="10"/>
  <c r="Q420" i="10"/>
  <c r="P421" i="10"/>
  <c r="Q421" i="10"/>
  <c r="P422" i="10"/>
  <c r="Q422" i="10"/>
  <c r="P423" i="10"/>
  <c r="Q423" i="10"/>
  <c r="P424" i="10"/>
  <c r="Q424" i="10"/>
  <c r="P425" i="10"/>
  <c r="Q425" i="10"/>
  <c r="P426" i="10"/>
  <c r="Q426" i="10"/>
  <c r="P427" i="10"/>
  <c r="Q427" i="10"/>
  <c r="P607" i="10"/>
  <c r="Q607" i="10"/>
  <c r="P608" i="10"/>
  <c r="Q608" i="10"/>
  <c r="P609" i="10"/>
  <c r="Q609" i="10"/>
  <c r="P610" i="10"/>
  <c r="Q610" i="10"/>
  <c r="P109" i="10"/>
  <c r="Q109" i="10"/>
  <c r="P366" i="10"/>
  <c r="Q366" i="10"/>
  <c r="P367" i="10"/>
  <c r="Q367" i="10"/>
  <c r="P122" i="10"/>
  <c r="Q122" i="10"/>
  <c r="P123" i="10"/>
  <c r="Q123" i="10"/>
  <c r="P124" i="10"/>
  <c r="Q124" i="10"/>
  <c r="P125" i="10"/>
  <c r="Q125" i="10"/>
  <c r="P126" i="10"/>
  <c r="Q126" i="10"/>
  <c r="P218" i="10"/>
  <c r="Q218" i="10"/>
  <c r="P219" i="10"/>
  <c r="Q219" i="10"/>
  <c r="P220" i="10"/>
  <c r="Q220" i="10"/>
  <c r="P221" i="10"/>
  <c r="Q221" i="10"/>
  <c r="P222" i="10"/>
  <c r="Q222" i="10"/>
  <c r="P223" i="10"/>
  <c r="Q223" i="10"/>
  <c r="P224" i="10"/>
  <c r="Q224" i="10"/>
  <c r="P225" i="10"/>
  <c r="Q225" i="10"/>
  <c r="P226" i="10"/>
  <c r="Q226" i="10"/>
  <c r="P227" i="10"/>
  <c r="Q227" i="10"/>
  <c r="P228" i="10"/>
  <c r="Q228" i="10"/>
  <c r="P229" i="10"/>
  <c r="Q229" i="10"/>
  <c r="P230" i="10"/>
  <c r="Q230" i="10"/>
  <c r="P231" i="10"/>
  <c r="Q231" i="10"/>
  <c r="P232" i="10"/>
  <c r="Q232" i="10"/>
  <c r="P233" i="10"/>
  <c r="Q233" i="10"/>
  <c r="P234" i="10"/>
  <c r="Q234" i="10"/>
  <c r="P235" i="10"/>
  <c r="Q235" i="10"/>
  <c r="G287" i="10"/>
  <c r="G286" i="10"/>
  <c r="G285" i="10"/>
  <c r="G201" i="10"/>
  <c r="G202" i="10"/>
  <c r="G203" i="10"/>
  <c r="G204" i="10"/>
  <c r="G284" i="10"/>
  <c r="K376" i="10"/>
  <c r="G17" i="10"/>
  <c r="K358" i="10"/>
  <c r="K357" i="10"/>
  <c r="K356" i="10"/>
  <c r="K355" i="10"/>
  <c r="K354" i="10"/>
  <c r="K294" i="10"/>
  <c r="K293" i="10"/>
  <c r="K292" i="10"/>
  <c r="K291" i="10"/>
  <c r="K290" i="10"/>
  <c r="K174" i="10"/>
  <c r="G174" i="10"/>
  <c r="K173" i="10"/>
  <c r="G173" i="10"/>
  <c r="K172" i="10"/>
  <c r="G172" i="10"/>
  <c r="K171" i="10"/>
  <c r="G171" i="10"/>
  <c r="K170" i="10"/>
  <c r="G170" i="10"/>
  <c r="K169" i="10"/>
  <c r="G169" i="10"/>
  <c r="K168" i="10"/>
  <c r="G168" i="10"/>
  <c r="K167" i="10"/>
  <c r="G167" i="10"/>
  <c r="K166" i="10"/>
  <c r="G166" i="10"/>
  <c r="K165" i="10"/>
  <c r="G165" i="10"/>
  <c r="K164" i="10"/>
  <c r="G164" i="10"/>
  <c r="K163" i="10"/>
  <c r="G163" i="10"/>
  <c r="K162" i="10"/>
  <c r="G162" i="10"/>
  <c r="K161" i="10"/>
  <c r="G161" i="10"/>
  <c r="K160" i="10"/>
  <c r="G160" i="10"/>
  <c r="K159" i="10"/>
  <c r="G159" i="10"/>
  <c r="K158" i="10"/>
  <c r="G158" i="10"/>
  <c r="K157" i="10"/>
  <c r="K156" i="10"/>
  <c r="G155" i="10"/>
  <c r="K155" i="10"/>
  <c r="K179" i="10"/>
  <c r="K178" i="10"/>
  <c r="K177" i="10"/>
  <c r="K176" i="10"/>
  <c r="K175" i="10"/>
  <c r="P7" i="10"/>
  <c r="P8" i="10"/>
  <c r="P9" i="10"/>
  <c r="P10" i="10"/>
  <c r="P11" i="10"/>
  <c r="P12" i="10"/>
  <c r="P13" i="10"/>
  <c r="P14" i="10"/>
  <c r="P15" i="10"/>
  <c r="P16" i="10"/>
  <c r="P439" i="10"/>
  <c r="P440" i="10"/>
  <c r="P441" i="10"/>
  <c r="P442" i="10"/>
  <c r="P443" i="10"/>
  <c r="P444" i="10"/>
  <c r="P445" i="10"/>
  <c r="P446" i="10"/>
  <c r="P447" i="10"/>
  <c r="P448" i="10"/>
  <c r="P449" i="10"/>
  <c r="P288" i="10"/>
  <c r="P289" i="10"/>
  <c r="P145" i="10"/>
  <c r="P146" i="10"/>
  <c r="P147" i="10"/>
  <c r="P148" i="10"/>
  <c r="P149" i="10"/>
  <c r="P175" i="10"/>
  <c r="P176" i="10"/>
  <c r="P177" i="10"/>
  <c r="P178" i="10"/>
  <c r="P179" i="10"/>
  <c r="P150" i="10"/>
  <c r="P155" i="10"/>
  <c r="P156" i="10"/>
  <c r="P157" i="10"/>
  <c r="P158" i="10"/>
  <c r="P159" i="10"/>
  <c r="P160" i="10"/>
  <c r="P161" i="10"/>
  <c r="K149" i="10"/>
  <c r="K148" i="10"/>
  <c r="K147" i="10"/>
  <c r="K146" i="10"/>
  <c r="K145" i="10"/>
  <c r="K289" i="10"/>
  <c r="K288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382" i="10"/>
  <c r="K359" i="10"/>
  <c r="K360" i="10"/>
  <c r="K361" i="10"/>
  <c r="K362" i="10"/>
  <c r="K363" i="10"/>
  <c r="K364" i="10"/>
  <c r="K365" i="10"/>
  <c r="G41" i="10"/>
  <c r="G42" i="10"/>
  <c r="G43" i="10"/>
  <c r="G44" i="10"/>
  <c r="G45" i="10"/>
  <c r="G46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G94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P3" i="10"/>
  <c r="Q3" i="10"/>
  <c r="P4" i="10"/>
  <c r="Q4" i="10"/>
  <c r="P5" i="10"/>
  <c r="Q5" i="10"/>
  <c r="P6" i="10"/>
  <c r="Q6" i="10"/>
  <c r="Q7" i="10"/>
  <c r="Q8" i="10"/>
  <c r="Q9" i="10"/>
  <c r="Q10" i="10"/>
  <c r="Q11" i="10"/>
  <c r="Q12" i="10"/>
  <c r="Q13" i="10"/>
  <c r="Q14" i="10"/>
  <c r="Q15" i="10"/>
  <c r="Q16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359" i="10"/>
  <c r="Q360" i="10"/>
  <c r="Q361" i="10"/>
  <c r="Q362" i="10"/>
  <c r="Q363" i="10"/>
  <c r="Q364" i="10"/>
  <c r="Q365" i="10"/>
  <c r="Q382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288" i="10"/>
  <c r="Q289" i="10"/>
  <c r="Q145" i="10"/>
  <c r="Q146" i="10"/>
  <c r="Q147" i="10"/>
  <c r="Q148" i="10"/>
  <c r="Q149" i="10"/>
  <c r="Q175" i="10"/>
  <c r="Q176" i="10"/>
  <c r="Q177" i="10"/>
  <c r="Q178" i="10"/>
  <c r="Q179" i="10"/>
  <c r="Q150" i="10"/>
  <c r="Q155" i="10"/>
  <c r="Q156" i="10"/>
  <c r="Q157" i="10"/>
  <c r="Q158" i="10"/>
  <c r="Q159" i="10"/>
  <c r="Q160" i="10"/>
  <c r="Q161" i="10"/>
  <c r="P162" i="10"/>
  <c r="Q162" i="10"/>
  <c r="P163" i="10"/>
  <c r="Q163" i="10"/>
  <c r="P164" i="10"/>
  <c r="Q164" i="10"/>
  <c r="P165" i="10"/>
  <c r="Q165" i="10"/>
  <c r="P166" i="10"/>
  <c r="Q166" i="10"/>
  <c r="P167" i="10"/>
  <c r="Q167" i="10"/>
  <c r="P168" i="10"/>
  <c r="Q168" i="10"/>
  <c r="P169" i="10"/>
  <c r="Q169" i="10"/>
  <c r="P170" i="10"/>
  <c r="Q170" i="10"/>
  <c r="P171" i="10"/>
  <c r="Q171" i="10"/>
  <c r="P172" i="10"/>
  <c r="Q172" i="10"/>
  <c r="P173" i="10"/>
  <c r="Q173" i="10"/>
  <c r="P174" i="10"/>
  <c r="Q174" i="10"/>
  <c r="P290" i="10"/>
  <c r="Q290" i="10"/>
  <c r="P291" i="10"/>
  <c r="Q291" i="10"/>
  <c r="P292" i="10"/>
  <c r="Q292" i="10"/>
  <c r="P293" i="10"/>
  <c r="Q293" i="10"/>
  <c r="P294" i="10"/>
  <c r="Q294" i="10"/>
  <c r="P354" i="10"/>
  <c r="Q354" i="10"/>
  <c r="P355" i="10"/>
  <c r="Q355" i="10"/>
  <c r="P356" i="10"/>
  <c r="Q356" i="10"/>
  <c r="P357" i="10"/>
  <c r="Q357" i="10"/>
  <c r="P358" i="10"/>
  <c r="Q358" i="10"/>
  <c r="P530" i="10"/>
  <c r="Q530" i="10"/>
  <c r="P531" i="10"/>
  <c r="Q531" i="10"/>
  <c r="P532" i="10"/>
  <c r="Q532" i="10"/>
  <c r="P533" i="10"/>
  <c r="Q533" i="10"/>
  <c r="P534" i="10"/>
  <c r="Q534" i="10"/>
  <c r="P17" i="10"/>
  <c r="Q17" i="10"/>
  <c r="P18" i="10"/>
  <c r="Q18" i="10"/>
  <c r="P19" i="10"/>
  <c r="Q19" i="10"/>
  <c r="P20" i="10"/>
  <c r="Q20" i="10"/>
  <c r="P21" i="10"/>
  <c r="Q21" i="10"/>
  <c r="P131" i="10"/>
  <c r="Q131" i="10"/>
  <c r="P132" i="10"/>
  <c r="Q132" i="10"/>
  <c r="P133" i="10"/>
  <c r="Q133" i="10"/>
  <c r="P134" i="10"/>
  <c r="Q134" i="10"/>
  <c r="P135" i="10"/>
  <c r="Q135" i="10"/>
  <c r="P144" i="10"/>
  <c r="Q144" i="10"/>
  <c r="P209" i="10"/>
  <c r="Q209" i="10"/>
  <c r="P376" i="10"/>
  <c r="Q376" i="10"/>
  <c r="P403" i="10"/>
  <c r="Q403" i="10"/>
  <c r="P404" i="10"/>
  <c r="Q404" i="10"/>
  <c r="P405" i="10"/>
  <c r="Q405" i="10"/>
  <c r="P406" i="10"/>
  <c r="Q406" i="10"/>
  <c r="P407" i="10"/>
  <c r="Q407" i="10"/>
  <c r="P112" i="10"/>
  <c r="Q112" i="10"/>
  <c r="P113" i="10"/>
  <c r="Q113" i="10"/>
  <c r="P114" i="10"/>
  <c r="Q114" i="10"/>
  <c r="P115" i="10"/>
  <c r="Q115" i="10"/>
  <c r="P116" i="10"/>
  <c r="Q116" i="10"/>
  <c r="P117" i="10"/>
  <c r="Q117" i="10"/>
  <c r="P118" i="10"/>
  <c r="Q118" i="10"/>
  <c r="P119" i="10"/>
  <c r="Q119" i="10"/>
  <c r="P120" i="10"/>
  <c r="Q120" i="10"/>
  <c r="P121" i="10"/>
  <c r="Q121" i="10"/>
  <c r="P127" i="10"/>
  <c r="Q127" i="10"/>
  <c r="P128" i="10"/>
  <c r="Q128" i="10"/>
  <c r="P129" i="10"/>
  <c r="Q129" i="10"/>
  <c r="P130" i="10"/>
  <c r="Q130" i="10"/>
  <c r="P140" i="10"/>
  <c r="Q140" i="10"/>
  <c r="P141" i="10"/>
  <c r="Q141" i="10"/>
  <c r="P142" i="10"/>
  <c r="Q142" i="10"/>
  <c r="P143" i="10"/>
  <c r="Q143" i="10"/>
  <c r="P151" i="10"/>
  <c r="Q151" i="10"/>
  <c r="P152" i="10"/>
  <c r="Q152" i="10"/>
  <c r="P153" i="10"/>
  <c r="Q153" i="10"/>
  <c r="P154" i="10"/>
  <c r="Q154" i="10"/>
  <c r="P201" i="10"/>
  <c r="Q201" i="10"/>
  <c r="P202" i="10"/>
  <c r="Q202" i="10"/>
  <c r="P203" i="10"/>
  <c r="Q203" i="10"/>
  <c r="P204" i="10"/>
  <c r="Q204" i="10"/>
  <c r="P284" i="10"/>
  <c r="Q284" i="10"/>
  <c r="P285" i="10"/>
  <c r="Q285" i="10"/>
  <c r="P286" i="10"/>
  <c r="Q286" i="10"/>
  <c r="P287" i="10"/>
  <c r="Q287" i="10"/>
  <c r="P295" i="10"/>
  <c r="Q295" i="10"/>
  <c r="P296" i="10"/>
  <c r="Q296" i="10"/>
  <c r="P297" i="10"/>
  <c r="Q297" i="10"/>
  <c r="P298" i="10"/>
  <c r="Q298" i="10"/>
  <c r="P299" i="10"/>
  <c r="Q299" i="10"/>
  <c r="P300" i="10"/>
  <c r="Q300" i="10"/>
  <c r="P301" i="10"/>
  <c r="Q301" i="10"/>
  <c r="P302" i="10"/>
  <c r="Q302" i="10"/>
  <c r="P303" i="10"/>
  <c r="Q303" i="10"/>
  <c r="P304" i="10"/>
  <c r="Q304" i="10"/>
  <c r="P305" i="10"/>
  <c r="Q305" i="10"/>
  <c r="P306" i="10"/>
  <c r="Q306" i="10"/>
  <c r="Q2" i="10"/>
  <c r="P2" i="10"/>
  <c r="K2" i="10"/>
  <c r="G96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95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33" i="10"/>
  <c r="G34" i="10"/>
  <c r="G35" i="10"/>
  <c r="G36" i="10"/>
  <c r="G37" i="10"/>
  <c r="G38" i="10"/>
  <c r="G39" i="10"/>
  <c r="G40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359" i="10"/>
  <c r="G360" i="10"/>
  <c r="G361" i="10"/>
  <c r="G362" i="10"/>
  <c r="G363" i="10"/>
  <c r="G364" i="10"/>
  <c r="G365" i="10"/>
  <c r="G382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288" i="10"/>
  <c r="G289" i="10"/>
  <c r="G145" i="10"/>
  <c r="G146" i="10"/>
  <c r="G147" i="10"/>
  <c r="G148" i="10"/>
  <c r="G149" i="10"/>
  <c r="G175" i="10"/>
  <c r="G176" i="10"/>
  <c r="G177" i="10"/>
  <c r="G178" i="10"/>
  <c r="G179" i="10"/>
  <c r="G150" i="10"/>
  <c r="G156" i="10"/>
  <c r="G157" i="10"/>
  <c r="G290" i="10"/>
  <c r="G291" i="10"/>
  <c r="G292" i="10"/>
  <c r="G293" i="10"/>
  <c r="G294" i="10"/>
  <c r="G354" i="10"/>
  <c r="G355" i="10"/>
  <c r="G356" i="10"/>
  <c r="G357" i="10"/>
  <c r="G358" i="10"/>
  <c r="G530" i="10"/>
  <c r="G531" i="10"/>
  <c r="G532" i="10"/>
  <c r="G533" i="10"/>
  <c r="G534" i="10"/>
  <c r="G18" i="10"/>
  <c r="G19" i="10"/>
  <c r="G20" i="10"/>
  <c r="G21" i="10"/>
  <c r="G131" i="10"/>
  <c r="G132" i="10"/>
  <c r="G133" i="10"/>
  <c r="G134" i="10"/>
  <c r="G135" i="10"/>
  <c r="G144" i="10"/>
  <c r="G209" i="10"/>
  <c r="G376" i="10"/>
  <c r="G403" i="10"/>
  <c r="G404" i="10"/>
  <c r="G405" i="10"/>
  <c r="G406" i="10"/>
  <c r="G407" i="10"/>
  <c r="G112" i="10"/>
  <c r="G113" i="10"/>
  <c r="G114" i="10"/>
  <c r="G115" i="10"/>
  <c r="G116" i="10"/>
  <c r="G117" i="10"/>
  <c r="G118" i="10"/>
  <c r="G119" i="10"/>
  <c r="G120" i="10"/>
  <c r="G121" i="10"/>
  <c r="G127" i="10"/>
  <c r="G128" i="10"/>
  <c r="G129" i="10"/>
  <c r="G130" i="10"/>
  <c r="G140" i="10"/>
  <c r="G141" i="10"/>
  <c r="G142" i="10"/>
  <c r="G143" i="10"/>
  <c r="G151" i="10"/>
  <c r="G152" i="10"/>
  <c r="G153" i="10"/>
  <c r="G15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607" i="10"/>
  <c r="G608" i="10"/>
  <c r="G609" i="10"/>
  <c r="G610" i="10"/>
  <c r="G109" i="10"/>
  <c r="G366" i="10"/>
  <c r="G367" i="10"/>
  <c r="G122" i="10"/>
  <c r="G123" i="10"/>
  <c r="G124" i="10"/>
  <c r="G125" i="10"/>
  <c r="G126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77" i="10"/>
  <c r="G378" i="10"/>
  <c r="G379" i="10"/>
  <c r="G380" i="10"/>
  <c r="G381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279" i="10"/>
  <c r="G280" i="10"/>
  <c r="G281" i="10"/>
  <c r="G282" i="10"/>
  <c r="G283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110" i="10"/>
  <c r="G136" i="10"/>
  <c r="G137" i="10"/>
  <c r="G138" i="10"/>
  <c r="G139" i="10"/>
  <c r="G205" i="10"/>
  <c r="G206" i="10"/>
  <c r="G207" i="10"/>
  <c r="G208" i="10"/>
  <c r="G243" i="10"/>
  <c r="G244" i="10"/>
  <c r="G245" i="10"/>
  <c r="G246" i="10"/>
  <c r="G247" i="10"/>
  <c r="G248" i="10"/>
  <c r="G249" i="10"/>
  <c r="G250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504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51" i="10"/>
  <c r="G652" i="10"/>
  <c r="G653" i="10"/>
  <c r="G654" i="10"/>
  <c r="G655" i="10"/>
  <c r="G656" i="10"/>
  <c r="G657" i="10"/>
  <c r="G658" i="10"/>
  <c r="G62" i="10"/>
  <c r="G63" i="10"/>
  <c r="G64" i="10"/>
  <c r="G65" i="10"/>
  <c r="G66" i="10"/>
  <c r="G67" i="10"/>
  <c r="G68" i="10"/>
  <c r="G69" i="10"/>
  <c r="G180" i="10"/>
  <c r="G187" i="10"/>
  <c r="G210" i="10"/>
  <c r="G211" i="10"/>
  <c r="G212" i="10"/>
  <c r="G213" i="10"/>
  <c r="G214" i="10"/>
  <c r="G215" i="10"/>
  <c r="G216" i="10"/>
  <c r="G217" i="10"/>
  <c r="G251" i="10"/>
  <c r="G252" i="10"/>
  <c r="G253" i="10"/>
  <c r="G254" i="10"/>
  <c r="G255" i="10"/>
  <c r="G256" i="10"/>
  <c r="G257" i="10"/>
  <c r="G258" i="10"/>
  <c r="G368" i="10"/>
  <c r="G369" i="10"/>
  <c r="G370" i="10"/>
  <c r="G371" i="10"/>
  <c r="G372" i="10"/>
  <c r="G373" i="10"/>
  <c r="G374" i="10"/>
  <c r="G375" i="10"/>
  <c r="G428" i="10"/>
  <c r="G429" i="10"/>
  <c r="G430" i="10"/>
  <c r="G431" i="10"/>
  <c r="G450" i="10"/>
  <c r="G451" i="10"/>
  <c r="G452" i="10"/>
  <c r="G453" i="10"/>
  <c r="G580" i="10"/>
  <c r="G85" i="10"/>
  <c r="G86" i="10"/>
  <c r="G87" i="10"/>
  <c r="G88" i="10"/>
  <c r="G89" i="10"/>
  <c r="G90" i="10"/>
  <c r="G91" i="10"/>
  <c r="G92" i="10"/>
  <c r="G93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454" i="10"/>
  <c r="G455" i="10"/>
  <c r="G456" i="10"/>
  <c r="G457" i="10"/>
  <c r="G458" i="10"/>
  <c r="G6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22" i="10"/>
  <c r="G23" i="10"/>
  <c r="G24" i="10"/>
  <c r="G25" i="10"/>
  <c r="G26" i="10"/>
  <c r="G27" i="10"/>
  <c r="G28" i="10"/>
  <c r="G29" i="10"/>
  <c r="G30" i="10"/>
  <c r="G31" i="10"/>
  <c r="G32" i="10"/>
  <c r="G660" i="10"/>
  <c r="G661" i="10"/>
  <c r="G662" i="10"/>
  <c r="G663" i="10"/>
  <c r="G664" i="10"/>
  <c r="G856" i="10"/>
  <c r="G857" i="10"/>
  <c r="G858" i="10"/>
  <c r="G859" i="10"/>
  <c r="G8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669" i="10"/>
  <c r="G670" i="10"/>
  <c r="G671" i="10"/>
  <c r="G672" i="10"/>
  <c r="G673" i="10"/>
  <c r="G674" i="10"/>
  <c r="G675" i="10"/>
  <c r="G676" i="10"/>
  <c r="G721" i="10"/>
  <c r="G722" i="10"/>
  <c r="G723" i="10"/>
  <c r="G724" i="10"/>
  <c r="G725" i="10"/>
  <c r="G726" i="10"/>
  <c r="G727" i="10"/>
  <c r="G728" i="10"/>
  <c r="G751" i="10"/>
  <c r="G752" i="10"/>
  <c r="G753" i="10"/>
  <c r="G754" i="10"/>
  <c r="G755" i="10"/>
  <c r="G756" i="10"/>
  <c r="G757" i="10"/>
  <c r="G849" i="10"/>
  <c r="G850" i="10"/>
  <c r="G851" i="10"/>
  <c r="G852" i="10"/>
  <c r="G853" i="10"/>
  <c r="G854" i="10"/>
  <c r="G855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861" i="10"/>
  <c r="G862" i="10"/>
  <c r="G863" i="10"/>
  <c r="G864" i="10"/>
  <c r="G865" i="10"/>
  <c r="G866" i="10"/>
  <c r="G2" i="10"/>
  <c r="G1546" i="8"/>
  <c r="G1536" i="8"/>
  <c r="G1537" i="8"/>
  <c r="G1538" i="8"/>
  <c r="G1539" i="8"/>
  <c r="G1540" i="8"/>
  <c r="G1541" i="8"/>
  <c r="G1542" i="8"/>
  <c r="G1543" i="8"/>
  <c r="G1544" i="8"/>
  <c r="G1545" i="8"/>
  <c r="G1535" i="8"/>
  <c r="G1534" i="8"/>
  <c r="G1533" i="8"/>
  <c r="G1532" i="8"/>
  <c r="P1534" i="8"/>
  <c r="Q1534" i="8"/>
  <c r="P1535" i="8"/>
  <c r="Q1535" i="8"/>
  <c r="P1536" i="8"/>
  <c r="Q1536" i="8"/>
  <c r="P1537" i="8"/>
  <c r="Q1537" i="8"/>
  <c r="P1538" i="8"/>
  <c r="Q1538" i="8"/>
  <c r="P1539" i="8"/>
  <c r="Q1539" i="8"/>
  <c r="P1540" i="8"/>
  <c r="Q1540" i="8"/>
  <c r="P1541" i="8"/>
  <c r="Q1541" i="8"/>
  <c r="P1542" i="8"/>
  <c r="Q1542" i="8"/>
  <c r="P1543" i="8"/>
  <c r="Q1543" i="8"/>
  <c r="P1544" i="8"/>
  <c r="Q1544" i="8"/>
  <c r="P1545" i="8"/>
  <c r="Q1545" i="8"/>
  <c r="P1546" i="8"/>
  <c r="Q1546" i="8"/>
  <c r="P1547" i="8"/>
  <c r="Q1547" i="8"/>
  <c r="P1548" i="8"/>
  <c r="Q1548" i="8"/>
  <c r="P1549" i="8"/>
  <c r="Q1549" i="8"/>
  <c r="P1550" i="8"/>
  <c r="Q1550" i="8"/>
  <c r="P1551" i="8"/>
  <c r="Q1551" i="8"/>
  <c r="P1552" i="8"/>
  <c r="Q1552" i="8"/>
  <c r="P1553" i="8"/>
  <c r="Q1553" i="8"/>
  <c r="P1554" i="8"/>
  <c r="Q1554" i="8"/>
  <c r="P1555" i="8"/>
  <c r="Q1555" i="8"/>
  <c r="P1556" i="8"/>
  <c r="Q1556" i="8"/>
  <c r="P1557" i="8"/>
  <c r="Q1557" i="8"/>
  <c r="P1558" i="8"/>
  <c r="Q1558" i="8"/>
  <c r="P1559" i="8"/>
  <c r="Q1559" i="8"/>
  <c r="P1560" i="8"/>
  <c r="Q1560" i="8"/>
  <c r="P1561" i="8"/>
  <c r="Q1561" i="8"/>
  <c r="P1562" i="8"/>
  <c r="Q1562" i="8"/>
  <c r="P1563" i="8"/>
  <c r="Q1563" i="8"/>
  <c r="P1564" i="8"/>
  <c r="Q1564" i="8"/>
  <c r="P1565" i="8"/>
  <c r="Q1565" i="8"/>
  <c r="P1566" i="8"/>
  <c r="Q1566" i="8"/>
  <c r="P1567" i="8"/>
  <c r="Q1567" i="8"/>
  <c r="P1568" i="8"/>
  <c r="Q1568" i="8"/>
  <c r="P1569" i="8"/>
  <c r="Q1569" i="8"/>
  <c r="P1570" i="8"/>
  <c r="Q1570" i="8"/>
  <c r="P1571" i="8"/>
  <c r="Q1571" i="8"/>
  <c r="P1572" i="8"/>
  <c r="Q1572" i="8"/>
  <c r="P1573" i="8"/>
  <c r="Q1573" i="8"/>
  <c r="P1574" i="8"/>
  <c r="Q1574" i="8"/>
  <c r="P1575" i="8"/>
  <c r="Q1575" i="8"/>
  <c r="P1576" i="8"/>
  <c r="Q1576" i="8"/>
  <c r="P1577" i="8"/>
  <c r="Q1577" i="8"/>
  <c r="P1578" i="8"/>
  <c r="Q1578" i="8"/>
  <c r="P1579" i="8"/>
  <c r="Q1579" i="8"/>
  <c r="P1580" i="8"/>
  <c r="Q1580" i="8"/>
  <c r="P1581" i="8"/>
  <c r="Q1581" i="8"/>
  <c r="P1582" i="8"/>
  <c r="Q1582" i="8"/>
  <c r="P1583" i="8"/>
  <c r="Q1583" i="8"/>
  <c r="P1584" i="8"/>
  <c r="Q1584" i="8"/>
  <c r="P1585" i="8"/>
  <c r="Q1585" i="8"/>
  <c r="P1586" i="8"/>
  <c r="Q1586" i="8"/>
  <c r="P1587" i="8"/>
  <c r="Q1587" i="8"/>
  <c r="P1588" i="8"/>
  <c r="Q1588" i="8"/>
  <c r="P1589" i="8"/>
  <c r="Q1589" i="8"/>
  <c r="P1590" i="8"/>
  <c r="Q1590" i="8"/>
  <c r="P1591" i="8"/>
  <c r="Q1591" i="8"/>
  <c r="P1592" i="8"/>
  <c r="Q1592" i="8"/>
  <c r="P1593" i="8"/>
  <c r="Q1593" i="8"/>
  <c r="P1594" i="8"/>
  <c r="Q1594" i="8"/>
  <c r="P1595" i="8"/>
  <c r="Q1595" i="8"/>
  <c r="P1596" i="8"/>
  <c r="Q1596" i="8"/>
  <c r="P1597" i="8"/>
  <c r="Q1597" i="8"/>
  <c r="P1598" i="8"/>
  <c r="Q1598" i="8"/>
  <c r="P1599" i="8"/>
  <c r="Q1599" i="8"/>
  <c r="P1600" i="8"/>
  <c r="Q1600" i="8"/>
  <c r="P1601" i="8"/>
  <c r="Q1601" i="8"/>
  <c r="P1602" i="8"/>
  <c r="Q1602" i="8"/>
  <c r="P1603" i="8"/>
  <c r="Q1603" i="8"/>
  <c r="P1604" i="8"/>
  <c r="Q1604" i="8"/>
  <c r="P1605" i="8"/>
  <c r="Q1605" i="8"/>
  <c r="P1606" i="8"/>
  <c r="Q1606" i="8"/>
  <c r="P1607" i="8"/>
  <c r="Q1607" i="8"/>
  <c r="Q1623" i="8"/>
  <c r="P1623" i="8"/>
  <c r="G1623" i="8"/>
  <c r="Q1622" i="8"/>
  <c r="P1622" i="8"/>
  <c r="G1622" i="8"/>
  <c r="Q1621" i="8"/>
  <c r="P1621" i="8"/>
  <c r="G1621" i="8"/>
  <c r="Q1620" i="8"/>
  <c r="P1620" i="8"/>
  <c r="G1620" i="8"/>
  <c r="Q1619" i="8"/>
  <c r="P1619" i="8"/>
  <c r="G1619" i="8"/>
  <c r="Q1618" i="8"/>
  <c r="P1618" i="8"/>
  <c r="G1618" i="8"/>
  <c r="Q1617" i="8"/>
  <c r="P1617" i="8"/>
  <c r="G1617" i="8"/>
  <c r="Q1616" i="8"/>
  <c r="P1616" i="8"/>
  <c r="G1616" i="8"/>
  <c r="K1607" i="8"/>
  <c r="G1607" i="8"/>
  <c r="K1606" i="8"/>
  <c r="G1606" i="8"/>
  <c r="K1605" i="8"/>
  <c r="G1605" i="8"/>
  <c r="K1604" i="8"/>
  <c r="G1604" i="8"/>
  <c r="K1603" i="8"/>
  <c r="G1603" i="8"/>
  <c r="K1602" i="8"/>
  <c r="G1602" i="8"/>
  <c r="K1601" i="8"/>
  <c r="G1601" i="8"/>
  <c r="K1531" i="8"/>
  <c r="K1530" i="8"/>
  <c r="K1529" i="8"/>
  <c r="K1528" i="8"/>
  <c r="K1527" i="8"/>
  <c r="K1526" i="8"/>
  <c r="K1525" i="8"/>
  <c r="K1524" i="8"/>
  <c r="K1523" i="8"/>
  <c r="K1522" i="8"/>
  <c r="K1521" i="8"/>
  <c r="K1520" i="8"/>
  <c r="K1519" i="8"/>
  <c r="K1518" i="8"/>
  <c r="K1517" i="8"/>
  <c r="K1516" i="8"/>
  <c r="K1515" i="8"/>
  <c r="Q1531" i="8"/>
  <c r="P1531" i="8"/>
  <c r="G1531" i="8"/>
  <c r="Q1530" i="8"/>
  <c r="P1530" i="8"/>
  <c r="G1530" i="8"/>
  <c r="Q1529" i="8"/>
  <c r="P1529" i="8"/>
  <c r="G1529" i="8"/>
  <c r="Q1528" i="8"/>
  <c r="P1528" i="8"/>
  <c r="G1528" i="8"/>
  <c r="Q1527" i="8"/>
  <c r="P1527" i="8"/>
  <c r="G1527" i="8"/>
  <c r="Q1526" i="8"/>
  <c r="P1526" i="8"/>
  <c r="G1526" i="8"/>
  <c r="Q1525" i="8"/>
  <c r="P1525" i="8"/>
  <c r="G1525" i="8"/>
  <c r="Q1524" i="8"/>
  <c r="P1524" i="8"/>
  <c r="G1524" i="8"/>
  <c r="Q1523" i="8"/>
  <c r="P1523" i="8"/>
  <c r="G1523" i="8"/>
  <c r="Q1522" i="8"/>
  <c r="P1522" i="8"/>
  <c r="G1522" i="8"/>
  <c r="Q1521" i="8"/>
  <c r="P1521" i="8"/>
  <c r="G1521" i="8"/>
  <c r="Q1520" i="8"/>
  <c r="P1520" i="8"/>
  <c r="G1520" i="8"/>
  <c r="Q1519" i="8"/>
  <c r="P1519" i="8"/>
  <c r="G1519" i="8"/>
  <c r="Q1518" i="8"/>
  <c r="P1518" i="8"/>
  <c r="G1518" i="8"/>
  <c r="Q1517" i="8"/>
  <c r="P1517" i="8"/>
  <c r="G1517" i="8"/>
  <c r="Q1516" i="8"/>
  <c r="P1516" i="8"/>
  <c r="G1516" i="8"/>
  <c r="Q1515" i="8"/>
  <c r="P1515" i="8"/>
  <c r="G1515" i="8"/>
  <c r="G1512" i="8"/>
  <c r="K1512" i="8"/>
  <c r="G1513" i="8"/>
  <c r="K1513" i="8"/>
  <c r="G1514" i="8"/>
  <c r="K1514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32" i="8"/>
  <c r="K1533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8" i="8"/>
  <c r="K1609" i="8"/>
  <c r="K1610" i="8"/>
  <c r="K1611" i="8"/>
  <c r="K1612" i="8"/>
  <c r="K1613" i="8"/>
  <c r="K1614" i="8"/>
  <c r="K1615" i="8"/>
  <c r="K974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90" i="8"/>
  <c r="G1491" i="8"/>
  <c r="G1492" i="8"/>
  <c r="G1493" i="8"/>
  <c r="G1494" i="8"/>
  <c r="G1495" i="8"/>
  <c r="G1496" i="8"/>
  <c r="G1497" i="8"/>
  <c r="G1498" i="8"/>
  <c r="G1499" i="8"/>
  <c r="G1500" i="8"/>
  <c r="G1489" i="8"/>
  <c r="Q1500" i="8"/>
  <c r="P1500" i="8"/>
  <c r="Q1499" i="8"/>
  <c r="P1499" i="8"/>
  <c r="Q1498" i="8"/>
  <c r="P1498" i="8"/>
  <c r="Q1497" i="8"/>
  <c r="P1497" i="8"/>
  <c r="Q1496" i="8"/>
  <c r="P1496" i="8"/>
  <c r="Q1495" i="8"/>
  <c r="P1495" i="8"/>
  <c r="Q1494" i="8"/>
  <c r="P1494" i="8"/>
  <c r="Q1493" i="8"/>
  <c r="P1493" i="8"/>
  <c r="Q1492" i="8"/>
  <c r="P1492" i="8"/>
  <c r="Q1491" i="8"/>
  <c r="P1491" i="8"/>
  <c r="Q1490" i="8"/>
  <c r="P1490" i="8"/>
  <c r="Q1489" i="8"/>
  <c r="P1489" i="8"/>
  <c r="Q1401" i="8"/>
  <c r="Q1402" i="8"/>
  <c r="Q1403" i="8"/>
  <c r="Q1404" i="8"/>
  <c r="Q1405" i="8"/>
  <c r="Q1406" i="8"/>
  <c r="Q1407" i="8"/>
  <c r="Q1408" i="8"/>
  <c r="Q1409" i="8"/>
  <c r="Q1410" i="8"/>
  <c r="Q1411" i="8"/>
  <c r="Q1412" i="8"/>
  <c r="Q1413" i="8"/>
  <c r="Q1414" i="8"/>
  <c r="Q1415" i="8"/>
  <c r="Q1416" i="8"/>
  <c r="Q1417" i="8"/>
  <c r="Q1418" i="8"/>
  <c r="Q1419" i="8"/>
  <c r="Q1420" i="8"/>
  <c r="Q1421" i="8"/>
  <c r="Q1422" i="8"/>
  <c r="Q1423" i="8"/>
  <c r="Q1424" i="8"/>
  <c r="Q1425" i="8"/>
  <c r="Q1426" i="8"/>
  <c r="Q1427" i="8"/>
  <c r="Q1428" i="8"/>
  <c r="Q1429" i="8"/>
  <c r="Q1430" i="8"/>
  <c r="Q1431" i="8"/>
  <c r="Q1432" i="8"/>
  <c r="Q1433" i="8"/>
  <c r="Q1434" i="8"/>
  <c r="Q1435" i="8"/>
  <c r="Q1436" i="8"/>
  <c r="Q1437" i="8"/>
  <c r="Q1438" i="8"/>
  <c r="Q1439" i="8"/>
  <c r="Q1440" i="8"/>
  <c r="Q1441" i="8"/>
  <c r="Q1442" i="8"/>
  <c r="Q1443" i="8"/>
  <c r="Q1444" i="8"/>
  <c r="Q1445" i="8"/>
  <c r="Q1446" i="8"/>
  <c r="Q1447" i="8"/>
  <c r="Q1448" i="8"/>
  <c r="Q1449" i="8"/>
  <c r="Q1450" i="8"/>
  <c r="Q1451" i="8"/>
  <c r="Q1452" i="8"/>
  <c r="Q1453" i="8"/>
  <c r="Q1454" i="8"/>
  <c r="Q1455" i="8"/>
  <c r="Q1456" i="8"/>
  <c r="Q1457" i="8"/>
  <c r="Q1458" i="8"/>
  <c r="Q1459" i="8"/>
  <c r="Q1460" i="8"/>
  <c r="Q1461" i="8"/>
  <c r="Q1462" i="8"/>
  <c r="Q1463" i="8"/>
  <c r="Q1464" i="8"/>
  <c r="Q1465" i="8"/>
  <c r="Q1466" i="8"/>
  <c r="Q1467" i="8"/>
  <c r="Q1468" i="8"/>
  <c r="Q1469" i="8"/>
  <c r="Q1470" i="8"/>
  <c r="Q1471" i="8"/>
  <c r="Q1472" i="8"/>
  <c r="Q1473" i="8"/>
  <c r="Q1474" i="8"/>
  <c r="Q1475" i="8"/>
  <c r="Q1476" i="8"/>
  <c r="Q1477" i="8"/>
  <c r="Q1478" i="8"/>
  <c r="Q1479" i="8"/>
  <c r="Q1480" i="8"/>
  <c r="Q1481" i="8"/>
  <c r="Q1482" i="8"/>
  <c r="Q1483" i="8"/>
  <c r="Q1484" i="8"/>
  <c r="Q1485" i="8"/>
  <c r="Q1486" i="8"/>
  <c r="Q1487" i="8"/>
  <c r="Q1488" i="8"/>
  <c r="Q1501" i="8"/>
  <c r="Q1502" i="8"/>
  <c r="Q1503" i="8"/>
  <c r="Q1504" i="8"/>
  <c r="Q1505" i="8"/>
  <c r="Q1506" i="8"/>
  <c r="Q1507" i="8"/>
  <c r="Q1508" i="8"/>
  <c r="Q1509" i="8"/>
  <c r="Q1510" i="8"/>
  <c r="Q1511" i="8"/>
  <c r="Q1512" i="8"/>
  <c r="Q1513" i="8"/>
  <c r="Q1514" i="8"/>
  <c r="Q1532" i="8"/>
  <c r="Q1533" i="8"/>
  <c r="Q1400" i="8"/>
  <c r="G1488" i="8"/>
  <c r="G1501" i="8"/>
  <c r="G1502" i="8"/>
  <c r="G1503" i="8"/>
  <c r="G1504" i="8"/>
  <c r="G1505" i="8"/>
  <c r="G1506" i="8"/>
  <c r="G1507" i="8"/>
  <c r="G1508" i="8"/>
  <c r="G1509" i="8"/>
  <c r="G1510" i="8"/>
  <c r="G1511" i="8"/>
  <c r="G1487" i="8"/>
  <c r="G1479" i="8"/>
  <c r="G1478" i="8"/>
  <c r="G1477" i="8"/>
  <c r="G1476" i="8"/>
  <c r="G1475" i="8"/>
  <c r="G1474" i="8"/>
  <c r="G1473" i="8"/>
  <c r="G1472" i="8"/>
  <c r="G1471" i="8"/>
  <c r="G1470" i="8"/>
  <c r="G1469" i="8"/>
  <c r="G1468" i="8"/>
  <c r="G1467" i="8"/>
  <c r="G1466" i="8"/>
  <c r="G1465" i="8"/>
  <c r="G1464" i="8"/>
  <c r="G1463" i="8"/>
  <c r="G1462" i="8"/>
  <c r="G1461" i="8"/>
  <c r="G1460" i="8"/>
  <c r="G1459" i="8"/>
  <c r="P1374" i="8"/>
  <c r="P1375" i="8"/>
  <c r="P1376" i="8"/>
  <c r="P1377" i="8"/>
  <c r="P1378" i="8"/>
  <c r="P1379" i="8"/>
  <c r="P1380" i="8"/>
  <c r="P1381" i="8"/>
  <c r="P1382" i="8"/>
  <c r="P1383" i="8"/>
  <c r="P1384" i="8"/>
  <c r="P1385" i="8"/>
  <c r="P1386" i="8"/>
  <c r="P1387" i="8"/>
  <c r="P1388" i="8"/>
  <c r="P1389" i="8"/>
  <c r="P1390" i="8"/>
  <c r="P1391" i="8"/>
  <c r="P1392" i="8"/>
  <c r="P1393" i="8"/>
  <c r="P1394" i="8"/>
  <c r="P1395" i="8"/>
  <c r="P1396" i="8"/>
  <c r="P1397" i="8"/>
  <c r="P1398" i="8"/>
  <c r="P1399" i="8"/>
  <c r="P1400" i="8"/>
  <c r="P1401" i="8"/>
  <c r="P1402" i="8"/>
  <c r="P1403" i="8"/>
  <c r="P1404" i="8"/>
  <c r="P1405" i="8"/>
  <c r="P1406" i="8"/>
  <c r="P1407" i="8"/>
  <c r="P1408" i="8"/>
  <c r="P1409" i="8"/>
  <c r="P1410" i="8"/>
  <c r="P1411" i="8"/>
  <c r="P1412" i="8"/>
  <c r="P1413" i="8"/>
  <c r="P1414" i="8"/>
  <c r="P1415" i="8"/>
  <c r="P1416" i="8"/>
  <c r="P1417" i="8"/>
  <c r="P1418" i="8"/>
  <c r="P1419" i="8"/>
  <c r="P1420" i="8"/>
  <c r="P1421" i="8"/>
  <c r="P1422" i="8"/>
  <c r="P1423" i="8"/>
  <c r="P1424" i="8"/>
  <c r="P1425" i="8"/>
  <c r="P1426" i="8"/>
  <c r="P1427" i="8"/>
  <c r="P1428" i="8"/>
  <c r="P1429" i="8"/>
  <c r="P1430" i="8"/>
  <c r="P1431" i="8"/>
  <c r="P1432" i="8"/>
  <c r="P1433" i="8"/>
  <c r="P1434" i="8"/>
  <c r="P1435" i="8"/>
  <c r="P1436" i="8"/>
  <c r="P1437" i="8"/>
  <c r="P1438" i="8"/>
  <c r="P1439" i="8"/>
  <c r="P1440" i="8"/>
  <c r="P1441" i="8"/>
  <c r="P1442" i="8"/>
  <c r="P1443" i="8"/>
  <c r="P1444" i="8"/>
  <c r="P1445" i="8"/>
  <c r="P1446" i="8"/>
  <c r="P1447" i="8"/>
  <c r="P1448" i="8"/>
  <c r="P1449" i="8"/>
  <c r="P1450" i="8"/>
  <c r="P1451" i="8"/>
  <c r="P1452" i="8"/>
  <c r="P1453" i="8"/>
  <c r="P1454" i="8"/>
  <c r="P1455" i="8"/>
  <c r="P1456" i="8"/>
  <c r="P1457" i="8"/>
  <c r="P1458" i="8"/>
  <c r="P1459" i="8"/>
  <c r="P1460" i="8"/>
  <c r="P1461" i="8"/>
  <c r="P1462" i="8"/>
  <c r="P1463" i="8"/>
  <c r="P1464" i="8"/>
  <c r="P1465" i="8"/>
  <c r="P1466" i="8"/>
  <c r="P1467" i="8"/>
  <c r="P1468" i="8"/>
  <c r="P1469" i="8"/>
  <c r="P1470" i="8"/>
  <c r="P1471" i="8"/>
  <c r="P1472" i="8"/>
  <c r="P1473" i="8"/>
  <c r="P1474" i="8"/>
  <c r="P1475" i="8"/>
  <c r="P1476" i="8"/>
  <c r="P1477" i="8"/>
  <c r="P1478" i="8"/>
  <c r="P1479" i="8"/>
  <c r="P1480" i="8"/>
  <c r="P1481" i="8"/>
  <c r="P1482" i="8"/>
  <c r="P1483" i="8"/>
  <c r="P1484" i="8"/>
  <c r="P1485" i="8"/>
  <c r="P1486" i="8"/>
  <c r="P1487" i="8"/>
  <c r="P1488" i="8"/>
  <c r="P1501" i="8"/>
  <c r="P1502" i="8"/>
  <c r="P1503" i="8"/>
  <c r="P1504" i="8"/>
  <c r="P1505" i="8"/>
  <c r="P1506" i="8"/>
  <c r="P1507" i="8"/>
  <c r="P1508" i="8"/>
  <c r="P1509" i="8"/>
  <c r="P1510" i="8"/>
  <c r="P1511" i="8"/>
  <c r="P1512" i="8"/>
  <c r="P1513" i="8"/>
  <c r="P1514" i="8"/>
  <c r="P1532" i="8"/>
  <c r="P1533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57" i="8"/>
  <c r="G1458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401" i="8"/>
  <c r="G1350" i="8"/>
  <c r="G1351" i="8"/>
  <c r="G1346" i="8"/>
  <c r="G1347" i="8"/>
  <c r="G1348" i="8"/>
  <c r="G1349" i="8"/>
  <c r="G1308" i="8"/>
  <c r="G1307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K1273" i="8"/>
  <c r="K1272" i="8"/>
  <c r="K1271" i="8"/>
  <c r="K1270" i="8"/>
  <c r="G1261" i="8"/>
  <c r="G1262" i="8"/>
  <c r="G1263" i="8"/>
  <c r="G1264" i="8"/>
  <c r="G1265" i="8"/>
  <c r="G1266" i="8"/>
  <c r="G1267" i="8"/>
  <c r="G1268" i="8"/>
  <c r="G1269" i="8"/>
  <c r="G1204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199" i="8"/>
  <c r="G1200" i="8"/>
  <c r="G1201" i="8"/>
  <c r="G1202" i="8"/>
  <c r="G1203" i="8"/>
  <c r="G1194" i="8"/>
  <c r="K1198" i="8"/>
  <c r="K1197" i="8"/>
  <c r="K1196" i="8"/>
  <c r="K1195" i="8"/>
  <c r="K1194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5" i="8"/>
  <c r="G1196" i="8"/>
  <c r="G1197" i="8"/>
  <c r="G1198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70" i="8"/>
  <c r="G1271" i="8"/>
  <c r="G1272" i="8"/>
  <c r="G1273" i="8"/>
  <c r="G1274" i="8"/>
  <c r="G1275" i="8"/>
  <c r="G1276" i="8"/>
  <c r="G1277" i="8"/>
  <c r="G1278" i="8"/>
  <c r="G1299" i="8"/>
  <c r="G1300" i="8"/>
  <c r="G1301" i="8"/>
  <c r="G1302" i="8"/>
  <c r="G1303" i="8"/>
  <c r="G1304" i="8"/>
  <c r="G1305" i="8"/>
  <c r="G1306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52" i="8"/>
  <c r="G1353" i="8"/>
  <c r="G1354" i="8"/>
  <c r="G1355" i="8"/>
  <c r="G1364" i="8"/>
  <c r="G1365" i="8"/>
  <c r="G1366" i="8"/>
  <c r="G1367" i="8"/>
  <c r="G1368" i="8"/>
  <c r="G1369" i="8"/>
  <c r="G1370" i="8"/>
  <c r="G1371" i="8"/>
  <c r="G1372" i="8"/>
  <c r="G1373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142" i="8"/>
  <c r="G1143" i="8"/>
  <c r="G1144" i="8"/>
  <c r="G1145" i="8"/>
  <c r="G1146" i="8"/>
  <c r="G1147" i="8"/>
  <c r="G1148" i="8"/>
  <c r="G1149" i="8"/>
  <c r="K1121" i="8"/>
  <c r="K1120" i="8"/>
  <c r="K1119" i="8"/>
  <c r="K1118" i="8"/>
  <c r="K1117" i="8"/>
  <c r="K1116" i="8"/>
  <c r="K1115" i="8"/>
  <c r="K1114" i="8"/>
  <c r="K1113" i="8"/>
  <c r="K1112" i="8"/>
  <c r="K1111" i="8"/>
  <c r="K1110" i="8"/>
  <c r="K1109" i="8"/>
  <c r="K1108" i="8"/>
  <c r="K1107" i="8"/>
  <c r="K1106" i="8"/>
  <c r="K1105" i="8"/>
  <c r="K1104" i="8"/>
  <c r="K1103" i="8"/>
  <c r="K1102" i="8"/>
  <c r="K1101" i="8"/>
  <c r="K1100" i="8"/>
  <c r="K1099" i="8"/>
  <c r="K1098" i="8"/>
  <c r="K1097" i="8"/>
  <c r="K1096" i="8"/>
  <c r="K1095" i="8"/>
  <c r="K1094" i="8"/>
  <c r="K1093" i="8"/>
  <c r="K1092" i="8"/>
  <c r="K1091" i="8"/>
  <c r="K1090" i="8"/>
  <c r="K1089" i="8"/>
  <c r="K1088" i="8"/>
  <c r="K1087" i="8"/>
  <c r="K1086" i="8"/>
  <c r="K1085" i="8"/>
  <c r="K1084" i="8"/>
  <c r="K1083" i="8"/>
  <c r="K1082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40" i="8"/>
  <c r="G1141" i="8"/>
  <c r="K1081" i="8"/>
  <c r="K1080" i="8"/>
  <c r="K1079" i="8"/>
  <c r="K1078" i="8"/>
  <c r="K1077" i="8"/>
  <c r="K1076" i="8"/>
  <c r="K1075" i="8"/>
  <c r="K1074" i="8"/>
  <c r="K1073" i="8"/>
  <c r="G1072" i="8"/>
  <c r="G1073" i="8"/>
  <c r="G1074" i="8"/>
  <c r="G1075" i="8"/>
  <c r="G1076" i="8"/>
  <c r="G1077" i="8"/>
  <c r="G1078" i="8"/>
  <c r="G1079" i="8"/>
  <c r="G1080" i="8"/>
  <c r="G1081" i="8"/>
  <c r="K1072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46" i="8"/>
  <c r="G1047" i="8"/>
  <c r="G1048" i="8"/>
  <c r="G1049" i="8"/>
  <c r="G1050" i="8"/>
  <c r="G1051" i="8"/>
  <c r="G1052" i="8"/>
  <c r="G1053" i="8"/>
  <c r="G1054" i="8"/>
  <c r="G1045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K1020" i="8"/>
  <c r="K1019" i="8"/>
  <c r="K1018" i="8"/>
  <c r="K1017" i="8"/>
  <c r="K1016" i="8"/>
  <c r="K1015" i="8"/>
  <c r="K1014" i="8"/>
  <c r="K1013" i="8"/>
  <c r="K1012" i="8"/>
  <c r="K1011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K1010" i="8"/>
  <c r="K1009" i="8"/>
  <c r="K1008" i="8"/>
  <c r="K1007" i="8"/>
  <c r="K1006" i="8"/>
  <c r="K1005" i="8"/>
  <c r="K1004" i="8"/>
  <c r="K1003" i="8"/>
  <c r="K1002" i="8"/>
  <c r="K1001" i="8"/>
  <c r="K1000" i="8"/>
  <c r="K999" i="8"/>
  <c r="K998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76" i="8"/>
  <c r="K965" i="8"/>
  <c r="K964" i="8"/>
  <c r="K963" i="8"/>
  <c r="K962" i="8"/>
  <c r="K961" i="8"/>
  <c r="K960" i="8"/>
  <c r="K959" i="8"/>
  <c r="K958" i="8"/>
  <c r="K957" i="8"/>
  <c r="K956" i="8"/>
  <c r="K955" i="8"/>
  <c r="K954" i="8"/>
  <c r="K953" i="8"/>
  <c r="K952" i="8"/>
  <c r="K951" i="8"/>
  <c r="K950" i="8"/>
  <c r="K949" i="8"/>
  <c r="K948" i="8"/>
  <c r="K947" i="8"/>
  <c r="K946" i="8"/>
  <c r="G939" i="8"/>
  <c r="G940" i="8"/>
  <c r="G941" i="8"/>
  <c r="G942" i="8"/>
  <c r="G943" i="8"/>
  <c r="G944" i="8"/>
  <c r="G945" i="8"/>
  <c r="G929" i="8"/>
  <c r="G930" i="8"/>
  <c r="G931" i="8"/>
  <c r="G932" i="8"/>
  <c r="G933" i="8"/>
  <c r="G934" i="8"/>
  <c r="G935" i="8"/>
  <c r="G936" i="8"/>
  <c r="G937" i="8"/>
  <c r="G938" i="8"/>
  <c r="K928" i="8"/>
  <c r="K927" i="8"/>
  <c r="K926" i="8"/>
  <c r="K925" i="8"/>
  <c r="K924" i="8"/>
  <c r="K923" i="8"/>
  <c r="K922" i="8"/>
  <c r="K921" i="8"/>
  <c r="K920" i="8"/>
  <c r="K919" i="8"/>
  <c r="K918" i="8"/>
  <c r="K917" i="8"/>
  <c r="K916" i="8"/>
  <c r="K915" i="8"/>
  <c r="K914" i="8"/>
  <c r="K913" i="8"/>
  <c r="K912" i="8"/>
  <c r="K911" i="8"/>
  <c r="K910" i="8"/>
  <c r="K909" i="8"/>
  <c r="K908" i="8"/>
  <c r="K907" i="8"/>
  <c r="K906" i="8"/>
  <c r="K905" i="8"/>
  <c r="K904" i="8"/>
  <c r="K903" i="8"/>
  <c r="K902" i="8"/>
  <c r="K901" i="8"/>
  <c r="K900" i="8"/>
  <c r="K899" i="8"/>
  <c r="K898" i="8"/>
  <c r="K897" i="8"/>
  <c r="K896" i="8"/>
  <c r="K895" i="8"/>
  <c r="K894" i="8"/>
  <c r="K893" i="8"/>
  <c r="K892" i="8"/>
  <c r="K891" i="8"/>
  <c r="K890" i="8"/>
  <c r="K889" i="8"/>
  <c r="K888" i="8"/>
  <c r="P1103" i="8"/>
  <c r="Q1103" i="8"/>
  <c r="P1104" i="8"/>
  <c r="Q1104" i="8"/>
  <c r="P1105" i="8"/>
  <c r="Q1105" i="8"/>
  <c r="P1106" i="8"/>
  <c r="Q1106" i="8"/>
  <c r="P1107" i="8"/>
  <c r="Q1107" i="8"/>
  <c r="P1108" i="8"/>
  <c r="Q1108" i="8"/>
  <c r="P1109" i="8"/>
  <c r="Q1109" i="8"/>
  <c r="P1110" i="8"/>
  <c r="Q1110" i="8"/>
  <c r="P1111" i="8"/>
  <c r="Q1111" i="8"/>
  <c r="P1112" i="8"/>
  <c r="Q1112" i="8"/>
  <c r="P1113" i="8"/>
  <c r="Q1113" i="8"/>
  <c r="P1114" i="8"/>
  <c r="Q1114" i="8"/>
  <c r="P1115" i="8"/>
  <c r="Q1115" i="8"/>
  <c r="P1116" i="8"/>
  <c r="Q1116" i="8"/>
  <c r="P1117" i="8"/>
  <c r="Q1117" i="8"/>
  <c r="P1118" i="8"/>
  <c r="Q1118" i="8"/>
  <c r="P1119" i="8"/>
  <c r="Q1119" i="8"/>
  <c r="P1120" i="8"/>
  <c r="Q1120" i="8"/>
  <c r="P1121" i="8"/>
  <c r="Q1121" i="8"/>
  <c r="P1122" i="8"/>
  <c r="Q1122" i="8"/>
  <c r="P1123" i="8"/>
  <c r="Q1123" i="8"/>
  <c r="P1124" i="8"/>
  <c r="Q1124" i="8"/>
  <c r="P1125" i="8"/>
  <c r="Q1125" i="8"/>
  <c r="P1126" i="8"/>
  <c r="Q1126" i="8"/>
  <c r="P1127" i="8"/>
  <c r="Q1127" i="8"/>
  <c r="P1128" i="8"/>
  <c r="Q1128" i="8"/>
  <c r="P1129" i="8"/>
  <c r="Q1129" i="8"/>
  <c r="P1130" i="8"/>
  <c r="Q1130" i="8"/>
  <c r="P1131" i="8"/>
  <c r="Q1131" i="8"/>
  <c r="P1132" i="8"/>
  <c r="Q1132" i="8"/>
  <c r="P1133" i="8"/>
  <c r="Q1133" i="8"/>
  <c r="P1134" i="8"/>
  <c r="Q1134" i="8"/>
  <c r="P1135" i="8"/>
  <c r="Q1135" i="8"/>
  <c r="P1136" i="8"/>
  <c r="Q1136" i="8"/>
  <c r="P1137" i="8"/>
  <c r="Q1137" i="8"/>
  <c r="P1138" i="8"/>
  <c r="Q1138" i="8"/>
  <c r="P1139" i="8"/>
  <c r="Q1139" i="8"/>
  <c r="P1140" i="8"/>
  <c r="Q1140" i="8"/>
  <c r="P1141" i="8"/>
  <c r="Q1141" i="8"/>
  <c r="P1142" i="8"/>
  <c r="Q1142" i="8"/>
  <c r="P1143" i="8"/>
  <c r="Q1143" i="8"/>
  <c r="P1144" i="8"/>
  <c r="Q1144" i="8"/>
  <c r="P1145" i="8"/>
  <c r="Q1145" i="8"/>
  <c r="P1146" i="8"/>
  <c r="Q1146" i="8"/>
  <c r="P1147" i="8"/>
  <c r="Q1147" i="8"/>
  <c r="P1148" i="8"/>
  <c r="Q1148" i="8"/>
  <c r="P1149" i="8"/>
  <c r="Q1149" i="8"/>
  <c r="P1150" i="8"/>
  <c r="Q1150" i="8"/>
  <c r="P1151" i="8"/>
  <c r="Q1151" i="8"/>
  <c r="P1152" i="8"/>
  <c r="Q1152" i="8"/>
  <c r="P1153" i="8"/>
  <c r="Q1153" i="8"/>
  <c r="P1154" i="8"/>
  <c r="Q1154" i="8"/>
  <c r="P1155" i="8"/>
  <c r="Q1155" i="8"/>
  <c r="P1156" i="8"/>
  <c r="Q1156" i="8"/>
  <c r="P1157" i="8"/>
  <c r="Q1157" i="8"/>
  <c r="P1158" i="8"/>
  <c r="Q1158" i="8"/>
  <c r="P1159" i="8"/>
  <c r="Q1159" i="8"/>
  <c r="P1160" i="8"/>
  <c r="Q1160" i="8"/>
  <c r="P1161" i="8"/>
  <c r="Q1161" i="8"/>
  <c r="P1162" i="8"/>
  <c r="Q1162" i="8"/>
  <c r="P1163" i="8"/>
  <c r="Q1163" i="8"/>
  <c r="P1164" i="8"/>
  <c r="Q1164" i="8"/>
  <c r="P1165" i="8"/>
  <c r="Q1165" i="8"/>
  <c r="P1166" i="8"/>
  <c r="Q1166" i="8"/>
  <c r="P1167" i="8"/>
  <c r="Q1167" i="8"/>
  <c r="P1168" i="8"/>
  <c r="Q1168" i="8"/>
  <c r="P1169" i="8"/>
  <c r="Q1169" i="8"/>
  <c r="P1170" i="8"/>
  <c r="Q1170" i="8"/>
  <c r="P1171" i="8"/>
  <c r="Q1171" i="8"/>
  <c r="P1172" i="8"/>
  <c r="Q1172" i="8"/>
  <c r="P1173" i="8"/>
  <c r="Q1173" i="8"/>
  <c r="P1174" i="8"/>
  <c r="Q1174" i="8"/>
  <c r="P1175" i="8"/>
  <c r="Q1175" i="8"/>
  <c r="P1176" i="8"/>
  <c r="Q1176" i="8"/>
  <c r="P1177" i="8"/>
  <c r="Q1177" i="8"/>
  <c r="P1178" i="8"/>
  <c r="Q1178" i="8"/>
  <c r="P1179" i="8"/>
  <c r="Q1179" i="8"/>
  <c r="P1180" i="8"/>
  <c r="Q1180" i="8"/>
  <c r="P1181" i="8"/>
  <c r="Q1181" i="8"/>
  <c r="P1182" i="8"/>
  <c r="Q1182" i="8"/>
  <c r="P1183" i="8"/>
  <c r="Q1183" i="8"/>
  <c r="P1184" i="8"/>
  <c r="Q1184" i="8"/>
  <c r="P1185" i="8"/>
  <c r="Q1185" i="8"/>
  <c r="P1186" i="8"/>
  <c r="Q1186" i="8"/>
  <c r="P1187" i="8"/>
  <c r="Q1187" i="8"/>
  <c r="P1188" i="8"/>
  <c r="Q1188" i="8"/>
  <c r="P1189" i="8"/>
  <c r="Q1189" i="8"/>
  <c r="P1190" i="8"/>
  <c r="Q1190" i="8"/>
  <c r="P1191" i="8"/>
  <c r="Q1191" i="8"/>
  <c r="P1192" i="8"/>
  <c r="Q1192" i="8"/>
  <c r="P1193" i="8"/>
  <c r="Q1193" i="8"/>
  <c r="P1194" i="8"/>
  <c r="Q1194" i="8"/>
  <c r="P1195" i="8"/>
  <c r="Q1195" i="8"/>
  <c r="P1196" i="8"/>
  <c r="Q1196" i="8"/>
  <c r="P1197" i="8"/>
  <c r="Q1197" i="8"/>
  <c r="P1198" i="8"/>
  <c r="Q1198" i="8"/>
  <c r="P1199" i="8"/>
  <c r="Q1199" i="8"/>
  <c r="P1200" i="8"/>
  <c r="Q1200" i="8"/>
  <c r="P1201" i="8"/>
  <c r="Q1201" i="8"/>
  <c r="P1202" i="8"/>
  <c r="Q1202" i="8"/>
  <c r="P1203" i="8"/>
  <c r="Q1203" i="8"/>
  <c r="P1204" i="8"/>
  <c r="Q1204" i="8"/>
  <c r="P1205" i="8"/>
  <c r="Q1205" i="8"/>
  <c r="P1206" i="8"/>
  <c r="Q1206" i="8"/>
  <c r="P1207" i="8"/>
  <c r="Q1207" i="8"/>
  <c r="P1208" i="8"/>
  <c r="Q1208" i="8"/>
  <c r="P1209" i="8"/>
  <c r="Q1209" i="8"/>
  <c r="P1210" i="8"/>
  <c r="Q1210" i="8"/>
  <c r="P1211" i="8"/>
  <c r="Q1211" i="8"/>
  <c r="P1212" i="8"/>
  <c r="Q1212" i="8"/>
  <c r="P1213" i="8"/>
  <c r="Q1213" i="8"/>
  <c r="P1214" i="8"/>
  <c r="Q1214" i="8"/>
  <c r="P1215" i="8"/>
  <c r="Q1215" i="8"/>
  <c r="P1216" i="8"/>
  <c r="Q1216" i="8"/>
  <c r="P1217" i="8"/>
  <c r="Q1217" i="8"/>
  <c r="P1218" i="8"/>
  <c r="Q1218" i="8"/>
  <c r="P1219" i="8"/>
  <c r="Q1219" i="8"/>
  <c r="P1220" i="8"/>
  <c r="Q1220" i="8"/>
  <c r="P1221" i="8"/>
  <c r="Q1221" i="8"/>
  <c r="P1222" i="8"/>
  <c r="Q1222" i="8"/>
  <c r="P1223" i="8"/>
  <c r="Q1223" i="8"/>
  <c r="P1224" i="8"/>
  <c r="Q1224" i="8"/>
  <c r="P1225" i="8"/>
  <c r="Q1225" i="8"/>
  <c r="P1226" i="8"/>
  <c r="Q1226" i="8"/>
  <c r="P1227" i="8"/>
  <c r="Q1227" i="8"/>
  <c r="P1228" i="8"/>
  <c r="Q1228" i="8"/>
  <c r="P1229" i="8"/>
  <c r="Q1229" i="8"/>
  <c r="P1230" i="8"/>
  <c r="Q1230" i="8"/>
  <c r="P1231" i="8"/>
  <c r="Q1231" i="8"/>
  <c r="P1232" i="8"/>
  <c r="Q1232" i="8"/>
  <c r="P1233" i="8"/>
  <c r="Q1233" i="8"/>
  <c r="P1234" i="8"/>
  <c r="Q1234" i="8"/>
  <c r="P1235" i="8"/>
  <c r="Q1235" i="8"/>
  <c r="P1236" i="8"/>
  <c r="Q1236" i="8"/>
  <c r="P1237" i="8"/>
  <c r="Q1237" i="8"/>
  <c r="P1238" i="8"/>
  <c r="Q1238" i="8"/>
  <c r="P1239" i="8"/>
  <c r="Q1239" i="8"/>
  <c r="P1240" i="8"/>
  <c r="Q1240" i="8"/>
  <c r="P1241" i="8"/>
  <c r="Q1241" i="8"/>
  <c r="P1242" i="8"/>
  <c r="Q1242" i="8"/>
  <c r="P1243" i="8"/>
  <c r="Q1243" i="8"/>
  <c r="P1244" i="8"/>
  <c r="Q1244" i="8"/>
  <c r="P1245" i="8"/>
  <c r="Q1245" i="8"/>
  <c r="P1246" i="8"/>
  <c r="Q1246" i="8"/>
  <c r="P1247" i="8"/>
  <c r="Q1247" i="8"/>
  <c r="P1248" i="8"/>
  <c r="Q1248" i="8"/>
  <c r="P1249" i="8"/>
  <c r="Q1249" i="8"/>
  <c r="P1250" i="8"/>
  <c r="Q1250" i="8"/>
  <c r="P1251" i="8"/>
  <c r="Q1251" i="8"/>
  <c r="P1252" i="8"/>
  <c r="Q1252" i="8"/>
  <c r="P1253" i="8"/>
  <c r="Q1253" i="8"/>
  <c r="P1254" i="8"/>
  <c r="Q1254" i="8"/>
  <c r="P1255" i="8"/>
  <c r="Q1255" i="8"/>
  <c r="P1256" i="8"/>
  <c r="Q1256" i="8"/>
  <c r="P1257" i="8"/>
  <c r="Q1257" i="8"/>
  <c r="P1258" i="8"/>
  <c r="Q1258" i="8"/>
  <c r="P1259" i="8"/>
  <c r="Q1259" i="8"/>
  <c r="P1260" i="8"/>
  <c r="Q1260" i="8"/>
  <c r="P1261" i="8"/>
  <c r="Q1261" i="8"/>
  <c r="P1262" i="8"/>
  <c r="Q1262" i="8"/>
  <c r="P1263" i="8"/>
  <c r="Q1263" i="8"/>
  <c r="P1264" i="8"/>
  <c r="Q1264" i="8"/>
  <c r="P1265" i="8"/>
  <c r="Q1265" i="8"/>
  <c r="P1266" i="8"/>
  <c r="Q1266" i="8"/>
  <c r="P1267" i="8"/>
  <c r="Q1267" i="8"/>
  <c r="P1268" i="8"/>
  <c r="Q1268" i="8"/>
  <c r="P1269" i="8"/>
  <c r="Q1269" i="8"/>
  <c r="P1270" i="8"/>
  <c r="Q1270" i="8"/>
  <c r="P1271" i="8"/>
  <c r="Q1271" i="8"/>
  <c r="P1272" i="8"/>
  <c r="Q1272" i="8"/>
  <c r="P1273" i="8"/>
  <c r="Q1273" i="8"/>
  <c r="P1274" i="8"/>
  <c r="Q1274" i="8"/>
  <c r="P1275" i="8"/>
  <c r="Q1275" i="8"/>
  <c r="P1276" i="8"/>
  <c r="Q1276" i="8"/>
  <c r="P1277" i="8"/>
  <c r="Q1277" i="8"/>
  <c r="P1278" i="8"/>
  <c r="Q1278" i="8"/>
  <c r="P1279" i="8"/>
  <c r="Q1279" i="8"/>
  <c r="P1280" i="8"/>
  <c r="Q1280" i="8"/>
  <c r="P1281" i="8"/>
  <c r="Q1281" i="8"/>
  <c r="P1282" i="8"/>
  <c r="Q1282" i="8"/>
  <c r="P1283" i="8"/>
  <c r="Q1283" i="8"/>
  <c r="P1284" i="8"/>
  <c r="Q1284" i="8"/>
  <c r="P1285" i="8"/>
  <c r="Q1285" i="8"/>
  <c r="P1286" i="8"/>
  <c r="Q1286" i="8"/>
  <c r="P1287" i="8"/>
  <c r="Q1287" i="8"/>
  <c r="P1288" i="8"/>
  <c r="Q1288" i="8"/>
  <c r="P1289" i="8"/>
  <c r="Q1289" i="8"/>
  <c r="P1290" i="8"/>
  <c r="Q1290" i="8"/>
  <c r="P1291" i="8"/>
  <c r="Q1291" i="8"/>
  <c r="P1292" i="8"/>
  <c r="Q1292" i="8"/>
  <c r="P1293" i="8"/>
  <c r="Q1293" i="8"/>
  <c r="P1294" i="8"/>
  <c r="Q1294" i="8"/>
  <c r="P1295" i="8"/>
  <c r="Q1295" i="8"/>
  <c r="P1296" i="8"/>
  <c r="Q1296" i="8"/>
  <c r="P1297" i="8"/>
  <c r="Q1297" i="8"/>
  <c r="P1298" i="8"/>
  <c r="Q1298" i="8"/>
  <c r="P1299" i="8"/>
  <c r="Q1299" i="8"/>
  <c r="P1300" i="8"/>
  <c r="Q1300" i="8"/>
  <c r="P1301" i="8"/>
  <c r="Q1301" i="8"/>
  <c r="P1302" i="8"/>
  <c r="Q1302" i="8"/>
  <c r="P1303" i="8"/>
  <c r="Q1303" i="8"/>
  <c r="P1304" i="8"/>
  <c r="Q1304" i="8"/>
  <c r="P1305" i="8"/>
  <c r="Q1305" i="8"/>
  <c r="P1306" i="8"/>
  <c r="Q1306" i="8"/>
  <c r="P1309" i="8"/>
  <c r="Q1309" i="8"/>
  <c r="P1310" i="8"/>
  <c r="Q1310" i="8"/>
  <c r="P1311" i="8"/>
  <c r="Q1311" i="8"/>
  <c r="P1312" i="8"/>
  <c r="Q1312" i="8"/>
  <c r="P1313" i="8"/>
  <c r="Q1313" i="8"/>
  <c r="P1314" i="8"/>
  <c r="Q1314" i="8"/>
  <c r="P1315" i="8"/>
  <c r="Q1315" i="8"/>
  <c r="P1316" i="8"/>
  <c r="Q1316" i="8"/>
  <c r="P1317" i="8"/>
  <c r="Q1317" i="8"/>
  <c r="P1318" i="8"/>
  <c r="Q1318" i="8"/>
  <c r="P1319" i="8"/>
  <c r="Q1319" i="8"/>
  <c r="P1320" i="8"/>
  <c r="Q1320" i="8"/>
  <c r="P1321" i="8"/>
  <c r="Q1321" i="8"/>
  <c r="P1322" i="8"/>
  <c r="Q1322" i="8"/>
  <c r="P1323" i="8"/>
  <c r="Q1323" i="8"/>
  <c r="P1324" i="8"/>
  <c r="Q1324" i="8"/>
  <c r="P1325" i="8"/>
  <c r="Q1325" i="8"/>
  <c r="P1326" i="8"/>
  <c r="Q1326" i="8"/>
  <c r="P1327" i="8"/>
  <c r="Q1327" i="8"/>
  <c r="P1328" i="8"/>
  <c r="Q1328" i="8"/>
  <c r="P1329" i="8"/>
  <c r="Q1329" i="8"/>
  <c r="P1330" i="8"/>
  <c r="Q1330" i="8"/>
  <c r="P1331" i="8"/>
  <c r="Q1331" i="8"/>
  <c r="P1332" i="8"/>
  <c r="Q1332" i="8"/>
  <c r="P1333" i="8"/>
  <c r="Q1333" i="8"/>
  <c r="P1334" i="8"/>
  <c r="Q1334" i="8"/>
  <c r="P1335" i="8"/>
  <c r="Q1335" i="8"/>
  <c r="P1336" i="8"/>
  <c r="Q1336" i="8"/>
  <c r="P1337" i="8"/>
  <c r="Q1337" i="8"/>
  <c r="P1338" i="8"/>
  <c r="Q1338" i="8"/>
  <c r="P1339" i="8"/>
  <c r="Q1339" i="8"/>
  <c r="P1340" i="8"/>
  <c r="Q1340" i="8"/>
  <c r="P1341" i="8"/>
  <c r="Q1341" i="8"/>
  <c r="P1342" i="8"/>
  <c r="Q1342" i="8"/>
  <c r="P1343" i="8"/>
  <c r="Q1343" i="8"/>
  <c r="P1344" i="8"/>
  <c r="Q1344" i="8"/>
  <c r="P1345" i="8"/>
  <c r="Q1345" i="8"/>
  <c r="P1346" i="8"/>
  <c r="Q1346" i="8"/>
  <c r="P1347" i="8"/>
  <c r="Q1347" i="8"/>
  <c r="P1348" i="8"/>
  <c r="Q1348" i="8"/>
  <c r="P1349" i="8"/>
  <c r="Q1349" i="8"/>
  <c r="P1350" i="8"/>
  <c r="Q1350" i="8"/>
  <c r="P1351" i="8"/>
  <c r="Q1351" i="8"/>
  <c r="P1352" i="8"/>
  <c r="Q1352" i="8"/>
  <c r="P1353" i="8"/>
  <c r="Q1353" i="8"/>
  <c r="P1354" i="8"/>
  <c r="Q1354" i="8"/>
  <c r="P1355" i="8"/>
  <c r="Q1355" i="8"/>
  <c r="P1356" i="8"/>
  <c r="Q1356" i="8"/>
  <c r="P1357" i="8"/>
  <c r="Q1357" i="8"/>
  <c r="P1358" i="8"/>
  <c r="Q1358" i="8"/>
  <c r="P1359" i="8"/>
  <c r="Q1359" i="8"/>
  <c r="P1360" i="8"/>
  <c r="Q1360" i="8"/>
  <c r="P1361" i="8"/>
  <c r="Q1361" i="8"/>
  <c r="P1362" i="8"/>
  <c r="Q1362" i="8"/>
  <c r="P1363" i="8"/>
  <c r="Q1363" i="8"/>
  <c r="P1364" i="8"/>
  <c r="Q1364" i="8"/>
  <c r="P1365" i="8"/>
  <c r="Q1365" i="8"/>
  <c r="P1366" i="8"/>
  <c r="Q1366" i="8"/>
  <c r="P1367" i="8"/>
  <c r="Q1367" i="8"/>
  <c r="P1368" i="8"/>
  <c r="Q1368" i="8"/>
  <c r="P1369" i="8"/>
  <c r="Q1369" i="8"/>
  <c r="P1370" i="8"/>
  <c r="Q1370" i="8"/>
  <c r="P1371" i="8"/>
  <c r="Q1371" i="8"/>
  <c r="P1372" i="8"/>
  <c r="Q1372" i="8"/>
  <c r="P1373" i="8"/>
  <c r="Q1373" i="8"/>
  <c r="Q1374" i="8"/>
  <c r="Q1375" i="8"/>
  <c r="Q1376" i="8"/>
  <c r="Q1377" i="8"/>
  <c r="Q1378" i="8"/>
  <c r="Q1379" i="8"/>
  <c r="Q1380" i="8"/>
  <c r="Q1381" i="8"/>
  <c r="Q1382" i="8"/>
  <c r="Q1383" i="8"/>
  <c r="Q1384" i="8"/>
  <c r="Q1385" i="8"/>
  <c r="Q1386" i="8"/>
  <c r="Q1387" i="8"/>
  <c r="Q1388" i="8"/>
  <c r="Q1389" i="8"/>
  <c r="Q1390" i="8"/>
  <c r="Q1391" i="8"/>
  <c r="Q1392" i="8"/>
  <c r="Q1393" i="8"/>
  <c r="Q1394" i="8"/>
  <c r="Q1395" i="8"/>
  <c r="Q1396" i="8"/>
  <c r="Q1397" i="8"/>
  <c r="Q1398" i="8"/>
  <c r="Q1399" i="8"/>
  <c r="P863" i="8"/>
  <c r="Q863" i="8"/>
  <c r="P864" i="8"/>
  <c r="Q864" i="8"/>
  <c r="P865" i="8"/>
  <c r="Q865" i="8"/>
  <c r="P866" i="8"/>
  <c r="Q866" i="8"/>
  <c r="P867" i="8"/>
  <c r="Q867" i="8"/>
  <c r="P868" i="8"/>
  <c r="Q868" i="8"/>
  <c r="P869" i="8"/>
  <c r="Q869" i="8"/>
  <c r="P870" i="8"/>
  <c r="Q870" i="8"/>
  <c r="P871" i="8"/>
  <c r="Q871" i="8"/>
  <c r="P872" i="8"/>
  <c r="Q872" i="8"/>
  <c r="P873" i="8"/>
  <c r="Q873" i="8"/>
  <c r="P874" i="8"/>
  <c r="Q874" i="8"/>
  <c r="P875" i="8"/>
  <c r="Q875" i="8"/>
  <c r="P876" i="8"/>
  <c r="Q876" i="8"/>
  <c r="P877" i="8"/>
  <c r="Q877" i="8"/>
  <c r="P878" i="8"/>
  <c r="Q878" i="8"/>
  <c r="P879" i="8"/>
  <c r="Q879" i="8"/>
  <c r="P880" i="8"/>
  <c r="Q880" i="8"/>
  <c r="P881" i="8"/>
  <c r="Q881" i="8"/>
  <c r="P882" i="8"/>
  <c r="Q882" i="8"/>
  <c r="P883" i="8"/>
  <c r="Q883" i="8"/>
  <c r="P884" i="8"/>
  <c r="Q884" i="8"/>
  <c r="P885" i="8"/>
  <c r="Q885" i="8"/>
  <c r="P886" i="8"/>
  <c r="Q886" i="8"/>
  <c r="P887" i="8"/>
  <c r="Q887" i="8"/>
  <c r="P888" i="8"/>
  <c r="Q888" i="8"/>
  <c r="P889" i="8"/>
  <c r="Q889" i="8"/>
  <c r="P890" i="8"/>
  <c r="Q890" i="8"/>
  <c r="P891" i="8"/>
  <c r="Q891" i="8"/>
  <c r="P892" i="8"/>
  <c r="Q892" i="8"/>
  <c r="P893" i="8"/>
  <c r="Q893" i="8"/>
  <c r="P894" i="8"/>
  <c r="Q894" i="8"/>
  <c r="P895" i="8"/>
  <c r="Q895" i="8"/>
  <c r="P896" i="8"/>
  <c r="Q896" i="8"/>
  <c r="P897" i="8"/>
  <c r="Q897" i="8"/>
  <c r="P898" i="8"/>
  <c r="Q898" i="8"/>
  <c r="P899" i="8"/>
  <c r="Q899" i="8"/>
  <c r="P900" i="8"/>
  <c r="Q900" i="8"/>
  <c r="P901" i="8"/>
  <c r="Q901" i="8"/>
  <c r="P902" i="8"/>
  <c r="Q902" i="8"/>
  <c r="P903" i="8"/>
  <c r="Q903" i="8"/>
  <c r="P904" i="8"/>
  <c r="Q904" i="8"/>
  <c r="P905" i="8"/>
  <c r="Q905" i="8"/>
  <c r="P906" i="8"/>
  <c r="Q906" i="8"/>
  <c r="P907" i="8"/>
  <c r="Q907" i="8"/>
  <c r="P908" i="8"/>
  <c r="Q908" i="8"/>
  <c r="P909" i="8"/>
  <c r="Q909" i="8"/>
  <c r="P910" i="8"/>
  <c r="Q910" i="8"/>
  <c r="P911" i="8"/>
  <c r="Q911" i="8"/>
  <c r="P912" i="8"/>
  <c r="Q912" i="8"/>
  <c r="P913" i="8"/>
  <c r="Q913" i="8"/>
  <c r="P914" i="8"/>
  <c r="Q914" i="8"/>
  <c r="P915" i="8"/>
  <c r="Q915" i="8"/>
  <c r="P916" i="8"/>
  <c r="Q916" i="8"/>
  <c r="P917" i="8"/>
  <c r="Q917" i="8"/>
  <c r="P918" i="8"/>
  <c r="Q918" i="8"/>
  <c r="P919" i="8"/>
  <c r="Q919" i="8"/>
  <c r="P920" i="8"/>
  <c r="Q920" i="8"/>
  <c r="P921" i="8"/>
  <c r="Q921" i="8"/>
  <c r="P922" i="8"/>
  <c r="Q922" i="8"/>
  <c r="P923" i="8"/>
  <c r="Q923" i="8"/>
  <c r="P924" i="8"/>
  <c r="Q924" i="8"/>
  <c r="P925" i="8"/>
  <c r="Q925" i="8"/>
  <c r="P926" i="8"/>
  <c r="Q926" i="8"/>
  <c r="P927" i="8"/>
  <c r="Q927" i="8"/>
  <c r="P928" i="8"/>
  <c r="Q928" i="8"/>
  <c r="P929" i="8"/>
  <c r="Q929" i="8"/>
  <c r="P930" i="8"/>
  <c r="Q930" i="8"/>
  <c r="P931" i="8"/>
  <c r="Q931" i="8"/>
  <c r="P932" i="8"/>
  <c r="Q932" i="8"/>
  <c r="P933" i="8"/>
  <c r="Q933" i="8"/>
  <c r="P934" i="8"/>
  <c r="Q934" i="8"/>
  <c r="P935" i="8"/>
  <c r="Q935" i="8"/>
  <c r="P936" i="8"/>
  <c r="Q936" i="8"/>
  <c r="P937" i="8"/>
  <c r="Q937" i="8"/>
  <c r="P938" i="8"/>
  <c r="Q938" i="8"/>
  <c r="P939" i="8"/>
  <c r="Q939" i="8"/>
  <c r="P940" i="8"/>
  <c r="Q940" i="8"/>
  <c r="P941" i="8"/>
  <c r="Q941" i="8"/>
  <c r="P942" i="8"/>
  <c r="Q942" i="8"/>
  <c r="P943" i="8"/>
  <c r="Q943" i="8"/>
  <c r="P944" i="8"/>
  <c r="Q944" i="8"/>
  <c r="P945" i="8"/>
  <c r="Q945" i="8"/>
  <c r="P946" i="8"/>
  <c r="Q946" i="8"/>
  <c r="P947" i="8"/>
  <c r="Q947" i="8"/>
  <c r="P948" i="8"/>
  <c r="Q948" i="8"/>
  <c r="P949" i="8"/>
  <c r="Q949" i="8"/>
  <c r="P950" i="8"/>
  <c r="Q950" i="8"/>
  <c r="P951" i="8"/>
  <c r="Q951" i="8"/>
  <c r="P952" i="8"/>
  <c r="Q952" i="8"/>
  <c r="P953" i="8"/>
  <c r="Q953" i="8"/>
  <c r="P954" i="8"/>
  <c r="Q954" i="8"/>
  <c r="P955" i="8"/>
  <c r="Q955" i="8"/>
  <c r="P956" i="8"/>
  <c r="Q956" i="8"/>
  <c r="P957" i="8"/>
  <c r="Q957" i="8"/>
  <c r="P958" i="8"/>
  <c r="Q958" i="8"/>
  <c r="P959" i="8"/>
  <c r="Q959" i="8"/>
  <c r="P960" i="8"/>
  <c r="Q960" i="8"/>
  <c r="P961" i="8"/>
  <c r="Q961" i="8"/>
  <c r="P962" i="8"/>
  <c r="Q962" i="8"/>
  <c r="P963" i="8"/>
  <c r="Q963" i="8"/>
  <c r="P964" i="8"/>
  <c r="Q964" i="8"/>
  <c r="P965" i="8"/>
  <c r="Q965" i="8"/>
  <c r="P966" i="8"/>
  <c r="Q966" i="8"/>
  <c r="P967" i="8"/>
  <c r="Q967" i="8"/>
  <c r="P968" i="8"/>
  <c r="Q968" i="8"/>
  <c r="P969" i="8"/>
  <c r="Q969" i="8"/>
  <c r="P970" i="8"/>
  <c r="Q970" i="8"/>
  <c r="P971" i="8"/>
  <c r="Q971" i="8"/>
  <c r="P972" i="8"/>
  <c r="Q972" i="8"/>
  <c r="P973" i="8"/>
  <c r="Q973" i="8"/>
  <c r="P974" i="8"/>
  <c r="Q974" i="8"/>
  <c r="P975" i="8"/>
  <c r="Q975" i="8"/>
  <c r="P976" i="8"/>
  <c r="Q976" i="8"/>
  <c r="P977" i="8"/>
  <c r="Q977" i="8"/>
  <c r="P978" i="8"/>
  <c r="Q978" i="8"/>
  <c r="P979" i="8"/>
  <c r="Q979" i="8"/>
  <c r="P980" i="8"/>
  <c r="Q980" i="8"/>
  <c r="P981" i="8"/>
  <c r="Q981" i="8"/>
  <c r="P982" i="8"/>
  <c r="Q982" i="8"/>
  <c r="P983" i="8"/>
  <c r="Q983" i="8"/>
  <c r="P984" i="8"/>
  <c r="Q984" i="8"/>
  <c r="P985" i="8"/>
  <c r="Q985" i="8"/>
  <c r="P986" i="8"/>
  <c r="Q986" i="8"/>
  <c r="P987" i="8"/>
  <c r="Q987" i="8"/>
  <c r="P988" i="8"/>
  <c r="Q988" i="8"/>
  <c r="P989" i="8"/>
  <c r="Q989" i="8"/>
  <c r="P990" i="8"/>
  <c r="Q990" i="8"/>
  <c r="P991" i="8"/>
  <c r="Q991" i="8"/>
  <c r="P992" i="8"/>
  <c r="Q992" i="8"/>
  <c r="P993" i="8"/>
  <c r="Q993" i="8"/>
  <c r="P994" i="8"/>
  <c r="Q994" i="8"/>
  <c r="P995" i="8"/>
  <c r="Q995" i="8"/>
  <c r="P996" i="8"/>
  <c r="Q996" i="8"/>
  <c r="P997" i="8"/>
  <c r="Q997" i="8"/>
  <c r="P998" i="8"/>
  <c r="Q998" i="8"/>
  <c r="P999" i="8"/>
  <c r="Q999" i="8"/>
  <c r="P1000" i="8"/>
  <c r="Q1000" i="8"/>
  <c r="P1001" i="8"/>
  <c r="Q1001" i="8"/>
  <c r="P1002" i="8"/>
  <c r="Q1002" i="8"/>
  <c r="P1003" i="8"/>
  <c r="Q1003" i="8"/>
  <c r="P1004" i="8"/>
  <c r="Q1004" i="8"/>
  <c r="P1005" i="8"/>
  <c r="Q1005" i="8"/>
  <c r="P1006" i="8"/>
  <c r="Q1006" i="8"/>
  <c r="P1007" i="8"/>
  <c r="Q1007" i="8"/>
  <c r="P1008" i="8"/>
  <c r="Q1008" i="8"/>
  <c r="P1009" i="8"/>
  <c r="Q1009" i="8"/>
  <c r="P1010" i="8"/>
  <c r="Q1010" i="8"/>
  <c r="P1011" i="8"/>
  <c r="Q1011" i="8"/>
  <c r="P1012" i="8"/>
  <c r="Q1012" i="8"/>
  <c r="P1013" i="8"/>
  <c r="Q1013" i="8"/>
  <c r="P1014" i="8"/>
  <c r="Q1014" i="8"/>
  <c r="P1015" i="8"/>
  <c r="Q1015" i="8"/>
  <c r="P1016" i="8"/>
  <c r="Q1016" i="8"/>
  <c r="P1017" i="8"/>
  <c r="Q1017" i="8"/>
  <c r="P1018" i="8"/>
  <c r="Q1018" i="8"/>
  <c r="P1019" i="8"/>
  <c r="Q1019" i="8"/>
  <c r="P1020" i="8"/>
  <c r="Q1020" i="8"/>
  <c r="P1021" i="8"/>
  <c r="Q1021" i="8"/>
  <c r="P1022" i="8"/>
  <c r="Q1022" i="8"/>
  <c r="P1023" i="8"/>
  <c r="Q1023" i="8"/>
  <c r="P1024" i="8"/>
  <c r="Q1024" i="8"/>
  <c r="P1025" i="8"/>
  <c r="Q1025" i="8"/>
  <c r="P1026" i="8"/>
  <c r="Q1026" i="8"/>
  <c r="P1027" i="8"/>
  <c r="Q1027" i="8"/>
  <c r="P1028" i="8"/>
  <c r="Q1028" i="8"/>
  <c r="P1029" i="8"/>
  <c r="Q1029" i="8"/>
  <c r="P1030" i="8"/>
  <c r="Q1030" i="8"/>
  <c r="P1031" i="8"/>
  <c r="Q1031" i="8"/>
  <c r="P1032" i="8"/>
  <c r="Q1032" i="8"/>
  <c r="P1033" i="8"/>
  <c r="Q1033" i="8"/>
  <c r="P1034" i="8"/>
  <c r="Q1034" i="8"/>
  <c r="P1035" i="8"/>
  <c r="Q1035" i="8"/>
  <c r="P1036" i="8"/>
  <c r="Q1036" i="8"/>
  <c r="P1037" i="8"/>
  <c r="Q1037" i="8"/>
  <c r="P1038" i="8"/>
  <c r="Q1038" i="8"/>
  <c r="P1039" i="8"/>
  <c r="Q1039" i="8"/>
  <c r="P1040" i="8"/>
  <c r="Q1040" i="8"/>
  <c r="P1041" i="8"/>
  <c r="Q1041" i="8"/>
  <c r="P1042" i="8"/>
  <c r="Q1042" i="8"/>
  <c r="P1043" i="8"/>
  <c r="Q1043" i="8"/>
  <c r="P1044" i="8"/>
  <c r="Q1044" i="8"/>
  <c r="P1045" i="8"/>
  <c r="Q1045" i="8"/>
  <c r="P1046" i="8"/>
  <c r="Q1046" i="8"/>
  <c r="P1047" i="8"/>
  <c r="Q1047" i="8"/>
  <c r="P1048" i="8"/>
  <c r="Q1048" i="8"/>
  <c r="P1049" i="8"/>
  <c r="Q1049" i="8"/>
  <c r="P1050" i="8"/>
  <c r="Q1050" i="8"/>
  <c r="P1051" i="8"/>
  <c r="Q1051" i="8"/>
  <c r="P1052" i="8"/>
  <c r="Q1052" i="8"/>
  <c r="P1053" i="8"/>
  <c r="Q1053" i="8"/>
  <c r="P1054" i="8"/>
  <c r="Q1054" i="8"/>
  <c r="P1055" i="8"/>
  <c r="Q1055" i="8"/>
  <c r="P1056" i="8"/>
  <c r="Q1056" i="8"/>
  <c r="P1057" i="8"/>
  <c r="Q1057" i="8"/>
  <c r="P1058" i="8"/>
  <c r="Q1058" i="8"/>
  <c r="P1059" i="8"/>
  <c r="Q1059" i="8"/>
  <c r="P1060" i="8"/>
  <c r="Q1060" i="8"/>
  <c r="P1061" i="8"/>
  <c r="Q1061" i="8"/>
  <c r="P1062" i="8"/>
  <c r="Q1062" i="8"/>
  <c r="P1063" i="8"/>
  <c r="Q1063" i="8"/>
  <c r="P1064" i="8"/>
  <c r="Q1064" i="8"/>
  <c r="P1065" i="8"/>
  <c r="Q1065" i="8"/>
  <c r="P1066" i="8"/>
  <c r="Q1066" i="8"/>
  <c r="P1067" i="8"/>
  <c r="Q1067" i="8"/>
  <c r="P1068" i="8"/>
  <c r="Q1068" i="8"/>
  <c r="P1069" i="8"/>
  <c r="Q1069" i="8"/>
  <c r="P1070" i="8"/>
  <c r="Q1070" i="8"/>
  <c r="P1071" i="8"/>
  <c r="Q1071" i="8"/>
  <c r="P1072" i="8"/>
  <c r="Q1072" i="8"/>
  <c r="P1073" i="8"/>
  <c r="Q1073" i="8"/>
  <c r="P1074" i="8"/>
  <c r="Q1074" i="8"/>
  <c r="P1075" i="8"/>
  <c r="Q1075" i="8"/>
  <c r="P1076" i="8"/>
  <c r="Q1076" i="8"/>
  <c r="P1077" i="8"/>
  <c r="Q1077" i="8"/>
  <c r="P1078" i="8"/>
  <c r="Q1078" i="8"/>
  <c r="P1079" i="8"/>
  <c r="Q1079" i="8"/>
  <c r="P1080" i="8"/>
  <c r="Q1080" i="8"/>
  <c r="P1081" i="8"/>
  <c r="Q1081" i="8"/>
  <c r="P1082" i="8"/>
  <c r="Q1082" i="8"/>
  <c r="P1083" i="8"/>
  <c r="Q1083" i="8"/>
  <c r="P1084" i="8"/>
  <c r="Q1084" i="8"/>
  <c r="P1085" i="8"/>
  <c r="Q1085" i="8"/>
  <c r="P1086" i="8"/>
  <c r="Q1086" i="8"/>
  <c r="P1087" i="8"/>
  <c r="Q1087" i="8"/>
  <c r="P1088" i="8"/>
  <c r="Q1088" i="8"/>
  <c r="P1089" i="8"/>
  <c r="Q1089" i="8"/>
  <c r="P1090" i="8"/>
  <c r="Q1090" i="8"/>
  <c r="P1091" i="8"/>
  <c r="Q1091" i="8"/>
  <c r="P1092" i="8"/>
  <c r="Q1092" i="8"/>
  <c r="P1093" i="8"/>
  <c r="Q1093" i="8"/>
  <c r="P1094" i="8"/>
  <c r="Q1094" i="8"/>
  <c r="P1095" i="8"/>
  <c r="Q1095" i="8"/>
  <c r="P1096" i="8"/>
  <c r="Q1096" i="8"/>
  <c r="P1097" i="8"/>
  <c r="Q1097" i="8"/>
  <c r="P1098" i="8"/>
  <c r="Q1098" i="8"/>
  <c r="P1099" i="8"/>
  <c r="Q1099" i="8"/>
  <c r="P1100" i="8"/>
  <c r="Q1100" i="8"/>
  <c r="P1101" i="8"/>
  <c r="Q1101" i="8"/>
  <c r="P1102" i="8"/>
  <c r="Q1102" i="8"/>
  <c r="K875" i="8"/>
  <c r="K874" i="8"/>
  <c r="K873" i="8"/>
  <c r="K872" i="8"/>
  <c r="K871" i="8"/>
  <c r="K870" i="8"/>
  <c r="K869" i="8"/>
  <c r="K868" i="8"/>
  <c r="K867" i="8"/>
  <c r="K866" i="8"/>
  <c r="K865" i="8"/>
  <c r="K864" i="8"/>
  <c r="K863" i="8"/>
  <c r="I92" i="2"/>
  <c r="H92" i="2"/>
  <c r="G92" i="2"/>
  <c r="F92" i="2"/>
  <c r="G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2" i="2"/>
  <c r="K858" i="8"/>
  <c r="K857" i="8"/>
  <c r="K856" i="8"/>
  <c r="K855" i="8"/>
  <c r="K854" i="8"/>
  <c r="K853" i="8"/>
  <c r="K852" i="8"/>
  <c r="K851" i="8"/>
  <c r="K850" i="8"/>
  <c r="K849" i="8"/>
  <c r="K848" i="8"/>
  <c r="K847" i="8"/>
  <c r="K846" i="8"/>
  <c r="K845" i="8"/>
  <c r="K844" i="8"/>
  <c r="K843" i="8"/>
  <c r="K842" i="8"/>
  <c r="K841" i="8"/>
  <c r="K840" i="8"/>
  <c r="K839" i="8"/>
  <c r="K838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59" i="8"/>
  <c r="K860" i="8"/>
  <c r="K861" i="8"/>
  <c r="K862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966" i="8"/>
  <c r="K967" i="8"/>
  <c r="K968" i="8"/>
  <c r="K969" i="8"/>
  <c r="K970" i="8"/>
  <c r="K971" i="8"/>
  <c r="K972" i="8"/>
  <c r="K973" i="8"/>
  <c r="K975" i="8"/>
  <c r="K1065" i="8"/>
  <c r="K1066" i="8"/>
  <c r="K1067" i="8"/>
  <c r="K1068" i="8"/>
  <c r="K1069" i="8"/>
  <c r="K1070" i="8"/>
  <c r="K1071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P801" i="8"/>
  <c r="Q801" i="8"/>
  <c r="P802" i="8"/>
  <c r="Q802" i="8"/>
  <c r="P803" i="8"/>
  <c r="Q803" i="8"/>
  <c r="P804" i="8"/>
  <c r="Q804" i="8"/>
  <c r="P805" i="8"/>
  <c r="Q805" i="8"/>
  <c r="P806" i="8"/>
  <c r="Q806" i="8"/>
  <c r="P807" i="8"/>
  <c r="Q807" i="8"/>
  <c r="P808" i="8"/>
  <c r="Q808" i="8"/>
  <c r="P809" i="8"/>
  <c r="Q809" i="8"/>
  <c r="P810" i="8"/>
  <c r="Q810" i="8"/>
  <c r="P811" i="8"/>
  <c r="Q811" i="8"/>
  <c r="P812" i="8"/>
  <c r="Q812" i="8"/>
  <c r="P813" i="8"/>
  <c r="Q813" i="8"/>
  <c r="P814" i="8"/>
  <c r="Q814" i="8"/>
  <c r="P815" i="8"/>
  <c r="Q815" i="8"/>
  <c r="P816" i="8"/>
  <c r="Q816" i="8"/>
  <c r="P817" i="8"/>
  <c r="Q817" i="8"/>
  <c r="P818" i="8"/>
  <c r="Q818" i="8"/>
  <c r="P819" i="8"/>
  <c r="Q819" i="8"/>
  <c r="P820" i="8"/>
  <c r="Q820" i="8"/>
  <c r="P821" i="8"/>
  <c r="Q821" i="8"/>
  <c r="P822" i="8"/>
  <c r="Q822" i="8"/>
  <c r="P823" i="8"/>
  <c r="Q823" i="8"/>
  <c r="P824" i="8"/>
  <c r="Q824" i="8"/>
  <c r="P825" i="8"/>
  <c r="Q825" i="8"/>
  <c r="P826" i="8"/>
  <c r="Q826" i="8"/>
  <c r="P827" i="8"/>
  <c r="Q827" i="8"/>
  <c r="P828" i="8"/>
  <c r="Q828" i="8"/>
  <c r="P829" i="8"/>
  <c r="Q829" i="8"/>
  <c r="P830" i="8"/>
  <c r="Q830" i="8"/>
  <c r="P831" i="8"/>
  <c r="Q831" i="8"/>
  <c r="P832" i="8"/>
  <c r="Q832" i="8"/>
  <c r="P833" i="8"/>
  <c r="Q833" i="8"/>
  <c r="P834" i="8"/>
  <c r="Q834" i="8"/>
  <c r="P835" i="8"/>
  <c r="Q835" i="8"/>
  <c r="P836" i="8"/>
  <c r="Q836" i="8"/>
  <c r="P837" i="8"/>
  <c r="Q837" i="8"/>
  <c r="P838" i="8"/>
  <c r="Q838" i="8"/>
  <c r="P839" i="8"/>
  <c r="Q839" i="8"/>
  <c r="P840" i="8"/>
  <c r="Q840" i="8"/>
  <c r="P841" i="8"/>
  <c r="Q841" i="8"/>
  <c r="P842" i="8"/>
  <c r="Q842" i="8"/>
  <c r="P843" i="8"/>
  <c r="Q843" i="8"/>
  <c r="P844" i="8"/>
  <c r="Q844" i="8"/>
  <c r="P845" i="8"/>
  <c r="Q845" i="8"/>
  <c r="P846" i="8"/>
  <c r="Q846" i="8"/>
  <c r="P847" i="8"/>
  <c r="Q847" i="8"/>
  <c r="P848" i="8"/>
  <c r="Q848" i="8"/>
  <c r="P849" i="8"/>
  <c r="Q849" i="8"/>
  <c r="P850" i="8"/>
  <c r="Q850" i="8"/>
  <c r="P851" i="8"/>
  <c r="Q851" i="8"/>
  <c r="P852" i="8"/>
  <c r="Q852" i="8"/>
  <c r="P853" i="8"/>
  <c r="Q853" i="8"/>
  <c r="P854" i="8"/>
  <c r="Q854" i="8"/>
  <c r="P855" i="8"/>
  <c r="Q855" i="8"/>
  <c r="P856" i="8"/>
  <c r="Q856" i="8"/>
  <c r="P857" i="8"/>
  <c r="Q857" i="8"/>
  <c r="P858" i="8"/>
  <c r="Q858" i="8"/>
  <c r="P859" i="8"/>
  <c r="Q859" i="8"/>
  <c r="P860" i="8"/>
  <c r="Q860" i="8"/>
  <c r="P861" i="8"/>
  <c r="Q861" i="8"/>
  <c r="P862" i="8"/>
  <c r="Q862" i="8"/>
  <c r="G783" i="8"/>
  <c r="G782" i="8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P712" i="8"/>
  <c r="Q712" i="8"/>
  <c r="P713" i="8"/>
  <c r="Q713" i="8"/>
  <c r="P714" i="8"/>
  <c r="Q714" i="8"/>
  <c r="P715" i="8"/>
  <c r="Q715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17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367" i="8"/>
  <c r="G366" i="8"/>
  <c r="G365" i="8"/>
  <c r="G364" i="8"/>
  <c r="G362" i="8"/>
  <c r="G361" i="8"/>
  <c r="G360" i="8"/>
  <c r="G359" i="8"/>
  <c r="G358" i="8"/>
  <c r="G315" i="8"/>
  <c r="G314" i="8"/>
  <c r="G313" i="8"/>
  <c r="G312" i="8"/>
  <c r="G311" i="8"/>
  <c r="G310" i="8"/>
  <c r="G309" i="8"/>
  <c r="G308" i="8"/>
  <c r="G307" i="8"/>
  <c r="G306" i="8"/>
  <c r="G305" i="8"/>
  <c r="G298" i="8"/>
  <c r="G297" i="8"/>
  <c r="G296" i="8"/>
  <c r="G245" i="8"/>
  <c r="G244" i="8"/>
  <c r="G243" i="8"/>
  <c r="G242" i="8"/>
  <c r="K174" i="8"/>
  <c r="K173" i="8"/>
  <c r="K172" i="8"/>
  <c r="K171" i="8"/>
  <c r="K170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9" i="8"/>
  <c r="G300" i="8"/>
  <c r="G301" i="8"/>
  <c r="G302" i="8"/>
  <c r="G303" i="8"/>
  <c r="G304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63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K126" i="8"/>
  <c r="K125" i="8"/>
  <c r="K124" i="8"/>
  <c r="K123" i="8"/>
  <c r="K122" i="8"/>
  <c r="K121" i="8"/>
  <c r="K120" i="8"/>
  <c r="K119" i="8"/>
  <c r="K118" i="8"/>
  <c r="K74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2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75" i="8"/>
  <c r="K176" i="8"/>
  <c r="K177" i="8"/>
  <c r="K178" i="8"/>
  <c r="K179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59" i="8"/>
  <c r="G1506" i="6"/>
  <c r="G1505" i="6"/>
  <c r="G1504" i="6"/>
  <c r="G1503" i="6"/>
  <c r="G1502" i="6"/>
  <c r="G1501" i="6"/>
  <c r="G1500" i="6"/>
  <c r="G1499" i="6"/>
  <c r="G1498" i="6"/>
  <c r="G1497" i="6"/>
  <c r="G1496" i="6"/>
  <c r="G1495" i="6"/>
  <c r="G1494" i="6"/>
  <c r="G1493" i="6"/>
  <c r="G1492" i="6"/>
  <c r="G1491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29" i="6"/>
  <c r="G107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Nádia Sales</author>
  </authors>
  <commentList>
    <comment ref="L425" authorId="0" shapeId="0" xr:uid="{522076CD-646C-4260-A1D9-909A64E47543}">
      <text>
        <r>
          <rPr>
            <sz val="11"/>
            <color theme="1"/>
            <rFont val="Calibri"/>
            <family val="2"/>
            <scheme val="minor"/>
          </rPr>
          <t>Nádia Sales:
Validar se só atuou o relé de bloqueio, pois se sim, devemos repensar na "falha de rede".... possivelmente será trip do trafo... por temperatura.</t>
        </r>
      </text>
    </comment>
  </commentList>
</comments>
</file>

<file path=xl/sharedStrings.xml><?xml version="1.0" encoding="utf-8"?>
<sst xmlns="http://schemas.openxmlformats.org/spreadsheetml/2006/main" count="85645" uniqueCount="4515">
  <si>
    <t>Mês</t>
  </si>
  <si>
    <t>UC</t>
  </si>
  <si>
    <t>Usina BC</t>
  </si>
  <si>
    <t>SPE</t>
  </si>
  <si>
    <t>Projeto</t>
  </si>
  <si>
    <t>Geração Plataforma MWh</t>
  </si>
  <si>
    <t>Geração Local MWh</t>
  </si>
  <si>
    <t>Previsão</t>
  </si>
  <si>
    <t>Atingimento %</t>
  </si>
  <si>
    <t>UFV Araçu I</t>
  </si>
  <si>
    <t>BC Energia Araçu I.I</t>
  </si>
  <si>
    <t>BC Araçu I</t>
  </si>
  <si>
    <t>UFV Araçu II</t>
  </si>
  <si>
    <t>BC Energia Araçu II.II</t>
  </si>
  <si>
    <t>BC Araçu II</t>
  </si>
  <si>
    <t>UFV Araçu III</t>
  </si>
  <si>
    <t>BC Energia Araçu II.III</t>
  </si>
  <si>
    <t>UFV Araçu IV</t>
  </si>
  <si>
    <t>BC Energia Araçu II.IV</t>
  </si>
  <si>
    <t>UFV Araçu V</t>
  </si>
  <si>
    <t>BC Energia Araçu II.V</t>
  </si>
  <si>
    <t>UFV Araçu VI</t>
  </si>
  <si>
    <t>BC Energia Araçu III.VI</t>
  </si>
  <si>
    <t>BC Araçu III</t>
  </si>
  <si>
    <t>UFV Araçu VII</t>
  </si>
  <si>
    <t>BC Energia Araçu III.VII</t>
  </si>
  <si>
    <t>UFV Araçu VIII</t>
  </si>
  <si>
    <t>BC Energia Araçu IV.VIII</t>
  </si>
  <si>
    <t>BC Araçu IV</t>
  </si>
  <si>
    <t>6/4136603-0</t>
  </si>
  <si>
    <t>UFV Barra do Garças I</t>
  </si>
  <si>
    <t>BC Energia Barra das Garças I</t>
  </si>
  <si>
    <t>BC Barra do Garças</t>
  </si>
  <si>
    <t>6/4136542-0</t>
  </si>
  <si>
    <t>UFV Barra do Garças II</t>
  </si>
  <si>
    <t>BC Energia Barra das Garças II</t>
  </si>
  <si>
    <t>6/4136538-8</t>
  </si>
  <si>
    <t>UFV Barra do Garças III</t>
  </si>
  <si>
    <t>BC Energia Barra das Garças III</t>
  </si>
  <si>
    <t>UFV Bom Sucesso</t>
  </si>
  <si>
    <t>BC Energia Bom Sucesso I</t>
  </si>
  <si>
    <t>BC Bom Sucesso</t>
  </si>
  <si>
    <t>UFV Caiapônia I</t>
  </si>
  <si>
    <t>BC Energia Caiapônia I.I</t>
  </si>
  <si>
    <t>BC Caiapônia I</t>
  </si>
  <si>
    <t>UFV Caiapônia II</t>
  </si>
  <si>
    <t>BC Energia Caiapônia I.II</t>
  </si>
  <si>
    <t>UFV Caiapônia III</t>
  </si>
  <si>
    <t>BC Energia Caiapônia I.III</t>
  </si>
  <si>
    <t>UFV Caiapônia IV</t>
  </si>
  <si>
    <t>BC Energia Caiapônia I.IV</t>
  </si>
  <si>
    <t>UFV Caiapônia V</t>
  </si>
  <si>
    <t>BC Energia Caiapônia I.V</t>
  </si>
  <si>
    <t>UFV Caiaponia VI</t>
  </si>
  <si>
    <t>BC Energia Caiapônia II.VI</t>
  </si>
  <si>
    <t>BC Caiapônia II</t>
  </si>
  <si>
    <t>UFV Caiaponia VII</t>
  </si>
  <si>
    <t>BC Energia Caiapônia II.VII</t>
  </si>
  <si>
    <t>UFV Caiaponia VIII</t>
  </si>
  <si>
    <t>BC Energia Caiapônia II.VIII</t>
  </si>
  <si>
    <t>UFV Palmeiras de Goiás 1.1</t>
  </si>
  <si>
    <t>BC Energia Camarão - Palmeiras de Goiais I.I</t>
  </si>
  <si>
    <t>BC Camarão I - Palmeiras de Goiás I</t>
  </si>
  <si>
    <t>UFV Palmeiras de Goiás 1.2</t>
  </si>
  <si>
    <t>BC Energia Camarão - Palmeiras de Goiais I.II</t>
  </si>
  <si>
    <t>UFV Palmeiras de Goiás 1.3</t>
  </si>
  <si>
    <t>BC Energia Camarão - Palmeiras de Goiais I.III</t>
  </si>
  <si>
    <t>UFV Palmeiras de Goiás 1.4</t>
  </si>
  <si>
    <t>BC Energia Camarão - Palmeiras de Goiais I.IV</t>
  </si>
  <si>
    <t>UFV Palmeiras de Goiás 1.5</t>
  </si>
  <si>
    <t>BC Energia Camarão - Palmeiras de Goiais I.V</t>
  </si>
  <si>
    <t>UFV Clareira Araçu I</t>
  </si>
  <si>
    <t>BC Energia Clareira Araçu I</t>
  </si>
  <si>
    <t>BC Clareira Araçu</t>
  </si>
  <si>
    <t>UFV Clareira Araçu II</t>
  </si>
  <si>
    <t>BC Energia Clareira Araçu II</t>
  </si>
  <si>
    <t>UFV Corumbá 1.1</t>
  </si>
  <si>
    <t>BC Energia Corumbá I.I</t>
  </si>
  <si>
    <t>BC Corumbá I</t>
  </si>
  <si>
    <t>UFV Corumbá 1.2</t>
  </si>
  <si>
    <t>BC Energia Corumbá I.II</t>
  </si>
  <si>
    <t>UFV Corumbá 1.3</t>
  </si>
  <si>
    <t>BC Energia Corumbá I.III</t>
  </si>
  <si>
    <t>UFV Corumbá 2.1</t>
  </si>
  <si>
    <t>BC Energia Corumbá II.IV</t>
  </si>
  <si>
    <t>BC Corumbá II</t>
  </si>
  <si>
    <t>UFV Corumbá 2.2</t>
  </si>
  <si>
    <t>BC Energia Corumbá II.V</t>
  </si>
  <si>
    <t>UFV Corumbá 2.3</t>
  </si>
  <si>
    <t>BC Energia Corumbá II.VI</t>
  </si>
  <si>
    <t>UFV Panamá I</t>
  </si>
  <si>
    <t>BC Energia Panamá I.I</t>
  </si>
  <si>
    <t>BC Panamá I</t>
  </si>
  <si>
    <t>UFV Panamá II</t>
  </si>
  <si>
    <t>BC Energia Panamá I.II</t>
  </si>
  <si>
    <t>UFV Panamá III</t>
  </si>
  <si>
    <t>BC Energia Panamá I.III</t>
  </si>
  <si>
    <t>UFV Panamá IV</t>
  </si>
  <si>
    <t>BC Energia Panamá I.IV</t>
  </si>
  <si>
    <t>UFV Panamá V</t>
  </si>
  <si>
    <t>BC Energia Panamá I.V</t>
  </si>
  <si>
    <t>UFV Panamá VI</t>
  </si>
  <si>
    <t>BC Energia Panamá I.VI</t>
  </si>
  <si>
    <t>UFV Panamá VII</t>
  </si>
  <si>
    <t>BC Energia Panamá I.VII</t>
  </si>
  <si>
    <t>2353016-2</t>
  </si>
  <si>
    <t>UFV Paranoá I</t>
  </si>
  <si>
    <t>BC Energia Paranoá I.I</t>
  </si>
  <si>
    <t>BC Paranoá I</t>
  </si>
  <si>
    <t>2352648-3</t>
  </si>
  <si>
    <t>UFV Paranoá II</t>
  </si>
  <si>
    <t>BC Energia Paranoá I.II</t>
  </si>
  <si>
    <t>2353023-5</t>
  </si>
  <si>
    <t>UFV Paranoá III</t>
  </si>
  <si>
    <t>BC Energia Paranoá I.III</t>
  </si>
  <si>
    <t>2346023-7</t>
  </si>
  <si>
    <t>UFV Paranoá IV</t>
  </si>
  <si>
    <t>BC Energia Paranoá I.IV</t>
  </si>
  <si>
    <t>2346009-1</t>
  </si>
  <si>
    <t>UFV Paranoá V</t>
  </si>
  <si>
    <t>BC Energia Paranoá I.V</t>
  </si>
  <si>
    <t>2345997-2</t>
  </si>
  <si>
    <t>UFV Paranoá VI</t>
  </si>
  <si>
    <t>BC Energia Paranoá I.VI</t>
  </si>
  <si>
    <t>2345992-1</t>
  </si>
  <si>
    <t>UFV Paranoá VII</t>
  </si>
  <si>
    <t>BC Energia Paranoá I.VII</t>
  </si>
  <si>
    <t>2352661-0</t>
  </si>
  <si>
    <t>UFV Paranoá VIII</t>
  </si>
  <si>
    <t>BC Energia Paranoá I.VIII</t>
  </si>
  <si>
    <t>UFV Rio Bonito 1</t>
  </si>
  <si>
    <t>BC Energia Rio Bonito I.I</t>
  </si>
  <si>
    <t>BC Rio Bonito I</t>
  </si>
  <si>
    <t>UFV Rio Bonito 2</t>
  </si>
  <si>
    <t>BC Energia Rio Bonito II.II</t>
  </si>
  <si>
    <t>BC Rio Bonito II</t>
  </si>
  <si>
    <t>UFV Rio Monte I</t>
  </si>
  <si>
    <t>BC Energia Rio Monte I.I</t>
  </si>
  <si>
    <t>BC Rio Monte I</t>
  </si>
  <si>
    <t>UFV Rio Monte II</t>
  </si>
  <si>
    <t>BC Energia Rio Monte I.II</t>
  </si>
  <si>
    <t>UFV Rio Monte III</t>
  </si>
  <si>
    <t>BC Energia Rio Monte I.III</t>
  </si>
  <si>
    <t>UFV Varjão de Minas I</t>
  </si>
  <si>
    <t>BC Energia Varjão de Minas I.I</t>
  </si>
  <si>
    <t>BC Varjão de Minas I</t>
  </si>
  <si>
    <t>UFV Varjão de Minas II</t>
  </si>
  <si>
    <t>BC Energia Varjão de Minas I.II</t>
  </si>
  <si>
    <t>UFV Varjão de Minas III</t>
  </si>
  <si>
    <t>BC Energia Varjão de Minas I.III</t>
  </si>
  <si>
    <t>UFV Varjão de Minas IV</t>
  </si>
  <si>
    <t>BC Energia Varjão de Minas II.IV</t>
  </si>
  <si>
    <t>BC Varjão de Minas II</t>
  </si>
  <si>
    <t>UFV Varjão de Minas V</t>
  </si>
  <si>
    <t>BC Energia Varjão de Minas II.V</t>
  </si>
  <si>
    <t>UFV Varjão de Minas VI</t>
  </si>
  <si>
    <t>BC Energia Varjão de Minas II.VI</t>
  </si>
  <si>
    <t>UFV Vazante I</t>
  </si>
  <si>
    <t>BC Energia Vazante I.I</t>
  </si>
  <si>
    <t>BC Vazante I</t>
  </si>
  <si>
    <t>UFV Vazante II</t>
  </si>
  <si>
    <t>BC Energia Vazante I.II</t>
  </si>
  <si>
    <t>UFV Vazante III</t>
  </si>
  <si>
    <t>BC Energia Vazante I.III</t>
  </si>
  <si>
    <t>UFV Vazante IV</t>
  </si>
  <si>
    <t>BC Energia Vazante II.IV</t>
  </si>
  <si>
    <t>BC Vazante II</t>
  </si>
  <si>
    <t>UFV Vazante V</t>
  </si>
  <si>
    <t>BC Energia Vazante II.V</t>
  </si>
  <si>
    <t>UFV Vazante VI</t>
  </si>
  <si>
    <t>BC Energia Vazante II.VI</t>
  </si>
  <si>
    <t>UFV Lençóis Paulista I</t>
  </si>
  <si>
    <t>BC Energia Lençois Paulista I</t>
  </si>
  <si>
    <t>UFV Araçu IX</t>
  </si>
  <si>
    <t>BC Energia Araçu V.IX</t>
  </si>
  <si>
    <t>BC Energia Araçu V</t>
  </si>
  <si>
    <t>UFV Araçu X</t>
  </si>
  <si>
    <t>BC Energia Araçu V.X</t>
  </si>
  <si>
    <t>UFV Araçu XI</t>
  </si>
  <si>
    <t>BC Energia Araçu V.XI</t>
  </si>
  <si>
    <t>UFV Araçu XII</t>
  </si>
  <si>
    <t>BC Energia Araçu V.XII</t>
  </si>
  <si>
    <t>UFV Araçu XIII</t>
  </si>
  <si>
    <t>BC Energia Araçu V.XIII</t>
  </si>
  <si>
    <t>UFV Turvânia I</t>
  </si>
  <si>
    <t>BC Energia Turvânia I.I</t>
  </si>
  <si>
    <t>BC Energia Turvânia</t>
  </si>
  <si>
    <t>UFV Turvânia II</t>
  </si>
  <si>
    <t>BC Energia Turvânia I.II</t>
  </si>
  <si>
    <t>UFV Turvânia III</t>
  </si>
  <si>
    <t>BC Energia Turvânia I.III</t>
  </si>
  <si>
    <t>UFV Turvânia IV</t>
  </si>
  <si>
    <t>BC Energia Turvânia I.IV</t>
  </si>
  <si>
    <t>UFV Turvânia V</t>
  </si>
  <si>
    <t>BC Energia Turvânia I.V</t>
  </si>
  <si>
    <t>UFV Formoso I</t>
  </si>
  <si>
    <t>BC Energia Formoso I.I</t>
  </si>
  <si>
    <t>BC Energia Formoso I</t>
  </si>
  <si>
    <t>UFV Formoso II</t>
  </si>
  <si>
    <t>BC Energia Formoso I.II</t>
  </si>
  <si>
    <t>UFV Formoso III</t>
  </si>
  <si>
    <t>BC Energia Formoso I.III</t>
  </si>
  <si>
    <t>UFV Formoso IV</t>
  </si>
  <si>
    <t>BC Energia Formoso II.I</t>
  </si>
  <si>
    <t>BC Energia Formoso II</t>
  </si>
  <si>
    <t>UFV Formoso V</t>
  </si>
  <si>
    <t>BC Energia Formoso II.II</t>
  </si>
  <si>
    <t>UFV Formoso VI</t>
  </si>
  <si>
    <t>BC Energia Formoso II.III</t>
  </si>
  <si>
    <t>UFV Araguatins I</t>
  </si>
  <si>
    <t>BC Energia Araguatins I.I</t>
  </si>
  <si>
    <t>BC Energia Araguatins I</t>
  </si>
  <si>
    <t>UFV Araguatins II</t>
  </si>
  <si>
    <t>BC Energia Araguatins I.II</t>
  </si>
  <si>
    <t>UFV Araguatins III</t>
  </si>
  <si>
    <t>BC Energia Araguatins I.III</t>
  </si>
  <si>
    <t>UFV Araguatins IV</t>
  </si>
  <si>
    <t>BC Energia Araguatins II.I</t>
  </si>
  <si>
    <t>BC Energia Araguatins II</t>
  </si>
  <si>
    <t>UFV Araguatins V</t>
  </si>
  <si>
    <t>BC Energia Araguatins II.II</t>
  </si>
  <si>
    <t>UFV Araguatins VI</t>
  </si>
  <si>
    <t>BC Energia Araguatins II.III</t>
  </si>
  <si>
    <t>UFV Ibiuna I</t>
  </si>
  <si>
    <t>BC Energia Ibiuna I.I</t>
  </si>
  <si>
    <t>BC Energia Ibiuna 1.1</t>
  </si>
  <si>
    <t>UFV Ibiuna II</t>
  </si>
  <si>
    <t>BC Energia Ibiuna I.II</t>
  </si>
  <si>
    <t>BC Energia Ibiuna 1.2</t>
  </si>
  <si>
    <t>Total</t>
  </si>
  <si>
    <t>UFV</t>
  </si>
  <si>
    <t>Tag</t>
  </si>
  <si>
    <t>Início Real do Evento</t>
  </si>
  <si>
    <t>Início</t>
  </si>
  <si>
    <t>Fim</t>
  </si>
  <si>
    <t>Duração</t>
  </si>
  <si>
    <t>Estado Operativo</t>
  </si>
  <si>
    <t>Condição Operativa</t>
  </si>
  <si>
    <t>Origem</t>
  </si>
  <si>
    <t>Equipamento</t>
  </si>
  <si>
    <t>Causa</t>
  </si>
  <si>
    <t>Causas Padrão</t>
  </si>
  <si>
    <t>Resolução</t>
  </si>
  <si>
    <t>Observação</t>
  </si>
  <si>
    <t>Concat - duplicata</t>
  </si>
  <si>
    <t>Combinação</t>
  </si>
  <si>
    <t>BC Aracu5.2</t>
  </si>
  <si>
    <t>Inverter(MBUS-1)</t>
  </si>
  <si>
    <t>DEM</t>
  </si>
  <si>
    <t>TRF</t>
  </si>
  <si>
    <t>Transformador</t>
  </si>
  <si>
    <t>Inversor 1 apresentou falha. Ao realizar a análise em campo, verificou-se curto circuito em uma das fases do trafo.</t>
  </si>
  <si>
    <t>Falha Inversor</t>
  </si>
  <si>
    <t>Prestador de Serviço O&amp;M</t>
  </si>
  <si>
    <t>Identificado no sistema desequilibrio de fase, ao fazer a inspeção o mantenedor identificou curto circuito no trafo, o mesmo fez as manobras e desenergizou a UFV. Transformador foi coletado e encaminhado para garantia. Após retorno de garantia, transformador foi instalado e comissionado novamente. A normalização da geração se deu em 16/03.</t>
  </si>
  <si>
    <t>BC Formoso2.1</t>
  </si>
  <si>
    <t>Inverter(MBUS-12)</t>
  </si>
  <si>
    <t>DAU</t>
  </si>
  <si>
    <t>RDE</t>
  </si>
  <si>
    <t>Queda de rede da concessionária.</t>
  </si>
  <si>
    <t>Falha Rede</t>
  </si>
  <si>
    <t>Distribuidora</t>
  </si>
  <si>
    <t>Devido a uma falha no nobreak, não foi possível a atuação do relé. Foi realizada uma inspeção visual, não sendo identificada nenhuma anomalia. Em seguida, foi efetuado o rearme da usina.</t>
  </si>
  <si>
    <t>Inverter(MBUS-14)</t>
  </si>
  <si>
    <t>Inverter(MBUS-13)</t>
  </si>
  <si>
    <t>BC Formoso2.2</t>
  </si>
  <si>
    <t>Após a realização de uma inspeção visual, não foram identificadas anomalias no sistema. Em seguida, foi efetuado o reset do relé, restabelecendo a operação normal da usina.</t>
  </si>
  <si>
    <t>SG60KTL</t>
  </si>
  <si>
    <t>LIG</t>
  </si>
  <si>
    <t>RFO</t>
  </si>
  <si>
    <t>INT</t>
  </si>
  <si>
    <t>Indisponibilidade de comunicação devido a problema no provedor de internet.</t>
  </si>
  <si>
    <t>Conexão c/ Internet</t>
  </si>
  <si>
    <t>Provedora de Internet</t>
  </si>
  <si>
    <t>Foi realizada inspeção visual no sistema, não sendo identificadas anomalias. Após a normalização do serviço de internet, a comunicação foi restabelecida e a usina voltou a operar normalmente.</t>
  </si>
  <si>
    <t>I</t>
  </si>
  <si>
    <t>G</t>
  </si>
  <si>
    <t>K</t>
  </si>
  <si>
    <t>H</t>
  </si>
  <si>
    <t>F</t>
  </si>
  <si>
    <t>D</t>
  </si>
  <si>
    <t>E</t>
  </si>
  <si>
    <t>C</t>
  </si>
  <si>
    <t>B</t>
  </si>
  <si>
    <t>A</t>
  </si>
  <si>
    <t>J</t>
  </si>
  <si>
    <t>BC Corumba2.2</t>
  </si>
  <si>
    <t>U02.I01</t>
  </si>
  <si>
    <t>Foi identificada instabilidade na comunicação do sistema.</t>
  </si>
  <si>
    <t>Falha Comunicação</t>
  </si>
  <si>
    <t>Auto-Restart</t>
  </si>
  <si>
    <t>A comunicação da UFV foi restabelecida automaticamente, retornando à operação normal.</t>
  </si>
  <si>
    <t>U02.I02</t>
  </si>
  <si>
    <t>U02.I03</t>
  </si>
  <si>
    <t>U02.I04</t>
  </si>
  <si>
    <t>U02.I05</t>
  </si>
  <si>
    <t>Na Usina 2.1, o relé de proteção atuou nas funções 59B (sobretensão) e 27A (subtensão), ocasionando a atuação do sistema de proteção.</t>
  </si>
  <si>
    <t>Realizada inspeção visual no sistema, sem identificação de anomalias. Posteriormente, foi efetuado o reset dos relés de proteção e o rearme da usina, normalizando sua operação.</t>
  </si>
  <si>
    <t>Na Usina 2.2, o relé de proteção atuou nas funções 59A (sobretensão) e 27C (subtensão), ocasionando a atuação do sistema de proteção.</t>
  </si>
  <si>
    <t>BC Panama1.1</t>
  </si>
  <si>
    <t>ITAPOAN 001 (COM1-001)_001_001</t>
  </si>
  <si>
    <t>Constatado que a chave geral do quadro de disjuntores estava desarmada.</t>
  </si>
  <si>
    <t>A chave geral foi rearmada, o inversor reiniciado e a geração normalizada.</t>
  </si>
  <si>
    <t>CEREAL_002</t>
  </si>
  <si>
    <t>ITAPOAN_003</t>
  </si>
  <si>
    <t>ARAGUATINS 1.1</t>
  </si>
  <si>
    <t>Queda de energia na UFV Araguatins, o relé de proteção atuou nas funções 86 e 67C, ocasionando a atuação do sistema de proteção.</t>
  </si>
  <si>
    <t>Inverter(MBUS-15)</t>
  </si>
  <si>
    <t>ARAGUATINS 1.2</t>
  </si>
  <si>
    <t>ARAGUATINS 1.3</t>
  </si>
  <si>
    <t>Inverter(MBUS-20)</t>
  </si>
  <si>
    <t>ARAGUATINS 2.1</t>
  </si>
  <si>
    <t>ARAGUATINS 2.2</t>
  </si>
  <si>
    <t>ARAGUATINS 2.3</t>
  </si>
  <si>
    <t>BC Turvania1.3</t>
  </si>
  <si>
    <t>STR</t>
  </si>
  <si>
    <t>Durante a inspeção, foi identificado módulo danificado em curto-circuito.</t>
  </si>
  <si>
    <t>Falha String</t>
  </si>
  <si>
    <t>Foi realizada inspeção no inversor GR2449002585, sendo identificado um módulo em curto na string 3.1 da Usina 3. A string permanecerá desativada até que seja realizada a substituição do módulo danificado. Após a intervenção, o inversor voltou a operar com comunicação normal.</t>
  </si>
  <si>
    <t>COM</t>
  </si>
  <si>
    <t>Foi identificada uma interrupção na comunicação com o Smart Logger.</t>
  </si>
  <si>
    <t>BC Aracu4</t>
  </si>
  <si>
    <t>SG75CX(COM1-018)_001_018</t>
  </si>
  <si>
    <t>Queda de energia na UFV Aracu, o relé de proteção atuou na função 86, ocasionando a atuação do sistema de proteção.</t>
  </si>
  <si>
    <t>SG75CX(COM1-019)_001_019</t>
  </si>
  <si>
    <t>SG75CX(COM1-020)_001_020</t>
  </si>
  <si>
    <t>SG75CX(COM1-021)_001_021</t>
  </si>
  <si>
    <t>BC Aracu5.1</t>
  </si>
  <si>
    <t>BC Aracu5.3</t>
  </si>
  <si>
    <t>BC Aracu5.4</t>
  </si>
  <si>
    <t>BC Aracu5.5</t>
  </si>
  <si>
    <t>BC Varjao2.1</t>
  </si>
  <si>
    <t>215KTL-H0(MBUS-12)</t>
  </si>
  <si>
    <t>Indisponibilidade de energia proveniente da concessionária.</t>
  </si>
  <si>
    <t>O fornecimento de energia foi restabelecido, normalizando a operação do sistema.</t>
  </si>
  <si>
    <t>215KTL-H0(MBUS-13)</t>
  </si>
  <si>
    <t>215KTL-H0(MBUS-14)</t>
  </si>
  <si>
    <t>215KTL-H0(MBUS-15)</t>
  </si>
  <si>
    <t>215KTL-H0(MBUS-16)</t>
  </si>
  <si>
    <t>BC Varjao2.2</t>
  </si>
  <si>
    <t>BC Varjao2.3</t>
  </si>
  <si>
    <t>100KTL-H1(MBUS-1)</t>
  </si>
  <si>
    <t>Queda de energia na UFV Aracu, o relé de proteção atuou na função 81, ocasionando a atuação do sistema de proteção.</t>
  </si>
  <si>
    <t>BC Panama1.2</t>
  </si>
  <si>
    <t>ART_004</t>
  </si>
  <si>
    <t>COOGED_005</t>
  </si>
  <si>
    <t>ART_006</t>
  </si>
  <si>
    <t>RADIO_007</t>
  </si>
  <si>
    <t>Queda de energia na UFV Araçu, o relé de proteção atuou nas funções 81 e 86, ocasionando a atuação do sistema de proteção.</t>
  </si>
  <si>
    <t>BC Vazante1.2</t>
  </si>
  <si>
    <t>Inverter 16</t>
  </si>
  <si>
    <t>Foi identificado no supervisório que o inversor 16 (A1912210182) encontra-se off-line, com alarme ativo de falta de energia na rede.</t>
  </si>
  <si>
    <t>Foi realizado o rearme do disjuntor, normalizando a geração do inversor.</t>
  </si>
  <si>
    <t xml:space="preserve">Queda de energia na UFV Araguatins, o relé de proteção atuou nas funções 86 e 67C, ocasionando a atuação do sistema de proteção.  </t>
  </si>
  <si>
    <t xml:space="preserve">Queda de energia na UFV Formoso, o relé de proteção atuou na função 27ABC, ocasionando a atuação do sistema de proteção.  </t>
  </si>
  <si>
    <t>BC Formoso2.3</t>
  </si>
  <si>
    <t xml:space="preserve">Queda de energia na UFV Araguatins, o relé de proteção atuou nas funções 50N e 27C e 67C, ocasionando a atuação do sistema de proteção.  </t>
  </si>
  <si>
    <t>Distribuídora</t>
  </si>
  <si>
    <t>BC Aracu2</t>
  </si>
  <si>
    <t>araçu 2.1 inversor 1</t>
  </si>
  <si>
    <t>BC Corumba1.1</t>
  </si>
  <si>
    <t>U01.I04</t>
  </si>
  <si>
    <t>Por volta das 08h, observou-se que a UFV 1.2 não apresentava geração, enquanto a UFV 1.1 operava parcialmente. A ocorrência foi causada por furto de cabos em algumas caixas de passagem. Após inspeção no local, confirmou-se a subtração de cabos CC no interior dessas caixas.</t>
  </si>
  <si>
    <t>Furto</t>
  </si>
  <si>
    <t>Manutenção Corretiva</t>
  </si>
  <si>
    <t>Por volta das 08h, observou-se que a UFV Corumbá 2.2 apresentou uma falha de comunicação pontual, com normalização às 16h. Em relação à UFV Corumbá 1.2, constatou-se a ocorrência de furto de cabos, permanecendo inoperante até o momento. A UFV Corumbá 1.1 opera parcialmente, visto que também houve subtração de cabeamento em algumas caixas de passagem. Assim que a interrupção da geração foi identificada, foi realizada uma inspeção no local, ocasião em que o crime foi confirmado. O supervisor responsável foi prontamente acionado e compareceu à planta para realizar o levantamento dos materiais subtraídos. As autoridades competentes foram notificadas por meio de Boletim de Ocorrência. No período da tarde, a Patrulha Rural realizou vistoria no local, seguida pela perícia da Polícia Científica. A equipe de O&amp;M já concluiu o levantamento dos danos e encontra-se atuando na recuperação dos ativos, com o objetivo de restabelecer a operação total da usina.</t>
  </si>
  <si>
    <t>U01.I05</t>
  </si>
  <si>
    <t>BC Corumba1.2</t>
  </si>
  <si>
    <t>BC Ibiuna 1.1</t>
  </si>
  <si>
    <t xml:space="preserve">Queda de energia na UFV Ibiuna, o relé de proteção atuou nas função 27B, ocasionando a atuação do sistema de proteção.  </t>
  </si>
  <si>
    <t>BC Ibiuna 1.2</t>
  </si>
  <si>
    <t>INV</t>
  </si>
  <si>
    <t>Foi identificado curto-circuito na seccionadora ABB do inversor 12. O inversor permanece sem geração até a substituição da seccionadora</t>
  </si>
  <si>
    <t>Realizada inspeção visual no sistema, realizada substituição da chave seccionadora. Posteriormente, foi efetuado o reset dos relés de proteção e o rearme da usina, normalizando sua operação.</t>
  </si>
  <si>
    <t xml:space="preserve">Queda de energia na UFV Aracu, o relé de proteção atuou nas função 81 e 86, ocasionando a atuação do sistema de proteção.  </t>
  </si>
  <si>
    <t>BC Camarao1.1</t>
  </si>
  <si>
    <t xml:space="preserve">Queda de energia na UFV Aracu, o relé de proteção atuou nas função 47, ocasionando a atuação do sistema de proteção.  </t>
  </si>
  <si>
    <t>215KTL-H3(MBUS-12)</t>
  </si>
  <si>
    <t>215KTL-H3(MBUS-13)</t>
  </si>
  <si>
    <t>215KTL-H3(MBUS-16)</t>
  </si>
  <si>
    <t>215KTL-H3(MBUS-15)</t>
  </si>
  <si>
    <t>BC Camarao1.3</t>
  </si>
  <si>
    <t>215KTL-H3(MBUS-14)</t>
  </si>
  <si>
    <t xml:space="preserve">Queda de energia na UFV Ibiuna, o relé de proteção atuou na função 86, ocasionando a atuação do sistema de proteção.  </t>
  </si>
  <si>
    <t>O cliente 3 apresentou desligamento dos inversores devido à atuação do relé de proteção, que não registrou nenhum código de segurança.</t>
  </si>
  <si>
    <t>BC Vazante1.3</t>
  </si>
  <si>
    <t>Inversor 1</t>
  </si>
  <si>
    <t>BC Camarao1.2</t>
  </si>
  <si>
    <t>Inv. 3</t>
  </si>
  <si>
    <t>Inv. 4</t>
  </si>
  <si>
    <t>Inverter(MBUS-16)</t>
  </si>
  <si>
    <t>BC Camarao1.4</t>
  </si>
  <si>
    <t>INV-6T22A9041381</t>
  </si>
  <si>
    <t>BC Paranoa</t>
  </si>
  <si>
    <t>SG60KTL(COM1-014)_001_013</t>
  </si>
  <si>
    <t>SG60KTL(COM1-013)_001_010</t>
  </si>
  <si>
    <t>SG60KTL(COM1-012)_001_011</t>
  </si>
  <si>
    <t>SG60KTL(COM1-011)_001_005</t>
  </si>
  <si>
    <t>SG60KTL(COM1-010)_001_003</t>
  </si>
  <si>
    <t>SG60KTL(COM1-018)_001_012</t>
  </si>
  <si>
    <t>SG60KTL(COM1-017)_001_007</t>
  </si>
  <si>
    <t>SG60KTL(COM1-016)_001_006</t>
  </si>
  <si>
    <t>SG50CX(COM2-015)_001_017</t>
  </si>
  <si>
    <t>SG60KTL(COM1-009)_001_002</t>
  </si>
  <si>
    <t>SG60KTL(COM1-008)_001_009</t>
  </si>
  <si>
    <t>SG60KTL(COM1-007)_001_004</t>
  </si>
  <si>
    <t>SG60KTL(COM1-006)_001_014</t>
  </si>
  <si>
    <t>SG40CX(COM2-005)_001_015</t>
  </si>
  <si>
    <t>SG60KTL(COM1-019)_002_007</t>
  </si>
  <si>
    <t>SG60KTL(COM1-020)_002_011</t>
  </si>
  <si>
    <t>SG60KTL(COM1-021)_002_017</t>
  </si>
  <si>
    <t>SG60KTL(COM1-022)_002_020</t>
  </si>
  <si>
    <t>SG40CX(COM2-023)_002_024</t>
  </si>
  <si>
    <t>SG40CX(COM2-024)_002_022</t>
  </si>
  <si>
    <t>SG60KTL(COM1-007)_002_013</t>
  </si>
  <si>
    <t>SG60KTL(COM1-008)_002_002</t>
  </si>
  <si>
    <t>SG60KTL(COM1-009)_002_008</t>
  </si>
  <si>
    <t>SG60KTL(COM1-010)_002_003</t>
  </si>
  <si>
    <t>SG60KTL(COM1-011)_002_010</t>
  </si>
  <si>
    <t>SG60KTL(COM1-012)_002_005</t>
  </si>
  <si>
    <t>SG60KTL(COM1-001)_002_006</t>
  </si>
  <si>
    <t>SG60KTL(COM1-002)_002_016</t>
  </si>
  <si>
    <t>SG50CX(COM2-003)_002_021</t>
  </si>
  <si>
    <t>SG50CX(COM2-004)_002_023</t>
  </si>
  <si>
    <t>SG60KTL(COM1-005)_002_009</t>
  </si>
  <si>
    <t>SG60KTL(COM1-006)_002_001</t>
  </si>
  <si>
    <t>SG60KTL(COM1-013)_002_004</t>
  </si>
  <si>
    <t>SG60KTL(COM1-014)_002_019</t>
  </si>
  <si>
    <t>SG60KTL(COM1-015)_002_018</t>
  </si>
  <si>
    <t>SG60KTL(COM1-016)_002_014</t>
  </si>
  <si>
    <t>SG60KTL(COM1-017)_002_015</t>
  </si>
  <si>
    <t>SG60KTL(COM1-018)_002_012</t>
  </si>
  <si>
    <t>SG50CX(COM2-004)_001_018</t>
  </si>
  <si>
    <t>SG50CX(COM2-003)_001_016</t>
  </si>
  <si>
    <t>SG60KTL(COM1-002)_001_008</t>
  </si>
  <si>
    <t xml:space="preserve">Queda de energia na UFV Formoso, o relé de proteção atuou nas função 59N, ocasionando a atuação do sistema de proteção.  </t>
  </si>
  <si>
    <t>Identificado fusível queimado na seccionadora do Cliente 01.</t>
  </si>
  <si>
    <t>Foi realizada inspeção nos componentes do inversor 6T22A9041399, sendo constatado que um dos fusíveis da seccionadora estava queimado. O fusível foi substituído e, após a intervenção, a geração do inversor foi restabelecida, voltando à operação normal.</t>
  </si>
  <si>
    <t>SUN2000-215KTL-H3</t>
  </si>
  <si>
    <t xml:space="preserve">Queda de energia na UFV Formoso, o relé de proteção atuou nas funções 59N, ocasionando a atuação do sistema de proteção.  </t>
  </si>
  <si>
    <t>Na Usina 2.2, o relé de proteção atuou na função 27C (subtensão), ocasionando a atuação do sistema de proteção.</t>
  </si>
  <si>
    <t xml:space="preserve">Queda de energia na UFV Aracu, o relé de proteção atuou nas funções 27ABC e 86, ocasionando a atuação do sistema de proteção.  </t>
  </si>
  <si>
    <t>BC Lencois Paulista</t>
  </si>
  <si>
    <t xml:space="preserve">Queda de energia na UFV Lençois Paulista, o relé de proteção atuou na função 47, ocasionando a atuação do sistema de proteção.  </t>
  </si>
  <si>
    <t>BC Clareira1.1</t>
  </si>
  <si>
    <t>No supervisório, foi identificado que os inversores encontram-se sem comunicação (off-line).</t>
  </si>
  <si>
    <t>BC Clareira1.2</t>
  </si>
  <si>
    <t>100KTL-H1(MBUS-14)</t>
  </si>
  <si>
    <t>O sistema Smart Logger passou por uma reinicialização e a comunicação da UFV foi restabelecida, retornando à operação normal.</t>
  </si>
  <si>
    <t>Função 81 e 86 atuadas no relé de proteção.</t>
  </si>
  <si>
    <t>Função 86 atuadas no relé de proteção.</t>
  </si>
  <si>
    <t>Queda de rede da concessionária nessa quadra.</t>
  </si>
  <si>
    <t>Foi realizada inspeção visual no sistema, não sendo identificadas anomalias. Após a normalização da rede da concessionária, a usina voltou a operar normalmente.</t>
  </si>
  <si>
    <t>Realizada inspeção visual no sistema, não sendo identificadas anomalias. Após a normalização da rede da concessionária, a usina voltou a operar normalmente.</t>
  </si>
  <si>
    <t xml:space="preserve">Queda de energia na UFV Ibiuna, o relé de proteção atuou nas função 67B e 86, ocasionando a atuação do sistema de proteção.  </t>
  </si>
  <si>
    <t xml:space="preserve">Queda de energia na UFV Aracu, o relé de proteção atuou nas função 67B e 86, ocasionando a atuação do sistema de proteção.  </t>
  </si>
  <si>
    <t>BC Caiaponia1</t>
  </si>
  <si>
    <t>SG60KTL(COM1-001)_001_007</t>
  </si>
  <si>
    <t xml:space="preserve">Queda de energia na UFV Caiaponia, o relé de proteção atuou nas função 27ABC, ocasionando a atuação do sistema de proteção.  </t>
  </si>
  <si>
    <t>SG60KTL(COM1-002)_001_010</t>
  </si>
  <si>
    <t>SG60KTL(COM1-003)_001_011</t>
  </si>
  <si>
    <t>SG60KTL(COM1-004)_001_014</t>
  </si>
  <si>
    <t>SG60KTL(COM1-005)_001_017</t>
  </si>
  <si>
    <t>SG60KTL(COM1-006)_001_016</t>
  </si>
  <si>
    <t>SG60KTL(COM1-007)_001_013</t>
  </si>
  <si>
    <t>SG60KTL(COM1-008)_001_001</t>
  </si>
  <si>
    <t>SG60KTL(COM1-009)</t>
  </si>
  <si>
    <t>SG60KTL(COM1-010)</t>
  </si>
  <si>
    <t>SG60KTL(COM1-011)</t>
  </si>
  <si>
    <t>SG60KTL(COM1-012)</t>
  </si>
  <si>
    <t>SG60KTL(COM1-013)</t>
  </si>
  <si>
    <t>SG60KTL(COM1-014)</t>
  </si>
  <si>
    <t>SG60KTL(COM1-015)</t>
  </si>
  <si>
    <t>SG60KTL(COM3-016)_001_009</t>
  </si>
  <si>
    <t>SG60KTL(COM3-017)_001_012</t>
  </si>
  <si>
    <t>SG60KTL(COM3-018)_001_008</t>
  </si>
  <si>
    <t>SG60KTL(COM3-019)_001_019</t>
  </si>
  <si>
    <t>SG60KTL(COM3-020)_001_020</t>
  </si>
  <si>
    <t>SG60KTL(COM2-026)</t>
  </si>
  <si>
    <t>SG60KTL(COM2-027)</t>
  </si>
  <si>
    <t>SG60KTL(COM2-028)</t>
  </si>
  <si>
    <t>SG60KTL(COM2-029)</t>
  </si>
  <si>
    <t>SG50CX(COM1-021)</t>
  </si>
  <si>
    <t>SG50CX(COM1-022)</t>
  </si>
  <si>
    <t>SG50CX(COM1-023)</t>
  </si>
  <si>
    <t>SG50CX(COM1-024)</t>
  </si>
  <si>
    <t>SG50CX(COM1-025)</t>
  </si>
  <si>
    <t>BC Caiaponia2.1</t>
  </si>
  <si>
    <t xml:space="preserve">Queda de energia na UFV Araguatins, o relé de proteção atuou nas funções 47A, ocasionando a atuação do sistema de proteção.  </t>
  </si>
  <si>
    <t xml:space="preserve">Queda de energia na UFV Araguatins, o relé de proteção atuou nas funções 27A, ocasionando a atuação do sistema de proteção.  </t>
  </si>
  <si>
    <t xml:space="preserve">Queda de energia na UFV Paranoa, o relé de proteção atuou nas funções 27C e 86, ocasionando a atuação do sistema de proteção.  </t>
  </si>
  <si>
    <t xml:space="preserve">Queda de energia na UFV Ibiuna, o relé de proteção atuou nas funções 27B e 86, ocasionando a atuação do sistema de proteção.  </t>
  </si>
  <si>
    <t xml:space="preserve">Queda de energia na UFV Araguatins, o relé de proteção atuou nas funções 50N e 86, ocasionando a atuação do sistema de proteção.  </t>
  </si>
  <si>
    <t xml:space="preserve">Queda de energia na UFV Araguatins, o relé de proteção atuou nas funções 50N, 51N e 86, ocasionando a atuação do sistema de proteção.  </t>
  </si>
  <si>
    <t xml:space="preserve">Queda de energia na UFV Paranoa, o relé de proteção atuou nas funções 67, ocasionando a atuação do sistema de proteção.  </t>
  </si>
  <si>
    <t>BC Rio Bonito1</t>
  </si>
  <si>
    <t>SG36KTL-M-17_001_017</t>
  </si>
  <si>
    <t>DMT</t>
  </si>
  <si>
    <t>Foi identificado curto-circuito no painel de controle, causando o trip do disjuntor sem acionamento de alarme nas plataformas.</t>
  </si>
  <si>
    <t>Identif. O&amp;M</t>
  </si>
  <si>
    <t>Foi realizada a inspeção em todos os inversores, bem como no QGBT geral. Também foi efetuada a limpeza do QGBT geral e realizados testes em todos os disjuntores (DJs). Adicionalmente, foram substituídos os dispositivos de proteção contra surtos (DPS). Ao final das atividades, o sistema foi restabelecido e colocado em operação (geração).</t>
  </si>
  <si>
    <t>SG60KTL-10_001_010</t>
  </si>
  <si>
    <t>SG60KTL-11_001_011</t>
  </si>
  <si>
    <t>SG60KTL-12_001_012</t>
  </si>
  <si>
    <t>SG60KTL-13_001_013</t>
  </si>
  <si>
    <t>SG60KTL-14_001_014</t>
  </si>
  <si>
    <t>SG60KTL-15_001_015</t>
  </si>
  <si>
    <t>SG60KTL-16_001_016</t>
  </si>
  <si>
    <t>SG60KTL-1_001_001</t>
  </si>
  <si>
    <t>SG60KTL-2_001_002</t>
  </si>
  <si>
    <t>SG60KTL-3_001_003</t>
  </si>
  <si>
    <t>SG60KTL-4_001_004</t>
  </si>
  <si>
    <t>SG60KTL-5_001_005</t>
  </si>
  <si>
    <t>SG60KTL-6_001_006</t>
  </si>
  <si>
    <t>SG60KTL-7_001_007</t>
  </si>
  <si>
    <t>SG60KTL-8_001_008</t>
  </si>
  <si>
    <t>SG60KTL-9_001_009</t>
  </si>
  <si>
    <t>Foi identificada uma interrupção na comunicação</t>
  </si>
  <si>
    <t xml:space="preserve">Queda de energia na UFV Ibiuna, o relé de proteção atuou nas funções 67A e 86, ocasionando a atuação do sistema de proteção.  </t>
  </si>
  <si>
    <t>BC Camarao1.5</t>
  </si>
  <si>
    <t>215KTL-H3(MBUS-1)</t>
  </si>
  <si>
    <t xml:space="preserve">Queda de energia na UFV Araguatins, o relé de proteção atuou nas funções 47 e 86, ocasionando a atuação do sistema de proteção.  </t>
  </si>
  <si>
    <t xml:space="preserve">Queda de energia na UFV Paranoa, o relé de proteção atuou nas funções 67C, ocasionando a atuação do sistema de proteção.  </t>
  </si>
  <si>
    <t>Foi identificado que o modem não está enviando sinal, embora a usina esteja gerando normalmente.</t>
  </si>
  <si>
    <t>A energia foi restabelecida pela concessionária, e a UFV normalizou automaticamente, sem necessidade de intervenção técnica.</t>
  </si>
  <si>
    <t xml:space="preserve">Queda de energia na UFV Paranoa, o relé de proteção atuou na função 50C, ocasionando a atuação do sistema de proteção.  </t>
  </si>
  <si>
    <t xml:space="preserve">Queda de energia na UFV Araguatins, o relé de proteção atuou nas funções 67 e 86, ocasionando a atuação do sistema de proteção.  </t>
  </si>
  <si>
    <t xml:space="preserve">Queda de energia na UFV Araguatins, o relé de proteção atuou nas funções 67C e 86, ocasionando a atuação do sistema de proteção.  </t>
  </si>
  <si>
    <t xml:space="preserve">Queda de energia na UFV Ibiuna, o relé de proteção atuou nas funções 67B e 86, ocasionando a atuação do sistema de proteção.  </t>
  </si>
  <si>
    <t>BC Barra1</t>
  </si>
  <si>
    <t>Inverter__5</t>
  </si>
  <si>
    <t>Foi indentificado no supervisório que o inversor 1, esta off-line</t>
  </si>
  <si>
    <t>O inversor foi reiniciado e voltou a operar normalmente.</t>
  </si>
  <si>
    <t>Foi realizado manutenções nos inversores e QGBT. Após a ação, a usina voltou à operação normal.</t>
  </si>
  <si>
    <t>Foram abertos 03 chamados na concessionária de energia e mantenedor segue acompanhando. 468276028, 468276138, 468276223</t>
  </si>
  <si>
    <t>BC Corumba2.3</t>
  </si>
  <si>
    <t>U03.I03</t>
  </si>
  <si>
    <t>Foi feito inspeção nos inversores e religado o disjuntor geral</t>
  </si>
  <si>
    <t>Queda de rede da concessionária</t>
  </si>
  <si>
    <t xml:space="preserve">Falha de comunicação </t>
  </si>
  <si>
    <t>Comunicação reestabeleceu sozinha</t>
  </si>
  <si>
    <t>Função 81 e 86 atuada no relé.</t>
  </si>
  <si>
    <t xml:space="preserve">Foi feito a inspeção na subestaçao, resetado o relé e rearmado o disjuntor </t>
  </si>
  <si>
    <t>BC Aracu1</t>
  </si>
  <si>
    <t>Inverter71</t>
  </si>
  <si>
    <t>Inverter72</t>
  </si>
  <si>
    <t>Inverter73</t>
  </si>
  <si>
    <t>Inverter74</t>
  </si>
  <si>
    <t>Inverter75</t>
  </si>
  <si>
    <t>Inverter76</t>
  </si>
  <si>
    <t>Inverter77</t>
  </si>
  <si>
    <t>araçu 2.1 inversor 2</t>
  </si>
  <si>
    <t>araçu 2.1 inversor 3</t>
  </si>
  <si>
    <t>araçu 2.2 inversor 1</t>
  </si>
  <si>
    <t>araçu 2.2 inversor 2</t>
  </si>
  <si>
    <t>araçu 2.2 inversor 3</t>
  </si>
  <si>
    <t>Inverter83</t>
  </si>
  <si>
    <t>araçu 2.3 inversor 5</t>
  </si>
  <si>
    <t>araçu 2.3 inversor 1</t>
  </si>
  <si>
    <t>araçu 2.3 inversor 2</t>
  </si>
  <si>
    <t>araçu 2.3 inversor 4</t>
  </si>
  <si>
    <t>araçu 2.3 inversor 3</t>
  </si>
  <si>
    <t>araçu 2.4 inversor 3</t>
  </si>
  <si>
    <t>araçu 2.4 inversor 1</t>
  </si>
  <si>
    <t>araçu 2.4 inversor 6</t>
  </si>
  <si>
    <t>araçu 2.4 inversor 4</t>
  </si>
  <si>
    <t>araçu 2.4 inversor 2</t>
  </si>
  <si>
    <t>araçu 2.4 inversor 5</t>
  </si>
  <si>
    <t>BC Aracu3</t>
  </si>
  <si>
    <t>Inverter4</t>
  </si>
  <si>
    <t>Inverter3</t>
  </si>
  <si>
    <t>Inverter1</t>
  </si>
  <si>
    <t>Inverter2</t>
  </si>
  <si>
    <t>BC Vazante2.3</t>
  </si>
  <si>
    <t>Inverter(MBUS-11)</t>
  </si>
  <si>
    <t>Falha de comunicação, conversor de mídia queimado.</t>
  </si>
  <si>
    <t>Usina gerando normalmente, porém ao realizar a inspeção foi identificado que o conversor de mídea estava danificado. Foi realizado o pedido, aguardando a aquisição para substituição</t>
  </si>
  <si>
    <t>Falta de energia na UFV Araguatins. Relé atuando na Função 67ABC e 86B.</t>
  </si>
  <si>
    <t xml:space="preserve">Inspecionado todo complexo, não havia nenhuma anomalia foi realizado reset em os relé e rearmado os disjuntores </t>
  </si>
  <si>
    <t>Foi feito reset nos relés e fechado disjuntores</t>
  </si>
  <si>
    <t xml:space="preserve">Foi feito uma inspeçao na subestaçao, resetado o relé e rearmado o disjuntor </t>
  </si>
  <si>
    <t>Função 27ABC atuada no relé.</t>
  </si>
  <si>
    <t>Função 86B atuada no relé.</t>
  </si>
  <si>
    <t>BC Caiaponia2.2</t>
  </si>
  <si>
    <t>BC Caiaponia2.3</t>
  </si>
  <si>
    <t>BC Rio Monte1</t>
  </si>
  <si>
    <t>Inverter35</t>
  </si>
  <si>
    <t>Foi feito inspeção em campo e fechado religador</t>
  </si>
  <si>
    <t>Inverter40</t>
  </si>
  <si>
    <t>Inverter42</t>
  </si>
  <si>
    <t>Inverter41</t>
  </si>
  <si>
    <t>Inverter44</t>
  </si>
  <si>
    <t>Inverter43</t>
  </si>
  <si>
    <t>Inverter45</t>
  </si>
  <si>
    <t>Inverter34</t>
  </si>
  <si>
    <t>Inverter37</t>
  </si>
  <si>
    <t>Inverter33</t>
  </si>
  <si>
    <t>Inverter29</t>
  </si>
  <si>
    <t>Inverter36</t>
  </si>
  <si>
    <t>Inverter39</t>
  </si>
  <si>
    <t>Inverter31</t>
  </si>
  <si>
    <t>Inverter30</t>
  </si>
  <si>
    <t>Inverter38</t>
  </si>
  <si>
    <t>Inverter32</t>
  </si>
  <si>
    <t>Falha de comunicação</t>
  </si>
  <si>
    <t>Reiniciado smart logger e a comunicação retornou</t>
  </si>
  <si>
    <t>Relé de proteção atuou na função 27 B</t>
  </si>
  <si>
    <t xml:space="preserve">Foi feita uma inspeção visual, logo após foi feito o reset do relé e reamado o disjuntor </t>
  </si>
  <si>
    <t>U03.I01</t>
  </si>
  <si>
    <t>Fonte do conversor de mídea queimada</t>
  </si>
  <si>
    <t>Durante a verificação foi constatado que a UFV estava gerando, apenas a fonte do conversor de mídea estava queimada, realizei a substituição</t>
  </si>
  <si>
    <t>U03.I02</t>
  </si>
  <si>
    <t>BC Vazante 1.1</t>
  </si>
  <si>
    <t>Inverter13</t>
  </si>
  <si>
    <t>Trip no disjuntor.</t>
  </si>
  <si>
    <t>Foi trocado o disjuntor do inversor 13 com o inversor 12, para avaliação se o problema do inversor 13 era disjuntor. Após isto, usina foi normalizada.</t>
  </si>
  <si>
    <t>Desligamento programado CPFL, para manutenção na Rede</t>
  </si>
  <si>
    <t>Manutenção geral na região. Troca do transformador. Apos a manutenção da concessionaria foi rearmado o complexo</t>
  </si>
  <si>
    <t>Resetado o sistema de comunicação</t>
  </si>
  <si>
    <t>BC Vazante2.2</t>
  </si>
  <si>
    <t>Inversor 6T2499045588 apresentou falha 2033 - subtensão da rede elétrica. Apesar dos inversores vizinhos estarem operando normalmente.</t>
  </si>
  <si>
    <t>Foi realizado verificação das strings e fusíveis. Não foram identificados problemas físicos. Foi realizado o acionamento do fabricante - e estão sendo realizados os de testes solicitados.</t>
  </si>
  <si>
    <t>Inverter12</t>
  </si>
  <si>
    <t>Trip no disjuntor</t>
  </si>
  <si>
    <t>Foi realizada uma inspeção e não identificado anomalias. O disjuntor foi rearmado e a geração no inversor normalizada. Como o disjuntor havia sido trocado com o disjuntor BT do inversor 13, constatou-se a necessidade de substituição dele. O disjuntor será adquirido e será programada a substituição.</t>
  </si>
  <si>
    <t>Relé de proteção atuou na função 27 ABC</t>
  </si>
  <si>
    <t>Foi feito inspeção em todo complexo, checado nível de tensão e resetado relé e rearmado os disjuntores.</t>
  </si>
  <si>
    <t xml:space="preserve">Relé atuado por 47e 86 na fase AB </t>
  </si>
  <si>
    <t>Erro de conexão no Smartlogger</t>
  </si>
  <si>
    <t xml:space="preserve">Falta de energia na UFV Araguatins 01 disjuntor desarmado, sem alarme no relé </t>
  </si>
  <si>
    <t>Queda de rede da concessionária, Falha 27ABC no relé</t>
  </si>
  <si>
    <t>Auto-restart.</t>
  </si>
  <si>
    <t>Foi feito inspeção em todo complexo, checado nível de tensão e realizado a manobra de normalização da geração.</t>
  </si>
  <si>
    <t>Realizada a abertura de chamados com a CEMIG. Foi feito inspeção em todo complexo, checado nível de tensão e realizado a manobra de normalização da geração.</t>
  </si>
  <si>
    <t>Inversor 12, trip do disjuntor.</t>
  </si>
  <si>
    <t>Função 47 atuada no relé.</t>
  </si>
  <si>
    <t>Falha atuada no relé: 50N e 86Q.</t>
  </si>
  <si>
    <t>Baixa impedância de isolamento.</t>
  </si>
  <si>
    <t>Foi feito inspeção, nos componentes relacionados ao inversor. Houve uma falha mas o inversor voltou à operação normal, por si só.</t>
  </si>
  <si>
    <t>Disjuntor geral desarmado, sem alarme no Relé</t>
  </si>
  <si>
    <t>Função 86 nas três fases atuada no relé.</t>
  </si>
  <si>
    <t>Função 86 fase B atuada no relé.</t>
  </si>
  <si>
    <t>BC Rio Bonito2</t>
  </si>
  <si>
    <t>INV-001</t>
  </si>
  <si>
    <t>Configuração do sistema de comunicação</t>
  </si>
  <si>
    <t>Configurado sistema de comunicação</t>
  </si>
  <si>
    <t>INV-002</t>
  </si>
  <si>
    <t>INV-003</t>
  </si>
  <si>
    <t>INV-004</t>
  </si>
  <si>
    <t>Queda da rede da concessionária, religador aberto.</t>
  </si>
  <si>
    <t>Queda da rede da concessionária, disjuntor geral aberto.</t>
  </si>
  <si>
    <t>Após a retirada das strings que estavam em curto, foi realizado os testes e normalizado o inversor que segue operando sem anomalia. As strings serão reconectadas após realização de correção das strings.</t>
  </si>
  <si>
    <t>Comunicação</t>
  </si>
  <si>
    <t>Inversor</t>
  </si>
  <si>
    <t>Inversor acusou falha de baixa impedância de isolamento, inicialmente, precedida das falhas de falha de energia de rede elétrica (indicando desligamento do inversor) e entrada DC é anormal (indicando anormalidade em algum componente CC). Durante inspeção em campo foi identificado que três strings do inversor estavam em curto.</t>
  </si>
  <si>
    <t>Foi normalizado por si só.</t>
  </si>
  <si>
    <t>String</t>
  </si>
  <si>
    <t>Inversor acusou falha de baixa impedância de isolamento, inicialmente, precedida das falhas de falha de energia de rede elétrica (indicando desligamento do inversor) e entrada DC é anormal (indicando anormalidade em algum componente CC). Durante inspeção em campo foi identificado que três strings do inversor estavam em curto. Strings ainda estão fora de operação.</t>
  </si>
  <si>
    <t>Rede</t>
  </si>
  <si>
    <t>Falha de comunicação no Smart Logger</t>
  </si>
  <si>
    <t xml:space="preserve">Inspecionado todo complexo, não foi identificado nenhuma anomalia, foi rearmado o disjuntor </t>
  </si>
  <si>
    <t>Troca em Garantia</t>
  </si>
  <si>
    <t>Aguardando a garantia para efetuar a reposição do inversor</t>
  </si>
  <si>
    <t>Manutenção</t>
  </si>
  <si>
    <t>Feita a manutenção do curto circuito. Inspecionado todo o complexo, tirado a oscilografia do relé de proteção.</t>
  </si>
  <si>
    <t>Queda de rede, sem função ativa no relé de proteção. Alarme 2032, indicando que a rede elétrica sofre uma interrupção ou o circuito CA está desconectado ou o disjuntor CA está desligado.</t>
  </si>
  <si>
    <t>Feito uma avaliação em todo o complexo, e identificado que o problema estava relacionado a comunicação. Após reiniciar o sistema, os inversores voltaram a comunicar no supervisorio</t>
  </si>
  <si>
    <t>BC Varjao1.3</t>
  </si>
  <si>
    <t xml:space="preserve">Inversor com alarme acionado (2064), oscilando geração e não atinge potência nominal. Em tratativa sob o chamado 15218400. A Equipe de O&amp;M está aguardando a emissão de notas de remessa pendentes para a huawei, com mais de 100 dias de atraso. Por conta dos atrasos, a huawei responde que "Em caso da falta de retorno das peças defeituosas em 30 dias o cliente estará sujeito a suspensão do envio de novas peças em garantias futuras. Caso o equipamento não seja devolvido dentro deste período, a Huawei reserva-se o direito de cobrar o preço de compra do produto / peças fornecido, degradar o SLA ou até mesmo parar com o envio de peças sobressalentes.". </t>
  </si>
  <si>
    <t>Desarme, sem nenhuma função ativa no relé de proteção. Identificado curto circuito na regua do borne do circuito de iluminação.</t>
  </si>
  <si>
    <t>Foi identificado que o supervisório e as câmeras estão funcionando parcialmente, câmeras ativas 2-6-10</t>
  </si>
  <si>
    <t xml:space="preserve"> Foi feito uma inspeçao no CFTV no roteador e no suite, foi constatado problema de comunicação - queda de internet </t>
  </si>
  <si>
    <t>Manutenção Preventiva</t>
  </si>
  <si>
    <t>Foi realizado limpeza nos coolers e nos inversores</t>
  </si>
  <si>
    <t>Internet</t>
  </si>
  <si>
    <t>Foi identificado no supervisório que todos as câmeras e inversores estão Off-line</t>
  </si>
  <si>
    <t xml:space="preserve">Normalizou sozinho com o retorno da energia </t>
  </si>
  <si>
    <t>DPR</t>
  </si>
  <si>
    <t>Desligamento programado para manutenção preventiva nos inversores.</t>
  </si>
  <si>
    <t>Relé atuado na função 59</t>
  </si>
  <si>
    <t>Disjuntor geral do cubículo foi desarmado após uma queda de energia.</t>
  </si>
  <si>
    <t>Foi aberto um chamado junto à concessionária. Após o restabelecimento da energia, foi realizada a inspeção de todo o complexo, com verificação dos níveis de tensão, reset do relé e rearme dos disjuntores.</t>
  </si>
  <si>
    <t>Falta de energia na UFV.</t>
  </si>
  <si>
    <t>Relé atuado na função 47A, 81 e 86</t>
  </si>
  <si>
    <t>Relé atuado na função 27AB, 47A, 86Q, 67C</t>
  </si>
  <si>
    <t>Os inversores foram desligados para a limpeza dos coolers e dos próprios inversores</t>
  </si>
  <si>
    <t>Foi feito inspeções nos componentes relacionados a geração, e foi constatado que houve somente falha de comunicação</t>
  </si>
  <si>
    <t>Desligamento programado</t>
  </si>
  <si>
    <t>Falha de comunicação com o logger da usina.</t>
  </si>
  <si>
    <t>Relé atuado na função 81 e 86</t>
  </si>
  <si>
    <t>Foi realizado os seguintes serviços: Inspeção no componentes de conexão; Torquiamento em todos os parafusos de conexão; Limpeza da cabine de média tensão.
Após procedimentos a UFV foi ligada e segue operando normalmente.</t>
  </si>
  <si>
    <t>Queda da rede da concessionária.</t>
  </si>
  <si>
    <t>Foi realizado a configuração das antenas e postes e realinhamento</t>
  </si>
  <si>
    <t>Identificado queda de rede - Falha 10. Foi feito a inspeção no inversor, e no QGBT, o mesmo foi religado e voltou a operar normalmente.</t>
  </si>
  <si>
    <t>Foi identificado no supervisório que o inversor 32 está off-line, falha 02 (Sobretensão de Rede).</t>
  </si>
  <si>
    <t>Após várias visitas da equatorial, foi reestabelecido o fornecimento de energia</t>
  </si>
  <si>
    <t>Realizado a substituição do relé de proteção. UFV religada e operando normalmente.</t>
  </si>
  <si>
    <t>Realizado reset no modem de internet local. Após a reinicialização, a comunicação foi restabelecida.</t>
  </si>
  <si>
    <t>BC Turvania1.1</t>
  </si>
  <si>
    <t>A Usina apresentou falha com o código 47 - desequilíbrio de tensão.</t>
  </si>
  <si>
    <t>BC Turvania1.2</t>
  </si>
  <si>
    <t>BC Turvania1.4</t>
  </si>
  <si>
    <t>BC Turvania1.5</t>
  </si>
  <si>
    <t>Falha no fornecimento de energia da concessionaria. Aberto chamado</t>
  </si>
  <si>
    <t xml:space="preserve">Queda de energia na UFV com abertura do disjuntor geral, relé atuou na função 67C e 86Q </t>
  </si>
  <si>
    <t>Paranoá teve seu complexo integramentede desenergizado para realização de visita técnica conduzida pela concessionária Neoenergia, no âmbito de manutenção programada.</t>
  </si>
  <si>
    <t>Foi realizada análise das falhas dos relés, reapertos e testes. Após isto, foi realizada a manobra para normalização da usina.</t>
  </si>
  <si>
    <t>Logger resetado</t>
  </si>
  <si>
    <t>Após inversor e disjuntor terem sidos religados, inversor apresentou estouro internamente, o mesmor foi substituido e está em pleno funcionamento.</t>
  </si>
  <si>
    <t xml:space="preserve">Foi identificado no supervisório que os inversores estão com falha, em campo, foi identificado falha de rede da concessionária. </t>
  </si>
  <si>
    <t>Relé de proteção atuou na função 27A. A função acabou não se propagando para as demais usinas do complexo, pois não houve desarme nas demais.</t>
  </si>
  <si>
    <t>Relé de proteção atuou na função 81 e 86</t>
  </si>
  <si>
    <t>Feito a configuração necessária para reestabelecimento da conexão no Logger</t>
  </si>
  <si>
    <t>Relé de proteção atuou na função 50N e 86Q</t>
  </si>
  <si>
    <t>Logger reconfigurado.</t>
  </si>
  <si>
    <t>Usina gerando normalmente, falha de sinal de internet.</t>
  </si>
  <si>
    <t>Inversor apresentou alarme de anomalidade - 2064</t>
  </si>
  <si>
    <t>A usina passará por um processo de desenergização para possibilitar a inspeção técnica dos transformadores pela Brasol.</t>
  </si>
  <si>
    <t>Abertos diversos chamados. O time técnico da Cemig foi ao local no mesmo dia, 13/01, às 16h, mas não conseguiu fechar o religador. Disse que retornaria, mas ainda estamos aguardando a visita. Novos chamados estão sendo abertos hoje, 14/01.  16/01 - A equipe de Patos de Minas encontra-se em deslocamento para a usina, a fim de realizar as verificações necessárias. De forma preliminar, foi identificado que a anomalia na rede está localizada antes do religador. Foi realizada a substituição da mufla na saída do religador. Após o procedimento realizado pela concessionária foi realizada a manobra de normalização da usina.</t>
  </si>
  <si>
    <t>Relé de proteção atuou na função 27ABC, 67 e 86</t>
  </si>
  <si>
    <t>U01.I01</t>
  </si>
  <si>
    <t>U01.I02</t>
  </si>
  <si>
    <t>U01.I03</t>
  </si>
  <si>
    <t>Após realização de testes foi identificado problema em uma das strings, a mesma foi desconectada e inversor esta em operação com uma string a menos</t>
  </si>
  <si>
    <t>BC Corumba1.3</t>
  </si>
  <si>
    <t>BC Corumba2.1</t>
  </si>
  <si>
    <t>U01. I01</t>
  </si>
  <si>
    <t>U01. I02</t>
  </si>
  <si>
    <t>Relé de proteção atuou na função 27ABC e 86</t>
  </si>
  <si>
    <t>BC Varjao1.1</t>
  </si>
  <si>
    <t>UFV 1 - INV 1</t>
  </si>
  <si>
    <t xml:space="preserve">Sem internet nas duas UFV devido a um problema na torre de internet via rádio da região, provocado pelas fortes chuvas dessa noite. </t>
  </si>
  <si>
    <t>UFV 1 - INV 5</t>
  </si>
  <si>
    <t>UFV 1 - INV 4</t>
  </si>
  <si>
    <t>UFV 1 - INV 3</t>
  </si>
  <si>
    <t>UFV 1 - INV 2</t>
  </si>
  <si>
    <t>BC Varjao1.2</t>
  </si>
  <si>
    <t>UF3Inv2</t>
  </si>
  <si>
    <t>Durante a verificação foi constatado que o smart logger está com instabilidade de comunicação com o aplicativo fusion.</t>
  </si>
  <si>
    <t>A Usina apresentou falha com o código 47 (desequilíbrio de tensão).</t>
  </si>
  <si>
    <t>Falha de comunicação com o logger.</t>
  </si>
  <si>
    <t>Na data da ocorrência o mantenedor estava em atendimento em Ibiúna. Durante inspeção realizada em 16/01/2026, foi identificada invasão e furto de trechos de cabos CC, ocasionando impacto direto na operação dos inversores da usina. Um inversor encontrava-se operando normalmente, dois estavam operando parcialmente (um com 3 strings fora e outro com 9 strings fora) e um inversor estava 100% indisponível devido ao furto.
Ação: Em razão das condições encontradas e visando segurança operacional, a usina foi totalmente desenergizada. A equipe de manutenção deslocou-se hoje, 19/01, para o local. A recomposição dos cabos tem início previsto para 20/01 e os trabalhos de recuperação já estão em andamento. A normalização total da usina está prevista até 24/01. Foi normalizado em 27/01/2026.</t>
  </si>
  <si>
    <t>Foi realizada a substituição do conversor de mídia danificado.</t>
  </si>
  <si>
    <t xml:space="preserve">Queda de energia na UFV Araguatins 01 e 02, todos os inversores e CFTV  estavam offline, relé atuou nas funções 27a, 51n, 67c e 86q </t>
  </si>
  <si>
    <t>Foi dectado que o roteador estava queimado, o mesmo foi substituido e reestabelecido o sinal com a intenet</t>
  </si>
  <si>
    <t>O procedimento visa a vedação técnica com selante de poliuretano (PU 40) no QGBT, em virtude da identificação de vazamentos no equipamento.</t>
  </si>
  <si>
    <t>Problema de comunicação entre a smart logger e o Fusion.</t>
  </si>
  <si>
    <t>Realizou inspenção nos componentes do inversor, onde foi constatada uma anomalia em um dos cabos da string</t>
  </si>
  <si>
    <t>Falha 86 e 27AC. Houve falha no fornecimento da CPFL (Concessionária de energia)</t>
  </si>
  <si>
    <t>Falha na comunicação com o smart logger</t>
  </si>
  <si>
    <t>Teste operacional no sistema offgrid da UFV, a pedido do engenheiro Gabriel, da empresa sigma para verificar comportamento das baterias durante falta de energia, por meio de simulação de ausência de fornecimento da concessionária.</t>
  </si>
  <si>
    <t>Suite com 04 portas queimadas, foi feito a troca de cabos para portas em perfeito estado, sendo reestabelecido a comunicação</t>
  </si>
  <si>
    <t>Substituição do inversor A1809100216 pelo A1809100067.</t>
  </si>
  <si>
    <t>Foi realizado a troca do cabo RJ45, após o procedimento a comunicação da UFV foi normalizada</t>
  </si>
  <si>
    <t>Resetado relé de proteção e ligado disjuntor geral, conferência demais relés (1 e 2) e partida na usina.</t>
  </si>
  <si>
    <t>Inversor 6t2499045588 e ES217007326 apresentou falha 2033 - subtensão na rede (ufv2.1 e 2.3 ficará sem comunicação)</t>
  </si>
  <si>
    <t>Inverter(MBUS-10)</t>
  </si>
  <si>
    <t>Inverter(MBUS-6)</t>
  </si>
  <si>
    <t>Inverter(MBUS-7)</t>
  </si>
  <si>
    <t>O disjuntor do Inversor 12 (A1908230207) estava apresentando TRIP recorrente. Após testes e troca de posição para verificação, foi constatado que o equipamento está danificado. Será realizada a substituição do disjuntor. Durante a intervenção, Vazante Vazante 1 (1.2 e 1.3) e 2 (2.1, 2.2 e 2.3) ficarão sem comunicação, porém seguirão gerando normalmente, pois a comunicação de internet do complexo vem da usina 1.1.</t>
  </si>
  <si>
    <t>Inverter 1</t>
  </si>
  <si>
    <t>O disjuntor do Inversor 12 (A1908230207) estava apresentando TRIP recorrente. Após testes e troca de posição para verificação, foi constatado que o equipamento está danificado. Será realizada a substituição do disjuntor. Durante a intervenção, Vazante Vazante 1 (1.2 e 1.3) e 2 (2.1, 2.2 e 2.3) ficarão sem comunicação, porém seguirão gerando normalmente</t>
  </si>
  <si>
    <t>Inverter 2</t>
  </si>
  <si>
    <t>Inverter 3</t>
  </si>
  <si>
    <t>Inverter 4</t>
  </si>
  <si>
    <t>Inverter 5</t>
  </si>
  <si>
    <t>Inverter 6</t>
  </si>
  <si>
    <t>Inverter 7</t>
  </si>
  <si>
    <t>Inverter 8</t>
  </si>
  <si>
    <t>Inverter 9</t>
  </si>
  <si>
    <t>Inverter 10</t>
  </si>
  <si>
    <t>Inverter 11</t>
  </si>
  <si>
    <t>Inverter 12</t>
  </si>
  <si>
    <t>Inverter 13</t>
  </si>
  <si>
    <t>Inverter 14</t>
  </si>
  <si>
    <t>Inverter 15</t>
  </si>
  <si>
    <t>Inverter 17</t>
  </si>
  <si>
    <t>Inversor 2</t>
  </si>
  <si>
    <t>Inversor 3</t>
  </si>
  <si>
    <t>Inversor 4</t>
  </si>
  <si>
    <t>Inversor 5</t>
  </si>
  <si>
    <t>Inversor 6</t>
  </si>
  <si>
    <t>Inversor 7</t>
  </si>
  <si>
    <t>Inversor 8</t>
  </si>
  <si>
    <t>Inversor 9</t>
  </si>
  <si>
    <t>BC Vazante2.1</t>
  </si>
  <si>
    <t>Inverter(MBUS-5)</t>
  </si>
  <si>
    <t>Inverter(MBUS-4)</t>
  </si>
  <si>
    <t>Prestador de Serviço SCADA</t>
  </si>
  <si>
    <t>UFV religada, porém ainda sem comunicação nos supervisórios</t>
  </si>
  <si>
    <t>Inverter(MBUS-2)</t>
  </si>
  <si>
    <t>Será realizada inspeção programada no transformador da UFV Vazante 1.2, com o objetivo de verificar as condições operacionais e garantir a integridade do equipamento.</t>
  </si>
  <si>
    <t>Após tratativas com o fabricante, o tracker voltou a operar.</t>
  </si>
  <si>
    <t>Os disjuntores do QGBT desarmaram devido à variação de tensão na rede elétrica</t>
  </si>
  <si>
    <t xml:space="preserve">Inversor foi reiniciado </t>
  </si>
  <si>
    <t xml:space="preserve">UFV passará por uma interrupção programada para a realização de manutenção corretiva. O procedimento visa a vedação técnica com selante de poliuretano (PU 40) no QGBT, em virtude da identificação de vazamentos no equipamento. </t>
  </si>
  <si>
    <t>UFV passará por uma interrupção programada para a realização de manutenção corretiva. O procedimento visa a vedação técnica com selante de poliuretano (PU 40) no QGBT, em virtude da identificação de vazamentos no equipamento.</t>
  </si>
  <si>
    <t>DUR</t>
  </si>
  <si>
    <t>• 01:26: Registro no sistema supervisório de desligamento do CFTV, com todas as câmeras off-line. A falha de comunicação foi identificada pela equipe de operação remota da O&amp;M Energy Solutions. • 01:27: Acionamento imediato da equipe de campo e do mantenedor responsável, com abertura de ocorrência no grupo COI Brasol | COI (BC) Energy Solutions. • 07:30: Acionamento da polícia. • 08:40: Comparecimento da Polícia Militar de GO ao local. Durante a inspeção presencial, foram constatados indícios de invasão na planta, além de sinais de violação da infraestrutura elétrica e do sistema de segurança. • 12:00: Restabelecimento da comunicação por meio de ligação provisória do cabeamento CA que alimenta a sala de controle. • 14:30: Chegada da gerência de O&amp;M para apoio nas análises e levantamentos. • 16:00: Chegada de empresa terceirizada contratada para reforço da segurança e vigilância noturna. • 18:00: Início das rondas locais noturnas.</t>
  </si>
  <si>
    <t>Houve uma instabilidade no fornecimento de internet</t>
  </si>
  <si>
    <t>O relé atuou na função 32C. Após a realização dos testes em dois inversores que estavam em garantia, foi efetuado o reset eletrônico do equipamento. Com isso, o inversor voltou a operar com 100% de sua capacidade nominal, que é de 275 kW. Ao normalizar a UFV, ocorreu o desarme, pois a potência gerada ficou acima da capacidade do transformador.</t>
  </si>
  <si>
    <t>FALHA 86, 27AC. HOUVE FALHA NO FORNECIMENTO DA CPFL</t>
  </si>
  <si>
    <t>Será realizado o desligamento do inversor ES 2240060626</t>
  </si>
  <si>
    <t>BC Formoso1.1</t>
  </si>
  <si>
    <t>Cabo da rede da cocessionària partido dentro usina</t>
  </si>
  <si>
    <t>BC Formoso1.2</t>
  </si>
  <si>
    <t>BC Formoso1.3</t>
  </si>
  <si>
    <t>Desarme do disjuntor geral, após oscilação da rede.</t>
  </si>
  <si>
    <t>Falha 81 e 86 no relé</t>
  </si>
  <si>
    <t>Feita inspeção em toda Usina , resetado Relé e rearmado disjuntor.</t>
  </si>
  <si>
    <t>Falha de comunicação no logger</t>
  </si>
  <si>
    <t>Manutenção corretiva do transformador que está com vazamento de óleo.</t>
  </si>
  <si>
    <t>A ocorrência está associada a falha 47 nos relés de proteção, que indentifica sequência de fase de tensão incorreta/invertida na rede da concessionária. Como medida de proteção, o relé de proteção atuou, ocasionando o desligamento da UFV</t>
  </si>
  <si>
    <t>Foi identificado no supervisório que o inversor 215 KTL-H3 ( MBUS- 14 ) está Off-line.</t>
  </si>
  <si>
    <t>A Usina apresentou Falha com cód 47 desequilíbrio tensão.</t>
  </si>
  <si>
    <t>Relé de proteção atuado com a falha 67C e 86Q</t>
  </si>
  <si>
    <t>Relé de proteção atuado com a falha 81 e 86</t>
  </si>
  <si>
    <t>Queda de energia apenas no disjuntor geral da ufv Araguatins 01, relé atuou na função 50N e 86Q</t>
  </si>
  <si>
    <t xml:space="preserve">Desenergizar usina 2.3 para realizar substituição de três ventiladores danificados </t>
  </si>
  <si>
    <t xml:space="preserve">Queda de energia na UFV depois de uma forte chuva, relé atuando nas funções 50N, 51N e 86Q </t>
  </si>
  <si>
    <t>Foi identificado no supervisório que o inversor 16 A1912210182 está com falha 10 Falta de energia na rede.</t>
  </si>
  <si>
    <t>Foi identificado no supervisório que todas as câmeras e inversores estão off-line.</t>
  </si>
  <si>
    <t>Após verificações, o equipamento foi normalizado.</t>
  </si>
  <si>
    <t>Erro no roteador do CFTV.</t>
  </si>
  <si>
    <t>Inverter(MBUS-15) SN ES2380070432: Em tratativa com fabricante, pois ele não aceita nenhum procedimento, nem acesso local. Aparentemente teremos uma substituição em garantia. Mas, conforme avisando antes pela huawei, por conta de pendências relacionadas à emissão de notas fiscais de retorno referentes a outros processos de garantia, as tratativas estão ocorrendo de forma mais demorada que o normal.</t>
  </si>
  <si>
    <t>Foi feita a inspeção na string,foi corrigido a falha e adequada novamente no inversor.</t>
  </si>
  <si>
    <t>Foi feito uma inspeçao na subestaçao, resetado o relé e rearmado o disjuntor</t>
  </si>
  <si>
    <t>Após reiniciar o roteador, a comunicação foi reestabelecida</t>
  </si>
  <si>
    <t>Foi identificado que as baterias do sistema não estavam conseguindo manter parte das câmeras ativas durante o período da madrugada, ocasionando a indisponibilidade temporária do CFTV.</t>
  </si>
  <si>
    <t>Foi realizado testes em todos componentes e detectado uma string com falha, após ser retirada a falha foi religado o inversor e o mesmo segue operando normalmente.</t>
  </si>
  <si>
    <t>Atuação dos relés de proteção 81 e 86, ocasionando o desligamento automático da UFV/CFTV.</t>
  </si>
  <si>
    <t>Foi realizada a inspeção de todo o complexo e, aproveitando a falta de energia na UFV, foi corrigida a posição do sensor PT100 da UFV 1.3, que não estava instalado no local correto. Em razão disso, os ventiladores estavam operando de forma ininterrupta, mesmo com a temperatura baixa. Após a realocação do PT100 para o local adequado, foi realizado o reset do relé, o rearme dos disjuntores e, assim, o sistema de refrigeração da UFV 1.3 foi normalizado.</t>
  </si>
  <si>
    <t>Atuação dos relés de proteção 67C e 88Q, ocasionando o desligamento automático da UFV/CFTV.</t>
  </si>
  <si>
    <t>Devido à interrupção de energia na UFV Araguatins 2, a UFV Araguatins 1.1 perdeu o sinal de comunicação. No entanto, permaneceu operando normalmente, sem impacto na geração de energia.</t>
  </si>
  <si>
    <t>Queda de rede, por parte da concessionária atuando os relés 27ABC</t>
  </si>
  <si>
    <t>Resetado sistema de comunicação, e a usina foi normalizada</t>
  </si>
  <si>
    <t>Foi realizado inspeção no inversor e QGBT, ao certificar que estava tudo normal, o inversor foi reiniciado.</t>
  </si>
  <si>
    <t>Comunicação se normalizou sem nenhuma interferência humana</t>
  </si>
  <si>
    <t>Foi realizado uma inspeção no inversor e no logger, Inversor está funcionando normalmente. Internet está oscilando bastante.</t>
  </si>
  <si>
    <t>Foi identificado no supervisório que todas os inversores e câmeras estão Off-line</t>
  </si>
  <si>
    <t>Queda de rede, por parte da concessionária atuando os relés 67C e 86Q</t>
  </si>
  <si>
    <t>Foi realizada inspeção em todo o complexo, constatando-se que a UFV está operando normalmente, porém com falha de comunicação. Foi identificado cabo de internet danificado, sendo acionado o suporte técnico para que a comunicação seja restabelecida no menor prazo possível.</t>
  </si>
  <si>
    <t xml:space="preserve">Falha no fornecimento de energia da concessionária </t>
  </si>
  <si>
    <t>Falha no inversor - Baixa Resistência</t>
  </si>
  <si>
    <t>Houve queda de energia na UFV Araguatins 01 e 02, com atuação do relé geral em ambas as usinas pelas funções 86Q e 67C. Observação: após a normalização da UFV 02, ocorreu nova abertura do disjuntor geral aproximadamente 10 minutos após o retorno à operação, com reincidência das mesmas funções de proteção (86Q e 67C)</t>
  </si>
  <si>
    <t>O transformador foi desligado para realização de inspeção com o objetivo de verificar possível vazamento de óleo. O início da manobra ocorreu às 15:56, com o desligamento completo da usina às 16:21.</t>
  </si>
  <si>
    <t>O transformador foi desligado para realização de inspeção com o objetivo de verificar possível vazamento de óleo.</t>
  </si>
  <si>
    <t>Foi identificado no supervisório que os inversores do complexo estão  off-line.  Todas as câmeras da CFTV estão off-line</t>
  </si>
  <si>
    <t xml:space="preserve">Falha no fornecimento de energia por parte da concecionária </t>
  </si>
  <si>
    <t>Falha atuada no relé 67A e 86Q</t>
  </si>
  <si>
    <t>Foi identificado pelo supervisório que todos as Inversores estão estão Off-line e o CFTV está sem acesso.</t>
  </si>
  <si>
    <t>1105789:25:00</t>
  </si>
  <si>
    <t>1105967:59:59</t>
  </si>
  <si>
    <t>O inversor de SN GR2449002684 apresentou falha de cooler (ID da falha 2086), identificada apenas via acesso local na SmartLogger, não sendo registrada na plataforma FusionSolar.</t>
  </si>
  <si>
    <t>Foi identificado pelo supervisório que todos as Inversores estão  Off-line e o CFTV está sem acesso. Foi identificado queda de rede.</t>
  </si>
  <si>
    <t>O inversor Inverter(MBUS-1) 6T24A9047135 está off-line. Falha de comunicação no sistema, porém usina está gerando.</t>
  </si>
  <si>
    <t>Falha de comunicação com a internet</t>
  </si>
  <si>
    <t>Foi identificado pelo supervisório que o inversor 16 SG60KTL A1912210182 está off-line. (trip no disjuntor)</t>
  </si>
  <si>
    <t>Inversores e CFTV offline por falta de internet.</t>
  </si>
  <si>
    <t>Relé geral atuando nas funções 50N e 86Q</t>
  </si>
  <si>
    <t>Falha no fornecimento de energia por parte da concessionária, ocasionando o desarme do disjuntor geral de formoso 2.</t>
  </si>
  <si>
    <t>Baixa resistência de isolamento do sist.</t>
  </si>
  <si>
    <t>O inversor 1 da UFV Corumbá 2.2 apresentou falha. Durante a verificação, foi constatada instabilidade no funcionamento do equipamento.</t>
  </si>
  <si>
    <t>Foi indentificado pelo supervisório que o inversor 12 está off-line. (trip no disjuntor)</t>
  </si>
  <si>
    <t>Relé geral atuando nas funções 86, 27B</t>
  </si>
  <si>
    <t>Queda de energia na UFV, sem apresentar falha no relé</t>
  </si>
  <si>
    <t>Foi identificado pelo supervisório que o inversor  Inverter(MBUS-1) 6T24A9047135 está com alarme ativo de Baixa impedância de isolamento (2062) e Corrente residual anormal (2051).</t>
  </si>
  <si>
    <t>Interrupção da internet devido a dano cabo de rede, ocasionando câmeras fora de operação.</t>
  </si>
  <si>
    <t>Relé geral atuando nas função 27ABC</t>
  </si>
  <si>
    <t>Ocorreu desligamento geral da UFV Araguatins 1 e 2 após atuação das proteções do relé de proteção nas funções ANSI 67C (sobrecorrente direcional – fase C) e ANSI 86 (bloqueio), ocasionando o desligamento da usina e a indisponibilidade temporária do sistema de CFTV</t>
  </si>
  <si>
    <t>A Usina 2.1 encontra-se temporariamente fora de operação em razão da substituição e reconfiguração do relé térmico do transformador. A equipe técnica está atuando no local para execução do serviço, com previsão de restabelecimento da operação até o final da tarde do dia 25/02</t>
  </si>
  <si>
    <t>Queda de energia na UFV atuando os relés 81/86</t>
  </si>
  <si>
    <t>Relé atuou nas funções 27B, 50N e 86Q</t>
  </si>
  <si>
    <t>Relé atuou nas funções 27ABC</t>
  </si>
  <si>
    <t>Relé atuou nas funções 50N e 86Q</t>
  </si>
  <si>
    <t>Indisponibilidade de energia elétrica na rede de distribuição da concessionária na região.</t>
  </si>
  <si>
    <t>Inverter__1</t>
  </si>
  <si>
    <t>Inverter__4</t>
  </si>
  <si>
    <t>Inverter__3</t>
  </si>
  <si>
    <t>Inverter__2</t>
  </si>
  <si>
    <t>Inverter__7</t>
  </si>
  <si>
    <t>Inverter__9</t>
  </si>
  <si>
    <t>Inverter__8</t>
  </si>
  <si>
    <t>Inverter__10</t>
  </si>
  <si>
    <t>Inverter__6</t>
  </si>
  <si>
    <t>Relé atuou nas funções 81 e 86</t>
  </si>
  <si>
    <t>Foi indentificado no sistema de supervisório que todos os inversores encontram-se off-line, com alarme ativo de falta de energia na rede. Em inspenção, foi constatado que a chave-faca do poste está aberta</t>
  </si>
  <si>
    <t>Queda de energia na UFV, relé geral atuando na função 67C e 86Q</t>
  </si>
  <si>
    <t>Relé atuou nas funções 59N</t>
  </si>
  <si>
    <t>Falha de Comunicação</t>
  </si>
  <si>
    <t>Realizar a inspeção mensal no transformador e cabine de média tensão (MPCA).</t>
  </si>
  <si>
    <t>Queda de energia na UFV - relé geral atuou na função 67C e 86Q</t>
  </si>
  <si>
    <t>Realizar a inspenção mensal no transformador e cabine de média tensão (MPCA).</t>
  </si>
  <si>
    <t>Desenergização geral da subestação /Usina, para manutenção preventiva/inspenção.</t>
  </si>
  <si>
    <t>Queda de rede no cliente 1 da UFV Camarão .</t>
  </si>
  <si>
    <t>Queda de rede no cliente 2 da UFV Camarão .</t>
  </si>
  <si>
    <t>Queda de rede no cliente 3 da UFV Camarão .</t>
  </si>
  <si>
    <t>Queda de rede no cliente 4 da UFV Camarão .</t>
  </si>
  <si>
    <t>Queda de rede no cliente 5 da UFV Camarão .</t>
  </si>
  <si>
    <t>Foi identificado no supervisório que todos os inversores estão off-line e o monitoramento CFTV está sem acesso.</t>
  </si>
  <si>
    <t>Falha no nobreak  impossibilitando o relé de atuar</t>
  </si>
  <si>
    <t xml:space="preserve">Falta de energia na concessionária </t>
  </si>
  <si>
    <t>Relé atuando nas funções 81 e 86</t>
  </si>
  <si>
    <t>Provedor de internet não entregando o serviço (Usina em funcionamento, mas sem comunicação externa).</t>
  </si>
  <si>
    <t>Relé atuando nas função 47</t>
  </si>
  <si>
    <t>Foi realizada inspeção na UFV, sendo constatado que o cabo de internet do provedor encontra-se rompido.</t>
  </si>
  <si>
    <t>Equipamento anormal - 2064. Inversor com alarme oscilando geração e não atinge potência nominal. Em tratativa com fabricante.</t>
  </si>
  <si>
    <t>Equipamento anormal - 2024. Inversor com alarme oscilando geração e não atinge potência nominal. Em tratativa sob o chamado 15218400</t>
  </si>
  <si>
    <t>Equipamento anormal - 2024. Inversor com alarme oscilando geração e não atinge potência nominal. Em tratativa sob o chamado 15218401</t>
  </si>
  <si>
    <t>Equipamento anormal - 2024. Inversor com alarme oscilando geração e não atinge potência nominal. Em tratativa sob o chamado 15218402</t>
  </si>
  <si>
    <t>Equipamento anormal - 2024. Inversor com alarme oscilando geração e não atinge potência nominal. Em tratativa sob o chamado 15218403</t>
  </si>
  <si>
    <t>Equipamento anormal - 2024. Inversor com alarme oscilando geração e não atinge potência nominal. Em tratativa sob o chamado 15218404</t>
  </si>
  <si>
    <t>Equipamento anormal - 2024. Inversor com alarme oscilando geração e não atinge potência nominal. Em tratativa sob o chamado 15218405</t>
  </si>
  <si>
    <t>Equipamento anormal - 2024. Inversor com alarme oscilando geração e não atinge potência nominal. Em tratativa sob o chamado 15218406</t>
  </si>
  <si>
    <t>Equipamento anormal - 2024. Inversor com alarme oscilando geração e não atinge potência nominal. Em tratativa sob o chamado 15218407</t>
  </si>
  <si>
    <t>Equipamento anormal - 2024. Inversor com alarme oscilando geração e não atinge potência nominal. Em tratativa sob o chamado 15218408</t>
  </si>
  <si>
    <t>Equipamento anormal - 2024. Inversor com alarme oscilando geração e não atinge potência nominal. Em tratativa sob o chamado 15218409</t>
  </si>
  <si>
    <t>Equipamento anormal - 2024. Inversor com alarme oscilando geração e não atinge potência nominal. Em tratativa sob o chamado 15218410</t>
  </si>
  <si>
    <t>Equipamento anormal - 2024. Inversor com alarme oscilando geração e não atinge potência nominal. Em tratativa sob o chamado 15218411</t>
  </si>
  <si>
    <t>Equipamento anormal - 2024. Inversor com alarme oscilando geração e não atinge potência nominal. Em tratativa sob o chamado 15218412</t>
  </si>
  <si>
    <t>Equipamento anormal - 2024. Inversor com alarme oscilando geração e não atinge potência nominal. Em tratativa sob o chamado 15218413</t>
  </si>
  <si>
    <t>Equipamento anormal - 2024. Inversor com alarme oscilando geração e não atinge potência nominal. Em tratativa sob o chamado 15218414</t>
  </si>
  <si>
    <t>Equipamento anormal - 2024. Inversor com alarme oscilando geração e não atinge potência nominal. Em tratativa sob o chamado 15218415</t>
  </si>
  <si>
    <t>Equipamento anormal - 2024. Inversor com alarme oscilando geração e não atinge potência nominal. Em tratativa sob o chamado 15218416</t>
  </si>
  <si>
    <t>Equipamento anormal - 2024. Inversor com alarme oscilando geração e não atinge potência nominal. Em tratativa sob o chamado 15218417</t>
  </si>
  <si>
    <t>Equipamento anormal - 2024. Inversor com alarme oscilando geração e não atinge potência nominal. Em tratativa sob o chamado 15218418</t>
  </si>
  <si>
    <t>Equipamento anormal - 2024. Inversor com alarme oscilando geração e não atinge potência nominal. Em tratativa sob o chamado 15218419</t>
  </si>
  <si>
    <t>Equipamento anormal - 2024. Inversor com alarme oscilando geração e não atinge potência nominal. Em tratativa sob o chamado 15218420</t>
  </si>
  <si>
    <t>Equipamento anormal - 2024. Inversor com alarme oscilando geração e não atinge potência nominal. Em tratativa sob o chamado 15218421</t>
  </si>
  <si>
    <t>Equipamento anormal - 2024. Inversor com alarme oscilando geração e não atinge potência nominal. Em tratativa sob o chamado 15218422</t>
  </si>
  <si>
    <t>Equipamento anormal - 2024. Inversor com alarme oscilando geração e não atinge potência nominal. Em tratativa sob o chamado 15218423</t>
  </si>
  <si>
    <t>Equipamento anormal - 2024. Inversor com alarme oscilando geração e não atinge potência nominal. Em tratativa sob o chamado 15218424</t>
  </si>
  <si>
    <t>Equipamento anormal - 2024. Inversor com alarme oscilando geração e não atinge potência nominal. Em tratativa sob o chamado 15218425</t>
  </si>
  <si>
    <t>Equipamento anormal - 2024. Inversor com alarme oscilando geração e não atinge potência nominal. Em tratativa sob o chamado 15218426</t>
  </si>
  <si>
    <t>Equipamento anormal - 2024. Inversor com alarme oscilando geração e não atinge potência nominal. Em tratativa sob o chamado 15218427</t>
  </si>
  <si>
    <t>Equipamento anormal - 2024. Inversor com alarme oscilando geração e não atinge potência nominal. Em tratativa sob o chamado 15218428</t>
  </si>
  <si>
    <t>Equipamento anormal - 2024. Inversor com alarme oscilando geração e não atinge potência nominal. Em tratativa sob o chamado 15218429</t>
  </si>
  <si>
    <t>Equipamento anormal - 2024. Inversor com alarme oscilando geração e não atinge potência nominal. Em tratativa sob o chamado 15218430</t>
  </si>
  <si>
    <t>Equipamento anormal - 2024. Inversor com alarme oscilando geração e não atinge potência nominal. Em tratativa sob o chamado 15218431</t>
  </si>
  <si>
    <t>Equipamento anormal - 2024. Inversor com alarme oscilando geração e não atinge potência nominal. Em tratativa sob o chamado 15218432</t>
  </si>
  <si>
    <t>Equipamento anormal - 2024. Inversor com alarme oscilando geração e não atinge potência nominal. Em tratativa sob o chamado 15218433</t>
  </si>
  <si>
    <t>Equipamento anormal - 2024. Inversor com alarme oscilando geração e não atinge potência nominal. Em tratativa sob o chamado 15218434</t>
  </si>
  <si>
    <t>Equipamento anormal - 2024. Inversor com alarme oscilando geração e não atinge potência nominal. Em tratativa sob o chamado 15218435</t>
  </si>
  <si>
    <t>Equipamento anormal - 2024. Inversor com alarme oscilando geração e não atinge potência nominal. Em tratativa sob o chamado 15218436</t>
  </si>
  <si>
    <t>Equipamento anormal - 2024. Inversor com alarme oscilando geração e não atinge potência nominal. Em tratativa sob o chamado 15218437</t>
  </si>
  <si>
    <t>Equipamento anormal - 2024. Inversor com alarme oscilando geração e não atinge potência nominal. Em tratativa sob o chamado 15218438</t>
  </si>
  <si>
    <t>Equipamento anormal - 2024. Inversor com alarme oscilando geração e não atinge potência nominal. Em tratativa sob o chamado 15218439</t>
  </si>
  <si>
    <t>Equipamento anormal - 2024. Inversor com alarme oscilando geração e não atinge potência nominal. Em tratativa sob o chamado 15218440</t>
  </si>
  <si>
    <t>Equipamento anormal - 2024. Inversor com alarme oscilando geração e não atinge potência nominal. Em tratativa sob o chamado 15218441</t>
  </si>
  <si>
    <t>Equipamento anormal - 2024. Inversor com alarme oscilando geração e não atinge potência nominal. Em tratativa sob o chamado 15218442</t>
  </si>
  <si>
    <t>Equipamento anormal - 2024. Inversor com alarme oscilando geração e não atinge potência nominal. Em tratativa sob o chamado 15218443</t>
  </si>
  <si>
    <t>Equipamento anormal - 2024. Inversor com alarme oscilando geração e não atinge potência nominal. Em tratativa sob o chamado 15218444</t>
  </si>
  <si>
    <t>Equipamento anormal - 2024. Inversor com alarme oscilando geração e não atinge potência nominal. Em tratativa sob o chamado 15218445</t>
  </si>
  <si>
    <t>Equipamento anormal - 2024. Inversor com alarme oscilando geração e não atinge potência nominal. Em tratativa sob o chamado 15218446</t>
  </si>
  <si>
    <t>Equipamento anormal - 2024. Inversor com alarme oscilando geração e não atinge potência nominal. Em tratativa sob o chamado 15218447</t>
  </si>
  <si>
    <t>Equipamento anormal - 2024. Inversor com alarme oscilando geração e não atinge potência nominal. Em tratativa sob o chamado 15218448</t>
  </si>
  <si>
    <t>Equipamento anormal - 2024. Inversor com alarme oscilando geração e não atinge potência nominal. Em tratativa sob o chamado 15218449</t>
  </si>
  <si>
    <t>Equipamento anormal - 2024. Inversor com alarme oscilando geração e não atinge potência nominal. Em tratativa sob o chamado 15218450</t>
  </si>
  <si>
    <t>Equipamento anormal - 2024. Inversor com alarme oscilando geração e não atinge potência nominal. Em tratativa sob o chamado 15218451</t>
  </si>
  <si>
    <t>Equipamento anormal - 2024. Inversor com alarme oscilando geração e não atinge potência nominal. Em tratativa sob o chamado 15218452</t>
  </si>
  <si>
    <t>Equipamento anormal - 2024. Inversor com alarme oscilando geração e não atinge potência nominal. Em tratativa sob o chamado 15218453</t>
  </si>
  <si>
    <t>Equipamento anormal - 2024. Inversor com alarme oscilando geração e não atinge potência nominal. Em tratativa sob o chamado 15218454</t>
  </si>
  <si>
    <t>Equipamento anormal - 2024. Inversor com alarme oscilando geração e não atinge potência nominal. Em tratativa sob o chamado 15218455</t>
  </si>
  <si>
    <t>Equipamento anormal - 2024. Inversor com alarme oscilando geração e não atinge potência nominal. Em tratativa sob o chamado 15218456</t>
  </si>
  <si>
    <t>Equipamento anormal - 2024. Inversor com alarme oscilando geração e não atinge potência nominal. Em tratativa sob o chamado 15218457</t>
  </si>
  <si>
    <t>Equipamento anormal - 2024. Inversor com alarme oscilando geração e não atinge potência nominal. Em tratativa sob o chamado 15218458</t>
  </si>
  <si>
    <t>Equipamento anormal - 2024. Inversor com alarme oscilando geração e não atinge potência nominal. Em tratativa sob o chamado 15218459</t>
  </si>
  <si>
    <t>Equipamento anormal - 2024. Inversor com alarme oscilando geração e não atinge potência nominal. Em tratativa sob o chamado 15218460</t>
  </si>
  <si>
    <t>Equipamento anormal - 2024. Inversor com alarme oscilando geração e não atinge potência nominal. Em tratativa sob o chamado 15218461</t>
  </si>
  <si>
    <t>Equipamento anormal - 2024. Inversor com alarme oscilando geração e não atinge potência nominal. Em tratativa sob o chamado 15218462</t>
  </si>
  <si>
    <t>Equipamento anormal - 2024. Inversor com alarme oscilando geração e não atinge potência nominal. Em tratativa sob o chamado 15218463</t>
  </si>
  <si>
    <t>Equipamento anormal - 2024. Inversor com alarme oscilando geração e não atinge potência nominal. Em tratativa sob o chamado 15218464</t>
  </si>
  <si>
    <t>Equipamento anormal - 2024. Inversor com alarme oscilando geração e não atinge potência nominal. Em tratativa sob o chamado 15218465</t>
  </si>
  <si>
    <t>Equipamento anormal - 2024. Inversor com alarme oscilando geração e não atinge potência nominal. Em tratativa sob o chamado 15218466</t>
  </si>
  <si>
    <t>Equipamento anormal - 2024. Inversor com alarme oscilando geração e não atinge potência nominal. Em tratativa sob o chamado 15218467</t>
  </si>
  <si>
    <t>Equipamento anormal - 2024. Inversor com alarme oscilando geração e não atinge potência nominal. Em tratativa sob o chamado 15218468</t>
  </si>
  <si>
    <t>Equipamento anormal - 2024. Inversor com alarme oscilando geração e não atinge potência nominal. Em tratativa sob o chamado 15218469</t>
  </si>
  <si>
    <t>Equipamento anormal - 2024. Inversor com alarme oscilando geração e não atinge potência nominal. Em tratativa sob o chamado 15218470</t>
  </si>
  <si>
    <t>Equipamento anormal - 2024. Inversor com alarme oscilando geração e não atinge potência nominal. Em tratativa sob o chamado 15218471</t>
  </si>
  <si>
    <t>Equipamento anormal - 2024. Inversor com alarme oscilando geração e não atinge potência nominal. Em tratativa sob o chamado 15218472</t>
  </si>
  <si>
    <t>Equipamento anormal - 2024. Inversor com alarme oscilando geração e não atinge potência nominal. Em tratativa sob o chamado 15218473</t>
  </si>
  <si>
    <t>Equipamento anormal - 2024. Inversor com alarme oscilando geração e não atinge potência nominal. Em tratativa sob o chamado 15218474</t>
  </si>
  <si>
    <t>Equipamento anormal - 2024. Inversor com alarme oscilando geração e não atinge potência nominal. Em tratativa sob o chamado 15218475</t>
  </si>
  <si>
    <t>Equipamento anormal - 2024. Inversor com alarme oscilando geração e não atinge potência nominal. Em tratativa sob o chamado 15218476</t>
  </si>
  <si>
    <t>Equipamento anormal - 2024. Inversor com alarme oscilando geração e não atinge potência nominal. Em tratativa sob o chamado 15218477</t>
  </si>
  <si>
    <t>Equipamento anormal - 2024. Inversor com alarme oscilando geração e não atinge potência nominal. Em tratativa sob o chamado 15218478</t>
  </si>
  <si>
    <t>Equipamento anormal - 2024. Inversor com alarme oscilando geração e não atinge potência nominal. Em tratativa sob o chamado 15218479</t>
  </si>
  <si>
    <t>Equipamento anormal - 2024. Inversor com alarme oscilando geração e não atinge potência nominal. Em tratativa sob o chamado 15218480</t>
  </si>
  <si>
    <t>Equipamento anormal - 2024. Inversor com alarme oscilando geração e não atinge potência nominal. Em tratativa sob o chamado 15218481</t>
  </si>
  <si>
    <t>Equipamento anormal - 2024. Inversor com alarme oscilando geração e não atinge potência nominal. Em tratativa sob o chamado 15218482</t>
  </si>
  <si>
    <t>Equipamento anormal - 2024. Inversor com alarme oscilando geração e não atinge potência nominal. Em tratativa sob o chamado 15218483</t>
  </si>
  <si>
    <t>Equipamento anormal - 2024. Inversor com alarme oscilando geração e não atinge potência nominal. Em tratativa sob o chamado 15218484</t>
  </si>
  <si>
    <t>Equipamento anormal - 2024. Inversor com alarme oscilando geração e não atinge potência nominal. Em tratativa sob o chamado 15218485</t>
  </si>
  <si>
    <t>Equipamento anormal - 2024. Inversor com alarme oscilando geração e não atinge potência nominal. Em tratativa sob o chamado 15218486</t>
  </si>
  <si>
    <t>Equipamento anormal - 2024. Inversor com alarme oscilando geração e não atinge potência nominal. Em tratativa sob o chamado 15218487</t>
  </si>
  <si>
    <t>Equipamento anormal - 2024. Inversor com alarme oscilando geração e não atinge potência nominal. Em tratativa sob o chamado 15218488</t>
  </si>
  <si>
    <t>Equipamento anormal - 2024. Inversor com alarme oscilando geração e não atinge potência nominal. Em tratativa sob o chamado 15218489</t>
  </si>
  <si>
    <t>Equipamento anormal - 2024. Inversor com alarme oscilando geração e não atinge potência nominal. Em tratativa sob o chamado 15218490</t>
  </si>
  <si>
    <t>Equipamento anormal - 2024. Inversor com alarme oscilando geração e não atinge potência nominal. Em tratativa sob o chamado 15218491</t>
  </si>
  <si>
    <t>Equipamento anormal - 2024. Inversor com alarme oscilando geração e não atinge potência nominal. Em tratativa sob o chamado 15218492</t>
  </si>
  <si>
    <t>Equipamento anormal - 2024. Inversor com alarme oscilando geração e não atinge potência nominal. Em tratativa sob o chamado 15218493</t>
  </si>
  <si>
    <t>Equipamento anormal - 2024. Inversor com alarme oscilando geração e não atinge potência nominal. Em tratativa sob o chamado 15218494</t>
  </si>
  <si>
    <t>Equipamento anormal - 2024. Inversor com alarme oscilando geração e não atinge potência nominal. Em tratativa sob o chamado 15218495</t>
  </si>
  <si>
    <t>Equipamento anormal - 2024. Inversor com alarme oscilando geração e não atinge potência nominal. Em tratativa sob o chamado 15218496</t>
  </si>
  <si>
    <t>Equipamento anormal - 2024. Inversor com alarme oscilando geração e não atinge potência nominal. Em tratativa sob o chamado 15218497</t>
  </si>
  <si>
    <t>Equipamento anormal - 2024. Inversor com alarme oscilando geração e não atinge potência nominal. Em tratativa sob o chamado 15218498</t>
  </si>
  <si>
    <t>Equipamento anormal - 2024. Inversor com alarme oscilando geração e não atinge potência nominal. Em tratativa sob o chamado 15218499</t>
  </si>
  <si>
    <t>Equipamento anormal - 2024. Inversor com alarme oscilando geração e não atinge potência nominal. Em tratativa sob o chamado 15218500</t>
  </si>
  <si>
    <t>Equipamento anormal - 2024. Inversor com alarme oscilando geração e não atinge potência nominal. Em tratativa sob o chamado 15218501</t>
  </si>
  <si>
    <t>Equipamento anormal - 2024. Inversor com alarme oscilando geração e não atinge potência nominal. Em tratativa sob o chamado 15218502</t>
  </si>
  <si>
    <t>Equipamento anormal - 2024. Inversor com alarme oscilando geração e não atinge potência nominal. Em tratativa sob o chamado 15218503</t>
  </si>
  <si>
    <t>Equipamento anormal - 2024. Inversor com alarme oscilando geração e não atinge potência nominal. Em tratativa sob o chamado 15218504</t>
  </si>
  <si>
    <t>Equipamento anormal - 2024. Inversor com alarme oscilando geração e não atinge potência nominal. Em tratativa sob o chamado 15218505</t>
  </si>
  <si>
    <t>Equipamento anormal - 2024. Inversor com alarme oscilando geração e não atinge potência nominal. Em tratativa sob o chamado 15218506</t>
  </si>
  <si>
    <t>Equipamento anormal - 2024. Inversor com alarme oscilando geração e não atinge potência nominal. Em tratativa sob o chamado 15218507</t>
  </si>
  <si>
    <t>Equipamento anormal - 2024. Inversor com alarme oscilando geração e não atinge potência nominal. Em tratativa sob o chamado 15218508</t>
  </si>
  <si>
    <t>Equipamento anormal - 2024. Inversor com alarme oscilando geração e não atinge potência nominal. Em tratativa sob o chamado 15218509</t>
  </si>
  <si>
    <t>Equipamento anormal - 2024. Inversor com alarme oscilando geração e não atinge potência nominal. Em tratativa sob o chamado 15218510</t>
  </si>
  <si>
    <t>Equipamento anormal - 2024. Inversor com alarme oscilando geração e não atinge potência nominal. Em tratativa sob o chamado 15218511</t>
  </si>
  <si>
    <t>Equipamento anormal - 2024. Inversor com alarme oscilando geração e não atinge potência nominal. Em tratativa sob o chamado 15218512</t>
  </si>
  <si>
    <t>Equipamento anormal - 2024. Inversor com alarme oscilando geração e não atinge potência nominal. Em tratativa sob o chamado 15218513</t>
  </si>
  <si>
    <t>Equipamento anormal - 2024. Inversor com alarme oscilando geração e não atinge potência nominal. Em tratativa sob o chamado 15218514</t>
  </si>
  <si>
    <t>Equipamento anormal - 2024. Inversor com alarme oscilando geração e não atinge potência nominal. Em tratativa sob o chamado 15218515</t>
  </si>
  <si>
    <t>Equipamento anormal - 2024. Inversor com alarme oscilando geração e não atinge potência nominal. Em tratativa sob o chamado 15218516</t>
  </si>
  <si>
    <t>Equipamento anormal - 2024. Inversor com alarme oscilando geração e não atinge potência nominal. Em tratativa sob o chamado 15218517</t>
  </si>
  <si>
    <t>Equipamento anormal - 2024. Inversor com alarme oscilando geração e não atinge potência nominal. Em tratativa sob o chamado 15218518</t>
  </si>
  <si>
    <t>Equipamento anormal - 2024. Inversor com alarme oscilando geração e não atinge potência nominal. Em tratativa sob o chamado 15218519</t>
  </si>
  <si>
    <t>Equipamento anormal - 2024. Inversor com alarme oscilando geração e não atinge potência nominal. Em tratativa sob o chamado 15218520</t>
  </si>
  <si>
    <t>Equipamento anormal - 2024. Inversor com alarme oscilando geração e não atinge potência nominal. Em tratativa sob o chamado 15218521</t>
  </si>
  <si>
    <t>Equipamento anormal - 2024. Inversor com alarme oscilando geração e não atinge potência nominal. Em tratativa sob o chamado 15218522</t>
  </si>
  <si>
    <t>Equipamento anormal - 2024. Inversor com alarme oscilando geração e não atinge potência nominal. Em tratativa sob o chamado 15218523</t>
  </si>
  <si>
    <t>Equipamento anormal - 2024. Inversor com alarme oscilando geração e não atinge potência nominal. Em tratativa sob o chamado 15218524</t>
  </si>
  <si>
    <t>Equipamento anormal - 2024. Inversor com alarme oscilando geração e não atinge potência nominal. Em tratativa sob o chamado 15218525</t>
  </si>
  <si>
    <t>Equipamento anormal - 2024. Inversor com alarme oscilando geração e não atinge potência nominal. Em tratativa sob o chamado 15218526</t>
  </si>
  <si>
    <t>Equipamento anormal - 2024. Inversor com alarme oscilando geração e não atinge potência nominal. Em tratativa sob o chamado 15218527</t>
  </si>
  <si>
    <t>Equipamento anormal - 2024. Inversor com alarme oscilando geração e não atinge potência nominal. Em tratativa sob o chamado 15218528</t>
  </si>
  <si>
    <t>Equipamento anormal - 2024. Inversor com alarme oscilando geração e não atinge potência nominal. Em tratativa sob o chamado 15218529</t>
  </si>
  <si>
    <t>Equipamento anormal - 2024. Inversor com alarme oscilando geração e não atinge potência nominal. Em tratativa sob o chamado 15218530</t>
  </si>
  <si>
    <t>Equipamento anormal - 2024. Inversor com alarme oscilando geração e não atinge potência nominal. Em tratativa sob o chamado 15218531</t>
  </si>
  <si>
    <t>Equipamento anormal - 2024. Inversor com alarme oscilando geração e não atinge potência nominal. Em tratativa sob o chamado 15218532</t>
  </si>
  <si>
    <t>Equipamento anormal - 2024. Inversor com alarme oscilando geração e não atinge potência nominal. Em tratativa sob o chamado 15218533</t>
  </si>
  <si>
    <t>Equipamento anormal - 2024. Inversor com alarme oscilando geração e não atinge potência nominal. Em tratativa sob o chamado 15218534</t>
  </si>
  <si>
    <t>Equipamento anormal - 2024. Inversor com alarme oscilando geração e não atinge potência nominal. Em tratativa sob o chamado 15218535</t>
  </si>
  <si>
    <t>Equipamento anormal - 2024. Inversor com alarme oscilando geração e não atinge potência nominal. Em tratativa sob o chamado 15218536</t>
  </si>
  <si>
    <t>Equipamento anormal - 2024. Inversor com alarme oscilando geração e não atinge potência nominal. Em tratativa sob o chamado 15218537</t>
  </si>
  <si>
    <t>Equipamento anormal - 2024. Inversor com alarme oscilando geração e não atinge potência nominal. Em tratativa sob o chamado 15218538</t>
  </si>
  <si>
    <t>Equipamento anormal - 2024. Inversor com alarme oscilando geração e não atinge potência nominal. Em tratativa sob o chamado 15218539</t>
  </si>
  <si>
    <t>Equipamento anormal - 2024. Inversor com alarme oscilando geração e não atinge potência nominal. Em tratativa sob o chamado 15218540</t>
  </si>
  <si>
    <t>Equipamento anormal - 2024. Inversor com alarme oscilando geração e não atinge potência nominal. Em tratativa sob o chamado 15218541</t>
  </si>
  <si>
    <t>Equipamento anormal - 2024. Inversor com alarme oscilando geração e não atinge potência nominal. Em tratativa sob o chamado 15218542</t>
  </si>
  <si>
    <t>Equipamento anormal - 2024. Inversor com alarme oscilando geração e não atinge potência nominal. Em tratativa sob o chamado 15218543</t>
  </si>
  <si>
    <t>Equipamento anormal - 2024. Inversor com alarme oscilando geração e não atinge potência nominal. Em tratativa sob o chamado 15218544</t>
  </si>
  <si>
    <t>Equipamento anormal - 2024. Inversor com alarme oscilando geração e não atinge potência nominal. Em tratativa sob o chamado 15218545</t>
  </si>
  <si>
    <t>Equipamento anormal - 2024. Inversor com alarme oscilando geração e não atinge potência nominal. Em tratativa sob o chamado 15218546</t>
  </si>
  <si>
    <t>Equipamento anormal - 2024. Inversor com alarme oscilando geração e não atinge potência nominal. Em tratativa sob o chamado 15218547</t>
  </si>
  <si>
    <t>Equipamento anormal - 2024. Inversor com alarme oscilando geração e não atinge potência nominal. Em tratativa sob o chamado 15218548</t>
  </si>
  <si>
    <t>Equipamento anormal - 2024. Inversor com alarme oscilando geração e não atinge potência nominal. Em tratativa sob o chamado 15218549</t>
  </si>
  <si>
    <t>Equipamento anormal - 2024. Inversor com alarme oscilando geração e não atinge potência nominal. Em tratativa sob o chamado 15218550</t>
  </si>
  <si>
    <t>Equipamento anormal - 2024. Inversor com alarme oscilando geração e não atinge potência nominal. Em tratativa sob o chamado 15218551</t>
  </si>
  <si>
    <t>Equipamento anormal - 2024. Inversor com alarme oscilando geração e não atinge potência nominal. Em tratativa sob o chamado 15218552</t>
  </si>
  <si>
    <t>Equipamento anormal - 2024. Inversor com alarme oscilando geração e não atinge potência nominal. Em tratativa sob o chamado 15218553</t>
  </si>
  <si>
    <t>Equipamento anormal - 2024. Inversor com alarme oscilando geração e não atinge potência nominal. Em tratativa sob o chamado 15218554</t>
  </si>
  <si>
    <t>Equipamento anormal - 2024. Inversor com alarme oscilando geração e não atinge potência nominal. Em tratativa sob o chamado 15218555</t>
  </si>
  <si>
    <t>Equipamento anormal - 2024. Inversor com alarme oscilando geração e não atinge potência nominal. Em tratativa sob o chamado 15218556</t>
  </si>
  <si>
    <t>Equipamento anormal - 2024. Inversor com alarme oscilando geração e não atinge potência nominal. Em tratativa sob o chamado 15218557</t>
  </si>
  <si>
    <t>Equipamento anormal - 2024. Inversor com alarme oscilando geração e não atinge potência nominal. Em tratativa sob o chamado 15218558</t>
  </si>
  <si>
    <t>Equipamento anormal - 2024. Inversor com alarme oscilando geração e não atinge potência nominal. Em tratativa sob o chamado 15218559</t>
  </si>
  <si>
    <t>Equipamento anormal - 2024. Inversor com alarme oscilando geração e não atinge potência nominal. Em tratativa sob o chamado 15218560</t>
  </si>
  <si>
    <t>Equipamento anormal - 2024. Inversor com alarme oscilando geração e não atinge potência nominal. Em tratativa sob o chamado 15218561</t>
  </si>
  <si>
    <t>Equipamento anormal - 2024. Inversor com alarme oscilando geração e não atinge potência nominal. Em tratativa sob o chamado 15218562</t>
  </si>
  <si>
    <t>Equipamento anormal - 2024. Inversor com alarme oscilando geração e não atinge potência nominal. Em tratativa sob o chamado 15218563</t>
  </si>
  <si>
    <t>Equipamento anormal - 2024. Inversor com alarme oscilando geração e não atinge potência nominal. Em tratativa sob o chamado 15218564</t>
  </si>
  <si>
    <t>Equipamento anormal - 2024. Inversor com alarme oscilando geração e não atinge potência nominal. Em tratativa sob o chamado 15218565</t>
  </si>
  <si>
    <t>Equipamento anormal - 2024. Inversor com alarme oscilando geração e não atinge potência nominal. Em tratativa sob o chamado 15218566</t>
  </si>
  <si>
    <t>Equipamento anormal - 2024. Inversor com alarme oscilando geração e não atinge potência nominal. Em tratativa sob o chamado 15218567</t>
  </si>
  <si>
    <t>Equipamento anormal - 2024. Inversor com alarme oscilando geração e não atinge potência nominal. Em tratativa sob o chamado 15218568</t>
  </si>
  <si>
    <t>Equipamento anormal - 2024. Inversor com alarme oscilando geração e não atinge potência nominal. Em tratativa sob o chamado 15218569</t>
  </si>
  <si>
    <t>Equipamento anormal - 2024. Inversor com alarme oscilando geração e não atinge potência nominal. Em tratativa sob o chamado 15218570</t>
  </si>
  <si>
    <t>Equipamento anormal - 2024. Inversor com alarme oscilando geração e não atinge potência nominal. Em tratativa sob o chamado 15218571</t>
  </si>
  <si>
    <t>Equipamento anormal - 2024. Inversor com alarme oscilando geração e não atinge potência nominal. Em tratativa sob o chamado 15218572</t>
  </si>
  <si>
    <t>Equipamento anormal - 2024. Inversor com alarme oscilando geração e não atinge potência nominal. Em tratativa sob o chamado 15218573</t>
  </si>
  <si>
    <t>Equipamento anormal - 2024. Inversor com alarme oscilando geração e não atinge potência nominal. Em tratativa sob o chamado 15218574</t>
  </si>
  <si>
    <t>Equipamento anormal - 2024. Inversor com alarme oscilando geração e não atinge potência nominal. Em tratativa sob o chamado 15218575</t>
  </si>
  <si>
    <t>Equipamento anormal - 2024. Inversor com alarme oscilando geração e não atinge potência nominal. Em tratativa sob o chamado 15218576</t>
  </si>
  <si>
    <t>Equipamento anormal - 2024. Inversor com alarme oscilando geração e não atinge potência nominal. Em tratativa sob o chamado 15218577</t>
  </si>
  <si>
    <t>Equipamento anormal - 2024. Inversor com alarme oscilando geração e não atinge potência nominal. Em tratativa sob o chamado 15218578</t>
  </si>
  <si>
    <t>Equipamento anormal - 2024. Inversor com alarme oscilando geração e não atinge potência nominal. Em tratativa sob o chamado 15218579</t>
  </si>
  <si>
    <t>Equipamento anormal - 2024. Inversor com alarme oscilando geração e não atinge potência nominal. Em tratativa sob o chamado 15218580</t>
  </si>
  <si>
    <t>Equipamento anormal - 2024. Inversor com alarme oscilando geração e não atinge potência nominal. Em tratativa sob o chamado 15218581</t>
  </si>
  <si>
    <t>Equipamento anormal - 2024. Inversor com alarme oscilando geração e não atinge potência nominal. Em tratativa sob o chamado 15218582</t>
  </si>
  <si>
    <t>Equipamento anormal - 2024. Inversor com alarme oscilando geração e não atinge potência nominal. Em tratativa sob o chamado 15218583</t>
  </si>
  <si>
    <t>Equipamento anormal - 2024. Inversor com alarme oscilando geração e não atinge potência nominal. Em tratativa sob o chamado 15218584</t>
  </si>
  <si>
    <t>Equipamento anormal - 2024. Inversor com alarme oscilando geração e não atinge potência nominal. Em tratativa sob o chamado 15218585</t>
  </si>
  <si>
    <t>Equipamento anormal - 2024. Inversor com alarme oscilando geração e não atinge potência nominal. Em tratativa sob o chamado 15218586</t>
  </si>
  <si>
    <t>Equipamento anormal - 2024. Inversor com alarme oscilando geração e não atinge potência nominal. Em tratativa sob o chamado 15218587</t>
  </si>
  <si>
    <t>Equipamento anormal - 2024. Inversor com alarme oscilando geração e não atinge potência nominal. Em tratativa sob o chamado 15218588</t>
  </si>
  <si>
    <t>Equipamento anormal - 2024. Inversor com alarme oscilando geração e não atinge potência nominal. Em tratativa sob o chamado 15218589</t>
  </si>
  <si>
    <t>Equipamento anormal - 2024. Inversor com alarme oscilando geração e não atinge potência nominal. Em tratativa sob o chamado 15218590</t>
  </si>
  <si>
    <t>Equipamento anormal - 2024. Inversor com alarme oscilando geração e não atinge potência nominal. Em tratativa sob o chamado 15218591</t>
  </si>
  <si>
    <t>Equipamento anormal - 2024. Inversor com alarme oscilando geração e não atinge potência nominal. Em tratativa sob o chamado 15218592</t>
  </si>
  <si>
    <t>Equipamento anormal - 2024. Inversor com alarme oscilando geração e não atinge potência nominal. Em tratativa sob o chamado 15218593</t>
  </si>
  <si>
    <t>Equipamento anormal - 2024. Inversor com alarme oscilando geração e não atinge potência nominal. Em tratativa sob o chamado 15218594</t>
  </si>
  <si>
    <t>Equipamento anormal - 2024. Inversor com alarme oscilando geração e não atinge potência nominal. Em tratativa sob o chamado 15218595</t>
  </si>
  <si>
    <t>Equipamento anormal - 2024. Inversor com alarme oscilando geração e não atinge potência nominal. Em tratativa sob o chamado 15218596</t>
  </si>
  <si>
    <t>Equipamento anormal - 2024. Inversor com alarme oscilando geração e não atinge potência nominal. Em tratativa sob o chamado 15218597</t>
  </si>
  <si>
    <t>Equipamento anormal - 2024. Inversor com alarme oscilando geração e não atinge potência nominal. Em tratativa sob o chamado 15218598</t>
  </si>
  <si>
    <t>Equipamento anormal - 2024. Inversor com alarme oscilando geração e não atinge potência nominal. Em tratativa sob o chamado 15218599</t>
  </si>
  <si>
    <t>Equipamento anormal - 2024. Inversor com alarme oscilando geração e não atinge potência nominal. Em tratativa sob o chamado 15218600</t>
  </si>
  <si>
    <t>Equipamento anormal - 2024. Inversor com alarme oscilando geração e não atinge potência nominal. Em tratativa sob o chamado 15218601</t>
  </si>
  <si>
    <t>Equipamento anormal - 2024. Inversor com alarme oscilando geração e não atinge potência nominal. Em tratativa sob o chamado 15218602</t>
  </si>
  <si>
    <t>Equipamento anormal - 2024. Inversor com alarme oscilando geração e não atinge potência nominal. Em tratativa sob o chamado 15218603</t>
  </si>
  <si>
    <t>Equipamento anormal - 2024. Inversor com alarme oscilando geração e não atinge potência nominal. Em tratativa sob o chamado 15218604</t>
  </si>
  <si>
    <t>Equipamento anormal - 2024. Inversor com alarme oscilando geração e não atinge potência nominal. Em tratativa sob o chamado 15218605</t>
  </si>
  <si>
    <t>Equipamento anormal - 2024. Inversor com alarme oscilando geração e não atinge potência nominal. Em tratativa sob o chamado 15218606</t>
  </si>
  <si>
    <t>Equipamento anormal - 2024. Inversor com alarme oscilando geração e não atinge potência nominal. Em tratativa sob o chamado 15218607</t>
  </si>
  <si>
    <t>Equipamento anormal - 2024. Inversor com alarme oscilando geração e não atinge potência nominal. Em tratativa sob o chamado 15218608</t>
  </si>
  <si>
    <t>Equipamento anormal - 2024. Inversor com alarme oscilando geração e não atinge potência nominal. Em tratativa sob o chamado 15218609</t>
  </si>
  <si>
    <t>Equipamento anormal - 2024. Inversor com alarme oscilando geração e não atinge potência nominal. Em tratativa sob o chamado 15218610</t>
  </si>
  <si>
    <t>Equipamento anormal - 2024. Inversor com alarme oscilando geração e não atinge potência nominal. Em tratativa sob o chamado 15218611</t>
  </si>
  <si>
    <t>Equipamento anormal - 2024. Inversor com alarme oscilando geração e não atinge potência nominal. Em tratativa sob o chamado 15218612</t>
  </si>
  <si>
    <t>Equipamento anormal - 2024. Inversor com alarme oscilando geração e não atinge potência nominal. Em tratativa sob o chamado 15218613</t>
  </si>
  <si>
    <t>Equipamento anormal - 2024. Inversor com alarme oscilando geração e não atinge potência nominal. Em tratativa sob o chamado 15218614</t>
  </si>
  <si>
    <t>Equipamento anormal - 2024. Inversor com alarme oscilando geração e não atinge potência nominal. Em tratativa sob o chamado 15218615</t>
  </si>
  <si>
    <t>Equipamento anormal - 2024. Inversor com alarme oscilando geração e não atinge potência nominal. Em tratativa sob o chamado 15218616</t>
  </si>
  <si>
    <t>Equipamento anormal - 2024. Inversor com alarme oscilando geração e não atinge potência nominal. Em tratativa sob o chamado 15218617</t>
  </si>
  <si>
    <t>Equipamento anormal - 2024. Inversor com alarme oscilando geração e não atinge potência nominal. Em tratativa sob o chamado 15218618</t>
  </si>
  <si>
    <t>Equipamento anormal - 2024. Inversor com alarme oscilando geração e não atinge potência nominal. Em tratativa sob o chamado 15218619</t>
  </si>
  <si>
    <t>Equipamento anormal - 2024. Inversor com alarme oscilando geração e não atinge potência nominal. Em tratativa sob o chamado 15218620</t>
  </si>
  <si>
    <t>Equipamento anormal - 2024. Inversor com alarme oscilando geração e não atinge potência nominal. Em tratativa sob o chamado 15218621</t>
  </si>
  <si>
    <t>Equipamento anormal - 2024. Inversor com alarme oscilando geração e não atinge potência nominal. Em tratativa sob o chamado 15218622</t>
  </si>
  <si>
    <t>Equipamento anormal - 2024. Inversor com alarme oscilando geração e não atinge potência nominal. Em tratativa sob o chamado 15218623</t>
  </si>
  <si>
    <t>Equipamento anormal - 2024. Inversor com alarme oscilando geração e não atinge potência nominal. Em tratativa sob o chamado 15218624</t>
  </si>
  <si>
    <t>Equipamento anormal - 2024. Inversor com alarme oscilando geração e não atinge potência nominal. Em tratativa sob o chamado 15218625</t>
  </si>
  <si>
    <t>Equipamento anormal - 2024. Inversor com alarme oscilando geração e não atinge potência nominal. Em tratativa sob o chamado 15218626</t>
  </si>
  <si>
    <t>Equipamento anormal - 2024. Inversor com alarme oscilando geração e não atinge potência nominal. Em tratativa sob o chamado 15218627</t>
  </si>
  <si>
    <t>Equipamento anormal - 2024. Inversor com alarme oscilando geração e não atinge potência nominal. Em tratativa sob o chamado 15218628</t>
  </si>
  <si>
    <t>Equipamento anormal - 2024. Inversor com alarme oscilando geração e não atinge potência nominal. Em tratativa sob o chamado 15218629</t>
  </si>
  <si>
    <t>Equipamento anormal - 2024. Inversor com alarme oscilando geração e não atinge potência nominal. Em tratativa sob o chamado 15218630</t>
  </si>
  <si>
    <t>Equipamento anormal - 2024. Inversor com alarme oscilando geração e não atinge potência nominal. Em tratativa sob o chamado 15218631</t>
  </si>
  <si>
    <t>Equipamento anormal - 2024. Inversor com alarme oscilando geração e não atinge potência nominal. Em tratativa sob o chamado 15218632</t>
  </si>
  <si>
    <t>Equipamento anormal - 2024. Inversor com alarme oscilando geração e não atinge potência nominal. Em tratativa sob o chamado 15218633</t>
  </si>
  <si>
    <t>Equipamento anormal - 2024. Inversor com alarme oscilando geração e não atinge potência nominal. Em tratativa sob o chamado 15218634</t>
  </si>
  <si>
    <t>Equipamento anormal - 2024. Inversor com alarme oscilando geração e não atinge potência nominal. Em tratativa sob o chamado 15218635</t>
  </si>
  <si>
    <t>Equipamento anormal - 2024. Inversor com alarme oscilando geração e não atinge potência nominal. Em tratativa sob o chamado 15218636</t>
  </si>
  <si>
    <t>Equipamento anormal - 2024. Inversor com alarme oscilando geração e não atinge potência nominal. Em tratativa sob o chamado 15218637</t>
  </si>
  <si>
    <t>Equipamento anormal - 2024. Inversor com alarme oscilando geração e não atinge potência nominal. Em tratativa sob o chamado 15218638</t>
  </si>
  <si>
    <t>Equipamento anormal - 2024. Inversor com alarme oscilando geração e não atinge potência nominal. Em tratativa sob o chamado 15218639</t>
  </si>
  <si>
    <t>Equipamento anormal - 2024. Inversor com alarme oscilando geração e não atinge potência nominal. Em tratativa sob o chamado 15218640</t>
  </si>
  <si>
    <t>Equipamento anormal - 2024. Inversor com alarme oscilando geração e não atinge potência nominal. Em tratativa sob o chamado 15218641</t>
  </si>
  <si>
    <t>Equipamento anormal - 2024. Inversor com alarme oscilando geração e não atinge potência nominal. Em tratativa sob o chamado 15218642</t>
  </si>
  <si>
    <t>Equipamento anormal - 2024. Inversor com alarme oscilando geração e não atinge potência nominal. Em tratativa sob o chamado 15218643</t>
  </si>
  <si>
    <t>Equipamento anormal - 2024. Inversor com alarme oscilando geração e não atinge potência nominal. Em tratativa sob o chamado 15218644</t>
  </si>
  <si>
    <t>Equipamento anormal - 2024. Inversor com alarme oscilando geração e não atinge potência nominal. Em tratativa sob o chamado 15218645</t>
  </si>
  <si>
    <t>Equipamento anormal - 2024. Inversor com alarme oscilando geração e não atinge potência nominal. Em tratativa sob o chamado 15218646</t>
  </si>
  <si>
    <t>Equipamento anormal - 2024. Inversor com alarme oscilando geração e não atinge potência nominal. Em tratativa sob o chamado 15218647</t>
  </si>
  <si>
    <t>Equipamento anormal - 2024. Inversor com alarme oscilando geração e não atinge potência nominal. Em tratativa sob o chamado 15218648</t>
  </si>
  <si>
    <t>Equipamento anormal - 2024. Inversor com alarme oscilando geração e não atinge potência nominal. Em tratativa sob o chamado 15218649</t>
  </si>
  <si>
    <t>Equipamento anormal - 2024. Inversor com alarme oscilando geração e não atinge potência nominal. Em tratativa sob o chamado 15218650</t>
  </si>
  <si>
    <t>Equipamento anormal - 2024. Inversor com alarme oscilando geração e não atinge potência nominal. Em tratativa sob o chamado 15218651</t>
  </si>
  <si>
    <t>Equipamento anormal - 2024. Inversor com alarme oscilando geração e não atinge potência nominal. Em tratativa sob o chamado 15218652</t>
  </si>
  <si>
    <t>Equipamento anormal - 2024. Inversor com alarme oscilando geração e não atinge potência nominal. Em tratativa sob o chamado 15218653</t>
  </si>
  <si>
    <t>Equipamento anormal - 2024. Inversor com alarme oscilando geração e não atinge potência nominal. Em tratativa sob o chamado 15218654</t>
  </si>
  <si>
    <t>Equipamento anormal - 2024. Inversor com alarme oscilando geração e não atinge potência nominal. Em tratativa sob o chamado 15218655</t>
  </si>
  <si>
    <t>Equipamento anormal - 2024. Inversor com alarme oscilando geração e não atinge potência nominal. Em tratativa sob o chamado 15218656</t>
  </si>
  <si>
    <t>Equipamento anormal - 2024. Inversor com alarme oscilando geração e não atinge potência nominal. Em tratativa sob o chamado 15218657</t>
  </si>
  <si>
    <t>Equipamento anormal - 2024. Inversor com alarme oscilando geração e não atinge potência nominal. Em tratativa sob o chamado 15218658</t>
  </si>
  <si>
    <t>Equipamento anormal - 2024. Inversor com alarme oscilando geração e não atinge potência nominal. Em tratativa sob o chamado 15218659</t>
  </si>
  <si>
    <t>Equipamento anormal - 2024. Inversor com alarme oscilando geração e não atinge potência nominal. Em tratativa sob o chamado 15218660</t>
  </si>
  <si>
    <t>Equipamento anormal - 2024. Inversor com alarme oscilando geração e não atinge potência nominal. Em tratativa sob o chamado 15218661</t>
  </si>
  <si>
    <t>Equipamento anormal - 2024. Inversor com alarme oscilando geração e não atinge potência nominal. Em tratativa sob o chamado 15218662</t>
  </si>
  <si>
    <t>Equipamento anormal - 2024. Inversor com alarme oscilando geração e não atinge potência nominal. Em tratativa sob o chamado 15218663</t>
  </si>
  <si>
    <t>Equipamento anormal - 2024. Inversor com alarme oscilando geração e não atinge potência nominal. Em tratativa sob o chamado 15218664</t>
  </si>
  <si>
    <t>Equipamento anormal - 2024. Inversor com alarme oscilando geração e não atinge potência nominal. Em tratativa sob o chamado 15218665</t>
  </si>
  <si>
    <t>Equipamento anormal - 2024. Inversor com alarme oscilando geração e não atinge potência nominal. Em tratativa sob o chamado 15218666</t>
  </si>
  <si>
    <t>Equipamento anormal - 2024. Inversor com alarme oscilando geração e não atinge potência nominal. Em tratativa sob o chamado 15218667</t>
  </si>
  <si>
    <t>Equipamento anormal - 2024. Inversor com alarme oscilando geração e não atinge potência nominal. Em tratativa sob o chamado 15218668</t>
  </si>
  <si>
    <t>Equipamento anormal - 2024. Inversor com alarme oscilando geração e não atinge potência nominal. Em tratativa sob o chamado 15218669</t>
  </si>
  <si>
    <t>Equipamento anormal - 2024. Inversor com alarme oscilando geração e não atinge potência nominal. Em tratativa sob o chamado 15218670</t>
  </si>
  <si>
    <t>Equipamento anormal - 2024. Inversor com alarme oscilando geração e não atinge potência nominal. Em tratativa sob o chamado 15218671</t>
  </si>
  <si>
    <t>Equipamento anormal - 2024. Inversor com alarme oscilando geração e não atinge potência nominal. Em tratativa sob o chamado 15218672</t>
  </si>
  <si>
    <t>Equipamento anormal - 2024. Inversor com alarme oscilando geração e não atinge potência nominal. Em tratativa sob o chamado 15218673</t>
  </si>
  <si>
    <t>Equipamento anormal - 2024. Inversor com alarme oscilando geração e não atinge potência nominal. Em tratativa sob o chamado 15218674</t>
  </si>
  <si>
    <t>Equipamento anormal - 2024. Inversor com alarme oscilando geração e não atinge potência nominal. Em tratativa sob o chamado 15218675</t>
  </si>
  <si>
    <t>Equipamento anormal - 2024. Inversor com alarme oscilando geração e não atinge potência nominal. Em tratativa sob o chamado 15218676</t>
  </si>
  <si>
    <t>Equipamento anormal - 2024. Inversor com alarme oscilando geração e não atinge potência nominal. Em tratativa sob o chamado 15218677</t>
  </si>
  <si>
    <t>Equipamento anormal - 2024. Inversor com alarme oscilando geração e não atinge potência nominal. Em tratativa sob o chamado 15218678</t>
  </si>
  <si>
    <t>Equipamento anormal - 2024. Inversor com alarme oscilando geração e não atinge potência nominal. Em tratativa sob o chamado 15218679</t>
  </si>
  <si>
    <t>Equipamento anormal - 2024. Inversor com alarme oscilando geração e não atinge potência nominal. Em tratativa sob o chamado 15218680</t>
  </si>
  <si>
    <t>Equipamento anormal - 2024. Inversor com alarme oscilando geração e não atinge potência nominal. Em tratativa sob o chamado 15218681</t>
  </si>
  <si>
    <t>Equipamento anormal - 2024. Inversor com alarme oscilando geração e não atinge potência nominal. Em tratativa sob o chamado 15218682</t>
  </si>
  <si>
    <t>Equipamento anormal - 2024. Inversor com alarme oscilando geração e não atinge potência nominal. Em tratativa sob o chamado 15218683</t>
  </si>
  <si>
    <t>Equipamento anormal - 2024. Inversor com alarme oscilando geração e não atinge potência nominal. Em tratativa sob o chamado 15218684</t>
  </si>
  <si>
    <t>Equipamento anormal - 2024. Inversor com alarme oscilando geração e não atinge potência nominal. Em tratativa sob o chamado 15218685</t>
  </si>
  <si>
    <t>Equipamento anormal - 2024. Inversor com alarme oscilando geração e não atinge potência nominal. Em tratativa sob o chamado 15218686</t>
  </si>
  <si>
    <t>Equipamento anormal - 2024. Inversor com alarme oscilando geração e não atinge potência nominal. Em tratativa sob o chamado 15218687</t>
  </si>
  <si>
    <t>Equipamento anormal - 2024. Inversor com alarme oscilando geração e não atinge potência nominal. Em tratativa sob o chamado 15218688</t>
  </si>
  <si>
    <t>Equipamento anormal - 2024. Inversor com alarme oscilando geração e não atinge potência nominal. Em tratativa sob o chamado 15218689</t>
  </si>
  <si>
    <t>Equipamento anormal - 2024. Inversor com alarme oscilando geração e não atinge potência nominal. Em tratativa sob o chamado 15218690</t>
  </si>
  <si>
    <t>Equipamento anormal - 2024. Inversor com alarme oscilando geração e não atinge potência nominal. Em tratativa sob o chamado 15218691</t>
  </si>
  <si>
    <t>Equipamento anormal - 2024. Inversor com alarme oscilando geração e não atinge potência nominal. Em tratativa sob o chamado 15218692</t>
  </si>
  <si>
    <t>Equipamento anormal - 2024. Inversor com alarme oscilando geração e não atinge potência nominal. Em tratativa sob o chamado 15218693</t>
  </si>
  <si>
    <t>Equipamento anormal - 2024. Inversor com alarme oscilando geração e não atinge potência nominal. Em tratativa sob o chamado 15218694</t>
  </si>
  <si>
    <t>Equipamento anormal - 2024. Inversor com alarme oscilando geração e não atinge potência nominal. Em tratativa sob o chamado 15218695</t>
  </si>
  <si>
    <t>Equipamento anormal - 2024. Inversor com alarme oscilando geração e não atinge potência nominal. Em tratativa sob o chamado 15218696</t>
  </si>
  <si>
    <t>Equipamento anormal - 2024. Inversor com alarme oscilando geração e não atinge potência nominal. Em tratativa sob o chamado 15218697</t>
  </si>
  <si>
    <t>Equipamento anormal - 2024. Inversor com alarme oscilando geração e não atinge potência nominal. Em tratativa sob o chamado 15218698</t>
  </si>
  <si>
    <t>Equipamento anormal - 2024. Inversor com alarme oscilando geração e não atinge potência nominal. Em tratativa sob o chamado 15218699</t>
  </si>
  <si>
    <t>Equipamento anormal - 2024. Inversor com alarme oscilando geração e não atinge potência nominal. Em tratativa sob o chamado 15218700</t>
  </si>
  <si>
    <t>Equipamento anormal - 2024. Inversor com alarme oscilando geração e não atinge potência nominal. Em tratativa sob o chamado 15218701</t>
  </si>
  <si>
    <t>Equipamento anormal - 2024. Inversor com alarme oscilando geração e não atinge potência nominal. Em tratativa sob o chamado 15218702</t>
  </si>
  <si>
    <t>Equipamento anormal - 2024. Inversor com alarme oscilando geração e não atinge potência nominal. Em tratativa sob o chamado 15218703</t>
  </si>
  <si>
    <t>Equipamento anormal - 2024. Inversor com alarme oscilando geração e não atinge potência nominal. Em tratativa sob o chamado 15218704</t>
  </si>
  <si>
    <t>Equipamento anormal - 2024. Inversor com alarme oscilando geração e não atinge potência nominal. Em tratativa sob o chamado 15218705</t>
  </si>
  <si>
    <t>Equipamento anormal - 2024. Inversor com alarme oscilando geração e não atinge potência nominal. Em tratativa sob o chamado 15218706</t>
  </si>
  <si>
    <t>Equipamento anormal - 2024. Inversor com alarme oscilando geração e não atinge potência nominal. Em tratativa sob o chamado 15218707</t>
  </si>
  <si>
    <t>Equipamento anormal - 2024. Inversor com alarme oscilando geração e não atinge potência nominal. Em tratativa sob o chamado 15218708</t>
  </si>
  <si>
    <t>Equipamento anormal - 2024. Inversor com alarme oscilando geração e não atinge potência nominal. Em tratativa sob o chamado 15218709</t>
  </si>
  <si>
    <t>Equipamento anormal - 2024. Inversor com alarme oscilando geração e não atinge potência nominal. Em tratativa sob o chamado 15218710</t>
  </si>
  <si>
    <t>Equipamento anormal - 2024. Inversor com alarme oscilando geração e não atinge potência nominal. Em tratativa sob o chamado 15218711</t>
  </si>
  <si>
    <t>Equipamento anormal - 2024. Inversor com alarme oscilando geração e não atinge potência nominal. Em tratativa sob o chamado 15218712</t>
  </si>
  <si>
    <t>Equipamento anormal - 2024. Inversor com alarme oscilando geração e não atinge potência nominal. Em tratativa sob o chamado 15218713</t>
  </si>
  <si>
    <t>Equipamento anormal - 2024. Inversor com alarme oscilando geração e não atinge potência nominal. Em tratativa sob o chamado 15218714</t>
  </si>
  <si>
    <t>Equipamento anormal - 2024. Inversor com alarme oscilando geração e não atinge potência nominal. Em tratativa sob o chamado 15218715</t>
  </si>
  <si>
    <t>Equipamento anormal - 2024. Inversor com alarme oscilando geração e não atinge potência nominal. Em tratativa sob o chamado 15218716</t>
  </si>
  <si>
    <t>Equipamento anormal - 2024. Inversor com alarme oscilando geração e não atinge potência nominal. Em tratativa sob o chamado 15218717</t>
  </si>
  <si>
    <t>Equipamento anormal - 2024. Inversor com alarme oscilando geração e não atinge potência nominal. Em tratativa sob o chamado 15218718</t>
  </si>
  <si>
    <t>Equipamento anormal - 2024. Inversor com alarme oscilando geração e não atinge potência nominal. Em tratativa sob o chamado 15218719</t>
  </si>
  <si>
    <t>Equipamento anormal - 2024. Inversor com alarme oscilando geração e não atinge potência nominal. Em tratativa sob o chamado 15218720</t>
  </si>
  <si>
    <t>Equipamento anormal - 2024. Inversor com alarme oscilando geração e não atinge potência nominal. Em tratativa sob o chamado 15218721</t>
  </si>
  <si>
    <t>Equipamento anormal - 2024. Inversor com alarme oscilando geração e não atinge potência nominal. Em tratativa sob o chamado 15218722</t>
  </si>
  <si>
    <t>Equipamento anormal - 2024. Inversor com alarme oscilando geração e não atinge potência nominal. Em tratativa sob o chamado 15218723</t>
  </si>
  <si>
    <t>Equipamento anormal - 2024. Inversor com alarme oscilando geração e não atinge potência nominal. Em tratativa sob o chamado 15218724</t>
  </si>
  <si>
    <t>Equipamento anormal - 2024. Inversor com alarme oscilando geração e não atinge potência nominal. Em tratativa sob o chamado 15218725</t>
  </si>
  <si>
    <t>Equipamento anormal - 2024. Inversor com alarme oscilando geração e não atinge potência nominal. Em tratativa sob o chamado 15218726</t>
  </si>
  <si>
    <t>Equipamento anormal - 2024. Inversor com alarme oscilando geração e não atinge potência nominal. Em tratativa sob o chamado 15218727</t>
  </si>
  <si>
    <t>Equipamento anormal - 2024. Inversor com alarme oscilando geração e não atinge potência nominal. Em tratativa sob o chamado 15218728</t>
  </si>
  <si>
    <t>Equipamento anormal - 2024. Inversor com alarme oscilando geração e não atinge potência nominal. Em tratativa sob o chamado 15218729</t>
  </si>
  <si>
    <t>Equipamento anormal - 2024. Inversor com alarme oscilando geração e não atinge potência nominal. Em tratativa sob o chamado 15218730</t>
  </si>
  <si>
    <t>Equipamento anormal - 2024. Inversor com alarme oscilando geração e não atinge potência nominal. Em tratativa sob o chamado 15218731</t>
  </si>
  <si>
    <t>Equipamento anormal - 2024. Inversor com alarme oscilando geração e não atinge potência nominal. Em tratativa sob o chamado 15218732</t>
  </si>
  <si>
    <t>Equipamento anormal - 2024. Inversor com alarme oscilando geração e não atinge potência nominal. Em tratativa sob o chamado 15218733</t>
  </si>
  <si>
    <t>Equipamento anormal - 2024. Inversor com alarme oscilando geração e não atinge potência nominal. Em tratativa sob o chamado 15218734</t>
  </si>
  <si>
    <t>Equipamento anormal - 2024. Inversor com alarme oscilando geração e não atinge potência nominal. Em tratativa sob o chamado 15218735</t>
  </si>
  <si>
    <t>Equipamento anormal - 2024. Inversor com alarme oscilando geração e não atinge potência nominal. Em tratativa sob o chamado 15218736</t>
  </si>
  <si>
    <t>Equipamento anormal - 2024. Inversor com alarme oscilando geração e não atinge potência nominal. Em tratativa sob o chamado 15218737</t>
  </si>
  <si>
    <t>Equipamento anormal - 2024. Inversor com alarme oscilando geração e não atinge potência nominal. Em tratativa sob o chamado 15218738</t>
  </si>
  <si>
    <t>Equipamento anormal - 2024. Inversor com alarme oscilando geração e não atinge potência nominal. Em tratativa sob o chamado 15218739</t>
  </si>
  <si>
    <t>Equipamento anormal - 2024. Inversor com alarme oscilando geração e não atinge potência nominal. Em tratativa sob o chamado 15218740</t>
  </si>
  <si>
    <t>Equipamento anormal - 2024. Inversor com alarme oscilando geração e não atinge potência nominal. Em tratativa sob o chamado 15218741</t>
  </si>
  <si>
    <t>Equipamento anormal - 2024. Inversor com alarme oscilando geração e não atinge potência nominal. Em tratativa sob o chamado 15218742</t>
  </si>
  <si>
    <t>Equipamento anormal - 2024. Inversor com alarme oscilando geração e não atinge potência nominal. Em tratativa sob o chamado 15218743</t>
  </si>
  <si>
    <t>Equipamento anormal - 2024. Inversor com alarme oscilando geração e não atinge potência nominal. Em tratativa sob o chamado 15218744</t>
  </si>
  <si>
    <t>Equipamento anormal - 2024. Inversor com alarme oscilando geração e não atinge potência nominal. Em tratativa sob o chamado 15218745</t>
  </si>
  <si>
    <t>Equipamento anormal - 2024. Inversor com alarme oscilando geração e não atinge potência nominal. Em tratativa sob o chamado 15218746</t>
  </si>
  <si>
    <t>Equipamento anormal - 2024. Inversor com alarme oscilando geração e não atinge potência nominal. Em tratativa sob o chamado 15218747</t>
  </si>
  <si>
    <t>Equipamento anormal - 2024. Inversor com alarme oscilando geração e não atinge potência nominal. Em tratativa sob o chamado 15218748</t>
  </si>
  <si>
    <t>Equipamento anormal - 2024. Inversor com alarme oscilando geração e não atinge potência nominal. Em tratativa sob o chamado 15218749</t>
  </si>
  <si>
    <t>Equipamento anormal - 2024. Inversor com alarme oscilando geração e não atinge potência nominal. Em tratativa sob o chamado 15218750</t>
  </si>
  <si>
    <t>Equipamento anormal - 2024. Inversor com alarme oscilando geração e não atinge potência nominal. Em tratativa sob o chamado 15218751</t>
  </si>
  <si>
    <t>Equipamento anormal - 2024. Inversor com alarme oscilando geração e não atinge potência nominal. Em tratativa sob o chamado 15218752</t>
  </si>
  <si>
    <t>Equipamento anormal - 2024. Inversor com alarme oscilando geração e não atinge potência nominal. Em tratativa sob o chamado 15218753</t>
  </si>
  <si>
    <t>Equipamento anormal - 2024. Inversor com alarme oscilando geração e não atinge potência nominal. Em tratativa sob o chamado 15218754</t>
  </si>
  <si>
    <t>Equipamento anormal - 2024. Inversor com alarme oscilando geração e não atinge potência nominal. Em tratativa sob o chamado 15218755</t>
  </si>
  <si>
    <t>Equipamento anormal - 2024. Inversor com alarme oscilando geração e não atinge potência nominal. Em tratativa sob o chamado 15218756</t>
  </si>
  <si>
    <t>Equipamento anormal - 2024. Inversor com alarme oscilando geração e não atinge potência nominal. Em tratativa sob o chamado 15218757</t>
  </si>
  <si>
    <t>Equipamento anormal - 2024. Inversor com alarme oscilando geração e não atinge potência nominal. Em tratativa sob o chamado 15218758</t>
  </si>
  <si>
    <t>Equipamento anormal - 2024. Inversor com alarme oscilando geração e não atinge potência nominal. Em tratativa sob o chamado 15218759</t>
  </si>
  <si>
    <t>Equipamento anormal - 2024. Inversor com alarme oscilando geração e não atinge potência nominal. Em tratativa sob o chamado 15218760</t>
  </si>
  <si>
    <t>Equipamento anormal - 2024. Inversor com alarme oscilando geração e não atinge potência nominal. Em tratativa sob o chamado 15218761</t>
  </si>
  <si>
    <t>Equipamento anormal - 2024. Inversor com alarme oscilando geração e não atinge potência nominal. Em tratativa sob o chamado 15218762</t>
  </si>
  <si>
    <t>Equipamento anormal - 2024. Inversor com alarme oscilando geração e não atinge potência nominal. Em tratativa sob o chamado 15218763</t>
  </si>
  <si>
    <t>Equipamento anormal - 2024. Inversor com alarme oscilando geração e não atinge potência nominal. Em tratativa sob o chamado 15218764</t>
  </si>
  <si>
    <t>Equipamento anormal - 2024. Inversor com alarme oscilando geração e não atinge potência nominal. Em tratativa sob o chamado 15218765</t>
  </si>
  <si>
    <t>Equipamento anormal - 2024. Inversor com alarme oscilando geração e não atinge potência nominal. Em tratativa sob o chamado 15218766</t>
  </si>
  <si>
    <t>Equipamento anormal - 2024. Inversor com alarme oscilando geração e não atinge potência nominal. Em tratativa sob o chamado 15218767</t>
  </si>
  <si>
    <t>Equipamento anormal - 2024. Inversor com alarme oscilando geração e não atinge potência nominal. Em tratativa sob o chamado 15218768</t>
  </si>
  <si>
    <t>Equipamento anormal - 2024. Inversor com alarme oscilando geração e não atinge potência nominal. Em tratativa sob o chamado 15218769</t>
  </si>
  <si>
    <t>Equipamento anormal - 2024. Inversor com alarme oscilando geração e não atinge potência nominal. Em tratativa sob o chamado 15218770</t>
  </si>
  <si>
    <t>Equipamento anormal - 2024. Inversor com alarme oscilando geração e não atinge potência nominal. Em tratativa sob o chamado 15218771</t>
  </si>
  <si>
    <t>Equipamento anormal - 2024. Inversor com alarme oscilando geração e não atinge potência nominal. Em tratativa sob o chamado 15218772</t>
  </si>
  <si>
    <t>Equipamento anormal - 2024. Inversor com alarme oscilando geração e não atinge potência nominal. Em tratativa sob o chamado 15218773</t>
  </si>
  <si>
    <t>Equipamento anormal - 2024. Inversor com alarme oscilando geração e não atinge potência nominal. Em tratativa sob o chamado 15218774</t>
  </si>
  <si>
    <t>Equipamento anormal - 2024. Inversor com alarme oscilando geração e não atinge potência nominal. Em tratativa sob o chamado 15218775</t>
  </si>
  <si>
    <t>Equipamento anormal - 2024. Inversor com alarme oscilando geração e não atinge potência nominal. Em tratativa sob o chamado 15218776</t>
  </si>
  <si>
    <t>Equipamento anormal - 2024. Inversor com alarme oscilando geração e não atinge potência nominal. Em tratativa sob o chamado 15218777</t>
  </si>
  <si>
    <t>Equipamento anormal - 2024. Inversor com alarme oscilando geração e não atinge potência nominal. Em tratativa sob o chamado 15218778</t>
  </si>
  <si>
    <t>Equipamento anormal - 2024. Inversor com alarme oscilando geração e não atinge potência nominal. Em tratativa sob o chamado 15218779</t>
  </si>
  <si>
    <t>Equipamento anormal - 2024. Inversor com alarme oscilando geração e não atinge potência nominal. Em tratativa sob o chamado 15218780</t>
  </si>
  <si>
    <t>Equipamento anormal - 2024. Inversor com alarme oscilando geração e não atinge potência nominal. Em tratativa sob o chamado 15218781</t>
  </si>
  <si>
    <t>Equipamento anormal - 2024. Inversor com alarme oscilando geração e não atinge potência nominal. Em tratativa sob o chamado 15218782</t>
  </si>
  <si>
    <t>Equipamento anormal - 2024. Inversor com alarme oscilando geração e não atinge potência nominal. Em tratativa sob o chamado 15218783</t>
  </si>
  <si>
    <t>Equipamento anormal - 2024. Inversor com alarme oscilando geração e não atinge potência nominal. Em tratativa sob o chamado 15218784</t>
  </si>
  <si>
    <t>Equipamento anormal - 2024. Inversor com alarme oscilando geração e não atinge potência nominal. Em tratativa sob o chamado 15218785</t>
  </si>
  <si>
    <t>Equipamento anormal - 2024. Inversor com alarme oscilando geração e não atinge potência nominal. Em tratativa sob o chamado 15218786</t>
  </si>
  <si>
    <t>Equipamento anormal - 2024. Inversor com alarme oscilando geração e não atinge potência nominal. Em tratativa sob o chamado 15218787</t>
  </si>
  <si>
    <t>Equipamento anormal - 2024. Inversor com alarme oscilando geração e não atinge potência nominal. Em tratativa sob o chamado 15218788</t>
  </si>
  <si>
    <t>Equipamento anormal - 2024. Inversor com alarme oscilando geração e não atinge potência nominal. Em tratativa sob o chamado 15218789</t>
  </si>
  <si>
    <t>Equipamento anormal - 2024. Inversor com alarme oscilando geração e não atinge potência nominal. Em tratativa sob o chamado 15218790</t>
  </si>
  <si>
    <t>Equipamento anormal - 2024. Inversor com alarme oscilando geração e não atinge potência nominal. Em tratativa sob o chamado 15218791</t>
  </si>
  <si>
    <t>Equipamento anormal - 2024. Inversor com alarme oscilando geração e não atinge potência nominal. Em tratativa sob o chamado 15218792</t>
  </si>
  <si>
    <t>Equipamento anormal - 2024. Inversor com alarme oscilando geração e não atinge potência nominal. Em tratativa sob o chamado 15218793</t>
  </si>
  <si>
    <t>Equipamento anormal - 2024. Inversor com alarme oscilando geração e não atinge potência nominal. Em tratativa sob o chamado 15218794</t>
  </si>
  <si>
    <t>Equipamento anormal - 2024. Inversor com alarme oscilando geração e não atinge potência nominal. Em tratativa sob o chamado 15218795</t>
  </si>
  <si>
    <t>Equipamento anormal - 2024. Inversor com alarme oscilando geração e não atinge potência nominal. Em tratativa sob o chamado 15218796</t>
  </si>
  <si>
    <t>Equipamento anormal - 2024. Inversor com alarme oscilando geração e não atinge potência nominal. Em tratativa sob o chamado 15218797</t>
  </si>
  <si>
    <t>Equipamento anormal - 2024. Inversor com alarme oscilando geração e não atinge potência nominal. Em tratativa sob o chamado 15218798</t>
  </si>
  <si>
    <t>Equipamento anormal - 2024. Inversor com alarme oscilando geração e não atinge potência nominal. Em tratativa sob o chamado 15218799</t>
  </si>
  <si>
    <t>Equipamento anormal - 2024. Inversor com alarme oscilando geração e não atinge potência nominal. Em tratativa sob o chamado 15218800</t>
  </si>
  <si>
    <t>Equipamento anormal - 2024. Inversor com alarme oscilando geração e não atinge potência nominal. Em tratativa sob o chamado 15218801</t>
  </si>
  <si>
    <t>Equipamento anormal - 2024. Inversor com alarme oscilando geração e não atinge potência nominal. Em tratativa sob o chamado 15218802</t>
  </si>
  <si>
    <t>Equipamento anormal - 2024. Inversor com alarme oscilando geração e não atinge potência nominal. Em tratativa sob o chamado 15218803</t>
  </si>
  <si>
    <t>Equipamento anormal - 2024. Inversor com alarme oscilando geração e não atinge potência nominal. Em tratativa sob o chamado 15218804</t>
  </si>
  <si>
    <t>Equipamento anormal - 2024. Inversor com alarme oscilando geração e não atinge potência nominal. Em tratativa sob o chamado 15218805</t>
  </si>
  <si>
    <t>Equipamento anormal - 2024. Inversor com alarme oscilando geração e não atinge potência nominal. Em tratativa sob o chamado 15218806</t>
  </si>
  <si>
    <t>Equipamento anormal - 2024. Inversor com alarme oscilando geração e não atinge potência nominal. Em tratativa sob o chamado 15218807</t>
  </si>
  <si>
    <t>Equipamento anormal - 2024. Inversor com alarme oscilando geração e não atinge potência nominal. Em tratativa sob o chamado 15218808</t>
  </si>
  <si>
    <t>Equipamento anormal - 2024. Inversor com alarme oscilando geração e não atinge potência nominal. Em tratativa sob o chamado 15218809</t>
  </si>
  <si>
    <t>Equipamento anormal - 2024. Inversor com alarme oscilando geração e não atinge potência nominal. Em tratativa sob o chamado 15218810</t>
  </si>
  <si>
    <t>Equipamento anormal - 2024. Inversor com alarme oscilando geração e não atinge potência nominal. Em tratativa sob o chamado 15218811</t>
  </si>
  <si>
    <t>Equipamento anormal - 2024. Inversor com alarme oscilando geração e não atinge potência nominal. Em tratativa sob o chamado 15218812</t>
  </si>
  <si>
    <t>Equipamento anormal - 2024. Inversor com alarme oscilando geração e não atinge potência nominal. Em tratativa sob o chamado 15218813</t>
  </si>
  <si>
    <t>Equipamento anormal - 2024. Inversor com alarme oscilando geração e não atinge potência nominal. Em tratativa sob o chamado 15218814</t>
  </si>
  <si>
    <t>Equipamento anormal - 2024. Inversor com alarme oscilando geração e não atinge potência nominal. Em tratativa sob o chamado 15218815</t>
  </si>
  <si>
    <t>Equipamento anormal - 2024. Inversor com alarme oscilando geração e não atinge potência nominal. Em tratativa sob o chamado 15218816</t>
  </si>
  <si>
    <t>Equipamento anormal - 2024. Inversor com alarme oscilando geração e não atinge potência nominal. Em tratativa sob o chamado 15218817</t>
  </si>
  <si>
    <t>Equipamento anormal - 2024. Inversor com alarme oscilando geração e não atinge potência nominal. Em tratativa sob o chamado 15218818</t>
  </si>
  <si>
    <t>Equipamento anormal - 2024. Inversor com alarme oscilando geração e não atinge potência nominal. Em tratativa sob o chamado 15218819</t>
  </si>
  <si>
    <t>Equipamento anormal - 2024. Inversor com alarme oscilando geração e não atinge potência nominal. Em tratativa sob o chamado 15218820</t>
  </si>
  <si>
    <t>Equipamento anormal - 2024. Inversor com alarme oscilando geração e não atinge potência nominal. Em tratativa sob o chamado 15218821</t>
  </si>
  <si>
    <t>Equipamento anormal - 2024. Inversor com alarme oscilando geração e não atinge potência nominal. Em tratativa sob o chamado 15218822</t>
  </si>
  <si>
    <t>Equipamento anormal - 2024. Inversor com alarme oscilando geração e não atinge potência nominal. Em tratativa sob o chamado 15218823</t>
  </si>
  <si>
    <t>Equipamento anormal - 2024. Inversor com alarme oscilando geração e não atinge potência nominal. Em tratativa sob o chamado 15218824</t>
  </si>
  <si>
    <t>Equipamento anormal - 2024. Inversor com alarme oscilando geração e não atinge potência nominal. Em tratativa sob o chamado 15218825</t>
  </si>
  <si>
    <t>Equipamento anormal - 2024. Inversor com alarme oscilando geração e não atinge potência nominal. Em tratativa sob o chamado 15218826</t>
  </si>
  <si>
    <t>Equipamento anormal - 2024. Inversor com alarme oscilando geração e não atinge potência nominal. Em tratativa sob o chamado 15218827</t>
  </si>
  <si>
    <t>Equipamento anormal - 2024. Inversor com alarme oscilando geração e não atinge potência nominal. Em tratativa sob o chamado 15218828</t>
  </si>
  <si>
    <t>Equipamento anormal - 2024. Inversor com alarme oscilando geração e não atinge potência nominal. Em tratativa sob o chamado 15218829</t>
  </si>
  <si>
    <t>Equipamento anormal - 2024. Inversor com alarme oscilando geração e não atinge potência nominal. Em tratativa sob o chamado 15218830</t>
  </si>
  <si>
    <t>Equipamento anormal - 2024. Inversor com alarme oscilando geração e não atinge potência nominal. Em tratativa sob o chamado 15218831</t>
  </si>
  <si>
    <t>Equipamento anormal - 2024. Inversor com alarme oscilando geração e não atinge potência nominal. Em tratativa sob o chamado 15218832</t>
  </si>
  <si>
    <t>Equipamento anormal - 2024. Inversor com alarme oscilando geração e não atinge potência nominal. Em tratativa sob o chamado 15218833</t>
  </si>
  <si>
    <t>Equipamento anormal - 2024. Inversor com alarme oscilando geração e não atinge potência nominal. Em tratativa sob o chamado 15218834</t>
  </si>
  <si>
    <t>Equipamento anormal - 2024. Inversor com alarme oscilando geração e não atinge potência nominal. Em tratativa sob o chamado 15218835</t>
  </si>
  <si>
    <t>Equipamento anormal - 2024. Inversor com alarme oscilando geração e não atinge potência nominal. Em tratativa sob o chamado 15218836</t>
  </si>
  <si>
    <t>Equipamento anormal - 2024. Inversor com alarme oscilando geração e não atinge potência nominal. Em tratativa sob o chamado 15218837</t>
  </si>
  <si>
    <t>Equipamento anormal - 2024. Inversor com alarme oscilando geração e não atinge potência nominal. Em tratativa sob o chamado 15218838</t>
  </si>
  <si>
    <t>Equipamento anormal - 2024. Inversor com alarme oscilando geração e não atinge potência nominal. Em tratativa sob o chamado 15218839</t>
  </si>
  <si>
    <t>Equipamento anormal - 2024. Inversor com alarme oscilando geração e não atinge potência nominal. Em tratativa sob o chamado 15218840</t>
  </si>
  <si>
    <t>Equipamento anormal - 2024. Inversor com alarme oscilando geração e não atinge potência nominal. Em tratativa sob o chamado 15218841</t>
  </si>
  <si>
    <t>Equipamento anormal - 2024. Inversor com alarme oscilando geração e não atinge potência nominal. Em tratativa sob o chamado 15218842</t>
  </si>
  <si>
    <t>Equipamento anormal - 2024. Inversor com alarme oscilando geração e não atinge potência nominal. Em tratativa sob o chamado 15218843</t>
  </si>
  <si>
    <t>Equipamento anormal - 2024. Inversor com alarme oscilando geração e não atinge potência nominal. Em tratativa sob o chamado 15218844</t>
  </si>
  <si>
    <t>Equipamento anormal - 2024. Inversor com alarme oscilando geração e não atinge potência nominal. Em tratativa sob o chamado 15218845</t>
  </si>
  <si>
    <t>Equipamento anormal - 2024. Inversor com alarme oscilando geração e não atinge potência nominal. Em tratativa sob o chamado 15218846</t>
  </si>
  <si>
    <t>Equipamento anormal - 2024. Inversor com alarme oscilando geração e não atinge potência nominal. Em tratativa sob o chamado 15218847</t>
  </si>
  <si>
    <t>Equipamento anormal - 2024. Inversor com alarme oscilando geração e não atinge potência nominal. Em tratativa sob o chamado 15218848</t>
  </si>
  <si>
    <t>Equipamento anormal - 2024. Inversor com alarme oscilando geração e não atinge potência nominal. Em tratativa sob o chamado 15218849</t>
  </si>
  <si>
    <t>Equipamento anormal - 2024. Inversor com alarme oscilando geração e não atinge potência nominal. Em tratativa sob o chamado 15218850</t>
  </si>
  <si>
    <t>Equipamento anormal - 2024. Inversor com alarme oscilando geração e não atinge potência nominal. Em tratativa sob o chamado 15218851</t>
  </si>
  <si>
    <t>Equipamento anormal - 2024. Inversor com alarme oscilando geração e não atinge potência nominal. Em tratativa sob o chamado 15218852</t>
  </si>
  <si>
    <t>Equipamento anormal - 2024. Inversor com alarme oscilando geração e não atinge potência nominal. Em tratativa sob o chamado 15218853</t>
  </si>
  <si>
    <t>Equipamento anormal - 2024. Inversor com alarme oscilando geração e não atinge potência nominal. Em tratativa sob o chamado 15218854</t>
  </si>
  <si>
    <t>Equipamento anormal - 2024. Inversor com alarme oscilando geração e não atinge potência nominal. Em tratativa sob o chamado 15218855</t>
  </si>
  <si>
    <t>Equipamento anormal - 2024. Inversor com alarme oscilando geração e não atinge potência nominal. Em tratativa sob o chamado 15218856</t>
  </si>
  <si>
    <t>Equipamento anormal - 2024. Inversor com alarme oscilando geração e não atinge potência nominal. Em tratativa sob o chamado 15218857</t>
  </si>
  <si>
    <t>Equipamento anormal - 2024. Inversor com alarme oscilando geração e não atinge potência nominal. Em tratativa sob o chamado 15218858</t>
  </si>
  <si>
    <t>Equipamento anormal - 2024. Inversor com alarme oscilando geração e não atinge potência nominal. Em tratativa sob o chamado 15218859</t>
  </si>
  <si>
    <t>Equipamento anormal - 2024. Inversor com alarme oscilando geração e não atinge potência nominal. Em tratativa sob o chamado 15218860</t>
  </si>
  <si>
    <t>Equipamento anormal - 2024. Inversor com alarme oscilando geração e não atinge potência nominal. Em tratativa sob o chamado 15218861</t>
  </si>
  <si>
    <t>Equipamento anormal - 2024. Inversor com alarme oscilando geração e não atinge potência nominal. Em tratativa sob o chamado 15218862</t>
  </si>
  <si>
    <t>Equipamento anormal - 2024. Inversor com alarme oscilando geração e não atinge potência nominal. Em tratativa sob o chamado 15218863</t>
  </si>
  <si>
    <t>Equipamento anormal - 2024. Inversor com alarme oscilando geração e não atinge potência nominal. Em tratativa sob o chamado 15218864</t>
  </si>
  <si>
    <t>Equipamento anormal - 2024. Inversor com alarme oscilando geração e não atinge potência nominal. Em tratativa sob o chamado 15218865</t>
  </si>
  <si>
    <t>Equipamento anormal - 2024. Inversor com alarme oscilando geração e não atinge potência nominal. Em tratativa sob o chamado 15218866</t>
  </si>
  <si>
    <t>Equipamento anormal - 2024. Inversor com alarme oscilando geração e não atinge potência nominal. Em tratativa sob o chamado 15218867</t>
  </si>
  <si>
    <t>Equipamento anormal - 2024. Inversor com alarme oscilando geração e não atinge potência nominal. Em tratativa sob o chamado 15218868</t>
  </si>
  <si>
    <t>Equipamento anormal - 2024. Inversor com alarme oscilando geração e não atinge potência nominal. Em tratativa sob o chamado 15218869</t>
  </si>
  <si>
    <t>Equipamento anormal - 2024. Inversor com alarme oscilando geração e não atinge potência nominal. Em tratativa sob o chamado 15218870</t>
  </si>
  <si>
    <t>Equipamento anormal - 2024. Inversor com alarme oscilando geração e não atinge potência nominal. Em tratativa sob o chamado 15218871</t>
  </si>
  <si>
    <t>Equipamento anormal - 2024. Inversor com alarme oscilando geração e não atinge potência nominal. Em tratativa sob o chamado 15218872</t>
  </si>
  <si>
    <t>Equipamento anormal - 2024. Inversor com alarme oscilando geração e não atinge potência nominal. Em tratativa sob o chamado 15218873</t>
  </si>
  <si>
    <t>Equipamento anormal - 2024. Inversor com alarme oscilando geração e não atinge potência nominal. Em tratativa sob o chamado 15218874</t>
  </si>
  <si>
    <t>Equipamento anormal - 2024. Inversor com alarme oscilando geração e não atinge potência nominal. Em tratativa sob o chamado 15218875</t>
  </si>
  <si>
    <t>Equipamento anormal - 2024. Inversor com alarme oscilando geração e não atinge potência nominal. Em tratativa sob o chamado 15218876</t>
  </si>
  <si>
    <t>Equipamento anormal - 2024. Inversor com alarme oscilando geração e não atinge potência nominal. Em tratativa sob o chamado 15218877</t>
  </si>
  <si>
    <t>Equipamento anormal - 2024. Inversor com alarme oscilando geração e não atinge potência nominal. Em tratativa sob o chamado 15218878</t>
  </si>
  <si>
    <t>Equipamento anormal - 2024. Inversor com alarme oscilando geração e não atinge potência nominal. Em tratativa sob o chamado 15218879</t>
  </si>
  <si>
    <t>Equipamento anormal - 2024. Inversor com alarme oscilando geração e não atinge potência nominal. Em tratativa sob o chamado 15218880</t>
  </si>
  <si>
    <t>Equipamento anormal - 2024. Inversor com alarme oscilando geração e não atinge potência nominal. Em tratativa sob o chamado 15218881</t>
  </si>
  <si>
    <t>Equipamento anormal - 2024. Inversor com alarme oscilando geração e não atinge potência nominal. Em tratativa sob o chamado 15218882</t>
  </si>
  <si>
    <t>Equipamento anormal - 2024. Inversor com alarme oscilando geração e não atinge potência nominal. Em tratativa sob o chamado 15218883</t>
  </si>
  <si>
    <t>Equipamento anormal - 2024. Inversor com alarme oscilando geração e não atinge potência nominal. Em tratativa sob o chamado 15218884</t>
  </si>
  <si>
    <t>Equipamento anormal - 2024. Inversor com alarme oscilando geração e não atinge potência nominal. Em tratativa sob o chamado 15218885</t>
  </si>
  <si>
    <t>Equipamento anormal - 2024. Inversor com alarme oscilando geração e não atinge potência nominal. Em tratativa sob o chamado 15218886</t>
  </si>
  <si>
    <t>Equipamento anormal - 2024. Inversor com alarme oscilando geração e não atinge potência nominal. Em tratativa sob o chamado 15218887</t>
  </si>
  <si>
    <t>Equipamento anormal - 2024. Inversor com alarme oscilando geração e não atinge potência nominal. Em tratativa sob o chamado 15218888</t>
  </si>
  <si>
    <t>Equipamento anormal - 2024. Inversor com alarme oscilando geração e não atinge potência nominal. Em tratativa sob o chamado 15218889</t>
  </si>
  <si>
    <t>Equipamento anormal - 2024. Inversor com alarme oscilando geração e não atinge potência nominal. Em tratativa sob o chamado 15218890</t>
  </si>
  <si>
    <t>Equipamento anormal - 2024. Inversor com alarme oscilando geração e não atinge potência nominal. Em tratativa sob o chamado 15218891</t>
  </si>
  <si>
    <t>Equipamento anormal - 2024. Inversor com alarme oscilando geração e não atinge potência nominal. Em tratativa sob o chamado 15218892</t>
  </si>
  <si>
    <t>Equipamento anormal - 2024. Inversor com alarme oscilando geração e não atinge potência nominal. Em tratativa sob o chamado 15218893</t>
  </si>
  <si>
    <t>Equipamento anormal - 2024. Inversor com alarme oscilando geração e não atinge potência nominal. Em tratativa sob o chamado 15218894</t>
  </si>
  <si>
    <t>Equipamento anormal - 2024. Inversor com alarme oscilando geração e não atinge potência nominal. Em tratativa sob o chamado 15218895</t>
  </si>
  <si>
    <t>Equipamento anormal - 2024. Inversor com alarme oscilando geração e não atinge potência nominal. Em tratativa sob o chamado 15218896</t>
  </si>
  <si>
    <t>Equipamento anormal - 2024. Inversor com alarme oscilando geração e não atinge potência nominal. Em tratativa sob o chamado 15218897</t>
  </si>
  <si>
    <t>Equipamento anormal - 2024. Inversor com alarme oscilando geração e não atinge potência nominal. Em tratativa sob o chamado 15218898</t>
  </si>
  <si>
    <t>Equipamento anormal - 2024. Inversor com alarme oscilando geração e não atinge potência nominal. Em tratativa sob o chamado 15218899</t>
  </si>
  <si>
    <t>Equipamento anormal - 2024. Inversor com alarme oscilando geração e não atinge potência nominal. Em tratativa sob o chamado 15218900</t>
  </si>
  <si>
    <t>Equipamento anormal - 2024. Inversor com alarme oscilando geração e não atinge potência nominal. Em tratativa sob o chamado 15218901</t>
  </si>
  <si>
    <t>Equipamento anormal - 2024. Inversor com alarme oscilando geração e não atinge potência nominal. Em tratativa sob o chamado 15218902</t>
  </si>
  <si>
    <t>Equipamento anormal - 2024. Inversor com alarme oscilando geração e não atinge potência nominal. Em tratativa sob o chamado 15218903</t>
  </si>
  <si>
    <t>Equipamento anormal - 2024. Inversor com alarme oscilando geração e não atinge potência nominal. Em tratativa sob o chamado 15218904</t>
  </si>
  <si>
    <t>Equipamento anormal - 2024. Inversor com alarme oscilando geração e não atinge potência nominal. Em tratativa sob o chamado 15218905</t>
  </si>
  <si>
    <t>Equipamento anormal - 2024. Inversor com alarme oscilando geração e não atinge potência nominal. Em tratativa sob o chamado 15218906</t>
  </si>
  <si>
    <t>Equipamento anormal - 2024. Inversor com alarme oscilando geração e não atinge potência nominal. Em tratativa sob o chamado 15218907</t>
  </si>
  <si>
    <t>Equipamento anormal - 2024. Inversor com alarme oscilando geração e não atinge potência nominal. Em tratativa sob o chamado 15218908</t>
  </si>
  <si>
    <t>Equipamento anormal - 2024. Inversor com alarme oscilando geração e não atinge potência nominal. Em tratativa sob o chamado 15218909</t>
  </si>
  <si>
    <t>Equipamento anormal - 2024. Inversor com alarme oscilando geração e não atinge potência nominal. Em tratativa sob o chamado 15218910</t>
  </si>
  <si>
    <t>Equipamento anormal - 2024. Inversor com alarme oscilando geração e não atinge potência nominal. Em tratativa sob o chamado 15218911</t>
  </si>
  <si>
    <t>Equipamento anormal - 2024. Inversor com alarme oscilando geração e não atinge potência nominal. Em tratativa sob o chamado 15218912</t>
  </si>
  <si>
    <t>Equipamento anormal - 2024. Inversor com alarme oscilando geração e não atinge potência nominal. Em tratativa sob o chamado 15218913</t>
  </si>
  <si>
    <t>Equipamento anormal - 2024. Inversor com alarme oscilando geração e não atinge potência nominal. Em tratativa sob o chamado 15218914</t>
  </si>
  <si>
    <t>Equipamento anormal - 2024. Inversor com alarme oscilando geração e não atinge potência nominal. Em tratativa sob o chamado 15218915</t>
  </si>
  <si>
    <t>Equipamento anormal - 2024. Inversor com alarme oscilando geração e não atinge potência nominal. Em tratativa sob o chamado 15218916</t>
  </si>
  <si>
    <t>Equipamento anormal - 2024. Inversor com alarme oscilando geração e não atinge potência nominal. Em tratativa sob o chamado 15218917</t>
  </si>
  <si>
    <t>Equipamento anormal - 2024. Inversor com alarme oscilando geração e não atinge potência nominal. Em tratativa sob o chamado 15218918</t>
  </si>
  <si>
    <t>Equipamento anormal - 2024. Inversor com alarme oscilando geração e não atinge potência nominal. Em tratativa sob o chamado 15218919</t>
  </si>
  <si>
    <t>Equipamento anormal - 2024. Inversor com alarme oscilando geração e não atinge potência nominal. Em tratativa sob o chamado 15218920</t>
  </si>
  <si>
    <t>Equipamento anormal - 2024. Inversor com alarme oscilando geração e não atinge potência nominal. Em tratativa sob o chamado 15218921</t>
  </si>
  <si>
    <t>Equipamento anormal - 2024. Inversor com alarme oscilando geração e não atinge potência nominal. Em tratativa sob o chamado 15218922</t>
  </si>
  <si>
    <t>Equipamento anormal - 2024. Inversor com alarme oscilando geração e não atinge potência nominal. Em tratativa sob o chamado 15218923</t>
  </si>
  <si>
    <t>Equipamento anormal - 2024. Inversor com alarme oscilando geração e não atinge potência nominal. Em tratativa sob o chamado 15218924</t>
  </si>
  <si>
    <t>Equipamento anormal - 2024. Inversor com alarme oscilando geração e não atinge potência nominal. Em tratativa sob o chamado 15218925</t>
  </si>
  <si>
    <t>Equipamento anormal - 2024. Inversor com alarme oscilando geração e não atinge potência nominal. Em tratativa sob o chamado 15218926</t>
  </si>
  <si>
    <t>Equipamento anormal - 2024. Inversor com alarme oscilando geração e não atinge potência nominal. Em tratativa sob o chamado 15218927</t>
  </si>
  <si>
    <t>Equipamento anormal - 2024. Inversor com alarme oscilando geração e não atinge potência nominal. Em tratativa sob o chamado 15218928</t>
  </si>
  <si>
    <t>Equipamento anormal - 2024. Inversor com alarme oscilando geração e não atinge potência nominal. Em tratativa sob o chamado 15218929</t>
  </si>
  <si>
    <t>Equipamento anormal - 2024. Inversor com alarme oscilando geração e não atinge potência nominal. Em tratativa sob o chamado 15218930</t>
  </si>
  <si>
    <t>Equipamento anormal - 2024. Inversor com alarme oscilando geração e não atinge potência nominal. Em tratativa sob o chamado 15218931</t>
  </si>
  <si>
    <t>Equipamento anormal - 2024. Inversor com alarme oscilando geração e não atinge potência nominal. Em tratativa sob o chamado 15218932</t>
  </si>
  <si>
    <t>Equipamento anormal - 2024. Inversor com alarme oscilando geração e não atinge potência nominal. Em tratativa sob o chamado 15218933</t>
  </si>
  <si>
    <t>Equipamento anormal - 2024. Inversor com alarme oscilando geração e não atinge potência nominal. Em tratativa sob o chamado 15218934</t>
  </si>
  <si>
    <t>Equipamento anormal - 2024. Inversor com alarme oscilando geração e não atinge potência nominal. Em tratativa sob o chamado 15218935</t>
  </si>
  <si>
    <t>Equipamento anormal - 2024. Inversor com alarme oscilando geração e não atinge potência nominal. Em tratativa sob o chamado 15218936</t>
  </si>
  <si>
    <t>Equipamento anormal - 2024. Inversor com alarme oscilando geração e não atinge potência nominal. Em tratativa sob o chamado 15218937</t>
  </si>
  <si>
    <t>Equipamento anormal - 2024. Inversor com alarme oscilando geração e não atinge potência nominal. Em tratativa sob o chamado 15218938</t>
  </si>
  <si>
    <t>Equipamento anormal - 2024. Inversor com alarme oscilando geração e não atinge potência nominal. Em tratativa sob o chamado 15218939</t>
  </si>
  <si>
    <t>Equipamento anormal - 2024. Inversor com alarme oscilando geração e não atinge potência nominal. Em tratativa sob o chamado 15218940</t>
  </si>
  <si>
    <t>Equipamento anormal - 2024. Inversor com alarme oscilando geração e não atinge potência nominal. Em tratativa sob o chamado 15218941</t>
  </si>
  <si>
    <t>Equipamento anormal - 2024. Inversor com alarme oscilando geração e não atinge potência nominal. Em tratativa sob o chamado 15218942</t>
  </si>
  <si>
    <t>Equipamento anormal - 2024. Inversor com alarme oscilando geração e não atinge potência nominal. Em tratativa sob o chamado 15218943</t>
  </si>
  <si>
    <t>Equipamento anormal - 2024. Inversor com alarme oscilando geração e não atinge potência nominal. Em tratativa sob o chamado 15218944</t>
  </si>
  <si>
    <t>Equipamento anormal - 2024. Inversor com alarme oscilando geração e não atinge potência nominal. Em tratativa sob o chamado 15218945</t>
  </si>
  <si>
    <t>Equipamento anormal - 2024. Inversor com alarme oscilando geração e não atinge potência nominal. Em tratativa sob o chamado 15218946</t>
  </si>
  <si>
    <t>Equipamento anormal - 2024. Inversor com alarme oscilando geração e não atinge potência nominal. Em tratativa sob o chamado 15218947</t>
  </si>
  <si>
    <t>Equipamento anormal - 2024. Inversor com alarme oscilando geração e não atinge potência nominal. Em tratativa sob o chamado 15218948</t>
  </si>
  <si>
    <t>Equipamento anormal - 2024. Inversor com alarme oscilando geração e não atinge potência nominal. Em tratativa sob o chamado 15218949</t>
  </si>
  <si>
    <t>Equipamento anormal - 2024. Inversor com alarme oscilando geração e não atinge potência nominal. Em tratativa sob o chamado 15218950</t>
  </si>
  <si>
    <t>Equipamento anormal - 2024. Inversor com alarme oscilando geração e não atinge potência nominal. Em tratativa sob o chamado 15218951</t>
  </si>
  <si>
    <t>Equipamento anormal - 2024. Inversor com alarme oscilando geração e não atinge potência nominal. Em tratativa sob o chamado 15218952</t>
  </si>
  <si>
    <t>Equipamento anormal - 2024. Inversor com alarme oscilando geração e não atinge potência nominal. Em tratativa sob o chamado 15218953</t>
  </si>
  <si>
    <t>Equipamento anormal - 2024. Inversor com alarme oscilando geração e não atinge potência nominal. Em tratativa sob o chamado 15218954</t>
  </si>
  <si>
    <t>Equipamento anormal - 2024. Inversor com alarme oscilando geração e não atinge potência nominal. Em tratativa sob o chamado 15218955</t>
  </si>
  <si>
    <t>Equipamento anormal - 2024. Inversor com alarme oscilando geração e não atinge potência nominal. Em tratativa sob o chamado 15218956</t>
  </si>
  <si>
    <t>Equipamento anormal - 2024. Inversor com alarme oscilando geração e não atinge potência nominal. Em tratativa sob o chamado 15218957</t>
  </si>
  <si>
    <t>Equipamento anormal - 2024. Inversor com alarme oscilando geração e não atinge potência nominal. Em tratativa sob o chamado 15218958</t>
  </si>
  <si>
    <t>Equipamento anormal - 2024. Inversor com alarme oscilando geração e não atinge potência nominal. Em tratativa sob o chamado 15218959</t>
  </si>
  <si>
    <t>Equipamento anormal - 2024. Inversor com alarme oscilando geração e não atinge potência nominal. Em tratativa sob o chamado 15218960</t>
  </si>
  <si>
    <t>Equipamento anormal - 2024. Inversor com alarme oscilando geração e não atinge potência nominal. Em tratativa sob o chamado 15218961</t>
  </si>
  <si>
    <t>Equipamento anormal - 2024. Inversor com alarme oscilando geração e não atinge potência nominal. Em tratativa sob o chamado 15218962</t>
  </si>
  <si>
    <t>Equipamento anormal - 2024. Inversor com alarme oscilando geração e não atinge potência nominal. Em tratativa sob o chamado 15218963</t>
  </si>
  <si>
    <t>Equipamento anormal - 2024. Inversor com alarme oscilando geração e não atinge potência nominal. Em tratativa sob o chamado 15218964</t>
  </si>
  <si>
    <t>Equipamento anormal - 2024. Inversor com alarme oscilando geração e não atinge potência nominal. Em tratativa sob o chamado 15218965</t>
  </si>
  <si>
    <t>Equipamento anormal - 2024. Inversor com alarme oscilando geração e não atinge potência nominal. Em tratativa sob o chamado 15218966</t>
  </si>
  <si>
    <t>Equipamento anormal - 2024. Inversor com alarme oscilando geração e não atinge potência nominal. Em tratativa sob o chamado 15218967</t>
  </si>
  <si>
    <t>Equipamento anormal - 2024. Inversor com alarme oscilando geração e não atinge potência nominal. Em tratativa sob o chamado 15218968</t>
  </si>
  <si>
    <t>Equipamento anormal - 2024. Inversor com alarme oscilando geração e não atinge potência nominal. Em tratativa sob o chamado 15218969</t>
  </si>
  <si>
    <t>Equipamento anormal - 2024. Inversor com alarme oscilando geração e não atinge potência nominal. Em tratativa sob o chamado 15218970</t>
  </si>
  <si>
    <t>Equipamento anormal - 2024. Inversor com alarme oscilando geração e não atinge potência nominal. Em tratativa sob o chamado 15218971</t>
  </si>
  <si>
    <t>Equipamento anormal - 2024. Inversor com alarme oscilando geração e não atinge potência nominal. Em tratativa sob o chamado 15218972</t>
  </si>
  <si>
    <t>Equipamento anormal - 2024. Inversor com alarme oscilando geração e não atinge potência nominal. Em tratativa sob o chamado 15218973</t>
  </si>
  <si>
    <t>Equipamento anormal - 2024. Inversor com alarme oscilando geração e não atinge potência nominal. Em tratativa sob o chamado 15218974</t>
  </si>
  <si>
    <t>Equipamento anormal - 2024. Inversor com alarme oscilando geração e não atinge potência nominal. Em tratativa sob o chamado 15218975</t>
  </si>
  <si>
    <t>Equipamento anormal - 2024. Inversor com alarme oscilando geração e não atinge potência nominal. Em tratativa sob o chamado 15218976</t>
  </si>
  <si>
    <t>Equipamento anormal - 2024. Inversor com alarme oscilando geração e não atinge potência nominal. Em tratativa sob o chamado 15218977</t>
  </si>
  <si>
    <t>Equipamento anormal - 2024. Inversor com alarme oscilando geração e não atinge potência nominal. Em tratativa sob o chamado 15218978</t>
  </si>
  <si>
    <t>Equipamento anormal - 2024. Inversor com alarme oscilando geração e não atinge potência nominal. Em tratativa sob o chamado 15218979</t>
  </si>
  <si>
    <t>Equipamento anormal - 2024. Inversor com alarme oscilando geração e não atinge potência nominal. Em tratativa sob o chamado 15218980</t>
  </si>
  <si>
    <t>Equipamento anormal - 2024. Inversor com alarme oscilando geração e não atinge potência nominal. Em tratativa sob o chamado 15218981</t>
  </si>
  <si>
    <t>Equipamento anormal - 2024. Inversor com alarme oscilando geração e não atinge potência nominal. Em tratativa sob o chamado 15218982</t>
  </si>
  <si>
    <t>Equipamento anormal - 2024. Inversor com alarme oscilando geração e não atinge potência nominal. Em tratativa sob o chamado 15218983</t>
  </si>
  <si>
    <t>Equipamento anormal - 2024. Inversor com alarme oscilando geração e não atinge potência nominal. Em tratativa sob o chamado 15218984</t>
  </si>
  <si>
    <t>Equipamento anormal - 2024. Inversor com alarme oscilando geração e não atinge potência nominal. Em tratativa sob o chamado 15218985</t>
  </si>
  <si>
    <t>Equipamento anormal - 2024. Inversor com alarme oscilando geração e não atinge potência nominal. Em tratativa sob o chamado 15218986</t>
  </si>
  <si>
    <t>Equipamento anormal - 2024. Inversor com alarme oscilando geração e não atinge potência nominal. Em tratativa sob o chamado 15218987</t>
  </si>
  <si>
    <t>Equipamento anormal - 2024. Inversor com alarme oscilando geração e não atinge potência nominal. Em tratativa sob o chamado 15218988</t>
  </si>
  <si>
    <t>Equipamento anormal - 2024. Inversor com alarme oscilando geração e não atinge potência nominal. Em tratativa sob o chamado 15218989</t>
  </si>
  <si>
    <t>Equipamento anormal - 2024. Inversor com alarme oscilando geração e não atinge potência nominal. Em tratativa sob o chamado 15218990</t>
  </si>
  <si>
    <t>Equipamento anormal - 2024. Inversor com alarme oscilando geração e não atinge potência nominal. Em tratativa sob o chamado 15218991</t>
  </si>
  <si>
    <t>Equipamento anormal - 2024. Inversor com alarme oscilando geração e não atinge potência nominal. Em tratativa sob o chamado 15218992</t>
  </si>
  <si>
    <t>Equipamento anormal - 2024. Inversor com alarme oscilando geração e não atinge potência nominal. Em tratativa sob o chamado 15218993</t>
  </si>
  <si>
    <t>Equipamento anormal - 2024. Inversor com alarme oscilando geração e não atinge potência nominal. Em tratativa sob o chamado 15218994</t>
  </si>
  <si>
    <t>Equipamento anormal - 2024. Inversor com alarme oscilando geração e não atinge potência nominal. Em tratativa sob o chamado 15218995</t>
  </si>
  <si>
    <t>Equipamento anormal - 2024. Inversor com alarme oscilando geração e não atinge potência nominal. Em tratativa sob o chamado 15218996</t>
  </si>
  <si>
    <t>Equipamento anormal - 2024. Inversor com alarme oscilando geração e não atinge potência nominal. Em tratativa sob o chamado 15218997</t>
  </si>
  <si>
    <t>Equipamento anormal - 2024. Inversor com alarme oscilando geração e não atinge potência nominal. Em tratativa sob o chamado 15218998</t>
  </si>
  <si>
    <t>Equipamento anormal - 2024. Inversor com alarme oscilando geração e não atinge potência nominal. Em tratativa sob o chamado 15218999</t>
  </si>
  <si>
    <t>Equipamento anormal - 2024. Inversor com alarme oscilando geração e não atinge potência nominal. Em tratativa sob o chamado 15219000</t>
  </si>
  <si>
    <t>Equipamento anormal - 2024. Inversor com alarme oscilando geração e não atinge potência nominal. Em tratativa sob o chamado 15219001</t>
  </si>
  <si>
    <t>Equipamento anormal - 2024. Inversor com alarme oscilando geração e não atinge potência nominal. Em tratativa sob o chamado 15219002</t>
  </si>
  <si>
    <t>Equipamento anormal - 2024. Inversor com alarme oscilando geração e não atinge potência nominal. Em tratativa sob o chamado 15219003</t>
  </si>
  <si>
    <t>Equipamento anormal - 2024. Inversor com alarme oscilando geração e não atinge potência nominal. Em tratativa sob o chamado 15219004</t>
  </si>
  <si>
    <t>Equipamento anormal - 2024. Inversor com alarme oscilando geração e não atinge potência nominal. Em tratativa sob o chamado 15219005</t>
  </si>
  <si>
    <t>Equipamento anormal - 2024. Inversor com alarme oscilando geração e não atinge potência nominal. Em tratativa sob o chamado 15219006</t>
  </si>
  <si>
    <t>Equipamento anormal - 2024. Inversor com alarme oscilando geração e não atinge potência nominal. Em tratativa sob o chamado 15219007</t>
  </si>
  <si>
    <t>Equipamento anormal - 2024. Inversor com alarme oscilando geração e não atinge potência nominal. Em tratativa sob o chamado 15219008</t>
  </si>
  <si>
    <t>Equipamento anormal - 2024. Inversor com alarme oscilando geração e não atinge potência nominal. Em tratativa sob o chamado 15219009</t>
  </si>
  <si>
    <t>Equipamento anormal - 2024. Inversor com alarme oscilando geração e não atinge potência nominal. Em tratativa sob o chamado 15219010</t>
  </si>
  <si>
    <t>Equipamento anormal - 2024. Inversor com alarme oscilando geração e não atinge potência nominal. Em tratativa sob o chamado 15219011</t>
  </si>
  <si>
    <t>Equipamento anormal - 2024. Inversor com alarme oscilando geração e não atinge potência nominal. Em tratativa sob o chamado 15219012</t>
  </si>
  <si>
    <t>Equipamento anormal - 2024. Inversor com alarme oscilando geração e não atinge potência nominal. Em tratativa sob o chamado 15219013</t>
  </si>
  <si>
    <t>Equipamento anormal - 2024. Inversor com alarme oscilando geração e não atinge potência nominal. Em tratativa sob o chamado 15219014</t>
  </si>
  <si>
    <t>Equipamento anormal - 2024. Inversor com alarme oscilando geração e não atinge potência nominal. Em tratativa sob o chamado 15219015</t>
  </si>
  <si>
    <t>Equipamento anormal - 2024. Inversor com alarme oscilando geração e não atinge potência nominal. Em tratativa sob o chamado 15219016</t>
  </si>
  <si>
    <t>Equipamento anormal - 2024. Inversor com alarme oscilando geração e não atinge potência nominal. Em tratativa sob o chamado 15219017</t>
  </si>
  <si>
    <t>Equipamento anormal - 2024. Inversor com alarme oscilando geração e não atinge potência nominal. Em tratativa sob o chamado 15219018</t>
  </si>
  <si>
    <t>Equipamento anormal - 2024. Inversor com alarme oscilando geração e não atinge potência nominal. Em tratativa sob o chamado 15219019</t>
  </si>
  <si>
    <t>Equipamento anormal - 2024. Inversor com alarme oscilando geração e não atinge potência nominal. Em tratativa sob o chamado 15219020</t>
  </si>
  <si>
    <t>Equipamento anormal - 2024. Inversor com alarme oscilando geração e não atinge potência nominal. Em tratativa sob o chamado 15219021</t>
  </si>
  <si>
    <t>Equipamento anormal - 2024. Inversor com alarme oscilando geração e não atinge potência nominal. Em tratativa sob o chamado 15219022</t>
  </si>
  <si>
    <t>Equipamento anormal - 2024. Inversor com alarme oscilando geração e não atinge potência nominal. Em tratativa sob o chamado 15219023</t>
  </si>
  <si>
    <t>Equipamento anormal - 2024. Inversor com alarme oscilando geração e não atinge potência nominal. Em tratativa sob o chamado 15219024</t>
  </si>
  <si>
    <t>Equipamento anormal - 2024. Inversor com alarme oscilando geração e não atinge potência nominal. Em tratativa sob o chamado 15219025</t>
  </si>
  <si>
    <t>Equipamento anormal - 2024. Inversor com alarme oscilando geração e não atinge potência nominal. Em tratativa sob o chamado 15219026</t>
  </si>
  <si>
    <t>Equipamento anormal - 2024. Inversor com alarme oscilando geração e não atinge potência nominal. Em tratativa sob o chamado 15219027</t>
  </si>
  <si>
    <t>Equipamento anormal - 2024. Inversor com alarme oscilando geração e não atinge potência nominal. Em tratativa sob o chamado 15219028</t>
  </si>
  <si>
    <t>Equipamento anormal - 2024. Inversor com alarme oscilando geração e não atinge potência nominal. Em tratativa sob o chamado 15219029</t>
  </si>
  <si>
    <t>Equipamento anormal - 2024. Inversor com alarme oscilando geração e não atinge potência nominal. Em tratativa sob o chamado 15219030</t>
  </si>
  <si>
    <t>Equipamento anormal - 2024. Inversor com alarme oscilando geração e não atinge potência nominal. Em tratativa sob o chamado 15219031</t>
  </si>
  <si>
    <t>Equipamento anormal - 2024. Inversor com alarme oscilando geração e não atinge potência nominal. Em tratativa sob o chamado 15219032</t>
  </si>
  <si>
    <t>Equipamento anormal - 2024. Inversor com alarme oscilando geração e não atinge potência nominal. Em tratativa sob o chamado 15219033</t>
  </si>
  <si>
    <t>Equipamento anormal - 2024. Inversor com alarme oscilando geração e não atinge potência nominal. Em tratativa sob o chamado 15219034</t>
  </si>
  <si>
    <t>Equipamento anormal - 2024. Inversor com alarme oscilando geração e não atinge potência nominal. Em tratativa sob o chamado 15219035</t>
  </si>
  <si>
    <t>Equipamento anormal - 2024. Inversor com alarme oscilando geração e não atinge potência nominal. Em tratativa sob o chamado 15219036</t>
  </si>
  <si>
    <t>Equipamento anormal - 2024. Inversor com alarme oscilando geração e não atinge potência nominal. Em tratativa sob o chamado 15219037</t>
  </si>
  <si>
    <t>Equipamento anormal - 2024. Inversor com alarme oscilando geração e não atinge potência nominal. Em tratativa sob o chamado 15219038</t>
  </si>
  <si>
    <t>Equipamento anormal - 2024. Inversor com alarme oscilando geração e não atinge potência nominal. Em tratativa sob o chamado 15219039</t>
  </si>
  <si>
    <t>Equipamento anormal - 2024. Inversor com alarme oscilando geração e não atinge potência nominal. Em tratativa sob o chamado 15219040</t>
  </si>
  <si>
    <t>Equipamento anormal - 2024. Inversor com alarme oscilando geração e não atinge potência nominal. Em tratativa sob o chamado 15219041</t>
  </si>
  <si>
    <t>Equipamento anormal - 2024. Inversor com alarme oscilando geração e não atinge potência nominal. Em tratativa sob o chamado 15219042</t>
  </si>
  <si>
    <t>Equipamento anormal - 2024. Inversor com alarme oscilando geração e não atinge potência nominal. Em tratativa sob o chamado 15219043</t>
  </si>
  <si>
    <t>Equipamento anormal - 2024. Inversor com alarme oscilando geração e não atinge potência nominal. Em tratativa sob o chamado 15219044</t>
  </si>
  <si>
    <t>Equipamento anormal - 2024. Inversor com alarme oscilando geração e não atinge potência nominal. Em tratativa sob o chamado 15219045</t>
  </si>
  <si>
    <t>Equipamento anormal - 2024. Inversor com alarme oscilando geração e não atinge potência nominal. Em tratativa sob o chamado 15219046</t>
  </si>
  <si>
    <t>Equipamento anormal - 2024. Inversor com alarme oscilando geração e não atinge potência nominal. Em tratativa sob o chamado 15219047</t>
  </si>
  <si>
    <t>Equipamento anormal - 2024. Inversor com alarme oscilando geração e não atinge potência nominal. Em tratativa sob o chamado 15219048</t>
  </si>
  <si>
    <t>Equipamento anormal - 2024. Inversor com alarme oscilando geração e não atinge potência nominal. Em tratativa sob o chamado 15219049</t>
  </si>
  <si>
    <t>Equipamento anormal - 2024. Inversor com alarme oscilando geração e não atinge potência nominal. Em tratativa sob o chamado 15219050</t>
  </si>
  <si>
    <t>Equipamento anormal - 2024. Inversor com alarme oscilando geração e não atinge potência nominal. Em tratativa sob o chamado 15219051</t>
  </si>
  <si>
    <t>Equipamento anormal - 2024. Inversor com alarme oscilando geração e não atinge potência nominal. Em tratativa sob o chamado 15219052</t>
  </si>
  <si>
    <t>Equipamento anormal - 2024. Inversor com alarme oscilando geração e não atinge potência nominal. Em tratativa sob o chamado 15219053</t>
  </si>
  <si>
    <t>Equipamento anormal - 2024. Inversor com alarme oscilando geração e não atinge potência nominal. Em tratativa sob o chamado 15219054</t>
  </si>
  <si>
    <t>Equipamento anormal - 2024. Inversor com alarme oscilando geração e não atinge potência nominal. Em tratativa sob o chamado 15219055</t>
  </si>
  <si>
    <t>Equipamento anormal - 2024. Inversor com alarme oscilando geração e não atinge potência nominal. Em tratativa sob o chamado 15219056</t>
  </si>
  <si>
    <t>Equipamento anormal - 2024. Inversor com alarme oscilando geração e não atinge potência nominal. Em tratativa sob o chamado 15219057</t>
  </si>
  <si>
    <t>Equipamento anormal - 2024. Inversor com alarme oscilando geração e não atinge potência nominal. Em tratativa sob o chamado 15219058</t>
  </si>
  <si>
    <t>Equipamento anormal - 2024. Inversor com alarme oscilando geração e não atinge potência nominal. Em tratativa sob o chamado 15219059</t>
  </si>
  <si>
    <t>Equipamento anormal - 2024. Inversor com alarme oscilando geração e não atinge potência nominal. Em tratativa sob o chamado 15219060</t>
  </si>
  <si>
    <t>Equipamento anormal - 2024. Inversor com alarme oscilando geração e não atinge potência nominal. Em tratativa sob o chamado 15219061</t>
  </si>
  <si>
    <t>Equipamento anormal - 2024. Inversor com alarme oscilando geração e não atinge potência nominal. Em tratativa sob o chamado 15219062</t>
  </si>
  <si>
    <t>Equipamento anormal - 2024. Inversor com alarme oscilando geração e não atinge potência nominal. Em tratativa sob o chamado 15219063</t>
  </si>
  <si>
    <t>Equipamento anormal - 2024. Inversor com alarme oscilando geração e não atinge potência nominal. Em tratativa sob o chamado 15219064</t>
  </si>
  <si>
    <t>Equipamento anormal - 2024. Inversor com alarme oscilando geração e não atinge potência nominal. Em tratativa sob o chamado 15219065</t>
  </si>
  <si>
    <t>Equipamento anormal - 2024. Inversor com alarme oscilando geração e não atinge potência nominal. Em tratativa sob o chamado 15219066</t>
  </si>
  <si>
    <t>Equipamento anormal - 2024. Inversor com alarme oscilando geração e não atinge potência nominal. Em tratativa sob o chamado 15219067</t>
  </si>
  <si>
    <t>Equipamento anormal - 2024. Inversor com alarme oscilando geração e não atinge potência nominal. Em tratativa sob o chamado 15219068</t>
  </si>
  <si>
    <t>Equipamento anormal - 2024. Inversor com alarme oscilando geração e não atinge potência nominal. Em tratativa sob o chamado 15219069</t>
  </si>
  <si>
    <t>Equipamento anormal - 2024. Inversor com alarme oscilando geração e não atinge potência nominal. Em tratativa sob o chamado 15219070</t>
  </si>
  <si>
    <t>Equipamento anormal - 2024. Inversor com alarme oscilando geração e não atinge potência nominal. Em tratativa sob o chamado 15219071</t>
  </si>
  <si>
    <t>Equipamento anormal - 2024. Inversor com alarme oscilando geração e não atinge potência nominal. Em tratativa sob o chamado 15219072</t>
  </si>
  <si>
    <t>Equipamento anormal - 2024. Inversor com alarme oscilando geração e não atinge potência nominal. Em tratativa sob o chamado 15219073</t>
  </si>
  <si>
    <t>Equipamento anormal - 2024. Inversor com alarme oscilando geração e não atinge potência nominal. Em tratativa sob o chamado 15219074</t>
  </si>
  <si>
    <t>Equipamento anormal - 2024. Inversor com alarme oscilando geração e não atinge potência nominal. Em tratativa sob o chamado 15219075</t>
  </si>
  <si>
    <t>Equipamento anormal - 2024. Inversor com alarme oscilando geração e não atinge potência nominal. Em tratativa sob o chamado 15219076</t>
  </si>
  <si>
    <t>Equipamento anormal - 2024. Inversor com alarme oscilando geração e não atinge potência nominal. Em tratativa sob o chamado 15219077</t>
  </si>
  <si>
    <t>Equipamento anormal - 2024. Inversor com alarme oscilando geração e não atinge potência nominal. Em tratativa sob o chamado 15219078</t>
  </si>
  <si>
    <t>Equipamento anormal - 2024. Inversor com alarme oscilando geração e não atinge potência nominal. Em tratativa sob o chamado 15219079</t>
  </si>
  <si>
    <t>Equipamento anormal - 2024. Inversor com alarme oscilando geração e não atinge potência nominal. Em tratativa sob o chamado 15219080</t>
  </si>
  <si>
    <t>Equipamento anormal - 2024. Inversor com alarme oscilando geração e não atinge potência nominal. Em tratativa sob o chamado 15219081</t>
  </si>
  <si>
    <t>Equipamento anormal - 2024. Inversor com alarme oscilando geração e não atinge potência nominal. Em tratativa sob o chamado 15219082</t>
  </si>
  <si>
    <t>Equipamento anormal - 2024. Inversor com alarme oscilando geração e não atinge potência nominal. Em tratativa sob o chamado 15219083</t>
  </si>
  <si>
    <t>Equipamento anormal - 2024. Inversor com alarme oscilando geração e não atinge potência nominal. Em tratativa sob o chamado 15219084</t>
  </si>
  <si>
    <t>Equipamento anormal - 2024. Inversor com alarme oscilando geração e não atinge potência nominal. Em tratativa sob o chamado 15219085</t>
  </si>
  <si>
    <t>Equipamento anormal - 2024. Inversor com alarme oscilando geração e não atinge potência nominal. Em tratativa sob o chamado 15219086</t>
  </si>
  <si>
    <t>Equipamento anormal - 2024. Inversor com alarme oscilando geração e não atinge potência nominal. Em tratativa sob o chamado 15219087</t>
  </si>
  <si>
    <t>Equipamento anormal - 2024. Inversor com alarme oscilando geração e não atinge potência nominal. Em tratativa sob o chamado 15219088</t>
  </si>
  <si>
    <t>Equipamento anormal - 2024. Inversor com alarme oscilando geração e não atinge potência nominal. Em tratativa sob o chamado 15219089</t>
  </si>
  <si>
    <t>Equipamento anormal - 2024. Inversor com alarme oscilando geração e não atinge potência nominal. Em tratativa sob o chamado 15219090</t>
  </si>
  <si>
    <t>Equipamento anormal - 2024. Inversor com alarme oscilando geração e não atinge potência nominal. Em tratativa sob o chamado 15219091</t>
  </si>
  <si>
    <t>Equipamento anormal - 2024. Inversor com alarme oscilando geração e não atinge potência nominal. Em tratativa sob o chamado 15219092</t>
  </si>
  <si>
    <t>Equipamento anormal - 2024. Inversor com alarme oscilando geração e não atinge potência nominal. Em tratativa sob o chamado 15219093</t>
  </si>
  <si>
    <t>Equipamento anormal - 2024. Inversor com alarme oscilando geração e não atinge potência nominal. Em tratativa sob o chamado 15219094</t>
  </si>
  <si>
    <t>Equipamento anormal - 2024. Inversor com alarme oscilando geração e não atinge potência nominal. Em tratativa sob o chamado 15219095</t>
  </si>
  <si>
    <t>Equipamento anormal - 2024. Inversor com alarme oscilando geração e não atinge potência nominal. Em tratativa sob o chamado 15219096</t>
  </si>
  <si>
    <t>Equipamento anormal - 2024. Inversor com alarme oscilando geração e não atinge potência nominal. Em tratativa sob o chamado 15219097</t>
  </si>
  <si>
    <t>Equipamento anormal - 2024. Inversor com alarme oscilando geração e não atinge potência nominal. Em tratativa sob o chamado 15219098</t>
  </si>
  <si>
    <t>Equipamento anormal - 2024. Inversor com alarme oscilando geração e não atinge potência nominal. Em tratativa sob o chamado 15219099</t>
  </si>
  <si>
    <t>Equipamento anormal - 2024. Inversor com alarme oscilando geração e não atinge potência nominal. Em tratativa sob o chamado 15219100</t>
  </si>
  <si>
    <t>Equipamento anormal - 2024. Inversor com alarme oscilando geração e não atinge potência nominal. Em tratativa sob o chamado 15219101</t>
  </si>
  <si>
    <t>Equipamento anormal - 2024. Inversor com alarme oscilando geração e não atinge potência nominal. Em tratativa sob o chamado 15219102</t>
  </si>
  <si>
    <t>Equipamento anormal - 2024. Inversor com alarme oscilando geração e não atinge potência nominal. Em tratativa sob o chamado 15219103</t>
  </si>
  <si>
    <t>Equipamento anormal - 2024. Inversor com alarme oscilando geração e não atinge potência nominal. Em tratativa sob o chamado 15219104</t>
  </si>
  <si>
    <t>Equipamento anormal - 2024. Inversor com alarme oscilando geração e não atinge potência nominal. Em tratativa sob o chamado 15219105</t>
  </si>
  <si>
    <t>Equipamento anormal - 2024. Inversor com alarme oscilando geração e não atinge potência nominal. Em tratativa sob o chamado 15219106</t>
  </si>
  <si>
    <t>Equipamento anormal - 2024. Inversor com alarme oscilando geração e não atinge potência nominal. Em tratativa sob o chamado 15219107</t>
  </si>
  <si>
    <t>Equipamento anormal - 2024. Inversor com alarme oscilando geração e não atinge potência nominal. Em tratativa sob o chamado 15219108</t>
  </si>
  <si>
    <t>Equipamento anormal - 2024. Inversor com alarme oscilando geração e não atinge potência nominal. Em tratativa sob o chamado 15219109</t>
  </si>
  <si>
    <t>Equipamento anormal - 2024. Inversor com alarme oscilando geração e não atinge potência nominal. Em tratativa sob o chamado 15219110</t>
  </si>
  <si>
    <t>Equipamento anormal - 2024. Inversor com alarme oscilando geração e não atinge potência nominal. Em tratativa sob o chamado 15219111</t>
  </si>
  <si>
    <t>Equipamento anormal - 2024. Inversor com alarme oscilando geração e não atinge potência nominal. Em tratativa sob o chamado 15219112</t>
  </si>
  <si>
    <t>Equipamento anormal - 2024. Inversor com alarme oscilando geração e não atinge potência nominal. Em tratativa sob o chamado 15219113</t>
  </si>
  <si>
    <t>Equipamento anormal - 2024. Inversor com alarme oscilando geração e não atinge potência nominal. Em tratativa sob o chamado 15219114</t>
  </si>
  <si>
    <t>Equipamento anormal - 2024. Inversor com alarme oscilando geração e não atinge potência nominal. Em tratativa sob o chamado 15219115</t>
  </si>
  <si>
    <t>Equipamento anormal - 2024. Inversor com alarme oscilando geração e não atinge potência nominal. Em tratativa sob o chamado 15219116</t>
  </si>
  <si>
    <t>Equipamento anormal - 2024. Inversor com alarme oscilando geração e não atinge potência nominal. Em tratativa sob o chamado 15219117</t>
  </si>
  <si>
    <t>Equipamento anormal - 2024. Inversor com alarme oscilando geração e não atinge potência nominal. Em tratativa sob o chamado 15219118</t>
  </si>
  <si>
    <t>Equipamento anormal - 2024. Inversor com alarme oscilando geração e não atinge potência nominal. Em tratativa sob o chamado 15219119</t>
  </si>
  <si>
    <t>Equipamento anormal - 2024. Inversor com alarme oscilando geração e não atinge potência nominal. Em tratativa sob o chamado 15219120</t>
  </si>
  <si>
    <t>Equipamento anormal - 2024. Inversor com alarme oscilando geração e não atinge potência nominal. Em tratativa sob o chamado 15219121</t>
  </si>
  <si>
    <t>Equipamento anormal - 2024. Inversor com alarme oscilando geração e não atinge potência nominal. Em tratativa sob o chamado 15219122</t>
  </si>
  <si>
    <t>Equipamento anormal - 2024. Inversor com alarme oscilando geração e não atinge potência nominal. Em tratativa sob o chamado 15219123</t>
  </si>
  <si>
    <t>Equipamento anormal - 2024. Inversor com alarme oscilando geração e não atinge potência nominal. Em tratativa sob o chamado 15219124</t>
  </si>
  <si>
    <t>Equipamento anormal - 2024. Inversor com alarme oscilando geração e não atinge potência nominal. Em tratativa sob o chamado 15219125</t>
  </si>
  <si>
    <t>Equipamento anormal - 2024. Inversor com alarme oscilando geração e não atinge potência nominal. Em tratativa sob o chamado 15219126</t>
  </si>
  <si>
    <t>Equipamento anormal - 2024. Inversor com alarme oscilando geração e não atinge potência nominal. Em tratativa sob o chamado 15219127</t>
  </si>
  <si>
    <t>Equipamento anormal - 2024. Inversor com alarme oscilando geração e não atinge potência nominal. Em tratativa sob o chamado 15219128</t>
  </si>
  <si>
    <t>Equipamento anormal - 2024. Inversor com alarme oscilando geração e não atinge potência nominal. Em tratativa sob o chamado 15219129</t>
  </si>
  <si>
    <t>Equipamento anormal - 2024. Inversor com alarme oscilando geração e não atinge potência nominal. Em tratativa sob o chamado 15219130</t>
  </si>
  <si>
    <t>Equipamento anormal - 2024. Inversor com alarme oscilando geração e não atinge potência nominal. Em tratativa sob o chamado 15219131</t>
  </si>
  <si>
    <t>Equipamento anormal - 2024. Inversor com alarme oscilando geração e não atinge potência nominal. Em tratativa sob o chamado 15219132</t>
  </si>
  <si>
    <t>Equipamento anormal - 2024. Inversor com alarme oscilando geração e não atinge potência nominal. Em tratativa sob o chamado 15219133</t>
  </si>
  <si>
    <t>Equipamento anormal - 2024. Inversor com alarme oscilando geração e não atinge potência nominal. Em tratativa sob o chamado 15219134</t>
  </si>
  <si>
    <t>Equipamento anormal - 2024. Inversor com alarme oscilando geração e não atinge potência nominal. Em tratativa sob o chamado 15219135</t>
  </si>
  <si>
    <t>Equipamento anormal - 2024. Inversor com alarme oscilando geração e não atinge potência nominal. Em tratativa sob o chamado 15219136</t>
  </si>
  <si>
    <t>Equipamento anormal - 2024. Inversor com alarme oscilando geração e não atinge potência nominal. Em tratativa sob o chamado 15219137</t>
  </si>
  <si>
    <t>Equipamento anormal - 2024. Inversor com alarme oscilando geração e não atinge potência nominal. Em tratativa sob o chamado 15219138</t>
  </si>
  <si>
    <t>Equipamento anormal - 2024. Inversor com alarme oscilando geração e não atinge potência nominal. Em tratativa sob o chamado 15219139</t>
  </si>
  <si>
    <t>Equipamento anormal - 2024. Inversor com alarme oscilando geração e não atinge potência nominal. Em tratativa sob o chamado 15219140</t>
  </si>
  <si>
    <t>Equipamento anormal - 2024. Inversor com alarme oscilando geração e não atinge potência nominal. Em tratativa sob o chamado 15219141</t>
  </si>
  <si>
    <t>Equipamento anormal - 2024. Inversor com alarme oscilando geração e não atinge potência nominal. Em tratativa sob o chamado 15219142</t>
  </si>
  <si>
    <t>Equipamento anormal - 2024. Inversor com alarme oscilando geração e não atinge potência nominal. Em tratativa sob o chamado 15219143</t>
  </si>
  <si>
    <t>Equipamento anormal - 2024. Inversor com alarme oscilando geração e não atinge potência nominal. Em tratativa sob o chamado 15219144</t>
  </si>
  <si>
    <t>Equipamento anormal - 2024. Inversor com alarme oscilando geração e não atinge potência nominal. Em tratativa sob o chamado 15219145</t>
  </si>
  <si>
    <t>Equipamento anormal - 2024. Inversor com alarme oscilando geração e não atinge potência nominal. Em tratativa sob o chamado 15219146</t>
  </si>
  <si>
    <t>Equipamento anormal - 2024. Inversor com alarme oscilando geração e não atinge potência nominal. Em tratativa sob o chamado 15219147</t>
  </si>
  <si>
    <t>Equipamento anormal - 2024. Inversor com alarme oscilando geração e não atinge potência nominal. Em tratativa sob o chamado 15219148</t>
  </si>
  <si>
    <t>Equipamento anormal - 2024. Inversor com alarme oscilando geração e não atinge potência nominal. Em tratativa sob o chamado 15219149</t>
  </si>
  <si>
    <t>Equipamento anormal - 2024. Inversor com alarme oscilando geração e não atinge potência nominal. Em tratativa sob o chamado 15219150</t>
  </si>
  <si>
    <t>Equipamento anormal - 2024. Inversor com alarme oscilando geração e não atinge potência nominal. Em tratativa sob o chamado 15219151</t>
  </si>
  <si>
    <t>Equipamento anormal - 2024. Inversor com alarme oscilando geração e não atinge potência nominal. Em tratativa sob o chamado 15219152</t>
  </si>
  <si>
    <t>Equipamento anormal - 2024. Inversor com alarme oscilando geração e não atinge potência nominal. Em tratativa sob o chamado 15219153</t>
  </si>
  <si>
    <t>Equipamento anormal - 2024. Inversor com alarme oscilando geração e não atinge potência nominal. Em tratativa sob o chamado 15219154</t>
  </si>
  <si>
    <t>Equipamento anormal - 2024. Inversor com alarme oscilando geração e não atinge potência nominal. Em tratativa sob o chamado 15219155</t>
  </si>
  <si>
    <t>Equipamento anormal - 2024. Inversor com alarme oscilando geração e não atinge potência nominal. Em tratativa sob o chamado 15219156</t>
  </si>
  <si>
    <t>Equipamento anormal - 2024. Inversor com alarme oscilando geração e não atinge potência nominal. Em tratativa sob o chamado 15219157</t>
  </si>
  <si>
    <t>Equipamento anormal - 2024. Inversor com alarme oscilando geração e não atinge potência nominal. Em tratativa sob o chamado 15219158</t>
  </si>
  <si>
    <t>Equipamento anormal - 2024. Inversor com alarme oscilando geração e não atinge potência nominal. Em tratativa sob o chamado 15219159</t>
  </si>
  <si>
    <t>Equipamento anormal - 2024. Inversor com alarme oscilando geração e não atinge potência nominal. Em tratativa sob o chamado 15219160</t>
  </si>
  <si>
    <t>Equipamento anormal - 2024. Inversor com alarme oscilando geração e não atinge potência nominal. Em tratativa sob o chamado 15219161</t>
  </si>
  <si>
    <t>Equipamento anormal - 2024. Inversor com alarme oscilando geração e não atinge potência nominal. Em tratativa sob o chamado 15219162</t>
  </si>
  <si>
    <t>Equipamento anormal - 2024. Inversor com alarme oscilando geração e não atinge potência nominal. Em tratativa sob o chamado 15219163</t>
  </si>
  <si>
    <t>Equipamento anormal - 2024. Inversor com alarme oscilando geração e não atinge potência nominal. Em tratativa sob o chamado 15219164</t>
  </si>
  <si>
    <t>Equipamento anormal - 2024. Inversor com alarme oscilando geração e não atinge potência nominal. Em tratativa sob o chamado 15219165</t>
  </si>
  <si>
    <t>Equipamento anormal - 2024. Inversor com alarme oscilando geração e não atinge potência nominal. Em tratativa sob o chamado 15219166</t>
  </si>
  <si>
    <t>Equipamento anormal - 2024. Inversor com alarme oscilando geração e não atinge potência nominal. Em tratativa sob o chamado 15219167</t>
  </si>
  <si>
    <t>Equipamento anormal - 2024. Inversor com alarme oscilando geração e não atinge potência nominal. Em tratativa sob o chamado 15219168</t>
  </si>
  <si>
    <t>Equipamento anormal - 2024. Inversor com alarme oscilando geração e não atinge potência nominal. Em tratativa sob o chamado 15219169</t>
  </si>
  <si>
    <t>Equipamento anormal - 2024. Inversor com alarme oscilando geração e não atinge potência nominal. Em tratativa sob o chamado 15219170</t>
  </si>
  <si>
    <t>Equipamento anormal - 2024. Inversor com alarme oscilando geração e não atinge potência nominal. Em tratativa sob o chamado 15219171</t>
  </si>
  <si>
    <t>Equipamento anormal - 2024. Inversor com alarme oscilando geração e não atinge potência nominal. Em tratativa sob o chamado 15219172</t>
  </si>
  <si>
    <t>Equipamento anormal - 2024. Inversor com alarme oscilando geração e não atinge potência nominal. Em tratativa sob o chamado 15219173</t>
  </si>
  <si>
    <t>Equipamento anormal - 2024. Inversor com alarme oscilando geração e não atinge potência nominal. Em tratativa sob o chamado 15219174</t>
  </si>
  <si>
    <t>Equipamento anormal - 2024. Inversor com alarme oscilando geração e não atinge potência nominal. Em tratativa sob o chamado 15219175</t>
  </si>
  <si>
    <t>Equipamento anormal - 2024. Inversor com alarme oscilando geração e não atinge potência nominal. Em tratativa sob o chamado 15219176</t>
  </si>
  <si>
    <t>Equipamento anormal - 2024. Inversor com alarme oscilando geração e não atinge potência nominal. Em tratativa sob o chamado 15219177</t>
  </si>
  <si>
    <t>Equipamento anormal - 2024. Inversor com alarme oscilando geração e não atinge potência nominal. Em tratativa sob o chamado 15219178</t>
  </si>
  <si>
    <t>Equipamento anormal - 2024. Inversor com alarme oscilando geração e não atinge potência nominal. Em tratativa sob o chamado 15219179</t>
  </si>
  <si>
    <t>Equipamento anormal - 2024. Inversor com alarme oscilando geração e não atinge potência nominal. Em tratativa sob o chamado 15219180</t>
  </si>
  <si>
    <t>Equipamento anormal - 2024. Inversor com alarme oscilando geração e não atinge potência nominal. Em tratativa sob o chamado 15219181</t>
  </si>
  <si>
    <t>Equipamento anormal - 2024. Inversor com alarme oscilando geração e não atinge potência nominal. Em tratativa sob o chamado 15219182</t>
  </si>
  <si>
    <t>Equipamento anormal - 2024. Inversor com alarme oscilando geração e não atinge potência nominal. Em tratativa sob o chamado 15219183</t>
  </si>
  <si>
    <t>Equipamento anormal - 2024. Inversor com alarme oscilando geração e não atinge potência nominal. Em tratativa sob o chamado 15219184</t>
  </si>
  <si>
    <t>Equipamento anormal - 2024. Inversor com alarme oscilando geração e não atinge potência nominal. Em tratativa sob o chamado 15219185</t>
  </si>
  <si>
    <t>Equipamento anormal - 2024. Inversor com alarme oscilando geração e não atinge potência nominal. Em tratativa sob o chamado 15219186</t>
  </si>
  <si>
    <t>Equipamento anormal - 2024. Inversor com alarme oscilando geração e não atinge potência nominal. Em tratativa sob o chamado 15219187</t>
  </si>
  <si>
    <t>Equipamento anormal - 2024. Inversor com alarme oscilando geração e não atinge potência nominal. Em tratativa sob o chamado 15219188</t>
  </si>
  <si>
    <t>Equipamento anormal - 2024. Inversor com alarme oscilando geração e não atinge potência nominal. Em tratativa sob o chamado 15219189</t>
  </si>
  <si>
    <t>Equipamento anormal - 2024. Inversor com alarme oscilando geração e não atinge potência nominal. Em tratativa sob o chamado 15219190</t>
  </si>
  <si>
    <t>Equipamento anormal - 2024. Inversor com alarme oscilando geração e não atinge potência nominal. Em tratativa sob o chamado 15219191</t>
  </si>
  <si>
    <t>Equipamento anormal - 2024. Inversor com alarme oscilando geração e não atinge potência nominal. Em tratativa sob o chamado 15219192</t>
  </si>
  <si>
    <t>Equipamento anormal - 2024. Inversor com alarme oscilando geração e não atinge potência nominal. Em tratativa sob o chamado 15219193</t>
  </si>
  <si>
    <t>Equipamento anormal - 2024. Inversor com alarme oscilando geração e não atinge potência nominal. Em tratativa sob o chamado 15219194</t>
  </si>
  <si>
    <t>Equipamento anormal - 2024. Inversor com alarme oscilando geração e não atinge potência nominal. Em tratativa sob o chamado 15219195</t>
  </si>
  <si>
    <t>Equipamento anormal - 2024. Inversor com alarme oscilando geração e não atinge potência nominal. Em tratativa sob o chamado 15219196</t>
  </si>
  <si>
    <t>Equipamento anormal - 2024. Inversor com alarme oscilando geração e não atinge potência nominal. Em tratativa sob o chamado 15219197</t>
  </si>
  <si>
    <t>Equipamento anormal - 2024. Inversor com alarme oscilando geração e não atinge potência nominal. Em tratativa sob o chamado 15219198</t>
  </si>
  <si>
    <t>Equipamento anormal - 2024. Inversor com alarme oscilando geração e não atinge potência nominal. Em tratativa sob o chamado 15219199</t>
  </si>
  <si>
    <t>Equipamento anormal - 2024. Inversor com alarme oscilando geração e não atinge potência nominal. Em tratativa sob o chamado 15219200</t>
  </si>
  <si>
    <t>Equipamento anormal - 2024. Inversor com alarme oscilando geração e não atinge potência nominal. Em tratativa sob o chamado 15219201</t>
  </si>
  <si>
    <t>Equipamento anormal - 2024. Inversor com alarme oscilando geração e não atinge potência nominal. Em tratativa sob o chamado 15219202</t>
  </si>
  <si>
    <t>Equipamento anormal - 2024. Inversor com alarme oscilando geração e não atinge potência nominal. Em tratativa sob o chamado 15219203</t>
  </si>
  <si>
    <t>Equipamento anormal - 2024. Inversor com alarme oscilando geração e não atinge potência nominal. Em tratativa sob o chamado 15219204</t>
  </si>
  <si>
    <t>Equipamento anormal - 2024. Inversor com alarme oscilando geração e não atinge potência nominal. Em tratativa sob o chamado 15219205</t>
  </si>
  <si>
    <t>Equipamento anormal - 2024. Inversor com alarme oscilando geração e não atinge potência nominal. Em tratativa sob o chamado 15219206</t>
  </si>
  <si>
    <t>Equipamento anormal - 2024. Inversor com alarme oscilando geração e não atinge potência nominal. Em tratativa sob o chamado 15219207</t>
  </si>
  <si>
    <t>Equipamento anormal - 2024. Inversor com alarme oscilando geração e não atinge potência nominal. Em tratativa sob o chamado 15219208</t>
  </si>
  <si>
    <t>Equipamento anormal - 2024. Inversor com alarme oscilando geração e não atinge potência nominal. Em tratativa sob o chamado 15219209</t>
  </si>
  <si>
    <t>Equipamento anormal - 2024. Inversor com alarme oscilando geração e não atinge potência nominal. Em tratativa sob o chamado 15219210</t>
  </si>
  <si>
    <t>Equipamento anormal - 2024. Inversor com alarme oscilando geração e não atinge potência nominal. Em tratativa sob o chamado 15219211</t>
  </si>
  <si>
    <t>Equipamento anormal - 2024. Inversor com alarme oscilando geração e não atinge potência nominal. Em tratativa sob o chamado 15219212</t>
  </si>
  <si>
    <t>Equipamento anormal - 2024. Inversor com alarme oscilando geração e não atinge potência nominal. Em tratativa sob o chamado 15219213</t>
  </si>
  <si>
    <t>Equipamento anormal - 2024. Inversor com alarme oscilando geração e não atinge potência nominal. Em tratativa sob o chamado 15219214</t>
  </si>
  <si>
    <t>Equipamento anormal - 2024. Inversor com alarme oscilando geração e não atinge potência nominal. Em tratativa sob o chamado 15219215</t>
  </si>
  <si>
    <t>Equipamento anormal - 2024. Inversor com alarme oscilando geração e não atinge potência nominal. Em tratativa sob o chamado 15219216</t>
  </si>
  <si>
    <t>Equipamento anormal - 2024. Inversor com alarme oscilando geração e não atinge potência nominal. Em tratativa sob o chamado 15219217</t>
  </si>
  <si>
    <t>Equipamento anormal - 2024. Inversor com alarme oscilando geração e não atinge potência nominal. Em tratativa sob o chamado 15219218</t>
  </si>
  <si>
    <t>Equipamento anormal - 2024. Inversor com alarme oscilando geração e não atinge potência nominal. Em tratativa sob o chamado 15219219</t>
  </si>
  <si>
    <t>Equipamento anormal - 2024. Inversor com alarme oscilando geração e não atinge potência nominal. Em tratativa sob o chamado 15219220</t>
  </si>
  <si>
    <t>Equipamento anormal - 2024. Inversor com alarme oscilando geração e não atinge potência nominal. Em tratativa sob o chamado 15219221</t>
  </si>
  <si>
    <t>Equipamento anormal - 2024. Inversor com alarme oscilando geração e não atinge potência nominal. Em tratativa sob o chamado 15219222</t>
  </si>
  <si>
    <t>Equipamento anormal - 2024. Inversor com alarme oscilando geração e não atinge potência nominal. Em tratativa sob o chamado 15219223</t>
  </si>
  <si>
    <t>Equipamento anormal - 2024. Inversor com alarme oscilando geração e não atinge potência nominal. Em tratativa sob o chamado 15219224</t>
  </si>
  <si>
    <t>Equipamento anormal - 2024. Inversor com alarme oscilando geração e não atinge potência nominal. Em tratativa sob o chamado 15219225</t>
  </si>
  <si>
    <t>Equipamento anormal - 2024. Inversor com alarme oscilando geração e não atinge potência nominal. Em tratativa sob o chamado 15219226</t>
  </si>
  <si>
    <t>Equipamento anormal - 2024. Inversor com alarme oscilando geração e não atinge potência nominal. Em tratativa sob o chamado 15219227</t>
  </si>
  <si>
    <t>Equipamento anormal - 2024. Inversor com alarme oscilando geração e não atinge potência nominal. Em tratativa sob o chamado 15219228</t>
  </si>
  <si>
    <t>Equipamento anormal - 2024. Inversor com alarme oscilando geração e não atinge potência nominal. Em tratativa sob o chamado 15219229</t>
  </si>
  <si>
    <t>Equipamento anormal - 2024. Inversor com alarme oscilando geração e não atinge potência nominal. Em tratativa sob o chamado 15219230</t>
  </si>
  <si>
    <t>Equipamento anormal - 2024. Inversor com alarme oscilando geração e não atinge potência nominal. Em tratativa sob o chamado 15219231</t>
  </si>
  <si>
    <t>Equipamento anormal - 2024. Inversor com alarme oscilando geração e não atinge potência nominal. Em tratativa sob o chamado 15219232</t>
  </si>
  <si>
    <t>Equipamento anormal - 2024. Inversor com alarme oscilando geração e não atinge potência nominal. Em tratativa sob o chamado 15219233</t>
  </si>
  <si>
    <t>Equipamento anormal - 2024. Inversor com alarme oscilando geração e não atinge potência nominal. Em tratativa sob o chamado 15219234</t>
  </si>
  <si>
    <t>Equipamento anormal - 2024. Inversor com alarme oscilando geração e não atinge potência nominal. Em tratativa sob o chamado 15219235</t>
  </si>
  <si>
    <t>Equipamento anormal - 2024. Inversor com alarme oscilando geração e não atinge potência nominal. Em tratativa sob o chamado 15219236</t>
  </si>
  <si>
    <t>Equipamento anormal - 2024. Inversor com alarme oscilando geração e não atinge potência nominal. Em tratativa sob o chamado 15219237</t>
  </si>
  <si>
    <t>Equipamento anormal - 2024. Inversor com alarme oscilando geração e não atinge potência nominal. Em tratativa sob o chamado 15219238</t>
  </si>
  <si>
    <t>Equipamento anormal - 2024. Inversor com alarme oscilando geração e não atinge potência nominal. Em tratativa sob o chamado 15219239</t>
  </si>
  <si>
    <t>Equipamento anormal - 2024. Inversor com alarme oscilando geração e não atinge potência nominal. Em tratativa sob o chamado 15219240</t>
  </si>
  <si>
    <t>Equipamento anormal - 2024. Inversor com alarme oscilando geração e não atinge potência nominal. Em tratativa sob o chamado 15219241</t>
  </si>
  <si>
    <t>Equipamento anormal - 2024. Inversor com alarme oscilando geração e não atinge potência nominal. Em tratativa sob o chamado 15219242</t>
  </si>
  <si>
    <t>Equipamento anormal - 2024. Inversor com alarme oscilando geração e não atinge potência nominal. Em tratativa sob o chamado 15219243</t>
  </si>
  <si>
    <t>Equipamento anormal - 2024. Inversor com alarme oscilando geração e não atinge potência nominal. Em tratativa sob o chamado 15219244</t>
  </si>
  <si>
    <t>Equipamento anormal - 2024. Inversor com alarme oscilando geração e não atinge potência nominal. Em tratativa sob o chamado 15219245</t>
  </si>
  <si>
    <t>Equipamento anormal - 2024. Inversor com alarme oscilando geração e não atinge potência nominal. Em tratativa sob o chamado 15219246</t>
  </si>
  <si>
    <t>Equipamento anormal - 2024. Inversor com alarme oscilando geração e não atinge potência nominal. Em tratativa sob o chamado 15219247</t>
  </si>
  <si>
    <t>Equipamento anormal - 2024. Inversor com alarme oscilando geração e não atinge potência nominal. Em tratativa sob o chamado 15219248</t>
  </si>
  <si>
    <t>Equipamento anormal - 2024. Inversor com alarme oscilando geração e não atinge potência nominal. Em tratativa sob o chamado 15219249</t>
  </si>
  <si>
    <t>Equipamento anormal - 2024. Inversor com alarme oscilando geração e não atinge potência nominal. Em tratativa sob o chamado 15219250</t>
  </si>
  <si>
    <t>Equipamento anormal - 2024. Inversor com alarme oscilando geração e não atinge potência nominal. Em tratativa sob o chamado 15219251</t>
  </si>
  <si>
    <t>Equipamento anormal - 2024. Inversor com alarme oscilando geração e não atinge potência nominal. Em tratativa sob o chamado 15219252</t>
  </si>
  <si>
    <t>Equipamento anormal - 2024. Inversor com alarme oscilando geração e não atinge potência nominal. Em tratativa sob o chamado 15219253</t>
  </si>
  <si>
    <t>Equipamento anormal - 2024. Inversor com alarme oscilando geração e não atinge potência nominal. Em tratativa sob o chamado 15219254</t>
  </si>
  <si>
    <t>Equipamento anormal - 2024. Inversor com alarme oscilando geração e não atinge potência nominal. Em tratativa sob o chamado 15219255</t>
  </si>
  <si>
    <t>Equipamento anormal - 2024. Inversor com alarme oscilando geração e não atinge potência nominal. Em tratativa sob o chamado 15219256</t>
  </si>
  <si>
    <t>Equipamento anormal - 2024. Inversor com alarme oscilando geração e não atinge potência nominal. Em tratativa sob o chamado 15219257</t>
  </si>
  <si>
    <t>Equipamento anormal - 2024. Inversor com alarme oscilando geração e não atinge potência nominal. Em tratativa sob o chamado 15219258</t>
  </si>
  <si>
    <t>Equipamento anormal - 2024. Inversor com alarme oscilando geração e não atinge potência nominal. Em tratativa sob o chamado 15219259</t>
  </si>
  <si>
    <t>Equipamento anormal - 2024. Inversor com alarme oscilando geração e não atinge potência nominal. Em tratativa sob o chamado 15219260</t>
  </si>
  <si>
    <t>Equipamento anormal - 2024. Inversor com alarme oscilando geração e não atinge potência nominal. Em tratativa sob o chamado 15219261</t>
  </si>
  <si>
    <t>Equipamento anormal - 2024. Inversor com alarme oscilando geração e não atinge potência nominal. Em tratativa sob o chamado 15219262</t>
  </si>
  <si>
    <t>Equipamento anormal - 2024. Inversor com alarme oscilando geração e não atinge potência nominal. Em tratativa sob o chamado 15219263</t>
  </si>
  <si>
    <t>Equipamento anormal - 2024. Inversor com alarme oscilando geração e não atinge potência nominal. Em tratativa sob o chamado 15219264</t>
  </si>
  <si>
    <t>Equipamento anormal - 2024. Inversor com alarme oscilando geração e não atinge potência nominal. Em tratativa sob o chamado 15219265</t>
  </si>
  <si>
    <t>Equipamento anormal - 2024. Inversor com alarme oscilando geração e não atinge potência nominal. Em tratativa sob o chamado 15219266</t>
  </si>
  <si>
    <t>Equipamento anormal - 2024. Inversor com alarme oscilando geração e não atinge potência nominal. Em tratativa sob o chamado 15219267</t>
  </si>
  <si>
    <t>Equipamento anormal - 2024. Inversor com alarme oscilando geração e não atinge potência nominal. Em tratativa sob o chamado 15219268</t>
  </si>
  <si>
    <t>Equipamento anormal - 2024. Inversor com alarme oscilando geração e não atinge potência nominal. Em tratativa sob o chamado 15219269</t>
  </si>
  <si>
    <t>Equipamento anormal - 2024. Inversor com alarme oscilando geração e não atinge potência nominal. Em tratativa sob o chamado 15219270</t>
  </si>
  <si>
    <t>Equipamento anormal - 2024. Inversor com alarme oscilando geração e não atinge potência nominal. Em tratativa sob o chamado 15219271</t>
  </si>
  <si>
    <t>Equipamento anormal - 2024. Inversor com alarme oscilando geração e não atinge potência nominal. Em tratativa sob o chamado 15219272</t>
  </si>
  <si>
    <t>Equipamento anormal - 2024. Inversor com alarme oscilando geração e não atinge potência nominal. Em tratativa sob o chamado 15219273</t>
  </si>
  <si>
    <t>Equipamento anormal - 2024. Inversor com alarme oscilando geração e não atinge potência nominal. Em tratativa sob o chamado 15219274</t>
  </si>
  <si>
    <t>Equipamento anormal - 2024. Inversor com alarme oscilando geração e não atinge potência nominal. Em tratativa sob o chamado 15219275</t>
  </si>
  <si>
    <t>Equipamento anormal - 2024. Inversor com alarme oscilando geração e não atinge potência nominal. Em tratativa sob o chamado 15219276</t>
  </si>
  <si>
    <t>Equipamento anormal - 2024. Inversor com alarme oscilando geração e não atinge potência nominal. Em tratativa sob o chamado 15219277</t>
  </si>
  <si>
    <t>Equipamento anormal - 2024. Inversor com alarme oscilando geração e não atinge potência nominal. Em tratativa sob o chamado 15219278</t>
  </si>
  <si>
    <t>Equipamento anormal - 2024. Inversor com alarme oscilando geração e não atinge potência nominal. Em tratativa sob o chamado 15219279</t>
  </si>
  <si>
    <t>Equipamento anormal - 2024. Inversor com alarme oscilando geração e não atinge potência nominal. Em tratativa sob o chamado 15219280</t>
  </si>
  <si>
    <t>Equipamento anormal - 2024. Inversor com alarme oscilando geração e não atinge potência nominal. Em tratativa sob o chamado 15219281</t>
  </si>
  <si>
    <t>Equipamento anormal - 2024. Inversor com alarme oscilando geração e não atinge potência nominal. Em tratativa sob o chamado 15219282</t>
  </si>
  <si>
    <t>Equipamento anormal - 2024. Inversor com alarme oscilando geração e não atinge potência nominal. Em tratativa sob o chamado 15219283</t>
  </si>
  <si>
    <t>Equipamento anormal - 2024. Inversor com alarme oscilando geração e não atinge potência nominal. Em tratativa sob o chamado 15219284</t>
  </si>
  <si>
    <t>Equipamento anormal - 2024. Inversor com alarme oscilando geração e não atinge potência nominal. Em tratativa sob o chamado 15219285</t>
  </si>
  <si>
    <t>Equipamento anormal - 2024. Inversor com alarme oscilando geração e não atinge potência nominal. Em tratativa sob o chamado 15219286</t>
  </si>
  <si>
    <t>Equipamento anormal - 2024. Inversor com alarme oscilando geração e não atinge potência nominal. Em tratativa sob o chamado 15219287</t>
  </si>
  <si>
    <t>Equipamento anormal - 2024. Inversor com alarme oscilando geração e não atinge potência nominal. Em tratativa sob o chamado 15219288</t>
  </si>
  <si>
    <t>Equipamento anormal - 2024. Inversor com alarme oscilando geração e não atinge potência nominal. Em tratativa sob o chamado 15219289</t>
  </si>
  <si>
    <t>Equipamento anormal - 2024. Inversor com alarme oscilando geração e não atinge potência nominal. Em tratativa sob o chamado 15219290</t>
  </si>
  <si>
    <t>Equipamento anormal - 2024. Inversor com alarme oscilando geração e não atinge potência nominal. Em tratativa sob o chamado 15219291</t>
  </si>
  <si>
    <t>Equipamento anormal - 2024. Inversor com alarme oscilando geração e não atinge potência nominal. Em tratativa sob o chamado 15219292</t>
  </si>
  <si>
    <t>Equipamento anormal - 2024. Inversor com alarme oscilando geração e não atinge potência nominal. Em tratativa sob o chamado 15219293</t>
  </si>
  <si>
    <t>Equipamento anormal - 2024. Inversor com alarme oscilando geração e não atinge potência nominal. Em tratativa sob o chamado 15219294</t>
  </si>
  <si>
    <t>Equipamento anormal - 2024. Inversor com alarme oscilando geração e não atinge potência nominal. Em tratativa sob o chamado 15219295</t>
  </si>
  <si>
    <t>Equipamento anormal - 2024. Inversor com alarme oscilando geração e não atinge potência nominal. Em tratativa sob o chamado 15219296</t>
  </si>
  <si>
    <t>Equipamento anormal - 2024. Inversor com alarme oscilando geração e não atinge potência nominal. Em tratativa sob o chamado 15219297</t>
  </si>
  <si>
    <t>Equipamento anormal - 2024. Inversor com alarme oscilando geração e não atinge potência nominal. Em tratativa sob o chamado 15219298</t>
  </si>
  <si>
    <t>Equipamento anormal - 2024. Inversor com alarme oscilando geração e não atinge potência nominal. Em tratativa sob o chamado 15219299</t>
  </si>
  <si>
    <t>Equipamento anormal - 2024. Inversor com alarme oscilando geração e não atinge potência nominal. Em tratativa sob o chamado 15219300</t>
  </si>
  <si>
    <t>Equipamento anormal - 2024. Inversor com alarme oscilando geração e não atinge potência nominal. Em tratativa sob o chamado 15219301</t>
  </si>
  <si>
    <t>Equipamento anormal - 2024. Inversor com alarme oscilando geração e não atinge potência nominal. Em tratativa sob o chamado 15219302</t>
  </si>
  <si>
    <t>Equipamento anormal - 2024. Inversor com alarme oscilando geração e não atinge potência nominal. Em tratativa sob o chamado 15219303</t>
  </si>
  <si>
    <t>Equipamento anormal - 2024. Inversor com alarme oscilando geração e não atinge potência nominal. Em tratativa sob o chamado 15219304</t>
  </si>
  <si>
    <t>Equipamento anormal - 2024. Inversor com alarme oscilando geração e não atinge potência nominal. Em tratativa sob o chamado 15219305</t>
  </si>
  <si>
    <t>Equipamento anormal - 2024. Inversor com alarme oscilando geração e não atinge potência nominal. Em tratativa sob o chamado 15219306</t>
  </si>
  <si>
    <t>Equipamento anormal - 2024. Inversor com alarme oscilando geração e não atinge potência nominal. Em tratativa sob o chamado 15219307</t>
  </si>
  <si>
    <t>Equipamento anormal - 2024. Inversor com alarme oscilando geração e não atinge potência nominal. Em tratativa sob o chamado 15219308</t>
  </si>
  <si>
    <t>Equipamento anormal - 2024. Inversor com alarme oscilando geração e não atinge potência nominal. Em tratativa sob o chamado 15219309</t>
  </si>
  <si>
    <t>Equipamento anormal - 2024. Inversor com alarme oscilando geração e não atinge potência nominal. Em tratativa sob o chamado 15219310</t>
  </si>
  <si>
    <t>Equipamento anormal - 2024. Inversor com alarme oscilando geração e não atinge potência nominal. Em tratativa sob o chamado 15219311</t>
  </si>
  <si>
    <t>Equipamento anormal - 2024. Inversor com alarme oscilando geração e não atinge potência nominal. Em tratativa sob o chamado 15219312</t>
  </si>
  <si>
    <t>Equipamento anormal - 2024. Inversor com alarme oscilando geração e não atinge potência nominal. Em tratativa sob o chamado 15219313</t>
  </si>
  <si>
    <t>Equipamento anormal - 2024. Inversor com alarme oscilando geração e não atinge potência nominal. Em tratativa sob o chamado 15219314</t>
  </si>
  <si>
    <t>Equipamento anormal - 2024. Inversor com alarme oscilando geração e não atinge potência nominal. Em tratativa sob o chamado 15219315</t>
  </si>
  <si>
    <t>Equipamento anormal - 2024. Inversor com alarme oscilando geração e não atinge potência nominal. Em tratativa sob o chamado 15219316</t>
  </si>
  <si>
    <t>Equipamento anormal - 2024. Inversor com alarme oscilando geração e não atinge potência nominal. Em tratativa sob o chamado 15219317</t>
  </si>
  <si>
    <t>Equipamento anormal - 2024. Inversor com alarme oscilando geração e não atinge potência nominal. Em tratativa sob o chamado 15219318</t>
  </si>
  <si>
    <t>Equipamento anormal - 2024. Inversor com alarme oscilando geração e não atinge potência nominal. Em tratativa sob o chamado 15219319</t>
  </si>
  <si>
    <t>Equipamento anormal - 2024. Inversor com alarme oscilando geração e não atinge potência nominal. Em tratativa sob o chamado 15219320</t>
  </si>
  <si>
    <t>Equipamento anormal - 2024. Inversor com alarme oscilando geração e não atinge potência nominal. Em tratativa sob o chamado 15219321</t>
  </si>
  <si>
    <t>Equipamento anormal - 2024. Inversor com alarme oscilando geração e não atinge potência nominal. Em tratativa sob o chamado 15219322</t>
  </si>
  <si>
    <t>Equipamento anormal - 2024. Inversor com alarme oscilando geração e não atinge potência nominal. Em tratativa sob o chamado 15219323</t>
  </si>
  <si>
    <t>Equipamento anormal - 2024. Inversor com alarme oscilando geração e não atinge potência nominal. Em tratativa sob o chamado 15219324</t>
  </si>
  <si>
    <t>Equipamento anormal - 2024. Inversor com alarme oscilando geração e não atinge potência nominal. Em tratativa sob o chamado 15219325</t>
  </si>
  <si>
    <t>Equipamento anormal - 2024. Inversor com alarme oscilando geração e não atinge potência nominal. Em tratativa sob o chamado 15219326</t>
  </si>
  <si>
    <t>Equipamento anormal - 2024. Inversor com alarme oscilando geração e não atinge potência nominal. Em tratativa sob o chamado 15219327</t>
  </si>
  <si>
    <t>Equipamento anormal - 2024. Inversor com alarme oscilando geração e não atinge potência nominal. Em tratativa sob o chamado 15219328</t>
  </si>
  <si>
    <t>Equipamento anormal - 2024. Inversor com alarme oscilando geração e não atinge potência nominal. Em tratativa sob o chamado 15219329</t>
  </si>
  <si>
    <t>Equipamento anormal - 2024. Inversor com alarme oscilando geração e não atinge potência nominal. Em tratativa sob o chamado 15219330</t>
  </si>
  <si>
    <t>Equipamento anormal - 2024. Inversor com alarme oscilando geração e não atinge potência nominal. Em tratativa sob o chamado 15219331</t>
  </si>
  <si>
    <t>Equipamento anormal - 2024. Inversor com alarme oscilando geração e não atinge potência nominal. Em tratativa sob o chamado 15219332</t>
  </si>
  <si>
    <t>Equipamento anormal - 2024. Inversor com alarme oscilando geração e não atinge potência nominal. Em tratativa sob o chamado 15219333</t>
  </si>
  <si>
    <t>Equipamento anormal - 2024. Inversor com alarme oscilando geração e não atinge potência nominal. Em tratativa sob o chamado 15219334</t>
  </si>
  <si>
    <t>Equipamento anormal - 2024. Inversor com alarme oscilando geração e não atinge potência nominal. Em tratativa sob o chamado 15219335</t>
  </si>
  <si>
    <t>Equipamento anormal - 2024. Inversor com alarme oscilando geração e não atinge potência nominal. Em tratativa sob o chamado 15219336</t>
  </si>
  <si>
    <t>Equipamento anormal - 2024. Inversor com alarme oscilando geração e não atinge potência nominal. Em tratativa sob o chamado 15219337</t>
  </si>
  <si>
    <t>Equipamento anormal - 2024. Inversor com alarme oscilando geração e não atinge potência nominal. Em tratativa sob o chamado 15219338</t>
  </si>
  <si>
    <t>Equipamento anormal - 2024. Inversor com alarme oscilando geração e não atinge potência nominal. Em tratativa sob o chamado 15219339</t>
  </si>
  <si>
    <t>Equipamento anormal - 2024. Inversor com alarme oscilando geração e não atinge potência nominal. Em tratativa sob o chamado 15219340</t>
  </si>
  <si>
    <t>Equipamento anormal - 2024. Inversor com alarme oscilando geração e não atinge potência nominal. Em tratativa sob o chamado 15219341</t>
  </si>
  <si>
    <t>Equipamento anormal - 2024. Inversor com alarme oscilando geração e não atinge potência nominal. Em tratativa sob o chamado 15219342</t>
  </si>
  <si>
    <t>Equipamento anormal - 2024. Inversor com alarme oscilando geração e não atinge potência nominal. Em tratativa sob o chamado 15219343</t>
  </si>
  <si>
    <t>Equipamento anormal - 2024. Inversor com alarme oscilando geração e não atinge potência nominal. Em tratativa sob o chamado 15219344</t>
  </si>
  <si>
    <t>Equipamento anormal - 2024. Inversor com alarme oscilando geração e não atinge potência nominal. Em tratativa sob o chamado 15219345</t>
  </si>
  <si>
    <t>Equipamento anormal - 2024. Inversor com alarme oscilando geração e não atinge potência nominal. Em tratativa sob o chamado 15219346</t>
  </si>
  <si>
    <t>Equipamento anormal - 2024. Inversor com alarme oscilando geração e não atinge potência nominal. Em tratativa sob o chamado 15219347</t>
  </si>
  <si>
    <t>Equipamento anormal - 2024. Inversor com alarme oscilando geração e não atinge potência nominal. Em tratativa sob o chamado 15219348</t>
  </si>
  <si>
    <t>Equipamento anormal - 2024. Inversor com alarme oscilando geração e não atinge potência nominal. Em tratativa sob o chamado 15219349</t>
  </si>
  <si>
    <t>Equipamento anormal - 2024. Inversor com alarme oscilando geração e não atinge potência nominal. Em tratativa sob o chamado 15219350</t>
  </si>
  <si>
    <t>Equipamento anormal - 2024. Inversor com alarme oscilando geração e não atinge potência nominal. Em tratativa sob o chamado 15219351</t>
  </si>
  <si>
    <t>Equipamento anormal - 2024. Inversor com alarme oscilando geração e não atinge potência nominal. Em tratativa sob o chamado 15219352</t>
  </si>
  <si>
    <t>Equipamento anormal - 2024. Inversor com alarme oscilando geração e não atinge potência nominal. Em tratativa sob o chamado 15219353</t>
  </si>
  <si>
    <t>Equipamento anormal - 2024. Inversor com alarme oscilando geração e não atinge potência nominal. Em tratativa sob o chamado 15219354</t>
  </si>
  <si>
    <t>Equipamento anormal - 2024. Inversor com alarme oscilando geração e não atinge potência nominal. Em tratativa sob o chamado 15219355</t>
  </si>
  <si>
    <t>Equipamento anormal - 2024. Inversor com alarme oscilando geração e não atinge potência nominal. Em tratativa sob o chamado 15219356</t>
  </si>
  <si>
    <t>Equipamento anormal - 2024. Inversor com alarme oscilando geração e não atinge potência nominal. Em tratativa sob o chamado 15219357</t>
  </si>
  <si>
    <t>Equipamento anormal - 2024. Inversor com alarme oscilando geração e não atinge potência nominal. Em tratativa sob o chamado 15219358</t>
  </si>
  <si>
    <t>Equipamento anormal - 2024. Inversor com alarme oscilando geração e não atinge potência nominal. Em tratativa sob o chamado 15219359</t>
  </si>
  <si>
    <t>Equipamento anormal - 2024. Inversor com alarme oscilando geração e não atinge potência nominal. Em tratativa sob o chamado 15219360</t>
  </si>
  <si>
    <t>Equipamento anormal - 2024. Inversor com alarme oscilando geração e não atinge potência nominal. Em tratativa sob o chamado 15219361</t>
  </si>
  <si>
    <t>Equipamento anormal - 2024. Inversor com alarme oscilando geração e não atinge potência nominal. Em tratativa sob o chamado 15219362</t>
  </si>
  <si>
    <t>Equipamento anormal - 2024. Inversor com alarme oscilando geração e não atinge potência nominal. Em tratativa sob o chamado 15219363</t>
  </si>
  <si>
    <t>Equipamento anormal - 2024. Inversor com alarme oscilando geração e não atinge potência nominal. Em tratativa sob o chamado 15219364</t>
  </si>
  <si>
    <t>Equipamento anormal - 2024. Inversor com alarme oscilando geração e não atinge potência nominal. Em tratativa sob o chamado 15219365</t>
  </si>
  <si>
    <t>Equipamento anormal - 2024. Inversor com alarme oscilando geração e não atinge potência nominal. Em tratativa sob o chamado 15219366</t>
  </si>
  <si>
    <t>Equipamento anormal - 2024. Inversor com alarme oscilando geração e não atinge potência nominal. Em tratativa sob o chamado 15219367</t>
  </si>
  <si>
    <t>Equipamento anormal - 2024. Inversor com alarme oscilando geração e não atinge potência nominal. Em tratativa sob o chamado 15219368</t>
  </si>
  <si>
    <t>Equipamento anormal - 2024. Inversor com alarme oscilando geração e não atinge potência nominal. Em tratativa sob o chamado 15219369</t>
  </si>
  <si>
    <t>Equipamento anormal - 2024. Inversor com alarme oscilando geração e não atinge potência nominal. Em tratativa sob o chamado 15219370</t>
  </si>
  <si>
    <t>Equipamento anormal - 2024. Inversor com alarme oscilando geração e não atinge potência nominal. Em tratativa sob o chamado 15219371</t>
  </si>
  <si>
    <t>Equipamento anormal - 2024. Inversor com alarme oscilando geração e não atinge potência nominal. Em tratativa sob o chamado 15219372</t>
  </si>
  <si>
    <t>Equipamento anormal - 2024. Inversor com alarme oscilando geração e não atinge potência nominal. Em tratativa sob o chamado 15219373</t>
  </si>
  <si>
    <t>Equipamento anormal - 2024. Inversor com alarme oscilando geração e não atinge potência nominal. Em tratativa sob o chamado 15219374</t>
  </si>
  <si>
    <t>Equipamento anormal - 2024. Inversor com alarme oscilando geração e não atinge potência nominal. Em tratativa sob o chamado 15219375</t>
  </si>
  <si>
    <t>Equipamento anormal - 2024. Inversor com alarme oscilando geração e não atinge potência nominal. Em tratativa sob o chamado 15219376</t>
  </si>
  <si>
    <t>Equipamento anormal - 2024. Inversor com alarme oscilando geração e não atinge potência nominal. Em tratativa sob o chamado 15219377</t>
  </si>
  <si>
    <t>Equipamento anormal - 2024. Inversor com alarme oscilando geração e não atinge potência nominal. Em tratativa sob o chamado 15219378</t>
  </si>
  <si>
    <t>Equipamento anormal - 2024. Inversor com alarme oscilando geração e não atinge potência nominal. Em tratativa sob o chamado 15219379</t>
  </si>
  <si>
    <t>Equipamento anormal - 2024. Inversor com alarme oscilando geração e não atinge potência nominal. Em tratativa sob o chamado 15219380</t>
  </si>
  <si>
    <t>Equipamento anormal - 2024. Inversor com alarme oscilando geração e não atinge potência nominal. Em tratativa sob o chamado 15219381</t>
  </si>
  <si>
    <t>Equipamento anormal - 2024. Inversor com alarme oscilando geração e não atinge potência nominal. Em tratativa sob o chamado 15219382</t>
  </si>
  <si>
    <t>Equipamento anormal - 2024. Inversor com alarme oscilando geração e não atinge potência nominal. Em tratativa sob o chamado 15219383</t>
  </si>
  <si>
    <t>Equipamento anormal - 2024. Inversor com alarme oscilando geração e não atinge potência nominal. Em tratativa sob o chamado 15219384</t>
  </si>
  <si>
    <t>Equipamento anormal - 2024. Inversor com alarme oscilando geração e não atinge potência nominal. Em tratativa sob o chamado 15219385</t>
  </si>
  <si>
    <t>Equipamento anormal - 2024. Inversor com alarme oscilando geração e não atinge potência nominal. Em tratativa sob o chamado 15219386</t>
  </si>
  <si>
    <t>Equipamento anormal - 2024. Inversor com alarme oscilando geração e não atinge potência nominal. Em tratativa sob o chamado 15219387</t>
  </si>
  <si>
    <t>Equipamento anormal - 2024. Inversor com alarme oscilando geração e não atinge potência nominal. Em tratativa sob o chamado 15219388</t>
  </si>
  <si>
    <t>Equipamento anormal - 2024. Inversor com alarme oscilando geração e não atinge potência nominal. Em tratativa sob o chamado 15219389</t>
  </si>
  <si>
    <t>Equipamento anormal - 2024. Inversor com alarme oscilando geração e não atinge potência nominal. Em tratativa sob o chamado 15219390</t>
  </si>
  <si>
    <t>Equipamento anormal - 2024. Inversor com alarme oscilando geração e não atinge potência nominal. Em tratativa sob o chamado 15219391</t>
  </si>
  <si>
    <t>Equipamento anormal - 2024. Inversor com alarme oscilando geração e não atinge potência nominal. Em tratativa sob o chamado 15219392</t>
  </si>
  <si>
    <t>Equipamento anormal - 2024. Inversor com alarme oscilando geração e não atinge potência nominal. Em tratativa sob o chamado 15219393</t>
  </si>
  <si>
    <t>Equipamento anormal - 2024. Inversor com alarme oscilando geração e não atinge potência nominal. Em tratativa sob o chamado 15219394</t>
  </si>
  <si>
    <t>Equipamento anormal - 2024. Inversor com alarme oscilando geração e não atinge potência nominal. Em tratativa sob o chamado 15219395</t>
  </si>
  <si>
    <t>Equipamento anormal - 2024. Inversor com alarme oscilando geração e não atinge potência nominal. Em tratativa sob o chamado 15219396</t>
  </si>
  <si>
    <t>Equipamento anormal - 2024. Inversor com alarme oscilando geração e não atinge potência nominal. Em tratativa sob o chamado 15219397</t>
  </si>
  <si>
    <t>Equipamento anormal - 2024. Inversor com alarme oscilando geração e não atinge potência nominal. Em tratativa sob o chamado 15219398</t>
  </si>
  <si>
    <t>Equipamento anormal - 2024. Inversor com alarme oscilando geração e não atinge potência nominal. Em tratativa sob o chamado 15219399</t>
  </si>
  <si>
    <t>Equipamento anormal - 2024. Inversor com alarme oscilando geração e não atinge potência nominal. Em tratativa sob o chamado 15219400</t>
  </si>
  <si>
    <t>Equipamento anormal - 2024. Inversor com alarme oscilando geração e não atinge potência nominal. Em tratativa sob o chamado 15219401</t>
  </si>
  <si>
    <t>Equipamento anormal - 2024. Inversor com alarme oscilando geração e não atinge potência nominal. Em tratativa sob o chamado 15219402</t>
  </si>
  <si>
    <t>Equipamento anormal - 2024. Inversor com alarme oscilando geração e não atinge potência nominal. Em tratativa sob o chamado 15219403</t>
  </si>
  <si>
    <t>Equipamento anormal - 2024. Inversor com alarme oscilando geração e não atinge potência nominal. Em tratativa sob o chamado 15219404</t>
  </si>
  <si>
    <t>Equipamento anormal - 2024. Inversor com alarme oscilando geração e não atinge potência nominal. Em tratativa sob o chamado 15219405</t>
  </si>
  <si>
    <t>Equipamento anormal - 2024. Inversor com alarme oscilando geração e não atinge potência nominal. Em tratativa sob o chamado 15219406</t>
  </si>
  <si>
    <t>Equipamento anormal - 2024. Inversor com alarme oscilando geração e não atinge potência nominal. Em tratativa sob o chamado 15219407</t>
  </si>
  <si>
    <t>Equipamento anormal - 2024. Inversor com alarme oscilando geração e não atinge potência nominal. Em tratativa sob o chamado 15219408</t>
  </si>
  <si>
    <t>Equipamento anormal - 2024. Inversor com alarme oscilando geração e não atinge potência nominal. Em tratativa sob o chamado 15219409</t>
  </si>
  <si>
    <t>Equipamento anormal - 2024. Inversor com alarme oscilando geração e não atinge potência nominal. Em tratativa sob o chamado 15219410</t>
  </si>
  <si>
    <t>Equipamento anormal - 2024. Inversor com alarme oscilando geração e não atinge potência nominal. Em tratativa sob o chamado 15219411</t>
  </si>
  <si>
    <t>Equipamento anormal - 2024. Inversor com alarme oscilando geração e não atinge potência nominal. Em tratativa sob o chamado 15219412</t>
  </si>
  <si>
    <t>Equipamento anormal - 2024. Inversor com alarme oscilando geração e não atinge potência nominal. Em tratativa sob o chamado 15219413</t>
  </si>
  <si>
    <t>Equipamento anormal - 2024. Inversor com alarme oscilando geração e não atinge potência nominal. Em tratativa sob o chamado 15219414</t>
  </si>
  <si>
    <t>Equipamento anormal - 2024. Inversor com alarme oscilando geração e não atinge potência nominal. Em tratativa sob o chamado 15219415</t>
  </si>
  <si>
    <t>Equipamento anormal - 2024. Inversor com alarme oscilando geração e não atinge potência nominal. Em tratativa sob o chamado 15219416</t>
  </si>
  <si>
    <t>Equipamento anormal - 2024. Inversor com alarme oscilando geração e não atinge potência nominal. Em tratativa sob o chamado 15219417</t>
  </si>
  <si>
    <t>Equipamento anormal - 2024. Inversor com alarme oscilando geração e não atinge potência nominal. Em tratativa sob o chamado 15219418</t>
  </si>
  <si>
    <t>Equipamento anormal - 2024. Inversor com alarme oscilando geração e não atinge potência nominal. Em tratativa sob o chamado 15219419</t>
  </si>
  <si>
    <t>Equipamento anormal - 2024. Inversor com alarme oscilando geração e não atinge potência nominal. Em tratativa sob o chamado 15219420</t>
  </si>
  <si>
    <t>Equipamento anormal - 2024. Inversor com alarme oscilando geração e não atinge potência nominal. Em tratativa sob o chamado 15219421</t>
  </si>
  <si>
    <t>Equipamento anormal - 2024. Inversor com alarme oscilando geração e não atinge potência nominal. Em tratativa sob o chamado 15219422</t>
  </si>
  <si>
    <t>Equipamento anormal - 2024. Inversor com alarme oscilando geração e não atinge potência nominal. Em tratativa sob o chamado 15219423</t>
  </si>
  <si>
    <t>Equipamento anormal - 2024. Inversor com alarme oscilando geração e não atinge potência nominal. Em tratativa sob o chamado 15219424</t>
  </si>
  <si>
    <t>Equipamento anormal - 2024. Inversor com alarme oscilando geração e não atinge potência nominal. Em tratativa sob o chamado 15219425</t>
  </si>
  <si>
    <t>Equipamento anormal - 2024. Inversor com alarme oscilando geração e não atinge potência nominal. Em tratativa sob o chamado 15219426</t>
  </si>
  <si>
    <t>Equipamento anormal - 2024. Inversor com alarme oscilando geração e não atinge potência nominal. Em tratativa sob o chamado 15219427</t>
  </si>
  <si>
    <t>Equipamento anormal - 2024. Inversor com alarme oscilando geração e não atinge potência nominal. Em tratativa sob o chamado 15219428</t>
  </si>
  <si>
    <t>Equipamento anormal - 2024. Inversor com alarme oscilando geração e não atinge potência nominal. Em tratativa sob o chamado 15219429</t>
  </si>
  <si>
    <t>Anomalia de operação do sistema</t>
  </si>
  <si>
    <t>inversor 6</t>
  </si>
  <si>
    <t>inversor 5</t>
  </si>
  <si>
    <t>inversor 7</t>
  </si>
  <si>
    <t>inversor 4</t>
  </si>
  <si>
    <t>inversor 3</t>
  </si>
  <si>
    <t>inversor 2</t>
  </si>
  <si>
    <t>Corrente de fuga excessiva</t>
  </si>
  <si>
    <t>Oscilação da rede da concessionária (falha falta de energia no sistema de monitoramento)</t>
  </si>
  <si>
    <t>UF1 02 Varjão 1</t>
  </si>
  <si>
    <t>uf1 05 Varjão 1</t>
  </si>
  <si>
    <t>UF1 04 Varjão 1</t>
  </si>
  <si>
    <t>UF1 03 Varjão 1</t>
  </si>
  <si>
    <t>UF1 01 Varjão 1</t>
  </si>
  <si>
    <t>Falha de energia de rede elétrica</t>
  </si>
  <si>
    <t>Excesso do componente CC</t>
  </si>
  <si>
    <t>Função 59N atuada no relé.</t>
  </si>
  <si>
    <t>Função 59N, 27ABC atuada no relé.</t>
  </si>
  <si>
    <t>Função 86 atuada no relé.</t>
  </si>
  <si>
    <t>Logger resetado.</t>
  </si>
  <si>
    <t>Inversor off-line</t>
  </si>
  <si>
    <t>Foi realizado um reset no inversor, e foi normalizado.</t>
  </si>
  <si>
    <t>Queda de rede da concessionária, sem alarme no relé</t>
  </si>
  <si>
    <t>Falha atuada no relé: 67C e 86Q.</t>
  </si>
  <si>
    <t>Verificado painel dos transformadores e inversores, após verificação e não constatado nenhuma anomalia, foi realizado o reset do relé de proteção e normalizada a geração da UFV.</t>
  </si>
  <si>
    <t>Durante a verificação foi constatado que houve um desequilíbrio de tensão por parte da concessionária. Falha 47</t>
  </si>
  <si>
    <t>Disjuntor desarmado, sem alarme no Relé</t>
  </si>
  <si>
    <t>Falha de sinal de internet.</t>
  </si>
  <si>
    <t>Inversor 1 apresentando Falha 10 - Queda de Rede</t>
  </si>
  <si>
    <t>Urgência</t>
  </si>
  <si>
    <t>Identificado no sistema desequilibrio de fase, ao fazer a inspeção o mantenedor identificou curto circuito no trafo, o mesmo fez as manobras e desenergizou a UFV. Transformador foi coletado e encaminhado para garantia. Usina segue desenergizada.</t>
  </si>
  <si>
    <t>Função 27B,C atuada no relé.</t>
  </si>
  <si>
    <t>Inversor desligado para medição das tensões CC com circuito aberto para relatório semestral da Brasol.</t>
  </si>
  <si>
    <t>Foi realizado o desligamento dos inversores para medição das tensões CC em circuito aberto. Após o procedimento a UFV retomou a operação normal.</t>
  </si>
  <si>
    <t xml:space="preserve">Será desligada para realizar 3 MPCA na cabine de média tensão </t>
  </si>
  <si>
    <t>Função 67C atuada no relé.</t>
  </si>
  <si>
    <t>Função 67B atuada no relé.</t>
  </si>
  <si>
    <t>Algumas cameras da usina estavam desligadas</t>
  </si>
  <si>
    <t>Falta de energia da concessionária, sem alarme no relé.</t>
  </si>
  <si>
    <t>Inversor 83 apresentando falha de rede</t>
  </si>
  <si>
    <t>Função 67A atuada no relé.</t>
  </si>
  <si>
    <t>PRT</t>
  </si>
  <si>
    <t>Relé de Proteção</t>
  </si>
  <si>
    <t>Relé de proteção da UFV 1.1 apresentou falha E59 (Somente a Pextron resolve). Com isso a UFV 1.1 Ficou fora de operação e o relé foi enviado para garantia.</t>
  </si>
  <si>
    <t>Função 59N, 86Q atuada no relé.</t>
  </si>
  <si>
    <t>Função 59N, 51N, e 86Q atuada no relé.</t>
  </si>
  <si>
    <t>Desligamento programado para análise e ajustes nos relés de proteção.</t>
  </si>
  <si>
    <t>Falha de conexão com o logger.</t>
  </si>
  <si>
    <t>Usina apresentou o desligamento dos inversores devido à atuação do relé que não apresentou nenhum código de segurança</t>
  </si>
  <si>
    <t>Identificado falha no inversor 6</t>
  </si>
  <si>
    <t>Função 27C, 50N, 67C, e 86Q atuada no relé.</t>
  </si>
  <si>
    <t>Falha de comunicação do Smartlogger</t>
  </si>
  <si>
    <t>Função 27ABC, 67ABC e 86 atuada no relé.</t>
  </si>
  <si>
    <t>Função 27 atuada no relé.</t>
  </si>
  <si>
    <t>Inversor 14 apresentando falha</t>
  </si>
  <si>
    <t>Identificação de sinistro (furto de cabos cc)</t>
  </si>
  <si>
    <t>Durante a verificação foi constatado que era uma falta de comunicação, foi feito inspeção e identificado que o conversor de mídia da usina 2.3 estava queimado.</t>
  </si>
  <si>
    <t>Função 47B atuada no relé.</t>
  </si>
  <si>
    <t>Desligamento Programado para substituição do inversor que estava apresentando falha em campo.</t>
  </si>
  <si>
    <t>Falha de link no Smartlogger, UFV gerando normalmente, ficou off no supervisório</t>
  </si>
  <si>
    <t>Relé de proteção atuado com a falha 47- fase B</t>
  </si>
  <si>
    <t>Desligamento da UFV, para passagem de fibra do SCADA</t>
  </si>
  <si>
    <t>Trackes travados, por problemas de comunicação dos gateways da NCU. Chamado com STI: 24377.</t>
  </si>
  <si>
    <t>Desligamento da UFV, para passagem de fibra do SCADA no logger</t>
  </si>
  <si>
    <t>Inversor entrou em modo de proteção por alteração de corrente</t>
  </si>
  <si>
    <t>Relé de proteção atuado com a falha 67B</t>
  </si>
  <si>
    <t>Inversor apresentando falha de queda na rede</t>
  </si>
  <si>
    <t>Após identificação de sinistro na usina, e identificado que não houve impacto nesse inversor, ele foi desenergizado para realização de verificações na usina.</t>
  </si>
  <si>
    <t>Após identificação de sinistro na usina, foi constatado que esse inversor estava operando com menos strings, devido ao furto de cabos. Foi desenergizado para manutenção e normalização da geração.</t>
  </si>
  <si>
    <t>Após identificação de sinistro na usina, além de strings a menos, apresentou falha interna e está em tratativa de garantia.</t>
  </si>
  <si>
    <t>Falha, inversor sem gerar.</t>
  </si>
  <si>
    <t>Apenas falha de comunicação</t>
  </si>
  <si>
    <t>Inversor apresentando alarme de baixa impedância</t>
  </si>
  <si>
    <t>Função 86Q e 67C atuada no relé.</t>
  </si>
  <si>
    <t>INVERSORES VINCULADOS AO DATA LOGGER B2142330373 COM ALARME DE QUEDA DE REDE / INVERSORES VINCULADOS AO DATA LOGGER B2142330370 PARCIALMENTE OFF-LINE COM ALARME DE QUEDA DE REDE</t>
  </si>
  <si>
    <t xml:space="preserve">Inversor off-line na plataforma </t>
  </si>
  <si>
    <t>Falha de comunicação com os inversores</t>
  </si>
  <si>
    <t>Desligamento programado para execução de MP e adequação do QGBT</t>
  </si>
  <si>
    <t>Durante a verificação foi constatado que não está chegando nenhuma fase na UFV</t>
  </si>
  <si>
    <t>ESTADO OPERATIVO</t>
  </si>
  <si>
    <t>CONDIÇÃO OPERATIVA</t>
  </si>
  <si>
    <t>ORIGEM</t>
  </si>
  <si>
    <t>Definição - Origem</t>
  </si>
  <si>
    <t>Causa Padrão</t>
  </si>
  <si>
    <t>NOR</t>
  </si>
  <si>
    <t>Anomalia no arranjo FV</t>
  </si>
  <si>
    <t>Prestador de Serviço de TI/CFTV</t>
  </si>
  <si>
    <t>RPR</t>
  </si>
  <si>
    <t>Anomalia OP. Sistema</t>
  </si>
  <si>
    <t>B. Res. Isolamento</t>
  </si>
  <si>
    <t>OEM</t>
  </si>
  <si>
    <t>Disjuntor MT</t>
  </si>
  <si>
    <t>COD</t>
  </si>
  <si>
    <t>Colaborador Brasol</t>
  </si>
  <si>
    <t>ESO</t>
  </si>
  <si>
    <t>Estação Solarimétrica</t>
  </si>
  <si>
    <t>Não Aplicável</t>
  </si>
  <si>
    <t>Relé de proteção</t>
  </si>
  <si>
    <t>EPC</t>
  </si>
  <si>
    <t>Falha SPDA</t>
  </si>
  <si>
    <t>CBP</t>
  </si>
  <si>
    <t>Cabine Primária</t>
  </si>
  <si>
    <t>TRK</t>
  </si>
  <si>
    <t>Tracker</t>
  </si>
  <si>
    <t>Limitação</t>
  </si>
  <si>
    <t>Inversor 12 com falha, alarme (equipamento anormal).</t>
  </si>
  <si>
    <t>Foi aberto chamado com fabricante e o caso foi tratado como garantia. Após aceite de garantia por parte do fabricante, o inversor foi substituído por um sobressalente. A huawei irá enviar um inversor novo para reposição em garantia, que irá para o estoque.</t>
  </si>
  <si>
    <t>BC BomSucesso</t>
  </si>
  <si>
    <t>Foi identificada falha de comunicação que afetou simultaneamente os inversores e o sistema de CFTV da usina.</t>
  </si>
  <si>
    <t>ABB_01</t>
  </si>
  <si>
    <t>ABB_02</t>
  </si>
  <si>
    <t>ABB_03</t>
  </si>
  <si>
    <t>ABB_04</t>
  </si>
  <si>
    <t>ABB_05</t>
  </si>
  <si>
    <t>ABB_06</t>
  </si>
  <si>
    <t>ABB_07</t>
  </si>
  <si>
    <t>ABB_08</t>
  </si>
  <si>
    <t>ABB_09</t>
  </si>
  <si>
    <t>ABB_10</t>
  </si>
  <si>
    <t>ABB_11</t>
  </si>
  <si>
    <t>Durante a verificação foi constatado que houve um desequilíbrio de tensão por parte da concessionária.</t>
  </si>
  <si>
    <t>Após retorno da rede, foi realizado programa de manobra para normalização da geração.</t>
  </si>
  <si>
    <t>inv. 1</t>
  </si>
  <si>
    <t>Falha 47 atuada no relé de proteção.</t>
  </si>
  <si>
    <t>Realizado reset do relé e rearme do disjuntor.</t>
  </si>
  <si>
    <t>Falta de tensão da rede da concessionária. Relá atuado em 27ABC.</t>
  </si>
  <si>
    <t>BC Vazante1.1</t>
  </si>
  <si>
    <t>Inverter01</t>
  </si>
  <si>
    <t>Comissionamento e testes nos componentes de medição e geração do complexo.</t>
  </si>
  <si>
    <t>Realização de comissionamento dos transformadores de média tensão, Inspeção e testes dos barramentos.</t>
  </si>
  <si>
    <t>Inverter02</t>
  </si>
  <si>
    <t>Inverter03</t>
  </si>
  <si>
    <t>Inverter04</t>
  </si>
  <si>
    <t>Inverter05</t>
  </si>
  <si>
    <t>Inverter06</t>
  </si>
  <si>
    <t>Inverter07</t>
  </si>
  <si>
    <t>Inverter08</t>
  </si>
  <si>
    <t>Inverter09</t>
  </si>
  <si>
    <t>Inverter10</t>
  </si>
  <si>
    <t>Inverter11</t>
  </si>
  <si>
    <t>Inverter14</t>
  </si>
  <si>
    <t>Inverter15</t>
  </si>
  <si>
    <t>Inverter16</t>
  </si>
  <si>
    <t>Inverter17</t>
  </si>
  <si>
    <t>Execução do comissionamento do sistema Tok-Pass e instalação de DPS no QGBT.</t>
  </si>
  <si>
    <t>Foi realizada a adequação do QGBT para a instalação dos dispositivos de proteção contra surtos (DPS).</t>
  </si>
  <si>
    <t>Desligamento programado da usina para realização de inspeção nos cubículos de média tensão.</t>
  </si>
  <si>
    <t>Realizado a substituição do relé e rearme do disjuntor, UFV em operação.</t>
  </si>
  <si>
    <t xml:space="preserve">	Inverter(MBUS-14)</t>
  </si>
  <si>
    <t xml:space="preserve">	Inverter(MBUS-15)</t>
  </si>
  <si>
    <t xml:space="preserve">	215KTL-H3(MBUS-12)</t>
  </si>
  <si>
    <t xml:space="preserve">	215KTL-H3(MBUS-13)</t>
  </si>
  <si>
    <t>Queda de rede, da concessionária.</t>
  </si>
  <si>
    <t>Foi feito inspeção em todo complexo, checado nível de tensão e resetado relé e fechado o religador.</t>
  </si>
  <si>
    <t>Inverter47</t>
  </si>
  <si>
    <t>Relé de proteção  atuado com função 59N 27BC.</t>
  </si>
  <si>
    <t>Desarme da usina, sem atuação no relé de proteção.</t>
  </si>
  <si>
    <t>A usina apresentou desligamento dos inversores após a atuação do relé, porém não houve registro de código de falha ou alarme associado.</t>
  </si>
  <si>
    <t>Inverter(MBUS-8)</t>
  </si>
  <si>
    <t>Inversor apresentando falha ao sincronizar</t>
  </si>
  <si>
    <t>Foi feito comando reset no inversor</t>
  </si>
  <si>
    <t>Foi feito inspeção em todo complexo,  incluindo conexões nos inversores, transformadores e cubículos, checado nível de tensão e resetado relé e rearmado disjuntor.</t>
  </si>
  <si>
    <t>Foi realizada a adequação do QGBT para a instalação dos dispositivos de proteção contra surtos (DPS) e instalação da chave NH.</t>
  </si>
  <si>
    <t>Ruído anormal identificado no cubículo geral, indicando possível fuga de corrente.</t>
  </si>
  <si>
    <t>UFV desenergizada para inspeção. Realizado procedimento completo de secagem e reforço das vedações.</t>
  </si>
  <si>
    <t>100KTL-H1(MBUS-13)</t>
  </si>
  <si>
    <t>Oscilação da rede da concessionária</t>
  </si>
  <si>
    <t>Realização de teste operacional para verificação dos procedimentos de desligamento e religamento</t>
  </si>
  <si>
    <t xml:space="preserve">Foi realizado treinamento do mantenedor e acompanhamento das etapas de procedimento de manobra </t>
  </si>
  <si>
    <t>Durante a verificação foi constatado que era uma falta de comunicação, foi feito inspeção e identificado que o conversor de mídia estava queimado.</t>
  </si>
  <si>
    <t>Abertura do religador após oscilação da rede.</t>
  </si>
  <si>
    <t>Falha rede</t>
  </si>
  <si>
    <t>Durante a verificação foi constatado que era uma falta de comunicação, foi feito inspeção e identificado que a fonte de alimentação do conversor de mídia estava queimada.</t>
  </si>
  <si>
    <t>Foi realizada a substituição da fonte do conversor de mídia danificado.</t>
  </si>
  <si>
    <t>Foi feito inspeção em todo complexo, checado nível de tensão e resetado relé e rearmado disjuntor.</t>
  </si>
  <si>
    <t>Foi reiniciado o roteador.</t>
  </si>
  <si>
    <t>Araçu IV</t>
  </si>
  <si>
    <t>Falta de tensão da rede da concessionária. Relé atuado em 27C e 86.</t>
  </si>
  <si>
    <t>BC Rio Monte 3</t>
  </si>
  <si>
    <t>Falta de tensão da rede da concessionária. Relé atuado em 27ABC.</t>
  </si>
  <si>
    <t>CORUMBÁ I - UFV 1</t>
  </si>
  <si>
    <t>CORUMBÁ I - UFV 2</t>
  </si>
  <si>
    <t>CORUMBÁ I - UFV 3</t>
  </si>
  <si>
    <t>CORUMBÁ II - UFV 1</t>
  </si>
  <si>
    <t>CORUMBÁ II - UFV 2</t>
  </si>
  <si>
    <t>CORUMBÁ II - UFV 3</t>
  </si>
  <si>
    <t>Rio Monte I</t>
  </si>
  <si>
    <t>SG75CX(COM2-001)_001_018</t>
  </si>
  <si>
    <t>Rio Monte II</t>
  </si>
  <si>
    <t>SG40CX(COM2-007)_001_017</t>
  </si>
  <si>
    <t>SG60KTL(COM1-002)_001_005</t>
  </si>
  <si>
    <t>SG60KTL(COM1-003)_001__011</t>
  </si>
  <si>
    <t>SG60KTL(COM1-004)_001_007</t>
  </si>
  <si>
    <t>SG60KTL(COM1-005)_001_009</t>
  </si>
  <si>
    <t>SG60KTL(COM1-006)_001_006</t>
  </si>
  <si>
    <t>Caiaponia I</t>
  </si>
  <si>
    <t>Caiaponia II</t>
  </si>
  <si>
    <t>Rio Monte III</t>
  </si>
  <si>
    <t>SG60KTL(COM1-008)_001_016</t>
  </si>
  <si>
    <t>SG60KTL(COM1-009)_001_010</t>
  </si>
  <si>
    <t>SG60KTL(COM1-010)_001_012</t>
  </si>
  <si>
    <t>SG60KTL(COM1-011)_001_002</t>
  </si>
  <si>
    <t>SG60KTL(COM1-012)_001_015</t>
  </si>
  <si>
    <t>SG60KTL(COM1-013)_001_003</t>
  </si>
  <si>
    <t>SG60KTL(COM1-014)_001_004</t>
  </si>
  <si>
    <t>SG60KTL(COM1-015)_001_013</t>
  </si>
  <si>
    <t>SG60KTL(COM1-016)_001_014</t>
  </si>
  <si>
    <t>SG60KTL(COM1-017)_001_008</t>
  </si>
  <si>
    <t>Falta de tensão da rede da concessionária. Relé atuado em 27ABC e 59ABC.</t>
  </si>
  <si>
    <t>Caiaponia III</t>
  </si>
  <si>
    <t>Caiaponia IV</t>
  </si>
  <si>
    <t>Caiaponia V</t>
  </si>
  <si>
    <t>UFV CAIAPONIA II - UC 1</t>
  </si>
  <si>
    <t>UFV CAIAPONIA II - UC 2</t>
  </si>
  <si>
    <t>UFV CAIAPONIA II - UC 3</t>
  </si>
  <si>
    <t>Função 27 e 47 atuada no relé.</t>
  </si>
  <si>
    <t>Função 50N e 86Q atuada no relé.</t>
  </si>
  <si>
    <t>Função 50N, 86Q e 51ABC atuada no relé.</t>
  </si>
  <si>
    <t>Função 57A, 86Q e 47A atuada no relé.</t>
  </si>
  <si>
    <t>Araçu II</t>
  </si>
  <si>
    <t>Araçu 2.1 inv 1</t>
  </si>
  <si>
    <t>Araçu 2.1 inv 2</t>
  </si>
  <si>
    <t>Araçu 2.1 inv 3</t>
  </si>
  <si>
    <t>Araçu 2.2 inv.1</t>
  </si>
  <si>
    <t>Araçu 2.2 inv .2</t>
  </si>
  <si>
    <t>Araçu 2.2 inv 3</t>
  </si>
  <si>
    <t>Araçu 2.3inv 1</t>
  </si>
  <si>
    <t>Araçu 2.3 inv 2</t>
  </si>
  <si>
    <t>Araçu 2.3 inv 4</t>
  </si>
  <si>
    <t>Araçu.2.3 inv 5</t>
  </si>
  <si>
    <t>Araçu 2.3 inv</t>
  </si>
  <si>
    <t>Araçu 2.3 inv 6</t>
  </si>
  <si>
    <t>ARAÇU.2.4.INV.2</t>
  </si>
  <si>
    <t>Araçu.2.4 inv 3</t>
  </si>
  <si>
    <t>Araçu 2.4 inv 6</t>
  </si>
  <si>
    <t>Araçu 2.4 inv 1</t>
  </si>
  <si>
    <t>Araçu 2.4 inv 4</t>
  </si>
  <si>
    <t>Araçu 2.4 inv 5</t>
  </si>
  <si>
    <t>Panamá I</t>
  </si>
  <si>
    <t>Foi acionado o provedor de internet, cabo rompido devido a chuva, comunicação reestabelecida</t>
  </si>
  <si>
    <t>Realizado reset no sistema de CFTV. Após a reinicialização, a comunicação foi restabelecida.</t>
  </si>
  <si>
    <t>VARJÃO 1 - UFV 1</t>
  </si>
  <si>
    <t>Desligamento programado da usina para realização de comissionamento dos transformadores de média tensão</t>
  </si>
  <si>
    <t>Coleta de óleo no transformador. Testes e Megagem do transformador.</t>
  </si>
  <si>
    <t>VARJÃO 1 - UFV 2</t>
  </si>
  <si>
    <t>VARJÃO 1 - UFV 3</t>
  </si>
  <si>
    <t>VARJÃO 2 - UFV 2.1</t>
  </si>
  <si>
    <t>VARJÃO 2 - UFV 2.2</t>
  </si>
  <si>
    <t>VARJÃO 2 - UFV 2.3</t>
  </si>
  <si>
    <t>UFV LENÇOIS PAULISTA</t>
  </si>
  <si>
    <t>Desligamento programado da usina para limpeza e inspeção do transformador</t>
  </si>
  <si>
    <t>Realizado limpeza, verificado o reaperto dos terminais, condições das mulfas e fixação dos cabos</t>
  </si>
  <si>
    <t>Clareira de Araçu - UFV 1</t>
  </si>
  <si>
    <t>Função 32 atuada no relé.</t>
  </si>
  <si>
    <t>Clareira de Araçu - UFV 2</t>
  </si>
  <si>
    <t>Acompanhar e registrar as atividades</t>
  </si>
  <si>
    <t>Manutenção no QGBT - Resolução de pendências pós entrega de obras</t>
  </si>
  <si>
    <t>Foi realizada manutenção nas canaletas do QGTB</t>
  </si>
  <si>
    <t>Araçu I</t>
  </si>
  <si>
    <t>Araçu III</t>
  </si>
  <si>
    <t xml:space="preserve">Somente duas cameras ativas </t>
  </si>
  <si>
    <t xml:space="preserve"> Relé atuado por 81 e 86.</t>
  </si>
  <si>
    <t>Foi feito inspeção em todo complexo, rearmado disjuntor.</t>
  </si>
  <si>
    <t>Desligamento programado da usina para realização de comissionamento dos cabos de media tensão e testes nos barramentos</t>
  </si>
  <si>
    <t>Realizado testes e megagem dos cabos de média tensão, muflas e componentes.</t>
  </si>
  <si>
    <t>Falha de geração nos inversores (Queda de rede identificada no sistema de monitoramento).</t>
  </si>
  <si>
    <t>Identificado trip no disjuntor geral da usina. Foi realizado o desarme dele e verificação dos reapertos. Posteriormente foi realizado o rearme e a manobra para normalização da geração.</t>
  </si>
  <si>
    <t>Falha no relé de segurança do painel de entrada PMT, falhas atuadas: 67 fase A, B e C e 86.</t>
  </si>
  <si>
    <t>Contatar provedor de internet</t>
  </si>
  <si>
    <t>Queda de energia da concessionária</t>
  </si>
  <si>
    <t>Falha de comunicação. Conversor de mídia queimado.</t>
  </si>
  <si>
    <t>Foi realizado a substituição do conversor de mídia.</t>
  </si>
  <si>
    <t>Rio Bonito I</t>
  </si>
  <si>
    <t>Barra do Garças I</t>
  </si>
  <si>
    <t>Barra do Garças II</t>
  </si>
  <si>
    <t>Barra do Garças III</t>
  </si>
  <si>
    <t>Trip no disjuntor do inversor.</t>
  </si>
  <si>
    <t>Realizado rearme do disjuntor.</t>
  </si>
  <si>
    <t>Falta de tensão da rede da concessionária. Relé atuado em 59ABC.</t>
  </si>
  <si>
    <t>Durante a verificação foi constatado que houve uma atuação do relé de proteção, sem registros de código ansi.</t>
  </si>
  <si>
    <t>Foi realizado inspeção nos componentes do sistema de geração e não sendo identificadas anomalias persistentes procedeu-se com o religamento do disjuntor.</t>
  </si>
  <si>
    <t xml:space="preserve">Falha de comunicação. </t>
  </si>
  <si>
    <t>Realizado reset do roteador e switchs da usina.</t>
  </si>
  <si>
    <t>Araçu VIII</t>
  </si>
  <si>
    <t>Falha na rede da concessionária, código 47.</t>
  </si>
  <si>
    <t>Falta de tensão da rede da concessionária. Relé atuado em 27AC, 50N, 51N e 86Q.</t>
  </si>
  <si>
    <t>Realizado o reset da smartlogger.</t>
  </si>
  <si>
    <t>Queda causada por oscilação da rede.</t>
  </si>
  <si>
    <t>Após verificação local, foi realizada a manobra de normalização do inversor.</t>
  </si>
  <si>
    <t>VAZANTE II - UFV 2</t>
  </si>
  <si>
    <t>Inverter-ES2180058349</t>
  </si>
  <si>
    <t>08/12/20205 10:41</t>
  </si>
  <si>
    <t>Identificado falha no inversor (ES2170028664).</t>
  </si>
  <si>
    <t>Inversor apresentou falha e foi substituído. Inversor não possui mais cobertura de garantia, e foi substituído por um inversor reparado pelo time de O&amp;M.</t>
  </si>
  <si>
    <t>Inverter-ES2170027326</t>
  </si>
  <si>
    <t>Inversor apresentou falha e foi substituído por um sobressalente, após garantia ser aceita pela huawei.</t>
  </si>
  <si>
    <t>Inverter-ES2180058977</t>
  </si>
  <si>
    <t>Inverter-ES2170028141</t>
  </si>
  <si>
    <t xml:space="preserve">Desligamento programado da usina para manutenção corretiva nos cubículos de proteção (Execução: Power Sys, empresa contratada) </t>
  </si>
  <si>
    <t>Após manutenção, usina foi reenergizada de acordo com programa de manobras.</t>
  </si>
  <si>
    <t>Logger substituído, após tratativa em garantia.</t>
  </si>
  <si>
    <t>Foi realizada a substituição do smartlogger, após identificação de mau funcionamento dele. Após a substituição e configuração, o equipamento não subiu na plataforma fusion, apesar de estar devidamente configurado e funcionando.</t>
  </si>
  <si>
    <t>Cabo da concessionária rompido.</t>
  </si>
  <si>
    <t>Foi realizado emenda do cabo rompido, e após a inspeção nos componentes do sistema de geração e não sendo identificadas anomalias persistentes procedeu-se com o religamento do disjuntor.</t>
  </si>
  <si>
    <t>Vazante I</t>
  </si>
  <si>
    <t xml:space="preserve">Após inspeção realizada pela equipe técnica da CEMIG, foi constatado que dois cabos da rede elétrica foram totalmente danificados devido a uma intensa descarga atmosférica.  A equipe de projetos da concessionária propôs, inicialmente, a construção de uma rede aérea provisória. No entanto, essa alternativa foi descartada devido à proximidade da rede com a linha de transmissão, o que representa risco operacional. Como a linha afetada passa pela mesma caixa de passagem utilizada pela UFV Vazante 2, será necessário o desligamento temporário dessa usina para a execução do serviço.  </t>
  </si>
  <si>
    <t>A equipe da CEMIG enviou as equipes para recomposição da rede. Após normalização, foi realizada a manobra para energização da usina.</t>
  </si>
  <si>
    <t>Vazante II</t>
  </si>
  <si>
    <t>Vazante III</t>
  </si>
  <si>
    <t>VAZANTE II - UFV 1</t>
  </si>
  <si>
    <t>Inverter-ES2170028610</t>
  </si>
  <si>
    <t>Inverter-ES2180059185</t>
  </si>
  <si>
    <t>Inverter-ES2180058348</t>
  </si>
  <si>
    <t>Inverter-ES2170080328</t>
  </si>
  <si>
    <t>Inverter-ES2190011079</t>
  </si>
  <si>
    <t>Inverter-ES2170028664</t>
  </si>
  <si>
    <t>VAZANTE II - UFV 3</t>
  </si>
  <si>
    <t>Inverter-ES2190011070</t>
  </si>
  <si>
    <t>Inverter-ES2180058350</t>
  </si>
  <si>
    <t>Inverter-ES2240060614</t>
  </si>
  <si>
    <t> </t>
  </si>
  <si>
    <t>Um surto elétrico danificou componentes e desconfigurou a lógica de proteção, impedindo a operação da usina devido à queima de equipamentos.</t>
  </si>
  <si>
    <t>Um surto elétrico danificou componentes e desconfigurou a lógica de proteção, impedindo a operação da usina devido à queima de equipamentos e erros de instalação. A equipe técnica restabeleceu a energia após substituir o relé, corrigir a fiação e ajustar a parametrização, mantendo como pendência a troca urgente da fonte capacitiva e dos DPS.</t>
  </si>
  <si>
    <t>Queda da rede da concessionária. Protocolo: 462071852.</t>
  </si>
  <si>
    <t>Desligamento programado para realização de manutenção em TP auxiliar.</t>
  </si>
  <si>
    <t>Após realização da manutenção, usina foi normalizada.</t>
  </si>
  <si>
    <t>Durante inspeção técnica, foi identificado que dois elos fusíveis da concessionária estavam queimados.</t>
  </si>
  <si>
    <t>Realizada a aquisição dos elos fusíveis pela equipe técnica e realizada a substituição e manobra de normalização da usina.</t>
  </si>
  <si>
    <t>Manutenção no provedor de internet</t>
  </si>
  <si>
    <t>Manutenção na internet, realizada pelo provedor. Não afetou a geração da usina.</t>
  </si>
  <si>
    <t>Tracker em posição de segurança devido à alarme de rajadas de vento na RSU.</t>
  </si>
  <si>
    <t>Trackers colocados em modo automatico, posição de segurança, após alarme de vento. Normalizado automaticamente após alarme ser encerrado.</t>
  </si>
  <si>
    <t>Desequilíbrio de rede da concessinária causou abertura do religador.</t>
  </si>
  <si>
    <t>Foram realizadas manobras para energizar a usina e o religador foi fechado.</t>
  </si>
  <si>
    <t>Falha 2064, Equipamento anormal.</t>
  </si>
  <si>
    <t>Inversor parou de funcionar, após apresentar falha 2064. Foram realizados todos os testes solicitados pela huawei e o equipamento foi aceito na troca em garantia. Estamos aguardando o envio do novo equipamento para substituição em campo.</t>
  </si>
  <si>
    <t>Desligamento de emergência devido a ação criminosa. Durante a madrugada, houve desenergização da usina ocasionada por intervenção indevida no religador da concessionária. A quadrilha atuou diretamente no equipamento, interrompendo o fornecimento de energia com o intuito de viabilizar furto nas instalações da usina.</t>
  </si>
  <si>
    <t>Ações Executadas: 
- Abertura imediata de chamado junto à concessionária Neoenergia. 
- Equipe técnica da concessionária realizou o restabelecimento da rede no dia seguinte. 
- Inspeção em campo foi realizada para verificação dos sistemas. 
- A operação foi parcialmente restabelecida para as UFVs IV, V, VI e VIII ( nomenclatura conforme projeto ). 
- Os demais unidades consumidoras permanecem desernergizadas para perícia e manutenção.</t>
  </si>
  <si>
    <t>Logger queimado.</t>
  </si>
  <si>
    <t>Após retorno da internet na usina, foi identificado que o logger estava queimado. Foi realizada a compra de sobressalente, porém, a sungrow apenas irá retornar com as vendas em janeiro. Está sendo realizada coleta local da geração.</t>
  </si>
  <si>
    <t>Falha foi causada pela atuação do relé de segurança do painel de entrada (PMT), apresentando o alarme 67 na fase A e a falha 86 (bloqueio)</t>
  </si>
  <si>
    <t>A usina desligou automaticamente devido à atuação da proteção do relé, registrada sob o código ANSI 78, indicando uma possível instabilidade de fase na rede.</t>
  </si>
  <si>
    <t>Ações Executadas:  
- Realizada inspeção geral nos principais componentes de geração (inversores e transformador);  
- Nenhuma anormalidade física aparente foi identificada;  
- Efetuado o reset do relé de proteção;  
- Comando de religamento acionado com sucesso, restabelecendo a operação da usina.</t>
  </si>
  <si>
    <t>BC Camarao1.2Inv. 445961,72569444444596245962,2902777778</t>
  </si>
  <si>
    <t>DAURDE</t>
  </si>
  <si>
    <t>BC Camarao1.2Inverter(MBUS-16)45961,72569444444596245962,2902777778</t>
  </si>
  <si>
    <t>BC Camarao1.2Inverter(MBUS-12)45961,72569444444596245962,2902777778</t>
  </si>
  <si>
    <t>BC Camarao1.2Inv. 345961,72569444444596245962,2902777778</t>
  </si>
  <si>
    <t>BC Camarao1.2Inverter(MBUS-1)45961,72569444444596245962,2902777778</t>
  </si>
  <si>
    <t>Falta de tensão da rede da concessionária.</t>
  </si>
  <si>
    <t>BC Rio Monte1Inverter3845962,2545962,2545962,2638888889</t>
  </si>
  <si>
    <t>BC Rio Monte1Inverter3745962,2545962,2545962,2638888889</t>
  </si>
  <si>
    <t>BC Rio Monte1Inverter4345962,2545962,2545962,2638888889</t>
  </si>
  <si>
    <t>BC Rio Monte1Inverter4245962,2545962,2545962,2638888889</t>
  </si>
  <si>
    <t>BC Rio Monte1Inverter4545962,2545962,2545962,2638888889</t>
  </si>
  <si>
    <t>BC Rio Monte1Inverter4445962,2545962,2545962,2638888889</t>
  </si>
  <si>
    <t>Inverter46</t>
  </si>
  <si>
    <t>BC Rio Monte1Inverter4645962,2545962,2545962,2638888889</t>
  </si>
  <si>
    <t>BC Rio Monte1Inverter4145962,2545962,2545962,2638888889</t>
  </si>
  <si>
    <t>BC Rio Monte1Inverter4745962,2545962,2545962,2638888889</t>
  </si>
  <si>
    <t>BC Rio Monte1Inverter3545962,2545962,2545962,2638888889</t>
  </si>
  <si>
    <t>BC Rio Monte1Inverter3645962,2545962,2545962,2638888889</t>
  </si>
  <si>
    <t>BC Rio Monte1Inverter3145962,2545962,2545962,2638888889</t>
  </si>
  <si>
    <t>BC Rio Monte1Inverter3345962,2545962,2545962,2638888889</t>
  </si>
  <si>
    <t>BC Rio Monte1Inverter3945962,2545962,2545962,2638888889</t>
  </si>
  <si>
    <t>BC Rio Monte1Inverter3245962,2545962,2545962,2638888889</t>
  </si>
  <si>
    <t>BC Rio Monte1Inverter4045962,2545962,2545962,2638888889</t>
  </si>
  <si>
    <t>BC Rio Monte1Inverter3445962,2545962,2545962,2638888889</t>
  </si>
  <si>
    <t>Função 32C atuada no relé de proteção.</t>
  </si>
  <si>
    <t>ARAGUATINS 2.1Inverter(MBUS-13)45962,410416666745962,410416666745962,4618055556</t>
  </si>
  <si>
    <t>ARAGUATINS 2.1Inverter(MBUS-12)45962,410416666745962,410416666745962,4618055556</t>
  </si>
  <si>
    <t>ARAGUATINS 2.1Inverter(MBUS-15)45962,410416666745962,410416666745962,4618055556</t>
  </si>
  <si>
    <t>ARAGUATINS 2.1Inverter(MBUS-14)45962,410416666745962,410416666745962,4618055556</t>
  </si>
  <si>
    <t>ARAGUATINS 2.2Inverter(MBUS-15)45962,410416666745962,410416666745962,4618055556</t>
  </si>
  <si>
    <t>ARAGUATINS 2.2Inverter(MBUS-13)45962,410416666745962,410416666745962,4618055556</t>
  </si>
  <si>
    <t>ARAGUATINS 2.2Inverter(MBUS-14)45962,410416666745962,410416666745962,4618055556</t>
  </si>
  <si>
    <t>ARAGUATINS 2.2Inverter(MBUS-12)45962,410416666745962,410416666745962,4618055556</t>
  </si>
  <si>
    <t>BC Caiaponia1SG60KTL(COM1-001)_001_00745963,341666666745963,341666666745963,4201388889</t>
  </si>
  <si>
    <t>BC Caiaponia1SG60KTL(COM1-002)_001_01045963,341666666745963,341666666745963,4201388889</t>
  </si>
  <si>
    <t>BC Caiaponia1SG60KTL(COM1-003)_001_01145963,341666666745963,341666666745963,4201388889</t>
  </si>
  <si>
    <t>BC Caiaponia1SG60KTL(COM1-004)_001_01445963,341666666745963,341666666745963,4201388889</t>
  </si>
  <si>
    <t>BC Caiaponia1SG60KTL(COM1-005)_001_01745963,341666666745963,341666666745963,4201388889</t>
  </si>
  <si>
    <t>BC Caiaponia1SG60KTL(COM1-006)_001_01645963,341666666745963,341666666745963,4201388889</t>
  </si>
  <si>
    <t>BC Caiaponia1SG60KTL(COM1-007)_001_01345963,341666666745963,341666666745963,4201388889</t>
  </si>
  <si>
    <t>BC Caiaponia1SG60KTL(COM1-008)_001_00145963,341666666745963,341666666745963,4201388889</t>
  </si>
  <si>
    <t>BC Caiaponia1SG60KTL(COM1-009)45963,341666666745963,341666666745963,4201388889</t>
  </si>
  <si>
    <t>BC Caiaponia1SG60KTL(COM1-010)45963,341666666745963,341666666745963,4201388889</t>
  </si>
  <si>
    <t>BC Caiaponia1SG60KTL(COM1-011)45963,341666666745963,341666666745963,4201388889</t>
  </si>
  <si>
    <t>BC Caiaponia1SG60KTL(COM1-012)45963,341666666745963,341666666745963,4201388889</t>
  </si>
  <si>
    <t>BC Caiaponia1SG60KTL(COM1-013)45963,341666666745963,341666666745963,4201388889</t>
  </si>
  <si>
    <t>BC Caiaponia1SG60KTL(COM1-014)45963,341666666745963,341666666745963,4201388889</t>
  </si>
  <si>
    <t>BC Caiaponia1SG60KTL(COM1-015)45963,341666666745963,341666666745963,4201388889</t>
  </si>
  <si>
    <t>BC Caiaponia1SG60KTL(COM3-016)_001_00945963,341666666745963,341666666745963,4201388889</t>
  </si>
  <si>
    <t>BC Caiaponia1SG60KTL(COM3-017)_001_01245963,341666666745963,341666666745963,4201388889</t>
  </si>
  <si>
    <t>BC Caiaponia1SG60KTL(COM3-018)_001_00845963,341666666745963,341666666745963,4201388889</t>
  </si>
  <si>
    <t>BC Caiaponia1SG60KTL(COM3-019)_001_01945963,341666666745963,341666666745963,4201388889</t>
  </si>
  <si>
    <t>BC Caiaponia1SG60KTL(COM3-020)_001_02045963,341666666745963,341666666745963,4201388889</t>
  </si>
  <si>
    <t>BC Caiaponia1SG60KTL(COM2-026)45963,341666666745963,341666666745963,4201388889</t>
  </si>
  <si>
    <t>BC Caiaponia1SG60KTL(COM2-027)45963,341666666745963,341666666745963,4201388889</t>
  </si>
  <si>
    <t>BC Caiaponia1SG60KTL(COM2-028)45963,341666666745963,341666666745963,4201388889</t>
  </si>
  <si>
    <t>BC Caiaponia1SG60KTL(COM2-029)45963,341666666745963,341666666745963,4201388889</t>
  </si>
  <si>
    <t>BC Caiaponia1SG50CX(COM1-021)45963,341666666745963,341666666745963,4201388889</t>
  </si>
  <si>
    <t>BC Caiaponia1SG50CX(COM1-022)45963,341666666745963,341666666745963,4201388889</t>
  </si>
  <si>
    <t>BC Caiaponia1SG50CX(COM1-023)45963,341666666745963,341666666745963,4201388889</t>
  </si>
  <si>
    <t>BC Caiaponia1SG50CX(COM1-024)45963,341666666745963,341666666745963,4201388889</t>
  </si>
  <si>
    <t>BC Caiaponia1SG50CX(COM1-025)45963,341666666745963,341666666745963,4201388889</t>
  </si>
  <si>
    <t>BC Caiaponia2.1215KTL-H3(MBUS-12)45963,341666666745963,341666666745963,4201388889</t>
  </si>
  <si>
    <t>BC Caiaponia2.1215KTL-H3(MBUS-13)45963,341666666745963,341666666745963,4201388889</t>
  </si>
  <si>
    <t>BC Caiaponia2.1215KTL-H3(MBUS-14)45963,341666666745963,341666666745963,4201388889</t>
  </si>
  <si>
    <t>BC Caiaponia2.1215KTL-H3(MBUS-15)45963,341666666745963,341666666745963,4201388889</t>
  </si>
  <si>
    <t>BC Caiaponia2.1215KTL-H3(MBUS-16)45963,341666666745963,341666666745963,4201388889</t>
  </si>
  <si>
    <t>BC Caiaponia2.2215KTL-H3(MBUS-12)45963,341666666745963,341666666745963,4201388889</t>
  </si>
  <si>
    <t>BC Caiaponia2.2215KTL-H3(MBUS-13)45963,341666666745963,341666666745963,4201388889</t>
  </si>
  <si>
    <t>BC Caiaponia2.2215KTL-H3(MBUS-14)45963,341666666745963,341666666745963,4201388889</t>
  </si>
  <si>
    <t>BC Caiaponia2.2215KTL-H3(MBUS-15)45963,341666666745963,341666666745963,4201388889</t>
  </si>
  <si>
    <t>BC Caiaponia2.2215KTL-H3(MBUS-16)45963,341666666745963,341666666745963,4201388889</t>
  </si>
  <si>
    <t>BC Caiaponia2.3215KTL-H3(MBUS-12)45963,341666666745963,341666666745963,4201388889</t>
  </si>
  <si>
    <t>BC Caiaponia2.3215KTL-H3(MBUS-13)45963,341666666745963,341666666745963,4201388889</t>
  </si>
  <si>
    <t>BC Caiaponia2.3215KTL-H3(MBUS-14)45963,341666666745963,341666666745963,4201388889</t>
  </si>
  <si>
    <t>BC Caiaponia2.3215KTL-H3(MBUS-15)45963,341666666745963,341666666745963,4201388889</t>
  </si>
  <si>
    <t>BC Caiaponia2.3215KTL-H3(MBUS-16)45963,341666666745963,341666666745963,4201388889</t>
  </si>
  <si>
    <t>Função 67c e 86b atuada no relé de proteção.</t>
  </si>
  <si>
    <t>ARAGUATINS 2.1Inverter(MBUS-13)45963,356944444445963,356944444445963,7361111111</t>
  </si>
  <si>
    <t>ARAGUATINS 2.1Inverter(MBUS-12)45963,356944444445963,356944444445963,7361111111</t>
  </si>
  <si>
    <t>ARAGUATINS 2.1Inverter(MBUS-15)45963,356944444445963,356944444445963,7361111111</t>
  </si>
  <si>
    <t>ARAGUATINS 2.1Inverter(MBUS-14)45963,356944444445963,356944444445963,7361111111</t>
  </si>
  <si>
    <t>ARAGUATINS 2.2Inverter(MBUS-15)45963,356944444445963,356944444445963,7361111111</t>
  </si>
  <si>
    <t>ARAGUATINS 2.2Inverter(MBUS-13)45963,356944444445963,356944444445963,7361111111</t>
  </si>
  <si>
    <t>ARAGUATINS 2.2Inverter(MBUS-14)45963,356944444445963,356944444445963,7361111111</t>
  </si>
  <si>
    <t>ARAGUATINS 2.2Inverter(MBUS-12)45963,356944444445963,356944444445963,7361111111</t>
  </si>
  <si>
    <t>BC Caiaponia1SG60KTL(COM1-001)_001_00745963,461805555645963,461805555645963,5416666667</t>
  </si>
  <si>
    <t>BC Caiaponia1SG60KTL(COM1-002)_001_01045963,461805555645963,461805555645963,5416666667</t>
  </si>
  <si>
    <t>BC Caiaponia1SG60KTL(COM1-003)_001_01145963,461805555645963,461805555645963,5416666667</t>
  </si>
  <si>
    <t>BC Caiaponia1SG60KTL(COM1-004)_001_01445963,461805555645963,461805555645963,5416666667</t>
  </si>
  <si>
    <t>BC Caiaponia1SG60KTL(COM1-005)_001_01745963,461805555645963,461805555645963,5416666667</t>
  </si>
  <si>
    <t>BC Caiaponia1SG60KTL(COM1-006)_001_01645963,461805555645963,461805555645963,5416666667</t>
  </si>
  <si>
    <t>BC Caiaponia1SG60KTL(COM1-007)_001_01345963,461805555645963,461805555645963,5416666667</t>
  </si>
  <si>
    <t>BC Caiaponia1SG60KTL(COM1-008)_001_00145963,461805555645963,461805555645963,5416666667</t>
  </si>
  <si>
    <t>BC Caiaponia1SG60KTL(COM1-009)45963,461805555645963,461805555645963,5416666667</t>
  </si>
  <si>
    <t>BC Caiaponia1SG60KTL(COM1-010)45963,461805555645963,461805555645963,5416666667</t>
  </si>
  <si>
    <t>BC Caiaponia1SG60KTL(COM1-011)45963,461805555645963,461805555645963,5416666667</t>
  </si>
  <si>
    <t>BC Caiaponia1SG60KTL(COM1-012)45963,461805555645963,461805555645963,5416666667</t>
  </si>
  <si>
    <t>BC Caiaponia1SG60KTL(COM1-013)45963,461805555645963,461805555645963,5416666667</t>
  </si>
  <si>
    <t>BC Caiaponia1SG60KTL(COM1-014)45963,461805555645963,461805555645963,5416666667</t>
  </si>
  <si>
    <t>BC Caiaponia1SG60KTL(COM1-015)45963,461805555645963,461805555645963,5416666667</t>
  </si>
  <si>
    <t>BC Caiaponia1SG60KTL(COM3-016)_001_00945963,461805555645963,461805555645963,5416666667</t>
  </si>
  <si>
    <t>BC Caiaponia1SG60KTL(COM3-017)_001_01245963,461805555645963,461805555645963,5416666667</t>
  </si>
  <si>
    <t>BC Caiaponia1SG60KTL(COM3-018)_001_00845963,461805555645963,461805555645963,5416666667</t>
  </si>
  <si>
    <t>BC Caiaponia1SG60KTL(COM3-019)_001_01945963,461805555645963,461805555645963,5416666667</t>
  </si>
  <si>
    <t>BC Caiaponia1SG60KTL(COM3-020)_001_02045963,461805555645963,461805555645963,5416666667</t>
  </si>
  <si>
    <t>BC Caiaponia1SG60KTL(COM2-026)45963,461805555645963,461805555645963,5416666667</t>
  </si>
  <si>
    <t>BC Caiaponia1SG60KTL(COM2-027)45963,461805555645963,461805555645963,5416666667</t>
  </si>
  <si>
    <t>BC Caiaponia1SG60KTL(COM2-028)45963,461805555645963,461805555645963,5416666667</t>
  </si>
  <si>
    <t>BC Caiaponia1SG60KTL(COM2-029)45963,461805555645963,461805555645963,5416666667</t>
  </si>
  <si>
    <t>BC Caiaponia1SG50CX(COM1-021)45963,461805555645963,461805555645963,5416666667</t>
  </si>
  <si>
    <t>BC Caiaponia1SG50CX(COM1-022)45963,461805555645963,461805555645963,5416666667</t>
  </si>
  <si>
    <t>BC Caiaponia1SG50CX(COM1-023)45963,461805555645963,461805555645963,5416666667</t>
  </si>
  <si>
    <t>BC Caiaponia1SG50CX(COM1-024)45963,461805555645963,461805555645963,5416666667</t>
  </si>
  <si>
    <t>BC Caiaponia1SG50CX(COM1-025)45963,461805555645963,461805555645963,5416666667</t>
  </si>
  <si>
    <t>BC Caiaponia2.1215KTL-H3(MBUS-12)45963,461805555645963,461805555645963,5416666667</t>
  </si>
  <si>
    <t>BC Caiaponia2.1215KTL-H3(MBUS-13)45963,461805555645963,461805555645963,5416666667</t>
  </si>
  <si>
    <t>BC Caiaponia2.1215KTL-H3(MBUS-14)45963,461805555645963,461805555645963,5416666667</t>
  </si>
  <si>
    <t>BC Caiaponia2.1215KTL-H3(MBUS-15)45963,461805555645963,461805555645963,5416666667</t>
  </si>
  <si>
    <t>BC Caiaponia2.1215KTL-H3(MBUS-16)45963,461805555645963,461805555645963,5416666667</t>
  </si>
  <si>
    <t>BC Caiaponia2.2215KTL-H3(MBUS-12)45963,461805555645963,461805555645963,5416666667</t>
  </si>
  <si>
    <t>BC Caiaponia2.2215KTL-H3(MBUS-13)45963,461805555645963,461805555645963,5416666667</t>
  </si>
  <si>
    <t>BC Caiaponia2.2215KTL-H3(MBUS-14)45963,461805555645963,461805555645963,5416666667</t>
  </si>
  <si>
    <t>BC Caiaponia2.2215KTL-H3(MBUS-15)45963,461805555645963,461805555645963,5416666667</t>
  </si>
  <si>
    <t>BC Caiaponia2.2215KTL-H3(MBUS-16)45963,461805555645963,461805555645963,5416666667</t>
  </si>
  <si>
    <t>BC Caiaponia2.3215KTL-H3(MBUS-12)45963,461805555645963,461805555645963,5416666667</t>
  </si>
  <si>
    <t>BC Caiaponia2.3215KTL-H3(MBUS-13)45963,461805555645963,461805555645963,5416666667</t>
  </si>
  <si>
    <t>BC Caiaponia2.3215KTL-H3(MBUS-14)45963,461805555645963,461805555645963,5416666667</t>
  </si>
  <si>
    <t>BC Caiaponia2.3215KTL-H3(MBUS-15)45963,461805555645963,461805555645963,5416666667</t>
  </si>
  <si>
    <t>BC Caiaponia2.3215KTL-H3(MBUS-16)45963,461805555645963,461805555645963,5416666667</t>
  </si>
  <si>
    <t>BC Rio Monte1Inverter3845963,465277777845963,465277777845963,5034722222</t>
  </si>
  <si>
    <t>BC Rio Monte1Inverter3745963,465277777845963,465277777845963,5034722222</t>
  </si>
  <si>
    <t>BC Rio Monte1Inverter4345963,465277777845963,465277777845963,5034722222</t>
  </si>
  <si>
    <t>BC Rio Monte1Inverter4245963,465277777845963,465277777845963,5034722222</t>
  </si>
  <si>
    <t>BC Rio Monte1Inverter4545963,465277777845963,465277777845963,5034722222</t>
  </si>
  <si>
    <t>BC Rio Monte1Inverter4445963,465277777845963,465277777845963,5034722222</t>
  </si>
  <si>
    <t>BC Rio Monte1Inverter4645963,465277777845963,465277777845963,5034722222</t>
  </si>
  <si>
    <t>BC Rio Monte1Inverter4145963,465277777845963,465277777845963,5034722222</t>
  </si>
  <si>
    <t>BC Rio Monte1Inverter4745963,465277777845963,465277777845963,5034722222</t>
  </si>
  <si>
    <t>BC Rio Monte1Inverter3545963,465277777845963,465277777845963,5034722222</t>
  </si>
  <si>
    <t>BC Rio Monte1Inverter3645963,465277777845963,465277777845963,5034722222</t>
  </si>
  <si>
    <t>BC Rio Monte1Inverter3145963,465277777845963,465277777845963,5034722222</t>
  </si>
  <si>
    <t>BC Rio Monte1Inverter3345963,465277777845963,465277777845963,5034722222</t>
  </si>
  <si>
    <t>BC Rio Monte1Inverter3945963,465277777845963,465277777845963,5034722222</t>
  </si>
  <si>
    <t>BC Rio Monte1Inverter3245963,465277777845963,465277777845963,5034722222</t>
  </si>
  <si>
    <t>BC Rio Monte1Inverter4045963,465277777845963,465277777845963,5034722222</t>
  </si>
  <si>
    <t>BC Rio Monte1Inverter3445963,465277777845963,465277777845963,5034722222</t>
  </si>
  <si>
    <t>Panamá II</t>
  </si>
  <si>
    <t>BC Panama1.1CEREAL_00245963,5062545963,5062545964,25</t>
  </si>
  <si>
    <t>BC Panama1.1ITAPOAN 001 (COM1-001)_001_00145963,5062545963,5062545964,25</t>
  </si>
  <si>
    <t>Panamá III</t>
  </si>
  <si>
    <t>BC Panama1.1ITAPOAN_00345963,5062545963,5062545964,25</t>
  </si>
  <si>
    <t>Panamá V</t>
  </si>
  <si>
    <t>BC Panama1.2COOGED_00545963,5062545963,5062545964,25</t>
  </si>
  <si>
    <t>Panamá VI</t>
  </si>
  <si>
    <t>BC Panama1.2ART_00645963,5062545963,5062545964,25</t>
  </si>
  <si>
    <t>Panamá IV</t>
  </si>
  <si>
    <t>BC Panama1.2ART_00445963,5062545963,5062545964,25</t>
  </si>
  <si>
    <t>Panamá VII</t>
  </si>
  <si>
    <t>BC Panama1.2RADIO_00745963,5062545963,5062545964,25</t>
  </si>
  <si>
    <t>Rio Bonito II</t>
  </si>
  <si>
    <t>BC Rio Bonito2INV-00145963,531944444445963,531944444445963,6458333333</t>
  </si>
  <si>
    <t>BC Rio Bonito2INV-00245963,531944444445963,531944444445963,6458333333</t>
  </si>
  <si>
    <t>BC Rio Bonito2INV-00345963,531944444445963,531944444445963,6458333333</t>
  </si>
  <si>
    <t>BC Rio Bonito2INV-00445963,531944444445963,531944444445963,6458333333</t>
  </si>
  <si>
    <t>BC Rio Bonito1SG36KTL-M-17_001_01745963,531944444445963,531944444445963,6458333333</t>
  </si>
  <si>
    <t>BC Rio Bonito1SG60KTL-10_001_01045963,531944444445963,531944444445963,6458333333</t>
  </si>
  <si>
    <t>BC Rio Bonito1SG60KTL-11_001_01145963,531944444445963,531944444445963,6458333333</t>
  </si>
  <si>
    <t>BC Rio Bonito1SG60KTL-12_001_01245963,531944444445963,531944444445963,6458333333</t>
  </si>
  <si>
    <t>BC Rio Bonito1SG60KTL-13_001_01345963,531944444445963,531944444445963,6458333333</t>
  </si>
  <si>
    <t>BC Rio Bonito1SG60KTL-14_001_01445963,531944444445963,531944444445963,6458333333</t>
  </si>
  <si>
    <t>BC Rio Bonito1SG60KTL-15_001_01545963,531944444445963,531944444445963,6458333333</t>
  </si>
  <si>
    <t>BC Rio Bonito1SG60KTL-16_001_01645963,531944444445963,531944444445963,6458333333</t>
  </si>
  <si>
    <t>BC Rio Bonito1SG60KTL-1_001_00145963,531944444445963,531944444445963,6458333333</t>
  </si>
  <si>
    <t>BC Rio Bonito1SG60KTL-2_001_00245963,531944444445963,531944444445963,6458333333</t>
  </si>
  <si>
    <t>BC Rio Bonito1SG60KTL-3_001_00345963,531944444445963,531944444445963,6458333333</t>
  </si>
  <si>
    <t>BC Rio Bonito1SG60KTL-4_001_00445963,531944444445963,531944444445963,6458333333</t>
  </si>
  <si>
    <t>BC Rio Bonito1SG60KTL-5_001_00545963,531944444445963,531944444445963,6458333333</t>
  </si>
  <si>
    <t>BC Rio Bonito1SG60KTL-6_001_00645963,531944444445963,531944444445963,6458333333</t>
  </si>
  <si>
    <t>BC Rio Bonito1SG60KTL-7_001_00745963,531944444445963,531944444445963,6458333333</t>
  </si>
  <si>
    <t>BC Rio Bonito1SG60KTL-8_001_00845963,531944444445963,531944444445963,6458333333</t>
  </si>
  <si>
    <t>BC Rio Bonito1SG60KTL-9_001_00945963,531944444445963,531944444445963,6458333333</t>
  </si>
  <si>
    <t>Cabo do religador da concessionária rompido.</t>
  </si>
  <si>
    <t>Foi aberto chamado para substituição do cabo do religador. Após execução da OS pela cemig, foi realizada a manobra de normalização da geração pelo time de manutenção da usina.</t>
  </si>
  <si>
    <t>BC Vazante1.1Inverter0145964,229166666745964,229166666745965,625</t>
  </si>
  <si>
    <t>BC Vazante1.1Inverter0245964,229166666745964,229166666745965,625</t>
  </si>
  <si>
    <t>BC Vazante1.1Inverter0345964,229166666745964,229166666745965,625</t>
  </si>
  <si>
    <t>BC Vazante1.1Inverter0445964,229166666745964,229166666745965,625</t>
  </si>
  <si>
    <t>BC Vazante1.1Inverter0545964,229166666745964,229166666745965,625</t>
  </si>
  <si>
    <t>BC Vazante1.1Inverter0645964,229166666745964,229166666745965,625</t>
  </si>
  <si>
    <t>BC Vazante1.1Inverter0745964,229166666745964,229166666745965,625</t>
  </si>
  <si>
    <t>BC Vazante1.1Inverter0845964,229166666745964,229166666745965,625</t>
  </si>
  <si>
    <t>BC Vazante1.1Inverter0945964,229166666745964,229166666745965,625</t>
  </si>
  <si>
    <t>BC Vazante1.1Inverter1045964,229166666745964,229166666745965,625</t>
  </si>
  <si>
    <t>BC Vazante1.1Inverter1145964,229166666745964,229166666745965,625</t>
  </si>
  <si>
    <t>BC Vazante1.1Inverter1245964,229166666745964,229166666745965,625</t>
  </si>
  <si>
    <t>BC Vazante1.1Inverter1345964,229166666745964,229166666745965,625</t>
  </si>
  <si>
    <t>BC Vazante1.1Inverter1445964,229166666745964,229166666745965,625</t>
  </si>
  <si>
    <t>BC Vazante1.1Inverter1545964,229166666745964,229166666745965,625</t>
  </si>
  <si>
    <t>BC Vazante1.1Inverter1645964,229166666745964,229166666745965,625</t>
  </si>
  <si>
    <t>BC Vazante1.1Inverter1745964,229166666745964,229166666745965,625</t>
  </si>
  <si>
    <t>BC Vazante1.2Inverter 145964,229166666745964,229166666745965,625</t>
  </si>
  <si>
    <t>BC Vazante1.2Inverter 245964,229166666745964,229166666745965,625</t>
  </si>
  <si>
    <t>BC Vazante1.2Inverter 345964,229166666745964,229166666745965,625</t>
  </si>
  <si>
    <t>BC Vazante1.2Inverter 445964,229166666745964,229166666745965,625</t>
  </si>
  <si>
    <t>BC Vazante1.2Inverter 545964,229166666745964,229166666745965,625</t>
  </si>
  <si>
    <t>BC Vazante1.2Inverter 645964,229166666745964,229166666745965,625</t>
  </si>
  <si>
    <t>BC Vazante1.2Inverter 745964,229166666745964,229166666745965,625</t>
  </si>
  <si>
    <t>BC Vazante1.2Inverter 845964,229166666745964,229166666745965,625</t>
  </si>
  <si>
    <t>BC Vazante1.2Inverter 945964,229166666745964,229166666745965,625</t>
  </si>
  <si>
    <t>BC Vazante1.2Inverter 1045964,229166666745964,229166666745965,625</t>
  </si>
  <si>
    <t>BC Vazante1.2Inverter 1145964,229166666745964,229166666745965,625</t>
  </si>
  <si>
    <t>BC Vazante1.2Inverter 1245964,229166666745964,229166666745965,625</t>
  </si>
  <si>
    <t>BC Vazante1.2Inverter 1345964,229166666745964,229166666745965,625</t>
  </si>
  <si>
    <t>BC Vazante1.2Inverter 1445964,229166666745964,229166666745965,625</t>
  </si>
  <si>
    <t>BC Vazante1.2Inverter 1545964,229166666745964,229166666745965,625</t>
  </si>
  <si>
    <t>BC Vazante1.2Inverter 1645964,229166666745964,229166666745965,625</t>
  </si>
  <si>
    <t>BC Vazante1.2Inverter 1745964,229166666745964,229166666745965,625</t>
  </si>
  <si>
    <t>BC Vazante1.3Inversor 145964,229166666745964,229166666745965,625</t>
  </si>
  <si>
    <t>BC Vazante1.3Inversor 245964,229166666745964,229166666745965,625</t>
  </si>
  <si>
    <t>BC Vazante1.3Inversor 345964,229166666745964,229166666745965,625</t>
  </si>
  <si>
    <t>BC Vazante1.3Inversor 445964,229166666745964,229166666745965,625</t>
  </si>
  <si>
    <t>BC Vazante1.3Inversor 545964,229166666745964,229166666745965,625</t>
  </si>
  <si>
    <t>BC Vazante1.3Inversor 645964,229166666745964,229166666745965,625</t>
  </si>
  <si>
    <t>BC Vazante1.3Inversor 745964,229166666745964,229166666745965,625</t>
  </si>
  <si>
    <t>BC Vazante1.3Inversor 845964,229166666745964,229166666745965,625</t>
  </si>
  <si>
    <t>BC Vazante1.3Inversor 945964,229166666745964,229166666745965,625</t>
  </si>
  <si>
    <t>BC Vazante2.1Inverter(MBUS-1)45964,229166666745964,229166666745965,625</t>
  </si>
  <si>
    <t>BC Vazante2.1Inverter(MBUS-2)45964,229166666745964,229166666745965,625</t>
  </si>
  <si>
    <t>BC Vazante2.1Inverter(MBUS-4)45964,229166666745964,229166666745965,625</t>
  </si>
  <si>
    <t>BC Vazante2.1Inverter(MBUS-5)45964,229166666745964,229166666745965,625</t>
  </si>
  <si>
    <t>BC Vazante2.1Inverter(MBUS-12)45964,229166666745964,229166666745965,625</t>
  </si>
  <si>
    <t>BC Vazante2.2Inverter(MBUS-1)45964,229166666745964,229166666745965,625</t>
  </si>
  <si>
    <t>BC Vazante2.2Inverter(MBUS-6)45964,229166666745964,229166666745965,625</t>
  </si>
  <si>
    <t>BC Vazante2.2Inverter(MBUS-7)45964,229166666745964,229166666745965,625</t>
  </si>
  <si>
    <t>BC Vazante2.2Inverter(MBUS-8)45964,229166666745964,229166666745965,625</t>
  </si>
  <si>
    <t>BC Vazante2.2Inverter(MBUS-10)45964,229166666745964,229166666745965,625</t>
  </si>
  <si>
    <t>BC Vazante2.3Inverter(MBUS-11)45964,229166666745964,229166666745965,625</t>
  </si>
  <si>
    <t>BC Vazante2.3Inverter(MBUS-12)45964,229166666745964,229166666745965,625</t>
  </si>
  <si>
    <t>BC Vazante2.3Inverter(MBUS-13)45964,229166666745964,229166666745965,625</t>
  </si>
  <si>
    <t>BC Aracu5.1Inverter(MBUS-1)45964,2545964,2545964,3333333333</t>
  </si>
  <si>
    <t>BC Aracu5.2Inverter(MBUS-1)45964,2545964,2545964,3333333333</t>
  </si>
  <si>
    <t>BC Aracu5.3Inverter(MBUS-1)45964,2545964,2545964,3333333333</t>
  </si>
  <si>
    <t>BC Aracu5.4Inverter(MBUS-1)45964,2545964,2545964,3333333333</t>
  </si>
  <si>
    <t>BC Aracu5.5Inverter(MBUS-1)45964,2545964,2545964,3333333333</t>
  </si>
  <si>
    <t>Queda do disjuntor, após oscilação da rede, muita chuva.</t>
  </si>
  <si>
    <t>Foi feito inspeção em todo complexo, checado nível de tensão e rearmado disjuntor.</t>
  </si>
  <si>
    <t>BC Aracu4SG75CX(COM1-018)_001_01845964,2545964,2545964,3333333333</t>
  </si>
  <si>
    <t>SG75CX(COM1-018)_001_019</t>
  </si>
  <si>
    <t>BC Aracu4SG75CX(COM1-018)_001_01945964,2545964,2545964,3333333333</t>
  </si>
  <si>
    <t>SG75CX(COM1-018)_001_020</t>
  </si>
  <si>
    <t>BC Aracu4SG75CX(COM1-018)_001_02045964,2545964,2545964,3333333333</t>
  </si>
  <si>
    <t>SG75CX(COM1-018)_001_021</t>
  </si>
  <si>
    <t>BC Aracu4SG75CX(COM1-018)_001_02145964,2545964,2545964,3333333333</t>
  </si>
  <si>
    <t>Inverter79</t>
  </si>
  <si>
    <t>BC Aracu1Inverter7945964,298923611145964,298923611145964,305162037</t>
  </si>
  <si>
    <t>DAUINV</t>
  </si>
  <si>
    <t>Após descaga atmosférica e queda da rede, verificou-se que o TP de medição do quadro geral encontrava-se danificado, ocasionando a queda da UFV e a indisponibilidade do sistema de CFTV.</t>
  </si>
  <si>
    <t>A supervisão foi informada e, em seguida, foi iniciada a tratativa para substituição do equipamento danificado. Após a troca do TP, realizou-se nova inspeção nos demais componentes e, com tudo em conformidade, a usina foi religada com sucesso.</t>
  </si>
  <si>
    <t>BC Camarao1.1Inverter(MBUS-1)45964,319444444445964,319444444445964,625</t>
  </si>
  <si>
    <t>BC Camarao1.1215KTL-H3(MBUS-12)45964,319444444445964,319444444445964,625</t>
  </si>
  <si>
    <t>BC Camarao1.1215KTL-H3(MBUS-13)45964,319444444445964,319444444445964,625</t>
  </si>
  <si>
    <t>BC Camarao1.1215KTL-H3(MBUS-16)45964,319444444445964,319444444445964,625</t>
  </si>
  <si>
    <t>BC Camarao1.1215KTL-H3(MBUS-15)45964,319444444445964,319444444445964,625</t>
  </si>
  <si>
    <t>BC Camarao1.2Inv. 445964,319444444445964,319444444445964,625</t>
  </si>
  <si>
    <t>BC Camarao1.2Inverter(MBUS-16)45964,319444444445964,319444444445964,625</t>
  </si>
  <si>
    <t>BC Camarao1.2Inverter(MBUS-12)45964,319444444445964,319444444445964,625</t>
  </si>
  <si>
    <t>BC Camarao1.2Inv. 345964,319444444445964,319444444445964,625</t>
  </si>
  <si>
    <t>BC Camarao1.2Inverter(MBUS-1)45964,319444444445964,319444444445964,625</t>
  </si>
  <si>
    <t>BC Camarao1.3215KTL-H3(MBUS-16)45964,319444444445964,319444444445964,625</t>
  </si>
  <si>
    <t>BC Camarao1.3215KTL-H3(MBUS-14)45964,319444444445964,319444444445964,625</t>
  </si>
  <si>
    <t>BC Camarao1.3215KTL-H3(MBUS-15)45964,319444444445964,319444444445964,625</t>
  </si>
  <si>
    <t>BC Camarao1.3215KTL-H3(MBUS-12)45964,319444444445964,319444444445964,625</t>
  </si>
  <si>
    <t>BC Camarao1.3215KTL-H3(MBUS-13)45964,319444444445964,319444444445964,625</t>
  </si>
  <si>
    <t>BC Camarao1.4inv. 145964,319444444445964,319444444445964,625</t>
  </si>
  <si>
    <t>BC Camarao1.4215KTL-H3(MBUS-14)45964,319444444445964,319444444445964,625</t>
  </si>
  <si>
    <t>BC Camarao1.4215KTL-H3(MBUS-13)45964,319444444445964,319444444445964,625</t>
  </si>
  <si>
    <t>BC Camarao1.4215KTL-H3(MBUS-16)45964,319444444445964,319444444445964,625</t>
  </si>
  <si>
    <t>BC Camarao1.4215KTL-H3(MBUS-15)45964,319444444445964,319444444445964,625</t>
  </si>
  <si>
    <t>BC Camarao1.5215KTL-H3(MBUS-15)45964,319444444445964,319444444445964,625</t>
  </si>
  <si>
    <t>BC Camarao1.5Inverter(MBUS-1)45964,319444444445964,319444444445964,625</t>
  </si>
  <si>
    <t>BC Camarao1.5215KTL-H3(MBUS-13)45964,319444444445964,319444444445964,625</t>
  </si>
  <si>
    <t>BC Camarao1.5215KTL-H3(MBUS-12)45964,319444444445964,319444444445964,625</t>
  </si>
  <si>
    <t>BC Camarao1.5Inverter(MBUS-14)45964,319444444445964,319444444445964,625</t>
  </si>
  <si>
    <t>BC Aracu1Inverter7945964,326770833345964,326770833345964,3337152778</t>
  </si>
  <si>
    <t>ARAGUATINS 2.1Inverter(MBUS-13)45964,384722222245964,384722222245965,2395833333</t>
  </si>
  <si>
    <t>ARAGUATINS 2.1Inverter(MBUS-12)45964,384722222245964,384722222245965,2395833333</t>
  </si>
  <si>
    <t>ARAGUATINS 2.1Inverter(MBUS-15)45964,384722222245964,384722222245965,2395833333</t>
  </si>
  <si>
    <t>ARAGUATINS 2.1Inverter(MBUS-14)45964,384722222245964,384722222245965,2395833333</t>
  </si>
  <si>
    <t>ARAGUATINS 2.2Inverter(MBUS-15)45964,384722222245964,384722222245965,2395833333</t>
  </si>
  <si>
    <t>ARAGUATINS 2.2Inverter(MBUS-13)45964,384722222245964,384722222245965,2395833333</t>
  </si>
  <si>
    <t>ARAGUATINS 2.2Inverter(MBUS-14)45964,384722222245964,384722222245965,2395833333</t>
  </si>
  <si>
    <t>ARAGUATINS 2.2Inverter(MBUS-12)45964,384722222245964,384722222245965,2395833333</t>
  </si>
  <si>
    <t>BC Rio Monte1Inverter4145964,386111111145964,386111111145964,4368055556</t>
  </si>
  <si>
    <t>BC Rio Monte1Inverter4745964,386111111145964,386111111145964,4368055556</t>
  </si>
  <si>
    <t>BC Rio Monte1Inverter3545964,386111111145964,386111111145964,4368055556</t>
  </si>
  <si>
    <t>BC Rio Monte1Inverter3645964,386111111145964,386111111145964,4368055556</t>
  </si>
  <si>
    <t>BC Rio Monte1Inverter3145964,386111111145964,386111111145964,4368055556</t>
  </si>
  <si>
    <t>BC Rio Monte1Inverter3345964,386111111145964,386111111145964,4368055556</t>
  </si>
  <si>
    <t>BC Rio Monte1Inverter3945964,386111111145964,386111111145964,4368055556</t>
  </si>
  <si>
    <t>BC Rio Monte1Inverter3245964,386111111145964,386111111145964,4368055556</t>
  </si>
  <si>
    <t>BC Rio Monte1Inverter4045964,386111111145964,386111111145964,4368055556</t>
  </si>
  <si>
    <t>BC Rio Monte1Inverter3445964,386111111145964,386111111145964,4368055556</t>
  </si>
  <si>
    <t>BC Rio Monte1Inverter4145964,545138888945964,545138888945964,6125</t>
  </si>
  <si>
    <t>BC Rio Monte1Inverter4745964,545138888945964,545138888945964,6125</t>
  </si>
  <si>
    <t>BC Rio Monte1Inverter3545964,545138888945964,545138888945964,6125</t>
  </si>
  <si>
    <t>BC Rio Monte1Inverter3645964,545138888945964,545138888945964,6125</t>
  </si>
  <si>
    <t>BC Rio Monte1Inverter3145964,545138888945964,545138888945964,6125</t>
  </si>
  <si>
    <t>BC Rio Monte1Inverter3345964,545138888945964,545138888945964,6125</t>
  </si>
  <si>
    <t>BC Rio Monte1Inverter3945964,545138888945964,545138888945964,6125</t>
  </si>
  <si>
    <t>BC Rio Monte1Inverter3245964,545138888945964,545138888945964,6125</t>
  </si>
  <si>
    <t>BC Rio Monte1Inverter4045964,545138888945964,545138888945964,6125</t>
  </si>
  <si>
    <t>BC Rio Monte1Inverter3445964,545138888945964,545138888945964,6125</t>
  </si>
  <si>
    <t>BC Rio Bonito2INV-00145964,5812545964,5812545964,6041666667</t>
  </si>
  <si>
    <t>BC Rio Bonito2INV-00245964,5812545964,5812545964,6041666667</t>
  </si>
  <si>
    <t>BC Rio Bonito2INV-00345964,5812545964,5812545964,6041666667</t>
  </si>
  <si>
    <t>BC Rio Bonito2INV-00445964,5812545964,5812545964,6041666667</t>
  </si>
  <si>
    <t>BC Rio Bonito1SG36KTL-M-17_001_01745964,5812545964,5812545964,6041666667</t>
  </si>
  <si>
    <t>BC Rio Bonito1SG60KTL-10_001_01045964,5812545964,5812545964,6041666667</t>
  </si>
  <si>
    <t>BC Rio Bonito1SG60KTL-11_001_01145964,5812545964,5812545964,6041666667</t>
  </si>
  <si>
    <t>BC Rio Bonito1SG60KTL-12_001_01245964,5812545964,5812545964,6041666667</t>
  </si>
  <si>
    <t>BC Rio Bonito1SG60KTL-13_001_01345964,5812545964,5812545964,6041666667</t>
  </si>
  <si>
    <t>BC Rio Bonito1SG60KTL-14_001_01445964,5812545964,5812545964,6041666667</t>
  </si>
  <si>
    <t>BC Rio Bonito1SG60KTL-15_001_01545964,5812545964,5812545964,6041666667</t>
  </si>
  <si>
    <t>BC Rio Bonito1SG60KTL-16_001_01645964,5812545964,5812545964,6041666667</t>
  </si>
  <si>
    <t>BC Rio Bonito1SG60KTL-1_001_00145964,5812545964,5812545964,6041666667</t>
  </si>
  <si>
    <t>BC Rio Bonito1SG60KTL-2_001_00245964,5812545964,5812545964,6041666667</t>
  </si>
  <si>
    <t>BC Rio Bonito1SG60KTL-3_001_00345964,5812545964,5812545964,6041666667</t>
  </si>
  <si>
    <t>BC Rio Bonito1SG60KTL-4_001_00445964,5812545964,5812545964,6041666667</t>
  </si>
  <si>
    <t>BC Rio Bonito1SG60KTL-5_001_00545964,5812545964,5812545964,6041666667</t>
  </si>
  <si>
    <t>BC Rio Bonito1SG60KTL-6_001_00645964,5812545964,5812545964,6041666667</t>
  </si>
  <si>
    <t>BC Rio Bonito1SG60KTL-7_001_00745964,5812545964,5812545964,6041666667</t>
  </si>
  <si>
    <t>BC Rio Bonito1SG60KTL-8_001_00845964,5812545964,5812545964,6041666667</t>
  </si>
  <si>
    <t>BC Rio Bonito1SG60KTL-9_001_00945964,5812545964,5812545964,6041666667</t>
  </si>
  <si>
    <t>BC Aracu1Inverter7945965,269710648245965,269710648245965,2766435185</t>
  </si>
  <si>
    <t>Inverter84</t>
  </si>
  <si>
    <t>BC Aracu1Inverter8445965,269942129645965,269942129645965,2768865741</t>
  </si>
  <si>
    <t>Inverter81</t>
  </si>
  <si>
    <t>BC Aracu1Inverter8145965,270023148245965,270023148245965,2769907407</t>
  </si>
  <si>
    <t>BC Caiaponia1SG60KTL(COM1-001)_001_00745965,270833333345965,270833333345965,3402777778</t>
  </si>
  <si>
    <t>BC Caiaponia1SG60KTL(COM1-002)_001_01045965,270833333345965,270833333345965,3402777778</t>
  </si>
  <si>
    <t>BC Caiaponia1SG60KTL(COM1-003)_001_01145965,270833333345965,270833333345965,3402777778</t>
  </si>
  <si>
    <t>BC Caiaponia1SG60KTL(COM1-004)_001_01445965,270833333345965,270833333345965,3402777778</t>
  </si>
  <si>
    <t>BC Caiaponia1SG60KTL(COM1-005)_001_01745965,270833333345965,270833333345965,3402777778</t>
  </si>
  <si>
    <t>BC Caiaponia1SG60KTL(COM1-006)_001_01645965,270833333345965,270833333345965,3402777778</t>
  </si>
  <si>
    <t>BC Caiaponia1SG60KTL(COM1-007)_001_01345965,270833333345965,270833333345965,3402777778</t>
  </si>
  <si>
    <t>BC Caiaponia1SG60KTL(COM1-008)_001_00145965,270833333345965,270833333345965,3402777778</t>
  </si>
  <si>
    <t>BC Caiaponia1SG60KTL(COM1-009)45965,270833333345965,270833333345965,3402777778</t>
  </si>
  <si>
    <t>BC Caiaponia1SG60KTL(COM1-010)45965,270833333345965,270833333345965,3402777778</t>
  </si>
  <si>
    <t>BC Caiaponia1SG60KTL(COM1-011)45965,270833333345965,270833333345965,3402777778</t>
  </si>
  <si>
    <t>BC Caiaponia1SG60KTL(COM1-012)45965,270833333345965,270833333345965,3402777778</t>
  </si>
  <si>
    <t>BC Caiaponia1SG60KTL(COM1-013)45965,270833333345965,270833333345965,3402777778</t>
  </si>
  <si>
    <t>BC Caiaponia1SG60KTL(COM1-014)45965,270833333345965,270833333345965,3402777778</t>
  </si>
  <si>
    <t>BC Caiaponia1SG60KTL(COM1-015)45965,270833333345965,270833333345965,3402777778</t>
  </si>
  <si>
    <t>BC Caiaponia1SG60KTL(COM3-016)_001_00945965,270833333345965,270833333345965,3402777778</t>
  </si>
  <si>
    <t>BC Caiaponia1SG60KTL(COM3-017)_001_01245965,270833333345965,270833333345965,3402777778</t>
  </si>
  <si>
    <t>BC Caiaponia1SG60KTL(COM3-018)_001_00845965,270833333345965,270833333345965,3402777778</t>
  </si>
  <si>
    <t>BC Caiaponia1SG60KTL(COM3-019)_001_01945965,270833333345965,270833333345965,3402777778</t>
  </si>
  <si>
    <t>BC Caiaponia1SG60KTL(COM3-020)_001_02045965,270833333345965,270833333345965,3402777778</t>
  </si>
  <si>
    <t>BC Caiaponia1SG60KTL(COM2-026)45965,270833333345965,270833333345965,3402777778</t>
  </si>
  <si>
    <t>BC Caiaponia1SG60KTL(COM2-027)45965,270833333345965,270833333345965,3402777778</t>
  </si>
  <si>
    <t>BC Caiaponia1SG60KTL(COM2-028)45965,270833333345965,270833333345965,3402777778</t>
  </si>
  <si>
    <t>BC Caiaponia1SG60KTL(COM2-029)45965,270833333345965,270833333345965,3402777778</t>
  </si>
  <si>
    <t>BC Caiaponia1SG50CX(COM1-021)45965,270833333345965,270833333345965,3402777778</t>
  </si>
  <si>
    <t>BC Caiaponia1SG50CX(COM1-022)45965,270833333345965,270833333345965,3402777778</t>
  </si>
  <si>
    <t>BC Caiaponia1SG50CX(COM1-023)45965,270833333345965,270833333345965,3402777778</t>
  </si>
  <si>
    <t>BC Caiaponia1SG50CX(COM1-024)45965,270833333345965,270833333345965,3402777778</t>
  </si>
  <si>
    <t>BC Caiaponia1SG50CX(COM1-025)45965,270833333345965,270833333345965,3402777778</t>
  </si>
  <si>
    <t>BC Caiaponia2.1215KTL-H3(MBUS-12)45965,270833333345965,270833333345965,3402777778</t>
  </si>
  <si>
    <t>BC Caiaponia2.1215KTL-H3(MBUS-13)45965,270833333345965,270833333345965,3402777778</t>
  </si>
  <si>
    <t>BC Caiaponia2.1215KTL-H3(MBUS-14)45965,270833333345965,270833333345965,3402777778</t>
  </si>
  <si>
    <t>BC Caiaponia2.1215KTL-H3(MBUS-15)45965,270833333345965,270833333345965,3402777778</t>
  </si>
  <si>
    <t>BC Caiaponia2.1215KTL-H3(MBUS-16)45965,270833333345965,270833333345965,3402777778</t>
  </si>
  <si>
    <t>BC Caiaponia2.2215KTL-H3(MBUS-12)45965,270833333345965,270833333345965,3402777778</t>
  </si>
  <si>
    <t>BC Caiaponia2.2215KTL-H3(MBUS-13)45965,270833333345965,270833333345965,3402777778</t>
  </si>
  <si>
    <t>BC Caiaponia2.2215KTL-H3(MBUS-14)45965,270833333345965,270833333345965,3402777778</t>
  </si>
  <si>
    <t>BC Caiaponia2.2215KTL-H3(MBUS-15)45965,270833333345965,270833333345965,3402777778</t>
  </si>
  <si>
    <t>BC Caiaponia2.2215KTL-H3(MBUS-16)45965,270833333345965,270833333345965,3402777778</t>
  </si>
  <si>
    <t>BC Caiaponia2.3215KTL-H3(MBUS-12)45965,270833333345965,270833333345965,3402777778</t>
  </si>
  <si>
    <t>BC Caiaponia2.3215KTL-H3(MBUS-13)45965,270833333345965,270833333345965,3402777778</t>
  </si>
  <si>
    <t>BC Caiaponia2.3215KTL-H3(MBUS-14)45965,270833333345965,270833333345965,3402777778</t>
  </si>
  <si>
    <t>BC Caiaponia2.3215KTL-H3(MBUS-15)45965,270833333345965,270833333345965,3402777778</t>
  </si>
  <si>
    <t>BC Caiaponia2.3215KTL-H3(MBUS-16)45965,270833333345965,270833333345965,3402777778</t>
  </si>
  <si>
    <t>BC Rio Monte1Inverter4145965,270833333345965,270833333345965,3555555556</t>
  </si>
  <si>
    <t>BC Rio Monte1Inverter4745965,270833333345965,270833333345965,3555555556</t>
  </si>
  <si>
    <t>BC Rio Monte1Inverter3545965,270833333345965,270833333345965,3555555556</t>
  </si>
  <si>
    <t>BC Rio Monte1Inverter3645965,270833333345965,270833333345965,3555555556</t>
  </si>
  <si>
    <t>BC Rio Monte1Inverter3145965,270833333345965,270833333345965,3555555556</t>
  </si>
  <si>
    <t>BC Rio Monte1Inverter3345965,270833333345965,270833333345965,3555555556</t>
  </si>
  <si>
    <t>BC Rio Monte1Inverter3945965,270833333345965,270833333345965,3555555556</t>
  </si>
  <si>
    <t>BC Rio Monte1Inverter3245965,270833333345965,270833333345965,3555555556</t>
  </si>
  <si>
    <t>BC Rio Monte1Inverter4045965,270833333345965,270833333345965,3555555556</t>
  </si>
  <si>
    <t>BC Rio Monte1Inverter3445965,270833333345965,270833333345965,3555555556</t>
  </si>
  <si>
    <t>Desligamento programado da usina para a execução da substituição do QG (Quadro Geral ), adequação solicitada nas adequações ao pós closing. O serviço será realizado pela empresa terceirizada Power Sys, conforme planejamento de manutenção corretiva.</t>
  </si>
  <si>
    <t>Considerado manutenção corretiva, mas é uma melhoria solicitada no pós closing. Após manutenção, foi realizada a amanobra para normalização da geração do ativo.</t>
  </si>
  <si>
    <t>BC BomSucessoSG60KTL45965,4687545965,4687545972,6597222222</t>
  </si>
  <si>
    <t>DPRUFV</t>
  </si>
  <si>
    <t>BC BomSucessoABB_0145965,4687545965,4687545972,6597222222</t>
  </si>
  <si>
    <t>BC BomSucessoABB_0245965,4687545965,4687545972,6597222222</t>
  </si>
  <si>
    <t>BC BomSucessoABB_0345965,4687545965,4687545972,6597222222</t>
  </si>
  <si>
    <t>BC BomSucessoABB_0445965,4687545965,4687545972,6597222222</t>
  </si>
  <si>
    <t>BC BomSucessoABB_0545965,4687545965,4687545972,6597222222</t>
  </si>
  <si>
    <t>BC BomSucessoABB_0645965,4687545965,4687545972,6597222222</t>
  </si>
  <si>
    <t>BC BomSucessoABB_0745965,4687545965,4687545972,6597222222</t>
  </si>
  <si>
    <t>BC BomSucessoABB_0845965,4687545965,4687545972,6597222222</t>
  </si>
  <si>
    <t>BC BomSucessoABB_0945965,4687545965,4687545972,6597222222</t>
  </si>
  <si>
    <t>BC BomSucessoABB_1045965,4687545965,4687545972,6597222222</t>
  </si>
  <si>
    <t>BC BomSucessoABB_1145965,4687545965,4687545972,6597222222</t>
  </si>
  <si>
    <t>BC Clareira1.1Inverter(MBUS-12)45965,576388888945965,576388888945965,6006944444</t>
  </si>
  <si>
    <t>LIGRFOINT</t>
  </si>
  <si>
    <t>BC Clareira1.1Inverter(MBUS-13)45965,576388888945965,576388888945965,6006944444</t>
  </si>
  <si>
    <t>BC Clareira1.1	Inverter(MBUS-14)45965,576388888945965,576388888945965,6006944444</t>
  </si>
  <si>
    <t>BC Clareira1.1	Inverter(MBUS-15)45965,576388888945965,576388888945965,6006944444</t>
  </si>
  <si>
    <t>BC Clareira1.1Inverter(MBUS-16)45965,576388888945965,576388888945965,6006944444</t>
  </si>
  <si>
    <t>BC Clareira1.2	215KTL-H3(MBUS-12)45965,576388888945965,576388888945965,6006944444</t>
  </si>
  <si>
    <t>BC Clareira1.2	215KTL-H3(MBUS-13)45965,576388888945965,576388888945965,6006944444</t>
  </si>
  <si>
    <t>BC Clareira1.2100KTL-H1(MBUS-14)45965,576388888945965,576388888945965,6006944444</t>
  </si>
  <si>
    <t>Falta de tensão da rede da concessionária. Relá atuado em 81.</t>
  </si>
  <si>
    <t>BC Formoso2.2Inverter(MBUS-14)45966,253472222245966,253472222245966,3083333333</t>
  </si>
  <si>
    <t>Relé atuado em 81.</t>
  </si>
  <si>
    <t>BC Formoso2.2Inverter(MBUS-13)45966,253472222245966,253472222245966,3083333333</t>
  </si>
  <si>
    <t>BC Formoso2.2Inverter(MBUS-12)45966,253472222245966,253472222245966,3083333333</t>
  </si>
  <si>
    <t>BC Formoso2.2Inverter(MBUS-1)45966,253472222245966,253472222245966,3083333333</t>
  </si>
  <si>
    <t>BC Formoso1.2Inverter(MBUS-13)45966,253472222245966,253472222245966,3083333333</t>
  </si>
  <si>
    <t>BC Formoso1.2Inverter(MBUS-12)45966,253472222245966,253472222245966,3083333333</t>
  </si>
  <si>
    <t>BC Formoso1.2Inverter(MBUS-15)45966,253472222245966,253472222245966,3083333333</t>
  </si>
  <si>
    <t>BC Formoso1.2Inverter(MBUS-14)45966,253472222245966,253472222245966,3083333333</t>
  </si>
  <si>
    <t>BC Formoso1.3Inverter(MBUS-13)45966,253472222245966,253472222245966,3083333333</t>
  </si>
  <si>
    <t>BC Formoso1.3Inverter(MBUS-12)45966,253472222245966,253472222245966,3083333333</t>
  </si>
  <si>
    <t>UFV online porém sem dados de potência no sistema de monitoramento Isolarcloud.</t>
  </si>
  <si>
    <t>Usina voltou a subir os dados sozinha, auto-restart.</t>
  </si>
  <si>
    <t>BC Panama1.1CEREAL_00245966,256944444445966,256944444445966,3506944444</t>
  </si>
  <si>
    <t>LIGRFOCOM</t>
  </si>
  <si>
    <t>BC Panama1.1ITAPOAN 001 (COM1-001)_001_00145966,256944444445966,256944444445966,3506944444</t>
  </si>
  <si>
    <t>BC Panama1.1ITAPOAN_00345966,256944444445966,256944444445966,3506944444</t>
  </si>
  <si>
    <t>BC Aracu1Inverter7945966,261388888945966,261388888945966,2683564815</t>
  </si>
  <si>
    <t>BC Aracu1Inverter8445966,261840277845966,261840277845966,2852314815</t>
  </si>
  <si>
    <t>BC Aracu1Inverter8145966,261863425945966,261863425945966,2852314815</t>
  </si>
  <si>
    <t>Inverter82</t>
  </si>
  <si>
    <t>BC Aracu1Inverter8245966,261932870445966,261932870445966,2852314815</t>
  </si>
  <si>
    <t>Desligamento programado da usina para realização dos ensaios elétricos nos cubículos de proteção e no  trafo de média tensão (Execução: Power Sys, empresa contratada) e aterramento do cercamento, conforme alinhado nas adequações ao pós closing.</t>
  </si>
  <si>
    <t>BC Rio Monte1Inverter4145966,306944444445966,306944444445966,7222222222</t>
  </si>
  <si>
    <t>BC Rio Monte1Inverter4745966,306944444445966,306944444445966,7222222222</t>
  </si>
  <si>
    <t>BC Rio Monte1Inverter3545966,306944444445966,306944444445966,7222222222</t>
  </si>
  <si>
    <t>BC Rio Monte1Inverter3645966,306944444445966,306944444445966,7222222222</t>
  </si>
  <si>
    <t>BC Rio Monte1Inverter3145966,306944444445966,306944444445966,7222222222</t>
  </si>
  <si>
    <t>BC Rio Monte1Inverter3345966,306944444445966,306944444445966,7222222222</t>
  </si>
  <si>
    <t>BC Rio Monte1Inverter3945966,306944444445966,306944444445966,7222222222</t>
  </si>
  <si>
    <t>BC Rio Monte1Inverter3245966,306944444445966,306944444445966,7222222222</t>
  </si>
  <si>
    <t>BC Rio Monte1Inverter4045966,306944444445966,306944444445966,7222222222</t>
  </si>
  <si>
    <t>BC Rio Monte1Inverter3445966,306944444445966,306944444445966,7222222222</t>
  </si>
  <si>
    <t>A usina foi desligada devido à atuação do relé de proteção, que indicou uma condição de subtensão temporária na rede. Esse evento ocasionou o desligamento dos inversores do complexo.</t>
  </si>
  <si>
    <t>BC Corumba1.1U01.I0245966,434722222245966,434722222245966,4479166667</t>
  </si>
  <si>
    <t>BC Corumba1.1U01.I0345966,434722222245966,434722222245966,4479166667</t>
  </si>
  <si>
    <t>BC Corumba1.1U01.I0445966,434722222245966,434722222245966,4479166667</t>
  </si>
  <si>
    <t>BC Corumba1.1U01.I0545966,434722222245966,434722222245966,4479166667</t>
  </si>
  <si>
    <t>BC Corumba1.2U02.I0245966,434722222245966,434722222245966,4479166667</t>
  </si>
  <si>
    <t>BC Corumba1.2U02.I0145966,434722222245966,434722222245966,4479166667</t>
  </si>
  <si>
    <t>BC Corumba1.2U02.I0345966,434722222245966,434722222245966,4479166667</t>
  </si>
  <si>
    <t>BC Corumba1.2U02.I0545966,434722222245966,434722222245966,4479166667</t>
  </si>
  <si>
    <t>BC Corumba1.2U02.I0445966,434722222245966,434722222245966,4479166667</t>
  </si>
  <si>
    <t>BC Corumba1.3U03.I0145966,434722222245966,434722222245966,4479166667</t>
  </si>
  <si>
    <t>BC Corumba1.3U03.I0345966,434722222245966,434722222245966,4479166667</t>
  </si>
  <si>
    <t>BC Corumba1.3U03.I0245966,434722222245966,434722222245966,4479166667</t>
  </si>
  <si>
    <t>BC Corumba2.1Inverter(MBUS-14)45966,434722222245966,434722222245966,4479166667</t>
  </si>
  <si>
    <t>BC Corumba2.1Inverter(MBUS-15)45966,434722222245966,434722222245966,4479166667</t>
  </si>
  <si>
    <t>BC Corumba2.1Inverter(MBUS-16)45966,434722222245966,434722222245966,4479166667</t>
  </si>
  <si>
    <t>BC Corumba2.1U01. I0145966,434722222245966,434722222245966,4479166667</t>
  </si>
  <si>
    <t>BC Corumba2.1U01. I0245966,434722222245966,434722222245966,4479166667</t>
  </si>
  <si>
    <t>BC Corumba2.2U02.I0145966,434722222245966,434722222245966,4479166667</t>
  </si>
  <si>
    <t>BC Corumba2.2U02.I0245966,434722222245966,434722222245966,4479166667</t>
  </si>
  <si>
    <t>BC Corumba2.2U02.I0345966,434722222245966,434722222245966,4479166667</t>
  </si>
  <si>
    <t>BC Corumba2.2U02.I0445966,434722222245966,434722222245966,4479166667</t>
  </si>
  <si>
    <t>BC Corumba2.2U02.I0545966,434722222245966,434722222245966,4479166667</t>
  </si>
  <si>
    <t>BC Corumba2.3U03.I0145966,434722222245966,434722222245966,4479166667</t>
  </si>
  <si>
    <t>BC Corumba2.3U03.I0245966,434722222245966,434722222245966,4479166667</t>
  </si>
  <si>
    <t>BC Corumba2.3U03.I0345966,434722222245966,434722222245966,4479166667</t>
  </si>
  <si>
    <t>Paranoá I</t>
  </si>
  <si>
    <t>Queda de rede da concessionária. Aberto protocolo na neoenergia brasília - 90502286.</t>
  </si>
  <si>
    <t>BC ParanoaSG60KTL(COM1-014)_001_01345966,62545966,62545966,7083333333</t>
  </si>
  <si>
    <t>BC ParanoaSG60KTL(COM1-013)_001_01045966,62545966,62545966,7083333333</t>
  </si>
  <si>
    <t>BC ParanoaSG60KTL(COM1-012)_001_01145966,62545966,62545966,7083333333</t>
  </si>
  <si>
    <t>BC ParanoaSG60KTL(COM1-011)_001_00545966,62545966,62545966,7083333333</t>
  </si>
  <si>
    <t>BC ParanoaSG60KTL(COM1-010)_001_00345966,62545966,62545966,7083333333</t>
  </si>
  <si>
    <t>BC ParanoaSG60KTL(COM1-018)_001_01245966,62545966,62545966,7083333333</t>
  </si>
  <si>
    <t>BC ParanoaSG60KTL(COM1-017)_001_00745966,62545966,62545966,7083333333</t>
  </si>
  <si>
    <t>BC ParanoaSG60KTL(COM1-016)_001_00645966,62545966,62545966,7083333333</t>
  </si>
  <si>
    <t>BC ParanoaSG50CX(COM2-015)_001_01745966,62545966,62545966,7083333333</t>
  </si>
  <si>
    <t>Paranoá II</t>
  </si>
  <si>
    <t>BC ParanoaSG60KTL(COM1-009)_001_00245966,62545966,62545966,7083333333</t>
  </si>
  <si>
    <t>BC ParanoaSG60KTL(COM1-008)_001_00945966,62545966,62545966,7083333333</t>
  </si>
  <si>
    <t>BC ParanoaSG60KTL(COM1-007)_001_00445966,62545966,62545966,7083333333</t>
  </si>
  <si>
    <t>BC ParanoaSG60KTL(COM1-006)_001_01445966,62545966,62545966,7083333333</t>
  </si>
  <si>
    <t>BC ParanoaSG40CX(COM2-005)_001_01545966,62545966,62545966,7083333333</t>
  </si>
  <si>
    <t>Paranoá III</t>
  </si>
  <si>
    <t>BC ParanoaSG60KTL(COM1-019)_002_00745966,62545966,62545966,7083333333</t>
  </si>
  <si>
    <t>BC ParanoaSG60KTL(COM1-020)_002_01145966,62545966,62545966,7083333333</t>
  </si>
  <si>
    <t>BC ParanoaSG60KTL(COM1-021)_002_01745966,62545966,62545966,7083333333</t>
  </si>
  <si>
    <t>BC ParanoaSG60KTL(COM1-022)_002_02045966,62545966,62545966,7083333333</t>
  </si>
  <si>
    <t>BC ParanoaSG40CX(COM2-023)_002_02445966,62545966,62545966,7083333333</t>
  </si>
  <si>
    <t>BC ParanoaSG40CX(COM2-024)_002_02245966,62545966,62545966,7083333333</t>
  </si>
  <si>
    <t>Paranoá IV</t>
  </si>
  <si>
    <t>BC ParanoaSG60KTL(COM1-007)_002_01345966,62545966,62545966,7083333333</t>
  </si>
  <si>
    <t>BC ParanoaSG60KTL(COM1-008)_002_00245966,62545966,62545966,7083333333</t>
  </si>
  <si>
    <t>BC ParanoaSG60KTL(COM1-009)_002_00845966,62545966,62545966,7083333333</t>
  </si>
  <si>
    <t>BC ParanoaSG60KTL(COM1-010)_002_00345966,62545966,62545966,7083333333</t>
  </si>
  <si>
    <t>BC ParanoaSG60KTL(COM1-011)_002_01045966,62545966,62545966,7083333333</t>
  </si>
  <si>
    <t>BC ParanoaSG60KTL(COM1-012)_002_00545966,62545966,62545966,7083333333</t>
  </si>
  <si>
    <t>Paranoá V</t>
  </si>
  <si>
    <t>BC ParanoaSG60KTL(COM1-001)_002_00645966,62545966,62545966,7083333333</t>
  </si>
  <si>
    <t>BC ParanoaSG60KTL(COM1-002)_002_01645966,62545966,62545966,7083333333</t>
  </si>
  <si>
    <t>BC ParanoaSG50CX(COM2-003)_002_02145966,62545966,62545966,7083333333</t>
  </si>
  <si>
    <t>Paranoá VI</t>
  </si>
  <si>
    <t>BC ParanoaSG50CX(COM2-004)_002_02345966,62545966,62545966,7083333333</t>
  </si>
  <si>
    <t>BC ParanoaSG60KTL(COM1-005)_002_00945966,62545966,62545966,7083333333</t>
  </si>
  <si>
    <t>BC ParanoaSG60KTL(COM1-006)_002_00145966,62545966,62545966,7083333333</t>
  </si>
  <si>
    <t>Paranoá VII</t>
  </si>
  <si>
    <t>BC ParanoaSG60KTL(COM1-013)_002_00445966,62545966,62545966,7083333333</t>
  </si>
  <si>
    <t>BC ParanoaSG60KTL(COM1-014)_002_01945966,62545966,62545966,7083333333</t>
  </si>
  <si>
    <t>BC ParanoaSG60KTL(COM1-015)_002_01845966,62545966,62545966,7083333333</t>
  </si>
  <si>
    <t>BC ParanoaSG60KTL(COM1-016)_002_01445966,62545966,62545966,7083333333</t>
  </si>
  <si>
    <t>BC ParanoaSG60KTL(COM1-017)_002_01545966,62545966,62545966,7083333333</t>
  </si>
  <si>
    <t>BC ParanoaSG60KTL(COM1-018)_002_01245966,62545966,62545966,7083333333</t>
  </si>
  <si>
    <t>Paranoá VIII</t>
  </si>
  <si>
    <t>BC ParanoaSG50CX(COM2-004)_001_01845966,62545966,62545966,7083333333</t>
  </si>
  <si>
    <t>BC ParanoaSG50CX(COM2-003)_001_01645966,62545966,62545966,7083333333</t>
  </si>
  <si>
    <t>BC ParanoaSG60KTL(COM1-002)_001_00845966,62545966,62545966,7083333333</t>
  </si>
  <si>
    <t>BC Aracu1Inverter7945967,263182870445967,263182870445967,2701273148</t>
  </si>
  <si>
    <t>BC Aracu1Inverter8445967,263483796345967,263483796345967,2990740741</t>
  </si>
  <si>
    <t>Falta de tensão da rede da concessionária, chaves seccionadoras abertas devido a queda de poste na quadra da usina.</t>
  </si>
  <si>
    <t>Após manutenção da concessionária, usina pôde ser normalizada.</t>
  </si>
  <si>
    <t>BC Panama1.1CEREAL_00245967,268055555645967,268055555645972,2326388889</t>
  </si>
  <si>
    <t>DEMRDE</t>
  </si>
  <si>
    <t>BC Panama1.1ITAPOAN 001 (COM1-001)_001_00145967,268055555645967,268055555645972,2326388889</t>
  </si>
  <si>
    <t>BC Panama1.1ITAPOAN_00345967,268055555645967,268055555645972,2326388889</t>
  </si>
  <si>
    <t>Falta de tensão da rede da concessionária. Relá atuado em 27AB.</t>
  </si>
  <si>
    <t>BC Caiaponia1SG60KTL(COM1-001)_001_00745967,272222222245967,272222222245967,3020833333</t>
  </si>
  <si>
    <t>BC Caiaponia1SG60KTL(COM1-002)_001_01045967,272222222245967,272222222245967,3020833333</t>
  </si>
  <si>
    <t>BC Caiaponia1SG60KTL(COM1-003)_001_01145967,272222222245967,272222222245967,3020833333</t>
  </si>
  <si>
    <t>BC Caiaponia1SG60KTL(COM1-004)_001_01445967,272222222245967,272222222245967,3020833333</t>
  </si>
  <si>
    <t>BC Caiaponia1SG60KTL(COM1-005)_001_01745967,272222222245967,272222222245967,3020833333</t>
  </si>
  <si>
    <t>BC Caiaponia1SG60KTL(COM1-006)_001_01645967,272222222245967,272222222245967,3020833333</t>
  </si>
  <si>
    <t>BC Caiaponia1SG60KTL(COM1-007)_001_01345967,272222222245967,272222222245967,3020833333</t>
  </si>
  <si>
    <t>BC Caiaponia1SG60KTL(COM1-008)_001_00145967,272222222245967,272222222245967,3020833333</t>
  </si>
  <si>
    <t>BC Caiaponia1SG60KTL(COM1-009)45967,272222222245967,272222222245967,3020833333</t>
  </si>
  <si>
    <t>BC Caiaponia1SG60KTL(COM1-010)45967,272222222245967,272222222245967,3020833333</t>
  </si>
  <si>
    <t>BC Caiaponia1SG60KTL(COM1-011)45967,272222222245967,272222222245967,3020833333</t>
  </si>
  <si>
    <t>BC Caiaponia1SG60KTL(COM1-012)45967,272222222245967,272222222245967,3020833333</t>
  </si>
  <si>
    <t>BC Caiaponia1SG60KTL(COM1-013)45967,272222222245967,272222222245967,3020833333</t>
  </si>
  <si>
    <t>BC Caiaponia1SG60KTL(COM1-014)45967,272222222245967,272222222245967,3020833333</t>
  </si>
  <si>
    <t>BC Caiaponia1SG60KTL(COM1-015)45967,272222222245967,272222222245967,3020833333</t>
  </si>
  <si>
    <t>BC Caiaponia1SG60KTL(COM3-016)_001_00945967,272222222245967,272222222245967,3020833333</t>
  </si>
  <si>
    <t>BC Caiaponia1SG60KTL(COM3-017)_001_01245967,272222222245967,272222222245967,3020833333</t>
  </si>
  <si>
    <t>BC Caiaponia1SG60KTL(COM3-018)_001_00845967,272222222245967,272222222245967,3020833333</t>
  </si>
  <si>
    <t>BC Caiaponia1SG60KTL(COM3-019)_001_01945967,272222222245967,272222222245967,3020833333</t>
  </si>
  <si>
    <t>BC Caiaponia1SG60KTL(COM3-020)_001_02045967,272222222245967,272222222245967,3020833333</t>
  </si>
  <si>
    <t>BC Caiaponia1SG60KTL(COM2-026)45967,272222222245967,272222222245967,3020833333</t>
  </si>
  <si>
    <t>BC Caiaponia1SG60KTL(COM2-027)45967,272222222245967,272222222245967,3020833333</t>
  </si>
  <si>
    <t>BC Caiaponia1SG60KTL(COM2-028)45967,272222222245967,272222222245967,3020833333</t>
  </si>
  <si>
    <t>BC Caiaponia1SG60KTL(COM2-029)45967,272222222245967,272222222245967,3020833333</t>
  </si>
  <si>
    <t>BC Caiaponia1SG50CX(COM1-021)45967,272222222245967,272222222245967,3020833333</t>
  </si>
  <si>
    <t>BC Caiaponia1SG50CX(COM1-022)45967,272222222245967,272222222245967,3020833333</t>
  </si>
  <si>
    <t>BC Caiaponia1SG50CX(COM1-023)45967,272222222245967,272222222245967,3020833333</t>
  </si>
  <si>
    <t>BC Caiaponia1SG50CX(COM1-024)45967,272222222245967,272222222245967,3020833333</t>
  </si>
  <si>
    <t>BC Caiaponia1SG50CX(COM1-025)45967,272222222245967,272222222245967,3020833333</t>
  </si>
  <si>
    <t>Inverter78</t>
  </si>
  <si>
    <t>BC Aracu1Inverter7845967,298541666745967,298541666745967,3229166667</t>
  </si>
  <si>
    <t>Inversor 06</t>
  </si>
  <si>
    <t>BC Aracu1Inversor 0645967,298541666745967,298541666745967,3229166667</t>
  </si>
  <si>
    <t>BC Aracu1Inverter7945967,298541666745967,298541666745967,2986689815</t>
  </si>
  <si>
    <t>BC Aracu1Inverter8345967,298541666745967,298541666745967,3229166667</t>
  </si>
  <si>
    <t>Desligamento programado da usina para realização da manutenção anual preventiva na SE, (conduzida pela Power Sys; empresa contratada).</t>
  </si>
  <si>
    <t>Desligamento da UFV para execução de testes nos transformadores de média tensão e inspeção dos componentes do cubículo de medição. Após execução, foi realizada a manobra de energização da usina.</t>
  </si>
  <si>
    <t>BC Caiaponia2.1215KTL-H3(MBUS-12)45967,336805555645967,336805555645967,4520833333</t>
  </si>
  <si>
    <t>BC Caiaponia2.1215KTL-H3(MBUS-13)45967,336805555645967,336805555645967,4520833333</t>
  </si>
  <si>
    <t>BC Caiaponia2.1215KTL-H3(MBUS-14)45967,336805555645967,336805555645967,4520833333</t>
  </si>
  <si>
    <t>BC Caiaponia2.1215KTL-H3(MBUS-15)45967,336805555645967,336805555645967,4520833333</t>
  </si>
  <si>
    <t>BC Caiaponia2.1215KTL-H3(MBUS-16)45967,336805555645967,336805555645967,4520833333</t>
  </si>
  <si>
    <t>BC Caiaponia1SG60KTL(COM1-001)_001_00745967,618055555645967,618055555645967,65625</t>
  </si>
  <si>
    <t>BC Caiaponia1SG60KTL(COM1-002)_001_01045967,618055555645967,618055555645967,65625</t>
  </si>
  <si>
    <t>BC Caiaponia1SG60KTL(COM1-003)_001_01145967,618055555645967,618055555645967,65625</t>
  </si>
  <si>
    <t>BC Caiaponia1SG60KTL(COM1-004)_001_01445967,618055555645967,618055555645967,65625</t>
  </si>
  <si>
    <t>BC Caiaponia1SG60KTL(COM1-005)_001_01745967,618055555645967,618055555645967,65625</t>
  </si>
  <si>
    <t>BC Caiaponia1SG60KTL(COM1-006)_001_01645967,618055555645967,618055555645967,65625</t>
  </si>
  <si>
    <t>BC Caiaponia1SG60KTL(COM1-007)_001_01345967,618055555645967,618055555645967,65625</t>
  </si>
  <si>
    <t>BC Caiaponia1SG60KTL(COM1-008)_001_00145967,618055555645967,618055555645967,65625</t>
  </si>
  <si>
    <t>BC Caiaponia1SG60KTL(COM1-009)45967,618055555645967,618055555645967,65625</t>
  </si>
  <si>
    <t>BC Caiaponia1SG60KTL(COM1-010)45967,618055555645967,618055555645967,65625</t>
  </si>
  <si>
    <t>BC Caiaponia1SG60KTL(COM1-011)45967,618055555645967,618055555645967,65625</t>
  </si>
  <si>
    <t>BC Caiaponia1SG60KTL(COM1-012)45967,618055555645967,618055555645967,65625</t>
  </si>
  <si>
    <t>BC Caiaponia1SG60KTL(COM1-013)45967,618055555645967,618055555645967,65625</t>
  </si>
  <si>
    <t>BC Caiaponia1SG60KTL(COM1-014)45967,618055555645967,618055555645967,65625</t>
  </si>
  <si>
    <t>BC Caiaponia1SG60KTL(COM1-015)45967,618055555645967,618055555645967,65625</t>
  </si>
  <si>
    <t>BC Caiaponia1SG60KTL(COM3-016)_001_00945967,618055555645967,618055555645967,65625</t>
  </si>
  <si>
    <t>BC Caiaponia1SG60KTL(COM3-017)_001_01245967,618055555645967,618055555645967,65625</t>
  </si>
  <si>
    <t>BC Caiaponia1SG60KTL(COM3-018)_001_00845967,618055555645967,618055555645967,65625</t>
  </si>
  <si>
    <t>BC Caiaponia1SG60KTL(COM3-019)_001_01945967,618055555645967,618055555645967,65625</t>
  </si>
  <si>
    <t>BC Caiaponia1SG60KTL(COM3-020)_001_02045967,618055555645967,618055555645967,65625</t>
  </si>
  <si>
    <t>BC Caiaponia1SG60KTL(COM2-026)45967,618055555645967,618055555645967,65625</t>
  </si>
  <si>
    <t>BC Caiaponia1SG60KTL(COM2-027)45967,618055555645967,618055555645967,65625</t>
  </si>
  <si>
    <t>BC Caiaponia1SG60KTL(COM2-028)45967,618055555645967,618055555645967,65625</t>
  </si>
  <si>
    <t>BC Caiaponia1SG60KTL(COM2-029)45967,618055555645967,618055555645967,65625</t>
  </si>
  <si>
    <t>BC Caiaponia1SG50CX(COM1-021)45967,618055555645967,618055555645967,65625</t>
  </si>
  <si>
    <t>BC Caiaponia1SG50CX(COM1-022)45967,618055555645967,618055555645967,65625</t>
  </si>
  <si>
    <t>BC Caiaponia1SG50CX(COM1-023)45967,618055555645967,618055555645967,65625</t>
  </si>
  <si>
    <t>BC Caiaponia1SG50CX(COM1-024)45967,618055555645967,618055555645967,65625</t>
  </si>
  <si>
    <t>BC Caiaponia1SG50CX(COM1-025)45967,618055555645967,618055555645967,65625</t>
  </si>
  <si>
    <t>BC Caiaponia2.1215KTL-H3(MBUS-12)45967,618055555645967,618055555645967,65625</t>
  </si>
  <si>
    <t>BC Caiaponia2.1215KTL-H3(MBUS-13)45967,618055555645967,618055555645967,65625</t>
  </si>
  <si>
    <t>BC Caiaponia2.1215KTL-H3(MBUS-14)45967,618055555645967,618055555645967,65625</t>
  </si>
  <si>
    <t>BC Caiaponia2.1215KTL-H3(MBUS-15)45967,618055555645967,618055555645967,65625</t>
  </si>
  <si>
    <t>BC Caiaponia2.1215KTL-H3(MBUS-16)45967,618055555645967,618055555645967,65625</t>
  </si>
  <si>
    <t>BC Caiaponia2.2215KTL-H3(MBUS-12)45967,618055555645967,618055555645967,65625</t>
  </si>
  <si>
    <t>BC Caiaponia2.2215KTL-H3(MBUS-13)45967,618055555645967,618055555645967,65625</t>
  </si>
  <si>
    <t>BC Caiaponia2.2215KTL-H3(MBUS-14)45967,618055555645967,618055555645967,65625</t>
  </si>
  <si>
    <t>BC Caiaponia2.2215KTL-H3(MBUS-15)45967,618055555645967,618055555645967,65625</t>
  </si>
  <si>
    <t>BC Caiaponia2.2215KTL-H3(MBUS-16)45967,618055555645967,618055555645967,65625</t>
  </si>
  <si>
    <t>BC Caiaponia2.3215KTL-H3(MBUS-12)45967,618055555645967,618055555645967,65625</t>
  </si>
  <si>
    <t>BC Caiaponia2.3215KTL-H3(MBUS-13)45967,618055555645967,618055555645967,65625</t>
  </si>
  <si>
    <t>BC Caiaponia2.3215KTL-H3(MBUS-14)45967,618055555645967,618055555645967,65625</t>
  </si>
  <si>
    <t>BC Caiaponia2.3215KTL-H3(MBUS-15)45967,618055555645967,618055555645967,65625</t>
  </si>
  <si>
    <t>BC Caiaponia2.3215KTL-H3(MBUS-16)45967,618055555645967,618055555645967,65625</t>
  </si>
  <si>
    <t>BC Rio Monte1Inverter3845967,618055555645967,618055555645967,7027777778</t>
  </si>
  <si>
    <t>BC Rio Monte1Inverter3745967,618055555645967,618055555645967,7027777778</t>
  </si>
  <si>
    <t>BC Rio Monte1Inverter4345967,618055555645967,618055555645967,7027777778</t>
  </si>
  <si>
    <t>BC Rio Monte1Inverter4245967,618055555645967,618055555645967,7027777778</t>
  </si>
  <si>
    <t>BC Rio Monte1Inverter4545967,618055555645967,618055555645967,7027777778</t>
  </si>
  <si>
    <t>BC Rio Monte1Inverter4445967,618055555645967,618055555645967,7027777778</t>
  </si>
  <si>
    <t>BC Rio Monte1Inverter4645967,618055555645967,618055555645967,7027777778</t>
  </si>
  <si>
    <t>BC Rio Monte1Inverter4145967,618055555645967,618055555645967,7027777778</t>
  </si>
  <si>
    <t>BC Rio Monte1Inverter4745967,618055555645967,618055555645967,7027777778</t>
  </si>
  <si>
    <t>BC Rio Monte1Inverter3545967,618055555645967,618055555645967,7027777778</t>
  </si>
  <si>
    <t>BC Rio Monte1Inverter3645967,618055555645967,618055555645967,7027777778</t>
  </si>
  <si>
    <t>BC Rio Monte1Inverter3145967,618055555645967,618055555645967,7027777778</t>
  </si>
  <si>
    <t>BC Rio Monte1Inverter3345967,618055555645967,618055555645967,7027777778</t>
  </si>
  <si>
    <t>BC Rio Monte1Inverter3945967,618055555645967,618055555645967,7027777778</t>
  </si>
  <si>
    <t>BC Rio Monte1Inverter3245967,618055555645967,618055555645967,7027777778</t>
  </si>
  <si>
    <t>BC Rio Monte1Inverter4045967,618055555645967,618055555645967,7027777778</t>
  </si>
  <si>
    <t>BC Rio Monte1Inverter3445967,618055555645967,618055555645967,7027777778</t>
  </si>
  <si>
    <t>BC Aracu5.1Inverter(MBUS-1)45968,2545968,2545968,2854166667</t>
  </si>
  <si>
    <t>BC Aracu5.2Inverter(MBUS-1)45968,2545968,2545968,2854166667</t>
  </si>
  <si>
    <t>BC Aracu5.3Inverter(MBUS-1)45968,2545968,2545968,2854166667</t>
  </si>
  <si>
    <t>BC Aracu5.4Inverter(MBUS-1)45968,2545968,2545968,2854166667</t>
  </si>
  <si>
    <t>BC Aracu5.5Inverter(MBUS-1)45968,2545968,2545968,2854166667</t>
  </si>
  <si>
    <t>BC Aracu5.1Inverter(MBUS-1)45968,377777777845968,377777777845968,3847222222</t>
  </si>
  <si>
    <t>BC Aracu5.2Inverter(MBUS-1)45968,377777777845968,377777777845968,3847222222</t>
  </si>
  <si>
    <t>BC Aracu5.3Inverter(MBUS-1)45968,377777777845968,377777777845968,3847222222</t>
  </si>
  <si>
    <t>BC Aracu5.4Inverter(MBUS-1)45968,377777777845968,377777777845968,3847222222</t>
  </si>
  <si>
    <t>BC Aracu5.5Inverter(MBUS-1)45968,377777777845968,377777777845968,3847222222</t>
  </si>
  <si>
    <t>BC Clareira1.1Inverter(MBUS-12)45968,440972222245968,440972222245968,4479166667</t>
  </si>
  <si>
    <t>BC Clareira1.1Inverter(MBUS-13)45968,440972222245968,440972222245968,4479166667</t>
  </si>
  <si>
    <t>BC Clareira1.1	Inverter(MBUS-14)45968,440972222245968,440972222245968,4479166667</t>
  </si>
  <si>
    <t>BC Clareira1.1	Inverter(MBUS-15)45968,440972222245968,440972222245968,4479166667</t>
  </si>
  <si>
    <t>BC Clareira1.1Inverter(MBUS-16)45968,440972222245968,440972222245968,4479166667</t>
  </si>
  <si>
    <t>BC Clareira1.2	215KTL-H3(MBUS-12)45968,440972222245968,440972222245968,4479166667</t>
  </si>
  <si>
    <t>BC Clareira1.2	215KTL-H3(MBUS-13)45968,440972222245968,440972222245968,4479166667</t>
  </si>
  <si>
    <t>BC Clareira1.2100KTL-H1(MBUS-14)45968,440972222245968,440972222245968,4479166667</t>
  </si>
  <si>
    <t>BC Clareira1.1Inverter(MBUS-12)45968,511805555645968,511805555645968,5451388889</t>
  </si>
  <si>
    <t>BC Clareira1.1Inverter(MBUS-13)45968,511805555645968,511805555645968,5451388889</t>
  </si>
  <si>
    <t>BC Clareira1.1	Inverter(MBUS-14)45968,511805555645968,511805555645968,5451388889</t>
  </si>
  <si>
    <t>BC Clareira1.1	Inverter(MBUS-15)45968,511805555645968,511805555645968,5451388889</t>
  </si>
  <si>
    <t>BC Clareira1.1Inverter(MBUS-16)45968,511805555645968,511805555645968,5451388889</t>
  </si>
  <si>
    <t>BC Clareira1.2	215KTL-H3(MBUS-12)45968,511805555645968,511805555645968,5451388889</t>
  </si>
  <si>
    <t>BC Clareira1.2	215KTL-H3(MBUS-13)45968,511805555645968,511805555645968,5451388889</t>
  </si>
  <si>
    <t>BC Clareira1.2100KTL-H1(MBUS-14)45968,511805555645968,511805555645968,5451388889</t>
  </si>
  <si>
    <t xml:space="preserve">Foi realizado o desligamento programado da subestação devido à finalização da instalação do sistema de escada, executado pela empresa EcoSet. A intervenção foi necessária para a passagem dos cabos de comunicação entre o cubículo de proteção e os cubículos de medição. Para realizar essa atividade com segurança, foi indispensável o acesso interno aos cubículos, exigindo o desligamento total da subestação.
</t>
  </si>
  <si>
    <t>Ações Executadas:  
- Desligamento seguro da subestação.  
- Liberação de acesso aos cubículos.  
- Início da passagem dos cabos de comunicação.  
- Acompanhamento técnico da execução.
. conclusão do trabalho foi passado os cabo de comunicação nos cúbiculo das UFV 2.1 2.2 2.3</t>
  </si>
  <si>
    <t>BC Formoso2.1Inverter(MBUS-12)45969,506944444445969,506944444445969,6083333333</t>
  </si>
  <si>
    <t>BC Formoso2.1Inverter(MBUS-14)45969,506944444445969,506944444445969,6083333333</t>
  </si>
  <si>
    <t>BC Formoso2.1Inverter(MBUS-13)45969,506944444445969,506944444445969,6083333333</t>
  </si>
  <si>
    <t>BC Formoso2.1Inverter(MBUS-1)45969,506944444445969,506944444445969,6083333333</t>
  </si>
  <si>
    <t>BC Formoso2.2Inverter(MBUS-14)45969,506944444445969,506944444445969,6083333333</t>
  </si>
  <si>
    <t>BC Formoso2.2Inverter(MBUS-13)45969,506944444445969,506944444445969,6083333333</t>
  </si>
  <si>
    <t>BC Formoso2.2Inverter(MBUS-12)45969,506944444445969,506944444445969,6083333333</t>
  </si>
  <si>
    <t>BC Formoso2.2Inverter(MBUS-1)45969,506944444445969,506944444445969,6083333333</t>
  </si>
  <si>
    <t>BC Formoso2.3Inverter(MBUS-13)45969,506944444445969,506944444445969,6083333333</t>
  </si>
  <si>
    <t>BC Formoso2.3Inverter(MBUS-12)45969,506944444445969,506944444445969,6083333333</t>
  </si>
  <si>
    <t>Falha na rede da concessionária.</t>
  </si>
  <si>
    <t>BC Turvania1.1Inverter(MBUS-12)45969,676388888945969,676388888945970,28125</t>
  </si>
  <si>
    <t>BC Turvania1.1Inverter(MBUS-13)45969,676388888945969,676388888945970,28125</t>
  </si>
  <si>
    <t>BC Turvania1.1Inverter(MBUS-14)45969,676388888945969,676388888945970,28125</t>
  </si>
  <si>
    <t>BC Turvania1.1Inverter(MBUS-15)45969,676388888945969,676388888945970,28125</t>
  </si>
  <si>
    <t>BC Turvania1.2Inverter(MBUS-12)45969,676388888945969,676388888945970,28125</t>
  </si>
  <si>
    <t>BC Turvania1.2Inverter(MBUS-13)45969,676388888945969,676388888945970,28125</t>
  </si>
  <si>
    <t>BC Turvania1.2Inverter(MBUS-14)45969,676388888945969,676388888945970,28125</t>
  </si>
  <si>
    <t>BC Turvania1.2Inverter(MBUS-15)45969,676388888945969,676388888945970,28125</t>
  </si>
  <si>
    <t>BC Turvania1.3Inverter(MBUS-1)45969,676388888945969,676388888945970,28125</t>
  </si>
  <si>
    <t>BC Turvania1.3Inverter(MBUS-13)45969,676388888945969,676388888945970,28125</t>
  </si>
  <si>
    <t>BC Turvania1.3Inverter(MBUS-14)45969,676388888945969,676388888945970,28125</t>
  </si>
  <si>
    <t>BC Turvania1.3Inverter(MBUS-15)45969,676388888945969,676388888945970,28125</t>
  </si>
  <si>
    <t>BC Turvania1.4Inverter(MBUS-12)45969,676388888945969,676388888945970,28125</t>
  </si>
  <si>
    <t>BC Turvania1.4Inverter(MBUS-13)45969,676388888945969,676388888945970,28125</t>
  </si>
  <si>
    <t>BC Turvania1.4Inverter(MBUS-14)45969,676388888945969,676388888945970,28125</t>
  </si>
  <si>
    <t>BC Turvania1.4Inverter(MBUS-15)45969,676388888945969,676388888945970,28125</t>
  </si>
  <si>
    <t>BC Turvania1.5Inverter(MBUS-12)45969,676388888945969,676388888945970,28125</t>
  </si>
  <si>
    <t>BC Turvania1.5Inverter(MBUS-13)45969,676388888945969,676388888945970,28125</t>
  </si>
  <si>
    <t>BC Turvania1.5Inverter(MBUS-14)45969,676388888945969,676388888945970,28125</t>
  </si>
  <si>
    <t>BC Turvania1.5Inverter(MBUS-1)45969,676388888945969,676388888945970,28125</t>
  </si>
  <si>
    <t>BC Rio Monte1Inverter3845969,725694444445969,725694444445970,2604166667</t>
  </si>
  <si>
    <t>BC Rio Monte1Inverter3745969,725694444445969,725694444445970,2604166667</t>
  </si>
  <si>
    <t>BC Rio Monte1Inverter4345969,725694444445969,725694444445970,2604166667</t>
  </si>
  <si>
    <t>BC Rio Monte1Inverter4245969,725694444445969,725694444445970,2604166667</t>
  </si>
  <si>
    <t>BC Rio Monte1Inverter4545969,725694444445969,725694444445970,2604166667</t>
  </si>
  <si>
    <t>BC Rio Monte1Inverter4445969,725694444445969,725694444445970,2604166667</t>
  </si>
  <si>
    <t>BC Rio Monte1Inverter4645969,725694444445969,725694444445970,2604166667</t>
  </si>
  <si>
    <t>BC Rio Monte1Inverter4145969,725694444445969,725694444445970,2604166667</t>
  </si>
  <si>
    <t>BC Rio Monte1Inverter4745969,725694444445969,725694444445970,2604166667</t>
  </si>
  <si>
    <t>BC Rio Monte1Inverter3545969,725694444445969,725694444445970,2604166667</t>
  </si>
  <si>
    <t>BC Rio Monte1Inverter3645969,725694444445969,725694444445970,2604166667</t>
  </si>
  <si>
    <t>BC Rio Monte1Inverter3145969,725694444445969,725694444445970,2604166667</t>
  </si>
  <si>
    <t>BC Rio Monte1Inverter3345969,725694444445969,725694444445970,2604166667</t>
  </si>
  <si>
    <t>BC Rio Monte1Inverter3945969,725694444445969,725694444445970,2604166667</t>
  </si>
  <si>
    <t>BC Rio Monte1Inverter3245969,725694444445969,725694444445970,2604166667</t>
  </si>
  <si>
    <t>BC Rio Monte1Inverter4045969,725694444445969,725694444445970,2604166667</t>
  </si>
  <si>
    <t>BC Rio Monte1Inverter3445969,725694444445969,725694444445970,2604166667</t>
  </si>
  <si>
    <t>Foi realizada a substituição da fonte de alimentação do conversor de mídia.</t>
  </si>
  <si>
    <t>BC Corumba2.1Inverter(MBUS-14)45970,2545970,2545970,375</t>
  </si>
  <si>
    <t>BC Corumba2.1Inverter(MBUS-15)45970,2545970,2545970,375</t>
  </si>
  <si>
    <t>BC Corumba2.1Inverter(MBUS-16)45970,2545970,2545970,375</t>
  </si>
  <si>
    <t>BC Corumba2.1U01. I0145970,2545970,2545970,375</t>
  </si>
  <si>
    <t>BC Corumba2.1U01. I0245970,2545970,2545970,375</t>
  </si>
  <si>
    <t>Após inspeção geral no QGBT e no cubículo, foi identificado um cabo rompido, responsável pela leitura da temperatura do transformador através do relé de proteção.</t>
  </si>
  <si>
    <t>Devido a essa falha, não era possível rearmar a UFV. Após o reparo e ajuste do cabo, foi realizado o reset e o religamento do disjuntor.</t>
  </si>
  <si>
    <t>BC Formoso1.2Inverter(MBUS-13)45970,253472222245970,253472222245971,5590277778</t>
  </si>
  <si>
    <t>DAUUFV</t>
  </si>
  <si>
    <t>BC Formoso1.2Inverter(MBUS-12)45970,253472222245970,253472222245971,5590277778</t>
  </si>
  <si>
    <t>BC Formoso1.2Inverter(MBUS-15)45970,253472222245970,253472222245971,5590277778</t>
  </si>
  <si>
    <t>BC Formoso1.2Inverter(MBUS-14)45970,253472222245970,253472222245971,5590277778</t>
  </si>
  <si>
    <t>Foi realizada inspeção e identificado que a fonte de alimentação do conversor de mídia e filtro de linha estavam queimados.</t>
  </si>
  <si>
    <t>Foi realizada a substituição dos itens e usina teve a comunicação normalizada.</t>
  </si>
  <si>
    <t>BC Rio Bonito2INV-00145970,694444444445970,694444444445970,7215277778</t>
  </si>
  <si>
    <t>BC Rio Bonito2INV-00245970,694444444445970,694444444445970,7215277778</t>
  </si>
  <si>
    <t>BC Rio Bonito2INV-00345970,694444444445970,694444444445970,7215277778</t>
  </si>
  <si>
    <t>BC Rio Bonito2INV-00445970,694444444445970,694444444445970,7215277778</t>
  </si>
  <si>
    <t>Ações Executadas:  
- Abertura imediata de chamado junto à concessionária Neoenergia.  
- Equipe técnica da concessionária realizou o restabelecimento da rede no dia seguinte.  
- Inspeção em campo foi realizada para verificação dos sistemas.  
- A operação foi parcialmente restabelecida para as UFVs IV, V, VI e VIII ( nomenclatura conforme projeto ).  
- Os demais unidades consumidoras permanecem desernergizadas para perícia e manutenção.</t>
  </si>
  <si>
    <t>BC ParanoaSG60KTL(COM1-012)_001_01145970,982638888945970,982638888945988,7395833333</t>
  </si>
  <si>
    <t>DEMUFV</t>
  </si>
  <si>
    <t>BC ParanoaSG60KTL(COM1-011)_001_00545970,982638888945970,982638888945988,7395833333</t>
  </si>
  <si>
    <t>BC ParanoaSG60KTL(COM1-010)_001_00345970,982638888945970,982638888945988,7395833333</t>
  </si>
  <si>
    <t>BC ParanoaSG60KTL(COM1-018)_001_01245970,982638888945970,982638888945988,7395833333</t>
  </si>
  <si>
    <t>BC ParanoaSG60KTL(COM1-017)_001_00745970,982638888945970,982638888945988,7395833333</t>
  </si>
  <si>
    <t>BC ParanoaSG60KTL(COM1-016)_001_00645970,982638888945970,982638888945988,7395833333</t>
  </si>
  <si>
    <t>BC ParanoaSG50CX(COM2-015)_001_01745970,982638888945970,982638888945988,7395833333</t>
  </si>
  <si>
    <t>BC ParanoaSG60KTL(COM1-009)_001_00245970,982638888945970,982638888945989,6354166667</t>
  </si>
  <si>
    <t>BC ParanoaSG60KTL(COM1-008)_001_00945970,982638888945970,982638888945989,6354166667</t>
  </si>
  <si>
    <t>BC ParanoaSG60KTL(COM1-007)_001_00445970,982638888945970,982638888945989,6354166667</t>
  </si>
  <si>
    <t>BC ParanoaSG60KTL(COM1-006)_001_01445970,982638888945970,982638888945989,6354166667</t>
  </si>
  <si>
    <t>BC ParanoaSG40CX(COM2-005)_001_01545970,982638888945970,982638888945989,6354166667</t>
  </si>
  <si>
    <t>BC ParanoaSG60KTL(COM1-019)_002_00745970,982638888945970,982638888945991,9999884259</t>
  </si>
  <si>
    <t>BC ParanoaSG60KTL(COM1-020)_002_01145970,982638888945970,982638888945991,9999884259</t>
  </si>
  <si>
    <t>BC ParanoaSG60KTL(COM1-021)_002_01745970,982638888945970,982638888945991,9999884259</t>
  </si>
  <si>
    <t>BC ParanoaSG60KTL(COM1-022)_002_02045970,982638888945970,982638888945991,9999884259</t>
  </si>
  <si>
    <t>BC ParanoaSG40CX(COM2-023)_002_02445970,982638888945970,982638888945991,9999884259</t>
  </si>
  <si>
    <t>BC ParanoaSG40CX(COM2-024)_002_02245970,982638888945970,982638888945991,9999884259</t>
  </si>
  <si>
    <t>BC ParanoaSG60KTL(COM1-007)_002_01345970,982638888945970,982638888945973,3333333333</t>
  </si>
  <si>
    <t>BC ParanoaSG60KTL(COM1-008)_002_00245970,982638888945970,982638888945973,3333333333</t>
  </si>
  <si>
    <t>BC ParanoaSG60KTL(COM1-009)_002_00845970,982638888945970,982638888945973,3333333333</t>
  </si>
  <si>
    <t>BC ParanoaSG60KTL(COM1-010)_002_00345970,982638888945970,982638888945973,3333333333</t>
  </si>
  <si>
    <t>BC ParanoaSG60KTL(COM1-011)_002_01045970,982638888945970,982638888945973,3333333333</t>
  </si>
  <si>
    <t>BC ParanoaSG60KTL(COM1-012)_002_00545970,982638888945970,982638888945973,3333333333</t>
  </si>
  <si>
    <t>BC ParanoaSG60KTL(COM1-001)_002_00645970,982638888945970,982638888945973,3333333333</t>
  </si>
  <si>
    <t>BC ParanoaSG60KTL(COM1-002)_002_01645970,982638888945970,982638888945973,3333333333</t>
  </si>
  <si>
    <t>BC ParanoaSG50CX(COM2-003)_002_02145970,982638888945970,982638888945973,3333333333</t>
  </si>
  <si>
    <t>BC ParanoaSG50CX(COM2-004)_002_02345970,982638888945970,982638888945973,3333333333</t>
  </si>
  <si>
    <t>BC ParanoaSG60KTL(COM1-005)_002_00945970,982638888945970,982638888945973,3333333333</t>
  </si>
  <si>
    <t>BC ParanoaSG60KTL(COM1-006)_002_00145970,982638888945970,982638888945973,3333333333</t>
  </si>
  <si>
    <t>BC ParanoaSG60KTL(COM1-013)_002_00445970,982638888945970,982638888945991,9999884259</t>
  </si>
  <si>
    <t>BC ParanoaSG60KTL(COM1-014)_002_01945970,982638888945970,982638888945991,9999884259</t>
  </si>
  <si>
    <t>BC ParanoaSG60KTL(COM1-015)_002_01845970,982638888945970,982638888945991,9999884259</t>
  </si>
  <si>
    <t>BC ParanoaSG60KTL(COM1-016)_002_01445970,982638888945970,982638888945991,9999884259</t>
  </si>
  <si>
    <t>BC ParanoaSG60KTL(COM1-017)_002_01545970,982638888945970,982638888945991,9999884259</t>
  </si>
  <si>
    <t>BC ParanoaSG60KTL(COM1-018)_002_01245970,982638888945970,982638888945991,9999884259</t>
  </si>
  <si>
    <t>BC ParanoaSG50CX(COM2-004)_001_01845970,982638888945970,982638888945973,3333333333</t>
  </si>
  <si>
    <t>BC ParanoaSG50CX(COM2-003)_001_01645970,982638888945970,982638888945973,3333333333</t>
  </si>
  <si>
    <t>BC ParanoaSG60KTL(COM1-002)_001_00845970,982638888945970,982638888945973,3333333333</t>
  </si>
  <si>
    <t>BC ParanoaSG60KTL(COM1-014)_001_01345970,982638888945970,982638888945988,7395833333</t>
  </si>
  <si>
    <t>BC ParanoaSG60KTL(COM1-013)_001_01045970,982638888945970,982638888945988,7395833333</t>
  </si>
  <si>
    <t>BC Rio Monte1Inverter3845971,255555555645971,255555555645971,3854166667</t>
  </si>
  <si>
    <t>BC Rio Monte1Inverter3745971,255555555645971,255555555645971,3854166667</t>
  </si>
  <si>
    <t>BC Rio Monte1Inverter4345971,255555555645971,255555555645971,3854166667</t>
  </si>
  <si>
    <t>BC Rio Monte1Inverter4245971,255555555645971,255555555645971,3854166667</t>
  </si>
  <si>
    <t>BC Rio Monte1Inverter4545971,255555555645971,255555555645971,3854166667</t>
  </si>
  <si>
    <t>BC Rio Monte1Inverter4445971,255555555645971,255555555645971,3854166667</t>
  </si>
  <si>
    <t>BC Rio Monte1Inverter4645971,255555555645971,255555555645971,3854166667</t>
  </si>
  <si>
    <t>BC Rio Monte1Inverter4145971,255555555645971,255555555645971,3854166667</t>
  </si>
  <si>
    <t>BC Rio Monte1Inverter4745971,255555555645971,255555555645971,3854166667</t>
  </si>
  <si>
    <t>BC Rio Monte1Inverter3545971,255555555645971,255555555645971,3854166667</t>
  </si>
  <si>
    <t>BC Rio Monte1Inverter3645971,255555555645971,255555555645971,3854166667</t>
  </si>
  <si>
    <t>BC Rio Monte1Inverter3145971,255555555645971,255555555645971,3854166667</t>
  </si>
  <si>
    <t>BC Rio Monte1Inverter3345971,255555555645971,255555555645971,3854166667</t>
  </si>
  <si>
    <t>BC Rio Monte1Inverter3945971,255555555645971,255555555645971,3854166667</t>
  </si>
  <si>
    <t>BC Rio Monte1Inverter3245971,255555555645971,255555555645971,3854166667</t>
  </si>
  <si>
    <t>BC Rio Monte1Inverter4045971,255555555645971,255555555645971,3854166667</t>
  </si>
  <si>
    <t>BC Rio Monte1Inverter3445971,255555555645971,255555555645971,3854166667</t>
  </si>
  <si>
    <t>BC Caiaponia1SG60KTL(COM1-001)_001_00745971,259027777845971,259027777845971,3194444444</t>
  </si>
  <si>
    <t>BC Caiaponia1SG60KTL(COM1-002)_001_01045971,259027777845971,259027777845971,3194444444</t>
  </si>
  <si>
    <t>BC Caiaponia1SG60KTL(COM1-003)_001_01145971,259027777845971,259027777845971,3194444444</t>
  </si>
  <si>
    <t>BC Caiaponia1SG60KTL(COM1-004)_001_01445971,259027777845971,259027777845971,3194444444</t>
  </si>
  <si>
    <t>BC Caiaponia1SG60KTL(COM1-005)_001_01745971,259027777845971,259027777845971,3194444444</t>
  </si>
  <si>
    <t>BC Caiaponia1SG60KTL(COM1-006)_001_01645971,259027777845971,259027777845971,3194444444</t>
  </si>
  <si>
    <t>BC Caiaponia1SG60KTL(COM1-007)_001_01345971,259027777845971,259027777845971,3194444444</t>
  </si>
  <si>
    <t>BC Caiaponia1SG60KTL(COM1-008)_001_00145971,259027777845971,259027777845971,3194444444</t>
  </si>
  <si>
    <t>BC Caiaponia1SG60KTL(COM1-009)45971,259027777845971,259027777845971,3194444444</t>
  </si>
  <si>
    <t>BC Caiaponia1SG60KTL(COM1-010)45971,259027777845971,259027777845971,3194444444</t>
  </si>
  <si>
    <t>BC Caiaponia1SG60KTL(COM1-011)45971,259027777845971,259027777845971,3194444444</t>
  </si>
  <si>
    <t>BC Caiaponia1SG60KTL(COM1-012)45971,259027777845971,259027777845971,3194444444</t>
  </si>
  <si>
    <t>BC Caiaponia1SG60KTL(COM1-013)45971,259027777845971,259027777845971,3194444444</t>
  </si>
  <si>
    <t>BC Caiaponia1SG60KTL(COM1-014)45971,259027777845971,259027777845971,3194444444</t>
  </si>
  <si>
    <t>BC Caiaponia1SG60KTL(COM1-015)45971,259027777845971,259027777845971,3194444444</t>
  </si>
  <si>
    <t>BC Caiaponia1SG60KTL(COM3-016)_001_00945971,259027777845971,259027777845971,3194444444</t>
  </si>
  <si>
    <t>BC Caiaponia1SG60KTL(COM3-017)_001_01245971,259027777845971,259027777845971,3194444444</t>
  </si>
  <si>
    <t>BC Caiaponia1SG60KTL(COM3-018)_001_00845971,259027777845971,259027777845971,3194444444</t>
  </si>
  <si>
    <t>BC Caiaponia1SG60KTL(COM3-019)_001_01945971,259027777845971,259027777845971,3194444444</t>
  </si>
  <si>
    <t>BC Caiaponia1SG60KTL(COM3-020)_001_02045971,259027777845971,259027777845971,3194444444</t>
  </si>
  <si>
    <t>BC Caiaponia1SG60KTL(COM2-026)45971,259027777845971,259027777845971,3194444444</t>
  </si>
  <si>
    <t>BC Caiaponia1SG60KTL(COM2-027)45971,259027777845971,259027777845971,3194444444</t>
  </si>
  <si>
    <t>BC Caiaponia1SG60KTL(COM2-028)45971,259027777845971,259027777845971,3194444444</t>
  </si>
  <si>
    <t>BC Caiaponia1SG60KTL(COM2-029)45971,259027777845971,259027777845971,3194444444</t>
  </si>
  <si>
    <t>BC Caiaponia1SG50CX(COM1-021)45971,259027777845971,259027777845971,3194444444</t>
  </si>
  <si>
    <t>BC Caiaponia1SG50CX(COM1-022)45971,259027777845971,259027777845971,3194444444</t>
  </si>
  <si>
    <t>BC Caiaponia1SG50CX(COM1-023)45971,259027777845971,259027777845971,3194444444</t>
  </si>
  <si>
    <t>BC Caiaponia1SG50CX(COM1-024)45971,259027777845971,259027777845971,3194444444</t>
  </si>
  <si>
    <t>BC Caiaponia1SG50CX(COM1-025)45971,259027777845971,259027777845971,3194444444</t>
  </si>
  <si>
    <t>BC Aracu1Inverter8145971,262187545971,262187545971,266087963</t>
  </si>
  <si>
    <t>BC Aracu1Inverter7945971,262187545971,262187545971,2656944444</t>
  </si>
  <si>
    <t>BC Aracu1Inverter8245971,262187545971,262187545971,2660648148</t>
  </si>
  <si>
    <t>BC Aracu1Inverter8445971,262187545971,262187545971,2660648148</t>
  </si>
  <si>
    <t>BC Aracu1Inversor 0645971,262187545971,262187545971,2661342593</t>
  </si>
  <si>
    <t>BC Aracu1Inverter7845971,262187545971,262187545971,2660648148</t>
  </si>
  <si>
    <t>BC Aracu1Inverter8345971,262187545971,262187545971,2661111111</t>
  </si>
  <si>
    <t>BC Caiaponia2.1215KTL-H3(MBUS-12)45971,263888888945971,263888888945971,3229166667</t>
  </si>
  <si>
    <t>BC Caiaponia2.1215KTL-H3(MBUS-13)45971,263888888945971,263888888945971,3229166667</t>
  </si>
  <si>
    <t>BC Caiaponia2.1215KTL-H3(MBUS-14)45971,263888888945971,263888888945971,3229166667</t>
  </si>
  <si>
    <t>BC Caiaponia2.1215KTL-H3(MBUS-15)45971,263888888945971,263888888945971,3229166667</t>
  </si>
  <si>
    <t>BC Caiaponia2.1215KTL-H3(MBUS-16)45971,263888888945971,263888888945971,3229166667</t>
  </si>
  <si>
    <t>BC Caiaponia2.2215KTL-H3(MBUS-12)45971,263888888945971,263888888945971,3229166667</t>
  </si>
  <si>
    <t>BC Caiaponia2.2215KTL-H3(MBUS-13)45971,263888888945971,263888888945971,3229166667</t>
  </si>
  <si>
    <t>BC Caiaponia2.2215KTL-H3(MBUS-14)45971,263888888945971,263888888945971,3229166667</t>
  </si>
  <si>
    <t>BC Caiaponia2.2215KTL-H3(MBUS-15)45971,263888888945971,263888888945971,3229166667</t>
  </si>
  <si>
    <t>BC Caiaponia2.2215KTL-H3(MBUS-16)45971,263888888945971,263888888945971,3229166667</t>
  </si>
  <si>
    <t>BC Caiaponia2.3215KTL-H3(MBUS-12)45971,263888888945971,263888888945971,3229166667</t>
  </si>
  <si>
    <t>BC Caiaponia2.3215KTL-H3(MBUS-13)45971,263888888945971,263888888945971,3229166667</t>
  </si>
  <si>
    <t>BC Caiaponia2.3215KTL-H3(MBUS-14)45971,263888888945971,263888888945971,3229166667</t>
  </si>
  <si>
    <t>BC Caiaponia2.3215KTL-H3(MBUS-15)45971,263888888945971,263888888945971,3229166667</t>
  </si>
  <si>
    <t>BC Caiaponia2.3215KTL-H3(MBUS-16)45971,263888888945971,263888888945971,3229166667</t>
  </si>
  <si>
    <t>O looger estava desatualizado.</t>
  </si>
  <si>
    <t>Foi aberto um chamado na HUAWEI , e foi feito a configuração do looger.</t>
  </si>
  <si>
    <t>BC Caiaponia2.2215KTL-H3(MBUS-13)45972,2545972,2545974,6388888889</t>
  </si>
  <si>
    <t>BC Caiaponia2.2215KTL-H3(MBUS-14)45972,2545972,2545974,6388888889</t>
  </si>
  <si>
    <t>BC Caiaponia2.2215KTL-H3(MBUS-15)45972,2545972,2545974,6388888889</t>
  </si>
  <si>
    <t>BC Caiaponia2.2215KTL-H3(MBUS-12)45972,2545972,2545974,6388888889</t>
  </si>
  <si>
    <t>BC Caiaponia2.2215KTL-H3(MBUS-16)45972,2545972,2545974,6388888889</t>
  </si>
  <si>
    <t>Falha 47 atuada no relé.</t>
  </si>
  <si>
    <t>BC Formoso1.2Inverter(MBUS-13)45972,253472222245972,253472222245972,3298611111</t>
  </si>
  <si>
    <t>BC Formoso1.2Inverter(MBUS-12)45972,253472222245972,253472222245972,3298611111</t>
  </si>
  <si>
    <t>BC Formoso1.2Inverter(MBUS-15)45972,253472222245972,253472222245972,3298611111</t>
  </si>
  <si>
    <t>BC Formoso1.2Inverter(MBUS-14)45972,253472222245972,253472222245972,3298611111</t>
  </si>
  <si>
    <t>BC Aracu1Inverter7945972,25453703745972,25453703745972,2614930556</t>
  </si>
  <si>
    <t>BC Aracu1Inverter8145972,254652777845972,254652777845972,2616782407</t>
  </si>
  <si>
    <t>BC Aracu1Inverter8445972,254687545972,254687545972,2617013889</t>
  </si>
  <si>
    <t>BC Aracu1Inverter7845972,254768518545972,254768518545972,261712963</t>
  </si>
  <si>
    <t>BC Aracu1Inversor 0645972,25483796345972,25483796345972,261875</t>
  </si>
  <si>
    <t>Inversores desligados devido à manutenção programada do transformador e do religador da unidade.</t>
  </si>
  <si>
    <t>Após manutenção, usina foi normalizada.</t>
  </si>
  <si>
    <t>BC Rio Monte1Inverter3845972,305555555645972,305555555645972,70625</t>
  </si>
  <si>
    <t>BC Rio Monte1Inverter3745972,305555555645972,305555555645972,70625</t>
  </si>
  <si>
    <t>BC Rio Monte1Inverter4345972,305555555645972,305555555645972,70625</t>
  </si>
  <si>
    <t>BC Rio Monte1Inverter4245972,305555555645972,305555555645972,70625</t>
  </si>
  <si>
    <t>BC Rio Monte1Inverter4545972,305555555645972,305555555645972,70625</t>
  </si>
  <si>
    <t>BC Rio Monte1Inverter4445972,305555555645972,305555555645972,70625</t>
  </si>
  <si>
    <t>BC Rio Monte1Inverter4645972,305555555645972,305555555645972,70625</t>
  </si>
  <si>
    <t>Foi realizada inspeção e identificado que o filtro de linha estava queimado.</t>
  </si>
  <si>
    <t>Foi realizada a substituição e usina teve a comunicação normalizada.</t>
  </si>
  <si>
    <t>BC Rio Bonito2INV-00145972,470833333345972,470833333345972,6909722222</t>
  </si>
  <si>
    <t>BC Rio Bonito2INV-00245972,470833333345972,470833333345972,6909722222</t>
  </si>
  <si>
    <t>BC Rio Bonito2INV-00345972,470833333345972,470833333345972,6909722222</t>
  </si>
  <si>
    <t>BC Rio Bonito2INV-00445972,470833333345972,470833333345972,6909722222</t>
  </si>
  <si>
    <t>Perdemos o acesso a UFV Rio Monte no sistema Isolarcloud.</t>
  </si>
  <si>
    <t>Foi reportado aos colaboradores Brasol, estamos aguardando resolução. Após report, o time da Brasol compartilhou novamente a planta.</t>
  </si>
  <si>
    <t>BC Rio Monte1Inverter3845972,611805555645972,611805555645973,2465277778</t>
  </si>
  <si>
    <t>BC Rio Monte1Inverter3745972,611805555645972,611805555645973,2465277778</t>
  </si>
  <si>
    <t>BC Rio Monte1Inverter4345972,611805555645972,611805555645973,2465277778</t>
  </si>
  <si>
    <t>BC Rio Monte1Inverter4245972,611805555645972,611805555645973,2465277778</t>
  </si>
  <si>
    <t>BC Rio Monte1Inverter4545972,611805555645972,611805555645973,2465277778</t>
  </si>
  <si>
    <t>BC Rio Monte1Inverter4445972,611805555645972,611805555645973,2465277778</t>
  </si>
  <si>
    <t>BC Rio Monte1Inverter4645972,611805555645972,611805555645973,2465277778</t>
  </si>
  <si>
    <t>BC Rio Monte1Inverter4145972,611805555645972,611805555645973,2465277778</t>
  </si>
  <si>
    <t>BC Rio Monte1Inverter4745972,611805555645972,611805555645973,2465277778</t>
  </si>
  <si>
    <t>BC Rio Monte1Inverter3545972,611805555645972,611805555645973,2465277778</t>
  </si>
  <si>
    <t>BC Rio Monte1Inverter3645972,611805555645972,611805555645973,2465277778</t>
  </si>
  <si>
    <t>BC Rio Monte1Inverter3145972,611805555645972,611805555645973,2465277778</t>
  </si>
  <si>
    <t>BC Rio Monte1Inverter3345972,611805555645972,611805555645973,2465277778</t>
  </si>
  <si>
    <t>BC Rio Monte1Inverter3945972,611805555645972,611805555645973,2465277778</t>
  </si>
  <si>
    <t>BC Rio Monte1Inverter3245972,611805555645972,611805555645973,2465277778</t>
  </si>
  <si>
    <t>BC Rio Monte1Inverter4045972,611805555645972,611805555645973,2465277778</t>
  </si>
  <si>
    <t>BC Rio Monte1Inverter3445972,611805555645972,611805555645973,2465277778</t>
  </si>
  <si>
    <t>Araçu VII</t>
  </si>
  <si>
    <t>SG60KTL-ARACU_VII</t>
  </si>
  <si>
    <t>Perdemos o acesso a UFV Araçu 3 no sistema Isolarcloud.</t>
  </si>
  <si>
    <t>BC Aracu3SG60KTL-ARACU_VII45972,611805555645972,611805555645973,2465277778</t>
  </si>
  <si>
    <t>Araçu VI</t>
  </si>
  <si>
    <t>SG60KTL-ARACU_VI</t>
  </si>
  <si>
    <t>BC Aracu3SG60KTL-ARACU_VI45972,611805555645972,611805555645973,2465277778</t>
  </si>
  <si>
    <t>SG50CX-ARACU_VI</t>
  </si>
  <si>
    <t>BC Aracu3SG50CX-ARACU_VI45972,611805555645972,611805555645973,2465277778</t>
  </si>
  <si>
    <t>SG50CX-ARACU-VII</t>
  </si>
  <si>
    <t>BC Aracu3SG50CX-ARACU-VII45972,611805555645972,611805555645973,2465277778</t>
  </si>
  <si>
    <t xml:space="preserve"> Relé atuado por 86.</t>
  </si>
  <si>
    <t>BC Aracu5.1Inverter(MBUS-1)45972,742361111145972,742361111145972,7638888889</t>
  </si>
  <si>
    <t>BC Aracu5.2Inverter(MBUS-1)45972,742361111145972,742361111145972,7638888889</t>
  </si>
  <si>
    <t>BC Aracu5.3Inverter(MBUS-1)45972,742361111145972,742361111145972,7638888889</t>
  </si>
  <si>
    <t>BC Aracu5.4Inverter(MBUS-1)45972,742361111145972,742361111145972,7638888889</t>
  </si>
  <si>
    <t>BC Aracu5.5Inverter(MBUS-1)45972,742361111145972,742361111145972,7638888889</t>
  </si>
  <si>
    <t>Desligamento programado para parametrização do relé de proteção.</t>
  </si>
  <si>
    <t>Realizada inspeção, parametrização e oscilografia no relé de proteção. Após isto, foi feito inspeção em todo complexo, checado nível de tensão e realizado a manobra de normalização da geração.</t>
  </si>
  <si>
    <t>BC Formoso2.2Inverter(MBUS-14)45972,744444444445972,744444444445972,7708333333</t>
  </si>
  <si>
    <t>BC Formoso2.2Inverter(MBUS-13)45972,744444444445972,744444444445972,7708333333</t>
  </si>
  <si>
    <t>BC Formoso2.2Inverter(MBUS-12)45972,744444444445972,744444444445972,7708333333</t>
  </si>
  <si>
    <t>BC Formoso2.2Inverter(MBUS-1)45972,744444444445972,744444444445972,7708333333</t>
  </si>
  <si>
    <t>BC Formoso2.3Inverter(MBUS-13)45972,744444444445972,744444444445972,7708333333</t>
  </si>
  <si>
    <t>BC Formoso2.3Inverter(MBUS-12)45972,744444444445972,744444444445972,7708333333</t>
  </si>
  <si>
    <t>Desenergizada para parametrização do relé de proteção e inspeção no Tp auxiliar.</t>
  </si>
  <si>
    <t>Foi realizada a inspeção,parametrizaçao e avaliada a oscilografia do relé de proteção . O TP auxiliar foi retirado pra realizar ensaio o mesmo apresentou falha no seu funcionamento e foi encaminhado para garantia junto ao fabricante, Tamura.</t>
  </si>
  <si>
    <t>BC Formoso2.1Inverter(MBUS-12)45972,744444444445972,744444444445973,4479166667</t>
  </si>
  <si>
    <t>BC Formoso2.1Inverter(MBUS-14)45972,744444444445972,744444444445973,4479166667</t>
  </si>
  <si>
    <t>BC Formoso2.1Inverter(MBUS-13)45972,744444444445972,744444444445973,4479166667</t>
  </si>
  <si>
    <t>BC Formoso2.1Inverter(MBUS-1)45972,744444444445972,744444444445973,4479166667</t>
  </si>
  <si>
    <t>BC Rio Monte1Inverter3845973,2545973,2545973,2902777778</t>
  </si>
  <si>
    <t>BC Rio Monte1Inverter3745973,2545973,2545973,2902777778</t>
  </si>
  <si>
    <t>BC Rio Monte1Inverter4345973,2545973,2545973,2902777778</t>
  </si>
  <si>
    <t>BC Rio Monte1Inverter4245973,2545973,2545973,2902777778</t>
  </si>
  <si>
    <t>BC Rio Monte1Inverter4545973,2545973,2545973,2902777778</t>
  </si>
  <si>
    <t>BC Rio Monte1Inverter4445973,2545973,2545973,2902777778</t>
  </si>
  <si>
    <t>BC Rio Monte1Inverter4645973,2545973,2545973,2902777778</t>
  </si>
  <si>
    <t>BC Aracu1Inverter8445973,250532407445973,250532407445973,2743055556</t>
  </si>
  <si>
    <t>BC Aracu1Inverter7945973,256886574145973,256886574145973,2638078704</t>
  </si>
  <si>
    <t>BC Aracu1Inverter8145973,257002314845973,257002314845973,2639236111</t>
  </si>
  <si>
    <t>BC Aracu1Inverter8245973,25702546345973,25702546345973,2639814815</t>
  </si>
  <si>
    <t>BC Aracu1Inverter7845973,257048611145973,257048611145973,2639814815</t>
  </si>
  <si>
    <t>BC Aracu1Inversor 0645973,257106481545973,257106481545973,2640393519</t>
  </si>
  <si>
    <t>BC Aracu1Inverter8345973,257164351945973,257164351945973,2641203704</t>
  </si>
  <si>
    <t>BC Aracu5.1Inverter(MBUS-1)45973,263888888945973,263888888945973,2833333333</t>
  </si>
  <si>
    <t>BC Aracu5.2Inverter(MBUS-1)45973,263888888945973,263888888945973,2833333333</t>
  </si>
  <si>
    <t>BC Aracu5.3Inverter(MBUS-1)45973,263888888945973,263888888945973,2833333333</t>
  </si>
  <si>
    <t>BC Aracu5.4Inverter(MBUS-1)45973,263888888945973,263888888945973,2833333333</t>
  </si>
  <si>
    <t>BC Aracu5.5Inverter(MBUS-1)45973,263888888945973,263888888945973,2833333333</t>
  </si>
  <si>
    <t>Desligamento da UFV para execução de testes nos transformadores de média tensão e no religador. Após execução, foi realizada a manobra de energização da usina.</t>
  </si>
  <si>
    <t>BC Rio Bonito1SG36KTL-M-17_001_01745973,451388888945973,451388888945973,64375</t>
  </si>
  <si>
    <t>BC Rio Bonito1SG60KTL-10_001_01045973,451388888945973,451388888945973,64375</t>
  </si>
  <si>
    <t>BC Rio Bonito1SG60KTL-11_001_01145973,451388888945973,451388888945973,64375</t>
  </si>
  <si>
    <t>BC Rio Bonito1SG60KTL-12_001_01245973,451388888945973,451388888945973,64375</t>
  </si>
  <si>
    <t>BC Rio Bonito1SG60KTL-13_001_01345973,451388888945973,451388888945973,64375</t>
  </si>
  <si>
    <t>BC Rio Bonito1SG60KTL-14_001_01445973,451388888945973,451388888945973,64375</t>
  </si>
  <si>
    <t>BC Rio Bonito1SG60KTL-15_001_01545973,451388888945973,451388888945973,64375</t>
  </si>
  <si>
    <t>BC Rio Bonito1SG60KTL-16_001_01645973,451388888945973,451388888945973,64375</t>
  </si>
  <si>
    <t>BC Rio Bonito1SG60KTL-1_001_00145973,451388888945973,451388888945973,64375</t>
  </si>
  <si>
    <t>BC Rio Bonito1SG60KTL-2_001_00245973,451388888945973,451388888945973,64375</t>
  </si>
  <si>
    <t>BC Rio Bonito1SG60KTL-3_001_00345973,451388888945973,451388888945973,64375</t>
  </si>
  <si>
    <t>BC Rio Bonito1SG60KTL-4_001_00445973,451388888945973,451388888945973,64375</t>
  </si>
  <si>
    <t>BC Rio Bonito1SG60KTL-5_001_00545973,451388888945973,451388888945973,64375</t>
  </si>
  <si>
    <t>BC Rio Bonito1SG60KTL-6_001_00645973,451388888945973,451388888945973,64375</t>
  </si>
  <si>
    <t>BC Rio Bonito1SG60KTL-7_001_00745973,451388888945973,451388888945973,64375</t>
  </si>
  <si>
    <t>BC Rio Bonito1SG60KTL-8_001_00845973,451388888945973,451388888945973,64375</t>
  </si>
  <si>
    <t>BC Rio Bonito1SG60KTL-9_001_00945973,451388888945973,451388888945973,64375</t>
  </si>
  <si>
    <t>BC Aracu5.1Inverter(MBUS-1)45973,556944444445973,556944444445973,5604166667</t>
  </si>
  <si>
    <t>BC Aracu5.2Inverter(MBUS-1)45973,556944444445973,556944444445973,5604166667</t>
  </si>
  <si>
    <t>BC Aracu5.3Inverter(MBUS-1)45973,556944444445973,556944444445973,5604166667</t>
  </si>
  <si>
    <t>BC Aracu5.4Inverter(MBUS-1)45973,556944444445973,556944444445973,5604166667</t>
  </si>
  <si>
    <t>BC Aracu5.5Inverter(MBUS-1)45973,556944444445973,556944444445973,5604166667</t>
  </si>
  <si>
    <t>BC Rio Bonito2INV-00145973,649305555645973,649305555645973,7229166667</t>
  </si>
  <si>
    <t>BC Rio Bonito2INV-00245973,649305555645973,649305555645973,7229166667</t>
  </si>
  <si>
    <t>BC Rio Bonito2INV-00345973,649305555645973,649305555645973,7229166667</t>
  </si>
  <si>
    <t>BC Rio Bonito2INV-00445973,649305555645973,649305555645973,7229166667</t>
  </si>
  <si>
    <t>BC ParanoaSG60KTL(COM1-007)_002_01345974,0937545974,0937545974,2291666667</t>
  </si>
  <si>
    <t>BC ParanoaSG60KTL(COM1-008)_002_00245974,0937545974,0937545974,2291666667</t>
  </si>
  <si>
    <t>BC ParanoaSG60KTL(COM1-009)_002_00845974,0937545974,0937545974,2291666667</t>
  </si>
  <si>
    <t>BC ParanoaSG60KTL(COM1-010)_002_00345974,0937545974,0937545974,2291666667</t>
  </si>
  <si>
    <t>BC ParanoaSG60KTL(COM1-011)_002_01045974,0937545974,0937545974,2291666667</t>
  </si>
  <si>
    <t>BC ParanoaSG60KTL(COM1-012)_002_00545974,0937545974,0937545974,2291666667</t>
  </si>
  <si>
    <t>BC ParanoaSG60KTL(COM1-001)_002_00645974,0937545974,0937545974,2291666667</t>
  </si>
  <si>
    <t>BC ParanoaSG60KTL(COM1-002)_002_01645974,0937545974,0937545974,2291666667</t>
  </si>
  <si>
    <t>BC ParanoaSG50CX(COM2-003)_002_02145974,0937545974,0937545974,2291666667</t>
  </si>
  <si>
    <t>BC ParanoaSG50CX(COM2-004)_002_02345974,0937545974,0937545974,2291666667</t>
  </si>
  <si>
    <t>BC ParanoaSG60KTL(COM1-005)_002_00945974,0937545974,0937545974,2291666667</t>
  </si>
  <si>
    <t>BC ParanoaSG60KTL(COM1-006)_002_00145974,0937545974,0937545974,2291666667</t>
  </si>
  <si>
    <t>BC ParanoaSG50CX(COM2-004)_001_01845974,0937545974,0937545974,2291666667</t>
  </si>
  <si>
    <t>BC ParanoaSG50CX(COM2-003)_001_01645974,0937545974,0937545974,2291666667</t>
  </si>
  <si>
    <t>BC ParanoaSG60KTL(COM1-002)_001_00845974,0937545974,0937545974,2291666667</t>
  </si>
  <si>
    <t>BC Aracu1Inverter7845974,2662545974,2662545974,2812847222</t>
  </si>
  <si>
    <t>BC Aracu1Inverter8345974,2662545974,2662545974,2812847222</t>
  </si>
  <si>
    <t>BC Aracu1Inverter8245974,2662545974,2662545974,2812847222</t>
  </si>
  <si>
    <t>BC Aracu1Inverter7945974,2662545974,2662545974,2672800926</t>
  </si>
  <si>
    <t>BC Aracu1Inverter8445974,2662545974,2662545974,2812847222</t>
  </si>
  <si>
    <t>BC Aracu1Inverter8145974,2662545974,2662545974,2812847222</t>
  </si>
  <si>
    <t>BC Aracu1Inversor 0645974,2662545974,2662545974,2812847222</t>
  </si>
  <si>
    <t>Desligamento programado da Cemig para melhorias da rede.</t>
  </si>
  <si>
    <t>Após manutenção programada, usina foi normalizada.</t>
  </si>
  <si>
    <t>BC Varjao2.1215KTL-H0(MBUS-12)45974,504166666745974,504166666745974,6597222222</t>
  </si>
  <si>
    <t>BC Varjao2.1215KTL-H0(MBUS-13)45974,504166666745974,504166666745974,6597222222</t>
  </si>
  <si>
    <t>BC Varjao2.1215KTL-H0(MBUS-14)45974,504166666745974,504166666745974,6597222222</t>
  </si>
  <si>
    <t>BC Varjao2.1215KTL-H0(MBUS-15)45974,504166666745974,504166666745974,6597222222</t>
  </si>
  <si>
    <t>BC Varjao2.1215KTL-H0(MBUS-16)45974,504166666745974,504166666745974,6597222222</t>
  </si>
  <si>
    <t>BC Varjao2.2215KTL-H0(MBUS-13)45974,504166666745974,504166666745974,6597222222</t>
  </si>
  <si>
    <t>BC Varjao2.2215KTL-H0(MBUS-14)45974,504166666745974,504166666745974,6597222222</t>
  </si>
  <si>
    <t>BC Varjao2.2215KTL-H0(MBUS-15)45974,504166666745974,504166666745974,6597222222</t>
  </si>
  <si>
    <t>BC Varjao2.2215KTL-H0(MBUS-16)45974,504166666745974,504166666745974,6597222222</t>
  </si>
  <si>
    <t>BC Varjao2.2215KTL-H0(MBUS-12)45974,504166666745974,504166666745974,6597222222</t>
  </si>
  <si>
    <t>BC Varjao2.3100KTL-H1(MBUS-1)45974,504166666745974,504166666745974,6597222222</t>
  </si>
  <si>
    <t>BC Varjao2.3215KTL-H0(MBUS-13)45974,504166666745974,504166666745974,6597222222</t>
  </si>
  <si>
    <t>BC Varjao2.3215KTL-H0(MBUS-12)45974,504166666745974,504166666745974,6597222222</t>
  </si>
  <si>
    <t>BC Aracu1Inverter7945975,255173611145975,255173611145975,2700694444</t>
  </si>
  <si>
    <t>BC Aracu1Inverter8145975,255300925945975,255300925945975,2700694444</t>
  </si>
  <si>
    <t>BC Aracu1Inverter8245975,255312545975,255312545975,2700694444</t>
  </si>
  <si>
    <t>BC Aracu1Inverter8445975,255312545975,255312545975,2700694444</t>
  </si>
  <si>
    <t>BC Aracu1Inverter7845975,255324074145975,255324074145975,2700694444</t>
  </si>
  <si>
    <t>BC Aracu1Inversor 0645975,255370370445975,255370370445975,2700694444</t>
  </si>
  <si>
    <t>BC Aracu1Inverter8345975,255439814845975,255439814845975,2700694444</t>
  </si>
  <si>
    <t>BC Aracu1Inverter7945975,283796296345975,283796296345975,2907407407</t>
  </si>
  <si>
    <t>BC Aracu1Inverter8445975,283923611145975,283923611145975,2941087963</t>
  </si>
  <si>
    <t>BC Aracu1Inverter7845975,283946759345975,283946759345975,2941087963</t>
  </si>
  <si>
    <t>BC Aracu1Inverter8245975,283946759345975,283946759345975,2941087963</t>
  </si>
  <si>
    <t>BC Aracu1Inverter8145975,283958333345975,283958333345975,2908449074</t>
  </si>
  <si>
    <t>BC Aracu1Inversor 0645975,284050925945975,284050925945975,2941087963</t>
  </si>
  <si>
    <t>BC Aracu1Inverter8345975,284085648145975,284085648145975,2941087963</t>
  </si>
  <si>
    <t>BC Panama1.1CEREAL_00245975,447222222245975,447222222245975,625</t>
  </si>
  <si>
    <t>BC Panama1.1ITAPOAN 001 (COM1-001)_001_00145975,447222222245975,447222222245975,625</t>
  </si>
  <si>
    <t>BC Panama1.1ITAPOAN_00345975,447222222245975,447222222245975,625</t>
  </si>
  <si>
    <t>BC Panama1.2COOGED_00545975,447222222245975,447222222245975,625</t>
  </si>
  <si>
    <t>BC Panama1.2ART_00645975,447222222245975,447222222245975,625</t>
  </si>
  <si>
    <t>BC Panama1.2ART_00445975,447222222245975,447222222245975,625</t>
  </si>
  <si>
    <t>BC Panama1.2RADIO_00745975,447222222245975,447222222245975,625</t>
  </si>
  <si>
    <t>BC Aracu5.1Inverter(MBUS-1)45976,194444444445976,194444444445976,2604166667</t>
  </si>
  <si>
    <t>BC Aracu5.2Inverter(MBUS-1)45976,194444444445976,194444444445976,2604166667</t>
  </si>
  <si>
    <t>BC Aracu5.3Inverter(MBUS-1)45976,194444444445976,194444444445976,2604166667</t>
  </si>
  <si>
    <t>BC Aracu5.4Inverter(MBUS-1)45976,194444444445976,194444444445976,2604166667</t>
  </si>
  <si>
    <t>BC Aracu5.5Inverter(MBUS-1)45976,194444444445976,194444444445976,2604166667</t>
  </si>
  <si>
    <t>O logger parou de comunicar com o fusion solar.</t>
  </si>
  <si>
    <t>Foi realizado um reset da smartlogger.</t>
  </si>
  <si>
    <t>BC Caiaponia2.2215KTL-H3(MBUS-13)45976,270833333345976,270833333345976,3805555556</t>
  </si>
  <si>
    <t>BC Caiaponia2.2215KTL-H3(MBUS-14)45976,270833333345976,270833333345976,3805555556</t>
  </si>
  <si>
    <t>BC Caiaponia2.2215KTL-H3(MBUS-15)45976,270833333345976,270833333345976,3805555556</t>
  </si>
  <si>
    <t>BC Caiaponia2.2215KTL-H3(MBUS-12)45976,270833333345976,270833333345976,3805555556</t>
  </si>
  <si>
    <t>BC Caiaponia2.2215KTL-H3(MBUS-16)45976,270833333345976,270833333345976,3805555556</t>
  </si>
  <si>
    <t>BC Clareira1.1Inverter(MBUS-12)45976,470833333345976,470833333345976,5090277778</t>
  </si>
  <si>
    <t>BC Clareira1.1Inverter(MBUS-13)45976,470833333345976,470833333345976,5090277778</t>
  </si>
  <si>
    <t>BC Clareira1.1	Inverter(MBUS-14)45976,470833333345976,470833333345976,5090277778</t>
  </si>
  <si>
    <t>BC Clareira1.1	Inverter(MBUS-15)45976,470833333345976,470833333345976,5090277778</t>
  </si>
  <si>
    <t>BC Clareira1.1Inverter(MBUS-16)45976,470833333345976,470833333345976,5090277778</t>
  </si>
  <si>
    <t>BC Clareira1.2	215KTL-H3(MBUS-12)45976,470833333345976,470833333345976,5090277778</t>
  </si>
  <si>
    <t>BC Clareira1.2	215KTL-H3(MBUS-13)45976,470833333345976,470833333345976,5090277778</t>
  </si>
  <si>
    <t>BC Clareira1.2100KTL-H1(MBUS-14)45976,470833333345976,470833333345976,5090277778</t>
  </si>
  <si>
    <t>Falha de comunicação com a internet.</t>
  </si>
  <si>
    <t>Foi feito o reset no TP-LINK e foi notado que o disjuntor que alimenta a internet da vazante 2 encontrava-se em trip no quadro geral da subestação. Foi normalizada após identificação.</t>
  </si>
  <si>
    <t>BC Vazante2.1Inverter(MBUS-1)45976,555555555645976,555555555645976,6944444444</t>
  </si>
  <si>
    <t>BC Vazante2.1Inverter(MBUS-2)45976,555555555645976,555555555645976,6944444444</t>
  </si>
  <si>
    <t xml:space="preserve">	Inverter(MBUS-4)</t>
  </si>
  <si>
    <t>BC Vazante2.1	Inverter(MBUS-4)45976,555555555645976,555555555645976,6944444444</t>
  </si>
  <si>
    <t xml:space="preserve">	Inverter(MBUS-5)</t>
  </si>
  <si>
    <t>BC Vazante2.1	Inverter(MBUS-5)45976,555555555645976,555555555645976,6944444444</t>
  </si>
  <si>
    <t xml:space="preserve">	Inverter(MBUS-12)</t>
  </si>
  <si>
    <t>BC Vazante2.1	Inverter(MBUS-12)45976,555555555645976,555555555645976,6944444444</t>
  </si>
  <si>
    <t xml:space="preserve">	Inverter(MBUS-1)</t>
  </si>
  <si>
    <t>BC Vazante2.2	Inverter(MBUS-1)45976,555555555645976,555555555645976,6944444444</t>
  </si>
  <si>
    <t xml:space="preserve">	Inverter(MBUS-10)</t>
  </si>
  <si>
    <t>BC Vazante2.2	Inverter(MBUS-10)45976,555555555645976,555555555645976,6944444444</t>
  </si>
  <si>
    <t xml:space="preserve">	Inverter(MBUS-6)</t>
  </si>
  <si>
    <t>BC Vazante2.2	Inverter(MBUS-6)45976,555555555645976,555555555645976,6944444444</t>
  </si>
  <si>
    <t xml:space="preserve">	Inverter(MBUS-7)</t>
  </si>
  <si>
    <t>BC Vazante2.2	Inverter(MBUS-7)45976,555555555645976,555555555645976,6944444444</t>
  </si>
  <si>
    <t xml:space="preserve">	Inverter(MBUS-8)</t>
  </si>
  <si>
    <t>BC Vazante2.2	Inverter(MBUS-8)45976,555555555645976,555555555645976,6944444444</t>
  </si>
  <si>
    <t xml:space="preserve">	Inverter(MBUS-11)</t>
  </si>
  <si>
    <t>BC Vazante2.3	Inverter(MBUS-11)45976,555555555645976,555555555645976,6944444444</t>
  </si>
  <si>
    <t>BC Vazante2.3	Inverter(MBUS-12)45976,555555555645976,555555555645976,6944444444</t>
  </si>
  <si>
    <t xml:space="preserve">	Inverter(MBUS-13)</t>
  </si>
  <si>
    <t>BC Vazante2.3	Inverter(MBUS-13)45976,555555555645976,555555555645976,6944444444</t>
  </si>
  <si>
    <t>BC Aracu5.1Inverter(MBUS-1)45976,726388888945976,726388888945977,2534722222</t>
  </si>
  <si>
    <t>BC Aracu5.2Inverter(MBUS-1)45976,726388888945976,726388888945977,2534722222</t>
  </si>
  <si>
    <t>BC Aracu5.3Inverter(MBUS-1)45976,726388888945976,726388888945977,2534722222</t>
  </si>
  <si>
    <t>BC Aracu5.4Inverter(MBUS-1)45976,726388888945976,726388888945977,2534722222</t>
  </si>
  <si>
    <t>BC Aracu5.5Inverter(MBUS-1)45976,726388888945976,726388888945977,2534722222</t>
  </si>
  <si>
    <t>Falha de comunicação com o fusionsolar.</t>
  </si>
  <si>
    <t xml:space="preserve">Foi feito o reset e mudados de posição o conversor de mídia, trocando com cada um das smarts logger para verificação se poderia ser o conversor. </t>
  </si>
  <si>
    <t>BC Vazante2.1Inverter(MBUS-1)45976,731944444445976,731944444445977,4861111111</t>
  </si>
  <si>
    <t>BC Vazante2.1Inverter(MBUS-2)45976,731944444445976,731944444445977,4861111111</t>
  </si>
  <si>
    <t>BC Vazante2.1	Inverter(MBUS-4)45976,731944444445976,731944444445977,4861111111</t>
  </si>
  <si>
    <t>BC Vazante2.1	Inverter(MBUS-5)45976,731944444445976,731944444445977,4861111111</t>
  </si>
  <si>
    <t>BC Vazante2.1	Inverter(MBUS-12)45976,731944444445976,731944444445977,4861111111</t>
  </si>
  <si>
    <t>BC Vazante2.2	Inverter(MBUS-1)45976,731944444445976,731944444445977,4861111111</t>
  </si>
  <si>
    <t>BC Vazante2.2	Inverter(MBUS-10)45976,731944444445976,731944444445977,4861111111</t>
  </si>
  <si>
    <t>BC Vazante2.2	Inverter(MBUS-6)45976,731944444445976,731944444445977,4861111111</t>
  </si>
  <si>
    <t>BC Vazante2.2	Inverter(MBUS-7)45976,731944444445976,731944444445977,4861111111</t>
  </si>
  <si>
    <t>BC Vazante2.2	Inverter(MBUS-8)45976,731944444445976,731944444445977,4861111111</t>
  </si>
  <si>
    <t>BC Vazante2.3	Inverter(MBUS-11)45976,731944444445976,731944444445977,4861111111</t>
  </si>
  <si>
    <t>BC Vazante2.3	Inverter(MBUS-12)45976,731944444445976,731944444445977,4861111111</t>
  </si>
  <si>
    <t>BC Vazante2.3	Inverter(MBUS-13)45976,731944444445976,731944444445977,4861111111</t>
  </si>
  <si>
    <t>BC Caiaponia1SG60KTL(COM1-003)_001_01145977,215972164445977,215972164445977,3597222222</t>
  </si>
  <si>
    <t>BC Caiaponia1SG60KTL(COM1-004)_001_01445977,215972164445977,215972164445977,3597222222</t>
  </si>
  <si>
    <t>BC Caiaponia1SG60KTL(COM1-005)_001_01745977,215972164445977,215972164445977,3597222222</t>
  </si>
  <si>
    <t>BC Caiaponia1SG60KTL(COM1-006)_001_01645977,215972164445977,215972164445977,3597222222</t>
  </si>
  <si>
    <t>BC Caiaponia1SG60KTL(COM1-007)_001_01345977,215972164445977,215972164445977,3597222222</t>
  </si>
  <si>
    <t>BC Caiaponia1SG60KTL(COM1-008)_001_00145977,215972164445977,215972164445977,3597222222</t>
  </si>
  <si>
    <t>BC Caiaponia1SG60KTL(COM1-009)45977,215972164445977,215972164445977,3597222222</t>
  </si>
  <si>
    <t>BC Caiaponia1SG60KTL(COM1-010)45977,215972164445977,215972164445977,3597222222</t>
  </si>
  <si>
    <t>BC Caiaponia1SG60KTL(COM1-011)45977,215972164445977,215972164445977,3597222222</t>
  </si>
  <si>
    <t>BC Caiaponia1SG60KTL(COM1-012)45977,215972164445977,215972164445977,3597222222</t>
  </si>
  <si>
    <t>BC Caiaponia1SG60KTL(COM1-013)45977,215972164445977,215972164445977,3597222222</t>
  </si>
  <si>
    <t>BC Caiaponia1SG60KTL(COM1-014)45977,215972164445977,215972164445977,3597222222</t>
  </si>
  <si>
    <t>BC Caiaponia1SG60KTL(COM1-015)45977,215972164445977,215972164445977,3597222222</t>
  </si>
  <si>
    <t>BC Caiaponia1SG60KTL(COM3-016)_001_00945977,215972164445977,215972164445977,3597222222</t>
  </si>
  <si>
    <t>BC Caiaponia1SG60KTL(COM3-017)_001_01245977,215972164445977,215972164445977,3597222222</t>
  </si>
  <si>
    <t>BC Caiaponia1SG60KTL(COM3-018)_001_00845977,215972164445977,215972164445977,3597222222</t>
  </si>
  <si>
    <t>BC Caiaponia1SG60KTL(COM3-019)_001_01945977,215972164445977,215972164445977,3597222222</t>
  </si>
  <si>
    <t>BC Caiaponia1SG60KTL(COM3-020)_001_02045977,215972164445977,215972164445977,3597222222</t>
  </si>
  <si>
    <t>BC Caiaponia1SG60KTL(COM2-026)45977,215972164445977,215972164445977,3597222222</t>
  </si>
  <si>
    <t>BC Caiaponia1SG60KTL(COM2-027)45977,215972164445977,215972164445977,3597222222</t>
  </si>
  <si>
    <t>BC Caiaponia1SG60KTL(COM2-028)45977,215972164445977,215972164445977,3597222222</t>
  </si>
  <si>
    <t>BC Caiaponia1SG60KTL(COM2-029)45977,215972164445977,215972164445977,3597222222</t>
  </si>
  <si>
    <t>BC Caiaponia1SG50CX(COM1-021)45977,215972164445977,215972164445977,3597222222</t>
  </si>
  <si>
    <t>BC Caiaponia1SG50CX(COM1-022)45977,215972164445977,215972164445977,3597222222</t>
  </si>
  <si>
    <t>BC Caiaponia1SG50CX(COM1-023)45977,215972164445977,215972164445977,3597222222</t>
  </si>
  <si>
    <t>BC Caiaponia1SG50CX(COM1-024)45977,215972164445977,215972164445977,3597222222</t>
  </si>
  <si>
    <t>BC Caiaponia1SG50CX(COM1-025)45977,215972164445977,215972164445977,3597222222</t>
  </si>
  <si>
    <t>BC Caiaponia2.1215KTL-H3(MBUS-12)45977,215972164445977,215972164445977,3597222222</t>
  </si>
  <si>
    <t>BC Caiaponia2.1215KTL-H3(MBUS-13)45977,215972164445977,215972164445977,3597222222</t>
  </si>
  <si>
    <t>BC Caiaponia2.1215KTL-H3(MBUS-14)45977,215972164445977,215972164445977,3597222222</t>
  </si>
  <si>
    <t>BC Caiaponia2.1215KTL-H3(MBUS-15)45977,215972164445977,215972164445977,3597222222</t>
  </si>
  <si>
    <t>BC Caiaponia2.1215KTL-H3(MBUS-16)45977,215972164445977,215972164445977,3597222222</t>
  </si>
  <si>
    <t>BC Caiaponia2.2215KTL-H3(MBUS-12)45977,215972164445977,215972164445977,3597222222</t>
  </si>
  <si>
    <t>BC Caiaponia2.2215KTL-H3(MBUS-13)45977,215972164445977,215972164445977,3597222222</t>
  </si>
  <si>
    <t>BC Caiaponia2.2215KTL-H3(MBUS-14)45977,215972164445977,215972164445977,3597222222</t>
  </si>
  <si>
    <t>BC Caiaponia2.2215KTL-H3(MBUS-15)45977,215972164445977,215972164445977,3597222222</t>
  </si>
  <si>
    <t>BC Caiaponia2.2215KTL-H3(MBUS-16)45977,215972164445977,215972164445977,3597222222</t>
  </si>
  <si>
    <t>BC Caiaponia2.3215KTL-H3(MBUS-12)45977,215972164445977,215972164445977,3597222222</t>
  </si>
  <si>
    <t>BC Caiaponia2.3215KTL-H3(MBUS-13)45977,215972164445977,215972164445977,3597222222</t>
  </si>
  <si>
    <t>BC Caiaponia2.3215KTL-H3(MBUS-14)45977,215972164445977,215972164445977,3597222222</t>
  </si>
  <si>
    <t>BC Caiaponia2.3215KTL-H3(MBUS-15)45977,215972164445977,215972164445977,3597222222</t>
  </si>
  <si>
    <t>BC Caiaponia2.3215KTL-H3(MBUS-16)45977,215972164445977,215972164445977,3597222222</t>
  </si>
  <si>
    <t>BC Caiaponia1SG60KTL(COM1-001)_001_00745977,215972222245977,215972222245977,3597222222</t>
  </si>
  <si>
    <t>BC Caiaponia1SG60KTL(COM1-002)_001_01045977,215972222245977,215972222245977,3597222222</t>
  </si>
  <si>
    <t>BC Rio Bonito2INV-00145977,545138888945977,545138888945977,7513888889</t>
  </si>
  <si>
    <t>BC Rio Bonito2INV-00245977,545138888945977,545138888945977,7513888889</t>
  </si>
  <si>
    <t>BC Rio Bonito2INV-00345977,545138888945977,545138888945977,7513888889</t>
  </si>
  <si>
    <t>BC Rio Bonito2INV-00445977,545138888945977,545138888945977,7513888889</t>
  </si>
  <si>
    <t>BC Rio Bonito1SG36KTL-M-17_001_01745977,545138888945977,545138888945977,7513888889</t>
  </si>
  <si>
    <t>BC Rio Bonito1SG60KTL-10_001_01045977,545138888945977,545138888945977,7513888889</t>
  </si>
  <si>
    <t>BC Rio Bonito1SG60KTL-11_001_01145977,545138888945977,545138888945977,7513888889</t>
  </si>
  <si>
    <t>BC Rio Bonito1SG60KTL-12_001_01245977,545138888945977,545138888945977,7513888889</t>
  </si>
  <si>
    <t>BC Rio Bonito1SG60KTL-13_001_01345977,545138888945977,545138888945977,7513888889</t>
  </si>
  <si>
    <t>BC Rio Bonito1SG60KTL-14_001_01445977,545138888945977,545138888945977,7513888889</t>
  </si>
  <si>
    <t>BC Rio Bonito1SG60KTL-15_001_01545977,545138888945977,545138888945977,7513888889</t>
  </si>
  <si>
    <t>BC Rio Bonito1SG60KTL-16_001_01645977,545138888945977,545138888945977,7513888889</t>
  </si>
  <si>
    <t>BC Rio Bonito1SG60KTL-1_001_00145977,545138888945977,545138888945977,7513888889</t>
  </si>
  <si>
    <t>BC Rio Bonito1SG60KTL-2_001_00245977,545138888945977,545138888945977,7513888889</t>
  </si>
  <si>
    <t>BC Rio Bonito1SG60KTL-3_001_00345977,545138888945977,545138888945977,7513888889</t>
  </si>
  <si>
    <t>BC Rio Bonito1SG60KTL-4_001_00445977,545138888945977,545138888945977,7513888889</t>
  </si>
  <si>
    <t>BC Rio Bonito1SG60KTL-5_001_00545977,545138888945977,545138888945977,7513888889</t>
  </si>
  <si>
    <t>BC Rio Bonito1SG60KTL-6_001_00645977,545138888945977,545138888945977,7513888889</t>
  </si>
  <si>
    <t>BC Rio Bonito1SG60KTL-7_001_00745977,545138888945977,545138888945977,7513888889</t>
  </si>
  <si>
    <t>BC Rio Bonito1SG60KTL-8_001_00845977,545138888945977,545138888945977,7513888889</t>
  </si>
  <si>
    <t>BC Rio Bonito1SG60KTL-9_001_00945977,545138888945977,545138888945977,7513888889</t>
  </si>
  <si>
    <t>BC Rio Monte1Inverter3845977,937545977,937545978,2604166667</t>
  </si>
  <si>
    <t>BC Rio Monte1Inverter3745977,937545977,937545978,2604166667</t>
  </si>
  <si>
    <t>BC Rio Monte1Inverter4345977,937545977,937545978,2604166667</t>
  </si>
  <si>
    <t>BC Rio Monte1Inverter4245977,937545977,937545978,2604166667</t>
  </si>
  <si>
    <t>BC Rio Monte1Inverter4545977,937545977,937545978,2604166667</t>
  </si>
  <si>
    <t>BC Rio Monte1Inverter4445977,937545977,937545978,2604166667</t>
  </si>
  <si>
    <t>BC Rio Monte1Inverter4645977,937545977,937545978,2604166667</t>
  </si>
  <si>
    <t>BC Rio Monte1Inverter4145977,937545977,937545978,2604166667</t>
  </si>
  <si>
    <t>BC Rio Monte1Inverter4745977,937545977,937545978,2604166667</t>
  </si>
  <si>
    <t>BC Rio Monte1Inverter3545977,937545977,937545978,2604166667</t>
  </si>
  <si>
    <t>BC Rio Monte1Inverter3645977,937545977,937545978,2604166667</t>
  </si>
  <si>
    <t>BC Rio Monte1Inverter3145977,937545977,937545978,2604166667</t>
  </si>
  <si>
    <t>BC Rio Monte1Inverter3345977,937545977,937545978,2604166667</t>
  </si>
  <si>
    <t>BC Rio Monte1Inverter3945977,937545977,937545978,2604166667</t>
  </si>
  <si>
    <t>BC Rio Monte1Inverter3245977,937545977,937545978,2604166667</t>
  </si>
  <si>
    <t>BC Rio Monte1Inverter4045977,937545977,937545978,2604166667</t>
  </si>
  <si>
    <t>BC Rio Monte1Inverter3445977,937545977,937545978,2604166667</t>
  </si>
  <si>
    <t>BC Caiaponia1SG60KTL(COM1-001)_001_00745977,937545977,937545978,3194444444</t>
  </si>
  <si>
    <t>BC Caiaponia1SG60KTL(COM1-002)_001_01045977,937545977,937545978,3194444444</t>
  </si>
  <si>
    <t>BC Caiaponia1SG60KTL(COM1-003)_001_01145977,937545977,937545978,3194444444</t>
  </si>
  <si>
    <t>BC Caiaponia1SG60KTL(COM1-004)_001_01445977,937545977,937545978,3194444444</t>
  </si>
  <si>
    <t>BC Caiaponia1SG60KTL(COM1-005)_001_01745977,937545977,937545978,3194444444</t>
  </si>
  <si>
    <t>BC Caiaponia1SG60KTL(COM1-006)_001_01645977,937545977,937545978,3194444444</t>
  </si>
  <si>
    <t>BC Caiaponia1SG60KTL(COM1-007)_001_01345977,937545977,937545978,3194444444</t>
  </si>
  <si>
    <t>BC Caiaponia1SG60KTL(COM1-008)_001_00145977,937545977,937545978,3194444444</t>
  </si>
  <si>
    <t>BC Caiaponia1SG60KTL(COM1-009)45977,937545977,937545978,3194444444</t>
  </si>
  <si>
    <t>BC Caiaponia1SG60KTL(COM1-010)45977,937545977,937545978,3194444444</t>
  </si>
  <si>
    <t>BC Caiaponia1SG60KTL(COM1-011)45977,937545977,937545978,3194444444</t>
  </si>
  <si>
    <t>BC Caiaponia1SG60KTL(COM1-012)45977,937545977,937545978,3194444444</t>
  </si>
  <si>
    <t>BC Caiaponia1SG60KTL(COM1-013)45977,937545977,937545978,3194444444</t>
  </si>
  <si>
    <t>BC Caiaponia1SG60KTL(COM1-014)45977,937545977,937545978,3194444444</t>
  </si>
  <si>
    <t>BC Caiaponia1SG60KTL(COM1-015)45977,937545977,937545978,3194444444</t>
  </si>
  <si>
    <t>BC Caiaponia1SG60KTL(COM3-016)_001_00945977,937545977,937545978,3194444444</t>
  </si>
  <si>
    <t>BC Caiaponia1SG60KTL(COM3-017)_001_01245977,937545977,937545978,3194444444</t>
  </si>
  <si>
    <t>BC Caiaponia1SG60KTL(COM3-018)_001_00845977,937545977,937545978,3194444444</t>
  </si>
  <si>
    <t>BC Caiaponia1SG60KTL(COM3-019)_001_01945977,937545977,937545978,3194444444</t>
  </si>
  <si>
    <t>BC Caiaponia1SG60KTL(COM3-020)_001_02045977,937545977,937545978,3194444444</t>
  </si>
  <si>
    <t>BC Caiaponia1SG60KTL(COM2-026)45977,937545977,937545978,3194444444</t>
  </si>
  <si>
    <t>BC Caiaponia1SG60KTL(COM2-027)45977,937545977,937545978,3194444444</t>
  </si>
  <si>
    <t>BC Caiaponia1SG60KTL(COM2-028)45977,937545977,937545978,3194444444</t>
  </si>
  <si>
    <t>BC Caiaponia1SG60KTL(COM2-029)45977,937545977,937545978,3194444444</t>
  </si>
  <si>
    <t>BC Caiaponia1SG50CX(COM1-021)45977,937545977,937545978,3194444444</t>
  </si>
  <si>
    <t>BC Caiaponia1SG50CX(COM1-022)45977,937545977,937545978,3194444444</t>
  </si>
  <si>
    <t>BC Caiaponia1SG50CX(COM1-023)45977,937545977,937545978,3194444444</t>
  </si>
  <si>
    <t>BC Caiaponia1SG50CX(COM1-024)45977,937545977,937545978,3194444444</t>
  </si>
  <si>
    <t>BC Caiaponia1SG50CX(COM1-025)45977,937545977,937545978,3194444444</t>
  </si>
  <si>
    <t>BC Caiaponia2.1215KTL-H3(MBUS-12)45977,937545977,937545978,3194444444</t>
  </si>
  <si>
    <t>BC Caiaponia2.1215KTL-H3(MBUS-13)45977,937545977,937545978,3194444444</t>
  </si>
  <si>
    <t>BC Caiaponia2.1215KTL-H3(MBUS-14)45977,937545977,937545978,3194444444</t>
  </si>
  <si>
    <t>BC Caiaponia2.1215KTL-H3(MBUS-15)45977,937545977,937545978,3194444444</t>
  </si>
  <si>
    <t>BC Caiaponia2.1215KTL-H3(MBUS-16)45977,937545977,937545978,3194444444</t>
  </si>
  <si>
    <t>BC Caiaponia2.2215KTL-H3(MBUS-12)45977,937545977,937545978,3194444444</t>
  </si>
  <si>
    <t>BC Caiaponia2.2215KTL-H3(MBUS-13)45977,937545977,937545978,3194444444</t>
  </si>
  <si>
    <t>BC Caiaponia2.2215KTL-H3(MBUS-14)45977,937545977,937545978,3194444444</t>
  </si>
  <si>
    <t>BC Caiaponia2.2215KTL-H3(MBUS-15)45977,937545977,937545978,3194444444</t>
  </si>
  <si>
    <t>BC Caiaponia2.2215KTL-H3(MBUS-16)45977,937545977,937545978,3194444444</t>
  </si>
  <si>
    <t>BC Caiaponia2.3215KTL-H3(MBUS-12)45977,937545977,937545978,3194444444</t>
  </si>
  <si>
    <t>BC Caiaponia2.3215KTL-H3(MBUS-13)45977,937545977,937545978,3194444444</t>
  </si>
  <si>
    <t>BC Caiaponia2.3215KTL-H3(MBUS-14)45977,937545977,937545978,3194444444</t>
  </si>
  <si>
    <t>BC Caiaponia2.3215KTL-H3(MBUS-15)45977,937545977,937545978,3194444444</t>
  </si>
  <si>
    <t>BC Caiaponia2.3215KTL-H3(MBUS-16)45977,937545977,937545978,3194444444</t>
  </si>
  <si>
    <t>BC Aracu1Inverter7945978,261354166745978,261354166745978,268275463</t>
  </si>
  <si>
    <t>BC Aracu1Inverter8445978,261550925945978,261550925945978,2684953704</t>
  </si>
  <si>
    <t>BC Aracu1Inverter8145978,261620370445978,261620370445978,2685185185</t>
  </si>
  <si>
    <t>BC Aracu1Inverter8245978,261643518545978,261643518545978,2685416667</t>
  </si>
  <si>
    <t>BC Aracu1Inverter7845978,261643518545978,261643518545978,2686111111</t>
  </si>
  <si>
    <t>BC Aracu1Inversor 0645978,26171296345978,26171296345978,2686574074</t>
  </si>
  <si>
    <t>BC Aracu1Inverter8345978,261805555645978,261805555645978,2687615741</t>
  </si>
  <si>
    <t>BC Aracu1Inverter7945978,289942129645978,289942129645978,2969328704</t>
  </si>
  <si>
    <t>BC Aracu1Inverter8145978,29016203745978,29016203745978,2971296296</t>
  </si>
  <si>
    <t>BC Aracu1Inverter8445978,290173611145978,290173611145978,2971412037</t>
  </si>
  <si>
    <t>BC Aracu1Inverter8245978,290185185245978,290185185245978,2971412037</t>
  </si>
  <si>
    <t>BC Aracu1Inverter7845978,290277777845978,290277777845978,2972222222</t>
  </si>
  <si>
    <t>BC Aracu1Inversor 0645978,290347222245978,290347222245978,2972916667</t>
  </si>
  <si>
    <t>BC Aracu1Inverter8345978,290405092645978,290405092645978,2973726852</t>
  </si>
  <si>
    <t>Foi feito o reset do conversor de mídia.</t>
  </si>
  <si>
    <t>BC Vazante2.2	Inverter(MBUS-1)45978,363194444445978,363194444445978,4305555556</t>
  </si>
  <si>
    <t>BC Vazante2.2	Inverter(MBUS-10)45978,363194444445978,363194444445978,4305555556</t>
  </si>
  <si>
    <t>BC Vazante2.2	Inverter(MBUS-6)45978,363194444445978,363194444445978,4305555556</t>
  </si>
  <si>
    <t>BC Vazante2.2	Inverter(MBUS-7)45978,363194444445978,363194444445978,4305555556</t>
  </si>
  <si>
    <t>BC Vazante2.2	Inverter(MBUS-8)45978,363194444445978,363194444445978,4305555556</t>
  </si>
  <si>
    <t>BC Caiaponia1SG60KTL(COM1-001)_001_00745978,520833333345978,520833333345978,6388888889</t>
  </si>
  <si>
    <t>BC Caiaponia1SG60KTL(COM1-002)_001_01045978,520833333345978,520833333345978,6388888889</t>
  </si>
  <si>
    <t>BC Caiaponia1SG60KTL(COM1-003)_001_01145978,520833333345978,520833333345978,6388888889</t>
  </si>
  <si>
    <t>BC Caiaponia1SG60KTL(COM1-004)_001_01445978,520833333345978,520833333345978,6388888889</t>
  </si>
  <si>
    <t>BC Caiaponia1SG60KTL(COM1-005)_001_01745978,520833333345978,520833333345978,6388888889</t>
  </si>
  <si>
    <t>BC Caiaponia1SG60KTL(COM1-006)_001_01645978,520833333345978,520833333345978,6388888889</t>
  </si>
  <si>
    <t>BC Caiaponia1SG60KTL(COM1-007)_001_01345978,520833333345978,520833333345978,6388888889</t>
  </si>
  <si>
    <t>BC Caiaponia1SG60KTL(COM1-008)_001_00145978,520833333345978,520833333345978,6388888889</t>
  </si>
  <si>
    <t>BC Caiaponia1SG60KTL(COM1-009)45978,520833333345978,520833333345978,6388888889</t>
  </si>
  <si>
    <t>BC Caiaponia1SG60KTL(COM1-010)45978,520833333345978,520833333345978,6388888889</t>
  </si>
  <si>
    <t>BC Caiaponia1SG60KTL(COM1-011)45978,520833333345978,520833333345978,6388888889</t>
  </si>
  <si>
    <t>BC Caiaponia1SG60KTL(COM1-012)45978,520833333345978,520833333345978,6388888889</t>
  </si>
  <si>
    <t>BC Caiaponia1SG60KTL(COM1-013)45978,520833333345978,520833333345978,6388888889</t>
  </si>
  <si>
    <t>BC Caiaponia1SG60KTL(COM1-014)45978,520833333345978,520833333345978,6388888889</t>
  </si>
  <si>
    <t>BC Caiaponia1SG60KTL(COM1-015)45978,520833333345978,520833333345978,6388888889</t>
  </si>
  <si>
    <t>BC Caiaponia1SG60KTL(COM3-016)_001_00945978,520833333345978,520833333345978,6388888889</t>
  </si>
  <si>
    <t>BC Caiaponia1SG60KTL(COM3-017)_001_01245978,520833333345978,520833333345978,6388888889</t>
  </si>
  <si>
    <t>BC Caiaponia1SG60KTL(COM3-018)_001_00845978,520833333345978,520833333345978,6388888889</t>
  </si>
  <si>
    <t>BC Caiaponia1SG60KTL(COM3-019)_001_01945978,520833333345978,520833333345978,6388888889</t>
  </si>
  <si>
    <t>BC Caiaponia1SG60KTL(COM3-020)_001_02045978,520833333345978,520833333345978,6388888889</t>
  </si>
  <si>
    <t>BC Caiaponia1SG60KTL(COM2-026)45978,520833333345978,520833333345978,6388888889</t>
  </si>
  <si>
    <t>BC Caiaponia1SG60KTL(COM2-027)45978,520833333345978,520833333345978,6388888889</t>
  </si>
  <si>
    <t>BC Caiaponia1SG60KTL(COM2-028)45978,520833333345978,520833333345978,6388888889</t>
  </si>
  <si>
    <t>BC Caiaponia1SG60KTL(COM2-029)45978,520833333345978,520833333345978,6388888889</t>
  </si>
  <si>
    <t>BC Caiaponia1SG50CX(COM1-021)45978,520833333345978,520833333345978,6388888889</t>
  </si>
  <si>
    <t>BC Caiaponia1SG50CX(COM1-022)45978,520833333345978,520833333345978,6388888889</t>
  </si>
  <si>
    <t>BC Caiaponia1SG50CX(COM1-023)45978,520833333345978,520833333345978,6388888889</t>
  </si>
  <si>
    <t>BC Caiaponia1SG50CX(COM1-024)45978,520833333345978,520833333345978,6388888889</t>
  </si>
  <si>
    <t>BC Caiaponia1SG50CX(COM1-025)45978,520833333345978,520833333345978,6388888889</t>
  </si>
  <si>
    <t>BC Caiaponia2.1215KTL-H3(MBUS-12)45978,520833333345978,520833333345978,6388888889</t>
  </si>
  <si>
    <t>BC Caiaponia2.1215KTL-H3(MBUS-13)45978,520833333345978,520833333345978,6388888889</t>
  </si>
  <si>
    <t>BC Caiaponia2.1215KTL-H3(MBUS-14)45978,520833333345978,520833333345978,6388888889</t>
  </si>
  <si>
    <t>BC Caiaponia2.1215KTL-H3(MBUS-15)45978,520833333345978,520833333345978,6388888889</t>
  </si>
  <si>
    <t>BC Caiaponia2.1215KTL-H3(MBUS-16)45978,520833333345978,520833333345978,6388888889</t>
  </si>
  <si>
    <t>BC Caiaponia2.2215KTL-H3(MBUS-12)45978,520833333345978,520833333345978,6388888889</t>
  </si>
  <si>
    <t>BC Caiaponia2.2215KTL-H3(MBUS-13)45978,520833333345978,520833333345978,6388888889</t>
  </si>
  <si>
    <t>BC Caiaponia2.2215KTL-H3(MBUS-14)45978,520833333345978,520833333345978,6388888889</t>
  </si>
  <si>
    <t>BC Caiaponia2.2215KTL-H3(MBUS-15)45978,520833333345978,520833333345978,6388888889</t>
  </si>
  <si>
    <t>BC Caiaponia2.2215KTL-H3(MBUS-16)45978,520833333345978,520833333345978,6388888889</t>
  </si>
  <si>
    <t>BC Caiaponia2.3215KTL-H3(MBUS-12)45978,520833333345978,520833333345978,6388888889</t>
  </si>
  <si>
    <t>BC Caiaponia2.3215KTL-H3(MBUS-13)45978,520833333345978,520833333345978,6388888889</t>
  </si>
  <si>
    <t>BC Caiaponia2.3215KTL-H3(MBUS-14)45978,520833333345978,520833333345978,6388888889</t>
  </si>
  <si>
    <t>BC Caiaponia2.3215KTL-H3(MBUS-15)45978,520833333345978,520833333345978,6388888889</t>
  </si>
  <si>
    <t>BC Caiaponia2.3215KTL-H3(MBUS-16)45978,520833333345978,520833333345978,6388888889</t>
  </si>
  <si>
    <t>Foi feito o reset no conversor de mídia.</t>
  </si>
  <si>
    <t>BC Vazante2.2	Inverter(MBUS-1)45978,554861111145978,554861111145979,2916666667</t>
  </si>
  <si>
    <t>BC Vazante2.2	Inverter(MBUS-10)45978,554861111145978,554861111145979,2916666667</t>
  </si>
  <si>
    <t>BC Vazante2.2	Inverter(MBUS-6)45978,554861111145978,554861111145979,2916666667</t>
  </si>
  <si>
    <t>BC Vazante2.2	Inverter(MBUS-7)45978,554861111145978,554861111145979,2916666667</t>
  </si>
  <si>
    <t>BC Vazante2.2	Inverter(MBUS-8)45978,554861111145978,554861111145979,2916666667</t>
  </si>
  <si>
    <t>BC Aracu5.1Inverter(MBUS-1)45978,616666666745978,616666666745978,6243055556</t>
  </si>
  <si>
    <t>BC Aracu5.2Inverter(MBUS-1)45978,616666666745978,616666666745978,6243055556</t>
  </si>
  <si>
    <t>BC Aracu5.3Inverter(MBUS-1)45978,616666666745978,616666666745978,6243055556</t>
  </si>
  <si>
    <t>BC Aracu5.4Inverter(MBUS-1)45978,616666666745978,616666666745978,6243055556</t>
  </si>
  <si>
    <t>BC Aracu5.5Inverter(MBUS-1)45978,616666666745978,616666666745978,6243055556</t>
  </si>
  <si>
    <t>Identificado curto no inversor.</t>
  </si>
  <si>
    <t>BC Aracu2araçu 2.2 inversor 145978,638194444445978,638194444445986,6354166667</t>
  </si>
  <si>
    <t>BC Corumba1.1U01.I0145978,916666666745978,916666666745978,9444444444</t>
  </si>
  <si>
    <t>BC Corumba1.1U01.I0245978,916666666745978,916666666745978,9444444444</t>
  </si>
  <si>
    <t>BC Corumba1.1U01.I0345978,916666666745978,916666666745978,9444444444</t>
  </si>
  <si>
    <t>BC Corumba1.1U01.I0445978,916666666745978,916666666745978,9444444444</t>
  </si>
  <si>
    <t>BC Corumba1.1U01.I0545978,916666666745978,916666666745978,9444444444</t>
  </si>
  <si>
    <t>BC Corumba1.2U02.I0245978,916666666745978,916666666745978,9444444444</t>
  </si>
  <si>
    <t>BC Corumba1.2U02.I0145978,916666666745978,916666666745978,9444444444</t>
  </si>
  <si>
    <t>BC Corumba1.2U02.I0345978,916666666745978,916666666745978,9444444444</t>
  </si>
  <si>
    <t>BC Corumba1.2U02.I0545978,916666666745978,916666666745978,9444444444</t>
  </si>
  <si>
    <t>BC Corumba1.2U02.I0445978,916666666745978,916666666745978,9444444444</t>
  </si>
  <si>
    <t>BC Corumba1.3U03.I0145978,916666666745978,916666666745978,9444444444</t>
  </si>
  <si>
    <t>BC Corumba1.3U03.I0345978,916666666745978,916666666745978,9444444444</t>
  </si>
  <si>
    <t>BC Corumba1.3U03.I0245978,916666666745978,916666666745978,9444444444</t>
  </si>
  <si>
    <t>BC Corumba2.1U01. I0145978,916666666745978,916666666745978,9444444444</t>
  </si>
  <si>
    <t>BC Corumba2.1Inverter(MBUS-14)45978,916666666745978,916666666745978,9444444444</t>
  </si>
  <si>
    <t>BC Corumba2.1Inverter(MBUS-16)45978,916666666745978,916666666745978,9444444444</t>
  </si>
  <si>
    <t>BC Corumba2.1U01. I0245978,916666666745978,916666666745978,9444444444</t>
  </si>
  <si>
    <t>BC Corumba2.1Inverter(MBUS-15)45978,916666666745978,916666666745978,9444444444</t>
  </si>
  <si>
    <t>BC Corumba2.2U02.I0445978,916666666745978,916666666745978,9444444444</t>
  </si>
  <si>
    <t>BC Corumba2.2U02.I0545978,916666666745978,916666666745978,9444444444</t>
  </si>
  <si>
    <t>BC Corumba2.2U02.I0345978,916666666745978,916666666745978,9444444444</t>
  </si>
  <si>
    <t>BC Corumba2.2U02.I0145978,916666666745978,916666666745978,9444444444</t>
  </si>
  <si>
    <t>BC Corumba2.2U02.I0245978,916666666745978,916666666745978,9444444444</t>
  </si>
  <si>
    <t>BC Corumba2.3U03.I0345978,916666666745978,916666666745978,9444444444</t>
  </si>
  <si>
    <t>BC Corumba2.3U03.I0245978,916666666745978,916666666745978,9444444444</t>
  </si>
  <si>
    <t>BC Corumba2.3U03.I0145978,916666666745978,916666666745978,9444444444</t>
  </si>
  <si>
    <t>BC Clareira1.1Inverter(MBUS-12)45979,2062545979,2062545979,2791666667</t>
  </si>
  <si>
    <t>BC Clareira1.1Inverter(MBUS-13)45979,2062545979,2062545979,2791666667</t>
  </si>
  <si>
    <t>BC Clareira1.1	Inverter(MBUS-14)45979,2062545979,2062545979,2791666667</t>
  </si>
  <si>
    <t>BC Clareira1.1	Inverter(MBUS-15)45979,2062545979,2062545979,2791666667</t>
  </si>
  <si>
    <t>BC Clareira1.1Inverter(MBUS-16)45979,2062545979,2062545979,2791666667</t>
  </si>
  <si>
    <t>BC Clareira1.2	215KTL-H3(MBUS-12)45979,2062545979,2062545979,2791666667</t>
  </si>
  <si>
    <t>BC Clareira1.2	215KTL-H3(MBUS-13)45979,2062545979,2062545979,2791666667</t>
  </si>
  <si>
    <t>BC Clareira1.2100KTL-H1(MBUS-14)45979,2062545979,2062545979,2791666667</t>
  </si>
  <si>
    <t>Durante a verificação foi constatado que houve um desequilíbrio de tensão por parte da concessionária. Chamado 459297035 aberto.</t>
  </si>
  <si>
    <t>BC Camarao1.1Inverter(MBUS-1)45979,312545979,312545979,4861111111</t>
  </si>
  <si>
    <t>BC Camarao1.1215KTL-H3(MBUS-12)45979,312545979,312545979,4861111111</t>
  </si>
  <si>
    <t>BC Camarao1.1215KTL-H3(MBUS-13)45979,312545979,312545979,4861111111</t>
  </si>
  <si>
    <t>BC Camarao1.1215KTL-H3(MBUS-16)45979,312545979,312545979,4861111111</t>
  </si>
  <si>
    <t>BC Camarao1.1215KTL-H3(MBUS-15)45979,312545979,312545979,4861111111</t>
  </si>
  <si>
    <t>BC Camarao1.2Inv. 445979,312545979,312545979,4861111111</t>
  </si>
  <si>
    <t>BC Camarao1.2Inverter(MBUS-16)45979,312545979,312545979,4861111111</t>
  </si>
  <si>
    <t>BC Camarao1.2Inverter(MBUS-12)45979,312545979,312545979,4861111111</t>
  </si>
  <si>
    <t>BC Camarao1.2Inv. 345979,312545979,312545979,4861111111</t>
  </si>
  <si>
    <t>BC Camarao1.2Inverter(MBUS-1)45979,312545979,312545979,4861111111</t>
  </si>
  <si>
    <t>BC Camarao1.3215KTL-H3(MBUS-16)45979,312545979,312545979,4861111111</t>
  </si>
  <si>
    <t>BC Camarao1.3215KTL-H3(MBUS-14)45979,312545979,312545979,4861111111</t>
  </si>
  <si>
    <t>BC Camarao1.3215KTL-H3(MBUS-15)45979,312545979,312545979,4861111111</t>
  </si>
  <si>
    <t>BC Camarao1.3215KTL-H3(MBUS-12)45979,312545979,312545979,4861111111</t>
  </si>
  <si>
    <t>BC Camarao1.3215KTL-H3(MBUS-13)45979,312545979,312545979,4861111111</t>
  </si>
  <si>
    <t>BC Camarao1.4inv. 145979,312545979,312545979,4861111111</t>
  </si>
  <si>
    <t>BC Camarao1.4215KTL-H3(MBUS-14)45979,312545979,312545979,4861111111</t>
  </si>
  <si>
    <t>BC Camarao1.4215KTL-H3(MBUS-13)45979,312545979,312545979,4861111111</t>
  </si>
  <si>
    <t>BC Camarao1.4215KTL-H3(MBUS-16)45979,312545979,312545979,4861111111</t>
  </si>
  <si>
    <t>BC Camarao1.4215KTL-H3(MBUS-15)45979,312545979,312545979,4861111111</t>
  </si>
  <si>
    <t>BC Camarao1.5215KTL-H3(MBUS-15)45979,312545979,312545979,4861111111</t>
  </si>
  <si>
    <t>BC Camarao1.5Inverter(MBUS-1)45979,312545979,312545979,4861111111</t>
  </si>
  <si>
    <t>BC Camarao1.5215KTL-H3(MBUS-13)45979,312545979,312545979,4861111111</t>
  </si>
  <si>
    <t>BC Camarao1.5215KTL-H3(MBUS-12)45979,312545979,312545979,4861111111</t>
  </si>
  <si>
    <t>BC Camarao1.5Inverter(MBUS-14)45979,312545979,312545979,4861111111</t>
  </si>
  <si>
    <t>BC Caiaponia2.1215KTL-H3(MBUS-12)45979,396527777845979,396527777845979,4986111111</t>
  </si>
  <si>
    <t>BC Caiaponia2.1215KTL-H3(MBUS-13)45979,396527777845979,396527777845979,4986111111</t>
  </si>
  <si>
    <t>BC Caiaponia2.1215KTL-H3(MBUS-14)45979,396527777845979,396527777845979,4986111111</t>
  </si>
  <si>
    <t>BC Caiaponia2.1215KTL-H3(MBUS-15)45979,396527777845979,396527777845979,4986111111</t>
  </si>
  <si>
    <t>BC Caiaponia2.1215KTL-H3(MBUS-16)45979,396527777845979,396527777845979,4986111111</t>
  </si>
  <si>
    <t>BC Aracu5.1Inverter(MBUS-1)45979,543055555645979,543055555645979,5555555556</t>
  </si>
  <si>
    <t>BC Aracu5.2Inverter(MBUS-1)45979,543055555645979,543055555645979,5555555556</t>
  </si>
  <si>
    <t>BC Aracu5.3Inverter(MBUS-1)45979,543055555645979,543055555645979,5555555556</t>
  </si>
  <si>
    <t>BC Aracu5.4Inverter(MBUS-1)45979,543055555645979,543055555645979,5555555556</t>
  </si>
  <si>
    <t>BC Aracu5.5Inverter(MBUS-1)45979,543055555645979,543055555645979,5555555556</t>
  </si>
  <si>
    <t>Falha de conexão com o logger 1000b.</t>
  </si>
  <si>
    <t>BC Vazante1.1Inverter0145979,554166666745979,554166666745979,5694444444</t>
  </si>
  <si>
    <t>BC Vazante1.1Inverter0245979,554166666745979,554166666745979,5694444444</t>
  </si>
  <si>
    <t>BC Vazante1.1Inverter0345979,554166666745979,554166666745979,5694444444</t>
  </si>
  <si>
    <t>BC Vazante1.1Inverter0445979,554166666745979,554166666745979,5694444444</t>
  </si>
  <si>
    <t>BC Vazante1.1Inverter0545979,554166666745979,554166666745979,5694444444</t>
  </si>
  <si>
    <t>BC Vazante1.1Inverter0645979,554166666745979,554166666745979,5694444444</t>
  </si>
  <si>
    <t>BC Vazante1.1Inverter0745979,554166666745979,554166666745979,5694444444</t>
  </si>
  <si>
    <t>BC Vazante1.1Inverter0845979,554166666745979,554166666745979,5694444444</t>
  </si>
  <si>
    <t>BC Vazante1.1Inverter0945979,554166666745979,554166666745979,5694444444</t>
  </si>
  <si>
    <t>BC Vazante1.1Inverter1045979,554166666745979,554166666745979,5694444444</t>
  </si>
  <si>
    <t>BC Vazante1.1Inverter1145979,554166666745979,554166666745979,5694444444</t>
  </si>
  <si>
    <t>BC Vazante1.1Inverter1245979,554166666745979,554166666745979,5694444444</t>
  </si>
  <si>
    <t>BC Vazante1.1Inverter1345979,554166666745979,554166666745979,5694444444</t>
  </si>
  <si>
    <t>BC Vazante1.1Inverter1445979,554166666745979,554166666745979,5694444444</t>
  </si>
  <si>
    <t>BC Vazante1.1Inverter1545979,554166666745979,554166666745979,5694444444</t>
  </si>
  <si>
    <t>BC Vazante1.1Inverter1645979,554166666745979,554166666745979,5694444444</t>
  </si>
  <si>
    <t>BC Vazante1.1Inverter1745979,554166666745979,554166666745979,5694444444</t>
  </si>
  <si>
    <t>BC Vazante1.2Inverter 145979,554166666745979,554166666745979,5694444444</t>
  </si>
  <si>
    <t>BC Vazante1.2Inverter 245979,554166666745979,554166666745979,5694444444</t>
  </si>
  <si>
    <t>BC Vazante1.2Inverter 345979,554166666745979,554166666745979,5694444444</t>
  </si>
  <si>
    <t>BC Vazante1.2Inverter 445979,554166666745979,554166666745979,5694444444</t>
  </si>
  <si>
    <t>BC Vazante1.2Inverter 545979,554166666745979,554166666745979,5694444444</t>
  </si>
  <si>
    <t>BC Vazante1.2Inverter 645979,554166666745979,554166666745979,5694444444</t>
  </si>
  <si>
    <t>BC Vazante1.2Inverter 745979,554166666745979,554166666745979,5694444444</t>
  </si>
  <si>
    <t>BC Vazante1.2Inverter 845979,554166666745979,554166666745979,5694444444</t>
  </si>
  <si>
    <t>BC Vazante1.2Inverter 945979,554166666745979,554166666745979,5694444444</t>
  </si>
  <si>
    <t>BC Vazante1.2Inverter 1045979,554166666745979,554166666745979,5694444444</t>
  </si>
  <si>
    <t>BC Vazante1.2Inverter 1145979,554166666745979,554166666745979,5694444444</t>
  </si>
  <si>
    <t>BC Vazante1.2Inverter 1245979,554166666745979,554166666745979,5694444444</t>
  </si>
  <si>
    <t>BC Vazante1.2Inverter 1345979,554166666745979,554166666745979,5694444444</t>
  </si>
  <si>
    <t>BC Vazante1.2Inverter 1445979,554166666745979,554166666745979,5694444444</t>
  </si>
  <si>
    <t>BC Vazante1.2Inverter 1545979,554166666745979,554166666745979,5694444444</t>
  </si>
  <si>
    <t>BC Vazante1.2Inverter 1645979,554166666745979,554166666745979,5694444444</t>
  </si>
  <si>
    <t>BC Vazante1.2Inverter 1745979,554166666745979,554166666745979,5694444444</t>
  </si>
  <si>
    <t>BC Camarao1.1Inverter(MBUS-1)45980,246527777845980,246527777845980,3125</t>
  </si>
  <si>
    <t>BC Camarao1.1215KTL-H3(MBUS-12)45980,246527777845980,246527777845980,3125</t>
  </si>
  <si>
    <t>BC Camarao1.1215KTL-H3(MBUS-13)45980,246527777845980,246527777845980,3125</t>
  </si>
  <si>
    <t>BC Camarao1.1215KTL-H3(MBUS-16)45980,246527777845980,246527777845980,3125</t>
  </si>
  <si>
    <t>BC Camarao1.1215KTL-H3(MBUS-15)45980,246527777845980,246527777845980,3125</t>
  </si>
  <si>
    <t>BC Camarao1.2Inv. 445980,246527777845980,246527777845980,3125</t>
  </si>
  <si>
    <t>BC Camarao1.2Inverter(MBUS-16)45980,246527777845980,246527777845980,3125</t>
  </si>
  <si>
    <t>BC Camarao1.2Inverter(MBUS-12)45980,246527777845980,246527777845980,3125</t>
  </si>
  <si>
    <t>BC Camarao1.2Inv. 345980,246527777845980,246527777845980,3125</t>
  </si>
  <si>
    <t>BC Camarao1.2Inverter(MBUS-1)45980,246527777845980,246527777845980,3125</t>
  </si>
  <si>
    <t>BC Camarao1.3215KTL-H3(MBUS-16)45980,246527777845980,246527777845980,3125</t>
  </si>
  <si>
    <t>BC Camarao1.3215KTL-H3(MBUS-14)45980,246527777845980,246527777845980,3125</t>
  </si>
  <si>
    <t>BC Camarao1.3215KTL-H3(MBUS-15)45980,246527777845980,246527777845980,3125</t>
  </si>
  <si>
    <t>BC Camarao1.3215KTL-H3(MBUS-12)45980,246527777845980,246527777845980,3125</t>
  </si>
  <si>
    <t>BC Camarao1.3215KTL-H3(MBUS-13)45980,246527777845980,246527777845980,3125</t>
  </si>
  <si>
    <t>BC Camarao1.4inv. 145980,246527777845980,246527777845980,3125</t>
  </si>
  <si>
    <t>BC Camarao1.4215KTL-H3(MBUS-14)45980,246527777845980,246527777845980,3125</t>
  </si>
  <si>
    <t>BC Camarao1.4215KTL-H3(MBUS-13)45980,246527777845980,246527777845980,3125</t>
  </si>
  <si>
    <t>BC Camarao1.4215KTL-H3(MBUS-16)45980,246527777845980,246527777845980,3125</t>
  </si>
  <si>
    <t>BC Camarao1.4215KTL-H3(MBUS-15)45980,246527777845980,246527777845980,3125</t>
  </si>
  <si>
    <t>BC Camarao1.5215KTL-H3(MBUS-15)45980,246527777845980,246527777845980,3125</t>
  </si>
  <si>
    <t>BC Camarao1.5Inverter(MBUS-1)45980,246527777845980,246527777845980,3125</t>
  </si>
  <si>
    <t>BC Camarao1.5215KTL-H3(MBUS-13)45980,246527777845980,246527777845980,3125</t>
  </si>
  <si>
    <t>BC Camarao1.5215KTL-H3(MBUS-12)45980,246527777845980,246527777845980,3125</t>
  </si>
  <si>
    <t>BC Camarao1.5Inverter(MBUS-14)45980,246527777845980,246527777845980,3125</t>
  </si>
  <si>
    <t>BC Aracu1Inverter7945980,255231481545980,255231481545980,2621759259</t>
  </si>
  <si>
    <t>BC Aracu1Inverter8445980,25546296345980,25546296345980,2819791667</t>
  </si>
  <si>
    <t>BC Aracu1Inverter8245980,255486111145980,255486111145980,2819791667</t>
  </si>
  <si>
    <t>BC Aracu1Inverter8145980,255520833345980,255520833345980,2819791667</t>
  </si>
  <si>
    <t>BC Aracu1Inverter7845980,255567129645980,255567129645980,2819791667</t>
  </si>
  <si>
    <t>Falha de rede elétrica, função 50N.</t>
  </si>
  <si>
    <t>Foi realizada a inspeção na rede da concessionária resetado o relé de proteção e rearmado o disjuntor.</t>
  </si>
  <si>
    <t>ARAGUATINS 1.1Inverter(MBUS-12)45980,277777777845980,277777777845980,3194444444</t>
  </si>
  <si>
    <t>ARAGUATINS 1.1Inverter(MBUS-13)45980,277777777845980,277777777845980,3194444444</t>
  </si>
  <si>
    <t>ARAGUATINS 1.1Inverter(MBUS-14)45980,277777777845980,277777777845980,3194444444</t>
  </si>
  <si>
    <t>ARAGUATINS 1.1Inverter(MBUS-15)45980,277777777845980,277777777845980,3194444444</t>
  </si>
  <si>
    <t>ARAGUATINS 1.2Inverter(MBUS-12)45980,277777777845980,277777777845980,3194444444</t>
  </si>
  <si>
    <t>ARAGUATINS 1.2Inverter(MBUS-13)45980,277777777845980,277777777845980,3194444444</t>
  </si>
  <si>
    <t>ARAGUATINS 1.2Inverter(MBUS-14)45980,277777777845980,277777777845980,3194444444</t>
  </si>
  <si>
    <t>ARAGUATINS 1.2Inverter(MBUS-15)45980,277777777845980,277777777845980,3194444444</t>
  </si>
  <si>
    <t>ARAGUATINS 1.3Inverter(MBUS-20)45980,277777777845980,277777777845980,3194444444</t>
  </si>
  <si>
    <t>ARAGUATINS 1.3Inverter(MBUS-1)45980,277777777845980,277777777845980,3194444444</t>
  </si>
  <si>
    <t>BC Aracu1Inverter7945980,283865740745980,283865740745980,290787037</t>
  </si>
  <si>
    <t>BC Aracu1Inverter8145980,284074074145980,284074074145980,2910069444</t>
  </si>
  <si>
    <t>BC Aracu1Inverter8445980,284085648145980,284085648145980,2910300926</t>
  </si>
  <si>
    <t>BC Aracu1Inverter7845980,284131944445980,284131944445980,291087963</t>
  </si>
  <si>
    <t>BC Aracu1Inverter8245980,284131944445980,284131944445980,2910648148</t>
  </si>
  <si>
    <t>BC Aracu1Inversor 0645980,284247685245980,284247685245980,2912152778</t>
  </si>
  <si>
    <t>BC Aracu1Inverter8345980,284259259345980,284259259345980,2912384259</t>
  </si>
  <si>
    <t>BC Aracu1Inverter7945981,259456018545981,259456018545981,266400463</t>
  </si>
  <si>
    <t>BC Aracu1Inverter8445981,259502314845981,259502314845981,2664814815</t>
  </si>
  <si>
    <t>BC Aracu1Inverter8145981,259965277845981,259965277845981,2820023148</t>
  </si>
  <si>
    <t>BC Aracu1Inversor 0645981,26015046345981,26015046345981,2820023148</t>
  </si>
  <si>
    <t>BC Aracu1Inverter8245981,260196759345981,260196759345981,2820023148</t>
  </si>
  <si>
    <t>BC Aracu1Inverter7845981,260254629645981,260254629645981,2820023148</t>
  </si>
  <si>
    <t>BC Aracu1Inversor 0645981,288819444445981,288819444445981,2958333333</t>
  </si>
  <si>
    <t>BC Aracu1Inverter7845981,28890046345981,28890046345981,2957986111</t>
  </si>
  <si>
    <t>Falha 86 (relé de bloqueio)</t>
  </si>
  <si>
    <t>BC Formoso2.2Inverter(MBUS-14)45982,239583333345982,239583333345982,3125</t>
  </si>
  <si>
    <t>BC Formoso2.2Inverter(MBUS-13)45982,239583333345982,239583333345982,3125</t>
  </si>
  <si>
    <t>BC Formoso2.2Inverter(MBUS-12)45982,239583333345982,239583333345982,3125</t>
  </si>
  <si>
    <t>BC Formoso2.2Inverter(MBUS-1)45982,239583333345982,239583333345982,3125</t>
  </si>
  <si>
    <t>Falha de conexão com a smartlogger.</t>
  </si>
  <si>
    <t>BC Corumba2.2U02.I0445982,358333333345982,358333333345982,3590277778</t>
  </si>
  <si>
    <t>BC Corumba2.2U02.I0545982,358333333345982,358333333345982,3590277778</t>
  </si>
  <si>
    <t>BC Corumba2.2U02.I0345982,358333333345982,358333333345982,3590277778</t>
  </si>
  <si>
    <t>BC Corumba2.2U02.I0145982,358333333345982,358333333345982,3590277778</t>
  </si>
  <si>
    <t>BC Corumba2.2U02.I0245982,358333333345982,358333333345982,3590277778</t>
  </si>
  <si>
    <t>Desligado UFV para passagem dos cabos do Painel do sistema Scada, até o painel de controle do PMT, necessário o desligamento pela abertura da tampa traseira do cubículo, e da passagem do cabo muito próximo dos barramentos de entrada de energia.</t>
  </si>
  <si>
    <t>Desligado o disjuntor de entrada, aberto as chaves seccionadoras do poste, feito a passagem do cabos, religado e normalizado a UFV.</t>
  </si>
  <si>
    <t>BC Lencois PaulistaInverter(MBUS-12)45982,437545982,437545982,5</t>
  </si>
  <si>
    <t>BC Lencois PaulistaInverter(MBUS-13)45982,437545982,437545982,5</t>
  </si>
  <si>
    <t>BC Lencois PaulistaInverter(MBUS-14)45982,437545982,437545982,5</t>
  </si>
  <si>
    <t>BC Lencois PaulistaInverter(MBUS-15)45982,437545982,437545982,5</t>
  </si>
  <si>
    <t>Desligado UFV para passagem dos cabos do Painel do sistema Scada, até o painel de controle do PMT, necessário o desligamento pela abertura da tampa traseira do cubículo, e da passagem do cabo muito próximo dos barramentos de entrada de energia, finalização para módulo de comando remoto.</t>
  </si>
  <si>
    <t>BC Lencois PaulistaInverter(MBUS-12)45983,270833333345983,270833333345983,4305555556</t>
  </si>
  <si>
    <t>BC Lencois PaulistaInverter(MBUS-13)45983,270833333345983,270833333345983,4305555556</t>
  </si>
  <si>
    <t>BC Lencois PaulistaInverter(MBUS-14)45983,270833333345983,270833333345983,4305555556</t>
  </si>
  <si>
    <t>BC Lencois PaulistaInverter(MBUS-15)45983,270833333345983,270833333345983,4305555556</t>
  </si>
  <si>
    <t>ARAGUATINS 2.3Inverter(MBUS-12)45983,413194444445983,413194444445983,4472222222</t>
  </si>
  <si>
    <t>ARAGUATINS 2.3Inverter(MBUS-13)45983,413194444445983,413194444445983,4472222222</t>
  </si>
  <si>
    <t>BC Aracu1Inverter7945984,273182870445984,273182870445984,2801157407</t>
  </si>
  <si>
    <t>BC Aracu1Inverter8445984,273703703745984,273703703745984,3315972222</t>
  </si>
  <si>
    <t>BC Aracu1Inverter8245984,273784722245984,273784722245984,3315972222</t>
  </si>
  <si>
    <t>BC Aracu1Inverter7845984,273819444445984,273819444445984,3315972222</t>
  </si>
  <si>
    <t>BC Aracu1Inverter8145984,273831018545984,273831018545984,3315972222</t>
  </si>
  <si>
    <t>BC Aracu1Inversor 0645984,27390046345984,27390046345984,3315972222</t>
  </si>
  <si>
    <t>BC Aracu1Inverter7945984,302245370445984,302245370445984,3087384259</t>
  </si>
  <si>
    <t>Falha de conexão com a smartlogger, fonte queimada.</t>
  </si>
  <si>
    <t>Feito a troca da fonte de alimentação do conversor de midia que fica na Smart logger.</t>
  </si>
  <si>
    <t>BC Formoso1.1Inverter(MBUS-13)45985,190277777845985,190277777845985,3229166667</t>
  </si>
  <si>
    <t>BC Formoso1.1Inverter(MBUS-12)45985,190277777845985,190277777845985,3229166667</t>
  </si>
  <si>
    <t>BC Formoso1.1Inverter(MBUS-15)45985,190277777845985,190277777845985,3229166667</t>
  </si>
  <si>
    <t>BC Formoso1.1Inverter(MBUS-14)45985,190277777845985,190277777845985,3229166667</t>
  </si>
  <si>
    <t>BC Rio Bonito1SG36KTL-M-17_001_01745985,209722222245985,209722222245985,2222222222</t>
  </si>
  <si>
    <t>BC Rio Bonito1SG60KTL-10_001_01045985,209722222245985,209722222245985,2222222222</t>
  </si>
  <si>
    <t>BC Rio Bonito1SG60KTL-11_001_01145985,209722222245985,209722222245985,2222222222</t>
  </si>
  <si>
    <t>BC Rio Bonito1SG60KTL-12_001_01245985,209722222245985,209722222245985,2222222222</t>
  </si>
  <si>
    <t>BC Rio Bonito1SG60KTL-13_001_01345985,209722222245985,209722222245985,2222222222</t>
  </si>
  <si>
    <t>BC Rio Bonito1SG60KTL-14_001_01445985,209722222245985,209722222245985,2222222222</t>
  </si>
  <si>
    <t>BC Rio Bonito1SG60KTL-15_001_01545985,209722222245985,209722222245985,2222222222</t>
  </si>
  <si>
    <t>BC Rio Bonito1SG60KTL-16_001_01645985,209722222245985,209722222245985,2222222222</t>
  </si>
  <si>
    <t>BC Rio Bonito1SG60KTL-1_001_00145985,209722222245985,209722222245985,2222222222</t>
  </si>
  <si>
    <t>BC Rio Bonito1SG60KTL-2_001_00245985,209722222245985,209722222245985,2222222222</t>
  </si>
  <si>
    <t>BC Rio Bonito1SG60KTL-3_001_00345985,209722222245985,209722222245985,2222222222</t>
  </si>
  <si>
    <t>BC Rio Bonito1SG60KTL-4_001_00445985,209722222245985,209722222245985,2222222222</t>
  </si>
  <si>
    <t>BC Rio Bonito1SG60KTL-5_001_00545985,209722222245985,209722222245985,2222222222</t>
  </si>
  <si>
    <t>BC Rio Bonito1SG60KTL-6_001_00645985,209722222245985,209722222245985,2222222222</t>
  </si>
  <si>
    <t>BC Rio Bonito1SG60KTL-7_001_00745985,209722222245985,209722222245985,2222222222</t>
  </si>
  <si>
    <t>BC Rio Bonito1SG60KTL-8_001_00845985,209722222245985,209722222245985,2222222222</t>
  </si>
  <si>
    <t>BC Rio Bonito1SG60KTL-9_001_00945985,209722222245985,209722222245985,2222222222</t>
  </si>
  <si>
    <t>BC Aracu1Inverter7945985,255648148245985,255648148245985,2628472222</t>
  </si>
  <si>
    <t>BC Aracu5.1Inverter(MBUS-1)45985,355555555645985,355555555645985,3583333333</t>
  </si>
  <si>
    <t>BC Aracu5.2Inverter(MBUS-1)45985,355555555645985,355555555645985,3583333333</t>
  </si>
  <si>
    <t>BC Aracu5.3Inverter(MBUS-1)45985,355555555645985,355555555645985,3583333333</t>
  </si>
  <si>
    <t>BC Aracu5.4Inverter(MBUS-1)45985,355555555645985,355555555645985,3583333333</t>
  </si>
  <si>
    <t>BC Aracu5.5Inverter(MBUS-1)45985,355555555645985,355555555645985,3583333333</t>
  </si>
  <si>
    <t>Desligamento temporário do logger programado para sua realocação. A medida foi adotada com o objetivo de melhorar a ventilação dos inversores, já que o posicionamento anterior limitava a circulação de ar adequada.</t>
  </si>
  <si>
    <t>O logger foi instalado em um novo ponto estratégico, proporcionando melhor ventilação ao inversor que anteriormente apresentava superaquecimento devido à limitação de fluxo de ar no local.</t>
  </si>
  <si>
    <t>BC Aracu3SG60KTL-ARACU_VII45985,590277777845985,590277777845985,7222222222</t>
  </si>
  <si>
    <t>BC Aracu3SG60KTL-ARACU_VI45985,590277777845985,590277777845985,7222222222</t>
  </si>
  <si>
    <t>BC Aracu3SG50CX-ARACU_VI45985,590277777845985,590277777845985,7222222222</t>
  </si>
  <si>
    <t>BC Aracu3SG50CX-ARACU-VII45985,590277777845985,590277777845985,7222222222</t>
  </si>
  <si>
    <t>Falha 81 atuada no relé de proteção.</t>
  </si>
  <si>
    <t>BC Formoso2.1Inverter(MBUS-12)45986,229166666745986,229166666745986,3298611111</t>
  </si>
  <si>
    <t>BC Formoso2.1Inverter(MBUS-14)45986,229166666745986,229166666745986,3298611111</t>
  </si>
  <si>
    <t>BC Formoso2.1Inverter(MBUS-13)45986,229166666745986,229166666745986,3298611111</t>
  </si>
  <si>
    <t>BC Formoso2.1Inverter(MBUS-1)45986,229166666745986,229166666745986,3298611111</t>
  </si>
  <si>
    <t>BC Formoso2.2Inverter(MBUS-14)45986,229166666745986,229166666745986,3298611111</t>
  </si>
  <si>
    <t>BC Formoso2.2Inverter(MBUS-13)45986,229166666745986,229166666745986,3298611111</t>
  </si>
  <si>
    <t>BC Formoso2.2Inverter(MBUS-12)45986,229166666745986,229166666745986,3298611111</t>
  </si>
  <si>
    <t>BC Formoso2.2Inverter(MBUS-1)45986,229166666745986,229166666745986,3298611111</t>
  </si>
  <si>
    <t>BC Formoso2.3Inverter(MBUS-13)45986,229166666745986,229166666745986,3298611111</t>
  </si>
  <si>
    <t>BC Formoso2.3Inverter(MBUS-12)45986,229166666745986,229166666745986,3298611111</t>
  </si>
  <si>
    <t>BC Formoso1.1Inverter(MBUS-13)45986,229166666745986,229166666745986,3298611111</t>
  </si>
  <si>
    <t>BC Formoso1.1Inverter(MBUS-12)45986,229166666745986,229166666745986,3298611111</t>
  </si>
  <si>
    <t>BC Formoso1.1Inverter(MBUS-15)45986,229166666745986,229166666745986,3298611111</t>
  </si>
  <si>
    <t>BC Formoso1.1Inverter(MBUS-14)45986,229166666745986,229166666745986,3298611111</t>
  </si>
  <si>
    <t>BC Formoso1.2Inverter(MBUS-13)45986,229166666745986,229166666745986,3298611111</t>
  </si>
  <si>
    <t>BC Formoso1.2Inverter(MBUS-12)45986,229166666745986,229166666745986,3298611111</t>
  </si>
  <si>
    <t>BC Formoso1.2Inverter(MBUS-15)45986,229166666745986,229166666745986,3298611111</t>
  </si>
  <si>
    <t>BC Formoso1.2Inverter(MBUS-14)45986,229166666745986,229166666745986,3298611111</t>
  </si>
  <si>
    <t>BC Formoso1.3Inverter(MBUS-13)45986,229166666745986,229166666745986,3298611111</t>
  </si>
  <si>
    <t>BC Formoso1.3Inverter(MBUS-12)45986,229166666745986,229166666745986,3298611111</t>
  </si>
  <si>
    <t>BC Rio Monte1Inverter3845986,239583333345986,239583333345970,3368054977</t>
  </si>
  <si>
    <t>BC Rio Monte1Inverter3745986,239583333345986,239583333345971,3368054977</t>
  </si>
  <si>
    <t>BC Rio Monte1Inverter4345986,239583333345986,239583333345972,3368054977</t>
  </si>
  <si>
    <t>BC Rio Monte1Inverter4245986,239583333345986,239583333345973,3368054977</t>
  </si>
  <si>
    <t>BC Rio Monte1Inverter4545986,239583333345986,239583333345974,3368054977</t>
  </si>
  <si>
    <t>BC Rio Monte1Inverter4445986,239583333345986,239583333345975,3368054977</t>
  </si>
  <si>
    <t>BC Rio Monte1Inverter4645986,239583333345986,239583333345976,3368054977</t>
  </si>
  <si>
    <t>BC Rio Monte1Inverter4145986,239583333345986,239583333345977,3368054977</t>
  </si>
  <si>
    <t>BC Rio Monte1Inverter4745986,239583333345986,239583333345978,3368054977</t>
  </si>
  <si>
    <t>BC Rio Monte1Inverter3545986,239583333345986,239583333345979,3368054977</t>
  </si>
  <si>
    <t>BC Rio Monte1Inverter3645986,239583333345986,239583333345980,3368054977</t>
  </si>
  <si>
    <t>BC Rio Monte1Inverter3145986,239583333345986,239583333345981,3368054977</t>
  </si>
  <si>
    <t>BC Rio Monte1Inverter3345986,239583333345986,239583333345982,3368054977</t>
  </si>
  <si>
    <t>BC Rio Monte1Inverter3945986,239583333345986,239583333345983,3368054977</t>
  </si>
  <si>
    <t>BC Rio Monte1Inverter3245986,239583333345986,239583333345984,3368054977</t>
  </si>
  <si>
    <t>BC Rio Monte1Inverter4045986,239583333345986,239583333345985,3368054977</t>
  </si>
  <si>
    <t>BC Rio Monte1Inverter3445986,239583333345986,239583333345986,3368055556</t>
  </si>
  <si>
    <t>BC Caiaponia1SG60KTL(COM1-001)_001_00745986,239583333345986,239583333345986,3159722222</t>
  </si>
  <si>
    <t>BC Caiaponia1SG60KTL(COM1-002)_001_01045986,239583333345986,239583333345986,3159722222</t>
  </si>
  <si>
    <t>BC Caiaponia1SG60KTL(COM1-003)_001_01145986,239583333345986,239583333345986,3159722222</t>
  </si>
  <si>
    <t>BC Caiaponia1SG60KTL(COM1-004)_001_01445986,239583333345986,239583333345986,3159722222</t>
  </si>
  <si>
    <t>BC Caiaponia1SG60KTL(COM1-005)_001_01745986,239583333345986,239583333345986,3159722222</t>
  </si>
  <si>
    <t>BC Caiaponia1SG60KTL(COM1-006)_001_01645986,239583333345986,239583333345986,3159722222</t>
  </si>
  <si>
    <t>BC Caiaponia1SG60KTL(COM1-007)_001_01345986,239583333345986,239583333345986,3159722222</t>
  </si>
  <si>
    <t>BC Caiaponia1SG60KTL(COM1-008)_001_00145986,239583333345986,239583333345986,3159722222</t>
  </si>
  <si>
    <t>BC Caiaponia1SG60KTL(COM1-009)45986,239583333345986,239583333345986,3159722222</t>
  </si>
  <si>
    <t>BC Caiaponia1SG60KTL(COM1-010)45986,239583333345986,239583333345986,3159722222</t>
  </si>
  <si>
    <t>BC Caiaponia1SG60KTL(COM1-011)45986,239583333345986,239583333345986,3159722222</t>
  </si>
  <si>
    <t>BC Caiaponia1SG60KTL(COM1-012)45986,239583333345986,239583333345986,3159722222</t>
  </si>
  <si>
    <t>BC Caiaponia1SG60KTL(COM1-013)45986,239583333345986,239583333345986,3159722222</t>
  </si>
  <si>
    <t>BC Caiaponia1SG60KTL(COM1-014)45986,239583333345986,239583333345986,3159722222</t>
  </si>
  <si>
    <t>BC Caiaponia1SG60KTL(COM1-015)45986,239583333345986,239583333345986,3159722222</t>
  </si>
  <si>
    <t>BC Caiaponia1SG60KTL(COM3-016)_001_00945986,239583333345986,239583333345986,3159722222</t>
  </si>
  <si>
    <t>BC Caiaponia1SG60KTL(COM3-017)_001_01245986,239583333345986,239583333345986,3159722222</t>
  </si>
  <si>
    <t>BC Caiaponia1SG60KTL(COM3-018)_001_00845986,239583333345986,239583333345986,3159722222</t>
  </si>
  <si>
    <t>BC Caiaponia1SG60KTL(COM3-019)_001_01945986,239583333345986,239583333345986,3159722222</t>
  </si>
  <si>
    <t>BC Caiaponia1SG60KTL(COM3-020)_001_02045986,239583333345986,239583333345986,3159722222</t>
  </si>
  <si>
    <t>BC Caiaponia1SG60KTL(COM2-026)45986,239583333345986,239583333345986,3159722222</t>
  </si>
  <si>
    <t>BC Caiaponia1SG60KTL(COM2-027)45986,239583333345986,239583333345986,3159722222</t>
  </si>
  <si>
    <t>BC Caiaponia1SG60KTL(COM2-028)45986,239583333345986,239583333345986,3159722222</t>
  </si>
  <si>
    <t>BC Caiaponia1SG60KTL(COM2-029)45986,239583333345986,239583333345986,3159722222</t>
  </si>
  <si>
    <t>BC Caiaponia1SG50CX(COM1-021)45986,239583333345986,239583333345986,3159722222</t>
  </si>
  <si>
    <t>BC Caiaponia1SG50CX(COM1-022)45986,239583333345986,239583333345986,3159722222</t>
  </si>
  <si>
    <t>BC Caiaponia1SG50CX(COM1-023)45986,239583333345986,239583333345986,3159722222</t>
  </si>
  <si>
    <t>BC Caiaponia1SG50CX(COM1-024)45986,239583333345986,239583333345986,3159722222</t>
  </si>
  <si>
    <t>BC Caiaponia1SG50CX(COM1-025)45986,239583333345986,239583333345986,3159722222</t>
  </si>
  <si>
    <t>BC Caiaponia2.1215KTL-H3(MBUS-12)45986,239583333345986,239583333345986,3159722222</t>
  </si>
  <si>
    <t>BC Caiaponia2.1215KTL-H3(MBUS-13)45986,239583333345986,239583333345986,3159722222</t>
  </si>
  <si>
    <t>BC Caiaponia2.1215KTL-H3(MBUS-14)45986,239583333345986,239583333345986,3159722222</t>
  </si>
  <si>
    <t>BC Caiaponia2.1215KTL-H3(MBUS-15)45986,239583333345986,239583333345986,3159722222</t>
  </si>
  <si>
    <t>BC Caiaponia2.1215KTL-H3(MBUS-16)45986,239583333345986,239583333345986,3159722222</t>
  </si>
  <si>
    <t>BC Caiaponia2.2215KTL-H3(MBUS-12)45986,239583333345986,239583333345986,3159722222</t>
  </si>
  <si>
    <t>BC Caiaponia2.2215KTL-H3(MBUS-13)45986,239583333345986,239583333345986,3159722222</t>
  </si>
  <si>
    <t>BC Caiaponia2.2215KTL-H3(MBUS-14)45986,239583333345986,239583333345986,3159722222</t>
  </si>
  <si>
    <t>BC Caiaponia2.2215KTL-H3(MBUS-15)45986,239583333345986,239583333345986,3159722222</t>
  </si>
  <si>
    <t>BC Caiaponia2.2215KTL-H3(MBUS-16)45986,239583333345986,239583333345986,3159722222</t>
  </si>
  <si>
    <t>BC Caiaponia2.3215KTL-H3(MBUS-12)45986,239583333345986,239583333345986,3159722222</t>
  </si>
  <si>
    <t>BC Caiaponia2.3215KTL-H3(MBUS-13)45986,239583333345986,239583333345986,3159722222</t>
  </si>
  <si>
    <t>BC Caiaponia2.3215KTL-H3(MBUS-14)45986,239583333345986,239583333345986,3159722222</t>
  </si>
  <si>
    <t>BC Caiaponia2.3215KTL-H3(MBUS-15)45986,239583333345986,239583333345986,3159722222</t>
  </si>
  <si>
    <t>BC Caiaponia2.3215KTL-H3(MBUS-16)45986,239583333345986,239583333345986,3159722222</t>
  </si>
  <si>
    <t>BC Aracu1Inverter7945986,272465277845986,272465277845986,2794097222</t>
  </si>
  <si>
    <t>Inversores desligados para substituir disjuntores de 630A.</t>
  </si>
  <si>
    <t>Após manutenção, foi feito inspeção em todo complexo, checado nível de tensão e realizado a manobra de normalização da geração.</t>
  </si>
  <si>
    <t>BC Rio Monte1Inverter3745986,350694444445986,350694444445986,3993055556</t>
  </si>
  <si>
    <t>DPRINV</t>
  </si>
  <si>
    <t>BC Rio Monte1Inverter4345986,350694444445986,350694444445986,3993055556</t>
  </si>
  <si>
    <t>BC Rio Monte1Inverter4245986,350694444445986,350694444445986,3993055556</t>
  </si>
  <si>
    <t>BC Rio Monte1Inverter4545986,350694444445986,350694444445986,3993055556</t>
  </si>
  <si>
    <t>BC Rio Monte1Inverter4445986,350694444445986,350694444445986,3993055556</t>
  </si>
  <si>
    <t>BC Rio Monte1Inverter4645986,350694444445986,350694444445986,3993055556</t>
  </si>
  <si>
    <t>BC Rio Monte1Inverter4145986,350694444445986,350694444445986,3993055556</t>
  </si>
  <si>
    <t>BC Rio Monte1Inverter4745986,350694444445986,350694444445986,3993055556</t>
  </si>
  <si>
    <t>BC Rio Monte1Inverter3545986,350694444445986,350694444445986,3993055556</t>
  </si>
  <si>
    <t>BC Rio Monte1Inverter3645986,350694444445986,350694444445986,3993055556</t>
  </si>
  <si>
    <t>BC Rio Monte1Inverter3145986,350694444445986,350694444445986,3993055556</t>
  </si>
  <si>
    <t>BC Rio Monte1Inverter3345986,350694444445986,350694444445986,3993055556</t>
  </si>
  <si>
    <t>BC Rio Monte1Inverter3945986,350694444445986,350694444445986,3993055556</t>
  </si>
  <si>
    <t>BC Rio Monte1Inverter3245986,350694444445986,350694444445986,3993055556</t>
  </si>
  <si>
    <t>BC Rio Monte1Inverter4045986,350694444445986,350694444445986,3993055556</t>
  </si>
  <si>
    <t>BC Rio Monte1Inverter3445986,350694444445986,350694444445986,3993055556</t>
  </si>
  <si>
    <t>BC Rio Bonito2INV-00145987,234722222245987,234722222245987,3958333333</t>
  </si>
  <si>
    <t>BC Rio Bonito2INV-00245987,234722222245987,234722222245987,3958333333</t>
  </si>
  <si>
    <t>BC Rio Bonito2INV-00345987,234722222245987,234722222245987,3958333333</t>
  </si>
  <si>
    <t>BC Rio Bonito2INV-00445987,234722222245987,234722222245987,3958333333</t>
  </si>
  <si>
    <t>BC Rio Bonito1SG36KTL-M-17_001_01745987,234722222245987,234722222245987,3958333333</t>
  </si>
  <si>
    <t>BC Rio Bonito1SG60KTL-10_001_01045987,234722222245987,234722222245987,3958333333</t>
  </si>
  <si>
    <t>BC Rio Bonito1SG60KTL-11_001_01145987,234722222245987,234722222245987,3958333333</t>
  </si>
  <si>
    <t>BC Rio Bonito1SG60KTL-12_001_01245987,234722222245987,234722222245987,3958333333</t>
  </si>
  <si>
    <t>BC Rio Bonito1SG60KTL-13_001_01345987,234722222245987,234722222245987,3958333333</t>
  </si>
  <si>
    <t>BC Rio Bonito1SG60KTL-14_001_01445987,234722222245987,234722222245987,3958333333</t>
  </si>
  <si>
    <t>BC Rio Bonito1SG60KTL-15_001_01545987,234722222245987,234722222245987,3958333333</t>
  </si>
  <si>
    <t>BC Rio Bonito1SG60KTL-16_001_01645987,234722222245987,234722222245987,3958333333</t>
  </si>
  <si>
    <t>BC Rio Bonito1SG60KTL-1_001_00145987,234722222245987,234722222245987,3958333333</t>
  </si>
  <si>
    <t>BC Rio Bonito1SG60KTL-2_001_00245987,234722222245987,234722222245987,3958333333</t>
  </si>
  <si>
    <t>BC Rio Bonito1SG60KTL-3_001_00345987,234722222245987,234722222245987,3958333333</t>
  </si>
  <si>
    <t>BC Rio Bonito1SG60KTL-4_001_00445987,234722222245987,234722222245987,3958333333</t>
  </si>
  <si>
    <t>BC Rio Bonito1SG60KTL-5_001_00545987,234722222245987,234722222245987,3958333333</t>
  </si>
  <si>
    <t>BC Rio Bonito1SG60KTL-6_001_00645987,234722222245987,234722222245987,3958333333</t>
  </si>
  <si>
    <t>BC Rio Bonito1SG60KTL-7_001_00745987,234722222245987,234722222245987,3958333333</t>
  </si>
  <si>
    <t>BC Rio Bonito1SG60KTL-8_001_00845987,234722222245987,234722222245987,3958333333</t>
  </si>
  <si>
    <t>BC Rio Bonito1SG60KTL-9_001_00945987,234722222245987,234722222245987,3958333333</t>
  </si>
  <si>
    <t>Desligamento da UFV para execução de testes nos transformadores de média tensão e nos cubículos. Após execução, foi realizada a manobra de energização da usina.</t>
  </si>
  <si>
    <t>BC Caiaponia2.1215KTL-H3(MBUS-13)45987,543055555645987,543055555645987,5590277778</t>
  </si>
  <si>
    <t>BC Caiaponia2.1215KTL-H3(MBUS-14)45987,543055555645987,543055555645987,5590277778</t>
  </si>
  <si>
    <t>BC Caiaponia2.1215KTL-H3(MBUS-15)45987,543055555645987,543055555645987,5590277778</t>
  </si>
  <si>
    <t>BC Caiaponia2.1215KTL-H3(MBUS-12)45987,543055555645987,543055555645987,5590277778</t>
  </si>
  <si>
    <t>BC Caiaponia2.1215KTL-H3(MBUS-16)45987,543055555645987,543055555645987,5590277778</t>
  </si>
  <si>
    <t>Foi identificado um curto-circuito no transformador 1, ocasionando a atuação do relé de proteção principal com o código 86 (bloqueio de sistema), o que resultou na queda de comunicação dos inversores e do sistema de CFTV. A usina 1 alimenta o sistema de comunicação, e por isso todo o complexo ficou fora.</t>
  </si>
  <si>
    <t>Foi realizada a substituição do transformador de média tensão da unidade UFV 1.1, que apresentava danos. Após a troca, o sistema foi restabelecido com sucesso, e tanto os inversores quanto o sistema de CFTV voltaram a operar normalmente.</t>
  </si>
  <si>
    <t>BC Turvania1.1Inverter(MBUS-12)45988,215277777845988,215277777845989,625</t>
  </si>
  <si>
    <t>DAUTRF</t>
  </si>
  <si>
    <t>BC Turvania1.1Inverter(MBUS-13)45988,215277777845988,215277777845989,625</t>
  </si>
  <si>
    <t>BC Turvania1.1Inverter(MBUS-14)45988,215277777845988,215277777845989,625</t>
  </si>
  <si>
    <t>BC Turvania1.1Inverter(MBUS-15)45988,215277777845988,215277777845989,625</t>
  </si>
  <si>
    <t>BC Turvania1.2Inverter(MBUS-12)45988,215277777845988,215277777845989,625</t>
  </si>
  <si>
    <t>BC Turvania1.2Inverter(MBUS-13)45988,215277777845988,215277777845989,625</t>
  </si>
  <si>
    <t>BC Turvania1.2Inverter(MBUS-14)45988,215277777845988,215277777845989,625</t>
  </si>
  <si>
    <t>BC Turvania1.2Inverter(MBUS-15)45988,215277777845988,215277777845989,625</t>
  </si>
  <si>
    <t>BC Turvania1.3Inverter(MBUS-1)45988,215277777845988,215277777845989,625</t>
  </si>
  <si>
    <t>BC Turvania1.3Inverter(MBUS-13)45988,215277777845988,215277777845989,625</t>
  </si>
  <si>
    <t>BC Turvania1.3Inverter(MBUS-14)45988,215277777845988,215277777845989,625</t>
  </si>
  <si>
    <t>BC Turvania1.3Inverter(MBUS-15)45988,215277777845988,215277777845989,625</t>
  </si>
  <si>
    <t>BC Turvania1.4Inverter(MBUS-12)45988,215277777845988,215277777845989,625</t>
  </si>
  <si>
    <t>BC Turvania1.4Inverter(MBUS-13)45988,215277777845988,215277777845989,625</t>
  </si>
  <si>
    <t>BC Turvania1.4Inverter(MBUS-14)45988,215277777845988,215277777845989,625</t>
  </si>
  <si>
    <t>BC Turvania1.4Inverter(MBUS-15)45988,215277777845988,215277777845989,625</t>
  </si>
  <si>
    <t>BC Turvania1.5Inverter(MBUS-12)45988,215277777845988,215277777845989,625</t>
  </si>
  <si>
    <t>BC Turvania1.5Inverter(MBUS-13)45988,215277777845988,215277777845989,625</t>
  </si>
  <si>
    <t>BC Turvania1.5Inverter(MBUS-14)45988,215277777845988,215277777845989,625</t>
  </si>
  <si>
    <t>BC Turvania1.5Inverter(MBUS-1)45988,215277777845988,215277777845989,625</t>
  </si>
  <si>
    <t>BC Clareira1.1Inverter(MBUS-12)45988,404166666745988,404166666745988,4083333333</t>
  </si>
  <si>
    <t>BC Clareira1.1Inverter(MBUS-13)45988,404166666745988,404166666745988,4083333333</t>
  </si>
  <si>
    <t>BC Clareira1.1	Inverter(MBUS-14)45988,404166666745988,404166666745988,4083333333</t>
  </si>
  <si>
    <t>BC Clareira1.1	Inverter(MBUS-15)45988,404166666745988,404166666745988,4083333333</t>
  </si>
  <si>
    <t>BC Clareira1.1Inverter(MBUS-16)45988,404166666745988,404166666745988,4083333333</t>
  </si>
  <si>
    <t>BC Clareira1.2	215KTL-H3(MBUS-12)45988,404166666745988,404166666745988,4083333333</t>
  </si>
  <si>
    <t>BC Clareira1.2	215KTL-H3(MBUS-13)45988,404166666745988,404166666745988,4083333333</t>
  </si>
  <si>
    <t>BC Clareira1.2100KTL-H1(MBUS-14)45988,404166666745988,404166666745988,4083333333</t>
  </si>
  <si>
    <t>Relé atuado por causa de oscilação na rede da concessionária. Falhas 86Q, 50N e 51N.</t>
  </si>
  <si>
    <t>BC Varjao2.1215KTL-H0(MBUS-12)45988,495138888945988,495138888945988,5173611111</t>
  </si>
  <si>
    <t>BC Varjao2.1215KTL-H0(MBUS-13)45988,495138888945988,495138888945988,5173611111</t>
  </si>
  <si>
    <t>BC Varjao2.1215KTL-H0(MBUS-14)45988,495138888945988,495138888945988,5173611111</t>
  </si>
  <si>
    <t>BC Varjao2.1215KTL-H0(MBUS-15)45988,495138888945988,495138888945988,5173611111</t>
  </si>
  <si>
    <t>BC Varjao2.1215KTL-H0(MBUS-16)45988,495138888945988,495138888945988,5173611111</t>
  </si>
  <si>
    <t>ARAGUATINS 1.1Inverter(MBUS-12)45988,652777777845988,652777777845988,6826388889</t>
  </si>
  <si>
    <t>ARAGUATINS 1.1Inverter(MBUS-13)45988,652777777845988,652777777845988,6826388889</t>
  </si>
  <si>
    <t>ARAGUATINS 1.1Inverter(MBUS-14)45988,652777777845988,652777777845988,6826388889</t>
  </si>
  <si>
    <t>ARAGUATINS 1.1Inverter(MBUS-15)45988,652777777845988,652777777845988,6826388889</t>
  </si>
  <si>
    <t>ARAGUATINS 1.2Inverter(MBUS-12)45988,652777777845988,652777777845988,6826388889</t>
  </si>
  <si>
    <t>ARAGUATINS 1.2Inverter(MBUS-13)45988,652777777845988,652777777845988,6826388889</t>
  </si>
  <si>
    <t>ARAGUATINS 1.2Inverter(MBUS-14)45988,652777777845988,652777777845988,6826388889</t>
  </si>
  <si>
    <t>ARAGUATINS 1.2Inverter(MBUS-15)45988,652777777845988,652777777845988,6826388889</t>
  </si>
  <si>
    <t>ARAGUATINS 1.3Inverter(MBUS-20)45988,652777777845988,652777777845988,6826388889</t>
  </si>
  <si>
    <t>ARAGUATINS 1.3Inverter(MBUS-1)45988,652777777845988,652777777845988,6826388889</t>
  </si>
  <si>
    <t>ARAGUATINS 2.1Inverter(MBUS-13)45988,652777777845988,652777777845988,6826388889</t>
  </si>
  <si>
    <t>ARAGUATINS 2.1Inverter(MBUS-12)45988,652777777845988,652777777845988,6826388889</t>
  </si>
  <si>
    <t>ARAGUATINS 2.1Inverter(MBUS-15)45988,652777777845988,652777777845988,6826388889</t>
  </si>
  <si>
    <t>ARAGUATINS 2.1Inverter(MBUS-14)45988,652777777845988,652777777845988,6826388889</t>
  </si>
  <si>
    <t>ARAGUATINS 2.2Inverter(MBUS-15)45988,652777777845988,652777777845988,6826388889</t>
  </si>
  <si>
    <t>ARAGUATINS 2.2Inverter(MBUS-13)45988,652777777845988,652777777845988,6826388889</t>
  </si>
  <si>
    <t>ARAGUATINS 2.2Inverter(MBUS-14)45988,652777777845988,652777777845988,6826388889</t>
  </si>
  <si>
    <t>ARAGUATINS 2.2Inverter(MBUS-12)45988,652777777845988,652777777845988,6826388889</t>
  </si>
  <si>
    <t>ARAGUATINS 2.3Inverter(MBUS-12)45988,652777777845988,652777777845988,6826388889</t>
  </si>
  <si>
    <t>ARAGUATINS 2.3Inverter(MBUS-13)45988,652777777845988,652777777845988,6826388889</t>
  </si>
  <si>
    <t>Relé atuado por causa de oscilação na rede da concessionária. Falhas 86Q e 67C.</t>
  </si>
  <si>
    <t>ARAGUATINS 1.1Inverter(MBUS-12)45989,649305555645989,649305555645989,6791666667</t>
  </si>
  <si>
    <t>ARAGUATINS 1.1Inverter(MBUS-13)45989,649305555645989,649305555645989,6791666667</t>
  </si>
  <si>
    <t>ARAGUATINS 1.1Inverter(MBUS-14)45989,649305555645989,649305555645989,6791666667</t>
  </si>
  <si>
    <t>ARAGUATINS 1.1Inverter(MBUS-15)45989,649305555645989,649305555645989,6791666667</t>
  </si>
  <si>
    <t>ARAGUATINS 1.2Inverter(MBUS-12)45989,649305555645989,649305555645989,6791666667</t>
  </si>
  <si>
    <t>ARAGUATINS 1.2Inverter(MBUS-13)45989,649305555645989,649305555645989,6791666667</t>
  </si>
  <si>
    <t>ARAGUATINS 1.2Inverter(MBUS-14)45989,649305555645989,649305555645989,6791666667</t>
  </si>
  <si>
    <t>ARAGUATINS 1.2Inverter(MBUS-15)45989,649305555645989,649305555645989,6791666667</t>
  </si>
  <si>
    <t>ARAGUATINS 1.3Inverter(MBUS-20)45989,649305555645989,649305555645989,6791666667</t>
  </si>
  <si>
    <t>ARAGUATINS 1.3Inverter(MBUS-1)45989,649305555645989,649305555645989,6791666667</t>
  </si>
  <si>
    <t>ARAGUATINS 2.1Inverter(MBUS-13)45989,649305555645989,649305555645989,6791666667</t>
  </si>
  <si>
    <t>ARAGUATINS 2.1Inverter(MBUS-12)45989,649305555645989,649305555645989,6791666667</t>
  </si>
  <si>
    <t>ARAGUATINS 2.1Inverter(MBUS-15)45989,649305555645989,649305555645989,6791666667</t>
  </si>
  <si>
    <t>ARAGUATINS 2.1Inverter(MBUS-14)45989,649305555645989,649305555645989,6791666667</t>
  </si>
  <si>
    <t>ARAGUATINS 2.2Inverter(MBUS-15)45989,649305555645989,649305555645989,6791666667</t>
  </si>
  <si>
    <t>ARAGUATINS 2.2Inverter(MBUS-13)45989,649305555645989,649305555645989,6791666667</t>
  </si>
  <si>
    <t>ARAGUATINS 2.2Inverter(MBUS-14)45989,649305555645989,649305555645989,6791666667</t>
  </si>
  <si>
    <t>ARAGUATINS 2.2Inverter(MBUS-12)45989,649305555645989,649305555645989,6791666667</t>
  </si>
  <si>
    <t>ARAGUATINS 2.3Inverter(MBUS-12)45989,649305555645989,649305555645989,6791666667</t>
  </si>
  <si>
    <t>ARAGUATINS 2.3Inverter(MBUS-13)45989,649305555645989,649305555645989,6791666667</t>
  </si>
  <si>
    <t>Foi constatada a interrupção do fornecimento de energia proveniente da rede da concessionária, devido à manutenção programada na subestação da mesma.</t>
  </si>
  <si>
    <t>Realizada inspeção nos transformadores e sistemas associados. Verificada a ausência de tensão na rede da concessionária. Foram realizados os resets nos relés de proteção e o rearme dos disjuntores para restabelecimento total da operação.</t>
  </si>
  <si>
    <t>BC Turvania1.1Inverter(MBUS-14)45989,695833275545989,695833275545989,7083333333</t>
  </si>
  <si>
    <t>BC Turvania1.1Inverter(MBUS-15)45989,695833275545989,695833275545989,7083333333</t>
  </si>
  <si>
    <t>BC Turvania1.2Inverter(MBUS-12)45989,695833275545989,695833275545989,7083333333</t>
  </si>
  <si>
    <t>BC Turvania1.2Inverter(MBUS-13)45989,695833275545989,695833275545989,7083333333</t>
  </si>
  <si>
    <t>BC Turvania1.2Inverter(MBUS-14)45989,695833275545989,695833275545989,7083333333</t>
  </si>
  <si>
    <t>BC Turvania1.2Inverter(MBUS-15)45989,695833275545989,695833275545989,7083333333</t>
  </si>
  <si>
    <t>BC Turvania1.3Inverter(MBUS-1)45989,695833275545989,695833275545989,7083333333</t>
  </si>
  <si>
    <t>BC Turvania1.3Inverter(MBUS-13)45989,695833275545989,695833275545989,7083333333</t>
  </si>
  <si>
    <t>BC Turvania1.3Inverter(MBUS-14)45989,695833275545989,695833275545989,7083333333</t>
  </si>
  <si>
    <t>BC Turvania1.3Inverter(MBUS-15)45989,695833275545989,695833275545989,7083333333</t>
  </si>
  <si>
    <t>BC Turvania1.4Inverter(MBUS-12)45989,695833275545989,695833275545989,7083333333</t>
  </si>
  <si>
    <t>BC Turvania1.4Inverter(MBUS-13)45989,695833275545989,695833275545989,7083333333</t>
  </si>
  <si>
    <t>BC Turvania1.4Inverter(MBUS-14)45989,695833275545989,695833275545989,7083333333</t>
  </si>
  <si>
    <t>BC Turvania1.4Inverter(MBUS-15)45989,695833275545989,695833275545989,7083333333</t>
  </si>
  <si>
    <t>BC Turvania1.5Inverter(MBUS-12)45989,695833275545989,695833275545989,7083333333</t>
  </si>
  <si>
    <t>BC Turvania1.5Inverter(MBUS-13)45989,695833275545989,695833275545989,7083333333</t>
  </si>
  <si>
    <t>BC Turvania1.5Inverter(MBUS-14)45989,695833275545989,695833275545989,7083333333</t>
  </si>
  <si>
    <t>BC Turvania1.5Inverter(MBUS-1)45989,695833275545989,695833275545989,7083333333</t>
  </si>
  <si>
    <t>BC Turvania1.1Inverter(MBUS-12)45989,695833333345989,695833333345989,7083333333</t>
  </si>
  <si>
    <t>BC Turvania1.1Inverter(MBUS-13)45989,695833333345989,695833333345989,7083333333</t>
  </si>
  <si>
    <t>ARAGUATINS 1.1Inverter(MBUS-12)45989,833333333345989,833333333345990,2854166667</t>
  </si>
  <si>
    <t>ARAGUATINS 1.1Inverter(MBUS-13)45989,833333333345989,833333333345990,2854166667</t>
  </si>
  <si>
    <t>ARAGUATINS 1.1Inverter(MBUS-14)45989,833333333345989,833333333345990,2854166667</t>
  </si>
  <si>
    <t>ARAGUATINS 1.1Inverter(MBUS-15)45989,833333333345989,833333333345990,2854166667</t>
  </si>
  <si>
    <t>ARAGUATINS 1.2Inverter(MBUS-12)45989,833333333345989,833333333345990,2854166667</t>
  </si>
  <si>
    <t>ARAGUATINS 1.2Inverter(MBUS-13)45989,833333333345989,833333333345990,2854166667</t>
  </si>
  <si>
    <t>ARAGUATINS 1.2Inverter(MBUS-14)45989,833333333345989,833333333345990,2854166667</t>
  </si>
  <si>
    <t>ARAGUATINS 1.2Inverter(MBUS-15)45989,833333333345989,833333333345990,2854166667</t>
  </si>
  <si>
    <t>ARAGUATINS 1.3Inverter(MBUS-20)45989,833333333345989,833333333345990,2854166667</t>
  </si>
  <si>
    <t>ARAGUATINS 1.3Inverter(MBUS-1)45989,833333333345989,833333333345990,2854166667</t>
  </si>
  <si>
    <t>Relé de proteção  atuado com função 47.</t>
  </si>
  <si>
    <t>BC Formoso1.2Inverter(MBUS-13)45990,477777777845990,477777777845990,5</t>
  </si>
  <si>
    <t>BC Formoso1.2Inverter(MBUS-12)45990,477777777845990,477777777845990,5</t>
  </si>
  <si>
    <t>BC Formoso1.2Inverter(MBUS-15)45990,477777777845990,477777777845990,5</t>
  </si>
  <si>
    <t>BC Formoso1.2Inverter(MBUS-14)45990,477777777845990,477777777845990,5</t>
  </si>
  <si>
    <t>Relé de proteção  atuado com função 59N.</t>
  </si>
  <si>
    <t>BC Formoso2.2Inverter(MBUS-14)45991,252777777845991,252777777845991,3888888889</t>
  </si>
  <si>
    <t>BC Formoso2.2Inverter(MBUS-13)45991,252777777845991,252777777845991,3888888889</t>
  </si>
  <si>
    <t>BC Formoso2.2Inverter(MBUS-12)45991,252777777845991,252777777845991,3888888889</t>
  </si>
  <si>
    <t>BC Formoso2.2Inverter(MBUS-1)45991,252777777845991,252777777845991,3888888889</t>
  </si>
  <si>
    <t>Falha de comunicação.</t>
  </si>
  <si>
    <t>Foi reiniciado o roteador e os loggers.</t>
  </si>
  <si>
    <t>ARAGUATINS 1.1Inverter(MBUS-12)45991,435416666745991,435416666745991,4652777778</t>
  </si>
  <si>
    <t>ARAGUATINS 1.1Inverter(MBUS-13)45991,435416666745991,435416666745991,4652777778</t>
  </si>
  <si>
    <t>ARAGUATINS 1.1Inverter(MBUS-14)45991,435416666745991,435416666745991,4652777778</t>
  </si>
  <si>
    <t>ARAGUATINS 1.1Inverter(MBUS-15)45991,435416666745991,435416666745991,4652777778</t>
  </si>
  <si>
    <t>ARAGUATINS 1.2Inverter(MBUS-12)45991,435416666745991,435416666745991,4652777778</t>
  </si>
  <si>
    <t>ARAGUATINS 1.2Inverter(MBUS-13)45991,435416666745991,435416666745991,4652777778</t>
  </si>
  <si>
    <t>ARAGUATINS 1.2Inverter(MBUS-14)45991,435416666745991,435416666745991,4652777778</t>
  </si>
  <si>
    <t>ARAGUATINS 1.2Inverter(MBUS-15)45991,435416666745991,435416666745991,4652777778</t>
  </si>
  <si>
    <t>ARAGUATINS 1.3Inverter(MBUS-20)45991,435416666745991,435416666745991,4652777778</t>
  </si>
  <si>
    <t>ARAGUATINS 1.3Inverter(MBUS-1)45991,435416666745991,435416666745991,4652777778</t>
  </si>
  <si>
    <t>ARAGUATINS 2.1Inverter(MBUS-13)45991,435416666745991,435416666745991,4652777778</t>
  </si>
  <si>
    <t>ARAGUATINS 2.1Inverter(MBUS-12)45991,435416666745991,435416666745991,4652777778</t>
  </si>
  <si>
    <t>ARAGUATINS 2.1Inverter(MBUS-15)45991,435416666745991,435416666745991,4652777778</t>
  </si>
  <si>
    <t>ARAGUATINS 2.1Inverter(MBUS-14)45991,435416666745991,435416666745991,4652777778</t>
  </si>
  <si>
    <t>ARAGUATINS 2.2Inverter(MBUS-15)45991,435416666745991,435416666745991,4652777778</t>
  </si>
  <si>
    <t>ARAGUATINS 2.2Inverter(MBUS-13)45991,435416666745991,435416666745991,4652777778</t>
  </si>
  <si>
    <t>ARAGUATINS 2.2Inverter(MBUS-14)45991,435416666745991,435416666745991,4652777778</t>
  </si>
  <si>
    <t>ARAGUATINS 2.2Inverter(MBUS-12)45991,435416666745991,435416666745991,4652777778</t>
  </si>
  <si>
    <t>ARAGUATINS 2.3Inverter(MBUS-12)45991,435416666745991,435416666745991,4652777778</t>
  </si>
  <si>
    <t>ARAGUATINS 2.3Inverter(MBUS-13)45991,435416666745991,435416666745991,4652777778</t>
  </si>
  <si>
    <t>BC Varjao2.1215KTL-H0(MBUS-12)45991,660416666745991,660416666745991,6631944444</t>
  </si>
  <si>
    <t>2025-11-01 10:49:56</t>
  </si>
  <si>
    <t>2025-11-01 10:52:55</t>
  </si>
  <si>
    <t>Conexão inversa do MPPT</t>
  </si>
  <si>
    <t>BC Aracu2araçu 2.3 inversor 42025-11-01 10:49:562025-11-01 10:49:562025-11-01 10:52:55</t>
  </si>
  <si>
    <t>2025-11-02 05:29:15</t>
  </si>
  <si>
    <t>2025-11-02 05:33:38</t>
  </si>
  <si>
    <t>BC Aracu2araçu 2.3 inversor 42025-11-02 05:29:152025-11-02 05:29:152025-11-02 05:33:38</t>
  </si>
  <si>
    <t>2025-11-04 05:50:34</t>
  </si>
  <si>
    <t>2025-11-04 05:53:30</t>
  </si>
  <si>
    <t>BC Aracu2araçu 2.2 inversor 22025-11-04 05:50:342025-11-04 05:50:342025-11-04 05:53:30</t>
  </si>
  <si>
    <t>2025-11-09 05:44:51</t>
  </si>
  <si>
    <t>2025-11-09 05:47:50</t>
  </si>
  <si>
    <t>BC Aracu2araçu 2.2 inversor 22025-11-09 05:44:512025-11-09 05:44:512025-11-09 05:47:50</t>
  </si>
  <si>
    <t>2025-11-11 05:24:27</t>
  </si>
  <si>
    <t>2025-11-11 05:27:28</t>
  </si>
  <si>
    <t>BC Aracu2araçu 2.2 inversor 22025-11-11 05:24:272025-11-11 05:24:272025-11-11 05:27:28</t>
  </si>
  <si>
    <t>2025-11-13 05:29:04</t>
  </si>
  <si>
    <t>2025-11-13 05:32:01</t>
  </si>
  <si>
    <t>BC Aracu2araçu 2.2 inversor 22025-11-13 05:29:042025-11-13 05:29:042025-11-13 05:32:01</t>
  </si>
  <si>
    <t>2025-11-15 15:59:09</t>
  </si>
  <si>
    <t>2025-11-15 16:07:20</t>
  </si>
  <si>
    <t>BC Aracu2araçu 2.3 inversor 42025-11-15 15:59:092025-11-15 15:59:092025-11-15 16:07:20</t>
  </si>
  <si>
    <t>2025-11-16 05:32:54</t>
  </si>
  <si>
    <t>2025-11-16 05:35:52</t>
  </si>
  <si>
    <t>BC Aracu2araçu 2.2 inversor 22025-11-16 05:32:542025-11-16 05:32:542025-11-16 05:35:52</t>
  </si>
  <si>
    <t>2025-11-17 13:12:49</t>
  </si>
  <si>
    <t>2025-11-17 15:30:22</t>
  </si>
  <si>
    <t>Queda da rede</t>
  </si>
  <si>
    <t>Mantenedor fez a verificação local e normalizou os inversores.</t>
  </si>
  <si>
    <t>BC Aracu2araçu 2.2 inversor 22025-11-17 13:12:492025-11-17 13:12:492025-11-17 15:30:22</t>
  </si>
  <si>
    <t>2025-11-17 13:12:52</t>
  </si>
  <si>
    <t>2025-11-17 15:30:33</t>
  </si>
  <si>
    <t>BC Aracu2araçu 2.2 inversor 32025-11-17 13:12:522025-11-17 13:12:522025-11-17 15:30:33</t>
  </si>
  <si>
    <t>2025-11-21 15:57:07</t>
  </si>
  <si>
    <t>2025-11-21 16:03:33</t>
  </si>
  <si>
    <t>BC Aracu2araçu 2.3 inversor 42025-11-21 15:57:072025-11-21 15:57:072025-11-21 16:03:33</t>
  </si>
  <si>
    <t>2025-11-21 18:31:48</t>
  </si>
  <si>
    <t>2025-11-21 18:45:21</t>
  </si>
  <si>
    <t>BC Aracu2araçu 2.3 inversor 42025-11-21 18:31:482025-11-21 18:31:482025-11-21 18:45:21</t>
  </si>
  <si>
    <t>2025-11-22 12:31:13</t>
  </si>
  <si>
    <t>2025-11-22 13:57:30</t>
  </si>
  <si>
    <t>BC Aracu2araçu 2.3 inversor 42025-11-22 12:31:132025-11-22 12:31:132025-11-22 13:57:30</t>
  </si>
  <si>
    <t>2025-11-23 16:15:36</t>
  </si>
  <si>
    <t>2025-11-23 17:38:11</t>
  </si>
  <si>
    <t>BC Aracu2araçu 2.3 inversor 42025-11-23 16:15:362025-11-23 16:15:362025-11-23 17:38:11</t>
  </si>
  <si>
    <t>2025-11-24 18:01:13</t>
  </si>
  <si>
    <t>2025-11-24 18:10:21</t>
  </si>
  <si>
    <t>BC Aracu2araçu 2.3 inversor 42025-11-24 18:01:132025-11-24 18:01:132025-11-24 18:10:21</t>
  </si>
  <si>
    <t>2025-11-27 05:37:41</t>
  </si>
  <si>
    <t>2025-11-27 05:40:43</t>
  </si>
  <si>
    <t>BC Aracu2araçu 2.2 inversor 22025-11-27 05:37:412025-11-27 05:37:412025-11-27 05:40:43</t>
  </si>
  <si>
    <t>2025-11-28 15:19:53</t>
  </si>
  <si>
    <t>2025-11-28 15:35:06</t>
  </si>
  <si>
    <t>BC Aracu2araçu 2.3 inversor 42025-11-28 15:19:532025-11-28 15:19:532025-11-28 15:35:06</t>
  </si>
  <si>
    <t>2025-11-29 18:42:04</t>
  </si>
  <si>
    <t>2025-11-29 18:42:50</t>
  </si>
  <si>
    <t>BC Aracu2araçu 2.3 inversor 42025-11-29 18:42:042025-11-29 18:42:042025-11-29 18:42:50</t>
  </si>
  <si>
    <t>2025-11-30 05:36:20</t>
  </si>
  <si>
    <t>2025-11-30 05:39:14</t>
  </si>
  <si>
    <t>BC Aracu2araçu 2.2 inversor 22025-11-30 05:36:202025-11-30 05:36:202025-11-30 05:39:14</t>
  </si>
  <si>
    <t>Usina ou UFV</t>
  </si>
  <si>
    <t>Data</t>
  </si>
  <si>
    <t>Horário de Brasília</t>
  </si>
  <si>
    <t>Horário local</t>
  </si>
  <si>
    <t>Classificação</t>
  </si>
  <si>
    <t>Tipo</t>
  </si>
  <si>
    <t>Status</t>
  </si>
  <si>
    <t>ID Registro</t>
  </si>
  <si>
    <t>Descrição</t>
  </si>
  <si>
    <t>Ação</t>
  </si>
  <si>
    <t>Hora final</t>
  </si>
  <si>
    <t>Data final</t>
  </si>
  <si>
    <t>Clareira de Araçu</t>
  </si>
  <si>
    <t>CFTV</t>
  </si>
  <si>
    <t>Off-line</t>
  </si>
  <si>
    <t>fechado</t>
  </si>
  <si>
    <t>relé atuado por 32</t>
  </si>
  <si>
    <t>foi feito a espeçao na subestaçao e resetado o relé e rearmado o disjuntor</t>
  </si>
  <si>
    <t>Varjão 2.1</t>
  </si>
  <si>
    <t>DAU INV - Falha 2064.</t>
  </si>
  <si>
    <t>Aberto</t>
  </si>
  <si>
    <t>Após avaliação junto com o integrador Weg e fabricante huawei, o inversor deu entrada em tratativa em garantia após apresentar a falha 2064 - equipamento anormal.</t>
  </si>
  <si>
    <t>Realização dos testes: - Reset eletrônico, medições e coleta de LOGs.</t>
  </si>
  <si>
    <t>UFV Clareira de Araçu</t>
  </si>
  <si>
    <t>UFV e CFTV</t>
  </si>
  <si>
    <t>Inversores e câmeras Off-line</t>
  </si>
  <si>
    <t>Aguardando avaliação.</t>
  </si>
  <si>
    <t>Foi encaminhado para o Grupo O&amp;M / Mantenedor</t>
  </si>
  <si>
    <t>Lençóis Paulista</t>
  </si>
  <si>
    <t>14h34</t>
  </si>
  <si>
    <t>Manutenção preventiva.</t>
  </si>
  <si>
    <t>Programada</t>
  </si>
  <si>
    <t>Desligamento da UFC para limpeza e inspeção do transformador rebaixados se tensão.</t>
  </si>
  <si>
    <t>Feito limpeza, verificado reaberto dos terminais de ligação, condições das muflas, fixação dos cabos neutro e terra.</t>
  </si>
  <si>
    <t>15h37</t>
  </si>
  <si>
    <t>UFV / CFTV</t>
  </si>
  <si>
    <t>Fechado</t>
  </si>
  <si>
    <t>UFV Camarão Complexo</t>
  </si>
  <si>
    <t>Inversores Off-line</t>
  </si>
  <si>
    <t>Sobretensão na rede.</t>
  </si>
  <si>
    <t>Foi feito a inspeção dos transformadores, reiniciado o relé e rearmado o disjuntor.</t>
  </si>
  <si>
    <t>UFV Formoso Complexo</t>
  </si>
  <si>
    <t>Falha na internet e comunicação</t>
  </si>
  <si>
    <t>Foi acionado o provedor, já normalizou a rede (houve uma interrupção por causa de um cabo rompido devido a chuva mas já normalizou</t>
  </si>
  <si>
    <t>UFV FORMOSO 1.2-1.3-2.1-2.2-2.3</t>
  </si>
  <si>
    <t>INVERSORES OFF-LINE</t>
  </si>
  <si>
    <t>Queda de rede,FAHLA no relé de proteção (código da falha ,47) desiqulibrio de tensão</t>
  </si>
  <si>
    <t>Foi inspeçionado cúbiculos e feito reset no relé de proteção e rearmado dijuntor</t>
  </si>
  <si>
    <t>UFV CAIAPONIA 2.1-2.2-2.3</t>
  </si>
  <si>
    <t>INVERSORES OFF-LINE / CFTV PARCIAL</t>
  </si>
  <si>
    <t>teve uma queda de rede, concessionária atuando relé 27 ABC</t>
  </si>
  <si>
    <t>foi feito inspeção em campo e nos transformar, e resetado os relés e fechado o disjuntores</t>
  </si>
  <si>
    <t>UFV Vazante I (Complexo)</t>
  </si>
  <si>
    <t>Inversores e câmeras off-line</t>
  </si>
  <si>
    <t>Execução do comissionamento e testes nos componentes de medição e geração do complexo.</t>
  </si>
  <si>
    <t>Foram realizados os seguintes serviços: Comissionamento dos transformadores de média tensão, Inspeção e testes dos barramentos.</t>
  </si>
  <si>
    <t>Corumbá 2.2</t>
  </si>
  <si>
    <t>falha na comunicação ( internet)</t>
  </si>
  <si>
    <t>normalizou sozinha</t>
  </si>
  <si>
    <t>UFV Vazante 2.1</t>
  </si>
  <si>
    <t>UFV / Desligamento programado</t>
  </si>
  <si>
    <t>Inversores Online</t>
  </si>
  <si>
    <t>Foi realizada a adequação no QGBT para instalação de DPS.</t>
  </si>
  <si>
    <t>Foi feito a substituição do relé e rearmado o disjuntor usina normalizads</t>
  </si>
  <si>
    <t>UFV Turvania</t>
  </si>
  <si>
    <t>Algumas câmeras Off-line .</t>
  </si>
  <si>
    <t>falha de comunicação cftv</t>
  </si>
  <si>
    <t>reiniciado o CFTV</t>
  </si>
  <si>
    <t>Rio Monte 3</t>
  </si>
  <si>
    <t>Inversores Off-line .</t>
  </si>
  <si>
    <t>Queda de tensão.</t>
  </si>
  <si>
    <t>Foi feito inspeção e fechado o religador .</t>
  </si>
  <si>
    <t>07h10</t>
  </si>
  <si>
    <t>Relé de segurança cabine de entrada acionado as falhas 59 - N e 27 - Fase B e C</t>
  </si>
  <si>
    <t>Resetado rele e rearmado disjuntor, partido a usina e acompanhando funcionando.</t>
  </si>
  <si>
    <t>7h30</t>
  </si>
  <si>
    <t>UFV Vazante 1.3</t>
  </si>
  <si>
    <t>Inversores Offline</t>
  </si>
  <si>
    <t>Encaminhado ao grupo O&amp;M para registro de atividades.</t>
  </si>
  <si>
    <t>UFV Vazante 2.2</t>
  </si>
  <si>
    <t>Solicitação encaminhada ao grupo de Operação e Manutenção (O&amp;M).</t>
  </si>
  <si>
    <t>UFV Camarão</t>
  </si>
  <si>
    <t>Câmeras On-line .</t>
  </si>
  <si>
    <t>Falha comunicação</t>
  </si>
  <si>
    <t>Foi reiniciado o sistema de CFTV e da internet e logo em seguida normalizou.</t>
  </si>
  <si>
    <t>13h10</t>
  </si>
  <si>
    <t>Inversores off-line</t>
  </si>
  <si>
    <t>UFV Caiapônia 2.3</t>
  </si>
  <si>
    <t>Inversor Off-line 215KTL</t>
  </si>
  <si>
    <t>Inversor com falha ao sincronizar</t>
  </si>
  <si>
    <t>foi feito reset no inversor</t>
  </si>
  <si>
    <t>UFV CORUMBÁ - COMPLEXO</t>
  </si>
  <si>
    <t>INVERSORES OFF-LINE - COMPLEXO</t>
  </si>
  <si>
    <t>Foi feito inspeção em todo complexo, checado os níveis de tensão, resetado relés e rearmados disjuntores.</t>
  </si>
  <si>
    <t>Formoso 1.2 e 1.3</t>
  </si>
  <si>
    <t>Desequilíbrio de rede externa da concessionária</t>
  </si>
  <si>
    <t>foi feito inspeção na UFV, resetado relé e rearmado disjuntores.</t>
  </si>
  <si>
    <t>UFV Varjão 1.1</t>
  </si>
  <si>
    <t>UFV / Desligamento Programado</t>
  </si>
  <si>
    <t>Desligamento Programado - manutenção preventiva</t>
  </si>
  <si>
    <t>Adequação do QGBT da unidade consumidora, instalação de DPS e ensaio do Tok-Pass.</t>
  </si>
  <si>
    <t>Instalação dos Dps. Instalação da chave NH.</t>
  </si>
  <si>
    <t>BC Camarão 1 a 5</t>
  </si>
  <si>
    <t>FECHADO</t>
  </si>
  <si>
    <t>12h40</t>
  </si>
  <si>
    <t>Realização de comissionamento dos transformadores de média tensão.</t>
  </si>
  <si>
    <t>Foram realizados testes funcionais nos cubículos de média tensão. UFV Vazante 2.2 e 2.3 foram normalizadas.</t>
  </si>
  <si>
    <t>16h00</t>
  </si>
  <si>
    <t>UFV Varjão 1.2</t>
  </si>
  <si>
    <t>UFV Varjão 1.3</t>
  </si>
  <si>
    <t>UFV Formoso 1.3</t>
  </si>
  <si>
    <t>Desligamento Programado</t>
  </si>
  <si>
    <t>Realização de teste operacional para verificação dos procedimentos de desligamento e religamento.</t>
  </si>
  <si>
    <t>Treinamento do mantenedor e acompanhamento das etapas do procedimento de manobra</t>
  </si>
  <si>
    <t>Formoso ( 1.2 e 1.3 )</t>
  </si>
  <si>
    <t>Inversores off-line .</t>
  </si>
  <si>
    <t>foi feito a inspeção no rele , feito reset, e estabelecendo o funcionamento da usina</t>
  </si>
  <si>
    <t>Vazante 2.2</t>
  </si>
  <si>
    <t>Durante a inspeção, foi identificada falha de comunicação entre os inversores, causada por um conversor de mídia queimado.</t>
  </si>
  <si>
    <t>07h30</t>
  </si>
  <si>
    <t>religador aberto devido tempo chuvoso.</t>
  </si>
  <si>
    <t>foi feito inspeção em campo e no transformador, e fechado religador</t>
  </si>
  <si>
    <t>UFV Varjão 2.1</t>
  </si>
  <si>
    <t>UFV Varjão 2.3</t>
  </si>
  <si>
    <t>Formoso 1.3</t>
  </si>
  <si>
    <t>Encaminhado ocorrência no Grupo O&amp;M / Mantenedor .</t>
  </si>
  <si>
    <t>UFV Varjão 2.2</t>
  </si>
  <si>
    <t>religador aberto devido desequilíbrio de rede da concessionária.</t>
  </si>
  <si>
    <t>foi feito manobras de energização, e fechado o religador.</t>
  </si>
  <si>
    <t>Durante testes de verificação de conexão, foi identificado que a fonte de alimentação do conversor de mídia encontrava-se queimada.</t>
  </si>
  <si>
    <t>Formoso 1.2</t>
  </si>
  <si>
    <t>Fechada</t>
  </si>
  <si>
    <t>desequilíbrio de rede externa ( concessionária).</t>
  </si>
  <si>
    <t>foi feita inspeção em toda a UFV, resetado relé e rearmado disjuntor.</t>
  </si>
  <si>
    <t>Araçu 5 todo complexo</t>
  </si>
  <si>
    <t>UFV: Araçu 5 CFTV: Araçu 4</t>
  </si>
  <si>
    <t>off-line .</t>
  </si>
  <si>
    <t>relé atuado por 86 na fase B</t>
  </si>
  <si>
    <t>foi feito a espeçao na subestaçao rearmado o disjuntor</t>
  </si>
  <si>
    <t>Bom sucesso ( CFTV )</t>
  </si>
  <si>
    <t>off-line</t>
  </si>
  <si>
    <t>falha na comunicação ( internet).</t>
  </si>
  <si>
    <t>resetado sistema de comunicação.</t>
  </si>
  <si>
    <t>Araguatins todo complexo</t>
  </si>
  <si>
    <t>relé atuando na função 86Q e 57A na UFV Araguatins 01 e na UFV Araguatins 02 atuou na 47A</t>
  </si>
  <si>
    <t>inspeção visual em campo resetado os relé e rearmado os disjuntores</t>
  </si>
  <si>
    <t>Paranoá</t>
  </si>
  <si>
    <t>Câmeras Off-line .</t>
  </si>
  <si>
    <t>Acionado mantenedor para fazer ronda na UFV.</t>
  </si>
  <si>
    <t>Inversor com falha de geração .</t>
  </si>
  <si>
    <t>Encaminhado ocorrência no Grupo O&amp;M / Mantenedor</t>
  </si>
  <si>
    <t>Invesores Off-line .</t>
  </si>
  <si>
    <t>Religador aberto devido o tempo chuvoso.</t>
  </si>
  <si>
    <t>Foi feito inspeção em campo e fechado o religador.</t>
  </si>
  <si>
    <t>Bom sucesso</t>
  </si>
  <si>
    <t>Invesores on-line .</t>
  </si>
  <si>
    <t>falha na comunicação</t>
  </si>
  <si>
    <t>Foi feito as inspeções nos componentes e nos inversores reiniciando o sistema e voltando a comunicação normal.</t>
  </si>
  <si>
    <t>Araguatins 1.3</t>
  </si>
  <si>
    <t>falta de energia sem nenhum alarme no relé</t>
  </si>
  <si>
    <t>inspeção visual resetado o relé e rearmado disjutor</t>
  </si>
  <si>
    <t>UFV Araçu 4</t>
  </si>
  <si>
    <t>relé atuado por 86 . e 27 na fase C</t>
  </si>
  <si>
    <t>fechando</t>
  </si>
  <si>
    <t>falha na comunicação do CFTV.</t>
  </si>
  <si>
    <t>reiniciando o sistema do CfTV. Normalizado a comunicação</t>
  </si>
  <si>
    <t>Realizada a aquisição dos elos fusíveis pela equipe técnica e procedeu-se com a substituição.</t>
  </si>
  <si>
    <t>UFV Formoso 1.2 e 2.1</t>
  </si>
  <si>
    <t>Aguardando avaliação</t>
  </si>
  <si>
    <t>CFTV PARANOÁ</t>
  </si>
  <si>
    <t>NA PLATAFORMA MONUV CAMERAS 2-3-5 off</t>
  </si>
  <si>
    <t>ABERTO</t>
  </si>
  <si>
    <t>AGUARDANDO AVALIAÇÃO</t>
  </si>
  <si>
    <t>Encaminhado para GRUPO O&amp;M E MANTENEDOR</t>
  </si>
  <si>
    <t>CFTV BOM SUCESSO-PARCIAL</t>
  </si>
  <si>
    <t>CFTV PARCIALMENTE OFF-LINE</t>
  </si>
  <si>
    <t>UFV RIO BONITO 1</t>
  </si>
  <si>
    <t>Foi feito inspeção em campo e fechado o religador/rearmado disjuntores</t>
  </si>
  <si>
    <t>UFV RIO BONITO 2</t>
  </si>
  <si>
    <t>FALHA NA COMUNICAÇÃO</t>
  </si>
  <si>
    <t>REINICIADO DATA LOGGER</t>
  </si>
  <si>
    <t>UFV RIO Monte 03</t>
  </si>
  <si>
    <t>queda de rede concessionária</t>
  </si>
  <si>
    <t>foi feito manobras para Energisa usina e fechado o religador</t>
  </si>
  <si>
    <t>10h41</t>
  </si>
  <si>
    <t>Aberta</t>
  </si>
  <si>
    <t>Foi identificado que um dos inversores (ES2170028664) entrou em estado de falha.</t>
  </si>
  <si>
    <t>Iniciados os procedimentos técnicos de garantia junto à fabricante HDT Energy.</t>
  </si>
  <si>
    <t>Araçu 5</t>
  </si>
  <si>
    <t>OFF-LINE</t>
  </si>
  <si>
    <t>camarão CFTV</t>
  </si>
  <si>
    <t>falha na comunicação do CFTV</t>
  </si>
  <si>
    <t>foi resetado o sistema do CFTV</t>
  </si>
  <si>
    <t>Câmeras Off-line</t>
  </si>
  <si>
    <t>devido ao tempo chuvoso as baterias não receberam carga o suficiente</t>
  </si>
  <si>
    <t>AUTO-RESTAR</t>
  </si>
  <si>
    <t>Rio Monte 03</t>
  </si>
  <si>
    <t>desequilíbrio de rede.</t>
  </si>
  <si>
    <t>foi feito manobras para Energisa usina, foi fechado o religador</t>
  </si>
  <si>
    <t>UFV Varjao 2.1</t>
  </si>
  <si>
    <t>Realizar o comissionamento dos transformadores de média tensão.</t>
  </si>
  <si>
    <t>Acompanhar e registrar as atividades.</t>
  </si>
  <si>
    <t>UFV Varjao 1.1</t>
  </si>
  <si>
    <t>Araguatins 2.2</t>
  </si>
  <si>
    <t>Inversor off-line .</t>
  </si>
  <si>
    <t>Aguardando avaliação .</t>
  </si>
  <si>
    <t>Encaminhado para Grupo O&amp;M / Mantenedor .</t>
  </si>
  <si>
    <t>UFV Varjao 1.2</t>
  </si>
  <si>
    <t>UFV Barra do Garças Complexo</t>
  </si>
  <si>
    <t>Inversores e Câmeras off-line .</t>
  </si>
  <si>
    <t>foi feito manobras para Energisa usina, e foi fechado o religador.</t>
  </si>
  <si>
    <t>Falha na rede. Chamado já aberto na concessionária: 462071852</t>
  </si>
  <si>
    <t>Encaminhado para grupo O&amp;M / Mantenedor.</t>
  </si>
  <si>
    <t>UFV Varjao 1.3</t>
  </si>
  <si>
    <t>UFV CORUMBÁ DE GOIAS - CFTV</t>
  </si>
  <si>
    <t>INVERSORES OFF-LINE / CFTV OFF-LINE</t>
  </si>
  <si>
    <t>Foi feito inspeção em todo complexo, checado os níveis de tensão, resetado relé e rearmado disjuntores</t>
  </si>
  <si>
    <t>UFV Varjao 2.3</t>
  </si>
  <si>
    <t>aberto</t>
  </si>
  <si>
    <t>Aguardando Avaliação</t>
  </si>
  <si>
    <t>Encaminhado para grupo O&amp;M</t>
  </si>
  <si>
    <t>UFV Varjao 2.2</t>
  </si>
  <si>
    <t>Tracker em posição de segurança - Alarme de rajada de vento na RSU</t>
  </si>
  <si>
    <t>Usina gerando, porém trackers em posição de segurança, por conta de alarme de rajada de vento na RSU.</t>
  </si>
  <si>
    <t>Acompanhado movimentação dos Trackers depois do alarme de rajadas de vento.</t>
  </si>
  <si>
    <t>UFV Rio Monte 03</t>
  </si>
  <si>
    <t>Realizar o comissionamento dos cabos de média tensão e testes nos barramentos.</t>
  </si>
  <si>
    <t>Testes e Megagem dos cabos de média tensão,muflas e componentes.</t>
  </si>
  <si>
    <t>Varjão 2 - CFTV</t>
  </si>
  <si>
    <t>Varjão 2 todo complexo</t>
  </si>
  <si>
    <t>inversores e cftv offline por causa de uma queda do provedor de internet.</t>
  </si>
  <si>
    <t>Contatar provedor de internet.</t>
  </si>
  <si>
    <t>Caiapônia ( Complexo )</t>
  </si>
  <si>
    <t>Queda de rede da concessionária atuando relés 27ABC e 59ABC</t>
  </si>
  <si>
    <t>foi feito inspeção em campo e reset nos relés, e foi fechado o disjuntor</t>
  </si>
  <si>
    <t>Rio Monte ( Complexo )</t>
  </si>
  <si>
    <t>foi feito inspeção em campo e fechado religador</t>
  </si>
  <si>
    <t>Panamá 1.1</t>
  </si>
  <si>
    <t>instabilidade de comunicação da internet local.</t>
  </si>
  <si>
    <t>foi feito inspeção local, reset da internet e normalizado a comunicação.</t>
  </si>
  <si>
    <t>UFV Rio Monte 01 e 02</t>
  </si>
  <si>
    <t>Paranoá - CFTV</t>
  </si>
  <si>
    <t>UFV Barra do Garças</t>
  </si>
  <si>
    <t>Varjão 1 todo complexo</t>
  </si>
  <si>
    <t>Problema no inversor off grid que alimenta a sala de controle.</t>
  </si>
  <si>
    <t>mudar ligações das tomadas para a quadro da rede da concessionária.</t>
  </si>
  <si>
    <t>UFV ARAGUATINS 1.1...</t>
  </si>
  <si>
    <t>INVERSORES OFF-LINE-CFTV OFF-LINE</t>
  </si>
  <si>
    <t>Relé atuando na função 27 e 47</t>
  </si>
  <si>
    <t>inspecionado todo complexo e resetado os relé e rearmado os disjuntores</t>
  </si>
  <si>
    <t>UFV FORMOSO 2.2</t>
  </si>
  <si>
    <t>Relé de proteção atuando na função 86</t>
  </si>
  <si>
    <t>Foi feita a inspeção em toda a UFV , foi resetado o relé e rearmado o disjuntor</t>
  </si>
  <si>
    <t>UFV ARAGUATINS COMPLEXO</t>
  </si>
  <si>
    <t>INVERSORES OFF-LINE/CFTV OFF-LINE</t>
  </si>
  <si>
    <t>Falta de energia na UFV Araguatins 01 e 02 relé atuando na função 27 AC, 50N, 51N e 86Q</t>
  </si>
  <si>
    <t>Inspeção visual em todo complexo resetado relé e rearmado disjutor</t>
  </si>
  <si>
    <t>UFV Turvania COMPLEXO</t>
  </si>
  <si>
    <t>Realizado o reset da internet. Após procedimento voltou a comunicar CFTV e UFV.</t>
  </si>
  <si>
    <t>UFV Caiapônia 01 e 02</t>
  </si>
  <si>
    <t>queda de rede concessionária atuando relé 27 ABC</t>
  </si>
  <si>
    <t>foi feito inspeção em campo, transformador e cubículos, foi fechado o disjuntor</t>
  </si>
  <si>
    <t>foi feito inspeção em campo, foi fechado o religador</t>
  </si>
  <si>
    <t>UFV Araçu 5 COMPLEXO</t>
  </si>
  <si>
    <t>relé atuado por 81.86</t>
  </si>
  <si>
    <t>relé atuando na função 47</t>
  </si>
  <si>
    <t>UFV Paranoá</t>
  </si>
  <si>
    <t>Desligamento de todos os ativos para, posteriormente, normalizar a UFV VII.</t>
  </si>
  <si>
    <t>UFV Formoso 2 COMPLEXO</t>
  </si>
  <si>
    <t>Queda na rede da concessionária</t>
  </si>
  <si>
    <t>Feita a inspeção em campo e fechamento dos disjuntores</t>
  </si>
  <si>
    <t>UFV Formoso 2, COMPLEXO</t>
  </si>
  <si>
    <t>Queda na rede da concessionária.</t>
  </si>
  <si>
    <t>Foi feita a inspeção e o fechamento dos disjuntores</t>
  </si>
  <si>
    <t>UFV Araguatins ( Complexo )</t>
  </si>
  <si>
    <t>foi resetado roteador da internet</t>
  </si>
  <si>
    <t>inversor Off-line</t>
  </si>
  <si>
    <t>relé atuando na função 50N e 86Q</t>
  </si>
  <si>
    <t>reset no relé e rearmado disjutor</t>
  </si>
  <si>
    <t>Encaminhado para o Grupo O&amp;M / Mantenedor .</t>
  </si>
  <si>
    <t>UFV Caiapônia 1</t>
  </si>
  <si>
    <t>foi feito inspeção no transformador e resetado o relé, foi fechado o disjuntor</t>
  </si>
  <si>
    <t>UFV Vazante ( Complexo )</t>
  </si>
  <si>
    <t>Durante inspeção realizada em campo juntamente com a equipe técnica da CEMIG, foi identificado que uma descarga atmosférica atingiu o alimentador da rede elétrica.</t>
  </si>
  <si>
    <t>Para restabelecimento emergencial do fornecimento, foi executada a construção de uma rede aérea provisória.</t>
  </si>
  <si>
    <t>UFV Araguatins 1.3</t>
  </si>
  <si>
    <t>Inversores OFF-LINE</t>
  </si>
  <si>
    <t>falta de comunicação</t>
  </si>
  <si>
    <t>foi reiniciado sistema de comunicação</t>
  </si>
  <si>
    <t>foi feito reset no relé, e fechado o disjuntor</t>
  </si>
  <si>
    <t>UFV FORMOSO1.2-1.3-2.2</t>
  </si>
  <si>
    <t>Feita a inspeção em campo e fechamento do disjuntor</t>
  </si>
  <si>
    <t>Turvania 1.1</t>
  </si>
  <si>
    <t>resetado relé, e rearmado disjuntor</t>
  </si>
  <si>
    <t>UFV CORUMBÁ I e II</t>
  </si>
  <si>
    <t>durante a verificação foi constatado que estava faltando uma fase na rede da concessionária.</t>
  </si>
  <si>
    <t>após a concessionária normalizar o fornecimento de energia, foi feito inspeção em todo complexo.</t>
  </si>
  <si>
    <t>Encaminhado para GRUPO O&amp;M/ Júlio Cesar</t>
  </si>
  <si>
    <t>Camarão 1.1</t>
  </si>
  <si>
    <t>Falha de comunicação entre o sistema de geração com a plataforma de monitoramento.</t>
  </si>
  <si>
    <t>Realizado o reset no roteador local, restabelecendo a comunicação da usina com sucesso.</t>
  </si>
  <si>
    <t>Camarão 1.3</t>
  </si>
  <si>
    <t>Falha de comunicação entre o sistema e a plataforma de monitoramento.</t>
  </si>
  <si>
    <t>Realizado reset no roteador, o que restabeleceu a comunicação da usina.</t>
  </si>
  <si>
    <t>BOM SUCESSO - CFTV / UFV</t>
  </si>
  <si>
    <t>CFTV /UFV</t>
  </si>
  <si>
    <t>SOMENTE COM DUAS CAMERAS ATIVAS NO MOMENTO/ INVERSORES OFF-LINE</t>
  </si>
  <si>
    <t>falha de comunicação.</t>
  </si>
  <si>
    <t>ARAÇU 1</t>
  </si>
  <si>
    <t>UFV Araguatins 01</t>
  </si>
  <si>
    <t>Relé atuando na função 50N e 86Q</t>
  </si>
  <si>
    <t>inspeção reset no relé e rearmado disjutor</t>
  </si>
  <si>
    <t>Rio Bonito 1</t>
  </si>
  <si>
    <t>Foi feito inspeção na subestação e fechado o religador .</t>
  </si>
  <si>
    <t>UFV Araguatins 01 UFV 03</t>
  </si>
  <si>
    <t>sem nenhum alarme no relé AGUARDANDO AVALIAÇÃO</t>
  </si>
  <si>
    <t>inspeção visual fechado disjuntor</t>
  </si>
  <si>
    <t>UFV Aracu 4</t>
  </si>
  <si>
    <t>UFV Formoso 2.1</t>
  </si>
  <si>
    <t>Manutenção - TP</t>
  </si>
  <si>
    <t>#########</t>
  </si>
  <si>
    <t>adequação de TP</t>
  </si>
  <si>
    <t>Foi feita a adequação de um TP auxiliar</t>
  </si>
  <si>
    <t>queda de internet</t>
  </si>
  <si>
    <t>foi feito a espeçao no CFTV e Foi desligado e religado novamente o roteador de internet</t>
  </si>
  <si>
    <t>Foi feito a espeçao no CFTV e foi desligado e religado o roteador novamente</t>
  </si>
  <si>
    <t>UFV Estrela de Aracu</t>
  </si>
  <si>
    <t>foi feito a espeçao no CFTV e foi desligado e religado o roteador novamente</t>
  </si>
  <si>
    <t>UFV BC CAMARÃO 1.1</t>
  </si>
  <si>
    <t>A usina apresentou desligamento dos inversores devido à atuação do relé de proteção com o código 59ABC.</t>
  </si>
  <si>
    <t>Foi realizada inspeção nos componentes do sistema de geração e procedeu-se com o reset do relé de proteção.</t>
  </si>
  <si>
    <t>Formoso 2 complexo</t>
  </si>
  <si>
    <t>Foi feita a inspeção no local e rearmado os disjuntores</t>
  </si>
  <si>
    <t>UFV Camarão (Complexo)</t>
  </si>
  <si>
    <t>A usina apresentou falha de operação devido à interrupção no fornecimento de energia, causada por rompimento de cabo na rede.</t>
  </si>
  <si>
    <t>Foi realizada a emenda do cabo danificado e, em seguida, efetuado o reset do relé de proteção.</t>
  </si>
  <si>
    <t>Formoso 2 ( complexo )</t>
  </si>
  <si>
    <t>Relé atuando na função ABC</t>
  </si>
  <si>
    <t>Feita a inspeção no local e rearmado os disjuntores</t>
  </si>
  <si>
    <t>UFV Formoso 1.1</t>
  </si>
  <si>
    <t>Manutenção - QGBT</t>
  </si>
  <si>
    <t>Manutenção no QGBT , resolução de pendências pós entrega de obra</t>
  </si>
  <si>
    <t>Foi feita manutenção nas canaletas do QGBT</t>
  </si>
  <si>
    <t>sem alarme no relé AGUARDANDO AVALIAÇÃO</t>
  </si>
  <si>
    <t>inspeção visual e rearmado disjutor</t>
  </si>
  <si>
    <t>UFV Formoso 2.2</t>
  </si>
  <si>
    <t>Corumbá 1.1</t>
  </si>
  <si>
    <t>manutenção</t>
  </si>
  <si>
    <t>devido ter que abrir o disjuntor geral para equipe da Power sys fazer a manutenção corretiva nos cubículos.</t>
  </si>
  <si>
    <t>Após ser feito inspeção e manutenção nos cubículos, UFV foi energizada.</t>
  </si>
  <si>
    <t>UFV Araguatins 1.1 .1.2 1.3 2.1 2.2</t>
  </si>
  <si>
    <t>relé atuando na 50N 86Q 51abc</t>
  </si>
  <si>
    <t>inspeção reset nos relés e rearmado disjutor</t>
  </si>
  <si>
    <t>UFV BC PARANOÁ</t>
  </si>
  <si>
    <t>CAMERAS FUNCIONANDO PARCIALMENTE</t>
  </si>
  <si>
    <t>UFV ARAGUATINS 1.3</t>
  </si>
  <si>
    <t>sem alarme no relé</t>
  </si>
  <si>
    <t>inspecionado todo o cubículo reset no relé e rearmado disjutor</t>
  </si>
  <si>
    <t>UFV CAMARÃO 1.1</t>
  </si>
  <si>
    <t>A usina apresentou desligamento dos inversores devido à atuação do relé que não apresentou nem um cód de segurança.</t>
  </si>
  <si>
    <t>procedeu-se com o religamento do disjuntor . Após a ação, a usina retornou à operação normal.</t>
  </si>
  <si>
    <t>UFV BOM SUCESSO</t>
  </si>
  <si>
    <t>CAMERAS OFF-LINE (PARCIAL)</t>
  </si>
  <si>
    <t>falha na comunicação do sistema do CFTV.</t>
  </si>
  <si>
    <t>O sistema o CFTV voltou por si só</t>
  </si>
  <si>
    <t>Ibiúna 1.2</t>
  </si>
  <si>
    <t>Araguatins 2.1</t>
  </si>
  <si>
    <t>Ibiúna 1.1</t>
  </si>
  <si>
    <t>Caiapônia 1.1</t>
  </si>
  <si>
    <t>foi feito inspeção em campo, e feito reset nos relés e fechado o disjuntor</t>
  </si>
  <si>
    <t>falta de energia na UFV sem nenhum alarme no relé</t>
  </si>
  <si>
    <t>inspeção e rearmado disjutor</t>
  </si>
  <si>
    <t>UC BC</t>
  </si>
  <si>
    <t>UC Brasol</t>
  </si>
  <si>
    <t>Araçu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</si>
</sst>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h]:mm:ss;@"/>
    <numFmt numFmtId="166" formatCode="[$-F400]h:mm:ss\ AM/PM"/>
  </numFmts>
  <fonts count="15">
    <font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8"/>
      <color theme="1"/>
      <name val="Verdana"/>
      <family val="2"/>
    </font>
    <font>
      <sz val="11"/>
      <name val="Calibri"/>
      <family val="2"/>
    </font>
    <font>
      <sz val="11"/>
      <color rgb="FFFFC000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B7B7B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3" fillId="0" borderId="0" xfId="0" applyFo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4" fontId="5" fillId="0" borderId="0" xfId="0" applyNumberFormat="1" applyFont="1" applyAlignment="1">
      <alignment wrapText="1"/>
    </xf>
    <xf numFmtId="20" fontId="5" fillId="0" borderId="0" xfId="0" applyNumberFormat="1" applyFont="1" applyAlignment="1">
      <alignment wrapText="1"/>
    </xf>
    <xf numFmtId="0" fontId="4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14" fontId="5" fillId="3" borderId="0" xfId="0" applyNumberFormat="1" applyFont="1" applyFill="1" applyAlignment="1">
      <alignment wrapText="1"/>
    </xf>
    <xf numFmtId="20" fontId="5" fillId="3" borderId="0" xfId="0" applyNumberFormat="1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14" fontId="5" fillId="4" borderId="0" xfId="0" applyNumberFormat="1" applyFont="1" applyFill="1" applyAlignment="1">
      <alignment wrapText="1"/>
    </xf>
    <xf numFmtId="20" fontId="5" fillId="4" borderId="0" xfId="0" applyNumberFormat="1" applyFont="1" applyFill="1" applyAlignment="1">
      <alignment wrapText="1"/>
    </xf>
    <xf numFmtId="16" fontId="5" fillId="0" borderId="0" xfId="0" applyNumberFormat="1" applyFont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6" borderId="0" xfId="0" applyFill="1"/>
    <xf numFmtId="0" fontId="4" fillId="7" borderId="0" xfId="0" applyFont="1" applyFill="1" applyAlignment="1">
      <alignment wrapText="1"/>
    </xf>
    <xf numFmtId="14" fontId="5" fillId="7" borderId="0" xfId="0" applyNumberFormat="1" applyFont="1" applyFill="1" applyAlignment="1">
      <alignment wrapText="1"/>
    </xf>
    <xf numFmtId="20" fontId="5" fillId="7" borderId="0" xfId="0" applyNumberFormat="1" applyFont="1" applyFill="1" applyAlignment="1">
      <alignment wrapText="1"/>
    </xf>
    <xf numFmtId="0" fontId="5" fillId="7" borderId="0" xfId="0" applyFont="1" applyFill="1" applyAlignment="1">
      <alignment wrapText="1"/>
    </xf>
    <xf numFmtId="0" fontId="8" fillId="8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9" fontId="11" fillId="0" borderId="2" xfId="0" applyNumberFormat="1" applyFont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0" fontId="5" fillId="0" borderId="0" xfId="0" applyFont="1"/>
    <xf numFmtId="22" fontId="5" fillId="0" borderId="0" xfId="0" applyNumberFormat="1" applyFont="1"/>
    <xf numFmtId="0" fontId="0" fillId="6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5" fontId="0" fillId="10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165" fontId="0" fillId="11" borderId="0" xfId="0" applyNumberFormat="1" applyFill="1" applyAlignment="1">
      <alignment horizontal="center" vertical="center"/>
    </xf>
    <xf numFmtId="0" fontId="0" fillId="11" borderId="0" xfId="0" applyFill="1"/>
    <xf numFmtId="0" fontId="0" fillId="0" borderId="0" xfId="0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1C7782C3-6076-4954-9211-E716C191A02D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CAF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ACC7-6CF5-46A1-97FD-72B8E1BF8C56}">
  <sheetPr codeName="Planilha2"/>
  <dimension ref="A1:I92"/>
  <sheetViews>
    <sheetView topLeftCell="C1" zoomScale="110" zoomScaleNormal="110" workbookViewId="0">
      <selection activeCell="C2" sqref="C2"/>
    </sheetView>
  </sheetViews>
  <sheetFormatPr defaultRowHeight="15" customHeight="1"/>
  <cols>
    <col min="1" max="1" width="9.140625" style="1"/>
    <col min="2" max="2" width="18.42578125" style="1" customWidth="1"/>
    <col min="3" max="3" width="22.85546875" style="1" customWidth="1"/>
    <col min="4" max="4" width="41.5703125" style="1" bestFit="1" customWidth="1"/>
    <col min="5" max="5" width="32.5703125" style="1" bestFit="1" customWidth="1"/>
    <col min="6" max="6" width="24.140625" style="1" bestFit="1" customWidth="1"/>
    <col min="7" max="7" width="18.85546875" style="1" bestFit="1" customWidth="1"/>
    <col min="8" max="8" width="9.140625" style="1"/>
    <col min="9" max="9" width="14.140625" style="1" bestFit="1" customWidth="1"/>
  </cols>
  <sheetData>
    <row r="1" spans="1:9" s="10" customFormat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</row>
    <row r="2" spans="1:9">
      <c r="A2" s="36">
        <v>12</v>
      </c>
      <c r="B2" s="36">
        <v>10031214850</v>
      </c>
      <c r="C2" s="36" t="s">
        <v>9</v>
      </c>
      <c r="D2" s="36" t="s">
        <v>10</v>
      </c>
      <c r="E2" s="37" t="s">
        <v>11</v>
      </c>
      <c r="F2" s="36"/>
      <c r="G2" s="36">
        <f>(18301.5+18559+18704.1+18474.3+17544.2+16254.4+18781.5)/1000</f>
        <v>126.61899999999999</v>
      </c>
      <c r="H2" s="38">
        <v>135.1</v>
      </c>
      <c r="I2" s="39">
        <f>IF(G2&lt;&gt;0,G2/H2,F2/H2)</f>
        <v>0.9372242783123611</v>
      </c>
    </row>
    <row r="3" spans="1:9">
      <c r="A3" s="36">
        <v>12</v>
      </c>
      <c r="B3" s="36">
        <v>10031394475</v>
      </c>
      <c r="C3" s="36" t="s">
        <v>12</v>
      </c>
      <c r="D3" s="36" t="s">
        <v>13</v>
      </c>
      <c r="E3" s="37" t="s">
        <v>14</v>
      </c>
      <c r="F3" s="36">
        <v>42.58</v>
      </c>
      <c r="G3" s="36"/>
      <c r="H3" s="38">
        <v>36.619999999999997</v>
      </c>
      <c r="I3" s="39">
        <f>IF(G3&lt;&gt;0,G3/H3,F3/H3)</f>
        <v>1.1627525942108139</v>
      </c>
    </row>
    <row r="4" spans="1:9">
      <c r="A4" s="36">
        <v>12</v>
      </c>
      <c r="B4" s="36">
        <v>10031394572</v>
      </c>
      <c r="C4" s="36" t="s">
        <v>15</v>
      </c>
      <c r="D4" s="36" t="s">
        <v>16</v>
      </c>
      <c r="E4" s="37" t="s">
        <v>14</v>
      </c>
      <c r="F4" s="36">
        <v>38.21</v>
      </c>
      <c r="G4" s="36"/>
      <c r="H4" s="38">
        <v>43.16</v>
      </c>
      <c r="I4" s="39">
        <f>IF(G4&lt;&gt;0,G4/H4,F4/H4)</f>
        <v>0.88531047265987028</v>
      </c>
    </row>
    <row r="5" spans="1:9" s="4" customFormat="1">
      <c r="A5" s="36">
        <v>12</v>
      </c>
      <c r="B5" s="36">
        <v>10031394211</v>
      </c>
      <c r="C5" s="36" t="s">
        <v>17</v>
      </c>
      <c r="D5" s="36" t="s">
        <v>18</v>
      </c>
      <c r="E5" s="37" t="s">
        <v>14</v>
      </c>
      <c r="F5" s="36">
        <v>52.18</v>
      </c>
      <c r="G5" s="36"/>
      <c r="H5" s="38">
        <v>78.33</v>
      </c>
      <c r="I5" s="39">
        <f>IF(G5&lt;&gt;0,G5/H5,F5/H5)</f>
        <v>0.66615600663858032</v>
      </c>
    </row>
    <row r="6" spans="1:9">
      <c r="A6" s="36">
        <v>12</v>
      </c>
      <c r="B6" s="36">
        <v>10031394599</v>
      </c>
      <c r="C6" s="36" t="s">
        <v>19</v>
      </c>
      <c r="D6" s="36" t="s">
        <v>20</v>
      </c>
      <c r="E6" s="37" t="s">
        <v>14</v>
      </c>
      <c r="F6" s="36">
        <v>77.08</v>
      </c>
      <c r="G6" s="36"/>
      <c r="H6" s="38">
        <v>87.5</v>
      </c>
      <c r="I6" s="39">
        <f>IF(G6&lt;&gt;0,G6/H6,F6/H6)</f>
        <v>0.88091428571428565</v>
      </c>
    </row>
    <row r="7" spans="1:9">
      <c r="A7" s="36">
        <v>12</v>
      </c>
      <c r="B7" s="36">
        <v>10035044444</v>
      </c>
      <c r="C7" s="36" t="s">
        <v>21</v>
      </c>
      <c r="D7" s="36" t="s">
        <v>22</v>
      </c>
      <c r="E7" s="37" t="s">
        <v>23</v>
      </c>
      <c r="F7" s="36">
        <v>19.14</v>
      </c>
      <c r="G7" s="36"/>
      <c r="H7" s="38">
        <v>20.47</v>
      </c>
      <c r="I7" s="39">
        <f>IF(G7&lt;&gt;0,G7/H7,F7/H7)</f>
        <v>0.93502686858817785</v>
      </c>
    </row>
    <row r="8" spans="1:9">
      <c r="A8" s="36">
        <v>12</v>
      </c>
      <c r="B8" s="36">
        <v>10035044363</v>
      </c>
      <c r="C8" s="36" t="s">
        <v>24</v>
      </c>
      <c r="D8" s="36" t="s">
        <v>25</v>
      </c>
      <c r="E8" s="37" t="s">
        <v>23</v>
      </c>
      <c r="F8" s="36">
        <v>18.75</v>
      </c>
      <c r="G8" s="36"/>
      <c r="H8" s="38">
        <v>20.350000000000001</v>
      </c>
      <c r="I8" s="39">
        <f>IF(G8&lt;&gt;0,G8/H8,F8/H8)</f>
        <v>0.92137592137592128</v>
      </c>
    </row>
    <row r="9" spans="1:9">
      <c r="A9" s="36">
        <v>12</v>
      </c>
      <c r="B9" s="36">
        <v>10035302079</v>
      </c>
      <c r="C9" s="36" t="s">
        <v>26</v>
      </c>
      <c r="D9" s="36" t="s">
        <v>27</v>
      </c>
      <c r="E9" s="37" t="s">
        <v>28</v>
      </c>
      <c r="F9" s="36">
        <v>45.71</v>
      </c>
      <c r="G9" s="36"/>
      <c r="H9" s="38">
        <v>53.49</v>
      </c>
      <c r="I9" s="39">
        <f>IF(G9&lt;&gt;0,G9/H9,F9/H9)</f>
        <v>0.85455225275752478</v>
      </c>
    </row>
    <row r="10" spans="1:9">
      <c r="A10" s="36">
        <v>12</v>
      </c>
      <c r="B10" s="36" t="s">
        <v>29</v>
      </c>
      <c r="C10" s="36" t="s">
        <v>30</v>
      </c>
      <c r="D10" s="36" t="s">
        <v>31</v>
      </c>
      <c r="E10" s="37" t="s">
        <v>32</v>
      </c>
      <c r="F10" s="36">
        <v>12.03</v>
      </c>
      <c r="G10" s="36"/>
      <c r="H10" s="38">
        <v>11.94</v>
      </c>
      <c r="I10" s="39">
        <f>IF(G10&lt;&gt;0,G10/H10,F10/H10)</f>
        <v>1.0075376884422111</v>
      </c>
    </row>
    <row r="11" spans="1:9">
      <c r="A11" s="36">
        <v>12</v>
      </c>
      <c r="B11" s="36" t="s">
        <v>33</v>
      </c>
      <c r="C11" s="36" t="s">
        <v>34</v>
      </c>
      <c r="D11" s="36" t="s">
        <v>35</v>
      </c>
      <c r="E11" s="37" t="s">
        <v>32</v>
      </c>
      <c r="F11" s="36">
        <v>45.57</v>
      </c>
      <c r="G11" s="36"/>
      <c r="H11" s="38">
        <v>45.27</v>
      </c>
      <c r="I11" s="39">
        <f>IF(G11&lt;&gt;0,G11/H11,F11/H11)</f>
        <v>1.006626905235255</v>
      </c>
    </row>
    <row r="12" spans="1:9">
      <c r="A12" s="36">
        <v>12</v>
      </c>
      <c r="B12" s="36" t="s">
        <v>36</v>
      </c>
      <c r="C12" s="36" t="s">
        <v>37</v>
      </c>
      <c r="D12" s="36" t="s">
        <v>38</v>
      </c>
      <c r="E12" s="37" t="s">
        <v>32</v>
      </c>
      <c r="F12" s="36">
        <v>45.36</v>
      </c>
      <c r="G12" s="36"/>
      <c r="H12" s="38">
        <v>46.02</v>
      </c>
      <c r="I12" s="39">
        <f>IF(G12&lt;&gt;0,G12/H12,F12/H12)</f>
        <v>0.98565840938722282</v>
      </c>
    </row>
    <row r="13" spans="1:9">
      <c r="A13" s="36">
        <v>12</v>
      </c>
      <c r="B13" s="36">
        <v>10031246905</v>
      </c>
      <c r="C13" s="36" t="s">
        <v>39</v>
      </c>
      <c r="D13" s="36" t="s">
        <v>40</v>
      </c>
      <c r="E13" s="37" t="s">
        <v>41</v>
      </c>
      <c r="F13" s="36">
        <v>95.25</v>
      </c>
      <c r="G13" s="36">
        <v>96.64</v>
      </c>
      <c r="H13" s="38">
        <v>100.8</v>
      </c>
      <c r="I13" s="39">
        <f>IF(G13&lt;&gt;0,G13/H13,F13/H13)</f>
        <v>0.95873015873015877</v>
      </c>
    </row>
    <row r="14" spans="1:9">
      <c r="A14" s="36">
        <v>12</v>
      </c>
      <c r="B14" s="36">
        <v>10035461975</v>
      </c>
      <c r="C14" s="36" t="s">
        <v>42</v>
      </c>
      <c r="D14" s="36" t="s">
        <v>43</v>
      </c>
      <c r="E14" s="37" t="s">
        <v>44</v>
      </c>
      <c r="F14" s="36">
        <v>81.63</v>
      </c>
      <c r="G14" s="36"/>
      <c r="H14" s="38">
        <v>91.2</v>
      </c>
      <c r="I14" s="39">
        <f>IF(G14&lt;&gt;0,G14/H14,F14/H14)</f>
        <v>0.89506578947368409</v>
      </c>
    </row>
    <row r="15" spans="1:9">
      <c r="A15" s="36">
        <v>12</v>
      </c>
      <c r="B15" s="36">
        <v>10035461983</v>
      </c>
      <c r="C15" s="36" t="s">
        <v>45</v>
      </c>
      <c r="D15" s="36" t="s">
        <v>46</v>
      </c>
      <c r="E15" s="37" t="s">
        <v>44</v>
      </c>
      <c r="F15" s="36">
        <v>68.91</v>
      </c>
      <c r="G15" s="36"/>
      <c r="H15" s="38">
        <v>77.81</v>
      </c>
      <c r="I15" s="39">
        <f>IF(G15&lt;&gt;0,G15/H15,F15/H15)</f>
        <v>0.8856188150623312</v>
      </c>
    </row>
    <row r="16" spans="1:9">
      <c r="A16" s="36">
        <v>12</v>
      </c>
      <c r="B16" s="36">
        <v>10035505336</v>
      </c>
      <c r="C16" s="36" t="s">
        <v>47</v>
      </c>
      <c r="D16" s="36" t="s">
        <v>48</v>
      </c>
      <c r="E16" s="37" t="s">
        <v>44</v>
      </c>
      <c r="F16" s="36">
        <v>51.45</v>
      </c>
      <c r="G16" s="36"/>
      <c r="H16" s="38">
        <v>56.31</v>
      </c>
      <c r="I16" s="39">
        <f>IF(G16&lt;&gt;0,G16/H16,F16/H16)</f>
        <v>0.91369206180074591</v>
      </c>
    </row>
    <row r="17" spans="1:9">
      <c r="A17" s="36">
        <v>12</v>
      </c>
      <c r="B17" s="36">
        <v>10035462122</v>
      </c>
      <c r="C17" s="36" t="s">
        <v>49</v>
      </c>
      <c r="D17" s="36" t="s">
        <v>50</v>
      </c>
      <c r="E17" s="37" t="s">
        <v>44</v>
      </c>
      <c r="F17" s="36">
        <v>40.090000000000003</v>
      </c>
      <c r="G17" s="36"/>
      <c r="H17" s="38">
        <v>42.99</v>
      </c>
      <c r="I17" s="39">
        <f>IF(G17&lt;&gt;0,G17/H17,F17/H17)</f>
        <v>0.93254245173296124</v>
      </c>
    </row>
    <row r="18" spans="1:9">
      <c r="A18" s="36">
        <v>12</v>
      </c>
      <c r="B18" s="36">
        <v>10035462130</v>
      </c>
      <c r="C18" s="36" t="s">
        <v>51</v>
      </c>
      <c r="D18" s="36" t="s">
        <v>52</v>
      </c>
      <c r="E18" s="37" t="s">
        <v>44</v>
      </c>
      <c r="F18" s="36">
        <v>42.28</v>
      </c>
      <c r="G18" s="36"/>
      <c r="H18" s="38">
        <v>48.32</v>
      </c>
      <c r="I18" s="39">
        <f>IF(G18&lt;&gt;0,G18/H18,F18/H18)</f>
        <v>0.875</v>
      </c>
    </row>
    <row r="19" spans="1:9">
      <c r="A19" s="36">
        <v>12</v>
      </c>
      <c r="B19" s="36">
        <v>10035462084</v>
      </c>
      <c r="C19" s="36" t="s">
        <v>53</v>
      </c>
      <c r="D19" s="36" t="s">
        <v>54</v>
      </c>
      <c r="E19" s="37" t="s">
        <v>55</v>
      </c>
      <c r="F19" s="36">
        <v>182.71</v>
      </c>
      <c r="G19" s="36"/>
      <c r="H19" s="38">
        <v>232.78</v>
      </c>
      <c r="I19" s="39">
        <f>IF(G19&lt;&gt;0,G19/H19,F19/H19)</f>
        <v>0.78490420139187222</v>
      </c>
    </row>
    <row r="20" spans="1:9">
      <c r="A20" s="36">
        <v>12</v>
      </c>
      <c r="B20" s="36">
        <v>10035462114</v>
      </c>
      <c r="C20" s="36" t="s">
        <v>56</v>
      </c>
      <c r="D20" s="36" t="s">
        <v>57</v>
      </c>
      <c r="E20" s="37" t="s">
        <v>55</v>
      </c>
      <c r="F20" s="36">
        <v>177.1</v>
      </c>
      <c r="G20" s="36"/>
      <c r="H20" s="38">
        <v>222.66</v>
      </c>
      <c r="I20" s="39">
        <f>IF(G20&lt;&gt;0,G20/H20,F20/H20)</f>
        <v>0.79538309530225459</v>
      </c>
    </row>
    <row r="21" spans="1:9">
      <c r="A21" s="36">
        <v>12</v>
      </c>
      <c r="B21" s="36">
        <v>10035462262</v>
      </c>
      <c r="C21" s="36" t="s">
        <v>58</v>
      </c>
      <c r="D21" s="36" t="s">
        <v>59</v>
      </c>
      <c r="E21" s="37" t="s">
        <v>55</v>
      </c>
      <c r="F21" s="36">
        <v>179.44</v>
      </c>
      <c r="G21" s="36"/>
      <c r="H21" s="38">
        <v>230.76</v>
      </c>
      <c r="I21" s="39">
        <f>IF(G21&lt;&gt;0,G21/H21,F21/H21)</f>
        <v>0.77760443751083375</v>
      </c>
    </row>
    <row r="22" spans="1:9">
      <c r="A22" s="36">
        <v>12</v>
      </c>
      <c r="B22" s="36">
        <v>10035977122</v>
      </c>
      <c r="C22" s="36" t="s">
        <v>60</v>
      </c>
      <c r="D22" s="36" t="s">
        <v>61</v>
      </c>
      <c r="E22" s="37" t="s">
        <v>62</v>
      </c>
      <c r="F22" s="36">
        <v>195.04</v>
      </c>
      <c r="G22" s="36"/>
      <c r="H22" s="38">
        <v>252.1</v>
      </c>
      <c r="I22" s="39">
        <f>IF(G22&lt;&gt;0,G22/H22,F22/H22)</f>
        <v>0.77366124553748516</v>
      </c>
    </row>
    <row r="23" spans="1:9">
      <c r="A23" s="36">
        <v>12</v>
      </c>
      <c r="B23" s="36">
        <v>10035977130</v>
      </c>
      <c r="C23" s="36" t="s">
        <v>63</v>
      </c>
      <c r="D23" s="36" t="s">
        <v>64</v>
      </c>
      <c r="E23" s="37" t="s">
        <v>62</v>
      </c>
      <c r="F23" s="36">
        <v>200.42</v>
      </c>
      <c r="G23" s="36"/>
      <c r="H23" s="38">
        <v>251.3</v>
      </c>
      <c r="I23" s="39">
        <f>IF(G23&lt;&gt;0,G23/H23,F23/H23)</f>
        <v>0.79753282928770386</v>
      </c>
    </row>
    <row r="24" spans="1:9">
      <c r="A24" s="36">
        <v>12</v>
      </c>
      <c r="B24" s="36">
        <v>10035977149</v>
      </c>
      <c r="C24" s="36" t="s">
        <v>65</v>
      </c>
      <c r="D24" s="36" t="s">
        <v>66</v>
      </c>
      <c r="E24" s="37" t="s">
        <v>62</v>
      </c>
      <c r="F24" s="36">
        <v>200.02</v>
      </c>
      <c r="G24" s="36"/>
      <c r="H24" s="38">
        <v>251.2</v>
      </c>
      <c r="I24" s="39">
        <f>IF(G24&lt;&gt;0,G24/H24,F24/H24)</f>
        <v>0.79625796178343955</v>
      </c>
    </row>
    <row r="25" spans="1:9">
      <c r="A25" s="36">
        <v>12</v>
      </c>
      <c r="B25" s="36">
        <v>10035977157</v>
      </c>
      <c r="C25" s="36" t="s">
        <v>67</v>
      </c>
      <c r="D25" s="36" t="s">
        <v>68</v>
      </c>
      <c r="E25" s="37" t="s">
        <v>62</v>
      </c>
      <c r="F25" s="36">
        <v>200.34</v>
      </c>
      <c r="G25" s="36"/>
      <c r="H25" s="38">
        <v>250.8</v>
      </c>
      <c r="I25" s="39">
        <f>IF(G25&lt;&gt;0,G25/H25,F25/H25)</f>
        <v>0.79880382775119618</v>
      </c>
    </row>
    <row r="26" spans="1:9">
      <c r="A26" s="36">
        <v>12</v>
      </c>
      <c r="B26" s="36">
        <v>10035977203</v>
      </c>
      <c r="C26" s="36" t="s">
        <v>69</v>
      </c>
      <c r="D26" s="36" t="s">
        <v>70</v>
      </c>
      <c r="E26" s="37" t="s">
        <v>62</v>
      </c>
      <c r="F26" s="36">
        <v>200</v>
      </c>
      <c r="G26" s="36"/>
      <c r="H26" s="38">
        <v>250.2</v>
      </c>
      <c r="I26" s="39">
        <f>IF(G26&lt;&gt;0,G26/H26,F26/H26)</f>
        <v>0.79936051159072741</v>
      </c>
    </row>
    <row r="27" spans="1:9">
      <c r="A27" s="36">
        <v>12</v>
      </c>
      <c r="B27" s="36">
        <v>10035715969</v>
      </c>
      <c r="C27" s="36" t="s">
        <v>71</v>
      </c>
      <c r="D27" s="36" t="s">
        <v>72</v>
      </c>
      <c r="E27" s="37" t="s">
        <v>73</v>
      </c>
      <c r="F27" s="36">
        <v>184.41</v>
      </c>
      <c r="G27" s="36"/>
      <c r="H27" s="38">
        <v>218.73</v>
      </c>
      <c r="I27" s="39">
        <f>IF(G27&lt;&gt;0,G27/H27,F27/H27)</f>
        <v>0.84309422575778359</v>
      </c>
    </row>
    <row r="28" spans="1:9">
      <c r="A28" s="36">
        <v>12</v>
      </c>
      <c r="B28" s="36">
        <v>10035715993</v>
      </c>
      <c r="C28" s="36" t="s">
        <v>74</v>
      </c>
      <c r="D28" s="36" t="s">
        <v>75</v>
      </c>
      <c r="E28" s="37" t="s">
        <v>73</v>
      </c>
      <c r="F28" s="36">
        <v>88.41</v>
      </c>
      <c r="G28" s="36"/>
      <c r="H28" s="38">
        <v>109.37</v>
      </c>
      <c r="I28" s="39">
        <f>IF(G28&lt;&gt;0,G28/H28,F28/H28)</f>
        <v>0.80835695346072955</v>
      </c>
    </row>
    <row r="29" spans="1:9">
      <c r="A29" s="36">
        <v>12</v>
      </c>
      <c r="B29" s="36">
        <v>1003665285</v>
      </c>
      <c r="C29" s="36" t="s">
        <v>76</v>
      </c>
      <c r="D29" s="36" t="s">
        <v>77</v>
      </c>
      <c r="E29" s="37" t="s">
        <v>78</v>
      </c>
      <c r="F29" s="36">
        <v>167.42</v>
      </c>
      <c r="G29" s="36"/>
      <c r="H29" s="38">
        <v>244.42</v>
      </c>
      <c r="I29" s="39">
        <f>IF(G29&lt;&gt;0,G29/H29,F29/H29)</f>
        <v>0.68496849684968497</v>
      </c>
    </row>
    <row r="30" spans="1:9">
      <c r="A30" s="36">
        <v>12</v>
      </c>
      <c r="B30" s="36">
        <v>1003665286</v>
      </c>
      <c r="C30" s="36" t="s">
        <v>79</v>
      </c>
      <c r="D30" s="36" t="s">
        <v>80</v>
      </c>
      <c r="E30" s="37" t="s">
        <v>78</v>
      </c>
      <c r="F30" s="36">
        <v>149.81</v>
      </c>
      <c r="G30" s="36"/>
      <c r="H30" s="38">
        <v>237.23</v>
      </c>
      <c r="I30" s="39">
        <f>IF(G30&lt;&gt;0,G30/H30,F30/H30)</f>
        <v>0.63149685958774193</v>
      </c>
    </row>
    <row r="31" spans="1:9">
      <c r="A31" s="36">
        <v>12</v>
      </c>
      <c r="B31" s="36">
        <v>1003665288</v>
      </c>
      <c r="C31" s="36" t="s">
        <v>81</v>
      </c>
      <c r="D31" s="36" t="s">
        <v>82</v>
      </c>
      <c r="E31" s="37" t="s">
        <v>78</v>
      </c>
      <c r="F31" s="36">
        <v>35.450000000000003</v>
      </c>
      <c r="G31" s="36"/>
      <c r="H31" s="38">
        <v>122.21</v>
      </c>
      <c r="I31" s="39">
        <f>IF(G31&lt;&gt;0,G31/H31,F31/H31)</f>
        <v>0.29007446199165376</v>
      </c>
    </row>
    <row r="32" spans="1:9">
      <c r="A32" s="36">
        <v>12</v>
      </c>
      <c r="B32" s="36">
        <v>10035751906</v>
      </c>
      <c r="C32" s="36" t="s">
        <v>83</v>
      </c>
      <c r="D32" s="36" t="s">
        <v>84</v>
      </c>
      <c r="E32" s="37" t="s">
        <v>85</v>
      </c>
      <c r="F32" s="36">
        <v>170.35</v>
      </c>
      <c r="G32" s="36"/>
      <c r="H32" s="38">
        <v>246.14</v>
      </c>
      <c r="I32" s="39">
        <f>IF(G32&lt;&gt;0,G32/H32,F32/H32)</f>
        <v>0.69208580482652149</v>
      </c>
    </row>
    <row r="33" spans="1:9">
      <c r="A33" s="36">
        <v>12</v>
      </c>
      <c r="B33" s="36">
        <v>10035751914</v>
      </c>
      <c r="C33" s="36" t="s">
        <v>86</v>
      </c>
      <c r="D33" s="36" t="s">
        <v>87</v>
      </c>
      <c r="E33" s="37" t="s">
        <v>85</v>
      </c>
      <c r="F33" s="36">
        <v>167.95</v>
      </c>
      <c r="G33" s="36"/>
      <c r="H33" s="38">
        <v>238.9</v>
      </c>
      <c r="I33" s="39">
        <f>IF(G33&lt;&gt;0,G33/H33,F33/H33)</f>
        <v>0.70301381331100876</v>
      </c>
    </row>
    <row r="34" spans="1:9">
      <c r="A34" s="36">
        <v>12</v>
      </c>
      <c r="B34" s="36">
        <v>10035751922</v>
      </c>
      <c r="C34" s="36" t="s">
        <v>88</v>
      </c>
      <c r="D34" s="36" t="s">
        <v>89</v>
      </c>
      <c r="E34" s="37" t="s">
        <v>85</v>
      </c>
      <c r="F34" s="36">
        <v>85.13</v>
      </c>
      <c r="G34" s="36"/>
      <c r="H34" s="38">
        <v>123.07</v>
      </c>
      <c r="I34" s="39">
        <f>IF(G34&lt;&gt;0,G34/H34,F34/H34)</f>
        <v>0.69172015925895836</v>
      </c>
    </row>
    <row r="35" spans="1:9">
      <c r="A35" s="36">
        <v>12</v>
      </c>
      <c r="B35" s="36">
        <v>10035154517</v>
      </c>
      <c r="C35" s="36" t="s">
        <v>90</v>
      </c>
      <c r="D35" s="36" t="s">
        <v>91</v>
      </c>
      <c r="E35" s="37" t="s">
        <v>92</v>
      </c>
      <c r="F35" s="36">
        <v>9.4700000000000006</v>
      </c>
      <c r="G35" s="36"/>
      <c r="H35" s="38">
        <v>9.25</v>
      </c>
      <c r="I35" s="39">
        <f>IF(G35&lt;&gt;0,G35/H35,F35/H35)</f>
        <v>1.0237837837837838</v>
      </c>
    </row>
    <row r="36" spans="1:9">
      <c r="A36" s="36">
        <v>12</v>
      </c>
      <c r="B36" s="36">
        <v>10034908372</v>
      </c>
      <c r="C36" s="36" t="s">
        <v>93</v>
      </c>
      <c r="D36" s="36" t="s">
        <v>94</v>
      </c>
      <c r="E36" s="37" t="s">
        <v>92</v>
      </c>
      <c r="F36" s="36">
        <v>8.3000000000000007</v>
      </c>
      <c r="G36" s="36"/>
      <c r="H36" s="38">
        <v>9</v>
      </c>
      <c r="I36" s="39">
        <f>IF(G36&lt;&gt;0,G36/H36,F36/H36)</f>
        <v>0.92222222222222228</v>
      </c>
    </row>
    <row r="37" spans="1:9">
      <c r="A37" s="36">
        <v>12</v>
      </c>
      <c r="B37" s="36">
        <v>10035156587</v>
      </c>
      <c r="C37" s="36" t="s">
        <v>95</v>
      </c>
      <c r="D37" s="36" t="s">
        <v>96</v>
      </c>
      <c r="E37" s="37" t="s">
        <v>92</v>
      </c>
      <c r="F37" s="36">
        <v>9.5399999999999991</v>
      </c>
      <c r="G37" s="36"/>
      <c r="H37" s="38">
        <v>9.25</v>
      </c>
      <c r="I37" s="39">
        <f>IF(G37&lt;&gt;0,G37/H37,F37/H37)</f>
        <v>1.0313513513513513</v>
      </c>
    </row>
    <row r="38" spans="1:9">
      <c r="A38" s="36">
        <v>12</v>
      </c>
      <c r="B38" s="36">
        <v>10035106113</v>
      </c>
      <c r="C38" s="36" t="s">
        <v>97</v>
      </c>
      <c r="D38" s="36" t="s">
        <v>98</v>
      </c>
      <c r="E38" s="37" t="s">
        <v>92</v>
      </c>
      <c r="F38" s="36">
        <v>6.62</v>
      </c>
      <c r="G38" s="36"/>
      <c r="H38" s="38">
        <v>9.25</v>
      </c>
      <c r="I38" s="39">
        <f>IF(G38&lt;&gt;0,G38/H38,F38/H38)</f>
        <v>0.71567567567567569</v>
      </c>
    </row>
    <row r="39" spans="1:9">
      <c r="A39" s="36">
        <v>12</v>
      </c>
      <c r="B39" s="36">
        <v>10034913074</v>
      </c>
      <c r="C39" s="36" t="s">
        <v>99</v>
      </c>
      <c r="D39" s="36" t="s">
        <v>100</v>
      </c>
      <c r="E39" s="37" t="s">
        <v>92</v>
      </c>
      <c r="F39" s="36">
        <v>8.35</v>
      </c>
      <c r="G39" s="36"/>
      <c r="H39" s="38">
        <v>9</v>
      </c>
      <c r="I39" s="39">
        <f>IF(G39&lt;&gt;0,G39/H39,F39/H39)</f>
        <v>0.9277777777777777</v>
      </c>
    </row>
    <row r="40" spans="1:9">
      <c r="A40" s="36">
        <v>12</v>
      </c>
      <c r="B40" s="36">
        <v>10034908402</v>
      </c>
      <c r="C40" s="36" t="s">
        <v>101</v>
      </c>
      <c r="D40" s="36" t="s">
        <v>102</v>
      </c>
      <c r="E40" s="37" t="s">
        <v>92</v>
      </c>
      <c r="F40" s="36">
        <v>8.33</v>
      </c>
      <c r="G40" s="36"/>
      <c r="H40" s="38">
        <v>9</v>
      </c>
      <c r="I40" s="39">
        <f>IF(G40&lt;&gt;0,G40/H40,F40/H40)</f>
        <v>0.92555555555555558</v>
      </c>
    </row>
    <row r="41" spans="1:9">
      <c r="A41" s="36">
        <v>12</v>
      </c>
      <c r="B41" s="36">
        <v>10035156609</v>
      </c>
      <c r="C41" s="36" t="s">
        <v>103</v>
      </c>
      <c r="D41" s="36" t="s">
        <v>104</v>
      </c>
      <c r="E41" s="37" t="s">
        <v>92</v>
      </c>
      <c r="F41" s="36">
        <v>9.64</v>
      </c>
      <c r="G41" s="36"/>
      <c r="H41" s="38">
        <v>9.25</v>
      </c>
      <c r="I41" s="39">
        <f>IF(G41&lt;&gt;0,G41/H41,F41/H41)</f>
        <v>1.0421621621621622</v>
      </c>
    </row>
    <row r="42" spans="1:9">
      <c r="A42" s="36">
        <v>12</v>
      </c>
      <c r="B42" s="36" t="s">
        <v>105</v>
      </c>
      <c r="C42" s="36" t="s">
        <v>106</v>
      </c>
      <c r="D42" s="36" t="s">
        <v>107</v>
      </c>
      <c r="E42" s="37" t="s">
        <v>108</v>
      </c>
      <c r="F42" s="36">
        <v>85.92</v>
      </c>
      <c r="G42" s="36"/>
      <c r="H42" s="38">
        <v>88.8</v>
      </c>
      <c r="I42" s="39">
        <f>IF(G42&lt;&gt;0,G42/H42,F42/H42)</f>
        <v>0.96756756756756757</v>
      </c>
    </row>
    <row r="43" spans="1:9">
      <c r="A43" s="36">
        <v>12</v>
      </c>
      <c r="B43" s="36" t="s">
        <v>109</v>
      </c>
      <c r="C43" s="36" t="s">
        <v>110</v>
      </c>
      <c r="D43" s="36" t="s">
        <v>111</v>
      </c>
      <c r="E43" s="37" t="s">
        <v>108</v>
      </c>
      <c r="F43" s="36">
        <v>45</v>
      </c>
      <c r="G43" s="36"/>
      <c r="H43" s="38">
        <v>48.92</v>
      </c>
      <c r="I43" s="39">
        <f>IF(G43&lt;&gt;0,G43/H43,F43/H43)</f>
        <v>0.91986917416189695</v>
      </c>
    </row>
    <row r="44" spans="1:9">
      <c r="A44" s="36">
        <v>12</v>
      </c>
      <c r="B44" s="36" t="s">
        <v>112</v>
      </c>
      <c r="C44" s="36" t="s">
        <v>113</v>
      </c>
      <c r="D44" s="36" t="s">
        <v>114</v>
      </c>
      <c r="E44" s="37" t="s">
        <v>108</v>
      </c>
      <c r="F44" s="36">
        <v>19.02</v>
      </c>
      <c r="G44" s="36"/>
      <c r="H44" s="38">
        <v>53.63</v>
      </c>
      <c r="I44" s="39">
        <f>IF(G44&lt;&gt;0,G44/H44,F44/H44)</f>
        <v>0.35465224687674807</v>
      </c>
    </row>
    <row r="45" spans="1:9">
      <c r="A45" s="36">
        <v>12</v>
      </c>
      <c r="B45" s="36" t="s">
        <v>115</v>
      </c>
      <c r="C45" s="36" t="s">
        <v>116</v>
      </c>
      <c r="D45" s="36" t="s">
        <v>117</v>
      </c>
      <c r="E45" s="37" t="s">
        <v>108</v>
      </c>
      <c r="F45" s="36">
        <v>59.93</v>
      </c>
      <c r="G45" s="36"/>
      <c r="H45" s="38">
        <v>61.45</v>
      </c>
      <c r="I45" s="39">
        <f>IF(G45&lt;&gt;0,G45/H45,F45/H45)</f>
        <v>0.97526444263628964</v>
      </c>
    </row>
    <row r="46" spans="1:9">
      <c r="A46" s="36">
        <v>12</v>
      </c>
      <c r="B46" s="36" t="s">
        <v>118</v>
      </c>
      <c r="C46" s="36" t="s">
        <v>119</v>
      </c>
      <c r="D46" s="36" t="s">
        <v>120</v>
      </c>
      <c r="E46" s="37" t="s">
        <v>108</v>
      </c>
      <c r="F46" s="36">
        <v>26.65</v>
      </c>
      <c r="G46" s="36"/>
      <c r="H46" s="38">
        <v>27.47</v>
      </c>
      <c r="I46" s="39">
        <f>IF(G46&lt;&gt;0,G46/H46,F46/H46)</f>
        <v>0.97014925373134331</v>
      </c>
    </row>
    <row r="47" spans="1:9">
      <c r="A47" s="36">
        <v>12</v>
      </c>
      <c r="B47" s="36" t="s">
        <v>121</v>
      </c>
      <c r="C47" s="36" t="s">
        <v>122</v>
      </c>
      <c r="D47" s="36" t="s">
        <v>123</v>
      </c>
      <c r="E47" s="37" t="s">
        <v>108</v>
      </c>
      <c r="F47" s="36">
        <v>27.12</v>
      </c>
      <c r="G47" s="36"/>
      <c r="H47" s="38">
        <v>27.47</v>
      </c>
      <c r="I47" s="39">
        <f>IF(G47&lt;&gt;0,G47/H47,F47/H47)</f>
        <v>0.98725882781215879</v>
      </c>
    </row>
    <row r="48" spans="1:9">
      <c r="A48" s="36">
        <v>12</v>
      </c>
      <c r="B48" s="36" t="s">
        <v>124</v>
      </c>
      <c r="C48" s="36" t="s">
        <v>125</v>
      </c>
      <c r="D48" s="36" t="s">
        <v>126</v>
      </c>
      <c r="E48" s="37" t="s">
        <v>108</v>
      </c>
      <c r="F48" s="36">
        <v>32.6</v>
      </c>
      <c r="G48" s="36"/>
      <c r="H48" s="38">
        <v>62.33</v>
      </c>
      <c r="I48" s="39">
        <f>IF(G48&lt;&gt;0,G48/H48,F48/H48)</f>
        <v>0.52302262153056311</v>
      </c>
    </row>
    <row r="49" spans="1:9">
      <c r="A49" s="36">
        <v>12</v>
      </c>
      <c r="B49" s="36" t="s">
        <v>127</v>
      </c>
      <c r="C49" s="36" t="s">
        <v>128</v>
      </c>
      <c r="D49" s="36" t="s">
        <v>129</v>
      </c>
      <c r="E49" s="37" t="s">
        <v>108</v>
      </c>
      <c r="F49" s="36">
        <v>28.34</v>
      </c>
      <c r="G49" s="36"/>
      <c r="H49" s="38">
        <v>29.29</v>
      </c>
      <c r="I49" s="39">
        <f>IF(G49&lt;&gt;0,G49/H49,F49/H49)</f>
        <v>0.96756572208945035</v>
      </c>
    </row>
    <row r="50" spans="1:9">
      <c r="A50" s="36">
        <v>12</v>
      </c>
      <c r="B50" s="36">
        <v>10029355760</v>
      </c>
      <c r="C50" s="36" t="s">
        <v>130</v>
      </c>
      <c r="D50" s="36" t="s">
        <v>131</v>
      </c>
      <c r="E50" s="37" t="s">
        <v>132</v>
      </c>
      <c r="F50" s="36">
        <v>160.13</v>
      </c>
      <c r="G50" s="36"/>
      <c r="H50" s="38">
        <v>159.80000000000001</v>
      </c>
      <c r="I50" s="39">
        <f>IF(G50&lt;&gt;0,G50/H50,F50/H50)</f>
        <v>1.0020650813516896</v>
      </c>
    </row>
    <row r="51" spans="1:9">
      <c r="A51" s="36">
        <v>12</v>
      </c>
      <c r="B51" s="36">
        <v>10035716108</v>
      </c>
      <c r="C51" s="36" t="s">
        <v>133</v>
      </c>
      <c r="D51" s="36" t="s">
        <v>134</v>
      </c>
      <c r="E51" s="37" t="s">
        <v>135</v>
      </c>
      <c r="F51" s="36">
        <v>50.52</v>
      </c>
      <c r="G51" s="36"/>
      <c r="H51" s="38">
        <v>54.99</v>
      </c>
      <c r="I51" s="39">
        <f>IF(G51&lt;&gt;0,G51/H51,F51/H51)</f>
        <v>0.91871249318057835</v>
      </c>
    </row>
    <row r="52" spans="1:9">
      <c r="A52" s="36">
        <v>12</v>
      </c>
      <c r="B52" s="36">
        <v>10029848863</v>
      </c>
      <c r="C52" s="36" t="s">
        <v>136</v>
      </c>
      <c r="D52" s="36" t="s">
        <v>137</v>
      </c>
      <c r="E52" s="37" t="s">
        <v>138</v>
      </c>
      <c r="F52" s="36">
        <v>11.87</v>
      </c>
      <c r="G52" s="36"/>
      <c r="H52" s="38">
        <v>13.69</v>
      </c>
      <c r="I52" s="39">
        <f>IF(G52&lt;&gt;0,G52/H52,F52/H52)</f>
        <v>0.86705624543462378</v>
      </c>
    </row>
    <row r="53" spans="1:9">
      <c r="A53" s="36">
        <v>12</v>
      </c>
      <c r="B53" s="36">
        <v>10029848855</v>
      </c>
      <c r="C53" s="36" t="s">
        <v>139</v>
      </c>
      <c r="D53" s="36" t="s">
        <v>140</v>
      </c>
      <c r="E53" s="37" t="s">
        <v>138</v>
      </c>
      <c r="F53" s="36">
        <v>51.68</v>
      </c>
      <c r="G53" s="36"/>
      <c r="H53" s="38">
        <v>55.75</v>
      </c>
      <c r="I53" s="39">
        <f>IF(G53&lt;&gt;0,G53/H53,F53/H53)</f>
        <v>0.92699551569506722</v>
      </c>
    </row>
    <row r="54" spans="1:9">
      <c r="A54" s="36">
        <v>12</v>
      </c>
      <c r="B54" s="36">
        <v>10029848820</v>
      </c>
      <c r="C54" s="36" t="s">
        <v>141</v>
      </c>
      <c r="D54" s="36" t="s">
        <v>142</v>
      </c>
      <c r="E54" s="37" t="s">
        <v>138</v>
      </c>
      <c r="F54" s="36">
        <v>90.84</v>
      </c>
      <c r="G54" s="36"/>
      <c r="H54" s="38">
        <v>102.2</v>
      </c>
      <c r="I54" s="39">
        <f>IF(G54&lt;&gt;0,G54/H54,F54/H54)</f>
        <v>0.88884540117416833</v>
      </c>
    </row>
    <row r="55" spans="1:9">
      <c r="A55" s="36">
        <v>12</v>
      </c>
      <c r="B55" s="36">
        <v>3014365852</v>
      </c>
      <c r="C55" s="36" t="s">
        <v>143</v>
      </c>
      <c r="D55" s="36" t="s">
        <v>144</v>
      </c>
      <c r="E55" s="37" t="s">
        <v>145</v>
      </c>
      <c r="F55" s="36">
        <v>202.31</v>
      </c>
      <c r="G55" s="36"/>
      <c r="H55" s="38">
        <v>233.1</v>
      </c>
      <c r="I55" s="39">
        <f>IF(G55&lt;&gt;0,G55/H55,F55/H55)</f>
        <v>0.86791076791076793</v>
      </c>
    </row>
    <row r="56" spans="1:9">
      <c r="A56" s="36">
        <v>12</v>
      </c>
      <c r="B56" s="36">
        <v>3014365880</v>
      </c>
      <c r="C56" s="36" t="s">
        <v>146</v>
      </c>
      <c r="D56" s="36" t="s">
        <v>147</v>
      </c>
      <c r="E56" s="37" t="s">
        <v>145</v>
      </c>
      <c r="F56" s="36">
        <v>203.91</v>
      </c>
      <c r="G56" s="36"/>
      <c r="H56" s="38">
        <v>232.3</v>
      </c>
      <c r="I56" s="39">
        <f>IF(G56&lt;&gt;0,G56/H56,F56/H56)</f>
        <v>0.87778734395178648</v>
      </c>
    </row>
    <row r="57" spans="1:9">
      <c r="A57" s="36">
        <v>12</v>
      </c>
      <c r="B57" s="36">
        <v>3014365849</v>
      </c>
      <c r="C57" s="36" t="s">
        <v>148</v>
      </c>
      <c r="D57" s="36" t="s">
        <v>149</v>
      </c>
      <c r="E57" s="37" t="s">
        <v>145</v>
      </c>
      <c r="F57" s="36">
        <v>88.73</v>
      </c>
      <c r="G57" s="36"/>
      <c r="H57" s="38">
        <v>110.1</v>
      </c>
      <c r="I57" s="39">
        <f>IF(G57&lt;&gt;0,G57/H57,F57/H57)</f>
        <v>0.80590372388737519</v>
      </c>
    </row>
    <row r="58" spans="1:9">
      <c r="A58" s="36">
        <v>12</v>
      </c>
      <c r="B58" s="36">
        <v>3014367769</v>
      </c>
      <c r="C58" s="36" t="s">
        <v>150</v>
      </c>
      <c r="D58" s="36" t="s">
        <v>151</v>
      </c>
      <c r="E58" s="37" t="s">
        <v>152</v>
      </c>
      <c r="F58" s="36">
        <v>195.92</v>
      </c>
      <c r="G58" s="36"/>
      <c r="H58" s="38">
        <v>229.1</v>
      </c>
      <c r="I58" s="39">
        <f>IF(G58&lt;&gt;0,G58/H58,F58/H58)</f>
        <v>0.85517241379310338</v>
      </c>
    </row>
    <row r="59" spans="1:9">
      <c r="A59" s="36">
        <v>12</v>
      </c>
      <c r="B59" s="36">
        <v>3014367806</v>
      </c>
      <c r="C59" s="36" t="s">
        <v>153</v>
      </c>
      <c r="D59" s="36" t="s">
        <v>154</v>
      </c>
      <c r="E59" s="37" t="s">
        <v>152</v>
      </c>
      <c r="F59" s="36">
        <v>205.36</v>
      </c>
      <c r="G59" s="36"/>
      <c r="H59" s="38">
        <v>230.5</v>
      </c>
      <c r="I59" s="39">
        <f>IF(G59&lt;&gt;0,G59/H59,F59/H59)</f>
        <v>0.89093275488069423</v>
      </c>
    </row>
    <row r="60" spans="1:9">
      <c r="A60" s="36">
        <v>12</v>
      </c>
      <c r="B60" s="36">
        <v>3014367812</v>
      </c>
      <c r="C60" s="36" t="s">
        <v>155</v>
      </c>
      <c r="D60" s="36" t="s">
        <v>156</v>
      </c>
      <c r="E60" s="37" t="s">
        <v>152</v>
      </c>
      <c r="F60" s="36">
        <v>101.23</v>
      </c>
      <c r="G60" s="36"/>
      <c r="H60" s="38">
        <v>110.1</v>
      </c>
      <c r="I60" s="39">
        <f>IF(G60&lt;&gt;0,G60/H60,F60/H60)</f>
        <v>0.91943687556766585</v>
      </c>
    </row>
    <row r="61" spans="1:9">
      <c r="A61" s="36">
        <v>12</v>
      </c>
      <c r="B61" s="36">
        <v>3014367788</v>
      </c>
      <c r="C61" s="36" t="s">
        <v>157</v>
      </c>
      <c r="D61" s="36" t="s">
        <v>158</v>
      </c>
      <c r="E61" s="37" t="s">
        <v>159</v>
      </c>
      <c r="F61" s="36">
        <v>189.53</v>
      </c>
      <c r="G61" s="36"/>
      <c r="H61" s="38">
        <v>217.9</v>
      </c>
      <c r="I61" s="39">
        <f>IF(G61&lt;&gt;0,G61/H61,F61/H61)</f>
        <v>0.86980266177145482</v>
      </c>
    </row>
    <row r="62" spans="1:9">
      <c r="A62" s="36">
        <v>12</v>
      </c>
      <c r="B62" s="36">
        <v>3014367836</v>
      </c>
      <c r="C62" s="36" t="s">
        <v>160</v>
      </c>
      <c r="D62" s="36" t="s">
        <v>161</v>
      </c>
      <c r="E62" s="37" t="s">
        <v>159</v>
      </c>
      <c r="F62" s="36">
        <v>189.69</v>
      </c>
      <c r="G62" s="36"/>
      <c r="H62" s="38">
        <v>216.1</v>
      </c>
      <c r="I62" s="39">
        <f>IF(G62&lt;&gt;0,G62/H62,F62/H62)</f>
        <v>0.87778806108283203</v>
      </c>
    </row>
    <row r="63" spans="1:9">
      <c r="A63" s="36">
        <v>12</v>
      </c>
      <c r="B63" s="36">
        <v>3014367837</v>
      </c>
      <c r="C63" s="36" t="s">
        <v>162</v>
      </c>
      <c r="D63" s="36" t="s">
        <v>163</v>
      </c>
      <c r="E63" s="37" t="s">
        <v>159</v>
      </c>
      <c r="F63" s="36">
        <v>91.28</v>
      </c>
      <c r="G63" s="36"/>
      <c r="H63" s="38">
        <v>104.6</v>
      </c>
      <c r="I63" s="39">
        <f>IF(G63&lt;&gt;0,G63/H63,F63/H63)</f>
        <v>0.87265774378585093</v>
      </c>
    </row>
    <row r="64" spans="1:9">
      <c r="A64" s="36">
        <v>12</v>
      </c>
      <c r="B64" s="36">
        <v>3014367827</v>
      </c>
      <c r="C64" s="36" t="s">
        <v>164</v>
      </c>
      <c r="D64" s="36" t="s">
        <v>165</v>
      </c>
      <c r="E64" s="37" t="s">
        <v>166</v>
      </c>
      <c r="F64" s="36">
        <v>186.31</v>
      </c>
      <c r="G64" s="36"/>
      <c r="H64" s="38">
        <v>227.4</v>
      </c>
      <c r="I64" s="39">
        <f>IF(G64&lt;&gt;0,G64/H64,F64/H64)</f>
        <v>0.81930518909410732</v>
      </c>
    </row>
    <row r="65" spans="1:9">
      <c r="A65" s="36">
        <v>12</v>
      </c>
      <c r="B65" s="36">
        <v>3014367828</v>
      </c>
      <c r="C65" s="36" t="s">
        <v>167</v>
      </c>
      <c r="D65" s="36" t="s">
        <v>168</v>
      </c>
      <c r="E65" s="37" t="s">
        <v>166</v>
      </c>
      <c r="F65" s="36">
        <v>183.34</v>
      </c>
      <c r="G65" s="36"/>
      <c r="H65" s="38">
        <v>228</v>
      </c>
      <c r="I65" s="39">
        <f>IF(G65&lt;&gt;0,G65/H65,F65/H65)</f>
        <v>0.80412280701754391</v>
      </c>
    </row>
    <row r="66" spans="1:9">
      <c r="A66" s="36">
        <v>12</v>
      </c>
      <c r="B66" s="36">
        <v>3014367829</v>
      </c>
      <c r="C66" s="36" t="s">
        <v>169</v>
      </c>
      <c r="D66" s="36" t="s">
        <v>170</v>
      </c>
      <c r="E66" s="37" t="s">
        <v>166</v>
      </c>
      <c r="F66" s="36">
        <v>97.44</v>
      </c>
      <c r="G66" s="36"/>
      <c r="H66" s="38">
        <v>108.2</v>
      </c>
      <c r="I66" s="39">
        <f>IF(G66&lt;&gt;0,G66/H66,F66/H66)</f>
        <v>0.90055452865064689</v>
      </c>
    </row>
    <row r="67" spans="1:9">
      <c r="A67" s="36">
        <v>12</v>
      </c>
      <c r="B67" s="36">
        <v>4003703994</v>
      </c>
      <c r="C67" s="36" t="s">
        <v>171</v>
      </c>
      <c r="D67" s="36" t="s">
        <v>172</v>
      </c>
      <c r="E67" s="37" t="s">
        <v>172</v>
      </c>
      <c r="F67" s="36">
        <v>235.16</v>
      </c>
      <c r="G67" s="36"/>
      <c r="H67" s="38">
        <v>238.6</v>
      </c>
      <c r="I67" s="39">
        <f>IF(G67&lt;&gt;0,G67/H67,F67/H67)</f>
        <v>0.98558256496228003</v>
      </c>
    </row>
    <row r="68" spans="1:9">
      <c r="A68" s="36">
        <v>12</v>
      </c>
      <c r="B68" s="36">
        <v>10036981336</v>
      </c>
      <c r="C68" s="36" t="s">
        <v>173</v>
      </c>
      <c r="D68" s="36" t="s">
        <v>174</v>
      </c>
      <c r="E68" s="37" t="s">
        <v>175</v>
      </c>
      <c r="F68" s="36">
        <v>36.630000000000003</v>
      </c>
      <c r="G68" s="36"/>
      <c r="H68" s="38">
        <v>45.7</v>
      </c>
      <c r="I68" s="39">
        <f>IF(G68&lt;&gt;0,G68/H68,F68/H68)</f>
        <v>0.80153172866520783</v>
      </c>
    </row>
    <row r="69" spans="1:9">
      <c r="A69" s="36">
        <v>12</v>
      </c>
      <c r="B69" s="36">
        <v>10036981344</v>
      </c>
      <c r="C69" s="36" t="s">
        <v>176</v>
      </c>
      <c r="D69" s="36" t="s">
        <v>177</v>
      </c>
      <c r="E69" s="37" t="s">
        <v>175</v>
      </c>
      <c r="F69" s="36">
        <v>36.42</v>
      </c>
      <c r="G69" s="36"/>
      <c r="H69" s="38">
        <v>45.7</v>
      </c>
      <c r="I69" s="39">
        <f>IF(G69&lt;&gt;0,G69/H69,F69/H69)</f>
        <v>0.79693654266958425</v>
      </c>
    </row>
    <row r="70" spans="1:9">
      <c r="A70" s="36">
        <v>12</v>
      </c>
      <c r="B70" s="36">
        <v>10036981352</v>
      </c>
      <c r="C70" s="36" t="s">
        <v>178</v>
      </c>
      <c r="D70" s="36" t="s">
        <v>179</v>
      </c>
      <c r="E70" s="37" t="s">
        <v>175</v>
      </c>
      <c r="F70" s="36">
        <v>35.81</v>
      </c>
      <c r="G70" s="36"/>
      <c r="H70" s="38">
        <v>45.7</v>
      </c>
      <c r="I70" s="39">
        <f>IF(G70&lt;&gt;0,G70/H70,F70/H70)</f>
        <v>0.78358862144420127</v>
      </c>
    </row>
    <row r="71" spans="1:9">
      <c r="A71" s="36">
        <v>12</v>
      </c>
      <c r="B71" s="36">
        <v>10036981387</v>
      </c>
      <c r="C71" s="36" t="s">
        <v>180</v>
      </c>
      <c r="D71" s="36" t="s">
        <v>181</v>
      </c>
      <c r="E71" s="37" t="s">
        <v>175</v>
      </c>
      <c r="F71" s="36">
        <v>35.450000000000003</v>
      </c>
      <c r="G71" s="36"/>
      <c r="H71" s="38">
        <v>45.7</v>
      </c>
      <c r="I71" s="39">
        <f>IF(G71&lt;&gt;0,G71/H71,F71/H71)</f>
        <v>0.775711159737418</v>
      </c>
    </row>
    <row r="72" spans="1:9">
      <c r="A72" s="36">
        <v>12</v>
      </c>
      <c r="B72" s="36">
        <v>10036981573</v>
      </c>
      <c r="C72" s="36" t="s">
        <v>182</v>
      </c>
      <c r="D72" s="36" t="s">
        <v>183</v>
      </c>
      <c r="E72" s="37" t="s">
        <v>175</v>
      </c>
      <c r="F72" s="36">
        <v>36.130000000000003</v>
      </c>
      <c r="G72" s="36"/>
      <c r="H72" s="38">
        <v>45.7</v>
      </c>
      <c r="I72" s="39">
        <f>IF(G72&lt;&gt;0,G72/H72,F72/H72)</f>
        <v>0.79059080962800876</v>
      </c>
    </row>
    <row r="73" spans="1:9">
      <c r="A73" s="36">
        <v>12</v>
      </c>
      <c r="B73" s="36">
        <v>10036976782</v>
      </c>
      <c r="C73" s="36" t="s">
        <v>184</v>
      </c>
      <c r="D73" s="36" t="s">
        <v>185</v>
      </c>
      <c r="E73" s="37" t="s">
        <v>186</v>
      </c>
      <c r="F73" s="36">
        <v>221.42</v>
      </c>
      <c r="G73" s="36"/>
      <c r="H73" s="38">
        <v>247</v>
      </c>
      <c r="I73" s="39">
        <f>IF(G73&lt;&gt;0,G73/H73,F73/H73)</f>
        <v>0.89643724696356275</v>
      </c>
    </row>
    <row r="74" spans="1:9">
      <c r="A74" s="36">
        <v>12</v>
      </c>
      <c r="B74" s="36">
        <v>10036976790</v>
      </c>
      <c r="C74" s="36" t="s">
        <v>187</v>
      </c>
      <c r="D74" s="36" t="s">
        <v>188</v>
      </c>
      <c r="E74" s="37" t="s">
        <v>186</v>
      </c>
      <c r="F74" s="36">
        <v>216.93</v>
      </c>
      <c r="G74" s="36"/>
      <c r="H74" s="38">
        <v>247</v>
      </c>
      <c r="I74" s="39">
        <f>IF(G74&lt;&gt;0,G74/H74,F74/H74)</f>
        <v>0.87825910931174089</v>
      </c>
    </row>
    <row r="75" spans="1:9">
      <c r="A75" s="36">
        <v>12</v>
      </c>
      <c r="B75" s="36">
        <v>10036976804</v>
      </c>
      <c r="C75" s="36" t="s">
        <v>189</v>
      </c>
      <c r="D75" s="36" t="s">
        <v>190</v>
      </c>
      <c r="E75" s="37" t="s">
        <v>186</v>
      </c>
      <c r="F75" s="36">
        <v>278.92</v>
      </c>
      <c r="G75" s="36"/>
      <c r="H75" s="38">
        <v>247</v>
      </c>
      <c r="I75" s="39">
        <f>IF(G75&lt;&gt;0,G75/H75,F75/H75)</f>
        <v>1.1292307692307693</v>
      </c>
    </row>
    <row r="76" spans="1:9">
      <c r="A76" s="36">
        <v>12</v>
      </c>
      <c r="B76" s="36">
        <v>10036976812</v>
      </c>
      <c r="C76" s="36" t="s">
        <v>191</v>
      </c>
      <c r="D76" s="36" t="s">
        <v>192</v>
      </c>
      <c r="E76" s="37" t="s">
        <v>186</v>
      </c>
      <c r="F76" s="36">
        <v>223.25</v>
      </c>
      <c r="G76" s="36"/>
      <c r="H76" s="38">
        <v>247</v>
      </c>
      <c r="I76" s="39">
        <f>IF(G76&lt;&gt;0,G76/H76,F76/H76)</f>
        <v>0.90384615384615385</v>
      </c>
    </row>
    <row r="77" spans="1:9">
      <c r="A77" s="36">
        <v>12</v>
      </c>
      <c r="B77" s="36">
        <v>10036976839</v>
      </c>
      <c r="C77" s="36" t="s">
        <v>193</v>
      </c>
      <c r="D77" s="36" t="s">
        <v>194</v>
      </c>
      <c r="E77" s="37" t="s">
        <v>186</v>
      </c>
      <c r="F77" s="36">
        <v>221.65</v>
      </c>
      <c r="G77" s="36"/>
      <c r="H77" s="38">
        <v>247</v>
      </c>
      <c r="I77" s="39">
        <f>IF(G77&lt;&gt;0,G77/H77,F77/H77)</f>
        <v>0.89736842105263159</v>
      </c>
    </row>
    <row r="78" spans="1:9">
      <c r="A78" s="36">
        <v>12</v>
      </c>
      <c r="B78" s="36">
        <v>10036748080</v>
      </c>
      <c r="C78" s="36" t="s">
        <v>195</v>
      </c>
      <c r="D78" s="36" t="s">
        <v>196</v>
      </c>
      <c r="E78" s="37" t="s">
        <v>197</v>
      </c>
      <c r="F78" s="40">
        <v>198.24</v>
      </c>
      <c r="G78" s="36"/>
      <c r="H78" s="38">
        <v>227.52</v>
      </c>
      <c r="I78" s="39">
        <f>IF(G78&lt;&gt;0,G78/H78,F78/H78)</f>
        <v>0.87130801687763715</v>
      </c>
    </row>
    <row r="79" spans="1:9">
      <c r="A79" s="36">
        <v>12</v>
      </c>
      <c r="B79" s="36">
        <v>10036748090</v>
      </c>
      <c r="C79" s="36" t="s">
        <v>198</v>
      </c>
      <c r="D79" s="36" t="s">
        <v>199</v>
      </c>
      <c r="E79" s="37" t="s">
        <v>197</v>
      </c>
      <c r="F79" s="40">
        <v>83.02</v>
      </c>
      <c r="G79" s="36"/>
      <c r="H79" s="38">
        <v>227.52</v>
      </c>
      <c r="I79" s="39">
        <f>IF(G79&lt;&gt;0,G79/H79,F79/H79)</f>
        <v>0.36489099859353019</v>
      </c>
    </row>
    <row r="80" spans="1:9">
      <c r="A80" s="36">
        <v>12</v>
      </c>
      <c r="B80" s="36">
        <v>10036748130</v>
      </c>
      <c r="C80" s="36" t="s">
        <v>200</v>
      </c>
      <c r="D80" s="36" t="s">
        <v>201</v>
      </c>
      <c r="E80" s="37" t="s">
        <v>197</v>
      </c>
      <c r="F80" s="40">
        <v>10.199999999999999</v>
      </c>
      <c r="G80" s="36"/>
      <c r="H80" s="38">
        <v>113.76</v>
      </c>
      <c r="I80" s="39">
        <f>IF(G80&lt;&gt;0,G80/H80,F80/H80)</f>
        <v>8.9662447257383954E-2</v>
      </c>
    </row>
    <row r="81" spans="1:9">
      <c r="A81" s="36">
        <v>12</v>
      </c>
      <c r="B81" s="36">
        <v>10036750940</v>
      </c>
      <c r="C81" s="36" t="s">
        <v>202</v>
      </c>
      <c r="D81" s="36" t="s">
        <v>203</v>
      </c>
      <c r="E81" s="37" t="s">
        <v>204</v>
      </c>
      <c r="F81" s="40">
        <v>197.2</v>
      </c>
      <c r="G81" s="36"/>
      <c r="H81" s="38">
        <v>226.16</v>
      </c>
      <c r="I81" s="39">
        <f>IF(G81&lt;&gt;0,G81/H81,F81/H81)</f>
        <v>0.87194906261054117</v>
      </c>
    </row>
    <row r="82" spans="1:9">
      <c r="A82" s="36">
        <v>12</v>
      </c>
      <c r="B82" s="36">
        <v>10036750980</v>
      </c>
      <c r="C82" s="36" t="s">
        <v>205</v>
      </c>
      <c r="D82" s="36" t="s">
        <v>206</v>
      </c>
      <c r="E82" s="37" t="s">
        <v>204</v>
      </c>
      <c r="F82" s="40">
        <v>190.76</v>
      </c>
      <c r="G82" s="36"/>
      <c r="H82" s="38">
        <v>226.16</v>
      </c>
      <c r="I82" s="39">
        <f>IF(G82&lt;&gt;0,G82/H82,F82/H82)</f>
        <v>0.84347364697559246</v>
      </c>
    </row>
    <row r="83" spans="1:9">
      <c r="A83" s="36">
        <v>12</v>
      </c>
      <c r="B83" s="36">
        <v>10036751030</v>
      </c>
      <c r="C83" s="36" t="s">
        <v>207</v>
      </c>
      <c r="D83" s="36" t="s">
        <v>208</v>
      </c>
      <c r="E83" s="37" t="s">
        <v>204</v>
      </c>
      <c r="F83" s="40">
        <v>98.49</v>
      </c>
      <c r="G83" s="36"/>
      <c r="H83" s="38">
        <v>113.08</v>
      </c>
      <c r="I83" s="39">
        <f>IF(G83&lt;&gt;0,G83/H83,F83/H83)</f>
        <v>0.87097629996462678</v>
      </c>
    </row>
    <row r="84" spans="1:9">
      <c r="A84" s="36">
        <v>12</v>
      </c>
      <c r="B84" s="36">
        <v>834669283</v>
      </c>
      <c r="C84" s="36" t="s">
        <v>209</v>
      </c>
      <c r="D84" s="36" t="s">
        <v>210</v>
      </c>
      <c r="E84" s="37" t="s">
        <v>211</v>
      </c>
      <c r="F84" s="40">
        <v>168.37</v>
      </c>
      <c r="G84" s="36"/>
      <c r="H84" s="38">
        <v>197.8</v>
      </c>
      <c r="I84" s="39">
        <f>IF(G84&lt;&gt;0,G84/H84,F84/H84)</f>
        <v>0.85121334681496463</v>
      </c>
    </row>
    <row r="85" spans="1:9">
      <c r="A85" s="36">
        <v>12</v>
      </c>
      <c r="B85" s="36">
        <v>834669341</v>
      </c>
      <c r="C85" s="36" t="s">
        <v>212</v>
      </c>
      <c r="D85" s="36" t="s">
        <v>213</v>
      </c>
      <c r="E85" s="37" t="s">
        <v>211</v>
      </c>
      <c r="F85" s="40">
        <v>171.6</v>
      </c>
      <c r="G85" s="36"/>
      <c r="H85" s="38">
        <v>197.8</v>
      </c>
      <c r="I85" s="39">
        <f>IF(G85&lt;&gt;0,G85/H85,F85/H85)</f>
        <v>0.8675429726996966</v>
      </c>
    </row>
    <row r="86" spans="1:9">
      <c r="A86" s="36">
        <v>12</v>
      </c>
      <c r="B86" s="36">
        <v>834669366</v>
      </c>
      <c r="C86" s="36" t="s">
        <v>214</v>
      </c>
      <c r="D86" s="36" t="s">
        <v>215</v>
      </c>
      <c r="E86" s="37" t="s">
        <v>211</v>
      </c>
      <c r="F86" s="40">
        <v>84.75</v>
      </c>
      <c r="G86" s="36"/>
      <c r="H86" s="38">
        <v>98.9</v>
      </c>
      <c r="I86" s="39">
        <f>IF(G86&lt;&gt;0,G86/H86,F86/H86)</f>
        <v>0.85692618806875631</v>
      </c>
    </row>
    <row r="87" spans="1:9">
      <c r="A87" s="36">
        <v>12</v>
      </c>
      <c r="B87" s="36">
        <v>834669374</v>
      </c>
      <c r="C87" s="36" t="s">
        <v>216</v>
      </c>
      <c r="D87" s="36" t="s">
        <v>217</v>
      </c>
      <c r="E87" s="37" t="s">
        <v>218</v>
      </c>
      <c r="F87" s="40">
        <v>147.62</v>
      </c>
      <c r="G87" s="36"/>
      <c r="H87" s="38">
        <v>184.4</v>
      </c>
      <c r="I87" s="39">
        <f>IF(G87&lt;&gt;0,G87/H87,F87/H87)</f>
        <v>0.80054229934924082</v>
      </c>
    </row>
    <row r="88" spans="1:9">
      <c r="A88" s="36">
        <v>12</v>
      </c>
      <c r="B88" s="36">
        <v>834669390</v>
      </c>
      <c r="C88" s="36" t="s">
        <v>219</v>
      </c>
      <c r="D88" s="36" t="s">
        <v>220</v>
      </c>
      <c r="E88" s="37" t="s">
        <v>218</v>
      </c>
      <c r="F88" s="40">
        <v>142.68</v>
      </c>
      <c r="G88" s="36"/>
      <c r="H88" s="38">
        <v>184.4</v>
      </c>
      <c r="I88" s="39">
        <f>IF(G88&lt;&gt;0,G88/H88,F88/H88)</f>
        <v>0.77375271149674618</v>
      </c>
    </row>
    <row r="89" spans="1:9">
      <c r="A89" s="36">
        <v>12</v>
      </c>
      <c r="B89" s="36">
        <v>834669424</v>
      </c>
      <c r="C89" s="36" t="s">
        <v>221</v>
      </c>
      <c r="D89" s="36" t="s">
        <v>222</v>
      </c>
      <c r="E89" s="37" t="s">
        <v>218</v>
      </c>
      <c r="F89" s="40">
        <v>85.78</v>
      </c>
      <c r="G89" s="36"/>
      <c r="H89" s="38">
        <v>92.2</v>
      </c>
      <c r="I89" s="39">
        <f>IF(G89&lt;&gt;0,G89/H89,F89/H89)</f>
        <v>0.93036876355748377</v>
      </c>
    </row>
    <row r="90" spans="1:9">
      <c r="A90" s="36">
        <v>12</v>
      </c>
      <c r="B90" s="36"/>
      <c r="C90" s="36" t="s">
        <v>223</v>
      </c>
      <c r="D90" s="36" t="s">
        <v>224</v>
      </c>
      <c r="E90" s="37" t="s">
        <v>225</v>
      </c>
      <c r="F90" s="40">
        <v>44.4</v>
      </c>
      <c r="G90" s="36"/>
      <c r="H90" s="37">
        <v>125.68</v>
      </c>
      <c r="I90" s="39">
        <f>IF(G90&lt;&gt;0,G90/H90,F90/H90)</f>
        <v>0.3532781667727562</v>
      </c>
    </row>
    <row r="91" spans="1:9">
      <c r="A91" s="36">
        <v>12</v>
      </c>
      <c r="B91" s="36"/>
      <c r="C91" s="36" t="s">
        <v>226</v>
      </c>
      <c r="D91" s="36" t="s">
        <v>227</v>
      </c>
      <c r="E91" s="37" t="s">
        <v>228</v>
      </c>
      <c r="F91" s="40">
        <v>50.47</v>
      </c>
      <c r="G91" s="36"/>
      <c r="H91" s="37">
        <v>125.68</v>
      </c>
      <c r="I91" s="39">
        <f>IF(G91&lt;&gt;0,G91/H91,F91/H91)</f>
        <v>0.40157542966263521</v>
      </c>
    </row>
    <row r="92" spans="1:9" ht="15" customHeight="1">
      <c r="A92" s="79" t="s">
        <v>229</v>
      </c>
      <c r="B92" s="79"/>
      <c r="C92" s="79"/>
      <c r="D92" s="79"/>
      <c r="E92" s="79"/>
      <c r="F92" s="41">
        <f>SUM(F2:F91)</f>
        <v>9296.489999999998</v>
      </c>
      <c r="G92" s="41">
        <f>SUM(F14:F91,G13,F3:F12,G2)</f>
        <v>9424.4989999999962</v>
      </c>
      <c r="H92" s="41">
        <f>SUM(H2:H91)</f>
        <v>11617.9</v>
      </c>
      <c r="I92" s="42">
        <f>IF(G92&lt;&gt;0,G92/H92,F92/H92)</f>
        <v>0.81120503705488911</v>
      </c>
    </row>
  </sheetData>
  <mergeCells count="1">
    <mergeCell ref="A92:E9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8069-A4F0-40C0-A818-25841D035F7A}">
  <dimension ref="A1:R1592"/>
  <sheetViews>
    <sheetView tabSelected="1" workbookViewId="0">
      <pane xSplit="2" topLeftCell="N970" activePane="topRight" state="frozen"/>
      <selection pane="topRight" activeCell="O979" sqref="O979"/>
    </sheetView>
  </sheetViews>
  <sheetFormatPr defaultRowHeight="15"/>
  <cols>
    <col min="1" max="1" width="17.42578125" style="2" hidden="1" customWidth="1"/>
    <col min="2" max="2" width="32.140625" style="1" customWidth="1"/>
    <col min="3" max="3" width="29.42578125" style="1" customWidth="1"/>
    <col min="4" max="4" width="22.5703125" style="52" customWidth="1"/>
    <col min="5" max="6" width="19.5703125" style="52" bestFit="1" customWidth="1"/>
    <col min="7" max="7" width="27.140625" style="53" customWidth="1"/>
    <col min="8" max="8" width="15.7109375" style="1" customWidth="1"/>
    <col min="9" max="9" width="17" style="1" customWidth="1"/>
    <col min="10" max="10" width="14" style="1" customWidth="1"/>
    <col min="11" max="11" width="15.7109375" style="1" bestFit="1" customWidth="1"/>
    <col min="12" max="12" width="142" style="1" customWidth="1"/>
    <col min="13" max="13" width="18.28515625" style="1" bestFit="1" customWidth="1"/>
    <col min="14" max="14" width="36.5703125" style="1" customWidth="1"/>
    <col min="15" max="15" width="184" style="1" customWidth="1"/>
    <col min="16" max="16" width="90.7109375" style="1" bestFit="1" customWidth="1"/>
    <col min="17" max="17" width="16" style="1" bestFit="1" customWidth="1"/>
  </cols>
  <sheetData>
    <row r="1" spans="1:17">
      <c r="A1" s="5" t="s">
        <v>1</v>
      </c>
      <c r="B1" s="50" t="s">
        <v>230</v>
      </c>
      <c r="C1" s="50" t="s">
        <v>231</v>
      </c>
      <c r="D1" s="6" t="s">
        <v>232</v>
      </c>
      <c r="E1" s="6" t="s">
        <v>233</v>
      </c>
      <c r="F1" s="6" t="s">
        <v>234</v>
      </c>
      <c r="G1" s="51" t="s">
        <v>235</v>
      </c>
      <c r="H1" s="50" t="s">
        <v>236</v>
      </c>
      <c r="I1" s="50" t="s">
        <v>237</v>
      </c>
      <c r="J1" s="50" t="s">
        <v>238</v>
      </c>
      <c r="K1" s="50" t="s">
        <v>239</v>
      </c>
      <c r="L1" s="50" t="s">
        <v>240</v>
      </c>
      <c r="M1" s="50" t="s">
        <v>241</v>
      </c>
      <c r="N1" s="50" t="s">
        <v>242</v>
      </c>
      <c r="O1" s="50" t="s">
        <v>243</v>
      </c>
      <c r="P1" s="50" t="s">
        <v>244</v>
      </c>
      <c r="Q1" s="50" t="s">
        <v>245</v>
      </c>
    </row>
    <row r="2" spans="1:17">
      <c r="B2" s="1" t="s">
        <v>246</v>
      </c>
      <c r="C2" s="1" t="s">
        <v>247</v>
      </c>
      <c r="D2" s="52">
        <v>46027.385416666664</v>
      </c>
      <c r="E2" s="52">
        <v>46082</v>
      </c>
      <c r="F2" s="52">
        <v>46094.46875</v>
      </c>
      <c r="G2" s="53">
        <f>+F2-E2</f>
        <v>12.46875</v>
      </c>
      <c r="H2" s="1" t="s">
        <v>248</v>
      </c>
      <c r="J2" s="1" t="s">
        <v>249</v>
      </c>
      <c r="K2" s="1" t="s">
        <v>250</v>
      </c>
      <c r="L2" s="1" t="s">
        <v>251</v>
      </c>
      <c r="M2" s="1" t="s">
        <v>252</v>
      </c>
      <c r="N2" s="1" t="s">
        <v>253</v>
      </c>
      <c r="O2" s="1" t="s">
        <v>254</v>
      </c>
      <c r="P2" s="1" t="str">
        <f>_xlfn.CONCAT(B2,C2,D2,E2,F2)</f>
        <v>BC Aracu5.2Inverter(MBUS-1)46027,38541666674608246094,46875</v>
      </c>
      <c r="Q2" s="1" t="str">
        <f>_xlfn.CONCAT(H2,I2,J2)</f>
        <v>DEMTRF</v>
      </c>
    </row>
    <row r="3" spans="1:17">
      <c r="B3" s="1" t="s">
        <v>255</v>
      </c>
      <c r="C3" s="1" t="s">
        <v>256</v>
      </c>
      <c r="D3" s="52">
        <v>46082.152777777781</v>
      </c>
      <c r="E3" s="52">
        <v>46082.152777777781</v>
      </c>
      <c r="F3" s="52">
        <v>46083.340277777781</v>
      </c>
      <c r="G3" s="53">
        <f>+F3-E3</f>
        <v>1.1875</v>
      </c>
      <c r="H3" s="1" t="s">
        <v>257</v>
      </c>
      <c r="J3" s="1" t="s">
        <v>258</v>
      </c>
      <c r="K3" s="1" t="str">
        <f>_xlfn.XLOOKUP(J3,REF!$D$2:$D$12,REF!$E$2:$E$12)</f>
        <v>Rede</v>
      </c>
      <c r="L3" s="1" t="s">
        <v>259</v>
      </c>
      <c r="M3" s="1" t="s">
        <v>260</v>
      </c>
      <c r="N3" s="1" t="s">
        <v>261</v>
      </c>
      <c r="O3" s="2" t="s">
        <v>262</v>
      </c>
      <c r="P3" s="1" t="str">
        <f>_xlfn.CONCAT(B3,C3,D3,E3,F3)</f>
        <v>BC Formoso2.1Inverter(MBUS-12)46082,152777777846082,152777777846083,3402777778</v>
      </c>
      <c r="Q3" s="1" t="str">
        <f>_xlfn.CONCAT(H3,I3,J3)</f>
        <v>DAURDE</v>
      </c>
    </row>
    <row r="4" spans="1:17">
      <c r="B4" s="1" t="s">
        <v>255</v>
      </c>
      <c r="C4" s="1" t="s">
        <v>263</v>
      </c>
      <c r="D4" s="52">
        <v>46082.152777777781</v>
      </c>
      <c r="E4" s="52">
        <v>46082.152777777781</v>
      </c>
      <c r="F4" s="52">
        <v>46083.340277777781</v>
      </c>
      <c r="G4" s="53">
        <f t="shared" ref="G4:G67" si="0">+F4-E4</f>
        <v>1.1875</v>
      </c>
      <c r="H4" s="1" t="s">
        <v>257</v>
      </c>
      <c r="J4" s="1" t="s">
        <v>258</v>
      </c>
      <c r="K4" s="1" t="str">
        <f>_xlfn.XLOOKUP(J4,REF!$D$2:$D$12,REF!$E$2:$E$12)</f>
        <v>Rede</v>
      </c>
      <c r="L4" s="1" t="s">
        <v>259</v>
      </c>
      <c r="M4" s="1" t="s">
        <v>260</v>
      </c>
      <c r="N4" s="1" t="s">
        <v>261</v>
      </c>
      <c r="O4" s="2" t="s">
        <v>262</v>
      </c>
      <c r="P4" s="1" t="str">
        <f t="shared" ref="P4:P67" si="1">_xlfn.CONCAT(B4,C4,D4,E4,F4)</f>
        <v>BC Formoso2.1Inverter(MBUS-14)46082,152777777846082,152777777846083,3402777778</v>
      </c>
      <c r="Q4" s="1" t="str">
        <f t="shared" ref="Q4:Q67" si="2">_xlfn.CONCAT(H4,I4,J4)</f>
        <v>DAURDE</v>
      </c>
    </row>
    <row r="5" spans="1:17">
      <c r="B5" s="1" t="s">
        <v>255</v>
      </c>
      <c r="C5" s="1" t="s">
        <v>264</v>
      </c>
      <c r="D5" s="52">
        <v>46082.152777777781</v>
      </c>
      <c r="E5" s="52">
        <v>46082.152777777781</v>
      </c>
      <c r="F5" s="52">
        <v>46083.340277777781</v>
      </c>
      <c r="G5" s="53">
        <f t="shared" si="0"/>
        <v>1.1875</v>
      </c>
      <c r="H5" s="1" t="s">
        <v>257</v>
      </c>
      <c r="J5" s="1" t="s">
        <v>258</v>
      </c>
      <c r="K5" s="1" t="str">
        <f>_xlfn.XLOOKUP(J5,REF!$D$2:$D$12,REF!$E$2:$E$12)</f>
        <v>Rede</v>
      </c>
      <c r="L5" s="1" t="s">
        <v>259</v>
      </c>
      <c r="M5" s="1" t="s">
        <v>260</v>
      </c>
      <c r="N5" s="1" t="s">
        <v>261</v>
      </c>
      <c r="O5" s="2" t="s">
        <v>262</v>
      </c>
      <c r="P5" s="1" t="str">
        <f t="shared" si="1"/>
        <v>BC Formoso2.1Inverter(MBUS-13)46082,152777777846082,152777777846083,3402777778</v>
      </c>
      <c r="Q5" s="1" t="str">
        <f t="shared" si="2"/>
        <v>DAURDE</v>
      </c>
    </row>
    <row r="6" spans="1:17">
      <c r="B6" s="1" t="s">
        <v>255</v>
      </c>
      <c r="C6" s="1" t="s">
        <v>247</v>
      </c>
      <c r="D6" s="52">
        <v>46082.152777777781</v>
      </c>
      <c r="E6" s="52">
        <v>46082.152777777781</v>
      </c>
      <c r="F6" s="52">
        <v>46083.340277777781</v>
      </c>
      <c r="G6" s="53">
        <f t="shared" si="0"/>
        <v>1.1875</v>
      </c>
      <c r="H6" s="1" t="s">
        <v>257</v>
      </c>
      <c r="J6" s="1" t="s">
        <v>258</v>
      </c>
      <c r="K6" s="1" t="str">
        <f>_xlfn.XLOOKUP(J6,REF!$D$2:$D$12,REF!$E$2:$E$12)</f>
        <v>Rede</v>
      </c>
      <c r="L6" s="1" t="s">
        <v>259</v>
      </c>
      <c r="M6" s="1" t="s">
        <v>260</v>
      </c>
      <c r="N6" s="1" t="s">
        <v>261</v>
      </c>
      <c r="O6" s="2" t="s">
        <v>262</v>
      </c>
      <c r="P6" s="1" t="str">
        <f t="shared" si="1"/>
        <v>BC Formoso2.1Inverter(MBUS-1)46082,152777777846082,152777777846083,3402777778</v>
      </c>
      <c r="Q6" s="1" t="str">
        <f t="shared" si="2"/>
        <v>DAURDE</v>
      </c>
    </row>
    <row r="7" spans="1:17">
      <c r="B7" s="1" t="s">
        <v>265</v>
      </c>
      <c r="C7" s="1" t="s">
        <v>263</v>
      </c>
      <c r="D7" s="52">
        <v>46082.305555555555</v>
      </c>
      <c r="E7" s="52">
        <v>46082.305555555555</v>
      </c>
      <c r="F7" s="52">
        <v>46084.341666666667</v>
      </c>
      <c r="G7" s="53">
        <f t="shared" si="0"/>
        <v>2.0361111111124046</v>
      </c>
      <c r="H7" s="1" t="s">
        <v>257</v>
      </c>
      <c r="J7" s="1" t="s">
        <v>258</v>
      </c>
      <c r="K7" s="1" t="str">
        <f>_xlfn.XLOOKUP(J7,REF!$D$2:$D$12,REF!$E$2:$E$12)</f>
        <v>Rede</v>
      </c>
      <c r="L7" s="1" t="s">
        <v>259</v>
      </c>
      <c r="M7" s="1" t="s">
        <v>260</v>
      </c>
      <c r="N7" s="1" t="s">
        <v>261</v>
      </c>
      <c r="O7" s="2" t="s">
        <v>266</v>
      </c>
      <c r="P7" s="1" t="str">
        <f t="shared" si="1"/>
        <v>BC Formoso2.2Inverter(MBUS-14)46082,305555555646082,305555555646084,3416666667</v>
      </c>
      <c r="Q7" s="1" t="str">
        <f t="shared" si="2"/>
        <v>DAURDE</v>
      </c>
    </row>
    <row r="8" spans="1:17">
      <c r="B8" s="1" t="s">
        <v>265</v>
      </c>
      <c r="C8" s="1" t="s">
        <v>264</v>
      </c>
      <c r="D8" s="52">
        <v>46082.305555555555</v>
      </c>
      <c r="E8" s="52">
        <v>46082.305555555555</v>
      </c>
      <c r="F8" s="52">
        <v>46084.341666666667</v>
      </c>
      <c r="G8" s="53">
        <f t="shared" si="0"/>
        <v>2.0361111111124046</v>
      </c>
      <c r="H8" s="1" t="s">
        <v>257</v>
      </c>
      <c r="J8" s="1" t="s">
        <v>258</v>
      </c>
      <c r="K8" s="1" t="str">
        <f>_xlfn.XLOOKUP(J8,REF!$D$2:$D$12,REF!$E$2:$E$12)</f>
        <v>Rede</v>
      </c>
      <c r="L8" s="1" t="s">
        <v>259</v>
      </c>
      <c r="M8" s="1" t="s">
        <v>260</v>
      </c>
      <c r="N8" s="1" t="s">
        <v>261</v>
      </c>
      <c r="O8" s="2" t="s">
        <v>266</v>
      </c>
      <c r="P8" s="1" t="str">
        <f t="shared" si="1"/>
        <v>BC Formoso2.2Inverter(MBUS-13)46082,305555555646082,305555555646084,3416666667</v>
      </c>
      <c r="Q8" s="1" t="str">
        <f t="shared" si="2"/>
        <v>DAURDE</v>
      </c>
    </row>
    <row r="9" spans="1:17">
      <c r="B9" s="1" t="s">
        <v>265</v>
      </c>
      <c r="C9" s="1" t="s">
        <v>256</v>
      </c>
      <c r="D9" s="52">
        <v>46082.305555555555</v>
      </c>
      <c r="E9" s="52">
        <v>46082.305555555555</v>
      </c>
      <c r="F9" s="52">
        <v>46084.341666666667</v>
      </c>
      <c r="G9" s="53">
        <f t="shared" si="0"/>
        <v>2.0361111111124046</v>
      </c>
      <c r="H9" s="1" t="s">
        <v>257</v>
      </c>
      <c r="J9" s="1" t="s">
        <v>258</v>
      </c>
      <c r="K9" s="1" t="str">
        <f>_xlfn.XLOOKUP(J9,REF!$D$2:$D$12,REF!$E$2:$E$12)</f>
        <v>Rede</v>
      </c>
      <c r="L9" s="1" t="s">
        <v>259</v>
      </c>
      <c r="M9" s="1" t="s">
        <v>260</v>
      </c>
      <c r="N9" s="1" t="s">
        <v>261</v>
      </c>
      <c r="O9" s="2" t="s">
        <v>266</v>
      </c>
      <c r="P9" s="1" t="str">
        <f t="shared" si="1"/>
        <v>BC Formoso2.2Inverter(MBUS-12)46082,305555555646082,305555555646084,3416666667</v>
      </c>
      <c r="Q9" s="1" t="str">
        <f t="shared" si="2"/>
        <v>DAURDE</v>
      </c>
    </row>
    <row r="10" spans="1:17">
      <c r="B10" s="1" t="s">
        <v>265</v>
      </c>
      <c r="C10" s="1" t="s">
        <v>247</v>
      </c>
      <c r="D10" s="52">
        <v>46082.305555555555</v>
      </c>
      <c r="E10" s="52">
        <v>46082.305555555555</v>
      </c>
      <c r="F10" s="52">
        <v>46084.341666666667</v>
      </c>
      <c r="G10" s="53">
        <f t="shared" si="0"/>
        <v>2.0361111111124046</v>
      </c>
      <c r="H10" s="1" t="s">
        <v>257</v>
      </c>
      <c r="J10" s="1" t="s">
        <v>258</v>
      </c>
      <c r="K10" s="1" t="str">
        <f>_xlfn.XLOOKUP(J10,REF!$D$2:$D$12,REF!$E$2:$E$12)</f>
        <v>Rede</v>
      </c>
      <c r="L10" s="1" t="s">
        <v>259</v>
      </c>
      <c r="M10" s="1" t="s">
        <v>260</v>
      </c>
      <c r="N10" s="1" t="s">
        <v>261</v>
      </c>
      <c r="O10" s="2" t="s">
        <v>266</v>
      </c>
      <c r="P10" s="1" t="str">
        <f t="shared" si="1"/>
        <v>BC Formoso2.2Inverter(MBUS-1)46082,305555555646082,305555555646084,3416666667</v>
      </c>
      <c r="Q10" s="1" t="str">
        <f t="shared" si="2"/>
        <v>DAURDE</v>
      </c>
    </row>
    <row r="11" spans="1:17">
      <c r="B11" s="1" t="s">
        <v>41</v>
      </c>
      <c r="C11" s="1" t="s">
        <v>267</v>
      </c>
      <c r="D11" s="52">
        <v>46082.968055555553</v>
      </c>
      <c r="E11" s="52">
        <v>46082.968055555553</v>
      </c>
      <c r="F11" s="52">
        <v>46083.350694444445</v>
      </c>
      <c r="G11" s="53">
        <f t="shared" si="0"/>
        <v>0.38263888889196096</v>
      </c>
      <c r="H11" s="1" t="s">
        <v>268</v>
      </c>
      <c r="I11" s="1" t="s">
        <v>269</v>
      </c>
      <c r="J11" s="1" t="s">
        <v>270</v>
      </c>
      <c r="K11" s="1" t="str">
        <f>_xlfn.XLOOKUP(J11,REF!$D$2:$D$12,REF!$E$2:$E$12)</f>
        <v>Internet</v>
      </c>
      <c r="L11" s="1" t="s">
        <v>271</v>
      </c>
      <c r="M11" s="1" t="s">
        <v>272</v>
      </c>
      <c r="N11" s="1" t="s">
        <v>273</v>
      </c>
      <c r="O11" s="72" t="s">
        <v>274</v>
      </c>
      <c r="P11" s="1" t="str">
        <f t="shared" si="1"/>
        <v>BC Bom SucessoSG60KTL46082,968055555646082,968055555646083,3506944444</v>
      </c>
      <c r="Q11" s="1" t="str">
        <f t="shared" si="2"/>
        <v>LIGRFOINT</v>
      </c>
    </row>
    <row r="12" spans="1:17">
      <c r="B12" s="1" t="s">
        <v>41</v>
      </c>
      <c r="C12" s="1" t="s">
        <v>275</v>
      </c>
      <c r="D12" s="52">
        <v>46082.968055555553</v>
      </c>
      <c r="E12" s="52">
        <v>46082.968055555553</v>
      </c>
      <c r="F12" s="52">
        <v>46083.350694444445</v>
      </c>
      <c r="G12" s="53">
        <f t="shared" si="0"/>
        <v>0.38263888889196096</v>
      </c>
      <c r="H12" s="1" t="s">
        <v>268</v>
      </c>
      <c r="I12" s="1" t="s">
        <v>269</v>
      </c>
      <c r="J12" s="1" t="s">
        <v>270</v>
      </c>
      <c r="K12" s="1" t="str">
        <f>_xlfn.XLOOKUP(J12,REF!$D$2:$D$12,REF!$E$2:$E$12)</f>
        <v>Internet</v>
      </c>
      <c r="L12" s="1" t="s">
        <v>271</v>
      </c>
      <c r="M12" s="1" t="s">
        <v>272</v>
      </c>
      <c r="N12" s="1" t="s">
        <v>273</v>
      </c>
      <c r="O12" s="72" t="s">
        <v>274</v>
      </c>
      <c r="P12" s="1" t="str">
        <f t="shared" si="1"/>
        <v>BC Bom SucessoI46082,968055555646082,968055555646083,3506944444</v>
      </c>
      <c r="Q12" s="1" t="str">
        <f t="shared" si="2"/>
        <v>LIGRFOINT</v>
      </c>
    </row>
    <row r="13" spans="1:17">
      <c r="B13" s="1" t="s">
        <v>41</v>
      </c>
      <c r="C13" s="1" t="s">
        <v>276</v>
      </c>
      <c r="D13" s="52">
        <v>46082.968055555553</v>
      </c>
      <c r="E13" s="52">
        <v>46082.968055555553</v>
      </c>
      <c r="F13" s="52">
        <v>46083.350694444445</v>
      </c>
      <c r="G13" s="53">
        <f t="shared" si="0"/>
        <v>0.38263888889196096</v>
      </c>
      <c r="H13" s="1" t="s">
        <v>268</v>
      </c>
      <c r="I13" s="1" t="s">
        <v>269</v>
      </c>
      <c r="J13" s="1" t="s">
        <v>270</v>
      </c>
      <c r="K13" s="1" t="str">
        <f>_xlfn.XLOOKUP(J13,REF!$D$2:$D$12,REF!$E$2:$E$12)</f>
        <v>Internet</v>
      </c>
      <c r="L13" s="1" t="s">
        <v>271</v>
      </c>
      <c r="M13" s="1" t="s">
        <v>272</v>
      </c>
      <c r="N13" s="1" t="s">
        <v>273</v>
      </c>
      <c r="O13" s="72" t="s">
        <v>274</v>
      </c>
      <c r="P13" s="1" t="str">
        <f t="shared" si="1"/>
        <v>BC Bom SucessoG46082,968055555646082,968055555646083,3506944444</v>
      </c>
      <c r="Q13" s="1" t="str">
        <f t="shared" si="2"/>
        <v>LIGRFOINT</v>
      </c>
    </row>
    <row r="14" spans="1:17">
      <c r="B14" s="1" t="s">
        <v>41</v>
      </c>
      <c r="C14" s="1" t="s">
        <v>277</v>
      </c>
      <c r="D14" s="52">
        <v>46082.968055555553</v>
      </c>
      <c r="E14" s="52">
        <v>46082.968055555553</v>
      </c>
      <c r="F14" s="52">
        <v>46083.350694444445</v>
      </c>
      <c r="G14" s="53">
        <f t="shared" si="0"/>
        <v>0.38263888889196096</v>
      </c>
      <c r="H14" s="1" t="s">
        <v>268</v>
      </c>
      <c r="I14" s="1" t="s">
        <v>269</v>
      </c>
      <c r="J14" s="1" t="s">
        <v>270</v>
      </c>
      <c r="K14" s="1" t="str">
        <f>_xlfn.XLOOKUP(J14,REF!$D$2:$D$12,REF!$E$2:$E$12)</f>
        <v>Internet</v>
      </c>
      <c r="L14" s="1" t="s">
        <v>271</v>
      </c>
      <c r="M14" s="1" t="s">
        <v>272</v>
      </c>
      <c r="N14" s="1" t="s">
        <v>273</v>
      </c>
      <c r="O14" s="72" t="s">
        <v>274</v>
      </c>
      <c r="P14" s="1" t="str">
        <f t="shared" si="1"/>
        <v>BC Bom SucessoK46082,968055555646082,968055555646083,3506944444</v>
      </c>
      <c r="Q14" s="1" t="str">
        <f t="shared" si="2"/>
        <v>LIGRFOINT</v>
      </c>
    </row>
    <row r="15" spans="1:17">
      <c r="B15" s="1" t="s">
        <v>41</v>
      </c>
      <c r="C15" s="1" t="s">
        <v>278</v>
      </c>
      <c r="D15" s="52">
        <v>46082.968055555553</v>
      </c>
      <c r="E15" s="52">
        <v>46082.968055555553</v>
      </c>
      <c r="F15" s="52">
        <v>46083.350694444445</v>
      </c>
      <c r="G15" s="53">
        <f t="shared" si="0"/>
        <v>0.38263888889196096</v>
      </c>
      <c r="H15" s="1" t="s">
        <v>268</v>
      </c>
      <c r="I15" s="1" t="s">
        <v>269</v>
      </c>
      <c r="J15" s="1" t="s">
        <v>270</v>
      </c>
      <c r="K15" s="1" t="str">
        <f>_xlfn.XLOOKUP(J15,REF!$D$2:$D$12,REF!$E$2:$E$12)</f>
        <v>Internet</v>
      </c>
      <c r="L15" s="1" t="s">
        <v>271</v>
      </c>
      <c r="M15" s="1" t="s">
        <v>272</v>
      </c>
      <c r="N15" s="1" t="s">
        <v>273</v>
      </c>
      <c r="O15" s="72" t="s">
        <v>274</v>
      </c>
      <c r="P15" s="1" t="str">
        <f t="shared" si="1"/>
        <v>BC Bom SucessoH46082,968055555646082,968055555646083,3506944444</v>
      </c>
      <c r="Q15" s="1" t="str">
        <f t="shared" si="2"/>
        <v>LIGRFOINT</v>
      </c>
    </row>
    <row r="16" spans="1:17">
      <c r="B16" s="1" t="s">
        <v>41</v>
      </c>
      <c r="C16" s="1" t="s">
        <v>279</v>
      </c>
      <c r="D16" s="52">
        <v>46082.968055555553</v>
      </c>
      <c r="E16" s="52">
        <v>46082.968055555553</v>
      </c>
      <c r="F16" s="52">
        <v>46083.350694444445</v>
      </c>
      <c r="G16" s="53">
        <f t="shared" si="0"/>
        <v>0.38263888889196096</v>
      </c>
      <c r="H16" s="1" t="s">
        <v>268</v>
      </c>
      <c r="I16" s="1" t="s">
        <v>269</v>
      </c>
      <c r="J16" s="1" t="s">
        <v>270</v>
      </c>
      <c r="K16" s="1" t="str">
        <f>_xlfn.XLOOKUP(J16,REF!$D$2:$D$12,REF!$E$2:$E$12)</f>
        <v>Internet</v>
      </c>
      <c r="L16" s="1" t="s">
        <v>271</v>
      </c>
      <c r="M16" s="1" t="s">
        <v>272</v>
      </c>
      <c r="N16" s="1" t="s">
        <v>273</v>
      </c>
      <c r="O16" s="72" t="s">
        <v>274</v>
      </c>
      <c r="P16" s="1" t="str">
        <f t="shared" si="1"/>
        <v>BC Bom SucessoF46082,968055555646082,968055555646083,3506944444</v>
      </c>
      <c r="Q16" s="1" t="str">
        <f t="shared" si="2"/>
        <v>LIGRFOINT</v>
      </c>
    </row>
    <row r="17" spans="2:17">
      <c r="B17" s="1" t="s">
        <v>41</v>
      </c>
      <c r="C17" s="1" t="s">
        <v>280</v>
      </c>
      <c r="D17" s="52">
        <v>46082.968055555553</v>
      </c>
      <c r="E17" s="52">
        <v>46082.968055555553</v>
      </c>
      <c r="F17" s="52">
        <v>46083.350694444445</v>
      </c>
      <c r="G17" s="53">
        <f t="shared" si="0"/>
        <v>0.38263888889196096</v>
      </c>
      <c r="H17" s="1" t="s">
        <v>268</v>
      </c>
      <c r="I17" s="1" t="s">
        <v>269</v>
      </c>
      <c r="J17" s="1" t="s">
        <v>270</v>
      </c>
      <c r="K17" s="1" t="str">
        <f>_xlfn.XLOOKUP(J17,REF!$D$2:$D$12,REF!$E$2:$E$12)</f>
        <v>Internet</v>
      </c>
      <c r="L17" s="1" t="s">
        <v>271</v>
      </c>
      <c r="M17" s="1" t="s">
        <v>272</v>
      </c>
      <c r="N17" s="1" t="s">
        <v>273</v>
      </c>
      <c r="O17" s="72" t="s">
        <v>274</v>
      </c>
      <c r="P17" s="1" t="str">
        <f t="shared" si="1"/>
        <v>BC Bom SucessoD46082,968055555646082,968055555646083,3506944444</v>
      </c>
      <c r="Q17" s="1" t="str">
        <f t="shared" si="2"/>
        <v>LIGRFOINT</v>
      </c>
    </row>
    <row r="18" spans="2:17">
      <c r="B18" s="1" t="s">
        <v>41</v>
      </c>
      <c r="C18" s="1" t="s">
        <v>281</v>
      </c>
      <c r="D18" s="52">
        <v>46082.968055555553</v>
      </c>
      <c r="E18" s="52">
        <v>46082.968055555553</v>
      </c>
      <c r="F18" s="52">
        <v>46083.350694444445</v>
      </c>
      <c r="G18" s="53">
        <f t="shared" si="0"/>
        <v>0.38263888889196096</v>
      </c>
      <c r="H18" s="1" t="s">
        <v>268</v>
      </c>
      <c r="I18" s="1" t="s">
        <v>269</v>
      </c>
      <c r="J18" s="1" t="s">
        <v>270</v>
      </c>
      <c r="K18" s="1" t="str">
        <f>_xlfn.XLOOKUP(J18,REF!$D$2:$D$12,REF!$E$2:$E$12)</f>
        <v>Internet</v>
      </c>
      <c r="L18" s="1" t="s">
        <v>271</v>
      </c>
      <c r="M18" s="1" t="s">
        <v>272</v>
      </c>
      <c r="N18" s="1" t="s">
        <v>273</v>
      </c>
      <c r="O18" s="72" t="s">
        <v>274</v>
      </c>
      <c r="P18" s="1" t="str">
        <f t="shared" si="1"/>
        <v>BC Bom SucessoE46082,968055555646082,968055555646083,3506944444</v>
      </c>
      <c r="Q18" s="1" t="str">
        <f t="shared" si="2"/>
        <v>LIGRFOINT</v>
      </c>
    </row>
    <row r="19" spans="2:17">
      <c r="B19" s="1" t="s">
        <v>41</v>
      </c>
      <c r="C19" s="1" t="s">
        <v>282</v>
      </c>
      <c r="D19" s="52">
        <v>46082.968055555553</v>
      </c>
      <c r="E19" s="52">
        <v>46082.968055555553</v>
      </c>
      <c r="F19" s="52">
        <v>46083.350694444445</v>
      </c>
      <c r="G19" s="53">
        <f t="shared" si="0"/>
        <v>0.38263888889196096</v>
      </c>
      <c r="H19" s="1" t="s">
        <v>268</v>
      </c>
      <c r="I19" s="1" t="s">
        <v>269</v>
      </c>
      <c r="J19" s="1" t="s">
        <v>270</v>
      </c>
      <c r="K19" s="1" t="str">
        <f>_xlfn.XLOOKUP(J19,REF!$D$2:$D$12,REF!$E$2:$E$12)</f>
        <v>Internet</v>
      </c>
      <c r="L19" s="1" t="s">
        <v>271</v>
      </c>
      <c r="M19" s="1" t="s">
        <v>272</v>
      </c>
      <c r="N19" s="1" t="s">
        <v>273</v>
      </c>
      <c r="O19" s="72" t="s">
        <v>274</v>
      </c>
      <c r="P19" s="1" t="str">
        <f t="shared" si="1"/>
        <v>BC Bom SucessoC46082,968055555646082,968055555646083,3506944444</v>
      </c>
      <c r="Q19" s="1" t="str">
        <f t="shared" si="2"/>
        <v>LIGRFOINT</v>
      </c>
    </row>
    <row r="20" spans="2:17">
      <c r="B20" s="1" t="s">
        <v>41</v>
      </c>
      <c r="C20" s="1" t="s">
        <v>283</v>
      </c>
      <c r="D20" s="52">
        <v>46082.968055555553</v>
      </c>
      <c r="E20" s="52">
        <v>46082.968055555553</v>
      </c>
      <c r="F20" s="52">
        <v>46083.350694444445</v>
      </c>
      <c r="G20" s="53">
        <f t="shared" si="0"/>
        <v>0.38263888889196096</v>
      </c>
      <c r="H20" s="1" t="s">
        <v>268</v>
      </c>
      <c r="I20" s="1" t="s">
        <v>269</v>
      </c>
      <c r="J20" s="1" t="s">
        <v>270</v>
      </c>
      <c r="K20" s="1" t="str">
        <f>_xlfn.XLOOKUP(J20,REF!$D$2:$D$12,REF!$E$2:$E$12)</f>
        <v>Internet</v>
      </c>
      <c r="L20" s="1" t="s">
        <v>271</v>
      </c>
      <c r="M20" s="1" t="s">
        <v>272</v>
      </c>
      <c r="N20" s="1" t="s">
        <v>273</v>
      </c>
      <c r="O20" s="72" t="s">
        <v>274</v>
      </c>
      <c r="P20" s="1" t="str">
        <f t="shared" si="1"/>
        <v>BC Bom SucessoB46082,968055555646082,968055555646083,3506944444</v>
      </c>
      <c r="Q20" s="1" t="str">
        <f t="shared" si="2"/>
        <v>LIGRFOINT</v>
      </c>
    </row>
    <row r="21" spans="2:17">
      <c r="B21" s="1" t="s">
        <v>41</v>
      </c>
      <c r="C21" s="1" t="s">
        <v>284</v>
      </c>
      <c r="D21" s="52">
        <v>46082.968055555553</v>
      </c>
      <c r="E21" s="52">
        <v>46082.968055555553</v>
      </c>
      <c r="F21" s="52">
        <v>46083.350694444445</v>
      </c>
      <c r="G21" s="53">
        <f t="shared" si="0"/>
        <v>0.38263888889196096</v>
      </c>
      <c r="H21" s="1" t="s">
        <v>268</v>
      </c>
      <c r="I21" s="1" t="s">
        <v>269</v>
      </c>
      <c r="J21" s="1" t="s">
        <v>270</v>
      </c>
      <c r="K21" s="1" t="str">
        <f>_xlfn.XLOOKUP(J21,REF!$D$2:$D$12,REF!$E$2:$E$12)</f>
        <v>Internet</v>
      </c>
      <c r="L21" s="1" t="s">
        <v>271</v>
      </c>
      <c r="M21" s="1" t="s">
        <v>272</v>
      </c>
      <c r="N21" s="1" t="s">
        <v>273</v>
      </c>
      <c r="O21" s="72" t="s">
        <v>274</v>
      </c>
      <c r="P21" s="1" t="str">
        <f t="shared" si="1"/>
        <v>BC Bom SucessoA46082,968055555646082,968055555646083,3506944444</v>
      </c>
      <c r="Q21" s="1" t="str">
        <f t="shared" si="2"/>
        <v>LIGRFOINT</v>
      </c>
    </row>
    <row r="22" spans="2:17">
      <c r="B22" s="1" t="s">
        <v>41</v>
      </c>
      <c r="C22" s="1" t="s">
        <v>285</v>
      </c>
      <c r="D22" s="52">
        <v>46082.968055555553</v>
      </c>
      <c r="E22" s="52">
        <v>46082.968055555553</v>
      </c>
      <c r="F22" s="52">
        <v>46083.350694444445</v>
      </c>
      <c r="G22" s="53">
        <f t="shared" si="0"/>
        <v>0.38263888889196096</v>
      </c>
      <c r="H22" s="1" t="s">
        <v>268</v>
      </c>
      <c r="I22" s="1" t="s">
        <v>269</v>
      </c>
      <c r="J22" s="1" t="s">
        <v>270</v>
      </c>
      <c r="K22" s="1" t="str">
        <f>_xlfn.XLOOKUP(J22,REF!$D$2:$D$12,REF!$E$2:$E$12)</f>
        <v>Internet</v>
      </c>
      <c r="L22" s="1" t="s">
        <v>271</v>
      </c>
      <c r="M22" s="1" t="s">
        <v>272</v>
      </c>
      <c r="N22" s="1" t="s">
        <v>273</v>
      </c>
      <c r="O22" s="72" t="s">
        <v>274</v>
      </c>
      <c r="P22" s="1" t="str">
        <f t="shared" si="1"/>
        <v>BC Bom SucessoJ46082,968055555646082,968055555646083,3506944444</v>
      </c>
      <c r="Q22" s="1" t="str">
        <f t="shared" si="2"/>
        <v>LIGRFOINT</v>
      </c>
    </row>
    <row r="23" spans="2:17">
      <c r="B23" s="1" t="s">
        <v>286</v>
      </c>
      <c r="C23" s="1" t="s">
        <v>287</v>
      </c>
      <c r="D23" s="52">
        <v>46083.454861111109</v>
      </c>
      <c r="E23" s="52">
        <v>46083.454861111109</v>
      </c>
      <c r="F23" s="52">
        <v>46083.5</v>
      </c>
      <c r="G23" s="53">
        <f t="shared" si="0"/>
        <v>4.5138888890505768E-2</v>
      </c>
      <c r="H23" s="1" t="s">
        <v>268</v>
      </c>
      <c r="I23" s="1" t="s">
        <v>269</v>
      </c>
      <c r="J23" s="1" t="s">
        <v>270</v>
      </c>
      <c r="K23" s="1" t="str">
        <f>_xlfn.XLOOKUP(J23,REF!$D$2:$D$12,REF!$E$2:$E$12)</f>
        <v>Internet</v>
      </c>
      <c r="L23" s="1" t="s">
        <v>288</v>
      </c>
      <c r="M23" s="1" t="s">
        <v>289</v>
      </c>
      <c r="N23" s="1" t="s">
        <v>290</v>
      </c>
      <c r="O23" s="72" t="s">
        <v>291</v>
      </c>
      <c r="P23" s="1" t="str">
        <f t="shared" si="1"/>
        <v>BC Corumba2.2U02.I0146083,454861111146083,454861111146083,5</v>
      </c>
      <c r="Q23" s="1" t="str">
        <f t="shared" si="2"/>
        <v>LIGRFOINT</v>
      </c>
    </row>
    <row r="24" spans="2:17">
      <c r="B24" s="1" t="s">
        <v>286</v>
      </c>
      <c r="C24" s="1" t="s">
        <v>292</v>
      </c>
      <c r="D24" s="52">
        <v>46083.454861111109</v>
      </c>
      <c r="E24" s="52">
        <v>46083.454861111109</v>
      </c>
      <c r="F24" s="52">
        <v>46083.5</v>
      </c>
      <c r="G24" s="53">
        <f t="shared" si="0"/>
        <v>4.5138888890505768E-2</v>
      </c>
      <c r="H24" s="1" t="s">
        <v>268</v>
      </c>
      <c r="I24" s="1" t="s">
        <v>269</v>
      </c>
      <c r="J24" s="1" t="s">
        <v>270</v>
      </c>
      <c r="K24" s="1" t="str">
        <f>_xlfn.XLOOKUP(J24,REF!$D$2:$D$12,REF!$E$2:$E$12)</f>
        <v>Internet</v>
      </c>
      <c r="L24" s="1" t="s">
        <v>288</v>
      </c>
      <c r="M24" s="1" t="s">
        <v>289</v>
      </c>
      <c r="N24" s="1" t="s">
        <v>290</v>
      </c>
      <c r="O24" s="72" t="s">
        <v>291</v>
      </c>
      <c r="P24" s="1" t="str">
        <f t="shared" si="1"/>
        <v>BC Corumba2.2U02.I0246083,454861111146083,454861111146083,5</v>
      </c>
      <c r="Q24" s="1" t="str">
        <f t="shared" si="2"/>
        <v>LIGRFOINT</v>
      </c>
    </row>
    <row r="25" spans="2:17">
      <c r="B25" s="1" t="s">
        <v>286</v>
      </c>
      <c r="C25" s="1" t="s">
        <v>293</v>
      </c>
      <c r="D25" s="52">
        <v>46083.454861111109</v>
      </c>
      <c r="E25" s="52">
        <v>46083.454861111109</v>
      </c>
      <c r="F25" s="52">
        <v>46083.5</v>
      </c>
      <c r="G25" s="53">
        <f t="shared" si="0"/>
        <v>4.5138888890505768E-2</v>
      </c>
      <c r="H25" s="1" t="s">
        <v>268</v>
      </c>
      <c r="I25" s="1" t="s">
        <v>269</v>
      </c>
      <c r="J25" s="1" t="s">
        <v>270</v>
      </c>
      <c r="K25" s="1" t="str">
        <f>_xlfn.XLOOKUP(J25,REF!$D$2:$D$12,REF!$E$2:$E$12)</f>
        <v>Internet</v>
      </c>
      <c r="L25" s="1" t="s">
        <v>288</v>
      </c>
      <c r="M25" s="1" t="s">
        <v>289</v>
      </c>
      <c r="N25" s="1" t="s">
        <v>290</v>
      </c>
      <c r="O25" s="72" t="s">
        <v>291</v>
      </c>
      <c r="P25" s="1" t="str">
        <f t="shared" si="1"/>
        <v>BC Corumba2.2U02.I0346083,454861111146083,454861111146083,5</v>
      </c>
      <c r="Q25" s="1" t="str">
        <f t="shared" si="2"/>
        <v>LIGRFOINT</v>
      </c>
    </row>
    <row r="26" spans="2:17">
      <c r="B26" s="1" t="s">
        <v>286</v>
      </c>
      <c r="C26" s="1" t="s">
        <v>294</v>
      </c>
      <c r="D26" s="52">
        <v>46083.454861111109</v>
      </c>
      <c r="E26" s="52">
        <v>46083.454861111109</v>
      </c>
      <c r="F26" s="52">
        <v>46083.5</v>
      </c>
      <c r="G26" s="53">
        <f t="shared" si="0"/>
        <v>4.5138888890505768E-2</v>
      </c>
      <c r="H26" s="1" t="s">
        <v>268</v>
      </c>
      <c r="I26" s="1" t="s">
        <v>269</v>
      </c>
      <c r="J26" s="1" t="s">
        <v>270</v>
      </c>
      <c r="K26" s="1" t="str">
        <f>_xlfn.XLOOKUP(J26,REF!$D$2:$D$12,REF!$E$2:$E$12)</f>
        <v>Internet</v>
      </c>
      <c r="L26" s="1" t="s">
        <v>288</v>
      </c>
      <c r="M26" s="1" t="s">
        <v>289</v>
      </c>
      <c r="N26" s="1" t="s">
        <v>290</v>
      </c>
      <c r="O26" s="72" t="s">
        <v>291</v>
      </c>
      <c r="P26" s="1" t="str">
        <f t="shared" si="1"/>
        <v>BC Corumba2.2U02.I0446083,454861111146083,454861111146083,5</v>
      </c>
      <c r="Q26" s="1" t="str">
        <f t="shared" si="2"/>
        <v>LIGRFOINT</v>
      </c>
    </row>
    <row r="27" spans="2:17">
      <c r="B27" s="1" t="s">
        <v>286</v>
      </c>
      <c r="C27" s="1" t="s">
        <v>295</v>
      </c>
      <c r="D27" s="52">
        <v>46083.454861111109</v>
      </c>
      <c r="E27" s="52">
        <v>46083.454861111109</v>
      </c>
      <c r="F27" s="52">
        <v>46083.5</v>
      </c>
      <c r="G27" s="53">
        <f t="shared" si="0"/>
        <v>4.5138888890505768E-2</v>
      </c>
      <c r="H27" s="1" t="s">
        <v>268</v>
      </c>
      <c r="I27" s="1" t="s">
        <v>269</v>
      </c>
      <c r="J27" s="1" t="s">
        <v>270</v>
      </c>
      <c r="K27" s="1" t="str">
        <f>_xlfn.XLOOKUP(J27,REF!$D$2:$D$12,REF!$E$2:$E$12)</f>
        <v>Internet</v>
      </c>
      <c r="L27" s="1" t="s">
        <v>288</v>
      </c>
      <c r="M27" s="1" t="s">
        <v>289</v>
      </c>
      <c r="N27" s="1" t="s">
        <v>290</v>
      </c>
      <c r="O27" s="72" t="s">
        <v>291</v>
      </c>
      <c r="P27" s="1" t="str">
        <f t="shared" si="1"/>
        <v>BC Corumba2.2U02.I0546083,454861111146083,454861111146083,5</v>
      </c>
      <c r="Q27" s="1" t="str">
        <f t="shared" si="2"/>
        <v>LIGRFOINT</v>
      </c>
    </row>
    <row r="28" spans="2:17">
      <c r="B28" s="1" t="s">
        <v>255</v>
      </c>
      <c r="C28" s="1" t="s">
        <v>256</v>
      </c>
      <c r="D28" s="52">
        <v>46083.472222222219</v>
      </c>
      <c r="E28" s="52">
        <v>46083.472222222219</v>
      </c>
      <c r="F28" s="52">
        <v>46083.479166666664</v>
      </c>
      <c r="G28" s="53">
        <f t="shared" si="0"/>
        <v>6.9444444452528842E-3</v>
      </c>
      <c r="H28" s="1" t="s">
        <v>257</v>
      </c>
      <c r="J28" s="1" t="s">
        <v>258</v>
      </c>
      <c r="K28" s="1" t="str">
        <f>_xlfn.XLOOKUP(J28,REF!$D$2:$D$12,REF!$E$2:$E$12)</f>
        <v>Rede</v>
      </c>
      <c r="L28" s="1" t="s">
        <v>296</v>
      </c>
      <c r="M28" s="1" t="s">
        <v>260</v>
      </c>
      <c r="N28" s="1" t="s">
        <v>261</v>
      </c>
      <c r="O28" s="72" t="s">
        <v>297</v>
      </c>
      <c r="P28" s="1" t="str">
        <f t="shared" si="1"/>
        <v>BC Formoso2.1Inverter(MBUS-12)46083,472222222246083,472222222246083,4791666667</v>
      </c>
      <c r="Q28" s="1" t="str">
        <f t="shared" si="2"/>
        <v>DAURDE</v>
      </c>
    </row>
    <row r="29" spans="2:17">
      <c r="B29" s="1" t="s">
        <v>255</v>
      </c>
      <c r="C29" s="1" t="s">
        <v>263</v>
      </c>
      <c r="D29" s="52">
        <v>46083.472222222219</v>
      </c>
      <c r="E29" s="52">
        <v>46083.472222222219</v>
      </c>
      <c r="F29" s="52">
        <v>46083.479166666664</v>
      </c>
      <c r="G29" s="53">
        <f t="shared" si="0"/>
        <v>6.9444444452528842E-3</v>
      </c>
      <c r="H29" s="1" t="s">
        <v>257</v>
      </c>
      <c r="J29" s="1" t="s">
        <v>258</v>
      </c>
      <c r="K29" s="1" t="str">
        <f>_xlfn.XLOOKUP(J29,REF!$D$2:$D$12,REF!$E$2:$E$12)</f>
        <v>Rede</v>
      </c>
      <c r="L29" s="1" t="s">
        <v>296</v>
      </c>
      <c r="M29" s="1" t="s">
        <v>260</v>
      </c>
      <c r="N29" s="1" t="s">
        <v>261</v>
      </c>
      <c r="O29" s="72" t="s">
        <v>297</v>
      </c>
      <c r="P29" s="1" t="str">
        <f t="shared" si="1"/>
        <v>BC Formoso2.1Inverter(MBUS-14)46083,472222222246083,472222222246083,4791666667</v>
      </c>
      <c r="Q29" s="1" t="str">
        <f t="shared" si="2"/>
        <v>DAURDE</v>
      </c>
    </row>
    <row r="30" spans="2:17">
      <c r="B30" s="1" t="s">
        <v>255</v>
      </c>
      <c r="C30" s="1" t="s">
        <v>264</v>
      </c>
      <c r="D30" s="52">
        <v>46083.472222222219</v>
      </c>
      <c r="E30" s="52">
        <v>46083.472222222219</v>
      </c>
      <c r="F30" s="52">
        <v>46083.479166666664</v>
      </c>
      <c r="G30" s="53">
        <f t="shared" si="0"/>
        <v>6.9444444452528842E-3</v>
      </c>
      <c r="H30" s="1" t="s">
        <v>257</v>
      </c>
      <c r="J30" s="1" t="s">
        <v>258</v>
      </c>
      <c r="K30" s="1" t="str">
        <f>_xlfn.XLOOKUP(J30,REF!$D$2:$D$12,REF!$E$2:$E$12)</f>
        <v>Rede</v>
      </c>
      <c r="L30" s="1" t="s">
        <v>296</v>
      </c>
      <c r="M30" s="1" t="s">
        <v>260</v>
      </c>
      <c r="N30" s="1" t="s">
        <v>261</v>
      </c>
      <c r="O30" s="72" t="s">
        <v>297</v>
      </c>
      <c r="P30" s="1" t="str">
        <f t="shared" si="1"/>
        <v>BC Formoso2.1Inverter(MBUS-13)46083,472222222246083,472222222246083,4791666667</v>
      </c>
      <c r="Q30" s="1" t="str">
        <f t="shared" si="2"/>
        <v>DAURDE</v>
      </c>
    </row>
    <row r="31" spans="2:17">
      <c r="B31" s="1" t="s">
        <v>255</v>
      </c>
      <c r="C31" s="1" t="s">
        <v>247</v>
      </c>
      <c r="D31" s="52">
        <v>46083.472222222219</v>
      </c>
      <c r="E31" s="52">
        <v>46083.472222222219</v>
      </c>
      <c r="F31" s="52">
        <v>46083.479166666664</v>
      </c>
      <c r="G31" s="53">
        <f t="shared" si="0"/>
        <v>6.9444444452528842E-3</v>
      </c>
      <c r="H31" s="1" t="s">
        <v>257</v>
      </c>
      <c r="J31" s="1" t="s">
        <v>258</v>
      </c>
      <c r="K31" s="1" t="str">
        <f>_xlfn.XLOOKUP(J31,REF!$D$2:$D$12,REF!$E$2:$E$12)</f>
        <v>Rede</v>
      </c>
      <c r="L31" s="1" t="s">
        <v>296</v>
      </c>
      <c r="M31" s="1" t="s">
        <v>260</v>
      </c>
      <c r="N31" s="1" t="s">
        <v>261</v>
      </c>
      <c r="O31" s="72" t="s">
        <v>297</v>
      </c>
      <c r="P31" s="1" t="str">
        <f t="shared" si="1"/>
        <v>BC Formoso2.1Inverter(MBUS-1)46083,472222222246083,472222222246083,4791666667</v>
      </c>
      <c r="Q31" s="1" t="str">
        <f t="shared" si="2"/>
        <v>DAURDE</v>
      </c>
    </row>
    <row r="32" spans="2:17">
      <c r="B32" s="1" t="s">
        <v>265</v>
      </c>
      <c r="C32" s="1" t="s">
        <v>263</v>
      </c>
      <c r="D32" s="52">
        <v>46083.472222222219</v>
      </c>
      <c r="E32" s="52">
        <v>46083.472222222219</v>
      </c>
      <c r="F32" s="52">
        <v>46083.479166666664</v>
      </c>
      <c r="G32" s="53">
        <f t="shared" si="0"/>
        <v>6.9444444452528842E-3</v>
      </c>
      <c r="H32" s="1" t="s">
        <v>257</v>
      </c>
      <c r="J32" s="1" t="s">
        <v>258</v>
      </c>
      <c r="K32" s="1" t="str">
        <f>_xlfn.XLOOKUP(J32,REF!$D$2:$D$12,REF!$E$2:$E$12)</f>
        <v>Rede</v>
      </c>
      <c r="L32" s="1" t="s">
        <v>298</v>
      </c>
      <c r="M32" s="1" t="s">
        <v>260</v>
      </c>
      <c r="N32" s="1" t="s">
        <v>261</v>
      </c>
      <c r="O32" s="72" t="s">
        <v>297</v>
      </c>
      <c r="P32" s="1" t="str">
        <f t="shared" si="1"/>
        <v>BC Formoso2.2Inverter(MBUS-14)46083,472222222246083,472222222246083,4791666667</v>
      </c>
      <c r="Q32" s="1" t="str">
        <f t="shared" si="2"/>
        <v>DAURDE</v>
      </c>
    </row>
    <row r="33" spans="2:17">
      <c r="B33" s="1" t="s">
        <v>265</v>
      </c>
      <c r="C33" s="1" t="s">
        <v>264</v>
      </c>
      <c r="D33" s="52">
        <v>46083.472222222219</v>
      </c>
      <c r="E33" s="52">
        <v>46083.472222222219</v>
      </c>
      <c r="F33" s="52">
        <v>46083.479166666664</v>
      </c>
      <c r="G33" s="53">
        <f t="shared" si="0"/>
        <v>6.9444444452528842E-3</v>
      </c>
      <c r="H33" s="1" t="s">
        <v>257</v>
      </c>
      <c r="J33" s="1" t="s">
        <v>258</v>
      </c>
      <c r="K33" s="1" t="str">
        <f>_xlfn.XLOOKUP(J33,REF!$D$2:$D$12,REF!$E$2:$E$12)</f>
        <v>Rede</v>
      </c>
      <c r="L33" s="1" t="s">
        <v>298</v>
      </c>
      <c r="M33" s="1" t="s">
        <v>260</v>
      </c>
      <c r="N33" s="1" t="s">
        <v>261</v>
      </c>
      <c r="O33" s="72" t="s">
        <v>297</v>
      </c>
      <c r="P33" s="1" t="str">
        <f t="shared" si="1"/>
        <v>BC Formoso2.2Inverter(MBUS-13)46083,472222222246083,472222222246083,4791666667</v>
      </c>
      <c r="Q33" s="1" t="str">
        <f t="shared" si="2"/>
        <v>DAURDE</v>
      </c>
    </row>
    <row r="34" spans="2:17">
      <c r="B34" s="1" t="s">
        <v>265</v>
      </c>
      <c r="C34" s="1" t="s">
        <v>256</v>
      </c>
      <c r="D34" s="52">
        <v>46083.472222222219</v>
      </c>
      <c r="E34" s="52">
        <v>46083.472222222219</v>
      </c>
      <c r="F34" s="52">
        <v>46083.479166666664</v>
      </c>
      <c r="G34" s="53">
        <f t="shared" si="0"/>
        <v>6.9444444452528842E-3</v>
      </c>
      <c r="H34" s="1" t="s">
        <v>257</v>
      </c>
      <c r="J34" s="1" t="s">
        <v>258</v>
      </c>
      <c r="K34" s="1" t="str">
        <f>_xlfn.XLOOKUP(J34,REF!$D$2:$D$12,REF!$E$2:$E$12)</f>
        <v>Rede</v>
      </c>
      <c r="L34" s="1" t="s">
        <v>298</v>
      </c>
      <c r="M34" s="1" t="s">
        <v>260</v>
      </c>
      <c r="N34" s="1" t="s">
        <v>261</v>
      </c>
      <c r="O34" s="72" t="s">
        <v>297</v>
      </c>
      <c r="P34" s="1" t="str">
        <f t="shared" si="1"/>
        <v>BC Formoso2.2Inverter(MBUS-12)46083,472222222246083,472222222246083,4791666667</v>
      </c>
      <c r="Q34" s="1" t="str">
        <f t="shared" si="2"/>
        <v>DAURDE</v>
      </c>
    </row>
    <row r="35" spans="2:17">
      <c r="B35" s="1" t="s">
        <v>265</v>
      </c>
      <c r="C35" s="1" t="s">
        <v>247</v>
      </c>
      <c r="D35" s="52">
        <v>46083.472222222219</v>
      </c>
      <c r="E35" s="52">
        <v>46083.472222222219</v>
      </c>
      <c r="F35" s="52">
        <v>46083.479166666664</v>
      </c>
      <c r="G35" s="53">
        <f t="shared" si="0"/>
        <v>6.9444444452528842E-3</v>
      </c>
      <c r="H35" s="1" t="s">
        <v>257</v>
      </c>
      <c r="J35" s="1" t="s">
        <v>258</v>
      </c>
      <c r="K35" s="1" t="str">
        <f>_xlfn.XLOOKUP(J35,REF!$D$2:$D$12,REF!$E$2:$E$12)</f>
        <v>Rede</v>
      </c>
      <c r="L35" s="1" t="s">
        <v>298</v>
      </c>
      <c r="M35" s="1" t="s">
        <v>260</v>
      </c>
      <c r="N35" s="1" t="s">
        <v>261</v>
      </c>
      <c r="O35" s="72" t="s">
        <v>297</v>
      </c>
      <c r="P35" s="1" t="str">
        <f t="shared" si="1"/>
        <v>BC Formoso2.2Inverter(MBUS-1)46083,472222222246083,472222222246083,4791666667</v>
      </c>
      <c r="Q35" s="1" t="str">
        <f t="shared" si="2"/>
        <v>DAURDE</v>
      </c>
    </row>
    <row r="36" spans="2:17">
      <c r="B36" s="1" t="s">
        <v>255</v>
      </c>
      <c r="C36" s="1" t="s">
        <v>256</v>
      </c>
      <c r="D36" s="52">
        <v>46083.510416666664</v>
      </c>
      <c r="E36" s="52">
        <v>46083.510416666664</v>
      </c>
      <c r="F36" s="52">
        <v>46083.638888888891</v>
      </c>
      <c r="G36" s="53">
        <f t="shared" si="0"/>
        <v>0.12847222222626442</v>
      </c>
      <c r="H36" s="1" t="s">
        <v>257</v>
      </c>
      <c r="J36" s="1" t="s">
        <v>258</v>
      </c>
      <c r="K36" s="1" t="str">
        <f>_xlfn.XLOOKUP(J36,REF!$D$2:$D$12,REF!$E$2:$E$12)</f>
        <v>Rede</v>
      </c>
      <c r="L36" s="1" t="s">
        <v>296</v>
      </c>
      <c r="M36" s="1" t="s">
        <v>260</v>
      </c>
      <c r="N36" s="1" t="s">
        <v>261</v>
      </c>
      <c r="O36" s="72" t="s">
        <v>297</v>
      </c>
      <c r="P36" s="1" t="str">
        <f t="shared" si="1"/>
        <v>BC Formoso2.1Inverter(MBUS-12)46083,510416666746083,510416666746083,6388888889</v>
      </c>
      <c r="Q36" s="1" t="str">
        <f t="shared" si="2"/>
        <v>DAURDE</v>
      </c>
    </row>
    <row r="37" spans="2:17">
      <c r="B37" s="1" t="s">
        <v>255</v>
      </c>
      <c r="C37" s="1" t="s">
        <v>263</v>
      </c>
      <c r="D37" s="52">
        <v>46083.510416666664</v>
      </c>
      <c r="E37" s="52">
        <v>46083.510416666664</v>
      </c>
      <c r="F37" s="52">
        <v>46083.638888888891</v>
      </c>
      <c r="G37" s="53">
        <f t="shared" si="0"/>
        <v>0.12847222222626442</v>
      </c>
      <c r="H37" s="1" t="s">
        <v>257</v>
      </c>
      <c r="J37" s="1" t="s">
        <v>258</v>
      </c>
      <c r="K37" s="1" t="str">
        <f>_xlfn.XLOOKUP(J37,REF!$D$2:$D$12,REF!$E$2:$E$12)</f>
        <v>Rede</v>
      </c>
      <c r="L37" s="1" t="s">
        <v>296</v>
      </c>
      <c r="M37" s="1" t="s">
        <v>260</v>
      </c>
      <c r="N37" s="1" t="s">
        <v>261</v>
      </c>
      <c r="O37" s="72" t="s">
        <v>297</v>
      </c>
      <c r="P37" s="1" t="str">
        <f t="shared" si="1"/>
        <v>BC Formoso2.1Inverter(MBUS-14)46083,510416666746083,510416666746083,6388888889</v>
      </c>
      <c r="Q37" s="1" t="str">
        <f t="shared" si="2"/>
        <v>DAURDE</v>
      </c>
    </row>
    <row r="38" spans="2:17">
      <c r="B38" s="1" t="s">
        <v>255</v>
      </c>
      <c r="C38" s="1" t="s">
        <v>264</v>
      </c>
      <c r="D38" s="52">
        <v>46083.510416666664</v>
      </c>
      <c r="E38" s="52">
        <v>46083.510416666664</v>
      </c>
      <c r="F38" s="52">
        <v>46083.638888888891</v>
      </c>
      <c r="G38" s="53">
        <f t="shared" si="0"/>
        <v>0.12847222222626442</v>
      </c>
      <c r="H38" s="1" t="s">
        <v>257</v>
      </c>
      <c r="J38" s="1" t="s">
        <v>258</v>
      </c>
      <c r="K38" s="1" t="str">
        <f>_xlfn.XLOOKUP(J38,REF!$D$2:$D$12,REF!$E$2:$E$12)</f>
        <v>Rede</v>
      </c>
      <c r="L38" s="1" t="s">
        <v>296</v>
      </c>
      <c r="M38" s="1" t="s">
        <v>260</v>
      </c>
      <c r="N38" s="1" t="s">
        <v>261</v>
      </c>
      <c r="O38" s="72" t="s">
        <v>297</v>
      </c>
      <c r="P38" s="1" t="str">
        <f t="shared" si="1"/>
        <v>BC Formoso2.1Inverter(MBUS-13)46083,510416666746083,510416666746083,6388888889</v>
      </c>
      <c r="Q38" s="1" t="str">
        <f t="shared" si="2"/>
        <v>DAURDE</v>
      </c>
    </row>
    <row r="39" spans="2:17">
      <c r="B39" s="1" t="s">
        <v>255</v>
      </c>
      <c r="C39" s="1" t="s">
        <v>247</v>
      </c>
      <c r="D39" s="52">
        <v>46083.510416666664</v>
      </c>
      <c r="E39" s="52">
        <v>46083.510416666664</v>
      </c>
      <c r="F39" s="52">
        <v>46083.638888888891</v>
      </c>
      <c r="G39" s="53">
        <f t="shared" si="0"/>
        <v>0.12847222222626442</v>
      </c>
      <c r="H39" s="1" t="s">
        <v>257</v>
      </c>
      <c r="J39" s="1" t="s">
        <v>258</v>
      </c>
      <c r="K39" s="1" t="str">
        <f>_xlfn.XLOOKUP(J39,REF!$D$2:$D$12,REF!$E$2:$E$12)</f>
        <v>Rede</v>
      </c>
      <c r="L39" s="1" t="s">
        <v>296</v>
      </c>
      <c r="M39" s="1" t="s">
        <v>260</v>
      </c>
      <c r="N39" s="1" t="s">
        <v>261</v>
      </c>
      <c r="O39" s="72" t="s">
        <v>297</v>
      </c>
      <c r="P39" s="1" t="str">
        <f t="shared" si="1"/>
        <v>BC Formoso2.1Inverter(MBUS-1)46083,510416666746083,510416666746083,6388888889</v>
      </c>
      <c r="Q39" s="1" t="str">
        <f t="shared" si="2"/>
        <v>DAURDE</v>
      </c>
    </row>
    <row r="40" spans="2:17">
      <c r="B40" s="1" t="s">
        <v>265</v>
      </c>
      <c r="C40" s="1" t="s">
        <v>263</v>
      </c>
      <c r="D40" s="52">
        <v>46083.510416666664</v>
      </c>
      <c r="E40" s="52">
        <v>46083.510416666664</v>
      </c>
      <c r="F40" s="52">
        <v>46083.638888888891</v>
      </c>
      <c r="G40" s="53">
        <f t="shared" si="0"/>
        <v>0.12847222222626442</v>
      </c>
      <c r="H40" s="1" t="s">
        <v>257</v>
      </c>
      <c r="J40" s="1" t="s">
        <v>258</v>
      </c>
      <c r="K40" s="1" t="str">
        <f>_xlfn.XLOOKUP(J40,REF!$D$2:$D$12,REF!$E$2:$E$12)</f>
        <v>Rede</v>
      </c>
      <c r="L40" s="1" t="s">
        <v>298</v>
      </c>
      <c r="M40" s="1" t="s">
        <v>260</v>
      </c>
      <c r="N40" s="1" t="s">
        <v>261</v>
      </c>
      <c r="O40" s="72" t="s">
        <v>297</v>
      </c>
      <c r="P40" s="1" t="str">
        <f t="shared" si="1"/>
        <v>BC Formoso2.2Inverter(MBUS-14)46083,510416666746083,510416666746083,6388888889</v>
      </c>
      <c r="Q40" s="1" t="str">
        <f t="shared" si="2"/>
        <v>DAURDE</v>
      </c>
    </row>
    <row r="41" spans="2:17">
      <c r="B41" s="1" t="s">
        <v>265</v>
      </c>
      <c r="C41" s="1" t="s">
        <v>264</v>
      </c>
      <c r="D41" s="52">
        <v>46083.510416666664</v>
      </c>
      <c r="E41" s="52">
        <v>46083.510416666664</v>
      </c>
      <c r="F41" s="52">
        <v>46083.638888888891</v>
      </c>
      <c r="G41" s="53">
        <f t="shared" si="0"/>
        <v>0.12847222222626442</v>
      </c>
      <c r="H41" s="1" t="s">
        <v>257</v>
      </c>
      <c r="J41" s="1" t="s">
        <v>258</v>
      </c>
      <c r="K41" s="1" t="str">
        <f>_xlfn.XLOOKUP(J41,REF!$D$2:$D$12,REF!$E$2:$E$12)</f>
        <v>Rede</v>
      </c>
      <c r="L41" s="1" t="s">
        <v>298</v>
      </c>
      <c r="M41" s="1" t="s">
        <v>260</v>
      </c>
      <c r="N41" s="1" t="s">
        <v>261</v>
      </c>
      <c r="O41" s="72" t="s">
        <v>297</v>
      </c>
      <c r="P41" s="1" t="str">
        <f t="shared" si="1"/>
        <v>BC Formoso2.2Inverter(MBUS-13)46083,510416666746083,510416666746083,6388888889</v>
      </c>
      <c r="Q41" s="1" t="str">
        <f t="shared" si="2"/>
        <v>DAURDE</v>
      </c>
    </row>
    <row r="42" spans="2:17">
      <c r="B42" s="1" t="s">
        <v>265</v>
      </c>
      <c r="C42" s="1" t="s">
        <v>256</v>
      </c>
      <c r="D42" s="52">
        <v>46083.510416666664</v>
      </c>
      <c r="E42" s="52">
        <v>46083.510416666664</v>
      </c>
      <c r="F42" s="52">
        <v>46083.638888888891</v>
      </c>
      <c r="G42" s="53">
        <f t="shared" si="0"/>
        <v>0.12847222222626442</v>
      </c>
      <c r="H42" s="1" t="s">
        <v>257</v>
      </c>
      <c r="J42" s="1" t="s">
        <v>258</v>
      </c>
      <c r="K42" s="1" t="str">
        <f>_xlfn.XLOOKUP(J42,REF!$D$2:$D$12,REF!$E$2:$E$12)</f>
        <v>Rede</v>
      </c>
      <c r="L42" s="1" t="s">
        <v>298</v>
      </c>
      <c r="M42" s="1" t="s">
        <v>260</v>
      </c>
      <c r="N42" s="1" t="s">
        <v>261</v>
      </c>
      <c r="O42" s="72" t="s">
        <v>297</v>
      </c>
      <c r="P42" s="1" t="str">
        <f t="shared" si="1"/>
        <v>BC Formoso2.2Inverter(MBUS-12)46083,510416666746083,510416666746083,6388888889</v>
      </c>
      <c r="Q42" s="1" t="str">
        <f t="shared" si="2"/>
        <v>DAURDE</v>
      </c>
    </row>
    <row r="43" spans="2:17">
      <c r="B43" s="1" t="s">
        <v>265</v>
      </c>
      <c r="C43" s="1" t="s">
        <v>247</v>
      </c>
      <c r="D43" s="52">
        <v>46083.510416666664</v>
      </c>
      <c r="E43" s="52">
        <v>46083.510416666664</v>
      </c>
      <c r="F43" s="52">
        <v>46083.638888888891</v>
      </c>
      <c r="G43" s="53">
        <f t="shared" si="0"/>
        <v>0.12847222222626442</v>
      </c>
      <c r="H43" s="1" t="s">
        <v>257</v>
      </c>
      <c r="J43" s="1" t="s">
        <v>258</v>
      </c>
      <c r="K43" s="1" t="str">
        <f>_xlfn.XLOOKUP(J43,REF!$D$2:$D$12,REF!$E$2:$E$12)</f>
        <v>Rede</v>
      </c>
      <c r="L43" s="1" t="s">
        <v>298</v>
      </c>
      <c r="M43" s="1" t="s">
        <v>260</v>
      </c>
      <c r="N43" s="1" t="s">
        <v>261</v>
      </c>
      <c r="O43" s="72" t="s">
        <v>297</v>
      </c>
      <c r="P43" s="1" t="str">
        <f t="shared" si="1"/>
        <v>BC Formoso2.2Inverter(MBUS-1)46083,510416666746083,510416666746083,6388888889</v>
      </c>
      <c r="Q43" s="1" t="str">
        <f t="shared" si="2"/>
        <v>DAURDE</v>
      </c>
    </row>
    <row r="44" spans="2:17">
      <c r="B44" s="1" t="s">
        <v>299</v>
      </c>
      <c r="C44" s="1" t="s">
        <v>300</v>
      </c>
      <c r="D44" s="52">
        <v>46083.513888888891</v>
      </c>
      <c r="E44" s="52">
        <v>46083.513888888891</v>
      </c>
      <c r="F44" s="52">
        <v>46083.666666666664</v>
      </c>
      <c r="G44" s="53">
        <f t="shared" si="0"/>
        <v>0.15277777777373558</v>
      </c>
      <c r="H44" s="1" t="s">
        <v>257</v>
      </c>
      <c r="J44" s="1" t="s">
        <v>258</v>
      </c>
      <c r="K44" s="1" t="str">
        <f>_xlfn.XLOOKUP(J44,REF!$D$2:$D$12,REF!$E$2:$E$12)</f>
        <v>Rede</v>
      </c>
      <c r="L44" s="1" t="s">
        <v>301</v>
      </c>
      <c r="M44" s="1" t="s">
        <v>260</v>
      </c>
      <c r="N44" s="1" t="s">
        <v>261</v>
      </c>
      <c r="O44" s="72" t="s">
        <v>302</v>
      </c>
      <c r="P44" s="1" t="str">
        <f t="shared" si="1"/>
        <v>BC Panama1.1ITAPOAN 001 (COM1-001)_001_00146083,513888888946083,513888888946083,6666666667</v>
      </c>
      <c r="Q44" s="1" t="str">
        <f t="shared" si="2"/>
        <v>DAURDE</v>
      </c>
    </row>
    <row r="45" spans="2:17">
      <c r="B45" s="1" t="s">
        <v>299</v>
      </c>
      <c r="C45" s="1" t="s">
        <v>303</v>
      </c>
      <c r="D45" s="52">
        <v>46083.513888888891</v>
      </c>
      <c r="E45" s="52">
        <v>46083.513888888891</v>
      </c>
      <c r="F45" s="52">
        <v>46083.666666666664</v>
      </c>
      <c r="G45" s="53">
        <f t="shared" si="0"/>
        <v>0.15277777777373558</v>
      </c>
      <c r="H45" s="1" t="s">
        <v>257</v>
      </c>
      <c r="J45" s="1" t="s">
        <v>258</v>
      </c>
      <c r="K45" s="1" t="str">
        <f>_xlfn.XLOOKUP(J45,REF!$D$2:$D$12,REF!$E$2:$E$12)</f>
        <v>Rede</v>
      </c>
      <c r="L45" s="1" t="s">
        <v>301</v>
      </c>
      <c r="M45" s="1" t="s">
        <v>260</v>
      </c>
      <c r="N45" s="1" t="s">
        <v>261</v>
      </c>
      <c r="O45" s="72" t="s">
        <v>302</v>
      </c>
      <c r="P45" s="1" t="str">
        <f t="shared" si="1"/>
        <v>BC Panama1.1CEREAL_00246083,513888888946083,513888888946083,6666666667</v>
      </c>
      <c r="Q45" s="1" t="str">
        <f t="shared" si="2"/>
        <v>DAURDE</v>
      </c>
    </row>
    <row r="46" spans="2:17">
      <c r="B46" s="1" t="s">
        <v>299</v>
      </c>
      <c r="C46" s="1" t="s">
        <v>304</v>
      </c>
      <c r="D46" s="52">
        <v>46083.513888888891</v>
      </c>
      <c r="E46" s="52">
        <v>46083.513888888891</v>
      </c>
      <c r="F46" s="52">
        <v>46083.666666666664</v>
      </c>
      <c r="G46" s="53">
        <f t="shared" si="0"/>
        <v>0.15277777777373558</v>
      </c>
      <c r="H46" s="1" t="s">
        <v>257</v>
      </c>
      <c r="J46" s="1" t="s">
        <v>258</v>
      </c>
      <c r="K46" s="1" t="str">
        <f>_xlfn.XLOOKUP(J46,REF!$D$2:$D$12,REF!$E$2:$E$12)</f>
        <v>Rede</v>
      </c>
      <c r="L46" s="1" t="s">
        <v>301</v>
      </c>
      <c r="M46" s="1" t="s">
        <v>260</v>
      </c>
      <c r="N46" s="1" t="s">
        <v>261</v>
      </c>
      <c r="O46" s="72" t="s">
        <v>302</v>
      </c>
      <c r="P46" s="1" t="str">
        <f t="shared" si="1"/>
        <v>BC Panama1.1ITAPOAN_00346083,513888888946083,513888888946083,6666666667</v>
      </c>
      <c r="Q46" s="1" t="str">
        <f t="shared" si="2"/>
        <v>DAURDE</v>
      </c>
    </row>
    <row r="47" spans="2:17">
      <c r="B47" s="1" t="s">
        <v>305</v>
      </c>
      <c r="C47" s="1" t="s">
        <v>256</v>
      </c>
      <c r="D47" s="52">
        <v>46083.670138888891</v>
      </c>
      <c r="E47" s="52">
        <v>46083.670138888891</v>
      </c>
      <c r="F47" s="52">
        <v>46083.704861111109</v>
      </c>
      <c r="G47" s="53">
        <f t="shared" si="0"/>
        <v>3.4722222218988463E-2</v>
      </c>
      <c r="H47" s="1" t="s">
        <v>257</v>
      </c>
      <c r="J47" s="1" t="s">
        <v>258</v>
      </c>
      <c r="K47" s="1" t="str">
        <f>_xlfn.XLOOKUP(J47,REF!$D$2:$D$12,REF!$E$2:$E$12)</f>
        <v>Rede</v>
      </c>
      <c r="L47" s="1" t="s">
        <v>306</v>
      </c>
      <c r="M47" s="1" t="s">
        <v>260</v>
      </c>
      <c r="N47" s="1" t="s">
        <v>261</v>
      </c>
      <c r="O47" s="72" t="s">
        <v>297</v>
      </c>
      <c r="P47" s="1" t="str">
        <f t="shared" si="1"/>
        <v>ARAGUATINS 1.1Inverter(MBUS-12)46083,670138888946083,670138888946083,7048611111</v>
      </c>
      <c r="Q47" s="1" t="str">
        <f t="shared" si="2"/>
        <v>DAURDE</v>
      </c>
    </row>
    <row r="48" spans="2:17">
      <c r="B48" s="1" t="s">
        <v>305</v>
      </c>
      <c r="C48" s="1" t="s">
        <v>264</v>
      </c>
      <c r="D48" s="52">
        <v>46083.670138888891</v>
      </c>
      <c r="E48" s="52">
        <v>46083.670138888891</v>
      </c>
      <c r="F48" s="52">
        <v>46083.704861111109</v>
      </c>
      <c r="G48" s="53">
        <f t="shared" si="0"/>
        <v>3.4722222218988463E-2</v>
      </c>
      <c r="H48" s="1" t="s">
        <v>257</v>
      </c>
      <c r="J48" s="1" t="s">
        <v>258</v>
      </c>
      <c r="K48" s="1" t="str">
        <f>_xlfn.XLOOKUP(J48,REF!$D$2:$D$12,REF!$E$2:$E$12)</f>
        <v>Rede</v>
      </c>
      <c r="L48" s="1" t="s">
        <v>306</v>
      </c>
      <c r="M48" s="1" t="s">
        <v>260</v>
      </c>
      <c r="N48" s="1" t="s">
        <v>261</v>
      </c>
      <c r="O48" s="72" t="s">
        <v>297</v>
      </c>
      <c r="P48" s="1" t="str">
        <f t="shared" si="1"/>
        <v>ARAGUATINS 1.1Inverter(MBUS-13)46083,670138888946083,670138888946083,7048611111</v>
      </c>
      <c r="Q48" s="1" t="str">
        <f t="shared" si="2"/>
        <v>DAURDE</v>
      </c>
    </row>
    <row r="49" spans="2:17">
      <c r="B49" s="1" t="s">
        <v>305</v>
      </c>
      <c r="C49" s="1" t="s">
        <v>263</v>
      </c>
      <c r="D49" s="52">
        <v>46083.670138888891</v>
      </c>
      <c r="E49" s="52">
        <v>46083.670138888891</v>
      </c>
      <c r="F49" s="52">
        <v>46083.704861111109</v>
      </c>
      <c r="G49" s="53">
        <f t="shared" si="0"/>
        <v>3.4722222218988463E-2</v>
      </c>
      <c r="H49" s="1" t="s">
        <v>257</v>
      </c>
      <c r="J49" s="1" t="s">
        <v>258</v>
      </c>
      <c r="K49" s="1" t="str">
        <f>_xlfn.XLOOKUP(J49,REF!$D$2:$D$12,REF!$E$2:$E$12)</f>
        <v>Rede</v>
      </c>
      <c r="L49" s="1" t="s">
        <v>306</v>
      </c>
      <c r="M49" s="1" t="s">
        <v>260</v>
      </c>
      <c r="N49" s="1" t="s">
        <v>261</v>
      </c>
      <c r="O49" s="72" t="s">
        <v>297</v>
      </c>
      <c r="P49" s="1" t="str">
        <f t="shared" si="1"/>
        <v>ARAGUATINS 1.1Inverter(MBUS-14)46083,670138888946083,670138888946083,7048611111</v>
      </c>
      <c r="Q49" s="1" t="str">
        <f t="shared" si="2"/>
        <v>DAURDE</v>
      </c>
    </row>
    <row r="50" spans="2:17">
      <c r="B50" s="1" t="s">
        <v>305</v>
      </c>
      <c r="C50" s="1" t="s">
        <v>307</v>
      </c>
      <c r="D50" s="52">
        <v>46083.670138888891</v>
      </c>
      <c r="E50" s="52">
        <v>46083.670138888891</v>
      </c>
      <c r="F50" s="52">
        <v>46083.704861111109</v>
      </c>
      <c r="G50" s="53">
        <f t="shared" si="0"/>
        <v>3.4722222218988463E-2</v>
      </c>
      <c r="H50" s="1" t="s">
        <v>257</v>
      </c>
      <c r="J50" s="1" t="s">
        <v>258</v>
      </c>
      <c r="K50" s="1" t="str">
        <f>_xlfn.XLOOKUP(J50,REF!$D$2:$D$12,REF!$E$2:$E$12)</f>
        <v>Rede</v>
      </c>
      <c r="L50" s="1" t="s">
        <v>306</v>
      </c>
      <c r="M50" s="1" t="s">
        <v>260</v>
      </c>
      <c r="N50" s="1" t="s">
        <v>261</v>
      </c>
      <c r="O50" s="72" t="s">
        <v>297</v>
      </c>
      <c r="P50" s="1" t="str">
        <f t="shared" si="1"/>
        <v>ARAGUATINS 1.1Inverter(MBUS-15)46083,670138888946083,670138888946083,7048611111</v>
      </c>
      <c r="Q50" s="1" t="str">
        <f t="shared" si="2"/>
        <v>DAURDE</v>
      </c>
    </row>
    <row r="51" spans="2:17">
      <c r="B51" s="1" t="s">
        <v>308</v>
      </c>
      <c r="C51" s="1" t="s">
        <v>256</v>
      </c>
      <c r="D51" s="52">
        <v>46083.670138888891</v>
      </c>
      <c r="E51" s="52">
        <v>46083.670138888891</v>
      </c>
      <c r="F51" s="52">
        <v>46083.704861111109</v>
      </c>
      <c r="G51" s="53">
        <f t="shared" si="0"/>
        <v>3.4722222218988463E-2</v>
      </c>
      <c r="H51" s="1" t="s">
        <v>257</v>
      </c>
      <c r="J51" s="1" t="s">
        <v>258</v>
      </c>
      <c r="K51" s="1" t="str">
        <f>_xlfn.XLOOKUP(J51,REF!$D$2:$D$12,REF!$E$2:$E$12)</f>
        <v>Rede</v>
      </c>
      <c r="L51" s="1" t="s">
        <v>306</v>
      </c>
      <c r="M51" s="1" t="s">
        <v>260</v>
      </c>
      <c r="N51" s="1" t="s">
        <v>261</v>
      </c>
      <c r="O51" s="72" t="s">
        <v>297</v>
      </c>
      <c r="P51" s="1" t="str">
        <f t="shared" si="1"/>
        <v>ARAGUATINS 1.2Inverter(MBUS-12)46083,670138888946083,670138888946083,7048611111</v>
      </c>
      <c r="Q51" s="1" t="str">
        <f t="shared" si="2"/>
        <v>DAURDE</v>
      </c>
    </row>
    <row r="52" spans="2:17">
      <c r="B52" s="1" t="s">
        <v>308</v>
      </c>
      <c r="C52" s="1" t="s">
        <v>264</v>
      </c>
      <c r="D52" s="52">
        <v>46083.670138888891</v>
      </c>
      <c r="E52" s="52">
        <v>46083.670138888891</v>
      </c>
      <c r="F52" s="52">
        <v>46083.704861111109</v>
      </c>
      <c r="G52" s="53">
        <f t="shared" si="0"/>
        <v>3.4722222218988463E-2</v>
      </c>
      <c r="H52" s="1" t="s">
        <v>257</v>
      </c>
      <c r="J52" s="1" t="s">
        <v>258</v>
      </c>
      <c r="K52" s="1" t="str">
        <f>_xlfn.XLOOKUP(J52,REF!$D$2:$D$12,REF!$E$2:$E$12)</f>
        <v>Rede</v>
      </c>
      <c r="L52" s="1" t="s">
        <v>306</v>
      </c>
      <c r="M52" s="1" t="s">
        <v>260</v>
      </c>
      <c r="N52" s="1" t="s">
        <v>261</v>
      </c>
      <c r="O52" s="72" t="s">
        <v>297</v>
      </c>
      <c r="P52" s="1" t="str">
        <f t="shared" si="1"/>
        <v>ARAGUATINS 1.2Inverter(MBUS-13)46083,670138888946083,670138888946083,7048611111</v>
      </c>
      <c r="Q52" s="1" t="str">
        <f t="shared" si="2"/>
        <v>DAURDE</v>
      </c>
    </row>
    <row r="53" spans="2:17">
      <c r="B53" s="1" t="s">
        <v>308</v>
      </c>
      <c r="C53" s="1" t="s">
        <v>263</v>
      </c>
      <c r="D53" s="52">
        <v>46083.670138888891</v>
      </c>
      <c r="E53" s="52">
        <v>46083.670138888891</v>
      </c>
      <c r="F53" s="52">
        <v>46083.704861111109</v>
      </c>
      <c r="G53" s="53">
        <f t="shared" si="0"/>
        <v>3.4722222218988463E-2</v>
      </c>
      <c r="H53" s="1" t="s">
        <v>257</v>
      </c>
      <c r="J53" s="1" t="s">
        <v>258</v>
      </c>
      <c r="K53" s="1" t="str">
        <f>_xlfn.XLOOKUP(J53,REF!$D$2:$D$12,REF!$E$2:$E$12)</f>
        <v>Rede</v>
      </c>
      <c r="L53" s="1" t="s">
        <v>306</v>
      </c>
      <c r="M53" s="1" t="s">
        <v>260</v>
      </c>
      <c r="N53" s="1" t="s">
        <v>261</v>
      </c>
      <c r="O53" s="72" t="s">
        <v>297</v>
      </c>
      <c r="P53" s="1" t="str">
        <f t="shared" si="1"/>
        <v>ARAGUATINS 1.2Inverter(MBUS-14)46083,670138888946083,670138888946083,7048611111</v>
      </c>
      <c r="Q53" s="1" t="str">
        <f t="shared" si="2"/>
        <v>DAURDE</v>
      </c>
    </row>
    <row r="54" spans="2:17">
      <c r="B54" s="1" t="s">
        <v>308</v>
      </c>
      <c r="C54" s="1" t="s">
        <v>307</v>
      </c>
      <c r="D54" s="52">
        <v>46083.670138888891</v>
      </c>
      <c r="E54" s="52">
        <v>46083.670138888891</v>
      </c>
      <c r="F54" s="52">
        <v>46083.704861111109</v>
      </c>
      <c r="G54" s="53">
        <f t="shared" si="0"/>
        <v>3.4722222218988463E-2</v>
      </c>
      <c r="H54" s="1" t="s">
        <v>257</v>
      </c>
      <c r="J54" s="1" t="s">
        <v>258</v>
      </c>
      <c r="K54" s="1" t="str">
        <f>_xlfn.XLOOKUP(J54,REF!$D$2:$D$12,REF!$E$2:$E$12)</f>
        <v>Rede</v>
      </c>
      <c r="L54" s="1" t="s">
        <v>306</v>
      </c>
      <c r="M54" s="1" t="s">
        <v>260</v>
      </c>
      <c r="N54" s="1" t="s">
        <v>261</v>
      </c>
      <c r="O54" s="72" t="s">
        <v>297</v>
      </c>
      <c r="P54" s="1" t="str">
        <f t="shared" si="1"/>
        <v>ARAGUATINS 1.2Inverter(MBUS-15)46083,670138888946083,670138888946083,7048611111</v>
      </c>
      <c r="Q54" s="1" t="str">
        <f t="shared" si="2"/>
        <v>DAURDE</v>
      </c>
    </row>
    <row r="55" spans="2:17">
      <c r="B55" s="1" t="s">
        <v>309</v>
      </c>
      <c r="C55" s="1" t="s">
        <v>310</v>
      </c>
      <c r="D55" s="52">
        <v>46083.670138888891</v>
      </c>
      <c r="E55" s="52">
        <v>46083.670138888891</v>
      </c>
      <c r="F55" s="52">
        <v>46083.704861111109</v>
      </c>
      <c r="G55" s="53">
        <f t="shared" si="0"/>
        <v>3.4722222218988463E-2</v>
      </c>
      <c r="H55" s="1" t="s">
        <v>257</v>
      </c>
      <c r="J55" s="1" t="s">
        <v>258</v>
      </c>
      <c r="K55" s="1" t="str">
        <f>_xlfn.XLOOKUP(J55,REF!$D$2:$D$12,REF!$E$2:$E$12)</f>
        <v>Rede</v>
      </c>
      <c r="L55" s="1" t="s">
        <v>306</v>
      </c>
      <c r="M55" s="1" t="s">
        <v>260</v>
      </c>
      <c r="N55" s="1" t="s">
        <v>261</v>
      </c>
      <c r="O55" s="72" t="s">
        <v>297</v>
      </c>
      <c r="P55" s="1" t="str">
        <f t="shared" si="1"/>
        <v>ARAGUATINS 1.3Inverter(MBUS-20)46083,670138888946083,670138888946083,7048611111</v>
      </c>
      <c r="Q55" s="1" t="str">
        <f t="shared" si="2"/>
        <v>DAURDE</v>
      </c>
    </row>
    <row r="56" spans="2:17">
      <c r="B56" s="1" t="s">
        <v>309</v>
      </c>
      <c r="C56" s="1" t="s">
        <v>247</v>
      </c>
      <c r="D56" s="52">
        <v>46083.670138888891</v>
      </c>
      <c r="E56" s="52">
        <v>46083.670138888891</v>
      </c>
      <c r="F56" s="52">
        <v>46083.704861111109</v>
      </c>
      <c r="G56" s="53">
        <f t="shared" si="0"/>
        <v>3.4722222218988463E-2</v>
      </c>
      <c r="H56" s="1" t="s">
        <v>257</v>
      </c>
      <c r="J56" s="1" t="s">
        <v>258</v>
      </c>
      <c r="K56" s="1" t="str">
        <f>_xlfn.XLOOKUP(J56,REF!$D$2:$D$12,REF!$E$2:$E$12)</f>
        <v>Rede</v>
      </c>
      <c r="L56" s="1" t="s">
        <v>306</v>
      </c>
      <c r="M56" s="1" t="s">
        <v>260</v>
      </c>
      <c r="N56" s="1" t="s">
        <v>261</v>
      </c>
      <c r="O56" s="72" t="s">
        <v>297</v>
      </c>
      <c r="P56" s="1" t="str">
        <f t="shared" si="1"/>
        <v>ARAGUATINS 1.3Inverter(MBUS-1)46083,670138888946083,670138888946083,7048611111</v>
      </c>
      <c r="Q56" s="1" t="str">
        <f t="shared" si="2"/>
        <v>DAURDE</v>
      </c>
    </row>
    <row r="57" spans="2:17">
      <c r="B57" s="1" t="s">
        <v>311</v>
      </c>
      <c r="C57" s="1" t="s">
        <v>256</v>
      </c>
      <c r="D57" s="52">
        <v>46083.670138888891</v>
      </c>
      <c r="E57" s="52">
        <v>46083.670138888891</v>
      </c>
      <c r="F57" s="52">
        <v>46083.704861111109</v>
      </c>
      <c r="G57" s="53">
        <f t="shared" si="0"/>
        <v>3.4722222218988463E-2</v>
      </c>
      <c r="H57" s="1" t="s">
        <v>257</v>
      </c>
      <c r="J57" s="1" t="s">
        <v>258</v>
      </c>
      <c r="K57" s="1" t="str">
        <f>_xlfn.XLOOKUP(J57,REF!$D$2:$D$12,REF!$E$2:$E$12)</f>
        <v>Rede</v>
      </c>
      <c r="L57" s="1" t="s">
        <v>306</v>
      </c>
      <c r="M57" s="1" t="s">
        <v>260</v>
      </c>
      <c r="N57" s="1" t="s">
        <v>261</v>
      </c>
      <c r="O57" s="72" t="s">
        <v>297</v>
      </c>
      <c r="P57" s="1" t="str">
        <f t="shared" si="1"/>
        <v>ARAGUATINS 2.1Inverter(MBUS-12)46083,670138888946083,670138888946083,7048611111</v>
      </c>
      <c r="Q57" s="1" t="str">
        <f t="shared" si="2"/>
        <v>DAURDE</v>
      </c>
    </row>
    <row r="58" spans="2:17">
      <c r="B58" s="1" t="s">
        <v>311</v>
      </c>
      <c r="C58" s="1" t="s">
        <v>307</v>
      </c>
      <c r="D58" s="52">
        <v>46083.670138888891</v>
      </c>
      <c r="E58" s="52">
        <v>46083.670138888891</v>
      </c>
      <c r="F58" s="52">
        <v>46083.704861111109</v>
      </c>
      <c r="G58" s="53">
        <f t="shared" si="0"/>
        <v>3.4722222218988463E-2</v>
      </c>
      <c r="H58" s="1" t="s">
        <v>257</v>
      </c>
      <c r="J58" s="1" t="s">
        <v>258</v>
      </c>
      <c r="K58" s="1" t="str">
        <f>_xlfn.XLOOKUP(J58,REF!$D$2:$D$12,REF!$E$2:$E$12)</f>
        <v>Rede</v>
      </c>
      <c r="L58" s="1" t="s">
        <v>306</v>
      </c>
      <c r="M58" s="1" t="s">
        <v>260</v>
      </c>
      <c r="N58" s="1" t="s">
        <v>261</v>
      </c>
      <c r="O58" s="72" t="s">
        <v>297</v>
      </c>
      <c r="P58" s="1" t="str">
        <f t="shared" si="1"/>
        <v>ARAGUATINS 2.1Inverter(MBUS-15)46083,670138888946083,670138888946083,7048611111</v>
      </c>
      <c r="Q58" s="1" t="str">
        <f t="shared" si="2"/>
        <v>DAURDE</v>
      </c>
    </row>
    <row r="59" spans="2:17">
      <c r="B59" s="1" t="s">
        <v>311</v>
      </c>
      <c r="C59" s="1" t="s">
        <v>263</v>
      </c>
      <c r="D59" s="52">
        <v>46083.670138888891</v>
      </c>
      <c r="E59" s="52">
        <v>46083.670138888891</v>
      </c>
      <c r="F59" s="52">
        <v>46083.704861111109</v>
      </c>
      <c r="G59" s="53">
        <f t="shared" si="0"/>
        <v>3.4722222218988463E-2</v>
      </c>
      <c r="H59" s="1" t="s">
        <v>257</v>
      </c>
      <c r="J59" s="1" t="s">
        <v>258</v>
      </c>
      <c r="K59" s="1" t="str">
        <f>_xlfn.XLOOKUP(J59,REF!$D$2:$D$12,REF!$E$2:$E$12)</f>
        <v>Rede</v>
      </c>
      <c r="L59" s="1" t="s">
        <v>306</v>
      </c>
      <c r="M59" s="1" t="s">
        <v>260</v>
      </c>
      <c r="N59" s="1" t="s">
        <v>261</v>
      </c>
      <c r="O59" s="72" t="s">
        <v>297</v>
      </c>
      <c r="P59" s="1" t="str">
        <f t="shared" si="1"/>
        <v>ARAGUATINS 2.1Inverter(MBUS-14)46083,670138888946083,670138888946083,7048611111</v>
      </c>
      <c r="Q59" s="1" t="str">
        <f t="shared" si="2"/>
        <v>DAURDE</v>
      </c>
    </row>
    <row r="60" spans="2:17">
      <c r="B60" s="1" t="s">
        <v>311</v>
      </c>
      <c r="C60" s="1" t="s">
        <v>247</v>
      </c>
      <c r="D60" s="52">
        <v>46083.670138888891</v>
      </c>
      <c r="E60" s="52">
        <v>46083.670138888891</v>
      </c>
      <c r="F60" s="52">
        <v>46083.704861111109</v>
      </c>
      <c r="G60" s="53">
        <f t="shared" si="0"/>
        <v>3.4722222218988463E-2</v>
      </c>
      <c r="H60" s="1" t="s">
        <v>257</v>
      </c>
      <c r="J60" s="1" t="s">
        <v>258</v>
      </c>
      <c r="K60" s="1" t="str">
        <f>_xlfn.XLOOKUP(J60,REF!$D$2:$D$12,REF!$E$2:$E$12)</f>
        <v>Rede</v>
      </c>
      <c r="L60" s="1" t="s">
        <v>306</v>
      </c>
      <c r="M60" s="1" t="s">
        <v>260</v>
      </c>
      <c r="N60" s="1" t="s">
        <v>261</v>
      </c>
      <c r="O60" s="72" t="s">
        <v>297</v>
      </c>
      <c r="P60" s="1" t="str">
        <f t="shared" si="1"/>
        <v>ARAGUATINS 2.1Inverter(MBUS-1)46083,670138888946083,670138888946083,7048611111</v>
      </c>
      <c r="Q60" s="1" t="str">
        <f t="shared" si="2"/>
        <v>DAURDE</v>
      </c>
    </row>
    <row r="61" spans="2:17">
      <c r="B61" s="1" t="s">
        <v>312</v>
      </c>
      <c r="C61" s="1" t="s">
        <v>307</v>
      </c>
      <c r="D61" s="52">
        <v>46083.670138888891</v>
      </c>
      <c r="E61" s="52">
        <v>46083.670138888891</v>
      </c>
      <c r="F61" s="52">
        <v>46083.704861111109</v>
      </c>
      <c r="G61" s="53">
        <f t="shared" si="0"/>
        <v>3.4722222218988463E-2</v>
      </c>
      <c r="H61" s="1" t="s">
        <v>257</v>
      </c>
      <c r="J61" s="1" t="s">
        <v>258</v>
      </c>
      <c r="K61" s="1" t="str">
        <f>_xlfn.XLOOKUP(J61,REF!$D$2:$D$12,REF!$E$2:$E$12)</f>
        <v>Rede</v>
      </c>
      <c r="L61" s="1" t="s">
        <v>306</v>
      </c>
      <c r="M61" s="1" t="s">
        <v>260</v>
      </c>
      <c r="N61" s="1" t="s">
        <v>261</v>
      </c>
      <c r="O61" s="72" t="s">
        <v>297</v>
      </c>
      <c r="P61" s="1" t="str">
        <f t="shared" si="1"/>
        <v>ARAGUATINS 2.2Inverter(MBUS-15)46083,670138888946083,670138888946083,7048611111</v>
      </c>
      <c r="Q61" s="1" t="str">
        <f t="shared" si="2"/>
        <v>DAURDE</v>
      </c>
    </row>
    <row r="62" spans="2:17">
      <c r="B62" s="1" t="s">
        <v>312</v>
      </c>
      <c r="C62" s="1" t="s">
        <v>264</v>
      </c>
      <c r="D62" s="52">
        <v>46083.670138888891</v>
      </c>
      <c r="E62" s="52">
        <v>46083.670138888891</v>
      </c>
      <c r="F62" s="52">
        <v>46083.704861111109</v>
      </c>
      <c r="G62" s="53">
        <f t="shared" si="0"/>
        <v>3.4722222218988463E-2</v>
      </c>
      <c r="H62" s="1" t="s">
        <v>257</v>
      </c>
      <c r="J62" s="1" t="s">
        <v>258</v>
      </c>
      <c r="K62" s="1" t="str">
        <f>_xlfn.XLOOKUP(J62,REF!$D$2:$D$12,REF!$E$2:$E$12)</f>
        <v>Rede</v>
      </c>
      <c r="L62" s="1" t="s">
        <v>306</v>
      </c>
      <c r="M62" s="1" t="s">
        <v>260</v>
      </c>
      <c r="N62" s="1" t="s">
        <v>261</v>
      </c>
      <c r="O62" s="72" t="s">
        <v>297</v>
      </c>
      <c r="P62" s="1" t="str">
        <f t="shared" si="1"/>
        <v>ARAGUATINS 2.2Inverter(MBUS-13)46083,670138888946083,670138888946083,7048611111</v>
      </c>
      <c r="Q62" s="1" t="str">
        <f t="shared" si="2"/>
        <v>DAURDE</v>
      </c>
    </row>
    <row r="63" spans="2:17">
      <c r="B63" s="1" t="s">
        <v>312</v>
      </c>
      <c r="C63" s="1" t="s">
        <v>263</v>
      </c>
      <c r="D63" s="52">
        <v>46083.670138888891</v>
      </c>
      <c r="E63" s="52">
        <v>46083.670138888891</v>
      </c>
      <c r="F63" s="52">
        <v>46083.704861111109</v>
      </c>
      <c r="G63" s="53">
        <f t="shared" si="0"/>
        <v>3.4722222218988463E-2</v>
      </c>
      <c r="H63" s="1" t="s">
        <v>257</v>
      </c>
      <c r="J63" s="1" t="s">
        <v>258</v>
      </c>
      <c r="K63" s="1" t="str">
        <f>_xlfn.XLOOKUP(J63,REF!$D$2:$D$12,REF!$E$2:$E$12)</f>
        <v>Rede</v>
      </c>
      <c r="L63" s="1" t="s">
        <v>306</v>
      </c>
      <c r="M63" s="1" t="s">
        <v>260</v>
      </c>
      <c r="N63" s="1" t="s">
        <v>261</v>
      </c>
      <c r="O63" s="72" t="s">
        <v>297</v>
      </c>
      <c r="P63" s="1" t="str">
        <f t="shared" si="1"/>
        <v>ARAGUATINS 2.2Inverter(MBUS-14)46083,670138888946083,670138888946083,7048611111</v>
      </c>
      <c r="Q63" s="1" t="str">
        <f t="shared" si="2"/>
        <v>DAURDE</v>
      </c>
    </row>
    <row r="64" spans="2:17">
      <c r="B64" s="1" t="s">
        <v>312</v>
      </c>
      <c r="C64" s="1" t="s">
        <v>256</v>
      </c>
      <c r="D64" s="52">
        <v>46083.670138888891</v>
      </c>
      <c r="E64" s="52">
        <v>46083.670138888891</v>
      </c>
      <c r="F64" s="52">
        <v>46083.704861111109</v>
      </c>
      <c r="G64" s="53">
        <f t="shared" si="0"/>
        <v>3.4722222218988463E-2</v>
      </c>
      <c r="H64" s="1" t="s">
        <v>257</v>
      </c>
      <c r="J64" s="1" t="s">
        <v>258</v>
      </c>
      <c r="K64" s="1" t="str">
        <f>_xlfn.XLOOKUP(J64,REF!$D$2:$D$12,REF!$E$2:$E$12)</f>
        <v>Rede</v>
      </c>
      <c r="L64" s="1" t="s">
        <v>306</v>
      </c>
      <c r="M64" s="1" t="s">
        <v>260</v>
      </c>
      <c r="N64" s="1" t="s">
        <v>261</v>
      </c>
      <c r="O64" s="72" t="s">
        <v>297</v>
      </c>
      <c r="P64" s="1" t="str">
        <f t="shared" si="1"/>
        <v>ARAGUATINS 2.2Inverter(MBUS-12)46083,670138888946083,670138888946083,7048611111</v>
      </c>
      <c r="Q64" s="1" t="str">
        <f t="shared" si="2"/>
        <v>DAURDE</v>
      </c>
    </row>
    <row r="65" spans="2:17">
      <c r="B65" s="1" t="s">
        <v>313</v>
      </c>
      <c r="C65" s="1" t="s">
        <v>256</v>
      </c>
      <c r="D65" s="52">
        <v>46083.670138888891</v>
      </c>
      <c r="E65" s="52">
        <v>46083.670138888891</v>
      </c>
      <c r="F65" s="52">
        <v>46083.704861111109</v>
      </c>
      <c r="G65" s="53">
        <f t="shared" si="0"/>
        <v>3.4722222218988463E-2</v>
      </c>
      <c r="H65" s="1" t="s">
        <v>257</v>
      </c>
      <c r="J65" s="1" t="s">
        <v>258</v>
      </c>
      <c r="K65" s="1" t="str">
        <f>_xlfn.XLOOKUP(J65,REF!$D$2:$D$12,REF!$E$2:$E$12)</f>
        <v>Rede</v>
      </c>
      <c r="L65" s="1" t="s">
        <v>306</v>
      </c>
      <c r="M65" s="1" t="s">
        <v>260</v>
      </c>
      <c r="N65" s="1" t="s">
        <v>261</v>
      </c>
      <c r="O65" s="72" t="s">
        <v>297</v>
      </c>
      <c r="P65" s="1" t="str">
        <f t="shared" si="1"/>
        <v>ARAGUATINS 2.3Inverter(MBUS-12)46083,670138888946083,670138888946083,7048611111</v>
      </c>
      <c r="Q65" s="1" t="str">
        <f t="shared" si="2"/>
        <v>DAURDE</v>
      </c>
    </row>
    <row r="66" spans="2:17">
      <c r="B66" s="1" t="s">
        <v>313</v>
      </c>
      <c r="C66" s="1" t="s">
        <v>264</v>
      </c>
      <c r="D66" s="52">
        <v>46083.670138888891</v>
      </c>
      <c r="E66" s="52">
        <v>46083.670138888891</v>
      </c>
      <c r="F66" s="52">
        <v>46083.704861111109</v>
      </c>
      <c r="G66" s="53">
        <f t="shared" si="0"/>
        <v>3.4722222218988463E-2</v>
      </c>
      <c r="H66" s="1" t="s">
        <v>257</v>
      </c>
      <c r="J66" s="1" t="s">
        <v>258</v>
      </c>
      <c r="K66" s="1" t="str">
        <f>_xlfn.XLOOKUP(J66,REF!$D$2:$D$12,REF!$E$2:$E$12)</f>
        <v>Rede</v>
      </c>
      <c r="L66" s="1" t="s">
        <v>306</v>
      </c>
      <c r="M66" s="1" t="s">
        <v>260</v>
      </c>
      <c r="N66" s="1" t="s">
        <v>261</v>
      </c>
      <c r="O66" s="72" t="s">
        <v>297</v>
      </c>
      <c r="P66" s="1" t="str">
        <f t="shared" si="1"/>
        <v>ARAGUATINS 2.3Inverter(MBUS-13)46083,670138888946083,670138888946083,7048611111</v>
      </c>
      <c r="Q66" s="1" t="str">
        <f t="shared" si="2"/>
        <v>DAURDE</v>
      </c>
    </row>
    <row r="67" spans="2:17" ht="30.75">
      <c r="B67" s="1" t="s">
        <v>314</v>
      </c>
      <c r="C67" s="1" t="s">
        <v>264</v>
      </c>
      <c r="D67" s="52">
        <v>46084.288194444445</v>
      </c>
      <c r="E67" s="52">
        <v>46084.288194444445</v>
      </c>
      <c r="F67" s="52">
        <v>46084.354166666664</v>
      </c>
      <c r="G67" s="53">
        <f t="shared" si="0"/>
        <v>6.5972222218988463E-2</v>
      </c>
      <c r="H67" s="1" t="s">
        <v>257</v>
      </c>
      <c r="J67" s="1" t="s">
        <v>315</v>
      </c>
      <c r="K67" s="1" t="str">
        <f>_xlfn.XLOOKUP(J67,REF!$D$2:$D$12,REF!$E$2:$E$12)</f>
        <v>String</v>
      </c>
      <c r="L67" s="1" t="s">
        <v>316</v>
      </c>
      <c r="M67" s="1" t="s">
        <v>317</v>
      </c>
      <c r="N67" s="1" t="s">
        <v>253</v>
      </c>
      <c r="O67" s="72" t="s">
        <v>318</v>
      </c>
      <c r="P67" s="1" t="str">
        <f t="shared" si="1"/>
        <v>BC Turvania1.3Inverter(MBUS-13)46084,288194444446084,288194444446084,3541666667</v>
      </c>
      <c r="Q67" s="1" t="str">
        <f t="shared" si="2"/>
        <v>DAUSTR</v>
      </c>
    </row>
    <row r="68" spans="2:17">
      <c r="B68" s="1" t="s">
        <v>286</v>
      </c>
      <c r="C68" s="1" t="s">
        <v>287</v>
      </c>
      <c r="D68" s="52">
        <v>46084.291666666664</v>
      </c>
      <c r="E68" s="52">
        <v>46084.291666666664</v>
      </c>
      <c r="F68" s="52">
        <v>46084.333333333336</v>
      </c>
      <c r="G68" s="53">
        <f t="shared" ref="G68:G71" si="3">+F68-E68</f>
        <v>4.1666666671517305E-2</v>
      </c>
      <c r="H68" s="1" t="s">
        <v>268</v>
      </c>
      <c r="I68" s="1" t="s">
        <v>269</v>
      </c>
      <c r="J68" s="1" t="s">
        <v>319</v>
      </c>
      <c r="K68" s="1" t="str">
        <f>_xlfn.XLOOKUP(J68,REF!$D$2:$D$12,REF!$E$2:$E$12)</f>
        <v>Comunicação</v>
      </c>
      <c r="L68" s="1" t="s">
        <v>320</v>
      </c>
      <c r="M68" s="1" t="s">
        <v>289</v>
      </c>
      <c r="N68" s="1" t="s">
        <v>290</v>
      </c>
      <c r="O68" s="72" t="s">
        <v>291</v>
      </c>
      <c r="P68" s="1" t="str">
        <f>_xlfn.CONCAT(B68,C68,D68,E68,F68)</f>
        <v>BC Corumba2.2U02.I0146084,291666666746084,291666666746084,3333333333</v>
      </c>
      <c r="Q68" s="1" t="str">
        <f t="shared" ref="Q68:Q76" si="4">_xlfn.CONCAT(H68,I68,J68)</f>
        <v>LIGRFOCOM</v>
      </c>
    </row>
    <row r="69" spans="2:17">
      <c r="B69" s="1" t="s">
        <v>286</v>
      </c>
      <c r="C69" s="1" t="s">
        <v>292</v>
      </c>
      <c r="D69" s="52">
        <v>46084.291666666664</v>
      </c>
      <c r="E69" s="52">
        <v>46084.291666666664</v>
      </c>
      <c r="F69" s="52">
        <v>46084.333333333336</v>
      </c>
      <c r="G69" s="53">
        <f t="shared" si="3"/>
        <v>4.1666666671517305E-2</v>
      </c>
      <c r="H69" s="1" t="s">
        <v>268</v>
      </c>
      <c r="I69" s="1" t="s">
        <v>269</v>
      </c>
      <c r="J69" s="1" t="s">
        <v>319</v>
      </c>
      <c r="K69" s="1" t="str">
        <f>_xlfn.XLOOKUP(J69,REF!$D$2:$D$12,REF!$E$2:$E$12)</f>
        <v>Comunicação</v>
      </c>
      <c r="L69" s="1" t="s">
        <v>320</v>
      </c>
      <c r="M69" s="1" t="s">
        <v>289</v>
      </c>
      <c r="N69" s="1" t="s">
        <v>290</v>
      </c>
      <c r="O69" s="72" t="s">
        <v>291</v>
      </c>
      <c r="P69" s="1" t="str">
        <f>_xlfn.CONCAT(B69,C69,D69,E69,F69)</f>
        <v>BC Corumba2.2U02.I0246084,291666666746084,291666666746084,3333333333</v>
      </c>
      <c r="Q69" s="1" t="str">
        <f t="shared" si="4"/>
        <v>LIGRFOCOM</v>
      </c>
    </row>
    <row r="70" spans="2:17">
      <c r="B70" s="1" t="s">
        <v>286</v>
      </c>
      <c r="C70" s="1" t="s">
        <v>293</v>
      </c>
      <c r="D70" s="52">
        <v>46084.291666666664</v>
      </c>
      <c r="E70" s="52">
        <v>46084.291666666664</v>
      </c>
      <c r="F70" s="52">
        <v>46084.333333333336</v>
      </c>
      <c r="G70" s="53">
        <f t="shared" si="3"/>
        <v>4.1666666671517305E-2</v>
      </c>
      <c r="H70" s="1" t="s">
        <v>268</v>
      </c>
      <c r="I70" s="1" t="s">
        <v>269</v>
      </c>
      <c r="J70" s="1" t="s">
        <v>319</v>
      </c>
      <c r="K70" s="1" t="str">
        <f>_xlfn.XLOOKUP(J70,REF!$D$2:$D$12,REF!$E$2:$E$12)</f>
        <v>Comunicação</v>
      </c>
      <c r="L70" s="1" t="s">
        <v>320</v>
      </c>
      <c r="M70" s="1" t="s">
        <v>289</v>
      </c>
      <c r="N70" s="1" t="s">
        <v>290</v>
      </c>
      <c r="O70" s="72" t="s">
        <v>291</v>
      </c>
      <c r="P70" s="1" t="str">
        <f>_xlfn.CONCAT(B70,C70,D70,E70,F70)</f>
        <v>BC Corumba2.2U02.I0346084,291666666746084,291666666746084,3333333333</v>
      </c>
      <c r="Q70" s="1" t="str">
        <f t="shared" si="4"/>
        <v>LIGRFOCOM</v>
      </c>
    </row>
    <row r="71" spans="2:17">
      <c r="B71" s="1" t="s">
        <v>286</v>
      </c>
      <c r="C71" s="1" t="s">
        <v>294</v>
      </c>
      <c r="D71" s="52">
        <v>46084.291666666664</v>
      </c>
      <c r="E71" s="52">
        <v>46084.291666666664</v>
      </c>
      <c r="F71" s="52">
        <v>46084.333333333336</v>
      </c>
      <c r="G71" s="53">
        <f t="shared" si="3"/>
        <v>4.1666666671517305E-2</v>
      </c>
      <c r="H71" s="1" t="s">
        <v>268</v>
      </c>
      <c r="I71" s="1" t="s">
        <v>269</v>
      </c>
      <c r="J71" s="1" t="s">
        <v>319</v>
      </c>
      <c r="K71" s="1" t="str">
        <f>_xlfn.XLOOKUP(J71,REF!$D$2:$D$12,REF!$E$2:$E$12)</f>
        <v>Comunicação</v>
      </c>
      <c r="L71" s="1" t="s">
        <v>320</v>
      </c>
      <c r="M71" s="1" t="s">
        <v>289</v>
      </c>
      <c r="N71" s="1" t="s">
        <v>290</v>
      </c>
      <c r="O71" s="72" t="s">
        <v>291</v>
      </c>
      <c r="P71" s="1" t="str">
        <f>_xlfn.CONCAT(B71,C71,D71,E71,F71)</f>
        <v>BC Corumba2.2U02.I0446084,291666666746084,291666666746084,3333333333</v>
      </c>
      <c r="Q71" s="1" t="str">
        <f t="shared" si="4"/>
        <v>LIGRFOCOM</v>
      </c>
    </row>
    <row r="72" spans="2:17">
      <c r="B72" s="1" t="s">
        <v>286</v>
      </c>
      <c r="C72" s="1" t="s">
        <v>295</v>
      </c>
      <c r="D72" s="52">
        <v>46084.291666666664</v>
      </c>
      <c r="E72" s="52">
        <v>46084.291666666664</v>
      </c>
      <c r="F72" s="52">
        <v>46084.333333333336</v>
      </c>
      <c r="G72" s="53">
        <f t="shared" ref="G72:G127" si="5">F72-E72</f>
        <v>4.1666666671517305E-2</v>
      </c>
      <c r="H72" s="1" t="s">
        <v>268</v>
      </c>
      <c r="I72" s="1" t="s">
        <v>269</v>
      </c>
      <c r="J72" s="1" t="s">
        <v>319</v>
      </c>
      <c r="K72" s="1" t="str">
        <f>_xlfn.XLOOKUP(J72,REF!$D$2:$D$12,REF!$E$2:$E$12)</f>
        <v>Comunicação</v>
      </c>
      <c r="L72" s="1" t="s">
        <v>320</v>
      </c>
      <c r="M72" s="1" t="s">
        <v>289</v>
      </c>
      <c r="N72" s="1" t="s">
        <v>290</v>
      </c>
      <c r="O72" s="72" t="s">
        <v>291</v>
      </c>
      <c r="P72" s="1" t="str">
        <f>_xlfn.CONCAT(B72,C72,D72,E72,F72)</f>
        <v>BC Corumba2.2U02.I0546084,291666666746084,291666666746084,3333333333</v>
      </c>
      <c r="Q72" s="1" t="str">
        <f t="shared" si="4"/>
        <v>LIGRFOCOM</v>
      </c>
    </row>
    <row r="73" spans="2:17">
      <c r="B73" s="1" t="s">
        <v>321</v>
      </c>
      <c r="C73" s="1" t="s">
        <v>322</v>
      </c>
      <c r="D73" s="52">
        <v>46084.298611111109</v>
      </c>
      <c r="E73" s="52">
        <v>46084.298611111109</v>
      </c>
      <c r="F73" s="52">
        <v>46084.354166666664</v>
      </c>
      <c r="G73" s="53">
        <f t="shared" si="5"/>
        <v>5.5555555554747116E-2</v>
      </c>
      <c r="H73" s="1" t="s">
        <v>257</v>
      </c>
      <c r="J73" s="1" t="s">
        <v>258</v>
      </c>
      <c r="K73" s="1" t="str">
        <f>_xlfn.XLOOKUP(J73,REF!$D$2:$D$12,REF!$E$2:$E$12)</f>
        <v>Rede</v>
      </c>
      <c r="L73" s="1" t="s">
        <v>323</v>
      </c>
      <c r="M73" s="1" t="s">
        <v>260</v>
      </c>
      <c r="N73" s="1" t="s">
        <v>261</v>
      </c>
      <c r="O73" s="72" t="s">
        <v>297</v>
      </c>
      <c r="P73" s="1" t="str">
        <f>_xlfn.CONCAT(B73,C73,D73,E73,F73)</f>
        <v>BC Aracu4SG75CX(COM1-018)_001_01846084,298611111146084,298611111146084,3541666667</v>
      </c>
      <c r="Q73" s="1" t="str">
        <f t="shared" si="4"/>
        <v>DAURDE</v>
      </c>
    </row>
    <row r="74" spans="2:17">
      <c r="B74" s="1" t="s">
        <v>321</v>
      </c>
      <c r="C74" s="1" t="s">
        <v>324</v>
      </c>
      <c r="D74" s="52">
        <v>46084.298611111109</v>
      </c>
      <c r="E74" s="52">
        <v>46084.298611111109</v>
      </c>
      <c r="F74" s="52">
        <v>46084.354166666664</v>
      </c>
      <c r="G74" s="53">
        <f t="shared" si="5"/>
        <v>5.5555555554747116E-2</v>
      </c>
      <c r="H74" s="1" t="s">
        <v>257</v>
      </c>
      <c r="J74" s="1" t="s">
        <v>258</v>
      </c>
      <c r="K74" s="1" t="str">
        <f>_xlfn.XLOOKUP(J74,REF!$D$2:$D$12,REF!$E$2:$E$12)</f>
        <v>Rede</v>
      </c>
      <c r="L74" s="1" t="s">
        <v>323</v>
      </c>
      <c r="M74" s="1" t="s">
        <v>260</v>
      </c>
      <c r="N74" s="1" t="s">
        <v>261</v>
      </c>
      <c r="O74" s="72" t="s">
        <v>297</v>
      </c>
      <c r="P74" s="1" t="str">
        <f>_xlfn.CONCAT(B74,C74,D74,E74,F74)</f>
        <v>BC Aracu4SG75CX(COM1-019)_001_01946084,298611111146084,298611111146084,3541666667</v>
      </c>
      <c r="Q74" s="1" t="str">
        <f t="shared" si="4"/>
        <v>DAURDE</v>
      </c>
    </row>
    <row r="75" spans="2:17">
      <c r="B75" s="1" t="s">
        <v>321</v>
      </c>
      <c r="C75" s="1" t="s">
        <v>325</v>
      </c>
      <c r="D75" s="52">
        <v>46084.298611111109</v>
      </c>
      <c r="E75" s="52">
        <v>46084.298611111109</v>
      </c>
      <c r="F75" s="52">
        <v>46084.354166666664</v>
      </c>
      <c r="G75" s="53">
        <f t="shared" si="5"/>
        <v>5.5555555554747116E-2</v>
      </c>
      <c r="H75" s="1" t="s">
        <v>257</v>
      </c>
      <c r="J75" s="1" t="s">
        <v>258</v>
      </c>
      <c r="K75" s="1" t="str">
        <f>_xlfn.XLOOKUP(J75,REF!$D$2:$D$12,REF!$E$2:$E$12)</f>
        <v>Rede</v>
      </c>
      <c r="L75" s="1" t="s">
        <v>323</v>
      </c>
      <c r="M75" s="1" t="s">
        <v>260</v>
      </c>
      <c r="N75" s="1" t="s">
        <v>261</v>
      </c>
      <c r="O75" s="72" t="s">
        <v>297</v>
      </c>
      <c r="P75" s="1" t="str">
        <f>_xlfn.CONCAT(B75,C75,D75,E75,F75)</f>
        <v>BC Aracu4SG75CX(COM1-020)_001_02046084,298611111146084,298611111146084,3541666667</v>
      </c>
      <c r="Q75" s="1" t="str">
        <f t="shared" si="4"/>
        <v>DAURDE</v>
      </c>
    </row>
    <row r="76" spans="2:17">
      <c r="B76" s="1" t="s">
        <v>321</v>
      </c>
      <c r="C76" s="1" t="s">
        <v>326</v>
      </c>
      <c r="D76" s="52">
        <v>46084.298611111109</v>
      </c>
      <c r="E76" s="52">
        <v>46084.298611111109</v>
      </c>
      <c r="F76" s="52">
        <v>46084.354166666664</v>
      </c>
      <c r="G76" s="53">
        <f t="shared" si="5"/>
        <v>5.5555555554747116E-2</v>
      </c>
      <c r="H76" s="1" t="s">
        <v>257</v>
      </c>
      <c r="J76" s="1" t="s">
        <v>258</v>
      </c>
      <c r="K76" s="1" t="str">
        <f>_xlfn.XLOOKUP(J76,REF!$D$2:$D$12,REF!$E$2:$E$12)</f>
        <v>Rede</v>
      </c>
      <c r="L76" s="1" t="s">
        <v>323</v>
      </c>
      <c r="M76" s="1" t="s">
        <v>260</v>
      </c>
      <c r="N76" s="1" t="s">
        <v>261</v>
      </c>
      <c r="O76" s="72" t="s">
        <v>297</v>
      </c>
      <c r="P76" s="1" t="str">
        <f>_xlfn.CONCAT(B76,C76,D76,E76,F76)</f>
        <v>BC Aracu4SG75CX(COM1-021)_001_02146084,298611111146084,298611111146084,3541666667</v>
      </c>
      <c r="Q76" s="1" t="str">
        <f t="shared" si="4"/>
        <v>DAURDE</v>
      </c>
    </row>
    <row r="77" spans="2:17">
      <c r="B77" s="1" t="s">
        <v>327</v>
      </c>
      <c r="C77" s="1" t="s">
        <v>247</v>
      </c>
      <c r="D77" s="52">
        <v>46084.298611111109</v>
      </c>
      <c r="E77" s="52">
        <v>46084.298611111109</v>
      </c>
      <c r="F77" s="52">
        <v>46084.354166666664</v>
      </c>
      <c r="G77" s="53">
        <f t="shared" si="5"/>
        <v>5.5555555554747116E-2</v>
      </c>
      <c r="H77" s="1" t="s">
        <v>257</v>
      </c>
      <c r="J77" s="1" t="s">
        <v>258</v>
      </c>
      <c r="K77" s="1" t="str">
        <f>_xlfn.XLOOKUP(J77,REF!$D$2:$D$12,REF!$E$2:$E$12)</f>
        <v>Rede</v>
      </c>
      <c r="L77" s="1" t="s">
        <v>323</v>
      </c>
      <c r="M77" s="1" t="s">
        <v>260</v>
      </c>
      <c r="N77" s="1" t="s">
        <v>261</v>
      </c>
      <c r="O77" s="72" t="s">
        <v>297</v>
      </c>
      <c r="P77" s="1" t="str">
        <f>_xlfn.CONCAT(B77,C77,D77,E77,F77)</f>
        <v>BC Aracu5.1Inverter(MBUS-1)46084,298611111146084,298611111146084,3541666667</v>
      </c>
      <c r="Q77" s="1" t="str">
        <f>_xlfn.CONCAT(H77,I77,J77)</f>
        <v>DAURDE</v>
      </c>
    </row>
    <row r="78" spans="2:17">
      <c r="B78" s="1" t="s">
        <v>246</v>
      </c>
      <c r="C78" s="1" t="s">
        <v>247</v>
      </c>
      <c r="D78" s="52">
        <v>46084.298611111109</v>
      </c>
      <c r="E78" s="52">
        <v>46084.298611111109</v>
      </c>
      <c r="F78" s="52">
        <v>46084.354166666664</v>
      </c>
      <c r="G78" s="53">
        <f t="shared" si="5"/>
        <v>5.5555555554747116E-2</v>
      </c>
      <c r="H78" s="1" t="s">
        <v>257</v>
      </c>
      <c r="J78" s="1" t="s">
        <v>258</v>
      </c>
      <c r="K78" s="1" t="str">
        <f>_xlfn.XLOOKUP(J78,REF!$D$2:$D$12,REF!$E$2:$E$12)</f>
        <v>Rede</v>
      </c>
      <c r="L78" s="1" t="s">
        <v>323</v>
      </c>
      <c r="M78" s="1" t="s">
        <v>260</v>
      </c>
      <c r="N78" s="1" t="s">
        <v>261</v>
      </c>
      <c r="O78" s="72" t="s">
        <v>297</v>
      </c>
      <c r="P78" s="1" t="str">
        <f>_xlfn.CONCAT(B78,C78,D78,E78,F78)</f>
        <v>BC Aracu5.2Inverter(MBUS-1)46084,298611111146084,298611111146084,3541666667</v>
      </c>
      <c r="Q78" s="1" t="str">
        <f>_xlfn.CONCAT(H78,I78,J78)</f>
        <v>DAURDE</v>
      </c>
    </row>
    <row r="79" spans="2:17">
      <c r="B79" s="1" t="s">
        <v>328</v>
      </c>
      <c r="C79" s="1" t="s">
        <v>247</v>
      </c>
      <c r="D79" s="52">
        <v>46084.298611111109</v>
      </c>
      <c r="E79" s="52">
        <v>46084.298611111109</v>
      </c>
      <c r="F79" s="52">
        <v>46084.354166666664</v>
      </c>
      <c r="G79" s="53">
        <f t="shared" si="5"/>
        <v>5.5555555554747116E-2</v>
      </c>
      <c r="H79" s="1" t="s">
        <v>257</v>
      </c>
      <c r="J79" s="1" t="s">
        <v>258</v>
      </c>
      <c r="K79" s="1" t="str">
        <f>_xlfn.XLOOKUP(J79,REF!$D$2:$D$12,REF!$E$2:$E$12)</f>
        <v>Rede</v>
      </c>
      <c r="L79" s="1" t="s">
        <v>323</v>
      </c>
      <c r="M79" s="1" t="s">
        <v>260</v>
      </c>
      <c r="N79" s="1" t="s">
        <v>261</v>
      </c>
      <c r="O79" s="72" t="s">
        <v>297</v>
      </c>
      <c r="P79" s="1" t="str">
        <f>_xlfn.CONCAT(B79,C79,D79,E79,F79)</f>
        <v>BC Aracu5.3Inverter(MBUS-1)46084,298611111146084,298611111146084,3541666667</v>
      </c>
      <c r="Q79" s="1" t="str">
        <f>_xlfn.CONCAT(H79,I79,J79)</f>
        <v>DAURDE</v>
      </c>
    </row>
    <row r="80" spans="2:17">
      <c r="B80" s="1" t="s">
        <v>329</v>
      </c>
      <c r="C80" s="1" t="s">
        <v>247</v>
      </c>
      <c r="D80" s="52">
        <v>46084.298611111109</v>
      </c>
      <c r="E80" s="52">
        <v>46084.298611111109</v>
      </c>
      <c r="F80" s="52">
        <v>46084.354166666664</v>
      </c>
      <c r="G80" s="53">
        <f t="shared" si="5"/>
        <v>5.5555555554747116E-2</v>
      </c>
      <c r="H80" s="1" t="s">
        <v>257</v>
      </c>
      <c r="J80" s="1" t="s">
        <v>258</v>
      </c>
      <c r="K80" s="1" t="str">
        <f>_xlfn.XLOOKUP(J80,REF!$D$2:$D$12,REF!$E$2:$E$12)</f>
        <v>Rede</v>
      </c>
      <c r="L80" s="1" t="s">
        <v>323</v>
      </c>
      <c r="M80" s="1" t="s">
        <v>260</v>
      </c>
      <c r="N80" s="1" t="s">
        <v>261</v>
      </c>
      <c r="O80" s="72" t="s">
        <v>297</v>
      </c>
      <c r="P80" s="1" t="str">
        <f>_xlfn.CONCAT(B80,C80,D80,E80,F80)</f>
        <v>BC Aracu5.4Inverter(MBUS-1)46084,298611111146084,298611111146084,3541666667</v>
      </c>
      <c r="Q80" s="1" t="str">
        <f>_xlfn.CONCAT(H80,I80,J80)</f>
        <v>DAURDE</v>
      </c>
    </row>
    <row r="81" spans="2:17">
      <c r="B81" s="1" t="s">
        <v>330</v>
      </c>
      <c r="C81" s="1" t="s">
        <v>247</v>
      </c>
      <c r="D81" s="52">
        <v>46084.298611111109</v>
      </c>
      <c r="E81" s="52">
        <v>46084.298611111109</v>
      </c>
      <c r="F81" s="52">
        <v>46084.354166666664</v>
      </c>
      <c r="G81" s="53">
        <f t="shared" si="5"/>
        <v>5.5555555554747116E-2</v>
      </c>
      <c r="H81" s="1" t="s">
        <v>257</v>
      </c>
      <c r="J81" s="1" t="s">
        <v>258</v>
      </c>
      <c r="K81" s="1" t="str">
        <f>_xlfn.XLOOKUP(J81,REF!$D$2:$D$12,REF!$E$2:$E$12)</f>
        <v>Rede</v>
      </c>
      <c r="L81" s="1" t="s">
        <v>323</v>
      </c>
      <c r="M81" s="1" t="s">
        <v>260</v>
      </c>
      <c r="N81" s="1" t="s">
        <v>261</v>
      </c>
      <c r="O81" s="72" t="s">
        <v>297</v>
      </c>
      <c r="P81" s="1" t="str">
        <f>_xlfn.CONCAT(B81,C81,D81,E81,F81)</f>
        <v>BC Aracu5.5Inverter(MBUS-1)46084,298611111146084,298611111146084,3541666667</v>
      </c>
      <c r="Q81" s="1" t="str">
        <f>_xlfn.CONCAT(H81,I81,J81)</f>
        <v>DAURDE</v>
      </c>
    </row>
    <row r="82" spans="2:17">
      <c r="B82" s="1" t="s">
        <v>331</v>
      </c>
      <c r="C82" s="1" t="s">
        <v>332</v>
      </c>
      <c r="D82" s="52">
        <v>46084.354166666664</v>
      </c>
      <c r="E82" s="52">
        <v>46084.354166666664</v>
      </c>
      <c r="F82" s="52">
        <v>46084.440972222219</v>
      </c>
      <c r="G82" s="53">
        <f t="shared" si="5"/>
        <v>8.6805555554747116E-2</v>
      </c>
      <c r="H82" s="1" t="s">
        <v>257</v>
      </c>
      <c r="J82" s="1" t="s">
        <v>258</v>
      </c>
      <c r="K82" s="1" t="str">
        <f>_xlfn.XLOOKUP(J82,REF!$D$2:$D$12,REF!$E$2:$E$12)</f>
        <v>Rede</v>
      </c>
      <c r="L82" s="1" t="s">
        <v>333</v>
      </c>
      <c r="M82" s="1" t="s">
        <v>260</v>
      </c>
      <c r="N82" s="1" t="s">
        <v>261</v>
      </c>
      <c r="O82" s="1" t="s">
        <v>334</v>
      </c>
      <c r="P82" s="1" t="str">
        <f>_xlfn.CONCAT(B82,C82,D82,E82,F82)</f>
        <v>BC Varjao2.1215KTL-H0(MBUS-12)46084,354166666746084,354166666746084,4409722222</v>
      </c>
      <c r="Q82" s="1" t="str">
        <f>_xlfn.CONCAT(H82,I82,J82)</f>
        <v>DAURDE</v>
      </c>
    </row>
    <row r="83" spans="2:17">
      <c r="B83" s="1" t="s">
        <v>331</v>
      </c>
      <c r="C83" s="1" t="s">
        <v>335</v>
      </c>
      <c r="D83" s="52">
        <v>46084.354166666664</v>
      </c>
      <c r="E83" s="52">
        <v>46084.354166666664</v>
      </c>
      <c r="F83" s="52">
        <v>46084.440972222219</v>
      </c>
      <c r="G83" s="53">
        <f t="shared" si="5"/>
        <v>8.6805555554747116E-2</v>
      </c>
      <c r="H83" s="1" t="s">
        <v>257</v>
      </c>
      <c r="J83" s="1" t="s">
        <v>258</v>
      </c>
      <c r="K83" s="1" t="str">
        <f>_xlfn.XLOOKUP(J83,REF!$D$2:$D$12,REF!$E$2:$E$12)</f>
        <v>Rede</v>
      </c>
      <c r="L83" s="1" t="s">
        <v>333</v>
      </c>
      <c r="M83" s="1" t="s">
        <v>260</v>
      </c>
      <c r="N83" s="1" t="s">
        <v>261</v>
      </c>
      <c r="O83" s="1" t="s">
        <v>334</v>
      </c>
      <c r="P83" s="1" t="str">
        <f>_xlfn.CONCAT(B83,C83,D83,E83,F83)</f>
        <v>BC Varjao2.1215KTL-H0(MBUS-13)46084,354166666746084,354166666746084,4409722222</v>
      </c>
      <c r="Q83" s="1" t="str">
        <f>_xlfn.CONCAT(H83,I83,J83)</f>
        <v>DAURDE</v>
      </c>
    </row>
    <row r="84" spans="2:17">
      <c r="B84" s="1" t="s">
        <v>331</v>
      </c>
      <c r="C84" s="1" t="s">
        <v>336</v>
      </c>
      <c r="D84" s="52">
        <v>46084.354166666664</v>
      </c>
      <c r="E84" s="52">
        <v>46084.354166666664</v>
      </c>
      <c r="F84" s="52">
        <v>46084.440972222219</v>
      </c>
      <c r="G84" s="53">
        <f t="shared" si="5"/>
        <v>8.6805555554747116E-2</v>
      </c>
      <c r="H84" s="1" t="s">
        <v>257</v>
      </c>
      <c r="J84" s="1" t="s">
        <v>258</v>
      </c>
      <c r="K84" s="1" t="str">
        <f>_xlfn.XLOOKUP(J84,REF!$D$2:$D$12,REF!$E$2:$E$12)</f>
        <v>Rede</v>
      </c>
      <c r="L84" s="1" t="s">
        <v>333</v>
      </c>
      <c r="M84" s="1" t="s">
        <v>260</v>
      </c>
      <c r="N84" s="1" t="s">
        <v>261</v>
      </c>
      <c r="O84" s="1" t="s">
        <v>334</v>
      </c>
      <c r="P84" s="1" t="str">
        <f>_xlfn.CONCAT(B84,C84,D84,E84,F84)</f>
        <v>BC Varjao2.1215KTL-H0(MBUS-14)46084,354166666746084,354166666746084,4409722222</v>
      </c>
      <c r="Q84" s="1" t="str">
        <f>_xlfn.CONCAT(H84,I84,J84)</f>
        <v>DAURDE</v>
      </c>
    </row>
    <row r="85" spans="2:17">
      <c r="B85" s="1" t="s">
        <v>331</v>
      </c>
      <c r="C85" s="1" t="s">
        <v>337</v>
      </c>
      <c r="D85" s="52">
        <v>46084.354166666664</v>
      </c>
      <c r="E85" s="52">
        <v>46084.354166666664</v>
      </c>
      <c r="F85" s="52">
        <v>46084.440972222219</v>
      </c>
      <c r="G85" s="53">
        <f t="shared" si="5"/>
        <v>8.6805555554747116E-2</v>
      </c>
      <c r="H85" s="1" t="s">
        <v>257</v>
      </c>
      <c r="J85" s="1" t="s">
        <v>258</v>
      </c>
      <c r="K85" s="1" t="str">
        <f>_xlfn.XLOOKUP(J85,REF!$D$2:$D$12,REF!$E$2:$E$12)</f>
        <v>Rede</v>
      </c>
      <c r="L85" s="1" t="s">
        <v>333</v>
      </c>
      <c r="M85" s="1" t="s">
        <v>260</v>
      </c>
      <c r="N85" s="1" t="s">
        <v>261</v>
      </c>
      <c r="O85" s="1" t="s">
        <v>334</v>
      </c>
      <c r="P85" s="1" t="str">
        <f>_xlfn.CONCAT(B85,C85,D85,E85,F85)</f>
        <v>BC Varjao2.1215KTL-H0(MBUS-15)46084,354166666746084,354166666746084,4409722222</v>
      </c>
      <c r="Q85" s="1" t="str">
        <f>_xlfn.CONCAT(H85,I85,J85)</f>
        <v>DAURDE</v>
      </c>
    </row>
    <row r="86" spans="2:17">
      <c r="B86" s="1" t="s">
        <v>331</v>
      </c>
      <c r="C86" s="1" t="s">
        <v>338</v>
      </c>
      <c r="D86" s="52">
        <v>46084.354166666664</v>
      </c>
      <c r="E86" s="52">
        <v>46084.354166666664</v>
      </c>
      <c r="F86" s="52">
        <v>46084.440972222219</v>
      </c>
      <c r="G86" s="53">
        <f t="shared" si="5"/>
        <v>8.6805555554747116E-2</v>
      </c>
      <c r="H86" s="1" t="s">
        <v>257</v>
      </c>
      <c r="J86" s="1" t="s">
        <v>258</v>
      </c>
      <c r="K86" s="1" t="str">
        <f>_xlfn.XLOOKUP(J86,REF!$D$2:$D$12,REF!$E$2:$E$12)</f>
        <v>Rede</v>
      </c>
      <c r="L86" s="1" t="s">
        <v>333</v>
      </c>
      <c r="M86" s="1" t="s">
        <v>260</v>
      </c>
      <c r="N86" s="1" t="s">
        <v>261</v>
      </c>
      <c r="O86" s="1" t="s">
        <v>334</v>
      </c>
      <c r="P86" s="1" t="str">
        <f>_xlfn.CONCAT(B86,C86,D86,E86,F86)</f>
        <v>BC Varjao2.1215KTL-H0(MBUS-16)46084,354166666746084,354166666746084,4409722222</v>
      </c>
      <c r="Q86" s="1" t="str">
        <f>_xlfn.CONCAT(H86,I86,J86)</f>
        <v>DAURDE</v>
      </c>
    </row>
    <row r="87" spans="2:17">
      <c r="B87" s="1" t="s">
        <v>339</v>
      </c>
      <c r="C87" s="1" t="s">
        <v>335</v>
      </c>
      <c r="D87" s="52">
        <v>46084.354166666664</v>
      </c>
      <c r="E87" s="52">
        <v>46084.354166666664</v>
      </c>
      <c r="F87" s="52">
        <v>46084.440972222219</v>
      </c>
      <c r="G87" s="53">
        <f t="shared" si="5"/>
        <v>8.6805555554747116E-2</v>
      </c>
      <c r="H87" s="1" t="s">
        <v>257</v>
      </c>
      <c r="J87" s="1" t="s">
        <v>258</v>
      </c>
      <c r="K87" s="1" t="str">
        <f>_xlfn.XLOOKUP(J87,REF!$D$2:$D$12,REF!$E$2:$E$12)</f>
        <v>Rede</v>
      </c>
      <c r="L87" s="1" t="s">
        <v>333</v>
      </c>
      <c r="M87" s="1" t="s">
        <v>260</v>
      </c>
      <c r="N87" s="1" t="s">
        <v>261</v>
      </c>
      <c r="O87" s="1" t="s">
        <v>334</v>
      </c>
      <c r="P87" s="1" t="str">
        <f>_xlfn.CONCAT(B87,C87,D87,E87,F87)</f>
        <v>BC Varjao2.2215KTL-H0(MBUS-13)46084,354166666746084,354166666746084,4409722222</v>
      </c>
      <c r="Q87" s="1" t="str">
        <f>_xlfn.CONCAT(H87,I87,J87)</f>
        <v>DAURDE</v>
      </c>
    </row>
    <row r="88" spans="2:17">
      <c r="B88" s="1" t="s">
        <v>339</v>
      </c>
      <c r="C88" s="1" t="s">
        <v>336</v>
      </c>
      <c r="D88" s="52">
        <v>46084.354166666664</v>
      </c>
      <c r="E88" s="52">
        <v>46084.354166666664</v>
      </c>
      <c r="F88" s="52">
        <v>46084.440972222219</v>
      </c>
      <c r="G88" s="53">
        <f t="shared" si="5"/>
        <v>8.6805555554747116E-2</v>
      </c>
      <c r="H88" s="1" t="s">
        <v>257</v>
      </c>
      <c r="J88" s="1" t="s">
        <v>258</v>
      </c>
      <c r="K88" s="1" t="str">
        <f>_xlfn.XLOOKUP(J88,REF!$D$2:$D$12,REF!$E$2:$E$12)</f>
        <v>Rede</v>
      </c>
      <c r="L88" s="1" t="s">
        <v>333</v>
      </c>
      <c r="M88" s="1" t="s">
        <v>260</v>
      </c>
      <c r="N88" s="1" t="s">
        <v>261</v>
      </c>
      <c r="O88" s="1" t="s">
        <v>334</v>
      </c>
      <c r="P88" s="1" t="str">
        <f>_xlfn.CONCAT(B88,C88,D88,E88,F88)</f>
        <v>BC Varjao2.2215KTL-H0(MBUS-14)46084,354166666746084,354166666746084,4409722222</v>
      </c>
      <c r="Q88" s="1" t="str">
        <f>_xlfn.CONCAT(H88,I88,J88)</f>
        <v>DAURDE</v>
      </c>
    </row>
    <row r="89" spans="2:17">
      <c r="B89" s="1" t="s">
        <v>339</v>
      </c>
      <c r="C89" s="1" t="s">
        <v>337</v>
      </c>
      <c r="D89" s="52">
        <v>46084.354166666664</v>
      </c>
      <c r="E89" s="52">
        <v>46084.354166666664</v>
      </c>
      <c r="F89" s="52">
        <v>46084.440972222219</v>
      </c>
      <c r="G89" s="53">
        <f t="shared" si="5"/>
        <v>8.6805555554747116E-2</v>
      </c>
      <c r="H89" s="1" t="s">
        <v>257</v>
      </c>
      <c r="J89" s="1" t="s">
        <v>258</v>
      </c>
      <c r="K89" s="1" t="str">
        <f>_xlfn.XLOOKUP(J89,REF!$D$2:$D$12,REF!$E$2:$E$12)</f>
        <v>Rede</v>
      </c>
      <c r="L89" s="1" t="s">
        <v>333</v>
      </c>
      <c r="M89" s="1" t="s">
        <v>260</v>
      </c>
      <c r="N89" s="1" t="s">
        <v>261</v>
      </c>
      <c r="O89" s="1" t="s">
        <v>334</v>
      </c>
      <c r="P89" s="1" t="str">
        <f>_xlfn.CONCAT(B89,C89,D89,E89,F89)</f>
        <v>BC Varjao2.2215KTL-H0(MBUS-15)46084,354166666746084,354166666746084,4409722222</v>
      </c>
      <c r="Q89" s="1" t="str">
        <f>_xlfn.CONCAT(H89,I89,J89)</f>
        <v>DAURDE</v>
      </c>
    </row>
    <row r="90" spans="2:17">
      <c r="B90" s="66" t="s">
        <v>339</v>
      </c>
      <c r="C90" s="1" t="s">
        <v>338</v>
      </c>
      <c r="D90" s="52">
        <v>46084.354166666664</v>
      </c>
      <c r="E90" s="52">
        <v>46084.354166666664</v>
      </c>
      <c r="F90" s="52">
        <v>46084.440972222219</v>
      </c>
      <c r="G90" s="53">
        <f t="shared" si="5"/>
        <v>8.6805555554747116E-2</v>
      </c>
      <c r="H90" s="1" t="s">
        <v>257</v>
      </c>
      <c r="J90" s="1" t="s">
        <v>258</v>
      </c>
      <c r="K90" s="1" t="str">
        <f>_xlfn.XLOOKUP(J90,REF!$D$2:$D$12,REF!$E$2:$E$12)</f>
        <v>Rede</v>
      </c>
      <c r="L90" s="1" t="s">
        <v>333</v>
      </c>
      <c r="M90" s="1" t="s">
        <v>260</v>
      </c>
      <c r="N90" s="1" t="s">
        <v>261</v>
      </c>
      <c r="O90" s="1" t="s">
        <v>334</v>
      </c>
      <c r="P90" s="1" t="str">
        <f>_xlfn.CONCAT(B90,C90,D90,E90,F90)</f>
        <v>BC Varjao2.2215KTL-H0(MBUS-16)46084,354166666746084,354166666746084,4409722222</v>
      </c>
      <c r="Q90" s="1" t="str">
        <f>_xlfn.CONCAT(H90,I90,J90)</f>
        <v>DAURDE</v>
      </c>
    </row>
    <row r="91" spans="2:17">
      <c r="B91" s="66" t="s">
        <v>339</v>
      </c>
      <c r="C91" s="1" t="s">
        <v>332</v>
      </c>
      <c r="D91" s="52">
        <v>46084.354166666664</v>
      </c>
      <c r="E91" s="52">
        <v>46084.354166666664</v>
      </c>
      <c r="F91" s="52">
        <v>46084.440972222219</v>
      </c>
      <c r="G91" s="53">
        <f t="shared" si="5"/>
        <v>8.6805555554747116E-2</v>
      </c>
      <c r="H91" s="1" t="s">
        <v>257</v>
      </c>
      <c r="J91" s="1" t="s">
        <v>258</v>
      </c>
      <c r="K91" s="1" t="str">
        <f>_xlfn.XLOOKUP(J91,REF!$D$2:$D$12,REF!$E$2:$E$12)</f>
        <v>Rede</v>
      </c>
      <c r="L91" s="1" t="s">
        <v>333</v>
      </c>
      <c r="M91" s="1" t="s">
        <v>260</v>
      </c>
      <c r="N91" s="1" t="s">
        <v>261</v>
      </c>
      <c r="O91" s="1" t="s">
        <v>334</v>
      </c>
      <c r="P91" s="1" t="str">
        <f>_xlfn.CONCAT(B91,C91,D91,E91,F91)</f>
        <v>BC Varjao2.2215KTL-H0(MBUS-12)46084,354166666746084,354166666746084,4409722222</v>
      </c>
      <c r="Q91" s="1" t="str">
        <f>_xlfn.CONCAT(H91,I91,J91)</f>
        <v>DAURDE</v>
      </c>
    </row>
    <row r="92" spans="2:17">
      <c r="B92" s="66" t="s">
        <v>340</v>
      </c>
      <c r="C92" s="1" t="s">
        <v>341</v>
      </c>
      <c r="D92" s="52">
        <v>46084.354166666664</v>
      </c>
      <c r="E92" s="52">
        <v>46084.354166666664</v>
      </c>
      <c r="F92" s="52">
        <v>46084.440972222219</v>
      </c>
      <c r="G92" s="53">
        <f t="shared" si="5"/>
        <v>8.6805555554747116E-2</v>
      </c>
      <c r="H92" s="1" t="s">
        <v>257</v>
      </c>
      <c r="J92" s="1" t="s">
        <v>258</v>
      </c>
      <c r="K92" s="1" t="str">
        <f>_xlfn.XLOOKUP(J92,REF!$D$2:$D$12,REF!$E$2:$E$12)</f>
        <v>Rede</v>
      </c>
      <c r="L92" s="1" t="s">
        <v>333</v>
      </c>
      <c r="M92" s="1" t="s">
        <v>260</v>
      </c>
      <c r="N92" s="1" t="s">
        <v>261</v>
      </c>
      <c r="O92" s="1" t="s">
        <v>334</v>
      </c>
      <c r="P92" s="1" t="str">
        <f>_xlfn.CONCAT(B92,C92,D92,E92,F92)</f>
        <v>BC Varjao2.3100KTL-H1(MBUS-1)46084,354166666746084,354166666746084,4409722222</v>
      </c>
      <c r="Q92" s="1" t="str">
        <f>_xlfn.CONCAT(H92,I92,J92)</f>
        <v>DAURDE</v>
      </c>
    </row>
    <row r="93" spans="2:17">
      <c r="B93" s="66" t="s">
        <v>340</v>
      </c>
      <c r="C93" s="1" t="s">
        <v>335</v>
      </c>
      <c r="D93" s="52">
        <v>46084.354166666664</v>
      </c>
      <c r="E93" s="52">
        <v>46084.354166666664</v>
      </c>
      <c r="F93" s="52">
        <v>46084.440972222219</v>
      </c>
      <c r="G93" s="53">
        <f t="shared" si="5"/>
        <v>8.6805555554747116E-2</v>
      </c>
      <c r="H93" s="1" t="s">
        <v>257</v>
      </c>
      <c r="J93" s="1" t="s">
        <v>258</v>
      </c>
      <c r="K93" s="1" t="str">
        <f>_xlfn.XLOOKUP(J93,REF!$D$2:$D$12,REF!$E$2:$E$12)</f>
        <v>Rede</v>
      </c>
      <c r="L93" s="1" t="s">
        <v>333</v>
      </c>
      <c r="M93" s="1" t="s">
        <v>260</v>
      </c>
      <c r="N93" s="1" t="s">
        <v>261</v>
      </c>
      <c r="O93" s="1" t="s">
        <v>334</v>
      </c>
      <c r="P93" s="1" t="str">
        <f>_xlfn.CONCAT(B93,C93,D93,E93,F93)</f>
        <v>BC Varjao2.3215KTL-H0(MBUS-13)46084,354166666746084,354166666746084,4409722222</v>
      </c>
      <c r="Q93" s="1" t="str">
        <f>_xlfn.CONCAT(H93,I93,J93)</f>
        <v>DAURDE</v>
      </c>
    </row>
    <row r="94" spans="2:17">
      <c r="B94" s="1" t="s">
        <v>340</v>
      </c>
      <c r="C94" s="1" t="s">
        <v>332</v>
      </c>
      <c r="D94" s="52">
        <v>46084.354166666664</v>
      </c>
      <c r="E94" s="52">
        <v>46084.354166666664</v>
      </c>
      <c r="F94" s="52">
        <v>46084.440972222219</v>
      </c>
      <c r="G94" s="53">
        <f t="shared" si="5"/>
        <v>8.6805555554747116E-2</v>
      </c>
      <c r="H94" s="1" t="s">
        <v>257</v>
      </c>
      <c r="J94" s="1" t="s">
        <v>258</v>
      </c>
      <c r="K94" s="1" t="str">
        <f>_xlfn.XLOOKUP(J94,REF!$D$2:$D$12,REF!$E$2:$E$12)</f>
        <v>Rede</v>
      </c>
      <c r="L94" s="1" t="s">
        <v>333</v>
      </c>
      <c r="M94" s="1" t="s">
        <v>260</v>
      </c>
      <c r="N94" s="1" t="s">
        <v>261</v>
      </c>
      <c r="O94" s="1" t="s">
        <v>334</v>
      </c>
      <c r="P94" s="1" t="str">
        <f>_xlfn.CONCAT(B94,C94,D94,E94,F94)</f>
        <v>BC Varjao2.3215KTL-H0(MBUS-12)46084,354166666746084,354166666746084,4409722222</v>
      </c>
      <c r="Q94" s="1" t="str">
        <f>_xlfn.CONCAT(H94,I94,J94)</f>
        <v>DAURDE</v>
      </c>
    </row>
    <row r="95" spans="2:17">
      <c r="B95" s="1" t="s">
        <v>327</v>
      </c>
      <c r="C95" s="1" t="s">
        <v>247</v>
      </c>
      <c r="D95" s="52">
        <v>46085.299305555556</v>
      </c>
      <c r="E95" s="52">
        <v>46085.299305555556</v>
      </c>
      <c r="F95" s="52">
        <v>46085.354166666664</v>
      </c>
      <c r="G95" s="53">
        <f t="shared" si="5"/>
        <v>5.486111110803904E-2</v>
      </c>
      <c r="H95" s="1" t="s">
        <v>257</v>
      </c>
      <c r="J95" s="1" t="s">
        <v>258</v>
      </c>
      <c r="K95" s="1" t="str">
        <f>_xlfn.XLOOKUP(J95,REF!$D$2:$D$12,REF!$E$2:$E$12)</f>
        <v>Rede</v>
      </c>
      <c r="L95" s="1" t="s">
        <v>342</v>
      </c>
      <c r="M95" s="1" t="s">
        <v>260</v>
      </c>
      <c r="N95" s="1" t="s">
        <v>261</v>
      </c>
      <c r="O95" s="72" t="s">
        <v>297</v>
      </c>
      <c r="P95" s="1" t="str">
        <f>_xlfn.CONCAT(B95,C95,D95,E95,F95)</f>
        <v>BC Aracu5.1Inverter(MBUS-1)46085,299305555646085,299305555646085,3541666667</v>
      </c>
      <c r="Q95" s="1" t="str">
        <f>_xlfn.CONCAT(H95,I95,J95)</f>
        <v>DAURDE</v>
      </c>
    </row>
    <row r="96" spans="2:17">
      <c r="B96" s="1" t="s">
        <v>328</v>
      </c>
      <c r="C96" s="1" t="s">
        <v>247</v>
      </c>
      <c r="D96" s="52">
        <v>46085.299305555556</v>
      </c>
      <c r="E96" s="52">
        <v>46085.299305555556</v>
      </c>
      <c r="F96" s="52">
        <v>46085.354166666664</v>
      </c>
      <c r="G96" s="53">
        <f t="shared" si="5"/>
        <v>5.486111110803904E-2</v>
      </c>
      <c r="H96" s="1" t="s">
        <v>257</v>
      </c>
      <c r="J96" s="1" t="s">
        <v>258</v>
      </c>
      <c r="K96" s="1" t="str">
        <f>_xlfn.XLOOKUP(J96,REF!$D$2:$D$12,REF!$E$2:$E$12)</f>
        <v>Rede</v>
      </c>
      <c r="L96" s="1" t="s">
        <v>342</v>
      </c>
      <c r="M96" s="1" t="s">
        <v>260</v>
      </c>
      <c r="N96" s="1" t="s">
        <v>261</v>
      </c>
      <c r="O96" s="72" t="s">
        <v>297</v>
      </c>
      <c r="P96" s="1" t="str">
        <f>_xlfn.CONCAT(B96,C96,D96,E96,F96)</f>
        <v>BC Aracu5.3Inverter(MBUS-1)46085,299305555646085,299305555646085,3541666667</v>
      </c>
      <c r="Q96" s="1" t="str">
        <f>_xlfn.CONCAT(H96,I96,J96)</f>
        <v>DAURDE</v>
      </c>
    </row>
    <row r="97" spans="2:17">
      <c r="B97" s="1" t="s">
        <v>329</v>
      </c>
      <c r="C97" s="1" t="s">
        <v>247</v>
      </c>
      <c r="D97" s="52">
        <v>46085.299305555556</v>
      </c>
      <c r="E97" s="52">
        <v>46085.299305555556</v>
      </c>
      <c r="F97" s="52">
        <v>46085.354166666664</v>
      </c>
      <c r="G97" s="53">
        <f t="shared" si="5"/>
        <v>5.486111110803904E-2</v>
      </c>
      <c r="H97" s="1" t="s">
        <v>257</v>
      </c>
      <c r="J97" s="1" t="s">
        <v>258</v>
      </c>
      <c r="K97" s="1" t="str">
        <f>_xlfn.XLOOKUP(J97,REF!$D$2:$D$12,REF!$E$2:$E$12)</f>
        <v>Rede</v>
      </c>
      <c r="L97" s="1" t="s">
        <v>342</v>
      </c>
      <c r="M97" s="1" t="s">
        <v>260</v>
      </c>
      <c r="N97" s="1" t="s">
        <v>261</v>
      </c>
      <c r="O97" s="72" t="s">
        <v>297</v>
      </c>
      <c r="P97" s="1" t="str">
        <f>_xlfn.CONCAT(B97,C97,D97,E97,F97)</f>
        <v>BC Aracu5.4Inverter(MBUS-1)46085,299305555646085,299305555646085,3541666667</v>
      </c>
      <c r="Q97" s="1" t="str">
        <f>_xlfn.CONCAT(H97,I97,J97)</f>
        <v>DAURDE</v>
      </c>
    </row>
    <row r="98" spans="2:17">
      <c r="B98" s="1" t="s">
        <v>330</v>
      </c>
      <c r="C98" s="1" t="s">
        <v>247</v>
      </c>
      <c r="D98" s="52">
        <v>46085.299305555556</v>
      </c>
      <c r="E98" s="52">
        <v>46085.299305555556</v>
      </c>
      <c r="F98" s="52">
        <v>46085.354166666664</v>
      </c>
      <c r="G98" s="53">
        <f t="shared" si="5"/>
        <v>5.486111110803904E-2</v>
      </c>
      <c r="H98" s="1" t="s">
        <v>257</v>
      </c>
      <c r="J98" s="1" t="s">
        <v>258</v>
      </c>
      <c r="K98" s="1" t="str">
        <f>_xlfn.XLOOKUP(J98,REF!$D$2:$D$12,REF!$E$2:$E$12)</f>
        <v>Rede</v>
      </c>
      <c r="L98" s="1" t="s">
        <v>342</v>
      </c>
      <c r="M98" s="1" t="s">
        <v>260</v>
      </c>
      <c r="N98" s="1" t="s">
        <v>261</v>
      </c>
      <c r="O98" s="72" t="s">
        <v>297</v>
      </c>
      <c r="P98" s="1" t="str">
        <f>_xlfn.CONCAT(B98,C98,D98,E98,F98)</f>
        <v>BC Aracu5.5Inverter(MBUS-1)46085,299305555646085,299305555646085,3541666667</v>
      </c>
      <c r="Q98" s="1" t="str">
        <f>_xlfn.CONCAT(H98,I98,J98)</f>
        <v>DAURDE</v>
      </c>
    </row>
    <row r="99" spans="2:17">
      <c r="B99" s="1" t="s">
        <v>331</v>
      </c>
      <c r="C99" s="1" t="s">
        <v>332</v>
      </c>
      <c r="D99" s="52">
        <v>46085.552083333336</v>
      </c>
      <c r="E99" s="52">
        <v>46085.552083333336</v>
      </c>
      <c r="F99" s="52">
        <v>46086.388888888891</v>
      </c>
      <c r="G99" s="53">
        <f t="shared" si="5"/>
        <v>0.83680555555474712</v>
      </c>
      <c r="H99" s="1" t="s">
        <v>257</v>
      </c>
      <c r="J99" s="1" t="s">
        <v>258</v>
      </c>
      <c r="K99" s="1" t="str">
        <f>_xlfn.XLOOKUP(J99,REF!$D$2:$D$12,REF!$E$2:$E$12)</f>
        <v>Rede</v>
      </c>
      <c r="L99" s="1" t="s">
        <v>259</v>
      </c>
      <c r="M99" s="1" t="s">
        <v>260</v>
      </c>
      <c r="N99" s="1" t="s">
        <v>261</v>
      </c>
      <c r="O99" s="1" t="s">
        <v>334</v>
      </c>
      <c r="P99" s="1" t="str">
        <f>_xlfn.CONCAT(B99,C99,D99,E99,F99)</f>
        <v>BC Varjao2.1215KTL-H0(MBUS-12)46085,552083333346085,552083333346086,3888888889</v>
      </c>
      <c r="Q99" s="1" t="str">
        <f>_xlfn.CONCAT(H99,I99,J99)</f>
        <v>DAURDE</v>
      </c>
    </row>
    <row r="100" spans="2:17">
      <c r="B100" s="1" t="s">
        <v>331</v>
      </c>
      <c r="C100" s="1" t="s">
        <v>335</v>
      </c>
      <c r="D100" s="52">
        <v>46085.552083333336</v>
      </c>
      <c r="E100" s="52">
        <v>46085.552083333336</v>
      </c>
      <c r="F100" s="52">
        <v>46086.388888888891</v>
      </c>
      <c r="G100" s="53">
        <f t="shared" si="5"/>
        <v>0.83680555555474712</v>
      </c>
      <c r="H100" s="1" t="s">
        <v>257</v>
      </c>
      <c r="J100" s="1" t="s">
        <v>258</v>
      </c>
      <c r="K100" s="1" t="str">
        <f>_xlfn.XLOOKUP(J100,REF!$D$2:$D$12,REF!$E$2:$E$12)</f>
        <v>Rede</v>
      </c>
      <c r="L100" s="1" t="s">
        <v>259</v>
      </c>
      <c r="M100" s="1" t="s">
        <v>260</v>
      </c>
      <c r="N100" s="1" t="s">
        <v>261</v>
      </c>
      <c r="O100" s="1" t="s">
        <v>334</v>
      </c>
      <c r="P100" s="1" t="str">
        <f>_xlfn.CONCAT(B100,C100,D100,E100,F100)</f>
        <v>BC Varjao2.1215KTL-H0(MBUS-13)46085,552083333346085,552083333346086,3888888889</v>
      </c>
      <c r="Q100" s="1" t="str">
        <f>_xlfn.CONCAT(H100,I100,J100)</f>
        <v>DAURDE</v>
      </c>
    </row>
    <row r="101" spans="2:17">
      <c r="B101" s="1" t="s">
        <v>331</v>
      </c>
      <c r="C101" s="1" t="s">
        <v>336</v>
      </c>
      <c r="D101" s="52">
        <v>46085.552083333336</v>
      </c>
      <c r="E101" s="52">
        <v>46085.552083333336</v>
      </c>
      <c r="F101" s="52">
        <v>46086.388888888891</v>
      </c>
      <c r="G101" s="53">
        <f t="shared" si="5"/>
        <v>0.83680555555474712</v>
      </c>
      <c r="H101" s="1" t="s">
        <v>257</v>
      </c>
      <c r="J101" s="1" t="s">
        <v>258</v>
      </c>
      <c r="K101" s="1" t="str">
        <f>_xlfn.XLOOKUP(J101,REF!$D$2:$D$12,REF!$E$2:$E$12)</f>
        <v>Rede</v>
      </c>
      <c r="L101" s="1" t="s">
        <v>259</v>
      </c>
      <c r="M101" s="1" t="s">
        <v>260</v>
      </c>
      <c r="N101" s="1" t="s">
        <v>261</v>
      </c>
      <c r="O101" s="1" t="s">
        <v>334</v>
      </c>
      <c r="P101" s="1" t="str">
        <f>_xlfn.CONCAT(B101,C101,D101,E101,F101)</f>
        <v>BC Varjao2.1215KTL-H0(MBUS-14)46085,552083333346085,552083333346086,3888888889</v>
      </c>
      <c r="Q101" s="1" t="str">
        <f>_xlfn.CONCAT(H101,I101,J101)</f>
        <v>DAURDE</v>
      </c>
    </row>
    <row r="102" spans="2:17">
      <c r="B102" s="1" t="s">
        <v>331</v>
      </c>
      <c r="C102" s="1" t="s">
        <v>337</v>
      </c>
      <c r="D102" s="52">
        <v>46085.552083333336</v>
      </c>
      <c r="E102" s="52">
        <v>46085.552083333336</v>
      </c>
      <c r="F102" s="52">
        <v>46086.388888888891</v>
      </c>
      <c r="G102" s="53">
        <f t="shared" si="5"/>
        <v>0.83680555555474712</v>
      </c>
      <c r="H102" s="1" t="s">
        <v>257</v>
      </c>
      <c r="J102" s="1" t="s">
        <v>258</v>
      </c>
      <c r="K102" s="1" t="str">
        <f>_xlfn.XLOOKUP(J102,REF!$D$2:$D$12,REF!$E$2:$E$12)</f>
        <v>Rede</v>
      </c>
      <c r="L102" s="1" t="s">
        <v>259</v>
      </c>
      <c r="M102" s="1" t="s">
        <v>260</v>
      </c>
      <c r="N102" s="1" t="s">
        <v>261</v>
      </c>
      <c r="O102" s="1" t="s">
        <v>334</v>
      </c>
      <c r="P102" s="1" t="str">
        <f>_xlfn.CONCAT(B102,C102,D102,E102,F102)</f>
        <v>BC Varjao2.1215KTL-H0(MBUS-15)46085,552083333346085,552083333346086,3888888889</v>
      </c>
      <c r="Q102" s="1" t="str">
        <f>_xlfn.CONCAT(H102,I102,J102)</f>
        <v>DAURDE</v>
      </c>
    </row>
    <row r="103" spans="2:17">
      <c r="B103" s="1" t="s">
        <v>331</v>
      </c>
      <c r="C103" s="1" t="s">
        <v>338</v>
      </c>
      <c r="D103" s="52">
        <v>46085.552083333336</v>
      </c>
      <c r="E103" s="52">
        <v>46085.552083333336</v>
      </c>
      <c r="F103" s="52">
        <v>46086.388888888891</v>
      </c>
      <c r="G103" s="53">
        <f t="shared" si="5"/>
        <v>0.83680555555474712</v>
      </c>
      <c r="H103" s="1" t="s">
        <v>257</v>
      </c>
      <c r="J103" s="1" t="s">
        <v>258</v>
      </c>
      <c r="K103" s="1" t="str">
        <f>_xlfn.XLOOKUP(J103,REF!$D$2:$D$12,REF!$E$2:$E$12)</f>
        <v>Rede</v>
      </c>
      <c r="L103" s="1" t="s">
        <v>259</v>
      </c>
      <c r="M103" s="1" t="s">
        <v>260</v>
      </c>
      <c r="N103" s="1" t="s">
        <v>261</v>
      </c>
      <c r="O103" s="1" t="s">
        <v>334</v>
      </c>
      <c r="P103" s="1" t="str">
        <f>_xlfn.CONCAT(B103,C103,D103,E103,F103)</f>
        <v>BC Varjao2.1215KTL-H0(MBUS-16)46085,552083333346085,552083333346086,3888888889</v>
      </c>
      <c r="Q103" s="1" t="str">
        <f>_xlfn.CONCAT(H103,I103,J103)</f>
        <v>DAURDE</v>
      </c>
    </row>
    <row r="104" spans="2:17">
      <c r="B104" s="1" t="s">
        <v>339</v>
      </c>
      <c r="C104" s="1" t="s">
        <v>335</v>
      </c>
      <c r="D104" s="52">
        <v>46085.552083333336</v>
      </c>
      <c r="E104" s="52">
        <v>46085.552083333336</v>
      </c>
      <c r="F104" s="52">
        <v>46086.388888888891</v>
      </c>
      <c r="G104" s="53">
        <f t="shared" si="5"/>
        <v>0.83680555555474712</v>
      </c>
      <c r="H104" s="1" t="s">
        <v>257</v>
      </c>
      <c r="J104" s="1" t="s">
        <v>258</v>
      </c>
      <c r="K104" s="1" t="str">
        <f>_xlfn.XLOOKUP(J104,REF!$D$2:$D$12,REF!$E$2:$E$12)</f>
        <v>Rede</v>
      </c>
      <c r="L104" s="1" t="s">
        <v>259</v>
      </c>
      <c r="M104" s="1" t="s">
        <v>260</v>
      </c>
      <c r="N104" s="1" t="s">
        <v>261</v>
      </c>
      <c r="O104" s="1" t="s">
        <v>334</v>
      </c>
      <c r="P104" s="1" t="str">
        <f>_xlfn.CONCAT(B104,C104,D104,E104,F104)</f>
        <v>BC Varjao2.2215KTL-H0(MBUS-13)46085,552083333346085,552083333346086,3888888889</v>
      </c>
      <c r="Q104" s="1" t="str">
        <f>_xlfn.CONCAT(H104,I104,J104)</f>
        <v>DAURDE</v>
      </c>
    </row>
    <row r="105" spans="2:17">
      <c r="B105" s="1" t="s">
        <v>339</v>
      </c>
      <c r="C105" s="1" t="s">
        <v>336</v>
      </c>
      <c r="D105" s="52">
        <v>46085.552083333336</v>
      </c>
      <c r="E105" s="52">
        <v>46085.552083333336</v>
      </c>
      <c r="F105" s="52">
        <v>46086.388888888891</v>
      </c>
      <c r="G105" s="53">
        <f t="shared" si="5"/>
        <v>0.83680555555474712</v>
      </c>
      <c r="H105" s="1" t="s">
        <v>257</v>
      </c>
      <c r="J105" s="1" t="s">
        <v>258</v>
      </c>
      <c r="K105" s="1" t="str">
        <f>_xlfn.XLOOKUP(J105,REF!$D$2:$D$12,REF!$E$2:$E$12)</f>
        <v>Rede</v>
      </c>
      <c r="L105" s="1" t="s">
        <v>259</v>
      </c>
      <c r="M105" s="1" t="s">
        <v>260</v>
      </c>
      <c r="N105" s="1" t="s">
        <v>261</v>
      </c>
      <c r="O105" s="1" t="s">
        <v>334</v>
      </c>
      <c r="P105" s="1" t="str">
        <f>_xlfn.CONCAT(B105,C105,D105,E105,F105)</f>
        <v>BC Varjao2.2215KTL-H0(MBUS-14)46085,552083333346085,552083333346086,3888888889</v>
      </c>
      <c r="Q105" s="1" t="str">
        <f>_xlfn.CONCAT(H105,I105,J105)</f>
        <v>DAURDE</v>
      </c>
    </row>
    <row r="106" spans="2:17">
      <c r="B106" s="1" t="s">
        <v>339</v>
      </c>
      <c r="C106" s="1" t="s">
        <v>337</v>
      </c>
      <c r="D106" s="52">
        <v>46085.552083333336</v>
      </c>
      <c r="E106" s="52">
        <v>46085.552083333336</v>
      </c>
      <c r="F106" s="52">
        <v>46086.388888888891</v>
      </c>
      <c r="G106" s="53">
        <f t="shared" si="5"/>
        <v>0.83680555555474712</v>
      </c>
      <c r="H106" s="1" t="s">
        <v>257</v>
      </c>
      <c r="J106" s="1" t="s">
        <v>258</v>
      </c>
      <c r="K106" s="1" t="str">
        <f>_xlfn.XLOOKUP(J106,REF!$D$2:$D$12,REF!$E$2:$E$12)</f>
        <v>Rede</v>
      </c>
      <c r="L106" s="1" t="s">
        <v>259</v>
      </c>
      <c r="M106" s="1" t="s">
        <v>260</v>
      </c>
      <c r="N106" s="1" t="s">
        <v>261</v>
      </c>
      <c r="O106" s="1" t="s">
        <v>334</v>
      </c>
      <c r="P106" s="1" t="str">
        <f>_xlfn.CONCAT(B106,C106,D106,E106,F106)</f>
        <v>BC Varjao2.2215KTL-H0(MBUS-15)46085,552083333346085,552083333346086,3888888889</v>
      </c>
      <c r="Q106" s="1" t="str">
        <f>_xlfn.CONCAT(H106,I106,J106)</f>
        <v>DAURDE</v>
      </c>
    </row>
    <row r="107" spans="2:17">
      <c r="B107" s="1" t="s">
        <v>339</v>
      </c>
      <c r="C107" s="1" t="s">
        <v>338</v>
      </c>
      <c r="D107" s="52">
        <v>46085.552083333336</v>
      </c>
      <c r="E107" s="52">
        <v>46085.552083333336</v>
      </c>
      <c r="F107" s="52">
        <v>46086.388888888891</v>
      </c>
      <c r="G107" s="53">
        <f t="shared" si="5"/>
        <v>0.83680555555474712</v>
      </c>
      <c r="H107" s="1" t="s">
        <v>257</v>
      </c>
      <c r="J107" s="1" t="s">
        <v>258</v>
      </c>
      <c r="K107" s="1" t="str">
        <f>_xlfn.XLOOKUP(J107,REF!$D$2:$D$12,REF!$E$2:$E$12)</f>
        <v>Rede</v>
      </c>
      <c r="L107" s="1" t="s">
        <v>259</v>
      </c>
      <c r="M107" s="1" t="s">
        <v>260</v>
      </c>
      <c r="N107" s="1" t="s">
        <v>261</v>
      </c>
      <c r="O107" s="1" t="s">
        <v>334</v>
      </c>
      <c r="P107" s="1" t="str">
        <f>_xlfn.CONCAT(B107,C107,D107,E107,F107)</f>
        <v>BC Varjao2.2215KTL-H0(MBUS-16)46085,552083333346085,552083333346086,3888888889</v>
      </c>
      <c r="Q107" s="1" t="str">
        <f>_xlfn.CONCAT(H107,I107,J107)</f>
        <v>DAURDE</v>
      </c>
    </row>
    <row r="108" spans="2:17">
      <c r="B108" s="1" t="s">
        <v>339</v>
      </c>
      <c r="C108" s="1" t="s">
        <v>332</v>
      </c>
      <c r="D108" s="52">
        <v>46085.552083333336</v>
      </c>
      <c r="E108" s="52">
        <v>46085.552083333336</v>
      </c>
      <c r="F108" s="52">
        <v>46086.388888888891</v>
      </c>
      <c r="G108" s="53">
        <f t="shared" si="5"/>
        <v>0.83680555555474712</v>
      </c>
      <c r="H108" s="1" t="s">
        <v>257</v>
      </c>
      <c r="J108" s="1" t="s">
        <v>258</v>
      </c>
      <c r="K108" s="1" t="str">
        <f>_xlfn.XLOOKUP(J108,REF!$D$2:$D$12,REF!$E$2:$E$12)</f>
        <v>Rede</v>
      </c>
      <c r="L108" s="1" t="s">
        <v>259</v>
      </c>
      <c r="M108" s="1" t="s">
        <v>260</v>
      </c>
      <c r="N108" s="1" t="s">
        <v>261</v>
      </c>
      <c r="O108" s="1" t="s">
        <v>334</v>
      </c>
      <c r="P108" s="1" t="str">
        <f>_xlfn.CONCAT(B108,C108,D108,E108,F108)</f>
        <v>BC Varjao2.2215KTL-H0(MBUS-12)46085,552083333346085,552083333346086,3888888889</v>
      </c>
      <c r="Q108" s="1" t="str">
        <f>_xlfn.CONCAT(H108,I108,J108)</f>
        <v>DAURDE</v>
      </c>
    </row>
    <row r="109" spans="2:17">
      <c r="B109" s="1" t="s">
        <v>340</v>
      </c>
      <c r="C109" s="1" t="s">
        <v>341</v>
      </c>
      <c r="D109" s="52">
        <v>46085.552083333336</v>
      </c>
      <c r="E109" s="52">
        <v>46085.552083333336</v>
      </c>
      <c r="F109" s="52">
        <v>46086.388888888891</v>
      </c>
      <c r="G109" s="53">
        <f t="shared" si="5"/>
        <v>0.83680555555474712</v>
      </c>
      <c r="H109" s="1" t="s">
        <v>257</v>
      </c>
      <c r="J109" s="1" t="s">
        <v>258</v>
      </c>
      <c r="K109" s="1" t="str">
        <f>_xlfn.XLOOKUP(J109,REF!$D$2:$D$12,REF!$E$2:$E$12)</f>
        <v>Rede</v>
      </c>
      <c r="L109" s="1" t="s">
        <v>259</v>
      </c>
      <c r="M109" s="1" t="s">
        <v>260</v>
      </c>
      <c r="N109" s="1" t="s">
        <v>261</v>
      </c>
      <c r="O109" s="1" t="s">
        <v>334</v>
      </c>
      <c r="P109" s="1" t="str">
        <f>_xlfn.CONCAT(B109,C109,D109,E109,F109)</f>
        <v>BC Varjao2.3100KTL-H1(MBUS-1)46085,552083333346085,552083333346086,3888888889</v>
      </c>
      <c r="Q109" s="1" t="str">
        <f>_xlfn.CONCAT(H109,I109,J109)</f>
        <v>DAURDE</v>
      </c>
    </row>
    <row r="110" spans="2:17">
      <c r="B110" s="1" t="s">
        <v>340</v>
      </c>
      <c r="C110" s="1" t="s">
        <v>335</v>
      </c>
      <c r="D110" s="52">
        <v>46085.552083333336</v>
      </c>
      <c r="E110" s="52">
        <v>46085.552083333336</v>
      </c>
      <c r="F110" s="52">
        <v>46086.388888888891</v>
      </c>
      <c r="G110" s="53">
        <f t="shared" si="5"/>
        <v>0.83680555555474712</v>
      </c>
      <c r="H110" s="1" t="s">
        <v>257</v>
      </c>
      <c r="J110" s="1" t="s">
        <v>258</v>
      </c>
      <c r="K110" s="1" t="str">
        <f>_xlfn.XLOOKUP(J110,REF!$D$2:$D$12,REF!$E$2:$E$12)</f>
        <v>Rede</v>
      </c>
      <c r="L110" s="1" t="s">
        <v>259</v>
      </c>
      <c r="M110" s="1" t="s">
        <v>260</v>
      </c>
      <c r="N110" s="1" t="s">
        <v>261</v>
      </c>
      <c r="O110" s="1" t="s">
        <v>334</v>
      </c>
      <c r="P110" s="1" t="str">
        <f>_xlfn.CONCAT(B110,C110,D110,E110,F110)</f>
        <v>BC Varjao2.3215KTL-H0(MBUS-13)46085,552083333346085,552083333346086,3888888889</v>
      </c>
      <c r="Q110" s="1" t="str">
        <f>_xlfn.CONCAT(H110,I110,J110)</f>
        <v>DAURDE</v>
      </c>
    </row>
    <row r="111" spans="2:17">
      <c r="B111" s="1" t="s">
        <v>340</v>
      </c>
      <c r="C111" s="1" t="s">
        <v>332</v>
      </c>
      <c r="D111" s="52">
        <v>46085.552083333336</v>
      </c>
      <c r="E111" s="52">
        <v>46085.552083333336</v>
      </c>
      <c r="F111" s="52">
        <v>46086.388888888891</v>
      </c>
      <c r="G111" s="53">
        <f t="shared" si="5"/>
        <v>0.83680555555474712</v>
      </c>
      <c r="H111" s="1" t="s">
        <v>257</v>
      </c>
      <c r="J111" s="1" t="s">
        <v>258</v>
      </c>
      <c r="K111" s="1" t="str">
        <f>_xlfn.XLOOKUP(J111,REF!$D$2:$D$12,REF!$E$2:$E$12)</f>
        <v>Rede</v>
      </c>
      <c r="L111" s="1" t="s">
        <v>259</v>
      </c>
      <c r="M111" s="1" t="s">
        <v>260</v>
      </c>
      <c r="N111" s="1" t="s">
        <v>261</v>
      </c>
      <c r="O111" s="1" t="s">
        <v>334</v>
      </c>
      <c r="P111" s="1" t="str">
        <f>_xlfn.CONCAT(B111,C111,D111,E111,F111)</f>
        <v>BC Varjao2.3215KTL-H0(MBUS-12)46085,552083333346085,552083333346086,3888888889</v>
      </c>
      <c r="Q111" s="1" t="str">
        <f>_xlfn.CONCAT(H111,I111,J111)</f>
        <v>DAURDE</v>
      </c>
    </row>
    <row r="112" spans="2:17">
      <c r="B112" s="1" t="s">
        <v>305</v>
      </c>
      <c r="C112" s="1" t="s">
        <v>256</v>
      </c>
      <c r="D112" s="52">
        <v>46085.618055555555</v>
      </c>
      <c r="E112" s="52">
        <v>46085.618055555555</v>
      </c>
      <c r="F112" s="52">
        <v>46085.657638888886</v>
      </c>
      <c r="G112" s="53">
        <f t="shared" si="5"/>
        <v>3.9583333331393078E-2</v>
      </c>
      <c r="H112" s="1" t="s">
        <v>257</v>
      </c>
      <c r="J112" s="1" t="s">
        <v>258</v>
      </c>
      <c r="K112" s="1" t="str">
        <f>_xlfn.XLOOKUP(J112,REF!$D$2:$D$12,REF!$E$2:$E$12)</f>
        <v>Rede</v>
      </c>
      <c r="L112" s="1" t="s">
        <v>306</v>
      </c>
      <c r="M112" s="1" t="s">
        <v>260</v>
      </c>
      <c r="N112" s="1" t="s">
        <v>261</v>
      </c>
      <c r="O112" s="72" t="s">
        <v>297</v>
      </c>
      <c r="P112" s="1" t="str">
        <f>_xlfn.CONCAT(B112,C112,D112,E112,F112)</f>
        <v>ARAGUATINS 1.1Inverter(MBUS-12)46085,618055555646085,618055555646085,6576388889</v>
      </c>
      <c r="Q112" s="1" t="str">
        <f>_xlfn.CONCAT(H112,I112,J112)</f>
        <v>DAURDE</v>
      </c>
    </row>
    <row r="113" spans="2:17">
      <c r="B113" s="1" t="s">
        <v>305</v>
      </c>
      <c r="C113" s="1" t="s">
        <v>264</v>
      </c>
      <c r="D113" s="52">
        <v>46085.618055555555</v>
      </c>
      <c r="E113" s="52">
        <v>46085.618055555555</v>
      </c>
      <c r="F113" s="52">
        <v>46085.657638888886</v>
      </c>
      <c r="G113" s="53">
        <f t="shared" si="5"/>
        <v>3.9583333331393078E-2</v>
      </c>
      <c r="H113" s="1" t="s">
        <v>257</v>
      </c>
      <c r="J113" s="1" t="s">
        <v>258</v>
      </c>
      <c r="K113" s="1" t="str">
        <f>_xlfn.XLOOKUP(J113,REF!$D$2:$D$12,REF!$E$2:$E$12)</f>
        <v>Rede</v>
      </c>
      <c r="L113" s="1" t="s">
        <v>306</v>
      </c>
      <c r="M113" s="1" t="s">
        <v>260</v>
      </c>
      <c r="N113" s="1" t="s">
        <v>261</v>
      </c>
      <c r="O113" s="72" t="s">
        <v>297</v>
      </c>
      <c r="P113" s="1" t="str">
        <f>_xlfn.CONCAT(B113,C113,D113,E113,F113)</f>
        <v>ARAGUATINS 1.1Inverter(MBUS-13)46085,618055555646085,618055555646085,6576388889</v>
      </c>
      <c r="Q113" s="1" t="str">
        <f>_xlfn.CONCAT(H113,I113,J113)</f>
        <v>DAURDE</v>
      </c>
    </row>
    <row r="114" spans="2:17">
      <c r="B114" s="1" t="s">
        <v>305</v>
      </c>
      <c r="C114" s="1" t="s">
        <v>263</v>
      </c>
      <c r="D114" s="52">
        <v>46085.618055555555</v>
      </c>
      <c r="E114" s="52">
        <v>46085.618055555555</v>
      </c>
      <c r="F114" s="52">
        <v>46085.657638888886</v>
      </c>
      <c r="G114" s="53">
        <f t="shared" si="5"/>
        <v>3.9583333331393078E-2</v>
      </c>
      <c r="H114" s="1" t="s">
        <v>257</v>
      </c>
      <c r="J114" s="1" t="s">
        <v>258</v>
      </c>
      <c r="K114" s="1" t="str">
        <f>_xlfn.XLOOKUP(J114,REF!$D$2:$D$12,REF!$E$2:$E$12)</f>
        <v>Rede</v>
      </c>
      <c r="L114" s="1" t="s">
        <v>306</v>
      </c>
      <c r="M114" s="1" t="s">
        <v>260</v>
      </c>
      <c r="N114" s="1" t="s">
        <v>261</v>
      </c>
      <c r="O114" s="72" t="s">
        <v>297</v>
      </c>
      <c r="P114" s="1" t="str">
        <f>_xlfn.CONCAT(B114,C114,D114,E114,F114)</f>
        <v>ARAGUATINS 1.1Inverter(MBUS-14)46085,618055555646085,618055555646085,6576388889</v>
      </c>
      <c r="Q114" s="1" t="str">
        <f>_xlfn.CONCAT(H114,I114,J114)</f>
        <v>DAURDE</v>
      </c>
    </row>
    <row r="115" spans="2:17">
      <c r="B115" s="1" t="s">
        <v>305</v>
      </c>
      <c r="C115" s="1" t="s">
        <v>307</v>
      </c>
      <c r="D115" s="52">
        <v>46085.618055555555</v>
      </c>
      <c r="E115" s="52">
        <v>46085.618055555555</v>
      </c>
      <c r="F115" s="52">
        <v>46085.657638888886</v>
      </c>
      <c r="G115" s="53">
        <f t="shared" si="5"/>
        <v>3.9583333331393078E-2</v>
      </c>
      <c r="H115" s="1" t="s">
        <v>257</v>
      </c>
      <c r="J115" s="1" t="s">
        <v>258</v>
      </c>
      <c r="K115" s="1" t="str">
        <f>_xlfn.XLOOKUP(J115,REF!$D$2:$D$12,REF!$E$2:$E$12)</f>
        <v>Rede</v>
      </c>
      <c r="L115" s="1" t="s">
        <v>306</v>
      </c>
      <c r="M115" s="1" t="s">
        <v>260</v>
      </c>
      <c r="N115" s="1" t="s">
        <v>261</v>
      </c>
      <c r="O115" s="72" t="s">
        <v>297</v>
      </c>
      <c r="P115" s="1" t="str">
        <f>_xlfn.CONCAT(B115,C115,D115,E115,F115)</f>
        <v>ARAGUATINS 1.1Inverter(MBUS-15)46085,618055555646085,618055555646085,6576388889</v>
      </c>
      <c r="Q115" s="1" t="str">
        <f>_xlfn.CONCAT(H115,I115,J115)</f>
        <v>DAURDE</v>
      </c>
    </row>
    <row r="116" spans="2:17">
      <c r="B116" s="1" t="s">
        <v>308</v>
      </c>
      <c r="C116" s="1" t="s">
        <v>256</v>
      </c>
      <c r="D116" s="52">
        <v>46085.618055555555</v>
      </c>
      <c r="E116" s="52">
        <v>46085.618055555555</v>
      </c>
      <c r="F116" s="52">
        <v>46085.657638888886</v>
      </c>
      <c r="G116" s="53">
        <f t="shared" si="5"/>
        <v>3.9583333331393078E-2</v>
      </c>
      <c r="H116" s="1" t="s">
        <v>257</v>
      </c>
      <c r="J116" s="1" t="s">
        <v>258</v>
      </c>
      <c r="K116" s="1" t="str">
        <f>_xlfn.XLOOKUP(J116,REF!$D$2:$D$12,REF!$E$2:$E$12)</f>
        <v>Rede</v>
      </c>
      <c r="L116" s="1" t="s">
        <v>306</v>
      </c>
      <c r="M116" s="1" t="s">
        <v>260</v>
      </c>
      <c r="N116" s="1" t="s">
        <v>261</v>
      </c>
      <c r="O116" s="72" t="s">
        <v>297</v>
      </c>
      <c r="P116" s="1" t="str">
        <f>_xlfn.CONCAT(B116,C116,D116,E116,F116)</f>
        <v>ARAGUATINS 1.2Inverter(MBUS-12)46085,618055555646085,618055555646085,6576388889</v>
      </c>
      <c r="Q116" s="1" t="str">
        <f>_xlfn.CONCAT(H116,I116,J116)</f>
        <v>DAURDE</v>
      </c>
    </row>
    <row r="117" spans="2:17">
      <c r="B117" s="1" t="s">
        <v>308</v>
      </c>
      <c r="C117" s="1" t="s">
        <v>264</v>
      </c>
      <c r="D117" s="52">
        <v>46085.618055555555</v>
      </c>
      <c r="E117" s="52">
        <v>46085.618055555555</v>
      </c>
      <c r="F117" s="52">
        <v>46085.657638888886</v>
      </c>
      <c r="G117" s="53">
        <f t="shared" si="5"/>
        <v>3.9583333331393078E-2</v>
      </c>
      <c r="H117" s="1" t="s">
        <v>257</v>
      </c>
      <c r="J117" s="1" t="s">
        <v>258</v>
      </c>
      <c r="K117" s="1" t="str">
        <f>_xlfn.XLOOKUP(J117,REF!$D$2:$D$12,REF!$E$2:$E$12)</f>
        <v>Rede</v>
      </c>
      <c r="L117" s="1" t="s">
        <v>306</v>
      </c>
      <c r="M117" s="1" t="s">
        <v>260</v>
      </c>
      <c r="N117" s="1" t="s">
        <v>261</v>
      </c>
      <c r="O117" s="72" t="s">
        <v>297</v>
      </c>
      <c r="P117" s="1" t="str">
        <f>_xlfn.CONCAT(B117,C117,D117,E117,F117)</f>
        <v>ARAGUATINS 1.2Inverter(MBUS-13)46085,618055555646085,618055555646085,6576388889</v>
      </c>
      <c r="Q117" s="1" t="str">
        <f>_xlfn.CONCAT(H117,I117,J117)</f>
        <v>DAURDE</v>
      </c>
    </row>
    <row r="118" spans="2:17">
      <c r="B118" s="1" t="s">
        <v>308</v>
      </c>
      <c r="C118" s="1" t="s">
        <v>263</v>
      </c>
      <c r="D118" s="52">
        <v>46085.618055555555</v>
      </c>
      <c r="E118" s="52">
        <v>46085.618055555555</v>
      </c>
      <c r="F118" s="52">
        <v>46085.657638888886</v>
      </c>
      <c r="G118" s="53">
        <f t="shared" si="5"/>
        <v>3.9583333331393078E-2</v>
      </c>
      <c r="H118" s="1" t="s">
        <v>257</v>
      </c>
      <c r="J118" s="1" t="s">
        <v>258</v>
      </c>
      <c r="K118" s="1" t="str">
        <f>_xlfn.XLOOKUP(J118,REF!$D$2:$D$12,REF!$E$2:$E$12)</f>
        <v>Rede</v>
      </c>
      <c r="L118" s="1" t="s">
        <v>306</v>
      </c>
      <c r="M118" s="1" t="s">
        <v>260</v>
      </c>
      <c r="N118" s="1" t="s">
        <v>261</v>
      </c>
      <c r="O118" s="72" t="s">
        <v>297</v>
      </c>
      <c r="P118" s="1" t="str">
        <f>_xlfn.CONCAT(B118,C118,D118,E118,F118)</f>
        <v>ARAGUATINS 1.2Inverter(MBUS-14)46085,618055555646085,618055555646085,6576388889</v>
      </c>
      <c r="Q118" s="1" t="str">
        <f>_xlfn.CONCAT(H118,I118,J118)</f>
        <v>DAURDE</v>
      </c>
    </row>
    <row r="119" spans="2:17">
      <c r="B119" s="1" t="s">
        <v>308</v>
      </c>
      <c r="C119" s="1" t="s">
        <v>307</v>
      </c>
      <c r="D119" s="52">
        <v>46085.618055555555</v>
      </c>
      <c r="E119" s="52">
        <v>46085.618055555555</v>
      </c>
      <c r="F119" s="52">
        <v>46085.657638888886</v>
      </c>
      <c r="G119" s="53">
        <f t="shared" si="5"/>
        <v>3.9583333331393078E-2</v>
      </c>
      <c r="H119" s="1" t="s">
        <v>257</v>
      </c>
      <c r="J119" s="1" t="s">
        <v>258</v>
      </c>
      <c r="K119" s="1" t="str">
        <f>_xlfn.XLOOKUP(J119,REF!$D$2:$D$12,REF!$E$2:$E$12)</f>
        <v>Rede</v>
      </c>
      <c r="L119" s="1" t="s">
        <v>306</v>
      </c>
      <c r="M119" s="1" t="s">
        <v>260</v>
      </c>
      <c r="N119" s="1" t="s">
        <v>261</v>
      </c>
      <c r="O119" s="72" t="s">
        <v>297</v>
      </c>
      <c r="P119" s="1" t="str">
        <f>_xlfn.CONCAT(B119,C119,D119,E119,F119)</f>
        <v>ARAGUATINS 1.2Inverter(MBUS-15)46085,618055555646085,618055555646085,6576388889</v>
      </c>
      <c r="Q119" s="1" t="str">
        <f>_xlfn.CONCAT(H119,I119,J119)</f>
        <v>DAURDE</v>
      </c>
    </row>
    <row r="120" spans="2:17">
      <c r="B120" s="1" t="s">
        <v>309</v>
      </c>
      <c r="C120" s="1" t="s">
        <v>310</v>
      </c>
      <c r="D120" s="52">
        <v>46085.618055555555</v>
      </c>
      <c r="E120" s="52">
        <v>46085.618055555555</v>
      </c>
      <c r="F120" s="52">
        <v>46085.657638888886</v>
      </c>
      <c r="G120" s="53">
        <f t="shared" si="5"/>
        <v>3.9583333331393078E-2</v>
      </c>
      <c r="H120" s="1" t="s">
        <v>257</v>
      </c>
      <c r="J120" s="1" t="s">
        <v>258</v>
      </c>
      <c r="K120" s="1" t="str">
        <f>_xlfn.XLOOKUP(J120,REF!$D$2:$D$12,REF!$E$2:$E$12)</f>
        <v>Rede</v>
      </c>
      <c r="L120" s="1" t="s">
        <v>306</v>
      </c>
      <c r="M120" s="1" t="s">
        <v>260</v>
      </c>
      <c r="N120" s="1" t="s">
        <v>261</v>
      </c>
      <c r="O120" s="72" t="s">
        <v>297</v>
      </c>
      <c r="P120" s="1" t="str">
        <f>_xlfn.CONCAT(B120,C120,D120,E120,F120)</f>
        <v>ARAGUATINS 1.3Inverter(MBUS-20)46085,618055555646085,618055555646085,6576388889</v>
      </c>
      <c r="Q120" s="1" t="str">
        <f>_xlfn.CONCAT(H120,I120,J120)</f>
        <v>DAURDE</v>
      </c>
    </row>
    <row r="121" spans="2:17">
      <c r="B121" s="1" t="s">
        <v>309</v>
      </c>
      <c r="C121" s="1" t="s">
        <v>247</v>
      </c>
      <c r="D121" s="52">
        <v>46085.618055555555</v>
      </c>
      <c r="E121" s="52">
        <v>46085.618055555555</v>
      </c>
      <c r="F121" s="52">
        <v>46085.657638888886</v>
      </c>
      <c r="G121" s="53">
        <f t="shared" si="5"/>
        <v>3.9583333331393078E-2</v>
      </c>
      <c r="H121" s="1" t="s">
        <v>257</v>
      </c>
      <c r="J121" s="1" t="s">
        <v>258</v>
      </c>
      <c r="K121" s="1" t="str">
        <f>_xlfn.XLOOKUP(J121,REF!$D$2:$D$12,REF!$E$2:$E$12)</f>
        <v>Rede</v>
      </c>
      <c r="L121" s="1" t="s">
        <v>306</v>
      </c>
      <c r="M121" s="1" t="s">
        <v>260</v>
      </c>
      <c r="N121" s="1" t="s">
        <v>261</v>
      </c>
      <c r="O121" s="72" t="s">
        <v>297</v>
      </c>
      <c r="P121" s="1" t="str">
        <f>_xlfn.CONCAT(B121,C121,D121,E121,F121)</f>
        <v>ARAGUATINS 1.3Inverter(MBUS-1)46085,618055555646085,618055555646085,6576388889</v>
      </c>
      <c r="Q121" s="1" t="str">
        <f>_xlfn.CONCAT(H121,I121,J121)</f>
        <v>DAURDE</v>
      </c>
    </row>
    <row r="122" spans="2:17">
      <c r="B122" s="1" t="s">
        <v>311</v>
      </c>
      <c r="C122" s="1" t="s">
        <v>256</v>
      </c>
      <c r="D122" s="52">
        <v>46085.618055555555</v>
      </c>
      <c r="E122" s="52">
        <v>46085.618055555555</v>
      </c>
      <c r="F122" s="52">
        <v>46085.657638888886</v>
      </c>
      <c r="G122" s="53">
        <f t="shared" si="5"/>
        <v>3.9583333331393078E-2</v>
      </c>
      <c r="H122" s="1" t="s">
        <v>257</v>
      </c>
      <c r="J122" s="1" t="s">
        <v>258</v>
      </c>
      <c r="K122" s="1" t="str">
        <f>_xlfn.XLOOKUP(J122,REF!$D$2:$D$12,REF!$E$2:$E$12)</f>
        <v>Rede</v>
      </c>
      <c r="L122" s="1" t="s">
        <v>306</v>
      </c>
      <c r="M122" s="1" t="s">
        <v>260</v>
      </c>
      <c r="N122" s="1" t="s">
        <v>261</v>
      </c>
      <c r="O122" s="72" t="s">
        <v>297</v>
      </c>
      <c r="P122" s="1" t="str">
        <f>_xlfn.CONCAT(B122,C122,D122,E122,F122)</f>
        <v>ARAGUATINS 2.1Inverter(MBUS-12)46085,618055555646085,618055555646085,6576388889</v>
      </c>
      <c r="Q122" s="1" t="str">
        <f>_xlfn.CONCAT(H122,I122,J122)</f>
        <v>DAURDE</v>
      </c>
    </row>
    <row r="123" spans="2:17">
      <c r="B123" s="1" t="s">
        <v>311</v>
      </c>
      <c r="C123" s="1" t="s">
        <v>307</v>
      </c>
      <c r="D123" s="52">
        <v>46085.618055555555</v>
      </c>
      <c r="E123" s="52">
        <v>46085.618055555555</v>
      </c>
      <c r="F123" s="52">
        <v>46085.657638888886</v>
      </c>
      <c r="G123" s="53">
        <f t="shared" si="5"/>
        <v>3.9583333331393078E-2</v>
      </c>
      <c r="H123" s="1" t="s">
        <v>257</v>
      </c>
      <c r="J123" s="1" t="s">
        <v>258</v>
      </c>
      <c r="K123" s="1" t="str">
        <f>_xlfn.XLOOKUP(J123,REF!$D$2:$D$12,REF!$E$2:$E$12)</f>
        <v>Rede</v>
      </c>
      <c r="L123" s="1" t="s">
        <v>306</v>
      </c>
      <c r="M123" s="1" t="s">
        <v>260</v>
      </c>
      <c r="N123" s="1" t="s">
        <v>261</v>
      </c>
      <c r="O123" s="72" t="s">
        <v>297</v>
      </c>
      <c r="P123" s="1" t="str">
        <f>_xlfn.CONCAT(B123,C123,D123,E123,F123)</f>
        <v>ARAGUATINS 2.1Inverter(MBUS-15)46085,618055555646085,618055555646085,6576388889</v>
      </c>
      <c r="Q123" s="1" t="str">
        <f>_xlfn.CONCAT(H123,I123,J123)</f>
        <v>DAURDE</v>
      </c>
    </row>
    <row r="124" spans="2:17">
      <c r="B124" s="1" t="s">
        <v>311</v>
      </c>
      <c r="C124" s="1" t="s">
        <v>263</v>
      </c>
      <c r="D124" s="52">
        <v>46085.618055555555</v>
      </c>
      <c r="E124" s="52">
        <v>46085.618055555555</v>
      </c>
      <c r="F124" s="52">
        <v>46085.657638888886</v>
      </c>
      <c r="G124" s="53">
        <f t="shared" si="5"/>
        <v>3.9583333331393078E-2</v>
      </c>
      <c r="H124" s="1" t="s">
        <v>257</v>
      </c>
      <c r="J124" s="1" t="s">
        <v>258</v>
      </c>
      <c r="K124" s="1" t="str">
        <f>_xlfn.XLOOKUP(J124,REF!$D$2:$D$12,REF!$E$2:$E$12)</f>
        <v>Rede</v>
      </c>
      <c r="L124" s="1" t="s">
        <v>306</v>
      </c>
      <c r="M124" s="1" t="s">
        <v>260</v>
      </c>
      <c r="N124" s="1" t="s">
        <v>261</v>
      </c>
      <c r="O124" s="72" t="s">
        <v>297</v>
      </c>
      <c r="P124" s="1" t="str">
        <f>_xlfn.CONCAT(B124,C124,D124,E124,F124)</f>
        <v>ARAGUATINS 2.1Inverter(MBUS-14)46085,618055555646085,618055555646085,6576388889</v>
      </c>
      <c r="Q124" s="1" t="str">
        <f>_xlfn.CONCAT(H124,I124,J124)</f>
        <v>DAURDE</v>
      </c>
    </row>
    <row r="125" spans="2:17">
      <c r="B125" s="1" t="s">
        <v>311</v>
      </c>
      <c r="C125" s="1" t="s">
        <v>247</v>
      </c>
      <c r="D125" s="52">
        <v>46085.618055555555</v>
      </c>
      <c r="E125" s="52">
        <v>46085.618055555555</v>
      </c>
      <c r="F125" s="52">
        <v>46085.657638888886</v>
      </c>
      <c r="G125" s="53">
        <f t="shared" si="5"/>
        <v>3.9583333331393078E-2</v>
      </c>
      <c r="H125" s="1" t="s">
        <v>257</v>
      </c>
      <c r="J125" s="1" t="s">
        <v>258</v>
      </c>
      <c r="K125" s="1" t="str">
        <f>_xlfn.XLOOKUP(J125,REF!$D$2:$D$12,REF!$E$2:$E$12)</f>
        <v>Rede</v>
      </c>
      <c r="L125" s="1" t="s">
        <v>306</v>
      </c>
      <c r="M125" s="1" t="s">
        <v>260</v>
      </c>
      <c r="N125" s="1" t="s">
        <v>261</v>
      </c>
      <c r="O125" s="72" t="s">
        <v>297</v>
      </c>
      <c r="P125" s="1" t="str">
        <f>_xlfn.CONCAT(B125,C125,D125,E125,F125)</f>
        <v>ARAGUATINS 2.1Inverter(MBUS-1)46085,618055555646085,618055555646085,6576388889</v>
      </c>
      <c r="Q125" s="1" t="str">
        <f>_xlfn.CONCAT(H125,I125,J125)</f>
        <v>DAURDE</v>
      </c>
    </row>
    <row r="126" spans="2:17">
      <c r="B126" s="1" t="s">
        <v>312</v>
      </c>
      <c r="C126" s="1" t="s">
        <v>307</v>
      </c>
      <c r="D126" s="52">
        <v>46085.618055555555</v>
      </c>
      <c r="E126" s="52">
        <v>46085.618055555555</v>
      </c>
      <c r="F126" s="52">
        <v>46085.657638888886</v>
      </c>
      <c r="G126" s="53">
        <f t="shared" si="5"/>
        <v>3.9583333331393078E-2</v>
      </c>
      <c r="H126" s="1" t="s">
        <v>257</v>
      </c>
      <c r="J126" s="1" t="s">
        <v>258</v>
      </c>
      <c r="K126" s="1" t="str">
        <f>_xlfn.XLOOKUP(J126,REF!$D$2:$D$12,REF!$E$2:$E$12)</f>
        <v>Rede</v>
      </c>
      <c r="L126" s="1" t="s">
        <v>306</v>
      </c>
      <c r="M126" s="1" t="s">
        <v>260</v>
      </c>
      <c r="N126" s="1" t="s">
        <v>261</v>
      </c>
      <c r="O126" s="72" t="s">
        <v>297</v>
      </c>
      <c r="P126" s="1" t="str">
        <f>_xlfn.CONCAT(B126,C126,D126,E126,F126)</f>
        <v>ARAGUATINS 2.2Inverter(MBUS-15)46085,618055555646085,618055555646085,6576388889</v>
      </c>
      <c r="Q126" s="1" t="str">
        <f>_xlfn.CONCAT(H126,I126,J126)</f>
        <v>DAURDE</v>
      </c>
    </row>
    <row r="127" spans="2:17">
      <c r="B127" s="1" t="s">
        <v>312</v>
      </c>
      <c r="C127" s="1" t="s">
        <v>264</v>
      </c>
      <c r="D127" s="52">
        <v>46085.618055555555</v>
      </c>
      <c r="E127" s="52">
        <v>46085.618055555555</v>
      </c>
      <c r="F127" s="52">
        <v>46085.657638888886</v>
      </c>
      <c r="G127" s="53">
        <f t="shared" si="5"/>
        <v>3.9583333331393078E-2</v>
      </c>
      <c r="H127" s="1" t="s">
        <v>257</v>
      </c>
      <c r="J127" s="1" t="s">
        <v>258</v>
      </c>
      <c r="K127" s="1" t="str">
        <f>_xlfn.XLOOKUP(J127,REF!$D$2:$D$12,REF!$E$2:$E$12)</f>
        <v>Rede</v>
      </c>
      <c r="L127" s="1" t="s">
        <v>306</v>
      </c>
      <c r="M127" s="1" t="s">
        <v>260</v>
      </c>
      <c r="N127" s="1" t="s">
        <v>261</v>
      </c>
      <c r="O127" s="72" t="s">
        <v>297</v>
      </c>
      <c r="P127" s="1" t="str">
        <f>_xlfn.CONCAT(B127,C127,D127,E127,F127)</f>
        <v>ARAGUATINS 2.2Inverter(MBUS-13)46085,618055555646085,618055555646085,6576388889</v>
      </c>
      <c r="Q127" s="1" t="str">
        <f>_xlfn.CONCAT(H127,I127,J127)</f>
        <v>DAURDE</v>
      </c>
    </row>
    <row r="128" spans="2:17">
      <c r="B128" s="1" t="s">
        <v>312</v>
      </c>
      <c r="C128" s="1" t="s">
        <v>263</v>
      </c>
      <c r="D128" s="52">
        <v>46085.618055555555</v>
      </c>
      <c r="E128" s="52">
        <v>46085.618055555555</v>
      </c>
      <c r="F128" s="52">
        <v>46085.657638888886</v>
      </c>
      <c r="G128" s="53">
        <f t="shared" ref="G128:G176" si="6">F128-E128</f>
        <v>3.9583333331393078E-2</v>
      </c>
      <c r="H128" s="1" t="s">
        <v>257</v>
      </c>
      <c r="J128" s="1" t="s">
        <v>258</v>
      </c>
      <c r="K128" s="1" t="str">
        <f>_xlfn.XLOOKUP(J128,REF!$D$2:$D$12,REF!$E$2:$E$12)</f>
        <v>Rede</v>
      </c>
      <c r="L128" s="1" t="s">
        <v>306</v>
      </c>
      <c r="M128" s="1" t="s">
        <v>260</v>
      </c>
      <c r="N128" s="1" t="s">
        <v>261</v>
      </c>
      <c r="O128" s="72" t="s">
        <v>297</v>
      </c>
      <c r="P128" s="1" t="str">
        <f>_xlfn.CONCAT(B128,C128,D128,E128,F128)</f>
        <v>ARAGUATINS 2.2Inverter(MBUS-14)46085,618055555646085,618055555646085,6576388889</v>
      </c>
      <c r="Q128" s="1" t="str">
        <f>_xlfn.CONCAT(H128,I128,J128)</f>
        <v>DAURDE</v>
      </c>
    </row>
    <row r="129" spans="1:17">
      <c r="B129" s="1" t="s">
        <v>312</v>
      </c>
      <c r="C129" s="1" t="s">
        <v>256</v>
      </c>
      <c r="D129" s="52">
        <v>46085.618055555555</v>
      </c>
      <c r="E129" s="52">
        <v>46085.618055555555</v>
      </c>
      <c r="F129" s="52">
        <v>46085.657638888886</v>
      </c>
      <c r="G129" s="53">
        <f t="shared" si="6"/>
        <v>3.9583333331393078E-2</v>
      </c>
      <c r="H129" s="1" t="s">
        <v>257</v>
      </c>
      <c r="J129" s="1" t="s">
        <v>258</v>
      </c>
      <c r="K129" s="1" t="str">
        <f>_xlfn.XLOOKUP(J129,REF!$D$2:$D$12,REF!$E$2:$E$12)</f>
        <v>Rede</v>
      </c>
      <c r="L129" s="1" t="s">
        <v>306</v>
      </c>
      <c r="M129" s="1" t="s">
        <v>260</v>
      </c>
      <c r="N129" s="1" t="s">
        <v>261</v>
      </c>
      <c r="O129" s="72" t="s">
        <v>297</v>
      </c>
      <c r="P129" s="1" t="str">
        <f>_xlfn.CONCAT(B129,C129,D129,E129,F129)</f>
        <v>ARAGUATINS 2.2Inverter(MBUS-12)46085,618055555646085,618055555646085,6576388889</v>
      </c>
      <c r="Q129" s="1" t="str">
        <f>_xlfn.CONCAT(H129,I129,J129)</f>
        <v>DAURDE</v>
      </c>
    </row>
    <row r="130" spans="1:17">
      <c r="B130" s="1" t="s">
        <v>313</v>
      </c>
      <c r="C130" s="1" t="s">
        <v>256</v>
      </c>
      <c r="D130" s="52">
        <v>46085.618055555555</v>
      </c>
      <c r="E130" s="52">
        <v>46085.618055555555</v>
      </c>
      <c r="F130" s="52">
        <v>46085.657638888886</v>
      </c>
      <c r="G130" s="53">
        <f t="shared" si="6"/>
        <v>3.9583333331393078E-2</v>
      </c>
      <c r="H130" s="1" t="s">
        <v>257</v>
      </c>
      <c r="J130" s="1" t="s">
        <v>258</v>
      </c>
      <c r="K130" s="1" t="str">
        <f>_xlfn.XLOOKUP(J130,REF!$D$2:$D$12,REF!$E$2:$E$12)</f>
        <v>Rede</v>
      </c>
      <c r="L130" s="1" t="s">
        <v>306</v>
      </c>
      <c r="M130" s="1" t="s">
        <v>260</v>
      </c>
      <c r="N130" s="1" t="s">
        <v>261</v>
      </c>
      <c r="O130" s="72" t="s">
        <v>297</v>
      </c>
      <c r="P130" s="1" t="str">
        <f>_xlfn.CONCAT(B130,C130,D130,E130,F130)</f>
        <v>ARAGUATINS 2.3Inverter(MBUS-12)46085,618055555646085,618055555646085,6576388889</v>
      </c>
      <c r="Q130" s="1" t="str">
        <f>_xlfn.CONCAT(H130,I130,J130)</f>
        <v>DAURDE</v>
      </c>
    </row>
    <row r="131" spans="1:17" s="75" customFormat="1">
      <c r="A131" s="2"/>
      <c r="B131" s="66" t="s">
        <v>313</v>
      </c>
      <c r="C131" s="66" t="s">
        <v>264</v>
      </c>
      <c r="D131" s="52">
        <v>46085.618055555555</v>
      </c>
      <c r="E131" s="52">
        <v>46085.618055555555</v>
      </c>
      <c r="F131" s="52">
        <v>46085.657638888886</v>
      </c>
      <c r="G131" s="53">
        <f t="shared" si="6"/>
        <v>3.9583333331393078E-2</v>
      </c>
      <c r="H131" s="1" t="s">
        <v>257</v>
      </c>
      <c r="I131" s="1"/>
      <c r="J131" s="1" t="s">
        <v>258</v>
      </c>
      <c r="K131" s="1" t="str">
        <f>_xlfn.XLOOKUP(J131,REF!$D$2:$D$12,REF!$E$2:$E$12)</f>
        <v>Rede</v>
      </c>
      <c r="L131" s="1" t="s">
        <v>306</v>
      </c>
      <c r="M131" s="1" t="s">
        <v>260</v>
      </c>
      <c r="N131" s="1" t="s">
        <v>261</v>
      </c>
      <c r="O131" s="72" t="s">
        <v>297</v>
      </c>
      <c r="P131" s="66" t="str">
        <f>_xlfn.CONCAT(B131,C131,D131,E131,F131)</f>
        <v>ARAGUATINS 2.3Inverter(MBUS-13)46085,618055555646085,618055555646085,6576388889</v>
      </c>
      <c r="Q131" s="66" t="str">
        <f>_xlfn.CONCAT(H131,I131,J131)</f>
        <v>DAURDE</v>
      </c>
    </row>
    <row r="132" spans="1:17">
      <c r="B132" s="1" t="s">
        <v>299</v>
      </c>
      <c r="C132" s="1" t="s">
        <v>300</v>
      </c>
      <c r="D132" s="52">
        <v>46086.475694444445</v>
      </c>
      <c r="E132" s="52">
        <v>46086.475694444445</v>
      </c>
      <c r="F132" s="52">
        <v>46086.71875</v>
      </c>
      <c r="G132" s="53">
        <f t="shared" si="6"/>
        <v>0.24305555555474712</v>
      </c>
      <c r="H132" s="1" t="s">
        <v>257</v>
      </c>
      <c r="J132" s="1" t="s">
        <v>258</v>
      </c>
      <c r="K132" s="1" t="str">
        <f>_xlfn.XLOOKUP(J132,REF!$D$2:$D$12,REF!$E$2:$E$12)</f>
        <v>Rede</v>
      </c>
      <c r="L132" s="1" t="s">
        <v>259</v>
      </c>
      <c r="M132" s="1" t="s">
        <v>260</v>
      </c>
      <c r="N132" s="1" t="s">
        <v>261</v>
      </c>
      <c r="O132" s="1" t="s">
        <v>334</v>
      </c>
      <c r="P132" s="1" t="str">
        <f>_xlfn.CONCAT(B132,C132,D132,E132,F132)</f>
        <v>BC Panama1.1ITAPOAN 001 (COM1-001)_001_00146086,475694444446086,475694444446086,71875</v>
      </c>
      <c r="Q132" s="1" t="str">
        <f>_xlfn.CONCAT(H132,I132,J132)</f>
        <v>DAURDE</v>
      </c>
    </row>
    <row r="133" spans="1:17">
      <c r="B133" s="1" t="s">
        <v>299</v>
      </c>
      <c r="C133" s="1" t="s">
        <v>303</v>
      </c>
      <c r="D133" s="52">
        <v>46086.475694444445</v>
      </c>
      <c r="E133" s="52">
        <v>46086.475694444445</v>
      </c>
      <c r="F133" s="52">
        <v>46086.71875</v>
      </c>
      <c r="G133" s="53">
        <f t="shared" si="6"/>
        <v>0.24305555555474712</v>
      </c>
      <c r="H133" s="1" t="s">
        <v>257</v>
      </c>
      <c r="J133" s="1" t="s">
        <v>258</v>
      </c>
      <c r="K133" s="1" t="str">
        <f>_xlfn.XLOOKUP(J133,REF!$D$2:$D$12,REF!$E$2:$E$12)</f>
        <v>Rede</v>
      </c>
      <c r="L133" s="1" t="s">
        <v>259</v>
      </c>
      <c r="M133" s="1" t="s">
        <v>260</v>
      </c>
      <c r="N133" s="1" t="s">
        <v>261</v>
      </c>
      <c r="O133" s="1" t="s">
        <v>334</v>
      </c>
      <c r="P133" s="1" t="str">
        <f>_xlfn.CONCAT(B133,C133,D133,E133,F133)</f>
        <v>BC Panama1.1CEREAL_00246086,475694444446086,475694444446086,71875</v>
      </c>
      <c r="Q133" s="1" t="str">
        <f>_xlfn.CONCAT(H133,I133,J133)</f>
        <v>DAURDE</v>
      </c>
    </row>
    <row r="134" spans="1:17">
      <c r="B134" s="1" t="s">
        <v>299</v>
      </c>
      <c r="C134" s="1" t="s">
        <v>304</v>
      </c>
      <c r="D134" s="52">
        <v>46086.475694444445</v>
      </c>
      <c r="E134" s="52">
        <v>46086.475694444445</v>
      </c>
      <c r="F134" s="52">
        <v>46086.71875</v>
      </c>
      <c r="G134" s="53">
        <f t="shared" si="6"/>
        <v>0.24305555555474712</v>
      </c>
      <c r="H134" s="1" t="s">
        <v>257</v>
      </c>
      <c r="J134" s="1" t="s">
        <v>258</v>
      </c>
      <c r="K134" s="1" t="str">
        <f>_xlfn.XLOOKUP(J134,REF!$D$2:$D$12,REF!$E$2:$E$12)</f>
        <v>Rede</v>
      </c>
      <c r="L134" s="1" t="s">
        <v>259</v>
      </c>
      <c r="M134" s="1" t="s">
        <v>260</v>
      </c>
      <c r="N134" s="1" t="s">
        <v>261</v>
      </c>
      <c r="O134" s="1" t="s">
        <v>334</v>
      </c>
      <c r="P134" s="1" t="str">
        <f>_xlfn.CONCAT(B134,C134,D134,E134,F134)</f>
        <v>BC Panama1.1ITAPOAN_00346086,475694444446086,475694444446086,71875</v>
      </c>
      <c r="Q134" s="1" t="str">
        <f>_xlfn.CONCAT(H134,I134,J134)</f>
        <v>DAURDE</v>
      </c>
    </row>
    <row r="135" spans="1:17">
      <c r="B135" s="1" t="s">
        <v>343</v>
      </c>
      <c r="C135" s="1" t="s">
        <v>344</v>
      </c>
      <c r="D135" s="52">
        <v>46086.475694444445</v>
      </c>
      <c r="E135" s="52">
        <v>46086.475694444445</v>
      </c>
      <c r="F135" s="52">
        <v>46086.71875</v>
      </c>
      <c r="G135" s="53">
        <f t="shared" si="6"/>
        <v>0.24305555555474712</v>
      </c>
      <c r="H135" s="1" t="s">
        <v>257</v>
      </c>
      <c r="J135" s="1" t="s">
        <v>258</v>
      </c>
      <c r="K135" s="1" t="str">
        <f>_xlfn.XLOOKUP(J135,REF!$D$2:$D$12,REF!$E$2:$E$12)</f>
        <v>Rede</v>
      </c>
      <c r="L135" s="1" t="s">
        <v>259</v>
      </c>
      <c r="M135" s="1" t="s">
        <v>260</v>
      </c>
      <c r="N135" s="1" t="s">
        <v>261</v>
      </c>
      <c r="O135" s="1" t="s">
        <v>334</v>
      </c>
      <c r="P135" s="1" t="str">
        <f>_xlfn.CONCAT(B135,C135,D135,E135,F135)</f>
        <v>BC Panama1.2ART_00446086,475694444446086,475694444446086,71875</v>
      </c>
      <c r="Q135" s="1" t="str">
        <f>_xlfn.CONCAT(H135,I135,J135)</f>
        <v>DAURDE</v>
      </c>
    </row>
    <row r="136" spans="1:17">
      <c r="B136" s="1" t="s">
        <v>343</v>
      </c>
      <c r="C136" s="1" t="s">
        <v>345</v>
      </c>
      <c r="D136" s="52">
        <v>46086.475694444445</v>
      </c>
      <c r="E136" s="52">
        <v>46086.475694444445</v>
      </c>
      <c r="F136" s="52">
        <v>46086.71875</v>
      </c>
      <c r="G136" s="53">
        <f t="shared" si="6"/>
        <v>0.24305555555474712</v>
      </c>
      <c r="H136" s="1" t="s">
        <v>257</v>
      </c>
      <c r="J136" s="1" t="s">
        <v>258</v>
      </c>
      <c r="K136" s="1" t="str">
        <f>_xlfn.XLOOKUP(J136,REF!$D$2:$D$12,REF!$E$2:$E$12)</f>
        <v>Rede</v>
      </c>
      <c r="L136" s="1" t="s">
        <v>259</v>
      </c>
      <c r="M136" s="1" t="s">
        <v>260</v>
      </c>
      <c r="N136" s="1" t="s">
        <v>261</v>
      </c>
      <c r="O136" s="1" t="s">
        <v>334</v>
      </c>
      <c r="P136" s="1" t="str">
        <f>_xlfn.CONCAT(B136,C136,D136,E136,F136)</f>
        <v>BC Panama1.2COOGED_00546086,475694444446086,475694444446086,71875</v>
      </c>
      <c r="Q136" s="1" t="str">
        <f>_xlfn.CONCAT(H136,I136,J136)</f>
        <v>DAURDE</v>
      </c>
    </row>
    <row r="137" spans="1:17">
      <c r="B137" s="1" t="s">
        <v>343</v>
      </c>
      <c r="C137" s="1" t="s">
        <v>346</v>
      </c>
      <c r="D137" s="52">
        <v>46086.475694444445</v>
      </c>
      <c r="E137" s="52">
        <v>46086.475694444445</v>
      </c>
      <c r="F137" s="52">
        <v>46086.71875</v>
      </c>
      <c r="G137" s="53">
        <f t="shared" si="6"/>
        <v>0.24305555555474712</v>
      </c>
      <c r="H137" s="1" t="s">
        <v>257</v>
      </c>
      <c r="J137" s="1" t="s">
        <v>258</v>
      </c>
      <c r="K137" s="1" t="str">
        <f>_xlfn.XLOOKUP(J137,REF!$D$2:$D$12,REF!$E$2:$E$12)</f>
        <v>Rede</v>
      </c>
      <c r="L137" s="1" t="s">
        <v>259</v>
      </c>
      <c r="M137" s="1" t="s">
        <v>260</v>
      </c>
      <c r="N137" s="1" t="s">
        <v>261</v>
      </c>
      <c r="O137" s="1" t="s">
        <v>334</v>
      </c>
      <c r="P137" s="1" t="str">
        <f>_xlfn.CONCAT(B137,C137,D137,E137,F137)</f>
        <v>BC Panama1.2ART_00646086,475694444446086,475694444446086,71875</v>
      </c>
      <c r="Q137" s="1" t="str">
        <f>_xlfn.CONCAT(H137,I137,J137)</f>
        <v>DAURDE</v>
      </c>
    </row>
    <row r="138" spans="1:17">
      <c r="B138" s="1" t="s">
        <v>343</v>
      </c>
      <c r="C138" s="1" t="s">
        <v>347</v>
      </c>
      <c r="D138" s="52">
        <v>46086.475694444445</v>
      </c>
      <c r="E138" s="52">
        <v>46086.475694444445</v>
      </c>
      <c r="F138" s="52">
        <v>46086.71875</v>
      </c>
      <c r="G138" s="53">
        <f t="shared" si="6"/>
        <v>0.24305555555474712</v>
      </c>
      <c r="H138" s="1" t="s">
        <v>257</v>
      </c>
      <c r="J138" s="1" t="s">
        <v>258</v>
      </c>
      <c r="K138" s="1" t="str">
        <f>_xlfn.XLOOKUP(J138,REF!$D$2:$D$12,REF!$E$2:$E$12)</f>
        <v>Rede</v>
      </c>
      <c r="L138" s="1" t="s">
        <v>259</v>
      </c>
      <c r="M138" s="1" t="s">
        <v>260</v>
      </c>
      <c r="N138" s="1" t="s">
        <v>261</v>
      </c>
      <c r="O138" s="1" t="s">
        <v>334</v>
      </c>
      <c r="P138" s="1" t="str">
        <f>_xlfn.CONCAT(B138,C138,D138,E138,F138)</f>
        <v>BC Panama1.2RADIO_00746086,475694444446086,475694444446086,71875</v>
      </c>
      <c r="Q138" s="1" t="str">
        <f>_xlfn.CONCAT(H138,I138,J138)</f>
        <v>DAURDE</v>
      </c>
    </row>
    <row r="139" spans="1:17">
      <c r="B139" s="1" t="s">
        <v>327</v>
      </c>
      <c r="C139" s="1" t="s">
        <v>247</v>
      </c>
      <c r="D139" s="52">
        <v>46086.458333333336</v>
      </c>
      <c r="E139" s="52">
        <v>46086.458333333336</v>
      </c>
      <c r="F139" s="52">
        <v>46086.652777777781</v>
      </c>
      <c r="G139" s="53">
        <f t="shared" si="6"/>
        <v>0.19444444444525288</v>
      </c>
      <c r="H139" s="1" t="s">
        <v>257</v>
      </c>
      <c r="J139" s="1" t="s">
        <v>258</v>
      </c>
      <c r="K139" s="1" t="str">
        <f>_xlfn.XLOOKUP(J139,REF!$D$2:$D$12,REF!$E$2:$E$12)</f>
        <v>Rede</v>
      </c>
      <c r="L139" s="1" t="s">
        <v>348</v>
      </c>
      <c r="M139" s="1" t="s">
        <v>260</v>
      </c>
      <c r="N139" s="1" t="s">
        <v>261</v>
      </c>
      <c r="O139" s="72" t="s">
        <v>297</v>
      </c>
      <c r="P139" s="1" t="str">
        <f>_xlfn.CONCAT(B139,C139,D139,E139,F139)</f>
        <v>BC Aracu5.1Inverter(MBUS-1)46086,458333333346086,458333333346086,6527777778</v>
      </c>
      <c r="Q139" s="1" t="str">
        <f>_xlfn.CONCAT(H139,I139,J139)</f>
        <v>DAURDE</v>
      </c>
    </row>
    <row r="140" spans="1:17">
      <c r="B140" s="1" t="s">
        <v>328</v>
      </c>
      <c r="C140" s="1" t="s">
        <v>247</v>
      </c>
      <c r="D140" s="52">
        <v>46086.458333333336</v>
      </c>
      <c r="E140" s="52">
        <v>46086.458333333336</v>
      </c>
      <c r="F140" s="52">
        <v>46086.652777777781</v>
      </c>
      <c r="G140" s="53">
        <f t="shared" si="6"/>
        <v>0.19444444444525288</v>
      </c>
      <c r="H140" s="1" t="s">
        <v>257</v>
      </c>
      <c r="J140" s="1" t="s">
        <v>258</v>
      </c>
      <c r="K140" s="1" t="str">
        <f>_xlfn.XLOOKUP(J140,REF!$D$2:$D$12,REF!$E$2:$E$12)</f>
        <v>Rede</v>
      </c>
      <c r="L140" s="1" t="s">
        <v>348</v>
      </c>
      <c r="M140" s="1" t="s">
        <v>260</v>
      </c>
      <c r="N140" s="1" t="s">
        <v>261</v>
      </c>
      <c r="O140" s="72" t="s">
        <v>297</v>
      </c>
      <c r="P140" s="1" t="str">
        <f>_xlfn.CONCAT(B140,C140,D140,E140,F140)</f>
        <v>BC Aracu5.3Inverter(MBUS-1)46086,458333333346086,458333333346086,6527777778</v>
      </c>
      <c r="Q140" s="1" t="str">
        <f>_xlfn.CONCAT(H140,I140,J140)</f>
        <v>DAURDE</v>
      </c>
    </row>
    <row r="141" spans="1:17">
      <c r="B141" s="1" t="s">
        <v>329</v>
      </c>
      <c r="C141" s="1" t="s">
        <v>247</v>
      </c>
      <c r="D141" s="52">
        <v>46086.458333333336</v>
      </c>
      <c r="E141" s="52">
        <v>46086.458333333336</v>
      </c>
      <c r="F141" s="52">
        <v>46086.652777777781</v>
      </c>
      <c r="G141" s="53">
        <f t="shared" si="6"/>
        <v>0.19444444444525288</v>
      </c>
      <c r="H141" s="1" t="s">
        <v>257</v>
      </c>
      <c r="J141" s="1" t="s">
        <v>258</v>
      </c>
      <c r="K141" s="1" t="str">
        <f>_xlfn.XLOOKUP(J141,REF!$D$2:$D$12,REF!$E$2:$E$12)</f>
        <v>Rede</v>
      </c>
      <c r="L141" s="1" t="s">
        <v>348</v>
      </c>
      <c r="M141" s="1" t="s">
        <v>260</v>
      </c>
      <c r="N141" s="1" t="s">
        <v>261</v>
      </c>
      <c r="O141" s="72" t="s">
        <v>297</v>
      </c>
      <c r="P141" s="1" t="str">
        <f>_xlfn.CONCAT(B141,C141,D141,E141,F141)</f>
        <v>BC Aracu5.4Inverter(MBUS-1)46086,458333333346086,458333333346086,6527777778</v>
      </c>
      <c r="Q141" s="1" t="str">
        <f>_xlfn.CONCAT(H141,I141,J141)</f>
        <v>DAURDE</v>
      </c>
    </row>
    <row r="142" spans="1:17">
      <c r="B142" s="1" t="s">
        <v>349</v>
      </c>
      <c r="C142" s="1" t="s">
        <v>350</v>
      </c>
      <c r="D142" s="52">
        <v>46086.4375</v>
      </c>
      <c r="E142" s="52">
        <v>46086.4375</v>
      </c>
      <c r="F142" s="52">
        <v>46086.607638888891</v>
      </c>
      <c r="G142" s="53">
        <f t="shared" si="6"/>
        <v>0.17013888889050577</v>
      </c>
      <c r="H142" s="1" t="s">
        <v>257</v>
      </c>
      <c r="J142" s="1" t="s">
        <v>258</v>
      </c>
      <c r="K142" s="1" t="str">
        <f>_xlfn.XLOOKUP(J142,REF!$D$2:$D$12,REF!$E$2:$E$12)</f>
        <v>Rede</v>
      </c>
      <c r="L142" s="1" t="s">
        <v>351</v>
      </c>
      <c r="M142" s="1" t="s">
        <v>260</v>
      </c>
      <c r="N142" s="1" t="s">
        <v>261</v>
      </c>
      <c r="O142" s="2" t="s">
        <v>352</v>
      </c>
      <c r="P142" s="1" t="str">
        <f>_xlfn.CONCAT(B142,C142,D142,E142,F142)</f>
        <v>BC Vazante1.2Inverter 1646086,437546086,437546086,6076388889</v>
      </c>
      <c r="Q142" s="1" t="str">
        <f>_xlfn.CONCAT(H142,I142,J142)</f>
        <v>DAURDE</v>
      </c>
    </row>
    <row r="143" spans="1:17">
      <c r="B143" s="1" t="s">
        <v>305</v>
      </c>
      <c r="C143" s="1" t="s">
        <v>256</v>
      </c>
      <c r="D143" s="52">
        <v>46086.628472222219</v>
      </c>
      <c r="E143" s="52">
        <v>46086.628472222219</v>
      </c>
      <c r="F143" s="52">
        <v>46086.734722222223</v>
      </c>
      <c r="G143" s="53">
        <f t="shared" si="6"/>
        <v>0.10625000000436557</v>
      </c>
      <c r="H143" s="1" t="s">
        <v>257</v>
      </c>
      <c r="J143" s="1" t="s">
        <v>258</v>
      </c>
      <c r="K143" s="1" t="str">
        <f>_xlfn.XLOOKUP(J143,REF!$D$2:$D$12,REF!$E$2:$E$12)</f>
        <v>Rede</v>
      </c>
      <c r="L143" s="1" t="s">
        <v>353</v>
      </c>
      <c r="M143" s="1" t="s">
        <v>260</v>
      </c>
      <c r="N143" s="1" t="s">
        <v>261</v>
      </c>
      <c r="O143" s="72" t="s">
        <v>297</v>
      </c>
      <c r="P143" s="1" t="str">
        <f>_xlfn.CONCAT(B143,C143,D143,E143,F143)</f>
        <v>ARAGUATINS 1.1Inverter(MBUS-12)46086,628472222246086,628472222246086,7347222222</v>
      </c>
      <c r="Q143" s="1" t="str">
        <f>_xlfn.CONCAT(H143,I143,J143)</f>
        <v>DAURDE</v>
      </c>
    </row>
    <row r="144" spans="1:17">
      <c r="B144" s="1" t="s">
        <v>305</v>
      </c>
      <c r="C144" s="1" t="s">
        <v>264</v>
      </c>
      <c r="D144" s="52">
        <v>46086.628472222219</v>
      </c>
      <c r="E144" s="52">
        <v>46086.628472222219</v>
      </c>
      <c r="F144" s="52">
        <v>46086.734722222223</v>
      </c>
      <c r="G144" s="53">
        <f t="shared" si="6"/>
        <v>0.10625000000436557</v>
      </c>
      <c r="H144" s="1" t="s">
        <v>257</v>
      </c>
      <c r="J144" s="1" t="s">
        <v>258</v>
      </c>
      <c r="K144" s="1" t="str">
        <f>_xlfn.XLOOKUP(J144,REF!$D$2:$D$12,REF!$E$2:$E$12)</f>
        <v>Rede</v>
      </c>
      <c r="L144" s="1" t="s">
        <v>353</v>
      </c>
      <c r="M144" s="1" t="s">
        <v>260</v>
      </c>
      <c r="N144" s="1" t="s">
        <v>261</v>
      </c>
      <c r="O144" s="72" t="s">
        <v>297</v>
      </c>
      <c r="P144" s="1" t="str">
        <f>_xlfn.CONCAT(B144,C144,D144,E144,F144)</f>
        <v>ARAGUATINS 1.1Inverter(MBUS-13)46086,628472222246086,628472222246086,7347222222</v>
      </c>
      <c r="Q144" s="1" t="str">
        <f>_xlfn.CONCAT(H144,I144,J144)</f>
        <v>DAURDE</v>
      </c>
    </row>
    <row r="145" spans="2:17">
      <c r="B145" s="1" t="s">
        <v>305</v>
      </c>
      <c r="C145" s="1" t="s">
        <v>263</v>
      </c>
      <c r="D145" s="52">
        <v>46086.628472222219</v>
      </c>
      <c r="E145" s="52">
        <v>46086.628472222219</v>
      </c>
      <c r="F145" s="52">
        <v>46086.734722222223</v>
      </c>
      <c r="G145" s="53">
        <f t="shared" si="6"/>
        <v>0.10625000000436557</v>
      </c>
      <c r="H145" s="1" t="s">
        <v>257</v>
      </c>
      <c r="J145" s="1" t="s">
        <v>258</v>
      </c>
      <c r="K145" s="1" t="str">
        <f>_xlfn.XLOOKUP(J145,REF!$D$2:$D$12,REF!$E$2:$E$12)</f>
        <v>Rede</v>
      </c>
      <c r="L145" s="1" t="s">
        <v>353</v>
      </c>
      <c r="M145" s="1" t="s">
        <v>260</v>
      </c>
      <c r="N145" s="1" t="s">
        <v>261</v>
      </c>
      <c r="O145" s="72" t="s">
        <v>297</v>
      </c>
      <c r="P145" s="1" t="str">
        <f>_xlfn.CONCAT(B145,C145,D145,E145,F145)</f>
        <v>ARAGUATINS 1.1Inverter(MBUS-14)46086,628472222246086,628472222246086,7347222222</v>
      </c>
      <c r="Q145" s="1" t="str">
        <f>_xlfn.CONCAT(H145,I145,J145)</f>
        <v>DAURDE</v>
      </c>
    </row>
    <row r="146" spans="2:17">
      <c r="B146" s="1" t="s">
        <v>305</v>
      </c>
      <c r="C146" s="1" t="s">
        <v>307</v>
      </c>
      <c r="D146" s="52">
        <v>46086.628472222219</v>
      </c>
      <c r="E146" s="52">
        <v>46086.628472222219</v>
      </c>
      <c r="F146" s="52">
        <v>46086.734722222223</v>
      </c>
      <c r="G146" s="53">
        <f t="shared" si="6"/>
        <v>0.10625000000436557</v>
      </c>
      <c r="H146" s="1" t="s">
        <v>257</v>
      </c>
      <c r="J146" s="1" t="s">
        <v>258</v>
      </c>
      <c r="K146" s="1" t="str">
        <f>_xlfn.XLOOKUP(J146,REF!$D$2:$D$12,REF!$E$2:$E$12)</f>
        <v>Rede</v>
      </c>
      <c r="L146" s="1" t="s">
        <v>353</v>
      </c>
      <c r="M146" s="1" t="s">
        <v>260</v>
      </c>
      <c r="N146" s="1" t="s">
        <v>261</v>
      </c>
      <c r="O146" s="72" t="s">
        <v>297</v>
      </c>
      <c r="P146" s="1" t="str">
        <f>_xlfn.CONCAT(B146,C146,D146,E146,F146)</f>
        <v>ARAGUATINS 1.1Inverter(MBUS-15)46086,628472222246086,628472222246086,7347222222</v>
      </c>
      <c r="Q146" s="1" t="str">
        <f>_xlfn.CONCAT(H146,I146,J146)</f>
        <v>DAURDE</v>
      </c>
    </row>
    <row r="147" spans="2:17">
      <c r="B147" s="1" t="s">
        <v>308</v>
      </c>
      <c r="C147" s="1" t="s">
        <v>256</v>
      </c>
      <c r="D147" s="52">
        <v>46086.628472222219</v>
      </c>
      <c r="E147" s="52">
        <v>46086.628472222219</v>
      </c>
      <c r="F147" s="52">
        <v>46086.734722222223</v>
      </c>
      <c r="G147" s="53">
        <f t="shared" si="6"/>
        <v>0.10625000000436557</v>
      </c>
      <c r="H147" s="1" t="s">
        <v>257</v>
      </c>
      <c r="J147" s="1" t="s">
        <v>258</v>
      </c>
      <c r="K147" s="1" t="str">
        <f>_xlfn.XLOOKUP(J147,REF!$D$2:$D$12,REF!$E$2:$E$12)</f>
        <v>Rede</v>
      </c>
      <c r="L147" s="1" t="s">
        <v>353</v>
      </c>
      <c r="M147" s="1" t="s">
        <v>260</v>
      </c>
      <c r="N147" s="1" t="s">
        <v>261</v>
      </c>
      <c r="O147" s="72" t="s">
        <v>297</v>
      </c>
      <c r="P147" s="1" t="str">
        <f>_xlfn.CONCAT(B147,C147,D147,E147,F147)</f>
        <v>ARAGUATINS 1.2Inverter(MBUS-12)46086,628472222246086,628472222246086,7347222222</v>
      </c>
      <c r="Q147" s="1" t="str">
        <f>_xlfn.CONCAT(H147,I147,J147)</f>
        <v>DAURDE</v>
      </c>
    </row>
    <row r="148" spans="2:17">
      <c r="B148" s="1" t="s">
        <v>308</v>
      </c>
      <c r="C148" s="1" t="s">
        <v>264</v>
      </c>
      <c r="D148" s="52">
        <v>46086.628472222219</v>
      </c>
      <c r="E148" s="52">
        <v>46086.628472222219</v>
      </c>
      <c r="F148" s="52">
        <v>46086.734722222223</v>
      </c>
      <c r="G148" s="53">
        <f t="shared" si="6"/>
        <v>0.10625000000436557</v>
      </c>
      <c r="H148" s="1" t="s">
        <v>257</v>
      </c>
      <c r="J148" s="1" t="s">
        <v>258</v>
      </c>
      <c r="K148" s="1" t="str">
        <f>_xlfn.XLOOKUP(J148,REF!$D$2:$D$12,REF!$E$2:$E$12)</f>
        <v>Rede</v>
      </c>
      <c r="L148" s="1" t="s">
        <v>353</v>
      </c>
      <c r="M148" s="1" t="s">
        <v>260</v>
      </c>
      <c r="N148" s="1" t="s">
        <v>261</v>
      </c>
      <c r="O148" s="72" t="s">
        <v>297</v>
      </c>
      <c r="P148" s="1" t="str">
        <f>_xlfn.CONCAT(B148,C148,D148,E148,F148)</f>
        <v>ARAGUATINS 1.2Inverter(MBUS-13)46086,628472222246086,628472222246086,7347222222</v>
      </c>
      <c r="Q148" s="1" t="str">
        <f>_xlfn.CONCAT(H148,I148,J148)</f>
        <v>DAURDE</v>
      </c>
    </row>
    <row r="149" spans="2:17">
      <c r="B149" s="1" t="s">
        <v>308</v>
      </c>
      <c r="C149" s="1" t="s">
        <v>263</v>
      </c>
      <c r="D149" s="52">
        <v>46086.628472222219</v>
      </c>
      <c r="E149" s="52">
        <v>46086.628472222219</v>
      </c>
      <c r="F149" s="52">
        <v>46086.734722222223</v>
      </c>
      <c r="G149" s="53">
        <f t="shared" si="6"/>
        <v>0.10625000000436557</v>
      </c>
      <c r="H149" s="1" t="s">
        <v>257</v>
      </c>
      <c r="J149" s="1" t="s">
        <v>258</v>
      </c>
      <c r="K149" s="1" t="str">
        <f>_xlfn.XLOOKUP(J149,REF!$D$2:$D$12,REF!$E$2:$E$12)</f>
        <v>Rede</v>
      </c>
      <c r="L149" s="1" t="s">
        <v>353</v>
      </c>
      <c r="M149" s="1" t="s">
        <v>260</v>
      </c>
      <c r="N149" s="1" t="s">
        <v>261</v>
      </c>
      <c r="O149" s="72" t="s">
        <v>297</v>
      </c>
      <c r="P149" s="1" t="str">
        <f>_xlfn.CONCAT(B149,C149,D149,E149,F149)</f>
        <v>ARAGUATINS 1.2Inverter(MBUS-14)46086,628472222246086,628472222246086,7347222222</v>
      </c>
      <c r="Q149" s="1" t="str">
        <f>_xlfn.CONCAT(H149,I149,J149)</f>
        <v>DAURDE</v>
      </c>
    </row>
    <row r="150" spans="2:17">
      <c r="B150" s="1" t="s">
        <v>308</v>
      </c>
      <c r="C150" s="1" t="s">
        <v>307</v>
      </c>
      <c r="D150" s="52">
        <v>46086.628472222219</v>
      </c>
      <c r="E150" s="52">
        <v>46086.628472222219</v>
      </c>
      <c r="F150" s="52">
        <v>46086.734722222223</v>
      </c>
      <c r="G150" s="53">
        <f t="shared" si="6"/>
        <v>0.10625000000436557</v>
      </c>
      <c r="H150" s="1" t="s">
        <v>257</v>
      </c>
      <c r="J150" s="1" t="s">
        <v>258</v>
      </c>
      <c r="K150" s="1" t="str">
        <f>_xlfn.XLOOKUP(J150,REF!$D$2:$D$12,REF!$E$2:$E$12)</f>
        <v>Rede</v>
      </c>
      <c r="L150" s="1" t="s">
        <v>353</v>
      </c>
      <c r="M150" s="1" t="s">
        <v>260</v>
      </c>
      <c r="N150" s="1" t="s">
        <v>261</v>
      </c>
      <c r="O150" s="72" t="s">
        <v>297</v>
      </c>
      <c r="P150" s="1" t="str">
        <f>_xlfn.CONCAT(B150,C150,D150,E150,F150)</f>
        <v>ARAGUATINS 1.2Inverter(MBUS-15)46086,628472222246086,628472222246086,7347222222</v>
      </c>
      <c r="Q150" s="1" t="str">
        <f>_xlfn.CONCAT(H150,I150,J150)</f>
        <v>DAURDE</v>
      </c>
    </row>
    <row r="151" spans="2:17">
      <c r="B151" s="1" t="s">
        <v>309</v>
      </c>
      <c r="C151" s="1" t="s">
        <v>310</v>
      </c>
      <c r="D151" s="52">
        <v>46086.628472222219</v>
      </c>
      <c r="E151" s="52">
        <v>46086.628472222219</v>
      </c>
      <c r="F151" s="52">
        <v>46086.734722222223</v>
      </c>
      <c r="G151" s="53">
        <f t="shared" si="6"/>
        <v>0.10625000000436557</v>
      </c>
      <c r="H151" s="1" t="s">
        <v>257</v>
      </c>
      <c r="J151" s="1" t="s">
        <v>258</v>
      </c>
      <c r="K151" s="1" t="str">
        <f>_xlfn.XLOOKUP(J151,REF!$D$2:$D$12,REF!$E$2:$E$12)</f>
        <v>Rede</v>
      </c>
      <c r="L151" s="1" t="s">
        <v>353</v>
      </c>
      <c r="M151" s="1" t="s">
        <v>260</v>
      </c>
      <c r="N151" s="1" t="s">
        <v>261</v>
      </c>
      <c r="O151" s="72" t="s">
        <v>297</v>
      </c>
      <c r="P151" s="1" t="str">
        <f>_xlfn.CONCAT(B151,C151,D151,E151,F151)</f>
        <v>ARAGUATINS 1.3Inverter(MBUS-20)46086,628472222246086,628472222246086,7347222222</v>
      </c>
      <c r="Q151" s="1" t="str">
        <f>_xlfn.CONCAT(H151,I151,J151)</f>
        <v>DAURDE</v>
      </c>
    </row>
    <row r="152" spans="2:17">
      <c r="B152" s="1" t="s">
        <v>309</v>
      </c>
      <c r="C152" s="1" t="s">
        <v>247</v>
      </c>
      <c r="D152" s="52">
        <v>46086.628472222219</v>
      </c>
      <c r="E152" s="52">
        <v>46086.628472222219</v>
      </c>
      <c r="F152" s="52">
        <v>46086.734722222223</v>
      </c>
      <c r="G152" s="53">
        <f t="shared" si="6"/>
        <v>0.10625000000436557</v>
      </c>
      <c r="H152" s="1" t="s">
        <v>257</v>
      </c>
      <c r="J152" s="1" t="s">
        <v>258</v>
      </c>
      <c r="K152" s="1" t="str">
        <f>_xlfn.XLOOKUP(J152,REF!$D$2:$D$12,REF!$E$2:$E$12)</f>
        <v>Rede</v>
      </c>
      <c r="L152" s="1" t="s">
        <v>353</v>
      </c>
      <c r="M152" s="1" t="s">
        <v>260</v>
      </c>
      <c r="N152" s="1" t="s">
        <v>261</v>
      </c>
      <c r="O152" s="72" t="s">
        <v>297</v>
      </c>
      <c r="P152" s="1" t="str">
        <f>_xlfn.CONCAT(B152,C152,D152,E152,F152)</f>
        <v>ARAGUATINS 1.3Inverter(MBUS-1)46086,628472222246086,628472222246086,7347222222</v>
      </c>
      <c r="Q152" s="1" t="str">
        <f>_xlfn.CONCAT(H152,I152,J152)</f>
        <v>DAURDE</v>
      </c>
    </row>
    <row r="153" spans="2:17">
      <c r="B153" s="1" t="s">
        <v>311</v>
      </c>
      <c r="C153" s="1" t="s">
        <v>256</v>
      </c>
      <c r="D153" s="52">
        <v>46086.628472222219</v>
      </c>
      <c r="E153" s="52">
        <v>46086.628472222219</v>
      </c>
      <c r="F153" s="52">
        <v>46086.734722222223</v>
      </c>
      <c r="G153" s="53">
        <f t="shared" si="6"/>
        <v>0.10625000000436557</v>
      </c>
      <c r="H153" s="1" t="s">
        <v>257</v>
      </c>
      <c r="J153" s="1" t="s">
        <v>258</v>
      </c>
      <c r="K153" s="1" t="str">
        <f>_xlfn.XLOOKUP(J153,REF!$D$2:$D$12,REF!$E$2:$E$12)</f>
        <v>Rede</v>
      </c>
      <c r="L153" s="1" t="s">
        <v>353</v>
      </c>
      <c r="M153" s="1" t="s">
        <v>260</v>
      </c>
      <c r="N153" s="1" t="s">
        <v>261</v>
      </c>
      <c r="O153" s="72" t="s">
        <v>297</v>
      </c>
      <c r="P153" s="1" t="str">
        <f>_xlfn.CONCAT(B153,C153,D153,E153,F153)</f>
        <v>ARAGUATINS 2.1Inverter(MBUS-12)46086,628472222246086,628472222246086,7347222222</v>
      </c>
      <c r="Q153" s="1" t="str">
        <f>_xlfn.CONCAT(H153,I153,J153)</f>
        <v>DAURDE</v>
      </c>
    </row>
    <row r="154" spans="2:17">
      <c r="B154" s="1" t="s">
        <v>311</v>
      </c>
      <c r="C154" s="1" t="s">
        <v>307</v>
      </c>
      <c r="D154" s="52">
        <v>46086.628472222219</v>
      </c>
      <c r="E154" s="52">
        <v>46086.628472222219</v>
      </c>
      <c r="F154" s="52">
        <v>46086.734722222223</v>
      </c>
      <c r="G154" s="53">
        <f t="shared" si="6"/>
        <v>0.10625000000436557</v>
      </c>
      <c r="H154" s="1" t="s">
        <v>257</v>
      </c>
      <c r="J154" s="1" t="s">
        <v>258</v>
      </c>
      <c r="K154" s="1" t="str">
        <f>_xlfn.XLOOKUP(J154,REF!$D$2:$D$12,REF!$E$2:$E$12)</f>
        <v>Rede</v>
      </c>
      <c r="L154" s="1" t="s">
        <v>353</v>
      </c>
      <c r="M154" s="1" t="s">
        <v>260</v>
      </c>
      <c r="N154" s="1" t="s">
        <v>261</v>
      </c>
      <c r="O154" s="72" t="s">
        <v>297</v>
      </c>
      <c r="P154" s="1" t="str">
        <f>_xlfn.CONCAT(B154,C154,D154,E154,F154)</f>
        <v>ARAGUATINS 2.1Inverter(MBUS-15)46086,628472222246086,628472222246086,7347222222</v>
      </c>
      <c r="Q154" s="1" t="str">
        <f>_xlfn.CONCAT(H154,I154,J154)</f>
        <v>DAURDE</v>
      </c>
    </row>
    <row r="155" spans="2:17">
      <c r="B155" s="1" t="s">
        <v>311</v>
      </c>
      <c r="C155" s="1" t="s">
        <v>263</v>
      </c>
      <c r="D155" s="52">
        <v>46086.628472222219</v>
      </c>
      <c r="E155" s="52">
        <v>46086.628472222219</v>
      </c>
      <c r="F155" s="52">
        <v>46086.734722222223</v>
      </c>
      <c r="G155" s="53">
        <f t="shared" si="6"/>
        <v>0.10625000000436557</v>
      </c>
      <c r="H155" s="1" t="s">
        <v>257</v>
      </c>
      <c r="J155" s="1" t="s">
        <v>258</v>
      </c>
      <c r="K155" s="1" t="str">
        <f>_xlfn.XLOOKUP(J155,REF!$D$2:$D$12,REF!$E$2:$E$12)</f>
        <v>Rede</v>
      </c>
      <c r="L155" s="1" t="s">
        <v>353</v>
      </c>
      <c r="M155" s="1" t="s">
        <v>260</v>
      </c>
      <c r="N155" s="1" t="s">
        <v>261</v>
      </c>
      <c r="O155" s="72" t="s">
        <v>297</v>
      </c>
      <c r="P155" s="1" t="str">
        <f>_xlfn.CONCAT(B155,C155,D155,E155,F155)</f>
        <v>ARAGUATINS 2.1Inverter(MBUS-14)46086,628472222246086,628472222246086,7347222222</v>
      </c>
      <c r="Q155" s="1" t="str">
        <f>_xlfn.CONCAT(H155,I155,J155)</f>
        <v>DAURDE</v>
      </c>
    </row>
    <row r="156" spans="2:17">
      <c r="B156" s="1" t="s">
        <v>311</v>
      </c>
      <c r="C156" s="1" t="s">
        <v>247</v>
      </c>
      <c r="D156" s="52">
        <v>46086.628472222219</v>
      </c>
      <c r="E156" s="52">
        <v>46086.628472222219</v>
      </c>
      <c r="F156" s="52">
        <v>46086.734722222223</v>
      </c>
      <c r="G156" s="53">
        <f t="shared" si="6"/>
        <v>0.10625000000436557</v>
      </c>
      <c r="H156" s="1" t="s">
        <v>257</v>
      </c>
      <c r="J156" s="1" t="s">
        <v>258</v>
      </c>
      <c r="K156" s="1" t="str">
        <f>_xlfn.XLOOKUP(J156,REF!$D$2:$D$12,REF!$E$2:$E$12)</f>
        <v>Rede</v>
      </c>
      <c r="L156" s="1" t="s">
        <v>353</v>
      </c>
      <c r="M156" s="1" t="s">
        <v>260</v>
      </c>
      <c r="N156" s="1" t="s">
        <v>261</v>
      </c>
      <c r="O156" s="72" t="s">
        <v>297</v>
      </c>
      <c r="P156" s="1" t="str">
        <f>_xlfn.CONCAT(B156,C156,D156,E156,F156)</f>
        <v>ARAGUATINS 2.1Inverter(MBUS-1)46086,628472222246086,628472222246086,7347222222</v>
      </c>
      <c r="Q156" s="1" t="str">
        <f>_xlfn.CONCAT(H156,I156,J156)</f>
        <v>DAURDE</v>
      </c>
    </row>
    <row r="157" spans="2:17">
      <c r="B157" s="66" t="s">
        <v>312</v>
      </c>
      <c r="C157" s="66" t="s">
        <v>307</v>
      </c>
      <c r="D157" s="52">
        <v>46086.628472222219</v>
      </c>
      <c r="E157" s="52">
        <v>46086.628472222219</v>
      </c>
      <c r="F157" s="52">
        <v>46086.734722222223</v>
      </c>
      <c r="G157" s="53">
        <f t="shared" si="6"/>
        <v>0.10625000000436557</v>
      </c>
      <c r="H157" s="1" t="s">
        <v>257</v>
      </c>
      <c r="J157" s="1" t="s">
        <v>258</v>
      </c>
      <c r="K157" s="1" t="str">
        <f>_xlfn.XLOOKUP(J157,REF!$D$2:$D$12,REF!$E$2:$E$12)</f>
        <v>Rede</v>
      </c>
      <c r="L157" s="1" t="s">
        <v>353</v>
      </c>
      <c r="M157" s="1" t="s">
        <v>260</v>
      </c>
      <c r="N157" s="1" t="s">
        <v>261</v>
      </c>
      <c r="O157" s="72" t="s">
        <v>297</v>
      </c>
      <c r="P157" s="1" t="str">
        <f>_xlfn.CONCAT(B157,C157,D157,E157,F157)</f>
        <v>ARAGUATINS 2.2Inverter(MBUS-15)46086,628472222246086,628472222246086,7347222222</v>
      </c>
      <c r="Q157" s="1" t="str">
        <f>_xlfn.CONCAT(H157,I157,J157)</f>
        <v>DAURDE</v>
      </c>
    </row>
    <row r="158" spans="2:17">
      <c r="B158" s="1" t="s">
        <v>312</v>
      </c>
      <c r="C158" s="1" t="s">
        <v>264</v>
      </c>
      <c r="D158" s="52">
        <v>46086.628472222219</v>
      </c>
      <c r="E158" s="52">
        <v>46086.628472222219</v>
      </c>
      <c r="F158" s="52">
        <v>46086.734722222223</v>
      </c>
      <c r="G158" s="53">
        <f t="shared" si="6"/>
        <v>0.10625000000436557</v>
      </c>
      <c r="H158" s="1" t="s">
        <v>257</v>
      </c>
      <c r="J158" s="1" t="s">
        <v>258</v>
      </c>
      <c r="K158" s="1" t="str">
        <f>_xlfn.XLOOKUP(J158,REF!$D$2:$D$12,REF!$E$2:$E$12)</f>
        <v>Rede</v>
      </c>
      <c r="L158" s="1" t="s">
        <v>353</v>
      </c>
      <c r="M158" s="1" t="s">
        <v>260</v>
      </c>
      <c r="N158" s="1" t="s">
        <v>261</v>
      </c>
      <c r="O158" s="72" t="s">
        <v>297</v>
      </c>
      <c r="P158" s="1" t="str">
        <f>_xlfn.CONCAT(B158,C158,D158,E158,F158)</f>
        <v>ARAGUATINS 2.2Inverter(MBUS-13)46086,628472222246086,628472222246086,7347222222</v>
      </c>
      <c r="Q158" s="1" t="str">
        <f>_xlfn.CONCAT(H158,I158,J158)</f>
        <v>DAURDE</v>
      </c>
    </row>
    <row r="159" spans="2:17">
      <c r="B159" s="1" t="s">
        <v>312</v>
      </c>
      <c r="C159" s="1" t="s">
        <v>263</v>
      </c>
      <c r="D159" s="52">
        <v>46086.628472222219</v>
      </c>
      <c r="E159" s="52">
        <v>46086.628472222219</v>
      </c>
      <c r="F159" s="52">
        <v>46086.734722222223</v>
      </c>
      <c r="G159" s="53">
        <f t="shared" si="6"/>
        <v>0.10625000000436557</v>
      </c>
      <c r="H159" s="1" t="s">
        <v>257</v>
      </c>
      <c r="J159" s="1" t="s">
        <v>258</v>
      </c>
      <c r="K159" s="1" t="str">
        <f>_xlfn.XLOOKUP(J159,REF!$D$2:$D$12,REF!$E$2:$E$12)</f>
        <v>Rede</v>
      </c>
      <c r="L159" s="1" t="s">
        <v>353</v>
      </c>
      <c r="M159" s="1" t="s">
        <v>260</v>
      </c>
      <c r="N159" s="1" t="s">
        <v>261</v>
      </c>
      <c r="O159" s="72" t="s">
        <v>297</v>
      </c>
      <c r="P159" s="1" t="str">
        <f>_xlfn.CONCAT(B159,C159,D159,E159,F159)</f>
        <v>ARAGUATINS 2.2Inverter(MBUS-14)46086,628472222246086,628472222246086,7347222222</v>
      </c>
      <c r="Q159" s="1" t="str">
        <f>_xlfn.CONCAT(H159,I159,J159)</f>
        <v>DAURDE</v>
      </c>
    </row>
    <row r="160" spans="2:17">
      <c r="B160" s="1" t="s">
        <v>312</v>
      </c>
      <c r="C160" s="1" t="s">
        <v>256</v>
      </c>
      <c r="D160" s="52">
        <v>46086.628472222219</v>
      </c>
      <c r="E160" s="52">
        <v>46086.628472222219</v>
      </c>
      <c r="F160" s="52">
        <v>46086.734722222223</v>
      </c>
      <c r="G160" s="53">
        <f t="shared" si="6"/>
        <v>0.10625000000436557</v>
      </c>
      <c r="H160" s="1" t="s">
        <v>257</v>
      </c>
      <c r="J160" s="1" t="s">
        <v>258</v>
      </c>
      <c r="K160" s="1" t="str">
        <f>_xlfn.XLOOKUP(J160,REF!$D$2:$D$12,REF!$E$2:$E$12)</f>
        <v>Rede</v>
      </c>
      <c r="L160" s="1" t="s">
        <v>353</v>
      </c>
      <c r="M160" s="1" t="s">
        <v>260</v>
      </c>
      <c r="N160" s="1" t="s">
        <v>261</v>
      </c>
      <c r="O160" s="72" t="s">
        <v>297</v>
      </c>
      <c r="P160" s="1" t="str">
        <f>_xlfn.CONCAT(B160,C160,D160,E160,F160)</f>
        <v>ARAGUATINS 2.2Inverter(MBUS-12)46086,628472222246086,628472222246086,7347222222</v>
      </c>
      <c r="Q160" s="1" t="str">
        <f>_xlfn.CONCAT(H160,I160,J160)</f>
        <v>DAURDE</v>
      </c>
    </row>
    <row r="161" spans="2:17">
      <c r="B161" s="1" t="s">
        <v>313</v>
      </c>
      <c r="C161" s="1" t="s">
        <v>256</v>
      </c>
      <c r="D161" s="52">
        <v>46086.628472222219</v>
      </c>
      <c r="E161" s="52">
        <v>46086.628472222219</v>
      </c>
      <c r="F161" s="52">
        <v>46086.734722222223</v>
      </c>
      <c r="G161" s="53">
        <f t="shared" si="6"/>
        <v>0.10625000000436557</v>
      </c>
      <c r="H161" s="1" t="s">
        <v>257</v>
      </c>
      <c r="J161" s="1" t="s">
        <v>258</v>
      </c>
      <c r="K161" s="1" t="str">
        <f>_xlfn.XLOOKUP(J161,REF!$D$2:$D$12,REF!$E$2:$E$12)</f>
        <v>Rede</v>
      </c>
      <c r="L161" s="1" t="s">
        <v>353</v>
      </c>
      <c r="M161" s="1" t="s">
        <v>260</v>
      </c>
      <c r="N161" s="1" t="s">
        <v>261</v>
      </c>
      <c r="O161" s="72" t="s">
        <v>297</v>
      </c>
      <c r="P161" s="1" t="str">
        <f>_xlfn.CONCAT(B161,C161,D161,E161,F161)</f>
        <v>ARAGUATINS 2.3Inverter(MBUS-12)46086,628472222246086,628472222246086,7347222222</v>
      </c>
      <c r="Q161" s="1" t="str">
        <f>_xlfn.CONCAT(H161,I161,J161)</f>
        <v>DAURDE</v>
      </c>
    </row>
    <row r="162" spans="2:17">
      <c r="B162" s="1" t="s">
        <v>313</v>
      </c>
      <c r="C162" s="1" t="s">
        <v>264</v>
      </c>
      <c r="D162" s="52">
        <v>46086.628472222219</v>
      </c>
      <c r="E162" s="52">
        <v>46086.628472222219</v>
      </c>
      <c r="F162" s="52">
        <v>46086.734722222223</v>
      </c>
      <c r="G162" s="53">
        <f t="shared" si="6"/>
        <v>0.10625000000436557</v>
      </c>
      <c r="H162" s="1" t="s">
        <v>257</v>
      </c>
      <c r="J162" s="1" t="s">
        <v>258</v>
      </c>
      <c r="K162" s="1" t="str">
        <f>_xlfn.XLOOKUP(J162,REF!$D$2:$D$12,REF!$E$2:$E$12)</f>
        <v>Rede</v>
      </c>
      <c r="L162" s="1" t="s">
        <v>353</v>
      </c>
      <c r="M162" s="1" t="s">
        <v>260</v>
      </c>
      <c r="N162" s="1" t="s">
        <v>261</v>
      </c>
      <c r="O162" s="72" t="s">
        <v>297</v>
      </c>
      <c r="P162" s="1" t="str">
        <f>_xlfn.CONCAT(B162,C162,D162,E162,F162)</f>
        <v>ARAGUATINS 2.3Inverter(MBUS-13)46086,628472222246086,628472222246086,7347222222</v>
      </c>
      <c r="Q162" s="1" t="str">
        <f>_xlfn.CONCAT(H162,I162,J162)</f>
        <v>DAURDE</v>
      </c>
    </row>
    <row r="163" spans="2:17">
      <c r="B163" s="1" t="s">
        <v>255</v>
      </c>
      <c r="C163" s="1" t="s">
        <v>256</v>
      </c>
      <c r="D163" s="52">
        <v>46087.09097222222</v>
      </c>
      <c r="E163" s="52">
        <v>46087.09097222222</v>
      </c>
      <c r="F163" s="52">
        <v>46087.375</v>
      </c>
      <c r="G163" s="53">
        <f t="shared" si="6"/>
        <v>0.28402777777955635</v>
      </c>
      <c r="H163" s="1" t="s">
        <v>257</v>
      </c>
      <c r="J163" s="1" t="s">
        <v>258</v>
      </c>
      <c r="K163" s="1" t="str">
        <f>_xlfn.XLOOKUP(J163,REF!$D$2:$D$12,REF!$E$2:$E$12)</f>
        <v>Rede</v>
      </c>
      <c r="L163" s="1" t="s">
        <v>354</v>
      </c>
      <c r="M163" s="1" t="s">
        <v>260</v>
      </c>
      <c r="N163" s="1" t="s">
        <v>261</v>
      </c>
      <c r="O163" s="72" t="s">
        <v>297</v>
      </c>
      <c r="P163" s="1" t="str">
        <f>_xlfn.CONCAT(B163,C163,D163,E163,F163)</f>
        <v>BC Formoso2.1Inverter(MBUS-12)46087,090972222246087,090972222246087,375</v>
      </c>
      <c r="Q163" s="1" t="str">
        <f>_xlfn.CONCAT(H163,I163,J163)</f>
        <v>DAURDE</v>
      </c>
    </row>
    <row r="164" spans="2:17">
      <c r="B164" s="1" t="s">
        <v>255</v>
      </c>
      <c r="C164" s="1" t="s">
        <v>263</v>
      </c>
      <c r="D164" s="52">
        <v>46087.09097222222</v>
      </c>
      <c r="E164" s="52">
        <v>46087.09097222222</v>
      </c>
      <c r="F164" s="52">
        <v>46087.375</v>
      </c>
      <c r="G164" s="53">
        <f t="shared" si="6"/>
        <v>0.28402777777955635</v>
      </c>
      <c r="H164" s="1" t="s">
        <v>257</v>
      </c>
      <c r="J164" s="1" t="s">
        <v>258</v>
      </c>
      <c r="K164" s="1" t="str">
        <f>_xlfn.XLOOKUP(J164,REF!$D$2:$D$12,REF!$E$2:$E$12)</f>
        <v>Rede</v>
      </c>
      <c r="L164" s="1" t="s">
        <v>354</v>
      </c>
      <c r="M164" s="1" t="s">
        <v>260</v>
      </c>
      <c r="N164" s="1" t="s">
        <v>261</v>
      </c>
      <c r="O164" s="72" t="s">
        <v>297</v>
      </c>
      <c r="P164" s="1" t="str">
        <f>_xlfn.CONCAT(B164,C164,D164,E164,F164)</f>
        <v>BC Formoso2.1Inverter(MBUS-14)46087,090972222246087,090972222246087,375</v>
      </c>
      <c r="Q164" s="1" t="str">
        <f>_xlfn.CONCAT(H164,I164,J164)</f>
        <v>DAURDE</v>
      </c>
    </row>
    <row r="165" spans="2:17">
      <c r="B165" s="1" t="s">
        <v>255</v>
      </c>
      <c r="C165" s="1" t="s">
        <v>264</v>
      </c>
      <c r="D165" s="52">
        <v>46087.09097222222</v>
      </c>
      <c r="E165" s="52">
        <v>46087.09097222222</v>
      </c>
      <c r="F165" s="52">
        <v>46087.375</v>
      </c>
      <c r="G165" s="53">
        <f t="shared" si="6"/>
        <v>0.28402777777955635</v>
      </c>
      <c r="H165" s="1" t="s">
        <v>257</v>
      </c>
      <c r="J165" s="1" t="s">
        <v>258</v>
      </c>
      <c r="K165" s="1" t="str">
        <f>_xlfn.XLOOKUP(J165,REF!$D$2:$D$12,REF!$E$2:$E$12)</f>
        <v>Rede</v>
      </c>
      <c r="L165" s="1" t="s">
        <v>354</v>
      </c>
      <c r="M165" s="1" t="s">
        <v>260</v>
      </c>
      <c r="N165" s="1" t="s">
        <v>261</v>
      </c>
      <c r="O165" s="72" t="s">
        <v>297</v>
      </c>
      <c r="P165" s="1" t="str">
        <f>_xlfn.CONCAT(B165,C165,D165,E165,F165)</f>
        <v>BC Formoso2.1Inverter(MBUS-13)46087,090972222246087,090972222246087,375</v>
      </c>
      <c r="Q165" s="1" t="str">
        <f>_xlfn.CONCAT(H165,I165,J165)</f>
        <v>DAURDE</v>
      </c>
    </row>
    <row r="166" spans="2:17">
      <c r="B166" s="1" t="s">
        <v>255</v>
      </c>
      <c r="C166" s="1" t="s">
        <v>247</v>
      </c>
      <c r="D166" s="52">
        <v>46087.09097222222</v>
      </c>
      <c r="E166" s="52">
        <v>46087.09097222222</v>
      </c>
      <c r="F166" s="52">
        <v>46087.375</v>
      </c>
      <c r="G166" s="53">
        <f t="shared" si="6"/>
        <v>0.28402777777955635</v>
      </c>
      <c r="H166" s="1" t="s">
        <v>257</v>
      </c>
      <c r="J166" s="1" t="s">
        <v>258</v>
      </c>
      <c r="K166" s="1" t="str">
        <f>_xlfn.XLOOKUP(J166,REF!$D$2:$D$12,REF!$E$2:$E$12)</f>
        <v>Rede</v>
      </c>
      <c r="L166" s="1" t="s">
        <v>354</v>
      </c>
      <c r="M166" s="1" t="s">
        <v>260</v>
      </c>
      <c r="N166" s="1" t="s">
        <v>261</v>
      </c>
      <c r="O166" s="72" t="s">
        <v>297</v>
      </c>
      <c r="P166" s="1" t="str">
        <f>_xlfn.CONCAT(B166,C166,D166,E166,F166)</f>
        <v>BC Formoso2.1Inverter(MBUS-1)46087,090972222246087,090972222246087,375</v>
      </c>
      <c r="Q166" s="1" t="str">
        <f>_xlfn.CONCAT(H166,I166,J166)</f>
        <v>DAURDE</v>
      </c>
    </row>
    <row r="167" spans="2:17">
      <c r="B167" s="1" t="s">
        <v>265</v>
      </c>
      <c r="C167" s="1" t="s">
        <v>263</v>
      </c>
      <c r="D167" s="52">
        <v>46087.09097222222</v>
      </c>
      <c r="E167" s="52">
        <v>46087.09097222222</v>
      </c>
      <c r="F167" s="52">
        <v>46087.375</v>
      </c>
      <c r="G167" s="53">
        <f t="shared" si="6"/>
        <v>0.28402777777955635</v>
      </c>
      <c r="H167" s="1" t="s">
        <v>257</v>
      </c>
      <c r="J167" s="1" t="s">
        <v>258</v>
      </c>
      <c r="K167" s="1" t="str">
        <f>_xlfn.XLOOKUP(J167,REF!$D$2:$D$12,REF!$E$2:$E$12)</f>
        <v>Rede</v>
      </c>
      <c r="L167" s="1" t="s">
        <v>354</v>
      </c>
      <c r="M167" s="1" t="s">
        <v>260</v>
      </c>
      <c r="N167" s="1" t="s">
        <v>261</v>
      </c>
      <c r="O167" s="72" t="s">
        <v>297</v>
      </c>
      <c r="P167" s="1" t="str">
        <f>_xlfn.CONCAT(B167,C167,D167,E167,F167)</f>
        <v>BC Formoso2.2Inverter(MBUS-14)46087,090972222246087,090972222246087,375</v>
      </c>
      <c r="Q167" s="1" t="str">
        <f>_xlfn.CONCAT(H167,I167,J167)</f>
        <v>DAURDE</v>
      </c>
    </row>
    <row r="168" spans="2:17">
      <c r="B168" s="1" t="s">
        <v>265</v>
      </c>
      <c r="C168" s="1" t="s">
        <v>264</v>
      </c>
      <c r="D168" s="52">
        <v>46087.09097222222</v>
      </c>
      <c r="E168" s="52">
        <v>46087.09097222222</v>
      </c>
      <c r="F168" s="52">
        <v>46087.375</v>
      </c>
      <c r="G168" s="53">
        <f t="shared" si="6"/>
        <v>0.28402777777955635</v>
      </c>
      <c r="H168" s="1" t="s">
        <v>257</v>
      </c>
      <c r="J168" s="1" t="s">
        <v>258</v>
      </c>
      <c r="K168" s="1" t="str">
        <f>_xlfn.XLOOKUP(J168,REF!$D$2:$D$12,REF!$E$2:$E$12)</f>
        <v>Rede</v>
      </c>
      <c r="L168" s="1" t="s">
        <v>354</v>
      </c>
      <c r="M168" s="1" t="s">
        <v>260</v>
      </c>
      <c r="N168" s="1" t="s">
        <v>261</v>
      </c>
      <c r="O168" s="72" t="s">
        <v>297</v>
      </c>
      <c r="P168" s="1" t="str">
        <f>_xlfn.CONCAT(B168,C168,D168,E168,F168)</f>
        <v>BC Formoso2.2Inverter(MBUS-13)46087,090972222246087,090972222246087,375</v>
      </c>
      <c r="Q168" s="1" t="str">
        <f>_xlfn.CONCAT(H168,I168,J168)</f>
        <v>DAURDE</v>
      </c>
    </row>
    <row r="169" spans="2:17">
      <c r="B169" s="1" t="s">
        <v>265</v>
      </c>
      <c r="C169" s="1" t="s">
        <v>256</v>
      </c>
      <c r="D169" s="52">
        <v>46087.09097222222</v>
      </c>
      <c r="E169" s="52">
        <v>46087.09097222222</v>
      </c>
      <c r="F169" s="52">
        <v>46087.375</v>
      </c>
      <c r="G169" s="53">
        <f t="shared" si="6"/>
        <v>0.28402777777955635</v>
      </c>
      <c r="H169" s="1" t="s">
        <v>257</v>
      </c>
      <c r="J169" s="1" t="s">
        <v>258</v>
      </c>
      <c r="K169" s="1" t="str">
        <f>_xlfn.XLOOKUP(J169,REF!$D$2:$D$12,REF!$E$2:$E$12)</f>
        <v>Rede</v>
      </c>
      <c r="L169" s="1" t="s">
        <v>354</v>
      </c>
      <c r="M169" s="1" t="s">
        <v>260</v>
      </c>
      <c r="N169" s="1" t="s">
        <v>261</v>
      </c>
      <c r="O169" s="72" t="s">
        <v>297</v>
      </c>
      <c r="P169" s="1" t="str">
        <f>_xlfn.CONCAT(B169,C169,D169,E169,F169)</f>
        <v>BC Formoso2.2Inverter(MBUS-12)46087,090972222246087,090972222246087,375</v>
      </c>
      <c r="Q169" s="1" t="str">
        <f>_xlfn.CONCAT(H169,I169,J169)</f>
        <v>DAURDE</v>
      </c>
    </row>
    <row r="170" spans="2:17">
      <c r="B170" s="1" t="s">
        <v>265</v>
      </c>
      <c r="C170" s="1" t="s">
        <v>247</v>
      </c>
      <c r="D170" s="52">
        <v>46087.09097222222</v>
      </c>
      <c r="E170" s="52">
        <v>46087.09097222222</v>
      </c>
      <c r="F170" s="52">
        <v>46087.375</v>
      </c>
      <c r="G170" s="53">
        <f t="shared" si="6"/>
        <v>0.28402777777955635</v>
      </c>
      <c r="H170" s="1" t="s">
        <v>257</v>
      </c>
      <c r="J170" s="1" t="s">
        <v>258</v>
      </c>
      <c r="K170" s="1" t="str">
        <f>_xlfn.XLOOKUP(J170,REF!$D$2:$D$12,REF!$E$2:$E$12)</f>
        <v>Rede</v>
      </c>
      <c r="L170" s="1" t="s">
        <v>354</v>
      </c>
      <c r="M170" s="1" t="s">
        <v>260</v>
      </c>
      <c r="N170" s="1" t="s">
        <v>261</v>
      </c>
      <c r="O170" s="72" t="s">
        <v>297</v>
      </c>
      <c r="P170" s="1" t="str">
        <f>_xlfn.CONCAT(B170,C170,D170,E170,F170)</f>
        <v>BC Formoso2.2Inverter(MBUS-1)46087,090972222246087,090972222246087,375</v>
      </c>
      <c r="Q170" s="1" t="str">
        <f>_xlfn.CONCAT(H170,I170,J170)</f>
        <v>DAURDE</v>
      </c>
    </row>
    <row r="171" spans="2:17">
      <c r="B171" s="1" t="s">
        <v>355</v>
      </c>
      <c r="C171" s="1" t="s">
        <v>264</v>
      </c>
      <c r="D171" s="52">
        <v>46087.09097222222</v>
      </c>
      <c r="E171" s="52">
        <v>46087.09097222222</v>
      </c>
      <c r="F171" s="52">
        <v>46087.375</v>
      </c>
      <c r="G171" s="53">
        <f t="shared" si="6"/>
        <v>0.28402777777955635</v>
      </c>
      <c r="H171" s="1" t="s">
        <v>257</v>
      </c>
      <c r="J171" s="1" t="s">
        <v>258</v>
      </c>
      <c r="K171" s="1" t="str">
        <f>_xlfn.XLOOKUP(J171,REF!$D$2:$D$12,REF!$E$2:$E$12)</f>
        <v>Rede</v>
      </c>
      <c r="L171" s="1" t="s">
        <v>354</v>
      </c>
      <c r="M171" s="1" t="s">
        <v>260</v>
      </c>
      <c r="N171" s="1" t="s">
        <v>261</v>
      </c>
      <c r="O171" s="72" t="s">
        <v>297</v>
      </c>
      <c r="P171" s="1" t="str">
        <f>_xlfn.CONCAT(B171,C171,D171,E171,F171)</f>
        <v>BC Formoso2.3Inverter(MBUS-13)46087,090972222246087,090972222246087,375</v>
      </c>
      <c r="Q171" s="1" t="str">
        <f>_xlfn.CONCAT(H171,I171,J171)</f>
        <v>DAURDE</v>
      </c>
    </row>
    <row r="172" spans="2:17">
      <c r="B172" s="1" t="s">
        <v>355</v>
      </c>
      <c r="C172" s="1" t="s">
        <v>256</v>
      </c>
      <c r="D172" s="52">
        <v>46087.09097222222</v>
      </c>
      <c r="E172" s="52">
        <v>46087.09097222222</v>
      </c>
      <c r="F172" s="52">
        <v>46087.375</v>
      </c>
      <c r="G172" s="53">
        <f t="shared" si="6"/>
        <v>0.28402777777955635</v>
      </c>
      <c r="H172" s="1" t="s">
        <v>257</v>
      </c>
      <c r="J172" s="1" t="s">
        <v>258</v>
      </c>
      <c r="K172" s="1" t="str">
        <f>_xlfn.XLOOKUP(J172,REF!$D$2:$D$12,REF!$E$2:$E$12)</f>
        <v>Rede</v>
      </c>
      <c r="L172" s="1" t="s">
        <v>354</v>
      </c>
      <c r="M172" s="1" t="s">
        <v>260</v>
      </c>
      <c r="N172" s="1" t="s">
        <v>261</v>
      </c>
      <c r="O172" s="72" t="s">
        <v>297</v>
      </c>
      <c r="P172" s="1" t="str">
        <f>_xlfn.CONCAT(B172,C172,D172,E172,F172)</f>
        <v>BC Formoso2.3Inverter(MBUS-12)46087,090972222246087,090972222246087,375</v>
      </c>
      <c r="Q172" s="1" t="str">
        <f>_xlfn.CONCAT(H172,I172,J172)</f>
        <v>DAURDE</v>
      </c>
    </row>
    <row r="173" spans="2:17">
      <c r="B173" s="1" t="s">
        <v>305</v>
      </c>
      <c r="C173" s="1" t="s">
        <v>256</v>
      </c>
      <c r="D173" s="52">
        <v>46087.368055555555</v>
      </c>
      <c r="E173" s="52">
        <v>46087.368055555555</v>
      </c>
      <c r="F173" s="52">
        <v>46087.40625</v>
      </c>
      <c r="G173" s="53">
        <f t="shared" si="6"/>
        <v>3.8194444445252884E-2</v>
      </c>
      <c r="H173" s="1" t="s">
        <v>257</v>
      </c>
      <c r="J173" s="1" t="s">
        <v>258</v>
      </c>
      <c r="K173" s="1" t="str">
        <f>_xlfn.XLOOKUP(J173,REF!$D$2:$D$12,REF!$E$2:$E$12)</f>
        <v>Rede</v>
      </c>
      <c r="L173" s="1" t="s">
        <v>356</v>
      </c>
      <c r="M173" s="1" t="s">
        <v>260</v>
      </c>
      <c r="N173" s="1" t="s">
        <v>261</v>
      </c>
      <c r="O173" s="72" t="s">
        <v>297</v>
      </c>
      <c r="P173" s="1" t="str">
        <f>_xlfn.CONCAT(B173,C173,D173,E173,F173)</f>
        <v>ARAGUATINS 1.1Inverter(MBUS-12)46087,368055555646087,368055555646087,40625</v>
      </c>
      <c r="Q173" s="1" t="str">
        <f>_xlfn.CONCAT(H173,I173,J173)</f>
        <v>DAURDE</v>
      </c>
    </row>
    <row r="174" spans="2:17">
      <c r="B174" s="1" t="s">
        <v>305</v>
      </c>
      <c r="C174" s="1" t="s">
        <v>264</v>
      </c>
      <c r="D174" s="52">
        <v>46087.368055555555</v>
      </c>
      <c r="E174" s="52">
        <v>46087.368055555555</v>
      </c>
      <c r="F174" s="52">
        <v>46087.40625</v>
      </c>
      <c r="G174" s="53">
        <f t="shared" si="6"/>
        <v>3.8194444445252884E-2</v>
      </c>
      <c r="H174" s="1" t="s">
        <v>257</v>
      </c>
      <c r="J174" s="1" t="s">
        <v>258</v>
      </c>
      <c r="K174" s="1" t="str">
        <f>_xlfn.XLOOKUP(J174,REF!$D$2:$D$12,REF!$E$2:$E$12)</f>
        <v>Rede</v>
      </c>
      <c r="L174" s="1" t="s">
        <v>356</v>
      </c>
      <c r="M174" s="1" t="s">
        <v>260</v>
      </c>
      <c r="N174" s="1" t="s">
        <v>261</v>
      </c>
      <c r="O174" s="72" t="s">
        <v>297</v>
      </c>
      <c r="P174" s="1" t="str">
        <f>_xlfn.CONCAT(B174,C174,D174,E174,F174)</f>
        <v>ARAGUATINS 1.1Inverter(MBUS-13)46087,368055555646087,368055555646087,40625</v>
      </c>
      <c r="Q174" s="1" t="str">
        <f>_xlfn.CONCAT(H174,I174,J174)</f>
        <v>DAURDE</v>
      </c>
    </row>
    <row r="175" spans="2:17">
      <c r="B175" s="1" t="s">
        <v>305</v>
      </c>
      <c r="C175" s="1" t="s">
        <v>263</v>
      </c>
      <c r="D175" s="52">
        <v>46087.368055555555</v>
      </c>
      <c r="E175" s="52">
        <v>46087.368055555555</v>
      </c>
      <c r="F175" s="52">
        <v>46087.40625</v>
      </c>
      <c r="G175" s="53">
        <f t="shared" si="6"/>
        <v>3.8194444445252884E-2</v>
      </c>
      <c r="H175" s="1" t="s">
        <v>257</v>
      </c>
      <c r="J175" s="1" t="s">
        <v>258</v>
      </c>
      <c r="K175" s="1" t="str">
        <f>_xlfn.XLOOKUP(J175,REF!$D$2:$D$12,REF!$E$2:$E$12)</f>
        <v>Rede</v>
      </c>
      <c r="L175" s="1" t="s">
        <v>356</v>
      </c>
      <c r="M175" s="1" t="s">
        <v>260</v>
      </c>
      <c r="N175" s="1" t="s">
        <v>261</v>
      </c>
      <c r="O175" s="72" t="s">
        <v>297</v>
      </c>
      <c r="P175" s="1" t="str">
        <f>_xlfn.CONCAT(B175,C175,D175,E175,F175)</f>
        <v>ARAGUATINS 1.1Inverter(MBUS-14)46087,368055555646087,368055555646087,40625</v>
      </c>
      <c r="Q175" s="1" t="str">
        <f>_xlfn.CONCAT(H175,I175,J175)</f>
        <v>DAURDE</v>
      </c>
    </row>
    <row r="176" spans="2:17">
      <c r="B176" s="1" t="s">
        <v>305</v>
      </c>
      <c r="C176" s="1" t="s">
        <v>307</v>
      </c>
      <c r="D176" s="52">
        <v>46087.368055555555</v>
      </c>
      <c r="E176" s="52">
        <v>46087.368055555555</v>
      </c>
      <c r="F176" s="52">
        <v>46087.40625</v>
      </c>
      <c r="G176" s="53">
        <f t="shared" si="6"/>
        <v>3.8194444445252884E-2</v>
      </c>
      <c r="H176" s="1" t="s">
        <v>257</v>
      </c>
      <c r="J176" s="1" t="s">
        <v>258</v>
      </c>
      <c r="K176" s="1" t="str">
        <f>_xlfn.XLOOKUP(J176,REF!$D$2:$D$12,REF!$E$2:$E$12)</f>
        <v>Rede</v>
      </c>
      <c r="L176" s="1" t="s">
        <v>356</v>
      </c>
      <c r="M176" s="1" t="s">
        <v>260</v>
      </c>
      <c r="N176" s="1" t="s">
        <v>261</v>
      </c>
      <c r="O176" s="72" t="s">
        <v>297</v>
      </c>
      <c r="P176" s="1" t="str">
        <f>_xlfn.CONCAT(B176,C176,D176,E176,F176)</f>
        <v>ARAGUATINS 1.1Inverter(MBUS-15)46087,368055555646087,368055555646087,40625</v>
      </c>
      <c r="Q176" s="1" t="str">
        <f>_xlfn.CONCAT(H176,I176,J176)</f>
        <v>DAURDE</v>
      </c>
    </row>
    <row r="177" spans="2:17">
      <c r="B177" s="1" t="s">
        <v>308</v>
      </c>
      <c r="C177" s="1" t="s">
        <v>256</v>
      </c>
      <c r="D177" s="52">
        <v>46087.368055555555</v>
      </c>
      <c r="E177" s="52">
        <v>46087.368055555555</v>
      </c>
      <c r="F177" s="52">
        <v>46087.40625</v>
      </c>
      <c r="G177" s="53">
        <f t="shared" ref="G177:G221" si="7">F177-E177</f>
        <v>3.8194444445252884E-2</v>
      </c>
      <c r="H177" s="1" t="s">
        <v>257</v>
      </c>
      <c r="J177" s="1" t="s">
        <v>258</v>
      </c>
      <c r="K177" s="1" t="str">
        <f>_xlfn.XLOOKUP(J177,REF!$D$2:$D$12,REF!$E$2:$E$12)</f>
        <v>Rede</v>
      </c>
      <c r="L177" s="1" t="s">
        <v>356</v>
      </c>
      <c r="M177" s="1" t="s">
        <v>260</v>
      </c>
      <c r="N177" s="1" t="s">
        <v>261</v>
      </c>
      <c r="O177" s="72" t="s">
        <v>297</v>
      </c>
      <c r="P177" s="1" t="str">
        <f>_xlfn.CONCAT(B177,C177,D177,E177,F177)</f>
        <v>ARAGUATINS 1.2Inverter(MBUS-12)46087,368055555646087,368055555646087,40625</v>
      </c>
      <c r="Q177" s="1" t="str">
        <f>_xlfn.CONCAT(H177,I177,J177)</f>
        <v>DAURDE</v>
      </c>
    </row>
    <row r="178" spans="2:17">
      <c r="B178" s="1" t="s">
        <v>308</v>
      </c>
      <c r="C178" s="1" t="s">
        <v>264</v>
      </c>
      <c r="D178" s="52">
        <v>46087.368055555555</v>
      </c>
      <c r="E178" s="52">
        <v>46087.368055555555</v>
      </c>
      <c r="F178" s="52">
        <v>46087.40625</v>
      </c>
      <c r="G178" s="53">
        <f t="shared" si="7"/>
        <v>3.8194444445252884E-2</v>
      </c>
      <c r="H178" s="1" t="s">
        <v>257</v>
      </c>
      <c r="J178" s="1" t="s">
        <v>258</v>
      </c>
      <c r="K178" s="1" t="str">
        <f>_xlfn.XLOOKUP(J178,REF!$D$2:$D$12,REF!$E$2:$E$12)</f>
        <v>Rede</v>
      </c>
      <c r="L178" s="1" t="s">
        <v>356</v>
      </c>
      <c r="M178" s="1" t="s">
        <v>260</v>
      </c>
      <c r="N178" s="1" t="s">
        <v>261</v>
      </c>
      <c r="O178" s="72" t="s">
        <v>297</v>
      </c>
      <c r="P178" s="1" t="str">
        <f>_xlfn.CONCAT(B178,C178,D178,E178,F178)</f>
        <v>ARAGUATINS 1.2Inverter(MBUS-13)46087,368055555646087,368055555646087,40625</v>
      </c>
      <c r="Q178" s="1" t="str">
        <f>_xlfn.CONCAT(H178,I178,J178)</f>
        <v>DAURDE</v>
      </c>
    </row>
    <row r="179" spans="2:17">
      <c r="B179" s="1" t="s">
        <v>308</v>
      </c>
      <c r="C179" s="1" t="s">
        <v>263</v>
      </c>
      <c r="D179" s="52">
        <v>46087.368055555555</v>
      </c>
      <c r="E179" s="52">
        <v>46087.368055555555</v>
      </c>
      <c r="F179" s="52">
        <v>46087.40625</v>
      </c>
      <c r="G179" s="53">
        <f t="shared" si="7"/>
        <v>3.8194444445252884E-2</v>
      </c>
      <c r="H179" s="1" t="s">
        <v>257</v>
      </c>
      <c r="J179" s="1" t="s">
        <v>258</v>
      </c>
      <c r="K179" s="1" t="str">
        <f>_xlfn.XLOOKUP(J179,REF!$D$2:$D$12,REF!$E$2:$E$12)</f>
        <v>Rede</v>
      </c>
      <c r="L179" s="1" t="s">
        <v>356</v>
      </c>
      <c r="M179" s="1" t="s">
        <v>260</v>
      </c>
      <c r="N179" s="1" t="s">
        <v>261</v>
      </c>
      <c r="O179" s="72" t="s">
        <v>297</v>
      </c>
      <c r="P179" s="1" t="str">
        <f>_xlfn.CONCAT(B179,C179,D179,E179,F179)</f>
        <v>ARAGUATINS 1.2Inverter(MBUS-14)46087,368055555646087,368055555646087,40625</v>
      </c>
      <c r="Q179" s="1" t="str">
        <f>_xlfn.CONCAT(H179,I179,J179)</f>
        <v>DAURDE</v>
      </c>
    </row>
    <row r="180" spans="2:17">
      <c r="B180" s="1" t="s">
        <v>308</v>
      </c>
      <c r="C180" s="1" t="s">
        <v>307</v>
      </c>
      <c r="D180" s="52">
        <v>46087.368055555555</v>
      </c>
      <c r="E180" s="52">
        <v>46087.368055555555</v>
      </c>
      <c r="F180" s="52">
        <v>46087.40625</v>
      </c>
      <c r="G180" s="53">
        <f t="shared" si="7"/>
        <v>3.8194444445252884E-2</v>
      </c>
      <c r="H180" s="1" t="s">
        <v>257</v>
      </c>
      <c r="J180" s="1" t="s">
        <v>258</v>
      </c>
      <c r="K180" s="1" t="str">
        <f>_xlfn.XLOOKUP(J180,REF!$D$2:$D$12,REF!$E$2:$E$12)</f>
        <v>Rede</v>
      </c>
      <c r="L180" s="1" t="s">
        <v>356</v>
      </c>
      <c r="M180" s="1" t="s">
        <v>260</v>
      </c>
      <c r="N180" s="1" t="s">
        <v>261</v>
      </c>
      <c r="O180" s="72" t="s">
        <v>297</v>
      </c>
      <c r="P180" s="1" t="str">
        <f>_xlfn.CONCAT(B180,C180,D180,E180,F180)</f>
        <v>ARAGUATINS 1.2Inverter(MBUS-15)46087,368055555646087,368055555646087,40625</v>
      </c>
      <c r="Q180" s="1" t="str">
        <f>_xlfn.CONCAT(H180,I180,J180)</f>
        <v>DAURDE</v>
      </c>
    </row>
    <row r="181" spans="2:17">
      <c r="B181" s="1" t="s">
        <v>309</v>
      </c>
      <c r="C181" s="1" t="s">
        <v>310</v>
      </c>
      <c r="D181" s="52">
        <v>46087.368055555555</v>
      </c>
      <c r="E181" s="52">
        <v>46087.368055555555</v>
      </c>
      <c r="F181" s="52">
        <v>46087.40625</v>
      </c>
      <c r="G181" s="53">
        <f t="shared" si="7"/>
        <v>3.8194444445252884E-2</v>
      </c>
      <c r="H181" s="1" t="s">
        <v>257</v>
      </c>
      <c r="J181" s="1" t="s">
        <v>258</v>
      </c>
      <c r="K181" s="1" t="str">
        <f>_xlfn.XLOOKUP(J181,REF!$D$2:$D$12,REF!$E$2:$E$12)</f>
        <v>Rede</v>
      </c>
      <c r="L181" s="1" t="s">
        <v>356</v>
      </c>
      <c r="M181" s="1" t="s">
        <v>260</v>
      </c>
      <c r="N181" s="1" t="s">
        <v>357</v>
      </c>
      <c r="O181" s="72" t="s">
        <v>297</v>
      </c>
      <c r="P181" s="1" t="str">
        <f>_xlfn.CONCAT(B181,C181,D181,E181,F181)</f>
        <v>ARAGUATINS 1.3Inverter(MBUS-20)46087,368055555646087,368055555646087,40625</v>
      </c>
      <c r="Q181" s="1" t="str">
        <f>_xlfn.CONCAT(H181,I181,J181)</f>
        <v>DAURDE</v>
      </c>
    </row>
    <row r="182" spans="2:17">
      <c r="B182" s="1" t="s">
        <v>309</v>
      </c>
      <c r="C182" s="1" t="s">
        <v>247</v>
      </c>
      <c r="D182" s="52">
        <v>46087.368055555555</v>
      </c>
      <c r="E182" s="52">
        <v>46087.368055555555</v>
      </c>
      <c r="F182" s="52">
        <v>46087.40625</v>
      </c>
      <c r="G182" s="53">
        <f t="shared" si="7"/>
        <v>3.8194444445252884E-2</v>
      </c>
      <c r="H182" s="1" t="s">
        <v>257</v>
      </c>
      <c r="J182" s="1" t="s">
        <v>258</v>
      </c>
      <c r="K182" s="1" t="str">
        <f>_xlfn.XLOOKUP(J182,REF!$D$2:$D$12,REF!$E$2:$E$12)</f>
        <v>Rede</v>
      </c>
      <c r="L182" s="1" t="s">
        <v>356</v>
      </c>
      <c r="M182" s="1" t="s">
        <v>260</v>
      </c>
      <c r="N182" s="1" t="s">
        <v>357</v>
      </c>
      <c r="O182" s="72" t="s">
        <v>297</v>
      </c>
      <c r="P182" s="1" t="str">
        <f>_xlfn.CONCAT(B182,C182,D182,E182,F182)</f>
        <v>ARAGUATINS 1.3Inverter(MBUS-1)46087,368055555646087,368055555646087,40625</v>
      </c>
      <c r="Q182" s="1" t="str">
        <f>_xlfn.CONCAT(H182,I182,J182)</f>
        <v>DAURDE</v>
      </c>
    </row>
    <row r="183" spans="2:17">
      <c r="B183" s="1" t="s">
        <v>311</v>
      </c>
      <c r="C183" s="1" t="s">
        <v>256</v>
      </c>
      <c r="D183" s="52">
        <v>46087.368055555555</v>
      </c>
      <c r="E183" s="52">
        <v>46087.368055555555</v>
      </c>
      <c r="F183" s="52">
        <v>46087.40625</v>
      </c>
      <c r="G183" s="53">
        <f t="shared" si="7"/>
        <v>3.8194444445252884E-2</v>
      </c>
      <c r="H183" s="1" t="s">
        <v>257</v>
      </c>
      <c r="J183" s="1" t="s">
        <v>258</v>
      </c>
      <c r="K183" s="1" t="str">
        <f>_xlfn.XLOOKUP(J183,REF!$D$2:$D$12,REF!$E$2:$E$12)</f>
        <v>Rede</v>
      </c>
      <c r="L183" s="1" t="s">
        <v>356</v>
      </c>
      <c r="M183" s="1" t="s">
        <v>260</v>
      </c>
      <c r="N183" s="1" t="s">
        <v>357</v>
      </c>
      <c r="O183" s="72" t="s">
        <v>297</v>
      </c>
      <c r="P183" s="1" t="str">
        <f>_xlfn.CONCAT(B183,C183,D183,E183,F183)</f>
        <v>ARAGUATINS 2.1Inverter(MBUS-12)46087,368055555646087,368055555646087,40625</v>
      </c>
      <c r="Q183" s="1" t="str">
        <f>_xlfn.CONCAT(H183,I183,J183)</f>
        <v>DAURDE</v>
      </c>
    </row>
    <row r="184" spans="2:17">
      <c r="B184" s="1" t="s">
        <v>311</v>
      </c>
      <c r="C184" s="1" t="s">
        <v>307</v>
      </c>
      <c r="D184" s="52">
        <v>46087.368055555555</v>
      </c>
      <c r="E184" s="52">
        <v>46087.368055555555</v>
      </c>
      <c r="F184" s="52">
        <v>46087.40625</v>
      </c>
      <c r="G184" s="53">
        <f t="shared" si="7"/>
        <v>3.8194444445252884E-2</v>
      </c>
      <c r="H184" s="1" t="s">
        <v>257</v>
      </c>
      <c r="J184" s="1" t="s">
        <v>258</v>
      </c>
      <c r="K184" s="1" t="str">
        <f>_xlfn.XLOOKUP(J184,REF!$D$2:$D$12,REF!$E$2:$E$12)</f>
        <v>Rede</v>
      </c>
      <c r="L184" s="1" t="s">
        <v>356</v>
      </c>
      <c r="M184" s="1" t="s">
        <v>260</v>
      </c>
      <c r="N184" s="1" t="s">
        <v>357</v>
      </c>
      <c r="O184" s="72" t="s">
        <v>297</v>
      </c>
      <c r="P184" s="1" t="str">
        <f>_xlfn.CONCAT(B184,C184,D184,E184,F184)</f>
        <v>ARAGUATINS 2.1Inverter(MBUS-15)46087,368055555646087,368055555646087,40625</v>
      </c>
      <c r="Q184" s="1" t="str">
        <f>_xlfn.CONCAT(H184,I184,J184)</f>
        <v>DAURDE</v>
      </c>
    </row>
    <row r="185" spans="2:17">
      <c r="B185" s="1" t="s">
        <v>311</v>
      </c>
      <c r="C185" s="1" t="s">
        <v>263</v>
      </c>
      <c r="D185" s="52">
        <v>46087.368055555555</v>
      </c>
      <c r="E185" s="52">
        <v>46087.368055555555</v>
      </c>
      <c r="F185" s="52">
        <v>46087.40625</v>
      </c>
      <c r="G185" s="53">
        <f t="shared" si="7"/>
        <v>3.8194444445252884E-2</v>
      </c>
      <c r="H185" s="1" t="s">
        <v>257</v>
      </c>
      <c r="J185" s="1" t="s">
        <v>258</v>
      </c>
      <c r="K185" s="1" t="str">
        <f>_xlfn.XLOOKUP(J185,REF!$D$2:$D$12,REF!$E$2:$E$12)</f>
        <v>Rede</v>
      </c>
      <c r="L185" s="1" t="s">
        <v>356</v>
      </c>
      <c r="M185" s="1" t="s">
        <v>260</v>
      </c>
      <c r="N185" s="1" t="s">
        <v>357</v>
      </c>
      <c r="O185" s="72" t="s">
        <v>297</v>
      </c>
      <c r="P185" s="1" t="str">
        <f>_xlfn.CONCAT(B185,C185,D185,E185,F185)</f>
        <v>ARAGUATINS 2.1Inverter(MBUS-14)46087,368055555646087,368055555646087,40625</v>
      </c>
      <c r="Q185" s="1" t="str">
        <f>_xlfn.CONCAT(H185,I185,J185)</f>
        <v>DAURDE</v>
      </c>
    </row>
    <row r="186" spans="2:17">
      <c r="B186" s="1" t="s">
        <v>311</v>
      </c>
      <c r="C186" s="1" t="s">
        <v>247</v>
      </c>
      <c r="D186" s="52">
        <v>46087.368055555555</v>
      </c>
      <c r="E186" s="52">
        <v>46087.368055555555</v>
      </c>
      <c r="F186" s="52">
        <v>46087.40625</v>
      </c>
      <c r="G186" s="53">
        <f t="shared" si="7"/>
        <v>3.8194444445252884E-2</v>
      </c>
      <c r="H186" s="1" t="s">
        <v>257</v>
      </c>
      <c r="J186" s="1" t="s">
        <v>258</v>
      </c>
      <c r="K186" s="1" t="str">
        <f>_xlfn.XLOOKUP(J186,REF!$D$2:$D$12,REF!$E$2:$E$12)</f>
        <v>Rede</v>
      </c>
      <c r="L186" s="1" t="s">
        <v>356</v>
      </c>
      <c r="M186" s="1" t="s">
        <v>260</v>
      </c>
      <c r="N186" s="1" t="s">
        <v>357</v>
      </c>
      <c r="O186" s="72" t="s">
        <v>297</v>
      </c>
      <c r="P186" s="1" t="str">
        <f>_xlfn.CONCAT(B186,C186,D186,E186,F186)</f>
        <v>ARAGUATINS 2.1Inverter(MBUS-1)46087,368055555646087,368055555646087,40625</v>
      </c>
      <c r="Q186" s="1" t="str">
        <f>_xlfn.CONCAT(H186,I186,J186)</f>
        <v>DAURDE</v>
      </c>
    </row>
    <row r="187" spans="2:17">
      <c r="B187" s="66" t="s">
        <v>312</v>
      </c>
      <c r="C187" s="66" t="s">
        <v>307</v>
      </c>
      <c r="D187" s="52">
        <v>46087.368055555555</v>
      </c>
      <c r="E187" s="52">
        <v>46087.368055555555</v>
      </c>
      <c r="F187" s="52">
        <v>46087.40625</v>
      </c>
      <c r="G187" s="53">
        <f t="shared" si="7"/>
        <v>3.8194444445252884E-2</v>
      </c>
      <c r="H187" s="1" t="s">
        <v>257</v>
      </c>
      <c r="J187" s="1" t="s">
        <v>258</v>
      </c>
      <c r="K187" s="1" t="str">
        <f>_xlfn.XLOOKUP(J187,REF!$D$2:$D$12,REF!$E$2:$E$12)</f>
        <v>Rede</v>
      </c>
      <c r="L187" s="1" t="s">
        <v>356</v>
      </c>
      <c r="M187" s="1" t="s">
        <v>260</v>
      </c>
      <c r="N187" s="1" t="s">
        <v>357</v>
      </c>
      <c r="O187" s="72" t="s">
        <v>297</v>
      </c>
      <c r="P187" s="1" t="str">
        <f>_xlfn.CONCAT(B187,C187,D187,E187,F187)</f>
        <v>ARAGUATINS 2.2Inverter(MBUS-15)46087,368055555646087,368055555646087,40625</v>
      </c>
      <c r="Q187" s="1" t="str">
        <f>_xlfn.CONCAT(H187,I187,J187)</f>
        <v>DAURDE</v>
      </c>
    </row>
    <row r="188" spans="2:17">
      <c r="B188" s="1" t="s">
        <v>312</v>
      </c>
      <c r="C188" s="1" t="s">
        <v>264</v>
      </c>
      <c r="D188" s="52">
        <v>46087.368055555555</v>
      </c>
      <c r="E188" s="52">
        <v>46087.368055555555</v>
      </c>
      <c r="F188" s="52">
        <v>46087.40625</v>
      </c>
      <c r="G188" s="53">
        <f t="shared" si="7"/>
        <v>3.8194444445252884E-2</v>
      </c>
      <c r="H188" s="1" t="s">
        <v>257</v>
      </c>
      <c r="J188" s="1" t="s">
        <v>258</v>
      </c>
      <c r="K188" s="1" t="str">
        <f>_xlfn.XLOOKUP(J188,REF!$D$2:$D$12,REF!$E$2:$E$12)</f>
        <v>Rede</v>
      </c>
      <c r="L188" s="1" t="s">
        <v>356</v>
      </c>
      <c r="M188" s="1" t="s">
        <v>260</v>
      </c>
      <c r="N188" s="1" t="s">
        <v>357</v>
      </c>
      <c r="O188" s="72" t="s">
        <v>297</v>
      </c>
      <c r="P188" s="1" t="str">
        <f>_xlfn.CONCAT(B188,C188,D188,E188,F188)</f>
        <v>ARAGUATINS 2.2Inverter(MBUS-13)46087,368055555646087,368055555646087,40625</v>
      </c>
      <c r="Q188" s="1" t="str">
        <f>_xlfn.CONCAT(H188,I188,J188)</f>
        <v>DAURDE</v>
      </c>
    </row>
    <row r="189" spans="2:17">
      <c r="B189" s="1" t="s">
        <v>312</v>
      </c>
      <c r="C189" s="1" t="s">
        <v>263</v>
      </c>
      <c r="D189" s="52">
        <v>46087.368055555555</v>
      </c>
      <c r="E189" s="52">
        <v>46087.368055555555</v>
      </c>
      <c r="F189" s="52">
        <v>46087.40625</v>
      </c>
      <c r="G189" s="53">
        <f t="shared" si="7"/>
        <v>3.8194444445252884E-2</v>
      </c>
      <c r="H189" s="1" t="s">
        <v>257</v>
      </c>
      <c r="J189" s="1" t="s">
        <v>258</v>
      </c>
      <c r="K189" s="1" t="str">
        <f>_xlfn.XLOOKUP(J189,REF!$D$2:$D$12,REF!$E$2:$E$12)</f>
        <v>Rede</v>
      </c>
      <c r="L189" s="1" t="s">
        <v>356</v>
      </c>
      <c r="M189" s="1" t="s">
        <v>260</v>
      </c>
      <c r="N189" s="1" t="s">
        <v>357</v>
      </c>
      <c r="O189" s="72" t="s">
        <v>297</v>
      </c>
      <c r="P189" s="1" t="str">
        <f>_xlfn.CONCAT(B189,C189,D189,E189,F189)</f>
        <v>ARAGUATINS 2.2Inverter(MBUS-14)46087,368055555646087,368055555646087,40625</v>
      </c>
      <c r="Q189" s="1" t="str">
        <f>_xlfn.CONCAT(H189,I189,J189)</f>
        <v>DAURDE</v>
      </c>
    </row>
    <row r="190" spans="2:17">
      <c r="B190" s="1" t="s">
        <v>312</v>
      </c>
      <c r="C190" s="1" t="s">
        <v>256</v>
      </c>
      <c r="D190" s="52">
        <v>46087.368055555555</v>
      </c>
      <c r="E190" s="52">
        <v>46087.368055555555</v>
      </c>
      <c r="F190" s="52">
        <v>46087.40625</v>
      </c>
      <c r="G190" s="53">
        <f t="shared" si="7"/>
        <v>3.8194444445252884E-2</v>
      </c>
      <c r="H190" s="1" t="s">
        <v>257</v>
      </c>
      <c r="J190" s="1" t="s">
        <v>258</v>
      </c>
      <c r="K190" s="1" t="str">
        <f>_xlfn.XLOOKUP(J190,REF!$D$2:$D$12,REF!$E$2:$E$12)</f>
        <v>Rede</v>
      </c>
      <c r="L190" s="1" t="s">
        <v>356</v>
      </c>
      <c r="M190" s="1" t="s">
        <v>260</v>
      </c>
      <c r="N190" s="1" t="s">
        <v>357</v>
      </c>
      <c r="O190" s="72" t="s">
        <v>297</v>
      </c>
      <c r="P190" s="1" t="str">
        <f>_xlfn.CONCAT(B190,C190,D190,E190,F190)</f>
        <v>ARAGUATINS 2.2Inverter(MBUS-12)46087,368055555646087,368055555646087,40625</v>
      </c>
      <c r="Q190" s="1" t="str">
        <f t="shared" ref="Q190:Q202" si="8">_xlfn.CONCAT(H190,I190,J190)</f>
        <v>DAURDE</v>
      </c>
    </row>
    <row r="191" spans="2:17">
      <c r="B191" s="1" t="s">
        <v>313</v>
      </c>
      <c r="C191" s="1" t="s">
        <v>256</v>
      </c>
      <c r="D191" s="52">
        <v>46087.368055555555</v>
      </c>
      <c r="E191" s="52">
        <v>46087.368055555555</v>
      </c>
      <c r="F191" s="52">
        <v>46087.40625</v>
      </c>
      <c r="G191" s="53">
        <f t="shared" si="7"/>
        <v>3.8194444445252884E-2</v>
      </c>
      <c r="H191" s="1" t="s">
        <v>257</v>
      </c>
      <c r="J191" s="1" t="s">
        <v>258</v>
      </c>
      <c r="K191" s="1" t="str">
        <f>_xlfn.XLOOKUP(J191,REF!$D$2:$D$12,REF!$E$2:$E$12)</f>
        <v>Rede</v>
      </c>
      <c r="L191" s="1" t="s">
        <v>356</v>
      </c>
      <c r="M191" s="1" t="s">
        <v>260</v>
      </c>
      <c r="N191" s="1" t="s">
        <v>357</v>
      </c>
      <c r="O191" s="72" t="s">
        <v>297</v>
      </c>
      <c r="P191" s="1" t="str">
        <f>_xlfn.CONCAT(B191,C191,D191,E191,F191)</f>
        <v>ARAGUATINS 2.3Inverter(MBUS-12)46087,368055555646087,368055555646087,40625</v>
      </c>
      <c r="Q191" s="1" t="str">
        <f t="shared" si="8"/>
        <v>DAURDE</v>
      </c>
    </row>
    <row r="192" spans="2:17">
      <c r="B192" s="1" t="s">
        <v>313</v>
      </c>
      <c r="C192" s="1" t="s">
        <v>264</v>
      </c>
      <c r="D192" s="52">
        <v>46087.368055555555</v>
      </c>
      <c r="E192" s="52">
        <v>46087.368055555555</v>
      </c>
      <c r="F192" s="52">
        <v>46087.40625</v>
      </c>
      <c r="G192" s="53">
        <f t="shared" si="7"/>
        <v>3.8194444445252884E-2</v>
      </c>
      <c r="H192" s="1" t="s">
        <v>257</v>
      </c>
      <c r="J192" s="1" t="s">
        <v>258</v>
      </c>
      <c r="K192" s="1" t="str">
        <f>_xlfn.XLOOKUP(J192,REF!$D$2:$D$12,REF!$E$2:$E$12)</f>
        <v>Rede</v>
      </c>
      <c r="L192" s="1" t="s">
        <v>356</v>
      </c>
      <c r="M192" s="1" t="s">
        <v>260</v>
      </c>
      <c r="N192" s="1" t="s">
        <v>357</v>
      </c>
      <c r="O192" s="72" t="s">
        <v>297</v>
      </c>
      <c r="P192" s="1" t="str">
        <f>_xlfn.CONCAT(B192,C192,D192,E192,F192)</f>
        <v>ARAGUATINS 2.3Inverter(MBUS-13)46087,368055555646087,368055555646087,40625</v>
      </c>
      <c r="Q192" s="1" t="str">
        <f t="shared" si="8"/>
        <v>DAURDE</v>
      </c>
    </row>
    <row r="193" spans="2:17">
      <c r="B193" s="1" t="s">
        <v>358</v>
      </c>
      <c r="C193" s="1" t="s">
        <v>359</v>
      </c>
      <c r="D193" s="52">
        <v>46087.369444444441</v>
      </c>
      <c r="E193" s="52">
        <v>46087.369444444441</v>
      </c>
      <c r="F193" s="52">
        <v>46087.375</v>
      </c>
      <c r="G193" s="53">
        <f t="shared" si="7"/>
        <v>5.5555555591126904E-3</v>
      </c>
      <c r="H193" s="1" t="s">
        <v>268</v>
      </c>
      <c r="I193" s="1" t="s">
        <v>269</v>
      </c>
      <c r="J193" s="1" t="s">
        <v>270</v>
      </c>
      <c r="K193" s="1" t="str">
        <f>_xlfn.XLOOKUP(J193,REF!$D$2:$D$12,REF!$E$2:$E$12)</f>
        <v>Internet</v>
      </c>
      <c r="L193" s="1" t="s">
        <v>271</v>
      </c>
      <c r="M193" s="1" t="s">
        <v>272</v>
      </c>
      <c r="N193" s="1" t="s">
        <v>290</v>
      </c>
      <c r="O193" s="1" t="s">
        <v>291</v>
      </c>
      <c r="P193" s="1" t="str">
        <f t="shared" ref="P193:P200" si="9">_xlfn.CONCAT(B193,C193,D193,E193,F193)</f>
        <v>BC Aracu2araçu 2.1 inversor 146087,369444444446087,369444444446087,375</v>
      </c>
      <c r="Q193" s="1" t="str">
        <f t="shared" si="8"/>
        <v>LIGRFOINT</v>
      </c>
    </row>
    <row r="194" spans="2:17">
      <c r="B194" s="1" t="s">
        <v>360</v>
      </c>
      <c r="C194" s="1" t="s">
        <v>361</v>
      </c>
      <c r="D194" s="52">
        <v>46087.15347222222</v>
      </c>
      <c r="E194" s="52">
        <v>46087.15347222222</v>
      </c>
      <c r="G194" s="53">
        <f t="shared" si="7"/>
        <v>-46087.15347222222</v>
      </c>
      <c r="H194" s="1" t="s">
        <v>248</v>
      </c>
      <c r="J194" s="1" t="s">
        <v>230</v>
      </c>
      <c r="K194" s="1" t="str">
        <f>_xlfn.XLOOKUP(J194,REF!$D$2:$D$12,REF!$E$2:$E$12)</f>
        <v>UFV</v>
      </c>
      <c r="L194" s="1" t="s">
        <v>362</v>
      </c>
      <c r="M194" s="1" t="s">
        <v>363</v>
      </c>
      <c r="N194" s="1" t="s">
        <v>364</v>
      </c>
      <c r="O194" s="1" t="s">
        <v>365</v>
      </c>
      <c r="P194" s="1" t="str">
        <f t="shared" si="9"/>
        <v>BC Corumba1.1U01.I0446087,153472222246087,1534722222</v>
      </c>
      <c r="Q194" s="1" t="str">
        <f t="shared" si="8"/>
        <v>DEMUFV</v>
      </c>
    </row>
    <row r="195" spans="2:17">
      <c r="B195" s="1" t="s">
        <v>360</v>
      </c>
      <c r="C195" s="1" t="s">
        <v>366</v>
      </c>
      <c r="D195" s="52">
        <v>46087.15347222222</v>
      </c>
      <c r="E195" s="52">
        <v>46087.15347222222</v>
      </c>
      <c r="G195" s="53">
        <f t="shared" si="7"/>
        <v>-46087.15347222222</v>
      </c>
      <c r="H195" s="1" t="s">
        <v>248</v>
      </c>
      <c r="J195" s="1" t="s">
        <v>230</v>
      </c>
      <c r="K195" s="1" t="str">
        <f>_xlfn.XLOOKUP(J195,REF!$D$2:$D$12,REF!$E$2:$E$12)</f>
        <v>UFV</v>
      </c>
      <c r="L195" s="1" t="s">
        <v>362</v>
      </c>
      <c r="M195" s="1" t="s">
        <v>363</v>
      </c>
      <c r="N195" s="1" t="s">
        <v>364</v>
      </c>
      <c r="O195" s="1" t="s">
        <v>365</v>
      </c>
      <c r="P195" s="1" t="str">
        <f t="shared" si="9"/>
        <v>BC Corumba1.1U01.I0546087,153472222246087,1534722222</v>
      </c>
      <c r="Q195" s="1" t="str">
        <f t="shared" si="8"/>
        <v>DEMUFV</v>
      </c>
    </row>
    <row r="196" spans="2:17">
      <c r="B196" s="1" t="s">
        <v>367</v>
      </c>
      <c r="C196" s="1" t="s">
        <v>287</v>
      </c>
      <c r="D196" s="52">
        <v>46087.15347222222</v>
      </c>
      <c r="E196" s="52">
        <v>46087.15347222222</v>
      </c>
      <c r="G196" s="53">
        <f t="shared" si="7"/>
        <v>-46087.15347222222</v>
      </c>
      <c r="H196" s="1" t="s">
        <v>248</v>
      </c>
      <c r="J196" s="1" t="s">
        <v>230</v>
      </c>
      <c r="K196" s="1" t="str">
        <f>_xlfn.XLOOKUP(J196,REF!$D$2:$D$12,REF!$E$2:$E$12)</f>
        <v>UFV</v>
      </c>
      <c r="L196" s="1" t="s">
        <v>362</v>
      </c>
      <c r="M196" s="1" t="s">
        <v>363</v>
      </c>
      <c r="N196" s="1" t="s">
        <v>364</v>
      </c>
      <c r="O196" s="1" t="s">
        <v>365</v>
      </c>
      <c r="P196" s="1" t="str">
        <f t="shared" si="9"/>
        <v>BC Corumba1.2U02.I0146087,153472222246087,1534722222</v>
      </c>
      <c r="Q196" s="1" t="str">
        <f t="shared" si="8"/>
        <v>DEMUFV</v>
      </c>
    </row>
    <row r="197" spans="2:17">
      <c r="B197" s="1" t="s">
        <v>367</v>
      </c>
      <c r="C197" s="1" t="s">
        <v>292</v>
      </c>
      <c r="D197" s="52">
        <v>46087.15347222222</v>
      </c>
      <c r="E197" s="52">
        <v>46087.15347222222</v>
      </c>
      <c r="G197" s="53">
        <f t="shared" si="7"/>
        <v>-46087.15347222222</v>
      </c>
      <c r="H197" s="1" t="s">
        <v>248</v>
      </c>
      <c r="J197" s="1" t="s">
        <v>230</v>
      </c>
      <c r="K197" s="1" t="str">
        <f>_xlfn.XLOOKUP(J197,REF!$D$2:$D$12,REF!$E$2:$E$12)</f>
        <v>UFV</v>
      </c>
      <c r="L197" s="1" t="s">
        <v>362</v>
      </c>
      <c r="M197" s="1" t="s">
        <v>363</v>
      </c>
      <c r="N197" s="1" t="s">
        <v>364</v>
      </c>
      <c r="O197" s="1" t="s">
        <v>365</v>
      </c>
      <c r="P197" s="1" t="str">
        <f t="shared" si="9"/>
        <v>BC Corumba1.2U02.I0246087,153472222246087,1534722222</v>
      </c>
      <c r="Q197" s="1" t="str">
        <f t="shared" si="8"/>
        <v>DEMUFV</v>
      </c>
    </row>
    <row r="198" spans="2:17">
      <c r="B198" s="1" t="s">
        <v>367</v>
      </c>
      <c r="C198" s="1" t="s">
        <v>293</v>
      </c>
      <c r="D198" s="52">
        <v>46087.15347222222</v>
      </c>
      <c r="E198" s="52">
        <v>46087.15347222222</v>
      </c>
      <c r="G198" s="53">
        <f t="shared" si="7"/>
        <v>-46087.15347222222</v>
      </c>
      <c r="H198" s="1" t="s">
        <v>248</v>
      </c>
      <c r="J198" s="1" t="s">
        <v>230</v>
      </c>
      <c r="K198" s="1" t="str">
        <f>_xlfn.XLOOKUP(J198,REF!$D$2:$D$12,REF!$E$2:$E$12)</f>
        <v>UFV</v>
      </c>
      <c r="L198" s="1" t="s">
        <v>362</v>
      </c>
      <c r="M198" s="1" t="s">
        <v>363</v>
      </c>
      <c r="N198" s="1" t="s">
        <v>364</v>
      </c>
      <c r="O198" s="1" t="s">
        <v>365</v>
      </c>
      <c r="P198" s="1" t="str">
        <f t="shared" si="9"/>
        <v>BC Corumba1.2U02.I0346087,153472222246087,1534722222</v>
      </c>
      <c r="Q198" s="1" t="str">
        <f t="shared" si="8"/>
        <v>DEMUFV</v>
      </c>
    </row>
    <row r="199" spans="2:17">
      <c r="B199" s="1" t="s">
        <v>367</v>
      </c>
      <c r="C199" s="1" t="s">
        <v>294</v>
      </c>
      <c r="D199" s="52">
        <v>46087.15347222222</v>
      </c>
      <c r="E199" s="52">
        <v>46087.15347222222</v>
      </c>
      <c r="G199" s="53">
        <f t="shared" si="7"/>
        <v>-46087.15347222222</v>
      </c>
      <c r="H199" s="1" t="s">
        <v>248</v>
      </c>
      <c r="J199" s="1" t="s">
        <v>230</v>
      </c>
      <c r="K199" s="1" t="str">
        <f>_xlfn.XLOOKUP(J199,REF!$D$2:$D$12,REF!$E$2:$E$12)</f>
        <v>UFV</v>
      </c>
      <c r="L199" s="1" t="s">
        <v>362</v>
      </c>
      <c r="M199" s="1" t="s">
        <v>363</v>
      </c>
      <c r="N199" s="1" t="s">
        <v>364</v>
      </c>
      <c r="O199" s="1" t="s">
        <v>365</v>
      </c>
      <c r="P199" s="1" t="str">
        <f t="shared" si="9"/>
        <v>BC Corumba1.2U02.I0446087,153472222246087,1534722222</v>
      </c>
      <c r="Q199" s="1" t="str">
        <f t="shared" si="8"/>
        <v>DEMUFV</v>
      </c>
    </row>
    <row r="200" spans="2:17">
      <c r="B200" s="1" t="s">
        <v>367</v>
      </c>
      <c r="C200" s="1" t="s">
        <v>295</v>
      </c>
      <c r="D200" s="52">
        <v>46087.15347222222</v>
      </c>
      <c r="E200" s="52">
        <v>46087.15347222222</v>
      </c>
      <c r="G200" s="53">
        <f t="shared" si="7"/>
        <v>-46087.15347222222</v>
      </c>
      <c r="H200" s="1" t="s">
        <v>248</v>
      </c>
      <c r="J200" s="1" t="s">
        <v>230</v>
      </c>
      <c r="K200" s="1" t="str">
        <f>_xlfn.XLOOKUP(J200,REF!$D$2:$D$12,REF!$E$2:$E$12)</f>
        <v>UFV</v>
      </c>
      <c r="L200" s="1" t="s">
        <v>362</v>
      </c>
      <c r="M200" s="1" t="s">
        <v>363</v>
      </c>
      <c r="N200" s="1" t="s">
        <v>364</v>
      </c>
      <c r="O200" s="1" t="s">
        <v>365</v>
      </c>
      <c r="P200" s="1" t="str">
        <f t="shared" si="9"/>
        <v>BC Corumba1.2U02.I0546087,153472222246087,1534722222</v>
      </c>
      <c r="Q200" s="1" t="str">
        <f t="shared" si="8"/>
        <v>DEMUFV</v>
      </c>
    </row>
    <row r="201" spans="2:17" ht="17.25" customHeight="1">
      <c r="B201" s="1" t="s">
        <v>368</v>
      </c>
      <c r="C201" s="1" t="s">
        <v>256</v>
      </c>
      <c r="D201" s="52">
        <v>46087.642361111109</v>
      </c>
      <c r="E201" s="52">
        <v>46087.642361111109</v>
      </c>
      <c r="F201" s="52">
        <v>46087.654166666667</v>
      </c>
      <c r="G201" s="53">
        <f t="shared" si="7"/>
        <v>1.1805555557657499E-2</v>
      </c>
      <c r="H201" s="1" t="s">
        <v>257</v>
      </c>
      <c r="J201" s="1" t="s">
        <v>258</v>
      </c>
      <c r="K201" s="1" t="str">
        <f>_xlfn.XLOOKUP(J201,REF!$D$2:$D$12,REF!$E$2:$E$12)</f>
        <v>Rede</v>
      </c>
      <c r="L201" s="1" t="s">
        <v>369</v>
      </c>
      <c r="M201" s="1" t="s">
        <v>260</v>
      </c>
      <c r="N201" s="1" t="s">
        <v>357</v>
      </c>
      <c r="O201" s="72" t="s">
        <v>297</v>
      </c>
      <c r="P201" s="1" t="str">
        <f>_xlfn.CONCAT(B201,C201,D201,E201,F201)</f>
        <v>BC Ibiuna 1.1Inverter(MBUS-12)46087,642361111146087,642361111146087,6541666667</v>
      </c>
      <c r="Q201" s="1" t="str">
        <f t="shared" si="8"/>
        <v>DAURDE</v>
      </c>
    </row>
    <row r="202" spans="2:17">
      <c r="B202" s="1" t="s">
        <v>368</v>
      </c>
      <c r="C202" s="1" t="s">
        <v>264</v>
      </c>
      <c r="D202" s="52">
        <v>46087.642361111109</v>
      </c>
      <c r="E202" s="52">
        <v>46087.642361111109</v>
      </c>
      <c r="F202" s="52">
        <v>46087.654166666667</v>
      </c>
      <c r="G202" s="53">
        <f t="shared" si="7"/>
        <v>1.1805555557657499E-2</v>
      </c>
      <c r="H202" s="1" t="s">
        <v>257</v>
      </c>
      <c r="J202" s="1" t="s">
        <v>258</v>
      </c>
      <c r="K202" s="1" t="str">
        <f>_xlfn.XLOOKUP(J202,REF!$D$2:$D$12,REF!$E$2:$E$12)</f>
        <v>Rede</v>
      </c>
      <c r="L202" s="1" t="s">
        <v>369</v>
      </c>
      <c r="M202" s="1" t="s">
        <v>260</v>
      </c>
      <c r="N202" s="1" t="s">
        <v>357</v>
      </c>
      <c r="O202" s="72" t="s">
        <v>297</v>
      </c>
      <c r="P202" s="1" t="str">
        <f>_xlfn.CONCAT(B202,C202,D202,E202,F202)</f>
        <v>BC Ibiuna 1.1Inverter(MBUS-13)46087,642361111146087,642361111146087,6541666667</v>
      </c>
      <c r="Q202" s="1" t="str">
        <f t="shared" si="8"/>
        <v>DAURDE</v>
      </c>
    </row>
    <row r="203" spans="2:17">
      <c r="B203" s="1" t="s">
        <v>368</v>
      </c>
      <c r="C203" s="1" t="s">
        <v>263</v>
      </c>
      <c r="D203" s="52">
        <v>46087.642361111109</v>
      </c>
      <c r="E203" s="52">
        <v>46087.642361111109</v>
      </c>
      <c r="F203" s="52">
        <v>46087.654166666667</v>
      </c>
      <c r="G203" s="53">
        <f t="shared" si="7"/>
        <v>1.1805555557657499E-2</v>
      </c>
      <c r="H203" s="1" t="s">
        <v>257</v>
      </c>
      <c r="J203" s="1" t="s">
        <v>258</v>
      </c>
      <c r="K203" s="1" t="str">
        <f>_xlfn.XLOOKUP(J203,REF!$D$2:$D$12,REF!$E$2:$E$12)</f>
        <v>Rede</v>
      </c>
      <c r="L203" s="1" t="s">
        <v>369</v>
      </c>
      <c r="M203" s="1" t="s">
        <v>260</v>
      </c>
      <c r="N203" s="1" t="s">
        <v>357</v>
      </c>
      <c r="O203" s="72" t="s">
        <v>297</v>
      </c>
      <c r="P203" s="1" t="str">
        <f>_xlfn.CONCAT(B203,C203,D203,E203,F203)</f>
        <v>BC Ibiuna 1.1Inverter(MBUS-14)46087,642361111146087,642361111146087,6541666667</v>
      </c>
      <c r="Q203" s="1" t="str">
        <f t="shared" ref="Q203:Q234" si="10">_xlfn.CONCAT(H203,I203,J203)</f>
        <v>DAURDE</v>
      </c>
    </row>
    <row r="204" spans="2:17">
      <c r="B204" s="1" t="s">
        <v>368</v>
      </c>
      <c r="C204" s="1" t="s">
        <v>307</v>
      </c>
      <c r="D204" s="52">
        <v>46087.642361111109</v>
      </c>
      <c r="E204" s="52">
        <v>46087.642361111109</v>
      </c>
      <c r="F204" s="52">
        <v>46087.654166666667</v>
      </c>
      <c r="G204" s="53">
        <f t="shared" si="7"/>
        <v>1.1805555557657499E-2</v>
      </c>
      <c r="H204" s="1" t="s">
        <v>257</v>
      </c>
      <c r="J204" s="1" t="s">
        <v>258</v>
      </c>
      <c r="K204" s="1" t="str">
        <f>_xlfn.XLOOKUP(J204,REF!$D$2:$D$12,REF!$E$2:$E$12)</f>
        <v>Rede</v>
      </c>
      <c r="L204" s="1" t="s">
        <v>369</v>
      </c>
      <c r="M204" s="1" t="s">
        <v>260</v>
      </c>
      <c r="N204" s="1" t="s">
        <v>357</v>
      </c>
      <c r="O204" s="72" t="s">
        <v>297</v>
      </c>
      <c r="P204" s="1" t="str">
        <f>_xlfn.CONCAT(B204,C204,D204,E204,F204)</f>
        <v>BC Ibiuna 1.1Inverter(MBUS-15)46087,642361111146087,642361111146087,6541666667</v>
      </c>
      <c r="Q204" s="1" t="str">
        <f t="shared" si="10"/>
        <v>DAURDE</v>
      </c>
    </row>
    <row r="205" spans="2:17">
      <c r="B205" s="1" t="s">
        <v>370</v>
      </c>
      <c r="C205" s="1" t="s">
        <v>256</v>
      </c>
      <c r="D205" s="52">
        <v>46087.642361111109</v>
      </c>
      <c r="E205" s="52">
        <v>46087.642361111109</v>
      </c>
      <c r="F205" s="52">
        <v>46087.654166666667</v>
      </c>
      <c r="G205" s="53">
        <f t="shared" si="7"/>
        <v>1.1805555557657499E-2</v>
      </c>
      <c r="H205" s="1" t="s">
        <v>257</v>
      </c>
      <c r="J205" s="1" t="s">
        <v>258</v>
      </c>
      <c r="K205" s="1" t="str">
        <f>_xlfn.XLOOKUP(J205,REF!$D$2:$D$12,REF!$E$2:$E$12)</f>
        <v>Rede</v>
      </c>
      <c r="L205" s="1" t="s">
        <v>369</v>
      </c>
      <c r="M205" s="1" t="s">
        <v>260</v>
      </c>
      <c r="N205" s="1" t="s">
        <v>357</v>
      </c>
      <c r="O205" s="72" t="s">
        <v>297</v>
      </c>
      <c r="P205" s="1" t="str">
        <f>_xlfn.CONCAT(B205,C205,D205,E205,F205)</f>
        <v>BC Ibiuna 1.2Inverter(MBUS-12)46087,642361111146087,642361111146087,6541666667</v>
      </c>
      <c r="Q205" s="1" t="str">
        <f t="shared" si="10"/>
        <v>DAURDE</v>
      </c>
    </row>
    <row r="206" spans="2:17">
      <c r="B206" s="1" t="s">
        <v>370</v>
      </c>
      <c r="C206" s="1" t="s">
        <v>264</v>
      </c>
      <c r="D206" s="52">
        <v>46087.642361111109</v>
      </c>
      <c r="E206" s="52">
        <v>46087.642361111109</v>
      </c>
      <c r="F206" s="52">
        <v>46087.654166666667</v>
      </c>
      <c r="G206" s="53">
        <f t="shared" si="7"/>
        <v>1.1805555557657499E-2</v>
      </c>
      <c r="H206" s="1" t="s">
        <v>257</v>
      </c>
      <c r="J206" s="1" t="s">
        <v>258</v>
      </c>
      <c r="K206" s="1" t="str">
        <f>_xlfn.XLOOKUP(J206,REF!$D$2:$D$12,REF!$E$2:$E$12)</f>
        <v>Rede</v>
      </c>
      <c r="L206" s="1" t="s">
        <v>369</v>
      </c>
      <c r="M206" s="1" t="s">
        <v>260</v>
      </c>
      <c r="N206" s="1" t="s">
        <v>357</v>
      </c>
      <c r="O206" s="72" t="s">
        <v>297</v>
      </c>
      <c r="P206" s="1" t="str">
        <f>_xlfn.CONCAT(B206,C206,D206,E206,F206)</f>
        <v>BC Ibiuna 1.2Inverter(MBUS-13)46087,642361111146087,642361111146087,6541666667</v>
      </c>
      <c r="Q206" s="1" t="str">
        <f t="shared" si="10"/>
        <v>DAURDE</v>
      </c>
    </row>
    <row r="207" spans="2:17">
      <c r="B207" s="1" t="s">
        <v>370</v>
      </c>
      <c r="C207" s="1" t="s">
        <v>263</v>
      </c>
      <c r="D207" s="52">
        <v>46087.642361111109</v>
      </c>
      <c r="E207" s="52">
        <v>46087.642361111109</v>
      </c>
      <c r="F207" s="52">
        <v>46087.654166666667</v>
      </c>
      <c r="G207" s="53">
        <f t="shared" si="7"/>
        <v>1.1805555557657499E-2</v>
      </c>
      <c r="H207" s="1" t="s">
        <v>257</v>
      </c>
      <c r="J207" s="1" t="s">
        <v>258</v>
      </c>
      <c r="K207" s="1" t="str">
        <f>_xlfn.XLOOKUP(J207,REF!$D$2:$D$12,REF!$E$2:$E$12)</f>
        <v>Rede</v>
      </c>
      <c r="L207" s="1" t="s">
        <v>369</v>
      </c>
      <c r="M207" s="1" t="s">
        <v>260</v>
      </c>
      <c r="N207" s="1" t="s">
        <v>357</v>
      </c>
      <c r="O207" s="72" t="s">
        <v>297</v>
      </c>
      <c r="P207" s="1" t="str">
        <f>_xlfn.CONCAT(B207,C207,D207,E207,F207)</f>
        <v>BC Ibiuna 1.2Inverter(MBUS-14)46087,642361111146087,642361111146087,6541666667</v>
      </c>
      <c r="Q207" s="1" t="str">
        <f t="shared" si="10"/>
        <v>DAURDE</v>
      </c>
    </row>
    <row r="208" spans="2:17">
      <c r="B208" s="1" t="s">
        <v>370</v>
      </c>
      <c r="C208" s="1" t="s">
        <v>307</v>
      </c>
      <c r="D208" s="52">
        <v>46087.642361111109</v>
      </c>
      <c r="E208" s="52">
        <v>46087.642361111109</v>
      </c>
      <c r="F208" s="52">
        <v>46087.654166666667</v>
      </c>
      <c r="G208" s="53">
        <f t="shared" si="7"/>
        <v>1.1805555557657499E-2</v>
      </c>
      <c r="H208" s="1" t="s">
        <v>257</v>
      </c>
      <c r="J208" s="1" t="s">
        <v>258</v>
      </c>
      <c r="K208" s="1" t="str">
        <f>_xlfn.XLOOKUP(J208,REF!$D$2:$D$12,REF!$E$2:$E$12)</f>
        <v>Rede</v>
      </c>
      <c r="L208" s="1" t="s">
        <v>369</v>
      </c>
      <c r="M208" s="1" t="s">
        <v>260</v>
      </c>
      <c r="N208" s="1" t="s">
        <v>357</v>
      </c>
      <c r="O208" s="72" t="s">
        <v>297</v>
      </c>
      <c r="P208" s="1" t="str">
        <f>_xlfn.CONCAT(B208,C208,D208,E208,F208)</f>
        <v>BC Ibiuna 1.2Inverter(MBUS-15)46087,642361111146087,642361111146087,6541666667</v>
      </c>
      <c r="Q208" s="1" t="str">
        <f t="shared" si="10"/>
        <v>DAURDE</v>
      </c>
    </row>
    <row r="209" spans="2:17">
      <c r="B209" s="1" t="s">
        <v>41</v>
      </c>
      <c r="C209" s="1" t="s">
        <v>285</v>
      </c>
      <c r="D209" s="52">
        <v>46087.652777777781</v>
      </c>
      <c r="E209" s="52">
        <v>46087.652777777781</v>
      </c>
      <c r="F209" s="52">
        <v>46096.652777777781</v>
      </c>
      <c r="G209" s="53">
        <f t="shared" si="7"/>
        <v>9</v>
      </c>
      <c r="H209" s="1" t="s">
        <v>257</v>
      </c>
      <c r="J209" s="1" t="s">
        <v>371</v>
      </c>
      <c r="K209" s="1" t="str">
        <f>_xlfn.XLOOKUP(J209,REF!$D$2:$D$12,REF!$E$2:$E$12)</f>
        <v>Inversor</v>
      </c>
      <c r="L209" s="1" t="s">
        <v>372</v>
      </c>
      <c r="M209" s="1" t="s">
        <v>252</v>
      </c>
      <c r="N209" s="1" t="s">
        <v>253</v>
      </c>
      <c r="O209" s="72" t="s">
        <v>373</v>
      </c>
      <c r="P209" s="1" t="str">
        <f>_xlfn.CONCAT(B209,C209,D209,E209,F209)</f>
        <v>BC Bom SucessoJ46087,652777777846087,652777777846096,6527777778</v>
      </c>
      <c r="Q209" s="1" t="str">
        <f t="shared" si="10"/>
        <v>DAUINV</v>
      </c>
    </row>
    <row r="210" spans="2:17">
      <c r="B210" s="1" t="s">
        <v>321</v>
      </c>
      <c r="C210" s="1" t="s">
        <v>322</v>
      </c>
      <c r="D210" s="52">
        <v>46087.871527777781</v>
      </c>
      <c r="E210" s="52">
        <v>46087.871527777781</v>
      </c>
      <c r="F210" s="52">
        <v>46088.367361111108</v>
      </c>
      <c r="G210" s="53">
        <f t="shared" si="7"/>
        <v>0.4958333333270275</v>
      </c>
      <c r="H210" s="1" t="s">
        <v>257</v>
      </c>
      <c r="J210" s="1" t="s">
        <v>258</v>
      </c>
      <c r="K210" s="1" t="str">
        <f>_xlfn.XLOOKUP(J210,REF!$D$2:$D$12,REF!$E$2:$E$12)</f>
        <v>Rede</v>
      </c>
      <c r="L210" s="1" t="s">
        <v>374</v>
      </c>
      <c r="M210" s="1" t="s">
        <v>260</v>
      </c>
      <c r="N210" s="1" t="s">
        <v>357</v>
      </c>
      <c r="O210" s="72" t="s">
        <v>297</v>
      </c>
      <c r="P210" s="1" t="str">
        <f>_xlfn.CONCAT(B210,C210,D210,E210,F210)</f>
        <v>BC Aracu4SG75CX(COM1-018)_001_01846087,871527777846087,871527777846088,3673611111</v>
      </c>
      <c r="Q210" s="1" t="str">
        <f t="shared" si="10"/>
        <v>DAURDE</v>
      </c>
    </row>
    <row r="211" spans="2:17">
      <c r="B211" s="1" t="s">
        <v>321</v>
      </c>
      <c r="C211" s="1" t="s">
        <v>324</v>
      </c>
      <c r="D211" s="52">
        <v>46087.871527777781</v>
      </c>
      <c r="E211" s="52">
        <v>46087.871527777781</v>
      </c>
      <c r="F211" s="52">
        <v>46088.367361111108</v>
      </c>
      <c r="G211" s="53">
        <f t="shared" si="7"/>
        <v>0.4958333333270275</v>
      </c>
      <c r="H211" s="1" t="s">
        <v>257</v>
      </c>
      <c r="J211" s="1" t="s">
        <v>258</v>
      </c>
      <c r="K211" s="1" t="str">
        <f>_xlfn.XLOOKUP(J211,REF!$D$2:$D$12,REF!$E$2:$E$12)</f>
        <v>Rede</v>
      </c>
      <c r="L211" s="1" t="s">
        <v>374</v>
      </c>
      <c r="M211" s="1" t="s">
        <v>260</v>
      </c>
      <c r="N211" s="1" t="s">
        <v>357</v>
      </c>
      <c r="O211" s="72" t="s">
        <v>297</v>
      </c>
      <c r="P211" s="1" t="str">
        <f>_xlfn.CONCAT(B211,C211,D211,E211,F211)</f>
        <v>BC Aracu4SG75CX(COM1-019)_001_01946087,871527777846087,871527777846088,3673611111</v>
      </c>
      <c r="Q211" s="1" t="str">
        <f t="shared" si="10"/>
        <v>DAURDE</v>
      </c>
    </row>
    <row r="212" spans="2:17">
      <c r="B212" s="1" t="s">
        <v>321</v>
      </c>
      <c r="C212" s="1" t="s">
        <v>325</v>
      </c>
      <c r="D212" s="52">
        <v>46087.871527777781</v>
      </c>
      <c r="E212" s="52">
        <v>46087.871527777781</v>
      </c>
      <c r="F212" s="52">
        <v>46088.367361111108</v>
      </c>
      <c r="G212" s="53">
        <f t="shared" si="7"/>
        <v>0.4958333333270275</v>
      </c>
      <c r="H212" s="1" t="s">
        <v>257</v>
      </c>
      <c r="J212" s="1" t="s">
        <v>258</v>
      </c>
      <c r="K212" s="1" t="str">
        <f>_xlfn.XLOOKUP(J212,REF!$D$2:$D$12,REF!$E$2:$E$12)</f>
        <v>Rede</v>
      </c>
      <c r="L212" s="1" t="s">
        <v>374</v>
      </c>
      <c r="M212" s="1" t="s">
        <v>260</v>
      </c>
      <c r="N212" s="1" t="s">
        <v>357</v>
      </c>
      <c r="O212" s="72" t="s">
        <v>297</v>
      </c>
      <c r="P212" s="1" t="str">
        <f>_xlfn.CONCAT(B212,C212,D212,E212,F212)</f>
        <v>BC Aracu4SG75CX(COM1-020)_001_02046087,871527777846087,871527777846088,3673611111</v>
      </c>
      <c r="Q212" s="1" t="str">
        <f t="shared" si="10"/>
        <v>DAURDE</v>
      </c>
    </row>
    <row r="213" spans="2:17">
      <c r="B213" s="1" t="s">
        <v>321</v>
      </c>
      <c r="C213" s="1" t="s">
        <v>326</v>
      </c>
      <c r="D213" s="52">
        <v>46087.871527777781</v>
      </c>
      <c r="E213" s="52">
        <v>46087.871527777781</v>
      </c>
      <c r="F213" s="52">
        <v>46088.367361111108</v>
      </c>
      <c r="G213" s="53">
        <f t="shared" si="7"/>
        <v>0.4958333333270275</v>
      </c>
      <c r="H213" s="1" t="s">
        <v>257</v>
      </c>
      <c r="J213" s="1" t="s">
        <v>258</v>
      </c>
      <c r="K213" s="1" t="str">
        <f>_xlfn.XLOOKUP(J213,REF!$D$2:$D$12,REF!$E$2:$E$12)</f>
        <v>Rede</v>
      </c>
      <c r="L213" s="1" t="s">
        <v>374</v>
      </c>
      <c r="M213" s="1" t="s">
        <v>260</v>
      </c>
      <c r="N213" s="1" t="s">
        <v>357</v>
      </c>
      <c r="O213" s="72" t="s">
        <v>297</v>
      </c>
      <c r="P213" s="1" t="str">
        <f>_xlfn.CONCAT(B213,C213,D213,E213,F213)</f>
        <v>BC Aracu4SG75CX(COM1-021)_001_02146087,871527777846087,871527777846088,3673611111</v>
      </c>
      <c r="Q213" s="1" t="str">
        <f t="shared" si="10"/>
        <v>DAURDE</v>
      </c>
    </row>
    <row r="214" spans="2:17">
      <c r="B214" s="1" t="s">
        <v>327</v>
      </c>
      <c r="C214" s="1" t="s">
        <v>247</v>
      </c>
      <c r="D214" s="52">
        <v>46087.871527777781</v>
      </c>
      <c r="E214" s="52">
        <v>46087.871527777781</v>
      </c>
      <c r="F214" s="52">
        <v>46088.367361111108</v>
      </c>
      <c r="G214" s="53">
        <f t="shared" si="7"/>
        <v>0.4958333333270275</v>
      </c>
      <c r="H214" s="1" t="s">
        <v>257</v>
      </c>
      <c r="J214" s="1" t="s">
        <v>258</v>
      </c>
      <c r="K214" s="1" t="str">
        <f>_xlfn.XLOOKUP(J214,REF!$D$2:$D$12,REF!$E$2:$E$12)</f>
        <v>Rede</v>
      </c>
      <c r="L214" s="1" t="s">
        <v>374</v>
      </c>
      <c r="M214" s="1" t="s">
        <v>260</v>
      </c>
      <c r="N214" s="1" t="s">
        <v>357</v>
      </c>
      <c r="O214" s="72" t="s">
        <v>297</v>
      </c>
      <c r="P214" s="1" t="str">
        <f>_xlfn.CONCAT(B214,C214,D214,E214,F214)</f>
        <v>BC Aracu5.1Inverter(MBUS-1)46087,871527777846087,871527777846088,3673611111</v>
      </c>
      <c r="Q214" s="1" t="str">
        <f t="shared" si="10"/>
        <v>DAURDE</v>
      </c>
    </row>
    <row r="215" spans="2:17">
      <c r="B215" s="1" t="s">
        <v>246</v>
      </c>
      <c r="C215" s="1" t="s">
        <v>247</v>
      </c>
      <c r="D215" s="52">
        <v>46087.871527777781</v>
      </c>
      <c r="E215" s="52">
        <v>46087.871527777781</v>
      </c>
      <c r="F215" s="52">
        <v>46088.367361111108</v>
      </c>
      <c r="G215" s="53">
        <f t="shared" si="7"/>
        <v>0.4958333333270275</v>
      </c>
      <c r="H215" s="1" t="s">
        <v>257</v>
      </c>
      <c r="J215" s="1" t="s">
        <v>258</v>
      </c>
      <c r="K215" s="1" t="str">
        <f>_xlfn.XLOOKUP(J215,REF!$D$2:$D$12,REF!$E$2:$E$12)</f>
        <v>Rede</v>
      </c>
      <c r="L215" s="1" t="s">
        <v>374</v>
      </c>
      <c r="M215" s="1" t="s">
        <v>260</v>
      </c>
      <c r="N215" s="1" t="s">
        <v>357</v>
      </c>
      <c r="O215" s="72" t="s">
        <v>297</v>
      </c>
      <c r="P215" s="1" t="str">
        <f>_xlfn.CONCAT(B215,C215,D216,E215,F215)</f>
        <v>BC Aracu5.2Inverter(MBUS-1)46087,871527777846087,871527777846088,3673611111</v>
      </c>
      <c r="Q215" s="1" t="str">
        <f t="shared" si="10"/>
        <v>DAURDE</v>
      </c>
    </row>
    <row r="216" spans="2:17">
      <c r="B216" s="1" t="s">
        <v>328</v>
      </c>
      <c r="C216" s="1" t="s">
        <v>247</v>
      </c>
      <c r="D216" s="52">
        <v>46087.871527777781</v>
      </c>
      <c r="E216" s="52">
        <v>46087.871527777781</v>
      </c>
      <c r="F216" s="52">
        <v>46088.367361111108</v>
      </c>
      <c r="G216" s="53">
        <f t="shared" si="7"/>
        <v>0.4958333333270275</v>
      </c>
      <c r="H216" s="1" t="s">
        <v>257</v>
      </c>
      <c r="J216" s="1" t="s">
        <v>258</v>
      </c>
      <c r="K216" s="1" t="str">
        <f>_xlfn.XLOOKUP(J216,REF!$D$2:$D$12,REF!$E$2:$E$12)</f>
        <v>Rede</v>
      </c>
      <c r="L216" s="1" t="s">
        <v>374</v>
      </c>
      <c r="M216" s="1" t="s">
        <v>260</v>
      </c>
      <c r="N216" s="1" t="s">
        <v>357</v>
      </c>
      <c r="O216" s="72" t="s">
        <v>297</v>
      </c>
      <c r="P216" s="1" t="str">
        <f>_xlfn.CONCAT(B216,C216,D217,E216,F216)</f>
        <v>BC Aracu5.3Inverter(MBUS-1)46087,871527777846087,871527777846088,3673611111</v>
      </c>
      <c r="Q216" s="1" t="str">
        <f t="shared" si="10"/>
        <v>DAURDE</v>
      </c>
    </row>
    <row r="217" spans="2:17">
      <c r="B217" s="1" t="s">
        <v>329</v>
      </c>
      <c r="C217" s="1" t="s">
        <v>247</v>
      </c>
      <c r="D217" s="52">
        <v>46087.871527777781</v>
      </c>
      <c r="E217" s="52">
        <v>46087.871527777781</v>
      </c>
      <c r="F217" s="52">
        <v>46088.367361111108</v>
      </c>
      <c r="G217" s="53">
        <f t="shared" si="7"/>
        <v>0.4958333333270275</v>
      </c>
      <c r="H217" s="1" t="s">
        <v>257</v>
      </c>
      <c r="J217" s="1" t="s">
        <v>258</v>
      </c>
      <c r="K217" s="1" t="str">
        <f>_xlfn.XLOOKUP(J217,REF!$D$2:$D$12,REF!$E$2:$E$12)</f>
        <v>Rede</v>
      </c>
      <c r="L217" s="1" t="s">
        <v>374</v>
      </c>
      <c r="M217" s="1" t="s">
        <v>260</v>
      </c>
      <c r="N217" s="1" t="s">
        <v>357</v>
      </c>
      <c r="O217" s="72" t="s">
        <v>297</v>
      </c>
      <c r="P217" s="1" t="str">
        <f>_xlfn.CONCAT(B217,C217,D218,E217,F217)</f>
        <v>BC Aracu5.4Inverter(MBUS-1)46087,871527777846087,871527777846088,3673611111</v>
      </c>
      <c r="Q217" s="1" t="str">
        <f t="shared" si="10"/>
        <v>DAURDE</v>
      </c>
    </row>
    <row r="218" spans="2:17">
      <c r="B218" s="1" t="s">
        <v>330</v>
      </c>
      <c r="C218" s="1" t="s">
        <v>247</v>
      </c>
      <c r="D218" s="52">
        <v>46087.871527777781</v>
      </c>
      <c r="E218" s="52">
        <v>46087.871527777781</v>
      </c>
      <c r="F218" s="52">
        <v>46088.367361111108</v>
      </c>
      <c r="G218" s="53">
        <f t="shared" si="7"/>
        <v>0.4958333333270275</v>
      </c>
      <c r="H218" s="1" t="s">
        <v>257</v>
      </c>
      <c r="J218" s="1" t="s">
        <v>258</v>
      </c>
      <c r="K218" s="1" t="str">
        <f>_xlfn.XLOOKUP(J218,REF!$D$2:$D$12,REF!$E$2:$E$12)</f>
        <v>Rede</v>
      </c>
      <c r="L218" s="1" t="s">
        <v>374</v>
      </c>
      <c r="M218" s="1" t="s">
        <v>260</v>
      </c>
      <c r="N218" s="1" t="s">
        <v>357</v>
      </c>
      <c r="O218" s="72" t="s">
        <v>297</v>
      </c>
      <c r="P218" s="1" t="str">
        <f>_xlfn.CONCAT(B218,C218,D219,E218,F218)</f>
        <v>BC Aracu5.5Inverter(MBUS-1)46088,385416666746087,871527777846088,3673611111</v>
      </c>
      <c r="Q218" s="1" t="str">
        <f t="shared" si="10"/>
        <v>DAURDE</v>
      </c>
    </row>
    <row r="219" spans="2:17">
      <c r="B219" s="1" t="s">
        <v>375</v>
      </c>
      <c r="C219" s="1" t="s">
        <v>247</v>
      </c>
      <c r="D219" s="52">
        <v>46088.385416666664</v>
      </c>
      <c r="E219" s="52">
        <v>46088.385416666664</v>
      </c>
      <c r="F219" s="52">
        <v>46088.475694444445</v>
      </c>
      <c r="G219" s="53">
        <f t="shared" si="7"/>
        <v>9.0277777781011537E-2</v>
      </c>
      <c r="H219" s="1" t="s">
        <v>257</v>
      </c>
      <c r="J219" s="1" t="s">
        <v>258</v>
      </c>
      <c r="K219" s="1" t="str">
        <f>_xlfn.XLOOKUP(J219,REF!$D$2:$D$12,REF!$E$2:$E$12)</f>
        <v>Rede</v>
      </c>
      <c r="L219" s="1" t="s">
        <v>376</v>
      </c>
      <c r="M219" s="1" t="s">
        <v>260</v>
      </c>
      <c r="N219" s="1" t="s">
        <v>357</v>
      </c>
      <c r="O219" s="72" t="s">
        <v>297</v>
      </c>
      <c r="P219" s="1" t="str">
        <f t="shared" ref="P219:P226" si="11">_xlfn.CONCAT(B219,C219,D219,E219,F219)</f>
        <v>BC Camarao1.1Inverter(MBUS-1)46088,385416666746088,385416666746088,4756944444</v>
      </c>
      <c r="Q219" s="1" t="str">
        <f t="shared" si="10"/>
        <v>DAURDE</v>
      </c>
    </row>
    <row r="220" spans="2:17">
      <c r="B220" s="1" t="s">
        <v>375</v>
      </c>
      <c r="C220" s="1" t="s">
        <v>377</v>
      </c>
      <c r="D220" s="52">
        <v>46088.385416666664</v>
      </c>
      <c r="E220" s="52">
        <v>46088.385416666664</v>
      </c>
      <c r="F220" s="52">
        <v>46088.475694444445</v>
      </c>
      <c r="G220" s="53">
        <f t="shared" si="7"/>
        <v>9.0277777781011537E-2</v>
      </c>
      <c r="H220" s="1" t="s">
        <v>257</v>
      </c>
      <c r="J220" s="1" t="s">
        <v>258</v>
      </c>
      <c r="K220" s="1" t="str">
        <f>_xlfn.XLOOKUP(J220,REF!$D$2:$D$12,REF!$E$2:$E$12)</f>
        <v>Rede</v>
      </c>
      <c r="L220" s="1" t="s">
        <v>376</v>
      </c>
      <c r="M220" s="1" t="s">
        <v>260</v>
      </c>
      <c r="N220" s="1" t="s">
        <v>357</v>
      </c>
      <c r="O220" s="72" t="s">
        <v>297</v>
      </c>
      <c r="P220" s="1" t="str">
        <f t="shared" si="11"/>
        <v>BC Camarao1.1215KTL-H3(MBUS-12)46088,385416666746088,385416666746088,4756944444</v>
      </c>
      <c r="Q220" s="1" t="str">
        <f t="shared" si="10"/>
        <v>DAURDE</v>
      </c>
    </row>
    <row r="221" spans="2:17">
      <c r="B221" s="1" t="s">
        <v>375</v>
      </c>
      <c r="C221" s="1" t="s">
        <v>378</v>
      </c>
      <c r="D221" s="52">
        <v>46088.385416666664</v>
      </c>
      <c r="E221" s="52">
        <v>46088.385416666664</v>
      </c>
      <c r="F221" s="52">
        <v>46088.475694444445</v>
      </c>
      <c r="G221" s="53">
        <f t="shared" si="7"/>
        <v>9.0277777781011537E-2</v>
      </c>
      <c r="H221" s="1" t="s">
        <v>257</v>
      </c>
      <c r="J221" s="1" t="s">
        <v>258</v>
      </c>
      <c r="K221" s="1" t="str">
        <f>_xlfn.XLOOKUP(J221,REF!$D$2:$D$12,REF!$E$2:$E$12)</f>
        <v>Rede</v>
      </c>
      <c r="L221" s="1" t="s">
        <v>376</v>
      </c>
      <c r="M221" s="1" t="s">
        <v>260</v>
      </c>
      <c r="N221" s="1" t="s">
        <v>357</v>
      </c>
      <c r="O221" s="72" t="s">
        <v>297</v>
      </c>
      <c r="P221" s="1" t="str">
        <f t="shared" si="11"/>
        <v>BC Camarao1.1215KTL-H3(MBUS-13)46088,385416666746088,385416666746088,4756944444</v>
      </c>
      <c r="Q221" s="1" t="str">
        <f t="shared" si="10"/>
        <v>DAURDE</v>
      </c>
    </row>
    <row r="222" spans="2:17">
      <c r="B222" s="1" t="s">
        <v>375</v>
      </c>
      <c r="C222" s="1" t="s">
        <v>379</v>
      </c>
      <c r="D222" s="52">
        <v>46088.385416666664</v>
      </c>
      <c r="E222" s="52">
        <v>46088.385416666664</v>
      </c>
      <c r="F222" s="52">
        <v>46088.475694444445</v>
      </c>
      <c r="G222" s="53">
        <f t="shared" ref="G222:G284" si="12">F222-E222</f>
        <v>9.0277777781011537E-2</v>
      </c>
      <c r="H222" s="1" t="s">
        <v>257</v>
      </c>
      <c r="J222" s="1" t="s">
        <v>258</v>
      </c>
      <c r="K222" s="1" t="str">
        <f>_xlfn.XLOOKUP(J222,REF!$D$2:$D$12,REF!$E$2:$E$12)</f>
        <v>Rede</v>
      </c>
      <c r="L222" s="1" t="s">
        <v>376</v>
      </c>
      <c r="M222" s="1" t="s">
        <v>260</v>
      </c>
      <c r="N222" s="1" t="s">
        <v>357</v>
      </c>
      <c r="O222" s="72" t="s">
        <v>297</v>
      </c>
      <c r="P222" s="1" t="str">
        <f t="shared" si="11"/>
        <v>BC Camarao1.1215KTL-H3(MBUS-16)46088,385416666746088,385416666746088,4756944444</v>
      </c>
      <c r="Q222" s="1" t="str">
        <f t="shared" si="10"/>
        <v>DAURDE</v>
      </c>
    </row>
    <row r="223" spans="2:17">
      <c r="B223" s="1" t="s">
        <v>375</v>
      </c>
      <c r="C223" s="1" t="s">
        <v>380</v>
      </c>
      <c r="D223" s="52">
        <v>46088.385416666664</v>
      </c>
      <c r="E223" s="52">
        <v>46088.385416666664</v>
      </c>
      <c r="F223" s="52">
        <v>46088.475694444445</v>
      </c>
      <c r="G223" s="53">
        <f t="shared" si="12"/>
        <v>9.0277777781011537E-2</v>
      </c>
      <c r="H223" s="1" t="s">
        <v>257</v>
      </c>
      <c r="J223" s="1" t="s">
        <v>258</v>
      </c>
      <c r="K223" s="1" t="str">
        <f>_xlfn.XLOOKUP(J223,REF!$D$2:$D$12,REF!$E$2:$E$12)</f>
        <v>Rede</v>
      </c>
      <c r="L223" s="1" t="s">
        <v>376</v>
      </c>
      <c r="M223" s="1" t="s">
        <v>260</v>
      </c>
      <c r="N223" s="1" t="s">
        <v>357</v>
      </c>
      <c r="O223" s="72" t="s">
        <v>297</v>
      </c>
      <c r="P223" s="1" t="str">
        <f t="shared" si="11"/>
        <v>BC Camarao1.1215KTL-H3(MBUS-15)46088,385416666746088,385416666746088,4756944444</v>
      </c>
      <c r="Q223" s="1" t="str">
        <f t="shared" si="10"/>
        <v>DAURDE</v>
      </c>
    </row>
    <row r="224" spans="2:17">
      <c r="B224" s="1" t="s">
        <v>381</v>
      </c>
      <c r="C224" s="1" t="s">
        <v>379</v>
      </c>
      <c r="D224" s="52">
        <v>46088.385416666664</v>
      </c>
      <c r="E224" s="52">
        <v>46088.385416666664</v>
      </c>
      <c r="F224" s="52">
        <v>46088.475694444445</v>
      </c>
      <c r="G224" s="53">
        <f t="shared" si="12"/>
        <v>9.0277777781011537E-2</v>
      </c>
      <c r="H224" s="1" t="s">
        <v>257</v>
      </c>
      <c r="J224" s="1" t="s">
        <v>258</v>
      </c>
      <c r="K224" s="1" t="str">
        <f>_xlfn.XLOOKUP(J224,REF!$D$2:$D$12,REF!$E$2:$E$12)</f>
        <v>Rede</v>
      </c>
      <c r="L224" s="1" t="s">
        <v>376</v>
      </c>
      <c r="M224" s="1" t="s">
        <v>260</v>
      </c>
      <c r="N224" s="1" t="s">
        <v>357</v>
      </c>
      <c r="O224" s="72" t="s">
        <v>297</v>
      </c>
      <c r="P224" s="1" t="str">
        <f t="shared" si="11"/>
        <v>BC Camarao1.3215KTL-H3(MBUS-16)46088,385416666746088,385416666746088,4756944444</v>
      </c>
      <c r="Q224" s="1" t="str">
        <f t="shared" si="10"/>
        <v>DAURDE</v>
      </c>
    </row>
    <row r="225" spans="2:17">
      <c r="B225" s="1" t="s">
        <v>381</v>
      </c>
      <c r="C225" s="1" t="s">
        <v>382</v>
      </c>
      <c r="D225" s="52">
        <v>46088.385416666664</v>
      </c>
      <c r="E225" s="52">
        <v>46088.385416666664</v>
      </c>
      <c r="F225" s="52">
        <v>46088.475694444445</v>
      </c>
      <c r="G225" s="53">
        <f t="shared" si="12"/>
        <v>9.0277777781011537E-2</v>
      </c>
      <c r="H225" s="1" t="s">
        <v>257</v>
      </c>
      <c r="J225" s="1" t="s">
        <v>258</v>
      </c>
      <c r="K225" s="1" t="str">
        <f>_xlfn.XLOOKUP(J225,REF!$D$2:$D$12,REF!$E$2:$E$12)</f>
        <v>Rede</v>
      </c>
      <c r="L225" s="1" t="s">
        <v>376</v>
      </c>
      <c r="M225" s="1" t="s">
        <v>260</v>
      </c>
      <c r="N225" s="1" t="s">
        <v>357</v>
      </c>
      <c r="O225" s="72" t="s">
        <v>297</v>
      </c>
      <c r="P225" s="1" t="str">
        <f t="shared" si="11"/>
        <v>BC Camarao1.3215KTL-H3(MBUS-14)46088,385416666746088,385416666746088,4756944444</v>
      </c>
      <c r="Q225" s="1" t="str">
        <f t="shared" si="10"/>
        <v>DAURDE</v>
      </c>
    </row>
    <row r="226" spans="2:17">
      <c r="B226" s="1" t="s">
        <v>381</v>
      </c>
      <c r="C226" s="1" t="s">
        <v>380</v>
      </c>
      <c r="D226" s="52">
        <v>46088.385416666664</v>
      </c>
      <c r="E226" s="52">
        <v>46088.385416666664</v>
      </c>
      <c r="F226" s="52">
        <v>46088.475694444445</v>
      </c>
      <c r="G226" s="53">
        <f t="shared" si="12"/>
        <v>9.0277777781011537E-2</v>
      </c>
      <c r="H226" s="1" t="s">
        <v>257</v>
      </c>
      <c r="J226" s="1" t="s">
        <v>258</v>
      </c>
      <c r="K226" s="1" t="str">
        <f>_xlfn.XLOOKUP(J226,REF!$D$2:$D$12,REF!$E$2:$E$12)</f>
        <v>Rede</v>
      </c>
      <c r="L226" s="1" t="s">
        <v>376</v>
      </c>
      <c r="M226" s="1" t="s">
        <v>260</v>
      </c>
      <c r="N226" s="1" t="s">
        <v>357</v>
      </c>
      <c r="O226" s="72" t="s">
        <v>297</v>
      </c>
      <c r="P226" s="1" t="str">
        <f t="shared" si="11"/>
        <v>BC Camarao1.3215KTL-H3(MBUS-15)46088,385416666746088,385416666746088,4756944444</v>
      </c>
      <c r="Q226" s="1" t="str">
        <f t="shared" si="10"/>
        <v>DAURDE</v>
      </c>
    </row>
    <row r="227" spans="2:17">
      <c r="B227" s="1" t="s">
        <v>381</v>
      </c>
      <c r="C227" s="1" t="s">
        <v>377</v>
      </c>
      <c r="D227" s="52">
        <v>46088.385416666664</v>
      </c>
      <c r="E227" s="52">
        <v>46088.385416666664</v>
      </c>
      <c r="F227" s="52">
        <v>46088.475694444445</v>
      </c>
      <c r="G227" s="53">
        <f t="shared" si="12"/>
        <v>9.0277777781011537E-2</v>
      </c>
      <c r="H227" s="1" t="s">
        <v>257</v>
      </c>
      <c r="J227" s="1" t="s">
        <v>258</v>
      </c>
      <c r="K227" s="1" t="str">
        <f>_xlfn.XLOOKUP(J227,REF!$D$2:$D$12,REF!$E$2:$E$12)</f>
        <v>Rede</v>
      </c>
      <c r="L227" s="1" t="s">
        <v>376</v>
      </c>
      <c r="M227" s="1" t="s">
        <v>260</v>
      </c>
      <c r="N227" s="1" t="s">
        <v>357</v>
      </c>
      <c r="O227" s="72" t="s">
        <v>297</v>
      </c>
      <c r="P227" s="1" t="str">
        <f t="shared" ref="P227:P247" si="13">_xlfn.CONCAT(B227,C227,D228,E227,F227)</f>
        <v>BC Camarao1.3215KTL-H3(MBUS-12)46088,385416666746088,385416666746088,4756944444</v>
      </c>
      <c r="Q227" s="1" t="str">
        <f t="shared" si="10"/>
        <v>DAURDE</v>
      </c>
    </row>
    <row r="228" spans="2:17">
      <c r="B228" s="1" t="s">
        <v>381</v>
      </c>
      <c r="C228" s="1" t="s">
        <v>378</v>
      </c>
      <c r="D228" s="52">
        <v>46088.385416666664</v>
      </c>
      <c r="E228" s="52">
        <v>46088.385416666664</v>
      </c>
      <c r="F228" s="52">
        <v>46088.475694444445</v>
      </c>
      <c r="G228" s="53">
        <f t="shared" si="12"/>
        <v>9.0277777781011537E-2</v>
      </c>
      <c r="H228" s="1" t="s">
        <v>257</v>
      </c>
      <c r="J228" s="1" t="s">
        <v>258</v>
      </c>
      <c r="K228" s="1" t="str">
        <f>_xlfn.XLOOKUP(J228,REF!$D$2:$D$12,REF!$E$2:$E$12)</f>
        <v>Rede</v>
      </c>
      <c r="L228" s="1" t="s">
        <v>376</v>
      </c>
      <c r="M228" s="1" t="s">
        <v>260</v>
      </c>
      <c r="N228" s="1" t="s">
        <v>357</v>
      </c>
      <c r="O228" s="72" t="s">
        <v>297</v>
      </c>
      <c r="P228" s="1" t="e">
        <f>_xlfn.CONCAT(B228,C228,#REF!,E228,F228)</f>
        <v>#REF!</v>
      </c>
      <c r="Q228" s="1" t="str">
        <f t="shared" si="10"/>
        <v>DAURDE</v>
      </c>
    </row>
    <row r="229" spans="2:17">
      <c r="B229" s="1" t="s">
        <v>368</v>
      </c>
      <c r="C229" s="1" t="s">
        <v>256</v>
      </c>
      <c r="D229" s="52">
        <v>46088.732638888891</v>
      </c>
      <c r="E229" s="52">
        <v>46088.732638888891</v>
      </c>
      <c r="F229" s="52">
        <v>46088.890277777777</v>
      </c>
      <c r="G229" s="53">
        <f t="shared" si="12"/>
        <v>0.15763888888614019</v>
      </c>
      <c r="H229" s="1" t="s">
        <v>257</v>
      </c>
      <c r="J229" s="1" t="s">
        <v>258</v>
      </c>
      <c r="K229" s="1" t="str">
        <f>_xlfn.XLOOKUP(J229,REF!$D$2:$D$12,REF!$E$2:$E$12)</f>
        <v>Rede</v>
      </c>
      <c r="L229" s="1" t="s">
        <v>383</v>
      </c>
      <c r="M229" s="1" t="s">
        <v>260</v>
      </c>
      <c r="N229" s="1" t="s">
        <v>357</v>
      </c>
      <c r="O229" s="72" t="s">
        <v>297</v>
      </c>
      <c r="P229" s="1" t="str">
        <f t="shared" si="13"/>
        <v>BC Ibiuna 1.1Inverter(MBUS-12)46088,732638888946088,732638888946088,8902777778</v>
      </c>
      <c r="Q229" s="1" t="str">
        <f t="shared" si="10"/>
        <v>DAURDE</v>
      </c>
    </row>
    <row r="230" spans="2:17">
      <c r="B230" s="1" t="s">
        <v>368</v>
      </c>
      <c r="C230" s="1" t="s">
        <v>264</v>
      </c>
      <c r="D230" s="52">
        <v>46088.732638888891</v>
      </c>
      <c r="E230" s="52">
        <v>46088.732638888891</v>
      </c>
      <c r="F230" s="52">
        <v>46088.890277777777</v>
      </c>
      <c r="G230" s="53">
        <f t="shared" si="12"/>
        <v>0.15763888888614019</v>
      </c>
      <c r="H230" s="1" t="s">
        <v>257</v>
      </c>
      <c r="J230" s="1" t="s">
        <v>258</v>
      </c>
      <c r="K230" s="1" t="str">
        <f>_xlfn.XLOOKUP(J230,REF!$D$2:$D$12,REF!$E$2:$E$12)</f>
        <v>Rede</v>
      </c>
      <c r="L230" s="1" t="s">
        <v>383</v>
      </c>
      <c r="M230" s="1" t="s">
        <v>260</v>
      </c>
      <c r="N230" s="1" t="s">
        <v>357</v>
      </c>
      <c r="O230" s="72" t="s">
        <v>297</v>
      </c>
      <c r="P230" s="1" t="str">
        <f t="shared" ref="P230:P250" si="14">_xlfn.CONCAT(B230,C230,D230,E230,F230)</f>
        <v>BC Ibiuna 1.1Inverter(MBUS-13)46088,732638888946088,732638888946088,8902777778</v>
      </c>
      <c r="Q230" s="1" t="str">
        <f t="shared" si="10"/>
        <v>DAURDE</v>
      </c>
    </row>
    <row r="231" spans="2:17">
      <c r="B231" s="1" t="s">
        <v>368</v>
      </c>
      <c r="C231" s="1" t="s">
        <v>263</v>
      </c>
      <c r="D231" s="52">
        <v>46088.732638888891</v>
      </c>
      <c r="E231" s="52">
        <v>46088.732638888891</v>
      </c>
      <c r="F231" s="52">
        <v>46088.890277777777</v>
      </c>
      <c r="G231" s="53">
        <f t="shared" si="12"/>
        <v>0.15763888888614019</v>
      </c>
      <c r="H231" s="1" t="s">
        <v>257</v>
      </c>
      <c r="J231" s="1" t="s">
        <v>258</v>
      </c>
      <c r="K231" s="1" t="str">
        <f>_xlfn.XLOOKUP(J231,REF!$D$2:$D$12,REF!$E$2:$E$12)</f>
        <v>Rede</v>
      </c>
      <c r="L231" s="1" t="s">
        <v>383</v>
      </c>
      <c r="M231" s="1" t="s">
        <v>260</v>
      </c>
      <c r="N231" s="1" t="s">
        <v>357</v>
      </c>
      <c r="O231" s="72" t="s">
        <v>297</v>
      </c>
      <c r="P231" s="1" t="str">
        <f t="shared" si="14"/>
        <v>BC Ibiuna 1.1Inverter(MBUS-14)46088,732638888946088,732638888946088,8902777778</v>
      </c>
      <c r="Q231" s="1" t="str">
        <f t="shared" si="10"/>
        <v>DAURDE</v>
      </c>
    </row>
    <row r="232" spans="2:17">
      <c r="B232" s="1" t="s">
        <v>368</v>
      </c>
      <c r="C232" s="1" t="s">
        <v>307</v>
      </c>
      <c r="D232" s="52">
        <v>46088.732638888891</v>
      </c>
      <c r="E232" s="52">
        <v>46088.732638888891</v>
      </c>
      <c r="F232" s="52">
        <v>46088.890277777777</v>
      </c>
      <c r="G232" s="53">
        <f t="shared" si="12"/>
        <v>0.15763888888614019</v>
      </c>
      <c r="H232" s="1" t="s">
        <v>257</v>
      </c>
      <c r="J232" s="1" t="s">
        <v>258</v>
      </c>
      <c r="K232" s="1" t="str">
        <f>_xlfn.XLOOKUP(J232,REF!$D$2:$D$12,REF!$E$2:$E$12)</f>
        <v>Rede</v>
      </c>
      <c r="L232" s="1" t="s">
        <v>383</v>
      </c>
      <c r="M232" s="1" t="s">
        <v>260</v>
      </c>
      <c r="N232" s="1" t="s">
        <v>357</v>
      </c>
      <c r="O232" s="72" t="s">
        <v>297</v>
      </c>
      <c r="P232" s="1" t="str">
        <f t="shared" si="14"/>
        <v>BC Ibiuna 1.1Inverter(MBUS-15)46088,732638888946088,732638888946088,8902777778</v>
      </c>
      <c r="Q232" s="1" t="str">
        <f t="shared" si="10"/>
        <v>DAURDE</v>
      </c>
    </row>
    <row r="233" spans="2:17">
      <c r="B233" s="1" t="s">
        <v>381</v>
      </c>
      <c r="C233" s="1" t="s">
        <v>379</v>
      </c>
      <c r="D233" s="52">
        <v>46089.036805555559</v>
      </c>
      <c r="E233" s="52">
        <v>46089.036805555559</v>
      </c>
      <c r="F233" s="52">
        <v>46089.395833333336</v>
      </c>
      <c r="G233" s="53">
        <f t="shared" si="12"/>
        <v>0.35902777777664596</v>
      </c>
      <c r="H233" s="1" t="s">
        <v>257</v>
      </c>
      <c r="J233" s="1" t="s">
        <v>258</v>
      </c>
      <c r="K233" s="1" t="str">
        <f>_xlfn.XLOOKUP(J233,REF!$D$2:$D$12,REF!$E$2:$E$12)</f>
        <v>Rede</v>
      </c>
      <c r="L233" s="1" t="s">
        <v>384</v>
      </c>
      <c r="M233" s="1" t="s">
        <v>260</v>
      </c>
      <c r="N233" s="1" t="s">
        <v>357</v>
      </c>
      <c r="O233" s="72" t="s">
        <v>297</v>
      </c>
      <c r="P233" s="1" t="str">
        <f t="shared" si="14"/>
        <v>BC Camarao1.3215KTL-H3(MBUS-16)46089,036805555646089,036805555646089,3958333333</v>
      </c>
      <c r="Q233" s="1" t="str">
        <f t="shared" si="10"/>
        <v>DAURDE</v>
      </c>
    </row>
    <row r="234" spans="2:17">
      <c r="B234" s="1" t="s">
        <v>381</v>
      </c>
      <c r="C234" s="1" t="s">
        <v>382</v>
      </c>
      <c r="D234" s="52">
        <v>46089.036805555559</v>
      </c>
      <c r="E234" s="52">
        <v>46089.036805555559</v>
      </c>
      <c r="F234" s="52">
        <v>46089.395833333336</v>
      </c>
      <c r="G234" s="53">
        <f t="shared" si="12"/>
        <v>0.35902777777664596</v>
      </c>
      <c r="H234" s="1" t="s">
        <v>257</v>
      </c>
      <c r="J234" s="1" t="s">
        <v>258</v>
      </c>
      <c r="K234" s="1" t="str">
        <f>_xlfn.XLOOKUP(J234,REF!$D$2:$D$12,REF!$E$2:$E$12)</f>
        <v>Rede</v>
      </c>
      <c r="L234" s="1" t="s">
        <v>384</v>
      </c>
      <c r="M234" s="1" t="s">
        <v>260</v>
      </c>
      <c r="N234" s="1" t="s">
        <v>357</v>
      </c>
      <c r="O234" s="72" t="s">
        <v>297</v>
      </c>
      <c r="P234" s="1" t="str">
        <f t="shared" si="14"/>
        <v>BC Camarao1.3215KTL-H3(MBUS-14)46089,036805555646089,036805555646089,3958333333</v>
      </c>
      <c r="Q234" s="1" t="str">
        <f t="shared" si="10"/>
        <v>DAURDE</v>
      </c>
    </row>
    <row r="235" spans="2:17">
      <c r="B235" s="1" t="s">
        <v>381</v>
      </c>
      <c r="C235" s="1" t="s">
        <v>380</v>
      </c>
      <c r="D235" s="52">
        <v>46089.036805555559</v>
      </c>
      <c r="E235" s="52">
        <v>46089.036805555559</v>
      </c>
      <c r="F235" s="52">
        <v>46089.395833333336</v>
      </c>
      <c r="G235" s="53">
        <f t="shared" si="12"/>
        <v>0.35902777777664596</v>
      </c>
      <c r="H235" s="1" t="s">
        <v>257</v>
      </c>
      <c r="J235" s="1" t="s">
        <v>258</v>
      </c>
      <c r="K235" s="1" t="str">
        <f>_xlfn.XLOOKUP(J235,REF!$D$2:$D$12,REF!$E$2:$E$12)</f>
        <v>Rede</v>
      </c>
      <c r="L235" s="1" t="s">
        <v>384</v>
      </c>
      <c r="M235" s="1" t="s">
        <v>260</v>
      </c>
      <c r="N235" s="1" t="s">
        <v>357</v>
      </c>
      <c r="O235" s="72" t="s">
        <v>297</v>
      </c>
      <c r="P235" s="1" t="str">
        <f t="shared" si="14"/>
        <v>BC Camarao1.3215KTL-H3(MBUS-15)46089,036805555646089,036805555646089,3958333333</v>
      </c>
      <c r="Q235" s="1" t="str">
        <f t="shared" ref="Q235:Q298" si="15">_xlfn.CONCAT(H235,I235,J235)</f>
        <v>DAURDE</v>
      </c>
    </row>
    <row r="236" spans="2:17">
      <c r="B236" s="1" t="s">
        <v>381</v>
      </c>
      <c r="C236" s="1" t="s">
        <v>377</v>
      </c>
      <c r="D236" s="52">
        <v>46089.036805555559</v>
      </c>
      <c r="E236" s="52">
        <v>46089.036805555559</v>
      </c>
      <c r="F236" s="52">
        <v>46089.395833333336</v>
      </c>
      <c r="G236" s="53">
        <f t="shared" si="12"/>
        <v>0.35902777777664596</v>
      </c>
      <c r="H236" s="1" t="s">
        <v>257</v>
      </c>
      <c r="J236" s="1" t="s">
        <v>258</v>
      </c>
      <c r="K236" s="1" t="str">
        <f>_xlfn.XLOOKUP(J236,REF!$D$2:$D$12,REF!$E$2:$E$12)</f>
        <v>Rede</v>
      </c>
      <c r="L236" s="1" t="s">
        <v>384</v>
      </c>
      <c r="M236" s="1" t="s">
        <v>260</v>
      </c>
      <c r="N236" s="1" t="s">
        <v>357</v>
      </c>
      <c r="O236" s="72" t="s">
        <v>297</v>
      </c>
      <c r="P236" s="1" t="str">
        <f t="shared" si="14"/>
        <v>BC Camarao1.3215KTL-H3(MBUS-12)46089,036805555646089,036805555646089,3958333333</v>
      </c>
      <c r="Q236" s="1" t="str">
        <f t="shared" si="15"/>
        <v>DAURDE</v>
      </c>
    </row>
    <row r="237" spans="2:17">
      <c r="B237" s="1" t="s">
        <v>381</v>
      </c>
      <c r="C237" s="1" t="s">
        <v>378</v>
      </c>
      <c r="D237" s="52">
        <v>46089.036805555559</v>
      </c>
      <c r="E237" s="52">
        <v>46089.036805555559</v>
      </c>
      <c r="F237" s="52">
        <v>46089.395833333336</v>
      </c>
      <c r="G237" s="53">
        <f t="shared" si="12"/>
        <v>0.35902777777664596</v>
      </c>
      <c r="H237" s="1" t="s">
        <v>257</v>
      </c>
      <c r="J237" s="1" t="s">
        <v>258</v>
      </c>
      <c r="K237" s="1" t="str">
        <f>_xlfn.XLOOKUP(J237,REF!$D$2:$D$12,REF!$E$2:$E$12)</f>
        <v>Rede</v>
      </c>
      <c r="L237" s="1" t="s">
        <v>384</v>
      </c>
      <c r="M237" s="1" t="s">
        <v>260</v>
      </c>
      <c r="N237" s="1" t="s">
        <v>357</v>
      </c>
      <c r="O237" s="72" t="s">
        <v>297</v>
      </c>
      <c r="P237" s="1" t="str">
        <f t="shared" si="14"/>
        <v>BC Camarao1.3215KTL-H3(MBUS-13)46089,036805555646089,036805555646089,3958333333</v>
      </c>
      <c r="Q237" s="1" t="str">
        <f t="shared" si="15"/>
        <v>DAURDE</v>
      </c>
    </row>
    <row r="238" spans="2:17">
      <c r="B238" s="1" t="s">
        <v>385</v>
      </c>
      <c r="C238" s="1" t="s">
        <v>386</v>
      </c>
      <c r="D238" s="52">
        <v>46089.048611111109</v>
      </c>
      <c r="E238" s="52">
        <v>46089.048611111109</v>
      </c>
      <c r="F238" s="52">
        <v>46089.260416666664</v>
      </c>
      <c r="G238" s="53">
        <f t="shared" si="12"/>
        <v>0.21180555555474712</v>
      </c>
      <c r="H238" s="1" t="s">
        <v>268</v>
      </c>
      <c r="I238" s="1" t="s">
        <v>269</v>
      </c>
      <c r="J238" s="1" t="s">
        <v>270</v>
      </c>
      <c r="K238" s="1" t="str">
        <f>_xlfn.XLOOKUP(J238,REF!$D$2:$D$12,REF!$E$2:$E$12)</f>
        <v>Internet</v>
      </c>
      <c r="L238" s="1" t="s">
        <v>271</v>
      </c>
      <c r="M238" s="1" t="s">
        <v>272</v>
      </c>
      <c r="N238" s="1" t="s">
        <v>290</v>
      </c>
      <c r="O238" s="1" t="s">
        <v>291</v>
      </c>
      <c r="P238" s="1" t="str">
        <f t="shared" si="13"/>
        <v>BC Vazante1.3Inversor 146089,228472222246089,048611111146089,2604166667</v>
      </c>
      <c r="Q238" s="1" t="str">
        <f t="shared" si="15"/>
        <v>LIGRFOINT</v>
      </c>
    </row>
    <row r="239" spans="2:17">
      <c r="B239" s="1" t="s">
        <v>368</v>
      </c>
      <c r="C239" s="1" t="s">
        <v>256</v>
      </c>
      <c r="D239" s="52">
        <v>46089.228472222225</v>
      </c>
      <c r="E239" s="52">
        <v>46089.228472222225</v>
      </c>
      <c r="F239" s="52">
        <v>46089.411111111112</v>
      </c>
      <c r="G239" s="53">
        <f t="shared" si="12"/>
        <v>0.18263888888759539</v>
      </c>
      <c r="H239" s="1" t="s">
        <v>257</v>
      </c>
      <c r="J239" s="1" t="s">
        <v>258</v>
      </c>
      <c r="K239" s="1" t="str">
        <f>_xlfn.XLOOKUP(J239,REF!$D$2:$D$12,REF!$E$2:$E$12)</f>
        <v>Rede</v>
      </c>
      <c r="L239" s="1" t="s">
        <v>383</v>
      </c>
      <c r="M239" s="1" t="s">
        <v>260</v>
      </c>
      <c r="N239" s="1" t="s">
        <v>357</v>
      </c>
      <c r="O239" s="72" t="s">
        <v>297</v>
      </c>
      <c r="P239" s="1" t="str">
        <f t="shared" si="14"/>
        <v>BC Ibiuna 1.1Inverter(MBUS-12)46089,228472222246089,228472222246089,4111111111</v>
      </c>
      <c r="Q239" s="1" t="str">
        <f t="shared" si="15"/>
        <v>DAURDE</v>
      </c>
    </row>
    <row r="240" spans="2:17">
      <c r="B240" s="1" t="s">
        <v>368</v>
      </c>
      <c r="C240" s="1" t="s">
        <v>264</v>
      </c>
      <c r="D240" s="52">
        <v>46089.228472222225</v>
      </c>
      <c r="E240" s="52">
        <v>46089.228472222225</v>
      </c>
      <c r="F240" s="52">
        <v>46089.411111111112</v>
      </c>
      <c r="G240" s="53">
        <f t="shared" si="12"/>
        <v>0.18263888888759539</v>
      </c>
      <c r="H240" s="1" t="s">
        <v>257</v>
      </c>
      <c r="J240" s="1" t="s">
        <v>258</v>
      </c>
      <c r="K240" s="1" t="str">
        <f>_xlfn.XLOOKUP(J240,REF!$D$2:$D$12,REF!$E$2:$E$12)</f>
        <v>Rede</v>
      </c>
      <c r="L240" s="1" t="s">
        <v>383</v>
      </c>
      <c r="M240" s="1" t="s">
        <v>260</v>
      </c>
      <c r="N240" s="1" t="s">
        <v>357</v>
      </c>
      <c r="O240" s="72" t="s">
        <v>297</v>
      </c>
      <c r="P240" s="1" t="str">
        <f t="shared" si="14"/>
        <v>BC Ibiuna 1.1Inverter(MBUS-13)46089,228472222246089,228472222246089,4111111111</v>
      </c>
      <c r="Q240" s="1" t="str">
        <f t="shared" si="15"/>
        <v>DAURDE</v>
      </c>
    </row>
    <row r="241" spans="2:17">
      <c r="B241" s="1" t="s">
        <v>368</v>
      </c>
      <c r="C241" s="1" t="s">
        <v>263</v>
      </c>
      <c r="D241" s="52">
        <v>46089.228472222225</v>
      </c>
      <c r="E241" s="52">
        <v>46089.228472222225</v>
      </c>
      <c r="F241" s="52">
        <v>46089.411111111112</v>
      </c>
      <c r="G241" s="53">
        <f t="shared" si="12"/>
        <v>0.18263888888759539</v>
      </c>
      <c r="H241" s="1" t="s">
        <v>257</v>
      </c>
      <c r="J241" s="1" t="s">
        <v>258</v>
      </c>
      <c r="K241" s="1" t="str">
        <f>_xlfn.XLOOKUP(J241,REF!$D$2:$D$12,REF!$E$2:$E$12)</f>
        <v>Rede</v>
      </c>
      <c r="L241" s="1" t="s">
        <v>383</v>
      </c>
      <c r="M241" s="1" t="s">
        <v>260</v>
      </c>
      <c r="N241" s="1" t="s">
        <v>357</v>
      </c>
      <c r="O241" s="72" t="s">
        <v>297</v>
      </c>
      <c r="P241" s="1" t="str">
        <f t="shared" si="14"/>
        <v>BC Ibiuna 1.1Inverter(MBUS-14)46089,228472222246089,228472222246089,4111111111</v>
      </c>
      <c r="Q241" s="1" t="str">
        <f t="shared" si="15"/>
        <v>DAURDE</v>
      </c>
    </row>
    <row r="242" spans="2:17">
      <c r="B242" s="1" t="s">
        <v>368</v>
      </c>
      <c r="C242" s="1" t="s">
        <v>307</v>
      </c>
      <c r="D242" s="52">
        <v>46089.228472222225</v>
      </c>
      <c r="E242" s="52">
        <v>46089.228472222225</v>
      </c>
      <c r="F242" s="52">
        <v>46089.411111111112</v>
      </c>
      <c r="G242" s="53">
        <f t="shared" si="12"/>
        <v>0.18263888888759539</v>
      </c>
      <c r="H242" s="1" t="s">
        <v>257</v>
      </c>
      <c r="J242" s="1" t="s">
        <v>258</v>
      </c>
      <c r="K242" s="1" t="str">
        <f>_xlfn.XLOOKUP(J242,REF!$D$2:$D$12,REF!$E$2:$E$12)</f>
        <v>Rede</v>
      </c>
      <c r="L242" s="1" t="s">
        <v>383</v>
      </c>
      <c r="M242" s="1" t="s">
        <v>260</v>
      </c>
      <c r="N242" s="1" t="s">
        <v>357</v>
      </c>
      <c r="O242" s="72" t="s">
        <v>297</v>
      </c>
      <c r="P242" s="1" t="str">
        <f t="shared" si="14"/>
        <v>BC Ibiuna 1.1Inverter(MBUS-15)46089,228472222246089,228472222246089,4111111111</v>
      </c>
      <c r="Q242" s="1" t="str">
        <f t="shared" si="15"/>
        <v>DAURDE</v>
      </c>
    </row>
    <row r="243" spans="2:17">
      <c r="B243" s="1" t="s">
        <v>327</v>
      </c>
      <c r="C243" s="1" t="s">
        <v>247</v>
      </c>
      <c r="D243" s="52">
        <v>46089.36041666667</v>
      </c>
      <c r="E243" s="52">
        <v>46089.36041666667</v>
      </c>
      <c r="F243" s="52">
        <v>46089.375</v>
      </c>
      <c r="G243" s="53">
        <f t="shared" si="12"/>
        <v>1.4583333329937886E-2</v>
      </c>
      <c r="H243" s="1" t="s">
        <v>257</v>
      </c>
      <c r="J243" s="1" t="s">
        <v>258</v>
      </c>
      <c r="K243" s="1" t="str">
        <f>_xlfn.XLOOKUP(J243,REF!$D$2:$D$12,REF!$E$2:$E$12)</f>
        <v>Rede</v>
      </c>
      <c r="L243" s="1" t="s">
        <v>374</v>
      </c>
      <c r="M243" s="1" t="s">
        <v>260</v>
      </c>
      <c r="N243" s="1" t="s">
        <v>357</v>
      </c>
      <c r="O243" s="72" t="s">
        <v>297</v>
      </c>
      <c r="P243" s="1" t="str">
        <f t="shared" si="14"/>
        <v>BC Aracu5.1Inverter(MBUS-1)46089,360416666746089,360416666746089,375</v>
      </c>
      <c r="Q243" s="1" t="str">
        <f t="shared" si="15"/>
        <v>DAURDE</v>
      </c>
    </row>
    <row r="244" spans="2:17">
      <c r="B244" s="1" t="s">
        <v>246</v>
      </c>
      <c r="C244" s="1" t="s">
        <v>247</v>
      </c>
      <c r="D244" s="52">
        <v>46089.36041666667</v>
      </c>
      <c r="E244" s="52">
        <v>46089.36041666667</v>
      </c>
      <c r="F244" s="52">
        <v>46089.375</v>
      </c>
      <c r="G244" s="53">
        <f t="shared" si="12"/>
        <v>1.4583333329937886E-2</v>
      </c>
      <c r="H244" s="1" t="s">
        <v>257</v>
      </c>
      <c r="J244" s="1" t="s">
        <v>258</v>
      </c>
      <c r="K244" s="1" t="str">
        <f>_xlfn.XLOOKUP(J244,REF!$D$2:$D$12,REF!$E$2:$E$12)</f>
        <v>Rede</v>
      </c>
      <c r="L244" s="1" t="s">
        <v>374</v>
      </c>
      <c r="M244" s="1" t="s">
        <v>260</v>
      </c>
      <c r="N244" s="1" t="s">
        <v>357</v>
      </c>
      <c r="O244" s="72" t="s">
        <v>297</v>
      </c>
      <c r="P244" s="1" t="str">
        <f t="shared" si="14"/>
        <v>BC Aracu5.2Inverter(MBUS-1)46089,360416666746089,360416666746089,375</v>
      </c>
      <c r="Q244" s="1" t="str">
        <f t="shared" si="15"/>
        <v>DAURDE</v>
      </c>
    </row>
    <row r="245" spans="2:17">
      <c r="B245" s="1" t="s">
        <v>328</v>
      </c>
      <c r="C245" s="1" t="s">
        <v>247</v>
      </c>
      <c r="D245" s="52">
        <v>46089.36041666667</v>
      </c>
      <c r="E245" s="52">
        <v>46089.36041666667</v>
      </c>
      <c r="F245" s="52">
        <v>46089.375</v>
      </c>
      <c r="G245" s="53">
        <f t="shared" si="12"/>
        <v>1.4583333329937886E-2</v>
      </c>
      <c r="H245" s="1" t="s">
        <v>257</v>
      </c>
      <c r="J245" s="1" t="s">
        <v>258</v>
      </c>
      <c r="K245" s="1" t="str">
        <f>_xlfn.XLOOKUP(J245,REF!$D$2:$D$12,REF!$E$2:$E$12)</f>
        <v>Rede</v>
      </c>
      <c r="L245" s="1" t="s">
        <v>374</v>
      </c>
      <c r="M245" s="1" t="s">
        <v>260</v>
      </c>
      <c r="N245" s="1" t="s">
        <v>357</v>
      </c>
      <c r="O245" s="72" t="s">
        <v>297</v>
      </c>
      <c r="P245" s="1" t="str">
        <f t="shared" si="14"/>
        <v>BC Aracu5.3Inverter(MBUS-1)46089,360416666746089,360416666746089,375</v>
      </c>
      <c r="Q245" s="1" t="str">
        <f t="shared" si="15"/>
        <v>DAURDE</v>
      </c>
    </row>
    <row r="246" spans="2:17">
      <c r="B246" s="1" t="s">
        <v>329</v>
      </c>
      <c r="C246" s="1" t="s">
        <v>247</v>
      </c>
      <c r="D246" s="52">
        <v>46089.36041666667</v>
      </c>
      <c r="E246" s="52">
        <v>46089.36041666667</v>
      </c>
      <c r="F246" s="52">
        <v>46089.375</v>
      </c>
      <c r="G246" s="53">
        <f t="shared" si="12"/>
        <v>1.4583333329937886E-2</v>
      </c>
      <c r="H246" s="1" t="s">
        <v>257</v>
      </c>
      <c r="J246" s="1" t="s">
        <v>258</v>
      </c>
      <c r="K246" s="1" t="str">
        <f>_xlfn.XLOOKUP(J246,REF!$D$2:$D$12,REF!$E$2:$E$12)</f>
        <v>Rede</v>
      </c>
      <c r="L246" s="1" t="s">
        <v>374</v>
      </c>
      <c r="M246" s="1" t="s">
        <v>260</v>
      </c>
      <c r="N246" s="1" t="s">
        <v>357</v>
      </c>
      <c r="O246" s="72" t="s">
        <v>297</v>
      </c>
      <c r="P246" s="1" t="str">
        <f t="shared" si="14"/>
        <v>BC Aracu5.4Inverter(MBUS-1)46089,360416666746089,360416666746089,375</v>
      </c>
      <c r="Q246" s="1" t="str">
        <f t="shared" si="15"/>
        <v>DAURDE</v>
      </c>
    </row>
    <row r="247" spans="2:17">
      <c r="B247" s="1" t="s">
        <v>330</v>
      </c>
      <c r="C247" s="1" t="s">
        <v>247</v>
      </c>
      <c r="D247" s="52">
        <v>46089.36041666667</v>
      </c>
      <c r="E247" s="52">
        <v>46089.36041666667</v>
      </c>
      <c r="F247" s="52">
        <v>46089.375</v>
      </c>
      <c r="G247" s="53">
        <f t="shared" si="12"/>
        <v>1.4583333329937886E-2</v>
      </c>
      <c r="H247" s="1" t="s">
        <v>257</v>
      </c>
      <c r="J247" s="1" t="s">
        <v>258</v>
      </c>
      <c r="K247" s="1" t="str">
        <f>_xlfn.XLOOKUP(J247,REF!$D$2:$D$12,REF!$E$2:$E$12)</f>
        <v>Rede</v>
      </c>
      <c r="L247" s="1" t="s">
        <v>374</v>
      </c>
      <c r="M247" s="1" t="s">
        <v>260</v>
      </c>
      <c r="N247" s="1" t="s">
        <v>357</v>
      </c>
      <c r="O247" s="72" t="s">
        <v>297</v>
      </c>
      <c r="P247" s="1" t="str">
        <f t="shared" si="13"/>
        <v>BC Aracu5.5Inverter(MBUS-1)46090,336805555646089,360416666746089,375</v>
      </c>
      <c r="Q247" s="1" t="str">
        <f t="shared" si="15"/>
        <v>DAURDE</v>
      </c>
    </row>
    <row r="248" spans="2:17">
      <c r="B248" s="1" t="s">
        <v>375</v>
      </c>
      <c r="C248" s="1" t="s">
        <v>247</v>
      </c>
      <c r="D248" s="52">
        <v>46090.336805555555</v>
      </c>
      <c r="E248" s="52">
        <v>46090.336805555555</v>
      </c>
      <c r="F248" s="52">
        <v>46090.375</v>
      </c>
      <c r="G248" s="53">
        <f t="shared" si="12"/>
        <v>3.8194444445252884E-2</v>
      </c>
      <c r="H248" s="1" t="s">
        <v>257</v>
      </c>
      <c r="J248" s="1" t="s">
        <v>258</v>
      </c>
      <c r="K248" s="1" t="str">
        <f>_xlfn.XLOOKUP(J248,REF!$D$2:$D$12,REF!$E$2:$E$12)</f>
        <v>Rede</v>
      </c>
      <c r="L248" s="1" t="s">
        <v>376</v>
      </c>
      <c r="M248" s="1" t="s">
        <v>260</v>
      </c>
      <c r="N248" s="1" t="s">
        <v>357</v>
      </c>
      <c r="O248" s="72" t="s">
        <v>297</v>
      </c>
      <c r="P248" s="1" t="str">
        <f t="shared" si="14"/>
        <v>BC Camarao1.1Inverter(MBUS-1)46090,336805555646090,336805555646090,375</v>
      </c>
      <c r="Q248" s="1" t="str">
        <f t="shared" si="15"/>
        <v>DAURDE</v>
      </c>
    </row>
    <row r="249" spans="2:17">
      <c r="B249" s="1" t="s">
        <v>375</v>
      </c>
      <c r="C249" s="1" t="s">
        <v>377</v>
      </c>
      <c r="D249" s="52">
        <v>46090.336805555555</v>
      </c>
      <c r="E249" s="52">
        <v>46090.336805555555</v>
      </c>
      <c r="F249" s="52">
        <v>46090.375</v>
      </c>
      <c r="G249" s="53">
        <f t="shared" si="12"/>
        <v>3.8194444445252884E-2</v>
      </c>
      <c r="H249" s="1" t="s">
        <v>257</v>
      </c>
      <c r="J249" s="1" t="s">
        <v>258</v>
      </c>
      <c r="K249" s="1" t="str">
        <f>_xlfn.XLOOKUP(J249,REF!$D$2:$D$12,REF!$E$2:$E$12)</f>
        <v>Rede</v>
      </c>
      <c r="L249" s="1" t="s">
        <v>376</v>
      </c>
      <c r="M249" s="1" t="s">
        <v>260</v>
      </c>
      <c r="N249" s="1" t="s">
        <v>357</v>
      </c>
      <c r="O249" s="72" t="s">
        <v>297</v>
      </c>
      <c r="P249" s="1" t="str">
        <f t="shared" si="14"/>
        <v>BC Camarao1.1215KTL-H3(MBUS-12)46090,336805555646090,336805555646090,375</v>
      </c>
      <c r="Q249" s="1" t="str">
        <f t="shared" si="15"/>
        <v>DAURDE</v>
      </c>
    </row>
    <row r="250" spans="2:17">
      <c r="B250" s="1" t="s">
        <v>375</v>
      </c>
      <c r="C250" s="1" t="s">
        <v>378</v>
      </c>
      <c r="D250" s="52">
        <v>46090.336805555555</v>
      </c>
      <c r="E250" s="52">
        <v>46090.336805555555</v>
      </c>
      <c r="F250" s="52">
        <v>46090.375</v>
      </c>
      <c r="G250" s="53">
        <f t="shared" si="12"/>
        <v>3.8194444445252884E-2</v>
      </c>
      <c r="H250" s="1" t="s">
        <v>257</v>
      </c>
      <c r="J250" s="1" t="s">
        <v>258</v>
      </c>
      <c r="K250" s="1" t="str">
        <f>_xlfn.XLOOKUP(J250,REF!$D$2:$D$12,REF!$E$2:$E$12)</f>
        <v>Rede</v>
      </c>
      <c r="L250" s="1" t="s">
        <v>376</v>
      </c>
      <c r="M250" s="1" t="s">
        <v>260</v>
      </c>
      <c r="N250" s="1" t="s">
        <v>357</v>
      </c>
      <c r="O250" s="72" t="s">
        <v>297</v>
      </c>
      <c r="P250" s="1" t="str">
        <f t="shared" si="14"/>
        <v>BC Camarao1.1215KTL-H3(MBUS-13)46090,336805555646090,336805555646090,375</v>
      </c>
      <c r="Q250" s="1" t="str">
        <f t="shared" si="15"/>
        <v>DAURDE</v>
      </c>
    </row>
    <row r="251" spans="2:17">
      <c r="B251" s="1" t="s">
        <v>375</v>
      </c>
      <c r="C251" s="1" t="s">
        <v>379</v>
      </c>
      <c r="D251" s="52">
        <v>46090.336805555555</v>
      </c>
      <c r="E251" s="52">
        <v>46090.336805555555</v>
      </c>
      <c r="F251" s="52">
        <v>46090.375</v>
      </c>
      <c r="G251" s="53">
        <f t="shared" si="12"/>
        <v>3.8194444445252884E-2</v>
      </c>
      <c r="H251" s="1" t="s">
        <v>257</v>
      </c>
      <c r="J251" s="1" t="s">
        <v>258</v>
      </c>
      <c r="K251" s="1" t="str">
        <f>_xlfn.XLOOKUP(J251,REF!$D$2:$D$12,REF!$E$2:$E$12)</f>
        <v>Rede</v>
      </c>
      <c r="L251" s="1" t="s">
        <v>376</v>
      </c>
      <c r="M251" s="1" t="s">
        <v>260</v>
      </c>
      <c r="N251" s="1" t="s">
        <v>357</v>
      </c>
      <c r="O251" s="72" t="s">
        <v>297</v>
      </c>
      <c r="P251" s="1" t="str">
        <f t="shared" ref="P248:P279" si="16">_xlfn.CONCAT(B251,C251,D252,E251,F251)</f>
        <v>BC Camarao1.1215KTL-H3(MBUS-16)46090,336805555646090,336805555646090,375</v>
      </c>
      <c r="Q251" s="1" t="str">
        <f t="shared" si="15"/>
        <v>DAURDE</v>
      </c>
    </row>
    <row r="252" spans="2:17">
      <c r="B252" s="1" t="s">
        <v>375</v>
      </c>
      <c r="C252" s="1" t="s">
        <v>380</v>
      </c>
      <c r="D252" s="52">
        <v>46090.336805555555</v>
      </c>
      <c r="E252" s="52">
        <v>46090.336805555555</v>
      </c>
      <c r="F252" s="52">
        <v>46090.375</v>
      </c>
      <c r="G252" s="53">
        <f t="shared" si="12"/>
        <v>3.8194444445252884E-2</v>
      </c>
      <c r="H252" s="1" t="s">
        <v>257</v>
      </c>
      <c r="J252" s="1" t="s">
        <v>258</v>
      </c>
      <c r="K252" s="1" t="str">
        <f>_xlfn.XLOOKUP(J252,REF!$D$2:$D$12,REF!$E$2:$E$12)</f>
        <v>Rede</v>
      </c>
      <c r="L252" s="1" t="s">
        <v>376</v>
      </c>
      <c r="M252" s="1" t="s">
        <v>260</v>
      </c>
      <c r="N252" s="1" t="s">
        <v>357</v>
      </c>
      <c r="O252" s="72" t="s">
        <v>297</v>
      </c>
      <c r="P252" s="1" t="str">
        <f t="shared" ref="P252:P298" si="17">_xlfn.CONCAT(B252,C252,D252,E252,F252)</f>
        <v>BC Camarao1.1215KTL-H3(MBUS-15)46090,336805555646090,336805555646090,375</v>
      </c>
      <c r="Q252" s="1" t="str">
        <f t="shared" si="15"/>
        <v>DAURDE</v>
      </c>
    </row>
    <row r="253" spans="2:17">
      <c r="B253" s="1" t="s">
        <v>387</v>
      </c>
      <c r="C253" s="1" t="s">
        <v>247</v>
      </c>
      <c r="D253" s="52">
        <v>46090.336805555555</v>
      </c>
      <c r="E253" s="52">
        <v>46090.336805555555</v>
      </c>
      <c r="F253" s="52">
        <v>46090.375</v>
      </c>
      <c r="G253" s="53">
        <f t="shared" si="12"/>
        <v>3.8194444445252884E-2</v>
      </c>
      <c r="H253" s="1" t="s">
        <v>257</v>
      </c>
      <c r="J253" s="1" t="s">
        <v>258</v>
      </c>
      <c r="K253" s="1" t="str">
        <f>_xlfn.XLOOKUP(J253,REF!$D$2:$D$12,REF!$E$2:$E$12)</f>
        <v>Rede</v>
      </c>
      <c r="L253" s="1" t="s">
        <v>376</v>
      </c>
      <c r="M253" s="1" t="s">
        <v>260</v>
      </c>
      <c r="N253" s="1" t="s">
        <v>357</v>
      </c>
      <c r="O253" s="72" t="s">
        <v>297</v>
      </c>
      <c r="P253" s="1" t="str">
        <f t="shared" si="17"/>
        <v>BC Camarao1.2Inverter(MBUS-1)46090,336805555646090,336805555646090,375</v>
      </c>
      <c r="Q253" s="1" t="str">
        <f t="shared" si="15"/>
        <v>DAURDE</v>
      </c>
    </row>
    <row r="254" spans="2:17">
      <c r="B254" s="1" t="s">
        <v>387</v>
      </c>
      <c r="C254" s="1" t="s">
        <v>388</v>
      </c>
      <c r="D254" s="52">
        <v>46090.336805555555</v>
      </c>
      <c r="E254" s="52">
        <v>46090.336805555555</v>
      </c>
      <c r="F254" s="52">
        <v>46090.375</v>
      </c>
      <c r="G254" s="53">
        <f t="shared" si="12"/>
        <v>3.8194444445252884E-2</v>
      </c>
      <c r="H254" s="1" t="s">
        <v>257</v>
      </c>
      <c r="J254" s="1" t="s">
        <v>258</v>
      </c>
      <c r="K254" s="1" t="str">
        <f>_xlfn.XLOOKUP(J254,REF!$D$2:$D$12,REF!$E$2:$E$12)</f>
        <v>Rede</v>
      </c>
      <c r="L254" s="1" t="s">
        <v>376</v>
      </c>
      <c r="M254" s="1" t="s">
        <v>260</v>
      </c>
      <c r="N254" s="1" t="s">
        <v>357</v>
      </c>
      <c r="O254" s="72" t="s">
        <v>297</v>
      </c>
      <c r="P254" s="1" t="str">
        <f t="shared" si="17"/>
        <v>BC Camarao1.2Inv. 346090,336805555646090,336805555646090,375</v>
      </c>
      <c r="Q254" s="1" t="str">
        <f t="shared" si="15"/>
        <v>DAURDE</v>
      </c>
    </row>
    <row r="255" spans="2:17">
      <c r="B255" s="1" t="s">
        <v>387</v>
      </c>
      <c r="C255" s="1" t="s">
        <v>389</v>
      </c>
      <c r="D255" s="52">
        <v>46090.336805555555</v>
      </c>
      <c r="E255" s="52">
        <v>46090.336805555555</v>
      </c>
      <c r="F255" s="52">
        <v>46090.375</v>
      </c>
      <c r="G255" s="53">
        <f t="shared" si="12"/>
        <v>3.8194444445252884E-2</v>
      </c>
      <c r="H255" s="1" t="s">
        <v>257</v>
      </c>
      <c r="J255" s="1" t="s">
        <v>258</v>
      </c>
      <c r="K255" s="1" t="str">
        <f>_xlfn.XLOOKUP(J255,REF!$D$2:$D$12,REF!$E$2:$E$12)</f>
        <v>Rede</v>
      </c>
      <c r="L255" s="1" t="s">
        <v>376</v>
      </c>
      <c r="M255" s="1" t="s">
        <v>260</v>
      </c>
      <c r="N255" s="1" t="s">
        <v>357</v>
      </c>
      <c r="O255" s="72" t="s">
        <v>297</v>
      </c>
      <c r="P255" s="1" t="str">
        <f t="shared" si="17"/>
        <v>BC Camarao1.2Inv. 446090,336805555646090,336805555646090,375</v>
      </c>
      <c r="Q255" s="1" t="str">
        <f t="shared" si="15"/>
        <v>DAURDE</v>
      </c>
    </row>
    <row r="256" spans="2:17">
      <c r="B256" s="1" t="s">
        <v>387</v>
      </c>
      <c r="C256" s="1" t="s">
        <v>390</v>
      </c>
      <c r="D256" s="52">
        <v>46090.336805555555</v>
      </c>
      <c r="E256" s="52">
        <v>46090.336805555555</v>
      </c>
      <c r="F256" s="52">
        <v>46090.375</v>
      </c>
      <c r="G256" s="53">
        <f t="shared" si="12"/>
        <v>3.8194444445252884E-2</v>
      </c>
      <c r="H256" s="1" t="s">
        <v>257</v>
      </c>
      <c r="J256" s="1" t="s">
        <v>258</v>
      </c>
      <c r="K256" s="1" t="str">
        <f>_xlfn.XLOOKUP(J256,REF!$D$2:$D$12,REF!$E$2:$E$12)</f>
        <v>Rede</v>
      </c>
      <c r="L256" s="1" t="s">
        <v>376</v>
      </c>
      <c r="M256" s="1" t="s">
        <v>260</v>
      </c>
      <c r="N256" s="1" t="s">
        <v>357</v>
      </c>
      <c r="O256" s="72" t="s">
        <v>297</v>
      </c>
      <c r="P256" s="1" t="str">
        <f t="shared" si="17"/>
        <v>BC Camarao1.2Inverter(MBUS-16)46090,336805555646090,336805555646090,375</v>
      </c>
      <c r="Q256" s="1" t="str">
        <f t="shared" si="15"/>
        <v>DAURDE</v>
      </c>
    </row>
    <row r="257" spans="2:17">
      <c r="B257" s="1" t="s">
        <v>387</v>
      </c>
      <c r="C257" s="1" t="s">
        <v>256</v>
      </c>
      <c r="D257" s="52">
        <v>46090.336805555555</v>
      </c>
      <c r="E257" s="52">
        <v>46090.336805555555</v>
      </c>
      <c r="F257" s="52">
        <v>46090.375</v>
      </c>
      <c r="G257" s="53">
        <f t="shared" si="12"/>
        <v>3.8194444445252884E-2</v>
      </c>
      <c r="H257" s="1" t="s">
        <v>257</v>
      </c>
      <c r="J257" s="1" t="s">
        <v>258</v>
      </c>
      <c r="K257" s="1" t="str">
        <f>_xlfn.XLOOKUP(J257,REF!$D$2:$D$12,REF!$E$2:$E$12)</f>
        <v>Rede</v>
      </c>
      <c r="L257" s="1" t="s">
        <v>376</v>
      </c>
      <c r="M257" s="1" t="s">
        <v>260</v>
      </c>
      <c r="N257" s="1" t="s">
        <v>357</v>
      </c>
      <c r="O257" s="72" t="s">
        <v>297</v>
      </c>
      <c r="P257" s="1" t="str">
        <f t="shared" si="17"/>
        <v>BC Camarao1.2Inverter(MBUS-12)46090,336805555646090,336805555646090,375</v>
      </c>
      <c r="Q257" s="1" t="str">
        <f t="shared" si="15"/>
        <v>DAURDE</v>
      </c>
    </row>
    <row r="258" spans="2:17">
      <c r="B258" s="1" t="s">
        <v>381</v>
      </c>
      <c r="C258" s="1" t="s">
        <v>379</v>
      </c>
      <c r="D258" s="52">
        <v>46090.336805555555</v>
      </c>
      <c r="E258" s="52">
        <v>46090.336805555555</v>
      </c>
      <c r="F258" s="52">
        <v>46090.375</v>
      </c>
      <c r="G258" s="53">
        <f t="shared" si="12"/>
        <v>3.8194444445252884E-2</v>
      </c>
      <c r="H258" s="1" t="s">
        <v>257</v>
      </c>
      <c r="J258" s="1" t="s">
        <v>258</v>
      </c>
      <c r="K258" s="1" t="str">
        <f>_xlfn.XLOOKUP(J258,REF!$D$2:$D$12,REF!$E$2:$E$12)</f>
        <v>Rede</v>
      </c>
      <c r="L258" s="1" t="s">
        <v>376</v>
      </c>
      <c r="M258" s="1" t="s">
        <v>260</v>
      </c>
      <c r="N258" s="1" t="s">
        <v>357</v>
      </c>
      <c r="O258" s="72" t="s">
        <v>297</v>
      </c>
      <c r="P258" s="1" t="str">
        <f t="shared" si="17"/>
        <v>BC Camarao1.3215KTL-H3(MBUS-16)46090,336805555646090,336805555646090,375</v>
      </c>
      <c r="Q258" s="1" t="str">
        <f t="shared" si="15"/>
        <v>DAURDE</v>
      </c>
    </row>
    <row r="259" spans="2:17">
      <c r="B259" s="1" t="s">
        <v>381</v>
      </c>
      <c r="C259" s="1" t="s">
        <v>382</v>
      </c>
      <c r="D259" s="52">
        <v>46090.336805555555</v>
      </c>
      <c r="E259" s="52">
        <v>46090.336805555555</v>
      </c>
      <c r="F259" s="52">
        <v>46090.375</v>
      </c>
      <c r="G259" s="53">
        <f t="shared" si="12"/>
        <v>3.8194444445252884E-2</v>
      </c>
      <c r="H259" s="1" t="s">
        <v>257</v>
      </c>
      <c r="J259" s="1" t="s">
        <v>258</v>
      </c>
      <c r="K259" s="1" t="str">
        <f>_xlfn.XLOOKUP(J259,REF!$D$2:$D$12,REF!$E$2:$E$12)</f>
        <v>Rede</v>
      </c>
      <c r="L259" s="1" t="s">
        <v>376</v>
      </c>
      <c r="M259" s="1" t="s">
        <v>260</v>
      </c>
      <c r="N259" s="1" t="s">
        <v>357</v>
      </c>
      <c r="O259" s="72" t="s">
        <v>297</v>
      </c>
      <c r="P259" s="1" t="str">
        <f t="shared" si="17"/>
        <v>BC Camarao1.3215KTL-H3(MBUS-14)46090,336805555646090,336805555646090,375</v>
      </c>
      <c r="Q259" s="1" t="str">
        <f t="shared" si="15"/>
        <v>DAURDE</v>
      </c>
    </row>
    <row r="260" spans="2:17">
      <c r="B260" s="1" t="s">
        <v>381</v>
      </c>
      <c r="C260" s="1" t="s">
        <v>380</v>
      </c>
      <c r="D260" s="52">
        <v>46090.336805555555</v>
      </c>
      <c r="E260" s="52">
        <v>46090.336805555555</v>
      </c>
      <c r="F260" s="52">
        <v>46090.375</v>
      </c>
      <c r="G260" s="53">
        <f t="shared" si="12"/>
        <v>3.8194444445252884E-2</v>
      </c>
      <c r="H260" s="1" t="s">
        <v>257</v>
      </c>
      <c r="J260" s="1" t="s">
        <v>258</v>
      </c>
      <c r="K260" s="1" t="str">
        <f>_xlfn.XLOOKUP(J260,REF!$D$2:$D$12,REF!$E$2:$E$12)</f>
        <v>Rede</v>
      </c>
      <c r="L260" s="1" t="s">
        <v>376</v>
      </c>
      <c r="M260" s="1" t="s">
        <v>260</v>
      </c>
      <c r="N260" s="1" t="s">
        <v>357</v>
      </c>
      <c r="O260" s="72" t="s">
        <v>297</v>
      </c>
      <c r="P260" s="1" t="str">
        <f t="shared" ref="P260:P298" si="18">_xlfn.CONCAT(B260,C260,D261,E260,F260)</f>
        <v>BC Camarao1.3215KTL-H3(MBUS-15)46090,336805555646090,336805555646090,375</v>
      </c>
      <c r="Q260" s="1" t="str">
        <f t="shared" si="15"/>
        <v>DAURDE</v>
      </c>
    </row>
    <row r="261" spans="2:17">
      <c r="B261" s="1" t="s">
        <v>381</v>
      </c>
      <c r="C261" s="1" t="s">
        <v>377</v>
      </c>
      <c r="D261" s="52">
        <v>46090.336805555555</v>
      </c>
      <c r="E261" s="52">
        <v>46090.336805555555</v>
      </c>
      <c r="F261" s="52">
        <v>46090.375</v>
      </c>
      <c r="G261" s="53">
        <f t="shared" si="12"/>
        <v>3.8194444445252884E-2</v>
      </c>
      <c r="H261" s="1" t="s">
        <v>257</v>
      </c>
      <c r="J261" s="1" t="s">
        <v>258</v>
      </c>
      <c r="K261" s="1" t="str">
        <f>_xlfn.XLOOKUP(J261,REF!$D$2:$D$12,REF!$E$2:$E$12)</f>
        <v>Rede</v>
      </c>
      <c r="L261" s="1" t="s">
        <v>376</v>
      </c>
      <c r="M261" s="1" t="s">
        <v>260</v>
      </c>
      <c r="N261" s="1" t="s">
        <v>357</v>
      </c>
      <c r="O261" s="72" t="s">
        <v>297</v>
      </c>
      <c r="P261" s="1" t="str">
        <f t="shared" si="18"/>
        <v>BC Camarao1.3215KTL-H3(MBUS-12)46090,336805555646090,336805555646090,375</v>
      </c>
      <c r="Q261" s="1" t="str">
        <f t="shared" si="15"/>
        <v>DAURDE</v>
      </c>
    </row>
    <row r="262" spans="2:17">
      <c r="B262" s="1" t="s">
        <v>381</v>
      </c>
      <c r="C262" s="1" t="s">
        <v>378</v>
      </c>
      <c r="D262" s="52">
        <v>46090.336805555555</v>
      </c>
      <c r="E262" s="52">
        <v>46090.336805555555</v>
      </c>
      <c r="F262" s="52">
        <v>46090.375</v>
      </c>
      <c r="G262" s="53">
        <f t="shared" si="12"/>
        <v>3.8194444445252884E-2</v>
      </c>
      <c r="H262" s="1" t="s">
        <v>257</v>
      </c>
      <c r="J262" s="1" t="s">
        <v>258</v>
      </c>
      <c r="K262" s="1" t="str">
        <f>_xlfn.XLOOKUP(J262,REF!$D$2:$D$12,REF!$E$2:$E$12)</f>
        <v>Rede</v>
      </c>
      <c r="L262" s="1" t="s">
        <v>376</v>
      </c>
      <c r="M262" s="1" t="s">
        <v>260</v>
      </c>
      <c r="N262" s="1" t="s">
        <v>357</v>
      </c>
      <c r="O262" s="72" t="s">
        <v>297</v>
      </c>
      <c r="P262" s="1" t="str">
        <f t="shared" si="18"/>
        <v>BC Camarao1.3215KTL-H3(MBUS-13)46090,336805555646090,336805555646090,375</v>
      </c>
      <c r="Q262" s="1" t="str">
        <f t="shared" si="15"/>
        <v>DAURDE</v>
      </c>
    </row>
    <row r="263" spans="2:17">
      <c r="B263" s="1" t="s">
        <v>391</v>
      </c>
      <c r="C263" s="1" t="s">
        <v>392</v>
      </c>
      <c r="D263" s="52">
        <v>46090.336805555555</v>
      </c>
      <c r="E263" s="52">
        <v>46090.336805555555</v>
      </c>
      <c r="F263" s="52">
        <v>46090.375</v>
      </c>
      <c r="G263" s="53">
        <f t="shared" si="12"/>
        <v>3.8194444445252884E-2</v>
      </c>
      <c r="H263" s="1" t="s">
        <v>257</v>
      </c>
      <c r="J263" s="1" t="s">
        <v>258</v>
      </c>
      <c r="K263" s="1" t="str">
        <f>_xlfn.XLOOKUP(J263,REF!$D$2:$D$12,REF!$E$2:$E$12)</f>
        <v>Rede</v>
      </c>
      <c r="L263" s="1" t="s">
        <v>376</v>
      </c>
      <c r="M263" s="1" t="s">
        <v>260</v>
      </c>
      <c r="N263" s="1" t="s">
        <v>357</v>
      </c>
      <c r="O263" s="72" t="s">
        <v>297</v>
      </c>
      <c r="P263" s="1" t="str">
        <f t="shared" si="18"/>
        <v>BC Camarao1.4INV-6T22A904138146090,336805555646090,336805555646090,375</v>
      </c>
      <c r="Q263" s="1" t="str">
        <f t="shared" si="15"/>
        <v>DAURDE</v>
      </c>
    </row>
    <row r="264" spans="2:17">
      <c r="B264" s="1" t="s">
        <v>391</v>
      </c>
      <c r="C264" s="1" t="s">
        <v>382</v>
      </c>
      <c r="D264" s="52">
        <v>46090.336805555555</v>
      </c>
      <c r="E264" s="52">
        <v>46090.336805555555</v>
      </c>
      <c r="F264" s="52">
        <v>46090.375</v>
      </c>
      <c r="G264" s="53">
        <f t="shared" si="12"/>
        <v>3.8194444445252884E-2</v>
      </c>
      <c r="H264" s="1" t="s">
        <v>257</v>
      </c>
      <c r="J264" s="1" t="s">
        <v>258</v>
      </c>
      <c r="K264" s="1" t="str">
        <f>_xlfn.XLOOKUP(J264,REF!$D$2:$D$12,REF!$E$2:$E$12)</f>
        <v>Rede</v>
      </c>
      <c r="L264" s="1" t="s">
        <v>376</v>
      </c>
      <c r="M264" s="1" t="s">
        <v>260</v>
      </c>
      <c r="N264" s="1" t="s">
        <v>357</v>
      </c>
      <c r="O264" s="72" t="s">
        <v>297</v>
      </c>
      <c r="P264" s="1" t="str">
        <f t="shared" ref="P264:P298" si="19">_xlfn.CONCAT(B264,C264,D264,E264,F264)</f>
        <v>BC Camarao1.4215KTL-H3(MBUS-14)46090,336805555646090,336805555646090,375</v>
      </c>
      <c r="Q264" s="1" t="str">
        <f t="shared" si="15"/>
        <v>DAURDE</v>
      </c>
    </row>
    <row r="265" spans="2:17">
      <c r="B265" s="1" t="s">
        <v>391</v>
      </c>
      <c r="C265" s="1" t="s">
        <v>378</v>
      </c>
      <c r="D265" s="52">
        <v>46090.336805555555</v>
      </c>
      <c r="E265" s="52">
        <v>46090.336805555555</v>
      </c>
      <c r="F265" s="52">
        <v>46090.375</v>
      </c>
      <c r="G265" s="53">
        <f t="shared" si="12"/>
        <v>3.8194444445252884E-2</v>
      </c>
      <c r="H265" s="1" t="s">
        <v>257</v>
      </c>
      <c r="J265" s="1" t="s">
        <v>258</v>
      </c>
      <c r="K265" s="1" t="str">
        <f>_xlfn.XLOOKUP(J265,REF!$D$2:$D$12,REF!$E$2:$E$12)</f>
        <v>Rede</v>
      </c>
      <c r="L265" s="1" t="s">
        <v>376</v>
      </c>
      <c r="M265" s="1" t="s">
        <v>260</v>
      </c>
      <c r="N265" s="1" t="s">
        <v>357</v>
      </c>
      <c r="O265" s="72" t="s">
        <v>297</v>
      </c>
      <c r="P265" s="1" t="str">
        <f t="shared" si="19"/>
        <v>BC Camarao1.4215KTL-H3(MBUS-13)46090,336805555646090,336805555646090,375</v>
      </c>
      <c r="Q265" s="1" t="str">
        <f t="shared" si="15"/>
        <v>DAURDE</v>
      </c>
    </row>
    <row r="266" spans="2:17">
      <c r="B266" s="1" t="s">
        <v>391</v>
      </c>
      <c r="C266" s="1" t="s">
        <v>379</v>
      </c>
      <c r="D266" s="52">
        <v>46090.336805555555</v>
      </c>
      <c r="E266" s="52">
        <v>46090.336805555555</v>
      </c>
      <c r="F266" s="52">
        <v>46090.375</v>
      </c>
      <c r="G266" s="53">
        <f t="shared" si="12"/>
        <v>3.8194444445252884E-2</v>
      </c>
      <c r="H266" s="1" t="s">
        <v>257</v>
      </c>
      <c r="J266" s="1" t="s">
        <v>258</v>
      </c>
      <c r="K266" s="1" t="str">
        <f>_xlfn.XLOOKUP(J266,REF!$D$2:$D$12,REF!$E$2:$E$12)</f>
        <v>Rede</v>
      </c>
      <c r="L266" s="1" t="s">
        <v>376</v>
      </c>
      <c r="M266" s="1" t="s">
        <v>260</v>
      </c>
      <c r="N266" s="1" t="s">
        <v>357</v>
      </c>
      <c r="O266" s="72" t="s">
        <v>297</v>
      </c>
      <c r="P266" s="1" t="str">
        <f t="shared" si="19"/>
        <v>BC Camarao1.4215KTL-H3(MBUS-16)46090,336805555646090,336805555646090,375</v>
      </c>
      <c r="Q266" s="1" t="str">
        <f t="shared" si="15"/>
        <v>DAURDE</v>
      </c>
    </row>
    <row r="267" spans="2:17">
      <c r="B267" s="1" t="s">
        <v>391</v>
      </c>
      <c r="C267" s="1" t="s">
        <v>380</v>
      </c>
      <c r="D267" s="52">
        <v>46090.336805555555</v>
      </c>
      <c r="E267" s="52">
        <v>46090.336805555555</v>
      </c>
      <c r="F267" s="52">
        <v>46090.375</v>
      </c>
      <c r="G267" s="53">
        <f t="shared" si="12"/>
        <v>3.8194444445252884E-2</v>
      </c>
      <c r="H267" s="1" t="s">
        <v>257</v>
      </c>
      <c r="J267" s="1" t="s">
        <v>258</v>
      </c>
      <c r="K267" s="1" t="str">
        <f>_xlfn.XLOOKUP(J267,REF!$D$2:$D$12,REF!$E$2:$E$12)</f>
        <v>Rede</v>
      </c>
      <c r="L267" s="1" t="s">
        <v>376</v>
      </c>
      <c r="M267" s="1" t="s">
        <v>260</v>
      </c>
      <c r="N267" s="1" t="s">
        <v>357</v>
      </c>
      <c r="O267" s="72" t="s">
        <v>297</v>
      </c>
      <c r="P267" s="1" t="str">
        <f t="shared" si="19"/>
        <v>BC Camarao1.4215KTL-H3(MBUS-15)46090,336805555646090,336805555646090,375</v>
      </c>
      <c r="Q267" s="1" t="str">
        <f t="shared" si="15"/>
        <v>DAURDE</v>
      </c>
    </row>
    <row r="268" spans="2:17">
      <c r="B268" s="1" t="s">
        <v>305</v>
      </c>
      <c r="C268" s="1" t="s">
        <v>256</v>
      </c>
      <c r="D268" s="52">
        <v>46090.534722222219</v>
      </c>
      <c r="E268" s="52">
        <v>46090.534722222219</v>
      </c>
      <c r="F268" s="52">
        <v>46090.590277777781</v>
      </c>
      <c r="G268" s="53">
        <f t="shared" si="12"/>
        <v>5.5555555562023073E-2</v>
      </c>
      <c r="H268" s="1" t="s">
        <v>257</v>
      </c>
      <c r="J268" s="1" t="s">
        <v>258</v>
      </c>
      <c r="K268" s="1" t="str">
        <f>_xlfn.XLOOKUP(J268,REF!$D$2:$D$12,REF!$E$2:$E$12)</f>
        <v>Rede</v>
      </c>
      <c r="L268" s="1" t="s">
        <v>353</v>
      </c>
      <c r="M268" s="1" t="s">
        <v>260</v>
      </c>
      <c r="N268" s="1" t="s">
        <v>357</v>
      </c>
      <c r="O268" s="72" t="s">
        <v>297</v>
      </c>
      <c r="P268" s="1" t="str">
        <f t="shared" si="19"/>
        <v>ARAGUATINS 1.1Inverter(MBUS-12)46090,534722222246090,534722222246090,5902777778</v>
      </c>
      <c r="Q268" s="1" t="str">
        <f t="shared" si="15"/>
        <v>DAURDE</v>
      </c>
    </row>
    <row r="269" spans="2:17">
      <c r="B269" s="1" t="s">
        <v>305</v>
      </c>
      <c r="C269" s="1" t="s">
        <v>264</v>
      </c>
      <c r="D269" s="52">
        <v>46090.534722222219</v>
      </c>
      <c r="E269" s="52">
        <v>46090.534722222219</v>
      </c>
      <c r="F269" s="52">
        <v>46090.590277777781</v>
      </c>
      <c r="G269" s="53">
        <f t="shared" si="12"/>
        <v>5.5555555562023073E-2</v>
      </c>
      <c r="H269" s="1" t="s">
        <v>257</v>
      </c>
      <c r="J269" s="1" t="s">
        <v>258</v>
      </c>
      <c r="K269" s="1" t="str">
        <f>_xlfn.XLOOKUP(J269,REF!$D$2:$D$12,REF!$E$2:$E$12)</f>
        <v>Rede</v>
      </c>
      <c r="L269" s="1" t="s">
        <v>353</v>
      </c>
      <c r="M269" s="1" t="s">
        <v>260</v>
      </c>
      <c r="N269" s="1" t="s">
        <v>357</v>
      </c>
      <c r="O269" s="72" t="s">
        <v>297</v>
      </c>
      <c r="P269" s="1" t="str">
        <f t="shared" si="19"/>
        <v>ARAGUATINS 1.1Inverter(MBUS-13)46090,534722222246090,534722222246090,5902777778</v>
      </c>
      <c r="Q269" s="1" t="str">
        <f t="shared" si="15"/>
        <v>DAURDE</v>
      </c>
    </row>
    <row r="270" spans="2:17">
      <c r="B270" s="1" t="s">
        <v>305</v>
      </c>
      <c r="C270" s="1" t="s">
        <v>263</v>
      </c>
      <c r="D270" s="52">
        <v>46090.534722222219</v>
      </c>
      <c r="E270" s="52">
        <v>46090.534722222219</v>
      </c>
      <c r="F270" s="52">
        <v>46090.590277777781</v>
      </c>
      <c r="G270" s="53">
        <f t="shared" si="12"/>
        <v>5.5555555562023073E-2</v>
      </c>
      <c r="H270" s="1" t="s">
        <v>257</v>
      </c>
      <c r="J270" s="1" t="s">
        <v>258</v>
      </c>
      <c r="K270" s="1" t="str">
        <f>_xlfn.XLOOKUP(J270,REF!$D$2:$D$12,REF!$E$2:$E$12)</f>
        <v>Rede</v>
      </c>
      <c r="L270" s="1" t="s">
        <v>353</v>
      </c>
      <c r="M270" s="1" t="s">
        <v>260</v>
      </c>
      <c r="N270" s="1" t="s">
        <v>357</v>
      </c>
      <c r="O270" s="72" t="s">
        <v>297</v>
      </c>
      <c r="P270" s="1" t="str">
        <f t="shared" si="19"/>
        <v>ARAGUATINS 1.1Inverter(MBUS-14)46090,534722222246090,534722222246090,5902777778</v>
      </c>
      <c r="Q270" s="1" t="str">
        <f t="shared" si="15"/>
        <v>DAURDE</v>
      </c>
    </row>
    <row r="271" spans="2:17">
      <c r="B271" s="1" t="s">
        <v>305</v>
      </c>
      <c r="C271" s="1" t="s">
        <v>307</v>
      </c>
      <c r="D271" s="52">
        <v>46090.534722222219</v>
      </c>
      <c r="E271" s="52">
        <v>46090.534722222219</v>
      </c>
      <c r="F271" s="52">
        <v>46090.590277777781</v>
      </c>
      <c r="G271" s="53">
        <f t="shared" si="12"/>
        <v>5.5555555562023073E-2</v>
      </c>
      <c r="H271" s="1" t="s">
        <v>257</v>
      </c>
      <c r="J271" s="1" t="s">
        <v>258</v>
      </c>
      <c r="K271" s="1" t="str">
        <f>_xlfn.XLOOKUP(J271,REF!$D$2:$D$12,REF!$E$2:$E$12)</f>
        <v>Rede</v>
      </c>
      <c r="L271" s="1" t="s">
        <v>353</v>
      </c>
      <c r="M271" s="1" t="s">
        <v>260</v>
      </c>
      <c r="N271" s="1" t="s">
        <v>357</v>
      </c>
      <c r="O271" s="72" t="s">
        <v>297</v>
      </c>
      <c r="P271" s="1" t="str">
        <f t="shared" si="19"/>
        <v>ARAGUATINS 1.1Inverter(MBUS-15)46090,534722222246090,534722222246090,5902777778</v>
      </c>
      <c r="Q271" s="1" t="str">
        <f t="shared" si="15"/>
        <v>DAURDE</v>
      </c>
    </row>
    <row r="272" spans="2:17">
      <c r="B272" s="1" t="s">
        <v>311</v>
      </c>
      <c r="C272" s="1" t="s">
        <v>256</v>
      </c>
      <c r="D272" s="52">
        <v>46090.534722222219</v>
      </c>
      <c r="E272" s="52">
        <v>46090.534722222219</v>
      </c>
      <c r="F272" s="52">
        <v>46090.590277777781</v>
      </c>
      <c r="G272" s="53">
        <f t="shared" si="12"/>
        <v>5.5555555562023073E-2</v>
      </c>
      <c r="H272" s="1" t="s">
        <v>257</v>
      </c>
      <c r="J272" s="1" t="s">
        <v>258</v>
      </c>
      <c r="K272" s="1" t="str">
        <f>_xlfn.XLOOKUP(J272,REF!$D$2:$D$12,REF!$E$2:$E$12)</f>
        <v>Rede</v>
      </c>
      <c r="L272" s="1" t="s">
        <v>353</v>
      </c>
      <c r="M272" s="1" t="s">
        <v>260</v>
      </c>
      <c r="N272" s="1" t="s">
        <v>357</v>
      </c>
      <c r="O272" s="72" t="s">
        <v>297</v>
      </c>
      <c r="P272" s="1" t="str">
        <f t="shared" ref="P272:P298" si="20">_xlfn.CONCAT(B272,C272,D273,E272,F272)</f>
        <v>ARAGUATINS 2.1Inverter(MBUS-12)46090,534722222246090,534722222246090,5902777778</v>
      </c>
      <c r="Q272" s="1" t="str">
        <f t="shared" si="15"/>
        <v>DAURDE</v>
      </c>
    </row>
    <row r="273" spans="2:17">
      <c r="B273" s="1" t="s">
        <v>311</v>
      </c>
      <c r="C273" s="1" t="s">
        <v>307</v>
      </c>
      <c r="D273" s="52">
        <v>46090.534722222219</v>
      </c>
      <c r="E273" s="52">
        <v>46090.534722222219</v>
      </c>
      <c r="F273" s="52">
        <v>46090.590277777781</v>
      </c>
      <c r="G273" s="53">
        <f t="shared" si="12"/>
        <v>5.5555555562023073E-2</v>
      </c>
      <c r="H273" s="1" t="s">
        <v>257</v>
      </c>
      <c r="J273" s="1" t="s">
        <v>258</v>
      </c>
      <c r="K273" s="1" t="str">
        <f>_xlfn.XLOOKUP(J273,REF!$D$2:$D$12,REF!$E$2:$E$12)</f>
        <v>Rede</v>
      </c>
      <c r="L273" s="1" t="s">
        <v>353</v>
      </c>
      <c r="M273" s="1" t="s">
        <v>260</v>
      </c>
      <c r="N273" s="1" t="s">
        <v>357</v>
      </c>
      <c r="O273" s="72" t="s">
        <v>297</v>
      </c>
      <c r="P273" s="1" t="str">
        <f t="shared" si="20"/>
        <v>ARAGUATINS 2.1Inverter(MBUS-15)46090,534722222246090,534722222246090,5902777778</v>
      </c>
      <c r="Q273" s="1" t="str">
        <f t="shared" si="15"/>
        <v>DAURDE</v>
      </c>
    </row>
    <row r="274" spans="2:17">
      <c r="B274" s="1" t="s">
        <v>311</v>
      </c>
      <c r="C274" s="1" t="s">
        <v>263</v>
      </c>
      <c r="D274" s="52">
        <v>46090.534722222219</v>
      </c>
      <c r="E274" s="52">
        <v>46090.534722222219</v>
      </c>
      <c r="F274" s="52">
        <v>46090.590277777781</v>
      </c>
      <c r="G274" s="53">
        <f t="shared" si="12"/>
        <v>5.5555555562023073E-2</v>
      </c>
      <c r="H274" s="1" t="s">
        <v>257</v>
      </c>
      <c r="J274" s="1" t="s">
        <v>258</v>
      </c>
      <c r="K274" s="1" t="str">
        <f>_xlfn.XLOOKUP(J274,REF!$D$2:$D$12,REF!$E$2:$E$12)</f>
        <v>Rede</v>
      </c>
      <c r="L274" s="1" t="s">
        <v>353</v>
      </c>
      <c r="M274" s="1" t="s">
        <v>260</v>
      </c>
      <c r="N274" s="1" t="s">
        <v>357</v>
      </c>
      <c r="O274" s="72" t="s">
        <v>297</v>
      </c>
      <c r="P274" s="1" t="str">
        <f t="shared" ref="P274:P298" si="21">_xlfn.CONCAT(B274,C274,D274,E274,F274)</f>
        <v>ARAGUATINS 2.1Inverter(MBUS-14)46090,534722222246090,534722222246090,5902777778</v>
      </c>
      <c r="Q274" s="1" t="str">
        <f t="shared" si="15"/>
        <v>DAURDE</v>
      </c>
    </row>
    <row r="275" spans="2:17">
      <c r="B275" s="1" t="s">
        <v>311</v>
      </c>
      <c r="C275" s="1" t="s">
        <v>247</v>
      </c>
      <c r="D275" s="52">
        <v>46090.534722222219</v>
      </c>
      <c r="E275" s="52">
        <v>46090.534722222219</v>
      </c>
      <c r="F275" s="52">
        <v>46090.590277777781</v>
      </c>
      <c r="G275" s="53">
        <f t="shared" si="12"/>
        <v>5.5555555562023073E-2</v>
      </c>
      <c r="H275" s="1" t="s">
        <v>257</v>
      </c>
      <c r="J275" s="1" t="s">
        <v>258</v>
      </c>
      <c r="K275" s="1" t="str">
        <f>_xlfn.XLOOKUP(J275,REF!$D$2:$D$12,REF!$E$2:$E$12)</f>
        <v>Rede</v>
      </c>
      <c r="L275" s="1" t="s">
        <v>353</v>
      </c>
      <c r="M275" s="1" t="s">
        <v>260</v>
      </c>
      <c r="N275" s="1" t="s">
        <v>357</v>
      </c>
      <c r="O275" s="72" t="s">
        <v>297</v>
      </c>
      <c r="P275" s="1" t="str">
        <f t="shared" si="21"/>
        <v>ARAGUATINS 2.1Inverter(MBUS-1)46090,534722222246090,534722222246090,5902777778</v>
      </c>
      <c r="Q275" s="1" t="str">
        <f t="shared" si="15"/>
        <v>DAURDE</v>
      </c>
    </row>
    <row r="276" spans="2:17">
      <c r="B276" s="1" t="s">
        <v>312</v>
      </c>
      <c r="C276" s="1" t="s">
        <v>307</v>
      </c>
      <c r="D276" s="52">
        <v>46090.534722222219</v>
      </c>
      <c r="E276" s="52">
        <v>46090.534722222219</v>
      </c>
      <c r="F276" s="52">
        <v>46090.590277777781</v>
      </c>
      <c r="G276" s="53">
        <f t="shared" si="12"/>
        <v>5.5555555562023073E-2</v>
      </c>
      <c r="H276" s="1" t="s">
        <v>257</v>
      </c>
      <c r="J276" s="1" t="s">
        <v>258</v>
      </c>
      <c r="K276" s="1" t="str">
        <f>_xlfn.XLOOKUP(J276,REF!$D$2:$D$12,REF!$E$2:$E$12)</f>
        <v>Rede</v>
      </c>
      <c r="L276" s="1" t="s">
        <v>353</v>
      </c>
      <c r="M276" s="1" t="s">
        <v>260</v>
      </c>
      <c r="N276" s="1" t="s">
        <v>357</v>
      </c>
      <c r="O276" s="72" t="s">
        <v>297</v>
      </c>
      <c r="P276" s="1" t="str">
        <f t="shared" si="21"/>
        <v>ARAGUATINS 2.2Inverter(MBUS-15)46090,534722222246090,534722222246090,5902777778</v>
      </c>
      <c r="Q276" s="1" t="str">
        <f t="shared" si="15"/>
        <v>DAURDE</v>
      </c>
    </row>
    <row r="277" spans="2:17">
      <c r="B277" s="66" t="s">
        <v>312</v>
      </c>
      <c r="C277" s="1" t="s">
        <v>264</v>
      </c>
      <c r="D277" s="52">
        <v>46090.534722222219</v>
      </c>
      <c r="E277" s="52">
        <v>46090.534722222219</v>
      </c>
      <c r="F277" s="52">
        <v>46090.590277777781</v>
      </c>
      <c r="G277" s="53">
        <f t="shared" si="12"/>
        <v>5.5555555562023073E-2</v>
      </c>
      <c r="H277" s="1" t="s">
        <v>257</v>
      </c>
      <c r="J277" s="1" t="s">
        <v>258</v>
      </c>
      <c r="K277" s="1" t="str">
        <f>_xlfn.XLOOKUP(J277,REF!$D$2:$D$12,REF!$E$2:$E$12)</f>
        <v>Rede</v>
      </c>
      <c r="L277" s="1" t="s">
        <v>353</v>
      </c>
      <c r="M277" s="1" t="s">
        <v>260</v>
      </c>
      <c r="N277" s="1" t="s">
        <v>357</v>
      </c>
      <c r="O277" s="72" t="s">
        <v>297</v>
      </c>
      <c r="P277" s="1" t="str">
        <f t="shared" si="21"/>
        <v>ARAGUATINS 2.2Inverter(MBUS-13)46090,534722222246090,534722222246090,5902777778</v>
      </c>
      <c r="Q277" s="1" t="str">
        <f t="shared" si="15"/>
        <v>DAURDE</v>
      </c>
    </row>
    <row r="278" spans="2:17">
      <c r="B278" s="66" t="s">
        <v>312</v>
      </c>
      <c r="C278" s="1" t="s">
        <v>263</v>
      </c>
      <c r="D278" s="52">
        <v>46090.534722222219</v>
      </c>
      <c r="E278" s="52">
        <v>46090.534722222219</v>
      </c>
      <c r="F278" s="52">
        <v>46090.590277777781</v>
      </c>
      <c r="G278" s="53">
        <f t="shared" si="12"/>
        <v>5.5555555562023073E-2</v>
      </c>
      <c r="H278" s="1" t="s">
        <v>257</v>
      </c>
      <c r="J278" s="1" t="s">
        <v>258</v>
      </c>
      <c r="K278" s="1" t="str">
        <f>_xlfn.XLOOKUP(J278,REF!$D$2:$D$12,REF!$E$2:$E$12)</f>
        <v>Rede</v>
      </c>
      <c r="L278" s="1" t="s">
        <v>353</v>
      </c>
      <c r="M278" s="1" t="s">
        <v>260</v>
      </c>
      <c r="N278" s="1" t="s">
        <v>357</v>
      </c>
      <c r="O278" s="72" t="s">
        <v>297</v>
      </c>
      <c r="P278" s="1" t="str">
        <f t="shared" si="21"/>
        <v>ARAGUATINS 2.2Inverter(MBUS-14)46090,534722222246090,534722222246090,5902777778</v>
      </c>
      <c r="Q278" s="1" t="str">
        <f t="shared" si="15"/>
        <v>DAURDE</v>
      </c>
    </row>
    <row r="279" spans="2:17">
      <c r="B279" s="66" t="s">
        <v>312</v>
      </c>
      <c r="C279" s="1" t="s">
        <v>256</v>
      </c>
      <c r="D279" s="52">
        <v>46090.534722222219</v>
      </c>
      <c r="E279" s="52">
        <v>46090.534722222219</v>
      </c>
      <c r="F279" s="52">
        <v>46090.590277777781</v>
      </c>
      <c r="G279" s="53">
        <f t="shared" si="12"/>
        <v>5.5555555562023073E-2</v>
      </c>
      <c r="H279" s="1" t="s">
        <v>257</v>
      </c>
      <c r="J279" s="1" t="s">
        <v>258</v>
      </c>
      <c r="K279" s="1" t="str">
        <f>_xlfn.XLOOKUP(J279,REF!$D$2:$D$12,REF!$E$2:$E$12)</f>
        <v>Rede</v>
      </c>
      <c r="L279" s="1" t="s">
        <v>353</v>
      </c>
      <c r="M279" s="1" t="s">
        <v>260</v>
      </c>
      <c r="N279" s="1" t="s">
        <v>357</v>
      </c>
      <c r="O279" s="72" t="s">
        <v>297</v>
      </c>
      <c r="P279" s="1" t="str">
        <f t="shared" si="21"/>
        <v>ARAGUATINS 2.2Inverter(MBUS-12)46090,534722222246090,534722222246090,5902777778</v>
      </c>
      <c r="Q279" s="1" t="str">
        <f t="shared" si="15"/>
        <v>DAURDE</v>
      </c>
    </row>
    <row r="280" spans="2:17">
      <c r="B280" s="66" t="s">
        <v>313</v>
      </c>
      <c r="C280" s="1" t="s">
        <v>256</v>
      </c>
      <c r="D280" s="52">
        <v>46090.534722222219</v>
      </c>
      <c r="E280" s="52">
        <v>46090.534722222219</v>
      </c>
      <c r="F280" s="52">
        <v>46090.590277777781</v>
      </c>
      <c r="G280" s="53">
        <f t="shared" si="12"/>
        <v>5.5555555562023073E-2</v>
      </c>
      <c r="H280" s="1" t="s">
        <v>257</v>
      </c>
      <c r="J280" s="1" t="s">
        <v>258</v>
      </c>
      <c r="K280" s="1" t="str">
        <f>_xlfn.XLOOKUP(J280,REF!$D$2:$D$12,REF!$E$2:$E$12)</f>
        <v>Rede</v>
      </c>
      <c r="L280" s="1" t="s">
        <v>353</v>
      </c>
      <c r="M280" s="1" t="s">
        <v>260</v>
      </c>
      <c r="N280" s="1" t="s">
        <v>357</v>
      </c>
      <c r="O280" s="72" t="s">
        <v>297</v>
      </c>
      <c r="P280" s="1" t="str">
        <f t="shared" si="21"/>
        <v>ARAGUATINS 2.3Inverter(MBUS-12)46090,534722222246090,534722222246090,5902777778</v>
      </c>
      <c r="Q280" s="1" t="str">
        <f t="shared" si="15"/>
        <v>DAURDE</v>
      </c>
    </row>
    <row r="281" spans="2:17">
      <c r="B281" s="66" t="s">
        <v>313</v>
      </c>
      <c r="C281" s="1" t="s">
        <v>264</v>
      </c>
      <c r="D281" s="52">
        <v>46090.534722222219</v>
      </c>
      <c r="E281" s="52">
        <v>46090.534722222219</v>
      </c>
      <c r="F281" s="52">
        <v>46090.590277777781</v>
      </c>
      <c r="G281" s="53">
        <f t="shared" si="12"/>
        <v>5.5555555562023073E-2</v>
      </c>
      <c r="H281" s="1" t="s">
        <v>257</v>
      </c>
      <c r="J281" s="1" t="s">
        <v>258</v>
      </c>
      <c r="K281" s="1" t="str">
        <f>_xlfn.XLOOKUP(J281,REF!$D$2:$D$12,REF!$E$2:$E$12)</f>
        <v>Rede</v>
      </c>
      <c r="L281" s="1" t="s">
        <v>353</v>
      </c>
      <c r="M281" s="1" t="s">
        <v>260</v>
      </c>
      <c r="N281" s="1" t="s">
        <v>357</v>
      </c>
      <c r="O281" s="72" t="s">
        <v>297</v>
      </c>
      <c r="P281" s="1" t="str">
        <f t="shared" si="21"/>
        <v>ARAGUATINS 2.3Inverter(MBUS-13)46090,534722222246090,534722222246090,5902777778</v>
      </c>
      <c r="Q281" s="1" t="str">
        <f t="shared" si="15"/>
        <v>DAURDE</v>
      </c>
    </row>
    <row r="282" spans="2:17">
      <c r="B282" s="66" t="s">
        <v>305</v>
      </c>
      <c r="C282" s="1" t="s">
        <v>256</v>
      </c>
      <c r="D282" s="52">
        <v>46090.677083333336</v>
      </c>
      <c r="E282" s="52">
        <v>46090.677083333336</v>
      </c>
      <c r="F282" s="52">
        <v>46090.736111111109</v>
      </c>
      <c r="G282" s="53">
        <f t="shared" si="12"/>
        <v>5.9027777773735579E-2</v>
      </c>
      <c r="H282" s="1" t="s">
        <v>257</v>
      </c>
      <c r="J282" s="1" t="s">
        <v>258</v>
      </c>
      <c r="K282" s="1" t="str">
        <f>_xlfn.XLOOKUP(J282,REF!$D$2:$D$12,REF!$E$2:$E$12)</f>
        <v>Rede</v>
      </c>
      <c r="L282" s="1" t="s">
        <v>353</v>
      </c>
      <c r="M282" s="1" t="s">
        <v>260</v>
      </c>
      <c r="N282" s="1" t="s">
        <v>357</v>
      </c>
      <c r="O282" s="72" t="s">
        <v>297</v>
      </c>
      <c r="P282" s="1" t="str">
        <f t="shared" ref="P282:P298" si="22">_xlfn.CONCAT(B282,C282,D283,E282,F282)</f>
        <v>ARAGUATINS 1.1Inverter(MBUS-12)46090,677083333346090,677083333346090,7361111111</v>
      </c>
      <c r="Q282" s="1" t="str">
        <f t="shared" si="15"/>
        <v>DAURDE</v>
      </c>
    </row>
    <row r="283" spans="2:17">
      <c r="B283" s="66" t="s">
        <v>305</v>
      </c>
      <c r="C283" s="1" t="s">
        <v>264</v>
      </c>
      <c r="D283" s="52">
        <v>46090.677083333336</v>
      </c>
      <c r="E283" s="52">
        <v>46090.677083333336</v>
      </c>
      <c r="F283" s="52">
        <v>46090.736111111109</v>
      </c>
      <c r="G283" s="53">
        <f t="shared" si="12"/>
        <v>5.9027777773735579E-2</v>
      </c>
      <c r="H283" s="1" t="s">
        <v>257</v>
      </c>
      <c r="J283" s="1" t="s">
        <v>258</v>
      </c>
      <c r="K283" s="1" t="str">
        <f>_xlfn.XLOOKUP(J283,REF!$D$2:$D$12,REF!$E$2:$E$12)</f>
        <v>Rede</v>
      </c>
      <c r="L283" s="1" t="s">
        <v>353</v>
      </c>
      <c r="M283" s="1" t="s">
        <v>260</v>
      </c>
      <c r="N283" s="1" t="s">
        <v>357</v>
      </c>
      <c r="O283" s="72" t="s">
        <v>297</v>
      </c>
      <c r="P283" s="1" t="str">
        <f t="shared" si="22"/>
        <v>ARAGUATINS 1.1Inverter(MBUS-13)46090,677083333346090,677083333346090,7361111111</v>
      </c>
      <c r="Q283" s="1" t="str">
        <f t="shared" si="15"/>
        <v>DAURDE</v>
      </c>
    </row>
    <row r="284" spans="2:17">
      <c r="B284" s="66" t="s">
        <v>305</v>
      </c>
      <c r="C284" s="1" t="s">
        <v>263</v>
      </c>
      <c r="D284" s="52">
        <v>46090.677083333336</v>
      </c>
      <c r="E284" s="52">
        <v>46090.677083333336</v>
      </c>
      <c r="F284" s="52">
        <v>46090.736111111109</v>
      </c>
      <c r="G284" s="53">
        <f t="shared" si="12"/>
        <v>5.9027777773735579E-2</v>
      </c>
      <c r="H284" s="1" t="s">
        <v>257</v>
      </c>
      <c r="J284" s="1" t="s">
        <v>258</v>
      </c>
      <c r="K284" s="1" t="str">
        <f>_xlfn.XLOOKUP(J284,REF!$D$2:$D$12,REF!$E$2:$E$12)</f>
        <v>Rede</v>
      </c>
      <c r="L284" s="1" t="s">
        <v>353</v>
      </c>
      <c r="M284" s="1" t="s">
        <v>260</v>
      </c>
      <c r="N284" s="1" t="s">
        <v>357</v>
      </c>
      <c r="O284" s="72" t="s">
        <v>297</v>
      </c>
      <c r="P284" s="1" t="str">
        <f t="shared" si="22"/>
        <v>ARAGUATINS 1.1Inverter(MBUS-14)46090,677083333346090,677083333346090,7361111111</v>
      </c>
      <c r="Q284" s="1" t="str">
        <f t="shared" si="15"/>
        <v>DAURDE</v>
      </c>
    </row>
    <row r="285" spans="2:17">
      <c r="B285" s="1" t="s">
        <v>305</v>
      </c>
      <c r="C285" s="1" t="s">
        <v>307</v>
      </c>
      <c r="D285" s="52">
        <v>46090.677083333336</v>
      </c>
      <c r="E285" s="52">
        <v>46090.677083333336</v>
      </c>
      <c r="F285" s="52">
        <v>46090.736111111109</v>
      </c>
      <c r="G285" s="53">
        <f t="shared" ref="G285:G348" si="23">F285-E285</f>
        <v>5.9027777773735579E-2</v>
      </c>
      <c r="H285" s="1" t="s">
        <v>257</v>
      </c>
      <c r="J285" s="1" t="s">
        <v>258</v>
      </c>
      <c r="K285" s="1" t="str">
        <f>_xlfn.XLOOKUP(J285,REF!$D$2:$D$12,REF!$E$2:$E$12)</f>
        <v>Rede</v>
      </c>
      <c r="L285" s="1" t="s">
        <v>353</v>
      </c>
      <c r="M285" s="1" t="s">
        <v>260</v>
      </c>
      <c r="N285" s="1" t="s">
        <v>357</v>
      </c>
      <c r="O285" s="72" t="s">
        <v>297</v>
      </c>
      <c r="P285" s="1" t="str">
        <f t="shared" si="22"/>
        <v>ARAGUATINS 1.1Inverter(MBUS-15)46090,677083333346090,677083333346090,7361111111</v>
      </c>
      <c r="Q285" s="1" t="str">
        <f t="shared" si="15"/>
        <v>DAURDE</v>
      </c>
    </row>
    <row r="286" spans="2:17">
      <c r="B286" s="1" t="s">
        <v>308</v>
      </c>
      <c r="C286" s="1" t="s">
        <v>256</v>
      </c>
      <c r="D286" s="52">
        <v>46090.677083333336</v>
      </c>
      <c r="E286" s="52">
        <v>46090.677083333336</v>
      </c>
      <c r="F286" s="52">
        <v>46090.736111111109</v>
      </c>
      <c r="G286" s="53">
        <f t="shared" si="23"/>
        <v>5.9027777773735579E-2</v>
      </c>
      <c r="H286" s="1" t="s">
        <v>257</v>
      </c>
      <c r="J286" s="1" t="s">
        <v>258</v>
      </c>
      <c r="K286" s="1" t="str">
        <f>_xlfn.XLOOKUP(J286,REF!$D$2:$D$12,REF!$E$2:$E$12)</f>
        <v>Rede</v>
      </c>
      <c r="L286" s="1" t="s">
        <v>353</v>
      </c>
      <c r="M286" s="1" t="s">
        <v>260</v>
      </c>
      <c r="N286" s="1" t="s">
        <v>357</v>
      </c>
      <c r="O286" s="72" t="s">
        <v>297</v>
      </c>
      <c r="P286" s="1" t="str">
        <f t="shared" si="17"/>
        <v>ARAGUATINS 1.2Inverter(MBUS-12)46090,677083333346090,677083333346090,7361111111</v>
      </c>
      <c r="Q286" s="1" t="str">
        <f t="shared" si="15"/>
        <v>DAURDE</v>
      </c>
    </row>
    <row r="287" spans="2:17">
      <c r="B287" s="1" t="s">
        <v>308</v>
      </c>
      <c r="C287" s="1" t="s">
        <v>264</v>
      </c>
      <c r="D287" s="52">
        <v>46090.677083333336</v>
      </c>
      <c r="E287" s="52">
        <v>46090.677083333336</v>
      </c>
      <c r="F287" s="52">
        <v>46090.736111111109</v>
      </c>
      <c r="G287" s="53">
        <f t="shared" si="23"/>
        <v>5.9027777773735579E-2</v>
      </c>
      <c r="H287" s="1" t="s">
        <v>257</v>
      </c>
      <c r="J287" s="1" t="s">
        <v>258</v>
      </c>
      <c r="K287" s="1" t="str">
        <f>_xlfn.XLOOKUP(J287,REF!$D$2:$D$12,REF!$E$2:$E$12)</f>
        <v>Rede</v>
      </c>
      <c r="L287" s="1" t="s">
        <v>353</v>
      </c>
      <c r="M287" s="1" t="s">
        <v>260</v>
      </c>
      <c r="N287" s="1" t="s">
        <v>357</v>
      </c>
      <c r="O287" s="72" t="s">
        <v>297</v>
      </c>
      <c r="P287" s="1" t="str">
        <f t="shared" si="17"/>
        <v>ARAGUATINS 1.2Inverter(MBUS-13)46090,677083333346090,677083333346090,7361111111</v>
      </c>
      <c r="Q287" s="1" t="str">
        <f t="shared" si="15"/>
        <v>DAURDE</v>
      </c>
    </row>
    <row r="288" spans="2:17">
      <c r="B288" s="1" t="s">
        <v>308</v>
      </c>
      <c r="C288" s="1" t="s">
        <v>263</v>
      </c>
      <c r="D288" s="52">
        <v>46090.677083333336</v>
      </c>
      <c r="E288" s="52">
        <v>46090.677083333336</v>
      </c>
      <c r="F288" s="52">
        <v>46090.736111111109</v>
      </c>
      <c r="G288" s="53">
        <f t="shared" si="23"/>
        <v>5.9027777773735579E-2</v>
      </c>
      <c r="H288" s="1" t="s">
        <v>257</v>
      </c>
      <c r="J288" s="1" t="s">
        <v>258</v>
      </c>
      <c r="K288" s="1" t="str">
        <f>_xlfn.XLOOKUP(J288,REF!$D$2:$D$12,REF!$E$2:$E$12)</f>
        <v>Rede</v>
      </c>
      <c r="L288" s="1" t="s">
        <v>353</v>
      </c>
      <c r="M288" s="1" t="s">
        <v>260</v>
      </c>
      <c r="N288" s="1" t="s">
        <v>357</v>
      </c>
      <c r="O288" s="72" t="s">
        <v>297</v>
      </c>
      <c r="P288" s="1" t="str">
        <f t="shared" si="17"/>
        <v>ARAGUATINS 1.2Inverter(MBUS-14)46090,677083333346090,677083333346090,7361111111</v>
      </c>
      <c r="Q288" s="1" t="str">
        <f t="shared" si="15"/>
        <v>DAURDE</v>
      </c>
    </row>
    <row r="289" spans="2:17">
      <c r="B289" s="1" t="s">
        <v>308</v>
      </c>
      <c r="C289" s="1" t="s">
        <v>307</v>
      </c>
      <c r="D289" s="52">
        <v>46090.677083333336</v>
      </c>
      <c r="E289" s="52">
        <v>46090.677083333336</v>
      </c>
      <c r="F289" s="52">
        <v>46090.736111111109</v>
      </c>
      <c r="G289" s="53">
        <f t="shared" si="23"/>
        <v>5.9027777773735579E-2</v>
      </c>
      <c r="H289" s="1" t="s">
        <v>257</v>
      </c>
      <c r="J289" s="1" t="s">
        <v>258</v>
      </c>
      <c r="K289" s="1" t="str">
        <f>_xlfn.XLOOKUP(J289,REF!$D$2:$D$12,REF!$E$2:$E$12)</f>
        <v>Rede</v>
      </c>
      <c r="L289" s="1" t="s">
        <v>353</v>
      </c>
      <c r="M289" s="1" t="s">
        <v>260</v>
      </c>
      <c r="N289" s="1" t="s">
        <v>357</v>
      </c>
      <c r="O289" s="72" t="s">
        <v>297</v>
      </c>
      <c r="P289" s="1" t="str">
        <f t="shared" si="17"/>
        <v>ARAGUATINS 1.2Inverter(MBUS-15)46090,677083333346090,677083333346090,7361111111</v>
      </c>
      <c r="Q289" s="1" t="str">
        <f t="shared" si="15"/>
        <v>DAURDE</v>
      </c>
    </row>
    <row r="290" spans="2:17">
      <c r="B290" s="1" t="s">
        <v>309</v>
      </c>
      <c r="C290" s="1" t="s">
        <v>310</v>
      </c>
      <c r="D290" s="52">
        <v>46090.677083333336</v>
      </c>
      <c r="E290" s="52">
        <v>46090.677083333336</v>
      </c>
      <c r="F290" s="52">
        <v>46090.736111111109</v>
      </c>
      <c r="G290" s="53">
        <f t="shared" si="23"/>
        <v>5.9027777773735579E-2</v>
      </c>
      <c r="H290" s="1" t="s">
        <v>257</v>
      </c>
      <c r="J290" s="1" t="s">
        <v>258</v>
      </c>
      <c r="K290" s="1" t="str">
        <f>_xlfn.XLOOKUP(J290,REF!$D$2:$D$12,REF!$E$2:$E$12)</f>
        <v>Rede</v>
      </c>
      <c r="L290" s="1" t="s">
        <v>353</v>
      </c>
      <c r="M290" s="1" t="s">
        <v>260</v>
      </c>
      <c r="N290" s="1" t="s">
        <v>357</v>
      </c>
      <c r="O290" s="72" t="s">
        <v>297</v>
      </c>
      <c r="P290" s="1" t="str">
        <f t="shared" si="17"/>
        <v>ARAGUATINS 1.3Inverter(MBUS-20)46090,677083333346090,677083333346090,7361111111</v>
      </c>
      <c r="Q290" s="1" t="str">
        <f t="shared" si="15"/>
        <v>DAURDE</v>
      </c>
    </row>
    <row r="291" spans="2:17">
      <c r="B291" s="1" t="s">
        <v>309</v>
      </c>
      <c r="C291" s="1" t="s">
        <v>247</v>
      </c>
      <c r="D291" s="52">
        <v>46090.677083333336</v>
      </c>
      <c r="E291" s="52">
        <v>46090.677083333336</v>
      </c>
      <c r="F291" s="52">
        <v>46090.736111111109</v>
      </c>
      <c r="G291" s="53">
        <f t="shared" si="23"/>
        <v>5.9027777773735579E-2</v>
      </c>
      <c r="H291" s="1" t="s">
        <v>257</v>
      </c>
      <c r="J291" s="1" t="s">
        <v>258</v>
      </c>
      <c r="K291" s="1" t="str">
        <f>_xlfn.XLOOKUP(J291,REF!$D$2:$D$12,REF!$E$2:$E$12)</f>
        <v>Rede</v>
      </c>
      <c r="L291" s="1" t="s">
        <v>353</v>
      </c>
      <c r="M291" s="1" t="s">
        <v>260</v>
      </c>
      <c r="N291" s="1" t="s">
        <v>357</v>
      </c>
      <c r="O291" s="72" t="s">
        <v>297</v>
      </c>
      <c r="P291" s="1" t="str">
        <f t="shared" si="17"/>
        <v>ARAGUATINS 1.3Inverter(MBUS-1)46090,677083333346090,677083333346090,7361111111</v>
      </c>
      <c r="Q291" s="1" t="str">
        <f t="shared" si="15"/>
        <v>DAURDE</v>
      </c>
    </row>
    <row r="292" spans="2:17">
      <c r="B292" s="1" t="s">
        <v>311</v>
      </c>
      <c r="C292" s="1" t="s">
        <v>256</v>
      </c>
      <c r="D292" s="52">
        <v>46090.677083333336</v>
      </c>
      <c r="E292" s="52">
        <v>46090.677083333336</v>
      </c>
      <c r="F292" s="52">
        <v>46090.736111111109</v>
      </c>
      <c r="G292" s="53">
        <f t="shared" si="23"/>
        <v>5.9027777773735579E-2</v>
      </c>
      <c r="H292" s="1" t="s">
        <v>257</v>
      </c>
      <c r="J292" s="1" t="s">
        <v>258</v>
      </c>
      <c r="K292" s="1" t="str">
        <f>_xlfn.XLOOKUP(J292,REF!$D$2:$D$12,REF!$E$2:$E$12)</f>
        <v>Rede</v>
      </c>
      <c r="L292" s="1" t="s">
        <v>353</v>
      </c>
      <c r="M292" s="1" t="s">
        <v>260</v>
      </c>
      <c r="N292" s="1" t="s">
        <v>357</v>
      </c>
      <c r="O292" s="72" t="s">
        <v>297</v>
      </c>
      <c r="P292" s="1" t="str">
        <f t="shared" si="17"/>
        <v>ARAGUATINS 2.1Inverter(MBUS-12)46090,677083333346090,677083333346090,7361111111</v>
      </c>
      <c r="Q292" s="1" t="str">
        <f t="shared" si="15"/>
        <v>DAURDE</v>
      </c>
    </row>
    <row r="293" spans="2:17">
      <c r="B293" s="1" t="s">
        <v>311</v>
      </c>
      <c r="C293" s="1" t="s">
        <v>307</v>
      </c>
      <c r="D293" s="52">
        <v>46090.677083333336</v>
      </c>
      <c r="E293" s="52">
        <v>46090.677083333336</v>
      </c>
      <c r="F293" s="52">
        <v>46090.736111111109</v>
      </c>
      <c r="G293" s="53">
        <f t="shared" si="23"/>
        <v>5.9027777773735579E-2</v>
      </c>
      <c r="H293" s="1" t="s">
        <v>257</v>
      </c>
      <c r="J293" s="1" t="s">
        <v>258</v>
      </c>
      <c r="K293" s="1" t="str">
        <f>_xlfn.XLOOKUP(J293,REF!$D$2:$D$12,REF!$E$2:$E$12)</f>
        <v>Rede</v>
      </c>
      <c r="L293" s="1" t="s">
        <v>353</v>
      </c>
      <c r="M293" s="1" t="s">
        <v>260</v>
      </c>
      <c r="N293" s="1" t="s">
        <v>357</v>
      </c>
      <c r="O293" s="72" t="s">
        <v>297</v>
      </c>
      <c r="P293" s="1" t="str">
        <f t="shared" si="17"/>
        <v>ARAGUATINS 2.1Inverter(MBUS-15)46090,677083333346090,677083333346090,7361111111</v>
      </c>
      <c r="Q293" s="1" t="str">
        <f t="shared" si="15"/>
        <v>DAURDE</v>
      </c>
    </row>
    <row r="294" spans="2:17">
      <c r="B294" s="1" t="s">
        <v>311</v>
      </c>
      <c r="C294" s="1" t="s">
        <v>263</v>
      </c>
      <c r="D294" s="52">
        <v>46090.677083333336</v>
      </c>
      <c r="E294" s="52">
        <v>46090.677083333336</v>
      </c>
      <c r="F294" s="52">
        <v>46090.736111111109</v>
      </c>
      <c r="G294" s="53">
        <f t="shared" si="23"/>
        <v>5.9027777773735579E-2</v>
      </c>
      <c r="H294" s="1" t="s">
        <v>257</v>
      </c>
      <c r="J294" s="1" t="s">
        <v>258</v>
      </c>
      <c r="K294" s="1" t="str">
        <f>_xlfn.XLOOKUP(J294,REF!$D$2:$D$12,REF!$E$2:$E$12)</f>
        <v>Rede</v>
      </c>
      <c r="L294" s="1" t="s">
        <v>353</v>
      </c>
      <c r="M294" s="1" t="s">
        <v>260</v>
      </c>
      <c r="N294" s="1" t="s">
        <v>357</v>
      </c>
      <c r="O294" s="72" t="s">
        <v>297</v>
      </c>
      <c r="P294" s="1" t="str">
        <f t="shared" si="18"/>
        <v>ARAGUATINS 2.1Inverter(MBUS-14)46090,677083333346090,677083333346090,7361111111</v>
      </c>
      <c r="Q294" s="1" t="str">
        <f t="shared" si="15"/>
        <v>DAURDE</v>
      </c>
    </row>
    <row r="295" spans="2:17">
      <c r="B295" s="1" t="s">
        <v>311</v>
      </c>
      <c r="C295" s="1" t="s">
        <v>247</v>
      </c>
      <c r="D295" s="52">
        <v>46090.677083333336</v>
      </c>
      <c r="E295" s="52">
        <v>46090.677083333336</v>
      </c>
      <c r="F295" s="52">
        <v>46090.736111111109</v>
      </c>
      <c r="G295" s="53">
        <f t="shared" si="23"/>
        <v>5.9027777773735579E-2</v>
      </c>
      <c r="H295" s="1" t="s">
        <v>257</v>
      </c>
      <c r="J295" s="1" t="s">
        <v>258</v>
      </c>
      <c r="K295" s="1" t="str">
        <f>_xlfn.XLOOKUP(J295,REF!$D$2:$D$12,REF!$E$2:$E$12)</f>
        <v>Rede</v>
      </c>
      <c r="L295" s="1" t="s">
        <v>353</v>
      </c>
      <c r="M295" s="1" t="s">
        <v>260</v>
      </c>
      <c r="N295" s="1" t="s">
        <v>357</v>
      </c>
      <c r="O295" s="72" t="s">
        <v>297</v>
      </c>
      <c r="P295" s="1" t="str">
        <f t="shared" si="18"/>
        <v>ARAGUATINS 2.1Inverter(MBUS-1)46090,677083333346090,677083333346090,7361111111</v>
      </c>
      <c r="Q295" s="1" t="str">
        <f t="shared" si="15"/>
        <v>DAURDE</v>
      </c>
    </row>
    <row r="296" spans="2:17">
      <c r="B296" s="1" t="s">
        <v>312</v>
      </c>
      <c r="C296" s="1" t="s">
        <v>307</v>
      </c>
      <c r="D296" s="52">
        <v>46090.677083333336</v>
      </c>
      <c r="E296" s="52">
        <v>46090.677083333336</v>
      </c>
      <c r="F296" s="52">
        <v>46090.736111111109</v>
      </c>
      <c r="G296" s="53">
        <f t="shared" si="23"/>
        <v>5.9027777773735579E-2</v>
      </c>
      <c r="H296" s="1" t="s">
        <v>257</v>
      </c>
      <c r="J296" s="1" t="s">
        <v>258</v>
      </c>
      <c r="K296" s="1" t="str">
        <f>_xlfn.XLOOKUP(J296,REF!$D$2:$D$12,REF!$E$2:$E$12)</f>
        <v>Rede</v>
      </c>
      <c r="L296" s="1" t="s">
        <v>353</v>
      </c>
      <c r="M296" s="1" t="s">
        <v>260</v>
      </c>
      <c r="N296" s="1" t="s">
        <v>357</v>
      </c>
      <c r="O296" s="72" t="s">
        <v>297</v>
      </c>
      <c r="P296" s="1" t="str">
        <f t="shared" si="18"/>
        <v>ARAGUATINS 2.2Inverter(MBUS-15)46090,677083333346090,677083333346090,7361111111</v>
      </c>
      <c r="Q296" s="1" t="str">
        <f t="shared" si="15"/>
        <v>DAURDE</v>
      </c>
    </row>
    <row r="297" spans="2:17">
      <c r="B297" s="1" t="s">
        <v>312</v>
      </c>
      <c r="C297" s="1" t="s">
        <v>264</v>
      </c>
      <c r="D297" s="52">
        <v>46090.677083333336</v>
      </c>
      <c r="E297" s="52">
        <v>46090.677083333336</v>
      </c>
      <c r="F297" s="52">
        <v>46090.736111111109</v>
      </c>
      <c r="G297" s="53">
        <f t="shared" si="23"/>
        <v>5.9027777773735579E-2</v>
      </c>
      <c r="H297" s="1" t="s">
        <v>257</v>
      </c>
      <c r="J297" s="1" t="s">
        <v>258</v>
      </c>
      <c r="K297" s="1" t="str">
        <f>_xlfn.XLOOKUP(J297,REF!$D$2:$D$12,REF!$E$2:$E$12)</f>
        <v>Rede</v>
      </c>
      <c r="L297" s="1" t="s">
        <v>353</v>
      </c>
      <c r="M297" s="1" t="s">
        <v>260</v>
      </c>
      <c r="N297" s="1" t="s">
        <v>357</v>
      </c>
      <c r="O297" s="72" t="s">
        <v>297</v>
      </c>
      <c r="P297" s="1" t="str">
        <f t="shared" si="18"/>
        <v>ARAGUATINS 2.2Inverter(MBUS-13)46090,677083333346090,677083333346090,7361111111</v>
      </c>
      <c r="Q297" s="1" t="str">
        <f t="shared" si="15"/>
        <v>DAURDE</v>
      </c>
    </row>
    <row r="298" spans="2:17">
      <c r="B298" s="1" t="s">
        <v>312</v>
      </c>
      <c r="C298" s="1" t="s">
        <v>263</v>
      </c>
      <c r="D298" s="52">
        <v>46090.677083333336</v>
      </c>
      <c r="E298" s="52">
        <v>46090.677083333336</v>
      </c>
      <c r="F298" s="52">
        <v>46090.736111111109</v>
      </c>
      <c r="G298" s="53">
        <f t="shared" si="23"/>
        <v>5.9027777773735579E-2</v>
      </c>
      <c r="H298" s="1" t="s">
        <v>257</v>
      </c>
      <c r="J298" s="1" t="s">
        <v>258</v>
      </c>
      <c r="K298" s="1" t="str">
        <f>_xlfn.XLOOKUP(J298,REF!$D$2:$D$12,REF!$E$2:$E$12)</f>
        <v>Rede</v>
      </c>
      <c r="L298" s="1" t="s">
        <v>353</v>
      </c>
      <c r="M298" s="1" t="s">
        <v>260</v>
      </c>
      <c r="N298" s="1" t="s">
        <v>357</v>
      </c>
      <c r="O298" s="72" t="s">
        <v>297</v>
      </c>
      <c r="P298" s="1" t="str">
        <f t="shared" si="19"/>
        <v>ARAGUATINS 2.2Inverter(MBUS-14)46090,677083333346090,677083333346090,7361111111</v>
      </c>
      <c r="Q298" s="1" t="str">
        <f t="shared" si="15"/>
        <v>DAURDE</v>
      </c>
    </row>
    <row r="299" spans="2:17">
      <c r="B299" s="1" t="s">
        <v>312</v>
      </c>
      <c r="C299" s="1" t="s">
        <v>256</v>
      </c>
      <c r="D299" s="52">
        <v>46090.677083333336</v>
      </c>
      <c r="E299" s="52">
        <v>46090.677083333336</v>
      </c>
      <c r="F299" s="52">
        <v>46090.736111111109</v>
      </c>
      <c r="G299" s="53">
        <f t="shared" si="23"/>
        <v>5.9027777773735579E-2</v>
      </c>
      <c r="H299" s="1" t="s">
        <v>257</v>
      </c>
      <c r="J299" s="1" t="s">
        <v>258</v>
      </c>
      <c r="K299" s="1" t="str">
        <f>_xlfn.XLOOKUP(J299,REF!$D$2:$D$12,REF!$E$2:$E$12)</f>
        <v>Rede</v>
      </c>
      <c r="L299" s="1" t="s">
        <v>353</v>
      </c>
      <c r="M299" s="1" t="s">
        <v>260</v>
      </c>
      <c r="N299" s="1" t="s">
        <v>357</v>
      </c>
      <c r="O299" s="72" t="s">
        <v>297</v>
      </c>
      <c r="P299" s="1" t="str">
        <f>_xlfn.CONCAT(B299,C299,D299,E299,F299)</f>
        <v>ARAGUATINS 2.2Inverter(MBUS-12)46090,677083333346090,677083333346090,7361111111</v>
      </c>
      <c r="Q299" s="1" t="str">
        <f t="shared" ref="Q299:Q324" si="24">_xlfn.CONCAT(H299,I299,J299)</f>
        <v>DAURDE</v>
      </c>
    </row>
    <row r="300" spans="2:17">
      <c r="B300" s="1" t="s">
        <v>313</v>
      </c>
      <c r="C300" s="1" t="s">
        <v>256</v>
      </c>
      <c r="D300" s="52">
        <v>46090.677083333336</v>
      </c>
      <c r="E300" s="52">
        <v>46090.677083333336</v>
      </c>
      <c r="F300" s="52">
        <v>46090.736111111109</v>
      </c>
      <c r="G300" s="53">
        <f t="shared" si="23"/>
        <v>5.9027777773735579E-2</v>
      </c>
      <c r="H300" s="1" t="s">
        <v>257</v>
      </c>
      <c r="J300" s="1" t="s">
        <v>258</v>
      </c>
      <c r="K300" s="1" t="str">
        <f>_xlfn.XLOOKUP(J300,REF!$D$2:$D$12,REF!$E$2:$E$12)</f>
        <v>Rede</v>
      </c>
      <c r="L300" s="1" t="s">
        <v>353</v>
      </c>
      <c r="M300" s="1" t="s">
        <v>260</v>
      </c>
      <c r="N300" s="1" t="s">
        <v>357</v>
      </c>
      <c r="O300" s="72" t="s">
        <v>297</v>
      </c>
      <c r="P300" s="1" t="str">
        <f>_xlfn.CONCAT(B300,C300,D300,E300,F300)</f>
        <v>ARAGUATINS 2.3Inverter(MBUS-12)46090,677083333346090,677083333346090,7361111111</v>
      </c>
      <c r="Q300" s="1" t="str">
        <f t="shared" si="24"/>
        <v>DAURDE</v>
      </c>
    </row>
    <row r="301" spans="2:17">
      <c r="B301" s="1" t="s">
        <v>313</v>
      </c>
      <c r="C301" s="1" t="s">
        <v>264</v>
      </c>
      <c r="D301" s="52">
        <v>46090.677083333336</v>
      </c>
      <c r="E301" s="52">
        <v>46090.677083333336</v>
      </c>
      <c r="F301" s="52">
        <v>46090.736111111109</v>
      </c>
      <c r="G301" s="53">
        <f t="shared" si="23"/>
        <v>5.9027777773735579E-2</v>
      </c>
      <c r="H301" s="1" t="s">
        <v>257</v>
      </c>
      <c r="J301" s="1" t="s">
        <v>258</v>
      </c>
      <c r="K301" s="1" t="str">
        <f>_xlfn.XLOOKUP(J301,REF!$D$2:$D$12,REF!$E$2:$E$12)</f>
        <v>Rede</v>
      </c>
      <c r="L301" s="1" t="s">
        <v>353</v>
      </c>
      <c r="M301" s="1" t="s">
        <v>260</v>
      </c>
      <c r="N301" s="1" t="s">
        <v>357</v>
      </c>
      <c r="O301" s="72" t="s">
        <v>297</v>
      </c>
      <c r="P301" s="1" t="str">
        <f>_xlfn.CONCAT(B301,C301,D301,E301,F301)</f>
        <v>ARAGUATINS 2.3Inverter(MBUS-13)46090,677083333346090,677083333346090,7361111111</v>
      </c>
      <c r="Q301" s="1" t="str">
        <f t="shared" si="24"/>
        <v>DAURDE</v>
      </c>
    </row>
    <row r="302" spans="2:17">
      <c r="B302" s="1" t="s">
        <v>327</v>
      </c>
      <c r="C302" s="1" t="s">
        <v>247</v>
      </c>
      <c r="D302" s="52">
        <v>46090.959722222222</v>
      </c>
      <c r="E302" s="52">
        <v>46090.959722222222</v>
      </c>
      <c r="F302" s="52">
        <v>46091.366666666669</v>
      </c>
      <c r="G302" s="53">
        <f t="shared" si="23"/>
        <v>0.40694444444670808</v>
      </c>
      <c r="H302" s="1" t="s">
        <v>257</v>
      </c>
      <c r="J302" s="1" t="s">
        <v>258</v>
      </c>
      <c r="K302" s="1" t="str">
        <f>_xlfn.XLOOKUP(J302,REF!$D$2:$D$12,REF!$E$2:$E$12)</f>
        <v>Rede</v>
      </c>
      <c r="L302" s="1" t="s">
        <v>374</v>
      </c>
      <c r="M302" s="1" t="s">
        <v>260</v>
      </c>
      <c r="N302" s="1" t="s">
        <v>357</v>
      </c>
      <c r="O302" s="72" t="s">
        <v>297</v>
      </c>
      <c r="P302" s="1" t="str">
        <f>_xlfn.CONCAT(B302,C302,D302,E302,F302)</f>
        <v>BC Aracu5.1Inverter(MBUS-1)46090,959722222246090,959722222246091,3666666667</v>
      </c>
      <c r="Q302" s="1" t="str">
        <f t="shared" si="24"/>
        <v>DAURDE</v>
      </c>
    </row>
    <row r="303" spans="2:17">
      <c r="B303" s="1" t="s">
        <v>328</v>
      </c>
      <c r="C303" s="1" t="s">
        <v>247</v>
      </c>
      <c r="D303" s="52">
        <v>46090.959722222222</v>
      </c>
      <c r="E303" s="52">
        <v>46090.959722222222</v>
      </c>
      <c r="F303" s="52">
        <v>46091.366666666669</v>
      </c>
      <c r="G303" s="53">
        <f t="shared" si="23"/>
        <v>0.40694444444670808</v>
      </c>
      <c r="H303" s="1" t="s">
        <v>257</v>
      </c>
      <c r="J303" s="1" t="s">
        <v>258</v>
      </c>
      <c r="K303" s="1" t="str">
        <f>_xlfn.XLOOKUP(J303,REF!$D$2:$D$12,REF!$E$2:$E$12)</f>
        <v>Rede</v>
      </c>
      <c r="L303" s="1" t="s">
        <v>374</v>
      </c>
      <c r="M303" s="1" t="s">
        <v>260</v>
      </c>
      <c r="N303" s="1" t="s">
        <v>357</v>
      </c>
      <c r="O303" s="72" t="s">
        <v>297</v>
      </c>
      <c r="P303" s="1" t="str">
        <f>_xlfn.CONCAT(B303,C303,D303,E303,F303)</f>
        <v>BC Aracu5.3Inverter(MBUS-1)46090,959722222246090,959722222246091,3666666667</v>
      </c>
      <c r="Q303" s="1" t="str">
        <f t="shared" si="24"/>
        <v>DAURDE</v>
      </c>
    </row>
    <row r="304" spans="2:17">
      <c r="B304" s="1" t="s">
        <v>329</v>
      </c>
      <c r="C304" s="1" t="s">
        <v>247</v>
      </c>
      <c r="D304" s="52">
        <v>46090.959722222222</v>
      </c>
      <c r="E304" s="52">
        <v>46090.959722222222</v>
      </c>
      <c r="F304" s="52">
        <v>46091.366666666669</v>
      </c>
      <c r="G304" s="53">
        <f t="shared" si="23"/>
        <v>0.40694444444670808</v>
      </c>
      <c r="H304" s="1" t="s">
        <v>257</v>
      </c>
      <c r="J304" s="1" t="s">
        <v>258</v>
      </c>
      <c r="K304" s="1" t="str">
        <f>_xlfn.XLOOKUP(J304,REF!$D$2:$D$12,REF!$E$2:$E$12)</f>
        <v>Rede</v>
      </c>
      <c r="L304" s="1" t="s">
        <v>374</v>
      </c>
      <c r="M304" s="1" t="s">
        <v>260</v>
      </c>
      <c r="N304" s="1" t="s">
        <v>357</v>
      </c>
      <c r="O304" s="72" t="s">
        <v>297</v>
      </c>
      <c r="P304" s="1" t="str">
        <f>_xlfn.CONCAT(B304,C304,D304,E304,F304)</f>
        <v>BC Aracu5.4Inverter(MBUS-1)46090,959722222246090,959722222246091,3666666667</v>
      </c>
      <c r="Q304" s="1" t="str">
        <f t="shared" si="24"/>
        <v>DAURDE</v>
      </c>
    </row>
    <row r="305" spans="2:17">
      <c r="B305" s="1" t="s">
        <v>330</v>
      </c>
      <c r="C305" s="1" t="s">
        <v>247</v>
      </c>
      <c r="D305" s="52">
        <v>46090.959722222222</v>
      </c>
      <c r="E305" s="52">
        <v>46090.959722222222</v>
      </c>
      <c r="F305" s="52">
        <v>46091.366666666669</v>
      </c>
      <c r="G305" s="53">
        <f t="shared" si="23"/>
        <v>0.40694444444670808</v>
      </c>
      <c r="H305" s="1" t="s">
        <v>257</v>
      </c>
      <c r="J305" s="1" t="s">
        <v>258</v>
      </c>
      <c r="K305" s="1" t="str">
        <f>_xlfn.XLOOKUP(J305,REF!$D$2:$D$12,REF!$E$2:$E$12)</f>
        <v>Rede</v>
      </c>
      <c r="L305" s="1" t="s">
        <v>374</v>
      </c>
      <c r="M305" s="1" t="s">
        <v>260</v>
      </c>
      <c r="N305" s="1" t="s">
        <v>357</v>
      </c>
      <c r="O305" s="72" t="s">
        <v>297</v>
      </c>
      <c r="P305" s="1" t="str">
        <f>_xlfn.CONCAT(B305,C305,D305,E305,F305)</f>
        <v>BC Aracu5.5Inverter(MBUS-1)46090,959722222246090,959722222246091,3666666667</v>
      </c>
      <c r="Q305" s="1" t="str">
        <f t="shared" si="24"/>
        <v>DAURDE</v>
      </c>
    </row>
    <row r="306" spans="2:17">
      <c r="B306" s="1" t="s">
        <v>311</v>
      </c>
      <c r="C306" s="1" t="s">
        <v>256</v>
      </c>
      <c r="D306" s="52">
        <v>46091.489583333336</v>
      </c>
      <c r="E306" s="52">
        <v>46091.489583333336</v>
      </c>
      <c r="F306" s="52">
        <v>46091.513888888891</v>
      </c>
      <c r="G306" s="53">
        <f t="shared" si="23"/>
        <v>2.4305555554747116E-2</v>
      </c>
      <c r="H306" s="1" t="s">
        <v>257</v>
      </c>
      <c r="J306" s="1" t="s">
        <v>258</v>
      </c>
      <c r="K306" s="1" t="str">
        <f>_xlfn.XLOOKUP(J306,REF!$D$2:$D$12,REF!$E$2:$E$12)</f>
        <v>Rede</v>
      </c>
      <c r="L306" s="1" t="s">
        <v>353</v>
      </c>
      <c r="M306" s="1" t="s">
        <v>260</v>
      </c>
      <c r="N306" s="1" t="s">
        <v>357</v>
      </c>
      <c r="O306" s="72" t="s">
        <v>297</v>
      </c>
      <c r="P306" s="1" t="str">
        <f>_xlfn.CONCAT(B306,C306,D306,E306,F306)</f>
        <v>ARAGUATINS 2.1Inverter(MBUS-12)46091,489583333346091,489583333346091,5138888889</v>
      </c>
      <c r="Q306" s="1" t="str">
        <f t="shared" si="24"/>
        <v>DAURDE</v>
      </c>
    </row>
    <row r="307" spans="2:17">
      <c r="B307" s="1" t="s">
        <v>311</v>
      </c>
      <c r="C307" s="1" t="s">
        <v>307</v>
      </c>
      <c r="D307" s="52">
        <v>46091.489583333336</v>
      </c>
      <c r="E307" s="52">
        <v>46091.489583333336</v>
      </c>
      <c r="F307" s="52">
        <v>46091.513888888891</v>
      </c>
      <c r="G307" s="53">
        <f t="shared" si="23"/>
        <v>2.4305555554747116E-2</v>
      </c>
      <c r="H307" s="1" t="s">
        <v>257</v>
      </c>
      <c r="J307" s="1" t="s">
        <v>258</v>
      </c>
      <c r="K307" s="1" t="str">
        <f>_xlfn.XLOOKUP(J307,REF!$D$2:$D$12,REF!$E$2:$E$12)</f>
        <v>Rede</v>
      </c>
      <c r="L307" s="1" t="s">
        <v>353</v>
      </c>
      <c r="M307" s="1" t="s">
        <v>260</v>
      </c>
      <c r="N307" s="1" t="s">
        <v>357</v>
      </c>
      <c r="O307" s="72" t="s">
        <v>297</v>
      </c>
      <c r="P307" s="1" t="str">
        <f>_xlfn.CONCAT(B307,C307,D307,E307,F307)</f>
        <v>ARAGUATINS 2.1Inverter(MBUS-15)46091,489583333346091,489583333346091,5138888889</v>
      </c>
      <c r="Q307" s="1" t="str">
        <f t="shared" si="24"/>
        <v>DAURDE</v>
      </c>
    </row>
    <row r="308" spans="2:17">
      <c r="B308" s="1" t="s">
        <v>311</v>
      </c>
      <c r="C308" s="1" t="s">
        <v>263</v>
      </c>
      <c r="D308" s="52">
        <v>46091.489583333336</v>
      </c>
      <c r="E308" s="52">
        <v>46091.489583333336</v>
      </c>
      <c r="F308" s="52">
        <v>46091.513888888891</v>
      </c>
      <c r="G308" s="53">
        <f t="shared" si="23"/>
        <v>2.4305555554747116E-2</v>
      </c>
      <c r="H308" s="1" t="s">
        <v>257</v>
      </c>
      <c r="J308" s="1" t="s">
        <v>258</v>
      </c>
      <c r="K308" s="1" t="str">
        <f>_xlfn.XLOOKUP(J308,REF!$D$2:$D$12,REF!$E$2:$E$12)</f>
        <v>Rede</v>
      </c>
      <c r="L308" s="1" t="s">
        <v>353</v>
      </c>
      <c r="M308" s="1" t="s">
        <v>260</v>
      </c>
      <c r="N308" s="1" t="s">
        <v>357</v>
      </c>
      <c r="O308" s="72" t="s">
        <v>297</v>
      </c>
      <c r="P308" s="1" t="str">
        <f>_xlfn.CONCAT(B308,C308,D308,E308,F308)</f>
        <v>ARAGUATINS 2.1Inverter(MBUS-14)46091,489583333346091,489583333346091,5138888889</v>
      </c>
      <c r="Q308" s="1" t="str">
        <f t="shared" si="24"/>
        <v>DAURDE</v>
      </c>
    </row>
    <row r="309" spans="2:17">
      <c r="B309" s="1" t="s">
        <v>311</v>
      </c>
      <c r="C309" s="1" t="s">
        <v>247</v>
      </c>
      <c r="D309" s="52">
        <v>46091.489583333336</v>
      </c>
      <c r="E309" s="52">
        <v>46091.489583333336</v>
      </c>
      <c r="F309" s="52">
        <v>46091.513888888891</v>
      </c>
      <c r="G309" s="53">
        <f t="shared" si="23"/>
        <v>2.4305555554747116E-2</v>
      </c>
      <c r="H309" s="1" t="s">
        <v>257</v>
      </c>
      <c r="J309" s="1" t="s">
        <v>258</v>
      </c>
      <c r="K309" s="1" t="str">
        <f>_xlfn.XLOOKUP(J309,REF!$D$2:$D$12,REF!$E$2:$E$12)</f>
        <v>Rede</v>
      </c>
      <c r="L309" s="1" t="s">
        <v>353</v>
      </c>
      <c r="M309" s="1" t="s">
        <v>260</v>
      </c>
      <c r="N309" s="1" t="s">
        <v>357</v>
      </c>
      <c r="O309" s="72" t="s">
        <v>297</v>
      </c>
      <c r="P309" s="1" t="str">
        <f>_xlfn.CONCAT(B309,C309,D309,E309,F309)</f>
        <v>ARAGUATINS 2.1Inverter(MBUS-1)46091,489583333346091,489583333346091,5138888889</v>
      </c>
      <c r="Q309" s="1" t="str">
        <f t="shared" si="24"/>
        <v>DAURDE</v>
      </c>
    </row>
    <row r="310" spans="2:17">
      <c r="B310" s="1" t="s">
        <v>312</v>
      </c>
      <c r="C310" s="1" t="s">
        <v>307</v>
      </c>
      <c r="D310" s="52">
        <v>46091.489583333336</v>
      </c>
      <c r="E310" s="52">
        <v>46091.489583333336</v>
      </c>
      <c r="F310" s="52">
        <v>46091.513888888891</v>
      </c>
      <c r="G310" s="53">
        <f t="shared" si="23"/>
        <v>2.4305555554747116E-2</v>
      </c>
      <c r="H310" s="1" t="s">
        <v>257</v>
      </c>
      <c r="J310" s="1" t="s">
        <v>258</v>
      </c>
      <c r="K310" s="1" t="str">
        <f>_xlfn.XLOOKUP(J310,REF!$D$2:$D$12,REF!$E$2:$E$12)</f>
        <v>Rede</v>
      </c>
      <c r="L310" s="1" t="s">
        <v>353</v>
      </c>
      <c r="M310" s="1" t="s">
        <v>260</v>
      </c>
      <c r="N310" s="1" t="s">
        <v>357</v>
      </c>
      <c r="O310" s="72" t="s">
        <v>297</v>
      </c>
      <c r="P310" s="1" t="str">
        <f>_xlfn.CONCAT(B310,C310,D310,E310,F310)</f>
        <v>ARAGUATINS 2.2Inverter(MBUS-15)46091,489583333346091,489583333346091,5138888889</v>
      </c>
      <c r="Q310" s="1" t="str">
        <f t="shared" si="24"/>
        <v>DAURDE</v>
      </c>
    </row>
    <row r="311" spans="2:17">
      <c r="B311" s="1" t="s">
        <v>312</v>
      </c>
      <c r="C311" s="1" t="s">
        <v>264</v>
      </c>
      <c r="D311" s="52">
        <v>46091.489583333336</v>
      </c>
      <c r="E311" s="52">
        <v>46091.489583333336</v>
      </c>
      <c r="F311" s="52">
        <v>46091.513888888891</v>
      </c>
      <c r="G311" s="53">
        <f t="shared" si="23"/>
        <v>2.4305555554747116E-2</v>
      </c>
      <c r="H311" s="1" t="s">
        <v>257</v>
      </c>
      <c r="J311" s="1" t="s">
        <v>258</v>
      </c>
      <c r="K311" s="1" t="str">
        <f>_xlfn.XLOOKUP(J311,REF!$D$2:$D$12,REF!$E$2:$E$12)</f>
        <v>Rede</v>
      </c>
      <c r="L311" s="1" t="s">
        <v>353</v>
      </c>
      <c r="M311" s="1" t="s">
        <v>260</v>
      </c>
      <c r="N311" s="1" t="s">
        <v>357</v>
      </c>
      <c r="O311" s="72" t="s">
        <v>297</v>
      </c>
      <c r="P311" s="1" t="str">
        <f>_xlfn.CONCAT(B311,C311,D311,E311,F311)</f>
        <v>ARAGUATINS 2.2Inverter(MBUS-13)46091,489583333346091,489583333346091,5138888889</v>
      </c>
      <c r="Q311" s="1" t="str">
        <f t="shared" si="24"/>
        <v>DAURDE</v>
      </c>
    </row>
    <row r="312" spans="2:17">
      <c r="B312" s="1" t="s">
        <v>312</v>
      </c>
      <c r="C312" s="1" t="s">
        <v>263</v>
      </c>
      <c r="D312" s="52">
        <v>46091.489583333336</v>
      </c>
      <c r="E312" s="52">
        <v>46091.489583333336</v>
      </c>
      <c r="F312" s="52">
        <v>46091.513888888891</v>
      </c>
      <c r="G312" s="53">
        <f t="shared" si="23"/>
        <v>2.4305555554747116E-2</v>
      </c>
      <c r="H312" s="1" t="s">
        <v>257</v>
      </c>
      <c r="J312" s="1" t="s">
        <v>258</v>
      </c>
      <c r="K312" s="1" t="str">
        <f>_xlfn.XLOOKUP(J312,REF!$D$2:$D$12,REF!$E$2:$E$12)</f>
        <v>Rede</v>
      </c>
      <c r="L312" s="1" t="s">
        <v>353</v>
      </c>
      <c r="M312" s="1" t="s">
        <v>260</v>
      </c>
      <c r="N312" s="1" t="s">
        <v>357</v>
      </c>
      <c r="O312" s="72" t="s">
        <v>297</v>
      </c>
      <c r="P312" s="1" t="str">
        <f>_xlfn.CONCAT(B312,C312,D312,E312,F312)</f>
        <v>ARAGUATINS 2.2Inverter(MBUS-14)46091,489583333346091,489583333346091,5138888889</v>
      </c>
      <c r="Q312" s="1" t="str">
        <f t="shared" si="24"/>
        <v>DAURDE</v>
      </c>
    </row>
    <row r="313" spans="2:17">
      <c r="B313" s="1" t="s">
        <v>312</v>
      </c>
      <c r="C313" s="1" t="s">
        <v>256</v>
      </c>
      <c r="D313" s="52">
        <v>46091.489583333336</v>
      </c>
      <c r="E313" s="52">
        <v>46091.489583333336</v>
      </c>
      <c r="F313" s="52">
        <v>46091.513888888891</v>
      </c>
      <c r="G313" s="53">
        <f t="shared" si="23"/>
        <v>2.4305555554747116E-2</v>
      </c>
      <c r="H313" s="1" t="s">
        <v>257</v>
      </c>
      <c r="J313" s="1" t="s">
        <v>258</v>
      </c>
      <c r="K313" s="1" t="str">
        <f>_xlfn.XLOOKUP(J313,REF!$D$2:$D$12,REF!$E$2:$E$12)</f>
        <v>Rede</v>
      </c>
      <c r="L313" s="1" t="s">
        <v>353</v>
      </c>
      <c r="M313" s="1" t="s">
        <v>260</v>
      </c>
      <c r="N313" s="1" t="s">
        <v>357</v>
      </c>
      <c r="O313" s="72" t="s">
        <v>297</v>
      </c>
      <c r="P313" s="1" t="str">
        <f>_xlfn.CONCAT(B313,C313,D313,E313,F313)</f>
        <v>ARAGUATINS 2.2Inverter(MBUS-12)46091,489583333346091,489583333346091,5138888889</v>
      </c>
      <c r="Q313" s="1" t="str">
        <f t="shared" si="24"/>
        <v>DAURDE</v>
      </c>
    </row>
    <row r="314" spans="2:17">
      <c r="B314" s="1" t="s">
        <v>313</v>
      </c>
      <c r="C314" s="1" t="s">
        <v>256</v>
      </c>
      <c r="D314" s="52">
        <v>46091.489583333336</v>
      </c>
      <c r="E314" s="52">
        <v>46091.489583333336</v>
      </c>
      <c r="F314" s="52">
        <v>46091.513888888891</v>
      </c>
      <c r="G314" s="53">
        <f t="shared" si="23"/>
        <v>2.4305555554747116E-2</v>
      </c>
      <c r="H314" s="1" t="s">
        <v>257</v>
      </c>
      <c r="J314" s="1" t="s">
        <v>258</v>
      </c>
      <c r="K314" s="1" t="str">
        <f>_xlfn.XLOOKUP(J314,REF!$D$2:$D$12,REF!$E$2:$E$12)</f>
        <v>Rede</v>
      </c>
      <c r="L314" s="1" t="s">
        <v>353</v>
      </c>
      <c r="M314" s="1" t="s">
        <v>260</v>
      </c>
      <c r="N314" s="1" t="s">
        <v>357</v>
      </c>
      <c r="O314" s="72" t="s">
        <v>297</v>
      </c>
      <c r="P314" s="1" t="str">
        <f>_xlfn.CONCAT(B314,C314,D314,E314,F314)</f>
        <v>ARAGUATINS 2.3Inverter(MBUS-12)46091,489583333346091,489583333346091,5138888889</v>
      </c>
      <c r="Q314" s="1" t="str">
        <f t="shared" si="24"/>
        <v>DAURDE</v>
      </c>
    </row>
    <row r="315" spans="2:17">
      <c r="B315" s="1" t="s">
        <v>313</v>
      </c>
      <c r="C315" s="1" t="s">
        <v>264</v>
      </c>
      <c r="D315" s="52">
        <v>46091.489583333336</v>
      </c>
      <c r="E315" s="52">
        <v>46091.489583333336</v>
      </c>
      <c r="F315" s="52">
        <v>46091.513888888891</v>
      </c>
      <c r="G315" s="53">
        <f t="shared" si="23"/>
        <v>2.4305555554747116E-2</v>
      </c>
      <c r="H315" s="1" t="s">
        <v>257</v>
      </c>
      <c r="J315" s="1" t="s">
        <v>258</v>
      </c>
      <c r="K315" s="1" t="str">
        <f>_xlfn.XLOOKUP(J315,REF!$D$2:$D$12,REF!$E$2:$E$12)</f>
        <v>Rede</v>
      </c>
      <c r="L315" s="1" t="s">
        <v>353</v>
      </c>
      <c r="M315" s="1" t="s">
        <v>260</v>
      </c>
      <c r="N315" s="1" t="s">
        <v>357</v>
      </c>
      <c r="O315" s="72" t="s">
        <v>297</v>
      </c>
      <c r="P315" s="1" t="str">
        <f>_xlfn.CONCAT(B315,C315,D315,E315,F315)</f>
        <v>ARAGUATINS 2.3Inverter(MBUS-13)46091,489583333346091,489583333346091,5138888889</v>
      </c>
      <c r="Q315" s="1" t="str">
        <f t="shared" si="24"/>
        <v>DAURDE</v>
      </c>
    </row>
    <row r="316" spans="2:17">
      <c r="B316" s="1" t="s">
        <v>393</v>
      </c>
      <c r="C316" s="1" t="s">
        <v>394</v>
      </c>
      <c r="D316" s="52">
        <v>46091.618055555555</v>
      </c>
      <c r="E316" s="52">
        <v>46091.618055555555</v>
      </c>
      <c r="F316" s="52">
        <v>46091.625694444447</v>
      </c>
      <c r="G316" s="53">
        <f t="shared" si="23"/>
        <v>7.6388888919609599E-3</v>
      </c>
      <c r="H316" s="1" t="s">
        <v>257</v>
      </c>
      <c r="J316" s="1" t="s">
        <v>258</v>
      </c>
      <c r="K316" s="1" t="str">
        <f>_xlfn.XLOOKUP(J316,REF!$D$2:$D$12,REF!$E$2:$E$12)</f>
        <v>Rede</v>
      </c>
      <c r="L316" s="1" t="s">
        <v>259</v>
      </c>
      <c r="M316" s="1" t="s">
        <v>260</v>
      </c>
      <c r="N316" s="1" t="s">
        <v>357</v>
      </c>
      <c r="O316" s="1" t="s">
        <v>334</v>
      </c>
      <c r="P316" s="1" t="str">
        <f>_xlfn.CONCAT(B316,C316,D316,E316,F316)</f>
        <v>BC ParanoaSG60KTL(COM1-014)_001_01346091,618055555646091,618055555646091,6256944444</v>
      </c>
      <c r="Q316" s="1" t="str">
        <f t="shared" si="24"/>
        <v>DAURDE</v>
      </c>
    </row>
    <row r="317" spans="2:17">
      <c r="B317" s="1" t="s">
        <v>393</v>
      </c>
      <c r="C317" s="1" t="s">
        <v>395</v>
      </c>
      <c r="D317" s="52">
        <v>46091.618055555555</v>
      </c>
      <c r="E317" s="52">
        <v>46091.618055555555</v>
      </c>
      <c r="F317" s="52">
        <v>46091.625694444447</v>
      </c>
      <c r="G317" s="53">
        <f t="shared" si="23"/>
        <v>7.6388888919609599E-3</v>
      </c>
      <c r="H317" s="1" t="s">
        <v>257</v>
      </c>
      <c r="J317" s="1" t="s">
        <v>258</v>
      </c>
      <c r="K317" s="1" t="str">
        <f>_xlfn.XLOOKUP(J317,REF!$D$2:$D$12,REF!$E$2:$E$12)</f>
        <v>Rede</v>
      </c>
      <c r="L317" s="1" t="s">
        <v>259</v>
      </c>
      <c r="M317" s="1" t="s">
        <v>260</v>
      </c>
      <c r="N317" s="1" t="s">
        <v>357</v>
      </c>
      <c r="O317" s="1" t="s">
        <v>334</v>
      </c>
      <c r="P317" s="1" t="str">
        <f>_xlfn.CONCAT(B317,C317,D317,E317,F317)</f>
        <v>BC ParanoaSG60KTL(COM1-013)_001_01046091,618055555646091,618055555646091,6256944444</v>
      </c>
      <c r="Q317" s="1" t="str">
        <f t="shared" si="24"/>
        <v>DAURDE</v>
      </c>
    </row>
    <row r="318" spans="2:17">
      <c r="B318" s="1" t="s">
        <v>393</v>
      </c>
      <c r="C318" s="1" t="s">
        <v>396</v>
      </c>
      <c r="D318" s="52">
        <v>46091.618055555555</v>
      </c>
      <c r="E318" s="52">
        <v>46091.618055555555</v>
      </c>
      <c r="F318" s="52">
        <v>46091.625694444447</v>
      </c>
      <c r="G318" s="53">
        <f t="shared" si="23"/>
        <v>7.6388888919609599E-3</v>
      </c>
      <c r="H318" s="1" t="s">
        <v>257</v>
      </c>
      <c r="J318" s="1" t="s">
        <v>258</v>
      </c>
      <c r="K318" s="1" t="str">
        <f>_xlfn.XLOOKUP(J318,REF!$D$2:$D$12,REF!$E$2:$E$12)</f>
        <v>Rede</v>
      </c>
      <c r="L318" s="1" t="s">
        <v>259</v>
      </c>
      <c r="M318" s="1" t="s">
        <v>260</v>
      </c>
      <c r="N318" s="1" t="s">
        <v>357</v>
      </c>
      <c r="O318" s="1" t="s">
        <v>334</v>
      </c>
      <c r="P318" s="1" t="str">
        <f>_xlfn.CONCAT(B318,C318,D318,E318,F318)</f>
        <v>BC ParanoaSG60KTL(COM1-012)_001_01146091,618055555646091,618055555646091,6256944444</v>
      </c>
      <c r="Q318" s="1" t="str">
        <f t="shared" si="24"/>
        <v>DAURDE</v>
      </c>
    </row>
    <row r="319" spans="2:17">
      <c r="B319" s="1" t="s">
        <v>393</v>
      </c>
      <c r="C319" s="1" t="s">
        <v>397</v>
      </c>
      <c r="D319" s="52">
        <v>46091.618055555555</v>
      </c>
      <c r="E319" s="52">
        <v>46091.618055555555</v>
      </c>
      <c r="F319" s="52">
        <v>46091.625694444447</v>
      </c>
      <c r="G319" s="53">
        <f t="shared" si="23"/>
        <v>7.6388888919609599E-3</v>
      </c>
      <c r="H319" s="1" t="s">
        <v>257</v>
      </c>
      <c r="J319" s="1" t="s">
        <v>258</v>
      </c>
      <c r="K319" s="1" t="str">
        <f>_xlfn.XLOOKUP(J319,REF!$D$2:$D$12,REF!$E$2:$E$12)</f>
        <v>Rede</v>
      </c>
      <c r="L319" s="1" t="s">
        <v>259</v>
      </c>
      <c r="M319" s="1" t="s">
        <v>260</v>
      </c>
      <c r="N319" s="1" t="s">
        <v>357</v>
      </c>
      <c r="O319" s="1" t="s">
        <v>334</v>
      </c>
      <c r="P319" s="1" t="str">
        <f>_xlfn.CONCAT(B319,C319,D319,E319,F319)</f>
        <v>BC ParanoaSG60KTL(COM1-011)_001_00546091,618055555646091,618055555646091,6256944444</v>
      </c>
      <c r="Q319" s="1" t="str">
        <f t="shared" si="24"/>
        <v>DAURDE</v>
      </c>
    </row>
    <row r="320" spans="2:17">
      <c r="B320" s="1" t="s">
        <v>393</v>
      </c>
      <c r="C320" s="1" t="s">
        <v>398</v>
      </c>
      <c r="D320" s="52">
        <v>46091.618055555555</v>
      </c>
      <c r="E320" s="52">
        <v>46091.618055555555</v>
      </c>
      <c r="F320" s="52">
        <v>46091.625694444447</v>
      </c>
      <c r="G320" s="53">
        <f t="shared" si="23"/>
        <v>7.6388888919609599E-3</v>
      </c>
      <c r="H320" s="1" t="s">
        <v>257</v>
      </c>
      <c r="J320" s="1" t="s">
        <v>258</v>
      </c>
      <c r="K320" s="1" t="str">
        <f>_xlfn.XLOOKUP(J320,REF!$D$2:$D$12,REF!$E$2:$E$12)</f>
        <v>Rede</v>
      </c>
      <c r="L320" s="1" t="s">
        <v>259</v>
      </c>
      <c r="M320" s="1" t="s">
        <v>260</v>
      </c>
      <c r="N320" s="1" t="s">
        <v>357</v>
      </c>
      <c r="O320" s="1" t="s">
        <v>334</v>
      </c>
      <c r="P320" s="1" t="str">
        <f>_xlfn.CONCAT(B320,C320,D320,E320,F320)</f>
        <v>BC ParanoaSG60KTL(COM1-010)_001_00346091,618055555646091,618055555646091,6256944444</v>
      </c>
      <c r="Q320" s="1" t="str">
        <f t="shared" si="24"/>
        <v>DAURDE</v>
      </c>
    </row>
    <row r="321" spans="2:17">
      <c r="B321" s="1" t="s">
        <v>393</v>
      </c>
      <c r="C321" s="1" t="s">
        <v>399</v>
      </c>
      <c r="D321" s="52">
        <v>46091.618055555555</v>
      </c>
      <c r="E321" s="52">
        <v>46091.618055555555</v>
      </c>
      <c r="F321" s="52">
        <v>46091.625694444447</v>
      </c>
      <c r="G321" s="53">
        <f t="shared" si="23"/>
        <v>7.6388888919609599E-3</v>
      </c>
      <c r="H321" s="1" t="s">
        <v>257</v>
      </c>
      <c r="J321" s="1" t="s">
        <v>258</v>
      </c>
      <c r="K321" s="1" t="str">
        <f>_xlfn.XLOOKUP(J321,REF!$D$2:$D$12,REF!$E$2:$E$12)</f>
        <v>Rede</v>
      </c>
      <c r="L321" s="1" t="s">
        <v>259</v>
      </c>
      <c r="M321" s="1" t="s">
        <v>260</v>
      </c>
      <c r="N321" s="1" t="s">
        <v>357</v>
      </c>
      <c r="O321" s="1" t="s">
        <v>334</v>
      </c>
      <c r="P321" s="1" t="str">
        <f>_xlfn.CONCAT(B321,C321,D321,E321,F321)</f>
        <v>BC ParanoaSG60KTL(COM1-018)_001_01246091,618055555646091,618055555646091,6256944444</v>
      </c>
      <c r="Q321" s="1" t="str">
        <f t="shared" si="24"/>
        <v>DAURDE</v>
      </c>
    </row>
    <row r="322" spans="2:17">
      <c r="B322" s="1" t="s">
        <v>393</v>
      </c>
      <c r="C322" s="1" t="s">
        <v>400</v>
      </c>
      <c r="D322" s="52">
        <v>46091.618055555555</v>
      </c>
      <c r="E322" s="52">
        <v>46091.618055555555</v>
      </c>
      <c r="F322" s="52">
        <v>46091.625694444447</v>
      </c>
      <c r="G322" s="53">
        <f t="shared" si="23"/>
        <v>7.6388888919609599E-3</v>
      </c>
      <c r="H322" s="1" t="s">
        <v>257</v>
      </c>
      <c r="J322" s="1" t="s">
        <v>258</v>
      </c>
      <c r="K322" s="1" t="str">
        <f>_xlfn.XLOOKUP(J322,REF!$D$2:$D$12,REF!$E$2:$E$12)</f>
        <v>Rede</v>
      </c>
      <c r="L322" s="1" t="s">
        <v>259</v>
      </c>
      <c r="M322" s="1" t="s">
        <v>260</v>
      </c>
      <c r="N322" s="1" t="s">
        <v>357</v>
      </c>
      <c r="O322" s="1" t="s">
        <v>334</v>
      </c>
      <c r="P322" s="1" t="str">
        <f>_xlfn.CONCAT(B322,C322,D322,E322,F322)</f>
        <v>BC ParanoaSG60KTL(COM1-017)_001_00746091,618055555646091,618055555646091,6256944444</v>
      </c>
      <c r="Q322" s="1" t="str">
        <f t="shared" si="24"/>
        <v>DAURDE</v>
      </c>
    </row>
    <row r="323" spans="2:17">
      <c r="B323" s="1" t="s">
        <v>393</v>
      </c>
      <c r="C323" s="1" t="s">
        <v>401</v>
      </c>
      <c r="D323" s="52">
        <v>46091.618055555555</v>
      </c>
      <c r="E323" s="52">
        <v>46091.618055555555</v>
      </c>
      <c r="F323" s="52">
        <v>46091.625694444447</v>
      </c>
      <c r="G323" s="53">
        <f t="shared" si="23"/>
        <v>7.6388888919609599E-3</v>
      </c>
      <c r="H323" s="1" t="s">
        <v>257</v>
      </c>
      <c r="J323" s="1" t="s">
        <v>258</v>
      </c>
      <c r="K323" s="1" t="str">
        <f>_xlfn.XLOOKUP(J323,REF!$D$2:$D$12,REF!$E$2:$E$12)</f>
        <v>Rede</v>
      </c>
      <c r="L323" s="1" t="s">
        <v>259</v>
      </c>
      <c r="M323" s="1" t="s">
        <v>260</v>
      </c>
      <c r="N323" s="1" t="s">
        <v>357</v>
      </c>
      <c r="O323" s="1" t="s">
        <v>334</v>
      </c>
      <c r="P323" s="1" t="str">
        <f>_xlfn.CONCAT(B323,C323,D323,E323,F323)</f>
        <v>BC ParanoaSG60KTL(COM1-016)_001_00646091,618055555646091,618055555646091,6256944444</v>
      </c>
      <c r="Q323" s="1" t="str">
        <f t="shared" si="24"/>
        <v>DAURDE</v>
      </c>
    </row>
    <row r="324" spans="2:17">
      <c r="B324" s="1" t="s">
        <v>393</v>
      </c>
      <c r="C324" s="1" t="s">
        <v>402</v>
      </c>
      <c r="D324" s="52">
        <v>46091.618055555555</v>
      </c>
      <c r="E324" s="52">
        <v>46091.618055555555</v>
      </c>
      <c r="F324" s="52">
        <v>46091.625694444447</v>
      </c>
      <c r="G324" s="53">
        <f t="shared" si="23"/>
        <v>7.6388888919609599E-3</v>
      </c>
      <c r="H324" s="1" t="s">
        <v>257</v>
      </c>
      <c r="J324" s="1" t="s">
        <v>258</v>
      </c>
      <c r="K324" s="1" t="str">
        <f>_xlfn.XLOOKUP(J324,REF!$D$2:$D$12,REF!$E$2:$E$12)</f>
        <v>Rede</v>
      </c>
      <c r="L324" s="1" t="s">
        <v>259</v>
      </c>
      <c r="M324" s="1" t="s">
        <v>260</v>
      </c>
      <c r="N324" s="1" t="s">
        <v>357</v>
      </c>
      <c r="O324" s="1" t="s">
        <v>334</v>
      </c>
      <c r="P324" s="1" t="str">
        <f>_xlfn.CONCAT(B324,C324,D324,E324,F324)</f>
        <v>BC ParanoaSG50CX(COM2-015)_001_01746091,618055555646091,618055555646091,6256944444</v>
      </c>
      <c r="Q324" s="1" t="str">
        <f t="shared" si="24"/>
        <v>DAURDE</v>
      </c>
    </row>
    <row r="325" spans="2:17">
      <c r="B325" s="1" t="s">
        <v>393</v>
      </c>
      <c r="C325" s="1" t="s">
        <v>403</v>
      </c>
      <c r="D325" s="52">
        <v>46091.618055555555</v>
      </c>
      <c r="E325" s="52">
        <v>46091.618055555555</v>
      </c>
      <c r="F325" s="52">
        <v>46091.625694444447</v>
      </c>
      <c r="G325" s="53">
        <f t="shared" si="23"/>
        <v>7.6388888919609599E-3</v>
      </c>
      <c r="H325" s="1" t="s">
        <v>257</v>
      </c>
      <c r="J325" s="1" t="s">
        <v>258</v>
      </c>
      <c r="K325" s="1" t="str">
        <f>_xlfn.XLOOKUP(J325,REF!$D$2:$D$12,REF!$E$2:$E$12)</f>
        <v>Rede</v>
      </c>
      <c r="L325" s="1" t="s">
        <v>259</v>
      </c>
      <c r="M325" s="1" t="s">
        <v>260</v>
      </c>
      <c r="N325" s="1" t="s">
        <v>357</v>
      </c>
      <c r="O325" s="1" t="s">
        <v>334</v>
      </c>
      <c r="P325" s="1" t="str">
        <f>_xlfn.CONCAT(B325,C325,D325,E325,F325)</f>
        <v>BC ParanoaSG60KTL(COM1-009)_001_00246091,618055555646091,618055555646091,6256944444</v>
      </c>
      <c r="Q325" s="1" t="str">
        <f>_xlfn.CONCAT(H325,I325,J325)</f>
        <v>DAURDE</v>
      </c>
    </row>
    <row r="326" spans="2:17">
      <c r="B326" s="1" t="s">
        <v>393</v>
      </c>
      <c r="C326" s="1" t="s">
        <v>404</v>
      </c>
      <c r="D326" s="52">
        <v>46091.618055555555</v>
      </c>
      <c r="E326" s="52">
        <v>46091.618055555555</v>
      </c>
      <c r="F326" s="52">
        <v>46091.625694444447</v>
      </c>
      <c r="G326" s="53">
        <f t="shared" si="23"/>
        <v>7.6388888919609599E-3</v>
      </c>
      <c r="H326" s="1" t="s">
        <v>257</v>
      </c>
      <c r="J326" s="1" t="s">
        <v>258</v>
      </c>
      <c r="K326" s="1" t="str">
        <f>_xlfn.XLOOKUP(J326,REF!$D$2:$D$12,REF!$E$2:$E$12)</f>
        <v>Rede</v>
      </c>
      <c r="L326" s="1" t="s">
        <v>259</v>
      </c>
      <c r="M326" s="1" t="s">
        <v>260</v>
      </c>
      <c r="N326" s="1" t="s">
        <v>357</v>
      </c>
      <c r="O326" s="1" t="s">
        <v>334</v>
      </c>
      <c r="P326" s="1" t="str">
        <f>_xlfn.CONCAT(B326,C326,D326,E326,F326)</f>
        <v>BC ParanoaSG60KTL(COM1-008)_001_00946091,618055555646091,618055555646091,6256944444</v>
      </c>
      <c r="Q326" s="1" t="str">
        <f>_xlfn.CONCAT(H326,I326,J326)</f>
        <v>DAURDE</v>
      </c>
    </row>
    <row r="327" spans="2:17">
      <c r="B327" s="1" t="s">
        <v>393</v>
      </c>
      <c r="C327" s="1" t="s">
        <v>405</v>
      </c>
      <c r="D327" s="52">
        <v>46091.618055555555</v>
      </c>
      <c r="E327" s="52">
        <v>46091.618055555555</v>
      </c>
      <c r="F327" s="52">
        <v>46091.625694444447</v>
      </c>
      <c r="G327" s="53">
        <f t="shared" si="23"/>
        <v>7.6388888919609599E-3</v>
      </c>
      <c r="H327" s="1" t="s">
        <v>257</v>
      </c>
      <c r="J327" s="1" t="s">
        <v>258</v>
      </c>
      <c r="K327" s="1" t="str">
        <f>_xlfn.XLOOKUP(J327,REF!$D$2:$D$12,REF!$E$2:$E$12)</f>
        <v>Rede</v>
      </c>
      <c r="L327" s="1" t="s">
        <v>259</v>
      </c>
      <c r="M327" s="1" t="s">
        <v>260</v>
      </c>
      <c r="N327" s="1" t="s">
        <v>357</v>
      </c>
      <c r="O327" s="1" t="s">
        <v>334</v>
      </c>
      <c r="P327" s="1" t="str">
        <f>_xlfn.CONCAT(B327,C327,D327,E327,F327)</f>
        <v>BC ParanoaSG60KTL(COM1-007)_001_00446091,618055555646091,618055555646091,6256944444</v>
      </c>
      <c r="Q327" s="1" t="str">
        <f>_xlfn.CONCAT(H327,I327,J327)</f>
        <v>DAURDE</v>
      </c>
    </row>
    <row r="328" spans="2:17">
      <c r="B328" s="1" t="s">
        <v>393</v>
      </c>
      <c r="C328" s="1" t="s">
        <v>406</v>
      </c>
      <c r="D328" s="52">
        <v>46091.618055555555</v>
      </c>
      <c r="E328" s="52">
        <v>46091.618055555555</v>
      </c>
      <c r="F328" s="52">
        <v>46091.625694444447</v>
      </c>
      <c r="G328" s="53">
        <f t="shared" si="23"/>
        <v>7.6388888919609599E-3</v>
      </c>
      <c r="H328" s="1" t="s">
        <v>257</v>
      </c>
      <c r="J328" s="1" t="s">
        <v>258</v>
      </c>
      <c r="K328" s="1" t="str">
        <f>_xlfn.XLOOKUP(J328,REF!$D$2:$D$12,REF!$E$2:$E$12)</f>
        <v>Rede</v>
      </c>
      <c r="L328" s="1" t="s">
        <v>259</v>
      </c>
      <c r="M328" s="1" t="s">
        <v>260</v>
      </c>
      <c r="N328" s="1" t="s">
        <v>357</v>
      </c>
      <c r="O328" s="1" t="s">
        <v>334</v>
      </c>
      <c r="P328" s="1" t="str">
        <f>_xlfn.CONCAT(B328,C328,D328,E328,F328)</f>
        <v>BC ParanoaSG60KTL(COM1-006)_001_01446091,618055555646091,618055555646091,6256944444</v>
      </c>
      <c r="Q328" s="1" t="str">
        <f>_xlfn.CONCAT(H328,I328,J328)</f>
        <v>DAURDE</v>
      </c>
    </row>
    <row r="329" spans="2:17">
      <c r="B329" s="1" t="s">
        <v>393</v>
      </c>
      <c r="C329" s="1" t="s">
        <v>407</v>
      </c>
      <c r="D329" s="52">
        <v>46091.618055555555</v>
      </c>
      <c r="E329" s="52">
        <v>46091.618055555555</v>
      </c>
      <c r="F329" s="52">
        <v>46091.625694444447</v>
      </c>
      <c r="G329" s="53">
        <f t="shared" si="23"/>
        <v>7.6388888919609599E-3</v>
      </c>
      <c r="H329" s="1" t="s">
        <v>257</v>
      </c>
      <c r="J329" s="1" t="s">
        <v>258</v>
      </c>
      <c r="K329" s="1" t="str">
        <f>_xlfn.XLOOKUP(J329,REF!$D$2:$D$12,REF!$E$2:$E$12)</f>
        <v>Rede</v>
      </c>
      <c r="L329" s="1" t="s">
        <v>259</v>
      </c>
      <c r="M329" s="1" t="s">
        <v>260</v>
      </c>
      <c r="N329" s="1" t="s">
        <v>357</v>
      </c>
      <c r="O329" s="1" t="s">
        <v>334</v>
      </c>
      <c r="P329" s="1" t="str">
        <f>_xlfn.CONCAT(B329,C329,D329,E329,F329)</f>
        <v>BC ParanoaSG40CX(COM2-005)_001_01546091,618055555646091,618055555646091,6256944444</v>
      </c>
      <c r="Q329" s="1" t="str">
        <f>_xlfn.CONCAT(H329,I329,J329)</f>
        <v>DAURDE</v>
      </c>
    </row>
    <row r="330" spans="2:17">
      <c r="B330" s="1" t="s">
        <v>393</v>
      </c>
      <c r="C330" s="1" t="s">
        <v>408</v>
      </c>
      <c r="D330" s="52">
        <v>46091.618055555555</v>
      </c>
      <c r="E330" s="52">
        <v>46091.618055555555</v>
      </c>
      <c r="F330" s="52">
        <v>46091.625694444447</v>
      </c>
      <c r="G330" s="53">
        <f t="shared" si="23"/>
        <v>7.6388888919609599E-3</v>
      </c>
      <c r="H330" s="1" t="s">
        <v>257</v>
      </c>
      <c r="J330" s="1" t="s">
        <v>258</v>
      </c>
      <c r="K330" s="1" t="str">
        <f>_xlfn.XLOOKUP(J330,REF!$D$2:$D$12,REF!$E$2:$E$12)</f>
        <v>Rede</v>
      </c>
      <c r="L330" s="1" t="s">
        <v>259</v>
      </c>
      <c r="M330" s="1" t="s">
        <v>260</v>
      </c>
      <c r="N330" s="1" t="s">
        <v>357</v>
      </c>
      <c r="O330" s="1" t="s">
        <v>334</v>
      </c>
      <c r="P330" s="1" t="str">
        <f>_xlfn.CONCAT(B330,C330,D330,E330,F330)</f>
        <v>BC ParanoaSG60KTL(COM1-019)_002_00746091,618055555646091,618055555646091,6256944444</v>
      </c>
      <c r="Q330" s="1" t="str">
        <f>_xlfn.CONCAT(H330,I330,J330)</f>
        <v>DAURDE</v>
      </c>
    </row>
    <row r="331" spans="2:17">
      <c r="B331" s="1" t="s">
        <v>393</v>
      </c>
      <c r="C331" s="1" t="s">
        <v>409</v>
      </c>
      <c r="D331" s="52">
        <v>46091.618055555555</v>
      </c>
      <c r="E331" s="52">
        <v>46091.618055555555</v>
      </c>
      <c r="F331" s="52">
        <v>46091.625694444447</v>
      </c>
      <c r="G331" s="53">
        <f t="shared" si="23"/>
        <v>7.6388888919609599E-3</v>
      </c>
      <c r="H331" s="1" t="s">
        <v>257</v>
      </c>
      <c r="J331" s="1" t="s">
        <v>258</v>
      </c>
      <c r="K331" s="1" t="str">
        <f>_xlfn.XLOOKUP(J331,REF!$D$2:$D$12,REF!$E$2:$E$12)</f>
        <v>Rede</v>
      </c>
      <c r="L331" s="1" t="s">
        <v>259</v>
      </c>
      <c r="M331" s="1" t="s">
        <v>260</v>
      </c>
      <c r="N331" s="1" t="s">
        <v>357</v>
      </c>
      <c r="O331" s="1" t="s">
        <v>334</v>
      </c>
      <c r="P331" s="1" t="str">
        <f>_xlfn.CONCAT(B331,C331,D331,E331,F331)</f>
        <v>BC ParanoaSG60KTL(COM1-020)_002_01146091,618055555646091,618055555646091,6256944444</v>
      </c>
      <c r="Q331" s="1" t="str">
        <f>_xlfn.CONCAT(H331,I331,J331)</f>
        <v>DAURDE</v>
      </c>
    </row>
    <row r="332" spans="2:17">
      <c r="B332" s="1" t="s">
        <v>393</v>
      </c>
      <c r="C332" s="1" t="s">
        <v>410</v>
      </c>
      <c r="D332" s="52">
        <v>46091.618055555555</v>
      </c>
      <c r="E332" s="52">
        <v>46091.618055555555</v>
      </c>
      <c r="F332" s="52">
        <v>46091.625694444447</v>
      </c>
      <c r="G332" s="53">
        <f t="shared" si="23"/>
        <v>7.6388888919609599E-3</v>
      </c>
      <c r="H332" s="1" t="s">
        <v>257</v>
      </c>
      <c r="J332" s="1" t="s">
        <v>258</v>
      </c>
      <c r="K332" s="1" t="str">
        <f>_xlfn.XLOOKUP(J332,REF!$D$2:$D$12,REF!$E$2:$E$12)</f>
        <v>Rede</v>
      </c>
      <c r="L332" s="1" t="s">
        <v>259</v>
      </c>
      <c r="M332" s="1" t="s">
        <v>260</v>
      </c>
      <c r="N332" s="1" t="s">
        <v>357</v>
      </c>
      <c r="O332" s="1" t="s">
        <v>334</v>
      </c>
      <c r="P332" s="1" t="str">
        <f>_xlfn.CONCAT(B332,C332,D332,E332,F332)</f>
        <v>BC ParanoaSG60KTL(COM1-021)_002_01746091,618055555646091,618055555646091,6256944444</v>
      </c>
      <c r="Q332" s="1" t="str">
        <f>_xlfn.CONCAT(H332,I332,J332)</f>
        <v>DAURDE</v>
      </c>
    </row>
    <row r="333" spans="2:17">
      <c r="B333" s="1" t="s">
        <v>393</v>
      </c>
      <c r="C333" s="1" t="s">
        <v>411</v>
      </c>
      <c r="D333" s="52">
        <v>46091.618055555555</v>
      </c>
      <c r="E333" s="52">
        <v>46091.618055555555</v>
      </c>
      <c r="F333" s="52">
        <v>46091.625694444447</v>
      </c>
      <c r="G333" s="53">
        <f t="shared" si="23"/>
        <v>7.6388888919609599E-3</v>
      </c>
      <c r="H333" s="1" t="s">
        <v>257</v>
      </c>
      <c r="J333" s="1" t="s">
        <v>258</v>
      </c>
      <c r="K333" s="1" t="str">
        <f>_xlfn.XLOOKUP(J333,REF!$D$2:$D$12,REF!$E$2:$E$12)</f>
        <v>Rede</v>
      </c>
      <c r="L333" s="1" t="s">
        <v>259</v>
      </c>
      <c r="M333" s="1" t="s">
        <v>260</v>
      </c>
      <c r="N333" s="1" t="s">
        <v>357</v>
      </c>
      <c r="O333" s="1" t="s">
        <v>334</v>
      </c>
      <c r="P333" s="1" t="str">
        <f>_xlfn.CONCAT(B333,C333,D333,E333,F333)</f>
        <v>BC ParanoaSG60KTL(COM1-022)_002_02046091,618055555646091,618055555646091,6256944444</v>
      </c>
      <c r="Q333" s="1" t="str">
        <f>_xlfn.CONCAT(H333,I333,J333)</f>
        <v>DAURDE</v>
      </c>
    </row>
    <row r="334" spans="2:17">
      <c r="B334" s="1" t="s">
        <v>393</v>
      </c>
      <c r="C334" s="1" t="s">
        <v>412</v>
      </c>
      <c r="D334" s="52">
        <v>46091.618055555555</v>
      </c>
      <c r="E334" s="52">
        <v>46091.618055555555</v>
      </c>
      <c r="F334" s="52">
        <v>46091.625694444447</v>
      </c>
      <c r="G334" s="53">
        <f t="shared" si="23"/>
        <v>7.6388888919609599E-3</v>
      </c>
      <c r="H334" s="1" t="s">
        <v>257</v>
      </c>
      <c r="J334" s="1" t="s">
        <v>258</v>
      </c>
      <c r="K334" s="1" t="str">
        <f>_xlfn.XLOOKUP(J334,REF!$D$2:$D$12,REF!$E$2:$E$12)</f>
        <v>Rede</v>
      </c>
      <c r="L334" s="1" t="s">
        <v>259</v>
      </c>
      <c r="M334" s="1" t="s">
        <v>260</v>
      </c>
      <c r="N334" s="1" t="s">
        <v>357</v>
      </c>
      <c r="O334" s="1" t="s">
        <v>334</v>
      </c>
      <c r="P334" s="1" t="str">
        <f>_xlfn.CONCAT(B334,C334,D334,E334,F334)</f>
        <v>BC ParanoaSG40CX(COM2-023)_002_02446091,618055555646091,618055555646091,6256944444</v>
      </c>
      <c r="Q334" s="1" t="str">
        <f>_xlfn.CONCAT(H334,I334,J334)</f>
        <v>DAURDE</v>
      </c>
    </row>
    <row r="335" spans="2:17">
      <c r="B335" s="1" t="s">
        <v>393</v>
      </c>
      <c r="C335" s="1" t="s">
        <v>413</v>
      </c>
      <c r="D335" s="52">
        <v>46091.618055555555</v>
      </c>
      <c r="E335" s="52">
        <v>46091.618055555555</v>
      </c>
      <c r="F335" s="52">
        <v>46091.625694444447</v>
      </c>
      <c r="G335" s="53">
        <f t="shared" si="23"/>
        <v>7.6388888919609599E-3</v>
      </c>
      <c r="H335" s="1" t="s">
        <v>257</v>
      </c>
      <c r="J335" s="1" t="s">
        <v>258</v>
      </c>
      <c r="K335" s="1" t="str">
        <f>_xlfn.XLOOKUP(J335,REF!$D$2:$D$12,REF!$E$2:$E$12)</f>
        <v>Rede</v>
      </c>
      <c r="L335" s="1" t="s">
        <v>259</v>
      </c>
      <c r="M335" s="1" t="s">
        <v>260</v>
      </c>
      <c r="N335" s="1" t="s">
        <v>357</v>
      </c>
      <c r="O335" s="1" t="s">
        <v>334</v>
      </c>
      <c r="P335" s="1" t="str">
        <f>_xlfn.CONCAT(B335,C335,D335,E335,F335)</f>
        <v>BC ParanoaSG40CX(COM2-024)_002_02246091,618055555646091,618055555646091,6256944444</v>
      </c>
      <c r="Q335" s="1" t="str">
        <f>_xlfn.CONCAT(H335,I335,J335)</f>
        <v>DAURDE</v>
      </c>
    </row>
    <row r="336" spans="2:17">
      <c r="B336" s="1" t="s">
        <v>393</v>
      </c>
      <c r="C336" s="1" t="s">
        <v>414</v>
      </c>
      <c r="D336" s="52">
        <v>46091.618055555555</v>
      </c>
      <c r="E336" s="52">
        <v>46091.618055555555</v>
      </c>
      <c r="F336" s="52">
        <v>46091.625694444447</v>
      </c>
      <c r="G336" s="53">
        <f t="shared" si="23"/>
        <v>7.6388888919609599E-3</v>
      </c>
      <c r="H336" s="1" t="s">
        <v>257</v>
      </c>
      <c r="J336" s="1" t="s">
        <v>258</v>
      </c>
      <c r="K336" s="1" t="str">
        <f>_xlfn.XLOOKUP(J336,REF!$D$2:$D$12,REF!$E$2:$E$12)</f>
        <v>Rede</v>
      </c>
      <c r="L336" s="1" t="s">
        <v>259</v>
      </c>
      <c r="M336" s="1" t="s">
        <v>260</v>
      </c>
      <c r="N336" s="1" t="s">
        <v>357</v>
      </c>
      <c r="O336" s="1" t="s">
        <v>334</v>
      </c>
      <c r="P336" s="1" t="str">
        <f>_xlfn.CONCAT(B336,C336,D336,E336,F336)</f>
        <v>BC ParanoaSG60KTL(COM1-007)_002_01346091,618055555646091,618055555646091,6256944444</v>
      </c>
      <c r="Q336" s="1" t="str">
        <f>_xlfn.CONCAT(H336,I336,J336)</f>
        <v>DAURDE</v>
      </c>
    </row>
    <row r="337" spans="2:18">
      <c r="B337" s="1" t="s">
        <v>393</v>
      </c>
      <c r="C337" s="1" t="s">
        <v>415</v>
      </c>
      <c r="D337" s="52">
        <v>46091.618055555555</v>
      </c>
      <c r="E337" s="52">
        <v>46091.618055555555</v>
      </c>
      <c r="F337" s="52">
        <v>46091.625694444447</v>
      </c>
      <c r="G337" s="53">
        <f t="shared" si="23"/>
        <v>7.6388888919609599E-3</v>
      </c>
      <c r="H337" s="1" t="s">
        <v>257</v>
      </c>
      <c r="J337" s="1" t="s">
        <v>258</v>
      </c>
      <c r="K337" s="1" t="str">
        <f>_xlfn.XLOOKUP(J337,REF!$D$2:$D$12,REF!$E$2:$E$12)</f>
        <v>Rede</v>
      </c>
      <c r="L337" s="1" t="s">
        <v>259</v>
      </c>
      <c r="M337" s="1" t="s">
        <v>260</v>
      </c>
      <c r="N337" s="1" t="s">
        <v>357</v>
      </c>
      <c r="O337" s="1" t="s">
        <v>334</v>
      </c>
      <c r="P337" s="1" t="str">
        <f>_xlfn.CONCAT(B337,C337,D337,E337,F337)</f>
        <v>BC ParanoaSG60KTL(COM1-008)_002_00246091,618055555646091,618055555646091,6256944444</v>
      </c>
      <c r="Q337" s="1" t="str">
        <f>_xlfn.CONCAT(H337,I337,J337)</f>
        <v>DAURDE</v>
      </c>
    </row>
    <row r="338" spans="2:18">
      <c r="B338" s="1" t="s">
        <v>393</v>
      </c>
      <c r="C338" s="1" t="s">
        <v>416</v>
      </c>
      <c r="D338" s="52">
        <v>46091.618055555555</v>
      </c>
      <c r="E338" s="52">
        <v>46091.618055555555</v>
      </c>
      <c r="F338" s="52">
        <v>46091.625694444447</v>
      </c>
      <c r="G338" s="53">
        <f t="shared" si="23"/>
        <v>7.6388888919609599E-3</v>
      </c>
      <c r="H338" s="1" t="s">
        <v>257</v>
      </c>
      <c r="J338" s="1" t="s">
        <v>258</v>
      </c>
      <c r="K338" s="1" t="str">
        <f>_xlfn.XLOOKUP(J338,REF!$D$2:$D$12,REF!$E$2:$E$12)</f>
        <v>Rede</v>
      </c>
      <c r="L338" s="1" t="s">
        <v>259</v>
      </c>
      <c r="M338" s="1" t="s">
        <v>260</v>
      </c>
      <c r="N338" s="1" t="s">
        <v>357</v>
      </c>
      <c r="O338" s="1" t="s">
        <v>334</v>
      </c>
      <c r="P338" s="1" t="str">
        <f>_xlfn.CONCAT(B338,C338,D338,E338,F338)</f>
        <v>BC ParanoaSG60KTL(COM1-009)_002_00846091,618055555646091,618055555646091,6256944444</v>
      </c>
      <c r="Q338" s="1" t="str">
        <f>_xlfn.CONCAT(H338,I338,J338)</f>
        <v>DAURDE</v>
      </c>
    </row>
    <row r="339" spans="2:18">
      <c r="B339" s="1" t="s">
        <v>393</v>
      </c>
      <c r="C339" s="1" t="s">
        <v>417</v>
      </c>
      <c r="D339" s="52">
        <v>46091.618055555555</v>
      </c>
      <c r="E339" s="52">
        <v>46091.618055555555</v>
      </c>
      <c r="F339" s="52">
        <v>46091.625694444447</v>
      </c>
      <c r="G339" s="53">
        <f t="shared" si="23"/>
        <v>7.6388888919609599E-3</v>
      </c>
      <c r="H339" s="1" t="s">
        <v>257</v>
      </c>
      <c r="J339" s="1" t="s">
        <v>258</v>
      </c>
      <c r="K339" s="1" t="str">
        <f>_xlfn.XLOOKUP(J339,REF!$D$2:$D$12,REF!$E$2:$E$12)</f>
        <v>Rede</v>
      </c>
      <c r="L339" s="1" t="s">
        <v>259</v>
      </c>
      <c r="M339" s="1" t="s">
        <v>260</v>
      </c>
      <c r="N339" s="1" t="s">
        <v>357</v>
      </c>
      <c r="O339" s="1" t="s">
        <v>334</v>
      </c>
      <c r="P339" s="1" t="str">
        <f>_xlfn.CONCAT(B339,C339,D339,E339,F339)</f>
        <v>BC ParanoaSG60KTL(COM1-010)_002_00346091,618055555646091,618055555646091,6256944444</v>
      </c>
      <c r="Q339" s="1" t="str">
        <f>_xlfn.CONCAT(H339,I339,J339)</f>
        <v>DAURDE</v>
      </c>
    </row>
    <row r="340" spans="2:18">
      <c r="B340" s="1" t="s">
        <v>393</v>
      </c>
      <c r="C340" s="1" t="s">
        <v>418</v>
      </c>
      <c r="D340" s="52">
        <v>46091.618055555555</v>
      </c>
      <c r="E340" s="52">
        <v>46091.618055555555</v>
      </c>
      <c r="F340" s="52">
        <v>46091.625694444447</v>
      </c>
      <c r="G340" s="53">
        <f t="shared" si="23"/>
        <v>7.6388888919609599E-3</v>
      </c>
      <c r="H340" s="1" t="s">
        <v>257</v>
      </c>
      <c r="J340" s="1" t="s">
        <v>258</v>
      </c>
      <c r="K340" s="1" t="str">
        <f>_xlfn.XLOOKUP(J340,REF!$D$2:$D$12,REF!$E$2:$E$12)</f>
        <v>Rede</v>
      </c>
      <c r="L340" s="1" t="s">
        <v>259</v>
      </c>
      <c r="M340" s="1" t="s">
        <v>260</v>
      </c>
      <c r="N340" s="1" t="s">
        <v>357</v>
      </c>
      <c r="O340" s="1" t="s">
        <v>334</v>
      </c>
      <c r="P340" s="1" t="str">
        <f>_xlfn.CONCAT(B340,C340,D340,E340,F340)</f>
        <v>BC ParanoaSG60KTL(COM1-011)_002_01046091,618055555646091,618055555646091,6256944444</v>
      </c>
      <c r="Q340" s="1" t="str">
        <f>_xlfn.CONCAT(H340,I340,J340)</f>
        <v>DAURDE</v>
      </c>
    </row>
    <row r="341" spans="2:18">
      <c r="B341" s="1" t="s">
        <v>393</v>
      </c>
      <c r="C341" s="1" t="s">
        <v>419</v>
      </c>
      <c r="D341" s="52">
        <v>46091.618055555555</v>
      </c>
      <c r="E341" s="52">
        <v>46091.618055555555</v>
      </c>
      <c r="F341" s="52">
        <v>46091.625694444447</v>
      </c>
      <c r="G341" s="53">
        <f t="shared" si="23"/>
        <v>7.6388888919609599E-3</v>
      </c>
      <c r="H341" s="1" t="s">
        <v>257</v>
      </c>
      <c r="J341" s="1" t="s">
        <v>258</v>
      </c>
      <c r="K341" s="1" t="str">
        <f>_xlfn.XLOOKUP(J341,REF!$D$2:$D$12,REF!$E$2:$E$12)</f>
        <v>Rede</v>
      </c>
      <c r="L341" s="1" t="s">
        <v>259</v>
      </c>
      <c r="M341" s="1" t="s">
        <v>260</v>
      </c>
      <c r="N341" s="1" t="s">
        <v>357</v>
      </c>
      <c r="O341" s="1" t="s">
        <v>334</v>
      </c>
      <c r="P341" s="1" t="str">
        <f>_xlfn.CONCAT(B341,C341,D341,E341,F341)</f>
        <v>BC ParanoaSG60KTL(COM1-012)_002_00546091,618055555646091,618055555646091,6256944444</v>
      </c>
      <c r="Q341" s="1" t="str">
        <f>_xlfn.CONCAT(H341,I341,J341)</f>
        <v>DAURDE</v>
      </c>
    </row>
    <row r="342" spans="2:18">
      <c r="B342" s="1" t="s">
        <v>393</v>
      </c>
      <c r="C342" s="1" t="s">
        <v>420</v>
      </c>
      <c r="D342" s="52">
        <v>46091.618055555555</v>
      </c>
      <c r="E342" s="52">
        <v>46091.618055555555</v>
      </c>
      <c r="F342" s="52">
        <v>46091.625694444447</v>
      </c>
      <c r="G342" s="53">
        <f t="shared" si="23"/>
        <v>7.6388888919609599E-3</v>
      </c>
      <c r="H342" s="1" t="s">
        <v>257</v>
      </c>
      <c r="J342" s="1" t="s">
        <v>258</v>
      </c>
      <c r="K342" s="1" t="str">
        <f>_xlfn.XLOOKUP(J342,REF!$D$2:$D$12,REF!$E$2:$E$12)</f>
        <v>Rede</v>
      </c>
      <c r="L342" s="1" t="s">
        <v>259</v>
      </c>
      <c r="M342" s="1" t="s">
        <v>260</v>
      </c>
      <c r="N342" s="1" t="s">
        <v>357</v>
      </c>
      <c r="O342" s="1" t="s">
        <v>334</v>
      </c>
      <c r="P342" s="1" t="str">
        <f>_xlfn.CONCAT(B342,C342,D342,E342,F342)</f>
        <v>BC ParanoaSG60KTL(COM1-001)_002_00646091,618055555646091,618055555646091,6256944444</v>
      </c>
      <c r="Q342" s="1" t="str">
        <f>_xlfn.CONCAT(H342,I342,J342)</f>
        <v>DAURDE</v>
      </c>
    </row>
    <row r="343" spans="2:18">
      <c r="B343" s="1" t="s">
        <v>393</v>
      </c>
      <c r="C343" s="1" t="s">
        <v>421</v>
      </c>
      <c r="D343" s="52">
        <v>46091.618055555555</v>
      </c>
      <c r="E343" s="52">
        <v>46091.618055555555</v>
      </c>
      <c r="F343" s="52">
        <v>46091.625694444447</v>
      </c>
      <c r="G343" s="53">
        <f t="shared" si="23"/>
        <v>7.6388888919609599E-3</v>
      </c>
      <c r="H343" s="1" t="s">
        <v>257</v>
      </c>
      <c r="J343" s="1" t="s">
        <v>258</v>
      </c>
      <c r="K343" s="1" t="str">
        <f>_xlfn.XLOOKUP(J343,REF!$D$2:$D$12,REF!$E$2:$E$12)</f>
        <v>Rede</v>
      </c>
      <c r="L343" s="1" t="s">
        <v>259</v>
      </c>
      <c r="M343" s="1" t="s">
        <v>260</v>
      </c>
      <c r="N343" s="1" t="s">
        <v>357</v>
      </c>
      <c r="O343" s="1" t="s">
        <v>334</v>
      </c>
      <c r="P343" s="1" t="str">
        <f>_xlfn.CONCAT(B343,C343,D343,E343,F343)</f>
        <v>BC ParanoaSG60KTL(COM1-002)_002_01646091,618055555646091,618055555646091,6256944444</v>
      </c>
      <c r="Q343" s="1" t="str">
        <f>_xlfn.CONCAT(H343,I343,J343)</f>
        <v>DAURDE</v>
      </c>
    </row>
    <row r="344" spans="2:18">
      <c r="B344" s="1" t="s">
        <v>393</v>
      </c>
      <c r="C344" s="1" t="s">
        <v>422</v>
      </c>
      <c r="D344" s="52">
        <v>46091.618055555555</v>
      </c>
      <c r="E344" s="52">
        <v>46091.618055555555</v>
      </c>
      <c r="F344" s="52">
        <v>46091.625694444447</v>
      </c>
      <c r="G344" s="53">
        <f t="shared" si="23"/>
        <v>7.6388888919609599E-3</v>
      </c>
      <c r="H344" s="1" t="s">
        <v>257</v>
      </c>
      <c r="J344" s="1" t="s">
        <v>258</v>
      </c>
      <c r="K344" s="1" t="str">
        <f>_xlfn.XLOOKUP(J344,REF!$D$2:$D$12,REF!$E$2:$E$12)</f>
        <v>Rede</v>
      </c>
      <c r="L344" s="1" t="s">
        <v>259</v>
      </c>
      <c r="M344" s="1" t="s">
        <v>260</v>
      </c>
      <c r="N344" s="1" t="s">
        <v>357</v>
      </c>
      <c r="O344" s="1" t="s">
        <v>334</v>
      </c>
      <c r="P344" s="1" t="str">
        <f>_xlfn.CONCAT(B344,C344,D344,E344,F344)</f>
        <v>BC ParanoaSG50CX(COM2-003)_002_02146091,618055555646091,618055555646091,6256944444</v>
      </c>
      <c r="Q344" s="1" t="str">
        <f>_xlfn.CONCAT(H344,I344,J344)</f>
        <v>DAURDE</v>
      </c>
    </row>
    <row r="345" spans="2:18">
      <c r="B345" s="1" t="s">
        <v>393</v>
      </c>
      <c r="C345" s="1" t="s">
        <v>423</v>
      </c>
      <c r="D345" s="52">
        <v>46091.618055555555</v>
      </c>
      <c r="E345" s="52">
        <v>46091.618055555555</v>
      </c>
      <c r="F345" s="52">
        <v>46091.625694444447</v>
      </c>
      <c r="G345" s="53">
        <f t="shared" si="23"/>
        <v>7.6388888919609599E-3</v>
      </c>
      <c r="H345" s="1" t="s">
        <v>257</v>
      </c>
      <c r="J345" s="1" t="s">
        <v>258</v>
      </c>
      <c r="K345" s="1" t="str">
        <f>_xlfn.XLOOKUP(J345,REF!$D$2:$D$12,REF!$E$2:$E$12)</f>
        <v>Rede</v>
      </c>
      <c r="L345" s="1" t="s">
        <v>259</v>
      </c>
      <c r="M345" s="1" t="s">
        <v>260</v>
      </c>
      <c r="N345" s="1" t="s">
        <v>357</v>
      </c>
      <c r="O345" s="1" t="s">
        <v>334</v>
      </c>
      <c r="P345" s="1" t="str">
        <f>_xlfn.CONCAT(B345,C345,D345,E345,F345)</f>
        <v>BC ParanoaSG50CX(COM2-004)_002_02346091,618055555646091,618055555646091,6256944444</v>
      </c>
      <c r="Q345" s="1" t="str">
        <f>_xlfn.CONCAT(H345,I345,J345)</f>
        <v>DAURDE</v>
      </c>
    </row>
    <row r="346" spans="2:18">
      <c r="B346" s="1" t="s">
        <v>393</v>
      </c>
      <c r="C346" s="1" t="s">
        <v>424</v>
      </c>
      <c r="D346" s="52">
        <v>46091.618055555555</v>
      </c>
      <c r="E346" s="52">
        <v>46091.618055555555</v>
      </c>
      <c r="F346" s="52">
        <v>46091.625694444447</v>
      </c>
      <c r="G346" s="53">
        <f t="shared" si="23"/>
        <v>7.6388888919609599E-3</v>
      </c>
      <c r="H346" s="1" t="s">
        <v>257</v>
      </c>
      <c r="J346" s="1" t="s">
        <v>258</v>
      </c>
      <c r="K346" s="1" t="str">
        <f>_xlfn.XLOOKUP(J346,REF!$D$2:$D$12,REF!$E$2:$E$12)</f>
        <v>Rede</v>
      </c>
      <c r="L346" s="1" t="s">
        <v>259</v>
      </c>
      <c r="M346" s="1" t="s">
        <v>260</v>
      </c>
      <c r="N346" s="1" t="s">
        <v>357</v>
      </c>
      <c r="O346" s="1" t="s">
        <v>334</v>
      </c>
      <c r="P346" s="1" t="str">
        <f>_xlfn.CONCAT(B346,C346,D346,E346,F346)</f>
        <v>BC ParanoaSG60KTL(COM1-005)_002_00946091,618055555646091,618055555646091,6256944444</v>
      </c>
      <c r="Q346" s="1" t="str">
        <f>_xlfn.CONCAT(H346,I346,J346)</f>
        <v>DAURDE</v>
      </c>
    </row>
    <row r="347" spans="2:18">
      <c r="B347" s="1" t="s">
        <v>393</v>
      </c>
      <c r="C347" s="1" t="s">
        <v>425</v>
      </c>
      <c r="D347" s="52">
        <v>46091.618055555555</v>
      </c>
      <c r="E347" s="52">
        <v>46091.618055555555</v>
      </c>
      <c r="F347" s="52">
        <v>46091.625694444447</v>
      </c>
      <c r="G347" s="53">
        <f t="shared" si="23"/>
        <v>7.6388888919609599E-3</v>
      </c>
      <c r="H347" s="1" t="s">
        <v>257</v>
      </c>
      <c r="J347" s="1" t="s">
        <v>258</v>
      </c>
      <c r="K347" s="1" t="str">
        <f>_xlfn.XLOOKUP(J347,REF!$D$2:$D$12,REF!$E$2:$E$12)</f>
        <v>Rede</v>
      </c>
      <c r="L347" s="1" t="s">
        <v>259</v>
      </c>
      <c r="M347" s="1" t="s">
        <v>260</v>
      </c>
      <c r="N347" s="1" t="s">
        <v>357</v>
      </c>
      <c r="O347" s="1" t="s">
        <v>334</v>
      </c>
      <c r="P347" s="1" t="str">
        <f>_xlfn.CONCAT(B347,C347,D347,E347,F347)</f>
        <v>BC ParanoaSG60KTL(COM1-006)_002_00146091,618055555646091,618055555646091,6256944444</v>
      </c>
      <c r="Q347" s="1" t="str">
        <f>_xlfn.CONCAT(H347,I347,J347)</f>
        <v>DAURDE</v>
      </c>
    </row>
    <row r="348" spans="2:18">
      <c r="B348" s="1" t="s">
        <v>393</v>
      </c>
      <c r="C348" s="1" t="s">
        <v>426</v>
      </c>
      <c r="D348" s="52">
        <v>46091.618055555555</v>
      </c>
      <c r="E348" s="52">
        <v>46091.618055555555</v>
      </c>
      <c r="F348" s="52">
        <v>46091.625694444447</v>
      </c>
      <c r="G348" s="53">
        <f t="shared" si="23"/>
        <v>7.6388888919609599E-3</v>
      </c>
      <c r="H348" s="1" t="s">
        <v>257</v>
      </c>
      <c r="J348" s="1" t="s">
        <v>258</v>
      </c>
      <c r="K348" s="1" t="str">
        <f>_xlfn.XLOOKUP(J348,REF!$D$2:$D$12,REF!$E$2:$E$12)</f>
        <v>Rede</v>
      </c>
      <c r="L348" s="1" t="s">
        <v>259</v>
      </c>
      <c r="M348" s="1" t="s">
        <v>260</v>
      </c>
      <c r="N348" s="1" t="s">
        <v>357</v>
      </c>
      <c r="O348" s="1" t="s">
        <v>334</v>
      </c>
      <c r="P348" s="1" t="str">
        <f>_xlfn.CONCAT(B348,C348,D348,E348,F348)</f>
        <v>BC ParanoaSG60KTL(COM1-013)_002_00446091,618055555646091,618055555646091,6256944444</v>
      </c>
      <c r="Q348" s="1" t="str">
        <f>_xlfn.CONCAT(H348,I348,J348)</f>
        <v>DAURDE</v>
      </c>
    </row>
    <row r="349" spans="2:18">
      <c r="B349" s="1" t="s">
        <v>393</v>
      </c>
      <c r="C349" s="1" t="s">
        <v>427</v>
      </c>
      <c r="D349" s="52">
        <v>46091.618055555555</v>
      </c>
      <c r="E349" s="52">
        <v>46091.618055555555</v>
      </c>
      <c r="F349" s="52">
        <v>46091.625694444447</v>
      </c>
      <c r="G349" s="53">
        <f t="shared" ref="G349:G412" si="25">F349-E349</f>
        <v>7.6388888919609599E-3</v>
      </c>
      <c r="H349" s="1" t="s">
        <v>257</v>
      </c>
      <c r="J349" s="1" t="s">
        <v>258</v>
      </c>
      <c r="K349" s="1" t="str">
        <f>_xlfn.XLOOKUP(J349,REF!$D$2:$D$12,REF!$E$2:$E$12)</f>
        <v>Rede</v>
      </c>
      <c r="L349" s="1" t="s">
        <v>259</v>
      </c>
      <c r="M349" s="1" t="s">
        <v>260</v>
      </c>
      <c r="N349" s="1" t="s">
        <v>357</v>
      </c>
      <c r="O349" s="1" t="s">
        <v>334</v>
      </c>
      <c r="P349" s="1" t="str">
        <f>_xlfn.CONCAT(B349,C349,D349,E349,F349)</f>
        <v>BC ParanoaSG60KTL(COM1-014)_002_01946091,618055555646091,618055555646091,6256944444</v>
      </c>
      <c r="Q349" s="1" t="str">
        <f>_xlfn.CONCAT(H349,I349,J349)</f>
        <v>DAURDE</v>
      </c>
    </row>
    <row r="350" spans="2:18">
      <c r="B350" s="1" t="s">
        <v>393</v>
      </c>
      <c r="C350" s="1" t="s">
        <v>428</v>
      </c>
      <c r="D350" s="52">
        <v>46091.618055555555</v>
      </c>
      <c r="E350" s="52">
        <v>46091.618055555555</v>
      </c>
      <c r="F350" s="52">
        <v>46091.625694444447</v>
      </c>
      <c r="G350" s="53">
        <f t="shared" si="25"/>
        <v>7.6388888919609599E-3</v>
      </c>
      <c r="H350" s="1" t="s">
        <v>257</v>
      </c>
      <c r="J350" s="1" t="s">
        <v>258</v>
      </c>
      <c r="K350" s="1" t="str">
        <f>_xlfn.XLOOKUP(J350,REF!$D$2:$D$12,REF!$E$2:$E$12)</f>
        <v>Rede</v>
      </c>
      <c r="L350" s="1" t="s">
        <v>259</v>
      </c>
      <c r="M350" s="1" t="s">
        <v>260</v>
      </c>
      <c r="N350" s="1" t="s">
        <v>357</v>
      </c>
      <c r="O350" s="1" t="s">
        <v>334</v>
      </c>
      <c r="P350" s="1" t="str">
        <f>_xlfn.CONCAT(B350,C350,D350,E350,F350)</f>
        <v>BC ParanoaSG60KTL(COM1-015)_002_01846091,618055555646091,618055555646091,6256944444</v>
      </c>
      <c r="Q350" s="1" t="str">
        <f>_xlfn.CONCAT(H350,I350,J350)</f>
        <v>DAURDE</v>
      </c>
      <c r="R350" s="1"/>
    </row>
    <row r="351" spans="2:18">
      <c r="B351" s="1" t="s">
        <v>393</v>
      </c>
      <c r="C351" s="1" t="s">
        <v>429</v>
      </c>
      <c r="D351" s="52">
        <v>46091.618055555555</v>
      </c>
      <c r="E351" s="52">
        <v>46091.618055555555</v>
      </c>
      <c r="F351" s="52">
        <v>46091.625694444447</v>
      </c>
      <c r="G351" s="53">
        <f t="shared" si="25"/>
        <v>7.6388888919609599E-3</v>
      </c>
      <c r="H351" s="1" t="s">
        <v>257</v>
      </c>
      <c r="J351" s="1" t="s">
        <v>258</v>
      </c>
      <c r="K351" s="1" t="str">
        <f>_xlfn.XLOOKUP(J351,REF!$D$2:$D$12,REF!$E$2:$E$12)</f>
        <v>Rede</v>
      </c>
      <c r="L351" s="1" t="s">
        <v>259</v>
      </c>
      <c r="M351" s="1" t="s">
        <v>260</v>
      </c>
      <c r="N351" s="1" t="s">
        <v>357</v>
      </c>
      <c r="O351" s="1" t="s">
        <v>334</v>
      </c>
      <c r="P351" s="1" t="str">
        <f>_xlfn.CONCAT(B351,C351,D351,E351,F351)</f>
        <v>BC ParanoaSG60KTL(COM1-016)_002_01446091,618055555646091,618055555646091,6256944444</v>
      </c>
      <c r="Q351" s="1" t="str">
        <f>_xlfn.CONCAT(H351,I351,J351)</f>
        <v>DAURDE</v>
      </c>
    </row>
    <row r="352" spans="2:18">
      <c r="B352" s="1" t="s">
        <v>393</v>
      </c>
      <c r="C352" s="1" t="s">
        <v>430</v>
      </c>
      <c r="D352" s="52">
        <v>46091.618055555555</v>
      </c>
      <c r="E352" s="52">
        <v>46091.618055555555</v>
      </c>
      <c r="F352" s="52">
        <v>46091.625694444447</v>
      </c>
      <c r="G352" s="53">
        <f t="shared" si="25"/>
        <v>7.6388888919609599E-3</v>
      </c>
      <c r="H352" s="1" t="s">
        <v>257</v>
      </c>
      <c r="J352" s="1" t="s">
        <v>258</v>
      </c>
      <c r="K352" s="1" t="str">
        <f>_xlfn.XLOOKUP(J352,REF!$D$2:$D$12,REF!$E$2:$E$12)</f>
        <v>Rede</v>
      </c>
      <c r="L352" s="1" t="s">
        <v>259</v>
      </c>
      <c r="M352" s="1" t="s">
        <v>260</v>
      </c>
      <c r="N352" s="1" t="s">
        <v>357</v>
      </c>
      <c r="O352" s="1" t="s">
        <v>334</v>
      </c>
      <c r="P352" s="1" t="str">
        <f>_xlfn.CONCAT(B352,C352,D352,E352,F352)</f>
        <v>BC ParanoaSG60KTL(COM1-017)_002_01546091,618055555646091,618055555646091,6256944444</v>
      </c>
      <c r="Q352" s="1" t="str">
        <f>_xlfn.CONCAT(H352,I352,J352)</f>
        <v>DAURDE</v>
      </c>
    </row>
    <row r="353" spans="2:17">
      <c r="B353" s="1" t="s">
        <v>393</v>
      </c>
      <c r="C353" s="1" t="s">
        <v>431</v>
      </c>
      <c r="D353" s="52">
        <v>46091.618055555555</v>
      </c>
      <c r="E353" s="52">
        <v>46091.618055555555</v>
      </c>
      <c r="F353" s="52">
        <v>46091.625694444447</v>
      </c>
      <c r="G353" s="53">
        <f t="shared" si="25"/>
        <v>7.6388888919609599E-3</v>
      </c>
      <c r="H353" s="1" t="s">
        <v>257</v>
      </c>
      <c r="J353" s="1" t="s">
        <v>258</v>
      </c>
      <c r="K353" s="1" t="str">
        <f>_xlfn.XLOOKUP(J353,REF!$D$2:$D$12,REF!$E$2:$E$12)</f>
        <v>Rede</v>
      </c>
      <c r="L353" s="1" t="s">
        <v>259</v>
      </c>
      <c r="M353" s="1" t="s">
        <v>260</v>
      </c>
      <c r="N353" s="1" t="s">
        <v>357</v>
      </c>
      <c r="O353" s="1" t="s">
        <v>334</v>
      </c>
      <c r="P353" s="1" t="str">
        <f>_xlfn.CONCAT(B353,C353,D353,E353,F353)</f>
        <v>BC ParanoaSG60KTL(COM1-018)_002_01246091,618055555646091,618055555646091,6256944444</v>
      </c>
      <c r="Q353" s="1" t="str">
        <f>_xlfn.CONCAT(H353,I353,J353)</f>
        <v>DAURDE</v>
      </c>
    </row>
    <row r="354" spans="2:17">
      <c r="B354" s="1" t="s">
        <v>393</v>
      </c>
      <c r="C354" s="1" t="s">
        <v>432</v>
      </c>
      <c r="D354" s="52">
        <v>46091.618055555555</v>
      </c>
      <c r="E354" s="52">
        <v>46091.618055555555</v>
      </c>
      <c r="F354" s="52">
        <v>46091.625694444447</v>
      </c>
      <c r="G354" s="53">
        <f t="shared" si="25"/>
        <v>7.6388888919609599E-3</v>
      </c>
      <c r="H354" s="1" t="s">
        <v>257</v>
      </c>
      <c r="J354" s="1" t="s">
        <v>258</v>
      </c>
      <c r="K354" s="1" t="str">
        <f>_xlfn.XLOOKUP(J354,REF!$D$2:$D$12,REF!$E$2:$E$12)</f>
        <v>Rede</v>
      </c>
      <c r="L354" s="1" t="s">
        <v>259</v>
      </c>
      <c r="M354" s="1" t="s">
        <v>260</v>
      </c>
      <c r="N354" s="1" t="s">
        <v>357</v>
      </c>
      <c r="O354" s="1" t="s">
        <v>334</v>
      </c>
      <c r="P354" s="1" t="str">
        <f>_xlfn.CONCAT(B354,C354,D354,E354,F354)</f>
        <v>BC ParanoaSG50CX(COM2-004)_001_01846091,618055555646091,618055555646091,6256944444</v>
      </c>
      <c r="Q354" s="1" t="str">
        <f>_xlfn.CONCAT(H354,I354,J354)</f>
        <v>DAURDE</v>
      </c>
    </row>
    <row r="355" spans="2:17">
      <c r="B355" s="1" t="s">
        <v>393</v>
      </c>
      <c r="C355" s="1" t="s">
        <v>433</v>
      </c>
      <c r="D355" s="52">
        <v>46091.618055555555</v>
      </c>
      <c r="E355" s="52">
        <v>46091.618055555555</v>
      </c>
      <c r="F355" s="52">
        <v>46091.625694444447</v>
      </c>
      <c r="G355" s="53">
        <f t="shared" si="25"/>
        <v>7.6388888919609599E-3</v>
      </c>
      <c r="H355" s="1" t="s">
        <v>257</v>
      </c>
      <c r="J355" s="1" t="s">
        <v>258</v>
      </c>
      <c r="K355" s="1" t="str">
        <f>_xlfn.XLOOKUP(J355,REF!$D$2:$D$12,REF!$E$2:$E$12)</f>
        <v>Rede</v>
      </c>
      <c r="L355" s="1" t="s">
        <v>259</v>
      </c>
      <c r="M355" s="1" t="s">
        <v>260</v>
      </c>
      <c r="N355" s="1" t="s">
        <v>357</v>
      </c>
      <c r="O355" s="1" t="s">
        <v>334</v>
      </c>
      <c r="P355" s="1" t="str">
        <f>_xlfn.CONCAT(B355,C355,D355,E355,F355)</f>
        <v>BC ParanoaSG50CX(COM2-003)_001_01646091,618055555646091,618055555646091,6256944444</v>
      </c>
      <c r="Q355" s="1" t="str">
        <f>_xlfn.CONCAT(H355,I355,J355)</f>
        <v>DAURDE</v>
      </c>
    </row>
    <row r="356" spans="2:17">
      <c r="B356" s="1" t="s">
        <v>393</v>
      </c>
      <c r="C356" s="1" t="s">
        <v>434</v>
      </c>
      <c r="D356" s="52">
        <v>46091.618055555555</v>
      </c>
      <c r="E356" s="52">
        <v>46091.618055555555</v>
      </c>
      <c r="F356" s="52">
        <v>46091.625694444447</v>
      </c>
      <c r="G356" s="53">
        <f t="shared" si="25"/>
        <v>7.6388888919609599E-3</v>
      </c>
      <c r="H356" s="1" t="s">
        <v>257</v>
      </c>
      <c r="J356" s="1" t="s">
        <v>258</v>
      </c>
      <c r="K356" s="1" t="str">
        <f>_xlfn.XLOOKUP(J356,REF!$D$2:$D$12,REF!$E$2:$E$12)</f>
        <v>Rede</v>
      </c>
      <c r="L356" s="1" t="s">
        <v>259</v>
      </c>
      <c r="M356" s="1" t="s">
        <v>260</v>
      </c>
      <c r="N356" s="1" t="s">
        <v>357</v>
      </c>
      <c r="O356" s="1" t="s">
        <v>334</v>
      </c>
      <c r="P356" s="1" t="str">
        <f>_xlfn.CONCAT(B356,C356,D356,E356,F356)</f>
        <v>BC ParanoaSG60KTL(COM1-002)_001_00846091,618055555646091,618055555646091,6256944444</v>
      </c>
      <c r="Q356" s="1" t="str">
        <f>_xlfn.CONCAT(H356,I356,J356)</f>
        <v>DAURDE</v>
      </c>
    </row>
    <row r="357" spans="2:17">
      <c r="B357" s="1" t="s">
        <v>299</v>
      </c>
      <c r="C357" s="1" t="s">
        <v>300</v>
      </c>
      <c r="D357" s="52">
        <v>46091.635416666664</v>
      </c>
      <c r="E357" s="52">
        <v>46091.635416666664</v>
      </c>
      <c r="F357" s="52">
        <v>46092.277777777781</v>
      </c>
      <c r="G357" s="53">
        <f t="shared" si="25"/>
        <v>0.64236111111677019</v>
      </c>
      <c r="H357" s="1" t="s">
        <v>268</v>
      </c>
      <c r="I357" s="1" t="s">
        <v>269</v>
      </c>
      <c r="J357" s="1" t="s">
        <v>270</v>
      </c>
      <c r="K357" s="1" t="str">
        <f>_xlfn.XLOOKUP(J357,REF!$D$2:$D$12,REF!$E$2:$E$12)</f>
        <v>Internet</v>
      </c>
      <c r="L357" s="1" t="s">
        <v>271</v>
      </c>
      <c r="M357" s="1" t="s">
        <v>272</v>
      </c>
      <c r="N357" s="1" t="s">
        <v>273</v>
      </c>
      <c r="O357" s="72" t="s">
        <v>274</v>
      </c>
      <c r="P357" s="1" t="str">
        <f>_xlfn.CONCAT(B357,C357,D357,E357,F357)</f>
        <v>BC Panama1.1ITAPOAN 001 (COM1-001)_001_00146091,635416666746091,635416666746092,2777777778</v>
      </c>
      <c r="Q357" s="1" t="str">
        <f>_xlfn.CONCAT(H357,I357,J357)</f>
        <v>LIGRFOINT</v>
      </c>
    </row>
    <row r="358" spans="2:17">
      <c r="B358" s="1" t="s">
        <v>299</v>
      </c>
      <c r="C358" s="1" t="s">
        <v>303</v>
      </c>
      <c r="D358" s="52">
        <v>46091.635416666664</v>
      </c>
      <c r="E358" s="52">
        <v>46091.635416666664</v>
      </c>
      <c r="F358" s="52">
        <v>46092.277777777781</v>
      </c>
      <c r="G358" s="53">
        <f t="shared" si="25"/>
        <v>0.64236111111677019</v>
      </c>
      <c r="H358" s="1" t="s">
        <v>268</v>
      </c>
      <c r="I358" s="1" t="s">
        <v>269</v>
      </c>
      <c r="J358" s="1" t="s">
        <v>270</v>
      </c>
      <c r="K358" s="1" t="str">
        <f>_xlfn.XLOOKUP(J358,REF!$D$2:$D$12,REF!$E$2:$E$12)</f>
        <v>Internet</v>
      </c>
      <c r="L358" s="1" t="s">
        <v>271</v>
      </c>
      <c r="M358" s="1" t="s">
        <v>272</v>
      </c>
      <c r="N358" s="1" t="s">
        <v>273</v>
      </c>
      <c r="O358" s="72" t="s">
        <v>274</v>
      </c>
      <c r="P358" s="1" t="str">
        <f>_xlfn.CONCAT(B358,C358,D358,E358,F358)</f>
        <v>BC Panama1.1CEREAL_00246091,635416666746091,635416666746092,2777777778</v>
      </c>
      <c r="Q358" s="1" t="str">
        <f>_xlfn.CONCAT(H358,I358,J358)</f>
        <v>LIGRFOINT</v>
      </c>
    </row>
    <row r="359" spans="2:17">
      <c r="B359" s="1" t="s">
        <v>299</v>
      </c>
      <c r="C359" s="1" t="s">
        <v>304</v>
      </c>
      <c r="D359" s="52">
        <v>46091.635416666664</v>
      </c>
      <c r="E359" s="52">
        <v>46091.635416666664</v>
      </c>
      <c r="F359" s="52">
        <v>46092.277777777781</v>
      </c>
      <c r="G359" s="53">
        <f t="shared" si="25"/>
        <v>0.64236111111677019</v>
      </c>
      <c r="H359" s="1" t="s">
        <v>268</v>
      </c>
      <c r="I359" s="1" t="s">
        <v>269</v>
      </c>
      <c r="J359" s="1" t="s">
        <v>270</v>
      </c>
      <c r="K359" s="1" t="str">
        <f>_xlfn.XLOOKUP(J359,REF!$D$2:$D$12,REF!$E$2:$E$12)</f>
        <v>Internet</v>
      </c>
      <c r="L359" s="1" t="s">
        <v>271</v>
      </c>
      <c r="M359" s="1" t="s">
        <v>272</v>
      </c>
      <c r="N359" s="1" t="s">
        <v>273</v>
      </c>
      <c r="O359" s="72" t="s">
        <v>274</v>
      </c>
      <c r="P359" s="1" t="str">
        <f>_xlfn.CONCAT(B359,C359,D359,E359,F359)</f>
        <v>BC Panama1.1ITAPOAN_00346091,635416666746091,635416666746092,2777777778</v>
      </c>
      <c r="Q359" s="1" t="str">
        <f>_xlfn.CONCAT(H359,I359,J359)</f>
        <v>LIGRFOINT</v>
      </c>
    </row>
    <row r="360" spans="2:17">
      <c r="B360" s="1" t="s">
        <v>343</v>
      </c>
      <c r="C360" s="1" t="s">
        <v>344</v>
      </c>
      <c r="D360" s="52">
        <v>46091.635416666664</v>
      </c>
      <c r="E360" s="52">
        <v>46091.635416666664</v>
      </c>
      <c r="F360" s="52">
        <v>46092.277777777781</v>
      </c>
      <c r="G360" s="53">
        <f t="shared" si="25"/>
        <v>0.64236111111677019</v>
      </c>
      <c r="H360" s="1" t="s">
        <v>268</v>
      </c>
      <c r="I360" s="1" t="s">
        <v>269</v>
      </c>
      <c r="J360" s="1" t="s">
        <v>270</v>
      </c>
      <c r="K360" s="1" t="str">
        <f>_xlfn.XLOOKUP(J360,REF!$D$2:$D$12,REF!$E$2:$E$12)</f>
        <v>Internet</v>
      </c>
      <c r="L360" s="1" t="s">
        <v>271</v>
      </c>
      <c r="M360" s="1" t="s">
        <v>272</v>
      </c>
      <c r="N360" s="1" t="s">
        <v>273</v>
      </c>
      <c r="O360" s="72" t="s">
        <v>274</v>
      </c>
      <c r="P360" s="1" t="str">
        <f>_xlfn.CONCAT(B360,C360,D360,E360,F360)</f>
        <v>BC Panama1.2ART_00446091,635416666746091,635416666746092,2777777778</v>
      </c>
      <c r="Q360" s="1" t="str">
        <f>_xlfn.CONCAT(H360,I360,J360)</f>
        <v>LIGRFOINT</v>
      </c>
    </row>
    <row r="361" spans="2:17">
      <c r="B361" s="1" t="s">
        <v>343</v>
      </c>
      <c r="C361" s="1" t="s">
        <v>345</v>
      </c>
      <c r="D361" s="52">
        <v>46091.635416666664</v>
      </c>
      <c r="E361" s="52">
        <v>46091.635416666664</v>
      </c>
      <c r="F361" s="52">
        <v>46092.277777777781</v>
      </c>
      <c r="G361" s="53">
        <f t="shared" si="25"/>
        <v>0.64236111111677019</v>
      </c>
      <c r="H361" s="1" t="s">
        <v>268</v>
      </c>
      <c r="I361" s="1" t="s">
        <v>269</v>
      </c>
      <c r="J361" s="1" t="s">
        <v>270</v>
      </c>
      <c r="K361" s="1" t="str">
        <f>_xlfn.XLOOKUP(J361,REF!$D$2:$D$12,REF!$E$2:$E$12)</f>
        <v>Internet</v>
      </c>
      <c r="L361" s="1" t="s">
        <v>271</v>
      </c>
      <c r="M361" s="1" t="s">
        <v>272</v>
      </c>
      <c r="N361" s="1" t="s">
        <v>273</v>
      </c>
      <c r="O361" s="72" t="s">
        <v>274</v>
      </c>
      <c r="P361" s="1" t="str">
        <f>_xlfn.CONCAT(B361,C361,D361,E361,F361)</f>
        <v>BC Panama1.2COOGED_00546091,635416666746091,635416666746092,2777777778</v>
      </c>
      <c r="Q361" s="1" t="str">
        <f>_xlfn.CONCAT(H361,I361,J361)</f>
        <v>LIGRFOINT</v>
      </c>
    </row>
    <row r="362" spans="2:17">
      <c r="B362" s="1" t="s">
        <v>343</v>
      </c>
      <c r="C362" s="1" t="s">
        <v>346</v>
      </c>
      <c r="D362" s="52">
        <v>46091.635416666664</v>
      </c>
      <c r="E362" s="52">
        <v>46091.635416666664</v>
      </c>
      <c r="F362" s="52">
        <v>46092.277777777781</v>
      </c>
      <c r="G362" s="53">
        <f t="shared" si="25"/>
        <v>0.64236111111677019</v>
      </c>
      <c r="H362" s="1" t="s">
        <v>268</v>
      </c>
      <c r="I362" s="1" t="s">
        <v>269</v>
      </c>
      <c r="J362" s="1" t="s">
        <v>270</v>
      </c>
      <c r="K362" s="1" t="str">
        <f>_xlfn.XLOOKUP(J362,REF!$D$2:$D$12,REF!$E$2:$E$12)</f>
        <v>Internet</v>
      </c>
      <c r="L362" s="1" t="s">
        <v>271</v>
      </c>
      <c r="M362" s="1" t="s">
        <v>272</v>
      </c>
      <c r="N362" s="1" t="s">
        <v>273</v>
      </c>
      <c r="O362" s="72" t="s">
        <v>274</v>
      </c>
      <c r="P362" s="1" t="str">
        <f>_xlfn.CONCAT(B362,C362,D362,E362,F362)</f>
        <v>BC Panama1.2ART_00646091,635416666746091,635416666746092,2777777778</v>
      </c>
      <c r="Q362" s="1" t="str">
        <f>_xlfn.CONCAT(H362,I362,J362)</f>
        <v>LIGRFOINT</v>
      </c>
    </row>
    <row r="363" spans="2:17">
      <c r="B363" s="1" t="s">
        <v>343</v>
      </c>
      <c r="C363" s="1" t="s">
        <v>347</v>
      </c>
      <c r="D363" s="52">
        <v>46091.635416666664</v>
      </c>
      <c r="E363" s="52">
        <v>46091.635416666664</v>
      </c>
      <c r="F363" s="52">
        <v>46092.277777777781</v>
      </c>
      <c r="G363" s="53">
        <f t="shared" si="25"/>
        <v>0.64236111111677019</v>
      </c>
      <c r="H363" s="1" t="s">
        <v>268</v>
      </c>
      <c r="I363" s="1" t="s">
        <v>269</v>
      </c>
      <c r="J363" s="1" t="s">
        <v>270</v>
      </c>
      <c r="K363" s="1" t="str">
        <f>_xlfn.XLOOKUP(J363,REF!$D$2:$D$12,REF!$E$2:$E$12)</f>
        <v>Internet</v>
      </c>
      <c r="L363" s="1" t="s">
        <v>271</v>
      </c>
      <c r="M363" s="1" t="s">
        <v>272</v>
      </c>
      <c r="N363" s="1" t="s">
        <v>273</v>
      </c>
      <c r="O363" s="72" t="s">
        <v>274</v>
      </c>
      <c r="P363" s="1" t="str">
        <f>_xlfn.CONCAT(B363,C363,D363,E363,F363)</f>
        <v>BC Panama1.2RADIO_00746091,635416666746091,635416666746092,2777777778</v>
      </c>
      <c r="Q363" s="1" t="str">
        <f>_xlfn.CONCAT(H363,I363,J363)</f>
        <v>LIGRFOINT</v>
      </c>
    </row>
    <row r="364" spans="2:17">
      <c r="B364" s="1" t="s">
        <v>327</v>
      </c>
      <c r="C364" s="1" t="s">
        <v>247</v>
      </c>
      <c r="D364" s="52">
        <v>46091.688888888886</v>
      </c>
      <c r="E364" s="52">
        <v>46091.688888888886</v>
      </c>
      <c r="F364" s="52">
        <v>46092.399305555555</v>
      </c>
      <c r="G364" s="53">
        <f t="shared" si="25"/>
        <v>0.71041666666860692</v>
      </c>
      <c r="H364" s="1" t="s">
        <v>257</v>
      </c>
      <c r="J364" s="1" t="s">
        <v>258</v>
      </c>
      <c r="K364" s="1" t="str">
        <f>_xlfn.XLOOKUP(J364,REF!$D$2:$D$12,REF!$E$2:$E$12)</f>
        <v>Rede</v>
      </c>
      <c r="L364" s="1" t="s">
        <v>374</v>
      </c>
      <c r="M364" s="1" t="s">
        <v>260</v>
      </c>
      <c r="N364" s="1" t="s">
        <v>357</v>
      </c>
      <c r="O364" s="72" t="s">
        <v>297</v>
      </c>
      <c r="P364" s="1" t="str">
        <f>_xlfn.CONCAT(B364,C364,D364,E364,F364)</f>
        <v>BC Aracu5.1Inverter(MBUS-1)46091,688888888946091,688888888946092,3993055556</v>
      </c>
      <c r="Q364" s="1" t="str">
        <f>_xlfn.CONCAT(H364,I364,J364)</f>
        <v>DAURDE</v>
      </c>
    </row>
    <row r="365" spans="2:17">
      <c r="B365" s="1" t="s">
        <v>328</v>
      </c>
      <c r="C365" s="1" t="s">
        <v>247</v>
      </c>
      <c r="D365" s="52">
        <v>46091.688888888886</v>
      </c>
      <c r="E365" s="52">
        <v>46091.688888888886</v>
      </c>
      <c r="F365" s="52">
        <v>46092.399305555555</v>
      </c>
      <c r="G365" s="53">
        <f t="shared" si="25"/>
        <v>0.71041666666860692</v>
      </c>
      <c r="H365" s="1" t="s">
        <v>257</v>
      </c>
      <c r="J365" s="1" t="s">
        <v>258</v>
      </c>
      <c r="K365" s="1" t="str">
        <f>_xlfn.XLOOKUP(J365,REF!$D$2:$D$12,REF!$E$2:$E$12)</f>
        <v>Rede</v>
      </c>
      <c r="L365" s="1" t="s">
        <v>374</v>
      </c>
      <c r="M365" s="1" t="s">
        <v>260</v>
      </c>
      <c r="N365" s="1" t="s">
        <v>357</v>
      </c>
      <c r="O365" s="72" t="s">
        <v>297</v>
      </c>
      <c r="P365" s="1" t="str">
        <f>_xlfn.CONCAT(B365,C365,D365,E365,F365)</f>
        <v>BC Aracu5.3Inverter(MBUS-1)46091,688888888946091,688888888946092,3993055556</v>
      </c>
      <c r="Q365" s="1" t="str">
        <f>_xlfn.CONCAT(H365,I365,J365)</f>
        <v>DAURDE</v>
      </c>
    </row>
    <row r="366" spans="2:17">
      <c r="B366" s="1" t="s">
        <v>329</v>
      </c>
      <c r="C366" s="1" t="s">
        <v>247</v>
      </c>
      <c r="D366" s="52">
        <v>46091.688888888886</v>
      </c>
      <c r="E366" s="52">
        <v>46091.688888888886</v>
      </c>
      <c r="F366" s="52">
        <v>46092.399305555555</v>
      </c>
      <c r="G366" s="53">
        <f t="shared" si="25"/>
        <v>0.71041666666860692</v>
      </c>
      <c r="H366" s="1" t="s">
        <v>257</v>
      </c>
      <c r="J366" s="1" t="s">
        <v>258</v>
      </c>
      <c r="K366" s="1" t="str">
        <f>_xlfn.XLOOKUP(J366,REF!$D$2:$D$12,REF!$E$2:$E$12)</f>
        <v>Rede</v>
      </c>
      <c r="L366" s="1" t="s">
        <v>374</v>
      </c>
      <c r="M366" s="1" t="s">
        <v>260</v>
      </c>
      <c r="N366" s="1" t="s">
        <v>357</v>
      </c>
      <c r="O366" s="72" t="s">
        <v>297</v>
      </c>
      <c r="P366" s="1" t="str">
        <f>_xlfn.CONCAT(B366,C366,D366,E366,F366)</f>
        <v>BC Aracu5.4Inverter(MBUS-1)46091,688888888946091,688888888946092,3993055556</v>
      </c>
      <c r="Q366" s="1" t="str">
        <f>_xlfn.CONCAT(H366,I366,J366)</f>
        <v>DAURDE</v>
      </c>
    </row>
    <row r="367" spans="2:17">
      <c r="B367" s="1" t="s">
        <v>330</v>
      </c>
      <c r="C367" s="1" t="s">
        <v>247</v>
      </c>
      <c r="D367" s="52">
        <v>46091.688888888886</v>
      </c>
      <c r="E367" s="52">
        <v>46091.688888888886</v>
      </c>
      <c r="F367" s="52">
        <v>46092.399305555555</v>
      </c>
      <c r="G367" s="53">
        <f t="shared" si="25"/>
        <v>0.71041666666860692</v>
      </c>
      <c r="H367" s="1" t="s">
        <v>257</v>
      </c>
      <c r="J367" s="1" t="s">
        <v>258</v>
      </c>
      <c r="K367" s="1" t="str">
        <f>_xlfn.XLOOKUP(J367,REF!$D$2:$D$12,REF!$E$2:$E$12)</f>
        <v>Rede</v>
      </c>
      <c r="L367" s="1" t="s">
        <v>374</v>
      </c>
      <c r="M367" s="1" t="s">
        <v>260</v>
      </c>
      <c r="N367" s="1" t="s">
        <v>357</v>
      </c>
      <c r="O367" s="72" t="s">
        <v>297</v>
      </c>
      <c r="P367" s="1" t="str">
        <f>_xlfn.CONCAT(B367,C367,D367,E367,F367)</f>
        <v>BC Aracu5.5Inverter(MBUS-1)46091,688888888946091,688888888946092,3993055556</v>
      </c>
      <c r="Q367" s="1" t="str">
        <f>_xlfn.CONCAT(H367,I367,J367)</f>
        <v>DAURDE</v>
      </c>
    </row>
    <row r="368" spans="2:17">
      <c r="B368" s="1" t="s">
        <v>265</v>
      </c>
      <c r="C368" s="1" t="s">
        <v>263</v>
      </c>
      <c r="D368" s="52">
        <v>46091.774305555555</v>
      </c>
      <c r="E368" s="52">
        <v>46091.774305555555</v>
      </c>
      <c r="F368" s="52">
        <v>46091.829861111109</v>
      </c>
      <c r="G368" s="53">
        <f t="shared" si="25"/>
        <v>5.5555555554747116E-2</v>
      </c>
      <c r="H368" s="1" t="s">
        <v>257</v>
      </c>
      <c r="J368" s="1" t="s">
        <v>258</v>
      </c>
      <c r="K368" s="1" t="str">
        <f>_xlfn.XLOOKUP(J368,REF!$D$2:$D$12,REF!$E$2:$E$12)</f>
        <v>Rede</v>
      </c>
      <c r="L368" s="1" t="s">
        <v>435</v>
      </c>
      <c r="M368" s="1" t="s">
        <v>260</v>
      </c>
      <c r="N368" s="1" t="s">
        <v>357</v>
      </c>
      <c r="O368" s="72" t="s">
        <v>297</v>
      </c>
      <c r="P368" s="1" t="str">
        <f>_xlfn.CONCAT(B368,C368,D368,E368,F368)</f>
        <v>BC Formoso2.2Inverter(MBUS-14)46091,774305555646091,774305555646091,8298611111</v>
      </c>
      <c r="Q368" s="1" t="str">
        <f>_xlfn.CONCAT(H368,I368,J368)</f>
        <v>DAURDE</v>
      </c>
    </row>
    <row r="369" spans="2:17">
      <c r="B369" s="1" t="s">
        <v>265</v>
      </c>
      <c r="C369" s="1" t="s">
        <v>264</v>
      </c>
      <c r="D369" s="52">
        <v>46091.774305555555</v>
      </c>
      <c r="E369" s="52">
        <v>46091.774305555555</v>
      </c>
      <c r="F369" s="52">
        <v>46091.829861111109</v>
      </c>
      <c r="G369" s="53">
        <f t="shared" si="25"/>
        <v>5.5555555554747116E-2</v>
      </c>
      <c r="H369" s="1" t="s">
        <v>257</v>
      </c>
      <c r="J369" s="1" t="s">
        <v>258</v>
      </c>
      <c r="K369" s="1" t="str">
        <f>_xlfn.XLOOKUP(J369,REF!$D$2:$D$12,REF!$E$2:$E$12)</f>
        <v>Rede</v>
      </c>
      <c r="L369" s="1" t="s">
        <v>435</v>
      </c>
      <c r="M369" s="1" t="s">
        <v>260</v>
      </c>
      <c r="N369" s="1" t="s">
        <v>357</v>
      </c>
      <c r="O369" s="72" t="s">
        <v>297</v>
      </c>
      <c r="P369" s="1" t="str">
        <f>_xlfn.CONCAT(B369,C369,D369,E369,F369)</f>
        <v>BC Formoso2.2Inverter(MBUS-13)46091,774305555646091,774305555646091,8298611111</v>
      </c>
      <c r="Q369" s="1" t="str">
        <f>_xlfn.CONCAT(H369,I369,J369)</f>
        <v>DAURDE</v>
      </c>
    </row>
    <row r="370" spans="2:17">
      <c r="B370" s="1" t="s">
        <v>265</v>
      </c>
      <c r="C370" s="1" t="s">
        <v>256</v>
      </c>
      <c r="D370" s="52">
        <v>46091.774305555555</v>
      </c>
      <c r="E370" s="52">
        <v>46091.774305555555</v>
      </c>
      <c r="F370" s="52">
        <v>46091.829861111109</v>
      </c>
      <c r="G370" s="53">
        <f t="shared" si="25"/>
        <v>5.5555555554747116E-2</v>
      </c>
      <c r="H370" s="1" t="s">
        <v>257</v>
      </c>
      <c r="J370" s="1" t="s">
        <v>258</v>
      </c>
      <c r="K370" s="1" t="str">
        <f>_xlfn.XLOOKUP(J370,REF!$D$2:$D$12,REF!$E$2:$E$12)</f>
        <v>Rede</v>
      </c>
      <c r="L370" s="1" t="s">
        <v>435</v>
      </c>
      <c r="M370" s="1" t="s">
        <v>260</v>
      </c>
      <c r="N370" s="1" t="s">
        <v>357</v>
      </c>
      <c r="O370" s="72" t="s">
        <v>297</v>
      </c>
      <c r="P370" s="1" t="str">
        <f t="shared" ref="P370:P393" si="26">_xlfn.CONCAT(B370,C370,D370,E370,F370)</f>
        <v>BC Formoso2.2Inverter(MBUS-12)46091,774305555646091,774305555646091,8298611111</v>
      </c>
      <c r="Q370" s="1" t="str">
        <f>_xlfn.CONCAT(H370,I370,J370)</f>
        <v>DAURDE</v>
      </c>
    </row>
    <row r="371" spans="2:17">
      <c r="B371" s="1" t="s">
        <v>265</v>
      </c>
      <c r="C371" s="1" t="s">
        <v>247</v>
      </c>
      <c r="D371" s="52">
        <v>46091.774305555555</v>
      </c>
      <c r="E371" s="52">
        <v>46091.774305555555</v>
      </c>
      <c r="F371" s="52">
        <v>46091.829861111109</v>
      </c>
      <c r="G371" s="53">
        <f t="shared" si="25"/>
        <v>5.5555555554747116E-2</v>
      </c>
      <c r="H371" s="1" t="s">
        <v>257</v>
      </c>
      <c r="J371" s="1" t="s">
        <v>258</v>
      </c>
      <c r="K371" s="1" t="str">
        <f>_xlfn.XLOOKUP(J371,REF!$D$2:$D$12,REF!$E$2:$E$12)</f>
        <v>Rede</v>
      </c>
      <c r="L371" s="1" t="s">
        <v>435</v>
      </c>
      <c r="M371" s="1" t="s">
        <v>260</v>
      </c>
      <c r="N371" s="1" t="s">
        <v>357</v>
      </c>
      <c r="O371" s="72" t="s">
        <v>297</v>
      </c>
      <c r="P371" s="1" t="str">
        <f t="shared" si="26"/>
        <v>BC Formoso2.2Inverter(MBUS-1)46091,774305555646091,774305555646091,8298611111</v>
      </c>
      <c r="Q371" s="1" t="str">
        <f>_xlfn.CONCAT(H371,I371,J371)</f>
        <v>DAURDE</v>
      </c>
    </row>
    <row r="372" spans="2:17">
      <c r="B372" s="1" t="s">
        <v>265</v>
      </c>
      <c r="C372" s="1" t="s">
        <v>263</v>
      </c>
      <c r="D372" s="52">
        <v>46092.194444444445</v>
      </c>
      <c r="E372" s="52">
        <v>46092.194444444445</v>
      </c>
      <c r="F372" s="52">
        <v>46092.40625</v>
      </c>
      <c r="G372" s="53">
        <f t="shared" si="25"/>
        <v>0.21180555555474712</v>
      </c>
      <c r="H372" s="1" t="s">
        <v>257</v>
      </c>
      <c r="J372" s="1" t="s">
        <v>258</v>
      </c>
      <c r="K372" s="1" t="str">
        <f>_xlfn.XLOOKUP(J372,REF!$D$2:$D$12,REF!$E$2:$E$12)</f>
        <v>Rede</v>
      </c>
      <c r="L372" s="1" t="s">
        <v>435</v>
      </c>
      <c r="M372" s="1" t="s">
        <v>260</v>
      </c>
      <c r="N372" s="1" t="s">
        <v>357</v>
      </c>
      <c r="O372" s="72" t="s">
        <v>297</v>
      </c>
      <c r="P372" s="1" t="str">
        <f t="shared" si="26"/>
        <v>BC Formoso2.2Inverter(MBUS-14)46092,194444444446092,194444444446092,40625</v>
      </c>
      <c r="Q372" s="1" t="str">
        <f>_xlfn.CONCAT(H372,I372,J372)</f>
        <v>DAURDE</v>
      </c>
    </row>
    <row r="373" spans="2:17">
      <c r="B373" s="1" t="s">
        <v>265</v>
      </c>
      <c r="C373" s="1" t="s">
        <v>263</v>
      </c>
      <c r="D373" s="52">
        <v>46092.194444444445</v>
      </c>
      <c r="E373" s="52">
        <v>46092.194444444445</v>
      </c>
      <c r="F373" s="52">
        <v>46092.40625</v>
      </c>
      <c r="G373" s="53">
        <f t="shared" si="25"/>
        <v>0.21180555555474712</v>
      </c>
      <c r="H373" s="1" t="s">
        <v>257</v>
      </c>
      <c r="J373" s="1" t="s">
        <v>258</v>
      </c>
      <c r="K373" s="1" t="str">
        <f>_xlfn.XLOOKUP(J373,REF!$D$2:$D$12,REF!$E$2:$E$12)</f>
        <v>Rede</v>
      </c>
      <c r="L373" s="1" t="s">
        <v>435</v>
      </c>
      <c r="M373" s="1" t="s">
        <v>260</v>
      </c>
      <c r="N373" s="1" t="s">
        <v>357</v>
      </c>
      <c r="O373" s="72" t="s">
        <v>297</v>
      </c>
      <c r="P373" s="1" t="str">
        <f t="shared" si="26"/>
        <v>BC Formoso2.2Inverter(MBUS-14)46092,194444444446092,194444444446092,40625</v>
      </c>
      <c r="Q373" s="1" t="str">
        <f>_xlfn.CONCAT(H373,I373,J373)</f>
        <v>DAURDE</v>
      </c>
    </row>
    <row r="374" spans="2:17">
      <c r="B374" s="1" t="s">
        <v>265</v>
      </c>
      <c r="C374" s="1" t="s">
        <v>263</v>
      </c>
      <c r="D374" s="52">
        <v>46092.194444444445</v>
      </c>
      <c r="E374" s="52">
        <v>46092.194444444445</v>
      </c>
      <c r="F374" s="52">
        <v>46092.40625</v>
      </c>
      <c r="G374" s="53">
        <f t="shared" si="25"/>
        <v>0.21180555555474712</v>
      </c>
      <c r="H374" s="1" t="s">
        <v>257</v>
      </c>
      <c r="J374" s="1" t="s">
        <v>258</v>
      </c>
      <c r="K374" s="1" t="str">
        <f>_xlfn.XLOOKUP(J374,REF!$D$2:$D$12,REF!$E$2:$E$12)</f>
        <v>Rede</v>
      </c>
      <c r="L374" s="1" t="s">
        <v>435</v>
      </c>
      <c r="M374" s="1" t="s">
        <v>260</v>
      </c>
      <c r="N374" s="1" t="s">
        <v>357</v>
      </c>
      <c r="O374" s="72" t="s">
        <v>297</v>
      </c>
      <c r="P374" s="1" t="str">
        <f t="shared" si="26"/>
        <v>BC Formoso2.2Inverter(MBUS-14)46092,194444444446092,194444444446092,40625</v>
      </c>
      <c r="Q374" s="1" t="str">
        <f>_xlfn.CONCAT(H374,I374,J374)</f>
        <v>DAURDE</v>
      </c>
    </row>
    <row r="375" spans="2:17">
      <c r="B375" s="1" t="s">
        <v>265</v>
      </c>
      <c r="C375" s="1" t="s">
        <v>263</v>
      </c>
      <c r="D375" s="52">
        <v>46092.194444444445</v>
      </c>
      <c r="E375" s="52">
        <v>46092.194444444445</v>
      </c>
      <c r="F375" s="52">
        <v>46092.40625</v>
      </c>
      <c r="G375" s="53">
        <f t="shared" si="25"/>
        <v>0.21180555555474712</v>
      </c>
      <c r="H375" s="1" t="s">
        <v>257</v>
      </c>
      <c r="J375" s="1" t="s">
        <v>258</v>
      </c>
      <c r="K375" s="1" t="str">
        <f>_xlfn.XLOOKUP(J375,REF!$D$2:$D$12,REF!$E$2:$E$12)</f>
        <v>Rede</v>
      </c>
      <c r="L375" s="1" t="s">
        <v>435</v>
      </c>
      <c r="M375" s="1" t="s">
        <v>260</v>
      </c>
      <c r="N375" s="1" t="s">
        <v>357</v>
      </c>
      <c r="O375" s="72" t="s">
        <v>297</v>
      </c>
      <c r="P375" s="1" t="str">
        <f t="shared" si="26"/>
        <v>BC Formoso2.2Inverter(MBUS-14)46092,194444444446092,194444444446092,40625</v>
      </c>
      <c r="Q375" s="1" t="str">
        <f>_xlfn.CONCAT(H375,I375,J375)</f>
        <v>DAURDE</v>
      </c>
    </row>
    <row r="376" spans="2:17">
      <c r="B376" s="1" t="s">
        <v>375</v>
      </c>
      <c r="C376" s="1" t="s">
        <v>377</v>
      </c>
      <c r="D376" s="52">
        <v>46092.270833333336</v>
      </c>
      <c r="E376" s="52">
        <v>46092.270833333336</v>
      </c>
      <c r="F376" s="52">
        <v>46092.449305555558</v>
      </c>
      <c r="G376" s="53">
        <f t="shared" si="25"/>
        <v>0.17847222222189885</v>
      </c>
      <c r="H376" s="1" t="s">
        <v>257</v>
      </c>
      <c r="J376" s="1" t="s">
        <v>371</v>
      </c>
      <c r="K376" s="1" t="str">
        <f>_xlfn.XLOOKUP(J376,REF!$D$2:$D$12,REF!$E$2:$E$12)</f>
        <v>Inversor</v>
      </c>
      <c r="L376" s="1" t="s">
        <v>436</v>
      </c>
      <c r="M376" s="1" t="s">
        <v>252</v>
      </c>
      <c r="N376" s="1" t="s">
        <v>253</v>
      </c>
      <c r="O376" s="1" t="s">
        <v>437</v>
      </c>
      <c r="P376" s="1" t="str">
        <f t="shared" si="26"/>
        <v>BC Camarao1.1215KTL-H3(MBUS-12)46092,270833333346092,270833333346092,4493055556</v>
      </c>
      <c r="Q376" s="1" t="str">
        <f>_xlfn.CONCAT(H376,I376,J376)</f>
        <v>DAUINV</v>
      </c>
    </row>
    <row r="377" spans="2:17">
      <c r="B377" s="1" t="s">
        <v>286</v>
      </c>
      <c r="C377" s="1" t="s">
        <v>438</v>
      </c>
      <c r="D377" s="52">
        <v>46092.375</v>
      </c>
      <c r="E377" s="52">
        <v>46092.375</v>
      </c>
      <c r="F377" s="52">
        <v>46092.381944444445</v>
      </c>
      <c r="G377" s="53">
        <f t="shared" si="25"/>
        <v>6.9444444452528842E-3</v>
      </c>
      <c r="H377" s="1" t="s">
        <v>268</v>
      </c>
      <c r="I377" s="1" t="s">
        <v>269</v>
      </c>
      <c r="J377" s="1" t="s">
        <v>319</v>
      </c>
      <c r="K377" s="1" t="str">
        <f>_xlfn.XLOOKUP(J377,REF!$D$2:$D$12,REF!$E$2:$E$12)</f>
        <v>Comunicação</v>
      </c>
      <c r="L377" s="1" t="s">
        <v>320</v>
      </c>
      <c r="M377" s="1" t="s">
        <v>289</v>
      </c>
      <c r="N377" s="1" t="s">
        <v>290</v>
      </c>
      <c r="O377" s="1" t="s">
        <v>291</v>
      </c>
      <c r="P377" s="1" t="str">
        <f t="shared" si="26"/>
        <v>BC Corumba2.2SUN2000-215KTL-H346092,37546092,37546092,3819444444</v>
      </c>
      <c r="Q377" s="1" t="str">
        <f>_xlfn.CONCAT(H377,I377,J377)</f>
        <v>LIGRFOCOM</v>
      </c>
    </row>
    <row r="378" spans="2:17">
      <c r="B378" s="1" t="s">
        <v>286</v>
      </c>
      <c r="C378" s="1" t="s">
        <v>438</v>
      </c>
      <c r="D378" s="52">
        <v>46092.375</v>
      </c>
      <c r="E378" s="52">
        <v>46092.375</v>
      </c>
      <c r="F378" s="52">
        <v>46092.381944444445</v>
      </c>
      <c r="G378" s="53">
        <f t="shared" si="25"/>
        <v>6.9444444452528842E-3</v>
      </c>
      <c r="H378" s="1" t="s">
        <v>268</v>
      </c>
      <c r="I378" s="1" t="s">
        <v>269</v>
      </c>
      <c r="J378" s="1" t="s">
        <v>319</v>
      </c>
      <c r="K378" s="1" t="str">
        <f>_xlfn.XLOOKUP(J378,REF!$D$2:$D$12,REF!$E$2:$E$12)</f>
        <v>Comunicação</v>
      </c>
      <c r="L378" s="1" t="s">
        <v>320</v>
      </c>
      <c r="M378" s="1" t="s">
        <v>289</v>
      </c>
      <c r="N378" s="1" t="s">
        <v>290</v>
      </c>
      <c r="O378" s="1" t="s">
        <v>291</v>
      </c>
      <c r="P378" s="1" t="str">
        <f t="shared" si="26"/>
        <v>BC Corumba2.2SUN2000-215KTL-H346092,37546092,37546092,3819444444</v>
      </c>
      <c r="Q378" s="1" t="str">
        <f>_xlfn.CONCAT(H378,I378,J378)</f>
        <v>LIGRFOCOM</v>
      </c>
    </row>
    <row r="379" spans="2:17">
      <c r="B379" s="1" t="s">
        <v>286</v>
      </c>
      <c r="C379" s="1" t="s">
        <v>438</v>
      </c>
      <c r="D379" s="52">
        <v>46092.375</v>
      </c>
      <c r="E379" s="52">
        <v>46092.375</v>
      </c>
      <c r="F379" s="52">
        <v>46092.381944444445</v>
      </c>
      <c r="G379" s="53">
        <f t="shared" si="25"/>
        <v>6.9444444452528842E-3</v>
      </c>
      <c r="H379" s="1" t="s">
        <v>268</v>
      </c>
      <c r="I379" s="1" t="s">
        <v>269</v>
      </c>
      <c r="J379" s="1" t="s">
        <v>319</v>
      </c>
      <c r="K379" s="1" t="str">
        <f>_xlfn.XLOOKUP(J379,REF!$D$2:$D$12,REF!$E$2:$E$12)</f>
        <v>Comunicação</v>
      </c>
      <c r="L379" s="1" t="s">
        <v>320</v>
      </c>
      <c r="M379" s="1" t="s">
        <v>289</v>
      </c>
      <c r="N379" s="1" t="s">
        <v>290</v>
      </c>
      <c r="O379" s="1" t="s">
        <v>291</v>
      </c>
      <c r="P379" s="1" t="str">
        <f t="shared" si="26"/>
        <v>BC Corumba2.2SUN2000-215KTL-H346092,37546092,37546092,3819444444</v>
      </c>
      <c r="Q379" s="1" t="str">
        <f>_xlfn.CONCAT(H379,I379,J379)</f>
        <v>LIGRFOCOM</v>
      </c>
    </row>
    <row r="380" spans="2:17">
      <c r="B380" s="1" t="s">
        <v>286</v>
      </c>
      <c r="C380" s="1" t="s">
        <v>438</v>
      </c>
      <c r="D380" s="52">
        <v>46092.375</v>
      </c>
      <c r="E380" s="52">
        <v>46092.375</v>
      </c>
      <c r="F380" s="52">
        <v>46092.381944444445</v>
      </c>
      <c r="G380" s="53">
        <f t="shared" si="25"/>
        <v>6.9444444452528842E-3</v>
      </c>
      <c r="H380" s="1" t="s">
        <v>268</v>
      </c>
      <c r="I380" s="1" t="s">
        <v>269</v>
      </c>
      <c r="J380" s="1" t="s">
        <v>319</v>
      </c>
      <c r="K380" s="1" t="str">
        <f>_xlfn.XLOOKUP(J380,REF!$D$2:$D$12,REF!$E$2:$E$12)</f>
        <v>Comunicação</v>
      </c>
      <c r="L380" s="1" t="s">
        <v>320</v>
      </c>
      <c r="M380" s="1" t="s">
        <v>289</v>
      </c>
      <c r="N380" s="1" t="s">
        <v>290</v>
      </c>
      <c r="O380" s="1" t="s">
        <v>291</v>
      </c>
      <c r="P380" s="1" t="str">
        <f t="shared" si="26"/>
        <v>BC Corumba2.2SUN2000-215KTL-H346092,37546092,37546092,3819444444</v>
      </c>
      <c r="Q380" s="1" t="str">
        <f>_xlfn.CONCAT(H380,I380,J380)</f>
        <v>LIGRFOCOM</v>
      </c>
    </row>
    <row r="381" spans="2:17">
      <c r="B381" s="1" t="s">
        <v>286</v>
      </c>
      <c r="C381" s="1" t="s">
        <v>438</v>
      </c>
      <c r="D381" s="52">
        <v>46092.375</v>
      </c>
      <c r="E381" s="52">
        <v>46092.375</v>
      </c>
      <c r="F381" s="52">
        <v>46092.381944444445</v>
      </c>
      <c r="G381" s="53">
        <f t="shared" si="25"/>
        <v>6.9444444452528842E-3</v>
      </c>
      <c r="H381" s="1" t="s">
        <v>268</v>
      </c>
      <c r="I381" s="1" t="s">
        <v>269</v>
      </c>
      <c r="J381" s="1" t="s">
        <v>319</v>
      </c>
      <c r="K381" s="1" t="str">
        <f>_xlfn.XLOOKUP(J381,REF!$D$2:$D$12,REF!$E$2:$E$12)</f>
        <v>Comunicação</v>
      </c>
      <c r="L381" s="1" t="s">
        <v>320</v>
      </c>
      <c r="M381" s="1" t="s">
        <v>289</v>
      </c>
      <c r="N381" s="1" t="s">
        <v>290</v>
      </c>
      <c r="O381" s="1" t="s">
        <v>291</v>
      </c>
      <c r="P381" s="1" t="str">
        <f t="shared" si="26"/>
        <v>BC Corumba2.2SUN2000-215KTL-H346092,37546092,37546092,3819444444</v>
      </c>
      <c r="Q381" s="1" t="str">
        <f>_xlfn.CONCAT(H381,I381,J381)</f>
        <v>LIGRFOCOM</v>
      </c>
    </row>
    <row r="382" spans="2:17">
      <c r="B382" s="1" t="s">
        <v>265</v>
      </c>
      <c r="C382" s="1" t="s">
        <v>263</v>
      </c>
      <c r="D382" s="52">
        <v>46092.423611111109</v>
      </c>
      <c r="E382" s="52">
        <v>46092.423611111109</v>
      </c>
      <c r="F382" s="52">
        <v>46092.461805555555</v>
      </c>
      <c r="G382" s="53">
        <f t="shared" si="25"/>
        <v>3.8194444445252884E-2</v>
      </c>
      <c r="H382" s="1" t="s">
        <v>257</v>
      </c>
      <c r="J382" s="1" t="s">
        <v>258</v>
      </c>
      <c r="K382" s="1" t="str">
        <f>_xlfn.XLOOKUP(J382,REF!$D$2:$D$12,REF!$E$2:$E$12)</f>
        <v>Rede</v>
      </c>
      <c r="L382" s="1" t="s">
        <v>439</v>
      </c>
      <c r="M382" s="1" t="s">
        <v>260</v>
      </c>
      <c r="N382" s="1" t="s">
        <v>357</v>
      </c>
      <c r="O382" s="72" t="s">
        <v>297</v>
      </c>
      <c r="P382" s="1" t="str">
        <f t="shared" si="26"/>
        <v>BC Formoso2.2Inverter(MBUS-14)46092,423611111146092,423611111146092,4618055556</v>
      </c>
      <c r="Q382" s="1" t="str">
        <f>_xlfn.CONCAT(H382,I382,J382)</f>
        <v>DAURDE</v>
      </c>
    </row>
    <row r="383" spans="2:17">
      <c r="B383" s="1" t="s">
        <v>265</v>
      </c>
      <c r="C383" s="1" t="s">
        <v>264</v>
      </c>
      <c r="D383" s="52">
        <v>46092.423611111109</v>
      </c>
      <c r="E383" s="52">
        <v>46092.423611111109</v>
      </c>
      <c r="F383" s="52">
        <v>46092.461805555555</v>
      </c>
      <c r="G383" s="53">
        <f t="shared" si="25"/>
        <v>3.8194444445252884E-2</v>
      </c>
      <c r="H383" s="1" t="s">
        <v>257</v>
      </c>
      <c r="J383" s="1" t="s">
        <v>258</v>
      </c>
      <c r="K383" s="1" t="str">
        <f>_xlfn.XLOOKUP(J383,REF!$D$2:$D$12,REF!$E$2:$E$12)</f>
        <v>Rede</v>
      </c>
      <c r="L383" s="1" t="s">
        <v>439</v>
      </c>
      <c r="M383" s="1" t="s">
        <v>260</v>
      </c>
      <c r="N383" s="1" t="s">
        <v>357</v>
      </c>
      <c r="O383" s="72" t="s">
        <v>297</v>
      </c>
      <c r="P383" s="1" t="str">
        <f t="shared" si="26"/>
        <v>BC Formoso2.2Inverter(MBUS-13)46092,423611111146092,423611111146092,4618055556</v>
      </c>
      <c r="Q383" s="1" t="str">
        <f>_xlfn.CONCAT(H383,I383,J383)</f>
        <v>DAURDE</v>
      </c>
    </row>
    <row r="384" spans="2:17">
      <c r="B384" s="1" t="s">
        <v>265</v>
      </c>
      <c r="C384" s="1" t="s">
        <v>256</v>
      </c>
      <c r="D384" s="52">
        <v>46092.423611111109</v>
      </c>
      <c r="E384" s="52">
        <v>46092.423611111109</v>
      </c>
      <c r="F384" s="52">
        <v>46092.461805555555</v>
      </c>
      <c r="G384" s="53">
        <f t="shared" si="25"/>
        <v>3.8194444445252884E-2</v>
      </c>
      <c r="H384" s="1" t="s">
        <v>257</v>
      </c>
      <c r="J384" s="1" t="s">
        <v>258</v>
      </c>
      <c r="K384" s="1" t="str">
        <f>_xlfn.XLOOKUP(J384,REF!$D$2:$D$12,REF!$E$2:$E$12)</f>
        <v>Rede</v>
      </c>
      <c r="L384" s="1" t="s">
        <v>439</v>
      </c>
      <c r="M384" s="1" t="s">
        <v>260</v>
      </c>
      <c r="N384" s="1" t="s">
        <v>357</v>
      </c>
      <c r="O384" s="72" t="s">
        <v>297</v>
      </c>
      <c r="P384" s="1" t="str">
        <f t="shared" si="26"/>
        <v>BC Formoso2.2Inverter(MBUS-12)46092,423611111146092,423611111146092,4618055556</v>
      </c>
      <c r="Q384" s="1" t="str">
        <f>_xlfn.CONCAT(H384,I384,J384)</f>
        <v>DAURDE</v>
      </c>
    </row>
    <row r="385" spans="2:17">
      <c r="B385" s="1" t="s">
        <v>265</v>
      </c>
      <c r="C385" s="1" t="s">
        <v>247</v>
      </c>
      <c r="D385" s="52">
        <v>46092.423611111109</v>
      </c>
      <c r="E385" s="52">
        <v>46092.423611111109</v>
      </c>
      <c r="F385" s="52">
        <v>46092.461805555555</v>
      </c>
      <c r="G385" s="53">
        <f t="shared" si="25"/>
        <v>3.8194444445252884E-2</v>
      </c>
      <c r="H385" s="1" t="s">
        <v>257</v>
      </c>
      <c r="J385" s="1" t="s">
        <v>258</v>
      </c>
      <c r="K385" s="1" t="str">
        <f>_xlfn.XLOOKUP(J385,REF!$D$2:$D$12,REF!$E$2:$E$12)</f>
        <v>Rede</v>
      </c>
      <c r="L385" s="1" t="s">
        <v>439</v>
      </c>
      <c r="M385" s="1" t="s">
        <v>260</v>
      </c>
      <c r="N385" s="1" t="s">
        <v>261</v>
      </c>
      <c r="O385" s="72" t="s">
        <v>297</v>
      </c>
      <c r="P385" s="1" t="str">
        <f t="shared" si="26"/>
        <v>BC Formoso2.2Inverter(MBUS-1)46092,423611111146092,423611111146092,4618055556</v>
      </c>
      <c r="Q385" s="1" t="str">
        <f>_xlfn.CONCAT(H385,I385,J385)</f>
        <v>DAURDE</v>
      </c>
    </row>
    <row r="386" spans="2:17">
      <c r="B386" s="1" t="s">
        <v>311</v>
      </c>
      <c r="C386" s="1" t="s">
        <v>256</v>
      </c>
      <c r="D386" s="52">
        <v>46092.6875</v>
      </c>
      <c r="E386" s="52">
        <v>46092.6875</v>
      </c>
      <c r="F386" s="52">
        <v>46092.706944444442</v>
      </c>
      <c r="G386" s="53">
        <f t="shared" si="25"/>
        <v>1.9444444442342501E-2</v>
      </c>
      <c r="H386" s="1" t="s">
        <v>257</v>
      </c>
      <c r="J386" s="1" t="s">
        <v>258</v>
      </c>
      <c r="K386" s="1" t="str">
        <f>_xlfn.XLOOKUP(J386,REF!$D$2:$D$12,REF!$E$2:$E$12)</f>
        <v>Rede</v>
      </c>
      <c r="L386" s="1" t="s">
        <v>353</v>
      </c>
      <c r="M386" s="1" t="s">
        <v>260</v>
      </c>
      <c r="N386" s="1" t="s">
        <v>261</v>
      </c>
      <c r="O386" s="72" t="s">
        <v>297</v>
      </c>
      <c r="P386" s="1" t="str">
        <f t="shared" si="26"/>
        <v>ARAGUATINS 2.1Inverter(MBUS-12)46092,687546092,687546092,7069444444</v>
      </c>
      <c r="Q386" s="1" t="str">
        <f>_xlfn.CONCAT(H386,I386,J386)</f>
        <v>DAURDE</v>
      </c>
    </row>
    <row r="387" spans="2:17">
      <c r="B387" s="1" t="s">
        <v>311</v>
      </c>
      <c r="C387" s="1" t="s">
        <v>307</v>
      </c>
      <c r="D387" s="52">
        <v>46092.6875</v>
      </c>
      <c r="E387" s="52">
        <v>46092.6875</v>
      </c>
      <c r="F387" s="52">
        <v>46092.706944444442</v>
      </c>
      <c r="G387" s="53">
        <f t="shared" si="25"/>
        <v>1.9444444442342501E-2</v>
      </c>
      <c r="H387" s="1" t="s">
        <v>257</v>
      </c>
      <c r="J387" s="1" t="s">
        <v>258</v>
      </c>
      <c r="K387" s="1" t="str">
        <f>_xlfn.XLOOKUP(J387,REF!$D$2:$D$12,REF!$E$2:$E$12)</f>
        <v>Rede</v>
      </c>
      <c r="L387" s="1" t="s">
        <v>353</v>
      </c>
      <c r="M387" s="1" t="s">
        <v>260</v>
      </c>
      <c r="N387" s="1" t="s">
        <v>261</v>
      </c>
      <c r="O387" s="72" t="s">
        <v>297</v>
      </c>
      <c r="P387" s="1" t="str">
        <f t="shared" si="26"/>
        <v>ARAGUATINS 2.1Inverter(MBUS-15)46092,687546092,687546092,7069444444</v>
      </c>
      <c r="Q387" s="1" t="str">
        <f>_xlfn.CONCAT(H387,I387,J387)</f>
        <v>DAURDE</v>
      </c>
    </row>
    <row r="388" spans="2:17">
      <c r="B388" s="1" t="s">
        <v>311</v>
      </c>
      <c r="C388" s="1" t="s">
        <v>263</v>
      </c>
      <c r="D388" s="52">
        <v>46092.6875</v>
      </c>
      <c r="E388" s="52">
        <v>46092.6875</v>
      </c>
      <c r="F388" s="52">
        <v>46092.706944444442</v>
      </c>
      <c r="G388" s="53">
        <f t="shared" si="25"/>
        <v>1.9444444442342501E-2</v>
      </c>
      <c r="H388" s="1" t="s">
        <v>257</v>
      </c>
      <c r="J388" s="1" t="s">
        <v>258</v>
      </c>
      <c r="K388" s="1" t="str">
        <f>_xlfn.XLOOKUP(J388,REF!$D$2:$D$12,REF!$E$2:$E$12)</f>
        <v>Rede</v>
      </c>
      <c r="L388" s="1" t="s">
        <v>353</v>
      </c>
      <c r="M388" s="1" t="s">
        <v>260</v>
      </c>
      <c r="N388" s="1" t="s">
        <v>261</v>
      </c>
      <c r="O388" s="72" t="s">
        <v>297</v>
      </c>
      <c r="P388" s="1" t="str">
        <f t="shared" si="26"/>
        <v>ARAGUATINS 2.1Inverter(MBUS-14)46092,687546092,687546092,7069444444</v>
      </c>
      <c r="Q388" s="1" t="str">
        <f>_xlfn.CONCAT(H388,I388,J388)</f>
        <v>DAURDE</v>
      </c>
    </row>
    <row r="389" spans="2:17">
      <c r="B389" s="1" t="s">
        <v>311</v>
      </c>
      <c r="C389" s="1" t="s">
        <v>247</v>
      </c>
      <c r="D389" s="52">
        <v>46092.6875</v>
      </c>
      <c r="E389" s="52">
        <v>46092.6875</v>
      </c>
      <c r="F389" s="52">
        <v>46092.706944444442</v>
      </c>
      <c r="G389" s="53">
        <f t="shared" si="25"/>
        <v>1.9444444442342501E-2</v>
      </c>
      <c r="H389" s="1" t="s">
        <v>257</v>
      </c>
      <c r="J389" s="1" t="s">
        <v>258</v>
      </c>
      <c r="K389" s="1" t="str">
        <f>_xlfn.XLOOKUP(J389,REF!$D$2:$D$12,REF!$E$2:$E$12)</f>
        <v>Rede</v>
      </c>
      <c r="L389" s="1" t="s">
        <v>353</v>
      </c>
      <c r="M389" s="1" t="s">
        <v>260</v>
      </c>
      <c r="N389" s="1" t="s">
        <v>261</v>
      </c>
      <c r="O389" s="72" t="s">
        <v>297</v>
      </c>
      <c r="P389" s="1" t="str">
        <f t="shared" si="26"/>
        <v>ARAGUATINS 2.1Inverter(MBUS-1)46092,687546092,687546092,7069444444</v>
      </c>
      <c r="Q389" s="1" t="str">
        <f>_xlfn.CONCAT(H389,I389,J389)</f>
        <v>DAURDE</v>
      </c>
    </row>
    <row r="390" spans="2:17">
      <c r="B390" s="1" t="s">
        <v>312</v>
      </c>
      <c r="C390" s="1" t="s">
        <v>307</v>
      </c>
      <c r="D390" s="52">
        <v>46092.6875</v>
      </c>
      <c r="E390" s="52">
        <v>46092.6875</v>
      </c>
      <c r="F390" s="52">
        <v>46092.706944444442</v>
      </c>
      <c r="G390" s="53">
        <f t="shared" si="25"/>
        <v>1.9444444442342501E-2</v>
      </c>
      <c r="H390" s="1" t="s">
        <v>257</v>
      </c>
      <c r="J390" s="1" t="s">
        <v>258</v>
      </c>
      <c r="K390" s="1" t="str">
        <f>_xlfn.XLOOKUP(J390,REF!$D$2:$D$12,REF!$E$2:$E$12)</f>
        <v>Rede</v>
      </c>
      <c r="L390" s="1" t="s">
        <v>353</v>
      </c>
      <c r="M390" s="1" t="s">
        <v>260</v>
      </c>
      <c r="N390" s="1" t="s">
        <v>261</v>
      </c>
      <c r="O390" s="72" t="s">
        <v>297</v>
      </c>
      <c r="P390" s="1" t="str">
        <f t="shared" si="26"/>
        <v>ARAGUATINS 2.2Inverter(MBUS-15)46092,687546092,687546092,7069444444</v>
      </c>
      <c r="Q390" s="1" t="str">
        <f>_xlfn.CONCAT(H390,I390,J390)</f>
        <v>DAURDE</v>
      </c>
    </row>
    <row r="391" spans="2:17">
      <c r="B391" s="1" t="s">
        <v>312</v>
      </c>
      <c r="C391" s="1" t="s">
        <v>264</v>
      </c>
      <c r="D391" s="52">
        <v>46092.6875</v>
      </c>
      <c r="E391" s="52">
        <v>46092.6875</v>
      </c>
      <c r="F391" s="52">
        <v>46092.706944444442</v>
      </c>
      <c r="G391" s="53">
        <f t="shared" si="25"/>
        <v>1.9444444442342501E-2</v>
      </c>
      <c r="H391" s="1" t="s">
        <v>257</v>
      </c>
      <c r="J391" s="1" t="s">
        <v>258</v>
      </c>
      <c r="K391" s="1" t="str">
        <f>_xlfn.XLOOKUP(J391,REF!$D$2:$D$12,REF!$E$2:$E$12)</f>
        <v>Rede</v>
      </c>
      <c r="L391" s="1" t="s">
        <v>353</v>
      </c>
      <c r="M391" s="1" t="s">
        <v>260</v>
      </c>
      <c r="N391" s="1" t="s">
        <v>261</v>
      </c>
      <c r="O391" s="72" t="s">
        <v>297</v>
      </c>
      <c r="P391" s="1" t="str">
        <f t="shared" si="26"/>
        <v>ARAGUATINS 2.2Inverter(MBUS-13)46092,687546092,687546092,7069444444</v>
      </c>
      <c r="Q391" s="1" t="str">
        <f>_xlfn.CONCAT(H391,I391,J391)</f>
        <v>DAURDE</v>
      </c>
    </row>
    <row r="392" spans="2:17">
      <c r="B392" s="1" t="s">
        <v>312</v>
      </c>
      <c r="C392" s="1" t="s">
        <v>263</v>
      </c>
      <c r="D392" s="52">
        <v>46092.6875</v>
      </c>
      <c r="E392" s="52">
        <v>46092.6875</v>
      </c>
      <c r="F392" s="52">
        <v>46092.706944444442</v>
      </c>
      <c r="G392" s="53">
        <f t="shared" si="25"/>
        <v>1.9444444442342501E-2</v>
      </c>
      <c r="H392" s="1" t="s">
        <v>257</v>
      </c>
      <c r="J392" s="1" t="s">
        <v>258</v>
      </c>
      <c r="K392" s="1" t="str">
        <f>_xlfn.XLOOKUP(J392,REF!$D$2:$D$12,REF!$E$2:$E$12)</f>
        <v>Rede</v>
      </c>
      <c r="L392" s="1" t="s">
        <v>353</v>
      </c>
      <c r="M392" s="1" t="s">
        <v>260</v>
      </c>
      <c r="N392" s="1" t="s">
        <v>357</v>
      </c>
      <c r="O392" s="72" t="s">
        <v>297</v>
      </c>
      <c r="P392" s="1" t="str">
        <f t="shared" si="26"/>
        <v>ARAGUATINS 2.2Inverter(MBUS-14)46092,687546092,687546092,7069444444</v>
      </c>
      <c r="Q392" s="1" t="str">
        <f>_xlfn.CONCAT(H392,I392,J392)</f>
        <v>DAURDE</v>
      </c>
    </row>
    <row r="393" spans="2:17">
      <c r="B393" s="1" t="s">
        <v>312</v>
      </c>
      <c r="C393" s="1" t="s">
        <v>256</v>
      </c>
      <c r="D393" s="52">
        <v>46092.6875</v>
      </c>
      <c r="E393" s="52">
        <v>46092.6875</v>
      </c>
      <c r="F393" s="52">
        <v>46092.706944444442</v>
      </c>
      <c r="G393" s="53">
        <f t="shared" si="25"/>
        <v>1.9444444442342501E-2</v>
      </c>
      <c r="H393" s="1" t="s">
        <v>257</v>
      </c>
      <c r="J393" s="1" t="s">
        <v>258</v>
      </c>
      <c r="K393" s="1" t="str">
        <f>_xlfn.XLOOKUP(J393,REF!$D$2:$D$12,REF!$E$2:$E$12)</f>
        <v>Rede</v>
      </c>
      <c r="L393" s="1" t="s">
        <v>353</v>
      </c>
      <c r="M393" s="1" t="s">
        <v>260</v>
      </c>
      <c r="N393" s="1" t="s">
        <v>357</v>
      </c>
      <c r="O393" s="72" t="s">
        <v>297</v>
      </c>
      <c r="P393" s="1" t="str">
        <f t="shared" si="26"/>
        <v>ARAGUATINS 2.2Inverter(MBUS-12)46092,687546092,687546092,7069444444</v>
      </c>
      <c r="Q393" s="1" t="str">
        <f>_xlfn.CONCAT(H393,I393,J393)</f>
        <v>DAURDE</v>
      </c>
    </row>
    <row r="394" spans="2:17">
      <c r="B394" s="66" t="s">
        <v>313</v>
      </c>
      <c r="C394" s="1" t="s">
        <v>256</v>
      </c>
      <c r="D394" s="52">
        <v>46092.6875</v>
      </c>
      <c r="E394" s="52">
        <v>46092.6875</v>
      </c>
      <c r="F394" s="52">
        <v>46092.706944444442</v>
      </c>
      <c r="G394" s="53">
        <f t="shared" si="25"/>
        <v>1.9444444442342501E-2</v>
      </c>
      <c r="H394" s="1" t="s">
        <v>257</v>
      </c>
      <c r="J394" s="1" t="s">
        <v>258</v>
      </c>
      <c r="K394" s="1" t="str">
        <f>_xlfn.XLOOKUP(J394,REF!$D$2:$D$12,REF!$E$2:$E$12)</f>
        <v>Rede</v>
      </c>
      <c r="L394" s="1" t="s">
        <v>353</v>
      </c>
      <c r="M394" s="1" t="s">
        <v>260</v>
      </c>
      <c r="N394" s="1" t="s">
        <v>357</v>
      </c>
      <c r="O394" s="72" t="s">
        <v>297</v>
      </c>
      <c r="P394" s="1" t="str">
        <f>_xlfn.CONCAT(B394,C394,D395,E394,F394)</f>
        <v>ARAGUATINS 2.3Inverter(MBUS-12)46092,687546092,687546092,7069444444</v>
      </c>
      <c r="Q394" s="1" t="str">
        <f>_xlfn.CONCAT(H394,I394,J394)</f>
        <v>DAURDE</v>
      </c>
    </row>
    <row r="395" spans="2:17">
      <c r="B395" s="66" t="s">
        <v>313</v>
      </c>
      <c r="C395" s="1" t="s">
        <v>264</v>
      </c>
      <c r="D395" s="52">
        <v>46092.6875</v>
      </c>
      <c r="E395" s="52">
        <v>46092.6875</v>
      </c>
      <c r="F395" s="52">
        <v>46092.706944444442</v>
      </c>
      <c r="G395" s="53">
        <f t="shared" si="25"/>
        <v>1.9444444442342501E-2</v>
      </c>
      <c r="H395" s="1" t="s">
        <v>257</v>
      </c>
      <c r="J395" s="1" t="s">
        <v>258</v>
      </c>
      <c r="K395" s="1" t="str">
        <f>_xlfn.XLOOKUP(J395,REF!$D$2:$D$12,REF!$E$2:$E$12)</f>
        <v>Rede</v>
      </c>
      <c r="L395" s="1" t="s">
        <v>353</v>
      </c>
      <c r="M395" s="1" t="s">
        <v>260</v>
      </c>
      <c r="N395" s="1" t="s">
        <v>357</v>
      </c>
      <c r="O395" s="72" t="s">
        <v>297</v>
      </c>
      <c r="P395" s="1" t="str">
        <f>_xlfn.CONCAT(B395,C395,D396,E395,F395)</f>
        <v>ARAGUATINS 2.3Inverter(MBUS-13)46092,694444444446092,687546092,7069444444</v>
      </c>
      <c r="Q395" s="1" t="str">
        <f>_xlfn.CONCAT(H395,I395,J395)</f>
        <v>DAURDE</v>
      </c>
    </row>
    <row r="396" spans="2:17">
      <c r="B396" s="66" t="s">
        <v>255</v>
      </c>
      <c r="C396" s="1" t="s">
        <v>256</v>
      </c>
      <c r="D396" s="52">
        <v>46092.694444444445</v>
      </c>
      <c r="E396" s="52">
        <v>46092.694444444445</v>
      </c>
      <c r="F396" s="52">
        <v>46092.864583333336</v>
      </c>
      <c r="G396" s="53">
        <f t="shared" si="25"/>
        <v>0.17013888889050577</v>
      </c>
      <c r="H396" s="1" t="s">
        <v>257</v>
      </c>
      <c r="J396" s="1" t="s">
        <v>258</v>
      </c>
      <c r="K396" s="1" t="str">
        <f>_xlfn.XLOOKUP(J396,REF!$D$2:$D$12,REF!$E$2:$E$12)</f>
        <v>Rede</v>
      </c>
      <c r="L396" s="1" t="s">
        <v>440</v>
      </c>
      <c r="M396" s="1" t="s">
        <v>260</v>
      </c>
      <c r="N396" s="1" t="s">
        <v>357</v>
      </c>
      <c r="O396" s="72" t="s">
        <v>297</v>
      </c>
      <c r="P396" s="1" t="str">
        <f>_xlfn.CONCAT(B396,C396,D397,E396,F396)</f>
        <v>BC Formoso2.1Inverter(MBUS-12)46092,694444444446092,694444444446092,8645833333</v>
      </c>
      <c r="Q396" s="1" t="str">
        <f>_xlfn.CONCAT(H396,I396,J396)</f>
        <v>DAURDE</v>
      </c>
    </row>
    <row r="397" spans="2:17">
      <c r="B397" s="66" t="s">
        <v>255</v>
      </c>
      <c r="C397" s="1" t="s">
        <v>263</v>
      </c>
      <c r="D397" s="52">
        <v>46092.694444444445</v>
      </c>
      <c r="E397" s="52">
        <v>46092.694444444445</v>
      </c>
      <c r="F397" s="52">
        <v>46092.864583333336</v>
      </c>
      <c r="G397" s="53">
        <f t="shared" si="25"/>
        <v>0.17013888889050577</v>
      </c>
      <c r="H397" s="1" t="s">
        <v>257</v>
      </c>
      <c r="J397" s="1" t="s">
        <v>258</v>
      </c>
      <c r="K397" s="1" t="str">
        <f>_xlfn.XLOOKUP(J397,REF!$D$2:$D$12,REF!$E$2:$E$12)</f>
        <v>Rede</v>
      </c>
      <c r="L397" s="1" t="s">
        <v>440</v>
      </c>
      <c r="M397" s="1" t="s">
        <v>260</v>
      </c>
      <c r="N397" s="1" t="s">
        <v>357</v>
      </c>
      <c r="O397" s="72" t="s">
        <v>297</v>
      </c>
      <c r="P397" s="1" t="str">
        <f>_xlfn.CONCAT(B397,C397,D398,E397,F397)</f>
        <v>BC Formoso2.1Inverter(MBUS-14)46092,694444444446092,694444444446092,8645833333</v>
      </c>
      <c r="Q397" s="1" t="str">
        <f>_xlfn.CONCAT(H397,I397,J397)</f>
        <v>DAURDE</v>
      </c>
    </row>
    <row r="398" spans="2:17">
      <c r="B398" s="66" t="s">
        <v>255</v>
      </c>
      <c r="C398" s="1" t="s">
        <v>264</v>
      </c>
      <c r="D398" s="52">
        <v>46092.694444444445</v>
      </c>
      <c r="E398" s="52">
        <v>46092.694444444445</v>
      </c>
      <c r="F398" s="52">
        <v>46092.864583333336</v>
      </c>
      <c r="G398" s="53">
        <f t="shared" si="25"/>
        <v>0.17013888889050577</v>
      </c>
      <c r="H398" s="1" t="s">
        <v>257</v>
      </c>
      <c r="J398" s="1" t="s">
        <v>258</v>
      </c>
      <c r="K398" s="1" t="str">
        <f>_xlfn.XLOOKUP(J398,REF!$D$2:$D$12,REF!$E$2:$E$12)</f>
        <v>Rede</v>
      </c>
      <c r="L398" s="1" t="s">
        <v>440</v>
      </c>
      <c r="M398" s="1" t="s">
        <v>260</v>
      </c>
      <c r="N398" s="1" t="s">
        <v>357</v>
      </c>
      <c r="O398" s="72" t="s">
        <v>297</v>
      </c>
      <c r="P398" s="1" t="str">
        <f>_xlfn.CONCAT(B398,C398,D399,E398,F398)</f>
        <v>BC Formoso2.1Inverter(MBUS-13)46092,694444444446092,694444444446092,8645833333</v>
      </c>
      <c r="Q398" s="1" t="str">
        <f>_xlfn.CONCAT(H398,I398,J398)</f>
        <v>DAURDE</v>
      </c>
    </row>
    <row r="399" spans="2:17">
      <c r="B399" s="66" t="s">
        <v>255</v>
      </c>
      <c r="C399" s="1" t="s">
        <v>247</v>
      </c>
      <c r="D399" s="52">
        <v>46092.694444444445</v>
      </c>
      <c r="E399" s="52">
        <v>46092.694444444445</v>
      </c>
      <c r="F399" s="52">
        <v>46092.864583333336</v>
      </c>
      <c r="G399" s="53">
        <f t="shared" si="25"/>
        <v>0.17013888889050577</v>
      </c>
      <c r="H399" s="1" t="s">
        <v>257</v>
      </c>
      <c r="J399" s="1" t="s">
        <v>258</v>
      </c>
      <c r="K399" s="1" t="str">
        <f>_xlfn.XLOOKUP(J399,REF!$D$2:$D$12,REF!$E$2:$E$12)</f>
        <v>Rede</v>
      </c>
      <c r="L399" s="1" t="s">
        <v>440</v>
      </c>
      <c r="M399" s="1" t="s">
        <v>260</v>
      </c>
      <c r="N399" s="1" t="s">
        <v>357</v>
      </c>
      <c r="O399" s="72" t="s">
        <v>297</v>
      </c>
      <c r="P399" s="1" t="str">
        <f>_xlfn.CONCAT(B399,C399,D400,E399,F399)</f>
        <v>BC Formoso2.1Inverter(MBUS-1)46093,087546092,694444444446092,8645833333</v>
      </c>
      <c r="Q399" s="1" t="str">
        <f>_xlfn.CONCAT(H399,I399,J399)</f>
        <v>DAURDE</v>
      </c>
    </row>
    <row r="400" spans="2:17">
      <c r="B400" s="1" t="s">
        <v>327</v>
      </c>
      <c r="C400" s="1" t="s">
        <v>247</v>
      </c>
      <c r="D400" s="52">
        <v>46093.087500000001</v>
      </c>
      <c r="E400" s="52">
        <v>46093.087500000001</v>
      </c>
      <c r="F400" s="52">
        <v>46093.377083333333</v>
      </c>
      <c r="G400" s="53">
        <f t="shared" si="25"/>
        <v>0.28958333333139308</v>
      </c>
      <c r="H400" s="1" t="s">
        <v>257</v>
      </c>
      <c r="J400" s="1" t="s">
        <v>258</v>
      </c>
      <c r="K400" s="1" t="str">
        <f>_xlfn.XLOOKUP(J400,REF!$D$2:$D$12,REF!$E$2:$E$12)</f>
        <v>Rede</v>
      </c>
      <c r="L400" s="1" t="s">
        <v>441</v>
      </c>
      <c r="M400" s="1" t="s">
        <v>260</v>
      </c>
      <c r="N400" s="1" t="s">
        <v>357</v>
      </c>
      <c r="O400" s="72" t="s">
        <v>297</v>
      </c>
      <c r="P400" s="1" t="str">
        <f>_xlfn.CONCAT(B400,C400,D401,E400,F400)</f>
        <v>BC Aracu5.1Inverter(MBUS-1)46093,087546093,087546093,3770833333</v>
      </c>
      <c r="Q400" s="1" t="str">
        <f>_xlfn.CONCAT(H400,I400,J400)</f>
        <v>DAURDE</v>
      </c>
    </row>
    <row r="401" spans="2:17">
      <c r="B401" s="1" t="s">
        <v>328</v>
      </c>
      <c r="C401" s="1" t="s">
        <v>247</v>
      </c>
      <c r="D401" s="52">
        <v>46093.087500000001</v>
      </c>
      <c r="E401" s="52">
        <v>46093.087500000001</v>
      </c>
      <c r="F401" s="52">
        <v>46093.377083333333</v>
      </c>
      <c r="G401" s="53">
        <f t="shared" si="25"/>
        <v>0.28958333333139308</v>
      </c>
      <c r="H401" s="1" t="s">
        <v>257</v>
      </c>
      <c r="J401" s="1" t="s">
        <v>258</v>
      </c>
      <c r="K401" s="1" t="str">
        <f>_xlfn.XLOOKUP(J401,REF!$D$2:$D$12,REF!$E$2:$E$12)</f>
        <v>Rede</v>
      </c>
      <c r="L401" s="1" t="s">
        <v>441</v>
      </c>
      <c r="M401" s="1" t="s">
        <v>260</v>
      </c>
      <c r="N401" s="1" t="s">
        <v>357</v>
      </c>
      <c r="O401" s="72" t="s">
        <v>297</v>
      </c>
      <c r="P401" s="1" t="str">
        <f>_xlfn.CONCAT(B401,C401,D402,E401,F401)</f>
        <v>BC Aracu5.3Inverter(MBUS-1)46093,087546093,087546093,3770833333</v>
      </c>
      <c r="Q401" s="1" t="str">
        <f>_xlfn.CONCAT(H401,I401,J401)</f>
        <v>DAURDE</v>
      </c>
    </row>
    <row r="402" spans="2:17">
      <c r="B402" s="1" t="s">
        <v>329</v>
      </c>
      <c r="C402" s="1" t="s">
        <v>247</v>
      </c>
      <c r="D402" s="52">
        <v>46093.087500000001</v>
      </c>
      <c r="E402" s="52">
        <v>46093.087500000001</v>
      </c>
      <c r="F402" s="52">
        <v>46093.377083333333</v>
      </c>
      <c r="G402" s="53">
        <f t="shared" si="25"/>
        <v>0.28958333333139308</v>
      </c>
      <c r="H402" s="1" t="s">
        <v>257</v>
      </c>
      <c r="J402" s="1" t="s">
        <v>258</v>
      </c>
      <c r="K402" s="1" t="str">
        <f>_xlfn.XLOOKUP(J402,REF!$D$2:$D$12,REF!$E$2:$E$12)</f>
        <v>Rede</v>
      </c>
      <c r="L402" s="1" t="s">
        <v>441</v>
      </c>
      <c r="M402" s="1" t="s">
        <v>260</v>
      </c>
      <c r="N402" s="1" t="s">
        <v>357</v>
      </c>
      <c r="O402" s="72" t="s">
        <v>297</v>
      </c>
      <c r="P402" s="1" t="str">
        <f>_xlfn.CONCAT(B402,C402,D402,E402,F402)</f>
        <v>BC Aracu5.4Inverter(MBUS-1)46093,087546093,087546093,3770833333</v>
      </c>
      <c r="Q402" s="1" t="str">
        <f>_xlfn.CONCAT(H402,I402,J402)</f>
        <v>DAURDE</v>
      </c>
    </row>
    <row r="403" spans="2:17">
      <c r="B403" s="1" t="s">
        <v>330</v>
      </c>
      <c r="C403" s="1" t="s">
        <v>247</v>
      </c>
      <c r="D403" s="52">
        <v>46093.087500000001</v>
      </c>
      <c r="E403" s="52">
        <v>46093.087500000001</v>
      </c>
      <c r="F403" s="52">
        <v>46093.377083333333</v>
      </c>
      <c r="G403" s="53">
        <f t="shared" si="25"/>
        <v>0.28958333333139308</v>
      </c>
      <c r="H403" s="1" t="s">
        <v>257</v>
      </c>
      <c r="J403" s="1" t="s">
        <v>258</v>
      </c>
      <c r="K403" s="1" t="str">
        <f>_xlfn.XLOOKUP(J403,REF!$D$2:$D$12,REF!$E$2:$E$12)</f>
        <v>Rede</v>
      </c>
      <c r="L403" s="1" t="s">
        <v>441</v>
      </c>
      <c r="M403" s="1" t="s">
        <v>260</v>
      </c>
      <c r="N403" s="1" t="s">
        <v>357</v>
      </c>
      <c r="O403" s="72" t="s">
        <v>297</v>
      </c>
      <c r="P403" s="1" t="str">
        <f>_xlfn.CONCAT(B403,C403,D403,E403,F403)</f>
        <v>BC Aracu5.5Inverter(MBUS-1)46093,087546093,087546093,3770833333</v>
      </c>
      <c r="Q403" s="1" t="str">
        <f>_xlfn.CONCAT(H403,I403,J403)</f>
        <v>DAURDE</v>
      </c>
    </row>
    <row r="404" spans="2:17">
      <c r="B404" s="1" t="s">
        <v>442</v>
      </c>
      <c r="C404" s="1" t="s">
        <v>264</v>
      </c>
      <c r="D404" s="52">
        <v>46093.172222222223</v>
      </c>
      <c r="E404" s="52">
        <v>46093.172222222223</v>
      </c>
      <c r="F404" s="52">
        <v>46093.295138888891</v>
      </c>
      <c r="G404" s="53">
        <f t="shared" si="25"/>
        <v>0.12291666666715173</v>
      </c>
      <c r="H404" s="1" t="s">
        <v>257</v>
      </c>
      <c r="J404" s="1" t="s">
        <v>258</v>
      </c>
      <c r="K404" s="1" t="str">
        <f>_xlfn.XLOOKUP(J404,REF!$D$2:$D$12,REF!$E$2:$E$12)</f>
        <v>Rede</v>
      </c>
      <c r="L404" s="1" t="s">
        <v>443</v>
      </c>
      <c r="M404" s="1" t="s">
        <v>260</v>
      </c>
      <c r="N404" s="1" t="s">
        <v>357</v>
      </c>
      <c r="O404" s="72" t="s">
        <v>297</v>
      </c>
      <c r="P404" s="1" t="str">
        <f>_xlfn.CONCAT(B404,C404,D404,E404,F404)</f>
        <v>BC Lencois PaulistaInverter(MBUS-13)46093,172222222246093,172222222246093,2951388889</v>
      </c>
      <c r="Q404" s="1" t="str">
        <f>_xlfn.CONCAT(H404,I404,J404)</f>
        <v>DAURDE</v>
      </c>
    </row>
    <row r="405" spans="2:17">
      <c r="B405" s="1" t="s">
        <v>442</v>
      </c>
      <c r="C405" s="1" t="s">
        <v>263</v>
      </c>
      <c r="D405" s="52">
        <v>46093.172222222223</v>
      </c>
      <c r="E405" s="52">
        <v>46093.172222222223</v>
      </c>
      <c r="F405" s="52">
        <v>46093.295138888891</v>
      </c>
      <c r="G405" s="53">
        <f t="shared" si="25"/>
        <v>0.12291666666715173</v>
      </c>
      <c r="H405" s="1" t="s">
        <v>257</v>
      </c>
      <c r="J405" s="1" t="s">
        <v>258</v>
      </c>
      <c r="K405" s="1" t="str">
        <f>_xlfn.XLOOKUP(J405,REF!$D$2:$D$12,REF!$E$2:$E$12)</f>
        <v>Rede</v>
      </c>
      <c r="L405" s="1" t="s">
        <v>443</v>
      </c>
      <c r="M405" s="1" t="s">
        <v>260</v>
      </c>
      <c r="N405" s="1" t="s">
        <v>357</v>
      </c>
      <c r="O405" s="72" t="s">
        <v>297</v>
      </c>
      <c r="P405" s="1" t="str">
        <f>_xlfn.CONCAT(B405,C405,D405,E405,F405)</f>
        <v>BC Lencois PaulistaInverter(MBUS-14)46093,172222222246093,172222222246093,2951388889</v>
      </c>
      <c r="Q405" s="1" t="str">
        <f>_xlfn.CONCAT(H405,I405,J405)</f>
        <v>DAURDE</v>
      </c>
    </row>
    <row r="406" spans="2:17">
      <c r="B406" s="1" t="s">
        <v>442</v>
      </c>
      <c r="C406" s="1" t="s">
        <v>256</v>
      </c>
      <c r="D406" s="52">
        <v>46093.172222222223</v>
      </c>
      <c r="E406" s="52">
        <v>46093.172222222223</v>
      </c>
      <c r="F406" s="52">
        <v>46093.295138888891</v>
      </c>
      <c r="G406" s="53">
        <f t="shared" si="25"/>
        <v>0.12291666666715173</v>
      </c>
      <c r="H406" s="1" t="s">
        <v>257</v>
      </c>
      <c r="J406" s="1" t="s">
        <v>258</v>
      </c>
      <c r="K406" s="1" t="str">
        <f>_xlfn.XLOOKUP(J406,REF!$D$2:$D$12,REF!$E$2:$E$12)</f>
        <v>Rede</v>
      </c>
      <c r="L406" s="1" t="s">
        <v>443</v>
      </c>
      <c r="M406" s="1" t="s">
        <v>260</v>
      </c>
      <c r="N406" s="1" t="s">
        <v>357</v>
      </c>
      <c r="O406" s="72" t="s">
        <v>297</v>
      </c>
      <c r="P406" s="1" t="str">
        <f>_xlfn.CONCAT(B406,C406,D406,E406,F406)</f>
        <v>BC Lencois PaulistaInverter(MBUS-12)46093,172222222246093,172222222246093,2951388889</v>
      </c>
      <c r="Q406" s="1" t="str">
        <f>_xlfn.CONCAT(H406,I406,J406)</f>
        <v>DAURDE</v>
      </c>
    </row>
    <row r="407" spans="2:17">
      <c r="B407" s="1" t="s">
        <v>442</v>
      </c>
      <c r="C407" s="1" t="s">
        <v>307</v>
      </c>
      <c r="D407" s="52">
        <v>46093.172222222223</v>
      </c>
      <c r="E407" s="52">
        <v>46093.172222222223</v>
      </c>
      <c r="F407" s="52">
        <v>46093.295138888891</v>
      </c>
      <c r="G407" s="53">
        <f t="shared" si="25"/>
        <v>0.12291666666715173</v>
      </c>
      <c r="H407" s="1" t="s">
        <v>257</v>
      </c>
      <c r="J407" s="1" t="s">
        <v>258</v>
      </c>
      <c r="K407" s="1" t="str">
        <f>_xlfn.XLOOKUP(J407,REF!$D$2:$D$12,REF!$E$2:$E$12)</f>
        <v>Rede</v>
      </c>
      <c r="L407" s="1" t="s">
        <v>443</v>
      </c>
      <c r="M407" s="1" t="s">
        <v>260</v>
      </c>
      <c r="N407" s="1" t="s">
        <v>357</v>
      </c>
      <c r="O407" s="72" t="s">
        <v>297</v>
      </c>
      <c r="P407" s="1" t="str">
        <f>_xlfn.CONCAT(B407,C407,D407,E407,F407)</f>
        <v>BC Lencois PaulistaInverter(MBUS-15)46093,172222222246093,172222222246093,2951388889</v>
      </c>
      <c r="Q407" s="1" t="str">
        <f>_xlfn.CONCAT(H407,I407,J407)</f>
        <v>DAURDE</v>
      </c>
    </row>
    <row r="408" spans="2:17">
      <c r="B408" s="1" t="s">
        <v>444</v>
      </c>
      <c r="C408" s="1" t="s">
        <v>256</v>
      </c>
      <c r="D408" s="52">
        <v>46093.176388888889</v>
      </c>
      <c r="E408" s="52">
        <v>46093.176388888889</v>
      </c>
      <c r="F408" s="52">
        <v>46093.277777777781</v>
      </c>
      <c r="G408" s="53">
        <f t="shared" si="25"/>
        <v>0.10138888889196096</v>
      </c>
      <c r="H408" s="1" t="s">
        <v>268</v>
      </c>
      <c r="I408" s="1" t="s">
        <v>269</v>
      </c>
      <c r="J408" s="1" t="s">
        <v>319</v>
      </c>
      <c r="K408" s="1" t="str">
        <f>_xlfn.XLOOKUP(J408,REF!$D$2:$D$12,REF!$E$2:$E$12)</f>
        <v>Comunicação</v>
      </c>
      <c r="L408" s="1" t="s">
        <v>445</v>
      </c>
      <c r="M408" s="1" t="s">
        <v>289</v>
      </c>
      <c r="N408" s="1" t="s">
        <v>290</v>
      </c>
      <c r="O408" s="1" t="s">
        <v>291</v>
      </c>
      <c r="P408" s="1" t="str">
        <f>_xlfn.CONCAT(B408,C408,D408,E408,F408)</f>
        <v>BC Clareira1.1Inverter(MBUS-12)46093,176388888946093,176388888946093,2777777778</v>
      </c>
      <c r="Q408" s="1" t="str">
        <f>_xlfn.CONCAT(H408,I408,J408)</f>
        <v>LIGRFOCOM</v>
      </c>
    </row>
    <row r="409" spans="2:17">
      <c r="B409" s="1" t="s">
        <v>444</v>
      </c>
      <c r="C409" s="1" t="s">
        <v>264</v>
      </c>
      <c r="D409" s="52">
        <v>46093.176388888889</v>
      </c>
      <c r="E409" s="52">
        <v>46093.176388888889</v>
      </c>
      <c r="F409" s="52">
        <v>46093.277777777781</v>
      </c>
      <c r="G409" s="53">
        <f t="shared" si="25"/>
        <v>0.10138888889196096</v>
      </c>
      <c r="H409" s="1" t="s">
        <v>268</v>
      </c>
      <c r="I409" s="1" t="s">
        <v>269</v>
      </c>
      <c r="J409" s="1" t="s">
        <v>319</v>
      </c>
      <c r="K409" s="1" t="str">
        <f>_xlfn.XLOOKUP(J409,REF!$D$2:$D$12,REF!$E$2:$E$12)</f>
        <v>Comunicação</v>
      </c>
      <c r="L409" s="1" t="s">
        <v>445</v>
      </c>
      <c r="M409" s="1" t="s">
        <v>289</v>
      </c>
      <c r="N409" s="1" t="s">
        <v>290</v>
      </c>
      <c r="O409" s="1" t="s">
        <v>291</v>
      </c>
      <c r="P409" s="1" t="str">
        <f>_xlfn.CONCAT(B409,C409,D409,E409,F409)</f>
        <v>BC Clareira1.1Inverter(MBUS-13)46093,176388888946093,176388888946093,2777777778</v>
      </c>
      <c r="Q409" s="1" t="str">
        <f>_xlfn.CONCAT(H409,I409,J409)</f>
        <v>LIGRFOCOM</v>
      </c>
    </row>
    <row r="410" spans="2:17">
      <c r="B410" s="1" t="s">
        <v>444</v>
      </c>
      <c r="C410" s="1" t="s">
        <v>263</v>
      </c>
      <c r="D410" s="52">
        <v>46093.176388888889</v>
      </c>
      <c r="E410" s="52">
        <v>46093.176388888889</v>
      </c>
      <c r="F410" s="52">
        <v>46093.277777777781</v>
      </c>
      <c r="G410" s="53">
        <f t="shared" si="25"/>
        <v>0.10138888889196096</v>
      </c>
      <c r="H410" s="1" t="s">
        <v>268</v>
      </c>
      <c r="I410" s="1" t="s">
        <v>269</v>
      </c>
      <c r="J410" s="1" t="s">
        <v>319</v>
      </c>
      <c r="K410" s="1" t="str">
        <f>_xlfn.XLOOKUP(J410,REF!$D$2:$D$12,REF!$E$2:$E$12)</f>
        <v>Comunicação</v>
      </c>
      <c r="L410" s="1" t="s">
        <v>445</v>
      </c>
      <c r="M410" s="1" t="s">
        <v>289</v>
      </c>
      <c r="N410" s="1" t="s">
        <v>290</v>
      </c>
      <c r="O410" s="1" t="s">
        <v>291</v>
      </c>
      <c r="P410" s="1" t="str">
        <f>_xlfn.CONCAT(B410,C410,D410,E410,F410)</f>
        <v>BC Clareira1.1Inverter(MBUS-14)46093,176388888946093,176388888946093,2777777778</v>
      </c>
      <c r="Q410" s="1" t="str">
        <f>_xlfn.CONCAT(H410,I410,J410)</f>
        <v>LIGRFOCOM</v>
      </c>
    </row>
    <row r="411" spans="2:17">
      <c r="B411" s="1" t="s">
        <v>444</v>
      </c>
      <c r="C411" s="1" t="s">
        <v>307</v>
      </c>
      <c r="D411" s="52">
        <v>46093.176388888889</v>
      </c>
      <c r="E411" s="52">
        <v>46093.176388888889</v>
      </c>
      <c r="F411" s="52">
        <v>46093.277777777781</v>
      </c>
      <c r="G411" s="53">
        <f t="shared" si="25"/>
        <v>0.10138888889196096</v>
      </c>
      <c r="H411" s="1" t="s">
        <v>268</v>
      </c>
      <c r="I411" s="1" t="s">
        <v>269</v>
      </c>
      <c r="J411" s="1" t="s">
        <v>319</v>
      </c>
      <c r="K411" s="1" t="str">
        <f>_xlfn.XLOOKUP(J411,REF!$D$2:$D$12,REF!$E$2:$E$12)</f>
        <v>Comunicação</v>
      </c>
      <c r="L411" s="1" t="s">
        <v>445</v>
      </c>
      <c r="M411" s="1" t="s">
        <v>289</v>
      </c>
      <c r="N411" s="1" t="s">
        <v>290</v>
      </c>
      <c r="O411" s="1" t="s">
        <v>291</v>
      </c>
      <c r="P411" s="1" t="str">
        <f>_xlfn.CONCAT(B411,C411,D411,E411,F411)</f>
        <v>BC Clareira1.1Inverter(MBUS-15)46093,176388888946093,176388888946093,2777777778</v>
      </c>
      <c r="Q411" s="1" t="str">
        <f>_xlfn.CONCAT(H411,I411,J411)</f>
        <v>LIGRFOCOM</v>
      </c>
    </row>
    <row r="412" spans="2:17">
      <c r="B412" s="1" t="s">
        <v>444</v>
      </c>
      <c r="C412" s="1" t="s">
        <v>390</v>
      </c>
      <c r="D412" s="52">
        <v>46093.176388888889</v>
      </c>
      <c r="E412" s="52">
        <v>46093.176388888889</v>
      </c>
      <c r="F412" s="52">
        <v>46093.277777777781</v>
      </c>
      <c r="G412" s="53">
        <f t="shared" si="25"/>
        <v>0.10138888889196096</v>
      </c>
      <c r="H412" s="1" t="s">
        <v>268</v>
      </c>
      <c r="I412" s="1" t="s">
        <v>269</v>
      </c>
      <c r="J412" s="1" t="s">
        <v>319</v>
      </c>
      <c r="K412" s="1" t="str">
        <f>_xlfn.XLOOKUP(J412,REF!$D$2:$D$12,REF!$E$2:$E$12)</f>
        <v>Comunicação</v>
      </c>
      <c r="L412" s="1" t="s">
        <v>445</v>
      </c>
      <c r="M412" s="1" t="s">
        <v>289</v>
      </c>
      <c r="N412" s="1" t="s">
        <v>290</v>
      </c>
      <c r="O412" s="1" t="s">
        <v>291</v>
      </c>
      <c r="P412" s="1" t="str">
        <f>_xlfn.CONCAT(B412,C412,D412,E412,F412)</f>
        <v>BC Clareira1.1Inverter(MBUS-16)46093,176388888946093,176388888946093,2777777778</v>
      </c>
      <c r="Q412" s="1" t="str">
        <f>_xlfn.CONCAT(H412,I412,J412)</f>
        <v>LIGRFOCOM</v>
      </c>
    </row>
    <row r="413" spans="2:17">
      <c r="B413" s="1" t="s">
        <v>446</v>
      </c>
      <c r="C413" s="1" t="s">
        <v>377</v>
      </c>
      <c r="D413" s="52">
        <v>46093.176388888889</v>
      </c>
      <c r="E413" s="52">
        <v>46093.176388888889</v>
      </c>
      <c r="F413" s="52">
        <v>46093.277777777781</v>
      </c>
      <c r="G413" s="53">
        <f t="shared" ref="G413:G431" si="27">F413-E413</f>
        <v>0.10138888889196096</v>
      </c>
      <c r="H413" s="1" t="s">
        <v>268</v>
      </c>
      <c r="I413" s="1" t="s">
        <v>269</v>
      </c>
      <c r="J413" s="1" t="s">
        <v>319</v>
      </c>
      <c r="K413" s="1" t="str">
        <f>_xlfn.XLOOKUP(J413,REF!$D$2:$D$12,REF!$E$2:$E$12)</f>
        <v>Comunicação</v>
      </c>
      <c r="L413" s="1" t="s">
        <v>445</v>
      </c>
      <c r="M413" s="1" t="s">
        <v>289</v>
      </c>
      <c r="N413" s="1" t="s">
        <v>290</v>
      </c>
      <c r="O413" s="1" t="s">
        <v>291</v>
      </c>
      <c r="P413" s="1" t="str">
        <f>_xlfn.CONCAT(B413,C413,D413,E413,F413)</f>
        <v>BC Clareira1.2215KTL-H3(MBUS-12)46093,176388888946093,176388888946093,2777777778</v>
      </c>
      <c r="Q413" s="1" t="str">
        <f>_xlfn.CONCAT(H413,I413,J413)</f>
        <v>LIGRFOCOM</v>
      </c>
    </row>
    <row r="414" spans="2:17">
      <c r="B414" s="1" t="s">
        <v>446</v>
      </c>
      <c r="C414" s="1" t="s">
        <v>447</v>
      </c>
      <c r="D414" s="52">
        <v>46093.176388888889</v>
      </c>
      <c r="E414" s="52">
        <v>46093.176388888889</v>
      </c>
      <c r="F414" s="52">
        <v>46093.277777777781</v>
      </c>
      <c r="G414" s="53">
        <f t="shared" si="27"/>
        <v>0.10138888889196096</v>
      </c>
      <c r="H414" s="1" t="s">
        <v>268</v>
      </c>
      <c r="I414" s="1" t="s">
        <v>269</v>
      </c>
      <c r="J414" s="1" t="s">
        <v>319</v>
      </c>
      <c r="K414" s="1" t="str">
        <f>_xlfn.XLOOKUP(J414,REF!$D$2:$D$12,REF!$E$2:$E$12)</f>
        <v>Comunicação</v>
      </c>
      <c r="L414" s="1" t="s">
        <v>445</v>
      </c>
      <c r="M414" s="1" t="s">
        <v>289</v>
      </c>
      <c r="N414" s="1" t="s">
        <v>290</v>
      </c>
      <c r="O414" s="1" t="s">
        <v>291</v>
      </c>
      <c r="P414" s="1" t="str">
        <f>_xlfn.CONCAT(B414,C414,D414,E414,F414)</f>
        <v>BC Clareira1.2100KTL-H1(MBUS-14)46093,176388888946093,176388888946093,2777777778</v>
      </c>
      <c r="Q414" s="1" t="str">
        <f>_xlfn.CONCAT(H414,I414,J414)</f>
        <v>LIGRFOCOM</v>
      </c>
    </row>
    <row r="415" spans="2:17">
      <c r="B415" s="1" t="s">
        <v>446</v>
      </c>
      <c r="C415" s="1" t="s">
        <v>378</v>
      </c>
      <c r="D415" s="52">
        <v>46093.176388888889</v>
      </c>
      <c r="E415" s="52">
        <v>46093.176388888889</v>
      </c>
      <c r="F415" s="52">
        <v>46093.277777777781</v>
      </c>
      <c r="G415" s="53">
        <f t="shared" si="27"/>
        <v>0.10138888889196096</v>
      </c>
      <c r="H415" s="1" t="s">
        <v>268</v>
      </c>
      <c r="I415" s="1" t="s">
        <v>269</v>
      </c>
      <c r="J415" s="1" t="s">
        <v>319</v>
      </c>
      <c r="K415" s="1" t="str">
        <f>_xlfn.XLOOKUP(J415,REF!$D$2:$D$12,REF!$E$2:$E$12)</f>
        <v>Comunicação</v>
      </c>
      <c r="L415" s="1" t="s">
        <v>445</v>
      </c>
      <c r="M415" s="1" t="s">
        <v>289</v>
      </c>
      <c r="N415" s="1" t="s">
        <v>290</v>
      </c>
      <c r="O415" s="1" t="s">
        <v>291</v>
      </c>
      <c r="P415" s="1" t="str">
        <f>_xlfn.CONCAT(B415,C415,D415,E415,F415)</f>
        <v>BC Clareira1.2215KTL-H3(MBUS-13)46093,176388888946093,176388888946093,2777777778</v>
      </c>
      <c r="Q415" s="1" t="str">
        <f>_xlfn.CONCAT(H415,I415,J415)</f>
        <v>LIGRFOCOM</v>
      </c>
    </row>
    <row r="416" spans="2:17">
      <c r="B416" s="1" t="s">
        <v>286</v>
      </c>
      <c r="C416" s="1" t="s">
        <v>287</v>
      </c>
      <c r="D416" s="52">
        <v>46093.293055555558</v>
      </c>
      <c r="E416" s="52">
        <v>46093.293055555558</v>
      </c>
      <c r="F416" s="52">
        <v>46093.326388888891</v>
      </c>
      <c r="G416" s="53">
        <f t="shared" si="27"/>
        <v>3.3333333332848269E-2</v>
      </c>
      <c r="H416" s="1" t="s">
        <v>268</v>
      </c>
      <c r="I416" s="1" t="s">
        <v>269</v>
      </c>
      <c r="J416" s="1" t="s">
        <v>319</v>
      </c>
      <c r="K416" s="1" t="str">
        <f>_xlfn.XLOOKUP(J416,REF!$D$2:$D$12,REF!$E$2:$E$12)</f>
        <v>Comunicação</v>
      </c>
      <c r="L416" s="1" t="s">
        <v>320</v>
      </c>
      <c r="M416" s="1" t="s">
        <v>289</v>
      </c>
      <c r="N416" s="1" t="s">
        <v>290</v>
      </c>
      <c r="O416" s="1" t="s">
        <v>448</v>
      </c>
      <c r="P416" s="1" t="str">
        <f>_xlfn.CONCAT(B416,C416,D416,E416,F416)</f>
        <v>BC Corumba2.2U02.I0146093,293055555646093,293055555646093,3263888889</v>
      </c>
      <c r="Q416" s="1" t="str">
        <f>_xlfn.CONCAT(H416,I416,J416)</f>
        <v>LIGRFOCOM</v>
      </c>
    </row>
    <row r="417" spans="2:17">
      <c r="B417" s="1" t="s">
        <v>286</v>
      </c>
      <c r="C417" s="1" t="s">
        <v>292</v>
      </c>
      <c r="D417" s="52">
        <v>46093.293055555558</v>
      </c>
      <c r="E417" s="52">
        <v>46093.293055555558</v>
      </c>
      <c r="F417" s="52">
        <v>46093.326388888891</v>
      </c>
      <c r="G417" s="53">
        <f t="shared" si="27"/>
        <v>3.3333333332848269E-2</v>
      </c>
      <c r="H417" s="1" t="s">
        <v>268</v>
      </c>
      <c r="I417" s="1" t="s">
        <v>269</v>
      </c>
      <c r="J417" s="1" t="s">
        <v>319</v>
      </c>
      <c r="K417" s="1" t="str">
        <f>_xlfn.XLOOKUP(J417,REF!$D$2:$D$12,REF!$E$2:$E$12)</f>
        <v>Comunicação</v>
      </c>
      <c r="L417" s="1" t="s">
        <v>320</v>
      </c>
      <c r="M417" s="1" t="s">
        <v>289</v>
      </c>
      <c r="N417" s="1" t="s">
        <v>290</v>
      </c>
      <c r="O417" s="1" t="s">
        <v>448</v>
      </c>
      <c r="P417" s="1" t="str">
        <f>_xlfn.CONCAT(B417,C417,D417,E417,F417)</f>
        <v>BC Corumba2.2U02.I0246093,293055555646093,293055555646093,3263888889</v>
      </c>
      <c r="Q417" s="1" t="str">
        <f>_xlfn.CONCAT(H417,I417,J417)</f>
        <v>LIGRFOCOM</v>
      </c>
    </row>
    <row r="418" spans="2:17">
      <c r="B418" s="1" t="s">
        <v>286</v>
      </c>
      <c r="C418" s="1" t="s">
        <v>293</v>
      </c>
      <c r="D418" s="52">
        <v>46093.293055555558</v>
      </c>
      <c r="E418" s="52">
        <v>46093.293055555558</v>
      </c>
      <c r="F418" s="52">
        <v>46093.326388888891</v>
      </c>
      <c r="G418" s="53">
        <f t="shared" si="27"/>
        <v>3.3333333332848269E-2</v>
      </c>
      <c r="H418" s="1" t="s">
        <v>268</v>
      </c>
      <c r="I418" s="1" t="s">
        <v>269</v>
      </c>
      <c r="J418" s="1" t="s">
        <v>319</v>
      </c>
      <c r="K418" s="1" t="str">
        <f>_xlfn.XLOOKUP(J418,REF!$D$2:$D$12,REF!$E$2:$E$12)</f>
        <v>Comunicação</v>
      </c>
      <c r="L418" s="1" t="s">
        <v>320</v>
      </c>
      <c r="M418" s="1" t="s">
        <v>289</v>
      </c>
      <c r="N418" s="1" t="s">
        <v>290</v>
      </c>
      <c r="O418" s="1" t="s">
        <v>448</v>
      </c>
      <c r="P418" s="1" t="str">
        <f>_xlfn.CONCAT(B418,C418,D418,E418,F418)</f>
        <v>BC Corumba2.2U02.I0346093,293055555646093,293055555646093,3263888889</v>
      </c>
      <c r="Q418" s="1" t="str">
        <f>_xlfn.CONCAT(H418,I418,J418)</f>
        <v>LIGRFOCOM</v>
      </c>
    </row>
    <row r="419" spans="2:17">
      <c r="B419" s="1" t="s">
        <v>286</v>
      </c>
      <c r="C419" s="1" t="s">
        <v>294</v>
      </c>
      <c r="D419" s="52">
        <v>46093.293055555558</v>
      </c>
      <c r="E419" s="52">
        <v>46093.293055555558</v>
      </c>
      <c r="F419" s="52">
        <v>46093.326388888891</v>
      </c>
      <c r="G419" s="53">
        <f t="shared" si="27"/>
        <v>3.3333333332848269E-2</v>
      </c>
      <c r="H419" s="1" t="s">
        <v>268</v>
      </c>
      <c r="I419" s="1" t="s">
        <v>269</v>
      </c>
      <c r="J419" s="1" t="s">
        <v>319</v>
      </c>
      <c r="K419" s="1" t="str">
        <f>_xlfn.XLOOKUP(J419,REF!$D$2:$D$12,REF!$E$2:$E$12)</f>
        <v>Comunicação</v>
      </c>
      <c r="L419" s="1" t="s">
        <v>320</v>
      </c>
      <c r="M419" s="1" t="s">
        <v>289</v>
      </c>
      <c r="N419" s="1" t="s">
        <v>290</v>
      </c>
      <c r="O419" s="1" t="s">
        <v>448</v>
      </c>
      <c r="P419" s="1" t="str">
        <f>_xlfn.CONCAT(B419,C419,D419,E419,F419)</f>
        <v>BC Corumba2.2U02.I0446093,293055555646093,293055555646093,3263888889</v>
      </c>
      <c r="Q419" s="1" t="str">
        <f>_xlfn.CONCAT(H419,I419,J419)</f>
        <v>LIGRFOCOM</v>
      </c>
    </row>
    <row r="420" spans="2:17">
      <c r="B420" s="1" t="s">
        <v>286</v>
      </c>
      <c r="C420" s="1" t="s">
        <v>295</v>
      </c>
      <c r="D420" s="52">
        <v>46093.293055555558</v>
      </c>
      <c r="E420" s="52">
        <v>46093.293055555558</v>
      </c>
      <c r="F420" s="52">
        <v>46093.326388888891</v>
      </c>
      <c r="G420" s="53">
        <f t="shared" si="27"/>
        <v>3.3333333332848269E-2</v>
      </c>
      <c r="H420" s="1" t="s">
        <v>268</v>
      </c>
      <c r="I420" s="1" t="s">
        <v>269</v>
      </c>
      <c r="J420" s="1" t="s">
        <v>319</v>
      </c>
      <c r="K420" s="1" t="str">
        <f>_xlfn.XLOOKUP(J420,REF!$D$2:$D$12,REF!$E$2:$E$12)</f>
        <v>Comunicação</v>
      </c>
      <c r="L420" s="1" t="s">
        <v>320</v>
      </c>
      <c r="M420" s="1" t="s">
        <v>289</v>
      </c>
      <c r="N420" s="1" t="s">
        <v>290</v>
      </c>
      <c r="O420" s="1" t="s">
        <v>448</v>
      </c>
      <c r="P420" s="1" t="str">
        <f>_xlfn.CONCAT(B420,C420,D420,E420,F420)</f>
        <v>BC Corumba2.2U02.I0546093,293055555646093,293055555646093,3263888889</v>
      </c>
      <c r="Q420" s="1" t="str">
        <f>_xlfn.CONCAT(H420,I420,J420)</f>
        <v>LIGRFOCOM</v>
      </c>
    </row>
    <row r="421" spans="2:17">
      <c r="B421" s="1" t="s">
        <v>327</v>
      </c>
      <c r="C421" s="1" t="s">
        <v>247</v>
      </c>
      <c r="D421" s="52">
        <v>46093.454861111109</v>
      </c>
      <c r="E421" s="52">
        <v>46093.454861111109</v>
      </c>
      <c r="F421" s="52">
        <v>46093.611111111109</v>
      </c>
      <c r="G421" s="53">
        <f t="shared" si="27"/>
        <v>0.15625</v>
      </c>
      <c r="H421" s="1" t="s">
        <v>257</v>
      </c>
      <c r="J421" s="1" t="s">
        <v>258</v>
      </c>
      <c r="K421" s="1" t="str">
        <f>_xlfn.XLOOKUP(J421,REF!$D$2:$D$12,REF!$E$2:$E$12)</f>
        <v>Rede</v>
      </c>
      <c r="L421" s="1" t="s">
        <v>449</v>
      </c>
      <c r="M421" s="1" t="s">
        <v>260</v>
      </c>
      <c r="N421" s="1" t="s">
        <v>357</v>
      </c>
      <c r="O421" s="72" t="s">
        <v>297</v>
      </c>
      <c r="P421" s="1" t="str">
        <f>_xlfn.CONCAT(B421,C421,D421,E421,F421)</f>
        <v>BC Aracu5.1Inverter(MBUS-1)46093,454861111146093,454861111146093,6111111111</v>
      </c>
      <c r="Q421" s="1" t="str">
        <f>_xlfn.CONCAT(H421,I421,J421)</f>
        <v>DAURDE</v>
      </c>
    </row>
    <row r="422" spans="2:17">
      <c r="B422" s="1" t="s">
        <v>328</v>
      </c>
      <c r="C422" s="1" t="s">
        <v>247</v>
      </c>
      <c r="D422" s="52">
        <v>46093.454861111109</v>
      </c>
      <c r="E422" s="52">
        <v>46093.454861111109</v>
      </c>
      <c r="F422" s="52">
        <v>46093.611111111109</v>
      </c>
      <c r="G422" s="53">
        <f t="shared" si="27"/>
        <v>0.15625</v>
      </c>
      <c r="H422" s="1" t="s">
        <v>257</v>
      </c>
      <c r="J422" s="1" t="s">
        <v>258</v>
      </c>
      <c r="K422" s="1" t="str">
        <f>_xlfn.XLOOKUP(J422,REF!$D$2:$D$12,REF!$E$2:$E$12)</f>
        <v>Rede</v>
      </c>
      <c r="L422" s="1" t="s">
        <v>449</v>
      </c>
      <c r="M422" s="1" t="s">
        <v>260</v>
      </c>
      <c r="N422" s="1" t="s">
        <v>357</v>
      </c>
      <c r="O422" s="72" t="s">
        <v>297</v>
      </c>
      <c r="P422" s="1" t="str">
        <f>_xlfn.CONCAT(B422,C422,D422,E422,F422)</f>
        <v>BC Aracu5.3Inverter(MBUS-1)46093,454861111146093,454861111146093,6111111111</v>
      </c>
      <c r="Q422" s="1" t="str">
        <f>_xlfn.CONCAT(H422,I422,J422)</f>
        <v>DAURDE</v>
      </c>
    </row>
    <row r="423" spans="2:17">
      <c r="B423" s="1" t="s">
        <v>329</v>
      </c>
      <c r="C423" s="1" t="s">
        <v>247</v>
      </c>
      <c r="D423" s="52">
        <v>46093.454861111109</v>
      </c>
      <c r="E423" s="52">
        <v>46093.454861111109</v>
      </c>
      <c r="F423" s="52">
        <v>46093.611111111109</v>
      </c>
      <c r="G423" s="53">
        <f t="shared" si="27"/>
        <v>0.15625</v>
      </c>
      <c r="H423" s="1" t="s">
        <v>257</v>
      </c>
      <c r="J423" s="1" t="s">
        <v>258</v>
      </c>
      <c r="K423" s="1" t="str">
        <f>_xlfn.XLOOKUP(J423,REF!$D$2:$D$12,REF!$E$2:$E$12)</f>
        <v>Rede</v>
      </c>
      <c r="L423" s="1" t="s">
        <v>449</v>
      </c>
      <c r="M423" s="1" t="s">
        <v>260</v>
      </c>
      <c r="N423" s="1" t="s">
        <v>357</v>
      </c>
      <c r="O423" s="72" t="s">
        <v>297</v>
      </c>
      <c r="P423" s="1" t="str">
        <f>_xlfn.CONCAT(B423,C423,D423,E423,F423)</f>
        <v>BC Aracu5.4Inverter(MBUS-1)46093,454861111146093,454861111146093,6111111111</v>
      </c>
      <c r="Q423" s="1" t="str">
        <f>_xlfn.CONCAT(H423,I423,J423)</f>
        <v>DAURDE</v>
      </c>
    </row>
    <row r="424" spans="2:17">
      <c r="B424" s="1" t="s">
        <v>330</v>
      </c>
      <c r="C424" s="1" t="s">
        <v>247</v>
      </c>
      <c r="D424" s="52">
        <v>46093.454861111109</v>
      </c>
      <c r="E424" s="52">
        <v>46093.454861111109</v>
      </c>
      <c r="F424" s="52">
        <v>46093.611111111109</v>
      </c>
      <c r="G424" s="53">
        <f t="shared" si="27"/>
        <v>0.15625</v>
      </c>
      <c r="H424" s="1" t="s">
        <v>257</v>
      </c>
      <c r="J424" s="1" t="s">
        <v>258</v>
      </c>
      <c r="K424" s="1" t="str">
        <f>_xlfn.XLOOKUP(J424,REF!$D$2:$D$12,REF!$E$2:$E$12)</f>
        <v>Rede</v>
      </c>
      <c r="L424" s="1" t="s">
        <v>449</v>
      </c>
      <c r="M424" s="1" t="s">
        <v>260</v>
      </c>
      <c r="N424" s="1" t="s">
        <v>357</v>
      </c>
      <c r="O424" s="72" t="s">
        <v>297</v>
      </c>
      <c r="P424" s="1" t="str">
        <f>_xlfn.CONCAT(B424,C424,D424,E424,F424)</f>
        <v>BC Aracu5.5Inverter(MBUS-1)46093,454861111146093,454861111146093,6111111111</v>
      </c>
      <c r="Q424" s="1" t="str">
        <f>_xlfn.CONCAT(H424,I424,J424)</f>
        <v>DAURDE</v>
      </c>
    </row>
    <row r="425" spans="2:17">
      <c r="B425" s="1" t="s">
        <v>368</v>
      </c>
      <c r="C425" s="1" t="s">
        <v>256</v>
      </c>
      <c r="D425" s="52">
        <v>46093.467361111114</v>
      </c>
      <c r="E425" s="52">
        <v>46093.467361111114</v>
      </c>
      <c r="F425" s="52">
        <v>46093.470833333333</v>
      </c>
      <c r="G425" s="53">
        <f t="shared" si="27"/>
        <v>3.4722222189884633E-3</v>
      </c>
      <c r="H425" s="1" t="s">
        <v>257</v>
      </c>
      <c r="J425" s="1" t="s">
        <v>258</v>
      </c>
      <c r="K425" s="1" t="str">
        <f>_xlfn.XLOOKUP(J425,REF!$D$2:$D$12,REF!$E$2:$E$12)</f>
        <v>Rede</v>
      </c>
      <c r="L425" s="1" t="s">
        <v>450</v>
      </c>
      <c r="M425" s="1" t="s">
        <v>260</v>
      </c>
      <c r="N425" s="1" t="s">
        <v>357</v>
      </c>
      <c r="O425" s="72" t="s">
        <v>297</v>
      </c>
      <c r="P425" s="1" t="str">
        <f>_xlfn.CONCAT(B425,C425,D425,E425,F425)</f>
        <v>BC Ibiuna 1.1Inverter(MBUS-12)46093,467361111146093,467361111146093,4708333333</v>
      </c>
      <c r="Q425" s="1" t="str">
        <f>_xlfn.CONCAT(H425,I425,J425)</f>
        <v>DAURDE</v>
      </c>
    </row>
    <row r="426" spans="2:17">
      <c r="B426" s="1" t="s">
        <v>368</v>
      </c>
      <c r="C426" s="1" t="s">
        <v>264</v>
      </c>
      <c r="D426" s="52">
        <v>46093.467361111114</v>
      </c>
      <c r="E426" s="52">
        <v>46093.467361111114</v>
      </c>
      <c r="F426" s="52">
        <v>46093.470833333333</v>
      </c>
      <c r="G426" s="53">
        <f t="shared" si="27"/>
        <v>3.4722222189884633E-3</v>
      </c>
      <c r="H426" s="1" t="s">
        <v>257</v>
      </c>
      <c r="J426" s="1" t="s">
        <v>258</v>
      </c>
      <c r="K426" s="1" t="str">
        <f>_xlfn.XLOOKUP(J426,REF!$D$2:$D$12,REF!$E$2:$E$12)</f>
        <v>Rede</v>
      </c>
      <c r="L426" s="1" t="s">
        <v>450</v>
      </c>
      <c r="M426" s="1" t="s">
        <v>260</v>
      </c>
      <c r="N426" s="1" t="s">
        <v>357</v>
      </c>
      <c r="O426" s="72" t="s">
        <v>297</v>
      </c>
      <c r="P426" s="1" t="str">
        <f>_xlfn.CONCAT(B426,C426,D426,E426,F426)</f>
        <v>BC Ibiuna 1.1Inverter(MBUS-13)46093,467361111146093,467361111146093,4708333333</v>
      </c>
      <c r="Q426" s="1" t="str">
        <f>_xlfn.CONCAT(H426,I426,J426)</f>
        <v>DAURDE</v>
      </c>
    </row>
    <row r="427" spans="2:17">
      <c r="B427" s="1" t="s">
        <v>368</v>
      </c>
      <c r="C427" s="1" t="s">
        <v>263</v>
      </c>
      <c r="D427" s="52">
        <v>46093.467361111114</v>
      </c>
      <c r="E427" s="52">
        <v>46093.467361111114</v>
      </c>
      <c r="F427" s="52">
        <v>46093.470833333333</v>
      </c>
      <c r="G427" s="53">
        <f t="shared" si="27"/>
        <v>3.4722222189884633E-3</v>
      </c>
      <c r="H427" s="1" t="s">
        <v>257</v>
      </c>
      <c r="J427" s="1" t="s">
        <v>258</v>
      </c>
      <c r="K427" s="1" t="str">
        <f>_xlfn.XLOOKUP(J427,REF!$D$2:$D$12,REF!$E$2:$E$12)</f>
        <v>Rede</v>
      </c>
      <c r="L427" s="1" t="s">
        <v>450</v>
      </c>
      <c r="M427" s="1" t="s">
        <v>260</v>
      </c>
      <c r="N427" s="1" t="s">
        <v>357</v>
      </c>
      <c r="O427" s="72" t="s">
        <v>297</v>
      </c>
      <c r="P427" s="1" t="str">
        <f>_xlfn.CONCAT(B427,C427,D427,E427,F427)</f>
        <v>BC Ibiuna 1.1Inverter(MBUS-14)46093,467361111146093,467361111146093,4708333333</v>
      </c>
      <c r="Q427" s="1" t="str">
        <f>_xlfn.CONCAT(H427,I427,J427)</f>
        <v>DAURDE</v>
      </c>
    </row>
    <row r="428" spans="2:17">
      <c r="B428" s="1" t="s">
        <v>368</v>
      </c>
      <c r="C428" s="1" t="s">
        <v>307</v>
      </c>
      <c r="D428" s="52">
        <v>46093.467361111114</v>
      </c>
      <c r="E428" s="52">
        <v>46093.467361111114</v>
      </c>
      <c r="F428" s="52">
        <v>46093.470833333333</v>
      </c>
      <c r="G428" s="53">
        <f t="shared" si="27"/>
        <v>3.4722222189884633E-3</v>
      </c>
      <c r="H428" s="1" t="s">
        <v>257</v>
      </c>
      <c r="J428" s="1" t="s">
        <v>258</v>
      </c>
      <c r="K428" s="1" t="str">
        <f>_xlfn.XLOOKUP(J428,REF!$D$2:$D$12,REF!$E$2:$E$12)</f>
        <v>Rede</v>
      </c>
      <c r="L428" s="1" t="s">
        <v>450</v>
      </c>
      <c r="M428" s="1" t="s">
        <v>260</v>
      </c>
      <c r="N428" s="1" t="s">
        <v>357</v>
      </c>
      <c r="O428" s="72" t="s">
        <v>297</v>
      </c>
      <c r="P428" s="1" t="str">
        <f t="shared" ref="P428:P476" si="28">_xlfn.CONCAT(B428,C428,D428,E428,F428)</f>
        <v>BC Ibiuna 1.1Inverter(MBUS-15)46093,467361111146093,467361111146093,4708333333</v>
      </c>
      <c r="Q428" s="1" t="str">
        <f>_xlfn.CONCAT(H428,I428,J428)</f>
        <v>DAURDE</v>
      </c>
    </row>
    <row r="429" spans="2:17">
      <c r="B429" s="1" t="s">
        <v>299</v>
      </c>
      <c r="C429" s="1" t="s">
        <v>300</v>
      </c>
      <c r="D429" s="52">
        <v>46093.680555555555</v>
      </c>
      <c r="E429" s="52">
        <v>46093.680555555555</v>
      </c>
      <c r="F429" s="52">
        <v>46094.378472222219</v>
      </c>
      <c r="G429" s="53">
        <f t="shared" si="27"/>
        <v>0.69791666666424135</v>
      </c>
      <c r="H429" s="1" t="s">
        <v>257</v>
      </c>
      <c r="J429" s="1" t="s">
        <v>258</v>
      </c>
      <c r="K429" s="1" t="str">
        <f>_xlfn.XLOOKUP(J429,REF!$D$2:$D$12,REF!$E$2:$E$12)</f>
        <v>Rede</v>
      </c>
      <c r="L429" s="1" t="s">
        <v>451</v>
      </c>
      <c r="M429" s="1" t="s">
        <v>260</v>
      </c>
      <c r="N429" s="1" t="s">
        <v>357</v>
      </c>
      <c r="O429" s="72" t="s">
        <v>452</v>
      </c>
      <c r="P429" s="1" t="str">
        <f t="shared" si="28"/>
        <v>BC Panama1.1ITAPOAN 001 (COM1-001)_001_00146093,680555555646093,680555555646094,3784722222</v>
      </c>
      <c r="Q429" s="1" t="str">
        <f>_xlfn.CONCAT(H429,I429,J429)</f>
        <v>DAURDE</v>
      </c>
    </row>
    <row r="430" spans="2:17">
      <c r="B430" s="1" t="s">
        <v>299</v>
      </c>
      <c r="C430" s="1" t="s">
        <v>303</v>
      </c>
      <c r="D430" s="52">
        <v>46093.680555555555</v>
      </c>
      <c r="E430" s="52">
        <v>46093.680555555555</v>
      </c>
      <c r="F430" s="52">
        <v>46094.378472222219</v>
      </c>
      <c r="G430" s="53">
        <f t="shared" si="27"/>
        <v>0.69791666666424135</v>
      </c>
      <c r="H430" s="1" t="s">
        <v>257</v>
      </c>
      <c r="J430" s="1" t="s">
        <v>258</v>
      </c>
      <c r="K430" s="1" t="str">
        <f>_xlfn.XLOOKUP(J430,REF!$D$2:$D$12,REF!$E$2:$E$12)</f>
        <v>Rede</v>
      </c>
      <c r="L430" s="1" t="s">
        <v>451</v>
      </c>
      <c r="M430" s="1" t="s">
        <v>260</v>
      </c>
      <c r="N430" s="1" t="s">
        <v>357</v>
      </c>
      <c r="O430" s="72" t="s">
        <v>452</v>
      </c>
      <c r="P430" s="1" t="str">
        <f t="shared" si="28"/>
        <v>BC Panama1.1CEREAL_00246093,680555555646093,680555555646094,3784722222</v>
      </c>
      <c r="Q430" s="1" t="str">
        <f>_xlfn.CONCAT(H430,I430,J430)</f>
        <v>DAURDE</v>
      </c>
    </row>
    <row r="431" spans="2:17">
      <c r="B431" s="1" t="s">
        <v>299</v>
      </c>
      <c r="C431" s="1" t="s">
        <v>304</v>
      </c>
      <c r="D431" s="52">
        <v>46093.680555555555</v>
      </c>
      <c r="E431" s="52">
        <v>46093.680555555555</v>
      </c>
      <c r="F431" s="52">
        <v>46094.378472222219</v>
      </c>
      <c r="G431" s="53">
        <f t="shared" si="27"/>
        <v>0.69791666666424135</v>
      </c>
      <c r="H431" s="1" t="s">
        <v>257</v>
      </c>
      <c r="J431" s="1" t="s">
        <v>258</v>
      </c>
      <c r="K431" s="1" t="str">
        <f>_xlfn.XLOOKUP(J431,REF!$D$2:$D$12,REF!$E$2:$E$12)</f>
        <v>Rede</v>
      </c>
      <c r="L431" s="1" t="s">
        <v>451</v>
      </c>
      <c r="M431" s="1" t="s">
        <v>260</v>
      </c>
      <c r="N431" s="1" t="s">
        <v>357</v>
      </c>
      <c r="O431" s="72" t="s">
        <v>452</v>
      </c>
      <c r="P431" s="1" t="str">
        <f t="shared" si="28"/>
        <v>BC Panama1.1ITAPOAN_00346093,680555555646093,680555555646094,3784722222</v>
      </c>
      <c r="Q431" s="1" t="str">
        <f>_xlfn.CONCAT(H431,I431,J431)</f>
        <v>DAURDE</v>
      </c>
    </row>
    <row r="432" spans="2:17">
      <c r="B432" s="1" t="s">
        <v>368</v>
      </c>
      <c r="C432" s="1" t="s">
        <v>256</v>
      </c>
      <c r="D432" s="52">
        <v>46093.821527777778</v>
      </c>
      <c r="E432" s="52">
        <v>46093.821527777778</v>
      </c>
      <c r="F432" s="52">
        <v>46093.84652777778</v>
      </c>
      <c r="G432" s="53">
        <f>F432-E432</f>
        <v>2.5000000001455192E-2</v>
      </c>
      <c r="H432" s="1" t="s">
        <v>257</v>
      </c>
      <c r="J432" s="1" t="s">
        <v>258</v>
      </c>
      <c r="K432" s="1" t="str">
        <f>_xlfn.XLOOKUP(J432,REF!$D$2:$D$12,REF!$E$2:$E$12)</f>
        <v>Rede</v>
      </c>
      <c r="L432" s="1" t="s">
        <v>450</v>
      </c>
      <c r="M432" s="1" t="s">
        <v>260</v>
      </c>
      <c r="N432" s="1" t="s">
        <v>357</v>
      </c>
      <c r="O432" s="72" t="s">
        <v>297</v>
      </c>
      <c r="P432" s="1" t="str">
        <f t="shared" si="28"/>
        <v>BC Ibiuna 1.1Inverter(MBUS-12)46093,821527777846093,821527777846093,8465277778</v>
      </c>
      <c r="Q432" s="1" t="str">
        <f>_xlfn.CONCAT(H432,I432,J432)</f>
        <v>DAURDE</v>
      </c>
    </row>
    <row r="433" spans="2:17">
      <c r="B433" s="1" t="s">
        <v>368</v>
      </c>
      <c r="C433" s="1" t="s">
        <v>264</v>
      </c>
      <c r="D433" s="52">
        <v>46093.821527777778</v>
      </c>
      <c r="E433" s="52">
        <v>46093.821527777778</v>
      </c>
      <c r="F433" s="52">
        <v>46093.84652777778</v>
      </c>
      <c r="G433" s="53">
        <f>F433-E433</f>
        <v>2.5000000001455192E-2</v>
      </c>
      <c r="H433" s="1" t="s">
        <v>257</v>
      </c>
      <c r="J433" s="1" t="s">
        <v>258</v>
      </c>
      <c r="K433" s="1" t="str">
        <f>_xlfn.XLOOKUP(J433,REF!$D$2:$D$12,REF!$E$2:$E$12)</f>
        <v>Rede</v>
      </c>
      <c r="L433" s="1" t="s">
        <v>450</v>
      </c>
      <c r="M433" s="1" t="s">
        <v>260</v>
      </c>
      <c r="N433" s="1" t="s">
        <v>357</v>
      </c>
      <c r="O433" s="72" t="s">
        <v>297</v>
      </c>
      <c r="P433" s="1" t="str">
        <f t="shared" si="28"/>
        <v>BC Ibiuna 1.1Inverter(MBUS-13)46093,821527777846093,821527777846093,8465277778</v>
      </c>
      <c r="Q433" s="1" t="str">
        <f>_xlfn.CONCAT(H433,I433,J433)</f>
        <v>DAURDE</v>
      </c>
    </row>
    <row r="434" spans="2:17">
      <c r="B434" s="1" t="s">
        <v>368</v>
      </c>
      <c r="C434" s="1" t="s">
        <v>263</v>
      </c>
      <c r="D434" s="52">
        <v>46093.821527777778</v>
      </c>
      <c r="E434" s="52">
        <v>46093.821527777778</v>
      </c>
      <c r="F434" s="52">
        <v>46093.84652777778</v>
      </c>
      <c r="G434" s="53">
        <f>F434-E434</f>
        <v>2.5000000001455192E-2</v>
      </c>
      <c r="H434" s="1" t="s">
        <v>257</v>
      </c>
      <c r="J434" s="1" t="s">
        <v>258</v>
      </c>
      <c r="K434" s="1" t="str">
        <f>_xlfn.XLOOKUP(J434,REF!$D$2:$D$12,REF!$E$2:$E$12)</f>
        <v>Rede</v>
      </c>
      <c r="L434" s="1" t="s">
        <v>450</v>
      </c>
      <c r="M434" s="1" t="s">
        <v>260</v>
      </c>
      <c r="N434" s="1" t="s">
        <v>357</v>
      </c>
      <c r="O434" s="72" t="s">
        <v>297</v>
      </c>
      <c r="P434" s="1" t="str">
        <f t="shared" si="28"/>
        <v>BC Ibiuna 1.1Inverter(MBUS-14)46093,821527777846093,821527777846093,8465277778</v>
      </c>
      <c r="Q434" s="1" t="str">
        <f>_xlfn.CONCAT(H434,I434,J434)</f>
        <v>DAURDE</v>
      </c>
    </row>
    <row r="435" spans="2:17">
      <c r="B435" s="1" t="s">
        <v>368</v>
      </c>
      <c r="C435" s="1" t="s">
        <v>307</v>
      </c>
      <c r="D435" s="52">
        <v>46093.821527777778</v>
      </c>
      <c r="E435" s="52">
        <v>46093.821527777778</v>
      </c>
      <c r="F435" s="52">
        <v>46093.84652777778</v>
      </c>
      <c r="G435" s="53">
        <f>F435-E435</f>
        <v>2.5000000001455192E-2</v>
      </c>
      <c r="H435" s="1" t="s">
        <v>257</v>
      </c>
      <c r="J435" s="1" t="s">
        <v>258</v>
      </c>
      <c r="K435" s="1" t="str">
        <f>_xlfn.XLOOKUP(J435,REF!$D$2:$D$12,REF!$E$2:$E$12)</f>
        <v>Rede</v>
      </c>
      <c r="L435" s="1" t="s">
        <v>450</v>
      </c>
      <c r="M435" s="1" t="s">
        <v>260</v>
      </c>
      <c r="N435" s="1" t="s">
        <v>357</v>
      </c>
      <c r="O435" s="72" t="s">
        <v>297</v>
      </c>
      <c r="P435" s="1" t="str">
        <f t="shared" si="28"/>
        <v>BC Ibiuna 1.1Inverter(MBUS-15)46093,821527777846093,821527777846093,8465277778</v>
      </c>
      <c r="Q435" s="1" t="str">
        <f>_xlfn.CONCAT(H435,I435,J435)</f>
        <v>DAURDE</v>
      </c>
    </row>
    <row r="436" spans="2:17">
      <c r="B436" s="1" t="s">
        <v>370</v>
      </c>
      <c r="C436" s="1" t="s">
        <v>256</v>
      </c>
      <c r="D436" s="52">
        <v>46093.821527777778</v>
      </c>
      <c r="E436" s="52">
        <v>46093.821527777778</v>
      </c>
      <c r="F436" s="52">
        <v>46093.84652777778</v>
      </c>
      <c r="G436" s="53">
        <f>F436-E436</f>
        <v>2.5000000001455192E-2</v>
      </c>
      <c r="H436" s="1" t="s">
        <v>257</v>
      </c>
      <c r="J436" s="1" t="s">
        <v>258</v>
      </c>
      <c r="K436" s="1" t="str">
        <f>_xlfn.XLOOKUP(J436,REF!$D$2:$D$12,REF!$E$2:$E$12)</f>
        <v>Rede</v>
      </c>
      <c r="L436" s="1" t="s">
        <v>450</v>
      </c>
      <c r="M436" s="1" t="s">
        <v>260</v>
      </c>
      <c r="N436" s="1" t="s">
        <v>357</v>
      </c>
      <c r="O436" s="72" t="s">
        <v>297</v>
      </c>
      <c r="P436" s="1" t="str">
        <f t="shared" si="28"/>
        <v>BC Ibiuna 1.2Inverter(MBUS-12)46093,821527777846093,821527777846093,8465277778</v>
      </c>
      <c r="Q436" s="1" t="str">
        <f>_xlfn.CONCAT(H436,I436,J436)</f>
        <v>DAURDE</v>
      </c>
    </row>
    <row r="437" spans="2:17">
      <c r="B437" s="1" t="s">
        <v>370</v>
      </c>
      <c r="C437" s="1" t="s">
        <v>264</v>
      </c>
      <c r="D437" s="52">
        <v>46093.821527777778</v>
      </c>
      <c r="E437" s="52">
        <v>46093.821527777778</v>
      </c>
      <c r="F437" s="52">
        <v>46093.84652777778</v>
      </c>
      <c r="G437" s="53">
        <f>F437-E437</f>
        <v>2.5000000001455192E-2</v>
      </c>
      <c r="H437" s="1" t="s">
        <v>257</v>
      </c>
      <c r="J437" s="1" t="s">
        <v>258</v>
      </c>
      <c r="K437" s="1" t="str">
        <f>_xlfn.XLOOKUP(J437,REF!$D$2:$D$12,REF!$E$2:$E$12)</f>
        <v>Rede</v>
      </c>
      <c r="L437" s="1" t="s">
        <v>450</v>
      </c>
      <c r="M437" s="1" t="s">
        <v>260</v>
      </c>
      <c r="N437" s="1" t="s">
        <v>357</v>
      </c>
      <c r="O437" s="72" t="s">
        <v>297</v>
      </c>
      <c r="P437" s="1" t="str">
        <f t="shared" si="28"/>
        <v>BC Ibiuna 1.2Inverter(MBUS-13)46093,821527777846093,821527777846093,8465277778</v>
      </c>
      <c r="Q437" s="1" t="str">
        <f>_xlfn.CONCAT(H437,I437,J437)</f>
        <v>DAURDE</v>
      </c>
    </row>
    <row r="438" spans="2:17">
      <c r="B438" s="1" t="s">
        <v>370</v>
      </c>
      <c r="C438" s="1" t="s">
        <v>263</v>
      </c>
      <c r="D438" s="52">
        <v>46093.821527777778</v>
      </c>
      <c r="E438" s="52">
        <v>46093.821527777778</v>
      </c>
      <c r="F438" s="52">
        <v>46093.84652777778</v>
      </c>
      <c r="G438" s="53">
        <f>F438-E438</f>
        <v>2.5000000001455192E-2</v>
      </c>
      <c r="H438" s="1" t="s">
        <v>257</v>
      </c>
      <c r="J438" s="1" t="s">
        <v>258</v>
      </c>
      <c r="K438" s="1" t="str">
        <f>_xlfn.XLOOKUP(J438,REF!$D$2:$D$12,REF!$E$2:$E$12)</f>
        <v>Rede</v>
      </c>
      <c r="L438" s="1" t="s">
        <v>450</v>
      </c>
      <c r="M438" s="1" t="s">
        <v>260</v>
      </c>
      <c r="N438" s="1" t="s">
        <v>357</v>
      </c>
      <c r="O438" s="72" t="s">
        <v>297</v>
      </c>
      <c r="P438" s="1" t="str">
        <f t="shared" si="28"/>
        <v>BC Ibiuna 1.2Inverter(MBUS-14)46093,821527777846093,821527777846093,8465277778</v>
      </c>
      <c r="Q438" s="1" t="str">
        <f>_xlfn.CONCAT(H438,I438,J438)</f>
        <v>DAURDE</v>
      </c>
    </row>
    <row r="439" spans="2:17">
      <c r="B439" s="1" t="s">
        <v>370</v>
      </c>
      <c r="C439" s="1" t="s">
        <v>307</v>
      </c>
      <c r="D439" s="52">
        <v>46093.821527777778</v>
      </c>
      <c r="E439" s="52">
        <v>46093.821527777778</v>
      </c>
      <c r="F439" s="52">
        <v>46093.84652777778</v>
      </c>
      <c r="G439" s="53">
        <f>F439-E439</f>
        <v>2.5000000001455192E-2</v>
      </c>
      <c r="H439" s="1" t="s">
        <v>257</v>
      </c>
      <c r="J439" s="1" t="s">
        <v>258</v>
      </c>
      <c r="K439" s="1" t="str">
        <f>_xlfn.XLOOKUP(J439,REF!$D$2:$D$12,REF!$E$2:$E$12)</f>
        <v>Rede</v>
      </c>
      <c r="L439" s="1" t="s">
        <v>450</v>
      </c>
      <c r="M439" s="1" t="s">
        <v>260</v>
      </c>
      <c r="N439" s="1" t="s">
        <v>357</v>
      </c>
      <c r="O439" s="72" t="s">
        <v>297</v>
      </c>
      <c r="P439" s="1" t="str">
        <f t="shared" si="28"/>
        <v>BC Ibiuna 1.2Inverter(MBUS-15)46093,821527777846093,821527777846093,8465277778</v>
      </c>
      <c r="Q439" s="1" t="str">
        <f>_xlfn.CONCAT(H439,I439,J439)</f>
        <v>DAURDE</v>
      </c>
    </row>
    <row r="440" spans="2:17">
      <c r="B440" s="1" t="s">
        <v>255</v>
      </c>
      <c r="C440" s="1" t="s">
        <v>256</v>
      </c>
      <c r="D440" s="52">
        <v>46093.899305555555</v>
      </c>
      <c r="E440" s="52">
        <v>46093.899305555555</v>
      </c>
      <c r="F440" s="52">
        <v>46094.357638888891</v>
      </c>
      <c r="G440" s="53">
        <f>F440-E440</f>
        <v>0.45833333333575865</v>
      </c>
      <c r="H440" s="1" t="s">
        <v>257</v>
      </c>
      <c r="J440" s="1" t="s">
        <v>258</v>
      </c>
      <c r="K440" s="1" t="str">
        <f>_xlfn.XLOOKUP(J440,REF!$D$2:$D$12,REF!$E$2:$E$12)</f>
        <v>Rede</v>
      </c>
      <c r="L440" s="1" t="s">
        <v>259</v>
      </c>
      <c r="M440" s="1" t="s">
        <v>260</v>
      </c>
      <c r="N440" s="1" t="s">
        <v>357</v>
      </c>
      <c r="O440" s="72" t="s">
        <v>297</v>
      </c>
      <c r="P440" s="1" t="str">
        <f t="shared" si="28"/>
        <v>BC Formoso2.1Inverter(MBUS-12)46093,899305555646093,899305555646094,3576388889</v>
      </c>
      <c r="Q440" s="1" t="str">
        <f>_xlfn.CONCAT(H440,I440,J440)</f>
        <v>DAURDE</v>
      </c>
    </row>
    <row r="441" spans="2:17">
      <c r="B441" s="1" t="s">
        <v>255</v>
      </c>
      <c r="C441" s="1" t="s">
        <v>263</v>
      </c>
      <c r="D441" s="52">
        <v>46093.899305555555</v>
      </c>
      <c r="E441" s="52">
        <v>46093.899305555555</v>
      </c>
      <c r="F441" s="52">
        <v>46094.357638888891</v>
      </c>
      <c r="G441" s="53">
        <f>F441-E441</f>
        <v>0.45833333333575865</v>
      </c>
      <c r="H441" s="1" t="s">
        <v>257</v>
      </c>
      <c r="J441" s="1" t="s">
        <v>258</v>
      </c>
      <c r="K441" s="1" t="str">
        <f>_xlfn.XLOOKUP(J441,REF!$D$2:$D$12,REF!$E$2:$E$12)</f>
        <v>Rede</v>
      </c>
      <c r="L441" s="1" t="s">
        <v>259</v>
      </c>
      <c r="M441" s="1" t="s">
        <v>260</v>
      </c>
      <c r="N441" s="1" t="s">
        <v>357</v>
      </c>
      <c r="O441" s="72" t="s">
        <v>297</v>
      </c>
      <c r="P441" s="1" t="str">
        <f t="shared" si="28"/>
        <v>BC Formoso2.1Inverter(MBUS-14)46093,899305555646093,899305555646094,3576388889</v>
      </c>
      <c r="Q441" s="1" t="str">
        <f>_xlfn.CONCAT(H441,I441,J441)</f>
        <v>DAURDE</v>
      </c>
    </row>
    <row r="442" spans="2:17">
      <c r="B442" s="1" t="s">
        <v>255</v>
      </c>
      <c r="C442" s="1" t="s">
        <v>264</v>
      </c>
      <c r="D442" s="52">
        <v>46093.899305555555</v>
      </c>
      <c r="E442" s="52">
        <v>46093.899305555555</v>
      </c>
      <c r="F442" s="52">
        <v>46094.357638888891</v>
      </c>
      <c r="G442" s="53">
        <f>F442-E442</f>
        <v>0.45833333333575865</v>
      </c>
      <c r="H442" s="1" t="s">
        <v>257</v>
      </c>
      <c r="J442" s="1" t="s">
        <v>258</v>
      </c>
      <c r="K442" s="1" t="str">
        <f>_xlfn.XLOOKUP(J442,REF!$D$2:$D$12,REF!$E$2:$E$12)</f>
        <v>Rede</v>
      </c>
      <c r="L442" s="1" t="s">
        <v>259</v>
      </c>
      <c r="M442" s="1" t="s">
        <v>260</v>
      </c>
      <c r="N442" s="1" t="s">
        <v>357</v>
      </c>
      <c r="O442" s="72" t="s">
        <v>297</v>
      </c>
      <c r="P442" s="1" t="str">
        <f t="shared" si="28"/>
        <v>BC Formoso2.1Inverter(MBUS-13)46093,899305555646093,899305555646094,3576388889</v>
      </c>
      <c r="Q442" s="1" t="str">
        <f>_xlfn.CONCAT(H442,I442,J442)</f>
        <v>DAURDE</v>
      </c>
    </row>
    <row r="443" spans="2:17">
      <c r="B443" s="1" t="s">
        <v>255</v>
      </c>
      <c r="C443" s="1" t="s">
        <v>247</v>
      </c>
      <c r="D443" s="52">
        <v>46093.899305555555</v>
      </c>
      <c r="E443" s="52">
        <v>46093.899305555555</v>
      </c>
      <c r="F443" s="52">
        <v>46094.357638888891</v>
      </c>
      <c r="G443" s="53">
        <f>F443-E443</f>
        <v>0.45833333333575865</v>
      </c>
      <c r="H443" s="1" t="s">
        <v>257</v>
      </c>
      <c r="J443" s="1" t="s">
        <v>258</v>
      </c>
      <c r="K443" s="1" t="str">
        <f>_xlfn.XLOOKUP(J443,REF!$D$2:$D$12,REF!$E$2:$E$12)</f>
        <v>Rede</v>
      </c>
      <c r="L443" s="1" t="s">
        <v>259</v>
      </c>
      <c r="M443" s="1" t="s">
        <v>260</v>
      </c>
      <c r="N443" s="1" t="s">
        <v>357</v>
      </c>
      <c r="O443" s="72" t="s">
        <v>297</v>
      </c>
      <c r="P443" s="1" t="str">
        <f t="shared" si="28"/>
        <v>BC Formoso2.1Inverter(MBUS-1)46093,899305555646093,899305555646094,3576388889</v>
      </c>
      <c r="Q443" s="1" t="str">
        <f>_xlfn.CONCAT(H443,I443,J443)</f>
        <v>DAURDE</v>
      </c>
    </row>
    <row r="444" spans="2:17">
      <c r="B444" s="1" t="s">
        <v>265</v>
      </c>
      <c r="C444" s="1" t="s">
        <v>263</v>
      </c>
      <c r="D444" s="52">
        <v>46093.899305555555</v>
      </c>
      <c r="E444" s="52">
        <v>46093.899305555555</v>
      </c>
      <c r="F444" s="52">
        <v>46094.357638888891</v>
      </c>
      <c r="G444" s="53">
        <f>F444-E444</f>
        <v>0.45833333333575865</v>
      </c>
      <c r="H444" s="1" t="s">
        <v>257</v>
      </c>
      <c r="J444" s="1" t="s">
        <v>258</v>
      </c>
      <c r="K444" s="1" t="str">
        <f>_xlfn.XLOOKUP(J444,REF!$D$2:$D$12,REF!$E$2:$E$12)</f>
        <v>Rede</v>
      </c>
      <c r="L444" s="1" t="s">
        <v>259</v>
      </c>
      <c r="M444" s="1" t="s">
        <v>260</v>
      </c>
      <c r="N444" s="1" t="s">
        <v>357</v>
      </c>
      <c r="O444" s="72" t="s">
        <v>297</v>
      </c>
      <c r="P444" s="1" t="str">
        <f t="shared" si="28"/>
        <v>BC Formoso2.2Inverter(MBUS-14)46093,899305555646093,899305555646094,3576388889</v>
      </c>
      <c r="Q444" s="1" t="str">
        <f>_xlfn.CONCAT(H444,I444,J444)</f>
        <v>DAURDE</v>
      </c>
    </row>
    <row r="445" spans="2:17">
      <c r="B445" s="1" t="s">
        <v>265</v>
      </c>
      <c r="C445" s="1" t="s">
        <v>264</v>
      </c>
      <c r="D445" s="52">
        <v>46093.899305555555</v>
      </c>
      <c r="E445" s="52">
        <v>46093.899305555555</v>
      </c>
      <c r="F445" s="52">
        <v>46094.357638888891</v>
      </c>
      <c r="G445" s="53">
        <f>F445-E445</f>
        <v>0.45833333333575865</v>
      </c>
      <c r="H445" s="1" t="s">
        <v>257</v>
      </c>
      <c r="J445" s="1" t="s">
        <v>258</v>
      </c>
      <c r="K445" s="1" t="str">
        <f>_xlfn.XLOOKUP(J445,REF!$D$2:$D$12,REF!$E$2:$E$12)</f>
        <v>Rede</v>
      </c>
      <c r="L445" s="1" t="s">
        <v>259</v>
      </c>
      <c r="M445" s="1" t="s">
        <v>260</v>
      </c>
      <c r="N445" s="1" t="s">
        <v>357</v>
      </c>
      <c r="O445" s="72" t="s">
        <v>297</v>
      </c>
      <c r="P445" s="1" t="str">
        <f t="shared" si="28"/>
        <v>BC Formoso2.2Inverter(MBUS-13)46093,899305555646093,899305555646094,3576388889</v>
      </c>
      <c r="Q445" s="1" t="str">
        <f>_xlfn.CONCAT(H445,I445,J445)</f>
        <v>DAURDE</v>
      </c>
    </row>
    <row r="446" spans="2:17">
      <c r="B446" s="1" t="s">
        <v>265</v>
      </c>
      <c r="C446" s="1" t="s">
        <v>256</v>
      </c>
      <c r="D446" s="52">
        <v>46093.899305555555</v>
      </c>
      <c r="E446" s="52">
        <v>46093.899305555555</v>
      </c>
      <c r="F446" s="52">
        <v>46094.357638888891</v>
      </c>
      <c r="G446" s="53">
        <f>F446-E446</f>
        <v>0.45833333333575865</v>
      </c>
      <c r="H446" s="1" t="s">
        <v>257</v>
      </c>
      <c r="J446" s="1" t="s">
        <v>258</v>
      </c>
      <c r="K446" s="1" t="str">
        <f>_xlfn.XLOOKUP(J446,REF!$D$2:$D$12,REF!$E$2:$E$12)</f>
        <v>Rede</v>
      </c>
      <c r="L446" s="1" t="s">
        <v>259</v>
      </c>
      <c r="M446" s="1" t="s">
        <v>260</v>
      </c>
      <c r="N446" s="1" t="s">
        <v>357</v>
      </c>
      <c r="O446" s="72" t="s">
        <v>297</v>
      </c>
      <c r="P446" s="1" t="str">
        <f t="shared" si="28"/>
        <v>BC Formoso2.2Inverter(MBUS-12)46093,899305555646093,899305555646094,3576388889</v>
      </c>
      <c r="Q446" s="1" t="str">
        <f>_xlfn.CONCAT(H446,I446,J446)</f>
        <v>DAURDE</v>
      </c>
    </row>
    <row r="447" spans="2:17">
      <c r="B447" s="1" t="s">
        <v>265</v>
      </c>
      <c r="C447" s="1" t="s">
        <v>247</v>
      </c>
      <c r="D447" s="52">
        <v>46093.899305555555</v>
      </c>
      <c r="E447" s="52">
        <v>46093.899305555555</v>
      </c>
      <c r="F447" s="52">
        <v>46094.357638888891</v>
      </c>
      <c r="G447" s="53">
        <f>F447-E447</f>
        <v>0.45833333333575865</v>
      </c>
      <c r="H447" s="1" t="s">
        <v>257</v>
      </c>
      <c r="J447" s="1" t="s">
        <v>258</v>
      </c>
      <c r="K447" s="1" t="str">
        <f>_xlfn.XLOOKUP(J447,REF!$D$2:$D$12,REF!$E$2:$E$12)</f>
        <v>Rede</v>
      </c>
      <c r="L447" s="1" t="s">
        <v>259</v>
      </c>
      <c r="M447" s="1" t="s">
        <v>260</v>
      </c>
      <c r="N447" s="1" t="s">
        <v>357</v>
      </c>
      <c r="O447" s="72" t="s">
        <v>297</v>
      </c>
      <c r="P447" s="1" t="str">
        <f t="shared" si="28"/>
        <v>BC Formoso2.2Inverter(MBUS-1)46093,899305555646093,899305555646094,3576388889</v>
      </c>
      <c r="Q447" s="1" t="str">
        <f>_xlfn.CONCAT(H447,I447,J447)</f>
        <v>DAURDE</v>
      </c>
    </row>
    <row r="448" spans="2:17">
      <c r="B448" s="1" t="s">
        <v>355</v>
      </c>
      <c r="C448" s="1" t="s">
        <v>264</v>
      </c>
      <c r="D448" s="52">
        <v>46093.899305555555</v>
      </c>
      <c r="E448" s="52">
        <v>46093.899305555555</v>
      </c>
      <c r="F448" s="52">
        <v>46094.357638888891</v>
      </c>
      <c r="G448" s="53">
        <f>F448-E448</f>
        <v>0.45833333333575865</v>
      </c>
      <c r="H448" s="1" t="s">
        <v>257</v>
      </c>
      <c r="J448" s="1" t="s">
        <v>258</v>
      </c>
      <c r="K448" s="1" t="str">
        <f>_xlfn.XLOOKUP(J448,REF!$D$2:$D$12,REF!$E$2:$E$12)</f>
        <v>Rede</v>
      </c>
      <c r="L448" s="1" t="s">
        <v>259</v>
      </c>
      <c r="M448" s="1" t="s">
        <v>260</v>
      </c>
      <c r="N448" s="1" t="s">
        <v>357</v>
      </c>
      <c r="O448" s="72" t="s">
        <v>297</v>
      </c>
      <c r="P448" s="1" t="str">
        <f t="shared" si="28"/>
        <v>BC Formoso2.3Inverter(MBUS-13)46093,899305555646093,899305555646094,3576388889</v>
      </c>
      <c r="Q448" s="1" t="str">
        <f>_xlfn.CONCAT(H448,I448,J448)</f>
        <v>DAURDE</v>
      </c>
    </row>
    <row r="449" spans="2:17">
      <c r="B449" s="1" t="s">
        <v>355</v>
      </c>
      <c r="C449" s="1" t="s">
        <v>256</v>
      </c>
      <c r="D449" s="52">
        <v>46093.899305555555</v>
      </c>
      <c r="E449" s="52">
        <v>46093.899305555555</v>
      </c>
      <c r="F449" s="52">
        <v>46094.357638888891</v>
      </c>
      <c r="G449" s="53">
        <f>F449-E449</f>
        <v>0.45833333333575865</v>
      </c>
      <c r="H449" s="1" t="s">
        <v>257</v>
      </c>
      <c r="J449" s="1" t="s">
        <v>258</v>
      </c>
      <c r="K449" s="1" t="str">
        <f>_xlfn.XLOOKUP(J449,REF!$D$2:$D$12,REF!$E$2:$E$12)</f>
        <v>Rede</v>
      </c>
      <c r="L449" s="1" t="s">
        <v>259</v>
      </c>
      <c r="M449" s="1" t="s">
        <v>260</v>
      </c>
      <c r="N449" s="1" t="s">
        <v>357</v>
      </c>
      <c r="O449" s="72" t="s">
        <v>297</v>
      </c>
      <c r="P449" s="1" t="str">
        <f t="shared" si="28"/>
        <v>BC Formoso2.3Inverter(MBUS-12)46093,899305555646093,899305555646094,3576388889</v>
      </c>
      <c r="Q449" s="1" t="str">
        <f>_xlfn.CONCAT(H449,I449,J449)</f>
        <v>DAURDE</v>
      </c>
    </row>
    <row r="450" spans="2:17">
      <c r="B450" s="1" t="s">
        <v>368</v>
      </c>
      <c r="C450" s="1" t="s">
        <v>256</v>
      </c>
      <c r="D450" s="52">
        <v>46094.479166666664</v>
      </c>
      <c r="E450" s="52">
        <v>46094.479166666664</v>
      </c>
      <c r="F450" s="52">
        <v>46094.689583333333</v>
      </c>
      <c r="G450" s="53">
        <f>F450-E450</f>
        <v>0.21041666666860692</v>
      </c>
      <c r="H450" s="1" t="s">
        <v>257</v>
      </c>
      <c r="J450" s="1" t="s">
        <v>258</v>
      </c>
      <c r="K450" s="1" t="str">
        <f>_xlfn.XLOOKUP(J450,REF!$D$2:$D$12,REF!$E$2:$E$12)</f>
        <v>Rede</v>
      </c>
      <c r="L450" s="1" t="s">
        <v>259</v>
      </c>
      <c r="M450" s="1" t="s">
        <v>260</v>
      </c>
      <c r="N450" s="1" t="s">
        <v>357</v>
      </c>
      <c r="O450" s="1" t="s">
        <v>453</v>
      </c>
      <c r="P450" s="1" t="str">
        <f t="shared" si="28"/>
        <v>BC Ibiuna 1.1Inverter(MBUS-12)46094,479166666746094,479166666746094,6895833333</v>
      </c>
      <c r="Q450" s="1" t="str">
        <f>_xlfn.CONCAT(H450,I450,J450)</f>
        <v>DAURDE</v>
      </c>
    </row>
    <row r="451" spans="2:17">
      <c r="B451" s="1" t="s">
        <v>368</v>
      </c>
      <c r="C451" s="1" t="s">
        <v>264</v>
      </c>
      <c r="D451" s="52">
        <v>46094.479166666664</v>
      </c>
      <c r="E451" s="52">
        <v>46094.479166666664</v>
      </c>
      <c r="F451" s="52">
        <v>46094.689583333333</v>
      </c>
      <c r="G451" s="53">
        <f>F451-E451</f>
        <v>0.21041666666860692</v>
      </c>
      <c r="H451" s="1" t="s">
        <v>257</v>
      </c>
      <c r="J451" s="1" t="s">
        <v>258</v>
      </c>
      <c r="K451" s="1" t="str">
        <f>_xlfn.XLOOKUP(J451,REF!$D$2:$D$12,REF!$E$2:$E$12)</f>
        <v>Rede</v>
      </c>
      <c r="L451" s="1" t="s">
        <v>259</v>
      </c>
      <c r="M451" s="1" t="s">
        <v>260</v>
      </c>
      <c r="N451" s="1" t="s">
        <v>357</v>
      </c>
      <c r="O451" s="1" t="s">
        <v>453</v>
      </c>
      <c r="P451" s="1" t="str">
        <f t="shared" si="28"/>
        <v>BC Ibiuna 1.1Inverter(MBUS-13)46094,479166666746094,479166666746094,6895833333</v>
      </c>
      <c r="Q451" s="1" t="str">
        <f>_xlfn.CONCAT(H451,I451,J451)</f>
        <v>DAURDE</v>
      </c>
    </row>
    <row r="452" spans="2:17">
      <c r="B452" s="1" t="s">
        <v>368</v>
      </c>
      <c r="C452" s="1" t="s">
        <v>263</v>
      </c>
      <c r="D452" s="52">
        <v>46094.479166666664</v>
      </c>
      <c r="E452" s="52">
        <v>46094.479166666664</v>
      </c>
      <c r="F452" s="52">
        <v>46094.689583333333</v>
      </c>
      <c r="G452" s="53">
        <f>F452-E452</f>
        <v>0.21041666666860692</v>
      </c>
      <c r="H452" s="1" t="s">
        <v>257</v>
      </c>
      <c r="J452" s="1" t="s">
        <v>258</v>
      </c>
      <c r="K452" s="1" t="str">
        <f>_xlfn.XLOOKUP(J452,REF!$D$2:$D$12,REF!$E$2:$E$12)</f>
        <v>Rede</v>
      </c>
      <c r="L452" s="1" t="s">
        <v>259</v>
      </c>
      <c r="M452" s="1" t="s">
        <v>260</v>
      </c>
      <c r="N452" s="1" t="s">
        <v>357</v>
      </c>
      <c r="O452" s="1" t="s">
        <v>453</v>
      </c>
      <c r="P452" s="1" t="str">
        <f t="shared" si="28"/>
        <v>BC Ibiuna 1.1Inverter(MBUS-14)46094,479166666746094,479166666746094,6895833333</v>
      </c>
      <c r="Q452" s="1" t="str">
        <f>_xlfn.CONCAT(H452,I452,J452)</f>
        <v>DAURDE</v>
      </c>
    </row>
    <row r="453" spans="2:17">
      <c r="B453" s="1" t="s">
        <v>368</v>
      </c>
      <c r="C453" s="1" t="s">
        <v>307</v>
      </c>
      <c r="D453" s="52">
        <v>46094.479166666664</v>
      </c>
      <c r="E453" s="52">
        <v>46094.479166666664</v>
      </c>
      <c r="F453" s="52">
        <v>46094.689583333333</v>
      </c>
      <c r="G453" s="53">
        <f>F453-E453</f>
        <v>0.21041666666860692</v>
      </c>
      <c r="H453" s="1" t="s">
        <v>257</v>
      </c>
      <c r="J453" s="1" t="s">
        <v>258</v>
      </c>
      <c r="K453" s="1" t="str">
        <f>_xlfn.XLOOKUP(J453,REF!$D$2:$D$12,REF!$E$2:$E$12)</f>
        <v>Rede</v>
      </c>
      <c r="L453" s="1" t="s">
        <v>259</v>
      </c>
      <c r="M453" s="1" t="s">
        <v>260</v>
      </c>
      <c r="N453" s="1" t="s">
        <v>357</v>
      </c>
      <c r="O453" s="1" t="s">
        <v>453</v>
      </c>
      <c r="P453" s="1" t="str">
        <f t="shared" si="28"/>
        <v>BC Ibiuna 1.1Inverter(MBUS-15)46094,479166666746094,479166666746094,6895833333</v>
      </c>
      <c r="Q453" s="1" t="str">
        <f>_xlfn.CONCAT(H453,I453,J453)</f>
        <v>DAURDE</v>
      </c>
    </row>
    <row r="454" spans="2:17">
      <c r="B454" s="1" t="s">
        <v>370</v>
      </c>
      <c r="C454" s="1" t="s">
        <v>256</v>
      </c>
      <c r="D454" s="52">
        <v>46094.479166666664</v>
      </c>
      <c r="E454" s="52">
        <v>46094.479166666664</v>
      </c>
      <c r="F454" s="52">
        <v>46094.689583333333</v>
      </c>
      <c r="G454" s="53">
        <f>F454-E454</f>
        <v>0.21041666666860692</v>
      </c>
      <c r="H454" s="1" t="s">
        <v>257</v>
      </c>
      <c r="J454" s="1" t="s">
        <v>258</v>
      </c>
      <c r="K454" s="1" t="str">
        <f>_xlfn.XLOOKUP(J454,REF!$D$2:$D$12,REF!$E$2:$E$12)</f>
        <v>Rede</v>
      </c>
      <c r="L454" s="1" t="s">
        <v>259</v>
      </c>
      <c r="M454" s="1" t="s">
        <v>260</v>
      </c>
      <c r="N454" s="1" t="s">
        <v>357</v>
      </c>
      <c r="O454" s="1" t="s">
        <v>453</v>
      </c>
      <c r="P454" s="1" t="str">
        <f t="shared" si="28"/>
        <v>BC Ibiuna 1.2Inverter(MBUS-12)46094,479166666746094,479166666746094,6895833333</v>
      </c>
      <c r="Q454" s="1" t="str">
        <f>_xlfn.CONCAT(H454,I454,J454)</f>
        <v>DAURDE</v>
      </c>
    </row>
    <row r="455" spans="2:17">
      <c r="B455" s="1" t="s">
        <v>370</v>
      </c>
      <c r="C455" s="1" t="s">
        <v>264</v>
      </c>
      <c r="D455" s="52">
        <v>46094.479166666664</v>
      </c>
      <c r="E455" s="52">
        <v>46094.479166666664</v>
      </c>
      <c r="F455" s="52">
        <v>46094.689583333333</v>
      </c>
      <c r="G455" s="53">
        <f>F455-E455</f>
        <v>0.21041666666860692</v>
      </c>
      <c r="H455" s="1" t="s">
        <v>257</v>
      </c>
      <c r="J455" s="1" t="s">
        <v>258</v>
      </c>
      <c r="K455" s="1" t="str">
        <f>_xlfn.XLOOKUP(J455,REF!$D$2:$D$12,REF!$E$2:$E$12)</f>
        <v>Rede</v>
      </c>
      <c r="L455" s="1" t="s">
        <v>259</v>
      </c>
      <c r="M455" s="1" t="s">
        <v>260</v>
      </c>
      <c r="N455" s="1" t="s">
        <v>357</v>
      </c>
      <c r="O455" s="1" t="s">
        <v>453</v>
      </c>
      <c r="P455" s="1" t="str">
        <f t="shared" si="28"/>
        <v>BC Ibiuna 1.2Inverter(MBUS-13)46094,479166666746094,479166666746094,6895833333</v>
      </c>
      <c r="Q455" s="1" t="str">
        <f>_xlfn.CONCAT(H455,I455,J455)</f>
        <v>DAURDE</v>
      </c>
    </row>
    <row r="456" spans="2:17">
      <c r="B456" s="1" t="s">
        <v>370</v>
      </c>
      <c r="C456" s="1" t="s">
        <v>263</v>
      </c>
      <c r="D456" s="52">
        <v>46094.479166666664</v>
      </c>
      <c r="E456" s="52">
        <v>46094.479166666664</v>
      </c>
      <c r="F456" s="52">
        <v>46094.689583333333</v>
      </c>
      <c r="G456" s="53">
        <f>F456-E456</f>
        <v>0.21041666666860692</v>
      </c>
      <c r="H456" s="1" t="s">
        <v>257</v>
      </c>
      <c r="J456" s="1" t="s">
        <v>258</v>
      </c>
      <c r="K456" s="1" t="str">
        <f>_xlfn.XLOOKUP(J456,REF!$D$2:$D$12,REF!$E$2:$E$12)</f>
        <v>Rede</v>
      </c>
      <c r="L456" s="1" t="s">
        <v>259</v>
      </c>
      <c r="M456" s="1" t="s">
        <v>260</v>
      </c>
      <c r="N456" s="1" t="s">
        <v>357</v>
      </c>
      <c r="O456" s="1" t="s">
        <v>453</v>
      </c>
      <c r="P456" s="1" t="str">
        <f t="shared" si="28"/>
        <v>BC Ibiuna 1.2Inverter(MBUS-14)46094,479166666746094,479166666746094,6895833333</v>
      </c>
      <c r="Q456" s="1" t="str">
        <f>_xlfn.CONCAT(H456,I456,J456)</f>
        <v>DAURDE</v>
      </c>
    </row>
    <row r="457" spans="2:17">
      <c r="B457" s="1" t="s">
        <v>370</v>
      </c>
      <c r="C457" s="1" t="s">
        <v>307</v>
      </c>
      <c r="D457" s="52">
        <v>46094.479166666664</v>
      </c>
      <c r="E457" s="52">
        <v>46094.479166666664</v>
      </c>
      <c r="F457" s="52">
        <v>46094.689583333333</v>
      </c>
      <c r="G457" s="53">
        <f>F457-E457</f>
        <v>0.21041666666860692</v>
      </c>
      <c r="H457" s="1" t="s">
        <v>257</v>
      </c>
      <c r="J457" s="1" t="s">
        <v>258</v>
      </c>
      <c r="K457" s="1" t="str">
        <f>_xlfn.XLOOKUP(J457,REF!$D$2:$D$12,REF!$E$2:$E$12)</f>
        <v>Rede</v>
      </c>
      <c r="L457" s="1" t="s">
        <v>259</v>
      </c>
      <c r="M457" s="1" t="s">
        <v>260</v>
      </c>
      <c r="N457" s="1" t="s">
        <v>357</v>
      </c>
      <c r="O457" s="1" t="s">
        <v>453</v>
      </c>
      <c r="P457" s="1" t="str">
        <f t="shared" si="28"/>
        <v>BC Ibiuna 1.2Inverter(MBUS-15)46094,479166666746094,479166666746094,6895833333</v>
      </c>
      <c r="Q457" s="1" t="str">
        <f>_xlfn.CONCAT(H457,I457,J457)</f>
        <v>DAURDE</v>
      </c>
    </row>
    <row r="458" spans="2:17">
      <c r="B458" s="1" t="s">
        <v>305</v>
      </c>
      <c r="C458" s="1" t="s">
        <v>256</v>
      </c>
      <c r="D458" s="52">
        <v>46094.642361111109</v>
      </c>
      <c r="E458" s="52">
        <v>46094.642361111109</v>
      </c>
      <c r="F458" s="52">
        <v>46094.690972222219</v>
      </c>
      <c r="G458" s="53">
        <f>F458-E458</f>
        <v>4.8611111109494232E-2</v>
      </c>
      <c r="H458" s="1" t="s">
        <v>257</v>
      </c>
      <c r="J458" s="1" t="s">
        <v>258</v>
      </c>
      <c r="K458" s="1" t="str">
        <f>_xlfn.XLOOKUP(J458,REF!$D$2:$D$12,REF!$E$2:$E$12)</f>
        <v>Rede</v>
      </c>
      <c r="L458" s="1" t="s">
        <v>353</v>
      </c>
      <c r="M458" s="1" t="s">
        <v>260</v>
      </c>
      <c r="N458" s="1" t="s">
        <v>357</v>
      </c>
      <c r="O458" s="72" t="s">
        <v>297</v>
      </c>
      <c r="P458" s="1" t="str">
        <f t="shared" si="28"/>
        <v>ARAGUATINS 1.1Inverter(MBUS-12)46094,642361111146094,642361111146094,6909722222</v>
      </c>
      <c r="Q458" s="1" t="str">
        <f>_xlfn.CONCAT(H458,I458,J458)</f>
        <v>DAURDE</v>
      </c>
    </row>
    <row r="459" spans="2:17">
      <c r="B459" s="1" t="s">
        <v>305</v>
      </c>
      <c r="C459" s="1" t="s">
        <v>264</v>
      </c>
      <c r="D459" s="52">
        <v>46094.642361111109</v>
      </c>
      <c r="E459" s="52">
        <v>46094.642361111109</v>
      </c>
      <c r="F459" s="52">
        <v>46094.690972222219</v>
      </c>
      <c r="G459" s="53">
        <f>F459-E459</f>
        <v>4.8611111109494232E-2</v>
      </c>
      <c r="H459" s="1" t="s">
        <v>257</v>
      </c>
      <c r="J459" s="1" t="s">
        <v>258</v>
      </c>
      <c r="K459" s="1" t="str">
        <f>_xlfn.XLOOKUP(J459,REF!$D$2:$D$12,REF!$E$2:$E$12)</f>
        <v>Rede</v>
      </c>
      <c r="L459" s="1" t="s">
        <v>353</v>
      </c>
      <c r="M459" s="1" t="s">
        <v>260</v>
      </c>
      <c r="N459" s="1" t="s">
        <v>357</v>
      </c>
      <c r="O459" s="72" t="s">
        <v>297</v>
      </c>
      <c r="P459" s="1" t="str">
        <f t="shared" si="28"/>
        <v>ARAGUATINS 1.1Inverter(MBUS-13)46094,642361111146094,642361111146094,6909722222</v>
      </c>
      <c r="Q459" s="1" t="str">
        <f>_xlfn.CONCAT(H459,I459,J459)</f>
        <v>DAURDE</v>
      </c>
    </row>
    <row r="460" spans="2:17">
      <c r="B460" s="1" t="s">
        <v>305</v>
      </c>
      <c r="C460" s="1" t="s">
        <v>263</v>
      </c>
      <c r="D460" s="52">
        <v>46094.642361111109</v>
      </c>
      <c r="E460" s="52">
        <v>46094.642361111109</v>
      </c>
      <c r="F460" s="52">
        <v>46094.690972222219</v>
      </c>
      <c r="G460" s="53">
        <f>F460-E460</f>
        <v>4.8611111109494232E-2</v>
      </c>
      <c r="H460" s="1" t="s">
        <v>257</v>
      </c>
      <c r="J460" s="1" t="s">
        <v>258</v>
      </c>
      <c r="K460" s="1" t="str">
        <f>_xlfn.XLOOKUP(J460,REF!$D$2:$D$12,REF!$E$2:$E$12)</f>
        <v>Rede</v>
      </c>
      <c r="L460" s="1" t="s">
        <v>353</v>
      </c>
      <c r="M460" s="1" t="s">
        <v>260</v>
      </c>
      <c r="N460" s="1" t="s">
        <v>357</v>
      </c>
      <c r="O460" s="72" t="s">
        <v>297</v>
      </c>
      <c r="P460" s="1" t="str">
        <f t="shared" si="28"/>
        <v>ARAGUATINS 1.1Inverter(MBUS-14)46094,642361111146094,642361111146094,6909722222</v>
      </c>
      <c r="Q460" s="1" t="str">
        <f>_xlfn.CONCAT(H460,I460,J460)</f>
        <v>DAURDE</v>
      </c>
    </row>
    <row r="461" spans="2:17">
      <c r="B461" s="1" t="s">
        <v>305</v>
      </c>
      <c r="C461" s="1" t="s">
        <v>307</v>
      </c>
      <c r="D461" s="52">
        <v>46094.642361111109</v>
      </c>
      <c r="E461" s="52">
        <v>46094.642361111109</v>
      </c>
      <c r="F461" s="52">
        <v>46094.690972222219</v>
      </c>
      <c r="G461" s="53">
        <f>F461-E461</f>
        <v>4.8611111109494232E-2</v>
      </c>
      <c r="H461" s="1" t="s">
        <v>257</v>
      </c>
      <c r="J461" s="1" t="s">
        <v>258</v>
      </c>
      <c r="K461" s="1" t="str">
        <f>_xlfn.XLOOKUP(J461,REF!$D$2:$D$12,REF!$E$2:$E$12)</f>
        <v>Rede</v>
      </c>
      <c r="L461" s="1" t="s">
        <v>353</v>
      </c>
      <c r="M461" s="1" t="s">
        <v>260</v>
      </c>
      <c r="N461" s="1" t="s">
        <v>357</v>
      </c>
      <c r="O461" s="72" t="s">
        <v>297</v>
      </c>
      <c r="P461" s="1" t="str">
        <f t="shared" si="28"/>
        <v>ARAGUATINS 1.1Inverter(MBUS-15)46094,642361111146094,642361111146094,6909722222</v>
      </c>
      <c r="Q461" s="1" t="str">
        <f>_xlfn.CONCAT(H461,I461,J461)</f>
        <v>DAURDE</v>
      </c>
    </row>
    <row r="462" spans="2:17">
      <c r="B462" s="1" t="s">
        <v>308</v>
      </c>
      <c r="C462" s="1" t="s">
        <v>256</v>
      </c>
      <c r="D462" s="52">
        <v>46094.642361111109</v>
      </c>
      <c r="E462" s="52">
        <v>46094.642361111109</v>
      </c>
      <c r="F462" s="52">
        <v>46094.690972222219</v>
      </c>
      <c r="G462" s="53">
        <f>F462-E462</f>
        <v>4.8611111109494232E-2</v>
      </c>
      <c r="H462" s="1" t="s">
        <v>257</v>
      </c>
      <c r="J462" s="1" t="s">
        <v>258</v>
      </c>
      <c r="K462" s="1" t="str">
        <f>_xlfn.XLOOKUP(J462,REF!$D$2:$D$12,REF!$E$2:$E$12)</f>
        <v>Rede</v>
      </c>
      <c r="L462" s="1" t="s">
        <v>353</v>
      </c>
      <c r="M462" s="1" t="s">
        <v>260</v>
      </c>
      <c r="N462" s="1" t="s">
        <v>357</v>
      </c>
      <c r="O462" s="72" t="s">
        <v>297</v>
      </c>
      <c r="P462" s="1" t="str">
        <f t="shared" si="28"/>
        <v>ARAGUATINS 1.2Inverter(MBUS-12)46094,642361111146094,642361111146094,6909722222</v>
      </c>
      <c r="Q462" s="1" t="str">
        <f>_xlfn.CONCAT(H462,I462,J462)</f>
        <v>DAURDE</v>
      </c>
    </row>
    <row r="463" spans="2:17">
      <c r="B463" s="1" t="s">
        <v>308</v>
      </c>
      <c r="C463" s="1" t="s">
        <v>264</v>
      </c>
      <c r="D463" s="52">
        <v>46094.642361111109</v>
      </c>
      <c r="E463" s="52">
        <v>46094.642361111109</v>
      </c>
      <c r="F463" s="52">
        <v>46094.690972222219</v>
      </c>
      <c r="G463" s="53">
        <f>F463-E463</f>
        <v>4.8611111109494232E-2</v>
      </c>
      <c r="H463" s="1" t="s">
        <v>257</v>
      </c>
      <c r="J463" s="1" t="s">
        <v>258</v>
      </c>
      <c r="K463" s="1" t="str">
        <f>_xlfn.XLOOKUP(J463,REF!$D$2:$D$12,REF!$E$2:$E$12)</f>
        <v>Rede</v>
      </c>
      <c r="L463" s="1" t="s">
        <v>353</v>
      </c>
      <c r="M463" s="1" t="s">
        <v>260</v>
      </c>
      <c r="N463" s="1" t="s">
        <v>357</v>
      </c>
      <c r="O463" s="72" t="s">
        <v>297</v>
      </c>
      <c r="P463" s="1" t="str">
        <f t="shared" si="28"/>
        <v>ARAGUATINS 1.2Inverter(MBUS-13)46094,642361111146094,642361111146094,6909722222</v>
      </c>
      <c r="Q463" s="1" t="str">
        <f>_xlfn.CONCAT(H463,I463,J463)</f>
        <v>DAURDE</v>
      </c>
    </row>
    <row r="464" spans="2:17">
      <c r="B464" s="1" t="s">
        <v>308</v>
      </c>
      <c r="C464" s="1" t="s">
        <v>263</v>
      </c>
      <c r="D464" s="52">
        <v>46094.642361111109</v>
      </c>
      <c r="E464" s="52">
        <v>46094.642361111109</v>
      </c>
      <c r="F464" s="52">
        <v>46094.690972222219</v>
      </c>
      <c r="G464" s="53">
        <f>F464-E464</f>
        <v>4.8611111109494232E-2</v>
      </c>
      <c r="H464" s="1" t="s">
        <v>257</v>
      </c>
      <c r="J464" s="1" t="s">
        <v>258</v>
      </c>
      <c r="K464" s="1" t="str">
        <f>_xlfn.XLOOKUP(J464,REF!$D$2:$D$12,REF!$E$2:$E$12)</f>
        <v>Rede</v>
      </c>
      <c r="L464" s="1" t="s">
        <v>353</v>
      </c>
      <c r="M464" s="1" t="s">
        <v>260</v>
      </c>
      <c r="N464" s="1" t="s">
        <v>357</v>
      </c>
      <c r="O464" s="72" t="s">
        <v>297</v>
      </c>
      <c r="P464" s="1" t="str">
        <f t="shared" si="28"/>
        <v>ARAGUATINS 1.2Inverter(MBUS-14)46094,642361111146094,642361111146094,6909722222</v>
      </c>
      <c r="Q464" s="1" t="str">
        <f>_xlfn.CONCAT(H464,I464,J464)</f>
        <v>DAURDE</v>
      </c>
    </row>
    <row r="465" spans="2:17">
      <c r="B465" s="1" t="s">
        <v>308</v>
      </c>
      <c r="C465" s="1" t="s">
        <v>307</v>
      </c>
      <c r="D465" s="52">
        <v>46094.642361111109</v>
      </c>
      <c r="E465" s="52">
        <v>46094.642361111109</v>
      </c>
      <c r="F465" s="52">
        <v>46094.690972222219</v>
      </c>
      <c r="G465" s="53">
        <f>F465-E465</f>
        <v>4.8611111109494232E-2</v>
      </c>
      <c r="H465" s="1" t="s">
        <v>257</v>
      </c>
      <c r="J465" s="1" t="s">
        <v>258</v>
      </c>
      <c r="K465" s="1" t="str">
        <f>_xlfn.XLOOKUP(J465,REF!$D$2:$D$12,REF!$E$2:$E$12)</f>
        <v>Rede</v>
      </c>
      <c r="L465" s="1" t="s">
        <v>353</v>
      </c>
      <c r="M465" s="1" t="s">
        <v>260</v>
      </c>
      <c r="N465" s="1" t="s">
        <v>357</v>
      </c>
      <c r="O465" s="72" t="s">
        <v>297</v>
      </c>
      <c r="P465" s="1" t="str">
        <f t="shared" si="28"/>
        <v>ARAGUATINS 1.2Inverter(MBUS-15)46094,642361111146094,642361111146094,6909722222</v>
      </c>
      <c r="Q465" s="1" t="str">
        <f>_xlfn.CONCAT(H465,I465,J465)</f>
        <v>DAURDE</v>
      </c>
    </row>
    <row r="466" spans="2:17">
      <c r="B466" s="1" t="s">
        <v>309</v>
      </c>
      <c r="C466" s="1" t="s">
        <v>310</v>
      </c>
      <c r="D466" s="52">
        <v>46094.642361111109</v>
      </c>
      <c r="E466" s="52">
        <v>46094.642361111109</v>
      </c>
      <c r="F466" s="52">
        <v>46094.690972222219</v>
      </c>
      <c r="G466" s="53">
        <f>F466-E466</f>
        <v>4.8611111109494232E-2</v>
      </c>
      <c r="H466" s="1" t="s">
        <v>257</v>
      </c>
      <c r="J466" s="1" t="s">
        <v>258</v>
      </c>
      <c r="K466" s="1" t="str">
        <f>_xlfn.XLOOKUP(J466,REF!$D$2:$D$12,REF!$E$2:$E$12)</f>
        <v>Rede</v>
      </c>
      <c r="L466" s="1" t="s">
        <v>353</v>
      </c>
      <c r="M466" s="1" t="s">
        <v>260</v>
      </c>
      <c r="N466" s="1" t="s">
        <v>357</v>
      </c>
      <c r="O466" s="72" t="s">
        <v>297</v>
      </c>
      <c r="P466" s="1" t="str">
        <f t="shared" si="28"/>
        <v>ARAGUATINS 1.3Inverter(MBUS-20)46094,642361111146094,642361111146094,6909722222</v>
      </c>
      <c r="Q466" s="1" t="str">
        <f>_xlfn.CONCAT(H466,I466,J466)</f>
        <v>DAURDE</v>
      </c>
    </row>
    <row r="467" spans="2:17">
      <c r="B467" s="1" t="s">
        <v>309</v>
      </c>
      <c r="C467" s="1" t="s">
        <v>247</v>
      </c>
      <c r="D467" s="52">
        <v>46094.642361111109</v>
      </c>
      <c r="E467" s="52">
        <v>46094.642361111109</v>
      </c>
      <c r="F467" s="52">
        <v>46094.690972222219</v>
      </c>
      <c r="G467" s="53">
        <f>F467-E467</f>
        <v>4.8611111109494232E-2</v>
      </c>
      <c r="H467" s="1" t="s">
        <v>257</v>
      </c>
      <c r="J467" s="1" t="s">
        <v>258</v>
      </c>
      <c r="K467" s="1" t="str">
        <f>_xlfn.XLOOKUP(J467,REF!$D$2:$D$12,REF!$E$2:$E$12)</f>
        <v>Rede</v>
      </c>
      <c r="L467" s="1" t="s">
        <v>353</v>
      </c>
      <c r="M467" s="1" t="s">
        <v>260</v>
      </c>
      <c r="N467" s="1" t="s">
        <v>357</v>
      </c>
      <c r="O467" s="72" t="s">
        <v>297</v>
      </c>
      <c r="P467" s="1" t="str">
        <f t="shared" si="28"/>
        <v>ARAGUATINS 1.3Inverter(MBUS-1)46094,642361111146094,642361111146094,6909722222</v>
      </c>
      <c r="Q467" s="1" t="str">
        <f>_xlfn.CONCAT(H467,I467,J467)</f>
        <v>DAURDE</v>
      </c>
    </row>
    <row r="468" spans="2:17">
      <c r="B468" s="1" t="s">
        <v>311</v>
      </c>
      <c r="C468" s="1" t="s">
        <v>256</v>
      </c>
      <c r="D468" s="52">
        <v>46094.642361111109</v>
      </c>
      <c r="E468" s="52">
        <v>46094.642361111109</v>
      </c>
      <c r="F468" s="52">
        <v>46094.690972222219</v>
      </c>
      <c r="G468" s="53">
        <f>F468-E468</f>
        <v>4.8611111109494232E-2</v>
      </c>
      <c r="H468" s="1" t="s">
        <v>257</v>
      </c>
      <c r="J468" s="1" t="s">
        <v>258</v>
      </c>
      <c r="K468" s="1" t="str">
        <f>_xlfn.XLOOKUP(J468,REF!$D$2:$D$12,REF!$E$2:$E$12)</f>
        <v>Rede</v>
      </c>
      <c r="L468" s="1" t="s">
        <v>353</v>
      </c>
      <c r="M468" s="1" t="s">
        <v>260</v>
      </c>
      <c r="N468" s="1" t="s">
        <v>357</v>
      </c>
      <c r="O468" s="72" t="s">
        <v>297</v>
      </c>
      <c r="P468" s="1" t="str">
        <f t="shared" si="28"/>
        <v>ARAGUATINS 2.1Inverter(MBUS-12)46094,642361111146094,642361111146094,6909722222</v>
      </c>
      <c r="Q468" s="1" t="str">
        <f>_xlfn.CONCAT(H468,I468,J468)</f>
        <v>DAURDE</v>
      </c>
    </row>
    <row r="469" spans="2:17">
      <c r="B469" s="1" t="s">
        <v>311</v>
      </c>
      <c r="C469" s="1" t="s">
        <v>307</v>
      </c>
      <c r="D469" s="52">
        <v>46094.642361111109</v>
      </c>
      <c r="E469" s="52">
        <v>46094.642361111109</v>
      </c>
      <c r="F469" s="52">
        <v>46094.690972222219</v>
      </c>
      <c r="G469" s="53">
        <f>F469-E469</f>
        <v>4.8611111109494232E-2</v>
      </c>
      <c r="H469" s="1" t="s">
        <v>257</v>
      </c>
      <c r="J469" s="1" t="s">
        <v>258</v>
      </c>
      <c r="K469" s="1" t="str">
        <f>_xlfn.XLOOKUP(J469,REF!$D$2:$D$12,REF!$E$2:$E$12)</f>
        <v>Rede</v>
      </c>
      <c r="L469" s="1" t="s">
        <v>353</v>
      </c>
      <c r="M469" s="1" t="s">
        <v>260</v>
      </c>
      <c r="N469" s="1" t="s">
        <v>357</v>
      </c>
      <c r="O469" s="72" t="s">
        <v>297</v>
      </c>
      <c r="P469" s="1" t="str">
        <f t="shared" si="28"/>
        <v>ARAGUATINS 2.1Inverter(MBUS-15)46094,642361111146094,642361111146094,6909722222</v>
      </c>
      <c r="Q469" s="1" t="str">
        <f>_xlfn.CONCAT(H469,I469,J469)</f>
        <v>DAURDE</v>
      </c>
    </row>
    <row r="470" spans="2:17">
      <c r="B470" s="66" t="s">
        <v>311</v>
      </c>
      <c r="C470" s="1" t="s">
        <v>263</v>
      </c>
      <c r="D470" s="52">
        <v>46094.642361111109</v>
      </c>
      <c r="E470" s="52">
        <v>46094.642361111109</v>
      </c>
      <c r="F470" s="52">
        <v>46094.690972222219</v>
      </c>
      <c r="G470" s="53">
        <f>F470-E470</f>
        <v>4.8611111109494232E-2</v>
      </c>
      <c r="H470" s="1" t="s">
        <v>257</v>
      </c>
      <c r="J470" s="1" t="s">
        <v>258</v>
      </c>
      <c r="K470" s="1" t="str">
        <f>_xlfn.XLOOKUP(J470,REF!$D$2:$D$12,REF!$E$2:$E$12)</f>
        <v>Rede</v>
      </c>
      <c r="L470" s="1" t="s">
        <v>353</v>
      </c>
      <c r="M470" s="1" t="s">
        <v>260</v>
      </c>
      <c r="N470" s="1" t="s">
        <v>357</v>
      </c>
      <c r="O470" s="72" t="s">
        <v>297</v>
      </c>
      <c r="P470" s="1" t="str">
        <f t="shared" si="28"/>
        <v>ARAGUATINS 2.1Inverter(MBUS-14)46094,642361111146094,642361111146094,6909722222</v>
      </c>
      <c r="Q470" s="1" t="str">
        <f>_xlfn.CONCAT(H470,I470,J470)</f>
        <v>DAURDE</v>
      </c>
    </row>
    <row r="471" spans="2:17">
      <c r="B471" s="66" t="s">
        <v>311</v>
      </c>
      <c r="C471" s="1" t="s">
        <v>247</v>
      </c>
      <c r="D471" s="52">
        <v>46094.642361111109</v>
      </c>
      <c r="E471" s="52">
        <v>46094.642361111109</v>
      </c>
      <c r="F471" s="52">
        <v>46094.690972222219</v>
      </c>
      <c r="G471" s="53">
        <f>F471-E471</f>
        <v>4.8611111109494232E-2</v>
      </c>
      <c r="H471" s="1" t="s">
        <v>257</v>
      </c>
      <c r="J471" s="1" t="s">
        <v>258</v>
      </c>
      <c r="K471" s="1" t="str">
        <f>_xlfn.XLOOKUP(J471,REF!$D$2:$D$12,REF!$E$2:$E$12)</f>
        <v>Rede</v>
      </c>
      <c r="L471" s="1" t="s">
        <v>353</v>
      </c>
      <c r="M471" s="1" t="s">
        <v>260</v>
      </c>
      <c r="N471" s="1" t="s">
        <v>357</v>
      </c>
      <c r="O471" s="72" t="s">
        <v>297</v>
      </c>
      <c r="P471" s="1" t="str">
        <f t="shared" si="28"/>
        <v>ARAGUATINS 2.1Inverter(MBUS-1)46094,642361111146094,642361111146094,6909722222</v>
      </c>
      <c r="Q471" s="1" t="str">
        <f>_xlfn.CONCAT(H471,I471,J471)</f>
        <v>DAURDE</v>
      </c>
    </row>
    <row r="472" spans="2:17">
      <c r="B472" s="66" t="s">
        <v>312</v>
      </c>
      <c r="C472" s="1" t="s">
        <v>307</v>
      </c>
      <c r="D472" s="52">
        <v>46094.642361111109</v>
      </c>
      <c r="E472" s="52">
        <v>46094.642361111109</v>
      </c>
      <c r="F472" s="52">
        <v>46094.690972222219</v>
      </c>
      <c r="G472" s="53">
        <f>F472-E472</f>
        <v>4.8611111109494232E-2</v>
      </c>
      <c r="H472" s="1" t="s">
        <v>257</v>
      </c>
      <c r="J472" s="1" t="s">
        <v>258</v>
      </c>
      <c r="K472" s="1" t="str">
        <f>_xlfn.XLOOKUP(J472,REF!$D$2:$D$12,REF!$E$2:$E$12)</f>
        <v>Rede</v>
      </c>
      <c r="L472" s="1" t="s">
        <v>353</v>
      </c>
      <c r="M472" s="1" t="s">
        <v>260</v>
      </c>
      <c r="N472" s="1" t="s">
        <v>357</v>
      </c>
      <c r="O472" s="72" t="s">
        <v>297</v>
      </c>
      <c r="P472" s="1" t="str">
        <f t="shared" si="28"/>
        <v>ARAGUATINS 2.2Inverter(MBUS-15)46094,642361111146094,642361111146094,6909722222</v>
      </c>
      <c r="Q472" s="1" t="str">
        <f>_xlfn.CONCAT(H472,I472,J472)</f>
        <v>DAURDE</v>
      </c>
    </row>
    <row r="473" spans="2:17">
      <c r="B473" s="66" t="s">
        <v>312</v>
      </c>
      <c r="C473" s="1" t="s">
        <v>264</v>
      </c>
      <c r="D473" s="52">
        <v>46094.642361111109</v>
      </c>
      <c r="E473" s="52">
        <v>46094.642361111109</v>
      </c>
      <c r="F473" s="52">
        <v>46094.690972222219</v>
      </c>
      <c r="G473" s="53">
        <f>F473-E473</f>
        <v>4.8611111109494232E-2</v>
      </c>
      <c r="H473" s="1" t="s">
        <v>257</v>
      </c>
      <c r="J473" s="1" t="s">
        <v>258</v>
      </c>
      <c r="K473" s="1" t="str">
        <f>_xlfn.XLOOKUP(J473,REF!$D$2:$D$12,REF!$E$2:$E$12)</f>
        <v>Rede</v>
      </c>
      <c r="L473" s="1" t="s">
        <v>353</v>
      </c>
      <c r="M473" s="1" t="s">
        <v>260</v>
      </c>
      <c r="N473" s="1" t="s">
        <v>357</v>
      </c>
      <c r="O473" s="72" t="s">
        <v>297</v>
      </c>
      <c r="P473" s="1" t="str">
        <f t="shared" si="28"/>
        <v>ARAGUATINS 2.2Inverter(MBUS-13)46094,642361111146094,642361111146094,6909722222</v>
      </c>
      <c r="Q473" s="1" t="str">
        <f>_xlfn.CONCAT(H473,I473,J473)</f>
        <v>DAURDE</v>
      </c>
    </row>
    <row r="474" spans="2:17">
      <c r="B474" s="66" t="s">
        <v>312</v>
      </c>
      <c r="C474" s="1" t="s">
        <v>263</v>
      </c>
      <c r="D474" s="52">
        <v>46094.642361111109</v>
      </c>
      <c r="E474" s="52">
        <v>46094.642361111109</v>
      </c>
      <c r="F474" s="52">
        <v>46094.690972222219</v>
      </c>
      <c r="G474" s="53">
        <f>F474-E474</f>
        <v>4.8611111109494232E-2</v>
      </c>
      <c r="H474" s="1" t="s">
        <v>257</v>
      </c>
      <c r="J474" s="1" t="s">
        <v>258</v>
      </c>
      <c r="K474" s="1" t="str">
        <f>_xlfn.XLOOKUP(J474,REF!$D$2:$D$12,REF!$E$2:$E$12)</f>
        <v>Rede</v>
      </c>
      <c r="L474" s="1" t="s">
        <v>353</v>
      </c>
      <c r="M474" s="1" t="s">
        <v>260</v>
      </c>
      <c r="N474" s="1" t="s">
        <v>357</v>
      </c>
      <c r="O474" s="72" t="s">
        <v>297</v>
      </c>
      <c r="P474" s="1" t="str">
        <f t="shared" si="28"/>
        <v>ARAGUATINS 2.2Inverter(MBUS-14)46094,642361111146094,642361111146094,6909722222</v>
      </c>
      <c r="Q474" s="1" t="str">
        <f>_xlfn.CONCAT(H474,I474,J474)</f>
        <v>DAURDE</v>
      </c>
    </row>
    <row r="475" spans="2:17">
      <c r="B475" s="1" t="s">
        <v>312</v>
      </c>
      <c r="C475" s="1" t="s">
        <v>256</v>
      </c>
      <c r="D475" s="52">
        <v>46094.642361111109</v>
      </c>
      <c r="E475" s="52">
        <v>46094.642361111109</v>
      </c>
      <c r="F475" s="52">
        <v>46094.690972222219</v>
      </c>
      <c r="G475" s="53">
        <f>F475-E475</f>
        <v>4.8611111109494232E-2</v>
      </c>
      <c r="H475" s="1" t="s">
        <v>257</v>
      </c>
      <c r="J475" s="1" t="s">
        <v>258</v>
      </c>
      <c r="K475" s="1" t="str">
        <f>_xlfn.XLOOKUP(J475,REF!$D$2:$D$12,REF!$E$2:$E$12)</f>
        <v>Rede</v>
      </c>
      <c r="L475" s="1" t="s">
        <v>353</v>
      </c>
      <c r="M475" s="1" t="s">
        <v>260</v>
      </c>
      <c r="N475" s="1" t="s">
        <v>357</v>
      </c>
      <c r="O475" s="72" t="s">
        <v>297</v>
      </c>
      <c r="P475" s="1" t="str">
        <f t="shared" si="28"/>
        <v>ARAGUATINS 2.2Inverter(MBUS-12)46094,642361111146094,642361111146094,6909722222</v>
      </c>
      <c r="Q475" s="1" t="str">
        <f>_xlfn.CONCAT(H475,I475,J475)</f>
        <v>DAURDE</v>
      </c>
    </row>
    <row r="476" spans="2:17">
      <c r="B476" s="1" t="s">
        <v>313</v>
      </c>
      <c r="C476" s="1" t="s">
        <v>256</v>
      </c>
      <c r="D476" s="52">
        <v>46094.642361111109</v>
      </c>
      <c r="E476" s="52">
        <v>46094.642361111109</v>
      </c>
      <c r="F476" s="52">
        <v>46094.690972222219</v>
      </c>
      <c r="G476" s="53">
        <f>F476-E476</f>
        <v>4.8611111109494232E-2</v>
      </c>
      <c r="H476" s="1" t="s">
        <v>257</v>
      </c>
      <c r="J476" s="1" t="s">
        <v>258</v>
      </c>
      <c r="K476" s="1" t="str">
        <f>_xlfn.XLOOKUP(J476,REF!$D$2:$D$12,REF!$E$2:$E$12)</f>
        <v>Rede</v>
      </c>
      <c r="L476" s="1" t="s">
        <v>353</v>
      </c>
      <c r="M476" s="1" t="s">
        <v>260</v>
      </c>
      <c r="N476" s="1" t="s">
        <v>357</v>
      </c>
      <c r="O476" s="72" t="s">
        <v>297</v>
      </c>
      <c r="P476" s="1" t="str">
        <f t="shared" si="28"/>
        <v>ARAGUATINS 2.3Inverter(MBUS-12)46094,642361111146094,642361111146094,6909722222</v>
      </c>
      <c r="Q476" s="1" t="str">
        <f>_xlfn.CONCAT(H476,I476,J476)</f>
        <v>DAURDE</v>
      </c>
    </row>
    <row r="477" spans="2:17">
      <c r="B477" s="1" t="s">
        <v>313</v>
      </c>
      <c r="C477" s="1" t="s">
        <v>264</v>
      </c>
      <c r="D477" s="52">
        <v>46094.642361111109</v>
      </c>
      <c r="E477" s="52">
        <v>46094.642361111109</v>
      </c>
      <c r="F477" s="52">
        <v>46094.690972222219</v>
      </c>
      <c r="G477" s="53">
        <f>F477-E477</f>
        <v>4.8611111109494232E-2</v>
      </c>
      <c r="H477" s="1" t="s">
        <v>257</v>
      </c>
      <c r="J477" s="1" t="s">
        <v>258</v>
      </c>
      <c r="K477" s="1" t="str">
        <f>_xlfn.XLOOKUP(J477,REF!$D$2:$D$12,REF!$E$2:$E$12)</f>
        <v>Rede</v>
      </c>
      <c r="L477" s="1" t="s">
        <v>353</v>
      </c>
      <c r="M477" s="1" t="s">
        <v>260</v>
      </c>
      <c r="N477" s="1" t="s">
        <v>357</v>
      </c>
      <c r="O477" s="72" t="s">
        <v>297</v>
      </c>
      <c r="P477" s="1" t="str">
        <f>_xlfn.CONCAT(B477,C477,D477,E477,F477)</f>
        <v>ARAGUATINS 2.3Inverter(MBUS-13)46094,642361111146094,642361111146094,6909722222</v>
      </c>
      <c r="Q477" s="1" t="str">
        <f>_xlfn.CONCAT(H477,I477,J477)</f>
        <v>DAURDE</v>
      </c>
    </row>
    <row r="478" spans="2:17">
      <c r="B478" s="1" t="s">
        <v>299</v>
      </c>
      <c r="C478" s="1" t="s">
        <v>300</v>
      </c>
      <c r="D478" s="52">
        <v>46094.729166666664</v>
      </c>
      <c r="E478" s="52">
        <v>46094.729166666664</v>
      </c>
      <c r="F478" s="52">
        <v>46095.416666666664</v>
      </c>
      <c r="G478" s="53">
        <f>F478-E478</f>
        <v>0.6875</v>
      </c>
      <c r="H478" s="1" t="s">
        <v>257</v>
      </c>
      <c r="J478" s="1" t="s">
        <v>258</v>
      </c>
      <c r="K478" s="1" t="str">
        <f>_xlfn.XLOOKUP(J478,REF!$D$2:$D$12,REF!$E$2:$E$12)</f>
        <v>Rede</v>
      </c>
      <c r="L478" s="1" t="s">
        <v>259</v>
      </c>
      <c r="M478" s="1" t="s">
        <v>260</v>
      </c>
      <c r="N478" s="1" t="s">
        <v>357</v>
      </c>
      <c r="O478" s="1" t="s">
        <v>453</v>
      </c>
      <c r="P478" s="1" t="str">
        <f>_xlfn.CONCAT(B478,C478,D478,E478,F478)</f>
        <v>BC Panama1.1ITAPOAN 001 (COM1-001)_001_00146094,729166666746094,729166666746095,4166666667</v>
      </c>
      <c r="Q478" s="1" t="str">
        <f>_xlfn.CONCAT(H478,I478,J478)</f>
        <v>DAURDE</v>
      </c>
    </row>
    <row r="479" spans="2:17">
      <c r="B479" s="1" t="s">
        <v>299</v>
      </c>
      <c r="C479" s="1" t="s">
        <v>303</v>
      </c>
      <c r="D479" s="52">
        <v>46094.729166666664</v>
      </c>
      <c r="E479" s="52">
        <v>46094.729166666664</v>
      </c>
      <c r="F479" s="52">
        <v>46095.416666666664</v>
      </c>
      <c r="G479" s="53">
        <f>F479-E479</f>
        <v>0.6875</v>
      </c>
      <c r="H479" s="1" t="s">
        <v>257</v>
      </c>
      <c r="J479" s="1" t="s">
        <v>258</v>
      </c>
      <c r="K479" s="1" t="str">
        <f>_xlfn.XLOOKUP(J479,REF!$D$2:$D$12,REF!$E$2:$E$12)</f>
        <v>Rede</v>
      </c>
      <c r="L479" s="1" t="s">
        <v>259</v>
      </c>
      <c r="M479" s="1" t="s">
        <v>260</v>
      </c>
      <c r="N479" s="1" t="s">
        <v>357</v>
      </c>
      <c r="O479" s="1" t="s">
        <v>453</v>
      </c>
      <c r="P479" s="1" t="str">
        <f>_xlfn.CONCAT(B479,C479,D479,E479,F479)</f>
        <v>BC Panama1.1CEREAL_00246094,729166666746094,729166666746095,4166666667</v>
      </c>
      <c r="Q479" s="1" t="str">
        <f>_xlfn.CONCAT(H479,I479,J479)</f>
        <v>DAURDE</v>
      </c>
    </row>
    <row r="480" spans="2:17">
      <c r="B480" s="1" t="s">
        <v>299</v>
      </c>
      <c r="C480" s="1" t="s">
        <v>304</v>
      </c>
      <c r="D480" s="52">
        <v>46094.729166666664</v>
      </c>
      <c r="E480" s="52">
        <v>46094.729166666664</v>
      </c>
      <c r="F480" s="52">
        <v>46095.416666666664</v>
      </c>
      <c r="G480" s="53">
        <f>F480-E480</f>
        <v>0.6875</v>
      </c>
      <c r="H480" s="1" t="s">
        <v>257</v>
      </c>
      <c r="J480" s="1" t="s">
        <v>258</v>
      </c>
      <c r="K480" s="1" t="str">
        <f>_xlfn.XLOOKUP(J480,REF!$D$2:$D$12,REF!$E$2:$E$12)</f>
        <v>Rede</v>
      </c>
      <c r="L480" s="1" t="s">
        <v>259</v>
      </c>
      <c r="M480" s="1" t="s">
        <v>260</v>
      </c>
      <c r="N480" s="1" t="s">
        <v>357</v>
      </c>
      <c r="O480" s="1" t="s">
        <v>453</v>
      </c>
      <c r="P480" s="1" t="str">
        <f>_xlfn.CONCAT(B480,C480,D480,E480,F480)</f>
        <v>BC Panama1.1ITAPOAN_00346094,729166666746094,729166666746095,4166666667</v>
      </c>
      <c r="Q480" s="1" t="str">
        <f>_xlfn.CONCAT(H480,I480,J480)</f>
        <v>DAURDE</v>
      </c>
    </row>
    <row r="481" spans="2:17">
      <c r="B481" s="1" t="s">
        <v>327</v>
      </c>
      <c r="C481" s="1" t="s">
        <v>247</v>
      </c>
      <c r="D481" s="52">
        <v>46095.113888888889</v>
      </c>
      <c r="E481" s="52">
        <v>46095.113888888889</v>
      </c>
      <c r="F481" s="52">
        <v>46095.409722222219</v>
      </c>
      <c r="G481" s="53">
        <f>F481-E481</f>
        <v>0.29583333332993789</v>
      </c>
      <c r="H481" s="1" t="s">
        <v>257</v>
      </c>
      <c r="J481" s="1" t="s">
        <v>258</v>
      </c>
      <c r="K481" s="1" t="str">
        <f>_xlfn.XLOOKUP(J481,REF!$D$2:$D$12,REF!$E$2:$E$12)</f>
        <v>Rede</v>
      </c>
      <c r="L481" s="1" t="s">
        <v>374</v>
      </c>
      <c r="M481" s="1" t="s">
        <v>260</v>
      </c>
      <c r="N481" s="1" t="s">
        <v>357</v>
      </c>
      <c r="O481" s="72" t="s">
        <v>297</v>
      </c>
      <c r="P481" s="1" t="str">
        <f>_xlfn.CONCAT(B481,C481,D481,E481,F481)</f>
        <v>BC Aracu5.1Inverter(MBUS-1)46095,113888888946095,113888888946095,4097222222</v>
      </c>
      <c r="Q481" s="1" t="str">
        <f>_xlfn.CONCAT(H481,I481,J481)</f>
        <v>DAURDE</v>
      </c>
    </row>
    <row r="482" spans="2:17">
      <c r="B482" s="1" t="s">
        <v>328</v>
      </c>
      <c r="C482" s="1" t="s">
        <v>247</v>
      </c>
      <c r="D482" s="52">
        <v>46095.113888888889</v>
      </c>
      <c r="E482" s="52">
        <v>46095.113888888889</v>
      </c>
      <c r="F482" s="52">
        <v>46095.409722222219</v>
      </c>
      <c r="G482" s="53">
        <f>F482-E482</f>
        <v>0.29583333332993789</v>
      </c>
      <c r="H482" s="1" t="s">
        <v>257</v>
      </c>
      <c r="J482" s="1" t="s">
        <v>258</v>
      </c>
      <c r="K482" s="1" t="str">
        <f>_xlfn.XLOOKUP(J482,REF!$D$2:$D$12,REF!$E$2:$E$12)</f>
        <v>Rede</v>
      </c>
      <c r="L482" s="1" t="s">
        <v>374</v>
      </c>
      <c r="M482" s="1" t="s">
        <v>260</v>
      </c>
      <c r="N482" s="1" t="s">
        <v>357</v>
      </c>
      <c r="O482" s="72" t="s">
        <v>297</v>
      </c>
      <c r="P482" s="1" t="str">
        <f>_xlfn.CONCAT(B482,C482,D482,E482,F482)</f>
        <v>BC Aracu5.3Inverter(MBUS-1)46095,113888888946095,113888888946095,4097222222</v>
      </c>
      <c r="Q482" s="1" t="str">
        <f>_xlfn.CONCAT(H482,I482,J482)</f>
        <v>DAURDE</v>
      </c>
    </row>
    <row r="483" spans="2:17">
      <c r="B483" s="1" t="s">
        <v>329</v>
      </c>
      <c r="C483" s="1" t="s">
        <v>247</v>
      </c>
      <c r="D483" s="52">
        <v>46095.113888888889</v>
      </c>
      <c r="E483" s="52">
        <v>46095.113888888889</v>
      </c>
      <c r="F483" s="52">
        <v>46095.409722222219</v>
      </c>
      <c r="G483" s="53">
        <f>F483-E483</f>
        <v>0.29583333332993789</v>
      </c>
      <c r="H483" s="1" t="s">
        <v>257</v>
      </c>
      <c r="J483" s="1" t="s">
        <v>258</v>
      </c>
      <c r="K483" s="1" t="str">
        <f>_xlfn.XLOOKUP(J483,REF!$D$2:$D$12,REF!$E$2:$E$12)</f>
        <v>Rede</v>
      </c>
      <c r="L483" s="1" t="s">
        <v>374</v>
      </c>
      <c r="M483" s="1" t="s">
        <v>260</v>
      </c>
      <c r="N483" s="1" t="s">
        <v>357</v>
      </c>
      <c r="O483" s="72" t="s">
        <v>297</v>
      </c>
      <c r="P483" s="1" t="str">
        <f>_xlfn.CONCAT(B483,C483,D483,E483,F483)</f>
        <v>BC Aracu5.4Inverter(MBUS-1)46095,113888888946095,113888888946095,4097222222</v>
      </c>
      <c r="Q483" s="1" t="str">
        <f>_xlfn.CONCAT(H483,I483,J483)</f>
        <v>DAURDE</v>
      </c>
    </row>
    <row r="484" spans="2:17">
      <c r="B484" s="1" t="s">
        <v>330</v>
      </c>
      <c r="C484" s="1" t="s">
        <v>247</v>
      </c>
      <c r="D484" s="52">
        <v>46095.113888888889</v>
      </c>
      <c r="E484" s="52">
        <v>46095.113888888889</v>
      </c>
      <c r="F484" s="52">
        <v>46095.409722222219</v>
      </c>
      <c r="G484" s="53">
        <f>F484-E484</f>
        <v>0.29583333332993789</v>
      </c>
      <c r="H484" s="1" t="s">
        <v>257</v>
      </c>
      <c r="J484" s="1" t="s">
        <v>258</v>
      </c>
      <c r="K484" s="1" t="str">
        <f>_xlfn.XLOOKUP(J484,REF!$D$2:$D$12,REF!$E$2:$E$12)</f>
        <v>Rede</v>
      </c>
      <c r="L484" s="1" t="s">
        <v>374</v>
      </c>
      <c r="M484" s="1" t="s">
        <v>260</v>
      </c>
      <c r="N484" s="1" t="s">
        <v>357</v>
      </c>
      <c r="O484" s="72" t="s">
        <v>297</v>
      </c>
      <c r="P484" s="1" t="str">
        <f>_xlfn.CONCAT(B484,C484,D484,E484,F484)</f>
        <v>BC Aracu5.5Inverter(MBUS-1)46095,113888888946095,113888888946095,4097222222</v>
      </c>
      <c r="Q484" s="1" t="str">
        <f>_xlfn.CONCAT(H484,I484,J484)</f>
        <v>DAURDE</v>
      </c>
    </row>
    <row r="485" spans="2:17">
      <c r="B485" s="1" t="s">
        <v>368</v>
      </c>
      <c r="C485" s="1" t="s">
        <v>256</v>
      </c>
      <c r="D485" s="52">
        <v>46095.373611111114</v>
      </c>
      <c r="E485" s="52">
        <v>46095.373611111114</v>
      </c>
      <c r="F485" s="52">
        <v>46095.40625</v>
      </c>
      <c r="G485" s="53">
        <f>F485-E485</f>
        <v>3.2638888886140194E-2</v>
      </c>
      <c r="H485" s="1" t="s">
        <v>257</v>
      </c>
      <c r="J485" s="1" t="s">
        <v>258</v>
      </c>
      <c r="K485" s="1" t="str">
        <f>_xlfn.XLOOKUP(J485,REF!$D$2:$D$12,REF!$E$2:$E$12)</f>
        <v>Rede</v>
      </c>
      <c r="L485" s="1" t="s">
        <v>454</v>
      </c>
      <c r="M485" s="1" t="s">
        <v>260</v>
      </c>
      <c r="N485" s="1" t="s">
        <v>357</v>
      </c>
      <c r="O485" s="72" t="s">
        <v>297</v>
      </c>
      <c r="P485" s="1" t="str">
        <f>_xlfn.CONCAT(B485,C485,D485,E485,F485)</f>
        <v>BC Ibiuna 1.1Inverter(MBUS-12)46095,373611111146095,373611111146095,40625</v>
      </c>
      <c r="Q485" s="1" t="str">
        <f>_xlfn.CONCAT(H485,I485,J485)</f>
        <v>DAURDE</v>
      </c>
    </row>
    <row r="486" spans="2:17">
      <c r="B486" s="1" t="s">
        <v>368</v>
      </c>
      <c r="C486" s="1" t="s">
        <v>264</v>
      </c>
      <c r="D486" s="52">
        <v>46095.373611111114</v>
      </c>
      <c r="E486" s="52">
        <v>46095.373611111114</v>
      </c>
      <c r="F486" s="52">
        <v>46095.40625</v>
      </c>
      <c r="G486" s="53">
        <f>F486-E486</f>
        <v>3.2638888886140194E-2</v>
      </c>
      <c r="H486" s="1" t="s">
        <v>257</v>
      </c>
      <c r="J486" s="1" t="s">
        <v>258</v>
      </c>
      <c r="K486" s="1" t="str">
        <f>_xlfn.XLOOKUP(J486,REF!$D$2:$D$12,REF!$E$2:$E$12)</f>
        <v>Rede</v>
      </c>
      <c r="L486" s="1" t="s">
        <v>454</v>
      </c>
      <c r="M486" s="1" t="s">
        <v>260</v>
      </c>
      <c r="N486" s="1" t="s">
        <v>357</v>
      </c>
      <c r="O486" s="72" t="s">
        <v>297</v>
      </c>
      <c r="P486" s="1" t="str">
        <f>_xlfn.CONCAT(B486,C486,D486,E486,F486)</f>
        <v>BC Ibiuna 1.1Inverter(MBUS-13)46095,373611111146095,373611111146095,40625</v>
      </c>
      <c r="Q486" s="1" t="str">
        <f>_xlfn.CONCAT(H486,I486,J486)</f>
        <v>DAURDE</v>
      </c>
    </row>
    <row r="487" spans="2:17">
      <c r="B487" s="1" t="s">
        <v>368</v>
      </c>
      <c r="C487" s="1" t="s">
        <v>263</v>
      </c>
      <c r="D487" s="52">
        <v>46095.373611111114</v>
      </c>
      <c r="E487" s="52">
        <v>46095.373611111114</v>
      </c>
      <c r="F487" s="52">
        <v>46095.40625</v>
      </c>
      <c r="G487" s="53">
        <f>F487-E487</f>
        <v>3.2638888886140194E-2</v>
      </c>
      <c r="H487" s="1" t="s">
        <v>257</v>
      </c>
      <c r="J487" s="1" t="s">
        <v>258</v>
      </c>
      <c r="K487" s="1" t="str">
        <f>_xlfn.XLOOKUP(J487,REF!$D$2:$D$12,REF!$E$2:$E$12)</f>
        <v>Rede</v>
      </c>
      <c r="L487" s="1" t="s">
        <v>454</v>
      </c>
      <c r="M487" s="1" t="s">
        <v>260</v>
      </c>
      <c r="N487" s="1" t="s">
        <v>357</v>
      </c>
      <c r="O487" s="72" t="s">
        <v>297</v>
      </c>
      <c r="P487" s="1" t="str">
        <f>_xlfn.CONCAT(B487,C487,D487,E487,F487)</f>
        <v>BC Ibiuna 1.1Inverter(MBUS-14)46095,373611111146095,373611111146095,40625</v>
      </c>
      <c r="Q487" s="1" t="str">
        <f>_xlfn.CONCAT(H487,I487,J487)</f>
        <v>DAURDE</v>
      </c>
    </row>
    <row r="488" spans="2:17">
      <c r="B488" s="1" t="s">
        <v>368</v>
      </c>
      <c r="C488" s="1" t="s">
        <v>307</v>
      </c>
      <c r="D488" s="52">
        <v>46095.373611111114</v>
      </c>
      <c r="E488" s="52">
        <v>46095.373611111114</v>
      </c>
      <c r="F488" s="52">
        <v>46095.40625</v>
      </c>
      <c r="G488" s="53">
        <f>F488-E488</f>
        <v>3.2638888886140194E-2</v>
      </c>
      <c r="H488" s="1" t="s">
        <v>257</v>
      </c>
      <c r="J488" s="1" t="s">
        <v>258</v>
      </c>
      <c r="K488" s="1" t="str">
        <f>_xlfn.XLOOKUP(J488,REF!$D$2:$D$12,REF!$E$2:$E$12)</f>
        <v>Rede</v>
      </c>
      <c r="L488" s="1" t="s">
        <v>454</v>
      </c>
      <c r="M488" s="1" t="s">
        <v>260</v>
      </c>
      <c r="N488" s="1" t="s">
        <v>357</v>
      </c>
      <c r="O488" s="72" t="s">
        <v>297</v>
      </c>
      <c r="P488" s="1" t="str">
        <f>_xlfn.CONCAT(B488,C488,D488,E488,F488)</f>
        <v>BC Ibiuna 1.1Inverter(MBUS-15)46095,373611111146095,373611111146095,40625</v>
      </c>
      <c r="Q488" s="1" t="str">
        <f>_xlfn.CONCAT(H488,I488,J488)</f>
        <v>DAURDE</v>
      </c>
    </row>
    <row r="489" spans="2:17">
      <c r="B489" s="1" t="s">
        <v>370</v>
      </c>
      <c r="C489" s="1" t="s">
        <v>256</v>
      </c>
      <c r="D489" s="52">
        <v>46095.373611111114</v>
      </c>
      <c r="E489" s="52">
        <v>46095.373611111114</v>
      </c>
      <c r="F489" s="52">
        <v>46095.40625</v>
      </c>
      <c r="G489" s="53">
        <f>F489-E489</f>
        <v>3.2638888886140194E-2</v>
      </c>
      <c r="H489" s="1" t="s">
        <v>257</v>
      </c>
      <c r="J489" s="1" t="s">
        <v>258</v>
      </c>
      <c r="K489" s="1" t="str">
        <f>_xlfn.XLOOKUP(J489,REF!$D$2:$D$12,REF!$E$2:$E$12)</f>
        <v>Rede</v>
      </c>
      <c r="L489" s="1" t="s">
        <v>454</v>
      </c>
      <c r="M489" s="1" t="s">
        <v>260</v>
      </c>
      <c r="N489" s="1" t="s">
        <v>357</v>
      </c>
      <c r="O489" s="72" t="s">
        <v>297</v>
      </c>
      <c r="P489" s="1" t="str">
        <f>_xlfn.CONCAT(B489,C489,D489,E489,F489)</f>
        <v>BC Ibiuna 1.2Inverter(MBUS-12)46095,373611111146095,373611111146095,40625</v>
      </c>
      <c r="Q489" s="1" t="str">
        <f>_xlfn.CONCAT(H489,I489,J489)</f>
        <v>DAURDE</v>
      </c>
    </row>
    <row r="490" spans="2:17">
      <c r="B490" s="1" t="s">
        <v>370</v>
      </c>
      <c r="C490" s="1" t="s">
        <v>264</v>
      </c>
      <c r="D490" s="52">
        <v>46095.373611111114</v>
      </c>
      <c r="E490" s="52">
        <v>46095.373611111114</v>
      </c>
      <c r="F490" s="52">
        <v>46095.40625</v>
      </c>
      <c r="G490" s="53">
        <f>F490-E490</f>
        <v>3.2638888886140194E-2</v>
      </c>
      <c r="H490" s="1" t="s">
        <v>257</v>
      </c>
      <c r="J490" s="1" t="s">
        <v>258</v>
      </c>
      <c r="K490" s="1" t="str">
        <f>_xlfn.XLOOKUP(J490,REF!$D$2:$D$12,REF!$E$2:$E$12)</f>
        <v>Rede</v>
      </c>
      <c r="L490" s="1" t="s">
        <v>454</v>
      </c>
      <c r="M490" s="1" t="s">
        <v>260</v>
      </c>
      <c r="N490" s="1" t="s">
        <v>357</v>
      </c>
      <c r="O490" s="72" t="s">
        <v>297</v>
      </c>
      <c r="P490" s="1" t="str">
        <f>_xlfn.CONCAT(B490,C490,D490,E490,F490)</f>
        <v>BC Ibiuna 1.2Inverter(MBUS-13)46095,373611111146095,373611111146095,40625</v>
      </c>
      <c r="Q490" s="1" t="str">
        <f>_xlfn.CONCAT(H490,I490,J490)</f>
        <v>DAURDE</v>
      </c>
    </row>
    <row r="491" spans="2:17">
      <c r="B491" s="1" t="s">
        <v>370</v>
      </c>
      <c r="C491" s="1" t="s">
        <v>263</v>
      </c>
      <c r="D491" s="52">
        <v>46095.373611111114</v>
      </c>
      <c r="E491" s="52">
        <v>46095.373611111114</v>
      </c>
      <c r="F491" s="52">
        <v>46095.40625</v>
      </c>
      <c r="G491" s="53">
        <f>F491-E491</f>
        <v>3.2638888886140194E-2</v>
      </c>
      <c r="H491" s="1" t="s">
        <v>257</v>
      </c>
      <c r="J491" s="1" t="s">
        <v>258</v>
      </c>
      <c r="K491" s="1" t="str">
        <f>_xlfn.XLOOKUP(J491,REF!$D$2:$D$12,REF!$E$2:$E$12)</f>
        <v>Rede</v>
      </c>
      <c r="L491" s="1" t="s">
        <v>454</v>
      </c>
      <c r="M491" s="1" t="s">
        <v>260</v>
      </c>
      <c r="N491" s="1" t="s">
        <v>357</v>
      </c>
      <c r="O491" s="72" t="s">
        <v>297</v>
      </c>
      <c r="P491" s="1" t="str">
        <f>_xlfn.CONCAT(B491,C491,D491,E491,F491)</f>
        <v>BC Ibiuna 1.2Inverter(MBUS-14)46095,373611111146095,373611111146095,40625</v>
      </c>
      <c r="Q491" s="1" t="str">
        <f>_xlfn.CONCAT(H491,I491,J491)</f>
        <v>DAURDE</v>
      </c>
    </row>
    <row r="492" spans="2:17">
      <c r="B492" s="1" t="s">
        <v>370</v>
      </c>
      <c r="C492" s="1" t="s">
        <v>307</v>
      </c>
      <c r="D492" s="52">
        <v>46095.373611111114</v>
      </c>
      <c r="E492" s="52">
        <v>46095.373611111114</v>
      </c>
      <c r="F492" s="52">
        <v>46095.40625</v>
      </c>
      <c r="G492" s="53">
        <f>F492-E492</f>
        <v>3.2638888886140194E-2</v>
      </c>
      <c r="H492" s="1" t="s">
        <v>257</v>
      </c>
      <c r="J492" s="1" t="s">
        <v>258</v>
      </c>
      <c r="K492" s="1" t="str">
        <f>_xlfn.XLOOKUP(J492,REF!$D$2:$D$12,REF!$E$2:$E$12)</f>
        <v>Rede</v>
      </c>
      <c r="L492" s="1" t="s">
        <v>454</v>
      </c>
      <c r="M492" s="1" t="s">
        <v>260</v>
      </c>
      <c r="N492" s="1" t="s">
        <v>357</v>
      </c>
      <c r="O492" s="72" t="s">
        <v>297</v>
      </c>
      <c r="P492" s="1" t="str">
        <f>_xlfn.CONCAT(B492,C492,D492,E492,F492)</f>
        <v>BC Ibiuna 1.2Inverter(MBUS-15)46095,373611111146095,373611111146095,40625</v>
      </c>
      <c r="Q492" s="1" t="str">
        <f>_xlfn.CONCAT(H492,I492,J492)</f>
        <v>DAURDE</v>
      </c>
    </row>
    <row r="493" spans="2:17">
      <c r="B493" s="1" t="s">
        <v>327</v>
      </c>
      <c r="C493" s="1" t="s">
        <v>247</v>
      </c>
      <c r="D493" s="52">
        <v>46095.53125</v>
      </c>
      <c r="E493" s="52">
        <v>46095.53125</v>
      </c>
      <c r="F493" s="52">
        <v>46097.375</v>
      </c>
      <c r="G493" s="53">
        <f>F493-E493</f>
        <v>1.84375</v>
      </c>
      <c r="H493" s="1" t="s">
        <v>257</v>
      </c>
      <c r="J493" s="1" t="s">
        <v>258</v>
      </c>
      <c r="K493" s="1" t="str">
        <f>_xlfn.XLOOKUP(J493,REF!$D$2:$D$12,REF!$E$2:$E$12)</f>
        <v>Rede</v>
      </c>
      <c r="L493" s="1" t="s">
        <v>455</v>
      </c>
      <c r="M493" s="1" t="s">
        <v>260</v>
      </c>
      <c r="N493" s="1" t="s">
        <v>357</v>
      </c>
      <c r="O493" s="72" t="s">
        <v>297</v>
      </c>
      <c r="P493" s="1" t="str">
        <f>_xlfn.CONCAT(B493,C493,D493,E493,F493)</f>
        <v>BC Aracu5.1Inverter(MBUS-1)46095,5312546095,5312546097,375</v>
      </c>
      <c r="Q493" s="1" t="str">
        <f>_xlfn.CONCAT(H493,I493,J493)</f>
        <v>DAURDE</v>
      </c>
    </row>
    <row r="494" spans="2:17">
      <c r="B494" s="1" t="s">
        <v>246</v>
      </c>
      <c r="C494" s="1" t="s">
        <v>247</v>
      </c>
      <c r="D494" s="52">
        <v>46095.53125</v>
      </c>
      <c r="E494" s="52">
        <v>46095.53125</v>
      </c>
      <c r="F494" s="52">
        <v>46097.375</v>
      </c>
      <c r="G494" s="53">
        <f>F494-E494</f>
        <v>1.84375</v>
      </c>
      <c r="H494" s="1" t="s">
        <v>257</v>
      </c>
      <c r="J494" s="1" t="s">
        <v>258</v>
      </c>
      <c r="K494" s="1" t="str">
        <f>_xlfn.XLOOKUP(J494,REF!$D$2:$D$12,REF!$E$2:$E$12)</f>
        <v>Rede</v>
      </c>
      <c r="L494" s="1" t="s">
        <v>455</v>
      </c>
      <c r="M494" s="1" t="s">
        <v>260</v>
      </c>
      <c r="N494" s="1" t="s">
        <v>357</v>
      </c>
      <c r="O494" s="72" t="s">
        <v>297</v>
      </c>
      <c r="P494" s="1" t="str">
        <f>_xlfn.CONCAT(B494,C494,D494,E494,F494)</f>
        <v>BC Aracu5.2Inverter(MBUS-1)46095,5312546095,5312546097,375</v>
      </c>
      <c r="Q494" s="1" t="str">
        <f>_xlfn.CONCAT(H494,I494,J494)</f>
        <v>DAURDE</v>
      </c>
    </row>
    <row r="495" spans="2:17">
      <c r="B495" s="1" t="s">
        <v>328</v>
      </c>
      <c r="C495" s="1" t="s">
        <v>247</v>
      </c>
      <c r="D495" s="52">
        <v>46095.53125</v>
      </c>
      <c r="E495" s="52">
        <v>46095.53125</v>
      </c>
      <c r="F495" s="52">
        <v>46097.375</v>
      </c>
      <c r="G495" s="53">
        <f>F495-E495</f>
        <v>1.84375</v>
      </c>
      <c r="H495" s="1" t="s">
        <v>257</v>
      </c>
      <c r="J495" s="1" t="s">
        <v>258</v>
      </c>
      <c r="K495" s="1" t="str">
        <f>_xlfn.XLOOKUP(J495,REF!$D$2:$D$12,REF!$E$2:$E$12)</f>
        <v>Rede</v>
      </c>
      <c r="L495" s="1" t="s">
        <v>455</v>
      </c>
      <c r="M495" s="1" t="s">
        <v>260</v>
      </c>
      <c r="N495" s="1" t="s">
        <v>357</v>
      </c>
      <c r="O495" s="72" t="s">
        <v>297</v>
      </c>
      <c r="P495" s="1" t="str">
        <f>_xlfn.CONCAT(B495,C495,D495,E495,F495)</f>
        <v>BC Aracu5.3Inverter(MBUS-1)46095,5312546095,5312546097,375</v>
      </c>
      <c r="Q495" s="1" t="str">
        <f>_xlfn.CONCAT(H495,I495,J495)</f>
        <v>DAURDE</v>
      </c>
    </row>
    <row r="496" spans="2:17">
      <c r="B496" s="1" t="s">
        <v>329</v>
      </c>
      <c r="C496" s="1" t="s">
        <v>247</v>
      </c>
      <c r="D496" s="52">
        <v>46095.53125</v>
      </c>
      <c r="E496" s="52">
        <v>46095.53125</v>
      </c>
      <c r="F496" s="52">
        <v>46097.375</v>
      </c>
      <c r="G496" s="53">
        <f>F496-E496</f>
        <v>1.84375</v>
      </c>
      <c r="H496" s="1" t="s">
        <v>257</v>
      </c>
      <c r="J496" s="1" t="s">
        <v>258</v>
      </c>
      <c r="K496" s="1" t="str">
        <f>_xlfn.XLOOKUP(J496,REF!$D$2:$D$12,REF!$E$2:$E$12)</f>
        <v>Rede</v>
      </c>
      <c r="L496" s="1" t="s">
        <v>455</v>
      </c>
      <c r="M496" s="1" t="s">
        <v>260</v>
      </c>
      <c r="N496" s="1" t="s">
        <v>357</v>
      </c>
      <c r="O496" s="72" t="s">
        <v>297</v>
      </c>
      <c r="P496" s="1" t="str">
        <f>_xlfn.CONCAT(B496,C496,D496,E496,F496)</f>
        <v>BC Aracu5.4Inverter(MBUS-1)46095,5312546095,5312546097,375</v>
      </c>
      <c r="Q496" s="1" t="str">
        <f>_xlfn.CONCAT(H496,I496,J496)</f>
        <v>DAURDE</v>
      </c>
    </row>
    <row r="497" spans="2:17">
      <c r="B497" s="1" t="s">
        <v>330</v>
      </c>
      <c r="C497" s="1" t="s">
        <v>247</v>
      </c>
      <c r="D497" s="52">
        <v>46095.53125</v>
      </c>
      <c r="E497" s="52">
        <v>46095.53125</v>
      </c>
      <c r="F497" s="52">
        <v>46097.375</v>
      </c>
      <c r="G497" s="53">
        <f>F497-E497</f>
        <v>1.84375</v>
      </c>
      <c r="H497" s="1" t="s">
        <v>257</v>
      </c>
      <c r="J497" s="1" t="s">
        <v>258</v>
      </c>
      <c r="K497" s="1" t="str">
        <f>_xlfn.XLOOKUP(J497,REF!$D$2:$D$12,REF!$E$2:$E$12)</f>
        <v>Rede</v>
      </c>
      <c r="L497" s="1" t="s">
        <v>455</v>
      </c>
      <c r="M497" s="1" t="s">
        <v>260</v>
      </c>
      <c r="N497" s="1" t="s">
        <v>357</v>
      </c>
      <c r="O497" s="72" t="s">
        <v>297</v>
      </c>
      <c r="P497" s="1" t="str">
        <f>_xlfn.CONCAT(B497,C497,D497,E497,F497)</f>
        <v>BC Aracu5.5Inverter(MBUS-1)46095,5312546095,5312546097,375</v>
      </c>
      <c r="Q497" s="1" t="str">
        <f>_xlfn.CONCAT(H497,I497,J497)</f>
        <v>DAURDE</v>
      </c>
    </row>
    <row r="498" spans="2:17">
      <c r="B498" s="1" t="s">
        <v>456</v>
      </c>
      <c r="C498" s="1" t="s">
        <v>457</v>
      </c>
      <c r="D498" s="52">
        <v>46095.572916666664</v>
      </c>
      <c r="E498" s="52">
        <v>46095.572916666664</v>
      </c>
      <c r="F498" s="52">
        <v>46095.65347222222</v>
      </c>
      <c r="G498" s="53">
        <f>F498-E498</f>
        <v>8.0555555556202307E-2</v>
      </c>
      <c r="H498" s="1" t="s">
        <v>257</v>
      </c>
      <c r="J498" s="1" t="s">
        <v>258</v>
      </c>
      <c r="K498" s="1" t="str">
        <f>_xlfn.XLOOKUP(J498,REF!$D$2:$D$12,REF!$E$2:$E$12)</f>
        <v>Rede</v>
      </c>
      <c r="L498" s="1" t="s">
        <v>458</v>
      </c>
      <c r="M498" s="1" t="s">
        <v>260</v>
      </c>
      <c r="N498" s="1" t="s">
        <v>357</v>
      </c>
      <c r="O498" s="72" t="s">
        <v>297</v>
      </c>
      <c r="P498" s="1" t="str">
        <f>_xlfn.CONCAT(B498,C498,D498,E498,F498)</f>
        <v>BC Caiaponia1SG60KTL(COM1-001)_001_00746095,572916666746095,572916666746095,6534722222</v>
      </c>
      <c r="Q498" s="1" t="str">
        <f>_xlfn.CONCAT(H498,I498,J498)</f>
        <v>DAURDE</v>
      </c>
    </row>
    <row r="499" spans="2:17">
      <c r="B499" s="1" t="s">
        <v>456</v>
      </c>
      <c r="C499" s="1" t="s">
        <v>459</v>
      </c>
      <c r="D499" s="52">
        <v>46095.572916666664</v>
      </c>
      <c r="E499" s="52">
        <v>46095.572916666664</v>
      </c>
      <c r="F499" s="52">
        <v>46095.65347222222</v>
      </c>
      <c r="G499" s="53">
        <f>F499-E499</f>
        <v>8.0555555556202307E-2</v>
      </c>
      <c r="H499" s="1" t="s">
        <v>257</v>
      </c>
      <c r="J499" s="1" t="s">
        <v>258</v>
      </c>
      <c r="K499" s="1" t="str">
        <f>_xlfn.XLOOKUP(J499,REF!$D$2:$D$12,REF!$E$2:$E$12)</f>
        <v>Rede</v>
      </c>
      <c r="L499" s="1" t="s">
        <v>458</v>
      </c>
      <c r="M499" s="1" t="s">
        <v>260</v>
      </c>
      <c r="N499" s="1" t="s">
        <v>357</v>
      </c>
      <c r="O499" s="72" t="s">
        <v>297</v>
      </c>
      <c r="P499" s="1" t="str">
        <f>_xlfn.CONCAT(B499,C499,D499,E499,F499)</f>
        <v>BC Caiaponia1SG60KTL(COM1-002)_001_01046095,572916666746095,572916666746095,6534722222</v>
      </c>
      <c r="Q499" s="1" t="str">
        <f>_xlfn.CONCAT(H499,I499,J499)</f>
        <v>DAURDE</v>
      </c>
    </row>
    <row r="500" spans="2:17">
      <c r="B500" s="1" t="s">
        <v>456</v>
      </c>
      <c r="C500" s="1" t="s">
        <v>460</v>
      </c>
      <c r="D500" s="52">
        <v>46095.572916666664</v>
      </c>
      <c r="E500" s="52">
        <v>46095.572916666664</v>
      </c>
      <c r="F500" s="52">
        <v>46095.65347222222</v>
      </c>
      <c r="G500" s="53">
        <f>F500-E500</f>
        <v>8.0555555556202307E-2</v>
      </c>
      <c r="H500" s="1" t="s">
        <v>257</v>
      </c>
      <c r="J500" s="1" t="s">
        <v>258</v>
      </c>
      <c r="K500" s="1" t="str">
        <f>_xlfn.XLOOKUP(J500,REF!$D$2:$D$12,REF!$E$2:$E$12)</f>
        <v>Rede</v>
      </c>
      <c r="L500" s="1" t="s">
        <v>458</v>
      </c>
      <c r="M500" s="1" t="s">
        <v>260</v>
      </c>
      <c r="N500" s="1" t="s">
        <v>357</v>
      </c>
      <c r="O500" s="72" t="s">
        <v>297</v>
      </c>
      <c r="P500" s="1" t="str">
        <f>_xlfn.CONCAT(B500,C500,D500,E500,F500)</f>
        <v>BC Caiaponia1SG60KTL(COM1-003)_001_01146095,572916666746095,572916666746095,6534722222</v>
      </c>
      <c r="Q500" s="1" t="str">
        <f>_xlfn.CONCAT(H500,I500,J500)</f>
        <v>DAURDE</v>
      </c>
    </row>
    <row r="501" spans="2:17">
      <c r="B501" s="1" t="s">
        <v>456</v>
      </c>
      <c r="C501" s="1" t="s">
        <v>461</v>
      </c>
      <c r="D501" s="52">
        <v>46095.572916666664</v>
      </c>
      <c r="E501" s="52">
        <v>46095.572916666664</v>
      </c>
      <c r="F501" s="52">
        <v>46095.65347222222</v>
      </c>
      <c r="G501" s="53">
        <f>F501-E501</f>
        <v>8.0555555556202307E-2</v>
      </c>
      <c r="H501" s="1" t="s">
        <v>257</v>
      </c>
      <c r="J501" s="1" t="s">
        <v>258</v>
      </c>
      <c r="K501" s="1" t="str">
        <f>_xlfn.XLOOKUP(J501,REF!$D$2:$D$12,REF!$E$2:$E$12)</f>
        <v>Rede</v>
      </c>
      <c r="L501" s="1" t="s">
        <v>458</v>
      </c>
      <c r="M501" s="1" t="s">
        <v>260</v>
      </c>
      <c r="N501" s="1" t="s">
        <v>357</v>
      </c>
      <c r="O501" s="72" t="s">
        <v>297</v>
      </c>
      <c r="P501" s="1" t="str">
        <f>_xlfn.CONCAT(B501,C501,D501,E501,F501)</f>
        <v>BC Caiaponia1SG60KTL(COM1-004)_001_01446095,572916666746095,572916666746095,6534722222</v>
      </c>
      <c r="Q501" s="1" t="str">
        <f>_xlfn.CONCAT(H501,I501,J501)</f>
        <v>DAURDE</v>
      </c>
    </row>
    <row r="502" spans="2:17">
      <c r="B502" s="1" t="s">
        <v>456</v>
      </c>
      <c r="C502" s="1" t="s">
        <v>462</v>
      </c>
      <c r="D502" s="52">
        <v>46095.572916666664</v>
      </c>
      <c r="E502" s="52">
        <v>46095.572916666664</v>
      </c>
      <c r="F502" s="52">
        <v>46095.65347222222</v>
      </c>
      <c r="G502" s="53">
        <f>F502-E502</f>
        <v>8.0555555556202307E-2</v>
      </c>
      <c r="H502" s="1" t="s">
        <v>257</v>
      </c>
      <c r="J502" s="1" t="s">
        <v>258</v>
      </c>
      <c r="K502" s="1" t="str">
        <f>_xlfn.XLOOKUP(J502,REF!$D$2:$D$12,REF!$E$2:$E$12)</f>
        <v>Rede</v>
      </c>
      <c r="L502" s="1" t="s">
        <v>458</v>
      </c>
      <c r="M502" s="1" t="s">
        <v>260</v>
      </c>
      <c r="N502" s="1" t="s">
        <v>357</v>
      </c>
      <c r="O502" s="72" t="s">
        <v>297</v>
      </c>
      <c r="P502" s="1" t="str">
        <f>_xlfn.CONCAT(B502,C502,D502,E502,F502)</f>
        <v>BC Caiaponia1SG60KTL(COM1-005)_001_01746095,572916666746095,572916666746095,6534722222</v>
      </c>
      <c r="Q502" s="1" t="str">
        <f>_xlfn.CONCAT(H502,I502,J502)</f>
        <v>DAURDE</v>
      </c>
    </row>
    <row r="503" spans="2:17">
      <c r="B503" s="1" t="s">
        <v>456</v>
      </c>
      <c r="C503" s="1" t="s">
        <v>463</v>
      </c>
      <c r="D503" s="52">
        <v>46095.572916666664</v>
      </c>
      <c r="E503" s="52">
        <v>46095.572916666664</v>
      </c>
      <c r="F503" s="52">
        <v>46095.65347222222</v>
      </c>
      <c r="G503" s="53">
        <f>F503-E503</f>
        <v>8.0555555556202307E-2</v>
      </c>
      <c r="H503" s="1" t="s">
        <v>257</v>
      </c>
      <c r="J503" s="1" t="s">
        <v>258</v>
      </c>
      <c r="K503" s="1" t="str">
        <f>_xlfn.XLOOKUP(J503,REF!$D$2:$D$12,REF!$E$2:$E$12)</f>
        <v>Rede</v>
      </c>
      <c r="L503" s="1" t="s">
        <v>458</v>
      </c>
      <c r="M503" s="1" t="s">
        <v>260</v>
      </c>
      <c r="N503" s="1" t="s">
        <v>357</v>
      </c>
      <c r="O503" s="72" t="s">
        <v>297</v>
      </c>
      <c r="P503" s="1" t="str">
        <f>_xlfn.CONCAT(B503,C503,D503,E503,F503)</f>
        <v>BC Caiaponia1SG60KTL(COM1-006)_001_01646095,572916666746095,572916666746095,6534722222</v>
      </c>
      <c r="Q503" s="1" t="str">
        <f>_xlfn.CONCAT(H503,I503,J503)</f>
        <v>DAURDE</v>
      </c>
    </row>
    <row r="504" spans="2:17">
      <c r="B504" s="1" t="s">
        <v>456</v>
      </c>
      <c r="C504" s="1" t="s">
        <v>464</v>
      </c>
      <c r="D504" s="52">
        <v>46095.572916666664</v>
      </c>
      <c r="E504" s="52">
        <v>46095.572916666664</v>
      </c>
      <c r="F504" s="52">
        <v>46095.65347222222</v>
      </c>
      <c r="G504" s="53">
        <f>F504-E504</f>
        <v>8.0555555556202307E-2</v>
      </c>
      <c r="H504" s="1" t="s">
        <v>257</v>
      </c>
      <c r="J504" s="1" t="s">
        <v>258</v>
      </c>
      <c r="K504" s="1" t="str">
        <f>_xlfn.XLOOKUP(J504,REF!$D$2:$D$12,REF!$E$2:$E$12)</f>
        <v>Rede</v>
      </c>
      <c r="L504" s="1" t="s">
        <v>458</v>
      </c>
      <c r="M504" s="1" t="s">
        <v>260</v>
      </c>
      <c r="N504" s="1" t="s">
        <v>357</v>
      </c>
      <c r="O504" s="72" t="s">
        <v>297</v>
      </c>
      <c r="P504" s="1" t="str">
        <f>_xlfn.CONCAT(B504,C504,D504,E504,F504)</f>
        <v>BC Caiaponia1SG60KTL(COM1-007)_001_01346095,572916666746095,572916666746095,6534722222</v>
      </c>
      <c r="Q504" s="1" t="str">
        <f>_xlfn.CONCAT(H504,I504,J504)</f>
        <v>DAURDE</v>
      </c>
    </row>
    <row r="505" spans="2:17">
      <c r="B505" s="1" t="s">
        <v>456</v>
      </c>
      <c r="C505" s="1" t="s">
        <v>465</v>
      </c>
      <c r="D505" s="52">
        <v>46095.572916666664</v>
      </c>
      <c r="E505" s="52">
        <v>46095.572916666664</v>
      </c>
      <c r="F505" s="52">
        <v>46095.65347222222</v>
      </c>
      <c r="G505" s="53">
        <f>F505-E505</f>
        <v>8.0555555556202307E-2</v>
      </c>
      <c r="H505" s="1" t="s">
        <v>257</v>
      </c>
      <c r="J505" s="1" t="s">
        <v>258</v>
      </c>
      <c r="K505" s="1" t="str">
        <f>_xlfn.XLOOKUP(J505,REF!$D$2:$D$12,REF!$E$2:$E$12)</f>
        <v>Rede</v>
      </c>
      <c r="L505" s="1" t="s">
        <v>458</v>
      </c>
      <c r="M505" s="1" t="s">
        <v>260</v>
      </c>
      <c r="N505" s="1" t="s">
        <v>357</v>
      </c>
      <c r="O505" s="72" t="s">
        <v>297</v>
      </c>
      <c r="P505" s="1" t="str">
        <f>_xlfn.CONCAT(B505,C505,D505,E505,F505)</f>
        <v>BC Caiaponia1SG60KTL(COM1-008)_001_00146095,572916666746095,572916666746095,6534722222</v>
      </c>
      <c r="Q505" s="1" t="str">
        <f>_xlfn.CONCAT(H505,I505,J505)</f>
        <v>DAURDE</v>
      </c>
    </row>
    <row r="506" spans="2:17">
      <c r="B506" s="1" t="s">
        <v>456</v>
      </c>
      <c r="C506" s="1" t="s">
        <v>466</v>
      </c>
      <c r="D506" s="52">
        <v>46095.572916666664</v>
      </c>
      <c r="E506" s="52">
        <v>46095.572916666664</v>
      </c>
      <c r="F506" s="52">
        <v>46095.65347222222</v>
      </c>
      <c r="G506" s="53">
        <f>F506-E506</f>
        <v>8.0555555556202307E-2</v>
      </c>
      <c r="H506" s="1" t="s">
        <v>257</v>
      </c>
      <c r="J506" s="1" t="s">
        <v>258</v>
      </c>
      <c r="K506" s="1" t="str">
        <f>_xlfn.XLOOKUP(J506,REF!$D$2:$D$12,REF!$E$2:$E$12)</f>
        <v>Rede</v>
      </c>
      <c r="L506" s="1" t="s">
        <v>458</v>
      </c>
      <c r="M506" s="1" t="s">
        <v>260</v>
      </c>
      <c r="N506" s="1" t="s">
        <v>357</v>
      </c>
      <c r="O506" s="72" t="s">
        <v>297</v>
      </c>
      <c r="P506" s="1" t="str">
        <f>_xlfn.CONCAT(B506,C506,D506,E506,F506)</f>
        <v>BC Caiaponia1SG60KTL(COM1-009)46095,572916666746095,572916666746095,6534722222</v>
      </c>
      <c r="Q506" s="1" t="str">
        <f>_xlfn.CONCAT(H506,I506,J506)</f>
        <v>DAURDE</v>
      </c>
    </row>
    <row r="507" spans="2:17">
      <c r="B507" s="1" t="s">
        <v>456</v>
      </c>
      <c r="C507" s="1" t="s">
        <v>467</v>
      </c>
      <c r="D507" s="52">
        <v>46095.572916666664</v>
      </c>
      <c r="E507" s="52">
        <v>46095.572916666664</v>
      </c>
      <c r="F507" s="52">
        <v>46095.65347222222</v>
      </c>
      <c r="G507" s="53">
        <f>F507-E507</f>
        <v>8.0555555556202307E-2</v>
      </c>
      <c r="H507" s="1" t="s">
        <v>257</v>
      </c>
      <c r="J507" s="1" t="s">
        <v>258</v>
      </c>
      <c r="K507" s="1" t="str">
        <f>_xlfn.XLOOKUP(J507,REF!$D$2:$D$12,REF!$E$2:$E$12)</f>
        <v>Rede</v>
      </c>
      <c r="L507" s="1" t="s">
        <v>458</v>
      </c>
      <c r="M507" s="1" t="s">
        <v>260</v>
      </c>
      <c r="N507" s="1" t="s">
        <v>357</v>
      </c>
      <c r="O507" s="72" t="s">
        <v>297</v>
      </c>
      <c r="P507" s="1" t="str">
        <f>_xlfn.CONCAT(B507,C507,D507,E507,F507)</f>
        <v>BC Caiaponia1SG60KTL(COM1-010)46095,572916666746095,572916666746095,6534722222</v>
      </c>
      <c r="Q507" s="1" t="str">
        <f>_xlfn.CONCAT(H507,I507,J507)</f>
        <v>DAURDE</v>
      </c>
    </row>
    <row r="508" spans="2:17">
      <c r="B508" s="1" t="s">
        <v>456</v>
      </c>
      <c r="C508" s="1" t="s">
        <v>468</v>
      </c>
      <c r="D508" s="52">
        <v>46095.572916666664</v>
      </c>
      <c r="E508" s="52">
        <v>46095.572916666664</v>
      </c>
      <c r="F508" s="52">
        <v>46095.65347222222</v>
      </c>
      <c r="G508" s="53">
        <f>F508-E508</f>
        <v>8.0555555556202307E-2</v>
      </c>
      <c r="H508" s="1" t="s">
        <v>257</v>
      </c>
      <c r="J508" s="1" t="s">
        <v>258</v>
      </c>
      <c r="K508" s="1" t="str">
        <f>_xlfn.XLOOKUP(J508,REF!$D$2:$D$12,REF!$E$2:$E$12)</f>
        <v>Rede</v>
      </c>
      <c r="L508" s="1" t="s">
        <v>458</v>
      </c>
      <c r="M508" s="1" t="s">
        <v>260</v>
      </c>
      <c r="N508" s="1" t="s">
        <v>357</v>
      </c>
      <c r="O508" s="72" t="s">
        <v>297</v>
      </c>
      <c r="P508" s="1" t="str">
        <f>_xlfn.CONCAT(B508,C508,D508,E508,F508)</f>
        <v>BC Caiaponia1SG60KTL(COM1-011)46095,572916666746095,572916666746095,6534722222</v>
      </c>
      <c r="Q508" s="1" t="str">
        <f>_xlfn.CONCAT(H508,I508,J508)</f>
        <v>DAURDE</v>
      </c>
    </row>
    <row r="509" spans="2:17">
      <c r="B509" s="1" t="s">
        <v>456</v>
      </c>
      <c r="C509" s="1" t="s">
        <v>469</v>
      </c>
      <c r="D509" s="52">
        <v>46095.572916666664</v>
      </c>
      <c r="E509" s="52">
        <v>46095.572916666664</v>
      </c>
      <c r="F509" s="52">
        <v>46095.65347222222</v>
      </c>
      <c r="G509" s="53">
        <f>F509-E509</f>
        <v>8.0555555556202307E-2</v>
      </c>
      <c r="H509" s="1" t="s">
        <v>257</v>
      </c>
      <c r="J509" s="1" t="s">
        <v>258</v>
      </c>
      <c r="K509" s="1" t="str">
        <f>_xlfn.XLOOKUP(J509,REF!$D$2:$D$12,REF!$E$2:$E$12)</f>
        <v>Rede</v>
      </c>
      <c r="L509" s="1" t="s">
        <v>458</v>
      </c>
      <c r="M509" s="1" t="s">
        <v>260</v>
      </c>
      <c r="N509" s="1" t="s">
        <v>357</v>
      </c>
      <c r="O509" s="72" t="s">
        <v>297</v>
      </c>
      <c r="P509" s="1" t="str">
        <f>_xlfn.CONCAT(B509,C509,D509,E509,F509)</f>
        <v>BC Caiaponia1SG60KTL(COM1-012)46095,572916666746095,572916666746095,6534722222</v>
      </c>
      <c r="Q509" s="1" t="str">
        <f>_xlfn.CONCAT(H509,I509,J509)</f>
        <v>DAURDE</v>
      </c>
    </row>
    <row r="510" spans="2:17">
      <c r="B510" s="1" t="s">
        <v>456</v>
      </c>
      <c r="C510" s="1" t="s">
        <v>470</v>
      </c>
      <c r="D510" s="52">
        <v>46095.572916666664</v>
      </c>
      <c r="E510" s="52">
        <v>46095.572916666664</v>
      </c>
      <c r="F510" s="52">
        <v>46095.65347222222</v>
      </c>
      <c r="G510" s="53">
        <f>F510-E510</f>
        <v>8.0555555556202307E-2</v>
      </c>
      <c r="H510" s="1" t="s">
        <v>257</v>
      </c>
      <c r="J510" s="1" t="s">
        <v>258</v>
      </c>
      <c r="K510" s="1" t="str">
        <f>_xlfn.XLOOKUP(J510,REF!$D$2:$D$12,REF!$E$2:$E$12)</f>
        <v>Rede</v>
      </c>
      <c r="L510" s="1" t="s">
        <v>458</v>
      </c>
      <c r="M510" s="1" t="s">
        <v>260</v>
      </c>
      <c r="N510" s="1" t="s">
        <v>357</v>
      </c>
      <c r="O510" s="72" t="s">
        <v>297</v>
      </c>
      <c r="P510" s="1" t="str">
        <f>_xlfn.CONCAT(B510,C510,D510,E510,F510)</f>
        <v>BC Caiaponia1SG60KTL(COM1-013)46095,572916666746095,572916666746095,6534722222</v>
      </c>
      <c r="Q510" s="1" t="str">
        <f>_xlfn.CONCAT(H510,I510,J510)</f>
        <v>DAURDE</v>
      </c>
    </row>
    <row r="511" spans="2:17">
      <c r="B511" s="1" t="s">
        <v>456</v>
      </c>
      <c r="C511" s="1" t="s">
        <v>471</v>
      </c>
      <c r="D511" s="52">
        <v>46095.572916666664</v>
      </c>
      <c r="E511" s="52">
        <v>46095.572916666664</v>
      </c>
      <c r="F511" s="52">
        <v>46095.65347222222</v>
      </c>
      <c r="G511" s="53">
        <f>F511-E511</f>
        <v>8.0555555556202307E-2</v>
      </c>
      <c r="H511" s="1" t="s">
        <v>257</v>
      </c>
      <c r="J511" s="1" t="s">
        <v>258</v>
      </c>
      <c r="K511" s="1" t="str">
        <f>_xlfn.XLOOKUP(J511,REF!$D$2:$D$12,REF!$E$2:$E$12)</f>
        <v>Rede</v>
      </c>
      <c r="L511" s="1" t="s">
        <v>458</v>
      </c>
      <c r="M511" s="1" t="s">
        <v>260</v>
      </c>
      <c r="N511" s="1" t="s">
        <v>357</v>
      </c>
      <c r="O511" s="72" t="s">
        <v>297</v>
      </c>
      <c r="P511" s="1" t="str">
        <f>_xlfn.CONCAT(B511,C511,D511,E511,F511)</f>
        <v>BC Caiaponia1SG60KTL(COM1-014)46095,572916666746095,572916666746095,6534722222</v>
      </c>
      <c r="Q511" s="1" t="str">
        <f>_xlfn.CONCAT(H511,I511,J511)</f>
        <v>DAURDE</v>
      </c>
    </row>
    <row r="512" spans="2:17">
      <c r="B512" s="1" t="s">
        <v>456</v>
      </c>
      <c r="C512" s="1" t="s">
        <v>472</v>
      </c>
      <c r="D512" s="52">
        <v>46095.572916666664</v>
      </c>
      <c r="E512" s="52">
        <v>46095.572916666664</v>
      </c>
      <c r="F512" s="52">
        <v>46095.65347222222</v>
      </c>
      <c r="G512" s="53">
        <f>F512-E512</f>
        <v>8.0555555556202307E-2</v>
      </c>
      <c r="H512" s="1" t="s">
        <v>257</v>
      </c>
      <c r="J512" s="1" t="s">
        <v>258</v>
      </c>
      <c r="K512" s="1" t="str">
        <f>_xlfn.XLOOKUP(J512,REF!$D$2:$D$12,REF!$E$2:$E$12)</f>
        <v>Rede</v>
      </c>
      <c r="L512" s="1" t="s">
        <v>458</v>
      </c>
      <c r="M512" s="1" t="s">
        <v>260</v>
      </c>
      <c r="N512" s="1" t="s">
        <v>357</v>
      </c>
      <c r="O512" s="72" t="s">
        <v>297</v>
      </c>
      <c r="P512" s="1" t="str">
        <f>_xlfn.CONCAT(B512,C512,D512,E512,F512)</f>
        <v>BC Caiaponia1SG60KTL(COM1-015)46095,572916666746095,572916666746095,6534722222</v>
      </c>
      <c r="Q512" s="1" t="str">
        <f>_xlfn.CONCAT(H512,I512,J512)</f>
        <v>DAURDE</v>
      </c>
    </row>
    <row r="513" spans="2:17">
      <c r="B513" s="1" t="s">
        <v>456</v>
      </c>
      <c r="C513" s="1" t="s">
        <v>473</v>
      </c>
      <c r="D513" s="52">
        <v>46095.572916666664</v>
      </c>
      <c r="E513" s="52">
        <v>46095.572916666664</v>
      </c>
      <c r="F513" s="52">
        <v>46095.65347222222</v>
      </c>
      <c r="G513" s="53">
        <f>F513-E513</f>
        <v>8.0555555556202307E-2</v>
      </c>
      <c r="H513" s="1" t="s">
        <v>257</v>
      </c>
      <c r="J513" s="1" t="s">
        <v>258</v>
      </c>
      <c r="K513" s="1" t="str">
        <f>_xlfn.XLOOKUP(J513,REF!$D$2:$D$12,REF!$E$2:$E$12)</f>
        <v>Rede</v>
      </c>
      <c r="L513" s="1" t="s">
        <v>458</v>
      </c>
      <c r="M513" s="1" t="s">
        <v>260</v>
      </c>
      <c r="N513" s="1" t="s">
        <v>357</v>
      </c>
      <c r="O513" s="72" t="s">
        <v>297</v>
      </c>
      <c r="P513" s="1" t="str">
        <f>_xlfn.CONCAT(B513,C513,D513,E513,F513)</f>
        <v>BC Caiaponia1SG60KTL(COM3-016)_001_00946095,572916666746095,572916666746095,6534722222</v>
      </c>
      <c r="Q513" s="1" t="str">
        <f>_xlfn.CONCAT(H513,I513,J513)</f>
        <v>DAURDE</v>
      </c>
    </row>
    <row r="514" spans="2:17">
      <c r="B514" s="1" t="s">
        <v>456</v>
      </c>
      <c r="C514" s="1" t="s">
        <v>474</v>
      </c>
      <c r="D514" s="52">
        <v>46095.572916666664</v>
      </c>
      <c r="E514" s="52">
        <v>46095.572916666664</v>
      </c>
      <c r="F514" s="52">
        <v>46095.65347222222</v>
      </c>
      <c r="G514" s="53">
        <f>F514-E514</f>
        <v>8.0555555556202307E-2</v>
      </c>
      <c r="H514" s="1" t="s">
        <v>257</v>
      </c>
      <c r="J514" s="1" t="s">
        <v>258</v>
      </c>
      <c r="K514" s="1" t="str">
        <f>_xlfn.XLOOKUP(J514,REF!$D$2:$D$12,REF!$E$2:$E$12)</f>
        <v>Rede</v>
      </c>
      <c r="L514" s="1" t="s">
        <v>458</v>
      </c>
      <c r="M514" s="1" t="s">
        <v>260</v>
      </c>
      <c r="N514" s="1" t="s">
        <v>357</v>
      </c>
      <c r="O514" s="72" t="s">
        <v>297</v>
      </c>
      <c r="P514" s="1" t="str">
        <f>_xlfn.CONCAT(B514,C514,D514,E514,F514)</f>
        <v>BC Caiaponia1SG60KTL(COM3-017)_001_01246095,572916666746095,572916666746095,6534722222</v>
      </c>
      <c r="Q514" s="1" t="str">
        <f>_xlfn.CONCAT(H514,I514,J514)</f>
        <v>DAURDE</v>
      </c>
    </row>
    <row r="515" spans="2:17">
      <c r="B515" s="1" t="s">
        <v>456</v>
      </c>
      <c r="C515" s="1" t="s">
        <v>475</v>
      </c>
      <c r="D515" s="52">
        <v>46095.572916666664</v>
      </c>
      <c r="E515" s="52">
        <v>46095.572916666664</v>
      </c>
      <c r="F515" s="52">
        <v>46095.65347222222</v>
      </c>
      <c r="G515" s="53">
        <f>F515-E515</f>
        <v>8.0555555556202307E-2</v>
      </c>
      <c r="H515" s="1" t="s">
        <v>257</v>
      </c>
      <c r="J515" s="1" t="s">
        <v>258</v>
      </c>
      <c r="K515" s="1" t="str">
        <f>_xlfn.XLOOKUP(J515,REF!$D$2:$D$12,REF!$E$2:$E$12)</f>
        <v>Rede</v>
      </c>
      <c r="L515" s="1" t="s">
        <v>458</v>
      </c>
      <c r="M515" s="1" t="s">
        <v>260</v>
      </c>
      <c r="N515" s="1" t="s">
        <v>357</v>
      </c>
      <c r="O515" s="72" t="s">
        <v>297</v>
      </c>
      <c r="P515" s="1" t="str">
        <f>_xlfn.CONCAT(B515,C515,D515,E515,F515)</f>
        <v>BC Caiaponia1SG60KTL(COM3-018)_001_00846095,572916666746095,572916666746095,6534722222</v>
      </c>
      <c r="Q515" s="1" t="str">
        <f>_xlfn.CONCAT(H515,I515,J515)</f>
        <v>DAURDE</v>
      </c>
    </row>
    <row r="516" spans="2:17">
      <c r="B516" s="1" t="s">
        <v>456</v>
      </c>
      <c r="C516" s="1" t="s">
        <v>476</v>
      </c>
      <c r="D516" s="52">
        <v>46095.572916666664</v>
      </c>
      <c r="E516" s="52">
        <v>46095.572916666664</v>
      </c>
      <c r="F516" s="52">
        <v>46095.65347222222</v>
      </c>
      <c r="G516" s="53">
        <f>F516-E516</f>
        <v>8.0555555556202307E-2</v>
      </c>
      <c r="H516" s="1" t="s">
        <v>257</v>
      </c>
      <c r="J516" s="1" t="s">
        <v>258</v>
      </c>
      <c r="K516" s="1" t="str">
        <f>_xlfn.XLOOKUP(J516,REF!$D$2:$D$12,REF!$E$2:$E$12)</f>
        <v>Rede</v>
      </c>
      <c r="L516" s="1" t="s">
        <v>458</v>
      </c>
      <c r="M516" s="1" t="s">
        <v>260</v>
      </c>
      <c r="N516" s="1" t="s">
        <v>357</v>
      </c>
      <c r="O516" s="72" t="s">
        <v>297</v>
      </c>
      <c r="P516" s="1" t="str">
        <f>_xlfn.CONCAT(B516,C516,D516,E516,F516)</f>
        <v>BC Caiaponia1SG60KTL(COM3-019)_001_01946095,572916666746095,572916666746095,6534722222</v>
      </c>
      <c r="Q516" s="1" t="str">
        <f>_xlfn.CONCAT(H516,I516,J516)</f>
        <v>DAURDE</v>
      </c>
    </row>
    <row r="517" spans="2:17">
      <c r="B517" s="1" t="s">
        <v>456</v>
      </c>
      <c r="C517" s="1" t="s">
        <v>477</v>
      </c>
      <c r="D517" s="52">
        <v>46095.572916666664</v>
      </c>
      <c r="E517" s="52">
        <v>46095.572916666664</v>
      </c>
      <c r="F517" s="52">
        <v>46095.65347222222</v>
      </c>
      <c r="G517" s="53">
        <f>F517-E517</f>
        <v>8.0555555556202307E-2</v>
      </c>
      <c r="H517" s="1" t="s">
        <v>257</v>
      </c>
      <c r="J517" s="1" t="s">
        <v>258</v>
      </c>
      <c r="K517" s="1" t="str">
        <f>_xlfn.XLOOKUP(J517,REF!$D$2:$D$12,REF!$E$2:$E$12)</f>
        <v>Rede</v>
      </c>
      <c r="L517" s="1" t="s">
        <v>458</v>
      </c>
      <c r="M517" s="1" t="s">
        <v>260</v>
      </c>
      <c r="N517" s="1" t="s">
        <v>357</v>
      </c>
      <c r="O517" s="72" t="s">
        <v>297</v>
      </c>
      <c r="P517" s="1" t="str">
        <f>_xlfn.CONCAT(B517,C517,D517,E517,F517)</f>
        <v>BC Caiaponia1SG60KTL(COM3-020)_001_02046095,572916666746095,572916666746095,6534722222</v>
      </c>
      <c r="Q517" s="1" t="str">
        <f>_xlfn.CONCAT(H517,I517,J517)</f>
        <v>DAURDE</v>
      </c>
    </row>
    <row r="518" spans="2:17">
      <c r="B518" s="1" t="s">
        <v>456</v>
      </c>
      <c r="C518" s="1" t="s">
        <v>478</v>
      </c>
      <c r="D518" s="52">
        <v>46095.572916666664</v>
      </c>
      <c r="E518" s="52">
        <v>46095.572916666664</v>
      </c>
      <c r="F518" s="52">
        <v>46095.65347222222</v>
      </c>
      <c r="G518" s="53">
        <f>F518-E518</f>
        <v>8.0555555556202307E-2</v>
      </c>
      <c r="H518" s="1" t="s">
        <v>257</v>
      </c>
      <c r="J518" s="1" t="s">
        <v>258</v>
      </c>
      <c r="K518" s="1" t="str">
        <f>_xlfn.XLOOKUP(J518,REF!$D$2:$D$12,REF!$E$2:$E$12)</f>
        <v>Rede</v>
      </c>
      <c r="L518" s="1" t="s">
        <v>458</v>
      </c>
      <c r="M518" s="1" t="s">
        <v>260</v>
      </c>
      <c r="N518" s="1" t="s">
        <v>357</v>
      </c>
      <c r="O518" s="72" t="s">
        <v>297</v>
      </c>
      <c r="P518" s="1" t="str">
        <f>_xlfn.CONCAT(B518,C518,D518,E518,F518)</f>
        <v>BC Caiaponia1SG60KTL(COM2-026)46095,572916666746095,572916666746095,6534722222</v>
      </c>
      <c r="Q518" s="1" t="str">
        <f>_xlfn.CONCAT(H518,I518,J518)</f>
        <v>DAURDE</v>
      </c>
    </row>
    <row r="519" spans="2:17">
      <c r="B519" s="1" t="s">
        <v>456</v>
      </c>
      <c r="C519" s="1" t="s">
        <v>479</v>
      </c>
      <c r="D519" s="52">
        <v>46095.572916666664</v>
      </c>
      <c r="E519" s="52">
        <v>46095.572916666664</v>
      </c>
      <c r="F519" s="52">
        <v>46095.65347222222</v>
      </c>
      <c r="G519" s="53">
        <f>F519-E519</f>
        <v>8.0555555556202307E-2</v>
      </c>
      <c r="H519" s="1" t="s">
        <v>257</v>
      </c>
      <c r="J519" s="1" t="s">
        <v>258</v>
      </c>
      <c r="K519" s="1" t="str">
        <f>_xlfn.XLOOKUP(J519,REF!$D$2:$D$12,REF!$E$2:$E$12)</f>
        <v>Rede</v>
      </c>
      <c r="L519" s="1" t="s">
        <v>458</v>
      </c>
      <c r="M519" s="1" t="s">
        <v>260</v>
      </c>
      <c r="N519" s="1" t="s">
        <v>357</v>
      </c>
      <c r="O519" s="72" t="s">
        <v>297</v>
      </c>
      <c r="P519" s="1" t="str">
        <f>_xlfn.CONCAT(B519,C519,D519,E519,F519)</f>
        <v>BC Caiaponia1SG60KTL(COM2-027)46095,572916666746095,572916666746095,6534722222</v>
      </c>
      <c r="Q519" s="1" t="str">
        <f>_xlfn.CONCAT(H519,I519,J519)</f>
        <v>DAURDE</v>
      </c>
    </row>
    <row r="520" spans="2:17">
      <c r="B520" s="1" t="s">
        <v>456</v>
      </c>
      <c r="C520" s="1" t="s">
        <v>480</v>
      </c>
      <c r="D520" s="52">
        <v>46095.572916666664</v>
      </c>
      <c r="E520" s="52">
        <v>46095.572916666664</v>
      </c>
      <c r="F520" s="52">
        <v>46095.65347222222</v>
      </c>
      <c r="G520" s="53">
        <f>F520-E520</f>
        <v>8.0555555556202307E-2</v>
      </c>
      <c r="H520" s="1" t="s">
        <v>257</v>
      </c>
      <c r="J520" s="1" t="s">
        <v>258</v>
      </c>
      <c r="K520" s="1" t="str">
        <f>_xlfn.XLOOKUP(J520,REF!$D$2:$D$12,REF!$E$2:$E$12)</f>
        <v>Rede</v>
      </c>
      <c r="L520" s="1" t="s">
        <v>458</v>
      </c>
      <c r="M520" s="1" t="s">
        <v>260</v>
      </c>
      <c r="N520" s="1" t="s">
        <v>357</v>
      </c>
      <c r="O520" s="72" t="s">
        <v>297</v>
      </c>
      <c r="P520" s="1" t="str">
        <f>_xlfn.CONCAT(B520,C520,D520,E520,F520)</f>
        <v>BC Caiaponia1SG60KTL(COM2-028)46095,572916666746095,572916666746095,6534722222</v>
      </c>
      <c r="Q520" s="1" t="str">
        <f>_xlfn.CONCAT(H520,I520,J520)</f>
        <v>DAURDE</v>
      </c>
    </row>
    <row r="521" spans="2:17">
      <c r="B521" s="1" t="s">
        <v>456</v>
      </c>
      <c r="C521" s="1" t="s">
        <v>481</v>
      </c>
      <c r="D521" s="52">
        <v>46095.572916666664</v>
      </c>
      <c r="E521" s="52">
        <v>46095.572916666664</v>
      </c>
      <c r="F521" s="52">
        <v>46095.65347222222</v>
      </c>
      <c r="G521" s="53">
        <f>F521-E521</f>
        <v>8.0555555556202307E-2</v>
      </c>
      <c r="H521" s="1" t="s">
        <v>257</v>
      </c>
      <c r="J521" s="1" t="s">
        <v>258</v>
      </c>
      <c r="K521" s="1" t="str">
        <f>_xlfn.XLOOKUP(J521,REF!$D$2:$D$12,REF!$E$2:$E$12)</f>
        <v>Rede</v>
      </c>
      <c r="L521" s="1" t="s">
        <v>458</v>
      </c>
      <c r="M521" s="1" t="s">
        <v>260</v>
      </c>
      <c r="N521" s="1" t="s">
        <v>357</v>
      </c>
      <c r="O521" s="72" t="s">
        <v>297</v>
      </c>
      <c r="P521" s="1" t="str">
        <f>_xlfn.CONCAT(B521,C521,D521,E521,F521)</f>
        <v>BC Caiaponia1SG60KTL(COM2-029)46095,572916666746095,572916666746095,6534722222</v>
      </c>
      <c r="Q521" s="1" t="str">
        <f>_xlfn.CONCAT(H521,I521,J521)</f>
        <v>DAURDE</v>
      </c>
    </row>
    <row r="522" spans="2:17">
      <c r="B522" s="1" t="s">
        <v>456</v>
      </c>
      <c r="C522" s="1" t="s">
        <v>482</v>
      </c>
      <c r="D522" s="52">
        <v>46095.572916666664</v>
      </c>
      <c r="E522" s="52">
        <v>46095.572916666664</v>
      </c>
      <c r="F522" s="52">
        <v>46095.65347222222</v>
      </c>
      <c r="G522" s="53">
        <f>F522-E522</f>
        <v>8.0555555556202307E-2</v>
      </c>
      <c r="H522" s="1" t="s">
        <v>257</v>
      </c>
      <c r="J522" s="1" t="s">
        <v>258</v>
      </c>
      <c r="K522" s="1" t="str">
        <f>_xlfn.XLOOKUP(J522,REF!$D$2:$D$12,REF!$E$2:$E$12)</f>
        <v>Rede</v>
      </c>
      <c r="L522" s="1" t="s">
        <v>458</v>
      </c>
      <c r="M522" s="1" t="s">
        <v>260</v>
      </c>
      <c r="N522" s="1" t="s">
        <v>357</v>
      </c>
      <c r="O522" s="72" t="s">
        <v>297</v>
      </c>
      <c r="P522" s="1" t="str">
        <f>_xlfn.CONCAT(B522,C522,D522,E522,F522)</f>
        <v>BC Caiaponia1SG50CX(COM1-021)46095,572916666746095,572916666746095,6534722222</v>
      </c>
      <c r="Q522" s="1" t="str">
        <f>_xlfn.CONCAT(H522,I522,J522)</f>
        <v>DAURDE</v>
      </c>
    </row>
    <row r="523" spans="2:17">
      <c r="B523" s="1" t="s">
        <v>456</v>
      </c>
      <c r="C523" s="1" t="s">
        <v>483</v>
      </c>
      <c r="D523" s="52">
        <v>46095.572916666664</v>
      </c>
      <c r="E523" s="52">
        <v>46095.572916666664</v>
      </c>
      <c r="F523" s="52">
        <v>46095.65347222222</v>
      </c>
      <c r="G523" s="53">
        <f>F523-E523</f>
        <v>8.0555555556202307E-2</v>
      </c>
      <c r="H523" s="1" t="s">
        <v>257</v>
      </c>
      <c r="J523" s="1" t="s">
        <v>258</v>
      </c>
      <c r="K523" s="1" t="str">
        <f>_xlfn.XLOOKUP(J523,REF!$D$2:$D$12,REF!$E$2:$E$12)</f>
        <v>Rede</v>
      </c>
      <c r="L523" s="1" t="s">
        <v>458</v>
      </c>
      <c r="M523" s="1" t="s">
        <v>260</v>
      </c>
      <c r="N523" s="1" t="s">
        <v>357</v>
      </c>
      <c r="O523" s="72" t="s">
        <v>297</v>
      </c>
      <c r="P523" s="1" t="str">
        <f>_xlfn.CONCAT(B523,C523,D523,E523,F523)</f>
        <v>BC Caiaponia1SG50CX(COM1-022)46095,572916666746095,572916666746095,6534722222</v>
      </c>
      <c r="Q523" s="1" t="str">
        <f>_xlfn.CONCAT(H523,I523,J523)</f>
        <v>DAURDE</v>
      </c>
    </row>
    <row r="524" spans="2:17">
      <c r="B524" s="1" t="s">
        <v>456</v>
      </c>
      <c r="C524" s="1" t="s">
        <v>484</v>
      </c>
      <c r="D524" s="52">
        <v>46095.572916666664</v>
      </c>
      <c r="E524" s="52">
        <v>46095.572916666664</v>
      </c>
      <c r="F524" s="52">
        <v>46095.65347222222</v>
      </c>
      <c r="G524" s="53">
        <f>F524-E524</f>
        <v>8.0555555556202307E-2</v>
      </c>
      <c r="H524" s="1" t="s">
        <v>257</v>
      </c>
      <c r="J524" s="1" t="s">
        <v>258</v>
      </c>
      <c r="K524" s="1" t="str">
        <f>_xlfn.XLOOKUP(J524,REF!$D$2:$D$12,REF!$E$2:$E$12)</f>
        <v>Rede</v>
      </c>
      <c r="L524" s="1" t="s">
        <v>458</v>
      </c>
      <c r="M524" s="1" t="s">
        <v>260</v>
      </c>
      <c r="N524" s="1" t="s">
        <v>357</v>
      </c>
      <c r="O524" s="72" t="s">
        <v>297</v>
      </c>
      <c r="P524" s="1" t="str">
        <f>_xlfn.CONCAT(B524,C524,D524,E524,F524)</f>
        <v>BC Caiaponia1SG50CX(COM1-023)46095,572916666746095,572916666746095,6534722222</v>
      </c>
      <c r="Q524" s="1" t="str">
        <f>_xlfn.CONCAT(H524,I524,J524)</f>
        <v>DAURDE</v>
      </c>
    </row>
    <row r="525" spans="2:17">
      <c r="B525" s="1" t="s">
        <v>456</v>
      </c>
      <c r="C525" s="1" t="s">
        <v>485</v>
      </c>
      <c r="D525" s="52">
        <v>46095.572916666664</v>
      </c>
      <c r="E525" s="52">
        <v>46095.572916666664</v>
      </c>
      <c r="F525" s="52">
        <v>46095.65347222222</v>
      </c>
      <c r="G525" s="53">
        <f>F525-E525</f>
        <v>8.0555555556202307E-2</v>
      </c>
      <c r="H525" s="1" t="s">
        <v>257</v>
      </c>
      <c r="J525" s="1" t="s">
        <v>258</v>
      </c>
      <c r="K525" s="1" t="str">
        <f>_xlfn.XLOOKUP(J525,REF!$D$2:$D$12,REF!$E$2:$E$12)</f>
        <v>Rede</v>
      </c>
      <c r="L525" s="1" t="s">
        <v>458</v>
      </c>
      <c r="M525" s="1" t="s">
        <v>260</v>
      </c>
      <c r="N525" s="1" t="s">
        <v>357</v>
      </c>
      <c r="O525" s="72" t="s">
        <v>297</v>
      </c>
      <c r="P525" s="1" t="str">
        <f>_xlfn.CONCAT(B525,C525,D525,E525,F525)</f>
        <v>BC Caiaponia1SG50CX(COM1-024)46095,572916666746095,572916666746095,6534722222</v>
      </c>
      <c r="Q525" s="1" t="str">
        <f>_xlfn.CONCAT(H525,I525,J525)</f>
        <v>DAURDE</v>
      </c>
    </row>
    <row r="526" spans="2:17">
      <c r="B526" s="1" t="s">
        <v>456</v>
      </c>
      <c r="C526" s="1" t="s">
        <v>486</v>
      </c>
      <c r="D526" s="52">
        <v>46095.572916666664</v>
      </c>
      <c r="E526" s="52">
        <v>46095.572916666664</v>
      </c>
      <c r="F526" s="52">
        <v>46095.65347222222</v>
      </c>
      <c r="G526" s="53">
        <f>F526-E526</f>
        <v>8.0555555556202307E-2</v>
      </c>
      <c r="H526" s="1" t="s">
        <v>257</v>
      </c>
      <c r="J526" s="1" t="s">
        <v>258</v>
      </c>
      <c r="K526" s="1" t="str">
        <f>_xlfn.XLOOKUP(J526,REF!$D$2:$D$12,REF!$E$2:$E$12)</f>
        <v>Rede</v>
      </c>
      <c r="L526" s="1" t="s">
        <v>458</v>
      </c>
      <c r="M526" s="1" t="s">
        <v>260</v>
      </c>
      <c r="N526" s="1" t="s">
        <v>357</v>
      </c>
      <c r="O526" s="72" t="s">
        <v>297</v>
      </c>
      <c r="P526" s="1" t="str">
        <f>_xlfn.CONCAT(B526,C526,D526,E526,F526)</f>
        <v>BC Caiaponia1SG50CX(COM1-025)46095,572916666746095,572916666746095,6534722222</v>
      </c>
      <c r="Q526" s="1" t="str">
        <f>_xlfn.CONCAT(H526,I526,J526)</f>
        <v>DAURDE</v>
      </c>
    </row>
    <row r="527" spans="2:17">
      <c r="B527" s="1" t="s">
        <v>487</v>
      </c>
      <c r="C527" s="1" t="s">
        <v>377</v>
      </c>
      <c r="D527" s="52">
        <v>46095.572916666664</v>
      </c>
      <c r="E527" s="52">
        <v>46095.572916666664</v>
      </c>
      <c r="F527" s="52">
        <v>46095.65347222222</v>
      </c>
      <c r="G527" s="53">
        <f>F527-E527</f>
        <v>8.0555555556202307E-2</v>
      </c>
      <c r="H527" s="1" t="s">
        <v>257</v>
      </c>
      <c r="J527" s="1" t="s">
        <v>258</v>
      </c>
      <c r="K527" s="1" t="str">
        <f>_xlfn.XLOOKUP(J527,REF!$D$2:$D$12,REF!$E$2:$E$12)</f>
        <v>Rede</v>
      </c>
      <c r="L527" s="1" t="s">
        <v>458</v>
      </c>
      <c r="M527" s="1" t="s">
        <v>260</v>
      </c>
      <c r="N527" s="1" t="s">
        <v>357</v>
      </c>
      <c r="O527" s="72" t="s">
        <v>297</v>
      </c>
      <c r="P527" s="1" t="str">
        <f>_xlfn.CONCAT(B527,C527,D527,E527,F527)</f>
        <v>BC Caiaponia2.1215KTL-H3(MBUS-12)46095,572916666746095,572916666746095,6534722222</v>
      </c>
      <c r="Q527" s="1" t="str">
        <f>_xlfn.CONCAT(H527,I527,J527)</f>
        <v>DAURDE</v>
      </c>
    </row>
    <row r="528" spans="2:17">
      <c r="B528" s="1" t="s">
        <v>487</v>
      </c>
      <c r="C528" s="1" t="s">
        <v>378</v>
      </c>
      <c r="D528" s="52">
        <v>46095.572916666664</v>
      </c>
      <c r="E528" s="52">
        <v>46095.572916666664</v>
      </c>
      <c r="F528" s="52">
        <v>46095.65347222222</v>
      </c>
      <c r="G528" s="53">
        <f>F528-E528</f>
        <v>8.0555555556202307E-2</v>
      </c>
      <c r="H528" s="1" t="s">
        <v>257</v>
      </c>
      <c r="J528" s="1" t="s">
        <v>258</v>
      </c>
      <c r="K528" s="1" t="str">
        <f>_xlfn.XLOOKUP(J528,REF!$D$2:$D$12,REF!$E$2:$E$12)</f>
        <v>Rede</v>
      </c>
      <c r="L528" s="1" t="s">
        <v>458</v>
      </c>
      <c r="M528" s="1" t="s">
        <v>260</v>
      </c>
      <c r="N528" s="1" t="s">
        <v>357</v>
      </c>
      <c r="O528" s="72" t="s">
        <v>297</v>
      </c>
      <c r="P528" s="1" t="str">
        <f>_xlfn.CONCAT(B528,C528,D528,E528,F528)</f>
        <v>BC Caiaponia2.1215KTL-H3(MBUS-13)46095,572916666746095,572916666746095,6534722222</v>
      </c>
      <c r="Q528" s="1" t="str">
        <f>_xlfn.CONCAT(H528,I528,J528)</f>
        <v>DAURDE</v>
      </c>
    </row>
    <row r="529" spans="2:17">
      <c r="B529" s="1" t="s">
        <v>487</v>
      </c>
      <c r="C529" s="1" t="s">
        <v>382</v>
      </c>
      <c r="D529" s="52">
        <v>46095.572916666664</v>
      </c>
      <c r="E529" s="52">
        <v>46095.572916666664</v>
      </c>
      <c r="F529" s="52">
        <v>46095.65347222222</v>
      </c>
      <c r="G529" s="53">
        <f>F529-E529</f>
        <v>8.0555555556202307E-2</v>
      </c>
      <c r="H529" s="1" t="s">
        <v>257</v>
      </c>
      <c r="J529" s="1" t="s">
        <v>258</v>
      </c>
      <c r="K529" s="1" t="str">
        <f>_xlfn.XLOOKUP(J529,REF!$D$2:$D$12,REF!$E$2:$E$12)</f>
        <v>Rede</v>
      </c>
      <c r="L529" s="1" t="s">
        <v>458</v>
      </c>
      <c r="M529" s="1" t="s">
        <v>260</v>
      </c>
      <c r="N529" s="1" t="s">
        <v>357</v>
      </c>
      <c r="O529" s="72" t="s">
        <v>297</v>
      </c>
      <c r="P529" s="1" t="str">
        <f>_xlfn.CONCAT(B529,C529,D529,E529,F529)</f>
        <v>BC Caiaponia2.1215KTL-H3(MBUS-14)46095,572916666746095,572916666746095,6534722222</v>
      </c>
      <c r="Q529" s="1" t="str">
        <f>_xlfn.CONCAT(H529,I529,J529)</f>
        <v>DAURDE</v>
      </c>
    </row>
    <row r="530" spans="2:17">
      <c r="B530" s="1" t="s">
        <v>487</v>
      </c>
      <c r="C530" s="1" t="s">
        <v>380</v>
      </c>
      <c r="D530" s="52">
        <v>46095.572916666664</v>
      </c>
      <c r="E530" s="52">
        <v>46095.572916666664</v>
      </c>
      <c r="F530" s="52">
        <v>46095.65347222222</v>
      </c>
      <c r="G530" s="53">
        <f>F530-E530</f>
        <v>8.0555555556202307E-2</v>
      </c>
      <c r="H530" s="1" t="s">
        <v>257</v>
      </c>
      <c r="J530" s="1" t="s">
        <v>258</v>
      </c>
      <c r="K530" s="1" t="str">
        <f>_xlfn.XLOOKUP(J530,REF!$D$2:$D$12,REF!$E$2:$E$12)</f>
        <v>Rede</v>
      </c>
      <c r="L530" s="1" t="s">
        <v>458</v>
      </c>
      <c r="M530" s="1" t="s">
        <v>260</v>
      </c>
      <c r="N530" s="1" t="s">
        <v>357</v>
      </c>
      <c r="O530" s="72" t="s">
        <v>297</v>
      </c>
      <c r="P530" s="1" t="str">
        <f>_xlfn.CONCAT(B530,C530,D530,E530,F530)</f>
        <v>BC Caiaponia2.1215KTL-H3(MBUS-15)46095,572916666746095,572916666746095,6534722222</v>
      </c>
      <c r="Q530" s="1" t="str">
        <f>_xlfn.CONCAT(H530,I530,J530)</f>
        <v>DAURDE</v>
      </c>
    </row>
    <row r="531" spans="2:17">
      <c r="B531" s="1" t="s">
        <v>487</v>
      </c>
      <c r="C531" s="1" t="s">
        <v>379</v>
      </c>
      <c r="D531" s="52">
        <v>46095.572916666664</v>
      </c>
      <c r="E531" s="52">
        <v>46095.572916666664</v>
      </c>
      <c r="F531" s="52">
        <v>46095.65347222222</v>
      </c>
      <c r="G531" s="53">
        <f>F531-E531</f>
        <v>8.0555555556202307E-2</v>
      </c>
      <c r="H531" s="1" t="s">
        <v>257</v>
      </c>
      <c r="J531" s="1" t="s">
        <v>258</v>
      </c>
      <c r="K531" s="1" t="str">
        <f>_xlfn.XLOOKUP(J531,REF!$D$2:$D$12,REF!$E$2:$E$12)</f>
        <v>Rede</v>
      </c>
      <c r="L531" s="1" t="s">
        <v>458</v>
      </c>
      <c r="M531" s="1" t="s">
        <v>260</v>
      </c>
      <c r="N531" s="1" t="s">
        <v>357</v>
      </c>
      <c r="O531" s="72" t="s">
        <v>297</v>
      </c>
      <c r="P531" s="1" t="str">
        <f>_xlfn.CONCAT(B531,C531,D531,E531,F531)</f>
        <v>BC Caiaponia2.1215KTL-H3(MBUS-16)46095,572916666746095,572916666746095,6534722222</v>
      </c>
      <c r="Q531" s="1" t="str">
        <f>_xlfn.CONCAT(H531,I531,J531)</f>
        <v>DAURDE</v>
      </c>
    </row>
    <row r="532" spans="2:17">
      <c r="B532" s="1" t="s">
        <v>393</v>
      </c>
      <c r="C532" s="1" t="s">
        <v>394</v>
      </c>
      <c r="D532" s="52">
        <v>46095.618055555555</v>
      </c>
      <c r="E532" s="52">
        <v>46095.618055555555</v>
      </c>
      <c r="F532" s="52">
        <v>46095.8125</v>
      </c>
      <c r="G532" s="53">
        <f>F532-E532</f>
        <v>0.19444444444525288</v>
      </c>
      <c r="H532" s="1" t="s">
        <v>257</v>
      </c>
      <c r="J532" s="1" t="s">
        <v>258</v>
      </c>
      <c r="K532" s="1" t="str">
        <f>_xlfn.XLOOKUP(J532,REF!$D$2:$D$12,REF!$E$2:$E$12)</f>
        <v>Rede</v>
      </c>
      <c r="L532" s="1" t="s">
        <v>259</v>
      </c>
      <c r="M532" s="1" t="s">
        <v>260</v>
      </c>
      <c r="N532" s="1" t="s">
        <v>357</v>
      </c>
      <c r="O532" s="72" t="s">
        <v>297</v>
      </c>
      <c r="P532" s="1" t="str">
        <f>_xlfn.CONCAT(B532,C532,D532,E532,F532)</f>
        <v>BC ParanoaSG60KTL(COM1-014)_001_01346095,618055555646095,618055555646095,8125</v>
      </c>
      <c r="Q532" s="1" t="str">
        <f>_xlfn.CONCAT(H532,I532,J532)</f>
        <v>DAURDE</v>
      </c>
    </row>
    <row r="533" spans="2:17">
      <c r="B533" s="1" t="s">
        <v>393</v>
      </c>
      <c r="C533" s="1" t="s">
        <v>395</v>
      </c>
      <c r="D533" s="52">
        <v>46095.618055555555</v>
      </c>
      <c r="E533" s="52">
        <v>46095.618055555555</v>
      </c>
      <c r="F533" s="52">
        <v>46095.8125</v>
      </c>
      <c r="G533" s="53">
        <f>F533-E533</f>
        <v>0.19444444444525288</v>
      </c>
      <c r="H533" s="1" t="s">
        <v>257</v>
      </c>
      <c r="J533" s="1" t="s">
        <v>258</v>
      </c>
      <c r="K533" s="1" t="str">
        <f>_xlfn.XLOOKUP(J533,REF!$D$2:$D$12,REF!$E$2:$E$12)</f>
        <v>Rede</v>
      </c>
      <c r="L533" s="1" t="s">
        <v>259</v>
      </c>
      <c r="M533" s="1" t="s">
        <v>260</v>
      </c>
      <c r="N533" s="1" t="s">
        <v>357</v>
      </c>
      <c r="O533" s="72" t="s">
        <v>297</v>
      </c>
      <c r="P533" s="1" t="str">
        <f>_xlfn.CONCAT(B533,C533,D533,E533,F533)</f>
        <v>BC ParanoaSG60KTL(COM1-013)_001_01046095,618055555646095,618055555646095,8125</v>
      </c>
      <c r="Q533" s="1" t="str">
        <f>_xlfn.CONCAT(H533,I533,J533)</f>
        <v>DAURDE</v>
      </c>
    </row>
    <row r="534" spans="2:17">
      <c r="B534" s="1" t="s">
        <v>393</v>
      </c>
      <c r="C534" s="1" t="s">
        <v>396</v>
      </c>
      <c r="D534" s="52">
        <v>46095.618055555555</v>
      </c>
      <c r="E534" s="52">
        <v>46095.618055555555</v>
      </c>
      <c r="F534" s="52">
        <v>46095.8125</v>
      </c>
      <c r="G534" s="53">
        <f>F534-E534</f>
        <v>0.19444444444525288</v>
      </c>
      <c r="H534" s="1" t="s">
        <v>257</v>
      </c>
      <c r="J534" s="1" t="s">
        <v>258</v>
      </c>
      <c r="K534" s="1" t="str">
        <f>_xlfn.XLOOKUP(J534,REF!$D$2:$D$12,REF!$E$2:$E$12)</f>
        <v>Rede</v>
      </c>
      <c r="L534" s="1" t="s">
        <v>259</v>
      </c>
      <c r="M534" s="1" t="s">
        <v>260</v>
      </c>
      <c r="N534" s="1" t="s">
        <v>357</v>
      </c>
      <c r="O534" s="72" t="s">
        <v>297</v>
      </c>
      <c r="P534" s="1" t="str">
        <f>_xlfn.CONCAT(B534,C534,D534,E534,F534)</f>
        <v>BC ParanoaSG60KTL(COM1-012)_001_01146095,618055555646095,618055555646095,8125</v>
      </c>
      <c r="Q534" s="1" t="str">
        <f>_xlfn.CONCAT(H534,I534,J534)</f>
        <v>DAURDE</v>
      </c>
    </row>
    <row r="535" spans="2:17">
      <c r="B535" s="1" t="s">
        <v>393</v>
      </c>
      <c r="C535" s="1" t="s">
        <v>397</v>
      </c>
      <c r="D535" s="52">
        <v>46095.618055555555</v>
      </c>
      <c r="E535" s="52">
        <v>46095.618055555555</v>
      </c>
      <c r="F535" s="52">
        <v>46095.8125</v>
      </c>
      <c r="G535" s="53">
        <f>F535-E535</f>
        <v>0.19444444444525288</v>
      </c>
      <c r="H535" s="1" t="s">
        <v>257</v>
      </c>
      <c r="J535" s="1" t="s">
        <v>258</v>
      </c>
      <c r="K535" s="1" t="str">
        <f>_xlfn.XLOOKUP(J535,REF!$D$2:$D$12,REF!$E$2:$E$12)</f>
        <v>Rede</v>
      </c>
      <c r="L535" s="1" t="s">
        <v>259</v>
      </c>
      <c r="M535" s="1" t="s">
        <v>260</v>
      </c>
      <c r="N535" s="1" t="s">
        <v>357</v>
      </c>
      <c r="O535" s="72" t="s">
        <v>297</v>
      </c>
      <c r="P535" s="1" t="str">
        <f>_xlfn.CONCAT(B535,C535,D535,E535,F535)</f>
        <v>BC ParanoaSG60KTL(COM1-011)_001_00546095,618055555646095,618055555646095,8125</v>
      </c>
      <c r="Q535" s="1" t="str">
        <f>_xlfn.CONCAT(H535,I535,J535)</f>
        <v>DAURDE</v>
      </c>
    </row>
    <row r="536" spans="2:17">
      <c r="B536" s="1" t="s">
        <v>393</v>
      </c>
      <c r="C536" s="1" t="s">
        <v>398</v>
      </c>
      <c r="D536" s="52">
        <v>46095.618055555555</v>
      </c>
      <c r="E536" s="52">
        <v>46095.618055555555</v>
      </c>
      <c r="F536" s="52">
        <v>46095.8125</v>
      </c>
      <c r="G536" s="53">
        <f>F536-E536</f>
        <v>0.19444444444525288</v>
      </c>
      <c r="H536" s="1" t="s">
        <v>257</v>
      </c>
      <c r="J536" s="1" t="s">
        <v>258</v>
      </c>
      <c r="K536" s="1" t="str">
        <f>_xlfn.XLOOKUP(J536,REF!$D$2:$D$12,REF!$E$2:$E$12)</f>
        <v>Rede</v>
      </c>
      <c r="L536" s="1" t="s">
        <v>259</v>
      </c>
      <c r="M536" s="1" t="s">
        <v>260</v>
      </c>
      <c r="N536" s="1" t="s">
        <v>357</v>
      </c>
      <c r="O536" s="72" t="s">
        <v>297</v>
      </c>
      <c r="P536" s="1" t="str">
        <f>_xlfn.CONCAT(B536,C536,D536,E536,F536)</f>
        <v>BC ParanoaSG60KTL(COM1-010)_001_00346095,618055555646095,618055555646095,8125</v>
      </c>
      <c r="Q536" s="1" t="str">
        <f>_xlfn.CONCAT(H536,I536,J536)</f>
        <v>DAURDE</v>
      </c>
    </row>
    <row r="537" spans="2:17">
      <c r="B537" s="1" t="s">
        <v>393</v>
      </c>
      <c r="C537" s="1" t="s">
        <v>399</v>
      </c>
      <c r="D537" s="52">
        <v>46095.618055555555</v>
      </c>
      <c r="E537" s="52">
        <v>46095.618055555555</v>
      </c>
      <c r="F537" s="52">
        <v>46095.8125</v>
      </c>
      <c r="G537" s="53">
        <f>F537-E537</f>
        <v>0.19444444444525288</v>
      </c>
      <c r="H537" s="1" t="s">
        <v>257</v>
      </c>
      <c r="J537" s="1" t="s">
        <v>258</v>
      </c>
      <c r="K537" s="1" t="str">
        <f>_xlfn.XLOOKUP(J537,REF!$D$2:$D$12,REF!$E$2:$E$12)</f>
        <v>Rede</v>
      </c>
      <c r="L537" s="1" t="s">
        <v>259</v>
      </c>
      <c r="M537" s="1" t="s">
        <v>260</v>
      </c>
      <c r="N537" s="1" t="s">
        <v>357</v>
      </c>
      <c r="O537" s="72" t="s">
        <v>297</v>
      </c>
      <c r="P537" s="1" t="str">
        <f>_xlfn.CONCAT(B537,C537,D537,E537,F537)</f>
        <v>BC ParanoaSG60KTL(COM1-018)_001_01246095,618055555646095,618055555646095,8125</v>
      </c>
      <c r="Q537" s="1" t="str">
        <f>_xlfn.CONCAT(H537,I537,J537)</f>
        <v>DAURDE</v>
      </c>
    </row>
    <row r="538" spans="2:17">
      <c r="B538" s="1" t="s">
        <v>393</v>
      </c>
      <c r="C538" s="1" t="s">
        <v>400</v>
      </c>
      <c r="D538" s="52">
        <v>46095.618055555555</v>
      </c>
      <c r="E538" s="52">
        <v>46095.618055555555</v>
      </c>
      <c r="F538" s="52">
        <v>46095.8125</v>
      </c>
      <c r="G538" s="53">
        <f>F538-E538</f>
        <v>0.19444444444525288</v>
      </c>
      <c r="H538" s="1" t="s">
        <v>257</v>
      </c>
      <c r="J538" s="1" t="s">
        <v>258</v>
      </c>
      <c r="K538" s="1" t="str">
        <f>_xlfn.XLOOKUP(J538,REF!$D$2:$D$12,REF!$E$2:$E$12)</f>
        <v>Rede</v>
      </c>
      <c r="L538" s="1" t="s">
        <v>259</v>
      </c>
      <c r="M538" s="1" t="s">
        <v>260</v>
      </c>
      <c r="N538" s="1" t="s">
        <v>357</v>
      </c>
      <c r="O538" s="72" t="s">
        <v>297</v>
      </c>
      <c r="P538" s="1" t="str">
        <f>_xlfn.CONCAT(B538,C538,D538,E538,F538)</f>
        <v>BC ParanoaSG60KTL(COM1-017)_001_00746095,618055555646095,618055555646095,8125</v>
      </c>
      <c r="Q538" s="1" t="str">
        <f>_xlfn.CONCAT(H538,I538,J538)</f>
        <v>DAURDE</v>
      </c>
    </row>
    <row r="539" spans="2:17">
      <c r="B539" s="1" t="s">
        <v>393</v>
      </c>
      <c r="C539" s="1" t="s">
        <v>401</v>
      </c>
      <c r="D539" s="52">
        <v>46095.618055555555</v>
      </c>
      <c r="E539" s="52">
        <v>46095.618055555555</v>
      </c>
      <c r="F539" s="52">
        <v>46095.8125</v>
      </c>
      <c r="G539" s="53">
        <f>F539-E539</f>
        <v>0.19444444444525288</v>
      </c>
      <c r="H539" s="1" t="s">
        <v>257</v>
      </c>
      <c r="J539" s="1" t="s">
        <v>258</v>
      </c>
      <c r="K539" s="1" t="str">
        <f>_xlfn.XLOOKUP(J539,REF!$D$2:$D$12,REF!$E$2:$E$12)</f>
        <v>Rede</v>
      </c>
      <c r="L539" s="1" t="s">
        <v>259</v>
      </c>
      <c r="M539" s="1" t="s">
        <v>260</v>
      </c>
      <c r="N539" s="1" t="s">
        <v>357</v>
      </c>
      <c r="O539" s="72" t="s">
        <v>297</v>
      </c>
      <c r="P539" s="1" t="str">
        <f>_xlfn.CONCAT(B539,C539,D539,E539,F539)</f>
        <v>BC ParanoaSG60KTL(COM1-016)_001_00646095,618055555646095,618055555646095,8125</v>
      </c>
      <c r="Q539" s="1" t="str">
        <f>_xlfn.CONCAT(H539,I539,J539)</f>
        <v>DAURDE</v>
      </c>
    </row>
    <row r="540" spans="2:17">
      <c r="B540" s="1" t="s">
        <v>393</v>
      </c>
      <c r="C540" s="1" t="s">
        <v>402</v>
      </c>
      <c r="D540" s="52">
        <v>46095.618055555555</v>
      </c>
      <c r="E540" s="52">
        <v>46095.618055555555</v>
      </c>
      <c r="F540" s="52">
        <v>46095.8125</v>
      </c>
      <c r="G540" s="53">
        <f>F540-E540</f>
        <v>0.19444444444525288</v>
      </c>
      <c r="H540" s="1" t="s">
        <v>257</v>
      </c>
      <c r="J540" s="1" t="s">
        <v>258</v>
      </c>
      <c r="K540" s="1" t="str">
        <f>_xlfn.XLOOKUP(J540,REF!$D$2:$D$12,REF!$E$2:$E$12)</f>
        <v>Rede</v>
      </c>
      <c r="L540" s="1" t="s">
        <v>259</v>
      </c>
      <c r="M540" s="1" t="s">
        <v>260</v>
      </c>
      <c r="N540" s="1" t="s">
        <v>357</v>
      </c>
      <c r="O540" s="72" t="s">
        <v>297</v>
      </c>
      <c r="P540" s="1" t="str">
        <f>_xlfn.CONCAT(B540,C540,D540,E540,F540)</f>
        <v>BC ParanoaSG50CX(COM2-015)_001_01746095,618055555646095,618055555646095,8125</v>
      </c>
      <c r="Q540" s="1" t="str">
        <f>_xlfn.CONCAT(H540,I540,J540)</f>
        <v>DAURDE</v>
      </c>
    </row>
    <row r="541" spans="2:17">
      <c r="B541" s="1" t="s">
        <v>393</v>
      </c>
      <c r="C541" s="1" t="s">
        <v>403</v>
      </c>
      <c r="D541" s="52">
        <v>46095.618055555555</v>
      </c>
      <c r="E541" s="52">
        <v>46095.618055555555</v>
      </c>
      <c r="F541" s="52">
        <v>46095.8125</v>
      </c>
      <c r="G541" s="53">
        <f>F541-E541</f>
        <v>0.19444444444525288</v>
      </c>
      <c r="H541" s="1" t="s">
        <v>257</v>
      </c>
      <c r="J541" s="1" t="s">
        <v>258</v>
      </c>
      <c r="K541" s="1" t="str">
        <f>_xlfn.XLOOKUP(J541,REF!$D$2:$D$12,REF!$E$2:$E$12)</f>
        <v>Rede</v>
      </c>
      <c r="L541" s="1" t="s">
        <v>259</v>
      </c>
      <c r="M541" s="1" t="s">
        <v>260</v>
      </c>
      <c r="N541" s="1" t="s">
        <v>357</v>
      </c>
      <c r="O541" s="72" t="s">
        <v>297</v>
      </c>
      <c r="P541" s="1" t="str">
        <f>_xlfn.CONCAT(B541,C541,D541,E541,F541)</f>
        <v>BC ParanoaSG60KTL(COM1-009)_001_00246095,618055555646095,618055555646095,8125</v>
      </c>
      <c r="Q541" s="1" t="str">
        <f>_xlfn.CONCAT(H541,I541,J541)</f>
        <v>DAURDE</v>
      </c>
    </row>
    <row r="542" spans="2:17">
      <c r="B542" s="1" t="s">
        <v>393</v>
      </c>
      <c r="C542" s="1" t="s">
        <v>404</v>
      </c>
      <c r="D542" s="52">
        <v>46095.618055555555</v>
      </c>
      <c r="E542" s="52">
        <v>46095.618055555555</v>
      </c>
      <c r="F542" s="52">
        <v>46095.8125</v>
      </c>
      <c r="G542" s="53">
        <f>F542-E542</f>
        <v>0.19444444444525288</v>
      </c>
      <c r="H542" s="1" t="s">
        <v>257</v>
      </c>
      <c r="J542" s="1" t="s">
        <v>258</v>
      </c>
      <c r="K542" s="1" t="str">
        <f>_xlfn.XLOOKUP(J542,REF!$D$2:$D$12,REF!$E$2:$E$12)</f>
        <v>Rede</v>
      </c>
      <c r="L542" s="1" t="s">
        <v>259</v>
      </c>
      <c r="M542" s="1" t="s">
        <v>260</v>
      </c>
      <c r="N542" s="1" t="s">
        <v>357</v>
      </c>
      <c r="O542" s="72" t="s">
        <v>297</v>
      </c>
      <c r="P542" s="1" t="str">
        <f>_xlfn.CONCAT(B542,C542,D542,E542,F542)</f>
        <v>BC ParanoaSG60KTL(COM1-008)_001_00946095,618055555646095,618055555646095,8125</v>
      </c>
      <c r="Q542" s="1" t="str">
        <f>_xlfn.CONCAT(H542,I542,J542)</f>
        <v>DAURDE</v>
      </c>
    </row>
    <row r="543" spans="2:17">
      <c r="B543" s="1" t="s">
        <v>393</v>
      </c>
      <c r="C543" s="1" t="s">
        <v>405</v>
      </c>
      <c r="D543" s="52">
        <v>46095.618055555555</v>
      </c>
      <c r="E543" s="52">
        <v>46095.618055555555</v>
      </c>
      <c r="F543" s="52">
        <v>46095.8125</v>
      </c>
      <c r="G543" s="53">
        <f>F543-E543</f>
        <v>0.19444444444525288</v>
      </c>
      <c r="H543" s="1" t="s">
        <v>257</v>
      </c>
      <c r="J543" s="1" t="s">
        <v>258</v>
      </c>
      <c r="K543" s="1" t="str">
        <f>_xlfn.XLOOKUP(J543,REF!$D$2:$D$12,REF!$E$2:$E$12)</f>
        <v>Rede</v>
      </c>
      <c r="L543" s="1" t="s">
        <v>259</v>
      </c>
      <c r="M543" s="1" t="s">
        <v>260</v>
      </c>
      <c r="N543" s="1" t="s">
        <v>357</v>
      </c>
      <c r="O543" s="72" t="s">
        <v>297</v>
      </c>
      <c r="P543" s="1" t="str">
        <f>_xlfn.CONCAT(B543,C543,D543,E543,F543)</f>
        <v>BC ParanoaSG60KTL(COM1-007)_001_00446095,618055555646095,618055555646095,8125</v>
      </c>
      <c r="Q543" s="1" t="str">
        <f>_xlfn.CONCAT(H543,I543,J543)</f>
        <v>DAURDE</v>
      </c>
    </row>
    <row r="544" spans="2:17">
      <c r="B544" s="1" t="s">
        <v>393</v>
      </c>
      <c r="C544" s="1" t="s">
        <v>406</v>
      </c>
      <c r="D544" s="52">
        <v>46095.618055555555</v>
      </c>
      <c r="E544" s="52">
        <v>46095.618055555555</v>
      </c>
      <c r="F544" s="52">
        <v>46095.8125</v>
      </c>
      <c r="G544" s="53">
        <f>F544-E544</f>
        <v>0.19444444444525288</v>
      </c>
      <c r="H544" s="1" t="s">
        <v>257</v>
      </c>
      <c r="J544" s="1" t="s">
        <v>258</v>
      </c>
      <c r="K544" s="1" t="str">
        <f>_xlfn.XLOOKUP(J544,REF!$D$2:$D$12,REF!$E$2:$E$12)</f>
        <v>Rede</v>
      </c>
      <c r="L544" s="1" t="s">
        <v>259</v>
      </c>
      <c r="M544" s="1" t="s">
        <v>260</v>
      </c>
      <c r="N544" s="1" t="s">
        <v>357</v>
      </c>
      <c r="O544" s="72" t="s">
        <v>297</v>
      </c>
      <c r="P544" s="1" t="str">
        <f>_xlfn.CONCAT(B544,C544,D544,E544,F544)</f>
        <v>BC ParanoaSG60KTL(COM1-006)_001_01446095,618055555646095,618055555646095,8125</v>
      </c>
      <c r="Q544" s="1" t="str">
        <f>_xlfn.CONCAT(H544,I544,J544)</f>
        <v>DAURDE</v>
      </c>
    </row>
    <row r="545" spans="2:17">
      <c r="B545" s="1" t="s">
        <v>393</v>
      </c>
      <c r="C545" s="1" t="s">
        <v>407</v>
      </c>
      <c r="D545" s="52">
        <v>46095.618055555555</v>
      </c>
      <c r="E545" s="52">
        <v>46095.618055555555</v>
      </c>
      <c r="F545" s="52">
        <v>46095.8125</v>
      </c>
      <c r="G545" s="53">
        <f>F545-E545</f>
        <v>0.19444444444525288</v>
      </c>
      <c r="H545" s="1" t="s">
        <v>257</v>
      </c>
      <c r="J545" s="1" t="s">
        <v>258</v>
      </c>
      <c r="K545" s="1" t="str">
        <f>_xlfn.XLOOKUP(J545,REF!$D$2:$D$12,REF!$E$2:$E$12)</f>
        <v>Rede</v>
      </c>
      <c r="L545" s="1" t="s">
        <v>259</v>
      </c>
      <c r="M545" s="1" t="s">
        <v>260</v>
      </c>
      <c r="N545" s="1" t="s">
        <v>357</v>
      </c>
      <c r="O545" s="72" t="s">
        <v>297</v>
      </c>
      <c r="P545" s="1" t="str">
        <f>_xlfn.CONCAT(B545,C545,D545,E545,F545)</f>
        <v>BC ParanoaSG40CX(COM2-005)_001_01546095,618055555646095,618055555646095,8125</v>
      </c>
      <c r="Q545" s="1" t="str">
        <f>_xlfn.CONCAT(H545,I545,J545)</f>
        <v>DAURDE</v>
      </c>
    </row>
    <row r="546" spans="2:17">
      <c r="B546" s="1" t="s">
        <v>393</v>
      </c>
      <c r="C546" s="1" t="s">
        <v>408</v>
      </c>
      <c r="D546" s="52">
        <v>46095.618055555555</v>
      </c>
      <c r="E546" s="52">
        <v>46095.618055555555</v>
      </c>
      <c r="F546" s="52">
        <v>46095.8125</v>
      </c>
      <c r="G546" s="53">
        <f>F546-E546</f>
        <v>0.19444444444525288</v>
      </c>
      <c r="H546" s="1" t="s">
        <v>257</v>
      </c>
      <c r="J546" s="1" t="s">
        <v>258</v>
      </c>
      <c r="K546" s="1" t="str">
        <f>_xlfn.XLOOKUP(J546,REF!$D$2:$D$12,REF!$E$2:$E$12)</f>
        <v>Rede</v>
      </c>
      <c r="L546" s="1" t="s">
        <v>259</v>
      </c>
      <c r="M546" s="1" t="s">
        <v>260</v>
      </c>
      <c r="N546" s="1" t="s">
        <v>357</v>
      </c>
      <c r="O546" s="72" t="s">
        <v>297</v>
      </c>
      <c r="P546" s="1" t="str">
        <f>_xlfn.CONCAT(B546,C546,D546,E546,F546)</f>
        <v>BC ParanoaSG60KTL(COM1-019)_002_00746095,618055555646095,618055555646095,8125</v>
      </c>
      <c r="Q546" s="1" t="str">
        <f>_xlfn.CONCAT(H546,I546,J546)</f>
        <v>DAURDE</v>
      </c>
    </row>
    <row r="547" spans="2:17">
      <c r="B547" s="1" t="s">
        <v>393</v>
      </c>
      <c r="C547" s="1" t="s">
        <v>409</v>
      </c>
      <c r="D547" s="52">
        <v>46095.618055555555</v>
      </c>
      <c r="E547" s="52">
        <v>46095.618055555555</v>
      </c>
      <c r="F547" s="52">
        <v>46095.8125</v>
      </c>
      <c r="G547" s="53">
        <f>F547-E547</f>
        <v>0.19444444444525288</v>
      </c>
      <c r="H547" s="1" t="s">
        <v>257</v>
      </c>
      <c r="J547" s="1" t="s">
        <v>258</v>
      </c>
      <c r="K547" s="1" t="str">
        <f>_xlfn.XLOOKUP(J547,REF!$D$2:$D$12,REF!$E$2:$E$12)</f>
        <v>Rede</v>
      </c>
      <c r="L547" s="1" t="s">
        <v>259</v>
      </c>
      <c r="M547" s="1" t="s">
        <v>260</v>
      </c>
      <c r="N547" s="1" t="s">
        <v>357</v>
      </c>
      <c r="O547" s="72" t="s">
        <v>297</v>
      </c>
      <c r="P547" s="1" t="str">
        <f>_xlfn.CONCAT(B547,C547,D547,E547,F547)</f>
        <v>BC ParanoaSG60KTL(COM1-020)_002_01146095,618055555646095,618055555646095,8125</v>
      </c>
      <c r="Q547" s="1" t="str">
        <f>_xlfn.CONCAT(H547,I547,J547)</f>
        <v>DAURDE</v>
      </c>
    </row>
    <row r="548" spans="2:17">
      <c r="B548" s="1" t="s">
        <v>393</v>
      </c>
      <c r="C548" s="1" t="s">
        <v>410</v>
      </c>
      <c r="D548" s="52">
        <v>46095.618055555555</v>
      </c>
      <c r="E548" s="52">
        <v>46095.618055555555</v>
      </c>
      <c r="F548" s="52">
        <v>46095.8125</v>
      </c>
      <c r="G548" s="53">
        <f>F548-E548</f>
        <v>0.19444444444525288</v>
      </c>
      <c r="H548" s="1" t="s">
        <v>257</v>
      </c>
      <c r="J548" s="1" t="s">
        <v>258</v>
      </c>
      <c r="K548" s="1" t="str">
        <f>_xlfn.XLOOKUP(J548,REF!$D$2:$D$12,REF!$E$2:$E$12)</f>
        <v>Rede</v>
      </c>
      <c r="L548" s="1" t="s">
        <v>259</v>
      </c>
      <c r="M548" s="1" t="s">
        <v>260</v>
      </c>
      <c r="N548" s="1" t="s">
        <v>357</v>
      </c>
      <c r="O548" s="72" t="s">
        <v>297</v>
      </c>
      <c r="P548" s="1" t="str">
        <f>_xlfn.CONCAT(B548,C548,D548,E548,F548)</f>
        <v>BC ParanoaSG60KTL(COM1-021)_002_01746095,618055555646095,618055555646095,8125</v>
      </c>
      <c r="Q548" s="1" t="str">
        <f>_xlfn.CONCAT(H548,I548,J548)</f>
        <v>DAURDE</v>
      </c>
    </row>
    <row r="549" spans="2:17">
      <c r="B549" s="1" t="s">
        <v>393</v>
      </c>
      <c r="C549" s="1" t="s">
        <v>411</v>
      </c>
      <c r="D549" s="52">
        <v>46095.618055555555</v>
      </c>
      <c r="E549" s="52">
        <v>46095.618055555555</v>
      </c>
      <c r="F549" s="52">
        <v>46095.8125</v>
      </c>
      <c r="G549" s="53">
        <f>F549-E549</f>
        <v>0.19444444444525288</v>
      </c>
      <c r="H549" s="1" t="s">
        <v>257</v>
      </c>
      <c r="J549" s="1" t="s">
        <v>258</v>
      </c>
      <c r="K549" s="1" t="str">
        <f>_xlfn.XLOOKUP(J549,REF!$D$2:$D$12,REF!$E$2:$E$12)</f>
        <v>Rede</v>
      </c>
      <c r="L549" s="1" t="s">
        <v>259</v>
      </c>
      <c r="M549" s="1" t="s">
        <v>260</v>
      </c>
      <c r="N549" s="1" t="s">
        <v>357</v>
      </c>
      <c r="O549" s="72" t="s">
        <v>297</v>
      </c>
      <c r="P549" s="1" t="str">
        <f>_xlfn.CONCAT(B549,C549,D549,E549,F549)</f>
        <v>BC ParanoaSG60KTL(COM1-022)_002_02046095,618055555646095,618055555646095,8125</v>
      </c>
      <c r="Q549" s="1" t="str">
        <f>_xlfn.CONCAT(H549,I549,J549)</f>
        <v>DAURDE</v>
      </c>
    </row>
    <row r="550" spans="2:17">
      <c r="B550" s="1" t="s">
        <v>393</v>
      </c>
      <c r="C550" s="1" t="s">
        <v>412</v>
      </c>
      <c r="D550" s="52">
        <v>46095.618055555555</v>
      </c>
      <c r="E550" s="52">
        <v>46095.618055555555</v>
      </c>
      <c r="F550" s="52">
        <v>46095.8125</v>
      </c>
      <c r="G550" s="53">
        <f>F550-E550</f>
        <v>0.19444444444525288</v>
      </c>
      <c r="H550" s="1" t="s">
        <v>257</v>
      </c>
      <c r="J550" s="1" t="s">
        <v>258</v>
      </c>
      <c r="K550" s="1" t="str">
        <f>_xlfn.XLOOKUP(J550,REF!$D$2:$D$12,REF!$E$2:$E$12)</f>
        <v>Rede</v>
      </c>
      <c r="L550" s="1" t="s">
        <v>259</v>
      </c>
      <c r="M550" s="1" t="s">
        <v>260</v>
      </c>
      <c r="N550" s="1" t="s">
        <v>357</v>
      </c>
      <c r="O550" s="72" t="s">
        <v>297</v>
      </c>
      <c r="P550" s="1" t="str">
        <f>_xlfn.CONCAT(B550,C550,D550,E550,F550)</f>
        <v>BC ParanoaSG40CX(COM2-023)_002_02446095,618055555646095,618055555646095,8125</v>
      </c>
      <c r="Q550" s="1" t="str">
        <f>_xlfn.CONCAT(H550,I550,J550)</f>
        <v>DAURDE</v>
      </c>
    </row>
    <row r="551" spans="2:17">
      <c r="B551" s="1" t="s">
        <v>393</v>
      </c>
      <c r="C551" s="1" t="s">
        <v>413</v>
      </c>
      <c r="D551" s="52">
        <v>46095.618055555555</v>
      </c>
      <c r="E551" s="52">
        <v>46095.618055555555</v>
      </c>
      <c r="F551" s="52">
        <v>46095.8125</v>
      </c>
      <c r="G551" s="53">
        <f>F551-E551</f>
        <v>0.19444444444525288</v>
      </c>
      <c r="H551" s="1" t="s">
        <v>257</v>
      </c>
      <c r="J551" s="1" t="s">
        <v>258</v>
      </c>
      <c r="K551" s="1" t="str">
        <f>_xlfn.XLOOKUP(J551,REF!$D$2:$D$12,REF!$E$2:$E$12)</f>
        <v>Rede</v>
      </c>
      <c r="L551" s="1" t="s">
        <v>259</v>
      </c>
      <c r="M551" s="1" t="s">
        <v>260</v>
      </c>
      <c r="N551" s="1" t="s">
        <v>357</v>
      </c>
      <c r="O551" s="72" t="s">
        <v>297</v>
      </c>
      <c r="P551" s="1" t="str">
        <f>_xlfn.CONCAT(B551,C551,D551,E551,F551)</f>
        <v>BC ParanoaSG40CX(COM2-024)_002_02246095,618055555646095,618055555646095,8125</v>
      </c>
      <c r="Q551" s="1" t="str">
        <f>_xlfn.CONCAT(H551,I551,J551)</f>
        <v>DAURDE</v>
      </c>
    </row>
    <row r="552" spans="2:17">
      <c r="B552" s="1" t="s">
        <v>393</v>
      </c>
      <c r="C552" s="1" t="s">
        <v>414</v>
      </c>
      <c r="D552" s="52">
        <v>46095.618055555555</v>
      </c>
      <c r="E552" s="52">
        <v>46095.618055555555</v>
      </c>
      <c r="F552" s="52">
        <v>46095.8125</v>
      </c>
      <c r="G552" s="53">
        <f>F552-E552</f>
        <v>0.19444444444525288</v>
      </c>
      <c r="H552" s="1" t="s">
        <v>257</v>
      </c>
      <c r="J552" s="1" t="s">
        <v>258</v>
      </c>
      <c r="K552" s="1" t="str">
        <f>_xlfn.XLOOKUP(J552,REF!$D$2:$D$12,REF!$E$2:$E$12)</f>
        <v>Rede</v>
      </c>
      <c r="L552" s="1" t="s">
        <v>259</v>
      </c>
      <c r="M552" s="1" t="s">
        <v>260</v>
      </c>
      <c r="N552" s="1" t="s">
        <v>357</v>
      </c>
      <c r="O552" s="72" t="s">
        <v>297</v>
      </c>
      <c r="P552" s="1" t="str">
        <f>_xlfn.CONCAT(B552,C552,D552,E552,F552)</f>
        <v>BC ParanoaSG60KTL(COM1-007)_002_01346095,618055555646095,618055555646095,8125</v>
      </c>
      <c r="Q552" s="1" t="str">
        <f>_xlfn.CONCAT(H552,I552,J552)</f>
        <v>DAURDE</v>
      </c>
    </row>
    <row r="553" spans="2:17">
      <c r="B553" s="1" t="s">
        <v>393</v>
      </c>
      <c r="C553" s="1" t="s">
        <v>415</v>
      </c>
      <c r="D553" s="52">
        <v>46095.618055555555</v>
      </c>
      <c r="E553" s="52">
        <v>46095.618055555555</v>
      </c>
      <c r="F553" s="52">
        <v>46095.8125</v>
      </c>
      <c r="G553" s="53">
        <f>F553-E553</f>
        <v>0.19444444444525288</v>
      </c>
      <c r="H553" s="1" t="s">
        <v>257</v>
      </c>
      <c r="J553" s="1" t="s">
        <v>258</v>
      </c>
      <c r="K553" s="1" t="str">
        <f>_xlfn.XLOOKUP(J553,REF!$D$2:$D$12,REF!$E$2:$E$12)</f>
        <v>Rede</v>
      </c>
      <c r="L553" s="1" t="s">
        <v>259</v>
      </c>
      <c r="M553" s="1" t="s">
        <v>260</v>
      </c>
      <c r="N553" s="1" t="s">
        <v>357</v>
      </c>
      <c r="O553" s="72" t="s">
        <v>297</v>
      </c>
      <c r="P553" s="1" t="str">
        <f>_xlfn.CONCAT(B553,C553,D553,E553,F553)</f>
        <v>BC ParanoaSG60KTL(COM1-008)_002_00246095,618055555646095,618055555646095,8125</v>
      </c>
      <c r="Q553" s="1" t="str">
        <f>_xlfn.CONCAT(H553,I553,J553)</f>
        <v>DAURDE</v>
      </c>
    </row>
    <row r="554" spans="2:17">
      <c r="B554" s="1" t="s">
        <v>393</v>
      </c>
      <c r="C554" s="1" t="s">
        <v>416</v>
      </c>
      <c r="D554" s="52">
        <v>46095.618055555555</v>
      </c>
      <c r="E554" s="52">
        <v>46095.618055555555</v>
      </c>
      <c r="F554" s="52">
        <v>46095.8125</v>
      </c>
      <c r="G554" s="53">
        <f>F554-E554</f>
        <v>0.19444444444525288</v>
      </c>
      <c r="H554" s="1" t="s">
        <v>257</v>
      </c>
      <c r="J554" s="1" t="s">
        <v>258</v>
      </c>
      <c r="K554" s="1" t="str">
        <f>_xlfn.XLOOKUP(J554,REF!$D$2:$D$12,REF!$E$2:$E$12)</f>
        <v>Rede</v>
      </c>
      <c r="L554" s="1" t="s">
        <v>259</v>
      </c>
      <c r="M554" s="1" t="s">
        <v>260</v>
      </c>
      <c r="N554" s="1" t="s">
        <v>357</v>
      </c>
      <c r="O554" s="72" t="s">
        <v>297</v>
      </c>
      <c r="P554" s="1" t="str">
        <f>_xlfn.CONCAT(B554,C554,D554,E554,F554)</f>
        <v>BC ParanoaSG60KTL(COM1-009)_002_00846095,618055555646095,618055555646095,8125</v>
      </c>
      <c r="Q554" s="1" t="str">
        <f>_xlfn.CONCAT(H554,I554,J554)</f>
        <v>DAURDE</v>
      </c>
    </row>
    <row r="555" spans="2:17">
      <c r="B555" s="1" t="s">
        <v>393</v>
      </c>
      <c r="C555" s="1" t="s">
        <v>417</v>
      </c>
      <c r="D555" s="52">
        <v>46095.618055555555</v>
      </c>
      <c r="E555" s="52">
        <v>46095.618055555555</v>
      </c>
      <c r="F555" s="52">
        <v>46095.8125</v>
      </c>
      <c r="G555" s="53">
        <f>F555-E555</f>
        <v>0.19444444444525288</v>
      </c>
      <c r="H555" s="1" t="s">
        <v>257</v>
      </c>
      <c r="J555" s="1" t="s">
        <v>258</v>
      </c>
      <c r="K555" s="1" t="str">
        <f>_xlfn.XLOOKUP(J555,REF!$D$2:$D$12,REF!$E$2:$E$12)</f>
        <v>Rede</v>
      </c>
      <c r="L555" s="1" t="s">
        <v>259</v>
      </c>
      <c r="M555" s="1" t="s">
        <v>260</v>
      </c>
      <c r="N555" s="1" t="s">
        <v>357</v>
      </c>
      <c r="O555" s="72" t="s">
        <v>297</v>
      </c>
      <c r="P555" s="1" t="str">
        <f>_xlfn.CONCAT(B555,C555,D555,E555,F555)</f>
        <v>BC ParanoaSG60KTL(COM1-010)_002_00346095,618055555646095,618055555646095,8125</v>
      </c>
      <c r="Q555" s="1" t="str">
        <f>_xlfn.CONCAT(H555,I555,J555)</f>
        <v>DAURDE</v>
      </c>
    </row>
    <row r="556" spans="2:17">
      <c r="B556" s="1" t="s">
        <v>393</v>
      </c>
      <c r="C556" s="1" t="s">
        <v>418</v>
      </c>
      <c r="D556" s="52">
        <v>46095.618055555555</v>
      </c>
      <c r="E556" s="52">
        <v>46095.618055555555</v>
      </c>
      <c r="F556" s="52">
        <v>46095.8125</v>
      </c>
      <c r="G556" s="53">
        <f>F556-E556</f>
        <v>0.19444444444525288</v>
      </c>
      <c r="H556" s="1" t="s">
        <v>257</v>
      </c>
      <c r="J556" s="1" t="s">
        <v>258</v>
      </c>
      <c r="K556" s="1" t="str">
        <f>_xlfn.XLOOKUP(J556,REF!$D$2:$D$12,REF!$E$2:$E$12)</f>
        <v>Rede</v>
      </c>
      <c r="L556" s="1" t="s">
        <v>259</v>
      </c>
      <c r="M556" s="1" t="s">
        <v>260</v>
      </c>
      <c r="N556" s="1" t="s">
        <v>357</v>
      </c>
      <c r="O556" s="72" t="s">
        <v>297</v>
      </c>
      <c r="P556" s="1" t="str">
        <f>_xlfn.CONCAT(B556,C556,D556,E556,F556)</f>
        <v>BC ParanoaSG60KTL(COM1-011)_002_01046095,618055555646095,618055555646095,8125</v>
      </c>
      <c r="Q556" s="1" t="str">
        <f>_xlfn.CONCAT(H556,I556,J556)</f>
        <v>DAURDE</v>
      </c>
    </row>
    <row r="557" spans="2:17">
      <c r="B557" s="1" t="s">
        <v>393</v>
      </c>
      <c r="C557" s="1" t="s">
        <v>419</v>
      </c>
      <c r="D557" s="52">
        <v>46095.618055555555</v>
      </c>
      <c r="E557" s="52">
        <v>46095.618055555555</v>
      </c>
      <c r="F557" s="52">
        <v>46095.8125</v>
      </c>
      <c r="G557" s="53">
        <f>F557-E557</f>
        <v>0.19444444444525288</v>
      </c>
      <c r="H557" s="1" t="s">
        <v>257</v>
      </c>
      <c r="J557" s="1" t="s">
        <v>258</v>
      </c>
      <c r="K557" s="1" t="str">
        <f>_xlfn.XLOOKUP(J557,REF!$D$2:$D$12,REF!$E$2:$E$12)</f>
        <v>Rede</v>
      </c>
      <c r="L557" s="1" t="s">
        <v>259</v>
      </c>
      <c r="M557" s="1" t="s">
        <v>260</v>
      </c>
      <c r="N557" s="1" t="s">
        <v>357</v>
      </c>
      <c r="O557" s="72" t="s">
        <v>297</v>
      </c>
      <c r="P557" s="1" t="str">
        <f>_xlfn.CONCAT(B557,C557,D557,E557,F557)</f>
        <v>BC ParanoaSG60KTL(COM1-012)_002_00546095,618055555646095,618055555646095,8125</v>
      </c>
      <c r="Q557" s="1" t="str">
        <f>_xlfn.CONCAT(H557,I557,J557)</f>
        <v>DAURDE</v>
      </c>
    </row>
    <row r="558" spans="2:17">
      <c r="B558" s="1" t="s">
        <v>393</v>
      </c>
      <c r="C558" s="1" t="s">
        <v>420</v>
      </c>
      <c r="D558" s="52">
        <v>46095.618055555555</v>
      </c>
      <c r="E558" s="52">
        <v>46095.618055555555</v>
      </c>
      <c r="F558" s="52">
        <v>46095.8125</v>
      </c>
      <c r="G558" s="53">
        <f>F558-E558</f>
        <v>0.19444444444525288</v>
      </c>
      <c r="H558" s="1" t="s">
        <v>257</v>
      </c>
      <c r="J558" s="1" t="s">
        <v>258</v>
      </c>
      <c r="K558" s="1" t="str">
        <f>_xlfn.XLOOKUP(J558,REF!$D$2:$D$12,REF!$E$2:$E$12)</f>
        <v>Rede</v>
      </c>
      <c r="L558" s="1" t="s">
        <v>259</v>
      </c>
      <c r="M558" s="1" t="s">
        <v>260</v>
      </c>
      <c r="N558" s="1" t="s">
        <v>357</v>
      </c>
      <c r="O558" s="72" t="s">
        <v>297</v>
      </c>
      <c r="P558" s="1" t="str">
        <f>_xlfn.CONCAT(B558,C558,D558,E558,F558)</f>
        <v>BC ParanoaSG60KTL(COM1-001)_002_00646095,618055555646095,618055555646095,8125</v>
      </c>
      <c r="Q558" s="1" t="str">
        <f>_xlfn.CONCAT(H558,I558,J558)</f>
        <v>DAURDE</v>
      </c>
    </row>
    <row r="559" spans="2:17">
      <c r="B559" s="1" t="s">
        <v>393</v>
      </c>
      <c r="C559" s="1" t="s">
        <v>421</v>
      </c>
      <c r="D559" s="52">
        <v>46095.618055555555</v>
      </c>
      <c r="E559" s="52">
        <v>46095.618055555555</v>
      </c>
      <c r="F559" s="52">
        <v>46095.8125</v>
      </c>
      <c r="G559" s="53">
        <f>F559-E559</f>
        <v>0.19444444444525288</v>
      </c>
      <c r="H559" s="1" t="s">
        <v>257</v>
      </c>
      <c r="J559" s="1" t="s">
        <v>258</v>
      </c>
      <c r="K559" s="1" t="str">
        <f>_xlfn.XLOOKUP(J559,REF!$D$2:$D$12,REF!$E$2:$E$12)</f>
        <v>Rede</v>
      </c>
      <c r="L559" s="1" t="s">
        <v>259</v>
      </c>
      <c r="M559" s="1" t="s">
        <v>260</v>
      </c>
      <c r="N559" s="1" t="s">
        <v>357</v>
      </c>
      <c r="O559" s="72" t="s">
        <v>297</v>
      </c>
      <c r="P559" s="1" t="str">
        <f>_xlfn.CONCAT(B559,C559,D559,E559,F559)</f>
        <v>BC ParanoaSG60KTL(COM1-002)_002_01646095,618055555646095,618055555646095,8125</v>
      </c>
      <c r="Q559" s="1" t="str">
        <f>_xlfn.CONCAT(H559,I559,J559)</f>
        <v>DAURDE</v>
      </c>
    </row>
    <row r="560" spans="2:17">
      <c r="B560" s="1" t="s">
        <v>393</v>
      </c>
      <c r="C560" s="1" t="s">
        <v>422</v>
      </c>
      <c r="D560" s="52">
        <v>46095.618055555555</v>
      </c>
      <c r="E560" s="52">
        <v>46095.618055555555</v>
      </c>
      <c r="F560" s="52">
        <v>46095.8125</v>
      </c>
      <c r="G560" s="53">
        <f>F560-E560</f>
        <v>0.19444444444525288</v>
      </c>
      <c r="H560" s="1" t="s">
        <v>257</v>
      </c>
      <c r="J560" s="1" t="s">
        <v>258</v>
      </c>
      <c r="K560" s="1" t="str">
        <f>_xlfn.XLOOKUP(J560,REF!$D$2:$D$12,REF!$E$2:$E$12)</f>
        <v>Rede</v>
      </c>
      <c r="L560" s="1" t="s">
        <v>259</v>
      </c>
      <c r="M560" s="1" t="s">
        <v>260</v>
      </c>
      <c r="N560" s="1" t="s">
        <v>357</v>
      </c>
      <c r="O560" s="72" t="s">
        <v>297</v>
      </c>
      <c r="P560" s="1" t="str">
        <f>_xlfn.CONCAT(B560,C560,D560,E560,F560)</f>
        <v>BC ParanoaSG50CX(COM2-003)_002_02146095,618055555646095,618055555646095,8125</v>
      </c>
      <c r="Q560" s="1" t="str">
        <f>_xlfn.CONCAT(H560,I560,J560)</f>
        <v>DAURDE</v>
      </c>
    </row>
    <row r="561" spans="2:17">
      <c r="B561" s="1" t="s">
        <v>393</v>
      </c>
      <c r="C561" s="1" t="s">
        <v>423</v>
      </c>
      <c r="D561" s="52">
        <v>46095.618055555555</v>
      </c>
      <c r="E561" s="52">
        <v>46095.618055555555</v>
      </c>
      <c r="F561" s="52">
        <v>46095.8125</v>
      </c>
      <c r="G561" s="53">
        <f>F561-E561</f>
        <v>0.19444444444525288</v>
      </c>
      <c r="H561" s="1" t="s">
        <v>257</v>
      </c>
      <c r="J561" s="1" t="s">
        <v>258</v>
      </c>
      <c r="K561" s="1" t="str">
        <f>_xlfn.XLOOKUP(J561,REF!$D$2:$D$12,REF!$E$2:$E$12)</f>
        <v>Rede</v>
      </c>
      <c r="L561" s="1" t="s">
        <v>259</v>
      </c>
      <c r="M561" s="1" t="s">
        <v>260</v>
      </c>
      <c r="N561" s="1" t="s">
        <v>357</v>
      </c>
      <c r="O561" s="72" t="s">
        <v>297</v>
      </c>
      <c r="P561" s="1" t="str">
        <f>_xlfn.CONCAT(B561,C561,D561,E561,F561)</f>
        <v>BC ParanoaSG50CX(COM2-004)_002_02346095,618055555646095,618055555646095,8125</v>
      </c>
      <c r="Q561" s="1" t="str">
        <f>_xlfn.CONCAT(H561,I561,J561)</f>
        <v>DAURDE</v>
      </c>
    </row>
    <row r="562" spans="2:17">
      <c r="B562" s="1" t="s">
        <v>393</v>
      </c>
      <c r="C562" s="1" t="s">
        <v>424</v>
      </c>
      <c r="D562" s="52">
        <v>46095.618055555555</v>
      </c>
      <c r="E562" s="52">
        <v>46095.618055555555</v>
      </c>
      <c r="F562" s="52">
        <v>46095.8125</v>
      </c>
      <c r="G562" s="53">
        <f>F562-E562</f>
        <v>0.19444444444525288</v>
      </c>
      <c r="H562" s="1" t="s">
        <v>257</v>
      </c>
      <c r="J562" s="1" t="s">
        <v>258</v>
      </c>
      <c r="K562" s="1" t="str">
        <f>_xlfn.XLOOKUP(J562,REF!$D$2:$D$12,REF!$E$2:$E$12)</f>
        <v>Rede</v>
      </c>
      <c r="L562" s="1" t="s">
        <v>259</v>
      </c>
      <c r="M562" s="1" t="s">
        <v>260</v>
      </c>
      <c r="N562" s="1" t="s">
        <v>357</v>
      </c>
      <c r="O562" s="72" t="s">
        <v>297</v>
      </c>
      <c r="P562" s="1" t="str">
        <f>_xlfn.CONCAT(B562,C562,D562,E562,F562)</f>
        <v>BC ParanoaSG60KTL(COM1-005)_002_00946095,618055555646095,618055555646095,8125</v>
      </c>
      <c r="Q562" s="1" t="str">
        <f>_xlfn.CONCAT(H562,I562,J562)</f>
        <v>DAURDE</v>
      </c>
    </row>
    <row r="563" spans="2:17">
      <c r="B563" s="1" t="s">
        <v>393</v>
      </c>
      <c r="C563" s="1" t="s">
        <v>425</v>
      </c>
      <c r="D563" s="52">
        <v>46095.618055555555</v>
      </c>
      <c r="E563" s="52">
        <v>46095.618055555555</v>
      </c>
      <c r="F563" s="52">
        <v>46095.8125</v>
      </c>
      <c r="G563" s="53">
        <f>F563-E563</f>
        <v>0.19444444444525288</v>
      </c>
      <c r="H563" s="1" t="s">
        <v>257</v>
      </c>
      <c r="J563" s="1" t="s">
        <v>258</v>
      </c>
      <c r="K563" s="1" t="str">
        <f>_xlfn.XLOOKUP(J563,REF!$D$2:$D$12,REF!$E$2:$E$12)</f>
        <v>Rede</v>
      </c>
      <c r="L563" s="1" t="s">
        <v>259</v>
      </c>
      <c r="M563" s="1" t="s">
        <v>260</v>
      </c>
      <c r="N563" s="1" t="s">
        <v>357</v>
      </c>
      <c r="O563" s="72" t="s">
        <v>297</v>
      </c>
      <c r="P563" s="1" t="str">
        <f>_xlfn.CONCAT(B563,C563,D563,E563,F563)</f>
        <v>BC ParanoaSG60KTL(COM1-006)_002_00146095,618055555646095,618055555646095,8125</v>
      </c>
      <c r="Q563" s="1" t="str">
        <f>_xlfn.CONCAT(H563,I563,J563)</f>
        <v>DAURDE</v>
      </c>
    </row>
    <row r="564" spans="2:17">
      <c r="B564" s="1" t="s">
        <v>393</v>
      </c>
      <c r="C564" s="1" t="s">
        <v>426</v>
      </c>
      <c r="D564" s="52">
        <v>46095.618055555555</v>
      </c>
      <c r="E564" s="52">
        <v>46095.618055555555</v>
      </c>
      <c r="F564" s="52">
        <v>46095.8125</v>
      </c>
      <c r="G564" s="53">
        <f>F564-E564</f>
        <v>0.19444444444525288</v>
      </c>
      <c r="H564" s="1" t="s">
        <v>257</v>
      </c>
      <c r="J564" s="1" t="s">
        <v>258</v>
      </c>
      <c r="K564" s="1" t="str">
        <f>_xlfn.XLOOKUP(J564,REF!$D$2:$D$12,REF!$E$2:$E$12)</f>
        <v>Rede</v>
      </c>
      <c r="L564" s="1" t="s">
        <v>259</v>
      </c>
      <c r="M564" s="1" t="s">
        <v>260</v>
      </c>
      <c r="N564" s="1" t="s">
        <v>357</v>
      </c>
      <c r="O564" s="72" t="s">
        <v>297</v>
      </c>
      <c r="P564" s="1" t="str">
        <f>_xlfn.CONCAT(B564,C564,D564,E564,F564)</f>
        <v>BC ParanoaSG60KTL(COM1-013)_002_00446095,618055555646095,618055555646095,8125</v>
      </c>
      <c r="Q564" s="1" t="str">
        <f>_xlfn.CONCAT(H564,I564,J564)</f>
        <v>DAURDE</v>
      </c>
    </row>
    <row r="565" spans="2:17">
      <c r="B565" s="1" t="s">
        <v>393</v>
      </c>
      <c r="C565" s="1" t="s">
        <v>427</v>
      </c>
      <c r="D565" s="52">
        <v>46095.618055555555</v>
      </c>
      <c r="E565" s="52">
        <v>46095.618055555555</v>
      </c>
      <c r="F565" s="52">
        <v>46095.8125</v>
      </c>
      <c r="G565" s="53">
        <f>F565-E565</f>
        <v>0.19444444444525288</v>
      </c>
      <c r="H565" s="1" t="s">
        <v>257</v>
      </c>
      <c r="J565" s="1" t="s">
        <v>258</v>
      </c>
      <c r="K565" s="1" t="str">
        <f>_xlfn.XLOOKUP(J565,REF!$D$2:$D$12,REF!$E$2:$E$12)</f>
        <v>Rede</v>
      </c>
      <c r="L565" s="1" t="s">
        <v>259</v>
      </c>
      <c r="M565" s="1" t="s">
        <v>260</v>
      </c>
      <c r="N565" s="1" t="s">
        <v>357</v>
      </c>
      <c r="O565" s="72" t="s">
        <v>297</v>
      </c>
      <c r="P565" s="1" t="str">
        <f>_xlfn.CONCAT(B565,C565,D565,E565,F565)</f>
        <v>BC ParanoaSG60KTL(COM1-014)_002_01946095,618055555646095,618055555646095,8125</v>
      </c>
      <c r="Q565" s="1" t="str">
        <f>_xlfn.CONCAT(H565,I565,J565)</f>
        <v>DAURDE</v>
      </c>
    </row>
    <row r="566" spans="2:17">
      <c r="B566" s="1" t="s">
        <v>393</v>
      </c>
      <c r="C566" s="1" t="s">
        <v>428</v>
      </c>
      <c r="D566" s="52">
        <v>46095.618055555555</v>
      </c>
      <c r="E566" s="52">
        <v>46095.618055555555</v>
      </c>
      <c r="F566" s="52">
        <v>46095.8125</v>
      </c>
      <c r="G566" s="53">
        <f>F566-E566</f>
        <v>0.19444444444525288</v>
      </c>
      <c r="H566" s="1" t="s">
        <v>257</v>
      </c>
      <c r="J566" s="1" t="s">
        <v>258</v>
      </c>
      <c r="K566" s="1" t="str">
        <f>_xlfn.XLOOKUP(J566,REF!$D$2:$D$12,REF!$E$2:$E$12)</f>
        <v>Rede</v>
      </c>
      <c r="L566" s="1" t="s">
        <v>259</v>
      </c>
      <c r="M566" s="1" t="s">
        <v>260</v>
      </c>
      <c r="N566" s="1" t="s">
        <v>357</v>
      </c>
      <c r="O566" s="72" t="s">
        <v>297</v>
      </c>
      <c r="P566" s="1" t="str">
        <f>_xlfn.CONCAT(B566,C566,D566,E566,F566)</f>
        <v>BC ParanoaSG60KTL(COM1-015)_002_01846095,618055555646095,618055555646095,8125</v>
      </c>
      <c r="Q566" s="1" t="str">
        <f>_xlfn.CONCAT(H566,I566,J566)</f>
        <v>DAURDE</v>
      </c>
    </row>
    <row r="567" spans="2:17">
      <c r="B567" s="1" t="s">
        <v>393</v>
      </c>
      <c r="C567" s="1" t="s">
        <v>429</v>
      </c>
      <c r="D567" s="52">
        <v>46095.618055555555</v>
      </c>
      <c r="E567" s="52">
        <v>46095.618055555555</v>
      </c>
      <c r="F567" s="52">
        <v>46095.8125</v>
      </c>
      <c r="G567" s="53">
        <f>F567-E567</f>
        <v>0.19444444444525288</v>
      </c>
      <c r="H567" s="1" t="s">
        <v>257</v>
      </c>
      <c r="J567" s="1" t="s">
        <v>258</v>
      </c>
      <c r="K567" s="1" t="str">
        <f>_xlfn.XLOOKUP(J567,REF!$D$2:$D$12,REF!$E$2:$E$12)</f>
        <v>Rede</v>
      </c>
      <c r="L567" s="1" t="s">
        <v>259</v>
      </c>
      <c r="M567" s="1" t="s">
        <v>260</v>
      </c>
      <c r="N567" s="1" t="s">
        <v>357</v>
      </c>
      <c r="O567" s="72" t="s">
        <v>297</v>
      </c>
      <c r="P567" s="1" t="str">
        <f>_xlfn.CONCAT(B567,C567,D567,E567,F567)</f>
        <v>BC ParanoaSG60KTL(COM1-016)_002_01446095,618055555646095,618055555646095,8125</v>
      </c>
      <c r="Q567" s="1" t="str">
        <f>_xlfn.CONCAT(H567,I567,J567)</f>
        <v>DAURDE</v>
      </c>
    </row>
    <row r="568" spans="2:17">
      <c r="B568" s="1" t="s">
        <v>393</v>
      </c>
      <c r="C568" s="1" t="s">
        <v>430</v>
      </c>
      <c r="D568" s="52">
        <v>46095.618055555555</v>
      </c>
      <c r="E568" s="52">
        <v>46095.618055555555</v>
      </c>
      <c r="F568" s="52">
        <v>46095.8125</v>
      </c>
      <c r="G568" s="53">
        <f>F568-E568</f>
        <v>0.19444444444525288</v>
      </c>
      <c r="H568" s="1" t="s">
        <v>257</v>
      </c>
      <c r="J568" s="1" t="s">
        <v>258</v>
      </c>
      <c r="K568" s="1" t="str">
        <f>_xlfn.XLOOKUP(J568,REF!$D$2:$D$12,REF!$E$2:$E$12)</f>
        <v>Rede</v>
      </c>
      <c r="L568" s="1" t="s">
        <v>259</v>
      </c>
      <c r="M568" s="1" t="s">
        <v>260</v>
      </c>
      <c r="N568" s="1" t="s">
        <v>357</v>
      </c>
      <c r="O568" s="72" t="s">
        <v>297</v>
      </c>
      <c r="P568" s="1" t="str">
        <f>_xlfn.CONCAT(B568,C568,D568,E568,F568)</f>
        <v>BC ParanoaSG60KTL(COM1-017)_002_01546095,618055555646095,618055555646095,8125</v>
      </c>
      <c r="Q568" s="1" t="str">
        <f>_xlfn.CONCAT(H568,I568,J568)</f>
        <v>DAURDE</v>
      </c>
    </row>
    <row r="569" spans="2:17">
      <c r="B569" s="1" t="s">
        <v>393</v>
      </c>
      <c r="C569" s="1" t="s">
        <v>431</v>
      </c>
      <c r="D569" s="52">
        <v>46095.618055555555</v>
      </c>
      <c r="E569" s="52">
        <v>46095.618055555555</v>
      </c>
      <c r="F569" s="52">
        <v>46095.8125</v>
      </c>
      <c r="G569" s="53">
        <f>F569-E569</f>
        <v>0.19444444444525288</v>
      </c>
      <c r="H569" s="1" t="s">
        <v>257</v>
      </c>
      <c r="J569" s="1" t="s">
        <v>258</v>
      </c>
      <c r="K569" s="1" t="str">
        <f>_xlfn.XLOOKUP(J569,REF!$D$2:$D$12,REF!$E$2:$E$12)</f>
        <v>Rede</v>
      </c>
      <c r="L569" s="1" t="s">
        <v>259</v>
      </c>
      <c r="M569" s="1" t="s">
        <v>260</v>
      </c>
      <c r="N569" s="1" t="s">
        <v>357</v>
      </c>
      <c r="O569" s="72" t="s">
        <v>297</v>
      </c>
      <c r="P569" s="1" t="str">
        <f>_xlfn.CONCAT(B569,C569,D569,E569,F569)</f>
        <v>BC ParanoaSG60KTL(COM1-018)_002_01246095,618055555646095,618055555646095,8125</v>
      </c>
      <c r="Q569" s="1" t="str">
        <f>_xlfn.CONCAT(H569,I569,J569)</f>
        <v>DAURDE</v>
      </c>
    </row>
    <row r="570" spans="2:17">
      <c r="B570" s="1" t="s">
        <v>393</v>
      </c>
      <c r="C570" s="1" t="s">
        <v>432</v>
      </c>
      <c r="D570" s="52">
        <v>46095.618055555555</v>
      </c>
      <c r="E570" s="52">
        <v>46095.618055555555</v>
      </c>
      <c r="F570" s="52">
        <v>46095.8125</v>
      </c>
      <c r="G570" s="53">
        <f>F570-E570</f>
        <v>0.19444444444525288</v>
      </c>
      <c r="H570" s="1" t="s">
        <v>257</v>
      </c>
      <c r="J570" s="1" t="s">
        <v>258</v>
      </c>
      <c r="K570" s="1" t="str">
        <f>_xlfn.XLOOKUP(J570,REF!$D$2:$D$12,REF!$E$2:$E$12)</f>
        <v>Rede</v>
      </c>
      <c r="L570" s="1" t="s">
        <v>259</v>
      </c>
      <c r="M570" s="1" t="s">
        <v>260</v>
      </c>
      <c r="N570" s="1" t="s">
        <v>357</v>
      </c>
      <c r="O570" s="72" t="s">
        <v>297</v>
      </c>
      <c r="P570" s="1" t="str">
        <f>_xlfn.CONCAT(B570,C570,D570,E570,F570)</f>
        <v>BC ParanoaSG50CX(COM2-004)_001_01846095,618055555646095,618055555646095,8125</v>
      </c>
      <c r="Q570" s="1" t="str">
        <f>_xlfn.CONCAT(H570,I570,J570)</f>
        <v>DAURDE</v>
      </c>
    </row>
    <row r="571" spans="2:17">
      <c r="B571" s="1" t="s">
        <v>393</v>
      </c>
      <c r="C571" s="1" t="s">
        <v>433</v>
      </c>
      <c r="D571" s="52">
        <v>46095.618055555555</v>
      </c>
      <c r="E571" s="52">
        <v>46095.618055555555</v>
      </c>
      <c r="F571" s="52">
        <v>46095.8125</v>
      </c>
      <c r="G571" s="53">
        <f>F571-E571</f>
        <v>0.19444444444525288</v>
      </c>
      <c r="H571" s="1" t="s">
        <v>257</v>
      </c>
      <c r="J571" s="1" t="s">
        <v>258</v>
      </c>
      <c r="K571" s="1" t="str">
        <f>_xlfn.XLOOKUP(J571,REF!$D$2:$D$12,REF!$E$2:$E$12)</f>
        <v>Rede</v>
      </c>
      <c r="L571" s="1" t="s">
        <v>259</v>
      </c>
      <c r="M571" s="1" t="s">
        <v>260</v>
      </c>
      <c r="N571" s="1" t="s">
        <v>357</v>
      </c>
      <c r="O571" s="72" t="s">
        <v>297</v>
      </c>
      <c r="P571" s="1" t="str">
        <f>_xlfn.CONCAT(B571,C571,D571,E571,F571)</f>
        <v>BC ParanoaSG50CX(COM2-003)_001_01646095,618055555646095,618055555646095,8125</v>
      </c>
      <c r="Q571" s="1" t="str">
        <f>_xlfn.CONCAT(H571,I571,J571)</f>
        <v>DAURDE</v>
      </c>
    </row>
    <row r="572" spans="2:17">
      <c r="B572" s="1" t="s">
        <v>393</v>
      </c>
      <c r="C572" s="1" t="s">
        <v>434</v>
      </c>
      <c r="D572" s="52">
        <v>46095.618055555555</v>
      </c>
      <c r="E572" s="52">
        <v>46095.618055555555</v>
      </c>
      <c r="F572" s="52">
        <v>46095.8125</v>
      </c>
      <c r="G572" s="53">
        <f>F572-E572</f>
        <v>0.19444444444525288</v>
      </c>
      <c r="H572" s="1" t="s">
        <v>257</v>
      </c>
      <c r="J572" s="1" t="s">
        <v>258</v>
      </c>
      <c r="K572" s="1" t="str">
        <f>_xlfn.XLOOKUP(J572,REF!$D$2:$D$12,REF!$E$2:$E$12)</f>
        <v>Rede</v>
      </c>
      <c r="L572" s="1" t="s">
        <v>259</v>
      </c>
      <c r="M572" s="1" t="s">
        <v>260</v>
      </c>
      <c r="N572" s="1" t="s">
        <v>357</v>
      </c>
      <c r="O572" s="72" t="s">
        <v>297</v>
      </c>
      <c r="P572" s="1" t="str">
        <f>_xlfn.CONCAT(B572,C572,D572,E572,F572)</f>
        <v>BC ParanoaSG60KTL(COM1-002)_001_00846095,618055555646095,618055555646095,8125</v>
      </c>
      <c r="Q572" s="1" t="str">
        <f>_xlfn.CONCAT(H572,I572,J572)</f>
        <v>DAURDE</v>
      </c>
    </row>
    <row r="573" spans="2:17">
      <c r="B573" s="1" t="s">
        <v>305</v>
      </c>
      <c r="C573" s="1" t="s">
        <v>256</v>
      </c>
      <c r="D573" s="52">
        <v>46095.680555555555</v>
      </c>
      <c r="E573" s="52">
        <v>46095.680555555555</v>
      </c>
      <c r="F573" s="52">
        <v>46095.770833333336</v>
      </c>
      <c r="G573" s="53">
        <f>F573-E573</f>
        <v>9.0277777781011537E-2</v>
      </c>
      <c r="H573" s="1" t="s">
        <v>257</v>
      </c>
      <c r="J573" s="1" t="s">
        <v>258</v>
      </c>
      <c r="K573" s="1" t="str">
        <f>_xlfn.XLOOKUP(J573,REF!$D$2:$D$12,REF!$E$2:$E$12)</f>
        <v>Rede</v>
      </c>
      <c r="L573" s="1" t="s">
        <v>488</v>
      </c>
      <c r="M573" s="1" t="s">
        <v>260</v>
      </c>
      <c r="N573" s="1" t="s">
        <v>357</v>
      </c>
      <c r="O573" s="72" t="s">
        <v>297</v>
      </c>
      <c r="P573" s="1" t="str">
        <f>_xlfn.CONCAT(B573,C573,D573,E573,F573)</f>
        <v>ARAGUATINS 1.1Inverter(MBUS-12)46095,680555555646095,680555555646095,7708333333</v>
      </c>
      <c r="Q573" s="1" t="str">
        <f>_xlfn.CONCAT(H573,I573,J573)</f>
        <v>DAURDE</v>
      </c>
    </row>
    <row r="574" spans="2:17">
      <c r="B574" s="1" t="s">
        <v>305</v>
      </c>
      <c r="C574" s="1" t="s">
        <v>264</v>
      </c>
      <c r="D574" s="52">
        <v>46095.680555555555</v>
      </c>
      <c r="E574" s="52">
        <v>46095.680555555555</v>
      </c>
      <c r="F574" s="52">
        <v>46095.770833333336</v>
      </c>
      <c r="G574" s="53">
        <f>F574-E574</f>
        <v>9.0277777781011537E-2</v>
      </c>
      <c r="H574" s="1" t="s">
        <v>257</v>
      </c>
      <c r="J574" s="1" t="s">
        <v>258</v>
      </c>
      <c r="K574" s="1" t="str">
        <f>_xlfn.XLOOKUP(J574,REF!$D$2:$D$12,REF!$E$2:$E$12)</f>
        <v>Rede</v>
      </c>
      <c r="L574" s="1" t="s">
        <v>488</v>
      </c>
      <c r="M574" s="1" t="s">
        <v>260</v>
      </c>
      <c r="N574" s="1" t="s">
        <v>357</v>
      </c>
      <c r="O574" s="72" t="s">
        <v>297</v>
      </c>
      <c r="P574" s="1" t="str">
        <f>_xlfn.CONCAT(B574,C574,D574,E574,F574)</f>
        <v>ARAGUATINS 1.1Inverter(MBUS-13)46095,680555555646095,680555555646095,7708333333</v>
      </c>
      <c r="Q574" s="1" t="str">
        <f>_xlfn.CONCAT(H574,I574,J574)</f>
        <v>DAURDE</v>
      </c>
    </row>
    <row r="575" spans="2:17">
      <c r="B575" s="1" t="s">
        <v>305</v>
      </c>
      <c r="C575" s="1" t="s">
        <v>263</v>
      </c>
      <c r="D575" s="52">
        <v>46095.680555555555</v>
      </c>
      <c r="E575" s="52">
        <v>46095.680555555555</v>
      </c>
      <c r="F575" s="52">
        <v>46095.770833333336</v>
      </c>
      <c r="G575" s="53">
        <f>F575-E575</f>
        <v>9.0277777781011537E-2</v>
      </c>
      <c r="H575" s="1" t="s">
        <v>257</v>
      </c>
      <c r="J575" s="1" t="s">
        <v>258</v>
      </c>
      <c r="K575" s="1" t="str">
        <f>_xlfn.XLOOKUP(J575,REF!$D$2:$D$12,REF!$E$2:$E$12)</f>
        <v>Rede</v>
      </c>
      <c r="L575" s="1" t="s">
        <v>488</v>
      </c>
      <c r="M575" s="1" t="s">
        <v>260</v>
      </c>
      <c r="N575" s="1" t="s">
        <v>357</v>
      </c>
      <c r="O575" s="72" t="s">
        <v>297</v>
      </c>
      <c r="P575" s="1" t="str">
        <f>_xlfn.CONCAT(B575,C575,D575,E575,F575)</f>
        <v>ARAGUATINS 1.1Inverter(MBUS-14)46095,680555555646095,680555555646095,7708333333</v>
      </c>
      <c r="Q575" s="1" t="str">
        <f>_xlfn.CONCAT(H575,I575,J575)</f>
        <v>DAURDE</v>
      </c>
    </row>
    <row r="576" spans="2:17">
      <c r="B576" s="1" t="s">
        <v>305</v>
      </c>
      <c r="C576" s="1" t="s">
        <v>307</v>
      </c>
      <c r="D576" s="52">
        <v>46095.680555555555</v>
      </c>
      <c r="E576" s="52">
        <v>46095.680555555555</v>
      </c>
      <c r="F576" s="52">
        <v>46095.770833333336</v>
      </c>
      <c r="G576" s="53">
        <f>F576-E576</f>
        <v>9.0277777781011537E-2</v>
      </c>
      <c r="H576" s="1" t="s">
        <v>257</v>
      </c>
      <c r="J576" s="1" t="s">
        <v>258</v>
      </c>
      <c r="K576" s="1" t="str">
        <f>_xlfn.XLOOKUP(J576,REF!$D$2:$D$12,REF!$E$2:$E$12)</f>
        <v>Rede</v>
      </c>
      <c r="L576" s="1" t="s">
        <v>488</v>
      </c>
      <c r="M576" s="1" t="s">
        <v>260</v>
      </c>
      <c r="N576" s="1" t="s">
        <v>357</v>
      </c>
      <c r="O576" s="72" t="s">
        <v>297</v>
      </c>
      <c r="P576" s="1" t="str">
        <f>_xlfn.CONCAT(B576,C576,D576,E576,F576)</f>
        <v>ARAGUATINS 1.1Inverter(MBUS-15)46095,680555555646095,680555555646095,7708333333</v>
      </c>
      <c r="Q576" s="1" t="str">
        <f>_xlfn.CONCAT(H576,I576,J576)</f>
        <v>DAURDE</v>
      </c>
    </row>
    <row r="577" spans="2:17">
      <c r="B577" s="1" t="s">
        <v>308</v>
      </c>
      <c r="C577" s="1" t="s">
        <v>256</v>
      </c>
      <c r="D577" s="52">
        <v>46095.680555555555</v>
      </c>
      <c r="E577" s="52">
        <v>46095.680555555555</v>
      </c>
      <c r="F577" s="52">
        <v>46095.770833333336</v>
      </c>
      <c r="G577" s="53">
        <f>F577-E577</f>
        <v>9.0277777781011537E-2</v>
      </c>
      <c r="H577" s="1" t="s">
        <v>257</v>
      </c>
      <c r="J577" s="1" t="s">
        <v>258</v>
      </c>
      <c r="K577" s="1" t="str">
        <f>_xlfn.XLOOKUP(J577,REF!$D$2:$D$12,REF!$E$2:$E$12)</f>
        <v>Rede</v>
      </c>
      <c r="L577" s="1" t="s">
        <v>488</v>
      </c>
      <c r="M577" s="1" t="s">
        <v>260</v>
      </c>
      <c r="N577" s="1" t="s">
        <v>357</v>
      </c>
      <c r="O577" s="72" t="s">
        <v>297</v>
      </c>
      <c r="P577" s="1" t="str">
        <f>_xlfn.CONCAT(B577,C577,D578,E577,F577)</f>
        <v>ARAGUATINS 1.2Inverter(MBUS-12)46095,680555555646095,680555555646095,7708333333</v>
      </c>
      <c r="Q577" s="1" t="str">
        <f>_xlfn.CONCAT(H577,I577,J577)</f>
        <v>DAURDE</v>
      </c>
    </row>
    <row r="578" spans="2:17">
      <c r="B578" s="1" t="s">
        <v>308</v>
      </c>
      <c r="C578" s="1" t="s">
        <v>264</v>
      </c>
      <c r="D578" s="52">
        <v>46095.680555555555</v>
      </c>
      <c r="E578" s="52">
        <v>46095.680555555555</v>
      </c>
      <c r="F578" s="52">
        <v>46095.770833333336</v>
      </c>
      <c r="G578" s="53">
        <f>F578-E578</f>
        <v>9.0277777781011537E-2</v>
      </c>
      <c r="H578" s="1" t="s">
        <v>257</v>
      </c>
      <c r="J578" s="1" t="s">
        <v>258</v>
      </c>
      <c r="K578" s="1" t="str">
        <f>_xlfn.XLOOKUP(J578,REF!$D$2:$D$12,REF!$E$2:$E$12)</f>
        <v>Rede</v>
      </c>
      <c r="L578" s="1" t="s">
        <v>488</v>
      </c>
      <c r="M578" s="1" t="s">
        <v>260</v>
      </c>
      <c r="N578" s="1" t="s">
        <v>357</v>
      </c>
      <c r="O578" s="72" t="s">
        <v>297</v>
      </c>
      <c r="P578" s="1" t="str">
        <f>_xlfn.CONCAT(B578,C578,D578,E578,F578)</f>
        <v>ARAGUATINS 1.2Inverter(MBUS-13)46095,680555555646095,680555555646095,7708333333</v>
      </c>
      <c r="Q578" s="1" t="str">
        <f>_xlfn.CONCAT(H578,I578,J578)</f>
        <v>DAURDE</v>
      </c>
    </row>
    <row r="579" spans="2:17">
      <c r="B579" s="1" t="s">
        <v>308</v>
      </c>
      <c r="C579" s="1" t="s">
        <v>263</v>
      </c>
      <c r="D579" s="52">
        <v>46095.680555555555</v>
      </c>
      <c r="E579" s="52">
        <v>46095.680555555555</v>
      </c>
      <c r="F579" s="52">
        <v>46095.770833333336</v>
      </c>
      <c r="G579" s="53">
        <f>F579-E579</f>
        <v>9.0277777781011537E-2</v>
      </c>
      <c r="H579" s="1" t="s">
        <v>257</v>
      </c>
      <c r="J579" s="1" t="s">
        <v>258</v>
      </c>
      <c r="K579" s="1" t="str">
        <f>_xlfn.XLOOKUP(J579,REF!$D$2:$D$12,REF!$E$2:$E$12)</f>
        <v>Rede</v>
      </c>
      <c r="L579" s="1" t="s">
        <v>488</v>
      </c>
      <c r="M579" s="1" t="s">
        <v>260</v>
      </c>
      <c r="N579" s="1" t="s">
        <v>357</v>
      </c>
      <c r="O579" s="72" t="s">
        <v>297</v>
      </c>
      <c r="P579" s="1" t="str">
        <f>_xlfn.CONCAT(B579,C579,D579,E579,F579)</f>
        <v>ARAGUATINS 1.2Inverter(MBUS-14)46095,680555555646095,680555555646095,7708333333</v>
      </c>
      <c r="Q579" s="1" t="str">
        <f>_xlfn.CONCAT(H579,I579,J579)</f>
        <v>DAURDE</v>
      </c>
    </row>
    <row r="580" spans="2:17">
      <c r="B580" s="1" t="s">
        <v>308</v>
      </c>
      <c r="C580" s="1" t="s">
        <v>307</v>
      </c>
      <c r="D580" s="52">
        <v>46095.680555555555</v>
      </c>
      <c r="E580" s="52">
        <v>46095.680555555555</v>
      </c>
      <c r="F580" s="52">
        <v>46095.770833333336</v>
      </c>
      <c r="G580" s="53">
        <f>F580-E580</f>
        <v>9.0277777781011537E-2</v>
      </c>
      <c r="H580" s="1" t="s">
        <v>257</v>
      </c>
      <c r="J580" s="1" t="s">
        <v>258</v>
      </c>
      <c r="K580" s="1" t="str">
        <f>_xlfn.XLOOKUP(J580,REF!$D$2:$D$12,REF!$E$2:$E$12)</f>
        <v>Rede</v>
      </c>
      <c r="L580" s="1" t="s">
        <v>488</v>
      </c>
      <c r="M580" s="1" t="s">
        <v>260</v>
      </c>
      <c r="N580" s="1" t="s">
        <v>357</v>
      </c>
      <c r="O580" s="72" t="s">
        <v>297</v>
      </c>
      <c r="P580" s="1" t="str">
        <f>_xlfn.CONCAT(B580,C580,D580,E580,F580)</f>
        <v>ARAGUATINS 1.2Inverter(MBUS-15)46095,680555555646095,680555555646095,7708333333</v>
      </c>
      <c r="Q580" s="1" t="str">
        <f>_xlfn.CONCAT(H580,I580,J580)</f>
        <v>DAURDE</v>
      </c>
    </row>
    <row r="581" spans="2:17">
      <c r="B581" s="1" t="s">
        <v>309</v>
      </c>
      <c r="C581" s="1" t="s">
        <v>310</v>
      </c>
      <c r="D581" s="52">
        <v>46095.680555555555</v>
      </c>
      <c r="E581" s="52">
        <v>46095.680555555555</v>
      </c>
      <c r="F581" s="52">
        <v>46095.770833333336</v>
      </c>
      <c r="G581" s="53">
        <f>F581-E581</f>
        <v>9.0277777781011537E-2</v>
      </c>
      <c r="H581" s="1" t="s">
        <v>257</v>
      </c>
      <c r="J581" s="1" t="s">
        <v>258</v>
      </c>
      <c r="K581" s="1" t="str">
        <f>_xlfn.XLOOKUP(J581,REF!$D$2:$D$12,REF!$E$2:$E$12)</f>
        <v>Rede</v>
      </c>
      <c r="L581" s="1" t="s">
        <v>488</v>
      </c>
      <c r="M581" s="1" t="s">
        <v>260</v>
      </c>
      <c r="N581" s="1" t="s">
        <v>357</v>
      </c>
      <c r="O581" s="72" t="s">
        <v>297</v>
      </c>
      <c r="P581" s="1" t="str">
        <f>_xlfn.CONCAT(B581,C581,D581,E581,F581)</f>
        <v>ARAGUATINS 1.3Inverter(MBUS-20)46095,680555555646095,680555555646095,7708333333</v>
      </c>
      <c r="Q581" s="1" t="str">
        <f>_xlfn.CONCAT(H581,I581,J581)</f>
        <v>DAURDE</v>
      </c>
    </row>
    <row r="582" spans="2:17">
      <c r="B582" s="1" t="s">
        <v>309</v>
      </c>
      <c r="C582" s="1" t="s">
        <v>247</v>
      </c>
      <c r="D582" s="52">
        <v>46095.680555555555</v>
      </c>
      <c r="E582" s="52">
        <v>46095.680555555555</v>
      </c>
      <c r="F582" s="52">
        <v>46095.770833333336</v>
      </c>
      <c r="G582" s="53">
        <f>F582-E582</f>
        <v>9.0277777781011537E-2</v>
      </c>
      <c r="H582" s="1" t="s">
        <v>257</v>
      </c>
      <c r="J582" s="1" t="s">
        <v>258</v>
      </c>
      <c r="K582" s="1" t="str">
        <f>_xlfn.XLOOKUP(J582,REF!$D$2:$D$12,REF!$E$2:$E$12)</f>
        <v>Rede</v>
      </c>
      <c r="L582" s="1" t="s">
        <v>488</v>
      </c>
      <c r="M582" s="1" t="s">
        <v>260</v>
      </c>
      <c r="N582" s="1" t="s">
        <v>357</v>
      </c>
      <c r="O582" s="72" t="s">
        <v>297</v>
      </c>
      <c r="P582" s="1" t="str">
        <f>_xlfn.CONCAT(B582,C582,D582,E582,F582)</f>
        <v>ARAGUATINS 1.3Inverter(MBUS-1)46095,680555555646095,680555555646095,7708333333</v>
      </c>
      <c r="Q582" s="1" t="str">
        <f>_xlfn.CONCAT(H582,I582,J582)</f>
        <v>DAURDE</v>
      </c>
    </row>
    <row r="583" spans="2:17">
      <c r="B583" s="1" t="s">
        <v>311</v>
      </c>
      <c r="C583" s="1" t="s">
        <v>256</v>
      </c>
      <c r="D583" s="52">
        <v>46095.680555555555</v>
      </c>
      <c r="E583" s="52">
        <v>46095.680555555555</v>
      </c>
      <c r="F583" s="52">
        <v>46095.770833333336</v>
      </c>
      <c r="G583" s="53">
        <f>F583-E583</f>
        <v>9.0277777781011537E-2</v>
      </c>
      <c r="H583" s="1" t="s">
        <v>257</v>
      </c>
      <c r="J583" s="1" t="s">
        <v>258</v>
      </c>
      <c r="K583" s="1" t="str">
        <f>_xlfn.XLOOKUP(J583,REF!$D$2:$D$12,REF!$E$2:$E$12)</f>
        <v>Rede</v>
      </c>
      <c r="L583" s="1" t="s">
        <v>489</v>
      </c>
      <c r="M583" s="1" t="s">
        <v>260</v>
      </c>
      <c r="N583" s="1" t="s">
        <v>357</v>
      </c>
      <c r="O583" s="72" t="s">
        <v>297</v>
      </c>
      <c r="P583" s="1" t="str">
        <f>_xlfn.CONCAT(B583,C583,D583,E583,F583)</f>
        <v>ARAGUATINS 2.1Inverter(MBUS-12)46095,680555555646095,680555555646095,7708333333</v>
      </c>
      <c r="Q583" s="1" t="str">
        <f>_xlfn.CONCAT(H583,I583,J583)</f>
        <v>DAURDE</v>
      </c>
    </row>
    <row r="584" spans="2:17">
      <c r="B584" s="1" t="s">
        <v>311</v>
      </c>
      <c r="C584" s="1" t="s">
        <v>307</v>
      </c>
      <c r="D584" s="52">
        <v>46095.680555555555</v>
      </c>
      <c r="E584" s="52">
        <v>46095.680555555555</v>
      </c>
      <c r="F584" s="52">
        <v>46095.770833333336</v>
      </c>
      <c r="G584" s="53">
        <f>F584-E584</f>
        <v>9.0277777781011537E-2</v>
      </c>
      <c r="H584" s="1" t="s">
        <v>257</v>
      </c>
      <c r="J584" s="1" t="s">
        <v>258</v>
      </c>
      <c r="K584" s="1" t="str">
        <f>_xlfn.XLOOKUP(J584,REF!$D$2:$D$12,REF!$E$2:$E$12)</f>
        <v>Rede</v>
      </c>
      <c r="L584" s="1" t="s">
        <v>489</v>
      </c>
      <c r="M584" s="1" t="s">
        <v>260</v>
      </c>
      <c r="N584" s="1" t="s">
        <v>357</v>
      </c>
      <c r="O584" s="72" t="s">
        <v>297</v>
      </c>
      <c r="P584" s="1" t="str">
        <f>_xlfn.CONCAT(B584,C584,D584,E584,F584)</f>
        <v>ARAGUATINS 2.1Inverter(MBUS-15)46095,680555555646095,680555555646095,7708333333</v>
      </c>
      <c r="Q584" s="1" t="str">
        <f>_xlfn.CONCAT(H584,I584,J584)</f>
        <v>DAURDE</v>
      </c>
    </row>
    <row r="585" spans="2:17">
      <c r="B585" s="1" t="s">
        <v>311</v>
      </c>
      <c r="C585" s="1" t="s">
        <v>263</v>
      </c>
      <c r="D585" s="52">
        <v>46095.680555555555</v>
      </c>
      <c r="E585" s="52">
        <v>46095.680555555555</v>
      </c>
      <c r="F585" s="52">
        <v>46095.770833333336</v>
      </c>
      <c r="G585" s="53">
        <f>F585-E585</f>
        <v>9.0277777781011537E-2</v>
      </c>
      <c r="H585" s="1" t="s">
        <v>257</v>
      </c>
      <c r="J585" s="1" t="s">
        <v>258</v>
      </c>
      <c r="K585" s="1" t="str">
        <f>_xlfn.XLOOKUP(J585,REF!$D$2:$D$12,REF!$E$2:$E$12)</f>
        <v>Rede</v>
      </c>
      <c r="L585" s="1" t="s">
        <v>489</v>
      </c>
      <c r="M585" s="1" t="s">
        <v>260</v>
      </c>
      <c r="N585" s="1" t="s">
        <v>357</v>
      </c>
      <c r="O585" s="72" t="s">
        <v>297</v>
      </c>
      <c r="P585" s="1" t="str">
        <f>_xlfn.CONCAT(B585,C585,D585,E585,F585)</f>
        <v>ARAGUATINS 2.1Inverter(MBUS-14)46095,680555555646095,680555555646095,7708333333</v>
      </c>
      <c r="Q585" s="1" t="str">
        <f>_xlfn.CONCAT(H585,I585,J585)</f>
        <v>DAURDE</v>
      </c>
    </row>
    <row r="586" spans="2:17">
      <c r="B586" s="1" t="s">
        <v>311</v>
      </c>
      <c r="C586" s="1" t="s">
        <v>247</v>
      </c>
      <c r="D586" s="52">
        <v>46095.680555555555</v>
      </c>
      <c r="E586" s="52">
        <v>46095.680555555555</v>
      </c>
      <c r="F586" s="52">
        <v>46095.770833333336</v>
      </c>
      <c r="G586" s="53">
        <f>F586-E586</f>
        <v>9.0277777781011537E-2</v>
      </c>
      <c r="H586" s="1" t="s">
        <v>257</v>
      </c>
      <c r="J586" s="1" t="s">
        <v>258</v>
      </c>
      <c r="K586" s="1" t="str">
        <f>_xlfn.XLOOKUP(J586,REF!$D$2:$D$12,REF!$E$2:$E$12)</f>
        <v>Rede</v>
      </c>
      <c r="L586" s="1" t="s">
        <v>489</v>
      </c>
      <c r="M586" s="1" t="s">
        <v>260</v>
      </c>
      <c r="N586" s="1" t="s">
        <v>357</v>
      </c>
      <c r="O586" s="72" t="s">
        <v>297</v>
      </c>
      <c r="P586" s="1" t="str">
        <f>_xlfn.CONCAT(B586,C586,D586,E586,F586)</f>
        <v>ARAGUATINS 2.1Inverter(MBUS-1)46095,680555555646095,680555555646095,7708333333</v>
      </c>
      <c r="Q586" s="1" t="str">
        <f>_xlfn.CONCAT(H586,I586,J586)</f>
        <v>DAURDE</v>
      </c>
    </row>
    <row r="587" spans="2:17">
      <c r="B587" s="1" t="s">
        <v>312</v>
      </c>
      <c r="C587" s="1" t="s">
        <v>307</v>
      </c>
      <c r="D587" s="52">
        <v>46095.680555555555</v>
      </c>
      <c r="E587" s="52">
        <v>46095.680555555555</v>
      </c>
      <c r="F587" s="52">
        <v>46095.770833333336</v>
      </c>
      <c r="G587" s="53">
        <f>F587-E587</f>
        <v>9.0277777781011537E-2</v>
      </c>
      <c r="H587" s="1" t="s">
        <v>257</v>
      </c>
      <c r="J587" s="1" t="s">
        <v>258</v>
      </c>
      <c r="K587" s="1" t="str">
        <f>_xlfn.XLOOKUP(J587,REF!$D$2:$D$12,REF!$E$2:$E$12)</f>
        <v>Rede</v>
      </c>
      <c r="L587" s="1" t="s">
        <v>489</v>
      </c>
      <c r="M587" s="1" t="s">
        <v>260</v>
      </c>
      <c r="N587" s="1" t="s">
        <v>357</v>
      </c>
      <c r="O587" s="72" t="s">
        <v>297</v>
      </c>
      <c r="P587" s="1" t="str">
        <f>_xlfn.CONCAT(B587,C587,D587,E587,F587)</f>
        <v>ARAGUATINS 2.2Inverter(MBUS-15)46095,680555555646095,680555555646095,7708333333</v>
      </c>
      <c r="Q587" s="1" t="str">
        <f>_xlfn.CONCAT(H587,I587,J587)</f>
        <v>DAURDE</v>
      </c>
    </row>
    <row r="588" spans="2:17">
      <c r="B588" s="1" t="s">
        <v>312</v>
      </c>
      <c r="C588" s="1" t="s">
        <v>264</v>
      </c>
      <c r="D588" s="52">
        <v>46095.680555555555</v>
      </c>
      <c r="E588" s="52">
        <v>46095.680555555555</v>
      </c>
      <c r="F588" s="52">
        <v>46095.770833333336</v>
      </c>
      <c r="G588" s="53">
        <f>F588-E588</f>
        <v>9.0277777781011537E-2</v>
      </c>
      <c r="H588" s="1" t="s">
        <v>257</v>
      </c>
      <c r="J588" s="1" t="s">
        <v>258</v>
      </c>
      <c r="K588" s="1" t="str">
        <f>_xlfn.XLOOKUP(J588,REF!$D$2:$D$12,REF!$E$2:$E$12)</f>
        <v>Rede</v>
      </c>
      <c r="L588" s="1" t="s">
        <v>489</v>
      </c>
      <c r="M588" s="1" t="s">
        <v>260</v>
      </c>
      <c r="N588" s="1" t="s">
        <v>357</v>
      </c>
      <c r="O588" s="72" t="s">
        <v>297</v>
      </c>
      <c r="P588" s="1" t="str">
        <f>_xlfn.CONCAT(B588,C588,D588,E588,F588)</f>
        <v>ARAGUATINS 2.2Inverter(MBUS-13)46095,680555555646095,680555555646095,7708333333</v>
      </c>
      <c r="Q588" s="1" t="str">
        <f>_xlfn.CONCAT(H588,I588,J588)</f>
        <v>DAURDE</v>
      </c>
    </row>
    <row r="589" spans="2:17">
      <c r="B589" s="1" t="s">
        <v>312</v>
      </c>
      <c r="C589" s="1" t="s">
        <v>263</v>
      </c>
      <c r="D589" s="52">
        <v>46095.680555555555</v>
      </c>
      <c r="E589" s="52">
        <v>46095.680555555555</v>
      </c>
      <c r="F589" s="52">
        <v>46095.770833333336</v>
      </c>
      <c r="G589" s="53">
        <f>F589-E589</f>
        <v>9.0277777781011537E-2</v>
      </c>
      <c r="H589" s="1" t="s">
        <v>257</v>
      </c>
      <c r="J589" s="1" t="s">
        <v>258</v>
      </c>
      <c r="K589" s="1" t="str">
        <f>_xlfn.XLOOKUP(J589,REF!$D$2:$D$12,REF!$E$2:$E$12)</f>
        <v>Rede</v>
      </c>
      <c r="L589" s="1" t="s">
        <v>489</v>
      </c>
      <c r="M589" s="1" t="s">
        <v>260</v>
      </c>
      <c r="N589" s="1" t="s">
        <v>357</v>
      </c>
      <c r="O589" s="72" t="s">
        <v>297</v>
      </c>
      <c r="P589" s="1" t="str">
        <f>_xlfn.CONCAT(B589,C589,D589,E589,F589)</f>
        <v>ARAGUATINS 2.2Inverter(MBUS-14)46095,680555555646095,680555555646095,7708333333</v>
      </c>
      <c r="Q589" s="1" t="str">
        <f>_xlfn.CONCAT(H589,I589,J589)</f>
        <v>DAURDE</v>
      </c>
    </row>
    <row r="590" spans="2:17">
      <c r="B590" s="1" t="s">
        <v>312</v>
      </c>
      <c r="C590" s="1" t="s">
        <v>256</v>
      </c>
      <c r="D590" s="52">
        <v>46095.680555555555</v>
      </c>
      <c r="E590" s="52">
        <v>46095.680555555555</v>
      </c>
      <c r="F590" s="52">
        <v>46095.770833333336</v>
      </c>
      <c r="G590" s="53">
        <f>F590-E590</f>
        <v>9.0277777781011537E-2</v>
      </c>
      <c r="H590" s="1" t="s">
        <v>257</v>
      </c>
      <c r="J590" s="1" t="s">
        <v>258</v>
      </c>
      <c r="K590" s="1" t="str">
        <f>_xlfn.XLOOKUP(J590,REF!$D$2:$D$12,REF!$E$2:$E$12)</f>
        <v>Rede</v>
      </c>
      <c r="L590" s="1" t="s">
        <v>489</v>
      </c>
      <c r="M590" s="1" t="s">
        <v>260</v>
      </c>
      <c r="N590" s="1" t="s">
        <v>357</v>
      </c>
      <c r="O590" s="72" t="s">
        <v>297</v>
      </c>
      <c r="P590" s="1" t="str">
        <f>_xlfn.CONCAT(B590,C590,D590,E590,F590)</f>
        <v>ARAGUATINS 2.2Inverter(MBUS-12)46095,680555555646095,680555555646095,7708333333</v>
      </c>
      <c r="Q590" s="1" t="str">
        <f>_xlfn.CONCAT(H590,I590,J590)</f>
        <v>DAURDE</v>
      </c>
    </row>
    <row r="591" spans="2:17">
      <c r="B591" s="1" t="s">
        <v>313</v>
      </c>
      <c r="C591" s="1" t="s">
        <v>256</v>
      </c>
      <c r="D591" s="52">
        <v>46095.680555555555</v>
      </c>
      <c r="E591" s="52">
        <v>46095.680555555555</v>
      </c>
      <c r="F591" s="52">
        <v>46095.770833333336</v>
      </c>
      <c r="G591" s="53">
        <f>F591-E591</f>
        <v>9.0277777781011537E-2</v>
      </c>
      <c r="H591" s="1" t="s">
        <v>257</v>
      </c>
      <c r="J591" s="1" t="s">
        <v>258</v>
      </c>
      <c r="K591" s="1" t="str">
        <f>_xlfn.XLOOKUP(J591,REF!$D$2:$D$12,REF!$E$2:$E$12)</f>
        <v>Rede</v>
      </c>
      <c r="L591" s="1" t="s">
        <v>489</v>
      </c>
      <c r="M591" s="1" t="s">
        <v>260</v>
      </c>
      <c r="N591" s="1" t="s">
        <v>357</v>
      </c>
      <c r="O591" s="72" t="s">
        <v>297</v>
      </c>
      <c r="P591" s="1" t="str">
        <f>_xlfn.CONCAT(B591,C591,D591,E591,F591)</f>
        <v>ARAGUATINS 2.3Inverter(MBUS-12)46095,680555555646095,680555555646095,7708333333</v>
      </c>
      <c r="Q591" s="1" t="str">
        <f>_xlfn.CONCAT(H591,I591,J591)</f>
        <v>DAURDE</v>
      </c>
    </row>
    <row r="592" spans="2:17">
      <c r="B592" s="1" t="s">
        <v>313</v>
      </c>
      <c r="C592" s="1" t="s">
        <v>264</v>
      </c>
      <c r="D592" s="52">
        <v>46095.680555555555</v>
      </c>
      <c r="E592" s="52">
        <v>46095.680555555555</v>
      </c>
      <c r="F592" s="52">
        <v>46095.770833333336</v>
      </c>
      <c r="G592" s="53">
        <f>F592-E592</f>
        <v>9.0277777781011537E-2</v>
      </c>
      <c r="H592" s="1" t="s">
        <v>257</v>
      </c>
      <c r="J592" s="1" t="s">
        <v>258</v>
      </c>
      <c r="K592" s="1" t="str">
        <f>_xlfn.XLOOKUP(J592,REF!$D$2:$D$12,REF!$E$2:$E$12)</f>
        <v>Rede</v>
      </c>
      <c r="L592" s="1" t="s">
        <v>489</v>
      </c>
      <c r="M592" s="1" t="s">
        <v>260</v>
      </c>
      <c r="N592" s="1" t="s">
        <v>357</v>
      </c>
      <c r="O592" s="72" t="s">
        <v>297</v>
      </c>
      <c r="P592" s="1" t="str">
        <f>_xlfn.CONCAT(B592,C592,D592,E592,F592)</f>
        <v>ARAGUATINS 2.3Inverter(MBUS-13)46095,680555555646095,680555555646095,7708333333</v>
      </c>
      <c r="Q592" s="1" t="str">
        <f>_xlfn.CONCAT(H592,I592,J592)</f>
        <v>DAURDE</v>
      </c>
    </row>
    <row r="593" spans="1:17">
      <c r="B593" s="1" t="s">
        <v>299</v>
      </c>
      <c r="C593" s="1" t="s">
        <v>300</v>
      </c>
      <c r="D593" s="52">
        <v>46095.760416666664</v>
      </c>
      <c r="E593" s="52">
        <v>46095.760416666664</v>
      </c>
      <c r="F593" s="52">
        <v>46097.375</v>
      </c>
      <c r="G593" s="53">
        <f>F593-E593</f>
        <v>1.6145833333357587</v>
      </c>
      <c r="H593" s="1" t="s">
        <v>257</v>
      </c>
      <c r="J593" s="1" t="s">
        <v>258</v>
      </c>
      <c r="K593" s="1" t="str">
        <f>_xlfn.XLOOKUP(J593,REF!$D$2:$D$12,REF!$E$2:$E$12)</f>
        <v>Rede</v>
      </c>
      <c r="L593" s="1" t="s">
        <v>259</v>
      </c>
      <c r="M593" s="1" t="s">
        <v>260</v>
      </c>
      <c r="N593" s="1" t="s">
        <v>357</v>
      </c>
      <c r="O593" s="72" t="s">
        <v>452</v>
      </c>
      <c r="P593" s="1" t="str">
        <f>_xlfn.CONCAT(B593,C593,D593,E593,F593)</f>
        <v>BC Panama1.1ITAPOAN 001 (COM1-001)_001_00146095,760416666746095,760416666746097,375</v>
      </c>
      <c r="Q593" s="1" t="str">
        <f>_xlfn.CONCAT(H593,I593,J593)</f>
        <v>DAURDE</v>
      </c>
    </row>
    <row r="594" spans="1:17">
      <c r="B594" s="1" t="s">
        <v>299</v>
      </c>
      <c r="C594" s="1" t="s">
        <v>303</v>
      </c>
      <c r="D594" s="52">
        <v>46095.760416666664</v>
      </c>
      <c r="E594" s="52">
        <v>46095.760416666664</v>
      </c>
      <c r="F594" s="52">
        <v>46097.375</v>
      </c>
      <c r="G594" s="53">
        <f>F594-E594</f>
        <v>1.6145833333357587</v>
      </c>
      <c r="H594" s="1" t="s">
        <v>257</v>
      </c>
      <c r="J594" s="1" t="s">
        <v>258</v>
      </c>
      <c r="K594" s="1" t="str">
        <f>_xlfn.XLOOKUP(J594,REF!$D$2:$D$12,REF!$E$2:$E$12)</f>
        <v>Rede</v>
      </c>
      <c r="L594" s="1" t="s">
        <v>259</v>
      </c>
      <c r="M594" s="1" t="s">
        <v>260</v>
      </c>
      <c r="N594" s="1" t="s">
        <v>357</v>
      </c>
      <c r="O594" s="72" t="s">
        <v>452</v>
      </c>
      <c r="P594" s="1" t="str">
        <f>_xlfn.CONCAT(B594,C594,D594,E594,F594)</f>
        <v>BC Panama1.1CEREAL_00246095,760416666746095,760416666746097,375</v>
      </c>
      <c r="Q594" s="1" t="str">
        <f>_xlfn.CONCAT(H594,I594,J594)</f>
        <v>DAURDE</v>
      </c>
    </row>
    <row r="595" spans="1:17">
      <c r="B595" s="1" t="s">
        <v>299</v>
      </c>
      <c r="C595" s="1" t="s">
        <v>304</v>
      </c>
      <c r="D595" s="52">
        <v>46095.760416666664</v>
      </c>
      <c r="E595" s="52">
        <v>46095.760416666664</v>
      </c>
      <c r="F595" s="52">
        <v>46097.375</v>
      </c>
      <c r="G595" s="53">
        <f>F595-E595</f>
        <v>1.6145833333357587</v>
      </c>
      <c r="H595" s="1" t="s">
        <v>257</v>
      </c>
      <c r="J595" s="1" t="s">
        <v>258</v>
      </c>
      <c r="K595" s="1" t="str">
        <f>_xlfn.XLOOKUP(J595,REF!$D$2:$D$12,REF!$E$2:$E$12)</f>
        <v>Rede</v>
      </c>
      <c r="L595" s="1" t="s">
        <v>259</v>
      </c>
      <c r="M595" s="1" t="s">
        <v>260</v>
      </c>
      <c r="N595" s="1" t="s">
        <v>357</v>
      </c>
      <c r="O595" s="72" t="s">
        <v>452</v>
      </c>
      <c r="P595" s="1" t="str">
        <f>_xlfn.CONCAT(B595,C595,D595,E595,F595)</f>
        <v>BC Panama1.1ITAPOAN_00346095,760416666746095,760416666746097,375</v>
      </c>
      <c r="Q595" s="1" t="str">
        <f>_xlfn.CONCAT(H595,I595,J595)</f>
        <v>DAURDE</v>
      </c>
    </row>
    <row r="596" spans="1:17">
      <c r="B596" s="1" t="s">
        <v>309</v>
      </c>
      <c r="C596" s="1" t="s">
        <v>310</v>
      </c>
      <c r="D596" s="52">
        <v>46095.805555555555</v>
      </c>
      <c r="E596" s="52">
        <v>46095.805555555555</v>
      </c>
      <c r="F596" s="52">
        <v>46096.347222222219</v>
      </c>
      <c r="G596" s="53">
        <f>F596-E596</f>
        <v>0.54166666666424135</v>
      </c>
      <c r="H596" s="1" t="s">
        <v>268</v>
      </c>
      <c r="I596" s="1" t="s">
        <v>269</v>
      </c>
      <c r="J596" s="1" t="s">
        <v>270</v>
      </c>
      <c r="K596" s="1" t="str">
        <f>_xlfn.XLOOKUP(J596,REF!$D$2:$D$12,REF!$E$2:$E$12)</f>
        <v>Internet</v>
      </c>
      <c r="L596" s="1" t="s">
        <v>271</v>
      </c>
      <c r="M596" s="1" t="s">
        <v>272</v>
      </c>
      <c r="N596" s="1" t="s">
        <v>253</v>
      </c>
      <c r="O596" s="72" t="s">
        <v>274</v>
      </c>
      <c r="P596" s="1" t="str">
        <f>_xlfn.CONCAT(B596,C596,D596,E596,F596)</f>
        <v>ARAGUATINS 1.3Inverter(MBUS-20)46095,805555555646095,805555555646096,3472222222</v>
      </c>
      <c r="Q596" s="1" t="str">
        <f>_xlfn.CONCAT(H596,I596,J596)</f>
        <v>LIGRFOINT</v>
      </c>
    </row>
    <row r="597" spans="1:17" s="75" customFormat="1" ht="19.5" customHeight="1">
      <c r="A597" s="2"/>
      <c r="B597" s="66" t="s">
        <v>309</v>
      </c>
      <c r="C597" s="66" t="s">
        <v>247</v>
      </c>
      <c r="D597" s="52">
        <v>46095.805555555555</v>
      </c>
      <c r="E597" s="52">
        <v>46095.805555555555</v>
      </c>
      <c r="F597" s="52">
        <v>46096.347222222219</v>
      </c>
      <c r="G597" s="74">
        <f>F597-E597</f>
        <v>0.54166666666424135</v>
      </c>
      <c r="H597" s="1" t="s">
        <v>268</v>
      </c>
      <c r="I597" s="1" t="s">
        <v>269</v>
      </c>
      <c r="J597" s="1" t="s">
        <v>270</v>
      </c>
      <c r="K597" s="1" t="str">
        <f>_xlfn.XLOOKUP(J597,REF!$D$2:$D$12,REF!$E$2:$E$12)</f>
        <v>Internet</v>
      </c>
      <c r="L597" s="1" t="s">
        <v>271</v>
      </c>
      <c r="M597" s="1" t="s">
        <v>272</v>
      </c>
      <c r="N597" s="1" t="s">
        <v>253</v>
      </c>
      <c r="O597" s="72" t="s">
        <v>274</v>
      </c>
      <c r="P597" s="66" t="str">
        <f>_xlfn.CONCAT(B597,C597,D598,E597,F597)</f>
        <v>ARAGUATINS 1.3Inverter(MBUS-1)46096,270833333346095,805555555646096,3472222222</v>
      </c>
      <c r="Q597" s="66" t="str">
        <f>_xlfn.CONCAT(H597,I597,J597)</f>
        <v>LIGRFOINT</v>
      </c>
    </row>
    <row r="598" spans="1:17" s="75" customFormat="1">
      <c r="A598" s="2"/>
      <c r="B598" s="1" t="s">
        <v>393</v>
      </c>
      <c r="C598" s="1" t="s">
        <v>414</v>
      </c>
      <c r="D598" s="52">
        <v>46096.270833333336</v>
      </c>
      <c r="E598" s="52">
        <v>46096.270833333336</v>
      </c>
      <c r="F598" s="52">
        <v>46096.315972222219</v>
      </c>
      <c r="G598" s="53">
        <f>F598-E598</f>
        <v>4.5138888883229811E-2</v>
      </c>
      <c r="H598" s="1" t="s">
        <v>257</v>
      </c>
      <c r="I598" s="1"/>
      <c r="J598" s="1" t="s">
        <v>258</v>
      </c>
      <c r="K598" s="1" t="str">
        <f>_xlfn.XLOOKUP(J598,REF!$D$2:$D$12,REF!$E$2:$E$12)</f>
        <v>Rede</v>
      </c>
      <c r="L598" s="1" t="s">
        <v>490</v>
      </c>
      <c r="M598" s="1" t="s">
        <v>260</v>
      </c>
      <c r="N598" s="1" t="s">
        <v>357</v>
      </c>
      <c r="O598" s="72" t="s">
        <v>297</v>
      </c>
      <c r="P598" s="1" t="str">
        <f>_xlfn.CONCAT(B598,C598,D598,E598,F598)</f>
        <v>BC ParanoaSG60KTL(COM1-007)_002_01346096,270833333346096,270833333346096,3159722222</v>
      </c>
      <c r="Q598" s="1" t="str">
        <f>_xlfn.CONCAT(H598,I598,J598)</f>
        <v>DAURDE</v>
      </c>
    </row>
    <row r="599" spans="1:17" s="75" customFormat="1">
      <c r="A599" s="2"/>
      <c r="B599" s="1" t="s">
        <v>393</v>
      </c>
      <c r="C599" s="1" t="s">
        <v>415</v>
      </c>
      <c r="D599" s="52">
        <v>46096.270833333336</v>
      </c>
      <c r="E599" s="52">
        <v>46096.270833333336</v>
      </c>
      <c r="F599" s="52">
        <v>46096.315972222219</v>
      </c>
      <c r="G599" s="53">
        <f>F599-E599</f>
        <v>4.5138888883229811E-2</v>
      </c>
      <c r="H599" s="1" t="s">
        <v>257</v>
      </c>
      <c r="I599" s="1"/>
      <c r="J599" s="1" t="s">
        <v>258</v>
      </c>
      <c r="K599" s="1" t="str">
        <f>_xlfn.XLOOKUP(J599,REF!$D$2:$D$12,REF!$E$2:$E$12)</f>
        <v>Rede</v>
      </c>
      <c r="L599" s="1" t="s">
        <v>490</v>
      </c>
      <c r="M599" s="1" t="s">
        <v>260</v>
      </c>
      <c r="N599" s="1" t="s">
        <v>357</v>
      </c>
      <c r="O599" s="72" t="s">
        <v>297</v>
      </c>
      <c r="P599" s="1" t="str">
        <f>_xlfn.CONCAT(B599,C599,D599,E599,F599)</f>
        <v>BC ParanoaSG60KTL(COM1-008)_002_00246096,270833333346096,270833333346096,3159722222</v>
      </c>
      <c r="Q599" s="1" t="str">
        <f>_xlfn.CONCAT(H599,I599,J599)</f>
        <v>DAURDE</v>
      </c>
    </row>
    <row r="600" spans="1:17" s="75" customFormat="1">
      <c r="A600" s="2"/>
      <c r="B600" s="1" t="s">
        <v>393</v>
      </c>
      <c r="C600" s="1" t="s">
        <v>416</v>
      </c>
      <c r="D600" s="52">
        <v>46096.270833333336</v>
      </c>
      <c r="E600" s="52">
        <v>46096.270833333336</v>
      </c>
      <c r="F600" s="52">
        <v>46096.315972222219</v>
      </c>
      <c r="G600" s="53">
        <f>F600-E600</f>
        <v>4.5138888883229811E-2</v>
      </c>
      <c r="H600" s="1" t="s">
        <v>257</v>
      </c>
      <c r="I600" s="1"/>
      <c r="J600" s="1" t="s">
        <v>258</v>
      </c>
      <c r="K600" s="1" t="str">
        <f>_xlfn.XLOOKUP(J600,REF!$D$2:$D$12,REF!$E$2:$E$12)</f>
        <v>Rede</v>
      </c>
      <c r="L600" s="1" t="s">
        <v>490</v>
      </c>
      <c r="M600" s="1" t="s">
        <v>260</v>
      </c>
      <c r="N600" s="1" t="s">
        <v>357</v>
      </c>
      <c r="O600" s="72" t="s">
        <v>297</v>
      </c>
      <c r="P600" s="1" t="str">
        <f>_xlfn.CONCAT(B600,C600,D600,E600,F600)</f>
        <v>BC ParanoaSG60KTL(COM1-009)_002_00846096,270833333346096,270833333346096,3159722222</v>
      </c>
      <c r="Q600" s="1" t="str">
        <f>_xlfn.CONCAT(H600,I600,J600)</f>
        <v>DAURDE</v>
      </c>
    </row>
    <row r="601" spans="1:17">
      <c r="B601" s="1" t="s">
        <v>393</v>
      </c>
      <c r="C601" s="1" t="s">
        <v>417</v>
      </c>
      <c r="D601" s="52">
        <v>46096.270833333336</v>
      </c>
      <c r="E601" s="52">
        <v>46096.270833333336</v>
      </c>
      <c r="F601" s="52">
        <v>46096.315972222219</v>
      </c>
      <c r="G601" s="53">
        <f>F601-E601</f>
        <v>4.5138888883229811E-2</v>
      </c>
      <c r="H601" s="1" t="s">
        <v>257</v>
      </c>
      <c r="J601" s="1" t="s">
        <v>258</v>
      </c>
      <c r="K601" s="1" t="str">
        <f>_xlfn.XLOOKUP(J601,REF!$D$2:$D$12,REF!$E$2:$E$12)</f>
        <v>Rede</v>
      </c>
      <c r="L601" s="1" t="s">
        <v>490</v>
      </c>
      <c r="M601" s="1" t="s">
        <v>260</v>
      </c>
      <c r="N601" s="1" t="s">
        <v>357</v>
      </c>
      <c r="O601" s="72" t="s">
        <v>297</v>
      </c>
      <c r="P601" s="1" t="str">
        <f>_xlfn.CONCAT(B601,C601,D601,E601,F601)</f>
        <v>BC ParanoaSG60KTL(COM1-010)_002_00346096,270833333346096,270833333346096,3159722222</v>
      </c>
      <c r="Q601" s="1" t="str">
        <f>_xlfn.CONCAT(H601,I601,J601)</f>
        <v>DAURDE</v>
      </c>
    </row>
    <row r="602" spans="1:17">
      <c r="B602" s="1" t="s">
        <v>393</v>
      </c>
      <c r="C602" s="1" t="s">
        <v>418</v>
      </c>
      <c r="D602" s="52">
        <v>46096.270833333336</v>
      </c>
      <c r="E602" s="52">
        <v>46096.270833333336</v>
      </c>
      <c r="F602" s="52">
        <v>46096.315972222219</v>
      </c>
      <c r="G602" s="53">
        <f>F602-E602</f>
        <v>4.5138888883229811E-2</v>
      </c>
      <c r="H602" s="1" t="s">
        <v>257</v>
      </c>
      <c r="J602" s="1" t="s">
        <v>258</v>
      </c>
      <c r="K602" s="1" t="str">
        <f>_xlfn.XLOOKUP(J602,REF!$D$2:$D$12,REF!$E$2:$E$12)</f>
        <v>Rede</v>
      </c>
      <c r="L602" s="1" t="s">
        <v>490</v>
      </c>
      <c r="M602" s="1" t="s">
        <v>260</v>
      </c>
      <c r="N602" s="1" t="s">
        <v>357</v>
      </c>
      <c r="O602" s="72" t="s">
        <v>297</v>
      </c>
      <c r="P602" s="1" t="str">
        <f>_xlfn.CONCAT(B602,C602,D602,E602,F602)</f>
        <v>BC ParanoaSG60KTL(COM1-011)_002_01046096,270833333346096,270833333346096,3159722222</v>
      </c>
      <c r="Q602" s="1" t="str">
        <f>_xlfn.CONCAT(H602,I602,J602)</f>
        <v>DAURDE</v>
      </c>
    </row>
    <row r="603" spans="1:17">
      <c r="B603" s="1" t="s">
        <v>393</v>
      </c>
      <c r="C603" s="1" t="s">
        <v>419</v>
      </c>
      <c r="D603" s="52">
        <v>46096.270833333336</v>
      </c>
      <c r="E603" s="52">
        <v>46096.270833333336</v>
      </c>
      <c r="F603" s="52">
        <v>46096.315972222219</v>
      </c>
      <c r="G603" s="53">
        <f>F603-E603</f>
        <v>4.5138888883229811E-2</v>
      </c>
      <c r="H603" s="1" t="s">
        <v>257</v>
      </c>
      <c r="J603" s="1" t="s">
        <v>258</v>
      </c>
      <c r="K603" s="1" t="str">
        <f>_xlfn.XLOOKUP(J603,REF!$D$2:$D$12,REF!$E$2:$E$12)</f>
        <v>Rede</v>
      </c>
      <c r="L603" s="1" t="s">
        <v>490</v>
      </c>
      <c r="M603" s="1" t="s">
        <v>260</v>
      </c>
      <c r="N603" s="1" t="s">
        <v>357</v>
      </c>
      <c r="O603" s="72" t="s">
        <v>297</v>
      </c>
      <c r="P603" s="1" t="str">
        <f>_xlfn.CONCAT(B603,C603,D603,E603,F603)</f>
        <v>BC ParanoaSG60KTL(COM1-012)_002_00546096,270833333346096,270833333346096,3159722222</v>
      </c>
      <c r="Q603" s="1" t="str">
        <f>_xlfn.CONCAT(H603,I603,J603)</f>
        <v>DAURDE</v>
      </c>
    </row>
    <row r="604" spans="1:17">
      <c r="B604" s="1" t="s">
        <v>368</v>
      </c>
      <c r="C604" s="1" t="s">
        <v>256</v>
      </c>
      <c r="D604" s="52">
        <v>46096.486111111109</v>
      </c>
      <c r="E604" s="52">
        <v>46096.486111111109</v>
      </c>
      <c r="F604" s="52">
        <v>46096.618055555555</v>
      </c>
      <c r="G604" s="53">
        <f>F604-E604</f>
        <v>0.13194444444525288</v>
      </c>
      <c r="H604" s="1" t="s">
        <v>257</v>
      </c>
      <c r="J604" s="1" t="s">
        <v>258</v>
      </c>
      <c r="K604" s="1" t="str">
        <f>_xlfn.XLOOKUP(J604,REF!$D$2:$D$12,REF!$E$2:$E$12)</f>
        <v>Rede</v>
      </c>
      <c r="L604" s="1" t="s">
        <v>491</v>
      </c>
      <c r="M604" s="1" t="s">
        <v>260</v>
      </c>
      <c r="N604" s="1" t="s">
        <v>357</v>
      </c>
      <c r="O604" s="72" t="s">
        <v>297</v>
      </c>
      <c r="P604" s="1" t="str">
        <f>_xlfn.CONCAT(B604,C604,D604,E604,F604)</f>
        <v>BC Ibiuna 1.1Inverter(MBUS-12)46096,486111111146096,486111111146096,6180555556</v>
      </c>
      <c r="Q604" s="1" t="str">
        <f>_xlfn.CONCAT(H604,I604,J604)</f>
        <v>DAURDE</v>
      </c>
    </row>
    <row r="605" spans="1:17">
      <c r="B605" s="1" t="s">
        <v>368</v>
      </c>
      <c r="C605" s="1" t="s">
        <v>264</v>
      </c>
      <c r="D605" s="52">
        <v>46096.486111111109</v>
      </c>
      <c r="E605" s="52">
        <v>46096.486111111109</v>
      </c>
      <c r="F605" s="52">
        <v>46096.618055555555</v>
      </c>
      <c r="G605" s="53">
        <f>F605-E605</f>
        <v>0.13194444444525288</v>
      </c>
      <c r="H605" s="1" t="s">
        <v>257</v>
      </c>
      <c r="J605" s="1" t="s">
        <v>258</v>
      </c>
      <c r="K605" s="1" t="str">
        <f>_xlfn.XLOOKUP(J605,REF!$D$2:$D$12,REF!$E$2:$E$12)</f>
        <v>Rede</v>
      </c>
      <c r="L605" s="1" t="s">
        <v>491</v>
      </c>
      <c r="M605" s="1" t="s">
        <v>260</v>
      </c>
      <c r="N605" s="1" t="s">
        <v>357</v>
      </c>
      <c r="O605" s="72" t="s">
        <v>297</v>
      </c>
      <c r="P605" s="1" t="str">
        <f>_xlfn.CONCAT(B605,C605,D605,E605,F605)</f>
        <v>BC Ibiuna 1.1Inverter(MBUS-13)46096,486111111146096,486111111146096,6180555556</v>
      </c>
      <c r="Q605" s="1" t="str">
        <f>_xlfn.CONCAT(H605,I605,J605)</f>
        <v>DAURDE</v>
      </c>
    </row>
    <row r="606" spans="1:17">
      <c r="B606" s="1" t="s">
        <v>368</v>
      </c>
      <c r="C606" s="1" t="s">
        <v>263</v>
      </c>
      <c r="D606" s="52">
        <v>46096.486111111109</v>
      </c>
      <c r="E606" s="52">
        <v>46096.486111111109</v>
      </c>
      <c r="F606" s="52">
        <v>46096.618055555555</v>
      </c>
      <c r="G606" s="53">
        <f>F606-E606</f>
        <v>0.13194444444525288</v>
      </c>
      <c r="H606" s="1" t="s">
        <v>257</v>
      </c>
      <c r="J606" s="1" t="s">
        <v>258</v>
      </c>
      <c r="K606" s="1" t="str">
        <f>_xlfn.XLOOKUP(J606,REF!$D$2:$D$12,REF!$E$2:$E$12)</f>
        <v>Rede</v>
      </c>
      <c r="L606" s="1" t="s">
        <v>491</v>
      </c>
      <c r="M606" s="1" t="s">
        <v>260</v>
      </c>
      <c r="N606" s="1" t="s">
        <v>357</v>
      </c>
      <c r="O606" s="72" t="s">
        <v>297</v>
      </c>
      <c r="P606" s="1" t="str">
        <f>_xlfn.CONCAT(B606,C606,D606,E606,F606)</f>
        <v>BC Ibiuna 1.1Inverter(MBUS-14)46096,486111111146096,486111111146096,6180555556</v>
      </c>
      <c r="Q606" s="1" t="str">
        <f>_xlfn.CONCAT(H606,I606,J606)</f>
        <v>DAURDE</v>
      </c>
    </row>
    <row r="607" spans="1:17">
      <c r="B607" s="1" t="s">
        <v>368</v>
      </c>
      <c r="C607" s="1" t="s">
        <v>307</v>
      </c>
      <c r="D607" s="52">
        <v>46096.486111111109</v>
      </c>
      <c r="E607" s="52">
        <v>46096.486111111109</v>
      </c>
      <c r="F607" s="52">
        <v>46096.618055555555</v>
      </c>
      <c r="G607" s="53">
        <f>F607-E607</f>
        <v>0.13194444444525288</v>
      </c>
      <c r="H607" s="1" t="s">
        <v>257</v>
      </c>
      <c r="J607" s="1" t="s">
        <v>258</v>
      </c>
      <c r="K607" s="1" t="str">
        <f>_xlfn.XLOOKUP(J607,REF!$D$2:$D$12,REF!$E$2:$E$12)</f>
        <v>Rede</v>
      </c>
      <c r="L607" s="1" t="s">
        <v>491</v>
      </c>
      <c r="M607" s="1" t="s">
        <v>260</v>
      </c>
      <c r="N607" s="1" t="s">
        <v>357</v>
      </c>
      <c r="O607" s="72" t="s">
        <v>297</v>
      </c>
      <c r="P607" s="1" t="str">
        <f>_xlfn.CONCAT(B607,C607,D607,E607,F607)</f>
        <v>BC Ibiuna 1.1Inverter(MBUS-15)46096,486111111146096,486111111146096,6180555556</v>
      </c>
      <c r="Q607" s="1" t="str">
        <f>_xlfn.CONCAT(H607,I607,J607)</f>
        <v>DAURDE</v>
      </c>
    </row>
    <row r="608" spans="1:17">
      <c r="B608" s="1" t="s">
        <v>370</v>
      </c>
      <c r="C608" s="1" t="s">
        <v>256</v>
      </c>
      <c r="D608" s="52">
        <v>46096.486111111109</v>
      </c>
      <c r="E608" s="52">
        <v>46096.486111111109</v>
      </c>
      <c r="F608" s="52">
        <v>46096.618055555555</v>
      </c>
      <c r="G608" s="53">
        <f>F608-E608</f>
        <v>0.13194444444525288</v>
      </c>
      <c r="H608" s="1" t="s">
        <v>257</v>
      </c>
      <c r="J608" s="1" t="s">
        <v>258</v>
      </c>
      <c r="K608" s="1" t="str">
        <f>_xlfn.XLOOKUP(J608,REF!$D$2:$D$12,REF!$E$2:$E$12)</f>
        <v>Rede</v>
      </c>
      <c r="L608" s="1" t="s">
        <v>491</v>
      </c>
      <c r="M608" s="1" t="s">
        <v>260</v>
      </c>
      <c r="N608" s="1" t="s">
        <v>357</v>
      </c>
      <c r="O608" s="72" t="s">
        <v>297</v>
      </c>
      <c r="P608" s="1" t="str">
        <f>_xlfn.CONCAT(B608,C608,D608,E608,F608)</f>
        <v>BC Ibiuna 1.2Inverter(MBUS-12)46096,486111111146096,486111111146096,6180555556</v>
      </c>
      <c r="Q608" s="1" t="str">
        <f>_xlfn.CONCAT(H608,I608,J608)</f>
        <v>DAURDE</v>
      </c>
    </row>
    <row r="609" spans="2:17">
      <c r="B609" s="1" t="s">
        <v>370</v>
      </c>
      <c r="C609" s="1" t="s">
        <v>264</v>
      </c>
      <c r="D609" s="52">
        <v>46096.486111111109</v>
      </c>
      <c r="E609" s="52">
        <v>46096.486111111109</v>
      </c>
      <c r="F609" s="52">
        <v>46096.618055555555</v>
      </c>
      <c r="G609" s="53">
        <f>F609-E609</f>
        <v>0.13194444444525288</v>
      </c>
      <c r="H609" s="1" t="s">
        <v>257</v>
      </c>
      <c r="J609" s="1" t="s">
        <v>258</v>
      </c>
      <c r="K609" s="1" t="str">
        <f>_xlfn.XLOOKUP(J609,REF!$D$2:$D$12,REF!$E$2:$E$12)</f>
        <v>Rede</v>
      </c>
      <c r="L609" s="1" t="s">
        <v>491</v>
      </c>
      <c r="M609" s="1" t="s">
        <v>260</v>
      </c>
      <c r="N609" s="1" t="s">
        <v>357</v>
      </c>
      <c r="O609" s="72" t="s">
        <v>297</v>
      </c>
      <c r="P609" s="1" t="str">
        <f>_xlfn.CONCAT(B609,C609,D609,E609,F609)</f>
        <v>BC Ibiuna 1.2Inverter(MBUS-13)46096,486111111146096,486111111146096,6180555556</v>
      </c>
      <c r="Q609" s="1" t="str">
        <f>_xlfn.CONCAT(H609,I609,J609)</f>
        <v>DAURDE</v>
      </c>
    </row>
    <row r="610" spans="2:17">
      <c r="B610" s="1" t="s">
        <v>370</v>
      </c>
      <c r="C610" s="1" t="s">
        <v>263</v>
      </c>
      <c r="D610" s="52">
        <v>46096.486111111109</v>
      </c>
      <c r="E610" s="52">
        <v>46096.486111111109</v>
      </c>
      <c r="F610" s="52">
        <v>46096.618055555555</v>
      </c>
      <c r="G610" s="53">
        <f>F610-E610</f>
        <v>0.13194444444525288</v>
      </c>
      <c r="H610" s="1" t="s">
        <v>257</v>
      </c>
      <c r="J610" s="1" t="s">
        <v>258</v>
      </c>
      <c r="K610" s="1" t="str">
        <f>_xlfn.XLOOKUP(J610,REF!$D$2:$D$12,REF!$E$2:$E$12)</f>
        <v>Rede</v>
      </c>
      <c r="L610" s="1" t="s">
        <v>491</v>
      </c>
      <c r="M610" s="1" t="s">
        <v>260</v>
      </c>
      <c r="N610" s="1" t="s">
        <v>357</v>
      </c>
      <c r="O610" s="72" t="s">
        <v>297</v>
      </c>
      <c r="P610" s="1" t="str">
        <f>_xlfn.CONCAT(B610,C610,D610,E610,F610)</f>
        <v>BC Ibiuna 1.2Inverter(MBUS-14)46096,486111111146096,486111111146096,6180555556</v>
      </c>
      <c r="Q610" s="1" t="str">
        <f>_xlfn.CONCAT(H610,I610,J610)</f>
        <v>DAURDE</v>
      </c>
    </row>
    <row r="611" spans="2:17">
      <c r="B611" s="1" t="s">
        <v>370</v>
      </c>
      <c r="C611" s="1" t="s">
        <v>307</v>
      </c>
      <c r="D611" s="52">
        <v>46096.486111111109</v>
      </c>
      <c r="E611" s="52">
        <v>46096.486111111109</v>
      </c>
      <c r="F611" s="52">
        <v>46096.618055555555</v>
      </c>
      <c r="G611" s="53">
        <f>F611-E611</f>
        <v>0.13194444444525288</v>
      </c>
      <c r="H611" s="1" t="s">
        <v>257</v>
      </c>
      <c r="J611" s="1" t="s">
        <v>258</v>
      </c>
      <c r="K611" s="1" t="str">
        <f>_xlfn.XLOOKUP(J611,REF!$D$2:$D$12,REF!$E$2:$E$12)</f>
        <v>Rede</v>
      </c>
      <c r="L611" s="1" t="s">
        <v>491</v>
      </c>
      <c r="M611" s="1" t="s">
        <v>260</v>
      </c>
      <c r="N611" s="1" t="s">
        <v>357</v>
      </c>
      <c r="O611" s="72" t="s">
        <v>297</v>
      </c>
      <c r="P611" s="1" t="str">
        <f>_xlfn.CONCAT(B611,C611,D611,E611,F611)</f>
        <v>BC Ibiuna 1.2Inverter(MBUS-15)46096,486111111146096,486111111146096,6180555556</v>
      </c>
      <c r="Q611" s="1" t="str">
        <f>_xlfn.CONCAT(H611,I611,J611)</f>
        <v>DAURDE</v>
      </c>
    </row>
    <row r="612" spans="2:17">
      <c r="B612" s="1" t="s">
        <v>305</v>
      </c>
      <c r="C612" s="1" t="s">
        <v>256</v>
      </c>
      <c r="D612" s="52">
        <v>46096.621527777781</v>
      </c>
      <c r="E612" s="52">
        <v>46096.621527777781</v>
      </c>
      <c r="F612" s="52">
        <v>46096.706944444442</v>
      </c>
      <c r="G612" s="53">
        <f>F612-E612</f>
        <v>8.5416666661330964E-2</v>
      </c>
      <c r="H612" s="1" t="s">
        <v>257</v>
      </c>
      <c r="J612" s="1" t="s">
        <v>258</v>
      </c>
      <c r="K612" s="1" t="str">
        <f>_xlfn.XLOOKUP(J612,REF!$D$2:$D$12,REF!$E$2:$E$12)</f>
        <v>Rede</v>
      </c>
      <c r="L612" s="1" t="s">
        <v>492</v>
      </c>
      <c r="M612" s="1" t="s">
        <v>260</v>
      </c>
      <c r="N612" s="1" t="s">
        <v>357</v>
      </c>
      <c r="O612" s="72" t="s">
        <v>297</v>
      </c>
      <c r="P612" s="1" t="str">
        <f>_xlfn.CONCAT(B612,C612,D612,E612,F612)</f>
        <v>ARAGUATINS 1.1Inverter(MBUS-12)46096,621527777846096,621527777846096,7069444444</v>
      </c>
      <c r="Q612" s="1" t="str">
        <f>_xlfn.CONCAT(H612,I612,J612)</f>
        <v>DAURDE</v>
      </c>
    </row>
    <row r="613" spans="2:17">
      <c r="B613" s="1" t="s">
        <v>305</v>
      </c>
      <c r="C613" s="1" t="s">
        <v>264</v>
      </c>
      <c r="D613" s="52">
        <v>46096.621527777781</v>
      </c>
      <c r="E613" s="52">
        <v>46096.621527777781</v>
      </c>
      <c r="F613" s="52">
        <v>46096.706944444442</v>
      </c>
      <c r="G613" s="53">
        <f>F613-E613</f>
        <v>8.5416666661330964E-2</v>
      </c>
      <c r="H613" s="1" t="s">
        <v>257</v>
      </c>
      <c r="J613" s="1" t="s">
        <v>258</v>
      </c>
      <c r="K613" s="1" t="str">
        <f>_xlfn.XLOOKUP(J613,REF!$D$2:$D$12,REF!$E$2:$E$12)</f>
        <v>Rede</v>
      </c>
      <c r="L613" s="1" t="s">
        <v>492</v>
      </c>
      <c r="M613" s="1" t="s">
        <v>260</v>
      </c>
      <c r="N613" s="1" t="s">
        <v>357</v>
      </c>
      <c r="O613" s="72" t="s">
        <v>297</v>
      </c>
      <c r="P613" s="1" t="str">
        <f>_xlfn.CONCAT(B613,C613,D613,E613,F613)</f>
        <v>ARAGUATINS 1.1Inverter(MBUS-13)46096,621527777846096,621527777846096,7069444444</v>
      </c>
      <c r="Q613" s="1" t="str">
        <f>_xlfn.CONCAT(H613,I613,J613)</f>
        <v>DAURDE</v>
      </c>
    </row>
    <row r="614" spans="2:17">
      <c r="B614" s="1" t="s">
        <v>305</v>
      </c>
      <c r="C614" s="1" t="s">
        <v>263</v>
      </c>
      <c r="D614" s="52">
        <v>46096.621527777781</v>
      </c>
      <c r="E614" s="52">
        <v>46096.621527777781</v>
      </c>
      <c r="F614" s="52">
        <v>46096.706944444442</v>
      </c>
      <c r="G614" s="53">
        <f>F614-E614</f>
        <v>8.5416666661330964E-2</v>
      </c>
      <c r="H614" s="1" t="s">
        <v>257</v>
      </c>
      <c r="J614" s="1" t="s">
        <v>258</v>
      </c>
      <c r="K614" s="1" t="str">
        <f>_xlfn.XLOOKUP(J614,REF!$D$2:$D$12,REF!$E$2:$E$12)</f>
        <v>Rede</v>
      </c>
      <c r="L614" s="1" t="s">
        <v>492</v>
      </c>
      <c r="M614" s="1" t="s">
        <v>260</v>
      </c>
      <c r="N614" s="1" t="s">
        <v>357</v>
      </c>
      <c r="O614" s="72" t="s">
        <v>297</v>
      </c>
      <c r="P614" s="1" t="str">
        <f>_xlfn.CONCAT(B614,C614,D614,E614,F614)</f>
        <v>ARAGUATINS 1.1Inverter(MBUS-14)46096,621527777846096,621527777846096,7069444444</v>
      </c>
      <c r="Q614" s="1" t="str">
        <f>_xlfn.CONCAT(H614,I614,J614)</f>
        <v>DAURDE</v>
      </c>
    </row>
    <row r="615" spans="2:17">
      <c r="B615" s="1" t="s">
        <v>305</v>
      </c>
      <c r="C615" s="1" t="s">
        <v>307</v>
      </c>
      <c r="D615" s="52">
        <v>46096.621527777781</v>
      </c>
      <c r="E615" s="52">
        <v>46096.621527777781</v>
      </c>
      <c r="F615" s="52">
        <v>46096.706944444442</v>
      </c>
      <c r="G615" s="53">
        <f>F615-E615</f>
        <v>8.5416666661330964E-2</v>
      </c>
      <c r="H615" s="1" t="s">
        <v>257</v>
      </c>
      <c r="J615" s="1" t="s">
        <v>258</v>
      </c>
      <c r="K615" s="1" t="str">
        <f>_xlfn.XLOOKUP(J615,REF!$D$2:$D$12,REF!$E$2:$E$12)</f>
        <v>Rede</v>
      </c>
      <c r="L615" s="1" t="s">
        <v>492</v>
      </c>
      <c r="M615" s="1" t="s">
        <v>260</v>
      </c>
      <c r="N615" s="1" t="s">
        <v>357</v>
      </c>
      <c r="O615" s="72" t="s">
        <v>297</v>
      </c>
      <c r="P615" s="1" t="str">
        <f>_xlfn.CONCAT(B615,C615,D615,E615,F615)</f>
        <v>ARAGUATINS 1.1Inverter(MBUS-15)46096,621527777846096,621527777846096,7069444444</v>
      </c>
      <c r="Q615" s="1" t="str">
        <f>_xlfn.CONCAT(H615,I615,J615)</f>
        <v>DAURDE</v>
      </c>
    </row>
    <row r="616" spans="2:17">
      <c r="B616" s="1" t="s">
        <v>308</v>
      </c>
      <c r="C616" s="1" t="s">
        <v>256</v>
      </c>
      <c r="D616" s="52">
        <v>46096.621527777781</v>
      </c>
      <c r="E616" s="52">
        <v>46096.621527777781</v>
      </c>
      <c r="F616" s="52">
        <v>46096.706944444442</v>
      </c>
      <c r="G616" s="53">
        <f>F616-E616</f>
        <v>8.5416666661330964E-2</v>
      </c>
      <c r="H616" s="1" t="s">
        <v>257</v>
      </c>
      <c r="J616" s="1" t="s">
        <v>258</v>
      </c>
      <c r="K616" s="1" t="str">
        <f>_xlfn.XLOOKUP(J616,REF!$D$2:$D$12,REF!$E$2:$E$12)</f>
        <v>Rede</v>
      </c>
      <c r="L616" s="1" t="s">
        <v>492</v>
      </c>
      <c r="M616" s="1" t="s">
        <v>260</v>
      </c>
      <c r="N616" s="1" t="s">
        <v>357</v>
      </c>
      <c r="O616" s="72" t="s">
        <v>297</v>
      </c>
      <c r="P616" s="1" t="str">
        <f>_xlfn.CONCAT(B616,C616,D616,E616,F616)</f>
        <v>ARAGUATINS 1.2Inverter(MBUS-12)46096,621527777846096,621527777846096,7069444444</v>
      </c>
      <c r="Q616" s="1" t="str">
        <f>_xlfn.CONCAT(H616,I616,J616)</f>
        <v>DAURDE</v>
      </c>
    </row>
    <row r="617" spans="2:17">
      <c r="B617" s="1" t="s">
        <v>308</v>
      </c>
      <c r="C617" s="1" t="s">
        <v>264</v>
      </c>
      <c r="D617" s="52">
        <v>46096.621527777781</v>
      </c>
      <c r="E617" s="52">
        <v>46096.621527777781</v>
      </c>
      <c r="F617" s="52">
        <v>46096.706944444442</v>
      </c>
      <c r="G617" s="53">
        <f>F617-E617</f>
        <v>8.5416666661330964E-2</v>
      </c>
      <c r="H617" s="1" t="s">
        <v>257</v>
      </c>
      <c r="J617" s="1" t="s">
        <v>258</v>
      </c>
      <c r="K617" s="1" t="str">
        <f>_xlfn.XLOOKUP(J617,REF!$D$2:$D$12,REF!$E$2:$E$12)</f>
        <v>Rede</v>
      </c>
      <c r="L617" s="1" t="s">
        <v>492</v>
      </c>
      <c r="M617" s="1" t="s">
        <v>260</v>
      </c>
      <c r="N617" s="1" t="s">
        <v>357</v>
      </c>
      <c r="O617" s="72" t="s">
        <v>297</v>
      </c>
      <c r="P617" s="1" t="str">
        <f>_xlfn.CONCAT(B617,C617,D617,E617,F617)</f>
        <v>ARAGUATINS 1.2Inverter(MBUS-13)46096,621527777846096,621527777846096,7069444444</v>
      </c>
      <c r="Q617" s="1" t="str">
        <f>_xlfn.CONCAT(H617,I617,J617)</f>
        <v>DAURDE</v>
      </c>
    </row>
    <row r="618" spans="2:17">
      <c r="B618" s="1" t="s">
        <v>308</v>
      </c>
      <c r="C618" s="1" t="s">
        <v>263</v>
      </c>
      <c r="D618" s="52">
        <v>46096.621527777781</v>
      </c>
      <c r="E618" s="52">
        <v>46096.621527777781</v>
      </c>
      <c r="F618" s="52">
        <v>46096.706944444442</v>
      </c>
      <c r="G618" s="53">
        <f>F618-E618</f>
        <v>8.5416666661330964E-2</v>
      </c>
      <c r="H618" s="1" t="s">
        <v>257</v>
      </c>
      <c r="J618" s="1" t="s">
        <v>258</v>
      </c>
      <c r="K618" s="1" t="str">
        <f>_xlfn.XLOOKUP(J618,REF!$D$2:$D$12,REF!$E$2:$E$12)</f>
        <v>Rede</v>
      </c>
      <c r="L618" s="1" t="s">
        <v>492</v>
      </c>
      <c r="M618" s="1" t="s">
        <v>260</v>
      </c>
      <c r="N618" s="1" t="s">
        <v>357</v>
      </c>
      <c r="O618" s="72" t="s">
        <v>297</v>
      </c>
      <c r="P618" s="1" t="str">
        <f>_xlfn.CONCAT(B618,C618,D618,E618,F618)</f>
        <v>ARAGUATINS 1.2Inverter(MBUS-14)46096,621527777846096,621527777846096,7069444444</v>
      </c>
      <c r="Q618" s="1" t="str">
        <f>_xlfn.CONCAT(H618,I618,J618)</f>
        <v>DAURDE</v>
      </c>
    </row>
    <row r="619" spans="2:17">
      <c r="B619" s="1" t="s">
        <v>308</v>
      </c>
      <c r="C619" s="1" t="s">
        <v>307</v>
      </c>
      <c r="D619" s="52">
        <v>46096.621527777781</v>
      </c>
      <c r="E619" s="52">
        <v>46096.621527777781</v>
      </c>
      <c r="F619" s="52">
        <v>46096.706944444442</v>
      </c>
      <c r="G619" s="53">
        <f>F619-E619</f>
        <v>8.5416666661330964E-2</v>
      </c>
      <c r="H619" s="1" t="s">
        <v>257</v>
      </c>
      <c r="J619" s="1" t="s">
        <v>258</v>
      </c>
      <c r="K619" s="1" t="str">
        <f>_xlfn.XLOOKUP(J619,REF!$D$2:$D$12,REF!$E$2:$E$12)</f>
        <v>Rede</v>
      </c>
      <c r="L619" s="1" t="s">
        <v>492</v>
      </c>
      <c r="M619" s="1" t="s">
        <v>260</v>
      </c>
      <c r="N619" s="1" t="s">
        <v>357</v>
      </c>
      <c r="O619" s="72" t="s">
        <v>297</v>
      </c>
      <c r="P619" s="1" t="str">
        <f>_xlfn.CONCAT(B619,C619,D619,E619,F619)</f>
        <v>ARAGUATINS 1.2Inverter(MBUS-15)46096,621527777846096,621527777846096,7069444444</v>
      </c>
      <c r="Q619" s="1" t="str">
        <f>_xlfn.CONCAT(H619,I619,J619)</f>
        <v>DAURDE</v>
      </c>
    </row>
    <row r="620" spans="2:17">
      <c r="B620" s="1" t="s">
        <v>309</v>
      </c>
      <c r="C620" s="1" t="s">
        <v>310</v>
      </c>
      <c r="D620" s="52">
        <v>46096.621527777781</v>
      </c>
      <c r="E620" s="52">
        <v>46096.621527777781</v>
      </c>
      <c r="F620" s="52">
        <v>46096.706944444442</v>
      </c>
      <c r="G620" s="53">
        <f>F620-E620</f>
        <v>8.5416666661330964E-2</v>
      </c>
      <c r="H620" s="1" t="s">
        <v>257</v>
      </c>
      <c r="J620" s="1" t="s">
        <v>258</v>
      </c>
      <c r="K620" s="1" t="str">
        <f>_xlfn.XLOOKUP(J620,REF!$D$2:$D$12,REF!$E$2:$E$12)</f>
        <v>Rede</v>
      </c>
      <c r="L620" s="1" t="s">
        <v>492</v>
      </c>
      <c r="M620" s="1" t="s">
        <v>260</v>
      </c>
      <c r="N620" s="1" t="s">
        <v>357</v>
      </c>
      <c r="O620" s="72" t="s">
        <v>297</v>
      </c>
      <c r="P620" s="1" t="str">
        <f>_xlfn.CONCAT(B620,C620,D620,E620,F620)</f>
        <v>ARAGUATINS 1.3Inverter(MBUS-20)46096,621527777846096,621527777846096,7069444444</v>
      </c>
      <c r="Q620" s="1" t="str">
        <f>_xlfn.CONCAT(H620,I620,J620)</f>
        <v>DAURDE</v>
      </c>
    </row>
    <row r="621" spans="2:17">
      <c r="B621" s="1" t="s">
        <v>309</v>
      </c>
      <c r="C621" s="1" t="s">
        <v>247</v>
      </c>
      <c r="D621" s="52">
        <v>46096.621527777781</v>
      </c>
      <c r="E621" s="52">
        <v>46096.621527777781</v>
      </c>
      <c r="F621" s="52">
        <v>46096.706944444442</v>
      </c>
      <c r="G621" s="53">
        <f>F621-E621</f>
        <v>8.5416666661330964E-2</v>
      </c>
      <c r="H621" s="1" t="s">
        <v>257</v>
      </c>
      <c r="J621" s="1" t="s">
        <v>258</v>
      </c>
      <c r="K621" s="1" t="str">
        <f>_xlfn.XLOOKUP(J621,REF!$D$2:$D$12,REF!$E$2:$E$12)</f>
        <v>Rede</v>
      </c>
      <c r="L621" s="1" t="s">
        <v>492</v>
      </c>
      <c r="M621" s="1" t="s">
        <v>260</v>
      </c>
      <c r="N621" s="1" t="s">
        <v>357</v>
      </c>
      <c r="O621" s="72" t="s">
        <v>297</v>
      </c>
      <c r="P621" s="1" t="str">
        <f>_xlfn.CONCAT(B621,C621,D621,E621,F621)</f>
        <v>ARAGUATINS 1.3Inverter(MBUS-1)46096,621527777846096,621527777846096,7069444444</v>
      </c>
      <c r="Q621" s="1" t="str">
        <f>_xlfn.CONCAT(H621,I621,J621)</f>
        <v>DAURDE</v>
      </c>
    </row>
    <row r="622" spans="2:17">
      <c r="B622" s="1" t="s">
        <v>311</v>
      </c>
      <c r="C622" s="1" t="s">
        <v>256</v>
      </c>
      <c r="D622" s="52">
        <v>46096.621527777781</v>
      </c>
      <c r="E622" s="52">
        <v>46096.621527777781</v>
      </c>
      <c r="F622" s="52">
        <v>46096.706944444442</v>
      </c>
      <c r="G622" s="53">
        <f>F622-E622</f>
        <v>8.5416666661330964E-2</v>
      </c>
      <c r="H622" s="1" t="s">
        <v>257</v>
      </c>
      <c r="J622" s="1" t="s">
        <v>258</v>
      </c>
      <c r="K622" s="1" t="str">
        <f>_xlfn.XLOOKUP(J622,REF!$D$2:$D$12,REF!$E$2:$E$12)</f>
        <v>Rede</v>
      </c>
      <c r="L622" s="1" t="s">
        <v>493</v>
      </c>
      <c r="M622" s="1" t="s">
        <v>260</v>
      </c>
      <c r="N622" s="1" t="s">
        <v>357</v>
      </c>
      <c r="O622" s="72" t="s">
        <v>297</v>
      </c>
      <c r="P622" s="1" t="str">
        <f>_xlfn.CONCAT(B622,C622,D622,E622,F622)</f>
        <v>ARAGUATINS 2.1Inverter(MBUS-12)46096,621527777846096,621527777846096,7069444444</v>
      </c>
      <c r="Q622" s="1" t="str">
        <f>_xlfn.CONCAT(H622,I622,J622)</f>
        <v>DAURDE</v>
      </c>
    </row>
    <row r="623" spans="2:17">
      <c r="B623" s="1" t="s">
        <v>311</v>
      </c>
      <c r="C623" s="1" t="s">
        <v>307</v>
      </c>
      <c r="D623" s="52">
        <v>46096.621527777781</v>
      </c>
      <c r="E623" s="52">
        <v>46096.621527777781</v>
      </c>
      <c r="F623" s="52">
        <v>46096.706944444442</v>
      </c>
      <c r="G623" s="53">
        <f>F623-E623</f>
        <v>8.5416666661330964E-2</v>
      </c>
      <c r="H623" s="1" t="s">
        <v>257</v>
      </c>
      <c r="J623" s="1" t="s">
        <v>258</v>
      </c>
      <c r="K623" s="1" t="str">
        <f>_xlfn.XLOOKUP(J623,REF!$D$2:$D$12,REF!$E$2:$E$12)</f>
        <v>Rede</v>
      </c>
      <c r="L623" s="1" t="s">
        <v>493</v>
      </c>
      <c r="M623" s="1" t="s">
        <v>260</v>
      </c>
      <c r="N623" s="1" t="s">
        <v>357</v>
      </c>
      <c r="O623" s="72" t="s">
        <v>297</v>
      </c>
      <c r="P623" s="1" t="str">
        <f>_xlfn.CONCAT(B623,C623,D623,E623,F623)</f>
        <v>ARAGUATINS 2.1Inverter(MBUS-15)46096,621527777846096,621527777846096,7069444444</v>
      </c>
      <c r="Q623" s="1" t="str">
        <f>_xlfn.CONCAT(H623,I623,J623)</f>
        <v>DAURDE</v>
      </c>
    </row>
    <row r="624" spans="2:17">
      <c r="B624" s="1" t="s">
        <v>311</v>
      </c>
      <c r="C624" s="1" t="s">
        <v>263</v>
      </c>
      <c r="D624" s="52">
        <v>46096.621527777781</v>
      </c>
      <c r="E624" s="52">
        <v>46096.621527777781</v>
      </c>
      <c r="F624" s="52">
        <v>46096.706944444442</v>
      </c>
      <c r="G624" s="53">
        <f>F624-E624</f>
        <v>8.5416666661330964E-2</v>
      </c>
      <c r="H624" s="1" t="s">
        <v>257</v>
      </c>
      <c r="J624" s="1" t="s">
        <v>258</v>
      </c>
      <c r="K624" s="1" t="str">
        <f>_xlfn.XLOOKUP(J624,REF!$D$2:$D$12,REF!$E$2:$E$12)</f>
        <v>Rede</v>
      </c>
      <c r="L624" s="1" t="s">
        <v>493</v>
      </c>
      <c r="M624" s="1" t="s">
        <v>260</v>
      </c>
      <c r="N624" s="1" t="s">
        <v>357</v>
      </c>
      <c r="O624" s="72" t="s">
        <v>297</v>
      </c>
      <c r="P624" s="1" t="str">
        <f>_xlfn.CONCAT(B624,C624,D624,E624,F624)</f>
        <v>ARAGUATINS 2.1Inverter(MBUS-14)46096,621527777846096,621527777846096,7069444444</v>
      </c>
      <c r="Q624" s="1" t="str">
        <f>_xlfn.CONCAT(H624,I624,J624)</f>
        <v>DAURDE</v>
      </c>
    </row>
    <row r="625" spans="2:17">
      <c r="B625" s="1" t="s">
        <v>311</v>
      </c>
      <c r="C625" s="1" t="s">
        <v>247</v>
      </c>
      <c r="D625" s="52">
        <v>46096.621527777781</v>
      </c>
      <c r="E625" s="52">
        <v>46096.621527777781</v>
      </c>
      <c r="F625" s="52">
        <v>46096.706944444442</v>
      </c>
      <c r="G625" s="53">
        <f>F625-E625</f>
        <v>8.5416666661330964E-2</v>
      </c>
      <c r="H625" s="1" t="s">
        <v>257</v>
      </c>
      <c r="J625" s="1" t="s">
        <v>258</v>
      </c>
      <c r="K625" s="1" t="str">
        <f>_xlfn.XLOOKUP(J625,REF!$D$2:$D$12,REF!$E$2:$E$12)</f>
        <v>Rede</v>
      </c>
      <c r="L625" s="1" t="s">
        <v>493</v>
      </c>
      <c r="M625" s="1" t="s">
        <v>260</v>
      </c>
      <c r="N625" s="1" t="s">
        <v>357</v>
      </c>
      <c r="O625" s="72" t="s">
        <v>297</v>
      </c>
      <c r="P625" s="1" t="str">
        <f>_xlfn.CONCAT(B625,C625,D625,E625,F625)</f>
        <v>ARAGUATINS 2.1Inverter(MBUS-1)46096,621527777846096,621527777846096,7069444444</v>
      </c>
      <c r="Q625" s="1" t="str">
        <f>_xlfn.CONCAT(H625,I625,J625)</f>
        <v>DAURDE</v>
      </c>
    </row>
    <row r="626" spans="2:17">
      <c r="B626" s="1" t="s">
        <v>312</v>
      </c>
      <c r="C626" s="1" t="s">
        <v>307</v>
      </c>
      <c r="D626" s="52">
        <v>46096.621527777781</v>
      </c>
      <c r="E626" s="52">
        <v>46096.621527777781</v>
      </c>
      <c r="F626" s="52">
        <v>46096.706944444442</v>
      </c>
      <c r="G626" s="53">
        <f>F626-E626</f>
        <v>8.5416666661330964E-2</v>
      </c>
      <c r="H626" s="1" t="s">
        <v>257</v>
      </c>
      <c r="J626" s="1" t="s">
        <v>258</v>
      </c>
      <c r="K626" s="1" t="str">
        <f>_xlfn.XLOOKUP(J626,REF!$D$2:$D$12,REF!$E$2:$E$12)</f>
        <v>Rede</v>
      </c>
      <c r="L626" s="1" t="s">
        <v>493</v>
      </c>
      <c r="M626" s="1" t="s">
        <v>260</v>
      </c>
      <c r="N626" s="1" t="s">
        <v>357</v>
      </c>
      <c r="O626" s="72" t="s">
        <v>297</v>
      </c>
      <c r="P626" s="1" t="str">
        <f>_xlfn.CONCAT(B626,C626,D626,E626,F626)</f>
        <v>ARAGUATINS 2.2Inverter(MBUS-15)46096,621527777846096,621527777846096,7069444444</v>
      </c>
      <c r="Q626" s="1" t="str">
        <f>_xlfn.CONCAT(H626,I626,J626)</f>
        <v>DAURDE</v>
      </c>
    </row>
    <row r="627" spans="2:17">
      <c r="B627" s="1" t="s">
        <v>312</v>
      </c>
      <c r="C627" s="1" t="s">
        <v>264</v>
      </c>
      <c r="D627" s="52">
        <v>46096.621527777781</v>
      </c>
      <c r="E627" s="52">
        <v>46096.621527777781</v>
      </c>
      <c r="F627" s="52">
        <v>46096.706944444442</v>
      </c>
      <c r="G627" s="53">
        <f>F627-E627</f>
        <v>8.5416666661330964E-2</v>
      </c>
      <c r="H627" s="1" t="s">
        <v>257</v>
      </c>
      <c r="J627" s="1" t="s">
        <v>258</v>
      </c>
      <c r="K627" s="1" t="str">
        <f>_xlfn.XLOOKUP(J627,REF!$D$2:$D$12,REF!$E$2:$E$12)</f>
        <v>Rede</v>
      </c>
      <c r="L627" s="1" t="s">
        <v>493</v>
      </c>
      <c r="M627" s="1" t="s">
        <v>260</v>
      </c>
      <c r="N627" s="1" t="s">
        <v>357</v>
      </c>
      <c r="O627" s="72" t="s">
        <v>297</v>
      </c>
      <c r="P627" s="1" t="str">
        <f>_xlfn.CONCAT(B627,C627,D627,E627,F627)</f>
        <v>ARAGUATINS 2.2Inverter(MBUS-13)46096,621527777846096,621527777846096,7069444444</v>
      </c>
      <c r="Q627" s="1" t="str">
        <f>_xlfn.CONCAT(H627,I627,J627)</f>
        <v>DAURDE</v>
      </c>
    </row>
    <row r="628" spans="2:17">
      <c r="B628" s="1" t="s">
        <v>312</v>
      </c>
      <c r="C628" s="1" t="s">
        <v>263</v>
      </c>
      <c r="D628" s="52">
        <v>46096.621527777781</v>
      </c>
      <c r="E628" s="52">
        <v>46096.621527777781</v>
      </c>
      <c r="F628" s="52">
        <v>46096.706944444442</v>
      </c>
      <c r="G628" s="53">
        <f>F628-E628</f>
        <v>8.5416666661330964E-2</v>
      </c>
      <c r="H628" s="1" t="s">
        <v>257</v>
      </c>
      <c r="J628" s="1" t="s">
        <v>258</v>
      </c>
      <c r="K628" s="1" t="str">
        <f>_xlfn.XLOOKUP(J628,REF!$D$2:$D$12,REF!$E$2:$E$12)</f>
        <v>Rede</v>
      </c>
      <c r="L628" s="1" t="s">
        <v>493</v>
      </c>
      <c r="M628" s="1" t="s">
        <v>260</v>
      </c>
      <c r="N628" s="1" t="s">
        <v>357</v>
      </c>
      <c r="O628" s="72" t="s">
        <v>297</v>
      </c>
      <c r="P628" s="1" t="str">
        <f>_xlfn.CONCAT(B628,C628,D628,E628,F628)</f>
        <v>ARAGUATINS 2.2Inverter(MBUS-14)46096,621527777846096,621527777846096,7069444444</v>
      </c>
      <c r="Q628" s="1" t="str">
        <f>_xlfn.CONCAT(H628,I628,J628)</f>
        <v>DAURDE</v>
      </c>
    </row>
    <row r="629" spans="2:17">
      <c r="B629" s="1" t="s">
        <v>312</v>
      </c>
      <c r="C629" s="1" t="s">
        <v>256</v>
      </c>
      <c r="D629" s="52">
        <v>46096.621527777781</v>
      </c>
      <c r="E629" s="52">
        <v>46096.621527777781</v>
      </c>
      <c r="F629" s="52">
        <v>46096.706944444442</v>
      </c>
      <c r="G629" s="53">
        <f>F629-E629</f>
        <v>8.5416666661330964E-2</v>
      </c>
      <c r="H629" s="1" t="s">
        <v>257</v>
      </c>
      <c r="J629" s="1" t="s">
        <v>258</v>
      </c>
      <c r="K629" s="1" t="str">
        <f>_xlfn.XLOOKUP(J629,REF!$D$2:$D$12,REF!$E$2:$E$12)</f>
        <v>Rede</v>
      </c>
      <c r="L629" s="1" t="s">
        <v>493</v>
      </c>
      <c r="M629" s="1" t="s">
        <v>260</v>
      </c>
      <c r="N629" s="1" t="s">
        <v>357</v>
      </c>
      <c r="O629" s="72" t="s">
        <v>297</v>
      </c>
      <c r="P629" s="1" t="str">
        <f>_xlfn.CONCAT(B629,C629,D629,E629,F629)</f>
        <v>ARAGUATINS 2.2Inverter(MBUS-12)46096,621527777846096,621527777846096,7069444444</v>
      </c>
      <c r="Q629" s="1" t="str">
        <f>_xlfn.CONCAT(H629,I629,J629)</f>
        <v>DAURDE</v>
      </c>
    </row>
    <row r="630" spans="2:17">
      <c r="B630" s="1" t="s">
        <v>313</v>
      </c>
      <c r="C630" s="1" t="s">
        <v>256</v>
      </c>
      <c r="D630" s="52">
        <v>46096.621527777781</v>
      </c>
      <c r="E630" s="52">
        <v>46096.621527777781</v>
      </c>
      <c r="F630" s="52">
        <v>46096.706944444442</v>
      </c>
      <c r="G630" s="53">
        <f>F630-E630</f>
        <v>8.5416666661330964E-2</v>
      </c>
      <c r="H630" s="1" t="s">
        <v>257</v>
      </c>
      <c r="J630" s="1" t="s">
        <v>258</v>
      </c>
      <c r="K630" s="1" t="str">
        <f>_xlfn.XLOOKUP(J630,REF!$D$2:$D$12,REF!$E$2:$E$12)</f>
        <v>Rede</v>
      </c>
      <c r="L630" s="1" t="s">
        <v>493</v>
      </c>
      <c r="M630" s="1" t="s">
        <v>260</v>
      </c>
      <c r="N630" s="1" t="s">
        <v>357</v>
      </c>
      <c r="O630" s="72" t="s">
        <v>297</v>
      </c>
      <c r="P630" s="1" t="str">
        <f>_xlfn.CONCAT(B630,C630,D630,E630,F630)</f>
        <v>ARAGUATINS 2.3Inverter(MBUS-12)46096,621527777846096,621527777846096,7069444444</v>
      </c>
      <c r="Q630" s="1" t="str">
        <f>_xlfn.CONCAT(H630,I630,J630)</f>
        <v>DAURDE</v>
      </c>
    </row>
    <row r="631" spans="2:17">
      <c r="B631" s="1" t="s">
        <v>313</v>
      </c>
      <c r="C631" s="1" t="s">
        <v>264</v>
      </c>
      <c r="D631" s="52">
        <v>46096.621527777781</v>
      </c>
      <c r="E631" s="52">
        <v>46096.621527777781</v>
      </c>
      <c r="F631" s="52">
        <v>46096.706944444442</v>
      </c>
      <c r="G631" s="53">
        <f>F631-E631</f>
        <v>8.5416666661330964E-2</v>
      </c>
      <c r="H631" s="1" t="s">
        <v>257</v>
      </c>
      <c r="J631" s="1" t="s">
        <v>258</v>
      </c>
      <c r="K631" s="1" t="str">
        <f>_xlfn.XLOOKUP(J631,REF!$D$2:$D$12,REF!$E$2:$E$12)</f>
        <v>Rede</v>
      </c>
      <c r="L631" s="1" t="s">
        <v>493</v>
      </c>
      <c r="M631" s="1" t="s">
        <v>260</v>
      </c>
      <c r="N631" s="1" t="s">
        <v>357</v>
      </c>
      <c r="O631" s="72" t="s">
        <v>297</v>
      </c>
      <c r="P631" s="1" t="str">
        <f>_xlfn.CONCAT(B631,C631,D631,E631,F631)</f>
        <v>ARAGUATINS 2.3Inverter(MBUS-13)46096,621527777846096,621527777846096,7069444444</v>
      </c>
      <c r="Q631" s="1" t="str">
        <f>_xlfn.CONCAT(H631,I631,J631)</f>
        <v>DAURDE</v>
      </c>
    </row>
    <row r="632" spans="2:17">
      <c r="B632" s="1" t="s">
        <v>355</v>
      </c>
      <c r="C632" s="1" t="s">
        <v>264</v>
      </c>
      <c r="D632" s="52">
        <v>46096.649305555555</v>
      </c>
      <c r="E632" s="52">
        <v>46096.649305555555</v>
      </c>
      <c r="F632" s="52">
        <v>46097.385416666664</v>
      </c>
      <c r="G632" s="53">
        <f>F632-E632</f>
        <v>0.73611111110949423</v>
      </c>
      <c r="K632" s="1" t="e">
        <f>_xlfn.XLOOKUP(J632,REF!$D$2:$D$12,REF!$E$2:$E$12)</f>
        <v>#N/A</v>
      </c>
      <c r="P632" s="1" t="str">
        <f>_xlfn.CONCAT(B632,C632,D632,E632,F632)</f>
        <v>BC Formoso2.3Inverter(MBUS-13)46096,649305555646096,649305555646097,3854166667</v>
      </c>
      <c r="Q632" s="1" t="str">
        <f>_xlfn.CONCAT(H632,I632,J632)</f>
        <v/>
      </c>
    </row>
    <row r="633" spans="2:17">
      <c r="B633" s="1" t="s">
        <v>355</v>
      </c>
      <c r="C633" s="1" t="s">
        <v>256</v>
      </c>
      <c r="D633" s="52">
        <v>46096.649305555555</v>
      </c>
      <c r="E633" s="52">
        <v>46096.649305555555</v>
      </c>
      <c r="F633" s="52">
        <v>46097.385416666664</v>
      </c>
      <c r="G633" s="53">
        <f>F633-E633</f>
        <v>0.73611111110949423</v>
      </c>
      <c r="K633" s="1" t="e">
        <f>_xlfn.XLOOKUP(J633,REF!$D$2:$D$12,REF!$E$2:$E$12)</f>
        <v>#N/A</v>
      </c>
      <c r="P633" s="1" t="str">
        <f>_xlfn.CONCAT(B633,C633,D633,E633,F633)</f>
        <v>BC Formoso2.3Inverter(MBUS-12)46096,649305555646096,649305555646097,3854166667</v>
      </c>
      <c r="Q633" s="1" t="str">
        <f>_xlfn.CONCAT(H633,I633,J633)</f>
        <v/>
      </c>
    </row>
    <row r="634" spans="2:17">
      <c r="B634" s="1" t="s">
        <v>393</v>
      </c>
      <c r="C634" s="1" t="s">
        <v>401</v>
      </c>
      <c r="D634" s="52">
        <v>46096.4375</v>
      </c>
      <c r="E634" s="52">
        <v>46096.4375</v>
      </c>
      <c r="F634" s="52">
        <v>46097.413194444445</v>
      </c>
      <c r="G634" s="53">
        <f>F634-E634</f>
        <v>0.97569444444525288</v>
      </c>
      <c r="H634" s="1" t="s">
        <v>257</v>
      </c>
      <c r="J634" s="1" t="s">
        <v>258</v>
      </c>
      <c r="K634" s="1" t="str">
        <f>_xlfn.XLOOKUP(J634,REF!$D$2:$D$12,REF!$E$2:$E$12)</f>
        <v>Rede</v>
      </c>
      <c r="L634" s="1" t="s">
        <v>494</v>
      </c>
      <c r="M634" s="1" t="s">
        <v>260</v>
      </c>
      <c r="N634" s="1" t="s">
        <v>357</v>
      </c>
      <c r="O634" s="72" t="s">
        <v>297</v>
      </c>
      <c r="P634" s="1" t="str">
        <f>_xlfn.CONCAT(B634,C634,D634,E634,F634)</f>
        <v>BC ParanoaSG60KTL(COM1-016)_001_00646096,437546096,437546097,4131944444</v>
      </c>
      <c r="Q634" s="1" t="str">
        <f>_xlfn.CONCAT(H634,I634,J634)</f>
        <v>DAURDE</v>
      </c>
    </row>
    <row r="635" spans="2:17">
      <c r="B635" s="1" t="s">
        <v>393</v>
      </c>
      <c r="C635" s="1" t="s">
        <v>421</v>
      </c>
      <c r="D635" s="52">
        <v>46096.4375</v>
      </c>
      <c r="E635" s="52">
        <v>46096.4375</v>
      </c>
      <c r="F635" s="52">
        <v>46097.413194444445</v>
      </c>
      <c r="G635" s="53">
        <f>F635-E635</f>
        <v>0.97569444444525288</v>
      </c>
      <c r="H635" s="1" t="s">
        <v>257</v>
      </c>
      <c r="J635" s="1" t="s">
        <v>258</v>
      </c>
      <c r="K635" s="1" t="str">
        <f>_xlfn.XLOOKUP(J635,REF!$D$2:$D$12,REF!$E$2:$E$12)</f>
        <v>Rede</v>
      </c>
      <c r="L635" s="1" t="s">
        <v>494</v>
      </c>
      <c r="M635" s="1" t="s">
        <v>260</v>
      </c>
      <c r="N635" s="1" t="s">
        <v>357</v>
      </c>
      <c r="O635" s="72" t="s">
        <v>297</v>
      </c>
      <c r="P635" s="1" t="str">
        <f>_xlfn.CONCAT(B635,C635,D635,E635,F635)</f>
        <v>BC ParanoaSG60KTL(COM1-002)_002_01646096,437546096,437546097,4131944444</v>
      </c>
      <c r="Q635" s="1" t="str">
        <f>_xlfn.CONCAT(H635,I635,J635)</f>
        <v>DAURDE</v>
      </c>
    </row>
    <row r="636" spans="2:17">
      <c r="B636" s="1" t="s">
        <v>393</v>
      </c>
      <c r="C636" s="1" t="s">
        <v>422</v>
      </c>
      <c r="D636" s="52">
        <v>46096.4375</v>
      </c>
      <c r="E636" s="52">
        <v>46096.4375</v>
      </c>
      <c r="F636" s="52">
        <v>46097.413194444445</v>
      </c>
      <c r="G636" s="53">
        <f>F636-E636</f>
        <v>0.97569444444525288</v>
      </c>
      <c r="H636" s="1" t="s">
        <v>257</v>
      </c>
      <c r="J636" s="1" t="s">
        <v>258</v>
      </c>
      <c r="K636" s="1" t="str">
        <f>_xlfn.XLOOKUP(J636,REF!$D$2:$D$12,REF!$E$2:$E$12)</f>
        <v>Rede</v>
      </c>
      <c r="L636" s="1" t="s">
        <v>494</v>
      </c>
      <c r="M636" s="1" t="s">
        <v>260</v>
      </c>
      <c r="N636" s="1" t="s">
        <v>357</v>
      </c>
      <c r="O636" s="72" t="s">
        <v>297</v>
      </c>
      <c r="P636" s="1" t="str">
        <f>_xlfn.CONCAT(B636,C636,D636,E636,F636)</f>
        <v>BC ParanoaSG50CX(COM2-003)_002_02146096,437546096,437546097,4131944444</v>
      </c>
      <c r="Q636" s="1" t="str">
        <f>_xlfn.CONCAT(H636,I636,J636)</f>
        <v>DAURDE</v>
      </c>
    </row>
    <row r="637" spans="2:17" ht="30.75">
      <c r="B637" s="1" t="s">
        <v>495</v>
      </c>
      <c r="C637" s="1" t="s">
        <v>496</v>
      </c>
      <c r="D637" s="52">
        <v>46097.447916666664</v>
      </c>
      <c r="E637" s="52">
        <v>46097.447916666664</v>
      </c>
      <c r="F637" s="52">
        <v>46098.451388888891</v>
      </c>
      <c r="G637" s="53">
        <f>F637-E637</f>
        <v>1.0034722222262644</v>
      </c>
      <c r="H637" s="1" t="s">
        <v>248</v>
      </c>
      <c r="J637" s="1" t="s">
        <v>497</v>
      </c>
      <c r="K637" s="1" t="str">
        <f>_xlfn.XLOOKUP(J637,REF!$D$2:$D$12,REF!$E$2:$E$12)</f>
        <v>Disjuntor MT</v>
      </c>
      <c r="L637" s="1" t="s">
        <v>498</v>
      </c>
      <c r="M637" s="1" t="s">
        <v>499</v>
      </c>
      <c r="N637" s="1" t="s">
        <v>364</v>
      </c>
      <c r="O637" s="72" t="s">
        <v>500</v>
      </c>
      <c r="P637" s="1" t="str">
        <f>_xlfn.CONCAT(B637,C637,D637,E637,F637)</f>
        <v>BC Rio Bonito1SG36KTL-M-17_001_01746097,447916666746097,447916666746098,4513888889</v>
      </c>
      <c r="Q637" s="1" t="str">
        <f>_xlfn.CONCAT(H637,I637,J637)</f>
        <v>DEMDMT</v>
      </c>
    </row>
    <row r="638" spans="2:17" ht="30.75">
      <c r="B638" s="1" t="s">
        <v>495</v>
      </c>
      <c r="C638" s="1" t="s">
        <v>501</v>
      </c>
      <c r="D638" s="52">
        <v>46097.447916666664</v>
      </c>
      <c r="E638" s="52">
        <v>46097.447916666664</v>
      </c>
      <c r="F638" s="52">
        <v>46098.451388888891</v>
      </c>
      <c r="G638" s="53">
        <f>F638-E638</f>
        <v>1.0034722222262644</v>
      </c>
      <c r="H638" s="1" t="s">
        <v>248</v>
      </c>
      <c r="J638" s="1" t="s">
        <v>497</v>
      </c>
      <c r="K638" s="1" t="str">
        <f>_xlfn.XLOOKUP(J638,REF!$D$2:$D$12,REF!$E$2:$E$12)</f>
        <v>Disjuntor MT</v>
      </c>
      <c r="L638" s="1" t="s">
        <v>498</v>
      </c>
      <c r="M638" s="1" t="s">
        <v>499</v>
      </c>
      <c r="N638" s="1" t="s">
        <v>364</v>
      </c>
      <c r="O638" s="72" t="s">
        <v>500</v>
      </c>
      <c r="P638" s="1" t="str">
        <f>_xlfn.CONCAT(B638,C638,D638,E638,F638)</f>
        <v>BC Rio Bonito1SG60KTL-10_001_01046097,447916666746097,447916666746098,4513888889</v>
      </c>
      <c r="Q638" s="1" t="str">
        <f>_xlfn.CONCAT(H638,I638,J638)</f>
        <v>DEMDMT</v>
      </c>
    </row>
    <row r="639" spans="2:17" ht="30.75">
      <c r="B639" s="1" t="s">
        <v>495</v>
      </c>
      <c r="C639" s="1" t="s">
        <v>502</v>
      </c>
      <c r="D639" s="52">
        <v>46097.447916666664</v>
      </c>
      <c r="E639" s="52">
        <v>46097.447916666664</v>
      </c>
      <c r="F639" s="52">
        <v>46098.451388888891</v>
      </c>
      <c r="G639" s="53">
        <f>F639-E639</f>
        <v>1.0034722222262644</v>
      </c>
      <c r="H639" s="1" t="s">
        <v>248</v>
      </c>
      <c r="J639" s="1" t="s">
        <v>497</v>
      </c>
      <c r="K639" s="1" t="str">
        <f>_xlfn.XLOOKUP(J639,REF!$D$2:$D$12,REF!$E$2:$E$12)</f>
        <v>Disjuntor MT</v>
      </c>
      <c r="L639" s="1" t="s">
        <v>498</v>
      </c>
      <c r="M639" s="1" t="s">
        <v>499</v>
      </c>
      <c r="N639" s="1" t="s">
        <v>364</v>
      </c>
      <c r="O639" s="72" t="s">
        <v>500</v>
      </c>
      <c r="P639" s="1" t="str">
        <f>_xlfn.CONCAT(B639,C639,D639,E639,F639)</f>
        <v>BC Rio Bonito1SG60KTL-11_001_01146097,447916666746097,447916666746098,4513888889</v>
      </c>
      <c r="Q639" s="1" t="str">
        <f>_xlfn.CONCAT(H639,I639,J639)</f>
        <v>DEMDMT</v>
      </c>
    </row>
    <row r="640" spans="2:17" ht="30.75">
      <c r="B640" s="1" t="s">
        <v>495</v>
      </c>
      <c r="C640" s="1" t="s">
        <v>503</v>
      </c>
      <c r="D640" s="52">
        <v>46097.447916666664</v>
      </c>
      <c r="E640" s="52">
        <v>46097.447916666664</v>
      </c>
      <c r="F640" s="52">
        <v>46098.451388888891</v>
      </c>
      <c r="G640" s="53">
        <f>F640-E640</f>
        <v>1.0034722222262644</v>
      </c>
      <c r="H640" s="1" t="s">
        <v>248</v>
      </c>
      <c r="J640" s="1" t="s">
        <v>497</v>
      </c>
      <c r="K640" s="1" t="str">
        <f>_xlfn.XLOOKUP(J640,REF!$D$2:$D$12,REF!$E$2:$E$12)</f>
        <v>Disjuntor MT</v>
      </c>
      <c r="L640" s="1" t="s">
        <v>498</v>
      </c>
      <c r="M640" s="1" t="s">
        <v>499</v>
      </c>
      <c r="N640" s="1" t="s">
        <v>364</v>
      </c>
      <c r="O640" s="72" t="s">
        <v>500</v>
      </c>
      <c r="P640" s="1" t="str">
        <f>_xlfn.CONCAT(B640,C640,D640,E640,F640)</f>
        <v>BC Rio Bonito1SG60KTL-12_001_01246097,447916666746097,447916666746098,4513888889</v>
      </c>
      <c r="Q640" s="1" t="str">
        <f>_xlfn.CONCAT(H640,I640,J640)</f>
        <v>DEMDMT</v>
      </c>
    </row>
    <row r="641" spans="2:17" ht="30.75">
      <c r="B641" s="1" t="s">
        <v>495</v>
      </c>
      <c r="C641" s="1" t="s">
        <v>504</v>
      </c>
      <c r="D641" s="52">
        <v>46097.447916666664</v>
      </c>
      <c r="E641" s="52">
        <v>46097.447916666664</v>
      </c>
      <c r="F641" s="52">
        <v>46098.451388888891</v>
      </c>
      <c r="G641" s="53">
        <f>F641-E641</f>
        <v>1.0034722222262644</v>
      </c>
      <c r="H641" s="1" t="s">
        <v>248</v>
      </c>
      <c r="J641" s="1" t="s">
        <v>497</v>
      </c>
      <c r="K641" s="1" t="str">
        <f>_xlfn.XLOOKUP(J641,REF!$D$2:$D$12,REF!$E$2:$E$12)</f>
        <v>Disjuntor MT</v>
      </c>
      <c r="L641" s="1" t="s">
        <v>498</v>
      </c>
      <c r="M641" s="1" t="s">
        <v>499</v>
      </c>
      <c r="N641" s="1" t="s">
        <v>364</v>
      </c>
      <c r="O641" s="72" t="s">
        <v>500</v>
      </c>
      <c r="P641" s="1" t="str">
        <f>_xlfn.CONCAT(B641,C641,D641,E641,F641)</f>
        <v>BC Rio Bonito1SG60KTL-13_001_01346097,447916666746097,447916666746098,4513888889</v>
      </c>
      <c r="Q641" s="1" t="str">
        <f>_xlfn.CONCAT(H641,I641,J641)</f>
        <v>DEMDMT</v>
      </c>
    </row>
    <row r="642" spans="2:17" ht="30.75">
      <c r="B642" s="1" t="s">
        <v>495</v>
      </c>
      <c r="C642" s="1" t="s">
        <v>505</v>
      </c>
      <c r="D642" s="52">
        <v>46097.447916666664</v>
      </c>
      <c r="E642" s="52">
        <v>46097.447916666664</v>
      </c>
      <c r="F642" s="52">
        <v>46098.451388888891</v>
      </c>
      <c r="G642" s="53">
        <f>F642-E642</f>
        <v>1.0034722222262644</v>
      </c>
      <c r="H642" s="1" t="s">
        <v>248</v>
      </c>
      <c r="J642" s="1" t="s">
        <v>497</v>
      </c>
      <c r="K642" s="1" t="str">
        <f>_xlfn.XLOOKUP(J642,REF!$D$2:$D$12,REF!$E$2:$E$12)</f>
        <v>Disjuntor MT</v>
      </c>
      <c r="L642" s="1" t="s">
        <v>498</v>
      </c>
      <c r="M642" s="1" t="s">
        <v>499</v>
      </c>
      <c r="N642" s="1" t="s">
        <v>364</v>
      </c>
      <c r="O642" s="72" t="s">
        <v>500</v>
      </c>
      <c r="P642" s="1" t="str">
        <f>_xlfn.CONCAT(B642,C642,D642,E642,F642)</f>
        <v>BC Rio Bonito1SG60KTL-14_001_01446097,447916666746097,447916666746098,4513888889</v>
      </c>
      <c r="Q642" s="1" t="str">
        <f>_xlfn.CONCAT(H642,I642,J642)</f>
        <v>DEMDMT</v>
      </c>
    </row>
    <row r="643" spans="2:17" ht="30.75">
      <c r="B643" s="1" t="s">
        <v>495</v>
      </c>
      <c r="C643" s="1" t="s">
        <v>506</v>
      </c>
      <c r="D643" s="52">
        <v>46097.447916666664</v>
      </c>
      <c r="E643" s="52">
        <v>46097.447916666664</v>
      </c>
      <c r="F643" s="52">
        <v>46098.451388888891</v>
      </c>
      <c r="G643" s="53">
        <f>F643-E643</f>
        <v>1.0034722222262644</v>
      </c>
      <c r="H643" s="1" t="s">
        <v>248</v>
      </c>
      <c r="J643" s="1" t="s">
        <v>497</v>
      </c>
      <c r="K643" s="1" t="str">
        <f>_xlfn.XLOOKUP(J643,REF!$D$2:$D$12,REF!$E$2:$E$12)</f>
        <v>Disjuntor MT</v>
      </c>
      <c r="L643" s="1" t="s">
        <v>498</v>
      </c>
      <c r="M643" s="1" t="s">
        <v>499</v>
      </c>
      <c r="N643" s="1" t="s">
        <v>364</v>
      </c>
      <c r="O643" s="72" t="s">
        <v>500</v>
      </c>
      <c r="P643" s="1" t="str">
        <f>_xlfn.CONCAT(B643,C643,D643,E643,F643)</f>
        <v>BC Rio Bonito1SG60KTL-15_001_01546097,447916666746097,447916666746098,4513888889</v>
      </c>
      <c r="Q643" s="1" t="str">
        <f>_xlfn.CONCAT(H643,I643,J643)</f>
        <v>DEMDMT</v>
      </c>
    </row>
    <row r="644" spans="2:17" ht="30.75">
      <c r="B644" s="1" t="s">
        <v>495</v>
      </c>
      <c r="C644" s="1" t="s">
        <v>507</v>
      </c>
      <c r="D644" s="52">
        <v>46097.447916666664</v>
      </c>
      <c r="E644" s="52">
        <v>46097.447916666664</v>
      </c>
      <c r="F644" s="52">
        <v>46098.451388888891</v>
      </c>
      <c r="G644" s="53">
        <f>F644-E644</f>
        <v>1.0034722222262644</v>
      </c>
      <c r="H644" s="1" t="s">
        <v>248</v>
      </c>
      <c r="J644" s="1" t="s">
        <v>497</v>
      </c>
      <c r="K644" s="1" t="str">
        <f>_xlfn.XLOOKUP(J644,REF!$D$2:$D$12,REF!$E$2:$E$12)</f>
        <v>Disjuntor MT</v>
      </c>
      <c r="L644" s="1" t="s">
        <v>498</v>
      </c>
      <c r="M644" s="1" t="s">
        <v>499</v>
      </c>
      <c r="N644" s="1" t="s">
        <v>364</v>
      </c>
      <c r="O644" s="72" t="s">
        <v>500</v>
      </c>
      <c r="P644" s="1" t="str">
        <f>_xlfn.CONCAT(B644,C644,D644,E644,F644)</f>
        <v>BC Rio Bonito1SG60KTL-16_001_01646097,447916666746097,447916666746098,4513888889</v>
      </c>
      <c r="Q644" s="1" t="str">
        <f>_xlfn.CONCAT(H644,I644,J644)</f>
        <v>DEMDMT</v>
      </c>
    </row>
    <row r="645" spans="2:17" ht="30.75">
      <c r="B645" s="1" t="s">
        <v>495</v>
      </c>
      <c r="C645" s="1" t="s">
        <v>508</v>
      </c>
      <c r="D645" s="52">
        <v>46097.447916666664</v>
      </c>
      <c r="E645" s="52">
        <v>46097.447916666664</v>
      </c>
      <c r="F645" s="52">
        <v>46098.451388888891</v>
      </c>
      <c r="G645" s="53">
        <f>F645-E645</f>
        <v>1.0034722222262644</v>
      </c>
      <c r="H645" s="1" t="s">
        <v>248</v>
      </c>
      <c r="J645" s="1" t="s">
        <v>497</v>
      </c>
      <c r="K645" s="1" t="str">
        <f>_xlfn.XLOOKUP(J645,REF!$D$2:$D$12,REF!$E$2:$E$12)</f>
        <v>Disjuntor MT</v>
      </c>
      <c r="L645" s="1" t="s">
        <v>498</v>
      </c>
      <c r="M645" s="1" t="s">
        <v>499</v>
      </c>
      <c r="N645" s="1" t="s">
        <v>364</v>
      </c>
      <c r="O645" s="72" t="s">
        <v>500</v>
      </c>
      <c r="P645" s="1" t="str">
        <f>_xlfn.CONCAT(B645,C645,D645,E645,F645)</f>
        <v>BC Rio Bonito1SG60KTL-1_001_00146097,447916666746097,447916666746098,4513888889</v>
      </c>
      <c r="Q645" s="1" t="str">
        <f>_xlfn.CONCAT(H645,I645,J645)</f>
        <v>DEMDMT</v>
      </c>
    </row>
    <row r="646" spans="2:17" ht="30.75">
      <c r="B646" s="1" t="s">
        <v>495</v>
      </c>
      <c r="C646" s="1" t="s">
        <v>509</v>
      </c>
      <c r="D646" s="52">
        <v>46097.447916666664</v>
      </c>
      <c r="E646" s="52">
        <v>46097.447916666664</v>
      </c>
      <c r="F646" s="52">
        <v>46098.451388888891</v>
      </c>
      <c r="G646" s="53">
        <f>F646-E646</f>
        <v>1.0034722222262644</v>
      </c>
      <c r="H646" s="1" t="s">
        <v>248</v>
      </c>
      <c r="J646" s="1" t="s">
        <v>497</v>
      </c>
      <c r="K646" s="1" t="str">
        <f>_xlfn.XLOOKUP(J646,REF!$D$2:$D$12,REF!$E$2:$E$12)</f>
        <v>Disjuntor MT</v>
      </c>
      <c r="L646" s="1" t="s">
        <v>498</v>
      </c>
      <c r="M646" s="1" t="s">
        <v>499</v>
      </c>
      <c r="N646" s="1" t="s">
        <v>364</v>
      </c>
      <c r="O646" s="72" t="s">
        <v>500</v>
      </c>
      <c r="P646" s="1" t="str">
        <f>_xlfn.CONCAT(B646,C646,D646,E646,F646)</f>
        <v>BC Rio Bonito1SG60KTL-2_001_00246097,447916666746097,447916666746098,4513888889</v>
      </c>
      <c r="Q646" s="1" t="str">
        <f>_xlfn.CONCAT(H646,I646,J646)</f>
        <v>DEMDMT</v>
      </c>
    </row>
    <row r="647" spans="2:17" ht="30.75">
      <c r="B647" s="1" t="s">
        <v>495</v>
      </c>
      <c r="C647" s="1" t="s">
        <v>510</v>
      </c>
      <c r="D647" s="52">
        <v>46097.447916666664</v>
      </c>
      <c r="E647" s="52">
        <v>46097.447916666664</v>
      </c>
      <c r="F647" s="52">
        <v>46098.451388888891</v>
      </c>
      <c r="G647" s="53">
        <f>F647-E647</f>
        <v>1.0034722222262644</v>
      </c>
      <c r="H647" s="1" t="s">
        <v>248</v>
      </c>
      <c r="J647" s="1" t="s">
        <v>497</v>
      </c>
      <c r="K647" s="1" t="str">
        <f>_xlfn.XLOOKUP(J647,REF!$D$2:$D$12,REF!$E$2:$E$12)</f>
        <v>Disjuntor MT</v>
      </c>
      <c r="L647" s="1" t="s">
        <v>498</v>
      </c>
      <c r="M647" s="1" t="s">
        <v>499</v>
      </c>
      <c r="N647" s="1" t="s">
        <v>364</v>
      </c>
      <c r="O647" s="72" t="s">
        <v>500</v>
      </c>
      <c r="P647" s="1" t="str">
        <f>_xlfn.CONCAT(B647,C647,D647,E647,F647)</f>
        <v>BC Rio Bonito1SG60KTL-3_001_00346097,447916666746097,447916666746098,4513888889</v>
      </c>
      <c r="Q647" s="1" t="str">
        <f>_xlfn.CONCAT(H647,I647,J647)</f>
        <v>DEMDMT</v>
      </c>
    </row>
    <row r="648" spans="2:17" ht="30.75">
      <c r="B648" s="1" t="s">
        <v>495</v>
      </c>
      <c r="C648" s="1" t="s">
        <v>511</v>
      </c>
      <c r="D648" s="52">
        <v>46097.447916666664</v>
      </c>
      <c r="E648" s="52">
        <v>46097.447916666664</v>
      </c>
      <c r="F648" s="52">
        <v>46098.451388888891</v>
      </c>
      <c r="G648" s="53">
        <f>F648-E648</f>
        <v>1.0034722222262644</v>
      </c>
      <c r="H648" s="1" t="s">
        <v>248</v>
      </c>
      <c r="J648" s="1" t="s">
        <v>497</v>
      </c>
      <c r="K648" s="1" t="str">
        <f>_xlfn.XLOOKUP(J648,REF!$D$2:$D$12,REF!$E$2:$E$12)</f>
        <v>Disjuntor MT</v>
      </c>
      <c r="L648" s="1" t="s">
        <v>498</v>
      </c>
      <c r="M648" s="1" t="s">
        <v>499</v>
      </c>
      <c r="N648" s="1" t="s">
        <v>364</v>
      </c>
      <c r="O648" s="72" t="s">
        <v>500</v>
      </c>
      <c r="P648" s="1" t="str">
        <f>_xlfn.CONCAT(B648,C648,D648,E648,F648)</f>
        <v>BC Rio Bonito1SG60KTL-4_001_00446097,447916666746097,447916666746098,4513888889</v>
      </c>
      <c r="Q648" s="1" t="str">
        <f>_xlfn.CONCAT(H648,I648,J648)</f>
        <v>DEMDMT</v>
      </c>
    </row>
    <row r="649" spans="2:17" ht="30.75">
      <c r="B649" s="1" t="s">
        <v>495</v>
      </c>
      <c r="C649" s="1" t="s">
        <v>512</v>
      </c>
      <c r="D649" s="52">
        <v>46097.447916666664</v>
      </c>
      <c r="E649" s="52">
        <v>46097.447916666664</v>
      </c>
      <c r="F649" s="52">
        <v>46098.451388888891</v>
      </c>
      <c r="G649" s="53">
        <f>F649-E649</f>
        <v>1.0034722222262644</v>
      </c>
      <c r="H649" s="1" t="s">
        <v>248</v>
      </c>
      <c r="J649" s="1" t="s">
        <v>497</v>
      </c>
      <c r="K649" s="1" t="str">
        <f>_xlfn.XLOOKUP(J649,REF!$D$2:$D$12,REF!$E$2:$E$12)</f>
        <v>Disjuntor MT</v>
      </c>
      <c r="L649" s="1" t="s">
        <v>498</v>
      </c>
      <c r="M649" s="1" t="s">
        <v>499</v>
      </c>
      <c r="N649" s="1" t="s">
        <v>364</v>
      </c>
      <c r="O649" s="72" t="s">
        <v>500</v>
      </c>
      <c r="P649" s="1" t="str">
        <f>_xlfn.CONCAT(B649,C649,D649,E649,F649)</f>
        <v>BC Rio Bonito1SG60KTL-5_001_00546097,447916666746097,447916666746098,4513888889</v>
      </c>
      <c r="Q649" s="1" t="str">
        <f>_xlfn.CONCAT(H649,I649,J649)</f>
        <v>DEMDMT</v>
      </c>
    </row>
    <row r="650" spans="2:17" ht="30.75">
      <c r="B650" s="1" t="s">
        <v>495</v>
      </c>
      <c r="C650" s="1" t="s">
        <v>513</v>
      </c>
      <c r="D650" s="52">
        <v>46097.447916666664</v>
      </c>
      <c r="E650" s="52">
        <v>46097.447916666664</v>
      </c>
      <c r="F650" s="52">
        <v>46098.451388888891</v>
      </c>
      <c r="G650" s="53">
        <f>F650-E650</f>
        <v>1.0034722222262644</v>
      </c>
      <c r="H650" s="1" t="s">
        <v>248</v>
      </c>
      <c r="J650" s="1" t="s">
        <v>497</v>
      </c>
      <c r="K650" s="1" t="str">
        <f>_xlfn.XLOOKUP(J650,REF!$D$2:$D$12,REF!$E$2:$E$12)</f>
        <v>Disjuntor MT</v>
      </c>
      <c r="L650" s="1" t="s">
        <v>498</v>
      </c>
      <c r="M650" s="1" t="s">
        <v>499</v>
      </c>
      <c r="N650" s="1" t="s">
        <v>364</v>
      </c>
      <c r="O650" s="72" t="s">
        <v>500</v>
      </c>
      <c r="P650" s="1" t="str">
        <f>_xlfn.CONCAT(B650,C650,D650,E650,F650)</f>
        <v>BC Rio Bonito1SG60KTL-6_001_00646097,447916666746097,447916666746098,4513888889</v>
      </c>
      <c r="Q650" s="1" t="str">
        <f>_xlfn.CONCAT(H650,I650,J650)</f>
        <v>DEMDMT</v>
      </c>
    </row>
    <row r="651" spans="2:17" ht="30.75">
      <c r="B651" s="1" t="s">
        <v>495</v>
      </c>
      <c r="C651" s="1" t="s">
        <v>514</v>
      </c>
      <c r="D651" s="52">
        <v>46097.447916666664</v>
      </c>
      <c r="E651" s="52">
        <v>46097.447916666664</v>
      </c>
      <c r="F651" s="52">
        <v>46098.451388888891</v>
      </c>
      <c r="G651" s="53">
        <f>F651-E651</f>
        <v>1.0034722222262644</v>
      </c>
      <c r="H651" s="1" t="s">
        <v>248</v>
      </c>
      <c r="J651" s="1" t="s">
        <v>497</v>
      </c>
      <c r="K651" s="1" t="str">
        <f>_xlfn.XLOOKUP(J651,REF!$D$2:$D$12,REF!$E$2:$E$12)</f>
        <v>Disjuntor MT</v>
      </c>
      <c r="L651" s="1" t="s">
        <v>498</v>
      </c>
      <c r="M651" s="1" t="s">
        <v>499</v>
      </c>
      <c r="N651" s="1" t="s">
        <v>364</v>
      </c>
      <c r="O651" s="72" t="s">
        <v>500</v>
      </c>
      <c r="P651" s="1" t="str">
        <f>_xlfn.CONCAT(B651,C651,D651,E651,F651)</f>
        <v>BC Rio Bonito1SG60KTL-7_001_00746097,447916666746097,447916666746098,4513888889</v>
      </c>
      <c r="Q651" s="1" t="str">
        <f>_xlfn.CONCAT(H651,I651,J651)</f>
        <v>DEMDMT</v>
      </c>
    </row>
    <row r="652" spans="2:17" ht="30.75">
      <c r="B652" s="1" t="s">
        <v>495</v>
      </c>
      <c r="C652" s="1" t="s">
        <v>515</v>
      </c>
      <c r="D652" s="52">
        <v>46097.447916666664</v>
      </c>
      <c r="E652" s="52">
        <v>46097.447916666664</v>
      </c>
      <c r="F652" s="52">
        <v>46098.451388888891</v>
      </c>
      <c r="G652" s="53">
        <f>F652-E652</f>
        <v>1.0034722222262644</v>
      </c>
      <c r="H652" s="1" t="s">
        <v>248</v>
      </c>
      <c r="J652" s="1" t="s">
        <v>497</v>
      </c>
      <c r="K652" s="1" t="str">
        <f>_xlfn.XLOOKUP(J652,REF!$D$2:$D$12,REF!$E$2:$E$12)</f>
        <v>Disjuntor MT</v>
      </c>
      <c r="L652" s="1" t="s">
        <v>498</v>
      </c>
      <c r="M652" s="1" t="s">
        <v>499</v>
      </c>
      <c r="N652" s="1" t="s">
        <v>364</v>
      </c>
      <c r="O652" s="72" t="s">
        <v>500</v>
      </c>
      <c r="P652" s="1" t="str">
        <f>_xlfn.CONCAT(B652,C652,D652,E652,F652)</f>
        <v>BC Rio Bonito1SG60KTL-8_001_00846097,447916666746097,447916666746098,4513888889</v>
      </c>
      <c r="Q652" s="1" t="str">
        <f>_xlfn.CONCAT(H652,I652,J652)</f>
        <v>DEMDMT</v>
      </c>
    </row>
    <row r="653" spans="2:17" ht="30.75">
      <c r="B653" s="1" t="s">
        <v>495</v>
      </c>
      <c r="C653" s="1" t="s">
        <v>516</v>
      </c>
      <c r="D653" s="52">
        <v>46097.447916666664</v>
      </c>
      <c r="E653" s="52">
        <v>46097.447916666664</v>
      </c>
      <c r="F653" s="52">
        <v>46098.451388888891</v>
      </c>
      <c r="G653" s="53">
        <f>F653-E653</f>
        <v>1.0034722222262644</v>
      </c>
      <c r="H653" s="1" t="s">
        <v>248</v>
      </c>
      <c r="J653" s="1" t="s">
        <v>497</v>
      </c>
      <c r="K653" s="1" t="str">
        <f>_xlfn.XLOOKUP(J653,REF!$D$2:$D$12,REF!$E$2:$E$12)</f>
        <v>Disjuntor MT</v>
      </c>
      <c r="L653" s="1" t="s">
        <v>498</v>
      </c>
      <c r="M653" s="1" t="s">
        <v>499</v>
      </c>
      <c r="N653" s="1" t="s">
        <v>364</v>
      </c>
      <c r="O653" s="72" t="s">
        <v>500</v>
      </c>
      <c r="P653" s="1" t="str">
        <f>_xlfn.CONCAT(B653,C653,D653,E653,F653)</f>
        <v>BC Rio Bonito1SG60KTL-9_001_00946097,447916666746097,447916666746098,4513888889</v>
      </c>
      <c r="Q653" s="1" t="str">
        <f>_xlfn.CONCAT(H653,I653,J653)</f>
        <v>DEMDMT</v>
      </c>
    </row>
    <row r="654" spans="2:17">
      <c r="B654" s="1" t="s">
        <v>286</v>
      </c>
      <c r="C654" s="1" t="s">
        <v>287</v>
      </c>
      <c r="D654" s="52">
        <v>46097.46875</v>
      </c>
      <c r="E654" s="52">
        <v>46097.46875</v>
      </c>
      <c r="F654" s="52">
        <v>46097.5</v>
      </c>
      <c r="G654" s="53">
        <f>F654-E654</f>
        <v>3.125E-2</v>
      </c>
      <c r="H654" s="1" t="s">
        <v>268</v>
      </c>
      <c r="I654" s="1" t="s">
        <v>269</v>
      </c>
      <c r="J654" s="1" t="s">
        <v>319</v>
      </c>
      <c r="K654" s="1" t="str">
        <f>_xlfn.XLOOKUP(J654,REF!$D$2:$D$12,REF!$E$2:$E$12)</f>
        <v>Comunicação</v>
      </c>
      <c r="L654" s="1" t="s">
        <v>517</v>
      </c>
      <c r="M654" s="1" t="s">
        <v>289</v>
      </c>
      <c r="N654" s="1" t="s">
        <v>290</v>
      </c>
      <c r="O654" s="1" t="s">
        <v>291</v>
      </c>
      <c r="P654" s="1" t="str">
        <f>_xlfn.CONCAT(B654,C654,D654,E654,F654)</f>
        <v>BC Corumba2.2U02.I0146097,4687546097,4687546097,5</v>
      </c>
      <c r="Q654" s="1" t="str">
        <f>_xlfn.CONCAT(H654,I654,J654)</f>
        <v>LIGRFOCOM</v>
      </c>
    </row>
    <row r="655" spans="2:17">
      <c r="B655" s="1" t="s">
        <v>286</v>
      </c>
      <c r="C655" s="1" t="s">
        <v>292</v>
      </c>
      <c r="D655" s="52">
        <v>46097.46875</v>
      </c>
      <c r="E655" s="52">
        <v>46097.46875</v>
      </c>
      <c r="F655" s="52">
        <v>46097.5</v>
      </c>
      <c r="G655" s="53">
        <f>F655-E655</f>
        <v>3.125E-2</v>
      </c>
      <c r="H655" s="1" t="s">
        <v>268</v>
      </c>
      <c r="I655" s="1" t="s">
        <v>269</v>
      </c>
      <c r="J655" s="1" t="s">
        <v>319</v>
      </c>
      <c r="K655" s="1" t="str">
        <f>_xlfn.XLOOKUP(J655,REF!$D$2:$D$12,REF!$E$2:$E$12)</f>
        <v>Comunicação</v>
      </c>
      <c r="L655" s="1" t="s">
        <v>517</v>
      </c>
      <c r="M655" s="1" t="s">
        <v>289</v>
      </c>
      <c r="N655" s="1" t="s">
        <v>290</v>
      </c>
      <c r="O655" s="1" t="s">
        <v>291</v>
      </c>
      <c r="P655" s="1" t="str">
        <f>_xlfn.CONCAT(B655,C655,D655,E655,F655)</f>
        <v>BC Corumba2.2U02.I0246097,4687546097,4687546097,5</v>
      </c>
      <c r="Q655" s="1" t="str">
        <f>_xlfn.CONCAT(H655,I655,J655)</f>
        <v>LIGRFOCOM</v>
      </c>
    </row>
    <row r="656" spans="2:17">
      <c r="B656" s="1" t="s">
        <v>286</v>
      </c>
      <c r="C656" s="1" t="s">
        <v>293</v>
      </c>
      <c r="D656" s="52">
        <v>46097.46875</v>
      </c>
      <c r="E656" s="52">
        <v>46097.46875</v>
      </c>
      <c r="F656" s="52">
        <v>46097.5</v>
      </c>
      <c r="G656" s="53">
        <f>F656-E656</f>
        <v>3.125E-2</v>
      </c>
      <c r="H656" s="1" t="s">
        <v>268</v>
      </c>
      <c r="I656" s="1" t="s">
        <v>269</v>
      </c>
      <c r="J656" s="1" t="s">
        <v>319</v>
      </c>
      <c r="K656" s="1" t="str">
        <f>_xlfn.XLOOKUP(J656,REF!$D$2:$D$12,REF!$E$2:$E$12)</f>
        <v>Comunicação</v>
      </c>
      <c r="L656" s="1" t="s">
        <v>517</v>
      </c>
      <c r="M656" s="1" t="s">
        <v>289</v>
      </c>
      <c r="N656" s="1" t="s">
        <v>290</v>
      </c>
      <c r="O656" s="1" t="s">
        <v>291</v>
      </c>
      <c r="P656" s="1" t="str">
        <f>_xlfn.CONCAT(B656,C656,D656,E656,F656)</f>
        <v>BC Corumba2.2U02.I0346097,4687546097,4687546097,5</v>
      </c>
      <c r="Q656" s="1" t="str">
        <f>_xlfn.CONCAT(H656,I656,J656)</f>
        <v>LIGRFOCOM</v>
      </c>
    </row>
    <row r="657" spans="2:17">
      <c r="B657" s="1" t="s">
        <v>286</v>
      </c>
      <c r="C657" s="1" t="s">
        <v>294</v>
      </c>
      <c r="D657" s="52">
        <v>46097.46875</v>
      </c>
      <c r="E657" s="52">
        <v>46097.46875</v>
      </c>
      <c r="F657" s="52">
        <v>46097.5</v>
      </c>
      <c r="G657" s="53">
        <f>F657-E657</f>
        <v>3.125E-2</v>
      </c>
      <c r="H657" s="1" t="s">
        <v>268</v>
      </c>
      <c r="I657" s="1" t="s">
        <v>269</v>
      </c>
      <c r="J657" s="1" t="s">
        <v>319</v>
      </c>
      <c r="K657" s="1" t="str">
        <f>_xlfn.XLOOKUP(J657,REF!$D$2:$D$12,REF!$E$2:$E$12)</f>
        <v>Comunicação</v>
      </c>
      <c r="L657" s="1" t="s">
        <v>517</v>
      </c>
      <c r="M657" s="1" t="s">
        <v>289</v>
      </c>
      <c r="N657" s="1" t="s">
        <v>290</v>
      </c>
      <c r="O657" s="1" t="s">
        <v>291</v>
      </c>
      <c r="P657" s="1" t="str">
        <f>_xlfn.CONCAT(B657,C657,D657,E657,F657)</f>
        <v>BC Corumba2.2U02.I0446097,4687546097,4687546097,5</v>
      </c>
      <c r="Q657" s="1" t="str">
        <f>_xlfn.CONCAT(H657,I657,J657)</f>
        <v>LIGRFOCOM</v>
      </c>
    </row>
    <row r="658" spans="2:17">
      <c r="B658" s="1" t="s">
        <v>286</v>
      </c>
      <c r="C658" s="1" t="s">
        <v>295</v>
      </c>
      <c r="D658" s="52">
        <v>46097.46875</v>
      </c>
      <c r="E658" s="52">
        <v>46097.46875</v>
      </c>
      <c r="F658" s="52">
        <v>46097.5</v>
      </c>
      <c r="G658" s="53">
        <f>F658-E658</f>
        <v>3.125E-2</v>
      </c>
      <c r="H658" s="1" t="s">
        <v>268</v>
      </c>
      <c r="I658" s="1" t="s">
        <v>269</v>
      </c>
      <c r="J658" s="1" t="s">
        <v>319</v>
      </c>
      <c r="K658" s="1" t="str">
        <f>_xlfn.XLOOKUP(J658,REF!$D$2:$D$12,REF!$E$2:$E$12)</f>
        <v>Comunicação</v>
      </c>
      <c r="L658" s="1" t="s">
        <v>517</v>
      </c>
      <c r="M658" s="1" t="s">
        <v>289</v>
      </c>
      <c r="N658" s="1" t="s">
        <v>290</v>
      </c>
      <c r="O658" s="1" t="s">
        <v>291</v>
      </c>
      <c r="P658" s="1" t="str">
        <f>_xlfn.CONCAT(B658,C658,D658,E658,F658)</f>
        <v>BC Corumba2.2U02.I0546097,4687546097,4687546097,5</v>
      </c>
      <c r="Q658" s="1" t="str">
        <f>_xlfn.CONCAT(H658,I658,J658)</f>
        <v>LIGRFOCOM</v>
      </c>
    </row>
    <row r="659" spans="2:17">
      <c r="B659" s="1" t="s">
        <v>368</v>
      </c>
      <c r="C659" s="1" t="s">
        <v>256</v>
      </c>
      <c r="D659" s="52">
        <v>46097.344444444447</v>
      </c>
      <c r="E659" s="52">
        <v>46097.344444444447</v>
      </c>
      <c r="F659" s="52">
        <v>46097.34652777778</v>
      </c>
      <c r="G659" s="53">
        <f>F659-E659</f>
        <v>2.0833333328482695E-3</v>
      </c>
      <c r="H659" s="1" t="s">
        <v>257</v>
      </c>
      <c r="J659" s="1" t="s">
        <v>258</v>
      </c>
      <c r="K659" s="1" t="str">
        <f>_xlfn.XLOOKUP(J659,REF!$D$2:$D$12,REF!$E$2:$E$12)</f>
        <v>Rede</v>
      </c>
      <c r="L659" s="1" t="s">
        <v>518</v>
      </c>
      <c r="M659" s="1" t="s">
        <v>260</v>
      </c>
      <c r="N659" s="1" t="s">
        <v>261</v>
      </c>
      <c r="O659" s="72" t="s">
        <v>297</v>
      </c>
      <c r="P659" s="1" t="str">
        <f>_xlfn.CONCAT(B659,C659,D659,E659,F659)</f>
        <v>BC Ibiuna 1.1Inverter(MBUS-12)46097,344444444446097,344444444446097,3465277778</v>
      </c>
      <c r="Q659" s="1" t="str">
        <f>_xlfn.CONCAT(H659,I659,J659)</f>
        <v>DAURDE</v>
      </c>
    </row>
    <row r="660" spans="2:17">
      <c r="B660" s="1" t="s">
        <v>368</v>
      </c>
      <c r="C660" s="1" t="s">
        <v>264</v>
      </c>
      <c r="D660" s="52">
        <v>46097.344444444447</v>
      </c>
      <c r="E660" s="52">
        <v>46097.344444444447</v>
      </c>
      <c r="F660" s="52">
        <v>46097.34652777778</v>
      </c>
      <c r="G660" s="53">
        <f>F660-E660</f>
        <v>2.0833333328482695E-3</v>
      </c>
      <c r="H660" s="1" t="s">
        <v>257</v>
      </c>
      <c r="J660" s="1" t="s">
        <v>258</v>
      </c>
      <c r="K660" s="1" t="str">
        <f>_xlfn.XLOOKUP(J660,REF!$D$2:$D$12,REF!$E$2:$E$12)</f>
        <v>Rede</v>
      </c>
      <c r="L660" s="1" t="s">
        <v>518</v>
      </c>
      <c r="M660" s="1" t="s">
        <v>260</v>
      </c>
      <c r="N660" s="1" t="s">
        <v>261</v>
      </c>
      <c r="O660" s="72" t="s">
        <v>297</v>
      </c>
      <c r="P660" s="1" t="str">
        <f>_xlfn.CONCAT(B660,C660,D660,E660,F660)</f>
        <v>BC Ibiuna 1.1Inverter(MBUS-13)46097,344444444446097,344444444446097,3465277778</v>
      </c>
      <c r="Q660" s="1" t="str">
        <f>_xlfn.CONCAT(H660,I660,J660)</f>
        <v>DAURDE</v>
      </c>
    </row>
    <row r="661" spans="2:17">
      <c r="B661" s="1" t="s">
        <v>368</v>
      </c>
      <c r="C661" s="1" t="s">
        <v>263</v>
      </c>
      <c r="D661" s="52">
        <v>46097.344444444447</v>
      </c>
      <c r="E661" s="52">
        <v>46097.344444444447</v>
      </c>
      <c r="F661" s="52">
        <v>46097.34652777778</v>
      </c>
      <c r="G661" s="53">
        <f>F661-E661</f>
        <v>2.0833333328482695E-3</v>
      </c>
      <c r="H661" s="1" t="s">
        <v>257</v>
      </c>
      <c r="J661" s="1" t="s">
        <v>258</v>
      </c>
      <c r="K661" s="1" t="str">
        <f>_xlfn.XLOOKUP(J661,REF!$D$2:$D$12,REF!$E$2:$E$12)</f>
        <v>Rede</v>
      </c>
      <c r="L661" s="1" t="s">
        <v>518</v>
      </c>
      <c r="M661" s="1" t="s">
        <v>260</v>
      </c>
      <c r="N661" s="1" t="s">
        <v>261</v>
      </c>
      <c r="O661" s="72" t="s">
        <v>297</v>
      </c>
      <c r="P661" s="1" t="str">
        <f>_xlfn.CONCAT(B661,C661,D661,E661,F661)</f>
        <v>BC Ibiuna 1.1Inverter(MBUS-14)46097,344444444446097,344444444446097,3465277778</v>
      </c>
      <c r="Q661" s="1" t="str">
        <f>_xlfn.CONCAT(H661,I661,J661)</f>
        <v>DAURDE</v>
      </c>
    </row>
    <row r="662" spans="2:17">
      <c r="B662" s="1" t="s">
        <v>368</v>
      </c>
      <c r="C662" s="1" t="s">
        <v>307</v>
      </c>
      <c r="D662" s="52">
        <v>46097.344444444447</v>
      </c>
      <c r="E662" s="52">
        <v>46097.344444444447</v>
      </c>
      <c r="F662" s="52">
        <v>46097.34652777778</v>
      </c>
      <c r="G662" s="53">
        <f>F662-E662</f>
        <v>2.0833333328482695E-3</v>
      </c>
      <c r="H662" s="1" t="s">
        <v>257</v>
      </c>
      <c r="J662" s="1" t="s">
        <v>258</v>
      </c>
      <c r="K662" s="1" t="str">
        <f>_xlfn.XLOOKUP(J662,REF!$D$2:$D$12,REF!$E$2:$E$12)</f>
        <v>Rede</v>
      </c>
      <c r="L662" s="1" t="s">
        <v>518</v>
      </c>
      <c r="M662" s="1" t="s">
        <v>260</v>
      </c>
      <c r="N662" s="1" t="s">
        <v>261</v>
      </c>
      <c r="O662" s="72" t="s">
        <v>297</v>
      </c>
      <c r="P662" s="1" t="str">
        <f>_xlfn.CONCAT(B662,C662,D662,E662,F662)</f>
        <v>BC Ibiuna 1.1Inverter(MBUS-15)46097,344444444446097,344444444446097,3465277778</v>
      </c>
      <c r="Q662" s="1" t="str">
        <f>_xlfn.CONCAT(H662,I662,J662)</f>
        <v>DAURDE</v>
      </c>
    </row>
    <row r="663" spans="2:17">
      <c r="B663" s="1" t="s">
        <v>370</v>
      </c>
      <c r="C663" s="1" t="s">
        <v>256</v>
      </c>
      <c r="D663" s="52">
        <v>46097.344444444447</v>
      </c>
      <c r="E663" s="52">
        <v>46097.344444444447</v>
      </c>
      <c r="F663" s="52">
        <v>46097.34652777778</v>
      </c>
      <c r="G663" s="53">
        <f>F663-E663</f>
        <v>2.0833333328482695E-3</v>
      </c>
      <c r="H663" s="1" t="s">
        <v>257</v>
      </c>
      <c r="J663" s="1" t="s">
        <v>258</v>
      </c>
      <c r="K663" s="1" t="str">
        <f>_xlfn.XLOOKUP(J663,REF!$D$2:$D$12,REF!$E$2:$E$12)</f>
        <v>Rede</v>
      </c>
      <c r="L663" s="1" t="s">
        <v>518</v>
      </c>
      <c r="M663" s="1" t="s">
        <v>260</v>
      </c>
      <c r="N663" s="1" t="s">
        <v>261</v>
      </c>
      <c r="O663" s="72" t="s">
        <v>297</v>
      </c>
      <c r="P663" s="1" t="str">
        <f>_xlfn.CONCAT(B663,C663,D663,E663,F663)</f>
        <v>BC Ibiuna 1.2Inverter(MBUS-12)46097,344444444446097,344444444446097,3465277778</v>
      </c>
      <c r="Q663" s="1" t="str">
        <f>_xlfn.CONCAT(H663,I663,J663)</f>
        <v>DAURDE</v>
      </c>
    </row>
    <row r="664" spans="2:17">
      <c r="B664" s="1" t="s">
        <v>370</v>
      </c>
      <c r="C664" s="1" t="s">
        <v>264</v>
      </c>
      <c r="D664" s="52">
        <v>46097.344444444447</v>
      </c>
      <c r="E664" s="52">
        <v>46097.344444444447</v>
      </c>
      <c r="F664" s="52">
        <v>46097.34652777778</v>
      </c>
      <c r="G664" s="53">
        <f>F664-E664</f>
        <v>2.0833333328482695E-3</v>
      </c>
      <c r="H664" s="1" t="s">
        <v>257</v>
      </c>
      <c r="J664" s="1" t="s">
        <v>258</v>
      </c>
      <c r="K664" s="1" t="str">
        <f>_xlfn.XLOOKUP(J664,REF!$D$2:$D$12,REF!$E$2:$E$12)</f>
        <v>Rede</v>
      </c>
      <c r="L664" s="1" t="s">
        <v>518</v>
      </c>
      <c r="M664" s="1" t="s">
        <v>260</v>
      </c>
      <c r="N664" s="1" t="s">
        <v>261</v>
      </c>
      <c r="O664" s="72" t="s">
        <v>297</v>
      </c>
      <c r="P664" s="1" t="str">
        <f>_xlfn.CONCAT(B664,C664,D664,E664,F664)</f>
        <v>BC Ibiuna 1.2Inverter(MBUS-13)46097,344444444446097,344444444446097,3465277778</v>
      </c>
      <c r="Q664" s="1" t="str">
        <f>_xlfn.CONCAT(H664,I664,J664)</f>
        <v>DAURDE</v>
      </c>
    </row>
    <row r="665" spans="2:17">
      <c r="B665" s="1" t="s">
        <v>370</v>
      </c>
      <c r="C665" s="1" t="s">
        <v>263</v>
      </c>
      <c r="D665" s="52">
        <v>46097.344444444447</v>
      </c>
      <c r="E665" s="52">
        <v>46097.344444444447</v>
      </c>
      <c r="F665" s="52">
        <v>46097.34652777778</v>
      </c>
      <c r="G665" s="53">
        <f>F665-E665</f>
        <v>2.0833333328482695E-3</v>
      </c>
      <c r="H665" s="1" t="s">
        <v>257</v>
      </c>
      <c r="J665" s="1" t="s">
        <v>258</v>
      </c>
      <c r="K665" s="1" t="str">
        <f>_xlfn.XLOOKUP(J665,REF!$D$2:$D$12,REF!$E$2:$E$12)</f>
        <v>Rede</v>
      </c>
      <c r="L665" s="1" t="s">
        <v>518</v>
      </c>
      <c r="M665" s="1" t="s">
        <v>260</v>
      </c>
      <c r="N665" s="1" t="s">
        <v>261</v>
      </c>
      <c r="O665" s="72" t="s">
        <v>297</v>
      </c>
      <c r="P665" s="1" t="str">
        <f>_xlfn.CONCAT(B665,C665,D665,E665,F665)</f>
        <v>BC Ibiuna 1.2Inverter(MBUS-14)46097,344444444446097,344444444446097,3465277778</v>
      </c>
      <c r="Q665" s="1" t="str">
        <f>_xlfn.CONCAT(H665,I665,J665)</f>
        <v>DAURDE</v>
      </c>
    </row>
    <row r="666" spans="2:17">
      <c r="B666" s="1" t="s">
        <v>370</v>
      </c>
      <c r="C666" s="1" t="s">
        <v>307</v>
      </c>
      <c r="D666" s="52">
        <v>46097.344444444447</v>
      </c>
      <c r="E666" s="52">
        <v>46097.344444444447</v>
      </c>
      <c r="F666" s="52">
        <v>46097.34652777778</v>
      </c>
      <c r="G666" s="53">
        <f>F666-E666</f>
        <v>2.0833333328482695E-3</v>
      </c>
      <c r="H666" s="1" t="s">
        <v>257</v>
      </c>
      <c r="J666" s="1" t="s">
        <v>258</v>
      </c>
      <c r="K666" s="1" t="str">
        <f>_xlfn.XLOOKUP(J666,REF!$D$2:$D$12,REF!$E$2:$E$12)</f>
        <v>Rede</v>
      </c>
      <c r="L666" s="1" t="s">
        <v>518</v>
      </c>
      <c r="M666" s="1" t="s">
        <v>260</v>
      </c>
      <c r="N666" s="1" t="s">
        <v>261</v>
      </c>
      <c r="O666" s="72" t="s">
        <v>297</v>
      </c>
      <c r="P666" s="1" t="str">
        <f>_xlfn.CONCAT(B666,C666,D666,E666,F666)</f>
        <v>BC Ibiuna 1.2Inverter(MBUS-15)46097,344444444446097,344444444446097,3465277778</v>
      </c>
      <c r="Q666" s="1" t="str">
        <f>_xlfn.CONCAT(H666,I666,J666)</f>
        <v>DAURDE</v>
      </c>
    </row>
    <row r="667" spans="2:17">
      <c r="B667" s="1" t="s">
        <v>255</v>
      </c>
      <c r="C667" s="1" t="s">
        <v>256</v>
      </c>
      <c r="D667" s="52">
        <v>46097.611111111109</v>
      </c>
      <c r="E667" s="52">
        <v>46097.611111111109</v>
      </c>
      <c r="F667" s="52">
        <v>46097.677083333336</v>
      </c>
      <c r="G667" s="53">
        <f>F667-E667</f>
        <v>6.5972222226264421E-2</v>
      </c>
      <c r="H667" s="1" t="s">
        <v>257</v>
      </c>
      <c r="J667" s="1" t="s">
        <v>258</v>
      </c>
      <c r="K667" s="1" t="str">
        <f>_xlfn.XLOOKUP(J667,REF!$D$2:$D$12,REF!$E$2:$E$12)</f>
        <v>Rede</v>
      </c>
      <c r="L667" s="1" t="s">
        <v>259</v>
      </c>
      <c r="M667" s="1" t="s">
        <v>260</v>
      </c>
      <c r="N667" s="1" t="s">
        <v>261</v>
      </c>
      <c r="O667" s="72" t="s">
        <v>452</v>
      </c>
      <c r="P667" s="1" t="str">
        <f>_xlfn.CONCAT(B667,C667,D667,E667,F667)</f>
        <v>BC Formoso2.1Inverter(MBUS-12)46097,611111111146097,611111111146097,6770833333</v>
      </c>
      <c r="Q667" s="1" t="str">
        <f>_xlfn.CONCAT(H667,I667,J667)</f>
        <v>DAURDE</v>
      </c>
    </row>
    <row r="668" spans="2:17">
      <c r="B668" s="1" t="s">
        <v>255</v>
      </c>
      <c r="C668" s="1" t="s">
        <v>263</v>
      </c>
      <c r="D668" s="52">
        <v>46097.611111111109</v>
      </c>
      <c r="E668" s="52">
        <v>46097.611111111109</v>
      </c>
      <c r="F668" s="52">
        <v>46097.677083333336</v>
      </c>
      <c r="G668" s="53">
        <f>F668-E668</f>
        <v>6.5972222226264421E-2</v>
      </c>
      <c r="H668" s="1" t="s">
        <v>257</v>
      </c>
      <c r="J668" s="1" t="s">
        <v>258</v>
      </c>
      <c r="K668" s="1" t="str">
        <f>_xlfn.XLOOKUP(J668,REF!$D$2:$D$12,REF!$E$2:$E$12)</f>
        <v>Rede</v>
      </c>
      <c r="L668" s="1" t="s">
        <v>259</v>
      </c>
      <c r="M668" s="1" t="s">
        <v>260</v>
      </c>
      <c r="N668" s="1" t="s">
        <v>261</v>
      </c>
      <c r="O668" s="72" t="s">
        <v>452</v>
      </c>
      <c r="P668" s="1" t="str">
        <f>_xlfn.CONCAT(B668,C668,D668,E668,F668)</f>
        <v>BC Formoso2.1Inverter(MBUS-14)46097,611111111146097,611111111146097,6770833333</v>
      </c>
      <c r="Q668" s="1" t="str">
        <f>_xlfn.CONCAT(H668,I668,J668)</f>
        <v>DAURDE</v>
      </c>
    </row>
    <row r="669" spans="2:17">
      <c r="B669" s="1" t="s">
        <v>255</v>
      </c>
      <c r="C669" s="1" t="s">
        <v>264</v>
      </c>
      <c r="D669" s="52">
        <v>46097.611111111109</v>
      </c>
      <c r="E669" s="52">
        <v>46097.611111111109</v>
      </c>
      <c r="F669" s="52">
        <v>46097.677083333336</v>
      </c>
      <c r="G669" s="53">
        <f>F669-E669</f>
        <v>6.5972222226264421E-2</v>
      </c>
      <c r="H669" s="1" t="s">
        <v>257</v>
      </c>
      <c r="J669" s="1" t="s">
        <v>258</v>
      </c>
      <c r="K669" s="1" t="str">
        <f>_xlfn.XLOOKUP(J669,REF!$D$2:$D$12,REF!$E$2:$E$12)</f>
        <v>Rede</v>
      </c>
      <c r="L669" s="1" t="s">
        <v>259</v>
      </c>
      <c r="M669" s="1" t="s">
        <v>260</v>
      </c>
      <c r="N669" s="1" t="s">
        <v>261</v>
      </c>
      <c r="O669" s="72" t="s">
        <v>452</v>
      </c>
      <c r="P669" s="1" t="str">
        <f>_xlfn.CONCAT(B669,C669,D669,E669,F669)</f>
        <v>BC Formoso2.1Inverter(MBUS-13)46097,611111111146097,611111111146097,6770833333</v>
      </c>
      <c r="Q669" s="1" t="str">
        <f>_xlfn.CONCAT(H669,I669,J669)</f>
        <v>DAURDE</v>
      </c>
    </row>
    <row r="670" spans="2:17">
      <c r="B670" s="1" t="s">
        <v>255</v>
      </c>
      <c r="C670" s="1" t="s">
        <v>247</v>
      </c>
      <c r="D670" s="52">
        <v>46097.611111111109</v>
      </c>
      <c r="E670" s="52">
        <v>46097.611111111109</v>
      </c>
      <c r="F670" s="52">
        <v>46097.677083333336</v>
      </c>
      <c r="G670" s="53">
        <f>F670-E670</f>
        <v>6.5972222226264421E-2</v>
      </c>
      <c r="H670" s="1" t="s">
        <v>257</v>
      </c>
      <c r="J670" s="1" t="s">
        <v>258</v>
      </c>
      <c r="K670" s="1" t="str">
        <f>_xlfn.XLOOKUP(J670,REF!$D$2:$D$12,REF!$E$2:$E$12)</f>
        <v>Rede</v>
      </c>
      <c r="L670" s="1" t="s">
        <v>259</v>
      </c>
      <c r="M670" s="1" t="s">
        <v>260</v>
      </c>
      <c r="N670" s="1" t="s">
        <v>261</v>
      </c>
      <c r="O670" s="72" t="s">
        <v>452</v>
      </c>
      <c r="P670" s="1" t="str">
        <f>_xlfn.CONCAT(B670,C670,D670,E670,F670)</f>
        <v>BC Formoso2.1Inverter(MBUS-1)46097,611111111146097,611111111146097,6770833333</v>
      </c>
      <c r="Q670" s="1" t="str">
        <f>_xlfn.CONCAT(H670,I670,J670)</f>
        <v>DAURDE</v>
      </c>
    </row>
    <row r="671" spans="2:17">
      <c r="B671" s="1" t="s">
        <v>265</v>
      </c>
      <c r="C671" s="1" t="s">
        <v>263</v>
      </c>
      <c r="D671" s="52">
        <v>46097.611111111109</v>
      </c>
      <c r="E671" s="52">
        <v>46097.611111111109</v>
      </c>
      <c r="F671" s="52">
        <v>46097.677083333336</v>
      </c>
      <c r="G671" s="53">
        <f>F671-E671</f>
        <v>6.5972222226264421E-2</v>
      </c>
      <c r="H671" s="1" t="s">
        <v>257</v>
      </c>
      <c r="J671" s="1" t="s">
        <v>258</v>
      </c>
      <c r="K671" s="1" t="str">
        <f>_xlfn.XLOOKUP(J671,REF!$D$2:$D$12,REF!$E$2:$E$12)</f>
        <v>Rede</v>
      </c>
      <c r="L671" s="1" t="s">
        <v>259</v>
      </c>
      <c r="M671" s="1" t="s">
        <v>260</v>
      </c>
      <c r="N671" s="1" t="s">
        <v>261</v>
      </c>
      <c r="O671" s="72" t="s">
        <v>452</v>
      </c>
      <c r="P671" s="1" t="str">
        <f>_xlfn.CONCAT(B671,C671,D671,E671,F671)</f>
        <v>BC Formoso2.2Inverter(MBUS-14)46097,611111111146097,611111111146097,6770833333</v>
      </c>
      <c r="Q671" s="1" t="str">
        <f>_xlfn.CONCAT(H671,I671,J671)</f>
        <v>DAURDE</v>
      </c>
    </row>
    <row r="672" spans="2:17">
      <c r="B672" s="1" t="s">
        <v>265</v>
      </c>
      <c r="C672" s="1" t="s">
        <v>264</v>
      </c>
      <c r="D672" s="52">
        <v>46097.611111111109</v>
      </c>
      <c r="E672" s="52">
        <v>46097.611111111109</v>
      </c>
      <c r="F672" s="52">
        <v>46097.677083333336</v>
      </c>
      <c r="G672" s="53">
        <f>F672-E672</f>
        <v>6.5972222226264421E-2</v>
      </c>
      <c r="H672" s="1" t="s">
        <v>257</v>
      </c>
      <c r="J672" s="1" t="s">
        <v>258</v>
      </c>
      <c r="K672" s="1" t="str">
        <f>_xlfn.XLOOKUP(J672,REF!$D$2:$D$12,REF!$E$2:$E$12)</f>
        <v>Rede</v>
      </c>
      <c r="L672" s="1" t="s">
        <v>259</v>
      </c>
      <c r="M672" s="1" t="s">
        <v>260</v>
      </c>
      <c r="N672" s="1" t="s">
        <v>261</v>
      </c>
      <c r="O672" s="72" t="s">
        <v>452</v>
      </c>
      <c r="P672" s="1" t="str">
        <f>_xlfn.CONCAT(B672,C672,D672,E672,F672)</f>
        <v>BC Formoso2.2Inverter(MBUS-13)46097,611111111146097,611111111146097,6770833333</v>
      </c>
      <c r="Q672" s="1" t="str">
        <f>_xlfn.CONCAT(H672,I672,J672)</f>
        <v>DAURDE</v>
      </c>
    </row>
    <row r="673" spans="1:17">
      <c r="B673" s="1" t="s">
        <v>265</v>
      </c>
      <c r="C673" s="1" t="s">
        <v>256</v>
      </c>
      <c r="D673" s="52">
        <v>46097.611111111109</v>
      </c>
      <c r="E673" s="52">
        <v>46097.611111111109</v>
      </c>
      <c r="F673" s="52">
        <v>46097.677083333336</v>
      </c>
      <c r="G673" s="53">
        <f>F673-E673</f>
        <v>6.5972222226264421E-2</v>
      </c>
      <c r="H673" s="1" t="s">
        <v>257</v>
      </c>
      <c r="J673" s="1" t="s">
        <v>258</v>
      </c>
      <c r="K673" s="1" t="str">
        <f>_xlfn.XLOOKUP(J673,REF!$D$2:$D$12,REF!$E$2:$E$12)</f>
        <v>Rede</v>
      </c>
      <c r="L673" s="1" t="s">
        <v>259</v>
      </c>
      <c r="M673" s="1" t="s">
        <v>260</v>
      </c>
      <c r="N673" s="1" t="s">
        <v>261</v>
      </c>
      <c r="O673" s="72" t="s">
        <v>452</v>
      </c>
      <c r="P673" s="1" t="str">
        <f>_xlfn.CONCAT(B673,C673,D673,E673,F673)</f>
        <v>BC Formoso2.2Inverter(MBUS-12)46097,611111111146097,611111111146097,6770833333</v>
      </c>
      <c r="Q673" s="1" t="str">
        <f>_xlfn.CONCAT(H673,I673,J673)</f>
        <v>DAURDE</v>
      </c>
    </row>
    <row r="674" spans="1:17">
      <c r="B674" s="1" t="s">
        <v>265</v>
      </c>
      <c r="C674" s="1" t="s">
        <v>247</v>
      </c>
      <c r="D674" s="52">
        <v>46097.611111111109</v>
      </c>
      <c r="E674" s="52">
        <v>46097.611111111109</v>
      </c>
      <c r="F674" s="52">
        <v>46097.677083333336</v>
      </c>
      <c r="G674" s="53">
        <f>F674-E674</f>
        <v>6.5972222226264421E-2</v>
      </c>
      <c r="H674" s="1" t="s">
        <v>257</v>
      </c>
      <c r="J674" s="1" t="s">
        <v>258</v>
      </c>
      <c r="K674" s="1" t="str">
        <f>_xlfn.XLOOKUP(J674,REF!$D$2:$D$12,REF!$E$2:$E$12)</f>
        <v>Rede</v>
      </c>
      <c r="L674" s="1" t="s">
        <v>259</v>
      </c>
      <c r="M674" s="1" t="s">
        <v>260</v>
      </c>
      <c r="N674" s="1" t="s">
        <v>261</v>
      </c>
      <c r="O674" s="72" t="s">
        <v>452</v>
      </c>
      <c r="P674" s="1" t="str">
        <f>_xlfn.CONCAT(B674,C674,D674,E674,F674)</f>
        <v>BC Formoso2.2Inverter(MBUS-1)46097,611111111146097,611111111146097,6770833333</v>
      </c>
      <c r="Q674" s="1" t="str">
        <f>_xlfn.CONCAT(H674,I674,J674)</f>
        <v>DAURDE</v>
      </c>
    </row>
    <row r="675" spans="1:17">
      <c r="B675" s="1" t="s">
        <v>355</v>
      </c>
      <c r="C675" s="1" t="s">
        <v>264</v>
      </c>
      <c r="D675" s="52">
        <v>46097.611111111109</v>
      </c>
      <c r="E675" s="52">
        <v>46097.611111111109</v>
      </c>
      <c r="F675" s="52">
        <v>46097.677083333336</v>
      </c>
      <c r="G675" s="53">
        <f>F675-E675</f>
        <v>6.5972222226264421E-2</v>
      </c>
      <c r="H675" s="1" t="s">
        <v>257</v>
      </c>
      <c r="J675" s="1" t="s">
        <v>258</v>
      </c>
      <c r="K675" s="1" t="str">
        <f>_xlfn.XLOOKUP(J675,REF!$D$2:$D$12,REF!$E$2:$E$12)</f>
        <v>Rede</v>
      </c>
      <c r="L675" s="1" t="s">
        <v>259</v>
      </c>
      <c r="M675" s="1" t="s">
        <v>260</v>
      </c>
      <c r="N675" s="1" t="s">
        <v>261</v>
      </c>
      <c r="O675" s="72" t="s">
        <v>452</v>
      </c>
      <c r="P675" s="1" t="str">
        <f>_xlfn.CONCAT(B675,C675,D675,E675,F675)</f>
        <v>BC Formoso2.3Inverter(MBUS-13)46097,611111111146097,611111111146097,6770833333</v>
      </c>
      <c r="Q675" s="1" t="str">
        <f>_xlfn.CONCAT(H675,I675,J675)</f>
        <v>DAURDE</v>
      </c>
    </row>
    <row r="676" spans="1:17">
      <c r="B676" s="66" t="s">
        <v>355</v>
      </c>
      <c r="C676" s="66" t="s">
        <v>256</v>
      </c>
      <c r="D676" s="52">
        <v>46097.611111111109</v>
      </c>
      <c r="E676" s="52">
        <v>46097.611111111109</v>
      </c>
      <c r="F676" s="52">
        <v>46097.677083333336</v>
      </c>
      <c r="G676" s="74">
        <f>F676-E676</f>
        <v>6.5972222226264421E-2</v>
      </c>
      <c r="H676" s="1" t="s">
        <v>257</v>
      </c>
      <c r="J676" s="1" t="s">
        <v>258</v>
      </c>
      <c r="K676" s="1" t="str">
        <f>_xlfn.XLOOKUP(J676,REF!$D$2:$D$12,REF!$E$2:$E$12)</f>
        <v>Rede</v>
      </c>
      <c r="L676" s="1" t="s">
        <v>259</v>
      </c>
      <c r="M676" s="1" t="s">
        <v>260</v>
      </c>
      <c r="N676" s="1" t="s">
        <v>261</v>
      </c>
      <c r="O676" s="72" t="s">
        <v>452</v>
      </c>
      <c r="P676" s="66" t="str">
        <f>_xlfn.CONCAT(B676,C676,D677,E676,F676)</f>
        <v>BC Formoso2.3Inverter(MBUS-12)46097,694444444446097,611111111146097,6770833333</v>
      </c>
      <c r="Q676" s="66" t="str">
        <f>_xlfn.CONCAT(H676,I676,J676)</f>
        <v>DAURDE</v>
      </c>
    </row>
    <row r="677" spans="1:17">
      <c r="B677" s="1" t="s">
        <v>299</v>
      </c>
      <c r="C677" s="1" t="s">
        <v>300</v>
      </c>
      <c r="D677" s="52">
        <v>46097.694444444445</v>
      </c>
      <c r="E677" s="52">
        <v>46097.694444444445</v>
      </c>
      <c r="F677" s="52">
        <v>46097.959722222222</v>
      </c>
      <c r="G677" s="53">
        <f>F677-E677</f>
        <v>0.26527777777664596</v>
      </c>
      <c r="H677" s="1" t="s">
        <v>257</v>
      </c>
      <c r="J677" s="1" t="s">
        <v>258</v>
      </c>
      <c r="K677" s="1" t="str">
        <f>_xlfn.XLOOKUP(J677,REF!$D$2:$D$12,REF!$E$2:$E$12)</f>
        <v>Rede</v>
      </c>
      <c r="P677" s="1" t="str">
        <f>_xlfn.CONCAT(B677,C677,D677,E677,F677)</f>
        <v>BC Panama1.1ITAPOAN 001 (COM1-001)_001_00146097,694444444446097,694444444446097,9597222222</v>
      </c>
      <c r="Q677" s="1" t="str">
        <f>_xlfn.CONCAT(H677,I677,J677)</f>
        <v>DAURDE</v>
      </c>
    </row>
    <row r="678" spans="1:17">
      <c r="B678" s="1" t="s">
        <v>299</v>
      </c>
      <c r="C678" s="1" t="s">
        <v>303</v>
      </c>
      <c r="D678" s="52">
        <v>46097.694444444445</v>
      </c>
      <c r="E678" s="52">
        <v>46097.694444444445</v>
      </c>
      <c r="F678" s="52">
        <v>46097.959722222222</v>
      </c>
      <c r="G678" s="53">
        <f>F678-E678</f>
        <v>0.26527777777664596</v>
      </c>
      <c r="H678" s="1" t="s">
        <v>257</v>
      </c>
      <c r="J678" s="1" t="s">
        <v>258</v>
      </c>
      <c r="K678" s="1" t="str">
        <f>_xlfn.XLOOKUP(J678,REF!$D$2:$D$12,REF!$E$2:$E$12)</f>
        <v>Rede</v>
      </c>
      <c r="P678" s="1" t="str">
        <f>_xlfn.CONCAT(B678,C678,D678,E678,F678)</f>
        <v>BC Panama1.1CEREAL_00246097,694444444446097,694444444446097,9597222222</v>
      </c>
      <c r="Q678" s="1" t="str">
        <f>_xlfn.CONCAT(H678,I678,J678)</f>
        <v>DAURDE</v>
      </c>
    </row>
    <row r="679" spans="1:17" s="75" customFormat="1">
      <c r="A679" s="2"/>
      <c r="B679" s="1" t="s">
        <v>299</v>
      </c>
      <c r="C679" s="1" t="s">
        <v>304</v>
      </c>
      <c r="D679" s="52">
        <v>46097.694444444445</v>
      </c>
      <c r="E679" s="52">
        <v>46097.694444444445</v>
      </c>
      <c r="F679" s="52">
        <v>46097.959722222222</v>
      </c>
      <c r="G679" s="53">
        <f>F679-E679</f>
        <v>0.26527777777664596</v>
      </c>
      <c r="H679" s="1" t="s">
        <v>257</v>
      </c>
      <c r="I679" s="1"/>
      <c r="J679" s="1" t="s">
        <v>258</v>
      </c>
      <c r="K679" s="1" t="str">
        <f>_xlfn.XLOOKUP(J679,REF!$D$2:$D$12,REF!$E$2:$E$12)</f>
        <v>Rede</v>
      </c>
      <c r="L679" s="1"/>
      <c r="M679" s="1"/>
      <c r="N679" s="1"/>
      <c r="O679" s="1"/>
      <c r="P679" s="1" t="str">
        <f>_xlfn.CONCAT(B679,C679,D679,E679,F679)</f>
        <v>BC Panama1.1ITAPOAN_00346097,694444444446097,694444444446097,9597222222</v>
      </c>
      <c r="Q679" s="1" t="str">
        <f>_xlfn.CONCAT(H679,I679,J679)</f>
        <v>DAURDE</v>
      </c>
    </row>
    <row r="680" spans="1:17">
      <c r="B680" s="1" t="s">
        <v>375</v>
      </c>
      <c r="C680" s="1" t="s">
        <v>247</v>
      </c>
      <c r="D680" s="52">
        <v>46097.944444444445</v>
      </c>
      <c r="E680" s="52">
        <v>46097.944444444445</v>
      </c>
      <c r="F680" s="52">
        <v>46097.959722222222</v>
      </c>
      <c r="G680" s="53">
        <f>F680-E680</f>
        <v>1.5277777776645962E-2</v>
      </c>
      <c r="H680" s="1" t="s">
        <v>268</v>
      </c>
      <c r="I680" s="1" t="s">
        <v>269</v>
      </c>
      <c r="J680" s="1" t="s">
        <v>319</v>
      </c>
      <c r="K680" s="1" t="str">
        <f>_xlfn.XLOOKUP(J680,REF!$D$2:$D$12,REF!$E$2:$E$12)</f>
        <v>Comunicação</v>
      </c>
      <c r="L680" s="1" t="s">
        <v>517</v>
      </c>
      <c r="M680" s="1" t="s">
        <v>289</v>
      </c>
      <c r="N680" s="1" t="s">
        <v>290</v>
      </c>
      <c r="O680" s="1" t="s">
        <v>291</v>
      </c>
      <c r="P680" s="1" t="str">
        <f>_xlfn.CONCAT(B680,C680,D680,E680,F680)</f>
        <v>BC Camarao1.1Inverter(MBUS-1)46097,944444444446097,944444444446097,9597222222</v>
      </c>
      <c r="Q680" s="1" t="str">
        <f>_xlfn.CONCAT(H680,I680,J680)</f>
        <v>LIGRFOCOM</v>
      </c>
    </row>
    <row r="681" spans="1:17">
      <c r="B681" s="1" t="s">
        <v>375</v>
      </c>
      <c r="C681" s="1" t="s">
        <v>377</v>
      </c>
      <c r="D681" s="52">
        <v>46097.944444444445</v>
      </c>
      <c r="E681" s="52">
        <v>46097.944444444445</v>
      </c>
      <c r="F681" s="52">
        <v>46097.959722222222</v>
      </c>
      <c r="G681" s="53">
        <f>F681-E681</f>
        <v>1.5277777776645962E-2</v>
      </c>
      <c r="H681" s="1" t="s">
        <v>268</v>
      </c>
      <c r="I681" s="1" t="s">
        <v>269</v>
      </c>
      <c r="J681" s="1" t="s">
        <v>319</v>
      </c>
      <c r="K681" s="1" t="str">
        <f>_xlfn.XLOOKUP(J681,REF!$D$2:$D$12,REF!$E$2:$E$12)</f>
        <v>Comunicação</v>
      </c>
      <c r="L681" s="1" t="s">
        <v>517</v>
      </c>
      <c r="M681" s="1" t="s">
        <v>289</v>
      </c>
      <c r="N681" s="1" t="s">
        <v>290</v>
      </c>
      <c r="O681" s="1" t="s">
        <v>291</v>
      </c>
      <c r="P681" s="1" t="str">
        <f>_xlfn.CONCAT(B681,C681,D681,E681,F681)</f>
        <v>BC Camarao1.1215KTL-H3(MBUS-12)46097,944444444446097,944444444446097,9597222222</v>
      </c>
      <c r="Q681" s="1" t="str">
        <f>_xlfn.CONCAT(H681,I681,J681)</f>
        <v>LIGRFOCOM</v>
      </c>
    </row>
    <row r="682" spans="1:17">
      <c r="B682" s="1" t="s">
        <v>375</v>
      </c>
      <c r="C682" s="1" t="s">
        <v>378</v>
      </c>
      <c r="D682" s="52">
        <v>46097.944444444445</v>
      </c>
      <c r="E682" s="52">
        <v>46097.944444444445</v>
      </c>
      <c r="F682" s="52">
        <v>46097.959722222222</v>
      </c>
      <c r="G682" s="53">
        <f>F682-E682</f>
        <v>1.5277777776645962E-2</v>
      </c>
      <c r="H682" s="1" t="s">
        <v>268</v>
      </c>
      <c r="I682" s="1" t="s">
        <v>269</v>
      </c>
      <c r="J682" s="1" t="s">
        <v>319</v>
      </c>
      <c r="K682" s="1" t="str">
        <f>_xlfn.XLOOKUP(J682,REF!$D$2:$D$12,REF!$E$2:$E$12)</f>
        <v>Comunicação</v>
      </c>
      <c r="L682" s="1" t="s">
        <v>517</v>
      </c>
      <c r="M682" s="1" t="s">
        <v>289</v>
      </c>
      <c r="N682" s="1" t="s">
        <v>290</v>
      </c>
      <c r="O682" s="1" t="s">
        <v>291</v>
      </c>
      <c r="P682" s="1" t="str">
        <f>_xlfn.CONCAT(B682,C682,D682,E682,F682)</f>
        <v>BC Camarao1.1215KTL-H3(MBUS-13)46097,944444444446097,944444444446097,9597222222</v>
      </c>
      <c r="Q682" s="1" t="str">
        <f>_xlfn.CONCAT(H682,I682,J682)</f>
        <v>LIGRFOCOM</v>
      </c>
    </row>
    <row r="683" spans="1:17">
      <c r="B683" s="1" t="s">
        <v>375</v>
      </c>
      <c r="C683" s="1" t="s">
        <v>379</v>
      </c>
      <c r="D683" s="52">
        <v>46097.944444444445</v>
      </c>
      <c r="E683" s="52">
        <v>46097.944444444445</v>
      </c>
      <c r="F683" s="52">
        <v>46097.959722222222</v>
      </c>
      <c r="G683" s="53">
        <f>F683-E683</f>
        <v>1.5277777776645962E-2</v>
      </c>
      <c r="H683" s="1" t="s">
        <v>268</v>
      </c>
      <c r="I683" s="1" t="s">
        <v>269</v>
      </c>
      <c r="J683" s="1" t="s">
        <v>319</v>
      </c>
      <c r="K683" s="1" t="str">
        <f>_xlfn.XLOOKUP(J683,REF!$D$2:$D$12,REF!$E$2:$E$12)</f>
        <v>Comunicação</v>
      </c>
      <c r="L683" s="1" t="s">
        <v>517</v>
      </c>
      <c r="M683" s="1" t="s">
        <v>289</v>
      </c>
      <c r="N683" s="1" t="s">
        <v>290</v>
      </c>
      <c r="O683" s="1" t="s">
        <v>291</v>
      </c>
      <c r="P683" s="1" t="str">
        <f>_xlfn.CONCAT(B683,C683,D683,E683,F683)</f>
        <v>BC Camarao1.1215KTL-H3(MBUS-16)46097,944444444446097,944444444446097,9597222222</v>
      </c>
      <c r="Q683" s="1" t="str">
        <f>_xlfn.CONCAT(H683,I683,J683)</f>
        <v>LIGRFOCOM</v>
      </c>
    </row>
    <row r="684" spans="1:17">
      <c r="B684" s="1" t="s">
        <v>375</v>
      </c>
      <c r="C684" s="1" t="s">
        <v>380</v>
      </c>
      <c r="D684" s="52">
        <v>46097.944444444445</v>
      </c>
      <c r="E684" s="52">
        <v>46097.944444444445</v>
      </c>
      <c r="F684" s="52">
        <v>46097.959722222222</v>
      </c>
      <c r="G684" s="53">
        <f>F684-E684</f>
        <v>1.5277777776645962E-2</v>
      </c>
      <c r="H684" s="1" t="s">
        <v>268</v>
      </c>
      <c r="I684" s="1" t="s">
        <v>269</v>
      </c>
      <c r="J684" s="1" t="s">
        <v>319</v>
      </c>
      <c r="K684" s="1" t="str">
        <f>_xlfn.XLOOKUP(J684,REF!$D$2:$D$12,REF!$E$2:$E$12)</f>
        <v>Comunicação</v>
      </c>
      <c r="L684" s="1" t="s">
        <v>517</v>
      </c>
      <c r="M684" s="1" t="s">
        <v>289</v>
      </c>
      <c r="N684" s="1" t="s">
        <v>290</v>
      </c>
      <c r="O684" s="1" t="s">
        <v>291</v>
      </c>
      <c r="P684" s="1" t="str">
        <f>_xlfn.CONCAT(B684,C684,D684,E684,F684)</f>
        <v>BC Camarao1.1215KTL-H3(MBUS-15)46097,944444444446097,944444444446097,9597222222</v>
      </c>
      <c r="Q684" s="1" t="str">
        <f>_xlfn.CONCAT(H684,I684,J684)</f>
        <v>LIGRFOCOM</v>
      </c>
    </row>
    <row r="685" spans="1:17">
      <c r="B685" s="1" t="s">
        <v>387</v>
      </c>
      <c r="C685" s="1" t="s">
        <v>247</v>
      </c>
      <c r="D685" s="52">
        <v>46097.944444444445</v>
      </c>
      <c r="E685" s="52">
        <v>46097.944444444445</v>
      </c>
      <c r="F685" s="52">
        <v>46097.959722222222</v>
      </c>
      <c r="G685" s="53">
        <f>F685-E685</f>
        <v>1.5277777776645962E-2</v>
      </c>
      <c r="H685" s="1" t="s">
        <v>268</v>
      </c>
      <c r="I685" s="1" t="s">
        <v>269</v>
      </c>
      <c r="J685" s="1" t="s">
        <v>319</v>
      </c>
      <c r="K685" s="1" t="str">
        <f>_xlfn.XLOOKUP(J685,REF!$D$2:$D$12,REF!$E$2:$E$12)</f>
        <v>Comunicação</v>
      </c>
      <c r="L685" s="1" t="s">
        <v>517</v>
      </c>
      <c r="M685" s="1" t="s">
        <v>289</v>
      </c>
      <c r="N685" s="1" t="s">
        <v>290</v>
      </c>
      <c r="O685" s="1" t="s">
        <v>291</v>
      </c>
      <c r="P685" s="1" t="str">
        <f>_xlfn.CONCAT(B685,C685,D685,E685,F685)</f>
        <v>BC Camarao1.2Inverter(MBUS-1)46097,944444444446097,944444444446097,9597222222</v>
      </c>
      <c r="Q685" s="1" t="str">
        <f>_xlfn.CONCAT(H685,I685,J685)</f>
        <v>LIGRFOCOM</v>
      </c>
    </row>
    <row r="686" spans="1:17">
      <c r="B686" s="1" t="s">
        <v>387</v>
      </c>
      <c r="C686" s="1" t="s">
        <v>388</v>
      </c>
      <c r="D686" s="52">
        <v>46097.944444444445</v>
      </c>
      <c r="E686" s="52">
        <v>46097.944444444445</v>
      </c>
      <c r="F686" s="52">
        <v>46097.959722222222</v>
      </c>
      <c r="G686" s="53">
        <f>F686-E686</f>
        <v>1.5277777776645962E-2</v>
      </c>
      <c r="H686" s="1" t="s">
        <v>268</v>
      </c>
      <c r="I686" s="1" t="s">
        <v>269</v>
      </c>
      <c r="J686" s="1" t="s">
        <v>319</v>
      </c>
      <c r="K686" s="1" t="str">
        <f>_xlfn.XLOOKUP(J686,REF!$D$2:$D$12,REF!$E$2:$E$12)</f>
        <v>Comunicação</v>
      </c>
      <c r="L686" s="1" t="s">
        <v>517</v>
      </c>
      <c r="M686" s="1" t="s">
        <v>289</v>
      </c>
      <c r="N686" s="1" t="s">
        <v>290</v>
      </c>
      <c r="O686" s="1" t="s">
        <v>291</v>
      </c>
      <c r="P686" s="1" t="str">
        <f>_xlfn.CONCAT(B686,C686,D686,E686,F686)</f>
        <v>BC Camarao1.2Inv. 346097,944444444446097,944444444446097,9597222222</v>
      </c>
      <c r="Q686" s="1" t="str">
        <f>_xlfn.CONCAT(H686,I686,J686)</f>
        <v>LIGRFOCOM</v>
      </c>
    </row>
    <row r="687" spans="1:17">
      <c r="B687" s="1" t="s">
        <v>387</v>
      </c>
      <c r="C687" s="1" t="s">
        <v>389</v>
      </c>
      <c r="D687" s="52">
        <v>46097.944444444445</v>
      </c>
      <c r="E687" s="52">
        <v>46097.944444444445</v>
      </c>
      <c r="F687" s="52">
        <v>46097.959722222222</v>
      </c>
      <c r="G687" s="53">
        <f>F687-E687</f>
        <v>1.5277777776645962E-2</v>
      </c>
      <c r="H687" s="1" t="s">
        <v>268</v>
      </c>
      <c r="I687" s="1" t="s">
        <v>269</v>
      </c>
      <c r="J687" s="1" t="s">
        <v>319</v>
      </c>
      <c r="K687" s="1" t="str">
        <f>_xlfn.XLOOKUP(J687,REF!$D$2:$D$12,REF!$E$2:$E$12)</f>
        <v>Comunicação</v>
      </c>
      <c r="L687" s="1" t="s">
        <v>517</v>
      </c>
      <c r="M687" s="1" t="s">
        <v>289</v>
      </c>
      <c r="N687" s="1" t="s">
        <v>290</v>
      </c>
      <c r="O687" s="1" t="s">
        <v>291</v>
      </c>
      <c r="P687" s="1" t="str">
        <f>_xlfn.CONCAT(B687,C687,D687,E687,F687)</f>
        <v>BC Camarao1.2Inv. 446097,944444444446097,944444444446097,9597222222</v>
      </c>
      <c r="Q687" s="1" t="str">
        <f>_xlfn.CONCAT(H687,I687,J687)</f>
        <v>LIGRFOCOM</v>
      </c>
    </row>
    <row r="688" spans="1:17">
      <c r="B688" s="1" t="s">
        <v>387</v>
      </c>
      <c r="C688" s="1" t="s">
        <v>390</v>
      </c>
      <c r="D688" s="52">
        <v>46097.944444444445</v>
      </c>
      <c r="E688" s="52">
        <v>46097.944444444445</v>
      </c>
      <c r="F688" s="52">
        <v>46097.959722222222</v>
      </c>
      <c r="G688" s="53">
        <f>F688-E688</f>
        <v>1.5277777776645962E-2</v>
      </c>
      <c r="H688" s="1" t="s">
        <v>268</v>
      </c>
      <c r="I688" s="1" t="s">
        <v>269</v>
      </c>
      <c r="J688" s="1" t="s">
        <v>319</v>
      </c>
      <c r="K688" s="1" t="str">
        <f>_xlfn.XLOOKUP(J688,REF!$D$2:$D$12,REF!$E$2:$E$12)</f>
        <v>Comunicação</v>
      </c>
      <c r="L688" s="1" t="s">
        <v>517</v>
      </c>
      <c r="M688" s="1" t="s">
        <v>289</v>
      </c>
      <c r="N688" s="1" t="s">
        <v>290</v>
      </c>
      <c r="O688" s="1" t="s">
        <v>291</v>
      </c>
      <c r="P688" s="1" t="str">
        <f>_xlfn.CONCAT(B688,C688,D688,E688,F688)</f>
        <v>BC Camarao1.2Inverter(MBUS-16)46097,944444444446097,944444444446097,9597222222</v>
      </c>
      <c r="Q688" s="1" t="str">
        <f>_xlfn.CONCAT(H688,I688,J688)</f>
        <v>LIGRFOCOM</v>
      </c>
    </row>
    <row r="689" spans="2:17">
      <c r="B689" s="1" t="s">
        <v>387</v>
      </c>
      <c r="C689" s="1" t="s">
        <v>256</v>
      </c>
      <c r="D689" s="52">
        <v>46097.944444444445</v>
      </c>
      <c r="E689" s="52">
        <v>46097.944444444445</v>
      </c>
      <c r="F689" s="52">
        <v>46097.959722222222</v>
      </c>
      <c r="G689" s="53">
        <f>F689-E689</f>
        <v>1.5277777776645962E-2</v>
      </c>
      <c r="H689" s="1" t="s">
        <v>268</v>
      </c>
      <c r="I689" s="1" t="s">
        <v>269</v>
      </c>
      <c r="J689" s="1" t="s">
        <v>319</v>
      </c>
      <c r="K689" s="1" t="str">
        <f>_xlfn.XLOOKUP(J689,REF!$D$2:$D$12,REF!$E$2:$E$12)</f>
        <v>Comunicação</v>
      </c>
      <c r="L689" s="1" t="s">
        <v>517</v>
      </c>
      <c r="M689" s="1" t="s">
        <v>289</v>
      </c>
      <c r="N689" s="1" t="s">
        <v>290</v>
      </c>
      <c r="O689" s="1" t="s">
        <v>291</v>
      </c>
      <c r="P689" s="1" t="str">
        <f>_xlfn.CONCAT(B689,C689,D689,E689,F689)</f>
        <v>BC Camarao1.2Inverter(MBUS-12)46097,944444444446097,944444444446097,9597222222</v>
      </c>
      <c r="Q689" s="1" t="str">
        <f>_xlfn.CONCAT(H689,I689,J689)</f>
        <v>LIGRFOCOM</v>
      </c>
    </row>
    <row r="690" spans="2:17">
      <c r="B690" s="1" t="s">
        <v>381</v>
      </c>
      <c r="C690" s="1" t="s">
        <v>379</v>
      </c>
      <c r="D690" s="52">
        <v>46097.944444444445</v>
      </c>
      <c r="E690" s="52">
        <v>46097.944444444445</v>
      </c>
      <c r="F690" s="52">
        <v>46097.959722222222</v>
      </c>
      <c r="G690" s="53">
        <f>F690-E690</f>
        <v>1.5277777776645962E-2</v>
      </c>
      <c r="H690" s="1" t="s">
        <v>268</v>
      </c>
      <c r="I690" s="1" t="s">
        <v>269</v>
      </c>
      <c r="J690" s="1" t="s">
        <v>319</v>
      </c>
      <c r="K690" s="1" t="str">
        <f>_xlfn.XLOOKUP(J690,REF!$D$2:$D$12,REF!$E$2:$E$12)</f>
        <v>Comunicação</v>
      </c>
      <c r="L690" s="1" t="s">
        <v>517</v>
      </c>
      <c r="M690" s="1" t="s">
        <v>289</v>
      </c>
      <c r="N690" s="1" t="s">
        <v>290</v>
      </c>
      <c r="O690" s="1" t="s">
        <v>291</v>
      </c>
      <c r="P690" s="1" t="str">
        <f>_xlfn.CONCAT(B690,C690,D690,E690,F690)</f>
        <v>BC Camarao1.3215KTL-H3(MBUS-16)46097,944444444446097,944444444446097,9597222222</v>
      </c>
      <c r="Q690" s="1" t="str">
        <f>_xlfn.CONCAT(H690,I690,J690)</f>
        <v>LIGRFOCOM</v>
      </c>
    </row>
    <row r="691" spans="2:17">
      <c r="B691" s="1" t="s">
        <v>381</v>
      </c>
      <c r="C691" s="1" t="s">
        <v>382</v>
      </c>
      <c r="D691" s="52">
        <v>46097.944444444445</v>
      </c>
      <c r="E691" s="52">
        <v>46097.944444444445</v>
      </c>
      <c r="F691" s="52">
        <v>46097.959722222222</v>
      </c>
      <c r="G691" s="53">
        <f>F691-E691</f>
        <v>1.5277777776645962E-2</v>
      </c>
      <c r="H691" s="1" t="s">
        <v>268</v>
      </c>
      <c r="I691" s="1" t="s">
        <v>269</v>
      </c>
      <c r="J691" s="1" t="s">
        <v>319</v>
      </c>
      <c r="K691" s="1" t="str">
        <f>_xlfn.XLOOKUP(J691,REF!$D$2:$D$12,REF!$E$2:$E$12)</f>
        <v>Comunicação</v>
      </c>
      <c r="L691" s="1" t="s">
        <v>517</v>
      </c>
      <c r="M691" s="1" t="s">
        <v>289</v>
      </c>
      <c r="N691" s="1" t="s">
        <v>290</v>
      </c>
      <c r="O691" s="1" t="s">
        <v>291</v>
      </c>
      <c r="P691" s="1" t="str">
        <f>_xlfn.CONCAT(B691,C691,D691,E691,F691)</f>
        <v>BC Camarao1.3215KTL-H3(MBUS-14)46097,944444444446097,944444444446097,9597222222</v>
      </c>
      <c r="Q691" s="1" t="str">
        <f>_xlfn.CONCAT(H691,I691,J691)</f>
        <v>LIGRFOCOM</v>
      </c>
    </row>
    <row r="692" spans="2:17">
      <c r="B692" s="1" t="s">
        <v>381</v>
      </c>
      <c r="C692" s="1" t="s">
        <v>380</v>
      </c>
      <c r="D692" s="52">
        <v>46097.944444444445</v>
      </c>
      <c r="E692" s="52">
        <v>46097.944444444445</v>
      </c>
      <c r="F692" s="52">
        <v>46097.959722222222</v>
      </c>
      <c r="G692" s="53">
        <f>F692-E692</f>
        <v>1.5277777776645962E-2</v>
      </c>
      <c r="H692" s="1" t="s">
        <v>268</v>
      </c>
      <c r="I692" s="1" t="s">
        <v>269</v>
      </c>
      <c r="J692" s="1" t="s">
        <v>319</v>
      </c>
      <c r="K692" s="1" t="str">
        <f>_xlfn.XLOOKUP(J692,REF!$D$2:$D$12,REF!$E$2:$E$12)</f>
        <v>Comunicação</v>
      </c>
      <c r="L692" s="1" t="s">
        <v>517</v>
      </c>
      <c r="M692" s="1" t="s">
        <v>289</v>
      </c>
      <c r="N692" s="1" t="s">
        <v>290</v>
      </c>
      <c r="O692" s="1" t="s">
        <v>291</v>
      </c>
      <c r="P692" s="1" t="str">
        <f>_xlfn.CONCAT(B692,C692,D692,E692,F692)</f>
        <v>BC Camarao1.3215KTL-H3(MBUS-15)46097,944444444446097,944444444446097,9597222222</v>
      </c>
      <c r="Q692" s="1" t="str">
        <f>_xlfn.CONCAT(H692,I692,J692)</f>
        <v>LIGRFOCOM</v>
      </c>
    </row>
    <row r="693" spans="2:17">
      <c r="B693" s="1" t="s">
        <v>381</v>
      </c>
      <c r="C693" s="1" t="s">
        <v>377</v>
      </c>
      <c r="D693" s="52">
        <v>46097.944444444445</v>
      </c>
      <c r="E693" s="52">
        <v>46097.944444444445</v>
      </c>
      <c r="F693" s="52">
        <v>46097.959722222222</v>
      </c>
      <c r="G693" s="53">
        <f>F693-E693</f>
        <v>1.5277777776645962E-2</v>
      </c>
      <c r="H693" s="1" t="s">
        <v>268</v>
      </c>
      <c r="I693" s="1" t="s">
        <v>269</v>
      </c>
      <c r="J693" s="1" t="s">
        <v>319</v>
      </c>
      <c r="K693" s="1" t="str">
        <f>_xlfn.XLOOKUP(J693,REF!$D$2:$D$12,REF!$E$2:$E$12)</f>
        <v>Comunicação</v>
      </c>
      <c r="L693" s="1" t="s">
        <v>517</v>
      </c>
      <c r="M693" s="1" t="s">
        <v>289</v>
      </c>
      <c r="N693" s="1" t="s">
        <v>290</v>
      </c>
      <c r="O693" s="1" t="s">
        <v>291</v>
      </c>
      <c r="P693" s="1" t="str">
        <f>_xlfn.CONCAT(B693,C693,D693,E693,F693)</f>
        <v>BC Camarao1.3215KTL-H3(MBUS-12)46097,944444444446097,944444444446097,9597222222</v>
      </c>
      <c r="Q693" s="1" t="str">
        <f>_xlfn.CONCAT(H693,I693,J693)</f>
        <v>LIGRFOCOM</v>
      </c>
    </row>
    <row r="694" spans="2:17">
      <c r="B694" s="1" t="s">
        <v>381</v>
      </c>
      <c r="C694" s="1" t="s">
        <v>378</v>
      </c>
      <c r="D694" s="52">
        <v>46097.944444444445</v>
      </c>
      <c r="E694" s="52">
        <v>46097.944444444445</v>
      </c>
      <c r="F694" s="52">
        <v>46097.959722222222</v>
      </c>
      <c r="G694" s="53">
        <f>F694-E694</f>
        <v>1.5277777776645962E-2</v>
      </c>
      <c r="H694" s="1" t="s">
        <v>268</v>
      </c>
      <c r="I694" s="1" t="s">
        <v>269</v>
      </c>
      <c r="J694" s="1" t="s">
        <v>319</v>
      </c>
      <c r="K694" s="1" t="str">
        <f>_xlfn.XLOOKUP(J694,REF!$D$2:$D$12,REF!$E$2:$E$12)</f>
        <v>Comunicação</v>
      </c>
      <c r="L694" s="1" t="s">
        <v>517</v>
      </c>
      <c r="M694" s="1" t="s">
        <v>289</v>
      </c>
      <c r="N694" s="1" t="s">
        <v>290</v>
      </c>
      <c r="O694" s="1" t="s">
        <v>291</v>
      </c>
      <c r="P694" s="1" t="str">
        <f>_xlfn.CONCAT(B694,C694,D694,E694,F694)</f>
        <v>BC Camarao1.3215KTL-H3(MBUS-13)46097,944444444446097,944444444446097,9597222222</v>
      </c>
      <c r="Q694" s="1" t="str">
        <f>_xlfn.CONCAT(H694,I694,J694)</f>
        <v>LIGRFOCOM</v>
      </c>
    </row>
    <row r="695" spans="2:17">
      <c r="B695" s="1" t="s">
        <v>391</v>
      </c>
      <c r="C695" s="1" t="s">
        <v>392</v>
      </c>
      <c r="D695" s="52">
        <v>46097.944444444445</v>
      </c>
      <c r="E695" s="52">
        <v>46097.944444444445</v>
      </c>
      <c r="F695" s="52">
        <v>46097.959722222222</v>
      </c>
      <c r="G695" s="53">
        <f>F695-E695</f>
        <v>1.5277777776645962E-2</v>
      </c>
      <c r="H695" s="1" t="s">
        <v>268</v>
      </c>
      <c r="I695" s="1" t="s">
        <v>269</v>
      </c>
      <c r="J695" s="1" t="s">
        <v>319</v>
      </c>
      <c r="K695" s="1" t="str">
        <f>_xlfn.XLOOKUP(J695,REF!$D$2:$D$12,REF!$E$2:$E$12)</f>
        <v>Comunicação</v>
      </c>
      <c r="L695" s="1" t="s">
        <v>517</v>
      </c>
      <c r="M695" s="1" t="s">
        <v>289</v>
      </c>
      <c r="N695" s="1" t="s">
        <v>290</v>
      </c>
      <c r="O695" s="1" t="s">
        <v>291</v>
      </c>
      <c r="P695" s="1" t="str">
        <f>_xlfn.CONCAT(B695,C695,D695,E695,F695)</f>
        <v>BC Camarao1.4INV-6T22A904138146097,944444444446097,944444444446097,9597222222</v>
      </c>
      <c r="Q695" s="1" t="str">
        <f>_xlfn.CONCAT(H695,I695,J695)</f>
        <v>LIGRFOCOM</v>
      </c>
    </row>
    <row r="696" spans="2:17">
      <c r="B696" s="1" t="s">
        <v>391</v>
      </c>
      <c r="C696" s="1" t="s">
        <v>382</v>
      </c>
      <c r="D696" s="52">
        <v>46097.944444444445</v>
      </c>
      <c r="E696" s="52">
        <v>46097.944444444445</v>
      </c>
      <c r="F696" s="52">
        <v>46097.959722222222</v>
      </c>
      <c r="G696" s="53">
        <f>F696-E696</f>
        <v>1.5277777776645962E-2</v>
      </c>
      <c r="H696" s="1" t="s">
        <v>268</v>
      </c>
      <c r="I696" s="1" t="s">
        <v>269</v>
      </c>
      <c r="J696" s="1" t="s">
        <v>319</v>
      </c>
      <c r="K696" s="1" t="str">
        <f>_xlfn.XLOOKUP(J696,REF!$D$2:$D$12,REF!$E$2:$E$12)</f>
        <v>Comunicação</v>
      </c>
      <c r="L696" s="1" t="s">
        <v>517</v>
      </c>
      <c r="M696" s="1" t="s">
        <v>289</v>
      </c>
      <c r="N696" s="1" t="s">
        <v>290</v>
      </c>
      <c r="O696" s="1" t="s">
        <v>291</v>
      </c>
      <c r="P696" s="1" t="str">
        <f>_xlfn.CONCAT(B696,C696,D696,E696,F696)</f>
        <v>BC Camarao1.4215KTL-H3(MBUS-14)46097,944444444446097,944444444446097,9597222222</v>
      </c>
      <c r="Q696" s="1" t="str">
        <f>_xlfn.CONCAT(H696,I696,J696)</f>
        <v>LIGRFOCOM</v>
      </c>
    </row>
    <row r="697" spans="2:17">
      <c r="B697" s="1" t="s">
        <v>391</v>
      </c>
      <c r="C697" s="1" t="s">
        <v>378</v>
      </c>
      <c r="D697" s="52">
        <v>46097.944444444445</v>
      </c>
      <c r="E697" s="52">
        <v>46097.944444444445</v>
      </c>
      <c r="F697" s="52">
        <v>46097.959722222222</v>
      </c>
      <c r="G697" s="53">
        <f>F697-E697</f>
        <v>1.5277777776645962E-2</v>
      </c>
      <c r="H697" s="1" t="s">
        <v>268</v>
      </c>
      <c r="I697" s="1" t="s">
        <v>269</v>
      </c>
      <c r="J697" s="1" t="s">
        <v>319</v>
      </c>
      <c r="K697" s="1" t="str">
        <f>_xlfn.XLOOKUP(J697,REF!$D$2:$D$12,REF!$E$2:$E$12)</f>
        <v>Comunicação</v>
      </c>
      <c r="L697" s="1" t="s">
        <v>517</v>
      </c>
      <c r="M697" s="1" t="s">
        <v>289</v>
      </c>
      <c r="N697" s="1" t="s">
        <v>290</v>
      </c>
      <c r="O697" s="1" t="s">
        <v>291</v>
      </c>
      <c r="P697" s="1" t="str">
        <f>_xlfn.CONCAT(B697,C697,D697,E697,F697)</f>
        <v>BC Camarao1.4215KTL-H3(MBUS-13)46097,944444444446097,944444444446097,9597222222</v>
      </c>
      <c r="Q697" s="1" t="str">
        <f>_xlfn.CONCAT(H697,I697,J697)</f>
        <v>LIGRFOCOM</v>
      </c>
    </row>
    <row r="698" spans="2:17">
      <c r="B698" s="1" t="s">
        <v>391</v>
      </c>
      <c r="C698" s="1" t="s">
        <v>379</v>
      </c>
      <c r="D698" s="52">
        <v>46097.944444444445</v>
      </c>
      <c r="E698" s="52">
        <v>46097.944444444445</v>
      </c>
      <c r="F698" s="52">
        <v>46097.959722222222</v>
      </c>
      <c r="G698" s="53">
        <f>F698-E698</f>
        <v>1.5277777776645962E-2</v>
      </c>
      <c r="H698" s="1" t="s">
        <v>268</v>
      </c>
      <c r="I698" s="1" t="s">
        <v>269</v>
      </c>
      <c r="J698" s="1" t="s">
        <v>319</v>
      </c>
      <c r="K698" s="1" t="str">
        <f>_xlfn.XLOOKUP(J698,REF!$D$2:$D$12,REF!$E$2:$E$12)</f>
        <v>Comunicação</v>
      </c>
      <c r="L698" s="1" t="s">
        <v>517</v>
      </c>
      <c r="M698" s="1" t="s">
        <v>289</v>
      </c>
      <c r="N698" s="1" t="s">
        <v>290</v>
      </c>
      <c r="O698" s="1" t="s">
        <v>291</v>
      </c>
      <c r="P698" s="1" t="str">
        <f>_xlfn.CONCAT(B698,C698,D698,E698,F698)</f>
        <v>BC Camarao1.4215KTL-H3(MBUS-16)46097,944444444446097,944444444446097,9597222222</v>
      </c>
      <c r="Q698" s="1" t="str">
        <f>_xlfn.CONCAT(H698,I698,J698)</f>
        <v>LIGRFOCOM</v>
      </c>
    </row>
    <row r="699" spans="2:17">
      <c r="B699" s="1" t="s">
        <v>391</v>
      </c>
      <c r="C699" s="1" t="s">
        <v>380</v>
      </c>
      <c r="D699" s="52">
        <v>46097.944444444445</v>
      </c>
      <c r="E699" s="52">
        <v>46097.944444444445</v>
      </c>
      <c r="F699" s="52">
        <v>46097.959722222222</v>
      </c>
      <c r="G699" s="53">
        <f>F699-E699</f>
        <v>1.5277777776645962E-2</v>
      </c>
      <c r="H699" s="1" t="s">
        <v>268</v>
      </c>
      <c r="I699" s="1" t="s">
        <v>269</v>
      </c>
      <c r="J699" s="1" t="s">
        <v>319</v>
      </c>
      <c r="K699" s="1" t="str">
        <f>_xlfn.XLOOKUP(J699,REF!$D$2:$D$12,REF!$E$2:$E$12)</f>
        <v>Comunicação</v>
      </c>
      <c r="L699" s="1" t="s">
        <v>517</v>
      </c>
      <c r="M699" s="1" t="s">
        <v>289</v>
      </c>
      <c r="N699" s="1" t="s">
        <v>290</v>
      </c>
      <c r="O699" s="1" t="s">
        <v>291</v>
      </c>
      <c r="P699" s="1" t="str">
        <f>_xlfn.CONCAT(B699,C699,D699,E699,F699)</f>
        <v>BC Camarao1.4215KTL-H3(MBUS-15)46097,944444444446097,944444444446097,9597222222</v>
      </c>
      <c r="Q699" s="1" t="str">
        <f>_xlfn.CONCAT(H699,I699,J699)</f>
        <v>LIGRFOCOM</v>
      </c>
    </row>
    <row r="700" spans="2:17">
      <c r="B700" s="1" t="s">
        <v>519</v>
      </c>
      <c r="C700" s="1" t="s">
        <v>380</v>
      </c>
      <c r="D700" s="52">
        <v>46097.944444444445</v>
      </c>
      <c r="E700" s="52">
        <v>46097.944444444445</v>
      </c>
      <c r="F700" s="52">
        <v>46097.959722222222</v>
      </c>
      <c r="G700" s="53">
        <f>F700-E700</f>
        <v>1.5277777776645962E-2</v>
      </c>
      <c r="H700" s="1" t="s">
        <v>268</v>
      </c>
      <c r="I700" s="1" t="s">
        <v>269</v>
      </c>
      <c r="J700" s="1" t="s">
        <v>319</v>
      </c>
      <c r="K700" s="1" t="str">
        <f>_xlfn.XLOOKUP(J700,REF!$D$2:$D$12,REF!$E$2:$E$12)</f>
        <v>Comunicação</v>
      </c>
      <c r="L700" s="1" t="s">
        <v>517</v>
      </c>
      <c r="M700" s="1" t="s">
        <v>289</v>
      </c>
      <c r="N700" s="1" t="s">
        <v>290</v>
      </c>
      <c r="O700" s="1" t="s">
        <v>291</v>
      </c>
      <c r="P700" s="1" t="str">
        <f>_xlfn.CONCAT(B700,C700,D700,E700,F700)</f>
        <v>BC Camarao1.5215KTL-H3(MBUS-15)46097,944444444446097,944444444446097,9597222222</v>
      </c>
      <c r="Q700" s="1" t="str">
        <f>_xlfn.CONCAT(H700,I700,J700)</f>
        <v>LIGRFOCOM</v>
      </c>
    </row>
    <row r="701" spans="2:17">
      <c r="B701" s="1" t="s">
        <v>519</v>
      </c>
      <c r="C701" s="1" t="s">
        <v>378</v>
      </c>
      <c r="D701" s="52">
        <v>46097.944444444445</v>
      </c>
      <c r="E701" s="52">
        <v>46097.944444444445</v>
      </c>
      <c r="F701" s="52">
        <v>46097.959722222222</v>
      </c>
      <c r="G701" s="53">
        <f>F701-E701</f>
        <v>1.5277777776645962E-2</v>
      </c>
      <c r="H701" s="1" t="s">
        <v>268</v>
      </c>
      <c r="I701" s="1" t="s">
        <v>269</v>
      </c>
      <c r="J701" s="1" t="s">
        <v>319</v>
      </c>
      <c r="K701" s="1" t="str">
        <f>_xlfn.XLOOKUP(J701,REF!$D$2:$D$12,REF!$E$2:$E$12)</f>
        <v>Comunicação</v>
      </c>
      <c r="L701" s="1" t="s">
        <v>517</v>
      </c>
      <c r="M701" s="1" t="s">
        <v>289</v>
      </c>
      <c r="N701" s="1" t="s">
        <v>290</v>
      </c>
      <c r="O701" s="1" t="s">
        <v>291</v>
      </c>
      <c r="P701" s="1" t="str">
        <f>_xlfn.CONCAT(B701,C701,D701,E701,F701)</f>
        <v>BC Camarao1.5215KTL-H3(MBUS-13)46097,944444444446097,944444444446097,9597222222</v>
      </c>
      <c r="Q701" s="1" t="str">
        <f>_xlfn.CONCAT(H701,I701,J701)</f>
        <v>LIGRFOCOM</v>
      </c>
    </row>
    <row r="702" spans="2:17">
      <c r="B702" s="1" t="s">
        <v>519</v>
      </c>
      <c r="C702" s="1" t="s">
        <v>377</v>
      </c>
      <c r="D702" s="52">
        <v>46097.944444444445</v>
      </c>
      <c r="E702" s="52">
        <v>46097.944444444445</v>
      </c>
      <c r="F702" s="52">
        <v>46097.959722222222</v>
      </c>
      <c r="G702" s="53">
        <f>F702-E702</f>
        <v>1.5277777776645962E-2</v>
      </c>
      <c r="H702" s="1" t="s">
        <v>268</v>
      </c>
      <c r="I702" s="1" t="s">
        <v>269</v>
      </c>
      <c r="J702" s="1" t="s">
        <v>319</v>
      </c>
      <c r="K702" s="1" t="str">
        <f>_xlfn.XLOOKUP(J702,REF!$D$2:$D$12,REF!$E$2:$E$12)</f>
        <v>Comunicação</v>
      </c>
      <c r="L702" s="1" t="s">
        <v>517</v>
      </c>
      <c r="M702" s="1" t="s">
        <v>289</v>
      </c>
      <c r="N702" s="1" t="s">
        <v>290</v>
      </c>
      <c r="O702" s="1" t="s">
        <v>291</v>
      </c>
      <c r="P702" s="1" t="str">
        <f>_xlfn.CONCAT(B702,C702,D702,E702,F702)</f>
        <v>BC Camarao1.5215KTL-H3(MBUS-12)46097,944444444446097,944444444446097,9597222222</v>
      </c>
      <c r="Q702" s="1" t="str">
        <f>_xlfn.CONCAT(H702,I702,J702)</f>
        <v>LIGRFOCOM</v>
      </c>
    </row>
    <row r="703" spans="2:17">
      <c r="B703" s="1" t="s">
        <v>519</v>
      </c>
      <c r="C703" s="1" t="s">
        <v>520</v>
      </c>
      <c r="D703" s="52">
        <v>46097.944444444445</v>
      </c>
      <c r="E703" s="52">
        <v>46097.944444444445</v>
      </c>
      <c r="F703" s="52">
        <v>46097.959722222222</v>
      </c>
      <c r="G703" s="53">
        <f>F703-E703</f>
        <v>1.5277777776645962E-2</v>
      </c>
      <c r="H703" s="1" t="s">
        <v>268</v>
      </c>
      <c r="I703" s="1" t="s">
        <v>269</v>
      </c>
      <c r="J703" s="1" t="s">
        <v>319</v>
      </c>
      <c r="K703" s="1" t="str">
        <f>_xlfn.XLOOKUP(J703,REF!$D$2:$D$12,REF!$E$2:$E$12)</f>
        <v>Comunicação</v>
      </c>
      <c r="L703" s="1" t="s">
        <v>517</v>
      </c>
      <c r="M703" s="1" t="s">
        <v>289</v>
      </c>
      <c r="N703" s="1" t="s">
        <v>290</v>
      </c>
      <c r="O703" s="1" t="s">
        <v>291</v>
      </c>
      <c r="P703" s="1" t="str">
        <f>_xlfn.CONCAT(B703,C703,D703,E703,F703)</f>
        <v>BC Camarao1.5215KTL-H3(MBUS-1)46097,944444444446097,944444444446097,9597222222</v>
      </c>
      <c r="Q703" s="1" t="str">
        <f>_xlfn.CONCAT(H703,I703,J703)</f>
        <v>LIGRFOCOM</v>
      </c>
    </row>
    <row r="704" spans="2:17">
      <c r="B704" s="1" t="s">
        <v>519</v>
      </c>
      <c r="C704" s="1" t="s">
        <v>382</v>
      </c>
      <c r="D704" s="52">
        <v>46097.944444444445</v>
      </c>
      <c r="E704" s="52">
        <v>46097.944444444445</v>
      </c>
      <c r="F704" s="52">
        <v>46097.959722222222</v>
      </c>
      <c r="G704" s="53">
        <f>F704-E704</f>
        <v>1.5277777776645962E-2</v>
      </c>
      <c r="H704" s="1" t="s">
        <v>268</v>
      </c>
      <c r="I704" s="1" t="s">
        <v>269</v>
      </c>
      <c r="J704" s="1" t="s">
        <v>319</v>
      </c>
      <c r="K704" s="1" t="str">
        <f>_xlfn.XLOOKUP(J704,REF!$D$2:$D$12,REF!$E$2:$E$12)</f>
        <v>Comunicação</v>
      </c>
      <c r="L704" s="1" t="s">
        <v>517</v>
      </c>
      <c r="M704" s="1" t="s">
        <v>289</v>
      </c>
      <c r="N704" s="1" t="s">
        <v>290</v>
      </c>
      <c r="O704" s="1" t="s">
        <v>291</v>
      </c>
      <c r="P704" s="1" t="str">
        <f>_xlfn.CONCAT(B704,C704,D704,E704,F704)</f>
        <v>BC Camarao1.5215KTL-H3(MBUS-14)46097,944444444446097,944444444446097,9597222222</v>
      </c>
      <c r="Q704" s="1" t="str">
        <f>_xlfn.CONCAT(H704,I704,J704)</f>
        <v>LIGRFOCOM</v>
      </c>
    </row>
    <row r="705" spans="2:17">
      <c r="B705" s="1" t="s">
        <v>327</v>
      </c>
      <c r="C705" s="1" t="s">
        <v>247</v>
      </c>
      <c r="D705" s="52">
        <v>46098.15625</v>
      </c>
      <c r="E705" s="52">
        <v>46098.15625</v>
      </c>
      <c r="F705" s="52">
        <v>46098.291666666664</v>
      </c>
      <c r="G705" s="53">
        <f>F705-E705</f>
        <v>0.13541666666424135</v>
      </c>
      <c r="H705" s="1" t="s">
        <v>257</v>
      </c>
      <c r="J705" s="1" t="s">
        <v>258</v>
      </c>
      <c r="K705" s="1" t="str">
        <f>_xlfn.XLOOKUP(J705,REF!$D$2:$D$12,REF!$E$2:$E$12)</f>
        <v>Rede</v>
      </c>
      <c r="L705" s="1" t="s">
        <v>374</v>
      </c>
      <c r="M705" s="1" t="s">
        <v>260</v>
      </c>
      <c r="N705" s="1" t="s">
        <v>261</v>
      </c>
      <c r="O705" s="1" t="s">
        <v>297</v>
      </c>
      <c r="P705" s="1" t="str">
        <f>_xlfn.CONCAT(B705,C705,D705,E705,F705)</f>
        <v>BC Aracu5.1Inverter(MBUS-1)46098,1562546098,1562546098,2916666667</v>
      </c>
      <c r="Q705" s="1" t="str">
        <f>_xlfn.CONCAT(H705,I705,J705)</f>
        <v>DAURDE</v>
      </c>
    </row>
    <row r="706" spans="2:17">
      <c r="B706" s="1" t="s">
        <v>246</v>
      </c>
      <c r="C706" s="1" t="s">
        <v>247</v>
      </c>
      <c r="D706" s="52">
        <v>46098.15625</v>
      </c>
      <c r="E706" s="52">
        <v>46098.15625</v>
      </c>
      <c r="F706" s="52">
        <v>46098.291666666664</v>
      </c>
      <c r="G706" s="53">
        <f>F706-E706</f>
        <v>0.13541666666424135</v>
      </c>
      <c r="H706" s="1" t="s">
        <v>257</v>
      </c>
      <c r="J706" s="1" t="s">
        <v>258</v>
      </c>
      <c r="K706" s="1" t="str">
        <f>_xlfn.XLOOKUP(J706,REF!$D$2:$D$12,REF!$E$2:$E$12)</f>
        <v>Rede</v>
      </c>
      <c r="L706" s="1" t="s">
        <v>374</v>
      </c>
      <c r="M706" s="1" t="s">
        <v>260</v>
      </c>
      <c r="N706" s="1" t="s">
        <v>261</v>
      </c>
      <c r="O706" s="1" t="s">
        <v>297</v>
      </c>
      <c r="P706" s="1" t="str">
        <f>_xlfn.CONCAT(B706,C706,D706,E706,F706)</f>
        <v>BC Aracu5.2Inverter(MBUS-1)46098,1562546098,1562546098,2916666667</v>
      </c>
      <c r="Q706" s="1" t="str">
        <f>_xlfn.CONCAT(H706,I706,J706)</f>
        <v>DAURDE</v>
      </c>
    </row>
    <row r="707" spans="2:17">
      <c r="B707" s="1" t="s">
        <v>328</v>
      </c>
      <c r="C707" s="1" t="s">
        <v>247</v>
      </c>
      <c r="D707" s="52">
        <v>46098.15625</v>
      </c>
      <c r="E707" s="52">
        <v>46098.15625</v>
      </c>
      <c r="F707" s="52">
        <v>46098.291666666664</v>
      </c>
      <c r="G707" s="53">
        <f>F707-E707</f>
        <v>0.13541666666424135</v>
      </c>
      <c r="H707" s="1" t="s">
        <v>257</v>
      </c>
      <c r="J707" s="1" t="s">
        <v>258</v>
      </c>
      <c r="K707" s="1" t="str">
        <f>_xlfn.XLOOKUP(J707,REF!$D$2:$D$12,REF!$E$2:$E$12)</f>
        <v>Rede</v>
      </c>
      <c r="L707" s="1" t="s">
        <v>374</v>
      </c>
      <c r="M707" s="1" t="s">
        <v>260</v>
      </c>
      <c r="N707" s="1" t="s">
        <v>261</v>
      </c>
      <c r="O707" s="1" t="s">
        <v>297</v>
      </c>
      <c r="P707" s="1" t="str">
        <f>_xlfn.CONCAT(B707,C707,D707,E707,F707)</f>
        <v>BC Aracu5.3Inverter(MBUS-1)46098,1562546098,1562546098,2916666667</v>
      </c>
      <c r="Q707" s="1" t="str">
        <f>_xlfn.CONCAT(H707,I707,J707)</f>
        <v>DAURDE</v>
      </c>
    </row>
    <row r="708" spans="2:17">
      <c r="B708" s="1" t="s">
        <v>329</v>
      </c>
      <c r="C708" s="1" t="s">
        <v>247</v>
      </c>
      <c r="D708" s="52">
        <v>46098.15625</v>
      </c>
      <c r="E708" s="52">
        <v>46098.15625</v>
      </c>
      <c r="F708" s="52">
        <v>46098.291666666664</v>
      </c>
      <c r="G708" s="53">
        <f>F708-E708</f>
        <v>0.13541666666424135</v>
      </c>
      <c r="H708" s="1" t="s">
        <v>257</v>
      </c>
      <c r="J708" s="1" t="s">
        <v>258</v>
      </c>
      <c r="K708" s="1" t="str">
        <f>_xlfn.XLOOKUP(J708,REF!$D$2:$D$12,REF!$E$2:$E$12)</f>
        <v>Rede</v>
      </c>
      <c r="L708" s="1" t="s">
        <v>374</v>
      </c>
      <c r="M708" s="1" t="s">
        <v>260</v>
      </c>
      <c r="N708" s="1" t="s">
        <v>261</v>
      </c>
      <c r="O708" s="1" t="s">
        <v>297</v>
      </c>
      <c r="P708" s="1" t="str">
        <f>_xlfn.CONCAT(B708,C708,D708,E708,F708)</f>
        <v>BC Aracu5.4Inverter(MBUS-1)46098,1562546098,1562546098,2916666667</v>
      </c>
      <c r="Q708" s="1" t="str">
        <f>_xlfn.CONCAT(H708,I708,J708)</f>
        <v>DAURDE</v>
      </c>
    </row>
    <row r="709" spans="2:17">
      <c r="B709" s="1" t="s">
        <v>330</v>
      </c>
      <c r="C709" s="1" t="s">
        <v>247</v>
      </c>
      <c r="D709" s="52">
        <v>46098.15625</v>
      </c>
      <c r="E709" s="52">
        <v>46098.15625</v>
      </c>
      <c r="F709" s="52">
        <v>46098.291666666664</v>
      </c>
      <c r="G709" s="53">
        <f>F709-E709</f>
        <v>0.13541666666424135</v>
      </c>
      <c r="H709" s="1" t="s">
        <v>257</v>
      </c>
      <c r="J709" s="1" t="s">
        <v>258</v>
      </c>
      <c r="K709" s="1" t="str">
        <f>_xlfn.XLOOKUP(J709,REF!$D$2:$D$12,REF!$E$2:$E$12)</f>
        <v>Rede</v>
      </c>
      <c r="L709" s="1" t="s">
        <v>374</v>
      </c>
      <c r="M709" s="1" t="s">
        <v>260</v>
      </c>
      <c r="N709" s="1" t="s">
        <v>261</v>
      </c>
      <c r="O709" s="1" t="s">
        <v>297</v>
      </c>
      <c r="P709" s="1" t="str">
        <f>_xlfn.CONCAT(B709,C709,D709,E709,F709)</f>
        <v>BC Aracu5.5Inverter(MBUS-1)46098,1562546098,1562546098,2916666667</v>
      </c>
      <c r="Q709" s="1" t="str">
        <f>_xlfn.CONCAT(H709,I709,J709)</f>
        <v>DAURDE</v>
      </c>
    </row>
    <row r="710" spans="2:17">
      <c r="B710" s="1" t="s">
        <v>305</v>
      </c>
      <c r="C710" s="1" t="s">
        <v>256</v>
      </c>
      <c r="D710" s="52">
        <v>46098.243055555555</v>
      </c>
      <c r="E710" s="52">
        <v>46098.243055555555</v>
      </c>
      <c r="F710" s="52">
        <v>46098.527777777781</v>
      </c>
      <c r="G710" s="53">
        <f>F710-E710</f>
        <v>0.28472222222626442</v>
      </c>
      <c r="H710" s="1" t="s">
        <v>257</v>
      </c>
      <c r="J710" s="1" t="s">
        <v>258</v>
      </c>
      <c r="K710" s="1" t="str">
        <f>_xlfn.XLOOKUP(J710,REF!$D$2:$D$12,REF!$E$2:$E$12)</f>
        <v>Rede</v>
      </c>
      <c r="L710" s="1" t="s">
        <v>521</v>
      </c>
      <c r="M710" s="1" t="s">
        <v>260</v>
      </c>
      <c r="N710" s="1" t="s">
        <v>261</v>
      </c>
      <c r="O710" s="72" t="s">
        <v>297</v>
      </c>
      <c r="P710" s="1" t="str">
        <f>_xlfn.CONCAT(B710,C710,D710,E710,F710)</f>
        <v>ARAGUATINS 1.1Inverter(MBUS-12)46098,243055555646098,243055555646098,5277777778</v>
      </c>
      <c r="Q710" s="1" t="str">
        <f>_xlfn.CONCAT(H710,I710,J710)</f>
        <v>DAURDE</v>
      </c>
    </row>
    <row r="711" spans="2:17">
      <c r="B711" s="1" t="s">
        <v>305</v>
      </c>
      <c r="C711" s="1" t="s">
        <v>264</v>
      </c>
      <c r="D711" s="52">
        <v>46098.243055555555</v>
      </c>
      <c r="E711" s="52">
        <v>46098.243055555555</v>
      </c>
      <c r="F711" s="52">
        <v>46098.527777777781</v>
      </c>
      <c r="G711" s="53">
        <f>F711-E711</f>
        <v>0.28472222222626442</v>
      </c>
      <c r="H711" s="1" t="s">
        <v>257</v>
      </c>
      <c r="J711" s="1" t="s">
        <v>258</v>
      </c>
      <c r="K711" s="1" t="str">
        <f>_xlfn.XLOOKUP(J711,REF!$D$2:$D$12,REF!$E$2:$E$12)</f>
        <v>Rede</v>
      </c>
      <c r="L711" s="1" t="s">
        <v>521</v>
      </c>
      <c r="M711" s="1" t="s">
        <v>260</v>
      </c>
      <c r="N711" s="1" t="s">
        <v>261</v>
      </c>
      <c r="O711" s="72" t="s">
        <v>297</v>
      </c>
      <c r="P711" s="1" t="str">
        <f>_xlfn.CONCAT(B711,C711,D711,E711,F711)</f>
        <v>ARAGUATINS 1.1Inverter(MBUS-13)46098,243055555646098,243055555646098,5277777778</v>
      </c>
      <c r="Q711" s="1" t="str">
        <f>_xlfn.CONCAT(H711,I711,J711)</f>
        <v>DAURDE</v>
      </c>
    </row>
    <row r="712" spans="2:17">
      <c r="B712" s="1" t="s">
        <v>305</v>
      </c>
      <c r="C712" s="1" t="s">
        <v>263</v>
      </c>
      <c r="D712" s="52">
        <v>46098.243055555555</v>
      </c>
      <c r="E712" s="52">
        <v>46098.243055555555</v>
      </c>
      <c r="F712" s="52">
        <v>46098.527777777781</v>
      </c>
      <c r="G712" s="53">
        <f>F712-E712</f>
        <v>0.28472222222626442</v>
      </c>
      <c r="H712" s="1" t="s">
        <v>257</v>
      </c>
      <c r="J712" s="1" t="s">
        <v>258</v>
      </c>
      <c r="K712" s="1" t="str">
        <f>_xlfn.XLOOKUP(J712,REF!$D$2:$D$12,REF!$E$2:$E$12)</f>
        <v>Rede</v>
      </c>
      <c r="L712" s="1" t="s">
        <v>521</v>
      </c>
      <c r="M712" s="1" t="s">
        <v>260</v>
      </c>
      <c r="N712" s="1" t="s">
        <v>261</v>
      </c>
      <c r="O712" s="72" t="s">
        <v>297</v>
      </c>
      <c r="P712" s="1" t="str">
        <f>_xlfn.CONCAT(B712,C712,D712,E712,F712)</f>
        <v>ARAGUATINS 1.1Inverter(MBUS-14)46098,243055555646098,243055555646098,5277777778</v>
      </c>
      <c r="Q712" s="1" t="str">
        <f>_xlfn.CONCAT(H712,I712,J712)</f>
        <v>DAURDE</v>
      </c>
    </row>
    <row r="713" spans="2:17">
      <c r="B713" s="1" t="s">
        <v>305</v>
      </c>
      <c r="C713" s="1" t="s">
        <v>307</v>
      </c>
      <c r="D713" s="52">
        <v>46098.243055555555</v>
      </c>
      <c r="E713" s="52">
        <v>46098.243055555555</v>
      </c>
      <c r="F713" s="52">
        <v>46098.527777777781</v>
      </c>
      <c r="G713" s="53">
        <f>F713-E713</f>
        <v>0.28472222222626442</v>
      </c>
      <c r="H713" s="1" t="s">
        <v>257</v>
      </c>
      <c r="J713" s="1" t="s">
        <v>258</v>
      </c>
      <c r="K713" s="1" t="str">
        <f>_xlfn.XLOOKUP(J713,REF!$D$2:$D$12,REF!$E$2:$E$12)</f>
        <v>Rede</v>
      </c>
      <c r="L713" s="1" t="s">
        <v>521</v>
      </c>
      <c r="M713" s="1" t="s">
        <v>260</v>
      </c>
      <c r="N713" s="1" t="s">
        <v>261</v>
      </c>
      <c r="O713" s="72" t="s">
        <v>297</v>
      </c>
      <c r="P713" s="1" t="str">
        <f>_xlfn.CONCAT(B713,C713,D713,E713,F713)</f>
        <v>ARAGUATINS 1.1Inverter(MBUS-15)46098,243055555646098,243055555646098,5277777778</v>
      </c>
      <c r="Q713" s="1" t="str">
        <f>_xlfn.CONCAT(H713,I713,J713)</f>
        <v>DAURDE</v>
      </c>
    </row>
    <row r="714" spans="2:17">
      <c r="B714" s="1" t="s">
        <v>308</v>
      </c>
      <c r="C714" s="1" t="s">
        <v>256</v>
      </c>
      <c r="D714" s="52">
        <v>46098.243055555555</v>
      </c>
      <c r="E714" s="52">
        <v>46098.243055555555</v>
      </c>
      <c r="F714" s="52">
        <v>46098.527777777781</v>
      </c>
      <c r="G714" s="53">
        <f>F714-E714</f>
        <v>0.28472222222626442</v>
      </c>
      <c r="H714" s="1" t="s">
        <v>257</v>
      </c>
      <c r="J714" s="1" t="s">
        <v>258</v>
      </c>
      <c r="K714" s="1" t="str">
        <f>_xlfn.XLOOKUP(J714,REF!$D$2:$D$12,REF!$E$2:$E$12)</f>
        <v>Rede</v>
      </c>
      <c r="L714" s="1" t="s">
        <v>521</v>
      </c>
      <c r="M714" s="1" t="s">
        <v>260</v>
      </c>
      <c r="N714" s="1" t="s">
        <v>261</v>
      </c>
      <c r="O714" s="72" t="s">
        <v>297</v>
      </c>
      <c r="P714" s="1" t="str">
        <f>_xlfn.CONCAT(B714,C714,D714,E714,F714)</f>
        <v>ARAGUATINS 1.2Inverter(MBUS-12)46098,243055555646098,243055555646098,5277777778</v>
      </c>
      <c r="Q714" s="1" t="str">
        <f>_xlfn.CONCAT(H714,I714,J714)</f>
        <v>DAURDE</v>
      </c>
    </row>
    <row r="715" spans="2:17">
      <c r="B715" s="1" t="s">
        <v>308</v>
      </c>
      <c r="C715" s="1" t="s">
        <v>264</v>
      </c>
      <c r="D715" s="52">
        <v>46098.243055555555</v>
      </c>
      <c r="E715" s="52">
        <v>46098.243055555555</v>
      </c>
      <c r="F715" s="52">
        <v>46098.527777777781</v>
      </c>
      <c r="G715" s="53">
        <f>F715-E715</f>
        <v>0.28472222222626442</v>
      </c>
      <c r="H715" s="1" t="s">
        <v>257</v>
      </c>
      <c r="J715" s="1" t="s">
        <v>258</v>
      </c>
      <c r="K715" s="1" t="str">
        <f>_xlfn.XLOOKUP(J715,REF!$D$2:$D$12,REF!$E$2:$E$12)</f>
        <v>Rede</v>
      </c>
      <c r="L715" s="1" t="s">
        <v>521</v>
      </c>
      <c r="M715" s="1" t="s">
        <v>260</v>
      </c>
      <c r="N715" s="1" t="s">
        <v>261</v>
      </c>
      <c r="O715" s="72" t="s">
        <v>297</v>
      </c>
      <c r="P715" s="1" t="str">
        <f>_xlfn.CONCAT(B715,C715,D715,E715,F715)</f>
        <v>ARAGUATINS 1.2Inverter(MBUS-13)46098,243055555646098,243055555646098,5277777778</v>
      </c>
      <c r="Q715" s="1" t="str">
        <f>_xlfn.CONCAT(H715,I715,J715)</f>
        <v>DAURDE</v>
      </c>
    </row>
    <row r="716" spans="2:17">
      <c r="B716" s="1" t="s">
        <v>308</v>
      </c>
      <c r="C716" s="1" t="s">
        <v>263</v>
      </c>
      <c r="D716" s="52">
        <v>46098.243055555555</v>
      </c>
      <c r="E716" s="52">
        <v>46098.243055555555</v>
      </c>
      <c r="F716" s="52">
        <v>46098.527777777781</v>
      </c>
      <c r="G716" s="53">
        <f>F716-E716</f>
        <v>0.28472222222626442</v>
      </c>
      <c r="H716" s="1" t="s">
        <v>257</v>
      </c>
      <c r="J716" s="1" t="s">
        <v>258</v>
      </c>
      <c r="K716" s="1" t="str">
        <f>_xlfn.XLOOKUP(J716,REF!$D$2:$D$12,REF!$E$2:$E$12)</f>
        <v>Rede</v>
      </c>
      <c r="L716" s="1" t="s">
        <v>521</v>
      </c>
      <c r="M716" s="1" t="s">
        <v>260</v>
      </c>
      <c r="N716" s="1" t="s">
        <v>261</v>
      </c>
      <c r="O716" s="72" t="s">
        <v>297</v>
      </c>
      <c r="P716" s="1" t="str">
        <f>_xlfn.CONCAT(B716,C716,D716,E716,F716)</f>
        <v>ARAGUATINS 1.2Inverter(MBUS-14)46098,243055555646098,243055555646098,5277777778</v>
      </c>
      <c r="Q716" s="1" t="str">
        <f>_xlfn.CONCAT(H716,I716,J716)</f>
        <v>DAURDE</v>
      </c>
    </row>
    <row r="717" spans="2:17">
      <c r="B717" s="1" t="s">
        <v>308</v>
      </c>
      <c r="C717" s="1" t="s">
        <v>307</v>
      </c>
      <c r="D717" s="52">
        <v>46098.243055555555</v>
      </c>
      <c r="E717" s="52">
        <v>46098.243055555555</v>
      </c>
      <c r="F717" s="52">
        <v>46098.527777777781</v>
      </c>
      <c r="G717" s="53">
        <f>F717-E717</f>
        <v>0.28472222222626442</v>
      </c>
      <c r="H717" s="1" t="s">
        <v>257</v>
      </c>
      <c r="J717" s="1" t="s">
        <v>258</v>
      </c>
      <c r="K717" s="1" t="str">
        <f>_xlfn.XLOOKUP(J717,REF!$D$2:$D$12,REF!$E$2:$E$12)</f>
        <v>Rede</v>
      </c>
      <c r="L717" s="1" t="s">
        <v>521</v>
      </c>
      <c r="M717" s="1" t="s">
        <v>260</v>
      </c>
      <c r="N717" s="1" t="s">
        <v>261</v>
      </c>
      <c r="O717" s="72" t="s">
        <v>297</v>
      </c>
      <c r="P717" s="1" t="str">
        <f>_xlfn.CONCAT(B717,C717,D717,E717,F717)</f>
        <v>ARAGUATINS 1.2Inverter(MBUS-15)46098,243055555646098,243055555646098,5277777778</v>
      </c>
      <c r="Q717" s="1" t="str">
        <f>_xlfn.CONCAT(H717,I717,J717)</f>
        <v>DAURDE</v>
      </c>
    </row>
    <row r="718" spans="2:17">
      <c r="B718" s="1" t="s">
        <v>309</v>
      </c>
      <c r="C718" s="1" t="s">
        <v>310</v>
      </c>
      <c r="D718" s="52">
        <v>46098.243055555555</v>
      </c>
      <c r="E718" s="52">
        <v>46098.243055555555</v>
      </c>
      <c r="F718" s="52">
        <v>46098.527777777781</v>
      </c>
      <c r="G718" s="53">
        <f>F718-E718</f>
        <v>0.28472222222626442</v>
      </c>
      <c r="H718" s="1" t="s">
        <v>257</v>
      </c>
      <c r="J718" s="1" t="s">
        <v>258</v>
      </c>
      <c r="K718" s="1" t="str">
        <f>_xlfn.XLOOKUP(J718,REF!$D$2:$D$12,REF!$E$2:$E$12)</f>
        <v>Rede</v>
      </c>
      <c r="L718" s="1" t="s">
        <v>521</v>
      </c>
      <c r="M718" s="1" t="s">
        <v>260</v>
      </c>
      <c r="N718" s="1" t="s">
        <v>261</v>
      </c>
      <c r="O718" s="72" t="s">
        <v>297</v>
      </c>
      <c r="P718" s="1" t="str">
        <f>_xlfn.CONCAT(B718,C718,D718,E718,F718)</f>
        <v>ARAGUATINS 1.3Inverter(MBUS-20)46098,243055555646098,243055555646098,5277777778</v>
      </c>
      <c r="Q718" s="1" t="str">
        <f>_xlfn.CONCAT(H718,I718,J718)</f>
        <v>DAURDE</v>
      </c>
    </row>
    <row r="719" spans="2:17">
      <c r="B719" s="1" t="s">
        <v>309</v>
      </c>
      <c r="C719" s="1" t="s">
        <v>247</v>
      </c>
      <c r="D719" s="52">
        <v>46098.243055555555</v>
      </c>
      <c r="E719" s="52">
        <v>46098.243055555555</v>
      </c>
      <c r="F719" s="52">
        <v>46098.527777777781</v>
      </c>
      <c r="G719" s="53">
        <f>F719-E719</f>
        <v>0.28472222222626442</v>
      </c>
      <c r="H719" s="1" t="s">
        <v>257</v>
      </c>
      <c r="J719" s="1" t="s">
        <v>258</v>
      </c>
      <c r="K719" s="1" t="str">
        <f>_xlfn.XLOOKUP(J719,REF!$D$2:$D$12,REF!$E$2:$E$12)</f>
        <v>Rede</v>
      </c>
      <c r="L719" s="1" t="s">
        <v>521</v>
      </c>
      <c r="M719" s="1" t="s">
        <v>260</v>
      </c>
      <c r="N719" s="1" t="s">
        <v>261</v>
      </c>
      <c r="O719" s="72" t="s">
        <v>297</v>
      </c>
      <c r="P719" s="1" t="str">
        <f>_xlfn.CONCAT(B719,C719,D719,E719,F719)</f>
        <v>ARAGUATINS 1.3Inverter(MBUS-1)46098,243055555646098,243055555646098,5277777778</v>
      </c>
      <c r="Q719" s="1" t="str">
        <f>_xlfn.CONCAT(H719,I719,J719)</f>
        <v>DAURDE</v>
      </c>
    </row>
    <row r="720" spans="2:17">
      <c r="B720" s="1" t="s">
        <v>311</v>
      </c>
      <c r="C720" s="1" t="s">
        <v>256</v>
      </c>
      <c r="D720" s="52">
        <v>46098.243055555555</v>
      </c>
      <c r="E720" s="52">
        <v>46098.243055555555</v>
      </c>
      <c r="F720" s="52">
        <v>46098.527777777781</v>
      </c>
      <c r="G720" s="53">
        <f>F720-E720</f>
        <v>0.28472222222626442</v>
      </c>
      <c r="H720" s="1" t="s">
        <v>257</v>
      </c>
      <c r="J720" s="1" t="s">
        <v>258</v>
      </c>
      <c r="K720" s="1" t="str">
        <f>_xlfn.XLOOKUP(J720,REF!$D$2:$D$12,REF!$E$2:$E$12)</f>
        <v>Rede</v>
      </c>
      <c r="L720" s="1" t="s">
        <v>521</v>
      </c>
      <c r="M720" s="1" t="s">
        <v>260</v>
      </c>
      <c r="N720" s="1" t="s">
        <v>261</v>
      </c>
      <c r="O720" s="72" t="s">
        <v>297</v>
      </c>
      <c r="P720" s="1" t="str">
        <f>_xlfn.CONCAT(B720,C720,D720,E720,F720)</f>
        <v>ARAGUATINS 2.1Inverter(MBUS-12)46098,243055555646098,243055555646098,5277777778</v>
      </c>
      <c r="Q720" s="1" t="str">
        <f>_xlfn.CONCAT(H720,I720,J720)</f>
        <v>DAURDE</v>
      </c>
    </row>
    <row r="721" spans="2:17">
      <c r="B721" s="1" t="s">
        <v>311</v>
      </c>
      <c r="C721" s="1" t="s">
        <v>307</v>
      </c>
      <c r="D721" s="52">
        <v>46098.243055555555</v>
      </c>
      <c r="E721" s="52">
        <v>46098.243055555555</v>
      </c>
      <c r="F721" s="52">
        <v>46098.527777777781</v>
      </c>
      <c r="G721" s="53">
        <f>F721-E721</f>
        <v>0.28472222222626442</v>
      </c>
      <c r="H721" s="1" t="s">
        <v>257</v>
      </c>
      <c r="J721" s="1" t="s">
        <v>258</v>
      </c>
      <c r="K721" s="1" t="str">
        <f>_xlfn.XLOOKUP(J721,REF!$D$2:$D$12,REF!$E$2:$E$12)</f>
        <v>Rede</v>
      </c>
      <c r="L721" s="1" t="s">
        <v>521</v>
      </c>
      <c r="M721" s="1" t="s">
        <v>260</v>
      </c>
      <c r="N721" s="1" t="s">
        <v>261</v>
      </c>
      <c r="O721" s="72" t="s">
        <v>297</v>
      </c>
      <c r="P721" s="1" t="str">
        <f>_xlfn.CONCAT(B721,C721,D721,E721,F721)</f>
        <v>ARAGUATINS 2.1Inverter(MBUS-15)46098,243055555646098,243055555646098,5277777778</v>
      </c>
      <c r="Q721" s="1" t="str">
        <f>_xlfn.CONCAT(H721,I721,J721)</f>
        <v>DAURDE</v>
      </c>
    </row>
    <row r="722" spans="2:17">
      <c r="B722" s="1" t="s">
        <v>311</v>
      </c>
      <c r="C722" s="1" t="s">
        <v>263</v>
      </c>
      <c r="D722" s="52">
        <v>46098.243055555555</v>
      </c>
      <c r="E722" s="52">
        <v>46098.243055555555</v>
      </c>
      <c r="F722" s="52">
        <v>46098.527777777781</v>
      </c>
      <c r="G722" s="53">
        <f>F722-E722</f>
        <v>0.28472222222626442</v>
      </c>
      <c r="H722" s="1" t="s">
        <v>257</v>
      </c>
      <c r="J722" s="1" t="s">
        <v>258</v>
      </c>
      <c r="K722" s="1" t="str">
        <f>_xlfn.XLOOKUP(J722,REF!$D$2:$D$12,REF!$E$2:$E$12)</f>
        <v>Rede</v>
      </c>
      <c r="L722" s="1" t="s">
        <v>521</v>
      </c>
      <c r="M722" s="1" t="s">
        <v>260</v>
      </c>
      <c r="N722" s="1" t="s">
        <v>261</v>
      </c>
      <c r="O722" s="72" t="s">
        <v>297</v>
      </c>
      <c r="P722" s="1" t="str">
        <f>_xlfn.CONCAT(B722,C722,D722,E722,F722)</f>
        <v>ARAGUATINS 2.1Inverter(MBUS-14)46098,243055555646098,243055555646098,5277777778</v>
      </c>
      <c r="Q722" s="1" t="str">
        <f>_xlfn.CONCAT(H722,I722,J722)</f>
        <v>DAURDE</v>
      </c>
    </row>
    <row r="723" spans="2:17">
      <c r="B723" s="1" t="s">
        <v>311</v>
      </c>
      <c r="C723" s="1" t="s">
        <v>247</v>
      </c>
      <c r="D723" s="52">
        <v>46098.243055555555</v>
      </c>
      <c r="E723" s="52">
        <v>46098.243055555555</v>
      </c>
      <c r="F723" s="52">
        <v>46098.527777777781</v>
      </c>
      <c r="G723" s="53">
        <f>F723-E723</f>
        <v>0.28472222222626442</v>
      </c>
      <c r="H723" s="1" t="s">
        <v>257</v>
      </c>
      <c r="J723" s="1" t="s">
        <v>258</v>
      </c>
      <c r="K723" s="1" t="str">
        <f>_xlfn.XLOOKUP(J723,REF!$D$2:$D$12,REF!$E$2:$E$12)</f>
        <v>Rede</v>
      </c>
      <c r="L723" s="1" t="s">
        <v>521</v>
      </c>
      <c r="M723" s="1" t="s">
        <v>260</v>
      </c>
      <c r="N723" s="1" t="s">
        <v>261</v>
      </c>
      <c r="O723" s="72" t="s">
        <v>297</v>
      </c>
      <c r="P723" s="1" t="str">
        <f>_xlfn.CONCAT(B723,C723,D723,E723,F723)</f>
        <v>ARAGUATINS 2.1Inverter(MBUS-1)46098,243055555646098,243055555646098,5277777778</v>
      </c>
      <c r="Q723" s="1" t="str">
        <f>_xlfn.CONCAT(H723,I723,J723)</f>
        <v>DAURDE</v>
      </c>
    </row>
    <row r="724" spans="2:17">
      <c r="B724" s="1" t="s">
        <v>312</v>
      </c>
      <c r="C724" s="1" t="s">
        <v>307</v>
      </c>
      <c r="D724" s="52">
        <v>46098.243055555555</v>
      </c>
      <c r="E724" s="52">
        <v>46098.243055555555</v>
      </c>
      <c r="F724" s="52">
        <v>46098.527777777781</v>
      </c>
      <c r="G724" s="53">
        <f>F724-E724</f>
        <v>0.28472222222626442</v>
      </c>
      <c r="H724" s="1" t="s">
        <v>257</v>
      </c>
      <c r="J724" s="1" t="s">
        <v>258</v>
      </c>
      <c r="K724" s="1" t="str">
        <f>_xlfn.XLOOKUP(J724,REF!$D$2:$D$12,REF!$E$2:$E$12)</f>
        <v>Rede</v>
      </c>
      <c r="L724" s="1" t="s">
        <v>521</v>
      </c>
      <c r="M724" s="1" t="s">
        <v>260</v>
      </c>
      <c r="N724" s="1" t="s">
        <v>261</v>
      </c>
      <c r="O724" s="72" t="s">
        <v>297</v>
      </c>
      <c r="P724" s="1" t="str">
        <f>_xlfn.CONCAT(B724,C724,D724,E724,F724)</f>
        <v>ARAGUATINS 2.2Inverter(MBUS-15)46098,243055555646098,243055555646098,5277777778</v>
      </c>
      <c r="Q724" s="1" t="str">
        <f>_xlfn.CONCAT(H724,I724,J724)</f>
        <v>DAURDE</v>
      </c>
    </row>
    <row r="725" spans="2:17">
      <c r="B725" s="1" t="s">
        <v>312</v>
      </c>
      <c r="C725" s="1" t="s">
        <v>264</v>
      </c>
      <c r="D725" s="52">
        <v>46098.243055555555</v>
      </c>
      <c r="E725" s="52">
        <v>46098.243055555555</v>
      </c>
      <c r="F725" s="52">
        <v>46098.527777777781</v>
      </c>
      <c r="G725" s="53">
        <f>F725-E725</f>
        <v>0.28472222222626442</v>
      </c>
      <c r="H725" s="1" t="s">
        <v>257</v>
      </c>
      <c r="J725" s="1" t="s">
        <v>258</v>
      </c>
      <c r="K725" s="1" t="str">
        <f>_xlfn.XLOOKUP(J725,REF!$D$2:$D$12,REF!$E$2:$E$12)</f>
        <v>Rede</v>
      </c>
      <c r="L725" s="1" t="s">
        <v>521</v>
      </c>
      <c r="M725" s="1" t="s">
        <v>260</v>
      </c>
      <c r="N725" s="1" t="s">
        <v>261</v>
      </c>
      <c r="O725" s="72" t="s">
        <v>297</v>
      </c>
      <c r="P725" s="1" t="str">
        <f>_xlfn.CONCAT(B725,C725,D725,E725,F725)</f>
        <v>ARAGUATINS 2.2Inverter(MBUS-13)46098,243055555646098,243055555646098,5277777778</v>
      </c>
      <c r="Q725" s="1" t="str">
        <f>_xlfn.CONCAT(H725,I725,J725)</f>
        <v>DAURDE</v>
      </c>
    </row>
    <row r="726" spans="2:17">
      <c r="B726" s="1" t="s">
        <v>312</v>
      </c>
      <c r="C726" s="1" t="s">
        <v>263</v>
      </c>
      <c r="D726" s="52">
        <v>46098.243055555555</v>
      </c>
      <c r="E726" s="52">
        <v>46098.243055555555</v>
      </c>
      <c r="F726" s="52">
        <v>46098.527777777781</v>
      </c>
      <c r="G726" s="53">
        <f>F726-E726</f>
        <v>0.28472222222626442</v>
      </c>
      <c r="H726" s="1" t="s">
        <v>257</v>
      </c>
      <c r="J726" s="1" t="s">
        <v>258</v>
      </c>
      <c r="K726" s="1" t="str">
        <f>_xlfn.XLOOKUP(J726,REF!$D$2:$D$12,REF!$E$2:$E$12)</f>
        <v>Rede</v>
      </c>
      <c r="L726" s="1" t="s">
        <v>521</v>
      </c>
      <c r="M726" s="1" t="s">
        <v>260</v>
      </c>
      <c r="N726" s="1" t="s">
        <v>261</v>
      </c>
      <c r="O726" s="72" t="s">
        <v>297</v>
      </c>
      <c r="P726" s="1" t="str">
        <f>_xlfn.CONCAT(B726,C726,D726,E726,F726)</f>
        <v>ARAGUATINS 2.2Inverter(MBUS-14)46098,243055555646098,243055555646098,5277777778</v>
      </c>
      <c r="Q726" s="1" t="str">
        <f>_xlfn.CONCAT(H726,I726,J726)</f>
        <v>DAURDE</v>
      </c>
    </row>
    <row r="727" spans="2:17">
      <c r="B727" s="1" t="s">
        <v>312</v>
      </c>
      <c r="C727" s="1" t="s">
        <v>256</v>
      </c>
      <c r="D727" s="52">
        <v>46098.243055555555</v>
      </c>
      <c r="E727" s="52">
        <v>46098.243055555555</v>
      </c>
      <c r="F727" s="52">
        <v>46098.527777777781</v>
      </c>
      <c r="G727" s="53">
        <f>F727-E727</f>
        <v>0.28472222222626442</v>
      </c>
      <c r="H727" s="1" t="s">
        <v>257</v>
      </c>
      <c r="J727" s="1" t="s">
        <v>258</v>
      </c>
      <c r="K727" s="1" t="str">
        <f>_xlfn.XLOOKUP(J727,REF!$D$2:$D$12,REF!$E$2:$E$12)</f>
        <v>Rede</v>
      </c>
      <c r="L727" s="1" t="s">
        <v>521</v>
      </c>
      <c r="M727" s="1" t="s">
        <v>260</v>
      </c>
      <c r="N727" s="1" t="s">
        <v>261</v>
      </c>
      <c r="O727" s="72" t="s">
        <v>297</v>
      </c>
      <c r="P727" s="1" t="str">
        <f>_xlfn.CONCAT(B727,C727,D727,E727,F727)</f>
        <v>ARAGUATINS 2.2Inverter(MBUS-12)46098,243055555646098,243055555646098,5277777778</v>
      </c>
      <c r="Q727" s="1" t="str">
        <f>_xlfn.CONCAT(H727,I727,J727)</f>
        <v>DAURDE</v>
      </c>
    </row>
    <row r="728" spans="2:17">
      <c r="B728" s="1" t="s">
        <v>313</v>
      </c>
      <c r="C728" s="1" t="s">
        <v>256</v>
      </c>
      <c r="D728" s="52">
        <v>46098.243055555555</v>
      </c>
      <c r="E728" s="52">
        <v>46098.243055555555</v>
      </c>
      <c r="F728" s="52">
        <v>46098.527777777781</v>
      </c>
      <c r="G728" s="53">
        <f>F728-E728</f>
        <v>0.28472222222626442</v>
      </c>
      <c r="H728" s="1" t="s">
        <v>257</v>
      </c>
      <c r="J728" s="1" t="s">
        <v>258</v>
      </c>
      <c r="K728" s="1" t="str">
        <f>_xlfn.XLOOKUP(J728,REF!$D$2:$D$12,REF!$E$2:$E$12)</f>
        <v>Rede</v>
      </c>
      <c r="L728" s="1" t="s">
        <v>521</v>
      </c>
      <c r="M728" s="1" t="s">
        <v>260</v>
      </c>
      <c r="N728" s="1" t="s">
        <v>261</v>
      </c>
      <c r="O728" s="72" t="s">
        <v>297</v>
      </c>
      <c r="P728" s="1" t="str">
        <f>_xlfn.CONCAT(B728,C728,D728,E728,F728)</f>
        <v>ARAGUATINS 2.3Inverter(MBUS-12)46098,243055555646098,243055555646098,5277777778</v>
      </c>
      <c r="Q728" s="1" t="str">
        <f>_xlfn.CONCAT(H728,I728,J728)</f>
        <v>DAURDE</v>
      </c>
    </row>
    <row r="729" spans="2:17">
      <c r="B729" s="1" t="s">
        <v>313</v>
      </c>
      <c r="C729" s="1" t="s">
        <v>264</v>
      </c>
      <c r="D729" s="52">
        <v>46098.243055555555</v>
      </c>
      <c r="E729" s="52">
        <v>46098.243055555555</v>
      </c>
      <c r="F729" s="52">
        <v>46098.527777777781</v>
      </c>
      <c r="G729" s="53">
        <f>F729-E729</f>
        <v>0.28472222222626442</v>
      </c>
      <c r="H729" s="1" t="s">
        <v>257</v>
      </c>
      <c r="J729" s="1" t="s">
        <v>258</v>
      </c>
      <c r="K729" s="1" t="str">
        <f>_xlfn.XLOOKUP(J729,REF!$D$2:$D$12,REF!$E$2:$E$12)</f>
        <v>Rede</v>
      </c>
      <c r="L729" s="1" t="s">
        <v>521</v>
      </c>
      <c r="M729" s="1" t="s">
        <v>260</v>
      </c>
      <c r="N729" s="1" t="s">
        <v>261</v>
      </c>
      <c r="O729" s="72" t="s">
        <v>297</v>
      </c>
      <c r="P729" s="1" t="str">
        <f>_xlfn.CONCAT(B729,C729,D729,E729,F729)</f>
        <v>ARAGUATINS 2.3Inverter(MBUS-13)46098,243055555646098,243055555646098,5277777778</v>
      </c>
      <c r="Q729" s="1" t="str">
        <f>_xlfn.CONCAT(H729,I729,J729)</f>
        <v>DAURDE</v>
      </c>
    </row>
    <row r="730" spans="2:17">
      <c r="B730" s="1" t="s">
        <v>375</v>
      </c>
      <c r="C730" s="1" t="s">
        <v>247</v>
      </c>
      <c r="D730" s="52">
        <v>46098.315972222219</v>
      </c>
      <c r="E730" s="52">
        <v>46098.315972222219</v>
      </c>
      <c r="F730" s="52">
        <v>46098.479166666664</v>
      </c>
      <c r="G730" s="53">
        <f>F730-E730</f>
        <v>0.16319444444525288</v>
      </c>
      <c r="H730" s="1" t="s">
        <v>257</v>
      </c>
      <c r="J730" s="1" t="s">
        <v>258</v>
      </c>
      <c r="K730" s="1" t="str">
        <f>_xlfn.XLOOKUP(J730,REF!$D$2:$D$12,REF!$E$2:$E$12)</f>
        <v>Rede</v>
      </c>
      <c r="L730" s="1" t="s">
        <v>259</v>
      </c>
      <c r="M730" s="1" t="s">
        <v>260</v>
      </c>
      <c r="N730" s="1" t="s">
        <v>261</v>
      </c>
      <c r="O730" s="72" t="s">
        <v>297</v>
      </c>
      <c r="P730" s="1" t="str">
        <f>_xlfn.CONCAT(B730,C730,D730,E730,F730)</f>
        <v>BC Camarao1.1Inverter(MBUS-1)46098,315972222246098,315972222246098,4791666667</v>
      </c>
      <c r="Q730" s="1" t="str">
        <f>_xlfn.CONCAT(H730,I730,J730)</f>
        <v>DAURDE</v>
      </c>
    </row>
    <row r="731" spans="2:17">
      <c r="B731" s="1" t="s">
        <v>375</v>
      </c>
      <c r="C731" s="1" t="s">
        <v>377</v>
      </c>
      <c r="D731" s="52">
        <v>46098.315972222219</v>
      </c>
      <c r="E731" s="52">
        <v>46098.315972222219</v>
      </c>
      <c r="F731" s="52">
        <v>46098.479166666664</v>
      </c>
      <c r="G731" s="53">
        <f>F731-E731</f>
        <v>0.16319444444525288</v>
      </c>
      <c r="H731" s="1" t="s">
        <v>257</v>
      </c>
      <c r="J731" s="1" t="s">
        <v>258</v>
      </c>
      <c r="K731" s="1" t="str">
        <f>_xlfn.XLOOKUP(J731,REF!$D$2:$D$12,REF!$E$2:$E$12)</f>
        <v>Rede</v>
      </c>
      <c r="L731" s="1" t="s">
        <v>259</v>
      </c>
      <c r="M731" s="1" t="s">
        <v>260</v>
      </c>
      <c r="N731" s="1" t="s">
        <v>261</v>
      </c>
      <c r="O731" s="72" t="s">
        <v>297</v>
      </c>
      <c r="P731" s="1" t="str">
        <f>_xlfn.CONCAT(B731,C731,D731,E731,F731)</f>
        <v>BC Camarao1.1215KTL-H3(MBUS-12)46098,315972222246098,315972222246098,4791666667</v>
      </c>
      <c r="Q731" s="1" t="str">
        <f>_xlfn.CONCAT(H731,I731,J731)</f>
        <v>DAURDE</v>
      </c>
    </row>
    <row r="732" spans="2:17">
      <c r="B732" s="1" t="s">
        <v>375</v>
      </c>
      <c r="C732" s="1" t="s">
        <v>378</v>
      </c>
      <c r="D732" s="52">
        <v>46098.315972222219</v>
      </c>
      <c r="E732" s="52">
        <v>46098.315972222219</v>
      </c>
      <c r="F732" s="52">
        <v>46098.479166666664</v>
      </c>
      <c r="G732" s="53">
        <f>F732-E732</f>
        <v>0.16319444444525288</v>
      </c>
      <c r="H732" s="1" t="s">
        <v>257</v>
      </c>
      <c r="J732" s="1" t="s">
        <v>258</v>
      </c>
      <c r="K732" s="1" t="str">
        <f>_xlfn.XLOOKUP(J732,REF!$D$2:$D$12,REF!$E$2:$E$12)</f>
        <v>Rede</v>
      </c>
      <c r="L732" s="1" t="s">
        <v>259</v>
      </c>
      <c r="M732" s="1" t="s">
        <v>260</v>
      </c>
      <c r="N732" s="1" t="s">
        <v>261</v>
      </c>
      <c r="O732" s="72" t="s">
        <v>297</v>
      </c>
      <c r="P732" s="1" t="str">
        <f>_xlfn.CONCAT(B732,C732,D732,E732,F732)</f>
        <v>BC Camarao1.1215KTL-H3(MBUS-13)46098,315972222246098,315972222246098,4791666667</v>
      </c>
      <c r="Q732" s="1" t="str">
        <f>_xlfn.CONCAT(H732,I732,J732)</f>
        <v>DAURDE</v>
      </c>
    </row>
    <row r="733" spans="2:17">
      <c r="B733" s="1" t="s">
        <v>375</v>
      </c>
      <c r="C733" s="1" t="s">
        <v>379</v>
      </c>
      <c r="D733" s="52">
        <v>46098.315972222219</v>
      </c>
      <c r="E733" s="52">
        <v>46098.315972222219</v>
      </c>
      <c r="F733" s="52">
        <v>46098.479166666664</v>
      </c>
      <c r="G733" s="53">
        <f>F733-E733</f>
        <v>0.16319444444525288</v>
      </c>
      <c r="H733" s="1" t="s">
        <v>257</v>
      </c>
      <c r="J733" s="1" t="s">
        <v>258</v>
      </c>
      <c r="K733" s="1" t="str">
        <f>_xlfn.XLOOKUP(J733,REF!$D$2:$D$12,REF!$E$2:$E$12)</f>
        <v>Rede</v>
      </c>
      <c r="L733" s="1" t="s">
        <v>259</v>
      </c>
      <c r="M733" s="1" t="s">
        <v>260</v>
      </c>
      <c r="N733" s="1" t="s">
        <v>261</v>
      </c>
      <c r="O733" s="72" t="s">
        <v>297</v>
      </c>
      <c r="P733" s="1" t="str">
        <f>_xlfn.CONCAT(B733,C733,D733,E733,F733)</f>
        <v>BC Camarao1.1215KTL-H3(MBUS-16)46098,315972222246098,315972222246098,4791666667</v>
      </c>
      <c r="Q733" s="1" t="str">
        <f>_xlfn.CONCAT(H733,I733,J733)</f>
        <v>DAURDE</v>
      </c>
    </row>
    <row r="734" spans="2:17">
      <c r="B734" s="1" t="s">
        <v>375</v>
      </c>
      <c r="C734" s="1" t="s">
        <v>380</v>
      </c>
      <c r="D734" s="52">
        <v>46098.315972222219</v>
      </c>
      <c r="E734" s="52">
        <v>46098.315972222219</v>
      </c>
      <c r="F734" s="52">
        <v>46098.479166666664</v>
      </c>
      <c r="G734" s="53">
        <f>F734-E734</f>
        <v>0.16319444444525288</v>
      </c>
      <c r="H734" s="1" t="s">
        <v>257</v>
      </c>
      <c r="J734" s="1" t="s">
        <v>258</v>
      </c>
      <c r="K734" s="1" t="str">
        <f>_xlfn.XLOOKUP(J734,REF!$D$2:$D$12,REF!$E$2:$E$12)</f>
        <v>Rede</v>
      </c>
      <c r="L734" s="1" t="s">
        <v>259</v>
      </c>
      <c r="M734" s="1" t="s">
        <v>260</v>
      </c>
      <c r="N734" s="1" t="s">
        <v>261</v>
      </c>
      <c r="O734" s="72" t="s">
        <v>297</v>
      </c>
      <c r="P734" s="1" t="str">
        <f>_xlfn.CONCAT(B734,C734,D734,E734,F734)</f>
        <v>BC Camarao1.1215KTL-H3(MBUS-15)46098,315972222246098,315972222246098,4791666667</v>
      </c>
      <c r="Q734" s="1" t="str">
        <f>_xlfn.CONCAT(H734,I734,J734)</f>
        <v>DAURDE</v>
      </c>
    </row>
    <row r="735" spans="2:17">
      <c r="B735" s="1" t="s">
        <v>387</v>
      </c>
      <c r="C735" s="1" t="s">
        <v>247</v>
      </c>
      <c r="D735" s="52">
        <v>46098.315972222219</v>
      </c>
      <c r="E735" s="52">
        <v>46098.315972222219</v>
      </c>
      <c r="F735" s="52">
        <v>46098.479166666664</v>
      </c>
      <c r="G735" s="53">
        <f>F735-E735</f>
        <v>0.16319444444525288</v>
      </c>
      <c r="H735" s="1" t="s">
        <v>257</v>
      </c>
      <c r="J735" s="1" t="s">
        <v>258</v>
      </c>
      <c r="K735" s="1" t="str">
        <f>_xlfn.XLOOKUP(J735,REF!$D$2:$D$12,REF!$E$2:$E$12)</f>
        <v>Rede</v>
      </c>
      <c r="L735" s="1" t="s">
        <v>259</v>
      </c>
      <c r="M735" s="1" t="s">
        <v>260</v>
      </c>
      <c r="N735" s="1" t="s">
        <v>261</v>
      </c>
      <c r="O735" s="72" t="s">
        <v>297</v>
      </c>
      <c r="P735" s="1" t="str">
        <f>_xlfn.CONCAT(B735,C735,D735,E735,F735)</f>
        <v>BC Camarao1.2Inverter(MBUS-1)46098,315972222246098,315972222246098,4791666667</v>
      </c>
      <c r="Q735" s="1" t="str">
        <f>_xlfn.CONCAT(H735,I735,J735)</f>
        <v>DAURDE</v>
      </c>
    </row>
    <row r="736" spans="2:17">
      <c r="B736" s="1" t="s">
        <v>387</v>
      </c>
      <c r="C736" s="1" t="s">
        <v>388</v>
      </c>
      <c r="D736" s="52">
        <v>46098.315972222219</v>
      </c>
      <c r="E736" s="52">
        <v>46098.315972222219</v>
      </c>
      <c r="F736" s="52">
        <v>46098.479166666664</v>
      </c>
      <c r="G736" s="53">
        <f>F736-E736</f>
        <v>0.16319444444525288</v>
      </c>
      <c r="H736" s="1" t="s">
        <v>257</v>
      </c>
      <c r="J736" s="1" t="s">
        <v>258</v>
      </c>
      <c r="K736" s="1" t="str">
        <f>_xlfn.XLOOKUP(J736,REF!$D$2:$D$12,REF!$E$2:$E$12)</f>
        <v>Rede</v>
      </c>
      <c r="L736" s="1" t="s">
        <v>259</v>
      </c>
      <c r="M736" s="1" t="s">
        <v>260</v>
      </c>
      <c r="N736" s="1" t="s">
        <v>261</v>
      </c>
      <c r="O736" s="72" t="s">
        <v>297</v>
      </c>
      <c r="P736" s="1" t="str">
        <f>_xlfn.CONCAT(B736,C736,D736,E736,F736)</f>
        <v>BC Camarao1.2Inv. 346098,315972222246098,315972222246098,4791666667</v>
      </c>
      <c r="Q736" s="1" t="str">
        <f>_xlfn.CONCAT(H736,I736,J736)</f>
        <v>DAURDE</v>
      </c>
    </row>
    <row r="737" spans="2:17">
      <c r="B737" s="1" t="s">
        <v>387</v>
      </c>
      <c r="C737" s="1" t="s">
        <v>389</v>
      </c>
      <c r="D737" s="52">
        <v>46098.315972222219</v>
      </c>
      <c r="E737" s="52">
        <v>46098.315972222219</v>
      </c>
      <c r="F737" s="52">
        <v>46098.479166666664</v>
      </c>
      <c r="G737" s="53">
        <f>F737-E737</f>
        <v>0.16319444444525288</v>
      </c>
      <c r="H737" s="1" t="s">
        <v>257</v>
      </c>
      <c r="J737" s="1" t="s">
        <v>258</v>
      </c>
      <c r="K737" s="1" t="str">
        <f>_xlfn.XLOOKUP(J737,REF!$D$2:$D$12,REF!$E$2:$E$12)</f>
        <v>Rede</v>
      </c>
      <c r="L737" s="1" t="s">
        <v>259</v>
      </c>
      <c r="M737" s="1" t="s">
        <v>260</v>
      </c>
      <c r="N737" s="1" t="s">
        <v>261</v>
      </c>
      <c r="O737" s="72" t="s">
        <v>297</v>
      </c>
      <c r="P737" s="1" t="str">
        <f>_xlfn.CONCAT(B737,C737,D737,E737,F737)</f>
        <v>BC Camarao1.2Inv. 446098,315972222246098,315972222246098,4791666667</v>
      </c>
      <c r="Q737" s="1" t="str">
        <f>_xlfn.CONCAT(H737,I737,J737)</f>
        <v>DAURDE</v>
      </c>
    </row>
    <row r="738" spans="2:17">
      <c r="B738" s="1" t="s">
        <v>387</v>
      </c>
      <c r="C738" s="1" t="s">
        <v>390</v>
      </c>
      <c r="D738" s="52">
        <v>46098.315972222219</v>
      </c>
      <c r="E738" s="52">
        <v>46098.315972222219</v>
      </c>
      <c r="F738" s="52">
        <v>46098.479166666664</v>
      </c>
      <c r="G738" s="53">
        <f>F738-E738</f>
        <v>0.16319444444525288</v>
      </c>
      <c r="H738" s="1" t="s">
        <v>257</v>
      </c>
      <c r="J738" s="1" t="s">
        <v>258</v>
      </c>
      <c r="K738" s="1" t="str">
        <f>_xlfn.XLOOKUP(J738,REF!$D$2:$D$12,REF!$E$2:$E$12)</f>
        <v>Rede</v>
      </c>
      <c r="L738" s="1" t="s">
        <v>259</v>
      </c>
      <c r="M738" s="1" t="s">
        <v>260</v>
      </c>
      <c r="N738" s="1" t="s">
        <v>261</v>
      </c>
      <c r="O738" s="72" t="s">
        <v>297</v>
      </c>
      <c r="P738" s="1" t="str">
        <f>_xlfn.CONCAT(B738,C738,D738,E738,F738)</f>
        <v>BC Camarao1.2Inverter(MBUS-16)46098,315972222246098,315972222246098,4791666667</v>
      </c>
      <c r="Q738" s="1" t="str">
        <f>_xlfn.CONCAT(H738,I738,J738)</f>
        <v>DAURDE</v>
      </c>
    </row>
    <row r="739" spans="2:17">
      <c r="B739" s="1" t="s">
        <v>387</v>
      </c>
      <c r="C739" s="1" t="s">
        <v>256</v>
      </c>
      <c r="D739" s="52">
        <v>46098.315972222219</v>
      </c>
      <c r="E739" s="52">
        <v>46098.315972222219</v>
      </c>
      <c r="F739" s="52">
        <v>46098.479166666664</v>
      </c>
      <c r="G739" s="53">
        <f>F739-E739</f>
        <v>0.16319444444525288</v>
      </c>
      <c r="H739" s="1" t="s">
        <v>257</v>
      </c>
      <c r="J739" s="1" t="s">
        <v>258</v>
      </c>
      <c r="K739" s="1" t="str">
        <f>_xlfn.XLOOKUP(J739,REF!$D$2:$D$12,REF!$E$2:$E$12)</f>
        <v>Rede</v>
      </c>
      <c r="L739" s="1" t="s">
        <v>259</v>
      </c>
      <c r="M739" s="1" t="s">
        <v>260</v>
      </c>
      <c r="N739" s="1" t="s">
        <v>261</v>
      </c>
      <c r="O739" s="72" t="s">
        <v>297</v>
      </c>
      <c r="P739" s="1" t="str">
        <f>_xlfn.CONCAT(B739,C739,D739,E739,F739)</f>
        <v>BC Camarao1.2Inverter(MBUS-12)46098,315972222246098,315972222246098,4791666667</v>
      </c>
      <c r="Q739" s="1" t="str">
        <f>_xlfn.CONCAT(H739,I739,J739)</f>
        <v>DAURDE</v>
      </c>
    </row>
    <row r="740" spans="2:17">
      <c r="B740" s="1" t="s">
        <v>381</v>
      </c>
      <c r="C740" s="1" t="s">
        <v>379</v>
      </c>
      <c r="D740" s="52">
        <v>46098.315972222219</v>
      </c>
      <c r="E740" s="52">
        <v>46098.315972222219</v>
      </c>
      <c r="F740" s="52">
        <v>46098.479166666664</v>
      </c>
      <c r="G740" s="53">
        <f>F740-E740</f>
        <v>0.16319444444525288</v>
      </c>
      <c r="H740" s="1" t="s">
        <v>257</v>
      </c>
      <c r="J740" s="1" t="s">
        <v>258</v>
      </c>
      <c r="K740" s="1" t="str">
        <f>_xlfn.XLOOKUP(J740,REF!$D$2:$D$12,REF!$E$2:$E$12)</f>
        <v>Rede</v>
      </c>
      <c r="L740" s="1" t="s">
        <v>259</v>
      </c>
      <c r="M740" s="1" t="s">
        <v>260</v>
      </c>
      <c r="N740" s="1" t="s">
        <v>261</v>
      </c>
      <c r="O740" s="72" t="s">
        <v>297</v>
      </c>
      <c r="P740" s="1" t="str">
        <f>_xlfn.CONCAT(B740,C740,D740,E740,F740)</f>
        <v>BC Camarao1.3215KTL-H3(MBUS-16)46098,315972222246098,315972222246098,4791666667</v>
      </c>
      <c r="Q740" s="1" t="str">
        <f>_xlfn.CONCAT(H740,I740,J740)</f>
        <v>DAURDE</v>
      </c>
    </row>
    <row r="741" spans="2:17">
      <c r="B741" s="1" t="s">
        <v>381</v>
      </c>
      <c r="C741" s="1" t="s">
        <v>382</v>
      </c>
      <c r="D741" s="52">
        <v>46098.315972222219</v>
      </c>
      <c r="E741" s="52">
        <v>46098.315972222219</v>
      </c>
      <c r="F741" s="52">
        <v>46098.479166666664</v>
      </c>
      <c r="G741" s="53">
        <f>F741-E741</f>
        <v>0.16319444444525288</v>
      </c>
      <c r="H741" s="1" t="s">
        <v>257</v>
      </c>
      <c r="J741" s="1" t="s">
        <v>258</v>
      </c>
      <c r="K741" s="1" t="str">
        <f>_xlfn.XLOOKUP(J741,REF!$D$2:$D$12,REF!$E$2:$E$12)</f>
        <v>Rede</v>
      </c>
      <c r="L741" s="1" t="s">
        <v>259</v>
      </c>
      <c r="M741" s="1" t="s">
        <v>260</v>
      </c>
      <c r="N741" s="1" t="s">
        <v>261</v>
      </c>
      <c r="O741" s="72" t="s">
        <v>297</v>
      </c>
      <c r="P741" s="1" t="str">
        <f>_xlfn.CONCAT(B741,C741,D741,E741,F741)</f>
        <v>BC Camarao1.3215KTL-H3(MBUS-14)46098,315972222246098,315972222246098,4791666667</v>
      </c>
      <c r="Q741" s="1" t="str">
        <f>_xlfn.CONCAT(H741,I741,J741)</f>
        <v>DAURDE</v>
      </c>
    </row>
    <row r="742" spans="2:17">
      <c r="B742" s="1" t="s">
        <v>381</v>
      </c>
      <c r="C742" s="1" t="s">
        <v>380</v>
      </c>
      <c r="D742" s="52">
        <v>46098.315972222219</v>
      </c>
      <c r="E742" s="52">
        <v>46098.315972222219</v>
      </c>
      <c r="F742" s="52">
        <v>46098.479166666664</v>
      </c>
      <c r="G742" s="53">
        <f>F742-E742</f>
        <v>0.16319444444525288</v>
      </c>
      <c r="H742" s="1" t="s">
        <v>257</v>
      </c>
      <c r="J742" s="1" t="s">
        <v>258</v>
      </c>
      <c r="K742" s="1" t="str">
        <f>_xlfn.XLOOKUP(J742,REF!$D$2:$D$12,REF!$E$2:$E$12)</f>
        <v>Rede</v>
      </c>
      <c r="L742" s="1" t="s">
        <v>259</v>
      </c>
      <c r="M742" s="1" t="s">
        <v>260</v>
      </c>
      <c r="N742" s="1" t="s">
        <v>261</v>
      </c>
      <c r="O742" s="72" t="s">
        <v>297</v>
      </c>
      <c r="P742" s="1" t="str">
        <f>_xlfn.CONCAT(B742,C742,D742,E742,F742)</f>
        <v>BC Camarao1.3215KTL-H3(MBUS-15)46098,315972222246098,315972222246098,4791666667</v>
      </c>
      <c r="Q742" s="1" t="str">
        <f>_xlfn.CONCAT(H742,I742,J742)</f>
        <v>DAURDE</v>
      </c>
    </row>
    <row r="743" spans="2:17">
      <c r="B743" s="1" t="s">
        <v>381</v>
      </c>
      <c r="C743" s="1" t="s">
        <v>377</v>
      </c>
      <c r="D743" s="52">
        <v>46098.315972222219</v>
      </c>
      <c r="E743" s="52">
        <v>46098.315972222219</v>
      </c>
      <c r="F743" s="52">
        <v>46098.479166666664</v>
      </c>
      <c r="G743" s="53">
        <f>F743-E743</f>
        <v>0.16319444444525288</v>
      </c>
      <c r="H743" s="1" t="s">
        <v>257</v>
      </c>
      <c r="J743" s="1" t="s">
        <v>258</v>
      </c>
      <c r="K743" s="1" t="str">
        <f>_xlfn.XLOOKUP(J743,REF!$D$2:$D$12,REF!$E$2:$E$12)</f>
        <v>Rede</v>
      </c>
      <c r="L743" s="1" t="s">
        <v>259</v>
      </c>
      <c r="M743" s="1" t="s">
        <v>260</v>
      </c>
      <c r="N743" s="1" t="s">
        <v>261</v>
      </c>
      <c r="O743" s="72" t="s">
        <v>297</v>
      </c>
      <c r="P743" s="1" t="str">
        <f>_xlfn.CONCAT(B743,C743,D743,E743,F743)</f>
        <v>BC Camarao1.3215KTL-H3(MBUS-12)46098,315972222246098,315972222246098,4791666667</v>
      </c>
      <c r="Q743" s="1" t="str">
        <f>_xlfn.CONCAT(H743,I743,J743)</f>
        <v>DAURDE</v>
      </c>
    </row>
    <row r="744" spans="2:17">
      <c r="B744" s="1" t="s">
        <v>381</v>
      </c>
      <c r="C744" s="1" t="s">
        <v>378</v>
      </c>
      <c r="D744" s="52">
        <v>46098.315972222219</v>
      </c>
      <c r="E744" s="52">
        <v>46098.315972222219</v>
      </c>
      <c r="F744" s="52">
        <v>46098.479166666664</v>
      </c>
      <c r="G744" s="53">
        <f>F744-E744</f>
        <v>0.16319444444525288</v>
      </c>
      <c r="H744" s="1" t="s">
        <v>257</v>
      </c>
      <c r="J744" s="1" t="s">
        <v>258</v>
      </c>
      <c r="K744" s="1" t="str">
        <f>_xlfn.XLOOKUP(J744,REF!$D$2:$D$12,REF!$E$2:$E$12)</f>
        <v>Rede</v>
      </c>
      <c r="L744" s="1" t="s">
        <v>259</v>
      </c>
      <c r="M744" s="1" t="s">
        <v>260</v>
      </c>
      <c r="N744" s="1" t="s">
        <v>261</v>
      </c>
      <c r="O744" s="72" t="s">
        <v>297</v>
      </c>
      <c r="P744" s="1" t="str">
        <f>_xlfn.CONCAT(B744,C744,D744,E744,F744)</f>
        <v>BC Camarao1.3215KTL-H3(MBUS-13)46098,315972222246098,315972222246098,4791666667</v>
      </c>
      <c r="Q744" s="1" t="str">
        <f>_xlfn.CONCAT(H744,I744,J744)</f>
        <v>DAURDE</v>
      </c>
    </row>
    <row r="745" spans="2:17">
      <c r="B745" s="1" t="s">
        <v>391</v>
      </c>
      <c r="C745" s="1" t="s">
        <v>392</v>
      </c>
      <c r="D745" s="52">
        <v>46098.315972222219</v>
      </c>
      <c r="E745" s="52">
        <v>46098.315972222219</v>
      </c>
      <c r="F745" s="52">
        <v>46098.479166666664</v>
      </c>
      <c r="G745" s="53">
        <f>F745-E745</f>
        <v>0.16319444444525288</v>
      </c>
      <c r="H745" s="1" t="s">
        <v>257</v>
      </c>
      <c r="J745" s="1" t="s">
        <v>258</v>
      </c>
      <c r="K745" s="1" t="str">
        <f>_xlfn.XLOOKUP(J745,REF!$D$2:$D$12,REF!$E$2:$E$12)</f>
        <v>Rede</v>
      </c>
      <c r="L745" s="1" t="s">
        <v>259</v>
      </c>
      <c r="M745" s="1" t="s">
        <v>260</v>
      </c>
      <c r="N745" s="1" t="s">
        <v>261</v>
      </c>
      <c r="O745" s="72" t="s">
        <v>297</v>
      </c>
      <c r="P745" s="1" t="str">
        <f>_xlfn.CONCAT(B745,C745,D745,E745,F745)</f>
        <v>BC Camarao1.4INV-6T22A904138146098,315972222246098,315972222246098,4791666667</v>
      </c>
      <c r="Q745" s="1" t="str">
        <f>_xlfn.CONCAT(H745,I745,J745)</f>
        <v>DAURDE</v>
      </c>
    </row>
    <row r="746" spans="2:17">
      <c r="B746" s="1" t="s">
        <v>391</v>
      </c>
      <c r="C746" s="1" t="s">
        <v>382</v>
      </c>
      <c r="D746" s="52">
        <v>46098.315972222219</v>
      </c>
      <c r="E746" s="52">
        <v>46098.315972222219</v>
      </c>
      <c r="F746" s="52">
        <v>46098.479166666664</v>
      </c>
      <c r="G746" s="53">
        <f>F746-E746</f>
        <v>0.16319444444525288</v>
      </c>
      <c r="H746" s="1" t="s">
        <v>257</v>
      </c>
      <c r="J746" s="1" t="s">
        <v>258</v>
      </c>
      <c r="K746" s="1" t="str">
        <f>_xlfn.XLOOKUP(J746,REF!$D$2:$D$12,REF!$E$2:$E$12)</f>
        <v>Rede</v>
      </c>
      <c r="L746" s="1" t="s">
        <v>259</v>
      </c>
      <c r="M746" s="1" t="s">
        <v>260</v>
      </c>
      <c r="N746" s="1" t="s">
        <v>261</v>
      </c>
      <c r="O746" s="72" t="s">
        <v>297</v>
      </c>
      <c r="P746" s="1" t="str">
        <f>_xlfn.CONCAT(B746,C746,D746,E746,F746)</f>
        <v>BC Camarao1.4215KTL-H3(MBUS-14)46098,315972222246098,315972222246098,4791666667</v>
      </c>
      <c r="Q746" s="1" t="str">
        <f>_xlfn.CONCAT(H746,I746,J746)</f>
        <v>DAURDE</v>
      </c>
    </row>
    <row r="747" spans="2:17">
      <c r="B747" s="1" t="s">
        <v>391</v>
      </c>
      <c r="C747" s="1" t="s">
        <v>378</v>
      </c>
      <c r="D747" s="52">
        <v>46098.315972222219</v>
      </c>
      <c r="E747" s="52">
        <v>46098.315972222219</v>
      </c>
      <c r="F747" s="52">
        <v>46098.479166666664</v>
      </c>
      <c r="G747" s="53">
        <f>F747-E747</f>
        <v>0.16319444444525288</v>
      </c>
      <c r="H747" s="1" t="s">
        <v>257</v>
      </c>
      <c r="J747" s="1" t="s">
        <v>258</v>
      </c>
      <c r="K747" s="1" t="str">
        <f>_xlfn.XLOOKUP(J747,REF!$D$2:$D$12,REF!$E$2:$E$12)</f>
        <v>Rede</v>
      </c>
      <c r="L747" s="1" t="s">
        <v>259</v>
      </c>
      <c r="M747" s="1" t="s">
        <v>260</v>
      </c>
      <c r="N747" s="1" t="s">
        <v>261</v>
      </c>
      <c r="O747" s="72" t="s">
        <v>297</v>
      </c>
      <c r="P747" s="1" t="str">
        <f>_xlfn.CONCAT(B747,C747,D747,E747,F747)</f>
        <v>BC Camarao1.4215KTL-H3(MBUS-13)46098,315972222246098,315972222246098,4791666667</v>
      </c>
      <c r="Q747" s="1" t="str">
        <f>_xlfn.CONCAT(H747,I747,J747)</f>
        <v>DAURDE</v>
      </c>
    </row>
    <row r="748" spans="2:17">
      <c r="B748" s="1" t="s">
        <v>391</v>
      </c>
      <c r="C748" s="1" t="s">
        <v>379</v>
      </c>
      <c r="D748" s="52">
        <v>46098.315972222219</v>
      </c>
      <c r="E748" s="52">
        <v>46098.315972222219</v>
      </c>
      <c r="F748" s="52">
        <v>46098.479166666664</v>
      </c>
      <c r="G748" s="53">
        <f>F748-E748</f>
        <v>0.16319444444525288</v>
      </c>
      <c r="H748" s="1" t="s">
        <v>257</v>
      </c>
      <c r="J748" s="1" t="s">
        <v>258</v>
      </c>
      <c r="K748" s="1" t="str">
        <f>_xlfn.XLOOKUP(J748,REF!$D$2:$D$12,REF!$E$2:$E$12)</f>
        <v>Rede</v>
      </c>
      <c r="L748" s="1" t="s">
        <v>259</v>
      </c>
      <c r="M748" s="1" t="s">
        <v>260</v>
      </c>
      <c r="N748" s="1" t="s">
        <v>261</v>
      </c>
      <c r="O748" s="72" t="s">
        <v>297</v>
      </c>
      <c r="P748" s="1" t="str">
        <f>_xlfn.CONCAT(B748,C748,D748,E748,F748)</f>
        <v>BC Camarao1.4215KTL-H3(MBUS-16)46098,315972222246098,315972222246098,4791666667</v>
      </c>
      <c r="Q748" s="1" t="str">
        <f>_xlfn.CONCAT(H748,I748,J748)</f>
        <v>DAURDE</v>
      </c>
    </row>
    <row r="749" spans="2:17">
      <c r="B749" s="1" t="s">
        <v>391</v>
      </c>
      <c r="C749" s="1" t="s">
        <v>380</v>
      </c>
      <c r="D749" s="52">
        <v>46098.315972222219</v>
      </c>
      <c r="E749" s="52">
        <v>46098.315972222219</v>
      </c>
      <c r="F749" s="52">
        <v>46098.479166666664</v>
      </c>
      <c r="G749" s="53">
        <f>F749-E749</f>
        <v>0.16319444444525288</v>
      </c>
      <c r="H749" s="1" t="s">
        <v>257</v>
      </c>
      <c r="J749" s="1" t="s">
        <v>258</v>
      </c>
      <c r="K749" s="1" t="str">
        <f>_xlfn.XLOOKUP(J749,REF!$D$2:$D$12,REF!$E$2:$E$12)</f>
        <v>Rede</v>
      </c>
      <c r="L749" s="1" t="s">
        <v>259</v>
      </c>
      <c r="M749" s="1" t="s">
        <v>260</v>
      </c>
      <c r="N749" s="1" t="s">
        <v>261</v>
      </c>
      <c r="O749" s="72" t="s">
        <v>297</v>
      </c>
      <c r="P749" s="1" t="str">
        <f>_xlfn.CONCAT(B749,C749,D749,E749,F749)</f>
        <v>BC Camarao1.4215KTL-H3(MBUS-15)46098,315972222246098,315972222246098,4791666667</v>
      </c>
      <c r="Q749" s="1" t="str">
        <f>_xlfn.CONCAT(H749,I749,J749)</f>
        <v>DAURDE</v>
      </c>
    </row>
    <row r="750" spans="2:17">
      <c r="B750" s="1" t="s">
        <v>519</v>
      </c>
      <c r="C750" s="1" t="s">
        <v>380</v>
      </c>
      <c r="D750" s="52">
        <v>46098.315972222219</v>
      </c>
      <c r="E750" s="52">
        <v>46098.315972222219</v>
      </c>
      <c r="F750" s="52">
        <v>46098.479166666664</v>
      </c>
      <c r="G750" s="53">
        <f>F750-E750</f>
        <v>0.16319444444525288</v>
      </c>
      <c r="H750" s="1" t="s">
        <v>257</v>
      </c>
      <c r="J750" s="1" t="s">
        <v>258</v>
      </c>
      <c r="K750" s="1" t="str">
        <f>_xlfn.XLOOKUP(J750,REF!$D$2:$D$12,REF!$E$2:$E$12)</f>
        <v>Rede</v>
      </c>
      <c r="L750" s="1" t="s">
        <v>259</v>
      </c>
      <c r="M750" s="1" t="s">
        <v>260</v>
      </c>
      <c r="N750" s="1" t="s">
        <v>261</v>
      </c>
      <c r="O750" s="72" t="s">
        <v>297</v>
      </c>
      <c r="P750" s="1" t="str">
        <f t="shared" ref="P750:P805" si="29">_xlfn.CONCAT(B750,C750,D750,E750,F750)</f>
        <v>BC Camarao1.5215KTL-H3(MBUS-15)46098,315972222246098,315972222246098,4791666667</v>
      </c>
    </row>
    <row r="751" spans="2:17">
      <c r="B751" s="1" t="s">
        <v>519</v>
      </c>
      <c r="C751" s="1" t="s">
        <v>378</v>
      </c>
      <c r="D751" s="52">
        <v>46098.315972222219</v>
      </c>
      <c r="E751" s="52">
        <v>46098.315972222219</v>
      </c>
      <c r="F751" s="52">
        <v>46098.479166666664</v>
      </c>
      <c r="G751" s="53">
        <f>F751-E751</f>
        <v>0.16319444444525288</v>
      </c>
      <c r="H751" s="1" t="s">
        <v>257</v>
      </c>
      <c r="J751" s="1" t="s">
        <v>258</v>
      </c>
      <c r="K751" s="1" t="str">
        <f>_xlfn.XLOOKUP(J751,REF!$D$2:$D$12,REF!$E$2:$E$12)</f>
        <v>Rede</v>
      </c>
      <c r="L751" s="1" t="s">
        <v>259</v>
      </c>
      <c r="M751" s="1" t="s">
        <v>260</v>
      </c>
      <c r="N751" s="1" t="s">
        <v>261</v>
      </c>
      <c r="O751" s="72" t="s">
        <v>297</v>
      </c>
      <c r="P751" s="1" t="str">
        <f t="shared" si="29"/>
        <v>BC Camarao1.5215KTL-H3(MBUS-13)46098,315972222246098,315972222246098,4791666667</v>
      </c>
    </row>
    <row r="752" spans="2:17">
      <c r="B752" s="1" t="s">
        <v>519</v>
      </c>
      <c r="C752" s="1" t="s">
        <v>377</v>
      </c>
      <c r="D752" s="52">
        <v>46098.315972222219</v>
      </c>
      <c r="E752" s="52">
        <v>46098.315972222219</v>
      </c>
      <c r="F752" s="52">
        <v>46098.479166666664</v>
      </c>
      <c r="G752" s="53">
        <f>F752-E752</f>
        <v>0.16319444444525288</v>
      </c>
      <c r="H752" s="1" t="s">
        <v>257</v>
      </c>
      <c r="J752" s="1" t="s">
        <v>258</v>
      </c>
      <c r="K752" s="1" t="str">
        <f>_xlfn.XLOOKUP(J752,REF!$D$2:$D$12,REF!$E$2:$E$12)</f>
        <v>Rede</v>
      </c>
      <c r="L752" s="1" t="s">
        <v>259</v>
      </c>
      <c r="M752" s="1" t="s">
        <v>260</v>
      </c>
      <c r="N752" s="1" t="s">
        <v>261</v>
      </c>
      <c r="O752" s="72" t="s">
        <v>297</v>
      </c>
      <c r="P752" s="1" t="str">
        <f t="shared" si="29"/>
        <v>BC Camarao1.5215KTL-H3(MBUS-12)46098,315972222246098,315972222246098,4791666667</v>
      </c>
    </row>
    <row r="753" spans="2:17">
      <c r="B753" s="1" t="s">
        <v>519</v>
      </c>
      <c r="C753" s="1" t="s">
        <v>520</v>
      </c>
      <c r="D753" s="52">
        <v>46098.315972222219</v>
      </c>
      <c r="E753" s="52">
        <v>46098.315972222219</v>
      </c>
      <c r="F753" s="52">
        <v>46098.479166666664</v>
      </c>
      <c r="G753" s="53">
        <f>F753-E753</f>
        <v>0.16319444444525288</v>
      </c>
      <c r="H753" s="1" t="s">
        <v>257</v>
      </c>
      <c r="J753" s="1" t="s">
        <v>258</v>
      </c>
      <c r="K753" s="1" t="str">
        <f>_xlfn.XLOOKUP(J753,REF!$D$2:$D$12,REF!$E$2:$E$12)</f>
        <v>Rede</v>
      </c>
      <c r="L753" s="1" t="s">
        <v>259</v>
      </c>
      <c r="M753" s="1" t="s">
        <v>260</v>
      </c>
      <c r="N753" s="1" t="s">
        <v>261</v>
      </c>
      <c r="O753" s="72" t="s">
        <v>297</v>
      </c>
      <c r="P753" s="1" t="str">
        <f t="shared" si="29"/>
        <v>BC Camarao1.5215KTL-H3(MBUS-1)46098,315972222246098,315972222246098,4791666667</v>
      </c>
    </row>
    <row r="754" spans="2:17">
      <c r="B754" s="1" t="s">
        <v>519</v>
      </c>
      <c r="C754" s="1" t="s">
        <v>382</v>
      </c>
      <c r="D754" s="52">
        <v>46098.315972222219</v>
      </c>
      <c r="E754" s="52">
        <v>46098.315972222219</v>
      </c>
      <c r="F754" s="52">
        <v>46098.479166666664</v>
      </c>
      <c r="G754" s="53">
        <f>F754-E754</f>
        <v>0.16319444444525288</v>
      </c>
      <c r="H754" s="1" t="s">
        <v>257</v>
      </c>
      <c r="J754" s="1" t="s">
        <v>258</v>
      </c>
      <c r="K754" s="1" t="str">
        <f>_xlfn.XLOOKUP(J754,REF!$D$2:$D$12,REF!$E$2:$E$12)</f>
        <v>Rede</v>
      </c>
      <c r="L754" s="1" t="s">
        <v>259</v>
      </c>
      <c r="M754" s="1" t="s">
        <v>260</v>
      </c>
      <c r="N754" s="1" t="s">
        <v>261</v>
      </c>
      <c r="O754" s="72" t="s">
        <v>297</v>
      </c>
      <c r="P754" s="1" t="str">
        <f t="shared" si="29"/>
        <v>BC Camarao1.5215KTL-H3(MBUS-14)46098,315972222246098,315972222246098,4791666667</v>
      </c>
    </row>
    <row r="755" spans="2:17">
      <c r="B755" s="1" t="s">
        <v>299</v>
      </c>
      <c r="C755" s="1" t="s">
        <v>300</v>
      </c>
      <c r="D755" s="52">
        <v>46098.354166666664</v>
      </c>
      <c r="E755" s="52">
        <v>46098.354166666664</v>
      </c>
      <c r="F755" s="52">
        <v>46098.454861111109</v>
      </c>
      <c r="G755" s="53">
        <f>F755-E755</f>
        <v>0.10069444444525288</v>
      </c>
      <c r="H755" s="1" t="s">
        <v>268</v>
      </c>
      <c r="I755" s="1" t="s">
        <v>269</v>
      </c>
      <c r="J755" s="1" t="s">
        <v>270</v>
      </c>
      <c r="K755" s="1" t="str">
        <f>_xlfn.XLOOKUP(J755,REF!$D$2:$D$12,REF!$E$2:$E$12)</f>
        <v>Internet</v>
      </c>
      <c r="L755" s="1" t="s">
        <v>517</v>
      </c>
      <c r="M755" s="1" t="s">
        <v>272</v>
      </c>
      <c r="N755" s="1" t="s">
        <v>253</v>
      </c>
      <c r="O755" s="1" t="s">
        <v>274</v>
      </c>
      <c r="P755" s="1" t="str">
        <f t="shared" si="29"/>
        <v>BC Panama1.1ITAPOAN 001 (COM1-001)_001_00146098,354166666746098,354166666746098,4548611111</v>
      </c>
    </row>
    <row r="756" spans="2:17">
      <c r="B756" s="1" t="s">
        <v>299</v>
      </c>
      <c r="C756" s="1" t="s">
        <v>303</v>
      </c>
      <c r="D756" s="52">
        <v>46098.354166666664</v>
      </c>
      <c r="E756" s="52">
        <v>46098.354166666664</v>
      </c>
      <c r="F756" s="52">
        <v>46098.454861111109</v>
      </c>
      <c r="G756" s="53">
        <f>F756-E756</f>
        <v>0.10069444444525288</v>
      </c>
      <c r="H756" s="1" t="s">
        <v>268</v>
      </c>
      <c r="I756" s="1" t="s">
        <v>269</v>
      </c>
      <c r="J756" s="1" t="s">
        <v>270</v>
      </c>
      <c r="K756" s="1" t="str">
        <f>_xlfn.XLOOKUP(J756,REF!$D$2:$D$12,REF!$E$2:$E$12)</f>
        <v>Internet</v>
      </c>
      <c r="L756" s="1" t="s">
        <v>517</v>
      </c>
      <c r="M756" s="1" t="s">
        <v>272</v>
      </c>
      <c r="N756" s="1" t="s">
        <v>253</v>
      </c>
      <c r="O756" s="1" t="s">
        <v>274</v>
      </c>
      <c r="P756" s="1" t="str">
        <f t="shared" si="29"/>
        <v>BC Panama1.1CEREAL_00246098,354166666746098,354166666746098,4548611111</v>
      </c>
    </row>
    <row r="757" spans="2:17">
      <c r="B757" s="1" t="s">
        <v>299</v>
      </c>
      <c r="C757" s="1" t="s">
        <v>304</v>
      </c>
      <c r="D757" s="52">
        <v>46098.354166666664</v>
      </c>
      <c r="E757" s="52">
        <v>46098.354166666664</v>
      </c>
      <c r="F757" s="52">
        <v>46098.454861111109</v>
      </c>
      <c r="G757" s="53">
        <f>F757-E757</f>
        <v>0.10069444444525288</v>
      </c>
      <c r="H757" s="1" t="s">
        <v>268</v>
      </c>
      <c r="I757" s="1" t="s">
        <v>269</v>
      </c>
      <c r="J757" s="1" t="s">
        <v>270</v>
      </c>
      <c r="K757" s="1" t="str">
        <f>_xlfn.XLOOKUP(J757,REF!$D$2:$D$12,REF!$E$2:$E$12)</f>
        <v>Internet</v>
      </c>
      <c r="L757" s="1" t="s">
        <v>517</v>
      </c>
      <c r="M757" s="1" t="s">
        <v>272</v>
      </c>
      <c r="N757" s="1" t="s">
        <v>253</v>
      </c>
      <c r="O757" s="1" t="s">
        <v>274</v>
      </c>
      <c r="P757" s="1" t="str">
        <f t="shared" si="29"/>
        <v>BC Panama1.1ITAPOAN_00346098,354166666746098,354166666746098,4548611111</v>
      </c>
    </row>
    <row r="758" spans="2:17">
      <c r="B758" s="1" t="s">
        <v>393</v>
      </c>
      <c r="C758" s="1" t="s">
        <v>394</v>
      </c>
      <c r="D758" s="52">
        <v>46098.385416666664</v>
      </c>
      <c r="E758" s="52">
        <v>46098.385416666664</v>
      </c>
      <c r="F758" s="52">
        <v>46098.399305555555</v>
      </c>
      <c r="G758" s="53">
        <f>F758-E758</f>
        <v>1.3888888890505768E-2</v>
      </c>
      <c r="H758" s="1" t="s">
        <v>268</v>
      </c>
      <c r="I758" s="1" t="s">
        <v>269</v>
      </c>
      <c r="J758" s="1" t="s">
        <v>270</v>
      </c>
      <c r="K758" s="1" t="str">
        <f>_xlfn.XLOOKUP(J758,REF!$D$2:$D$12,REF!$E$2:$E$12)</f>
        <v>Internet</v>
      </c>
      <c r="L758" s="1" t="s">
        <v>517</v>
      </c>
      <c r="M758" s="1" t="s">
        <v>272</v>
      </c>
      <c r="N758" s="1" t="s">
        <v>253</v>
      </c>
      <c r="O758" s="1" t="s">
        <v>274</v>
      </c>
      <c r="P758" s="1" t="str">
        <f t="shared" si="29"/>
        <v>BC ParanoaSG60KTL(COM1-014)_001_01346098,385416666746098,385416666746098,3993055556</v>
      </c>
    </row>
    <row r="759" spans="2:17">
      <c r="B759" s="1" t="s">
        <v>393</v>
      </c>
      <c r="C759" s="1" t="s">
        <v>395</v>
      </c>
      <c r="D759" s="52">
        <v>46098.385416666664</v>
      </c>
      <c r="E759" s="52">
        <v>46098.385416666664</v>
      </c>
      <c r="F759" s="52">
        <v>46098.399305555555</v>
      </c>
      <c r="G759" s="53">
        <f>F759-E759</f>
        <v>1.3888888890505768E-2</v>
      </c>
      <c r="H759" s="1" t="s">
        <v>268</v>
      </c>
      <c r="I759" s="1" t="s">
        <v>269</v>
      </c>
      <c r="J759" s="1" t="s">
        <v>270</v>
      </c>
      <c r="K759" s="1" t="str">
        <f>_xlfn.XLOOKUP(J759,REF!$D$2:$D$12,REF!$E$2:$E$12)</f>
        <v>Internet</v>
      </c>
      <c r="L759" s="1" t="s">
        <v>517</v>
      </c>
      <c r="M759" s="1" t="s">
        <v>272</v>
      </c>
      <c r="N759" s="1" t="s">
        <v>253</v>
      </c>
      <c r="O759" s="1" t="s">
        <v>274</v>
      </c>
      <c r="P759" s="1" t="str">
        <f t="shared" si="29"/>
        <v>BC ParanoaSG60KTL(COM1-013)_001_01046098,385416666746098,385416666746098,3993055556</v>
      </c>
    </row>
    <row r="760" spans="2:17">
      <c r="B760" s="1" t="s">
        <v>393</v>
      </c>
      <c r="C760" s="1" t="s">
        <v>396</v>
      </c>
      <c r="D760" s="52">
        <v>46098.385416666664</v>
      </c>
      <c r="E760" s="52">
        <v>46098.385416666664</v>
      </c>
      <c r="F760" s="52">
        <v>46098.399305555555</v>
      </c>
      <c r="G760" s="53">
        <f>F760-E760</f>
        <v>1.3888888890505768E-2</v>
      </c>
      <c r="H760" s="1" t="s">
        <v>268</v>
      </c>
      <c r="I760" s="1" t="s">
        <v>269</v>
      </c>
      <c r="J760" s="1" t="s">
        <v>270</v>
      </c>
      <c r="K760" s="1" t="str">
        <f>_xlfn.XLOOKUP(J760,REF!$D$2:$D$12,REF!$E$2:$E$12)</f>
        <v>Internet</v>
      </c>
      <c r="L760" s="1" t="s">
        <v>517</v>
      </c>
      <c r="M760" s="1" t="s">
        <v>272</v>
      </c>
      <c r="N760" s="1" t="s">
        <v>253</v>
      </c>
      <c r="O760" s="1" t="s">
        <v>274</v>
      </c>
      <c r="P760" s="1" t="str">
        <f t="shared" si="29"/>
        <v>BC ParanoaSG60KTL(COM1-012)_001_01146098,385416666746098,385416666746098,3993055556</v>
      </c>
    </row>
    <row r="761" spans="2:17">
      <c r="B761" s="1" t="s">
        <v>393</v>
      </c>
      <c r="C761" s="1" t="s">
        <v>397</v>
      </c>
      <c r="D761" s="52">
        <v>46098.385416666664</v>
      </c>
      <c r="E761" s="52">
        <v>46098.385416666664</v>
      </c>
      <c r="F761" s="52">
        <v>46098.399305555555</v>
      </c>
      <c r="G761" s="53">
        <f>F761-E761</f>
        <v>1.3888888890505768E-2</v>
      </c>
      <c r="H761" s="1" t="s">
        <v>268</v>
      </c>
      <c r="I761" s="1" t="s">
        <v>269</v>
      </c>
      <c r="J761" s="1" t="s">
        <v>270</v>
      </c>
      <c r="K761" s="1" t="str">
        <f>_xlfn.XLOOKUP(J761,REF!$D$2:$D$12,REF!$E$2:$E$12)</f>
        <v>Internet</v>
      </c>
      <c r="L761" s="1" t="s">
        <v>517</v>
      </c>
      <c r="M761" s="1" t="s">
        <v>272</v>
      </c>
      <c r="N761" s="1" t="s">
        <v>253</v>
      </c>
      <c r="O761" s="1" t="s">
        <v>274</v>
      </c>
      <c r="P761" s="1" t="str">
        <f t="shared" si="29"/>
        <v>BC ParanoaSG60KTL(COM1-011)_001_00546098,385416666746098,385416666746098,3993055556</v>
      </c>
    </row>
    <row r="762" spans="2:17">
      <c r="B762" s="1" t="s">
        <v>393</v>
      </c>
      <c r="C762" s="1" t="s">
        <v>398</v>
      </c>
      <c r="D762" s="52">
        <v>46098.385416666664</v>
      </c>
      <c r="E762" s="52">
        <v>46098.385416666664</v>
      </c>
      <c r="F762" s="52">
        <v>46098.399305555555</v>
      </c>
      <c r="G762" s="53">
        <f>F762-E762</f>
        <v>1.3888888890505768E-2</v>
      </c>
      <c r="H762" s="1" t="s">
        <v>268</v>
      </c>
      <c r="I762" s="1" t="s">
        <v>269</v>
      </c>
      <c r="J762" s="1" t="s">
        <v>270</v>
      </c>
      <c r="K762" s="1" t="str">
        <f>_xlfn.XLOOKUP(J762,REF!$D$2:$D$12,REF!$E$2:$E$12)</f>
        <v>Internet</v>
      </c>
      <c r="L762" s="1" t="s">
        <v>517</v>
      </c>
      <c r="M762" s="1" t="s">
        <v>272</v>
      </c>
      <c r="N762" s="1" t="s">
        <v>253</v>
      </c>
      <c r="O762" s="1" t="s">
        <v>274</v>
      </c>
      <c r="P762" s="1" t="str">
        <f t="shared" si="29"/>
        <v>BC ParanoaSG60KTL(COM1-010)_001_00346098,385416666746098,385416666746098,3993055556</v>
      </c>
    </row>
    <row r="763" spans="2:17">
      <c r="B763" s="1" t="s">
        <v>393</v>
      </c>
      <c r="C763" s="1" t="s">
        <v>399</v>
      </c>
      <c r="D763" s="52">
        <v>46098.385416666664</v>
      </c>
      <c r="E763" s="52">
        <v>46098.385416666664</v>
      </c>
      <c r="F763" s="52">
        <v>46098.399305555555</v>
      </c>
      <c r="G763" s="53">
        <f>F763-E763</f>
        <v>1.3888888890505768E-2</v>
      </c>
      <c r="H763" s="1" t="s">
        <v>268</v>
      </c>
      <c r="I763" s="1" t="s">
        <v>269</v>
      </c>
      <c r="J763" s="1" t="s">
        <v>270</v>
      </c>
      <c r="K763" s="1" t="str">
        <f>_xlfn.XLOOKUP(J763,REF!$D$2:$D$12,REF!$E$2:$E$12)</f>
        <v>Internet</v>
      </c>
      <c r="L763" s="1" t="s">
        <v>517</v>
      </c>
      <c r="M763" s="1" t="s">
        <v>272</v>
      </c>
      <c r="N763" s="1" t="s">
        <v>253</v>
      </c>
      <c r="O763" s="1" t="s">
        <v>274</v>
      </c>
      <c r="P763" s="1" t="str">
        <f t="shared" si="29"/>
        <v>BC ParanoaSG60KTL(COM1-018)_001_01246098,385416666746098,385416666746098,3993055556</v>
      </c>
    </row>
    <row r="764" spans="2:17">
      <c r="B764" s="1" t="s">
        <v>393</v>
      </c>
      <c r="C764" s="1" t="s">
        <v>400</v>
      </c>
      <c r="D764" s="52">
        <v>46098.385416666664</v>
      </c>
      <c r="E764" s="52">
        <v>46098.385416666664</v>
      </c>
      <c r="F764" s="52">
        <v>46098.399305555555</v>
      </c>
      <c r="G764" s="53">
        <f>F764-E764</f>
        <v>1.3888888890505768E-2</v>
      </c>
      <c r="H764" s="1" t="s">
        <v>268</v>
      </c>
      <c r="I764" s="1" t="s">
        <v>269</v>
      </c>
      <c r="J764" s="1" t="s">
        <v>270</v>
      </c>
      <c r="K764" s="1" t="str">
        <f>_xlfn.XLOOKUP(J764,REF!$D$2:$D$12,REF!$E$2:$E$12)</f>
        <v>Internet</v>
      </c>
      <c r="L764" s="1" t="s">
        <v>517</v>
      </c>
      <c r="M764" s="1" t="s">
        <v>272</v>
      </c>
      <c r="N764" s="1" t="s">
        <v>253</v>
      </c>
      <c r="O764" s="1" t="s">
        <v>274</v>
      </c>
      <c r="P764" s="1" t="str">
        <f t="shared" si="29"/>
        <v>BC ParanoaSG60KTL(COM1-017)_001_00746098,385416666746098,385416666746098,3993055556</v>
      </c>
    </row>
    <row r="765" spans="2:17">
      <c r="B765" s="1" t="s">
        <v>393</v>
      </c>
      <c r="C765" s="1" t="s">
        <v>401</v>
      </c>
      <c r="D765" s="52">
        <v>46098.385416666664</v>
      </c>
      <c r="E765" s="52">
        <v>46098.385416666664</v>
      </c>
      <c r="F765" s="52">
        <v>46098.399305555555</v>
      </c>
      <c r="G765" s="53">
        <f>F765-E765</f>
        <v>1.3888888890505768E-2</v>
      </c>
      <c r="H765" s="1" t="s">
        <v>268</v>
      </c>
      <c r="I765" s="1" t="s">
        <v>269</v>
      </c>
      <c r="J765" s="1" t="s">
        <v>270</v>
      </c>
      <c r="K765" s="1" t="str">
        <f>_xlfn.XLOOKUP(J765,REF!$D$2:$D$12,REF!$E$2:$E$12)</f>
        <v>Internet</v>
      </c>
      <c r="L765" s="1" t="s">
        <v>517</v>
      </c>
      <c r="M765" s="1" t="s">
        <v>272</v>
      </c>
      <c r="N765" s="1" t="s">
        <v>253</v>
      </c>
      <c r="O765" s="1" t="s">
        <v>274</v>
      </c>
      <c r="P765" s="1" t="str">
        <f t="shared" si="29"/>
        <v>BC ParanoaSG60KTL(COM1-016)_001_00646098,385416666746098,385416666746098,3993055556</v>
      </c>
    </row>
    <row r="766" spans="2:17">
      <c r="B766" s="1" t="s">
        <v>393</v>
      </c>
      <c r="C766" s="1" t="s">
        <v>402</v>
      </c>
      <c r="D766" s="52">
        <v>46098.385416666664</v>
      </c>
      <c r="E766" s="52">
        <v>46098.385416666664</v>
      </c>
      <c r="F766" s="52">
        <v>46098.399305555555</v>
      </c>
      <c r="G766" s="53">
        <f>F766-E766</f>
        <v>1.3888888890505768E-2</v>
      </c>
      <c r="H766" s="1" t="s">
        <v>268</v>
      </c>
      <c r="I766" s="1" t="s">
        <v>269</v>
      </c>
      <c r="J766" s="1" t="s">
        <v>270</v>
      </c>
      <c r="K766" s="1" t="str">
        <f>_xlfn.XLOOKUP(J766,REF!$D$2:$D$12,REF!$E$2:$E$12)</f>
        <v>Internet</v>
      </c>
      <c r="L766" s="1" t="s">
        <v>517</v>
      </c>
      <c r="M766" s="1" t="s">
        <v>272</v>
      </c>
      <c r="N766" s="1" t="s">
        <v>253</v>
      </c>
      <c r="O766" s="1" t="s">
        <v>274</v>
      </c>
      <c r="P766" s="1" t="str">
        <f t="shared" si="29"/>
        <v>BC ParanoaSG50CX(COM2-015)_001_01746098,385416666746098,385416666746098,3993055556</v>
      </c>
    </row>
    <row r="767" spans="2:17">
      <c r="B767" s="1" t="s">
        <v>393</v>
      </c>
      <c r="C767" s="1" t="s">
        <v>403</v>
      </c>
      <c r="D767" s="52">
        <v>46098.385416666664</v>
      </c>
      <c r="E767" s="52">
        <v>46098.385416666664</v>
      </c>
      <c r="F767" s="52">
        <v>46098.399305555555</v>
      </c>
      <c r="G767" s="53">
        <f>F767-E767</f>
        <v>1.3888888890505768E-2</v>
      </c>
      <c r="H767" s="1" t="s">
        <v>268</v>
      </c>
      <c r="I767" s="1" t="s">
        <v>269</v>
      </c>
      <c r="J767" s="1" t="s">
        <v>270</v>
      </c>
      <c r="K767" s="1" t="str">
        <f>_xlfn.XLOOKUP(J767,REF!$D$2:$D$12,REF!$E$2:$E$12)</f>
        <v>Internet</v>
      </c>
      <c r="L767" s="1" t="s">
        <v>517</v>
      </c>
      <c r="M767" s="1" t="s">
        <v>272</v>
      </c>
      <c r="N767" s="1" t="s">
        <v>253</v>
      </c>
      <c r="O767" s="1" t="s">
        <v>274</v>
      </c>
      <c r="P767" s="1" t="str">
        <f t="shared" si="29"/>
        <v>BC ParanoaSG60KTL(COM1-009)_001_00246098,385416666746098,385416666746098,3993055556</v>
      </c>
    </row>
    <row r="768" spans="2:17">
      <c r="B768" s="1" t="s">
        <v>393</v>
      </c>
      <c r="C768" s="1" t="s">
        <v>404</v>
      </c>
      <c r="D768" s="52">
        <v>46098.385416666664</v>
      </c>
      <c r="E768" s="52">
        <v>46098.385416666664</v>
      </c>
      <c r="F768" s="52">
        <v>46098.399305555555</v>
      </c>
      <c r="G768" s="53">
        <f>F768-E768</f>
        <v>1.3888888890505768E-2</v>
      </c>
      <c r="H768" s="1" t="s">
        <v>268</v>
      </c>
      <c r="I768" s="1" t="s">
        <v>269</v>
      </c>
      <c r="J768" s="1" t="s">
        <v>270</v>
      </c>
      <c r="K768" s="1" t="str">
        <f>_xlfn.XLOOKUP(J768,REF!$D$2:$D$12,REF!$E$2:$E$12)</f>
        <v>Internet</v>
      </c>
      <c r="L768" s="1" t="s">
        <v>517</v>
      </c>
      <c r="M768" s="1" t="s">
        <v>272</v>
      </c>
      <c r="N768" s="1" t="s">
        <v>253</v>
      </c>
      <c r="O768" s="1" t="s">
        <v>274</v>
      </c>
      <c r="P768" s="1" t="str">
        <f t="shared" si="29"/>
        <v>BC ParanoaSG60KTL(COM1-008)_001_00946098,385416666746098,385416666746098,3993055556</v>
      </c>
      <c r="Q768" s="1" t="str">
        <f>_xlfn.CONCAT(H768,I768,J768)</f>
        <v>LIGRFOINT</v>
      </c>
    </row>
    <row r="769" spans="2:17">
      <c r="B769" s="1" t="s">
        <v>393</v>
      </c>
      <c r="C769" s="1" t="s">
        <v>405</v>
      </c>
      <c r="D769" s="52">
        <v>46098.385416666664</v>
      </c>
      <c r="E769" s="52">
        <v>46098.385416666664</v>
      </c>
      <c r="F769" s="52">
        <v>46098.399305555555</v>
      </c>
      <c r="G769" s="53">
        <f>F769-E769</f>
        <v>1.3888888890505768E-2</v>
      </c>
      <c r="H769" s="1" t="s">
        <v>268</v>
      </c>
      <c r="I769" s="1" t="s">
        <v>269</v>
      </c>
      <c r="J769" s="1" t="s">
        <v>270</v>
      </c>
      <c r="K769" s="1" t="str">
        <f>_xlfn.XLOOKUP(J769,REF!$D$2:$D$12,REF!$E$2:$E$12)</f>
        <v>Internet</v>
      </c>
      <c r="L769" s="1" t="s">
        <v>517</v>
      </c>
      <c r="M769" s="1" t="s">
        <v>272</v>
      </c>
      <c r="N769" s="1" t="s">
        <v>253</v>
      </c>
      <c r="O769" s="1" t="s">
        <v>274</v>
      </c>
      <c r="P769" s="1" t="str">
        <f t="shared" si="29"/>
        <v>BC ParanoaSG60KTL(COM1-007)_001_00446098,385416666746098,385416666746098,3993055556</v>
      </c>
      <c r="Q769" s="1" t="str">
        <f>_xlfn.CONCAT(H769,I769,J769)</f>
        <v>LIGRFOINT</v>
      </c>
    </row>
    <row r="770" spans="2:17">
      <c r="B770" s="1" t="s">
        <v>393</v>
      </c>
      <c r="C770" s="1" t="s">
        <v>406</v>
      </c>
      <c r="D770" s="52">
        <v>46098.385416666664</v>
      </c>
      <c r="E770" s="52">
        <v>46098.385416666664</v>
      </c>
      <c r="F770" s="52">
        <v>46098.399305555555</v>
      </c>
      <c r="G770" s="53">
        <f>F770-E770</f>
        <v>1.3888888890505768E-2</v>
      </c>
      <c r="H770" s="1" t="s">
        <v>268</v>
      </c>
      <c r="I770" s="1" t="s">
        <v>269</v>
      </c>
      <c r="J770" s="1" t="s">
        <v>270</v>
      </c>
      <c r="K770" s="1" t="str">
        <f>_xlfn.XLOOKUP(J770,REF!$D$2:$D$12,REF!$E$2:$E$12)</f>
        <v>Internet</v>
      </c>
      <c r="L770" s="1" t="s">
        <v>517</v>
      </c>
      <c r="M770" s="1" t="s">
        <v>272</v>
      </c>
      <c r="N770" s="1" t="s">
        <v>253</v>
      </c>
      <c r="O770" s="1" t="s">
        <v>274</v>
      </c>
      <c r="P770" s="1" t="str">
        <f t="shared" si="29"/>
        <v>BC ParanoaSG60KTL(COM1-006)_001_01446098,385416666746098,385416666746098,3993055556</v>
      </c>
      <c r="Q770" s="1" t="str">
        <f>_xlfn.CONCAT(H770,I770,J770)</f>
        <v>LIGRFOINT</v>
      </c>
    </row>
    <row r="771" spans="2:17">
      <c r="B771" s="1" t="s">
        <v>393</v>
      </c>
      <c r="C771" s="1" t="s">
        <v>407</v>
      </c>
      <c r="D771" s="52">
        <v>46098.385416666664</v>
      </c>
      <c r="E771" s="52">
        <v>46098.385416666664</v>
      </c>
      <c r="F771" s="52">
        <v>46098.399305555555</v>
      </c>
      <c r="G771" s="53">
        <f>F771-E771</f>
        <v>1.3888888890505768E-2</v>
      </c>
      <c r="H771" s="1" t="s">
        <v>268</v>
      </c>
      <c r="I771" s="1" t="s">
        <v>269</v>
      </c>
      <c r="J771" s="1" t="s">
        <v>270</v>
      </c>
      <c r="K771" s="1" t="str">
        <f>_xlfn.XLOOKUP(J771,REF!$D$2:$D$12,REF!$E$2:$E$12)</f>
        <v>Internet</v>
      </c>
      <c r="L771" s="1" t="s">
        <v>517</v>
      </c>
      <c r="M771" s="1" t="s">
        <v>272</v>
      </c>
      <c r="N771" s="1" t="s">
        <v>253</v>
      </c>
      <c r="O771" s="1" t="s">
        <v>274</v>
      </c>
      <c r="P771" s="1" t="str">
        <f t="shared" si="29"/>
        <v>BC ParanoaSG40CX(COM2-005)_001_01546098,385416666746098,385416666746098,3993055556</v>
      </c>
      <c r="Q771" s="1" t="str">
        <f>_xlfn.CONCAT(H771,I771,J771)</f>
        <v>LIGRFOINT</v>
      </c>
    </row>
    <row r="772" spans="2:17">
      <c r="B772" s="1" t="s">
        <v>393</v>
      </c>
      <c r="C772" s="1" t="s">
        <v>408</v>
      </c>
      <c r="D772" s="52">
        <v>46098.385416666664</v>
      </c>
      <c r="E772" s="52">
        <v>46098.385416666664</v>
      </c>
      <c r="F772" s="52">
        <v>46098.399305555555</v>
      </c>
      <c r="G772" s="53">
        <f>F772-E772</f>
        <v>1.3888888890505768E-2</v>
      </c>
      <c r="H772" s="1" t="s">
        <v>268</v>
      </c>
      <c r="I772" s="1" t="s">
        <v>269</v>
      </c>
      <c r="J772" s="1" t="s">
        <v>270</v>
      </c>
      <c r="K772" s="1" t="str">
        <f>_xlfn.XLOOKUP(J772,REF!$D$2:$D$12,REF!$E$2:$E$12)</f>
        <v>Internet</v>
      </c>
      <c r="L772" s="1" t="s">
        <v>517</v>
      </c>
      <c r="M772" s="1" t="s">
        <v>272</v>
      </c>
      <c r="N772" s="1" t="s">
        <v>253</v>
      </c>
      <c r="O772" s="1" t="s">
        <v>274</v>
      </c>
      <c r="P772" s="1" t="str">
        <f t="shared" si="29"/>
        <v>BC ParanoaSG60KTL(COM1-019)_002_00746098,385416666746098,385416666746098,3993055556</v>
      </c>
      <c r="Q772" s="1" t="str">
        <f>_xlfn.CONCAT(H772,I772,J772)</f>
        <v>LIGRFOINT</v>
      </c>
    </row>
    <row r="773" spans="2:17">
      <c r="B773" s="1" t="s">
        <v>393</v>
      </c>
      <c r="C773" s="1" t="s">
        <v>409</v>
      </c>
      <c r="D773" s="52">
        <v>46098.385416666664</v>
      </c>
      <c r="E773" s="52">
        <v>46098.385416666664</v>
      </c>
      <c r="F773" s="52">
        <v>46098.399305555555</v>
      </c>
      <c r="G773" s="53">
        <f>F773-E773</f>
        <v>1.3888888890505768E-2</v>
      </c>
      <c r="H773" s="1" t="s">
        <v>268</v>
      </c>
      <c r="I773" s="1" t="s">
        <v>269</v>
      </c>
      <c r="J773" s="1" t="s">
        <v>270</v>
      </c>
      <c r="K773" s="1" t="str">
        <f>_xlfn.XLOOKUP(J773,REF!$D$2:$D$12,REF!$E$2:$E$12)</f>
        <v>Internet</v>
      </c>
      <c r="L773" s="1" t="s">
        <v>517</v>
      </c>
      <c r="M773" s="1" t="s">
        <v>272</v>
      </c>
      <c r="N773" s="1" t="s">
        <v>253</v>
      </c>
      <c r="O773" s="1" t="s">
        <v>274</v>
      </c>
      <c r="P773" s="1" t="str">
        <f t="shared" si="29"/>
        <v>BC ParanoaSG60KTL(COM1-020)_002_01146098,385416666746098,385416666746098,3993055556</v>
      </c>
      <c r="Q773" s="1" t="str">
        <f>_xlfn.CONCAT(H773,I773,J773)</f>
        <v>LIGRFOINT</v>
      </c>
    </row>
    <row r="774" spans="2:17">
      <c r="B774" s="1" t="s">
        <v>393</v>
      </c>
      <c r="C774" s="1" t="s">
        <v>410</v>
      </c>
      <c r="D774" s="52">
        <v>46098.385416666664</v>
      </c>
      <c r="E774" s="52">
        <v>46098.385416666664</v>
      </c>
      <c r="F774" s="52">
        <v>46098.399305555555</v>
      </c>
      <c r="G774" s="53">
        <f>F774-E774</f>
        <v>1.3888888890505768E-2</v>
      </c>
      <c r="H774" s="1" t="s">
        <v>268</v>
      </c>
      <c r="I774" s="1" t="s">
        <v>269</v>
      </c>
      <c r="J774" s="1" t="s">
        <v>270</v>
      </c>
      <c r="K774" s="1" t="str">
        <f>_xlfn.XLOOKUP(J774,REF!$D$2:$D$12,REF!$E$2:$E$12)</f>
        <v>Internet</v>
      </c>
      <c r="L774" s="1" t="s">
        <v>517</v>
      </c>
      <c r="M774" s="1" t="s">
        <v>272</v>
      </c>
      <c r="N774" s="1" t="s">
        <v>253</v>
      </c>
      <c r="O774" s="1" t="s">
        <v>274</v>
      </c>
      <c r="P774" s="1" t="str">
        <f t="shared" si="29"/>
        <v>BC ParanoaSG60KTL(COM1-021)_002_01746098,385416666746098,385416666746098,3993055556</v>
      </c>
      <c r="Q774" s="1" t="str">
        <f>_xlfn.CONCAT(H774,I774,J774)</f>
        <v>LIGRFOINT</v>
      </c>
    </row>
    <row r="775" spans="2:17">
      <c r="B775" s="1" t="s">
        <v>393</v>
      </c>
      <c r="C775" s="1" t="s">
        <v>411</v>
      </c>
      <c r="D775" s="52">
        <v>46098.385416666664</v>
      </c>
      <c r="E775" s="52">
        <v>46098.385416666664</v>
      </c>
      <c r="F775" s="52">
        <v>46098.399305555555</v>
      </c>
      <c r="G775" s="53">
        <f>F775-E775</f>
        <v>1.3888888890505768E-2</v>
      </c>
      <c r="H775" s="1" t="s">
        <v>268</v>
      </c>
      <c r="I775" s="1" t="s">
        <v>269</v>
      </c>
      <c r="J775" s="1" t="s">
        <v>270</v>
      </c>
      <c r="K775" s="1" t="str">
        <f>_xlfn.XLOOKUP(J775,REF!$D$2:$D$12,REF!$E$2:$E$12)</f>
        <v>Internet</v>
      </c>
      <c r="L775" s="1" t="s">
        <v>517</v>
      </c>
      <c r="M775" s="1" t="s">
        <v>272</v>
      </c>
      <c r="N775" s="1" t="s">
        <v>253</v>
      </c>
      <c r="O775" s="1" t="s">
        <v>274</v>
      </c>
      <c r="P775" s="1" t="str">
        <f t="shared" si="29"/>
        <v>BC ParanoaSG60KTL(COM1-022)_002_02046098,385416666746098,385416666746098,3993055556</v>
      </c>
      <c r="Q775" s="1" t="str">
        <f>_xlfn.CONCAT(H775,I775,J775)</f>
        <v>LIGRFOINT</v>
      </c>
    </row>
    <row r="776" spans="2:17">
      <c r="B776" s="1" t="s">
        <v>393</v>
      </c>
      <c r="C776" s="1" t="s">
        <v>412</v>
      </c>
      <c r="D776" s="52">
        <v>46098.385416666664</v>
      </c>
      <c r="E776" s="52">
        <v>46098.385416666664</v>
      </c>
      <c r="F776" s="52">
        <v>46098.399305555555</v>
      </c>
      <c r="G776" s="53">
        <f>F776-E776</f>
        <v>1.3888888890505768E-2</v>
      </c>
      <c r="H776" s="1" t="s">
        <v>268</v>
      </c>
      <c r="I776" s="1" t="s">
        <v>269</v>
      </c>
      <c r="J776" s="1" t="s">
        <v>270</v>
      </c>
      <c r="K776" s="1" t="str">
        <f>_xlfn.XLOOKUP(J776,REF!$D$2:$D$12,REF!$E$2:$E$12)</f>
        <v>Internet</v>
      </c>
      <c r="L776" s="1" t="s">
        <v>517</v>
      </c>
      <c r="M776" s="1" t="s">
        <v>272</v>
      </c>
      <c r="N776" s="1" t="s">
        <v>253</v>
      </c>
      <c r="O776" s="1" t="s">
        <v>274</v>
      </c>
      <c r="P776" s="1" t="str">
        <f t="shared" si="29"/>
        <v>BC ParanoaSG40CX(COM2-023)_002_02446098,385416666746098,385416666746098,3993055556</v>
      </c>
      <c r="Q776" s="1" t="str">
        <f>_xlfn.CONCAT(H776,I776,J776)</f>
        <v>LIGRFOINT</v>
      </c>
    </row>
    <row r="777" spans="2:17">
      <c r="B777" s="1" t="s">
        <v>393</v>
      </c>
      <c r="C777" s="1" t="s">
        <v>413</v>
      </c>
      <c r="D777" s="52">
        <v>46098.385416666664</v>
      </c>
      <c r="E777" s="52">
        <v>46098.385416666664</v>
      </c>
      <c r="F777" s="52">
        <v>46098.399305555555</v>
      </c>
      <c r="G777" s="53">
        <f>F777-E777</f>
        <v>1.3888888890505768E-2</v>
      </c>
      <c r="H777" s="1" t="s">
        <v>268</v>
      </c>
      <c r="I777" s="1" t="s">
        <v>269</v>
      </c>
      <c r="J777" s="1" t="s">
        <v>270</v>
      </c>
      <c r="K777" s="1" t="str">
        <f>_xlfn.XLOOKUP(J777,REF!$D$2:$D$12,REF!$E$2:$E$12)</f>
        <v>Internet</v>
      </c>
      <c r="L777" s="1" t="s">
        <v>517</v>
      </c>
      <c r="M777" s="1" t="s">
        <v>272</v>
      </c>
      <c r="N777" s="1" t="s">
        <v>253</v>
      </c>
      <c r="O777" s="1" t="s">
        <v>274</v>
      </c>
      <c r="P777" s="1" t="str">
        <f t="shared" si="29"/>
        <v>BC ParanoaSG40CX(COM2-024)_002_02246098,385416666746098,385416666746098,3993055556</v>
      </c>
      <c r="Q777" s="1" t="str">
        <f>_xlfn.CONCAT(H777,I777,J777)</f>
        <v>LIGRFOINT</v>
      </c>
    </row>
    <row r="778" spans="2:17">
      <c r="B778" s="1" t="s">
        <v>393</v>
      </c>
      <c r="C778" s="1" t="s">
        <v>414</v>
      </c>
      <c r="D778" s="52">
        <v>46098.385416666664</v>
      </c>
      <c r="E778" s="52">
        <v>46098.385416666664</v>
      </c>
      <c r="F778" s="52">
        <v>46098.399305555555</v>
      </c>
      <c r="G778" s="53">
        <f>F778-E778</f>
        <v>1.3888888890505768E-2</v>
      </c>
      <c r="H778" s="1" t="s">
        <v>268</v>
      </c>
      <c r="I778" s="1" t="s">
        <v>269</v>
      </c>
      <c r="J778" s="1" t="s">
        <v>270</v>
      </c>
      <c r="K778" s="1" t="str">
        <f>_xlfn.XLOOKUP(J778,REF!$D$2:$D$12,REF!$E$2:$E$12)</f>
        <v>Internet</v>
      </c>
      <c r="L778" s="1" t="s">
        <v>517</v>
      </c>
      <c r="M778" s="1" t="s">
        <v>272</v>
      </c>
      <c r="N778" s="1" t="s">
        <v>253</v>
      </c>
      <c r="O778" s="1" t="s">
        <v>274</v>
      </c>
      <c r="P778" s="1" t="str">
        <f t="shared" si="29"/>
        <v>BC ParanoaSG60KTL(COM1-007)_002_01346098,385416666746098,385416666746098,3993055556</v>
      </c>
      <c r="Q778" s="1" t="str">
        <f>_xlfn.CONCAT(H778,I778,J778)</f>
        <v>LIGRFOINT</v>
      </c>
    </row>
    <row r="779" spans="2:17">
      <c r="B779" s="1" t="s">
        <v>393</v>
      </c>
      <c r="C779" s="1" t="s">
        <v>415</v>
      </c>
      <c r="D779" s="52">
        <v>46098.385416666664</v>
      </c>
      <c r="E779" s="52">
        <v>46098.385416666664</v>
      </c>
      <c r="F779" s="52">
        <v>46098.399305555555</v>
      </c>
      <c r="G779" s="53">
        <f>F779-E779</f>
        <v>1.3888888890505768E-2</v>
      </c>
      <c r="H779" s="1" t="s">
        <v>268</v>
      </c>
      <c r="I779" s="1" t="s">
        <v>269</v>
      </c>
      <c r="J779" s="1" t="s">
        <v>270</v>
      </c>
      <c r="K779" s="1" t="str">
        <f>_xlfn.XLOOKUP(J779,REF!$D$2:$D$12,REF!$E$2:$E$12)</f>
        <v>Internet</v>
      </c>
      <c r="L779" s="1" t="s">
        <v>517</v>
      </c>
      <c r="M779" s="1" t="s">
        <v>272</v>
      </c>
      <c r="N779" s="1" t="s">
        <v>253</v>
      </c>
      <c r="O779" s="1" t="s">
        <v>274</v>
      </c>
      <c r="P779" s="1" t="str">
        <f t="shared" si="29"/>
        <v>BC ParanoaSG60KTL(COM1-008)_002_00246098,385416666746098,385416666746098,3993055556</v>
      </c>
      <c r="Q779" s="1" t="str">
        <f t="shared" ref="Q779:Q842" si="30">_xlfn.CONCAT(H779,I779,J779)</f>
        <v>LIGRFOINT</v>
      </c>
    </row>
    <row r="780" spans="2:17">
      <c r="B780" s="1" t="s">
        <v>393</v>
      </c>
      <c r="C780" s="1" t="s">
        <v>416</v>
      </c>
      <c r="D780" s="52">
        <v>46098.385416666664</v>
      </c>
      <c r="E780" s="52">
        <v>46098.385416666664</v>
      </c>
      <c r="F780" s="52">
        <v>46098.399305555555</v>
      </c>
      <c r="G780" s="53">
        <f>F780-E780</f>
        <v>1.3888888890505768E-2</v>
      </c>
      <c r="H780" s="1" t="s">
        <v>268</v>
      </c>
      <c r="I780" s="1" t="s">
        <v>269</v>
      </c>
      <c r="J780" s="1" t="s">
        <v>270</v>
      </c>
      <c r="K780" s="1" t="str">
        <f>_xlfn.XLOOKUP(J780,REF!$D$2:$D$12,REF!$E$2:$E$12)</f>
        <v>Internet</v>
      </c>
      <c r="L780" s="1" t="s">
        <v>517</v>
      </c>
      <c r="M780" s="1" t="s">
        <v>272</v>
      </c>
      <c r="N780" s="1" t="s">
        <v>253</v>
      </c>
      <c r="O780" s="1" t="s">
        <v>274</v>
      </c>
      <c r="P780" s="1" t="str">
        <f t="shared" si="29"/>
        <v>BC ParanoaSG60KTL(COM1-009)_002_00846098,385416666746098,385416666746098,3993055556</v>
      </c>
      <c r="Q780" s="1" t="str">
        <f t="shared" si="30"/>
        <v>LIGRFOINT</v>
      </c>
    </row>
    <row r="781" spans="2:17">
      <c r="B781" s="1" t="s">
        <v>393</v>
      </c>
      <c r="C781" s="1" t="s">
        <v>417</v>
      </c>
      <c r="D781" s="52">
        <v>46098.385416666664</v>
      </c>
      <c r="E781" s="52">
        <v>46098.385416666664</v>
      </c>
      <c r="F781" s="52">
        <v>46098.399305555555</v>
      </c>
      <c r="G781" s="53">
        <f>F781-E781</f>
        <v>1.3888888890505768E-2</v>
      </c>
      <c r="H781" s="1" t="s">
        <v>268</v>
      </c>
      <c r="I781" s="1" t="s">
        <v>269</v>
      </c>
      <c r="J781" s="1" t="s">
        <v>270</v>
      </c>
      <c r="K781" s="1" t="str">
        <f>_xlfn.XLOOKUP(J781,REF!$D$2:$D$12,REF!$E$2:$E$12)</f>
        <v>Internet</v>
      </c>
      <c r="L781" s="1" t="s">
        <v>517</v>
      </c>
      <c r="M781" s="1" t="s">
        <v>272</v>
      </c>
      <c r="N781" s="1" t="s">
        <v>253</v>
      </c>
      <c r="O781" s="1" t="s">
        <v>274</v>
      </c>
      <c r="P781" s="1" t="str">
        <f t="shared" si="29"/>
        <v>BC ParanoaSG60KTL(COM1-010)_002_00346098,385416666746098,385416666746098,3993055556</v>
      </c>
      <c r="Q781" s="1" t="str">
        <f t="shared" si="30"/>
        <v>LIGRFOINT</v>
      </c>
    </row>
    <row r="782" spans="2:17">
      <c r="B782" s="1" t="s">
        <v>393</v>
      </c>
      <c r="C782" s="1" t="s">
        <v>418</v>
      </c>
      <c r="D782" s="52">
        <v>46098.385416666664</v>
      </c>
      <c r="E782" s="52">
        <v>46098.385416666664</v>
      </c>
      <c r="F782" s="52">
        <v>46098.399305555555</v>
      </c>
      <c r="G782" s="53">
        <f>F782-E782</f>
        <v>1.3888888890505768E-2</v>
      </c>
      <c r="H782" s="1" t="s">
        <v>268</v>
      </c>
      <c r="I782" s="1" t="s">
        <v>269</v>
      </c>
      <c r="J782" s="1" t="s">
        <v>270</v>
      </c>
      <c r="K782" s="1" t="str">
        <f>_xlfn.XLOOKUP(J782,REF!$D$2:$D$12,REF!$E$2:$E$12)</f>
        <v>Internet</v>
      </c>
      <c r="L782" s="1" t="s">
        <v>517</v>
      </c>
      <c r="M782" s="1" t="s">
        <v>272</v>
      </c>
      <c r="N782" s="1" t="s">
        <v>253</v>
      </c>
      <c r="O782" s="1" t="s">
        <v>274</v>
      </c>
      <c r="P782" s="1" t="str">
        <f t="shared" si="29"/>
        <v>BC ParanoaSG60KTL(COM1-011)_002_01046098,385416666746098,385416666746098,3993055556</v>
      </c>
      <c r="Q782" s="1" t="str">
        <f t="shared" si="30"/>
        <v>LIGRFOINT</v>
      </c>
    </row>
    <row r="783" spans="2:17">
      <c r="B783" s="1" t="s">
        <v>393</v>
      </c>
      <c r="C783" s="1" t="s">
        <v>419</v>
      </c>
      <c r="D783" s="52">
        <v>46098.385416666664</v>
      </c>
      <c r="E783" s="52">
        <v>46098.385416666664</v>
      </c>
      <c r="F783" s="52">
        <v>46098.399305555555</v>
      </c>
      <c r="G783" s="53">
        <f>F783-E783</f>
        <v>1.3888888890505768E-2</v>
      </c>
      <c r="H783" s="1" t="s">
        <v>268</v>
      </c>
      <c r="I783" s="1" t="s">
        <v>269</v>
      </c>
      <c r="J783" s="1" t="s">
        <v>270</v>
      </c>
      <c r="K783" s="1" t="str">
        <f>_xlfn.XLOOKUP(J783,REF!$D$2:$D$12,REF!$E$2:$E$12)</f>
        <v>Internet</v>
      </c>
      <c r="L783" s="1" t="s">
        <v>517</v>
      </c>
      <c r="M783" s="1" t="s">
        <v>272</v>
      </c>
      <c r="N783" s="1" t="s">
        <v>253</v>
      </c>
      <c r="O783" s="1" t="s">
        <v>274</v>
      </c>
      <c r="P783" s="1" t="str">
        <f t="shared" si="29"/>
        <v>BC ParanoaSG60KTL(COM1-012)_002_00546098,385416666746098,385416666746098,3993055556</v>
      </c>
      <c r="Q783" s="1" t="str">
        <f t="shared" si="30"/>
        <v>LIGRFOINT</v>
      </c>
    </row>
    <row r="784" spans="2:17">
      <c r="B784" s="1" t="s">
        <v>393</v>
      </c>
      <c r="C784" s="1" t="s">
        <v>420</v>
      </c>
      <c r="D784" s="52">
        <v>46098.385416666664</v>
      </c>
      <c r="E784" s="52">
        <v>46098.385416666664</v>
      </c>
      <c r="F784" s="52">
        <v>46098.399305555555</v>
      </c>
      <c r="G784" s="53">
        <f>F784-E784</f>
        <v>1.3888888890505768E-2</v>
      </c>
      <c r="H784" s="1" t="s">
        <v>268</v>
      </c>
      <c r="I784" s="1" t="s">
        <v>269</v>
      </c>
      <c r="J784" s="1" t="s">
        <v>270</v>
      </c>
      <c r="K784" s="1" t="str">
        <f>_xlfn.XLOOKUP(J784,REF!$D$2:$D$12,REF!$E$2:$E$12)</f>
        <v>Internet</v>
      </c>
      <c r="L784" s="1" t="s">
        <v>517</v>
      </c>
      <c r="M784" s="1" t="s">
        <v>272</v>
      </c>
      <c r="N784" s="1" t="s">
        <v>253</v>
      </c>
      <c r="O784" s="1" t="s">
        <v>274</v>
      </c>
      <c r="P784" s="1" t="str">
        <f t="shared" si="29"/>
        <v>BC ParanoaSG60KTL(COM1-001)_002_00646098,385416666746098,385416666746098,3993055556</v>
      </c>
      <c r="Q784" s="1" t="str">
        <f t="shared" si="30"/>
        <v>LIGRFOINT</v>
      </c>
    </row>
    <row r="785" spans="2:17">
      <c r="B785" s="1" t="s">
        <v>393</v>
      </c>
      <c r="C785" s="1" t="s">
        <v>421</v>
      </c>
      <c r="D785" s="52">
        <v>46098.385416666664</v>
      </c>
      <c r="E785" s="52">
        <v>46098.385416666664</v>
      </c>
      <c r="F785" s="52">
        <v>46098.399305555555</v>
      </c>
      <c r="G785" s="53">
        <f>F785-E785</f>
        <v>1.3888888890505768E-2</v>
      </c>
      <c r="H785" s="1" t="s">
        <v>268</v>
      </c>
      <c r="I785" s="1" t="s">
        <v>269</v>
      </c>
      <c r="J785" s="1" t="s">
        <v>270</v>
      </c>
      <c r="K785" s="1" t="str">
        <f>_xlfn.XLOOKUP(J785,REF!$D$2:$D$12,REF!$E$2:$E$12)</f>
        <v>Internet</v>
      </c>
      <c r="L785" s="1" t="s">
        <v>517</v>
      </c>
      <c r="M785" s="1" t="s">
        <v>272</v>
      </c>
      <c r="N785" s="1" t="s">
        <v>253</v>
      </c>
      <c r="O785" s="1" t="s">
        <v>274</v>
      </c>
      <c r="P785" s="1" t="str">
        <f t="shared" si="29"/>
        <v>BC ParanoaSG60KTL(COM1-002)_002_01646098,385416666746098,385416666746098,3993055556</v>
      </c>
      <c r="Q785" s="1" t="str">
        <f t="shared" si="30"/>
        <v>LIGRFOINT</v>
      </c>
    </row>
    <row r="786" spans="2:17">
      <c r="B786" s="1" t="s">
        <v>393</v>
      </c>
      <c r="C786" s="1" t="s">
        <v>422</v>
      </c>
      <c r="D786" s="52">
        <v>46098.385416666664</v>
      </c>
      <c r="E786" s="52">
        <v>46098.385416666664</v>
      </c>
      <c r="F786" s="52">
        <v>46098.399305555555</v>
      </c>
      <c r="G786" s="53">
        <f>F786-E786</f>
        <v>1.3888888890505768E-2</v>
      </c>
      <c r="H786" s="1" t="s">
        <v>268</v>
      </c>
      <c r="I786" s="1" t="s">
        <v>269</v>
      </c>
      <c r="J786" s="1" t="s">
        <v>270</v>
      </c>
      <c r="K786" s="1" t="str">
        <f>_xlfn.XLOOKUP(J786,REF!$D$2:$D$12,REF!$E$2:$E$12)</f>
        <v>Internet</v>
      </c>
      <c r="L786" s="1" t="s">
        <v>517</v>
      </c>
      <c r="M786" s="1" t="s">
        <v>272</v>
      </c>
      <c r="N786" s="1" t="s">
        <v>253</v>
      </c>
      <c r="O786" s="1" t="s">
        <v>274</v>
      </c>
      <c r="P786" s="1" t="str">
        <f t="shared" si="29"/>
        <v>BC ParanoaSG50CX(COM2-003)_002_02146098,385416666746098,385416666746098,3993055556</v>
      </c>
      <c r="Q786" s="1" t="str">
        <f t="shared" si="30"/>
        <v>LIGRFOINT</v>
      </c>
    </row>
    <row r="787" spans="2:17">
      <c r="B787" s="1" t="s">
        <v>393</v>
      </c>
      <c r="C787" s="1" t="s">
        <v>423</v>
      </c>
      <c r="D787" s="52">
        <v>46098.385416666664</v>
      </c>
      <c r="E787" s="52">
        <v>46098.385416666664</v>
      </c>
      <c r="F787" s="52">
        <v>46098.399305555555</v>
      </c>
      <c r="G787" s="53">
        <f>F787-E787</f>
        <v>1.3888888890505768E-2</v>
      </c>
      <c r="H787" s="1" t="s">
        <v>268</v>
      </c>
      <c r="I787" s="1" t="s">
        <v>269</v>
      </c>
      <c r="J787" s="1" t="s">
        <v>270</v>
      </c>
      <c r="K787" s="1" t="str">
        <f>_xlfn.XLOOKUP(J787,REF!$D$2:$D$12,REF!$E$2:$E$12)</f>
        <v>Internet</v>
      </c>
      <c r="L787" s="1" t="s">
        <v>517</v>
      </c>
      <c r="M787" s="1" t="s">
        <v>272</v>
      </c>
      <c r="N787" s="1" t="s">
        <v>253</v>
      </c>
      <c r="O787" s="1" t="s">
        <v>274</v>
      </c>
      <c r="P787" s="1" t="str">
        <f t="shared" si="29"/>
        <v>BC ParanoaSG50CX(COM2-004)_002_02346098,385416666746098,385416666746098,3993055556</v>
      </c>
      <c r="Q787" s="1" t="str">
        <f t="shared" si="30"/>
        <v>LIGRFOINT</v>
      </c>
    </row>
    <row r="788" spans="2:17">
      <c r="B788" s="1" t="s">
        <v>393</v>
      </c>
      <c r="C788" s="1" t="s">
        <v>424</v>
      </c>
      <c r="D788" s="52">
        <v>46098.385416666664</v>
      </c>
      <c r="E788" s="52">
        <v>46098.385416666664</v>
      </c>
      <c r="F788" s="52">
        <v>46098.399305555555</v>
      </c>
      <c r="G788" s="53">
        <f>F788-E788</f>
        <v>1.3888888890505768E-2</v>
      </c>
      <c r="H788" s="1" t="s">
        <v>268</v>
      </c>
      <c r="I788" s="1" t="s">
        <v>269</v>
      </c>
      <c r="J788" s="1" t="s">
        <v>270</v>
      </c>
      <c r="K788" s="1" t="str">
        <f>_xlfn.XLOOKUP(J788,REF!$D$2:$D$12,REF!$E$2:$E$12)</f>
        <v>Internet</v>
      </c>
      <c r="L788" s="1" t="s">
        <v>517</v>
      </c>
      <c r="M788" s="1" t="s">
        <v>272</v>
      </c>
      <c r="N788" s="1" t="s">
        <v>253</v>
      </c>
      <c r="O788" s="1" t="s">
        <v>274</v>
      </c>
      <c r="P788" s="1" t="str">
        <f t="shared" si="29"/>
        <v>BC ParanoaSG60KTL(COM1-005)_002_00946098,385416666746098,385416666746098,3993055556</v>
      </c>
      <c r="Q788" s="1" t="str">
        <f t="shared" si="30"/>
        <v>LIGRFOINT</v>
      </c>
    </row>
    <row r="789" spans="2:17">
      <c r="B789" s="1" t="s">
        <v>393</v>
      </c>
      <c r="C789" s="1" t="s">
        <v>425</v>
      </c>
      <c r="D789" s="52">
        <v>46098.385416666664</v>
      </c>
      <c r="E789" s="52">
        <v>46098.385416666664</v>
      </c>
      <c r="F789" s="52">
        <v>46098.399305555555</v>
      </c>
      <c r="G789" s="53">
        <f>F789-E789</f>
        <v>1.3888888890505768E-2</v>
      </c>
      <c r="H789" s="1" t="s">
        <v>268</v>
      </c>
      <c r="I789" s="1" t="s">
        <v>269</v>
      </c>
      <c r="J789" s="1" t="s">
        <v>270</v>
      </c>
      <c r="K789" s="1" t="str">
        <f>_xlfn.XLOOKUP(J789,REF!$D$2:$D$12,REF!$E$2:$E$12)</f>
        <v>Internet</v>
      </c>
      <c r="L789" s="1" t="s">
        <v>517</v>
      </c>
      <c r="M789" s="1" t="s">
        <v>272</v>
      </c>
      <c r="N789" s="1" t="s">
        <v>253</v>
      </c>
      <c r="O789" s="1" t="s">
        <v>274</v>
      </c>
      <c r="P789" s="1" t="str">
        <f t="shared" si="29"/>
        <v>BC ParanoaSG60KTL(COM1-006)_002_00146098,385416666746098,385416666746098,3993055556</v>
      </c>
      <c r="Q789" s="1" t="str">
        <f t="shared" si="30"/>
        <v>LIGRFOINT</v>
      </c>
    </row>
    <row r="790" spans="2:17">
      <c r="B790" s="1" t="s">
        <v>393</v>
      </c>
      <c r="C790" s="1" t="s">
        <v>426</v>
      </c>
      <c r="D790" s="52">
        <v>46098.385416666664</v>
      </c>
      <c r="E790" s="52">
        <v>46098.385416666664</v>
      </c>
      <c r="F790" s="52">
        <v>46098.399305555555</v>
      </c>
      <c r="G790" s="53">
        <f>F790-E790</f>
        <v>1.3888888890505768E-2</v>
      </c>
      <c r="H790" s="1" t="s">
        <v>268</v>
      </c>
      <c r="I790" s="1" t="s">
        <v>269</v>
      </c>
      <c r="J790" s="1" t="s">
        <v>270</v>
      </c>
      <c r="K790" s="1" t="str">
        <f>_xlfn.XLOOKUP(J790,REF!$D$2:$D$12,REF!$E$2:$E$12)</f>
        <v>Internet</v>
      </c>
      <c r="L790" s="1" t="s">
        <v>517</v>
      </c>
      <c r="M790" s="1" t="s">
        <v>272</v>
      </c>
      <c r="N790" s="1" t="s">
        <v>253</v>
      </c>
      <c r="O790" s="1" t="s">
        <v>274</v>
      </c>
      <c r="P790" s="1" t="str">
        <f t="shared" si="29"/>
        <v>BC ParanoaSG60KTL(COM1-013)_002_00446098,385416666746098,385416666746098,3993055556</v>
      </c>
      <c r="Q790" s="1" t="str">
        <f t="shared" si="30"/>
        <v>LIGRFOINT</v>
      </c>
    </row>
    <row r="791" spans="2:17">
      <c r="B791" s="1" t="s">
        <v>393</v>
      </c>
      <c r="C791" s="1" t="s">
        <v>427</v>
      </c>
      <c r="D791" s="52">
        <v>46098.385416666664</v>
      </c>
      <c r="E791" s="52">
        <v>46098.385416666664</v>
      </c>
      <c r="F791" s="52">
        <v>46098.399305555555</v>
      </c>
      <c r="G791" s="53">
        <f>F791-E791</f>
        <v>1.3888888890505768E-2</v>
      </c>
      <c r="H791" s="1" t="s">
        <v>268</v>
      </c>
      <c r="I791" s="1" t="s">
        <v>269</v>
      </c>
      <c r="J791" s="1" t="s">
        <v>270</v>
      </c>
      <c r="K791" s="1" t="str">
        <f>_xlfn.XLOOKUP(J791,REF!$D$2:$D$12,REF!$E$2:$E$12)</f>
        <v>Internet</v>
      </c>
      <c r="L791" s="1" t="s">
        <v>517</v>
      </c>
      <c r="M791" s="1" t="s">
        <v>272</v>
      </c>
      <c r="N791" s="1" t="s">
        <v>253</v>
      </c>
      <c r="O791" s="1" t="s">
        <v>274</v>
      </c>
      <c r="P791" s="1" t="str">
        <f t="shared" si="29"/>
        <v>BC ParanoaSG60KTL(COM1-014)_002_01946098,385416666746098,385416666746098,3993055556</v>
      </c>
      <c r="Q791" s="1" t="str">
        <f t="shared" si="30"/>
        <v>LIGRFOINT</v>
      </c>
    </row>
    <row r="792" spans="2:17">
      <c r="B792" s="1" t="s">
        <v>393</v>
      </c>
      <c r="C792" s="1" t="s">
        <v>428</v>
      </c>
      <c r="D792" s="52">
        <v>46098.385416666664</v>
      </c>
      <c r="E792" s="52">
        <v>46098.385416666664</v>
      </c>
      <c r="F792" s="52">
        <v>46098.399305555555</v>
      </c>
      <c r="G792" s="53">
        <f>F792-E792</f>
        <v>1.3888888890505768E-2</v>
      </c>
      <c r="H792" s="1" t="s">
        <v>268</v>
      </c>
      <c r="I792" s="1" t="s">
        <v>269</v>
      </c>
      <c r="J792" s="1" t="s">
        <v>270</v>
      </c>
      <c r="K792" s="1" t="str">
        <f>_xlfn.XLOOKUP(J792,REF!$D$2:$D$12,REF!$E$2:$E$12)</f>
        <v>Internet</v>
      </c>
      <c r="L792" s="1" t="s">
        <v>517</v>
      </c>
      <c r="M792" s="1" t="s">
        <v>272</v>
      </c>
      <c r="N792" s="1" t="s">
        <v>253</v>
      </c>
      <c r="O792" s="1" t="s">
        <v>274</v>
      </c>
      <c r="P792" s="1" t="str">
        <f t="shared" si="29"/>
        <v>BC ParanoaSG60KTL(COM1-015)_002_01846098,385416666746098,385416666746098,3993055556</v>
      </c>
      <c r="Q792" s="1" t="str">
        <f t="shared" si="30"/>
        <v>LIGRFOINT</v>
      </c>
    </row>
    <row r="793" spans="2:17">
      <c r="B793" s="1" t="s">
        <v>393</v>
      </c>
      <c r="C793" s="1" t="s">
        <v>429</v>
      </c>
      <c r="D793" s="52">
        <v>46098.385416666664</v>
      </c>
      <c r="E793" s="52">
        <v>46098.385416666664</v>
      </c>
      <c r="F793" s="52">
        <v>46098.399305555555</v>
      </c>
      <c r="G793" s="53">
        <f>F793-E793</f>
        <v>1.3888888890505768E-2</v>
      </c>
      <c r="H793" s="1" t="s">
        <v>268</v>
      </c>
      <c r="I793" s="1" t="s">
        <v>269</v>
      </c>
      <c r="J793" s="1" t="s">
        <v>270</v>
      </c>
      <c r="K793" s="1" t="str">
        <f>_xlfn.XLOOKUP(J793,REF!$D$2:$D$12,REF!$E$2:$E$12)</f>
        <v>Internet</v>
      </c>
      <c r="L793" s="1" t="s">
        <v>517</v>
      </c>
      <c r="M793" s="1" t="s">
        <v>272</v>
      </c>
      <c r="N793" s="1" t="s">
        <v>253</v>
      </c>
      <c r="O793" s="1" t="s">
        <v>274</v>
      </c>
      <c r="P793" s="1" t="str">
        <f t="shared" si="29"/>
        <v>BC ParanoaSG60KTL(COM1-016)_002_01446098,385416666746098,385416666746098,3993055556</v>
      </c>
      <c r="Q793" s="1" t="str">
        <f t="shared" si="30"/>
        <v>LIGRFOINT</v>
      </c>
    </row>
    <row r="794" spans="2:17">
      <c r="B794" s="1" t="s">
        <v>393</v>
      </c>
      <c r="C794" s="1" t="s">
        <v>430</v>
      </c>
      <c r="D794" s="52">
        <v>46098.385416666664</v>
      </c>
      <c r="E794" s="52">
        <v>46098.385416666664</v>
      </c>
      <c r="F794" s="52">
        <v>46098.399305555555</v>
      </c>
      <c r="G794" s="53">
        <f>F794-E794</f>
        <v>1.3888888890505768E-2</v>
      </c>
      <c r="H794" s="1" t="s">
        <v>268</v>
      </c>
      <c r="I794" s="1" t="s">
        <v>269</v>
      </c>
      <c r="J794" s="1" t="s">
        <v>270</v>
      </c>
      <c r="K794" s="1" t="str">
        <f>_xlfn.XLOOKUP(J794,REF!$D$2:$D$12,REF!$E$2:$E$12)</f>
        <v>Internet</v>
      </c>
      <c r="L794" s="1" t="s">
        <v>517</v>
      </c>
      <c r="M794" s="1" t="s">
        <v>272</v>
      </c>
      <c r="N794" s="1" t="s">
        <v>253</v>
      </c>
      <c r="O794" s="1" t="s">
        <v>274</v>
      </c>
      <c r="P794" s="1" t="str">
        <f t="shared" si="29"/>
        <v>BC ParanoaSG60KTL(COM1-017)_002_01546098,385416666746098,385416666746098,3993055556</v>
      </c>
      <c r="Q794" s="1" t="str">
        <f t="shared" si="30"/>
        <v>LIGRFOINT</v>
      </c>
    </row>
    <row r="795" spans="2:17">
      <c r="B795" s="1" t="s">
        <v>393</v>
      </c>
      <c r="C795" s="1" t="s">
        <v>431</v>
      </c>
      <c r="D795" s="52">
        <v>46098.385416666664</v>
      </c>
      <c r="E795" s="52">
        <v>46098.385416666664</v>
      </c>
      <c r="F795" s="52">
        <v>46098.399305555555</v>
      </c>
      <c r="G795" s="53">
        <f>F795-E795</f>
        <v>1.3888888890505768E-2</v>
      </c>
      <c r="H795" s="1" t="s">
        <v>268</v>
      </c>
      <c r="I795" s="1" t="s">
        <v>269</v>
      </c>
      <c r="J795" s="1" t="s">
        <v>270</v>
      </c>
      <c r="K795" s="1" t="str">
        <f>_xlfn.XLOOKUP(J795,REF!$D$2:$D$12,REF!$E$2:$E$12)</f>
        <v>Internet</v>
      </c>
      <c r="L795" s="1" t="s">
        <v>517</v>
      </c>
      <c r="M795" s="1" t="s">
        <v>272</v>
      </c>
      <c r="N795" s="1" t="s">
        <v>253</v>
      </c>
      <c r="O795" s="1" t="s">
        <v>274</v>
      </c>
      <c r="P795" s="1" t="str">
        <f t="shared" si="29"/>
        <v>BC ParanoaSG60KTL(COM1-018)_002_01246098,385416666746098,385416666746098,3993055556</v>
      </c>
      <c r="Q795" s="1" t="str">
        <f t="shared" si="30"/>
        <v>LIGRFOINT</v>
      </c>
    </row>
    <row r="796" spans="2:17">
      <c r="B796" s="1" t="s">
        <v>393</v>
      </c>
      <c r="C796" s="1" t="s">
        <v>432</v>
      </c>
      <c r="D796" s="52">
        <v>46098.385416666664</v>
      </c>
      <c r="E796" s="52">
        <v>46098.385416666664</v>
      </c>
      <c r="F796" s="52">
        <v>46098.399305555555</v>
      </c>
      <c r="G796" s="53">
        <f>F796-E796</f>
        <v>1.3888888890505768E-2</v>
      </c>
      <c r="H796" s="1" t="s">
        <v>268</v>
      </c>
      <c r="I796" s="1" t="s">
        <v>269</v>
      </c>
      <c r="J796" s="1" t="s">
        <v>270</v>
      </c>
      <c r="K796" s="1" t="str">
        <f>_xlfn.XLOOKUP(J796,REF!$D$2:$D$12,REF!$E$2:$E$12)</f>
        <v>Internet</v>
      </c>
      <c r="L796" s="1" t="s">
        <v>517</v>
      </c>
      <c r="M796" s="1" t="s">
        <v>272</v>
      </c>
      <c r="N796" s="1" t="s">
        <v>253</v>
      </c>
      <c r="O796" s="1" t="s">
        <v>274</v>
      </c>
      <c r="P796" s="1" t="str">
        <f t="shared" si="29"/>
        <v>BC ParanoaSG50CX(COM2-004)_001_01846098,385416666746098,385416666746098,3993055556</v>
      </c>
      <c r="Q796" s="1" t="str">
        <f t="shared" si="30"/>
        <v>LIGRFOINT</v>
      </c>
    </row>
    <row r="797" spans="2:17">
      <c r="B797" s="1" t="s">
        <v>393</v>
      </c>
      <c r="C797" s="1" t="s">
        <v>433</v>
      </c>
      <c r="D797" s="52">
        <v>46098.385416666664</v>
      </c>
      <c r="E797" s="52">
        <v>46098.385416666664</v>
      </c>
      <c r="F797" s="52">
        <v>46098.399305555555</v>
      </c>
      <c r="G797" s="53">
        <f>F797-E797</f>
        <v>1.3888888890505768E-2</v>
      </c>
      <c r="H797" s="1" t="s">
        <v>268</v>
      </c>
      <c r="I797" s="1" t="s">
        <v>269</v>
      </c>
      <c r="J797" s="1" t="s">
        <v>270</v>
      </c>
      <c r="K797" s="1" t="str">
        <f>_xlfn.XLOOKUP(J797,REF!$D$2:$D$12,REF!$E$2:$E$12)</f>
        <v>Internet</v>
      </c>
      <c r="L797" s="1" t="s">
        <v>517</v>
      </c>
      <c r="M797" s="1" t="s">
        <v>272</v>
      </c>
      <c r="N797" s="1" t="s">
        <v>253</v>
      </c>
      <c r="O797" s="1" t="s">
        <v>274</v>
      </c>
      <c r="P797" s="1" t="str">
        <f t="shared" si="29"/>
        <v>BC ParanoaSG50CX(COM2-003)_001_01646098,385416666746098,385416666746098,3993055556</v>
      </c>
      <c r="Q797" s="1" t="str">
        <f t="shared" si="30"/>
        <v>LIGRFOINT</v>
      </c>
    </row>
    <row r="798" spans="2:17">
      <c r="B798" s="1" t="s">
        <v>393</v>
      </c>
      <c r="C798" s="1" t="s">
        <v>434</v>
      </c>
      <c r="D798" s="52">
        <v>46098.385416666664</v>
      </c>
      <c r="E798" s="52">
        <v>46098.385416666664</v>
      </c>
      <c r="F798" s="52">
        <v>46098.399305555555</v>
      </c>
      <c r="G798" s="53">
        <f>F798-E798</f>
        <v>1.3888888890505768E-2</v>
      </c>
      <c r="H798" s="1" t="s">
        <v>268</v>
      </c>
      <c r="I798" s="1" t="s">
        <v>269</v>
      </c>
      <c r="J798" s="1" t="s">
        <v>270</v>
      </c>
      <c r="K798" s="1" t="str">
        <f>_xlfn.XLOOKUP(J798,REF!$D$2:$D$12,REF!$E$2:$E$12)</f>
        <v>Internet</v>
      </c>
      <c r="L798" s="1" t="s">
        <v>517</v>
      </c>
      <c r="M798" s="1" t="s">
        <v>272</v>
      </c>
      <c r="N798" s="1" t="s">
        <v>253</v>
      </c>
      <c r="O798" s="1" t="s">
        <v>274</v>
      </c>
      <c r="P798" s="1" t="str">
        <f t="shared" si="29"/>
        <v>BC ParanoaSG60KTL(COM1-002)_001_00846098,385416666746098,385416666746098,3993055556</v>
      </c>
      <c r="Q798" s="1" t="str">
        <f t="shared" si="30"/>
        <v>LIGRFOINT</v>
      </c>
    </row>
    <row r="799" spans="2:17">
      <c r="B799" s="1" t="s">
        <v>393</v>
      </c>
      <c r="C799" s="1" t="s">
        <v>401</v>
      </c>
      <c r="D799" s="52">
        <v>46098.510416666664</v>
      </c>
      <c r="E799" s="52">
        <v>46098.510416666664</v>
      </c>
      <c r="F799" s="52">
        <v>46098.565972222219</v>
      </c>
      <c r="G799" s="53">
        <f>F799-E799</f>
        <v>5.5555555554747116E-2</v>
      </c>
      <c r="H799" s="1" t="s">
        <v>257</v>
      </c>
      <c r="J799" s="1" t="s">
        <v>258</v>
      </c>
      <c r="K799" s="1" t="str">
        <f>_xlfn.XLOOKUP(J799,REF!$D$2:$D$12,REF!$E$2:$E$12)</f>
        <v>Rede</v>
      </c>
      <c r="L799" s="1" t="s">
        <v>522</v>
      </c>
      <c r="M799" s="1" t="s">
        <v>260</v>
      </c>
      <c r="N799" s="1" t="s">
        <v>261</v>
      </c>
      <c r="O799" s="72" t="s">
        <v>297</v>
      </c>
      <c r="P799" s="1" t="str">
        <f t="shared" si="29"/>
        <v>BC ParanoaSG60KTL(COM1-016)_001_00646098,510416666746098,510416666746098,5659722222</v>
      </c>
      <c r="Q799" s="1" t="str">
        <f t="shared" si="30"/>
        <v>DAURDE</v>
      </c>
    </row>
    <row r="800" spans="2:17">
      <c r="B800" s="1" t="s">
        <v>393</v>
      </c>
      <c r="C800" s="1" t="s">
        <v>421</v>
      </c>
      <c r="D800" s="52">
        <v>46098.510416666664</v>
      </c>
      <c r="E800" s="52">
        <v>46098.510416666664</v>
      </c>
      <c r="F800" s="52">
        <v>46098.565972222219</v>
      </c>
      <c r="G800" s="53">
        <f>F800-E800</f>
        <v>5.5555555554747116E-2</v>
      </c>
      <c r="H800" s="1" t="s">
        <v>257</v>
      </c>
      <c r="J800" s="1" t="s">
        <v>258</v>
      </c>
      <c r="K800" s="1" t="str">
        <f>_xlfn.XLOOKUP(J800,REF!$D$2:$D$12,REF!$E$2:$E$12)</f>
        <v>Rede</v>
      </c>
      <c r="L800" s="1" t="s">
        <v>522</v>
      </c>
      <c r="M800" s="1" t="s">
        <v>260</v>
      </c>
      <c r="N800" s="1" t="s">
        <v>261</v>
      </c>
      <c r="O800" s="72" t="s">
        <v>297</v>
      </c>
      <c r="P800" s="1" t="str">
        <f t="shared" si="29"/>
        <v>BC ParanoaSG60KTL(COM1-002)_002_01646098,510416666746098,510416666746098,5659722222</v>
      </c>
      <c r="Q800" s="1" t="str">
        <f t="shared" si="30"/>
        <v>DAURDE</v>
      </c>
    </row>
    <row r="801" spans="2:17">
      <c r="B801" s="1" t="s">
        <v>393</v>
      </c>
      <c r="C801" s="1" t="s">
        <v>422</v>
      </c>
      <c r="D801" s="52">
        <v>46098.510416666664</v>
      </c>
      <c r="E801" s="52">
        <v>46098.510416666664</v>
      </c>
      <c r="F801" s="52">
        <v>46098.565972222219</v>
      </c>
      <c r="G801" s="53">
        <f t="shared" ref="G801:G817" si="31">F801-E801</f>
        <v>5.5555555554747116E-2</v>
      </c>
      <c r="H801" s="1" t="s">
        <v>257</v>
      </c>
      <c r="J801" s="1" t="s">
        <v>258</v>
      </c>
      <c r="K801" s="1" t="str">
        <f>_xlfn.XLOOKUP(J801,REF!$D$2:$D$12,REF!$E$2:$E$12)</f>
        <v>Rede</v>
      </c>
      <c r="L801" s="1" t="s">
        <v>522</v>
      </c>
      <c r="M801" s="1" t="s">
        <v>260</v>
      </c>
      <c r="N801" s="1" t="s">
        <v>261</v>
      </c>
      <c r="O801" s="72" t="s">
        <v>297</v>
      </c>
      <c r="P801" s="1" t="str">
        <f t="shared" si="29"/>
        <v>BC ParanoaSG50CX(COM2-003)_002_02146098,510416666746098,510416666746098,5659722222</v>
      </c>
      <c r="Q801" s="1" t="str">
        <f t="shared" si="30"/>
        <v>DAURDE</v>
      </c>
    </row>
    <row r="802" spans="2:17">
      <c r="B802" s="1" t="s">
        <v>299</v>
      </c>
      <c r="C802" s="1" t="s">
        <v>300</v>
      </c>
      <c r="D802" s="52">
        <v>46098.770833333336</v>
      </c>
      <c r="E802" s="52">
        <v>46098.770833333336</v>
      </c>
      <c r="G802" s="53">
        <f t="shared" si="31"/>
        <v>-46098.770833333336</v>
      </c>
      <c r="H802" s="1" t="s">
        <v>268</v>
      </c>
      <c r="I802" s="1" t="s">
        <v>269</v>
      </c>
      <c r="J802" s="1" t="s">
        <v>270</v>
      </c>
      <c r="K802" s="1" t="str">
        <f>_xlfn.XLOOKUP(J802,REF!$D$2:$D$12,REF!$E$2:$E$12)</f>
        <v>Internet</v>
      </c>
      <c r="L802" s="1" t="s">
        <v>523</v>
      </c>
      <c r="M802" s="1" t="s">
        <v>272</v>
      </c>
      <c r="N802" s="1" t="s">
        <v>253</v>
      </c>
      <c r="P802" s="1" t="str">
        <f t="shared" si="29"/>
        <v>BC Panama1.1ITAPOAN 001 (COM1-001)_001_00146098,770833333346098,7708333333</v>
      </c>
      <c r="Q802" s="1" t="str">
        <f t="shared" si="30"/>
        <v>LIGRFOINT</v>
      </c>
    </row>
    <row r="803" spans="2:17">
      <c r="B803" s="1" t="s">
        <v>299</v>
      </c>
      <c r="C803" s="1" t="s">
        <v>303</v>
      </c>
      <c r="D803" s="52">
        <v>46098.770833333336</v>
      </c>
      <c r="E803" s="52">
        <v>46098.770833333336</v>
      </c>
      <c r="G803" s="53">
        <f t="shared" si="31"/>
        <v>-46098.770833333336</v>
      </c>
      <c r="H803" s="1" t="s">
        <v>268</v>
      </c>
      <c r="I803" s="1" t="s">
        <v>269</v>
      </c>
      <c r="J803" s="1" t="s">
        <v>270</v>
      </c>
      <c r="K803" s="1" t="str">
        <f>_xlfn.XLOOKUP(J803,REF!$D$2:$D$12,REF!$E$2:$E$12)</f>
        <v>Internet</v>
      </c>
      <c r="L803" s="1" t="s">
        <v>523</v>
      </c>
      <c r="M803" s="1" t="s">
        <v>272</v>
      </c>
      <c r="N803" s="1" t="s">
        <v>253</v>
      </c>
      <c r="P803" s="1" t="str">
        <f t="shared" si="29"/>
        <v>BC Panama1.1CEREAL_00246098,770833333346098,7708333333</v>
      </c>
      <c r="Q803" s="1" t="str">
        <f t="shared" si="30"/>
        <v>LIGRFOINT</v>
      </c>
    </row>
    <row r="804" spans="2:17">
      <c r="B804" s="1" t="s">
        <v>299</v>
      </c>
      <c r="C804" s="1" t="s">
        <v>304</v>
      </c>
      <c r="D804" s="52">
        <v>46098.770833333336</v>
      </c>
      <c r="E804" s="52">
        <v>46098.770833333336</v>
      </c>
      <c r="G804" s="53">
        <f t="shared" si="31"/>
        <v>-46098.770833333336</v>
      </c>
      <c r="H804" s="1" t="s">
        <v>268</v>
      </c>
      <c r="I804" s="1" t="s">
        <v>269</v>
      </c>
      <c r="J804" s="1" t="s">
        <v>270</v>
      </c>
      <c r="K804" s="1" t="str">
        <f>_xlfn.XLOOKUP(J804,REF!$D$2:$D$12,REF!$E$2:$E$12)</f>
        <v>Internet</v>
      </c>
      <c r="L804" s="1" t="s">
        <v>523</v>
      </c>
      <c r="M804" s="1" t="s">
        <v>272</v>
      </c>
      <c r="N804" s="1" t="s">
        <v>253</v>
      </c>
      <c r="P804" s="1" t="str">
        <f t="shared" si="29"/>
        <v>BC Panama1.1ITAPOAN_00346098,770833333346098,7708333333</v>
      </c>
      <c r="Q804" s="1" t="str">
        <f t="shared" si="30"/>
        <v>LIGRFOINT</v>
      </c>
    </row>
    <row r="805" spans="2:17">
      <c r="B805" s="1" t="s">
        <v>343</v>
      </c>
      <c r="C805" s="1" t="s">
        <v>344</v>
      </c>
      <c r="D805" s="52">
        <v>46098.770833333336</v>
      </c>
      <c r="E805" s="52">
        <v>46098.770833333336</v>
      </c>
      <c r="F805" s="52">
        <v>46099.28125</v>
      </c>
      <c r="G805" s="53">
        <f t="shared" si="31"/>
        <v>0.51041666666424135</v>
      </c>
      <c r="H805" s="1" t="s">
        <v>257</v>
      </c>
      <c r="J805" s="1" t="s">
        <v>258</v>
      </c>
      <c r="K805" s="1" t="str">
        <f>_xlfn.XLOOKUP(J805,REF!$D$2:$D$12,REF!$E$2:$E$12)</f>
        <v>Rede</v>
      </c>
      <c r="L805" s="1" t="s">
        <v>259</v>
      </c>
      <c r="M805" s="1" t="s">
        <v>260</v>
      </c>
      <c r="N805" s="1" t="s">
        <v>290</v>
      </c>
      <c r="O805" s="1" t="s">
        <v>524</v>
      </c>
      <c r="P805" s="1" t="str">
        <f t="shared" si="29"/>
        <v>BC Panama1.2ART_00446098,770833333346098,770833333346099,28125</v>
      </c>
      <c r="Q805" s="1" t="str">
        <f t="shared" si="30"/>
        <v>DAURDE</v>
      </c>
    </row>
    <row r="806" spans="2:17">
      <c r="B806" s="1" t="s">
        <v>343</v>
      </c>
      <c r="C806" s="1" t="s">
        <v>345</v>
      </c>
      <c r="D806" s="52">
        <v>46098.770833333336</v>
      </c>
      <c r="E806" s="52">
        <v>46098.770833333336</v>
      </c>
      <c r="F806" s="52">
        <v>46099.28125</v>
      </c>
      <c r="G806" s="53">
        <f t="shared" si="31"/>
        <v>0.51041666666424135</v>
      </c>
      <c r="H806" s="1" t="s">
        <v>257</v>
      </c>
      <c r="J806" s="1" t="s">
        <v>258</v>
      </c>
      <c r="K806" s="1" t="str">
        <f>_xlfn.XLOOKUP(J806,REF!$D$2:$D$12,REF!$E$2:$E$12)</f>
        <v>Rede</v>
      </c>
      <c r="L806" s="1" t="s">
        <v>259</v>
      </c>
      <c r="M806" s="1" t="s">
        <v>260</v>
      </c>
      <c r="N806" s="1" t="s">
        <v>290</v>
      </c>
      <c r="O806" s="1" t="s">
        <v>524</v>
      </c>
      <c r="P806" s="1" t="str">
        <f>_xlfn.CONCAT(B806,C806,D806,E806,F806)</f>
        <v>BC Panama1.2COOGED_00546098,770833333346098,770833333346099,28125</v>
      </c>
      <c r="Q806" s="1" t="str">
        <f t="shared" si="30"/>
        <v>DAURDE</v>
      </c>
    </row>
    <row r="807" spans="2:17">
      <c r="B807" s="1" t="s">
        <v>343</v>
      </c>
      <c r="C807" s="1" t="s">
        <v>346</v>
      </c>
      <c r="D807" s="52">
        <v>46098.770833333336</v>
      </c>
      <c r="E807" s="52">
        <v>46098.770833333336</v>
      </c>
      <c r="F807" s="52">
        <v>46099.28125</v>
      </c>
      <c r="G807" s="53">
        <f t="shared" si="31"/>
        <v>0.51041666666424135</v>
      </c>
      <c r="H807" s="1" t="s">
        <v>257</v>
      </c>
      <c r="J807" s="1" t="s">
        <v>258</v>
      </c>
      <c r="K807" s="1" t="str">
        <f>_xlfn.XLOOKUP(J807,REF!$D$2:$D$12,REF!$E$2:$E$12)</f>
        <v>Rede</v>
      </c>
      <c r="L807" s="1" t="s">
        <v>259</v>
      </c>
      <c r="M807" s="1" t="s">
        <v>260</v>
      </c>
      <c r="N807" s="1" t="s">
        <v>290</v>
      </c>
      <c r="O807" s="1" t="s">
        <v>524</v>
      </c>
      <c r="P807" s="1" t="str">
        <f>_xlfn.CONCAT(B807,C807,D807,E807,F807)</f>
        <v>BC Panama1.2ART_00646098,770833333346098,770833333346099,28125</v>
      </c>
      <c r="Q807" s="1" t="str">
        <f t="shared" si="30"/>
        <v>DAURDE</v>
      </c>
    </row>
    <row r="808" spans="2:17">
      <c r="B808" s="1" t="s">
        <v>343</v>
      </c>
      <c r="C808" s="1" t="s">
        <v>347</v>
      </c>
      <c r="D808" s="52">
        <v>46098.770833333336</v>
      </c>
      <c r="E808" s="52">
        <v>46098.770833333336</v>
      </c>
      <c r="F808" s="52">
        <v>46099.28125</v>
      </c>
      <c r="G808" s="53">
        <f t="shared" si="31"/>
        <v>0.51041666666424135</v>
      </c>
      <c r="H808" s="1" t="s">
        <v>257</v>
      </c>
      <c r="J808" s="1" t="s">
        <v>258</v>
      </c>
      <c r="K808" s="1" t="str">
        <f>_xlfn.XLOOKUP(J808,REF!$D$2:$D$12,REF!$E$2:$E$12)</f>
        <v>Rede</v>
      </c>
      <c r="L808" s="1" t="s">
        <v>259</v>
      </c>
      <c r="M808" s="1" t="s">
        <v>260</v>
      </c>
      <c r="N808" s="1" t="s">
        <v>290</v>
      </c>
      <c r="O808" s="1" t="s">
        <v>524</v>
      </c>
      <c r="P808" s="1" t="str">
        <f>_xlfn.CONCAT(B808,C808,D808,E808,F808)</f>
        <v>BC Panama1.2RADIO_00746098,770833333346098,770833333346099,28125</v>
      </c>
      <c r="Q808" s="1" t="str">
        <f t="shared" si="30"/>
        <v>DAURDE</v>
      </c>
    </row>
    <row r="809" spans="2:17">
      <c r="B809" s="1" t="s">
        <v>255</v>
      </c>
      <c r="C809" s="1" t="s">
        <v>256</v>
      </c>
      <c r="D809" s="52">
        <v>46099.209722222222</v>
      </c>
      <c r="E809" s="52">
        <v>46099.209722222222</v>
      </c>
      <c r="F809" s="52">
        <v>46099.302083333336</v>
      </c>
      <c r="G809" s="53">
        <f t="shared" si="31"/>
        <v>9.2361111113859806E-2</v>
      </c>
      <c r="H809" s="1" t="s">
        <v>257</v>
      </c>
      <c r="J809" s="1" t="s">
        <v>258</v>
      </c>
      <c r="K809" s="1" t="str">
        <f>_xlfn.XLOOKUP(J809,REF!$D$2:$D$12,REF!$E$2:$E$12)</f>
        <v>Rede</v>
      </c>
      <c r="L809" s="1" t="s">
        <v>259</v>
      </c>
      <c r="M809" s="1" t="s">
        <v>260</v>
      </c>
      <c r="N809" s="1" t="s">
        <v>261</v>
      </c>
      <c r="O809" s="72" t="s">
        <v>297</v>
      </c>
      <c r="P809" s="1" t="str">
        <f>_xlfn.CONCAT(B809,C809,D809,E809,F809)</f>
        <v>BC Formoso2.1Inverter(MBUS-12)46099,209722222246099,209722222246099,3020833333</v>
      </c>
      <c r="Q809" s="1" t="str">
        <f t="shared" si="30"/>
        <v>DAURDE</v>
      </c>
    </row>
    <row r="810" spans="2:17">
      <c r="B810" s="1" t="s">
        <v>255</v>
      </c>
      <c r="C810" s="1" t="s">
        <v>263</v>
      </c>
      <c r="D810" s="52">
        <v>46099.209722222222</v>
      </c>
      <c r="E810" s="52">
        <v>46099.209722222222</v>
      </c>
      <c r="F810" s="52">
        <v>46099.302083333336</v>
      </c>
      <c r="G810" s="53">
        <f t="shared" si="31"/>
        <v>9.2361111113859806E-2</v>
      </c>
      <c r="H810" s="1" t="s">
        <v>257</v>
      </c>
      <c r="J810" s="1" t="s">
        <v>258</v>
      </c>
      <c r="K810" s="1" t="str">
        <f>_xlfn.XLOOKUP(J810,REF!$D$2:$D$12,REF!$E$2:$E$12)</f>
        <v>Rede</v>
      </c>
      <c r="L810" s="1" t="s">
        <v>259</v>
      </c>
      <c r="M810" s="1" t="s">
        <v>260</v>
      </c>
      <c r="N810" s="1" t="s">
        <v>261</v>
      </c>
      <c r="O810" s="72" t="s">
        <v>297</v>
      </c>
      <c r="P810" s="1" t="str">
        <f>_xlfn.CONCAT(B810,C810,D810,E810,F810)</f>
        <v>BC Formoso2.1Inverter(MBUS-14)46099,209722222246099,209722222246099,3020833333</v>
      </c>
      <c r="Q810" s="1" t="str">
        <f t="shared" si="30"/>
        <v>DAURDE</v>
      </c>
    </row>
    <row r="811" spans="2:17">
      <c r="B811" s="1" t="s">
        <v>255</v>
      </c>
      <c r="C811" s="1" t="s">
        <v>264</v>
      </c>
      <c r="D811" s="52">
        <v>46099.209722222222</v>
      </c>
      <c r="E811" s="52">
        <v>46099.209722222222</v>
      </c>
      <c r="F811" s="52">
        <v>46099.302083333336</v>
      </c>
      <c r="G811" s="53">
        <f t="shared" si="31"/>
        <v>9.2361111113859806E-2</v>
      </c>
      <c r="H811" s="1" t="s">
        <v>257</v>
      </c>
      <c r="J811" s="1" t="s">
        <v>258</v>
      </c>
      <c r="K811" s="1" t="str">
        <f>_xlfn.XLOOKUP(J811,REF!$D$2:$D$12,REF!$E$2:$E$12)</f>
        <v>Rede</v>
      </c>
      <c r="L811" s="1" t="s">
        <v>259</v>
      </c>
      <c r="M811" s="1" t="s">
        <v>260</v>
      </c>
      <c r="N811" s="1" t="s">
        <v>261</v>
      </c>
      <c r="O811" s="72" t="s">
        <v>297</v>
      </c>
      <c r="P811" s="1" t="str">
        <f>_xlfn.CONCAT(B811,C811,D811,E811,F811)</f>
        <v>BC Formoso2.1Inverter(MBUS-13)46099,209722222246099,209722222246099,3020833333</v>
      </c>
      <c r="Q811" s="1" t="str">
        <f t="shared" si="30"/>
        <v>DAURDE</v>
      </c>
    </row>
    <row r="812" spans="2:17">
      <c r="B812" s="1" t="s">
        <v>255</v>
      </c>
      <c r="C812" s="1" t="s">
        <v>247</v>
      </c>
      <c r="D812" s="52">
        <v>46099.209722222222</v>
      </c>
      <c r="E812" s="52">
        <v>46099.209722222222</v>
      </c>
      <c r="F812" s="52">
        <v>46099.302083333336</v>
      </c>
      <c r="G812" s="53">
        <f t="shared" si="31"/>
        <v>9.2361111113859806E-2</v>
      </c>
      <c r="H812" s="1" t="s">
        <v>257</v>
      </c>
      <c r="J812" s="1" t="s">
        <v>258</v>
      </c>
      <c r="K812" s="1" t="str">
        <f>_xlfn.XLOOKUP(J812,REF!$D$2:$D$12,REF!$E$2:$E$12)</f>
        <v>Rede</v>
      </c>
      <c r="L812" s="1" t="s">
        <v>259</v>
      </c>
      <c r="M812" s="1" t="s">
        <v>260</v>
      </c>
      <c r="N812" s="1" t="s">
        <v>261</v>
      </c>
      <c r="O812" s="72" t="s">
        <v>297</v>
      </c>
      <c r="P812" s="1" t="str">
        <f>_xlfn.CONCAT(B812,C812,D812,E812,F812)</f>
        <v>BC Formoso2.1Inverter(MBUS-1)46099,209722222246099,209722222246099,3020833333</v>
      </c>
      <c r="Q812" s="1" t="str">
        <f t="shared" si="30"/>
        <v>DAURDE</v>
      </c>
    </row>
    <row r="813" spans="2:17">
      <c r="B813" s="1" t="s">
        <v>265</v>
      </c>
      <c r="C813" s="1" t="s">
        <v>263</v>
      </c>
      <c r="D813" s="52">
        <v>46099.209722222222</v>
      </c>
      <c r="E813" s="52">
        <v>46099.209722222222</v>
      </c>
      <c r="F813" s="52">
        <v>46099.302083333336</v>
      </c>
      <c r="G813" s="53">
        <f t="shared" si="31"/>
        <v>9.2361111113859806E-2</v>
      </c>
      <c r="H813" s="1" t="s">
        <v>257</v>
      </c>
      <c r="J813" s="1" t="s">
        <v>258</v>
      </c>
      <c r="K813" s="1" t="str">
        <f>_xlfn.XLOOKUP(J813,REF!$D$2:$D$12,REF!$E$2:$E$12)</f>
        <v>Rede</v>
      </c>
      <c r="L813" s="1" t="s">
        <v>259</v>
      </c>
      <c r="M813" s="1" t="s">
        <v>260</v>
      </c>
      <c r="N813" s="1" t="s">
        <v>261</v>
      </c>
      <c r="O813" s="72" t="s">
        <v>297</v>
      </c>
      <c r="P813" s="1" t="str">
        <f>_xlfn.CONCAT(B813,C813,D813,E813,F813)</f>
        <v>BC Formoso2.2Inverter(MBUS-14)46099,209722222246099,209722222246099,3020833333</v>
      </c>
      <c r="Q813" s="1" t="str">
        <f t="shared" si="30"/>
        <v>DAURDE</v>
      </c>
    </row>
    <row r="814" spans="2:17">
      <c r="B814" s="1" t="s">
        <v>265</v>
      </c>
      <c r="C814" s="1" t="s">
        <v>264</v>
      </c>
      <c r="D814" s="52">
        <v>46099.209722222222</v>
      </c>
      <c r="E814" s="52">
        <v>46099.209722222222</v>
      </c>
      <c r="F814" s="52">
        <v>46099.302083333336</v>
      </c>
      <c r="G814" s="53">
        <f t="shared" si="31"/>
        <v>9.2361111113859806E-2</v>
      </c>
      <c r="H814" s="1" t="s">
        <v>257</v>
      </c>
      <c r="J814" s="1" t="s">
        <v>258</v>
      </c>
      <c r="K814" s="1" t="str">
        <f>_xlfn.XLOOKUP(J814,REF!$D$2:$D$12,REF!$E$2:$E$12)</f>
        <v>Rede</v>
      </c>
      <c r="L814" s="1" t="s">
        <v>259</v>
      </c>
      <c r="M814" s="1" t="s">
        <v>260</v>
      </c>
      <c r="N814" s="1" t="s">
        <v>261</v>
      </c>
      <c r="O814" s="72" t="s">
        <v>297</v>
      </c>
      <c r="P814" s="1" t="str">
        <f>_xlfn.CONCAT(B814,C814,D814,E814,F814)</f>
        <v>BC Formoso2.2Inverter(MBUS-13)46099,209722222246099,209722222246099,3020833333</v>
      </c>
      <c r="Q814" s="1" t="str">
        <f t="shared" si="30"/>
        <v>DAURDE</v>
      </c>
    </row>
    <row r="815" spans="2:17">
      <c r="B815" s="1" t="s">
        <v>265</v>
      </c>
      <c r="C815" s="1" t="s">
        <v>256</v>
      </c>
      <c r="D815" s="52">
        <v>46099.209722222222</v>
      </c>
      <c r="E815" s="52">
        <v>46099.209722222222</v>
      </c>
      <c r="F815" s="52">
        <v>46099.302083333336</v>
      </c>
      <c r="G815" s="53">
        <f t="shared" si="31"/>
        <v>9.2361111113859806E-2</v>
      </c>
      <c r="H815" s="1" t="s">
        <v>257</v>
      </c>
      <c r="J815" s="1" t="s">
        <v>258</v>
      </c>
      <c r="K815" s="1" t="str">
        <f>_xlfn.XLOOKUP(J815,REF!$D$2:$D$12,REF!$E$2:$E$12)</f>
        <v>Rede</v>
      </c>
      <c r="L815" s="1" t="s">
        <v>259</v>
      </c>
      <c r="M815" s="1" t="s">
        <v>260</v>
      </c>
      <c r="N815" s="1" t="s">
        <v>261</v>
      </c>
      <c r="O815" s="72" t="s">
        <v>297</v>
      </c>
      <c r="P815" s="1" t="str">
        <f>_xlfn.CONCAT(B815,C815,D815,E815,F815)</f>
        <v>BC Formoso2.2Inverter(MBUS-12)46099,209722222246099,209722222246099,3020833333</v>
      </c>
      <c r="Q815" s="1" t="str">
        <f t="shared" si="30"/>
        <v>DAURDE</v>
      </c>
    </row>
    <row r="816" spans="2:17">
      <c r="B816" s="1" t="s">
        <v>265</v>
      </c>
      <c r="C816" s="1" t="s">
        <v>247</v>
      </c>
      <c r="D816" s="52">
        <v>46099.209722222222</v>
      </c>
      <c r="E816" s="52">
        <v>46099.209722222222</v>
      </c>
      <c r="F816" s="52">
        <v>46099.302083333336</v>
      </c>
      <c r="G816" s="53">
        <f t="shared" si="31"/>
        <v>9.2361111113859806E-2</v>
      </c>
      <c r="H816" s="1" t="s">
        <v>257</v>
      </c>
      <c r="J816" s="1" t="s">
        <v>258</v>
      </c>
      <c r="K816" s="1" t="str">
        <f>_xlfn.XLOOKUP(J816,REF!$D$2:$D$12,REF!$E$2:$E$12)</f>
        <v>Rede</v>
      </c>
      <c r="L816" s="1" t="s">
        <v>259</v>
      </c>
      <c r="M816" s="1" t="s">
        <v>260</v>
      </c>
      <c r="N816" s="1" t="s">
        <v>261</v>
      </c>
      <c r="O816" s="72" t="s">
        <v>297</v>
      </c>
      <c r="P816" s="1" t="str">
        <f>_xlfn.CONCAT(B816,C816,D816,E816,F816)</f>
        <v>BC Formoso2.2Inverter(MBUS-1)46099,209722222246099,209722222246099,3020833333</v>
      </c>
      <c r="Q816" s="1" t="str">
        <f t="shared" si="30"/>
        <v>DAURDE</v>
      </c>
    </row>
    <row r="817" spans="2:17">
      <c r="B817" s="1" t="s">
        <v>355</v>
      </c>
      <c r="C817" s="1" t="s">
        <v>264</v>
      </c>
      <c r="D817" s="52">
        <v>46099.209722222222</v>
      </c>
      <c r="E817" s="52">
        <v>46099.209722222222</v>
      </c>
      <c r="F817" s="52">
        <v>46099.302083333336</v>
      </c>
      <c r="G817" s="53">
        <f t="shared" si="31"/>
        <v>9.2361111113859806E-2</v>
      </c>
      <c r="H817" s="1" t="s">
        <v>257</v>
      </c>
      <c r="J817" s="1" t="s">
        <v>258</v>
      </c>
      <c r="K817" s="1" t="str">
        <f>_xlfn.XLOOKUP(J817,REF!$D$2:$D$12,REF!$E$2:$E$12)</f>
        <v>Rede</v>
      </c>
      <c r="L817" s="1" t="s">
        <v>259</v>
      </c>
      <c r="M817" s="1" t="s">
        <v>260</v>
      </c>
      <c r="N817" s="1" t="s">
        <v>261</v>
      </c>
      <c r="O817" s="72" t="s">
        <v>297</v>
      </c>
      <c r="P817" s="1" t="str">
        <f>_xlfn.CONCAT(B817,C817,D817,E817,F817)</f>
        <v>BC Formoso2.3Inverter(MBUS-13)46099,209722222246099,209722222246099,3020833333</v>
      </c>
      <c r="Q817" s="1" t="str">
        <f t="shared" si="30"/>
        <v>DAURDE</v>
      </c>
    </row>
    <row r="818" spans="2:17">
      <c r="B818" s="1" t="s">
        <v>355</v>
      </c>
      <c r="C818" s="1" t="s">
        <v>256</v>
      </c>
      <c r="D818" s="52">
        <v>46099.209722222222</v>
      </c>
      <c r="E818" s="52">
        <v>46099.209722222222</v>
      </c>
      <c r="F818" s="52">
        <v>46099.302083333336</v>
      </c>
      <c r="G818" s="53">
        <f>F818-E818</f>
        <v>9.2361111113859806E-2</v>
      </c>
      <c r="H818" s="1" t="s">
        <v>257</v>
      </c>
      <c r="J818" s="1" t="s">
        <v>258</v>
      </c>
      <c r="K818" s="1" t="str">
        <f>_xlfn.XLOOKUP(J818,REF!$D$2:$D$12,REF!$E$2:$E$12)</f>
        <v>Rede</v>
      </c>
      <c r="L818" s="1" t="s">
        <v>259</v>
      </c>
      <c r="M818" s="1" t="s">
        <v>260</v>
      </c>
      <c r="N818" s="1" t="s">
        <v>261</v>
      </c>
      <c r="O818" s="72" t="s">
        <v>297</v>
      </c>
      <c r="P818" s="1" t="str">
        <f>_xlfn.CONCAT(B818,C818,D818,E818,F818)</f>
        <v>BC Formoso2.3Inverter(MBUS-12)46099,209722222246099,209722222246099,3020833333</v>
      </c>
      <c r="Q818" s="1" t="str">
        <f t="shared" si="30"/>
        <v>DAURDE</v>
      </c>
    </row>
    <row r="819" spans="2:17">
      <c r="B819" s="1" t="s">
        <v>393</v>
      </c>
      <c r="C819" s="1" t="s">
        <v>394</v>
      </c>
      <c r="D819" s="52">
        <v>46099.506944444445</v>
      </c>
      <c r="E819" s="52">
        <v>46099.506944444445</v>
      </c>
      <c r="F819" s="52">
        <v>46099.548611111109</v>
      </c>
      <c r="G819" s="53">
        <f>F819-E819</f>
        <v>4.1666666664241347E-2</v>
      </c>
      <c r="H819" s="1" t="s">
        <v>257</v>
      </c>
      <c r="J819" s="1" t="s">
        <v>258</v>
      </c>
      <c r="K819" s="1" t="str">
        <f>_xlfn.XLOOKUP(J819,REF!$D$2:$D$12,REF!$E$2:$E$12)</f>
        <v>Rede</v>
      </c>
      <c r="L819" s="1" t="s">
        <v>525</v>
      </c>
      <c r="M819" s="1" t="s">
        <v>260</v>
      </c>
      <c r="N819" s="1" t="s">
        <v>261</v>
      </c>
      <c r="O819" s="72" t="s">
        <v>297</v>
      </c>
      <c r="P819" s="1" t="str">
        <f t="shared" ref="P819:P882" si="32">_xlfn.CONCAT(B819,C819,D819,E819,F819)</f>
        <v>BC ParanoaSG60KTL(COM1-014)_001_01346099,506944444446099,506944444446099,5486111111</v>
      </c>
      <c r="Q819" s="1" t="str">
        <f t="shared" si="30"/>
        <v>DAURDE</v>
      </c>
    </row>
    <row r="820" spans="2:17">
      <c r="B820" s="1" t="s">
        <v>393</v>
      </c>
      <c r="C820" s="1" t="s">
        <v>395</v>
      </c>
      <c r="D820" s="52">
        <v>46099.506944444445</v>
      </c>
      <c r="E820" s="52">
        <v>46099.506944444445</v>
      </c>
      <c r="F820" s="52">
        <v>46099.548611111109</v>
      </c>
      <c r="G820" s="53">
        <f>F820-E820</f>
        <v>4.1666666664241347E-2</v>
      </c>
      <c r="H820" s="1" t="s">
        <v>257</v>
      </c>
      <c r="J820" s="1" t="s">
        <v>258</v>
      </c>
      <c r="K820" s="1" t="str">
        <f>_xlfn.XLOOKUP(J820,REF!$D$2:$D$12,REF!$E$2:$E$12)</f>
        <v>Rede</v>
      </c>
      <c r="L820" s="1" t="s">
        <v>525</v>
      </c>
      <c r="M820" s="1" t="s">
        <v>260</v>
      </c>
      <c r="N820" s="1" t="s">
        <v>261</v>
      </c>
      <c r="O820" s="72" t="s">
        <v>297</v>
      </c>
      <c r="P820" s="1" t="str">
        <f t="shared" si="32"/>
        <v>BC ParanoaSG60KTL(COM1-013)_001_01046099,506944444446099,506944444446099,5486111111</v>
      </c>
      <c r="Q820" s="1" t="str">
        <f t="shared" si="30"/>
        <v>DAURDE</v>
      </c>
    </row>
    <row r="821" spans="2:17">
      <c r="B821" s="1" t="s">
        <v>393</v>
      </c>
      <c r="C821" s="1" t="s">
        <v>396</v>
      </c>
      <c r="D821" s="52">
        <v>46099.506944444445</v>
      </c>
      <c r="E821" s="52">
        <v>46099.506944444445</v>
      </c>
      <c r="F821" s="52">
        <v>46099.548611111109</v>
      </c>
      <c r="G821" s="53">
        <f>F821-E821</f>
        <v>4.1666666664241347E-2</v>
      </c>
      <c r="H821" s="1" t="s">
        <v>257</v>
      </c>
      <c r="J821" s="1" t="s">
        <v>258</v>
      </c>
      <c r="K821" s="1" t="str">
        <f>_xlfn.XLOOKUP(J821,REF!$D$2:$D$12,REF!$E$2:$E$12)</f>
        <v>Rede</v>
      </c>
      <c r="L821" s="1" t="s">
        <v>525</v>
      </c>
      <c r="M821" s="1" t="s">
        <v>260</v>
      </c>
      <c r="N821" s="1" t="s">
        <v>261</v>
      </c>
      <c r="O821" s="72" t="s">
        <v>297</v>
      </c>
      <c r="P821" s="1" t="str">
        <f t="shared" si="32"/>
        <v>BC ParanoaSG60KTL(COM1-012)_001_01146099,506944444446099,506944444446099,5486111111</v>
      </c>
      <c r="Q821" s="1" t="str">
        <f t="shared" si="30"/>
        <v>DAURDE</v>
      </c>
    </row>
    <row r="822" spans="2:17">
      <c r="B822" s="1" t="s">
        <v>393</v>
      </c>
      <c r="C822" s="1" t="s">
        <v>397</v>
      </c>
      <c r="D822" s="52">
        <v>46099.506944444445</v>
      </c>
      <c r="E822" s="52">
        <v>46099.506944444445</v>
      </c>
      <c r="F822" s="52">
        <v>46099.548611111109</v>
      </c>
      <c r="G822" s="53">
        <f>F822-E822</f>
        <v>4.1666666664241347E-2</v>
      </c>
      <c r="H822" s="1" t="s">
        <v>257</v>
      </c>
      <c r="J822" s="1" t="s">
        <v>258</v>
      </c>
      <c r="K822" s="1" t="str">
        <f>_xlfn.XLOOKUP(J822,REF!$D$2:$D$12,REF!$E$2:$E$12)</f>
        <v>Rede</v>
      </c>
      <c r="L822" s="1" t="s">
        <v>525</v>
      </c>
      <c r="M822" s="1" t="s">
        <v>260</v>
      </c>
      <c r="N822" s="1" t="s">
        <v>261</v>
      </c>
      <c r="O822" s="72" t="s">
        <v>297</v>
      </c>
      <c r="P822" s="1" t="str">
        <f t="shared" si="32"/>
        <v>BC ParanoaSG60KTL(COM1-011)_001_00546099,506944444446099,506944444446099,5486111111</v>
      </c>
      <c r="Q822" s="1" t="str">
        <f t="shared" si="30"/>
        <v>DAURDE</v>
      </c>
    </row>
    <row r="823" spans="2:17">
      <c r="B823" s="1" t="s">
        <v>393</v>
      </c>
      <c r="C823" s="1" t="s">
        <v>398</v>
      </c>
      <c r="D823" s="52">
        <v>46099.506944444445</v>
      </c>
      <c r="E823" s="52">
        <v>46099.506944444445</v>
      </c>
      <c r="F823" s="52">
        <v>46099.548611111109</v>
      </c>
      <c r="G823" s="53">
        <f>F823-E823</f>
        <v>4.1666666664241347E-2</v>
      </c>
      <c r="H823" s="1" t="s">
        <v>257</v>
      </c>
      <c r="J823" s="1" t="s">
        <v>258</v>
      </c>
      <c r="K823" s="1" t="str">
        <f>_xlfn.XLOOKUP(J823,REF!$D$2:$D$12,REF!$E$2:$E$12)</f>
        <v>Rede</v>
      </c>
      <c r="L823" s="1" t="s">
        <v>525</v>
      </c>
      <c r="M823" s="1" t="s">
        <v>260</v>
      </c>
      <c r="N823" s="1" t="s">
        <v>261</v>
      </c>
      <c r="O823" s="72" t="s">
        <v>297</v>
      </c>
      <c r="P823" s="1" t="str">
        <f t="shared" si="32"/>
        <v>BC ParanoaSG60KTL(COM1-010)_001_00346099,506944444446099,506944444446099,5486111111</v>
      </c>
      <c r="Q823" s="1" t="str">
        <f t="shared" si="30"/>
        <v>DAURDE</v>
      </c>
    </row>
    <row r="824" spans="2:17">
      <c r="B824" s="1" t="s">
        <v>393</v>
      </c>
      <c r="C824" s="1" t="s">
        <v>399</v>
      </c>
      <c r="D824" s="52">
        <v>46099.506944444445</v>
      </c>
      <c r="E824" s="52">
        <v>46099.506944444445</v>
      </c>
      <c r="F824" s="52">
        <v>46099.548611111109</v>
      </c>
      <c r="G824" s="53">
        <f>F824-E824</f>
        <v>4.1666666664241347E-2</v>
      </c>
      <c r="H824" s="1" t="s">
        <v>257</v>
      </c>
      <c r="J824" s="1" t="s">
        <v>258</v>
      </c>
      <c r="K824" s="1" t="str">
        <f>_xlfn.XLOOKUP(J824,REF!$D$2:$D$12,REF!$E$2:$E$12)</f>
        <v>Rede</v>
      </c>
      <c r="L824" s="1" t="s">
        <v>525</v>
      </c>
      <c r="M824" s="1" t="s">
        <v>260</v>
      </c>
      <c r="N824" s="1" t="s">
        <v>261</v>
      </c>
      <c r="O824" s="72" t="s">
        <v>297</v>
      </c>
      <c r="P824" s="1" t="str">
        <f t="shared" si="32"/>
        <v>BC ParanoaSG60KTL(COM1-018)_001_01246099,506944444446099,506944444446099,5486111111</v>
      </c>
      <c r="Q824" s="1" t="str">
        <f t="shared" si="30"/>
        <v>DAURDE</v>
      </c>
    </row>
    <row r="825" spans="2:17">
      <c r="B825" s="1" t="s">
        <v>393</v>
      </c>
      <c r="C825" s="1" t="s">
        <v>400</v>
      </c>
      <c r="D825" s="52">
        <v>46099.506944444445</v>
      </c>
      <c r="E825" s="52">
        <v>46099.506944444445</v>
      </c>
      <c r="F825" s="52">
        <v>46099.548611111109</v>
      </c>
      <c r="G825" s="53">
        <f>F825-E825</f>
        <v>4.1666666664241347E-2</v>
      </c>
      <c r="H825" s="1" t="s">
        <v>257</v>
      </c>
      <c r="J825" s="1" t="s">
        <v>258</v>
      </c>
      <c r="K825" s="1" t="str">
        <f>_xlfn.XLOOKUP(J825,REF!$D$2:$D$12,REF!$E$2:$E$12)</f>
        <v>Rede</v>
      </c>
      <c r="L825" s="1" t="s">
        <v>525</v>
      </c>
      <c r="M825" s="1" t="s">
        <v>260</v>
      </c>
      <c r="N825" s="1" t="s">
        <v>261</v>
      </c>
      <c r="O825" s="72" t="s">
        <v>297</v>
      </c>
      <c r="P825" s="1" t="str">
        <f t="shared" si="32"/>
        <v>BC ParanoaSG60KTL(COM1-017)_001_00746099,506944444446099,506944444446099,5486111111</v>
      </c>
      <c r="Q825" s="1" t="str">
        <f t="shared" si="30"/>
        <v>DAURDE</v>
      </c>
    </row>
    <row r="826" spans="2:17">
      <c r="B826" s="1" t="s">
        <v>393</v>
      </c>
      <c r="C826" s="1" t="s">
        <v>401</v>
      </c>
      <c r="D826" s="52">
        <v>46099.506944444445</v>
      </c>
      <c r="E826" s="52">
        <v>46099.506944444445</v>
      </c>
      <c r="F826" s="52">
        <v>46099.548611111109</v>
      </c>
      <c r="G826" s="53">
        <f>F826-E826</f>
        <v>4.1666666664241347E-2</v>
      </c>
      <c r="H826" s="1" t="s">
        <v>257</v>
      </c>
      <c r="J826" s="1" t="s">
        <v>258</v>
      </c>
      <c r="K826" s="1" t="str">
        <f>_xlfn.XLOOKUP(J826,REF!$D$2:$D$12,REF!$E$2:$E$12)</f>
        <v>Rede</v>
      </c>
      <c r="L826" s="1" t="s">
        <v>525</v>
      </c>
      <c r="M826" s="1" t="s">
        <v>260</v>
      </c>
      <c r="N826" s="1" t="s">
        <v>261</v>
      </c>
      <c r="O826" s="72" t="s">
        <v>297</v>
      </c>
      <c r="P826" s="1" t="str">
        <f t="shared" si="32"/>
        <v>BC ParanoaSG60KTL(COM1-016)_001_00646099,506944444446099,506944444446099,5486111111</v>
      </c>
      <c r="Q826" s="1" t="str">
        <f t="shared" si="30"/>
        <v>DAURDE</v>
      </c>
    </row>
    <row r="827" spans="2:17">
      <c r="B827" s="1" t="s">
        <v>393</v>
      </c>
      <c r="C827" s="1" t="s">
        <v>402</v>
      </c>
      <c r="D827" s="52">
        <v>46099.506944444445</v>
      </c>
      <c r="E827" s="52">
        <v>46099.506944444445</v>
      </c>
      <c r="F827" s="52">
        <v>46099.548611111109</v>
      </c>
      <c r="G827" s="53">
        <f>F827-E827</f>
        <v>4.1666666664241347E-2</v>
      </c>
      <c r="H827" s="1" t="s">
        <v>257</v>
      </c>
      <c r="J827" s="1" t="s">
        <v>258</v>
      </c>
      <c r="K827" s="1" t="str">
        <f>_xlfn.XLOOKUP(J827,REF!$D$2:$D$12,REF!$E$2:$E$12)</f>
        <v>Rede</v>
      </c>
      <c r="L827" s="1" t="s">
        <v>525</v>
      </c>
      <c r="M827" s="1" t="s">
        <v>260</v>
      </c>
      <c r="N827" s="1" t="s">
        <v>261</v>
      </c>
      <c r="O827" s="72" t="s">
        <v>297</v>
      </c>
      <c r="P827" s="1" t="str">
        <f t="shared" si="32"/>
        <v>BC ParanoaSG50CX(COM2-015)_001_01746099,506944444446099,506944444446099,5486111111</v>
      </c>
      <c r="Q827" s="1" t="str">
        <f t="shared" si="30"/>
        <v>DAURDE</v>
      </c>
    </row>
    <row r="828" spans="2:17">
      <c r="B828" s="1" t="s">
        <v>393</v>
      </c>
      <c r="C828" s="1" t="s">
        <v>403</v>
      </c>
      <c r="D828" s="52">
        <v>46099.506944444445</v>
      </c>
      <c r="E828" s="52">
        <v>46099.506944444445</v>
      </c>
      <c r="F828" s="52">
        <v>46099.548611111109</v>
      </c>
      <c r="G828" s="53">
        <f>F828-E828</f>
        <v>4.1666666664241347E-2</v>
      </c>
      <c r="H828" s="1" t="s">
        <v>257</v>
      </c>
      <c r="J828" s="1" t="s">
        <v>258</v>
      </c>
      <c r="K828" s="1" t="str">
        <f>_xlfn.XLOOKUP(J828,REF!$D$2:$D$12,REF!$E$2:$E$12)</f>
        <v>Rede</v>
      </c>
      <c r="L828" s="1" t="s">
        <v>525</v>
      </c>
      <c r="M828" s="1" t="s">
        <v>260</v>
      </c>
      <c r="N828" s="1" t="s">
        <v>261</v>
      </c>
      <c r="O828" s="72" t="s">
        <v>297</v>
      </c>
      <c r="P828" s="1" t="str">
        <f t="shared" si="32"/>
        <v>BC ParanoaSG60KTL(COM1-009)_001_00246099,506944444446099,506944444446099,5486111111</v>
      </c>
      <c r="Q828" s="1" t="str">
        <f t="shared" si="30"/>
        <v>DAURDE</v>
      </c>
    </row>
    <row r="829" spans="2:17">
      <c r="B829" s="1" t="s">
        <v>393</v>
      </c>
      <c r="C829" s="1" t="s">
        <v>404</v>
      </c>
      <c r="D829" s="52">
        <v>46099.506944444445</v>
      </c>
      <c r="E829" s="52">
        <v>46099.506944444445</v>
      </c>
      <c r="F829" s="52">
        <v>46099.548611111109</v>
      </c>
      <c r="G829" s="53">
        <f>F829-E829</f>
        <v>4.1666666664241347E-2</v>
      </c>
      <c r="H829" s="1" t="s">
        <v>257</v>
      </c>
      <c r="J829" s="1" t="s">
        <v>258</v>
      </c>
      <c r="K829" s="1" t="str">
        <f>_xlfn.XLOOKUP(J829,REF!$D$2:$D$12,REF!$E$2:$E$12)</f>
        <v>Rede</v>
      </c>
      <c r="L829" s="1" t="s">
        <v>525</v>
      </c>
      <c r="M829" s="1" t="s">
        <v>260</v>
      </c>
      <c r="N829" s="1" t="s">
        <v>261</v>
      </c>
      <c r="O829" s="72" t="s">
        <v>297</v>
      </c>
      <c r="P829" s="1" t="str">
        <f t="shared" si="32"/>
        <v>BC ParanoaSG60KTL(COM1-008)_001_00946099,506944444446099,506944444446099,5486111111</v>
      </c>
      <c r="Q829" s="1" t="str">
        <f t="shared" si="30"/>
        <v>DAURDE</v>
      </c>
    </row>
    <row r="830" spans="2:17">
      <c r="B830" s="1" t="s">
        <v>393</v>
      </c>
      <c r="C830" s="1" t="s">
        <v>405</v>
      </c>
      <c r="D830" s="52">
        <v>46099.506944444445</v>
      </c>
      <c r="E830" s="52">
        <v>46099.506944444445</v>
      </c>
      <c r="F830" s="52">
        <v>46099.548611111109</v>
      </c>
      <c r="G830" s="53">
        <f>F830-E830</f>
        <v>4.1666666664241347E-2</v>
      </c>
      <c r="H830" s="1" t="s">
        <v>257</v>
      </c>
      <c r="J830" s="1" t="s">
        <v>258</v>
      </c>
      <c r="K830" s="1" t="str">
        <f>_xlfn.XLOOKUP(J830,REF!$D$2:$D$12,REF!$E$2:$E$12)</f>
        <v>Rede</v>
      </c>
      <c r="L830" s="1" t="s">
        <v>525</v>
      </c>
      <c r="M830" s="1" t="s">
        <v>260</v>
      </c>
      <c r="N830" s="1" t="s">
        <v>261</v>
      </c>
      <c r="O830" s="72" t="s">
        <v>297</v>
      </c>
      <c r="P830" s="1" t="str">
        <f t="shared" si="32"/>
        <v>BC ParanoaSG60KTL(COM1-007)_001_00446099,506944444446099,506944444446099,5486111111</v>
      </c>
      <c r="Q830" s="1" t="str">
        <f t="shared" si="30"/>
        <v>DAURDE</v>
      </c>
    </row>
    <row r="831" spans="2:17">
      <c r="B831" s="1" t="s">
        <v>393</v>
      </c>
      <c r="C831" s="1" t="s">
        <v>406</v>
      </c>
      <c r="D831" s="52">
        <v>46099.506944444445</v>
      </c>
      <c r="E831" s="52">
        <v>46099.506944444445</v>
      </c>
      <c r="F831" s="52">
        <v>46099.548611111109</v>
      </c>
      <c r="G831" s="53">
        <f>F831-E831</f>
        <v>4.1666666664241347E-2</v>
      </c>
      <c r="H831" s="1" t="s">
        <v>257</v>
      </c>
      <c r="J831" s="1" t="s">
        <v>258</v>
      </c>
      <c r="K831" s="1" t="str">
        <f>_xlfn.XLOOKUP(J831,REF!$D$2:$D$12,REF!$E$2:$E$12)</f>
        <v>Rede</v>
      </c>
      <c r="L831" s="1" t="s">
        <v>525</v>
      </c>
      <c r="M831" s="1" t="s">
        <v>260</v>
      </c>
      <c r="N831" s="1" t="s">
        <v>261</v>
      </c>
      <c r="O831" s="72" t="s">
        <v>297</v>
      </c>
      <c r="P831" s="1" t="str">
        <f t="shared" si="32"/>
        <v>BC ParanoaSG60KTL(COM1-006)_001_01446099,506944444446099,506944444446099,5486111111</v>
      </c>
      <c r="Q831" s="1" t="str">
        <f t="shared" si="30"/>
        <v>DAURDE</v>
      </c>
    </row>
    <row r="832" spans="2:17">
      <c r="B832" s="1" t="s">
        <v>393</v>
      </c>
      <c r="C832" s="1" t="s">
        <v>407</v>
      </c>
      <c r="D832" s="52">
        <v>46099.506944444445</v>
      </c>
      <c r="E832" s="52">
        <v>46099.506944444445</v>
      </c>
      <c r="F832" s="52">
        <v>46099.548611111109</v>
      </c>
      <c r="G832" s="53">
        <f>F832-E832</f>
        <v>4.1666666664241347E-2</v>
      </c>
      <c r="H832" s="1" t="s">
        <v>257</v>
      </c>
      <c r="J832" s="1" t="s">
        <v>258</v>
      </c>
      <c r="K832" s="1" t="str">
        <f>_xlfn.XLOOKUP(J832,REF!$D$2:$D$12,REF!$E$2:$E$12)</f>
        <v>Rede</v>
      </c>
      <c r="L832" s="1" t="s">
        <v>525</v>
      </c>
      <c r="M832" s="1" t="s">
        <v>260</v>
      </c>
      <c r="N832" s="1" t="s">
        <v>261</v>
      </c>
      <c r="O832" s="72" t="s">
        <v>297</v>
      </c>
      <c r="P832" s="1" t="str">
        <f t="shared" si="32"/>
        <v>BC ParanoaSG40CX(COM2-005)_001_01546099,506944444446099,506944444446099,5486111111</v>
      </c>
      <c r="Q832" s="1" t="str">
        <f t="shared" si="30"/>
        <v>DAURDE</v>
      </c>
    </row>
    <row r="833" spans="2:17">
      <c r="B833" s="1" t="s">
        <v>393</v>
      </c>
      <c r="C833" s="1" t="s">
        <v>408</v>
      </c>
      <c r="D833" s="52">
        <v>46099.506944444445</v>
      </c>
      <c r="E833" s="52">
        <v>46099.506944444445</v>
      </c>
      <c r="F833" s="52">
        <v>46099.548611111109</v>
      </c>
      <c r="G833" s="53">
        <f>F833-E833</f>
        <v>4.1666666664241347E-2</v>
      </c>
      <c r="H833" s="1" t="s">
        <v>257</v>
      </c>
      <c r="J833" s="1" t="s">
        <v>258</v>
      </c>
      <c r="K833" s="1" t="str">
        <f>_xlfn.XLOOKUP(J833,REF!$D$2:$D$12,REF!$E$2:$E$12)</f>
        <v>Rede</v>
      </c>
      <c r="L833" s="1" t="s">
        <v>525</v>
      </c>
      <c r="M833" s="1" t="s">
        <v>260</v>
      </c>
      <c r="N833" s="1" t="s">
        <v>261</v>
      </c>
      <c r="O833" s="72" t="s">
        <v>297</v>
      </c>
      <c r="P833" s="1" t="str">
        <f t="shared" si="32"/>
        <v>BC ParanoaSG60KTL(COM1-019)_002_00746099,506944444446099,506944444446099,5486111111</v>
      </c>
      <c r="Q833" s="1" t="str">
        <f t="shared" si="30"/>
        <v>DAURDE</v>
      </c>
    </row>
    <row r="834" spans="2:17">
      <c r="B834" s="1" t="s">
        <v>393</v>
      </c>
      <c r="C834" s="1" t="s">
        <v>409</v>
      </c>
      <c r="D834" s="52">
        <v>46099.506944444445</v>
      </c>
      <c r="E834" s="52">
        <v>46099.506944444445</v>
      </c>
      <c r="F834" s="52">
        <v>46099.548611111109</v>
      </c>
      <c r="G834" s="53">
        <f>F834-E834</f>
        <v>4.1666666664241347E-2</v>
      </c>
      <c r="H834" s="1" t="s">
        <v>257</v>
      </c>
      <c r="J834" s="1" t="s">
        <v>258</v>
      </c>
      <c r="K834" s="1" t="str">
        <f>_xlfn.XLOOKUP(J834,REF!$D$2:$D$12,REF!$E$2:$E$12)</f>
        <v>Rede</v>
      </c>
      <c r="L834" s="1" t="s">
        <v>525</v>
      </c>
      <c r="M834" s="1" t="s">
        <v>260</v>
      </c>
      <c r="N834" s="1" t="s">
        <v>261</v>
      </c>
      <c r="O834" s="72" t="s">
        <v>297</v>
      </c>
      <c r="P834" s="1" t="str">
        <f t="shared" si="32"/>
        <v>BC ParanoaSG60KTL(COM1-020)_002_01146099,506944444446099,506944444446099,5486111111</v>
      </c>
      <c r="Q834" s="1" t="str">
        <f t="shared" si="30"/>
        <v>DAURDE</v>
      </c>
    </row>
    <row r="835" spans="2:17">
      <c r="B835" s="1" t="s">
        <v>393</v>
      </c>
      <c r="C835" s="1" t="s">
        <v>410</v>
      </c>
      <c r="D835" s="52">
        <v>46099.506944444445</v>
      </c>
      <c r="E835" s="52">
        <v>46099.506944444445</v>
      </c>
      <c r="F835" s="52">
        <v>46099.548611111109</v>
      </c>
      <c r="G835" s="53">
        <f>F835-E835</f>
        <v>4.1666666664241347E-2</v>
      </c>
      <c r="H835" s="1" t="s">
        <v>257</v>
      </c>
      <c r="J835" s="1" t="s">
        <v>258</v>
      </c>
      <c r="K835" s="1" t="str">
        <f>_xlfn.XLOOKUP(J835,REF!$D$2:$D$12,REF!$E$2:$E$12)</f>
        <v>Rede</v>
      </c>
      <c r="L835" s="1" t="s">
        <v>525</v>
      </c>
      <c r="M835" s="1" t="s">
        <v>260</v>
      </c>
      <c r="N835" s="1" t="s">
        <v>261</v>
      </c>
      <c r="O835" s="72" t="s">
        <v>297</v>
      </c>
      <c r="P835" s="1" t="str">
        <f t="shared" si="32"/>
        <v>BC ParanoaSG60KTL(COM1-021)_002_01746099,506944444446099,506944444446099,5486111111</v>
      </c>
      <c r="Q835" s="1" t="str">
        <f t="shared" si="30"/>
        <v>DAURDE</v>
      </c>
    </row>
    <row r="836" spans="2:17">
      <c r="B836" s="1" t="s">
        <v>393</v>
      </c>
      <c r="C836" s="1" t="s">
        <v>411</v>
      </c>
      <c r="D836" s="52">
        <v>46099.506944444445</v>
      </c>
      <c r="E836" s="52">
        <v>46099.506944444445</v>
      </c>
      <c r="F836" s="52">
        <v>46099.548611111109</v>
      </c>
      <c r="G836" s="53">
        <f>F836-E836</f>
        <v>4.1666666664241347E-2</v>
      </c>
      <c r="H836" s="1" t="s">
        <v>257</v>
      </c>
      <c r="J836" s="1" t="s">
        <v>258</v>
      </c>
      <c r="K836" s="1" t="str">
        <f>_xlfn.XLOOKUP(J836,REF!$D$2:$D$12,REF!$E$2:$E$12)</f>
        <v>Rede</v>
      </c>
      <c r="L836" s="1" t="s">
        <v>525</v>
      </c>
      <c r="M836" s="1" t="s">
        <v>260</v>
      </c>
      <c r="N836" s="1" t="s">
        <v>261</v>
      </c>
      <c r="O836" s="72" t="s">
        <v>297</v>
      </c>
      <c r="P836" s="1" t="str">
        <f t="shared" si="32"/>
        <v>BC ParanoaSG60KTL(COM1-022)_002_02046099,506944444446099,506944444446099,5486111111</v>
      </c>
      <c r="Q836" s="1" t="str">
        <f t="shared" si="30"/>
        <v>DAURDE</v>
      </c>
    </row>
    <row r="837" spans="2:17">
      <c r="B837" s="1" t="s">
        <v>393</v>
      </c>
      <c r="C837" s="1" t="s">
        <v>412</v>
      </c>
      <c r="D837" s="52">
        <v>46099.506944444445</v>
      </c>
      <c r="E837" s="52">
        <v>46099.506944444445</v>
      </c>
      <c r="F837" s="52">
        <v>46099.548611111109</v>
      </c>
      <c r="G837" s="53">
        <f>F837-E837</f>
        <v>4.1666666664241347E-2</v>
      </c>
      <c r="H837" s="1" t="s">
        <v>257</v>
      </c>
      <c r="J837" s="1" t="s">
        <v>258</v>
      </c>
      <c r="K837" s="1" t="str">
        <f>_xlfn.XLOOKUP(J837,REF!$D$2:$D$12,REF!$E$2:$E$12)</f>
        <v>Rede</v>
      </c>
      <c r="L837" s="1" t="s">
        <v>525</v>
      </c>
      <c r="M837" s="1" t="s">
        <v>260</v>
      </c>
      <c r="N837" s="1" t="s">
        <v>261</v>
      </c>
      <c r="O837" s="72" t="s">
        <v>297</v>
      </c>
      <c r="P837" s="1" t="str">
        <f t="shared" si="32"/>
        <v>BC ParanoaSG40CX(COM2-023)_002_02446099,506944444446099,506944444446099,5486111111</v>
      </c>
      <c r="Q837" s="1" t="str">
        <f t="shared" si="30"/>
        <v>DAURDE</v>
      </c>
    </row>
    <row r="838" spans="2:17">
      <c r="B838" s="1" t="s">
        <v>393</v>
      </c>
      <c r="C838" s="1" t="s">
        <v>413</v>
      </c>
      <c r="D838" s="52">
        <v>46099.506944444445</v>
      </c>
      <c r="E838" s="52">
        <v>46099.506944444445</v>
      </c>
      <c r="F838" s="52">
        <v>46099.548611111109</v>
      </c>
      <c r="G838" s="53">
        <f>F838-E838</f>
        <v>4.1666666664241347E-2</v>
      </c>
      <c r="H838" s="1" t="s">
        <v>257</v>
      </c>
      <c r="J838" s="1" t="s">
        <v>258</v>
      </c>
      <c r="K838" s="1" t="str">
        <f>_xlfn.XLOOKUP(J838,REF!$D$2:$D$12,REF!$E$2:$E$12)</f>
        <v>Rede</v>
      </c>
      <c r="L838" s="1" t="s">
        <v>525</v>
      </c>
      <c r="M838" s="1" t="s">
        <v>260</v>
      </c>
      <c r="N838" s="1" t="s">
        <v>261</v>
      </c>
      <c r="O838" s="72" t="s">
        <v>297</v>
      </c>
      <c r="P838" s="1" t="str">
        <f t="shared" si="32"/>
        <v>BC ParanoaSG40CX(COM2-024)_002_02246099,506944444446099,506944444446099,5486111111</v>
      </c>
      <c r="Q838" s="1" t="str">
        <f t="shared" si="30"/>
        <v>DAURDE</v>
      </c>
    </row>
    <row r="839" spans="2:17">
      <c r="B839" s="1" t="s">
        <v>393</v>
      </c>
      <c r="C839" s="1" t="s">
        <v>414</v>
      </c>
      <c r="D839" s="52">
        <v>46099.506944444445</v>
      </c>
      <c r="E839" s="52">
        <v>46099.506944444445</v>
      </c>
      <c r="F839" s="52">
        <v>46099.548611111109</v>
      </c>
      <c r="G839" s="53">
        <f>F839-E839</f>
        <v>4.1666666664241347E-2</v>
      </c>
      <c r="H839" s="1" t="s">
        <v>257</v>
      </c>
      <c r="J839" s="1" t="s">
        <v>258</v>
      </c>
      <c r="K839" s="1" t="str">
        <f>_xlfn.XLOOKUP(J839,REF!$D$2:$D$12,REF!$E$2:$E$12)</f>
        <v>Rede</v>
      </c>
      <c r="L839" s="1" t="s">
        <v>525</v>
      </c>
      <c r="M839" s="1" t="s">
        <v>260</v>
      </c>
      <c r="N839" s="1" t="s">
        <v>261</v>
      </c>
      <c r="O839" s="72" t="s">
        <v>297</v>
      </c>
      <c r="P839" s="1" t="str">
        <f t="shared" si="32"/>
        <v>BC ParanoaSG60KTL(COM1-007)_002_01346099,506944444446099,506944444446099,5486111111</v>
      </c>
      <c r="Q839" s="1" t="str">
        <f t="shared" si="30"/>
        <v>DAURDE</v>
      </c>
    </row>
    <row r="840" spans="2:17">
      <c r="B840" s="1" t="s">
        <v>393</v>
      </c>
      <c r="C840" s="1" t="s">
        <v>415</v>
      </c>
      <c r="D840" s="52">
        <v>46099.506944444445</v>
      </c>
      <c r="E840" s="52">
        <v>46099.506944444445</v>
      </c>
      <c r="F840" s="52">
        <v>46099.548611111109</v>
      </c>
      <c r="G840" s="53">
        <f>F840-E840</f>
        <v>4.1666666664241347E-2</v>
      </c>
      <c r="H840" s="1" t="s">
        <v>257</v>
      </c>
      <c r="J840" s="1" t="s">
        <v>258</v>
      </c>
      <c r="K840" s="1" t="str">
        <f>_xlfn.XLOOKUP(J840,REF!$D$2:$D$12,REF!$E$2:$E$12)</f>
        <v>Rede</v>
      </c>
      <c r="L840" s="1" t="s">
        <v>525</v>
      </c>
      <c r="M840" s="1" t="s">
        <v>260</v>
      </c>
      <c r="N840" s="1" t="s">
        <v>261</v>
      </c>
      <c r="O840" s="72" t="s">
        <v>297</v>
      </c>
      <c r="P840" s="1" t="str">
        <f t="shared" si="32"/>
        <v>BC ParanoaSG60KTL(COM1-008)_002_00246099,506944444446099,506944444446099,5486111111</v>
      </c>
      <c r="Q840" s="1" t="str">
        <f t="shared" si="30"/>
        <v>DAURDE</v>
      </c>
    </row>
    <row r="841" spans="2:17">
      <c r="B841" s="1" t="s">
        <v>393</v>
      </c>
      <c r="C841" s="1" t="s">
        <v>416</v>
      </c>
      <c r="D841" s="52">
        <v>46099.506944444445</v>
      </c>
      <c r="E841" s="52">
        <v>46099.506944444445</v>
      </c>
      <c r="F841" s="52">
        <v>46099.548611111109</v>
      </c>
      <c r="G841" s="53">
        <f>F841-E841</f>
        <v>4.1666666664241347E-2</v>
      </c>
      <c r="H841" s="1" t="s">
        <v>257</v>
      </c>
      <c r="J841" s="1" t="s">
        <v>258</v>
      </c>
      <c r="K841" s="1" t="str">
        <f>_xlfn.XLOOKUP(J841,REF!$D$2:$D$12,REF!$E$2:$E$12)</f>
        <v>Rede</v>
      </c>
      <c r="L841" s="1" t="s">
        <v>525</v>
      </c>
      <c r="M841" s="1" t="s">
        <v>260</v>
      </c>
      <c r="N841" s="1" t="s">
        <v>261</v>
      </c>
      <c r="O841" s="72" t="s">
        <v>297</v>
      </c>
      <c r="P841" s="1" t="str">
        <f t="shared" si="32"/>
        <v>BC ParanoaSG60KTL(COM1-009)_002_00846099,506944444446099,506944444446099,5486111111</v>
      </c>
      <c r="Q841" s="1" t="str">
        <f t="shared" si="30"/>
        <v>DAURDE</v>
      </c>
    </row>
    <row r="842" spans="2:17">
      <c r="B842" s="1" t="s">
        <v>393</v>
      </c>
      <c r="C842" s="1" t="s">
        <v>417</v>
      </c>
      <c r="D842" s="52">
        <v>46099.506944444445</v>
      </c>
      <c r="E842" s="52">
        <v>46099.506944444445</v>
      </c>
      <c r="F842" s="52">
        <v>46099.548611111109</v>
      </c>
      <c r="G842" s="53">
        <f>F842-E842</f>
        <v>4.1666666664241347E-2</v>
      </c>
      <c r="H842" s="1" t="s">
        <v>257</v>
      </c>
      <c r="J842" s="1" t="s">
        <v>258</v>
      </c>
      <c r="K842" s="1" t="str">
        <f>_xlfn.XLOOKUP(J842,REF!$D$2:$D$12,REF!$E$2:$E$12)</f>
        <v>Rede</v>
      </c>
      <c r="L842" s="1" t="s">
        <v>525</v>
      </c>
      <c r="M842" s="1" t="s">
        <v>260</v>
      </c>
      <c r="N842" s="1" t="s">
        <v>261</v>
      </c>
      <c r="O842" s="72" t="s">
        <v>297</v>
      </c>
      <c r="P842" s="1" t="str">
        <f t="shared" si="32"/>
        <v>BC ParanoaSG60KTL(COM1-010)_002_00346099,506944444446099,506944444446099,5486111111</v>
      </c>
      <c r="Q842" s="1" t="str">
        <f t="shared" si="30"/>
        <v>DAURDE</v>
      </c>
    </row>
    <row r="843" spans="2:17">
      <c r="B843" s="1" t="s">
        <v>393</v>
      </c>
      <c r="C843" s="1" t="s">
        <v>418</v>
      </c>
      <c r="D843" s="52">
        <v>46099.506944444445</v>
      </c>
      <c r="E843" s="52">
        <v>46099.506944444445</v>
      </c>
      <c r="F843" s="52">
        <v>46099.548611111109</v>
      </c>
      <c r="G843" s="53">
        <f>F843-E843</f>
        <v>4.1666666664241347E-2</v>
      </c>
      <c r="H843" s="1" t="s">
        <v>257</v>
      </c>
      <c r="J843" s="1" t="s">
        <v>258</v>
      </c>
      <c r="K843" s="1" t="str">
        <f>_xlfn.XLOOKUP(J843,REF!$D$2:$D$12,REF!$E$2:$E$12)</f>
        <v>Rede</v>
      </c>
      <c r="L843" s="1" t="s">
        <v>525</v>
      </c>
      <c r="M843" s="1" t="s">
        <v>260</v>
      </c>
      <c r="N843" s="1" t="s">
        <v>261</v>
      </c>
      <c r="O843" s="72" t="s">
        <v>297</v>
      </c>
      <c r="P843" s="1" t="str">
        <f t="shared" si="32"/>
        <v>BC ParanoaSG60KTL(COM1-011)_002_01046099,506944444446099,506944444446099,5486111111</v>
      </c>
      <c r="Q843" s="1" t="str">
        <f t="shared" ref="Q843:Q901" si="33">_xlfn.CONCAT(H843,I843,J843)</f>
        <v>DAURDE</v>
      </c>
    </row>
    <row r="844" spans="2:17">
      <c r="B844" s="1" t="s">
        <v>393</v>
      </c>
      <c r="C844" s="1" t="s">
        <v>419</v>
      </c>
      <c r="D844" s="52">
        <v>46099.506944444445</v>
      </c>
      <c r="E844" s="52">
        <v>46099.506944444445</v>
      </c>
      <c r="F844" s="52">
        <v>46099.548611111109</v>
      </c>
      <c r="G844" s="53">
        <f>F844-E844</f>
        <v>4.1666666664241347E-2</v>
      </c>
      <c r="H844" s="1" t="s">
        <v>257</v>
      </c>
      <c r="J844" s="1" t="s">
        <v>258</v>
      </c>
      <c r="K844" s="1" t="str">
        <f>_xlfn.XLOOKUP(J844,REF!$D$2:$D$12,REF!$E$2:$E$12)</f>
        <v>Rede</v>
      </c>
      <c r="L844" s="1" t="s">
        <v>525</v>
      </c>
      <c r="M844" s="1" t="s">
        <v>260</v>
      </c>
      <c r="N844" s="1" t="s">
        <v>261</v>
      </c>
      <c r="O844" s="72" t="s">
        <v>297</v>
      </c>
      <c r="P844" s="1" t="str">
        <f t="shared" si="32"/>
        <v>BC ParanoaSG60KTL(COM1-012)_002_00546099,506944444446099,506944444446099,5486111111</v>
      </c>
      <c r="Q844" s="1" t="str">
        <f t="shared" si="33"/>
        <v>DAURDE</v>
      </c>
    </row>
    <row r="845" spans="2:17">
      <c r="B845" s="1" t="s">
        <v>393</v>
      </c>
      <c r="C845" s="1" t="s">
        <v>420</v>
      </c>
      <c r="D845" s="52">
        <v>46099.506944444445</v>
      </c>
      <c r="E845" s="52">
        <v>46099.506944444445</v>
      </c>
      <c r="F845" s="52">
        <v>46099.548611111109</v>
      </c>
      <c r="G845" s="53">
        <f>F845-E845</f>
        <v>4.1666666664241347E-2</v>
      </c>
      <c r="H845" s="1" t="s">
        <v>257</v>
      </c>
      <c r="J845" s="1" t="s">
        <v>258</v>
      </c>
      <c r="K845" s="1" t="str">
        <f>_xlfn.XLOOKUP(J845,REF!$D$2:$D$12,REF!$E$2:$E$12)</f>
        <v>Rede</v>
      </c>
      <c r="L845" s="1" t="s">
        <v>525</v>
      </c>
      <c r="M845" s="1" t="s">
        <v>260</v>
      </c>
      <c r="N845" s="1" t="s">
        <v>261</v>
      </c>
      <c r="O845" s="72" t="s">
        <v>297</v>
      </c>
      <c r="P845" s="1" t="str">
        <f t="shared" si="32"/>
        <v>BC ParanoaSG60KTL(COM1-001)_002_00646099,506944444446099,506944444446099,5486111111</v>
      </c>
      <c r="Q845" s="1" t="str">
        <f t="shared" si="33"/>
        <v>DAURDE</v>
      </c>
    </row>
    <row r="846" spans="2:17">
      <c r="B846" s="1" t="s">
        <v>393</v>
      </c>
      <c r="C846" s="1" t="s">
        <v>421</v>
      </c>
      <c r="D846" s="52">
        <v>46099.506944444445</v>
      </c>
      <c r="E846" s="52">
        <v>46099.506944444445</v>
      </c>
      <c r="F846" s="52">
        <v>46099.548611111109</v>
      </c>
      <c r="G846" s="53">
        <f>F846-E846</f>
        <v>4.1666666664241347E-2</v>
      </c>
      <c r="H846" s="1" t="s">
        <v>257</v>
      </c>
      <c r="J846" s="1" t="s">
        <v>258</v>
      </c>
      <c r="K846" s="1" t="str">
        <f>_xlfn.XLOOKUP(J846,REF!$D$2:$D$12,REF!$E$2:$E$12)</f>
        <v>Rede</v>
      </c>
      <c r="L846" s="1" t="s">
        <v>525</v>
      </c>
      <c r="M846" s="1" t="s">
        <v>260</v>
      </c>
      <c r="N846" s="1" t="s">
        <v>261</v>
      </c>
      <c r="O846" s="72" t="s">
        <v>297</v>
      </c>
      <c r="P846" s="1" t="str">
        <f t="shared" si="32"/>
        <v>BC ParanoaSG60KTL(COM1-002)_002_01646099,506944444446099,506944444446099,5486111111</v>
      </c>
      <c r="Q846" s="1" t="str">
        <f t="shared" si="33"/>
        <v>DAURDE</v>
      </c>
    </row>
    <row r="847" spans="2:17">
      <c r="B847" s="1" t="s">
        <v>393</v>
      </c>
      <c r="C847" s="1" t="s">
        <v>422</v>
      </c>
      <c r="D847" s="52">
        <v>46099.506944444445</v>
      </c>
      <c r="E847" s="52">
        <v>46099.506944444445</v>
      </c>
      <c r="F847" s="52">
        <v>46099.548611111109</v>
      </c>
      <c r="G847" s="53">
        <f>F847-E847</f>
        <v>4.1666666664241347E-2</v>
      </c>
      <c r="H847" s="1" t="s">
        <v>257</v>
      </c>
      <c r="J847" s="1" t="s">
        <v>258</v>
      </c>
      <c r="K847" s="1" t="str">
        <f>_xlfn.XLOOKUP(J847,REF!$D$2:$D$12,REF!$E$2:$E$12)</f>
        <v>Rede</v>
      </c>
      <c r="L847" s="1" t="s">
        <v>525</v>
      </c>
      <c r="M847" s="1" t="s">
        <v>260</v>
      </c>
      <c r="N847" s="1" t="s">
        <v>261</v>
      </c>
      <c r="O847" s="72" t="s">
        <v>297</v>
      </c>
      <c r="P847" s="1" t="str">
        <f t="shared" si="32"/>
        <v>BC ParanoaSG50CX(COM2-003)_002_02146099,506944444446099,506944444446099,5486111111</v>
      </c>
      <c r="Q847" s="1" t="str">
        <f t="shared" si="33"/>
        <v>DAURDE</v>
      </c>
    </row>
    <row r="848" spans="2:17">
      <c r="B848" s="1" t="s">
        <v>393</v>
      </c>
      <c r="C848" s="1" t="s">
        <v>423</v>
      </c>
      <c r="D848" s="52">
        <v>46099.506944444445</v>
      </c>
      <c r="E848" s="52">
        <v>46099.506944444445</v>
      </c>
      <c r="F848" s="52">
        <v>46099.548611111109</v>
      </c>
      <c r="G848" s="53">
        <f>F848-E848</f>
        <v>4.1666666664241347E-2</v>
      </c>
      <c r="H848" s="1" t="s">
        <v>257</v>
      </c>
      <c r="J848" s="1" t="s">
        <v>258</v>
      </c>
      <c r="K848" s="1" t="str">
        <f>_xlfn.XLOOKUP(J848,REF!$D$2:$D$12,REF!$E$2:$E$12)</f>
        <v>Rede</v>
      </c>
      <c r="L848" s="1" t="s">
        <v>525</v>
      </c>
      <c r="M848" s="1" t="s">
        <v>260</v>
      </c>
      <c r="N848" s="1" t="s">
        <v>261</v>
      </c>
      <c r="O848" s="72" t="s">
        <v>297</v>
      </c>
      <c r="P848" s="1" t="str">
        <f t="shared" si="32"/>
        <v>BC ParanoaSG50CX(COM2-004)_002_02346099,506944444446099,506944444446099,5486111111</v>
      </c>
      <c r="Q848" s="1" t="str">
        <f t="shared" si="33"/>
        <v>DAURDE</v>
      </c>
    </row>
    <row r="849" spans="2:17">
      <c r="B849" s="1" t="s">
        <v>393</v>
      </c>
      <c r="C849" s="1" t="s">
        <v>424</v>
      </c>
      <c r="D849" s="52">
        <v>46099.506944444445</v>
      </c>
      <c r="E849" s="52">
        <v>46099.506944444445</v>
      </c>
      <c r="F849" s="52">
        <v>46099.548611111109</v>
      </c>
      <c r="G849" s="53">
        <f>F849-E849</f>
        <v>4.1666666664241347E-2</v>
      </c>
      <c r="H849" s="1" t="s">
        <v>257</v>
      </c>
      <c r="J849" s="1" t="s">
        <v>258</v>
      </c>
      <c r="K849" s="1" t="str">
        <f>_xlfn.XLOOKUP(J849,REF!$D$2:$D$12,REF!$E$2:$E$12)</f>
        <v>Rede</v>
      </c>
      <c r="L849" s="1" t="s">
        <v>525</v>
      </c>
      <c r="M849" s="1" t="s">
        <v>260</v>
      </c>
      <c r="N849" s="1" t="s">
        <v>261</v>
      </c>
      <c r="O849" s="72" t="s">
        <v>297</v>
      </c>
      <c r="P849" s="1" t="str">
        <f t="shared" si="32"/>
        <v>BC ParanoaSG60KTL(COM1-005)_002_00946099,506944444446099,506944444446099,5486111111</v>
      </c>
      <c r="Q849" s="1" t="str">
        <f t="shared" si="33"/>
        <v>DAURDE</v>
      </c>
    </row>
    <row r="850" spans="2:17">
      <c r="B850" s="1" t="s">
        <v>393</v>
      </c>
      <c r="C850" s="1" t="s">
        <v>425</v>
      </c>
      <c r="D850" s="52">
        <v>46099.506944444445</v>
      </c>
      <c r="E850" s="52">
        <v>46099.506944444445</v>
      </c>
      <c r="F850" s="52">
        <v>46099.548611111109</v>
      </c>
      <c r="G850" s="53">
        <f>F850-E850</f>
        <v>4.1666666664241347E-2</v>
      </c>
      <c r="H850" s="1" t="s">
        <v>257</v>
      </c>
      <c r="J850" s="1" t="s">
        <v>258</v>
      </c>
      <c r="K850" s="1" t="str">
        <f>_xlfn.XLOOKUP(J850,REF!$D$2:$D$12,REF!$E$2:$E$12)</f>
        <v>Rede</v>
      </c>
      <c r="L850" s="1" t="s">
        <v>525</v>
      </c>
      <c r="M850" s="1" t="s">
        <v>260</v>
      </c>
      <c r="N850" s="1" t="s">
        <v>261</v>
      </c>
      <c r="O850" s="72" t="s">
        <v>297</v>
      </c>
      <c r="P850" s="1" t="str">
        <f t="shared" si="32"/>
        <v>BC ParanoaSG60KTL(COM1-006)_002_00146099,506944444446099,506944444446099,5486111111</v>
      </c>
      <c r="Q850" s="1" t="str">
        <f t="shared" si="33"/>
        <v>DAURDE</v>
      </c>
    </row>
    <row r="851" spans="2:17">
      <c r="B851" s="1" t="s">
        <v>393</v>
      </c>
      <c r="C851" s="1" t="s">
        <v>426</v>
      </c>
      <c r="D851" s="52">
        <v>46099.506944444445</v>
      </c>
      <c r="E851" s="52">
        <v>46099.506944444445</v>
      </c>
      <c r="F851" s="52">
        <v>46099.548611111109</v>
      </c>
      <c r="G851" s="53">
        <f>F851-E851</f>
        <v>4.1666666664241347E-2</v>
      </c>
      <c r="H851" s="1" t="s">
        <v>257</v>
      </c>
      <c r="J851" s="1" t="s">
        <v>258</v>
      </c>
      <c r="K851" s="1" t="str">
        <f>_xlfn.XLOOKUP(J851,REF!$D$2:$D$12,REF!$E$2:$E$12)</f>
        <v>Rede</v>
      </c>
      <c r="L851" s="1" t="s">
        <v>525</v>
      </c>
      <c r="M851" s="1" t="s">
        <v>260</v>
      </c>
      <c r="N851" s="1" t="s">
        <v>261</v>
      </c>
      <c r="O851" s="72" t="s">
        <v>297</v>
      </c>
      <c r="P851" s="1" t="str">
        <f t="shared" si="32"/>
        <v>BC ParanoaSG60KTL(COM1-013)_002_00446099,506944444446099,506944444446099,5486111111</v>
      </c>
      <c r="Q851" s="1" t="str">
        <f t="shared" si="33"/>
        <v>DAURDE</v>
      </c>
    </row>
    <row r="852" spans="2:17">
      <c r="B852" s="1" t="s">
        <v>393</v>
      </c>
      <c r="C852" s="1" t="s">
        <v>427</v>
      </c>
      <c r="D852" s="52">
        <v>46099.506944444445</v>
      </c>
      <c r="E852" s="52">
        <v>46099.506944444445</v>
      </c>
      <c r="F852" s="52">
        <v>46099.548611111109</v>
      </c>
      <c r="G852" s="53">
        <f>F852-E852</f>
        <v>4.1666666664241347E-2</v>
      </c>
      <c r="H852" s="1" t="s">
        <v>257</v>
      </c>
      <c r="J852" s="1" t="s">
        <v>258</v>
      </c>
      <c r="K852" s="1" t="str">
        <f>_xlfn.XLOOKUP(J852,REF!$D$2:$D$12,REF!$E$2:$E$12)</f>
        <v>Rede</v>
      </c>
      <c r="L852" s="1" t="s">
        <v>525</v>
      </c>
      <c r="M852" s="1" t="s">
        <v>260</v>
      </c>
      <c r="N852" s="1" t="s">
        <v>261</v>
      </c>
      <c r="O852" s="72" t="s">
        <v>297</v>
      </c>
      <c r="P852" s="1" t="str">
        <f t="shared" si="32"/>
        <v>BC ParanoaSG60KTL(COM1-014)_002_01946099,506944444446099,506944444446099,5486111111</v>
      </c>
      <c r="Q852" s="1" t="str">
        <f t="shared" si="33"/>
        <v>DAURDE</v>
      </c>
    </row>
    <row r="853" spans="2:17">
      <c r="B853" s="1" t="s">
        <v>393</v>
      </c>
      <c r="C853" s="1" t="s">
        <v>428</v>
      </c>
      <c r="D853" s="52">
        <v>46099.506944444445</v>
      </c>
      <c r="E853" s="52">
        <v>46099.506944444445</v>
      </c>
      <c r="F853" s="52">
        <v>46099.548611111109</v>
      </c>
      <c r="G853" s="53">
        <f>F853-E853</f>
        <v>4.1666666664241347E-2</v>
      </c>
      <c r="H853" s="1" t="s">
        <v>257</v>
      </c>
      <c r="J853" s="1" t="s">
        <v>258</v>
      </c>
      <c r="K853" s="1" t="str">
        <f>_xlfn.XLOOKUP(J853,REF!$D$2:$D$12,REF!$E$2:$E$12)</f>
        <v>Rede</v>
      </c>
      <c r="L853" s="1" t="s">
        <v>525</v>
      </c>
      <c r="M853" s="1" t="s">
        <v>260</v>
      </c>
      <c r="N853" s="1" t="s">
        <v>261</v>
      </c>
      <c r="O853" s="72" t="s">
        <v>297</v>
      </c>
      <c r="P853" s="1" t="str">
        <f t="shared" si="32"/>
        <v>BC ParanoaSG60KTL(COM1-015)_002_01846099,506944444446099,506944444446099,5486111111</v>
      </c>
      <c r="Q853" s="1" t="str">
        <f t="shared" si="33"/>
        <v>DAURDE</v>
      </c>
    </row>
    <row r="854" spans="2:17">
      <c r="B854" s="1" t="s">
        <v>393</v>
      </c>
      <c r="C854" s="1" t="s">
        <v>429</v>
      </c>
      <c r="D854" s="52">
        <v>46099.506944444445</v>
      </c>
      <c r="E854" s="52">
        <v>46099.506944444445</v>
      </c>
      <c r="F854" s="52">
        <v>46099.548611111109</v>
      </c>
      <c r="G854" s="53">
        <f>F854-E854</f>
        <v>4.1666666664241347E-2</v>
      </c>
      <c r="H854" s="1" t="s">
        <v>257</v>
      </c>
      <c r="J854" s="1" t="s">
        <v>258</v>
      </c>
      <c r="K854" s="1" t="str">
        <f>_xlfn.XLOOKUP(J854,REF!$D$2:$D$12,REF!$E$2:$E$12)</f>
        <v>Rede</v>
      </c>
      <c r="L854" s="1" t="s">
        <v>525</v>
      </c>
      <c r="M854" s="1" t="s">
        <v>260</v>
      </c>
      <c r="N854" s="1" t="s">
        <v>261</v>
      </c>
      <c r="O854" s="72" t="s">
        <v>297</v>
      </c>
      <c r="P854" s="1" t="str">
        <f t="shared" si="32"/>
        <v>BC ParanoaSG60KTL(COM1-016)_002_01446099,506944444446099,506944444446099,5486111111</v>
      </c>
      <c r="Q854" s="1" t="str">
        <f t="shared" si="33"/>
        <v>DAURDE</v>
      </c>
    </row>
    <row r="855" spans="2:17">
      <c r="B855" s="1" t="s">
        <v>393</v>
      </c>
      <c r="C855" s="1" t="s">
        <v>430</v>
      </c>
      <c r="D855" s="52">
        <v>46099.506944444445</v>
      </c>
      <c r="E855" s="52">
        <v>46099.506944444445</v>
      </c>
      <c r="F855" s="52">
        <v>46099.548611111109</v>
      </c>
      <c r="G855" s="53">
        <f>F855-E855</f>
        <v>4.1666666664241347E-2</v>
      </c>
      <c r="H855" s="1" t="s">
        <v>257</v>
      </c>
      <c r="J855" s="1" t="s">
        <v>258</v>
      </c>
      <c r="K855" s="1" t="str">
        <f>_xlfn.XLOOKUP(J855,REF!$D$2:$D$12,REF!$E$2:$E$12)</f>
        <v>Rede</v>
      </c>
      <c r="L855" s="1" t="s">
        <v>525</v>
      </c>
      <c r="M855" s="1" t="s">
        <v>260</v>
      </c>
      <c r="N855" s="1" t="s">
        <v>261</v>
      </c>
      <c r="O855" s="72" t="s">
        <v>297</v>
      </c>
      <c r="P855" s="1" t="str">
        <f t="shared" si="32"/>
        <v>BC ParanoaSG60KTL(COM1-017)_002_01546099,506944444446099,506944444446099,5486111111</v>
      </c>
      <c r="Q855" s="1" t="str">
        <f t="shared" si="33"/>
        <v>DAURDE</v>
      </c>
    </row>
    <row r="856" spans="2:17">
      <c r="B856" s="1" t="s">
        <v>393</v>
      </c>
      <c r="C856" s="1" t="s">
        <v>431</v>
      </c>
      <c r="D856" s="52">
        <v>46099.506944444445</v>
      </c>
      <c r="E856" s="52">
        <v>46099.506944444445</v>
      </c>
      <c r="F856" s="52">
        <v>46099.548611111109</v>
      </c>
      <c r="G856" s="53">
        <f>F856-E856</f>
        <v>4.1666666664241347E-2</v>
      </c>
      <c r="H856" s="1" t="s">
        <v>257</v>
      </c>
      <c r="J856" s="1" t="s">
        <v>258</v>
      </c>
      <c r="K856" s="1" t="str">
        <f>_xlfn.XLOOKUP(J856,REF!$D$2:$D$12,REF!$E$2:$E$12)</f>
        <v>Rede</v>
      </c>
      <c r="L856" s="1" t="s">
        <v>525</v>
      </c>
      <c r="M856" s="1" t="s">
        <v>260</v>
      </c>
      <c r="N856" s="1" t="s">
        <v>261</v>
      </c>
      <c r="O856" s="72" t="s">
        <v>297</v>
      </c>
      <c r="P856" s="1" t="str">
        <f t="shared" si="32"/>
        <v>BC ParanoaSG60KTL(COM1-018)_002_01246099,506944444446099,506944444446099,5486111111</v>
      </c>
      <c r="Q856" s="1" t="str">
        <f t="shared" si="33"/>
        <v>DAURDE</v>
      </c>
    </row>
    <row r="857" spans="2:17">
      <c r="B857" s="1" t="s">
        <v>393</v>
      </c>
      <c r="C857" s="1" t="s">
        <v>432</v>
      </c>
      <c r="D857" s="52">
        <v>46099.506944444445</v>
      </c>
      <c r="E857" s="52">
        <v>46099.506944444445</v>
      </c>
      <c r="F857" s="52">
        <v>46099.548611111109</v>
      </c>
      <c r="G857" s="53">
        <f>F857-E857</f>
        <v>4.1666666664241347E-2</v>
      </c>
      <c r="H857" s="1" t="s">
        <v>257</v>
      </c>
      <c r="J857" s="1" t="s">
        <v>258</v>
      </c>
      <c r="K857" s="1" t="str">
        <f>_xlfn.XLOOKUP(J857,REF!$D$2:$D$12,REF!$E$2:$E$12)</f>
        <v>Rede</v>
      </c>
      <c r="L857" s="1" t="s">
        <v>525</v>
      </c>
      <c r="M857" s="1" t="s">
        <v>260</v>
      </c>
      <c r="N857" s="1" t="s">
        <v>261</v>
      </c>
      <c r="O857" s="72" t="s">
        <v>297</v>
      </c>
      <c r="P857" s="1" t="str">
        <f t="shared" si="32"/>
        <v>BC ParanoaSG50CX(COM2-004)_001_01846099,506944444446099,506944444446099,5486111111</v>
      </c>
      <c r="Q857" s="1" t="str">
        <f t="shared" si="33"/>
        <v>DAURDE</v>
      </c>
    </row>
    <row r="858" spans="2:17">
      <c r="B858" s="1" t="s">
        <v>393</v>
      </c>
      <c r="C858" s="1" t="s">
        <v>433</v>
      </c>
      <c r="D858" s="52">
        <v>46099.506944444445</v>
      </c>
      <c r="E858" s="52">
        <v>46099.506944444445</v>
      </c>
      <c r="F858" s="52">
        <v>46099.548611111109</v>
      </c>
      <c r="G858" s="53">
        <f>F858-E858</f>
        <v>4.1666666664241347E-2</v>
      </c>
      <c r="H858" s="1" t="s">
        <v>257</v>
      </c>
      <c r="J858" s="1" t="s">
        <v>258</v>
      </c>
      <c r="K858" s="1" t="str">
        <f>_xlfn.XLOOKUP(J858,REF!$D$2:$D$12,REF!$E$2:$E$12)</f>
        <v>Rede</v>
      </c>
      <c r="L858" s="1" t="s">
        <v>525</v>
      </c>
      <c r="M858" s="1" t="s">
        <v>260</v>
      </c>
      <c r="N858" s="1" t="s">
        <v>261</v>
      </c>
      <c r="O858" s="72" t="s">
        <v>297</v>
      </c>
      <c r="P858" s="1" t="str">
        <f t="shared" si="32"/>
        <v>BC ParanoaSG50CX(COM2-003)_001_01646099,506944444446099,506944444446099,5486111111</v>
      </c>
      <c r="Q858" s="1" t="str">
        <f t="shared" si="33"/>
        <v>DAURDE</v>
      </c>
    </row>
    <row r="859" spans="2:17">
      <c r="B859" s="1" t="s">
        <v>393</v>
      </c>
      <c r="C859" s="1" t="s">
        <v>434</v>
      </c>
      <c r="D859" s="52">
        <v>46099.506944444445</v>
      </c>
      <c r="E859" s="52">
        <v>46099.506944444445</v>
      </c>
      <c r="F859" s="52">
        <v>46099.548611111109</v>
      </c>
      <c r="G859" s="53">
        <f>F859-E859</f>
        <v>4.1666666664241347E-2</v>
      </c>
      <c r="H859" s="1" t="s">
        <v>257</v>
      </c>
      <c r="J859" s="1" t="s">
        <v>258</v>
      </c>
      <c r="K859" s="1" t="str">
        <f>_xlfn.XLOOKUP(J859,REF!$D$2:$D$12,REF!$E$2:$E$12)</f>
        <v>Rede</v>
      </c>
      <c r="L859" s="1" t="s">
        <v>525</v>
      </c>
      <c r="M859" s="1" t="s">
        <v>260</v>
      </c>
      <c r="N859" s="1" t="s">
        <v>261</v>
      </c>
      <c r="O859" s="72" t="s">
        <v>297</v>
      </c>
      <c r="P859" s="1" t="str">
        <f t="shared" si="32"/>
        <v>BC ParanoaSG60KTL(COM1-002)_001_00846099,506944444446099,506944444446099,5486111111</v>
      </c>
      <c r="Q859" s="1" t="str">
        <f t="shared" si="33"/>
        <v>DAURDE</v>
      </c>
    </row>
    <row r="860" spans="2:17">
      <c r="B860" s="1" t="s">
        <v>393</v>
      </c>
      <c r="C860" s="1" t="s">
        <v>401</v>
      </c>
      <c r="D860" s="52">
        <v>46099.506944444445</v>
      </c>
      <c r="E860" s="52">
        <v>46099.506944444445</v>
      </c>
      <c r="F860" s="52">
        <v>46099.548611111109</v>
      </c>
      <c r="G860" s="53">
        <f>F860-E860</f>
        <v>4.1666666664241347E-2</v>
      </c>
      <c r="H860" s="1" t="s">
        <v>257</v>
      </c>
      <c r="J860" s="1" t="s">
        <v>258</v>
      </c>
      <c r="K860" s="1" t="str">
        <f>_xlfn.XLOOKUP(J860,REF!$D$2:$D$12,REF!$E$2:$E$12)</f>
        <v>Rede</v>
      </c>
      <c r="L860" s="1" t="s">
        <v>525</v>
      </c>
      <c r="M860" s="1" t="s">
        <v>260</v>
      </c>
      <c r="N860" s="1" t="s">
        <v>261</v>
      </c>
      <c r="O860" s="72" t="s">
        <v>297</v>
      </c>
      <c r="P860" s="1" t="str">
        <f t="shared" si="32"/>
        <v>BC ParanoaSG60KTL(COM1-016)_001_00646099,506944444446099,506944444446099,5486111111</v>
      </c>
      <c r="Q860" s="1" t="str">
        <f t="shared" si="33"/>
        <v>DAURDE</v>
      </c>
    </row>
    <row r="861" spans="2:17">
      <c r="B861" s="1" t="s">
        <v>393</v>
      </c>
      <c r="C861" s="1" t="s">
        <v>421</v>
      </c>
      <c r="D861" s="52">
        <v>46099.506944444445</v>
      </c>
      <c r="E861" s="52">
        <v>46099.506944444445</v>
      </c>
      <c r="F861" s="52">
        <v>46099.548611111109</v>
      </c>
      <c r="G861" s="53">
        <f>F861-E861</f>
        <v>4.1666666664241347E-2</v>
      </c>
      <c r="H861" s="1" t="s">
        <v>257</v>
      </c>
      <c r="J861" s="1" t="s">
        <v>258</v>
      </c>
      <c r="K861" s="1" t="str">
        <f>_xlfn.XLOOKUP(J861,REF!$D$2:$D$12,REF!$E$2:$E$12)</f>
        <v>Rede</v>
      </c>
      <c r="L861" s="1" t="s">
        <v>525</v>
      </c>
      <c r="M861" s="1" t="s">
        <v>260</v>
      </c>
      <c r="N861" s="1" t="s">
        <v>261</v>
      </c>
      <c r="O861" s="72" t="s">
        <v>297</v>
      </c>
      <c r="P861" s="1" t="str">
        <f t="shared" si="32"/>
        <v>BC ParanoaSG60KTL(COM1-002)_002_01646099,506944444446099,506944444446099,5486111111</v>
      </c>
      <c r="Q861" s="1" t="str">
        <f t="shared" si="33"/>
        <v>DAURDE</v>
      </c>
    </row>
    <row r="862" spans="2:17">
      <c r="B862" s="1" t="s">
        <v>393</v>
      </c>
      <c r="C862" s="1" t="s">
        <v>422</v>
      </c>
      <c r="D862" s="52">
        <v>46099.506944444445</v>
      </c>
      <c r="E862" s="52">
        <v>46099.506944444445</v>
      </c>
      <c r="F862" s="52">
        <v>46099.548611111109</v>
      </c>
      <c r="G862" s="53">
        <f>F862-E862</f>
        <v>4.1666666664241347E-2</v>
      </c>
      <c r="H862" s="1" t="s">
        <v>257</v>
      </c>
      <c r="J862" s="1" t="s">
        <v>258</v>
      </c>
      <c r="K862" s="1" t="str">
        <f>_xlfn.XLOOKUP(J862,REF!$D$2:$D$12,REF!$E$2:$E$12)</f>
        <v>Rede</v>
      </c>
      <c r="L862" s="1" t="s">
        <v>525</v>
      </c>
      <c r="M862" s="1" t="s">
        <v>260</v>
      </c>
      <c r="N862" s="1" t="s">
        <v>261</v>
      </c>
      <c r="O862" s="72" t="s">
        <v>297</v>
      </c>
      <c r="P862" s="1" t="str">
        <f t="shared" si="32"/>
        <v>BC ParanoaSG50CX(COM2-003)_002_02146099,506944444446099,506944444446099,5486111111</v>
      </c>
      <c r="Q862" s="1" t="str">
        <f t="shared" si="33"/>
        <v>DAURDE</v>
      </c>
    </row>
    <row r="863" spans="2:17">
      <c r="B863" s="1" t="s">
        <v>519</v>
      </c>
      <c r="C863" s="1" t="s">
        <v>380</v>
      </c>
      <c r="D863" s="52">
        <v>46099.520833333336</v>
      </c>
      <c r="E863" s="52">
        <v>46099.520833333336</v>
      </c>
      <c r="F863" s="52">
        <v>46099.569444444445</v>
      </c>
      <c r="G863" s="53">
        <f>F863-E863</f>
        <v>4.8611111109494232E-2</v>
      </c>
      <c r="H863" s="1" t="s">
        <v>257</v>
      </c>
      <c r="J863" s="1" t="s">
        <v>258</v>
      </c>
      <c r="K863" s="1" t="str">
        <f>_xlfn.XLOOKUP(J863,REF!$D$2:$D$12,REF!$E$2:$E$12)</f>
        <v>Rede</v>
      </c>
      <c r="L863" s="1" t="s">
        <v>259</v>
      </c>
      <c r="M863" s="1" t="s">
        <v>260</v>
      </c>
      <c r="N863" s="1" t="s">
        <v>261</v>
      </c>
      <c r="O863" s="72" t="s">
        <v>297</v>
      </c>
      <c r="P863" s="1" t="str">
        <f t="shared" si="32"/>
        <v>BC Camarao1.5215KTL-H3(MBUS-15)46099,520833333346099,520833333346099,5694444444</v>
      </c>
      <c r="Q863" s="1" t="str">
        <f t="shared" si="33"/>
        <v>DAURDE</v>
      </c>
    </row>
    <row r="864" spans="2:17">
      <c r="B864" s="1" t="s">
        <v>519</v>
      </c>
      <c r="C864" s="1" t="s">
        <v>378</v>
      </c>
      <c r="D864" s="52">
        <v>46099.520833333336</v>
      </c>
      <c r="E864" s="52">
        <v>46099.520833333336</v>
      </c>
      <c r="F864" s="52">
        <v>46099.569444444445</v>
      </c>
      <c r="G864" s="53">
        <f>F864-E864</f>
        <v>4.8611111109494232E-2</v>
      </c>
      <c r="H864" s="1" t="s">
        <v>257</v>
      </c>
      <c r="J864" s="1" t="s">
        <v>258</v>
      </c>
      <c r="K864" s="1" t="str">
        <f>_xlfn.XLOOKUP(J864,REF!$D$2:$D$12,REF!$E$2:$E$12)</f>
        <v>Rede</v>
      </c>
      <c r="L864" s="1" t="s">
        <v>259</v>
      </c>
      <c r="M864" s="1" t="s">
        <v>260</v>
      </c>
      <c r="N864" s="1" t="s">
        <v>261</v>
      </c>
      <c r="O864" s="72" t="s">
        <v>297</v>
      </c>
      <c r="P864" s="1" t="str">
        <f t="shared" si="32"/>
        <v>BC Camarao1.5215KTL-H3(MBUS-13)46099,520833333346099,520833333346099,5694444444</v>
      </c>
      <c r="Q864" s="1" t="str">
        <f t="shared" si="33"/>
        <v>DAURDE</v>
      </c>
    </row>
    <row r="865" spans="2:17">
      <c r="B865" s="1" t="s">
        <v>519</v>
      </c>
      <c r="C865" s="1" t="s">
        <v>377</v>
      </c>
      <c r="D865" s="52">
        <v>46099.520833333336</v>
      </c>
      <c r="E865" s="52">
        <v>46099.520833333336</v>
      </c>
      <c r="F865" s="52">
        <v>46099.569444444445</v>
      </c>
      <c r="G865" s="53">
        <f>F865-E865</f>
        <v>4.8611111109494232E-2</v>
      </c>
      <c r="H865" s="1" t="s">
        <v>257</v>
      </c>
      <c r="J865" s="1" t="s">
        <v>258</v>
      </c>
      <c r="K865" s="1" t="str">
        <f>_xlfn.XLOOKUP(J865,REF!$D$2:$D$12,REF!$E$2:$E$12)</f>
        <v>Rede</v>
      </c>
      <c r="L865" s="1" t="s">
        <v>259</v>
      </c>
      <c r="M865" s="1" t="s">
        <v>260</v>
      </c>
      <c r="N865" s="1" t="s">
        <v>261</v>
      </c>
      <c r="O865" s="72" t="s">
        <v>297</v>
      </c>
      <c r="P865" s="1" t="str">
        <f t="shared" si="32"/>
        <v>BC Camarao1.5215KTL-H3(MBUS-12)46099,520833333346099,520833333346099,5694444444</v>
      </c>
      <c r="Q865" s="1" t="str">
        <f t="shared" si="33"/>
        <v>DAURDE</v>
      </c>
    </row>
    <row r="866" spans="2:17">
      <c r="B866" s="1" t="s">
        <v>519</v>
      </c>
      <c r="C866" s="1" t="s">
        <v>520</v>
      </c>
      <c r="D866" s="52">
        <v>46099.520833333336</v>
      </c>
      <c r="E866" s="52">
        <v>46099.520833333336</v>
      </c>
      <c r="F866" s="52">
        <v>46099.569444444445</v>
      </c>
      <c r="G866" s="53">
        <f>F866-E866</f>
        <v>4.8611111109494232E-2</v>
      </c>
      <c r="H866" s="1" t="s">
        <v>257</v>
      </c>
      <c r="J866" s="1" t="s">
        <v>258</v>
      </c>
      <c r="K866" s="1" t="str">
        <f>_xlfn.XLOOKUP(J866,REF!$D$2:$D$12,REF!$E$2:$E$12)</f>
        <v>Rede</v>
      </c>
      <c r="L866" s="1" t="s">
        <v>259</v>
      </c>
      <c r="M866" s="1" t="s">
        <v>260</v>
      </c>
      <c r="N866" s="1" t="s">
        <v>261</v>
      </c>
      <c r="O866" s="72" t="s">
        <v>297</v>
      </c>
      <c r="P866" s="1" t="str">
        <f t="shared" si="32"/>
        <v>BC Camarao1.5215KTL-H3(MBUS-1)46099,520833333346099,520833333346099,5694444444</v>
      </c>
      <c r="Q866" s="1" t="str">
        <f t="shared" si="33"/>
        <v>DAURDE</v>
      </c>
    </row>
    <row r="867" spans="2:17">
      <c r="B867" s="1" t="s">
        <v>519</v>
      </c>
      <c r="C867" s="1" t="s">
        <v>382</v>
      </c>
      <c r="D867" s="52">
        <v>46099.520833333336</v>
      </c>
      <c r="E867" s="52">
        <v>46099.520833333336</v>
      </c>
      <c r="F867" s="52">
        <v>46099.569444444445</v>
      </c>
      <c r="G867" s="53">
        <f>F867-E867</f>
        <v>4.8611111109494232E-2</v>
      </c>
      <c r="H867" s="1" t="s">
        <v>257</v>
      </c>
      <c r="J867" s="1" t="s">
        <v>258</v>
      </c>
      <c r="K867" s="1" t="str">
        <f>_xlfn.XLOOKUP(J867,REF!$D$2:$D$12,REF!$E$2:$E$12)</f>
        <v>Rede</v>
      </c>
      <c r="L867" s="1" t="s">
        <v>259</v>
      </c>
      <c r="M867" s="1" t="s">
        <v>260</v>
      </c>
      <c r="N867" s="1" t="s">
        <v>261</v>
      </c>
      <c r="O867" s="72" t="s">
        <v>297</v>
      </c>
      <c r="P867" s="1" t="str">
        <f t="shared" si="32"/>
        <v>BC Camarao1.5215KTL-H3(MBUS-14)46099,520833333346099,520833333346099,5694444444</v>
      </c>
      <c r="Q867" s="1" t="str">
        <f t="shared" si="33"/>
        <v>DAURDE</v>
      </c>
    </row>
    <row r="868" spans="2:17">
      <c r="B868" s="1" t="s">
        <v>305</v>
      </c>
      <c r="C868" s="1" t="s">
        <v>256</v>
      </c>
      <c r="D868" s="52">
        <v>45734.638888888891</v>
      </c>
      <c r="E868" s="52">
        <v>45734.638888888891</v>
      </c>
      <c r="F868" s="52">
        <v>45734.65625</v>
      </c>
      <c r="G868" s="53">
        <f>F868-E868</f>
        <v>1.7361111109494232E-2</v>
      </c>
      <c r="H868" s="1" t="s">
        <v>257</v>
      </c>
      <c r="J868" s="1" t="s">
        <v>258</v>
      </c>
      <c r="K868" s="1" t="str">
        <f>_xlfn.XLOOKUP(J868,REF!$D$2:$D$12,REF!$E$2:$E$12)</f>
        <v>Rede</v>
      </c>
      <c r="L868" s="1" t="s">
        <v>526</v>
      </c>
      <c r="M868" s="1" t="s">
        <v>260</v>
      </c>
      <c r="N868" s="1" t="s">
        <v>261</v>
      </c>
      <c r="O868" s="72" t="s">
        <v>297</v>
      </c>
      <c r="P868" s="1" t="str">
        <f t="shared" si="32"/>
        <v>ARAGUATINS 1.1Inverter(MBUS-12)45734,638888888945734,638888888945734,65625</v>
      </c>
      <c r="Q868" s="1" t="str">
        <f t="shared" si="33"/>
        <v>DAURDE</v>
      </c>
    </row>
    <row r="869" spans="2:17">
      <c r="B869" s="1" t="s">
        <v>305</v>
      </c>
      <c r="C869" s="1" t="s">
        <v>264</v>
      </c>
      <c r="D869" s="52">
        <v>45734.638888888891</v>
      </c>
      <c r="E869" s="52">
        <v>45734.638888888891</v>
      </c>
      <c r="F869" s="52">
        <v>45734.65625</v>
      </c>
      <c r="G869" s="53">
        <f>F869-E869</f>
        <v>1.7361111109494232E-2</v>
      </c>
      <c r="H869" s="1" t="s">
        <v>257</v>
      </c>
      <c r="J869" s="1" t="s">
        <v>258</v>
      </c>
      <c r="K869" s="1" t="str">
        <f>_xlfn.XLOOKUP(J869,REF!$D$2:$D$12,REF!$E$2:$E$12)</f>
        <v>Rede</v>
      </c>
      <c r="L869" s="1" t="s">
        <v>526</v>
      </c>
      <c r="M869" s="1" t="s">
        <v>260</v>
      </c>
      <c r="N869" s="1" t="s">
        <v>261</v>
      </c>
      <c r="O869" s="72" t="s">
        <v>297</v>
      </c>
      <c r="P869" s="1" t="str">
        <f t="shared" si="32"/>
        <v>ARAGUATINS 1.1Inverter(MBUS-13)45734,638888888945734,638888888945734,65625</v>
      </c>
      <c r="Q869" s="1" t="str">
        <f t="shared" si="33"/>
        <v>DAURDE</v>
      </c>
    </row>
    <row r="870" spans="2:17">
      <c r="B870" s="1" t="s">
        <v>305</v>
      </c>
      <c r="C870" s="1" t="s">
        <v>263</v>
      </c>
      <c r="D870" s="52">
        <v>45734.638888888891</v>
      </c>
      <c r="E870" s="52">
        <v>45734.638888888891</v>
      </c>
      <c r="F870" s="52">
        <v>45734.65625</v>
      </c>
      <c r="G870" s="53">
        <f>F870-E870</f>
        <v>1.7361111109494232E-2</v>
      </c>
      <c r="H870" s="1" t="s">
        <v>257</v>
      </c>
      <c r="J870" s="1" t="s">
        <v>258</v>
      </c>
      <c r="K870" s="1" t="str">
        <f>_xlfn.XLOOKUP(J870,REF!$D$2:$D$12,REF!$E$2:$E$12)</f>
        <v>Rede</v>
      </c>
      <c r="L870" s="1" t="s">
        <v>526</v>
      </c>
      <c r="M870" s="1" t="s">
        <v>260</v>
      </c>
      <c r="N870" s="1" t="s">
        <v>261</v>
      </c>
      <c r="O870" s="72" t="s">
        <v>297</v>
      </c>
      <c r="P870" s="1" t="str">
        <f t="shared" si="32"/>
        <v>ARAGUATINS 1.1Inverter(MBUS-14)45734,638888888945734,638888888945734,65625</v>
      </c>
      <c r="Q870" s="1" t="str">
        <f t="shared" si="33"/>
        <v>DAURDE</v>
      </c>
    </row>
    <row r="871" spans="2:17">
      <c r="B871" s="1" t="s">
        <v>305</v>
      </c>
      <c r="C871" s="1" t="s">
        <v>307</v>
      </c>
      <c r="D871" s="52">
        <v>45734.638888888891</v>
      </c>
      <c r="E871" s="52">
        <v>45734.638888888891</v>
      </c>
      <c r="F871" s="52">
        <v>45734.65625</v>
      </c>
      <c r="G871" s="53">
        <f>F871-E871</f>
        <v>1.7361111109494232E-2</v>
      </c>
      <c r="H871" s="1" t="s">
        <v>257</v>
      </c>
      <c r="J871" s="1" t="s">
        <v>258</v>
      </c>
      <c r="K871" s="1" t="str">
        <f>_xlfn.XLOOKUP(J871,REF!$D$2:$D$12,REF!$E$2:$E$12)</f>
        <v>Rede</v>
      </c>
      <c r="L871" s="1" t="s">
        <v>526</v>
      </c>
      <c r="M871" s="1" t="s">
        <v>260</v>
      </c>
      <c r="N871" s="1" t="s">
        <v>261</v>
      </c>
      <c r="O871" s="72" t="s">
        <v>297</v>
      </c>
      <c r="P871" s="1" t="str">
        <f t="shared" si="32"/>
        <v>ARAGUATINS 1.1Inverter(MBUS-15)45734,638888888945734,638888888945734,65625</v>
      </c>
      <c r="Q871" s="1" t="str">
        <f t="shared" si="33"/>
        <v>DAURDE</v>
      </c>
    </row>
    <row r="872" spans="2:17">
      <c r="B872" s="1" t="s">
        <v>308</v>
      </c>
      <c r="C872" s="1" t="s">
        <v>256</v>
      </c>
      <c r="D872" s="52">
        <v>45734.638888888891</v>
      </c>
      <c r="E872" s="52">
        <v>45734.638888888891</v>
      </c>
      <c r="F872" s="52">
        <v>45734.65625</v>
      </c>
      <c r="G872" s="53">
        <f>F872-E872</f>
        <v>1.7361111109494232E-2</v>
      </c>
      <c r="H872" s="1" t="s">
        <v>257</v>
      </c>
      <c r="J872" s="1" t="s">
        <v>258</v>
      </c>
      <c r="K872" s="1" t="str">
        <f>_xlfn.XLOOKUP(J872,REF!$D$2:$D$12,REF!$E$2:$E$12)</f>
        <v>Rede</v>
      </c>
      <c r="L872" s="1" t="s">
        <v>526</v>
      </c>
      <c r="M872" s="1" t="s">
        <v>260</v>
      </c>
      <c r="N872" s="1" t="s">
        <v>261</v>
      </c>
      <c r="O872" s="72" t="s">
        <v>297</v>
      </c>
      <c r="P872" s="1" t="str">
        <f t="shared" si="32"/>
        <v>ARAGUATINS 1.2Inverter(MBUS-12)45734,638888888945734,638888888945734,65625</v>
      </c>
      <c r="Q872" s="1" t="str">
        <f t="shared" si="33"/>
        <v>DAURDE</v>
      </c>
    </row>
    <row r="873" spans="2:17">
      <c r="B873" s="1" t="s">
        <v>308</v>
      </c>
      <c r="C873" s="1" t="s">
        <v>264</v>
      </c>
      <c r="D873" s="52">
        <v>45734.638888888891</v>
      </c>
      <c r="E873" s="52">
        <v>45734.638888888891</v>
      </c>
      <c r="F873" s="52">
        <v>45734.65625</v>
      </c>
      <c r="G873" s="53">
        <f>F873-E873</f>
        <v>1.7361111109494232E-2</v>
      </c>
      <c r="H873" s="1" t="s">
        <v>257</v>
      </c>
      <c r="J873" s="1" t="s">
        <v>258</v>
      </c>
      <c r="K873" s="1" t="str">
        <f>_xlfn.XLOOKUP(J873,REF!$D$2:$D$12,REF!$E$2:$E$12)</f>
        <v>Rede</v>
      </c>
      <c r="L873" s="1" t="s">
        <v>526</v>
      </c>
      <c r="M873" s="1" t="s">
        <v>260</v>
      </c>
      <c r="N873" s="1" t="s">
        <v>261</v>
      </c>
      <c r="O873" s="72" t="s">
        <v>297</v>
      </c>
      <c r="P873" s="1" t="str">
        <f t="shared" si="32"/>
        <v>ARAGUATINS 1.2Inverter(MBUS-13)45734,638888888945734,638888888945734,65625</v>
      </c>
      <c r="Q873" s="1" t="str">
        <f t="shared" si="33"/>
        <v>DAURDE</v>
      </c>
    </row>
    <row r="874" spans="2:17">
      <c r="B874" s="1" t="s">
        <v>308</v>
      </c>
      <c r="C874" s="1" t="s">
        <v>263</v>
      </c>
      <c r="D874" s="52">
        <v>45734.638888888891</v>
      </c>
      <c r="E874" s="52">
        <v>45734.638888888891</v>
      </c>
      <c r="F874" s="52">
        <v>45734.65625</v>
      </c>
      <c r="G874" s="53">
        <f>F874-E874</f>
        <v>1.7361111109494232E-2</v>
      </c>
      <c r="H874" s="1" t="s">
        <v>257</v>
      </c>
      <c r="J874" s="1" t="s">
        <v>258</v>
      </c>
      <c r="K874" s="1" t="str">
        <f>_xlfn.XLOOKUP(J874,REF!$D$2:$D$12,REF!$E$2:$E$12)</f>
        <v>Rede</v>
      </c>
      <c r="L874" s="1" t="s">
        <v>526</v>
      </c>
      <c r="M874" s="1" t="s">
        <v>260</v>
      </c>
      <c r="N874" s="1" t="s">
        <v>261</v>
      </c>
      <c r="O874" s="72" t="s">
        <v>297</v>
      </c>
      <c r="P874" s="1" t="str">
        <f t="shared" si="32"/>
        <v>ARAGUATINS 1.2Inverter(MBUS-14)45734,638888888945734,638888888945734,65625</v>
      </c>
      <c r="Q874" s="1" t="str">
        <f t="shared" si="33"/>
        <v>DAURDE</v>
      </c>
    </row>
    <row r="875" spans="2:17">
      <c r="B875" s="1" t="s">
        <v>308</v>
      </c>
      <c r="C875" s="1" t="s">
        <v>307</v>
      </c>
      <c r="D875" s="52">
        <v>45734.638888888891</v>
      </c>
      <c r="E875" s="52">
        <v>45734.638888888891</v>
      </c>
      <c r="F875" s="52">
        <v>45734.65625</v>
      </c>
      <c r="G875" s="53">
        <f>F875-E875</f>
        <v>1.7361111109494232E-2</v>
      </c>
      <c r="H875" s="1" t="s">
        <v>257</v>
      </c>
      <c r="J875" s="1" t="s">
        <v>258</v>
      </c>
      <c r="K875" s="1" t="str">
        <f>_xlfn.XLOOKUP(J875,REF!$D$2:$D$12,REF!$E$2:$E$12)</f>
        <v>Rede</v>
      </c>
      <c r="L875" s="1" t="s">
        <v>526</v>
      </c>
      <c r="M875" s="1" t="s">
        <v>260</v>
      </c>
      <c r="N875" s="1" t="s">
        <v>261</v>
      </c>
      <c r="O875" s="72" t="s">
        <v>297</v>
      </c>
      <c r="P875" s="1" t="str">
        <f t="shared" si="32"/>
        <v>ARAGUATINS 1.2Inverter(MBUS-15)45734,638888888945734,638888888945734,65625</v>
      </c>
      <c r="Q875" s="1" t="str">
        <f t="shared" si="33"/>
        <v>DAURDE</v>
      </c>
    </row>
    <row r="876" spans="2:17">
      <c r="B876" s="1" t="s">
        <v>309</v>
      </c>
      <c r="C876" s="1" t="s">
        <v>310</v>
      </c>
      <c r="D876" s="52">
        <v>45734.638888888891</v>
      </c>
      <c r="E876" s="52">
        <v>45734.638888888891</v>
      </c>
      <c r="F876" s="52">
        <v>45734.65625</v>
      </c>
      <c r="G876" s="53">
        <f>F876-E876</f>
        <v>1.7361111109494232E-2</v>
      </c>
      <c r="H876" s="1" t="s">
        <v>257</v>
      </c>
      <c r="J876" s="1" t="s">
        <v>258</v>
      </c>
      <c r="K876" s="1" t="str">
        <f>_xlfn.XLOOKUP(J876,REF!$D$2:$D$12,REF!$E$2:$E$12)</f>
        <v>Rede</v>
      </c>
      <c r="L876" s="1" t="s">
        <v>526</v>
      </c>
      <c r="M876" s="1" t="s">
        <v>260</v>
      </c>
      <c r="N876" s="1" t="s">
        <v>261</v>
      </c>
      <c r="O876" s="72" t="s">
        <v>297</v>
      </c>
      <c r="P876" s="1" t="str">
        <f t="shared" si="32"/>
        <v>ARAGUATINS 1.3Inverter(MBUS-20)45734,638888888945734,638888888945734,65625</v>
      </c>
      <c r="Q876" s="1" t="str">
        <f t="shared" si="33"/>
        <v>DAURDE</v>
      </c>
    </row>
    <row r="877" spans="2:17">
      <c r="B877" s="1" t="s">
        <v>309</v>
      </c>
      <c r="C877" s="1" t="s">
        <v>247</v>
      </c>
      <c r="D877" s="52">
        <v>45734.638888888891</v>
      </c>
      <c r="E877" s="52">
        <v>45734.638888888891</v>
      </c>
      <c r="F877" s="52">
        <v>45734.65625</v>
      </c>
      <c r="G877" s="53">
        <f>F877-E877</f>
        <v>1.7361111109494232E-2</v>
      </c>
      <c r="H877" s="1" t="s">
        <v>257</v>
      </c>
      <c r="J877" s="1" t="s">
        <v>258</v>
      </c>
      <c r="K877" s="1" t="str">
        <f>_xlfn.XLOOKUP(J877,REF!$D$2:$D$12,REF!$E$2:$E$12)</f>
        <v>Rede</v>
      </c>
      <c r="L877" s="1" t="s">
        <v>526</v>
      </c>
      <c r="M877" s="1" t="s">
        <v>260</v>
      </c>
      <c r="N877" s="1" t="s">
        <v>261</v>
      </c>
      <c r="O877" s="72" t="s">
        <v>297</v>
      </c>
      <c r="P877" s="1" t="str">
        <f t="shared" si="32"/>
        <v>ARAGUATINS 1.3Inverter(MBUS-1)45734,638888888945734,638888888945734,65625</v>
      </c>
      <c r="Q877" s="1" t="str">
        <f t="shared" si="33"/>
        <v>DAURDE</v>
      </c>
    </row>
    <row r="878" spans="2:17">
      <c r="B878" s="1" t="s">
        <v>311</v>
      </c>
      <c r="C878" s="1" t="s">
        <v>256</v>
      </c>
      <c r="D878" s="52">
        <v>45734.638888888891</v>
      </c>
      <c r="E878" s="52">
        <v>45734.638888888891</v>
      </c>
      <c r="F878" s="52">
        <v>45734.65625</v>
      </c>
      <c r="G878" s="53">
        <f>F878-E878</f>
        <v>1.7361111109494232E-2</v>
      </c>
      <c r="H878" s="1" t="s">
        <v>257</v>
      </c>
      <c r="J878" s="1" t="s">
        <v>258</v>
      </c>
      <c r="K878" s="1" t="str">
        <f>_xlfn.XLOOKUP(J878,REF!$D$2:$D$12,REF!$E$2:$E$12)</f>
        <v>Rede</v>
      </c>
      <c r="L878" s="1" t="s">
        <v>526</v>
      </c>
      <c r="M878" s="1" t="s">
        <v>260</v>
      </c>
      <c r="N878" s="1" t="s">
        <v>261</v>
      </c>
      <c r="O878" s="72" t="s">
        <v>297</v>
      </c>
      <c r="P878" s="1" t="str">
        <f t="shared" si="32"/>
        <v>ARAGUATINS 2.1Inverter(MBUS-12)45734,638888888945734,638888888945734,65625</v>
      </c>
      <c r="Q878" s="1" t="str">
        <f t="shared" si="33"/>
        <v>DAURDE</v>
      </c>
    </row>
    <row r="879" spans="2:17">
      <c r="B879" s="1" t="s">
        <v>311</v>
      </c>
      <c r="C879" s="1" t="s">
        <v>307</v>
      </c>
      <c r="D879" s="52">
        <v>45734.638888888891</v>
      </c>
      <c r="E879" s="52">
        <v>45734.638888888891</v>
      </c>
      <c r="F879" s="52">
        <v>45734.65625</v>
      </c>
      <c r="G879" s="53">
        <f>F879-E879</f>
        <v>1.7361111109494232E-2</v>
      </c>
      <c r="H879" s="1" t="s">
        <v>257</v>
      </c>
      <c r="J879" s="1" t="s">
        <v>258</v>
      </c>
      <c r="K879" s="1" t="str">
        <f>_xlfn.XLOOKUP(J879,REF!$D$2:$D$12,REF!$E$2:$E$12)</f>
        <v>Rede</v>
      </c>
      <c r="L879" s="1" t="s">
        <v>526</v>
      </c>
      <c r="M879" s="1" t="s">
        <v>260</v>
      </c>
      <c r="N879" s="1" t="s">
        <v>261</v>
      </c>
      <c r="O879" s="72" t="s">
        <v>297</v>
      </c>
      <c r="P879" s="1" t="str">
        <f t="shared" si="32"/>
        <v>ARAGUATINS 2.1Inverter(MBUS-15)45734,638888888945734,638888888945734,65625</v>
      </c>
      <c r="Q879" s="1" t="str">
        <f t="shared" si="33"/>
        <v>DAURDE</v>
      </c>
    </row>
    <row r="880" spans="2:17">
      <c r="B880" s="1" t="s">
        <v>311</v>
      </c>
      <c r="C880" s="1" t="s">
        <v>263</v>
      </c>
      <c r="D880" s="52">
        <v>45734.638888888891</v>
      </c>
      <c r="E880" s="52">
        <v>45734.638888888891</v>
      </c>
      <c r="F880" s="52">
        <v>45734.65625</v>
      </c>
      <c r="G880" s="53">
        <f>F880-E880</f>
        <v>1.7361111109494232E-2</v>
      </c>
      <c r="H880" s="1" t="s">
        <v>257</v>
      </c>
      <c r="J880" s="1" t="s">
        <v>258</v>
      </c>
      <c r="K880" s="1" t="str">
        <f>_xlfn.XLOOKUP(J880,REF!$D$2:$D$12,REF!$E$2:$E$12)</f>
        <v>Rede</v>
      </c>
      <c r="L880" s="1" t="s">
        <v>526</v>
      </c>
      <c r="M880" s="1" t="s">
        <v>260</v>
      </c>
      <c r="N880" s="1" t="s">
        <v>261</v>
      </c>
      <c r="O880" s="72" t="s">
        <v>297</v>
      </c>
      <c r="P880" s="1" t="str">
        <f t="shared" si="32"/>
        <v>ARAGUATINS 2.1Inverter(MBUS-14)45734,638888888945734,638888888945734,65625</v>
      </c>
      <c r="Q880" s="1" t="str">
        <f t="shared" si="33"/>
        <v>DAURDE</v>
      </c>
    </row>
    <row r="881" spans="2:17">
      <c r="B881" s="1" t="s">
        <v>311</v>
      </c>
      <c r="C881" s="1" t="s">
        <v>247</v>
      </c>
      <c r="D881" s="52">
        <v>45734.638888888891</v>
      </c>
      <c r="E881" s="52">
        <v>45734.638888888891</v>
      </c>
      <c r="F881" s="52">
        <v>45734.65625</v>
      </c>
      <c r="G881" s="53">
        <f>F881-E881</f>
        <v>1.7361111109494232E-2</v>
      </c>
      <c r="H881" s="1" t="s">
        <v>257</v>
      </c>
      <c r="J881" s="1" t="s">
        <v>258</v>
      </c>
      <c r="K881" s="1" t="str">
        <f>_xlfn.XLOOKUP(J881,REF!$D$2:$D$12,REF!$E$2:$E$12)</f>
        <v>Rede</v>
      </c>
      <c r="L881" s="1" t="s">
        <v>526</v>
      </c>
      <c r="M881" s="1" t="s">
        <v>260</v>
      </c>
      <c r="N881" s="1" t="s">
        <v>261</v>
      </c>
      <c r="O881" s="72" t="s">
        <v>297</v>
      </c>
      <c r="P881" s="1" t="str">
        <f t="shared" si="32"/>
        <v>ARAGUATINS 2.1Inverter(MBUS-1)45734,638888888945734,638888888945734,65625</v>
      </c>
      <c r="Q881" s="1" t="str">
        <f t="shared" si="33"/>
        <v>DAURDE</v>
      </c>
    </row>
    <row r="882" spans="2:17">
      <c r="B882" s="1" t="s">
        <v>312</v>
      </c>
      <c r="C882" s="1" t="s">
        <v>307</v>
      </c>
      <c r="D882" s="52">
        <v>45734.638888888891</v>
      </c>
      <c r="E882" s="52">
        <v>45734.638888888891</v>
      </c>
      <c r="F882" s="52">
        <v>45734.65625</v>
      </c>
      <c r="G882" s="53">
        <f>F882-E882</f>
        <v>1.7361111109494232E-2</v>
      </c>
      <c r="H882" s="1" t="s">
        <v>257</v>
      </c>
      <c r="J882" s="1" t="s">
        <v>258</v>
      </c>
      <c r="K882" s="1" t="str">
        <f>_xlfn.XLOOKUP(J882,REF!$D$2:$D$12,REF!$E$2:$E$12)</f>
        <v>Rede</v>
      </c>
      <c r="L882" s="1" t="s">
        <v>526</v>
      </c>
      <c r="M882" s="1" t="s">
        <v>260</v>
      </c>
      <c r="N882" s="1" t="s">
        <v>261</v>
      </c>
      <c r="O882" s="72" t="s">
        <v>297</v>
      </c>
      <c r="P882" s="1" t="str">
        <f t="shared" si="32"/>
        <v>ARAGUATINS 2.2Inverter(MBUS-15)45734,638888888945734,638888888945734,65625</v>
      </c>
      <c r="Q882" s="1" t="str">
        <f t="shared" si="33"/>
        <v>DAURDE</v>
      </c>
    </row>
    <row r="883" spans="2:17">
      <c r="B883" s="1" t="s">
        <v>312</v>
      </c>
      <c r="C883" s="1" t="s">
        <v>264</v>
      </c>
      <c r="D883" s="52">
        <v>45734.638888888891</v>
      </c>
      <c r="E883" s="52">
        <v>45734.638888888891</v>
      </c>
      <c r="F883" s="52">
        <v>45734.65625</v>
      </c>
      <c r="G883" s="53">
        <f>F883-E883</f>
        <v>1.7361111109494232E-2</v>
      </c>
      <c r="H883" s="1" t="s">
        <v>257</v>
      </c>
      <c r="J883" s="1" t="s">
        <v>258</v>
      </c>
      <c r="K883" s="1" t="str">
        <f>_xlfn.XLOOKUP(J883,REF!$D$2:$D$12,REF!$E$2:$E$12)</f>
        <v>Rede</v>
      </c>
      <c r="L883" s="1" t="s">
        <v>526</v>
      </c>
      <c r="M883" s="1" t="s">
        <v>260</v>
      </c>
      <c r="N883" s="1" t="s">
        <v>261</v>
      </c>
      <c r="O883" s="72" t="s">
        <v>297</v>
      </c>
      <c r="P883" s="1" t="str">
        <f t="shared" ref="P883:P884" si="34">_xlfn.CONCAT(B883,C883,D883,E883,F883)</f>
        <v>ARAGUATINS 2.2Inverter(MBUS-13)45734,638888888945734,638888888945734,65625</v>
      </c>
      <c r="Q883" s="1" t="str">
        <f t="shared" si="33"/>
        <v>DAURDE</v>
      </c>
    </row>
    <row r="884" spans="2:17">
      <c r="B884" s="1" t="s">
        <v>312</v>
      </c>
      <c r="C884" s="1" t="s">
        <v>263</v>
      </c>
      <c r="D884" s="52">
        <v>45734.638888888891</v>
      </c>
      <c r="E884" s="52">
        <v>45734.638888888891</v>
      </c>
      <c r="F884" s="52">
        <v>45734.65625</v>
      </c>
      <c r="G884" s="53">
        <f>F884-E884</f>
        <v>1.7361111109494232E-2</v>
      </c>
      <c r="H884" s="1" t="s">
        <v>257</v>
      </c>
      <c r="J884" s="1" t="s">
        <v>258</v>
      </c>
      <c r="K884" s="1" t="str">
        <f>_xlfn.XLOOKUP(J884,REF!$D$2:$D$12,REF!$E$2:$E$12)</f>
        <v>Rede</v>
      </c>
      <c r="L884" s="1" t="s">
        <v>526</v>
      </c>
      <c r="M884" s="1" t="s">
        <v>260</v>
      </c>
      <c r="N884" s="1" t="s">
        <v>261</v>
      </c>
      <c r="O884" s="72" t="s">
        <v>297</v>
      </c>
      <c r="P884" s="1" t="str">
        <f t="shared" si="34"/>
        <v>ARAGUATINS 2.2Inverter(MBUS-14)45734,638888888945734,638888888945734,65625</v>
      </c>
      <c r="Q884" s="1" t="str">
        <f t="shared" si="33"/>
        <v>DAURDE</v>
      </c>
    </row>
    <row r="885" spans="2:17">
      <c r="B885" s="1" t="s">
        <v>312</v>
      </c>
      <c r="C885" s="1" t="s">
        <v>256</v>
      </c>
      <c r="D885" s="52">
        <v>45734.638888888891</v>
      </c>
      <c r="E885" s="52">
        <v>45734.638888888891</v>
      </c>
      <c r="F885" s="52">
        <v>45734.65625</v>
      </c>
      <c r="G885" s="53">
        <f>F885-E885</f>
        <v>1.7361111109494232E-2</v>
      </c>
      <c r="H885" s="1" t="s">
        <v>257</v>
      </c>
      <c r="J885" s="1" t="s">
        <v>258</v>
      </c>
      <c r="K885" s="1" t="str">
        <f>_xlfn.XLOOKUP(J885,REF!$D$2:$D$12,REF!$E$2:$E$12)</f>
        <v>Rede</v>
      </c>
      <c r="L885" s="1" t="s">
        <v>526</v>
      </c>
      <c r="M885" s="1" t="s">
        <v>260</v>
      </c>
      <c r="N885" s="1" t="s">
        <v>261</v>
      </c>
      <c r="O885" s="72" t="s">
        <v>297</v>
      </c>
      <c r="P885" s="1" t="str">
        <f>_xlfn.CONCAT(B885,C885,D885,E885,F885)</f>
        <v>ARAGUATINS 2.2Inverter(MBUS-12)45734,638888888945734,638888888945734,65625</v>
      </c>
      <c r="Q885" s="1" t="str">
        <f t="shared" si="33"/>
        <v>DAURDE</v>
      </c>
    </row>
    <row r="886" spans="2:17">
      <c r="B886" s="1" t="s">
        <v>313</v>
      </c>
      <c r="C886" s="1" t="s">
        <v>256</v>
      </c>
      <c r="D886" s="52">
        <v>45734.638888888891</v>
      </c>
      <c r="E886" s="52">
        <v>45734.638888888891</v>
      </c>
      <c r="F886" s="52">
        <v>45734.65625</v>
      </c>
      <c r="G886" s="53">
        <f>F886-E886</f>
        <v>1.7361111109494232E-2</v>
      </c>
      <c r="H886" s="1" t="s">
        <v>257</v>
      </c>
      <c r="J886" s="1" t="s">
        <v>258</v>
      </c>
      <c r="K886" s="1" t="str">
        <f>_xlfn.XLOOKUP(J886,REF!$D$2:$D$12,REF!$E$2:$E$12)</f>
        <v>Rede</v>
      </c>
      <c r="L886" s="1" t="s">
        <v>526</v>
      </c>
      <c r="M886" s="1" t="s">
        <v>260</v>
      </c>
      <c r="N886" s="1" t="s">
        <v>261</v>
      </c>
      <c r="O886" s="72" t="s">
        <v>297</v>
      </c>
      <c r="P886" s="1" t="str">
        <f>_xlfn.CONCAT(B886,C886,D886,E886,F886)</f>
        <v>ARAGUATINS 2.3Inverter(MBUS-12)45734,638888888945734,638888888945734,65625</v>
      </c>
      <c r="Q886" s="1" t="str">
        <f t="shared" si="33"/>
        <v>DAURDE</v>
      </c>
    </row>
    <row r="887" spans="2:17">
      <c r="B887" s="1" t="s">
        <v>313</v>
      </c>
      <c r="C887" s="1" t="s">
        <v>264</v>
      </c>
      <c r="D887" s="52">
        <v>45734.638888888891</v>
      </c>
      <c r="E887" s="52">
        <v>45734.638888888891</v>
      </c>
      <c r="F887" s="52">
        <v>45734.65625</v>
      </c>
      <c r="G887" s="53">
        <f>F887-E887</f>
        <v>1.7361111109494232E-2</v>
      </c>
      <c r="H887" s="1" t="s">
        <v>257</v>
      </c>
      <c r="J887" s="1" t="s">
        <v>258</v>
      </c>
      <c r="K887" s="1" t="str">
        <f>_xlfn.XLOOKUP(J887,REF!$D$2:$D$12,REF!$E$2:$E$12)</f>
        <v>Rede</v>
      </c>
      <c r="L887" s="1" t="s">
        <v>526</v>
      </c>
      <c r="M887" s="1" t="s">
        <v>260</v>
      </c>
      <c r="N887" s="1" t="s">
        <v>261</v>
      </c>
      <c r="O887" s="72" t="s">
        <v>297</v>
      </c>
      <c r="P887" s="1" t="str">
        <f>_xlfn.CONCAT(B887,C887,D887,E887,F887)</f>
        <v>ARAGUATINS 2.3Inverter(MBUS-13)45734,638888888945734,638888888945734,65625</v>
      </c>
      <c r="Q887" s="1" t="str">
        <f t="shared" si="33"/>
        <v>DAURDE</v>
      </c>
    </row>
    <row r="888" spans="2:17">
      <c r="B888" s="1" t="s">
        <v>331</v>
      </c>
      <c r="C888" s="1" t="s">
        <v>332</v>
      </c>
      <c r="D888" s="52">
        <v>46099.944444444445</v>
      </c>
      <c r="E888" s="52">
        <v>46099.944444444445</v>
      </c>
      <c r="G888" s="53">
        <f>F888-E888</f>
        <v>-46099.944444444445</v>
      </c>
      <c r="K888" s="1" t="e">
        <f>_xlfn.XLOOKUP(J888,REF!$D$2:$D$12,REF!$E$2:$E$12)</f>
        <v>#N/A</v>
      </c>
      <c r="P888" s="1" t="str">
        <f>_xlfn.CONCAT(B888,C888,D888,E888,F888)</f>
        <v>BC Varjao2.1215KTL-H0(MBUS-12)46099,944444444446099,9444444444</v>
      </c>
      <c r="Q888" s="1" t="str">
        <f>_xlfn.CONCAT(H888,I888,J888)</f>
        <v/>
      </c>
    </row>
    <row r="889" spans="2:17">
      <c r="B889" s="1" t="s">
        <v>331</v>
      </c>
      <c r="C889" s="1" t="s">
        <v>335</v>
      </c>
      <c r="D889" s="52">
        <v>46099.944444444445</v>
      </c>
      <c r="E889" s="52">
        <v>46099.944444444445</v>
      </c>
      <c r="G889" s="53">
        <f>F889-E889</f>
        <v>-46099.944444444445</v>
      </c>
      <c r="K889" s="1" t="e">
        <f>_xlfn.XLOOKUP(J889,REF!$D$2:$D$12,REF!$E$2:$E$12)</f>
        <v>#N/A</v>
      </c>
      <c r="P889" s="1" t="str">
        <f>_xlfn.CONCAT(B889,C889,D889,E889,F889)</f>
        <v>BC Varjao2.1215KTL-H0(MBUS-13)46099,944444444446099,9444444444</v>
      </c>
      <c r="Q889" s="1" t="str">
        <f t="shared" si="33"/>
        <v/>
      </c>
    </row>
    <row r="890" spans="2:17">
      <c r="B890" s="1" t="s">
        <v>331</v>
      </c>
      <c r="C890" s="1" t="s">
        <v>336</v>
      </c>
      <c r="D890" s="52">
        <v>46099.944444444445</v>
      </c>
      <c r="E890" s="52">
        <v>46099.944444444445</v>
      </c>
      <c r="G890" s="53">
        <f>F890-E890</f>
        <v>-46099.944444444445</v>
      </c>
      <c r="K890" s="1" t="e">
        <f>_xlfn.XLOOKUP(J890,REF!$D$2:$D$12,REF!$E$2:$E$12)</f>
        <v>#N/A</v>
      </c>
      <c r="P890" s="1" t="str">
        <f>_xlfn.CONCAT(B890,C890,D890,E890,F890)</f>
        <v>BC Varjao2.1215KTL-H0(MBUS-14)46099,944444444446099,9444444444</v>
      </c>
      <c r="Q890" s="1" t="str">
        <f t="shared" si="33"/>
        <v/>
      </c>
    </row>
    <row r="891" spans="2:17">
      <c r="B891" s="1" t="s">
        <v>331</v>
      </c>
      <c r="C891" s="1" t="s">
        <v>337</v>
      </c>
      <c r="D891" s="52">
        <v>46099.944444444445</v>
      </c>
      <c r="E891" s="52">
        <v>46099.944444444445</v>
      </c>
      <c r="G891" s="53">
        <f>F891-E891</f>
        <v>-46099.944444444445</v>
      </c>
      <c r="K891" s="1" t="e">
        <f>_xlfn.XLOOKUP(J891,REF!$D$2:$D$12,REF!$E$2:$E$12)</f>
        <v>#N/A</v>
      </c>
      <c r="P891" s="1" t="str">
        <f>_xlfn.CONCAT(B891,C891,D891,E891,F891)</f>
        <v>BC Varjao2.1215KTL-H0(MBUS-15)46099,944444444446099,9444444444</v>
      </c>
      <c r="Q891" s="1" t="str">
        <f t="shared" si="33"/>
        <v/>
      </c>
    </row>
    <row r="892" spans="2:17">
      <c r="B892" s="1" t="s">
        <v>331</v>
      </c>
      <c r="C892" s="1" t="s">
        <v>338</v>
      </c>
      <c r="D892" s="52">
        <v>46099.944444444445</v>
      </c>
      <c r="E892" s="52">
        <v>46099.944444444445</v>
      </c>
      <c r="G892" s="53">
        <f>F892-E892</f>
        <v>-46099.944444444445</v>
      </c>
      <c r="K892" s="1" t="e">
        <f>_xlfn.XLOOKUP(J892,REF!$D$2:$D$12,REF!$E$2:$E$12)</f>
        <v>#N/A</v>
      </c>
      <c r="P892" s="1" t="str">
        <f>_xlfn.CONCAT(B892,C892,D892,E892,F892)</f>
        <v>BC Varjao2.1215KTL-H0(MBUS-16)46099,944444444446099,9444444444</v>
      </c>
      <c r="Q892" s="1" t="str">
        <f t="shared" si="33"/>
        <v/>
      </c>
    </row>
    <row r="893" spans="2:17">
      <c r="B893" s="1" t="s">
        <v>340</v>
      </c>
      <c r="C893" s="1" t="s">
        <v>341</v>
      </c>
      <c r="D893" s="52">
        <v>46099.944444444445</v>
      </c>
      <c r="E893" s="52">
        <v>46099.944444444445</v>
      </c>
      <c r="G893" s="53">
        <f>F893-E893</f>
        <v>-46099.944444444445</v>
      </c>
      <c r="K893" s="1" t="e">
        <f>_xlfn.XLOOKUP(J893,REF!$D$2:$D$12,REF!$E$2:$E$12)</f>
        <v>#N/A</v>
      </c>
      <c r="P893" s="1" t="str">
        <f>_xlfn.CONCAT(B893,C893,D893,E893,F893)</f>
        <v>BC Varjao2.3100KTL-H1(MBUS-1)46099,944444444446099,9444444444</v>
      </c>
      <c r="Q893" s="1" t="str">
        <f t="shared" si="33"/>
        <v/>
      </c>
    </row>
    <row r="894" spans="2:17">
      <c r="B894" s="1" t="s">
        <v>340</v>
      </c>
      <c r="C894" s="1" t="s">
        <v>335</v>
      </c>
      <c r="D894" s="52">
        <v>46099.944444444445</v>
      </c>
      <c r="E894" s="52">
        <v>46099.944444444445</v>
      </c>
      <c r="G894" s="53">
        <f>F894-E894</f>
        <v>-46099.944444444445</v>
      </c>
      <c r="K894" s="1" t="e">
        <f>_xlfn.XLOOKUP(J894,REF!$D$2:$D$12,REF!$E$2:$E$12)</f>
        <v>#N/A</v>
      </c>
      <c r="P894" s="1" t="str">
        <f>_xlfn.CONCAT(B894,C894,D894,E894,F894)</f>
        <v>BC Varjao2.3215KTL-H0(MBUS-13)46099,944444444446099,9444444444</v>
      </c>
      <c r="Q894" s="1" t="str">
        <f t="shared" si="33"/>
        <v/>
      </c>
    </row>
    <row r="895" spans="2:17">
      <c r="B895" s="1" t="s">
        <v>340</v>
      </c>
      <c r="C895" s="1" t="s">
        <v>332</v>
      </c>
      <c r="D895" s="52">
        <v>46099.944444444445</v>
      </c>
      <c r="E895" s="52">
        <v>46099.944444444445</v>
      </c>
      <c r="G895" s="53">
        <f>F895-E895</f>
        <v>-46099.944444444445</v>
      </c>
      <c r="K895" s="1" t="e">
        <f>_xlfn.XLOOKUP(J895,REF!$D$2:$D$12,REF!$E$2:$E$12)</f>
        <v>#N/A</v>
      </c>
      <c r="P895" s="1" t="str">
        <f>_xlfn.CONCAT(B895,C895,D895,E895,F895)</f>
        <v>BC Varjao2.3215KTL-H0(MBUS-12)46099,944444444446099,9444444444</v>
      </c>
      <c r="Q895" s="1" t="str">
        <f t="shared" si="33"/>
        <v/>
      </c>
    </row>
    <row r="896" spans="2:17">
      <c r="B896" s="1" t="s">
        <v>286</v>
      </c>
      <c r="C896" s="1" t="s">
        <v>287</v>
      </c>
      <c r="D896" s="52">
        <v>46100.288194444445</v>
      </c>
      <c r="E896" s="52">
        <v>46100.288194444445</v>
      </c>
      <c r="F896" s="52">
        <v>46101.298611111109</v>
      </c>
      <c r="G896" s="53">
        <f>F896-E896</f>
        <v>1.0104166666642413</v>
      </c>
      <c r="H896" s="1" t="s">
        <v>268</v>
      </c>
      <c r="I896" s="1" t="s">
        <v>269</v>
      </c>
      <c r="J896" s="1" t="s">
        <v>319</v>
      </c>
      <c r="K896" s="1" t="str">
        <f>_xlfn.XLOOKUP(J896,REF!$D$2:$D$12,REF!$E$2:$E$12)</f>
        <v>Comunicação</v>
      </c>
      <c r="L896" s="1" t="s">
        <v>517</v>
      </c>
      <c r="M896" s="1" t="s">
        <v>289</v>
      </c>
      <c r="N896" s="1" t="s">
        <v>290</v>
      </c>
      <c r="O896" s="1" t="s">
        <v>291</v>
      </c>
      <c r="P896" s="1" t="str">
        <f>_xlfn.CONCAT(B896,C896,D896,E896,F896)</f>
        <v>BC Corumba2.2U02.I0146100,288194444446100,288194444446101,2986111111</v>
      </c>
      <c r="Q896" s="1" t="str">
        <f t="shared" si="33"/>
        <v>LIGRFOCOM</v>
      </c>
    </row>
    <row r="897" spans="2:17">
      <c r="B897" s="1" t="s">
        <v>286</v>
      </c>
      <c r="C897" s="1" t="s">
        <v>292</v>
      </c>
      <c r="D897" s="52">
        <v>46100.288194444445</v>
      </c>
      <c r="E897" s="52">
        <v>46100.288194444445</v>
      </c>
      <c r="F897" s="52">
        <v>46101.298611111109</v>
      </c>
      <c r="G897" s="53">
        <f>F897-E897</f>
        <v>1.0104166666642413</v>
      </c>
      <c r="H897" s="1" t="s">
        <v>268</v>
      </c>
      <c r="I897" s="1" t="s">
        <v>269</v>
      </c>
      <c r="J897" s="1" t="s">
        <v>319</v>
      </c>
      <c r="K897" s="1" t="str">
        <f>_xlfn.XLOOKUP(J897,REF!$D$2:$D$12,REF!$E$2:$E$12)</f>
        <v>Comunicação</v>
      </c>
      <c r="L897" s="1" t="s">
        <v>517</v>
      </c>
      <c r="M897" s="1" t="s">
        <v>289</v>
      </c>
      <c r="N897" s="1" t="s">
        <v>290</v>
      </c>
      <c r="O897" s="1" t="s">
        <v>291</v>
      </c>
      <c r="P897" s="1" t="str">
        <f>_xlfn.CONCAT(B897,C897,D897,E897,F897)</f>
        <v>BC Corumba2.2U02.I0246100,288194444446100,288194444446101,2986111111</v>
      </c>
      <c r="Q897" s="1" t="str">
        <f t="shared" si="33"/>
        <v>LIGRFOCOM</v>
      </c>
    </row>
    <row r="898" spans="2:17">
      <c r="B898" s="1" t="s">
        <v>286</v>
      </c>
      <c r="C898" s="1" t="s">
        <v>293</v>
      </c>
      <c r="D898" s="52">
        <v>46100.288194444445</v>
      </c>
      <c r="E898" s="52">
        <v>46100.288194444445</v>
      </c>
      <c r="F898" s="52">
        <v>46101.298611111109</v>
      </c>
      <c r="G898" s="53">
        <f>F898-E898</f>
        <v>1.0104166666642413</v>
      </c>
      <c r="H898" s="1" t="s">
        <v>268</v>
      </c>
      <c r="I898" s="1" t="s">
        <v>269</v>
      </c>
      <c r="J898" s="1" t="s">
        <v>319</v>
      </c>
      <c r="K898" s="1" t="str">
        <f>_xlfn.XLOOKUP(J898,REF!$D$2:$D$12,REF!$E$2:$E$12)</f>
        <v>Comunicação</v>
      </c>
      <c r="L898" s="1" t="s">
        <v>517</v>
      </c>
      <c r="M898" s="1" t="s">
        <v>289</v>
      </c>
      <c r="N898" s="1" t="s">
        <v>290</v>
      </c>
      <c r="O898" s="1" t="s">
        <v>291</v>
      </c>
      <c r="P898" s="1" t="str">
        <f>_xlfn.CONCAT(B898,C898,D898,E898,F898)</f>
        <v>BC Corumba2.2U02.I0346100,288194444446100,288194444446101,2986111111</v>
      </c>
      <c r="Q898" s="1" t="str">
        <f t="shared" si="33"/>
        <v>LIGRFOCOM</v>
      </c>
    </row>
    <row r="899" spans="2:17">
      <c r="B899" s="1" t="s">
        <v>286</v>
      </c>
      <c r="C899" s="1" t="s">
        <v>294</v>
      </c>
      <c r="D899" s="52">
        <v>46100.288194444445</v>
      </c>
      <c r="E899" s="52">
        <v>46100.288194444445</v>
      </c>
      <c r="F899" s="52">
        <v>46101.298611111109</v>
      </c>
      <c r="G899" s="53">
        <f>F899-E899</f>
        <v>1.0104166666642413</v>
      </c>
      <c r="H899" s="1" t="s">
        <v>268</v>
      </c>
      <c r="I899" s="1" t="s">
        <v>269</v>
      </c>
      <c r="J899" s="1" t="s">
        <v>319</v>
      </c>
      <c r="K899" s="1" t="str">
        <f>_xlfn.XLOOKUP(J899,REF!$D$2:$D$12,REF!$E$2:$E$12)</f>
        <v>Comunicação</v>
      </c>
      <c r="L899" s="1" t="s">
        <v>517</v>
      </c>
      <c r="M899" s="1" t="s">
        <v>289</v>
      </c>
      <c r="N899" s="1" t="s">
        <v>290</v>
      </c>
      <c r="O899" s="1" t="s">
        <v>291</v>
      </c>
      <c r="P899" s="1" t="str">
        <f>_xlfn.CONCAT(B899,C899,D899,E899,F899)</f>
        <v>BC Corumba2.2U02.I0446100,288194444446100,288194444446101,2986111111</v>
      </c>
      <c r="Q899" s="1" t="str">
        <f t="shared" si="33"/>
        <v>LIGRFOCOM</v>
      </c>
    </row>
    <row r="900" spans="2:17">
      <c r="B900" s="1" t="s">
        <v>286</v>
      </c>
      <c r="C900" s="1" t="s">
        <v>295</v>
      </c>
      <c r="D900" s="52">
        <v>46100.288194444445</v>
      </c>
      <c r="E900" s="52">
        <v>46100.288194444445</v>
      </c>
      <c r="F900" s="52">
        <v>46101.298611111109</v>
      </c>
      <c r="G900" s="53">
        <f>F900-E900</f>
        <v>1.0104166666642413</v>
      </c>
      <c r="H900" s="1" t="s">
        <v>268</v>
      </c>
      <c r="I900" s="1" t="s">
        <v>269</v>
      </c>
      <c r="J900" s="1" t="s">
        <v>319</v>
      </c>
      <c r="K900" s="1" t="str">
        <f>_xlfn.XLOOKUP(J900,REF!$D$2:$D$12,REF!$E$2:$E$12)</f>
        <v>Comunicação</v>
      </c>
      <c r="L900" s="1" t="s">
        <v>517</v>
      </c>
      <c r="M900" s="1" t="s">
        <v>289</v>
      </c>
      <c r="N900" s="1" t="s">
        <v>290</v>
      </c>
      <c r="O900" s="1" t="s">
        <v>291</v>
      </c>
      <c r="P900" s="1" t="str">
        <f>_xlfn.CONCAT(B900,C900,D900,E900,F900)</f>
        <v>BC Corumba2.2U02.I0546100,288194444446100,288194444446101,2986111111</v>
      </c>
      <c r="Q900" s="1" t="str">
        <f t="shared" si="33"/>
        <v>LIGRFOCOM</v>
      </c>
    </row>
    <row r="901" spans="2:17">
      <c r="B901" s="1" t="s">
        <v>305</v>
      </c>
      <c r="C901" s="1" t="s">
        <v>256</v>
      </c>
      <c r="D901" s="52">
        <v>46100.527777777781</v>
      </c>
      <c r="E901" s="52">
        <v>46100.527777777781</v>
      </c>
      <c r="F901" s="52">
        <v>46100.635416666664</v>
      </c>
      <c r="G901" s="53">
        <f>F901-E901</f>
        <v>0.10763888888322981</v>
      </c>
      <c r="H901" s="1" t="s">
        <v>257</v>
      </c>
      <c r="J901" s="1" t="s">
        <v>258</v>
      </c>
      <c r="K901" s="1" t="str">
        <f>_xlfn.XLOOKUP(J901,REF!$D$2:$D$12,REF!$E$2:$E$12)</f>
        <v>Rede</v>
      </c>
      <c r="L901" s="1" t="s">
        <v>492</v>
      </c>
      <c r="M901" s="1" t="s">
        <v>260</v>
      </c>
      <c r="N901" s="1" t="s">
        <v>261</v>
      </c>
      <c r="O901" s="72" t="s">
        <v>297</v>
      </c>
      <c r="P901" s="1" t="str">
        <f>_xlfn.CONCAT(B901,C901,D901,E901,F901)</f>
        <v>ARAGUATINS 1.1Inverter(MBUS-12)46100,527777777846100,527777777846100,6354166667</v>
      </c>
      <c r="Q901" s="1" t="str">
        <f t="shared" si="33"/>
        <v>DAURDE</v>
      </c>
    </row>
    <row r="902" spans="2:17">
      <c r="B902" s="1" t="s">
        <v>305</v>
      </c>
      <c r="C902" s="1" t="s">
        <v>264</v>
      </c>
      <c r="D902" s="52">
        <v>46100.527777777781</v>
      </c>
      <c r="E902" s="52">
        <v>46100.527777777781</v>
      </c>
      <c r="F902" s="52">
        <v>46100.635416666664</v>
      </c>
      <c r="G902" s="53">
        <f>F902-E902</f>
        <v>0.10763888888322981</v>
      </c>
      <c r="H902" s="1" t="s">
        <v>257</v>
      </c>
      <c r="J902" s="1" t="s">
        <v>258</v>
      </c>
      <c r="K902" s="1" t="str">
        <f>_xlfn.XLOOKUP(J902,REF!$D$2:$D$12,REF!$E$2:$E$12)</f>
        <v>Rede</v>
      </c>
      <c r="L902" s="1" t="s">
        <v>492</v>
      </c>
      <c r="M902" s="1" t="s">
        <v>260</v>
      </c>
      <c r="N902" s="1" t="s">
        <v>261</v>
      </c>
      <c r="O902" s="72" t="s">
        <v>297</v>
      </c>
      <c r="P902" s="1" t="str">
        <f>_xlfn.CONCAT(B902,C902,D902,E902,F902)</f>
        <v>ARAGUATINS 1.1Inverter(MBUS-13)46100,527777777846100,527777777846100,6354166667</v>
      </c>
      <c r="Q902" s="1" t="str">
        <f>_xlfn.CONCAT(H902,I902,J902)</f>
        <v>DAURDE</v>
      </c>
    </row>
    <row r="903" spans="2:17">
      <c r="B903" s="1" t="s">
        <v>305</v>
      </c>
      <c r="C903" s="1" t="s">
        <v>263</v>
      </c>
      <c r="D903" s="52">
        <v>46100.527777777781</v>
      </c>
      <c r="E903" s="52">
        <v>46100.527777777781</v>
      </c>
      <c r="F903" s="52">
        <v>46100.635416666664</v>
      </c>
      <c r="G903" s="53">
        <f>F903-E903</f>
        <v>0.10763888888322981</v>
      </c>
      <c r="H903" s="1" t="s">
        <v>257</v>
      </c>
      <c r="J903" s="1" t="s">
        <v>258</v>
      </c>
      <c r="K903" s="1" t="str">
        <f>_xlfn.XLOOKUP(J903,REF!$D$2:$D$12,REF!$E$2:$E$12)</f>
        <v>Rede</v>
      </c>
      <c r="L903" s="1" t="s">
        <v>492</v>
      </c>
      <c r="M903" s="1" t="s">
        <v>260</v>
      </c>
      <c r="N903" s="1" t="s">
        <v>261</v>
      </c>
      <c r="O903" s="72" t="s">
        <v>297</v>
      </c>
      <c r="P903" s="1" t="str">
        <f>_xlfn.CONCAT(B903,C903,D903,E903,F903)</f>
        <v>ARAGUATINS 1.1Inverter(MBUS-14)46100,527777777846100,527777777846100,6354166667</v>
      </c>
      <c r="Q903" s="1" t="str">
        <f>_xlfn.CONCAT(H903,I903,J903)</f>
        <v>DAURDE</v>
      </c>
    </row>
    <row r="904" spans="2:17">
      <c r="B904" s="1" t="s">
        <v>305</v>
      </c>
      <c r="C904" s="1" t="s">
        <v>307</v>
      </c>
      <c r="D904" s="52">
        <v>46100.527777777781</v>
      </c>
      <c r="E904" s="52">
        <v>46100.527777777781</v>
      </c>
      <c r="F904" s="52">
        <v>46100.635416666664</v>
      </c>
      <c r="G904" s="53">
        <f>F904-E904</f>
        <v>0.10763888888322981</v>
      </c>
      <c r="H904" s="1" t="s">
        <v>257</v>
      </c>
      <c r="J904" s="1" t="s">
        <v>258</v>
      </c>
      <c r="K904" s="1" t="str">
        <f>_xlfn.XLOOKUP(J904,REF!$D$2:$D$12,REF!$E$2:$E$12)</f>
        <v>Rede</v>
      </c>
      <c r="L904" s="1" t="s">
        <v>492</v>
      </c>
      <c r="M904" s="1" t="s">
        <v>260</v>
      </c>
      <c r="N904" s="1" t="s">
        <v>261</v>
      </c>
      <c r="O904" s="72" t="s">
        <v>297</v>
      </c>
      <c r="P904" s="1" t="str">
        <f>_xlfn.CONCAT(B904,C904,D904,E904,F904)</f>
        <v>ARAGUATINS 1.1Inverter(MBUS-15)46100,527777777846100,527777777846100,6354166667</v>
      </c>
      <c r="Q904" s="1" t="str">
        <f>_xlfn.CONCAT(H904,I904,J904)</f>
        <v>DAURDE</v>
      </c>
    </row>
    <row r="905" spans="2:17">
      <c r="B905" s="1" t="s">
        <v>308</v>
      </c>
      <c r="C905" s="1" t="s">
        <v>256</v>
      </c>
      <c r="D905" s="52">
        <v>46100.527777777781</v>
      </c>
      <c r="E905" s="52">
        <v>46100.527777777781</v>
      </c>
      <c r="F905" s="52">
        <v>46100.635416666664</v>
      </c>
      <c r="G905" s="53">
        <f>F905-E905</f>
        <v>0.10763888888322981</v>
      </c>
      <c r="H905" s="1" t="s">
        <v>257</v>
      </c>
      <c r="J905" s="1" t="s">
        <v>258</v>
      </c>
      <c r="K905" s="1" t="str">
        <f>_xlfn.XLOOKUP(J905,REF!$D$2:$D$12,REF!$E$2:$E$12)</f>
        <v>Rede</v>
      </c>
      <c r="L905" s="1" t="s">
        <v>492</v>
      </c>
      <c r="M905" s="1" t="s">
        <v>260</v>
      </c>
      <c r="N905" s="1" t="s">
        <v>261</v>
      </c>
      <c r="O905" s="72" t="s">
        <v>297</v>
      </c>
      <c r="P905" s="1" t="str">
        <f>_xlfn.CONCAT(B905,C905,D905,E905,F905)</f>
        <v>ARAGUATINS 1.2Inverter(MBUS-12)46100,527777777846100,527777777846100,6354166667</v>
      </c>
      <c r="Q905" s="1" t="str">
        <f>_xlfn.CONCAT(H905,I905,J905)</f>
        <v>DAURDE</v>
      </c>
    </row>
    <row r="906" spans="2:17">
      <c r="B906" s="1" t="s">
        <v>308</v>
      </c>
      <c r="C906" s="1" t="s">
        <v>264</v>
      </c>
      <c r="D906" s="52">
        <v>46100.527777777781</v>
      </c>
      <c r="E906" s="52">
        <v>46100.527777777781</v>
      </c>
      <c r="F906" s="52">
        <v>46100.635416666664</v>
      </c>
      <c r="G906" s="53">
        <f>F906-E906</f>
        <v>0.10763888888322981</v>
      </c>
      <c r="H906" s="1" t="s">
        <v>257</v>
      </c>
      <c r="J906" s="1" t="s">
        <v>258</v>
      </c>
      <c r="K906" s="1" t="str">
        <f>_xlfn.XLOOKUP(J906,REF!$D$2:$D$12,REF!$E$2:$E$12)</f>
        <v>Rede</v>
      </c>
      <c r="L906" s="1" t="s">
        <v>492</v>
      </c>
      <c r="M906" s="1" t="s">
        <v>260</v>
      </c>
      <c r="N906" s="1" t="s">
        <v>261</v>
      </c>
      <c r="O906" s="72" t="s">
        <v>297</v>
      </c>
      <c r="P906" s="1" t="str">
        <f>_xlfn.CONCAT(B906,C906,D906,E906,F906)</f>
        <v>ARAGUATINS 1.2Inverter(MBUS-13)46100,527777777846100,527777777846100,6354166667</v>
      </c>
      <c r="Q906" s="1" t="str">
        <f>_xlfn.CONCAT(H906,I906,J906)</f>
        <v>DAURDE</v>
      </c>
    </row>
    <row r="907" spans="2:17">
      <c r="B907" s="1" t="s">
        <v>308</v>
      </c>
      <c r="C907" s="1" t="s">
        <v>263</v>
      </c>
      <c r="D907" s="52">
        <v>46100.527777777781</v>
      </c>
      <c r="E907" s="52">
        <v>46100.527777777781</v>
      </c>
      <c r="F907" s="52">
        <v>46100.635416666664</v>
      </c>
      <c r="G907" s="53">
        <f>F907-E907</f>
        <v>0.10763888888322981</v>
      </c>
      <c r="H907" s="1" t="s">
        <v>257</v>
      </c>
      <c r="J907" s="1" t="s">
        <v>258</v>
      </c>
      <c r="K907" s="1" t="str">
        <f>_xlfn.XLOOKUP(J907,REF!$D$2:$D$12,REF!$E$2:$E$12)</f>
        <v>Rede</v>
      </c>
      <c r="L907" s="1" t="s">
        <v>492</v>
      </c>
      <c r="M907" s="1" t="s">
        <v>260</v>
      </c>
      <c r="N907" s="1" t="s">
        <v>261</v>
      </c>
      <c r="O907" s="72" t="s">
        <v>297</v>
      </c>
      <c r="P907" s="1" t="str">
        <f>_xlfn.CONCAT(B907,C907,D907,E907,F907)</f>
        <v>ARAGUATINS 1.2Inverter(MBUS-14)46100,527777777846100,527777777846100,6354166667</v>
      </c>
      <c r="Q907" s="1" t="str">
        <f>_xlfn.CONCAT(H907,I907,J907)</f>
        <v>DAURDE</v>
      </c>
    </row>
    <row r="908" spans="2:17">
      <c r="B908" s="1" t="s">
        <v>308</v>
      </c>
      <c r="C908" s="1" t="s">
        <v>307</v>
      </c>
      <c r="D908" s="52">
        <v>46100.527777777781</v>
      </c>
      <c r="E908" s="52">
        <v>46100.527777777781</v>
      </c>
      <c r="F908" s="52">
        <v>46100.635416666664</v>
      </c>
      <c r="G908" s="53">
        <f>F908-E908</f>
        <v>0.10763888888322981</v>
      </c>
      <c r="H908" s="1" t="s">
        <v>257</v>
      </c>
      <c r="J908" s="1" t="s">
        <v>258</v>
      </c>
      <c r="K908" s="1" t="str">
        <f>_xlfn.XLOOKUP(J908,REF!$D$2:$D$12,REF!$E$2:$E$12)</f>
        <v>Rede</v>
      </c>
      <c r="L908" s="1" t="s">
        <v>492</v>
      </c>
      <c r="M908" s="1" t="s">
        <v>260</v>
      </c>
      <c r="N908" s="1" t="s">
        <v>261</v>
      </c>
      <c r="O908" s="72" t="s">
        <v>297</v>
      </c>
      <c r="P908" s="1" t="str">
        <f>_xlfn.CONCAT(B908,C908,D908,E908,F908)</f>
        <v>ARAGUATINS 1.2Inverter(MBUS-15)46100,527777777846100,527777777846100,6354166667</v>
      </c>
      <c r="Q908" s="1" t="str">
        <f>_xlfn.CONCAT(H908,I908,J908)</f>
        <v>DAURDE</v>
      </c>
    </row>
    <row r="909" spans="2:17">
      <c r="B909" s="1" t="s">
        <v>309</v>
      </c>
      <c r="C909" s="1" t="s">
        <v>310</v>
      </c>
      <c r="D909" s="52">
        <v>46100.527777777781</v>
      </c>
      <c r="E909" s="52">
        <v>46100.527777777781</v>
      </c>
      <c r="F909" s="52">
        <v>46100.635416666664</v>
      </c>
      <c r="G909" s="53">
        <f>F909-E909</f>
        <v>0.10763888888322981</v>
      </c>
      <c r="H909" s="1" t="s">
        <v>257</v>
      </c>
      <c r="J909" s="1" t="s">
        <v>258</v>
      </c>
      <c r="K909" s="1" t="str">
        <f>_xlfn.XLOOKUP(J909,REF!$D$2:$D$12,REF!$E$2:$E$12)</f>
        <v>Rede</v>
      </c>
      <c r="L909" s="1" t="s">
        <v>492</v>
      </c>
      <c r="M909" s="1" t="s">
        <v>260</v>
      </c>
      <c r="N909" s="1" t="s">
        <v>261</v>
      </c>
      <c r="O909" s="72" t="s">
        <v>297</v>
      </c>
      <c r="P909" s="1" t="str">
        <f>_xlfn.CONCAT(B909,C909,D909,E909,F909)</f>
        <v>ARAGUATINS 1.3Inverter(MBUS-20)46100,527777777846100,527777777846100,6354166667</v>
      </c>
      <c r="Q909" s="1" t="str">
        <f>_xlfn.CONCAT(H909,I909,J909)</f>
        <v>DAURDE</v>
      </c>
    </row>
    <row r="910" spans="2:17">
      <c r="B910" s="1" t="s">
        <v>309</v>
      </c>
      <c r="C910" s="1" t="s">
        <v>247</v>
      </c>
      <c r="D910" s="52">
        <v>46100.527777777781</v>
      </c>
      <c r="E910" s="52">
        <v>46100.527777777781</v>
      </c>
      <c r="F910" s="52">
        <v>46100.635416666664</v>
      </c>
      <c r="G910" s="53">
        <f>F910-E910</f>
        <v>0.10763888888322981</v>
      </c>
      <c r="H910" s="1" t="s">
        <v>257</v>
      </c>
      <c r="J910" s="1" t="s">
        <v>258</v>
      </c>
      <c r="K910" s="1" t="str">
        <f>_xlfn.XLOOKUP(J910,REF!$D$2:$D$12,REF!$E$2:$E$12)</f>
        <v>Rede</v>
      </c>
      <c r="L910" s="1" t="s">
        <v>492</v>
      </c>
      <c r="M910" s="1" t="s">
        <v>260</v>
      </c>
      <c r="N910" s="1" t="s">
        <v>261</v>
      </c>
      <c r="O910" s="72" t="s">
        <v>297</v>
      </c>
      <c r="P910" s="1" t="str">
        <f>_xlfn.CONCAT(B910,C910,D910,E910,F910)</f>
        <v>ARAGUATINS 1.3Inverter(MBUS-1)46100,527777777846100,527777777846100,6354166667</v>
      </c>
      <c r="Q910" s="1" t="str">
        <f>_xlfn.CONCAT(H910,I910,J910)</f>
        <v>DAURDE</v>
      </c>
    </row>
    <row r="911" spans="2:17">
      <c r="B911" s="1" t="s">
        <v>311</v>
      </c>
      <c r="C911" s="1" t="s">
        <v>256</v>
      </c>
      <c r="D911" s="52">
        <v>46100.527777777781</v>
      </c>
      <c r="E911" s="52">
        <v>46100.527777777781</v>
      </c>
      <c r="F911" s="52">
        <v>46100.635416666664</v>
      </c>
      <c r="G911" s="53">
        <f>F911-E911</f>
        <v>0.10763888888322981</v>
      </c>
      <c r="H911" s="1" t="s">
        <v>257</v>
      </c>
      <c r="J911" s="1" t="s">
        <v>258</v>
      </c>
      <c r="K911" s="1" t="str">
        <f>_xlfn.XLOOKUP(J911,REF!$D$2:$D$12,REF!$E$2:$E$12)</f>
        <v>Rede</v>
      </c>
      <c r="L911" s="1" t="s">
        <v>492</v>
      </c>
      <c r="M911" s="1" t="s">
        <v>260</v>
      </c>
      <c r="N911" s="1" t="s">
        <v>261</v>
      </c>
      <c r="O911" s="72" t="s">
        <v>297</v>
      </c>
      <c r="P911" s="1" t="str">
        <f>_xlfn.CONCAT(B911,C911,D911,E911,F911)</f>
        <v>ARAGUATINS 2.1Inverter(MBUS-12)46100,527777777846100,527777777846100,6354166667</v>
      </c>
      <c r="Q911" s="1" t="str">
        <f>_xlfn.CONCAT(H911,I911,J911)</f>
        <v>DAURDE</v>
      </c>
    </row>
    <row r="912" spans="2:17">
      <c r="B912" s="1" t="s">
        <v>311</v>
      </c>
      <c r="C912" s="1" t="s">
        <v>307</v>
      </c>
      <c r="D912" s="52">
        <v>46100.527777777781</v>
      </c>
      <c r="E912" s="52">
        <v>46100.527777777781</v>
      </c>
      <c r="F912" s="52">
        <v>46100.635416666664</v>
      </c>
      <c r="G912" s="53">
        <f>F912-E912</f>
        <v>0.10763888888322981</v>
      </c>
      <c r="H912" s="1" t="s">
        <v>257</v>
      </c>
      <c r="J912" s="1" t="s">
        <v>258</v>
      </c>
      <c r="K912" s="1" t="str">
        <f>_xlfn.XLOOKUP(J912,REF!$D$2:$D$12,REF!$E$2:$E$12)</f>
        <v>Rede</v>
      </c>
      <c r="L912" s="1" t="s">
        <v>492</v>
      </c>
      <c r="M912" s="1" t="s">
        <v>260</v>
      </c>
      <c r="N912" s="1" t="s">
        <v>261</v>
      </c>
      <c r="O912" s="72" t="s">
        <v>297</v>
      </c>
      <c r="P912" s="1" t="str">
        <f>_xlfn.CONCAT(B912,C912,D912,E912,F912)</f>
        <v>ARAGUATINS 2.1Inverter(MBUS-15)46100,527777777846100,527777777846100,6354166667</v>
      </c>
      <c r="Q912" s="1" t="str">
        <f>_xlfn.CONCAT(H912,I912,J912)</f>
        <v>DAURDE</v>
      </c>
    </row>
    <row r="913" spans="2:17">
      <c r="B913" s="1" t="s">
        <v>311</v>
      </c>
      <c r="C913" s="1" t="s">
        <v>263</v>
      </c>
      <c r="D913" s="52">
        <v>46100.527777777781</v>
      </c>
      <c r="E913" s="52">
        <v>46100.527777777781</v>
      </c>
      <c r="F913" s="52">
        <v>46100.635416666664</v>
      </c>
      <c r="G913" s="53">
        <f>F913-E913</f>
        <v>0.10763888888322981</v>
      </c>
      <c r="H913" s="1" t="s">
        <v>257</v>
      </c>
      <c r="J913" s="1" t="s">
        <v>258</v>
      </c>
      <c r="K913" s="1" t="str">
        <f>_xlfn.XLOOKUP(J913,REF!$D$2:$D$12,REF!$E$2:$E$12)</f>
        <v>Rede</v>
      </c>
      <c r="L913" s="1" t="s">
        <v>492</v>
      </c>
      <c r="M913" s="1" t="s">
        <v>260</v>
      </c>
      <c r="N913" s="1" t="s">
        <v>261</v>
      </c>
      <c r="O913" s="72" t="s">
        <v>297</v>
      </c>
      <c r="P913" s="1" t="str">
        <f>_xlfn.CONCAT(B913,C913,D913,E913,F913)</f>
        <v>ARAGUATINS 2.1Inverter(MBUS-14)46100,527777777846100,527777777846100,6354166667</v>
      </c>
      <c r="Q913" s="1" t="str">
        <f>_xlfn.CONCAT(H913,I913,J913)</f>
        <v>DAURDE</v>
      </c>
    </row>
    <row r="914" spans="2:17">
      <c r="B914" s="1" t="s">
        <v>311</v>
      </c>
      <c r="C914" s="1" t="s">
        <v>247</v>
      </c>
      <c r="D914" s="52">
        <v>46100.527777777781</v>
      </c>
      <c r="E914" s="52">
        <v>46100.527777777781</v>
      </c>
      <c r="F914" s="52">
        <v>46100.635416666664</v>
      </c>
      <c r="G914" s="53">
        <f>F914-E914</f>
        <v>0.10763888888322981</v>
      </c>
      <c r="H914" s="1" t="s">
        <v>257</v>
      </c>
      <c r="J914" s="1" t="s">
        <v>258</v>
      </c>
      <c r="K914" s="1" t="str">
        <f>_xlfn.XLOOKUP(J914,REF!$D$2:$D$12,REF!$E$2:$E$12)</f>
        <v>Rede</v>
      </c>
      <c r="L914" s="1" t="s">
        <v>492</v>
      </c>
      <c r="M914" s="1" t="s">
        <v>260</v>
      </c>
      <c r="N914" s="1" t="s">
        <v>261</v>
      </c>
      <c r="O914" s="72" t="s">
        <v>297</v>
      </c>
      <c r="P914" s="1" t="str">
        <f>_xlfn.CONCAT(B914,C914,D914,E914,F914)</f>
        <v>ARAGUATINS 2.1Inverter(MBUS-1)46100,527777777846100,527777777846100,6354166667</v>
      </c>
      <c r="Q914" s="1" t="str">
        <f>_xlfn.CONCAT(H914,I914,J914)</f>
        <v>DAURDE</v>
      </c>
    </row>
    <row r="915" spans="2:17">
      <c r="B915" s="1" t="s">
        <v>312</v>
      </c>
      <c r="C915" s="1" t="s">
        <v>307</v>
      </c>
      <c r="D915" s="52">
        <v>46100.527777777781</v>
      </c>
      <c r="E915" s="52">
        <v>46100.527777777781</v>
      </c>
      <c r="F915" s="52">
        <v>46100.635416666664</v>
      </c>
      <c r="G915" s="53">
        <f>F915-E915</f>
        <v>0.10763888888322981</v>
      </c>
      <c r="H915" s="1" t="s">
        <v>257</v>
      </c>
      <c r="J915" s="1" t="s">
        <v>258</v>
      </c>
      <c r="K915" s="1" t="str">
        <f>_xlfn.XLOOKUP(J915,REF!$D$2:$D$12,REF!$E$2:$E$12)</f>
        <v>Rede</v>
      </c>
      <c r="L915" s="1" t="s">
        <v>492</v>
      </c>
      <c r="M915" s="1" t="s">
        <v>260</v>
      </c>
      <c r="N915" s="1" t="s">
        <v>261</v>
      </c>
      <c r="O915" s="72" t="s">
        <v>297</v>
      </c>
      <c r="P915" s="1" t="str">
        <f>_xlfn.CONCAT(B915,C915,D915,E915,F915)</f>
        <v>ARAGUATINS 2.2Inverter(MBUS-15)46100,527777777846100,527777777846100,6354166667</v>
      </c>
      <c r="Q915" s="1" t="str">
        <f>_xlfn.CONCAT(H915,I915,J915)</f>
        <v>DAURDE</v>
      </c>
    </row>
    <row r="916" spans="2:17">
      <c r="B916" s="1" t="s">
        <v>312</v>
      </c>
      <c r="C916" s="1" t="s">
        <v>264</v>
      </c>
      <c r="D916" s="52">
        <v>46100.527777777781</v>
      </c>
      <c r="E916" s="52">
        <v>46100.527777777781</v>
      </c>
      <c r="F916" s="52">
        <v>46100.635416666664</v>
      </c>
      <c r="G916" s="53">
        <f>F916-E916</f>
        <v>0.10763888888322981</v>
      </c>
      <c r="H916" s="1" t="s">
        <v>257</v>
      </c>
      <c r="J916" s="1" t="s">
        <v>258</v>
      </c>
      <c r="K916" s="1" t="str">
        <f>_xlfn.XLOOKUP(J916,REF!$D$2:$D$12,REF!$E$2:$E$12)</f>
        <v>Rede</v>
      </c>
      <c r="L916" s="1" t="s">
        <v>492</v>
      </c>
      <c r="M916" s="1" t="s">
        <v>260</v>
      </c>
      <c r="N916" s="1" t="s">
        <v>261</v>
      </c>
      <c r="O916" s="72" t="s">
        <v>297</v>
      </c>
      <c r="P916" s="1" t="str">
        <f>_xlfn.CONCAT(B916,C916,D916,E916,F916)</f>
        <v>ARAGUATINS 2.2Inverter(MBUS-13)46100,527777777846100,527777777846100,6354166667</v>
      </c>
      <c r="Q916" s="1" t="str">
        <f t="shared" ref="Q916:Q964" si="35">_xlfn.CONCAT(H916,I916,J916)</f>
        <v>DAURDE</v>
      </c>
    </row>
    <row r="917" spans="2:17">
      <c r="B917" s="1" t="s">
        <v>312</v>
      </c>
      <c r="C917" s="1" t="s">
        <v>263</v>
      </c>
      <c r="D917" s="52">
        <v>46100.527777777781</v>
      </c>
      <c r="E917" s="52">
        <v>46100.527777777781</v>
      </c>
      <c r="F917" s="52">
        <v>46100.635416666664</v>
      </c>
      <c r="G917" s="53">
        <f>F917-E917</f>
        <v>0.10763888888322981</v>
      </c>
      <c r="H917" s="1" t="s">
        <v>257</v>
      </c>
      <c r="J917" s="1" t="s">
        <v>258</v>
      </c>
      <c r="K917" s="1" t="str">
        <f>_xlfn.XLOOKUP(J917,REF!$D$2:$D$12,REF!$E$2:$E$12)</f>
        <v>Rede</v>
      </c>
      <c r="L917" s="1" t="s">
        <v>492</v>
      </c>
      <c r="M917" s="1" t="s">
        <v>260</v>
      </c>
      <c r="N917" s="1" t="s">
        <v>261</v>
      </c>
      <c r="O917" s="72" t="s">
        <v>297</v>
      </c>
      <c r="P917" s="1" t="str">
        <f>_xlfn.CONCAT(B917,C917,D917,E917,F917)</f>
        <v>ARAGUATINS 2.2Inverter(MBUS-14)46100,527777777846100,527777777846100,6354166667</v>
      </c>
      <c r="Q917" s="1" t="str">
        <f t="shared" si="35"/>
        <v>DAURDE</v>
      </c>
    </row>
    <row r="918" spans="2:17">
      <c r="B918" s="1" t="s">
        <v>312</v>
      </c>
      <c r="C918" s="1" t="s">
        <v>256</v>
      </c>
      <c r="D918" s="52">
        <v>46100.527777777781</v>
      </c>
      <c r="E918" s="52">
        <v>46100.527777777781</v>
      </c>
      <c r="F918" s="52">
        <v>46100.635416666664</v>
      </c>
      <c r="G918" s="53">
        <f>F918-E918</f>
        <v>0.10763888888322981</v>
      </c>
      <c r="H918" s="1" t="s">
        <v>257</v>
      </c>
      <c r="J918" s="1" t="s">
        <v>258</v>
      </c>
      <c r="K918" s="1" t="str">
        <f>_xlfn.XLOOKUP(J918,REF!$D$2:$D$12,REF!$E$2:$E$12)</f>
        <v>Rede</v>
      </c>
      <c r="L918" s="1" t="s">
        <v>492</v>
      </c>
      <c r="M918" s="1" t="s">
        <v>260</v>
      </c>
      <c r="N918" s="1" t="s">
        <v>261</v>
      </c>
      <c r="O918" s="72" t="s">
        <v>297</v>
      </c>
      <c r="P918" s="1" t="str">
        <f>_xlfn.CONCAT(B918,C918,D918,E918,F918)</f>
        <v>ARAGUATINS 2.2Inverter(MBUS-12)46100,527777777846100,527777777846100,6354166667</v>
      </c>
      <c r="Q918" s="1" t="str">
        <f t="shared" si="35"/>
        <v>DAURDE</v>
      </c>
    </row>
    <row r="919" spans="2:17">
      <c r="B919" s="1" t="s">
        <v>313</v>
      </c>
      <c r="C919" s="1" t="s">
        <v>256</v>
      </c>
      <c r="D919" s="52">
        <v>46100.527777777781</v>
      </c>
      <c r="E919" s="52">
        <v>46100.527777777781</v>
      </c>
      <c r="F919" s="52">
        <v>46100.635416666664</v>
      </c>
      <c r="G919" s="53">
        <f>F919-E919</f>
        <v>0.10763888888322981</v>
      </c>
      <c r="H919" s="1" t="s">
        <v>257</v>
      </c>
      <c r="J919" s="1" t="s">
        <v>258</v>
      </c>
      <c r="K919" s="1" t="str">
        <f>_xlfn.XLOOKUP(J919,REF!$D$2:$D$12,REF!$E$2:$E$12)</f>
        <v>Rede</v>
      </c>
      <c r="L919" s="1" t="s">
        <v>492</v>
      </c>
      <c r="M919" s="1" t="s">
        <v>260</v>
      </c>
      <c r="N919" s="1" t="s">
        <v>261</v>
      </c>
      <c r="O919" s="72" t="s">
        <v>297</v>
      </c>
      <c r="P919" s="1" t="str">
        <f>_xlfn.CONCAT(B919,C919,D919,E919,F919)</f>
        <v>ARAGUATINS 2.3Inverter(MBUS-12)46100,527777777846100,527777777846100,6354166667</v>
      </c>
      <c r="Q919" s="1" t="str">
        <f t="shared" si="35"/>
        <v>DAURDE</v>
      </c>
    </row>
    <row r="920" spans="2:17">
      <c r="B920" s="1" t="s">
        <v>313</v>
      </c>
      <c r="C920" s="1" t="s">
        <v>264</v>
      </c>
      <c r="D920" s="52">
        <v>46100.527777777781</v>
      </c>
      <c r="E920" s="52">
        <v>46100.527777777781</v>
      </c>
      <c r="F920" s="52">
        <v>46100.635416666664</v>
      </c>
      <c r="G920" s="53">
        <f>F920-E920</f>
        <v>0.10763888888322981</v>
      </c>
      <c r="H920" s="1" t="s">
        <v>257</v>
      </c>
      <c r="J920" s="1" t="s">
        <v>258</v>
      </c>
      <c r="K920" s="1" t="str">
        <f>_xlfn.XLOOKUP(J920,REF!$D$2:$D$12,REF!$E$2:$E$12)</f>
        <v>Rede</v>
      </c>
      <c r="L920" s="1" t="s">
        <v>492</v>
      </c>
      <c r="M920" s="1" t="s">
        <v>260</v>
      </c>
      <c r="N920" s="1" t="s">
        <v>261</v>
      </c>
      <c r="O920" s="72" t="s">
        <v>297</v>
      </c>
      <c r="P920" s="1" t="str">
        <f>_xlfn.CONCAT(B920,C920,D920,E920,F920)</f>
        <v>ARAGUATINS 2.3Inverter(MBUS-13)46100,527777777846100,527777777846100,6354166667</v>
      </c>
      <c r="Q920" s="1" t="str">
        <f t="shared" si="35"/>
        <v>DAURDE</v>
      </c>
    </row>
    <row r="921" spans="2:17">
      <c r="B921" s="1" t="s">
        <v>299</v>
      </c>
      <c r="C921" s="1" t="s">
        <v>300</v>
      </c>
      <c r="D921" s="52">
        <v>46100.729166666664</v>
      </c>
      <c r="E921" s="52">
        <v>46100.729166666664</v>
      </c>
      <c r="G921" s="53">
        <f>F921-E921</f>
        <v>-46100.729166666664</v>
      </c>
      <c r="K921" s="1" t="e">
        <f>_xlfn.XLOOKUP(J921,REF!$D$2:$D$12,REF!$E$2:$E$12)</f>
        <v>#N/A</v>
      </c>
      <c r="P921" s="1" t="str">
        <f>_xlfn.CONCAT(B921,C921,D921,E921,F921)</f>
        <v>BC Panama1.1ITAPOAN 001 (COM1-001)_001_00146100,729166666746100,7291666667</v>
      </c>
      <c r="Q921" s="1" t="str">
        <f t="shared" si="35"/>
        <v/>
      </c>
    </row>
    <row r="922" spans="2:17">
      <c r="B922" s="1" t="s">
        <v>299</v>
      </c>
      <c r="C922" s="1" t="s">
        <v>303</v>
      </c>
      <c r="D922" s="52">
        <v>46100.729166666664</v>
      </c>
      <c r="E922" s="52">
        <v>46100.729166666664</v>
      </c>
      <c r="G922" s="53">
        <f>F922-E922</f>
        <v>-46100.729166666664</v>
      </c>
      <c r="K922" s="1" t="e">
        <f>_xlfn.XLOOKUP(J922,REF!$D$2:$D$12,REF!$E$2:$E$12)</f>
        <v>#N/A</v>
      </c>
      <c r="P922" s="1" t="str">
        <f>_xlfn.CONCAT(B922,C922,D922,E922,F922)</f>
        <v>BC Panama1.1CEREAL_00246100,729166666746100,7291666667</v>
      </c>
      <c r="Q922" s="1" t="str">
        <f t="shared" si="35"/>
        <v/>
      </c>
    </row>
    <row r="923" spans="2:17">
      <c r="B923" s="1" t="s">
        <v>299</v>
      </c>
      <c r="C923" s="1" t="s">
        <v>304</v>
      </c>
      <c r="D923" s="52">
        <v>46100.729166666664</v>
      </c>
      <c r="E923" s="52">
        <v>46100.729166666664</v>
      </c>
      <c r="G923" s="53">
        <f>F923-E923</f>
        <v>-46100.729166666664</v>
      </c>
      <c r="K923" s="1" t="e">
        <f>_xlfn.XLOOKUP(J923,REF!$D$2:$D$12,REF!$E$2:$E$12)</f>
        <v>#N/A</v>
      </c>
      <c r="P923" s="1" t="str">
        <f>_xlfn.CONCAT(B923,C923,D923,E923,F923)</f>
        <v>BC Panama1.1ITAPOAN_00346100,729166666746100,7291666667</v>
      </c>
      <c r="Q923" s="1" t="str">
        <f t="shared" si="35"/>
        <v/>
      </c>
    </row>
    <row r="924" spans="2:17">
      <c r="B924" s="1" t="s">
        <v>255</v>
      </c>
      <c r="C924" s="1" t="s">
        <v>256</v>
      </c>
      <c r="D924" s="52">
        <v>46101.111111111109</v>
      </c>
      <c r="E924" s="52">
        <v>46101.111111111109</v>
      </c>
      <c r="F924" s="52">
        <v>46101.307638888888</v>
      </c>
      <c r="G924" s="53">
        <f>F924-E924</f>
        <v>0.19652777777810115</v>
      </c>
      <c r="H924" s="1" t="s">
        <v>257</v>
      </c>
      <c r="J924" s="1" t="s">
        <v>258</v>
      </c>
      <c r="K924" s="1" t="str">
        <f>_xlfn.XLOOKUP(J924,REF!$D$2:$D$12,REF!$E$2:$E$12)</f>
        <v>Rede</v>
      </c>
      <c r="L924" s="1" t="s">
        <v>259</v>
      </c>
      <c r="M924" s="1" t="s">
        <v>260</v>
      </c>
      <c r="N924" s="1" t="s">
        <v>261</v>
      </c>
      <c r="O924" s="72" t="s">
        <v>297</v>
      </c>
      <c r="P924" s="1" t="str">
        <f>_xlfn.CONCAT(B924,C924,D924,E924,F924)</f>
        <v>BC Formoso2.1Inverter(MBUS-12)46101,111111111146101,111111111146101,3076388889</v>
      </c>
      <c r="Q924" s="1" t="str">
        <f t="shared" si="35"/>
        <v>DAURDE</v>
      </c>
    </row>
    <row r="925" spans="2:17">
      <c r="B925" s="1" t="s">
        <v>255</v>
      </c>
      <c r="C925" s="1" t="s">
        <v>263</v>
      </c>
      <c r="D925" s="52">
        <v>46101.111111111109</v>
      </c>
      <c r="E925" s="52">
        <v>46101.111111111109</v>
      </c>
      <c r="F925" s="52">
        <v>46101.307638888888</v>
      </c>
      <c r="G925" s="53">
        <f>F925-E925</f>
        <v>0.19652777777810115</v>
      </c>
      <c r="H925" s="1" t="s">
        <v>257</v>
      </c>
      <c r="J925" s="1" t="s">
        <v>258</v>
      </c>
      <c r="K925" s="1" t="str">
        <f>_xlfn.XLOOKUP(J925,REF!$D$2:$D$12,REF!$E$2:$E$12)</f>
        <v>Rede</v>
      </c>
      <c r="L925" s="1" t="s">
        <v>259</v>
      </c>
      <c r="M925" s="1" t="s">
        <v>260</v>
      </c>
      <c r="N925" s="1" t="s">
        <v>261</v>
      </c>
      <c r="O925" s="72" t="s">
        <v>297</v>
      </c>
      <c r="P925" s="1" t="str">
        <f>_xlfn.CONCAT(B925,C925,D925,E925,F925)</f>
        <v>BC Formoso2.1Inverter(MBUS-14)46101,111111111146101,111111111146101,3076388889</v>
      </c>
      <c r="Q925" s="1" t="str">
        <f t="shared" si="35"/>
        <v>DAURDE</v>
      </c>
    </row>
    <row r="926" spans="2:17">
      <c r="B926" s="1" t="s">
        <v>255</v>
      </c>
      <c r="C926" s="1" t="s">
        <v>264</v>
      </c>
      <c r="D926" s="52">
        <v>46101.111111111109</v>
      </c>
      <c r="E926" s="52">
        <v>46101.111111111109</v>
      </c>
      <c r="F926" s="52">
        <v>46101.307638888888</v>
      </c>
      <c r="G926" s="53">
        <f>F926-E926</f>
        <v>0.19652777777810115</v>
      </c>
      <c r="H926" s="1" t="s">
        <v>257</v>
      </c>
      <c r="J926" s="1" t="s">
        <v>258</v>
      </c>
      <c r="K926" s="1" t="str">
        <f>_xlfn.XLOOKUP(J926,REF!$D$2:$D$12,REF!$E$2:$E$12)</f>
        <v>Rede</v>
      </c>
      <c r="L926" s="1" t="s">
        <v>259</v>
      </c>
      <c r="M926" s="1" t="s">
        <v>260</v>
      </c>
      <c r="N926" s="1" t="s">
        <v>261</v>
      </c>
      <c r="O926" s="72" t="s">
        <v>297</v>
      </c>
      <c r="P926" s="1" t="str">
        <f>_xlfn.CONCAT(B926,C926,D926,E926,F926)</f>
        <v>BC Formoso2.1Inverter(MBUS-13)46101,111111111146101,111111111146101,3076388889</v>
      </c>
      <c r="Q926" s="1" t="str">
        <f t="shared" si="35"/>
        <v>DAURDE</v>
      </c>
    </row>
    <row r="927" spans="2:17">
      <c r="B927" s="1" t="s">
        <v>255</v>
      </c>
      <c r="C927" s="1" t="s">
        <v>247</v>
      </c>
      <c r="D927" s="52">
        <v>46101.111111111109</v>
      </c>
      <c r="E927" s="52">
        <v>46101.111111111109</v>
      </c>
      <c r="F927" s="52">
        <v>46101.307638888888</v>
      </c>
      <c r="G927" s="53">
        <f>F927-E927</f>
        <v>0.19652777777810115</v>
      </c>
      <c r="H927" s="1" t="s">
        <v>257</v>
      </c>
      <c r="J927" s="1" t="s">
        <v>258</v>
      </c>
      <c r="K927" s="1" t="str">
        <f>_xlfn.XLOOKUP(J927,REF!$D$2:$D$12,REF!$E$2:$E$12)</f>
        <v>Rede</v>
      </c>
      <c r="L927" s="1" t="s">
        <v>259</v>
      </c>
      <c r="M927" s="1" t="s">
        <v>260</v>
      </c>
      <c r="N927" s="1" t="s">
        <v>261</v>
      </c>
      <c r="O927" s="72" t="s">
        <v>297</v>
      </c>
      <c r="P927" s="1" t="str">
        <f>_xlfn.CONCAT(B927,C927,D927,E927,F927)</f>
        <v>BC Formoso2.1Inverter(MBUS-1)46101,111111111146101,111111111146101,3076388889</v>
      </c>
      <c r="Q927" s="1" t="str">
        <f t="shared" si="35"/>
        <v>DAURDE</v>
      </c>
    </row>
    <row r="928" spans="2:17">
      <c r="B928" s="1" t="s">
        <v>355</v>
      </c>
      <c r="C928" s="1" t="s">
        <v>264</v>
      </c>
      <c r="D928" s="52">
        <v>46101.111111111109</v>
      </c>
      <c r="E928" s="52">
        <v>46101.111111111109</v>
      </c>
      <c r="F928" s="52">
        <v>46101.307638888888</v>
      </c>
      <c r="G928" s="53">
        <f>F928-E928</f>
        <v>0.19652777777810115</v>
      </c>
      <c r="H928" s="1" t="s">
        <v>257</v>
      </c>
      <c r="J928" s="1" t="s">
        <v>258</v>
      </c>
      <c r="K928" s="1" t="str">
        <f>_xlfn.XLOOKUP(J928,REF!$D$2:$D$12,REF!$E$2:$E$12)</f>
        <v>Rede</v>
      </c>
      <c r="L928" s="1" t="s">
        <v>259</v>
      </c>
      <c r="M928" s="1" t="s">
        <v>260</v>
      </c>
      <c r="N928" s="1" t="s">
        <v>261</v>
      </c>
      <c r="O928" s="72" t="s">
        <v>297</v>
      </c>
      <c r="P928" s="1" t="str">
        <f>_xlfn.CONCAT(B928,C928,D928,E928,F928)</f>
        <v>BC Formoso2.3Inverter(MBUS-13)46101,111111111146101,111111111146101,3076388889</v>
      </c>
      <c r="Q928" s="1" t="str">
        <f t="shared" si="35"/>
        <v>DAURDE</v>
      </c>
    </row>
    <row r="929" spans="2:17">
      <c r="B929" s="1" t="s">
        <v>355</v>
      </c>
      <c r="C929" s="1" t="s">
        <v>256</v>
      </c>
      <c r="D929" s="52">
        <v>46101.111111111109</v>
      </c>
      <c r="E929" s="52">
        <v>46101.111111111109</v>
      </c>
      <c r="F929" s="52">
        <v>46101.307638888888</v>
      </c>
      <c r="G929" s="53">
        <f>F929-E929</f>
        <v>0.19652777777810115</v>
      </c>
      <c r="H929" s="1" t="s">
        <v>257</v>
      </c>
      <c r="J929" s="1" t="s">
        <v>258</v>
      </c>
      <c r="K929" s="1" t="str">
        <f>_xlfn.XLOOKUP(J929,REF!$D$2:$D$12,REF!$E$2:$E$12)</f>
        <v>Rede</v>
      </c>
      <c r="L929" s="1" t="s">
        <v>259</v>
      </c>
      <c r="M929" s="1" t="s">
        <v>260</v>
      </c>
      <c r="N929" s="1" t="s">
        <v>261</v>
      </c>
      <c r="O929" s="72" t="s">
        <v>297</v>
      </c>
      <c r="P929" s="1" t="str">
        <f>_xlfn.CONCAT(B929,C929,D929,E929,F929)</f>
        <v>BC Formoso2.3Inverter(MBUS-12)46101,111111111146101,111111111146101,3076388889</v>
      </c>
      <c r="Q929" s="1" t="str">
        <f t="shared" si="35"/>
        <v>DAURDE</v>
      </c>
    </row>
    <row r="930" spans="2:17">
      <c r="B930" s="1" t="s">
        <v>305</v>
      </c>
      <c r="C930" s="1" t="s">
        <v>256</v>
      </c>
      <c r="D930" s="52">
        <v>46101.375</v>
      </c>
      <c r="E930" s="52">
        <v>46101.392361111109</v>
      </c>
      <c r="F930" s="52">
        <v>46101.472222222219</v>
      </c>
      <c r="G930" s="53">
        <f>F930-E930</f>
        <v>7.9861111109494232E-2</v>
      </c>
      <c r="H930" s="1" t="s">
        <v>257</v>
      </c>
      <c r="J930" s="1" t="s">
        <v>258</v>
      </c>
      <c r="K930" s="1" t="str">
        <f>_xlfn.XLOOKUP(J930,REF!$D$2:$D$12,REF!$E$2:$E$12)</f>
        <v>Rede</v>
      </c>
      <c r="L930" s="1" t="s">
        <v>527</v>
      </c>
      <c r="M930" s="1" t="s">
        <v>260</v>
      </c>
      <c r="N930" s="1" t="s">
        <v>261</v>
      </c>
      <c r="O930" s="72" t="s">
        <v>297</v>
      </c>
      <c r="P930" s="1" t="str">
        <f>_xlfn.CONCAT(B930,C930,D930,E930,F930)</f>
        <v>ARAGUATINS 1.1Inverter(MBUS-12)46101,37546101,392361111146101,4722222222</v>
      </c>
      <c r="Q930" s="1" t="str">
        <f t="shared" si="35"/>
        <v>DAURDE</v>
      </c>
    </row>
    <row r="931" spans="2:17">
      <c r="B931" s="1" t="s">
        <v>305</v>
      </c>
      <c r="C931" s="1" t="s">
        <v>264</v>
      </c>
      <c r="D931" s="52">
        <v>46101.375</v>
      </c>
      <c r="E931" s="52">
        <v>46101.392361111109</v>
      </c>
      <c r="F931" s="52">
        <v>46101.472222222219</v>
      </c>
      <c r="G931" s="53">
        <f>F931-E931</f>
        <v>7.9861111109494232E-2</v>
      </c>
      <c r="H931" s="1" t="s">
        <v>257</v>
      </c>
      <c r="J931" s="1" t="s">
        <v>258</v>
      </c>
      <c r="K931" s="1" t="str">
        <f>_xlfn.XLOOKUP(J931,REF!$D$2:$D$12,REF!$E$2:$E$12)</f>
        <v>Rede</v>
      </c>
      <c r="L931" s="1" t="s">
        <v>527</v>
      </c>
      <c r="M931" s="1" t="s">
        <v>260</v>
      </c>
      <c r="N931" s="1" t="s">
        <v>261</v>
      </c>
      <c r="O931" s="72" t="s">
        <v>297</v>
      </c>
      <c r="P931" s="1" t="str">
        <f>_xlfn.CONCAT(B931,C931,D931,E931,F931)</f>
        <v>ARAGUATINS 1.1Inverter(MBUS-13)46101,37546101,392361111146101,4722222222</v>
      </c>
      <c r="Q931" s="1" t="str">
        <f t="shared" si="35"/>
        <v>DAURDE</v>
      </c>
    </row>
    <row r="932" spans="2:17">
      <c r="B932" s="1" t="s">
        <v>305</v>
      </c>
      <c r="C932" s="1" t="s">
        <v>263</v>
      </c>
      <c r="D932" s="52">
        <v>46101.375</v>
      </c>
      <c r="E932" s="52">
        <v>46101.392361111109</v>
      </c>
      <c r="F932" s="52">
        <v>46101.472222222219</v>
      </c>
      <c r="G932" s="53">
        <f>F932-E932</f>
        <v>7.9861111109494232E-2</v>
      </c>
      <c r="H932" s="1" t="s">
        <v>257</v>
      </c>
      <c r="J932" s="1" t="s">
        <v>258</v>
      </c>
      <c r="K932" s="1" t="str">
        <f>_xlfn.XLOOKUP(J932,REF!$D$2:$D$12,REF!$E$2:$E$12)</f>
        <v>Rede</v>
      </c>
      <c r="L932" s="1" t="s">
        <v>527</v>
      </c>
      <c r="M932" s="1" t="s">
        <v>260</v>
      </c>
      <c r="N932" s="1" t="s">
        <v>261</v>
      </c>
      <c r="O932" s="72" t="s">
        <v>297</v>
      </c>
      <c r="P932" s="1" t="str">
        <f>_xlfn.CONCAT(B932,C932,D932,E932,F932)</f>
        <v>ARAGUATINS 1.1Inverter(MBUS-14)46101,37546101,392361111146101,4722222222</v>
      </c>
      <c r="Q932" s="1" t="str">
        <f t="shared" si="35"/>
        <v>DAURDE</v>
      </c>
    </row>
    <row r="933" spans="2:17">
      <c r="B933" s="1" t="s">
        <v>305</v>
      </c>
      <c r="C933" s="1" t="s">
        <v>307</v>
      </c>
      <c r="D933" s="52">
        <v>46101.375</v>
      </c>
      <c r="E933" s="52">
        <v>46101.392361111109</v>
      </c>
      <c r="F933" s="52">
        <v>46101.472222222219</v>
      </c>
      <c r="G933" s="53">
        <f>F933-E933</f>
        <v>7.9861111109494232E-2</v>
      </c>
      <c r="H933" s="1" t="s">
        <v>257</v>
      </c>
      <c r="J933" s="1" t="s">
        <v>258</v>
      </c>
      <c r="K933" s="1" t="str">
        <f>_xlfn.XLOOKUP(J933,REF!$D$2:$D$12,REF!$E$2:$E$12)</f>
        <v>Rede</v>
      </c>
      <c r="L933" s="1" t="s">
        <v>527</v>
      </c>
      <c r="M933" s="1" t="s">
        <v>260</v>
      </c>
      <c r="N933" s="1" t="s">
        <v>261</v>
      </c>
      <c r="O933" s="72" t="s">
        <v>297</v>
      </c>
      <c r="P933" s="1" t="str">
        <f>_xlfn.CONCAT(B933,C933,D933,E933,F933)</f>
        <v>ARAGUATINS 1.1Inverter(MBUS-15)46101,37546101,392361111146101,4722222222</v>
      </c>
      <c r="Q933" s="1" t="str">
        <f t="shared" si="35"/>
        <v>DAURDE</v>
      </c>
    </row>
    <row r="934" spans="2:17">
      <c r="B934" s="1" t="s">
        <v>308</v>
      </c>
      <c r="C934" s="1" t="s">
        <v>256</v>
      </c>
      <c r="D934" s="52">
        <v>46101.375</v>
      </c>
      <c r="E934" s="52">
        <v>46101.392361111109</v>
      </c>
      <c r="F934" s="52">
        <v>46101.472222222219</v>
      </c>
      <c r="G934" s="53">
        <f>F934-E934</f>
        <v>7.9861111109494232E-2</v>
      </c>
      <c r="H934" s="1" t="s">
        <v>257</v>
      </c>
      <c r="J934" s="1" t="s">
        <v>258</v>
      </c>
      <c r="K934" s="1" t="str">
        <f>_xlfn.XLOOKUP(J934,REF!$D$2:$D$12,REF!$E$2:$E$12)</f>
        <v>Rede</v>
      </c>
      <c r="L934" s="1" t="s">
        <v>527</v>
      </c>
      <c r="M934" s="1" t="s">
        <v>260</v>
      </c>
      <c r="N934" s="1" t="s">
        <v>261</v>
      </c>
      <c r="O934" s="72" t="s">
        <v>297</v>
      </c>
      <c r="P934" s="1" t="str">
        <f>_xlfn.CONCAT(B934,C934,D934,E934,F934)</f>
        <v>ARAGUATINS 1.2Inverter(MBUS-12)46101,37546101,392361111146101,4722222222</v>
      </c>
      <c r="Q934" s="1" t="str">
        <f t="shared" si="35"/>
        <v>DAURDE</v>
      </c>
    </row>
    <row r="935" spans="2:17">
      <c r="B935" s="1" t="s">
        <v>308</v>
      </c>
      <c r="C935" s="1" t="s">
        <v>264</v>
      </c>
      <c r="D935" s="52">
        <v>46101.375</v>
      </c>
      <c r="E935" s="52">
        <v>46101.392361111109</v>
      </c>
      <c r="F935" s="52">
        <v>46101.472222222219</v>
      </c>
      <c r="G935" s="53">
        <f>F935-E935</f>
        <v>7.9861111109494232E-2</v>
      </c>
      <c r="H935" s="1" t="s">
        <v>257</v>
      </c>
      <c r="J935" s="1" t="s">
        <v>258</v>
      </c>
      <c r="K935" s="1" t="str">
        <f>_xlfn.XLOOKUP(J935,REF!$D$2:$D$12,REF!$E$2:$E$12)</f>
        <v>Rede</v>
      </c>
      <c r="L935" s="1" t="s">
        <v>527</v>
      </c>
      <c r="M935" s="1" t="s">
        <v>260</v>
      </c>
      <c r="N935" s="1" t="s">
        <v>261</v>
      </c>
      <c r="O935" s="72" t="s">
        <v>297</v>
      </c>
      <c r="P935" s="1" t="str">
        <f>_xlfn.CONCAT(B935,C935,D935,E935,F935)</f>
        <v>ARAGUATINS 1.2Inverter(MBUS-13)46101,37546101,392361111146101,4722222222</v>
      </c>
      <c r="Q935" s="1" t="str">
        <f t="shared" si="35"/>
        <v>DAURDE</v>
      </c>
    </row>
    <row r="936" spans="2:17">
      <c r="B936" s="1" t="s">
        <v>308</v>
      </c>
      <c r="C936" s="1" t="s">
        <v>263</v>
      </c>
      <c r="D936" s="52">
        <v>46101.375</v>
      </c>
      <c r="E936" s="52">
        <v>46101.392361111109</v>
      </c>
      <c r="F936" s="52">
        <v>46101.472222222219</v>
      </c>
      <c r="G936" s="53">
        <f>F936-E936</f>
        <v>7.9861111109494232E-2</v>
      </c>
      <c r="H936" s="1" t="s">
        <v>257</v>
      </c>
      <c r="J936" s="1" t="s">
        <v>258</v>
      </c>
      <c r="K936" s="1" t="str">
        <f>_xlfn.XLOOKUP(J936,REF!$D$2:$D$12,REF!$E$2:$E$12)</f>
        <v>Rede</v>
      </c>
      <c r="L936" s="1" t="s">
        <v>527</v>
      </c>
      <c r="M936" s="1" t="s">
        <v>260</v>
      </c>
      <c r="N936" s="1" t="s">
        <v>261</v>
      </c>
      <c r="O936" s="72" t="s">
        <v>297</v>
      </c>
      <c r="P936" s="1" t="str">
        <f>_xlfn.CONCAT(B936,C936,D936,E936,F936)</f>
        <v>ARAGUATINS 1.2Inverter(MBUS-14)46101,37546101,392361111146101,4722222222</v>
      </c>
      <c r="Q936" s="1" t="str">
        <f t="shared" si="35"/>
        <v>DAURDE</v>
      </c>
    </row>
    <row r="937" spans="2:17">
      <c r="B937" s="1" t="s">
        <v>308</v>
      </c>
      <c r="C937" s="1" t="s">
        <v>307</v>
      </c>
      <c r="D937" s="52">
        <v>46101.375</v>
      </c>
      <c r="E937" s="52">
        <v>46101.392361111109</v>
      </c>
      <c r="F937" s="52">
        <v>46101.472222222219</v>
      </c>
      <c r="G937" s="53">
        <f>F937-E937</f>
        <v>7.9861111109494232E-2</v>
      </c>
      <c r="H937" s="1" t="s">
        <v>257</v>
      </c>
      <c r="J937" s="1" t="s">
        <v>258</v>
      </c>
      <c r="K937" s="1" t="str">
        <f>_xlfn.XLOOKUP(J937,REF!$D$2:$D$12,REF!$E$2:$E$12)</f>
        <v>Rede</v>
      </c>
      <c r="L937" s="1" t="s">
        <v>527</v>
      </c>
      <c r="M937" s="1" t="s">
        <v>260</v>
      </c>
      <c r="N937" s="1" t="s">
        <v>261</v>
      </c>
      <c r="O937" s="72" t="s">
        <v>297</v>
      </c>
      <c r="P937" s="1" t="str">
        <f>_xlfn.CONCAT(B937,C937,D937,E937,F937)</f>
        <v>ARAGUATINS 1.2Inverter(MBUS-15)46101,37546101,392361111146101,4722222222</v>
      </c>
      <c r="Q937" s="1" t="str">
        <f t="shared" si="35"/>
        <v>DAURDE</v>
      </c>
    </row>
    <row r="938" spans="2:17">
      <c r="B938" s="1" t="s">
        <v>309</v>
      </c>
      <c r="C938" s="1" t="s">
        <v>310</v>
      </c>
      <c r="D938" s="52">
        <v>46101.375</v>
      </c>
      <c r="E938" s="52">
        <v>46101.392361111109</v>
      </c>
      <c r="F938" s="52">
        <v>46101.472222222219</v>
      </c>
      <c r="G938" s="53">
        <f>F938-E938</f>
        <v>7.9861111109494232E-2</v>
      </c>
      <c r="H938" s="1" t="s">
        <v>257</v>
      </c>
      <c r="J938" s="1" t="s">
        <v>258</v>
      </c>
      <c r="K938" s="1" t="str">
        <f>_xlfn.XLOOKUP(J938,REF!$D$2:$D$12,REF!$E$2:$E$12)</f>
        <v>Rede</v>
      </c>
      <c r="L938" s="1" t="s">
        <v>527</v>
      </c>
      <c r="M938" s="1" t="s">
        <v>260</v>
      </c>
      <c r="N938" s="1" t="s">
        <v>261</v>
      </c>
      <c r="O938" s="72" t="s">
        <v>297</v>
      </c>
      <c r="P938" s="1" t="str">
        <f>_xlfn.CONCAT(B938,C938,D938,E938,F938)</f>
        <v>ARAGUATINS 1.3Inverter(MBUS-20)46101,37546101,392361111146101,4722222222</v>
      </c>
      <c r="Q938" s="1" t="str">
        <f t="shared" si="35"/>
        <v>DAURDE</v>
      </c>
    </row>
    <row r="939" spans="2:17">
      <c r="B939" s="1" t="s">
        <v>309</v>
      </c>
      <c r="C939" s="1" t="s">
        <v>247</v>
      </c>
      <c r="D939" s="52">
        <v>46101.375</v>
      </c>
      <c r="E939" s="52">
        <v>46101.392361111109</v>
      </c>
      <c r="F939" s="52">
        <v>46101.472222222219</v>
      </c>
      <c r="G939" s="53">
        <f>F939-E939</f>
        <v>7.9861111109494232E-2</v>
      </c>
      <c r="H939" s="1" t="s">
        <v>257</v>
      </c>
      <c r="J939" s="1" t="s">
        <v>258</v>
      </c>
      <c r="K939" s="1" t="str">
        <f>_xlfn.XLOOKUP(J939,REF!$D$2:$D$12,REF!$E$2:$E$12)</f>
        <v>Rede</v>
      </c>
      <c r="L939" s="1" t="s">
        <v>527</v>
      </c>
      <c r="M939" s="1" t="s">
        <v>260</v>
      </c>
      <c r="N939" s="1" t="s">
        <v>261</v>
      </c>
      <c r="O939" s="72" t="s">
        <v>297</v>
      </c>
      <c r="P939" s="1" t="str">
        <f>_xlfn.CONCAT(B939,C939,D939,E939,F939)</f>
        <v>ARAGUATINS 1.3Inverter(MBUS-1)46101,37546101,392361111146101,4722222222</v>
      </c>
      <c r="Q939" s="1" t="str">
        <f t="shared" si="35"/>
        <v>DAURDE</v>
      </c>
    </row>
    <row r="940" spans="2:17">
      <c r="B940" s="1" t="s">
        <v>311</v>
      </c>
      <c r="C940" s="1" t="s">
        <v>256</v>
      </c>
      <c r="D940" s="52">
        <v>46101.375</v>
      </c>
      <c r="E940" s="52">
        <v>46101.392361111109</v>
      </c>
      <c r="F940" s="52">
        <v>46101.472222222219</v>
      </c>
      <c r="G940" s="53">
        <f>F940-E940</f>
        <v>7.9861111109494232E-2</v>
      </c>
      <c r="H940" s="1" t="s">
        <v>257</v>
      </c>
      <c r="J940" s="1" t="s">
        <v>258</v>
      </c>
      <c r="K940" s="1" t="str">
        <f>_xlfn.XLOOKUP(J940,REF!$D$2:$D$12,REF!$E$2:$E$12)</f>
        <v>Rede</v>
      </c>
      <c r="L940" s="1" t="s">
        <v>527</v>
      </c>
      <c r="M940" s="1" t="s">
        <v>260</v>
      </c>
      <c r="N940" s="1" t="s">
        <v>261</v>
      </c>
      <c r="O940" s="72" t="s">
        <v>297</v>
      </c>
      <c r="P940" s="1" t="str">
        <f>_xlfn.CONCAT(B940,C940,D940,E940,F940)</f>
        <v>ARAGUATINS 2.1Inverter(MBUS-12)46101,37546101,392361111146101,4722222222</v>
      </c>
      <c r="Q940" s="1" t="str">
        <f t="shared" si="35"/>
        <v>DAURDE</v>
      </c>
    </row>
    <row r="941" spans="2:17">
      <c r="B941" s="1" t="s">
        <v>311</v>
      </c>
      <c r="C941" s="1" t="s">
        <v>307</v>
      </c>
      <c r="D941" s="52">
        <v>46101.375</v>
      </c>
      <c r="E941" s="52">
        <v>46101.392361111109</v>
      </c>
      <c r="F941" s="52">
        <v>46101.472222222219</v>
      </c>
      <c r="G941" s="53">
        <f>F941-E941</f>
        <v>7.9861111109494232E-2</v>
      </c>
      <c r="H941" s="1" t="s">
        <v>257</v>
      </c>
      <c r="J941" s="1" t="s">
        <v>258</v>
      </c>
      <c r="K941" s="1" t="str">
        <f>_xlfn.XLOOKUP(J941,REF!$D$2:$D$12,REF!$E$2:$E$12)</f>
        <v>Rede</v>
      </c>
      <c r="L941" s="1" t="s">
        <v>527</v>
      </c>
      <c r="M941" s="1" t="s">
        <v>260</v>
      </c>
      <c r="N941" s="1" t="s">
        <v>261</v>
      </c>
      <c r="O941" s="72" t="s">
        <v>297</v>
      </c>
      <c r="P941" s="1" t="str">
        <f>_xlfn.CONCAT(B941,C941,D941,E941,F941)</f>
        <v>ARAGUATINS 2.1Inverter(MBUS-15)46101,37546101,392361111146101,4722222222</v>
      </c>
      <c r="Q941" s="1" t="str">
        <f t="shared" si="35"/>
        <v>DAURDE</v>
      </c>
    </row>
    <row r="942" spans="2:17">
      <c r="B942" s="1" t="s">
        <v>311</v>
      </c>
      <c r="C942" s="1" t="s">
        <v>263</v>
      </c>
      <c r="D942" s="52">
        <v>46101.375</v>
      </c>
      <c r="E942" s="52">
        <v>46101.392361111109</v>
      </c>
      <c r="F942" s="52">
        <v>46101.472222222219</v>
      </c>
      <c r="G942" s="53">
        <f>F942-E942</f>
        <v>7.9861111109494232E-2</v>
      </c>
      <c r="H942" s="1" t="s">
        <v>257</v>
      </c>
      <c r="J942" s="1" t="s">
        <v>258</v>
      </c>
      <c r="K942" s="1" t="str">
        <f>_xlfn.XLOOKUP(J942,REF!$D$2:$D$12,REF!$E$2:$E$12)</f>
        <v>Rede</v>
      </c>
      <c r="L942" s="1" t="s">
        <v>527</v>
      </c>
      <c r="M942" s="1" t="s">
        <v>260</v>
      </c>
      <c r="N942" s="1" t="s">
        <v>261</v>
      </c>
      <c r="O942" s="72" t="s">
        <v>297</v>
      </c>
      <c r="P942" s="1" t="str">
        <f>_xlfn.CONCAT(B942,C942,D942,E942,F942)</f>
        <v>ARAGUATINS 2.1Inverter(MBUS-14)46101,37546101,392361111146101,4722222222</v>
      </c>
      <c r="Q942" s="1" t="str">
        <f t="shared" si="35"/>
        <v>DAURDE</v>
      </c>
    </row>
    <row r="943" spans="2:17">
      <c r="B943" s="1" t="s">
        <v>311</v>
      </c>
      <c r="C943" s="1" t="s">
        <v>247</v>
      </c>
      <c r="D943" s="52">
        <v>46101.375</v>
      </c>
      <c r="E943" s="52">
        <v>46101.392361111109</v>
      </c>
      <c r="F943" s="52">
        <v>46101.472222222219</v>
      </c>
      <c r="G943" s="53">
        <f>F943-E943</f>
        <v>7.9861111109494232E-2</v>
      </c>
      <c r="H943" s="1" t="s">
        <v>257</v>
      </c>
      <c r="J943" s="1" t="s">
        <v>258</v>
      </c>
      <c r="K943" s="1" t="str">
        <f>_xlfn.XLOOKUP(J943,REF!$D$2:$D$12,REF!$E$2:$E$12)</f>
        <v>Rede</v>
      </c>
      <c r="L943" s="1" t="s">
        <v>527</v>
      </c>
      <c r="M943" s="1" t="s">
        <v>260</v>
      </c>
      <c r="N943" s="1" t="s">
        <v>261</v>
      </c>
      <c r="O943" s="72" t="s">
        <v>297</v>
      </c>
      <c r="P943" s="1" t="str">
        <f>_xlfn.CONCAT(B943,C943,D943,E943,F943)</f>
        <v>ARAGUATINS 2.1Inverter(MBUS-1)46101,37546101,392361111146101,4722222222</v>
      </c>
      <c r="Q943" s="1" t="str">
        <f t="shared" si="35"/>
        <v>DAURDE</v>
      </c>
    </row>
    <row r="944" spans="2:17">
      <c r="B944" s="1" t="s">
        <v>312</v>
      </c>
      <c r="C944" s="1" t="s">
        <v>307</v>
      </c>
      <c r="D944" s="52">
        <v>46101.375</v>
      </c>
      <c r="E944" s="52">
        <v>46101.392361111109</v>
      </c>
      <c r="F944" s="52">
        <v>46101.472222222219</v>
      </c>
      <c r="G944" s="53">
        <f>F944-E944</f>
        <v>7.9861111109494232E-2</v>
      </c>
      <c r="H944" s="1" t="s">
        <v>257</v>
      </c>
      <c r="J944" s="1" t="s">
        <v>258</v>
      </c>
      <c r="K944" s="1" t="str">
        <f>_xlfn.XLOOKUP(J944,REF!$D$2:$D$12,REF!$E$2:$E$12)</f>
        <v>Rede</v>
      </c>
      <c r="L944" s="1" t="s">
        <v>527</v>
      </c>
      <c r="M944" s="1" t="s">
        <v>260</v>
      </c>
      <c r="N944" s="1" t="s">
        <v>261</v>
      </c>
      <c r="O944" s="72" t="s">
        <v>297</v>
      </c>
      <c r="P944" s="1" t="str">
        <f>_xlfn.CONCAT(B944,C944,D944,E944,F944)</f>
        <v>ARAGUATINS 2.2Inverter(MBUS-15)46101,37546101,392361111146101,4722222222</v>
      </c>
      <c r="Q944" s="1" t="str">
        <f t="shared" si="35"/>
        <v>DAURDE</v>
      </c>
    </row>
    <row r="945" spans="2:17">
      <c r="B945" s="1" t="s">
        <v>312</v>
      </c>
      <c r="C945" s="1" t="s">
        <v>264</v>
      </c>
      <c r="D945" s="52">
        <v>46101.375</v>
      </c>
      <c r="E945" s="52">
        <v>46101.392361111109</v>
      </c>
      <c r="F945" s="52">
        <v>46101.472222222219</v>
      </c>
      <c r="G945" s="53">
        <f>F945-E945</f>
        <v>7.9861111109494232E-2</v>
      </c>
      <c r="H945" s="1" t="s">
        <v>257</v>
      </c>
      <c r="J945" s="1" t="s">
        <v>258</v>
      </c>
      <c r="K945" s="1" t="str">
        <f>_xlfn.XLOOKUP(J945,REF!$D$2:$D$12,REF!$E$2:$E$12)</f>
        <v>Rede</v>
      </c>
      <c r="L945" s="1" t="s">
        <v>527</v>
      </c>
      <c r="M945" s="1" t="s">
        <v>260</v>
      </c>
      <c r="N945" s="1" t="s">
        <v>261</v>
      </c>
      <c r="O945" s="72" t="s">
        <v>297</v>
      </c>
      <c r="P945" s="1" t="str">
        <f>_xlfn.CONCAT(B945,C945,D945,E945,F945)</f>
        <v>ARAGUATINS 2.2Inverter(MBUS-13)46101,37546101,392361111146101,4722222222</v>
      </c>
      <c r="Q945" s="1" t="str">
        <f t="shared" si="35"/>
        <v>DAURDE</v>
      </c>
    </row>
    <row r="946" spans="2:17">
      <c r="B946" s="1" t="s">
        <v>312</v>
      </c>
      <c r="C946" s="1" t="s">
        <v>263</v>
      </c>
      <c r="D946" s="52">
        <v>46101.375</v>
      </c>
      <c r="E946" s="52">
        <v>46101.392361111109</v>
      </c>
      <c r="F946" s="52">
        <v>46101.472222222219</v>
      </c>
      <c r="G946" s="53">
        <f>F946-E946</f>
        <v>7.9861111109494232E-2</v>
      </c>
      <c r="H946" s="1" t="s">
        <v>257</v>
      </c>
      <c r="J946" s="1" t="s">
        <v>258</v>
      </c>
      <c r="K946" s="1" t="str">
        <f>_xlfn.XLOOKUP(J946,REF!$D$2:$D$12,REF!$E$2:$E$12)</f>
        <v>Rede</v>
      </c>
      <c r="L946" s="1" t="s">
        <v>527</v>
      </c>
      <c r="M946" s="1" t="s">
        <v>260</v>
      </c>
      <c r="N946" s="1" t="s">
        <v>261</v>
      </c>
      <c r="O946" s="72" t="s">
        <v>297</v>
      </c>
      <c r="P946" s="1" t="str">
        <f>_xlfn.CONCAT(B946,C946,D946,E946,F946)</f>
        <v>ARAGUATINS 2.2Inverter(MBUS-14)46101,37546101,392361111146101,4722222222</v>
      </c>
      <c r="Q946" s="1" t="str">
        <f t="shared" si="35"/>
        <v>DAURDE</v>
      </c>
    </row>
    <row r="947" spans="2:17">
      <c r="B947" s="1" t="s">
        <v>312</v>
      </c>
      <c r="C947" s="1" t="s">
        <v>256</v>
      </c>
      <c r="D947" s="52">
        <v>46101.375</v>
      </c>
      <c r="E947" s="52">
        <v>46101.392361111109</v>
      </c>
      <c r="F947" s="52">
        <v>46101.472222222219</v>
      </c>
      <c r="G947" s="53">
        <f>F947-E947</f>
        <v>7.9861111109494232E-2</v>
      </c>
      <c r="H947" s="1" t="s">
        <v>257</v>
      </c>
      <c r="J947" s="1" t="s">
        <v>258</v>
      </c>
      <c r="K947" s="1" t="str">
        <f>_xlfn.XLOOKUP(J947,REF!$D$2:$D$12,REF!$E$2:$E$12)</f>
        <v>Rede</v>
      </c>
      <c r="L947" s="1" t="s">
        <v>527</v>
      </c>
      <c r="M947" s="1" t="s">
        <v>260</v>
      </c>
      <c r="N947" s="1" t="s">
        <v>261</v>
      </c>
      <c r="O947" s="72" t="s">
        <v>297</v>
      </c>
      <c r="P947" s="1" t="str">
        <f>_xlfn.CONCAT(B947,C947,D947,E947,F947)</f>
        <v>ARAGUATINS 2.2Inverter(MBUS-12)46101,37546101,392361111146101,4722222222</v>
      </c>
      <c r="Q947" s="1" t="str">
        <f t="shared" si="35"/>
        <v>DAURDE</v>
      </c>
    </row>
    <row r="948" spans="2:17">
      <c r="B948" s="1" t="s">
        <v>313</v>
      </c>
      <c r="C948" s="1" t="s">
        <v>256</v>
      </c>
      <c r="D948" s="52">
        <v>46101.375</v>
      </c>
      <c r="E948" s="52">
        <v>46101.392361111109</v>
      </c>
      <c r="F948" s="52">
        <v>46101.472222222219</v>
      </c>
      <c r="G948" s="53">
        <f>F948-E948</f>
        <v>7.9861111109494232E-2</v>
      </c>
      <c r="H948" s="1" t="s">
        <v>257</v>
      </c>
      <c r="J948" s="1" t="s">
        <v>258</v>
      </c>
      <c r="K948" s="1" t="str">
        <f>_xlfn.XLOOKUP(J948,REF!$D$2:$D$12,REF!$E$2:$E$12)</f>
        <v>Rede</v>
      </c>
      <c r="L948" s="1" t="s">
        <v>527</v>
      </c>
      <c r="M948" s="1" t="s">
        <v>260</v>
      </c>
      <c r="N948" s="1" t="s">
        <v>261</v>
      </c>
      <c r="O948" s="72" t="s">
        <v>297</v>
      </c>
      <c r="P948" s="1" t="str">
        <f>_xlfn.CONCAT(B948,C948,D948,E948,F948)</f>
        <v>ARAGUATINS 2.3Inverter(MBUS-12)46101,37546101,392361111146101,4722222222</v>
      </c>
      <c r="Q948" s="1" t="str">
        <f t="shared" si="35"/>
        <v>DAURDE</v>
      </c>
    </row>
    <row r="949" spans="2:17">
      <c r="B949" s="1" t="s">
        <v>313</v>
      </c>
      <c r="C949" s="1" t="s">
        <v>264</v>
      </c>
      <c r="D949" s="52">
        <v>46101.375</v>
      </c>
      <c r="E949" s="52">
        <v>46101.392361111109</v>
      </c>
      <c r="F949" s="52">
        <v>46101.472222222219</v>
      </c>
      <c r="G949" s="53">
        <f>F949-E949</f>
        <v>7.9861111109494232E-2</v>
      </c>
      <c r="H949" s="1" t="s">
        <v>257</v>
      </c>
      <c r="J949" s="1" t="s">
        <v>258</v>
      </c>
      <c r="K949" s="1" t="str">
        <f>_xlfn.XLOOKUP(J949,REF!$D$2:$D$12,REF!$E$2:$E$12)</f>
        <v>Rede</v>
      </c>
      <c r="L949" s="1" t="s">
        <v>527</v>
      </c>
      <c r="M949" s="1" t="s">
        <v>260</v>
      </c>
      <c r="N949" s="1" t="s">
        <v>261</v>
      </c>
      <c r="O949" s="72" t="s">
        <v>297</v>
      </c>
      <c r="P949" s="1" t="str">
        <f>_xlfn.CONCAT(B949,C949,D949,E949,F949)</f>
        <v>ARAGUATINS 2.3Inverter(MBUS-13)46101,37546101,392361111146101,4722222222</v>
      </c>
      <c r="Q949" s="1" t="str">
        <f t="shared" si="35"/>
        <v>DAURDE</v>
      </c>
    </row>
    <row r="950" spans="2:17">
      <c r="B950" s="1" t="s">
        <v>368</v>
      </c>
      <c r="C950" s="1" t="s">
        <v>256</v>
      </c>
      <c r="D950" s="52">
        <v>46101.372916666667</v>
      </c>
      <c r="E950" s="52">
        <v>46101.372916666667</v>
      </c>
      <c r="F950" s="52">
        <v>46101.375</v>
      </c>
      <c r="G950" s="53">
        <f>F950-E950</f>
        <v>2.0833333328482695E-3</v>
      </c>
      <c r="H950" s="1" t="s">
        <v>257</v>
      </c>
      <c r="J950" s="1" t="s">
        <v>258</v>
      </c>
      <c r="K950" s="1" t="str">
        <f>_xlfn.XLOOKUP(J950,REF!$D$2:$D$12,REF!$E$2:$E$12)</f>
        <v>Rede</v>
      </c>
      <c r="L950" s="1" t="s">
        <v>528</v>
      </c>
      <c r="M950" s="1" t="s">
        <v>260</v>
      </c>
      <c r="N950" s="1" t="s">
        <v>261</v>
      </c>
      <c r="O950" s="72" t="s">
        <v>297</v>
      </c>
      <c r="P950" s="1" t="str">
        <f>_xlfn.CONCAT(B950,C950,D950,E950,F950)</f>
        <v>BC Ibiuna 1.1Inverter(MBUS-12)46101,372916666746101,372916666746101,375</v>
      </c>
      <c r="Q950" s="1" t="str">
        <f t="shared" si="35"/>
        <v>DAURDE</v>
      </c>
    </row>
    <row r="951" spans="2:17">
      <c r="B951" s="1" t="s">
        <v>368</v>
      </c>
      <c r="C951" s="1" t="s">
        <v>264</v>
      </c>
      <c r="D951" s="52">
        <v>46101.372916666667</v>
      </c>
      <c r="E951" s="52">
        <v>46101.372916666667</v>
      </c>
      <c r="F951" s="52">
        <v>46101.375</v>
      </c>
      <c r="G951" s="53">
        <f>F951-E951</f>
        <v>2.0833333328482695E-3</v>
      </c>
      <c r="H951" s="1" t="s">
        <v>257</v>
      </c>
      <c r="J951" s="1" t="s">
        <v>258</v>
      </c>
      <c r="K951" s="1" t="str">
        <f>_xlfn.XLOOKUP(J951,REF!$D$2:$D$12,REF!$E$2:$E$12)</f>
        <v>Rede</v>
      </c>
      <c r="L951" s="1" t="s">
        <v>528</v>
      </c>
      <c r="M951" s="1" t="s">
        <v>260</v>
      </c>
      <c r="N951" s="1" t="s">
        <v>261</v>
      </c>
      <c r="O951" s="72" t="s">
        <v>297</v>
      </c>
      <c r="P951" s="1" t="str">
        <f>_xlfn.CONCAT(B951,C951,D951,E951,F951)</f>
        <v>BC Ibiuna 1.1Inverter(MBUS-13)46101,372916666746101,372916666746101,375</v>
      </c>
      <c r="Q951" s="1" t="str">
        <f t="shared" si="35"/>
        <v>DAURDE</v>
      </c>
    </row>
    <row r="952" spans="2:17">
      <c r="B952" s="1" t="s">
        <v>368</v>
      </c>
      <c r="C952" s="1" t="s">
        <v>263</v>
      </c>
      <c r="D952" s="52">
        <v>46101.372916666667</v>
      </c>
      <c r="E952" s="52">
        <v>46101.372916666667</v>
      </c>
      <c r="F952" s="52">
        <v>46101.375</v>
      </c>
      <c r="G952" s="53">
        <f>F952-E952</f>
        <v>2.0833333328482695E-3</v>
      </c>
      <c r="H952" s="1" t="s">
        <v>257</v>
      </c>
      <c r="J952" s="1" t="s">
        <v>258</v>
      </c>
      <c r="K952" s="1" t="str">
        <f>_xlfn.XLOOKUP(J952,REF!$D$2:$D$12,REF!$E$2:$E$12)</f>
        <v>Rede</v>
      </c>
      <c r="L952" s="1" t="s">
        <v>528</v>
      </c>
      <c r="M952" s="1" t="s">
        <v>260</v>
      </c>
      <c r="N952" s="1" t="s">
        <v>261</v>
      </c>
      <c r="O952" s="72" t="s">
        <v>297</v>
      </c>
      <c r="P952" s="1" t="str">
        <f>_xlfn.CONCAT(B952,C952,D952,E952,F952)</f>
        <v>BC Ibiuna 1.1Inverter(MBUS-14)46101,372916666746101,372916666746101,375</v>
      </c>
      <c r="Q952" s="1" t="str">
        <f t="shared" si="35"/>
        <v>DAURDE</v>
      </c>
    </row>
    <row r="953" spans="2:17">
      <c r="B953" s="1" t="s">
        <v>368</v>
      </c>
      <c r="C953" s="1" t="s">
        <v>307</v>
      </c>
      <c r="D953" s="52">
        <v>46101.372916666667</v>
      </c>
      <c r="E953" s="52">
        <v>46101.372916666667</v>
      </c>
      <c r="F953" s="52">
        <v>46101.375</v>
      </c>
      <c r="G953" s="53">
        <f>F953-E953</f>
        <v>2.0833333328482695E-3</v>
      </c>
      <c r="H953" s="1" t="s">
        <v>257</v>
      </c>
      <c r="J953" s="1" t="s">
        <v>258</v>
      </c>
      <c r="K953" s="1" t="str">
        <f>_xlfn.XLOOKUP(J953,REF!$D$2:$D$12,REF!$E$2:$E$12)</f>
        <v>Rede</v>
      </c>
      <c r="L953" s="1" t="s">
        <v>528</v>
      </c>
      <c r="M953" s="1" t="s">
        <v>260</v>
      </c>
      <c r="N953" s="1" t="s">
        <v>261</v>
      </c>
      <c r="O953" s="72" t="s">
        <v>297</v>
      </c>
      <c r="P953" s="1" t="str">
        <f>_xlfn.CONCAT(B953,C953,D953,E953,F953)</f>
        <v>BC Ibiuna 1.1Inverter(MBUS-15)46101,372916666746101,372916666746101,375</v>
      </c>
      <c r="Q953" s="1" t="str">
        <f t="shared" si="35"/>
        <v>DAURDE</v>
      </c>
    </row>
    <row r="954" spans="2:17">
      <c r="B954" s="1" t="s">
        <v>370</v>
      </c>
      <c r="C954" s="1" t="s">
        <v>256</v>
      </c>
      <c r="D954" s="52">
        <v>46101.372916666667</v>
      </c>
      <c r="E954" s="52">
        <v>46101.372916666667</v>
      </c>
      <c r="F954" s="52">
        <v>46101.375</v>
      </c>
      <c r="G954" s="53">
        <f>F954-E954</f>
        <v>2.0833333328482695E-3</v>
      </c>
      <c r="H954" s="1" t="s">
        <v>257</v>
      </c>
      <c r="J954" s="1" t="s">
        <v>258</v>
      </c>
      <c r="K954" s="1" t="str">
        <f>_xlfn.XLOOKUP(J954,REF!$D$2:$D$12,REF!$E$2:$E$12)</f>
        <v>Rede</v>
      </c>
      <c r="L954" s="1" t="s">
        <v>528</v>
      </c>
      <c r="M954" s="1" t="s">
        <v>260</v>
      </c>
      <c r="N954" s="1" t="s">
        <v>261</v>
      </c>
      <c r="O954" s="72" t="s">
        <v>297</v>
      </c>
      <c r="P954" s="1" t="str">
        <f>_xlfn.CONCAT(B954,C954,D954,E954,F954)</f>
        <v>BC Ibiuna 1.2Inverter(MBUS-12)46101,372916666746101,372916666746101,375</v>
      </c>
      <c r="Q954" s="1" t="str">
        <f t="shared" si="35"/>
        <v>DAURDE</v>
      </c>
    </row>
    <row r="955" spans="2:17">
      <c r="B955" s="1" t="s">
        <v>370</v>
      </c>
      <c r="C955" s="1" t="s">
        <v>264</v>
      </c>
      <c r="D955" s="52">
        <v>46101.372916666667</v>
      </c>
      <c r="E955" s="52">
        <v>46101.372916666667</v>
      </c>
      <c r="F955" s="52">
        <v>46101.375</v>
      </c>
      <c r="G955" s="53">
        <f>F955-E955</f>
        <v>2.0833333328482695E-3</v>
      </c>
      <c r="H955" s="1" t="s">
        <v>257</v>
      </c>
      <c r="J955" s="1" t="s">
        <v>258</v>
      </c>
      <c r="K955" s="1" t="str">
        <f>_xlfn.XLOOKUP(J955,REF!$D$2:$D$12,REF!$E$2:$E$12)</f>
        <v>Rede</v>
      </c>
      <c r="L955" s="1" t="s">
        <v>528</v>
      </c>
      <c r="M955" s="1" t="s">
        <v>260</v>
      </c>
      <c r="N955" s="1" t="s">
        <v>261</v>
      </c>
      <c r="O955" s="72" t="s">
        <v>297</v>
      </c>
      <c r="P955" s="1" t="str">
        <f>_xlfn.CONCAT(B955,C955,D955,E955,F955)</f>
        <v>BC Ibiuna 1.2Inverter(MBUS-13)46101,372916666746101,372916666746101,375</v>
      </c>
      <c r="Q955" s="1" t="str">
        <f t="shared" si="35"/>
        <v>DAURDE</v>
      </c>
    </row>
    <row r="956" spans="2:17">
      <c r="B956" s="1" t="s">
        <v>370</v>
      </c>
      <c r="C956" s="1" t="s">
        <v>263</v>
      </c>
      <c r="D956" s="52">
        <v>46101.372916666667</v>
      </c>
      <c r="E956" s="52">
        <v>46101.372916666667</v>
      </c>
      <c r="F956" s="52">
        <v>46101.375</v>
      </c>
      <c r="G956" s="53">
        <f>F956-E956</f>
        <v>2.0833333328482695E-3</v>
      </c>
      <c r="H956" s="1" t="s">
        <v>257</v>
      </c>
      <c r="J956" s="1" t="s">
        <v>258</v>
      </c>
      <c r="K956" s="1" t="str">
        <f>_xlfn.XLOOKUP(J956,REF!$D$2:$D$12,REF!$E$2:$E$12)</f>
        <v>Rede</v>
      </c>
      <c r="L956" s="1" t="s">
        <v>528</v>
      </c>
      <c r="M956" s="1" t="s">
        <v>260</v>
      </c>
      <c r="N956" s="1" t="s">
        <v>261</v>
      </c>
      <c r="O956" s="72" t="s">
        <v>297</v>
      </c>
      <c r="P956" s="1" t="str">
        <f>_xlfn.CONCAT(B956,C956,D956,E956,F956)</f>
        <v>BC Ibiuna 1.2Inverter(MBUS-14)46101,372916666746101,372916666746101,375</v>
      </c>
      <c r="Q956" s="1" t="str">
        <f t="shared" si="35"/>
        <v>DAURDE</v>
      </c>
    </row>
    <row r="957" spans="2:17">
      <c r="B957" s="1" t="s">
        <v>370</v>
      </c>
      <c r="C957" s="1" t="s">
        <v>307</v>
      </c>
      <c r="D957" s="52">
        <v>46101.372916666667</v>
      </c>
      <c r="E957" s="52">
        <v>46101.372916666667</v>
      </c>
      <c r="F957" s="52">
        <v>46101.375</v>
      </c>
      <c r="G957" s="53">
        <f>F957-E957</f>
        <v>2.0833333328482695E-3</v>
      </c>
      <c r="H957" s="1" t="s">
        <v>257</v>
      </c>
      <c r="J957" s="1" t="s">
        <v>258</v>
      </c>
      <c r="K957" s="1" t="str">
        <f>_xlfn.XLOOKUP(J957,REF!$D$2:$D$12,REF!$E$2:$E$12)</f>
        <v>Rede</v>
      </c>
      <c r="L957" s="1" t="s">
        <v>528</v>
      </c>
      <c r="M957" s="1" t="s">
        <v>260</v>
      </c>
      <c r="N957" s="1" t="s">
        <v>261</v>
      </c>
      <c r="O957" s="72" t="s">
        <v>297</v>
      </c>
      <c r="P957" s="1" t="str">
        <f>_xlfn.CONCAT(B957,C957,D957,E957,F957)</f>
        <v>BC Ibiuna 1.2Inverter(MBUS-15)46101,372916666746101,372916666746101,375</v>
      </c>
      <c r="Q957" s="1" t="str">
        <f t="shared" si="35"/>
        <v>DAURDE</v>
      </c>
    </row>
    <row r="958" spans="2:17">
      <c r="B958" s="1" t="s">
        <v>529</v>
      </c>
      <c r="C958" s="1" t="s">
        <v>530</v>
      </c>
      <c r="D958" s="52">
        <v>46101.392361111109</v>
      </c>
      <c r="E958" s="52">
        <v>46101.392361111109</v>
      </c>
      <c r="F958" s="52">
        <v>46101.456944444442</v>
      </c>
      <c r="G958" s="53">
        <f>F958-E958</f>
        <v>6.4583333332848269E-2</v>
      </c>
      <c r="H958" s="1" t="s">
        <v>257</v>
      </c>
      <c r="J958" s="1" t="s">
        <v>258</v>
      </c>
      <c r="K958" s="1" t="str">
        <f>_xlfn.XLOOKUP(J958,REF!$D$2:$D$12,REF!$E$2:$E$12)</f>
        <v>Rede</v>
      </c>
      <c r="L958" s="1" t="s">
        <v>531</v>
      </c>
      <c r="M958" s="1" t="s">
        <v>260</v>
      </c>
      <c r="N958" s="1" t="s">
        <v>261</v>
      </c>
      <c r="O958" s="1" t="s">
        <v>532</v>
      </c>
      <c r="P958" s="1" t="str">
        <f>_xlfn.CONCAT(B958,C958,D958,E958,F958)</f>
        <v>BC Barra1Inverter__546101,392361111146101,392361111146101,4569444444</v>
      </c>
      <c r="Q958" s="1" t="str">
        <f t="shared" si="35"/>
        <v>DAURDE</v>
      </c>
    </row>
    <row r="959" spans="2:17">
      <c r="B959" s="1" t="s">
        <v>305</v>
      </c>
      <c r="C959" s="1" t="s">
        <v>256</v>
      </c>
      <c r="D959" s="52">
        <v>46101.570138888892</v>
      </c>
      <c r="E959" s="52">
        <v>46101.570138888892</v>
      </c>
      <c r="F959" s="52">
        <v>46101.607638888891</v>
      </c>
      <c r="G959" s="53">
        <f>F959-E959</f>
        <v>3.7499999998544808E-2</v>
      </c>
      <c r="H959" s="1" t="s">
        <v>257</v>
      </c>
      <c r="J959" s="1" t="s">
        <v>258</v>
      </c>
      <c r="K959" s="1" t="str">
        <f>_xlfn.XLOOKUP(J959,REF!$D$2:$D$12,REF!$E$2:$E$12)</f>
        <v>Rede</v>
      </c>
      <c r="L959" s="1" t="s">
        <v>527</v>
      </c>
      <c r="M959" s="1" t="s">
        <v>260</v>
      </c>
      <c r="N959" s="1" t="s">
        <v>261</v>
      </c>
      <c r="O959" s="72" t="s">
        <v>297</v>
      </c>
      <c r="P959" s="1" t="str">
        <f>_xlfn.CONCAT(B959,C959,D959,E959,F959)</f>
        <v>ARAGUATINS 1.1Inverter(MBUS-12)46101,570138888946101,570138888946101,6076388889</v>
      </c>
      <c r="Q959" s="1" t="str">
        <f t="shared" si="35"/>
        <v>DAURDE</v>
      </c>
    </row>
    <row r="960" spans="2:17">
      <c r="B960" s="1" t="s">
        <v>305</v>
      </c>
      <c r="C960" s="1" t="s">
        <v>264</v>
      </c>
      <c r="D960" s="52">
        <v>46101.570138888892</v>
      </c>
      <c r="E960" s="52">
        <v>46101.570138888892</v>
      </c>
      <c r="F960" s="52">
        <v>46101.607638888891</v>
      </c>
      <c r="G960" s="53">
        <f>F960-E960</f>
        <v>3.7499999998544808E-2</v>
      </c>
      <c r="H960" s="1" t="s">
        <v>257</v>
      </c>
      <c r="J960" s="1" t="s">
        <v>258</v>
      </c>
      <c r="K960" s="1" t="str">
        <f>_xlfn.XLOOKUP(J960,REF!$D$2:$D$12,REF!$E$2:$E$12)</f>
        <v>Rede</v>
      </c>
      <c r="L960" s="1" t="s">
        <v>527</v>
      </c>
      <c r="M960" s="1" t="s">
        <v>260</v>
      </c>
      <c r="N960" s="1" t="s">
        <v>261</v>
      </c>
      <c r="O960" s="72" t="s">
        <v>297</v>
      </c>
      <c r="P960" s="1" t="str">
        <f>_xlfn.CONCAT(B960,C960,D960,E960,F960)</f>
        <v>ARAGUATINS 1.1Inverter(MBUS-13)46101,570138888946101,570138888946101,6076388889</v>
      </c>
      <c r="Q960" s="1" t="str">
        <f t="shared" si="35"/>
        <v>DAURDE</v>
      </c>
    </row>
    <row r="961" spans="2:17">
      <c r="B961" s="1" t="s">
        <v>305</v>
      </c>
      <c r="C961" s="1" t="s">
        <v>263</v>
      </c>
      <c r="D961" s="52">
        <v>46101.570138888892</v>
      </c>
      <c r="E961" s="52">
        <v>46101.570138888892</v>
      </c>
      <c r="F961" s="52">
        <v>46101.607638888891</v>
      </c>
      <c r="G961" s="53">
        <f>F961-E961</f>
        <v>3.7499999998544808E-2</v>
      </c>
      <c r="H961" s="1" t="s">
        <v>257</v>
      </c>
      <c r="J961" s="1" t="s">
        <v>258</v>
      </c>
      <c r="K961" s="1" t="str">
        <f>_xlfn.XLOOKUP(J961,REF!$D$2:$D$12,REF!$E$2:$E$12)</f>
        <v>Rede</v>
      </c>
      <c r="L961" s="1" t="s">
        <v>527</v>
      </c>
      <c r="M961" s="1" t="s">
        <v>260</v>
      </c>
      <c r="N961" s="1" t="s">
        <v>261</v>
      </c>
      <c r="O961" s="72" t="s">
        <v>297</v>
      </c>
      <c r="P961" s="1" t="str">
        <f>_xlfn.CONCAT(B961,C961,D961,E961,F961)</f>
        <v>ARAGUATINS 1.1Inverter(MBUS-14)46101,570138888946101,570138888946101,6076388889</v>
      </c>
      <c r="Q961" s="1" t="str">
        <f t="shared" si="35"/>
        <v>DAURDE</v>
      </c>
    </row>
    <row r="962" spans="2:17">
      <c r="B962" s="1" t="s">
        <v>305</v>
      </c>
      <c r="C962" s="1" t="s">
        <v>307</v>
      </c>
      <c r="D962" s="52">
        <v>46101.570138888892</v>
      </c>
      <c r="E962" s="52">
        <v>46101.570138888892</v>
      </c>
      <c r="F962" s="52">
        <v>46101.607638888891</v>
      </c>
      <c r="G962" s="53">
        <f>F962-E962</f>
        <v>3.7499999998544808E-2</v>
      </c>
      <c r="H962" s="1" t="s">
        <v>257</v>
      </c>
      <c r="J962" s="1" t="s">
        <v>258</v>
      </c>
      <c r="K962" s="1" t="str">
        <f>_xlfn.XLOOKUP(J962,REF!$D$2:$D$12,REF!$E$2:$E$12)</f>
        <v>Rede</v>
      </c>
      <c r="L962" s="1" t="s">
        <v>527</v>
      </c>
      <c r="M962" s="1" t="s">
        <v>260</v>
      </c>
      <c r="N962" s="1" t="s">
        <v>261</v>
      </c>
      <c r="O962" s="72" t="s">
        <v>297</v>
      </c>
      <c r="P962" s="1" t="str">
        <f>_xlfn.CONCAT(B962,C962,D962,E962,F962)</f>
        <v>ARAGUATINS 1.1Inverter(MBUS-15)46101,570138888946101,570138888946101,6076388889</v>
      </c>
      <c r="Q962" s="1" t="str">
        <f t="shared" si="35"/>
        <v>DAURDE</v>
      </c>
    </row>
    <row r="963" spans="2:17">
      <c r="B963" s="1" t="s">
        <v>308</v>
      </c>
      <c r="C963" s="1" t="s">
        <v>256</v>
      </c>
      <c r="D963" s="52">
        <v>46101.570138888892</v>
      </c>
      <c r="E963" s="52">
        <v>46101.570138888892</v>
      </c>
      <c r="F963" s="52">
        <v>46101.607638888891</v>
      </c>
      <c r="G963" s="53">
        <f>F963-E963</f>
        <v>3.7499999998544808E-2</v>
      </c>
      <c r="H963" s="1" t="s">
        <v>257</v>
      </c>
      <c r="J963" s="1" t="s">
        <v>258</v>
      </c>
      <c r="K963" s="1" t="str">
        <f>_xlfn.XLOOKUP(J963,REF!$D$2:$D$12,REF!$E$2:$E$12)</f>
        <v>Rede</v>
      </c>
      <c r="L963" s="1" t="s">
        <v>527</v>
      </c>
      <c r="M963" s="1" t="s">
        <v>260</v>
      </c>
      <c r="N963" s="1" t="s">
        <v>261</v>
      </c>
      <c r="O963" s="72" t="s">
        <v>297</v>
      </c>
      <c r="P963" s="1" t="str">
        <f>_xlfn.CONCAT(B963,C963,D963,E963,F963)</f>
        <v>ARAGUATINS 1.2Inverter(MBUS-12)46101,570138888946101,570138888946101,6076388889</v>
      </c>
      <c r="Q963" s="1" t="str">
        <f t="shared" si="35"/>
        <v>DAURDE</v>
      </c>
    </row>
    <row r="964" spans="2:17">
      <c r="B964" s="1" t="s">
        <v>308</v>
      </c>
      <c r="C964" s="1" t="s">
        <v>264</v>
      </c>
      <c r="D964" s="52">
        <v>46101.570138888892</v>
      </c>
      <c r="E964" s="52">
        <v>46101.570138888892</v>
      </c>
      <c r="F964" s="52">
        <v>46101.607638888891</v>
      </c>
      <c r="G964" s="53">
        <f>F964-E964</f>
        <v>3.7499999998544808E-2</v>
      </c>
      <c r="H964" s="1" t="s">
        <v>257</v>
      </c>
      <c r="J964" s="1" t="s">
        <v>258</v>
      </c>
      <c r="K964" s="1" t="str">
        <f>_xlfn.XLOOKUP(J964,REF!$D$2:$D$12,REF!$E$2:$E$12)</f>
        <v>Rede</v>
      </c>
      <c r="L964" s="1" t="s">
        <v>527</v>
      </c>
      <c r="M964" s="1" t="s">
        <v>260</v>
      </c>
      <c r="N964" s="1" t="s">
        <v>261</v>
      </c>
      <c r="O964" s="72" t="s">
        <v>297</v>
      </c>
      <c r="P964" s="1" t="str">
        <f>_xlfn.CONCAT(B964,C964,D964,E964,F964)</f>
        <v>ARAGUATINS 1.2Inverter(MBUS-13)46101,570138888946101,570138888946101,6076388889</v>
      </c>
      <c r="Q964" s="1" t="str">
        <f t="shared" si="35"/>
        <v>DAURDE</v>
      </c>
    </row>
    <row r="965" spans="2:17">
      <c r="B965" s="1" t="s">
        <v>308</v>
      </c>
      <c r="C965" s="1" t="s">
        <v>263</v>
      </c>
      <c r="D965" s="52">
        <v>46101.570138888892</v>
      </c>
      <c r="E965" s="52">
        <v>46101.570138888892</v>
      </c>
      <c r="F965" s="52">
        <v>46101.607638888891</v>
      </c>
      <c r="G965" s="53">
        <f>F965-E965</f>
        <v>3.7499999998544808E-2</v>
      </c>
      <c r="H965" s="1" t="s">
        <v>257</v>
      </c>
      <c r="J965" s="1" t="s">
        <v>258</v>
      </c>
      <c r="K965" s="1" t="str">
        <f>_xlfn.XLOOKUP(J965,REF!$D$2:$D$12,REF!$E$2:$E$12)</f>
        <v>Rede</v>
      </c>
      <c r="L965" s="1" t="s">
        <v>527</v>
      </c>
      <c r="M965" s="1" t="s">
        <v>260</v>
      </c>
      <c r="N965" s="1" t="s">
        <v>261</v>
      </c>
      <c r="O965" s="72" t="s">
        <v>297</v>
      </c>
      <c r="P965" s="1" t="str">
        <f>_xlfn.CONCAT(B965,C965,D965,E965,F965)</f>
        <v>ARAGUATINS 1.2Inverter(MBUS-14)46101,570138888946101,570138888946101,6076388889</v>
      </c>
      <c r="Q965" s="1" t="str">
        <f>_xlfn.CONCAT(H965,I965,J965)</f>
        <v>DAURDE</v>
      </c>
    </row>
    <row r="966" spans="2:17">
      <c r="B966" s="1" t="s">
        <v>308</v>
      </c>
      <c r="C966" s="1" t="s">
        <v>307</v>
      </c>
      <c r="D966" s="52">
        <v>46101.570138888892</v>
      </c>
      <c r="E966" s="52">
        <v>46101.570138888892</v>
      </c>
      <c r="F966" s="52">
        <v>46101.607638888891</v>
      </c>
      <c r="G966" s="53">
        <f>F966-E966</f>
        <v>3.7499999998544808E-2</v>
      </c>
      <c r="H966" s="1" t="s">
        <v>257</v>
      </c>
      <c r="J966" s="1" t="s">
        <v>258</v>
      </c>
      <c r="K966" s="1" t="str">
        <f>_xlfn.XLOOKUP(J966,REF!$D$2:$D$12,REF!$E$2:$E$12)</f>
        <v>Rede</v>
      </c>
      <c r="L966" s="1" t="s">
        <v>527</v>
      </c>
      <c r="M966" s="1" t="s">
        <v>260</v>
      </c>
      <c r="N966" s="1" t="s">
        <v>261</v>
      </c>
      <c r="O966" s="72" t="s">
        <v>297</v>
      </c>
      <c r="P966" s="1" t="str">
        <f>_xlfn.CONCAT(B966,C966,D966,E966,F966)</f>
        <v>ARAGUATINS 1.2Inverter(MBUS-15)46101,570138888946101,570138888946101,6076388889</v>
      </c>
      <c r="Q966" s="1" t="str">
        <f>_xlfn.CONCAT(H966,I966,J966)</f>
        <v>DAURDE</v>
      </c>
    </row>
    <row r="967" spans="2:17">
      <c r="B967" s="1" t="s">
        <v>309</v>
      </c>
      <c r="C967" s="1" t="s">
        <v>310</v>
      </c>
      <c r="D967" s="52">
        <v>46101.570138888892</v>
      </c>
      <c r="E967" s="52">
        <v>46101.570138888892</v>
      </c>
      <c r="F967" s="52">
        <v>46101.607638888891</v>
      </c>
      <c r="G967" s="53">
        <f>F967-E967</f>
        <v>3.7499999998544808E-2</v>
      </c>
      <c r="H967" s="1" t="s">
        <v>257</v>
      </c>
      <c r="J967" s="1" t="s">
        <v>258</v>
      </c>
      <c r="K967" s="1" t="str">
        <f>_xlfn.XLOOKUP(J967,REF!$D$2:$D$12,REF!$E$2:$E$12)</f>
        <v>Rede</v>
      </c>
      <c r="L967" s="1" t="s">
        <v>527</v>
      </c>
      <c r="M967" s="1" t="s">
        <v>260</v>
      </c>
      <c r="N967" s="1" t="s">
        <v>261</v>
      </c>
      <c r="O967" s="72" t="s">
        <v>297</v>
      </c>
      <c r="P967" s="1" t="str">
        <f>_xlfn.CONCAT(B967,C967,D967,E967,F967)</f>
        <v>ARAGUATINS 1.3Inverter(MBUS-20)46101,570138888946101,570138888946101,6076388889</v>
      </c>
      <c r="Q967" s="1" t="str">
        <f>_xlfn.CONCAT(H967,I967,J967)</f>
        <v>DAURDE</v>
      </c>
    </row>
    <row r="968" spans="2:17">
      <c r="B968" s="1" t="s">
        <v>309</v>
      </c>
      <c r="C968" s="1" t="s">
        <v>247</v>
      </c>
      <c r="D968" s="52">
        <v>46101.570138888892</v>
      </c>
      <c r="E968" s="52">
        <v>46101.570138888892</v>
      </c>
      <c r="F968" s="52">
        <v>46101.607638888891</v>
      </c>
      <c r="G968" s="53">
        <f>F968-E968</f>
        <v>3.7499999998544808E-2</v>
      </c>
      <c r="H968" s="1" t="s">
        <v>257</v>
      </c>
      <c r="J968" s="1" t="s">
        <v>258</v>
      </c>
      <c r="K968" s="1" t="str">
        <f>_xlfn.XLOOKUP(J968,REF!$D$2:$D$12,REF!$E$2:$E$12)</f>
        <v>Rede</v>
      </c>
      <c r="L968" s="1" t="s">
        <v>527</v>
      </c>
      <c r="M968" s="1" t="s">
        <v>260</v>
      </c>
      <c r="N968" s="1" t="s">
        <v>261</v>
      </c>
      <c r="O968" s="72" t="s">
        <v>297</v>
      </c>
      <c r="P968" s="1" t="str">
        <f>_xlfn.CONCAT(B968,C968,D968,E968,F968)</f>
        <v>ARAGUATINS 1.3Inverter(MBUS-1)46101,570138888946101,570138888946101,6076388889</v>
      </c>
      <c r="Q968" s="1" t="str">
        <f>_xlfn.CONCAT(H968,I968,J968)</f>
        <v>DAURDE</v>
      </c>
    </row>
    <row r="969" spans="2:17">
      <c r="B969" s="1" t="s">
        <v>311</v>
      </c>
      <c r="C969" s="1" t="s">
        <v>256</v>
      </c>
      <c r="D969" s="52">
        <v>46101.570138888892</v>
      </c>
      <c r="E969" s="52">
        <v>46101.570138888892</v>
      </c>
      <c r="F969" s="52">
        <v>46101.607638888891</v>
      </c>
      <c r="G969" s="53">
        <f>F969-E969</f>
        <v>3.7499999998544808E-2</v>
      </c>
      <c r="H969" s="1" t="s">
        <v>257</v>
      </c>
      <c r="J969" s="1" t="s">
        <v>258</v>
      </c>
      <c r="K969" s="1" t="str">
        <f>_xlfn.XLOOKUP(J969,REF!$D$2:$D$12,REF!$E$2:$E$12)</f>
        <v>Rede</v>
      </c>
      <c r="L969" s="1" t="s">
        <v>527</v>
      </c>
      <c r="M969" s="1" t="s">
        <v>260</v>
      </c>
      <c r="N969" s="1" t="s">
        <v>261</v>
      </c>
      <c r="O969" s="72" t="s">
        <v>297</v>
      </c>
      <c r="P969" s="1" t="str">
        <f>_xlfn.CONCAT(B969,C969,D969,E969,F969)</f>
        <v>ARAGUATINS 2.1Inverter(MBUS-12)46101,570138888946101,570138888946101,6076388889</v>
      </c>
      <c r="Q969" s="1" t="str">
        <f>_xlfn.CONCAT(H969,I969,J969)</f>
        <v>DAURDE</v>
      </c>
    </row>
    <row r="970" spans="2:17">
      <c r="B970" s="1" t="s">
        <v>311</v>
      </c>
      <c r="C970" s="1" t="s">
        <v>307</v>
      </c>
      <c r="D970" s="52">
        <v>46101.570138888892</v>
      </c>
      <c r="E970" s="52">
        <v>46101.570138888892</v>
      </c>
      <c r="F970" s="52">
        <v>46101.607638888891</v>
      </c>
      <c r="G970" s="53">
        <f>F970-E970</f>
        <v>3.7499999998544808E-2</v>
      </c>
      <c r="H970" s="1" t="s">
        <v>257</v>
      </c>
      <c r="J970" s="1" t="s">
        <v>258</v>
      </c>
      <c r="K970" s="1" t="str">
        <f>_xlfn.XLOOKUP(J970,REF!$D$2:$D$12,REF!$E$2:$E$12)</f>
        <v>Rede</v>
      </c>
      <c r="L970" s="1" t="s">
        <v>527</v>
      </c>
      <c r="M970" s="1" t="s">
        <v>260</v>
      </c>
      <c r="N970" s="1" t="s">
        <v>261</v>
      </c>
      <c r="O970" s="72" t="s">
        <v>297</v>
      </c>
      <c r="P970" s="1" t="str">
        <f>_xlfn.CONCAT(B970,C970,D970,E970,F970)</f>
        <v>ARAGUATINS 2.1Inverter(MBUS-15)46101,570138888946101,570138888946101,6076388889</v>
      </c>
      <c r="Q970" s="1" t="str">
        <f>_xlfn.CONCAT(H970,I970,J970)</f>
        <v>DAURDE</v>
      </c>
    </row>
    <row r="971" spans="2:17">
      <c r="B971" s="1" t="s">
        <v>311</v>
      </c>
      <c r="C971" s="1" t="s">
        <v>263</v>
      </c>
      <c r="D971" s="52">
        <v>46101.570138888892</v>
      </c>
      <c r="E971" s="52">
        <v>46101.570138888892</v>
      </c>
      <c r="F971" s="52">
        <v>46101.607638888891</v>
      </c>
      <c r="G971" s="53">
        <f>F971-E971</f>
        <v>3.7499999998544808E-2</v>
      </c>
      <c r="H971" s="1" t="s">
        <v>257</v>
      </c>
      <c r="J971" s="1" t="s">
        <v>258</v>
      </c>
      <c r="K971" s="1" t="str">
        <f>_xlfn.XLOOKUP(J971,REF!$D$2:$D$12,REF!$E$2:$E$12)</f>
        <v>Rede</v>
      </c>
      <c r="L971" s="1" t="s">
        <v>527</v>
      </c>
      <c r="M971" s="1" t="s">
        <v>260</v>
      </c>
      <c r="N971" s="1" t="s">
        <v>261</v>
      </c>
      <c r="O971" s="72" t="s">
        <v>297</v>
      </c>
      <c r="P971" s="1" t="str">
        <f>_xlfn.CONCAT(B971,C971,D971,E971,F971)</f>
        <v>ARAGUATINS 2.1Inverter(MBUS-14)46101,570138888946101,570138888946101,6076388889</v>
      </c>
      <c r="Q971" s="1" t="str">
        <f>_xlfn.CONCAT(H971,I971,J971)</f>
        <v>DAURDE</v>
      </c>
    </row>
    <row r="972" spans="2:17">
      <c r="B972" s="1" t="s">
        <v>311</v>
      </c>
      <c r="C972" s="1" t="s">
        <v>247</v>
      </c>
      <c r="D972" s="52">
        <v>46101.570138888892</v>
      </c>
      <c r="E972" s="52">
        <v>46101.570138888892</v>
      </c>
      <c r="F972" s="52">
        <v>46101.607638888891</v>
      </c>
      <c r="G972" s="53">
        <f>F972-E972</f>
        <v>3.7499999998544808E-2</v>
      </c>
      <c r="H972" s="1" t="s">
        <v>257</v>
      </c>
      <c r="J972" s="1" t="s">
        <v>258</v>
      </c>
      <c r="K972" s="1" t="str">
        <f>_xlfn.XLOOKUP(J972,REF!$D$2:$D$12,REF!$E$2:$E$12)</f>
        <v>Rede</v>
      </c>
      <c r="L972" s="1" t="s">
        <v>527</v>
      </c>
      <c r="M972" s="1" t="s">
        <v>260</v>
      </c>
      <c r="N972" s="1" t="s">
        <v>261</v>
      </c>
      <c r="O972" s="72" t="s">
        <v>297</v>
      </c>
      <c r="P972" s="1" t="str">
        <f>_xlfn.CONCAT(B972,C972,D972,E972,F972)</f>
        <v>ARAGUATINS 2.1Inverter(MBUS-1)46101,570138888946101,570138888946101,6076388889</v>
      </c>
      <c r="Q972" s="1" t="str">
        <f>_xlfn.CONCAT(H972,I972,J972)</f>
        <v>DAURDE</v>
      </c>
    </row>
    <row r="973" spans="2:17">
      <c r="B973" s="1" t="s">
        <v>312</v>
      </c>
      <c r="C973" s="1" t="s">
        <v>307</v>
      </c>
      <c r="D973" s="52">
        <v>46101.570138888892</v>
      </c>
      <c r="E973" s="52">
        <v>46101.570138888892</v>
      </c>
      <c r="F973" s="52">
        <v>46101.607638888891</v>
      </c>
      <c r="G973" s="53">
        <f>F973-E973</f>
        <v>3.7499999998544808E-2</v>
      </c>
      <c r="H973" s="1" t="s">
        <v>257</v>
      </c>
      <c r="J973" s="1" t="s">
        <v>258</v>
      </c>
      <c r="K973" s="1" t="str">
        <f>_xlfn.XLOOKUP(J973,REF!$D$2:$D$12,REF!$E$2:$E$12)</f>
        <v>Rede</v>
      </c>
      <c r="L973" s="1" t="s">
        <v>527</v>
      </c>
      <c r="M973" s="1" t="s">
        <v>260</v>
      </c>
      <c r="N973" s="1" t="s">
        <v>261</v>
      </c>
      <c r="O973" s="72" t="s">
        <v>297</v>
      </c>
      <c r="P973" s="1" t="str">
        <f>_xlfn.CONCAT(B973,C973,D973,E973,F973)</f>
        <v>ARAGUATINS 2.2Inverter(MBUS-15)46101,570138888946101,570138888946101,6076388889</v>
      </c>
      <c r="Q973" s="1" t="str">
        <f>_xlfn.CONCAT(H973,I973,J973)</f>
        <v>DAURDE</v>
      </c>
    </row>
    <row r="974" spans="2:17">
      <c r="B974" s="1" t="s">
        <v>312</v>
      </c>
      <c r="C974" s="1" t="s">
        <v>264</v>
      </c>
      <c r="D974" s="52">
        <v>46101.570138888892</v>
      </c>
      <c r="E974" s="52">
        <v>46101.570138888892</v>
      </c>
      <c r="F974" s="52">
        <v>46101.607638888891</v>
      </c>
      <c r="G974" s="53">
        <f>F974-E974</f>
        <v>3.7499999998544808E-2</v>
      </c>
      <c r="H974" s="1" t="s">
        <v>257</v>
      </c>
      <c r="J974" s="1" t="s">
        <v>258</v>
      </c>
      <c r="K974" s="1" t="str">
        <f>_xlfn.XLOOKUP(J974,REF!$D$2:$D$12,REF!$E$2:$E$12)</f>
        <v>Rede</v>
      </c>
      <c r="L974" s="1" t="s">
        <v>527</v>
      </c>
      <c r="M974" s="1" t="s">
        <v>260</v>
      </c>
      <c r="N974" s="1" t="s">
        <v>261</v>
      </c>
      <c r="O974" s="72" t="s">
        <v>297</v>
      </c>
      <c r="P974" s="1" t="str">
        <f>_xlfn.CONCAT(B974,C974,D974,E974,F974)</f>
        <v>ARAGUATINS 2.2Inverter(MBUS-13)46101,570138888946101,570138888946101,6076388889</v>
      </c>
      <c r="Q974" s="1" t="str">
        <f>_xlfn.CONCAT(H974,I974,J974)</f>
        <v>DAURDE</v>
      </c>
    </row>
    <row r="975" spans="2:17">
      <c r="B975" s="1" t="s">
        <v>312</v>
      </c>
      <c r="C975" s="1" t="s">
        <v>263</v>
      </c>
      <c r="D975" s="52">
        <v>46101.570138888892</v>
      </c>
      <c r="E975" s="52">
        <v>46101.570138888892</v>
      </c>
      <c r="F975" s="52">
        <v>46101.607638888891</v>
      </c>
      <c r="G975" s="53">
        <f>F975-E975</f>
        <v>3.7499999998544808E-2</v>
      </c>
      <c r="H975" s="1" t="s">
        <v>257</v>
      </c>
      <c r="J975" s="1" t="s">
        <v>258</v>
      </c>
      <c r="K975" s="1" t="str">
        <f>_xlfn.XLOOKUP(J975,REF!$D$2:$D$12,REF!$E$2:$E$12)</f>
        <v>Rede</v>
      </c>
      <c r="L975" s="1" t="s">
        <v>527</v>
      </c>
      <c r="M975" s="1" t="s">
        <v>260</v>
      </c>
      <c r="N975" s="1" t="s">
        <v>261</v>
      </c>
      <c r="O975" s="72" t="s">
        <v>297</v>
      </c>
      <c r="P975" s="1" t="str">
        <f>_xlfn.CONCAT(B975,C975,D975,E975,F975)</f>
        <v>ARAGUATINS 2.2Inverter(MBUS-14)46101,570138888946101,570138888946101,6076388889</v>
      </c>
      <c r="Q975" s="1" t="str">
        <f>_xlfn.CONCAT(H975,I975,J975)</f>
        <v>DAURDE</v>
      </c>
    </row>
    <row r="976" spans="2:17">
      <c r="B976" s="1" t="s">
        <v>312</v>
      </c>
      <c r="C976" s="1" t="s">
        <v>256</v>
      </c>
      <c r="D976" s="52">
        <v>46101.570138888892</v>
      </c>
      <c r="E976" s="52">
        <v>46101.570138888892</v>
      </c>
      <c r="F976" s="52">
        <v>46101.607638888891</v>
      </c>
      <c r="G976" s="53">
        <f>F976-E976</f>
        <v>3.7499999998544808E-2</v>
      </c>
      <c r="H976" s="1" t="s">
        <v>257</v>
      </c>
      <c r="J976" s="1" t="s">
        <v>258</v>
      </c>
      <c r="K976" s="1" t="str">
        <f>_xlfn.XLOOKUP(J976,REF!$D$2:$D$12,REF!$E$2:$E$12)</f>
        <v>Rede</v>
      </c>
      <c r="L976" s="1" t="s">
        <v>527</v>
      </c>
      <c r="M976" s="1" t="s">
        <v>260</v>
      </c>
      <c r="N976" s="1" t="s">
        <v>261</v>
      </c>
      <c r="O976" s="72" t="s">
        <v>297</v>
      </c>
      <c r="P976" s="1" t="str">
        <f>_xlfn.CONCAT(B976,C976,D976,E976,F976)</f>
        <v>ARAGUATINS 2.2Inverter(MBUS-12)46101,570138888946101,570138888946101,6076388889</v>
      </c>
      <c r="Q976" s="1" t="str">
        <f>_xlfn.CONCAT(H976,I976,J976)</f>
        <v>DAURDE</v>
      </c>
    </row>
    <row r="977" spans="2:17">
      <c r="B977" s="1" t="s">
        <v>313</v>
      </c>
      <c r="C977" s="1" t="s">
        <v>256</v>
      </c>
      <c r="D977" s="52">
        <v>46101.570138888892</v>
      </c>
      <c r="E977" s="52">
        <v>46101.570138888892</v>
      </c>
      <c r="F977" s="52">
        <v>46101.607638888891</v>
      </c>
      <c r="G977" s="74">
        <f>F977-E977</f>
        <v>3.7499999998544808E-2</v>
      </c>
      <c r="H977" s="1" t="s">
        <v>257</v>
      </c>
      <c r="J977" s="1" t="s">
        <v>258</v>
      </c>
      <c r="K977" s="1" t="str">
        <f>_xlfn.XLOOKUP(J977,REF!$D$2:$D$12,REF!$E$2:$E$12)</f>
        <v>Rede</v>
      </c>
      <c r="L977" s="1" t="s">
        <v>527</v>
      </c>
      <c r="M977" s="1" t="s">
        <v>260</v>
      </c>
      <c r="N977" s="1" t="s">
        <v>261</v>
      </c>
      <c r="O977" s="72" t="s">
        <v>297</v>
      </c>
      <c r="P977" s="1" t="str">
        <f t="shared" ref="P977:P1040" si="36">_xlfn.CONCAT(B977,C977,D977,E977,F977)</f>
        <v>ARAGUATINS 2.3Inverter(MBUS-12)46101,570138888946101,570138888946101,6076388889</v>
      </c>
      <c r="Q977" s="1" t="str">
        <f>_xlfn.CONCAT(H977,I977,J977)</f>
        <v>DAURDE</v>
      </c>
    </row>
    <row r="978" spans="2:17">
      <c r="B978" s="1" t="s">
        <v>313</v>
      </c>
      <c r="C978" s="1" t="s">
        <v>264</v>
      </c>
      <c r="D978" s="52">
        <v>46101.570138888892</v>
      </c>
      <c r="E978" s="52">
        <v>46101.570138888892</v>
      </c>
      <c r="F978" s="52">
        <v>46101.607638888891</v>
      </c>
      <c r="G978" s="74">
        <f>F978-E978</f>
        <v>3.7499999998544808E-2</v>
      </c>
      <c r="H978" s="1" t="s">
        <v>257</v>
      </c>
      <c r="J978" s="1" t="s">
        <v>258</v>
      </c>
      <c r="K978" s="1" t="str">
        <f>_xlfn.XLOOKUP(J978,REF!$D$2:$D$12,REF!$E$2:$E$12)</f>
        <v>Rede</v>
      </c>
      <c r="L978" s="1" t="s">
        <v>527</v>
      </c>
      <c r="M978" s="1" t="s">
        <v>260</v>
      </c>
      <c r="N978" s="1" t="s">
        <v>261</v>
      </c>
      <c r="O978" s="72" t="s">
        <v>297</v>
      </c>
      <c r="P978" s="1" t="str">
        <f t="shared" si="36"/>
        <v>ARAGUATINS 2.3Inverter(MBUS-13)46101,570138888946101,570138888946101,6076388889</v>
      </c>
      <c r="Q978" s="1" t="str">
        <f>_xlfn.CONCAT(H978,I978,J978)</f>
        <v>DAURDE</v>
      </c>
    </row>
    <row r="979" spans="2:17">
      <c r="B979" s="1" t="s">
        <v>305</v>
      </c>
      <c r="C979" s="1" t="s">
        <v>256</v>
      </c>
      <c r="D979" s="73">
        <v>46101.619444444441</v>
      </c>
      <c r="E979" s="73">
        <v>46101.619444444441</v>
      </c>
      <c r="F979" s="73">
        <v>46101.680555555555</v>
      </c>
      <c r="G979" s="74">
        <f>F979-E979</f>
        <v>6.1111111113859806E-2</v>
      </c>
      <c r="H979" s="1" t="s">
        <v>257</v>
      </c>
      <c r="J979" s="1" t="s">
        <v>258</v>
      </c>
      <c r="K979" s="1" t="str">
        <f>_xlfn.XLOOKUP(J979,REF!$D$2:$D$12,REF!$E$2:$E$12)</f>
        <v>Rede</v>
      </c>
      <c r="L979" s="1" t="s">
        <v>527</v>
      </c>
      <c r="M979" s="1" t="s">
        <v>260</v>
      </c>
      <c r="N979" s="1" t="s">
        <v>261</v>
      </c>
      <c r="O979" s="72" t="s">
        <v>297</v>
      </c>
      <c r="P979" s="1" t="str">
        <f t="shared" si="36"/>
        <v>ARAGUATINS 1.1Inverter(MBUS-12)46101,619444444446101,619444444446101,6805555556</v>
      </c>
      <c r="Q979" s="1" t="str">
        <f t="shared" ref="Q979:Q1042" si="37">_xlfn.CONCAT(H979,I979,J979)</f>
        <v>DAURDE</v>
      </c>
    </row>
    <row r="980" spans="2:17">
      <c r="B980" s="1" t="s">
        <v>305</v>
      </c>
      <c r="C980" s="1" t="s">
        <v>264</v>
      </c>
      <c r="D980" s="73">
        <v>46101.619444444441</v>
      </c>
      <c r="E980" s="73">
        <v>46101.619444444441</v>
      </c>
      <c r="F980" s="73">
        <v>46101.680555555555</v>
      </c>
      <c r="G980" s="53">
        <f>F980-E980</f>
        <v>6.1111111113859806E-2</v>
      </c>
      <c r="H980" s="1" t="s">
        <v>257</v>
      </c>
      <c r="J980" s="1" t="s">
        <v>258</v>
      </c>
      <c r="K980" s="1" t="str">
        <f>_xlfn.XLOOKUP(J980,REF!$D$2:$D$12,REF!$E$2:$E$12)</f>
        <v>Rede</v>
      </c>
      <c r="L980" s="1" t="s">
        <v>527</v>
      </c>
      <c r="M980" s="1" t="s">
        <v>260</v>
      </c>
      <c r="N980" s="1" t="s">
        <v>261</v>
      </c>
      <c r="O980" s="72" t="s">
        <v>297</v>
      </c>
      <c r="P980" s="1" t="str">
        <f t="shared" si="36"/>
        <v>ARAGUATINS 1.1Inverter(MBUS-13)46101,619444444446101,619444444446101,6805555556</v>
      </c>
      <c r="Q980" s="1" t="str">
        <f t="shared" si="37"/>
        <v>DAURDE</v>
      </c>
    </row>
    <row r="981" spans="2:17">
      <c r="B981" s="1" t="s">
        <v>305</v>
      </c>
      <c r="C981" s="1" t="s">
        <v>263</v>
      </c>
      <c r="D981" s="73">
        <v>46101.619444444441</v>
      </c>
      <c r="E981" s="73">
        <v>46101.619444444441</v>
      </c>
      <c r="F981" s="73">
        <v>46101.680555555555</v>
      </c>
      <c r="G981" s="53">
        <f>F981-E981</f>
        <v>6.1111111113859806E-2</v>
      </c>
      <c r="H981" s="1" t="s">
        <v>257</v>
      </c>
      <c r="J981" s="1" t="s">
        <v>258</v>
      </c>
      <c r="K981" s="1" t="str">
        <f>_xlfn.XLOOKUP(J981,REF!$D$2:$D$12,REF!$E$2:$E$12)</f>
        <v>Rede</v>
      </c>
      <c r="L981" s="1" t="s">
        <v>527</v>
      </c>
      <c r="M981" s="1" t="s">
        <v>260</v>
      </c>
      <c r="N981" s="1" t="s">
        <v>261</v>
      </c>
      <c r="O981" s="72" t="s">
        <v>297</v>
      </c>
      <c r="P981" s="1" t="str">
        <f t="shared" si="36"/>
        <v>ARAGUATINS 1.1Inverter(MBUS-14)46101,619444444446101,619444444446101,6805555556</v>
      </c>
      <c r="Q981" s="1" t="str">
        <f t="shared" si="37"/>
        <v>DAURDE</v>
      </c>
    </row>
    <row r="982" spans="2:17">
      <c r="B982" s="1" t="s">
        <v>305</v>
      </c>
      <c r="C982" s="1" t="s">
        <v>307</v>
      </c>
      <c r="D982" s="73">
        <v>46101.619444444441</v>
      </c>
      <c r="E982" s="73">
        <v>46101.619444444441</v>
      </c>
      <c r="F982" s="73">
        <v>46101.680555555555</v>
      </c>
      <c r="G982" s="53">
        <f>F982-E982</f>
        <v>6.1111111113859806E-2</v>
      </c>
      <c r="H982" s="1" t="s">
        <v>257</v>
      </c>
      <c r="J982" s="1" t="s">
        <v>258</v>
      </c>
      <c r="K982" s="1" t="str">
        <f>_xlfn.XLOOKUP(J982,REF!$D$2:$D$12,REF!$E$2:$E$12)</f>
        <v>Rede</v>
      </c>
      <c r="L982" s="1" t="s">
        <v>527</v>
      </c>
      <c r="M982" s="1" t="s">
        <v>260</v>
      </c>
      <c r="N982" s="1" t="s">
        <v>261</v>
      </c>
      <c r="O982" s="72" t="s">
        <v>297</v>
      </c>
      <c r="P982" s="1" t="str">
        <f t="shared" si="36"/>
        <v>ARAGUATINS 1.1Inverter(MBUS-15)46101,619444444446101,619444444446101,6805555556</v>
      </c>
      <c r="Q982" s="1" t="str">
        <f t="shared" si="37"/>
        <v>DAURDE</v>
      </c>
    </row>
    <row r="983" spans="2:17">
      <c r="B983" s="1" t="s">
        <v>308</v>
      </c>
      <c r="C983" s="1" t="s">
        <v>256</v>
      </c>
      <c r="D983" s="73">
        <v>46101.619444444441</v>
      </c>
      <c r="E983" s="73">
        <v>46101.619444444441</v>
      </c>
      <c r="F983" s="73">
        <v>46101.680555555555</v>
      </c>
      <c r="G983" s="53">
        <f>F983-E983</f>
        <v>6.1111111113859806E-2</v>
      </c>
      <c r="H983" s="1" t="s">
        <v>257</v>
      </c>
      <c r="J983" s="1" t="s">
        <v>258</v>
      </c>
      <c r="K983" s="1" t="str">
        <f>_xlfn.XLOOKUP(J983,REF!$D$2:$D$12,REF!$E$2:$E$12)</f>
        <v>Rede</v>
      </c>
      <c r="L983" s="1" t="s">
        <v>527</v>
      </c>
      <c r="M983" s="1" t="s">
        <v>260</v>
      </c>
      <c r="N983" s="1" t="s">
        <v>261</v>
      </c>
      <c r="O983" s="72" t="s">
        <v>297</v>
      </c>
      <c r="P983" s="1" t="str">
        <f t="shared" si="36"/>
        <v>ARAGUATINS 1.2Inverter(MBUS-12)46101,619444444446101,619444444446101,6805555556</v>
      </c>
      <c r="Q983" s="1" t="str">
        <f t="shared" si="37"/>
        <v>DAURDE</v>
      </c>
    </row>
    <row r="984" spans="2:17">
      <c r="B984" s="1" t="s">
        <v>308</v>
      </c>
      <c r="C984" s="1" t="s">
        <v>264</v>
      </c>
      <c r="D984" s="73">
        <v>46101.619444444441</v>
      </c>
      <c r="E984" s="73">
        <v>46101.619444444441</v>
      </c>
      <c r="F984" s="73">
        <v>46101.680555555555</v>
      </c>
      <c r="G984" s="53">
        <f>F984-E984</f>
        <v>6.1111111113859806E-2</v>
      </c>
      <c r="H984" s="1" t="s">
        <v>257</v>
      </c>
      <c r="J984" s="1" t="s">
        <v>258</v>
      </c>
      <c r="K984" s="1" t="str">
        <f>_xlfn.XLOOKUP(J984,REF!$D$2:$D$12,REF!$E$2:$E$12)</f>
        <v>Rede</v>
      </c>
      <c r="L984" s="1" t="s">
        <v>527</v>
      </c>
      <c r="M984" s="1" t="s">
        <v>260</v>
      </c>
      <c r="N984" s="1" t="s">
        <v>261</v>
      </c>
      <c r="O984" s="72" t="s">
        <v>297</v>
      </c>
      <c r="P984" s="1" t="str">
        <f t="shared" si="36"/>
        <v>ARAGUATINS 1.2Inverter(MBUS-13)46101,619444444446101,619444444446101,6805555556</v>
      </c>
      <c r="Q984" s="1" t="str">
        <f t="shared" si="37"/>
        <v>DAURDE</v>
      </c>
    </row>
    <row r="985" spans="2:17">
      <c r="B985" s="1" t="s">
        <v>308</v>
      </c>
      <c r="C985" s="1" t="s">
        <v>263</v>
      </c>
      <c r="D985" s="73">
        <v>46101.619444444441</v>
      </c>
      <c r="E985" s="73">
        <v>46101.619444444441</v>
      </c>
      <c r="F985" s="73">
        <v>46101.680555555555</v>
      </c>
      <c r="G985" s="53">
        <f>F985-E985</f>
        <v>6.1111111113859806E-2</v>
      </c>
      <c r="H985" s="1" t="s">
        <v>257</v>
      </c>
      <c r="J985" s="1" t="s">
        <v>258</v>
      </c>
      <c r="K985" s="1" t="str">
        <f>_xlfn.XLOOKUP(J985,REF!$D$2:$D$12,REF!$E$2:$E$12)</f>
        <v>Rede</v>
      </c>
      <c r="L985" s="1" t="s">
        <v>527</v>
      </c>
      <c r="M985" s="1" t="s">
        <v>260</v>
      </c>
      <c r="N985" s="1" t="s">
        <v>261</v>
      </c>
      <c r="O985" s="72" t="s">
        <v>297</v>
      </c>
      <c r="P985" s="1" t="str">
        <f t="shared" si="36"/>
        <v>ARAGUATINS 1.2Inverter(MBUS-14)46101,619444444446101,619444444446101,6805555556</v>
      </c>
      <c r="Q985" s="1" t="str">
        <f t="shared" si="37"/>
        <v>DAURDE</v>
      </c>
    </row>
    <row r="986" spans="2:17">
      <c r="B986" s="1" t="s">
        <v>308</v>
      </c>
      <c r="C986" s="1" t="s">
        <v>307</v>
      </c>
      <c r="D986" s="73">
        <v>46101.619444444441</v>
      </c>
      <c r="E986" s="73">
        <v>46101.619444444441</v>
      </c>
      <c r="F986" s="73">
        <v>46101.680555555555</v>
      </c>
      <c r="G986" s="53">
        <f>F986-E986</f>
        <v>6.1111111113859806E-2</v>
      </c>
      <c r="H986" s="1" t="s">
        <v>257</v>
      </c>
      <c r="J986" s="1" t="s">
        <v>258</v>
      </c>
      <c r="K986" s="1" t="str">
        <f>_xlfn.XLOOKUP(J986,REF!$D$2:$D$12,REF!$E$2:$E$12)</f>
        <v>Rede</v>
      </c>
      <c r="L986" s="1" t="s">
        <v>527</v>
      </c>
      <c r="M986" s="1" t="s">
        <v>260</v>
      </c>
      <c r="N986" s="1" t="s">
        <v>261</v>
      </c>
      <c r="O986" s="72" t="s">
        <v>297</v>
      </c>
      <c r="P986" s="1" t="str">
        <f t="shared" si="36"/>
        <v>ARAGUATINS 1.2Inverter(MBUS-15)46101,619444444446101,619444444446101,6805555556</v>
      </c>
      <c r="Q986" s="1" t="str">
        <f t="shared" si="37"/>
        <v>DAURDE</v>
      </c>
    </row>
    <row r="987" spans="2:17">
      <c r="B987" s="1" t="s">
        <v>309</v>
      </c>
      <c r="C987" s="1" t="s">
        <v>310</v>
      </c>
      <c r="D987" s="73">
        <v>46101.619444444441</v>
      </c>
      <c r="E987" s="73">
        <v>46101.619444444441</v>
      </c>
      <c r="F987" s="73">
        <v>46101.680555555555</v>
      </c>
      <c r="G987" s="53">
        <f>F987-E987</f>
        <v>6.1111111113859806E-2</v>
      </c>
      <c r="H987" s="1" t="s">
        <v>257</v>
      </c>
      <c r="J987" s="1" t="s">
        <v>258</v>
      </c>
      <c r="K987" s="1" t="str">
        <f>_xlfn.XLOOKUP(J987,REF!$D$2:$D$12,REF!$E$2:$E$12)</f>
        <v>Rede</v>
      </c>
      <c r="L987" s="1" t="s">
        <v>527</v>
      </c>
      <c r="M987" s="1" t="s">
        <v>260</v>
      </c>
      <c r="N987" s="1" t="s">
        <v>261</v>
      </c>
      <c r="O987" s="72" t="s">
        <v>297</v>
      </c>
      <c r="P987" s="1" t="str">
        <f t="shared" si="36"/>
        <v>ARAGUATINS 1.3Inverter(MBUS-20)46101,619444444446101,619444444446101,6805555556</v>
      </c>
      <c r="Q987" s="1" t="str">
        <f t="shared" si="37"/>
        <v>DAURDE</v>
      </c>
    </row>
    <row r="988" spans="2:17">
      <c r="B988" s="1" t="s">
        <v>309</v>
      </c>
      <c r="C988" s="1" t="s">
        <v>247</v>
      </c>
      <c r="D988" s="73">
        <v>46101.619444444441</v>
      </c>
      <c r="E988" s="73">
        <v>46101.619444444441</v>
      </c>
      <c r="F988" s="73">
        <v>46101.680555555555</v>
      </c>
      <c r="G988" s="53">
        <f>F988-E988</f>
        <v>6.1111111113859806E-2</v>
      </c>
      <c r="H988" s="1" t="s">
        <v>257</v>
      </c>
      <c r="J988" s="1" t="s">
        <v>258</v>
      </c>
      <c r="K988" s="1" t="str">
        <f>_xlfn.XLOOKUP(J988,REF!$D$2:$D$12,REF!$E$2:$E$12)</f>
        <v>Rede</v>
      </c>
      <c r="L988" s="1" t="s">
        <v>527</v>
      </c>
      <c r="M988" s="1" t="s">
        <v>260</v>
      </c>
      <c r="N988" s="1" t="s">
        <v>261</v>
      </c>
      <c r="O988" s="72" t="s">
        <v>297</v>
      </c>
      <c r="P988" s="1" t="str">
        <f t="shared" si="36"/>
        <v>ARAGUATINS 1.3Inverter(MBUS-1)46101,619444444446101,619444444446101,6805555556</v>
      </c>
      <c r="Q988" s="1" t="str">
        <f t="shared" si="37"/>
        <v>DAURDE</v>
      </c>
    </row>
    <row r="989" spans="2:17">
      <c r="B989" s="1" t="s">
        <v>311</v>
      </c>
      <c r="C989" s="1" t="s">
        <v>256</v>
      </c>
      <c r="D989" s="73">
        <v>46101.619444444441</v>
      </c>
      <c r="E989" s="73">
        <v>46101.619444444441</v>
      </c>
      <c r="F989" s="73">
        <v>46101.680555555555</v>
      </c>
      <c r="G989" s="53">
        <f>F989-E989</f>
        <v>6.1111111113859806E-2</v>
      </c>
      <c r="H989" s="1" t="s">
        <v>257</v>
      </c>
      <c r="J989" s="1" t="s">
        <v>258</v>
      </c>
      <c r="K989" s="1" t="str">
        <f>_xlfn.XLOOKUP(J989,REF!$D$2:$D$12,REF!$E$2:$E$12)</f>
        <v>Rede</v>
      </c>
      <c r="L989" s="1" t="s">
        <v>527</v>
      </c>
      <c r="M989" s="1" t="s">
        <v>260</v>
      </c>
      <c r="N989" s="1" t="s">
        <v>261</v>
      </c>
      <c r="O989" s="72" t="s">
        <v>297</v>
      </c>
      <c r="P989" s="1" t="str">
        <f t="shared" si="36"/>
        <v>ARAGUATINS 2.1Inverter(MBUS-12)46101,619444444446101,619444444446101,6805555556</v>
      </c>
      <c r="Q989" s="1" t="str">
        <f t="shared" si="37"/>
        <v>DAURDE</v>
      </c>
    </row>
    <row r="990" spans="2:17">
      <c r="B990" s="1" t="s">
        <v>311</v>
      </c>
      <c r="C990" s="1" t="s">
        <v>307</v>
      </c>
      <c r="D990" s="73">
        <v>46101.619444444441</v>
      </c>
      <c r="E990" s="73">
        <v>46101.619444444441</v>
      </c>
      <c r="F990" s="73">
        <v>46101.680555555555</v>
      </c>
      <c r="G990" s="53">
        <f>F990-E990</f>
        <v>6.1111111113859806E-2</v>
      </c>
      <c r="H990" s="1" t="s">
        <v>257</v>
      </c>
      <c r="J990" s="1" t="s">
        <v>258</v>
      </c>
      <c r="K990" s="1" t="str">
        <f>_xlfn.XLOOKUP(J990,REF!$D$2:$D$12,REF!$E$2:$E$12)</f>
        <v>Rede</v>
      </c>
      <c r="L990" s="1" t="s">
        <v>527</v>
      </c>
      <c r="M990" s="1" t="s">
        <v>260</v>
      </c>
      <c r="N990" s="1" t="s">
        <v>261</v>
      </c>
      <c r="O990" s="72" t="s">
        <v>297</v>
      </c>
      <c r="P990" s="1" t="str">
        <f t="shared" si="36"/>
        <v>ARAGUATINS 2.1Inverter(MBUS-15)46101,619444444446101,619444444446101,6805555556</v>
      </c>
      <c r="Q990" s="1" t="str">
        <f t="shared" si="37"/>
        <v>DAURDE</v>
      </c>
    </row>
    <row r="991" spans="2:17">
      <c r="B991" s="1" t="s">
        <v>311</v>
      </c>
      <c r="C991" s="1" t="s">
        <v>263</v>
      </c>
      <c r="D991" s="73">
        <v>46101.619444444441</v>
      </c>
      <c r="E991" s="73">
        <v>46101.619444444441</v>
      </c>
      <c r="F991" s="73">
        <v>46101.680555555555</v>
      </c>
      <c r="G991" s="53">
        <f>F991-E991</f>
        <v>6.1111111113859806E-2</v>
      </c>
      <c r="H991" s="1" t="s">
        <v>257</v>
      </c>
      <c r="J991" s="1" t="s">
        <v>258</v>
      </c>
      <c r="K991" s="1" t="str">
        <f>_xlfn.XLOOKUP(J991,REF!$D$2:$D$12,REF!$E$2:$E$12)</f>
        <v>Rede</v>
      </c>
      <c r="L991" s="1" t="s">
        <v>527</v>
      </c>
      <c r="M991" s="1" t="s">
        <v>260</v>
      </c>
      <c r="N991" s="1" t="s">
        <v>261</v>
      </c>
      <c r="O991" s="72" t="s">
        <v>297</v>
      </c>
      <c r="P991" s="1" t="str">
        <f t="shared" si="36"/>
        <v>ARAGUATINS 2.1Inverter(MBUS-14)46101,619444444446101,619444444446101,6805555556</v>
      </c>
      <c r="Q991" s="1" t="str">
        <f t="shared" si="37"/>
        <v>DAURDE</v>
      </c>
    </row>
    <row r="992" spans="2:17">
      <c r="B992" s="1" t="s">
        <v>311</v>
      </c>
      <c r="C992" s="1" t="s">
        <v>247</v>
      </c>
      <c r="D992" s="73">
        <v>46101.619444444441</v>
      </c>
      <c r="E992" s="73">
        <v>46101.619444444441</v>
      </c>
      <c r="F992" s="73">
        <v>46101.680555555555</v>
      </c>
      <c r="G992" s="53">
        <f>F992-E992</f>
        <v>6.1111111113859806E-2</v>
      </c>
      <c r="H992" s="1" t="s">
        <v>257</v>
      </c>
      <c r="J992" s="1" t="s">
        <v>258</v>
      </c>
      <c r="K992" s="1" t="str">
        <f>_xlfn.XLOOKUP(J992,REF!$D$2:$D$12,REF!$E$2:$E$12)</f>
        <v>Rede</v>
      </c>
      <c r="L992" s="1" t="s">
        <v>527</v>
      </c>
      <c r="M992" s="1" t="s">
        <v>260</v>
      </c>
      <c r="N992" s="1" t="s">
        <v>261</v>
      </c>
      <c r="O992" s="72" t="s">
        <v>297</v>
      </c>
      <c r="P992" s="1" t="str">
        <f t="shared" si="36"/>
        <v>ARAGUATINS 2.1Inverter(MBUS-1)46101,619444444446101,619444444446101,6805555556</v>
      </c>
      <c r="Q992" s="1" t="str">
        <f t="shared" si="37"/>
        <v>DAURDE</v>
      </c>
    </row>
    <row r="993" spans="2:17">
      <c r="B993" s="1" t="s">
        <v>312</v>
      </c>
      <c r="C993" s="1" t="s">
        <v>307</v>
      </c>
      <c r="D993" s="73">
        <v>46101.619444444441</v>
      </c>
      <c r="E993" s="73">
        <v>46101.619444444441</v>
      </c>
      <c r="F993" s="73">
        <v>46101.680555555555</v>
      </c>
      <c r="G993" s="53">
        <f>F993-E993</f>
        <v>6.1111111113859806E-2</v>
      </c>
      <c r="H993" s="1" t="s">
        <v>257</v>
      </c>
      <c r="J993" s="1" t="s">
        <v>258</v>
      </c>
      <c r="K993" s="1" t="str">
        <f>_xlfn.XLOOKUP(J993,REF!$D$2:$D$12,REF!$E$2:$E$12)</f>
        <v>Rede</v>
      </c>
      <c r="L993" s="1" t="s">
        <v>527</v>
      </c>
      <c r="M993" s="1" t="s">
        <v>260</v>
      </c>
      <c r="N993" s="1" t="s">
        <v>261</v>
      </c>
      <c r="O993" s="72" t="s">
        <v>297</v>
      </c>
      <c r="P993" s="1" t="str">
        <f t="shared" si="36"/>
        <v>ARAGUATINS 2.2Inverter(MBUS-15)46101,619444444446101,619444444446101,6805555556</v>
      </c>
      <c r="Q993" s="1" t="str">
        <f t="shared" si="37"/>
        <v>DAURDE</v>
      </c>
    </row>
    <row r="994" spans="2:17">
      <c r="B994" s="1" t="s">
        <v>312</v>
      </c>
      <c r="C994" s="1" t="s">
        <v>264</v>
      </c>
      <c r="D994" s="73">
        <v>46101.619444444441</v>
      </c>
      <c r="E994" s="73">
        <v>46101.619444444441</v>
      </c>
      <c r="F994" s="73">
        <v>46101.680555555555</v>
      </c>
      <c r="G994" s="53">
        <f>F994-E994</f>
        <v>6.1111111113859806E-2</v>
      </c>
      <c r="H994" s="1" t="s">
        <v>257</v>
      </c>
      <c r="J994" s="1" t="s">
        <v>258</v>
      </c>
      <c r="K994" s="1" t="str">
        <f>_xlfn.XLOOKUP(J994,REF!$D$2:$D$12,REF!$E$2:$E$12)</f>
        <v>Rede</v>
      </c>
      <c r="L994" s="1" t="s">
        <v>527</v>
      </c>
      <c r="M994" s="1" t="s">
        <v>260</v>
      </c>
      <c r="N994" s="1" t="s">
        <v>261</v>
      </c>
      <c r="O994" s="72" t="s">
        <v>297</v>
      </c>
      <c r="P994" s="1" t="str">
        <f t="shared" si="36"/>
        <v>ARAGUATINS 2.2Inverter(MBUS-13)46101,619444444446101,619444444446101,6805555556</v>
      </c>
      <c r="Q994" s="1" t="str">
        <f t="shared" si="37"/>
        <v>DAURDE</v>
      </c>
    </row>
    <row r="995" spans="2:17">
      <c r="B995" s="1" t="s">
        <v>312</v>
      </c>
      <c r="C995" s="1" t="s">
        <v>263</v>
      </c>
      <c r="D995" s="73">
        <v>46101.619444444441</v>
      </c>
      <c r="E995" s="73">
        <v>46101.619444444441</v>
      </c>
      <c r="F995" s="73">
        <v>46101.680555555555</v>
      </c>
      <c r="G995" s="53">
        <f>F995-E995</f>
        <v>6.1111111113859806E-2</v>
      </c>
      <c r="H995" s="1" t="s">
        <v>257</v>
      </c>
      <c r="J995" s="1" t="s">
        <v>258</v>
      </c>
      <c r="K995" s="1" t="str">
        <f>_xlfn.XLOOKUP(J995,REF!$D$2:$D$12,REF!$E$2:$E$12)</f>
        <v>Rede</v>
      </c>
      <c r="L995" s="1" t="s">
        <v>527</v>
      </c>
      <c r="M995" s="1" t="s">
        <v>260</v>
      </c>
      <c r="N995" s="1" t="s">
        <v>261</v>
      </c>
      <c r="O995" s="72" t="s">
        <v>297</v>
      </c>
      <c r="P995" s="1" t="str">
        <f t="shared" si="36"/>
        <v>ARAGUATINS 2.2Inverter(MBUS-14)46101,619444444446101,619444444446101,6805555556</v>
      </c>
      <c r="Q995" s="1" t="str">
        <f t="shared" si="37"/>
        <v>DAURDE</v>
      </c>
    </row>
    <row r="996" spans="2:17">
      <c r="B996" s="1" t="s">
        <v>312</v>
      </c>
      <c r="C996" s="1" t="s">
        <v>256</v>
      </c>
      <c r="D996" s="73">
        <v>46101.619444444441</v>
      </c>
      <c r="E996" s="73">
        <v>46101.619444444441</v>
      </c>
      <c r="F996" s="73">
        <v>46101.680555555555</v>
      </c>
      <c r="G996" s="53">
        <f>F996-E996</f>
        <v>6.1111111113859806E-2</v>
      </c>
      <c r="H996" s="1" t="s">
        <v>257</v>
      </c>
      <c r="J996" s="1" t="s">
        <v>258</v>
      </c>
      <c r="K996" s="1" t="str">
        <f>_xlfn.XLOOKUP(J996,REF!$D$2:$D$12,REF!$E$2:$E$12)</f>
        <v>Rede</v>
      </c>
      <c r="L996" s="1" t="s">
        <v>527</v>
      </c>
      <c r="M996" s="1" t="s">
        <v>260</v>
      </c>
      <c r="N996" s="1" t="s">
        <v>261</v>
      </c>
      <c r="O996" s="72" t="s">
        <v>297</v>
      </c>
      <c r="P996" s="1" t="str">
        <f t="shared" si="36"/>
        <v>ARAGUATINS 2.2Inverter(MBUS-12)46101,619444444446101,619444444446101,6805555556</v>
      </c>
      <c r="Q996" s="1" t="str">
        <f t="shared" si="37"/>
        <v>DAURDE</v>
      </c>
    </row>
    <row r="997" spans="2:17">
      <c r="B997" s="1" t="s">
        <v>313</v>
      </c>
      <c r="C997" s="1" t="s">
        <v>256</v>
      </c>
      <c r="D997" s="73">
        <v>46101.619444444441</v>
      </c>
      <c r="E997" s="73">
        <v>46101.619444444441</v>
      </c>
      <c r="F997" s="73">
        <v>46101.680555555555</v>
      </c>
      <c r="G997" s="53">
        <f>F997-E997</f>
        <v>6.1111111113859806E-2</v>
      </c>
      <c r="H997" s="1" t="s">
        <v>257</v>
      </c>
      <c r="J997" s="1" t="s">
        <v>258</v>
      </c>
      <c r="K997" s="1" t="str">
        <f>_xlfn.XLOOKUP(J997,REF!$D$2:$D$12,REF!$E$2:$E$12)</f>
        <v>Rede</v>
      </c>
      <c r="L997" s="1" t="s">
        <v>527</v>
      </c>
      <c r="M997" s="1" t="s">
        <v>260</v>
      </c>
      <c r="N997" s="1" t="s">
        <v>261</v>
      </c>
      <c r="O997" s="72" t="s">
        <v>297</v>
      </c>
      <c r="P997" s="1" t="str">
        <f t="shared" si="36"/>
        <v>ARAGUATINS 2.3Inverter(MBUS-12)46101,619444444446101,619444444446101,6805555556</v>
      </c>
      <c r="Q997" s="1" t="str">
        <f t="shared" si="37"/>
        <v>DAURDE</v>
      </c>
    </row>
    <row r="998" spans="2:17">
      <c r="B998" s="1" t="s">
        <v>313</v>
      </c>
      <c r="C998" s="1" t="s">
        <v>264</v>
      </c>
      <c r="D998" s="73">
        <v>46101.619444444441</v>
      </c>
      <c r="E998" s="73">
        <v>46101.619444444441</v>
      </c>
      <c r="F998" s="73">
        <v>46101.680555555555</v>
      </c>
      <c r="G998" s="53">
        <f>F998-E998</f>
        <v>6.1111111113859806E-2</v>
      </c>
      <c r="H998" s="1" t="s">
        <v>257</v>
      </c>
      <c r="J998" s="1" t="s">
        <v>258</v>
      </c>
      <c r="K998" s="1" t="str">
        <f>_xlfn.XLOOKUP(J998,REF!$D$2:$D$12,REF!$E$2:$E$12)</f>
        <v>Rede</v>
      </c>
      <c r="L998" s="1" t="s">
        <v>527</v>
      </c>
      <c r="M998" s="1" t="s">
        <v>260</v>
      </c>
      <c r="N998" s="1" t="s">
        <v>261</v>
      </c>
      <c r="O998" s="72" t="s">
        <v>297</v>
      </c>
      <c r="P998" s="1" t="str">
        <f t="shared" si="36"/>
        <v>ARAGUATINS 2.3Inverter(MBUS-13)46101,619444444446101,619444444446101,6805555556</v>
      </c>
      <c r="Q998" s="1" t="str">
        <f t="shared" si="37"/>
        <v>DAURDE</v>
      </c>
    </row>
    <row r="999" spans="2:17">
      <c r="G999" s="53">
        <f>F999-E999</f>
        <v>0</v>
      </c>
      <c r="K999" s="1" t="e">
        <f>_xlfn.XLOOKUP(J999,REF!$D$2:$D$12,REF!$E$2:$E$12)</f>
        <v>#N/A</v>
      </c>
      <c r="P999" s="1" t="str">
        <f t="shared" si="36"/>
        <v/>
      </c>
      <c r="Q999" s="1" t="str">
        <f t="shared" si="37"/>
        <v/>
      </c>
    </row>
    <row r="1000" spans="2:17">
      <c r="G1000" s="53">
        <f>F1000-E1000</f>
        <v>0</v>
      </c>
      <c r="K1000" s="1" t="e">
        <f>_xlfn.XLOOKUP(J1000,REF!$D$2:$D$12,REF!$E$2:$E$12)</f>
        <v>#N/A</v>
      </c>
      <c r="P1000" s="1" t="str">
        <f t="shared" si="36"/>
        <v/>
      </c>
      <c r="Q1000" s="1" t="str">
        <f t="shared" si="37"/>
        <v/>
      </c>
    </row>
    <row r="1001" spans="2:17">
      <c r="G1001" s="53">
        <f>F1001-E1001</f>
        <v>0</v>
      </c>
      <c r="K1001" s="1" t="e">
        <f>_xlfn.XLOOKUP(J1001,REF!$D$2:$D$12,REF!$E$2:$E$12)</f>
        <v>#N/A</v>
      </c>
      <c r="P1001" s="1" t="str">
        <f t="shared" si="36"/>
        <v/>
      </c>
      <c r="Q1001" s="1" t="str">
        <f t="shared" si="37"/>
        <v/>
      </c>
    </row>
    <row r="1002" spans="2:17">
      <c r="G1002" s="53">
        <f>F1002-E1002</f>
        <v>0</v>
      </c>
      <c r="K1002" s="1" t="e">
        <f>_xlfn.XLOOKUP(J1002,REF!$D$2:$D$12,REF!$E$2:$E$12)</f>
        <v>#N/A</v>
      </c>
      <c r="P1002" s="1" t="str">
        <f t="shared" si="36"/>
        <v/>
      </c>
      <c r="Q1002" s="1" t="str">
        <f t="shared" si="37"/>
        <v/>
      </c>
    </row>
    <row r="1003" spans="2:17">
      <c r="G1003" s="53">
        <f>F1003-E1003</f>
        <v>0</v>
      </c>
      <c r="K1003" s="1" t="e">
        <f>_xlfn.XLOOKUP(J1003,REF!$D$2:$D$12,REF!$E$2:$E$12)</f>
        <v>#N/A</v>
      </c>
      <c r="P1003" s="1" t="str">
        <f t="shared" si="36"/>
        <v/>
      </c>
      <c r="Q1003" s="1" t="str">
        <f t="shared" si="37"/>
        <v/>
      </c>
    </row>
    <row r="1004" spans="2:17">
      <c r="G1004" s="53">
        <f>F1004-E1004</f>
        <v>0</v>
      </c>
      <c r="K1004" s="1" t="e">
        <f>_xlfn.XLOOKUP(J1004,REF!$D$2:$D$12,REF!$E$2:$E$12)</f>
        <v>#N/A</v>
      </c>
      <c r="P1004" s="1" t="str">
        <f t="shared" si="36"/>
        <v/>
      </c>
      <c r="Q1004" s="1" t="str">
        <f t="shared" si="37"/>
        <v/>
      </c>
    </row>
    <row r="1005" spans="2:17">
      <c r="G1005" s="53">
        <f>F1005-E1005</f>
        <v>0</v>
      </c>
      <c r="K1005" s="1" t="e">
        <f>_xlfn.XLOOKUP(J1005,REF!$D$2:$D$12,REF!$E$2:$E$12)</f>
        <v>#N/A</v>
      </c>
      <c r="P1005" s="1" t="str">
        <f t="shared" si="36"/>
        <v/>
      </c>
      <c r="Q1005" s="1" t="str">
        <f t="shared" si="37"/>
        <v/>
      </c>
    </row>
    <row r="1006" spans="2:17">
      <c r="G1006" s="53">
        <f>F1006-E1006</f>
        <v>0</v>
      </c>
      <c r="K1006" s="1" t="e">
        <f>_xlfn.XLOOKUP(J1006,REF!$D$2:$D$12,REF!$E$2:$E$12)</f>
        <v>#N/A</v>
      </c>
      <c r="P1006" s="1" t="str">
        <f t="shared" si="36"/>
        <v/>
      </c>
      <c r="Q1006" s="1" t="str">
        <f t="shared" si="37"/>
        <v/>
      </c>
    </row>
    <row r="1007" spans="2:17">
      <c r="G1007" s="53">
        <f>F1007-E1007</f>
        <v>0</v>
      </c>
      <c r="K1007" s="1" t="e">
        <f>_xlfn.XLOOKUP(J1007,REF!$D$2:$D$12,REF!$E$2:$E$12)</f>
        <v>#N/A</v>
      </c>
      <c r="P1007" s="1" t="str">
        <f t="shared" si="36"/>
        <v/>
      </c>
      <c r="Q1007" s="1" t="str">
        <f t="shared" si="37"/>
        <v/>
      </c>
    </row>
    <row r="1008" spans="2:17">
      <c r="G1008" s="53">
        <f>F1008-E1008</f>
        <v>0</v>
      </c>
      <c r="K1008" s="1" t="e">
        <f>_xlfn.XLOOKUP(J1008,REF!$D$2:$D$12,REF!$E$2:$E$12)</f>
        <v>#N/A</v>
      </c>
      <c r="P1008" s="1" t="str">
        <f t="shared" si="36"/>
        <v/>
      </c>
      <c r="Q1008" s="1" t="str">
        <f t="shared" si="37"/>
        <v/>
      </c>
    </row>
    <row r="1009" spans="7:17">
      <c r="G1009" s="53">
        <f>F1009-E1009</f>
        <v>0</v>
      </c>
      <c r="K1009" s="1" t="e">
        <f>_xlfn.XLOOKUP(J1009,REF!$D$2:$D$12,REF!$E$2:$E$12)</f>
        <v>#N/A</v>
      </c>
      <c r="P1009" s="1" t="str">
        <f t="shared" si="36"/>
        <v/>
      </c>
      <c r="Q1009" s="1" t="str">
        <f t="shared" si="37"/>
        <v/>
      </c>
    </row>
    <row r="1010" spans="7:17">
      <c r="G1010" s="53">
        <f>F1010-E1010</f>
        <v>0</v>
      </c>
      <c r="K1010" s="1" t="e">
        <f>_xlfn.XLOOKUP(J1010,REF!$D$2:$D$12,REF!$E$2:$E$12)</f>
        <v>#N/A</v>
      </c>
      <c r="P1010" s="1" t="str">
        <f t="shared" si="36"/>
        <v/>
      </c>
      <c r="Q1010" s="1" t="str">
        <f t="shared" si="37"/>
        <v/>
      </c>
    </row>
    <row r="1011" spans="7:17">
      <c r="G1011" s="53">
        <f>F1011-E1011</f>
        <v>0</v>
      </c>
      <c r="K1011" s="1" t="e">
        <f>_xlfn.XLOOKUP(J1011,REF!$D$2:$D$12,REF!$E$2:$E$12)</f>
        <v>#N/A</v>
      </c>
      <c r="P1011" s="1" t="str">
        <f t="shared" si="36"/>
        <v/>
      </c>
      <c r="Q1011" s="1" t="str">
        <f t="shared" si="37"/>
        <v/>
      </c>
    </row>
    <row r="1012" spans="7:17">
      <c r="G1012" s="53">
        <f>F1012-E1012</f>
        <v>0</v>
      </c>
      <c r="K1012" s="1" t="e">
        <f>_xlfn.XLOOKUP(J1012,REF!$D$2:$D$12,REF!$E$2:$E$12)</f>
        <v>#N/A</v>
      </c>
      <c r="P1012" s="1" t="str">
        <f t="shared" si="36"/>
        <v/>
      </c>
      <c r="Q1012" s="1" t="str">
        <f t="shared" si="37"/>
        <v/>
      </c>
    </row>
    <row r="1013" spans="7:17">
      <c r="G1013" s="53">
        <f>F1013-E1013</f>
        <v>0</v>
      </c>
      <c r="K1013" s="1" t="e">
        <f>_xlfn.XLOOKUP(J1013,REF!$D$2:$D$12,REF!$E$2:$E$12)</f>
        <v>#N/A</v>
      </c>
      <c r="P1013" s="1" t="str">
        <f t="shared" si="36"/>
        <v/>
      </c>
      <c r="Q1013" s="1" t="str">
        <f t="shared" si="37"/>
        <v/>
      </c>
    </row>
    <row r="1014" spans="7:17">
      <c r="G1014" s="53">
        <f>F1014-E1014</f>
        <v>0</v>
      </c>
      <c r="K1014" s="1" t="e">
        <f>_xlfn.XLOOKUP(J1014,REF!$D$2:$D$12,REF!$E$2:$E$12)</f>
        <v>#N/A</v>
      </c>
      <c r="P1014" s="1" t="str">
        <f t="shared" si="36"/>
        <v/>
      </c>
      <c r="Q1014" s="1" t="str">
        <f t="shared" si="37"/>
        <v/>
      </c>
    </row>
    <row r="1015" spans="7:17">
      <c r="G1015" s="53">
        <f>F1015-E1015</f>
        <v>0</v>
      </c>
      <c r="K1015" s="1" t="e">
        <f>_xlfn.XLOOKUP(J1015,REF!$D$2:$D$12,REF!$E$2:$E$12)</f>
        <v>#N/A</v>
      </c>
      <c r="P1015" s="1" t="str">
        <f t="shared" si="36"/>
        <v/>
      </c>
      <c r="Q1015" s="1" t="str">
        <f t="shared" si="37"/>
        <v/>
      </c>
    </row>
    <row r="1016" spans="7:17">
      <c r="G1016" s="53">
        <f>F1016-E1016</f>
        <v>0</v>
      </c>
      <c r="K1016" s="1" t="e">
        <f>_xlfn.XLOOKUP(J1016,REF!$D$2:$D$12,REF!$E$2:$E$12)</f>
        <v>#N/A</v>
      </c>
      <c r="P1016" s="1" t="str">
        <f t="shared" si="36"/>
        <v/>
      </c>
      <c r="Q1016" s="1" t="str">
        <f t="shared" si="37"/>
        <v/>
      </c>
    </row>
    <row r="1017" spans="7:17">
      <c r="G1017" s="53">
        <f>F1017-E1017</f>
        <v>0</v>
      </c>
      <c r="K1017" s="1" t="e">
        <f>_xlfn.XLOOKUP(J1017,REF!$D$2:$D$12,REF!$E$2:$E$12)</f>
        <v>#N/A</v>
      </c>
      <c r="P1017" s="1" t="str">
        <f t="shared" si="36"/>
        <v/>
      </c>
      <c r="Q1017" s="1" t="str">
        <f t="shared" si="37"/>
        <v/>
      </c>
    </row>
    <row r="1018" spans="7:17">
      <c r="G1018" s="53">
        <f>F1018-E1018</f>
        <v>0</v>
      </c>
      <c r="K1018" s="1" t="e">
        <f>_xlfn.XLOOKUP(J1018,REF!$D$2:$D$12,REF!$E$2:$E$12)</f>
        <v>#N/A</v>
      </c>
      <c r="P1018" s="1" t="str">
        <f t="shared" si="36"/>
        <v/>
      </c>
      <c r="Q1018" s="1" t="str">
        <f t="shared" si="37"/>
        <v/>
      </c>
    </row>
    <row r="1019" spans="7:17">
      <c r="G1019" s="53">
        <f>F1019-E1019</f>
        <v>0</v>
      </c>
      <c r="K1019" s="1" t="e">
        <f>_xlfn.XLOOKUP(J1019,REF!$D$2:$D$12,REF!$E$2:$E$12)</f>
        <v>#N/A</v>
      </c>
      <c r="P1019" s="1" t="str">
        <f t="shared" si="36"/>
        <v/>
      </c>
      <c r="Q1019" s="1" t="str">
        <f t="shared" si="37"/>
        <v/>
      </c>
    </row>
    <row r="1020" spans="7:17">
      <c r="G1020" s="53">
        <f>F1020-E1020</f>
        <v>0</v>
      </c>
      <c r="K1020" s="1" t="e">
        <f>_xlfn.XLOOKUP(J1020,REF!$D$2:$D$12,REF!$E$2:$E$12)</f>
        <v>#N/A</v>
      </c>
      <c r="P1020" s="1" t="str">
        <f t="shared" si="36"/>
        <v/>
      </c>
      <c r="Q1020" s="1" t="str">
        <f t="shared" si="37"/>
        <v/>
      </c>
    </row>
    <row r="1021" spans="7:17">
      <c r="G1021" s="53">
        <f>F1021-E1021</f>
        <v>0</v>
      </c>
      <c r="K1021" s="1" t="e">
        <f>_xlfn.XLOOKUP(J1021,REF!$D$2:$D$12,REF!$E$2:$E$12)</f>
        <v>#N/A</v>
      </c>
      <c r="O1021" s="72"/>
      <c r="P1021" s="1" t="str">
        <f t="shared" si="36"/>
        <v/>
      </c>
      <c r="Q1021" s="1" t="str">
        <f t="shared" si="37"/>
        <v/>
      </c>
    </row>
    <row r="1022" spans="7:17">
      <c r="G1022" s="53">
        <f>F1022-E1022</f>
        <v>0</v>
      </c>
      <c r="K1022" s="1" t="e">
        <f>_xlfn.XLOOKUP(J1022,REF!$D$2:$D$12,REF!$E$2:$E$12)</f>
        <v>#N/A</v>
      </c>
      <c r="O1022" s="72"/>
      <c r="P1022" s="1" t="str">
        <f t="shared" si="36"/>
        <v/>
      </c>
      <c r="Q1022" s="1" t="str">
        <f t="shared" si="37"/>
        <v/>
      </c>
    </row>
    <row r="1023" spans="7:17">
      <c r="G1023" s="53">
        <f>F1023-E1023</f>
        <v>0</v>
      </c>
      <c r="K1023" s="1" t="e">
        <f>_xlfn.XLOOKUP(J1023,REF!$D$2:$D$12,REF!$E$2:$E$12)</f>
        <v>#N/A</v>
      </c>
      <c r="O1023" s="72"/>
      <c r="P1023" s="1" t="str">
        <f t="shared" si="36"/>
        <v/>
      </c>
      <c r="Q1023" s="1" t="str">
        <f t="shared" si="37"/>
        <v/>
      </c>
    </row>
    <row r="1024" spans="7:17">
      <c r="G1024" s="53">
        <f>F1024-E1024</f>
        <v>0</v>
      </c>
      <c r="K1024" s="1" t="e">
        <f>_xlfn.XLOOKUP(J1024,REF!$D$2:$D$12,REF!$E$2:$E$12)</f>
        <v>#N/A</v>
      </c>
      <c r="O1024" s="72"/>
      <c r="P1024" s="1" t="str">
        <f t="shared" si="36"/>
        <v/>
      </c>
      <c r="Q1024" s="1" t="str">
        <f t="shared" si="37"/>
        <v/>
      </c>
    </row>
    <row r="1025" spans="7:17">
      <c r="G1025" s="53">
        <f>F1025-E1025</f>
        <v>0</v>
      </c>
      <c r="K1025" s="1" t="e">
        <f>_xlfn.XLOOKUP(J1025,REF!$D$2:$D$12,REF!$E$2:$E$12)</f>
        <v>#N/A</v>
      </c>
      <c r="O1025" s="72"/>
      <c r="P1025" s="1" t="str">
        <f t="shared" si="36"/>
        <v/>
      </c>
      <c r="Q1025" s="1" t="str">
        <f t="shared" si="37"/>
        <v/>
      </c>
    </row>
    <row r="1026" spans="7:17">
      <c r="G1026" s="53">
        <f>F1026-E1026</f>
        <v>0</v>
      </c>
      <c r="K1026" s="1" t="e">
        <f>_xlfn.XLOOKUP(J1026,REF!$D$2:$D$12,REF!$E$2:$E$12)</f>
        <v>#N/A</v>
      </c>
      <c r="O1026" s="72"/>
      <c r="P1026" s="1" t="str">
        <f t="shared" si="36"/>
        <v/>
      </c>
      <c r="Q1026" s="1" t="str">
        <f t="shared" si="37"/>
        <v/>
      </c>
    </row>
    <row r="1027" spans="7:17">
      <c r="G1027" s="53">
        <f>F1027-E1027</f>
        <v>0</v>
      </c>
      <c r="K1027" s="1" t="e">
        <f>_xlfn.XLOOKUP(J1027,REF!$D$2:$D$12,REF!$E$2:$E$12)</f>
        <v>#N/A</v>
      </c>
      <c r="O1027" s="72"/>
      <c r="P1027" s="1" t="str">
        <f t="shared" si="36"/>
        <v/>
      </c>
      <c r="Q1027" s="1" t="str">
        <f t="shared" si="37"/>
        <v/>
      </c>
    </row>
    <row r="1028" spans="7:17">
      <c r="G1028" s="53">
        <f>F1028-E1028</f>
        <v>0</v>
      </c>
      <c r="K1028" s="1" t="e">
        <f>_xlfn.XLOOKUP(J1028,REF!$D$2:$D$12,REF!$E$2:$E$12)</f>
        <v>#N/A</v>
      </c>
      <c r="O1028" s="72"/>
      <c r="P1028" s="1" t="str">
        <f t="shared" si="36"/>
        <v/>
      </c>
      <c r="Q1028" s="1" t="str">
        <f t="shared" si="37"/>
        <v/>
      </c>
    </row>
    <row r="1029" spans="7:17">
      <c r="G1029" s="53">
        <f>F1029-E1029</f>
        <v>0</v>
      </c>
      <c r="K1029" s="1" t="e">
        <f>_xlfn.XLOOKUP(J1029,REF!$D$2:$D$12,REF!$E$2:$E$12)</f>
        <v>#N/A</v>
      </c>
      <c r="O1029" s="72"/>
      <c r="P1029" s="1" t="str">
        <f t="shared" si="36"/>
        <v/>
      </c>
      <c r="Q1029" s="1" t="str">
        <f t="shared" si="37"/>
        <v/>
      </c>
    </row>
    <row r="1030" spans="7:17">
      <c r="G1030" s="53">
        <f>F1030-E1030</f>
        <v>0</v>
      </c>
      <c r="K1030" s="1" t="e">
        <f>_xlfn.XLOOKUP(J1030,REF!$D$2:$D$12,REF!$E$2:$E$12)</f>
        <v>#N/A</v>
      </c>
      <c r="O1030" s="72"/>
      <c r="P1030" s="1" t="str">
        <f t="shared" si="36"/>
        <v/>
      </c>
      <c r="Q1030" s="1" t="str">
        <f t="shared" si="37"/>
        <v/>
      </c>
    </row>
    <row r="1031" spans="7:17">
      <c r="G1031" s="53">
        <f>F1031-E1031</f>
        <v>0</v>
      </c>
      <c r="K1031" s="1" t="e">
        <f>_xlfn.XLOOKUP(J1031,REF!$D$2:$D$12,REF!$E$2:$E$12)</f>
        <v>#N/A</v>
      </c>
      <c r="O1031" s="72"/>
      <c r="P1031" s="1" t="str">
        <f t="shared" si="36"/>
        <v/>
      </c>
      <c r="Q1031" s="1" t="str">
        <f t="shared" si="37"/>
        <v/>
      </c>
    </row>
    <row r="1032" spans="7:17">
      <c r="G1032" s="53">
        <f>F1032-E1032</f>
        <v>0</v>
      </c>
      <c r="K1032" s="1" t="e">
        <f>_xlfn.XLOOKUP(J1032,REF!$D$2:$D$12,REF!$E$2:$E$12)</f>
        <v>#N/A</v>
      </c>
      <c r="O1032" s="72"/>
      <c r="P1032" s="1" t="str">
        <f t="shared" si="36"/>
        <v/>
      </c>
      <c r="Q1032" s="1" t="str">
        <f t="shared" si="37"/>
        <v/>
      </c>
    </row>
    <row r="1033" spans="7:17">
      <c r="G1033" s="53">
        <f>F1033-E1033</f>
        <v>0</v>
      </c>
      <c r="K1033" s="1" t="e">
        <f>_xlfn.XLOOKUP(J1033,REF!$D$2:$D$12,REF!$E$2:$E$12)</f>
        <v>#N/A</v>
      </c>
      <c r="O1033" s="72"/>
      <c r="P1033" s="1" t="str">
        <f t="shared" si="36"/>
        <v/>
      </c>
      <c r="Q1033" s="1" t="str">
        <f t="shared" si="37"/>
        <v/>
      </c>
    </row>
    <row r="1034" spans="7:17">
      <c r="G1034" s="53">
        <f>F1034-E1034</f>
        <v>0</v>
      </c>
      <c r="K1034" s="1" t="e">
        <f>_xlfn.XLOOKUP(J1034,REF!$D$2:$D$12,REF!$E$2:$E$12)</f>
        <v>#N/A</v>
      </c>
      <c r="O1034" s="72"/>
      <c r="P1034" s="1" t="str">
        <f t="shared" si="36"/>
        <v/>
      </c>
      <c r="Q1034" s="1" t="str">
        <f t="shared" si="37"/>
        <v/>
      </c>
    </row>
    <row r="1035" spans="7:17">
      <c r="G1035" s="53">
        <f>F1035-E1035</f>
        <v>0</v>
      </c>
      <c r="K1035" s="1" t="e">
        <f>_xlfn.XLOOKUP(J1035,REF!$D$2:$D$12,REF!$E$2:$E$12)</f>
        <v>#N/A</v>
      </c>
      <c r="O1035" s="72"/>
      <c r="P1035" s="1" t="str">
        <f t="shared" si="36"/>
        <v/>
      </c>
      <c r="Q1035" s="1" t="str">
        <f t="shared" si="37"/>
        <v/>
      </c>
    </row>
    <row r="1036" spans="7:17">
      <c r="G1036" s="53">
        <f>F1036-E1036</f>
        <v>0</v>
      </c>
      <c r="K1036" s="1" t="e">
        <f>_xlfn.XLOOKUP(J1036,REF!$D$2:$D$12,REF!$E$2:$E$12)</f>
        <v>#N/A</v>
      </c>
      <c r="O1036" s="72"/>
      <c r="P1036" s="1" t="str">
        <f t="shared" si="36"/>
        <v/>
      </c>
      <c r="Q1036" s="1" t="str">
        <f t="shared" si="37"/>
        <v/>
      </c>
    </row>
    <row r="1037" spans="7:17">
      <c r="G1037" s="53">
        <f>F1037-E1037</f>
        <v>0</v>
      </c>
      <c r="K1037" s="1" t="e">
        <f>_xlfn.XLOOKUP(J1037,REF!$D$2:$D$12,REF!$E$2:$E$12)</f>
        <v>#N/A</v>
      </c>
      <c r="O1037" s="72"/>
      <c r="P1037" s="1" t="str">
        <f t="shared" si="36"/>
        <v/>
      </c>
      <c r="Q1037" s="1" t="str">
        <f t="shared" si="37"/>
        <v/>
      </c>
    </row>
    <row r="1038" spans="7:17">
      <c r="G1038" s="53">
        <f>F1038-E1038</f>
        <v>0</v>
      </c>
      <c r="K1038" s="1" t="e">
        <f>_xlfn.XLOOKUP(J1038,REF!$D$2:$D$12,REF!$E$2:$E$12)</f>
        <v>#N/A</v>
      </c>
      <c r="O1038" s="72"/>
      <c r="P1038" s="1" t="str">
        <f t="shared" si="36"/>
        <v/>
      </c>
      <c r="Q1038" s="1" t="str">
        <f t="shared" si="37"/>
        <v/>
      </c>
    </row>
    <row r="1039" spans="7:17">
      <c r="G1039" s="53">
        <f>F1039-E1039</f>
        <v>0</v>
      </c>
      <c r="K1039" s="1" t="e">
        <f>_xlfn.XLOOKUP(J1039,REF!$D$2:$D$12,REF!$E$2:$E$12)</f>
        <v>#N/A</v>
      </c>
      <c r="O1039" s="72"/>
      <c r="P1039" s="1" t="str">
        <f t="shared" si="36"/>
        <v/>
      </c>
      <c r="Q1039" s="1" t="str">
        <f t="shared" si="37"/>
        <v/>
      </c>
    </row>
    <row r="1040" spans="7:17">
      <c r="G1040" s="53">
        <f>F1040-E1040</f>
        <v>0</v>
      </c>
      <c r="K1040" s="1" t="e">
        <f>_xlfn.XLOOKUP(J1040,REF!$D$2:$D$12,REF!$E$2:$E$12)</f>
        <v>#N/A</v>
      </c>
      <c r="O1040" s="72"/>
      <c r="P1040" s="1" t="str">
        <f t="shared" si="36"/>
        <v/>
      </c>
      <c r="Q1040" s="1" t="str">
        <f t="shared" si="37"/>
        <v/>
      </c>
    </row>
    <row r="1041" spans="7:17">
      <c r="G1041" s="53">
        <f>F1041-E1041</f>
        <v>0</v>
      </c>
      <c r="K1041" s="1" t="e">
        <f>_xlfn.XLOOKUP(J1041,REF!$D$2:$D$12,REF!$E$2:$E$12)</f>
        <v>#N/A</v>
      </c>
      <c r="P1041" s="1" t="str">
        <f t="shared" ref="P1041:P1050" si="38">_xlfn.CONCAT(B1041,C1041,D1041,E1041,F1041)</f>
        <v/>
      </c>
      <c r="Q1041" s="1" t="str">
        <f t="shared" si="37"/>
        <v/>
      </c>
    </row>
    <row r="1042" spans="7:17">
      <c r="G1042" s="53">
        <f>F1042-E1042</f>
        <v>0</v>
      </c>
      <c r="K1042" s="1" t="e">
        <f>_xlfn.XLOOKUP(J1042,REF!$D$2:$D$12,REF!$E$2:$E$12)</f>
        <v>#N/A</v>
      </c>
      <c r="P1042" s="1" t="str">
        <f t="shared" si="38"/>
        <v/>
      </c>
      <c r="Q1042" s="1" t="str">
        <f t="shared" si="37"/>
        <v/>
      </c>
    </row>
    <row r="1043" spans="7:17">
      <c r="G1043" s="53">
        <f>F1043-E1043</f>
        <v>0</v>
      </c>
      <c r="K1043" s="1" t="e">
        <f>_xlfn.XLOOKUP(J1043,REF!$D$2:$D$12,REF!$E$2:$E$12)</f>
        <v>#N/A</v>
      </c>
      <c r="P1043" s="1" t="str">
        <f t="shared" si="38"/>
        <v/>
      </c>
      <c r="Q1043" s="1" t="str">
        <f t="shared" ref="Q1043:Q1106" si="39">_xlfn.CONCAT(H1043,I1043,J1043)</f>
        <v/>
      </c>
    </row>
    <row r="1044" spans="7:17">
      <c r="G1044" s="53">
        <f>F1044-E1044</f>
        <v>0</v>
      </c>
      <c r="K1044" s="1" t="e">
        <f>_xlfn.XLOOKUP(J1044,REF!$D$2:$D$12,REF!$E$2:$E$12)</f>
        <v>#N/A</v>
      </c>
      <c r="P1044" s="1" t="str">
        <f t="shared" si="38"/>
        <v/>
      </c>
      <c r="Q1044" s="1" t="str">
        <f t="shared" si="39"/>
        <v/>
      </c>
    </row>
    <row r="1045" spans="7:17">
      <c r="G1045" s="53">
        <f>F1045-E1045</f>
        <v>0</v>
      </c>
      <c r="K1045" s="1" t="e">
        <f>_xlfn.XLOOKUP(J1045,REF!$D$2:$D$12,REF!$E$2:$E$12)</f>
        <v>#N/A</v>
      </c>
      <c r="P1045" s="1" t="str">
        <f t="shared" si="38"/>
        <v/>
      </c>
      <c r="Q1045" s="1" t="str">
        <f t="shared" si="39"/>
        <v/>
      </c>
    </row>
    <row r="1046" spans="7:17">
      <c r="G1046" s="53">
        <f>F1046-E1046</f>
        <v>0</v>
      </c>
      <c r="K1046" s="1" t="e">
        <f>_xlfn.XLOOKUP(J1046,REF!$D$2:$D$12,REF!$E$2:$E$12)</f>
        <v>#N/A</v>
      </c>
      <c r="P1046" s="1" t="str">
        <f t="shared" si="38"/>
        <v/>
      </c>
      <c r="Q1046" s="1" t="str">
        <f t="shared" si="39"/>
        <v/>
      </c>
    </row>
    <row r="1047" spans="7:17">
      <c r="G1047" s="53">
        <f>F1047-E1047</f>
        <v>0</v>
      </c>
      <c r="K1047" s="1" t="e">
        <f>_xlfn.XLOOKUP(J1047,REF!$D$2:$D$12,REF!$E$2:$E$12)</f>
        <v>#N/A</v>
      </c>
      <c r="P1047" s="1" t="str">
        <f t="shared" si="38"/>
        <v/>
      </c>
      <c r="Q1047" s="1" t="str">
        <f t="shared" si="39"/>
        <v/>
      </c>
    </row>
    <row r="1048" spans="7:17">
      <c r="G1048" s="53">
        <f>F1048-E1048</f>
        <v>0</v>
      </c>
      <c r="K1048" s="1" t="e">
        <f>_xlfn.XLOOKUP(J1048,REF!$D$2:$D$12,REF!$E$2:$E$12)</f>
        <v>#N/A</v>
      </c>
      <c r="P1048" s="1" t="str">
        <f t="shared" si="38"/>
        <v/>
      </c>
      <c r="Q1048" s="1" t="str">
        <f t="shared" si="39"/>
        <v/>
      </c>
    </row>
    <row r="1049" spans="7:17">
      <c r="G1049" s="53">
        <f>F1049-E1049</f>
        <v>0</v>
      </c>
      <c r="K1049" s="1" t="e">
        <f>_xlfn.XLOOKUP(J1049,REF!$D$2:$D$12,REF!$E$2:$E$12)</f>
        <v>#N/A</v>
      </c>
      <c r="P1049" s="1" t="str">
        <f t="shared" si="38"/>
        <v/>
      </c>
      <c r="Q1049" s="1" t="str">
        <f t="shared" si="39"/>
        <v/>
      </c>
    </row>
    <row r="1050" spans="7:17">
      <c r="G1050" s="53">
        <f>F1050-E1050</f>
        <v>0</v>
      </c>
      <c r="K1050" s="1" t="e">
        <f>_xlfn.XLOOKUP(J1050,REF!$D$2:$D$12,REF!$E$2:$E$12)</f>
        <v>#N/A</v>
      </c>
      <c r="P1050" s="1" t="str">
        <f t="shared" si="38"/>
        <v/>
      </c>
      <c r="Q1050" s="1" t="str">
        <f t="shared" si="39"/>
        <v/>
      </c>
    </row>
    <row r="1051" spans="7:17">
      <c r="G1051" s="53">
        <f>F1051-E1051</f>
        <v>0</v>
      </c>
      <c r="K1051" s="1" t="e">
        <f>_xlfn.XLOOKUP(J1051,REF!$D$2:$D$12,REF!$E$2:$E$12)</f>
        <v>#N/A</v>
      </c>
      <c r="P1051" s="1" t="str">
        <f>_xlfn.CONCAT(B1051,C1051,D1051,E1051,F1051)</f>
        <v/>
      </c>
      <c r="Q1051" s="1" t="str">
        <f t="shared" si="39"/>
        <v/>
      </c>
    </row>
    <row r="1052" spans="7:17">
      <c r="G1052" s="53">
        <f>F1052-E1052</f>
        <v>0</v>
      </c>
      <c r="K1052" s="1" t="e">
        <f>_xlfn.XLOOKUP(J1052,REF!$D$2:$D$12,REF!$E$2:$E$12)</f>
        <v>#N/A</v>
      </c>
      <c r="P1052" s="1" t="str">
        <f>_xlfn.CONCAT(B1052,C1052,D1052,E1052,F1052)</f>
        <v/>
      </c>
      <c r="Q1052" s="1" t="str">
        <f t="shared" si="39"/>
        <v/>
      </c>
    </row>
    <row r="1053" spans="7:17">
      <c r="G1053" s="53">
        <f>F1053-E1053</f>
        <v>0</v>
      </c>
      <c r="K1053" s="1" t="e">
        <f>_xlfn.XLOOKUP(J1053,REF!$D$2:$D$12,REF!$E$2:$E$12)</f>
        <v>#N/A</v>
      </c>
      <c r="P1053" s="1" t="str">
        <f>_xlfn.CONCAT(B1053,C1053,D1053,E1053,F1053)</f>
        <v/>
      </c>
      <c r="Q1053" s="1" t="str">
        <f t="shared" si="39"/>
        <v/>
      </c>
    </row>
    <row r="1054" spans="7:17">
      <c r="G1054" s="53">
        <f>F1054-E1054</f>
        <v>0</v>
      </c>
      <c r="K1054" s="1" t="e">
        <f>_xlfn.XLOOKUP(J1054,REF!$D$2:$D$12,REF!$E$2:$E$12)</f>
        <v>#N/A</v>
      </c>
      <c r="P1054" s="1" t="str">
        <f>_xlfn.CONCAT(B1054,C1054,D1054,E1054,F1054)</f>
        <v/>
      </c>
      <c r="Q1054" s="1" t="str">
        <f t="shared" si="39"/>
        <v/>
      </c>
    </row>
    <row r="1055" spans="7:17">
      <c r="G1055" s="53">
        <f>F1055-E1055</f>
        <v>0</v>
      </c>
      <c r="K1055" s="1" t="e">
        <f>_xlfn.XLOOKUP(J1055,REF!$D$2:$D$12,REF!$E$2:$E$12)</f>
        <v>#N/A</v>
      </c>
      <c r="P1055" s="1" t="str">
        <f>_xlfn.CONCAT(B1055,C1055,D1055,E1055,F1055)</f>
        <v/>
      </c>
      <c r="Q1055" s="1" t="str">
        <f t="shared" si="39"/>
        <v/>
      </c>
    </row>
    <row r="1056" spans="7:17">
      <c r="G1056" s="53">
        <f>F1056-E1056</f>
        <v>0</v>
      </c>
      <c r="K1056" s="1" t="e">
        <f>_xlfn.XLOOKUP(J1056,REF!$D$2:$D$12,REF!$E$2:$E$12)</f>
        <v>#N/A</v>
      </c>
      <c r="P1056" s="1" t="str">
        <f>_xlfn.CONCAT(B1056,C1056,D1056,E1056,F1056)</f>
        <v/>
      </c>
      <c r="Q1056" s="1" t="str">
        <f t="shared" si="39"/>
        <v/>
      </c>
    </row>
    <row r="1057" spans="7:17">
      <c r="G1057" s="53">
        <f>F1057-E1057</f>
        <v>0</v>
      </c>
      <c r="K1057" s="1" t="e">
        <f>_xlfn.XLOOKUP(J1057,REF!$D$2:$D$12,REF!$E$2:$E$12)</f>
        <v>#N/A</v>
      </c>
      <c r="P1057" s="1" t="str">
        <f>_xlfn.CONCAT(B1057,C1057,D1057,E1057,F1057)</f>
        <v/>
      </c>
      <c r="Q1057" s="1" t="str">
        <f t="shared" si="39"/>
        <v/>
      </c>
    </row>
    <row r="1058" spans="7:17">
      <c r="G1058" s="53">
        <f>F1058-E1058</f>
        <v>0</v>
      </c>
      <c r="K1058" s="1" t="e">
        <f>_xlfn.XLOOKUP(J1058,REF!$D$2:$D$12,REF!$E$2:$E$12)</f>
        <v>#N/A</v>
      </c>
      <c r="P1058" s="1" t="str">
        <f>_xlfn.CONCAT(B1058,C1058,D1058,E1058,F1058)</f>
        <v/>
      </c>
      <c r="Q1058" s="1" t="str">
        <f t="shared" si="39"/>
        <v/>
      </c>
    </row>
    <row r="1059" spans="7:17">
      <c r="G1059" s="53">
        <f>F1059-E1059</f>
        <v>0</v>
      </c>
      <c r="K1059" s="1" t="e">
        <f>_xlfn.XLOOKUP(J1059,REF!$D$2:$D$12,REF!$E$2:$E$12)</f>
        <v>#N/A</v>
      </c>
      <c r="P1059" s="1" t="str">
        <f>_xlfn.CONCAT(B1059,C1059,D1059,E1059,F1059)</f>
        <v/>
      </c>
      <c r="Q1059" s="1" t="str">
        <f t="shared" si="39"/>
        <v/>
      </c>
    </row>
    <row r="1060" spans="7:17">
      <c r="G1060" s="53">
        <f>F1060-E1060</f>
        <v>0</v>
      </c>
      <c r="K1060" s="1" t="e">
        <f>_xlfn.XLOOKUP(J1060,REF!$D$2:$D$12,REF!$E$2:$E$12)</f>
        <v>#N/A</v>
      </c>
      <c r="P1060" s="1" t="str">
        <f>_xlfn.CONCAT(B1060,C1060,D1060,E1060,F1060)</f>
        <v/>
      </c>
      <c r="Q1060" s="1" t="str">
        <f t="shared" si="39"/>
        <v/>
      </c>
    </row>
    <row r="1061" spans="7:17">
      <c r="G1061" s="53">
        <f>F1061-E1061</f>
        <v>0</v>
      </c>
      <c r="K1061" s="1" t="e">
        <f>_xlfn.XLOOKUP(J1061,REF!$D$2:$D$12,REF!$E$2:$E$12)</f>
        <v>#N/A</v>
      </c>
      <c r="P1061" s="1" t="str">
        <f>_xlfn.CONCAT(B1061,C1061,D1061,E1061,F1061)</f>
        <v/>
      </c>
      <c r="Q1061" s="1" t="str">
        <f t="shared" si="39"/>
        <v/>
      </c>
    </row>
    <row r="1062" spans="7:17">
      <c r="G1062" s="53">
        <f>F1062-E1062</f>
        <v>0</v>
      </c>
      <c r="K1062" s="1" t="e">
        <f>_xlfn.XLOOKUP(J1062,REF!$D$2:$D$12,REF!$E$2:$E$12)</f>
        <v>#N/A</v>
      </c>
      <c r="P1062" s="1" t="str">
        <f>_xlfn.CONCAT(B1062,C1062,D1062,E1062,F1062)</f>
        <v/>
      </c>
      <c r="Q1062" s="1" t="str">
        <f t="shared" si="39"/>
        <v/>
      </c>
    </row>
    <row r="1063" spans="7:17">
      <c r="G1063" s="53">
        <f>F1063-E1063</f>
        <v>0</v>
      </c>
      <c r="K1063" s="1" t="e">
        <f>_xlfn.XLOOKUP(J1063,REF!$D$2:$D$12,REF!$E$2:$E$12)</f>
        <v>#N/A</v>
      </c>
      <c r="P1063" s="1" t="str">
        <f>_xlfn.CONCAT(B1063,C1063,D1063,E1063,F1063)</f>
        <v/>
      </c>
      <c r="Q1063" s="1" t="str">
        <f t="shared" si="39"/>
        <v/>
      </c>
    </row>
    <row r="1064" spans="7:17">
      <c r="G1064" s="53">
        <f>F1064-E1064</f>
        <v>0</v>
      </c>
      <c r="K1064" s="1" t="e">
        <f>_xlfn.XLOOKUP(J1064,REF!$D$2:$D$12,REF!$E$2:$E$12)</f>
        <v>#N/A</v>
      </c>
      <c r="P1064" s="1" t="str">
        <f>_xlfn.CONCAT(B1064,C1064,D1064,E1064,F1064)</f>
        <v/>
      </c>
      <c r="Q1064" s="1" t="str">
        <f t="shared" si="39"/>
        <v/>
      </c>
    </row>
    <row r="1065" spans="7:17">
      <c r="G1065" s="53">
        <f>F1065-E1065</f>
        <v>0</v>
      </c>
      <c r="K1065" s="1" t="e">
        <f>_xlfn.XLOOKUP(J1065,REF!$D$2:$D$12,REF!$E$2:$E$12)</f>
        <v>#N/A</v>
      </c>
      <c r="P1065" s="1" t="str">
        <f>_xlfn.CONCAT(B1065,C1065,D1065,E1065,F1065)</f>
        <v/>
      </c>
      <c r="Q1065" s="1" t="str">
        <f t="shared" si="39"/>
        <v/>
      </c>
    </row>
    <row r="1066" spans="7:17">
      <c r="G1066" s="53">
        <f>F1066-E1066</f>
        <v>0</v>
      </c>
      <c r="K1066" s="1" t="e">
        <f>_xlfn.XLOOKUP(J1066,REF!$D$2:$D$12,REF!$E$2:$E$12)</f>
        <v>#N/A</v>
      </c>
      <c r="P1066" s="1" t="str">
        <f>_xlfn.CONCAT(B1066,C1066,D1066,E1066,F1066)</f>
        <v/>
      </c>
      <c r="Q1066" s="1" t="str">
        <f t="shared" si="39"/>
        <v/>
      </c>
    </row>
    <row r="1067" spans="7:17">
      <c r="G1067" s="53">
        <f>F1067-E1067</f>
        <v>0</v>
      </c>
      <c r="K1067" s="1" t="e">
        <f>_xlfn.XLOOKUP(J1067,REF!$D$2:$D$12,REF!$E$2:$E$12)</f>
        <v>#N/A</v>
      </c>
      <c r="P1067" s="1" t="str">
        <f>_xlfn.CONCAT(B1067,C1067,D1067,E1067,F1067)</f>
        <v/>
      </c>
      <c r="Q1067" s="1" t="str">
        <f t="shared" si="39"/>
        <v/>
      </c>
    </row>
    <row r="1068" spans="7:17">
      <c r="G1068" s="53">
        <f>F1068-E1068</f>
        <v>0</v>
      </c>
      <c r="K1068" s="1" t="e">
        <f>_xlfn.XLOOKUP(J1068,REF!$D$2:$D$12,REF!$E$2:$E$12)</f>
        <v>#N/A</v>
      </c>
      <c r="P1068" s="1" t="str">
        <f>_xlfn.CONCAT(B1068,C1068,D1068,E1068,F1068)</f>
        <v/>
      </c>
      <c r="Q1068" s="1" t="str">
        <f t="shared" si="39"/>
        <v/>
      </c>
    </row>
    <row r="1069" spans="7:17">
      <c r="G1069" s="53">
        <f>F1069-E1069</f>
        <v>0</v>
      </c>
      <c r="K1069" s="1" t="e">
        <f>_xlfn.XLOOKUP(J1069,REF!$D$2:$D$12,REF!$E$2:$E$12)</f>
        <v>#N/A</v>
      </c>
      <c r="P1069" s="1" t="str">
        <f>_xlfn.CONCAT(B1069,C1069,D1069,E1069,F1069)</f>
        <v/>
      </c>
      <c r="Q1069" s="1" t="str">
        <f t="shared" si="39"/>
        <v/>
      </c>
    </row>
    <row r="1070" spans="7:17">
      <c r="G1070" s="53">
        <f>F1070-E1070</f>
        <v>0</v>
      </c>
      <c r="K1070" s="1" t="e">
        <f>_xlfn.XLOOKUP(J1070,REF!$D$2:$D$12,REF!$E$2:$E$12)</f>
        <v>#N/A</v>
      </c>
      <c r="P1070" s="1" t="str">
        <f>_xlfn.CONCAT(B1070,C1070,D1070,E1070,F1070)</f>
        <v/>
      </c>
      <c r="Q1070" s="1" t="str">
        <f t="shared" si="39"/>
        <v/>
      </c>
    </row>
    <row r="1071" spans="7:17">
      <c r="G1071" s="53">
        <f>F1071-E1071</f>
        <v>0</v>
      </c>
      <c r="K1071" s="1" t="e">
        <f>_xlfn.XLOOKUP(J1071,REF!$D$2:$D$12,REF!$E$2:$E$12)</f>
        <v>#N/A</v>
      </c>
      <c r="P1071" s="1" t="str">
        <f>_xlfn.CONCAT(B1071,C1071,D1071,E1071,F1071)</f>
        <v/>
      </c>
      <c r="Q1071" s="1" t="str">
        <f t="shared" si="39"/>
        <v/>
      </c>
    </row>
    <row r="1072" spans="7:17">
      <c r="G1072" s="53">
        <f>F1072-E1072</f>
        <v>0</v>
      </c>
      <c r="K1072" s="1" t="e">
        <f>_xlfn.XLOOKUP(J1072,REF!$D$2:$D$12,REF!$E$2:$E$12)</f>
        <v>#N/A</v>
      </c>
      <c r="P1072" s="1" t="str">
        <f>_xlfn.CONCAT(B1072,C1072,D1072,E1072,F1072)</f>
        <v/>
      </c>
      <c r="Q1072" s="1" t="str">
        <f t="shared" si="39"/>
        <v/>
      </c>
    </row>
    <row r="1073" spans="7:17">
      <c r="G1073" s="53">
        <f>F1073-E1073</f>
        <v>0</v>
      </c>
      <c r="K1073" s="1" t="e">
        <f>_xlfn.XLOOKUP(J1073,REF!$D$2:$D$12,REF!$E$2:$E$12)</f>
        <v>#N/A</v>
      </c>
      <c r="P1073" s="1" t="str">
        <f>_xlfn.CONCAT(B1073,C1073,D1073,E1073,F1073)</f>
        <v/>
      </c>
      <c r="Q1073" s="1" t="str">
        <f t="shared" si="39"/>
        <v/>
      </c>
    </row>
    <row r="1074" spans="7:17">
      <c r="G1074" s="53">
        <f>F1074-E1074</f>
        <v>0</v>
      </c>
      <c r="K1074" s="1" t="e">
        <f>_xlfn.XLOOKUP(J1074,REF!$D$2:$D$12,REF!$E$2:$E$12)</f>
        <v>#N/A</v>
      </c>
      <c r="P1074" s="1" t="str">
        <f>_xlfn.CONCAT(B1074,C1074,D1074,E1074,F1074)</f>
        <v/>
      </c>
      <c r="Q1074" s="1" t="str">
        <f t="shared" si="39"/>
        <v/>
      </c>
    </row>
    <row r="1075" spans="7:17">
      <c r="G1075" s="53">
        <f>F1075-E1075</f>
        <v>0</v>
      </c>
      <c r="K1075" s="1" t="e">
        <f>_xlfn.XLOOKUP(J1075,REF!$D$2:$D$12,REF!$E$2:$E$12)</f>
        <v>#N/A</v>
      </c>
      <c r="P1075" s="1" t="str">
        <f>_xlfn.CONCAT(B1075,C1075,D1075,E1075,F1075)</f>
        <v/>
      </c>
      <c r="Q1075" s="1" t="str">
        <f t="shared" si="39"/>
        <v/>
      </c>
    </row>
    <row r="1076" spans="7:17">
      <c r="G1076" s="53">
        <f>F1076-E1076</f>
        <v>0</v>
      </c>
      <c r="K1076" s="1" t="e">
        <f>_xlfn.XLOOKUP(J1076,REF!$D$2:$D$12,REF!$E$2:$E$12)</f>
        <v>#N/A</v>
      </c>
      <c r="P1076" s="1" t="str">
        <f>_xlfn.CONCAT(B1076,C1076,D1076,E1076,F1076)</f>
        <v/>
      </c>
      <c r="Q1076" s="1" t="str">
        <f t="shared" si="39"/>
        <v/>
      </c>
    </row>
    <row r="1077" spans="7:17">
      <c r="G1077" s="53">
        <f>F1077-E1077</f>
        <v>0</v>
      </c>
      <c r="K1077" s="1" t="e">
        <f>_xlfn.XLOOKUP(J1077,REF!$D$2:$D$12,REF!$E$2:$E$12)</f>
        <v>#N/A</v>
      </c>
      <c r="P1077" s="1" t="str">
        <f>_xlfn.CONCAT(B1077,C1077,D1077,E1077,F1077)</f>
        <v/>
      </c>
      <c r="Q1077" s="1" t="str">
        <f t="shared" si="39"/>
        <v/>
      </c>
    </row>
    <row r="1078" spans="7:17">
      <c r="G1078" s="53">
        <f>F1078-E1078</f>
        <v>0</v>
      </c>
      <c r="K1078" s="1" t="e">
        <f>_xlfn.XLOOKUP(J1078,REF!$D$2:$D$12,REF!$E$2:$E$12)</f>
        <v>#N/A</v>
      </c>
      <c r="P1078" s="1" t="str">
        <f>_xlfn.CONCAT(B1078,C1078,D1078,E1078,F1078)</f>
        <v/>
      </c>
      <c r="Q1078" s="1" t="str">
        <f t="shared" si="39"/>
        <v/>
      </c>
    </row>
    <row r="1079" spans="7:17">
      <c r="G1079" s="53">
        <f>F1079-E1079</f>
        <v>0</v>
      </c>
      <c r="K1079" s="1" t="e">
        <f>_xlfn.XLOOKUP(J1079,REF!$D$2:$D$12,REF!$E$2:$E$12)</f>
        <v>#N/A</v>
      </c>
      <c r="P1079" s="1" t="str">
        <f>_xlfn.CONCAT(B1079,C1079,D1079,E1079,F1079)</f>
        <v/>
      </c>
      <c r="Q1079" s="1" t="str">
        <f t="shared" si="39"/>
        <v/>
      </c>
    </row>
    <row r="1080" spans="7:17">
      <c r="G1080" s="53">
        <f>F1080-E1080</f>
        <v>0</v>
      </c>
      <c r="K1080" s="1" t="e">
        <f>_xlfn.XLOOKUP(J1080,REF!$D$2:$D$12,REF!$E$2:$E$12)</f>
        <v>#N/A</v>
      </c>
      <c r="P1080" s="1" t="str">
        <f>_xlfn.CONCAT(B1080,C1080,D1080,E1080,F1080)</f>
        <v/>
      </c>
      <c r="Q1080" s="1" t="str">
        <f t="shared" si="39"/>
        <v/>
      </c>
    </row>
    <row r="1081" spans="7:17">
      <c r="G1081" s="53">
        <f>F1081-E1081</f>
        <v>0</v>
      </c>
      <c r="K1081" s="1" t="e">
        <f>_xlfn.XLOOKUP(J1081,REF!$D$2:$D$12,REF!$E$2:$E$12)</f>
        <v>#N/A</v>
      </c>
      <c r="P1081" s="1" t="str">
        <f>_xlfn.CONCAT(B1081,C1081,D1081,E1081,F1081)</f>
        <v/>
      </c>
      <c r="Q1081" s="1" t="str">
        <f t="shared" si="39"/>
        <v/>
      </c>
    </row>
    <row r="1082" spans="7:17">
      <c r="G1082" s="53">
        <f>F1082-E1082</f>
        <v>0</v>
      </c>
      <c r="K1082" s="1" t="e">
        <f>_xlfn.XLOOKUP(J1082,REF!$D$2:$D$12,REF!$E$2:$E$12)</f>
        <v>#N/A</v>
      </c>
      <c r="P1082" s="1" t="str">
        <f>_xlfn.CONCAT(B1082,C1082,D1082,E1082,F1082)</f>
        <v/>
      </c>
      <c r="Q1082" s="1" t="str">
        <f t="shared" si="39"/>
        <v/>
      </c>
    </row>
    <row r="1083" spans="7:17">
      <c r="G1083" s="53">
        <f>F1083-E1083</f>
        <v>0</v>
      </c>
      <c r="K1083" s="1" t="e">
        <f>_xlfn.XLOOKUP(J1083,REF!$D$2:$D$12,REF!$E$2:$E$12)</f>
        <v>#N/A</v>
      </c>
      <c r="P1083" s="1" t="str">
        <f>_xlfn.CONCAT(B1083,C1083,D1083,E1083,F1083)</f>
        <v/>
      </c>
      <c r="Q1083" s="1" t="str">
        <f t="shared" si="39"/>
        <v/>
      </c>
    </row>
    <row r="1084" spans="7:17">
      <c r="G1084" s="53">
        <f>F1084-E1084</f>
        <v>0</v>
      </c>
      <c r="K1084" s="1" t="e">
        <f>_xlfn.XLOOKUP(J1084,REF!$D$2:$D$12,REF!$E$2:$E$12)</f>
        <v>#N/A</v>
      </c>
      <c r="P1084" s="1" t="str">
        <f>_xlfn.CONCAT(B1084,C1084,D1084,E1084,F1084)</f>
        <v/>
      </c>
      <c r="Q1084" s="1" t="str">
        <f t="shared" si="39"/>
        <v/>
      </c>
    </row>
    <row r="1085" spans="7:17">
      <c r="G1085" s="53">
        <f>F1085-E1085</f>
        <v>0</v>
      </c>
      <c r="K1085" s="1" t="e">
        <f>_xlfn.XLOOKUP(J1085,REF!$D$2:$D$12,REF!$E$2:$E$12)</f>
        <v>#N/A</v>
      </c>
      <c r="P1085" s="1" t="str">
        <f>_xlfn.CONCAT(B1085,C1085,D1085,E1085,F1085)</f>
        <v/>
      </c>
      <c r="Q1085" s="1" t="str">
        <f t="shared" si="39"/>
        <v/>
      </c>
    </row>
    <row r="1086" spans="7:17">
      <c r="G1086" s="53">
        <f>F1086-E1086</f>
        <v>0</v>
      </c>
      <c r="K1086" s="1" t="e">
        <f>_xlfn.XLOOKUP(J1086,REF!$D$2:$D$12,REF!$E$2:$E$12)</f>
        <v>#N/A</v>
      </c>
      <c r="P1086" s="1" t="str">
        <f>_xlfn.CONCAT(B1086,C1086,D1086,E1086,F1086)</f>
        <v/>
      </c>
      <c r="Q1086" s="1" t="str">
        <f t="shared" si="39"/>
        <v/>
      </c>
    </row>
    <row r="1087" spans="7:17">
      <c r="G1087" s="53">
        <f>F1087-E1087</f>
        <v>0</v>
      </c>
      <c r="K1087" s="1" t="e">
        <f>_xlfn.XLOOKUP(J1087,REF!$D$2:$D$12,REF!$E$2:$E$12)</f>
        <v>#N/A</v>
      </c>
      <c r="P1087" s="1" t="str">
        <f>_xlfn.CONCAT(B1087,C1087,D1087,E1087,F1087)</f>
        <v/>
      </c>
      <c r="Q1087" s="1" t="str">
        <f t="shared" si="39"/>
        <v/>
      </c>
    </row>
    <row r="1088" spans="7:17">
      <c r="G1088" s="53">
        <f>F1088-E1088</f>
        <v>0</v>
      </c>
      <c r="K1088" s="1" t="e">
        <f>_xlfn.XLOOKUP(J1088,REF!$D$2:$D$12,REF!$E$2:$E$12)</f>
        <v>#N/A</v>
      </c>
      <c r="M1088" s="1" t="s">
        <v>260</v>
      </c>
      <c r="N1088" s="1" t="s">
        <v>261</v>
      </c>
      <c r="O1088" s="1" t="s">
        <v>533</v>
      </c>
      <c r="P1088" s="1" t="str">
        <f>_xlfn.CONCAT(B1088,C1088,D1088,E1088,F1088)</f>
        <v/>
      </c>
      <c r="Q1088" s="1" t="str">
        <f t="shared" si="39"/>
        <v/>
      </c>
    </row>
    <row r="1089" spans="7:17">
      <c r="G1089" s="53">
        <f>F1089-E1089</f>
        <v>0</v>
      </c>
      <c r="K1089" s="1" t="e">
        <f>_xlfn.XLOOKUP(J1089,REF!$D$2:$D$12,REF!$E$2:$E$12)</f>
        <v>#N/A</v>
      </c>
      <c r="M1089" s="1" t="s">
        <v>260</v>
      </c>
      <c r="N1089" s="1" t="s">
        <v>261</v>
      </c>
      <c r="O1089" s="1" t="s">
        <v>533</v>
      </c>
      <c r="P1089" s="1" t="str">
        <f>_xlfn.CONCAT(B1089,C1089,D1089,E1089,F1089)</f>
        <v/>
      </c>
      <c r="Q1089" s="1" t="str">
        <f t="shared" si="39"/>
        <v/>
      </c>
    </row>
    <row r="1090" spans="7:17">
      <c r="G1090" s="53">
        <f>F1090-E1090</f>
        <v>0</v>
      </c>
      <c r="K1090" s="1" t="e">
        <f>_xlfn.XLOOKUP(J1090,REF!$D$2:$D$12,REF!$E$2:$E$12)</f>
        <v>#N/A</v>
      </c>
      <c r="M1090" s="1" t="s">
        <v>260</v>
      </c>
      <c r="N1090" s="1" t="s">
        <v>261</v>
      </c>
      <c r="O1090" s="1" t="s">
        <v>533</v>
      </c>
      <c r="P1090" s="1" t="str">
        <f>_xlfn.CONCAT(B1090,C1090,D1090,E1090,F1090)</f>
        <v/>
      </c>
      <c r="Q1090" s="1" t="str">
        <f t="shared" si="39"/>
        <v/>
      </c>
    </row>
    <row r="1091" spans="7:17">
      <c r="G1091" s="53">
        <f>F1091-E1091</f>
        <v>0</v>
      </c>
      <c r="K1091" s="1" t="e">
        <f>_xlfn.XLOOKUP(J1091,REF!$D$2:$D$12,REF!$E$2:$E$12)</f>
        <v>#N/A</v>
      </c>
      <c r="M1091" s="1" t="s">
        <v>260</v>
      </c>
      <c r="N1091" s="1" t="s">
        <v>261</v>
      </c>
      <c r="O1091" s="1" t="s">
        <v>533</v>
      </c>
      <c r="P1091" s="1" t="str">
        <f>_xlfn.CONCAT(B1091,C1091,D1091,E1091,F1091)</f>
        <v/>
      </c>
      <c r="Q1091" s="1" t="str">
        <f t="shared" si="39"/>
        <v/>
      </c>
    </row>
    <row r="1092" spans="7:17">
      <c r="G1092" s="53">
        <f>F1092-E1092</f>
        <v>0</v>
      </c>
      <c r="K1092" s="1" t="e">
        <f>_xlfn.XLOOKUP(J1092,REF!$D$2:$D$12,REF!$E$2:$E$12)</f>
        <v>#N/A</v>
      </c>
      <c r="M1092" s="1" t="s">
        <v>260</v>
      </c>
      <c r="N1092" s="1" t="s">
        <v>261</v>
      </c>
      <c r="O1092" s="1" t="s">
        <v>533</v>
      </c>
      <c r="P1092" s="1" t="str">
        <f>_xlfn.CONCAT(B1092,C1092,D1092,E1092,F1092)</f>
        <v/>
      </c>
      <c r="Q1092" s="1" t="str">
        <f t="shared" si="39"/>
        <v/>
      </c>
    </row>
    <row r="1093" spans="7:17">
      <c r="G1093" s="53">
        <f>F1093-E1093</f>
        <v>0</v>
      </c>
      <c r="K1093" s="1" t="e">
        <f>_xlfn.XLOOKUP(J1093,REF!$D$2:$D$12,REF!$E$2:$E$12)</f>
        <v>#N/A</v>
      </c>
      <c r="M1093" s="1" t="s">
        <v>260</v>
      </c>
      <c r="N1093" s="1" t="s">
        <v>261</v>
      </c>
      <c r="O1093" s="1" t="s">
        <v>534</v>
      </c>
      <c r="P1093" s="1" t="str">
        <f>_xlfn.CONCAT(B1093,C1093,D1093,E1093,F1093)</f>
        <v/>
      </c>
      <c r="Q1093" s="1" t="str">
        <f t="shared" si="39"/>
        <v/>
      </c>
    </row>
    <row r="1094" spans="7:17">
      <c r="G1094" s="53">
        <f>F1094-E1094</f>
        <v>0</v>
      </c>
      <c r="K1094" s="1" t="e">
        <f>_xlfn.XLOOKUP(J1094,REF!$D$2:$D$12,REF!$E$2:$E$12)</f>
        <v>#N/A</v>
      </c>
      <c r="M1094" s="1" t="s">
        <v>260</v>
      </c>
      <c r="N1094" s="1" t="s">
        <v>261</v>
      </c>
      <c r="O1094" s="1" t="s">
        <v>534</v>
      </c>
      <c r="P1094" s="1" t="str">
        <f>_xlfn.CONCAT(B1094,C1094,D1094,E1094,F1094)</f>
        <v/>
      </c>
      <c r="Q1094" s="1" t="str">
        <f t="shared" si="39"/>
        <v/>
      </c>
    </row>
    <row r="1095" spans="7:17">
      <c r="G1095" s="53">
        <f>F1095-E1095</f>
        <v>0</v>
      </c>
      <c r="K1095" s="1" t="e">
        <f>_xlfn.XLOOKUP(J1095,REF!$D$2:$D$12,REF!$E$2:$E$12)</f>
        <v>#N/A</v>
      </c>
      <c r="M1095" s="1" t="s">
        <v>260</v>
      </c>
      <c r="N1095" s="1" t="s">
        <v>261</v>
      </c>
      <c r="O1095" s="1" t="s">
        <v>534</v>
      </c>
      <c r="P1095" s="1" t="str">
        <f>_xlfn.CONCAT(B1095,C1095,D1095,E1095,F1095)</f>
        <v/>
      </c>
      <c r="Q1095" s="1" t="str">
        <f t="shared" si="39"/>
        <v/>
      </c>
    </row>
    <row r="1096" spans="7:17">
      <c r="G1096" s="53">
        <f>F1096-E1096</f>
        <v>0</v>
      </c>
      <c r="K1096" s="1" t="e">
        <f>_xlfn.XLOOKUP(J1096,REF!$D$2:$D$12,REF!$E$2:$E$12)</f>
        <v>#N/A</v>
      </c>
      <c r="M1096" s="1" t="s">
        <v>260</v>
      </c>
      <c r="N1096" s="1" t="s">
        <v>261</v>
      </c>
      <c r="O1096" s="1" t="s">
        <v>534</v>
      </c>
      <c r="P1096" s="1" t="str">
        <f>_xlfn.CONCAT(B1096,C1096,D1096,E1096,F1096)</f>
        <v/>
      </c>
      <c r="Q1096" s="1" t="str">
        <f t="shared" si="39"/>
        <v/>
      </c>
    </row>
    <row r="1097" spans="7:17">
      <c r="G1097" s="53">
        <f>F1097-E1097</f>
        <v>0</v>
      </c>
      <c r="K1097" s="1" t="e">
        <f>_xlfn.XLOOKUP(J1097,REF!$D$2:$D$12,REF!$E$2:$E$12)</f>
        <v>#N/A</v>
      </c>
      <c r="M1097" s="1" t="s">
        <v>260</v>
      </c>
      <c r="N1097" s="1" t="s">
        <v>261</v>
      </c>
      <c r="O1097" s="1" t="s">
        <v>534</v>
      </c>
      <c r="P1097" s="1" t="str">
        <f>_xlfn.CONCAT(B1097,C1097,D1097,E1097,F1097)</f>
        <v/>
      </c>
      <c r="Q1097" s="1" t="str">
        <f t="shared" si="39"/>
        <v/>
      </c>
    </row>
    <row r="1098" spans="7:17">
      <c r="G1098" s="53">
        <f>F1098-E1098</f>
        <v>0</v>
      </c>
      <c r="K1098" s="1" t="e">
        <f>_xlfn.XLOOKUP(J1098,REF!$D$2:$D$12,REF!$E$2:$E$12)</f>
        <v>#N/A</v>
      </c>
      <c r="M1098" s="1" t="s">
        <v>260</v>
      </c>
      <c r="N1098" s="1" t="s">
        <v>261</v>
      </c>
      <c r="O1098" s="1" t="s">
        <v>534</v>
      </c>
      <c r="P1098" s="1" t="str">
        <f>_xlfn.CONCAT(B1098,C1098,D1098,E1098,F1098)</f>
        <v/>
      </c>
      <c r="Q1098" s="1" t="str">
        <f t="shared" si="39"/>
        <v/>
      </c>
    </row>
    <row r="1099" spans="7:17">
      <c r="G1099" s="53">
        <f>F1099-E1099</f>
        <v>0</v>
      </c>
      <c r="K1099" s="1" t="e">
        <f>_xlfn.XLOOKUP(J1099,REF!$D$2:$D$12,REF!$E$2:$E$12)</f>
        <v>#N/A</v>
      </c>
      <c r="M1099" s="1" t="s">
        <v>260</v>
      </c>
      <c r="N1099" s="1" t="s">
        <v>261</v>
      </c>
      <c r="O1099" s="1" t="s">
        <v>534</v>
      </c>
      <c r="P1099" s="1" t="str">
        <f>_xlfn.CONCAT(B1099,C1099,D1099,E1099,F1099)</f>
        <v/>
      </c>
      <c r="Q1099" s="1" t="str">
        <f t="shared" si="39"/>
        <v/>
      </c>
    </row>
    <row r="1100" spans="7:17">
      <c r="G1100" s="53">
        <f>F1100-E1100</f>
        <v>0</v>
      </c>
      <c r="K1100" s="1" t="e">
        <f>_xlfn.XLOOKUP(J1100,REF!$D$2:$D$12,REF!$E$2:$E$12)</f>
        <v>#N/A</v>
      </c>
      <c r="M1100" s="1" t="s">
        <v>260</v>
      </c>
      <c r="N1100" s="1" t="s">
        <v>261</v>
      </c>
      <c r="O1100" s="1" t="s">
        <v>534</v>
      </c>
      <c r="P1100" s="1" t="str">
        <f>_xlfn.CONCAT(B1100,C1100,D1100,E1100,F1100)</f>
        <v/>
      </c>
      <c r="Q1100" s="1" t="str">
        <f t="shared" si="39"/>
        <v/>
      </c>
    </row>
    <row r="1101" spans="7:17">
      <c r="G1101" s="53">
        <f>F1101-E1101</f>
        <v>0</v>
      </c>
      <c r="K1101" s="1" t="e">
        <f>_xlfn.XLOOKUP(J1101,REF!$D$2:$D$12,REF!$E$2:$E$12)</f>
        <v>#N/A</v>
      </c>
      <c r="M1101" s="1" t="s">
        <v>260</v>
      </c>
      <c r="N1101" s="1" t="s">
        <v>261</v>
      </c>
      <c r="O1101" s="1" t="s">
        <v>534</v>
      </c>
      <c r="P1101" s="1" t="str">
        <f>_xlfn.CONCAT(B1101,C1101,D1101,E1101,F1101)</f>
        <v/>
      </c>
      <c r="Q1101" s="1" t="str">
        <f t="shared" si="39"/>
        <v/>
      </c>
    </row>
    <row r="1102" spans="7:17">
      <c r="G1102" s="53">
        <f>F1102-E1102</f>
        <v>0</v>
      </c>
      <c r="K1102" s="1" t="e">
        <f>_xlfn.XLOOKUP(J1102,REF!$D$2:$D$12,REF!$E$2:$E$12)</f>
        <v>#N/A</v>
      </c>
      <c r="M1102" s="1" t="s">
        <v>260</v>
      </c>
      <c r="N1102" s="1" t="s">
        <v>261</v>
      </c>
      <c r="O1102" s="1" t="s">
        <v>534</v>
      </c>
      <c r="P1102" s="1" t="str">
        <f>_xlfn.CONCAT(B1102,C1102,D1102,E1102,F1102)</f>
        <v/>
      </c>
      <c r="Q1102" s="1" t="str">
        <f t="shared" si="39"/>
        <v/>
      </c>
    </row>
    <row r="1103" spans="7:17">
      <c r="G1103" s="53">
        <f>F1103-E1103</f>
        <v>0</v>
      </c>
      <c r="K1103" s="1" t="e">
        <f>_xlfn.XLOOKUP(J1103,REF!$D$2:$D$12,REF!$E$2:$E$12)</f>
        <v>#N/A</v>
      </c>
      <c r="M1103" s="1" t="s">
        <v>260</v>
      </c>
      <c r="N1103" s="1" t="s">
        <v>261</v>
      </c>
      <c r="O1103" s="1" t="s">
        <v>534</v>
      </c>
      <c r="P1103" s="1" t="str">
        <f>_xlfn.CONCAT(B1103,C1103,D1103,E1103,F1103)</f>
        <v/>
      </c>
      <c r="Q1103" s="1" t="str">
        <f t="shared" si="39"/>
        <v/>
      </c>
    </row>
    <row r="1104" spans="7:17">
      <c r="G1104" s="53">
        <f>F1104-E1104</f>
        <v>0</v>
      </c>
      <c r="K1104" s="1" t="e">
        <f>_xlfn.XLOOKUP(J1104,REF!$D$2:$D$12,REF!$E$2:$E$12)</f>
        <v>#N/A</v>
      </c>
      <c r="M1104" s="1" t="s">
        <v>260</v>
      </c>
      <c r="N1104" s="1" t="s">
        <v>261</v>
      </c>
      <c r="O1104" s="1" t="s">
        <v>534</v>
      </c>
      <c r="P1104" s="1" t="str">
        <f>_xlfn.CONCAT(B1104,C1104,D1104,E1104,F1104)</f>
        <v/>
      </c>
      <c r="Q1104" s="1" t="str">
        <f t="shared" si="39"/>
        <v/>
      </c>
    </row>
    <row r="1105" spans="2:17">
      <c r="G1105" s="53">
        <f>F1105-E1105</f>
        <v>0</v>
      </c>
      <c r="K1105" s="1" t="e">
        <f>_xlfn.XLOOKUP(J1105,REF!$D$2:$D$12,REF!$E$2:$E$12)</f>
        <v>#N/A</v>
      </c>
      <c r="M1105" s="1" t="s">
        <v>260</v>
      </c>
      <c r="N1105" s="1" t="s">
        <v>261</v>
      </c>
      <c r="O1105" s="1" t="s">
        <v>534</v>
      </c>
      <c r="P1105" s="1" t="str">
        <f>_xlfn.CONCAT(B1105,C1105,D1105,E1105,F1105)</f>
        <v/>
      </c>
      <c r="Q1105" s="1" t="str">
        <f t="shared" si="39"/>
        <v/>
      </c>
    </row>
    <row r="1106" spans="2:17">
      <c r="G1106" s="53">
        <f>F1106-E1106</f>
        <v>0</v>
      </c>
      <c r="K1106" s="1" t="e">
        <f>_xlfn.XLOOKUP(J1106,REF!$D$2:$D$12,REF!$E$2:$E$12)</f>
        <v>#N/A</v>
      </c>
      <c r="M1106" s="1" t="s">
        <v>260</v>
      </c>
      <c r="N1106" s="1" t="s">
        <v>261</v>
      </c>
      <c r="O1106" s="1" t="s">
        <v>534</v>
      </c>
      <c r="P1106" s="1" t="str">
        <f>_xlfn.CONCAT(B1106,C1106,D1106,E1106,F1106)</f>
        <v/>
      </c>
      <c r="Q1106" s="1" t="str">
        <f t="shared" si="39"/>
        <v/>
      </c>
    </row>
    <row r="1107" spans="2:17">
      <c r="G1107" s="53">
        <f>F1107-E1107</f>
        <v>0</v>
      </c>
      <c r="K1107" s="1" t="e">
        <f>_xlfn.XLOOKUP(J1107,REF!$D$2:$D$12,REF!$E$2:$E$12)</f>
        <v>#N/A</v>
      </c>
      <c r="M1107" s="1" t="s">
        <v>260</v>
      </c>
      <c r="N1107" s="1" t="s">
        <v>261</v>
      </c>
      <c r="O1107" s="1" t="s">
        <v>534</v>
      </c>
      <c r="P1107" s="1" t="str">
        <f>_xlfn.CONCAT(B1107,C1107,D1107,E1107,F1107)</f>
        <v/>
      </c>
      <c r="Q1107" s="1" t="str">
        <f t="shared" ref="Q1107:Q1170" si="40">_xlfn.CONCAT(H1107,I1107,J1107)</f>
        <v/>
      </c>
    </row>
    <row r="1108" spans="2:17">
      <c r="G1108" s="53">
        <f>F1108-E1108</f>
        <v>0</v>
      </c>
      <c r="K1108" s="1" t="e">
        <f>_xlfn.XLOOKUP(J1108,REF!$D$2:$D$12,REF!$E$2:$E$12)</f>
        <v>#N/A</v>
      </c>
      <c r="M1108" s="1" t="s">
        <v>260</v>
      </c>
      <c r="N1108" s="1" t="s">
        <v>261</v>
      </c>
      <c r="O1108" s="1" t="s">
        <v>534</v>
      </c>
      <c r="P1108" s="1" t="str">
        <f>_xlfn.CONCAT(B1108,C1108,D1108,E1108,F1108)</f>
        <v/>
      </c>
      <c r="Q1108" s="1" t="str">
        <f t="shared" si="40"/>
        <v/>
      </c>
    </row>
    <row r="1109" spans="2:17">
      <c r="G1109" s="53">
        <f>F1109-E1109</f>
        <v>0</v>
      </c>
      <c r="K1109" s="1" t="e">
        <f>_xlfn.XLOOKUP(J1109,REF!$D$2:$D$12,REF!$E$2:$E$12)</f>
        <v>#N/A</v>
      </c>
      <c r="M1109" s="1" t="s">
        <v>260</v>
      </c>
      <c r="N1109" s="1" t="s">
        <v>261</v>
      </c>
      <c r="O1109" s="1" t="s">
        <v>534</v>
      </c>
      <c r="P1109" s="1" t="str">
        <f>_xlfn.CONCAT(B1109,C1109,D1109,E1109,F1109)</f>
        <v/>
      </c>
      <c r="Q1109" s="1" t="str">
        <f t="shared" si="40"/>
        <v/>
      </c>
    </row>
    <row r="1110" spans="2:17">
      <c r="G1110" s="53">
        <f>F1110-E1110</f>
        <v>0</v>
      </c>
      <c r="K1110" s="1" t="e">
        <f>_xlfn.XLOOKUP(J1110,REF!$D$2:$D$12,REF!$E$2:$E$12)</f>
        <v>#N/A</v>
      </c>
      <c r="M1110" s="1" t="s">
        <v>260</v>
      </c>
      <c r="N1110" s="1" t="s">
        <v>261</v>
      </c>
      <c r="O1110" s="1" t="s">
        <v>534</v>
      </c>
      <c r="P1110" s="1" t="str">
        <f>_xlfn.CONCAT(B1110,C1110,D1110,E1110,F1110)</f>
        <v/>
      </c>
      <c r="Q1110" s="1" t="str">
        <f t="shared" si="40"/>
        <v/>
      </c>
    </row>
    <row r="1111" spans="2:17">
      <c r="G1111" s="53">
        <f>F1111-E1111</f>
        <v>0</v>
      </c>
      <c r="K1111" s="1" t="e">
        <f>_xlfn.XLOOKUP(J1111,REF!$D$2:$D$12,REF!$E$2:$E$12)</f>
        <v>#N/A</v>
      </c>
      <c r="M1111" s="1" t="s">
        <v>260</v>
      </c>
      <c r="N1111" s="1" t="s">
        <v>261</v>
      </c>
      <c r="O1111" s="1" t="s">
        <v>534</v>
      </c>
      <c r="P1111" s="1" t="str">
        <f>_xlfn.CONCAT(B1111,C1111,D1111,E1111,F1111)</f>
        <v/>
      </c>
      <c r="Q1111" s="1" t="str">
        <f t="shared" si="40"/>
        <v/>
      </c>
    </row>
    <row r="1112" spans="2:17">
      <c r="G1112" s="53">
        <f>F1112-E1112</f>
        <v>0</v>
      </c>
      <c r="K1112" s="1" t="e">
        <f>_xlfn.XLOOKUP(J1112,REF!$D$2:$D$12,REF!$E$2:$E$12)</f>
        <v>#N/A</v>
      </c>
      <c r="M1112" s="1" t="s">
        <v>260</v>
      </c>
      <c r="N1112" s="1" t="s">
        <v>261</v>
      </c>
      <c r="O1112" s="1" t="s">
        <v>534</v>
      </c>
      <c r="P1112" s="1" t="str">
        <f>_xlfn.CONCAT(B1112,C1112,D1112,E1112,F1112)</f>
        <v/>
      </c>
      <c r="Q1112" s="1" t="str">
        <f t="shared" si="40"/>
        <v/>
      </c>
    </row>
    <row r="1113" spans="2:17">
      <c r="G1113" s="53">
        <f>F1113-E1113</f>
        <v>0</v>
      </c>
      <c r="K1113" s="1" t="e">
        <f>_xlfn.XLOOKUP(J1113,REF!$D$2:$D$12,REF!$E$2:$E$12)</f>
        <v>#N/A</v>
      </c>
      <c r="M1113" s="1" t="s">
        <v>260</v>
      </c>
      <c r="N1113" s="1" t="s">
        <v>261</v>
      </c>
      <c r="O1113" s="1" t="s">
        <v>534</v>
      </c>
      <c r="P1113" s="1" t="str">
        <f>_xlfn.CONCAT(B1113,C1113,D1113,E1113,F1113)</f>
        <v/>
      </c>
      <c r="Q1113" s="1" t="str">
        <f t="shared" si="40"/>
        <v/>
      </c>
    </row>
    <row r="1114" spans="2:17">
      <c r="G1114" s="53">
        <f>F1114-E1114</f>
        <v>0</v>
      </c>
      <c r="K1114" s="1" t="e">
        <f>_xlfn.XLOOKUP(J1114,REF!$D$2:$D$12,REF!$E$2:$E$12)</f>
        <v>#N/A</v>
      </c>
      <c r="M1114" s="1" t="s">
        <v>260</v>
      </c>
      <c r="N1114" s="1" t="s">
        <v>261</v>
      </c>
      <c r="O1114" s="1" t="s">
        <v>534</v>
      </c>
      <c r="P1114" s="1" t="str">
        <f>_xlfn.CONCAT(B1114,C1114,D1114,E1114,F1114)</f>
        <v/>
      </c>
      <c r="Q1114" s="1" t="str">
        <f t="shared" si="40"/>
        <v/>
      </c>
    </row>
    <row r="1115" spans="2:17">
      <c r="G1115" s="53">
        <f>F1115-E1115</f>
        <v>0</v>
      </c>
      <c r="K1115" s="1" t="e">
        <f>_xlfn.XLOOKUP(J1115,REF!$D$2:$D$12,REF!$E$2:$E$12)</f>
        <v>#N/A</v>
      </c>
      <c r="M1115" s="1" t="s">
        <v>260</v>
      </c>
      <c r="N1115" s="1" t="s">
        <v>261</v>
      </c>
      <c r="O1115" s="1" t="s">
        <v>534</v>
      </c>
      <c r="P1115" s="1" t="str">
        <f>_xlfn.CONCAT(B1115,C1115,D1115,E1115,F1115)</f>
        <v/>
      </c>
      <c r="Q1115" s="1" t="str">
        <f t="shared" si="40"/>
        <v/>
      </c>
    </row>
    <row r="1116" spans="2:17">
      <c r="G1116" s="53">
        <f>F1116-E1116</f>
        <v>0</v>
      </c>
      <c r="K1116" s="1" t="e">
        <f>_xlfn.XLOOKUP(J1116,REF!$D$2:$D$12,REF!$E$2:$E$12)</f>
        <v>#N/A</v>
      </c>
      <c r="M1116" s="1" t="s">
        <v>260</v>
      </c>
      <c r="N1116" s="1" t="s">
        <v>261</v>
      </c>
      <c r="O1116" s="1" t="s">
        <v>534</v>
      </c>
      <c r="P1116" s="1" t="str">
        <f>_xlfn.CONCAT(B1116,C1116,D1116,E1116,F1116)</f>
        <v/>
      </c>
      <c r="Q1116" s="1" t="str">
        <f t="shared" si="40"/>
        <v/>
      </c>
    </row>
    <row r="1117" spans="2:17">
      <c r="G1117" s="53">
        <f>F1117-E1117</f>
        <v>0</v>
      </c>
      <c r="K1117" s="1" t="e">
        <f>_xlfn.XLOOKUP(J1117,REF!$D$2:$D$12,REF!$E$2:$E$12)</f>
        <v>#N/A</v>
      </c>
      <c r="M1117" s="1" t="s">
        <v>260</v>
      </c>
      <c r="N1117" s="1" t="s">
        <v>261</v>
      </c>
      <c r="O1117" s="1" t="s">
        <v>534</v>
      </c>
      <c r="P1117" s="1" t="str">
        <f>_xlfn.CONCAT(B1117,C1117,D1117,E1117,F1117)</f>
        <v/>
      </c>
      <c r="Q1117" s="1" t="str">
        <f t="shared" si="40"/>
        <v/>
      </c>
    </row>
    <row r="1118" spans="2:17">
      <c r="B1118" s="1" t="s">
        <v>535</v>
      </c>
      <c r="C1118" s="1" t="s">
        <v>536</v>
      </c>
      <c r="D1118" s="52">
        <v>46046.163194444445</v>
      </c>
      <c r="E1118" s="52">
        <v>46046.163194444445</v>
      </c>
      <c r="F1118" s="52">
        <v>46046.777777777781</v>
      </c>
      <c r="G1118" s="53">
        <f>F1118-E1118</f>
        <v>0.61458333333575865</v>
      </c>
      <c r="K1118" s="1" t="e">
        <f>_xlfn.XLOOKUP(J1118,REF!$D$2:$D$12,REF!$E$2:$E$12)</f>
        <v>#N/A</v>
      </c>
      <c r="M1118" s="1" t="s">
        <v>260</v>
      </c>
      <c r="N1118" s="1" t="s">
        <v>261</v>
      </c>
      <c r="O1118" s="1" t="s">
        <v>534</v>
      </c>
      <c r="P1118" s="1" t="str">
        <f>_xlfn.CONCAT(B1118,C1118,D1118,E1118,F1118)</f>
        <v>BC Corumba2.3U03.I0346046,163194444446046,163194444446046,7777777778</v>
      </c>
      <c r="Q1118" s="1" t="str">
        <f t="shared" si="40"/>
        <v/>
      </c>
    </row>
    <row r="1119" spans="2:17">
      <c r="B1119" s="1" t="s">
        <v>393</v>
      </c>
      <c r="C1119" s="1" t="s">
        <v>401</v>
      </c>
      <c r="D1119" s="52">
        <v>46046.260416666664</v>
      </c>
      <c r="E1119" s="52">
        <v>46046.260416666664</v>
      </c>
      <c r="F1119" s="52">
        <v>46046.277777777781</v>
      </c>
      <c r="G1119" s="53">
        <f>F1119-E1119</f>
        <v>1.7361111116770189E-2</v>
      </c>
      <c r="K1119" s="1" t="e">
        <f>_xlfn.XLOOKUP(J1119,REF!$D$2:$D$12,REF!$E$2:$E$12)</f>
        <v>#N/A</v>
      </c>
      <c r="M1119" s="1" t="s">
        <v>260</v>
      </c>
      <c r="N1119" s="1" t="s">
        <v>261</v>
      </c>
      <c r="O1119" s="1" t="s">
        <v>537</v>
      </c>
      <c r="P1119" s="1" t="str">
        <f>_xlfn.CONCAT(B1119,C1119,D1119,E1119,F1119)</f>
        <v>BC ParanoaSG60KTL(COM1-016)_001_00646046,260416666746046,260416666746046,2777777778</v>
      </c>
      <c r="Q1119" s="1" t="str">
        <f t="shared" si="40"/>
        <v/>
      </c>
    </row>
    <row r="1120" spans="2:17">
      <c r="B1120" s="1" t="s">
        <v>393</v>
      </c>
      <c r="C1120" s="1" t="s">
        <v>406</v>
      </c>
      <c r="D1120" s="52">
        <v>46046.260416666664</v>
      </c>
      <c r="E1120" s="52">
        <v>46046.260416666664</v>
      </c>
      <c r="F1120" s="52">
        <v>46046.277777777781</v>
      </c>
      <c r="G1120" s="53">
        <f>F1120-E1120</f>
        <v>1.7361111116770189E-2</v>
      </c>
      <c r="K1120" s="1" t="e">
        <f>_xlfn.XLOOKUP(J1120,REF!$D$2:$D$12,REF!$E$2:$E$12)</f>
        <v>#N/A</v>
      </c>
      <c r="M1120" s="1" t="s">
        <v>260</v>
      </c>
      <c r="N1120" s="1" t="s">
        <v>261</v>
      </c>
      <c r="O1120" s="1" t="s">
        <v>537</v>
      </c>
      <c r="P1120" s="1" t="str">
        <f>_xlfn.CONCAT(B1120,C1120,D1120,E1120,F1120)</f>
        <v>BC ParanoaSG60KTL(COM1-006)_001_01446046,260416666746046,260416666746046,2777777778</v>
      </c>
      <c r="Q1120" s="1" t="str">
        <f t="shared" si="40"/>
        <v/>
      </c>
    </row>
    <row r="1121" spans="2:17">
      <c r="B1121" s="1" t="s">
        <v>393</v>
      </c>
      <c r="C1121" s="1" t="s">
        <v>410</v>
      </c>
      <c r="D1121" s="52">
        <v>46046.260416666664</v>
      </c>
      <c r="E1121" s="52">
        <v>46046.260416666664</v>
      </c>
      <c r="F1121" s="52">
        <v>46046.277777777781</v>
      </c>
      <c r="G1121" s="53">
        <f>F1121-E1121</f>
        <v>1.7361111116770189E-2</v>
      </c>
      <c r="K1121" s="1" t="e">
        <f>_xlfn.XLOOKUP(J1121,REF!$D$2:$D$12,REF!$E$2:$E$12)</f>
        <v>#N/A</v>
      </c>
      <c r="L1121" s="1" t="s">
        <v>538</v>
      </c>
      <c r="M1121" s="1" t="s">
        <v>260</v>
      </c>
      <c r="N1121" s="1" t="s">
        <v>261</v>
      </c>
      <c r="O1121" s="1" t="s">
        <v>537</v>
      </c>
      <c r="P1121" s="1" t="str">
        <f>_xlfn.CONCAT(B1121,C1121,D1121,E1121,F1121)</f>
        <v>BC ParanoaSG60KTL(COM1-021)_002_01746046,260416666746046,260416666746046,2777777778</v>
      </c>
      <c r="Q1121" s="1" t="str">
        <f t="shared" si="40"/>
        <v/>
      </c>
    </row>
    <row r="1122" spans="2:17">
      <c r="B1122" s="1" t="s">
        <v>328</v>
      </c>
      <c r="C1122" s="1" t="s">
        <v>247</v>
      </c>
      <c r="D1122" s="52">
        <v>46046.270833333336</v>
      </c>
      <c r="E1122" s="52">
        <v>46046.270833333336</v>
      </c>
      <c r="F1122" s="52">
        <v>46046.708333333336</v>
      </c>
      <c r="G1122" s="53">
        <f>F1122-E1122</f>
        <v>0.4375</v>
      </c>
      <c r="K1122" s="1" t="e">
        <f>_xlfn.XLOOKUP(J1122,REF!$D$2:$D$12,REF!$E$2:$E$12)</f>
        <v>#N/A</v>
      </c>
      <c r="L1122" s="1" t="s">
        <v>539</v>
      </c>
      <c r="M1122" s="1" t="s">
        <v>289</v>
      </c>
      <c r="N1122" s="1" t="s">
        <v>290</v>
      </c>
      <c r="O1122" s="1" t="s">
        <v>540</v>
      </c>
      <c r="P1122" s="1" t="str">
        <f>_xlfn.CONCAT(B1122,C1122,D1122,E1122,F1122)</f>
        <v>BC Aracu5.3Inverter(MBUS-1)46046,270833333346046,270833333346046,7083333333</v>
      </c>
      <c r="Q1122" s="1" t="str">
        <f t="shared" si="40"/>
        <v/>
      </c>
    </row>
    <row r="1123" spans="2:17">
      <c r="B1123" s="1" t="s">
        <v>321</v>
      </c>
      <c r="C1123" s="1" t="s">
        <v>322</v>
      </c>
      <c r="D1123" s="52">
        <v>46046.340277777781</v>
      </c>
      <c r="E1123" s="52">
        <v>46046.340277777781</v>
      </c>
      <c r="F1123" s="52">
        <v>46046.611111111109</v>
      </c>
      <c r="G1123" s="53">
        <f>F1123-E1123</f>
        <v>0.27083333332848269</v>
      </c>
      <c r="K1123" s="1" t="e">
        <f>_xlfn.XLOOKUP(J1123,REF!$D$2:$D$12,REF!$E$2:$E$12)</f>
        <v>#N/A</v>
      </c>
      <c r="L1123" s="1" t="s">
        <v>541</v>
      </c>
      <c r="M1123" s="1" t="s">
        <v>260</v>
      </c>
      <c r="N1123" s="1" t="s">
        <v>261</v>
      </c>
      <c r="O1123" s="1" t="s">
        <v>542</v>
      </c>
      <c r="P1123" s="1" t="str">
        <f>_xlfn.CONCAT(B1123,C1123,D1123,E1123,F1123)</f>
        <v>BC Aracu4SG75CX(COM1-018)_001_01846046,340277777846046,340277777846046,6111111111</v>
      </c>
      <c r="Q1123" s="1" t="str">
        <f t="shared" si="40"/>
        <v/>
      </c>
    </row>
    <row r="1124" spans="2:17">
      <c r="B1124" s="1" t="s">
        <v>321</v>
      </c>
      <c r="C1124" s="1" t="s">
        <v>324</v>
      </c>
      <c r="D1124" s="52">
        <v>46046.340277777781</v>
      </c>
      <c r="E1124" s="52">
        <v>46046.340277777781</v>
      </c>
      <c r="F1124" s="52">
        <v>46046.611111111109</v>
      </c>
      <c r="G1124" s="53">
        <f>F1124-E1124</f>
        <v>0.27083333332848269</v>
      </c>
      <c r="K1124" s="1" t="e">
        <f>_xlfn.XLOOKUP(J1124,REF!$D$2:$D$12,REF!$E$2:$E$12)</f>
        <v>#N/A</v>
      </c>
      <c r="L1124" s="1" t="s">
        <v>541</v>
      </c>
      <c r="M1124" s="1" t="s">
        <v>260</v>
      </c>
      <c r="N1124" s="1" t="s">
        <v>261</v>
      </c>
      <c r="O1124" s="1" t="s">
        <v>542</v>
      </c>
      <c r="P1124" s="1" t="str">
        <f>_xlfn.CONCAT(B1124,C1124,D1124,E1124,F1124)</f>
        <v>BC Aracu4SG75CX(COM1-019)_001_01946046,340277777846046,340277777846046,6111111111</v>
      </c>
      <c r="Q1124" s="1" t="str">
        <f t="shared" si="40"/>
        <v/>
      </c>
    </row>
    <row r="1125" spans="2:17">
      <c r="B1125" s="1" t="s">
        <v>321</v>
      </c>
      <c r="C1125" s="1" t="s">
        <v>325</v>
      </c>
      <c r="D1125" s="52">
        <v>46046.340277777781</v>
      </c>
      <c r="E1125" s="52">
        <v>46046.340277777781</v>
      </c>
      <c r="F1125" s="52">
        <v>46046.611111111109</v>
      </c>
      <c r="G1125" s="53">
        <f>F1125-E1125</f>
        <v>0.27083333332848269</v>
      </c>
      <c r="K1125" s="1" t="e">
        <f>_xlfn.XLOOKUP(J1125,REF!$D$2:$D$12,REF!$E$2:$E$12)</f>
        <v>#N/A</v>
      </c>
      <c r="L1125" s="1" t="s">
        <v>541</v>
      </c>
      <c r="M1125" s="1" t="s">
        <v>260</v>
      </c>
      <c r="N1125" s="1" t="s">
        <v>261</v>
      </c>
      <c r="O1125" s="1" t="s">
        <v>542</v>
      </c>
      <c r="P1125" s="1" t="str">
        <f>_xlfn.CONCAT(B1125,C1125,D1125,E1125,F1125)</f>
        <v>BC Aracu4SG75CX(COM1-020)_001_02046046,340277777846046,340277777846046,6111111111</v>
      </c>
      <c r="Q1125" s="1" t="str">
        <f t="shared" si="40"/>
        <v/>
      </c>
    </row>
    <row r="1126" spans="2:17">
      <c r="B1126" s="1" t="s">
        <v>321</v>
      </c>
      <c r="C1126" s="1" t="s">
        <v>326</v>
      </c>
      <c r="D1126" s="52">
        <v>46046.340277777781</v>
      </c>
      <c r="E1126" s="52">
        <v>46046.340277777781</v>
      </c>
      <c r="F1126" s="52">
        <v>46046.611111111109</v>
      </c>
      <c r="G1126" s="53">
        <f>F1126-E1126</f>
        <v>0.27083333332848269</v>
      </c>
      <c r="K1126" s="1" t="e">
        <f>_xlfn.XLOOKUP(J1126,REF!$D$2:$D$12,REF!$E$2:$E$12)</f>
        <v>#N/A</v>
      </c>
      <c r="L1126" s="1" t="s">
        <v>541</v>
      </c>
      <c r="M1126" s="1" t="s">
        <v>260</v>
      </c>
      <c r="N1126" s="1" t="s">
        <v>261</v>
      </c>
      <c r="O1126" s="1" t="s">
        <v>542</v>
      </c>
      <c r="P1126" s="1" t="str">
        <f>_xlfn.CONCAT(B1126,C1126,D1126,E1126,F1126)</f>
        <v>BC Aracu4SG75CX(COM1-021)_001_02146046,340277777846046,340277777846046,6111111111</v>
      </c>
      <c r="Q1126" s="1" t="str">
        <f t="shared" si="40"/>
        <v/>
      </c>
    </row>
    <row r="1127" spans="2:17">
      <c r="B1127" s="1" t="s">
        <v>543</v>
      </c>
      <c r="C1127" s="1" t="s">
        <v>544</v>
      </c>
      <c r="D1127" s="52">
        <v>46046.340277777781</v>
      </c>
      <c r="E1127" s="52">
        <v>46046.340277777781</v>
      </c>
      <c r="F1127" s="52">
        <v>46046.611111111109</v>
      </c>
      <c r="G1127" s="53">
        <f>F1127-E1127</f>
        <v>0.27083333332848269</v>
      </c>
      <c r="K1127" s="1" t="e">
        <f>_xlfn.XLOOKUP(J1127,REF!$D$2:$D$12,REF!$E$2:$E$12)</f>
        <v>#N/A</v>
      </c>
      <c r="L1127" s="1" t="s">
        <v>541</v>
      </c>
      <c r="M1127" s="1" t="s">
        <v>260</v>
      </c>
      <c r="N1127" s="1" t="s">
        <v>261</v>
      </c>
      <c r="O1127" s="1" t="s">
        <v>542</v>
      </c>
      <c r="P1127" s="1" t="str">
        <f>_xlfn.CONCAT(B1127,C1127,D1127,E1127,F1127)</f>
        <v>BC Aracu1Inverter7146046,340277777846046,340277777846046,6111111111</v>
      </c>
      <c r="Q1127" s="1" t="str">
        <f t="shared" si="40"/>
        <v/>
      </c>
    </row>
    <row r="1128" spans="2:17">
      <c r="B1128" s="1" t="s">
        <v>543</v>
      </c>
      <c r="C1128" s="1" t="s">
        <v>545</v>
      </c>
      <c r="D1128" s="52">
        <v>46046.340277777781</v>
      </c>
      <c r="E1128" s="52">
        <v>46046.340277777781</v>
      </c>
      <c r="F1128" s="52">
        <v>46046.611111111109</v>
      </c>
      <c r="G1128" s="53">
        <f>F1128-E1128</f>
        <v>0.27083333332848269</v>
      </c>
      <c r="K1128" s="1" t="e">
        <f>_xlfn.XLOOKUP(J1128,REF!$D$2:$D$12,REF!$E$2:$E$12)</f>
        <v>#N/A</v>
      </c>
      <c r="L1128" s="1" t="s">
        <v>541</v>
      </c>
      <c r="M1128" s="1" t="s">
        <v>260</v>
      </c>
      <c r="N1128" s="1" t="s">
        <v>261</v>
      </c>
      <c r="O1128" s="1" t="s">
        <v>542</v>
      </c>
      <c r="P1128" s="1" t="str">
        <f>_xlfn.CONCAT(B1128,C1128,D1128,E1128,F1128)</f>
        <v>BC Aracu1Inverter7246046,340277777846046,340277777846046,6111111111</v>
      </c>
      <c r="Q1128" s="1" t="str">
        <f t="shared" si="40"/>
        <v/>
      </c>
    </row>
    <row r="1129" spans="2:17">
      <c r="B1129" s="1" t="s">
        <v>543</v>
      </c>
      <c r="C1129" s="1" t="s">
        <v>546</v>
      </c>
      <c r="D1129" s="52">
        <v>46046.340277777781</v>
      </c>
      <c r="E1129" s="52">
        <v>46046.340277777781</v>
      </c>
      <c r="F1129" s="52">
        <v>46046.611111111109</v>
      </c>
      <c r="G1129" s="53">
        <f>F1129-E1129</f>
        <v>0.27083333332848269</v>
      </c>
      <c r="K1129" s="1" t="e">
        <f>_xlfn.XLOOKUP(J1129,REF!$D$2:$D$12,REF!$E$2:$E$12)</f>
        <v>#N/A</v>
      </c>
      <c r="L1129" s="1" t="s">
        <v>541</v>
      </c>
      <c r="M1129" s="1" t="s">
        <v>260</v>
      </c>
      <c r="N1129" s="1" t="s">
        <v>261</v>
      </c>
      <c r="O1129" s="1" t="s">
        <v>542</v>
      </c>
      <c r="P1129" s="1" t="str">
        <f>_xlfn.CONCAT(B1129,C1129,D1129,E1129,F1129)</f>
        <v>BC Aracu1Inverter7346046,340277777846046,340277777846046,6111111111</v>
      </c>
      <c r="Q1129" s="1" t="str">
        <f t="shared" si="40"/>
        <v/>
      </c>
    </row>
    <row r="1130" spans="2:17">
      <c r="B1130" s="1" t="s">
        <v>543</v>
      </c>
      <c r="C1130" s="1" t="s">
        <v>547</v>
      </c>
      <c r="D1130" s="52">
        <v>46046.340277777781</v>
      </c>
      <c r="E1130" s="52">
        <v>46046.340277777781</v>
      </c>
      <c r="F1130" s="52">
        <v>46046.611111111109</v>
      </c>
      <c r="G1130" s="53">
        <f>F1130-E1130</f>
        <v>0.27083333332848269</v>
      </c>
      <c r="K1130" s="1" t="e">
        <f>_xlfn.XLOOKUP(J1130,REF!$D$2:$D$12,REF!$E$2:$E$12)</f>
        <v>#N/A</v>
      </c>
      <c r="L1130" s="1" t="s">
        <v>541</v>
      </c>
      <c r="M1130" s="1" t="s">
        <v>260</v>
      </c>
      <c r="N1130" s="1" t="s">
        <v>261</v>
      </c>
      <c r="O1130" s="1" t="s">
        <v>542</v>
      </c>
      <c r="P1130" s="1" t="str">
        <f>_xlfn.CONCAT(B1130,C1130,D1130,E1130,F1130)</f>
        <v>BC Aracu1Inverter7446046,340277777846046,340277777846046,6111111111</v>
      </c>
      <c r="Q1130" s="1" t="str">
        <f t="shared" si="40"/>
        <v/>
      </c>
    </row>
    <row r="1131" spans="2:17">
      <c r="B1131" s="1" t="s">
        <v>543</v>
      </c>
      <c r="C1131" s="1" t="s">
        <v>548</v>
      </c>
      <c r="D1131" s="52">
        <v>46046.340277777781</v>
      </c>
      <c r="E1131" s="52">
        <v>46046.340277777781</v>
      </c>
      <c r="F1131" s="52">
        <v>46046.611111111109</v>
      </c>
      <c r="G1131" s="53">
        <f>F1131-E1131</f>
        <v>0.27083333332848269</v>
      </c>
      <c r="K1131" s="1" t="e">
        <f>_xlfn.XLOOKUP(J1131,REF!$D$2:$D$12,REF!$E$2:$E$12)</f>
        <v>#N/A</v>
      </c>
      <c r="L1131" s="1" t="s">
        <v>541</v>
      </c>
      <c r="M1131" s="1" t="s">
        <v>260</v>
      </c>
      <c r="N1131" s="1" t="s">
        <v>261</v>
      </c>
      <c r="O1131" s="1" t="s">
        <v>542</v>
      </c>
      <c r="P1131" s="1" t="str">
        <f>_xlfn.CONCAT(B1131,C1131,D1131,E1131,F1131)</f>
        <v>BC Aracu1Inverter7546046,340277777846046,340277777846046,6111111111</v>
      </c>
      <c r="Q1131" s="1" t="str">
        <f t="shared" si="40"/>
        <v/>
      </c>
    </row>
    <row r="1132" spans="2:17">
      <c r="B1132" s="1" t="s">
        <v>543</v>
      </c>
      <c r="C1132" s="1" t="s">
        <v>549</v>
      </c>
      <c r="D1132" s="52">
        <v>46046.340277777781</v>
      </c>
      <c r="E1132" s="52">
        <v>46046.340277777781</v>
      </c>
      <c r="F1132" s="52">
        <v>46046.611111111109</v>
      </c>
      <c r="G1132" s="53">
        <f>F1132-E1132</f>
        <v>0.27083333332848269</v>
      </c>
      <c r="K1132" s="1" t="e">
        <f>_xlfn.XLOOKUP(J1132,REF!$D$2:$D$12,REF!$E$2:$E$12)</f>
        <v>#N/A</v>
      </c>
      <c r="L1132" s="1" t="s">
        <v>541</v>
      </c>
      <c r="M1132" s="1" t="s">
        <v>260</v>
      </c>
      <c r="N1132" s="1" t="s">
        <v>261</v>
      </c>
      <c r="O1132" s="1" t="s">
        <v>542</v>
      </c>
      <c r="P1132" s="1" t="str">
        <f>_xlfn.CONCAT(B1132,C1132,D1132,E1132,F1132)</f>
        <v>BC Aracu1Inverter7646046,340277777846046,340277777846046,6111111111</v>
      </c>
      <c r="Q1132" s="1" t="str">
        <f t="shared" si="40"/>
        <v/>
      </c>
    </row>
    <row r="1133" spans="2:17">
      <c r="B1133" s="1" t="s">
        <v>543</v>
      </c>
      <c r="C1133" s="1" t="s">
        <v>550</v>
      </c>
      <c r="D1133" s="52">
        <v>46046.340277777781</v>
      </c>
      <c r="E1133" s="52">
        <v>46046.340277777781</v>
      </c>
      <c r="F1133" s="52">
        <v>46046.611111111109</v>
      </c>
      <c r="G1133" s="53">
        <f>F1133-E1133</f>
        <v>0.27083333332848269</v>
      </c>
      <c r="K1133" s="1" t="e">
        <f>_xlfn.XLOOKUP(J1133,REF!$D$2:$D$12,REF!$E$2:$E$12)</f>
        <v>#N/A</v>
      </c>
      <c r="L1133" s="1" t="s">
        <v>541</v>
      </c>
      <c r="M1133" s="1" t="s">
        <v>260</v>
      </c>
      <c r="N1133" s="1" t="s">
        <v>261</v>
      </c>
      <c r="O1133" s="1" t="s">
        <v>542</v>
      </c>
      <c r="P1133" s="1" t="str">
        <f>_xlfn.CONCAT(B1133,C1133,D1133,E1133,F1133)</f>
        <v>BC Aracu1Inverter7746046,340277777846046,340277777846046,6111111111</v>
      </c>
      <c r="Q1133" s="1" t="str">
        <f t="shared" si="40"/>
        <v/>
      </c>
    </row>
    <row r="1134" spans="2:17">
      <c r="B1134" s="1" t="s">
        <v>358</v>
      </c>
      <c r="C1134" s="1" t="s">
        <v>359</v>
      </c>
      <c r="D1134" s="52">
        <v>46046.340277777781</v>
      </c>
      <c r="E1134" s="52">
        <v>46046.340277777781</v>
      </c>
      <c r="F1134" s="52">
        <v>46046.611111111109</v>
      </c>
      <c r="G1134" s="53">
        <f>F1134-E1134</f>
        <v>0.27083333332848269</v>
      </c>
      <c r="K1134" s="1" t="e">
        <f>_xlfn.XLOOKUP(J1134,REF!$D$2:$D$12,REF!$E$2:$E$12)</f>
        <v>#N/A</v>
      </c>
      <c r="L1134" s="1" t="s">
        <v>541</v>
      </c>
      <c r="M1134" s="1" t="s">
        <v>260</v>
      </c>
      <c r="N1134" s="1" t="s">
        <v>261</v>
      </c>
      <c r="O1134" s="1" t="s">
        <v>542</v>
      </c>
      <c r="P1134" s="1" t="str">
        <f>_xlfn.CONCAT(B1134,C1134,D1134,E1134,F1134)</f>
        <v>BC Aracu2araçu 2.1 inversor 146046,340277777846046,340277777846046,6111111111</v>
      </c>
      <c r="Q1134" s="1" t="str">
        <f t="shared" si="40"/>
        <v/>
      </c>
    </row>
    <row r="1135" spans="2:17">
      <c r="B1135" s="1" t="s">
        <v>358</v>
      </c>
      <c r="C1135" s="1" t="s">
        <v>551</v>
      </c>
      <c r="D1135" s="52">
        <v>46046.340277777781</v>
      </c>
      <c r="E1135" s="52">
        <v>46046.340277777781</v>
      </c>
      <c r="F1135" s="52">
        <v>46046.611111111109</v>
      </c>
      <c r="G1135" s="53">
        <f>F1135-E1135</f>
        <v>0.27083333332848269</v>
      </c>
      <c r="K1135" s="1" t="e">
        <f>_xlfn.XLOOKUP(J1135,REF!$D$2:$D$12,REF!$E$2:$E$12)</f>
        <v>#N/A</v>
      </c>
      <c r="L1135" s="1" t="s">
        <v>541</v>
      </c>
      <c r="M1135" s="1" t="s">
        <v>260</v>
      </c>
      <c r="N1135" s="1" t="s">
        <v>261</v>
      </c>
      <c r="O1135" s="1" t="s">
        <v>542</v>
      </c>
      <c r="P1135" s="1" t="str">
        <f>_xlfn.CONCAT(B1135,C1135,D1135,E1135,F1135)</f>
        <v>BC Aracu2araçu 2.1 inversor 246046,340277777846046,340277777846046,6111111111</v>
      </c>
      <c r="Q1135" s="1" t="str">
        <f t="shared" si="40"/>
        <v/>
      </c>
    </row>
    <row r="1136" spans="2:17">
      <c r="B1136" s="1" t="s">
        <v>358</v>
      </c>
      <c r="C1136" s="1" t="s">
        <v>552</v>
      </c>
      <c r="D1136" s="52">
        <v>46046.340277777781</v>
      </c>
      <c r="E1136" s="52">
        <v>46046.340277777781</v>
      </c>
      <c r="F1136" s="52">
        <v>46046.611111111109</v>
      </c>
      <c r="G1136" s="53">
        <f>F1136-E1136</f>
        <v>0.27083333332848269</v>
      </c>
      <c r="K1136" s="1" t="e">
        <f>_xlfn.XLOOKUP(J1136,REF!$D$2:$D$12,REF!$E$2:$E$12)</f>
        <v>#N/A</v>
      </c>
      <c r="L1136" s="1" t="s">
        <v>541</v>
      </c>
      <c r="M1136" s="1" t="s">
        <v>260</v>
      </c>
      <c r="N1136" s="1" t="s">
        <v>261</v>
      </c>
      <c r="O1136" s="1" t="s">
        <v>542</v>
      </c>
      <c r="P1136" s="1" t="str">
        <f>_xlfn.CONCAT(B1136,C1136,D1136,E1136,F1136)</f>
        <v>BC Aracu2araçu 2.1 inversor 346046,340277777846046,340277777846046,6111111111</v>
      </c>
      <c r="Q1136" s="1" t="str">
        <f t="shared" si="40"/>
        <v/>
      </c>
    </row>
    <row r="1137" spans="2:17">
      <c r="B1137" s="1" t="s">
        <v>358</v>
      </c>
      <c r="C1137" s="1" t="s">
        <v>553</v>
      </c>
      <c r="D1137" s="52">
        <v>46046.340277777781</v>
      </c>
      <c r="E1137" s="52">
        <v>46046.340277777781</v>
      </c>
      <c r="F1137" s="52">
        <v>46046.611111111109</v>
      </c>
      <c r="G1137" s="53">
        <f>F1137-E1137</f>
        <v>0.27083333332848269</v>
      </c>
      <c r="K1137" s="1" t="e">
        <f>_xlfn.XLOOKUP(J1137,REF!$D$2:$D$12,REF!$E$2:$E$12)</f>
        <v>#N/A</v>
      </c>
      <c r="L1137" s="1" t="s">
        <v>541</v>
      </c>
      <c r="M1137" s="1" t="s">
        <v>260</v>
      </c>
      <c r="N1137" s="1" t="s">
        <v>261</v>
      </c>
      <c r="O1137" s="1" t="s">
        <v>542</v>
      </c>
      <c r="P1137" s="1" t="str">
        <f>_xlfn.CONCAT(B1137,C1137,D1137,E1137,F1137)</f>
        <v>BC Aracu2araçu 2.2 inversor 146046,340277777846046,340277777846046,6111111111</v>
      </c>
      <c r="Q1137" s="1" t="str">
        <f t="shared" si="40"/>
        <v/>
      </c>
    </row>
    <row r="1138" spans="2:17">
      <c r="B1138" s="1" t="s">
        <v>358</v>
      </c>
      <c r="C1138" s="1" t="s">
        <v>554</v>
      </c>
      <c r="D1138" s="52">
        <v>46046.340277777781</v>
      </c>
      <c r="E1138" s="52">
        <v>46046.340277777781</v>
      </c>
      <c r="F1138" s="52">
        <v>46046.611111111109</v>
      </c>
      <c r="G1138" s="53">
        <f>F1138-E1138</f>
        <v>0.27083333332848269</v>
      </c>
      <c r="K1138" s="1" t="e">
        <f>_xlfn.XLOOKUP(J1138,REF!$D$2:$D$12,REF!$E$2:$E$12)</f>
        <v>#N/A</v>
      </c>
      <c r="L1138" s="1" t="s">
        <v>541</v>
      </c>
      <c r="M1138" s="1" t="s">
        <v>260</v>
      </c>
      <c r="N1138" s="1" t="s">
        <v>261</v>
      </c>
      <c r="O1138" s="1" t="s">
        <v>542</v>
      </c>
      <c r="P1138" s="1" t="str">
        <f>_xlfn.CONCAT(B1138,C1138,D1138,E1138,F1138)</f>
        <v>BC Aracu2araçu 2.2 inversor 246046,340277777846046,340277777846046,6111111111</v>
      </c>
      <c r="Q1138" s="1" t="str">
        <f t="shared" si="40"/>
        <v/>
      </c>
    </row>
    <row r="1139" spans="2:17">
      <c r="B1139" s="1" t="s">
        <v>358</v>
      </c>
      <c r="C1139" s="1" t="s">
        <v>555</v>
      </c>
      <c r="D1139" s="52">
        <v>46046.340277777781</v>
      </c>
      <c r="E1139" s="52">
        <v>46046.340277777781</v>
      </c>
      <c r="F1139" s="52">
        <v>46046.611111111109</v>
      </c>
      <c r="G1139" s="53">
        <f>F1139-E1139</f>
        <v>0.27083333332848269</v>
      </c>
      <c r="K1139" s="1" t="e">
        <f>_xlfn.XLOOKUP(J1139,REF!$D$2:$D$12,REF!$E$2:$E$12)</f>
        <v>#N/A</v>
      </c>
      <c r="L1139" s="1" t="s">
        <v>541</v>
      </c>
      <c r="M1139" s="1" t="s">
        <v>260</v>
      </c>
      <c r="N1139" s="1" t="s">
        <v>261</v>
      </c>
      <c r="O1139" s="1" t="s">
        <v>542</v>
      </c>
      <c r="P1139" s="1" t="str">
        <f>_xlfn.CONCAT(B1139,C1139,D1139,E1139,F1139)</f>
        <v>BC Aracu2araçu 2.2 inversor 346046,340277777846046,340277777846046,6111111111</v>
      </c>
      <c r="Q1139" s="1" t="str">
        <f t="shared" si="40"/>
        <v/>
      </c>
    </row>
    <row r="1140" spans="2:17">
      <c r="B1140" s="1" t="s">
        <v>358</v>
      </c>
      <c r="C1140" s="1" t="s">
        <v>556</v>
      </c>
      <c r="D1140" s="52">
        <v>46046.340277777781</v>
      </c>
      <c r="E1140" s="52">
        <v>46046.340277777781</v>
      </c>
      <c r="F1140" s="52">
        <v>46046.611111111109</v>
      </c>
      <c r="G1140" s="53">
        <f>F1140-E1140</f>
        <v>0.27083333332848269</v>
      </c>
      <c r="K1140" s="1" t="e">
        <f>_xlfn.XLOOKUP(J1140,REF!$D$2:$D$12,REF!$E$2:$E$12)</f>
        <v>#N/A</v>
      </c>
      <c r="L1140" s="1" t="s">
        <v>541</v>
      </c>
      <c r="M1140" s="1" t="s">
        <v>260</v>
      </c>
      <c r="N1140" s="1" t="s">
        <v>261</v>
      </c>
      <c r="O1140" s="1" t="s">
        <v>542</v>
      </c>
      <c r="P1140" s="1" t="str">
        <f>_xlfn.CONCAT(B1140,C1140,D1140,E1140,F1140)</f>
        <v>BC Aracu2Inverter8346046,340277777846046,340277777846046,6111111111</v>
      </c>
      <c r="Q1140" s="1" t="str">
        <f t="shared" si="40"/>
        <v/>
      </c>
    </row>
    <row r="1141" spans="2:17">
      <c r="B1141" s="1" t="s">
        <v>358</v>
      </c>
      <c r="C1141" s="1" t="s">
        <v>557</v>
      </c>
      <c r="D1141" s="52">
        <v>46046.340277777781</v>
      </c>
      <c r="E1141" s="52">
        <v>46046.340277777781</v>
      </c>
      <c r="F1141" s="52">
        <v>46046.611111111109</v>
      </c>
      <c r="G1141" s="53">
        <f>F1141-E1141</f>
        <v>0.27083333332848269</v>
      </c>
      <c r="K1141" s="1" t="e">
        <f>_xlfn.XLOOKUP(J1141,REF!$D$2:$D$12,REF!$E$2:$E$12)</f>
        <v>#N/A</v>
      </c>
      <c r="L1141" s="1" t="s">
        <v>541</v>
      </c>
      <c r="M1141" s="1" t="s">
        <v>260</v>
      </c>
      <c r="N1141" s="1" t="s">
        <v>261</v>
      </c>
      <c r="O1141" s="1" t="s">
        <v>542</v>
      </c>
      <c r="P1141" s="1" t="str">
        <f>_xlfn.CONCAT(B1141,C1141,D1141,E1141,F1141)</f>
        <v>BC Aracu2araçu 2.3 inversor 546046,340277777846046,340277777846046,6111111111</v>
      </c>
      <c r="Q1141" s="1" t="str">
        <f t="shared" si="40"/>
        <v/>
      </c>
    </row>
    <row r="1142" spans="2:17">
      <c r="B1142" s="1" t="s">
        <v>358</v>
      </c>
      <c r="C1142" s="1" t="s">
        <v>558</v>
      </c>
      <c r="D1142" s="52">
        <v>46046.340277777781</v>
      </c>
      <c r="E1142" s="52">
        <v>46046.340277777781</v>
      </c>
      <c r="F1142" s="52">
        <v>46046.611111111109</v>
      </c>
      <c r="G1142" s="53">
        <f>F1142-E1142</f>
        <v>0.27083333332848269</v>
      </c>
      <c r="K1142" s="1" t="e">
        <f>_xlfn.XLOOKUP(J1142,REF!$D$2:$D$12,REF!$E$2:$E$12)</f>
        <v>#N/A</v>
      </c>
      <c r="L1142" s="1" t="s">
        <v>541</v>
      </c>
      <c r="M1142" s="1" t="s">
        <v>260</v>
      </c>
      <c r="N1142" s="1" t="s">
        <v>261</v>
      </c>
      <c r="O1142" s="1" t="s">
        <v>542</v>
      </c>
      <c r="P1142" s="1" t="str">
        <f>_xlfn.CONCAT(B1142,C1142,D1142,E1142,F1142)</f>
        <v>BC Aracu2araçu 2.3 inversor 146046,340277777846046,340277777846046,6111111111</v>
      </c>
      <c r="Q1142" s="1" t="str">
        <f t="shared" si="40"/>
        <v/>
      </c>
    </row>
    <row r="1143" spans="2:17">
      <c r="B1143" s="1" t="s">
        <v>358</v>
      </c>
      <c r="C1143" s="1" t="s">
        <v>559</v>
      </c>
      <c r="D1143" s="52">
        <v>46046.340277777781</v>
      </c>
      <c r="E1143" s="52">
        <v>46046.340277777781</v>
      </c>
      <c r="F1143" s="52">
        <v>46046.611111111109</v>
      </c>
      <c r="G1143" s="53">
        <f>F1143-E1143</f>
        <v>0.27083333332848269</v>
      </c>
      <c r="K1143" s="1" t="e">
        <f>_xlfn.XLOOKUP(J1143,REF!$D$2:$D$12,REF!$E$2:$E$12)</f>
        <v>#N/A</v>
      </c>
      <c r="L1143" s="1" t="s">
        <v>541</v>
      </c>
      <c r="M1143" s="1" t="s">
        <v>260</v>
      </c>
      <c r="N1143" s="1" t="s">
        <v>261</v>
      </c>
      <c r="O1143" s="1" t="s">
        <v>542</v>
      </c>
      <c r="P1143" s="1" t="str">
        <f>_xlfn.CONCAT(B1143,C1143,D1143,E1143,F1143)</f>
        <v>BC Aracu2araçu 2.3 inversor 246046,340277777846046,340277777846046,6111111111</v>
      </c>
      <c r="Q1143" s="1" t="str">
        <f t="shared" si="40"/>
        <v/>
      </c>
    </row>
    <row r="1144" spans="2:17">
      <c r="B1144" s="1" t="s">
        <v>358</v>
      </c>
      <c r="C1144" s="1" t="s">
        <v>560</v>
      </c>
      <c r="D1144" s="52">
        <v>46046.340277777781</v>
      </c>
      <c r="E1144" s="52">
        <v>46046.340277777781</v>
      </c>
      <c r="F1144" s="52">
        <v>46046.611111111109</v>
      </c>
      <c r="G1144" s="53">
        <f>F1144-E1144</f>
        <v>0.27083333332848269</v>
      </c>
      <c r="K1144" s="1" t="e">
        <f>_xlfn.XLOOKUP(J1144,REF!$D$2:$D$12,REF!$E$2:$E$12)</f>
        <v>#N/A</v>
      </c>
      <c r="L1144" s="1" t="s">
        <v>541</v>
      </c>
      <c r="M1144" s="1" t="s">
        <v>260</v>
      </c>
      <c r="N1144" s="1" t="s">
        <v>261</v>
      </c>
      <c r="O1144" s="1" t="s">
        <v>542</v>
      </c>
      <c r="P1144" s="1" t="str">
        <f>_xlfn.CONCAT(B1144,C1144,D1144,E1144,F1144)</f>
        <v>BC Aracu2araçu 2.3 inversor 446046,340277777846046,340277777846046,6111111111</v>
      </c>
      <c r="Q1144" s="1" t="str">
        <f t="shared" si="40"/>
        <v/>
      </c>
    </row>
    <row r="1145" spans="2:17">
      <c r="B1145" s="1" t="s">
        <v>358</v>
      </c>
      <c r="C1145" s="1" t="s">
        <v>561</v>
      </c>
      <c r="D1145" s="52">
        <v>46046.340277777781</v>
      </c>
      <c r="E1145" s="52">
        <v>46046.340277777781</v>
      </c>
      <c r="F1145" s="52">
        <v>46046.611111111109</v>
      </c>
      <c r="G1145" s="53">
        <f>F1145-E1145</f>
        <v>0.27083333332848269</v>
      </c>
      <c r="K1145" s="1" t="e">
        <f>_xlfn.XLOOKUP(J1145,REF!$D$2:$D$12,REF!$E$2:$E$12)</f>
        <v>#N/A</v>
      </c>
      <c r="L1145" s="1" t="s">
        <v>541</v>
      </c>
      <c r="M1145" s="1" t="s">
        <v>260</v>
      </c>
      <c r="N1145" s="1" t="s">
        <v>261</v>
      </c>
      <c r="O1145" s="1" t="s">
        <v>542</v>
      </c>
      <c r="P1145" s="1" t="str">
        <f>_xlfn.CONCAT(B1145,C1145,D1145,E1145,F1145)</f>
        <v>BC Aracu2araçu 2.3 inversor 346046,340277777846046,340277777846046,6111111111</v>
      </c>
      <c r="Q1145" s="1" t="str">
        <f t="shared" si="40"/>
        <v/>
      </c>
    </row>
    <row r="1146" spans="2:17">
      <c r="B1146" s="1" t="s">
        <v>358</v>
      </c>
      <c r="C1146" s="1" t="s">
        <v>562</v>
      </c>
      <c r="D1146" s="52">
        <v>46046.340277777781</v>
      </c>
      <c r="E1146" s="52">
        <v>46046.340277777781</v>
      </c>
      <c r="F1146" s="52">
        <v>46046.611111111109</v>
      </c>
      <c r="G1146" s="53">
        <f>F1146-E1146</f>
        <v>0.27083333332848269</v>
      </c>
      <c r="K1146" s="1" t="e">
        <f>_xlfn.XLOOKUP(J1146,REF!$D$2:$D$12,REF!$E$2:$E$12)</f>
        <v>#N/A</v>
      </c>
      <c r="L1146" s="1" t="s">
        <v>541</v>
      </c>
      <c r="M1146" s="1" t="s">
        <v>260</v>
      </c>
      <c r="N1146" s="1" t="s">
        <v>261</v>
      </c>
      <c r="O1146" s="1" t="s">
        <v>542</v>
      </c>
      <c r="P1146" s="1" t="str">
        <f>_xlfn.CONCAT(B1146,C1146,D1146,E1146,F1146)</f>
        <v>BC Aracu2araçu 2.4 inversor 346046,340277777846046,340277777846046,6111111111</v>
      </c>
      <c r="Q1146" s="1" t="str">
        <f t="shared" si="40"/>
        <v/>
      </c>
    </row>
    <row r="1147" spans="2:17">
      <c r="B1147" s="1" t="s">
        <v>358</v>
      </c>
      <c r="C1147" s="1" t="s">
        <v>563</v>
      </c>
      <c r="D1147" s="52">
        <v>46046.340277777781</v>
      </c>
      <c r="E1147" s="52">
        <v>46046.340277777781</v>
      </c>
      <c r="F1147" s="52">
        <v>46046.611111111109</v>
      </c>
      <c r="G1147" s="53">
        <f>F1147-E1147</f>
        <v>0.27083333332848269</v>
      </c>
      <c r="K1147" s="1" t="e">
        <f>_xlfn.XLOOKUP(J1147,REF!$D$2:$D$12,REF!$E$2:$E$12)</f>
        <v>#N/A</v>
      </c>
      <c r="L1147" s="1" t="s">
        <v>541</v>
      </c>
      <c r="M1147" s="1" t="s">
        <v>260</v>
      </c>
      <c r="N1147" s="1" t="s">
        <v>261</v>
      </c>
      <c r="O1147" s="1" t="s">
        <v>542</v>
      </c>
      <c r="P1147" s="1" t="str">
        <f>_xlfn.CONCAT(B1147,C1147,D1147,E1147,F1147)</f>
        <v>BC Aracu2araçu 2.4 inversor 146046,340277777846046,340277777846046,6111111111</v>
      </c>
      <c r="Q1147" s="1" t="str">
        <f t="shared" si="40"/>
        <v/>
      </c>
    </row>
    <row r="1148" spans="2:17">
      <c r="B1148" s="1" t="s">
        <v>358</v>
      </c>
      <c r="C1148" s="1" t="s">
        <v>564</v>
      </c>
      <c r="D1148" s="52">
        <v>46046.340277777781</v>
      </c>
      <c r="E1148" s="52">
        <v>46046.340277777781</v>
      </c>
      <c r="F1148" s="52">
        <v>46046.611111111109</v>
      </c>
      <c r="G1148" s="53">
        <f>F1148-E1148</f>
        <v>0.27083333332848269</v>
      </c>
      <c r="K1148" s="1" t="e">
        <f>_xlfn.XLOOKUP(J1148,REF!$D$2:$D$12,REF!$E$2:$E$12)</f>
        <v>#N/A</v>
      </c>
      <c r="L1148" s="1" t="s">
        <v>541</v>
      </c>
      <c r="M1148" s="1" t="s">
        <v>260</v>
      </c>
      <c r="N1148" s="1" t="s">
        <v>261</v>
      </c>
      <c r="O1148" s="1" t="s">
        <v>542</v>
      </c>
      <c r="P1148" s="1" t="str">
        <f>_xlfn.CONCAT(B1148,C1148,D1148,E1148,F1148)</f>
        <v>BC Aracu2araçu 2.4 inversor 646046,340277777846046,340277777846046,6111111111</v>
      </c>
      <c r="Q1148" s="1" t="str">
        <f t="shared" si="40"/>
        <v/>
      </c>
    </row>
    <row r="1149" spans="2:17">
      <c r="B1149" s="1" t="s">
        <v>358</v>
      </c>
      <c r="C1149" s="1" t="s">
        <v>565</v>
      </c>
      <c r="D1149" s="52">
        <v>46046.340277777781</v>
      </c>
      <c r="E1149" s="52">
        <v>46046.340277777781</v>
      </c>
      <c r="F1149" s="52">
        <v>46046.611111111109</v>
      </c>
      <c r="G1149" s="53">
        <f>F1149-E1149</f>
        <v>0.27083333332848269</v>
      </c>
      <c r="K1149" s="1" t="e">
        <f>_xlfn.XLOOKUP(J1149,REF!$D$2:$D$12,REF!$E$2:$E$12)</f>
        <v>#N/A</v>
      </c>
      <c r="L1149" s="1" t="s">
        <v>541</v>
      </c>
      <c r="M1149" s="1" t="s">
        <v>260</v>
      </c>
      <c r="N1149" s="1" t="s">
        <v>261</v>
      </c>
      <c r="O1149" s="1" t="s">
        <v>542</v>
      </c>
      <c r="P1149" s="1" t="str">
        <f>_xlfn.CONCAT(B1149,C1149,D1149,E1149,F1149)</f>
        <v>BC Aracu2araçu 2.4 inversor 446046,340277777846046,340277777846046,6111111111</v>
      </c>
      <c r="Q1149" s="1" t="str">
        <f t="shared" si="40"/>
        <v/>
      </c>
    </row>
    <row r="1150" spans="2:17">
      <c r="B1150" s="1" t="s">
        <v>358</v>
      </c>
      <c r="C1150" s="1" t="s">
        <v>566</v>
      </c>
      <c r="D1150" s="52">
        <v>46046.340277777781</v>
      </c>
      <c r="E1150" s="52">
        <v>46046.340277777781</v>
      </c>
      <c r="F1150" s="52">
        <v>46046.611111111109</v>
      </c>
      <c r="G1150" s="53">
        <f>F1150-E1150</f>
        <v>0.27083333332848269</v>
      </c>
      <c r="K1150" s="1" t="e">
        <f>_xlfn.XLOOKUP(J1150,REF!$D$2:$D$12,REF!$E$2:$E$12)</f>
        <v>#N/A</v>
      </c>
      <c r="L1150" s="1" t="s">
        <v>541</v>
      </c>
      <c r="M1150" s="1" t="s">
        <v>260</v>
      </c>
      <c r="N1150" s="1" t="s">
        <v>261</v>
      </c>
      <c r="O1150" s="1" t="s">
        <v>542</v>
      </c>
      <c r="P1150" s="1" t="str">
        <f>_xlfn.CONCAT(B1150,C1150,D1150,E1150,F1150)</f>
        <v>BC Aracu2araçu 2.4 inversor 246046,340277777846046,340277777846046,6111111111</v>
      </c>
      <c r="Q1150" s="1" t="str">
        <f t="shared" si="40"/>
        <v/>
      </c>
    </row>
    <row r="1151" spans="2:17">
      <c r="B1151" s="1" t="s">
        <v>358</v>
      </c>
      <c r="C1151" s="1" t="s">
        <v>567</v>
      </c>
      <c r="D1151" s="52">
        <v>46046.340277777781</v>
      </c>
      <c r="E1151" s="52">
        <v>46046.340277777781</v>
      </c>
      <c r="F1151" s="52">
        <v>46046.611111111109</v>
      </c>
      <c r="G1151" s="53">
        <f>F1151-E1151</f>
        <v>0.27083333332848269</v>
      </c>
      <c r="K1151" s="1" t="e">
        <f>_xlfn.XLOOKUP(J1151,REF!$D$2:$D$12,REF!$E$2:$E$12)</f>
        <v>#N/A</v>
      </c>
      <c r="L1151" s="1" t="s">
        <v>541</v>
      </c>
      <c r="M1151" s="1" t="s">
        <v>260</v>
      </c>
      <c r="N1151" s="1" t="s">
        <v>261</v>
      </c>
      <c r="O1151" s="1" t="s">
        <v>542</v>
      </c>
      <c r="P1151" s="1" t="str">
        <f>_xlfn.CONCAT(B1151,C1151,D1151,E1151,F1151)</f>
        <v>BC Aracu2araçu 2.4 inversor 546046,340277777846046,340277777846046,6111111111</v>
      </c>
      <c r="Q1151" s="1" t="str">
        <f t="shared" si="40"/>
        <v/>
      </c>
    </row>
    <row r="1152" spans="2:17">
      <c r="B1152" s="1" t="s">
        <v>568</v>
      </c>
      <c r="C1152" s="1" t="s">
        <v>569</v>
      </c>
      <c r="D1152" s="52">
        <v>46046.340277777781</v>
      </c>
      <c r="E1152" s="52">
        <v>46046.340277777781</v>
      </c>
      <c r="F1152" s="52">
        <v>46046.611111111109</v>
      </c>
      <c r="G1152" s="53">
        <f>F1152-E1152</f>
        <v>0.27083333332848269</v>
      </c>
      <c r="K1152" s="1" t="e">
        <f>_xlfn.XLOOKUP(J1152,REF!$D$2:$D$12,REF!$E$2:$E$12)</f>
        <v>#N/A</v>
      </c>
      <c r="L1152" s="1" t="s">
        <v>541</v>
      </c>
      <c r="M1152" s="1" t="s">
        <v>260</v>
      </c>
      <c r="N1152" s="1" t="s">
        <v>261</v>
      </c>
      <c r="O1152" s="1" t="s">
        <v>542</v>
      </c>
      <c r="P1152" s="1" t="str">
        <f>_xlfn.CONCAT(B1152,C1152,D1152,E1152,F1152)</f>
        <v>BC Aracu3Inverter446046,340277777846046,340277777846046,6111111111</v>
      </c>
      <c r="Q1152" s="1" t="str">
        <f t="shared" si="40"/>
        <v/>
      </c>
    </row>
    <row r="1153" spans="2:17">
      <c r="B1153" s="1" t="s">
        <v>568</v>
      </c>
      <c r="C1153" s="1" t="s">
        <v>570</v>
      </c>
      <c r="D1153" s="52">
        <v>46046.340277777781</v>
      </c>
      <c r="E1153" s="52">
        <v>46046.340277777781</v>
      </c>
      <c r="F1153" s="52">
        <v>46046.611111111109</v>
      </c>
      <c r="G1153" s="53">
        <f>F1153-E1153</f>
        <v>0.27083333332848269</v>
      </c>
      <c r="K1153" s="1" t="e">
        <f>_xlfn.XLOOKUP(J1153,REF!$D$2:$D$12,REF!$E$2:$E$12)</f>
        <v>#N/A</v>
      </c>
      <c r="L1153" s="1" t="s">
        <v>541</v>
      </c>
      <c r="M1153" s="1" t="s">
        <v>260</v>
      </c>
      <c r="N1153" s="1" t="s">
        <v>261</v>
      </c>
      <c r="O1153" s="1" t="s">
        <v>542</v>
      </c>
      <c r="P1153" s="1" t="str">
        <f>_xlfn.CONCAT(B1153,C1153,D1153,E1153,F1153)</f>
        <v>BC Aracu3Inverter346046,340277777846046,340277777846046,6111111111</v>
      </c>
      <c r="Q1153" s="1" t="str">
        <f t="shared" si="40"/>
        <v/>
      </c>
    </row>
    <row r="1154" spans="2:17">
      <c r="B1154" s="1" t="s">
        <v>568</v>
      </c>
      <c r="C1154" s="1" t="s">
        <v>571</v>
      </c>
      <c r="D1154" s="52">
        <v>46046.340277777781</v>
      </c>
      <c r="E1154" s="52">
        <v>46046.340277777781</v>
      </c>
      <c r="F1154" s="52">
        <v>46046.611111111109</v>
      </c>
      <c r="G1154" s="53">
        <f>F1154-E1154</f>
        <v>0.27083333332848269</v>
      </c>
      <c r="K1154" s="1" t="e">
        <f>_xlfn.XLOOKUP(J1154,REF!$D$2:$D$12,REF!$E$2:$E$12)</f>
        <v>#N/A</v>
      </c>
      <c r="L1154" s="1" t="s">
        <v>541</v>
      </c>
      <c r="M1154" s="1" t="s">
        <v>260</v>
      </c>
      <c r="N1154" s="1" t="s">
        <v>261</v>
      </c>
      <c r="O1154" s="1" t="s">
        <v>542</v>
      </c>
      <c r="P1154" s="1" t="str">
        <f>_xlfn.CONCAT(B1154,C1154,D1154,E1154,F1154)</f>
        <v>BC Aracu3Inverter146046,340277777846046,340277777846046,6111111111</v>
      </c>
      <c r="Q1154" s="1" t="str">
        <f t="shared" si="40"/>
        <v/>
      </c>
    </row>
    <row r="1155" spans="2:17">
      <c r="B1155" s="1" t="s">
        <v>568</v>
      </c>
      <c r="C1155" s="1" t="s">
        <v>572</v>
      </c>
      <c r="D1155" s="52">
        <v>46046.340277777781</v>
      </c>
      <c r="E1155" s="52">
        <v>46046.340277777781</v>
      </c>
      <c r="F1155" s="52">
        <v>46046.611111111109</v>
      </c>
      <c r="G1155" s="53">
        <f>F1155-E1155</f>
        <v>0.27083333332848269</v>
      </c>
      <c r="K1155" s="1" t="e">
        <f>_xlfn.XLOOKUP(J1155,REF!$D$2:$D$12,REF!$E$2:$E$12)</f>
        <v>#N/A</v>
      </c>
      <c r="L1155" s="1" t="s">
        <v>541</v>
      </c>
      <c r="M1155" s="1" t="s">
        <v>260</v>
      </c>
      <c r="N1155" s="1" t="s">
        <v>261</v>
      </c>
      <c r="O1155" s="1" t="s">
        <v>542</v>
      </c>
      <c r="P1155" s="1" t="str">
        <f>_xlfn.CONCAT(B1155,C1155,D1155,E1155,F1155)</f>
        <v>BC Aracu3Inverter246046,340277777846046,340277777846046,6111111111</v>
      </c>
      <c r="Q1155" s="1" t="str">
        <f t="shared" si="40"/>
        <v/>
      </c>
    </row>
    <row r="1156" spans="2:17">
      <c r="B1156" s="1" t="s">
        <v>327</v>
      </c>
      <c r="C1156" s="1" t="s">
        <v>247</v>
      </c>
      <c r="D1156" s="52">
        <v>46046.340277777781</v>
      </c>
      <c r="E1156" s="52">
        <v>46046.340277777781</v>
      </c>
      <c r="F1156" s="52">
        <v>46046.611111111109</v>
      </c>
      <c r="G1156" s="53">
        <f>F1156-E1156</f>
        <v>0.27083333332848269</v>
      </c>
      <c r="K1156" s="1" t="e">
        <f>_xlfn.XLOOKUP(J1156,REF!$D$2:$D$12,REF!$E$2:$E$12)</f>
        <v>#N/A</v>
      </c>
      <c r="L1156" s="1" t="s">
        <v>541</v>
      </c>
      <c r="M1156" s="1" t="s">
        <v>260</v>
      </c>
      <c r="N1156" s="1" t="s">
        <v>261</v>
      </c>
      <c r="O1156" s="1" t="s">
        <v>542</v>
      </c>
      <c r="P1156" s="1" t="str">
        <f>_xlfn.CONCAT(B1156,C1156,D1156,E1156,F1156)</f>
        <v>BC Aracu5.1Inverter(MBUS-1)46046,340277777846046,340277777846046,6111111111</v>
      </c>
      <c r="Q1156" s="1" t="str">
        <f t="shared" si="40"/>
        <v/>
      </c>
    </row>
    <row r="1157" spans="2:17">
      <c r="B1157" s="1" t="s">
        <v>246</v>
      </c>
      <c r="C1157" s="1" t="s">
        <v>247</v>
      </c>
      <c r="D1157" s="52">
        <v>46046.340277777781</v>
      </c>
      <c r="E1157" s="52">
        <v>46046.340277777781</v>
      </c>
      <c r="F1157" s="52">
        <v>46046.611111111109</v>
      </c>
      <c r="G1157" s="53">
        <f>F1157-E1157</f>
        <v>0.27083333332848269</v>
      </c>
      <c r="K1157" s="1" t="e">
        <f>_xlfn.XLOOKUP(J1157,REF!$D$2:$D$12,REF!$E$2:$E$12)</f>
        <v>#N/A</v>
      </c>
      <c r="L1157" s="1" t="s">
        <v>541</v>
      </c>
      <c r="M1157" s="1" t="s">
        <v>260</v>
      </c>
      <c r="N1157" s="1" t="s">
        <v>261</v>
      </c>
      <c r="O1157" s="1" t="s">
        <v>542</v>
      </c>
      <c r="P1157" s="1" t="str">
        <f>_xlfn.CONCAT(B1157,C1157,D1157,E1157,F1157)</f>
        <v>BC Aracu5.2Inverter(MBUS-1)46046,340277777846046,340277777846046,6111111111</v>
      </c>
      <c r="Q1157" s="1" t="str">
        <f t="shared" si="40"/>
        <v/>
      </c>
    </row>
    <row r="1158" spans="2:17">
      <c r="B1158" s="1" t="s">
        <v>328</v>
      </c>
      <c r="C1158" s="1" t="s">
        <v>247</v>
      </c>
      <c r="D1158" s="52">
        <v>46046.340277777781</v>
      </c>
      <c r="E1158" s="52">
        <v>46046.340277777781</v>
      </c>
      <c r="F1158" s="52">
        <v>46046.611111111109</v>
      </c>
      <c r="G1158" s="53">
        <f>F1158-E1158</f>
        <v>0.27083333332848269</v>
      </c>
      <c r="K1158" s="1" t="e">
        <f>_xlfn.XLOOKUP(J1158,REF!$D$2:$D$12,REF!$E$2:$E$12)</f>
        <v>#N/A</v>
      </c>
      <c r="L1158" s="1" t="s">
        <v>541</v>
      </c>
      <c r="M1158" s="1" t="s">
        <v>260</v>
      </c>
      <c r="N1158" s="1" t="s">
        <v>261</v>
      </c>
      <c r="O1158" s="1" t="s">
        <v>542</v>
      </c>
      <c r="P1158" s="1" t="str">
        <f>_xlfn.CONCAT(B1158,C1158,D1158,E1158,F1158)</f>
        <v>BC Aracu5.3Inverter(MBUS-1)46046,340277777846046,340277777846046,6111111111</v>
      </c>
      <c r="Q1158" s="1" t="str">
        <f t="shared" si="40"/>
        <v/>
      </c>
    </row>
    <row r="1159" spans="2:17">
      <c r="B1159" s="1" t="s">
        <v>329</v>
      </c>
      <c r="C1159" s="1" t="s">
        <v>247</v>
      </c>
      <c r="D1159" s="52">
        <v>46046.340277777781</v>
      </c>
      <c r="E1159" s="52">
        <v>46046.340277777781</v>
      </c>
      <c r="F1159" s="52">
        <v>46046.611111111109</v>
      </c>
      <c r="G1159" s="53">
        <f>F1159-E1159</f>
        <v>0.27083333332848269</v>
      </c>
      <c r="K1159" s="1" t="e">
        <f>_xlfn.XLOOKUP(J1159,REF!$D$2:$D$12,REF!$E$2:$E$12)</f>
        <v>#N/A</v>
      </c>
      <c r="L1159" s="1" t="s">
        <v>541</v>
      </c>
      <c r="M1159" s="1" t="s">
        <v>260</v>
      </c>
      <c r="N1159" s="1" t="s">
        <v>261</v>
      </c>
      <c r="O1159" s="1" t="s">
        <v>542</v>
      </c>
      <c r="P1159" s="1" t="str">
        <f>_xlfn.CONCAT(B1159,C1159,D1159,E1159,F1159)</f>
        <v>BC Aracu5.4Inverter(MBUS-1)46046,340277777846046,340277777846046,6111111111</v>
      </c>
      <c r="Q1159" s="1" t="str">
        <f t="shared" si="40"/>
        <v/>
      </c>
    </row>
    <row r="1160" spans="2:17">
      <c r="B1160" s="1" t="s">
        <v>330</v>
      </c>
      <c r="C1160" s="1" t="s">
        <v>247</v>
      </c>
      <c r="D1160" s="52">
        <v>46046.340277777781</v>
      </c>
      <c r="E1160" s="52">
        <v>46046.340277777781</v>
      </c>
      <c r="F1160" s="52">
        <v>46046.611111111109</v>
      </c>
      <c r="G1160" s="53">
        <f>F1160-E1160</f>
        <v>0.27083333332848269</v>
      </c>
      <c r="K1160" s="1" t="e">
        <f>_xlfn.XLOOKUP(J1160,REF!$D$2:$D$12,REF!$E$2:$E$12)</f>
        <v>#N/A</v>
      </c>
      <c r="L1160" s="1" t="s">
        <v>541</v>
      </c>
      <c r="M1160" s="1" t="s">
        <v>260</v>
      </c>
      <c r="N1160" s="1" t="s">
        <v>261</v>
      </c>
      <c r="O1160" s="1" t="s">
        <v>542</v>
      </c>
      <c r="P1160" s="1" t="str">
        <f>_xlfn.CONCAT(B1160,C1160,D1160,E1160,F1160)</f>
        <v>BC Aracu5.5Inverter(MBUS-1)46046,340277777846046,340277777846046,6111111111</v>
      </c>
      <c r="Q1160" s="1" t="str">
        <f t="shared" si="40"/>
        <v/>
      </c>
    </row>
    <row r="1161" spans="2:17">
      <c r="B1161" s="1" t="s">
        <v>573</v>
      </c>
      <c r="C1161" s="1" t="s">
        <v>574</v>
      </c>
      <c r="D1161" s="52">
        <v>46046.659722222219</v>
      </c>
      <c r="E1161" s="52">
        <v>46046.659722222219</v>
      </c>
      <c r="F1161" s="52">
        <v>46053.999988425923</v>
      </c>
      <c r="G1161" s="53">
        <f>F1161-E1161</f>
        <v>7.3402662037042319</v>
      </c>
      <c r="K1161" s="1" t="e">
        <f>_xlfn.XLOOKUP(J1161,REF!$D$2:$D$12,REF!$E$2:$E$12)</f>
        <v>#N/A</v>
      </c>
      <c r="L1161" s="1" t="s">
        <v>575</v>
      </c>
      <c r="M1161" s="1" t="s">
        <v>289</v>
      </c>
      <c r="N1161" s="1" t="s">
        <v>253</v>
      </c>
      <c r="O1161" s="1" t="s">
        <v>576</v>
      </c>
      <c r="P1161" s="1" t="str">
        <f>_xlfn.CONCAT(B1161,C1161,D1161,E1161,F1161)</f>
        <v>BC Vazante2.3Inverter(MBUS-11)46046,659722222246046,659722222246053,9999884259</v>
      </c>
      <c r="Q1161" s="1" t="str">
        <f t="shared" si="40"/>
        <v/>
      </c>
    </row>
    <row r="1162" spans="2:17">
      <c r="B1162" s="1" t="s">
        <v>573</v>
      </c>
      <c r="C1162" s="1" t="s">
        <v>256</v>
      </c>
      <c r="D1162" s="52">
        <v>46046.659722222219</v>
      </c>
      <c r="E1162" s="52">
        <v>46046.659722222219</v>
      </c>
      <c r="F1162" s="52">
        <v>46053.999988425923</v>
      </c>
      <c r="G1162" s="53">
        <f>F1162-E1162</f>
        <v>7.3402662037042319</v>
      </c>
      <c r="K1162" s="1" t="e">
        <f>_xlfn.XLOOKUP(J1162,REF!$D$2:$D$12,REF!$E$2:$E$12)</f>
        <v>#N/A</v>
      </c>
      <c r="L1162" s="1" t="s">
        <v>575</v>
      </c>
      <c r="M1162" s="1" t="s">
        <v>289</v>
      </c>
      <c r="N1162" s="1" t="s">
        <v>253</v>
      </c>
      <c r="O1162" s="1" t="s">
        <v>576</v>
      </c>
      <c r="P1162" s="1" t="str">
        <f>_xlfn.CONCAT(B1162,C1162,D1162,E1162,F1162)</f>
        <v>BC Vazante2.3Inverter(MBUS-12)46046,659722222246046,659722222246053,9999884259</v>
      </c>
      <c r="Q1162" s="1" t="str">
        <f t="shared" si="40"/>
        <v/>
      </c>
    </row>
    <row r="1163" spans="2:17">
      <c r="B1163" s="1" t="s">
        <v>573</v>
      </c>
      <c r="C1163" s="1" t="s">
        <v>264</v>
      </c>
      <c r="D1163" s="52">
        <v>46046.659722222219</v>
      </c>
      <c r="E1163" s="52">
        <v>46046.659722222219</v>
      </c>
      <c r="F1163" s="52">
        <v>46053.999988425923</v>
      </c>
      <c r="G1163" s="53">
        <f>F1163-E1163</f>
        <v>7.3402662037042319</v>
      </c>
      <c r="K1163" s="1" t="e">
        <f>_xlfn.XLOOKUP(J1163,REF!$D$2:$D$12,REF!$E$2:$E$12)</f>
        <v>#N/A</v>
      </c>
      <c r="L1163" s="1" t="s">
        <v>575</v>
      </c>
      <c r="M1163" s="1" t="s">
        <v>289</v>
      </c>
      <c r="N1163" s="1" t="s">
        <v>253</v>
      </c>
      <c r="O1163" s="1" t="s">
        <v>576</v>
      </c>
      <c r="P1163" s="1" t="str">
        <f>_xlfn.CONCAT(B1163,C1163,D1163,E1163,F1163)</f>
        <v>BC Vazante2.3Inverter(MBUS-13)46046,659722222246046,659722222246053,9999884259</v>
      </c>
      <c r="Q1163" s="1" t="str">
        <f t="shared" si="40"/>
        <v/>
      </c>
    </row>
    <row r="1164" spans="2:17">
      <c r="B1164" s="1" t="s">
        <v>305</v>
      </c>
      <c r="C1164" s="1" t="s">
        <v>256</v>
      </c>
      <c r="D1164" s="52">
        <v>46046.739583333336</v>
      </c>
      <c r="E1164" s="52">
        <v>46046.739583333336</v>
      </c>
      <c r="F1164" s="52">
        <v>46046.833333333336</v>
      </c>
      <c r="G1164" s="53">
        <f>F1164-E1164</f>
        <v>9.375E-2</v>
      </c>
      <c r="K1164" s="1" t="e">
        <f>_xlfn.XLOOKUP(J1164,REF!$D$2:$D$12,REF!$E$2:$E$12)</f>
        <v>#N/A</v>
      </c>
      <c r="L1164" s="1" t="s">
        <v>577</v>
      </c>
      <c r="M1164" s="1" t="s">
        <v>260</v>
      </c>
      <c r="N1164" s="1" t="s">
        <v>261</v>
      </c>
      <c r="O1164" s="1" t="s">
        <v>578</v>
      </c>
      <c r="P1164" s="1" t="str">
        <f>_xlfn.CONCAT(B1164,C1164,D1164,E1164,F1164)</f>
        <v>ARAGUATINS 1.1Inverter(MBUS-12)46046,739583333346046,739583333346046,8333333333</v>
      </c>
      <c r="Q1164" s="1" t="str">
        <f t="shared" si="40"/>
        <v/>
      </c>
    </row>
    <row r="1165" spans="2:17">
      <c r="B1165" s="1" t="s">
        <v>305</v>
      </c>
      <c r="C1165" s="1" t="s">
        <v>264</v>
      </c>
      <c r="D1165" s="52">
        <v>46046.739583333336</v>
      </c>
      <c r="E1165" s="52">
        <v>46046.739583333336</v>
      </c>
      <c r="F1165" s="52">
        <v>46046.833333333336</v>
      </c>
      <c r="G1165" s="53">
        <f>F1165-E1165</f>
        <v>9.375E-2</v>
      </c>
      <c r="K1165" s="1" t="e">
        <f>_xlfn.XLOOKUP(J1165,REF!$D$2:$D$12,REF!$E$2:$E$12)</f>
        <v>#N/A</v>
      </c>
      <c r="L1165" s="1" t="s">
        <v>577</v>
      </c>
      <c r="M1165" s="1" t="s">
        <v>260</v>
      </c>
      <c r="N1165" s="1" t="s">
        <v>261</v>
      </c>
      <c r="O1165" s="1" t="s">
        <v>578</v>
      </c>
      <c r="P1165" s="1" t="str">
        <f>_xlfn.CONCAT(B1165,C1165,D1165,E1165,F1165)</f>
        <v>ARAGUATINS 1.1Inverter(MBUS-13)46046,739583333346046,739583333346046,8333333333</v>
      </c>
      <c r="Q1165" s="1" t="str">
        <f t="shared" si="40"/>
        <v/>
      </c>
    </row>
    <row r="1166" spans="2:17">
      <c r="B1166" s="1" t="s">
        <v>305</v>
      </c>
      <c r="C1166" s="1" t="s">
        <v>263</v>
      </c>
      <c r="D1166" s="52">
        <v>46046.739583333336</v>
      </c>
      <c r="E1166" s="52">
        <v>46046.739583333336</v>
      </c>
      <c r="F1166" s="52">
        <v>46046.833333333336</v>
      </c>
      <c r="G1166" s="53">
        <f>F1166-E1166</f>
        <v>9.375E-2</v>
      </c>
      <c r="K1166" s="1" t="e">
        <f>_xlfn.XLOOKUP(J1166,REF!$D$2:$D$12,REF!$E$2:$E$12)</f>
        <v>#N/A</v>
      </c>
      <c r="L1166" s="1" t="s">
        <v>577</v>
      </c>
      <c r="M1166" s="1" t="s">
        <v>260</v>
      </c>
      <c r="N1166" s="1" t="s">
        <v>261</v>
      </c>
      <c r="O1166" s="1" t="s">
        <v>578</v>
      </c>
      <c r="P1166" s="1" t="str">
        <f>_xlfn.CONCAT(B1166,C1166,D1166,E1166,F1166)</f>
        <v>ARAGUATINS 1.1Inverter(MBUS-14)46046,739583333346046,739583333346046,8333333333</v>
      </c>
      <c r="Q1166" s="1" t="str">
        <f t="shared" si="40"/>
        <v/>
      </c>
    </row>
    <row r="1167" spans="2:17">
      <c r="B1167" s="1" t="s">
        <v>305</v>
      </c>
      <c r="C1167" s="1" t="s">
        <v>307</v>
      </c>
      <c r="D1167" s="52">
        <v>46046.739583333336</v>
      </c>
      <c r="E1167" s="52">
        <v>46046.739583333336</v>
      </c>
      <c r="F1167" s="52">
        <v>46046.833333333336</v>
      </c>
      <c r="G1167" s="53">
        <f>F1167-E1167</f>
        <v>9.375E-2</v>
      </c>
      <c r="K1167" s="1" t="e">
        <f>_xlfn.XLOOKUP(J1167,REF!$D$2:$D$12,REF!$E$2:$E$12)</f>
        <v>#N/A</v>
      </c>
      <c r="L1167" s="1" t="s">
        <v>577</v>
      </c>
      <c r="M1167" s="1" t="s">
        <v>260</v>
      </c>
      <c r="N1167" s="1" t="s">
        <v>261</v>
      </c>
      <c r="O1167" s="1" t="s">
        <v>578</v>
      </c>
      <c r="P1167" s="1" t="str">
        <f>_xlfn.CONCAT(B1167,C1167,D1167,E1167,F1167)</f>
        <v>ARAGUATINS 1.1Inverter(MBUS-15)46046,739583333346046,739583333346046,8333333333</v>
      </c>
      <c r="Q1167" s="1" t="str">
        <f t="shared" si="40"/>
        <v/>
      </c>
    </row>
    <row r="1168" spans="2:17">
      <c r="B1168" s="1" t="s">
        <v>308</v>
      </c>
      <c r="C1168" s="1" t="s">
        <v>256</v>
      </c>
      <c r="D1168" s="52">
        <v>46046.739583333336</v>
      </c>
      <c r="E1168" s="52">
        <v>46046.739583333336</v>
      </c>
      <c r="F1168" s="52">
        <v>46046.833333333336</v>
      </c>
      <c r="G1168" s="53">
        <f>F1168-E1168</f>
        <v>9.375E-2</v>
      </c>
      <c r="K1168" s="1" t="e">
        <f>_xlfn.XLOOKUP(J1168,REF!$D$2:$D$12,REF!$E$2:$E$12)</f>
        <v>#N/A</v>
      </c>
      <c r="L1168" s="1" t="s">
        <v>577</v>
      </c>
      <c r="M1168" s="1" t="s">
        <v>260</v>
      </c>
      <c r="N1168" s="1" t="s">
        <v>261</v>
      </c>
      <c r="O1168" s="1" t="s">
        <v>578</v>
      </c>
      <c r="P1168" s="1" t="str">
        <f>_xlfn.CONCAT(B1168,C1168,D1168,E1168,F1168)</f>
        <v>ARAGUATINS 1.2Inverter(MBUS-12)46046,739583333346046,739583333346046,8333333333</v>
      </c>
      <c r="Q1168" s="1" t="str">
        <f t="shared" si="40"/>
        <v/>
      </c>
    </row>
    <row r="1169" spans="2:17">
      <c r="B1169" s="1" t="s">
        <v>308</v>
      </c>
      <c r="C1169" s="1" t="s">
        <v>264</v>
      </c>
      <c r="D1169" s="52">
        <v>46046.739583333336</v>
      </c>
      <c r="E1169" s="52">
        <v>46046.739583333336</v>
      </c>
      <c r="F1169" s="52">
        <v>46046.833333333336</v>
      </c>
      <c r="G1169" s="53">
        <f>F1169-E1169</f>
        <v>9.375E-2</v>
      </c>
      <c r="K1169" s="1" t="e">
        <f>_xlfn.XLOOKUP(J1169,REF!$D$2:$D$12,REF!$E$2:$E$12)</f>
        <v>#N/A</v>
      </c>
      <c r="L1169" s="1" t="s">
        <v>577</v>
      </c>
      <c r="M1169" s="1" t="s">
        <v>260</v>
      </c>
      <c r="N1169" s="1" t="s">
        <v>261</v>
      </c>
      <c r="O1169" s="1" t="s">
        <v>578</v>
      </c>
      <c r="P1169" s="1" t="str">
        <f>_xlfn.CONCAT(B1169,C1169,D1169,E1169,F1169)</f>
        <v>ARAGUATINS 1.2Inverter(MBUS-13)46046,739583333346046,739583333346046,8333333333</v>
      </c>
      <c r="Q1169" s="1" t="str">
        <f t="shared" si="40"/>
        <v/>
      </c>
    </row>
    <row r="1170" spans="2:17">
      <c r="B1170" s="1" t="s">
        <v>308</v>
      </c>
      <c r="C1170" s="1" t="s">
        <v>263</v>
      </c>
      <c r="D1170" s="52">
        <v>46046.739583333336</v>
      </c>
      <c r="E1170" s="52">
        <v>46046.739583333336</v>
      </c>
      <c r="F1170" s="52">
        <v>46046.833333333336</v>
      </c>
      <c r="G1170" s="53">
        <f>F1170-E1170</f>
        <v>9.375E-2</v>
      </c>
      <c r="K1170" s="1" t="e">
        <f>_xlfn.XLOOKUP(J1170,REF!$D$2:$D$12,REF!$E$2:$E$12)</f>
        <v>#N/A</v>
      </c>
      <c r="L1170" s="1" t="s">
        <v>577</v>
      </c>
      <c r="M1170" s="1" t="s">
        <v>260</v>
      </c>
      <c r="N1170" s="1" t="s">
        <v>261</v>
      </c>
      <c r="O1170" s="1" t="s">
        <v>578</v>
      </c>
      <c r="P1170" s="1" t="str">
        <f>_xlfn.CONCAT(B1170,C1170,D1170,E1170,F1170)</f>
        <v>ARAGUATINS 1.2Inverter(MBUS-14)46046,739583333346046,739583333346046,8333333333</v>
      </c>
      <c r="Q1170" s="1" t="str">
        <f t="shared" si="40"/>
        <v/>
      </c>
    </row>
    <row r="1171" spans="2:17">
      <c r="B1171" s="1" t="s">
        <v>308</v>
      </c>
      <c r="C1171" s="1" t="s">
        <v>307</v>
      </c>
      <c r="D1171" s="52">
        <v>46046.739583333336</v>
      </c>
      <c r="E1171" s="52">
        <v>46046.739583333336</v>
      </c>
      <c r="F1171" s="52">
        <v>46046.833333333336</v>
      </c>
      <c r="G1171" s="53">
        <f>F1171-E1171</f>
        <v>9.375E-2</v>
      </c>
      <c r="K1171" s="1" t="e">
        <f>_xlfn.XLOOKUP(J1171,REF!$D$2:$D$12,REF!$E$2:$E$12)</f>
        <v>#N/A</v>
      </c>
      <c r="L1171" s="1" t="s">
        <v>577</v>
      </c>
      <c r="M1171" s="1" t="s">
        <v>260</v>
      </c>
      <c r="N1171" s="1" t="s">
        <v>261</v>
      </c>
      <c r="O1171" s="1" t="s">
        <v>578</v>
      </c>
      <c r="P1171" s="1" t="str">
        <f>_xlfn.CONCAT(B1171,C1171,D1171,E1171,F1171)</f>
        <v>ARAGUATINS 1.2Inverter(MBUS-15)46046,739583333346046,739583333346046,8333333333</v>
      </c>
      <c r="Q1171" s="1" t="str">
        <f t="shared" ref="Q1171:Q1234" si="41">_xlfn.CONCAT(H1171,I1171,J1171)</f>
        <v/>
      </c>
    </row>
    <row r="1172" spans="2:17">
      <c r="B1172" s="1" t="s">
        <v>309</v>
      </c>
      <c r="C1172" s="1" t="s">
        <v>310</v>
      </c>
      <c r="D1172" s="52">
        <v>46046.739583333336</v>
      </c>
      <c r="E1172" s="52">
        <v>46046.739583333336</v>
      </c>
      <c r="F1172" s="52">
        <v>46046.833333333336</v>
      </c>
      <c r="G1172" s="53">
        <f>F1172-E1172</f>
        <v>9.375E-2</v>
      </c>
      <c r="K1172" s="1" t="e">
        <f>_xlfn.XLOOKUP(J1172,REF!$D$2:$D$12,REF!$E$2:$E$12)</f>
        <v>#N/A</v>
      </c>
      <c r="L1172" s="1" t="s">
        <v>577</v>
      </c>
      <c r="M1172" s="1" t="s">
        <v>260</v>
      </c>
      <c r="N1172" s="1" t="s">
        <v>261</v>
      </c>
      <c r="O1172" s="1" t="s">
        <v>578</v>
      </c>
      <c r="P1172" s="1" t="str">
        <f>_xlfn.CONCAT(B1172,C1172,D1172,E1172,F1172)</f>
        <v>ARAGUATINS 1.3Inverter(MBUS-20)46046,739583333346046,739583333346046,8333333333</v>
      </c>
      <c r="Q1172" s="1" t="str">
        <f t="shared" si="41"/>
        <v/>
      </c>
    </row>
    <row r="1173" spans="2:17">
      <c r="B1173" s="1" t="s">
        <v>309</v>
      </c>
      <c r="C1173" s="1" t="s">
        <v>247</v>
      </c>
      <c r="D1173" s="52">
        <v>46046.739583333336</v>
      </c>
      <c r="E1173" s="52">
        <v>46046.739583333336</v>
      </c>
      <c r="F1173" s="52">
        <v>46046.833333333336</v>
      </c>
      <c r="G1173" s="53">
        <f>F1173-E1173</f>
        <v>9.375E-2</v>
      </c>
      <c r="K1173" s="1" t="e">
        <f>_xlfn.XLOOKUP(J1173,REF!$D$2:$D$12,REF!$E$2:$E$12)</f>
        <v>#N/A</v>
      </c>
      <c r="L1173" s="1" t="s">
        <v>577</v>
      </c>
      <c r="M1173" s="1" t="s">
        <v>260</v>
      </c>
      <c r="N1173" s="1" t="s">
        <v>261</v>
      </c>
      <c r="O1173" s="1" t="s">
        <v>578</v>
      </c>
      <c r="P1173" s="1" t="str">
        <f>_xlfn.CONCAT(B1173,C1173,D1173,E1173,F1173)</f>
        <v>ARAGUATINS 1.3Inverter(MBUS-1)46046,739583333346046,739583333346046,8333333333</v>
      </c>
      <c r="Q1173" s="1" t="str">
        <f t="shared" si="41"/>
        <v/>
      </c>
    </row>
    <row r="1174" spans="2:17">
      <c r="B1174" s="1" t="s">
        <v>311</v>
      </c>
      <c r="C1174" s="1" t="s">
        <v>256</v>
      </c>
      <c r="D1174" s="52">
        <v>46046.739583333336</v>
      </c>
      <c r="E1174" s="52">
        <v>46046.739583333336</v>
      </c>
      <c r="F1174" s="52">
        <v>46046.833333333336</v>
      </c>
      <c r="G1174" s="53">
        <f>F1174-E1174</f>
        <v>9.375E-2</v>
      </c>
      <c r="K1174" s="1" t="e">
        <f>_xlfn.XLOOKUP(J1174,REF!$D$2:$D$12,REF!$E$2:$E$12)</f>
        <v>#N/A</v>
      </c>
      <c r="L1174" s="1" t="s">
        <v>577</v>
      </c>
      <c r="M1174" s="1" t="s">
        <v>260</v>
      </c>
      <c r="N1174" s="1" t="s">
        <v>261</v>
      </c>
      <c r="O1174" s="1" t="s">
        <v>578</v>
      </c>
      <c r="P1174" s="1" t="str">
        <f>_xlfn.CONCAT(B1174,C1174,D1174,E1174,F1174)</f>
        <v>ARAGUATINS 2.1Inverter(MBUS-12)46046,739583333346046,739583333346046,8333333333</v>
      </c>
      <c r="Q1174" s="1" t="str">
        <f t="shared" si="41"/>
        <v/>
      </c>
    </row>
    <row r="1175" spans="2:17">
      <c r="B1175" s="1" t="s">
        <v>311</v>
      </c>
      <c r="C1175" s="1" t="s">
        <v>307</v>
      </c>
      <c r="D1175" s="52">
        <v>46046.739583333336</v>
      </c>
      <c r="E1175" s="52">
        <v>46046.739583333336</v>
      </c>
      <c r="F1175" s="52">
        <v>46046.833333333336</v>
      </c>
      <c r="G1175" s="53">
        <f>F1175-E1175</f>
        <v>9.375E-2</v>
      </c>
      <c r="K1175" s="1" t="e">
        <f>_xlfn.XLOOKUP(J1175,REF!$D$2:$D$12,REF!$E$2:$E$12)</f>
        <v>#N/A</v>
      </c>
      <c r="L1175" s="1" t="s">
        <v>577</v>
      </c>
      <c r="M1175" s="1" t="s">
        <v>260</v>
      </c>
      <c r="N1175" s="1" t="s">
        <v>261</v>
      </c>
      <c r="O1175" s="1" t="s">
        <v>578</v>
      </c>
      <c r="P1175" s="1" t="str">
        <f>_xlfn.CONCAT(B1175,C1175,D1175,E1175,F1175)</f>
        <v>ARAGUATINS 2.1Inverter(MBUS-15)46046,739583333346046,739583333346046,8333333333</v>
      </c>
      <c r="Q1175" s="1" t="str">
        <f t="shared" si="41"/>
        <v/>
      </c>
    </row>
    <row r="1176" spans="2:17">
      <c r="B1176" s="1" t="s">
        <v>311</v>
      </c>
      <c r="C1176" s="1" t="s">
        <v>263</v>
      </c>
      <c r="D1176" s="52">
        <v>46046.739583333336</v>
      </c>
      <c r="E1176" s="52">
        <v>46046.739583333336</v>
      </c>
      <c r="F1176" s="52">
        <v>46046.833333333336</v>
      </c>
      <c r="G1176" s="53">
        <f>F1176-E1176</f>
        <v>9.375E-2</v>
      </c>
      <c r="K1176" s="1" t="e">
        <f>_xlfn.XLOOKUP(J1176,REF!$D$2:$D$12,REF!$E$2:$E$12)</f>
        <v>#N/A</v>
      </c>
      <c r="L1176" s="1" t="s">
        <v>577</v>
      </c>
      <c r="M1176" s="1" t="s">
        <v>260</v>
      </c>
      <c r="N1176" s="1" t="s">
        <v>261</v>
      </c>
      <c r="O1176" s="1" t="s">
        <v>578</v>
      </c>
      <c r="P1176" s="1" t="str">
        <f>_xlfn.CONCAT(B1176,C1176,D1176,E1176,F1176)</f>
        <v>ARAGUATINS 2.1Inverter(MBUS-14)46046,739583333346046,739583333346046,8333333333</v>
      </c>
      <c r="Q1176" s="1" t="str">
        <f t="shared" si="41"/>
        <v/>
      </c>
    </row>
    <row r="1177" spans="2:17">
      <c r="B1177" s="1" t="s">
        <v>311</v>
      </c>
      <c r="C1177" s="1" t="s">
        <v>247</v>
      </c>
      <c r="D1177" s="52">
        <v>46046.739583333336</v>
      </c>
      <c r="E1177" s="52">
        <v>46046.739583333336</v>
      </c>
      <c r="F1177" s="52">
        <v>46046.833333333336</v>
      </c>
      <c r="G1177" s="53">
        <f>F1177-E1177</f>
        <v>9.375E-2</v>
      </c>
      <c r="K1177" s="1" t="e">
        <f>_xlfn.XLOOKUP(J1177,REF!$D$2:$D$12,REF!$E$2:$E$12)</f>
        <v>#N/A</v>
      </c>
      <c r="L1177" s="1" t="s">
        <v>577</v>
      </c>
      <c r="M1177" s="1" t="s">
        <v>260</v>
      </c>
      <c r="N1177" s="1" t="s">
        <v>261</v>
      </c>
      <c r="O1177" s="1" t="s">
        <v>578</v>
      </c>
      <c r="P1177" s="1" t="str">
        <f>_xlfn.CONCAT(B1177,C1177,D1177,E1177,F1177)</f>
        <v>ARAGUATINS 2.1Inverter(MBUS-1)46046,739583333346046,739583333346046,8333333333</v>
      </c>
      <c r="Q1177" s="1" t="str">
        <f t="shared" si="41"/>
        <v/>
      </c>
    </row>
    <row r="1178" spans="2:17">
      <c r="B1178" s="1" t="s">
        <v>312</v>
      </c>
      <c r="C1178" s="1" t="s">
        <v>307</v>
      </c>
      <c r="D1178" s="52">
        <v>46046.739583333336</v>
      </c>
      <c r="E1178" s="52">
        <v>46046.739583333336</v>
      </c>
      <c r="F1178" s="52">
        <v>46046.833333333336</v>
      </c>
      <c r="G1178" s="53">
        <f>F1178-E1178</f>
        <v>9.375E-2</v>
      </c>
      <c r="K1178" s="1" t="e">
        <f>_xlfn.XLOOKUP(J1178,REF!$D$2:$D$12,REF!$E$2:$E$12)</f>
        <v>#N/A</v>
      </c>
      <c r="L1178" s="1" t="s">
        <v>577</v>
      </c>
      <c r="M1178" s="1" t="s">
        <v>260</v>
      </c>
      <c r="N1178" s="1" t="s">
        <v>261</v>
      </c>
      <c r="O1178" s="1" t="s">
        <v>578</v>
      </c>
      <c r="P1178" s="1" t="str">
        <f>_xlfn.CONCAT(B1178,C1178,D1178,E1178,F1178)</f>
        <v>ARAGUATINS 2.2Inverter(MBUS-15)46046,739583333346046,739583333346046,8333333333</v>
      </c>
      <c r="Q1178" s="1" t="str">
        <f t="shared" si="41"/>
        <v/>
      </c>
    </row>
    <row r="1179" spans="2:17">
      <c r="B1179" s="1" t="s">
        <v>312</v>
      </c>
      <c r="C1179" s="1" t="s">
        <v>264</v>
      </c>
      <c r="D1179" s="52">
        <v>46046.739583333336</v>
      </c>
      <c r="E1179" s="52">
        <v>46046.739583333336</v>
      </c>
      <c r="F1179" s="52">
        <v>46046.833333333336</v>
      </c>
      <c r="G1179" s="53">
        <f>F1179-E1179</f>
        <v>9.375E-2</v>
      </c>
      <c r="K1179" s="1" t="e">
        <f>_xlfn.XLOOKUP(J1179,REF!$D$2:$D$12,REF!$E$2:$E$12)</f>
        <v>#N/A</v>
      </c>
      <c r="L1179" s="1" t="s">
        <v>577</v>
      </c>
      <c r="M1179" s="1" t="s">
        <v>260</v>
      </c>
      <c r="N1179" s="1" t="s">
        <v>261</v>
      </c>
      <c r="O1179" s="1" t="s">
        <v>578</v>
      </c>
      <c r="P1179" s="1" t="str">
        <f>_xlfn.CONCAT(B1179,C1179,D1179,E1179,F1179)</f>
        <v>ARAGUATINS 2.2Inverter(MBUS-13)46046,739583333346046,739583333346046,8333333333</v>
      </c>
      <c r="Q1179" s="1" t="str">
        <f t="shared" si="41"/>
        <v/>
      </c>
    </row>
    <row r="1180" spans="2:17">
      <c r="B1180" s="1" t="s">
        <v>312</v>
      </c>
      <c r="C1180" s="1" t="s">
        <v>263</v>
      </c>
      <c r="D1180" s="52">
        <v>46046.739583333336</v>
      </c>
      <c r="E1180" s="52">
        <v>46046.739583333336</v>
      </c>
      <c r="F1180" s="52">
        <v>46046.833333333336</v>
      </c>
      <c r="G1180" s="53">
        <f>F1180-E1180</f>
        <v>9.375E-2</v>
      </c>
      <c r="K1180" s="1" t="e">
        <f>_xlfn.XLOOKUP(J1180,REF!$D$2:$D$12,REF!$E$2:$E$12)</f>
        <v>#N/A</v>
      </c>
      <c r="L1180" s="1" t="s">
        <v>577</v>
      </c>
      <c r="M1180" s="1" t="s">
        <v>260</v>
      </c>
      <c r="N1180" s="1" t="s">
        <v>261</v>
      </c>
      <c r="O1180" s="1" t="s">
        <v>578</v>
      </c>
      <c r="P1180" s="1" t="str">
        <f>_xlfn.CONCAT(B1180,C1180,D1180,E1180,F1180)</f>
        <v>ARAGUATINS 2.2Inverter(MBUS-14)46046,739583333346046,739583333346046,8333333333</v>
      </c>
      <c r="Q1180" s="1" t="str">
        <f t="shared" si="41"/>
        <v/>
      </c>
    </row>
    <row r="1181" spans="2:17">
      <c r="B1181" s="1" t="s">
        <v>312</v>
      </c>
      <c r="C1181" s="1" t="s">
        <v>256</v>
      </c>
      <c r="D1181" s="52">
        <v>46046.739583333336</v>
      </c>
      <c r="E1181" s="52">
        <v>46046.739583333336</v>
      </c>
      <c r="F1181" s="52">
        <v>46046.833333333336</v>
      </c>
      <c r="G1181" s="53">
        <f>F1181-E1181</f>
        <v>9.375E-2</v>
      </c>
      <c r="K1181" s="1" t="e">
        <f>_xlfn.XLOOKUP(J1181,REF!$D$2:$D$12,REF!$E$2:$E$12)</f>
        <v>#N/A</v>
      </c>
      <c r="L1181" s="1" t="s">
        <v>577</v>
      </c>
      <c r="M1181" s="1" t="s">
        <v>260</v>
      </c>
      <c r="N1181" s="1" t="s">
        <v>261</v>
      </c>
      <c r="O1181" s="1" t="s">
        <v>578</v>
      </c>
      <c r="P1181" s="1" t="str">
        <f>_xlfn.CONCAT(B1181,C1181,D1181,E1181,F1181)</f>
        <v>ARAGUATINS 2.2Inverter(MBUS-12)46046,739583333346046,739583333346046,8333333333</v>
      </c>
      <c r="Q1181" s="1" t="str">
        <f t="shared" si="41"/>
        <v/>
      </c>
    </row>
    <row r="1182" spans="2:17">
      <c r="B1182" s="1" t="s">
        <v>313</v>
      </c>
      <c r="C1182" s="1" t="s">
        <v>256</v>
      </c>
      <c r="D1182" s="52">
        <v>46046.739583333336</v>
      </c>
      <c r="E1182" s="52">
        <v>46046.739583333336</v>
      </c>
      <c r="F1182" s="52">
        <v>46046.833333333336</v>
      </c>
      <c r="G1182" s="53">
        <f>F1182-E1182</f>
        <v>9.375E-2</v>
      </c>
      <c r="K1182" s="1" t="e">
        <f>_xlfn.XLOOKUP(J1182,REF!$D$2:$D$12,REF!$E$2:$E$12)</f>
        <v>#N/A</v>
      </c>
      <c r="L1182" s="1" t="s">
        <v>577</v>
      </c>
      <c r="M1182" s="1" t="s">
        <v>260</v>
      </c>
      <c r="N1182" s="1" t="s">
        <v>261</v>
      </c>
      <c r="O1182" s="1" t="s">
        <v>578</v>
      </c>
      <c r="P1182" s="1" t="str">
        <f>_xlfn.CONCAT(B1182,C1182,D1182,E1182,F1182)</f>
        <v>ARAGUATINS 2.3Inverter(MBUS-12)46046,739583333346046,739583333346046,8333333333</v>
      </c>
      <c r="Q1182" s="1" t="str">
        <f t="shared" si="41"/>
        <v/>
      </c>
    </row>
    <row r="1183" spans="2:17">
      <c r="B1183" s="1" t="s">
        <v>313</v>
      </c>
      <c r="C1183" s="1" t="s">
        <v>264</v>
      </c>
      <c r="D1183" s="52">
        <v>46046.739583333336</v>
      </c>
      <c r="E1183" s="52">
        <v>46046.739583333336</v>
      </c>
      <c r="F1183" s="52">
        <v>46046.833333333336</v>
      </c>
      <c r="G1183" s="53">
        <f>F1183-E1183</f>
        <v>9.375E-2</v>
      </c>
      <c r="K1183" s="1" t="e">
        <f>_xlfn.XLOOKUP(J1183,REF!$D$2:$D$12,REF!$E$2:$E$12)</f>
        <v>#N/A</v>
      </c>
      <c r="L1183" s="1" t="s">
        <v>577</v>
      </c>
      <c r="M1183" s="1" t="s">
        <v>260</v>
      </c>
      <c r="N1183" s="1" t="s">
        <v>261</v>
      </c>
      <c r="O1183" s="1" t="s">
        <v>578</v>
      </c>
      <c r="P1183" s="1" t="str">
        <f>_xlfn.CONCAT(B1183,C1183,D1183,E1183,F1183)</f>
        <v>ARAGUATINS 2.3Inverter(MBUS-13)46046,739583333346046,739583333346046,8333333333</v>
      </c>
      <c r="Q1183" s="1" t="str">
        <f t="shared" si="41"/>
        <v/>
      </c>
    </row>
    <row r="1184" spans="2:17">
      <c r="B1184" s="1" t="s">
        <v>456</v>
      </c>
      <c r="C1184" s="1" t="s">
        <v>457</v>
      </c>
      <c r="D1184" s="52">
        <v>46047.253472222219</v>
      </c>
      <c r="E1184" s="52">
        <v>46047.253472222219</v>
      </c>
      <c r="F1184" s="52">
        <v>46047.42083333333</v>
      </c>
      <c r="G1184" s="53">
        <f>F1184-E1184</f>
        <v>0.16736111111094942</v>
      </c>
      <c r="K1184" s="1" t="e">
        <f>_xlfn.XLOOKUP(J1184,REF!$D$2:$D$12,REF!$E$2:$E$12)</f>
        <v>#N/A</v>
      </c>
      <c r="L1184" s="1" t="s">
        <v>538</v>
      </c>
      <c r="M1184" s="1" t="s">
        <v>260</v>
      </c>
      <c r="N1184" s="1" t="s">
        <v>261</v>
      </c>
      <c r="O1184" s="1" t="s">
        <v>579</v>
      </c>
      <c r="P1184" s="1" t="str">
        <f>_xlfn.CONCAT(B1184,C1184,D1184,E1184,F1184)</f>
        <v>BC Caiaponia1SG60KTL(COM1-001)_001_00746047,253472222246047,253472222246047,4208333333</v>
      </c>
      <c r="Q1184" s="1" t="str">
        <f t="shared" si="41"/>
        <v/>
      </c>
    </row>
    <row r="1185" spans="2:17">
      <c r="B1185" s="1" t="s">
        <v>456</v>
      </c>
      <c r="C1185" s="1" t="s">
        <v>459</v>
      </c>
      <c r="D1185" s="52">
        <v>46047.253472222219</v>
      </c>
      <c r="E1185" s="52">
        <v>46047.253472222219</v>
      </c>
      <c r="F1185" s="52">
        <v>46047.42083333333</v>
      </c>
      <c r="G1185" s="53">
        <f>F1185-E1185</f>
        <v>0.16736111111094942</v>
      </c>
      <c r="K1185" s="1" t="e">
        <f>_xlfn.XLOOKUP(J1185,REF!$D$2:$D$12,REF!$E$2:$E$12)</f>
        <v>#N/A</v>
      </c>
      <c r="L1185" s="1" t="s">
        <v>538</v>
      </c>
      <c r="M1185" s="1" t="s">
        <v>260</v>
      </c>
      <c r="N1185" s="1" t="s">
        <v>261</v>
      </c>
      <c r="O1185" s="1" t="s">
        <v>579</v>
      </c>
      <c r="P1185" s="1" t="str">
        <f>_xlfn.CONCAT(B1185,C1185,D1185,E1185,F1185)</f>
        <v>BC Caiaponia1SG60KTL(COM1-002)_001_01046047,253472222246047,253472222246047,4208333333</v>
      </c>
      <c r="Q1185" s="1" t="str">
        <f t="shared" si="41"/>
        <v/>
      </c>
    </row>
    <row r="1186" spans="2:17">
      <c r="B1186" s="1" t="s">
        <v>456</v>
      </c>
      <c r="C1186" s="1" t="s">
        <v>460</v>
      </c>
      <c r="D1186" s="52">
        <v>46047.253472222219</v>
      </c>
      <c r="E1186" s="52">
        <v>46047.253472222219</v>
      </c>
      <c r="F1186" s="52">
        <v>46047.42083333333</v>
      </c>
      <c r="G1186" s="53">
        <f>F1186-E1186</f>
        <v>0.16736111111094942</v>
      </c>
      <c r="K1186" s="1" t="e">
        <f>_xlfn.XLOOKUP(J1186,REF!$D$2:$D$12,REF!$E$2:$E$12)</f>
        <v>#N/A</v>
      </c>
      <c r="L1186" s="1" t="s">
        <v>538</v>
      </c>
      <c r="M1186" s="1" t="s">
        <v>260</v>
      </c>
      <c r="N1186" s="1" t="s">
        <v>261</v>
      </c>
      <c r="O1186" s="1" t="s">
        <v>579</v>
      </c>
      <c r="P1186" s="1" t="str">
        <f>_xlfn.CONCAT(B1186,C1186,D1186,E1186,F1186)</f>
        <v>BC Caiaponia1SG60KTL(COM1-003)_001_01146047,253472222246047,253472222246047,4208333333</v>
      </c>
      <c r="Q1186" s="1" t="str">
        <f t="shared" si="41"/>
        <v/>
      </c>
    </row>
    <row r="1187" spans="2:17">
      <c r="B1187" s="1" t="s">
        <v>456</v>
      </c>
      <c r="C1187" s="1" t="s">
        <v>461</v>
      </c>
      <c r="D1187" s="52">
        <v>46047.253472222219</v>
      </c>
      <c r="E1187" s="52">
        <v>46047.253472222219</v>
      </c>
      <c r="F1187" s="52">
        <v>46047.42083333333</v>
      </c>
      <c r="G1187" s="53">
        <f>F1187-E1187</f>
        <v>0.16736111111094942</v>
      </c>
      <c r="K1187" s="1" t="e">
        <f>_xlfn.XLOOKUP(J1187,REF!$D$2:$D$12,REF!$E$2:$E$12)</f>
        <v>#N/A</v>
      </c>
      <c r="L1187" s="1" t="s">
        <v>538</v>
      </c>
      <c r="M1187" s="1" t="s">
        <v>260</v>
      </c>
      <c r="N1187" s="1" t="s">
        <v>261</v>
      </c>
      <c r="O1187" s="1" t="s">
        <v>579</v>
      </c>
      <c r="P1187" s="1" t="str">
        <f>_xlfn.CONCAT(B1187,C1187,D1187,E1187,F1187)</f>
        <v>BC Caiaponia1SG60KTL(COM1-004)_001_01446047,253472222246047,253472222246047,4208333333</v>
      </c>
      <c r="Q1187" s="1" t="str">
        <f t="shared" si="41"/>
        <v/>
      </c>
    </row>
    <row r="1188" spans="2:17">
      <c r="B1188" s="1" t="s">
        <v>456</v>
      </c>
      <c r="C1188" s="1" t="s">
        <v>462</v>
      </c>
      <c r="D1188" s="52">
        <v>46047.253472222219</v>
      </c>
      <c r="E1188" s="52">
        <v>46047.253472222219</v>
      </c>
      <c r="F1188" s="52">
        <v>46047.42083333333</v>
      </c>
      <c r="G1188" s="53">
        <f>F1188-E1188</f>
        <v>0.16736111111094942</v>
      </c>
      <c r="K1188" s="1" t="e">
        <f>_xlfn.XLOOKUP(J1188,REF!$D$2:$D$12,REF!$E$2:$E$12)</f>
        <v>#N/A</v>
      </c>
      <c r="L1188" s="1" t="s">
        <v>538</v>
      </c>
      <c r="M1188" s="1" t="s">
        <v>260</v>
      </c>
      <c r="N1188" s="1" t="s">
        <v>261</v>
      </c>
      <c r="O1188" s="1" t="s">
        <v>579</v>
      </c>
      <c r="P1188" s="1" t="str">
        <f>_xlfn.CONCAT(B1188,C1188,D1188,E1188,F1188)</f>
        <v>BC Caiaponia1SG60KTL(COM1-005)_001_01746047,253472222246047,253472222246047,4208333333</v>
      </c>
      <c r="Q1188" s="1" t="str">
        <f t="shared" si="41"/>
        <v/>
      </c>
    </row>
    <row r="1189" spans="2:17">
      <c r="B1189" s="1" t="s">
        <v>456</v>
      </c>
      <c r="C1189" s="1" t="s">
        <v>463</v>
      </c>
      <c r="D1189" s="52">
        <v>46047.253472222219</v>
      </c>
      <c r="E1189" s="52">
        <v>46047.253472222219</v>
      </c>
      <c r="F1189" s="52">
        <v>46047.42083333333</v>
      </c>
      <c r="G1189" s="53">
        <f>F1189-E1189</f>
        <v>0.16736111111094942</v>
      </c>
      <c r="K1189" s="1" t="e">
        <f>_xlfn.XLOOKUP(J1189,REF!$D$2:$D$12,REF!$E$2:$E$12)</f>
        <v>#N/A</v>
      </c>
      <c r="L1189" s="1" t="s">
        <v>538</v>
      </c>
      <c r="M1189" s="1" t="s">
        <v>260</v>
      </c>
      <c r="N1189" s="1" t="s">
        <v>261</v>
      </c>
      <c r="O1189" s="1" t="s">
        <v>579</v>
      </c>
      <c r="P1189" s="1" t="str">
        <f>_xlfn.CONCAT(B1189,C1189,D1189,E1189,F1189)</f>
        <v>BC Caiaponia1SG60KTL(COM1-006)_001_01646047,253472222246047,253472222246047,4208333333</v>
      </c>
      <c r="Q1189" s="1" t="str">
        <f t="shared" si="41"/>
        <v/>
      </c>
    </row>
    <row r="1190" spans="2:17">
      <c r="B1190" s="1" t="s">
        <v>456</v>
      </c>
      <c r="C1190" s="1" t="s">
        <v>464</v>
      </c>
      <c r="D1190" s="52">
        <v>46047.253472222219</v>
      </c>
      <c r="E1190" s="52">
        <v>46047.253472222219</v>
      </c>
      <c r="F1190" s="52">
        <v>46047.42083333333</v>
      </c>
      <c r="G1190" s="53">
        <f>F1190-E1190</f>
        <v>0.16736111111094942</v>
      </c>
      <c r="K1190" s="1" t="e">
        <f>_xlfn.XLOOKUP(J1190,REF!$D$2:$D$12,REF!$E$2:$E$12)</f>
        <v>#N/A</v>
      </c>
      <c r="L1190" s="1" t="s">
        <v>538</v>
      </c>
      <c r="M1190" s="1" t="s">
        <v>260</v>
      </c>
      <c r="N1190" s="1" t="s">
        <v>261</v>
      </c>
      <c r="O1190" s="1" t="s">
        <v>579</v>
      </c>
      <c r="P1190" s="1" t="str">
        <f>_xlfn.CONCAT(B1190,C1190,D1190,E1190,F1190)</f>
        <v>BC Caiaponia1SG60KTL(COM1-007)_001_01346047,253472222246047,253472222246047,4208333333</v>
      </c>
      <c r="Q1190" s="1" t="str">
        <f t="shared" si="41"/>
        <v/>
      </c>
    </row>
    <row r="1191" spans="2:17">
      <c r="B1191" s="1" t="s">
        <v>456</v>
      </c>
      <c r="C1191" s="1" t="s">
        <v>465</v>
      </c>
      <c r="D1191" s="52">
        <v>46047.253472222219</v>
      </c>
      <c r="E1191" s="52">
        <v>46047.253472222219</v>
      </c>
      <c r="F1191" s="52">
        <v>46047.42083333333</v>
      </c>
      <c r="G1191" s="53">
        <f>F1191-E1191</f>
        <v>0.16736111111094942</v>
      </c>
      <c r="K1191" s="1" t="e">
        <f>_xlfn.XLOOKUP(J1191,REF!$D$2:$D$12,REF!$E$2:$E$12)</f>
        <v>#N/A</v>
      </c>
      <c r="L1191" s="1" t="s">
        <v>538</v>
      </c>
      <c r="M1191" s="1" t="s">
        <v>260</v>
      </c>
      <c r="N1191" s="1" t="s">
        <v>261</v>
      </c>
      <c r="O1191" s="1" t="s">
        <v>579</v>
      </c>
      <c r="P1191" s="1" t="str">
        <f>_xlfn.CONCAT(B1191,C1191,D1191,E1191,F1191)</f>
        <v>BC Caiaponia1SG60KTL(COM1-008)_001_00146047,253472222246047,253472222246047,4208333333</v>
      </c>
      <c r="Q1191" s="1" t="str">
        <f t="shared" si="41"/>
        <v/>
      </c>
    </row>
    <row r="1192" spans="2:17">
      <c r="B1192" s="1" t="s">
        <v>456</v>
      </c>
      <c r="C1192" s="1" t="s">
        <v>466</v>
      </c>
      <c r="D1192" s="52">
        <v>46047.253472222219</v>
      </c>
      <c r="E1192" s="52">
        <v>46047.253472222219</v>
      </c>
      <c r="F1192" s="52">
        <v>46047.42083333333</v>
      </c>
      <c r="G1192" s="53">
        <f>F1192-E1192</f>
        <v>0.16736111111094942</v>
      </c>
      <c r="K1192" s="1" t="e">
        <f>_xlfn.XLOOKUP(J1192,REF!$D$2:$D$12,REF!$E$2:$E$12)</f>
        <v>#N/A</v>
      </c>
      <c r="L1192" s="1" t="s">
        <v>538</v>
      </c>
      <c r="M1192" s="1" t="s">
        <v>260</v>
      </c>
      <c r="N1192" s="1" t="s">
        <v>261</v>
      </c>
      <c r="O1192" s="1" t="s">
        <v>579</v>
      </c>
      <c r="P1192" s="1" t="str">
        <f>_xlfn.CONCAT(B1192,C1192,D1192,E1192,F1192)</f>
        <v>BC Caiaponia1SG60KTL(COM1-009)46047,253472222246047,253472222246047,4208333333</v>
      </c>
      <c r="Q1192" s="1" t="str">
        <f t="shared" si="41"/>
        <v/>
      </c>
    </row>
    <row r="1193" spans="2:17">
      <c r="B1193" s="1" t="s">
        <v>456</v>
      </c>
      <c r="C1193" s="1" t="s">
        <v>467</v>
      </c>
      <c r="D1193" s="52">
        <v>46047.253472222219</v>
      </c>
      <c r="E1193" s="52">
        <v>46047.253472222219</v>
      </c>
      <c r="F1193" s="52">
        <v>46047.42083333333</v>
      </c>
      <c r="G1193" s="53">
        <f>F1193-E1193</f>
        <v>0.16736111111094942</v>
      </c>
      <c r="K1193" s="1" t="e">
        <f>_xlfn.XLOOKUP(J1193,REF!$D$2:$D$12,REF!$E$2:$E$12)</f>
        <v>#N/A</v>
      </c>
      <c r="L1193" s="1" t="s">
        <v>538</v>
      </c>
      <c r="M1193" s="1" t="s">
        <v>260</v>
      </c>
      <c r="N1193" s="1" t="s">
        <v>261</v>
      </c>
      <c r="O1193" s="1" t="s">
        <v>579</v>
      </c>
      <c r="P1193" s="1" t="str">
        <f>_xlfn.CONCAT(B1193,C1193,D1193,E1193,F1193)</f>
        <v>BC Caiaponia1SG60KTL(COM1-010)46047,253472222246047,253472222246047,4208333333</v>
      </c>
      <c r="Q1193" s="1" t="str">
        <f t="shared" si="41"/>
        <v/>
      </c>
    </row>
    <row r="1194" spans="2:17">
      <c r="B1194" s="1" t="s">
        <v>456</v>
      </c>
      <c r="C1194" s="1" t="s">
        <v>468</v>
      </c>
      <c r="D1194" s="52">
        <v>46047.253472222219</v>
      </c>
      <c r="E1194" s="52">
        <v>46047.253472222219</v>
      </c>
      <c r="F1194" s="52">
        <v>46047.42083333333</v>
      </c>
      <c r="G1194" s="53">
        <f>F1194-E1194</f>
        <v>0.16736111111094942</v>
      </c>
      <c r="K1194" s="1" t="e">
        <f>_xlfn.XLOOKUP(J1194,REF!$D$2:$D$12,REF!$E$2:$E$12)</f>
        <v>#N/A</v>
      </c>
      <c r="L1194" s="1" t="s">
        <v>538</v>
      </c>
      <c r="M1194" s="1" t="s">
        <v>260</v>
      </c>
      <c r="N1194" s="1" t="s">
        <v>261</v>
      </c>
      <c r="O1194" s="1" t="s">
        <v>579</v>
      </c>
      <c r="P1194" s="1" t="str">
        <f>_xlfn.CONCAT(B1194,C1194,D1194,E1194,F1194)</f>
        <v>BC Caiaponia1SG60KTL(COM1-011)46047,253472222246047,253472222246047,4208333333</v>
      </c>
      <c r="Q1194" s="1" t="str">
        <f t="shared" si="41"/>
        <v/>
      </c>
    </row>
    <row r="1195" spans="2:17">
      <c r="B1195" s="1" t="s">
        <v>456</v>
      </c>
      <c r="C1195" s="1" t="s">
        <v>469</v>
      </c>
      <c r="D1195" s="52">
        <v>46047.253472222219</v>
      </c>
      <c r="E1195" s="52">
        <v>46047.253472222219</v>
      </c>
      <c r="F1195" s="52">
        <v>46047.42083333333</v>
      </c>
      <c r="G1195" s="53">
        <f>F1195-E1195</f>
        <v>0.16736111111094942</v>
      </c>
      <c r="K1195" s="1" t="e">
        <f>_xlfn.XLOOKUP(J1195,REF!$D$2:$D$12,REF!$E$2:$E$12)</f>
        <v>#N/A</v>
      </c>
      <c r="L1195" s="1" t="s">
        <v>538</v>
      </c>
      <c r="M1195" s="1" t="s">
        <v>260</v>
      </c>
      <c r="N1195" s="1" t="s">
        <v>261</v>
      </c>
      <c r="O1195" s="1" t="s">
        <v>579</v>
      </c>
      <c r="P1195" s="1" t="str">
        <f>_xlfn.CONCAT(B1195,C1195,D1195,E1195,F1195)</f>
        <v>BC Caiaponia1SG60KTL(COM1-012)46047,253472222246047,253472222246047,4208333333</v>
      </c>
      <c r="Q1195" s="1" t="str">
        <f t="shared" si="41"/>
        <v/>
      </c>
    </row>
    <row r="1196" spans="2:17">
      <c r="B1196" s="1" t="s">
        <v>456</v>
      </c>
      <c r="C1196" s="1" t="s">
        <v>470</v>
      </c>
      <c r="D1196" s="52">
        <v>46047.253472222219</v>
      </c>
      <c r="E1196" s="52">
        <v>46047.253472222219</v>
      </c>
      <c r="F1196" s="52">
        <v>46047.42083333333</v>
      </c>
      <c r="G1196" s="53">
        <f>F1196-E1196</f>
        <v>0.16736111111094942</v>
      </c>
      <c r="K1196" s="1" t="e">
        <f>_xlfn.XLOOKUP(J1196,REF!$D$2:$D$12,REF!$E$2:$E$12)</f>
        <v>#N/A</v>
      </c>
      <c r="L1196" s="1" t="s">
        <v>538</v>
      </c>
      <c r="M1196" s="1" t="s">
        <v>260</v>
      </c>
      <c r="N1196" s="1" t="s">
        <v>261</v>
      </c>
      <c r="O1196" s="1" t="s">
        <v>579</v>
      </c>
      <c r="P1196" s="1" t="str">
        <f>_xlfn.CONCAT(B1196,C1196,D1196,E1196,F1196)</f>
        <v>BC Caiaponia1SG60KTL(COM1-013)46047,253472222246047,253472222246047,4208333333</v>
      </c>
      <c r="Q1196" s="1" t="str">
        <f t="shared" si="41"/>
        <v/>
      </c>
    </row>
    <row r="1197" spans="2:17">
      <c r="B1197" s="1" t="s">
        <v>456</v>
      </c>
      <c r="C1197" s="1" t="s">
        <v>471</v>
      </c>
      <c r="D1197" s="52">
        <v>46047.253472222219</v>
      </c>
      <c r="E1197" s="52">
        <v>46047.253472222219</v>
      </c>
      <c r="F1197" s="52">
        <v>46047.42083333333</v>
      </c>
      <c r="G1197" s="53">
        <f>F1197-E1197</f>
        <v>0.16736111111094942</v>
      </c>
      <c r="K1197" s="1" t="e">
        <f>_xlfn.XLOOKUP(J1197,REF!$D$2:$D$12,REF!$E$2:$E$12)</f>
        <v>#N/A</v>
      </c>
      <c r="L1197" s="1" t="s">
        <v>538</v>
      </c>
      <c r="M1197" s="1" t="s">
        <v>260</v>
      </c>
      <c r="N1197" s="1" t="s">
        <v>261</v>
      </c>
      <c r="O1197" s="1" t="s">
        <v>579</v>
      </c>
      <c r="P1197" s="1" t="str">
        <f>_xlfn.CONCAT(B1197,C1197,D1197,E1197,F1197)</f>
        <v>BC Caiaponia1SG60KTL(COM1-014)46047,253472222246047,253472222246047,4208333333</v>
      </c>
      <c r="Q1197" s="1" t="str">
        <f t="shared" si="41"/>
        <v/>
      </c>
    </row>
    <row r="1198" spans="2:17">
      <c r="B1198" s="1" t="s">
        <v>456</v>
      </c>
      <c r="C1198" s="1" t="s">
        <v>472</v>
      </c>
      <c r="D1198" s="52">
        <v>46047.253472222219</v>
      </c>
      <c r="E1198" s="52">
        <v>46047.253472222219</v>
      </c>
      <c r="F1198" s="52">
        <v>46047.42083333333</v>
      </c>
      <c r="G1198" s="53">
        <f>F1198-E1198</f>
        <v>0.16736111111094942</v>
      </c>
      <c r="K1198" s="1" t="e">
        <f>_xlfn.XLOOKUP(J1198,REF!$D$2:$D$12,REF!$E$2:$E$12)</f>
        <v>#N/A</v>
      </c>
      <c r="L1198" s="1" t="s">
        <v>538</v>
      </c>
      <c r="M1198" s="1" t="s">
        <v>260</v>
      </c>
      <c r="N1198" s="1" t="s">
        <v>261</v>
      </c>
      <c r="O1198" s="1" t="s">
        <v>579</v>
      </c>
      <c r="P1198" s="1" t="str">
        <f>_xlfn.CONCAT(B1198,C1198,D1198,E1198,F1198)</f>
        <v>BC Caiaponia1SG60KTL(COM1-015)46047,253472222246047,253472222246047,4208333333</v>
      </c>
      <c r="Q1198" s="1" t="str">
        <f t="shared" si="41"/>
        <v/>
      </c>
    </row>
    <row r="1199" spans="2:17">
      <c r="B1199" s="1" t="s">
        <v>456</v>
      </c>
      <c r="C1199" s="1" t="s">
        <v>473</v>
      </c>
      <c r="D1199" s="52">
        <v>46047.253472222219</v>
      </c>
      <c r="E1199" s="52">
        <v>46047.253472222219</v>
      </c>
      <c r="F1199" s="52">
        <v>46047.42083333333</v>
      </c>
      <c r="G1199" s="53">
        <f>F1199-E1199</f>
        <v>0.16736111111094942</v>
      </c>
      <c r="K1199" s="1" t="e">
        <f>_xlfn.XLOOKUP(J1199,REF!$D$2:$D$12,REF!$E$2:$E$12)</f>
        <v>#N/A</v>
      </c>
      <c r="L1199" s="1" t="s">
        <v>538</v>
      </c>
      <c r="M1199" s="1" t="s">
        <v>260</v>
      </c>
      <c r="N1199" s="1" t="s">
        <v>261</v>
      </c>
      <c r="O1199" s="1" t="s">
        <v>579</v>
      </c>
      <c r="P1199" s="1" t="str">
        <f>_xlfn.CONCAT(B1199,C1199,D1199,E1199,F1199)</f>
        <v>BC Caiaponia1SG60KTL(COM3-016)_001_00946047,253472222246047,253472222246047,4208333333</v>
      </c>
      <c r="Q1199" s="1" t="str">
        <f t="shared" si="41"/>
        <v/>
      </c>
    </row>
    <row r="1200" spans="2:17">
      <c r="B1200" s="1" t="s">
        <v>456</v>
      </c>
      <c r="C1200" s="1" t="s">
        <v>474</v>
      </c>
      <c r="D1200" s="52">
        <v>46047.253472222219</v>
      </c>
      <c r="E1200" s="52">
        <v>46047.253472222219</v>
      </c>
      <c r="F1200" s="52">
        <v>46047.42083333333</v>
      </c>
      <c r="G1200" s="53">
        <f>F1200-E1200</f>
        <v>0.16736111111094942</v>
      </c>
      <c r="K1200" s="1" t="e">
        <f>_xlfn.XLOOKUP(J1200,REF!$D$2:$D$12,REF!$E$2:$E$12)</f>
        <v>#N/A</v>
      </c>
      <c r="L1200" s="1" t="s">
        <v>538</v>
      </c>
      <c r="M1200" s="1" t="s">
        <v>260</v>
      </c>
      <c r="N1200" s="1" t="s">
        <v>261</v>
      </c>
      <c r="O1200" s="1" t="s">
        <v>579</v>
      </c>
      <c r="P1200" s="1" t="str">
        <f>_xlfn.CONCAT(B1200,C1200,D1200,E1200,F1200)</f>
        <v>BC Caiaponia1SG60KTL(COM3-017)_001_01246047,253472222246047,253472222246047,4208333333</v>
      </c>
      <c r="Q1200" s="1" t="str">
        <f t="shared" si="41"/>
        <v/>
      </c>
    </row>
    <row r="1201" spans="2:17">
      <c r="B1201" s="1" t="s">
        <v>456</v>
      </c>
      <c r="C1201" s="1" t="s">
        <v>475</v>
      </c>
      <c r="D1201" s="52">
        <v>46047.253472222219</v>
      </c>
      <c r="E1201" s="52">
        <v>46047.253472222219</v>
      </c>
      <c r="F1201" s="52">
        <v>46047.42083333333</v>
      </c>
      <c r="G1201" s="53">
        <f>F1201-E1201</f>
        <v>0.16736111111094942</v>
      </c>
      <c r="K1201" s="1" t="e">
        <f>_xlfn.XLOOKUP(J1201,REF!$D$2:$D$12,REF!$E$2:$E$12)</f>
        <v>#N/A</v>
      </c>
      <c r="L1201" s="1" t="s">
        <v>538</v>
      </c>
      <c r="M1201" s="1" t="s">
        <v>260</v>
      </c>
      <c r="N1201" s="1" t="s">
        <v>261</v>
      </c>
      <c r="O1201" s="1" t="s">
        <v>579</v>
      </c>
      <c r="P1201" s="1" t="str">
        <f>_xlfn.CONCAT(B1201,C1201,D1201,E1201,F1201)</f>
        <v>BC Caiaponia1SG60KTL(COM3-018)_001_00846047,253472222246047,253472222246047,4208333333</v>
      </c>
      <c r="Q1201" s="1" t="str">
        <f t="shared" si="41"/>
        <v/>
      </c>
    </row>
    <row r="1202" spans="2:17">
      <c r="B1202" s="1" t="s">
        <v>456</v>
      </c>
      <c r="C1202" s="1" t="s">
        <v>476</v>
      </c>
      <c r="D1202" s="52">
        <v>46047.253472222219</v>
      </c>
      <c r="E1202" s="52">
        <v>46047.253472222219</v>
      </c>
      <c r="F1202" s="52">
        <v>46047.42083333333</v>
      </c>
      <c r="G1202" s="53">
        <f>F1202-E1202</f>
        <v>0.16736111111094942</v>
      </c>
      <c r="K1202" s="1" t="e">
        <f>_xlfn.XLOOKUP(J1202,REF!$D$2:$D$12,REF!$E$2:$E$12)</f>
        <v>#N/A</v>
      </c>
      <c r="L1202" s="1" t="s">
        <v>538</v>
      </c>
      <c r="M1202" s="1" t="s">
        <v>260</v>
      </c>
      <c r="N1202" s="1" t="s">
        <v>261</v>
      </c>
      <c r="O1202" s="1" t="s">
        <v>579</v>
      </c>
      <c r="P1202" s="1" t="str">
        <f>_xlfn.CONCAT(B1202,C1202,D1202,E1202,F1202)</f>
        <v>BC Caiaponia1SG60KTL(COM3-019)_001_01946047,253472222246047,253472222246047,4208333333</v>
      </c>
      <c r="Q1202" s="1" t="str">
        <f t="shared" si="41"/>
        <v/>
      </c>
    </row>
    <row r="1203" spans="2:17">
      <c r="B1203" s="1" t="s">
        <v>456</v>
      </c>
      <c r="C1203" s="1" t="s">
        <v>477</v>
      </c>
      <c r="D1203" s="52">
        <v>46047.253472222219</v>
      </c>
      <c r="E1203" s="52">
        <v>46047.253472222219</v>
      </c>
      <c r="F1203" s="52">
        <v>46047.42083333333</v>
      </c>
      <c r="G1203" s="53">
        <f>F1203-E1203</f>
        <v>0.16736111111094942</v>
      </c>
      <c r="K1203" s="1" t="e">
        <f>_xlfn.XLOOKUP(J1203,REF!$D$2:$D$12,REF!$E$2:$E$12)</f>
        <v>#N/A</v>
      </c>
      <c r="L1203" s="1" t="s">
        <v>538</v>
      </c>
      <c r="M1203" s="1" t="s">
        <v>260</v>
      </c>
      <c r="N1203" s="1" t="s">
        <v>261</v>
      </c>
      <c r="O1203" s="1" t="s">
        <v>579</v>
      </c>
      <c r="P1203" s="1" t="str">
        <f>_xlfn.CONCAT(B1203,C1203,D1203,E1203,F1203)</f>
        <v>BC Caiaponia1SG60KTL(COM3-020)_001_02046047,253472222246047,253472222246047,4208333333</v>
      </c>
      <c r="Q1203" s="1" t="str">
        <f t="shared" si="41"/>
        <v/>
      </c>
    </row>
    <row r="1204" spans="2:17">
      <c r="B1204" s="1" t="s">
        <v>456</v>
      </c>
      <c r="C1204" s="1" t="s">
        <v>478</v>
      </c>
      <c r="D1204" s="52">
        <v>46047.253472222219</v>
      </c>
      <c r="E1204" s="52">
        <v>46047.253472222219</v>
      </c>
      <c r="F1204" s="52">
        <v>46047.42083333333</v>
      </c>
      <c r="G1204" s="53">
        <f>F1204-E1204</f>
        <v>0.16736111111094942</v>
      </c>
      <c r="K1204" s="1" t="e">
        <f>_xlfn.XLOOKUP(J1204,REF!$D$2:$D$12,REF!$E$2:$E$12)</f>
        <v>#N/A</v>
      </c>
      <c r="L1204" s="1" t="s">
        <v>538</v>
      </c>
      <c r="M1204" s="1" t="s">
        <v>260</v>
      </c>
      <c r="N1204" s="1" t="s">
        <v>261</v>
      </c>
      <c r="O1204" s="1" t="s">
        <v>579</v>
      </c>
      <c r="P1204" s="1" t="str">
        <f>_xlfn.CONCAT(B1204,C1204,D1204,E1204,F1204)</f>
        <v>BC Caiaponia1SG60KTL(COM2-026)46047,253472222246047,253472222246047,4208333333</v>
      </c>
      <c r="Q1204" s="1" t="str">
        <f t="shared" si="41"/>
        <v/>
      </c>
    </row>
    <row r="1205" spans="2:17">
      <c r="B1205" s="1" t="s">
        <v>456</v>
      </c>
      <c r="C1205" s="1" t="s">
        <v>479</v>
      </c>
      <c r="D1205" s="52">
        <v>46047.253472222219</v>
      </c>
      <c r="E1205" s="52">
        <v>46047.253472222219</v>
      </c>
      <c r="F1205" s="52">
        <v>46047.42083333333</v>
      </c>
      <c r="G1205" s="53">
        <f>F1205-E1205</f>
        <v>0.16736111111094942</v>
      </c>
      <c r="K1205" s="1" t="e">
        <f>_xlfn.XLOOKUP(J1205,REF!$D$2:$D$12,REF!$E$2:$E$12)</f>
        <v>#N/A</v>
      </c>
      <c r="L1205" s="1" t="s">
        <v>538</v>
      </c>
      <c r="M1205" s="1" t="s">
        <v>260</v>
      </c>
      <c r="N1205" s="1" t="s">
        <v>261</v>
      </c>
      <c r="O1205" s="1" t="s">
        <v>579</v>
      </c>
      <c r="P1205" s="1" t="str">
        <f>_xlfn.CONCAT(B1205,C1205,D1205,E1205,F1205)</f>
        <v>BC Caiaponia1SG60KTL(COM2-027)46047,253472222246047,253472222246047,4208333333</v>
      </c>
      <c r="Q1205" s="1" t="str">
        <f t="shared" si="41"/>
        <v/>
      </c>
    </row>
    <row r="1206" spans="2:17">
      <c r="B1206" s="1" t="s">
        <v>456</v>
      </c>
      <c r="C1206" s="1" t="s">
        <v>480</v>
      </c>
      <c r="D1206" s="52">
        <v>46047.253472222219</v>
      </c>
      <c r="E1206" s="52">
        <v>46047.253472222219</v>
      </c>
      <c r="F1206" s="52">
        <v>46047.42083333333</v>
      </c>
      <c r="G1206" s="53">
        <f>F1206-E1206</f>
        <v>0.16736111111094942</v>
      </c>
      <c r="K1206" s="1" t="e">
        <f>_xlfn.XLOOKUP(J1206,REF!$D$2:$D$12,REF!$E$2:$E$12)</f>
        <v>#N/A</v>
      </c>
      <c r="L1206" s="1" t="s">
        <v>538</v>
      </c>
      <c r="M1206" s="1" t="s">
        <v>260</v>
      </c>
      <c r="N1206" s="1" t="s">
        <v>261</v>
      </c>
      <c r="O1206" s="1" t="s">
        <v>579</v>
      </c>
      <c r="P1206" s="1" t="str">
        <f>_xlfn.CONCAT(B1206,C1206,D1206,E1206,F1206)</f>
        <v>BC Caiaponia1SG60KTL(COM2-028)46047,253472222246047,253472222246047,4208333333</v>
      </c>
      <c r="Q1206" s="1" t="str">
        <f t="shared" si="41"/>
        <v/>
      </c>
    </row>
    <row r="1207" spans="2:17">
      <c r="B1207" s="1" t="s">
        <v>456</v>
      </c>
      <c r="C1207" s="1" t="s">
        <v>481</v>
      </c>
      <c r="D1207" s="52">
        <v>46047.253472222219</v>
      </c>
      <c r="E1207" s="52">
        <v>46047.253472222219</v>
      </c>
      <c r="F1207" s="52">
        <v>46047.42083333333</v>
      </c>
      <c r="G1207" s="53">
        <f>F1207-E1207</f>
        <v>0.16736111111094942</v>
      </c>
      <c r="K1207" s="1" t="e">
        <f>_xlfn.XLOOKUP(J1207,REF!$D$2:$D$12,REF!$E$2:$E$12)</f>
        <v>#N/A</v>
      </c>
      <c r="L1207" s="1" t="s">
        <v>538</v>
      </c>
      <c r="M1207" s="1" t="s">
        <v>260</v>
      </c>
      <c r="N1207" s="1" t="s">
        <v>261</v>
      </c>
      <c r="O1207" s="1" t="s">
        <v>579</v>
      </c>
      <c r="P1207" s="1" t="str">
        <f>_xlfn.CONCAT(B1207,C1207,D1207,E1207,F1207)</f>
        <v>BC Caiaponia1SG60KTL(COM2-029)46047,253472222246047,253472222246047,4208333333</v>
      </c>
      <c r="Q1207" s="1" t="str">
        <f t="shared" si="41"/>
        <v/>
      </c>
    </row>
    <row r="1208" spans="2:17">
      <c r="B1208" s="1" t="s">
        <v>456</v>
      </c>
      <c r="C1208" s="1" t="s">
        <v>482</v>
      </c>
      <c r="D1208" s="52">
        <v>46047.253472222219</v>
      </c>
      <c r="E1208" s="52">
        <v>46047.253472222219</v>
      </c>
      <c r="F1208" s="52">
        <v>46047.42083333333</v>
      </c>
      <c r="G1208" s="53">
        <f>F1208-E1208</f>
        <v>0.16736111111094942</v>
      </c>
      <c r="K1208" s="1" t="e">
        <f>_xlfn.XLOOKUP(J1208,REF!$D$2:$D$12,REF!$E$2:$E$12)</f>
        <v>#N/A</v>
      </c>
      <c r="L1208" s="1" t="s">
        <v>538</v>
      </c>
      <c r="M1208" s="1" t="s">
        <v>260</v>
      </c>
      <c r="N1208" s="1" t="s">
        <v>261</v>
      </c>
      <c r="O1208" s="1" t="s">
        <v>579</v>
      </c>
      <c r="P1208" s="1" t="str">
        <f>_xlfn.CONCAT(B1208,C1208,D1208,E1208,F1208)</f>
        <v>BC Caiaponia1SG50CX(COM1-021)46047,253472222246047,253472222246047,4208333333</v>
      </c>
      <c r="Q1208" s="1" t="str">
        <f t="shared" si="41"/>
        <v/>
      </c>
    </row>
    <row r="1209" spans="2:17">
      <c r="B1209" s="1" t="s">
        <v>456</v>
      </c>
      <c r="C1209" s="1" t="s">
        <v>483</v>
      </c>
      <c r="D1209" s="52">
        <v>46047.253472222219</v>
      </c>
      <c r="E1209" s="52">
        <v>46047.253472222219</v>
      </c>
      <c r="F1209" s="52">
        <v>46047.42083333333</v>
      </c>
      <c r="G1209" s="53">
        <f>F1209-E1209</f>
        <v>0.16736111111094942</v>
      </c>
      <c r="K1209" s="1" t="e">
        <f>_xlfn.XLOOKUP(J1209,REF!$D$2:$D$12,REF!$E$2:$E$12)</f>
        <v>#N/A</v>
      </c>
      <c r="L1209" s="1" t="s">
        <v>538</v>
      </c>
      <c r="M1209" s="1" t="s">
        <v>260</v>
      </c>
      <c r="N1209" s="1" t="s">
        <v>261</v>
      </c>
      <c r="O1209" s="1" t="s">
        <v>579</v>
      </c>
      <c r="P1209" s="1" t="str">
        <f>_xlfn.CONCAT(B1209,C1209,D1209,E1209,F1209)</f>
        <v>BC Caiaponia1SG50CX(COM1-022)46047,253472222246047,253472222246047,4208333333</v>
      </c>
      <c r="Q1209" s="1" t="str">
        <f t="shared" si="41"/>
        <v/>
      </c>
    </row>
    <row r="1210" spans="2:17">
      <c r="B1210" s="1" t="s">
        <v>456</v>
      </c>
      <c r="C1210" s="1" t="s">
        <v>484</v>
      </c>
      <c r="D1210" s="52">
        <v>46047.253472222219</v>
      </c>
      <c r="E1210" s="52">
        <v>46047.253472222219</v>
      </c>
      <c r="F1210" s="52">
        <v>46047.42083333333</v>
      </c>
      <c r="G1210" s="53">
        <f>F1210-E1210</f>
        <v>0.16736111111094942</v>
      </c>
      <c r="K1210" s="1" t="e">
        <f>_xlfn.XLOOKUP(J1210,REF!$D$2:$D$12,REF!$E$2:$E$12)</f>
        <v>#N/A</v>
      </c>
      <c r="L1210" s="1" t="s">
        <v>538</v>
      </c>
      <c r="M1210" s="1" t="s">
        <v>260</v>
      </c>
      <c r="N1210" s="1" t="s">
        <v>261</v>
      </c>
      <c r="O1210" s="1" t="s">
        <v>579</v>
      </c>
      <c r="P1210" s="1" t="str">
        <f>_xlfn.CONCAT(B1210,C1210,D1210,E1210,F1210)</f>
        <v>BC Caiaponia1SG50CX(COM1-023)46047,253472222246047,253472222246047,4208333333</v>
      </c>
      <c r="Q1210" s="1" t="str">
        <f t="shared" si="41"/>
        <v/>
      </c>
    </row>
    <row r="1211" spans="2:17">
      <c r="B1211" s="1" t="s">
        <v>456</v>
      </c>
      <c r="C1211" s="1" t="s">
        <v>485</v>
      </c>
      <c r="D1211" s="52">
        <v>46047.253472222219</v>
      </c>
      <c r="E1211" s="52">
        <v>46047.253472222219</v>
      </c>
      <c r="F1211" s="52">
        <v>46047.42083333333</v>
      </c>
      <c r="G1211" s="53">
        <f>F1211-E1211</f>
        <v>0.16736111111094942</v>
      </c>
      <c r="K1211" s="1" t="e">
        <f>_xlfn.XLOOKUP(J1211,REF!$D$2:$D$12,REF!$E$2:$E$12)</f>
        <v>#N/A</v>
      </c>
      <c r="L1211" s="1" t="s">
        <v>538</v>
      </c>
      <c r="M1211" s="1" t="s">
        <v>260</v>
      </c>
      <c r="N1211" s="1" t="s">
        <v>261</v>
      </c>
      <c r="O1211" s="1" t="s">
        <v>579</v>
      </c>
      <c r="P1211" s="1" t="str">
        <f>_xlfn.CONCAT(B1211,C1211,D1211,E1211,F1211)</f>
        <v>BC Caiaponia1SG50CX(COM1-024)46047,253472222246047,253472222246047,4208333333</v>
      </c>
      <c r="Q1211" s="1" t="str">
        <f t="shared" si="41"/>
        <v/>
      </c>
    </row>
    <row r="1212" spans="2:17">
      <c r="B1212" s="1" t="s">
        <v>456</v>
      </c>
      <c r="C1212" s="1" t="s">
        <v>486</v>
      </c>
      <c r="D1212" s="52">
        <v>46047.253472222219</v>
      </c>
      <c r="E1212" s="52">
        <v>46047.253472222219</v>
      </c>
      <c r="F1212" s="52">
        <v>46047.42083333333</v>
      </c>
      <c r="G1212" s="53">
        <f>F1212-E1212</f>
        <v>0.16736111111094942</v>
      </c>
      <c r="K1212" s="1" t="e">
        <f>_xlfn.XLOOKUP(J1212,REF!$D$2:$D$12,REF!$E$2:$E$12)</f>
        <v>#N/A</v>
      </c>
      <c r="L1212" s="1" t="s">
        <v>538</v>
      </c>
      <c r="M1212" s="1" t="s">
        <v>260</v>
      </c>
      <c r="N1212" s="1" t="s">
        <v>261</v>
      </c>
      <c r="O1212" s="1" t="s">
        <v>579</v>
      </c>
      <c r="P1212" s="1" t="str">
        <f>_xlfn.CONCAT(B1212,C1212,D1212,E1212,F1212)</f>
        <v>BC Caiaponia1SG50CX(COM1-025)46047,253472222246047,253472222246047,4208333333</v>
      </c>
      <c r="Q1212" s="1" t="str">
        <f t="shared" si="41"/>
        <v/>
      </c>
    </row>
    <row r="1213" spans="2:17">
      <c r="B1213" s="1" t="s">
        <v>327</v>
      </c>
      <c r="C1213" s="1" t="s">
        <v>247</v>
      </c>
      <c r="D1213" s="52">
        <v>46047.259722222225</v>
      </c>
      <c r="E1213" s="52">
        <v>46047.259722222225</v>
      </c>
      <c r="F1213" s="52">
        <v>46047.263888888891</v>
      </c>
      <c r="G1213" s="53">
        <f>F1213-E1213</f>
        <v>4.166666665696539E-3</v>
      </c>
      <c r="K1213" s="1" t="e">
        <f>_xlfn.XLOOKUP(J1213,REF!$D$2:$D$12,REF!$E$2:$E$12)</f>
        <v>#N/A</v>
      </c>
      <c r="L1213" s="1" t="s">
        <v>541</v>
      </c>
      <c r="M1213" s="1" t="s">
        <v>260</v>
      </c>
      <c r="N1213" s="1" t="s">
        <v>261</v>
      </c>
      <c r="O1213" s="1" t="s">
        <v>580</v>
      </c>
      <c r="P1213" s="1" t="str">
        <f>_xlfn.CONCAT(B1213,C1213,D1213,E1213,F1213)</f>
        <v>BC Aracu5.1Inverter(MBUS-1)46047,259722222246047,259722222246047,2638888889</v>
      </c>
      <c r="Q1213" s="1" t="str">
        <f t="shared" si="41"/>
        <v/>
      </c>
    </row>
    <row r="1214" spans="2:17">
      <c r="B1214" s="1" t="s">
        <v>329</v>
      </c>
      <c r="C1214" s="1" t="s">
        <v>247</v>
      </c>
      <c r="D1214" s="52">
        <v>46047.259722222225</v>
      </c>
      <c r="E1214" s="52">
        <v>46047.259722222225</v>
      </c>
      <c r="F1214" s="52">
        <v>46047.263888888891</v>
      </c>
      <c r="G1214" s="53">
        <f>F1214-E1214</f>
        <v>4.166666665696539E-3</v>
      </c>
      <c r="K1214" s="1" t="e">
        <f>_xlfn.XLOOKUP(J1214,REF!$D$2:$D$12,REF!$E$2:$E$12)</f>
        <v>#N/A</v>
      </c>
      <c r="L1214" s="1" t="s">
        <v>541</v>
      </c>
      <c r="M1214" s="1" t="s">
        <v>260</v>
      </c>
      <c r="N1214" s="1" t="s">
        <v>261</v>
      </c>
      <c r="O1214" s="1" t="s">
        <v>580</v>
      </c>
      <c r="P1214" s="1" t="str">
        <f>_xlfn.CONCAT(B1214,C1214,D1214,E1214,F1214)</f>
        <v>BC Aracu5.4Inverter(MBUS-1)46047,259722222246047,259722222246047,2638888889</v>
      </c>
      <c r="Q1214" s="1" t="str">
        <f t="shared" si="41"/>
        <v/>
      </c>
    </row>
    <row r="1215" spans="2:17">
      <c r="B1215" s="1" t="s">
        <v>330</v>
      </c>
      <c r="C1215" s="1" t="s">
        <v>247</v>
      </c>
      <c r="D1215" s="52">
        <v>46047.259722222225</v>
      </c>
      <c r="E1215" s="52">
        <v>46047.259722222225</v>
      </c>
      <c r="F1215" s="52">
        <v>46047.263888888891</v>
      </c>
      <c r="G1215" s="53">
        <f>F1215-E1215</f>
        <v>4.166666665696539E-3</v>
      </c>
      <c r="K1215" s="1" t="e">
        <f>_xlfn.XLOOKUP(J1215,REF!$D$2:$D$12,REF!$E$2:$E$12)</f>
        <v>#N/A</v>
      </c>
      <c r="L1215" s="1" t="s">
        <v>581</v>
      </c>
      <c r="M1215" s="1" t="s">
        <v>260</v>
      </c>
      <c r="N1215" s="1" t="s">
        <v>261</v>
      </c>
      <c r="O1215" s="1" t="s">
        <v>580</v>
      </c>
      <c r="P1215" s="1" t="str">
        <f>_xlfn.CONCAT(B1215,C1215,D1215,E1215,F1215)</f>
        <v>BC Aracu5.5Inverter(MBUS-1)46047,259722222246047,259722222246047,2638888889</v>
      </c>
      <c r="Q1215" s="1" t="str">
        <f t="shared" si="41"/>
        <v/>
      </c>
    </row>
    <row r="1216" spans="2:17">
      <c r="B1216" s="1" t="s">
        <v>255</v>
      </c>
      <c r="C1216" s="1" t="s">
        <v>256</v>
      </c>
      <c r="D1216" s="52">
        <v>46047.277083333334</v>
      </c>
      <c r="E1216" s="52">
        <v>46047.277083333334</v>
      </c>
      <c r="F1216" s="52">
        <v>46047.338888888888</v>
      </c>
      <c r="G1216" s="53">
        <f>F1216-E1216</f>
        <v>6.1805555553291924E-2</v>
      </c>
      <c r="K1216" s="1" t="e">
        <f>_xlfn.XLOOKUP(J1216,REF!$D$2:$D$12,REF!$E$2:$E$12)</f>
        <v>#N/A</v>
      </c>
      <c r="L1216" s="1" t="s">
        <v>581</v>
      </c>
      <c r="M1216" s="1" t="s">
        <v>260</v>
      </c>
      <c r="N1216" s="1" t="s">
        <v>261</v>
      </c>
      <c r="O1216" s="1" t="s">
        <v>580</v>
      </c>
      <c r="P1216" s="1" t="str">
        <f>_xlfn.CONCAT(B1216,C1216,D1216,E1216,F1216)</f>
        <v>BC Formoso2.1Inverter(MBUS-12)46047,277083333346047,277083333346047,3388888889</v>
      </c>
      <c r="Q1216" s="1" t="str">
        <f t="shared" si="41"/>
        <v/>
      </c>
    </row>
    <row r="1217" spans="2:17">
      <c r="B1217" s="1" t="s">
        <v>255</v>
      </c>
      <c r="C1217" s="1" t="s">
        <v>263</v>
      </c>
      <c r="D1217" s="52">
        <v>46047.277083333334</v>
      </c>
      <c r="E1217" s="52">
        <v>46047.277083333334</v>
      </c>
      <c r="F1217" s="52">
        <v>46047.338888888888</v>
      </c>
      <c r="G1217" s="53">
        <f>F1217-E1217</f>
        <v>6.1805555553291924E-2</v>
      </c>
      <c r="K1217" s="1" t="e">
        <f>_xlfn.XLOOKUP(J1217,REF!$D$2:$D$12,REF!$E$2:$E$12)</f>
        <v>#N/A</v>
      </c>
      <c r="L1217" s="1" t="s">
        <v>581</v>
      </c>
      <c r="M1217" s="1" t="s">
        <v>260</v>
      </c>
      <c r="N1217" s="1" t="s">
        <v>261</v>
      </c>
      <c r="O1217" s="1" t="s">
        <v>580</v>
      </c>
      <c r="P1217" s="1" t="str">
        <f>_xlfn.CONCAT(B1217,C1217,D1217,E1217,F1217)</f>
        <v>BC Formoso2.1Inverter(MBUS-14)46047,277083333346047,277083333346047,3388888889</v>
      </c>
      <c r="Q1217" s="1" t="str">
        <f t="shared" si="41"/>
        <v/>
      </c>
    </row>
    <row r="1218" spans="2:17">
      <c r="B1218" s="1" t="s">
        <v>255</v>
      </c>
      <c r="C1218" s="1" t="s">
        <v>264</v>
      </c>
      <c r="D1218" s="52">
        <v>46047.277083333334</v>
      </c>
      <c r="E1218" s="52">
        <v>46047.277083333334</v>
      </c>
      <c r="F1218" s="52">
        <v>46047.338888888888</v>
      </c>
      <c r="G1218" s="53">
        <f>F1218-E1218</f>
        <v>6.1805555553291924E-2</v>
      </c>
      <c r="K1218" s="1" t="e">
        <f>_xlfn.XLOOKUP(J1218,REF!$D$2:$D$12,REF!$E$2:$E$12)</f>
        <v>#N/A</v>
      </c>
      <c r="L1218" s="1" t="s">
        <v>581</v>
      </c>
      <c r="M1218" s="1" t="s">
        <v>260</v>
      </c>
      <c r="N1218" s="1" t="s">
        <v>261</v>
      </c>
      <c r="O1218" s="1" t="s">
        <v>580</v>
      </c>
      <c r="P1218" s="1" t="str">
        <f>_xlfn.CONCAT(B1218,C1218,D1218,E1218,F1218)</f>
        <v>BC Formoso2.1Inverter(MBUS-13)46047,277083333346047,277083333346047,3388888889</v>
      </c>
      <c r="Q1218" s="1" t="str">
        <f t="shared" si="41"/>
        <v/>
      </c>
    </row>
    <row r="1219" spans="2:17">
      <c r="B1219" s="1" t="s">
        <v>255</v>
      </c>
      <c r="C1219" s="1" t="s">
        <v>247</v>
      </c>
      <c r="D1219" s="52">
        <v>46047.277083333334</v>
      </c>
      <c r="E1219" s="52">
        <v>46047.277083333334</v>
      </c>
      <c r="F1219" s="52">
        <v>46047.338888888888</v>
      </c>
      <c r="G1219" s="53">
        <f>F1219-E1219</f>
        <v>6.1805555553291924E-2</v>
      </c>
      <c r="K1219" s="1" t="e">
        <f>_xlfn.XLOOKUP(J1219,REF!$D$2:$D$12,REF!$E$2:$E$12)</f>
        <v>#N/A</v>
      </c>
      <c r="L1219" s="1" t="s">
        <v>581</v>
      </c>
      <c r="M1219" s="1" t="s">
        <v>260</v>
      </c>
      <c r="N1219" s="1" t="s">
        <v>261</v>
      </c>
      <c r="O1219" s="1" t="s">
        <v>580</v>
      </c>
      <c r="P1219" s="1" t="str">
        <f>_xlfn.CONCAT(B1219,C1219,D1219,E1219,F1219)</f>
        <v>BC Formoso2.1Inverter(MBUS-1)46047,277083333346047,277083333346047,3388888889</v>
      </c>
      <c r="Q1219" s="1" t="str">
        <f t="shared" si="41"/>
        <v/>
      </c>
    </row>
    <row r="1220" spans="2:17">
      <c r="B1220" s="1" t="s">
        <v>355</v>
      </c>
      <c r="C1220" s="1" t="s">
        <v>264</v>
      </c>
      <c r="D1220" s="52">
        <v>46047.277083333334</v>
      </c>
      <c r="E1220" s="52">
        <v>46047.277083333334</v>
      </c>
      <c r="F1220" s="52">
        <v>46047.338888888888</v>
      </c>
      <c r="G1220" s="53">
        <f>F1220-E1220</f>
        <v>6.1805555553291924E-2</v>
      </c>
      <c r="K1220" s="1" t="e">
        <f>_xlfn.XLOOKUP(J1220,REF!$D$2:$D$12,REF!$E$2:$E$12)</f>
        <v>#N/A</v>
      </c>
      <c r="L1220" s="1" t="s">
        <v>581</v>
      </c>
      <c r="M1220" s="1" t="s">
        <v>260</v>
      </c>
      <c r="N1220" s="1" t="s">
        <v>261</v>
      </c>
      <c r="O1220" s="1" t="s">
        <v>580</v>
      </c>
      <c r="P1220" s="1" t="str">
        <f>_xlfn.CONCAT(B1220,C1220,D1220,E1220,F1220)</f>
        <v>BC Formoso2.3Inverter(MBUS-13)46047,277083333346047,277083333346047,3388888889</v>
      </c>
      <c r="Q1220" s="1" t="str">
        <f t="shared" si="41"/>
        <v/>
      </c>
    </row>
    <row r="1221" spans="2:17">
      <c r="B1221" s="1" t="s">
        <v>355</v>
      </c>
      <c r="C1221" s="1" t="s">
        <v>256</v>
      </c>
      <c r="D1221" s="52">
        <v>46047.277083333334</v>
      </c>
      <c r="E1221" s="52">
        <v>46047.277083333334</v>
      </c>
      <c r="F1221" s="52">
        <v>46047.338888888888</v>
      </c>
      <c r="G1221" s="53">
        <f>F1221-E1221</f>
        <v>6.1805555553291924E-2</v>
      </c>
      <c r="K1221" s="1" t="e">
        <f>_xlfn.XLOOKUP(J1221,REF!$D$2:$D$12,REF!$E$2:$E$12)</f>
        <v>#N/A</v>
      </c>
      <c r="L1221" s="1" t="s">
        <v>581</v>
      </c>
      <c r="M1221" s="1" t="s">
        <v>260</v>
      </c>
      <c r="N1221" s="1" t="s">
        <v>261</v>
      </c>
      <c r="O1221" s="1" t="s">
        <v>580</v>
      </c>
      <c r="P1221" s="1" t="str">
        <f>_xlfn.CONCAT(B1221,C1221,D1221,E1221,F1221)</f>
        <v>BC Formoso2.3Inverter(MBUS-12)46047,277083333346047,277083333346047,3388888889</v>
      </c>
      <c r="Q1221" s="1" t="str">
        <f t="shared" si="41"/>
        <v/>
      </c>
    </row>
    <row r="1222" spans="2:17">
      <c r="B1222" s="1" t="s">
        <v>368</v>
      </c>
      <c r="C1222" s="1" t="s">
        <v>256</v>
      </c>
      <c r="D1222" s="52">
        <v>46047.677083333336</v>
      </c>
      <c r="E1222" s="52">
        <v>46047.677083333336</v>
      </c>
      <c r="F1222" s="52">
        <v>46047.705555555556</v>
      </c>
      <c r="G1222" s="53">
        <f>F1222-E1222</f>
        <v>2.8472222220443655E-2</v>
      </c>
      <c r="K1222" s="1" t="e">
        <f>_xlfn.XLOOKUP(J1222,REF!$D$2:$D$12,REF!$E$2:$E$12)</f>
        <v>#N/A</v>
      </c>
      <c r="L1222" s="1" t="s">
        <v>582</v>
      </c>
      <c r="M1222" s="1" t="s">
        <v>260</v>
      </c>
      <c r="N1222" s="1" t="s">
        <v>261</v>
      </c>
      <c r="O1222" s="1" t="s">
        <v>579</v>
      </c>
      <c r="P1222" s="1" t="str">
        <f>_xlfn.CONCAT(B1222,C1222,D1222,E1222,F1222)</f>
        <v>BC Ibiuna 1.1Inverter(MBUS-12)46047,677083333346047,677083333346047,7055555556</v>
      </c>
      <c r="Q1222" s="1" t="str">
        <f t="shared" si="41"/>
        <v/>
      </c>
    </row>
    <row r="1223" spans="2:17">
      <c r="B1223" s="1" t="s">
        <v>368</v>
      </c>
      <c r="C1223" s="1" t="s">
        <v>264</v>
      </c>
      <c r="D1223" s="52">
        <v>46047.677083333336</v>
      </c>
      <c r="E1223" s="52">
        <v>46047.677083333336</v>
      </c>
      <c r="F1223" s="52">
        <v>46047.705555555556</v>
      </c>
      <c r="G1223" s="53">
        <f>F1223-E1223</f>
        <v>2.8472222220443655E-2</v>
      </c>
      <c r="K1223" s="1" t="e">
        <f>_xlfn.XLOOKUP(J1223,REF!$D$2:$D$12,REF!$E$2:$E$12)</f>
        <v>#N/A</v>
      </c>
      <c r="L1223" s="1" t="s">
        <v>582</v>
      </c>
      <c r="M1223" s="1" t="s">
        <v>260</v>
      </c>
      <c r="N1223" s="1" t="s">
        <v>261</v>
      </c>
      <c r="O1223" s="1" t="s">
        <v>579</v>
      </c>
      <c r="P1223" s="1" t="str">
        <f>_xlfn.CONCAT(B1223,C1223,D1223,E1223,F1223)</f>
        <v>BC Ibiuna 1.1Inverter(MBUS-13)46047,677083333346047,677083333346047,7055555556</v>
      </c>
      <c r="Q1223" s="1" t="str">
        <f t="shared" si="41"/>
        <v/>
      </c>
    </row>
    <row r="1224" spans="2:17">
      <c r="B1224" s="1" t="s">
        <v>368</v>
      </c>
      <c r="C1224" s="1" t="s">
        <v>263</v>
      </c>
      <c r="D1224" s="52">
        <v>46047.677083333336</v>
      </c>
      <c r="E1224" s="52">
        <v>46047.677083333336</v>
      </c>
      <c r="F1224" s="52">
        <v>46047.705555555556</v>
      </c>
      <c r="G1224" s="53">
        <f>F1224-E1224</f>
        <v>2.8472222220443655E-2</v>
      </c>
      <c r="K1224" s="1" t="e">
        <f>_xlfn.XLOOKUP(J1224,REF!$D$2:$D$12,REF!$E$2:$E$12)</f>
        <v>#N/A</v>
      </c>
      <c r="L1224" s="1" t="s">
        <v>582</v>
      </c>
      <c r="M1224" s="1" t="s">
        <v>260</v>
      </c>
      <c r="N1224" s="1" t="s">
        <v>261</v>
      </c>
      <c r="O1224" s="1" t="s">
        <v>579</v>
      </c>
      <c r="P1224" s="1" t="str">
        <f>_xlfn.CONCAT(B1224,C1224,D1224,E1224,F1224)</f>
        <v>BC Ibiuna 1.1Inverter(MBUS-14)46047,677083333346047,677083333346047,7055555556</v>
      </c>
      <c r="Q1224" s="1" t="str">
        <f t="shared" si="41"/>
        <v/>
      </c>
    </row>
    <row r="1225" spans="2:17">
      <c r="B1225" s="1" t="s">
        <v>368</v>
      </c>
      <c r="C1225" s="1" t="s">
        <v>307</v>
      </c>
      <c r="D1225" s="52">
        <v>46047.677083333336</v>
      </c>
      <c r="E1225" s="52">
        <v>46047.677083333336</v>
      </c>
      <c r="F1225" s="52">
        <v>46047.705555555556</v>
      </c>
      <c r="G1225" s="53">
        <f>F1225-E1225</f>
        <v>2.8472222220443655E-2</v>
      </c>
      <c r="K1225" s="1" t="e">
        <f>_xlfn.XLOOKUP(J1225,REF!$D$2:$D$12,REF!$E$2:$E$12)</f>
        <v>#N/A</v>
      </c>
      <c r="L1225" s="1" t="s">
        <v>582</v>
      </c>
      <c r="M1225" s="1" t="s">
        <v>260</v>
      </c>
      <c r="N1225" s="1" t="s">
        <v>261</v>
      </c>
      <c r="O1225" s="1" t="s">
        <v>579</v>
      </c>
      <c r="P1225" s="1" t="str">
        <f>_xlfn.CONCAT(B1225,C1225,D1225,E1225,F1225)</f>
        <v>BC Ibiuna 1.1Inverter(MBUS-15)46047,677083333346047,677083333346047,7055555556</v>
      </c>
      <c r="Q1225" s="1" t="str">
        <f t="shared" si="41"/>
        <v/>
      </c>
    </row>
    <row r="1226" spans="2:17">
      <c r="B1226" s="1" t="s">
        <v>370</v>
      </c>
      <c r="C1226" s="1" t="s">
        <v>256</v>
      </c>
      <c r="D1226" s="52">
        <v>46047.677083333336</v>
      </c>
      <c r="E1226" s="52">
        <v>46047.677083333336</v>
      </c>
      <c r="F1226" s="52">
        <v>46047.705555555556</v>
      </c>
      <c r="G1226" s="53">
        <f>F1226-E1226</f>
        <v>2.8472222220443655E-2</v>
      </c>
      <c r="K1226" s="1" t="e">
        <f>_xlfn.XLOOKUP(J1226,REF!$D$2:$D$12,REF!$E$2:$E$12)</f>
        <v>#N/A</v>
      </c>
      <c r="L1226" s="1" t="s">
        <v>582</v>
      </c>
      <c r="M1226" s="1" t="s">
        <v>260</v>
      </c>
      <c r="N1226" s="1" t="s">
        <v>261</v>
      </c>
      <c r="O1226" s="1" t="s">
        <v>579</v>
      </c>
      <c r="P1226" s="1" t="str">
        <f>_xlfn.CONCAT(B1226,C1226,D1226,E1226,F1226)</f>
        <v>BC Ibiuna 1.2Inverter(MBUS-12)46047,677083333346047,677083333346047,7055555556</v>
      </c>
      <c r="Q1226" s="1" t="str">
        <f t="shared" si="41"/>
        <v/>
      </c>
    </row>
    <row r="1227" spans="2:17">
      <c r="B1227" s="1" t="s">
        <v>370</v>
      </c>
      <c r="C1227" s="1" t="s">
        <v>264</v>
      </c>
      <c r="D1227" s="52">
        <v>46047.677083333336</v>
      </c>
      <c r="E1227" s="52">
        <v>46047.677083333336</v>
      </c>
      <c r="F1227" s="52">
        <v>46047.705555555556</v>
      </c>
      <c r="G1227" s="53">
        <f>F1227-E1227</f>
        <v>2.8472222220443655E-2</v>
      </c>
      <c r="K1227" s="1" t="e">
        <f>_xlfn.XLOOKUP(J1227,REF!$D$2:$D$12,REF!$E$2:$E$12)</f>
        <v>#N/A</v>
      </c>
      <c r="L1227" s="1" t="s">
        <v>582</v>
      </c>
      <c r="M1227" s="1" t="s">
        <v>260</v>
      </c>
      <c r="N1227" s="1" t="s">
        <v>261</v>
      </c>
      <c r="O1227" s="1" t="s">
        <v>579</v>
      </c>
      <c r="P1227" s="1" t="str">
        <f>_xlfn.CONCAT(B1227,C1227,D1227,E1227,F1227)</f>
        <v>BC Ibiuna 1.2Inverter(MBUS-13)46047,677083333346047,677083333346047,7055555556</v>
      </c>
      <c r="Q1227" s="1" t="str">
        <f t="shared" si="41"/>
        <v/>
      </c>
    </row>
    <row r="1228" spans="2:17">
      <c r="B1228" s="1" t="s">
        <v>370</v>
      </c>
      <c r="C1228" s="1" t="s">
        <v>263</v>
      </c>
      <c r="D1228" s="52">
        <v>46047.677083333336</v>
      </c>
      <c r="E1228" s="52">
        <v>46047.677083333336</v>
      </c>
      <c r="F1228" s="52">
        <v>46047.705555555556</v>
      </c>
      <c r="G1228" s="53">
        <f>F1228-E1228</f>
        <v>2.8472222220443655E-2</v>
      </c>
      <c r="K1228" s="1" t="e">
        <f>_xlfn.XLOOKUP(J1228,REF!$D$2:$D$12,REF!$E$2:$E$12)</f>
        <v>#N/A</v>
      </c>
      <c r="L1228" s="1" t="s">
        <v>582</v>
      </c>
      <c r="M1228" s="1" t="s">
        <v>260</v>
      </c>
      <c r="N1228" s="1" t="s">
        <v>261</v>
      </c>
      <c r="O1228" s="1" t="s">
        <v>579</v>
      </c>
      <c r="P1228" s="1" t="str">
        <f>_xlfn.CONCAT(B1228,C1228,D1228,E1228,F1228)</f>
        <v>BC Ibiuna 1.2Inverter(MBUS-14)46047,677083333346047,677083333346047,7055555556</v>
      </c>
      <c r="Q1228" s="1" t="str">
        <f t="shared" si="41"/>
        <v/>
      </c>
    </row>
    <row r="1229" spans="2:17">
      <c r="B1229" s="1" t="s">
        <v>370</v>
      </c>
      <c r="C1229" s="1" t="s">
        <v>307</v>
      </c>
      <c r="D1229" s="52">
        <v>46047.677083333336</v>
      </c>
      <c r="E1229" s="52">
        <v>46047.677083333336</v>
      </c>
      <c r="F1229" s="52">
        <v>46047.705555555556</v>
      </c>
      <c r="G1229" s="53">
        <f>F1229-E1229</f>
        <v>2.8472222220443655E-2</v>
      </c>
      <c r="K1229" s="1" t="e">
        <f>_xlfn.XLOOKUP(J1229,REF!$D$2:$D$12,REF!$E$2:$E$12)</f>
        <v>#N/A</v>
      </c>
      <c r="L1229" s="1" t="s">
        <v>582</v>
      </c>
      <c r="M1229" s="1" t="s">
        <v>260</v>
      </c>
      <c r="N1229" s="1" t="s">
        <v>261</v>
      </c>
      <c r="O1229" s="1" t="s">
        <v>579</v>
      </c>
      <c r="P1229" s="1" t="str">
        <f>_xlfn.CONCAT(B1229,C1229,D1229,E1229,F1229)</f>
        <v>BC Ibiuna 1.2Inverter(MBUS-15)46047,677083333346047,677083333346047,7055555556</v>
      </c>
      <c r="Q1229" s="1" t="str">
        <f t="shared" si="41"/>
        <v/>
      </c>
    </row>
    <row r="1230" spans="2:17">
      <c r="B1230" s="1" t="s">
        <v>456</v>
      </c>
      <c r="C1230" s="1" t="s">
        <v>457</v>
      </c>
      <c r="D1230" s="52">
        <v>46047.861111111109</v>
      </c>
      <c r="E1230" s="52">
        <v>46047.861111111109</v>
      </c>
      <c r="F1230" s="52">
        <v>46047.916666666664</v>
      </c>
      <c r="G1230" s="53">
        <f>F1230-E1230</f>
        <v>5.5555555554747116E-2</v>
      </c>
      <c r="K1230" s="1" t="e">
        <f>_xlfn.XLOOKUP(J1230,REF!$D$2:$D$12,REF!$E$2:$E$12)</f>
        <v>#N/A</v>
      </c>
      <c r="L1230" s="1" t="s">
        <v>538</v>
      </c>
      <c r="M1230" s="1" t="s">
        <v>260</v>
      </c>
      <c r="N1230" s="1" t="s">
        <v>261</v>
      </c>
      <c r="O1230" s="1" t="s">
        <v>579</v>
      </c>
      <c r="P1230" s="1" t="str">
        <f>_xlfn.CONCAT(B1230,C1230,D1230,E1230,F1230)</f>
        <v>BC Caiaponia1SG60KTL(COM1-001)_001_00746047,861111111146047,861111111146047,9166666667</v>
      </c>
      <c r="Q1230" s="1" t="str">
        <f t="shared" si="41"/>
        <v/>
      </c>
    </row>
    <row r="1231" spans="2:17">
      <c r="B1231" s="1" t="s">
        <v>456</v>
      </c>
      <c r="C1231" s="1" t="s">
        <v>459</v>
      </c>
      <c r="D1231" s="52">
        <v>46047.861111111109</v>
      </c>
      <c r="E1231" s="52">
        <v>46047.861111111109</v>
      </c>
      <c r="F1231" s="52">
        <v>46047.916666666664</v>
      </c>
      <c r="G1231" s="53">
        <f>F1231-E1231</f>
        <v>5.5555555554747116E-2</v>
      </c>
      <c r="K1231" s="1" t="e">
        <f>_xlfn.XLOOKUP(J1231,REF!$D$2:$D$12,REF!$E$2:$E$12)</f>
        <v>#N/A</v>
      </c>
      <c r="L1231" s="1" t="s">
        <v>538</v>
      </c>
      <c r="M1231" s="1" t="s">
        <v>260</v>
      </c>
      <c r="N1231" s="1" t="s">
        <v>261</v>
      </c>
      <c r="O1231" s="1" t="s">
        <v>579</v>
      </c>
      <c r="P1231" s="1" t="str">
        <f>_xlfn.CONCAT(B1231,C1231,D1231,E1231,F1231)</f>
        <v>BC Caiaponia1SG60KTL(COM1-002)_001_01046047,861111111146047,861111111146047,9166666667</v>
      </c>
      <c r="Q1231" s="1" t="str">
        <f t="shared" si="41"/>
        <v/>
      </c>
    </row>
    <row r="1232" spans="2:17">
      <c r="B1232" s="1" t="s">
        <v>456</v>
      </c>
      <c r="C1232" s="1" t="s">
        <v>460</v>
      </c>
      <c r="D1232" s="52">
        <v>46047.861111111109</v>
      </c>
      <c r="E1232" s="52">
        <v>46047.861111111109</v>
      </c>
      <c r="F1232" s="52">
        <v>46047.916666666664</v>
      </c>
      <c r="G1232" s="53">
        <f>F1232-E1232</f>
        <v>5.5555555554747116E-2</v>
      </c>
      <c r="K1232" s="1" t="e">
        <f>_xlfn.XLOOKUP(J1232,REF!$D$2:$D$12,REF!$E$2:$E$12)</f>
        <v>#N/A</v>
      </c>
      <c r="L1232" s="1" t="s">
        <v>538</v>
      </c>
      <c r="M1232" s="1" t="s">
        <v>260</v>
      </c>
      <c r="N1232" s="1" t="s">
        <v>261</v>
      </c>
      <c r="O1232" s="1" t="s">
        <v>579</v>
      </c>
      <c r="P1232" s="1" t="str">
        <f>_xlfn.CONCAT(B1232,C1232,D1232,E1232,F1232)</f>
        <v>BC Caiaponia1SG60KTL(COM1-003)_001_01146047,861111111146047,861111111146047,9166666667</v>
      </c>
      <c r="Q1232" s="1" t="str">
        <f t="shared" si="41"/>
        <v/>
      </c>
    </row>
    <row r="1233" spans="2:17">
      <c r="B1233" s="1" t="s">
        <v>456</v>
      </c>
      <c r="C1233" s="1" t="s">
        <v>461</v>
      </c>
      <c r="D1233" s="52">
        <v>46047.861111111109</v>
      </c>
      <c r="E1233" s="52">
        <v>46047.861111111109</v>
      </c>
      <c r="F1233" s="52">
        <v>46047.916666666664</v>
      </c>
      <c r="G1233" s="53">
        <f>F1233-E1233</f>
        <v>5.5555555554747116E-2</v>
      </c>
      <c r="K1233" s="1" t="e">
        <f>_xlfn.XLOOKUP(J1233,REF!$D$2:$D$12,REF!$E$2:$E$12)</f>
        <v>#N/A</v>
      </c>
      <c r="L1233" s="1" t="s">
        <v>538</v>
      </c>
      <c r="M1233" s="1" t="s">
        <v>260</v>
      </c>
      <c r="N1233" s="1" t="s">
        <v>261</v>
      </c>
      <c r="O1233" s="1" t="s">
        <v>579</v>
      </c>
      <c r="P1233" s="1" t="str">
        <f>_xlfn.CONCAT(B1233,C1233,D1233,E1233,F1233)</f>
        <v>BC Caiaponia1SG60KTL(COM1-004)_001_01446047,861111111146047,861111111146047,9166666667</v>
      </c>
      <c r="Q1233" s="1" t="str">
        <f t="shared" si="41"/>
        <v/>
      </c>
    </row>
    <row r="1234" spans="2:17">
      <c r="B1234" s="1" t="s">
        <v>456</v>
      </c>
      <c r="C1234" s="1" t="s">
        <v>462</v>
      </c>
      <c r="D1234" s="52">
        <v>46047.861111111109</v>
      </c>
      <c r="E1234" s="52">
        <v>46047.861111111109</v>
      </c>
      <c r="F1234" s="52">
        <v>46047.916666666664</v>
      </c>
      <c r="G1234" s="53">
        <f>F1234-E1234</f>
        <v>5.5555555554747116E-2</v>
      </c>
      <c r="K1234" s="1" t="e">
        <f>_xlfn.XLOOKUP(J1234,REF!$D$2:$D$12,REF!$E$2:$E$12)</f>
        <v>#N/A</v>
      </c>
      <c r="L1234" s="1" t="s">
        <v>538</v>
      </c>
      <c r="M1234" s="1" t="s">
        <v>260</v>
      </c>
      <c r="N1234" s="1" t="s">
        <v>261</v>
      </c>
      <c r="O1234" s="1" t="s">
        <v>579</v>
      </c>
      <c r="P1234" s="1" t="str">
        <f>_xlfn.CONCAT(B1234,C1234,D1234,E1234,F1234)</f>
        <v>BC Caiaponia1SG60KTL(COM1-005)_001_01746047,861111111146047,861111111146047,9166666667</v>
      </c>
      <c r="Q1234" s="1" t="str">
        <f t="shared" si="41"/>
        <v/>
      </c>
    </row>
    <row r="1235" spans="2:17">
      <c r="B1235" s="1" t="s">
        <v>456</v>
      </c>
      <c r="C1235" s="1" t="s">
        <v>463</v>
      </c>
      <c r="D1235" s="52">
        <v>46047.861111111109</v>
      </c>
      <c r="E1235" s="52">
        <v>46047.861111111109</v>
      </c>
      <c r="F1235" s="52">
        <v>46047.916666666664</v>
      </c>
      <c r="G1235" s="53">
        <f>F1235-E1235</f>
        <v>5.5555555554747116E-2</v>
      </c>
      <c r="K1235" s="1" t="e">
        <f>_xlfn.XLOOKUP(J1235,REF!$D$2:$D$12,REF!$E$2:$E$12)</f>
        <v>#N/A</v>
      </c>
      <c r="L1235" s="1" t="s">
        <v>538</v>
      </c>
      <c r="M1235" s="1" t="s">
        <v>260</v>
      </c>
      <c r="N1235" s="1" t="s">
        <v>261</v>
      </c>
      <c r="O1235" s="1" t="s">
        <v>579</v>
      </c>
      <c r="P1235" s="1" t="str">
        <f>_xlfn.CONCAT(B1235,C1235,D1235,E1235,F1235)</f>
        <v>BC Caiaponia1SG60KTL(COM1-006)_001_01646047,861111111146047,861111111146047,9166666667</v>
      </c>
      <c r="Q1235" s="1" t="str">
        <f t="shared" ref="Q1235:Q1298" si="42">_xlfn.CONCAT(H1235,I1235,J1235)</f>
        <v/>
      </c>
    </row>
    <row r="1236" spans="2:17">
      <c r="B1236" s="1" t="s">
        <v>456</v>
      </c>
      <c r="C1236" s="1" t="s">
        <v>464</v>
      </c>
      <c r="D1236" s="52">
        <v>46047.861111111109</v>
      </c>
      <c r="E1236" s="52">
        <v>46047.861111111109</v>
      </c>
      <c r="F1236" s="52">
        <v>46047.916666666664</v>
      </c>
      <c r="G1236" s="53">
        <f>F1236-E1236</f>
        <v>5.5555555554747116E-2</v>
      </c>
      <c r="K1236" s="1" t="e">
        <f>_xlfn.XLOOKUP(J1236,REF!$D$2:$D$12,REF!$E$2:$E$12)</f>
        <v>#N/A</v>
      </c>
      <c r="L1236" s="1" t="s">
        <v>538</v>
      </c>
      <c r="M1236" s="1" t="s">
        <v>260</v>
      </c>
      <c r="N1236" s="1" t="s">
        <v>261</v>
      </c>
      <c r="O1236" s="1" t="s">
        <v>579</v>
      </c>
      <c r="P1236" s="1" t="str">
        <f>_xlfn.CONCAT(B1236,C1236,D1236,E1236,F1236)</f>
        <v>BC Caiaponia1SG60KTL(COM1-007)_001_01346047,861111111146047,861111111146047,9166666667</v>
      </c>
      <c r="Q1236" s="1" t="str">
        <f t="shared" si="42"/>
        <v/>
      </c>
    </row>
    <row r="1237" spans="2:17">
      <c r="B1237" s="1" t="s">
        <v>456</v>
      </c>
      <c r="C1237" s="1" t="s">
        <v>465</v>
      </c>
      <c r="D1237" s="52">
        <v>46047.861111111109</v>
      </c>
      <c r="E1237" s="52">
        <v>46047.861111111109</v>
      </c>
      <c r="F1237" s="52">
        <v>46047.916666666664</v>
      </c>
      <c r="G1237" s="53">
        <f>F1237-E1237</f>
        <v>5.5555555554747116E-2</v>
      </c>
      <c r="K1237" s="1" t="e">
        <f>_xlfn.XLOOKUP(J1237,REF!$D$2:$D$12,REF!$E$2:$E$12)</f>
        <v>#N/A</v>
      </c>
      <c r="L1237" s="1" t="s">
        <v>538</v>
      </c>
      <c r="M1237" s="1" t="s">
        <v>260</v>
      </c>
      <c r="N1237" s="1" t="s">
        <v>261</v>
      </c>
      <c r="O1237" s="1" t="s">
        <v>579</v>
      </c>
      <c r="P1237" s="1" t="str">
        <f>_xlfn.CONCAT(B1237,C1237,D1237,E1237,F1237)</f>
        <v>BC Caiaponia1SG60KTL(COM1-008)_001_00146047,861111111146047,861111111146047,9166666667</v>
      </c>
      <c r="Q1237" s="1" t="str">
        <f t="shared" si="42"/>
        <v/>
      </c>
    </row>
    <row r="1238" spans="2:17">
      <c r="B1238" s="1" t="s">
        <v>456</v>
      </c>
      <c r="C1238" s="1" t="s">
        <v>466</v>
      </c>
      <c r="D1238" s="52">
        <v>46047.861111111109</v>
      </c>
      <c r="E1238" s="52">
        <v>46047.861111111109</v>
      </c>
      <c r="F1238" s="52">
        <v>46047.916666666664</v>
      </c>
      <c r="G1238" s="53">
        <f>F1238-E1238</f>
        <v>5.5555555554747116E-2</v>
      </c>
      <c r="K1238" s="1" t="e">
        <f>_xlfn.XLOOKUP(J1238,REF!$D$2:$D$12,REF!$E$2:$E$12)</f>
        <v>#N/A</v>
      </c>
      <c r="L1238" s="1" t="s">
        <v>538</v>
      </c>
      <c r="M1238" s="1" t="s">
        <v>260</v>
      </c>
      <c r="N1238" s="1" t="s">
        <v>261</v>
      </c>
      <c r="O1238" s="1" t="s">
        <v>579</v>
      </c>
      <c r="P1238" s="1" t="str">
        <f>_xlfn.CONCAT(B1238,C1238,D1238,E1238,F1238)</f>
        <v>BC Caiaponia1SG60KTL(COM1-009)46047,861111111146047,861111111146047,9166666667</v>
      </c>
      <c r="Q1238" s="1" t="str">
        <f t="shared" si="42"/>
        <v/>
      </c>
    </row>
    <row r="1239" spans="2:17">
      <c r="B1239" s="1" t="s">
        <v>456</v>
      </c>
      <c r="C1239" s="1" t="s">
        <v>467</v>
      </c>
      <c r="D1239" s="52">
        <v>46047.861111111109</v>
      </c>
      <c r="E1239" s="52">
        <v>46047.861111111109</v>
      </c>
      <c r="F1239" s="52">
        <v>46047.916666666664</v>
      </c>
      <c r="G1239" s="53">
        <f>F1239-E1239</f>
        <v>5.5555555554747116E-2</v>
      </c>
      <c r="K1239" s="1" t="e">
        <f>_xlfn.XLOOKUP(J1239,REF!$D$2:$D$12,REF!$E$2:$E$12)</f>
        <v>#N/A</v>
      </c>
      <c r="L1239" s="1" t="s">
        <v>538</v>
      </c>
      <c r="M1239" s="1" t="s">
        <v>260</v>
      </c>
      <c r="N1239" s="1" t="s">
        <v>261</v>
      </c>
      <c r="O1239" s="1" t="s">
        <v>579</v>
      </c>
      <c r="P1239" s="1" t="str">
        <f>_xlfn.CONCAT(B1239,C1239,D1239,E1239,F1239)</f>
        <v>BC Caiaponia1SG60KTL(COM1-010)46047,861111111146047,861111111146047,9166666667</v>
      </c>
      <c r="Q1239" s="1" t="str">
        <f t="shared" si="42"/>
        <v/>
      </c>
    </row>
    <row r="1240" spans="2:17">
      <c r="B1240" s="1" t="s">
        <v>456</v>
      </c>
      <c r="C1240" s="1" t="s">
        <v>468</v>
      </c>
      <c r="D1240" s="52">
        <v>46047.861111111109</v>
      </c>
      <c r="E1240" s="52">
        <v>46047.861111111109</v>
      </c>
      <c r="F1240" s="52">
        <v>46047.916666666664</v>
      </c>
      <c r="G1240" s="53">
        <f>F1240-E1240</f>
        <v>5.5555555554747116E-2</v>
      </c>
      <c r="K1240" s="1" t="e">
        <f>_xlfn.XLOOKUP(J1240,REF!$D$2:$D$12,REF!$E$2:$E$12)</f>
        <v>#N/A</v>
      </c>
      <c r="L1240" s="1" t="s">
        <v>538</v>
      </c>
      <c r="M1240" s="1" t="s">
        <v>260</v>
      </c>
      <c r="N1240" s="1" t="s">
        <v>261</v>
      </c>
      <c r="O1240" s="1" t="s">
        <v>579</v>
      </c>
      <c r="P1240" s="1" t="str">
        <f>_xlfn.CONCAT(B1240,C1240,D1240,E1240,F1240)</f>
        <v>BC Caiaponia1SG60KTL(COM1-011)46047,861111111146047,861111111146047,9166666667</v>
      </c>
      <c r="Q1240" s="1" t="str">
        <f t="shared" si="42"/>
        <v/>
      </c>
    </row>
    <row r="1241" spans="2:17">
      <c r="B1241" s="1" t="s">
        <v>456</v>
      </c>
      <c r="C1241" s="1" t="s">
        <v>469</v>
      </c>
      <c r="D1241" s="52">
        <v>46047.861111111109</v>
      </c>
      <c r="E1241" s="52">
        <v>46047.861111111109</v>
      </c>
      <c r="F1241" s="52">
        <v>46047.916666666664</v>
      </c>
      <c r="G1241" s="53">
        <f>F1241-E1241</f>
        <v>5.5555555554747116E-2</v>
      </c>
      <c r="K1241" s="1" t="e">
        <f>_xlfn.XLOOKUP(J1241,REF!$D$2:$D$12,REF!$E$2:$E$12)</f>
        <v>#N/A</v>
      </c>
      <c r="L1241" s="1" t="s">
        <v>538</v>
      </c>
      <c r="M1241" s="1" t="s">
        <v>260</v>
      </c>
      <c r="N1241" s="1" t="s">
        <v>261</v>
      </c>
      <c r="O1241" s="1" t="s">
        <v>579</v>
      </c>
      <c r="P1241" s="1" t="str">
        <f>_xlfn.CONCAT(B1241,C1241,D1241,E1241,F1241)</f>
        <v>BC Caiaponia1SG60KTL(COM1-012)46047,861111111146047,861111111146047,9166666667</v>
      </c>
      <c r="Q1241" s="1" t="str">
        <f t="shared" si="42"/>
        <v/>
      </c>
    </row>
    <row r="1242" spans="2:17">
      <c r="B1242" s="1" t="s">
        <v>456</v>
      </c>
      <c r="C1242" s="1" t="s">
        <v>470</v>
      </c>
      <c r="D1242" s="52">
        <v>46047.861111111109</v>
      </c>
      <c r="E1242" s="52">
        <v>46047.861111111109</v>
      </c>
      <c r="F1242" s="52">
        <v>46047.916666666664</v>
      </c>
      <c r="G1242" s="53">
        <f>F1242-E1242</f>
        <v>5.5555555554747116E-2</v>
      </c>
      <c r="K1242" s="1" t="e">
        <f>_xlfn.XLOOKUP(J1242,REF!$D$2:$D$12,REF!$E$2:$E$12)</f>
        <v>#N/A</v>
      </c>
      <c r="L1242" s="1" t="s">
        <v>538</v>
      </c>
      <c r="M1242" s="1" t="s">
        <v>260</v>
      </c>
      <c r="N1242" s="1" t="s">
        <v>261</v>
      </c>
      <c r="O1242" s="1" t="s">
        <v>579</v>
      </c>
      <c r="P1242" s="1" t="str">
        <f>_xlfn.CONCAT(B1242,C1242,D1242,E1242,F1242)</f>
        <v>BC Caiaponia1SG60KTL(COM1-013)46047,861111111146047,861111111146047,9166666667</v>
      </c>
      <c r="Q1242" s="1" t="str">
        <f t="shared" si="42"/>
        <v/>
      </c>
    </row>
    <row r="1243" spans="2:17">
      <c r="B1243" s="1" t="s">
        <v>456</v>
      </c>
      <c r="C1243" s="1" t="s">
        <v>471</v>
      </c>
      <c r="D1243" s="52">
        <v>46047.861111111109</v>
      </c>
      <c r="E1243" s="52">
        <v>46047.861111111109</v>
      </c>
      <c r="F1243" s="52">
        <v>46047.916666666664</v>
      </c>
      <c r="G1243" s="53">
        <f>F1243-E1243</f>
        <v>5.5555555554747116E-2</v>
      </c>
      <c r="K1243" s="1" t="e">
        <f>_xlfn.XLOOKUP(J1243,REF!$D$2:$D$12,REF!$E$2:$E$12)</f>
        <v>#N/A</v>
      </c>
      <c r="L1243" s="1" t="s">
        <v>538</v>
      </c>
      <c r="M1243" s="1" t="s">
        <v>260</v>
      </c>
      <c r="N1243" s="1" t="s">
        <v>261</v>
      </c>
      <c r="O1243" s="1" t="s">
        <v>579</v>
      </c>
      <c r="P1243" s="1" t="str">
        <f>_xlfn.CONCAT(B1243,C1243,D1243,E1243,F1243)</f>
        <v>BC Caiaponia1SG60KTL(COM1-014)46047,861111111146047,861111111146047,9166666667</v>
      </c>
      <c r="Q1243" s="1" t="str">
        <f t="shared" si="42"/>
        <v/>
      </c>
    </row>
    <row r="1244" spans="2:17">
      <c r="B1244" s="1" t="s">
        <v>456</v>
      </c>
      <c r="C1244" s="1" t="s">
        <v>472</v>
      </c>
      <c r="D1244" s="52">
        <v>46047.861111111109</v>
      </c>
      <c r="E1244" s="52">
        <v>46047.861111111109</v>
      </c>
      <c r="F1244" s="52">
        <v>46047.916666666664</v>
      </c>
      <c r="G1244" s="53">
        <f>F1244-E1244</f>
        <v>5.5555555554747116E-2</v>
      </c>
      <c r="K1244" s="1" t="e">
        <f>_xlfn.XLOOKUP(J1244,REF!$D$2:$D$12,REF!$E$2:$E$12)</f>
        <v>#N/A</v>
      </c>
      <c r="L1244" s="1" t="s">
        <v>538</v>
      </c>
      <c r="M1244" s="1" t="s">
        <v>260</v>
      </c>
      <c r="N1244" s="1" t="s">
        <v>261</v>
      </c>
      <c r="O1244" s="1" t="s">
        <v>579</v>
      </c>
      <c r="P1244" s="1" t="str">
        <f>_xlfn.CONCAT(B1244,C1244,D1244,E1244,F1244)</f>
        <v>BC Caiaponia1SG60KTL(COM1-015)46047,861111111146047,861111111146047,9166666667</v>
      </c>
      <c r="Q1244" s="1" t="str">
        <f t="shared" si="42"/>
        <v/>
      </c>
    </row>
    <row r="1245" spans="2:17">
      <c r="B1245" s="1" t="s">
        <v>456</v>
      </c>
      <c r="C1245" s="1" t="s">
        <v>473</v>
      </c>
      <c r="D1245" s="52">
        <v>46047.861111111109</v>
      </c>
      <c r="E1245" s="52">
        <v>46047.861111111109</v>
      </c>
      <c r="F1245" s="52">
        <v>46047.916666666664</v>
      </c>
      <c r="G1245" s="53">
        <f>F1245-E1245</f>
        <v>5.5555555554747116E-2</v>
      </c>
      <c r="K1245" s="1" t="e">
        <f>_xlfn.XLOOKUP(J1245,REF!$D$2:$D$12,REF!$E$2:$E$12)</f>
        <v>#N/A</v>
      </c>
      <c r="L1245" s="1" t="s">
        <v>538</v>
      </c>
      <c r="M1245" s="1" t="s">
        <v>260</v>
      </c>
      <c r="N1245" s="1" t="s">
        <v>261</v>
      </c>
      <c r="O1245" s="1" t="s">
        <v>579</v>
      </c>
      <c r="P1245" s="1" t="str">
        <f>_xlfn.CONCAT(B1245,C1245,D1245,E1245,F1245)</f>
        <v>BC Caiaponia1SG60KTL(COM3-016)_001_00946047,861111111146047,861111111146047,9166666667</v>
      </c>
      <c r="Q1245" s="1" t="str">
        <f t="shared" si="42"/>
        <v/>
      </c>
    </row>
    <row r="1246" spans="2:17">
      <c r="B1246" s="1" t="s">
        <v>456</v>
      </c>
      <c r="C1246" s="1" t="s">
        <v>474</v>
      </c>
      <c r="D1246" s="52">
        <v>46047.861111111109</v>
      </c>
      <c r="E1246" s="52">
        <v>46047.861111111109</v>
      </c>
      <c r="F1246" s="52">
        <v>46047.916666666664</v>
      </c>
      <c r="G1246" s="53">
        <f>F1246-E1246</f>
        <v>5.5555555554747116E-2</v>
      </c>
      <c r="K1246" s="1" t="e">
        <f>_xlfn.XLOOKUP(J1246,REF!$D$2:$D$12,REF!$E$2:$E$12)</f>
        <v>#N/A</v>
      </c>
      <c r="L1246" s="1" t="s">
        <v>538</v>
      </c>
      <c r="M1246" s="1" t="s">
        <v>260</v>
      </c>
      <c r="N1246" s="1" t="s">
        <v>261</v>
      </c>
      <c r="O1246" s="1" t="s">
        <v>579</v>
      </c>
      <c r="P1246" s="1" t="str">
        <f>_xlfn.CONCAT(B1246,C1246,D1246,E1246,F1246)</f>
        <v>BC Caiaponia1SG60KTL(COM3-017)_001_01246047,861111111146047,861111111146047,9166666667</v>
      </c>
      <c r="Q1246" s="1" t="str">
        <f t="shared" si="42"/>
        <v/>
      </c>
    </row>
    <row r="1247" spans="2:17">
      <c r="B1247" s="1" t="s">
        <v>456</v>
      </c>
      <c r="C1247" s="1" t="s">
        <v>475</v>
      </c>
      <c r="D1247" s="52">
        <v>46047.861111111109</v>
      </c>
      <c r="E1247" s="52">
        <v>46047.861111111109</v>
      </c>
      <c r="F1247" s="52">
        <v>46047.916666666664</v>
      </c>
      <c r="G1247" s="53">
        <f>F1247-E1247</f>
        <v>5.5555555554747116E-2</v>
      </c>
      <c r="K1247" s="1" t="e">
        <f>_xlfn.XLOOKUP(J1247,REF!$D$2:$D$12,REF!$E$2:$E$12)</f>
        <v>#N/A</v>
      </c>
      <c r="L1247" s="1" t="s">
        <v>538</v>
      </c>
      <c r="M1247" s="1" t="s">
        <v>260</v>
      </c>
      <c r="N1247" s="1" t="s">
        <v>261</v>
      </c>
      <c r="O1247" s="1" t="s">
        <v>579</v>
      </c>
      <c r="P1247" s="1" t="str">
        <f>_xlfn.CONCAT(B1247,C1247,D1247,E1247,F1247)</f>
        <v>BC Caiaponia1SG60KTL(COM3-018)_001_00846047,861111111146047,861111111146047,9166666667</v>
      </c>
      <c r="Q1247" s="1" t="str">
        <f t="shared" si="42"/>
        <v/>
      </c>
    </row>
    <row r="1248" spans="2:17">
      <c r="B1248" s="1" t="s">
        <v>456</v>
      </c>
      <c r="C1248" s="1" t="s">
        <v>476</v>
      </c>
      <c r="D1248" s="52">
        <v>46047.861111111109</v>
      </c>
      <c r="E1248" s="52">
        <v>46047.861111111109</v>
      </c>
      <c r="F1248" s="52">
        <v>46047.916666666664</v>
      </c>
      <c r="G1248" s="53">
        <f>F1248-E1248</f>
        <v>5.5555555554747116E-2</v>
      </c>
      <c r="K1248" s="1" t="e">
        <f>_xlfn.XLOOKUP(J1248,REF!$D$2:$D$12,REF!$E$2:$E$12)</f>
        <v>#N/A</v>
      </c>
      <c r="L1248" s="1" t="s">
        <v>538</v>
      </c>
      <c r="M1248" s="1" t="s">
        <v>260</v>
      </c>
      <c r="N1248" s="1" t="s">
        <v>261</v>
      </c>
      <c r="O1248" s="1" t="s">
        <v>579</v>
      </c>
      <c r="P1248" s="1" t="str">
        <f>_xlfn.CONCAT(B1248,C1248,D1248,E1248,F1248)</f>
        <v>BC Caiaponia1SG60KTL(COM3-019)_001_01946047,861111111146047,861111111146047,9166666667</v>
      </c>
      <c r="Q1248" s="1" t="str">
        <f t="shared" si="42"/>
        <v/>
      </c>
    </row>
    <row r="1249" spans="2:17">
      <c r="B1249" s="1" t="s">
        <v>456</v>
      </c>
      <c r="C1249" s="1" t="s">
        <v>477</v>
      </c>
      <c r="D1249" s="52">
        <v>46047.861111111109</v>
      </c>
      <c r="E1249" s="52">
        <v>46047.861111111109</v>
      </c>
      <c r="F1249" s="52">
        <v>46047.916666666664</v>
      </c>
      <c r="G1249" s="53">
        <f>F1249-E1249</f>
        <v>5.5555555554747116E-2</v>
      </c>
      <c r="K1249" s="1" t="e">
        <f>_xlfn.XLOOKUP(J1249,REF!$D$2:$D$12,REF!$E$2:$E$12)</f>
        <v>#N/A</v>
      </c>
      <c r="L1249" s="1" t="s">
        <v>538</v>
      </c>
      <c r="M1249" s="1" t="s">
        <v>260</v>
      </c>
      <c r="N1249" s="1" t="s">
        <v>261</v>
      </c>
      <c r="O1249" s="1" t="s">
        <v>579</v>
      </c>
      <c r="P1249" s="1" t="str">
        <f>_xlfn.CONCAT(B1249,C1249,D1249,E1249,F1249)</f>
        <v>BC Caiaponia1SG60KTL(COM3-020)_001_02046047,861111111146047,861111111146047,9166666667</v>
      </c>
      <c r="Q1249" s="1" t="str">
        <f t="shared" si="42"/>
        <v/>
      </c>
    </row>
    <row r="1250" spans="2:17">
      <c r="B1250" s="1" t="s">
        <v>456</v>
      </c>
      <c r="C1250" s="1" t="s">
        <v>478</v>
      </c>
      <c r="D1250" s="52">
        <v>46047.861111111109</v>
      </c>
      <c r="E1250" s="52">
        <v>46047.861111111109</v>
      </c>
      <c r="F1250" s="52">
        <v>46047.916666666664</v>
      </c>
      <c r="G1250" s="53">
        <f>F1250-E1250</f>
        <v>5.5555555554747116E-2</v>
      </c>
      <c r="K1250" s="1" t="e">
        <f>_xlfn.XLOOKUP(J1250,REF!$D$2:$D$12,REF!$E$2:$E$12)</f>
        <v>#N/A</v>
      </c>
      <c r="L1250" s="1" t="s">
        <v>538</v>
      </c>
      <c r="M1250" s="1" t="s">
        <v>260</v>
      </c>
      <c r="N1250" s="1" t="s">
        <v>261</v>
      </c>
      <c r="O1250" s="1" t="s">
        <v>579</v>
      </c>
      <c r="P1250" s="1" t="str">
        <f>_xlfn.CONCAT(B1250,C1250,D1250,E1250,F1250)</f>
        <v>BC Caiaponia1SG60KTL(COM2-026)46047,861111111146047,861111111146047,9166666667</v>
      </c>
      <c r="Q1250" s="1" t="str">
        <f t="shared" si="42"/>
        <v/>
      </c>
    </row>
    <row r="1251" spans="2:17">
      <c r="B1251" s="1" t="s">
        <v>456</v>
      </c>
      <c r="C1251" s="1" t="s">
        <v>479</v>
      </c>
      <c r="D1251" s="52">
        <v>46047.861111111109</v>
      </c>
      <c r="E1251" s="52">
        <v>46047.861111111109</v>
      </c>
      <c r="F1251" s="52">
        <v>46047.916666666664</v>
      </c>
      <c r="G1251" s="53">
        <f>F1251-E1251</f>
        <v>5.5555555554747116E-2</v>
      </c>
      <c r="K1251" s="1" t="e">
        <f>_xlfn.XLOOKUP(J1251,REF!$D$2:$D$12,REF!$E$2:$E$12)</f>
        <v>#N/A</v>
      </c>
      <c r="L1251" s="1" t="s">
        <v>538</v>
      </c>
      <c r="M1251" s="1" t="s">
        <v>260</v>
      </c>
      <c r="N1251" s="1" t="s">
        <v>261</v>
      </c>
      <c r="O1251" s="1" t="s">
        <v>579</v>
      </c>
      <c r="P1251" s="1" t="str">
        <f>_xlfn.CONCAT(B1251,C1251,D1251,E1251,F1251)</f>
        <v>BC Caiaponia1SG60KTL(COM2-027)46047,861111111146047,861111111146047,9166666667</v>
      </c>
      <c r="Q1251" s="1" t="str">
        <f t="shared" si="42"/>
        <v/>
      </c>
    </row>
    <row r="1252" spans="2:17">
      <c r="B1252" s="1" t="s">
        <v>456</v>
      </c>
      <c r="C1252" s="1" t="s">
        <v>480</v>
      </c>
      <c r="D1252" s="52">
        <v>46047.861111111109</v>
      </c>
      <c r="E1252" s="52">
        <v>46047.861111111109</v>
      </c>
      <c r="F1252" s="52">
        <v>46047.916666666664</v>
      </c>
      <c r="G1252" s="53">
        <f>F1252-E1252</f>
        <v>5.5555555554747116E-2</v>
      </c>
      <c r="K1252" s="1" t="e">
        <f>_xlfn.XLOOKUP(J1252,REF!$D$2:$D$12,REF!$E$2:$E$12)</f>
        <v>#N/A</v>
      </c>
      <c r="L1252" s="1" t="s">
        <v>538</v>
      </c>
      <c r="M1252" s="1" t="s">
        <v>260</v>
      </c>
      <c r="N1252" s="1" t="s">
        <v>261</v>
      </c>
      <c r="O1252" s="1" t="s">
        <v>579</v>
      </c>
      <c r="P1252" s="1" t="str">
        <f>_xlfn.CONCAT(B1252,C1252,D1252,E1252,F1252)</f>
        <v>BC Caiaponia1SG60KTL(COM2-028)46047,861111111146047,861111111146047,9166666667</v>
      </c>
      <c r="Q1252" s="1" t="str">
        <f t="shared" si="42"/>
        <v/>
      </c>
    </row>
    <row r="1253" spans="2:17">
      <c r="B1253" s="1" t="s">
        <v>456</v>
      </c>
      <c r="C1253" s="1" t="s">
        <v>481</v>
      </c>
      <c r="D1253" s="52">
        <v>46047.861111111109</v>
      </c>
      <c r="E1253" s="52">
        <v>46047.861111111109</v>
      </c>
      <c r="F1253" s="52">
        <v>46047.916666666664</v>
      </c>
      <c r="G1253" s="53">
        <f>F1253-E1253</f>
        <v>5.5555555554747116E-2</v>
      </c>
      <c r="K1253" s="1" t="e">
        <f>_xlfn.XLOOKUP(J1253,REF!$D$2:$D$12,REF!$E$2:$E$12)</f>
        <v>#N/A</v>
      </c>
      <c r="L1253" s="1" t="s">
        <v>538</v>
      </c>
      <c r="M1253" s="1" t="s">
        <v>260</v>
      </c>
      <c r="N1253" s="1" t="s">
        <v>261</v>
      </c>
      <c r="O1253" s="1" t="s">
        <v>579</v>
      </c>
      <c r="P1253" s="1" t="str">
        <f>_xlfn.CONCAT(B1253,C1253,D1253,E1253,F1253)</f>
        <v>BC Caiaponia1SG60KTL(COM2-029)46047,861111111146047,861111111146047,9166666667</v>
      </c>
      <c r="Q1253" s="1" t="str">
        <f t="shared" si="42"/>
        <v/>
      </c>
    </row>
    <row r="1254" spans="2:17">
      <c r="B1254" s="1" t="s">
        <v>456</v>
      </c>
      <c r="C1254" s="1" t="s">
        <v>482</v>
      </c>
      <c r="D1254" s="52">
        <v>46047.861111111109</v>
      </c>
      <c r="E1254" s="52">
        <v>46047.861111111109</v>
      </c>
      <c r="F1254" s="52">
        <v>46047.916666666664</v>
      </c>
      <c r="G1254" s="53">
        <f>F1254-E1254</f>
        <v>5.5555555554747116E-2</v>
      </c>
      <c r="K1254" s="1" t="e">
        <f>_xlfn.XLOOKUP(J1254,REF!$D$2:$D$12,REF!$E$2:$E$12)</f>
        <v>#N/A</v>
      </c>
      <c r="L1254" s="1" t="s">
        <v>538</v>
      </c>
      <c r="M1254" s="1" t="s">
        <v>260</v>
      </c>
      <c r="N1254" s="1" t="s">
        <v>261</v>
      </c>
      <c r="O1254" s="1" t="s">
        <v>579</v>
      </c>
      <c r="P1254" s="1" t="str">
        <f>_xlfn.CONCAT(B1254,C1254,D1254,E1254,F1254)</f>
        <v>BC Caiaponia1SG50CX(COM1-021)46047,861111111146047,861111111146047,9166666667</v>
      </c>
      <c r="Q1254" s="1" t="str">
        <f t="shared" si="42"/>
        <v/>
      </c>
    </row>
    <row r="1255" spans="2:17">
      <c r="B1255" s="1" t="s">
        <v>456</v>
      </c>
      <c r="C1255" s="1" t="s">
        <v>483</v>
      </c>
      <c r="D1255" s="52">
        <v>46047.861111111109</v>
      </c>
      <c r="E1255" s="52">
        <v>46047.861111111109</v>
      </c>
      <c r="F1255" s="52">
        <v>46047.916666666664</v>
      </c>
      <c r="G1255" s="53">
        <f>F1255-E1255</f>
        <v>5.5555555554747116E-2</v>
      </c>
      <c r="K1255" s="1" t="e">
        <f>_xlfn.XLOOKUP(J1255,REF!$D$2:$D$12,REF!$E$2:$E$12)</f>
        <v>#N/A</v>
      </c>
      <c r="L1255" s="1" t="s">
        <v>538</v>
      </c>
      <c r="M1255" s="1" t="s">
        <v>260</v>
      </c>
      <c r="N1255" s="1" t="s">
        <v>261</v>
      </c>
      <c r="O1255" s="1" t="s">
        <v>579</v>
      </c>
      <c r="P1255" s="1" t="str">
        <f>_xlfn.CONCAT(B1255,C1255,D1255,E1255,F1255)</f>
        <v>BC Caiaponia1SG50CX(COM1-022)46047,861111111146047,861111111146047,9166666667</v>
      </c>
      <c r="Q1255" s="1" t="str">
        <f t="shared" si="42"/>
        <v/>
      </c>
    </row>
    <row r="1256" spans="2:17">
      <c r="B1256" s="1" t="s">
        <v>456</v>
      </c>
      <c r="C1256" s="1" t="s">
        <v>484</v>
      </c>
      <c r="D1256" s="52">
        <v>46047.861111111109</v>
      </c>
      <c r="E1256" s="52">
        <v>46047.861111111109</v>
      </c>
      <c r="F1256" s="52">
        <v>46047.916666666664</v>
      </c>
      <c r="G1256" s="53">
        <f>F1256-E1256</f>
        <v>5.5555555554747116E-2</v>
      </c>
      <c r="K1256" s="1" t="e">
        <f>_xlfn.XLOOKUP(J1256,REF!$D$2:$D$12,REF!$E$2:$E$12)</f>
        <v>#N/A</v>
      </c>
      <c r="L1256" s="1" t="s">
        <v>538</v>
      </c>
      <c r="M1256" s="1" t="s">
        <v>260</v>
      </c>
      <c r="N1256" s="1" t="s">
        <v>261</v>
      </c>
      <c r="O1256" s="1" t="s">
        <v>579</v>
      </c>
      <c r="P1256" s="1" t="str">
        <f>_xlfn.CONCAT(B1256,C1256,D1256,E1256,F1256)</f>
        <v>BC Caiaponia1SG50CX(COM1-023)46047,861111111146047,861111111146047,9166666667</v>
      </c>
      <c r="Q1256" s="1" t="str">
        <f t="shared" si="42"/>
        <v/>
      </c>
    </row>
    <row r="1257" spans="2:17">
      <c r="B1257" s="1" t="s">
        <v>456</v>
      </c>
      <c r="C1257" s="1" t="s">
        <v>485</v>
      </c>
      <c r="D1257" s="52">
        <v>46047.861111111109</v>
      </c>
      <c r="E1257" s="52">
        <v>46047.861111111109</v>
      </c>
      <c r="F1257" s="52">
        <v>46047.916666666664</v>
      </c>
      <c r="G1257" s="53">
        <f>F1257-E1257</f>
        <v>5.5555555554747116E-2</v>
      </c>
      <c r="K1257" s="1" t="e">
        <f>_xlfn.XLOOKUP(J1257,REF!$D$2:$D$12,REF!$E$2:$E$12)</f>
        <v>#N/A</v>
      </c>
      <c r="L1257" s="1" t="s">
        <v>538</v>
      </c>
      <c r="M1257" s="1" t="s">
        <v>260</v>
      </c>
      <c r="N1257" s="1" t="s">
        <v>261</v>
      </c>
      <c r="O1257" s="1" t="s">
        <v>579</v>
      </c>
      <c r="P1257" s="1" t="str">
        <f>_xlfn.CONCAT(B1257,C1257,D1257,E1257,F1257)</f>
        <v>BC Caiaponia1SG50CX(COM1-024)46047,861111111146047,861111111146047,9166666667</v>
      </c>
      <c r="Q1257" s="1" t="str">
        <f t="shared" si="42"/>
        <v/>
      </c>
    </row>
    <row r="1258" spans="2:17">
      <c r="B1258" s="1" t="s">
        <v>456</v>
      </c>
      <c r="C1258" s="1" t="s">
        <v>486</v>
      </c>
      <c r="D1258" s="52">
        <v>46047.861111111109</v>
      </c>
      <c r="E1258" s="52">
        <v>46047.861111111109</v>
      </c>
      <c r="F1258" s="52">
        <v>46047.916666666664</v>
      </c>
      <c r="G1258" s="53">
        <f>F1258-E1258</f>
        <v>5.5555555554747116E-2</v>
      </c>
      <c r="K1258" s="1" t="e">
        <f>_xlfn.XLOOKUP(J1258,REF!$D$2:$D$12,REF!$E$2:$E$12)</f>
        <v>#N/A</v>
      </c>
      <c r="L1258" s="1" t="s">
        <v>538</v>
      </c>
      <c r="M1258" s="1" t="s">
        <v>260</v>
      </c>
      <c r="N1258" s="1" t="s">
        <v>261</v>
      </c>
      <c r="O1258" s="1" t="s">
        <v>579</v>
      </c>
      <c r="P1258" s="1" t="str">
        <f>_xlfn.CONCAT(B1258,C1258,D1258,E1258,F1258)</f>
        <v>BC Caiaponia1SG50CX(COM1-025)46047,861111111146047,861111111146047,9166666667</v>
      </c>
      <c r="Q1258" s="1" t="str">
        <f t="shared" si="42"/>
        <v/>
      </c>
    </row>
    <row r="1259" spans="2:17">
      <c r="B1259" s="1" t="s">
        <v>487</v>
      </c>
      <c r="C1259" s="1" t="s">
        <v>377</v>
      </c>
      <c r="D1259" s="52">
        <v>46047.861111111109</v>
      </c>
      <c r="E1259" s="52">
        <v>46047.861111111109</v>
      </c>
      <c r="F1259" s="52">
        <v>46047.916666666664</v>
      </c>
      <c r="G1259" s="53">
        <f>F1259-E1259</f>
        <v>5.5555555554747116E-2</v>
      </c>
      <c r="K1259" s="1" t="e">
        <f>_xlfn.XLOOKUP(J1259,REF!$D$2:$D$12,REF!$E$2:$E$12)</f>
        <v>#N/A</v>
      </c>
      <c r="L1259" s="1" t="s">
        <v>538</v>
      </c>
      <c r="M1259" s="1" t="s">
        <v>260</v>
      </c>
      <c r="N1259" s="1" t="s">
        <v>261</v>
      </c>
      <c r="O1259" s="1" t="s">
        <v>579</v>
      </c>
      <c r="P1259" s="1" t="str">
        <f>_xlfn.CONCAT(B1259,C1259,D1259,E1259,F1259)</f>
        <v>BC Caiaponia2.1215KTL-H3(MBUS-12)46047,861111111146047,861111111146047,9166666667</v>
      </c>
      <c r="Q1259" s="1" t="str">
        <f t="shared" si="42"/>
        <v/>
      </c>
    </row>
    <row r="1260" spans="2:17">
      <c r="B1260" s="1" t="s">
        <v>487</v>
      </c>
      <c r="C1260" s="1" t="s">
        <v>378</v>
      </c>
      <c r="D1260" s="52">
        <v>46047.861111111109</v>
      </c>
      <c r="E1260" s="52">
        <v>46047.861111111109</v>
      </c>
      <c r="F1260" s="52">
        <v>46047.916666666664</v>
      </c>
      <c r="G1260" s="53">
        <f>F1260-E1260</f>
        <v>5.5555555554747116E-2</v>
      </c>
      <c r="K1260" s="1" t="e">
        <f>_xlfn.XLOOKUP(J1260,REF!$D$2:$D$12,REF!$E$2:$E$12)</f>
        <v>#N/A</v>
      </c>
      <c r="L1260" s="1" t="s">
        <v>538</v>
      </c>
      <c r="M1260" s="1" t="s">
        <v>260</v>
      </c>
      <c r="N1260" s="1" t="s">
        <v>261</v>
      </c>
      <c r="O1260" s="1" t="s">
        <v>579</v>
      </c>
      <c r="P1260" s="1" t="str">
        <f>_xlfn.CONCAT(B1260,C1260,D1260,E1260,F1260)</f>
        <v>BC Caiaponia2.1215KTL-H3(MBUS-13)46047,861111111146047,861111111146047,9166666667</v>
      </c>
      <c r="Q1260" s="1" t="str">
        <f t="shared" si="42"/>
        <v/>
      </c>
    </row>
    <row r="1261" spans="2:17">
      <c r="B1261" s="1" t="s">
        <v>487</v>
      </c>
      <c r="C1261" s="1" t="s">
        <v>382</v>
      </c>
      <c r="D1261" s="52">
        <v>46047.861111111109</v>
      </c>
      <c r="E1261" s="52">
        <v>46047.861111111109</v>
      </c>
      <c r="F1261" s="52">
        <v>46047.916666666664</v>
      </c>
      <c r="G1261" s="53">
        <f>F1261-E1261</f>
        <v>5.5555555554747116E-2</v>
      </c>
      <c r="K1261" s="1" t="e">
        <f>_xlfn.XLOOKUP(J1261,REF!$D$2:$D$12,REF!$E$2:$E$12)</f>
        <v>#N/A</v>
      </c>
      <c r="L1261" s="1" t="s">
        <v>538</v>
      </c>
      <c r="M1261" s="1" t="s">
        <v>260</v>
      </c>
      <c r="N1261" s="1" t="s">
        <v>261</v>
      </c>
      <c r="O1261" s="1" t="s">
        <v>579</v>
      </c>
      <c r="P1261" s="1" t="str">
        <f>_xlfn.CONCAT(B1261,C1261,D1261,E1261,F1261)</f>
        <v>BC Caiaponia2.1215KTL-H3(MBUS-14)46047,861111111146047,861111111146047,9166666667</v>
      </c>
      <c r="Q1261" s="1" t="str">
        <f t="shared" si="42"/>
        <v/>
      </c>
    </row>
    <row r="1262" spans="2:17">
      <c r="B1262" s="1" t="s">
        <v>487</v>
      </c>
      <c r="C1262" s="1" t="s">
        <v>380</v>
      </c>
      <c r="D1262" s="52">
        <v>46047.861111111109</v>
      </c>
      <c r="E1262" s="52">
        <v>46047.861111111109</v>
      </c>
      <c r="F1262" s="52">
        <v>46047.916666666664</v>
      </c>
      <c r="G1262" s="53">
        <f>F1262-E1262</f>
        <v>5.5555555554747116E-2</v>
      </c>
      <c r="K1262" s="1" t="e">
        <f>_xlfn.XLOOKUP(J1262,REF!$D$2:$D$12,REF!$E$2:$E$12)</f>
        <v>#N/A</v>
      </c>
      <c r="L1262" s="1" t="s">
        <v>538</v>
      </c>
      <c r="M1262" s="1" t="s">
        <v>260</v>
      </c>
      <c r="N1262" s="1" t="s">
        <v>261</v>
      </c>
      <c r="O1262" s="1" t="s">
        <v>579</v>
      </c>
      <c r="P1262" s="1" t="str">
        <f>_xlfn.CONCAT(B1262,C1262,D1262,E1262,F1262)</f>
        <v>BC Caiaponia2.1215KTL-H3(MBUS-15)46047,861111111146047,861111111146047,9166666667</v>
      </c>
      <c r="Q1262" s="1" t="str">
        <f t="shared" si="42"/>
        <v/>
      </c>
    </row>
    <row r="1263" spans="2:17">
      <c r="B1263" s="1" t="s">
        <v>487</v>
      </c>
      <c r="C1263" s="1" t="s">
        <v>379</v>
      </c>
      <c r="D1263" s="52">
        <v>46047.861111111109</v>
      </c>
      <c r="E1263" s="52">
        <v>46047.861111111109</v>
      </c>
      <c r="F1263" s="52">
        <v>46047.916666666664</v>
      </c>
      <c r="G1263" s="53">
        <f>F1263-E1263</f>
        <v>5.5555555554747116E-2</v>
      </c>
      <c r="K1263" s="1" t="e">
        <f>_xlfn.XLOOKUP(J1263,REF!$D$2:$D$12,REF!$E$2:$E$12)</f>
        <v>#N/A</v>
      </c>
      <c r="L1263" s="1" t="s">
        <v>538</v>
      </c>
      <c r="M1263" s="1" t="s">
        <v>260</v>
      </c>
      <c r="N1263" s="1" t="s">
        <v>261</v>
      </c>
      <c r="O1263" s="1" t="s">
        <v>579</v>
      </c>
      <c r="P1263" s="1" t="str">
        <f>_xlfn.CONCAT(B1263,C1263,D1263,E1263,F1263)</f>
        <v>BC Caiaponia2.1215KTL-H3(MBUS-16)46047,861111111146047,861111111146047,9166666667</v>
      </c>
      <c r="Q1263" s="1" t="str">
        <f t="shared" si="42"/>
        <v/>
      </c>
    </row>
    <row r="1264" spans="2:17">
      <c r="B1264" s="1" t="s">
        <v>583</v>
      </c>
      <c r="C1264" s="1" t="s">
        <v>377</v>
      </c>
      <c r="D1264" s="52">
        <v>46047.861111111109</v>
      </c>
      <c r="E1264" s="52">
        <v>46047.861111111109</v>
      </c>
      <c r="F1264" s="52">
        <v>46047.916666666664</v>
      </c>
      <c r="G1264" s="53">
        <f>F1264-E1264</f>
        <v>5.5555555554747116E-2</v>
      </c>
      <c r="K1264" s="1" t="e">
        <f>_xlfn.XLOOKUP(J1264,REF!$D$2:$D$12,REF!$E$2:$E$12)</f>
        <v>#N/A</v>
      </c>
      <c r="L1264" s="1" t="s">
        <v>538</v>
      </c>
      <c r="M1264" s="1" t="s">
        <v>260</v>
      </c>
      <c r="N1264" s="1" t="s">
        <v>261</v>
      </c>
      <c r="O1264" s="1" t="s">
        <v>579</v>
      </c>
      <c r="P1264" s="1" t="str">
        <f>_xlfn.CONCAT(B1264,C1264,D1264,E1264,F1264)</f>
        <v>BC Caiaponia2.2215KTL-H3(MBUS-12)46047,861111111146047,861111111146047,9166666667</v>
      </c>
      <c r="Q1264" s="1" t="str">
        <f t="shared" si="42"/>
        <v/>
      </c>
    </row>
    <row r="1265" spans="2:17">
      <c r="B1265" s="1" t="s">
        <v>583</v>
      </c>
      <c r="C1265" s="1" t="s">
        <v>378</v>
      </c>
      <c r="D1265" s="52">
        <v>46047.861111111109</v>
      </c>
      <c r="E1265" s="52">
        <v>46047.861111111109</v>
      </c>
      <c r="F1265" s="52">
        <v>46047.916666666664</v>
      </c>
      <c r="G1265" s="53">
        <f>F1265-E1265</f>
        <v>5.5555555554747116E-2</v>
      </c>
      <c r="K1265" s="1" t="e">
        <f>_xlfn.XLOOKUP(J1265,REF!$D$2:$D$12,REF!$E$2:$E$12)</f>
        <v>#N/A</v>
      </c>
      <c r="L1265" s="1" t="s">
        <v>538</v>
      </c>
      <c r="M1265" s="1" t="s">
        <v>260</v>
      </c>
      <c r="N1265" s="1" t="s">
        <v>261</v>
      </c>
      <c r="O1265" s="1" t="s">
        <v>579</v>
      </c>
      <c r="P1265" s="1" t="str">
        <f>_xlfn.CONCAT(B1265,C1265,D1265,E1265,F1265)</f>
        <v>BC Caiaponia2.2215KTL-H3(MBUS-13)46047,861111111146047,861111111146047,9166666667</v>
      </c>
      <c r="Q1265" s="1" t="str">
        <f t="shared" si="42"/>
        <v/>
      </c>
    </row>
    <row r="1266" spans="2:17">
      <c r="B1266" s="1" t="s">
        <v>583</v>
      </c>
      <c r="C1266" s="1" t="s">
        <v>382</v>
      </c>
      <c r="D1266" s="52">
        <v>46047.861111111109</v>
      </c>
      <c r="E1266" s="52">
        <v>46047.861111111109</v>
      </c>
      <c r="F1266" s="52">
        <v>46047.916666666664</v>
      </c>
      <c r="G1266" s="53">
        <f>F1266-E1266</f>
        <v>5.5555555554747116E-2</v>
      </c>
      <c r="K1266" s="1" t="e">
        <f>_xlfn.XLOOKUP(J1266,REF!$D$2:$D$12,REF!$E$2:$E$12)</f>
        <v>#N/A</v>
      </c>
      <c r="L1266" s="1" t="s">
        <v>538</v>
      </c>
      <c r="M1266" s="1" t="s">
        <v>260</v>
      </c>
      <c r="N1266" s="1" t="s">
        <v>261</v>
      </c>
      <c r="O1266" s="1" t="s">
        <v>579</v>
      </c>
      <c r="P1266" s="1" t="str">
        <f>_xlfn.CONCAT(B1266,C1266,D1266,E1266,F1266)</f>
        <v>BC Caiaponia2.2215KTL-H3(MBUS-14)46047,861111111146047,861111111146047,9166666667</v>
      </c>
      <c r="Q1266" s="1" t="str">
        <f t="shared" si="42"/>
        <v/>
      </c>
    </row>
    <row r="1267" spans="2:17">
      <c r="B1267" s="1" t="s">
        <v>583</v>
      </c>
      <c r="C1267" s="1" t="s">
        <v>380</v>
      </c>
      <c r="D1267" s="52">
        <v>46047.861111111109</v>
      </c>
      <c r="E1267" s="52">
        <v>46047.861111111109</v>
      </c>
      <c r="F1267" s="52">
        <v>46047.916666666664</v>
      </c>
      <c r="G1267" s="53">
        <f>F1267-E1267</f>
        <v>5.5555555554747116E-2</v>
      </c>
      <c r="K1267" s="1" t="e">
        <f>_xlfn.XLOOKUP(J1267,REF!$D$2:$D$12,REF!$E$2:$E$12)</f>
        <v>#N/A</v>
      </c>
      <c r="L1267" s="1" t="s">
        <v>538</v>
      </c>
      <c r="M1267" s="1" t="s">
        <v>260</v>
      </c>
      <c r="N1267" s="1" t="s">
        <v>261</v>
      </c>
      <c r="O1267" s="1" t="s">
        <v>579</v>
      </c>
      <c r="P1267" s="1" t="str">
        <f>_xlfn.CONCAT(B1267,C1267,D1267,E1267,F1267)</f>
        <v>BC Caiaponia2.2215KTL-H3(MBUS-15)46047,861111111146047,861111111146047,9166666667</v>
      </c>
      <c r="Q1267" s="1" t="str">
        <f t="shared" si="42"/>
        <v/>
      </c>
    </row>
    <row r="1268" spans="2:17">
      <c r="B1268" s="1" t="s">
        <v>583</v>
      </c>
      <c r="C1268" s="1" t="s">
        <v>379</v>
      </c>
      <c r="D1268" s="52">
        <v>46047.861111111109</v>
      </c>
      <c r="E1268" s="52">
        <v>46047.861111111109</v>
      </c>
      <c r="F1268" s="52">
        <v>46047.916666666664</v>
      </c>
      <c r="G1268" s="53">
        <f>F1268-E1268</f>
        <v>5.5555555554747116E-2</v>
      </c>
      <c r="K1268" s="1" t="e">
        <f>_xlfn.XLOOKUP(J1268,REF!$D$2:$D$12,REF!$E$2:$E$12)</f>
        <v>#N/A</v>
      </c>
      <c r="L1268" s="1" t="s">
        <v>538</v>
      </c>
      <c r="M1268" s="1" t="s">
        <v>260</v>
      </c>
      <c r="N1268" s="1" t="s">
        <v>261</v>
      </c>
      <c r="O1268" s="1" t="s">
        <v>579</v>
      </c>
      <c r="P1268" s="1" t="str">
        <f>_xlfn.CONCAT(B1268,C1268,D1268,E1268,F1268)</f>
        <v>BC Caiaponia2.2215KTL-H3(MBUS-16)46047,861111111146047,861111111146047,9166666667</v>
      </c>
      <c r="Q1268" s="1" t="str">
        <f t="shared" si="42"/>
        <v/>
      </c>
    </row>
    <row r="1269" spans="2:17">
      <c r="B1269" s="1" t="s">
        <v>584</v>
      </c>
      <c r="C1269" s="1" t="s">
        <v>377</v>
      </c>
      <c r="D1269" s="52">
        <v>46047.861111111109</v>
      </c>
      <c r="E1269" s="52">
        <v>46047.861111111109</v>
      </c>
      <c r="F1269" s="52">
        <v>46047.916666666664</v>
      </c>
      <c r="G1269" s="53">
        <f>F1269-E1269</f>
        <v>5.5555555554747116E-2</v>
      </c>
      <c r="K1269" s="1" t="e">
        <f>_xlfn.XLOOKUP(J1269,REF!$D$2:$D$12,REF!$E$2:$E$12)</f>
        <v>#N/A</v>
      </c>
      <c r="L1269" s="1" t="s">
        <v>538</v>
      </c>
      <c r="M1269" s="1" t="s">
        <v>260</v>
      </c>
      <c r="N1269" s="1" t="s">
        <v>261</v>
      </c>
      <c r="O1269" s="1" t="s">
        <v>579</v>
      </c>
      <c r="P1269" s="1" t="str">
        <f>_xlfn.CONCAT(B1269,C1269,D1269,E1269,F1269)</f>
        <v>BC Caiaponia2.3215KTL-H3(MBUS-12)46047,861111111146047,861111111146047,9166666667</v>
      </c>
      <c r="Q1269" s="1" t="str">
        <f t="shared" si="42"/>
        <v/>
      </c>
    </row>
    <row r="1270" spans="2:17">
      <c r="B1270" s="1" t="s">
        <v>584</v>
      </c>
      <c r="C1270" s="1" t="s">
        <v>378</v>
      </c>
      <c r="D1270" s="52">
        <v>46047.861111111109</v>
      </c>
      <c r="E1270" s="52">
        <v>46047.861111111109</v>
      </c>
      <c r="F1270" s="52">
        <v>46047.916666666664</v>
      </c>
      <c r="G1270" s="53">
        <f>F1270-E1270</f>
        <v>5.5555555554747116E-2</v>
      </c>
      <c r="K1270" s="1" t="e">
        <f>_xlfn.XLOOKUP(J1270,REF!$D$2:$D$12,REF!$E$2:$E$12)</f>
        <v>#N/A</v>
      </c>
      <c r="L1270" s="1" t="s">
        <v>538</v>
      </c>
      <c r="M1270" s="1" t="s">
        <v>260</v>
      </c>
      <c r="N1270" s="1" t="s">
        <v>261</v>
      </c>
      <c r="O1270" s="1" t="s">
        <v>579</v>
      </c>
      <c r="P1270" s="1" t="str">
        <f>_xlfn.CONCAT(B1270,C1270,D1270,E1270,F1270)</f>
        <v>BC Caiaponia2.3215KTL-H3(MBUS-13)46047,861111111146047,861111111146047,9166666667</v>
      </c>
      <c r="Q1270" s="1" t="str">
        <f t="shared" si="42"/>
        <v/>
      </c>
    </row>
    <row r="1271" spans="2:17">
      <c r="B1271" s="1" t="s">
        <v>584</v>
      </c>
      <c r="C1271" s="1" t="s">
        <v>382</v>
      </c>
      <c r="D1271" s="52">
        <v>46047.861111111109</v>
      </c>
      <c r="E1271" s="52">
        <v>46047.861111111109</v>
      </c>
      <c r="F1271" s="52">
        <v>46047.916666666664</v>
      </c>
      <c r="G1271" s="53">
        <f>F1271-E1271</f>
        <v>5.5555555554747116E-2</v>
      </c>
      <c r="K1271" s="1" t="e">
        <f>_xlfn.XLOOKUP(J1271,REF!$D$2:$D$12,REF!$E$2:$E$12)</f>
        <v>#N/A</v>
      </c>
      <c r="L1271" s="1" t="s">
        <v>538</v>
      </c>
      <c r="M1271" s="1" t="s">
        <v>260</v>
      </c>
      <c r="N1271" s="1" t="s">
        <v>261</v>
      </c>
      <c r="O1271" s="1" t="s">
        <v>579</v>
      </c>
      <c r="P1271" s="1" t="str">
        <f>_xlfn.CONCAT(B1271,C1271,D1271,E1271,F1271)</f>
        <v>BC Caiaponia2.3215KTL-H3(MBUS-14)46047,861111111146047,861111111146047,9166666667</v>
      </c>
      <c r="Q1271" s="1" t="str">
        <f t="shared" si="42"/>
        <v/>
      </c>
    </row>
    <row r="1272" spans="2:17">
      <c r="B1272" s="1" t="s">
        <v>584</v>
      </c>
      <c r="C1272" s="1" t="s">
        <v>380</v>
      </c>
      <c r="D1272" s="52">
        <v>46047.861111111109</v>
      </c>
      <c r="E1272" s="52">
        <v>46047.861111111109</v>
      </c>
      <c r="F1272" s="52">
        <v>46047.916666666664</v>
      </c>
      <c r="G1272" s="53">
        <f>F1272-E1272</f>
        <v>5.5555555554747116E-2</v>
      </c>
      <c r="K1272" s="1" t="e">
        <f>_xlfn.XLOOKUP(J1272,REF!$D$2:$D$12,REF!$E$2:$E$12)</f>
        <v>#N/A</v>
      </c>
      <c r="L1272" s="1" t="s">
        <v>538</v>
      </c>
      <c r="M1272" s="1" t="s">
        <v>260</v>
      </c>
      <c r="N1272" s="1" t="s">
        <v>261</v>
      </c>
      <c r="O1272" s="1" t="s">
        <v>579</v>
      </c>
      <c r="P1272" s="1" t="str">
        <f>_xlfn.CONCAT(B1272,C1272,D1272,E1272,F1272)</f>
        <v>BC Caiaponia2.3215KTL-H3(MBUS-15)46047,861111111146047,861111111146047,9166666667</v>
      </c>
      <c r="Q1272" s="1" t="str">
        <f t="shared" si="42"/>
        <v/>
      </c>
    </row>
    <row r="1273" spans="2:17">
      <c r="B1273" s="1" t="s">
        <v>584</v>
      </c>
      <c r="C1273" s="1" t="s">
        <v>379</v>
      </c>
      <c r="D1273" s="52">
        <v>46047.861111111109</v>
      </c>
      <c r="E1273" s="52">
        <v>46047.861111111109</v>
      </c>
      <c r="F1273" s="52">
        <v>46047.916666666664</v>
      </c>
      <c r="G1273" s="53">
        <f>F1273-E1273</f>
        <v>5.5555555554747116E-2</v>
      </c>
      <c r="K1273" s="1" t="e">
        <f>_xlfn.XLOOKUP(J1273,REF!$D$2:$D$12,REF!$E$2:$E$12)</f>
        <v>#N/A</v>
      </c>
      <c r="L1273" s="1" t="s">
        <v>538</v>
      </c>
      <c r="M1273" s="1" t="s">
        <v>260</v>
      </c>
      <c r="N1273" s="1" t="s">
        <v>261</v>
      </c>
      <c r="O1273" s="1" t="s">
        <v>579</v>
      </c>
      <c r="P1273" s="1" t="str">
        <f>_xlfn.CONCAT(B1273,C1273,D1273,E1273,F1273)</f>
        <v>BC Caiaponia2.3215KTL-H3(MBUS-16)46047,861111111146047,861111111146047,9166666667</v>
      </c>
      <c r="Q1273" s="1" t="str">
        <f t="shared" si="42"/>
        <v/>
      </c>
    </row>
    <row r="1274" spans="2:17">
      <c r="B1274" s="1" t="s">
        <v>585</v>
      </c>
      <c r="C1274" s="1" t="s">
        <v>586</v>
      </c>
      <c r="D1274" s="52">
        <v>46048.267361111109</v>
      </c>
      <c r="E1274" s="52">
        <v>46048.267361111109</v>
      </c>
      <c r="F1274" s="52">
        <v>46048.298611111109</v>
      </c>
      <c r="G1274" s="53">
        <f>F1274-E1274</f>
        <v>3.125E-2</v>
      </c>
      <c r="K1274" s="1" t="e">
        <f>_xlfn.XLOOKUP(J1274,REF!$D$2:$D$12,REF!$E$2:$E$12)</f>
        <v>#N/A</v>
      </c>
      <c r="L1274" s="1" t="s">
        <v>538</v>
      </c>
      <c r="M1274" s="1" t="s">
        <v>260</v>
      </c>
      <c r="N1274" s="1" t="s">
        <v>261</v>
      </c>
      <c r="O1274" s="1" t="s">
        <v>587</v>
      </c>
      <c r="P1274" s="1" t="str">
        <f>_xlfn.CONCAT(B1274,C1274,D1274,E1274,F1274)</f>
        <v>BC Rio Monte1Inverter3546048,267361111146048,267361111146048,2986111111</v>
      </c>
      <c r="Q1274" s="1" t="str">
        <f t="shared" si="42"/>
        <v/>
      </c>
    </row>
    <row r="1275" spans="2:17">
      <c r="B1275" s="1" t="s">
        <v>585</v>
      </c>
      <c r="C1275" s="1" t="s">
        <v>588</v>
      </c>
      <c r="D1275" s="52">
        <v>46048.267361111109</v>
      </c>
      <c r="E1275" s="52">
        <v>46048.267361111109</v>
      </c>
      <c r="F1275" s="52">
        <v>46048.298611111109</v>
      </c>
      <c r="G1275" s="53">
        <f>F1275-E1275</f>
        <v>3.125E-2</v>
      </c>
      <c r="K1275" s="1" t="e">
        <f>_xlfn.XLOOKUP(J1275,REF!$D$2:$D$12,REF!$E$2:$E$12)</f>
        <v>#N/A</v>
      </c>
      <c r="L1275" s="1" t="s">
        <v>538</v>
      </c>
      <c r="M1275" s="1" t="s">
        <v>260</v>
      </c>
      <c r="N1275" s="1" t="s">
        <v>261</v>
      </c>
      <c r="O1275" s="1" t="s">
        <v>587</v>
      </c>
      <c r="P1275" s="1" t="str">
        <f>_xlfn.CONCAT(B1275,C1275,D1275,E1275,F1275)</f>
        <v>BC Rio Monte1Inverter4046048,267361111146048,267361111146048,2986111111</v>
      </c>
      <c r="Q1275" s="1" t="str">
        <f t="shared" si="42"/>
        <v/>
      </c>
    </row>
    <row r="1276" spans="2:17">
      <c r="B1276" s="1" t="s">
        <v>585</v>
      </c>
      <c r="C1276" s="1" t="s">
        <v>589</v>
      </c>
      <c r="D1276" s="52">
        <v>46048.267361111109</v>
      </c>
      <c r="E1276" s="52">
        <v>46048.267361111109</v>
      </c>
      <c r="F1276" s="52">
        <v>46048.298611111109</v>
      </c>
      <c r="G1276" s="53">
        <f>F1276-E1276</f>
        <v>3.125E-2</v>
      </c>
      <c r="K1276" s="1" t="e">
        <f>_xlfn.XLOOKUP(J1276,REF!$D$2:$D$12,REF!$E$2:$E$12)</f>
        <v>#N/A</v>
      </c>
      <c r="L1276" s="1" t="s">
        <v>538</v>
      </c>
      <c r="M1276" s="1" t="s">
        <v>260</v>
      </c>
      <c r="N1276" s="1" t="s">
        <v>261</v>
      </c>
      <c r="O1276" s="1" t="s">
        <v>587</v>
      </c>
      <c r="P1276" s="1" t="str">
        <f>_xlfn.CONCAT(B1276,C1276,D1276,E1276,F1276)</f>
        <v>BC Rio Monte1Inverter4246048,267361111146048,267361111146048,2986111111</v>
      </c>
      <c r="Q1276" s="1" t="str">
        <f t="shared" si="42"/>
        <v/>
      </c>
    </row>
    <row r="1277" spans="2:17">
      <c r="B1277" s="1" t="s">
        <v>585</v>
      </c>
      <c r="C1277" s="1" t="s">
        <v>590</v>
      </c>
      <c r="D1277" s="52">
        <v>46048.267361111109</v>
      </c>
      <c r="E1277" s="52">
        <v>46048.267361111109</v>
      </c>
      <c r="F1277" s="52">
        <v>46048.298611111109</v>
      </c>
      <c r="G1277" s="53">
        <f>F1277-E1277</f>
        <v>3.125E-2</v>
      </c>
      <c r="K1277" s="1" t="e">
        <f>_xlfn.XLOOKUP(J1277,REF!$D$2:$D$12,REF!$E$2:$E$12)</f>
        <v>#N/A</v>
      </c>
      <c r="L1277" s="1" t="s">
        <v>538</v>
      </c>
      <c r="M1277" s="1" t="s">
        <v>260</v>
      </c>
      <c r="N1277" s="1" t="s">
        <v>261</v>
      </c>
      <c r="O1277" s="1" t="s">
        <v>587</v>
      </c>
      <c r="P1277" s="1" t="str">
        <f>_xlfn.CONCAT(B1277,C1277,D1277,E1277,F1277)</f>
        <v>BC Rio Monte1Inverter4146048,267361111146048,267361111146048,2986111111</v>
      </c>
      <c r="Q1277" s="1" t="str">
        <f t="shared" si="42"/>
        <v/>
      </c>
    </row>
    <row r="1278" spans="2:17">
      <c r="B1278" s="1" t="s">
        <v>585</v>
      </c>
      <c r="C1278" s="1" t="s">
        <v>591</v>
      </c>
      <c r="D1278" s="52">
        <v>46048.267361111109</v>
      </c>
      <c r="E1278" s="52">
        <v>46048.267361111109</v>
      </c>
      <c r="F1278" s="52">
        <v>46048.298611111109</v>
      </c>
      <c r="G1278" s="53">
        <f>F1278-E1278</f>
        <v>3.125E-2</v>
      </c>
      <c r="K1278" s="1" t="e">
        <f>_xlfn.XLOOKUP(J1278,REF!$D$2:$D$12,REF!$E$2:$E$12)</f>
        <v>#N/A</v>
      </c>
      <c r="L1278" s="1" t="s">
        <v>538</v>
      </c>
      <c r="M1278" s="1" t="s">
        <v>260</v>
      </c>
      <c r="N1278" s="1" t="s">
        <v>261</v>
      </c>
      <c r="O1278" s="1" t="s">
        <v>587</v>
      </c>
      <c r="P1278" s="1" t="str">
        <f>_xlfn.CONCAT(B1278,C1278,D1278,E1278,F1278)</f>
        <v>BC Rio Monte1Inverter4446048,267361111146048,267361111146048,2986111111</v>
      </c>
      <c r="Q1278" s="1" t="str">
        <f t="shared" si="42"/>
        <v/>
      </c>
    </row>
    <row r="1279" spans="2:17">
      <c r="B1279" s="1" t="s">
        <v>585</v>
      </c>
      <c r="C1279" s="1" t="s">
        <v>592</v>
      </c>
      <c r="D1279" s="52">
        <v>46048.267361111109</v>
      </c>
      <c r="E1279" s="52">
        <v>46048.267361111109</v>
      </c>
      <c r="F1279" s="52">
        <v>46048.298611111109</v>
      </c>
      <c r="G1279" s="53">
        <f>F1279-E1279</f>
        <v>3.125E-2</v>
      </c>
      <c r="K1279" s="1" t="e">
        <f>_xlfn.XLOOKUP(J1279,REF!$D$2:$D$12,REF!$E$2:$E$12)</f>
        <v>#N/A</v>
      </c>
      <c r="L1279" s="1" t="s">
        <v>538</v>
      </c>
      <c r="M1279" s="1" t="s">
        <v>260</v>
      </c>
      <c r="N1279" s="1" t="s">
        <v>261</v>
      </c>
      <c r="O1279" s="1" t="s">
        <v>587</v>
      </c>
      <c r="P1279" s="1" t="str">
        <f>_xlfn.CONCAT(B1279,C1279,D1279,E1279,F1279)</f>
        <v>BC Rio Monte1Inverter4346048,267361111146048,267361111146048,2986111111</v>
      </c>
      <c r="Q1279" s="1" t="str">
        <f t="shared" si="42"/>
        <v/>
      </c>
    </row>
    <row r="1280" spans="2:17">
      <c r="B1280" s="1" t="s">
        <v>585</v>
      </c>
      <c r="C1280" s="1" t="s">
        <v>593</v>
      </c>
      <c r="D1280" s="52">
        <v>46048.267361111109</v>
      </c>
      <c r="E1280" s="52">
        <v>46048.267361111109</v>
      </c>
      <c r="F1280" s="52">
        <v>46048.298611111109</v>
      </c>
      <c r="G1280" s="53">
        <f>F1280-E1280</f>
        <v>3.125E-2</v>
      </c>
      <c r="K1280" s="1" t="e">
        <f>_xlfn.XLOOKUP(J1280,REF!$D$2:$D$12,REF!$E$2:$E$12)</f>
        <v>#N/A</v>
      </c>
      <c r="L1280" s="1" t="s">
        <v>538</v>
      </c>
      <c r="M1280" s="1" t="s">
        <v>260</v>
      </c>
      <c r="N1280" s="1" t="s">
        <v>261</v>
      </c>
      <c r="O1280" s="1" t="s">
        <v>587</v>
      </c>
      <c r="P1280" s="1" t="str">
        <f>_xlfn.CONCAT(B1280,C1280,D1280,E1280,F1280)</f>
        <v>BC Rio Monte1Inverter4546048,267361111146048,267361111146048,2986111111</v>
      </c>
      <c r="Q1280" s="1" t="str">
        <f t="shared" si="42"/>
        <v/>
      </c>
    </row>
    <row r="1281" spans="1:17">
      <c r="B1281" s="1" t="s">
        <v>585</v>
      </c>
      <c r="C1281" s="1" t="s">
        <v>594</v>
      </c>
      <c r="D1281" s="52">
        <v>46048.267361111109</v>
      </c>
      <c r="E1281" s="52">
        <v>46048.267361111109</v>
      </c>
      <c r="F1281" s="52">
        <v>46048.298611111109</v>
      </c>
      <c r="G1281" s="53">
        <f>F1281-E1281</f>
        <v>3.125E-2</v>
      </c>
      <c r="K1281" s="1" t="e">
        <f>_xlfn.XLOOKUP(J1281,REF!$D$2:$D$12,REF!$E$2:$E$12)</f>
        <v>#N/A</v>
      </c>
      <c r="L1281" s="1" t="s">
        <v>538</v>
      </c>
      <c r="M1281" s="1" t="s">
        <v>260</v>
      </c>
      <c r="N1281" s="1" t="s">
        <v>261</v>
      </c>
      <c r="O1281" s="1" t="s">
        <v>587</v>
      </c>
      <c r="P1281" s="1" t="str">
        <f>_xlfn.CONCAT(B1281,C1281,D1281,E1281,F1281)</f>
        <v>BC Rio Monte1Inverter3446048,267361111146048,267361111146048,2986111111</v>
      </c>
      <c r="Q1281" s="1" t="str">
        <f t="shared" si="42"/>
        <v/>
      </c>
    </row>
    <row r="1282" spans="1:17">
      <c r="B1282" s="1" t="s">
        <v>585</v>
      </c>
      <c r="C1282" s="1" t="s">
        <v>595</v>
      </c>
      <c r="D1282" s="52">
        <v>46048.267361111109</v>
      </c>
      <c r="E1282" s="52">
        <v>46048.267361111109</v>
      </c>
      <c r="F1282" s="52">
        <v>46048.298611111109</v>
      </c>
      <c r="G1282" s="53">
        <f>F1282-E1282</f>
        <v>3.125E-2</v>
      </c>
      <c r="K1282" s="1" t="e">
        <f>_xlfn.XLOOKUP(J1282,REF!$D$2:$D$12,REF!$E$2:$E$12)</f>
        <v>#N/A</v>
      </c>
      <c r="L1282" s="1" t="s">
        <v>538</v>
      </c>
      <c r="M1282" s="1" t="s">
        <v>260</v>
      </c>
      <c r="N1282" s="1" t="s">
        <v>261</v>
      </c>
      <c r="O1282" s="1" t="s">
        <v>587</v>
      </c>
      <c r="P1282" s="1" t="str">
        <f>_xlfn.CONCAT(B1282,C1282,D1282,E1282,F1282)</f>
        <v>BC Rio Monte1Inverter3746048,267361111146048,267361111146048,2986111111</v>
      </c>
      <c r="Q1282" s="1" t="str">
        <f t="shared" si="42"/>
        <v/>
      </c>
    </row>
    <row r="1283" spans="1:17">
      <c r="B1283" s="1" t="s">
        <v>585</v>
      </c>
      <c r="C1283" s="1" t="s">
        <v>596</v>
      </c>
      <c r="D1283" s="52">
        <v>46048.267361111109</v>
      </c>
      <c r="E1283" s="52">
        <v>46048.267361111109</v>
      </c>
      <c r="F1283" s="52">
        <v>46048.298611111109</v>
      </c>
      <c r="G1283" s="53">
        <f>F1283-E1283</f>
        <v>3.125E-2</v>
      </c>
      <c r="K1283" s="1" t="e">
        <f>_xlfn.XLOOKUP(J1283,REF!$D$2:$D$12,REF!$E$2:$E$12)</f>
        <v>#N/A</v>
      </c>
      <c r="L1283" s="1" t="s">
        <v>538</v>
      </c>
      <c r="M1283" s="1" t="s">
        <v>260</v>
      </c>
      <c r="N1283" s="1" t="s">
        <v>261</v>
      </c>
      <c r="O1283" s="1" t="s">
        <v>587</v>
      </c>
      <c r="P1283" s="1" t="str">
        <f>_xlfn.CONCAT(B1283,C1283,D1283,E1283,F1283)</f>
        <v>BC Rio Monte1Inverter3346048,267361111146048,267361111146048,2986111111</v>
      </c>
      <c r="Q1283" s="1" t="str">
        <f t="shared" si="42"/>
        <v/>
      </c>
    </row>
    <row r="1284" spans="1:17">
      <c r="B1284" s="1" t="s">
        <v>585</v>
      </c>
      <c r="C1284" s="1" t="s">
        <v>597</v>
      </c>
      <c r="D1284" s="52">
        <v>46048.267361111109</v>
      </c>
      <c r="E1284" s="52">
        <v>46048.267361111109</v>
      </c>
      <c r="F1284" s="52">
        <v>46048.298611111109</v>
      </c>
      <c r="G1284" s="53">
        <f>F1284-E1284</f>
        <v>3.125E-2</v>
      </c>
      <c r="K1284" s="1" t="e">
        <f>_xlfn.XLOOKUP(J1284,REF!$D$2:$D$12,REF!$E$2:$E$12)</f>
        <v>#N/A</v>
      </c>
      <c r="L1284" s="1" t="s">
        <v>538</v>
      </c>
      <c r="M1284" s="1" t="s">
        <v>260</v>
      </c>
      <c r="N1284" s="1" t="s">
        <v>261</v>
      </c>
      <c r="O1284" s="1" t="s">
        <v>587</v>
      </c>
      <c r="P1284" s="1" t="str">
        <f>_xlfn.CONCAT(B1284,C1284,D1284,E1284,F1284)</f>
        <v>BC Rio Monte1Inverter2946048,267361111146048,267361111146048,2986111111</v>
      </c>
      <c r="Q1284" s="1" t="str">
        <f t="shared" si="42"/>
        <v/>
      </c>
    </row>
    <row r="1285" spans="1:17" s="75" customFormat="1">
      <c r="A1285" s="2"/>
      <c r="B1285" s="1" t="s">
        <v>585</v>
      </c>
      <c r="C1285" s="1" t="s">
        <v>598</v>
      </c>
      <c r="D1285" s="52">
        <v>46048.267361111109</v>
      </c>
      <c r="E1285" s="52">
        <v>46048.267361111109</v>
      </c>
      <c r="F1285" s="52">
        <v>46048.298611111109</v>
      </c>
      <c r="G1285" s="53">
        <f>F1285-E1285</f>
        <v>3.125E-2</v>
      </c>
      <c r="H1285" s="1"/>
      <c r="I1285" s="1"/>
      <c r="J1285" s="1"/>
      <c r="K1285" s="1" t="e">
        <f>_xlfn.XLOOKUP(J1285,REF!$D$2:$D$12,REF!$E$2:$E$12)</f>
        <v>#N/A</v>
      </c>
      <c r="L1285" s="1" t="s">
        <v>538</v>
      </c>
      <c r="M1285" s="1" t="s">
        <v>260</v>
      </c>
      <c r="N1285" s="1" t="s">
        <v>261</v>
      </c>
      <c r="O1285" s="1" t="s">
        <v>587</v>
      </c>
      <c r="P1285" s="1" t="str">
        <f>_xlfn.CONCAT(B1285,C1285,D1285,E1285,F1285)</f>
        <v>BC Rio Monte1Inverter3646048,267361111146048,267361111146048,2986111111</v>
      </c>
      <c r="Q1285" s="1" t="str">
        <f t="shared" si="42"/>
        <v/>
      </c>
    </row>
    <row r="1286" spans="1:17">
      <c r="B1286" s="1" t="s">
        <v>585</v>
      </c>
      <c r="C1286" s="1" t="s">
        <v>599</v>
      </c>
      <c r="D1286" s="52">
        <v>46048.267361111109</v>
      </c>
      <c r="E1286" s="52">
        <v>46048.267361111109</v>
      </c>
      <c r="F1286" s="52">
        <v>46048.298611111109</v>
      </c>
      <c r="G1286" s="53">
        <f>F1286-E1286</f>
        <v>3.125E-2</v>
      </c>
      <c r="K1286" s="1" t="e">
        <f>_xlfn.XLOOKUP(J1286,REF!$D$2:$D$12,REF!$E$2:$E$12)</f>
        <v>#N/A</v>
      </c>
      <c r="L1286" s="1" t="s">
        <v>538</v>
      </c>
      <c r="M1286" s="1" t="s">
        <v>260</v>
      </c>
      <c r="N1286" s="1" t="s">
        <v>261</v>
      </c>
      <c r="O1286" s="1" t="s">
        <v>587</v>
      </c>
      <c r="P1286" s="1" t="str">
        <f>_xlfn.CONCAT(B1286,C1286,D1286,E1286,F1286)</f>
        <v>BC Rio Monte1Inverter3946048,267361111146048,267361111146048,2986111111</v>
      </c>
      <c r="Q1286" s="1" t="str">
        <f t="shared" si="42"/>
        <v/>
      </c>
    </row>
    <row r="1287" spans="1:17">
      <c r="B1287" s="1" t="s">
        <v>585</v>
      </c>
      <c r="C1287" s="1" t="s">
        <v>600</v>
      </c>
      <c r="D1287" s="52">
        <v>46048.267361111109</v>
      </c>
      <c r="E1287" s="52">
        <v>46048.267361111109</v>
      </c>
      <c r="F1287" s="52">
        <v>46048.298611111109</v>
      </c>
      <c r="G1287" s="53">
        <f>F1287-E1287</f>
        <v>3.125E-2</v>
      </c>
      <c r="K1287" s="1" t="e">
        <f>_xlfn.XLOOKUP(J1287,REF!$D$2:$D$12,REF!$E$2:$E$12)</f>
        <v>#N/A</v>
      </c>
      <c r="L1287" s="1" t="s">
        <v>538</v>
      </c>
      <c r="M1287" s="1" t="s">
        <v>260</v>
      </c>
      <c r="N1287" s="1" t="s">
        <v>261</v>
      </c>
      <c r="O1287" s="1" t="s">
        <v>587</v>
      </c>
      <c r="P1287" s="1" t="str">
        <f>_xlfn.CONCAT(B1287,C1287,D1287,E1287,F1287)</f>
        <v>BC Rio Monte1Inverter3146048,267361111146048,267361111146048,2986111111</v>
      </c>
      <c r="Q1287" s="1" t="str">
        <f t="shared" si="42"/>
        <v/>
      </c>
    </row>
    <row r="1288" spans="1:17">
      <c r="B1288" s="1" t="s">
        <v>585</v>
      </c>
      <c r="C1288" s="1" t="s">
        <v>601</v>
      </c>
      <c r="D1288" s="52">
        <v>46048.267361111109</v>
      </c>
      <c r="E1288" s="52">
        <v>46048.267361111109</v>
      </c>
      <c r="F1288" s="52">
        <v>46048.298611111109</v>
      </c>
      <c r="G1288" s="53">
        <f>F1288-E1288</f>
        <v>3.125E-2</v>
      </c>
      <c r="K1288" s="1" t="e">
        <f>_xlfn.XLOOKUP(J1288,REF!$D$2:$D$12,REF!$E$2:$E$12)</f>
        <v>#N/A</v>
      </c>
      <c r="L1288" s="1" t="s">
        <v>538</v>
      </c>
      <c r="M1288" s="1" t="s">
        <v>260</v>
      </c>
      <c r="N1288" s="1" t="s">
        <v>261</v>
      </c>
      <c r="O1288" s="1" t="s">
        <v>587</v>
      </c>
      <c r="P1288" s="1" t="str">
        <f>_xlfn.CONCAT(B1288,C1288,D1288,E1288,F1288)</f>
        <v>BC Rio Monte1Inverter3046048,267361111146048,267361111146048,2986111111</v>
      </c>
      <c r="Q1288" s="1" t="str">
        <f t="shared" si="42"/>
        <v/>
      </c>
    </row>
    <row r="1289" spans="1:17">
      <c r="B1289" s="1" t="s">
        <v>585</v>
      </c>
      <c r="C1289" s="1" t="s">
        <v>602</v>
      </c>
      <c r="D1289" s="52">
        <v>46048.267361111109</v>
      </c>
      <c r="E1289" s="52">
        <v>46048.267361111109</v>
      </c>
      <c r="F1289" s="52">
        <v>46048.298611111109</v>
      </c>
      <c r="G1289" s="53">
        <f>F1289-E1289</f>
        <v>3.125E-2</v>
      </c>
      <c r="K1289" s="1" t="e">
        <f>_xlfn.XLOOKUP(J1289,REF!$D$2:$D$12,REF!$E$2:$E$12)</f>
        <v>#N/A</v>
      </c>
      <c r="L1289" s="1" t="s">
        <v>538</v>
      </c>
      <c r="M1289" s="1" t="s">
        <v>260</v>
      </c>
      <c r="N1289" s="1" t="s">
        <v>261</v>
      </c>
      <c r="O1289" s="1" t="s">
        <v>587</v>
      </c>
      <c r="P1289" s="1" t="str">
        <f>_xlfn.CONCAT(B1289,C1289,D1289,E1289,F1289)</f>
        <v>BC Rio Monte1Inverter3846048,267361111146048,267361111146048,2986111111</v>
      </c>
      <c r="Q1289" s="1" t="str">
        <f t="shared" si="42"/>
        <v/>
      </c>
    </row>
    <row r="1290" spans="1:17">
      <c r="B1290" s="1" t="s">
        <v>585</v>
      </c>
      <c r="C1290" s="1" t="s">
        <v>603</v>
      </c>
      <c r="D1290" s="52">
        <v>46048.267361111109</v>
      </c>
      <c r="E1290" s="52">
        <v>46048.267361111109</v>
      </c>
      <c r="F1290" s="52">
        <v>46048.298611111109</v>
      </c>
      <c r="G1290" s="53">
        <f>F1290-E1290</f>
        <v>3.125E-2</v>
      </c>
      <c r="K1290" s="1" t="e">
        <f>_xlfn.XLOOKUP(J1290,REF!$D$2:$D$12,REF!$E$2:$E$12)</f>
        <v>#N/A</v>
      </c>
      <c r="L1290" s="1" t="s">
        <v>538</v>
      </c>
      <c r="M1290" s="1" t="s">
        <v>260</v>
      </c>
      <c r="N1290" s="1" t="s">
        <v>261</v>
      </c>
      <c r="O1290" s="1" t="s">
        <v>587</v>
      </c>
      <c r="P1290" s="1" t="str">
        <f>_xlfn.CONCAT(B1290,C1290,D1290,E1290,F1290)</f>
        <v>BC Rio Monte1Inverter3246048,267361111146048,267361111146048,2986111111</v>
      </c>
      <c r="Q1290" s="1" t="str">
        <f t="shared" si="42"/>
        <v/>
      </c>
    </row>
    <row r="1291" spans="1:17">
      <c r="B1291" s="1" t="s">
        <v>286</v>
      </c>
      <c r="C1291" s="1" t="s">
        <v>287</v>
      </c>
      <c r="D1291" s="52">
        <v>46048.354166666664</v>
      </c>
      <c r="E1291" s="52">
        <v>46048.354166666664</v>
      </c>
      <c r="F1291" s="52">
        <v>46048.354861111111</v>
      </c>
      <c r="G1291" s="53">
        <f>F1291-E1291</f>
        <v>6.944444467080757E-4</v>
      </c>
      <c r="K1291" s="1" t="e">
        <f>_xlfn.XLOOKUP(J1291,REF!$D$2:$D$12,REF!$E$2:$E$12)</f>
        <v>#N/A</v>
      </c>
      <c r="L1291" s="1" t="s">
        <v>604</v>
      </c>
      <c r="M1291" s="1" t="s">
        <v>289</v>
      </c>
      <c r="N1291" s="1" t="s">
        <v>253</v>
      </c>
      <c r="O1291" s="1" t="s">
        <v>605</v>
      </c>
      <c r="P1291" s="1" t="str">
        <f>_xlfn.CONCAT(B1291,C1291,D1291,E1291,F1291)</f>
        <v>BC Corumba2.2U02.I0146048,354166666746048,354166666746048,3548611111</v>
      </c>
      <c r="Q1291" s="1" t="str">
        <f t="shared" si="42"/>
        <v/>
      </c>
    </row>
    <row r="1292" spans="1:17">
      <c r="B1292" s="1" t="s">
        <v>286</v>
      </c>
      <c r="C1292" s="1" t="s">
        <v>292</v>
      </c>
      <c r="D1292" s="52">
        <v>46048.354166666664</v>
      </c>
      <c r="E1292" s="52">
        <v>46048.354166666664</v>
      </c>
      <c r="F1292" s="52">
        <v>46048.354861111111</v>
      </c>
      <c r="G1292" s="53">
        <f>F1292-E1292</f>
        <v>6.944444467080757E-4</v>
      </c>
      <c r="K1292" s="1" t="e">
        <f>_xlfn.XLOOKUP(J1292,REF!$D$2:$D$12,REF!$E$2:$E$12)</f>
        <v>#N/A</v>
      </c>
      <c r="L1292" s="1" t="s">
        <v>604</v>
      </c>
      <c r="M1292" s="1" t="s">
        <v>289</v>
      </c>
      <c r="N1292" s="1" t="s">
        <v>253</v>
      </c>
      <c r="O1292" s="1" t="s">
        <v>605</v>
      </c>
      <c r="P1292" s="1" t="str">
        <f>_xlfn.CONCAT(B1292,C1292,D1292,E1292,F1292)</f>
        <v>BC Corumba2.2U02.I0246048,354166666746048,354166666746048,3548611111</v>
      </c>
      <c r="Q1292" s="1" t="str">
        <f t="shared" si="42"/>
        <v/>
      </c>
    </row>
    <row r="1293" spans="1:17">
      <c r="B1293" s="1" t="s">
        <v>286</v>
      </c>
      <c r="C1293" s="1" t="s">
        <v>293</v>
      </c>
      <c r="D1293" s="52">
        <v>46048.354166666664</v>
      </c>
      <c r="E1293" s="52">
        <v>46048.354166666664</v>
      </c>
      <c r="F1293" s="52">
        <v>46048.354861111111</v>
      </c>
      <c r="G1293" s="53">
        <f>F1293-E1293</f>
        <v>6.944444467080757E-4</v>
      </c>
      <c r="K1293" s="1" t="e">
        <f>_xlfn.XLOOKUP(J1293,REF!$D$2:$D$12,REF!$E$2:$E$12)</f>
        <v>#N/A</v>
      </c>
      <c r="L1293" s="1" t="s">
        <v>604</v>
      </c>
      <c r="M1293" s="1" t="s">
        <v>289</v>
      </c>
      <c r="N1293" s="1" t="s">
        <v>253</v>
      </c>
      <c r="O1293" s="1" t="s">
        <v>605</v>
      </c>
      <c r="P1293" s="1" t="str">
        <f>_xlfn.CONCAT(B1293,C1293,D1293,E1293,F1293)</f>
        <v>BC Corumba2.2U02.I0346048,354166666746048,354166666746048,3548611111</v>
      </c>
      <c r="Q1293" s="1" t="str">
        <f t="shared" si="42"/>
        <v/>
      </c>
    </row>
    <row r="1294" spans="1:17">
      <c r="B1294" s="1" t="s">
        <v>286</v>
      </c>
      <c r="C1294" s="1" t="s">
        <v>294</v>
      </c>
      <c r="D1294" s="52">
        <v>46048.354166666664</v>
      </c>
      <c r="E1294" s="52">
        <v>46048.354166666664</v>
      </c>
      <c r="F1294" s="52">
        <v>46048.354861111111</v>
      </c>
      <c r="G1294" s="53">
        <f>F1294-E1294</f>
        <v>6.944444467080757E-4</v>
      </c>
      <c r="K1294" s="1" t="e">
        <f>_xlfn.XLOOKUP(J1294,REF!$D$2:$D$12,REF!$E$2:$E$12)</f>
        <v>#N/A</v>
      </c>
      <c r="L1294" s="1" t="s">
        <v>604</v>
      </c>
      <c r="M1294" s="1" t="s">
        <v>289</v>
      </c>
      <c r="N1294" s="1" t="s">
        <v>253</v>
      </c>
      <c r="O1294" s="1" t="s">
        <v>605</v>
      </c>
      <c r="P1294" s="1" t="str">
        <f>_xlfn.CONCAT(B1294,C1294,D1294,E1294,F1294)</f>
        <v>BC Corumba2.2U02.I0446048,354166666746048,354166666746048,3548611111</v>
      </c>
      <c r="Q1294" s="1" t="str">
        <f t="shared" si="42"/>
        <v/>
      </c>
    </row>
    <row r="1295" spans="1:17">
      <c r="B1295" s="1" t="s">
        <v>286</v>
      </c>
      <c r="C1295" s="1" t="s">
        <v>295</v>
      </c>
      <c r="D1295" s="52">
        <v>46048.354166666664</v>
      </c>
      <c r="E1295" s="52">
        <v>46048.354166666664</v>
      </c>
      <c r="F1295" s="52">
        <v>46048.354861111111</v>
      </c>
      <c r="G1295" s="53">
        <f>F1295-E1295</f>
        <v>6.944444467080757E-4</v>
      </c>
      <c r="K1295" s="1" t="e">
        <f>_xlfn.XLOOKUP(J1295,REF!$D$2:$D$12,REF!$E$2:$E$12)</f>
        <v>#N/A</v>
      </c>
      <c r="L1295" s="1" t="s">
        <v>604</v>
      </c>
      <c r="M1295" s="1" t="s">
        <v>289</v>
      </c>
      <c r="N1295" s="1" t="s">
        <v>253</v>
      </c>
      <c r="O1295" s="1" t="s">
        <v>605</v>
      </c>
      <c r="P1295" s="1" t="str">
        <f>_xlfn.CONCAT(B1295,C1295,D1295,E1295,F1295)</f>
        <v>BC Corumba2.2U02.I0546048,354166666746048,354166666746048,3548611111</v>
      </c>
      <c r="Q1295" s="1" t="str">
        <f t="shared" si="42"/>
        <v/>
      </c>
    </row>
    <row r="1296" spans="1:17">
      <c r="B1296" s="1" t="s">
        <v>255</v>
      </c>
      <c r="C1296" s="1" t="s">
        <v>256</v>
      </c>
      <c r="D1296" s="52">
        <v>46048.413194444445</v>
      </c>
      <c r="E1296" s="52">
        <v>46048.413194444445</v>
      </c>
      <c r="F1296" s="52">
        <v>46048.459027777775</v>
      </c>
      <c r="G1296" s="53">
        <f>F1296-E1296</f>
        <v>4.5833333329937886E-2</v>
      </c>
      <c r="K1296" s="1" t="e">
        <f>_xlfn.XLOOKUP(J1296,REF!$D$2:$D$12,REF!$E$2:$E$12)</f>
        <v>#N/A</v>
      </c>
      <c r="L1296" s="1" t="s">
        <v>606</v>
      </c>
      <c r="M1296" s="1" t="s">
        <v>260</v>
      </c>
      <c r="N1296" s="1" t="s">
        <v>261</v>
      </c>
      <c r="O1296" s="1" t="s">
        <v>607</v>
      </c>
      <c r="P1296" s="1" t="str">
        <f>_xlfn.CONCAT(B1296,C1296,D1296,E1296,F1296)</f>
        <v>BC Formoso2.1Inverter(MBUS-12)46048,413194444446048,413194444446048,4590277778</v>
      </c>
      <c r="Q1296" s="1" t="str">
        <f t="shared" si="42"/>
        <v/>
      </c>
    </row>
    <row r="1297" spans="2:17">
      <c r="B1297" s="1" t="s">
        <v>255</v>
      </c>
      <c r="C1297" s="1" t="s">
        <v>263</v>
      </c>
      <c r="D1297" s="52">
        <v>46048.413194444445</v>
      </c>
      <c r="E1297" s="52">
        <v>46048.413194444445</v>
      </c>
      <c r="F1297" s="52">
        <v>46048.459027777775</v>
      </c>
      <c r="G1297" s="53">
        <f>F1297-E1297</f>
        <v>4.5833333329937886E-2</v>
      </c>
      <c r="K1297" s="1" t="e">
        <f>_xlfn.XLOOKUP(J1297,REF!$D$2:$D$12,REF!$E$2:$E$12)</f>
        <v>#N/A</v>
      </c>
      <c r="L1297" s="1" t="s">
        <v>606</v>
      </c>
      <c r="M1297" s="1" t="s">
        <v>260</v>
      </c>
      <c r="N1297" s="1" t="s">
        <v>261</v>
      </c>
      <c r="O1297" s="1" t="s">
        <v>607</v>
      </c>
      <c r="P1297" s="1" t="str">
        <f>_xlfn.CONCAT(B1297,C1297,D1297,E1297,F1297)</f>
        <v>BC Formoso2.1Inverter(MBUS-14)46048,413194444446048,413194444446048,4590277778</v>
      </c>
      <c r="Q1297" s="1" t="str">
        <f t="shared" si="42"/>
        <v/>
      </c>
    </row>
    <row r="1298" spans="2:17">
      <c r="B1298" s="1" t="s">
        <v>255</v>
      </c>
      <c r="C1298" s="1" t="s">
        <v>264</v>
      </c>
      <c r="D1298" s="52">
        <v>46048.413194444445</v>
      </c>
      <c r="E1298" s="52">
        <v>46048.413194444445</v>
      </c>
      <c r="F1298" s="52">
        <v>46048.459027777775</v>
      </c>
      <c r="G1298" s="53">
        <f>F1298-E1298</f>
        <v>4.5833333329937886E-2</v>
      </c>
      <c r="K1298" s="1" t="e">
        <f>_xlfn.XLOOKUP(J1298,REF!$D$2:$D$12,REF!$E$2:$E$12)</f>
        <v>#N/A</v>
      </c>
      <c r="L1298" s="1" t="s">
        <v>606</v>
      </c>
      <c r="M1298" s="1" t="s">
        <v>260</v>
      </c>
      <c r="N1298" s="1" t="s">
        <v>261</v>
      </c>
      <c r="O1298" s="1" t="s">
        <v>607</v>
      </c>
      <c r="P1298" s="1" t="str">
        <f>_xlfn.CONCAT(B1298,C1298,D1298,E1298,F1298)</f>
        <v>BC Formoso2.1Inverter(MBUS-13)46048,413194444446048,413194444446048,4590277778</v>
      </c>
      <c r="Q1298" s="1" t="str">
        <f t="shared" si="42"/>
        <v/>
      </c>
    </row>
    <row r="1299" spans="2:17">
      <c r="B1299" s="1" t="s">
        <v>255</v>
      </c>
      <c r="C1299" s="1" t="s">
        <v>247</v>
      </c>
      <c r="D1299" s="52">
        <v>46048.413194444445</v>
      </c>
      <c r="E1299" s="52">
        <v>46048.413194444445</v>
      </c>
      <c r="F1299" s="52">
        <v>46048.459027777775</v>
      </c>
      <c r="G1299" s="53">
        <f>F1299-E1299</f>
        <v>4.5833333329937886E-2</v>
      </c>
      <c r="K1299" s="1" t="e">
        <f>_xlfn.XLOOKUP(J1299,REF!$D$2:$D$12,REF!$E$2:$E$12)</f>
        <v>#N/A</v>
      </c>
      <c r="L1299" s="1" t="s">
        <v>606</v>
      </c>
      <c r="M1299" s="1" t="s">
        <v>260</v>
      </c>
      <c r="N1299" s="1" t="s">
        <v>261</v>
      </c>
      <c r="O1299" s="1" t="s">
        <v>607</v>
      </c>
      <c r="P1299" s="1" t="str">
        <f>_xlfn.CONCAT(B1299,C1299,D1299,E1299,F1299)</f>
        <v>BC Formoso2.1Inverter(MBUS-1)46048,413194444446048,413194444446048,4590277778</v>
      </c>
      <c r="Q1299" s="1" t="str">
        <f t="shared" ref="Q1299:Q1362" si="43">_xlfn.CONCAT(H1299,I1299,J1299)</f>
        <v/>
      </c>
    </row>
    <row r="1300" spans="2:17">
      <c r="B1300" s="1" t="s">
        <v>535</v>
      </c>
      <c r="C1300" s="1" t="s">
        <v>608</v>
      </c>
      <c r="D1300" s="52">
        <v>46049.197916666664</v>
      </c>
      <c r="E1300" s="52">
        <v>46049.197916666664</v>
      </c>
      <c r="F1300" s="52">
        <v>46049.295138888891</v>
      </c>
      <c r="G1300" s="53">
        <f>F1300-E1300</f>
        <v>9.7222222226264421E-2</v>
      </c>
      <c r="K1300" s="1" t="e">
        <f>_xlfn.XLOOKUP(J1300,REF!$D$2:$D$12,REF!$E$2:$E$12)</f>
        <v>#N/A</v>
      </c>
      <c r="L1300" s="1" t="s">
        <v>609</v>
      </c>
      <c r="M1300" s="1" t="s">
        <v>289</v>
      </c>
      <c r="N1300" s="1" t="s">
        <v>253</v>
      </c>
      <c r="O1300" s="1" t="s">
        <v>610</v>
      </c>
      <c r="P1300" s="1" t="str">
        <f>_xlfn.CONCAT(B1300,C1300,D1300,E1300,F1300)</f>
        <v>BC Corumba2.3U03.I0146049,197916666746049,197916666746049,2951388889</v>
      </c>
      <c r="Q1300" s="1" t="str">
        <f t="shared" si="43"/>
        <v/>
      </c>
    </row>
    <row r="1301" spans="2:17">
      <c r="B1301" s="1" t="s">
        <v>535</v>
      </c>
      <c r="C1301" s="1" t="s">
        <v>611</v>
      </c>
      <c r="D1301" s="52">
        <v>46049.197916666664</v>
      </c>
      <c r="E1301" s="52">
        <v>46049.197916666664</v>
      </c>
      <c r="F1301" s="52">
        <v>46049.295138888891</v>
      </c>
      <c r="G1301" s="53">
        <f>F1301-E1301</f>
        <v>9.7222222226264421E-2</v>
      </c>
      <c r="K1301" s="1" t="e">
        <f>_xlfn.XLOOKUP(J1301,REF!$D$2:$D$12,REF!$E$2:$E$12)</f>
        <v>#N/A</v>
      </c>
      <c r="L1301" s="1" t="s">
        <v>609</v>
      </c>
      <c r="M1301" s="1" t="s">
        <v>289</v>
      </c>
      <c r="N1301" s="1" t="s">
        <v>253</v>
      </c>
      <c r="O1301" s="1" t="s">
        <v>610</v>
      </c>
      <c r="P1301" s="1" t="str">
        <f>_xlfn.CONCAT(B1301,C1301,D1301,E1301,F1301)</f>
        <v>BC Corumba2.3U03.I0246049,197916666746049,197916666746049,2951388889</v>
      </c>
      <c r="Q1301" s="1" t="str">
        <f t="shared" si="43"/>
        <v/>
      </c>
    </row>
    <row r="1302" spans="2:17">
      <c r="B1302" s="1" t="s">
        <v>535</v>
      </c>
      <c r="C1302" s="1" t="s">
        <v>536</v>
      </c>
      <c r="D1302" s="52">
        <v>46049.197916666664</v>
      </c>
      <c r="E1302" s="52">
        <v>46049.197916666664</v>
      </c>
      <c r="F1302" s="52">
        <v>46049.295138888891</v>
      </c>
      <c r="G1302" s="53">
        <f>F1302-E1302</f>
        <v>9.7222222226264421E-2</v>
      </c>
      <c r="K1302" s="1" t="e">
        <f>_xlfn.XLOOKUP(J1302,REF!$D$2:$D$12,REF!$E$2:$E$12)</f>
        <v>#N/A</v>
      </c>
      <c r="L1302" s="1" t="s">
        <v>609</v>
      </c>
      <c r="M1302" s="1" t="s">
        <v>289</v>
      </c>
      <c r="N1302" s="1" t="s">
        <v>253</v>
      </c>
      <c r="O1302" s="1" t="s">
        <v>610</v>
      </c>
      <c r="P1302" s="1" t="str">
        <f>_xlfn.CONCAT(B1302,C1302,D1302,E1302,F1302)</f>
        <v>BC Corumba2.3U03.I0346049,197916666746049,197916666746049,2951388889</v>
      </c>
      <c r="Q1302" s="1" t="str">
        <f t="shared" si="43"/>
        <v/>
      </c>
    </row>
    <row r="1303" spans="2:17">
      <c r="B1303" s="66" t="s">
        <v>612</v>
      </c>
      <c r="C1303" s="66" t="s">
        <v>613</v>
      </c>
      <c r="D1303" s="73">
        <v>46049.357638888891</v>
      </c>
      <c r="E1303" s="73">
        <v>46049.357638888891</v>
      </c>
      <c r="F1303" s="73">
        <v>46049.395833333336</v>
      </c>
      <c r="G1303" s="74">
        <f>F1303-E1303</f>
        <v>3.8194444445252884E-2</v>
      </c>
      <c r="H1303" s="66"/>
      <c r="I1303" s="66"/>
      <c r="J1303" s="66"/>
      <c r="K1303" s="1" t="e">
        <f>_xlfn.XLOOKUP(J1303,REF!$D$2:$D$12,REF!$E$2:$E$12)</f>
        <v>#N/A</v>
      </c>
      <c r="L1303" s="66" t="s">
        <v>614</v>
      </c>
      <c r="M1303" s="66" t="s">
        <v>252</v>
      </c>
      <c r="N1303" s="66" t="s">
        <v>253</v>
      </c>
      <c r="O1303" s="66" t="s">
        <v>615</v>
      </c>
      <c r="P1303" s="66" t="str">
        <f>_xlfn.CONCAT(B1303,C1303,D1303,E1303,F1303)</f>
        <v>BC Vazante 1.1Inverter1346049,357638888946049,357638888946049,3958333333</v>
      </c>
      <c r="Q1303" s="1" t="str">
        <f t="shared" si="43"/>
        <v/>
      </c>
    </row>
    <row r="1304" spans="2:17">
      <c r="B1304" s="1" t="s">
        <v>368</v>
      </c>
      <c r="C1304" s="1" t="s">
        <v>256</v>
      </c>
      <c r="D1304" s="52">
        <v>46049.486111111109</v>
      </c>
      <c r="E1304" s="52">
        <v>46049.486111111109</v>
      </c>
      <c r="F1304" s="52">
        <v>46049.800694444442</v>
      </c>
      <c r="G1304" s="53">
        <f>F1304-E1304</f>
        <v>0.31458333333284827</v>
      </c>
      <c r="K1304" s="1" t="e">
        <f>_xlfn.XLOOKUP(J1304,REF!$D$2:$D$12,REF!$E$2:$E$12)</f>
        <v>#N/A</v>
      </c>
      <c r="L1304" s="1" t="s">
        <v>616</v>
      </c>
      <c r="M1304" s="1" t="s">
        <v>260</v>
      </c>
      <c r="N1304" s="1" t="s">
        <v>261</v>
      </c>
      <c r="O1304" s="1" t="s">
        <v>617</v>
      </c>
      <c r="P1304" s="1" t="str">
        <f>_xlfn.CONCAT(B1304,C1304,D1304,E1304,F1304)</f>
        <v>BC Ibiuna 1.1Inverter(MBUS-12)46049,486111111146049,486111111146049,8006944444</v>
      </c>
      <c r="Q1304" s="1" t="str">
        <f t="shared" si="43"/>
        <v/>
      </c>
    </row>
    <row r="1305" spans="2:17">
      <c r="B1305" s="1" t="s">
        <v>368</v>
      </c>
      <c r="C1305" s="1" t="s">
        <v>264</v>
      </c>
      <c r="D1305" s="52">
        <v>46049.486111111109</v>
      </c>
      <c r="E1305" s="52">
        <v>46049.486111111109</v>
      </c>
      <c r="F1305" s="52">
        <v>46049.800694444442</v>
      </c>
      <c r="G1305" s="53">
        <f>F1305-E1305</f>
        <v>0.31458333333284827</v>
      </c>
      <c r="K1305" s="1" t="e">
        <f>_xlfn.XLOOKUP(J1305,REF!$D$2:$D$12,REF!$E$2:$E$12)</f>
        <v>#N/A</v>
      </c>
      <c r="L1305" s="1" t="s">
        <v>616</v>
      </c>
      <c r="M1305" s="1" t="s">
        <v>260</v>
      </c>
      <c r="N1305" s="1" t="s">
        <v>261</v>
      </c>
      <c r="O1305" s="1" t="s">
        <v>617</v>
      </c>
      <c r="P1305" s="1" t="str">
        <f>_xlfn.CONCAT(B1305,C1305,D1305,E1305,F1305)</f>
        <v>BC Ibiuna 1.1Inverter(MBUS-13)46049,486111111146049,486111111146049,8006944444</v>
      </c>
      <c r="Q1305" s="1" t="str">
        <f t="shared" si="43"/>
        <v/>
      </c>
    </row>
    <row r="1306" spans="2:17">
      <c r="B1306" s="1" t="s">
        <v>368</v>
      </c>
      <c r="C1306" s="1" t="s">
        <v>263</v>
      </c>
      <c r="D1306" s="52">
        <v>46049.486111111109</v>
      </c>
      <c r="E1306" s="52">
        <v>46049.486111111109</v>
      </c>
      <c r="F1306" s="52">
        <v>46049.800694444442</v>
      </c>
      <c r="G1306" s="53">
        <f>F1306-E1306</f>
        <v>0.31458333333284827</v>
      </c>
      <c r="K1306" s="1" t="e">
        <f>_xlfn.XLOOKUP(J1306,REF!$D$2:$D$12,REF!$E$2:$E$12)</f>
        <v>#N/A</v>
      </c>
      <c r="L1306" s="1" t="s">
        <v>616</v>
      </c>
      <c r="M1306" s="1" t="s">
        <v>260</v>
      </c>
      <c r="N1306" s="1" t="s">
        <v>261</v>
      </c>
      <c r="O1306" s="1" t="s">
        <v>617</v>
      </c>
      <c r="P1306" s="1" t="str">
        <f>_xlfn.CONCAT(B1306,C1306,D1306,E1306,F1306)</f>
        <v>BC Ibiuna 1.1Inverter(MBUS-14)46049,486111111146049,486111111146049,8006944444</v>
      </c>
      <c r="Q1306" s="1" t="str">
        <f t="shared" si="43"/>
        <v/>
      </c>
    </row>
    <row r="1307" spans="2:17">
      <c r="B1307" s="1" t="s">
        <v>368</v>
      </c>
      <c r="C1307" s="1" t="s">
        <v>307</v>
      </c>
      <c r="D1307" s="52">
        <v>46049.486111111109</v>
      </c>
      <c r="E1307" s="52">
        <v>46049.486111111109</v>
      </c>
      <c r="F1307" s="52">
        <v>46049.800694444442</v>
      </c>
      <c r="G1307" s="53">
        <f>F1307-E1307</f>
        <v>0.31458333333284827</v>
      </c>
      <c r="K1307" s="1" t="e">
        <f>_xlfn.XLOOKUP(J1307,REF!$D$2:$D$12,REF!$E$2:$E$12)</f>
        <v>#N/A</v>
      </c>
      <c r="L1307" s="1" t="s">
        <v>616</v>
      </c>
      <c r="M1307" s="1" t="s">
        <v>260</v>
      </c>
      <c r="N1307" s="1" t="s">
        <v>261</v>
      </c>
      <c r="O1307" s="1" t="s">
        <v>617</v>
      </c>
      <c r="P1307" s="1" t="str">
        <f>_xlfn.CONCAT(B1307,C1307,D1307,E1307,F1307)</f>
        <v>BC Ibiuna 1.1Inverter(MBUS-15)46049,486111111146049,486111111146049,8006944444</v>
      </c>
      <c r="Q1307" s="1" t="str">
        <f t="shared" si="43"/>
        <v/>
      </c>
    </row>
    <row r="1308" spans="2:17">
      <c r="B1308" s="1" t="s">
        <v>370</v>
      </c>
      <c r="C1308" s="1" t="s">
        <v>256</v>
      </c>
      <c r="D1308" s="52">
        <v>46049.486111111109</v>
      </c>
      <c r="E1308" s="52">
        <v>46049.486111111109</v>
      </c>
      <c r="F1308" s="52">
        <v>46049.800694444442</v>
      </c>
      <c r="G1308" s="53">
        <f>F1308-E1308</f>
        <v>0.31458333333284827</v>
      </c>
      <c r="K1308" s="1" t="e">
        <f>_xlfn.XLOOKUP(J1308,REF!$D$2:$D$12,REF!$E$2:$E$12)</f>
        <v>#N/A</v>
      </c>
      <c r="L1308" s="1" t="s">
        <v>616</v>
      </c>
      <c r="M1308" s="1" t="s">
        <v>260</v>
      </c>
      <c r="N1308" s="1" t="s">
        <v>261</v>
      </c>
      <c r="O1308" s="1" t="s">
        <v>617</v>
      </c>
      <c r="P1308" s="1" t="str">
        <f>_xlfn.CONCAT(B1308,C1308,D1308,E1308,F1308)</f>
        <v>BC Ibiuna 1.2Inverter(MBUS-12)46049,486111111146049,486111111146049,8006944444</v>
      </c>
      <c r="Q1308" s="1" t="str">
        <f t="shared" si="43"/>
        <v/>
      </c>
    </row>
    <row r="1309" spans="2:17">
      <c r="B1309" s="1" t="s">
        <v>370</v>
      </c>
      <c r="C1309" s="1" t="s">
        <v>264</v>
      </c>
      <c r="D1309" s="52">
        <v>46049.486111111109</v>
      </c>
      <c r="E1309" s="52">
        <v>46049.486111111109</v>
      </c>
      <c r="F1309" s="52">
        <v>46049.800694444442</v>
      </c>
      <c r="G1309" s="53">
        <f>F1309-E1309</f>
        <v>0.31458333333284827</v>
      </c>
      <c r="K1309" s="1" t="e">
        <f>_xlfn.XLOOKUP(J1309,REF!$D$2:$D$12,REF!$E$2:$E$12)</f>
        <v>#N/A</v>
      </c>
      <c r="L1309" s="1" t="s">
        <v>616</v>
      </c>
      <c r="M1309" s="1" t="s">
        <v>260</v>
      </c>
      <c r="N1309" s="1" t="s">
        <v>261</v>
      </c>
      <c r="O1309" s="1" t="s">
        <v>617</v>
      </c>
      <c r="P1309" s="1" t="str">
        <f>_xlfn.CONCAT(B1309,C1309,D1309,E1309,F1309)</f>
        <v>BC Ibiuna 1.2Inverter(MBUS-13)46049,486111111146049,486111111146049,8006944444</v>
      </c>
      <c r="Q1309" s="1" t="str">
        <f t="shared" si="43"/>
        <v/>
      </c>
    </row>
    <row r="1310" spans="2:17">
      <c r="B1310" s="1" t="s">
        <v>370</v>
      </c>
      <c r="C1310" s="1" t="s">
        <v>263</v>
      </c>
      <c r="D1310" s="52">
        <v>46049.486111111109</v>
      </c>
      <c r="E1310" s="52">
        <v>46049.486111111109</v>
      </c>
      <c r="F1310" s="52">
        <v>46049.800694444442</v>
      </c>
      <c r="G1310" s="53">
        <f>F1310-E1310</f>
        <v>0.31458333333284827</v>
      </c>
      <c r="K1310" s="1" t="e">
        <f>_xlfn.XLOOKUP(J1310,REF!$D$2:$D$12,REF!$E$2:$E$12)</f>
        <v>#N/A</v>
      </c>
      <c r="L1310" s="1" t="s">
        <v>616</v>
      </c>
      <c r="M1310" s="1" t="s">
        <v>260</v>
      </c>
      <c r="N1310" s="1" t="s">
        <v>261</v>
      </c>
      <c r="O1310" s="1" t="s">
        <v>617</v>
      </c>
      <c r="P1310" s="1" t="str">
        <f>_xlfn.CONCAT(B1310,C1310,D1310,E1310,F1310)</f>
        <v>BC Ibiuna 1.2Inverter(MBUS-14)46049,486111111146049,486111111146049,8006944444</v>
      </c>
      <c r="Q1310" s="1" t="str">
        <f t="shared" si="43"/>
        <v/>
      </c>
    </row>
    <row r="1311" spans="2:17">
      <c r="B1311" s="1" t="s">
        <v>370</v>
      </c>
      <c r="C1311" s="1" t="s">
        <v>307</v>
      </c>
      <c r="D1311" s="52">
        <v>46049.486111111109</v>
      </c>
      <c r="E1311" s="52">
        <v>46049.486111111109</v>
      </c>
      <c r="F1311" s="52">
        <v>46049.800694444442</v>
      </c>
      <c r="G1311" s="53">
        <f>F1311-E1311</f>
        <v>0.31458333333284827</v>
      </c>
      <c r="K1311" s="1" t="e">
        <f>_xlfn.XLOOKUP(J1311,REF!$D$2:$D$12,REF!$E$2:$E$12)</f>
        <v>#N/A</v>
      </c>
      <c r="L1311" s="1" t="s">
        <v>616</v>
      </c>
      <c r="M1311" s="1" t="s">
        <v>260</v>
      </c>
      <c r="N1311" s="1" t="s">
        <v>261</v>
      </c>
      <c r="O1311" s="1" t="s">
        <v>617</v>
      </c>
      <c r="P1311" s="1" t="str">
        <f>_xlfn.CONCAT(B1311,C1311,D1311,E1311,F1311)</f>
        <v>BC Ibiuna 1.2Inverter(MBUS-15)46049,486111111146049,486111111146049,8006944444</v>
      </c>
      <c r="Q1311" s="1" t="str">
        <f t="shared" si="43"/>
        <v/>
      </c>
    </row>
    <row r="1312" spans="2:17">
      <c r="B1312" s="1" t="s">
        <v>305</v>
      </c>
      <c r="C1312" s="1" t="s">
        <v>256</v>
      </c>
      <c r="D1312" s="52">
        <v>46049.506944444445</v>
      </c>
      <c r="E1312" s="52">
        <v>46049.506944444445</v>
      </c>
      <c r="F1312" s="52">
        <v>46049.552083333336</v>
      </c>
      <c r="G1312" s="53">
        <f>F1312-E1312</f>
        <v>4.5138888890505768E-2</v>
      </c>
      <c r="K1312" s="1" t="e">
        <f>_xlfn.XLOOKUP(J1312,REF!$D$2:$D$12,REF!$E$2:$E$12)</f>
        <v>#N/A</v>
      </c>
      <c r="L1312" s="1" t="s">
        <v>604</v>
      </c>
      <c r="M1312" s="1" t="s">
        <v>289</v>
      </c>
      <c r="N1312" s="1" t="s">
        <v>253</v>
      </c>
      <c r="O1312" s="1" t="s">
        <v>618</v>
      </c>
      <c r="P1312" s="1" t="str">
        <f>_xlfn.CONCAT(B1312,C1312,D1312,E1312,F1312)</f>
        <v>ARAGUATINS 1.1Inverter(MBUS-12)46049,506944444446049,506944444446049,5520833333</v>
      </c>
      <c r="Q1312" s="1" t="str">
        <f t="shared" si="43"/>
        <v/>
      </c>
    </row>
    <row r="1313" spans="2:17">
      <c r="B1313" s="1" t="s">
        <v>305</v>
      </c>
      <c r="C1313" s="1" t="s">
        <v>264</v>
      </c>
      <c r="D1313" s="52">
        <v>46049.506944444445</v>
      </c>
      <c r="E1313" s="52">
        <v>46049.506944444445</v>
      </c>
      <c r="F1313" s="52">
        <v>46049.552083333336</v>
      </c>
      <c r="G1313" s="53">
        <f>F1313-E1313</f>
        <v>4.5138888890505768E-2</v>
      </c>
      <c r="K1313" s="1" t="e">
        <f>_xlfn.XLOOKUP(J1313,REF!$D$2:$D$12,REF!$E$2:$E$12)</f>
        <v>#N/A</v>
      </c>
      <c r="L1313" s="1" t="s">
        <v>604</v>
      </c>
      <c r="M1313" s="1" t="s">
        <v>289</v>
      </c>
      <c r="N1313" s="1" t="s">
        <v>253</v>
      </c>
      <c r="O1313" s="1" t="s">
        <v>618</v>
      </c>
      <c r="P1313" s="1" t="str">
        <f>_xlfn.CONCAT(B1313,C1313,D1313,E1313,F1313)</f>
        <v>ARAGUATINS 1.1Inverter(MBUS-13)46049,506944444446049,506944444446049,5520833333</v>
      </c>
      <c r="Q1313" s="1" t="str">
        <f t="shared" si="43"/>
        <v/>
      </c>
    </row>
    <row r="1314" spans="2:17">
      <c r="B1314" s="1" t="s">
        <v>305</v>
      </c>
      <c r="C1314" s="1" t="s">
        <v>263</v>
      </c>
      <c r="D1314" s="52">
        <v>46049.506944444445</v>
      </c>
      <c r="E1314" s="52">
        <v>46049.506944444445</v>
      </c>
      <c r="F1314" s="52">
        <v>46049.552083333336</v>
      </c>
      <c r="G1314" s="53">
        <f>F1314-E1314</f>
        <v>4.5138888890505768E-2</v>
      </c>
      <c r="K1314" s="1" t="e">
        <f>_xlfn.XLOOKUP(J1314,REF!$D$2:$D$12,REF!$E$2:$E$12)</f>
        <v>#N/A</v>
      </c>
      <c r="L1314" s="1" t="s">
        <v>604</v>
      </c>
      <c r="M1314" s="1" t="s">
        <v>289</v>
      </c>
      <c r="N1314" s="1" t="s">
        <v>253</v>
      </c>
      <c r="O1314" s="1" t="s">
        <v>618</v>
      </c>
      <c r="P1314" s="1" t="str">
        <f>_xlfn.CONCAT(B1314,C1314,D1314,E1314,F1314)</f>
        <v>ARAGUATINS 1.1Inverter(MBUS-14)46049,506944444446049,506944444446049,5520833333</v>
      </c>
      <c r="Q1314" s="1" t="str">
        <f t="shared" si="43"/>
        <v/>
      </c>
    </row>
    <row r="1315" spans="2:17">
      <c r="B1315" s="1" t="s">
        <v>305</v>
      </c>
      <c r="C1315" s="1" t="s">
        <v>307</v>
      </c>
      <c r="D1315" s="52">
        <v>46049.506944444445</v>
      </c>
      <c r="E1315" s="52">
        <v>46049.506944444445</v>
      </c>
      <c r="F1315" s="52">
        <v>46049.552083333336</v>
      </c>
      <c r="G1315" s="53">
        <f>F1315-E1315</f>
        <v>4.5138888890505768E-2</v>
      </c>
      <c r="K1315" s="1" t="e">
        <f>_xlfn.XLOOKUP(J1315,REF!$D$2:$D$12,REF!$E$2:$E$12)</f>
        <v>#N/A</v>
      </c>
      <c r="L1315" s="1" t="s">
        <v>604</v>
      </c>
      <c r="M1315" s="1" t="s">
        <v>289</v>
      </c>
      <c r="N1315" s="1" t="s">
        <v>253</v>
      </c>
      <c r="O1315" s="1" t="s">
        <v>618</v>
      </c>
      <c r="P1315" s="1" t="str">
        <f>_xlfn.CONCAT(B1315,C1315,D1315,E1315,F1315)</f>
        <v>ARAGUATINS 1.1Inverter(MBUS-15)46049,506944444446049,506944444446049,5520833333</v>
      </c>
      <c r="Q1315" s="1" t="str">
        <f t="shared" si="43"/>
        <v/>
      </c>
    </row>
    <row r="1316" spans="2:17">
      <c r="B1316" s="1" t="s">
        <v>308</v>
      </c>
      <c r="C1316" s="1" t="s">
        <v>256</v>
      </c>
      <c r="D1316" s="52">
        <v>46049.506944444445</v>
      </c>
      <c r="E1316" s="52">
        <v>46049.506944444445</v>
      </c>
      <c r="F1316" s="52">
        <v>46049.552083333336</v>
      </c>
      <c r="G1316" s="53">
        <f>F1316-E1316</f>
        <v>4.5138888890505768E-2</v>
      </c>
      <c r="K1316" s="1" t="e">
        <f>_xlfn.XLOOKUP(J1316,REF!$D$2:$D$12,REF!$E$2:$E$12)</f>
        <v>#N/A</v>
      </c>
      <c r="L1316" s="1" t="s">
        <v>604</v>
      </c>
      <c r="M1316" s="1" t="s">
        <v>289</v>
      </c>
      <c r="N1316" s="1" t="s">
        <v>253</v>
      </c>
      <c r="O1316" s="1" t="s">
        <v>618</v>
      </c>
      <c r="P1316" s="1" t="str">
        <f>_xlfn.CONCAT(B1316,C1316,D1316,E1316,F1316)</f>
        <v>ARAGUATINS 1.2Inverter(MBUS-12)46049,506944444446049,506944444446049,5520833333</v>
      </c>
      <c r="Q1316" s="1" t="str">
        <f t="shared" si="43"/>
        <v/>
      </c>
    </row>
    <row r="1317" spans="2:17">
      <c r="B1317" s="1" t="s">
        <v>308</v>
      </c>
      <c r="C1317" s="1" t="s">
        <v>264</v>
      </c>
      <c r="D1317" s="52">
        <v>46049.506944444445</v>
      </c>
      <c r="E1317" s="52">
        <v>46049.506944444445</v>
      </c>
      <c r="F1317" s="52">
        <v>46049.552083333336</v>
      </c>
      <c r="G1317" s="53">
        <f>F1317-E1317</f>
        <v>4.5138888890505768E-2</v>
      </c>
      <c r="K1317" s="1" t="e">
        <f>_xlfn.XLOOKUP(J1317,REF!$D$2:$D$12,REF!$E$2:$E$12)</f>
        <v>#N/A</v>
      </c>
      <c r="L1317" s="1" t="s">
        <v>604</v>
      </c>
      <c r="M1317" s="1" t="s">
        <v>289</v>
      </c>
      <c r="N1317" s="1" t="s">
        <v>253</v>
      </c>
      <c r="O1317" s="1" t="s">
        <v>618</v>
      </c>
      <c r="P1317" s="1" t="str">
        <f>_xlfn.CONCAT(B1317,C1317,D1317,E1317,F1317)</f>
        <v>ARAGUATINS 1.2Inverter(MBUS-13)46049,506944444446049,506944444446049,5520833333</v>
      </c>
      <c r="Q1317" s="1" t="str">
        <f t="shared" si="43"/>
        <v/>
      </c>
    </row>
    <row r="1318" spans="2:17">
      <c r="B1318" s="1" t="s">
        <v>308</v>
      </c>
      <c r="C1318" s="1" t="s">
        <v>263</v>
      </c>
      <c r="D1318" s="52">
        <v>46049.506944444445</v>
      </c>
      <c r="E1318" s="52">
        <v>46049.506944444445</v>
      </c>
      <c r="F1318" s="52">
        <v>46049.552083333336</v>
      </c>
      <c r="G1318" s="53">
        <f>F1318-E1318</f>
        <v>4.5138888890505768E-2</v>
      </c>
      <c r="K1318" s="1" t="e">
        <f>_xlfn.XLOOKUP(J1318,REF!$D$2:$D$12,REF!$E$2:$E$12)</f>
        <v>#N/A</v>
      </c>
      <c r="L1318" s="1" t="s">
        <v>604</v>
      </c>
      <c r="M1318" s="1" t="s">
        <v>289</v>
      </c>
      <c r="N1318" s="1" t="s">
        <v>253</v>
      </c>
      <c r="O1318" s="1" t="s">
        <v>618</v>
      </c>
      <c r="P1318" s="1" t="str">
        <f>_xlfn.CONCAT(B1318,C1318,D1318,E1318,F1318)</f>
        <v>ARAGUATINS 1.2Inverter(MBUS-14)46049,506944444446049,506944444446049,5520833333</v>
      </c>
      <c r="Q1318" s="1" t="str">
        <f t="shared" si="43"/>
        <v/>
      </c>
    </row>
    <row r="1319" spans="2:17">
      <c r="B1319" s="1" t="s">
        <v>308</v>
      </c>
      <c r="C1319" s="1" t="s">
        <v>307</v>
      </c>
      <c r="D1319" s="52">
        <v>46049.506944444445</v>
      </c>
      <c r="E1319" s="52">
        <v>46049.506944444445</v>
      </c>
      <c r="F1319" s="52">
        <v>46049.552083333336</v>
      </c>
      <c r="G1319" s="53">
        <f>F1319-E1319</f>
        <v>4.5138888890505768E-2</v>
      </c>
      <c r="K1319" s="1" t="e">
        <f>_xlfn.XLOOKUP(J1319,REF!$D$2:$D$12,REF!$E$2:$E$12)</f>
        <v>#N/A</v>
      </c>
      <c r="L1319" s="1" t="s">
        <v>604</v>
      </c>
      <c r="M1319" s="1" t="s">
        <v>289</v>
      </c>
      <c r="N1319" s="1" t="s">
        <v>253</v>
      </c>
      <c r="O1319" s="1" t="s">
        <v>618</v>
      </c>
      <c r="P1319" s="1" t="str">
        <f>_xlfn.CONCAT(B1319,C1319,D1319,E1319,F1319)</f>
        <v>ARAGUATINS 1.2Inverter(MBUS-15)46049,506944444446049,506944444446049,5520833333</v>
      </c>
      <c r="Q1319" s="1" t="str">
        <f t="shared" si="43"/>
        <v/>
      </c>
    </row>
    <row r="1320" spans="2:17">
      <c r="B1320" s="1" t="s">
        <v>309</v>
      </c>
      <c r="C1320" s="1" t="s">
        <v>310</v>
      </c>
      <c r="D1320" s="52">
        <v>46049.506944444445</v>
      </c>
      <c r="E1320" s="52">
        <v>46049.506944444445</v>
      </c>
      <c r="F1320" s="52">
        <v>46049.552083333336</v>
      </c>
      <c r="G1320" s="53">
        <f>F1320-E1320</f>
        <v>4.5138888890505768E-2</v>
      </c>
      <c r="K1320" s="1" t="e">
        <f>_xlfn.XLOOKUP(J1320,REF!$D$2:$D$12,REF!$E$2:$E$12)</f>
        <v>#N/A</v>
      </c>
      <c r="L1320" s="1" t="s">
        <v>604</v>
      </c>
      <c r="M1320" s="1" t="s">
        <v>289</v>
      </c>
      <c r="N1320" s="1" t="s">
        <v>253</v>
      </c>
      <c r="O1320" s="1" t="s">
        <v>618</v>
      </c>
      <c r="P1320" s="1" t="str">
        <f>_xlfn.CONCAT(B1320,C1320,D1320,E1320,F1320)</f>
        <v>ARAGUATINS 1.3Inverter(MBUS-20)46049,506944444446049,506944444446049,5520833333</v>
      </c>
      <c r="Q1320" s="1" t="str">
        <f t="shared" si="43"/>
        <v/>
      </c>
    </row>
    <row r="1321" spans="2:17">
      <c r="B1321" s="1" t="s">
        <v>309</v>
      </c>
      <c r="C1321" s="1" t="s">
        <v>247</v>
      </c>
      <c r="D1321" s="52">
        <v>46049.506944444445</v>
      </c>
      <c r="E1321" s="52">
        <v>46049.506944444445</v>
      </c>
      <c r="F1321" s="52">
        <v>46049.552083333336</v>
      </c>
      <c r="G1321" s="53">
        <f>F1321-E1321</f>
        <v>4.5138888890505768E-2</v>
      </c>
      <c r="K1321" s="1" t="e">
        <f>_xlfn.XLOOKUP(J1321,REF!$D$2:$D$12,REF!$E$2:$E$12)</f>
        <v>#N/A</v>
      </c>
      <c r="L1321" s="1" t="s">
        <v>604</v>
      </c>
      <c r="M1321" s="1" t="s">
        <v>289</v>
      </c>
      <c r="N1321" s="1" t="s">
        <v>253</v>
      </c>
      <c r="O1321" s="1" t="s">
        <v>618</v>
      </c>
      <c r="P1321" s="1" t="str">
        <f>_xlfn.CONCAT(B1321,C1321,D1321,E1321,F1321)</f>
        <v>ARAGUATINS 1.3Inverter(MBUS-1)46049,506944444446049,506944444446049,5520833333</v>
      </c>
      <c r="Q1321" s="1" t="str">
        <f t="shared" si="43"/>
        <v/>
      </c>
    </row>
    <row r="1322" spans="2:17">
      <c r="B1322" s="1" t="s">
        <v>311</v>
      </c>
      <c r="C1322" s="1" t="s">
        <v>256</v>
      </c>
      <c r="D1322" s="52">
        <v>46049.506944444445</v>
      </c>
      <c r="E1322" s="52">
        <v>46049.506944444445</v>
      </c>
      <c r="F1322" s="52">
        <v>46049.552083333336</v>
      </c>
      <c r="G1322" s="53">
        <f>F1322-E1322</f>
        <v>4.5138888890505768E-2</v>
      </c>
      <c r="K1322" s="1" t="e">
        <f>_xlfn.XLOOKUP(J1322,REF!$D$2:$D$12,REF!$E$2:$E$12)</f>
        <v>#N/A</v>
      </c>
      <c r="L1322" s="1" t="s">
        <v>604</v>
      </c>
      <c r="M1322" s="1" t="s">
        <v>289</v>
      </c>
      <c r="N1322" s="1" t="s">
        <v>253</v>
      </c>
      <c r="O1322" s="1" t="s">
        <v>618</v>
      </c>
      <c r="P1322" s="1" t="str">
        <f>_xlfn.CONCAT(B1322,C1322,D1322,E1322,F1322)</f>
        <v>ARAGUATINS 2.1Inverter(MBUS-12)46049,506944444446049,506944444446049,5520833333</v>
      </c>
      <c r="Q1322" s="1" t="str">
        <f t="shared" si="43"/>
        <v/>
      </c>
    </row>
    <row r="1323" spans="2:17">
      <c r="B1323" s="1" t="s">
        <v>311</v>
      </c>
      <c r="C1323" s="1" t="s">
        <v>307</v>
      </c>
      <c r="D1323" s="52">
        <v>46049.506944444445</v>
      </c>
      <c r="E1323" s="52">
        <v>46049.506944444445</v>
      </c>
      <c r="F1323" s="52">
        <v>46049.552083333336</v>
      </c>
      <c r="G1323" s="53">
        <f>F1323-E1323</f>
        <v>4.5138888890505768E-2</v>
      </c>
      <c r="K1323" s="1" t="e">
        <f>_xlfn.XLOOKUP(J1323,REF!$D$2:$D$12,REF!$E$2:$E$12)</f>
        <v>#N/A</v>
      </c>
      <c r="L1323" s="1" t="s">
        <v>604</v>
      </c>
      <c r="M1323" s="1" t="s">
        <v>289</v>
      </c>
      <c r="N1323" s="1" t="s">
        <v>253</v>
      </c>
      <c r="O1323" s="1" t="s">
        <v>618</v>
      </c>
      <c r="P1323" s="1" t="str">
        <f>_xlfn.CONCAT(B1323,C1323,D1323,E1323,F1323)</f>
        <v>ARAGUATINS 2.1Inverter(MBUS-15)46049,506944444446049,506944444446049,5520833333</v>
      </c>
      <c r="Q1323" s="1" t="str">
        <f t="shared" si="43"/>
        <v/>
      </c>
    </row>
    <row r="1324" spans="2:17">
      <c r="B1324" s="1" t="s">
        <v>311</v>
      </c>
      <c r="C1324" s="1" t="s">
        <v>263</v>
      </c>
      <c r="D1324" s="52">
        <v>46049.506944444445</v>
      </c>
      <c r="E1324" s="52">
        <v>46049.506944444445</v>
      </c>
      <c r="F1324" s="52">
        <v>46049.552083333336</v>
      </c>
      <c r="G1324" s="53">
        <f>F1324-E1324</f>
        <v>4.5138888890505768E-2</v>
      </c>
      <c r="K1324" s="1" t="e">
        <f>_xlfn.XLOOKUP(J1324,REF!$D$2:$D$12,REF!$E$2:$E$12)</f>
        <v>#N/A</v>
      </c>
      <c r="L1324" s="1" t="s">
        <v>604</v>
      </c>
      <c r="M1324" s="1" t="s">
        <v>289</v>
      </c>
      <c r="N1324" s="1" t="s">
        <v>253</v>
      </c>
      <c r="O1324" s="1" t="s">
        <v>618</v>
      </c>
      <c r="P1324" s="1" t="str">
        <f>_xlfn.CONCAT(B1324,C1324,D1324,E1324,F1324)</f>
        <v>ARAGUATINS 2.1Inverter(MBUS-14)46049,506944444446049,506944444446049,5520833333</v>
      </c>
      <c r="Q1324" s="1" t="str">
        <f t="shared" si="43"/>
        <v/>
      </c>
    </row>
    <row r="1325" spans="2:17">
      <c r="B1325" s="1" t="s">
        <v>311</v>
      </c>
      <c r="C1325" s="1" t="s">
        <v>247</v>
      </c>
      <c r="D1325" s="52">
        <v>46049.506944444445</v>
      </c>
      <c r="E1325" s="52">
        <v>46049.506944444445</v>
      </c>
      <c r="F1325" s="52">
        <v>46049.552083333336</v>
      </c>
      <c r="G1325" s="53">
        <f>F1325-E1325</f>
        <v>4.5138888890505768E-2</v>
      </c>
      <c r="K1325" s="1" t="e">
        <f>_xlfn.XLOOKUP(J1325,REF!$D$2:$D$12,REF!$E$2:$E$12)</f>
        <v>#N/A</v>
      </c>
      <c r="L1325" s="1" t="s">
        <v>604</v>
      </c>
      <c r="M1325" s="1" t="s">
        <v>289</v>
      </c>
      <c r="N1325" s="1" t="s">
        <v>253</v>
      </c>
      <c r="O1325" s="1" t="s">
        <v>618</v>
      </c>
      <c r="P1325" s="1" t="str">
        <f>_xlfn.CONCAT(B1325,C1325,D1325,E1325,F1325)</f>
        <v>ARAGUATINS 2.1Inverter(MBUS-1)46049,506944444446049,506944444446049,5520833333</v>
      </c>
      <c r="Q1325" s="1" t="str">
        <f t="shared" si="43"/>
        <v/>
      </c>
    </row>
    <row r="1326" spans="2:17">
      <c r="B1326" s="1" t="s">
        <v>312</v>
      </c>
      <c r="C1326" s="1" t="s">
        <v>307</v>
      </c>
      <c r="D1326" s="52">
        <v>46049.506944444445</v>
      </c>
      <c r="E1326" s="52">
        <v>46049.506944444445</v>
      </c>
      <c r="F1326" s="52">
        <v>46049.552083333336</v>
      </c>
      <c r="G1326" s="53">
        <f>F1326-E1326</f>
        <v>4.5138888890505768E-2</v>
      </c>
      <c r="K1326" s="1" t="e">
        <f>_xlfn.XLOOKUP(J1326,REF!$D$2:$D$12,REF!$E$2:$E$12)</f>
        <v>#N/A</v>
      </c>
      <c r="L1326" s="1" t="s">
        <v>604</v>
      </c>
      <c r="M1326" s="1" t="s">
        <v>289</v>
      </c>
      <c r="N1326" s="1" t="s">
        <v>253</v>
      </c>
      <c r="O1326" s="1" t="s">
        <v>618</v>
      </c>
      <c r="P1326" s="1" t="str">
        <f>_xlfn.CONCAT(B1326,C1326,D1326,E1326,F1326)</f>
        <v>ARAGUATINS 2.2Inverter(MBUS-15)46049,506944444446049,506944444446049,5520833333</v>
      </c>
      <c r="Q1326" s="1" t="str">
        <f t="shared" si="43"/>
        <v/>
      </c>
    </row>
    <row r="1327" spans="2:17">
      <c r="B1327" s="1" t="s">
        <v>312</v>
      </c>
      <c r="C1327" s="1" t="s">
        <v>264</v>
      </c>
      <c r="D1327" s="52">
        <v>46049.506944444445</v>
      </c>
      <c r="E1327" s="52">
        <v>46049.506944444445</v>
      </c>
      <c r="F1327" s="52">
        <v>46049.552083333336</v>
      </c>
      <c r="G1327" s="53">
        <f>F1327-E1327</f>
        <v>4.5138888890505768E-2</v>
      </c>
      <c r="K1327" s="1" t="e">
        <f>_xlfn.XLOOKUP(J1327,REF!$D$2:$D$12,REF!$E$2:$E$12)</f>
        <v>#N/A</v>
      </c>
      <c r="L1327" s="1" t="s">
        <v>604</v>
      </c>
      <c r="M1327" s="1" t="s">
        <v>289</v>
      </c>
      <c r="N1327" s="1" t="s">
        <v>253</v>
      </c>
      <c r="O1327" s="1" t="s">
        <v>618</v>
      </c>
      <c r="P1327" s="1" t="str">
        <f>_xlfn.CONCAT(B1327,C1327,D1327,E1327,F1327)</f>
        <v>ARAGUATINS 2.2Inverter(MBUS-13)46049,506944444446049,506944444446049,5520833333</v>
      </c>
      <c r="Q1327" s="1" t="str">
        <f t="shared" si="43"/>
        <v/>
      </c>
    </row>
    <row r="1328" spans="2:17">
      <c r="B1328" s="1" t="s">
        <v>312</v>
      </c>
      <c r="C1328" s="1" t="s">
        <v>263</v>
      </c>
      <c r="D1328" s="52">
        <v>46049.506944444445</v>
      </c>
      <c r="E1328" s="52">
        <v>46049.506944444445</v>
      </c>
      <c r="F1328" s="52">
        <v>46049.552083333336</v>
      </c>
      <c r="G1328" s="53">
        <f>F1328-E1328</f>
        <v>4.5138888890505768E-2</v>
      </c>
      <c r="K1328" s="1" t="e">
        <f>_xlfn.XLOOKUP(J1328,REF!$D$2:$D$12,REF!$E$2:$E$12)</f>
        <v>#N/A</v>
      </c>
      <c r="L1328" s="1" t="s">
        <v>604</v>
      </c>
      <c r="M1328" s="1" t="s">
        <v>289</v>
      </c>
      <c r="N1328" s="1" t="s">
        <v>253</v>
      </c>
      <c r="O1328" s="1" t="s">
        <v>618</v>
      </c>
      <c r="P1328" s="1" t="str">
        <f>_xlfn.CONCAT(B1328,C1328,D1328,E1328,F1328)</f>
        <v>ARAGUATINS 2.2Inverter(MBUS-14)46049,506944444446049,506944444446049,5520833333</v>
      </c>
      <c r="Q1328" s="1" t="str">
        <f t="shared" si="43"/>
        <v/>
      </c>
    </row>
    <row r="1329" spans="2:17">
      <c r="B1329" s="1" t="s">
        <v>312</v>
      </c>
      <c r="C1329" s="1" t="s">
        <v>256</v>
      </c>
      <c r="D1329" s="52">
        <v>46049.506944444445</v>
      </c>
      <c r="E1329" s="52">
        <v>46049.506944444445</v>
      </c>
      <c r="F1329" s="52">
        <v>46049.552083333336</v>
      </c>
      <c r="G1329" s="53">
        <f>F1329-E1329</f>
        <v>4.5138888890505768E-2</v>
      </c>
      <c r="K1329" s="1" t="e">
        <f>_xlfn.XLOOKUP(J1329,REF!$D$2:$D$12,REF!$E$2:$E$12)</f>
        <v>#N/A</v>
      </c>
      <c r="L1329" s="1" t="s">
        <v>604</v>
      </c>
      <c r="M1329" s="1" t="s">
        <v>289</v>
      </c>
      <c r="N1329" s="1" t="s">
        <v>253</v>
      </c>
      <c r="O1329" s="1" t="s">
        <v>618</v>
      </c>
      <c r="P1329" s="1" t="str">
        <f>_xlfn.CONCAT(B1329,C1329,D1329,E1329,F1329)</f>
        <v>ARAGUATINS 2.2Inverter(MBUS-12)46049,506944444446049,506944444446049,5520833333</v>
      </c>
      <c r="Q1329" s="1" t="str">
        <f t="shared" si="43"/>
        <v/>
      </c>
    </row>
    <row r="1330" spans="2:17">
      <c r="B1330" s="1" t="s">
        <v>313</v>
      </c>
      <c r="C1330" s="1" t="s">
        <v>256</v>
      </c>
      <c r="D1330" s="52">
        <v>46049.506944444445</v>
      </c>
      <c r="E1330" s="52">
        <v>46049.506944444445</v>
      </c>
      <c r="F1330" s="52">
        <v>46049.552083333336</v>
      </c>
      <c r="G1330" s="53">
        <f>F1330-E1330</f>
        <v>4.5138888890505768E-2</v>
      </c>
      <c r="K1330" s="1" t="e">
        <f>_xlfn.XLOOKUP(J1330,REF!$D$2:$D$12,REF!$E$2:$E$12)</f>
        <v>#N/A</v>
      </c>
      <c r="L1330" s="1" t="s">
        <v>604</v>
      </c>
      <c r="M1330" s="1" t="s">
        <v>289</v>
      </c>
      <c r="N1330" s="1" t="s">
        <v>253</v>
      </c>
      <c r="O1330" s="1" t="s">
        <v>618</v>
      </c>
      <c r="P1330" s="1" t="str">
        <f>_xlfn.CONCAT(B1330,C1330,D1330,E1330,F1330)</f>
        <v>ARAGUATINS 2.3Inverter(MBUS-12)46049,506944444446049,506944444446049,5520833333</v>
      </c>
      <c r="Q1330" s="1" t="str">
        <f t="shared" si="43"/>
        <v/>
      </c>
    </row>
    <row r="1331" spans="2:17">
      <c r="B1331" s="1" t="s">
        <v>313</v>
      </c>
      <c r="C1331" s="1" t="s">
        <v>264</v>
      </c>
      <c r="D1331" s="52">
        <v>46049.506944444445</v>
      </c>
      <c r="E1331" s="52">
        <v>46049.506944444445</v>
      </c>
      <c r="F1331" s="52">
        <v>46049.552083333336</v>
      </c>
      <c r="G1331" s="53">
        <f>F1331-E1331</f>
        <v>4.5138888890505768E-2</v>
      </c>
      <c r="K1331" s="1" t="e">
        <f>_xlfn.XLOOKUP(J1331,REF!$D$2:$D$12,REF!$E$2:$E$12)</f>
        <v>#N/A</v>
      </c>
      <c r="L1331" s="1" t="s">
        <v>604</v>
      </c>
      <c r="M1331" s="1" t="s">
        <v>289</v>
      </c>
      <c r="N1331" s="1" t="s">
        <v>253</v>
      </c>
      <c r="O1331" s="1" t="s">
        <v>618</v>
      </c>
      <c r="P1331" s="1" t="str">
        <f>_xlfn.CONCAT(B1331,C1331,D1331,E1331,F1331)</f>
        <v>ARAGUATINS 2.3Inverter(MBUS-13)46049,506944444446049,506944444446049,5520833333</v>
      </c>
      <c r="Q1331" s="1" t="str">
        <f t="shared" si="43"/>
        <v/>
      </c>
    </row>
    <row r="1332" spans="2:17">
      <c r="B1332" s="1" t="s">
        <v>619</v>
      </c>
      <c r="C1332" s="1" t="s">
        <v>247</v>
      </c>
      <c r="D1332" s="52">
        <v>46049.513888888891</v>
      </c>
      <c r="E1332" s="52">
        <v>46049.513888888891</v>
      </c>
      <c r="F1332" s="59">
        <v>46053.999988425923</v>
      </c>
      <c r="G1332" s="53">
        <f>F1332-E1332</f>
        <v>4.4860995370327146</v>
      </c>
      <c r="K1332" s="1" t="e">
        <f>_xlfn.XLOOKUP(J1332,REF!$D$2:$D$12,REF!$E$2:$E$12)</f>
        <v>#N/A</v>
      </c>
      <c r="L1332" s="1" t="s">
        <v>620</v>
      </c>
      <c r="M1332" s="1" t="s">
        <v>252</v>
      </c>
      <c r="N1332" s="1" t="s">
        <v>253</v>
      </c>
      <c r="O1332" s="72" t="s">
        <v>621</v>
      </c>
      <c r="P1332" s="1" t="str">
        <f>_xlfn.CONCAT(B1332,C1332,D1332,E1332,F1332)</f>
        <v>BC Vazante2.2Inverter(MBUS-1)46049,513888888946049,513888888946053,9999884259</v>
      </c>
      <c r="Q1332" s="1" t="str">
        <f t="shared" si="43"/>
        <v/>
      </c>
    </row>
    <row r="1333" spans="2:17">
      <c r="B1333" s="1" t="s">
        <v>612</v>
      </c>
      <c r="C1333" s="1" t="s">
        <v>622</v>
      </c>
      <c r="D1333" s="52">
        <v>46049.582638888889</v>
      </c>
      <c r="E1333" s="52">
        <v>46049.582638888889</v>
      </c>
      <c r="F1333" s="52">
        <v>46049.604166666664</v>
      </c>
      <c r="G1333" s="53">
        <f>F1333-E1333</f>
        <v>2.1527777775190771E-2</v>
      </c>
      <c r="K1333" s="1" t="e">
        <f>_xlfn.XLOOKUP(J1333,REF!$D$2:$D$12,REF!$E$2:$E$12)</f>
        <v>#N/A</v>
      </c>
      <c r="L1333" s="1" t="s">
        <v>623</v>
      </c>
      <c r="M1333" s="1" t="s">
        <v>260</v>
      </c>
      <c r="N1333" s="1" t="s">
        <v>261</v>
      </c>
      <c r="O1333" s="1" t="s">
        <v>624</v>
      </c>
      <c r="P1333" s="1" t="str">
        <f>_xlfn.CONCAT(B1333,C1333,D1333,E1333,F1333)</f>
        <v>BC Vazante 1.1Inverter1246049,582638888946049,582638888946049,6041666667</v>
      </c>
      <c r="Q1333" s="1" t="str">
        <f t="shared" si="43"/>
        <v/>
      </c>
    </row>
    <row r="1334" spans="2:17">
      <c r="B1334" s="1" t="s">
        <v>456</v>
      </c>
      <c r="C1334" s="1" t="s">
        <v>457</v>
      </c>
      <c r="D1334" s="52">
        <v>46049.600694444445</v>
      </c>
      <c r="E1334" s="52">
        <v>46049.600694444445</v>
      </c>
      <c r="F1334" s="52">
        <v>46049.680555555555</v>
      </c>
      <c r="G1334" s="53">
        <f>F1334-E1334</f>
        <v>7.9861111109494232E-2</v>
      </c>
      <c r="K1334" s="1" t="e">
        <f>_xlfn.XLOOKUP(J1334,REF!$D$2:$D$12,REF!$E$2:$E$12)</f>
        <v>#N/A</v>
      </c>
      <c r="L1334" s="1" t="s">
        <v>625</v>
      </c>
      <c r="M1334" s="1" t="s">
        <v>260</v>
      </c>
      <c r="N1334" s="1" t="s">
        <v>261</v>
      </c>
      <c r="O1334" s="1" t="s">
        <v>607</v>
      </c>
      <c r="P1334" s="1" t="str">
        <f>_xlfn.CONCAT(B1334,C1334,D1334,E1334,F1334)</f>
        <v>BC Caiaponia1SG60KTL(COM1-001)_001_00746049,600694444446049,600694444446049,6805555556</v>
      </c>
      <c r="Q1334" s="1" t="str">
        <f t="shared" si="43"/>
        <v/>
      </c>
    </row>
    <row r="1335" spans="2:17">
      <c r="B1335" s="1" t="s">
        <v>456</v>
      </c>
      <c r="C1335" s="1" t="s">
        <v>459</v>
      </c>
      <c r="D1335" s="52">
        <v>46049.600694444445</v>
      </c>
      <c r="E1335" s="52">
        <v>46049.600694444445</v>
      </c>
      <c r="F1335" s="52">
        <v>46049.680555555555</v>
      </c>
      <c r="G1335" s="53">
        <f>F1335-E1335</f>
        <v>7.9861111109494232E-2</v>
      </c>
      <c r="K1335" s="1" t="e">
        <f>_xlfn.XLOOKUP(J1335,REF!$D$2:$D$12,REF!$E$2:$E$12)</f>
        <v>#N/A</v>
      </c>
      <c r="L1335" s="1" t="s">
        <v>625</v>
      </c>
      <c r="M1335" s="1" t="s">
        <v>260</v>
      </c>
      <c r="N1335" s="1" t="s">
        <v>261</v>
      </c>
      <c r="O1335" s="1" t="s">
        <v>607</v>
      </c>
      <c r="P1335" s="1" t="str">
        <f>_xlfn.CONCAT(B1335,C1335,D1335,E1335,F1335)</f>
        <v>BC Caiaponia1SG60KTL(COM1-002)_001_01046049,600694444446049,600694444446049,6805555556</v>
      </c>
      <c r="Q1335" s="1" t="str">
        <f t="shared" si="43"/>
        <v/>
      </c>
    </row>
    <row r="1336" spans="2:17">
      <c r="B1336" s="1" t="s">
        <v>456</v>
      </c>
      <c r="C1336" s="1" t="s">
        <v>460</v>
      </c>
      <c r="D1336" s="52">
        <v>46049.600694444445</v>
      </c>
      <c r="E1336" s="52">
        <v>46049.600694444445</v>
      </c>
      <c r="F1336" s="52">
        <v>46049.680555555555</v>
      </c>
      <c r="G1336" s="53">
        <f>F1336-E1336</f>
        <v>7.9861111109494232E-2</v>
      </c>
      <c r="K1336" s="1" t="e">
        <f>_xlfn.XLOOKUP(J1336,REF!$D$2:$D$12,REF!$E$2:$E$12)</f>
        <v>#N/A</v>
      </c>
      <c r="L1336" s="1" t="s">
        <v>625</v>
      </c>
      <c r="M1336" s="1" t="s">
        <v>260</v>
      </c>
      <c r="N1336" s="1" t="s">
        <v>261</v>
      </c>
      <c r="O1336" s="1" t="s">
        <v>607</v>
      </c>
      <c r="P1336" s="1" t="str">
        <f>_xlfn.CONCAT(B1336,C1336,D1336,E1336,F1336)</f>
        <v>BC Caiaponia1SG60KTL(COM1-003)_001_01146049,600694444446049,600694444446049,6805555556</v>
      </c>
      <c r="Q1336" s="1" t="str">
        <f t="shared" si="43"/>
        <v/>
      </c>
    </row>
    <row r="1337" spans="2:17">
      <c r="B1337" s="1" t="s">
        <v>456</v>
      </c>
      <c r="C1337" s="1" t="s">
        <v>461</v>
      </c>
      <c r="D1337" s="52">
        <v>46049.600694444445</v>
      </c>
      <c r="E1337" s="52">
        <v>46049.600694444445</v>
      </c>
      <c r="F1337" s="52">
        <v>46049.680555555555</v>
      </c>
      <c r="G1337" s="53">
        <f>F1337-E1337</f>
        <v>7.9861111109494232E-2</v>
      </c>
      <c r="K1337" s="1" t="e">
        <f>_xlfn.XLOOKUP(J1337,REF!$D$2:$D$12,REF!$E$2:$E$12)</f>
        <v>#N/A</v>
      </c>
      <c r="L1337" s="1" t="s">
        <v>625</v>
      </c>
      <c r="M1337" s="1" t="s">
        <v>260</v>
      </c>
      <c r="N1337" s="1" t="s">
        <v>261</v>
      </c>
      <c r="O1337" s="1" t="s">
        <v>607</v>
      </c>
      <c r="P1337" s="1" t="str">
        <f>_xlfn.CONCAT(B1337,C1337,D1337,E1337,F1337)</f>
        <v>BC Caiaponia1SG60KTL(COM1-004)_001_01446049,600694444446049,600694444446049,6805555556</v>
      </c>
      <c r="Q1337" s="1" t="str">
        <f t="shared" si="43"/>
        <v/>
      </c>
    </row>
    <row r="1338" spans="2:17">
      <c r="B1338" s="1" t="s">
        <v>456</v>
      </c>
      <c r="C1338" s="1" t="s">
        <v>462</v>
      </c>
      <c r="D1338" s="52">
        <v>46049.600694444445</v>
      </c>
      <c r="E1338" s="52">
        <v>46049.600694444445</v>
      </c>
      <c r="F1338" s="52">
        <v>46049.680555555555</v>
      </c>
      <c r="G1338" s="53">
        <f>F1338-E1338</f>
        <v>7.9861111109494232E-2</v>
      </c>
      <c r="K1338" s="1" t="e">
        <f>_xlfn.XLOOKUP(J1338,REF!$D$2:$D$12,REF!$E$2:$E$12)</f>
        <v>#N/A</v>
      </c>
      <c r="L1338" s="1" t="s">
        <v>625</v>
      </c>
      <c r="M1338" s="1" t="s">
        <v>260</v>
      </c>
      <c r="N1338" s="1" t="s">
        <v>261</v>
      </c>
      <c r="O1338" s="1" t="s">
        <v>607</v>
      </c>
      <c r="P1338" s="1" t="str">
        <f>_xlfn.CONCAT(B1338,C1338,D1338,E1338,F1338)</f>
        <v>BC Caiaponia1SG60KTL(COM1-005)_001_01746049,600694444446049,600694444446049,6805555556</v>
      </c>
      <c r="Q1338" s="1" t="str">
        <f t="shared" si="43"/>
        <v/>
      </c>
    </row>
    <row r="1339" spans="2:17">
      <c r="B1339" s="1" t="s">
        <v>456</v>
      </c>
      <c r="C1339" s="1" t="s">
        <v>463</v>
      </c>
      <c r="D1339" s="52">
        <v>46049.600694444445</v>
      </c>
      <c r="E1339" s="52">
        <v>46049.600694444445</v>
      </c>
      <c r="F1339" s="52">
        <v>46049.680555555555</v>
      </c>
      <c r="G1339" s="53">
        <f>F1339-E1339</f>
        <v>7.9861111109494232E-2</v>
      </c>
      <c r="K1339" s="1" t="e">
        <f>_xlfn.XLOOKUP(J1339,REF!$D$2:$D$12,REF!$E$2:$E$12)</f>
        <v>#N/A</v>
      </c>
      <c r="L1339" s="1" t="s">
        <v>625</v>
      </c>
      <c r="M1339" s="1" t="s">
        <v>260</v>
      </c>
      <c r="N1339" s="1" t="s">
        <v>261</v>
      </c>
      <c r="O1339" s="1" t="s">
        <v>607</v>
      </c>
      <c r="P1339" s="1" t="str">
        <f>_xlfn.CONCAT(B1339,C1339,D1339,E1339,F1339)</f>
        <v>BC Caiaponia1SG60KTL(COM1-006)_001_01646049,600694444446049,600694444446049,6805555556</v>
      </c>
      <c r="Q1339" s="1" t="str">
        <f t="shared" si="43"/>
        <v/>
      </c>
    </row>
    <row r="1340" spans="2:17">
      <c r="B1340" s="1" t="s">
        <v>456</v>
      </c>
      <c r="C1340" s="1" t="s">
        <v>464</v>
      </c>
      <c r="D1340" s="52">
        <v>46049.600694444445</v>
      </c>
      <c r="E1340" s="52">
        <v>46049.600694444445</v>
      </c>
      <c r="F1340" s="52">
        <v>46049.680555555555</v>
      </c>
      <c r="G1340" s="53">
        <f>F1340-E1340</f>
        <v>7.9861111109494232E-2</v>
      </c>
      <c r="K1340" s="1" t="e">
        <f>_xlfn.XLOOKUP(J1340,REF!$D$2:$D$12,REF!$E$2:$E$12)</f>
        <v>#N/A</v>
      </c>
      <c r="L1340" s="1" t="s">
        <v>625</v>
      </c>
      <c r="M1340" s="1" t="s">
        <v>260</v>
      </c>
      <c r="N1340" s="1" t="s">
        <v>261</v>
      </c>
      <c r="O1340" s="1" t="s">
        <v>607</v>
      </c>
      <c r="P1340" s="1" t="str">
        <f>_xlfn.CONCAT(B1340,C1340,D1340,E1340,F1340)</f>
        <v>BC Caiaponia1SG60KTL(COM1-007)_001_01346049,600694444446049,600694444446049,6805555556</v>
      </c>
      <c r="Q1340" s="1" t="str">
        <f t="shared" si="43"/>
        <v/>
      </c>
    </row>
    <row r="1341" spans="2:17">
      <c r="B1341" s="1" t="s">
        <v>456</v>
      </c>
      <c r="C1341" s="1" t="s">
        <v>465</v>
      </c>
      <c r="D1341" s="52">
        <v>46049.600694444445</v>
      </c>
      <c r="E1341" s="52">
        <v>46049.600694444445</v>
      </c>
      <c r="F1341" s="52">
        <v>46049.680555555555</v>
      </c>
      <c r="G1341" s="53">
        <f>F1341-E1341</f>
        <v>7.9861111109494232E-2</v>
      </c>
      <c r="K1341" s="1" t="e">
        <f>_xlfn.XLOOKUP(J1341,REF!$D$2:$D$12,REF!$E$2:$E$12)</f>
        <v>#N/A</v>
      </c>
      <c r="L1341" s="1" t="s">
        <v>625</v>
      </c>
      <c r="M1341" s="1" t="s">
        <v>260</v>
      </c>
      <c r="N1341" s="1" t="s">
        <v>261</v>
      </c>
      <c r="O1341" s="1" t="s">
        <v>607</v>
      </c>
      <c r="P1341" s="1" t="str">
        <f>_xlfn.CONCAT(B1341,C1341,D1341,E1341,F1341)</f>
        <v>BC Caiaponia1SG60KTL(COM1-008)_001_00146049,600694444446049,600694444446049,6805555556</v>
      </c>
      <c r="Q1341" s="1" t="str">
        <f t="shared" si="43"/>
        <v/>
      </c>
    </row>
    <row r="1342" spans="2:17">
      <c r="B1342" s="1" t="s">
        <v>456</v>
      </c>
      <c r="C1342" s="1" t="s">
        <v>466</v>
      </c>
      <c r="D1342" s="52">
        <v>46049.600694444445</v>
      </c>
      <c r="E1342" s="52">
        <v>46049.600694444445</v>
      </c>
      <c r="F1342" s="52">
        <v>46049.680555555555</v>
      </c>
      <c r="G1342" s="53">
        <f>F1342-E1342</f>
        <v>7.9861111109494232E-2</v>
      </c>
      <c r="K1342" s="1" t="e">
        <f>_xlfn.XLOOKUP(J1342,REF!$D$2:$D$12,REF!$E$2:$E$12)</f>
        <v>#N/A</v>
      </c>
      <c r="L1342" s="1" t="s">
        <v>625</v>
      </c>
      <c r="M1342" s="1" t="s">
        <v>260</v>
      </c>
      <c r="N1342" s="1" t="s">
        <v>261</v>
      </c>
      <c r="O1342" s="1" t="s">
        <v>607</v>
      </c>
      <c r="P1342" s="1" t="str">
        <f>_xlfn.CONCAT(B1342,C1342,D1342,E1342,F1342)</f>
        <v>BC Caiaponia1SG60KTL(COM1-009)46049,600694444446049,600694444446049,6805555556</v>
      </c>
      <c r="Q1342" s="1" t="str">
        <f t="shared" si="43"/>
        <v/>
      </c>
    </row>
    <row r="1343" spans="2:17">
      <c r="B1343" s="1" t="s">
        <v>456</v>
      </c>
      <c r="C1343" s="1" t="s">
        <v>467</v>
      </c>
      <c r="D1343" s="52">
        <v>46049.600694444445</v>
      </c>
      <c r="E1343" s="52">
        <v>46049.600694444445</v>
      </c>
      <c r="F1343" s="52">
        <v>46049.680555555555</v>
      </c>
      <c r="G1343" s="53">
        <f>F1343-E1343</f>
        <v>7.9861111109494232E-2</v>
      </c>
      <c r="K1343" s="1" t="e">
        <f>_xlfn.XLOOKUP(J1343,REF!$D$2:$D$12,REF!$E$2:$E$12)</f>
        <v>#N/A</v>
      </c>
      <c r="L1343" s="1" t="s">
        <v>625</v>
      </c>
      <c r="M1343" s="1" t="s">
        <v>260</v>
      </c>
      <c r="N1343" s="1" t="s">
        <v>261</v>
      </c>
      <c r="O1343" s="1" t="s">
        <v>607</v>
      </c>
      <c r="P1343" s="1" t="str">
        <f>_xlfn.CONCAT(B1343,C1343,D1343,E1343,F1343)</f>
        <v>BC Caiaponia1SG60KTL(COM1-010)46049,600694444446049,600694444446049,6805555556</v>
      </c>
      <c r="Q1343" s="1" t="str">
        <f t="shared" si="43"/>
        <v/>
      </c>
    </row>
    <row r="1344" spans="2:17">
      <c r="B1344" s="1" t="s">
        <v>456</v>
      </c>
      <c r="C1344" s="1" t="s">
        <v>468</v>
      </c>
      <c r="D1344" s="52">
        <v>46049.600694444445</v>
      </c>
      <c r="E1344" s="52">
        <v>46049.600694444445</v>
      </c>
      <c r="F1344" s="52">
        <v>46049.680555555555</v>
      </c>
      <c r="G1344" s="53">
        <f>F1344-E1344</f>
        <v>7.9861111109494232E-2</v>
      </c>
      <c r="K1344" s="1" t="e">
        <f>_xlfn.XLOOKUP(J1344,REF!$D$2:$D$12,REF!$E$2:$E$12)</f>
        <v>#N/A</v>
      </c>
      <c r="L1344" s="1" t="s">
        <v>625</v>
      </c>
      <c r="M1344" s="1" t="s">
        <v>260</v>
      </c>
      <c r="N1344" s="1" t="s">
        <v>261</v>
      </c>
      <c r="O1344" s="1" t="s">
        <v>607</v>
      </c>
      <c r="P1344" s="1" t="str">
        <f>_xlfn.CONCAT(B1344,C1344,D1344,E1344,F1344)</f>
        <v>BC Caiaponia1SG60KTL(COM1-011)46049,600694444446049,600694444446049,6805555556</v>
      </c>
      <c r="Q1344" s="1" t="str">
        <f t="shared" si="43"/>
        <v/>
      </c>
    </row>
    <row r="1345" spans="2:17">
      <c r="B1345" s="1" t="s">
        <v>456</v>
      </c>
      <c r="C1345" s="1" t="s">
        <v>469</v>
      </c>
      <c r="D1345" s="52">
        <v>46049.600694444445</v>
      </c>
      <c r="E1345" s="52">
        <v>46049.600694444445</v>
      </c>
      <c r="F1345" s="52">
        <v>46049.680555555555</v>
      </c>
      <c r="G1345" s="53">
        <f>F1345-E1345</f>
        <v>7.9861111109494232E-2</v>
      </c>
      <c r="K1345" s="1" t="e">
        <f>_xlfn.XLOOKUP(J1345,REF!$D$2:$D$12,REF!$E$2:$E$12)</f>
        <v>#N/A</v>
      </c>
      <c r="L1345" s="1" t="s">
        <v>625</v>
      </c>
      <c r="M1345" s="1" t="s">
        <v>260</v>
      </c>
      <c r="N1345" s="1" t="s">
        <v>261</v>
      </c>
      <c r="O1345" s="1" t="s">
        <v>607</v>
      </c>
      <c r="P1345" s="1" t="str">
        <f>_xlfn.CONCAT(B1345,C1345,D1345,E1345,F1345)</f>
        <v>BC Caiaponia1SG60KTL(COM1-012)46049,600694444446049,600694444446049,6805555556</v>
      </c>
      <c r="Q1345" s="1" t="str">
        <f t="shared" si="43"/>
        <v/>
      </c>
    </row>
    <row r="1346" spans="2:17">
      <c r="B1346" s="1" t="s">
        <v>456</v>
      </c>
      <c r="C1346" s="1" t="s">
        <v>470</v>
      </c>
      <c r="D1346" s="52">
        <v>46049.600694444445</v>
      </c>
      <c r="E1346" s="52">
        <v>46049.600694444445</v>
      </c>
      <c r="F1346" s="52">
        <v>46049.680555555555</v>
      </c>
      <c r="G1346" s="53">
        <f>F1346-E1346</f>
        <v>7.9861111109494232E-2</v>
      </c>
      <c r="K1346" s="1" t="e">
        <f>_xlfn.XLOOKUP(J1346,REF!$D$2:$D$12,REF!$E$2:$E$12)</f>
        <v>#N/A</v>
      </c>
      <c r="L1346" s="1" t="s">
        <v>625</v>
      </c>
      <c r="M1346" s="1" t="s">
        <v>260</v>
      </c>
      <c r="N1346" s="1" t="s">
        <v>261</v>
      </c>
      <c r="O1346" s="1" t="s">
        <v>607</v>
      </c>
      <c r="P1346" s="1" t="str">
        <f>_xlfn.CONCAT(B1346,C1346,D1346,E1346,F1346)</f>
        <v>BC Caiaponia1SG60KTL(COM1-013)46049,600694444446049,600694444446049,6805555556</v>
      </c>
      <c r="Q1346" s="1" t="str">
        <f t="shared" si="43"/>
        <v/>
      </c>
    </row>
    <row r="1347" spans="2:17">
      <c r="B1347" s="1" t="s">
        <v>456</v>
      </c>
      <c r="C1347" s="1" t="s">
        <v>471</v>
      </c>
      <c r="D1347" s="52">
        <v>46049.600694444445</v>
      </c>
      <c r="E1347" s="52">
        <v>46049.600694444445</v>
      </c>
      <c r="F1347" s="52">
        <v>46049.680555555555</v>
      </c>
      <c r="G1347" s="53">
        <f>F1347-E1347</f>
        <v>7.9861111109494232E-2</v>
      </c>
      <c r="K1347" s="1" t="e">
        <f>_xlfn.XLOOKUP(J1347,REF!$D$2:$D$12,REF!$E$2:$E$12)</f>
        <v>#N/A</v>
      </c>
      <c r="L1347" s="1" t="s">
        <v>625</v>
      </c>
      <c r="M1347" s="1" t="s">
        <v>260</v>
      </c>
      <c r="N1347" s="1" t="s">
        <v>261</v>
      </c>
      <c r="O1347" s="1" t="s">
        <v>607</v>
      </c>
      <c r="P1347" s="1" t="str">
        <f>_xlfn.CONCAT(B1347,C1347,D1347,E1347,F1347)</f>
        <v>BC Caiaponia1SG60KTL(COM1-014)46049,600694444446049,600694444446049,6805555556</v>
      </c>
      <c r="Q1347" s="1" t="str">
        <f t="shared" si="43"/>
        <v/>
      </c>
    </row>
    <row r="1348" spans="2:17">
      <c r="B1348" s="1" t="s">
        <v>456</v>
      </c>
      <c r="C1348" s="1" t="s">
        <v>472</v>
      </c>
      <c r="D1348" s="52">
        <v>46049.600694444445</v>
      </c>
      <c r="E1348" s="52">
        <v>46049.600694444445</v>
      </c>
      <c r="F1348" s="52">
        <v>46049.680555555555</v>
      </c>
      <c r="G1348" s="53">
        <f>F1348-E1348</f>
        <v>7.9861111109494232E-2</v>
      </c>
      <c r="K1348" s="1" t="e">
        <f>_xlfn.XLOOKUP(J1348,REF!$D$2:$D$12,REF!$E$2:$E$12)</f>
        <v>#N/A</v>
      </c>
      <c r="L1348" s="1" t="s">
        <v>625</v>
      </c>
      <c r="M1348" s="1" t="s">
        <v>260</v>
      </c>
      <c r="N1348" s="1" t="s">
        <v>261</v>
      </c>
      <c r="O1348" s="1" t="s">
        <v>607</v>
      </c>
      <c r="P1348" s="1" t="str">
        <f>_xlfn.CONCAT(B1348,C1348,D1348,E1348,F1348)</f>
        <v>BC Caiaponia1SG60KTL(COM1-015)46049,600694444446049,600694444446049,6805555556</v>
      </c>
      <c r="Q1348" s="1" t="str">
        <f t="shared" si="43"/>
        <v/>
      </c>
    </row>
    <row r="1349" spans="2:17">
      <c r="B1349" s="1" t="s">
        <v>456</v>
      </c>
      <c r="C1349" s="1" t="s">
        <v>473</v>
      </c>
      <c r="D1349" s="52">
        <v>46049.600694444445</v>
      </c>
      <c r="E1349" s="52">
        <v>46049.600694444445</v>
      </c>
      <c r="F1349" s="52">
        <v>46049.680555555555</v>
      </c>
      <c r="G1349" s="53">
        <f>F1349-E1349</f>
        <v>7.9861111109494232E-2</v>
      </c>
      <c r="K1349" s="1" t="e">
        <f>_xlfn.XLOOKUP(J1349,REF!$D$2:$D$12,REF!$E$2:$E$12)</f>
        <v>#N/A</v>
      </c>
      <c r="L1349" s="1" t="s">
        <v>625</v>
      </c>
      <c r="M1349" s="1" t="s">
        <v>260</v>
      </c>
      <c r="N1349" s="1" t="s">
        <v>261</v>
      </c>
      <c r="O1349" s="1" t="s">
        <v>607</v>
      </c>
      <c r="P1349" s="1" t="str">
        <f>_xlfn.CONCAT(B1349,C1349,D1349,E1349,F1349)</f>
        <v>BC Caiaponia1SG60KTL(COM3-016)_001_00946049,600694444446049,600694444446049,6805555556</v>
      </c>
      <c r="Q1349" s="1" t="str">
        <f t="shared" si="43"/>
        <v/>
      </c>
    </row>
    <row r="1350" spans="2:17">
      <c r="B1350" s="1" t="s">
        <v>456</v>
      </c>
      <c r="C1350" s="1" t="s">
        <v>474</v>
      </c>
      <c r="D1350" s="52">
        <v>46049.600694444445</v>
      </c>
      <c r="E1350" s="52">
        <v>46049.600694444445</v>
      </c>
      <c r="F1350" s="52">
        <v>46049.680555555555</v>
      </c>
      <c r="G1350" s="53">
        <f>F1350-E1350</f>
        <v>7.9861111109494232E-2</v>
      </c>
      <c r="K1350" s="1" t="e">
        <f>_xlfn.XLOOKUP(J1350,REF!$D$2:$D$12,REF!$E$2:$E$12)</f>
        <v>#N/A</v>
      </c>
      <c r="L1350" s="1" t="s">
        <v>625</v>
      </c>
      <c r="M1350" s="1" t="s">
        <v>260</v>
      </c>
      <c r="N1350" s="1" t="s">
        <v>261</v>
      </c>
      <c r="O1350" s="1" t="s">
        <v>607</v>
      </c>
      <c r="P1350" s="1" t="str">
        <f>_xlfn.CONCAT(B1350,C1350,D1350,E1350,F1350)</f>
        <v>BC Caiaponia1SG60KTL(COM3-017)_001_01246049,600694444446049,600694444446049,6805555556</v>
      </c>
      <c r="Q1350" s="1" t="str">
        <f t="shared" si="43"/>
        <v/>
      </c>
    </row>
    <row r="1351" spans="2:17">
      <c r="B1351" s="1" t="s">
        <v>456</v>
      </c>
      <c r="C1351" s="1" t="s">
        <v>475</v>
      </c>
      <c r="D1351" s="52">
        <v>46049.600694444445</v>
      </c>
      <c r="E1351" s="52">
        <v>46049.600694444445</v>
      </c>
      <c r="F1351" s="52">
        <v>46049.680555555555</v>
      </c>
      <c r="G1351" s="53">
        <f>F1351-E1351</f>
        <v>7.9861111109494232E-2</v>
      </c>
      <c r="K1351" s="1" t="e">
        <f>_xlfn.XLOOKUP(J1351,REF!$D$2:$D$12,REF!$E$2:$E$12)</f>
        <v>#N/A</v>
      </c>
      <c r="L1351" s="1" t="s">
        <v>625</v>
      </c>
      <c r="M1351" s="1" t="s">
        <v>260</v>
      </c>
      <c r="N1351" s="1" t="s">
        <v>261</v>
      </c>
      <c r="O1351" s="1" t="s">
        <v>607</v>
      </c>
      <c r="P1351" s="1" t="str">
        <f>_xlfn.CONCAT(B1351,C1351,D1351,E1351,F1351)</f>
        <v>BC Caiaponia1SG60KTL(COM3-018)_001_00846049,600694444446049,600694444446049,6805555556</v>
      </c>
      <c r="Q1351" s="1" t="str">
        <f t="shared" si="43"/>
        <v/>
      </c>
    </row>
    <row r="1352" spans="2:17">
      <c r="B1352" s="1" t="s">
        <v>456</v>
      </c>
      <c r="C1352" s="1" t="s">
        <v>476</v>
      </c>
      <c r="D1352" s="52">
        <v>46049.600694444445</v>
      </c>
      <c r="E1352" s="52">
        <v>46049.600694444445</v>
      </c>
      <c r="F1352" s="52">
        <v>46049.680555555555</v>
      </c>
      <c r="G1352" s="53">
        <f>F1352-E1352</f>
        <v>7.9861111109494232E-2</v>
      </c>
      <c r="K1352" s="1" t="e">
        <f>_xlfn.XLOOKUP(J1352,REF!$D$2:$D$12,REF!$E$2:$E$12)</f>
        <v>#N/A</v>
      </c>
      <c r="L1352" s="1" t="s">
        <v>625</v>
      </c>
      <c r="M1352" s="1" t="s">
        <v>260</v>
      </c>
      <c r="N1352" s="1" t="s">
        <v>261</v>
      </c>
      <c r="O1352" s="1" t="s">
        <v>607</v>
      </c>
      <c r="P1352" s="1" t="str">
        <f>_xlfn.CONCAT(B1352,C1352,D1352,E1352,F1352)</f>
        <v>BC Caiaponia1SG60KTL(COM3-019)_001_01946049,600694444446049,600694444446049,6805555556</v>
      </c>
      <c r="Q1352" s="1" t="str">
        <f t="shared" si="43"/>
        <v/>
      </c>
    </row>
    <row r="1353" spans="2:17">
      <c r="B1353" s="1" t="s">
        <v>456</v>
      </c>
      <c r="C1353" s="1" t="s">
        <v>477</v>
      </c>
      <c r="D1353" s="52">
        <v>46049.600694444445</v>
      </c>
      <c r="E1353" s="52">
        <v>46049.600694444445</v>
      </c>
      <c r="F1353" s="52">
        <v>46049.680555555555</v>
      </c>
      <c r="G1353" s="53">
        <f>F1353-E1353</f>
        <v>7.9861111109494232E-2</v>
      </c>
      <c r="K1353" s="1" t="e">
        <f>_xlfn.XLOOKUP(J1353,REF!$D$2:$D$12,REF!$E$2:$E$12)</f>
        <v>#N/A</v>
      </c>
      <c r="L1353" s="1" t="s">
        <v>625</v>
      </c>
      <c r="M1353" s="1" t="s">
        <v>260</v>
      </c>
      <c r="N1353" s="1" t="s">
        <v>261</v>
      </c>
      <c r="O1353" s="1" t="s">
        <v>607</v>
      </c>
      <c r="P1353" s="1" t="str">
        <f>_xlfn.CONCAT(B1353,C1353,D1353,E1353,F1353)</f>
        <v>BC Caiaponia1SG60KTL(COM3-020)_001_02046049,600694444446049,600694444446049,6805555556</v>
      </c>
      <c r="Q1353" s="1" t="str">
        <f t="shared" si="43"/>
        <v/>
      </c>
    </row>
    <row r="1354" spans="2:17">
      <c r="B1354" s="1" t="s">
        <v>456</v>
      </c>
      <c r="C1354" s="1" t="s">
        <v>478</v>
      </c>
      <c r="D1354" s="52">
        <v>46049.600694444445</v>
      </c>
      <c r="E1354" s="52">
        <v>46049.600694444445</v>
      </c>
      <c r="F1354" s="52">
        <v>46049.680555555555</v>
      </c>
      <c r="G1354" s="53">
        <f>F1354-E1354</f>
        <v>7.9861111109494232E-2</v>
      </c>
      <c r="K1354" s="1" t="e">
        <f>_xlfn.XLOOKUP(J1354,REF!$D$2:$D$12,REF!$E$2:$E$12)</f>
        <v>#N/A</v>
      </c>
      <c r="L1354" s="1" t="s">
        <v>625</v>
      </c>
      <c r="M1354" s="1" t="s">
        <v>260</v>
      </c>
      <c r="N1354" s="1" t="s">
        <v>261</v>
      </c>
      <c r="O1354" s="1" t="s">
        <v>607</v>
      </c>
      <c r="P1354" s="1" t="str">
        <f>_xlfn.CONCAT(B1354,C1354,D1354,E1354,F1354)</f>
        <v>BC Caiaponia1SG60KTL(COM2-026)46049,600694444446049,600694444446049,6805555556</v>
      </c>
      <c r="Q1354" s="1" t="str">
        <f t="shared" si="43"/>
        <v/>
      </c>
    </row>
    <row r="1355" spans="2:17">
      <c r="B1355" s="1" t="s">
        <v>456</v>
      </c>
      <c r="C1355" s="1" t="s">
        <v>479</v>
      </c>
      <c r="D1355" s="52">
        <v>46049.600694444445</v>
      </c>
      <c r="E1355" s="52">
        <v>46049.600694444445</v>
      </c>
      <c r="F1355" s="52">
        <v>46049.680555555555</v>
      </c>
      <c r="G1355" s="53">
        <f>F1355-E1355</f>
        <v>7.9861111109494232E-2</v>
      </c>
      <c r="K1355" s="1" t="e">
        <f>_xlfn.XLOOKUP(J1355,REF!$D$2:$D$12,REF!$E$2:$E$12)</f>
        <v>#N/A</v>
      </c>
      <c r="L1355" s="1" t="s">
        <v>625</v>
      </c>
      <c r="M1355" s="1" t="s">
        <v>260</v>
      </c>
      <c r="N1355" s="1" t="s">
        <v>261</v>
      </c>
      <c r="O1355" s="1" t="s">
        <v>607</v>
      </c>
      <c r="P1355" s="1" t="str">
        <f>_xlfn.CONCAT(B1355,C1355,D1355,E1355,F1355)</f>
        <v>BC Caiaponia1SG60KTL(COM2-027)46049,600694444446049,600694444446049,6805555556</v>
      </c>
      <c r="Q1355" s="1" t="str">
        <f t="shared" si="43"/>
        <v/>
      </c>
    </row>
    <row r="1356" spans="2:17">
      <c r="B1356" s="1" t="s">
        <v>456</v>
      </c>
      <c r="C1356" s="1" t="s">
        <v>480</v>
      </c>
      <c r="D1356" s="52">
        <v>46049.600694444445</v>
      </c>
      <c r="E1356" s="52">
        <v>46049.600694444445</v>
      </c>
      <c r="F1356" s="52">
        <v>46049.680555555555</v>
      </c>
      <c r="G1356" s="53">
        <f>F1356-E1356</f>
        <v>7.9861111109494232E-2</v>
      </c>
      <c r="K1356" s="1" t="e">
        <f>_xlfn.XLOOKUP(J1356,REF!$D$2:$D$12,REF!$E$2:$E$12)</f>
        <v>#N/A</v>
      </c>
      <c r="L1356" s="1" t="s">
        <v>625</v>
      </c>
      <c r="M1356" s="1" t="s">
        <v>260</v>
      </c>
      <c r="N1356" s="1" t="s">
        <v>261</v>
      </c>
      <c r="O1356" s="1" t="s">
        <v>607</v>
      </c>
      <c r="P1356" s="1" t="str">
        <f>_xlfn.CONCAT(B1356,C1356,D1356,E1356,F1356)</f>
        <v>BC Caiaponia1SG60KTL(COM2-028)46049,600694444446049,600694444446049,6805555556</v>
      </c>
      <c r="Q1356" s="1" t="str">
        <f t="shared" si="43"/>
        <v/>
      </c>
    </row>
    <row r="1357" spans="2:17">
      <c r="B1357" s="1" t="s">
        <v>456</v>
      </c>
      <c r="C1357" s="1" t="s">
        <v>481</v>
      </c>
      <c r="D1357" s="52">
        <v>46049.600694444445</v>
      </c>
      <c r="E1357" s="52">
        <v>46049.600694444445</v>
      </c>
      <c r="F1357" s="52">
        <v>46049.680555555555</v>
      </c>
      <c r="G1357" s="53">
        <f>F1357-E1357</f>
        <v>7.9861111109494232E-2</v>
      </c>
      <c r="K1357" s="1" t="e">
        <f>_xlfn.XLOOKUP(J1357,REF!$D$2:$D$12,REF!$E$2:$E$12)</f>
        <v>#N/A</v>
      </c>
      <c r="L1357" s="1" t="s">
        <v>625</v>
      </c>
      <c r="M1357" s="1" t="s">
        <v>260</v>
      </c>
      <c r="N1357" s="1" t="s">
        <v>261</v>
      </c>
      <c r="O1357" s="1" t="s">
        <v>607</v>
      </c>
      <c r="P1357" s="1" t="str">
        <f>_xlfn.CONCAT(B1357,C1357,D1357,E1357,F1357)</f>
        <v>BC Caiaponia1SG60KTL(COM2-029)46049,600694444446049,600694444446049,6805555556</v>
      </c>
      <c r="Q1357" s="1" t="str">
        <f t="shared" si="43"/>
        <v/>
      </c>
    </row>
    <row r="1358" spans="2:17">
      <c r="B1358" s="1" t="s">
        <v>456</v>
      </c>
      <c r="C1358" s="1" t="s">
        <v>482</v>
      </c>
      <c r="D1358" s="52">
        <v>46049.600694444445</v>
      </c>
      <c r="E1358" s="52">
        <v>46049.600694444445</v>
      </c>
      <c r="F1358" s="52">
        <v>46049.680555555555</v>
      </c>
      <c r="G1358" s="53">
        <f>F1358-E1358</f>
        <v>7.9861111109494232E-2</v>
      </c>
      <c r="K1358" s="1" t="e">
        <f>_xlfn.XLOOKUP(J1358,REF!$D$2:$D$12,REF!$E$2:$E$12)</f>
        <v>#N/A</v>
      </c>
      <c r="L1358" s="1" t="s">
        <v>625</v>
      </c>
      <c r="M1358" s="1" t="s">
        <v>260</v>
      </c>
      <c r="N1358" s="1" t="s">
        <v>261</v>
      </c>
      <c r="O1358" s="1" t="s">
        <v>607</v>
      </c>
      <c r="P1358" s="1" t="str">
        <f>_xlfn.CONCAT(B1358,C1358,D1358,E1358,F1358)</f>
        <v>BC Caiaponia1SG50CX(COM1-021)46049,600694444446049,600694444446049,6805555556</v>
      </c>
      <c r="Q1358" s="1" t="str">
        <f t="shared" si="43"/>
        <v/>
      </c>
    </row>
    <row r="1359" spans="2:17">
      <c r="B1359" s="1" t="s">
        <v>456</v>
      </c>
      <c r="C1359" s="1" t="s">
        <v>483</v>
      </c>
      <c r="D1359" s="52">
        <v>46049.600694444445</v>
      </c>
      <c r="E1359" s="52">
        <v>46049.600694444445</v>
      </c>
      <c r="F1359" s="52">
        <v>46049.680555555555</v>
      </c>
      <c r="G1359" s="53">
        <f>F1359-E1359</f>
        <v>7.9861111109494232E-2</v>
      </c>
      <c r="K1359" s="1" t="e">
        <f>_xlfn.XLOOKUP(J1359,REF!$D$2:$D$12,REF!$E$2:$E$12)</f>
        <v>#N/A</v>
      </c>
      <c r="L1359" s="1" t="s">
        <v>625</v>
      </c>
      <c r="M1359" s="1" t="s">
        <v>260</v>
      </c>
      <c r="N1359" s="1" t="s">
        <v>261</v>
      </c>
      <c r="O1359" s="1" t="s">
        <v>607</v>
      </c>
      <c r="P1359" s="1" t="str">
        <f>_xlfn.CONCAT(B1359,C1359,D1359,E1359,F1359)</f>
        <v>BC Caiaponia1SG50CX(COM1-022)46049,600694444446049,600694444446049,6805555556</v>
      </c>
      <c r="Q1359" s="1" t="str">
        <f t="shared" si="43"/>
        <v/>
      </c>
    </row>
    <row r="1360" spans="2:17">
      <c r="B1360" s="1" t="s">
        <v>456</v>
      </c>
      <c r="C1360" s="1" t="s">
        <v>484</v>
      </c>
      <c r="D1360" s="52">
        <v>46049.600694444445</v>
      </c>
      <c r="E1360" s="52">
        <v>46049.600694444445</v>
      </c>
      <c r="F1360" s="52">
        <v>46049.680555555555</v>
      </c>
      <c r="G1360" s="53">
        <f>F1360-E1360</f>
        <v>7.9861111109494232E-2</v>
      </c>
      <c r="K1360" s="1" t="e">
        <f>_xlfn.XLOOKUP(J1360,REF!$D$2:$D$12,REF!$E$2:$E$12)</f>
        <v>#N/A</v>
      </c>
      <c r="L1360" s="1" t="s">
        <v>625</v>
      </c>
      <c r="M1360" s="1" t="s">
        <v>260</v>
      </c>
      <c r="N1360" s="1" t="s">
        <v>261</v>
      </c>
      <c r="O1360" s="1" t="s">
        <v>607</v>
      </c>
      <c r="P1360" s="1" t="str">
        <f>_xlfn.CONCAT(B1360,C1360,D1360,E1360,F1360)</f>
        <v>BC Caiaponia1SG50CX(COM1-023)46049,600694444446049,600694444446049,6805555556</v>
      </c>
      <c r="Q1360" s="1" t="str">
        <f t="shared" si="43"/>
        <v/>
      </c>
    </row>
    <row r="1361" spans="2:17">
      <c r="B1361" s="1" t="s">
        <v>456</v>
      </c>
      <c r="C1361" s="1" t="s">
        <v>485</v>
      </c>
      <c r="D1361" s="52">
        <v>46049.600694444445</v>
      </c>
      <c r="E1361" s="52">
        <v>46049.600694444445</v>
      </c>
      <c r="F1361" s="52">
        <v>46049.680555555555</v>
      </c>
      <c r="G1361" s="53">
        <f>F1361-E1361</f>
        <v>7.9861111109494232E-2</v>
      </c>
      <c r="K1361" s="1" t="e">
        <f>_xlfn.XLOOKUP(J1361,REF!$D$2:$D$12,REF!$E$2:$E$12)</f>
        <v>#N/A</v>
      </c>
      <c r="L1361" s="1" t="s">
        <v>625</v>
      </c>
      <c r="M1361" s="1" t="s">
        <v>260</v>
      </c>
      <c r="N1361" s="1" t="s">
        <v>261</v>
      </c>
      <c r="O1361" s="1" t="s">
        <v>607</v>
      </c>
      <c r="P1361" s="1" t="str">
        <f>_xlfn.CONCAT(B1361,C1361,D1361,E1361,F1361)</f>
        <v>BC Caiaponia1SG50CX(COM1-024)46049,600694444446049,600694444446049,6805555556</v>
      </c>
      <c r="Q1361" s="1" t="str">
        <f t="shared" si="43"/>
        <v/>
      </c>
    </row>
    <row r="1362" spans="2:17">
      <c r="B1362" s="1" t="s">
        <v>456</v>
      </c>
      <c r="C1362" s="1" t="s">
        <v>486</v>
      </c>
      <c r="D1362" s="52">
        <v>46049.600694444445</v>
      </c>
      <c r="E1362" s="52">
        <v>46049.600694444445</v>
      </c>
      <c r="F1362" s="52">
        <v>46049.680555555555</v>
      </c>
      <c r="G1362" s="53">
        <f>F1362-E1362</f>
        <v>7.9861111109494232E-2</v>
      </c>
      <c r="K1362" s="1" t="e">
        <f>_xlfn.XLOOKUP(J1362,REF!$D$2:$D$12,REF!$E$2:$E$12)</f>
        <v>#N/A</v>
      </c>
      <c r="L1362" s="1" t="s">
        <v>625</v>
      </c>
      <c r="M1362" s="1" t="s">
        <v>260</v>
      </c>
      <c r="N1362" s="1" t="s">
        <v>261</v>
      </c>
      <c r="O1362" s="1" t="s">
        <v>607</v>
      </c>
      <c r="P1362" s="1" t="str">
        <f>_xlfn.CONCAT(B1362,C1362,D1362,E1362,F1362)</f>
        <v>BC Caiaponia1SG50CX(COM1-025)46049,600694444446049,600694444446049,6805555556</v>
      </c>
      <c r="Q1362" s="1" t="str">
        <f t="shared" si="43"/>
        <v/>
      </c>
    </row>
    <row r="1363" spans="2:17">
      <c r="B1363" s="1" t="s">
        <v>487</v>
      </c>
      <c r="C1363" s="1" t="s">
        <v>377</v>
      </c>
      <c r="D1363" s="52">
        <v>46049.600694444445</v>
      </c>
      <c r="E1363" s="52">
        <v>46049.600694444445</v>
      </c>
      <c r="F1363" s="52">
        <v>46049.680555555555</v>
      </c>
      <c r="G1363" s="53">
        <f>F1363-E1363</f>
        <v>7.9861111109494232E-2</v>
      </c>
      <c r="K1363" s="1" t="e">
        <f>_xlfn.XLOOKUP(J1363,REF!$D$2:$D$12,REF!$E$2:$E$12)</f>
        <v>#N/A</v>
      </c>
      <c r="L1363" s="1" t="s">
        <v>625</v>
      </c>
      <c r="M1363" s="1" t="s">
        <v>260</v>
      </c>
      <c r="N1363" s="1" t="s">
        <v>261</v>
      </c>
      <c r="O1363" s="1" t="s">
        <v>607</v>
      </c>
      <c r="P1363" s="1" t="str">
        <f>_xlfn.CONCAT(B1363,C1363,D1363,E1363,F1363)</f>
        <v>BC Caiaponia2.1215KTL-H3(MBUS-12)46049,600694444446049,600694444446049,6805555556</v>
      </c>
      <c r="Q1363" s="1" t="str">
        <f t="shared" ref="Q1363:Q1426" si="44">_xlfn.CONCAT(H1363,I1363,J1363)</f>
        <v/>
      </c>
    </row>
    <row r="1364" spans="2:17">
      <c r="B1364" s="1" t="s">
        <v>487</v>
      </c>
      <c r="C1364" s="1" t="s">
        <v>378</v>
      </c>
      <c r="D1364" s="52">
        <v>46049.600694444445</v>
      </c>
      <c r="E1364" s="52">
        <v>46049.600694444445</v>
      </c>
      <c r="F1364" s="52">
        <v>46049.680555555555</v>
      </c>
      <c r="G1364" s="53">
        <f>F1364-E1364</f>
        <v>7.9861111109494232E-2</v>
      </c>
      <c r="K1364" s="1" t="e">
        <f>_xlfn.XLOOKUP(J1364,REF!$D$2:$D$12,REF!$E$2:$E$12)</f>
        <v>#N/A</v>
      </c>
      <c r="L1364" s="1" t="s">
        <v>625</v>
      </c>
      <c r="M1364" s="1" t="s">
        <v>260</v>
      </c>
      <c r="N1364" s="1" t="s">
        <v>261</v>
      </c>
      <c r="O1364" s="1" t="s">
        <v>607</v>
      </c>
      <c r="P1364" s="1" t="str">
        <f>_xlfn.CONCAT(B1364,C1364,D1364,E1364,F1364)</f>
        <v>BC Caiaponia2.1215KTL-H3(MBUS-13)46049,600694444446049,600694444446049,6805555556</v>
      </c>
      <c r="Q1364" s="1" t="str">
        <f t="shared" si="44"/>
        <v/>
      </c>
    </row>
    <row r="1365" spans="2:17">
      <c r="B1365" s="1" t="s">
        <v>487</v>
      </c>
      <c r="C1365" s="1" t="s">
        <v>382</v>
      </c>
      <c r="D1365" s="52">
        <v>46049.600694444445</v>
      </c>
      <c r="E1365" s="52">
        <v>46049.600694444445</v>
      </c>
      <c r="F1365" s="52">
        <v>46049.680555555555</v>
      </c>
      <c r="G1365" s="53">
        <f>F1365-E1365</f>
        <v>7.9861111109494232E-2</v>
      </c>
      <c r="K1365" s="1" t="e">
        <f>_xlfn.XLOOKUP(J1365,REF!$D$2:$D$12,REF!$E$2:$E$12)</f>
        <v>#N/A</v>
      </c>
      <c r="L1365" s="1" t="s">
        <v>625</v>
      </c>
      <c r="M1365" s="1" t="s">
        <v>260</v>
      </c>
      <c r="N1365" s="1" t="s">
        <v>261</v>
      </c>
      <c r="O1365" s="1" t="s">
        <v>607</v>
      </c>
      <c r="P1365" s="1" t="str">
        <f>_xlfn.CONCAT(B1365,C1365,D1365,E1365,F1365)</f>
        <v>BC Caiaponia2.1215KTL-H3(MBUS-14)46049,600694444446049,600694444446049,6805555556</v>
      </c>
      <c r="Q1365" s="1" t="str">
        <f t="shared" si="44"/>
        <v/>
      </c>
    </row>
    <row r="1366" spans="2:17">
      <c r="B1366" s="1" t="s">
        <v>487</v>
      </c>
      <c r="C1366" s="1" t="s">
        <v>380</v>
      </c>
      <c r="D1366" s="52">
        <v>46049.600694444445</v>
      </c>
      <c r="E1366" s="52">
        <v>46049.600694444445</v>
      </c>
      <c r="F1366" s="52">
        <v>46049.680555555555</v>
      </c>
      <c r="G1366" s="53">
        <f>F1366-E1366</f>
        <v>7.9861111109494232E-2</v>
      </c>
      <c r="K1366" s="1" t="e">
        <f>_xlfn.XLOOKUP(J1366,REF!$D$2:$D$12,REF!$E$2:$E$12)</f>
        <v>#N/A</v>
      </c>
      <c r="L1366" s="1" t="s">
        <v>625</v>
      </c>
      <c r="M1366" s="1" t="s">
        <v>260</v>
      </c>
      <c r="N1366" s="1" t="s">
        <v>261</v>
      </c>
      <c r="O1366" s="1" t="s">
        <v>607</v>
      </c>
      <c r="P1366" s="1" t="str">
        <f>_xlfn.CONCAT(B1366,C1366,D1366,E1366,F1366)</f>
        <v>BC Caiaponia2.1215KTL-H3(MBUS-15)46049,600694444446049,600694444446049,6805555556</v>
      </c>
      <c r="Q1366" s="1" t="str">
        <f t="shared" si="44"/>
        <v/>
      </c>
    </row>
    <row r="1367" spans="2:17">
      <c r="B1367" s="1" t="s">
        <v>487</v>
      </c>
      <c r="C1367" s="1" t="s">
        <v>379</v>
      </c>
      <c r="D1367" s="52">
        <v>46049.600694444445</v>
      </c>
      <c r="E1367" s="52">
        <v>46049.600694444445</v>
      </c>
      <c r="F1367" s="52">
        <v>46049.680555555555</v>
      </c>
      <c r="G1367" s="53">
        <f>F1367-E1367</f>
        <v>7.9861111109494232E-2</v>
      </c>
      <c r="K1367" s="1" t="e">
        <f>_xlfn.XLOOKUP(J1367,REF!$D$2:$D$12,REF!$E$2:$E$12)</f>
        <v>#N/A</v>
      </c>
      <c r="L1367" s="1" t="s">
        <v>625</v>
      </c>
      <c r="M1367" s="1" t="s">
        <v>260</v>
      </c>
      <c r="N1367" s="1" t="s">
        <v>261</v>
      </c>
      <c r="O1367" s="1" t="s">
        <v>607</v>
      </c>
      <c r="P1367" s="1" t="str">
        <f>_xlfn.CONCAT(B1367,C1367,D1367,E1367,F1367)</f>
        <v>BC Caiaponia2.1215KTL-H3(MBUS-16)46049,600694444446049,600694444446049,6805555556</v>
      </c>
      <c r="Q1367" s="1" t="str">
        <f t="shared" si="44"/>
        <v/>
      </c>
    </row>
    <row r="1368" spans="2:17">
      <c r="B1368" s="1" t="s">
        <v>583</v>
      </c>
      <c r="C1368" s="1" t="s">
        <v>377</v>
      </c>
      <c r="D1368" s="52">
        <v>46049.600694444445</v>
      </c>
      <c r="E1368" s="52">
        <v>46049.600694444445</v>
      </c>
      <c r="F1368" s="52">
        <v>46049.680555555555</v>
      </c>
      <c r="G1368" s="53">
        <f>F1368-E1368</f>
        <v>7.9861111109494232E-2</v>
      </c>
      <c r="K1368" s="1" t="e">
        <f>_xlfn.XLOOKUP(J1368,REF!$D$2:$D$12,REF!$E$2:$E$12)</f>
        <v>#N/A</v>
      </c>
      <c r="L1368" s="1" t="s">
        <v>625</v>
      </c>
      <c r="M1368" s="1" t="s">
        <v>260</v>
      </c>
      <c r="N1368" s="1" t="s">
        <v>261</v>
      </c>
      <c r="O1368" s="1" t="s">
        <v>607</v>
      </c>
      <c r="P1368" s="1" t="str">
        <f>_xlfn.CONCAT(B1368,C1368,D1368,E1368,F1368)</f>
        <v>BC Caiaponia2.2215KTL-H3(MBUS-12)46049,600694444446049,600694444446049,6805555556</v>
      </c>
      <c r="Q1368" s="1" t="str">
        <f t="shared" si="44"/>
        <v/>
      </c>
    </row>
    <row r="1369" spans="2:17">
      <c r="B1369" s="1" t="s">
        <v>583</v>
      </c>
      <c r="C1369" s="1" t="s">
        <v>378</v>
      </c>
      <c r="D1369" s="52">
        <v>46049.600694444445</v>
      </c>
      <c r="E1369" s="52">
        <v>46049.600694444445</v>
      </c>
      <c r="F1369" s="52">
        <v>46049.680555555555</v>
      </c>
      <c r="G1369" s="53">
        <f>F1369-E1369</f>
        <v>7.9861111109494232E-2</v>
      </c>
      <c r="K1369" s="1" t="e">
        <f>_xlfn.XLOOKUP(J1369,REF!$D$2:$D$12,REF!$E$2:$E$12)</f>
        <v>#N/A</v>
      </c>
      <c r="L1369" s="1" t="s">
        <v>625</v>
      </c>
      <c r="M1369" s="1" t="s">
        <v>260</v>
      </c>
      <c r="N1369" s="1" t="s">
        <v>261</v>
      </c>
      <c r="O1369" s="1" t="s">
        <v>607</v>
      </c>
      <c r="P1369" s="1" t="str">
        <f>_xlfn.CONCAT(B1369,C1369,D1369,E1369,F1369)</f>
        <v>BC Caiaponia2.2215KTL-H3(MBUS-13)46049,600694444446049,600694444446049,6805555556</v>
      </c>
      <c r="Q1369" s="1" t="str">
        <f t="shared" si="44"/>
        <v/>
      </c>
    </row>
    <row r="1370" spans="2:17">
      <c r="B1370" s="1" t="s">
        <v>583</v>
      </c>
      <c r="C1370" s="1" t="s">
        <v>382</v>
      </c>
      <c r="D1370" s="52">
        <v>46049.600694444445</v>
      </c>
      <c r="E1370" s="52">
        <v>46049.600694444445</v>
      </c>
      <c r="F1370" s="52">
        <v>46049.680555555555</v>
      </c>
      <c r="G1370" s="53">
        <f>F1370-E1370</f>
        <v>7.9861111109494232E-2</v>
      </c>
      <c r="K1370" s="1" t="e">
        <f>_xlfn.XLOOKUP(J1370,REF!$D$2:$D$12,REF!$E$2:$E$12)</f>
        <v>#N/A</v>
      </c>
      <c r="L1370" s="1" t="s">
        <v>625</v>
      </c>
      <c r="M1370" s="1" t="s">
        <v>260</v>
      </c>
      <c r="N1370" s="1" t="s">
        <v>261</v>
      </c>
      <c r="O1370" s="1" t="s">
        <v>607</v>
      </c>
      <c r="P1370" s="1" t="str">
        <f>_xlfn.CONCAT(B1370,C1370,D1370,E1370,F1370)</f>
        <v>BC Caiaponia2.2215KTL-H3(MBUS-14)46049,600694444446049,600694444446049,6805555556</v>
      </c>
      <c r="Q1370" s="1" t="str">
        <f t="shared" si="44"/>
        <v/>
      </c>
    </row>
    <row r="1371" spans="2:17">
      <c r="B1371" s="1" t="s">
        <v>583</v>
      </c>
      <c r="C1371" s="1" t="s">
        <v>380</v>
      </c>
      <c r="D1371" s="52">
        <v>46049.600694444445</v>
      </c>
      <c r="E1371" s="52">
        <v>46049.600694444445</v>
      </c>
      <c r="F1371" s="52">
        <v>46049.680555555555</v>
      </c>
      <c r="G1371" s="53">
        <f>F1371-E1371</f>
        <v>7.9861111109494232E-2</v>
      </c>
      <c r="K1371" s="1" t="e">
        <f>_xlfn.XLOOKUP(J1371,REF!$D$2:$D$12,REF!$E$2:$E$12)</f>
        <v>#N/A</v>
      </c>
      <c r="L1371" s="1" t="s">
        <v>625</v>
      </c>
      <c r="M1371" s="1" t="s">
        <v>260</v>
      </c>
      <c r="N1371" s="1" t="s">
        <v>261</v>
      </c>
      <c r="O1371" s="1" t="s">
        <v>607</v>
      </c>
      <c r="P1371" s="1" t="str">
        <f>_xlfn.CONCAT(B1371,C1371,D1371,E1371,F1371)</f>
        <v>BC Caiaponia2.2215KTL-H3(MBUS-15)46049,600694444446049,600694444446049,6805555556</v>
      </c>
      <c r="Q1371" s="1" t="str">
        <f t="shared" si="44"/>
        <v/>
      </c>
    </row>
    <row r="1372" spans="2:17">
      <c r="B1372" s="1" t="s">
        <v>583</v>
      </c>
      <c r="C1372" s="1" t="s">
        <v>379</v>
      </c>
      <c r="D1372" s="52">
        <v>46049.600694444445</v>
      </c>
      <c r="E1372" s="52">
        <v>46049.600694444445</v>
      </c>
      <c r="F1372" s="52">
        <v>46049.680555555555</v>
      </c>
      <c r="G1372" s="53">
        <f>F1372-E1372</f>
        <v>7.9861111109494232E-2</v>
      </c>
      <c r="K1372" s="1" t="e">
        <f>_xlfn.XLOOKUP(J1372,REF!$D$2:$D$12,REF!$E$2:$E$12)</f>
        <v>#N/A</v>
      </c>
      <c r="L1372" s="1" t="s">
        <v>625</v>
      </c>
      <c r="M1372" s="1" t="s">
        <v>260</v>
      </c>
      <c r="N1372" s="1" t="s">
        <v>261</v>
      </c>
      <c r="O1372" s="1" t="s">
        <v>607</v>
      </c>
      <c r="P1372" s="1" t="str">
        <f>_xlfn.CONCAT(B1372,C1372,D1372,E1372,F1372)</f>
        <v>BC Caiaponia2.2215KTL-H3(MBUS-16)46049,600694444446049,600694444446049,6805555556</v>
      </c>
      <c r="Q1372" s="1" t="str">
        <f t="shared" si="44"/>
        <v/>
      </c>
    </row>
    <row r="1373" spans="2:17">
      <c r="B1373" s="1" t="s">
        <v>584</v>
      </c>
      <c r="C1373" s="1" t="s">
        <v>377</v>
      </c>
      <c r="D1373" s="52">
        <v>46049.600694444445</v>
      </c>
      <c r="E1373" s="52">
        <v>46049.600694444445</v>
      </c>
      <c r="F1373" s="52">
        <v>46049.680555555555</v>
      </c>
      <c r="G1373" s="53">
        <f>F1373-E1373</f>
        <v>7.9861111109494232E-2</v>
      </c>
      <c r="K1373" s="1" t="e">
        <f>_xlfn.XLOOKUP(J1373,REF!$D$2:$D$12,REF!$E$2:$E$12)</f>
        <v>#N/A</v>
      </c>
      <c r="L1373" s="1" t="s">
        <v>625</v>
      </c>
      <c r="M1373" s="1" t="s">
        <v>260</v>
      </c>
      <c r="N1373" s="1" t="s">
        <v>261</v>
      </c>
      <c r="O1373" s="1" t="s">
        <v>607</v>
      </c>
      <c r="P1373" s="1" t="str">
        <f>_xlfn.CONCAT(B1373,C1373,D1373,E1373,F1373)</f>
        <v>BC Caiaponia2.3215KTL-H3(MBUS-12)46049,600694444446049,600694444446049,6805555556</v>
      </c>
      <c r="Q1373" s="1" t="str">
        <f t="shared" si="44"/>
        <v/>
      </c>
    </row>
    <row r="1374" spans="2:17">
      <c r="B1374" s="1" t="s">
        <v>584</v>
      </c>
      <c r="C1374" s="1" t="s">
        <v>378</v>
      </c>
      <c r="D1374" s="52">
        <v>46049.600694444445</v>
      </c>
      <c r="E1374" s="52">
        <v>46049.600694444445</v>
      </c>
      <c r="F1374" s="52">
        <v>46049.680555555555</v>
      </c>
      <c r="G1374" s="53">
        <f>F1374-E1374</f>
        <v>7.9861111109494232E-2</v>
      </c>
      <c r="K1374" s="1" t="e">
        <f>_xlfn.XLOOKUP(J1374,REF!$D$2:$D$12,REF!$E$2:$E$12)</f>
        <v>#N/A</v>
      </c>
      <c r="L1374" s="1" t="s">
        <v>625</v>
      </c>
      <c r="M1374" s="1" t="s">
        <v>260</v>
      </c>
      <c r="N1374" s="1" t="s">
        <v>261</v>
      </c>
      <c r="O1374" s="1" t="s">
        <v>607</v>
      </c>
      <c r="P1374" s="1" t="str">
        <f>_xlfn.CONCAT(B1374,C1374,D1374,E1374,F1374)</f>
        <v>BC Caiaponia2.3215KTL-H3(MBUS-13)46049,600694444446049,600694444446049,6805555556</v>
      </c>
      <c r="Q1374" s="1" t="str">
        <f t="shared" si="44"/>
        <v/>
      </c>
    </row>
    <row r="1375" spans="2:17">
      <c r="B1375" s="1" t="s">
        <v>584</v>
      </c>
      <c r="C1375" s="1" t="s">
        <v>382</v>
      </c>
      <c r="D1375" s="52">
        <v>46049.600694444445</v>
      </c>
      <c r="E1375" s="52">
        <v>46049.600694444445</v>
      </c>
      <c r="F1375" s="52">
        <v>46049.680555555555</v>
      </c>
      <c r="G1375" s="53">
        <f>F1375-E1375</f>
        <v>7.9861111109494232E-2</v>
      </c>
      <c r="K1375" s="1" t="e">
        <f>_xlfn.XLOOKUP(J1375,REF!$D$2:$D$12,REF!$E$2:$E$12)</f>
        <v>#N/A</v>
      </c>
      <c r="L1375" s="1" t="s">
        <v>625</v>
      </c>
      <c r="M1375" s="1" t="s">
        <v>260</v>
      </c>
      <c r="N1375" s="1" t="s">
        <v>261</v>
      </c>
      <c r="O1375" s="1" t="s">
        <v>607</v>
      </c>
      <c r="P1375" s="1" t="str">
        <f>_xlfn.CONCAT(B1375,C1375,D1375,E1375,F1375)</f>
        <v>BC Caiaponia2.3215KTL-H3(MBUS-14)46049,600694444446049,600694444446049,6805555556</v>
      </c>
      <c r="Q1375" s="1" t="str">
        <f t="shared" si="44"/>
        <v/>
      </c>
    </row>
    <row r="1376" spans="2:17">
      <c r="B1376" s="1" t="s">
        <v>584</v>
      </c>
      <c r="C1376" s="1" t="s">
        <v>380</v>
      </c>
      <c r="D1376" s="52">
        <v>46049.600694444445</v>
      </c>
      <c r="E1376" s="52">
        <v>46049.600694444445</v>
      </c>
      <c r="F1376" s="52">
        <v>46049.680555555555</v>
      </c>
      <c r="G1376" s="53">
        <f>F1376-E1376</f>
        <v>7.9861111109494232E-2</v>
      </c>
      <c r="K1376" s="1" t="e">
        <f>_xlfn.XLOOKUP(J1376,REF!$D$2:$D$12,REF!$E$2:$E$12)</f>
        <v>#N/A</v>
      </c>
      <c r="L1376" s="1" t="s">
        <v>625</v>
      </c>
      <c r="M1376" s="1" t="s">
        <v>260</v>
      </c>
      <c r="N1376" s="1" t="s">
        <v>261</v>
      </c>
      <c r="O1376" s="1" t="s">
        <v>607</v>
      </c>
      <c r="P1376" s="1" t="str">
        <f>_xlfn.CONCAT(B1376,C1376,D1376,E1376,F1376)</f>
        <v>BC Caiaponia2.3215KTL-H3(MBUS-15)46049,600694444446049,600694444446049,6805555556</v>
      </c>
      <c r="Q1376" s="1" t="str">
        <f t="shared" si="44"/>
        <v/>
      </c>
    </row>
    <row r="1377" spans="2:17">
      <c r="B1377" s="1" t="s">
        <v>584</v>
      </c>
      <c r="C1377" s="1" t="s">
        <v>379</v>
      </c>
      <c r="D1377" s="52">
        <v>46049.600694444445</v>
      </c>
      <c r="E1377" s="52">
        <v>46049.600694444445</v>
      </c>
      <c r="F1377" s="52">
        <v>46049.680555555555</v>
      </c>
      <c r="G1377" s="53">
        <f>F1377-E1377</f>
        <v>7.9861111109494232E-2</v>
      </c>
      <c r="K1377" s="1" t="e">
        <f>_xlfn.XLOOKUP(J1377,REF!$D$2:$D$12,REF!$E$2:$E$12)</f>
        <v>#N/A</v>
      </c>
      <c r="L1377" s="1" t="s">
        <v>625</v>
      </c>
      <c r="M1377" s="1" t="s">
        <v>260</v>
      </c>
      <c r="N1377" s="1" t="s">
        <v>261</v>
      </c>
      <c r="O1377" s="1" t="s">
        <v>607</v>
      </c>
      <c r="P1377" s="1" t="str">
        <f>_xlfn.CONCAT(B1377,C1377,D1377,E1377,F1377)</f>
        <v>BC Caiaponia2.3215KTL-H3(MBUS-16)46049,600694444446049,600694444446049,6805555556</v>
      </c>
      <c r="Q1377" s="1" t="str">
        <f t="shared" si="44"/>
        <v/>
      </c>
    </row>
    <row r="1378" spans="2:17">
      <c r="B1378" s="66" t="s">
        <v>456</v>
      </c>
      <c r="C1378" s="1" t="s">
        <v>457</v>
      </c>
      <c r="D1378" s="52">
        <v>46049.600694444445</v>
      </c>
      <c r="E1378" s="52">
        <v>46049.600694444445</v>
      </c>
      <c r="F1378" s="52">
        <v>46049.680555555555</v>
      </c>
      <c r="G1378" s="53">
        <f>F1378-E1378</f>
        <v>7.9861111109494232E-2</v>
      </c>
      <c r="K1378" s="1" t="e">
        <f>_xlfn.XLOOKUP(J1378,REF!$D$2:$D$12,REF!$E$2:$E$12)</f>
        <v>#N/A</v>
      </c>
      <c r="L1378" s="1" t="s">
        <v>259</v>
      </c>
      <c r="M1378" s="1" t="s">
        <v>260</v>
      </c>
      <c r="N1378" s="1" t="s">
        <v>261</v>
      </c>
      <c r="O1378" s="1" t="s">
        <v>626</v>
      </c>
      <c r="P1378" s="1" t="str">
        <f>_xlfn.CONCAT(B1378,C1378,D1378,E1378,F1378)</f>
        <v>BC Caiaponia1SG60KTL(COM1-001)_001_00746049,600694444446049,600694444446049,6805555556</v>
      </c>
      <c r="Q1378" s="1" t="str">
        <f t="shared" si="44"/>
        <v/>
      </c>
    </row>
    <row r="1379" spans="2:17">
      <c r="B1379" s="66" t="s">
        <v>456</v>
      </c>
      <c r="C1379" s="1" t="s">
        <v>459</v>
      </c>
      <c r="D1379" s="52">
        <v>46049.600694444445</v>
      </c>
      <c r="E1379" s="52">
        <v>46049.600694444445</v>
      </c>
      <c r="F1379" s="52">
        <v>46049.680555555555</v>
      </c>
      <c r="G1379" s="53">
        <f>F1379-E1379</f>
        <v>7.9861111109494232E-2</v>
      </c>
      <c r="K1379" s="1" t="e">
        <f>_xlfn.XLOOKUP(J1379,REF!$D$2:$D$12,REF!$E$2:$E$12)</f>
        <v>#N/A</v>
      </c>
      <c r="L1379" s="1" t="s">
        <v>259</v>
      </c>
      <c r="M1379" s="1" t="s">
        <v>260</v>
      </c>
      <c r="N1379" s="1" t="s">
        <v>261</v>
      </c>
      <c r="O1379" s="1" t="s">
        <v>626</v>
      </c>
      <c r="P1379" s="1" t="str">
        <f>_xlfn.CONCAT(B1379,C1379,D1379,E1379,F1379)</f>
        <v>BC Caiaponia1SG60KTL(COM1-002)_001_01046049,600694444446049,600694444446049,6805555556</v>
      </c>
      <c r="Q1379" s="1" t="str">
        <f t="shared" si="44"/>
        <v/>
      </c>
    </row>
    <row r="1380" spans="2:17">
      <c r="B1380" s="1" t="s">
        <v>456</v>
      </c>
      <c r="C1380" s="1" t="s">
        <v>460</v>
      </c>
      <c r="D1380" s="52">
        <v>46049.600694444445</v>
      </c>
      <c r="E1380" s="52">
        <v>46049.600694444445</v>
      </c>
      <c r="F1380" s="52">
        <v>46049.680555497682</v>
      </c>
      <c r="G1380" s="53">
        <f>F1380-E1380</f>
        <v>7.9861053236527368E-2</v>
      </c>
      <c r="K1380" s="1" t="e">
        <f>_xlfn.XLOOKUP(J1380,REF!$D$2:$D$12,REF!$E$2:$E$12)</f>
        <v>#N/A</v>
      </c>
      <c r="L1380" s="1" t="s">
        <v>259</v>
      </c>
      <c r="M1380" s="1" t="s">
        <v>260</v>
      </c>
      <c r="N1380" s="1" t="s">
        <v>261</v>
      </c>
      <c r="O1380" s="1" t="s">
        <v>626</v>
      </c>
      <c r="P1380" s="1" t="str">
        <f>_xlfn.CONCAT(B1380,C1380,D1380,E1380,F1380)</f>
        <v>BC Caiaponia1SG60KTL(COM1-003)_001_01146049,600694444446049,600694444446049,6805554977</v>
      </c>
      <c r="Q1380" s="1" t="str">
        <f t="shared" si="44"/>
        <v/>
      </c>
    </row>
    <row r="1381" spans="2:17">
      <c r="B1381" s="1" t="s">
        <v>456</v>
      </c>
      <c r="C1381" s="1" t="s">
        <v>461</v>
      </c>
      <c r="D1381" s="52">
        <v>46049.600694444445</v>
      </c>
      <c r="E1381" s="52">
        <v>46049.600694444445</v>
      </c>
      <c r="F1381" s="52">
        <v>46049.680555497682</v>
      </c>
      <c r="G1381" s="53">
        <f>F1381-E1381</f>
        <v>7.9861053236527368E-2</v>
      </c>
      <c r="K1381" s="1" t="e">
        <f>_xlfn.XLOOKUP(J1381,REF!$D$2:$D$12,REF!$E$2:$E$12)</f>
        <v>#N/A</v>
      </c>
      <c r="L1381" s="1" t="s">
        <v>259</v>
      </c>
      <c r="M1381" s="1" t="s">
        <v>260</v>
      </c>
      <c r="N1381" s="1" t="s">
        <v>261</v>
      </c>
      <c r="O1381" s="1" t="s">
        <v>626</v>
      </c>
      <c r="P1381" s="1" t="str">
        <f>_xlfn.CONCAT(B1381,C1381,D1381,E1381,F1381)</f>
        <v>BC Caiaponia1SG60KTL(COM1-004)_001_01446049,600694444446049,600694444446049,6805554977</v>
      </c>
      <c r="Q1381" s="1" t="str">
        <f t="shared" si="44"/>
        <v/>
      </c>
    </row>
    <row r="1382" spans="2:17">
      <c r="B1382" s="1" t="s">
        <v>456</v>
      </c>
      <c r="C1382" s="1" t="s">
        <v>462</v>
      </c>
      <c r="D1382" s="52">
        <v>46049.600694444445</v>
      </c>
      <c r="E1382" s="52">
        <v>46049.600694444445</v>
      </c>
      <c r="F1382" s="52">
        <v>46049.680555497682</v>
      </c>
      <c r="G1382" s="53">
        <f>F1382-E1382</f>
        <v>7.9861053236527368E-2</v>
      </c>
      <c r="K1382" s="1" t="e">
        <f>_xlfn.XLOOKUP(J1382,REF!$D$2:$D$12,REF!$E$2:$E$12)</f>
        <v>#N/A</v>
      </c>
      <c r="L1382" s="1" t="s">
        <v>259</v>
      </c>
      <c r="M1382" s="1" t="s">
        <v>260</v>
      </c>
      <c r="N1382" s="1" t="s">
        <v>261</v>
      </c>
      <c r="O1382" s="1" t="s">
        <v>626</v>
      </c>
      <c r="P1382" s="1" t="str">
        <f>_xlfn.CONCAT(B1382,C1382,D1382,E1382,F1382)</f>
        <v>BC Caiaponia1SG60KTL(COM1-005)_001_01746049,600694444446049,600694444446049,6805554977</v>
      </c>
      <c r="Q1382" s="1" t="str">
        <f t="shared" si="44"/>
        <v/>
      </c>
    </row>
    <row r="1383" spans="2:17">
      <c r="B1383" s="1" t="s">
        <v>456</v>
      </c>
      <c r="C1383" s="1" t="s">
        <v>463</v>
      </c>
      <c r="D1383" s="52">
        <v>46049.600694444445</v>
      </c>
      <c r="E1383" s="52">
        <v>46049.600694444445</v>
      </c>
      <c r="F1383" s="52">
        <v>46049.680555497682</v>
      </c>
      <c r="G1383" s="53">
        <f>F1383-E1383</f>
        <v>7.9861053236527368E-2</v>
      </c>
      <c r="H1383" s="1" t="s">
        <v>257</v>
      </c>
      <c r="J1383" s="1" t="s">
        <v>258</v>
      </c>
      <c r="K1383" s="1" t="str">
        <f>_xlfn.XLOOKUP(J1383,REF!$D$2:$D$12,REF!$E$2:$E$12)</f>
        <v>Rede</v>
      </c>
      <c r="L1383" s="1" t="s">
        <v>259</v>
      </c>
      <c r="M1383" s="1" t="s">
        <v>260</v>
      </c>
      <c r="N1383" s="1" t="s">
        <v>261</v>
      </c>
      <c r="O1383" s="1" t="s">
        <v>626</v>
      </c>
      <c r="P1383" s="1" t="str">
        <f>_xlfn.CONCAT(B1383,C1383,D1383,E1383,F1383)</f>
        <v>BC Caiaponia1SG60KTL(COM1-006)_001_01646049,600694444446049,600694444446049,6805554977</v>
      </c>
      <c r="Q1383" s="1" t="str">
        <f t="shared" si="44"/>
        <v>DAURDE</v>
      </c>
    </row>
    <row r="1384" spans="2:17">
      <c r="B1384" s="1" t="s">
        <v>456</v>
      </c>
      <c r="C1384" s="1" t="s">
        <v>464</v>
      </c>
      <c r="D1384" s="52">
        <v>46049.600694444445</v>
      </c>
      <c r="E1384" s="52">
        <v>46049.600694444445</v>
      </c>
      <c r="F1384" s="52">
        <v>46049.680555497682</v>
      </c>
      <c r="G1384" s="53">
        <f>F1384-E1384</f>
        <v>7.9861053236527368E-2</v>
      </c>
      <c r="H1384" s="1" t="s">
        <v>257</v>
      </c>
      <c r="J1384" s="1" t="s">
        <v>258</v>
      </c>
      <c r="K1384" s="1" t="str">
        <f>_xlfn.XLOOKUP(J1384,REF!$D$2:$D$12,REF!$E$2:$E$12)</f>
        <v>Rede</v>
      </c>
      <c r="L1384" s="1" t="s">
        <v>259</v>
      </c>
      <c r="M1384" s="1" t="s">
        <v>260</v>
      </c>
      <c r="N1384" s="1" t="s">
        <v>261</v>
      </c>
      <c r="O1384" s="1" t="s">
        <v>626</v>
      </c>
      <c r="P1384" s="1" t="str">
        <f>_xlfn.CONCAT(B1384,C1384,D1384,E1384,F1384)</f>
        <v>BC Caiaponia1SG60KTL(COM1-007)_001_01346049,600694444446049,600694444446049,6805554977</v>
      </c>
      <c r="Q1384" s="1" t="str">
        <f t="shared" si="44"/>
        <v>DAURDE</v>
      </c>
    </row>
    <row r="1385" spans="2:17">
      <c r="B1385" s="1" t="s">
        <v>456</v>
      </c>
      <c r="C1385" s="1" t="s">
        <v>465</v>
      </c>
      <c r="D1385" s="52">
        <v>46049.600694444445</v>
      </c>
      <c r="E1385" s="52">
        <v>46049.600694444445</v>
      </c>
      <c r="F1385" s="52">
        <v>46049.680555497682</v>
      </c>
      <c r="G1385" s="53">
        <f>F1385-E1385</f>
        <v>7.9861053236527368E-2</v>
      </c>
      <c r="H1385" s="1" t="s">
        <v>257</v>
      </c>
      <c r="J1385" s="1" t="s">
        <v>258</v>
      </c>
      <c r="K1385" s="1" t="str">
        <f>_xlfn.XLOOKUP(J1385,REF!$D$2:$D$12,REF!$E$2:$E$12)</f>
        <v>Rede</v>
      </c>
      <c r="L1385" s="1" t="s">
        <v>259</v>
      </c>
      <c r="M1385" s="1" t="s">
        <v>260</v>
      </c>
      <c r="N1385" s="1" t="s">
        <v>261</v>
      </c>
      <c r="O1385" s="1" t="s">
        <v>626</v>
      </c>
      <c r="P1385" s="1" t="str">
        <f>_xlfn.CONCAT(B1385,C1385,D1385,E1385,F1385)</f>
        <v>BC Caiaponia1SG60KTL(COM1-008)_001_00146049,600694444446049,600694444446049,6805554977</v>
      </c>
      <c r="Q1385" s="1" t="str">
        <f t="shared" si="44"/>
        <v>DAURDE</v>
      </c>
    </row>
    <row r="1386" spans="2:17">
      <c r="B1386" s="1" t="s">
        <v>456</v>
      </c>
      <c r="C1386" s="1" t="s">
        <v>466</v>
      </c>
      <c r="D1386" s="52">
        <v>46049.600694444445</v>
      </c>
      <c r="E1386" s="52">
        <v>46049.600694444445</v>
      </c>
      <c r="F1386" s="52">
        <v>46049.680555497682</v>
      </c>
      <c r="G1386" s="53">
        <f>F1386-E1386</f>
        <v>7.9861053236527368E-2</v>
      </c>
      <c r="H1386" s="1" t="s">
        <v>257</v>
      </c>
      <c r="J1386" s="1" t="s">
        <v>258</v>
      </c>
      <c r="K1386" s="1" t="str">
        <f>_xlfn.XLOOKUP(J1386,REF!$D$2:$D$12,REF!$E$2:$E$12)</f>
        <v>Rede</v>
      </c>
      <c r="L1386" s="1" t="s">
        <v>259</v>
      </c>
      <c r="M1386" s="1" t="s">
        <v>260</v>
      </c>
      <c r="N1386" s="1" t="s">
        <v>261</v>
      </c>
      <c r="O1386" s="1" t="s">
        <v>626</v>
      </c>
      <c r="P1386" s="1" t="str">
        <f>_xlfn.CONCAT(B1386,C1386,D1386,E1386,F1386)</f>
        <v>BC Caiaponia1SG60KTL(COM1-009)46049,600694444446049,600694444446049,6805554977</v>
      </c>
      <c r="Q1386" s="1" t="str">
        <f t="shared" si="44"/>
        <v>DAURDE</v>
      </c>
    </row>
    <row r="1387" spans="2:17">
      <c r="B1387" s="1" t="s">
        <v>456</v>
      </c>
      <c r="C1387" s="1" t="s">
        <v>467</v>
      </c>
      <c r="D1387" s="52">
        <v>46049.600694444445</v>
      </c>
      <c r="E1387" s="52">
        <v>46049.600694444445</v>
      </c>
      <c r="F1387" s="52">
        <v>46049.680555497682</v>
      </c>
      <c r="G1387" s="53">
        <f>F1387-E1387</f>
        <v>7.9861053236527368E-2</v>
      </c>
      <c r="H1387" s="1" t="s">
        <v>257</v>
      </c>
      <c r="J1387" s="1" t="s">
        <v>258</v>
      </c>
      <c r="K1387" s="1" t="str">
        <f>_xlfn.XLOOKUP(J1387,REF!$D$2:$D$12,REF!$E$2:$E$12)</f>
        <v>Rede</v>
      </c>
      <c r="L1387" s="1" t="s">
        <v>259</v>
      </c>
      <c r="M1387" s="1" t="s">
        <v>260</v>
      </c>
      <c r="N1387" s="1" t="s">
        <v>261</v>
      </c>
      <c r="O1387" s="1" t="s">
        <v>626</v>
      </c>
      <c r="P1387" s="1" t="str">
        <f>_xlfn.CONCAT(B1387,C1387,D1387,E1387,F1387)</f>
        <v>BC Caiaponia1SG60KTL(COM1-010)46049,600694444446049,600694444446049,6805554977</v>
      </c>
      <c r="Q1387" s="1" t="str">
        <f t="shared" si="44"/>
        <v>DAURDE</v>
      </c>
    </row>
    <row r="1388" spans="2:17">
      <c r="B1388" s="1" t="s">
        <v>456</v>
      </c>
      <c r="C1388" s="1" t="s">
        <v>468</v>
      </c>
      <c r="D1388" s="52">
        <v>46049.600694444445</v>
      </c>
      <c r="E1388" s="52">
        <v>46049.600694444445</v>
      </c>
      <c r="F1388" s="52">
        <v>46049.680555497682</v>
      </c>
      <c r="G1388" s="53">
        <f>F1388-E1388</f>
        <v>7.9861053236527368E-2</v>
      </c>
      <c r="H1388" s="1" t="s">
        <v>257</v>
      </c>
      <c r="J1388" s="1" t="s">
        <v>258</v>
      </c>
      <c r="K1388" s="1" t="str">
        <f>_xlfn.XLOOKUP(J1388,REF!$D$2:$D$12,REF!$E$2:$E$12)</f>
        <v>Rede</v>
      </c>
      <c r="L1388" s="1" t="s">
        <v>259</v>
      </c>
      <c r="M1388" s="1" t="s">
        <v>260</v>
      </c>
      <c r="N1388" s="1" t="s">
        <v>261</v>
      </c>
      <c r="O1388" s="1" t="s">
        <v>626</v>
      </c>
      <c r="P1388" s="1" t="str">
        <f>_xlfn.CONCAT(B1388,C1388,D1388,E1388,F1388)</f>
        <v>BC Caiaponia1SG60KTL(COM1-011)46049,600694444446049,600694444446049,6805554977</v>
      </c>
      <c r="Q1388" s="1" t="str">
        <f t="shared" si="44"/>
        <v>DAURDE</v>
      </c>
    </row>
    <row r="1389" spans="2:17">
      <c r="B1389" s="1" t="s">
        <v>456</v>
      </c>
      <c r="C1389" s="1" t="s">
        <v>469</v>
      </c>
      <c r="D1389" s="52">
        <v>46049.600694444445</v>
      </c>
      <c r="E1389" s="52">
        <v>46049.600694444445</v>
      </c>
      <c r="F1389" s="52">
        <v>46049.680555497682</v>
      </c>
      <c r="G1389" s="53">
        <f>F1389-E1389</f>
        <v>7.9861053236527368E-2</v>
      </c>
      <c r="H1389" s="1" t="s">
        <v>257</v>
      </c>
      <c r="J1389" s="1" t="s">
        <v>258</v>
      </c>
      <c r="K1389" s="1" t="str">
        <f>_xlfn.XLOOKUP(J1389,REF!$D$2:$D$12,REF!$E$2:$E$12)</f>
        <v>Rede</v>
      </c>
      <c r="L1389" s="1" t="s">
        <v>259</v>
      </c>
      <c r="M1389" s="1" t="s">
        <v>260</v>
      </c>
      <c r="N1389" s="1" t="s">
        <v>261</v>
      </c>
      <c r="O1389" s="1" t="s">
        <v>626</v>
      </c>
      <c r="P1389" s="1" t="str">
        <f>_xlfn.CONCAT(B1389,C1389,D1389,E1389,F1389)</f>
        <v>BC Caiaponia1SG60KTL(COM1-012)46049,600694444446049,600694444446049,6805554977</v>
      </c>
      <c r="Q1389" s="1" t="str">
        <f t="shared" si="44"/>
        <v>DAURDE</v>
      </c>
    </row>
    <row r="1390" spans="2:17">
      <c r="B1390" s="1" t="s">
        <v>456</v>
      </c>
      <c r="C1390" s="1" t="s">
        <v>470</v>
      </c>
      <c r="D1390" s="52">
        <v>46049.600694444445</v>
      </c>
      <c r="E1390" s="52">
        <v>46049.600694444445</v>
      </c>
      <c r="F1390" s="52">
        <v>46049.680555497682</v>
      </c>
      <c r="G1390" s="53">
        <f>F1390-E1390</f>
        <v>7.9861053236527368E-2</v>
      </c>
      <c r="H1390" s="1" t="s">
        <v>257</v>
      </c>
      <c r="J1390" s="1" t="s">
        <v>258</v>
      </c>
      <c r="K1390" s="1" t="str">
        <f>_xlfn.XLOOKUP(J1390,REF!$D$2:$D$12,REF!$E$2:$E$12)</f>
        <v>Rede</v>
      </c>
      <c r="L1390" s="1" t="s">
        <v>259</v>
      </c>
      <c r="M1390" s="1" t="s">
        <v>260</v>
      </c>
      <c r="N1390" s="1" t="s">
        <v>261</v>
      </c>
      <c r="O1390" s="1" t="s">
        <v>626</v>
      </c>
      <c r="P1390" s="1" t="str">
        <f>_xlfn.CONCAT(B1390,C1390,D1390,E1390,F1390)</f>
        <v>BC Caiaponia1SG60KTL(COM1-013)46049,600694444446049,600694444446049,6805554977</v>
      </c>
      <c r="Q1390" s="1" t="str">
        <f t="shared" si="44"/>
        <v>DAURDE</v>
      </c>
    </row>
    <row r="1391" spans="2:17">
      <c r="B1391" s="1" t="s">
        <v>456</v>
      </c>
      <c r="C1391" s="1" t="s">
        <v>471</v>
      </c>
      <c r="D1391" s="52">
        <v>46049.600694444445</v>
      </c>
      <c r="E1391" s="52">
        <v>46049.600694444445</v>
      </c>
      <c r="F1391" s="52">
        <v>46049.680555497682</v>
      </c>
      <c r="G1391" s="53">
        <f>F1391-E1391</f>
        <v>7.9861053236527368E-2</v>
      </c>
      <c r="H1391" s="1" t="s">
        <v>257</v>
      </c>
      <c r="J1391" s="1" t="s">
        <v>258</v>
      </c>
      <c r="K1391" s="1" t="str">
        <f>_xlfn.XLOOKUP(J1391,REF!$D$2:$D$12,REF!$E$2:$E$12)</f>
        <v>Rede</v>
      </c>
      <c r="L1391" s="1" t="s">
        <v>259</v>
      </c>
      <c r="M1391" s="1" t="s">
        <v>260</v>
      </c>
      <c r="N1391" s="1" t="s">
        <v>261</v>
      </c>
      <c r="O1391" s="1" t="s">
        <v>626</v>
      </c>
      <c r="P1391" s="1" t="str">
        <f>_xlfn.CONCAT(B1391,C1391,D1391,E1391,F1391)</f>
        <v>BC Caiaponia1SG60KTL(COM1-014)46049,600694444446049,600694444446049,6805554977</v>
      </c>
      <c r="Q1391" s="1" t="str">
        <f t="shared" si="44"/>
        <v>DAURDE</v>
      </c>
    </row>
    <row r="1392" spans="2:17">
      <c r="B1392" s="1" t="s">
        <v>456</v>
      </c>
      <c r="C1392" s="1" t="s">
        <v>472</v>
      </c>
      <c r="D1392" s="52">
        <v>46049.600694444445</v>
      </c>
      <c r="E1392" s="52">
        <v>46049.600694444445</v>
      </c>
      <c r="F1392" s="52">
        <v>46049.680555497682</v>
      </c>
      <c r="G1392" s="53">
        <f>F1392-E1392</f>
        <v>7.9861053236527368E-2</v>
      </c>
      <c r="H1392" s="1" t="s">
        <v>257</v>
      </c>
      <c r="J1392" s="1" t="s">
        <v>258</v>
      </c>
      <c r="K1392" s="1" t="str">
        <f>_xlfn.XLOOKUP(J1392,REF!$D$2:$D$12,REF!$E$2:$E$12)</f>
        <v>Rede</v>
      </c>
      <c r="L1392" s="1" t="s">
        <v>259</v>
      </c>
      <c r="M1392" s="1" t="s">
        <v>260</v>
      </c>
      <c r="N1392" s="1" t="s">
        <v>261</v>
      </c>
      <c r="O1392" s="1" t="s">
        <v>626</v>
      </c>
      <c r="P1392" s="1" t="str">
        <f>_xlfn.CONCAT(B1392,C1392,D1392,E1392,F1392)</f>
        <v>BC Caiaponia1SG60KTL(COM1-015)46049,600694444446049,600694444446049,6805554977</v>
      </c>
      <c r="Q1392" s="1" t="str">
        <f t="shared" si="44"/>
        <v>DAURDE</v>
      </c>
    </row>
    <row r="1393" spans="2:17">
      <c r="B1393" s="1" t="s">
        <v>456</v>
      </c>
      <c r="C1393" s="1" t="s">
        <v>473</v>
      </c>
      <c r="D1393" s="52">
        <v>46049.600694444445</v>
      </c>
      <c r="E1393" s="52">
        <v>46049.600694444445</v>
      </c>
      <c r="F1393" s="52">
        <v>46049.680555497682</v>
      </c>
      <c r="G1393" s="53">
        <f>F1393-E1393</f>
        <v>7.9861053236527368E-2</v>
      </c>
      <c r="H1393" s="1" t="s">
        <v>257</v>
      </c>
      <c r="J1393" s="1" t="s">
        <v>258</v>
      </c>
      <c r="K1393" s="1" t="str">
        <f>_xlfn.XLOOKUP(J1393,REF!$D$2:$D$12,REF!$E$2:$E$12)</f>
        <v>Rede</v>
      </c>
      <c r="L1393" s="1" t="s">
        <v>259</v>
      </c>
      <c r="M1393" s="1" t="s">
        <v>260</v>
      </c>
      <c r="N1393" s="1" t="s">
        <v>261</v>
      </c>
      <c r="O1393" s="1" t="s">
        <v>626</v>
      </c>
      <c r="P1393" s="1" t="str">
        <f>_xlfn.CONCAT(B1393,C1393,D1393,E1393,F1393)</f>
        <v>BC Caiaponia1SG60KTL(COM3-016)_001_00946049,600694444446049,600694444446049,6805554977</v>
      </c>
      <c r="Q1393" s="1" t="str">
        <f t="shared" si="44"/>
        <v>DAURDE</v>
      </c>
    </row>
    <row r="1394" spans="2:17">
      <c r="B1394" s="1" t="s">
        <v>456</v>
      </c>
      <c r="C1394" s="1" t="s">
        <v>474</v>
      </c>
      <c r="D1394" s="52">
        <v>46049.600694444445</v>
      </c>
      <c r="E1394" s="52">
        <v>46049.600694444445</v>
      </c>
      <c r="F1394" s="52">
        <v>46049.680555497682</v>
      </c>
      <c r="G1394" s="53">
        <f>F1394-E1394</f>
        <v>7.9861053236527368E-2</v>
      </c>
      <c r="H1394" s="1" t="s">
        <v>257</v>
      </c>
      <c r="J1394" s="1" t="s">
        <v>258</v>
      </c>
      <c r="K1394" s="1" t="str">
        <f>_xlfn.XLOOKUP(J1394,REF!$D$2:$D$12,REF!$E$2:$E$12)</f>
        <v>Rede</v>
      </c>
      <c r="L1394" s="1" t="s">
        <v>259</v>
      </c>
      <c r="M1394" s="1" t="s">
        <v>260</v>
      </c>
      <c r="N1394" s="1" t="s">
        <v>261</v>
      </c>
      <c r="O1394" s="1" t="s">
        <v>626</v>
      </c>
      <c r="P1394" s="1" t="str">
        <f>_xlfn.CONCAT(B1394,C1394,D1394,E1394,F1394)</f>
        <v>BC Caiaponia1SG60KTL(COM3-017)_001_01246049,600694444446049,600694444446049,6805554977</v>
      </c>
      <c r="Q1394" s="1" t="str">
        <f t="shared" si="44"/>
        <v>DAURDE</v>
      </c>
    </row>
    <row r="1395" spans="2:17">
      <c r="B1395" s="1" t="s">
        <v>456</v>
      </c>
      <c r="C1395" s="1" t="s">
        <v>475</v>
      </c>
      <c r="D1395" s="52">
        <v>46049.600694444445</v>
      </c>
      <c r="E1395" s="52">
        <v>46049.600694444445</v>
      </c>
      <c r="F1395" s="52">
        <v>46049.680555497682</v>
      </c>
      <c r="G1395" s="53">
        <f>F1395-E1395</f>
        <v>7.9861053236527368E-2</v>
      </c>
      <c r="H1395" s="1" t="s">
        <v>257</v>
      </c>
      <c r="J1395" s="1" t="s">
        <v>258</v>
      </c>
      <c r="K1395" s="1" t="str">
        <f>_xlfn.XLOOKUP(J1395,REF!$D$2:$D$12,REF!$E$2:$E$12)</f>
        <v>Rede</v>
      </c>
      <c r="L1395" s="1" t="s">
        <v>259</v>
      </c>
      <c r="M1395" s="1" t="s">
        <v>260</v>
      </c>
      <c r="N1395" s="1" t="s">
        <v>261</v>
      </c>
      <c r="O1395" s="1" t="s">
        <v>626</v>
      </c>
      <c r="P1395" s="1" t="str">
        <f>_xlfn.CONCAT(B1395,C1395,D1395,E1395,F1395)</f>
        <v>BC Caiaponia1SG60KTL(COM3-018)_001_00846049,600694444446049,600694444446049,6805554977</v>
      </c>
      <c r="Q1395" s="1" t="str">
        <f t="shared" si="44"/>
        <v>DAURDE</v>
      </c>
    </row>
    <row r="1396" spans="2:17">
      <c r="B1396" s="1" t="s">
        <v>456</v>
      </c>
      <c r="C1396" s="1" t="s">
        <v>476</v>
      </c>
      <c r="D1396" s="52">
        <v>46049.600694444445</v>
      </c>
      <c r="E1396" s="52">
        <v>46049.600694444445</v>
      </c>
      <c r="F1396" s="52">
        <v>46049.680555497682</v>
      </c>
      <c r="G1396" s="53">
        <f>F1396-E1396</f>
        <v>7.9861053236527368E-2</v>
      </c>
      <c r="H1396" s="1" t="s">
        <v>257</v>
      </c>
      <c r="J1396" s="1" t="s">
        <v>258</v>
      </c>
      <c r="K1396" s="1" t="str">
        <f>_xlfn.XLOOKUP(J1396,REF!$D$2:$D$12,REF!$E$2:$E$12)</f>
        <v>Rede</v>
      </c>
      <c r="L1396" s="1" t="s">
        <v>259</v>
      </c>
      <c r="M1396" s="1" t="s">
        <v>260</v>
      </c>
      <c r="N1396" s="1" t="s">
        <v>261</v>
      </c>
      <c r="O1396" s="1" t="s">
        <v>626</v>
      </c>
      <c r="P1396" s="1" t="str">
        <f>_xlfn.CONCAT(B1396,C1396,D1396,E1396,F1396)</f>
        <v>BC Caiaponia1SG60KTL(COM3-019)_001_01946049,600694444446049,600694444446049,6805554977</v>
      </c>
      <c r="Q1396" s="1" t="str">
        <f t="shared" si="44"/>
        <v>DAURDE</v>
      </c>
    </row>
    <row r="1397" spans="2:17">
      <c r="B1397" s="1" t="s">
        <v>456</v>
      </c>
      <c r="C1397" s="1" t="s">
        <v>477</v>
      </c>
      <c r="D1397" s="52">
        <v>46049.600694444445</v>
      </c>
      <c r="E1397" s="52">
        <v>46049.600694444445</v>
      </c>
      <c r="F1397" s="52">
        <v>46049.680555497682</v>
      </c>
      <c r="G1397" s="53">
        <f>F1397-E1397</f>
        <v>7.9861053236527368E-2</v>
      </c>
      <c r="H1397" s="1" t="s">
        <v>257</v>
      </c>
      <c r="J1397" s="1" t="s">
        <v>258</v>
      </c>
      <c r="K1397" s="1" t="str">
        <f>_xlfn.XLOOKUP(J1397,REF!$D$2:$D$12,REF!$E$2:$E$12)</f>
        <v>Rede</v>
      </c>
      <c r="L1397" s="1" t="s">
        <v>259</v>
      </c>
      <c r="M1397" s="1" t="s">
        <v>260</v>
      </c>
      <c r="N1397" s="1" t="s">
        <v>261</v>
      </c>
      <c r="O1397" s="1" t="s">
        <v>626</v>
      </c>
      <c r="P1397" s="1" t="str">
        <f>_xlfn.CONCAT(B1397,C1397,D1397,E1397,F1397)</f>
        <v>BC Caiaponia1SG60KTL(COM3-020)_001_02046049,600694444446049,600694444446049,6805554977</v>
      </c>
      <c r="Q1397" s="1" t="str">
        <f t="shared" si="44"/>
        <v>DAURDE</v>
      </c>
    </row>
    <row r="1398" spans="2:17">
      <c r="B1398" s="1" t="s">
        <v>456</v>
      </c>
      <c r="C1398" s="1" t="s">
        <v>478</v>
      </c>
      <c r="D1398" s="52">
        <v>46049.600694444445</v>
      </c>
      <c r="E1398" s="52">
        <v>46049.600694444445</v>
      </c>
      <c r="F1398" s="52">
        <v>46049.680555497682</v>
      </c>
      <c r="G1398" s="53">
        <f>F1398-E1398</f>
        <v>7.9861053236527368E-2</v>
      </c>
      <c r="H1398" s="1" t="s">
        <v>257</v>
      </c>
      <c r="J1398" s="1" t="s">
        <v>258</v>
      </c>
      <c r="K1398" s="1" t="str">
        <f>_xlfn.XLOOKUP(J1398,REF!$D$2:$D$12,REF!$E$2:$E$12)</f>
        <v>Rede</v>
      </c>
      <c r="L1398" s="1" t="s">
        <v>259</v>
      </c>
      <c r="M1398" s="1" t="s">
        <v>260</v>
      </c>
      <c r="N1398" s="1" t="s">
        <v>261</v>
      </c>
      <c r="O1398" s="1" t="s">
        <v>626</v>
      </c>
      <c r="P1398" s="1" t="str">
        <f>_xlfn.CONCAT(B1398,C1398,D1398,E1398,F1398)</f>
        <v>BC Caiaponia1SG60KTL(COM2-026)46049,600694444446049,600694444446049,6805554977</v>
      </c>
      <c r="Q1398" s="1" t="str">
        <f t="shared" si="44"/>
        <v>DAURDE</v>
      </c>
    </row>
    <row r="1399" spans="2:17">
      <c r="B1399" s="1" t="s">
        <v>456</v>
      </c>
      <c r="C1399" s="1" t="s">
        <v>479</v>
      </c>
      <c r="D1399" s="52">
        <v>46049.600694444445</v>
      </c>
      <c r="E1399" s="52">
        <v>46049.600694444445</v>
      </c>
      <c r="F1399" s="52">
        <v>46049.680555497682</v>
      </c>
      <c r="G1399" s="53">
        <f>F1399-E1399</f>
        <v>7.9861053236527368E-2</v>
      </c>
      <c r="H1399" s="1" t="s">
        <v>257</v>
      </c>
      <c r="J1399" s="1" t="s">
        <v>258</v>
      </c>
      <c r="K1399" s="1" t="str">
        <f>_xlfn.XLOOKUP(J1399,REF!$D$2:$D$12,REF!$E$2:$E$12)</f>
        <v>Rede</v>
      </c>
      <c r="L1399" s="1" t="s">
        <v>259</v>
      </c>
      <c r="M1399" s="1" t="s">
        <v>260</v>
      </c>
      <c r="N1399" s="1" t="s">
        <v>261</v>
      </c>
      <c r="O1399" s="1" t="s">
        <v>626</v>
      </c>
      <c r="P1399" s="1" t="str">
        <f>_xlfn.CONCAT(B1399,C1399,D1399,E1399,F1399)</f>
        <v>BC Caiaponia1SG60KTL(COM2-027)46049,600694444446049,600694444446049,6805554977</v>
      </c>
      <c r="Q1399" s="1" t="str">
        <f t="shared" si="44"/>
        <v>DAURDE</v>
      </c>
    </row>
    <row r="1400" spans="2:17">
      <c r="B1400" s="1" t="s">
        <v>456</v>
      </c>
      <c r="C1400" s="1" t="s">
        <v>480</v>
      </c>
      <c r="D1400" s="52">
        <v>46049.600694444445</v>
      </c>
      <c r="E1400" s="52">
        <v>46049.600694444445</v>
      </c>
      <c r="F1400" s="52">
        <v>46049.680555497682</v>
      </c>
      <c r="G1400" s="53">
        <f>F1400-E1400</f>
        <v>7.9861053236527368E-2</v>
      </c>
      <c r="H1400" s="1" t="s">
        <v>257</v>
      </c>
      <c r="J1400" s="1" t="s">
        <v>258</v>
      </c>
      <c r="K1400" s="1" t="str">
        <f>_xlfn.XLOOKUP(J1400,REF!$D$2:$D$12,REF!$E$2:$E$12)</f>
        <v>Rede</v>
      </c>
      <c r="L1400" s="1" t="s">
        <v>259</v>
      </c>
      <c r="M1400" s="1" t="s">
        <v>260</v>
      </c>
      <c r="N1400" s="1" t="s">
        <v>261</v>
      </c>
      <c r="O1400" s="1" t="s">
        <v>626</v>
      </c>
      <c r="P1400" s="1" t="str">
        <f>_xlfn.CONCAT(B1400,C1400,D1400,E1400,F1400)</f>
        <v>BC Caiaponia1SG60KTL(COM2-028)46049,600694444446049,600694444446049,6805554977</v>
      </c>
      <c r="Q1400" s="1" t="str">
        <f t="shared" si="44"/>
        <v>DAURDE</v>
      </c>
    </row>
    <row r="1401" spans="2:17">
      <c r="B1401" s="1" t="s">
        <v>456</v>
      </c>
      <c r="C1401" s="1" t="s">
        <v>481</v>
      </c>
      <c r="D1401" s="52">
        <v>46049.600694444445</v>
      </c>
      <c r="E1401" s="52">
        <v>46049.600694444445</v>
      </c>
      <c r="F1401" s="52">
        <v>46049.680555497682</v>
      </c>
      <c r="G1401" s="53">
        <f>F1401-E1401</f>
        <v>7.9861053236527368E-2</v>
      </c>
      <c r="H1401" s="1" t="s">
        <v>257</v>
      </c>
      <c r="J1401" s="1" t="s">
        <v>258</v>
      </c>
      <c r="K1401" s="1" t="str">
        <f>_xlfn.XLOOKUP(J1401,REF!$D$2:$D$12,REF!$E$2:$E$12)</f>
        <v>Rede</v>
      </c>
      <c r="L1401" s="1" t="s">
        <v>259</v>
      </c>
      <c r="M1401" s="1" t="s">
        <v>260</v>
      </c>
      <c r="N1401" s="1" t="s">
        <v>261</v>
      </c>
      <c r="O1401" s="1" t="s">
        <v>626</v>
      </c>
      <c r="P1401" s="1" t="str">
        <f>_xlfn.CONCAT(B1401,C1401,D1401,E1401,F1401)</f>
        <v>BC Caiaponia1SG60KTL(COM2-029)46049,600694444446049,600694444446049,6805554977</v>
      </c>
      <c r="Q1401" s="1" t="str">
        <f t="shared" si="44"/>
        <v>DAURDE</v>
      </c>
    </row>
    <row r="1402" spans="2:17">
      <c r="B1402" s="1" t="s">
        <v>456</v>
      </c>
      <c r="C1402" s="1" t="s">
        <v>482</v>
      </c>
      <c r="D1402" s="52">
        <v>46049.600694444445</v>
      </c>
      <c r="E1402" s="52">
        <v>46049.600694444445</v>
      </c>
      <c r="F1402" s="52">
        <v>46049.680555497682</v>
      </c>
      <c r="G1402" s="53">
        <f>F1402-E1402</f>
        <v>7.9861053236527368E-2</v>
      </c>
      <c r="H1402" s="1" t="s">
        <v>257</v>
      </c>
      <c r="J1402" s="1" t="s">
        <v>258</v>
      </c>
      <c r="K1402" s="1" t="str">
        <f>_xlfn.XLOOKUP(J1402,REF!$D$2:$D$12,REF!$E$2:$E$12)</f>
        <v>Rede</v>
      </c>
      <c r="L1402" s="1" t="s">
        <v>259</v>
      </c>
      <c r="M1402" s="1" t="s">
        <v>260</v>
      </c>
      <c r="N1402" s="1" t="s">
        <v>261</v>
      </c>
      <c r="O1402" s="1" t="s">
        <v>626</v>
      </c>
      <c r="P1402" s="1" t="str">
        <f>_xlfn.CONCAT(B1402,C1402,D1402,E1402,F1402)</f>
        <v>BC Caiaponia1SG50CX(COM1-021)46049,600694444446049,600694444446049,6805554977</v>
      </c>
      <c r="Q1402" s="1" t="str">
        <f t="shared" si="44"/>
        <v>DAURDE</v>
      </c>
    </row>
    <row r="1403" spans="2:17">
      <c r="B1403" s="1" t="s">
        <v>456</v>
      </c>
      <c r="C1403" s="1" t="s">
        <v>483</v>
      </c>
      <c r="D1403" s="52">
        <v>46049.600694444445</v>
      </c>
      <c r="E1403" s="52">
        <v>46049.600694444445</v>
      </c>
      <c r="F1403" s="52">
        <v>46049.680555497682</v>
      </c>
      <c r="G1403" s="53">
        <f>F1403-E1403</f>
        <v>7.9861053236527368E-2</v>
      </c>
      <c r="H1403" s="1" t="s">
        <v>257</v>
      </c>
      <c r="J1403" s="1" t="s">
        <v>258</v>
      </c>
      <c r="K1403" s="1" t="str">
        <f>_xlfn.XLOOKUP(J1403,REF!$D$2:$D$12,REF!$E$2:$E$12)</f>
        <v>Rede</v>
      </c>
      <c r="L1403" s="1" t="s">
        <v>259</v>
      </c>
      <c r="M1403" s="1" t="s">
        <v>260</v>
      </c>
      <c r="N1403" s="1" t="s">
        <v>261</v>
      </c>
      <c r="O1403" s="1" t="s">
        <v>626</v>
      </c>
      <c r="P1403" s="1" t="str">
        <f>_xlfn.CONCAT(B1403,C1403,D1403,E1403,F1403)</f>
        <v>BC Caiaponia1SG50CX(COM1-022)46049,600694444446049,600694444446049,6805554977</v>
      </c>
      <c r="Q1403" s="1" t="str">
        <f t="shared" si="44"/>
        <v>DAURDE</v>
      </c>
    </row>
    <row r="1404" spans="2:17">
      <c r="B1404" s="1" t="s">
        <v>456</v>
      </c>
      <c r="C1404" s="1" t="s">
        <v>484</v>
      </c>
      <c r="D1404" s="52">
        <v>46049.600694444445</v>
      </c>
      <c r="E1404" s="52">
        <v>46049.600694444445</v>
      </c>
      <c r="F1404" s="52">
        <v>46049.680555497682</v>
      </c>
      <c r="G1404" s="53">
        <f>F1404-E1404</f>
        <v>7.9861053236527368E-2</v>
      </c>
      <c r="H1404" s="1" t="s">
        <v>257</v>
      </c>
      <c r="J1404" s="1" t="s">
        <v>258</v>
      </c>
      <c r="K1404" s="1" t="str">
        <f>_xlfn.XLOOKUP(J1404,REF!$D$2:$D$12,REF!$E$2:$E$12)</f>
        <v>Rede</v>
      </c>
      <c r="L1404" s="1" t="s">
        <v>259</v>
      </c>
      <c r="M1404" s="1" t="s">
        <v>260</v>
      </c>
      <c r="N1404" s="1" t="s">
        <v>261</v>
      </c>
      <c r="O1404" s="1" t="s">
        <v>626</v>
      </c>
      <c r="P1404" s="1" t="str">
        <f>_xlfn.CONCAT(B1404,C1404,D1404,E1404,F1404)</f>
        <v>BC Caiaponia1SG50CX(COM1-023)46049,600694444446049,600694444446049,6805554977</v>
      </c>
      <c r="Q1404" s="1" t="str">
        <f t="shared" si="44"/>
        <v>DAURDE</v>
      </c>
    </row>
    <row r="1405" spans="2:17">
      <c r="B1405" s="1" t="s">
        <v>456</v>
      </c>
      <c r="C1405" s="1" t="s">
        <v>485</v>
      </c>
      <c r="D1405" s="52">
        <v>46049.600694444445</v>
      </c>
      <c r="E1405" s="52">
        <v>46049.600694444445</v>
      </c>
      <c r="F1405" s="52">
        <v>46049.680555497682</v>
      </c>
      <c r="G1405" s="53">
        <f>F1405-E1405</f>
        <v>7.9861053236527368E-2</v>
      </c>
      <c r="H1405" s="1" t="s">
        <v>257</v>
      </c>
      <c r="J1405" s="1" t="s">
        <v>258</v>
      </c>
      <c r="K1405" s="1" t="str">
        <f>_xlfn.XLOOKUP(J1405,REF!$D$2:$D$12,REF!$E$2:$E$12)</f>
        <v>Rede</v>
      </c>
      <c r="L1405" s="1" t="s">
        <v>259</v>
      </c>
      <c r="M1405" s="1" t="s">
        <v>260</v>
      </c>
      <c r="N1405" s="1" t="s">
        <v>261</v>
      </c>
      <c r="O1405" s="1" t="s">
        <v>626</v>
      </c>
      <c r="P1405" s="1" t="str">
        <f>_xlfn.CONCAT(B1405,C1405,D1405,E1405,F1405)</f>
        <v>BC Caiaponia1SG50CX(COM1-024)46049,600694444446049,600694444446049,6805554977</v>
      </c>
      <c r="Q1405" s="1" t="str">
        <f t="shared" si="44"/>
        <v>DAURDE</v>
      </c>
    </row>
    <row r="1406" spans="2:17">
      <c r="B1406" s="1" t="s">
        <v>456</v>
      </c>
      <c r="C1406" s="1" t="s">
        <v>486</v>
      </c>
      <c r="D1406" s="52">
        <v>46049.600694444445</v>
      </c>
      <c r="E1406" s="52">
        <v>46049.600694444445</v>
      </c>
      <c r="F1406" s="52">
        <v>46049.680555497682</v>
      </c>
      <c r="G1406" s="53">
        <f>F1406-E1406</f>
        <v>7.9861053236527368E-2</v>
      </c>
      <c r="H1406" s="1" t="s">
        <v>257</v>
      </c>
      <c r="J1406" s="1" t="s">
        <v>258</v>
      </c>
      <c r="K1406" s="1" t="str">
        <f>_xlfn.XLOOKUP(J1406,REF!$D$2:$D$12,REF!$E$2:$E$12)</f>
        <v>Rede</v>
      </c>
      <c r="L1406" s="1" t="s">
        <v>259</v>
      </c>
      <c r="M1406" s="1" t="s">
        <v>260</v>
      </c>
      <c r="N1406" s="1" t="s">
        <v>261</v>
      </c>
      <c r="O1406" s="1" t="s">
        <v>626</v>
      </c>
      <c r="P1406" s="1" t="str">
        <f>_xlfn.CONCAT(B1406,C1406,D1406,E1406,F1406)</f>
        <v>BC Caiaponia1SG50CX(COM1-025)46049,600694444446049,600694444446049,6805554977</v>
      </c>
      <c r="Q1406" s="1" t="str">
        <f t="shared" si="44"/>
        <v>DAURDE</v>
      </c>
    </row>
    <row r="1407" spans="2:17">
      <c r="B1407" s="1" t="s">
        <v>487</v>
      </c>
      <c r="C1407" s="1" t="s">
        <v>377</v>
      </c>
      <c r="D1407" s="52">
        <v>46049.600694444445</v>
      </c>
      <c r="E1407" s="52">
        <v>46049.600694444445</v>
      </c>
      <c r="F1407" s="52">
        <v>46049.680555497682</v>
      </c>
      <c r="G1407" s="53">
        <f>F1407-E1407</f>
        <v>7.9861053236527368E-2</v>
      </c>
      <c r="H1407" s="1" t="s">
        <v>257</v>
      </c>
      <c r="J1407" s="1" t="s">
        <v>258</v>
      </c>
      <c r="K1407" s="1" t="str">
        <f>_xlfn.XLOOKUP(J1407,REF!$D$2:$D$12,REF!$E$2:$E$12)</f>
        <v>Rede</v>
      </c>
      <c r="L1407" s="1" t="s">
        <v>259</v>
      </c>
      <c r="M1407" s="1" t="s">
        <v>260</v>
      </c>
      <c r="N1407" s="1" t="s">
        <v>261</v>
      </c>
      <c r="O1407" s="1" t="s">
        <v>626</v>
      </c>
      <c r="P1407" s="1" t="str">
        <f>_xlfn.CONCAT(B1407,C1407,D1407,E1407,F1407)</f>
        <v>BC Caiaponia2.1215KTL-H3(MBUS-12)46049,600694444446049,600694444446049,6805554977</v>
      </c>
      <c r="Q1407" s="1" t="str">
        <f t="shared" si="44"/>
        <v>DAURDE</v>
      </c>
    </row>
    <row r="1408" spans="2:17">
      <c r="B1408" s="1" t="s">
        <v>487</v>
      </c>
      <c r="C1408" s="1" t="s">
        <v>378</v>
      </c>
      <c r="D1408" s="52">
        <v>46049.600694444445</v>
      </c>
      <c r="E1408" s="52">
        <v>46049.600694444445</v>
      </c>
      <c r="F1408" s="52">
        <v>46049.680555497682</v>
      </c>
      <c r="G1408" s="53">
        <f>F1408-E1408</f>
        <v>7.9861053236527368E-2</v>
      </c>
      <c r="H1408" s="1" t="s">
        <v>257</v>
      </c>
      <c r="J1408" s="1" t="s">
        <v>258</v>
      </c>
      <c r="K1408" s="1" t="str">
        <f>_xlfn.XLOOKUP(J1408,REF!$D$2:$D$12,REF!$E$2:$E$12)</f>
        <v>Rede</v>
      </c>
      <c r="L1408" s="1" t="s">
        <v>259</v>
      </c>
      <c r="M1408" s="1" t="s">
        <v>260</v>
      </c>
      <c r="N1408" s="1" t="s">
        <v>261</v>
      </c>
      <c r="O1408" s="1" t="s">
        <v>626</v>
      </c>
      <c r="P1408" s="1" t="str">
        <f>_xlfn.CONCAT(B1408,C1408,D1408,E1408,F1408)</f>
        <v>BC Caiaponia2.1215KTL-H3(MBUS-13)46049,600694444446049,600694444446049,6805554977</v>
      </c>
      <c r="Q1408" s="1" t="str">
        <f t="shared" si="44"/>
        <v>DAURDE</v>
      </c>
    </row>
    <row r="1409" spans="2:17">
      <c r="B1409" s="1" t="s">
        <v>487</v>
      </c>
      <c r="C1409" s="1" t="s">
        <v>382</v>
      </c>
      <c r="D1409" s="52">
        <v>46049.600694444445</v>
      </c>
      <c r="E1409" s="52">
        <v>46049.600694444445</v>
      </c>
      <c r="F1409" s="52">
        <v>46049.680555497682</v>
      </c>
      <c r="G1409" s="53">
        <f>F1409-E1409</f>
        <v>7.9861053236527368E-2</v>
      </c>
      <c r="H1409" s="1" t="s">
        <v>257</v>
      </c>
      <c r="J1409" s="1" t="s">
        <v>258</v>
      </c>
      <c r="K1409" s="1" t="str">
        <f>_xlfn.XLOOKUP(J1409,REF!$D$2:$D$12,REF!$E$2:$E$12)</f>
        <v>Rede</v>
      </c>
      <c r="L1409" s="1" t="s">
        <v>259</v>
      </c>
      <c r="M1409" s="1" t="s">
        <v>260</v>
      </c>
      <c r="N1409" s="1" t="s">
        <v>261</v>
      </c>
      <c r="O1409" s="1" t="s">
        <v>626</v>
      </c>
      <c r="P1409" s="1" t="str">
        <f>_xlfn.CONCAT(B1409,C1409,D1409,E1409,F1409)</f>
        <v>BC Caiaponia2.1215KTL-H3(MBUS-14)46049,600694444446049,600694444446049,6805554977</v>
      </c>
      <c r="Q1409" s="1" t="str">
        <f t="shared" si="44"/>
        <v>DAURDE</v>
      </c>
    </row>
    <row r="1410" spans="2:17">
      <c r="B1410" s="1" t="s">
        <v>487</v>
      </c>
      <c r="C1410" s="1" t="s">
        <v>380</v>
      </c>
      <c r="D1410" s="52">
        <v>46049.600694444445</v>
      </c>
      <c r="E1410" s="52">
        <v>46049.600694444445</v>
      </c>
      <c r="F1410" s="52">
        <v>46049.680555497682</v>
      </c>
      <c r="G1410" s="53">
        <f>F1410-E1410</f>
        <v>7.9861053236527368E-2</v>
      </c>
      <c r="H1410" s="1" t="s">
        <v>257</v>
      </c>
      <c r="J1410" s="1" t="s">
        <v>258</v>
      </c>
      <c r="K1410" s="1" t="str">
        <f>_xlfn.XLOOKUP(J1410,REF!$D$2:$D$12,REF!$E$2:$E$12)</f>
        <v>Rede</v>
      </c>
      <c r="L1410" s="1" t="s">
        <v>259</v>
      </c>
      <c r="M1410" s="1" t="s">
        <v>260</v>
      </c>
      <c r="N1410" s="1" t="s">
        <v>261</v>
      </c>
      <c r="O1410" s="1" t="s">
        <v>626</v>
      </c>
      <c r="P1410" s="1" t="str">
        <f>_xlfn.CONCAT(B1410,C1410,D1410,E1410,F1410)</f>
        <v>BC Caiaponia2.1215KTL-H3(MBUS-15)46049,600694444446049,600694444446049,6805554977</v>
      </c>
      <c r="Q1410" s="1" t="str">
        <f t="shared" si="44"/>
        <v>DAURDE</v>
      </c>
    </row>
    <row r="1411" spans="2:17">
      <c r="B1411" s="1" t="s">
        <v>487</v>
      </c>
      <c r="C1411" s="1" t="s">
        <v>379</v>
      </c>
      <c r="D1411" s="52">
        <v>46049.600694444445</v>
      </c>
      <c r="E1411" s="52">
        <v>46049.600694444445</v>
      </c>
      <c r="F1411" s="52">
        <v>46049.680555497682</v>
      </c>
      <c r="G1411" s="53">
        <f>F1411-E1411</f>
        <v>7.9861053236527368E-2</v>
      </c>
      <c r="H1411" s="1" t="s">
        <v>257</v>
      </c>
      <c r="J1411" s="1" t="s">
        <v>258</v>
      </c>
      <c r="K1411" s="1" t="str">
        <f>_xlfn.XLOOKUP(J1411,REF!$D$2:$D$12,REF!$E$2:$E$12)</f>
        <v>Rede</v>
      </c>
      <c r="L1411" s="1" t="s">
        <v>259</v>
      </c>
      <c r="M1411" s="1" t="s">
        <v>260</v>
      </c>
      <c r="N1411" s="1" t="s">
        <v>261</v>
      </c>
      <c r="O1411" s="1" t="s">
        <v>626</v>
      </c>
      <c r="P1411" s="1" t="str">
        <f>_xlfn.CONCAT(B1411,C1411,D1411,E1411,F1411)</f>
        <v>BC Caiaponia2.1215KTL-H3(MBUS-16)46049,600694444446049,600694444446049,6805554977</v>
      </c>
      <c r="Q1411" s="1" t="str">
        <f t="shared" si="44"/>
        <v>DAURDE</v>
      </c>
    </row>
    <row r="1412" spans="2:17">
      <c r="B1412" s="1" t="s">
        <v>583</v>
      </c>
      <c r="C1412" s="1" t="s">
        <v>377</v>
      </c>
      <c r="D1412" s="52">
        <v>46049.600694444445</v>
      </c>
      <c r="E1412" s="52">
        <v>46049.600694444445</v>
      </c>
      <c r="F1412" s="52">
        <v>46049.680555497682</v>
      </c>
      <c r="G1412" s="53">
        <f>F1412-E1412</f>
        <v>7.9861053236527368E-2</v>
      </c>
      <c r="H1412" s="1" t="s">
        <v>257</v>
      </c>
      <c r="J1412" s="1" t="s">
        <v>258</v>
      </c>
      <c r="K1412" s="1" t="str">
        <f>_xlfn.XLOOKUP(J1412,REF!$D$2:$D$12,REF!$E$2:$E$12)</f>
        <v>Rede</v>
      </c>
      <c r="L1412" s="1" t="s">
        <v>259</v>
      </c>
      <c r="M1412" s="1" t="s">
        <v>260</v>
      </c>
      <c r="N1412" s="1" t="s">
        <v>261</v>
      </c>
      <c r="O1412" s="1" t="s">
        <v>626</v>
      </c>
      <c r="P1412" s="1" t="str">
        <f>_xlfn.CONCAT(B1412,C1412,D1412,E1412,F1412)</f>
        <v>BC Caiaponia2.2215KTL-H3(MBUS-12)46049,600694444446049,600694444446049,6805554977</v>
      </c>
      <c r="Q1412" s="1" t="str">
        <f t="shared" si="44"/>
        <v>DAURDE</v>
      </c>
    </row>
    <row r="1413" spans="2:17">
      <c r="B1413" s="1" t="s">
        <v>583</v>
      </c>
      <c r="C1413" s="1" t="s">
        <v>378</v>
      </c>
      <c r="D1413" s="52">
        <v>46049.600694444445</v>
      </c>
      <c r="E1413" s="52">
        <v>46049.600694444445</v>
      </c>
      <c r="F1413" s="52">
        <v>46049.680555497682</v>
      </c>
      <c r="G1413" s="53">
        <f>F1413-E1413</f>
        <v>7.9861053236527368E-2</v>
      </c>
      <c r="H1413" s="1" t="s">
        <v>257</v>
      </c>
      <c r="J1413" s="1" t="s">
        <v>258</v>
      </c>
      <c r="K1413" s="1" t="str">
        <f>_xlfn.XLOOKUP(J1413,REF!$D$2:$D$12,REF!$E$2:$E$12)</f>
        <v>Rede</v>
      </c>
      <c r="L1413" s="1" t="s">
        <v>259</v>
      </c>
      <c r="M1413" s="1" t="s">
        <v>260</v>
      </c>
      <c r="N1413" s="1" t="s">
        <v>261</v>
      </c>
      <c r="O1413" s="1" t="s">
        <v>626</v>
      </c>
      <c r="P1413" s="1" t="str">
        <f>_xlfn.CONCAT(B1413,C1413,D1413,E1413,F1413)</f>
        <v>BC Caiaponia2.2215KTL-H3(MBUS-13)46049,600694444446049,600694444446049,6805554977</v>
      </c>
      <c r="Q1413" s="1" t="str">
        <f t="shared" si="44"/>
        <v>DAURDE</v>
      </c>
    </row>
    <row r="1414" spans="2:17">
      <c r="B1414" s="1" t="s">
        <v>583</v>
      </c>
      <c r="C1414" s="1" t="s">
        <v>382</v>
      </c>
      <c r="D1414" s="52">
        <v>46049.600694444445</v>
      </c>
      <c r="E1414" s="52">
        <v>46049.600694444445</v>
      </c>
      <c r="F1414" s="52">
        <v>46049.680555497682</v>
      </c>
      <c r="G1414" s="53">
        <f>F1414-E1414</f>
        <v>7.9861053236527368E-2</v>
      </c>
      <c r="H1414" s="1" t="s">
        <v>257</v>
      </c>
      <c r="J1414" s="1" t="s">
        <v>258</v>
      </c>
      <c r="K1414" s="1" t="str">
        <f>_xlfn.XLOOKUP(J1414,REF!$D$2:$D$12,REF!$E$2:$E$12)</f>
        <v>Rede</v>
      </c>
      <c r="L1414" s="1" t="s">
        <v>259</v>
      </c>
      <c r="M1414" s="1" t="s">
        <v>260</v>
      </c>
      <c r="N1414" s="1" t="s">
        <v>261</v>
      </c>
      <c r="O1414" s="1" t="s">
        <v>626</v>
      </c>
      <c r="P1414" s="1" t="str">
        <f>_xlfn.CONCAT(B1414,C1414,D1414,E1414,F1414)</f>
        <v>BC Caiaponia2.2215KTL-H3(MBUS-14)46049,600694444446049,600694444446049,6805554977</v>
      </c>
      <c r="Q1414" s="1" t="str">
        <f t="shared" si="44"/>
        <v>DAURDE</v>
      </c>
    </row>
    <row r="1415" spans="2:17">
      <c r="B1415" s="1" t="s">
        <v>583</v>
      </c>
      <c r="C1415" s="1" t="s">
        <v>380</v>
      </c>
      <c r="D1415" s="52">
        <v>46049.600694444445</v>
      </c>
      <c r="E1415" s="52">
        <v>46049.600694444445</v>
      </c>
      <c r="F1415" s="52">
        <v>46049.680555497682</v>
      </c>
      <c r="G1415" s="53">
        <f>F1415-E1415</f>
        <v>7.9861053236527368E-2</v>
      </c>
      <c r="H1415" s="1" t="s">
        <v>257</v>
      </c>
      <c r="J1415" s="1" t="s">
        <v>258</v>
      </c>
      <c r="K1415" s="1" t="str">
        <f>_xlfn.XLOOKUP(J1415,REF!$D$2:$D$12,REF!$E$2:$E$12)</f>
        <v>Rede</v>
      </c>
      <c r="L1415" s="1" t="s">
        <v>259</v>
      </c>
      <c r="M1415" s="1" t="s">
        <v>260</v>
      </c>
      <c r="N1415" s="1" t="s">
        <v>261</v>
      </c>
      <c r="O1415" s="1" t="s">
        <v>626</v>
      </c>
      <c r="P1415" s="1" t="str">
        <f>_xlfn.CONCAT(B1415,C1415,D1415,E1415,F1415)</f>
        <v>BC Caiaponia2.2215KTL-H3(MBUS-15)46049,600694444446049,600694444446049,6805554977</v>
      </c>
      <c r="Q1415" s="1" t="str">
        <f t="shared" si="44"/>
        <v>DAURDE</v>
      </c>
    </row>
    <row r="1416" spans="2:17">
      <c r="B1416" s="1" t="s">
        <v>583</v>
      </c>
      <c r="C1416" s="1" t="s">
        <v>379</v>
      </c>
      <c r="D1416" s="52">
        <v>46049.600694444445</v>
      </c>
      <c r="E1416" s="52">
        <v>46049.600694444445</v>
      </c>
      <c r="F1416" s="52">
        <v>46049.680555497682</v>
      </c>
      <c r="G1416" s="53">
        <f>F1416-E1416</f>
        <v>7.9861053236527368E-2</v>
      </c>
      <c r="H1416" s="1" t="s">
        <v>257</v>
      </c>
      <c r="J1416" s="1" t="s">
        <v>258</v>
      </c>
      <c r="K1416" s="1" t="str">
        <f>_xlfn.XLOOKUP(J1416,REF!$D$2:$D$12,REF!$E$2:$E$12)</f>
        <v>Rede</v>
      </c>
      <c r="L1416" s="1" t="s">
        <v>259</v>
      </c>
      <c r="M1416" s="1" t="s">
        <v>260</v>
      </c>
      <c r="N1416" s="1" t="s">
        <v>261</v>
      </c>
      <c r="O1416" s="1" t="s">
        <v>626</v>
      </c>
      <c r="P1416" s="1" t="str">
        <f>_xlfn.CONCAT(B1416,C1416,D1416,E1416,F1416)</f>
        <v>BC Caiaponia2.2215KTL-H3(MBUS-16)46049,600694444446049,600694444446049,6805554977</v>
      </c>
      <c r="Q1416" s="1" t="str">
        <f t="shared" si="44"/>
        <v>DAURDE</v>
      </c>
    </row>
    <row r="1417" spans="2:17">
      <c r="B1417" s="1" t="s">
        <v>584</v>
      </c>
      <c r="C1417" s="1" t="s">
        <v>377</v>
      </c>
      <c r="D1417" s="52">
        <v>46049.600694444445</v>
      </c>
      <c r="E1417" s="52">
        <v>46049.600694444445</v>
      </c>
      <c r="F1417" s="52">
        <v>46049.680555497682</v>
      </c>
      <c r="G1417" s="53">
        <f>F1417-E1417</f>
        <v>7.9861053236527368E-2</v>
      </c>
      <c r="H1417" s="1" t="s">
        <v>257</v>
      </c>
      <c r="J1417" s="1" t="s">
        <v>258</v>
      </c>
      <c r="K1417" s="1" t="str">
        <f>_xlfn.XLOOKUP(J1417,REF!$D$2:$D$12,REF!$E$2:$E$12)</f>
        <v>Rede</v>
      </c>
      <c r="L1417" s="1" t="s">
        <v>259</v>
      </c>
      <c r="M1417" s="1" t="s">
        <v>260</v>
      </c>
      <c r="N1417" s="1" t="s">
        <v>261</v>
      </c>
      <c r="O1417" s="1" t="s">
        <v>626</v>
      </c>
      <c r="P1417" s="1" t="str">
        <f>_xlfn.CONCAT(B1417,C1417,D1417,E1417,F1417)</f>
        <v>BC Caiaponia2.3215KTL-H3(MBUS-12)46049,600694444446049,600694444446049,6805554977</v>
      </c>
      <c r="Q1417" s="1" t="str">
        <f t="shared" si="44"/>
        <v>DAURDE</v>
      </c>
    </row>
    <row r="1418" spans="2:17">
      <c r="B1418" s="1" t="s">
        <v>584</v>
      </c>
      <c r="C1418" s="1" t="s">
        <v>378</v>
      </c>
      <c r="D1418" s="52">
        <v>46049.600694444445</v>
      </c>
      <c r="E1418" s="52">
        <v>46049.600694444445</v>
      </c>
      <c r="F1418" s="52">
        <v>46049.680555497682</v>
      </c>
      <c r="G1418" s="53">
        <f>F1418-E1418</f>
        <v>7.9861053236527368E-2</v>
      </c>
      <c r="H1418" s="1" t="s">
        <v>257</v>
      </c>
      <c r="J1418" s="1" t="s">
        <v>258</v>
      </c>
      <c r="K1418" s="1" t="str">
        <f>_xlfn.XLOOKUP(J1418,REF!$D$2:$D$12,REF!$E$2:$E$12)</f>
        <v>Rede</v>
      </c>
      <c r="L1418" s="1" t="s">
        <v>259</v>
      </c>
      <c r="M1418" s="1" t="s">
        <v>260</v>
      </c>
      <c r="N1418" s="1" t="s">
        <v>261</v>
      </c>
      <c r="O1418" s="1" t="s">
        <v>626</v>
      </c>
      <c r="P1418" s="1" t="str">
        <f>_xlfn.CONCAT(B1418,C1418,D1418,E1418,F1418)</f>
        <v>BC Caiaponia2.3215KTL-H3(MBUS-13)46049,600694444446049,600694444446049,6805554977</v>
      </c>
      <c r="Q1418" s="1" t="str">
        <f t="shared" si="44"/>
        <v>DAURDE</v>
      </c>
    </row>
    <row r="1419" spans="2:17">
      <c r="B1419" s="1" t="s">
        <v>584</v>
      </c>
      <c r="C1419" s="1" t="s">
        <v>382</v>
      </c>
      <c r="D1419" s="52">
        <v>46049.600694444445</v>
      </c>
      <c r="E1419" s="52">
        <v>46049.600694444445</v>
      </c>
      <c r="F1419" s="52">
        <v>46049.680555497682</v>
      </c>
      <c r="G1419" s="53">
        <f>F1419-E1419</f>
        <v>7.9861053236527368E-2</v>
      </c>
      <c r="H1419" s="1" t="s">
        <v>257</v>
      </c>
      <c r="J1419" s="1" t="s">
        <v>258</v>
      </c>
      <c r="K1419" s="1" t="str">
        <f>_xlfn.XLOOKUP(J1419,REF!$D$2:$D$12,REF!$E$2:$E$12)</f>
        <v>Rede</v>
      </c>
      <c r="L1419" s="1" t="s">
        <v>259</v>
      </c>
      <c r="M1419" s="1" t="s">
        <v>260</v>
      </c>
      <c r="N1419" s="1" t="s">
        <v>261</v>
      </c>
      <c r="O1419" s="1" t="s">
        <v>626</v>
      </c>
      <c r="P1419" s="1" t="str">
        <f>_xlfn.CONCAT(B1419,C1419,D1419,E1419,F1419)</f>
        <v>BC Caiaponia2.3215KTL-H3(MBUS-14)46049,600694444446049,600694444446049,6805554977</v>
      </c>
      <c r="Q1419" s="1" t="str">
        <f t="shared" si="44"/>
        <v>DAURDE</v>
      </c>
    </row>
    <row r="1420" spans="2:17">
      <c r="B1420" s="1" t="s">
        <v>584</v>
      </c>
      <c r="C1420" s="1" t="s">
        <v>380</v>
      </c>
      <c r="D1420" s="52">
        <v>46049.600694444445</v>
      </c>
      <c r="E1420" s="52">
        <v>46049.600694444445</v>
      </c>
      <c r="F1420" s="52">
        <v>46049.680555497682</v>
      </c>
      <c r="G1420" s="53">
        <f>F1420-E1420</f>
        <v>7.9861053236527368E-2</v>
      </c>
      <c r="H1420" s="1" t="s">
        <v>257</v>
      </c>
      <c r="J1420" s="1" t="s">
        <v>258</v>
      </c>
      <c r="K1420" s="1" t="str">
        <f>_xlfn.XLOOKUP(J1420,REF!$D$2:$D$12,REF!$E$2:$E$12)</f>
        <v>Rede</v>
      </c>
      <c r="L1420" s="1" t="s">
        <v>259</v>
      </c>
      <c r="M1420" s="1" t="s">
        <v>260</v>
      </c>
      <c r="N1420" s="1" t="s">
        <v>261</v>
      </c>
      <c r="O1420" s="1" t="s">
        <v>626</v>
      </c>
      <c r="P1420" s="1" t="str">
        <f>_xlfn.CONCAT(B1420,C1420,D1420,E1420,F1420)</f>
        <v>BC Caiaponia2.3215KTL-H3(MBUS-15)46049,600694444446049,600694444446049,6805554977</v>
      </c>
      <c r="Q1420" s="1" t="str">
        <f t="shared" si="44"/>
        <v>DAURDE</v>
      </c>
    </row>
    <row r="1421" spans="2:17">
      <c r="B1421" s="1" t="s">
        <v>584</v>
      </c>
      <c r="C1421" s="1" t="s">
        <v>379</v>
      </c>
      <c r="D1421" s="52">
        <v>46049.600694444445</v>
      </c>
      <c r="E1421" s="52">
        <v>46049.600694444445</v>
      </c>
      <c r="F1421" s="52">
        <v>46049.680555497682</v>
      </c>
      <c r="G1421" s="53">
        <f>F1421-E1421</f>
        <v>7.9861053236527368E-2</v>
      </c>
      <c r="H1421" s="1" t="s">
        <v>257</v>
      </c>
      <c r="J1421" s="1" t="s">
        <v>258</v>
      </c>
      <c r="K1421" s="1" t="str">
        <f>_xlfn.XLOOKUP(J1421,REF!$D$2:$D$12,REF!$E$2:$E$12)</f>
        <v>Rede</v>
      </c>
      <c r="L1421" s="1" t="s">
        <v>259</v>
      </c>
      <c r="M1421" s="1" t="s">
        <v>260</v>
      </c>
      <c r="N1421" s="1" t="s">
        <v>261</v>
      </c>
      <c r="O1421" s="1" t="s">
        <v>626</v>
      </c>
      <c r="P1421" s="1" t="str">
        <f>_xlfn.CONCAT(B1421,C1421,D1421,E1421,F1421)</f>
        <v>BC Caiaponia2.3215KTL-H3(MBUS-16)46049,600694444446049,600694444446049,6805554977</v>
      </c>
      <c r="Q1421" s="1" t="str">
        <f t="shared" si="44"/>
        <v>DAURDE</v>
      </c>
    </row>
    <row r="1422" spans="2:17">
      <c r="B1422" s="1" t="s">
        <v>327</v>
      </c>
      <c r="C1422" s="1" t="s">
        <v>247</v>
      </c>
      <c r="D1422" s="52">
        <v>46049.628472222219</v>
      </c>
      <c r="E1422" s="52">
        <v>46049.628472222219</v>
      </c>
      <c r="F1422" s="52">
        <v>46049.770138888889</v>
      </c>
      <c r="G1422" s="53">
        <f>F1422-E1422</f>
        <v>0.14166666667006211</v>
      </c>
      <c r="H1422" s="1" t="s">
        <v>257</v>
      </c>
      <c r="J1422" s="1" t="s">
        <v>258</v>
      </c>
      <c r="K1422" s="1" t="str">
        <f>_xlfn.XLOOKUP(J1422,REF!$D$2:$D$12,REF!$E$2:$E$12)</f>
        <v>Rede</v>
      </c>
      <c r="L1422" s="1" t="s">
        <v>627</v>
      </c>
      <c r="M1422" s="1" t="s">
        <v>260</v>
      </c>
      <c r="N1422" s="1" t="s">
        <v>261</v>
      </c>
      <c r="O1422" s="1" t="s">
        <v>607</v>
      </c>
      <c r="P1422" s="1" t="str">
        <f>_xlfn.CONCAT(B1422,C1422,D1422,E1422,F1422)</f>
        <v>BC Aracu5.1Inverter(MBUS-1)46049,628472222246049,628472222246049,7701388889</v>
      </c>
      <c r="Q1422" s="1" t="str">
        <f t="shared" si="44"/>
        <v>DAURDE</v>
      </c>
    </row>
    <row r="1423" spans="2:17">
      <c r="B1423" s="1" t="s">
        <v>246</v>
      </c>
      <c r="C1423" s="1" t="s">
        <v>247</v>
      </c>
      <c r="D1423" s="52">
        <v>46049.628472222219</v>
      </c>
      <c r="E1423" s="52">
        <v>46049.628472222219</v>
      </c>
      <c r="F1423" s="52">
        <v>46049.770138888889</v>
      </c>
      <c r="G1423" s="53">
        <f>F1423-E1423</f>
        <v>0.14166666667006211</v>
      </c>
      <c r="H1423" s="1" t="s">
        <v>257</v>
      </c>
      <c r="J1423" s="1" t="s">
        <v>258</v>
      </c>
      <c r="K1423" s="1" t="str">
        <f>_xlfn.XLOOKUP(J1423,REF!$D$2:$D$12,REF!$E$2:$E$12)</f>
        <v>Rede</v>
      </c>
      <c r="L1423" s="1" t="s">
        <v>627</v>
      </c>
      <c r="M1423" s="1" t="s">
        <v>260</v>
      </c>
      <c r="N1423" s="1" t="s">
        <v>261</v>
      </c>
      <c r="O1423" s="1" t="s">
        <v>607</v>
      </c>
      <c r="P1423" s="1" t="str">
        <f>_xlfn.CONCAT(B1423,C1423,D1423,E1423,F1423)</f>
        <v>BC Aracu5.2Inverter(MBUS-1)46049,628472222246049,628472222246049,7701388889</v>
      </c>
      <c r="Q1423" s="1" t="str">
        <f t="shared" si="44"/>
        <v>DAURDE</v>
      </c>
    </row>
    <row r="1424" spans="2:17">
      <c r="B1424" s="1" t="s">
        <v>328</v>
      </c>
      <c r="C1424" s="1" t="s">
        <v>247</v>
      </c>
      <c r="D1424" s="52">
        <v>46049.628472222219</v>
      </c>
      <c r="E1424" s="52">
        <v>46049.628472222219</v>
      </c>
      <c r="F1424" s="52">
        <v>46049.770138888889</v>
      </c>
      <c r="G1424" s="53">
        <f>F1424-E1424</f>
        <v>0.14166666667006211</v>
      </c>
      <c r="H1424" s="1" t="s">
        <v>257</v>
      </c>
      <c r="J1424" s="1" t="s">
        <v>258</v>
      </c>
      <c r="K1424" s="1" t="str">
        <f>_xlfn.XLOOKUP(J1424,REF!$D$2:$D$12,REF!$E$2:$E$12)</f>
        <v>Rede</v>
      </c>
      <c r="L1424" s="1" t="s">
        <v>627</v>
      </c>
      <c r="M1424" s="1" t="s">
        <v>260</v>
      </c>
      <c r="N1424" s="1" t="s">
        <v>261</v>
      </c>
      <c r="O1424" s="1" t="s">
        <v>607</v>
      </c>
      <c r="P1424" s="1" t="str">
        <f>_xlfn.CONCAT(B1424,C1424,D1424,E1424,F1424)</f>
        <v>BC Aracu5.3Inverter(MBUS-1)46049,628472222246049,628472222246049,7701388889</v>
      </c>
      <c r="Q1424" s="1" t="str">
        <f t="shared" si="44"/>
        <v>DAURDE</v>
      </c>
    </row>
    <row r="1425" spans="2:17">
      <c r="B1425" s="1" t="s">
        <v>329</v>
      </c>
      <c r="C1425" s="1" t="s">
        <v>247</v>
      </c>
      <c r="D1425" s="52">
        <v>46049.628472222219</v>
      </c>
      <c r="E1425" s="52">
        <v>46049.628472222219</v>
      </c>
      <c r="F1425" s="52">
        <v>46049.770138888889</v>
      </c>
      <c r="G1425" s="53">
        <f>F1425-E1425</f>
        <v>0.14166666667006211</v>
      </c>
      <c r="H1425" s="1" t="s">
        <v>257</v>
      </c>
      <c r="J1425" s="1" t="s">
        <v>258</v>
      </c>
      <c r="K1425" s="1" t="str">
        <f>_xlfn.XLOOKUP(J1425,REF!$D$2:$D$12,REF!$E$2:$E$12)</f>
        <v>Rede</v>
      </c>
      <c r="L1425" s="1" t="s">
        <v>627</v>
      </c>
      <c r="M1425" s="1" t="s">
        <v>260</v>
      </c>
      <c r="N1425" s="1" t="s">
        <v>261</v>
      </c>
      <c r="O1425" s="1" t="s">
        <v>607</v>
      </c>
      <c r="P1425" s="1" t="str">
        <f>_xlfn.CONCAT(B1425,C1425,D1425,E1425,F1425)</f>
        <v>BC Aracu5.4Inverter(MBUS-1)46049,628472222246049,628472222246049,7701388889</v>
      </c>
      <c r="Q1425" s="1" t="str">
        <f t="shared" si="44"/>
        <v>DAURDE</v>
      </c>
    </row>
    <row r="1426" spans="2:17">
      <c r="B1426" s="1" t="s">
        <v>330</v>
      </c>
      <c r="C1426" s="1" t="s">
        <v>247</v>
      </c>
      <c r="D1426" s="52">
        <v>46049.628472222219</v>
      </c>
      <c r="E1426" s="52">
        <v>46049.628472222219</v>
      </c>
      <c r="F1426" s="52">
        <v>46049.770138888889</v>
      </c>
      <c r="G1426" s="53">
        <f>F1426-E1426</f>
        <v>0.14166666667006211</v>
      </c>
      <c r="H1426" s="1" t="s">
        <v>257</v>
      </c>
      <c r="J1426" s="1" t="s">
        <v>258</v>
      </c>
      <c r="K1426" s="1" t="str">
        <f>_xlfn.XLOOKUP(J1426,REF!$D$2:$D$12,REF!$E$2:$E$12)</f>
        <v>Rede</v>
      </c>
      <c r="L1426" s="1" t="s">
        <v>627</v>
      </c>
      <c r="M1426" s="1" t="s">
        <v>260</v>
      </c>
      <c r="N1426" s="1" t="s">
        <v>261</v>
      </c>
      <c r="O1426" s="1" t="s">
        <v>607</v>
      </c>
      <c r="P1426" s="1" t="str">
        <f>_xlfn.CONCAT(B1426,C1426,D1426,E1426,F1426)</f>
        <v>BC Aracu5.5Inverter(MBUS-1)46049,628472222246049,628472222246049,7701388889</v>
      </c>
      <c r="Q1426" s="1" t="str">
        <f t="shared" si="44"/>
        <v>DAURDE</v>
      </c>
    </row>
    <row r="1427" spans="2:17">
      <c r="B1427" s="1" t="s">
        <v>255</v>
      </c>
      <c r="C1427" s="1" t="s">
        <v>256</v>
      </c>
      <c r="D1427" s="52">
        <v>46049.840277777781</v>
      </c>
      <c r="E1427" s="52">
        <v>46049.840277777781</v>
      </c>
      <c r="F1427" s="52">
        <v>46049.9375</v>
      </c>
      <c r="G1427" s="53">
        <f>F1427-E1427</f>
        <v>9.7222222218988463E-2</v>
      </c>
      <c r="H1427" s="1" t="s">
        <v>257</v>
      </c>
      <c r="J1427" s="1" t="s">
        <v>258</v>
      </c>
      <c r="K1427" s="1" t="str">
        <f>_xlfn.XLOOKUP(J1427,REF!$D$2:$D$12,REF!$E$2:$E$12)</f>
        <v>Rede</v>
      </c>
      <c r="L1427" s="1" t="s">
        <v>628</v>
      </c>
      <c r="M1427" s="1" t="s">
        <v>260</v>
      </c>
      <c r="N1427" s="1" t="s">
        <v>261</v>
      </c>
      <c r="O1427" s="1" t="s">
        <v>607</v>
      </c>
      <c r="P1427" s="1" t="str">
        <f>_xlfn.CONCAT(B1427,C1427,D1427,E1427,F1427)</f>
        <v>BC Formoso2.1Inverter(MBUS-12)46049,840277777846049,840277777846049,9375</v>
      </c>
      <c r="Q1427" s="1" t="str">
        <f t="shared" ref="Q1427:Q1490" si="45">_xlfn.CONCAT(H1427,I1427,J1427)</f>
        <v>DAURDE</v>
      </c>
    </row>
    <row r="1428" spans="2:17">
      <c r="B1428" s="1" t="s">
        <v>255</v>
      </c>
      <c r="C1428" s="1" t="s">
        <v>263</v>
      </c>
      <c r="D1428" s="52">
        <v>46049.840277777781</v>
      </c>
      <c r="E1428" s="52">
        <v>46049.840277777781</v>
      </c>
      <c r="F1428" s="52">
        <v>46049.9375</v>
      </c>
      <c r="G1428" s="53">
        <f>F1428-E1428</f>
        <v>9.7222222218988463E-2</v>
      </c>
      <c r="H1428" s="1" t="s">
        <v>257</v>
      </c>
      <c r="J1428" s="1" t="s">
        <v>258</v>
      </c>
      <c r="K1428" s="1" t="str">
        <f>_xlfn.XLOOKUP(J1428,REF!$D$2:$D$12,REF!$E$2:$E$12)</f>
        <v>Rede</v>
      </c>
      <c r="L1428" s="1" t="s">
        <v>628</v>
      </c>
      <c r="M1428" s="1" t="s">
        <v>260</v>
      </c>
      <c r="N1428" s="1" t="s">
        <v>261</v>
      </c>
      <c r="O1428" s="1" t="s">
        <v>607</v>
      </c>
      <c r="P1428" s="1" t="str">
        <f>_xlfn.CONCAT(B1428,C1428,D1428,E1428,F1428)</f>
        <v>BC Formoso2.1Inverter(MBUS-14)46049,840277777846049,840277777846049,9375</v>
      </c>
      <c r="Q1428" s="1" t="str">
        <f t="shared" si="45"/>
        <v>DAURDE</v>
      </c>
    </row>
    <row r="1429" spans="2:17">
      <c r="B1429" s="1" t="s">
        <v>255</v>
      </c>
      <c r="C1429" s="1" t="s">
        <v>264</v>
      </c>
      <c r="D1429" s="52">
        <v>46049.840277777781</v>
      </c>
      <c r="E1429" s="52">
        <v>46049.840277777781</v>
      </c>
      <c r="F1429" s="52">
        <v>46049.9375</v>
      </c>
      <c r="G1429" s="53">
        <f>F1429-E1429</f>
        <v>9.7222222218988463E-2</v>
      </c>
      <c r="H1429" s="1" t="s">
        <v>257</v>
      </c>
      <c r="J1429" s="1" t="s">
        <v>258</v>
      </c>
      <c r="K1429" s="1" t="str">
        <f>_xlfn.XLOOKUP(J1429,REF!$D$2:$D$12,REF!$E$2:$E$12)</f>
        <v>Rede</v>
      </c>
      <c r="L1429" s="1" t="s">
        <v>628</v>
      </c>
      <c r="M1429" s="1" t="s">
        <v>260</v>
      </c>
      <c r="N1429" s="1" t="s">
        <v>261</v>
      </c>
      <c r="O1429" s="1" t="s">
        <v>607</v>
      </c>
      <c r="P1429" s="1" t="str">
        <f>_xlfn.CONCAT(B1429,C1429,D1429,E1429,F1429)</f>
        <v>BC Formoso2.1Inverter(MBUS-13)46049,840277777846049,840277777846049,9375</v>
      </c>
      <c r="Q1429" s="1" t="str">
        <f t="shared" si="45"/>
        <v>DAURDE</v>
      </c>
    </row>
    <row r="1430" spans="2:17">
      <c r="B1430" s="1" t="s">
        <v>255</v>
      </c>
      <c r="C1430" s="1" t="s">
        <v>247</v>
      </c>
      <c r="D1430" s="52">
        <v>46049.840277777781</v>
      </c>
      <c r="E1430" s="52">
        <v>46049.840277777781</v>
      </c>
      <c r="F1430" s="52">
        <v>46049.9375</v>
      </c>
      <c r="G1430" s="53">
        <f>F1430-E1430</f>
        <v>9.7222222218988463E-2</v>
      </c>
      <c r="H1430" s="1" t="s">
        <v>257</v>
      </c>
      <c r="J1430" s="1" t="s">
        <v>258</v>
      </c>
      <c r="K1430" s="1" t="str">
        <f>_xlfn.XLOOKUP(J1430,REF!$D$2:$D$12,REF!$E$2:$E$12)</f>
        <v>Rede</v>
      </c>
      <c r="L1430" s="1" t="s">
        <v>628</v>
      </c>
      <c r="M1430" s="1" t="s">
        <v>260</v>
      </c>
      <c r="N1430" s="1" t="s">
        <v>261</v>
      </c>
      <c r="O1430" s="1" t="s">
        <v>607</v>
      </c>
      <c r="P1430" s="1" t="str">
        <f>_xlfn.CONCAT(B1430,C1430,D1430,E1430,F1430)</f>
        <v>BC Formoso2.1Inverter(MBUS-1)46049,840277777846049,840277777846049,9375</v>
      </c>
      <c r="Q1430" s="1" t="str">
        <f t="shared" si="45"/>
        <v>DAURDE</v>
      </c>
    </row>
    <row r="1431" spans="2:17">
      <c r="B1431" s="1" t="s">
        <v>265</v>
      </c>
      <c r="C1431" s="1" t="s">
        <v>263</v>
      </c>
      <c r="D1431" s="52">
        <v>46049.840277777781</v>
      </c>
      <c r="E1431" s="52">
        <v>46049.840277777781</v>
      </c>
      <c r="F1431" s="52">
        <v>46049.9375</v>
      </c>
      <c r="G1431" s="53">
        <f>F1431-E1431</f>
        <v>9.7222222218988463E-2</v>
      </c>
      <c r="H1431" s="1" t="s">
        <v>257</v>
      </c>
      <c r="J1431" s="1" t="s">
        <v>258</v>
      </c>
      <c r="K1431" s="1" t="str">
        <f>_xlfn.XLOOKUP(J1431,REF!$D$2:$D$12,REF!$E$2:$E$12)</f>
        <v>Rede</v>
      </c>
      <c r="L1431" s="1" t="s">
        <v>628</v>
      </c>
      <c r="M1431" s="1" t="s">
        <v>260</v>
      </c>
      <c r="N1431" s="1" t="s">
        <v>261</v>
      </c>
      <c r="O1431" s="1" t="s">
        <v>607</v>
      </c>
      <c r="P1431" s="1" t="str">
        <f>_xlfn.CONCAT(B1431,C1431,D1431,E1431,F1431)</f>
        <v>BC Formoso2.2Inverter(MBUS-14)46049,840277777846049,840277777846049,9375</v>
      </c>
      <c r="Q1431" s="1" t="str">
        <f t="shared" si="45"/>
        <v>DAURDE</v>
      </c>
    </row>
    <row r="1432" spans="2:17">
      <c r="B1432" s="1" t="s">
        <v>265</v>
      </c>
      <c r="C1432" s="1" t="s">
        <v>264</v>
      </c>
      <c r="D1432" s="52">
        <v>46049.840277777781</v>
      </c>
      <c r="E1432" s="52">
        <v>46049.840277777781</v>
      </c>
      <c r="F1432" s="52">
        <v>46049.9375</v>
      </c>
      <c r="G1432" s="53">
        <f>F1432-E1432</f>
        <v>9.7222222218988463E-2</v>
      </c>
      <c r="H1432" s="1" t="s">
        <v>257</v>
      </c>
      <c r="J1432" s="1" t="s">
        <v>258</v>
      </c>
      <c r="K1432" s="1" t="str">
        <f>_xlfn.XLOOKUP(J1432,REF!$D$2:$D$12,REF!$E$2:$E$12)</f>
        <v>Rede</v>
      </c>
      <c r="L1432" s="1" t="s">
        <v>628</v>
      </c>
      <c r="M1432" s="1" t="s">
        <v>260</v>
      </c>
      <c r="N1432" s="1" t="s">
        <v>261</v>
      </c>
      <c r="O1432" s="1" t="s">
        <v>607</v>
      </c>
      <c r="P1432" s="1" t="str">
        <f>_xlfn.CONCAT(B1432,C1432,D1432,E1432,F1432)</f>
        <v>BC Formoso2.2Inverter(MBUS-13)46049,840277777846049,840277777846049,9375</v>
      </c>
      <c r="Q1432" s="1" t="str">
        <f t="shared" si="45"/>
        <v>DAURDE</v>
      </c>
    </row>
    <row r="1433" spans="2:17">
      <c r="B1433" s="1" t="s">
        <v>265</v>
      </c>
      <c r="C1433" s="1" t="s">
        <v>256</v>
      </c>
      <c r="D1433" s="52">
        <v>46049.840277777781</v>
      </c>
      <c r="E1433" s="52">
        <v>46049.840277777781</v>
      </c>
      <c r="F1433" s="52">
        <v>46049.9375</v>
      </c>
      <c r="G1433" s="53">
        <f>F1433-E1433</f>
        <v>9.7222222218988463E-2</v>
      </c>
      <c r="H1433" s="1" t="s">
        <v>257</v>
      </c>
      <c r="J1433" s="1" t="s">
        <v>258</v>
      </c>
      <c r="K1433" s="1" t="str">
        <f>_xlfn.XLOOKUP(J1433,REF!$D$2:$D$12,REF!$E$2:$E$12)</f>
        <v>Rede</v>
      </c>
      <c r="L1433" s="1" t="s">
        <v>628</v>
      </c>
      <c r="M1433" s="1" t="s">
        <v>260</v>
      </c>
      <c r="N1433" s="1" t="s">
        <v>261</v>
      </c>
      <c r="O1433" s="1" t="s">
        <v>607</v>
      </c>
      <c r="P1433" s="1" t="str">
        <f>_xlfn.CONCAT(B1433,C1433,D1433,E1433,F1433)</f>
        <v>BC Formoso2.2Inverter(MBUS-12)46049,840277777846049,840277777846049,9375</v>
      </c>
      <c r="Q1433" s="1" t="str">
        <f t="shared" si="45"/>
        <v>DAURDE</v>
      </c>
    </row>
    <row r="1434" spans="2:17">
      <c r="B1434" s="1" t="s">
        <v>265</v>
      </c>
      <c r="C1434" s="1" t="s">
        <v>247</v>
      </c>
      <c r="D1434" s="52">
        <v>46049.840277777781</v>
      </c>
      <c r="E1434" s="52">
        <v>46049.840277777781</v>
      </c>
      <c r="F1434" s="52">
        <v>46049.9375</v>
      </c>
      <c r="G1434" s="53">
        <f>F1434-E1434</f>
        <v>9.7222222218988463E-2</v>
      </c>
      <c r="H1434" s="1" t="s">
        <v>257</v>
      </c>
      <c r="J1434" s="1" t="s">
        <v>258</v>
      </c>
      <c r="K1434" s="1" t="str">
        <f>_xlfn.XLOOKUP(J1434,REF!$D$2:$D$12,REF!$E$2:$E$12)</f>
        <v>Rede</v>
      </c>
      <c r="L1434" s="1" t="s">
        <v>628</v>
      </c>
      <c r="M1434" s="1" t="s">
        <v>260</v>
      </c>
      <c r="N1434" s="1" t="s">
        <v>261</v>
      </c>
      <c r="O1434" s="1" t="s">
        <v>607</v>
      </c>
      <c r="P1434" s="1" t="str">
        <f>_xlfn.CONCAT(B1434,C1434,D1434,E1434,F1434)</f>
        <v>BC Formoso2.2Inverter(MBUS-1)46049,840277777846049,840277777846049,9375</v>
      </c>
      <c r="Q1434" s="1" t="str">
        <f t="shared" si="45"/>
        <v>DAURDE</v>
      </c>
    </row>
    <row r="1435" spans="2:17">
      <c r="B1435" s="1" t="s">
        <v>355</v>
      </c>
      <c r="C1435" s="1" t="s">
        <v>264</v>
      </c>
      <c r="D1435" s="52">
        <v>46049.840277777781</v>
      </c>
      <c r="E1435" s="52">
        <v>46049.840277777781</v>
      </c>
      <c r="F1435" s="52">
        <v>46049.9375</v>
      </c>
      <c r="G1435" s="53">
        <f>F1435-E1435</f>
        <v>9.7222222218988463E-2</v>
      </c>
      <c r="H1435" s="1" t="s">
        <v>257</v>
      </c>
      <c r="J1435" s="1" t="s">
        <v>258</v>
      </c>
      <c r="K1435" s="1" t="str">
        <f>_xlfn.XLOOKUP(J1435,REF!$D$2:$D$12,REF!$E$2:$E$12)</f>
        <v>Rede</v>
      </c>
      <c r="L1435" s="1" t="s">
        <v>628</v>
      </c>
      <c r="M1435" s="1" t="s">
        <v>260</v>
      </c>
      <c r="N1435" s="1" t="s">
        <v>261</v>
      </c>
      <c r="O1435" s="1" t="s">
        <v>607</v>
      </c>
      <c r="P1435" s="1" t="str">
        <f>_xlfn.CONCAT(B1435,C1435,D1435,E1435,F1435)</f>
        <v>BC Formoso2.3Inverter(MBUS-13)46049,840277777846049,840277777846049,9375</v>
      </c>
      <c r="Q1435" s="1" t="str">
        <f t="shared" si="45"/>
        <v>DAURDE</v>
      </c>
    </row>
    <row r="1436" spans="2:17">
      <c r="B1436" s="1" t="s">
        <v>355</v>
      </c>
      <c r="C1436" s="1" t="s">
        <v>256</v>
      </c>
      <c r="D1436" s="52">
        <v>46049.840277777781</v>
      </c>
      <c r="E1436" s="52">
        <v>46049.840277777781</v>
      </c>
      <c r="F1436" s="52">
        <v>46049.9375</v>
      </c>
      <c r="G1436" s="53">
        <f>F1436-E1436</f>
        <v>9.7222222218988463E-2</v>
      </c>
      <c r="H1436" s="1" t="s">
        <v>257</v>
      </c>
      <c r="J1436" s="1" t="s">
        <v>258</v>
      </c>
      <c r="K1436" s="1" t="str">
        <f>_xlfn.XLOOKUP(J1436,REF!$D$2:$D$12,REF!$E$2:$E$12)</f>
        <v>Rede</v>
      </c>
      <c r="L1436" s="1" t="s">
        <v>628</v>
      </c>
      <c r="M1436" s="1" t="s">
        <v>260</v>
      </c>
      <c r="N1436" s="1" t="s">
        <v>261</v>
      </c>
      <c r="O1436" s="1" t="s">
        <v>607</v>
      </c>
      <c r="P1436" s="1" t="str">
        <f>_xlfn.CONCAT(B1436,C1436,D1436,E1436,F1436)</f>
        <v>BC Formoso2.3Inverter(MBUS-12)46049,840277777846049,840277777846049,9375</v>
      </c>
      <c r="Q1436" s="1" t="str">
        <f t="shared" si="45"/>
        <v>DAURDE</v>
      </c>
    </row>
    <row r="1437" spans="2:17">
      <c r="B1437" s="1" t="s">
        <v>305</v>
      </c>
      <c r="C1437" s="1" t="s">
        <v>256</v>
      </c>
      <c r="D1437" s="52">
        <v>46049.9375</v>
      </c>
      <c r="E1437" s="52">
        <v>46049.9375</v>
      </c>
      <c r="F1437" s="52">
        <v>46050.332638888889</v>
      </c>
      <c r="G1437" s="53">
        <f>F1437-E1437</f>
        <v>0.39513888888905058</v>
      </c>
      <c r="H1437" s="1" t="s">
        <v>257</v>
      </c>
      <c r="J1437" s="1" t="s">
        <v>258</v>
      </c>
      <c r="K1437" s="1" t="str">
        <f>_xlfn.XLOOKUP(J1437,REF!$D$2:$D$12,REF!$E$2:$E$12)</f>
        <v>Rede</v>
      </c>
      <c r="L1437" s="1" t="s">
        <v>629</v>
      </c>
      <c r="M1437" s="1" t="s">
        <v>260</v>
      </c>
      <c r="N1437" s="1" t="s">
        <v>261</v>
      </c>
      <c r="O1437" s="1" t="s">
        <v>607</v>
      </c>
      <c r="P1437" s="1" t="str">
        <f>_xlfn.CONCAT(B1437,C1437,D1437,E1437,F1437)</f>
        <v>ARAGUATINS 1.1Inverter(MBUS-12)46049,937546049,937546050,3326388889</v>
      </c>
      <c r="Q1437" s="1" t="str">
        <f t="shared" si="45"/>
        <v>DAURDE</v>
      </c>
    </row>
    <row r="1438" spans="2:17">
      <c r="B1438" s="1" t="s">
        <v>305</v>
      </c>
      <c r="C1438" s="1" t="s">
        <v>264</v>
      </c>
      <c r="D1438" s="52">
        <v>46049.9375</v>
      </c>
      <c r="E1438" s="52">
        <v>46049.9375</v>
      </c>
      <c r="F1438" s="52">
        <v>46050.332638888889</v>
      </c>
      <c r="G1438" s="53">
        <f>F1438-E1438</f>
        <v>0.39513888888905058</v>
      </c>
      <c r="H1438" s="1" t="s">
        <v>257</v>
      </c>
      <c r="J1438" s="1" t="s">
        <v>258</v>
      </c>
      <c r="K1438" s="1" t="str">
        <f>_xlfn.XLOOKUP(J1438,REF!$D$2:$D$12,REF!$E$2:$E$12)</f>
        <v>Rede</v>
      </c>
      <c r="L1438" s="1" t="s">
        <v>629</v>
      </c>
      <c r="M1438" s="1" t="s">
        <v>260</v>
      </c>
      <c r="N1438" s="1" t="s">
        <v>261</v>
      </c>
      <c r="O1438" s="1" t="s">
        <v>607</v>
      </c>
      <c r="P1438" s="1" t="str">
        <f>_xlfn.CONCAT(B1438,C1438,D1438,E1438,F1438)</f>
        <v>ARAGUATINS 1.1Inverter(MBUS-13)46049,937546049,937546050,3326388889</v>
      </c>
      <c r="Q1438" s="1" t="str">
        <f t="shared" si="45"/>
        <v>DAURDE</v>
      </c>
    </row>
    <row r="1439" spans="2:17">
      <c r="B1439" s="1" t="s">
        <v>305</v>
      </c>
      <c r="C1439" s="1" t="s">
        <v>263</v>
      </c>
      <c r="D1439" s="52">
        <v>46049.9375</v>
      </c>
      <c r="E1439" s="52">
        <v>46049.9375</v>
      </c>
      <c r="F1439" s="52">
        <v>46050.332638888889</v>
      </c>
      <c r="G1439" s="53">
        <f>F1439-E1439</f>
        <v>0.39513888888905058</v>
      </c>
      <c r="H1439" s="1" t="s">
        <v>257</v>
      </c>
      <c r="J1439" s="1" t="s">
        <v>258</v>
      </c>
      <c r="K1439" s="1" t="str">
        <f>_xlfn.XLOOKUP(J1439,REF!$D$2:$D$12,REF!$E$2:$E$12)</f>
        <v>Rede</v>
      </c>
      <c r="L1439" s="1" t="s">
        <v>629</v>
      </c>
      <c r="M1439" s="1" t="s">
        <v>260</v>
      </c>
      <c r="N1439" s="1" t="s">
        <v>261</v>
      </c>
      <c r="O1439" s="1" t="s">
        <v>607</v>
      </c>
      <c r="P1439" s="1" t="str">
        <f>_xlfn.CONCAT(B1439,C1439,D1439,E1439,F1439)</f>
        <v>ARAGUATINS 1.1Inverter(MBUS-14)46049,937546049,937546050,3326388889</v>
      </c>
      <c r="Q1439" s="1" t="str">
        <f t="shared" si="45"/>
        <v>DAURDE</v>
      </c>
    </row>
    <row r="1440" spans="2:17">
      <c r="B1440" s="1" t="s">
        <v>305</v>
      </c>
      <c r="C1440" s="1" t="s">
        <v>307</v>
      </c>
      <c r="D1440" s="52">
        <v>46049.9375</v>
      </c>
      <c r="E1440" s="52">
        <v>46049.9375</v>
      </c>
      <c r="F1440" s="52">
        <v>46050.332638888889</v>
      </c>
      <c r="G1440" s="53">
        <f>F1440-E1440</f>
        <v>0.39513888888905058</v>
      </c>
      <c r="H1440" s="1" t="s">
        <v>257</v>
      </c>
      <c r="J1440" s="1" t="s">
        <v>258</v>
      </c>
      <c r="K1440" s="1" t="str">
        <f>_xlfn.XLOOKUP(J1440,REF!$D$2:$D$12,REF!$E$2:$E$12)</f>
        <v>Rede</v>
      </c>
      <c r="L1440" s="1" t="s">
        <v>629</v>
      </c>
      <c r="M1440" s="1" t="s">
        <v>260</v>
      </c>
      <c r="N1440" s="1" t="s">
        <v>261</v>
      </c>
      <c r="O1440" s="1" t="s">
        <v>607</v>
      </c>
      <c r="P1440" s="1" t="str">
        <f>_xlfn.CONCAT(B1440,C1440,D1440,E1440,F1440)</f>
        <v>ARAGUATINS 1.1Inverter(MBUS-15)46049,937546049,937546050,3326388889</v>
      </c>
      <c r="Q1440" s="1" t="str">
        <f t="shared" si="45"/>
        <v>DAURDE</v>
      </c>
    </row>
    <row r="1441" spans="2:17">
      <c r="B1441" s="1" t="s">
        <v>308</v>
      </c>
      <c r="C1441" s="1" t="s">
        <v>256</v>
      </c>
      <c r="D1441" s="52">
        <v>46049.9375</v>
      </c>
      <c r="E1441" s="52">
        <v>46049.9375</v>
      </c>
      <c r="F1441" s="52">
        <v>46050.332638888889</v>
      </c>
      <c r="G1441" s="53">
        <f>F1441-E1441</f>
        <v>0.39513888888905058</v>
      </c>
      <c r="H1441" s="1" t="s">
        <v>257</v>
      </c>
      <c r="J1441" s="1" t="s">
        <v>258</v>
      </c>
      <c r="K1441" s="1" t="str">
        <f>_xlfn.XLOOKUP(J1441,REF!$D$2:$D$12,REF!$E$2:$E$12)</f>
        <v>Rede</v>
      </c>
      <c r="L1441" s="1" t="s">
        <v>629</v>
      </c>
      <c r="M1441" s="1" t="s">
        <v>260</v>
      </c>
      <c r="N1441" s="1" t="s">
        <v>261</v>
      </c>
      <c r="O1441" s="1" t="s">
        <v>607</v>
      </c>
      <c r="P1441" s="1" t="str">
        <f>_xlfn.CONCAT(B1441,C1441,D1441,E1441,F1441)</f>
        <v>ARAGUATINS 1.2Inverter(MBUS-12)46049,937546049,937546050,3326388889</v>
      </c>
      <c r="Q1441" s="1" t="str">
        <f t="shared" si="45"/>
        <v>DAURDE</v>
      </c>
    </row>
    <row r="1442" spans="2:17">
      <c r="B1442" s="1" t="s">
        <v>308</v>
      </c>
      <c r="C1442" s="1" t="s">
        <v>264</v>
      </c>
      <c r="D1442" s="52">
        <v>46049.9375</v>
      </c>
      <c r="E1442" s="52">
        <v>46049.9375</v>
      </c>
      <c r="F1442" s="52">
        <v>46050.332638888889</v>
      </c>
      <c r="G1442" s="53">
        <f>F1442-E1442</f>
        <v>0.39513888888905058</v>
      </c>
      <c r="H1442" s="1" t="s">
        <v>257</v>
      </c>
      <c r="J1442" s="1" t="s">
        <v>258</v>
      </c>
      <c r="K1442" s="1" t="str">
        <f>_xlfn.XLOOKUP(J1442,REF!$D$2:$D$12,REF!$E$2:$E$12)</f>
        <v>Rede</v>
      </c>
      <c r="L1442" s="1" t="s">
        <v>629</v>
      </c>
      <c r="M1442" s="1" t="s">
        <v>260</v>
      </c>
      <c r="N1442" s="1" t="s">
        <v>261</v>
      </c>
      <c r="O1442" s="1" t="s">
        <v>607</v>
      </c>
      <c r="P1442" s="1" t="str">
        <f>_xlfn.CONCAT(B1442,C1442,D1442,E1442,F1442)</f>
        <v>ARAGUATINS 1.2Inverter(MBUS-13)46049,937546049,937546050,3326388889</v>
      </c>
      <c r="Q1442" s="1" t="str">
        <f t="shared" si="45"/>
        <v>DAURDE</v>
      </c>
    </row>
    <row r="1443" spans="2:17">
      <c r="B1443" s="1" t="s">
        <v>308</v>
      </c>
      <c r="C1443" s="1" t="s">
        <v>263</v>
      </c>
      <c r="D1443" s="52">
        <v>46049.9375</v>
      </c>
      <c r="E1443" s="52">
        <v>46049.9375</v>
      </c>
      <c r="F1443" s="52">
        <v>46050.332638888889</v>
      </c>
      <c r="G1443" s="53">
        <f>F1443-E1443</f>
        <v>0.39513888888905058</v>
      </c>
      <c r="H1443" s="1" t="s">
        <v>257</v>
      </c>
      <c r="J1443" s="1" t="s">
        <v>258</v>
      </c>
      <c r="K1443" s="1" t="str">
        <f>_xlfn.XLOOKUP(J1443,REF!$D$2:$D$12,REF!$E$2:$E$12)</f>
        <v>Rede</v>
      </c>
      <c r="L1443" s="1" t="s">
        <v>629</v>
      </c>
      <c r="M1443" s="1" t="s">
        <v>260</v>
      </c>
      <c r="N1443" s="1" t="s">
        <v>261</v>
      </c>
      <c r="O1443" s="1" t="s">
        <v>607</v>
      </c>
      <c r="P1443" s="1" t="str">
        <f>_xlfn.CONCAT(B1443,C1443,D1443,E1443,F1443)</f>
        <v>ARAGUATINS 1.2Inverter(MBUS-14)46049,937546049,937546050,3326388889</v>
      </c>
      <c r="Q1443" s="1" t="str">
        <f t="shared" si="45"/>
        <v>DAURDE</v>
      </c>
    </row>
    <row r="1444" spans="2:17">
      <c r="B1444" s="1" t="s">
        <v>308</v>
      </c>
      <c r="C1444" s="1" t="s">
        <v>307</v>
      </c>
      <c r="D1444" s="52">
        <v>46049.9375</v>
      </c>
      <c r="E1444" s="52">
        <v>46049.9375</v>
      </c>
      <c r="F1444" s="52">
        <v>46050.332638888889</v>
      </c>
      <c r="G1444" s="53">
        <f>F1444-E1444</f>
        <v>0.39513888888905058</v>
      </c>
      <c r="H1444" s="1" t="s">
        <v>257</v>
      </c>
      <c r="J1444" s="1" t="s">
        <v>258</v>
      </c>
      <c r="K1444" s="1" t="str">
        <f>_xlfn.XLOOKUP(J1444,REF!$D$2:$D$12,REF!$E$2:$E$12)</f>
        <v>Rede</v>
      </c>
      <c r="L1444" s="1" t="s">
        <v>629</v>
      </c>
      <c r="M1444" s="1" t="s">
        <v>260</v>
      </c>
      <c r="N1444" s="1" t="s">
        <v>261</v>
      </c>
      <c r="O1444" s="1" t="s">
        <v>607</v>
      </c>
      <c r="P1444" s="1" t="str">
        <f>_xlfn.CONCAT(B1444,C1444,D1444,E1444,F1444)</f>
        <v>ARAGUATINS 1.2Inverter(MBUS-15)46049,937546049,937546050,3326388889</v>
      </c>
      <c r="Q1444" s="1" t="str">
        <f t="shared" si="45"/>
        <v>DAURDE</v>
      </c>
    </row>
    <row r="1445" spans="2:17">
      <c r="B1445" s="1" t="s">
        <v>309</v>
      </c>
      <c r="C1445" s="1" t="s">
        <v>310</v>
      </c>
      <c r="D1445" s="52">
        <v>46049.9375</v>
      </c>
      <c r="E1445" s="52">
        <v>46049.9375</v>
      </c>
      <c r="F1445" s="52">
        <v>46050.332638888889</v>
      </c>
      <c r="G1445" s="53">
        <f>F1445-E1445</f>
        <v>0.39513888888905058</v>
      </c>
      <c r="H1445" s="1" t="s">
        <v>257</v>
      </c>
      <c r="J1445" s="1" t="s">
        <v>258</v>
      </c>
      <c r="K1445" s="1" t="str">
        <f>_xlfn.XLOOKUP(J1445,REF!$D$2:$D$12,REF!$E$2:$E$12)</f>
        <v>Rede</v>
      </c>
      <c r="L1445" s="1" t="s">
        <v>629</v>
      </c>
      <c r="M1445" s="1" t="s">
        <v>260</v>
      </c>
      <c r="N1445" s="1" t="s">
        <v>261</v>
      </c>
      <c r="O1445" s="1" t="s">
        <v>607</v>
      </c>
      <c r="P1445" s="1" t="str">
        <f>_xlfn.CONCAT(B1445,C1445,D1445,E1445,F1445)</f>
        <v>ARAGUATINS 1.3Inverter(MBUS-20)46049,937546049,937546050,3326388889</v>
      </c>
      <c r="Q1445" s="1" t="str">
        <f t="shared" si="45"/>
        <v>DAURDE</v>
      </c>
    </row>
    <row r="1446" spans="2:17">
      <c r="B1446" s="1" t="s">
        <v>309</v>
      </c>
      <c r="C1446" s="1" t="s">
        <v>247</v>
      </c>
      <c r="D1446" s="52">
        <v>46049.9375</v>
      </c>
      <c r="E1446" s="52">
        <v>46049.9375</v>
      </c>
      <c r="F1446" s="52">
        <v>46050.332638888889</v>
      </c>
      <c r="G1446" s="53">
        <f>F1446-E1446</f>
        <v>0.39513888888905058</v>
      </c>
      <c r="H1446" s="1" t="s">
        <v>257</v>
      </c>
      <c r="J1446" s="1" t="s">
        <v>258</v>
      </c>
      <c r="K1446" s="1" t="str">
        <f>_xlfn.XLOOKUP(J1446,REF!$D$2:$D$12,REF!$E$2:$E$12)</f>
        <v>Rede</v>
      </c>
      <c r="L1446" s="1" t="s">
        <v>629</v>
      </c>
      <c r="M1446" s="1" t="s">
        <v>260</v>
      </c>
      <c r="N1446" s="1" t="s">
        <v>261</v>
      </c>
      <c r="O1446" s="1" t="s">
        <v>607</v>
      </c>
      <c r="P1446" s="1" t="str">
        <f>_xlfn.CONCAT(B1446,C1446,D1446,E1446,F1446)</f>
        <v>ARAGUATINS 1.3Inverter(MBUS-1)46049,937546049,937546050,3326388889</v>
      </c>
      <c r="Q1446" s="1" t="str">
        <f t="shared" si="45"/>
        <v>DAURDE</v>
      </c>
    </row>
    <row r="1447" spans="2:17">
      <c r="B1447" s="1" t="s">
        <v>456</v>
      </c>
      <c r="C1447" s="1" t="s">
        <v>457</v>
      </c>
      <c r="D1447" s="52">
        <v>46049.965277777781</v>
      </c>
      <c r="E1447" s="52">
        <v>46049.965277777781</v>
      </c>
      <c r="F1447" s="52">
        <v>46050.331944444442</v>
      </c>
      <c r="G1447" s="53">
        <f>F1447-E1447</f>
        <v>0.36666666666133096</v>
      </c>
      <c r="H1447" s="1" t="s">
        <v>257</v>
      </c>
      <c r="J1447" s="1" t="s">
        <v>258</v>
      </c>
      <c r="K1447" s="1" t="str">
        <f>_xlfn.XLOOKUP(J1447,REF!$D$2:$D$12,REF!$E$2:$E$12)</f>
        <v>Rede</v>
      </c>
      <c r="L1447" s="1" t="s">
        <v>630</v>
      </c>
      <c r="M1447" s="1" t="s">
        <v>260</v>
      </c>
      <c r="N1447" s="1" t="s">
        <v>261</v>
      </c>
      <c r="O1447" s="1" t="s">
        <v>607</v>
      </c>
      <c r="P1447" s="1" t="str">
        <f>_xlfn.CONCAT(B1447,C1447,D1447,E1447,F1447)</f>
        <v>BC Caiaponia1SG60KTL(COM1-001)_001_00746049,965277777846049,965277777846050,3319444444</v>
      </c>
      <c r="Q1447" s="1" t="str">
        <f t="shared" si="45"/>
        <v>DAURDE</v>
      </c>
    </row>
    <row r="1448" spans="2:17">
      <c r="B1448" s="1" t="s">
        <v>456</v>
      </c>
      <c r="C1448" s="1" t="s">
        <v>459</v>
      </c>
      <c r="D1448" s="52">
        <v>46049.965277777781</v>
      </c>
      <c r="E1448" s="52">
        <v>46049.965277777781</v>
      </c>
      <c r="F1448" s="52">
        <v>46050.331944444442</v>
      </c>
      <c r="G1448" s="53">
        <f>F1448-E1448</f>
        <v>0.36666666666133096</v>
      </c>
      <c r="H1448" s="1" t="s">
        <v>257</v>
      </c>
      <c r="J1448" s="1" t="s">
        <v>258</v>
      </c>
      <c r="K1448" s="1" t="str">
        <f>_xlfn.XLOOKUP(J1448,REF!$D$2:$D$12,REF!$E$2:$E$12)</f>
        <v>Rede</v>
      </c>
      <c r="L1448" s="1" t="s">
        <v>630</v>
      </c>
      <c r="M1448" s="1" t="s">
        <v>260</v>
      </c>
      <c r="N1448" s="1" t="s">
        <v>261</v>
      </c>
      <c r="O1448" s="1" t="s">
        <v>607</v>
      </c>
      <c r="P1448" s="1" t="str">
        <f>_xlfn.CONCAT(B1448,C1448,D1448,E1448,F1448)</f>
        <v>BC Caiaponia1SG60KTL(COM1-002)_001_01046049,965277777846049,965277777846050,3319444444</v>
      </c>
      <c r="Q1448" s="1" t="str">
        <f t="shared" si="45"/>
        <v>DAURDE</v>
      </c>
    </row>
    <row r="1449" spans="2:17">
      <c r="B1449" s="1" t="s">
        <v>456</v>
      </c>
      <c r="C1449" s="1" t="s">
        <v>460</v>
      </c>
      <c r="D1449" s="52">
        <v>46049.965277777781</v>
      </c>
      <c r="E1449" s="52">
        <v>46049.965277777781</v>
      </c>
      <c r="F1449" s="52">
        <v>46050.331944444442</v>
      </c>
      <c r="G1449" s="53">
        <f>F1449-E1449</f>
        <v>0.36666666666133096</v>
      </c>
      <c r="H1449" s="1" t="s">
        <v>257</v>
      </c>
      <c r="J1449" s="1" t="s">
        <v>258</v>
      </c>
      <c r="K1449" s="1" t="str">
        <f>_xlfn.XLOOKUP(J1449,REF!$D$2:$D$12,REF!$E$2:$E$12)</f>
        <v>Rede</v>
      </c>
      <c r="L1449" s="1" t="s">
        <v>630</v>
      </c>
      <c r="M1449" s="1" t="s">
        <v>260</v>
      </c>
      <c r="N1449" s="1" t="s">
        <v>261</v>
      </c>
      <c r="O1449" s="1" t="s">
        <v>607</v>
      </c>
      <c r="P1449" s="1" t="str">
        <f>_xlfn.CONCAT(B1449,C1449,D1449,E1449,F1449)</f>
        <v>BC Caiaponia1SG60KTL(COM1-003)_001_01146049,965277777846049,965277777846050,3319444444</v>
      </c>
      <c r="Q1449" s="1" t="str">
        <f t="shared" si="45"/>
        <v>DAURDE</v>
      </c>
    </row>
    <row r="1450" spans="2:17">
      <c r="B1450" s="1" t="s">
        <v>456</v>
      </c>
      <c r="C1450" s="1" t="s">
        <v>461</v>
      </c>
      <c r="D1450" s="52">
        <v>46049.965277777781</v>
      </c>
      <c r="E1450" s="52">
        <v>46049.965277777781</v>
      </c>
      <c r="F1450" s="52">
        <v>46050.331944444442</v>
      </c>
      <c r="G1450" s="53">
        <f>F1450-E1450</f>
        <v>0.36666666666133096</v>
      </c>
      <c r="H1450" s="1" t="s">
        <v>257</v>
      </c>
      <c r="J1450" s="1" t="s">
        <v>258</v>
      </c>
      <c r="K1450" s="1" t="str">
        <f>_xlfn.XLOOKUP(J1450,REF!$D$2:$D$12,REF!$E$2:$E$12)</f>
        <v>Rede</v>
      </c>
      <c r="L1450" s="1" t="s">
        <v>630</v>
      </c>
      <c r="M1450" s="1" t="s">
        <v>260</v>
      </c>
      <c r="N1450" s="1" t="s">
        <v>261</v>
      </c>
      <c r="O1450" s="1" t="s">
        <v>607</v>
      </c>
      <c r="P1450" s="1" t="str">
        <f>_xlfn.CONCAT(B1450,C1450,D1450,E1450,F1450)</f>
        <v>BC Caiaponia1SG60KTL(COM1-004)_001_01446049,965277777846049,965277777846050,3319444444</v>
      </c>
      <c r="Q1450" s="1" t="str">
        <f t="shared" si="45"/>
        <v>DAURDE</v>
      </c>
    </row>
    <row r="1451" spans="2:17">
      <c r="B1451" s="1" t="s">
        <v>456</v>
      </c>
      <c r="C1451" s="1" t="s">
        <v>462</v>
      </c>
      <c r="D1451" s="52">
        <v>46049.965277777781</v>
      </c>
      <c r="E1451" s="52">
        <v>46049.965277777781</v>
      </c>
      <c r="F1451" s="52">
        <v>46050.331944444442</v>
      </c>
      <c r="G1451" s="53">
        <f>F1451-E1451</f>
        <v>0.36666666666133096</v>
      </c>
      <c r="H1451" s="1" t="s">
        <v>257</v>
      </c>
      <c r="J1451" s="1" t="s">
        <v>258</v>
      </c>
      <c r="K1451" s="1" t="str">
        <f>_xlfn.XLOOKUP(J1451,REF!$D$2:$D$12,REF!$E$2:$E$12)</f>
        <v>Rede</v>
      </c>
      <c r="L1451" s="1" t="s">
        <v>630</v>
      </c>
      <c r="M1451" s="1" t="s">
        <v>260</v>
      </c>
      <c r="N1451" s="1" t="s">
        <v>261</v>
      </c>
      <c r="O1451" s="1" t="s">
        <v>607</v>
      </c>
      <c r="P1451" s="1" t="str">
        <f>_xlfn.CONCAT(B1451,C1451,D1451,E1451,F1451)</f>
        <v>BC Caiaponia1SG60KTL(COM1-005)_001_01746049,965277777846049,965277777846050,3319444444</v>
      </c>
      <c r="Q1451" s="1" t="str">
        <f t="shared" si="45"/>
        <v>DAURDE</v>
      </c>
    </row>
    <row r="1452" spans="2:17">
      <c r="B1452" s="1" t="s">
        <v>456</v>
      </c>
      <c r="C1452" s="1" t="s">
        <v>463</v>
      </c>
      <c r="D1452" s="52">
        <v>46049.965277777781</v>
      </c>
      <c r="E1452" s="52">
        <v>46049.965277777781</v>
      </c>
      <c r="F1452" s="52">
        <v>46050.331944444442</v>
      </c>
      <c r="G1452" s="53">
        <f>F1452-E1452</f>
        <v>0.36666666666133096</v>
      </c>
      <c r="H1452" s="1" t="s">
        <v>257</v>
      </c>
      <c r="J1452" s="1" t="s">
        <v>258</v>
      </c>
      <c r="K1452" s="1" t="str">
        <f>_xlfn.XLOOKUP(J1452,REF!$D$2:$D$12,REF!$E$2:$E$12)</f>
        <v>Rede</v>
      </c>
      <c r="L1452" s="1" t="s">
        <v>630</v>
      </c>
      <c r="M1452" s="1" t="s">
        <v>260</v>
      </c>
      <c r="N1452" s="1" t="s">
        <v>261</v>
      </c>
      <c r="O1452" s="1" t="s">
        <v>607</v>
      </c>
      <c r="P1452" s="1" t="str">
        <f>_xlfn.CONCAT(B1452,C1452,D1452,E1452,F1452)</f>
        <v>BC Caiaponia1SG60KTL(COM1-006)_001_01646049,965277777846049,965277777846050,3319444444</v>
      </c>
      <c r="Q1452" s="1" t="str">
        <f t="shared" si="45"/>
        <v>DAURDE</v>
      </c>
    </row>
    <row r="1453" spans="2:17">
      <c r="B1453" s="1" t="s">
        <v>456</v>
      </c>
      <c r="C1453" s="1" t="s">
        <v>464</v>
      </c>
      <c r="D1453" s="52">
        <v>46049.965277777781</v>
      </c>
      <c r="E1453" s="52">
        <v>46049.965277777781</v>
      </c>
      <c r="F1453" s="52">
        <v>46050.331944444442</v>
      </c>
      <c r="G1453" s="53">
        <f>F1453-E1453</f>
        <v>0.36666666666133096</v>
      </c>
      <c r="H1453" s="1" t="s">
        <v>257</v>
      </c>
      <c r="J1453" s="1" t="s">
        <v>258</v>
      </c>
      <c r="K1453" s="1" t="str">
        <f>_xlfn.XLOOKUP(J1453,REF!$D$2:$D$12,REF!$E$2:$E$12)</f>
        <v>Rede</v>
      </c>
      <c r="L1453" s="1" t="s">
        <v>630</v>
      </c>
      <c r="M1453" s="1" t="s">
        <v>260</v>
      </c>
      <c r="N1453" s="1" t="s">
        <v>261</v>
      </c>
      <c r="O1453" s="1" t="s">
        <v>607</v>
      </c>
      <c r="P1453" s="1" t="str">
        <f>_xlfn.CONCAT(B1453,C1453,D1453,E1453,F1453)</f>
        <v>BC Caiaponia1SG60KTL(COM1-007)_001_01346049,965277777846049,965277777846050,3319444444</v>
      </c>
      <c r="Q1453" s="1" t="str">
        <f t="shared" si="45"/>
        <v>DAURDE</v>
      </c>
    </row>
    <row r="1454" spans="2:17">
      <c r="B1454" s="1" t="s">
        <v>456</v>
      </c>
      <c r="C1454" s="1" t="s">
        <v>465</v>
      </c>
      <c r="D1454" s="52">
        <v>46049.965277777781</v>
      </c>
      <c r="E1454" s="52">
        <v>46049.965277777781</v>
      </c>
      <c r="F1454" s="52">
        <v>46050.331944444442</v>
      </c>
      <c r="G1454" s="53">
        <f>F1454-E1454</f>
        <v>0.36666666666133096</v>
      </c>
      <c r="H1454" s="1" t="s">
        <v>257</v>
      </c>
      <c r="J1454" s="1" t="s">
        <v>258</v>
      </c>
      <c r="K1454" s="1" t="str">
        <f>_xlfn.XLOOKUP(J1454,REF!$D$2:$D$12,REF!$E$2:$E$12)</f>
        <v>Rede</v>
      </c>
      <c r="L1454" s="1" t="s">
        <v>630</v>
      </c>
      <c r="M1454" s="1" t="s">
        <v>260</v>
      </c>
      <c r="N1454" s="1" t="s">
        <v>261</v>
      </c>
      <c r="O1454" s="1" t="s">
        <v>607</v>
      </c>
      <c r="P1454" s="1" t="str">
        <f>_xlfn.CONCAT(B1454,C1454,D1454,E1454,F1454)</f>
        <v>BC Caiaponia1SG60KTL(COM1-008)_001_00146049,965277777846049,965277777846050,3319444444</v>
      </c>
      <c r="Q1454" s="1" t="str">
        <f t="shared" si="45"/>
        <v>DAURDE</v>
      </c>
    </row>
    <row r="1455" spans="2:17">
      <c r="B1455" s="1" t="s">
        <v>456</v>
      </c>
      <c r="C1455" s="1" t="s">
        <v>466</v>
      </c>
      <c r="D1455" s="52">
        <v>46049.965277777781</v>
      </c>
      <c r="E1455" s="52">
        <v>46049.965277777781</v>
      </c>
      <c r="F1455" s="52">
        <v>46050.331944444442</v>
      </c>
      <c r="G1455" s="53">
        <f>F1455-E1455</f>
        <v>0.36666666666133096</v>
      </c>
      <c r="H1455" s="1" t="s">
        <v>257</v>
      </c>
      <c r="J1455" s="1" t="s">
        <v>258</v>
      </c>
      <c r="K1455" s="1" t="str">
        <f>_xlfn.XLOOKUP(J1455,REF!$D$2:$D$12,REF!$E$2:$E$12)</f>
        <v>Rede</v>
      </c>
      <c r="L1455" s="1" t="s">
        <v>630</v>
      </c>
      <c r="M1455" s="1" t="s">
        <v>260</v>
      </c>
      <c r="N1455" s="1" t="s">
        <v>261</v>
      </c>
      <c r="O1455" s="1" t="s">
        <v>607</v>
      </c>
      <c r="P1455" s="1" t="str">
        <f>_xlfn.CONCAT(B1455,C1455,D1455,E1455,F1455)</f>
        <v>BC Caiaponia1SG60KTL(COM1-009)46049,965277777846049,965277777846050,3319444444</v>
      </c>
      <c r="Q1455" s="1" t="str">
        <f t="shared" si="45"/>
        <v>DAURDE</v>
      </c>
    </row>
    <row r="1456" spans="2:17">
      <c r="B1456" s="1" t="s">
        <v>456</v>
      </c>
      <c r="C1456" s="1" t="s">
        <v>467</v>
      </c>
      <c r="D1456" s="52">
        <v>46049.965277777781</v>
      </c>
      <c r="E1456" s="52">
        <v>46049.965277777781</v>
      </c>
      <c r="F1456" s="52">
        <v>46050.331944444442</v>
      </c>
      <c r="G1456" s="53">
        <f>F1456-E1456</f>
        <v>0.36666666666133096</v>
      </c>
      <c r="H1456" s="1" t="s">
        <v>257</v>
      </c>
      <c r="J1456" s="1" t="s">
        <v>258</v>
      </c>
      <c r="K1456" s="1" t="str">
        <f>_xlfn.XLOOKUP(J1456,REF!$D$2:$D$12,REF!$E$2:$E$12)</f>
        <v>Rede</v>
      </c>
      <c r="L1456" s="1" t="s">
        <v>630</v>
      </c>
      <c r="M1456" s="1" t="s">
        <v>260</v>
      </c>
      <c r="N1456" s="1" t="s">
        <v>261</v>
      </c>
      <c r="O1456" s="1" t="s">
        <v>607</v>
      </c>
      <c r="P1456" s="1" t="str">
        <f>_xlfn.CONCAT(B1456,C1456,D1456,E1456,F1456)</f>
        <v>BC Caiaponia1SG60KTL(COM1-010)46049,965277777846049,965277777846050,3319444444</v>
      </c>
      <c r="Q1456" s="1" t="str">
        <f t="shared" si="45"/>
        <v>DAURDE</v>
      </c>
    </row>
    <row r="1457" spans="2:17">
      <c r="B1457" s="1" t="s">
        <v>456</v>
      </c>
      <c r="C1457" s="1" t="s">
        <v>468</v>
      </c>
      <c r="D1457" s="52">
        <v>46049.965277777781</v>
      </c>
      <c r="E1457" s="52">
        <v>46049.965277777781</v>
      </c>
      <c r="F1457" s="52">
        <v>46050.331944444442</v>
      </c>
      <c r="G1457" s="53">
        <f>F1457-E1457</f>
        <v>0.36666666666133096</v>
      </c>
      <c r="H1457" s="1" t="s">
        <v>257</v>
      </c>
      <c r="J1457" s="1" t="s">
        <v>258</v>
      </c>
      <c r="K1457" s="1" t="str">
        <f>_xlfn.XLOOKUP(J1457,REF!$D$2:$D$12,REF!$E$2:$E$12)</f>
        <v>Rede</v>
      </c>
      <c r="L1457" s="1" t="s">
        <v>630</v>
      </c>
      <c r="M1457" s="1" t="s">
        <v>260</v>
      </c>
      <c r="N1457" s="1" t="s">
        <v>261</v>
      </c>
      <c r="O1457" s="1" t="s">
        <v>607</v>
      </c>
      <c r="P1457" s="1" t="str">
        <f>_xlfn.CONCAT(B1457,C1457,D1457,E1457,F1457)</f>
        <v>BC Caiaponia1SG60KTL(COM1-011)46049,965277777846049,965277777846050,3319444444</v>
      </c>
      <c r="Q1457" s="1" t="str">
        <f t="shared" si="45"/>
        <v>DAURDE</v>
      </c>
    </row>
    <row r="1458" spans="2:17">
      <c r="B1458" s="1" t="s">
        <v>456</v>
      </c>
      <c r="C1458" s="1" t="s">
        <v>469</v>
      </c>
      <c r="D1458" s="52">
        <v>46049.965277777781</v>
      </c>
      <c r="E1458" s="52">
        <v>46049.965277777781</v>
      </c>
      <c r="F1458" s="52">
        <v>46050.331944444442</v>
      </c>
      <c r="G1458" s="53">
        <f>F1458-E1458</f>
        <v>0.36666666666133096</v>
      </c>
      <c r="H1458" s="1" t="s">
        <v>257</v>
      </c>
      <c r="J1458" s="1" t="s">
        <v>258</v>
      </c>
      <c r="K1458" s="1" t="str">
        <f>_xlfn.XLOOKUP(J1458,REF!$D$2:$D$12,REF!$E$2:$E$12)</f>
        <v>Rede</v>
      </c>
      <c r="L1458" s="1" t="s">
        <v>630</v>
      </c>
      <c r="M1458" s="1" t="s">
        <v>260</v>
      </c>
      <c r="N1458" s="1" t="s">
        <v>261</v>
      </c>
      <c r="O1458" s="1" t="s">
        <v>607</v>
      </c>
      <c r="P1458" s="1" t="str">
        <f>_xlfn.CONCAT(B1458,C1458,D1458,E1458,F1458)</f>
        <v>BC Caiaponia1SG60KTL(COM1-012)46049,965277777846049,965277777846050,3319444444</v>
      </c>
      <c r="Q1458" s="1" t="str">
        <f t="shared" si="45"/>
        <v>DAURDE</v>
      </c>
    </row>
    <row r="1459" spans="2:17">
      <c r="B1459" s="1" t="s">
        <v>456</v>
      </c>
      <c r="C1459" s="1" t="s">
        <v>470</v>
      </c>
      <c r="D1459" s="52">
        <v>46049.965277777781</v>
      </c>
      <c r="E1459" s="52">
        <v>46049.965277777781</v>
      </c>
      <c r="F1459" s="52">
        <v>46050.331944444442</v>
      </c>
      <c r="G1459" s="53">
        <f>F1459-E1459</f>
        <v>0.36666666666133096</v>
      </c>
      <c r="H1459" s="1" t="s">
        <v>257</v>
      </c>
      <c r="J1459" s="1" t="s">
        <v>258</v>
      </c>
      <c r="K1459" s="1" t="str">
        <f>_xlfn.XLOOKUP(J1459,REF!$D$2:$D$12,REF!$E$2:$E$12)</f>
        <v>Rede</v>
      </c>
      <c r="L1459" s="1" t="s">
        <v>630</v>
      </c>
      <c r="M1459" s="1" t="s">
        <v>260</v>
      </c>
      <c r="N1459" s="1" t="s">
        <v>261</v>
      </c>
      <c r="O1459" s="1" t="s">
        <v>607</v>
      </c>
      <c r="P1459" s="1" t="str">
        <f>_xlfn.CONCAT(B1459,C1459,D1459,E1459,F1459)</f>
        <v>BC Caiaponia1SG60KTL(COM1-013)46049,965277777846049,965277777846050,3319444444</v>
      </c>
      <c r="Q1459" s="1" t="str">
        <f t="shared" si="45"/>
        <v>DAURDE</v>
      </c>
    </row>
    <row r="1460" spans="2:17">
      <c r="B1460" s="1" t="s">
        <v>456</v>
      </c>
      <c r="C1460" s="1" t="s">
        <v>471</v>
      </c>
      <c r="D1460" s="52">
        <v>46049.965277777781</v>
      </c>
      <c r="E1460" s="52">
        <v>46049.965277777781</v>
      </c>
      <c r="F1460" s="52">
        <v>46050.331944444442</v>
      </c>
      <c r="G1460" s="53">
        <f>F1460-E1460</f>
        <v>0.36666666666133096</v>
      </c>
      <c r="H1460" s="1" t="s">
        <v>257</v>
      </c>
      <c r="J1460" s="1" t="s">
        <v>258</v>
      </c>
      <c r="K1460" s="1" t="str">
        <f>_xlfn.XLOOKUP(J1460,REF!$D$2:$D$12,REF!$E$2:$E$12)</f>
        <v>Rede</v>
      </c>
      <c r="L1460" s="1" t="s">
        <v>630</v>
      </c>
      <c r="M1460" s="1" t="s">
        <v>260</v>
      </c>
      <c r="N1460" s="1" t="s">
        <v>261</v>
      </c>
      <c r="O1460" s="1" t="s">
        <v>607</v>
      </c>
      <c r="P1460" s="1" t="str">
        <f>_xlfn.CONCAT(B1460,C1460,D1460,E1460,F1460)</f>
        <v>BC Caiaponia1SG60KTL(COM1-014)46049,965277777846049,965277777846050,3319444444</v>
      </c>
      <c r="Q1460" s="1" t="str">
        <f t="shared" si="45"/>
        <v>DAURDE</v>
      </c>
    </row>
    <row r="1461" spans="2:17">
      <c r="B1461" s="1" t="s">
        <v>456</v>
      </c>
      <c r="C1461" s="1" t="s">
        <v>472</v>
      </c>
      <c r="D1461" s="52">
        <v>46049.965277777781</v>
      </c>
      <c r="E1461" s="52">
        <v>46049.965277777781</v>
      </c>
      <c r="F1461" s="52">
        <v>46050.331944444442</v>
      </c>
      <c r="G1461" s="53">
        <f>F1461-E1461</f>
        <v>0.36666666666133096</v>
      </c>
      <c r="H1461" s="1" t="s">
        <v>257</v>
      </c>
      <c r="J1461" s="1" t="s">
        <v>258</v>
      </c>
      <c r="K1461" s="1" t="str">
        <f>_xlfn.XLOOKUP(J1461,REF!$D$2:$D$12,REF!$E$2:$E$12)</f>
        <v>Rede</v>
      </c>
      <c r="L1461" s="1" t="s">
        <v>630</v>
      </c>
      <c r="M1461" s="1" t="s">
        <v>260</v>
      </c>
      <c r="N1461" s="1" t="s">
        <v>261</v>
      </c>
      <c r="O1461" s="1" t="s">
        <v>607</v>
      </c>
      <c r="P1461" s="1" t="str">
        <f>_xlfn.CONCAT(B1461,C1461,D1461,E1461,F1461)</f>
        <v>BC Caiaponia1SG60KTL(COM1-015)46049,965277777846049,965277777846050,3319444444</v>
      </c>
      <c r="Q1461" s="1" t="str">
        <f t="shared" si="45"/>
        <v>DAURDE</v>
      </c>
    </row>
    <row r="1462" spans="2:17">
      <c r="B1462" s="1" t="s">
        <v>456</v>
      </c>
      <c r="C1462" s="1" t="s">
        <v>473</v>
      </c>
      <c r="D1462" s="52">
        <v>46049.965277777781</v>
      </c>
      <c r="E1462" s="52">
        <v>46049.965277777781</v>
      </c>
      <c r="F1462" s="52">
        <v>46050.331944444442</v>
      </c>
      <c r="G1462" s="53">
        <f>F1462-E1462</f>
        <v>0.36666666666133096</v>
      </c>
      <c r="H1462" s="1" t="s">
        <v>257</v>
      </c>
      <c r="J1462" s="1" t="s">
        <v>258</v>
      </c>
      <c r="K1462" s="1" t="str">
        <f>_xlfn.XLOOKUP(J1462,REF!$D$2:$D$12,REF!$E$2:$E$12)</f>
        <v>Rede</v>
      </c>
      <c r="L1462" s="1" t="s">
        <v>630</v>
      </c>
      <c r="M1462" s="1" t="s">
        <v>260</v>
      </c>
      <c r="N1462" s="1" t="s">
        <v>261</v>
      </c>
      <c r="O1462" s="1" t="s">
        <v>607</v>
      </c>
      <c r="P1462" s="1" t="str">
        <f>_xlfn.CONCAT(B1462,C1462,D1462,E1462,F1462)</f>
        <v>BC Caiaponia1SG60KTL(COM3-016)_001_00946049,965277777846049,965277777846050,3319444444</v>
      </c>
      <c r="Q1462" s="1" t="str">
        <f t="shared" si="45"/>
        <v>DAURDE</v>
      </c>
    </row>
    <row r="1463" spans="2:17">
      <c r="B1463" s="1" t="s">
        <v>456</v>
      </c>
      <c r="C1463" s="1" t="s">
        <v>474</v>
      </c>
      <c r="D1463" s="52">
        <v>46049.965277777781</v>
      </c>
      <c r="E1463" s="52">
        <v>46049.965277777781</v>
      </c>
      <c r="F1463" s="52">
        <v>46050.331944444442</v>
      </c>
      <c r="G1463" s="53">
        <f>F1463-E1463</f>
        <v>0.36666666666133096</v>
      </c>
      <c r="H1463" s="1" t="s">
        <v>257</v>
      </c>
      <c r="J1463" s="1" t="s">
        <v>258</v>
      </c>
      <c r="K1463" s="1" t="str">
        <f>_xlfn.XLOOKUP(J1463,REF!$D$2:$D$12,REF!$E$2:$E$12)</f>
        <v>Rede</v>
      </c>
      <c r="L1463" s="1" t="s">
        <v>630</v>
      </c>
      <c r="M1463" s="1" t="s">
        <v>260</v>
      </c>
      <c r="N1463" s="1" t="s">
        <v>261</v>
      </c>
      <c r="O1463" s="1" t="s">
        <v>607</v>
      </c>
      <c r="P1463" s="1" t="str">
        <f>_xlfn.CONCAT(B1463,C1463,D1463,E1463,F1463)</f>
        <v>BC Caiaponia1SG60KTL(COM3-017)_001_01246049,965277777846049,965277777846050,3319444444</v>
      </c>
      <c r="Q1463" s="1" t="str">
        <f t="shared" si="45"/>
        <v>DAURDE</v>
      </c>
    </row>
    <row r="1464" spans="2:17">
      <c r="B1464" s="1" t="s">
        <v>456</v>
      </c>
      <c r="C1464" s="1" t="s">
        <v>475</v>
      </c>
      <c r="D1464" s="52">
        <v>46049.965277777781</v>
      </c>
      <c r="E1464" s="52">
        <v>46049.965277777781</v>
      </c>
      <c r="F1464" s="52">
        <v>46050.331944444442</v>
      </c>
      <c r="G1464" s="53">
        <f>F1464-E1464</f>
        <v>0.36666666666133096</v>
      </c>
      <c r="H1464" s="1" t="s">
        <v>257</v>
      </c>
      <c r="J1464" s="1" t="s">
        <v>258</v>
      </c>
      <c r="K1464" s="1" t="str">
        <f>_xlfn.XLOOKUP(J1464,REF!$D$2:$D$12,REF!$E$2:$E$12)</f>
        <v>Rede</v>
      </c>
      <c r="L1464" s="1" t="s">
        <v>630</v>
      </c>
      <c r="M1464" s="1" t="s">
        <v>260</v>
      </c>
      <c r="N1464" s="1" t="s">
        <v>261</v>
      </c>
      <c r="O1464" s="1" t="s">
        <v>607</v>
      </c>
      <c r="P1464" s="1" t="str">
        <f>_xlfn.CONCAT(B1464,C1464,D1464,E1464,F1464)</f>
        <v>BC Caiaponia1SG60KTL(COM3-018)_001_00846049,965277777846049,965277777846050,3319444444</v>
      </c>
      <c r="Q1464" s="1" t="str">
        <f t="shared" si="45"/>
        <v>DAURDE</v>
      </c>
    </row>
    <row r="1465" spans="2:17">
      <c r="B1465" s="1" t="s">
        <v>456</v>
      </c>
      <c r="C1465" s="1" t="s">
        <v>476</v>
      </c>
      <c r="D1465" s="52">
        <v>46049.965277777781</v>
      </c>
      <c r="E1465" s="52">
        <v>46049.965277777781</v>
      </c>
      <c r="F1465" s="52">
        <v>46050.331944444442</v>
      </c>
      <c r="G1465" s="53">
        <f>F1465-E1465</f>
        <v>0.36666666666133096</v>
      </c>
      <c r="H1465" s="1" t="s">
        <v>257</v>
      </c>
      <c r="J1465" s="1" t="s">
        <v>258</v>
      </c>
      <c r="K1465" s="1" t="str">
        <f>_xlfn.XLOOKUP(J1465,REF!$D$2:$D$12,REF!$E$2:$E$12)</f>
        <v>Rede</v>
      </c>
      <c r="L1465" s="1" t="s">
        <v>630</v>
      </c>
      <c r="M1465" s="1" t="s">
        <v>260</v>
      </c>
      <c r="N1465" s="1" t="s">
        <v>261</v>
      </c>
      <c r="O1465" s="1" t="s">
        <v>607</v>
      </c>
      <c r="P1465" s="1" t="str">
        <f>_xlfn.CONCAT(B1465,C1465,D1465,E1465,F1465)</f>
        <v>BC Caiaponia1SG60KTL(COM3-019)_001_01946049,965277777846049,965277777846050,3319444444</v>
      </c>
      <c r="Q1465" s="1" t="str">
        <f t="shared" si="45"/>
        <v>DAURDE</v>
      </c>
    </row>
    <row r="1466" spans="2:17">
      <c r="B1466" s="1" t="s">
        <v>456</v>
      </c>
      <c r="C1466" s="1" t="s">
        <v>477</v>
      </c>
      <c r="D1466" s="52">
        <v>46049.965277777781</v>
      </c>
      <c r="E1466" s="52">
        <v>46049.965277777781</v>
      </c>
      <c r="F1466" s="52">
        <v>46050.331944444442</v>
      </c>
      <c r="G1466" s="53">
        <f>F1466-E1466</f>
        <v>0.36666666666133096</v>
      </c>
      <c r="H1466" s="1" t="s">
        <v>257</v>
      </c>
      <c r="J1466" s="1" t="s">
        <v>258</v>
      </c>
      <c r="K1466" s="1" t="str">
        <f>_xlfn.XLOOKUP(J1466,REF!$D$2:$D$12,REF!$E$2:$E$12)</f>
        <v>Rede</v>
      </c>
      <c r="L1466" s="1" t="s">
        <v>630</v>
      </c>
      <c r="M1466" s="1" t="s">
        <v>260</v>
      </c>
      <c r="N1466" s="1" t="s">
        <v>261</v>
      </c>
      <c r="O1466" s="1" t="s">
        <v>607</v>
      </c>
      <c r="P1466" s="1" t="str">
        <f>_xlfn.CONCAT(B1466,C1466,D1466,E1466,F1466)</f>
        <v>BC Caiaponia1SG60KTL(COM3-020)_001_02046049,965277777846049,965277777846050,3319444444</v>
      </c>
      <c r="Q1466" s="1" t="str">
        <f t="shared" si="45"/>
        <v>DAURDE</v>
      </c>
    </row>
    <row r="1467" spans="2:17">
      <c r="B1467" s="1" t="s">
        <v>456</v>
      </c>
      <c r="C1467" s="1" t="s">
        <v>478</v>
      </c>
      <c r="D1467" s="52">
        <v>46049.965277777781</v>
      </c>
      <c r="E1467" s="52">
        <v>46049.965277777781</v>
      </c>
      <c r="F1467" s="52">
        <v>46050.331944444442</v>
      </c>
      <c r="G1467" s="53">
        <f>F1467-E1467</f>
        <v>0.36666666666133096</v>
      </c>
      <c r="H1467" s="1" t="s">
        <v>257</v>
      </c>
      <c r="J1467" s="1" t="s">
        <v>258</v>
      </c>
      <c r="K1467" s="1" t="str">
        <f>_xlfn.XLOOKUP(J1467,REF!$D$2:$D$12,REF!$E$2:$E$12)</f>
        <v>Rede</v>
      </c>
      <c r="L1467" s="1" t="s">
        <v>630</v>
      </c>
      <c r="M1467" s="1" t="s">
        <v>260</v>
      </c>
      <c r="N1467" s="1" t="s">
        <v>261</v>
      </c>
      <c r="O1467" s="1" t="s">
        <v>607</v>
      </c>
      <c r="P1467" s="1" t="str">
        <f>_xlfn.CONCAT(B1467,C1467,D1467,E1467,F1467)</f>
        <v>BC Caiaponia1SG60KTL(COM2-026)46049,965277777846049,965277777846050,3319444444</v>
      </c>
      <c r="Q1467" s="1" t="str">
        <f t="shared" si="45"/>
        <v>DAURDE</v>
      </c>
    </row>
    <row r="1468" spans="2:17">
      <c r="B1468" s="1" t="s">
        <v>456</v>
      </c>
      <c r="C1468" s="1" t="s">
        <v>479</v>
      </c>
      <c r="D1468" s="52">
        <v>46049.965277777781</v>
      </c>
      <c r="E1468" s="52">
        <v>46049.965277777781</v>
      </c>
      <c r="F1468" s="52">
        <v>46050.331944444442</v>
      </c>
      <c r="G1468" s="53">
        <f>F1468-E1468</f>
        <v>0.36666666666133096</v>
      </c>
      <c r="H1468" s="1" t="s">
        <v>257</v>
      </c>
      <c r="J1468" s="1" t="s">
        <v>258</v>
      </c>
      <c r="K1468" s="1" t="str">
        <f>_xlfn.XLOOKUP(J1468,REF!$D$2:$D$12,REF!$E$2:$E$12)</f>
        <v>Rede</v>
      </c>
      <c r="L1468" s="1" t="s">
        <v>630</v>
      </c>
      <c r="M1468" s="1" t="s">
        <v>260</v>
      </c>
      <c r="N1468" s="1" t="s">
        <v>261</v>
      </c>
      <c r="O1468" s="1" t="s">
        <v>607</v>
      </c>
      <c r="P1468" s="1" t="str">
        <f>_xlfn.CONCAT(B1468,C1468,D1468,E1468,F1468)</f>
        <v>BC Caiaponia1SG60KTL(COM2-027)46049,965277777846049,965277777846050,3319444444</v>
      </c>
      <c r="Q1468" s="1" t="str">
        <f t="shared" si="45"/>
        <v>DAURDE</v>
      </c>
    </row>
    <row r="1469" spans="2:17">
      <c r="B1469" s="1" t="s">
        <v>456</v>
      </c>
      <c r="C1469" s="1" t="s">
        <v>480</v>
      </c>
      <c r="D1469" s="52">
        <v>46049.965277777781</v>
      </c>
      <c r="E1469" s="52">
        <v>46049.965277777781</v>
      </c>
      <c r="F1469" s="52">
        <v>46050.331944444442</v>
      </c>
      <c r="G1469" s="53">
        <f>F1469-E1469</f>
        <v>0.36666666666133096</v>
      </c>
      <c r="H1469" s="1" t="s">
        <v>257</v>
      </c>
      <c r="J1469" s="1" t="s">
        <v>258</v>
      </c>
      <c r="K1469" s="1" t="str">
        <f>_xlfn.XLOOKUP(J1469,REF!$D$2:$D$12,REF!$E$2:$E$12)</f>
        <v>Rede</v>
      </c>
      <c r="L1469" s="1" t="s">
        <v>630</v>
      </c>
      <c r="M1469" s="1" t="s">
        <v>260</v>
      </c>
      <c r="N1469" s="1" t="s">
        <v>261</v>
      </c>
      <c r="O1469" s="1" t="s">
        <v>607</v>
      </c>
      <c r="P1469" s="1" t="str">
        <f>_xlfn.CONCAT(B1469,C1469,D1469,E1469,F1469)</f>
        <v>BC Caiaponia1SG60KTL(COM2-028)46049,965277777846049,965277777846050,3319444444</v>
      </c>
      <c r="Q1469" s="1" t="str">
        <f t="shared" si="45"/>
        <v>DAURDE</v>
      </c>
    </row>
    <row r="1470" spans="2:17">
      <c r="B1470" s="1" t="s">
        <v>456</v>
      </c>
      <c r="C1470" s="1" t="s">
        <v>481</v>
      </c>
      <c r="D1470" s="52">
        <v>46049.965277777781</v>
      </c>
      <c r="E1470" s="52">
        <v>46049.965277777781</v>
      </c>
      <c r="F1470" s="52">
        <v>46050.331944444442</v>
      </c>
      <c r="G1470" s="53">
        <f>F1470-E1470</f>
        <v>0.36666666666133096</v>
      </c>
      <c r="H1470" s="1" t="s">
        <v>257</v>
      </c>
      <c r="J1470" s="1" t="s">
        <v>258</v>
      </c>
      <c r="K1470" s="1" t="str">
        <f>_xlfn.XLOOKUP(J1470,REF!$D$2:$D$12,REF!$E$2:$E$12)</f>
        <v>Rede</v>
      </c>
      <c r="L1470" s="1" t="s">
        <v>630</v>
      </c>
      <c r="M1470" s="1" t="s">
        <v>260</v>
      </c>
      <c r="N1470" s="1" t="s">
        <v>261</v>
      </c>
      <c r="O1470" s="1" t="s">
        <v>607</v>
      </c>
      <c r="P1470" s="1" t="str">
        <f>_xlfn.CONCAT(B1470,C1470,D1470,E1470,F1470)</f>
        <v>BC Caiaponia1SG60KTL(COM2-029)46049,965277777846049,965277777846050,3319444444</v>
      </c>
      <c r="Q1470" s="1" t="str">
        <f t="shared" si="45"/>
        <v>DAURDE</v>
      </c>
    </row>
    <row r="1471" spans="2:17">
      <c r="B1471" s="1" t="s">
        <v>456</v>
      </c>
      <c r="C1471" s="1" t="s">
        <v>482</v>
      </c>
      <c r="D1471" s="52">
        <v>46049.965277777781</v>
      </c>
      <c r="E1471" s="52">
        <v>46049.965277777781</v>
      </c>
      <c r="F1471" s="52">
        <v>46050.331944444442</v>
      </c>
      <c r="G1471" s="53">
        <f>F1471-E1471</f>
        <v>0.36666666666133096</v>
      </c>
      <c r="H1471" s="1" t="s">
        <v>257</v>
      </c>
      <c r="J1471" s="1" t="s">
        <v>258</v>
      </c>
      <c r="K1471" s="1" t="str">
        <f>_xlfn.XLOOKUP(J1471,REF!$D$2:$D$12,REF!$E$2:$E$12)</f>
        <v>Rede</v>
      </c>
      <c r="L1471" s="1" t="s">
        <v>630</v>
      </c>
      <c r="M1471" s="1" t="s">
        <v>260</v>
      </c>
      <c r="N1471" s="1" t="s">
        <v>261</v>
      </c>
      <c r="O1471" s="1" t="s">
        <v>607</v>
      </c>
      <c r="P1471" s="1" t="str">
        <f>_xlfn.CONCAT(B1471,C1471,D1471,E1471,F1471)</f>
        <v>BC Caiaponia1SG50CX(COM1-021)46049,965277777846049,965277777846050,3319444444</v>
      </c>
      <c r="Q1471" s="1" t="str">
        <f t="shared" si="45"/>
        <v>DAURDE</v>
      </c>
    </row>
    <row r="1472" spans="2:17">
      <c r="B1472" s="1" t="s">
        <v>456</v>
      </c>
      <c r="C1472" s="1" t="s">
        <v>483</v>
      </c>
      <c r="D1472" s="52">
        <v>46049.965277777781</v>
      </c>
      <c r="E1472" s="52">
        <v>46049.965277777781</v>
      </c>
      <c r="F1472" s="52">
        <v>46050.331944444442</v>
      </c>
      <c r="G1472" s="53">
        <f>F1472-E1472</f>
        <v>0.36666666666133096</v>
      </c>
      <c r="H1472" s="1" t="s">
        <v>257</v>
      </c>
      <c r="J1472" s="1" t="s">
        <v>258</v>
      </c>
      <c r="K1472" s="1" t="str">
        <f>_xlfn.XLOOKUP(J1472,REF!$D$2:$D$12,REF!$E$2:$E$12)</f>
        <v>Rede</v>
      </c>
      <c r="L1472" s="1" t="s">
        <v>630</v>
      </c>
      <c r="M1472" s="1" t="s">
        <v>260</v>
      </c>
      <c r="N1472" s="1" t="s">
        <v>261</v>
      </c>
      <c r="O1472" s="1" t="s">
        <v>607</v>
      </c>
      <c r="P1472" s="1" t="str">
        <f>_xlfn.CONCAT(B1472,C1472,D1472,E1472,F1472)</f>
        <v>BC Caiaponia1SG50CX(COM1-022)46049,965277777846049,965277777846050,3319444444</v>
      </c>
      <c r="Q1472" s="1" t="str">
        <f t="shared" si="45"/>
        <v>DAURDE</v>
      </c>
    </row>
    <row r="1473" spans="2:17">
      <c r="B1473" s="1" t="s">
        <v>456</v>
      </c>
      <c r="C1473" s="1" t="s">
        <v>484</v>
      </c>
      <c r="D1473" s="52">
        <v>46049.965277777781</v>
      </c>
      <c r="E1473" s="52">
        <v>46049.965277777781</v>
      </c>
      <c r="F1473" s="52">
        <v>46050.331944444442</v>
      </c>
      <c r="G1473" s="53">
        <f>F1473-E1473</f>
        <v>0.36666666666133096</v>
      </c>
      <c r="H1473" s="1" t="s">
        <v>257</v>
      </c>
      <c r="J1473" s="1" t="s">
        <v>258</v>
      </c>
      <c r="K1473" s="1" t="str">
        <f>_xlfn.XLOOKUP(J1473,REF!$D$2:$D$12,REF!$E$2:$E$12)</f>
        <v>Rede</v>
      </c>
      <c r="L1473" s="1" t="s">
        <v>630</v>
      </c>
      <c r="M1473" s="1" t="s">
        <v>260</v>
      </c>
      <c r="N1473" s="1" t="s">
        <v>261</v>
      </c>
      <c r="O1473" s="1" t="s">
        <v>607</v>
      </c>
      <c r="P1473" s="1" t="str">
        <f>_xlfn.CONCAT(B1473,C1473,D1473,E1473,F1473)</f>
        <v>BC Caiaponia1SG50CX(COM1-023)46049,965277777846049,965277777846050,3319444444</v>
      </c>
      <c r="Q1473" s="1" t="str">
        <f t="shared" si="45"/>
        <v>DAURDE</v>
      </c>
    </row>
    <row r="1474" spans="2:17">
      <c r="B1474" s="1" t="s">
        <v>456</v>
      </c>
      <c r="C1474" s="1" t="s">
        <v>485</v>
      </c>
      <c r="D1474" s="52">
        <v>46049.965277777781</v>
      </c>
      <c r="E1474" s="52">
        <v>46049.965277777781</v>
      </c>
      <c r="F1474" s="52">
        <v>46050.331944444442</v>
      </c>
      <c r="G1474" s="53">
        <f>F1474-E1474</f>
        <v>0.36666666666133096</v>
      </c>
      <c r="H1474" s="1" t="s">
        <v>257</v>
      </c>
      <c r="J1474" s="1" t="s">
        <v>258</v>
      </c>
      <c r="K1474" s="1" t="str">
        <f>_xlfn.XLOOKUP(J1474,REF!$D$2:$D$12,REF!$E$2:$E$12)</f>
        <v>Rede</v>
      </c>
      <c r="L1474" s="1" t="s">
        <v>630</v>
      </c>
      <c r="M1474" s="1" t="s">
        <v>260</v>
      </c>
      <c r="N1474" s="1" t="s">
        <v>261</v>
      </c>
      <c r="O1474" s="1" t="s">
        <v>607</v>
      </c>
      <c r="P1474" s="1" t="str">
        <f>_xlfn.CONCAT(B1474,C1474,D1474,E1474,F1474)</f>
        <v>BC Caiaponia1SG50CX(COM1-024)46049,965277777846049,965277777846050,3319444444</v>
      </c>
      <c r="Q1474" s="1" t="str">
        <f t="shared" si="45"/>
        <v>DAURDE</v>
      </c>
    </row>
    <row r="1475" spans="2:17">
      <c r="B1475" s="1" t="s">
        <v>456</v>
      </c>
      <c r="C1475" s="1" t="s">
        <v>486</v>
      </c>
      <c r="D1475" s="52">
        <v>46049.965277777781</v>
      </c>
      <c r="E1475" s="52">
        <v>46049.965277777781</v>
      </c>
      <c r="F1475" s="52">
        <v>46050.331944444442</v>
      </c>
      <c r="G1475" s="53">
        <f>F1475-E1475</f>
        <v>0.36666666666133096</v>
      </c>
      <c r="H1475" s="1" t="s">
        <v>257</v>
      </c>
      <c r="J1475" s="1" t="s">
        <v>258</v>
      </c>
      <c r="K1475" s="1" t="str">
        <f>_xlfn.XLOOKUP(J1475,REF!$D$2:$D$12,REF!$E$2:$E$12)</f>
        <v>Rede</v>
      </c>
      <c r="L1475" s="1" t="s">
        <v>630</v>
      </c>
      <c r="M1475" s="1" t="s">
        <v>260</v>
      </c>
      <c r="N1475" s="1" t="s">
        <v>261</v>
      </c>
      <c r="O1475" s="1" t="s">
        <v>607</v>
      </c>
      <c r="P1475" s="1" t="str">
        <f>_xlfn.CONCAT(B1475,C1475,D1475,E1475,F1475)</f>
        <v>BC Caiaponia1SG50CX(COM1-025)46049,965277777846049,965277777846050,3319444444</v>
      </c>
      <c r="Q1475" s="1" t="str">
        <f t="shared" si="45"/>
        <v>DAURDE</v>
      </c>
    </row>
    <row r="1476" spans="2:17">
      <c r="B1476" s="1" t="s">
        <v>487</v>
      </c>
      <c r="C1476" s="1" t="s">
        <v>377</v>
      </c>
      <c r="D1476" s="52">
        <v>46049.965277777781</v>
      </c>
      <c r="E1476" s="52">
        <v>46049.965277777781</v>
      </c>
      <c r="F1476" s="52">
        <v>46050.331944444442</v>
      </c>
      <c r="G1476" s="53">
        <f>F1476-E1476</f>
        <v>0.36666666666133096</v>
      </c>
      <c r="H1476" s="1" t="s">
        <v>257</v>
      </c>
      <c r="J1476" s="1" t="s">
        <v>258</v>
      </c>
      <c r="K1476" s="1" t="str">
        <f>_xlfn.XLOOKUP(J1476,REF!$D$2:$D$12,REF!$E$2:$E$12)</f>
        <v>Rede</v>
      </c>
      <c r="L1476" s="1" t="s">
        <v>630</v>
      </c>
      <c r="M1476" s="1" t="s">
        <v>260</v>
      </c>
      <c r="N1476" s="1" t="s">
        <v>261</v>
      </c>
      <c r="O1476" s="1" t="s">
        <v>607</v>
      </c>
      <c r="P1476" s="1" t="str">
        <f>_xlfn.CONCAT(B1476,C1476,D1476,E1476,F1476)</f>
        <v>BC Caiaponia2.1215KTL-H3(MBUS-12)46049,965277777846049,965277777846050,3319444444</v>
      </c>
      <c r="Q1476" s="1" t="str">
        <f t="shared" si="45"/>
        <v>DAURDE</v>
      </c>
    </row>
    <row r="1477" spans="2:17">
      <c r="B1477" s="1" t="s">
        <v>487</v>
      </c>
      <c r="C1477" s="1" t="s">
        <v>378</v>
      </c>
      <c r="D1477" s="52">
        <v>46049.965277777781</v>
      </c>
      <c r="E1477" s="52">
        <v>46049.965277777781</v>
      </c>
      <c r="F1477" s="52">
        <v>46050.331944444442</v>
      </c>
      <c r="G1477" s="53">
        <f>F1477-E1477</f>
        <v>0.36666666666133096</v>
      </c>
      <c r="H1477" s="1" t="s">
        <v>257</v>
      </c>
      <c r="J1477" s="1" t="s">
        <v>258</v>
      </c>
      <c r="K1477" s="1" t="str">
        <f>_xlfn.XLOOKUP(J1477,REF!$D$2:$D$12,REF!$E$2:$E$12)</f>
        <v>Rede</v>
      </c>
      <c r="L1477" s="1" t="s">
        <v>630</v>
      </c>
      <c r="M1477" s="1" t="s">
        <v>260</v>
      </c>
      <c r="N1477" s="1" t="s">
        <v>261</v>
      </c>
      <c r="O1477" s="1" t="s">
        <v>607</v>
      </c>
      <c r="P1477" s="1" t="str">
        <f>_xlfn.CONCAT(B1477,C1477,D1477,E1477,F1477)</f>
        <v>BC Caiaponia2.1215KTL-H3(MBUS-13)46049,965277777846049,965277777846050,3319444444</v>
      </c>
      <c r="Q1477" s="1" t="str">
        <f t="shared" si="45"/>
        <v>DAURDE</v>
      </c>
    </row>
    <row r="1478" spans="2:17">
      <c r="B1478" s="1" t="s">
        <v>487</v>
      </c>
      <c r="C1478" s="1" t="s">
        <v>382</v>
      </c>
      <c r="D1478" s="52">
        <v>46049.965277777781</v>
      </c>
      <c r="E1478" s="52">
        <v>46049.965277777781</v>
      </c>
      <c r="F1478" s="52">
        <v>46050.331944444442</v>
      </c>
      <c r="G1478" s="53">
        <f>F1478-E1478</f>
        <v>0.36666666666133096</v>
      </c>
      <c r="H1478" s="1" t="s">
        <v>257</v>
      </c>
      <c r="J1478" s="1" t="s">
        <v>258</v>
      </c>
      <c r="K1478" s="1" t="str">
        <f>_xlfn.XLOOKUP(J1478,REF!$D$2:$D$12,REF!$E$2:$E$12)</f>
        <v>Rede</v>
      </c>
      <c r="L1478" s="1" t="s">
        <v>630</v>
      </c>
      <c r="M1478" s="1" t="s">
        <v>260</v>
      </c>
      <c r="N1478" s="1" t="s">
        <v>261</v>
      </c>
      <c r="O1478" s="1" t="s">
        <v>607</v>
      </c>
      <c r="P1478" s="1" t="str">
        <f>_xlfn.CONCAT(B1478,C1478,D1478,E1478,F1478)</f>
        <v>BC Caiaponia2.1215KTL-H3(MBUS-14)46049,965277777846049,965277777846050,3319444444</v>
      </c>
      <c r="Q1478" s="1" t="str">
        <f t="shared" si="45"/>
        <v>DAURDE</v>
      </c>
    </row>
    <row r="1479" spans="2:17">
      <c r="B1479" s="1" t="s">
        <v>487</v>
      </c>
      <c r="C1479" s="1" t="s">
        <v>380</v>
      </c>
      <c r="D1479" s="52">
        <v>46049.965277777781</v>
      </c>
      <c r="E1479" s="52">
        <v>46049.965277777781</v>
      </c>
      <c r="F1479" s="52">
        <v>46050.331944444442</v>
      </c>
      <c r="G1479" s="53">
        <f>F1479-E1479</f>
        <v>0.36666666666133096</v>
      </c>
      <c r="H1479" s="1" t="s">
        <v>257</v>
      </c>
      <c r="J1479" s="1" t="s">
        <v>258</v>
      </c>
      <c r="K1479" s="1" t="str">
        <f>_xlfn.XLOOKUP(J1479,REF!$D$2:$D$12,REF!$E$2:$E$12)</f>
        <v>Rede</v>
      </c>
      <c r="L1479" s="1" t="s">
        <v>630</v>
      </c>
      <c r="M1479" s="1" t="s">
        <v>260</v>
      </c>
      <c r="N1479" s="1" t="s">
        <v>261</v>
      </c>
      <c r="O1479" s="1" t="s">
        <v>607</v>
      </c>
      <c r="P1479" s="1" t="str">
        <f>_xlfn.CONCAT(B1479,C1479,D1479,E1479,F1479)</f>
        <v>BC Caiaponia2.1215KTL-H3(MBUS-15)46049,965277777846049,965277777846050,3319444444</v>
      </c>
      <c r="Q1479" s="1" t="str">
        <f t="shared" si="45"/>
        <v>DAURDE</v>
      </c>
    </row>
    <row r="1480" spans="2:17">
      <c r="B1480" s="1" t="s">
        <v>487</v>
      </c>
      <c r="C1480" s="1" t="s">
        <v>379</v>
      </c>
      <c r="D1480" s="52">
        <v>46049.965277777781</v>
      </c>
      <c r="E1480" s="52">
        <v>46049.965277777781</v>
      </c>
      <c r="F1480" s="52">
        <v>46050.331944444442</v>
      </c>
      <c r="G1480" s="53">
        <f>F1480-E1480</f>
        <v>0.36666666666133096</v>
      </c>
      <c r="H1480" s="1" t="s">
        <v>257</v>
      </c>
      <c r="J1480" s="1" t="s">
        <v>258</v>
      </c>
      <c r="K1480" s="1" t="str">
        <f>_xlfn.XLOOKUP(J1480,REF!$D$2:$D$12,REF!$E$2:$E$12)</f>
        <v>Rede</v>
      </c>
      <c r="L1480" s="1" t="s">
        <v>630</v>
      </c>
      <c r="M1480" s="1" t="s">
        <v>260</v>
      </c>
      <c r="N1480" s="1" t="s">
        <v>261</v>
      </c>
      <c r="O1480" s="1" t="s">
        <v>607</v>
      </c>
      <c r="P1480" s="1" t="str">
        <f>_xlfn.CONCAT(B1480,C1480,D1480,E1480,F1480)</f>
        <v>BC Caiaponia2.1215KTL-H3(MBUS-16)46049,965277777846049,965277777846050,3319444444</v>
      </c>
      <c r="Q1480" s="1" t="str">
        <f t="shared" si="45"/>
        <v>DAURDE</v>
      </c>
    </row>
    <row r="1481" spans="2:17">
      <c r="B1481" s="1" t="s">
        <v>583</v>
      </c>
      <c r="C1481" s="1" t="s">
        <v>377</v>
      </c>
      <c r="D1481" s="52">
        <v>46049.965277777781</v>
      </c>
      <c r="E1481" s="52">
        <v>46049.965277777781</v>
      </c>
      <c r="F1481" s="52">
        <v>46050.331944444442</v>
      </c>
      <c r="G1481" s="53">
        <f>F1481-E1481</f>
        <v>0.36666666666133096</v>
      </c>
      <c r="H1481" s="1" t="s">
        <v>257</v>
      </c>
      <c r="J1481" s="1" t="s">
        <v>258</v>
      </c>
      <c r="K1481" s="1" t="str">
        <f>_xlfn.XLOOKUP(J1481,REF!$D$2:$D$12,REF!$E$2:$E$12)</f>
        <v>Rede</v>
      </c>
      <c r="L1481" s="1" t="s">
        <v>630</v>
      </c>
      <c r="M1481" s="1" t="s">
        <v>260</v>
      </c>
      <c r="N1481" s="1" t="s">
        <v>261</v>
      </c>
      <c r="O1481" s="1" t="s">
        <v>607</v>
      </c>
      <c r="P1481" s="1" t="str">
        <f>_xlfn.CONCAT(B1481,C1481,D1481,E1481,F1481)</f>
        <v>BC Caiaponia2.2215KTL-H3(MBUS-12)46049,965277777846049,965277777846050,3319444444</v>
      </c>
      <c r="Q1481" s="1" t="str">
        <f t="shared" si="45"/>
        <v>DAURDE</v>
      </c>
    </row>
    <row r="1482" spans="2:17">
      <c r="B1482" s="1" t="s">
        <v>583</v>
      </c>
      <c r="C1482" s="1" t="s">
        <v>378</v>
      </c>
      <c r="D1482" s="52">
        <v>46049.965277777781</v>
      </c>
      <c r="E1482" s="52">
        <v>46049.965277777781</v>
      </c>
      <c r="F1482" s="52">
        <v>46050.331944444442</v>
      </c>
      <c r="G1482" s="53">
        <f>F1482-E1482</f>
        <v>0.36666666666133096</v>
      </c>
      <c r="H1482" s="1" t="s">
        <v>257</v>
      </c>
      <c r="J1482" s="1" t="s">
        <v>258</v>
      </c>
      <c r="K1482" s="1" t="str">
        <f>_xlfn.XLOOKUP(J1482,REF!$D$2:$D$12,REF!$E$2:$E$12)</f>
        <v>Rede</v>
      </c>
      <c r="L1482" s="1" t="s">
        <v>630</v>
      </c>
      <c r="M1482" s="1" t="s">
        <v>260</v>
      </c>
      <c r="N1482" s="1" t="s">
        <v>261</v>
      </c>
      <c r="O1482" s="1" t="s">
        <v>607</v>
      </c>
      <c r="P1482" s="1" t="str">
        <f>_xlfn.CONCAT(B1482,C1482,D1482,E1482,F1482)</f>
        <v>BC Caiaponia2.2215KTL-H3(MBUS-13)46049,965277777846049,965277777846050,3319444444</v>
      </c>
      <c r="Q1482" s="1" t="str">
        <f t="shared" si="45"/>
        <v>DAURDE</v>
      </c>
    </row>
    <row r="1483" spans="2:17">
      <c r="B1483" s="1" t="s">
        <v>583</v>
      </c>
      <c r="C1483" s="1" t="s">
        <v>382</v>
      </c>
      <c r="D1483" s="52">
        <v>46049.965277777781</v>
      </c>
      <c r="E1483" s="52">
        <v>46049.965277777781</v>
      </c>
      <c r="F1483" s="52">
        <v>46050.331944444442</v>
      </c>
      <c r="G1483" s="53">
        <f>F1483-E1483</f>
        <v>0.36666666666133096</v>
      </c>
      <c r="H1483" s="1" t="s">
        <v>257</v>
      </c>
      <c r="J1483" s="1" t="s">
        <v>258</v>
      </c>
      <c r="K1483" s="1" t="str">
        <f>_xlfn.XLOOKUP(J1483,REF!$D$2:$D$12,REF!$E$2:$E$12)</f>
        <v>Rede</v>
      </c>
      <c r="L1483" s="1" t="s">
        <v>630</v>
      </c>
      <c r="M1483" s="1" t="s">
        <v>260</v>
      </c>
      <c r="N1483" s="1" t="s">
        <v>261</v>
      </c>
      <c r="O1483" s="1" t="s">
        <v>607</v>
      </c>
      <c r="P1483" s="1" t="str">
        <f>_xlfn.CONCAT(B1483,C1483,D1483,E1483,F1483)</f>
        <v>BC Caiaponia2.2215KTL-H3(MBUS-14)46049,965277777846049,965277777846050,3319444444</v>
      </c>
      <c r="Q1483" s="1" t="str">
        <f t="shared" si="45"/>
        <v>DAURDE</v>
      </c>
    </row>
    <row r="1484" spans="2:17">
      <c r="B1484" s="1" t="s">
        <v>583</v>
      </c>
      <c r="C1484" s="1" t="s">
        <v>380</v>
      </c>
      <c r="D1484" s="52">
        <v>46049.965277777781</v>
      </c>
      <c r="E1484" s="52">
        <v>46049.965277777781</v>
      </c>
      <c r="F1484" s="52">
        <v>46050.331944444442</v>
      </c>
      <c r="G1484" s="53">
        <f>F1484-E1484</f>
        <v>0.36666666666133096</v>
      </c>
      <c r="H1484" s="1" t="s">
        <v>257</v>
      </c>
      <c r="J1484" s="1" t="s">
        <v>258</v>
      </c>
      <c r="K1484" s="1" t="str">
        <f>_xlfn.XLOOKUP(J1484,REF!$D$2:$D$12,REF!$E$2:$E$12)</f>
        <v>Rede</v>
      </c>
      <c r="L1484" s="1" t="s">
        <v>630</v>
      </c>
      <c r="M1484" s="1" t="s">
        <v>260</v>
      </c>
      <c r="N1484" s="1" t="s">
        <v>261</v>
      </c>
      <c r="O1484" s="1" t="s">
        <v>607</v>
      </c>
      <c r="P1484" s="1" t="str">
        <f>_xlfn.CONCAT(B1484,C1484,D1484,E1484,F1484)</f>
        <v>BC Caiaponia2.2215KTL-H3(MBUS-15)46049,965277777846049,965277777846050,3319444444</v>
      </c>
      <c r="Q1484" s="1" t="str">
        <f t="shared" si="45"/>
        <v>DAURDE</v>
      </c>
    </row>
    <row r="1485" spans="2:17">
      <c r="B1485" s="1" t="s">
        <v>583</v>
      </c>
      <c r="C1485" s="1" t="s">
        <v>379</v>
      </c>
      <c r="D1485" s="52">
        <v>46049.965277777781</v>
      </c>
      <c r="E1485" s="52">
        <v>46049.965277777781</v>
      </c>
      <c r="F1485" s="52">
        <v>46050.331944444442</v>
      </c>
      <c r="G1485" s="53">
        <f>F1485-E1485</f>
        <v>0.36666666666133096</v>
      </c>
      <c r="H1485" s="1" t="s">
        <v>257</v>
      </c>
      <c r="J1485" s="1" t="s">
        <v>258</v>
      </c>
      <c r="K1485" s="1" t="str">
        <f>_xlfn.XLOOKUP(J1485,REF!$D$2:$D$12,REF!$E$2:$E$12)</f>
        <v>Rede</v>
      </c>
      <c r="L1485" s="1" t="s">
        <v>630</v>
      </c>
      <c r="M1485" s="1" t="s">
        <v>260</v>
      </c>
      <c r="N1485" s="1" t="s">
        <v>261</v>
      </c>
      <c r="O1485" s="1" t="s">
        <v>607</v>
      </c>
      <c r="P1485" s="1" t="str">
        <f>_xlfn.CONCAT(B1485,C1485,D1485,E1485,F1485)</f>
        <v>BC Caiaponia2.2215KTL-H3(MBUS-16)46049,965277777846049,965277777846050,3319444444</v>
      </c>
      <c r="Q1485" s="1" t="str">
        <f t="shared" si="45"/>
        <v>DAURDE</v>
      </c>
    </row>
    <row r="1486" spans="2:17">
      <c r="B1486" s="1" t="s">
        <v>584</v>
      </c>
      <c r="C1486" s="1" t="s">
        <v>377</v>
      </c>
      <c r="D1486" s="52">
        <v>46049.965277777781</v>
      </c>
      <c r="E1486" s="52">
        <v>46049.965277777781</v>
      </c>
      <c r="F1486" s="52">
        <v>46050.331944444442</v>
      </c>
      <c r="G1486" s="53">
        <f>F1486-E1486</f>
        <v>0.36666666666133096</v>
      </c>
      <c r="H1486" s="1" t="s">
        <v>257</v>
      </c>
      <c r="J1486" s="1" t="s">
        <v>258</v>
      </c>
      <c r="K1486" s="1" t="str">
        <f>_xlfn.XLOOKUP(J1486,REF!$D$2:$D$12,REF!$E$2:$E$12)</f>
        <v>Rede</v>
      </c>
      <c r="L1486" s="1" t="s">
        <v>630</v>
      </c>
      <c r="M1486" s="1" t="s">
        <v>260</v>
      </c>
      <c r="N1486" s="1" t="s">
        <v>261</v>
      </c>
      <c r="O1486" s="1" t="s">
        <v>607</v>
      </c>
      <c r="P1486" s="1" t="str">
        <f>_xlfn.CONCAT(B1486,C1486,D1486,E1486,F1486)</f>
        <v>BC Caiaponia2.3215KTL-H3(MBUS-12)46049,965277777846049,965277777846050,3319444444</v>
      </c>
      <c r="Q1486" s="1" t="str">
        <f t="shared" si="45"/>
        <v>DAURDE</v>
      </c>
    </row>
    <row r="1487" spans="2:17">
      <c r="B1487" s="1" t="s">
        <v>584</v>
      </c>
      <c r="C1487" s="1" t="s">
        <v>378</v>
      </c>
      <c r="D1487" s="52">
        <v>46049.965277777781</v>
      </c>
      <c r="E1487" s="52">
        <v>46049.965277777781</v>
      </c>
      <c r="F1487" s="52">
        <v>46050.331944444442</v>
      </c>
      <c r="G1487" s="53">
        <f>F1487-E1487</f>
        <v>0.36666666666133096</v>
      </c>
      <c r="H1487" s="1" t="s">
        <v>257</v>
      </c>
      <c r="J1487" s="1" t="s">
        <v>258</v>
      </c>
      <c r="K1487" s="1" t="str">
        <f>_xlfn.XLOOKUP(J1487,REF!$D$2:$D$12,REF!$E$2:$E$12)</f>
        <v>Rede</v>
      </c>
      <c r="L1487" s="1" t="s">
        <v>630</v>
      </c>
      <c r="M1487" s="1" t="s">
        <v>260</v>
      </c>
      <c r="N1487" s="1" t="s">
        <v>261</v>
      </c>
      <c r="O1487" s="1" t="s">
        <v>607</v>
      </c>
      <c r="P1487" s="1" t="str">
        <f>_xlfn.CONCAT(B1487,C1487,D1487,E1487,F1487)</f>
        <v>BC Caiaponia2.3215KTL-H3(MBUS-13)46049,965277777846049,965277777846050,3319444444</v>
      </c>
      <c r="Q1487" s="1" t="str">
        <f t="shared" si="45"/>
        <v>DAURDE</v>
      </c>
    </row>
    <row r="1488" spans="2:17">
      <c r="B1488" s="1" t="s">
        <v>584</v>
      </c>
      <c r="C1488" s="1" t="s">
        <v>382</v>
      </c>
      <c r="D1488" s="52">
        <v>46049.965277777781</v>
      </c>
      <c r="E1488" s="52">
        <v>46049.965277777781</v>
      </c>
      <c r="F1488" s="52">
        <v>46050.331944444442</v>
      </c>
      <c r="G1488" s="53">
        <f>F1488-E1488</f>
        <v>0.36666666666133096</v>
      </c>
      <c r="H1488" s="1" t="s">
        <v>257</v>
      </c>
      <c r="J1488" s="1" t="s">
        <v>258</v>
      </c>
      <c r="K1488" s="1" t="str">
        <f>_xlfn.XLOOKUP(J1488,REF!$D$2:$D$12,REF!$E$2:$E$12)</f>
        <v>Rede</v>
      </c>
      <c r="L1488" s="1" t="s">
        <v>630</v>
      </c>
      <c r="M1488" s="1" t="s">
        <v>260</v>
      </c>
      <c r="N1488" s="1" t="s">
        <v>261</v>
      </c>
      <c r="O1488" s="1" t="s">
        <v>607</v>
      </c>
      <c r="P1488" s="1" t="str">
        <f>_xlfn.CONCAT(B1488,C1488,D1488,E1488,F1488)</f>
        <v>BC Caiaponia2.3215KTL-H3(MBUS-14)46049,965277777846049,965277777846050,3319444444</v>
      </c>
      <c r="Q1488" s="1" t="str">
        <f t="shared" si="45"/>
        <v>DAURDE</v>
      </c>
    </row>
    <row r="1489" spans="2:17">
      <c r="B1489" s="1" t="s">
        <v>584</v>
      </c>
      <c r="C1489" s="1" t="s">
        <v>380</v>
      </c>
      <c r="D1489" s="52">
        <v>46049.965277777781</v>
      </c>
      <c r="E1489" s="52">
        <v>46049.965277777781</v>
      </c>
      <c r="F1489" s="52">
        <v>46050.331944444442</v>
      </c>
      <c r="G1489" s="53">
        <f>F1489-E1489</f>
        <v>0.36666666666133096</v>
      </c>
      <c r="H1489" s="1" t="s">
        <v>257</v>
      </c>
      <c r="J1489" s="1" t="s">
        <v>258</v>
      </c>
      <c r="K1489" s="1" t="str">
        <f>_xlfn.XLOOKUP(J1489,REF!$D$2:$D$12,REF!$E$2:$E$12)</f>
        <v>Rede</v>
      </c>
      <c r="L1489" s="1" t="s">
        <v>630</v>
      </c>
      <c r="M1489" s="1" t="s">
        <v>260</v>
      </c>
      <c r="N1489" s="1" t="s">
        <v>261</v>
      </c>
      <c r="O1489" s="1" t="s">
        <v>607</v>
      </c>
      <c r="P1489" s="1" t="str">
        <f>_xlfn.CONCAT(B1489,C1489,D1489,E1489,F1489)</f>
        <v>BC Caiaponia2.3215KTL-H3(MBUS-15)46049,965277777846049,965277777846050,3319444444</v>
      </c>
      <c r="Q1489" s="1" t="str">
        <f t="shared" si="45"/>
        <v>DAURDE</v>
      </c>
    </row>
    <row r="1490" spans="2:17">
      <c r="B1490" s="1" t="s">
        <v>584</v>
      </c>
      <c r="C1490" s="1" t="s">
        <v>379</v>
      </c>
      <c r="D1490" s="52">
        <v>46049.965277777781</v>
      </c>
      <c r="E1490" s="52">
        <v>46049.965277777781</v>
      </c>
      <c r="F1490" s="52">
        <v>46050.331944444442</v>
      </c>
      <c r="G1490" s="53">
        <f>F1490-E1490</f>
        <v>0.36666666666133096</v>
      </c>
      <c r="H1490" s="1" t="s">
        <v>257</v>
      </c>
      <c r="J1490" s="1" t="s">
        <v>258</v>
      </c>
      <c r="K1490" s="1" t="str">
        <f>_xlfn.XLOOKUP(J1490,REF!$D$2:$D$12,REF!$E$2:$E$12)</f>
        <v>Rede</v>
      </c>
      <c r="L1490" s="1" t="s">
        <v>630</v>
      </c>
      <c r="M1490" s="1" t="s">
        <v>260</v>
      </c>
      <c r="N1490" s="1" t="s">
        <v>261</v>
      </c>
      <c r="O1490" s="1" t="s">
        <v>607</v>
      </c>
      <c r="P1490" s="1" t="str">
        <f>_xlfn.CONCAT(B1490,C1490,D1490,E1490,F1490)</f>
        <v>BC Caiaponia2.3215KTL-H3(MBUS-16)46049,965277777846049,965277777846050,3319444444</v>
      </c>
      <c r="Q1490" s="1" t="str">
        <f t="shared" si="45"/>
        <v>DAURDE</v>
      </c>
    </row>
    <row r="1491" spans="2:17">
      <c r="B1491" s="1" t="s">
        <v>286</v>
      </c>
      <c r="C1491" s="1" t="s">
        <v>287</v>
      </c>
      <c r="D1491" s="52">
        <v>46050.3125</v>
      </c>
      <c r="E1491" s="52">
        <v>46050.3125</v>
      </c>
      <c r="F1491" s="52">
        <v>46050.313194444447</v>
      </c>
      <c r="G1491" s="53">
        <f>F1491-E1491</f>
        <v>6.944444467080757E-4</v>
      </c>
      <c r="H1491" s="1" t="s">
        <v>268</v>
      </c>
      <c r="I1491" s="1" t="s">
        <v>269</v>
      </c>
      <c r="J1491" s="1" t="s">
        <v>319</v>
      </c>
      <c r="K1491" s="1" t="str">
        <f>_xlfn.XLOOKUP(J1491,REF!$D$2:$D$12,REF!$E$2:$E$12)</f>
        <v>Comunicação</v>
      </c>
      <c r="L1491" s="1" t="s">
        <v>604</v>
      </c>
      <c r="M1491" s="1" t="s">
        <v>289</v>
      </c>
      <c r="N1491" s="1" t="s">
        <v>631</v>
      </c>
      <c r="O1491" s="1" t="s">
        <v>631</v>
      </c>
      <c r="P1491" s="1" t="str">
        <f>_xlfn.CONCAT(B1491,C1491,D1491,E1491,F1491)</f>
        <v>BC Corumba2.2U02.I0146050,312546050,312546050,3131944444</v>
      </c>
      <c r="Q1491" s="1" t="str">
        <f t="shared" ref="Q1491:Q1554" si="46">_xlfn.CONCAT(H1491,I1491,J1491)</f>
        <v>LIGRFOCOM</v>
      </c>
    </row>
    <row r="1492" spans="2:17">
      <c r="B1492" s="1" t="s">
        <v>286</v>
      </c>
      <c r="C1492" s="1" t="s">
        <v>292</v>
      </c>
      <c r="D1492" s="52">
        <v>46050.3125</v>
      </c>
      <c r="E1492" s="52">
        <v>46050.3125</v>
      </c>
      <c r="F1492" s="52">
        <v>46050.313194444447</v>
      </c>
      <c r="G1492" s="53">
        <f>F1492-E1492</f>
        <v>6.944444467080757E-4</v>
      </c>
      <c r="H1492" s="1" t="s">
        <v>268</v>
      </c>
      <c r="I1492" s="1" t="s">
        <v>269</v>
      </c>
      <c r="J1492" s="1" t="s">
        <v>319</v>
      </c>
      <c r="K1492" s="1" t="str">
        <f>_xlfn.XLOOKUP(J1492,REF!$D$2:$D$12,REF!$E$2:$E$12)</f>
        <v>Comunicação</v>
      </c>
      <c r="L1492" s="1" t="s">
        <v>604</v>
      </c>
      <c r="M1492" s="1" t="s">
        <v>289</v>
      </c>
      <c r="N1492" s="1" t="s">
        <v>631</v>
      </c>
      <c r="O1492" s="1" t="s">
        <v>631</v>
      </c>
      <c r="P1492" s="1" t="str">
        <f>_xlfn.CONCAT(B1492,C1492,D1492,E1492,F1492)</f>
        <v>BC Corumba2.2U02.I0246050,312546050,312546050,3131944444</v>
      </c>
      <c r="Q1492" s="1" t="str">
        <f t="shared" si="46"/>
        <v>LIGRFOCOM</v>
      </c>
    </row>
    <row r="1493" spans="2:17">
      <c r="B1493" s="1" t="s">
        <v>286</v>
      </c>
      <c r="C1493" s="1" t="s">
        <v>293</v>
      </c>
      <c r="D1493" s="52">
        <v>46050.3125</v>
      </c>
      <c r="E1493" s="52">
        <v>46050.3125</v>
      </c>
      <c r="F1493" s="52">
        <v>46050.313194444447</v>
      </c>
      <c r="G1493" s="53">
        <f>F1493-E1493</f>
        <v>6.944444467080757E-4</v>
      </c>
      <c r="H1493" s="1" t="s">
        <v>268</v>
      </c>
      <c r="I1493" s="1" t="s">
        <v>269</v>
      </c>
      <c r="J1493" s="1" t="s">
        <v>319</v>
      </c>
      <c r="K1493" s="1" t="str">
        <f>_xlfn.XLOOKUP(J1493,REF!$D$2:$D$12,REF!$E$2:$E$12)</f>
        <v>Comunicação</v>
      </c>
      <c r="L1493" s="1" t="s">
        <v>604</v>
      </c>
      <c r="M1493" s="1" t="s">
        <v>289</v>
      </c>
      <c r="N1493" s="1" t="s">
        <v>631</v>
      </c>
      <c r="O1493" s="1" t="s">
        <v>631</v>
      </c>
      <c r="P1493" s="1" t="str">
        <f>_xlfn.CONCAT(B1493,C1493,D1493,E1493,F1493)</f>
        <v>BC Corumba2.2U02.I0346050,312546050,312546050,3131944444</v>
      </c>
      <c r="Q1493" s="1" t="str">
        <f t="shared" si="46"/>
        <v>LIGRFOCOM</v>
      </c>
    </row>
    <row r="1494" spans="2:17">
      <c r="B1494" s="1" t="s">
        <v>286</v>
      </c>
      <c r="C1494" s="1" t="s">
        <v>294</v>
      </c>
      <c r="D1494" s="52">
        <v>46050.3125</v>
      </c>
      <c r="E1494" s="52">
        <v>46050.3125</v>
      </c>
      <c r="F1494" s="52">
        <v>46050.313194444447</v>
      </c>
      <c r="G1494" s="53">
        <f>F1494-E1494</f>
        <v>6.944444467080757E-4</v>
      </c>
      <c r="H1494" s="1" t="s">
        <v>268</v>
      </c>
      <c r="I1494" s="1" t="s">
        <v>269</v>
      </c>
      <c r="J1494" s="1" t="s">
        <v>319</v>
      </c>
      <c r="K1494" s="1" t="str">
        <f>_xlfn.XLOOKUP(J1494,REF!$D$2:$D$12,REF!$E$2:$E$12)</f>
        <v>Comunicação</v>
      </c>
      <c r="L1494" s="1" t="s">
        <v>604</v>
      </c>
      <c r="M1494" s="1" t="s">
        <v>289</v>
      </c>
      <c r="N1494" s="1" t="s">
        <v>631</v>
      </c>
      <c r="O1494" s="1" t="s">
        <v>631</v>
      </c>
      <c r="P1494" s="1" t="str">
        <f>_xlfn.CONCAT(B1494,C1494,D1494,E1494,F1494)</f>
        <v>BC Corumba2.2U02.I0446050,312546050,312546050,3131944444</v>
      </c>
      <c r="Q1494" s="1" t="str">
        <f t="shared" si="46"/>
        <v>LIGRFOCOM</v>
      </c>
    </row>
    <row r="1495" spans="2:17">
      <c r="B1495" s="1" t="s">
        <v>286</v>
      </c>
      <c r="C1495" s="1" t="s">
        <v>295</v>
      </c>
      <c r="D1495" s="52">
        <v>46050.3125</v>
      </c>
      <c r="E1495" s="52">
        <v>46050.3125</v>
      </c>
      <c r="F1495" s="52">
        <v>46050.313194444447</v>
      </c>
      <c r="G1495" s="53">
        <f>F1495-E1495</f>
        <v>6.944444467080757E-4</v>
      </c>
      <c r="H1495" s="1" t="s">
        <v>268</v>
      </c>
      <c r="I1495" s="1" t="s">
        <v>269</v>
      </c>
      <c r="J1495" s="1" t="s">
        <v>319</v>
      </c>
      <c r="K1495" s="1" t="str">
        <f>_xlfn.XLOOKUP(J1495,REF!$D$2:$D$12,REF!$E$2:$E$12)</f>
        <v>Comunicação</v>
      </c>
      <c r="L1495" s="1" t="s">
        <v>604</v>
      </c>
      <c r="M1495" s="1" t="s">
        <v>289</v>
      </c>
      <c r="N1495" s="1" t="s">
        <v>631</v>
      </c>
      <c r="O1495" s="1" t="s">
        <v>631</v>
      </c>
      <c r="P1495" s="1" t="str">
        <f>_xlfn.CONCAT(B1495,C1495,D1495,E1495,F1495)</f>
        <v>BC Corumba2.2U02.I0546050,312546050,312546050,3131944444</v>
      </c>
      <c r="Q1495" s="1" t="str">
        <f t="shared" si="46"/>
        <v>LIGRFOCOM</v>
      </c>
    </row>
    <row r="1496" spans="2:17">
      <c r="B1496" s="1" t="s">
        <v>328</v>
      </c>
      <c r="C1496" s="1" t="s">
        <v>247</v>
      </c>
      <c r="D1496" s="52">
        <v>46050.361111111109</v>
      </c>
      <c r="E1496" s="52">
        <v>46050.361111111109</v>
      </c>
      <c r="F1496" s="52">
        <v>46053.999988425923</v>
      </c>
      <c r="G1496" s="53">
        <f>F1496-E1496</f>
        <v>3.6388773148137261</v>
      </c>
      <c r="H1496" s="1" t="s">
        <v>268</v>
      </c>
      <c r="I1496" s="1" t="s">
        <v>269</v>
      </c>
      <c r="J1496" s="1" t="s">
        <v>319</v>
      </c>
      <c r="K1496" s="1" t="str">
        <f>_xlfn.XLOOKUP(J1496,REF!$D$2:$D$12,REF!$E$2:$E$12)</f>
        <v>Comunicação</v>
      </c>
      <c r="L1496" s="1" t="s">
        <v>604</v>
      </c>
      <c r="M1496" s="1" t="s">
        <v>289</v>
      </c>
      <c r="N1496" s="1" t="s">
        <v>631</v>
      </c>
      <c r="O1496" s="1" t="s">
        <v>631</v>
      </c>
      <c r="P1496" s="1" t="str">
        <f>_xlfn.CONCAT(B1496,C1496,D1496,E1496,F1496)</f>
        <v>BC Aracu5.3Inverter(MBUS-1)46050,361111111146050,361111111146053,9999884259</v>
      </c>
      <c r="Q1496" s="1" t="str">
        <f t="shared" si="46"/>
        <v>LIGRFOCOM</v>
      </c>
    </row>
    <row r="1497" spans="2:17">
      <c r="B1497" s="1" t="s">
        <v>327</v>
      </c>
      <c r="C1497" s="1" t="s">
        <v>247</v>
      </c>
      <c r="D1497" s="52">
        <v>46050.950694444444</v>
      </c>
      <c r="E1497" s="52">
        <v>46050.950694444444</v>
      </c>
      <c r="F1497" s="52">
        <v>46051.309027777781</v>
      </c>
      <c r="G1497" s="53">
        <f>F1497-E1497</f>
        <v>0.35833333333721384</v>
      </c>
      <c r="H1497" s="1" t="s">
        <v>257</v>
      </c>
      <c r="J1497" s="1" t="s">
        <v>258</v>
      </c>
      <c r="K1497" s="1" t="str">
        <f>_xlfn.XLOOKUP(J1497,REF!$D$2:$D$12,REF!$E$2:$E$12)</f>
        <v>Rede</v>
      </c>
      <c r="L1497" s="1" t="s">
        <v>541</v>
      </c>
      <c r="M1497" s="1" t="s">
        <v>260</v>
      </c>
      <c r="N1497" s="1" t="s">
        <v>357</v>
      </c>
      <c r="O1497" s="1" t="s">
        <v>632</v>
      </c>
      <c r="P1497" s="1" t="str">
        <f>_xlfn.CONCAT(B1497,C1497,D1497,E1497,F1497)</f>
        <v>BC Aracu5.1Inverter(MBUS-1)46050,950694444446050,950694444446051,3090277778</v>
      </c>
      <c r="Q1497" s="1" t="str">
        <f t="shared" si="46"/>
        <v>DAURDE</v>
      </c>
    </row>
    <row r="1498" spans="2:17">
      <c r="B1498" s="1" t="s">
        <v>328</v>
      </c>
      <c r="C1498" s="1" t="s">
        <v>247</v>
      </c>
      <c r="D1498" s="52">
        <v>46050.950694444444</v>
      </c>
      <c r="E1498" s="52">
        <v>46050.950694444444</v>
      </c>
      <c r="F1498" s="52">
        <v>46051.309027777781</v>
      </c>
      <c r="G1498" s="53">
        <f>F1498-E1498</f>
        <v>0.35833333333721384</v>
      </c>
      <c r="H1498" s="1" t="s">
        <v>257</v>
      </c>
      <c r="J1498" s="1" t="s">
        <v>258</v>
      </c>
      <c r="K1498" s="1" t="str">
        <f>_xlfn.XLOOKUP(J1498,REF!$D$2:$D$12,REF!$E$2:$E$12)</f>
        <v>Rede</v>
      </c>
      <c r="L1498" s="1" t="s">
        <v>541</v>
      </c>
      <c r="M1498" s="1" t="s">
        <v>260</v>
      </c>
      <c r="N1498" s="1" t="s">
        <v>357</v>
      </c>
      <c r="O1498" s="1" t="s">
        <v>632</v>
      </c>
      <c r="P1498" s="1" t="str">
        <f>_xlfn.CONCAT(B1498,C1498,D1498,E1498,F1498)</f>
        <v>BC Aracu5.3Inverter(MBUS-1)46050,950694444446050,950694444446051,3090277778</v>
      </c>
      <c r="Q1498" s="1" t="str">
        <f t="shared" si="46"/>
        <v>DAURDE</v>
      </c>
    </row>
    <row r="1499" spans="2:17">
      <c r="B1499" s="1" t="s">
        <v>329</v>
      </c>
      <c r="C1499" s="1" t="s">
        <v>247</v>
      </c>
      <c r="D1499" s="52">
        <v>46050.950694444444</v>
      </c>
      <c r="E1499" s="52">
        <v>46050.950694444444</v>
      </c>
      <c r="F1499" s="52">
        <v>46051.309027777781</v>
      </c>
      <c r="G1499" s="53">
        <f>F1499-E1499</f>
        <v>0.35833333333721384</v>
      </c>
      <c r="H1499" s="1" t="s">
        <v>257</v>
      </c>
      <c r="J1499" s="1" t="s">
        <v>258</v>
      </c>
      <c r="K1499" s="1" t="str">
        <f>_xlfn.XLOOKUP(J1499,REF!$D$2:$D$12,REF!$E$2:$E$12)</f>
        <v>Rede</v>
      </c>
      <c r="L1499" s="1" t="s">
        <v>541</v>
      </c>
      <c r="M1499" s="1" t="s">
        <v>260</v>
      </c>
      <c r="N1499" s="1" t="s">
        <v>357</v>
      </c>
      <c r="O1499" s="1" t="s">
        <v>632</v>
      </c>
      <c r="P1499" s="1" t="str">
        <f>_xlfn.CONCAT(B1499,C1499,D1499,E1499,F1499)</f>
        <v>BC Aracu5.4Inverter(MBUS-1)46050,950694444446050,950694444446051,3090277778</v>
      </c>
      <c r="Q1499" s="1" t="str">
        <f t="shared" si="46"/>
        <v>DAURDE</v>
      </c>
    </row>
    <row r="1500" spans="2:17">
      <c r="B1500" s="1" t="s">
        <v>330</v>
      </c>
      <c r="C1500" s="1" t="s">
        <v>247</v>
      </c>
      <c r="D1500" s="52">
        <v>46050.950694444444</v>
      </c>
      <c r="E1500" s="52">
        <v>46050.950694444444</v>
      </c>
      <c r="F1500" s="52">
        <v>46051.309027777781</v>
      </c>
      <c r="G1500" s="53">
        <f>F1500-E1500</f>
        <v>0.35833333333721384</v>
      </c>
      <c r="H1500" s="1" t="s">
        <v>257</v>
      </c>
      <c r="J1500" s="1" t="s">
        <v>258</v>
      </c>
      <c r="K1500" s="1" t="str">
        <f>_xlfn.XLOOKUP(J1500,REF!$D$2:$D$12,REF!$E$2:$E$12)</f>
        <v>Rede</v>
      </c>
      <c r="L1500" s="1" t="s">
        <v>541</v>
      </c>
      <c r="M1500" s="1" t="s">
        <v>260</v>
      </c>
      <c r="N1500" s="1" t="s">
        <v>357</v>
      </c>
      <c r="O1500" s="1" t="s">
        <v>632</v>
      </c>
      <c r="P1500" s="1" t="str">
        <f>_xlfn.CONCAT(B1500,C1500,D1500,E1500,F1500)</f>
        <v>BC Aracu5.5Inverter(MBUS-1)46050,950694444446050,950694444446051,3090277778</v>
      </c>
      <c r="Q1500" s="1" t="str">
        <f t="shared" si="46"/>
        <v>DAURDE</v>
      </c>
    </row>
    <row r="1501" spans="2:17">
      <c r="B1501" s="1" t="s">
        <v>286</v>
      </c>
      <c r="C1501" s="1" t="s">
        <v>287</v>
      </c>
      <c r="D1501" s="52">
        <v>46051.46875</v>
      </c>
      <c r="E1501" s="52">
        <v>46051.46875</v>
      </c>
      <c r="F1501" s="52">
        <v>46051.470138888886</v>
      </c>
      <c r="G1501" s="53">
        <f>F1501-E1501</f>
        <v>1.3888888861401938E-3</v>
      </c>
      <c r="H1501" s="1" t="s">
        <v>268</v>
      </c>
      <c r="I1501" s="1" t="s">
        <v>269</v>
      </c>
      <c r="J1501" s="1" t="s">
        <v>319</v>
      </c>
      <c r="K1501" s="1" t="str">
        <f>_xlfn.XLOOKUP(J1501,REF!$D$2:$D$12,REF!$E$2:$E$12)</f>
        <v>Comunicação</v>
      </c>
      <c r="L1501" s="1" t="s">
        <v>604</v>
      </c>
      <c r="M1501" s="1" t="s">
        <v>289</v>
      </c>
      <c r="N1501" s="1" t="s">
        <v>631</v>
      </c>
      <c r="O1501" s="1" t="s">
        <v>631</v>
      </c>
      <c r="P1501" s="1" t="str">
        <f>_xlfn.CONCAT(B1501,C1501,D1501,E1501,F1501)</f>
        <v>BC Corumba2.2U02.I0146051,4687546051,4687546051,4701388889</v>
      </c>
      <c r="Q1501" s="1" t="str">
        <f t="shared" si="46"/>
        <v>LIGRFOCOM</v>
      </c>
    </row>
    <row r="1502" spans="2:17">
      <c r="B1502" s="1" t="s">
        <v>286</v>
      </c>
      <c r="C1502" s="1" t="s">
        <v>292</v>
      </c>
      <c r="D1502" s="52">
        <v>46051.46875</v>
      </c>
      <c r="E1502" s="52">
        <v>46051.46875</v>
      </c>
      <c r="F1502" s="52">
        <v>46051.470138888886</v>
      </c>
      <c r="G1502" s="53">
        <f>F1502-E1502</f>
        <v>1.3888888861401938E-3</v>
      </c>
      <c r="H1502" s="1" t="s">
        <v>268</v>
      </c>
      <c r="I1502" s="1" t="s">
        <v>269</v>
      </c>
      <c r="J1502" s="1" t="s">
        <v>319</v>
      </c>
      <c r="K1502" s="1" t="str">
        <f>_xlfn.XLOOKUP(J1502,REF!$D$2:$D$12,REF!$E$2:$E$12)</f>
        <v>Comunicação</v>
      </c>
      <c r="L1502" s="1" t="s">
        <v>604</v>
      </c>
      <c r="M1502" s="1" t="s">
        <v>289</v>
      </c>
      <c r="N1502" s="1" t="s">
        <v>631</v>
      </c>
      <c r="O1502" s="1" t="s">
        <v>631</v>
      </c>
      <c r="P1502" s="1" t="str">
        <f>_xlfn.CONCAT(B1502,C1502,D1502,E1502,F1502)</f>
        <v>BC Corumba2.2U02.I0246051,4687546051,4687546051,4701388889</v>
      </c>
      <c r="Q1502" s="1" t="str">
        <f t="shared" si="46"/>
        <v>LIGRFOCOM</v>
      </c>
    </row>
    <row r="1503" spans="2:17">
      <c r="B1503" s="1" t="s">
        <v>286</v>
      </c>
      <c r="C1503" s="1" t="s">
        <v>293</v>
      </c>
      <c r="D1503" s="52">
        <v>46051.46875</v>
      </c>
      <c r="E1503" s="52">
        <v>46051.46875</v>
      </c>
      <c r="F1503" s="52">
        <v>46051.470138888886</v>
      </c>
      <c r="G1503" s="53">
        <f>F1503-E1503</f>
        <v>1.3888888861401938E-3</v>
      </c>
      <c r="H1503" s="1" t="s">
        <v>268</v>
      </c>
      <c r="I1503" s="1" t="s">
        <v>269</v>
      </c>
      <c r="J1503" s="1" t="s">
        <v>319</v>
      </c>
      <c r="K1503" s="1" t="str">
        <f>_xlfn.XLOOKUP(J1503,REF!$D$2:$D$12,REF!$E$2:$E$12)</f>
        <v>Comunicação</v>
      </c>
      <c r="L1503" s="1" t="s">
        <v>604</v>
      </c>
      <c r="M1503" s="1" t="s">
        <v>289</v>
      </c>
      <c r="N1503" s="1" t="s">
        <v>631</v>
      </c>
      <c r="O1503" s="1" t="s">
        <v>631</v>
      </c>
      <c r="P1503" s="1" t="str">
        <f>_xlfn.CONCAT(B1503,C1503,D1503,E1503,F1503)</f>
        <v>BC Corumba2.2U02.I0346051,4687546051,4687546051,4701388889</v>
      </c>
      <c r="Q1503" s="1" t="str">
        <f t="shared" si="46"/>
        <v>LIGRFOCOM</v>
      </c>
    </row>
    <row r="1504" spans="2:17">
      <c r="B1504" s="1" t="s">
        <v>286</v>
      </c>
      <c r="C1504" s="1" t="s">
        <v>294</v>
      </c>
      <c r="D1504" s="52">
        <v>46051.46875</v>
      </c>
      <c r="E1504" s="52">
        <v>46051.46875</v>
      </c>
      <c r="F1504" s="52">
        <v>46051.470138888886</v>
      </c>
      <c r="G1504" s="53">
        <f>F1504-E1504</f>
        <v>1.3888888861401938E-3</v>
      </c>
      <c r="H1504" s="1" t="s">
        <v>268</v>
      </c>
      <c r="I1504" s="1" t="s">
        <v>269</v>
      </c>
      <c r="J1504" s="1" t="s">
        <v>319</v>
      </c>
      <c r="K1504" s="1" t="str">
        <f>_xlfn.XLOOKUP(J1504,REF!$D$2:$D$12,REF!$E$2:$E$12)</f>
        <v>Comunicação</v>
      </c>
      <c r="L1504" s="1" t="s">
        <v>604</v>
      </c>
      <c r="M1504" s="1" t="s">
        <v>289</v>
      </c>
      <c r="N1504" s="1" t="s">
        <v>631</v>
      </c>
      <c r="O1504" s="1" t="s">
        <v>631</v>
      </c>
      <c r="P1504" s="1" t="str">
        <f>_xlfn.CONCAT(B1504,C1504,D1504,E1504,F1504)</f>
        <v>BC Corumba2.2U02.I0446051,4687546051,4687546051,4701388889</v>
      </c>
      <c r="Q1504" s="1" t="str">
        <f t="shared" si="46"/>
        <v>LIGRFOCOM</v>
      </c>
    </row>
    <row r="1505" spans="2:17">
      <c r="B1505" s="1" t="s">
        <v>286</v>
      </c>
      <c r="C1505" s="1" t="s">
        <v>295</v>
      </c>
      <c r="D1505" s="52">
        <v>46051.46875</v>
      </c>
      <c r="E1505" s="52">
        <v>46051.46875</v>
      </c>
      <c r="F1505" s="52">
        <v>46051.470138888886</v>
      </c>
      <c r="G1505" s="53">
        <f>F1505-E1505</f>
        <v>1.3888888861401938E-3</v>
      </c>
      <c r="H1505" s="1" t="s">
        <v>268</v>
      </c>
      <c r="I1505" s="1" t="s">
        <v>269</v>
      </c>
      <c r="J1505" s="1" t="s">
        <v>319</v>
      </c>
      <c r="K1505" s="1" t="str">
        <f>_xlfn.XLOOKUP(J1505,REF!$D$2:$D$12,REF!$E$2:$E$12)</f>
        <v>Comunicação</v>
      </c>
      <c r="L1505" s="1" t="s">
        <v>604</v>
      </c>
      <c r="M1505" s="1" t="s">
        <v>289</v>
      </c>
      <c r="N1505" s="1" t="s">
        <v>631</v>
      </c>
      <c r="O1505" s="1" t="s">
        <v>631</v>
      </c>
      <c r="P1505" s="1" t="str">
        <f>_xlfn.CONCAT(B1505,C1505,D1505,E1505,F1505)</f>
        <v>BC Corumba2.2U02.I0546051,4687546051,4687546051,4701388889</v>
      </c>
      <c r="Q1505" s="1" t="str">
        <f t="shared" si="46"/>
        <v>LIGRFOCOM</v>
      </c>
    </row>
    <row r="1506" spans="2:17">
      <c r="B1506" s="1" t="s">
        <v>327</v>
      </c>
      <c r="C1506" s="1" t="s">
        <v>247</v>
      </c>
      <c r="D1506" s="52">
        <v>46051.50277777778</v>
      </c>
      <c r="E1506" s="52">
        <v>46051.50277777778</v>
      </c>
      <c r="F1506" s="52">
        <v>46051.512499999997</v>
      </c>
      <c r="G1506" s="53">
        <f>F1506-E1506</f>
        <v>9.7222222175332718E-3</v>
      </c>
      <c r="H1506" s="1" t="s">
        <v>257</v>
      </c>
      <c r="J1506" s="1" t="s">
        <v>258</v>
      </c>
      <c r="K1506" s="1" t="str">
        <f>_xlfn.XLOOKUP(J1506,REF!$D$2:$D$12,REF!$E$2:$E$12)</f>
        <v>Rede</v>
      </c>
      <c r="L1506" s="1" t="s">
        <v>541</v>
      </c>
      <c r="M1506" s="1" t="s">
        <v>260</v>
      </c>
      <c r="N1506" s="1" t="s">
        <v>357</v>
      </c>
      <c r="O1506" s="1" t="s">
        <v>632</v>
      </c>
      <c r="P1506" s="1" t="str">
        <f>_xlfn.CONCAT(B1506,C1506,D1506,E1506,F1506)</f>
        <v>BC Aracu5.1Inverter(MBUS-1)46051,502777777846051,502777777846051,5125</v>
      </c>
      <c r="Q1506" s="1" t="str">
        <f t="shared" si="46"/>
        <v>DAURDE</v>
      </c>
    </row>
    <row r="1507" spans="2:17">
      <c r="B1507" s="1" t="s">
        <v>328</v>
      </c>
      <c r="C1507" s="1" t="s">
        <v>247</v>
      </c>
      <c r="D1507" s="52">
        <v>46051.50277777778</v>
      </c>
      <c r="E1507" s="52">
        <v>46051.50277777778</v>
      </c>
      <c r="F1507" s="52">
        <v>46051.512499999997</v>
      </c>
      <c r="G1507" s="53">
        <f>F1507-E1507</f>
        <v>9.7222222175332718E-3</v>
      </c>
      <c r="H1507" s="1" t="s">
        <v>257</v>
      </c>
      <c r="J1507" s="1" t="s">
        <v>258</v>
      </c>
      <c r="K1507" s="1" t="str">
        <f>_xlfn.XLOOKUP(J1507,REF!$D$2:$D$12,REF!$E$2:$E$12)</f>
        <v>Rede</v>
      </c>
      <c r="L1507" s="1" t="s">
        <v>541</v>
      </c>
      <c r="M1507" s="1" t="s">
        <v>260</v>
      </c>
      <c r="N1507" s="1" t="s">
        <v>357</v>
      </c>
      <c r="O1507" s="1" t="s">
        <v>632</v>
      </c>
      <c r="P1507" s="1" t="str">
        <f>_xlfn.CONCAT(B1507,C1507,D1507,E1507,F1507)</f>
        <v>BC Aracu5.3Inverter(MBUS-1)46051,502777777846051,502777777846051,5125</v>
      </c>
      <c r="Q1507" s="1" t="str">
        <f t="shared" si="46"/>
        <v>DAURDE</v>
      </c>
    </row>
    <row r="1508" spans="2:17">
      <c r="B1508" s="1" t="s">
        <v>329</v>
      </c>
      <c r="C1508" s="1" t="s">
        <v>247</v>
      </c>
      <c r="D1508" s="52">
        <v>46051.50277777778</v>
      </c>
      <c r="E1508" s="52">
        <v>46051.50277777778</v>
      </c>
      <c r="F1508" s="52">
        <v>46051.512499999997</v>
      </c>
      <c r="G1508" s="53">
        <f>F1508-E1508</f>
        <v>9.7222222175332718E-3</v>
      </c>
      <c r="H1508" s="1" t="s">
        <v>257</v>
      </c>
      <c r="J1508" s="1" t="s">
        <v>258</v>
      </c>
      <c r="K1508" s="1" t="str">
        <f>_xlfn.XLOOKUP(J1508,REF!$D$2:$D$12,REF!$E$2:$E$12)</f>
        <v>Rede</v>
      </c>
      <c r="L1508" s="1" t="s">
        <v>541</v>
      </c>
      <c r="M1508" s="1" t="s">
        <v>260</v>
      </c>
      <c r="N1508" s="1" t="s">
        <v>357</v>
      </c>
      <c r="O1508" s="1" t="s">
        <v>632</v>
      </c>
      <c r="P1508" s="1" t="str">
        <f>_xlfn.CONCAT(B1508,C1508,D1508,E1508,F1508)</f>
        <v>BC Aracu5.4Inverter(MBUS-1)46051,502777777846051,502777777846051,5125</v>
      </c>
      <c r="Q1508" s="1" t="str">
        <f t="shared" si="46"/>
        <v>DAURDE</v>
      </c>
    </row>
    <row r="1509" spans="2:17">
      <c r="B1509" s="1" t="s">
        <v>330</v>
      </c>
      <c r="C1509" s="1" t="s">
        <v>247</v>
      </c>
      <c r="D1509" s="52">
        <v>46051.50277777778</v>
      </c>
      <c r="E1509" s="52">
        <v>46051.50277777778</v>
      </c>
      <c r="F1509" s="52">
        <v>46051.512499999997</v>
      </c>
      <c r="G1509" s="53">
        <f>F1509-E1509</f>
        <v>9.7222222175332718E-3</v>
      </c>
      <c r="H1509" s="1" t="s">
        <v>257</v>
      </c>
      <c r="J1509" s="1" t="s">
        <v>258</v>
      </c>
      <c r="K1509" s="1" t="str">
        <f>_xlfn.XLOOKUP(J1509,REF!$D$2:$D$12,REF!$E$2:$E$12)</f>
        <v>Rede</v>
      </c>
      <c r="L1509" s="1" t="s">
        <v>541</v>
      </c>
      <c r="M1509" s="1" t="s">
        <v>260</v>
      </c>
      <c r="N1509" s="1" t="s">
        <v>357</v>
      </c>
      <c r="O1509" s="1" t="s">
        <v>632</v>
      </c>
      <c r="P1509" s="1" t="str">
        <f>_xlfn.CONCAT(B1509,C1509,D1509,E1509,F1509)</f>
        <v>BC Aracu5.5Inverter(MBUS-1)46051,502777777846051,502777777846051,5125</v>
      </c>
      <c r="Q1509" s="1" t="str">
        <f t="shared" si="46"/>
        <v>DAURDE</v>
      </c>
    </row>
    <row r="1510" spans="2:17">
      <c r="B1510" s="1" t="s">
        <v>331</v>
      </c>
      <c r="C1510" s="1" t="s">
        <v>332</v>
      </c>
      <c r="D1510" s="52">
        <v>46051.607638888891</v>
      </c>
      <c r="E1510" s="52">
        <v>46051.607638888891</v>
      </c>
      <c r="F1510" s="52">
        <v>46051.697916666664</v>
      </c>
      <c r="G1510" s="53">
        <f>F1510-E1510</f>
        <v>9.0277777773735579E-2</v>
      </c>
      <c r="H1510" s="1" t="s">
        <v>257</v>
      </c>
      <c r="J1510" s="1" t="s">
        <v>258</v>
      </c>
      <c r="K1510" s="1" t="str">
        <f>_xlfn.XLOOKUP(J1510,REF!$D$2:$D$12,REF!$E$2:$E$12)</f>
        <v>Rede</v>
      </c>
      <c r="L1510" s="1" t="s">
        <v>259</v>
      </c>
      <c r="M1510" s="1" t="s">
        <v>260</v>
      </c>
      <c r="N1510" s="1" t="s">
        <v>357</v>
      </c>
      <c r="O1510" s="1" t="s">
        <v>633</v>
      </c>
      <c r="P1510" s="1" t="str">
        <f>_xlfn.CONCAT(B1510,C1510,D1510,E1510,F1510)</f>
        <v>BC Varjao2.1215KTL-H0(MBUS-12)46051,607638888946051,607638888946051,6979166667</v>
      </c>
      <c r="Q1510" s="1" t="str">
        <f t="shared" si="46"/>
        <v>DAURDE</v>
      </c>
    </row>
    <row r="1511" spans="2:17">
      <c r="B1511" s="1" t="s">
        <v>331</v>
      </c>
      <c r="C1511" s="1" t="s">
        <v>335</v>
      </c>
      <c r="D1511" s="52">
        <v>46051.607638888891</v>
      </c>
      <c r="E1511" s="52">
        <v>46051.607638888891</v>
      </c>
      <c r="F1511" s="52">
        <v>46051.697916666664</v>
      </c>
      <c r="G1511" s="53">
        <f>F1511-E1511</f>
        <v>9.0277777773735579E-2</v>
      </c>
      <c r="H1511" s="1" t="s">
        <v>257</v>
      </c>
      <c r="J1511" s="1" t="s">
        <v>258</v>
      </c>
      <c r="K1511" s="1" t="str">
        <f>_xlfn.XLOOKUP(J1511,REF!$D$2:$D$12,REF!$E$2:$E$12)</f>
        <v>Rede</v>
      </c>
      <c r="L1511" s="1" t="s">
        <v>259</v>
      </c>
      <c r="M1511" s="1" t="s">
        <v>260</v>
      </c>
      <c r="N1511" s="1" t="s">
        <v>357</v>
      </c>
      <c r="O1511" s="1" t="s">
        <v>633</v>
      </c>
      <c r="P1511" s="1" t="str">
        <f>_xlfn.CONCAT(B1511,C1511,D1511,E1511,F1511)</f>
        <v>BC Varjao2.1215KTL-H0(MBUS-13)46051,607638888946051,607638888946051,6979166667</v>
      </c>
      <c r="Q1511" s="1" t="str">
        <f t="shared" si="46"/>
        <v>DAURDE</v>
      </c>
    </row>
    <row r="1512" spans="2:17">
      <c r="B1512" s="1" t="s">
        <v>331</v>
      </c>
      <c r="C1512" s="1" t="s">
        <v>336</v>
      </c>
      <c r="D1512" s="52">
        <v>46051.607638888891</v>
      </c>
      <c r="E1512" s="52">
        <v>46051.607638888891</v>
      </c>
      <c r="F1512" s="52">
        <v>46051.697916666664</v>
      </c>
      <c r="G1512" s="53">
        <f>F1512-E1512</f>
        <v>9.0277777773735579E-2</v>
      </c>
      <c r="H1512" s="1" t="s">
        <v>257</v>
      </c>
      <c r="J1512" s="1" t="s">
        <v>258</v>
      </c>
      <c r="K1512" s="1" t="str">
        <f>_xlfn.XLOOKUP(J1512,REF!$D$2:$D$12,REF!$E$2:$E$12)</f>
        <v>Rede</v>
      </c>
      <c r="L1512" s="1" t="s">
        <v>259</v>
      </c>
      <c r="M1512" s="1" t="s">
        <v>260</v>
      </c>
      <c r="N1512" s="1" t="s">
        <v>357</v>
      </c>
      <c r="O1512" s="1" t="s">
        <v>633</v>
      </c>
      <c r="P1512" s="1" t="str">
        <f>_xlfn.CONCAT(B1512,C1512,D1512,E1512,F1512)</f>
        <v>BC Varjao2.1215KTL-H0(MBUS-14)46051,607638888946051,607638888946051,6979166667</v>
      </c>
      <c r="Q1512" s="1" t="str">
        <f t="shared" si="46"/>
        <v>DAURDE</v>
      </c>
    </row>
    <row r="1513" spans="2:17">
      <c r="B1513" s="1" t="s">
        <v>331</v>
      </c>
      <c r="C1513" s="1" t="s">
        <v>337</v>
      </c>
      <c r="D1513" s="52">
        <v>46051.607638888891</v>
      </c>
      <c r="E1513" s="52">
        <v>46051.607638888891</v>
      </c>
      <c r="F1513" s="52">
        <v>46051.697916666664</v>
      </c>
      <c r="G1513" s="53">
        <f>F1513-E1513</f>
        <v>9.0277777773735579E-2</v>
      </c>
      <c r="H1513" s="1" t="s">
        <v>257</v>
      </c>
      <c r="J1513" s="1" t="s">
        <v>258</v>
      </c>
      <c r="K1513" s="1" t="str">
        <f>_xlfn.XLOOKUP(J1513,REF!$D$2:$D$12,REF!$E$2:$E$12)</f>
        <v>Rede</v>
      </c>
      <c r="L1513" s="1" t="s">
        <v>259</v>
      </c>
      <c r="M1513" s="1" t="s">
        <v>260</v>
      </c>
      <c r="N1513" s="1" t="s">
        <v>357</v>
      </c>
      <c r="O1513" s="1" t="s">
        <v>633</v>
      </c>
      <c r="P1513" s="1" t="str">
        <f>_xlfn.CONCAT(B1513,C1513,D1513,E1513,F1513)</f>
        <v>BC Varjao2.1215KTL-H0(MBUS-15)46051,607638888946051,607638888946051,6979166667</v>
      </c>
      <c r="Q1513" s="1" t="str">
        <f t="shared" si="46"/>
        <v>DAURDE</v>
      </c>
    </row>
    <row r="1514" spans="2:17">
      <c r="B1514" s="1" t="s">
        <v>331</v>
      </c>
      <c r="C1514" s="1" t="s">
        <v>338</v>
      </c>
      <c r="D1514" s="52">
        <v>46051.607638888891</v>
      </c>
      <c r="E1514" s="52">
        <v>46051.607638888891</v>
      </c>
      <c r="F1514" s="52">
        <v>46051.697916666664</v>
      </c>
      <c r="G1514" s="53">
        <f>F1514-E1514</f>
        <v>9.0277777773735579E-2</v>
      </c>
      <c r="H1514" s="1" t="s">
        <v>257</v>
      </c>
      <c r="J1514" s="1" t="s">
        <v>258</v>
      </c>
      <c r="K1514" s="1" t="str">
        <f>_xlfn.XLOOKUP(J1514,REF!$D$2:$D$12,REF!$E$2:$E$12)</f>
        <v>Rede</v>
      </c>
      <c r="L1514" s="1" t="s">
        <v>259</v>
      </c>
      <c r="M1514" s="1" t="s">
        <v>260</v>
      </c>
      <c r="N1514" s="1" t="s">
        <v>357</v>
      </c>
      <c r="O1514" s="1" t="s">
        <v>633</v>
      </c>
      <c r="P1514" s="1" t="str">
        <f>_xlfn.CONCAT(B1514,C1514,D1514,E1514,F1514)</f>
        <v>BC Varjao2.1215KTL-H0(MBUS-16)46051,607638888946051,607638888946051,6979166667</v>
      </c>
      <c r="Q1514" s="1" t="str">
        <f t="shared" si="46"/>
        <v>DAURDE</v>
      </c>
    </row>
    <row r="1515" spans="2:17">
      <c r="B1515" s="1" t="s">
        <v>339</v>
      </c>
      <c r="C1515" s="1" t="s">
        <v>335</v>
      </c>
      <c r="D1515" s="52">
        <v>46051.607638888891</v>
      </c>
      <c r="E1515" s="52">
        <v>46051.607638888891</v>
      </c>
      <c r="F1515" s="52">
        <v>46051.697916666664</v>
      </c>
      <c r="G1515" s="53">
        <f>F1515-E1515</f>
        <v>9.0277777773735579E-2</v>
      </c>
      <c r="H1515" s="1" t="s">
        <v>257</v>
      </c>
      <c r="J1515" s="1" t="s">
        <v>258</v>
      </c>
      <c r="K1515" s="1" t="str">
        <f>_xlfn.XLOOKUP(J1515,REF!$D$2:$D$12,REF!$E$2:$E$12)</f>
        <v>Rede</v>
      </c>
      <c r="L1515" s="1" t="s">
        <v>259</v>
      </c>
      <c r="M1515" s="1" t="s">
        <v>260</v>
      </c>
      <c r="N1515" s="1" t="s">
        <v>357</v>
      </c>
      <c r="O1515" s="1" t="s">
        <v>633</v>
      </c>
      <c r="P1515" s="1" t="str">
        <f>_xlfn.CONCAT(B1515,C1515,D1515,E1515,F1515)</f>
        <v>BC Varjao2.2215KTL-H0(MBUS-13)46051,607638888946051,607638888946051,6979166667</v>
      </c>
      <c r="Q1515" s="1" t="str">
        <f t="shared" si="46"/>
        <v>DAURDE</v>
      </c>
    </row>
    <row r="1516" spans="2:17">
      <c r="B1516" s="1" t="s">
        <v>339</v>
      </c>
      <c r="C1516" s="1" t="s">
        <v>336</v>
      </c>
      <c r="D1516" s="52">
        <v>46051.607638888891</v>
      </c>
      <c r="E1516" s="52">
        <v>46051.607638888891</v>
      </c>
      <c r="F1516" s="52">
        <v>46051.697916666664</v>
      </c>
      <c r="G1516" s="53">
        <f>F1516-E1516</f>
        <v>9.0277777773735579E-2</v>
      </c>
      <c r="H1516" s="1" t="s">
        <v>257</v>
      </c>
      <c r="J1516" s="1" t="s">
        <v>258</v>
      </c>
      <c r="K1516" s="1" t="str">
        <f>_xlfn.XLOOKUP(J1516,REF!$D$2:$D$12,REF!$E$2:$E$12)</f>
        <v>Rede</v>
      </c>
      <c r="L1516" s="1" t="s">
        <v>259</v>
      </c>
      <c r="M1516" s="1" t="s">
        <v>260</v>
      </c>
      <c r="N1516" s="1" t="s">
        <v>357</v>
      </c>
      <c r="O1516" s="1" t="s">
        <v>633</v>
      </c>
      <c r="P1516" s="1" t="str">
        <f>_xlfn.CONCAT(B1516,C1516,D1516,E1516,F1516)</f>
        <v>BC Varjao2.2215KTL-H0(MBUS-14)46051,607638888946051,607638888946051,6979166667</v>
      </c>
      <c r="Q1516" s="1" t="str">
        <f t="shared" si="46"/>
        <v>DAURDE</v>
      </c>
    </row>
    <row r="1517" spans="2:17">
      <c r="B1517" s="1" t="s">
        <v>339</v>
      </c>
      <c r="C1517" s="1" t="s">
        <v>337</v>
      </c>
      <c r="D1517" s="52">
        <v>46051.607638888891</v>
      </c>
      <c r="E1517" s="52">
        <v>46051.607638888891</v>
      </c>
      <c r="F1517" s="52">
        <v>46051.697916666664</v>
      </c>
      <c r="G1517" s="53">
        <f>F1517-E1517</f>
        <v>9.0277777773735579E-2</v>
      </c>
      <c r="H1517" s="1" t="s">
        <v>257</v>
      </c>
      <c r="J1517" s="1" t="s">
        <v>258</v>
      </c>
      <c r="K1517" s="1" t="str">
        <f>_xlfn.XLOOKUP(J1517,REF!$D$2:$D$12,REF!$E$2:$E$12)</f>
        <v>Rede</v>
      </c>
      <c r="L1517" s="1" t="s">
        <v>259</v>
      </c>
      <c r="M1517" s="1" t="s">
        <v>260</v>
      </c>
      <c r="N1517" s="1" t="s">
        <v>357</v>
      </c>
      <c r="O1517" s="1" t="s">
        <v>633</v>
      </c>
      <c r="P1517" s="1" t="str">
        <f>_xlfn.CONCAT(B1517,C1517,D1517,E1517,F1517)</f>
        <v>BC Varjao2.2215KTL-H0(MBUS-15)46051,607638888946051,607638888946051,6979166667</v>
      </c>
      <c r="Q1517" s="1" t="str">
        <f t="shared" si="46"/>
        <v>DAURDE</v>
      </c>
    </row>
    <row r="1518" spans="2:17">
      <c r="B1518" s="1" t="s">
        <v>339</v>
      </c>
      <c r="C1518" s="1" t="s">
        <v>338</v>
      </c>
      <c r="D1518" s="52">
        <v>46051.607638888891</v>
      </c>
      <c r="E1518" s="52">
        <v>46051.607638888891</v>
      </c>
      <c r="F1518" s="52">
        <v>46051.697916666664</v>
      </c>
      <c r="G1518" s="53">
        <f>F1518-E1518</f>
        <v>9.0277777773735579E-2</v>
      </c>
      <c r="H1518" s="1" t="s">
        <v>257</v>
      </c>
      <c r="J1518" s="1" t="s">
        <v>258</v>
      </c>
      <c r="K1518" s="1" t="str">
        <f>_xlfn.XLOOKUP(J1518,REF!$D$2:$D$12,REF!$E$2:$E$12)</f>
        <v>Rede</v>
      </c>
      <c r="L1518" s="1" t="s">
        <v>259</v>
      </c>
      <c r="M1518" s="1" t="s">
        <v>260</v>
      </c>
      <c r="N1518" s="1" t="s">
        <v>357</v>
      </c>
      <c r="O1518" s="1" t="s">
        <v>633</v>
      </c>
      <c r="P1518" s="1" t="str">
        <f>_xlfn.CONCAT(B1518,C1518,D1518,E1518,F1518)</f>
        <v>BC Varjao2.2215KTL-H0(MBUS-16)46051,607638888946051,607638888946051,6979166667</v>
      </c>
      <c r="Q1518" s="1" t="str">
        <f t="shared" si="46"/>
        <v>DAURDE</v>
      </c>
    </row>
    <row r="1519" spans="2:17">
      <c r="B1519" s="1" t="s">
        <v>339</v>
      </c>
      <c r="C1519" s="1" t="s">
        <v>332</v>
      </c>
      <c r="D1519" s="52">
        <v>46051.607638888891</v>
      </c>
      <c r="E1519" s="52">
        <v>46051.607638888891</v>
      </c>
      <c r="F1519" s="52">
        <v>46051.697916666664</v>
      </c>
      <c r="G1519" s="53">
        <f>F1519-E1519</f>
        <v>9.0277777773735579E-2</v>
      </c>
      <c r="H1519" s="1" t="s">
        <v>257</v>
      </c>
      <c r="J1519" s="1" t="s">
        <v>258</v>
      </c>
      <c r="K1519" s="1" t="str">
        <f>_xlfn.XLOOKUP(J1519,REF!$D$2:$D$12,REF!$E$2:$E$12)</f>
        <v>Rede</v>
      </c>
      <c r="L1519" s="1" t="s">
        <v>259</v>
      </c>
      <c r="M1519" s="1" t="s">
        <v>260</v>
      </c>
      <c r="N1519" s="1" t="s">
        <v>357</v>
      </c>
      <c r="O1519" s="1" t="s">
        <v>633</v>
      </c>
      <c r="P1519" s="1" t="str">
        <f>_xlfn.CONCAT(B1519,C1519,D1519,E1519,F1519)</f>
        <v>BC Varjao2.2215KTL-H0(MBUS-12)46051,607638888946051,607638888946051,6979166667</v>
      </c>
      <c r="Q1519" s="1" t="str">
        <f t="shared" si="46"/>
        <v>DAURDE</v>
      </c>
    </row>
    <row r="1520" spans="2:17">
      <c r="B1520" s="1" t="s">
        <v>340</v>
      </c>
      <c r="C1520" s="1" t="s">
        <v>341</v>
      </c>
      <c r="D1520" s="52">
        <v>46051.607638888891</v>
      </c>
      <c r="E1520" s="52">
        <v>46051.607638888891</v>
      </c>
      <c r="F1520" s="52">
        <v>46051.697916666664</v>
      </c>
      <c r="G1520" s="53">
        <f>F1520-E1520</f>
        <v>9.0277777773735579E-2</v>
      </c>
      <c r="H1520" s="1" t="s">
        <v>257</v>
      </c>
      <c r="J1520" s="1" t="s">
        <v>258</v>
      </c>
      <c r="K1520" s="1" t="str">
        <f>_xlfn.XLOOKUP(J1520,REF!$D$2:$D$12,REF!$E$2:$E$12)</f>
        <v>Rede</v>
      </c>
      <c r="L1520" s="1" t="s">
        <v>259</v>
      </c>
      <c r="M1520" s="1" t="s">
        <v>260</v>
      </c>
      <c r="N1520" s="1" t="s">
        <v>357</v>
      </c>
      <c r="O1520" s="1" t="s">
        <v>633</v>
      </c>
      <c r="P1520" s="1" t="str">
        <f>_xlfn.CONCAT(B1520,C1520,D1520,E1520,F1520)</f>
        <v>BC Varjao2.3100KTL-H1(MBUS-1)46051,607638888946051,607638888946051,6979166667</v>
      </c>
      <c r="Q1520" s="1" t="str">
        <f t="shared" si="46"/>
        <v>DAURDE</v>
      </c>
    </row>
    <row r="1521" spans="2:17">
      <c r="B1521" s="1" t="s">
        <v>340</v>
      </c>
      <c r="C1521" s="1" t="s">
        <v>335</v>
      </c>
      <c r="D1521" s="52">
        <v>46051.607638888891</v>
      </c>
      <c r="E1521" s="52">
        <v>46051.607638888891</v>
      </c>
      <c r="F1521" s="52">
        <v>46051.697916666664</v>
      </c>
      <c r="G1521" s="53">
        <f>F1521-E1521</f>
        <v>9.0277777773735579E-2</v>
      </c>
      <c r="H1521" s="1" t="s">
        <v>257</v>
      </c>
      <c r="J1521" s="1" t="s">
        <v>258</v>
      </c>
      <c r="K1521" s="1" t="str">
        <f>_xlfn.XLOOKUP(J1521,REF!$D$2:$D$12,REF!$E$2:$E$12)</f>
        <v>Rede</v>
      </c>
      <c r="L1521" s="1" t="s">
        <v>259</v>
      </c>
      <c r="M1521" s="1" t="s">
        <v>260</v>
      </c>
      <c r="N1521" s="1" t="s">
        <v>357</v>
      </c>
      <c r="O1521" s="1" t="s">
        <v>633</v>
      </c>
      <c r="P1521" s="1" t="str">
        <f>_xlfn.CONCAT(B1521,C1521,D1521,E1521,F1521)</f>
        <v>BC Varjao2.3215KTL-H0(MBUS-13)46051,607638888946051,607638888946051,6979166667</v>
      </c>
      <c r="Q1521" s="1" t="str">
        <f t="shared" si="46"/>
        <v>DAURDE</v>
      </c>
    </row>
    <row r="1522" spans="2:17">
      <c r="B1522" s="1" t="s">
        <v>340</v>
      </c>
      <c r="C1522" s="1" t="s">
        <v>332</v>
      </c>
      <c r="D1522" s="52">
        <v>46051.607638888891</v>
      </c>
      <c r="E1522" s="52">
        <v>46051.607638888891</v>
      </c>
      <c r="F1522" s="52">
        <v>46051.697916666664</v>
      </c>
      <c r="G1522" s="53">
        <f>F1522-E1522</f>
        <v>9.0277777773735579E-2</v>
      </c>
      <c r="H1522" s="1" t="s">
        <v>257</v>
      </c>
      <c r="J1522" s="1" t="s">
        <v>258</v>
      </c>
      <c r="K1522" s="1" t="str">
        <f>_xlfn.XLOOKUP(J1522,REF!$D$2:$D$12,REF!$E$2:$E$12)</f>
        <v>Rede</v>
      </c>
      <c r="L1522" s="1" t="s">
        <v>259</v>
      </c>
      <c r="M1522" s="1" t="s">
        <v>260</v>
      </c>
      <c r="N1522" s="1" t="s">
        <v>357</v>
      </c>
      <c r="O1522" s="1" t="s">
        <v>633</v>
      </c>
      <c r="P1522" s="1" t="str">
        <f>_xlfn.CONCAT(B1522,C1522,D1522,E1522,F1522)</f>
        <v>BC Varjao2.3215KTL-H0(MBUS-12)46051,607638888946051,607638888946051,6979166667</v>
      </c>
      <c r="Q1522" s="1" t="str">
        <f t="shared" si="46"/>
        <v>DAURDE</v>
      </c>
    </row>
    <row r="1523" spans="2:17">
      <c r="B1523" s="1" t="s">
        <v>327</v>
      </c>
      <c r="C1523" s="1" t="s">
        <v>247</v>
      </c>
      <c r="D1523" s="52">
        <v>46051.805555555555</v>
      </c>
      <c r="E1523" s="52">
        <v>46051.805555555555</v>
      </c>
      <c r="F1523" s="52">
        <v>46052.300694444442</v>
      </c>
      <c r="G1523" s="53">
        <f>F1523-E1523</f>
        <v>0.49513888888759539</v>
      </c>
      <c r="H1523" s="1" t="s">
        <v>257</v>
      </c>
      <c r="J1523" s="1" t="s">
        <v>258</v>
      </c>
      <c r="K1523" s="1" t="str">
        <f>_xlfn.XLOOKUP(J1523,REF!$D$2:$D$12,REF!$E$2:$E$12)</f>
        <v>Rede</v>
      </c>
      <c r="L1523" s="1" t="s">
        <v>541</v>
      </c>
      <c r="M1523" s="1" t="s">
        <v>260</v>
      </c>
      <c r="N1523" s="1" t="s">
        <v>357</v>
      </c>
      <c r="O1523" s="1" t="s">
        <v>632</v>
      </c>
      <c r="P1523" s="1" t="str">
        <f>_xlfn.CONCAT(B1523,C1523,D1523,E1523,F1523)</f>
        <v>BC Aracu5.1Inverter(MBUS-1)46051,805555555646051,805555555646052,3006944444</v>
      </c>
      <c r="Q1523" s="1" t="str">
        <f t="shared" si="46"/>
        <v>DAURDE</v>
      </c>
    </row>
    <row r="1524" spans="2:17">
      <c r="B1524" s="1" t="s">
        <v>328</v>
      </c>
      <c r="C1524" s="1" t="s">
        <v>247</v>
      </c>
      <c r="D1524" s="52">
        <v>46051.805555555555</v>
      </c>
      <c r="E1524" s="52">
        <v>46051.805555555555</v>
      </c>
      <c r="F1524" s="52">
        <v>46052.300694444442</v>
      </c>
      <c r="G1524" s="53">
        <f>F1524-E1524</f>
        <v>0.49513888888759539</v>
      </c>
      <c r="H1524" s="1" t="s">
        <v>257</v>
      </c>
      <c r="J1524" s="1" t="s">
        <v>258</v>
      </c>
      <c r="K1524" s="1" t="str">
        <f>_xlfn.XLOOKUP(J1524,REF!$D$2:$D$12,REF!$E$2:$E$12)</f>
        <v>Rede</v>
      </c>
      <c r="L1524" s="1" t="s">
        <v>541</v>
      </c>
      <c r="M1524" s="1" t="s">
        <v>260</v>
      </c>
      <c r="N1524" s="1" t="s">
        <v>357</v>
      </c>
      <c r="O1524" s="1" t="s">
        <v>632</v>
      </c>
      <c r="P1524" s="1" t="str">
        <f>_xlfn.CONCAT(B1524,C1524,D1524,E1524,F1524)</f>
        <v>BC Aracu5.3Inverter(MBUS-1)46051,805555555646051,805555555646052,3006944444</v>
      </c>
      <c r="Q1524" s="1" t="str">
        <f t="shared" si="46"/>
        <v>DAURDE</v>
      </c>
    </row>
    <row r="1525" spans="2:17">
      <c r="B1525" s="1" t="s">
        <v>329</v>
      </c>
      <c r="C1525" s="1" t="s">
        <v>247</v>
      </c>
      <c r="D1525" s="52">
        <v>46051.805555555555</v>
      </c>
      <c r="E1525" s="52">
        <v>46051.805555555555</v>
      </c>
      <c r="F1525" s="52">
        <v>46052.300694444442</v>
      </c>
      <c r="G1525" s="53">
        <f>F1525-E1525</f>
        <v>0.49513888888759539</v>
      </c>
      <c r="H1525" s="1" t="s">
        <v>257</v>
      </c>
      <c r="J1525" s="1" t="s">
        <v>258</v>
      </c>
      <c r="K1525" s="1" t="str">
        <f>_xlfn.XLOOKUP(J1525,REF!$D$2:$D$12,REF!$E$2:$E$12)</f>
        <v>Rede</v>
      </c>
      <c r="L1525" s="1" t="s">
        <v>541</v>
      </c>
      <c r="M1525" s="1" t="s">
        <v>260</v>
      </c>
      <c r="N1525" s="1" t="s">
        <v>357</v>
      </c>
      <c r="O1525" s="1" t="s">
        <v>632</v>
      </c>
      <c r="P1525" s="1" t="str">
        <f>_xlfn.CONCAT(B1525,C1525,D1525,E1525,F1525)</f>
        <v>BC Aracu5.4Inverter(MBUS-1)46051,805555555646051,805555555646052,3006944444</v>
      </c>
      <c r="Q1525" s="1" t="str">
        <f t="shared" si="46"/>
        <v>DAURDE</v>
      </c>
    </row>
    <row r="1526" spans="2:17">
      <c r="B1526" s="1" t="s">
        <v>330</v>
      </c>
      <c r="C1526" s="1" t="s">
        <v>247</v>
      </c>
      <c r="D1526" s="52">
        <v>46051.805555555555</v>
      </c>
      <c r="E1526" s="52">
        <v>46051.805555555555</v>
      </c>
      <c r="F1526" s="52">
        <v>46052.300694444442</v>
      </c>
      <c r="G1526" s="53">
        <f>F1526-E1526</f>
        <v>0.49513888888759539</v>
      </c>
      <c r="H1526" s="1" t="s">
        <v>257</v>
      </c>
      <c r="J1526" s="1" t="s">
        <v>258</v>
      </c>
      <c r="K1526" s="1" t="str">
        <f>_xlfn.XLOOKUP(J1526,REF!$D$2:$D$12,REF!$E$2:$E$12)</f>
        <v>Rede</v>
      </c>
      <c r="L1526" s="1" t="s">
        <v>541</v>
      </c>
      <c r="M1526" s="1" t="s">
        <v>260</v>
      </c>
      <c r="N1526" s="1" t="s">
        <v>357</v>
      </c>
      <c r="O1526" s="1" t="s">
        <v>632</v>
      </c>
      <c r="P1526" s="1" t="str">
        <f>_xlfn.CONCAT(B1526,C1526,D1526,E1526,F1526)</f>
        <v>BC Aracu5.5Inverter(MBUS-1)46051,805555555646051,805555555646052,3006944444</v>
      </c>
      <c r="Q1526" s="1" t="str">
        <f t="shared" si="46"/>
        <v>DAURDE</v>
      </c>
    </row>
    <row r="1527" spans="2:17">
      <c r="B1527" s="1" t="s">
        <v>286</v>
      </c>
      <c r="C1527" s="1" t="s">
        <v>287</v>
      </c>
      <c r="D1527" s="52">
        <v>46052.413194444445</v>
      </c>
      <c r="E1527" s="52">
        <v>46052.413194444445</v>
      </c>
      <c r="F1527" s="52">
        <v>46052.413888888892</v>
      </c>
      <c r="G1527" s="53">
        <f>F1527-E1527</f>
        <v>6.944444467080757E-4</v>
      </c>
      <c r="H1527" s="1" t="s">
        <v>268</v>
      </c>
      <c r="I1527" s="1" t="s">
        <v>269</v>
      </c>
      <c r="J1527" s="1" t="s">
        <v>319</v>
      </c>
      <c r="K1527" s="1" t="str">
        <f>_xlfn.XLOOKUP(J1527,REF!$D$2:$D$12,REF!$E$2:$E$12)</f>
        <v>Comunicação</v>
      </c>
      <c r="L1527" s="1" t="s">
        <v>604</v>
      </c>
      <c r="M1527" s="1" t="s">
        <v>289</v>
      </c>
      <c r="N1527" s="1" t="s">
        <v>631</v>
      </c>
      <c r="O1527" s="1" t="s">
        <v>631</v>
      </c>
      <c r="P1527" s="1" t="str">
        <f>_xlfn.CONCAT(B1527,C1527,D1527,E1527,F1527)</f>
        <v>BC Corumba2.2U02.I0146052,413194444446052,413194444446052,4138888889</v>
      </c>
      <c r="Q1527" s="1" t="str">
        <f t="shared" si="46"/>
        <v>LIGRFOCOM</v>
      </c>
    </row>
    <row r="1528" spans="2:17">
      <c r="B1528" s="1" t="s">
        <v>286</v>
      </c>
      <c r="C1528" s="1" t="s">
        <v>292</v>
      </c>
      <c r="D1528" s="52">
        <v>46052.413194444445</v>
      </c>
      <c r="E1528" s="52">
        <v>46052.413194444445</v>
      </c>
      <c r="F1528" s="52">
        <v>46052.413888888892</v>
      </c>
      <c r="G1528" s="53">
        <f>F1528-E1528</f>
        <v>6.944444467080757E-4</v>
      </c>
      <c r="H1528" s="1" t="s">
        <v>268</v>
      </c>
      <c r="I1528" s="1" t="s">
        <v>269</v>
      </c>
      <c r="J1528" s="1" t="s">
        <v>319</v>
      </c>
      <c r="K1528" s="1" t="str">
        <f>_xlfn.XLOOKUP(J1528,REF!$D$2:$D$12,REF!$E$2:$E$12)</f>
        <v>Comunicação</v>
      </c>
      <c r="L1528" s="1" t="s">
        <v>604</v>
      </c>
      <c r="M1528" s="1" t="s">
        <v>289</v>
      </c>
      <c r="N1528" s="1" t="s">
        <v>631</v>
      </c>
      <c r="O1528" s="1" t="s">
        <v>631</v>
      </c>
      <c r="P1528" s="1" t="str">
        <f>_xlfn.CONCAT(B1528,C1528,D1528,E1528,F1528)</f>
        <v>BC Corumba2.2U02.I0246052,413194444446052,413194444446052,4138888889</v>
      </c>
      <c r="Q1528" s="1" t="str">
        <f t="shared" si="46"/>
        <v>LIGRFOCOM</v>
      </c>
    </row>
    <row r="1529" spans="2:17">
      <c r="B1529" s="1" t="s">
        <v>286</v>
      </c>
      <c r="C1529" s="1" t="s">
        <v>293</v>
      </c>
      <c r="D1529" s="52">
        <v>46052.413194444445</v>
      </c>
      <c r="E1529" s="52">
        <v>46052.413194444445</v>
      </c>
      <c r="F1529" s="52">
        <v>46052.413888888892</v>
      </c>
      <c r="G1529" s="53">
        <f>F1529-E1529</f>
        <v>6.944444467080757E-4</v>
      </c>
      <c r="H1529" s="1" t="s">
        <v>268</v>
      </c>
      <c r="I1529" s="1" t="s">
        <v>269</v>
      </c>
      <c r="J1529" s="1" t="s">
        <v>319</v>
      </c>
      <c r="K1529" s="1" t="str">
        <f>_xlfn.XLOOKUP(J1529,REF!$D$2:$D$12,REF!$E$2:$E$12)</f>
        <v>Comunicação</v>
      </c>
      <c r="L1529" s="1" t="s">
        <v>604</v>
      </c>
      <c r="M1529" s="1" t="s">
        <v>289</v>
      </c>
      <c r="N1529" s="1" t="s">
        <v>631</v>
      </c>
      <c r="O1529" s="1" t="s">
        <v>631</v>
      </c>
      <c r="P1529" s="1" t="str">
        <f>_xlfn.CONCAT(B1529,C1529,D1529,E1529,F1529)</f>
        <v>BC Corumba2.2U02.I0346052,413194444446052,413194444446052,4138888889</v>
      </c>
      <c r="Q1529" s="1" t="str">
        <f t="shared" si="46"/>
        <v>LIGRFOCOM</v>
      </c>
    </row>
    <row r="1530" spans="2:17">
      <c r="B1530" s="1" t="s">
        <v>286</v>
      </c>
      <c r="C1530" s="1" t="s">
        <v>294</v>
      </c>
      <c r="D1530" s="52">
        <v>46052.413194444445</v>
      </c>
      <c r="E1530" s="52">
        <v>46052.413194444445</v>
      </c>
      <c r="F1530" s="52">
        <v>46052.413888888892</v>
      </c>
      <c r="G1530" s="53">
        <f>F1530-E1530</f>
        <v>6.944444467080757E-4</v>
      </c>
      <c r="H1530" s="1" t="s">
        <v>268</v>
      </c>
      <c r="I1530" s="1" t="s">
        <v>269</v>
      </c>
      <c r="J1530" s="1" t="s">
        <v>319</v>
      </c>
      <c r="K1530" s="1" t="str">
        <f>_xlfn.XLOOKUP(J1530,REF!$D$2:$D$12,REF!$E$2:$E$12)</f>
        <v>Comunicação</v>
      </c>
      <c r="L1530" s="1" t="s">
        <v>604</v>
      </c>
      <c r="M1530" s="1" t="s">
        <v>289</v>
      </c>
      <c r="N1530" s="1" t="s">
        <v>631</v>
      </c>
      <c r="O1530" s="1" t="s">
        <v>631</v>
      </c>
      <c r="P1530" s="1" t="str">
        <f>_xlfn.CONCAT(B1530,C1530,D1530,E1530,F1530)</f>
        <v>BC Corumba2.2U02.I0446052,413194444446052,413194444446052,4138888889</v>
      </c>
      <c r="Q1530" s="1" t="str">
        <f t="shared" si="46"/>
        <v>LIGRFOCOM</v>
      </c>
    </row>
    <row r="1531" spans="2:17">
      <c r="B1531" s="1" t="s">
        <v>286</v>
      </c>
      <c r="C1531" s="1" t="s">
        <v>295</v>
      </c>
      <c r="D1531" s="52">
        <v>46052.413194444445</v>
      </c>
      <c r="E1531" s="52">
        <v>46052.413194444445</v>
      </c>
      <c r="F1531" s="52">
        <v>46052.413888888892</v>
      </c>
      <c r="G1531" s="53">
        <f>F1531-E1531</f>
        <v>6.944444467080757E-4</v>
      </c>
      <c r="H1531" s="1" t="s">
        <v>268</v>
      </c>
      <c r="I1531" s="1" t="s">
        <v>269</v>
      </c>
      <c r="J1531" s="1" t="s">
        <v>319</v>
      </c>
      <c r="K1531" s="1" t="str">
        <f>_xlfn.XLOOKUP(J1531,REF!$D$2:$D$12,REF!$E$2:$E$12)</f>
        <v>Comunicação</v>
      </c>
      <c r="L1531" s="1" t="s">
        <v>604</v>
      </c>
      <c r="M1531" s="1" t="s">
        <v>289</v>
      </c>
      <c r="N1531" s="1" t="s">
        <v>631</v>
      </c>
      <c r="O1531" s="1" t="s">
        <v>631</v>
      </c>
      <c r="P1531" s="1" t="str">
        <f>_xlfn.CONCAT(B1531,C1531,D1531,E1531,F1531)</f>
        <v>BC Corumba2.2U02.I0546052,413194444446052,413194444446052,4138888889</v>
      </c>
      <c r="Q1531" s="1" t="str">
        <f t="shared" si="46"/>
        <v>LIGRFOCOM</v>
      </c>
    </row>
    <row r="1532" spans="2:17">
      <c r="B1532" s="1" t="s">
        <v>612</v>
      </c>
      <c r="C1532" s="1" t="s">
        <v>622</v>
      </c>
      <c r="D1532" s="52">
        <v>46052.554166666669</v>
      </c>
      <c r="E1532" s="52">
        <v>46052.554166666669</v>
      </c>
      <c r="F1532" s="52">
        <v>46052.569444444445</v>
      </c>
      <c r="G1532" s="53">
        <f>F1532-E1532</f>
        <v>1.5277777776645962E-2</v>
      </c>
      <c r="H1532" s="1" t="s">
        <v>257</v>
      </c>
      <c r="J1532" s="1" t="s">
        <v>371</v>
      </c>
      <c r="K1532" s="1" t="str">
        <f>_xlfn.XLOOKUP(J1532,REF!$D$2:$D$12,REF!$E$2:$E$12)</f>
        <v>Inversor</v>
      </c>
      <c r="L1532" s="1" t="s">
        <v>634</v>
      </c>
      <c r="M1532" s="1" t="s">
        <v>252</v>
      </c>
      <c r="N1532" s="1" t="s">
        <v>253</v>
      </c>
      <c r="O1532" s="1" t="s">
        <v>632</v>
      </c>
      <c r="P1532" s="1" t="str">
        <f>_xlfn.CONCAT(B1532,C1532,D1532,E1532,F1532)</f>
        <v>BC Vazante 1.1Inverter1246052,554166666746052,554166666746052,5694444444</v>
      </c>
      <c r="Q1532" s="1" t="str">
        <f t="shared" si="46"/>
        <v>DAUINV</v>
      </c>
    </row>
    <row r="1533" spans="2:17">
      <c r="B1533" s="1" t="s">
        <v>255</v>
      </c>
      <c r="C1533" s="1" t="s">
        <v>256</v>
      </c>
      <c r="D1533" s="52">
        <v>46052.767361111109</v>
      </c>
      <c r="E1533" s="52">
        <v>46052.767361111109</v>
      </c>
      <c r="F1533" s="52">
        <v>46053.305555555555</v>
      </c>
      <c r="G1533" s="53">
        <f>F1533-E1533</f>
        <v>0.53819444444525288</v>
      </c>
      <c r="H1533" s="1" t="s">
        <v>257</v>
      </c>
      <c r="J1533" s="1" t="s">
        <v>258</v>
      </c>
      <c r="K1533" s="1" t="str">
        <f>_xlfn.XLOOKUP(J1533,REF!$D$2:$D$12,REF!$E$2:$E$12)</f>
        <v>Rede</v>
      </c>
      <c r="L1533" s="1" t="s">
        <v>635</v>
      </c>
      <c r="M1533" s="1" t="s">
        <v>260</v>
      </c>
      <c r="N1533" s="1" t="s">
        <v>357</v>
      </c>
      <c r="O1533" s="1" t="s">
        <v>632</v>
      </c>
      <c r="P1533" s="1" t="str">
        <f>_xlfn.CONCAT(B1533,C1533,D1533,E1533,F1533)</f>
        <v>BC Formoso2.1Inverter(MBUS-12)46052,767361111146052,767361111146053,3055555556</v>
      </c>
      <c r="Q1533" s="1" t="str">
        <f t="shared" si="46"/>
        <v>DAURDE</v>
      </c>
    </row>
    <row r="1534" spans="2:17">
      <c r="B1534" s="1" t="s">
        <v>255</v>
      </c>
      <c r="C1534" s="1" t="s">
        <v>263</v>
      </c>
      <c r="D1534" s="52">
        <v>46052.767361111109</v>
      </c>
      <c r="E1534" s="52">
        <v>46052.767361111109</v>
      </c>
      <c r="F1534" s="52">
        <v>46053.305555555555</v>
      </c>
      <c r="G1534" s="53">
        <f>F1534-E1534</f>
        <v>0.53819444444525288</v>
      </c>
      <c r="H1534" s="1" t="s">
        <v>257</v>
      </c>
      <c r="J1534" s="1" t="s">
        <v>258</v>
      </c>
      <c r="K1534" s="1" t="str">
        <f>_xlfn.XLOOKUP(J1534,REF!$D$2:$D$12,REF!$E$2:$E$12)</f>
        <v>Rede</v>
      </c>
      <c r="L1534" s="1" t="s">
        <v>635</v>
      </c>
      <c r="M1534" s="1" t="s">
        <v>260</v>
      </c>
      <c r="N1534" s="1" t="s">
        <v>357</v>
      </c>
      <c r="O1534" s="1" t="s">
        <v>632</v>
      </c>
      <c r="P1534" s="1" t="str">
        <f>_xlfn.CONCAT(B1534,C1534,D1534,E1534,F1534)</f>
        <v>BC Formoso2.1Inverter(MBUS-14)46052,767361111146052,767361111146053,3055555556</v>
      </c>
      <c r="Q1534" s="1" t="str">
        <f t="shared" si="46"/>
        <v>DAURDE</v>
      </c>
    </row>
    <row r="1535" spans="2:17">
      <c r="B1535" s="1" t="s">
        <v>255</v>
      </c>
      <c r="C1535" s="1" t="s">
        <v>264</v>
      </c>
      <c r="D1535" s="52">
        <v>46052.767361111109</v>
      </c>
      <c r="E1535" s="52">
        <v>46052.767361111109</v>
      </c>
      <c r="F1535" s="52">
        <v>46053.305555555555</v>
      </c>
      <c r="G1535" s="53">
        <f>F1535-E1535</f>
        <v>0.53819444444525288</v>
      </c>
      <c r="H1535" s="1" t="s">
        <v>257</v>
      </c>
      <c r="J1535" s="1" t="s">
        <v>258</v>
      </c>
      <c r="K1535" s="1" t="str">
        <f>_xlfn.XLOOKUP(J1535,REF!$D$2:$D$12,REF!$E$2:$E$12)</f>
        <v>Rede</v>
      </c>
      <c r="L1535" s="1" t="s">
        <v>635</v>
      </c>
      <c r="M1535" s="1" t="s">
        <v>260</v>
      </c>
      <c r="N1535" s="1" t="s">
        <v>357</v>
      </c>
      <c r="O1535" s="1" t="s">
        <v>632</v>
      </c>
      <c r="P1535" s="1" t="str">
        <f>_xlfn.CONCAT(B1535,C1535,D1535,E1535,F1535)</f>
        <v>BC Formoso2.1Inverter(MBUS-13)46052,767361111146052,767361111146053,3055555556</v>
      </c>
      <c r="Q1535" s="1" t="str">
        <f t="shared" si="46"/>
        <v>DAURDE</v>
      </c>
    </row>
    <row r="1536" spans="2:17">
      <c r="B1536" s="1" t="s">
        <v>255</v>
      </c>
      <c r="C1536" s="1" t="s">
        <v>247</v>
      </c>
      <c r="D1536" s="52">
        <v>46052.767361111109</v>
      </c>
      <c r="E1536" s="52">
        <v>46052.767361111109</v>
      </c>
      <c r="F1536" s="52">
        <v>46053.305555555555</v>
      </c>
      <c r="G1536" s="53">
        <f>F1536-E1536</f>
        <v>0.53819444444525288</v>
      </c>
      <c r="H1536" s="1" t="s">
        <v>257</v>
      </c>
      <c r="J1536" s="1" t="s">
        <v>258</v>
      </c>
      <c r="K1536" s="1" t="str">
        <f>_xlfn.XLOOKUP(J1536,REF!$D$2:$D$12,REF!$E$2:$E$12)</f>
        <v>Rede</v>
      </c>
      <c r="L1536" s="1" t="s">
        <v>635</v>
      </c>
      <c r="M1536" s="1" t="s">
        <v>260</v>
      </c>
      <c r="N1536" s="1" t="s">
        <v>357</v>
      </c>
      <c r="O1536" s="1" t="s">
        <v>632</v>
      </c>
      <c r="P1536" s="1" t="str">
        <f>_xlfn.CONCAT(B1536,C1536,D1536,E1536,F1536)</f>
        <v>BC Formoso2.1Inverter(MBUS-1)46052,767361111146052,767361111146053,3055555556</v>
      </c>
      <c r="Q1536" s="1" t="str">
        <f t="shared" si="46"/>
        <v>DAURDE</v>
      </c>
    </row>
    <row r="1537" spans="2:17">
      <c r="B1537" s="1" t="s">
        <v>355</v>
      </c>
      <c r="C1537" s="1" t="s">
        <v>264</v>
      </c>
      <c r="D1537" s="52">
        <v>46052.767361111109</v>
      </c>
      <c r="E1537" s="52">
        <v>46052.767361111109</v>
      </c>
      <c r="F1537" s="52">
        <v>46053.305555555555</v>
      </c>
      <c r="G1537" s="53">
        <f>F1537-E1537</f>
        <v>0.53819444444525288</v>
      </c>
      <c r="H1537" s="1" t="s">
        <v>257</v>
      </c>
      <c r="J1537" s="1" t="s">
        <v>258</v>
      </c>
      <c r="K1537" s="1" t="str">
        <f>_xlfn.XLOOKUP(J1537,REF!$D$2:$D$12,REF!$E$2:$E$12)</f>
        <v>Rede</v>
      </c>
      <c r="L1537" s="1" t="s">
        <v>635</v>
      </c>
      <c r="M1537" s="1" t="s">
        <v>260</v>
      </c>
      <c r="N1537" s="1" t="s">
        <v>357</v>
      </c>
      <c r="O1537" s="1" t="s">
        <v>632</v>
      </c>
      <c r="P1537" s="1" t="str">
        <f>_xlfn.CONCAT(B1537,C1537,D1537,E1537,F1537)</f>
        <v>BC Formoso2.3Inverter(MBUS-13)46052,767361111146052,767361111146053,3055555556</v>
      </c>
      <c r="Q1537" s="1" t="str">
        <f t="shared" si="46"/>
        <v>DAURDE</v>
      </c>
    </row>
    <row r="1538" spans="2:17">
      <c r="B1538" s="1" t="s">
        <v>355</v>
      </c>
      <c r="C1538" s="1" t="s">
        <v>256</v>
      </c>
      <c r="D1538" s="52">
        <v>46052.767361111109</v>
      </c>
      <c r="E1538" s="52">
        <v>46052.767361111109</v>
      </c>
      <c r="F1538" s="52">
        <v>46053.305555555555</v>
      </c>
      <c r="G1538" s="53">
        <f>F1538-E1538</f>
        <v>0.53819444444525288</v>
      </c>
      <c r="H1538" s="1" t="s">
        <v>257</v>
      </c>
      <c r="J1538" s="1" t="s">
        <v>258</v>
      </c>
      <c r="K1538" s="1" t="str">
        <f>_xlfn.XLOOKUP(J1538,REF!$D$2:$D$12,REF!$E$2:$E$12)</f>
        <v>Rede</v>
      </c>
      <c r="L1538" s="1" t="s">
        <v>635</v>
      </c>
      <c r="M1538" s="1" t="s">
        <v>260</v>
      </c>
      <c r="N1538" s="1" t="s">
        <v>357</v>
      </c>
      <c r="O1538" s="1" t="s">
        <v>632</v>
      </c>
      <c r="P1538" s="1" t="str">
        <f>_xlfn.CONCAT(B1538,C1538,D1538,E1538,F1538)</f>
        <v>BC Formoso2.3Inverter(MBUS-12)46052,767361111146052,767361111146053,3055555556</v>
      </c>
      <c r="Q1538" s="1" t="str">
        <f t="shared" si="46"/>
        <v>DAURDE</v>
      </c>
    </row>
    <row r="1539" spans="2:17">
      <c r="B1539" s="1" t="s">
        <v>305</v>
      </c>
      <c r="C1539" s="1" t="s">
        <v>256</v>
      </c>
      <c r="D1539" s="52">
        <v>46053.282638888886</v>
      </c>
      <c r="E1539" s="52">
        <v>46053.282638888886</v>
      </c>
      <c r="F1539" s="52">
        <v>46053.350694444445</v>
      </c>
      <c r="G1539" s="53">
        <f>F1539-E1539</f>
        <v>6.805555555911269E-2</v>
      </c>
      <c r="H1539" s="1" t="s">
        <v>257</v>
      </c>
      <c r="J1539" s="1" t="s">
        <v>258</v>
      </c>
      <c r="K1539" s="1" t="str">
        <f>_xlfn.XLOOKUP(J1539,REF!$D$2:$D$12,REF!$E$2:$E$12)</f>
        <v>Rede</v>
      </c>
      <c r="L1539" s="1" t="s">
        <v>636</v>
      </c>
      <c r="M1539" s="1" t="s">
        <v>260</v>
      </c>
      <c r="N1539" s="1" t="s">
        <v>357</v>
      </c>
      <c r="O1539" s="1" t="s">
        <v>632</v>
      </c>
      <c r="P1539" s="1" t="str">
        <f>_xlfn.CONCAT(B1539,C1539,D1539,E1539,F1539)</f>
        <v>ARAGUATINS 1.1Inverter(MBUS-12)46053,282638888946053,282638888946053,3506944444</v>
      </c>
      <c r="Q1539" s="1" t="str">
        <f t="shared" si="46"/>
        <v>DAURDE</v>
      </c>
    </row>
    <row r="1540" spans="2:17">
      <c r="B1540" s="1" t="s">
        <v>305</v>
      </c>
      <c r="C1540" s="1" t="s">
        <v>264</v>
      </c>
      <c r="D1540" s="52">
        <v>46053.282638888886</v>
      </c>
      <c r="E1540" s="52">
        <v>46053.282638888886</v>
      </c>
      <c r="F1540" s="52">
        <v>46053.350694444445</v>
      </c>
      <c r="G1540" s="53">
        <f>F1540-E1540</f>
        <v>6.805555555911269E-2</v>
      </c>
      <c r="H1540" s="1" t="s">
        <v>257</v>
      </c>
      <c r="J1540" s="1" t="s">
        <v>258</v>
      </c>
      <c r="K1540" s="1" t="str">
        <f>_xlfn.XLOOKUP(J1540,REF!$D$2:$D$12,REF!$E$2:$E$12)</f>
        <v>Rede</v>
      </c>
      <c r="L1540" s="1" t="s">
        <v>636</v>
      </c>
      <c r="M1540" s="1" t="s">
        <v>260</v>
      </c>
      <c r="N1540" s="1" t="s">
        <v>357</v>
      </c>
      <c r="O1540" s="1" t="s">
        <v>632</v>
      </c>
      <c r="P1540" s="1" t="str">
        <f>_xlfn.CONCAT(B1540,C1540,D1540,E1540,F1540)</f>
        <v>ARAGUATINS 1.1Inverter(MBUS-13)46053,282638888946053,282638888946053,3506944444</v>
      </c>
      <c r="Q1540" s="1" t="str">
        <f t="shared" si="46"/>
        <v>DAURDE</v>
      </c>
    </row>
    <row r="1541" spans="2:17">
      <c r="B1541" s="1" t="s">
        <v>305</v>
      </c>
      <c r="C1541" s="1" t="s">
        <v>263</v>
      </c>
      <c r="D1541" s="52">
        <v>46053.282638888886</v>
      </c>
      <c r="E1541" s="52">
        <v>46053.282638888886</v>
      </c>
      <c r="F1541" s="52">
        <v>46053.350694444445</v>
      </c>
      <c r="G1541" s="53">
        <f>F1541-E1541</f>
        <v>6.805555555911269E-2</v>
      </c>
      <c r="H1541" s="1" t="s">
        <v>257</v>
      </c>
      <c r="J1541" s="1" t="s">
        <v>258</v>
      </c>
      <c r="K1541" s="1" t="str">
        <f>_xlfn.XLOOKUP(J1541,REF!$D$2:$D$12,REF!$E$2:$E$12)</f>
        <v>Rede</v>
      </c>
      <c r="L1541" s="1" t="s">
        <v>636</v>
      </c>
      <c r="M1541" s="1" t="s">
        <v>260</v>
      </c>
      <c r="N1541" s="1" t="s">
        <v>357</v>
      </c>
      <c r="O1541" s="1" t="s">
        <v>632</v>
      </c>
      <c r="P1541" s="1" t="str">
        <f>_xlfn.CONCAT(B1541,C1541,D1541,E1541,F1541)</f>
        <v>ARAGUATINS 1.1Inverter(MBUS-14)46053,282638888946053,282638888946053,3506944444</v>
      </c>
      <c r="Q1541" s="1" t="str">
        <f t="shared" si="46"/>
        <v>DAURDE</v>
      </c>
    </row>
    <row r="1542" spans="2:17">
      <c r="B1542" s="1" t="s">
        <v>305</v>
      </c>
      <c r="C1542" s="1" t="s">
        <v>307</v>
      </c>
      <c r="D1542" s="52">
        <v>46053.282638888886</v>
      </c>
      <c r="E1542" s="52">
        <v>46053.282638888886</v>
      </c>
      <c r="F1542" s="52">
        <v>46053.350694444445</v>
      </c>
      <c r="G1542" s="53">
        <f>F1542-E1542</f>
        <v>6.805555555911269E-2</v>
      </c>
      <c r="H1542" s="1" t="s">
        <v>257</v>
      </c>
      <c r="J1542" s="1" t="s">
        <v>258</v>
      </c>
      <c r="K1542" s="1" t="str">
        <f>_xlfn.XLOOKUP(J1542,REF!$D$2:$D$12,REF!$E$2:$E$12)</f>
        <v>Rede</v>
      </c>
      <c r="L1542" s="1" t="s">
        <v>636</v>
      </c>
      <c r="M1542" s="1" t="s">
        <v>260</v>
      </c>
      <c r="N1542" s="1" t="s">
        <v>357</v>
      </c>
      <c r="O1542" s="1" t="s">
        <v>632</v>
      </c>
      <c r="P1542" s="1" t="str">
        <f>_xlfn.CONCAT(B1542,C1542,D1542,E1542,F1542)</f>
        <v>ARAGUATINS 1.1Inverter(MBUS-15)46053,282638888946053,282638888946053,3506944444</v>
      </c>
      <c r="Q1542" s="1" t="str">
        <f t="shared" si="46"/>
        <v>DAURDE</v>
      </c>
    </row>
    <row r="1543" spans="2:17">
      <c r="B1543" s="1" t="s">
        <v>612</v>
      </c>
      <c r="C1543" s="1" t="s">
        <v>622</v>
      </c>
      <c r="D1543" s="52">
        <v>46053.392361111109</v>
      </c>
      <c r="E1543" s="52">
        <v>46053.392361111109</v>
      </c>
      <c r="F1543" s="52">
        <v>46053.423611111109</v>
      </c>
      <c r="G1543" s="53">
        <f>F1543-E1543</f>
        <v>3.125E-2</v>
      </c>
      <c r="H1543" s="1" t="s">
        <v>257</v>
      </c>
      <c r="J1543" s="1" t="s">
        <v>371</v>
      </c>
      <c r="K1543" s="1" t="str">
        <f>_xlfn.XLOOKUP(J1543,REF!$D$2:$D$12,REF!$E$2:$E$12)</f>
        <v>Inversor</v>
      </c>
      <c r="L1543" s="1" t="s">
        <v>634</v>
      </c>
      <c r="M1543" s="1" t="s">
        <v>252</v>
      </c>
      <c r="N1543" s="1" t="s">
        <v>253</v>
      </c>
      <c r="O1543" s="1" t="s">
        <v>632</v>
      </c>
      <c r="P1543" s="1" t="str">
        <f>_xlfn.CONCAT(B1543,C1543,D1543,E1543,F1543)</f>
        <v>BC Vazante 1.1Inverter1246053,392361111146053,392361111146053,4236111111</v>
      </c>
      <c r="Q1543" s="1" t="str">
        <f t="shared" si="46"/>
        <v>DAUINV</v>
      </c>
    </row>
    <row r="1544" spans="2:17">
      <c r="B1544" s="1" t="s">
        <v>314</v>
      </c>
      <c r="C1544" s="1" t="s">
        <v>264</v>
      </c>
      <c r="D1544" s="52">
        <v>46053.397222222222</v>
      </c>
      <c r="E1544" s="52">
        <v>46053.397222222222</v>
      </c>
      <c r="F1544" s="52">
        <v>46053.4375</v>
      </c>
      <c r="G1544" s="53">
        <f>F1544-E1544</f>
        <v>4.0277777778101154E-2</v>
      </c>
      <c r="H1544" s="1" t="s">
        <v>257</v>
      </c>
      <c r="J1544" s="1" t="s">
        <v>371</v>
      </c>
      <c r="K1544" s="1" t="str">
        <f>_xlfn.XLOOKUP(J1544,REF!$D$2:$D$12,REF!$E$2:$E$12)</f>
        <v>Inversor</v>
      </c>
      <c r="L1544" s="1" t="s">
        <v>637</v>
      </c>
      <c r="M1544" s="1" t="s">
        <v>252</v>
      </c>
      <c r="N1544" s="1" t="s">
        <v>253</v>
      </c>
      <c r="O1544" s="1" t="s">
        <v>638</v>
      </c>
      <c r="P1544" s="1" t="str">
        <f>_xlfn.CONCAT(B1544,C1544,D1544,E1544,F1544)</f>
        <v>BC Turvania1.3Inverter(MBUS-13)46053,397222222246053,397222222246053,4375</v>
      </c>
      <c r="Q1544" s="1" t="str">
        <f t="shared" si="46"/>
        <v>DAUINV</v>
      </c>
    </row>
    <row r="1545" spans="2:17">
      <c r="B1545" s="1" t="s">
        <v>311</v>
      </c>
      <c r="C1545" s="1" t="s">
        <v>256</v>
      </c>
      <c r="D1545" s="52">
        <v>46053.424305555556</v>
      </c>
      <c r="E1545" s="52">
        <v>46053.424305555556</v>
      </c>
      <c r="F1545" s="52">
        <v>46053.520833333336</v>
      </c>
      <c r="G1545" s="53">
        <f>F1545-E1545</f>
        <v>9.6527777779556345E-2</v>
      </c>
      <c r="H1545" s="1" t="s">
        <v>257</v>
      </c>
      <c r="J1545" s="1" t="s">
        <v>258</v>
      </c>
      <c r="K1545" s="1" t="str">
        <f>_xlfn.XLOOKUP(J1545,REF!$D$2:$D$12,REF!$E$2:$E$12)</f>
        <v>Rede</v>
      </c>
      <c r="L1545" s="1" t="s">
        <v>639</v>
      </c>
      <c r="M1545" s="1" t="s">
        <v>260</v>
      </c>
      <c r="N1545" s="1" t="s">
        <v>357</v>
      </c>
      <c r="O1545" s="1" t="s">
        <v>632</v>
      </c>
      <c r="P1545" s="1" t="str">
        <f>_xlfn.CONCAT(B1545,C1545,D1545,E1545,F1545)</f>
        <v>ARAGUATINS 2.1Inverter(MBUS-12)46053,424305555646053,424305555646053,5208333333</v>
      </c>
      <c r="Q1545" s="1" t="str">
        <f t="shared" si="46"/>
        <v>DAURDE</v>
      </c>
    </row>
    <row r="1546" spans="2:17">
      <c r="B1546" s="1" t="s">
        <v>311</v>
      </c>
      <c r="C1546" s="1" t="s">
        <v>307</v>
      </c>
      <c r="D1546" s="52">
        <v>46053.424305555556</v>
      </c>
      <c r="E1546" s="52">
        <v>46053.424305555556</v>
      </c>
      <c r="F1546" s="52">
        <v>46053.520833333336</v>
      </c>
      <c r="G1546" s="53">
        <f>F1546-E1546</f>
        <v>9.6527777779556345E-2</v>
      </c>
      <c r="H1546" s="1" t="s">
        <v>257</v>
      </c>
      <c r="J1546" s="1" t="s">
        <v>258</v>
      </c>
      <c r="K1546" s="1" t="str">
        <f>_xlfn.XLOOKUP(J1546,REF!$D$2:$D$12,REF!$E$2:$E$12)</f>
        <v>Rede</v>
      </c>
      <c r="L1546" s="1" t="s">
        <v>639</v>
      </c>
      <c r="M1546" s="1" t="s">
        <v>260</v>
      </c>
      <c r="N1546" s="1" t="s">
        <v>357</v>
      </c>
      <c r="O1546" s="1" t="s">
        <v>632</v>
      </c>
      <c r="P1546" s="1" t="str">
        <f>_xlfn.CONCAT(B1546,C1546,D1546,E1546,F1546)</f>
        <v>ARAGUATINS 2.1Inverter(MBUS-15)46053,424305555646053,424305555646053,5208333333</v>
      </c>
      <c r="Q1546" s="1" t="str">
        <f t="shared" si="46"/>
        <v>DAURDE</v>
      </c>
    </row>
    <row r="1547" spans="2:17">
      <c r="B1547" s="1" t="s">
        <v>311</v>
      </c>
      <c r="C1547" s="1" t="s">
        <v>263</v>
      </c>
      <c r="D1547" s="52">
        <v>46053.424305555556</v>
      </c>
      <c r="E1547" s="52">
        <v>46053.424305555556</v>
      </c>
      <c r="F1547" s="52">
        <v>46053.520833333336</v>
      </c>
      <c r="G1547" s="53">
        <f>F1547-E1547</f>
        <v>9.6527777779556345E-2</v>
      </c>
      <c r="H1547" s="1" t="s">
        <v>257</v>
      </c>
      <c r="J1547" s="1" t="s">
        <v>258</v>
      </c>
      <c r="K1547" s="1" t="str">
        <f>_xlfn.XLOOKUP(J1547,REF!$D$2:$D$12,REF!$E$2:$E$12)</f>
        <v>Rede</v>
      </c>
      <c r="L1547" s="1" t="s">
        <v>639</v>
      </c>
      <c r="M1547" s="1" t="s">
        <v>260</v>
      </c>
      <c r="N1547" s="1" t="s">
        <v>357</v>
      </c>
      <c r="O1547" s="1" t="s">
        <v>632</v>
      </c>
      <c r="P1547" s="1" t="str">
        <f>_xlfn.CONCAT(B1547,C1547,D1547,E1547,F1547)</f>
        <v>ARAGUATINS 2.1Inverter(MBUS-14)46053,424305555646053,424305555646053,5208333333</v>
      </c>
      <c r="Q1547" s="1" t="str">
        <f t="shared" si="46"/>
        <v>DAURDE</v>
      </c>
    </row>
    <row r="1548" spans="2:17">
      <c r="B1548" s="1" t="s">
        <v>311</v>
      </c>
      <c r="C1548" s="1" t="s">
        <v>247</v>
      </c>
      <c r="D1548" s="52">
        <v>46053.424305555556</v>
      </c>
      <c r="E1548" s="52">
        <v>46053.424305555556</v>
      </c>
      <c r="F1548" s="52">
        <v>46053.520833333336</v>
      </c>
      <c r="G1548" s="53">
        <f>F1548-E1548</f>
        <v>9.6527777779556345E-2</v>
      </c>
      <c r="H1548" s="1" t="s">
        <v>257</v>
      </c>
      <c r="J1548" s="1" t="s">
        <v>258</v>
      </c>
      <c r="K1548" s="1" t="str">
        <f>_xlfn.XLOOKUP(J1548,REF!$D$2:$D$12,REF!$E$2:$E$12)</f>
        <v>Rede</v>
      </c>
      <c r="L1548" s="1" t="s">
        <v>639</v>
      </c>
      <c r="M1548" s="1" t="s">
        <v>260</v>
      </c>
      <c r="N1548" s="1" t="s">
        <v>357</v>
      </c>
      <c r="O1548" s="1" t="s">
        <v>632</v>
      </c>
      <c r="P1548" s="1" t="str">
        <f>_xlfn.CONCAT(B1548,C1548,D1548,E1548,F1548)</f>
        <v>ARAGUATINS 2.1Inverter(MBUS-1)46053,424305555646053,424305555646053,5208333333</v>
      </c>
      <c r="Q1548" s="1" t="str">
        <f t="shared" si="46"/>
        <v>DAURDE</v>
      </c>
    </row>
    <row r="1549" spans="2:17">
      <c r="B1549" s="1" t="s">
        <v>612</v>
      </c>
      <c r="C1549" s="1" t="s">
        <v>622</v>
      </c>
      <c r="D1549" s="52">
        <v>46053.575694444444</v>
      </c>
      <c r="E1549" s="52">
        <v>46053.575694444444</v>
      </c>
      <c r="F1549" s="52">
        <v>46053.59375</v>
      </c>
      <c r="G1549" s="53">
        <f>F1549-E1549</f>
        <v>1.8055555556202307E-2</v>
      </c>
      <c r="H1549" s="1" t="s">
        <v>257</v>
      </c>
      <c r="J1549" s="1" t="s">
        <v>371</v>
      </c>
      <c r="K1549" s="1" t="str">
        <f>_xlfn.XLOOKUP(J1549,REF!$D$2:$D$12,REF!$E$2:$E$12)</f>
        <v>Inversor</v>
      </c>
      <c r="L1549" s="1" t="s">
        <v>634</v>
      </c>
      <c r="M1549" s="1" t="s">
        <v>252</v>
      </c>
      <c r="N1549" s="1" t="s">
        <v>253</v>
      </c>
      <c r="O1549" s="1" t="s">
        <v>632</v>
      </c>
      <c r="P1549" s="1" t="str">
        <f>_xlfn.CONCAT(B1549,C1549,D1549,E1549,F1549)</f>
        <v>BC Vazante 1.1Inverter1246053,575694444446053,575694444446053,59375</v>
      </c>
      <c r="Q1549" s="1" t="str">
        <f t="shared" si="46"/>
        <v>DAUINV</v>
      </c>
    </row>
    <row r="1550" spans="2:17">
      <c r="B1550" s="1" t="s">
        <v>327</v>
      </c>
      <c r="C1550" s="1" t="s">
        <v>247</v>
      </c>
      <c r="D1550" s="52">
        <v>46053.576388888891</v>
      </c>
      <c r="E1550" s="52">
        <v>46053.576388888891</v>
      </c>
      <c r="F1550" s="52">
        <v>46053.82708333333</v>
      </c>
      <c r="G1550" s="53">
        <f>F1550-E1550</f>
        <v>0.25069444443943212</v>
      </c>
      <c r="H1550" s="1" t="s">
        <v>257</v>
      </c>
      <c r="J1550" s="1" t="s">
        <v>258</v>
      </c>
      <c r="K1550" s="1" t="str">
        <f>_xlfn.XLOOKUP(J1550,REF!$D$2:$D$12,REF!$E$2:$E$12)</f>
        <v>Rede</v>
      </c>
      <c r="L1550" s="1" t="s">
        <v>640</v>
      </c>
      <c r="M1550" s="1" t="s">
        <v>260</v>
      </c>
      <c r="N1550" s="1" t="s">
        <v>357</v>
      </c>
      <c r="O1550" s="1" t="s">
        <v>632</v>
      </c>
      <c r="P1550" s="1" t="str">
        <f>_xlfn.CONCAT(B1550,C1550,D1550,E1550,F1550)</f>
        <v>BC Aracu5.1Inverter(MBUS-1)46053,576388888946053,576388888946053,8270833333</v>
      </c>
      <c r="Q1550" s="1" t="str">
        <f t="shared" si="46"/>
        <v>DAURDE</v>
      </c>
    </row>
    <row r="1551" spans="2:17">
      <c r="B1551" s="1" t="s">
        <v>328</v>
      </c>
      <c r="C1551" s="1" t="s">
        <v>247</v>
      </c>
      <c r="D1551" s="52">
        <v>46053.576388888891</v>
      </c>
      <c r="E1551" s="52">
        <v>46053.576388888891</v>
      </c>
      <c r="F1551" s="52">
        <v>46053.82708333333</v>
      </c>
      <c r="G1551" s="53">
        <f>F1551-E1551</f>
        <v>0.25069444443943212</v>
      </c>
      <c r="H1551" s="1" t="s">
        <v>257</v>
      </c>
      <c r="J1551" s="1" t="s">
        <v>258</v>
      </c>
      <c r="K1551" s="1" t="str">
        <f>_xlfn.XLOOKUP(J1551,REF!$D$2:$D$12,REF!$E$2:$E$12)</f>
        <v>Rede</v>
      </c>
      <c r="L1551" s="1" t="s">
        <v>640</v>
      </c>
      <c r="M1551" s="1" t="s">
        <v>260</v>
      </c>
      <c r="N1551" s="1" t="s">
        <v>357</v>
      </c>
      <c r="O1551" s="1" t="s">
        <v>632</v>
      </c>
      <c r="P1551" s="1" t="str">
        <f>_xlfn.CONCAT(B1551,C1551,D1551,E1551,F1551)</f>
        <v>BC Aracu5.3Inverter(MBUS-1)46053,576388888946053,576388888946053,8270833333</v>
      </c>
      <c r="Q1551" s="1" t="str">
        <f t="shared" si="46"/>
        <v>DAURDE</v>
      </c>
    </row>
    <row r="1552" spans="2:17">
      <c r="B1552" s="1" t="s">
        <v>329</v>
      </c>
      <c r="C1552" s="1" t="s">
        <v>247</v>
      </c>
      <c r="D1552" s="52">
        <v>46053.576388888891</v>
      </c>
      <c r="E1552" s="52">
        <v>46053.576388888891</v>
      </c>
      <c r="F1552" s="52">
        <v>46053.82708333333</v>
      </c>
      <c r="G1552" s="53">
        <f>F1552-E1552</f>
        <v>0.25069444443943212</v>
      </c>
      <c r="H1552" s="1" t="s">
        <v>257</v>
      </c>
      <c r="J1552" s="1" t="s">
        <v>258</v>
      </c>
      <c r="K1552" s="1" t="str">
        <f>_xlfn.XLOOKUP(J1552,REF!$D$2:$D$12,REF!$E$2:$E$12)</f>
        <v>Rede</v>
      </c>
      <c r="L1552" s="1" t="s">
        <v>640</v>
      </c>
      <c r="M1552" s="1" t="s">
        <v>260</v>
      </c>
      <c r="N1552" s="1" t="s">
        <v>357</v>
      </c>
      <c r="O1552" s="1" t="s">
        <v>632</v>
      </c>
      <c r="P1552" s="1" t="str">
        <f>_xlfn.CONCAT(B1552,C1552,D1552,E1552,F1552)</f>
        <v>BC Aracu5.4Inverter(MBUS-1)46053,576388888946053,576388888946053,8270833333</v>
      </c>
      <c r="Q1552" s="1" t="str">
        <f t="shared" si="46"/>
        <v>DAURDE</v>
      </c>
    </row>
    <row r="1553" spans="2:17">
      <c r="B1553" s="1" t="s">
        <v>330</v>
      </c>
      <c r="C1553" s="1" t="s">
        <v>247</v>
      </c>
      <c r="D1553" s="52">
        <v>46053.576388888891</v>
      </c>
      <c r="E1553" s="52">
        <v>46053.576388888891</v>
      </c>
      <c r="F1553" s="52">
        <v>46053.82708333333</v>
      </c>
      <c r="G1553" s="53">
        <f>F1553-E1553</f>
        <v>0.25069444443943212</v>
      </c>
      <c r="H1553" s="1" t="s">
        <v>257</v>
      </c>
      <c r="J1553" s="1" t="s">
        <v>258</v>
      </c>
      <c r="K1553" s="1" t="str">
        <f>_xlfn.XLOOKUP(J1553,REF!$D$2:$D$12,REF!$E$2:$E$12)</f>
        <v>Rede</v>
      </c>
      <c r="L1553" s="1" t="s">
        <v>640</v>
      </c>
      <c r="M1553" s="1" t="s">
        <v>260</v>
      </c>
      <c r="N1553" s="1" t="s">
        <v>357</v>
      </c>
      <c r="O1553" s="1" t="s">
        <v>632</v>
      </c>
      <c r="P1553" s="1" t="str">
        <f>_xlfn.CONCAT(B1553,C1553,D1553,E1553,F1553)</f>
        <v>BC Aracu5.5Inverter(MBUS-1)46053,576388888946053,576388888946053,8270833333</v>
      </c>
      <c r="Q1553" s="1" t="str">
        <f t="shared" si="46"/>
        <v>DAURDE</v>
      </c>
    </row>
    <row r="1554" spans="2:17">
      <c r="B1554" s="1" t="s">
        <v>368</v>
      </c>
      <c r="C1554" s="1" t="s">
        <v>256</v>
      </c>
      <c r="D1554" s="52">
        <v>46053.57708333333</v>
      </c>
      <c r="E1554" s="52">
        <v>46053.57708333333</v>
      </c>
      <c r="F1554" s="52">
        <v>46053.601388888892</v>
      </c>
      <c r="G1554" s="53">
        <f>F1554-E1554</f>
        <v>2.4305555562023073E-2</v>
      </c>
      <c r="H1554" s="1" t="s">
        <v>257</v>
      </c>
      <c r="J1554" s="1" t="s">
        <v>258</v>
      </c>
      <c r="K1554" s="1" t="str">
        <f>_xlfn.XLOOKUP(J1554,REF!$D$2:$D$12,REF!$E$2:$E$12)</f>
        <v>Rede</v>
      </c>
      <c r="L1554" s="1" t="s">
        <v>641</v>
      </c>
      <c r="M1554" s="1" t="s">
        <v>260</v>
      </c>
      <c r="N1554" s="1" t="s">
        <v>357</v>
      </c>
      <c r="O1554" s="1" t="s">
        <v>632</v>
      </c>
      <c r="P1554" s="1" t="str">
        <f>_xlfn.CONCAT(B1554,C1554,D1554,E1554,F1554)</f>
        <v>BC Ibiuna 1.1Inverter(MBUS-12)46053,577083333346053,577083333346053,6013888889</v>
      </c>
      <c r="Q1554" s="1" t="str">
        <f t="shared" si="46"/>
        <v>DAURDE</v>
      </c>
    </row>
    <row r="1555" spans="2:17">
      <c r="B1555" s="1" t="s">
        <v>368</v>
      </c>
      <c r="C1555" s="1" t="s">
        <v>264</v>
      </c>
      <c r="D1555" s="52">
        <v>46053.57708333333</v>
      </c>
      <c r="E1555" s="52">
        <v>46053.57708333333</v>
      </c>
      <c r="F1555" s="52">
        <v>46053.601388888892</v>
      </c>
      <c r="G1555" s="53">
        <f>F1555-E1555</f>
        <v>2.4305555562023073E-2</v>
      </c>
      <c r="H1555" s="1" t="s">
        <v>257</v>
      </c>
      <c r="J1555" s="1" t="s">
        <v>258</v>
      </c>
      <c r="K1555" s="1" t="str">
        <f>_xlfn.XLOOKUP(J1555,REF!$D$2:$D$12,REF!$E$2:$E$12)</f>
        <v>Rede</v>
      </c>
      <c r="L1555" s="1" t="s">
        <v>641</v>
      </c>
      <c r="M1555" s="1" t="s">
        <v>260</v>
      </c>
      <c r="N1555" s="1" t="s">
        <v>357</v>
      </c>
      <c r="O1555" s="1" t="s">
        <v>632</v>
      </c>
      <c r="P1555" s="1" t="str">
        <f>_xlfn.CONCAT(B1555,C1555,D1555,E1555,F1555)</f>
        <v>BC Ibiuna 1.1Inverter(MBUS-13)46053,577083333346053,577083333346053,6013888889</v>
      </c>
      <c r="Q1555" s="1" t="str">
        <f t="shared" ref="Q1555:Q1592" si="47">_xlfn.CONCAT(H1555,I1555,J1555)</f>
        <v>DAURDE</v>
      </c>
    </row>
    <row r="1556" spans="2:17">
      <c r="B1556" s="1" t="s">
        <v>368</v>
      </c>
      <c r="C1556" s="1" t="s">
        <v>263</v>
      </c>
      <c r="D1556" s="52">
        <v>46053.57708333333</v>
      </c>
      <c r="E1556" s="52">
        <v>46053.57708333333</v>
      </c>
      <c r="F1556" s="52">
        <v>46053.601388888892</v>
      </c>
      <c r="G1556" s="53">
        <f>F1556-E1556</f>
        <v>2.4305555562023073E-2</v>
      </c>
      <c r="H1556" s="1" t="s">
        <v>257</v>
      </c>
      <c r="J1556" s="1" t="s">
        <v>258</v>
      </c>
      <c r="K1556" s="1" t="str">
        <f>_xlfn.XLOOKUP(J1556,REF!$D$2:$D$12,REF!$E$2:$E$12)</f>
        <v>Rede</v>
      </c>
      <c r="L1556" s="1" t="s">
        <v>641</v>
      </c>
      <c r="M1556" s="1" t="s">
        <v>260</v>
      </c>
      <c r="N1556" s="1" t="s">
        <v>357</v>
      </c>
      <c r="O1556" s="1" t="s">
        <v>632</v>
      </c>
      <c r="P1556" s="1" t="str">
        <f>_xlfn.CONCAT(B1556,C1556,D1556,E1556,F1556)</f>
        <v>BC Ibiuna 1.1Inverter(MBUS-14)46053,577083333346053,577083333346053,6013888889</v>
      </c>
      <c r="Q1556" s="1" t="str">
        <f t="shared" si="47"/>
        <v>DAURDE</v>
      </c>
    </row>
    <row r="1557" spans="2:17">
      <c r="B1557" s="1" t="s">
        <v>368</v>
      </c>
      <c r="C1557" s="1" t="s">
        <v>307</v>
      </c>
      <c r="D1557" s="52">
        <v>46053.57708333333</v>
      </c>
      <c r="E1557" s="52">
        <v>46053.57708333333</v>
      </c>
      <c r="F1557" s="52">
        <v>46053.601388888892</v>
      </c>
      <c r="G1557" s="53">
        <f>F1557-E1557</f>
        <v>2.4305555562023073E-2</v>
      </c>
      <c r="H1557" s="1" t="s">
        <v>257</v>
      </c>
      <c r="J1557" s="1" t="s">
        <v>258</v>
      </c>
      <c r="K1557" s="1" t="str">
        <f>_xlfn.XLOOKUP(J1557,REF!$D$2:$D$12,REF!$E$2:$E$12)</f>
        <v>Rede</v>
      </c>
      <c r="L1557" s="1" t="s">
        <v>641</v>
      </c>
      <c r="M1557" s="1" t="s">
        <v>260</v>
      </c>
      <c r="N1557" s="1" t="s">
        <v>357</v>
      </c>
      <c r="O1557" s="1" t="s">
        <v>632</v>
      </c>
      <c r="P1557" s="1" t="str">
        <f>_xlfn.CONCAT(B1557,C1557,D1557,E1557,F1557)</f>
        <v>BC Ibiuna 1.1Inverter(MBUS-15)46053,577083333346053,577083333346053,6013888889</v>
      </c>
      <c r="Q1557" s="1" t="str">
        <f t="shared" si="47"/>
        <v>DAURDE</v>
      </c>
    </row>
    <row r="1558" spans="2:17">
      <c r="B1558" s="1" t="s">
        <v>370</v>
      </c>
      <c r="C1558" s="1" t="s">
        <v>256</v>
      </c>
      <c r="D1558" s="52">
        <v>46053.57708333333</v>
      </c>
      <c r="E1558" s="52">
        <v>46053.57708333333</v>
      </c>
      <c r="F1558" s="52">
        <v>46053.601388888892</v>
      </c>
      <c r="G1558" s="53">
        <f>F1558-E1558</f>
        <v>2.4305555562023073E-2</v>
      </c>
      <c r="H1558" s="1" t="s">
        <v>257</v>
      </c>
      <c r="J1558" s="1" t="s">
        <v>258</v>
      </c>
      <c r="K1558" s="1" t="str">
        <f>_xlfn.XLOOKUP(J1558,REF!$D$2:$D$12,REF!$E$2:$E$12)</f>
        <v>Rede</v>
      </c>
      <c r="L1558" s="1" t="s">
        <v>641</v>
      </c>
      <c r="M1558" s="1" t="s">
        <v>260</v>
      </c>
      <c r="N1558" s="1" t="s">
        <v>357</v>
      </c>
      <c r="O1558" s="1" t="s">
        <v>632</v>
      </c>
      <c r="P1558" s="1" t="str">
        <f>_xlfn.CONCAT(B1558,C1558,D1558,E1558,F1558)</f>
        <v>BC Ibiuna 1.2Inverter(MBUS-12)46053,577083333346053,577083333346053,6013888889</v>
      </c>
      <c r="Q1558" s="1" t="str">
        <f t="shared" si="47"/>
        <v>DAURDE</v>
      </c>
    </row>
    <row r="1559" spans="2:17">
      <c r="B1559" s="1" t="s">
        <v>370</v>
      </c>
      <c r="C1559" s="1" t="s">
        <v>264</v>
      </c>
      <c r="D1559" s="52">
        <v>46053.57708333333</v>
      </c>
      <c r="E1559" s="52">
        <v>46053.57708333333</v>
      </c>
      <c r="F1559" s="52">
        <v>46053.601388888892</v>
      </c>
      <c r="G1559" s="53">
        <f>F1559-E1559</f>
        <v>2.4305555562023073E-2</v>
      </c>
      <c r="H1559" s="1" t="s">
        <v>257</v>
      </c>
      <c r="J1559" s="1" t="s">
        <v>258</v>
      </c>
      <c r="K1559" s="1" t="str">
        <f>_xlfn.XLOOKUP(J1559,REF!$D$2:$D$12,REF!$E$2:$E$12)</f>
        <v>Rede</v>
      </c>
      <c r="L1559" s="1" t="s">
        <v>641</v>
      </c>
      <c r="M1559" s="1" t="s">
        <v>260</v>
      </c>
      <c r="N1559" s="1" t="s">
        <v>357</v>
      </c>
      <c r="O1559" s="1" t="s">
        <v>632</v>
      </c>
      <c r="P1559" s="1" t="str">
        <f>_xlfn.CONCAT(B1559,C1559,D1559,E1559,F1559)</f>
        <v>BC Ibiuna 1.2Inverter(MBUS-13)46053,577083333346053,577083333346053,6013888889</v>
      </c>
      <c r="Q1559" s="1" t="str">
        <f t="shared" si="47"/>
        <v>DAURDE</v>
      </c>
    </row>
    <row r="1560" spans="2:17">
      <c r="B1560" s="1" t="s">
        <v>370</v>
      </c>
      <c r="C1560" s="1" t="s">
        <v>263</v>
      </c>
      <c r="D1560" s="52">
        <v>46053.57708333333</v>
      </c>
      <c r="E1560" s="52">
        <v>46053.57708333333</v>
      </c>
      <c r="F1560" s="52">
        <v>46053.601388888892</v>
      </c>
      <c r="G1560" s="53">
        <f>F1560-E1560</f>
        <v>2.4305555562023073E-2</v>
      </c>
      <c r="H1560" s="1" t="s">
        <v>257</v>
      </c>
      <c r="J1560" s="1" t="s">
        <v>258</v>
      </c>
      <c r="K1560" s="1" t="str">
        <f>_xlfn.XLOOKUP(J1560,REF!$D$2:$D$12,REF!$E$2:$E$12)</f>
        <v>Rede</v>
      </c>
      <c r="L1560" s="1" t="s">
        <v>641</v>
      </c>
      <c r="M1560" s="1" t="s">
        <v>260</v>
      </c>
      <c r="N1560" s="1" t="s">
        <v>357</v>
      </c>
      <c r="O1560" s="1" t="s">
        <v>632</v>
      </c>
      <c r="P1560" s="1" t="str">
        <f>_xlfn.CONCAT(B1560,C1560,D1560,E1560,F1560)</f>
        <v>BC Ibiuna 1.2Inverter(MBUS-14)46053,577083333346053,577083333346053,6013888889</v>
      </c>
      <c r="Q1560" s="1" t="str">
        <f t="shared" si="47"/>
        <v>DAURDE</v>
      </c>
    </row>
    <row r="1561" spans="2:17">
      <c r="B1561" s="1" t="s">
        <v>370</v>
      </c>
      <c r="C1561" s="1" t="s">
        <v>307</v>
      </c>
      <c r="D1561" s="52">
        <v>46053.57708333333</v>
      </c>
      <c r="E1561" s="52">
        <v>46053.57708333333</v>
      </c>
      <c r="F1561" s="52">
        <v>46053.601388888892</v>
      </c>
      <c r="G1561" s="53">
        <f>F1561-E1561</f>
        <v>2.4305555562023073E-2</v>
      </c>
      <c r="H1561" s="1" t="s">
        <v>257</v>
      </c>
      <c r="J1561" s="1" t="s">
        <v>258</v>
      </c>
      <c r="K1561" s="1" t="str">
        <f>_xlfn.XLOOKUP(J1561,REF!$D$2:$D$12,REF!$E$2:$E$12)</f>
        <v>Rede</v>
      </c>
      <c r="L1561" s="1" t="s">
        <v>641</v>
      </c>
      <c r="M1561" s="1" t="s">
        <v>260</v>
      </c>
      <c r="N1561" s="1" t="s">
        <v>357</v>
      </c>
      <c r="O1561" s="1" t="s">
        <v>632</v>
      </c>
      <c r="P1561" s="1" t="str">
        <f>_xlfn.CONCAT(B1561,C1561,D1561,E1561,F1561)</f>
        <v>BC Ibiuna 1.2Inverter(MBUS-15)46053,577083333346053,577083333346053,6013888889</v>
      </c>
      <c r="Q1561" s="1" t="str">
        <f t="shared" si="47"/>
        <v>DAURDE</v>
      </c>
    </row>
    <row r="1562" spans="2:17">
      <c r="B1562" s="1" t="s">
        <v>642</v>
      </c>
      <c r="C1562" s="1" t="s">
        <v>643</v>
      </c>
      <c r="D1562" s="52">
        <v>46053.597916666666</v>
      </c>
      <c r="E1562" s="52">
        <v>46053.597916666666</v>
      </c>
      <c r="F1562" s="52">
        <v>46053.645833333336</v>
      </c>
      <c r="G1562" s="53">
        <f>F1562-E1562</f>
        <v>4.7916666670062114E-2</v>
      </c>
      <c r="H1562" s="1" t="s">
        <v>268</v>
      </c>
      <c r="I1562" s="1" t="s">
        <v>269</v>
      </c>
      <c r="J1562" s="1" t="s">
        <v>319</v>
      </c>
      <c r="K1562" s="1" t="str">
        <f>_xlfn.XLOOKUP(J1562,REF!$D$2:$D$12,REF!$E$2:$E$12)</f>
        <v>Comunicação</v>
      </c>
      <c r="L1562" s="1" t="s">
        <v>644</v>
      </c>
      <c r="M1562" s="1" t="s">
        <v>289</v>
      </c>
      <c r="N1562" s="1" t="s">
        <v>253</v>
      </c>
      <c r="O1562" s="1" t="s">
        <v>645</v>
      </c>
      <c r="P1562" s="1" t="str">
        <f>_xlfn.CONCAT(B1562,C1562,D1562,E1562,F1562)</f>
        <v>BC Rio Bonito2INV-00146053,597916666746053,597916666746053,6458333333</v>
      </c>
      <c r="Q1562" s="1" t="str">
        <f t="shared" si="47"/>
        <v>LIGRFOCOM</v>
      </c>
    </row>
    <row r="1563" spans="2:17">
      <c r="B1563" s="1" t="s">
        <v>642</v>
      </c>
      <c r="C1563" s="1" t="s">
        <v>646</v>
      </c>
      <c r="D1563" s="52">
        <v>46053.597916666666</v>
      </c>
      <c r="E1563" s="52">
        <v>46053.597916666666</v>
      </c>
      <c r="F1563" s="52">
        <v>46053.645833333336</v>
      </c>
      <c r="G1563" s="53">
        <f>F1563-E1563</f>
        <v>4.7916666670062114E-2</v>
      </c>
      <c r="H1563" s="1" t="s">
        <v>268</v>
      </c>
      <c r="I1563" s="1" t="s">
        <v>269</v>
      </c>
      <c r="J1563" s="1" t="s">
        <v>319</v>
      </c>
      <c r="K1563" s="1" t="str">
        <f>_xlfn.XLOOKUP(J1563,REF!$D$2:$D$12,REF!$E$2:$E$12)</f>
        <v>Comunicação</v>
      </c>
      <c r="L1563" s="1" t="s">
        <v>644</v>
      </c>
      <c r="M1563" s="1" t="s">
        <v>289</v>
      </c>
      <c r="N1563" s="1" t="s">
        <v>253</v>
      </c>
      <c r="O1563" s="1" t="s">
        <v>645</v>
      </c>
      <c r="P1563" s="1" t="str">
        <f>_xlfn.CONCAT(B1563,C1563,D1563,E1563,F1563)</f>
        <v>BC Rio Bonito2INV-00246053,597916666746053,597916666746053,6458333333</v>
      </c>
      <c r="Q1563" s="1" t="str">
        <f t="shared" si="47"/>
        <v>LIGRFOCOM</v>
      </c>
    </row>
    <row r="1564" spans="2:17">
      <c r="B1564" s="1" t="s">
        <v>642</v>
      </c>
      <c r="C1564" s="1" t="s">
        <v>647</v>
      </c>
      <c r="D1564" s="52">
        <v>46053.597916666666</v>
      </c>
      <c r="E1564" s="52">
        <v>46053.597916666666</v>
      </c>
      <c r="F1564" s="52">
        <v>46053.645833333336</v>
      </c>
      <c r="G1564" s="53">
        <f>F1564-E1564</f>
        <v>4.7916666670062114E-2</v>
      </c>
      <c r="H1564" s="1" t="s">
        <v>268</v>
      </c>
      <c r="I1564" s="1" t="s">
        <v>269</v>
      </c>
      <c r="J1564" s="1" t="s">
        <v>319</v>
      </c>
      <c r="K1564" s="1" t="str">
        <f>_xlfn.XLOOKUP(J1564,REF!$D$2:$D$12,REF!$E$2:$E$12)</f>
        <v>Comunicação</v>
      </c>
      <c r="L1564" s="1" t="s">
        <v>644</v>
      </c>
      <c r="M1564" s="1" t="s">
        <v>289</v>
      </c>
      <c r="N1564" s="1" t="s">
        <v>253</v>
      </c>
      <c r="O1564" s="1" t="s">
        <v>645</v>
      </c>
      <c r="P1564" s="1" t="str">
        <f>_xlfn.CONCAT(B1564,C1564,D1564,E1564,F1564)</f>
        <v>BC Rio Bonito2INV-00346053,597916666746053,597916666746053,6458333333</v>
      </c>
      <c r="Q1564" s="1" t="str">
        <f t="shared" si="47"/>
        <v>LIGRFOCOM</v>
      </c>
    </row>
    <row r="1565" spans="2:17">
      <c r="B1565" s="1" t="s">
        <v>642</v>
      </c>
      <c r="C1565" s="1" t="s">
        <v>648</v>
      </c>
      <c r="D1565" s="52">
        <v>46053.597916666666</v>
      </c>
      <c r="E1565" s="52">
        <v>46053.597916666666</v>
      </c>
      <c r="F1565" s="52">
        <v>46053.645833333336</v>
      </c>
      <c r="G1565" s="53">
        <f>F1565-E1565</f>
        <v>4.7916666670062114E-2</v>
      </c>
      <c r="H1565" s="1" t="s">
        <v>268</v>
      </c>
      <c r="I1565" s="1" t="s">
        <v>269</v>
      </c>
      <c r="J1565" s="1" t="s">
        <v>319</v>
      </c>
      <c r="K1565" s="1" t="str">
        <f>_xlfn.XLOOKUP(J1565,REF!$D$2:$D$12,REF!$E$2:$E$12)</f>
        <v>Comunicação</v>
      </c>
      <c r="L1565" s="1" t="s">
        <v>644</v>
      </c>
      <c r="M1565" s="1" t="s">
        <v>289</v>
      </c>
      <c r="N1565" s="1" t="s">
        <v>253</v>
      </c>
      <c r="O1565" s="1" t="s">
        <v>645</v>
      </c>
      <c r="P1565" s="1" t="str">
        <f>_xlfn.CONCAT(B1565,C1565,D1565,E1565,F1565)</f>
        <v>BC Rio Bonito2INV-00446053,597916666746053,597916666746053,6458333333</v>
      </c>
      <c r="Q1565" s="1" t="str">
        <f t="shared" si="47"/>
        <v>LIGRFOCOM</v>
      </c>
    </row>
    <row r="1566" spans="2:17">
      <c r="B1566" s="1" t="s">
        <v>495</v>
      </c>
      <c r="C1566" s="1" t="s">
        <v>496</v>
      </c>
      <c r="D1566" s="52">
        <v>46053.597916666666</v>
      </c>
      <c r="E1566" s="52">
        <v>46053.597916666666</v>
      </c>
      <c r="F1566" s="52">
        <v>46053.645833333336</v>
      </c>
      <c r="G1566" s="53">
        <f>F1566-E1566</f>
        <v>4.7916666670062114E-2</v>
      </c>
      <c r="H1566" s="1" t="s">
        <v>257</v>
      </c>
      <c r="J1566" s="1" t="s">
        <v>258</v>
      </c>
      <c r="K1566" s="1" t="str">
        <f>_xlfn.XLOOKUP(J1566,REF!$D$2:$D$12,REF!$E$2:$E$12)</f>
        <v>Rede</v>
      </c>
      <c r="L1566" s="1" t="s">
        <v>649</v>
      </c>
      <c r="M1566" s="1" t="s">
        <v>260</v>
      </c>
      <c r="N1566" s="1" t="s">
        <v>357</v>
      </c>
      <c r="O1566" s="1" t="s">
        <v>632</v>
      </c>
      <c r="P1566" s="1" t="str">
        <f>_xlfn.CONCAT(B1566,C1566,D1566,E1566,F1566)</f>
        <v>BC Rio Bonito1SG36KTL-M-17_001_01746053,597916666746053,597916666746053,6458333333</v>
      </c>
      <c r="Q1566" s="1" t="str">
        <f t="shared" si="47"/>
        <v>DAURDE</v>
      </c>
    </row>
    <row r="1567" spans="2:17">
      <c r="B1567" s="1" t="s">
        <v>495</v>
      </c>
      <c r="C1567" s="1" t="s">
        <v>501</v>
      </c>
      <c r="D1567" s="52">
        <v>46053.597916666666</v>
      </c>
      <c r="E1567" s="52">
        <v>46053.597916666666</v>
      </c>
      <c r="F1567" s="52">
        <v>46053.645833333336</v>
      </c>
      <c r="G1567" s="53">
        <f>F1567-E1567</f>
        <v>4.7916666670062114E-2</v>
      </c>
      <c r="H1567" s="1" t="s">
        <v>257</v>
      </c>
      <c r="J1567" s="1" t="s">
        <v>258</v>
      </c>
      <c r="K1567" s="1" t="str">
        <f>_xlfn.XLOOKUP(J1567,REF!$D$2:$D$12,REF!$E$2:$E$12)</f>
        <v>Rede</v>
      </c>
      <c r="L1567" s="1" t="s">
        <v>649</v>
      </c>
      <c r="M1567" s="1" t="s">
        <v>260</v>
      </c>
      <c r="N1567" s="1" t="s">
        <v>357</v>
      </c>
      <c r="O1567" s="1" t="s">
        <v>632</v>
      </c>
      <c r="P1567" s="1" t="str">
        <f>_xlfn.CONCAT(B1567,C1567,D1567,E1567,F1567)</f>
        <v>BC Rio Bonito1SG60KTL-10_001_01046053,597916666746053,597916666746053,6458333333</v>
      </c>
      <c r="Q1567" s="1" t="str">
        <f t="shared" si="47"/>
        <v>DAURDE</v>
      </c>
    </row>
    <row r="1568" spans="2:17">
      <c r="B1568" s="1" t="s">
        <v>495</v>
      </c>
      <c r="C1568" s="1" t="s">
        <v>502</v>
      </c>
      <c r="D1568" s="52">
        <v>46053.597916666666</v>
      </c>
      <c r="E1568" s="52">
        <v>46053.597916666666</v>
      </c>
      <c r="F1568" s="52">
        <v>46053.645833333336</v>
      </c>
      <c r="G1568" s="53">
        <f>F1568-E1568</f>
        <v>4.7916666670062114E-2</v>
      </c>
      <c r="H1568" s="1" t="s">
        <v>257</v>
      </c>
      <c r="J1568" s="1" t="s">
        <v>258</v>
      </c>
      <c r="K1568" s="1" t="str">
        <f>_xlfn.XLOOKUP(J1568,REF!$D$2:$D$12,REF!$E$2:$E$12)</f>
        <v>Rede</v>
      </c>
      <c r="L1568" s="1" t="s">
        <v>649</v>
      </c>
      <c r="M1568" s="1" t="s">
        <v>260</v>
      </c>
      <c r="N1568" s="1" t="s">
        <v>357</v>
      </c>
      <c r="O1568" s="1" t="s">
        <v>632</v>
      </c>
      <c r="P1568" s="1" t="str">
        <f>_xlfn.CONCAT(B1568,C1568,D1568,E1568,F1568)</f>
        <v>BC Rio Bonito1SG60KTL-11_001_01146053,597916666746053,597916666746053,6458333333</v>
      </c>
      <c r="Q1568" s="1" t="str">
        <f t="shared" si="47"/>
        <v>DAURDE</v>
      </c>
    </row>
    <row r="1569" spans="2:17">
      <c r="B1569" s="1" t="s">
        <v>495</v>
      </c>
      <c r="C1569" s="1" t="s">
        <v>503</v>
      </c>
      <c r="D1569" s="52">
        <v>46053.597916666666</v>
      </c>
      <c r="E1569" s="52">
        <v>46053.597916666666</v>
      </c>
      <c r="F1569" s="52">
        <v>46053.645833333336</v>
      </c>
      <c r="G1569" s="53">
        <f>F1569-E1569</f>
        <v>4.7916666670062114E-2</v>
      </c>
      <c r="H1569" s="1" t="s">
        <v>257</v>
      </c>
      <c r="J1569" s="1" t="s">
        <v>258</v>
      </c>
      <c r="K1569" s="1" t="str">
        <f>_xlfn.XLOOKUP(J1569,REF!$D$2:$D$12,REF!$E$2:$E$12)</f>
        <v>Rede</v>
      </c>
      <c r="L1569" s="1" t="s">
        <v>649</v>
      </c>
      <c r="M1569" s="1" t="s">
        <v>260</v>
      </c>
      <c r="N1569" s="1" t="s">
        <v>357</v>
      </c>
      <c r="O1569" s="1" t="s">
        <v>632</v>
      </c>
      <c r="P1569" s="1" t="str">
        <f>_xlfn.CONCAT(B1569,C1569,D1569,E1569,F1569)</f>
        <v>BC Rio Bonito1SG60KTL-12_001_01246053,597916666746053,597916666746053,6458333333</v>
      </c>
      <c r="Q1569" s="1" t="str">
        <f t="shared" si="47"/>
        <v>DAURDE</v>
      </c>
    </row>
    <row r="1570" spans="2:17">
      <c r="B1570" s="1" t="s">
        <v>495</v>
      </c>
      <c r="C1570" s="1" t="s">
        <v>504</v>
      </c>
      <c r="D1570" s="52">
        <v>46053.597916666666</v>
      </c>
      <c r="E1570" s="52">
        <v>46053.597916666666</v>
      </c>
      <c r="F1570" s="52">
        <v>46053.645833333336</v>
      </c>
      <c r="G1570" s="53">
        <f>F1570-E1570</f>
        <v>4.7916666670062114E-2</v>
      </c>
      <c r="H1570" s="1" t="s">
        <v>257</v>
      </c>
      <c r="J1570" s="1" t="s">
        <v>258</v>
      </c>
      <c r="K1570" s="1" t="str">
        <f>_xlfn.XLOOKUP(J1570,REF!$D$2:$D$12,REF!$E$2:$E$12)</f>
        <v>Rede</v>
      </c>
      <c r="L1570" s="1" t="s">
        <v>649</v>
      </c>
      <c r="M1570" s="1" t="s">
        <v>260</v>
      </c>
      <c r="N1570" s="1" t="s">
        <v>357</v>
      </c>
      <c r="O1570" s="1" t="s">
        <v>632</v>
      </c>
      <c r="P1570" s="1" t="str">
        <f>_xlfn.CONCAT(B1570,C1570,D1570,E1570,F1570)</f>
        <v>BC Rio Bonito1SG60KTL-13_001_01346053,597916666746053,597916666746053,6458333333</v>
      </c>
      <c r="Q1570" s="1" t="str">
        <f t="shared" si="47"/>
        <v>DAURDE</v>
      </c>
    </row>
    <row r="1571" spans="2:17">
      <c r="B1571" s="1" t="s">
        <v>495</v>
      </c>
      <c r="C1571" s="1" t="s">
        <v>505</v>
      </c>
      <c r="D1571" s="52">
        <v>46053.597916666666</v>
      </c>
      <c r="E1571" s="52">
        <v>46053.597916666666</v>
      </c>
      <c r="F1571" s="52">
        <v>46053.645833333336</v>
      </c>
      <c r="G1571" s="53">
        <f>F1571-E1571</f>
        <v>4.7916666670062114E-2</v>
      </c>
      <c r="H1571" s="1" t="s">
        <v>257</v>
      </c>
      <c r="J1571" s="1" t="s">
        <v>258</v>
      </c>
      <c r="K1571" s="1" t="str">
        <f>_xlfn.XLOOKUP(J1571,REF!$D$2:$D$12,REF!$E$2:$E$12)</f>
        <v>Rede</v>
      </c>
      <c r="L1571" s="1" t="s">
        <v>649</v>
      </c>
      <c r="M1571" s="1" t="s">
        <v>260</v>
      </c>
      <c r="N1571" s="1" t="s">
        <v>357</v>
      </c>
      <c r="O1571" s="1" t="s">
        <v>632</v>
      </c>
      <c r="P1571" s="1" t="str">
        <f>_xlfn.CONCAT(B1571,C1571,D1571,E1571,F1571)</f>
        <v>BC Rio Bonito1SG60KTL-14_001_01446053,597916666746053,597916666746053,6458333333</v>
      </c>
      <c r="Q1571" s="1" t="str">
        <f t="shared" si="47"/>
        <v>DAURDE</v>
      </c>
    </row>
    <row r="1572" spans="2:17">
      <c r="B1572" s="1" t="s">
        <v>495</v>
      </c>
      <c r="C1572" s="1" t="s">
        <v>506</v>
      </c>
      <c r="D1572" s="52">
        <v>46053.597916666666</v>
      </c>
      <c r="E1572" s="52">
        <v>46053.597916666666</v>
      </c>
      <c r="F1572" s="52">
        <v>46053.645833333336</v>
      </c>
      <c r="G1572" s="53">
        <f>F1572-E1572</f>
        <v>4.7916666670062114E-2</v>
      </c>
      <c r="H1572" s="1" t="s">
        <v>257</v>
      </c>
      <c r="J1572" s="1" t="s">
        <v>258</v>
      </c>
      <c r="K1572" s="1" t="str">
        <f>_xlfn.XLOOKUP(J1572,REF!$D$2:$D$12,REF!$E$2:$E$12)</f>
        <v>Rede</v>
      </c>
      <c r="L1572" s="1" t="s">
        <v>649</v>
      </c>
      <c r="M1572" s="1" t="s">
        <v>260</v>
      </c>
      <c r="N1572" s="1" t="s">
        <v>357</v>
      </c>
      <c r="O1572" s="1" t="s">
        <v>632</v>
      </c>
      <c r="P1572" s="1" t="str">
        <f>_xlfn.CONCAT(B1572,C1572,D1572,E1572,F1572)</f>
        <v>BC Rio Bonito1SG60KTL-15_001_01546053,597916666746053,597916666746053,6458333333</v>
      </c>
      <c r="Q1572" s="1" t="str">
        <f t="shared" si="47"/>
        <v>DAURDE</v>
      </c>
    </row>
    <row r="1573" spans="2:17">
      <c r="B1573" s="1" t="s">
        <v>495</v>
      </c>
      <c r="C1573" s="1" t="s">
        <v>507</v>
      </c>
      <c r="D1573" s="52">
        <v>46053.597916666666</v>
      </c>
      <c r="E1573" s="52">
        <v>46053.597916666666</v>
      </c>
      <c r="F1573" s="52">
        <v>46053.645833333336</v>
      </c>
      <c r="G1573" s="53">
        <f>F1573-E1573</f>
        <v>4.7916666670062114E-2</v>
      </c>
      <c r="H1573" s="1" t="s">
        <v>257</v>
      </c>
      <c r="J1573" s="1" t="s">
        <v>258</v>
      </c>
      <c r="K1573" s="1" t="str">
        <f>_xlfn.XLOOKUP(J1573,REF!$D$2:$D$12,REF!$E$2:$E$12)</f>
        <v>Rede</v>
      </c>
      <c r="L1573" s="1" t="s">
        <v>649</v>
      </c>
      <c r="M1573" s="1" t="s">
        <v>260</v>
      </c>
      <c r="N1573" s="1" t="s">
        <v>357</v>
      </c>
      <c r="O1573" s="1" t="s">
        <v>632</v>
      </c>
      <c r="P1573" s="1" t="str">
        <f>_xlfn.CONCAT(B1573,C1573,D1573,E1573,F1573)</f>
        <v>BC Rio Bonito1SG60KTL-16_001_01646053,597916666746053,597916666746053,6458333333</v>
      </c>
      <c r="Q1573" s="1" t="str">
        <f t="shared" si="47"/>
        <v>DAURDE</v>
      </c>
    </row>
    <row r="1574" spans="2:17">
      <c r="B1574" s="1" t="s">
        <v>495</v>
      </c>
      <c r="C1574" s="1" t="s">
        <v>508</v>
      </c>
      <c r="D1574" s="52">
        <v>46053.597916666666</v>
      </c>
      <c r="E1574" s="52">
        <v>46053.597916666666</v>
      </c>
      <c r="F1574" s="52">
        <v>46053.645833333336</v>
      </c>
      <c r="G1574" s="53">
        <f>F1574-E1574</f>
        <v>4.7916666670062114E-2</v>
      </c>
      <c r="H1574" s="1" t="s">
        <v>257</v>
      </c>
      <c r="J1574" s="1" t="s">
        <v>258</v>
      </c>
      <c r="K1574" s="1" t="str">
        <f>_xlfn.XLOOKUP(J1574,REF!$D$2:$D$12,REF!$E$2:$E$12)</f>
        <v>Rede</v>
      </c>
      <c r="L1574" s="1" t="s">
        <v>649</v>
      </c>
      <c r="M1574" s="1" t="s">
        <v>260</v>
      </c>
      <c r="N1574" s="1" t="s">
        <v>357</v>
      </c>
      <c r="O1574" s="1" t="s">
        <v>632</v>
      </c>
      <c r="P1574" s="1" t="str">
        <f>_xlfn.CONCAT(B1574,C1574,D1574,E1574,F1574)</f>
        <v>BC Rio Bonito1SG60KTL-1_001_00146053,597916666746053,597916666746053,6458333333</v>
      </c>
      <c r="Q1574" s="1" t="str">
        <f t="shared" si="47"/>
        <v>DAURDE</v>
      </c>
    </row>
    <row r="1575" spans="2:17">
      <c r="B1575" s="1" t="s">
        <v>495</v>
      </c>
      <c r="C1575" s="1" t="s">
        <v>509</v>
      </c>
      <c r="D1575" s="52">
        <v>46053.597916666666</v>
      </c>
      <c r="E1575" s="52">
        <v>46053.597916666666</v>
      </c>
      <c r="F1575" s="52">
        <v>46053.645833333336</v>
      </c>
      <c r="G1575" s="53">
        <f>F1575-E1575</f>
        <v>4.7916666670062114E-2</v>
      </c>
      <c r="H1575" s="1" t="s">
        <v>257</v>
      </c>
      <c r="J1575" s="1" t="s">
        <v>258</v>
      </c>
      <c r="K1575" s="1" t="str">
        <f>_xlfn.XLOOKUP(J1575,REF!$D$2:$D$12,REF!$E$2:$E$12)</f>
        <v>Rede</v>
      </c>
      <c r="L1575" s="1" t="s">
        <v>649</v>
      </c>
      <c r="M1575" s="1" t="s">
        <v>260</v>
      </c>
      <c r="N1575" s="1" t="s">
        <v>357</v>
      </c>
      <c r="O1575" s="1" t="s">
        <v>632</v>
      </c>
      <c r="P1575" s="1" t="str">
        <f>_xlfn.CONCAT(B1575,C1575,D1575,E1575,F1575)</f>
        <v>BC Rio Bonito1SG60KTL-2_001_00246053,597916666746053,597916666746053,6458333333</v>
      </c>
      <c r="Q1575" s="1" t="str">
        <f t="shared" si="47"/>
        <v>DAURDE</v>
      </c>
    </row>
    <row r="1576" spans="2:17">
      <c r="B1576" s="1" t="s">
        <v>495</v>
      </c>
      <c r="C1576" s="1" t="s">
        <v>510</v>
      </c>
      <c r="D1576" s="52">
        <v>46053.597916666666</v>
      </c>
      <c r="E1576" s="52">
        <v>46053.597916666666</v>
      </c>
      <c r="F1576" s="52">
        <v>46053.645833333336</v>
      </c>
      <c r="G1576" s="53">
        <f>F1576-E1576</f>
        <v>4.7916666670062114E-2</v>
      </c>
      <c r="H1576" s="1" t="s">
        <v>257</v>
      </c>
      <c r="J1576" s="1" t="s">
        <v>258</v>
      </c>
      <c r="K1576" s="1" t="str">
        <f>_xlfn.XLOOKUP(J1576,REF!$D$2:$D$12,REF!$E$2:$E$12)</f>
        <v>Rede</v>
      </c>
      <c r="L1576" s="1" t="s">
        <v>649</v>
      </c>
      <c r="M1576" s="1" t="s">
        <v>260</v>
      </c>
      <c r="N1576" s="1" t="s">
        <v>357</v>
      </c>
      <c r="O1576" s="1" t="s">
        <v>632</v>
      </c>
      <c r="P1576" s="1" t="str">
        <f>_xlfn.CONCAT(B1576,C1576,D1576,E1576,F1576)</f>
        <v>BC Rio Bonito1SG60KTL-3_001_00346053,597916666746053,597916666746053,6458333333</v>
      </c>
      <c r="Q1576" s="1" t="str">
        <f t="shared" si="47"/>
        <v>DAURDE</v>
      </c>
    </row>
    <row r="1577" spans="2:17">
      <c r="B1577" s="1" t="s">
        <v>495</v>
      </c>
      <c r="C1577" s="1" t="s">
        <v>511</v>
      </c>
      <c r="D1577" s="52">
        <v>46053.597916666666</v>
      </c>
      <c r="E1577" s="52">
        <v>46053.597916666666</v>
      </c>
      <c r="F1577" s="52">
        <v>46053.645833333336</v>
      </c>
      <c r="G1577" s="53">
        <f>F1577-E1577</f>
        <v>4.7916666670062114E-2</v>
      </c>
      <c r="H1577" s="1" t="s">
        <v>257</v>
      </c>
      <c r="J1577" s="1" t="s">
        <v>258</v>
      </c>
      <c r="K1577" s="1" t="str">
        <f>_xlfn.XLOOKUP(J1577,REF!$D$2:$D$12,REF!$E$2:$E$12)</f>
        <v>Rede</v>
      </c>
      <c r="L1577" s="1" t="s">
        <v>649</v>
      </c>
      <c r="M1577" s="1" t="s">
        <v>260</v>
      </c>
      <c r="N1577" s="1" t="s">
        <v>357</v>
      </c>
      <c r="O1577" s="1" t="s">
        <v>632</v>
      </c>
      <c r="P1577" s="1" t="str">
        <f>_xlfn.CONCAT(B1577,C1577,D1577,E1577,F1577)</f>
        <v>BC Rio Bonito1SG60KTL-4_001_00446053,597916666746053,597916666746053,6458333333</v>
      </c>
      <c r="Q1577" s="1" t="str">
        <f t="shared" si="47"/>
        <v>DAURDE</v>
      </c>
    </row>
    <row r="1578" spans="2:17">
      <c r="B1578" s="1" t="s">
        <v>495</v>
      </c>
      <c r="C1578" s="1" t="s">
        <v>512</v>
      </c>
      <c r="D1578" s="52">
        <v>46053.597916666666</v>
      </c>
      <c r="E1578" s="52">
        <v>46053.597916666666</v>
      </c>
      <c r="F1578" s="52">
        <v>46053.645833333336</v>
      </c>
      <c r="G1578" s="53">
        <f>F1578-E1578</f>
        <v>4.7916666670062114E-2</v>
      </c>
      <c r="H1578" s="1" t="s">
        <v>257</v>
      </c>
      <c r="J1578" s="1" t="s">
        <v>258</v>
      </c>
      <c r="K1578" s="1" t="str">
        <f>_xlfn.XLOOKUP(J1578,REF!$D$2:$D$12,REF!$E$2:$E$12)</f>
        <v>Rede</v>
      </c>
      <c r="L1578" s="1" t="s">
        <v>649</v>
      </c>
      <c r="M1578" s="1" t="s">
        <v>260</v>
      </c>
      <c r="N1578" s="1" t="s">
        <v>357</v>
      </c>
      <c r="O1578" s="1" t="s">
        <v>632</v>
      </c>
      <c r="P1578" s="1" t="str">
        <f>_xlfn.CONCAT(B1578,C1578,D1578,E1578,F1578)</f>
        <v>BC Rio Bonito1SG60KTL-5_001_00546053,597916666746053,597916666746053,6458333333</v>
      </c>
      <c r="Q1578" s="1" t="str">
        <f t="shared" si="47"/>
        <v>DAURDE</v>
      </c>
    </row>
    <row r="1579" spans="2:17">
      <c r="B1579" s="1" t="s">
        <v>495</v>
      </c>
      <c r="C1579" s="1" t="s">
        <v>513</v>
      </c>
      <c r="D1579" s="52">
        <v>46053.597916666666</v>
      </c>
      <c r="E1579" s="52">
        <v>46053.597916666666</v>
      </c>
      <c r="F1579" s="52">
        <v>46053.645833333336</v>
      </c>
      <c r="G1579" s="53">
        <f>F1579-E1579</f>
        <v>4.7916666670062114E-2</v>
      </c>
      <c r="H1579" s="1" t="s">
        <v>257</v>
      </c>
      <c r="J1579" s="1" t="s">
        <v>258</v>
      </c>
      <c r="K1579" s="1" t="str">
        <f>_xlfn.XLOOKUP(J1579,REF!$D$2:$D$12,REF!$E$2:$E$12)</f>
        <v>Rede</v>
      </c>
      <c r="L1579" s="1" t="s">
        <v>649</v>
      </c>
      <c r="M1579" s="1" t="s">
        <v>260</v>
      </c>
      <c r="N1579" s="1" t="s">
        <v>357</v>
      </c>
      <c r="O1579" s="1" t="s">
        <v>632</v>
      </c>
      <c r="P1579" s="1" t="str">
        <f>_xlfn.CONCAT(B1579,C1579,D1579,E1579,F1579)</f>
        <v>BC Rio Bonito1SG60KTL-6_001_00646053,597916666746053,597916666746053,6458333333</v>
      </c>
      <c r="Q1579" s="1" t="str">
        <f t="shared" si="47"/>
        <v>DAURDE</v>
      </c>
    </row>
    <row r="1580" spans="2:17">
      <c r="B1580" s="1" t="s">
        <v>495</v>
      </c>
      <c r="C1580" s="1" t="s">
        <v>514</v>
      </c>
      <c r="D1580" s="52">
        <v>46053.597916666666</v>
      </c>
      <c r="E1580" s="52">
        <v>46053.597916666666</v>
      </c>
      <c r="F1580" s="52">
        <v>46053.645833333336</v>
      </c>
      <c r="G1580" s="53">
        <f>F1580-E1580</f>
        <v>4.7916666670062114E-2</v>
      </c>
      <c r="H1580" s="1" t="s">
        <v>257</v>
      </c>
      <c r="J1580" s="1" t="s">
        <v>258</v>
      </c>
      <c r="K1580" s="1" t="str">
        <f>_xlfn.XLOOKUP(J1580,REF!$D$2:$D$12,REF!$E$2:$E$12)</f>
        <v>Rede</v>
      </c>
      <c r="L1580" s="1" t="s">
        <v>649</v>
      </c>
      <c r="M1580" s="1" t="s">
        <v>260</v>
      </c>
      <c r="N1580" s="1" t="s">
        <v>357</v>
      </c>
      <c r="O1580" s="1" t="s">
        <v>632</v>
      </c>
      <c r="P1580" s="1" t="str">
        <f>_xlfn.CONCAT(B1580,C1580,D1580,E1580,F1580)</f>
        <v>BC Rio Bonito1SG60KTL-7_001_00746053,597916666746053,597916666746053,6458333333</v>
      </c>
      <c r="Q1580" s="1" t="str">
        <f t="shared" si="47"/>
        <v>DAURDE</v>
      </c>
    </row>
    <row r="1581" spans="2:17">
      <c r="B1581" s="1" t="s">
        <v>495</v>
      </c>
      <c r="C1581" s="1" t="s">
        <v>515</v>
      </c>
      <c r="D1581" s="52">
        <v>46053.597916666666</v>
      </c>
      <c r="E1581" s="52">
        <v>46053.597916666666</v>
      </c>
      <c r="F1581" s="52">
        <v>46053.645833333336</v>
      </c>
      <c r="G1581" s="53">
        <f>F1581-E1581</f>
        <v>4.7916666670062114E-2</v>
      </c>
      <c r="H1581" s="1" t="s">
        <v>257</v>
      </c>
      <c r="J1581" s="1" t="s">
        <v>258</v>
      </c>
      <c r="K1581" s="1" t="str">
        <f>_xlfn.XLOOKUP(J1581,REF!$D$2:$D$12,REF!$E$2:$E$12)</f>
        <v>Rede</v>
      </c>
      <c r="L1581" s="1" t="s">
        <v>649</v>
      </c>
      <c r="M1581" s="1" t="s">
        <v>260</v>
      </c>
      <c r="N1581" s="1" t="s">
        <v>357</v>
      </c>
      <c r="O1581" s="1" t="s">
        <v>632</v>
      </c>
      <c r="P1581" s="1" t="str">
        <f>_xlfn.CONCAT(B1581,C1581,D1581,E1581,F1581)</f>
        <v>BC Rio Bonito1SG60KTL-8_001_00846053,597916666746053,597916666746053,6458333333</v>
      </c>
      <c r="Q1581" s="1" t="str">
        <f t="shared" si="47"/>
        <v>DAURDE</v>
      </c>
    </row>
    <row r="1582" spans="2:17">
      <c r="B1582" s="1" t="s">
        <v>495</v>
      </c>
      <c r="C1582" s="1" t="s">
        <v>516</v>
      </c>
      <c r="D1582" s="52">
        <v>46053.597916666666</v>
      </c>
      <c r="E1582" s="52">
        <v>46053.597916666666</v>
      </c>
      <c r="F1582" s="52">
        <v>46053.645833333336</v>
      </c>
      <c r="G1582" s="53">
        <f>F1582-E1582</f>
        <v>4.7916666670062114E-2</v>
      </c>
      <c r="H1582" s="1" t="s">
        <v>257</v>
      </c>
      <c r="J1582" s="1" t="s">
        <v>258</v>
      </c>
      <c r="K1582" s="1" t="str">
        <f>_xlfn.XLOOKUP(J1582,REF!$D$2:$D$12,REF!$E$2:$E$12)</f>
        <v>Rede</v>
      </c>
      <c r="L1582" s="1" t="s">
        <v>649</v>
      </c>
      <c r="M1582" s="1" t="s">
        <v>260</v>
      </c>
      <c r="N1582" s="1" t="s">
        <v>357</v>
      </c>
      <c r="O1582" s="1" t="s">
        <v>632</v>
      </c>
      <c r="P1582" s="1" t="str">
        <f>_xlfn.CONCAT(B1582,C1582,D1582,E1582,F1582)</f>
        <v>BC Rio Bonito1SG60KTL-9_001_00946053,597916666746053,597916666746053,6458333333</v>
      </c>
      <c r="Q1582" s="1" t="str">
        <f t="shared" si="47"/>
        <v>DAURDE</v>
      </c>
    </row>
    <row r="1583" spans="2:17">
      <c r="B1583" s="1" t="s">
        <v>255</v>
      </c>
      <c r="C1583" s="1" t="s">
        <v>256</v>
      </c>
      <c r="D1583" s="52">
        <v>46053.895833333336</v>
      </c>
      <c r="E1583" s="52">
        <v>46053.895833333336</v>
      </c>
      <c r="F1583" s="52">
        <v>46054.447916666664</v>
      </c>
      <c r="G1583" s="53">
        <f>F1583-E1583</f>
        <v>0.55208333332848269</v>
      </c>
      <c r="H1583" s="1" t="s">
        <v>257</v>
      </c>
      <c r="J1583" s="1" t="s">
        <v>258</v>
      </c>
      <c r="K1583" s="1" t="str">
        <f>_xlfn.XLOOKUP(J1583,REF!$D$2:$D$12,REF!$E$2:$E$12)</f>
        <v>Rede</v>
      </c>
      <c r="L1583" s="1" t="s">
        <v>650</v>
      </c>
      <c r="M1583" s="1" t="s">
        <v>260</v>
      </c>
      <c r="N1583" s="1" t="s">
        <v>357</v>
      </c>
      <c r="O1583" s="1" t="s">
        <v>632</v>
      </c>
      <c r="P1583" s="1" t="str">
        <f>_xlfn.CONCAT(B1583,C1583,D1583,E1583,F1583)</f>
        <v>BC Formoso2.1Inverter(MBUS-12)46053,895833333346053,895833333346054,4479166667</v>
      </c>
      <c r="Q1583" s="1" t="str">
        <f t="shared" si="47"/>
        <v>DAURDE</v>
      </c>
    </row>
    <row r="1584" spans="2:17">
      <c r="B1584" s="1" t="s">
        <v>255</v>
      </c>
      <c r="C1584" s="1" t="s">
        <v>263</v>
      </c>
      <c r="D1584" s="52">
        <v>46053.895833333336</v>
      </c>
      <c r="E1584" s="52">
        <v>46053.895833333336</v>
      </c>
      <c r="F1584" s="52">
        <v>46054.447916666664</v>
      </c>
      <c r="G1584" s="53">
        <f>F1584-E1584</f>
        <v>0.55208333332848269</v>
      </c>
      <c r="H1584" s="1" t="s">
        <v>257</v>
      </c>
      <c r="J1584" s="1" t="s">
        <v>258</v>
      </c>
      <c r="K1584" s="1" t="str">
        <f>_xlfn.XLOOKUP(J1584,REF!$D$2:$D$12,REF!$E$2:$E$12)</f>
        <v>Rede</v>
      </c>
      <c r="L1584" s="1" t="s">
        <v>650</v>
      </c>
      <c r="M1584" s="1" t="s">
        <v>260</v>
      </c>
      <c r="N1584" s="1" t="s">
        <v>357</v>
      </c>
      <c r="O1584" s="1" t="s">
        <v>632</v>
      </c>
      <c r="P1584" s="1" t="str">
        <f>_xlfn.CONCAT(B1584,C1584,D1584,E1584,F1584)</f>
        <v>BC Formoso2.1Inverter(MBUS-14)46053,895833333346053,895833333346054,4479166667</v>
      </c>
      <c r="Q1584" s="1" t="str">
        <f t="shared" si="47"/>
        <v>DAURDE</v>
      </c>
    </row>
    <row r="1585" spans="2:17">
      <c r="B1585" s="1" t="s">
        <v>255</v>
      </c>
      <c r="C1585" s="1" t="s">
        <v>264</v>
      </c>
      <c r="D1585" s="52">
        <v>46053.895833333336</v>
      </c>
      <c r="E1585" s="52">
        <v>46053.895833333336</v>
      </c>
      <c r="F1585" s="52">
        <v>46054.447916666664</v>
      </c>
      <c r="G1585" s="53">
        <f>F1585-E1585</f>
        <v>0.55208333332848269</v>
      </c>
      <c r="H1585" s="1" t="s">
        <v>257</v>
      </c>
      <c r="J1585" s="1" t="s">
        <v>258</v>
      </c>
      <c r="K1585" s="1" t="str">
        <f>_xlfn.XLOOKUP(J1585,REF!$D$2:$D$12,REF!$E$2:$E$12)</f>
        <v>Rede</v>
      </c>
      <c r="L1585" s="1" t="s">
        <v>650</v>
      </c>
      <c r="M1585" s="1" t="s">
        <v>260</v>
      </c>
      <c r="N1585" s="1" t="s">
        <v>357</v>
      </c>
      <c r="O1585" s="1" t="s">
        <v>632</v>
      </c>
      <c r="P1585" s="1" t="str">
        <f>_xlfn.CONCAT(B1585,C1585,D1585,E1585,F1585)</f>
        <v>BC Formoso2.1Inverter(MBUS-13)46053,895833333346053,895833333346054,4479166667</v>
      </c>
      <c r="Q1585" s="1" t="str">
        <f t="shared" si="47"/>
        <v>DAURDE</v>
      </c>
    </row>
    <row r="1586" spans="2:17">
      <c r="B1586" s="1" t="s">
        <v>255</v>
      </c>
      <c r="C1586" s="1" t="s">
        <v>247</v>
      </c>
      <c r="D1586" s="52">
        <v>46053.895833333336</v>
      </c>
      <c r="E1586" s="52">
        <v>46053.895833333336</v>
      </c>
      <c r="F1586" s="52">
        <v>46054.447916666664</v>
      </c>
      <c r="G1586" s="53">
        <f>F1586-E1586</f>
        <v>0.55208333332848269</v>
      </c>
      <c r="H1586" s="1" t="s">
        <v>257</v>
      </c>
      <c r="J1586" s="1" t="s">
        <v>258</v>
      </c>
      <c r="K1586" s="1" t="str">
        <f>_xlfn.XLOOKUP(J1586,REF!$D$2:$D$12,REF!$E$2:$E$12)</f>
        <v>Rede</v>
      </c>
      <c r="L1586" s="1" t="s">
        <v>650</v>
      </c>
      <c r="M1586" s="1" t="s">
        <v>260</v>
      </c>
      <c r="N1586" s="1" t="s">
        <v>357</v>
      </c>
      <c r="O1586" s="1" t="s">
        <v>632</v>
      </c>
      <c r="P1586" s="1" t="str">
        <f>_xlfn.CONCAT(B1586,C1586,D1586,E1586,F1586)</f>
        <v>BC Formoso2.1Inverter(MBUS-1)46053,895833333346053,895833333346054,4479166667</v>
      </c>
      <c r="Q1586" s="1" t="str">
        <f t="shared" si="47"/>
        <v>DAURDE</v>
      </c>
    </row>
    <row r="1587" spans="2:17">
      <c r="B1587" s="1" t="s">
        <v>265</v>
      </c>
      <c r="C1587" s="1" t="s">
        <v>263</v>
      </c>
      <c r="D1587" s="52">
        <v>46053.895833333336</v>
      </c>
      <c r="E1587" s="52">
        <v>46053.895833333336</v>
      </c>
      <c r="F1587" s="52">
        <v>46054.447916666664</v>
      </c>
      <c r="G1587" s="53">
        <f>F1587-E1587</f>
        <v>0.55208333332848269</v>
      </c>
      <c r="H1587" s="1" t="s">
        <v>257</v>
      </c>
      <c r="J1587" s="1" t="s">
        <v>258</v>
      </c>
      <c r="K1587" s="1" t="str">
        <f>_xlfn.XLOOKUP(J1587,REF!$D$2:$D$12,REF!$E$2:$E$12)</f>
        <v>Rede</v>
      </c>
      <c r="L1587" s="1" t="s">
        <v>650</v>
      </c>
      <c r="M1587" s="1" t="s">
        <v>260</v>
      </c>
      <c r="N1587" s="1" t="s">
        <v>357</v>
      </c>
      <c r="O1587" s="1" t="s">
        <v>632</v>
      </c>
      <c r="P1587" s="1" t="str">
        <f>_xlfn.CONCAT(B1587,C1587,D1587,E1587,F1587)</f>
        <v>BC Formoso2.2Inverter(MBUS-14)46053,895833333346053,895833333346054,4479166667</v>
      </c>
      <c r="Q1587" s="1" t="str">
        <f t="shared" si="47"/>
        <v>DAURDE</v>
      </c>
    </row>
    <row r="1588" spans="2:17">
      <c r="B1588" s="1" t="s">
        <v>265</v>
      </c>
      <c r="C1588" s="1" t="s">
        <v>264</v>
      </c>
      <c r="D1588" s="52">
        <v>46053.895833333336</v>
      </c>
      <c r="E1588" s="52">
        <v>46053.895833333336</v>
      </c>
      <c r="F1588" s="52">
        <v>46054.447916666664</v>
      </c>
      <c r="G1588" s="53">
        <f>F1588-E1588</f>
        <v>0.55208333332848269</v>
      </c>
      <c r="H1588" s="1" t="s">
        <v>257</v>
      </c>
      <c r="J1588" s="1" t="s">
        <v>258</v>
      </c>
      <c r="K1588" s="1" t="str">
        <f>_xlfn.XLOOKUP(J1588,REF!$D$2:$D$12,REF!$E$2:$E$12)</f>
        <v>Rede</v>
      </c>
      <c r="L1588" s="1" t="s">
        <v>650</v>
      </c>
      <c r="M1588" s="1" t="s">
        <v>260</v>
      </c>
      <c r="N1588" s="1" t="s">
        <v>357</v>
      </c>
      <c r="O1588" s="1" t="s">
        <v>632</v>
      </c>
      <c r="P1588" s="1" t="str">
        <f>_xlfn.CONCAT(B1588,C1588,D1588,E1588,F1588)</f>
        <v>BC Formoso2.2Inverter(MBUS-13)46053,895833333346053,895833333346054,4479166667</v>
      </c>
      <c r="Q1588" s="1" t="str">
        <f t="shared" si="47"/>
        <v>DAURDE</v>
      </c>
    </row>
    <row r="1589" spans="2:17">
      <c r="B1589" s="1" t="s">
        <v>265</v>
      </c>
      <c r="C1589" s="1" t="s">
        <v>256</v>
      </c>
      <c r="D1589" s="52">
        <v>46053.895833333336</v>
      </c>
      <c r="E1589" s="52">
        <v>46053.895833333336</v>
      </c>
      <c r="F1589" s="52">
        <v>46054.447916666664</v>
      </c>
      <c r="G1589" s="53">
        <f>F1589-E1589</f>
        <v>0.55208333332848269</v>
      </c>
      <c r="H1589" s="1" t="s">
        <v>257</v>
      </c>
      <c r="J1589" s="1" t="s">
        <v>258</v>
      </c>
      <c r="K1589" s="1" t="str">
        <f>_xlfn.XLOOKUP(J1589,REF!$D$2:$D$12,REF!$E$2:$E$12)</f>
        <v>Rede</v>
      </c>
      <c r="L1589" s="1" t="s">
        <v>650</v>
      </c>
      <c r="M1589" s="1" t="s">
        <v>260</v>
      </c>
      <c r="N1589" s="1" t="s">
        <v>357</v>
      </c>
      <c r="O1589" s="1" t="s">
        <v>632</v>
      </c>
      <c r="P1589" s="1" t="str">
        <f>_xlfn.CONCAT(B1589,C1589,D1589,E1589,F1589)</f>
        <v>BC Formoso2.2Inverter(MBUS-12)46053,895833333346053,895833333346054,4479166667</v>
      </c>
      <c r="Q1589" s="1" t="str">
        <f t="shared" si="47"/>
        <v>DAURDE</v>
      </c>
    </row>
    <row r="1590" spans="2:17">
      <c r="B1590" s="1" t="s">
        <v>265</v>
      </c>
      <c r="C1590" s="1" t="s">
        <v>247</v>
      </c>
      <c r="D1590" s="52">
        <v>46053.895833333336</v>
      </c>
      <c r="E1590" s="52">
        <v>46053.895833333336</v>
      </c>
      <c r="F1590" s="52">
        <v>46054.447916666664</v>
      </c>
      <c r="G1590" s="53">
        <f>F1590-E1590</f>
        <v>0.55208333332848269</v>
      </c>
      <c r="H1590" s="1" t="s">
        <v>257</v>
      </c>
      <c r="J1590" s="1" t="s">
        <v>258</v>
      </c>
      <c r="K1590" s="1" t="str">
        <f>_xlfn.XLOOKUP(J1590,REF!$D$2:$D$12,REF!$E$2:$E$12)</f>
        <v>Rede</v>
      </c>
      <c r="L1590" s="1" t="s">
        <v>650</v>
      </c>
      <c r="M1590" s="1" t="s">
        <v>260</v>
      </c>
      <c r="N1590" s="1" t="s">
        <v>357</v>
      </c>
      <c r="O1590" s="1" t="s">
        <v>632</v>
      </c>
      <c r="P1590" s="1" t="str">
        <f>_xlfn.CONCAT(B1590,C1590,D1590,E1590,F1590)</f>
        <v>BC Formoso2.2Inverter(MBUS-1)46053,895833333346053,895833333346054,4479166667</v>
      </c>
      <c r="Q1590" s="1" t="str">
        <f t="shared" si="47"/>
        <v>DAURDE</v>
      </c>
    </row>
    <row r="1591" spans="2:17">
      <c r="B1591" s="1" t="s">
        <v>355</v>
      </c>
      <c r="C1591" s="1" t="s">
        <v>264</v>
      </c>
      <c r="D1591" s="52">
        <v>46053.895833333336</v>
      </c>
      <c r="E1591" s="52">
        <v>46053.895833333336</v>
      </c>
      <c r="F1591" s="52">
        <v>46054.447916666664</v>
      </c>
      <c r="G1591" s="53">
        <f>F1591-E1591</f>
        <v>0.55208333332848269</v>
      </c>
      <c r="H1591" s="1" t="s">
        <v>257</v>
      </c>
      <c r="J1591" s="1" t="s">
        <v>258</v>
      </c>
      <c r="K1591" s="1" t="str">
        <f>_xlfn.XLOOKUP(J1591,REF!$D$2:$D$12,REF!$E$2:$E$12)</f>
        <v>Rede</v>
      </c>
      <c r="L1591" s="1" t="s">
        <v>650</v>
      </c>
      <c r="M1591" s="1" t="s">
        <v>260</v>
      </c>
      <c r="N1591" s="1" t="s">
        <v>357</v>
      </c>
      <c r="O1591" s="1" t="s">
        <v>632</v>
      </c>
      <c r="P1591" s="1" t="str">
        <f>_xlfn.CONCAT(B1591,C1591,D1591,E1591,F1591)</f>
        <v>BC Formoso2.3Inverter(MBUS-13)46053,895833333346053,895833333346054,4479166667</v>
      </c>
      <c r="Q1591" s="1" t="str">
        <f t="shared" si="47"/>
        <v>DAURDE</v>
      </c>
    </row>
    <row r="1592" spans="2:17">
      <c r="B1592" s="1" t="s">
        <v>355</v>
      </c>
      <c r="C1592" s="1" t="s">
        <v>256</v>
      </c>
      <c r="D1592" s="52">
        <v>46053.895833333336</v>
      </c>
      <c r="E1592" s="52">
        <v>46053.895833333336</v>
      </c>
      <c r="F1592" s="52">
        <v>46054.447916666664</v>
      </c>
      <c r="G1592" s="53">
        <f>F1592-E1592</f>
        <v>0.55208333332848269</v>
      </c>
      <c r="H1592" s="1" t="s">
        <v>257</v>
      </c>
      <c r="J1592" s="1" t="s">
        <v>258</v>
      </c>
      <c r="K1592" s="1" t="str">
        <f>_xlfn.XLOOKUP(J1592,REF!$D$2:$D$12,REF!$E$2:$E$12)</f>
        <v>Rede</v>
      </c>
      <c r="L1592" s="1" t="s">
        <v>650</v>
      </c>
      <c r="M1592" s="1" t="s">
        <v>260</v>
      </c>
      <c r="N1592" s="1" t="s">
        <v>357</v>
      </c>
      <c r="O1592" s="1" t="s">
        <v>632</v>
      </c>
      <c r="P1592" s="1" t="str">
        <f>_xlfn.CONCAT(B1592,C1592,D1592,E1592,F1592)</f>
        <v>BC Formoso2.3Inverter(MBUS-12)46053,895833333346053,895833333346054,4479166667</v>
      </c>
      <c r="Q1592" s="1" t="str">
        <f t="shared" si="47"/>
        <v>DAURDE</v>
      </c>
    </row>
  </sheetData>
  <autoFilter ref="A1:Q1592" xr:uid="{EA8888B3-0791-4637-B681-517321FB3D7B}">
    <sortState xmlns:xlrd2="http://schemas.microsoft.com/office/spreadsheetml/2017/richdata2" ref="A2:Q1592">
      <sortCondition ref="D1:D1592"/>
    </sortState>
  </autoFilter>
  <conditionalFormatting sqref="P1">
    <cfRule type="duplicateValues" dxfId="19" priority="4"/>
    <cfRule type="duplicateValues" dxfId="18" priority="5"/>
  </conditionalFormatting>
  <conditionalFormatting sqref="P1575:P1048576 P1">
    <cfRule type="duplicateValues" dxfId="17" priority="3"/>
  </conditionalFormatting>
  <conditionalFormatting sqref="P3:P67">
    <cfRule type="duplicateValues" dxfId="16" priority="2"/>
  </conditionalFormatting>
  <conditionalFormatting sqref="P2">
    <cfRule type="duplicateValues" dxfId="15" priority="1"/>
  </conditionalFormatting>
  <conditionalFormatting sqref="P68:P1574">
    <cfRule type="duplicateValues" dxfId="14" priority="32"/>
  </conditionalFormatting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3C96B9B-7E10-4E26-8ACC-7183D8F45841}">
          <x14:formula1>
            <xm:f>REF!$A$2:$A$13</xm:f>
          </x14:formula1>
          <xm:sqref>N1531 N1514 N1525:N1526 N2:N1424</xm:sqref>
        </x14:dataValidation>
        <x14:dataValidation type="list" allowBlank="1" showInputMessage="1" showErrorMessage="1" xr:uid="{0A8E8DA5-6F44-4BF4-AEF1-C168681982E7}">
          <x14:formula1>
            <xm:f>REF!$C$2:$C$6</xm:f>
          </x14:formula1>
          <xm:sqref>I802:I804 I755:I798 I1308:I1424 I2:I704 I921:I923 I896:I900 I999:I1306</xm:sqref>
        </x14:dataValidation>
        <x14:dataValidation type="list" allowBlank="1" showInputMessage="1" showErrorMessage="1" xr:uid="{9A14AA4E-EDC3-4FB1-96BB-7DA92E2F37AA}">
          <x14:formula1>
            <xm:f>REF!$D$2:$D$13</xm:f>
          </x14:formula1>
          <xm:sqref>J2:J1424</xm:sqref>
        </x14:dataValidation>
        <x14:dataValidation type="list" allowBlank="1" showInputMessage="1" showErrorMessage="1" xr:uid="{69FB2C4B-71F8-4A85-B9F5-EEE83C293346}">
          <x14:formula1>
            <xm:f>REF!$F$2:$F$16</xm:f>
          </x14:formula1>
          <xm:sqref>M2:M1424</xm:sqref>
        </x14:dataValidation>
        <x14:dataValidation type="list" allowBlank="1" showInputMessage="1" showErrorMessage="1" xr:uid="{CD3A700B-E1E2-4977-ADF1-F6EC01A28500}">
          <x14:formula1>
            <xm:f>REF!$B$2:$B$7</xm:f>
          </x14:formula1>
          <xm:sqref>H2:H1424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BAC6-BDF8-4442-8462-BC03D05EAF95}">
  <dimension ref="A1:R3343"/>
  <sheetViews>
    <sheetView workbookViewId="0">
      <pane xSplit="2" topLeftCell="L1" activePane="topRight" state="frozen"/>
      <selection pane="topRight" activeCell="A2" sqref="A2:XFD2"/>
    </sheetView>
  </sheetViews>
  <sheetFormatPr defaultRowHeight="15"/>
  <cols>
    <col min="1" max="1" width="17.42578125" style="2" hidden="1" customWidth="1"/>
    <col min="2" max="2" width="32.140625" style="1" customWidth="1"/>
    <col min="3" max="3" width="29.42578125" style="1" customWidth="1"/>
    <col min="4" max="4" width="22.5703125" style="52" customWidth="1"/>
    <col min="5" max="6" width="19.5703125" style="52" bestFit="1" customWidth="1"/>
    <col min="7" max="7" width="27.140625" style="53" customWidth="1"/>
    <col min="8" max="8" width="15.7109375" style="1" customWidth="1"/>
    <col min="9" max="9" width="17" style="1" customWidth="1"/>
    <col min="10" max="10" width="14" style="1" customWidth="1"/>
    <col min="11" max="11" width="15.7109375" style="1" bestFit="1" customWidth="1"/>
    <col min="12" max="12" width="142" style="1" customWidth="1"/>
    <col min="13" max="13" width="18.28515625" style="1" bestFit="1" customWidth="1"/>
    <col min="14" max="14" width="36.5703125" style="1" customWidth="1"/>
    <col min="15" max="15" width="184" style="1" customWidth="1"/>
    <col min="16" max="16" width="90.7109375" style="1" bestFit="1" customWidth="1"/>
    <col min="17" max="17" width="16" style="1" bestFit="1" customWidth="1"/>
  </cols>
  <sheetData>
    <row r="1" spans="1:17">
      <c r="A1" s="5" t="s">
        <v>1</v>
      </c>
      <c r="B1" s="50" t="s">
        <v>230</v>
      </c>
      <c r="C1" s="50" t="s">
        <v>231</v>
      </c>
      <c r="D1" s="6" t="s">
        <v>232</v>
      </c>
      <c r="E1" s="6" t="s">
        <v>233</v>
      </c>
      <c r="F1" s="6" t="s">
        <v>234</v>
      </c>
      <c r="G1" s="51" t="s">
        <v>235</v>
      </c>
      <c r="H1" s="50" t="s">
        <v>236</v>
      </c>
      <c r="I1" s="50" t="s">
        <v>237</v>
      </c>
      <c r="J1" s="50" t="s">
        <v>238</v>
      </c>
      <c r="K1" s="50" t="s">
        <v>239</v>
      </c>
      <c r="L1" s="50" t="s">
        <v>240</v>
      </c>
      <c r="M1" s="50" t="s">
        <v>241</v>
      </c>
      <c r="N1" s="50" t="s">
        <v>242</v>
      </c>
      <c r="O1" s="50" t="s">
        <v>243</v>
      </c>
      <c r="P1" s="50" t="s">
        <v>244</v>
      </c>
      <c r="Q1" s="50" t="s">
        <v>245</v>
      </c>
    </row>
    <row r="2" spans="1:17">
      <c r="B2" s="1" t="s">
        <v>246</v>
      </c>
      <c r="C2" s="1" t="s">
        <v>247</v>
      </c>
      <c r="D2" s="52">
        <v>46027.385416666664</v>
      </c>
      <c r="E2" s="52">
        <v>46054</v>
      </c>
      <c r="F2" s="52">
        <v>46081.999305555553</v>
      </c>
      <c r="G2" s="53">
        <v>27.999988425925928</v>
      </c>
      <c r="H2" s="1" t="s">
        <v>248</v>
      </c>
      <c r="J2" s="1" t="s">
        <v>249</v>
      </c>
      <c r="K2" s="1" t="s">
        <v>250</v>
      </c>
      <c r="L2" s="1" t="s">
        <v>251</v>
      </c>
      <c r="M2" s="1" t="s">
        <v>252</v>
      </c>
      <c r="N2" s="1" t="s">
        <v>253</v>
      </c>
      <c r="O2" s="72" t="s">
        <v>651</v>
      </c>
      <c r="P2" s="1" t="str">
        <f>_xlfn.CONCAT(B2,C2,D2,E2,F2)</f>
        <v>BC Aracu5.2Inverter(MBUS-1)46027,38541666674605446081,9993055556</v>
      </c>
      <c r="Q2" s="1" t="str">
        <f>_xlfn.CONCAT(H2,I2,J2)</f>
        <v>DEMTRF</v>
      </c>
    </row>
    <row r="3" spans="1:17">
      <c r="B3" s="1" t="s">
        <v>328</v>
      </c>
      <c r="C3" s="1" t="s">
        <v>247</v>
      </c>
      <c r="D3" s="52">
        <v>46050.361111111109</v>
      </c>
      <c r="E3" s="52">
        <v>46054</v>
      </c>
      <c r="F3" s="52">
        <v>46081.999305555553</v>
      </c>
      <c r="G3" s="53">
        <v>27.999988425925928</v>
      </c>
      <c r="H3" s="1" t="s">
        <v>268</v>
      </c>
      <c r="I3" s="1" t="s">
        <v>269</v>
      </c>
      <c r="J3" s="1" t="s">
        <v>319</v>
      </c>
      <c r="K3" s="1" t="s">
        <v>652</v>
      </c>
      <c r="L3" s="1" t="s">
        <v>604</v>
      </c>
      <c r="M3" s="1" t="s">
        <v>260</v>
      </c>
      <c r="N3" s="1" t="s">
        <v>261</v>
      </c>
      <c r="O3" s="1" t="s">
        <v>626</v>
      </c>
      <c r="P3" s="1" t="str">
        <f>_xlfn.CONCAT(B3,C3,D3,E3,F3)</f>
        <v>BC Aracu5.3Inverter(MBUS-1)46050,36111111114605446081,9993055556</v>
      </c>
      <c r="Q3" s="1" t="str">
        <f>_xlfn.CONCAT(H3,I3,J3)</f>
        <v>LIGRFOCOM</v>
      </c>
    </row>
    <row r="4" spans="1:17">
      <c r="B4" s="1" t="s">
        <v>314</v>
      </c>
      <c r="C4" s="1" t="s">
        <v>264</v>
      </c>
      <c r="D4" s="52">
        <v>46054.272916666669</v>
      </c>
      <c r="E4" s="52">
        <v>46054.272916666669</v>
      </c>
      <c r="F4" s="52">
        <v>46054.434027777781</v>
      </c>
      <c r="G4" s="53">
        <v>0.16111111111111112</v>
      </c>
      <c r="H4" s="1" t="s">
        <v>257</v>
      </c>
      <c r="J4" s="1" t="s">
        <v>371</v>
      </c>
      <c r="K4" s="1" t="s">
        <v>653</v>
      </c>
      <c r="L4" s="1" t="s">
        <v>654</v>
      </c>
      <c r="M4" s="1" t="s">
        <v>289</v>
      </c>
      <c r="N4" s="1" t="s">
        <v>290</v>
      </c>
      <c r="O4" s="1" t="s">
        <v>655</v>
      </c>
      <c r="P4" s="1" t="str">
        <f>_xlfn.CONCAT(B4,C4,D4,E4,F4)</f>
        <v>BC Turvania1.3Inverter(MBUS-13)46054,272916666746054,272916666746054,4340277778</v>
      </c>
      <c r="Q4" s="1" t="str">
        <f>_xlfn.CONCAT(H4,I4,J4)</f>
        <v>DAUINV</v>
      </c>
    </row>
    <row r="5" spans="1:17">
      <c r="B5" s="1" t="s">
        <v>314</v>
      </c>
      <c r="C5" s="1" t="s">
        <v>264</v>
      </c>
      <c r="D5" s="52">
        <v>46054.434027777781</v>
      </c>
      <c r="E5" s="52">
        <v>46054.434027777781</v>
      </c>
      <c r="F5" s="52">
        <v>46081.999305555553</v>
      </c>
      <c r="G5" s="53">
        <v>27.565960648148149</v>
      </c>
      <c r="H5" s="1" t="s">
        <v>268</v>
      </c>
      <c r="I5" s="1" t="s">
        <v>269</v>
      </c>
      <c r="J5" s="1" t="s">
        <v>315</v>
      </c>
      <c r="K5" s="1" t="s">
        <v>656</v>
      </c>
      <c r="L5" s="1" t="s">
        <v>657</v>
      </c>
      <c r="M5" s="1" t="s">
        <v>289</v>
      </c>
      <c r="N5" s="1" t="s">
        <v>290</v>
      </c>
      <c r="O5" s="1" t="s">
        <v>655</v>
      </c>
      <c r="P5" s="1" t="str">
        <f>_xlfn.CONCAT(B5,C5,D5,E5,F5)</f>
        <v>BC Turvania1.3Inverter(MBUS-13)46054,434027777846054,434027777846081,9993055556</v>
      </c>
      <c r="Q5" s="1" t="str">
        <f>_xlfn.CONCAT(H5,I5,J5)</f>
        <v>LIGRFOSTR</v>
      </c>
    </row>
    <row r="6" spans="1:17">
      <c r="B6" s="1" t="s">
        <v>327</v>
      </c>
      <c r="C6" s="1" t="s">
        <v>247</v>
      </c>
      <c r="D6" s="52">
        <v>46054.36041666667</v>
      </c>
      <c r="E6" s="52">
        <v>46054.36041666667</v>
      </c>
      <c r="F6" s="52">
        <v>46054.387499999997</v>
      </c>
      <c r="G6" s="53">
        <v>2.7083333333333334E-2</v>
      </c>
      <c r="H6" s="1" t="s">
        <v>257</v>
      </c>
      <c r="J6" s="1" t="s">
        <v>258</v>
      </c>
      <c r="K6" s="1" t="s">
        <v>658</v>
      </c>
      <c r="L6" s="1" t="s">
        <v>541</v>
      </c>
      <c r="M6" s="1" t="s">
        <v>289</v>
      </c>
      <c r="N6" s="1" t="s">
        <v>290</v>
      </c>
      <c r="O6" s="1" t="s">
        <v>655</v>
      </c>
      <c r="P6" s="1" t="str">
        <f>_xlfn.CONCAT(B6,C6,D6,E6,F6)</f>
        <v>BC Aracu5.1Inverter(MBUS-1)46054,360416666746054,360416666746054,3875</v>
      </c>
      <c r="Q6" s="1" t="str">
        <f>_xlfn.CONCAT(H6,I6,J6)</f>
        <v>DAURDE</v>
      </c>
    </row>
    <row r="7" spans="1:17">
      <c r="B7" s="1" t="s">
        <v>328</v>
      </c>
      <c r="C7" s="1" t="s">
        <v>247</v>
      </c>
      <c r="D7" s="52">
        <v>46054.36041666667</v>
      </c>
      <c r="E7" s="52">
        <v>46054.36041666667</v>
      </c>
      <c r="F7" s="52">
        <v>46054.387499999997</v>
      </c>
      <c r="G7" s="53">
        <v>2.7083333333333334E-2</v>
      </c>
      <c r="H7" s="1" t="s">
        <v>257</v>
      </c>
      <c r="J7" s="1" t="s">
        <v>258</v>
      </c>
      <c r="K7" s="1" t="s">
        <v>658</v>
      </c>
      <c r="L7" s="1" t="s">
        <v>541</v>
      </c>
      <c r="M7" s="1" t="s">
        <v>289</v>
      </c>
      <c r="N7" s="1" t="s">
        <v>290</v>
      </c>
      <c r="O7" s="1" t="s">
        <v>655</v>
      </c>
      <c r="P7" s="1" t="str">
        <f>_xlfn.CONCAT(B7,C7,D7,E7,F7)</f>
        <v>BC Aracu5.3Inverter(MBUS-1)46054,360416666746054,360416666746054,3875</v>
      </c>
      <c r="Q7" s="1" t="str">
        <f>_xlfn.CONCAT(H7,I7,J7)</f>
        <v>DAURDE</v>
      </c>
    </row>
    <row r="8" spans="1:17">
      <c r="B8" s="1" t="s">
        <v>329</v>
      </c>
      <c r="C8" s="1" t="s">
        <v>247</v>
      </c>
      <c r="D8" s="52">
        <v>46054.36041666667</v>
      </c>
      <c r="E8" s="52">
        <v>46054.36041666667</v>
      </c>
      <c r="F8" s="52">
        <v>46054.387499999997</v>
      </c>
      <c r="G8" s="53">
        <v>2.7083333333333334E-2</v>
      </c>
      <c r="H8" s="1" t="s">
        <v>257</v>
      </c>
      <c r="J8" s="1" t="s">
        <v>258</v>
      </c>
      <c r="K8" s="1" t="s">
        <v>658</v>
      </c>
      <c r="L8" s="1" t="s">
        <v>541</v>
      </c>
      <c r="M8" s="1" t="s">
        <v>289</v>
      </c>
      <c r="N8" s="1" t="s">
        <v>290</v>
      </c>
      <c r="O8" s="1" t="s">
        <v>655</v>
      </c>
      <c r="P8" s="1" t="str">
        <f>_xlfn.CONCAT(B8,C8,D8,E8,F8)</f>
        <v>BC Aracu5.4Inverter(MBUS-1)46054,360416666746054,360416666746054,3875</v>
      </c>
      <c r="Q8" s="1" t="str">
        <f>_xlfn.CONCAT(H8,I8,J8)</f>
        <v>DAURDE</v>
      </c>
    </row>
    <row r="9" spans="1:17">
      <c r="B9" s="1" t="s">
        <v>330</v>
      </c>
      <c r="C9" s="1" t="s">
        <v>247</v>
      </c>
      <c r="D9" s="52">
        <v>46054.36041666667</v>
      </c>
      <c r="E9" s="52">
        <v>46054.36041666667</v>
      </c>
      <c r="F9" s="52">
        <v>46054.387499999997</v>
      </c>
      <c r="G9" s="53">
        <v>2.7083333333333334E-2</v>
      </c>
      <c r="H9" s="1" t="s">
        <v>257</v>
      </c>
      <c r="J9" s="1" t="s">
        <v>258</v>
      </c>
      <c r="K9" s="1" t="s">
        <v>658</v>
      </c>
      <c r="L9" s="1" t="s">
        <v>541</v>
      </c>
      <c r="M9" s="1" t="s">
        <v>260</v>
      </c>
      <c r="N9" s="1" t="s">
        <v>261</v>
      </c>
      <c r="O9" s="1" t="s">
        <v>626</v>
      </c>
      <c r="P9" s="1" t="str">
        <f>_xlfn.CONCAT(B9,C9,D9,E9,F9)</f>
        <v>BC Aracu5.5Inverter(MBUS-1)46054,360416666746054,360416666746054,3875</v>
      </c>
      <c r="Q9" s="1" t="str">
        <f>_xlfn.CONCAT(H9,I9,J9)</f>
        <v>DAURDE</v>
      </c>
    </row>
    <row r="10" spans="1:17">
      <c r="B10" s="1" t="s">
        <v>286</v>
      </c>
      <c r="C10" s="1" t="s">
        <v>287</v>
      </c>
      <c r="D10" s="52">
        <v>46054.384027777778</v>
      </c>
      <c r="E10" s="52">
        <v>46054.384027777778</v>
      </c>
      <c r="F10" s="52">
        <v>46054.416666666664</v>
      </c>
      <c r="G10" s="53">
        <v>3.2638888888888891E-2</v>
      </c>
      <c r="H10" s="1" t="s">
        <v>257</v>
      </c>
      <c r="I10" s="1" t="s">
        <v>269</v>
      </c>
      <c r="J10" s="1" t="s">
        <v>319</v>
      </c>
      <c r="K10" s="1" t="s">
        <v>652</v>
      </c>
      <c r="L10" s="1" t="s">
        <v>659</v>
      </c>
      <c r="M10" s="1" t="s">
        <v>260</v>
      </c>
      <c r="N10" s="1" t="s">
        <v>261</v>
      </c>
      <c r="O10" s="1" t="s">
        <v>660</v>
      </c>
      <c r="P10" s="1" t="str">
        <f>_xlfn.CONCAT(B10,C10,D10,E10,F10)</f>
        <v>BC Corumba2.2U02.I0146054,384027777846054,384027777846054,4166666667</v>
      </c>
      <c r="Q10" s="1" t="str">
        <f>_xlfn.CONCAT(H10,I10,J10)</f>
        <v>DAURFOCOM</v>
      </c>
    </row>
    <row r="11" spans="1:17">
      <c r="B11" s="1" t="s">
        <v>286</v>
      </c>
      <c r="C11" s="1" t="s">
        <v>292</v>
      </c>
      <c r="D11" s="52">
        <v>46054.384027777778</v>
      </c>
      <c r="E11" s="52">
        <v>46054.384027777778</v>
      </c>
      <c r="F11" s="52">
        <v>46054.416666666664</v>
      </c>
      <c r="G11" s="53">
        <v>3.2638888888888891E-2</v>
      </c>
      <c r="H11" s="1" t="s">
        <v>257</v>
      </c>
      <c r="I11" s="1" t="s">
        <v>269</v>
      </c>
      <c r="J11" s="1" t="s">
        <v>319</v>
      </c>
      <c r="K11" s="1" t="s">
        <v>652</v>
      </c>
      <c r="L11" s="1" t="s">
        <v>659</v>
      </c>
      <c r="M11" s="1" t="s">
        <v>260</v>
      </c>
      <c r="N11" s="1" t="s">
        <v>261</v>
      </c>
      <c r="O11" s="1" t="s">
        <v>660</v>
      </c>
      <c r="P11" s="1" t="str">
        <f>_xlfn.CONCAT(B11,C11,D11,E11,F11)</f>
        <v>BC Corumba2.2U02.I0246054,384027777846054,384027777846054,4166666667</v>
      </c>
      <c r="Q11" s="1" t="str">
        <f>_xlfn.CONCAT(H11,I11,J11)</f>
        <v>DAURFOCOM</v>
      </c>
    </row>
    <row r="12" spans="1:17">
      <c r="B12" s="1" t="s">
        <v>286</v>
      </c>
      <c r="C12" s="1" t="s">
        <v>293</v>
      </c>
      <c r="D12" s="52">
        <v>46054.384027777778</v>
      </c>
      <c r="E12" s="52">
        <v>46054.384027777778</v>
      </c>
      <c r="F12" s="52">
        <v>46054.416666666664</v>
      </c>
      <c r="G12" s="53">
        <v>3.2638888888888891E-2</v>
      </c>
      <c r="H12" s="1" t="s">
        <v>257</v>
      </c>
      <c r="I12" s="1" t="s">
        <v>269</v>
      </c>
      <c r="J12" s="1" t="s">
        <v>319</v>
      </c>
      <c r="K12" s="1" t="s">
        <v>652</v>
      </c>
      <c r="L12" s="1" t="s">
        <v>659</v>
      </c>
      <c r="M12" s="1" t="s">
        <v>260</v>
      </c>
      <c r="N12" s="1" t="s">
        <v>261</v>
      </c>
      <c r="O12" s="1" t="s">
        <v>660</v>
      </c>
      <c r="P12" s="1" t="str">
        <f>_xlfn.CONCAT(B12,C12,D12,E12,F12)</f>
        <v>BC Corumba2.2U02.I0346054,384027777846054,384027777846054,4166666667</v>
      </c>
      <c r="Q12" s="1" t="str">
        <f>_xlfn.CONCAT(H12,I12,J12)</f>
        <v>DAURFOCOM</v>
      </c>
    </row>
    <row r="13" spans="1:17">
      <c r="B13" s="1" t="s">
        <v>286</v>
      </c>
      <c r="C13" s="1" t="s">
        <v>294</v>
      </c>
      <c r="D13" s="52">
        <v>46054.384027777778</v>
      </c>
      <c r="E13" s="52">
        <v>46054.384027777778</v>
      </c>
      <c r="F13" s="52">
        <v>46054.416666666664</v>
      </c>
      <c r="G13" s="53">
        <v>3.2638888888888891E-2</v>
      </c>
      <c r="H13" s="1" t="s">
        <v>257</v>
      </c>
      <c r="I13" s="1" t="s">
        <v>269</v>
      </c>
      <c r="J13" s="1" t="s">
        <v>319</v>
      </c>
      <c r="K13" s="1" t="s">
        <v>652</v>
      </c>
      <c r="L13" s="1" t="s">
        <v>659</v>
      </c>
      <c r="M13" s="1" t="s">
        <v>260</v>
      </c>
      <c r="N13" s="1" t="s">
        <v>261</v>
      </c>
      <c r="O13" s="1" t="s">
        <v>660</v>
      </c>
      <c r="P13" s="1" t="str">
        <f>_xlfn.CONCAT(B13,C13,D13,E13,F13)</f>
        <v>BC Corumba2.2U02.I0446054,384027777846054,384027777846054,4166666667</v>
      </c>
      <c r="Q13" s="1" t="str">
        <f>_xlfn.CONCAT(H13,I13,J13)</f>
        <v>DAURFOCOM</v>
      </c>
    </row>
    <row r="14" spans="1:17">
      <c r="B14" s="1" t="s">
        <v>286</v>
      </c>
      <c r="C14" s="1" t="s">
        <v>295</v>
      </c>
      <c r="D14" s="52">
        <v>46054.384027777778</v>
      </c>
      <c r="E14" s="52">
        <v>46054.384027777778</v>
      </c>
      <c r="F14" s="52">
        <v>46054.416666666664</v>
      </c>
      <c r="G14" s="53">
        <v>3.2638888888888891E-2</v>
      </c>
      <c r="H14" s="1" t="s">
        <v>257</v>
      </c>
      <c r="I14" s="1" t="s">
        <v>269</v>
      </c>
      <c r="J14" s="1" t="s">
        <v>319</v>
      </c>
      <c r="K14" s="1" t="s">
        <v>652</v>
      </c>
      <c r="L14" s="1" t="s">
        <v>659</v>
      </c>
      <c r="M14" s="1" t="s">
        <v>252</v>
      </c>
      <c r="N14" s="1" t="s">
        <v>661</v>
      </c>
      <c r="O14" s="1" t="s">
        <v>662</v>
      </c>
      <c r="P14" s="1" t="str">
        <f>_xlfn.CONCAT(B14,C14,D14,E14,F14)</f>
        <v>BC Corumba2.2U02.I0546054,384027777846054,384027777846054,4166666667</v>
      </c>
      <c r="Q14" s="1" t="str">
        <f>_xlfn.CONCAT(H14,I14,J14)</f>
        <v>DAURFOCOM</v>
      </c>
    </row>
    <row r="15" spans="1:17">
      <c r="B15" s="1" t="s">
        <v>612</v>
      </c>
      <c r="C15" s="1" t="s">
        <v>622</v>
      </c>
      <c r="D15" s="78">
        <v>46054.414583333331</v>
      </c>
      <c r="E15" s="78">
        <v>46054.414583333331</v>
      </c>
      <c r="F15" s="52">
        <v>46054.443055555559</v>
      </c>
      <c r="G15" s="53">
        <v>2.8472222222222222E-2</v>
      </c>
      <c r="H15" s="1" t="s">
        <v>257</v>
      </c>
      <c r="J15" s="1" t="s">
        <v>258</v>
      </c>
      <c r="K15" s="1" t="s">
        <v>658</v>
      </c>
      <c r="L15" s="1" t="s">
        <v>623</v>
      </c>
      <c r="M15" s="1" t="s">
        <v>663</v>
      </c>
      <c r="N15" s="1" t="s">
        <v>364</v>
      </c>
      <c r="O15" s="1" t="s">
        <v>664</v>
      </c>
      <c r="P15" s="1" t="str">
        <f>_xlfn.CONCAT(B15,C15,D15,E15,F15)</f>
        <v>BC Vazante 1.1Inverter1246054,414583333346054,414583333346054,4430555556</v>
      </c>
      <c r="Q15" s="1" t="str">
        <f>_xlfn.CONCAT(H15,I15,J15)</f>
        <v>DAURDE</v>
      </c>
    </row>
    <row r="16" spans="1:17">
      <c r="B16" s="1" t="s">
        <v>311</v>
      </c>
      <c r="C16" s="1" t="s">
        <v>256</v>
      </c>
      <c r="D16" s="78">
        <v>46054.416666666664</v>
      </c>
      <c r="E16" s="78">
        <v>46054.416666666664</v>
      </c>
      <c r="F16" s="52">
        <v>46054.739583333336</v>
      </c>
      <c r="G16" s="53">
        <v>0.32291666666666669</v>
      </c>
      <c r="H16" s="1" t="s">
        <v>257</v>
      </c>
      <c r="J16" s="1" t="s">
        <v>258</v>
      </c>
      <c r="K16" s="1" t="s">
        <v>658</v>
      </c>
      <c r="L16" s="1" t="s">
        <v>665</v>
      </c>
      <c r="M16" s="1" t="s">
        <v>663</v>
      </c>
      <c r="N16" s="1" t="s">
        <v>364</v>
      </c>
      <c r="O16" s="1" t="s">
        <v>664</v>
      </c>
      <c r="P16" s="1" t="str">
        <f>_xlfn.CONCAT(B16,C16,D16,E16,F16)</f>
        <v>ARAGUATINS 2.1Inverter(MBUS-12)46054,416666666746054,416666666746054,7395833333</v>
      </c>
      <c r="Q16" s="1" t="str">
        <f>_xlfn.CONCAT(H16,I16,J16)</f>
        <v>DAURDE</v>
      </c>
    </row>
    <row r="17" spans="2:17">
      <c r="B17" s="1" t="s">
        <v>311</v>
      </c>
      <c r="C17" s="1" t="s">
        <v>307</v>
      </c>
      <c r="D17" s="78">
        <v>46054.416666666664</v>
      </c>
      <c r="E17" s="78">
        <v>46054.416666666664</v>
      </c>
      <c r="F17" s="52">
        <v>46054.739583333336</v>
      </c>
      <c r="G17" s="53">
        <v>0.32291666666666669</v>
      </c>
      <c r="H17" s="1" t="s">
        <v>257</v>
      </c>
      <c r="J17" s="1" t="s">
        <v>258</v>
      </c>
      <c r="K17" s="1" t="s">
        <v>658</v>
      </c>
      <c r="L17" s="1" t="s">
        <v>665</v>
      </c>
      <c r="M17" s="1" t="s">
        <v>663</v>
      </c>
      <c r="N17" s="1" t="s">
        <v>364</v>
      </c>
      <c r="O17" s="1" t="s">
        <v>664</v>
      </c>
      <c r="P17" s="1" t="str">
        <f>_xlfn.CONCAT(B17,C17,D17,E17,F17)</f>
        <v>ARAGUATINS 2.1Inverter(MBUS-15)46054,416666666746054,416666666746054,7395833333</v>
      </c>
      <c r="Q17" s="1" t="str">
        <f>_xlfn.CONCAT(H17,I17,J17)</f>
        <v>DAURDE</v>
      </c>
    </row>
    <row r="18" spans="2:17">
      <c r="B18" s="1" t="s">
        <v>311</v>
      </c>
      <c r="C18" s="1" t="s">
        <v>263</v>
      </c>
      <c r="D18" s="78">
        <v>46054.416666666664</v>
      </c>
      <c r="E18" s="78">
        <v>46054.416666666664</v>
      </c>
      <c r="F18" s="52">
        <v>46054.739583333336</v>
      </c>
      <c r="G18" s="53">
        <v>0.32291666666666669</v>
      </c>
      <c r="H18" s="1" t="s">
        <v>257</v>
      </c>
      <c r="J18" s="1" t="s">
        <v>258</v>
      </c>
      <c r="K18" s="1" t="s">
        <v>658</v>
      </c>
      <c r="L18" s="1" t="s">
        <v>665</v>
      </c>
      <c r="M18" s="1" t="s">
        <v>663</v>
      </c>
      <c r="N18" s="1" t="s">
        <v>364</v>
      </c>
      <c r="O18" s="1" t="s">
        <v>664</v>
      </c>
      <c r="P18" s="1" t="str">
        <f>_xlfn.CONCAT(B18,C18,D18,E18,F18)</f>
        <v>ARAGUATINS 2.1Inverter(MBUS-14)46054,416666666746054,416666666746054,7395833333</v>
      </c>
      <c r="Q18" s="1" t="str">
        <f>_xlfn.CONCAT(H18,I18,J18)</f>
        <v>DAURDE</v>
      </c>
    </row>
    <row r="19" spans="2:17">
      <c r="B19" s="1" t="s">
        <v>311</v>
      </c>
      <c r="C19" s="1" t="s">
        <v>247</v>
      </c>
      <c r="D19" s="52">
        <v>46054.416666666664</v>
      </c>
      <c r="E19" s="52">
        <v>46054.416666666664</v>
      </c>
      <c r="F19" s="52">
        <v>46054.739583333336</v>
      </c>
      <c r="G19" s="53">
        <v>0.32291666666666669</v>
      </c>
      <c r="H19" s="1" t="s">
        <v>257</v>
      </c>
      <c r="J19" s="1" t="s">
        <v>258</v>
      </c>
      <c r="K19" s="1" t="s">
        <v>658</v>
      </c>
      <c r="L19" s="1" t="s">
        <v>665</v>
      </c>
      <c r="M19" s="1" t="s">
        <v>289</v>
      </c>
      <c r="N19" s="1" t="s">
        <v>253</v>
      </c>
      <c r="O19" s="1" t="s">
        <v>666</v>
      </c>
      <c r="P19" s="1" t="str">
        <f>_xlfn.CONCAT(B19,C19,D19,E19,F19)</f>
        <v>ARAGUATINS 2.1Inverter(MBUS-1)46054,416666666746054,416666666746054,7395833333</v>
      </c>
      <c r="Q19" s="1" t="str">
        <f>_xlfn.CONCAT(H19,I19,J19)</f>
        <v>DAURDE</v>
      </c>
    </row>
    <row r="20" spans="2:17">
      <c r="B20" s="1" t="s">
        <v>667</v>
      </c>
      <c r="C20" s="1" t="s">
        <v>336</v>
      </c>
      <c r="D20" s="52">
        <v>46055.298611111109</v>
      </c>
      <c r="E20" s="52">
        <v>46055.298611111109</v>
      </c>
      <c r="F20" s="52">
        <v>46081.999305555553</v>
      </c>
      <c r="G20" s="53">
        <v>26.701377314814813</v>
      </c>
      <c r="H20" s="1" t="s">
        <v>268</v>
      </c>
      <c r="I20" s="1" t="s">
        <v>269</v>
      </c>
      <c r="J20" s="1" t="s">
        <v>371</v>
      </c>
      <c r="K20" s="1" t="s">
        <v>653</v>
      </c>
      <c r="L20" s="1" t="s">
        <v>668</v>
      </c>
      <c r="M20" s="1" t="s">
        <v>289</v>
      </c>
      <c r="N20" s="1" t="s">
        <v>253</v>
      </c>
      <c r="O20" s="1" t="s">
        <v>666</v>
      </c>
      <c r="P20" s="1" t="str">
        <f>_xlfn.CONCAT(B20,C20,D20,E20,F20)</f>
        <v>BC Varjao1.3215KTL-H0(MBUS-14)46055,298611111146055,298611111146081,9993055556</v>
      </c>
      <c r="Q20" s="1" t="str">
        <f>_xlfn.CONCAT(H20,I20,J20)</f>
        <v>LIGRFOINV</v>
      </c>
    </row>
    <row r="21" spans="2:17">
      <c r="B21" s="1" t="s">
        <v>311</v>
      </c>
      <c r="C21" s="1" t="s">
        <v>256</v>
      </c>
      <c r="D21" s="52">
        <v>46055.350694444445</v>
      </c>
      <c r="E21" s="52">
        <v>46055.350694444445</v>
      </c>
      <c r="F21" s="52">
        <v>46055.503472222219</v>
      </c>
      <c r="G21" s="53">
        <v>0.15277777777777779</v>
      </c>
      <c r="H21" s="1" t="s">
        <v>257</v>
      </c>
      <c r="J21" s="1" t="s">
        <v>230</v>
      </c>
      <c r="K21" s="1" t="s">
        <v>230</v>
      </c>
      <c r="L21" s="1" t="s">
        <v>669</v>
      </c>
      <c r="M21" s="1" t="s">
        <v>289</v>
      </c>
      <c r="N21" s="1" t="s">
        <v>253</v>
      </c>
      <c r="O21" s="1" t="s">
        <v>666</v>
      </c>
      <c r="P21" s="1" t="str">
        <f>_xlfn.CONCAT(B21,C21,D21,E21,F21)</f>
        <v>ARAGUATINS 2.1Inverter(MBUS-12)46055,350694444446055,350694444446055,5034722222</v>
      </c>
      <c r="Q21" s="1" t="str">
        <f>_xlfn.CONCAT(H21,I21,J21)</f>
        <v>DAUUFV</v>
      </c>
    </row>
    <row r="22" spans="2:17">
      <c r="B22" s="1" t="s">
        <v>311</v>
      </c>
      <c r="C22" s="1" t="s">
        <v>307</v>
      </c>
      <c r="D22" s="52">
        <v>46055.350694444445</v>
      </c>
      <c r="E22" s="52">
        <v>46055.350694444445</v>
      </c>
      <c r="F22" s="52">
        <v>46055.503472222219</v>
      </c>
      <c r="G22" s="53">
        <v>0.15277777777777779</v>
      </c>
      <c r="H22" s="1" t="s">
        <v>257</v>
      </c>
      <c r="J22" s="1" t="s">
        <v>230</v>
      </c>
      <c r="K22" s="1" t="s">
        <v>230</v>
      </c>
      <c r="L22" s="1" t="s">
        <v>669</v>
      </c>
      <c r="M22" s="1" t="s">
        <v>289</v>
      </c>
      <c r="N22" s="1" t="s">
        <v>253</v>
      </c>
      <c r="O22" s="1" t="s">
        <v>666</v>
      </c>
      <c r="P22" s="1" t="str">
        <f>_xlfn.CONCAT(B22,C22,D22,E22,F22)</f>
        <v>ARAGUATINS 2.1Inverter(MBUS-15)46055,350694444446055,350694444446055,5034722222</v>
      </c>
      <c r="Q22" s="1" t="str">
        <f>_xlfn.CONCAT(H22,I22,J22)</f>
        <v>DAUUFV</v>
      </c>
    </row>
    <row r="23" spans="2:17">
      <c r="B23" s="1" t="s">
        <v>311</v>
      </c>
      <c r="C23" s="1" t="s">
        <v>263</v>
      </c>
      <c r="D23" s="52">
        <v>46055.350694444445</v>
      </c>
      <c r="E23" s="52">
        <v>46055.350694444445</v>
      </c>
      <c r="F23" s="52">
        <v>46055.503472222219</v>
      </c>
      <c r="G23" s="53">
        <v>0.15277777777777779</v>
      </c>
      <c r="H23" s="1" t="s">
        <v>257</v>
      </c>
      <c r="J23" s="1" t="s">
        <v>230</v>
      </c>
      <c r="K23" s="1" t="s">
        <v>230</v>
      </c>
      <c r="L23" s="1" t="s">
        <v>669</v>
      </c>
      <c r="M23" s="1" t="s">
        <v>289</v>
      </c>
      <c r="N23" s="1" t="s">
        <v>253</v>
      </c>
      <c r="O23" s="1" t="s">
        <v>666</v>
      </c>
      <c r="P23" s="1" t="str">
        <f>_xlfn.CONCAT(B23,C23,D23,E23,F23)</f>
        <v>ARAGUATINS 2.1Inverter(MBUS-14)46055,350694444446055,350694444446055,5034722222</v>
      </c>
      <c r="Q23" s="1" t="str">
        <f>_xlfn.CONCAT(H23,I23,J23)</f>
        <v>DAUUFV</v>
      </c>
    </row>
    <row r="24" spans="2:17">
      <c r="B24" s="1" t="s">
        <v>311</v>
      </c>
      <c r="C24" s="1" t="s">
        <v>247</v>
      </c>
      <c r="D24" s="52">
        <v>46055.350694444445</v>
      </c>
      <c r="E24" s="52">
        <v>46055.350694444445</v>
      </c>
      <c r="F24" s="52">
        <v>46055.503472222219</v>
      </c>
      <c r="G24" s="53">
        <v>0.15277777777777779</v>
      </c>
      <c r="H24" s="1" t="s">
        <v>257</v>
      </c>
      <c r="J24" s="1" t="s">
        <v>230</v>
      </c>
      <c r="K24" s="1" t="s">
        <v>230</v>
      </c>
      <c r="L24" s="1" t="s">
        <v>669</v>
      </c>
      <c r="M24" s="1" t="s">
        <v>289</v>
      </c>
      <c r="N24" s="1" t="s">
        <v>253</v>
      </c>
      <c r="O24" s="1" t="s">
        <v>666</v>
      </c>
      <c r="P24" s="1" t="str">
        <f>_xlfn.CONCAT(B24,C24,D24,E24,F24)</f>
        <v>ARAGUATINS 2.1Inverter(MBUS-1)46055,350694444446055,350694444446055,5034722222</v>
      </c>
      <c r="Q24" s="1" t="str">
        <f>_xlfn.CONCAT(H24,I24,J24)</f>
        <v>DAUUFV</v>
      </c>
    </row>
    <row r="25" spans="2:17">
      <c r="B25" s="1" t="s">
        <v>41</v>
      </c>
      <c r="C25" s="1" t="s">
        <v>267</v>
      </c>
      <c r="D25" s="52">
        <v>46055.381944444445</v>
      </c>
      <c r="E25" s="52">
        <v>46055.381944444445</v>
      </c>
      <c r="F25" s="52">
        <v>46055.446527777778</v>
      </c>
      <c r="G25" s="53">
        <v>6.458333333333334E-2</v>
      </c>
      <c r="H25" s="1" t="s">
        <v>257</v>
      </c>
      <c r="I25" s="1" t="s">
        <v>269</v>
      </c>
      <c r="J25" s="1" t="s">
        <v>319</v>
      </c>
      <c r="K25" s="1" t="s">
        <v>652</v>
      </c>
      <c r="L25" s="1" t="s">
        <v>670</v>
      </c>
      <c r="M25" s="1" t="s">
        <v>289</v>
      </c>
      <c r="N25" s="1" t="s">
        <v>253</v>
      </c>
      <c r="O25" s="1" t="s">
        <v>666</v>
      </c>
      <c r="P25" s="1" t="str">
        <f>_xlfn.CONCAT(B25,C25,D25,E25,F25)</f>
        <v>BC Bom SucessoSG60KTL46055,381944444446055,381944444446055,4465277778</v>
      </c>
      <c r="Q25" s="1" t="str">
        <f>_xlfn.CONCAT(H25,I25,J25)</f>
        <v>DAURFOCOM</v>
      </c>
    </row>
    <row r="26" spans="2:17">
      <c r="B26" s="1" t="s">
        <v>41</v>
      </c>
      <c r="C26" s="1" t="s">
        <v>275</v>
      </c>
      <c r="D26" s="52">
        <v>46055.381944444445</v>
      </c>
      <c r="E26" s="52">
        <v>46055.381944444445</v>
      </c>
      <c r="F26" s="52">
        <v>46055.446527777778</v>
      </c>
      <c r="G26" s="53">
        <v>6.458333333333334E-2</v>
      </c>
      <c r="H26" s="1" t="s">
        <v>257</v>
      </c>
      <c r="I26" s="1" t="s">
        <v>269</v>
      </c>
      <c r="J26" s="1" t="s">
        <v>319</v>
      </c>
      <c r="K26" s="1" t="s">
        <v>652</v>
      </c>
      <c r="L26" s="1" t="s">
        <v>670</v>
      </c>
      <c r="M26" s="1" t="s">
        <v>289</v>
      </c>
      <c r="N26" s="1" t="s">
        <v>253</v>
      </c>
      <c r="O26" s="1" t="s">
        <v>666</v>
      </c>
      <c r="P26" s="1" t="str">
        <f>_xlfn.CONCAT(B26,C26,D26,E26,F26)</f>
        <v>BC Bom SucessoI46055,381944444446055,381944444446055,4465277778</v>
      </c>
      <c r="Q26" s="1" t="str">
        <f>_xlfn.CONCAT(H26,I26,J26)</f>
        <v>DAURFOCOM</v>
      </c>
    </row>
    <row r="27" spans="2:17">
      <c r="B27" s="1" t="s">
        <v>41</v>
      </c>
      <c r="C27" s="1" t="s">
        <v>276</v>
      </c>
      <c r="D27" s="52">
        <v>46055.381944444445</v>
      </c>
      <c r="E27" s="52">
        <v>46055.381944444445</v>
      </c>
      <c r="F27" s="52">
        <v>46055.446527777778</v>
      </c>
      <c r="G27" s="53">
        <v>6.458333333333334E-2</v>
      </c>
      <c r="H27" s="1" t="s">
        <v>257</v>
      </c>
      <c r="I27" s="1" t="s">
        <v>269</v>
      </c>
      <c r="J27" s="1" t="s">
        <v>319</v>
      </c>
      <c r="K27" s="1" t="s">
        <v>652</v>
      </c>
      <c r="L27" s="1" t="s">
        <v>670</v>
      </c>
      <c r="M27" s="1" t="s">
        <v>289</v>
      </c>
      <c r="N27" s="1" t="s">
        <v>253</v>
      </c>
      <c r="O27" s="1" t="s">
        <v>666</v>
      </c>
      <c r="P27" s="1" t="str">
        <f>_xlfn.CONCAT(B27,C27,D27,E27,F27)</f>
        <v>BC Bom SucessoG46055,381944444446055,381944444446055,4465277778</v>
      </c>
      <c r="Q27" s="1" t="str">
        <f>_xlfn.CONCAT(H27,I27,J27)</f>
        <v>DAURFOCOM</v>
      </c>
    </row>
    <row r="28" spans="2:17">
      <c r="B28" s="1" t="s">
        <v>41</v>
      </c>
      <c r="C28" s="1" t="s">
        <v>277</v>
      </c>
      <c r="D28" s="52">
        <v>46055.381944444445</v>
      </c>
      <c r="E28" s="52">
        <v>46055.381944444445</v>
      </c>
      <c r="F28" s="52">
        <v>46055.446527777778</v>
      </c>
      <c r="G28" s="53">
        <v>6.458333333333334E-2</v>
      </c>
      <c r="H28" s="1" t="s">
        <v>257</v>
      </c>
      <c r="I28" s="1" t="s">
        <v>269</v>
      </c>
      <c r="J28" s="1" t="s">
        <v>319</v>
      </c>
      <c r="K28" s="1" t="s">
        <v>652</v>
      </c>
      <c r="L28" s="1" t="s">
        <v>670</v>
      </c>
      <c r="M28" s="1" t="s">
        <v>289</v>
      </c>
      <c r="N28" s="1" t="s">
        <v>253</v>
      </c>
      <c r="O28" s="1" t="s">
        <v>666</v>
      </c>
      <c r="P28" s="1" t="str">
        <f>_xlfn.CONCAT(B28,C28,D28,E28,F28)</f>
        <v>BC Bom SucessoK46055,381944444446055,381944444446055,4465277778</v>
      </c>
      <c r="Q28" s="1" t="str">
        <f>_xlfn.CONCAT(H28,I28,J28)</f>
        <v>DAURFOCOM</v>
      </c>
    </row>
    <row r="29" spans="2:17">
      <c r="B29" s="66" t="s">
        <v>41</v>
      </c>
      <c r="C29" s="1" t="s">
        <v>278</v>
      </c>
      <c r="D29" s="52">
        <v>46055.381944444445</v>
      </c>
      <c r="E29" s="52">
        <v>46055.381944444445</v>
      </c>
      <c r="F29" s="52">
        <v>46055.446527777778</v>
      </c>
      <c r="G29" s="53">
        <v>6.458333333333334E-2</v>
      </c>
      <c r="H29" s="1" t="s">
        <v>257</v>
      </c>
      <c r="I29" s="1" t="s">
        <v>269</v>
      </c>
      <c r="J29" s="1" t="s">
        <v>319</v>
      </c>
      <c r="K29" s="1" t="s">
        <v>652</v>
      </c>
      <c r="L29" s="1" t="s">
        <v>670</v>
      </c>
      <c r="M29" s="1" t="s">
        <v>289</v>
      </c>
      <c r="N29" s="1" t="s">
        <v>253</v>
      </c>
      <c r="O29" s="1" t="s">
        <v>666</v>
      </c>
      <c r="P29" s="1" t="str">
        <f>_xlfn.CONCAT(B29,C29,D29,E29,F29)</f>
        <v>BC Bom SucessoH46055,381944444446055,381944444446055,4465277778</v>
      </c>
      <c r="Q29" s="1" t="str">
        <f>_xlfn.CONCAT(H29,I29,J29)</f>
        <v>DAURFOCOM</v>
      </c>
    </row>
    <row r="30" spans="2:17">
      <c r="B30" s="66" t="s">
        <v>41</v>
      </c>
      <c r="C30" s="1" t="s">
        <v>279</v>
      </c>
      <c r="D30" s="52">
        <v>46055.381944444445</v>
      </c>
      <c r="E30" s="52">
        <v>46055.381944444445</v>
      </c>
      <c r="F30" s="52">
        <v>46055.446527777778</v>
      </c>
      <c r="G30" s="53">
        <v>6.458333333333334E-2</v>
      </c>
      <c r="H30" s="1" t="s">
        <v>257</v>
      </c>
      <c r="I30" s="1" t="s">
        <v>269</v>
      </c>
      <c r="J30" s="1" t="s">
        <v>319</v>
      </c>
      <c r="K30" s="1" t="s">
        <v>652</v>
      </c>
      <c r="L30" s="1" t="s">
        <v>670</v>
      </c>
      <c r="M30" s="1" t="s">
        <v>289</v>
      </c>
      <c r="N30" s="1" t="s">
        <v>253</v>
      </c>
      <c r="O30" s="1" t="s">
        <v>666</v>
      </c>
      <c r="P30" s="1" t="str">
        <f>_xlfn.CONCAT(B30,C30,D30,E30,F30)</f>
        <v>BC Bom SucessoF46055,381944444446055,381944444446055,4465277778</v>
      </c>
      <c r="Q30" s="1" t="str">
        <f>_xlfn.CONCAT(H30,I30,J30)</f>
        <v>DAURFOCOM</v>
      </c>
    </row>
    <row r="31" spans="2:17">
      <c r="B31" s="66" t="s">
        <v>41</v>
      </c>
      <c r="C31" s="1" t="s">
        <v>280</v>
      </c>
      <c r="D31" s="52">
        <v>46055.381944444445</v>
      </c>
      <c r="E31" s="52">
        <v>46055.381944444445</v>
      </c>
      <c r="F31" s="52">
        <v>46055.446527777778</v>
      </c>
      <c r="G31" s="53">
        <v>6.458333333333334E-2</v>
      </c>
      <c r="H31" s="1" t="s">
        <v>257</v>
      </c>
      <c r="I31" s="1" t="s">
        <v>269</v>
      </c>
      <c r="J31" s="1" t="s">
        <v>319</v>
      </c>
      <c r="K31" s="1" t="s">
        <v>652</v>
      </c>
      <c r="L31" s="1" t="s">
        <v>670</v>
      </c>
      <c r="M31" s="1" t="s">
        <v>289</v>
      </c>
      <c r="N31" s="1" t="s">
        <v>253</v>
      </c>
      <c r="O31" s="1" t="s">
        <v>671</v>
      </c>
      <c r="P31" s="1" t="str">
        <f>_xlfn.CONCAT(B31,C31,D31,E31,F31)</f>
        <v>BC Bom SucessoD46055,381944444446055,381944444446055,4465277778</v>
      </c>
      <c r="Q31" s="1" t="str">
        <f>_xlfn.CONCAT(H31,I31,J31)</f>
        <v>DAURFOCOM</v>
      </c>
    </row>
    <row r="32" spans="2:17">
      <c r="B32" s="66" t="s">
        <v>41</v>
      </c>
      <c r="C32" s="1" t="s">
        <v>281</v>
      </c>
      <c r="D32" s="52">
        <v>46055.381944444445</v>
      </c>
      <c r="E32" s="52">
        <v>46055.381944444445</v>
      </c>
      <c r="F32" s="52">
        <v>46055.446527777778</v>
      </c>
      <c r="G32" s="53">
        <v>6.458333333333334E-2</v>
      </c>
      <c r="H32" s="1" t="s">
        <v>257</v>
      </c>
      <c r="I32" s="1" t="s">
        <v>269</v>
      </c>
      <c r="J32" s="1" t="s">
        <v>319</v>
      </c>
      <c r="K32" s="1" t="s">
        <v>652</v>
      </c>
      <c r="L32" s="1" t="s">
        <v>670</v>
      </c>
      <c r="M32" s="1" t="s">
        <v>289</v>
      </c>
      <c r="N32" s="1" t="s">
        <v>253</v>
      </c>
      <c r="O32" s="1" t="s">
        <v>671</v>
      </c>
      <c r="P32" s="1" t="str">
        <f>_xlfn.CONCAT(B32,C32,D32,E32,F32)</f>
        <v>BC Bom SucessoE46055,381944444446055,381944444446055,4465277778</v>
      </c>
      <c r="Q32" s="1" t="str">
        <f>_xlfn.CONCAT(H32,I32,J32)</f>
        <v>DAURFOCOM</v>
      </c>
    </row>
    <row r="33" spans="2:17">
      <c r="B33" s="1" t="s">
        <v>41</v>
      </c>
      <c r="C33" s="1" t="s">
        <v>282</v>
      </c>
      <c r="D33" s="52">
        <v>46055.381944444445</v>
      </c>
      <c r="E33" s="52">
        <v>46055.381944444445</v>
      </c>
      <c r="F33" s="52">
        <v>46055.446527777778</v>
      </c>
      <c r="G33" s="53">
        <v>6.458333333333334E-2</v>
      </c>
      <c r="H33" s="1" t="s">
        <v>257</v>
      </c>
      <c r="I33" s="1" t="s">
        <v>269</v>
      </c>
      <c r="J33" s="1" t="s">
        <v>319</v>
      </c>
      <c r="K33" s="1" t="s">
        <v>652</v>
      </c>
      <c r="L33" s="1" t="s">
        <v>670</v>
      </c>
      <c r="M33" s="1" t="s">
        <v>289</v>
      </c>
      <c r="N33" s="1" t="s">
        <v>253</v>
      </c>
      <c r="O33" s="1" t="s">
        <v>671</v>
      </c>
      <c r="P33" s="1" t="str">
        <f>_xlfn.CONCAT(B33,C33,D33,E33,F33)</f>
        <v>BC Bom SucessoC46055,381944444446055,381944444446055,4465277778</v>
      </c>
      <c r="Q33" s="1" t="str">
        <f>_xlfn.CONCAT(H33,I33,J33)</f>
        <v>DAURFOCOM</v>
      </c>
    </row>
    <row r="34" spans="2:17">
      <c r="B34" s="1" t="s">
        <v>41</v>
      </c>
      <c r="C34" s="1" t="s">
        <v>283</v>
      </c>
      <c r="D34" s="52">
        <v>46055.381944444445</v>
      </c>
      <c r="E34" s="52">
        <v>46055.381944444445</v>
      </c>
      <c r="F34" s="52">
        <v>46055.446527777778</v>
      </c>
      <c r="G34" s="53">
        <v>6.458333333333334E-2</v>
      </c>
      <c r="H34" s="1" t="s">
        <v>257</v>
      </c>
      <c r="I34" s="1" t="s">
        <v>269</v>
      </c>
      <c r="J34" s="1" t="s">
        <v>319</v>
      </c>
      <c r="K34" s="1" t="s">
        <v>652</v>
      </c>
      <c r="L34" s="1" t="s">
        <v>670</v>
      </c>
      <c r="M34" s="1" t="s">
        <v>289</v>
      </c>
      <c r="N34" s="1" t="s">
        <v>253</v>
      </c>
      <c r="O34" s="1" t="s">
        <v>671</v>
      </c>
      <c r="P34" s="1" t="str">
        <f>_xlfn.CONCAT(B34,C34,D34,E34,F34)</f>
        <v>BC Bom SucessoB46055,381944444446055,381944444446055,4465277778</v>
      </c>
      <c r="Q34" s="1" t="str">
        <f>_xlfn.CONCAT(H34,I34,J34)</f>
        <v>DAURFOCOM</v>
      </c>
    </row>
    <row r="35" spans="2:17">
      <c r="B35" s="1" t="s">
        <v>41</v>
      </c>
      <c r="C35" s="1" t="s">
        <v>284</v>
      </c>
      <c r="D35" s="52">
        <v>46055.381944444445</v>
      </c>
      <c r="E35" s="52">
        <v>46055.381944444445</v>
      </c>
      <c r="F35" s="52">
        <v>46055.446527777778</v>
      </c>
      <c r="G35" s="53">
        <v>6.458333333333334E-2</v>
      </c>
      <c r="H35" s="1" t="s">
        <v>257</v>
      </c>
      <c r="I35" s="1" t="s">
        <v>269</v>
      </c>
      <c r="J35" s="1" t="s">
        <v>319</v>
      </c>
      <c r="K35" s="1" t="s">
        <v>652</v>
      </c>
      <c r="L35" s="1" t="s">
        <v>670</v>
      </c>
      <c r="M35" s="1" t="s">
        <v>289</v>
      </c>
      <c r="N35" s="1" t="s">
        <v>253</v>
      </c>
      <c r="O35" s="1" t="s">
        <v>671</v>
      </c>
      <c r="P35" s="1" t="str">
        <f>_xlfn.CONCAT(B35,C35,D35,E35,F35)</f>
        <v>BC Bom SucessoA46055,381944444446055,381944444446055,4465277778</v>
      </c>
      <c r="Q35" s="1" t="str">
        <f>_xlfn.CONCAT(H35,I35,J35)</f>
        <v>DAURFOCOM</v>
      </c>
    </row>
    <row r="36" spans="2:17">
      <c r="B36" s="1" t="s">
        <v>41</v>
      </c>
      <c r="C36" s="1" t="s">
        <v>285</v>
      </c>
      <c r="D36" s="52">
        <v>46055.381944444445</v>
      </c>
      <c r="E36" s="52">
        <v>46055.381944444445</v>
      </c>
      <c r="F36" s="52">
        <v>46055.446527777778</v>
      </c>
      <c r="G36" s="53">
        <v>6.458333333333334E-2</v>
      </c>
      <c r="H36" s="1" t="s">
        <v>257</v>
      </c>
      <c r="I36" s="1" t="s">
        <v>269</v>
      </c>
      <c r="J36" s="1" t="s">
        <v>319</v>
      </c>
      <c r="K36" s="1" t="s">
        <v>652</v>
      </c>
      <c r="L36" s="1" t="s">
        <v>670</v>
      </c>
      <c r="M36" s="1" t="s">
        <v>663</v>
      </c>
      <c r="N36" s="1" t="s">
        <v>672</v>
      </c>
      <c r="O36" s="1" t="s">
        <v>673</v>
      </c>
      <c r="P36" s="1" t="str">
        <f>_xlfn.CONCAT(B36,C36,D36,E36,F36)</f>
        <v>BC Bom SucessoJ46055,381944444446055,381944444446055,4465277778</v>
      </c>
      <c r="Q36" s="1" t="str">
        <f>_xlfn.CONCAT(H36,I36,J36)</f>
        <v>DAURFOCOM</v>
      </c>
    </row>
    <row r="37" spans="2:17">
      <c r="B37" s="1" t="s">
        <v>327</v>
      </c>
      <c r="C37" s="1" t="s">
        <v>247</v>
      </c>
      <c r="D37" s="52">
        <v>46055.388888888891</v>
      </c>
      <c r="E37" s="52">
        <v>46055.388888888891</v>
      </c>
      <c r="F37" s="52">
        <v>46055.456944444442</v>
      </c>
      <c r="G37" s="53">
        <v>6.805555555555555E-2</v>
      </c>
      <c r="H37" s="1" t="s">
        <v>257</v>
      </c>
      <c r="I37" s="1" t="s">
        <v>269</v>
      </c>
      <c r="J37" s="1" t="s">
        <v>270</v>
      </c>
      <c r="K37" s="1" t="s">
        <v>674</v>
      </c>
      <c r="L37" s="1" t="s">
        <v>675</v>
      </c>
      <c r="M37" s="1" t="s">
        <v>663</v>
      </c>
      <c r="N37" s="1" t="s">
        <v>672</v>
      </c>
      <c r="O37" s="1" t="s">
        <v>673</v>
      </c>
      <c r="P37" s="1" t="str">
        <f>_xlfn.CONCAT(B37,C37,D37,E37,F37)</f>
        <v>BC Aracu5.1Inverter(MBUS-1)46055,388888888946055,388888888946055,4569444444</v>
      </c>
      <c r="Q37" s="1" t="str">
        <f>_xlfn.CONCAT(H37,I37,J37)</f>
        <v>DAURFOINT</v>
      </c>
    </row>
    <row r="38" spans="2:17">
      <c r="B38" s="1" t="s">
        <v>328</v>
      </c>
      <c r="C38" s="1" t="s">
        <v>247</v>
      </c>
      <c r="D38" s="52">
        <v>46055.388888888891</v>
      </c>
      <c r="E38" s="52">
        <v>46055.388888888891</v>
      </c>
      <c r="F38" s="52">
        <v>46055.456944444442</v>
      </c>
      <c r="G38" s="53">
        <v>6.805555555555555E-2</v>
      </c>
      <c r="H38" s="1" t="s">
        <v>257</v>
      </c>
      <c r="I38" s="1" t="s">
        <v>269</v>
      </c>
      <c r="J38" s="1" t="s">
        <v>270</v>
      </c>
      <c r="K38" s="1" t="s">
        <v>674</v>
      </c>
      <c r="L38" s="1" t="s">
        <v>675</v>
      </c>
      <c r="M38" s="1" t="s">
        <v>663</v>
      </c>
      <c r="N38" s="1" t="s">
        <v>672</v>
      </c>
      <c r="O38" s="1" t="s">
        <v>673</v>
      </c>
      <c r="P38" s="1" t="str">
        <f>_xlfn.CONCAT(B38,C38,D38,E38,F38)</f>
        <v>BC Aracu5.3Inverter(MBUS-1)46055,388888888946055,388888888946055,4569444444</v>
      </c>
      <c r="Q38" s="1" t="str">
        <f>_xlfn.CONCAT(H38,I38,J38)</f>
        <v>DAURFOINT</v>
      </c>
    </row>
    <row r="39" spans="2:17">
      <c r="B39" s="1" t="s">
        <v>329</v>
      </c>
      <c r="C39" s="1" t="s">
        <v>247</v>
      </c>
      <c r="D39" s="52">
        <v>46055.388888888891</v>
      </c>
      <c r="E39" s="52">
        <v>46055.388888888891</v>
      </c>
      <c r="F39" s="52">
        <v>46055.456944444442</v>
      </c>
      <c r="G39" s="53">
        <v>6.805555555555555E-2</v>
      </c>
      <c r="H39" s="1" t="s">
        <v>257</v>
      </c>
      <c r="I39" s="1" t="s">
        <v>269</v>
      </c>
      <c r="J39" s="1" t="s">
        <v>270</v>
      </c>
      <c r="K39" s="1" t="s">
        <v>674</v>
      </c>
      <c r="L39" s="1" t="s">
        <v>675</v>
      </c>
      <c r="M39" s="1" t="s">
        <v>663</v>
      </c>
      <c r="N39" s="1" t="s">
        <v>672</v>
      </c>
      <c r="O39" s="1" t="s">
        <v>673</v>
      </c>
      <c r="P39" s="1" t="str">
        <f>_xlfn.CONCAT(B39,C39,D39,E39,F39)</f>
        <v>BC Aracu5.4Inverter(MBUS-1)46055,388888888946055,388888888946055,4569444444</v>
      </c>
      <c r="Q39" s="1" t="str">
        <f>_xlfn.CONCAT(H39,I39,J39)</f>
        <v>DAURFOINT</v>
      </c>
    </row>
    <row r="40" spans="2:17">
      <c r="B40" s="1" t="s">
        <v>330</v>
      </c>
      <c r="C40" s="1" t="s">
        <v>247</v>
      </c>
      <c r="D40" s="52">
        <v>46055.388888888891</v>
      </c>
      <c r="E40" s="52">
        <v>46055.388888888891</v>
      </c>
      <c r="F40" s="52">
        <v>46055.456944444442</v>
      </c>
      <c r="G40" s="53">
        <v>6.805555555555555E-2</v>
      </c>
      <c r="H40" s="1" t="s">
        <v>257</v>
      </c>
      <c r="I40" s="1" t="s">
        <v>269</v>
      </c>
      <c r="J40" s="1" t="s">
        <v>270</v>
      </c>
      <c r="K40" s="1" t="s">
        <v>674</v>
      </c>
      <c r="L40" s="1" t="s">
        <v>675</v>
      </c>
      <c r="M40" s="1" t="s">
        <v>260</v>
      </c>
      <c r="N40" s="1" t="s">
        <v>261</v>
      </c>
      <c r="O40" s="1" t="s">
        <v>676</v>
      </c>
      <c r="P40" s="1" t="str">
        <f>_xlfn.CONCAT(B40,C40,D40,E40,F40)</f>
        <v>BC Aracu5.5Inverter(MBUS-1)46055,388888888946055,388888888946055,4569444444</v>
      </c>
      <c r="Q40" s="1" t="str">
        <f>_xlfn.CONCAT(H40,I40,J40)</f>
        <v>DAURFOINT</v>
      </c>
    </row>
    <row r="41" spans="2:17">
      <c r="B41" s="1" t="s">
        <v>321</v>
      </c>
      <c r="C41" s="1" t="s">
        <v>322</v>
      </c>
      <c r="D41" s="52">
        <v>46055.666666666664</v>
      </c>
      <c r="E41" s="52">
        <v>46055.666666666664</v>
      </c>
      <c r="F41" s="52">
        <v>46055.714583333334</v>
      </c>
      <c r="G41" s="53">
        <v>4.791666666666667E-2</v>
      </c>
      <c r="H41" s="1" t="s">
        <v>677</v>
      </c>
      <c r="J41" s="1" t="s">
        <v>371</v>
      </c>
      <c r="K41" s="1" t="s">
        <v>653</v>
      </c>
      <c r="L41" s="1" t="s">
        <v>678</v>
      </c>
      <c r="M41" s="1" t="s">
        <v>260</v>
      </c>
      <c r="N41" s="1" t="s">
        <v>261</v>
      </c>
      <c r="O41" s="1" t="s">
        <v>676</v>
      </c>
      <c r="P41" s="1" t="str">
        <f>_xlfn.CONCAT(B41,C41,D41,E41,F41)</f>
        <v>BC Aracu4SG75CX(COM1-018)_001_01846055,666666666746055,666666666746055,7145833333</v>
      </c>
      <c r="Q41" s="1" t="str">
        <f>_xlfn.CONCAT(H41,I41,J41)</f>
        <v>DPRINV</v>
      </c>
    </row>
    <row r="42" spans="2:17">
      <c r="B42" s="1" t="s">
        <v>321</v>
      </c>
      <c r="C42" s="1" t="s">
        <v>324</v>
      </c>
      <c r="D42" s="52">
        <v>46055.666666666664</v>
      </c>
      <c r="E42" s="52">
        <v>46055.666666666664</v>
      </c>
      <c r="F42" s="52">
        <v>46055.714583333334</v>
      </c>
      <c r="G42" s="53">
        <v>4.791666666666667E-2</v>
      </c>
      <c r="H42" s="1" t="s">
        <v>677</v>
      </c>
      <c r="J42" s="1" t="s">
        <v>371</v>
      </c>
      <c r="K42" s="1" t="s">
        <v>653</v>
      </c>
      <c r="L42" s="1" t="s">
        <v>678</v>
      </c>
      <c r="M42" s="1" t="s">
        <v>260</v>
      </c>
      <c r="N42" s="1" t="s">
        <v>261</v>
      </c>
      <c r="O42" s="1" t="s">
        <v>676</v>
      </c>
      <c r="P42" s="1" t="str">
        <f>_xlfn.CONCAT(B42,C42,D42,E42,F42)</f>
        <v>BC Aracu4SG75CX(COM1-019)_001_01946055,666666666746055,666666666746055,7145833333</v>
      </c>
      <c r="Q42" s="1" t="str">
        <f>_xlfn.CONCAT(H42,I42,J42)</f>
        <v>DPRINV</v>
      </c>
    </row>
    <row r="43" spans="2:17">
      <c r="B43" s="1" t="s">
        <v>321</v>
      </c>
      <c r="C43" s="1" t="s">
        <v>325</v>
      </c>
      <c r="D43" s="52">
        <v>46055.666666666664</v>
      </c>
      <c r="E43" s="52">
        <v>46055.666666666664</v>
      </c>
      <c r="F43" s="52">
        <v>46055.714583333334</v>
      </c>
      <c r="G43" s="53">
        <v>4.791666666666667E-2</v>
      </c>
      <c r="H43" s="1" t="s">
        <v>677</v>
      </c>
      <c r="J43" s="1" t="s">
        <v>371</v>
      </c>
      <c r="K43" s="1" t="s">
        <v>653</v>
      </c>
      <c r="L43" s="1" t="s">
        <v>678</v>
      </c>
      <c r="M43" s="1" t="s">
        <v>260</v>
      </c>
      <c r="N43" s="1" t="s">
        <v>261</v>
      </c>
      <c r="O43" s="1" t="s">
        <v>676</v>
      </c>
      <c r="P43" s="1" t="str">
        <f>_xlfn.CONCAT(B43,C43,D43,E43,F43)</f>
        <v>BC Aracu4SG75CX(COM1-020)_001_02046055,666666666746055,666666666746055,7145833333</v>
      </c>
      <c r="Q43" s="1" t="str">
        <f>_xlfn.CONCAT(H43,I43,J43)</f>
        <v>DPRINV</v>
      </c>
    </row>
    <row r="44" spans="2:17">
      <c r="B44" s="1" t="s">
        <v>321</v>
      </c>
      <c r="C44" s="1" t="s">
        <v>326</v>
      </c>
      <c r="D44" s="52">
        <v>46055.666666666664</v>
      </c>
      <c r="E44" s="52">
        <v>46055.666666666664</v>
      </c>
      <c r="F44" s="52">
        <v>46055.714583333334</v>
      </c>
      <c r="G44" s="53">
        <v>4.791666666666667E-2</v>
      </c>
      <c r="H44" s="1" t="s">
        <v>677</v>
      </c>
      <c r="J44" s="1" t="s">
        <v>371</v>
      </c>
      <c r="K44" s="1" t="s">
        <v>653</v>
      </c>
      <c r="L44" s="1" t="s">
        <v>678</v>
      </c>
      <c r="M44" s="1" t="s">
        <v>260</v>
      </c>
      <c r="N44" s="1" t="s">
        <v>261</v>
      </c>
      <c r="O44" s="1" t="s">
        <v>676</v>
      </c>
      <c r="P44" s="1" t="str">
        <f>_xlfn.CONCAT(B44,C44,D44,E44,F44)</f>
        <v>BC Aracu4SG75CX(COM1-021)_001_02146055,666666666746055,666666666746055,7145833333</v>
      </c>
      <c r="Q44" s="1" t="str">
        <f>_xlfn.CONCAT(H44,I44,J44)</f>
        <v>DPRINV</v>
      </c>
    </row>
    <row r="45" spans="2:17">
      <c r="B45" s="1" t="s">
        <v>299</v>
      </c>
      <c r="C45" s="1" t="s">
        <v>300</v>
      </c>
      <c r="D45" s="52">
        <v>46055.826388888891</v>
      </c>
      <c r="E45" s="52">
        <v>46055.826388888891</v>
      </c>
      <c r="F45" s="52">
        <v>46055.954861111109</v>
      </c>
      <c r="G45" s="53">
        <v>0.12847222222222221</v>
      </c>
      <c r="H45" s="1" t="s">
        <v>257</v>
      </c>
      <c r="J45" s="1" t="s">
        <v>258</v>
      </c>
      <c r="K45" s="1" t="s">
        <v>658</v>
      </c>
      <c r="L45" s="1" t="s">
        <v>259</v>
      </c>
      <c r="M45" s="1" t="s">
        <v>260</v>
      </c>
      <c r="N45" s="1" t="s">
        <v>261</v>
      </c>
      <c r="O45" s="1" t="s">
        <v>676</v>
      </c>
      <c r="P45" s="1" t="str">
        <f>_xlfn.CONCAT(B45,C45,D45,E45,F45)</f>
        <v>BC Panama1.1ITAPOAN 001 (COM1-001)_001_00146055,826388888946055,826388888946055,9548611111</v>
      </c>
      <c r="Q45" s="1" t="str">
        <f>_xlfn.CONCAT(H45,I45,J45)</f>
        <v>DAURDE</v>
      </c>
    </row>
    <row r="46" spans="2:17">
      <c r="B46" s="1" t="s">
        <v>299</v>
      </c>
      <c r="C46" s="1" t="s">
        <v>303</v>
      </c>
      <c r="D46" s="52">
        <v>46055.826388888891</v>
      </c>
      <c r="E46" s="52">
        <v>46055.826388888891</v>
      </c>
      <c r="F46" s="52">
        <v>46055.954861111109</v>
      </c>
      <c r="G46" s="53">
        <v>0.12847222222222221</v>
      </c>
      <c r="H46" s="1" t="s">
        <v>257</v>
      </c>
      <c r="J46" s="1" t="s">
        <v>258</v>
      </c>
      <c r="K46" s="1" t="s">
        <v>658</v>
      </c>
      <c r="L46" s="1" t="s">
        <v>259</v>
      </c>
      <c r="M46" s="1" t="s">
        <v>260</v>
      </c>
      <c r="N46" s="1" t="s">
        <v>261</v>
      </c>
      <c r="O46" s="1" t="s">
        <v>676</v>
      </c>
      <c r="P46" s="1" t="str">
        <f>_xlfn.CONCAT(B46,C46,D46,E46,F46)</f>
        <v>BC Panama1.1CEREAL_00246055,826388888946055,826388888946055,9548611111</v>
      </c>
      <c r="Q46" s="1" t="str">
        <f>_xlfn.CONCAT(H46,I46,J46)</f>
        <v>DAURDE</v>
      </c>
    </row>
    <row r="47" spans="2:17">
      <c r="B47" s="1" t="s">
        <v>299</v>
      </c>
      <c r="C47" s="1" t="s">
        <v>304</v>
      </c>
      <c r="D47" s="52">
        <v>46055.826388888891</v>
      </c>
      <c r="E47" s="52">
        <v>46055.826388888891</v>
      </c>
      <c r="F47" s="52">
        <v>46055.954861111109</v>
      </c>
      <c r="G47" s="53">
        <v>0.12847222222222221</v>
      </c>
      <c r="H47" s="1" t="s">
        <v>257</v>
      </c>
      <c r="J47" s="1" t="s">
        <v>258</v>
      </c>
      <c r="K47" s="1" t="s">
        <v>658</v>
      </c>
      <c r="L47" s="1" t="s">
        <v>259</v>
      </c>
      <c r="M47" s="1" t="s">
        <v>260</v>
      </c>
      <c r="N47" s="1" t="s">
        <v>261</v>
      </c>
      <c r="O47" s="1" t="s">
        <v>626</v>
      </c>
      <c r="P47" s="1" t="str">
        <f>_xlfn.CONCAT(B47,C47,D47,E47,F47)</f>
        <v>BC Panama1.1ITAPOAN_00346055,826388888946055,826388888946055,9548611111</v>
      </c>
      <c r="Q47" s="1" t="str">
        <f>_xlfn.CONCAT(H47,I47,J47)</f>
        <v>DAURDE</v>
      </c>
    </row>
    <row r="48" spans="2:17">
      <c r="B48" s="1" t="s">
        <v>343</v>
      </c>
      <c r="C48" s="1" t="s">
        <v>344</v>
      </c>
      <c r="D48" s="52">
        <v>46055.826388888891</v>
      </c>
      <c r="E48" s="52">
        <v>46055.826388888891</v>
      </c>
      <c r="F48" s="52">
        <v>46055.954861111109</v>
      </c>
      <c r="G48" s="53">
        <v>0.12847222222222221</v>
      </c>
      <c r="H48" s="1" t="s">
        <v>257</v>
      </c>
      <c r="J48" s="1" t="s">
        <v>258</v>
      </c>
      <c r="K48" s="1" t="s">
        <v>658</v>
      </c>
      <c r="L48" s="1" t="s">
        <v>259</v>
      </c>
      <c r="M48" s="1" t="s">
        <v>260</v>
      </c>
      <c r="N48" s="1" t="s">
        <v>261</v>
      </c>
      <c r="O48" s="1" t="s">
        <v>626</v>
      </c>
      <c r="P48" s="1" t="str">
        <f>_xlfn.CONCAT(B48,C48,D48,E48,F48)</f>
        <v>BC Panama1.2ART_00446055,826388888946055,826388888946055,9548611111</v>
      </c>
      <c r="Q48" s="1" t="str">
        <f>_xlfn.CONCAT(H48,I48,J48)</f>
        <v>DAURDE</v>
      </c>
    </row>
    <row r="49" spans="2:17">
      <c r="B49" s="1" t="s">
        <v>343</v>
      </c>
      <c r="C49" s="1" t="s">
        <v>345</v>
      </c>
      <c r="D49" s="52">
        <v>46055.826388888891</v>
      </c>
      <c r="E49" s="52">
        <v>46055.826388888891</v>
      </c>
      <c r="F49" s="52">
        <v>46055.954861111109</v>
      </c>
      <c r="G49" s="53">
        <v>0.12847222222222221</v>
      </c>
      <c r="H49" s="1" t="s">
        <v>257</v>
      </c>
      <c r="J49" s="1" t="s">
        <v>258</v>
      </c>
      <c r="K49" s="1" t="s">
        <v>658</v>
      </c>
      <c r="L49" s="1" t="s">
        <v>259</v>
      </c>
      <c r="M49" s="1" t="s">
        <v>260</v>
      </c>
      <c r="N49" s="1" t="s">
        <v>261</v>
      </c>
      <c r="O49" s="1" t="s">
        <v>626</v>
      </c>
      <c r="P49" s="1" t="str">
        <f>_xlfn.CONCAT(B49,C49,D49,E49,F49)</f>
        <v>BC Panama1.2COOGED_00546055,826388888946055,826388888946055,9548611111</v>
      </c>
      <c r="Q49" s="1" t="str">
        <f>_xlfn.CONCAT(H49,I49,J49)</f>
        <v>DAURDE</v>
      </c>
    </row>
    <row r="50" spans="2:17">
      <c r="B50" s="1" t="s">
        <v>343</v>
      </c>
      <c r="C50" s="1" t="s">
        <v>346</v>
      </c>
      <c r="D50" s="52">
        <v>46055.826388888891</v>
      </c>
      <c r="E50" s="52">
        <v>46055.826388888891</v>
      </c>
      <c r="F50" s="52">
        <v>46055.954861111109</v>
      </c>
      <c r="G50" s="53">
        <v>0.12847222222222221</v>
      </c>
      <c r="H50" s="1" t="s">
        <v>257</v>
      </c>
      <c r="J50" s="1" t="s">
        <v>258</v>
      </c>
      <c r="K50" s="1" t="s">
        <v>658</v>
      </c>
      <c r="L50" s="1" t="s">
        <v>259</v>
      </c>
      <c r="M50" s="1" t="s">
        <v>260</v>
      </c>
      <c r="N50" s="1" t="s">
        <v>261</v>
      </c>
      <c r="O50" s="1" t="s">
        <v>626</v>
      </c>
      <c r="P50" s="1" t="str">
        <f>_xlfn.CONCAT(B50,C50,D50,E50,F50)</f>
        <v>BC Panama1.2ART_00646055,826388888946055,826388888946055,9548611111</v>
      </c>
      <c r="Q50" s="1" t="str">
        <f>_xlfn.CONCAT(H50,I50,J50)</f>
        <v>DAURDE</v>
      </c>
    </row>
    <row r="51" spans="2:17">
      <c r="B51" s="1" t="s">
        <v>343</v>
      </c>
      <c r="C51" s="1" t="s">
        <v>347</v>
      </c>
      <c r="D51" s="52">
        <v>46055.826388888891</v>
      </c>
      <c r="E51" s="52">
        <v>46055.826388888891</v>
      </c>
      <c r="F51" s="52">
        <v>46055.954861111109</v>
      </c>
      <c r="G51" s="53">
        <v>0.12847222222222221</v>
      </c>
      <c r="H51" s="1" t="s">
        <v>257</v>
      </c>
      <c r="J51" s="1" t="s">
        <v>258</v>
      </c>
      <c r="K51" s="1" t="s">
        <v>658</v>
      </c>
      <c r="L51" s="1" t="s">
        <v>259</v>
      </c>
      <c r="M51" s="1" t="s">
        <v>260</v>
      </c>
      <c r="N51" s="1" t="s">
        <v>261</v>
      </c>
      <c r="O51" s="1" t="s">
        <v>626</v>
      </c>
      <c r="P51" s="1" t="str">
        <f>_xlfn.CONCAT(B51,C51,D51,E51,F51)</f>
        <v>BC Panama1.2RADIO_00746055,826388888946055,826388888946055,9548611111</v>
      </c>
      <c r="Q51" s="1" t="str">
        <f>_xlfn.CONCAT(H51,I51,J51)</f>
        <v>DAURDE</v>
      </c>
    </row>
    <row r="52" spans="2:17">
      <c r="B52" s="1" t="s">
        <v>255</v>
      </c>
      <c r="C52" s="1" t="s">
        <v>256</v>
      </c>
      <c r="D52" s="52">
        <v>46055.871527777781</v>
      </c>
      <c r="E52" s="52">
        <v>46055.871527777781</v>
      </c>
      <c r="F52" s="52">
        <v>46056.3125</v>
      </c>
      <c r="G52" s="53">
        <v>0.44097222222222221</v>
      </c>
      <c r="H52" s="1" t="s">
        <v>257</v>
      </c>
      <c r="J52" s="1" t="s">
        <v>258</v>
      </c>
      <c r="K52" s="1" t="s">
        <v>658</v>
      </c>
      <c r="L52" s="1" t="s">
        <v>679</v>
      </c>
      <c r="M52" s="1" t="s">
        <v>260</v>
      </c>
      <c r="N52" s="1" t="s">
        <v>261</v>
      </c>
      <c r="O52" s="1" t="s">
        <v>626</v>
      </c>
      <c r="P52" s="1" t="str">
        <f>_xlfn.CONCAT(B52,C52,D52,E52,F52)</f>
        <v>BC Formoso2.1Inverter(MBUS-12)46055,871527777846055,871527777846056,3125</v>
      </c>
      <c r="Q52" s="1" t="str">
        <f>_xlfn.CONCAT(H52,I52,J52)</f>
        <v>DAURDE</v>
      </c>
    </row>
    <row r="53" spans="2:17">
      <c r="B53" s="1" t="s">
        <v>255</v>
      </c>
      <c r="C53" s="1" t="s">
        <v>263</v>
      </c>
      <c r="D53" s="52">
        <v>46055.871527777781</v>
      </c>
      <c r="E53" s="52">
        <v>46055.871527777781</v>
      </c>
      <c r="F53" s="52">
        <v>46056.3125</v>
      </c>
      <c r="G53" s="53">
        <v>0.44097222222222221</v>
      </c>
      <c r="H53" s="1" t="s">
        <v>257</v>
      </c>
      <c r="J53" s="1" t="s">
        <v>258</v>
      </c>
      <c r="K53" s="1" t="s">
        <v>658</v>
      </c>
      <c r="L53" s="1" t="s">
        <v>679</v>
      </c>
      <c r="M53" s="1" t="s">
        <v>260</v>
      </c>
      <c r="N53" s="1" t="s">
        <v>261</v>
      </c>
      <c r="O53" s="1" t="s">
        <v>626</v>
      </c>
      <c r="P53" s="1" t="str">
        <f>_xlfn.CONCAT(B53,C53,D53,E53,F53)</f>
        <v>BC Formoso2.1Inverter(MBUS-14)46055,871527777846055,871527777846056,3125</v>
      </c>
      <c r="Q53" s="1" t="str">
        <f>_xlfn.CONCAT(H53,I53,J53)</f>
        <v>DAURDE</v>
      </c>
    </row>
    <row r="54" spans="2:17">
      <c r="B54" s="1" t="s">
        <v>255</v>
      </c>
      <c r="C54" s="1" t="s">
        <v>264</v>
      </c>
      <c r="D54" s="52">
        <v>46055.871527777781</v>
      </c>
      <c r="E54" s="52">
        <v>46055.871527777781</v>
      </c>
      <c r="F54" s="52">
        <v>46056.3125</v>
      </c>
      <c r="G54" s="53">
        <v>0.44097222222222221</v>
      </c>
      <c r="H54" s="1" t="s">
        <v>257</v>
      </c>
      <c r="J54" s="1" t="s">
        <v>258</v>
      </c>
      <c r="K54" s="1" t="s">
        <v>658</v>
      </c>
      <c r="L54" s="1" t="s">
        <v>679</v>
      </c>
      <c r="M54" s="1" t="s">
        <v>260</v>
      </c>
      <c r="N54" s="1" t="s">
        <v>261</v>
      </c>
      <c r="O54" s="1" t="s">
        <v>626</v>
      </c>
      <c r="P54" s="1" t="str">
        <f>_xlfn.CONCAT(B54,C54,D54,E54,F54)</f>
        <v>BC Formoso2.1Inverter(MBUS-13)46055,871527777846055,871527777846056,3125</v>
      </c>
      <c r="Q54" s="1" t="str">
        <f>_xlfn.CONCAT(H54,I54,J54)</f>
        <v>DAURDE</v>
      </c>
    </row>
    <row r="55" spans="2:17">
      <c r="B55" s="1" t="s">
        <v>255</v>
      </c>
      <c r="C55" s="1" t="s">
        <v>247</v>
      </c>
      <c r="D55" s="52">
        <v>46055.871527777781</v>
      </c>
      <c r="E55" s="52">
        <v>46055.871527777781</v>
      </c>
      <c r="F55" s="52">
        <v>46056.3125</v>
      </c>
      <c r="G55" s="53">
        <v>0.44097222222222221</v>
      </c>
      <c r="H55" s="1" t="s">
        <v>257</v>
      </c>
      <c r="J55" s="1" t="s">
        <v>258</v>
      </c>
      <c r="K55" s="1" t="s">
        <v>658</v>
      </c>
      <c r="L55" s="1" t="s">
        <v>679</v>
      </c>
      <c r="M55" s="1" t="s">
        <v>260</v>
      </c>
      <c r="N55" s="1" t="s">
        <v>261</v>
      </c>
      <c r="O55" s="1" t="s">
        <v>626</v>
      </c>
      <c r="P55" s="1" t="str">
        <f>_xlfn.CONCAT(B55,C55,D55,E55,F55)</f>
        <v>BC Formoso2.1Inverter(MBUS-1)46055,871527777846055,871527777846056,3125</v>
      </c>
      <c r="Q55" s="1" t="str">
        <f>_xlfn.CONCAT(H55,I55,J55)</f>
        <v>DAURDE</v>
      </c>
    </row>
    <row r="56" spans="2:17">
      <c r="B56" s="1" t="s">
        <v>355</v>
      </c>
      <c r="C56" s="1" t="s">
        <v>264</v>
      </c>
      <c r="D56" s="52">
        <v>46055.871527777781</v>
      </c>
      <c r="E56" s="52">
        <v>46055.871527777781</v>
      </c>
      <c r="F56" s="52">
        <v>46056.3125</v>
      </c>
      <c r="G56" s="53">
        <v>0.44097222222222221</v>
      </c>
      <c r="H56" s="1" t="s">
        <v>257</v>
      </c>
      <c r="J56" s="1" t="s">
        <v>258</v>
      </c>
      <c r="K56" s="1" t="s">
        <v>658</v>
      </c>
      <c r="L56" s="1" t="s">
        <v>679</v>
      </c>
      <c r="M56" s="1" t="s">
        <v>260</v>
      </c>
      <c r="N56" s="1" t="s">
        <v>261</v>
      </c>
      <c r="O56" s="1" t="s">
        <v>626</v>
      </c>
      <c r="P56" s="1" t="str">
        <f>_xlfn.CONCAT(B56,C56,D56,E56,F56)</f>
        <v>BC Formoso2.3Inverter(MBUS-13)46055,871527777846055,871527777846056,3125</v>
      </c>
      <c r="Q56" s="1" t="str">
        <f>_xlfn.CONCAT(H56,I56,J56)</f>
        <v>DAURDE</v>
      </c>
    </row>
    <row r="57" spans="2:17">
      <c r="B57" s="1" t="s">
        <v>355</v>
      </c>
      <c r="C57" s="1" t="s">
        <v>256</v>
      </c>
      <c r="D57" s="52">
        <v>46055.871527777781</v>
      </c>
      <c r="E57" s="52">
        <v>46055.871527777781</v>
      </c>
      <c r="F57" s="52">
        <v>46056.3125</v>
      </c>
      <c r="G57" s="53">
        <v>0.44097222222222221</v>
      </c>
      <c r="H57" s="1" t="s">
        <v>257</v>
      </c>
      <c r="J57" s="1" t="s">
        <v>258</v>
      </c>
      <c r="K57" s="1" t="s">
        <v>658</v>
      </c>
      <c r="L57" s="1" t="s">
        <v>679</v>
      </c>
      <c r="M57" s="1" t="s">
        <v>260</v>
      </c>
      <c r="N57" s="1" t="s">
        <v>261</v>
      </c>
      <c r="O57" s="1" t="s">
        <v>626</v>
      </c>
      <c r="P57" s="1" t="str">
        <f>_xlfn.CONCAT(B57,C57,D57,E57,F57)</f>
        <v>BC Formoso2.3Inverter(MBUS-12)46055,871527777846055,871527777846056,3125</v>
      </c>
      <c r="Q57" s="1" t="str">
        <f>_xlfn.CONCAT(H57,I57,J57)</f>
        <v>DAURDE</v>
      </c>
    </row>
    <row r="58" spans="2:17">
      <c r="B58" s="1" t="s">
        <v>393</v>
      </c>
      <c r="C58" s="1" t="s">
        <v>394</v>
      </c>
      <c r="D58" s="52">
        <v>46056.529861111114</v>
      </c>
      <c r="E58" s="52">
        <v>46056.529861111114</v>
      </c>
      <c r="F58" s="52">
        <v>46056.538888888892</v>
      </c>
      <c r="G58" s="53">
        <v>9.0277777777777769E-3</v>
      </c>
      <c r="H58" s="1" t="s">
        <v>257</v>
      </c>
      <c r="J58" s="1" t="s">
        <v>258</v>
      </c>
      <c r="K58" s="1" t="s">
        <v>658</v>
      </c>
      <c r="L58" s="1" t="s">
        <v>680</v>
      </c>
      <c r="M58" s="1" t="s">
        <v>260</v>
      </c>
      <c r="N58" s="1" t="s">
        <v>261</v>
      </c>
      <c r="O58" s="1" t="s">
        <v>626</v>
      </c>
      <c r="P58" s="1" t="str">
        <f>_xlfn.CONCAT(B58,C58,D58,E58,F58)</f>
        <v>BC ParanoaSG60KTL(COM1-014)_001_01346056,529861111146056,529861111146056,5388888889</v>
      </c>
      <c r="Q58" s="1" t="str">
        <f>_xlfn.CONCAT(H58,I58,J58)</f>
        <v>DAURDE</v>
      </c>
    </row>
    <row r="59" spans="2:17">
      <c r="B59" s="1" t="s">
        <v>393</v>
      </c>
      <c r="C59" s="1" t="s">
        <v>395</v>
      </c>
      <c r="D59" s="52">
        <v>46056.529861111114</v>
      </c>
      <c r="E59" s="52">
        <v>46056.529861111114</v>
      </c>
      <c r="F59" s="52">
        <v>46056.538888888892</v>
      </c>
      <c r="G59" s="53">
        <v>9.0277777777777769E-3</v>
      </c>
      <c r="H59" s="1" t="s">
        <v>257</v>
      </c>
      <c r="J59" s="1" t="s">
        <v>258</v>
      </c>
      <c r="K59" s="1" t="s">
        <v>658</v>
      </c>
      <c r="L59" s="1" t="s">
        <v>680</v>
      </c>
      <c r="M59" s="1" t="s">
        <v>260</v>
      </c>
      <c r="N59" s="1" t="s">
        <v>261</v>
      </c>
      <c r="O59" s="1" t="s">
        <v>626</v>
      </c>
      <c r="P59" s="1" t="str">
        <f>_xlfn.CONCAT(B59,C59,D59,E59,F59)</f>
        <v>BC ParanoaSG60KTL(COM1-013)_001_01046056,529861111146056,529861111146056,5388888889</v>
      </c>
      <c r="Q59" s="1" t="str">
        <f>_xlfn.CONCAT(H59,I59,J59)</f>
        <v>DAURDE</v>
      </c>
    </row>
    <row r="60" spans="2:17">
      <c r="B60" s="1" t="s">
        <v>393</v>
      </c>
      <c r="C60" s="1" t="s">
        <v>396</v>
      </c>
      <c r="D60" s="52">
        <v>46056.529861111114</v>
      </c>
      <c r="E60" s="52">
        <v>46056.529861111114</v>
      </c>
      <c r="F60" s="52">
        <v>46056.538888888892</v>
      </c>
      <c r="G60" s="53">
        <v>9.0277777777777769E-3</v>
      </c>
      <c r="H60" s="1" t="s">
        <v>257</v>
      </c>
      <c r="J60" s="1" t="s">
        <v>258</v>
      </c>
      <c r="K60" s="1" t="s">
        <v>658</v>
      </c>
      <c r="L60" s="1" t="s">
        <v>680</v>
      </c>
      <c r="M60" s="1" t="s">
        <v>260</v>
      </c>
      <c r="N60" s="1" t="s">
        <v>261</v>
      </c>
      <c r="O60" s="1" t="s">
        <v>626</v>
      </c>
      <c r="P60" s="1" t="str">
        <f>_xlfn.CONCAT(B60,C60,D60,E60,F60)</f>
        <v>BC ParanoaSG60KTL(COM1-012)_001_01146056,529861111146056,529861111146056,5388888889</v>
      </c>
      <c r="Q60" s="1" t="str">
        <f>_xlfn.CONCAT(H60,I60,J60)</f>
        <v>DAURDE</v>
      </c>
    </row>
    <row r="61" spans="2:17">
      <c r="B61" s="1" t="s">
        <v>393</v>
      </c>
      <c r="C61" s="1" t="s">
        <v>397</v>
      </c>
      <c r="D61" s="52">
        <v>46056.529861111114</v>
      </c>
      <c r="E61" s="52">
        <v>46056.529861111114</v>
      </c>
      <c r="F61" s="52">
        <v>46056.538888888892</v>
      </c>
      <c r="G61" s="53">
        <v>9.0277777777777769E-3</v>
      </c>
      <c r="H61" s="1" t="s">
        <v>257</v>
      </c>
      <c r="J61" s="1" t="s">
        <v>258</v>
      </c>
      <c r="K61" s="1" t="s">
        <v>658</v>
      </c>
      <c r="L61" s="1" t="s">
        <v>680</v>
      </c>
      <c r="M61" s="1" t="s">
        <v>260</v>
      </c>
      <c r="N61" s="1" t="s">
        <v>261</v>
      </c>
      <c r="O61" s="1" t="s">
        <v>626</v>
      </c>
      <c r="P61" s="1" t="str">
        <f>_xlfn.CONCAT(B61,C61,D61,E61,F61)</f>
        <v>BC ParanoaSG60KTL(COM1-011)_001_00546056,529861111146056,529861111146056,5388888889</v>
      </c>
      <c r="Q61" s="1" t="str">
        <f>_xlfn.CONCAT(H61,I61,J61)</f>
        <v>DAURDE</v>
      </c>
    </row>
    <row r="62" spans="2:17">
      <c r="B62" s="1" t="s">
        <v>393</v>
      </c>
      <c r="C62" s="1" t="s">
        <v>398</v>
      </c>
      <c r="D62" s="52">
        <v>46056.529861111114</v>
      </c>
      <c r="E62" s="52">
        <v>46056.529861111114</v>
      </c>
      <c r="F62" s="52">
        <v>46056.538888888892</v>
      </c>
      <c r="G62" s="53">
        <v>9.0277777777777769E-3</v>
      </c>
      <c r="H62" s="1" t="s">
        <v>257</v>
      </c>
      <c r="J62" s="1" t="s">
        <v>258</v>
      </c>
      <c r="K62" s="1" t="s">
        <v>658</v>
      </c>
      <c r="L62" s="1" t="s">
        <v>680</v>
      </c>
      <c r="M62" s="1" t="s">
        <v>260</v>
      </c>
      <c r="N62" s="1" t="s">
        <v>261</v>
      </c>
      <c r="O62" s="1" t="s">
        <v>626</v>
      </c>
      <c r="P62" s="1" t="str">
        <f>_xlfn.CONCAT(B62,C62,D62,E62,F62)</f>
        <v>BC ParanoaSG60KTL(COM1-010)_001_00346056,529861111146056,529861111146056,5388888889</v>
      </c>
      <c r="Q62" s="1" t="str">
        <f>_xlfn.CONCAT(H62,I62,J62)</f>
        <v>DAURDE</v>
      </c>
    </row>
    <row r="63" spans="2:17">
      <c r="B63" s="1" t="s">
        <v>393</v>
      </c>
      <c r="C63" s="1" t="s">
        <v>399</v>
      </c>
      <c r="D63" s="52">
        <v>46056.529861111114</v>
      </c>
      <c r="E63" s="52">
        <v>46056.529861111114</v>
      </c>
      <c r="F63" s="52">
        <v>46056.538888888892</v>
      </c>
      <c r="G63" s="53">
        <v>9.0277777777777769E-3</v>
      </c>
      <c r="H63" s="1" t="s">
        <v>257</v>
      </c>
      <c r="J63" s="1" t="s">
        <v>258</v>
      </c>
      <c r="K63" s="1" t="s">
        <v>658</v>
      </c>
      <c r="L63" s="1" t="s">
        <v>680</v>
      </c>
      <c r="M63" s="1" t="s">
        <v>260</v>
      </c>
      <c r="N63" s="1" t="s">
        <v>261</v>
      </c>
      <c r="O63" s="1" t="s">
        <v>626</v>
      </c>
      <c r="P63" s="1" t="str">
        <f>_xlfn.CONCAT(B63,C63,D63,E63,F63)</f>
        <v>BC ParanoaSG60KTL(COM1-018)_001_01246056,529861111146056,529861111146056,5388888889</v>
      </c>
      <c r="Q63" s="1" t="str">
        <f>_xlfn.CONCAT(H63,I63,J63)</f>
        <v>DAURDE</v>
      </c>
    </row>
    <row r="64" spans="2:17">
      <c r="B64" s="1" t="s">
        <v>393</v>
      </c>
      <c r="C64" s="1" t="s">
        <v>400</v>
      </c>
      <c r="D64" s="52">
        <v>46056.529861111114</v>
      </c>
      <c r="E64" s="52">
        <v>46056.529861111114</v>
      </c>
      <c r="F64" s="52">
        <v>46056.538888888892</v>
      </c>
      <c r="G64" s="53">
        <v>9.0277777777777769E-3</v>
      </c>
      <c r="H64" s="1" t="s">
        <v>257</v>
      </c>
      <c r="J64" s="1" t="s">
        <v>258</v>
      </c>
      <c r="K64" s="1" t="s">
        <v>658</v>
      </c>
      <c r="L64" s="1" t="s">
        <v>680</v>
      </c>
      <c r="M64" s="1" t="s">
        <v>260</v>
      </c>
      <c r="N64" s="1" t="s">
        <v>261</v>
      </c>
      <c r="O64" s="1" t="s">
        <v>626</v>
      </c>
      <c r="P64" s="1" t="str">
        <f>_xlfn.CONCAT(B64,C64,D64,E64,F64)</f>
        <v>BC ParanoaSG60KTL(COM1-017)_001_00746056,529861111146056,529861111146056,5388888889</v>
      </c>
      <c r="Q64" s="1" t="str">
        <f>_xlfn.CONCAT(H64,I64,J64)</f>
        <v>DAURDE</v>
      </c>
    </row>
    <row r="65" spans="1:17">
      <c r="B65" s="1" t="s">
        <v>393</v>
      </c>
      <c r="C65" s="1" t="s">
        <v>401</v>
      </c>
      <c r="D65" s="52">
        <v>46056.529861111114</v>
      </c>
      <c r="E65" s="52">
        <v>46056.529861111114</v>
      </c>
      <c r="F65" s="52">
        <v>46056.538888888892</v>
      </c>
      <c r="G65" s="53">
        <v>9.0277777777777769E-3</v>
      </c>
      <c r="H65" s="1" t="s">
        <v>257</v>
      </c>
      <c r="J65" s="1" t="s">
        <v>258</v>
      </c>
      <c r="K65" s="1" t="s">
        <v>658</v>
      </c>
      <c r="L65" s="1" t="s">
        <v>680</v>
      </c>
      <c r="M65" s="1" t="s">
        <v>260</v>
      </c>
      <c r="N65" s="1" t="s">
        <v>261</v>
      </c>
      <c r="O65" s="1" t="s">
        <v>626</v>
      </c>
      <c r="P65" s="1" t="str">
        <f>_xlfn.CONCAT(B65,C65,D65,E65,F65)</f>
        <v>BC ParanoaSG60KTL(COM1-016)_001_00646056,529861111146056,529861111146056,5388888889</v>
      </c>
      <c r="Q65" s="1" t="str">
        <f>_xlfn.CONCAT(H65,I65,J65)</f>
        <v>DAURDE</v>
      </c>
    </row>
    <row r="66" spans="1:17">
      <c r="B66" s="1" t="s">
        <v>393</v>
      </c>
      <c r="C66" s="1" t="s">
        <v>402</v>
      </c>
      <c r="D66" s="52">
        <v>46056.529861111114</v>
      </c>
      <c r="E66" s="52">
        <v>46056.529861111114</v>
      </c>
      <c r="F66" s="52">
        <v>46056.538888888892</v>
      </c>
      <c r="G66" s="53">
        <v>9.0277777777777769E-3</v>
      </c>
      <c r="H66" s="1" t="s">
        <v>257</v>
      </c>
      <c r="J66" s="1" t="s">
        <v>258</v>
      </c>
      <c r="K66" s="1" t="s">
        <v>658</v>
      </c>
      <c r="L66" s="1" t="s">
        <v>680</v>
      </c>
      <c r="M66" s="1" t="s">
        <v>260</v>
      </c>
      <c r="N66" s="1" t="s">
        <v>261</v>
      </c>
      <c r="O66" s="1" t="s">
        <v>626</v>
      </c>
      <c r="P66" s="1" t="str">
        <f>_xlfn.CONCAT(B66,C66,D66,E66,F66)</f>
        <v>BC ParanoaSG50CX(COM2-015)_001_01746056,529861111146056,529861111146056,5388888889</v>
      </c>
      <c r="Q66" s="1" t="str">
        <f>_xlfn.CONCAT(H66,I66,J66)</f>
        <v>DAURDE</v>
      </c>
    </row>
    <row r="67" spans="1:17">
      <c r="B67" s="1" t="s">
        <v>393</v>
      </c>
      <c r="C67" s="1" t="s">
        <v>403</v>
      </c>
      <c r="D67" s="52">
        <v>46056.529861111114</v>
      </c>
      <c r="E67" s="52">
        <v>46056.529861111114</v>
      </c>
      <c r="F67" s="52">
        <v>46056.538888888892</v>
      </c>
      <c r="G67" s="53">
        <v>9.0277777777777769E-3</v>
      </c>
      <c r="H67" s="1" t="s">
        <v>257</v>
      </c>
      <c r="J67" s="1" t="s">
        <v>258</v>
      </c>
      <c r="K67" s="1" t="s">
        <v>658</v>
      </c>
      <c r="L67" s="1" t="s">
        <v>680</v>
      </c>
      <c r="M67" s="1" t="s">
        <v>260</v>
      </c>
      <c r="N67" s="1" t="s">
        <v>261</v>
      </c>
      <c r="O67" s="1" t="s">
        <v>626</v>
      </c>
      <c r="P67" s="1" t="str">
        <f>_xlfn.CONCAT(B67,C67,D67,E67,F67)</f>
        <v>BC ParanoaSG60KTL(COM1-009)_001_00246056,529861111146056,529861111146056,5388888889</v>
      </c>
      <c r="Q67" s="1" t="str">
        <f>_xlfn.CONCAT(H67,I67,J67)</f>
        <v>DAURDE</v>
      </c>
    </row>
    <row r="68" spans="1:17">
      <c r="B68" s="1" t="s">
        <v>393</v>
      </c>
      <c r="C68" s="1" t="s">
        <v>404</v>
      </c>
      <c r="D68" s="52">
        <v>46056.529861111114</v>
      </c>
      <c r="E68" s="52">
        <v>46056.529861111114</v>
      </c>
      <c r="F68" s="52">
        <v>46056.538888888892</v>
      </c>
      <c r="G68" s="53">
        <v>9.0277777777777769E-3</v>
      </c>
      <c r="H68" s="1" t="s">
        <v>257</v>
      </c>
      <c r="J68" s="1" t="s">
        <v>258</v>
      </c>
      <c r="K68" s="1" t="s">
        <v>658</v>
      </c>
      <c r="L68" s="1" t="s">
        <v>680</v>
      </c>
      <c r="M68" s="1" t="s">
        <v>260</v>
      </c>
      <c r="N68" s="1" t="s">
        <v>261</v>
      </c>
      <c r="O68" s="1" t="s">
        <v>626</v>
      </c>
      <c r="P68" s="1" t="str">
        <f>_xlfn.CONCAT(B68,C68,D68,E68,F68)</f>
        <v>BC ParanoaSG60KTL(COM1-008)_001_00946056,529861111146056,529861111146056,5388888889</v>
      </c>
      <c r="Q68" s="1" t="str">
        <f>_xlfn.CONCAT(H68,I68,J68)</f>
        <v>DAURDE</v>
      </c>
    </row>
    <row r="69" spans="1:17">
      <c r="B69" s="1" t="s">
        <v>393</v>
      </c>
      <c r="C69" s="1" t="s">
        <v>405</v>
      </c>
      <c r="D69" s="52">
        <v>46056.529861111114</v>
      </c>
      <c r="E69" s="52">
        <v>46056.529861111114</v>
      </c>
      <c r="F69" s="52">
        <v>46056.538888888892</v>
      </c>
      <c r="G69" s="53">
        <v>9.0277777777777769E-3</v>
      </c>
      <c r="H69" s="1" t="s">
        <v>257</v>
      </c>
      <c r="J69" s="1" t="s">
        <v>258</v>
      </c>
      <c r="K69" s="1" t="s">
        <v>658</v>
      </c>
      <c r="L69" s="1" t="s">
        <v>680</v>
      </c>
      <c r="M69" s="1" t="s">
        <v>260</v>
      </c>
      <c r="N69" s="1" t="s">
        <v>261</v>
      </c>
      <c r="O69" s="1" t="s">
        <v>626</v>
      </c>
      <c r="P69" s="1" t="str">
        <f>_xlfn.CONCAT(B69,C69,D69,E69,F69)</f>
        <v>BC ParanoaSG60KTL(COM1-007)_001_00446056,529861111146056,529861111146056,5388888889</v>
      </c>
      <c r="Q69" s="1" t="str">
        <f>_xlfn.CONCAT(H69,I69,J69)</f>
        <v>DAURDE</v>
      </c>
    </row>
    <row r="70" spans="1:17" s="75" customFormat="1">
      <c r="A70" s="2"/>
      <c r="B70" s="66" t="s">
        <v>393</v>
      </c>
      <c r="C70" s="66" t="s">
        <v>406</v>
      </c>
      <c r="D70" s="52">
        <v>46056.529861111114</v>
      </c>
      <c r="E70" s="52">
        <v>46056.529861111114</v>
      </c>
      <c r="F70" s="52">
        <v>46056.538888888892</v>
      </c>
      <c r="G70" s="53">
        <v>9.0277777777777769E-3</v>
      </c>
      <c r="H70" s="1" t="s">
        <v>257</v>
      </c>
      <c r="I70" s="66"/>
      <c r="J70" s="1" t="s">
        <v>258</v>
      </c>
      <c r="K70" s="1" t="s">
        <v>658</v>
      </c>
      <c r="L70" s="1" t="s">
        <v>680</v>
      </c>
      <c r="M70" s="1" t="s">
        <v>260</v>
      </c>
      <c r="N70" s="1" t="s">
        <v>261</v>
      </c>
      <c r="O70" s="1" t="s">
        <v>626</v>
      </c>
      <c r="P70" s="66" t="str">
        <f>_xlfn.CONCAT(B70,C70,D70,E70,F70)</f>
        <v>BC ParanoaSG60KTL(COM1-006)_001_01446056,529861111146056,529861111146056,5388888889</v>
      </c>
      <c r="Q70" s="66" t="str">
        <f>_xlfn.CONCAT(H70,I70,J70)</f>
        <v>DAURDE</v>
      </c>
    </row>
    <row r="71" spans="1:17">
      <c r="B71" s="1" t="s">
        <v>393</v>
      </c>
      <c r="C71" s="1" t="s">
        <v>407</v>
      </c>
      <c r="D71" s="52">
        <v>46056.529861111114</v>
      </c>
      <c r="E71" s="52">
        <v>46056.529861111114</v>
      </c>
      <c r="F71" s="52">
        <v>46056.538888888892</v>
      </c>
      <c r="G71" s="53">
        <v>9.0277777777777769E-3</v>
      </c>
      <c r="H71" s="1" t="s">
        <v>257</v>
      </c>
      <c r="J71" s="1" t="s">
        <v>258</v>
      </c>
      <c r="K71" s="1" t="s">
        <v>658</v>
      </c>
      <c r="L71" s="1" t="s">
        <v>680</v>
      </c>
      <c r="M71" s="1" t="s">
        <v>260</v>
      </c>
      <c r="N71" s="1" t="s">
        <v>261</v>
      </c>
      <c r="O71" s="1" t="s">
        <v>626</v>
      </c>
      <c r="P71" s="1" t="str">
        <f>_xlfn.CONCAT(B71,C71,D71,E71,F71)</f>
        <v>BC ParanoaSG40CX(COM2-005)_001_01546056,529861111146056,529861111146056,5388888889</v>
      </c>
      <c r="Q71" s="1" t="str">
        <f>_xlfn.CONCAT(H71,I71,J71)</f>
        <v>DAURDE</v>
      </c>
    </row>
    <row r="72" spans="1:17">
      <c r="B72" s="1" t="s">
        <v>393</v>
      </c>
      <c r="C72" s="1" t="s">
        <v>408</v>
      </c>
      <c r="D72" s="52">
        <v>46056.529861111114</v>
      </c>
      <c r="E72" s="52">
        <v>46056.529861111114</v>
      </c>
      <c r="F72" s="52">
        <v>46056.538888888892</v>
      </c>
      <c r="G72" s="53">
        <v>9.0277777777777769E-3</v>
      </c>
      <c r="H72" s="1" t="s">
        <v>257</v>
      </c>
      <c r="J72" s="1" t="s">
        <v>258</v>
      </c>
      <c r="K72" s="1" t="s">
        <v>658</v>
      </c>
      <c r="L72" s="1" t="s">
        <v>680</v>
      </c>
      <c r="M72" s="1" t="s">
        <v>260</v>
      </c>
      <c r="N72" s="1" t="s">
        <v>261</v>
      </c>
      <c r="O72" s="1" t="s">
        <v>626</v>
      </c>
      <c r="P72" s="1" t="str">
        <f>_xlfn.CONCAT(B72,C72,D72,E72,F72)</f>
        <v>BC ParanoaSG60KTL(COM1-019)_002_00746056,529861111146056,529861111146056,5388888889</v>
      </c>
      <c r="Q72" s="1" t="str">
        <f>_xlfn.CONCAT(H72,I72,J72)</f>
        <v>DAURDE</v>
      </c>
    </row>
    <row r="73" spans="1:17">
      <c r="B73" s="1" t="s">
        <v>393</v>
      </c>
      <c r="C73" s="1" t="s">
        <v>409</v>
      </c>
      <c r="D73" s="52">
        <v>46056.529861111114</v>
      </c>
      <c r="E73" s="52">
        <v>46056.529861111114</v>
      </c>
      <c r="F73" s="52">
        <v>46056.538888888892</v>
      </c>
      <c r="G73" s="53">
        <v>9.0277777777777769E-3</v>
      </c>
      <c r="H73" s="1" t="s">
        <v>257</v>
      </c>
      <c r="J73" s="1" t="s">
        <v>258</v>
      </c>
      <c r="K73" s="1" t="s">
        <v>658</v>
      </c>
      <c r="L73" s="1" t="s">
        <v>680</v>
      </c>
      <c r="M73" s="1" t="s">
        <v>260</v>
      </c>
      <c r="N73" s="1" t="s">
        <v>261</v>
      </c>
      <c r="O73" s="1" t="s">
        <v>626</v>
      </c>
      <c r="P73" s="1" t="str">
        <f>_xlfn.CONCAT(B73,C73,D73,E73,F73)</f>
        <v>BC ParanoaSG60KTL(COM1-020)_002_01146056,529861111146056,529861111146056,5388888889</v>
      </c>
      <c r="Q73" s="1" t="str">
        <f>_xlfn.CONCAT(H73,I73,J73)</f>
        <v>DAURDE</v>
      </c>
    </row>
    <row r="74" spans="1:17">
      <c r="B74" s="1" t="s">
        <v>393</v>
      </c>
      <c r="C74" s="1" t="s">
        <v>410</v>
      </c>
      <c r="D74" s="52">
        <v>46056.529861111114</v>
      </c>
      <c r="E74" s="52">
        <v>46056.529861111114</v>
      </c>
      <c r="F74" s="52">
        <v>46056.538888888892</v>
      </c>
      <c r="G74" s="53">
        <v>9.0277777777777769E-3</v>
      </c>
      <c r="H74" s="1" t="s">
        <v>257</v>
      </c>
      <c r="J74" s="1" t="s">
        <v>258</v>
      </c>
      <c r="K74" s="1" t="s">
        <v>658</v>
      </c>
      <c r="L74" s="1" t="s">
        <v>680</v>
      </c>
      <c r="M74" s="1" t="s">
        <v>260</v>
      </c>
      <c r="N74" s="1" t="s">
        <v>261</v>
      </c>
      <c r="O74" s="1" t="s">
        <v>626</v>
      </c>
      <c r="P74" s="1" t="str">
        <f>_xlfn.CONCAT(B74,C74,D74,E74,F74)</f>
        <v>BC ParanoaSG60KTL(COM1-021)_002_01746056,529861111146056,529861111146056,5388888889</v>
      </c>
      <c r="Q74" s="1" t="str">
        <f>_xlfn.CONCAT(H74,I74,J74)</f>
        <v>DAURDE</v>
      </c>
    </row>
    <row r="75" spans="1:17">
      <c r="B75" s="1" t="s">
        <v>393</v>
      </c>
      <c r="C75" s="1" t="s">
        <v>411</v>
      </c>
      <c r="D75" s="52">
        <v>46056.529861111114</v>
      </c>
      <c r="E75" s="52">
        <v>46056.529861111114</v>
      </c>
      <c r="F75" s="52">
        <v>46056.538888888892</v>
      </c>
      <c r="G75" s="53">
        <v>9.0277777777777769E-3</v>
      </c>
      <c r="H75" s="1" t="s">
        <v>257</v>
      </c>
      <c r="J75" s="1" t="s">
        <v>258</v>
      </c>
      <c r="K75" s="1" t="s">
        <v>658</v>
      </c>
      <c r="L75" s="1" t="s">
        <v>680</v>
      </c>
      <c r="M75" s="1" t="s">
        <v>260</v>
      </c>
      <c r="N75" s="1" t="s">
        <v>261</v>
      </c>
      <c r="O75" s="1" t="s">
        <v>626</v>
      </c>
      <c r="P75" s="1" t="str">
        <f>_xlfn.CONCAT(B75,C75,D75,E75,F75)</f>
        <v>BC ParanoaSG60KTL(COM1-022)_002_02046056,529861111146056,529861111146056,5388888889</v>
      </c>
      <c r="Q75" s="1" t="str">
        <f>_xlfn.CONCAT(H75,I75,J75)</f>
        <v>DAURDE</v>
      </c>
    </row>
    <row r="76" spans="1:17">
      <c r="B76" s="1" t="s">
        <v>393</v>
      </c>
      <c r="C76" s="1" t="s">
        <v>412</v>
      </c>
      <c r="D76" s="52">
        <v>46056.529861111114</v>
      </c>
      <c r="E76" s="52">
        <v>46056.529861111114</v>
      </c>
      <c r="F76" s="52">
        <v>46056.538888888892</v>
      </c>
      <c r="G76" s="53">
        <v>9.0277777777777769E-3</v>
      </c>
      <c r="H76" s="1" t="s">
        <v>257</v>
      </c>
      <c r="J76" s="1" t="s">
        <v>258</v>
      </c>
      <c r="K76" s="1" t="s">
        <v>658</v>
      </c>
      <c r="L76" s="1" t="s">
        <v>680</v>
      </c>
      <c r="M76" s="1" t="s">
        <v>260</v>
      </c>
      <c r="N76" s="1" t="s">
        <v>261</v>
      </c>
      <c r="O76" s="1" t="s">
        <v>626</v>
      </c>
      <c r="P76" s="1" t="str">
        <f>_xlfn.CONCAT(B76,C76,D76,E76,F76)</f>
        <v>BC ParanoaSG40CX(COM2-023)_002_02446056,529861111146056,529861111146056,5388888889</v>
      </c>
      <c r="Q76" s="1" t="str">
        <f>_xlfn.CONCAT(H76,I76,J76)</f>
        <v>DAURDE</v>
      </c>
    </row>
    <row r="77" spans="1:17">
      <c r="B77" s="1" t="s">
        <v>393</v>
      </c>
      <c r="C77" s="1" t="s">
        <v>413</v>
      </c>
      <c r="D77" s="52">
        <v>46056.529861111114</v>
      </c>
      <c r="E77" s="52">
        <v>46056.529861111114</v>
      </c>
      <c r="F77" s="52">
        <v>46056.538888888892</v>
      </c>
      <c r="G77" s="53">
        <v>9.0277777777777769E-3</v>
      </c>
      <c r="H77" s="1" t="s">
        <v>257</v>
      </c>
      <c r="J77" s="1" t="s">
        <v>258</v>
      </c>
      <c r="K77" s="1" t="s">
        <v>658</v>
      </c>
      <c r="L77" s="1" t="s">
        <v>680</v>
      </c>
      <c r="M77" s="1" t="s">
        <v>260</v>
      </c>
      <c r="N77" s="1" t="s">
        <v>261</v>
      </c>
      <c r="O77" s="1" t="s">
        <v>626</v>
      </c>
      <c r="P77" s="1" t="str">
        <f>_xlfn.CONCAT(B77,C77,D77,E77,F77)</f>
        <v>BC ParanoaSG40CX(COM2-024)_002_02246056,529861111146056,529861111146056,5388888889</v>
      </c>
      <c r="Q77" s="1" t="str">
        <f>_xlfn.CONCAT(H77,I77,J77)</f>
        <v>DAURDE</v>
      </c>
    </row>
    <row r="78" spans="1:17">
      <c r="B78" s="1" t="s">
        <v>393</v>
      </c>
      <c r="C78" s="1" t="s">
        <v>414</v>
      </c>
      <c r="D78" s="52">
        <v>46056.529861111114</v>
      </c>
      <c r="E78" s="52">
        <v>46056.529861111114</v>
      </c>
      <c r="F78" s="52">
        <v>46056.538888888892</v>
      </c>
      <c r="G78" s="53">
        <v>9.0277777777777769E-3</v>
      </c>
      <c r="H78" s="1" t="s">
        <v>257</v>
      </c>
      <c r="J78" s="1" t="s">
        <v>258</v>
      </c>
      <c r="K78" s="1" t="s">
        <v>658</v>
      </c>
      <c r="L78" s="1" t="s">
        <v>680</v>
      </c>
      <c r="M78" s="1" t="s">
        <v>260</v>
      </c>
      <c r="N78" s="1" t="s">
        <v>261</v>
      </c>
      <c r="O78" s="1" t="s">
        <v>626</v>
      </c>
      <c r="P78" s="1" t="str">
        <f>_xlfn.CONCAT(B78,C78,D78,E78,F78)</f>
        <v>BC ParanoaSG60KTL(COM1-007)_002_01346056,529861111146056,529861111146056,5388888889</v>
      </c>
      <c r="Q78" s="1" t="str">
        <f>_xlfn.CONCAT(H78,I78,J78)</f>
        <v>DAURDE</v>
      </c>
    </row>
    <row r="79" spans="1:17">
      <c r="B79" s="1" t="s">
        <v>393</v>
      </c>
      <c r="C79" s="1" t="s">
        <v>415</v>
      </c>
      <c r="D79" s="52">
        <v>46056.529861111114</v>
      </c>
      <c r="E79" s="52">
        <v>46056.529861111114</v>
      </c>
      <c r="F79" s="52">
        <v>46056.538888888892</v>
      </c>
      <c r="G79" s="53">
        <v>9.0277777777777769E-3</v>
      </c>
      <c r="H79" s="1" t="s">
        <v>257</v>
      </c>
      <c r="J79" s="1" t="s">
        <v>258</v>
      </c>
      <c r="K79" s="1" t="s">
        <v>658</v>
      </c>
      <c r="L79" s="1" t="s">
        <v>680</v>
      </c>
      <c r="M79" s="1" t="s">
        <v>260</v>
      </c>
      <c r="N79" s="1" t="s">
        <v>261</v>
      </c>
      <c r="O79" s="1" t="s">
        <v>626</v>
      </c>
      <c r="P79" s="1" t="str">
        <f>_xlfn.CONCAT(B79,C79,D79,E79,F79)</f>
        <v>BC ParanoaSG60KTL(COM1-008)_002_00246056,529861111146056,529861111146056,5388888889</v>
      </c>
      <c r="Q79" s="1" t="str">
        <f>_xlfn.CONCAT(H79,I79,J79)</f>
        <v>DAURDE</v>
      </c>
    </row>
    <row r="80" spans="1:17">
      <c r="B80" s="1" t="s">
        <v>393</v>
      </c>
      <c r="C80" s="1" t="s">
        <v>416</v>
      </c>
      <c r="D80" s="52">
        <v>46056.529861111114</v>
      </c>
      <c r="E80" s="52">
        <v>46056.529861111114</v>
      </c>
      <c r="F80" s="52">
        <v>46056.538888888892</v>
      </c>
      <c r="G80" s="53">
        <v>9.0277777777777769E-3</v>
      </c>
      <c r="H80" s="1" t="s">
        <v>257</v>
      </c>
      <c r="J80" s="1" t="s">
        <v>258</v>
      </c>
      <c r="K80" s="1" t="s">
        <v>658</v>
      </c>
      <c r="L80" s="1" t="s">
        <v>680</v>
      </c>
      <c r="M80" s="1" t="s">
        <v>260</v>
      </c>
      <c r="N80" s="1" t="s">
        <v>261</v>
      </c>
      <c r="O80" s="1" t="s">
        <v>626</v>
      </c>
      <c r="P80" s="1" t="str">
        <f>_xlfn.CONCAT(B80,C80,D80,E80,F80)</f>
        <v>BC ParanoaSG60KTL(COM1-009)_002_00846056,529861111146056,529861111146056,5388888889</v>
      </c>
      <c r="Q80" s="1" t="str">
        <f>_xlfn.CONCAT(H80,I80,J80)</f>
        <v>DAURDE</v>
      </c>
    </row>
    <row r="81" spans="2:17">
      <c r="B81" s="1" t="s">
        <v>393</v>
      </c>
      <c r="C81" s="1" t="s">
        <v>417</v>
      </c>
      <c r="D81" s="52">
        <v>46056.529861111114</v>
      </c>
      <c r="E81" s="52">
        <v>46056.529861111114</v>
      </c>
      <c r="F81" s="52">
        <v>46056.538888888892</v>
      </c>
      <c r="G81" s="53">
        <v>9.0277777777777769E-3</v>
      </c>
      <c r="H81" s="1" t="s">
        <v>257</v>
      </c>
      <c r="J81" s="1" t="s">
        <v>258</v>
      </c>
      <c r="K81" s="1" t="s">
        <v>658</v>
      </c>
      <c r="L81" s="1" t="s">
        <v>680</v>
      </c>
      <c r="M81" s="1" t="s">
        <v>260</v>
      </c>
      <c r="N81" s="1" t="s">
        <v>261</v>
      </c>
      <c r="O81" s="1" t="s">
        <v>626</v>
      </c>
      <c r="P81" s="1" t="str">
        <f>_xlfn.CONCAT(B81,C81,D81,E81,F81)</f>
        <v>BC ParanoaSG60KTL(COM1-010)_002_00346056,529861111146056,529861111146056,5388888889</v>
      </c>
      <c r="Q81" s="1" t="str">
        <f>_xlfn.CONCAT(H81,I81,J81)</f>
        <v>DAURDE</v>
      </c>
    </row>
    <row r="82" spans="2:17">
      <c r="B82" s="1" t="s">
        <v>393</v>
      </c>
      <c r="C82" s="1" t="s">
        <v>418</v>
      </c>
      <c r="D82" s="52">
        <v>46056.529861111114</v>
      </c>
      <c r="E82" s="52">
        <v>46056.529861111114</v>
      </c>
      <c r="F82" s="52">
        <v>46056.538888888892</v>
      </c>
      <c r="G82" s="53">
        <v>9.0277777777777769E-3</v>
      </c>
      <c r="H82" s="1" t="s">
        <v>257</v>
      </c>
      <c r="J82" s="1" t="s">
        <v>258</v>
      </c>
      <c r="K82" s="1" t="s">
        <v>658</v>
      </c>
      <c r="L82" s="1" t="s">
        <v>680</v>
      </c>
      <c r="M82" s="1" t="s">
        <v>260</v>
      </c>
      <c r="N82" s="1" t="s">
        <v>261</v>
      </c>
      <c r="O82" s="1" t="s">
        <v>626</v>
      </c>
      <c r="P82" s="1" t="str">
        <f>_xlfn.CONCAT(B82,C82,D82,E82,F82)</f>
        <v>BC ParanoaSG60KTL(COM1-011)_002_01046056,529861111146056,529861111146056,5388888889</v>
      </c>
      <c r="Q82" s="1" t="str">
        <f>_xlfn.CONCAT(H82,I82,J82)</f>
        <v>DAURDE</v>
      </c>
    </row>
    <row r="83" spans="2:17">
      <c r="B83" s="1" t="s">
        <v>393</v>
      </c>
      <c r="C83" s="1" t="s">
        <v>419</v>
      </c>
      <c r="D83" s="52">
        <v>46056.529861111114</v>
      </c>
      <c r="E83" s="52">
        <v>46056.529861111114</v>
      </c>
      <c r="F83" s="52">
        <v>46056.538888888892</v>
      </c>
      <c r="G83" s="53">
        <v>9.0277777777777769E-3</v>
      </c>
      <c r="H83" s="1" t="s">
        <v>257</v>
      </c>
      <c r="J83" s="1" t="s">
        <v>258</v>
      </c>
      <c r="K83" s="1" t="s">
        <v>658</v>
      </c>
      <c r="L83" s="1" t="s">
        <v>680</v>
      </c>
      <c r="M83" s="1" t="s">
        <v>260</v>
      </c>
      <c r="N83" s="1" t="s">
        <v>261</v>
      </c>
      <c r="O83" s="1" t="s">
        <v>626</v>
      </c>
      <c r="P83" s="1" t="str">
        <f>_xlfn.CONCAT(B83,C83,D83,E83,F83)</f>
        <v>BC ParanoaSG60KTL(COM1-012)_002_00546056,529861111146056,529861111146056,5388888889</v>
      </c>
      <c r="Q83" s="1" t="str">
        <f>_xlfn.CONCAT(H83,I83,J83)</f>
        <v>DAURDE</v>
      </c>
    </row>
    <row r="84" spans="2:17">
      <c r="B84" s="1" t="s">
        <v>393</v>
      </c>
      <c r="C84" s="1" t="s">
        <v>420</v>
      </c>
      <c r="D84" s="52">
        <v>46056.529861111114</v>
      </c>
      <c r="E84" s="52">
        <v>46056.529861111114</v>
      </c>
      <c r="F84" s="52">
        <v>46056.538888888892</v>
      </c>
      <c r="G84" s="53">
        <v>9.0277777777777769E-3</v>
      </c>
      <c r="H84" s="1" t="s">
        <v>257</v>
      </c>
      <c r="J84" s="1" t="s">
        <v>258</v>
      </c>
      <c r="K84" s="1" t="s">
        <v>658</v>
      </c>
      <c r="L84" s="1" t="s">
        <v>680</v>
      </c>
      <c r="M84" s="1" t="s">
        <v>260</v>
      </c>
      <c r="N84" s="1" t="s">
        <v>261</v>
      </c>
      <c r="O84" s="1" t="s">
        <v>626</v>
      </c>
      <c r="P84" s="1" t="str">
        <f>_xlfn.CONCAT(B84,C84,D84,E84,F84)</f>
        <v>BC ParanoaSG60KTL(COM1-001)_002_00646056,529861111146056,529861111146056,5388888889</v>
      </c>
      <c r="Q84" s="1" t="str">
        <f>_xlfn.CONCAT(H84,I84,J84)</f>
        <v>DAURDE</v>
      </c>
    </row>
    <row r="85" spans="2:17">
      <c r="B85" s="1" t="s">
        <v>393</v>
      </c>
      <c r="C85" s="1" t="s">
        <v>421</v>
      </c>
      <c r="D85" s="52">
        <v>46056.529861111114</v>
      </c>
      <c r="E85" s="52">
        <v>46056.529861111114</v>
      </c>
      <c r="F85" s="52">
        <v>46056.538888888892</v>
      </c>
      <c r="G85" s="53">
        <v>9.0277777777777769E-3</v>
      </c>
      <c r="H85" s="1" t="s">
        <v>257</v>
      </c>
      <c r="J85" s="1" t="s">
        <v>258</v>
      </c>
      <c r="K85" s="1" t="s">
        <v>658</v>
      </c>
      <c r="L85" s="1" t="s">
        <v>680</v>
      </c>
      <c r="M85" s="1" t="s">
        <v>260</v>
      </c>
      <c r="N85" s="1" t="s">
        <v>261</v>
      </c>
      <c r="O85" s="1" t="s">
        <v>626</v>
      </c>
      <c r="P85" s="1" t="str">
        <f>_xlfn.CONCAT(B85,C85,D86,E85,F85)</f>
        <v>BC ParanoaSG60KTL(COM1-002)_002_01646056,529861111146056,529861111146056,5388888889</v>
      </c>
      <c r="Q85" s="1" t="str">
        <f>_xlfn.CONCAT(H85,I85,J85)</f>
        <v>DAURDE</v>
      </c>
    </row>
    <row r="86" spans="2:17">
      <c r="B86" s="1" t="s">
        <v>393</v>
      </c>
      <c r="C86" s="1" t="s">
        <v>422</v>
      </c>
      <c r="D86" s="52">
        <v>46056.529861111114</v>
      </c>
      <c r="E86" s="52">
        <v>46056.529861111114</v>
      </c>
      <c r="F86" s="52">
        <v>46056.538888888892</v>
      </c>
      <c r="G86" s="53">
        <v>9.0277777777777769E-3</v>
      </c>
      <c r="H86" s="1" t="s">
        <v>257</v>
      </c>
      <c r="J86" s="1" t="s">
        <v>258</v>
      </c>
      <c r="K86" s="1" t="s">
        <v>658</v>
      </c>
      <c r="L86" s="1" t="s">
        <v>680</v>
      </c>
      <c r="M86" s="1" t="s">
        <v>260</v>
      </c>
      <c r="N86" s="1" t="s">
        <v>261</v>
      </c>
      <c r="O86" s="1" t="s">
        <v>626</v>
      </c>
      <c r="P86" s="1" t="str">
        <f>_xlfn.CONCAT(B86,C86,D87,E86,F86)</f>
        <v>BC ParanoaSG50CX(COM2-003)_002_02146056,529861111146056,529861111146056,5388888889</v>
      </c>
      <c r="Q86" s="1" t="str">
        <f>_xlfn.CONCAT(H86,I86,J86)</f>
        <v>DAURDE</v>
      </c>
    </row>
    <row r="87" spans="2:17">
      <c r="B87" s="1" t="s">
        <v>393</v>
      </c>
      <c r="C87" s="1" t="s">
        <v>423</v>
      </c>
      <c r="D87" s="52">
        <v>46056.529861111114</v>
      </c>
      <c r="E87" s="52">
        <v>46056.529861111114</v>
      </c>
      <c r="F87" s="52">
        <v>46056.538888888892</v>
      </c>
      <c r="G87" s="53">
        <v>9.0277777777777769E-3</v>
      </c>
      <c r="H87" s="1" t="s">
        <v>257</v>
      </c>
      <c r="J87" s="1" t="s">
        <v>258</v>
      </c>
      <c r="K87" s="1" t="s">
        <v>658</v>
      </c>
      <c r="L87" s="1" t="s">
        <v>680</v>
      </c>
      <c r="M87" s="1" t="s">
        <v>260</v>
      </c>
      <c r="N87" s="1" t="s">
        <v>261</v>
      </c>
      <c r="O87" s="1" t="s">
        <v>626</v>
      </c>
      <c r="P87" s="1" t="str">
        <f>_xlfn.CONCAT(B87,C87,D88,E87,F87)</f>
        <v>BC ParanoaSG50CX(COM2-004)_002_02346056,529861111146056,529861111146056,5388888889</v>
      </c>
      <c r="Q87" s="1" t="str">
        <f>_xlfn.CONCAT(H87,I87,J87)</f>
        <v>DAURDE</v>
      </c>
    </row>
    <row r="88" spans="2:17">
      <c r="B88" s="1" t="s">
        <v>393</v>
      </c>
      <c r="C88" s="1" t="s">
        <v>424</v>
      </c>
      <c r="D88" s="52">
        <v>46056.529861111114</v>
      </c>
      <c r="E88" s="52">
        <v>46056.529861111114</v>
      </c>
      <c r="F88" s="52">
        <v>46056.538888888892</v>
      </c>
      <c r="G88" s="53">
        <v>9.0277777777777769E-3</v>
      </c>
      <c r="H88" s="1" t="s">
        <v>257</v>
      </c>
      <c r="J88" s="1" t="s">
        <v>258</v>
      </c>
      <c r="K88" s="1" t="s">
        <v>658</v>
      </c>
      <c r="L88" s="1" t="s">
        <v>680</v>
      </c>
      <c r="M88" s="1" t="s">
        <v>260</v>
      </c>
      <c r="N88" s="1" t="s">
        <v>261</v>
      </c>
      <c r="O88" s="1" t="s">
        <v>626</v>
      </c>
      <c r="P88" s="1" t="str">
        <f>_xlfn.CONCAT(B88,C88,D89,E88,F88)</f>
        <v>BC ParanoaSG60KTL(COM1-005)_002_00946056,529861111146056,529861111146056,5388888889</v>
      </c>
      <c r="Q88" s="1" t="str">
        <f>_xlfn.CONCAT(H88,I88,J88)</f>
        <v>DAURDE</v>
      </c>
    </row>
    <row r="89" spans="2:17">
      <c r="B89" s="1" t="s">
        <v>393</v>
      </c>
      <c r="C89" s="1" t="s">
        <v>425</v>
      </c>
      <c r="D89" s="52">
        <v>46056.529861111114</v>
      </c>
      <c r="E89" s="52">
        <v>46056.529861111114</v>
      </c>
      <c r="F89" s="52">
        <v>46056.538888888892</v>
      </c>
      <c r="G89" s="53">
        <v>9.0277777777777769E-3</v>
      </c>
      <c r="H89" s="1" t="s">
        <v>257</v>
      </c>
      <c r="J89" s="1" t="s">
        <v>258</v>
      </c>
      <c r="K89" s="1" t="s">
        <v>658</v>
      </c>
      <c r="L89" s="1" t="s">
        <v>680</v>
      </c>
      <c r="M89" s="1" t="s">
        <v>260</v>
      </c>
      <c r="N89" s="1" t="s">
        <v>261</v>
      </c>
      <c r="O89" s="1" t="s">
        <v>626</v>
      </c>
      <c r="P89" s="1" t="str">
        <f>_xlfn.CONCAT(B89,C89,D90,E89,F89)</f>
        <v>BC ParanoaSG60KTL(COM1-006)_002_00146056,529861111146056,529861111146056,5388888889</v>
      </c>
      <c r="Q89" s="1" t="str">
        <f>_xlfn.CONCAT(H89,I89,J89)</f>
        <v>DAURDE</v>
      </c>
    </row>
    <row r="90" spans="2:17">
      <c r="B90" s="1" t="s">
        <v>393</v>
      </c>
      <c r="C90" s="1" t="s">
        <v>426</v>
      </c>
      <c r="D90" s="52">
        <v>46056.529861111114</v>
      </c>
      <c r="E90" s="52">
        <v>46056.529861111114</v>
      </c>
      <c r="F90" s="52">
        <v>46056.538888888892</v>
      </c>
      <c r="G90" s="53">
        <v>9.0277777777777769E-3</v>
      </c>
      <c r="H90" s="1" t="s">
        <v>257</v>
      </c>
      <c r="J90" s="1" t="s">
        <v>258</v>
      </c>
      <c r="K90" s="1" t="s">
        <v>658</v>
      </c>
      <c r="L90" s="1" t="s">
        <v>680</v>
      </c>
      <c r="M90" s="1" t="s">
        <v>260</v>
      </c>
      <c r="N90" s="1" t="s">
        <v>261</v>
      </c>
      <c r="O90" s="1" t="s">
        <v>626</v>
      </c>
      <c r="P90" s="1" t="str">
        <f>_xlfn.CONCAT(B90,C90,D91,E90,F90)</f>
        <v>BC ParanoaSG60KTL(COM1-013)_002_00446056,529861111146056,529861111146056,5388888889</v>
      </c>
      <c r="Q90" s="1" t="str">
        <f>_xlfn.CONCAT(H90,I90,J90)</f>
        <v>DAURDE</v>
      </c>
    </row>
    <row r="91" spans="2:17">
      <c r="B91" s="1" t="s">
        <v>393</v>
      </c>
      <c r="C91" s="1" t="s">
        <v>427</v>
      </c>
      <c r="D91" s="52">
        <v>46056.529861111114</v>
      </c>
      <c r="E91" s="52">
        <v>46056.529861111114</v>
      </c>
      <c r="F91" s="52">
        <v>46056.538888888892</v>
      </c>
      <c r="G91" s="53">
        <v>9.0277777777777769E-3</v>
      </c>
      <c r="H91" s="1" t="s">
        <v>257</v>
      </c>
      <c r="J91" s="1" t="s">
        <v>258</v>
      </c>
      <c r="K91" s="1" t="s">
        <v>658</v>
      </c>
      <c r="L91" s="1" t="s">
        <v>680</v>
      </c>
      <c r="M91" s="1" t="s">
        <v>260</v>
      </c>
      <c r="N91" s="1" t="s">
        <v>261</v>
      </c>
      <c r="O91" s="1" t="s">
        <v>626</v>
      </c>
      <c r="P91" s="1" t="str">
        <f>_xlfn.CONCAT(B91,C91,D92,E91,F91)</f>
        <v>BC ParanoaSG60KTL(COM1-014)_002_01946056,529861111146056,529861111146056,5388888889</v>
      </c>
      <c r="Q91" s="1" t="str">
        <f>_xlfn.CONCAT(H91,I91,J91)</f>
        <v>DAURDE</v>
      </c>
    </row>
    <row r="92" spans="2:17">
      <c r="B92" s="1" t="s">
        <v>393</v>
      </c>
      <c r="C92" s="1" t="s">
        <v>428</v>
      </c>
      <c r="D92" s="52">
        <v>46056.529861111114</v>
      </c>
      <c r="E92" s="52">
        <v>46056.529861111114</v>
      </c>
      <c r="F92" s="52">
        <v>46056.538888888892</v>
      </c>
      <c r="G92" s="53">
        <v>9.0277777777777769E-3</v>
      </c>
      <c r="H92" s="1" t="s">
        <v>257</v>
      </c>
      <c r="J92" s="1" t="s">
        <v>258</v>
      </c>
      <c r="K92" s="1" t="s">
        <v>658</v>
      </c>
      <c r="L92" s="1" t="s">
        <v>680</v>
      </c>
      <c r="M92" s="1" t="s">
        <v>260</v>
      </c>
      <c r="N92" s="1" t="s">
        <v>261</v>
      </c>
      <c r="O92" s="1" t="s">
        <v>626</v>
      </c>
      <c r="P92" s="1" t="str">
        <f>_xlfn.CONCAT(B92,C92,D93,E92,F92)</f>
        <v>BC ParanoaSG60KTL(COM1-015)_002_01846056,529861111146056,529861111146056,5388888889</v>
      </c>
      <c r="Q92" s="1" t="str">
        <f>_xlfn.CONCAT(H92,I92,J92)</f>
        <v>DAURDE</v>
      </c>
    </row>
    <row r="93" spans="2:17">
      <c r="B93" s="1" t="s">
        <v>393</v>
      </c>
      <c r="C93" s="1" t="s">
        <v>429</v>
      </c>
      <c r="D93" s="52">
        <v>46056.529861111114</v>
      </c>
      <c r="E93" s="52">
        <v>46056.529861111114</v>
      </c>
      <c r="F93" s="52">
        <v>46056.538888888892</v>
      </c>
      <c r="G93" s="53">
        <v>9.0277777777777769E-3</v>
      </c>
      <c r="H93" s="1" t="s">
        <v>257</v>
      </c>
      <c r="J93" s="1" t="s">
        <v>258</v>
      </c>
      <c r="K93" s="1" t="s">
        <v>658</v>
      </c>
      <c r="L93" s="1" t="s">
        <v>680</v>
      </c>
      <c r="M93" s="1" t="s">
        <v>260</v>
      </c>
      <c r="N93" s="1" t="s">
        <v>261</v>
      </c>
      <c r="O93" s="1" t="s">
        <v>626</v>
      </c>
      <c r="P93" s="1" t="str">
        <f>_xlfn.CONCAT(B93,C93,D94,E93,F93)</f>
        <v>BC ParanoaSG60KTL(COM1-016)_002_01446056,529861111146056,529861111146056,5388888889</v>
      </c>
      <c r="Q93" s="1" t="str">
        <f>_xlfn.CONCAT(H93,I93,J93)</f>
        <v>DAURDE</v>
      </c>
    </row>
    <row r="94" spans="2:17">
      <c r="B94" s="1" t="s">
        <v>393</v>
      </c>
      <c r="C94" s="1" t="s">
        <v>430</v>
      </c>
      <c r="D94" s="52">
        <v>46056.529861111114</v>
      </c>
      <c r="E94" s="52">
        <v>46056.529861111114</v>
      </c>
      <c r="F94" s="52">
        <v>46056.538888888892</v>
      </c>
      <c r="G94" s="53">
        <v>9.0277777777777769E-3</v>
      </c>
      <c r="H94" s="1" t="s">
        <v>257</v>
      </c>
      <c r="J94" s="1" t="s">
        <v>258</v>
      </c>
      <c r="K94" s="1" t="s">
        <v>658</v>
      </c>
      <c r="L94" s="1" t="s">
        <v>680</v>
      </c>
      <c r="M94" s="1" t="s">
        <v>260</v>
      </c>
      <c r="N94" s="1" t="s">
        <v>261</v>
      </c>
      <c r="O94" t="s">
        <v>681</v>
      </c>
      <c r="P94" s="1" t="str">
        <f>_xlfn.CONCAT(B94,C94,D94,E94,F94)</f>
        <v>BC ParanoaSG60KTL(COM1-017)_002_01546056,529861111146056,529861111146056,5388888889</v>
      </c>
      <c r="Q94" s="1" t="str">
        <f>_xlfn.CONCAT(H94,I94,J94)</f>
        <v>DAURDE</v>
      </c>
    </row>
    <row r="95" spans="2:17">
      <c r="B95" s="1" t="s">
        <v>393</v>
      </c>
      <c r="C95" s="1" t="s">
        <v>431</v>
      </c>
      <c r="D95" s="52">
        <v>46056.529861111114</v>
      </c>
      <c r="E95" s="52">
        <v>46056.529861111114</v>
      </c>
      <c r="F95" s="52">
        <v>46056.538888888892</v>
      </c>
      <c r="G95" s="53">
        <v>9.0277777777777769E-3</v>
      </c>
      <c r="H95" s="1" t="s">
        <v>257</v>
      </c>
      <c r="J95" s="1" t="s">
        <v>258</v>
      </c>
      <c r="K95" s="1" t="s">
        <v>658</v>
      </c>
      <c r="L95" s="1" t="s">
        <v>680</v>
      </c>
      <c r="M95" s="1" t="s">
        <v>260</v>
      </c>
      <c r="N95" s="1" t="s">
        <v>261</v>
      </c>
      <c r="O95" t="s">
        <v>681</v>
      </c>
      <c r="P95" s="1" t="str">
        <f>_xlfn.CONCAT(B95,C95,D95,E95,F95)</f>
        <v>BC ParanoaSG60KTL(COM1-018)_002_01246056,529861111146056,529861111146056,5388888889</v>
      </c>
      <c r="Q95" s="1" t="str">
        <f>_xlfn.CONCAT(H95,I95,J95)</f>
        <v>DAURDE</v>
      </c>
    </row>
    <row r="96" spans="2:17">
      <c r="B96" s="1" t="s">
        <v>393</v>
      </c>
      <c r="C96" s="1" t="s">
        <v>432</v>
      </c>
      <c r="D96" s="52">
        <v>46056.529861111114</v>
      </c>
      <c r="E96" s="52">
        <v>46056.529861111114</v>
      </c>
      <c r="F96" s="52">
        <v>46056.538888888892</v>
      </c>
      <c r="G96" s="53">
        <v>9.0277777777777769E-3</v>
      </c>
      <c r="H96" s="1" t="s">
        <v>257</v>
      </c>
      <c r="J96" s="1" t="s">
        <v>258</v>
      </c>
      <c r="K96" s="1" t="s">
        <v>658</v>
      </c>
      <c r="L96" s="1" t="s">
        <v>680</v>
      </c>
      <c r="M96" s="1" t="s">
        <v>260</v>
      </c>
      <c r="N96" s="1" t="s">
        <v>261</v>
      </c>
      <c r="O96" t="s">
        <v>681</v>
      </c>
      <c r="P96" s="1" t="str">
        <f>_xlfn.CONCAT(B96,C96,D96,E96,F96)</f>
        <v>BC ParanoaSG50CX(COM2-004)_001_01846056,529861111146056,529861111146056,5388888889</v>
      </c>
      <c r="Q96" s="1" t="str">
        <f>_xlfn.CONCAT(H96,I96,J96)</f>
        <v>DAURDE</v>
      </c>
    </row>
    <row r="97" spans="2:17">
      <c r="B97" s="1" t="s">
        <v>393</v>
      </c>
      <c r="C97" s="1" t="s">
        <v>433</v>
      </c>
      <c r="D97" s="52">
        <v>46056.529861111114</v>
      </c>
      <c r="E97" s="52">
        <v>46056.529861111114</v>
      </c>
      <c r="F97" s="52">
        <v>46056.538888888892</v>
      </c>
      <c r="G97" s="53">
        <v>9.0277777777777769E-3</v>
      </c>
      <c r="H97" s="1" t="s">
        <v>257</v>
      </c>
      <c r="J97" s="1" t="s">
        <v>258</v>
      </c>
      <c r="K97" s="1" t="s">
        <v>658</v>
      </c>
      <c r="L97" s="1" t="s">
        <v>680</v>
      </c>
      <c r="M97" s="1" t="s">
        <v>260</v>
      </c>
      <c r="N97" s="1" t="s">
        <v>261</v>
      </c>
      <c r="O97" t="s">
        <v>681</v>
      </c>
      <c r="P97" s="1" t="str">
        <f>_xlfn.CONCAT(B97,C97,D97,E97,F97)</f>
        <v>BC ParanoaSG50CX(COM2-003)_001_01646056,529861111146056,529861111146056,5388888889</v>
      </c>
      <c r="Q97" s="1" t="str">
        <f>_xlfn.CONCAT(H97,I97,J97)</f>
        <v>DAURDE</v>
      </c>
    </row>
    <row r="98" spans="2:17">
      <c r="B98" s="1" t="s">
        <v>393</v>
      </c>
      <c r="C98" s="1" t="s">
        <v>434</v>
      </c>
      <c r="D98" s="52">
        <v>46056.529861111114</v>
      </c>
      <c r="E98" s="52">
        <v>46056.529861111114</v>
      </c>
      <c r="F98" s="52">
        <v>46056.538888888892</v>
      </c>
      <c r="G98" s="53">
        <v>9.0277777777777769E-3</v>
      </c>
      <c r="H98" s="1" t="s">
        <v>257</v>
      </c>
      <c r="J98" s="1" t="s">
        <v>258</v>
      </c>
      <c r="K98" s="1" t="s">
        <v>658</v>
      </c>
      <c r="L98" s="1" t="s">
        <v>680</v>
      </c>
      <c r="M98" s="1" t="s">
        <v>260</v>
      </c>
      <c r="N98" s="1" t="s">
        <v>261</v>
      </c>
      <c r="O98" t="s">
        <v>681</v>
      </c>
      <c r="P98" s="1" t="str">
        <f>_xlfn.CONCAT(B98,C98,D98,E98,F98)</f>
        <v>BC ParanoaSG60KTL(COM1-002)_001_00846056,529861111146056,529861111146056,5388888889</v>
      </c>
      <c r="Q98" s="1" t="str">
        <f>_xlfn.CONCAT(H98,I98,J98)</f>
        <v>DAURDE</v>
      </c>
    </row>
    <row r="99" spans="2:17">
      <c r="B99" s="1" t="s">
        <v>393</v>
      </c>
      <c r="C99" s="1" t="s">
        <v>394</v>
      </c>
      <c r="D99" s="52">
        <v>46056.651388888888</v>
      </c>
      <c r="E99" s="52">
        <v>46056.651388888888</v>
      </c>
      <c r="F99" s="52">
        <v>46056.75</v>
      </c>
      <c r="G99" s="53">
        <v>9.8611111111111108E-2</v>
      </c>
      <c r="H99" s="1" t="s">
        <v>257</v>
      </c>
      <c r="J99" s="1" t="s">
        <v>258</v>
      </c>
      <c r="K99" s="1" t="s">
        <v>658</v>
      </c>
      <c r="L99" s="1" t="s">
        <v>682</v>
      </c>
      <c r="M99" s="1" t="s">
        <v>260</v>
      </c>
      <c r="N99" s="1" t="s">
        <v>261</v>
      </c>
      <c r="O99" t="s">
        <v>681</v>
      </c>
      <c r="P99" s="1" t="str">
        <f>_xlfn.CONCAT(B99,C99,D99,E99,F99)</f>
        <v>BC ParanoaSG60KTL(COM1-014)_001_01346056,651388888946056,651388888946056,75</v>
      </c>
      <c r="Q99" s="1" t="str">
        <f>_xlfn.CONCAT(H99,I99,J99)</f>
        <v>DAURDE</v>
      </c>
    </row>
    <row r="100" spans="2:17">
      <c r="B100" s="1" t="s">
        <v>393</v>
      </c>
      <c r="C100" s="1" t="s">
        <v>395</v>
      </c>
      <c r="D100" s="52">
        <v>46056.651388888888</v>
      </c>
      <c r="E100" s="52">
        <v>46056.651388888888</v>
      </c>
      <c r="F100" s="52">
        <v>46056.75</v>
      </c>
      <c r="G100" s="53">
        <v>9.8611111111111108E-2</v>
      </c>
      <c r="H100" s="1" t="s">
        <v>257</v>
      </c>
      <c r="J100" s="1" t="s">
        <v>258</v>
      </c>
      <c r="K100" s="1" t="s">
        <v>658</v>
      </c>
      <c r="L100" s="1" t="s">
        <v>682</v>
      </c>
      <c r="M100" s="1" t="s">
        <v>260</v>
      </c>
      <c r="N100" s="1" t="s">
        <v>261</v>
      </c>
      <c r="O100" t="s">
        <v>681</v>
      </c>
      <c r="P100" s="1" t="str">
        <f>_xlfn.CONCAT(B100,C100,D100,E100,F100)</f>
        <v>BC ParanoaSG60KTL(COM1-013)_001_01046056,651388888946056,651388888946056,75</v>
      </c>
      <c r="Q100" s="1" t="str">
        <f>_xlfn.CONCAT(H100,I100,J100)</f>
        <v>DAURDE</v>
      </c>
    </row>
    <row r="101" spans="2:17">
      <c r="B101" s="1" t="s">
        <v>393</v>
      </c>
      <c r="C101" s="1" t="s">
        <v>396</v>
      </c>
      <c r="D101" s="52">
        <v>46056.651388888888</v>
      </c>
      <c r="E101" s="52">
        <v>46056.651388888888</v>
      </c>
      <c r="F101" s="52">
        <v>46056.75</v>
      </c>
      <c r="G101" s="53">
        <v>9.8611111111111108E-2</v>
      </c>
      <c r="H101" s="1" t="s">
        <v>257</v>
      </c>
      <c r="J101" s="1" t="s">
        <v>258</v>
      </c>
      <c r="K101" s="1" t="s">
        <v>658</v>
      </c>
      <c r="L101" s="1" t="s">
        <v>682</v>
      </c>
      <c r="M101" s="1" t="s">
        <v>260</v>
      </c>
      <c r="N101" s="1" t="s">
        <v>261</v>
      </c>
      <c r="O101" t="s">
        <v>681</v>
      </c>
      <c r="P101" s="1" t="str">
        <f>_xlfn.CONCAT(B101,C101,D101,E101,F101)</f>
        <v>BC ParanoaSG60KTL(COM1-012)_001_01146056,651388888946056,651388888946056,75</v>
      </c>
      <c r="Q101" s="1" t="str">
        <f>_xlfn.CONCAT(H101,I101,J101)</f>
        <v>DAURDE</v>
      </c>
    </row>
    <row r="102" spans="2:17">
      <c r="B102" s="1" t="s">
        <v>393</v>
      </c>
      <c r="C102" s="1" t="s">
        <v>397</v>
      </c>
      <c r="D102" s="52">
        <v>46056.651388888888</v>
      </c>
      <c r="E102" s="52">
        <v>46056.651388888888</v>
      </c>
      <c r="F102" s="52">
        <v>46056.75</v>
      </c>
      <c r="G102" s="53">
        <v>9.8611111111111108E-2</v>
      </c>
      <c r="H102" s="1" t="s">
        <v>257</v>
      </c>
      <c r="J102" s="1" t="s">
        <v>258</v>
      </c>
      <c r="K102" s="1" t="s">
        <v>658</v>
      </c>
      <c r="L102" s="1" t="s">
        <v>682</v>
      </c>
      <c r="M102" s="1" t="s">
        <v>260</v>
      </c>
      <c r="N102" s="1" t="s">
        <v>261</v>
      </c>
      <c r="O102" t="s">
        <v>681</v>
      </c>
      <c r="P102" s="1" t="str">
        <f>_xlfn.CONCAT(B102,C102,D102,E102,F102)</f>
        <v>BC ParanoaSG60KTL(COM1-011)_001_00546056,651388888946056,651388888946056,75</v>
      </c>
      <c r="Q102" s="1" t="str">
        <f>_xlfn.CONCAT(H102,I102,J102)</f>
        <v>DAURDE</v>
      </c>
    </row>
    <row r="103" spans="2:17">
      <c r="B103" s="1" t="s">
        <v>393</v>
      </c>
      <c r="C103" s="1" t="s">
        <v>398</v>
      </c>
      <c r="D103" s="52">
        <v>46056.651388888888</v>
      </c>
      <c r="E103" s="52">
        <v>46056.651388888888</v>
      </c>
      <c r="F103" s="52">
        <v>46056.75</v>
      </c>
      <c r="G103" s="53">
        <v>9.8611111111111108E-2</v>
      </c>
      <c r="H103" s="1" t="s">
        <v>257</v>
      </c>
      <c r="J103" s="1" t="s">
        <v>258</v>
      </c>
      <c r="K103" s="1" t="s">
        <v>658</v>
      </c>
      <c r="L103" s="1" t="s">
        <v>682</v>
      </c>
      <c r="M103" s="1" t="s">
        <v>260</v>
      </c>
      <c r="N103" s="1" t="s">
        <v>261</v>
      </c>
      <c r="O103" t="s">
        <v>681</v>
      </c>
      <c r="P103" s="1" t="str">
        <f>_xlfn.CONCAT(B103,C103,D103,E103,F103)</f>
        <v>BC ParanoaSG60KTL(COM1-010)_001_00346056,651388888946056,651388888946056,75</v>
      </c>
      <c r="Q103" s="1" t="str">
        <f>_xlfn.CONCAT(H103,I103,J103)</f>
        <v>DAURDE</v>
      </c>
    </row>
    <row r="104" spans="2:17">
      <c r="B104" s="1" t="s">
        <v>393</v>
      </c>
      <c r="C104" s="1" t="s">
        <v>399</v>
      </c>
      <c r="D104" s="52">
        <v>46056.651388888888</v>
      </c>
      <c r="E104" s="52">
        <v>46056.651388888888</v>
      </c>
      <c r="F104" s="52">
        <v>46056.75</v>
      </c>
      <c r="G104" s="53">
        <v>9.8611111111111108E-2</v>
      </c>
      <c r="H104" s="1" t="s">
        <v>257</v>
      </c>
      <c r="J104" s="1" t="s">
        <v>258</v>
      </c>
      <c r="K104" s="1" t="s">
        <v>658</v>
      </c>
      <c r="L104" s="1" t="s">
        <v>682</v>
      </c>
      <c r="M104" s="1" t="s">
        <v>260</v>
      </c>
      <c r="N104" s="1" t="s">
        <v>261</v>
      </c>
      <c r="O104" t="s">
        <v>681</v>
      </c>
      <c r="P104" s="1" t="str">
        <f>_xlfn.CONCAT(B104,C104,D104,E104,F104)</f>
        <v>BC ParanoaSG60KTL(COM1-018)_001_01246056,651388888946056,651388888946056,75</v>
      </c>
      <c r="Q104" s="1" t="str">
        <f>_xlfn.CONCAT(H104,I104,J104)</f>
        <v>DAURDE</v>
      </c>
    </row>
    <row r="105" spans="2:17">
      <c r="B105" s="1" t="s">
        <v>393</v>
      </c>
      <c r="C105" s="1" t="s">
        <v>400</v>
      </c>
      <c r="D105" s="52">
        <v>46056.651388888888</v>
      </c>
      <c r="E105" s="52">
        <v>46056.651388888888</v>
      </c>
      <c r="F105" s="52">
        <v>46056.75</v>
      </c>
      <c r="G105" s="53">
        <v>9.8611111111111108E-2</v>
      </c>
      <c r="H105" s="1" t="s">
        <v>257</v>
      </c>
      <c r="J105" s="1" t="s">
        <v>258</v>
      </c>
      <c r="K105" s="1" t="s">
        <v>658</v>
      </c>
      <c r="L105" s="1" t="s">
        <v>682</v>
      </c>
      <c r="M105" s="1" t="s">
        <v>260</v>
      </c>
      <c r="N105" s="1" t="s">
        <v>261</v>
      </c>
      <c r="O105" t="s">
        <v>681</v>
      </c>
      <c r="P105" s="1" t="str">
        <f>_xlfn.CONCAT(B105,C105,D105,E105,F105)</f>
        <v>BC ParanoaSG60KTL(COM1-017)_001_00746056,651388888946056,651388888946056,75</v>
      </c>
      <c r="Q105" s="1" t="str">
        <f>_xlfn.CONCAT(H105,I105,J105)</f>
        <v>DAURDE</v>
      </c>
    </row>
    <row r="106" spans="2:17">
      <c r="B106" s="1" t="s">
        <v>393</v>
      </c>
      <c r="C106" s="1" t="s">
        <v>401</v>
      </c>
      <c r="D106" s="52">
        <v>46056.651388888888</v>
      </c>
      <c r="E106" s="52">
        <v>46056.651388888888</v>
      </c>
      <c r="F106" s="52">
        <v>46056.75</v>
      </c>
      <c r="G106" s="53">
        <v>9.8611111111111108E-2</v>
      </c>
      <c r="H106" s="1" t="s">
        <v>257</v>
      </c>
      <c r="J106" s="1" t="s">
        <v>258</v>
      </c>
      <c r="K106" s="1" t="s">
        <v>658</v>
      </c>
      <c r="L106" s="1" t="s">
        <v>682</v>
      </c>
      <c r="M106" s="1" t="s">
        <v>260</v>
      </c>
      <c r="N106" s="1" t="s">
        <v>261</v>
      </c>
      <c r="O106" t="s">
        <v>681</v>
      </c>
      <c r="P106" s="1" t="str">
        <f>_xlfn.CONCAT(B106,C106,D106,E106,F106)</f>
        <v>BC ParanoaSG60KTL(COM1-016)_001_00646056,651388888946056,651388888946056,75</v>
      </c>
      <c r="Q106" s="1" t="str">
        <f>_xlfn.CONCAT(H106,I106,J106)</f>
        <v>DAURDE</v>
      </c>
    </row>
    <row r="107" spans="2:17">
      <c r="B107" s="1" t="s">
        <v>393</v>
      </c>
      <c r="C107" s="1" t="s">
        <v>402</v>
      </c>
      <c r="D107" s="52">
        <v>46056.651388888888</v>
      </c>
      <c r="E107" s="52">
        <v>46056.651388888888</v>
      </c>
      <c r="F107" s="52">
        <v>46056.75</v>
      </c>
      <c r="G107" s="53">
        <v>9.8611111111111108E-2</v>
      </c>
      <c r="H107" s="1" t="s">
        <v>257</v>
      </c>
      <c r="J107" s="1" t="s">
        <v>258</v>
      </c>
      <c r="K107" s="1" t="s">
        <v>658</v>
      </c>
      <c r="L107" s="1" t="s">
        <v>682</v>
      </c>
      <c r="M107" s="1" t="s">
        <v>260</v>
      </c>
      <c r="N107" s="1" t="s">
        <v>261</v>
      </c>
      <c r="O107" t="s">
        <v>681</v>
      </c>
      <c r="P107" s="1" t="str">
        <f>_xlfn.CONCAT(B107,C107,D107,E107,F107)</f>
        <v>BC ParanoaSG50CX(COM2-015)_001_01746056,651388888946056,651388888946056,75</v>
      </c>
      <c r="Q107" s="1" t="str">
        <f>_xlfn.CONCAT(H107,I107,J107)</f>
        <v>DAURDE</v>
      </c>
    </row>
    <row r="108" spans="2:17">
      <c r="B108" s="1" t="s">
        <v>393</v>
      </c>
      <c r="C108" s="1" t="s">
        <v>403</v>
      </c>
      <c r="D108" s="52">
        <v>46056.651388888888</v>
      </c>
      <c r="E108" s="52">
        <v>46056.651388888888</v>
      </c>
      <c r="F108" s="52">
        <v>46056.75</v>
      </c>
      <c r="G108" s="53">
        <v>9.8611111111111108E-2</v>
      </c>
      <c r="H108" s="1" t="s">
        <v>257</v>
      </c>
      <c r="J108" s="1" t="s">
        <v>258</v>
      </c>
      <c r="K108" s="1" t="s">
        <v>658</v>
      </c>
      <c r="L108" s="1" t="s">
        <v>682</v>
      </c>
      <c r="M108" s="1" t="s">
        <v>260</v>
      </c>
      <c r="N108" s="1" t="s">
        <v>261</v>
      </c>
      <c r="O108" t="s">
        <v>681</v>
      </c>
      <c r="P108" s="1" t="str">
        <f>_xlfn.CONCAT(B108,C108,D108,E108,F108)</f>
        <v>BC ParanoaSG60KTL(COM1-009)_001_00246056,651388888946056,651388888946056,75</v>
      </c>
      <c r="Q108" s="1" t="str">
        <f>_xlfn.CONCAT(H108,I108,J108)</f>
        <v>DAURDE</v>
      </c>
    </row>
    <row r="109" spans="2:17">
      <c r="B109" s="1" t="s">
        <v>393</v>
      </c>
      <c r="C109" s="1" t="s">
        <v>404</v>
      </c>
      <c r="D109" s="52">
        <v>46056.651388888888</v>
      </c>
      <c r="E109" s="52">
        <v>46056.651388888888</v>
      </c>
      <c r="F109" s="52">
        <v>46056.75</v>
      </c>
      <c r="G109" s="53">
        <v>9.8611111111111108E-2</v>
      </c>
      <c r="H109" s="1" t="s">
        <v>257</v>
      </c>
      <c r="J109" s="1" t="s">
        <v>258</v>
      </c>
      <c r="K109" s="1" t="s">
        <v>658</v>
      </c>
      <c r="L109" s="1" t="s">
        <v>682</v>
      </c>
      <c r="M109" s="1" t="s">
        <v>260</v>
      </c>
      <c r="N109" s="1" t="s">
        <v>261</v>
      </c>
      <c r="O109" t="s">
        <v>681</v>
      </c>
      <c r="P109" s="1" t="str">
        <f>_xlfn.CONCAT(B109,C109,D109,E109,F109)</f>
        <v>BC ParanoaSG60KTL(COM1-008)_001_00946056,651388888946056,651388888946056,75</v>
      </c>
      <c r="Q109" s="1" t="str">
        <f>_xlfn.CONCAT(H109,I109,J109)</f>
        <v>DAURDE</v>
      </c>
    </row>
    <row r="110" spans="2:17">
      <c r="B110" s="1" t="s">
        <v>393</v>
      </c>
      <c r="C110" s="1" t="s">
        <v>405</v>
      </c>
      <c r="D110" s="52">
        <v>46056.651388888888</v>
      </c>
      <c r="E110" s="52">
        <v>46056.651388888888</v>
      </c>
      <c r="F110" s="52">
        <v>46056.75</v>
      </c>
      <c r="G110" s="53">
        <v>9.8611111111111108E-2</v>
      </c>
      <c r="H110" s="1" t="s">
        <v>257</v>
      </c>
      <c r="J110" s="1" t="s">
        <v>258</v>
      </c>
      <c r="K110" s="1" t="s">
        <v>658</v>
      </c>
      <c r="L110" s="1" t="s">
        <v>682</v>
      </c>
      <c r="M110" s="1" t="s">
        <v>260</v>
      </c>
      <c r="N110" s="1" t="s">
        <v>261</v>
      </c>
      <c r="O110" t="s">
        <v>681</v>
      </c>
      <c r="P110" s="1" t="str">
        <f>_xlfn.CONCAT(B110,C110,D110,E110,F110)</f>
        <v>BC ParanoaSG60KTL(COM1-007)_001_00446056,651388888946056,651388888946056,75</v>
      </c>
      <c r="Q110" s="1" t="str">
        <f>_xlfn.CONCAT(H110,I110,J110)</f>
        <v>DAURDE</v>
      </c>
    </row>
    <row r="111" spans="2:17">
      <c r="B111" s="66" t="s">
        <v>393</v>
      </c>
      <c r="C111" s="66" t="s">
        <v>406</v>
      </c>
      <c r="D111" s="52">
        <v>46056.651388888888</v>
      </c>
      <c r="E111" s="52">
        <v>46056.651388888888</v>
      </c>
      <c r="F111" s="52">
        <v>46056.75</v>
      </c>
      <c r="G111" s="53">
        <v>9.8611111111111108E-2</v>
      </c>
      <c r="H111" s="1" t="s">
        <v>257</v>
      </c>
      <c r="J111" s="1" t="s">
        <v>258</v>
      </c>
      <c r="K111" s="1" t="s">
        <v>658</v>
      </c>
      <c r="L111" s="1" t="s">
        <v>682</v>
      </c>
      <c r="M111" s="1" t="s">
        <v>260</v>
      </c>
      <c r="N111" s="1" t="s">
        <v>261</v>
      </c>
      <c r="O111" t="s">
        <v>681</v>
      </c>
      <c r="P111" s="1" t="str">
        <f>_xlfn.CONCAT(B111,C111,D111,E111,F111)</f>
        <v>BC ParanoaSG60KTL(COM1-006)_001_01446056,651388888946056,651388888946056,75</v>
      </c>
      <c r="Q111" s="1" t="str">
        <f>_xlfn.CONCAT(H111,I111,J111)</f>
        <v>DAURDE</v>
      </c>
    </row>
    <row r="112" spans="2:17">
      <c r="B112" s="1" t="s">
        <v>393</v>
      </c>
      <c r="C112" s="1" t="s">
        <v>407</v>
      </c>
      <c r="D112" s="52">
        <v>46056.651388888888</v>
      </c>
      <c r="E112" s="52">
        <v>46056.651388888888</v>
      </c>
      <c r="F112" s="52">
        <v>46056.75</v>
      </c>
      <c r="G112" s="53">
        <v>9.8611111111111108E-2</v>
      </c>
      <c r="H112" s="1" t="s">
        <v>257</v>
      </c>
      <c r="J112" s="1" t="s">
        <v>258</v>
      </c>
      <c r="K112" s="1" t="s">
        <v>658</v>
      </c>
      <c r="L112" s="1" t="s">
        <v>682</v>
      </c>
      <c r="M112" s="1" t="s">
        <v>260</v>
      </c>
      <c r="N112" s="1" t="s">
        <v>261</v>
      </c>
      <c r="O112" t="s">
        <v>681</v>
      </c>
      <c r="P112" s="1" t="str">
        <f>_xlfn.CONCAT(B112,C112,D112,E112,F112)</f>
        <v>BC ParanoaSG40CX(COM2-005)_001_01546056,651388888946056,651388888946056,75</v>
      </c>
      <c r="Q112" s="1" t="str">
        <f>_xlfn.CONCAT(H112,I112,J112)</f>
        <v>DAURDE</v>
      </c>
    </row>
    <row r="113" spans="2:17">
      <c r="B113" s="1" t="s">
        <v>393</v>
      </c>
      <c r="C113" s="1" t="s">
        <v>408</v>
      </c>
      <c r="D113" s="52">
        <v>46056.651388888888</v>
      </c>
      <c r="E113" s="52">
        <v>46056.651388888888</v>
      </c>
      <c r="F113" s="52">
        <v>46056.75</v>
      </c>
      <c r="G113" s="53">
        <v>9.8611111111111108E-2</v>
      </c>
      <c r="H113" s="1" t="s">
        <v>257</v>
      </c>
      <c r="J113" s="1" t="s">
        <v>258</v>
      </c>
      <c r="K113" s="1" t="s">
        <v>658</v>
      </c>
      <c r="L113" s="1" t="s">
        <v>682</v>
      </c>
      <c r="M113" s="1" t="s">
        <v>260</v>
      </c>
      <c r="N113" s="1" t="s">
        <v>261</v>
      </c>
      <c r="O113" t="s">
        <v>681</v>
      </c>
      <c r="P113" s="1" t="str">
        <f>_xlfn.CONCAT(B113,C113,D113,E113,F113)</f>
        <v>BC ParanoaSG60KTL(COM1-019)_002_00746056,651388888946056,651388888946056,75</v>
      </c>
      <c r="Q113" s="1" t="str">
        <f>_xlfn.CONCAT(H113,I113,J113)</f>
        <v>DAURDE</v>
      </c>
    </row>
    <row r="114" spans="2:17">
      <c r="B114" s="1" t="s">
        <v>393</v>
      </c>
      <c r="C114" s="1" t="s">
        <v>409</v>
      </c>
      <c r="D114" s="52">
        <v>46056.651388888888</v>
      </c>
      <c r="E114" s="52">
        <v>46056.651388888888</v>
      </c>
      <c r="F114" s="52">
        <v>46056.75</v>
      </c>
      <c r="G114" s="53">
        <v>9.8611111111111108E-2</v>
      </c>
      <c r="H114" s="1" t="s">
        <v>257</v>
      </c>
      <c r="J114" s="1" t="s">
        <v>258</v>
      </c>
      <c r="K114" s="1" t="s">
        <v>658</v>
      </c>
      <c r="L114" s="1" t="s">
        <v>682</v>
      </c>
      <c r="M114" s="1" t="s">
        <v>260</v>
      </c>
      <c r="N114" s="1" t="s">
        <v>261</v>
      </c>
      <c r="O114" t="s">
        <v>681</v>
      </c>
      <c r="P114" s="1" t="str">
        <f>_xlfn.CONCAT(B114,C114,D114,E114,F114)</f>
        <v>BC ParanoaSG60KTL(COM1-020)_002_01146056,651388888946056,651388888946056,75</v>
      </c>
      <c r="Q114" s="1" t="str">
        <f>_xlfn.CONCAT(H114,I114,J114)</f>
        <v>DAURDE</v>
      </c>
    </row>
    <row r="115" spans="2:17">
      <c r="B115" s="1" t="s">
        <v>393</v>
      </c>
      <c r="C115" s="1" t="s">
        <v>410</v>
      </c>
      <c r="D115" s="52">
        <v>46056.651388888888</v>
      </c>
      <c r="E115" s="52">
        <v>46056.651388888888</v>
      </c>
      <c r="F115" s="52">
        <v>46056.75</v>
      </c>
      <c r="G115" s="53">
        <v>9.8611111111111108E-2</v>
      </c>
      <c r="H115" s="1" t="s">
        <v>257</v>
      </c>
      <c r="J115" s="1" t="s">
        <v>258</v>
      </c>
      <c r="K115" s="1" t="s">
        <v>658</v>
      </c>
      <c r="L115" s="1" t="s">
        <v>682</v>
      </c>
      <c r="M115" s="1" t="s">
        <v>260</v>
      </c>
      <c r="N115" s="1" t="s">
        <v>261</v>
      </c>
      <c r="O115" t="s">
        <v>681</v>
      </c>
      <c r="P115" s="1" t="str">
        <f>_xlfn.CONCAT(B115,C115,D115,E115,F115)</f>
        <v>BC ParanoaSG60KTL(COM1-021)_002_01746056,651388888946056,651388888946056,75</v>
      </c>
      <c r="Q115" s="1" t="str">
        <f>_xlfn.CONCAT(H115,I115,J115)</f>
        <v>DAURDE</v>
      </c>
    </row>
    <row r="116" spans="2:17">
      <c r="B116" s="1" t="s">
        <v>393</v>
      </c>
      <c r="C116" s="1" t="s">
        <v>411</v>
      </c>
      <c r="D116" s="52">
        <v>46056.651388888888</v>
      </c>
      <c r="E116" s="52">
        <v>46056.651388888888</v>
      </c>
      <c r="F116" s="52">
        <v>46056.75</v>
      </c>
      <c r="G116" s="53">
        <v>9.8611111111111108E-2</v>
      </c>
      <c r="H116" s="1" t="s">
        <v>257</v>
      </c>
      <c r="J116" s="1" t="s">
        <v>258</v>
      </c>
      <c r="K116" s="1" t="s">
        <v>658</v>
      </c>
      <c r="L116" s="1" t="s">
        <v>682</v>
      </c>
      <c r="M116" s="1" t="s">
        <v>260</v>
      </c>
      <c r="N116" s="1" t="s">
        <v>261</v>
      </c>
      <c r="O116" t="s">
        <v>681</v>
      </c>
      <c r="P116" s="1" t="str">
        <f>_xlfn.CONCAT(B116,C116,D116,E116,F116)</f>
        <v>BC ParanoaSG60KTL(COM1-022)_002_02046056,651388888946056,651388888946056,75</v>
      </c>
      <c r="Q116" s="1" t="str">
        <f>_xlfn.CONCAT(H116,I116,J116)</f>
        <v>DAURDE</v>
      </c>
    </row>
    <row r="117" spans="2:17">
      <c r="B117" s="1" t="s">
        <v>393</v>
      </c>
      <c r="C117" s="1" t="s">
        <v>412</v>
      </c>
      <c r="D117" s="52">
        <v>46056.651388888888</v>
      </c>
      <c r="E117" s="52">
        <v>46056.651388888888</v>
      </c>
      <c r="F117" s="52">
        <v>46056.75</v>
      </c>
      <c r="G117" s="53">
        <v>9.8611111111111108E-2</v>
      </c>
      <c r="H117" s="1" t="s">
        <v>257</v>
      </c>
      <c r="J117" s="1" t="s">
        <v>258</v>
      </c>
      <c r="K117" s="1" t="s">
        <v>658</v>
      </c>
      <c r="L117" s="1" t="s">
        <v>682</v>
      </c>
      <c r="M117" s="1" t="s">
        <v>260</v>
      </c>
      <c r="N117" s="1" t="s">
        <v>261</v>
      </c>
      <c r="O117" t="s">
        <v>681</v>
      </c>
      <c r="P117" s="1" t="str">
        <f>_xlfn.CONCAT(B117,C117,D117,E117,F117)</f>
        <v>BC ParanoaSG40CX(COM2-023)_002_02446056,651388888946056,651388888946056,75</v>
      </c>
      <c r="Q117" s="1" t="str">
        <f>_xlfn.CONCAT(H117,I117,J117)</f>
        <v>DAURDE</v>
      </c>
    </row>
    <row r="118" spans="2:17">
      <c r="B118" s="1" t="s">
        <v>393</v>
      </c>
      <c r="C118" s="1" t="s">
        <v>413</v>
      </c>
      <c r="D118" s="52">
        <v>46056.651388888888</v>
      </c>
      <c r="E118" s="52">
        <v>46056.651388888888</v>
      </c>
      <c r="F118" s="52">
        <v>46056.75</v>
      </c>
      <c r="G118" s="53">
        <v>9.8611111111111108E-2</v>
      </c>
      <c r="H118" s="1" t="s">
        <v>257</v>
      </c>
      <c r="J118" s="1" t="s">
        <v>258</v>
      </c>
      <c r="K118" s="1" t="s">
        <v>658</v>
      </c>
      <c r="L118" s="1" t="s">
        <v>682</v>
      </c>
      <c r="M118" s="1" t="s">
        <v>260</v>
      </c>
      <c r="N118" s="1" t="s">
        <v>261</v>
      </c>
      <c r="O118" t="s">
        <v>681</v>
      </c>
      <c r="P118" s="1" t="str">
        <f>_xlfn.CONCAT(B118,C118,D118,E118,F118)</f>
        <v>BC ParanoaSG40CX(COM2-024)_002_02246056,651388888946056,651388888946056,75</v>
      </c>
      <c r="Q118" s="1" t="str">
        <f>_xlfn.CONCAT(H118,I118,J118)</f>
        <v>DAURDE</v>
      </c>
    </row>
    <row r="119" spans="2:17">
      <c r="B119" s="1" t="s">
        <v>393</v>
      </c>
      <c r="C119" s="1" t="s">
        <v>414</v>
      </c>
      <c r="D119" s="52">
        <v>46056.651388888888</v>
      </c>
      <c r="E119" s="52">
        <v>46056.651388888888</v>
      </c>
      <c r="F119" s="52">
        <v>46056.75</v>
      </c>
      <c r="G119" s="53">
        <v>9.8611111111111108E-2</v>
      </c>
      <c r="H119" s="1" t="s">
        <v>257</v>
      </c>
      <c r="J119" s="1" t="s">
        <v>258</v>
      </c>
      <c r="K119" s="1" t="s">
        <v>658</v>
      </c>
      <c r="L119" s="1" t="s">
        <v>682</v>
      </c>
      <c r="M119" s="1" t="s">
        <v>260</v>
      </c>
      <c r="N119" s="1" t="s">
        <v>261</v>
      </c>
      <c r="O119" t="s">
        <v>681</v>
      </c>
      <c r="P119" s="1" t="str">
        <f>_xlfn.CONCAT(B119,C119,D119,E119,F119)</f>
        <v>BC ParanoaSG60KTL(COM1-007)_002_01346056,651388888946056,651388888946056,75</v>
      </c>
      <c r="Q119" s="1" t="str">
        <f>_xlfn.CONCAT(H119,I119,J119)</f>
        <v>DAURDE</v>
      </c>
    </row>
    <row r="120" spans="2:17">
      <c r="B120" s="1" t="s">
        <v>393</v>
      </c>
      <c r="C120" s="1" t="s">
        <v>415</v>
      </c>
      <c r="D120" s="52">
        <v>46056.651388888888</v>
      </c>
      <c r="E120" s="52">
        <v>46056.651388888888</v>
      </c>
      <c r="F120" s="52">
        <v>46056.75</v>
      </c>
      <c r="G120" s="53">
        <v>9.8611111111111108E-2</v>
      </c>
      <c r="H120" s="1" t="s">
        <v>257</v>
      </c>
      <c r="J120" s="1" t="s">
        <v>258</v>
      </c>
      <c r="K120" s="1" t="s">
        <v>658</v>
      </c>
      <c r="L120" s="1" t="s">
        <v>682</v>
      </c>
      <c r="M120" s="1" t="s">
        <v>260</v>
      </c>
      <c r="N120" s="1" t="s">
        <v>261</v>
      </c>
      <c r="O120" t="s">
        <v>681</v>
      </c>
      <c r="P120" s="1" t="str">
        <f>_xlfn.CONCAT(B120,C120,D120,E120,F120)</f>
        <v>BC ParanoaSG60KTL(COM1-008)_002_00246056,651388888946056,651388888946056,75</v>
      </c>
      <c r="Q120" s="1" t="str">
        <f>_xlfn.CONCAT(H120,I120,J120)</f>
        <v>DAURDE</v>
      </c>
    </row>
    <row r="121" spans="2:17">
      <c r="B121" s="1" t="s">
        <v>393</v>
      </c>
      <c r="C121" s="1" t="s">
        <v>416</v>
      </c>
      <c r="D121" s="52">
        <v>46056.651388888888</v>
      </c>
      <c r="E121" s="52">
        <v>46056.651388888888</v>
      </c>
      <c r="F121" s="52">
        <v>46056.75</v>
      </c>
      <c r="G121" s="53">
        <v>9.8611111111111108E-2</v>
      </c>
      <c r="H121" s="1" t="s">
        <v>257</v>
      </c>
      <c r="J121" s="1" t="s">
        <v>258</v>
      </c>
      <c r="K121" s="1" t="s">
        <v>658</v>
      </c>
      <c r="L121" s="1" t="s">
        <v>682</v>
      </c>
      <c r="M121" s="1" t="s">
        <v>260</v>
      </c>
      <c r="N121" s="1" t="s">
        <v>261</v>
      </c>
      <c r="O121" t="s">
        <v>681</v>
      </c>
      <c r="P121" s="1" t="str">
        <f>_xlfn.CONCAT(B121,C121,D121,E121,F121)</f>
        <v>BC ParanoaSG60KTL(COM1-009)_002_00846056,651388888946056,651388888946056,75</v>
      </c>
      <c r="Q121" s="1" t="str">
        <f>_xlfn.CONCAT(H121,I121,J121)</f>
        <v>DAURDE</v>
      </c>
    </row>
    <row r="122" spans="2:17">
      <c r="B122" s="1" t="s">
        <v>393</v>
      </c>
      <c r="C122" s="1" t="s">
        <v>417</v>
      </c>
      <c r="D122" s="52">
        <v>46056.651388888888</v>
      </c>
      <c r="E122" s="52">
        <v>46056.651388888888</v>
      </c>
      <c r="F122" s="52">
        <v>46056.75</v>
      </c>
      <c r="G122" s="53">
        <v>9.8611111111111108E-2</v>
      </c>
      <c r="H122" s="1" t="s">
        <v>257</v>
      </c>
      <c r="J122" s="1" t="s">
        <v>258</v>
      </c>
      <c r="K122" s="1" t="s">
        <v>658</v>
      </c>
      <c r="L122" s="1" t="s">
        <v>682</v>
      </c>
      <c r="M122" s="1" t="s">
        <v>260</v>
      </c>
      <c r="N122" s="1" t="s">
        <v>261</v>
      </c>
      <c r="O122" t="s">
        <v>681</v>
      </c>
      <c r="P122" s="1" t="str">
        <f>_xlfn.CONCAT(B122,C122,D122,E122,F122)</f>
        <v>BC ParanoaSG60KTL(COM1-010)_002_00346056,651388888946056,651388888946056,75</v>
      </c>
      <c r="Q122" s="1" t="str">
        <f>_xlfn.CONCAT(H122,I122,J122)</f>
        <v>DAURDE</v>
      </c>
    </row>
    <row r="123" spans="2:17">
      <c r="B123" s="1" t="s">
        <v>393</v>
      </c>
      <c r="C123" s="1" t="s">
        <v>418</v>
      </c>
      <c r="D123" s="52">
        <v>46056.651388888888</v>
      </c>
      <c r="E123" s="52">
        <v>46056.651388888888</v>
      </c>
      <c r="F123" s="52">
        <v>46056.75</v>
      </c>
      <c r="G123" s="53">
        <v>9.8611111111111108E-2</v>
      </c>
      <c r="H123" s="1" t="s">
        <v>257</v>
      </c>
      <c r="J123" s="1" t="s">
        <v>258</v>
      </c>
      <c r="K123" s="1" t="s">
        <v>658</v>
      </c>
      <c r="L123" s="1" t="s">
        <v>682</v>
      </c>
      <c r="M123" s="1" t="s">
        <v>260</v>
      </c>
      <c r="N123" s="1" t="s">
        <v>261</v>
      </c>
      <c r="O123" t="s">
        <v>681</v>
      </c>
      <c r="P123" s="1" t="str">
        <f>_xlfn.CONCAT(B123,C123,D123,E123,F123)</f>
        <v>BC ParanoaSG60KTL(COM1-011)_002_01046056,651388888946056,651388888946056,75</v>
      </c>
      <c r="Q123" s="1" t="str">
        <f>_xlfn.CONCAT(H123,I123,J123)</f>
        <v>DAURDE</v>
      </c>
    </row>
    <row r="124" spans="2:17">
      <c r="B124" s="1" t="s">
        <v>393</v>
      </c>
      <c r="C124" s="1" t="s">
        <v>419</v>
      </c>
      <c r="D124" s="52">
        <v>46056.651388888888</v>
      </c>
      <c r="E124" s="52">
        <v>46056.651388888888</v>
      </c>
      <c r="F124" s="52">
        <v>46056.75</v>
      </c>
      <c r="G124" s="53">
        <v>9.8611111111111108E-2</v>
      </c>
      <c r="H124" s="1" t="s">
        <v>257</v>
      </c>
      <c r="J124" s="1" t="s">
        <v>258</v>
      </c>
      <c r="K124" s="1" t="s">
        <v>658</v>
      </c>
      <c r="L124" s="1" t="s">
        <v>682</v>
      </c>
      <c r="M124" s="1" t="s">
        <v>260</v>
      </c>
      <c r="N124" s="1" t="s">
        <v>261</v>
      </c>
      <c r="O124" t="s">
        <v>681</v>
      </c>
      <c r="P124" s="1" t="str">
        <f>_xlfn.CONCAT(B124,C124,D124,E124,F124)</f>
        <v>BC ParanoaSG60KTL(COM1-012)_002_00546056,651388888946056,651388888946056,75</v>
      </c>
      <c r="Q124" s="1" t="str">
        <f>_xlfn.CONCAT(H124,I124,J124)</f>
        <v>DAURDE</v>
      </c>
    </row>
    <row r="125" spans="2:17">
      <c r="B125" s="1" t="s">
        <v>393</v>
      </c>
      <c r="C125" s="1" t="s">
        <v>420</v>
      </c>
      <c r="D125" s="52">
        <v>46056.651388888888</v>
      </c>
      <c r="E125" s="52">
        <v>46056.651388888888</v>
      </c>
      <c r="F125" s="52">
        <v>46056.75</v>
      </c>
      <c r="G125" s="53">
        <v>9.8611111111111108E-2</v>
      </c>
      <c r="H125" s="1" t="s">
        <v>257</v>
      </c>
      <c r="J125" s="1" t="s">
        <v>258</v>
      </c>
      <c r="K125" s="1" t="s">
        <v>658</v>
      </c>
      <c r="L125" s="1" t="s">
        <v>682</v>
      </c>
      <c r="M125" s="1" t="s">
        <v>260</v>
      </c>
      <c r="N125" s="1" t="s">
        <v>261</v>
      </c>
      <c r="O125" t="s">
        <v>681</v>
      </c>
      <c r="P125" s="1" t="str">
        <f>_xlfn.CONCAT(B125,C125,D125,E125,F125)</f>
        <v>BC ParanoaSG60KTL(COM1-001)_002_00646056,651388888946056,651388888946056,75</v>
      </c>
      <c r="Q125" s="1" t="str">
        <f>_xlfn.CONCAT(H125,I125,J125)</f>
        <v>DAURDE</v>
      </c>
    </row>
    <row r="126" spans="2:17">
      <c r="B126" s="1" t="s">
        <v>393</v>
      </c>
      <c r="C126" s="1" t="s">
        <v>421</v>
      </c>
      <c r="D126" s="52">
        <v>46056.651388888888</v>
      </c>
      <c r="E126" s="52">
        <v>46056.651388888888</v>
      </c>
      <c r="F126" s="52">
        <v>46056.75</v>
      </c>
      <c r="G126" s="53">
        <v>9.8611111111111108E-2</v>
      </c>
      <c r="H126" s="1" t="s">
        <v>257</v>
      </c>
      <c r="J126" s="1" t="s">
        <v>258</v>
      </c>
      <c r="K126" s="1" t="s">
        <v>658</v>
      </c>
      <c r="L126" s="1" t="s">
        <v>682</v>
      </c>
      <c r="M126" s="1" t="s">
        <v>260</v>
      </c>
      <c r="N126" s="1" t="s">
        <v>261</v>
      </c>
      <c r="O126" t="s">
        <v>681</v>
      </c>
      <c r="P126" s="1" t="str">
        <f>_xlfn.CONCAT(B126,C126,D126,E126,F126)</f>
        <v>BC ParanoaSG60KTL(COM1-002)_002_01646056,651388888946056,651388888946056,75</v>
      </c>
      <c r="Q126" s="1" t="str">
        <f>_xlfn.CONCAT(H126,I126,J126)</f>
        <v>DAURDE</v>
      </c>
    </row>
    <row r="127" spans="2:17">
      <c r="B127" s="1" t="s">
        <v>393</v>
      </c>
      <c r="C127" s="1" t="s">
        <v>422</v>
      </c>
      <c r="D127" s="52">
        <v>46056.651388888888</v>
      </c>
      <c r="E127" s="52">
        <v>46056.651388888888</v>
      </c>
      <c r="F127" s="52">
        <v>46056.75</v>
      </c>
      <c r="G127" s="53">
        <v>9.8611111111111108E-2</v>
      </c>
      <c r="H127" s="1" t="s">
        <v>257</v>
      </c>
      <c r="J127" s="1" t="s">
        <v>258</v>
      </c>
      <c r="K127" s="1" t="s">
        <v>658</v>
      </c>
      <c r="L127" s="1" t="s">
        <v>682</v>
      </c>
      <c r="M127" s="1" t="s">
        <v>260</v>
      </c>
      <c r="N127" s="1" t="s">
        <v>261</v>
      </c>
      <c r="O127" t="s">
        <v>681</v>
      </c>
      <c r="P127" s="1" t="str">
        <f>_xlfn.CONCAT(B127,C127,D127,E127,F127)</f>
        <v>BC ParanoaSG50CX(COM2-003)_002_02146056,651388888946056,651388888946056,75</v>
      </c>
      <c r="Q127" s="1" t="str">
        <f>_xlfn.CONCAT(H127,I127,J127)</f>
        <v>DAURDE</v>
      </c>
    </row>
    <row r="128" spans="2:17">
      <c r="B128" s="1" t="s">
        <v>393</v>
      </c>
      <c r="C128" s="1" t="s">
        <v>423</v>
      </c>
      <c r="D128" s="52">
        <v>46056.651388888888</v>
      </c>
      <c r="E128" s="52">
        <v>46056.651388888888</v>
      </c>
      <c r="F128" s="52">
        <v>46056.75</v>
      </c>
      <c r="G128" s="53">
        <v>9.8611111111111108E-2</v>
      </c>
      <c r="H128" s="1" t="s">
        <v>257</v>
      </c>
      <c r="J128" s="1" t="s">
        <v>258</v>
      </c>
      <c r="K128" s="1" t="s">
        <v>658</v>
      </c>
      <c r="L128" s="1" t="s">
        <v>682</v>
      </c>
      <c r="M128" s="1" t="s">
        <v>260</v>
      </c>
      <c r="N128" s="1" t="s">
        <v>261</v>
      </c>
      <c r="O128" t="s">
        <v>681</v>
      </c>
      <c r="P128" s="1" t="str">
        <f>_xlfn.CONCAT(B128,C128,D128,E128,F128)</f>
        <v>BC ParanoaSG50CX(COM2-004)_002_02346056,651388888946056,651388888946056,75</v>
      </c>
      <c r="Q128" s="1" t="str">
        <f>_xlfn.CONCAT(H128,I128,J128)</f>
        <v>DAURDE</v>
      </c>
    </row>
    <row r="129" spans="2:17">
      <c r="B129" s="1" t="s">
        <v>393</v>
      </c>
      <c r="C129" s="1" t="s">
        <v>424</v>
      </c>
      <c r="D129" s="52">
        <v>46056.651388888888</v>
      </c>
      <c r="E129" s="52">
        <v>46056.651388888888</v>
      </c>
      <c r="F129" s="52">
        <v>46056.75</v>
      </c>
      <c r="G129" s="53">
        <v>9.8611111111111108E-2</v>
      </c>
      <c r="H129" s="1" t="s">
        <v>257</v>
      </c>
      <c r="J129" s="1" t="s">
        <v>258</v>
      </c>
      <c r="K129" s="1" t="s">
        <v>658</v>
      </c>
      <c r="L129" s="1" t="s">
        <v>682</v>
      </c>
      <c r="M129" s="1" t="s">
        <v>260</v>
      </c>
      <c r="N129" s="1" t="s">
        <v>261</v>
      </c>
      <c r="O129" t="s">
        <v>681</v>
      </c>
      <c r="P129" s="1" t="str">
        <f>_xlfn.CONCAT(B129,C129,D129,E129,F129)</f>
        <v>BC ParanoaSG60KTL(COM1-005)_002_00946056,651388888946056,651388888946056,75</v>
      </c>
      <c r="Q129" s="1" t="str">
        <f>_xlfn.CONCAT(H129,I129,J129)</f>
        <v>DAURDE</v>
      </c>
    </row>
    <row r="130" spans="2:17">
      <c r="B130" s="1" t="s">
        <v>393</v>
      </c>
      <c r="C130" s="1" t="s">
        <v>425</v>
      </c>
      <c r="D130" s="52">
        <v>46056.651388888888</v>
      </c>
      <c r="E130" s="52">
        <v>46056.651388888888</v>
      </c>
      <c r="F130" s="52">
        <v>46056.75</v>
      </c>
      <c r="G130" s="53">
        <v>9.8611111111111108E-2</v>
      </c>
      <c r="H130" s="1" t="s">
        <v>257</v>
      </c>
      <c r="J130" s="1" t="s">
        <v>258</v>
      </c>
      <c r="K130" s="1" t="s">
        <v>658</v>
      </c>
      <c r="L130" s="1" t="s">
        <v>682</v>
      </c>
      <c r="M130" s="1" t="s">
        <v>260</v>
      </c>
      <c r="N130" s="1" t="s">
        <v>261</v>
      </c>
      <c r="O130" t="s">
        <v>681</v>
      </c>
      <c r="P130" s="1" t="str">
        <f>_xlfn.CONCAT(B130,C130,D130,E130,F130)</f>
        <v>BC ParanoaSG60KTL(COM1-006)_002_00146056,651388888946056,651388888946056,75</v>
      </c>
      <c r="Q130" s="1" t="str">
        <f>_xlfn.CONCAT(H130,I130,J130)</f>
        <v>DAURDE</v>
      </c>
    </row>
    <row r="131" spans="2:17">
      <c r="B131" s="1" t="s">
        <v>393</v>
      </c>
      <c r="C131" s="1" t="s">
        <v>426</v>
      </c>
      <c r="D131" s="52">
        <v>46056.651388888888</v>
      </c>
      <c r="E131" s="52">
        <v>46056.651388888888</v>
      </c>
      <c r="F131" s="52">
        <v>46056.75</v>
      </c>
      <c r="G131" s="53">
        <v>9.8611111111111108E-2</v>
      </c>
      <c r="H131" s="1" t="s">
        <v>257</v>
      </c>
      <c r="J131" s="1" t="s">
        <v>258</v>
      </c>
      <c r="K131" s="1" t="s">
        <v>658</v>
      </c>
      <c r="L131" s="1" t="s">
        <v>682</v>
      </c>
      <c r="M131" s="1" t="s">
        <v>260</v>
      </c>
      <c r="N131" s="1" t="s">
        <v>261</v>
      </c>
      <c r="O131" t="s">
        <v>681</v>
      </c>
      <c r="P131" s="1" t="str">
        <f>_xlfn.CONCAT(B131,C131,D131,E131,F131)</f>
        <v>BC ParanoaSG60KTL(COM1-013)_002_00446056,651388888946056,651388888946056,75</v>
      </c>
      <c r="Q131" s="1" t="str">
        <f>_xlfn.CONCAT(H131,I131,J131)</f>
        <v>DAURDE</v>
      </c>
    </row>
    <row r="132" spans="2:17">
      <c r="B132" s="1" t="s">
        <v>393</v>
      </c>
      <c r="C132" s="1" t="s">
        <v>427</v>
      </c>
      <c r="D132" s="52">
        <v>46056.651388888888</v>
      </c>
      <c r="E132" s="52">
        <v>46056.651388888888</v>
      </c>
      <c r="F132" s="52">
        <v>46056.75</v>
      </c>
      <c r="G132" s="53">
        <v>9.8611111111111108E-2</v>
      </c>
      <c r="H132" s="1" t="s">
        <v>257</v>
      </c>
      <c r="J132" s="1" t="s">
        <v>258</v>
      </c>
      <c r="K132" s="1" t="s">
        <v>658</v>
      </c>
      <c r="L132" s="1" t="s">
        <v>682</v>
      </c>
      <c r="M132" s="1" t="s">
        <v>260</v>
      </c>
      <c r="N132" s="1" t="s">
        <v>261</v>
      </c>
      <c r="O132" t="s">
        <v>681</v>
      </c>
      <c r="P132" s="1" t="str">
        <f>_xlfn.CONCAT(B132,C132,D132,E132,F132)</f>
        <v>BC ParanoaSG60KTL(COM1-014)_002_01946056,651388888946056,651388888946056,75</v>
      </c>
      <c r="Q132" s="1" t="str">
        <f>_xlfn.CONCAT(H132,I132,J132)</f>
        <v>DAURDE</v>
      </c>
    </row>
    <row r="133" spans="2:17">
      <c r="B133" s="1" t="s">
        <v>393</v>
      </c>
      <c r="C133" s="1" t="s">
        <v>428</v>
      </c>
      <c r="D133" s="52">
        <v>46056.651388888888</v>
      </c>
      <c r="E133" s="52">
        <v>46056.651388888888</v>
      </c>
      <c r="F133" s="52">
        <v>46056.75</v>
      </c>
      <c r="G133" s="53">
        <v>9.8611111111111108E-2</v>
      </c>
      <c r="H133" s="1" t="s">
        <v>257</v>
      </c>
      <c r="J133" s="1" t="s">
        <v>258</v>
      </c>
      <c r="K133" s="1" t="s">
        <v>658</v>
      </c>
      <c r="L133" s="1" t="s">
        <v>682</v>
      </c>
      <c r="M133" s="1" t="s">
        <v>260</v>
      </c>
      <c r="N133" s="1" t="s">
        <v>261</v>
      </c>
      <c r="O133" t="s">
        <v>681</v>
      </c>
      <c r="P133" s="1" t="str">
        <f>_xlfn.CONCAT(B133,C133,D133,E133,F133)</f>
        <v>BC ParanoaSG60KTL(COM1-015)_002_01846056,651388888946056,651388888946056,75</v>
      </c>
      <c r="Q133" s="1" t="str">
        <f>_xlfn.CONCAT(H133,I133,J133)</f>
        <v>DAURDE</v>
      </c>
    </row>
    <row r="134" spans="2:17">
      <c r="B134" s="1" t="s">
        <v>393</v>
      </c>
      <c r="C134" s="1" t="s">
        <v>429</v>
      </c>
      <c r="D134" s="52">
        <v>46056.651388888888</v>
      </c>
      <c r="E134" s="52">
        <v>46056.651388888888</v>
      </c>
      <c r="F134" s="52">
        <v>46056.75</v>
      </c>
      <c r="G134" s="53">
        <v>9.8611111111111108E-2</v>
      </c>
      <c r="H134" s="1" t="s">
        <v>257</v>
      </c>
      <c r="J134" s="1" t="s">
        <v>258</v>
      </c>
      <c r="K134" s="1" t="s">
        <v>658</v>
      </c>
      <c r="L134" s="1" t="s">
        <v>682</v>
      </c>
      <c r="M134" s="1" t="s">
        <v>260</v>
      </c>
      <c r="N134" s="1" t="s">
        <v>261</v>
      </c>
      <c r="O134" t="s">
        <v>681</v>
      </c>
      <c r="P134" s="1" t="str">
        <f>_xlfn.CONCAT(B134,C134,D134,E134,F134)</f>
        <v>BC ParanoaSG60KTL(COM1-016)_002_01446056,651388888946056,651388888946056,75</v>
      </c>
      <c r="Q134" s="1" t="str">
        <f>_xlfn.CONCAT(H134,I134,J134)</f>
        <v>DAURDE</v>
      </c>
    </row>
    <row r="135" spans="2:17">
      <c r="B135" s="1" t="s">
        <v>393</v>
      </c>
      <c r="C135" s="1" t="s">
        <v>430</v>
      </c>
      <c r="D135" s="52">
        <v>46056.651388888888</v>
      </c>
      <c r="E135" s="52">
        <v>46056.651388888888</v>
      </c>
      <c r="F135" s="52">
        <v>46056.75</v>
      </c>
      <c r="G135" s="53">
        <v>9.8611111111111108E-2</v>
      </c>
      <c r="H135" s="1" t="s">
        <v>257</v>
      </c>
      <c r="J135" s="1" t="s">
        <v>258</v>
      </c>
      <c r="K135" s="1" t="s">
        <v>658</v>
      </c>
      <c r="L135" s="1" t="s">
        <v>682</v>
      </c>
      <c r="M135" s="1" t="s">
        <v>260</v>
      </c>
      <c r="N135" s="1" t="s">
        <v>357</v>
      </c>
      <c r="O135" s="1" t="s">
        <v>626</v>
      </c>
      <c r="P135" s="1" t="str">
        <f>_xlfn.CONCAT(B135,C135,D135,E135,F135)</f>
        <v>BC ParanoaSG60KTL(COM1-017)_002_01546056,651388888946056,651388888946056,75</v>
      </c>
      <c r="Q135" s="1" t="str">
        <f>_xlfn.CONCAT(H135,I135,J135)</f>
        <v>DAURDE</v>
      </c>
    </row>
    <row r="136" spans="2:17">
      <c r="B136" s="1" t="s">
        <v>393</v>
      </c>
      <c r="C136" s="1" t="s">
        <v>431</v>
      </c>
      <c r="D136" s="52">
        <v>46056.651388888888</v>
      </c>
      <c r="E136" s="52">
        <v>46056.651388888888</v>
      </c>
      <c r="F136" s="52">
        <v>46056.75</v>
      </c>
      <c r="G136" s="53">
        <v>9.8611111111111108E-2</v>
      </c>
      <c r="H136" s="1" t="s">
        <v>257</v>
      </c>
      <c r="J136" s="1" t="s">
        <v>258</v>
      </c>
      <c r="K136" s="1" t="s">
        <v>658</v>
      </c>
      <c r="L136" s="1" t="s">
        <v>682</v>
      </c>
      <c r="M136" s="1" t="s">
        <v>260</v>
      </c>
      <c r="N136" s="1" t="s">
        <v>357</v>
      </c>
      <c r="O136" s="1" t="s">
        <v>626</v>
      </c>
      <c r="P136" s="1" t="str">
        <f>_xlfn.CONCAT(B136,C136,D136,E136,F136)</f>
        <v>BC ParanoaSG60KTL(COM1-018)_002_01246056,651388888946056,651388888946056,75</v>
      </c>
      <c r="Q136" s="1" t="str">
        <f>_xlfn.CONCAT(H136,I136,J136)</f>
        <v>DAURDE</v>
      </c>
    </row>
    <row r="137" spans="2:17">
      <c r="B137" s="1" t="s">
        <v>393</v>
      </c>
      <c r="C137" s="1" t="s">
        <v>432</v>
      </c>
      <c r="D137" s="52">
        <v>46056.651388888888</v>
      </c>
      <c r="E137" s="52">
        <v>46056.651388888888</v>
      </c>
      <c r="F137" s="52">
        <v>46056.75</v>
      </c>
      <c r="G137" s="53">
        <v>9.8611111111111108E-2</v>
      </c>
      <c r="H137" s="1" t="s">
        <v>257</v>
      </c>
      <c r="J137" s="1" t="s">
        <v>258</v>
      </c>
      <c r="K137" s="1" t="s">
        <v>658</v>
      </c>
      <c r="L137" s="1" t="s">
        <v>682</v>
      </c>
      <c r="M137" s="1" t="s">
        <v>260</v>
      </c>
      <c r="N137" s="1" t="s">
        <v>357</v>
      </c>
      <c r="O137" s="1" t="s">
        <v>626</v>
      </c>
      <c r="P137" s="1" t="str">
        <f>_xlfn.CONCAT(B137,C137,D137,E137,F137)</f>
        <v>BC ParanoaSG50CX(COM2-004)_001_01846056,651388888946056,651388888946056,75</v>
      </c>
      <c r="Q137" s="1" t="str">
        <f>_xlfn.CONCAT(H137,I137,J137)</f>
        <v>DAURDE</v>
      </c>
    </row>
    <row r="138" spans="2:17">
      <c r="B138" s="1" t="s">
        <v>393</v>
      </c>
      <c r="C138" s="1" t="s">
        <v>433</v>
      </c>
      <c r="D138" s="52">
        <v>46056.651388888888</v>
      </c>
      <c r="E138" s="52">
        <v>46056.651388888888</v>
      </c>
      <c r="F138" s="52">
        <v>46056.75</v>
      </c>
      <c r="G138" s="53">
        <v>9.8611111111111108E-2</v>
      </c>
      <c r="H138" s="1" t="s">
        <v>257</v>
      </c>
      <c r="J138" s="1" t="s">
        <v>258</v>
      </c>
      <c r="K138" s="1" t="s">
        <v>658</v>
      </c>
      <c r="L138" s="1" t="s">
        <v>682</v>
      </c>
      <c r="M138" s="1" t="s">
        <v>260</v>
      </c>
      <c r="N138" s="1" t="s">
        <v>357</v>
      </c>
      <c r="O138" s="1" t="s">
        <v>626</v>
      </c>
      <c r="P138" s="1" t="str">
        <f>_xlfn.CONCAT(B138,C138,D138,E138,F138)</f>
        <v>BC ParanoaSG50CX(COM2-003)_001_01646056,651388888946056,651388888946056,75</v>
      </c>
      <c r="Q138" s="1" t="str">
        <f>_xlfn.CONCAT(H138,I138,J138)</f>
        <v>DAURDE</v>
      </c>
    </row>
    <row r="139" spans="2:17">
      <c r="B139" s="1" t="s">
        <v>393</v>
      </c>
      <c r="C139" s="1" t="s">
        <v>434</v>
      </c>
      <c r="D139" s="52">
        <v>46056.651388888888</v>
      </c>
      <c r="E139" s="52">
        <v>46056.651388888888</v>
      </c>
      <c r="F139" s="52">
        <v>46056.75</v>
      </c>
      <c r="G139" s="53">
        <v>9.8611111111111108E-2</v>
      </c>
      <c r="H139" s="1" t="s">
        <v>257</v>
      </c>
      <c r="J139" s="1" t="s">
        <v>258</v>
      </c>
      <c r="K139" s="1" t="s">
        <v>658</v>
      </c>
      <c r="L139" s="1" t="s">
        <v>682</v>
      </c>
      <c r="M139" s="1" t="s">
        <v>260</v>
      </c>
      <c r="N139" s="1" t="s">
        <v>357</v>
      </c>
      <c r="O139" s="1" t="s">
        <v>626</v>
      </c>
      <c r="P139" s="1" t="str">
        <f>_xlfn.CONCAT(B139,C139,D139,E139,F139)</f>
        <v>BC ParanoaSG60KTL(COM1-002)_001_00846056,651388888946056,651388888946056,75</v>
      </c>
      <c r="Q139" s="1" t="str">
        <f>_xlfn.CONCAT(H139,I139,J139)</f>
        <v>DAURDE</v>
      </c>
    </row>
    <row r="140" spans="2:17">
      <c r="B140" s="1" t="s">
        <v>327</v>
      </c>
      <c r="C140" s="1" t="s">
        <v>247</v>
      </c>
      <c r="D140" s="52">
        <v>46056.876388888886</v>
      </c>
      <c r="E140" s="52">
        <v>46056.876388888886</v>
      </c>
      <c r="F140" s="52">
        <v>46057.299305555556</v>
      </c>
      <c r="G140" s="53">
        <v>0.42291666666666666</v>
      </c>
      <c r="H140" s="1" t="s">
        <v>257</v>
      </c>
      <c r="J140" s="1" t="s">
        <v>258</v>
      </c>
      <c r="K140" s="1" t="s">
        <v>658</v>
      </c>
      <c r="L140" s="1" t="s">
        <v>683</v>
      </c>
      <c r="M140" s="1" t="s">
        <v>260</v>
      </c>
      <c r="N140" s="1" t="s">
        <v>357</v>
      </c>
      <c r="O140" s="1" t="s">
        <v>626</v>
      </c>
      <c r="P140" s="1" t="str">
        <f>_xlfn.CONCAT(B140,C140,D140,E140,F140)</f>
        <v>BC Aracu5.1Inverter(MBUS-1)46056,876388888946056,876388888946057,2993055556</v>
      </c>
      <c r="Q140" s="1" t="str">
        <f>_xlfn.CONCAT(H140,I140,J140)</f>
        <v>DAURDE</v>
      </c>
    </row>
    <row r="141" spans="2:17">
      <c r="B141" s="1" t="s">
        <v>328</v>
      </c>
      <c r="C141" s="1" t="s">
        <v>247</v>
      </c>
      <c r="D141" s="52">
        <v>46056.876388888886</v>
      </c>
      <c r="E141" s="52">
        <v>46056.876388888886</v>
      </c>
      <c r="F141" s="52">
        <v>46057.299305555556</v>
      </c>
      <c r="G141" s="53">
        <v>0.42291666666666666</v>
      </c>
      <c r="H141" s="1" t="s">
        <v>257</v>
      </c>
      <c r="J141" s="1" t="s">
        <v>258</v>
      </c>
      <c r="K141" s="1" t="s">
        <v>658</v>
      </c>
      <c r="L141" s="1" t="s">
        <v>683</v>
      </c>
      <c r="M141" s="1" t="s">
        <v>260</v>
      </c>
      <c r="N141" s="1" t="s">
        <v>357</v>
      </c>
      <c r="O141" s="1" t="s">
        <v>626</v>
      </c>
      <c r="P141" s="1" t="str">
        <f>_xlfn.CONCAT(B141,C141,D141,E141,F141)</f>
        <v>BC Aracu5.3Inverter(MBUS-1)46056,876388888946056,876388888946057,2993055556</v>
      </c>
      <c r="Q141" s="1" t="str">
        <f>_xlfn.CONCAT(H141,I141,J141)</f>
        <v>DAURDE</v>
      </c>
    </row>
    <row r="142" spans="2:17">
      <c r="B142" s="1" t="s">
        <v>329</v>
      </c>
      <c r="C142" s="1" t="s">
        <v>247</v>
      </c>
      <c r="D142" s="52">
        <v>46056.876388888886</v>
      </c>
      <c r="E142" s="52">
        <v>46056.876388888886</v>
      </c>
      <c r="F142" s="52">
        <v>46057.299305555556</v>
      </c>
      <c r="G142" s="53">
        <v>0.42291666666666666</v>
      </c>
      <c r="H142" s="1" t="s">
        <v>257</v>
      </c>
      <c r="J142" s="1" t="s">
        <v>258</v>
      </c>
      <c r="K142" s="1" t="s">
        <v>658</v>
      </c>
      <c r="L142" s="1" t="s">
        <v>683</v>
      </c>
      <c r="M142" s="1" t="s">
        <v>260</v>
      </c>
      <c r="N142" s="1" t="s">
        <v>357</v>
      </c>
      <c r="O142" s="1" t="s">
        <v>626</v>
      </c>
      <c r="P142" s="1" t="str">
        <f>_xlfn.CONCAT(B142,C142,D142,E142,F142)</f>
        <v>BC Aracu5.4Inverter(MBUS-1)46056,876388888946056,876388888946057,2993055556</v>
      </c>
      <c r="Q142" s="1" t="str">
        <f>_xlfn.CONCAT(H142,I142,J142)</f>
        <v>DAURDE</v>
      </c>
    </row>
    <row r="143" spans="2:17">
      <c r="B143" s="1" t="s">
        <v>330</v>
      </c>
      <c r="C143" s="1" t="s">
        <v>247</v>
      </c>
      <c r="D143" s="52">
        <v>46056.876388888886</v>
      </c>
      <c r="E143" s="52">
        <v>46056.876388888886</v>
      </c>
      <c r="F143" s="52">
        <v>46057.299305555556</v>
      </c>
      <c r="G143" s="53">
        <v>0.42291666666666666</v>
      </c>
      <c r="H143" s="1" t="s">
        <v>257</v>
      </c>
      <c r="J143" s="1" t="s">
        <v>258</v>
      </c>
      <c r="K143" s="1" t="s">
        <v>658</v>
      </c>
      <c r="L143" s="1" t="s">
        <v>683</v>
      </c>
      <c r="M143" s="1" t="s">
        <v>260</v>
      </c>
      <c r="N143" s="1" t="s">
        <v>357</v>
      </c>
      <c r="O143" s="1" t="s">
        <v>626</v>
      </c>
      <c r="P143" s="1" t="str">
        <f>_xlfn.CONCAT(B143,C143,D143,E143,F143)</f>
        <v>BC Aracu5.5Inverter(MBUS-1)46056,876388888946056,876388888946057,2993055556</v>
      </c>
      <c r="Q143" s="1" t="str">
        <f>_xlfn.CONCAT(H143,I143,J143)</f>
        <v>DAURDE</v>
      </c>
    </row>
    <row r="144" spans="2:17">
      <c r="B144" s="1" t="s">
        <v>305</v>
      </c>
      <c r="C144" s="1" t="s">
        <v>256</v>
      </c>
      <c r="D144" s="52">
        <v>46057.272222222222</v>
      </c>
      <c r="E144" s="52">
        <v>46057.272222222222</v>
      </c>
      <c r="F144" s="52">
        <v>46057.354166666664</v>
      </c>
      <c r="G144" s="53">
        <v>8.1944444444444445E-2</v>
      </c>
      <c r="H144" s="1" t="s">
        <v>257</v>
      </c>
      <c r="J144" s="1" t="s">
        <v>258</v>
      </c>
      <c r="K144" s="1" t="s">
        <v>658</v>
      </c>
      <c r="L144" s="1" t="s">
        <v>683</v>
      </c>
      <c r="M144" s="1" t="s">
        <v>260</v>
      </c>
      <c r="N144" s="1" t="s">
        <v>357</v>
      </c>
      <c r="O144" s="1" t="s">
        <v>626</v>
      </c>
      <c r="P144" s="1" t="str">
        <f>_xlfn.CONCAT(B144,C144,D144,E144,F144)</f>
        <v>ARAGUATINS 1.1Inverter(MBUS-12)46057,272222222246057,272222222246057,3541666667</v>
      </c>
      <c r="Q144" s="1" t="str">
        <f>_xlfn.CONCAT(H144,I144,J144)</f>
        <v>DAURDE</v>
      </c>
    </row>
    <row r="145" spans="2:17">
      <c r="B145" s="1" t="s">
        <v>305</v>
      </c>
      <c r="C145" s="1" t="s">
        <v>264</v>
      </c>
      <c r="D145" s="52">
        <v>46057.272222222222</v>
      </c>
      <c r="E145" s="52">
        <v>46057.272222222222</v>
      </c>
      <c r="F145" s="52">
        <v>46057.354166666664</v>
      </c>
      <c r="G145" s="53">
        <v>8.1944444444444445E-2</v>
      </c>
      <c r="H145" s="1" t="s">
        <v>257</v>
      </c>
      <c r="J145" s="1" t="s">
        <v>258</v>
      </c>
      <c r="K145" s="1" t="s">
        <v>658</v>
      </c>
      <c r="L145" s="1" t="s">
        <v>683</v>
      </c>
      <c r="M145" s="1" t="s">
        <v>260</v>
      </c>
      <c r="N145" s="1" t="s">
        <v>357</v>
      </c>
      <c r="O145" s="1" t="s">
        <v>626</v>
      </c>
      <c r="P145" s="1" t="str">
        <f>_xlfn.CONCAT(B145,C145,D145,E145,F145)</f>
        <v>ARAGUATINS 1.1Inverter(MBUS-13)46057,272222222246057,272222222246057,3541666667</v>
      </c>
      <c r="Q145" s="1" t="str">
        <f>_xlfn.CONCAT(H145,I145,J145)</f>
        <v>DAURDE</v>
      </c>
    </row>
    <row r="146" spans="2:17">
      <c r="B146" s="1" t="s">
        <v>305</v>
      </c>
      <c r="C146" s="1" t="s">
        <v>263</v>
      </c>
      <c r="D146" s="52">
        <v>46057.272222222222</v>
      </c>
      <c r="E146" s="52">
        <v>46057.272222222222</v>
      </c>
      <c r="F146" s="52">
        <v>46057.354166666664</v>
      </c>
      <c r="G146" s="53">
        <v>8.1944444444444445E-2</v>
      </c>
      <c r="H146" s="1" t="s">
        <v>257</v>
      </c>
      <c r="J146" s="1" t="s">
        <v>258</v>
      </c>
      <c r="K146" s="1" t="s">
        <v>658</v>
      </c>
      <c r="L146" s="1" t="s">
        <v>683</v>
      </c>
      <c r="M146" s="1" t="s">
        <v>260</v>
      </c>
      <c r="N146" s="1" t="s">
        <v>357</v>
      </c>
      <c r="O146" s="1" t="s">
        <v>626</v>
      </c>
      <c r="P146" s="1" t="str">
        <f>_xlfn.CONCAT(B146,C146,D146,E146,F146)</f>
        <v>ARAGUATINS 1.1Inverter(MBUS-14)46057,272222222246057,272222222246057,3541666667</v>
      </c>
      <c r="Q146" s="1" t="str">
        <f>_xlfn.CONCAT(H146,I146,J146)</f>
        <v>DAURDE</v>
      </c>
    </row>
    <row r="147" spans="2:17">
      <c r="B147" s="1" t="s">
        <v>305</v>
      </c>
      <c r="C147" s="1" t="s">
        <v>307</v>
      </c>
      <c r="D147" s="52">
        <v>46057.272222222222</v>
      </c>
      <c r="E147" s="52">
        <v>46057.272222222222</v>
      </c>
      <c r="F147" s="52">
        <v>46057.354166666664</v>
      </c>
      <c r="G147" s="53">
        <v>8.1944444444444445E-2</v>
      </c>
      <c r="H147" s="1" t="s">
        <v>257</v>
      </c>
      <c r="J147" s="1" t="s">
        <v>258</v>
      </c>
      <c r="K147" s="1" t="s">
        <v>658</v>
      </c>
      <c r="L147" s="1" t="s">
        <v>683</v>
      </c>
      <c r="M147" s="1" t="s">
        <v>260</v>
      </c>
      <c r="N147" s="1" t="s">
        <v>357</v>
      </c>
      <c r="O147" s="1" t="s">
        <v>626</v>
      </c>
      <c r="P147" s="1" t="str">
        <f>_xlfn.CONCAT(B147,C147,D147,E147,F147)</f>
        <v>ARAGUATINS 1.1Inverter(MBUS-15)46057,272222222246057,272222222246057,3541666667</v>
      </c>
      <c r="Q147" s="1" t="str">
        <f>_xlfn.CONCAT(H147,I147,J147)</f>
        <v>DAURDE</v>
      </c>
    </row>
    <row r="148" spans="2:17">
      <c r="B148" s="1" t="s">
        <v>308</v>
      </c>
      <c r="C148" s="1" t="s">
        <v>256</v>
      </c>
      <c r="D148" s="52">
        <v>46057.272222222222</v>
      </c>
      <c r="E148" s="52">
        <v>46057.272222222222</v>
      </c>
      <c r="F148" s="52">
        <v>46057.354166666664</v>
      </c>
      <c r="G148" s="53">
        <v>8.1944444444444445E-2</v>
      </c>
      <c r="H148" s="1" t="s">
        <v>257</v>
      </c>
      <c r="J148" s="1" t="s">
        <v>258</v>
      </c>
      <c r="K148" s="1" t="s">
        <v>658</v>
      </c>
      <c r="L148" s="1" t="s">
        <v>683</v>
      </c>
      <c r="M148" s="1" t="s">
        <v>260</v>
      </c>
      <c r="N148" s="1" t="s">
        <v>357</v>
      </c>
      <c r="O148" s="1" t="s">
        <v>626</v>
      </c>
      <c r="P148" s="1" t="str">
        <f>_xlfn.CONCAT(B148,C148,D148,E148,F148)</f>
        <v>ARAGUATINS 1.2Inverter(MBUS-12)46057,272222222246057,272222222246057,3541666667</v>
      </c>
      <c r="Q148" s="1" t="str">
        <f>_xlfn.CONCAT(H148,I148,J148)</f>
        <v>DAURDE</v>
      </c>
    </row>
    <row r="149" spans="2:17">
      <c r="B149" s="1" t="s">
        <v>308</v>
      </c>
      <c r="C149" s="1" t="s">
        <v>264</v>
      </c>
      <c r="D149" s="52">
        <v>46057.272222222222</v>
      </c>
      <c r="E149" s="52">
        <v>46057.272222222222</v>
      </c>
      <c r="F149" s="52">
        <v>46057.354166666664</v>
      </c>
      <c r="G149" s="53">
        <v>8.1944444444444445E-2</v>
      </c>
      <c r="H149" s="1" t="s">
        <v>257</v>
      </c>
      <c r="J149" s="1" t="s">
        <v>258</v>
      </c>
      <c r="K149" s="1" t="s">
        <v>658</v>
      </c>
      <c r="L149" s="1" t="s">
        <v>683</v>
      </c>
      <c r="M149" s="1" t="s">
        <v>260</v>
      </c>
      <c r="N149" s="1" t="s">
        <v>357</v>
      </c>
      <c r="O149" s="1" t="s">
        <v>626</v>
      </c>
      <c r="P149" s="1" t="str">
        <f>_xlfn.CONCAT(B149,C149,D149,E149,F149)</f>
        <v>ARAGUATINS 1.2Inverter(MBUS-13)46057,272222222246057,272222222246057,3541666667</v>
      </c>
      <c r="Q149" s="1" t="str">
        <f>_xlfn.CONCAT(H149,I149,J149)</f>
        <v>DAURDE</v>
      </c>
    </row>
    <row r="150" spans="2:17">
      <c r="B150" s="1" t="s">
        <v>308</v>
      </c>
      <c r="C150" s="1" t="s">
        <v>263</v>
      </c>
      <c r="D150" s="52">
        <v>46057.272222222222</v>
      </c>
      <c r="E150" s="52">
        <v>46057.272222222222</v>
      </c>
      <c r="F150" s="52">
        <v>46057.354166666664</v>
      </c>
      <c r="G150" s="53">
        <v>8.1944444444444445E-2</v>
      </c>
      <c r="H150" s="1" t="s">
        <v>257</v>
      </c>
      <c r="J150" s="1" t="s">
        <v>258</v>
      </c>
      <c r="K150" s="1" t="s">
        <v>658</v>
      </c>
      <c r="L150" s="1" t="s">
        <v>683</v>
      </c>
      <c r="M150" s="1" t="s">
        <v>260</v>
      </c>
      <c r="N150" s="1" t="s">
        <v>357</v>
      </c>
      <c r="O150" s="1" t="s">
        <v>626</v>
      </c>
      <c r="P150" s="1" t="str">
        <f>_xlfn.CONCAT(B150,C150,D150,E150,F150)</f>
        <v>ARAGUATINS 1.2Inverter(MBUS-14)46057,272222222246057,272222222246057,3541666667</v>
      </c>
      <c r="Q150" s="1" t="str">
        <f>_xlfn.CONCAT(H150,I150,J150)</f>
        <v>DAURDE</v>
      </c>
    </row>
    <row r="151" spans="2:17">
      <c r="B151" s="1" t="s">
        <v>308</v>
      </c>
      <c r="C151" s="1" t="s">
        <v>307</v>
      </c>
      <c r="D151" s="52">
        <v>46057.272222222222</v>
      </c>
      <c r="E151" s="52">
        <v>46057.272222222222</v>
      </c>
      <c r="F151" s="52">
        <v>46057.354166666664</v>
      </c>
      <c r="G151" s="53">
        <v>8.1944444444444445E-2</v>
      </c>
      <c r="H151" s="1" t="s">
        <v>257</v>
      </c>
      <c r="J151" s="1" t="s">
        <v>258</v>
      </c>
      <c r="K151" s="1" t="s">
        <v>658</v>
      </c>
      <c r="L151" s="1" t="s">
        <v>683</v>
      </c>
      <c r="M151" s="1" t="s">
        <v>260</v>
      </c>
      <c r="N151" s="1" t="s">
        <v>357</v>
      </c>
      <c r="O151" s="1" t="s">
        <v>626</v>
      </c>
      <c r="P151" s="1" t="str">
        <f>_xlfn.CONCAT(B151,C151,D151,E151,F151)</f>
        <v>ARAGUATINS 1.2Inverter(MBUS-15)46057,272222222246057,272222222246057,3541666667</v>
      </c>
      <c r="Q151" s="1" t="str">
        <f>_xlfn.CONCAT(H151,I151,J151)</f>
        <v>DAURDE</v>
      </c>
    </row>
    <row r="152" spans="2:17">
      <c r="B152" s="1" t="s">
        <v>309</v>
      </c>
      <c r="C152" s="1" t="s">
        <v>310</v>
      </c>
      <c r="D152" s="52">
        <v>46057.272222222222</v>
      </c>
      <c r="E152" s="52">
        <v>46057.272222222222</v>
      </c>
      <c r="F152" s="52">
        <v>46057.354166666664</v>
      </c>
      <c r="G152" s="53">
        <v>8.1944444444444445E-2</v>
      </c>
      <c r="H152" s="1" t="s">
        <v>257</v>
      </c>
      <c r="J152" s="1" t="s">
        <v>258</v>
      </c>
      <c r="K152" s="1" t="s">
        <v>658</v>
      </c>
      <c r="L152" s="1" t="s">
        <v>683</v>
      </c>
      <c r="M152" s="1" t="s">
        <v>260</v>
      </c>
      <c r="N152" s="1" t="s">
        <v>357</v>
      </c>
      <c r="O152" s="1" t="s">
        <v>626</v>
      </c>
      <c r="P152" s="1" t="str">
        <f>_xlfn.CONCAT(B152,C152,D152,E152,F152)</f>
        <v>ARAGUATINS 1.3Inverter(MBUS-20)46057,272222222246057,272222222246057,3541666667</v>
      </c>
      <c r="Q152" s="1" t="str">
        <f>_xlfn.CONCAT(H152,I152,J152)</f>
        <v>DAURDE</v>
      </c>
    </row>
    <row r="153" spans="2:17">
      <c r="B153" s="1" t="s">
        <v>309</v>
      </c>
      <c r="C153" s="1" t="s">
        <v>247</v>
      </c>
      <c r="D153" s="52">
        <v>46057.272222222222</v>
      </c>
      <c r="E153" s="52">
        <v>46057.272222222222</v>
      </c>
      <c r="F153" s="52">
        <v>46057.354166666664</v>
      </c>
      <c r="G153" s="53">
        <v>8.1944444444444445E-2</v>
      </c>
      <c r="H153" s="1" t="s">
        <v>257</v>
      </c>
      <c r="J153" s="1" t="s">
        <v>258</v>
      </c>
      <c r="K153" s="1" t="s">
        <v>658</v>
      </c>
      <c r="L153" s="1" t="s">
        <v>683</v>
      </c>
      <c r="M153" s="1" t="s">
        <v>260</v>
      </c>
      <c r="N153" s="1" t="s">
        <v>357</v>
      </c>
      <c r="O153" s="1" t="s">
        <v>626</v>
      </c>
      <c r="P153" s="1" t="str">
        <f>_xlfn.CONCAT(B153,C153,D153,E153,F153)</f>
        <v>ARAGUATINS 1.3Inverter(MBUS-1)46057,272222222246057,272222222246057,3541666667</v>
      </c>
      <c r="Q153" s="1" t="str">
        <f>_xlfn.CONCAT(H153,I153,J153)</f>
        <v>DAURDE</v>
      </c>
    </row>
    <row r="154" spans="2:17">
      <c r="B154" s="1" t="s">
        <v>311</v>
      </c>
      <c r="C154" s="1" t="s">
        <v>256</v>
      </c>
      <c r="D154" s="52">
        <v>46057.272222222222</v>
      </c>
      <c r="E154" s="52">
        <v>46057.272222222222</v>
      </c>
      <c r="F154" s="52">
        <v>46057.354166666664</v>
      </c>
      <c r="G154" s="53">
        <v>8.1944444444444445E-2</v>
      </c>
      <c r="H154" s="1" t="s">
        <v>257</v>
      </c>
      <c r="J154" s="1" t="s">
        <v>258</v>
      </c>
      <c r="K154" s="1" t="s">
        <v>658</v>
      </c>
      <c r="L154" s="1" t="s">
        <v>684</v>
      </c>
      <c r="M154" s="1" t="s">
        <v>260</v>
      </c>
      <c r="N154" s="1" t="s">
        <v>357</v>
      </c>
      <c r="O154" s="1" t="s">
        <v>626</v>
      </c>
      <c r="P154" s="1" t="str">
        <f>_xlfn.CONCAT(B154,C154,D154,E154,F154)</f>
        <v>ARAGUATINS 2.1Inverter(MBUS-12)46057,272222222246057,272222222246057,3541666667</v>
      </c>
      <c r="Q154" s="1" t="str">
        <f>_xlfn.CONCAT(H154,I154,J154)</f>
        <v>DAURDE</v>
      </c>
    </row>
    <row r="155" spans="2:17">
      <c r="B155" s="1" t="s">
        <v>311</v>
      </c>
      <c r="C155" s="1" t="s">
        <v>307</v>
      </c>
      <c r="D155" s="52">
        <v>46057.272222222222</v>
      </c>
      <c r="E155" s="52">
        <v>46057.272222222222</v>
      </c>
      <c r="F155" s="52">
        <v>46057.354166666664</v>
      </c>
      <c r="G155" s="53">
        <v>8.1944444444444445E-2</v>
      </c>
      <c r="H155" s="1" t="s">
        <v>257</v>
      </c>
      <c r="J155" s="1" t="s">
        <v>258</v>
      </c>
      <c r="K155" s="1" t="s">
        <v>658</v>
      </c>
      <c r="L155" s="1" t="s">
        <v>684</v>
      </c>
      <c r="M155" s="1" t="s">
        <v>260</v>
      </c>
      <c r="N155" s="1" t="s">
        <v>357</v>
      </c>
      <c r="O155" s="1" t="s">
        <v>626</v>
      </c>
      <c r="P155" s="1" t="str">
        <f>_xlfn.CONCAT(B155,C155,D155,E155,F155)</f>
        <v>ARAGUATINS 2.1Inverter(MBUS-15)46057,272222222246057,272222222246057,3541666667</v>
      </c>
      <c r="Q155" s="1" t="str">
        <f>_xlfn.CONCAT(H155,I155,J155)</f>
        <v>DAURDE</v>
      </c>
    </row>
    <row r="156" spans="2:17">
      <c r="B156" s="1" t="s">
        <v>311</v>
      </c>
      <c r="C156" s="1" t="s">
        <v>263</v>
      </c>
      <c r="D156" s="52">
        <v>46057.272222222222</v>
      </c>
      <c r="E156" s="52">
        <v>46057.272222222222</v>
      </c>
      <c r="F156" s="52">
        <v>46057.354166666664</v>
      </c>
      <c r="G156" s="53">
        <v>8.1944444444444445E-2</v>
      </c>
      <c r="H156" s="1" t="s">
        <v>257</v>
      </c>
      <c r="J156" s="1" t="s">
        <v>258</v>
      </c>
      <c r="K156" s="1" t="s">
        <v>658</v>
      </c>
      <c r="L156" s="1" t="s">
        <v>684</v>
      </c>
      <c r="M156" s="1" t="s">
        <v>663</v>
      </c>
      <c r="N156" s="1" t="s">
        <v>672</v>
      </c>
      <c r="O156" s="1" t="s">
        <v>685</v>
      </c>
      <c r="P156" s="1" t="str">
        <f>_xlfn.CONCAT(B156,C156,D156,E156,F156)</f>
        <v>ARAGUATINS 2.1Inverter(MBUS-14)46057,272222222246057,272222222246057,3541666667</v>
      </c>
      <c r="Q156" s="1" t="str">
        <f>_xlfn.CONCAT(H156,I156,J156)</f>
        <v>DAURDE</v>
      </c>
    </row>
    <row r="157" spans="2:17">
      <c r="B157" s="1" t="s">
        <v>311</v>
      </c>
      <c r="C157" s="1" t="s">
        <v>247</v>
      </c>
      <c r="D157" s="52">
        <v>46057.272222222222</v>
      </c>
      <c r="E157" s="52">
        <v>46057.272222222222</v>
      </c>
      <c r="F157" s="52">
        <v>46057.354166666664</v>
      </c>
      <c r="G157" s="53">
        <v>8.1944444444444445E-2</v>
      </c>
      <c r="H157" s="1" t="s">
        <v>257</v>
      </c>
      <c r="J157" s="1" t="s">
        <v>258</v>
      </c>
      <c r="K157" s="1" t="s">
        <v>658</v>
      </c>
      <c r="L157" s="1" t="s">
        <v>684</v>
      </c>
      <c r="M157" s="1" t="s">
        <v>663</v>
      </c>
      <c r="N157" s="1" t="s">
        <v>672</v>
      </c>
      <c r="O157" s="1" t="s">
        <v>685</v>
      </c>
      <c r="P157" s="1" t="str">
        <f>_xlfn.CONCAT(B157,C157,D157,E157,F157)</f>
        <v>ARAGUATINS 2.1Inverter(MBUS-1)46057,272222222246057,272222222246057,3541666667</v>
      </c>
      <c r="Q157" s="1" t="str">
        <f>_xlfn.CONCAT(H157,I157,J157)</f>
        <v>DAURDE</v>
      </c>
    </row>
    <row r="158" spans="2:17">
      <c r="B158" s="1" t="s">
        <v>312</v>
      </c>
      <c r="C158" s="1" t="s">
        <v>307</v>
      </c>
      <c r="D158" s="52">
        <v>46057.272222222222</v>
      </c>
      <c r="E158" s="52">
        <v>46057.272222222222</v>
      </c>
      <c r="F158" s="52">
        <v>46057.354166666664</v>
      </c>
      <c r="G158" s="53">
        <v>8.1944444444444445E-2</v>
      </c>
      <c r="H158" s="1" t="s">
        <v>257</v>
      </c>
      <c r="J158" s="1" t="s">
        <v>258</v>
      </c>
      <c r="K158" s="1" t="s">
        <v>658</v>
      </c>
      <c r="L158" s="1" t="s">
        <v>684</v>
      </c>
      <c r="M158" s="1" t="s">
        <v>663</v>
      </c>
      <c r="N158" s="1" t="s">
        <v>672</v>
      </c>
      <c r="O158" s="1" t="s">
        <v>685</v>
      </c>
      <c r="P158" s="1" t="str">
        <f>_xlfn.CONCAT(B158,C158,D158,E158,F158)</f>
        <v>ARAGUATINS 2.2Inverter(MBUS-15)46057,272222222246057,272222222246057,3541666667</v>
      </c>
      <c r="Q158" s="1" t="str">
        <f>_xlfn.CONCAT(H158,I158,J158)</f>
        <v>DAURDE</v>
      </c>
    </row>
    <row r="159" spans="2:17">
      <c r="B159" s="1" t="s">
        <v>312</v>
      </c>
      <c r="C159" s="1" t="s">
        <v>264</v>
      </c>
      <c r="D159" s="52">
        <v>46057.272222222222</v>
      </c>
      <c r="E159" s="52">
        <v>46057.272222222222</v>
      </c>
      <c r="F159" s="52">
        <v>46057.354166666664</v>
      </c>
      <c r="G159" s="53">
        <v>8.1944444444444445E-2</v>
      </c>
      <c r="H159" s="1" t="s">
        <v>257</v>
      </c>
      <c r="J159" s="1" t="s">
        <v>258</v>
      </c>
      <c r="K159" s="1" t="s">
        <v>658</v>
      </c>
      <c r="L159" s="1" t="s">
        <v>684</v>
      </c>
      <c r="M159" s="1" t="s">
        <v>663</v>
      </c>
      <c r="N159" s="1" t="s">
        <v>672</v>
      </c>
      <c r="O159" s="1" t="s">
        <v>685</v>
      </c>
      <c r="P159" s="1" t="str">
        <f>_xlfn.CONCAT(B159,C159,D159,E159,F159)</f>
        <v>ARAGUATINS 2.2Inverter(MBUS-13)46057,272222222246057,272222222246057,3541666667</v>
      </c>
      <c r="Q159" s="1" t="str">
        <f>_xlfn.CONCAT(H159,I159,J159)</f>
        <v>DAURDE</v>
      </c>
    </row>
    <row r="160" spans="2:17">
      <c r="B160" s="1" t="s">
        <v>312</v>
      </c>
      <c r="C160" s="1" t="s">
        <v>263</v>
      </c>
      <c r="D160" s="52">
        <v>46057.272222222222</v>
      </c>
      <c r="E160" s="52">
        <v>46057.272222222222</v>
      </c>
      <c r="F160" s="52">
        <v>46057.354166666664</v>
      </c>
      <c r="G160" s="53">
        <v>8.1944444444444445E-2</v>
      </c>
      <c r="H160" s="1" t="s">
        <v>257</v>
      </c>
      <c r="J160" s="1" t="s">
        <v>258</v>
      </c>
      <c r="K160" s="1" t="s">
        <v>658</v>
      </c>
      <c r="L160" s="1" t="s">
        <v>684</v>
      </c>
      <c r="M160" s="1" t="s">
        <v>289</v>
      </c>
      <c r="N160" s="1" t="s">
        <v>253</v>
      </c>
      <c r="O160" s="72" t="s">
        <v>686</v>
      </c>
      <c r="P160" s="1" t="str">
        <f>_xlfn.CONCAT(B160,C160,D160,E160,F160)</f>
        <v>ARAGUATINS 2.2Inverter(MBUS-14)46057,272222222246057,272222222246057,3541666667</v>
      </c>
      <c r="Q160" s="1" t="str">
        <f>_xlfn.CONCAT(H160,I160,J160)</f>
        <v>DAURDE</v>
      </c>
    </row>
    <row r="161" spans="2:17">
      <c r="B161" s="1" t="s">
        <v>312</v>
      </c>
      <c r="C161" s="1" t="s">
        <v>256</v>
      </c>
      <c r="D161" s="52">
        <v>46057.272222222222</v>
      </c>
      <c r="E161" s="52">
        <v>46057.272222222222</v>
      </c>
      <c r="F161" s="52">
        <v>46057.354166666664</v>
      </c>
      <c r="G161" s="53">
        <v>8.1944444444444445E-2</v>
      </c>
      <c r="H161" s="1" t="s">
        <v>257</v>
      </c>
      <c r="J161" s="1" t="s">
        <v>258</v>
      </c>
      <c r="K161" s="1" t="s">
        <v>658</v>
      </c>
      <c r="L161" s="1" t="s">
        <v>684</v>
      </c>
      <c r="M161" s="1" t="s">
        <v>289</v>
      </c>
      <c r="N161" s="1" t="s">
        <v>253</v>
      </c>
      <c r="O161" s="72" t="s">
        <v>686</v>
      </c>
      <c r="P161" s="1" t="str">
        <f>_xlfn.CONCAT(B161,C161,D161,E161,F161)</f>
        <v>ARAGUATINS 2.2Inverter(MBUS-12)46057,272222222246057,272222222246057,3541666667</v>
      </c>
      <c r="Q161" s="1" t="str">
        <f>_xlfn.CONCAT(H161,I161,J161)</f>
        <v>DAURDE</v>
      </c>
    </row>
    <row r="162" spans="2:17">
      <c r="B162" s="1" t="s">
        <v>313</v>
      </c>
      <c r="C162" s="1" t="s">
        <v>256</v>
      </c>
      <c r="D162" s="52">
        <v>46057.272222222222</v>
      </c>
      <c r="E162" s="52">
        <v>46057.272222222222</v>
      </c>
      <c r="F162" s="52">
        <v>46057.354166666664</v>
      </c>
      <c r="G162" s="53">
        <v>8.1944444444444445E-2</v>
      </c>
      <c r="H162" s="1" t="s">
        <v>257</v>
      </c>
      <c r="J162" s="1" t="s">
        <v>258</v>
      </c>
      <c r="K162" s="1" t="s">
        <v>658</v>
      </c>
      <c r="L162" s="1" t="s">
        <v>684</v>
      </c>
      <c r="M162" s="1" t="s">
        <v>289</v>
      </c>
      <c r="N162" s="1" t="s">
        <v>253</v>
      </c>
      <c r="O162" s="72" t="s">
        <v>686</v>
      </c>
      <c r="P162" s="1" t="str">
        <f>_xlfn.CONCAT(B162,C162,D162,E162,F162)</f>
        <v>ARAGUATINS 2.3Inverter(MBUS-12)46057,272222222246057,272222222246057,3541666667</v>
      </c>
      <c r="Q162" s="1" t="str">
        <f>_xlfn.CONCAT(H162,I162,J162)</f>
        <v>DAURDE</v>
      </c>
    </row>
    <row r="163" spans="2:17">
      <c r="B163" s="1" t="s">
        <v>313</v>
      </c>
      <c r="C163" s="1" t="s">
        <v>264</v>
      </c>
      <c r="D163" s="52">
        <v>46057.272222222222</v>
      </c>
      <c r="E163" s="52">
        <v>46057.272222222222</v>
      </c>
      <c r="F163" s="52">
        <v>46057.354166666664</v>
      </c>
      <c r="G163" s="53">
        <v>8.1944444444444445E-2</v>
      </c>
      <c r="H163" s="1" t="s">
        <v>257</v>
      </c>
      <c r="J163" s="1" t="s">
        <v>258</v>
      </c>
      <c r="K163" s="1" t="s">
        <v>658</v>
      </c>
      <c r="L163" s="1" t="s">
        <v>684</v>
      </c>
      <c r="M163" s="1" t="s">
        <v>289</v>
      </c>
      <c r="N163" s="1" t="s">
        <v>253</v>
      </c>
      <c r="O163" s="72" t="s">
        <v>686</v>
      </c>
      <c r="P163" s="1" t="str">
        <f>_xlfn.CONCAT(B163,C163,D163,E163,F163)</f>
        <v>ARAGUATINS 2.3Inverter(MBUS-13)46057,272222222246057,272222222246057,3541666667</v>
      </c>
      <c r="Q163" s="1" t="str">
        <f>_xlfn.CONCAT(H163,I163,J163)</f>
        <v>DAURDE</v>
      </c>
    </row>
    <row r="164" spans="2:17">
      <c r="B164" s="1" t="s">
        <v>327</v>
      </c>
      <c r="C164" s="1" t="s">
        <v>247</v>
      </c>
      <c r="D164" s="52">
        <v>46057.638888888891</v>
      </c>
      <c r="E164" s="52">
        <v>46057.638888888891</v>
      </c>
      <c r="F164" s="52">
        <v>46057.673611111109</v>
      </c>
      <c r="G164" s="53">
        <v>3.4722222222222224E-2</v>
      </c>
      <c r="H164" s="1" t="s">
        <v>677</v>
      </c>
      <c r="J164" s="1" t="s">
        <v>371</v>
      </c>
      <c r="K164" s="1" t="s">
        <v>653</v>
      </c>
      <c r="L164" s="1" t="s">
        <v>687</v>
      </c>
      <c r="M164" s="1" t="s">
        <v>289</v>
      </c>
      <c r="N164" s="1" t="s">
        <v>253</v>
      </c>
      <c r="O164" s="72" t="s">
        <v>686</v>
      </c>
      <c r="P164" s="1" t="str">
        <f>_xlfn.CONCAT(B164,C164,D164,E164,F164)</f>
        <v>BC Aracu5.1Inverter(MBUS-1)46057,638888888946057,638888888946057,6736111111</v>
      </c>
      <c r="Q164" s="1" t="str">
        <f>_xlfn.CONCAT(H164,I164,J164)</f>
        <v>DPRINV</v>
      </c>
    </row>
    <row r="165" spans="2:17">
      <c r="B165" s="1" t="s">
        <v>328</v>
      </c>
      <c r="C165" s="1" t="s">
        <v>247</v>
      </c>
      <c r="D165" s="52">
        <v>46057.638888888891</v>
      </c>
      <c r="E165" s="52">
        <v>46057.638888888891</v>
      </c>
      <c r="F165" s="52">
        <v>46057.673611111109</v>
      </c>
      <c r="G165" s="53">
        <v>3.4722222222222224E-2</v>
      </c>
      <c r="H165" s="1" t="s">
        <v>677</v>
      </c>
      <c r="J165" s="1" t="s">
        <v>371</v>
      </c>
      <c r="K165" s="1" t="s">
        <v>653</v>
      </c>
      <c r="L165" s="1" t="s">
        <v>687</v>
      </c>
      <c r="O165" s="72"/>
      <c r="P165" s="1" t="str">
        <f>_xlfn.CONCAT(B165,C165,D165,E165,F165)</f>
        <v>BC Aracu5.3Inverter(MBUS-1)46057,638888888946057,638888888946057,6736111111</v>
      </c>
      <c r="Q165" s="1" t="str">
        <f>_xlfn.CONCAT(H165,I165,J165)</f>
        <v>DPRINV</v>
      </c>
    </row>
    <row r="166" spans="2:17">
      <c r="B166" s="1" t="s">
        <v>330</v>
      </c>
      <c r="C166" s="1" t="s">
        <v>247</v>
      </c>
      <c r="D166" s="52">
        <v>46057.638888888891</v>
      </c>
      <c r="E166" s="52">
        <v>46057.638888888891</v>
      </c>
      <c r="F166" s="52">
        <v>46057.673611111109</v>
      </c>
      <c r="G166" s="53">
        <v>3.4722222222222224E-2</v>
      </c>
      <c r="H166" s="1" t="s">
        <v>677</v>
      </c>
      <c r="J166" s="1" t="s">
        <v>371</v>
      </c>
      <c r="K166" s="1" t="s">
        <v>653</v>
      </c>
      <c r="L166" s="1" t="s">
        <v>687</v>
      </c>
      <c r="O166" s="72"/>
      <c r="P166" s="1" t="str">
        <f>_xlfn.CONCAT(B166,C166,D166,E166,F166)</f>
        <v>BC Aracu5.5Inverter(MBUS-1)46057,638888888946057,638888888946057,6736111111</v>
      </c>
      <c r="Q166" s="1" t="str">
        <f>_xlfn.CONCAT(H166,I166,J166)</f>
        <v>DPRINV</v>
      </c>
    </row>
    <row r="167" spans="2:17">
      <c r="B167" s="1" t="s">
        <v>381</v>
      </c>
      <c r="C167" s="1" t="s">
        <v>379</v>
      </c>
      <c r="D167" s="52">
        <v>46057.661111111112</v>
      </c>
      <c r="E167" s="52">
        <v>46057.661111111112</v>
      </c>
      <c r="F167" s="52">
        <v>46057.673611111109</v>
      </c>
      <c r="G167" s="53">
        <v>1.2500000000000001E-2</v>
      </c>
      <c r="H167" s="1" t="s">
        <v>257</v>
      </c>
      <c r="I167" s="1" t="s">
        <v>269</v>
      </c>
      <c r="J167" s="1" t="s">
        <v>319</v>
      </c>
      <c r="K167" s="1" t="s">
        <v>652</v>
      </c>
      <c r="L167" s="1" t="s">
        <v>688</v>
      </c>
      <c r="O167" s="72"/>
      <c r="P167" s="1" t="str">
        <f>_xlfn.CONCAT(B167,C167,D167,E167,F167)</f>
        <v>BC Camarao1.3215KTL-H3(MBUS-16)46057,661111111146057,661111111146057,6736111111</v>
      </c>
      <c r="Q167" s="1" t="str">
        <f>_xlfn.CONCAT(H167,I167,J167)</f>
        <v>DAURFOCOM</v>
      </c>
    </row>
    <row r="168" spans="2:17">
      <c r="B168" s="1" t="s">
        <v>381</v>
      </c>
      <c r="C168" s="1" t="s">
        <v>382</v>
      </c>
      <c r="D168" s="52">
        <v>46057.661111111112</v>
      </c>
      <c r="E168" s="52">
        <v>46057.661111111112</v>
      </c>
      <c r="F168" s="52">
        <v>46057.673611111109</v>
      </c>
      <c r="G168" s="53">
        <v>1.2500000000000001E-2</v>
      </c>
      <c r="H168" s="1" t="s">
        <v>257</v>
      </c>
      <c r="I168" s="1" t="s">
        <v>269</v>
      </c>
      <c r="J168" s="1" t="s">
        <v>319</v>
      </c>
      <c r="K168" s="1" t="s">
        <v>652</v>
      </c>
      <c r="L168" s="1" t="s">
        <v>688</v>
      </c>
      <c r="O168" s="72"/>
      <c r="P168" s="1" t="str">
        <f>_xlfn.CONCAT(B168,C168,D168,E168,F168)</f>
        <v>BC Camarao1.3215KTL-H3(MBUS-14)46057,661111111146057,661111111146057,6736111111</v>
      </c>
      <c r="Q168" s="1" t="str">
        <f>_xlfn.CONCAT(H168,I168,J168)</f>
        <v>DAURFOCOM</v>
      </c>
    </row>
    <row r="169" spans="2:17">
      <c r="B169" s="1" t="s">
        <v>381</v>
      </c>
      <c r="C169" s="1" t="s">
        <v>380</v>
      </c>
      <c r="D169" s="52">
        <v>46057.661111111112</v>
      </c>
      <c r="E169" s="52">
        <v>46057.661111111112</v>
      </c>
      <c r="F169" s="52">
        <v>46057.673611111109</v>
      </c>
      <c r="G169" s="53">
        <v>1.2500000000000001E-2</v>
      </c>
      <c r="H169" s="1" t="s">
        <v>257</v>
      </c>
      <c r="I169" s="1" t="s">
        <v>269</v>
      </c>
      <c r="J169" s="1" t="s">
        <v>319</v>
      </c>
      <c r="K169" s="1" t="s">
        <v>652</v>
      </c>
      <c r="L169" s="1" t="s">
        <v>688</v>
      </c>
      <c r="O169" s="72"/>
      <c r="P169" s="1" t="str">
        <f>_xlfn.CONCAT(B169,C169,D169,E169,F169)</f>
        <v>BC Camarao1.3215KTL-H3(MBUS-15)46057,661111111146057,661111111146057,6736111111</v>
      </c>
      <c r="Q169" s="1" t="str">
        <f>_xlfn.CONCAT(H169,I169,J169)</f>
        <v>DAURFOCOM</v>
      </c>
    </row>
    <row r="170" spans="2:17">
      <c r="B170" s="1" t="s">
        <v>381</v>
      </c>
      <c r="C170" s="1" t="s">
        <v>377</v>
      </c>
      <c r="D170" s="52">
        <v>46057.661111111112</v>
      </c>
      <c r="E170" s="52">
        <v>46057.661111111112</v>
      </c>
      <c r="F170" s="52">
        <v>46057.673611111109</v>
      </c>
      <c r="G170" s="53">
        <v>1.2500000000000001E-2</v>
      </c>
      <c r="H170" s="1" t="s">
        <v>257</v>
      </c>
      <c r="I170" s="1" t="s">
        <v>269</v>
      </c>
      <c r="J170" s="1" t="s">
        <v>319</v>
      </c>
      <c r="K170" s="1" t="s">
        <v>652</v>
      </c>
      <c r="L170" s="1" t="s">
        <v>688</v>
      </c>
      <c r="O170" s="72"/>
      <c r="P170" s="1" t="str">
        <f>_xlfn.CONCAT(B170,C170,D170,E170,F170)</f>
        <v>BC Camarao1.3215KTL-H3(MBUS-12)46057,661111111146057,661111111146057,6736111111</v>
      </c>
      <c r="Q170" s="1" t="str">
        <f>_xlfn.CONCAT(H170,I170,J170)</f>
        <v>DAURFOCOM</v>
      </c>
    </row>
    <row r="171" spans="2:17">
      <c r="B171" s="1" t="s">
        <v>381</v>
      </c>
      <c r="C171" s="1" t="s">
        <v>378</v>
      </c>
      <c r="D171" s="52">
        <v>46057.661111111112</v>
      </c>
      <c r="E171" s="52">
        <v>46057.661111111112</v>
      </c>
      <c r="F171" s="52">
        <v>46057.673611111109</v>
      </c>
      <c r="G171" s="53">
        <v>1.2500000000000001E-2</v>
      </c>
      <c r="H171" s="1" t="s">
        <v>257</v>
      </c>
      <c r="I171" s="1" t="s">
        <v>269</v>
      </c>
      <c r="J171" s="1" t="s">
        <v>319</v>
      </c>
      <c r="K171" s="1" t="s">
        <v>652</v>
      </c>
      <c r="L171" s="1" t="s">
        <v>688</v>
      </c>
      <c r="O171" s="72"/>
      <c r="P171" s="1" t="str">
        <f>_xlfn.CONCAT(B171,C171,D171,E171,F171)</f>
        <v>BC Camarao1.3215KTL-H3(MBUS-13)46057,661111111146057,661111111146057,6736111111</v>
      </c>
      <c r="Q171" s="1" t="str">
        <f>_xlfn.CONCAT(H171,I171,J171)</f>
        <v>DAURFOCOM</v>
      </c>
    </row>
    <row r="172" spans="2:17">
      <c r="B172" s="1" t="s">
        <v>327</v>
      </c>
      <c r="C172" s="1" t="s">
        <v>247</v>
      </c>
      <c r="D172" s="52">
        <v>46057.972222222219</v>
      </c>
      <c r="E172" s="52">
        <v>46057.972222222219</v>
      </c>
      <c r="F172" s="52">
        <v>46058.298611111109</v>
      </c>
      <c r="G172" s="53">
        <v>0.3263888888888889</v>
      </c>
      <c r="H172" s="1" t="s">
        <v>257</v>
      </c>
      <c r="J172" s="1" t="s">
        <v>258</v>
      </c>
      <c r="K172" s="1" t="s">
        <v>658</v>
      </c>
      <c r="L172" s="1" t="s">
        <v>689</v>
      </c>
      <c r="O172" s="72"/>
      <c r="P172" s="1" t="str">
        <f>_xlfn.CONCAT(B172,C172,D172,E172,F172)</f>
        <v>BC Aracu5.1Inverter(MBUS-1)46057,972222222246057,972222222246058,2986111111</v>
      </c>
      <c r="Q172" s="1" t="str">
        <f>_xlfn.CONCAT(H172,I172,J172)</f>
        <v>DAURDE</v>
      </c>
    </row>
    <row r="173" spans="2:17">
      <c r="B173" s="1" t="s">
        <v>328</v>
      </c>
      <c r="C173" s="1" t="s">
        <v>247</v>
      </c>
      <c r="D173" s="52">
        <v>46057.972222222219</v>
      </c>
      <c r="E173" s="52">
        <v>46057.972222222219</v>
      </c>
      <c r="F173" s="52">
        <v>46058.298611111109</v>
      </c>
      <c r="G173" s="53">
        <v>0.3263888888888889</v>
      </c>
      <c r="H173" s="1" t="s">
        <v>257</v>
      </c>
      <c r="J173" s="1" t="s">
        <v>258</v>
      </c>
      <c r="K173" s="1" t="s">
        <v>658</v>
      </c>
      <c r="L173" s="1" t="s">
        <v>689</v>
      </c>
      <c r="O173" s="72"/>
      <c r="P173" s="1" t="str">
        <f>_xlfn.CONCAT(B173,C173,D173,E173,F173)</f>
        <v>BC Aracu5.3Inverter(MBUS-1)46057,972222222246057,972222222246058,2986111111</v>
      </c>
      <c r="Q173" s="1" t="str">
        <f>_xlfn.CONCAT(H173,I173,J173)</f>
        <v>DAURDE</v>
      </c>
    </row>
    <row r="174" spans="2:17" ht="30.75">
      <c r="B174" s="1" t="s">
        <v>329</v>
      </c>
      <c r="C174" s="1" t="s">
        <v>247</v>
      </c>
      <c r="D174" s="52">
        <v>46057.972222222219</v>
      </c>
      <c r="E174" s="52">
        <v>46057.972222222219</v>
      </c>
      <c r="F174" s="52">
        <v>46058.298611111109</v>
      </c>
      <c r="G174" s="53">
        <v>0.3263888888888889</v>
      </c>
      <c r="H174" s="1" t="s">
        <v>257</v>
      </c>
      <c r="J174" s="1" t="s">
        <v>258</v>
      </c>
      <c r="K174" s="1" t="s">
        <v>658</v>
      </c>
      <c r="L174" s="1" t="s">
        <v>689</v>
      </c>
      <c r="M174" s="1" t="s">
        <v>663</v>
      </c>
      <c r="N174" s="1" t="s">
        <v>672</v>
      </c>
      <c r="O174" s="72" t="s">
        <v>690</v>
      </c>
      <c r="P174" s="1" t="str">
        <f>_xlfn.CONCAT(B174,C174,D174,E174,F174)</f>
        <v>BC Aracu5.4Inverter(MBUS-1)46057,972222222246057,972222222246058,2986111111</v>
      </c>
      <c r="Q174" s="1" t="str">
        <f>_xlfn.CONCAT(H174,I174,J174)</f>
        <v>DAURDE</v>
      </c>
    </row>
    <row r="175" spans="2:17">
      <c r="B175" s="1" t="s">
        <v>330</v>
      </c>
      <c r="C175" s="1" t="s">
        <v>247</v>
      </c>
      <c r="D175" s="52">
        <v>46057.972222222219</v>
      </c>
      <c r="E175" s="52">
        <v>46057.972222222219</v>
      </c>
      <c r="F175" s="52">
        <v>46058.298611111109</v>
      </c>
      <c r="G175" s="53">
        <v>0.3263888888888889</v>
      </c>
      <c r="H175" s="1" t="s">
        <v>257</v>
      </c>
      <c r="J175" s="1" t="s">
        <v>258</v>
      </c>
      <c r="K175" s="1" t="s">
        <v>658</v>
      </c>
      <c r="L175" s="1" t="s">
        <v>689</v>
      </c>
      <c r="M175" s="1" t="s">
        <v>260</v>
      </c>
      <c r="N175" s="1" t="s">
        <v>357</v>
      </c>
      <c r="O175" s="1" t="s">
        <v>632</v>
      </c>
      <c r="P175" s="1" t="str">
        <f>_xlfn.CONCAT(B175,C175,D175,E175,F175)</f>
        <v>BC Aracu5.5Inverter(MBUS-1)46057,972222222246057,972222222246058,2986111111</v>
      </c>
      <c r="Q175" s="1" t="str">
        <f>_xlfn.CONCAT(H175,I175,J175)</f>
        <v>DAURDE</v>
      </c>
    </row>
    <row r="176" spans="2:17">
      <c r="B176" s="1" t="s">
        <v>456</v>
      </c>
      <c r="C176" s="1" t="s">
        <v>457</v>
      </c>
      <c r="D176" s="52">
        <v>46058.058333333334</v>
      </c>
      <c r="E176" s="52">
        <v>46058.058333333334</v>
      </c>
      <c r="F176" s="52">
        <v>46058.365972222222</v>
      </c>
      <c r="G176" s="53">
        <v>0.30763888888888891</v>
      </c>
      <c r="H176" s="1" t="s">
        <v>257</v>
      </c>
      <c r="J176" s="1" t="s">
        <v>258</v>
      </c>
      <c r="K176" s="1" t="s">
        <v>658</v>
      </c>
      <c r="L176" s="1" t="s">
        <v>691</v>
      </c>
      <c r="M176" s="1" t="s">
        <v>260</v>
      </c>
      <c r="N176" s="1" t="s">
        <v>357</v>
      </c>
      <c r="O176" s="1" t="s">
        <v>632</v>
      </c>
      <c r="P176" s="1" t="str">
        <f>_xlfn.CONCAT(B176,C176,D176,E176,F176)</f>
        <v>BC Caiaponia1SG60KTL(COM1-001)_001_00746058,058333333346058,058333333346058,3659722222</v>
      </c>
      <c r="Q176" s="1" t="str">
        <f>_xlfn.CONCAT(H176,I176,J176)</f>
        <v>DAURDE</v>
      </c>
    </row>
    <row r="177" spans="2:17">
      <c r="B177" s="1" t="s">
        <v>456</v>
      </c>
      <c r="C177" s="1" t="s">
        <v>459</v>
      </c>
      <c r="D177" s="52">
        <v>46058.058333333334</v>
      </c>
      <c r="E177" s="52">
        <v>46058.058333333334</v>
      </c>
      <c r="F177" s="52">
        <v>46058.365972222222</v>
      </c>
      <c r="G177" s="53">
        <v>0.30763888888888891</v>
      </c>
      <c r="H177" s="1" t="s">
        <v>257</v>
      </c>
      <c r="J177" s="1" t="s">
        <v>258</v>
      </c>
      <c r="K177" s="1" t="s">
        <v>658</v>
      </c>
      <c r="L177" s="1" t="s">
        <v>691</v>
      </c>
      <c r="M177" s="1" t="s">
        <v>260</v>
      </c>
      <c r="N177" s="1" t="s">
        <v>357</v>
      </c>
      <c r="O177" s="1" t="s">
        <v>632</v>
      </c>
      <c r="P177" s="1" t="str">
        <f>_xlfn.CONCAT(B177,C177,D177,E177,F177)</f>
        <v>BC Caiaponia1SG60KTL(COM1-002)_001_01046058,058333333346058,058333333346058,3659722222</v>
      </c>
      <c r="Q177" s="1" t="str">
        <f>_xlfn.CONCAT(H177,I177,J177)</f>
        <v>DAURDE</v>
      </c>
    </row>
    <row r="178" spans="2:17">
      <c r="B178" s="1" t="s">
        <v>456</v>
      </c>
      <c r="C178" s="1" t="s">
        <v>460</v>
      </c>
      <c r="D178" s="52">
        <v>46058.058333333334</v>
      </c>
      <c r="E178" s="52">
        <v>46058.058333333334</v>
      </c>
      <c r="F178" s="52">
        <v>46058.365972222222</v>
      </c>
      <c r="G178" s="53">
        <v>0.30763888888888891</v>
      </c>
      <c r="H178" s="1" t="s">
        <v>257</v>
      </c>
      <c r="J178" s="1" t="s">
        <v>258</v>
      </c>
      <c r="K178" s="1" t="s">
        <v>658</v>
      </c>
      <c r="L178" s="1" t="s">
        <v>691</v>
      </c>
      <c r="M178" s="1" t="s">
        <v>260</v>
      </c>
      <c r="N178" s="1" t="s">
        <v>357</v>
      </c>
      <c r="O178" s="1" t="s">
        <v>632</v>
      </c>
      <c r="P178" s="1" t="str">
        <f>_xlfn.CONCAT(B178,C178,D178,E178,F178)</f>
        <v>BC Caiaponia1SG60KTL(COM1-003)_001_01146058,058333333346058,058333333346058,3659722222</v>
      </c>
      <c r="Q178" s="1" t="str">
        <f>_xlfn.CONCAT(H178,I178,J178)</f>
        <v>DAURDE</v>
      </c>
    </row>
    <row r="179" spans="2:17">
      <c r="B179" s="1" t="s">
        <v>456</v>
      </c>
      <c r="C179" s="1" t="s">
        <v>461</v>
      </c>
      <c r="D179" s="52">
        <v>46058.058333333334</v>
      </c>
      <c r="E179" s="52">
        <v>46058.058333333334</v>
      </c>
      <c r="F179" s="52">
        <v>46058.365972222222</v>
      </c>
      <c r="G179" s="53">
        <v>0.30763888888888891</v>
      </c>
      <c r="H179" s="1" t="s">
        <v>257</v>
      </c>
      <c r="J179" s="1" t="s">
        <v>258</v>
      </c>
      <c r="K179" s="1" t="s">
        <v>658</v>
      </c>
      <c r="L179" s="1" t="s">
        <v>691</v>
      </c>
      <c r="M179" s="1" t="s">
        <v>260</v>
      </c>
      <c r="N179" s="1" t="s">
        <v>357</v>
      </c>
      <c r="O179" s="1" t="s">
        <v>632</v>
      </c>
      <c r="P179" s="1" t="str">
        <f>_xlfn.CONCAT(B179,C179,D179,E179,F179)</f>
        <v>BC Caiaponia1SG60KTL(COM1-004)_001_01446058,058333333346058,058333333346058,3659722222</v>
      </c>
      <c r="Q179" s="1" t="str">
        <f>_xlfn.CONCAT(H179,I179,J179)</f>
        <v>DAURDE</v>
      </c>
    </row>
    <row r="180" spans="2:17">
      <c r="B180" s="1" t="s">
        <v>456</v>
      </c>
      <c r="C180" s="1" t="s">
        <v>462</v>
      </c>
      <c r="D180" s="52">
        <v>46058.058333333334</v>
      </c>
      <c r="E180" s="52">
        <v>46058.058333333334</v>
      </c>
      <c r="F180" s="52">
        <v>46058.365972222222</v>
      </c>
      <c r="G180" s="53">
        <v>0.30763888888888891</v>
      </c>
      <c r="H180" s="1" t="s">
        <v>257</v>
      </c>
      <c r="J180" s="1" t="s">
        <v>258</v>
      </c>
      <c r="K180" s="1" t="s">
        <v>658</v>
      </c>
      <c r="L180" s="1" t="s">
        <v>691</v>
      </c>
      <c r="M180" s="1" t="s">
        <v>260</v>
      </c>
      <c r="N180" s="1" t="s">
        <v>357</v>
      </c>
      <c r="O180" s="1" t="s">
        <v>632</v>
      </c>
      <c r="P180" s="1" t="str">
        <f>_xlfn.CONCAT(B180,C180,D180,E180,F180)</f>
        <v>BC Caiaponia1SG60KTL(COM1-005)_001_01746058,058333333346058,058333333346058,3659722222</v>
      </c>
      <c r="Q180" s="1" t="str">
        <f>_xlfn.CONCAT(H180,I180,J180)</f>
        <v>DAURDE</v>
      </c>
    </row>
    <row r="181" spans="2:17">
      <c r="B181" s="1" t="s">
        <v>456</v>
      </c>
      <c r="C181" s="1" t="s">
        <v>463</v>
      </c>
      <c r="D181" s="52">
        <v>46058.058333333334</v>
      </c>
      <c r="E181" s="52">
        <v>46058.058333333334</v>
      </c>
      <c r="F181" s="52">
        <v>46058.365972222222</v>
      </c>
      <c r="G181" s="53">
        <v>0.30763888888888891</v>
      </c>
      <c r="H181" s="1" t="s">
        <v>257</v>
      </c>
      <c r="J181" s="1" t="s">
        <v>258</v>
      </c>
      <c r="K181" s="1" t="s">
        <v>658</v>
      </c>
      <c r="L181" s="1" t="s">
        <v>691</v>
      </c>
      <c r="M181" s="1" t="s">
        <v>260</v>
      </c>
      <c r="N181" s="1" t="s">
        <v>357</v>
      </c>
      <c r="O181" s="1" t="s">
        <v>632</v>
      </c>
      <c r="P181" s="1" t="str">
        <f>_xlfn.CONCAT(B181,C181,D181,E181,F181)</f>
        <v>BC Caiaponia1SG60KTL(COM1-006)_001_01646058,058333333346058,058333333346058,3659722222</v>
      </c>
      <c r="Q181" s="1" t="str">
        <f>_xlfn.CONCAT(H181,I181,J181)</f>
        <v>DAURDE</v>
      </c>
    </row>
    <row r="182" spans="2:17">
      <c r="B182" s="1" t="s">
        <v>456</v>
      </c>
      <c r="C182" s="1" t="s">
        <v>464</v>
      </c>
      <c r="D182" s="52">
        <v>46058.058333333334</v>
      </c>
      <c r="E182" s="52">
        <v>46058.058333333334</v>
      </c>
      <c r="F182" s="52">
        <v>46058.365972222222</v>
      </c>
      <c r="G182" s="53">
        <v>0.30763888888888891</v>
      </c>
      <c r="H182" s="1" t="s">
        <v>257</v>
      </c>
      <c r="J182" s="1" t="s">
        <v>258</v>
      </c>
      <c r="K182" s="1" t="s">
        <v>658</v>
      </c>
      <c r="L182" s="1" t="s">
        <v>691</v>
      </c>
      <c r="M182" s="1" t="s">
        <v>260</v>
      </c>
      <c r="N182" s="1" t="s">
        <v>357</v>
      </c>
      <c r="O182" s="1" t="s">
        <v>632</v>
      </c>
      <c r="P182" s="1" t="str">
        <f>_xlfn.CONCAT(B182,C182,D182,E182,F182)</f>
        <v>BC Caiaponia1SG60KTL(COM1-007)_001_01346058,058333333346058,058333333346058,3659722222</v>
      </c>
      <c r="Q182" s="1" t="str">
        <f>_xlfn.CONCAT(H182,I182,J182)</f>
        <v>DAURDE</v>
      </c>
    </row>
    <row r="183" spans="2:17">
      <c r="B183" s="1" t="s">
        <v>456</v>
      </c>
      <c r="C183" s="1" t="s">
        <v>465</v>
      </c>
      <c r="D183" s="52">
        <v>46058.058333333334</v>
      </c>
      <c r="E183" s="52">
        <v>46058.058333333334</v>
      </c>
      <c r="F183" s="52">
        <v>46058.365972222222</v>
      </c>
      <c r="G183" s="53">
        <v>0.30763888888888891</v>
      </c>
      <c r="H183" s="1" t="s">
        <v>257</v>
      </c>
      <c r="J183" s="1" t="s">
        <v>258</v>
      </c>
      <c r="K183" s="1" t="s">
        <v>658</v>
      </c>
      <c r="L183" s="1" t="s">
        <v>691</v>
      </c>
      <c r="M183" s="1" t="s">
        <v>260</v>
      </c>
      <c r="N183" s="1" t="s">
        <v>357</v>
      </c>
      <c r="O183" s="1" t="s">
        <v>632</v>
      </c>
      <c r="P183" s="1" t="str">
        <f>_xlfn.CONCAT(B183,C183,D183,E183,F183)</f>
        <v>BC Caiaponia1SG60KTL(COM1-008)_001_00146058,058333333346058,058333333346058,3659722222</v>
      </c>
      <c r="Q183" s="1" t="str">
        <f>_xlfn.CONCAT(H183,I183,J183)</f>
        <v>DAURDE</v>
      </c>
    </row>
    <row r="184" spans="2:17">
      <c r="B184" s="1" t="s">
        <v>456</v>
      </c>
      <c r="C184" s="1" t="s">
        <v>466</v>
      </c>
      <c r="D184" s="52">
        <v>46058.058333333334</v>
      </c>
      <c r="E184" s="52">
        <v>46058.058333333334</v>
      </c>
      <c r="F184" s="52">
        <v>46058.365972222222</v>
      </c>
      <c r="G184" s="53">
        <v>0.30763888888888891</v>
      </c>
      <c r="H184" s="1" t="s">
        <v>257</v>
      </c>
      <c r="J184" s="1" t="s">
        <v>258</v>
      </c>
      <c r="K184" s="1" t="s">
        <v>658</v>
      </c>
      <c r="L184" s="1" t="s">
        <v>691</v>
      </c>
      <c r="M184" s="1" t="s">
        <v>260</v>
      </c>
      <c r="N184" s="1" t="s">
        <v>357</v>
      </c>
      <c r="O184" s="1" t="s">
        <v>632</v>
      </c>
      <c r="P184" s="1" t="str">
        <f>_xlfn.CONCAT(B184,C184,D184,E184,F184)</f>
        <v>BC Caiaponia1SG60KTL(COM1-009)46058,058333333346058,058333333346058,3659722222</v>
      </c>
      <c r="Q184" s="1" t="str">
        <f>_xlfn.CONCAT(H184,I184,J184)</f>
        <v>DAURDE</v>
      </c>
    </row>
    <row r="185" spans="2:17">
      <c r="B185" s="1" t="s">
        <v>456</v>
      </c>
      <c r="C185" s="1" t="s">
        <v>467</v>
      </c>
      <c r="D185" s="52">
        <v>46058.058333333334</v>
      </c>
      <c r="E185" s="52">
        <v>46058.058333333334</v>
      </c>
      <c r="F185" s="52">
        <v>46058.365972222222</v>
      </c>
      <c r="G185" s="53">
        <v>0.30763888888888891</v>
      </c>
      <c r="H185" s="1" t="s">
        <v>257</v>
      </c>
      <c r="J185" s="1" t="s">
        <v>258</v>
      </c>
      <c r="K185" s="1" t="s">
        <v>658</v>
      </c>
      <c r="L185" s="1" t="s">
        <v>691</v>
      </c>
      <c r="M185" s="1" t="s">
        <v>260</v>
      </c>
      <c r="N185" s="1" t="s">
        <v>357</v>
      </c>
      <c r="O185" s="1" t="s">
        <v>632</v>
      </c>
      <c r="P185" s="1" t="str">
        <f>_xlfn.CONCAT(B185,C185,D185,E185,F185)</f>
        <v>BC Caiaponia1SG60KTL(COM1-010)46058,058333333346058,058333333346058,3659722222</v>
      </c>
      <c r="Q185" s="1" t="str">
        <f>_xlfn.CONCAT(H185,I185,J185)</f>
        <v>DAURDE</v>
      </c>
    </row>
    <row r="186" spans="2:17">
      <c r="B186" s="1" t="s">
        <v>456</v>
      </c>
      <c r="C186" s="1" t="s">
        <v>468</v>
      </c>
      <c r="D186" s="52">
        <v>46058.058333333334</v>
      </c>
      <c r="E186" s="52">
        <v>46058.058333333334</v>
      </c>
      <c r="F186" s="52">
        <v>46058.365972222222</v>
      </c>
      <c r="G186" s="53">
        <v>0.30763888888888891</v>
      </c>
      <c r="H186" s="1" t="s">
        <v>257</v>
      </c>
      <c r="J186" s="1" t="s">
        <v>258</v>
      </c>
      <c r="K186" s="1" t="s">
        <v>658</v>
      </c>
      <c r="L186" s="1" t="s">
        <v>691</v>
      </c>
      <c r="M186" s="1" t="s">
        <v>260</v>
      </c>
      <c r="N186" s="1" t="s">
        <v>357</v>
      </c>
      <c r="O186" s="1" t="s">
        <v>632</v>
      </c>
      <c r="P186" s="1" t="str">
        <f>_xlfn.CONCAT(B186,C186,D186,E186,F186)</f>
        <v>BC Caiaponia1SG60KTL(COM1-011)46058,058333333346058,058333333346058,3659722222</v>
      </c>
      <c r="Q186" s="1" t="str">
        <f>_xlfn.CONCAT(H186,I186,J186)</f>
        <v>DAURDE</v>
      </c>
    </row>
    <row r="187" spans="2:17">
      <c r="B187" s="1" t="s">
        <v>456</v>
      </c>
      <c r="C187" s="1" t="s">
        <v>469</v>
      </c>
      <c r="D187" s="52">
        <v>46058.058333333334</v>
      </c>
      <c r="E187" s="52">
        <v>46058.058333333334</v>
      </c>
      <c r="F187" s="52">
        <v>46058.365972222222</v>
      </c>
      <c r="G187" s="53">
        <v>0.30763888888888891</v>
      </c>
      <c r="H187" s="1" t="s">
        <v>257</v>
      </c>
      <c r="J187" s="1" t="s">
        <v>258</v>
      </c>
      <c r="K187" s="1" t="s">
        <v>658</v>
      </c>
      <c r="L187" s="1" t="s">
        <v>691</v>
      </c>
      <c r="M187" s="1" t="s">
        <v>260</v>
      </c>
      <c r="N187" s="1" t="s">
        <v>357</v>
      </c>
      <c r="O187" s="1" t="s">
        <v>632</v>
      </c>
      <c r="P187" s="1" t="str">
        <f>_xlfn.CONCAT(B187,C187,D187,E187,F187)</f>
        <v>BC Caiaponia1SG60KTL(COM1-012)46058,058333333346058,058333333346058,3659722222</v>
      </c>
      <c r="Q187" s="1" t="str">
        <f>_xlfn.CONCAT(H187,I187,J187)</f>
        <v>DAURDE</v>
      </c>
    </row>
    <row r="188" spans="2:17">
      <c r="B188" s="1" t="s">
        <v>456</v>
      </c>
      <c r="C188" s="1" t="s">
        <v>470</v>
      </c>
      <c r="D188" s="52">
        <v>46058.058333333334</v>
      </c>
      <c r="E188" s="52">
        <v>46058.058333333334</v>
      </c>
      <c r="F188" s="52">
        <v>46058.365972222222</v>
      </c>
      <c r="G188" s="53">
        <v>0.30763888888888891</v>
      </c>
      <c r="H188" s="1" t="s">
        <v>257</v>
      </c>
      <c r="J188" s="1" t="s">
        <v>258</v>
      </c>
      <c r="K188" s="1" t="s">
        <v>658</v>
      </c>
      <c r="L188" s="1" t="s">
        <v>691</v>
      </c>
      <c r="M188" s="1" t="s">
        <v>663</v>
      </c>
      <c r="N188" s="1" t="s">
        <v>253</v>
      </c>
      <c r="O188" s="1" t="s">
        <v>692</v>
      </c>
      <c r="P188" s="1" t="str">
        <f>_xlfn.CONCAT(B188,C188,D189,E188,F188)</f>
        <v>BC Caiaponia1SG60KTL(COM1-013)46058,058333333346058,058333333346058,3659722222</v>
      </c>
      <c r="Q188" s="1" t="str">
        <f>_xlfn.CONCAT(H188,I188,J188)</f>
        <v>DAURDE</v>
      </c>
    </row>
    <row r="189" spans="2:17">
      <c r="B189" s="1" t="s">
        <v>456</v>
      </c>
      <c r="C189" s="1" t="s">
        <v>471</v>
      </c>
      <c r="D189" s="52">
        <v>46058.058333333334</v>
      </c>
      <c r="E189" s="52">
        <v>46058.058333333334</v>
      </c>
      <c r="F189" s="52">
        <v>46058.365972222222</v>
      </c>
      <c r="G189" s="53">
        <v>0.30763888888888891</v>
      </c>
      <c r="H189" s="1" t="s">
        <v>257</v>
      </c>
      <c r="J189" s="1" t="s">
        <v>258</v>
      </c>
      <c r="K189" s="1" t="s">
        <v>658</v>
      </c>
      <c r="L189" s="1" t="s">
        <v>691</v>
      </c>
      <c r="M189" s="1" t="s">
        <v>663</v>
      </c>
      <c r="N189" s="1" t="s">
        <v>253</v>
      </c>
      <c r="O189" s="1" t="s">
        <v>692</v>
      </c>
      <c r="P189" s="1" t="str">
        <f>_xlfn.CONCAT(B189,C189,D190,E189,F189)</f>
        <v>BC Caiaponia1SG60KTL(COM1-014)46058,058333333346058,058333333346058,3659722222</v>
      </c>
      <c r="Q189" s="1" t="str">
        <f>_xlfn.CONCAT(H189,I189,J189)</f>
        <v>DAURDE</v>
      </c>
    </row>
    <row r="190" spans="2:17">
      <c r="B190" s="1" t="s">
        <v>456</v>
      </c>
      <c r="C190" s="1" t="s">
        <v>472</v>
      </c>
      <c r="D190" s="52">
        <v>46058.058333333334</v>
      </c>
      <c r="E190" s="52">
        <v>46058.058333333334</v>
      </c>
      <c r="F190" s="52">
        <v>46058.365972222222</v>
      </c>
      <c r="G190" s="53">
        <v>0.30763888888888891</v>
      </c>
      <c r="H190" s="1" t="s">
        <v>257</v>
      </c>
      <c r="J190" s="1" t="s">
        <v>258</v>
      </c>
      <c r="K190" s="1" t="s">
        <v>658</v>
      </c>
      <c r="L190" s="1" t="s">
        <v>691</v>
      </c>
      <c r="M190" s="1" t="s">
        <v>663</v>
      </c>
      <c r="N190" s="1" t="s">
        <v>253</v>
      </c>
      <c r="O190" s="1" t="s">
        <v>692</v>
      </c>
      <c r="P190" s="1" t="str">
        <f>_xlfn.CONCAT(B190,C190,D191,E190,F190)</f>
        <v>BC Caiaponia1SG60KTL(COM1-015)46058,058333333346058,058333333346058,3659722222</v>
      </c>
      <c r="Q190" s="1" t="str">
        <f>_xlfn.CONCAT(H190,I190,J190)</f>
        <v>DAURDE</v>
      </c>
    </row>
    <row r="191" spans="2:17">
      <c r="B191" s="1" t="s">
        <v>456</v>
      </c>
      <c r="C191" s="1" t="s">
        <v>473</v>
      </c>
      <c r="D191" s="52">
        <v>46058.058333333334</v>
      </c>
      <c r="E191" s="52">
        <v>46058.058333333334</v>
      </c>
      <c r="F191" s="52">
        <v>46058.365972222222</v>
      </c>
      <c r="G191" s="53">
        <v>0.30763888888888891</v>
      </c>
      <c r="H191" s="1" t="s">
        <v>257</v>
      </c>
      <c r="J191" s="1" t="s">
        <v>258</v>
      </c>
      <c r="K191" s="1" t="s">
        <v>658</v>
      </c>
      <c r="L191" s="1" t="s">
        <v>691</v>
      </c>
      <c r="M191" s="1" t="s">
        <v>663</v>
      </c>
      <c r="N191" s="1" t="s">
        <v>253</v>
      </c>
      <c r="O191" s="1" t="s">
        <v>692</v>
      </c>
      <c r="P191" s="1" t="str">
        <f>_xlfn.CONCAT(B191,C191,D192,E191,F191)</f>
        <v>BC Caiaponia1SG60KTL(COM3-016)_001_00946058,058333333346058,058333333346058,3659722222</v>
      </c>
      <c r="Q191" s="1" t="str">
        <f>_xlfn.CONCAT(H191,I191,J191)</f>
        <v>DAURDE</v>
      </c>
    </row>
    <row r="192" spans="2:17">
      <c r="B192" s="1" t="s">
        <v>456</v>
      </c>
      <c r="C192" s="1" t="s">
        <v>474</v>
      </c>
      <c r="D192" s="52">
        <v>46058.058333333334</v>
      </c>
      <c r="E192" s="52">
        <v>46058.058333333334</v>
      </c>
      <c r="F192" s="52">
        <v>46058.365972222222</v>
      </c>
      <c r="G192" s="53">
        <v>0.30763888888888891</v>
      </c>
      <c r="H192" s="1" t="s">
        <v>257</v>
      </c>
      <c r="J192" s="1" t="s">
        <v>258</v>
      </c>
      <c r="K192" s="1" t="s">
        <v>658</v>
      </c>
      <c r="L192" s="1" t="s">
        <v>691</v>
      </c>
      <c r="M192" s="1" t="s">
        <v>663</v>
      </c>
      <c r="N192" s="1" t="s">
        <v>253</v>
      </c>
      <c r="O192" s="1" t="s">
        <v>692</v>
      </c>
      <c r="P192" s="1" t="str">
        <f>_xlfn.CONCAT(B192,C192,D193,E192,F192)</f>
        <v>BC Caiaponia1SG60KTL(COM3-017)_001_01246058,058333333346058,058333333346058,3659722222</v>
      </c>
      <c r="Q192" s="1" t="str">
        <f>_xlfn.CONCAT(H192,I192,J192)</f>
        <v>DAURDE</v>
      </c>
    </row>
    <row r="193" spans="2:17">
      <c r="B193" s="1" t="s">
        <v>456</v>
      </c>
      <c r="C193" s="1" t="s">
        <v>475</v>
      </c>
      <c r="D193" s="52">
        <v>46058.058333333334</v>
      </c>
      <c r="E193" s="52">
        <v>46058.058333333334</v>
      </c>
      <c r="F193" s="52">
        <v>46058.365972222222</v>
      </c>
      <c r="G193" s="53">
        <v>0.30763888888888891</v>
      </c>
      <c r="H193" s="1" t="s">
        <v>257</v>
      </c>
      <c r="J193" s="1" t="s">
        <v>258</v>
      </c>
      <c r="K193" s="1" t="s">
        <v>658</v>
      </c>
      <c r="L193" s="1" t="s">
        <v>691</v>
      </c>
      <c r="M193" s="1" t="s">
        <v>663</v>
      </c>
      <c r="N193" s="1" t="s">
        <v>253</v>
      </c>
      <c r="O193" s="1" t="s">
        <v>692</v>
      </c>
      <c r="P193" s="1" t="str">
        <f>_xlfn.CONCAT(B193,C193,D194,E193,F193)</f>
        <v>BC Caiaponia1SG60KTL(COM3-018)_001_00846058,058333333346058,058333333346058,3659722222</v>
      </c>
      <c r="Q193" s="1" t="str">
        <f>_xlfn.CONCAT(H193,I193,J193)</f>
        <v>DAURDE</v>
      </c>
    </row>
    <row r="194" spans="2:17">
      <c r="B194" s="1" t="s">
        <v>456</v>
      </c>
      <c r="C194" s="1" t="s">
        <v>476</v>
      </c>
      <c r="D194" s="52">
        <v>46058.058333333334</v>
      </c>
      <c r="E194" s="52">
        <v>46058.058333333334</v>
      </c>
      <c r="F194" s="52">
        <v>46058.365972222222</v>
      </c>
      <c r="G194" s="53">
        <v>0.30763888888888891</v>
      </c>
      <c r="H194" s="1" t="s">
        <v>257</v>
      </c>
      <c r="J194" s="1" t="s">
        <v>258</v>
      </c>
      <c r="K194" s="1" t="s">
        <v>658</v>
      </c>
      <c r="L194" s="1" t="s">
        <v>691</v>
      </c>
      <c r="M194" s="1" t="s">
        <v>663</v>
      </c>
      <c r="N194" s="1" t="s">
        <v>253</v>
      </c>
      <c r="O194" s="1" t="s">
        <v>692</v>
      </c>
      <c r="P194" s="1" t="str">
        <f>_xlfn.CONCAT(B194,C194,D195,E194,F194)</f>
        <v>BC Caiaponia1SG60KTL(COM3-019)_001_01946058,058333333346058,058333333346058,3659722222</v>
      </c>
      <c r="Q194" s="1" t="str">
        <f>_xlfn.CONCAT(H194,I194,J194)</f>
        <v>DAURDE</v>
      </c>
    </row>
    <row r="195" spans="2:17">
      <c r="B195" s="1" t="s">
        <v>456</v>
      </c>
      <c r="C195" s="1" t="s">
        <v>477</v>
      </c>
      <c r="D195" s="52">
        <v>46058.058333333334</v>
      </c>
      <c r="E195" s="52">
        <v>46058.058333333334</v>
      </c>
      <c r="F195" s="52">
        <v>46058.365972222222</v>
      </c>
      <c r="G195" s="53">
        <v>0.30763888888888891</v>
      </c>
      <c r="H195" s="1" t="s">
        <v>257</v>
      </c>
      <c r="J195" s="1" t="s">
        <v>258</v>
      </c>
      <c r="K195" s="1" t="s">
        <v>658</v>
      </c>
      <c r="L195" s="1" t="s">
        <v>691</v>
      </c>
      <c r="M195" s="1" t="s">
        <v>663</v>
      </c>
      <c r="N195" s="1" t="s">
        <v>253</v>
      </c>
      <c r="O195" s="1" t="s">
        <v>692</v>
      </c>
      <c r="P195" s="1" t="str">
        <f>_xlfn.CONCAT(B195,C195,D196,E195,F195)</f>
        <v>BC Caiaponia1SG60KTL(COM3-020)_001_02046058,058333333346058,058333333346058,3659722222</v>
      </c>
      <c r="Q195" s="1" t="str">
        <f>_xlfn.CONCAT(H195,I195,J195)</f>
        <v>DAURDE</v>
      </c>
    </row>
    <row r="196" spans="2:17">
      <c r="B196" s="1" t="s">
        <v>456</v>
      </c>
      <c r="C196" s="1" t="s">
        <v>478</v>
      </c>
      <c r="D196" s="52">
        <v>46058.058333333334</v>
      </c>
      <c r="E196" s="52">
        <v>46058.058333333334</v>
      </c>
      <c r="F196" s="52">
        <v>46058.365972222222</v>
      </c>
      <c r="G196" s="53">
        <v>0.30763888888888891</v>
      </c>
      <c r="H196" s="1" t="s">
        <v>257</v>
      </c>
      <c r="J196" s="1" t="s">
        <v>258</v>
      </c>
      <c r="K196" s="1" t="s">
        <v>658</v>
      </c>
      <c r="L196" s="1" t="s">
        <v>691</v>
      </c>
      <c r="M196" s="1" t="s">
        <v>663</v>
      </c>
      <c r="N196" s="1" t="s">
        <v>253</v>
      </c>
      <c r="O196" s="1" t="s">
        <v>692</v>
      </c>
      <c r="P196" s="1" t="str">
        <f>_xlfn.CONCAT(B196,C196,D197,E196,F196)</f>
        <v>BC Caiaponia1SG60KTL(COM2-026)46058,058333333346058,058333333346058,3659722222</v>
      </c>
      <c r="Q196" s="1" t="str">
        <f>_xlfn.CONCAT(H196,I196,J196)</f>
        <v>DAURDE</v>
      </c>
    </row>
    <row r="197" spans="2:17">
      <c r="B197" s="1" t="s">
        <v>456</v>
      </c>
      <c r="C197" s="1" t="s">
        <v>479</v>
      </c>
      <c r="D197" s="52">
        <v>46058.058333333334</v>
      </c>
      <c r="E197" s="52">
        <v>46058.058333333334</v>
      </c>
      <c r="F197" s="52">
        <v>46058.365972222222</v>
      </c>
      <c r="G197" s="53">
        <v>0.30763888888888891</v>
      </c>
      <c r="H197" s="1" t="s">
        <v>257</v>
      </c>
      <c r="J197" s="1" t="s">
        <v>258</v>
      </c>
      <c r="K197" s="1" t="s">
        <v>658</v>
      </c>
      <c r="L197" s="1" t="s">
        <v>691</v>
      </c>
      <c r="M197" s="1" t="s">
        <v>663</v>
      </c>
      <c r="N197" s="1" t="s">
        <v>253</v>
      </c>
      <c r="O197" s="1" t="s">
        <v>692</v>
      </c>
      <c r="P197" s="1" t="str">
        <f>_xlfn.CONCAT(B197,C197,D198,E197,F197)</f>
        <v>BC Caiaponia1SG60KTL(COM2-027)46058,058333333346058,058333333346058,3659722222</v>
      </c>
      <c r="Q197" s="1" t="str">
        <f>_xlfn.CONCAT(H197,I197,J197)</f>
        <v>DAURDE</v>
      </c>
    </row>
    <row r="198" spans="2:17">
      <c r="B198" s="1" t="s">
        <v>456</v>
      </c>
      <c r="C198" s="1" t="s">
        <v>480</v>
      </c>
      <c r="D198" s="52">
        <v>46058.058333333334</v>
      </c>
      <c r="E198" s="52">
        <v>46058.058333333334</v>
      </c>
      <c r="F198" s="52">
        <v>46058.365972222222</v>
      </c>
      <c r="G198" s="53">
        <v>0.30763888888888891</v>
      </c>
      <c r="H198" s="1" t="s">
        <v>257</v>
      </c>
      <c r="J198" s="1" t="s">
        <v>258</v>
      </c>
      <c r="K198" s="1" t="s">
        <v>658</v>
      </c>
      <c r="L198" s="1" t="s">
        <v>691</v>
      </c>
      <c r="M198" s="1" t="s">
        <v>663</v>
      </c>
      <c r="N198" s="1" t="s">
        <v>253</v>
      </c>
      <c r="O198" s="1" t="s">
        <v>692</v>
      </c>
      <c r="P198" s="1" t="str">
        <f>_xlfn.CONCAT(B198,C198,D199,E198,F198)</f>
        <v>BC Caiaponia1SG60KTL(COM2-028)46058,058333333346058,058333333346058,3659722222</v>
      </c>
      <c r="Q198" s="1" t="str">
        <f>_xlfn.CONCAT(H198,I198,J198)</f>
        <v>DAURDE</v>
      </c>
    </row>
    <row r="199" spans="2:17">
      <c r="B199" s="1" t="s">
        <v>456</v>
      </c>
      <c r="C199" s="1" t="s">
        <v>481</v>
      </c>
      <c r="D199" s="52">
        <v>46058.058333333334</v>
      </c>
      <c r="E199" s="52">
        <v>46058.058333333334</v>
      </c>
      <c r="F199" s="52">
        <v>46058.365972222222</v>
      </c>
      <c r="G199" s="53">
        <v>0.30763888888888891</v>
      </c>
      <c r="H199" s="1" t="s">
        <v>257</v>
      </c>
      <c r="J199" s="1" t="s">
        <v>258</v>
      </c>
      <c r="K199" s="1" t="s">
        <v>658</v>
      </c>
      <c r="L199" s="1" t="s">
        <v>691</v>
      </c>
      <c r="M199" s="1" t="s">
        <v>663</v>
      </c>
      <c r="N199" s="1" t="s">
        <v>253</v>
      </c>
      <c r="O199" s="1" t="s">
        <v>692</v>
      </c>
      <c r="P199" s="1" t="str">
        <f>_xlfn.CONCAT(B199,C199,D200,E199,F199)</f>
        <v>BC Caiaponia1SG60KTL(COM2-029)46058,058333333346058,058333333346058,3659722222</v>
      </c>
      <c r="Q199" s="1" t="str">
        <f>_xlfn.CONCAT(H199,I199,J199)</f>
        <v>DAURDE</v>
      </c>
    </row>
    <row r="200" spans="2:17">
      <c r="B200" s="1" t="s">
        <v>456</v>
      </c>
      <c r="C200" s="1" t="s">
        <v>482</v>
      </c>
      <c r="D200" s="52">
        <v>46058.058333333334</v>
      </c>
      <c r="E200" s="52">
        <v>46058.058333333334</v>
      </c>
      <c r="F200" s="52">
        <v>46058.365972222222</v>
      </c>
      <c r="G200" s="53">
        <v>0.30763888888888891</v>
      </c>
      <c r="H200" s="1" t="s">
        <v>257</v>
      </c>
      <c r="J200" s="1" t="s">
        <v>258</v>
      </c>
      <c r="K200" s="1" t="s">
        <v>658</v>
      </c>
      <c r="L200" s="1" t="s">
        <v>691</v>
      </c>
      <c r="M200" s="1" t="s">
        <v>663</v>
      </c>
      <c r="N200" s="1" t="s">
        <v>253</v>
      </c>
      <c r="O200" s="1" t="s">
        <v>692</v>
      </c>
      <c r="P200" s="1" t="str">
        <f>_xlfn.CONCAT(B200,C200,D201,E200,F200)</f>
        <v>BC Caiaponia1SG50CX(COM1-021)46058,058333333346058,058333333346058,3659722222</v>
      </c>
      <c r="Q200" s="1" t="str">
        <f>_xlfn.CONCAT(H200,I200,J200)</f>
        <v>DAURDE</v>
      </c>
    </row>
    <row r="201" spans="2:17">
      <c r="B201" s="1" t="s">
        <v>456</v>
      </c>
      <c r="C201" s="1" t="s">
        <v>483</v>
      </c>
      <c r="D201" s="52">
        <v>46058.058333333334</v>
      </c>
      <c r="E201" s="52">
        <v>46058.058333333334</v>
      </c>
      <c r="F201" s="52">
        <v>46058.365972222222</v>
      </c>
      <c r="G201" s="53">
        <v>0.30763888888888891</v>
      </c>
      <c r="H201" s="1" t="s">
        <v>257</v>
      </c>
      <c r="J201" s="1" t="s">
        <v>258</v>
      </c>
      <c r="K201" s="1" t="s">
        <v>658</v>
      </c>
      <c r="L201" s="1" t="s">
        <v>691</v>
      </c>
      <c r="M201" s="1" t="s">
        <v>260</v>
      </c>
      <c r="N201" s="1" t="s">
        <v>357</v>
      </c>
      <c r="O201" s="1" t="s">
        <v>632</v>
      </c>
      <c r="P201" s="1" t="str">
        <f>_xlfn.CONCAT(B201,C201,D201,E201,F201)</f>
        <v>BC Caiaponia1SG50CX(COM1-022)46058,058333333346058,058333333346058,3659722222</v>
      </c>
      <c r="Q201" s="1" t="str">
        <f>_xlfn.CONCAT(H201,I201,J201)</f>
        <v>DAURDE</v>
      </c>
    </row>
    <row r="202" spans="2:17">
      <c r="B202" s="1" t="s">
        <v>456</v>
      </c>
      <c r="C202" s="1" t="s">
        <v>484</v>
      </c>
      <c r="D202" s="52">
        <v>46058.058333333334</v>
      </c>
      <c r="E202" s="52">
        <v>46058.058333333334</v>
      </c>
      <c r="F202" s="52">
        <v>46058.365972222222</v>
      </c>
      <c r="G202" s="53">
        <v>0.30763888888888891</v>
      </c>
      <c r="H202" s="1" t="s">
        <v>257</v>
      </c>
      <c r="J202" s="1" t="s">
        <v>258</v>
      </c>
      <c r="K202" s="1" t="s">
        <v>658</v>
      </c>
      <c r="L202" s="1" t="s">
        <v>691</v>
      </c>
      <c r="M202" s="1" t="s">
        <v>260</v>
      </c>
      <c r="N202" s="1" t="s">
        <v>357</v>
      </c>
      <c r="O202" s="1" t="s">
        <v>632</v>
      </c>
      <c r="P202" s="1" t="str">
        <f>_xlfn.CONCAT(B202,C202,D202,E202,F202)</f>
        <v>BC Caiaponia1SG50CX(COM1-023)46058,058333333346058,058333333346058,3659722222</v>
      </c>
      <c r="Q202" s="1" t="str">
        <f>_xlfn.CONCAT(H202,I202,J202)</f>
        <v>DAURDE</v>
      </c>
    </row>
    <row r="203" spans="2:17">
      <c r="B203" s="1" t="s">
        <v>456</v>
      </c>
      <c r="C203" s="1" t="s">
        <v>485</v>
      </c>
      <c r="D203" s="52">
        <v>46058.058333333334</v>
      </c>
      <c r="E203" s="52">
        <v>46058.058333333334</v>
      </c>
      <c r="F203" s="52">
        <v>46058.365972222222</v>
      </c>
      <c r="G203" s="53">
        <v>0.30763888888888891</v>
      </c>
      <c r="H203" s="1" t="s">
        <v>257</v>
      </c>
      <c r="J203" s="1" t="s">
        <v>258</v>
      </c>
      <c r="K203" s="1" t="s">
        <v>658</v>
      </c>
      <c r="L203" s="1" t="s">
        <v>691</v>
      </c>
      <c r="M203" s="1" t="s">
        <v>260</v>
      </c>
      <c r="N203" s="1" t="s">
        <v>357</v>
      </c>
      <c r="O203" s="1" t="s">
        <v>632</v>
      </c>
      <c r="P203" s="1" t="str">
        <f>_xlfn.CONCAT(B203,C203,D203,E203,F203)</f>
        <v>BC Caiaponia1SG50CX(COM1-024)46058,058333333346058,058333333346058,3659722222</v>
      </c>
      <c r="Q203" s="1" t="str">
        <f>_xlfn.CONCAT(H203,I203,J203)</f>
        <v>DAURDE</v>
      </c>
    </row>
    <row r="204" spans="2:17">
      <c r="B204" s="1" t="s">
        <v>456</v>
      </c>
      <c r="C204" s="1" t="s">
        <v>486</v>
      </c>
      <c r="D204" s="52">
        <v>46058.058333333334</v>
      </c>
      <c r="E204" s="52">
        <v>46058.058333333334</v>
      </c>
      <c r="F204" s="52">
        <v>46058.365972222222</v>
      </c>
      <c r="G204" s="53">
        <v>0.30763888888888891</v>
      </c>
      <c r="H204" s="1" t="s">
        <v>257</v>
      </c>
      <c r="J204" s="1" t="s">
        <v>258</v>
      </c>
      <c r="K204" s="1" t="s">
        <v>658</v>
      </c>
      <c r="L204" s="1" t="s">
        <v>691</v>
      </c>
      <c r="M204" s="1" t="s">
        <v>260</v>
      </c>
      <c r="N204" s="1" t="s">
        <v>357</v>
      </c>
      <c r="O204" s="1" t="s">
        <v>632</v>
      </c>
      <c r="P204" s="1" t="str">
        <f>_xlfn.CONCAT(B204,C204,D204,E204,F204)</f>
        <v>BC Caiaponia1SG50CX(COM1-025)46058,058333333346058,058333333346058,3659722222</v>
      </c>
      <c r="Q204" s="1" t="str">
        <f>_xlfn.CONCAT(H204,I204,J204)</f>
        <v>DAURDE</v>
      </c>
    </row>
    <row r="205" spans="2:17">
      <c r="B205" s="1" t="s">
        <v>487</v>
      </c>
      <c r="C205" s="1" t="s">
        <v>377</v>
      </c>
      <c r="D205" s="52">
        <v>46058.058333333334</v>
      </c>
      <c r="E205" s="52">
        <v>46058.058333333334</v>
      </c>
      <c r="F205" s="52">
        <v>46058.365972222222</v>
      </c>
      <c r="G205" s="53">
        <v>0.30763888888888891</v>
      </c>
      <c r="H205" s="1" t="s">
        <v>257</v>
      </c>
      <c r="J205" s="1" t="s">
        <v>258</v>
      </c>
      <c r="K205" s="1" t="s">
        <v>658</v>
      </c>
      <c r="L205" s="1" t="s">
        <v>691</v>
      </c>
      <c r="M205" s="1" t="s">
        <v>260</v>
      </c>
      <c r="N205" s="1" t="s">
        <v>357</v>
      </c>
      <c r="O205" s="1" t="s">
        <v>632</v>
      </c>
      <c r="P205" s="1" t="str">
        <f>_xlfn.CONCAT(B205,C205,D205,E205,F205)</f>
        <v>BC Caiaponia2.1215KTL-H3(MBUS-12)46058,058333333346058,058333333346058,3659722222</v>
      </c>
      <c r="Q205" s="1" t="str">
        <f>_xlfn.CONCAT(H205,I205,J205)</f>
        <v>DAURDE</v>
      </c>
    </row>
    <row r="206" spans="2:17">
      <c r="B206" s="1" t="s">
        <v>487</v>
      </c>
      <c r="C206" s="1" t="s">
        <v>378</v>
      </c>
      <c r="D206" s="52">
        <v>46058.058333333334</v>
      </c>
      <c r="E206" s="52">
        <v>46058.058333333334</v>
      </c>
      <c r="F206" s="52">
        <v>46058.365972222222</v>
      </c>
      <c r="G206" s="53">
        <v>0.30763888888888891</v>
      </c>
      <c r="H206" s="1" t="s">
        <v>257</v>
      </c>
      <c r="J206" s="1" t="s">
        <v>258</v>
      </c>
      <c r="K206" s="1" t="s">
        <v>658</v>
      </c>
      <c r="L206" s="1" t="s">
        <v>691</v>
      </c>
      <c r="M206" s="1" t="s">
        <v>260</v>
      </c>
      <c r="N206" s="1" t="s">
        <v>357</v>
      </c>
      <c r="O206" s="1" t="s">
        <v>632</v>
      </c>
      <c r="P206" s="1" t="str">
        <f>_xlfn.CONCAT(B206,C206,D206,E206,F206)</f>
        <v>BC Caiaponia2.1215KTL-H3(MBUS-13)46058,058333333346058,058333333346058,3659722222</v>
      </c>
      <c r="Q206" s="1" t="str">
        <f>_xlfn.CONCAT(H206,I206,J206)</f>
        <v>DAURDE</v>
      </c>
    </row>
    <row r="207" spans="2:17">
      <c r="B207" s="1" t="s">
        <v>487</v>
      </c>
      <c r="C207" s="1" t="s">
        <v>382</v>
      </c>
      <c r="D207" s="52">
        <v>46058.058333333334</v>
      </c>
      <c r="E207" s="52">
        <v>46058.058333333334</v>
      </c>
      <c r="F207" s="52">
        <v>46058.365972222222</v>
      </c>
      <c r="G207" s="53">
        <v>0.30763888888888891</v>
      </c>
      <c r="H207" s="1" t="s">
        <v>257</v>
      </c>
      <c r="J207" s="1" t="s">
        <v>258</v>
      </c>
      <c r="K207" s="1" t="s">
        <v>658</v>
      </c>
      <c r="L207" s="1" t="s">
        <v>691</v>
      </c>
      <c r="M207" s="1" t="s">
        <v>260</v>
      </c>
      <c r="N207" s="1" t="s">
        <v>357</v>
      </c>
      <c r="O207" s="1" t="s">
        <v>632</v>
      </c>
      <c r="P207" s="1" t="str">
        <f>_xlfn.CONCAT(B207,C207,D207,E207,F207)</f>
        <v>BC Caiaponia2.1215KTL-H3(MBUS-14)46058,058333333346058,058333333346058,3659722222</v>
      </c>
      <c r="Q207" s="1" t="str">
        <f>_xlfn.CONCAT(H207,I207,J207)</f>
        <v>DAURDE</v>
      </c>
    </row>
    <row r="208" spans="2:17">
      <c r="B208" s="1" t="s">
        <v>487</v>
      </c>
      <c r="C208" s="1" t="s">
        <v>380</v>
      </c>
      <c r="D208" s="52">
        <v>46058.058333333334</v>
      </c>
      <c r="E208" s="52">
        <v>46058.058333333334</v>
      </c>
      <c r="F208" s="52">
        <v>46058.365972222222</v>
      </c>
      <c r="G208" s="53">
        <v>0.30763888888888891</v>
      </c>
      <c r="H208" s="1" t="s">
        <v>257</v>
      </c>
      <c r="J208" s="1" t="s">
        <v>258</v>
      </c>
      <c r="K208" s="1" t="s">
        <v>658</v>
      </c>
      <c r="L208" s="1" t="s">
        <v>691</v>
      </c>
      <c r="M208" s="1" t="s">
        <v>260</v>
      </c>
      <c r="N208" s="1" t="s">
        <v>357</v>
      </c>
      <c r="O208" s="1" t="s">
        <v>632</v>
      </c>
      <c r="P208" s="1" t="str">
        <f>_xlfn.CONCAT(B208,C208,D208,E208,F208)</f>
        <v>BC Caiaponia2.1215KTL-H3(MBUS-15)46058,058333333346058,058333333346058,3659722222</v>
      </c>
      <c r="Q208" s="1" t="str">
        <f>_xlfn.CONCAT(H208,I208,J208)</f>
        <v>DAURDE</v>
      </c>
    </row>
    <row r="209" spans="2:17">
      <c r="B209" s="1" t="s">
        <v>487</v>
      </c>
      <c r="C209" s="1" t="s">
        <v>379</v>
      </c>
      <c r="D209" s="52">
        <v>46058.058333333334</v>
      </c>
      <c r="E209" s="52">
        <v>46058.058333333334</v>
      </c>
      <c r="F209" s="52">
        <v>46058.365972222222</v>
      </c>
      <c r="G209" s="53">
        <v>0.30763888888888891</v>
      </c>
      <c r="H209" s="1" t="s">
        <v>257</v>
      </c>
      <c r="J209" s="1" t="s">
        <v>258</v>
      </c>
      <c r="K209" s="1" t="s">
        <v>658</v>
      </c>
      <c r="L209" s="1" t="s">
        <v>691</v>
      </c>
      <c r="M209" s="1" t="s">
        <v>252</v>
      </c>
      <c r="N209" s="1" t="s">
        <v>253</v>
      </c>
      <c r="O209" s="1" t="s">
        <v>693</v>
      </c>
      <c r="P209" s="1" t="str">
        <f>_xlfn.CONCAT(B209,C209,D209,E209,F209)</f>
        <v>BC Caiaponia2.1215KTL-H3(MBUS-16)46058,058333333346058,058333333346058,3659722222</v>
      </c>
      <c r="Q209" s="1" t="str">
        <f>_xlfn.CONCAT(H209,I209,J209)</f>
        <v>DAURDE</v>
      </c>
    </row>
    <row r="210" spans="2:17">
      <c r="B210" s="1" t="s">
        <v>583</v>
      </c>
      <c r="C210" s="1" t="s">
        <v>377</v>
      </c>
      <c r="D210" s="52">
        <v>46058.058333333334</v>
      </c>
      <c r="E210" s="52">
        <v>46058.058333333334</v>
      </c>
      <c r="F210" s="52">
        <v>46058.365972222222</v>
      </c>
      <c r="G210" s="53">
        <v>0.30763888888888891</v>
      </c>
      <c r="H210" s="1" t="s">
        <v>257</v>
      </c>
      <c r="J210" s="1" t="s">
        <v>258</v>
      </c>
      <c r="K210" s="1" t="s">
        <v>658</v>
      </c>
      <c r="L210" s="1" t="s">
        <v>691</v>
      </c>
      <c r="M210" s="1" t="s">
        <v>260</v>
      </c>
      <c r="N210" s="1" t="s">
        <v>357</v>
      </c>
      <c r="O210" s="1" t="s">
        <v>632</v>
      </c>
      <c r="P210" s="1" t="str">
        <f>_xlfn.CONCAT(B210,C210,D210,E210,F210)</f>
        <v>BC Caiaponia2.2215KTL-H3(MBUS-12)46058,058333333346058,058333333346058,3659722222</v>
      </c>
      <c r="Q210" s="1" t="str">
        <f>_xlfn.CONCAT(H210,I210,J210)</f>
        <v>DAURDE</v>
      </c>
    </row>
    <row r="211" spans="2:17">
      <c r="B211" s="1" t="s">
        <v>583</v>
      </c>
      <c r="C211" s="1" t="s">
        <v>378</v>
      </c>
      <c r="D211" s="52">
        <v>46058.058333333334</v>
      </c>
      <c r="E211" s="52">
        <v>46058.058333333334</v>
      </c>
      <c r="F211" s="52">
        <v>46058.365972222222</v>
      </c>
      <c r="G211" s="53">
        <v>0.30763888888888891</v>
      </c>
      <c r="H211" s="1" t="s">
        <v>257</v>
      </c>
      <c r="J211" s="1" t="s">
        <v>258</v>
      </c>
      <c r="K211" s="1" t="s">
        <v>658</v>
      </c>
      <c r="L211" s="1" t="s">
        <v>691</v>
      </c>
      <c r="M211" s="1" t="s">
        <v>260</v>
      </c>
      <c r="N211" s="1" t="s">
        <v>357</v>
      </c>
      <c r="O211" s="1" t="s">
        <v>632</v>
      </c>
      <c r="P211" s="1" t="str">
        <f>_xlfn.CONCAT(B211,C211,D211,E211,F211)</f>
        <v>BC Caiaponia2.2215KTL-H3(MBUS-13)46058,058333333346058,058333333346058,3659722222</v>
      </c>
      <c r="Q211" s="1" t="str">
        <f>_xlfn.CONCAT(H211,I211,J211)</f>
        <v>DAURDE</v>
      </c>
    </row>
    <row r="212" spans="2:17">
      <c r="B212" s="1" t="s">
        <v>583</v>
      </c>
      <c r="C212" s="1" t="s">
        <v>382</v>
      </c>
      <c r="D212" s="52">
        <v>46058.058333333334</v>
      </c>
      <c r="E212" s="52">
        <v>46058.058333333334</v>
      </c>
      <c r="F212" s="52">
        <v>46058.365972222222</v>
      </c>
      <c r="G212" s="53">
        <v>0.30763888888888891</v>
      </c>
      <c r="H212" s="1" t="s">
        <v>257</v>
      </c>
      <c r="J212" s="1" t="s">
        <v>258</v>
      </c>
      <c r="K212" s="1" t="s">
        <v>658</v>
      </c>
      <c r="L212" s="1" t="s">
        <v>691</v>
      </c>
      <c r="M212" s="1" t="s">
        <v>260</v>
      </c>
      <c r="N212" s="1" t="s">
        <v>357</v>
      </c>
      <c r="O212" s="1" t="s">
        <v>632</v>
      </c>
      <c r="P212" s="1" t="str">
        <f>_xlfn.CONCAT(B212,C212,D212,E212,F212)</f>
        <v>BC Caiaponia2.2215KTL-H3(MBUS-14)46058,058333333346058,058333333346058,3659722222</v>
      </c>
      <c r="Q212" s="1" t="str">
        <f>_xlfn.CONCAT(H212,I212,J212)</f>
        <v>DAURDE</v>
      </c>
    </row>
    <row r="213" spans="2:17">
      <c r="B213" s="1" t="s">
        <v>583</v>
      </c>
      <c r="C213" s="1" t="s">
        <v>380</v>
      </c>
      <c r="D213" s="52">
        <v>46058.058333333334</v>
      </c>
      <c r="E213" s="52">
        <v>46058.058333333334</v>
      </c>
      <c r="F213" s="52">
        <v>46058.365972222222</v>
      </c>
      <c r="G213" s="53">
        <v>0.30763888888888891</v>
      </c>
      <c r="H213" s="1" t="s">
        <v>257</v>
      </c>
      <c r="J213" s="1" t="s">
        <v>258</v>
      </c>
      <c r="K213" s="1" t="s">
        <v>658</v>
      </c>
      <c r="L213" s="1" t="s">
        <v>691</v>
      </c>
      <c r="M213" s="1" t="s">
        <v>260</v>
      </c>
      <c r="N213" s="1" t="s">
        <v>357</v>
      </c>
      <c r="O213" s="1" t="s">
        <v>632</v>
      </c>
      <c r="P213" s="1" t="str">
        <f>_xlfn.CONCAT(B213,C213,D213,E213,F213)</f>
        <v>BC Caiaponia2.2215KTL-H3(MBUS-15)46058,058333333346058,058333333346058,3659722222</v>
      </c>
      <c r="Q213" s="1" t="str">
        <f>_xlfn.CONCAT(H213,I213,J213)</f>
        <v>DAURDE</v>
      </c>
    </row>
    <row r="214" spans="2:17">
      <c r="B214" s="1" t="s">
        <v>583</v>
      </c>
      <c r="C214" s="1" t="s">
        <v>379</v>
      </c>
      <c r="D214" s="52">
        <v>46058.058333333334</v>
      </c>
      <c r="E214" s="52">
        <v>46058.058333333334</v>
      </c>
      <c r="F214" s="52">
        <v>46058.365972222222</v>
      </c>
      <c r="G214" s="53">
        <v>0.30763888888888891</v>
      </c>
      <c r="H214" s="1" t="s">
        <v>257</v>
      </c>
      <c r="J214" s="1" t="s">
        <v>258</v>
      </c>
      <c r="K214" s="1" t="s">
        <v>658</v>
      </c>
      <c r="L214" s="1" t="s">
        <v>691</v>
      </c>
      <c r="M214" s="1" t="s">
        <v>260</v>
      </c>
      <c r="N214" s="1" t="s">
        <v>357</v>
      </c>
      <c r="O214" s="1" t="s">
        <v>632</v>
      </c>
      <c r="P214" s="1" t="str">
        <f>_xlfn.CONCAT(B214,C214,D214,E214,F214)</f>
        <v>BC Caiaponia2.2215KTL-H3(MBUS-16)46058,058333333346058,058333333346058,3659722222</v>
      </c>
      <c r="Q214" s="1" t="str">
        <f>_xlfn.CONCAT(H214,I214,J214)</f>
        <v>DAURDE</v>
      </c>
    </row>
    <row r="215" spans="2:17">
      <c r="B215" s="1" t="s">
        <v>584</v>
      </c>
      <c r="C215" s="1" t="s">
        <v>377</v>
      </c>
      <c r="D215" s="52">
        <v>46058.058333333334</v>
      </c>
      <c r="E215" s="52">
        <v>46058.058333333334</v>
      </c>
      <c r="F215" s="52">
        <v>46058.365972222222</v>
      </c>
      <c r="G215" s="53">
        <v>0.30763888888888891</v>
      </c>
      <c r="H215" s="1" t="s">
        <v>257</v>
      </c>
      <c r="J215" s="1" t="s">
        <v>258</v>
      </c>
      <c r="K215" s="1" t="s">
        <v>658</v>
      </c>
      <c r="L215" s="1" t="s">
        <v>691</v>
      </c>
      <c r="M215" s="1" t="s">
        <v>260</v>
      </c>
      <c r="N215" s="1" t="s">
        <v>357</v>
      </c>
      <c r="O215" s="1" t="s">
        <v>632</v>
      </c>
      <c r="P215" s="1" t="str">
        <f>_xlfn.CONCAT(B215,C215,D215,E215,F215)</f>
        <v>BC Caiaponia2.3215KTL-H3(MBUS-12)46058,058333333346058,058333333346058,3659722222</v>
      </c>
      <c r="Q215" s="1" t="str">
        <f>_xlfn.CONCAT(H215,I215,J215)</f>
        <v>DAURDE</v>
      </c>
    </row>
    <row r="216" spans="2:17">
      <c r="B216" s="1" t="s">
        <v>584</v>
      </c>
      <c r="C216" s="1" t="s">
        <v>378</v>
      </c>
      <c r="D216" s="52">
        <v>46058.058333333334</v>
      </c>
      <c r="E216" s="52">
        <v>46058.058333333334</v>
      </c>
      <c r="F216" s="52">
        <v>46058.365972222222</v>
      </c>
      <c r="G216" s="53">
        <v>0.30763888888888891</v>
      </c>
      <c r="H216" s="1" t="s">
        <v>257</v>
      </c>
      <c r="J216" s="1" t="s">
        <v>258</v>
      </c>
      <c r="K216" s="1" t="s">
        <v>658</v>
      </c>
      <c r="L216" s="1" t="s">
        <v>691</v>
      </c>
      <c r="M216" s="1" t="s">
        <v>260</v>
      </c>
      <c r="N216" s="1" t="s">
        <v>357</v>
      </c>
      <c r="O216" s="1" t="s">
        <v>632</v>
      </c>
      <c r="P216" s="1" t="str">
        <f>_xlfn.CONCAT(B216,C216,D216,E216,F216)</f>
        <v>BC Caiaponia2.3215KTL-H3(MBUS-13)46058,058333333346058,058333333346058,3659722222</v>
      </c>
      <c r="Q216" s="1" t="str">
        <f>_xlfn.CONCAT(H216,I216,J216)</f>
        <v>DAURDE</v>
      </c>
    </row>
    <row r="217" spans="2:17">
      <c r="B217" s="1" t="s">
        <v>584</v>
      </c>
      <c r="C217" s="1" t="s">
        <v>382</v>
      </c>
      <c r="D217" s="52">
        <v>46058.058333333334</v>
      </c>
      <c r="E217" s="52">
        <v>46058.058333333334</v>
      </c>
      <c r="F217" s="52">
        <v>46058.365972222222</v>
      </c>
      <c r="G217" s="53">
        <v>0.30763888888888891</v>
      </c>
      <c r="H217" s="1" t="s">
        <v>257</v>
      </c>
      <c r="J217" s="1" t="s">
        <v>258</v>
      </c>
      <c r="K217" s="1" t="s">
        <v>658</v>
      </c>
      <c r="L217" s="1" t="s">
        <v>691</v>
      </c>
      <c r="M217" s="1" t="s">
        <v>260</v>
      </c>
      <c r="N217" s="1" t="s">
        <v>357</v>
      </c>
      <c r="O217" s="1" t="s">
        <v>632</v>
      </c>
      <c r="P217" s="1" t="str">
        <f>_xlfn.CONCAT(B217,C217,D217,E217,F217)</f>
        <v>BC Caiaponia2.3215KTL-H3(MBUS-14)46058,058333333346058,058333333346058,3659722222</v>
      </c>
      <c r="Q217" s="1" t="str">
        <f>_xlfn.CONCAT(H217,I217,J217)</f>
        <v>DAURDE</v>
      </c>
    </row>
    <row r="218" spans="2:17">
      <c r="B218" s="1" t="s">
        <v>584</v>
      </c>
      <c r="C218" s="1" t="s">
        <v>380</v>
      </c>
      <c r="D218" s="52">
        <v>46058.058333333334</v>
      </c>
      <c r="E218" s="52">
        <v>46058.058333333334</v>
      </c>
      <c r="F218" s="52">
        <v>46058.365972222222</v>
      </c>
      <c r="G218" s="53">
        <v>0.30763888888888891</v>
      </c>
      <c r="H218" s="1" t="s">
        <v>257</v>
      </c>
      <c r="J218" s="1" t="s">
        <v>258</v>
      </c>
      <c r="K218" s="1" t="s">
        <v>658</v>
      </c>
      <c r="L218" s="1" t="s">
        <v>691</v>
      </c>
      <c r="M218" s="1" t="s">
        <v>260</v>
      </c>
      <c r="N218" s="1" t="s">
        <v>357</v>
      </c>
      <c r="O218" s="1" t="s">
        <v>632</v>
      </c>
      <c r="P218" s="1" t="str">
        <f>_xlfn.CONCAT(B218,C218,D218,E218,F218)</f>
        <v>BC Caiaponia2.3215KTL-H3(MBUS-15)46058,058333333346058,058333333346058,3659722222</v>
      </c>
      <c r="Q218" s="1" t="str">
        <f>_xlfn.CONCAT(H218,I218,J218)</f>
        <v>DAURDE</v>
      </c>
    </row>
    <row r="219" spans="2:17">
      <c r="B219" s="1" t="s">
        <v>584</v>
      </c>
      <c r="C219" s="1" t="s">
        <v>379</v>
      </c>
      <c r="D219" s="52">
        <v>46058.058333333334</v>
      </c>
      <c r="E219" s="52">
        <v>46058.058333333334</v>
      </c>
      <c r="F219" s="52">
        <v>46058.365972222222</v>
      </c>
      <c r="G219" s="53">
        <v>0.30763888888888891</v>
      </c>
      <c r="H219" s="1" t="s">
        <v>257</v>
      </c>
      <c r="J219" s="1" t="s">
        <v>258</v>
      </c>
      <c r="K219" s="1" t="s">
        <v>658</v>
      </c>
      <c r="L219" s="1" t="s">
        <v>691</v>
      </c>
      <c r="M219" s="1" t="s">
        <v>260</v>
      </c>
      <c r="N219" s="1" t="s">
        <v>357</v>
      </c>
      <c r="O219" s="1" t="s">
        <v>632</v>
      </c>
      <c r="P219" s="1" t="str">
        <f>_xlfn.CONCAT(B219,C219,D219,E219,F219)</f>
        <v>BC Caiaponia2.3215KTL-H3(MBUS-16)46058,058333333346058,058333333346058,3659722222</v>
      </c>
      <c r="Q219" s="1" t="str">
        <f>_xlfn.CONCAT(H219,I219,J219)</f>
        <v>DAURDE</v>
      </c>
    </row>
    <row r="220" spans="2:17">
      <c r="B220" s="1" t="s">
        <v>381</v>
      </c>
      <c r="C220" s="1" t="s">
        <v>379</v>
      </c>
      <c r="D220" s="52">
        <v>46058.402777777781</v>
      </c>
      <c r="E220" s="52">
        <v>46058.402777777781</v>
      </c>
      <c r="F220" s="52">
        <v>46058.423611111109</v>
      </c>
      <c r="G220" s="53">
        <v>2.0833333333333332E-2</v>
      </c>
      <c r="H220" s="1" t="s">
        <v>257</v>
      </c>
      <c r="I220" s="1" t="s">
        <v>269</v>
      </c>
      <c r="J220" s="1" t="s">
        <v>319</v>
      </c>
      <c r="K220" s="1" t="s">
        <v>652</v>
      </c>
      <c r="L220" s="1" t="s">
        <v>604</v>
      </c>
      <c r="M220" s="1" t="s">
        <v>260</v>
      </c>
      <c r="N220" s="1" t="s">
        <v>357</v>
      </c>
      <c r="O220" s="1" t="s">
        <v>632</v>
      </c>
      <c r="P220" s="1" t="str">
        <f>_xlfn.CONCAT(B220,C220,D220,E220,F220)</f>
        <v>BC Camarao1.3215KTL-H3(MBUS-16)46058,402777777846058,402777777846058,4236111111</v>
      </c>
      <c r="Q220" s="1" t="str">
        <f>_xlfn.CONCAT(H220,I220,J220)</f>
        <v>DAURFOCOM</v>
      </c>
    </row>
    <row r="221" spans="2:17">
      <c r="B221" s="1" t="s">
        <v>381</v>
      </c>
      <c r="C221" s="1" t="s">
        <v>382</v>
      </c>
      <c r="D221" s="52">
        <v>46058.402777777781</v>
      </c>
      <c r="E221" s="52">
        <v>46058.402777777781</v>
      </c>
      <c r="F221" s="52">
        <v>46058.423611111109</v>
      </c>
      <c r="G221" s="53">
        <v>2.0833333333333332E-2</v>
      </c>
      <c r="H221" s="1" t="s">
        <v>257</v>
      </c>
      <c r="I221" s="1" t="s">
        <v>269</v>
      </c>
      <c r="J221" s="1" t="s">
        <v>319</v>
      </c>
      <c r="K221" s="1" t="s">
        <v>652</v>
      </c>
      <c r="L221" s="1" t="s">
        <v>604</v>
      </c>
      <c r="M221" s="1" t="s">
        <v>260</v>
      </c>
      <c r="N221" s="1" t="s">
        <v>357</v>
      </c>
      <c r="O221" s="1" t="s">
        <v>632</v>
      </c>
      <c r="P221" s="1" t="str">
        <f>_xlfn.CONCAT(B221,C221,D221,E221,F221)</f>
        <v>BC Camarao1.3215KTL-H3(MBUS-14)46058,402777777846058,402777777846058,4236111111</v>
      </c>
      <c r="Q221" s="1" t="str">
        <f>_xlfn.CONCAT(H221,I221,J221)</f>
        <v>DAURFOCOM</v>
      </c>
    </row>
    <row r="222" spans="2:17">
      <c r="B222" s="1" t="s">
        <v>381</v>
      </c>
      <c r="C222" s="1" t="s">
        <v>380</v>
      </c>
      <c r="D222" s="52">
        <v>46058.402777777781</v>
      </c>
      <c r="E222" s="52">
        <v>46058.402777777781</v>
      </c>
      <c r="F222" s="52">
        <v>46058.423611111109</v>
      </c>
      <c r="G222" s="53">
        <v>2.0833333333333332E-2</v>
      </c>
      <c r="H222" s="1" t="s">
        <v>257</v>
      </c>
      <c r="I222" s="1" t="s">
        <v>269</v>
      </c>
      <c r="J222" s="1" t="s">
        <v>319</v>
      </c>
      <c r="K222" s="1" t="s">
        <v>652</v>
      </c>
      <c r="L222" s="1" t="s">
        <v>604</v>
      </c>
      <c r="M222" s="1" t="s">
        <v>260</v>
      </c>
      <c r="N222" s="1" t="s">
        <v>357</v>
      </c>
      <c r="O222" s="1" t="s">
        <v>632</v>
      </c>
      <c r="P222" s="1" t="str">
        <f>_xlfn.CONCAT(B222,C222,D222,E222,F222)</f>
        <v>BC Camarao1.3215KTL-H3(MBUS-15)46058,402777777846058,402777777846058,4236111111</v>
      </c>
      <c r="Q222" s="1" t="str">
        <f>_xlfn.CONCAT(H222,I222,J222)</f>
        <v>DAURFOCOM</v>
      </c>
    </row>
    <row r="223" spans="2:17">
      <c r="B223" s="1" t="s">
        <v>381</v>
      </c>
      <c r="C223" s="1" t="s">
        <v>377</v>
      </c>
      <c r="D223" s="52">
        <v>46058.402777777781</v>
      </c>
      <c r="E223" s="52">
        <v>46058.402777777781</v>
      </c>
      <c r="F223" s="52">
        <v>46058.423611111109</v>
      </c>
      <c r="G223" s="53">
        <v>2.0833333333333332E-2</v>
      </c>
      <c r="H223" s="1" t="s">
        <v>257</v>
      </c>
      <c r="I223" s="1" t="s">
        <v>269</v>
      </c>
      <c r="J223" s="1" t="s">
        <v>319</v>
      </c>
      <c r="K223" s="1" t="s">
        <v>652</v>
      </c>
      <c r="L223" s="1" t="s">
        <v>604</v>
      </c>
      <c r="M223" s="1" t="s">
        <v>260</v>
      </c>
      <c r="N223" s="1" t="s">
        <v>357</v>
      </c>
      <c r="O223" s="1" t="s">
        <v>632</v>
      </c>
      <c r="P223" s="1" t="str">
        <f>_xlfn.CONCAT(B223,C223,D223,E223,F223)</f>
        <v>BC Camarao1.3215KTL-H3(MBUS-12)46058,402777777846058,402777777846058,4236111111</v>
      </c>
      <c r="Q223" s="1" t="str">
        <f>_xlfn.CONCAT(H223,I223,J223)</f>
        <v>DAURFOCOM</v>
      </c>
    </row>
    <row r="224" spans="2:17">
      <c r="B224" s="1" t="s">
        <v>381</v>
      </c>
      <c r="C224" s="1" t="s">
        <v>378</v>
      </c>
      <c r="D224" s="52">
        <v>46058.402777777781</v>
      </c>
      <c r="E224" s="52">
        <v>46058.402777777781</v>
      </c>
      <c r="F224" s="52">
        <v>46058.423611111109</v>
      </c>
      <c r="G224" s="53">
        <v>2.0833333333333332E-2</v>
      </c>
      <c r="H224" s="1" t="s">
        <v>257</v>
      </c>
      <c r="I224" s="1" t="s">
        <v>269</v>
      </c>
      <c r="J224" s="1" t="s">
        <v>319</v>
      </c>
      <c r="K224" s="1" t="s">
        <v>652</v>
      </c>
      <c r="L224" s="1" t="s">
        <v>604</v>
      </c>
      <c r="M224" s="1" t="s">
        <v>260</v>
      </c>
      <c r="N224" s="1" t="s">
        <v>357</v>
      </c>
      <c r="O224" s="1" t="s">
        <v>632</v>
      </c>
      <c r="P224" s="1" t="str">
        <f>_xlfn.CONCAT(B224,C224,D224,E224,F224)</f>
        <v>BC Camarao1.3215KTL-H3(MBUS-13)46058,402777777846058,402777777846058,4236111111</v>
      </c>
      <c r="Q224" s="1" t="str">
        <f>_xlfn.CONCAT(H224,I224,J224)</f>
        <v>DAURFOCOM</v>
      </c>
    </row>
    <row r="225" spans="2:17">
      <c r="B225" s="1" t="s">
        <v>585</v>
      </c>
      <c r="C225" s="1" t="s">
        <v>603</v>
      </c>
      <c r="D225" s="52">
        <v>46058.441666666666</v>
      </c>
      <c r="E225" s="52">
        <v>46058.441666666666</v>
      </c>
      <c r="F225" s="52">
        <v>46058.505555555559</v>
      </c>
      <c r="G225" s="53">
        <v>6.3888888888888884E-2</v>
      </c>
      <c r="H225" s="1" t="s">
        <v>257</v>
      </c>
      <c r="J225" s="1" t="s">
        <v>258</v>
      </c>
      <c r="K225" s="1" t="s">
        <v>658</v>
      </c>
      <c r="L225" s="1" t="s">
        <v>694</v>
      </c>
      <c r="M225" s="1" t="s">
        <v>260</v>
      </c>
      <c r="N225" s="1" t="s">
        <v>357</v>
      </c>
      <c r="O225" s="1" t="s">
        <v>632</v>
      </c>
      <c r="P225" s="1" t="str">
        <f>_xlfn.CONCAT(B225,C225,D225,E225,F225)</f>
        <v>BC Rio Monte1Inverter3246058,441666666746058,441666666746058,5055555556</v>
      </c>
      <c r="Q225" s="1" t="str">
        <f>_xlfn.CONCAT(H225,I225,J225)</f>
        <v>DAURDE</v>
      </c>
    </row>
    <row r="226" spans="2:17">
      <c r="B226" s="1" t="s">
        <v>612</v>
      </c>
      <c r="C226" s="1" t="s">
        <v>622</v>
      </c>
      <c r="D226" s="52">
        <v>46058.540972222225</v>
      </c>
      <c r="E226" s="52">
        <v>46058.540972222225</v>
      </c>
      <c r="F226" s="52">
        <v>46058.677083333336</v>
      </c>
      <c r="G226" s="53">
        <v>0.1361111111111111</v>
      </c>
      <c r="H226" s="1" t="s">
        <v>257</v>
      </c>
      <c r="J226" s="1" t="s">
        <v>371</v>
      </c>
      <c r="K226" s="1" t="s">
        <v>653</v>
      </c>
      <c r="L226" s="1" t="s">
        <v>623</v>
      </c>
      <c r="M226" s="1" t="s">
        <v>260</v>
      </c>
      <c r="N226" s="1" t="s">
        <v>357</v>
      </c>
      <c r="O226" s="1" t="s">
        <v>632</v>
      </c>
      <c r="P226" s="1" t="str">
        <f>_xlfn.CONCAT(B226,C226,D226,E226,F226)</f>
        <v>BC Vazante 1.1Inverter1246058,540972222246058,540972222246058,6770833333</v>
      </c>
      <c r="Q226" s="1" t="str">
        <f>_xlfn.CONCAT(H226,I226,J226)</f>
        <v>DAUINV</v>
      </c>
    </row>
    <row r="227" spans="2:17">
      <c r="B227" s="1" t="s">
        <v>456</v>
      </c>
      <c r="C227" s="1" t="s">
        <v>457</v>
      </c>
      <c r="D227" s="52">
        <v>46058.575694444444</v>
      </c>
      <c r="E227" s="52">
        <v>46058.575694444444</v>
      </c>
      <c r="F227" s="52">
        <v>46058.669444444444</v>
      </c>
      <c r="G227" s="53">
        <v>9.375E-2</v>
      </c>
      <c r="H227" s="1" t="s">
        <v>257</v>
      </c>
      <c r="J227" s="1" t="s">
        <v>258</v>
      </c>
      <c r="K227" s="1" t="s">
        <v>658</v>
      </c>
      <c r="L227" s="1" t="s">
        <v>691</v>
      </c>
      <c r="M227" s="1" t="s">
        <v>260</v>
      </c>
      <c r="N227" s="1" t="s">
        <v>357</v>
      </c>
      <c r="O227" s="1" t="s">
        <v>632</v>
      </c>
      <c r="P227" s="1" t="str">
        <f>_xlfn.CONCAT(B227,C227,D227,E227,F227)</f>
        <v>BC Caiaponia1SG60KTL(COM1-001)_001_00746058,575694444446058,575694444446058,6694444444</v>
      </c>
      <c r="Q227" s="1" t="str">
        <f>_xlfn.CONCAT(H227,I227,J227)</f>
        <v>DAURDE</v>
      </c>
    </row>
    <row r="228" spans="2:17">
      <c r="B228" s="1" t="s">
        <v>456</v>
      </c>
      <c r="C228" s="1" t="s">
        <v>459</v>
      </c>
      <c r="D228" s="52">
        <v>46058.575694444444</v>
      </c>
      <c r="E228" s="52">
        <v>46058.575694444444</v>
      </c>
      <c r="F228" s="52">
        <v>46058.669444444444</v>
      </c>
      <c r="G228" s="53">
        <v>9.375E-2</v>
      </c>
      <c r="H228" s="1" t="s">
        <v>257</v>
      </c>
      <c r="J228" s="1" t="s">
        <v>258</v>
      </c>
      <c r="K228" s="1" t="s">
        <v>658</v>
      </c>
      <c r="L228" s="1" t="s">
        <v>691</v>
      </c>
      <c r="M228" s="1" t="s">
        <v>260</v>
      </c>
      <c r="N228" s="1" t="s">
        <v>357</v>
      </c>
      <c r="O228" s="1" t="s">
        <v>632</v>
      </c>
      <c r="P228" s="1" t="str">
        <f>_xlfn.CONCAT(B228,C228,D228,E228,F228)</f>
        <v>BC Caiaponia1SG60KTL(COM1-002)_001_01046058,575694444446058,575694444446058,6694444444</v>
      </c>
      <c r="Q228" s="1" t="str">
        <f>_xlfn.CONCAT(H228,I228,J228)</f>
        <v>DAURDE</v>
      </c>
    </row>
    <row r="229" spans="2:17">
      <c r="B229" s="1" t="s">
        <v>456</v>
      </c>
      <c r="C229" s="1" t="s">
        <v>460</v>
      </c>
      <c r="D229" s="52">
        <v>46058.575694444444</v>
      </c>
      <c r="E229" s="52">
        <v>46058.575694444444</v>
      </c>
      <c r="F229" s="52">
        <v>46058.669444444444</v>
      </c>
      <c r="G229" s="53">
        <v>9.375E-2</v>
      </c>
      <c r="H229" s="1" t="s">
        <v>257</v>
      </c>
      <c r="J229" s="1" t="s">
        <v>258</v>
      </c>
      <c r="K229" s="1" t="s">
        <v>658</v>
      </c>
      <c r="L229" s="1" t="s">
        <v>691</v>
      </c>
      <c r="M229" s="1" t="s">
        <v>260</v>
      </c>
      <c r="N229" s="1" t="s">
        <v>357</v>
      </c>
      <c r="O229" s="1" t="s">
        <v>632</v>
      </c>
      <c r="P229" s="1" t="str">
        <f>_xlfn.CONCAT(B229,C229,D229,E229,F229)</f>
        <v>BC Caiaponia1SG60KTL(COM1-003)_001_01146058,575694444446058,575694444446058,6694444444</v>
      </c>
      <c r="Q229" s="1" t="str">
        <f>_xlfn.CONCAT(H229,I229,J229)</f>
        <v>DAURDE</v>
      </c>
    </row>
    <row r="230" spans="2:17">
      <c r="B230" s="1" t="s">
        <v>456</v>
      </c>
      <c r="C230" s="1" t="s">
        <v>461</v>
      </c>
      <c r="D230" s="52">
        <v>46058.575694444444</v>
      </c>
      <c r="E230" s="52">
        <v>46058.575694444444</v>
      </c>
      <c r="F230" s="52">
        <v>46058.669444444444</v>
      </c>
      <c r="G230" s="53">
        <v>9.375E-2</v>
      </c>
      <c r="H230" s="1" t="s">
        <v>257</v>
      </c>
      <c r="J230" s="1" t="s">
        <v>258</v>
      </c>
      <c r="K230" s="1" t="s">
        <v>658</v>
      </c>
      <c r="L230" s="1" t="s">
        <v>691</v>
      </c>
      <c r="M230" s="1" t="s">
        <v>260</v>
      </c>
      <c r="N230" s="1" t="s">
        <v>357</v>
      </c>
      <c r="O230" s="1" t="s">
        <v>632</v>
      </c>
      <c r="P230" s="1" t="str">
        <f>_xlfn.CONCAT(B230,C230,D230,E230,F230)</f>
        <v>BC Caiaponia1SG60KTL(COM1-004)_001_01446058,575694444446058,575694444446058,6694444444</v>
      </c>
      <c r="Q230" s="1" t="str">
        <f>_xlfn.CONCAT(H230,I230,J230)</f>
        <v>DAURDE</v>
      </c>
    </row>
    <row r="231" spans="2:17">
      <c r="B231" s="1" t="s">
        <v>456</v>
      </c>
      <c r="C231" s="1" t="s">
        <v>462</v>
      </c>
      <c r="D231" s="52">
        <v>46058.575694444444</v>
      </c>
      <c r="E231" s="52">
        <v>46058.575694444444</v>
      </c>
      <c r="F231" s="52">
        <v>46058.669444444444</v>
      </c>
      <c r="G231" s="53">
        <v>9.375E-2</v>
      </c>
      <c r="H231" s="1" t="s">
        <v>257</v>
      </c>
      <c r="J231" s="1" t="s">
        <v>258</v>
      </c>
      <c r="K231" s="1" t="s">
        <v>658</v>
      </c>
      <c r="L231" s="1" t="s">
        <v>691</v>
      </c>
      <c r="M231" s="1" t="s">
        <v>260</v>
      </c>
      <c r="N231" s="1" t="s">
        <v>357</v>
      </c>
      <c r="O231" s="1" t="s">
        <v>632</v>
      </c>
      <c r="P231" s="1" t="str">
        <f>_xlfn.CONCAT(B231,C231,D231,E231,F231)</f>
        <v>BC Caiaponia1SG60KTL(COM1-005)_001_01746058,575694444446058,575694444446058,6694444444</v>
      </c>
      <c r="Q231" s="1" t="str">
        <f>_xlfn.CONCAT(H231,I231,J231)</f>
        <v>DAURDE</v>
      </c>
    </row>
    <row r="232" spans="2:17">
      <c r="B232" s="1" t="s">
        <v>456</v>
      </c>
      <c r="C232" s="1" t="s">
        <v>463</v>
      </c>
      <c r="D232" s="52">
        <v>46058.575694444444</v>
      </c>
      <c r="E232" s="52">
        <v>46058.575694444444</v>
      </c>
      <c r="F232" s="52">
        <v>46058.669444444444</v>
      </c>
      <c r="G232" s="53">
        <v>9.375E-2</v>
      </c>
      <c r="H232" s="1" t="s">
        <v>257</v>
      </c>
      <c r="J232" s="1" t="s">
        <v>258</v>
      </c>
      <c r="K232" s="1" t="s">
        <v>658</v>
      </c>
      <c r="L232" s="1" t="s">
        <v>691</v>
      </c>
      <c r="M232" s="1" t="s">
        <v>260</v>
      </c>
      <c r="N232" s="1" t="s">
        <v>357</v>
      </c>
      <c r="O232" s="1" t="s">
        <v>632</v>
      </c>
      <c r="P232" s="1" t="str">
        <f>_xlfn.CONCAT(B232,C232,D232,E232,F232)</f>
        <v>BC Caiaponia1SG60KTL(COM1-006)_001_01646058,575694444446058,575694444446058,6694444444</v>
      </c>
      <c r="Q232" s="1" t="str">
        <f>_xlfn.CONCAT(H232,I232,J232)</f>
        <v>DAURDE</v>
      </c>
    </row>
    <row r="233" spans="2:17">
      <c r="B233" s="1" t="s">
        <v>456</v>
      </c>
      <c r="C233" s="1" t="s">
        <v>464</v>
      </c>
      <c r="D233" s="52">
        <v>46058.575694444444</v>
      </c>
      <c r="E233" s="52">
        <v>46058.575694444444</v>
      </c>
      <c r="F233" s="52">
        <v>46058.669444444444</v>
      </c>
      <c r="G233" s="53">
        <v>9.375E-2</v>
      </c>
      <c r="H233" s="1" t="s">
        <v>257</v>
      </c>
      <c r="J233" s="1" t="s">
        <v>258</v>
      </c>
      <c r="K233" s="1" t="s">
        <v>658</v>
      </c>
      <c r="L233" s="1" t="s">
        <v>691</v>
      </c>
      <c r="M233" s="1" t="s">
        <v>260</v>
      </c>
      <c r="N233" s="1" t="s">
        <v>357</v>
      </c>
      <c r="O233" s="1" t="s">
        <v>632</v>
      </c>
      <c r="P233" s="1" t="str">
        <f>_xlfn.CONCAT(B233,C233,D233,E233,F233)</f>
        <v>BC Caiaponia1SG60KTL(COM1-007)_001_01346058,575694444446058,575694444446058,6694444444</v>
      </c>
      <c r="Q233" s="1" t="str">
        <f>_xlfn.CONCAT(H233,I233,J233)</f>
        <v>DAURDE</v>
      </c>
    </row>
    <row r="234" spans="2:17">
      <c r="B234" s="1" t="s">
        <v>456</v>
      </c>
      <c r="C234" s="1" t="s">
        <v>465</v>
      </c>
      <c r="D234" s="52">
        <v>46058.575694444444</v>
      </c>
      <c r="E234" s="52">
        <v>46058.575694444444</v>
      </c>
      <c r="F234" s="52">
        <v>46058.669444444444</v>
      </c>
      <c r="G234" s="53">
        <v>9.375E-2</v>
      </c>
      <c r="H234" s="1" t="s">
        <v>257</v>
      </c>
      <c r="J234" s="1" t="s">
        <v>258</v>
      </c>
      <c r="K234" s="1" t="s">
        <v>658</v>
      </c>
      <c r="L234" s="1" t="s">
        <v>691</v>
      </c>
      <c r="M234" s="1" t="s">
        <v>260</v>
      </c>
      <c r="N234" s="1" t="s">
        <v>357</v>
      </c>
      <c r="O234" s="1" t="s">
        <v>632</v>
      </c>
      <c r="P234" s="1" t="str">
        <f>_xlfn.CONCAT(B234,C234,D234,E234,F234)</f>
        <v>BC Caiaponia1SG60KTL(COM1-008)_001_00146058,575694444446058,575694444446058,6694444444</v>
      </c>
      <c r="Q234" s="1" t="str">
        <f>_xlfn.CONCAT(H234,I234,J234)</f>
        <v>DAURDE</v>
      </c>
    </row>
    <row r="235" spans="2:17">
      <c r="B235" s="1" t="s">
        <v>456</v>
      </c>
      <c r="C235" s="1" t="s">
        <v>466</v>
      </c>
      <c r="D235" s="52">
        <v>46058.575694444444</v>
      </c>
      <c r="E235" s="52">
        <v>46058.575694444444</v>
      </c>
      <c r="F235" s="52">
        <v>46058.669444444444</v>
      </c>
      <c r="G235" s="53">
        <v>9.375E-2</v>
      </c>
      <c r="H235" s="1" t="s">
        <v>257</v>
      </c>
      <c r="J235" s="1" t="s">
        <v>258</v>
      </c>
      <c r="K235" s="1" t="s">
        <v>658</v>
      </c>
      <c r="L235" s="1" t="s">
        <v>691</v>
      </c>
      <c r="M235" s="1" t="s">
        <v>260</v>
      </c>
      <c r="N235" s="1" t="s">
        <v>357</v>
      </c>
      <c r="O235" s="1" t="s">
        <v>632</v>
      </c>
      <c r="P235" s="1" t="str">
        <f>_xlfn.CONCAT(B235,C235,D235,E235,F235)</f>
        <v>BC Caiaponia1SG60KTL(COM1-009)46058,575694444446058,575694444446058,6694444444</v>
      </c>
      <c r="Q235" s="1" t="str">
        <f>_xlfn.CONCAT(H235,I235,J235)</f>
        <v>DAURDE</v>
      </c>
    </row>
    <row r="236" spans="2:17">
      <c r="B236" s="1" t="s">
        <v>456</v>
      </c>
      <c r="C236" s="1" t="s">
        <v>467</v>
      </c>
      <c r="D236" s="52">
        <v>46058.575694444444</v>
      </c>
      <c r="E236" s="52">
        <v>46058.575694444444</v>
      </c>
      <c r="F236" s="52">
        <v>46058.669444444444</v>
      </c>
      <c r="G236" s="53">
        <v>9.375E-2</v>
      </c>
      <c r="H236" s="1" t="s">
        <v>257</v>
      </c>
      <c r="J236" s="1" t="s">
        <v>258</v>
      </c>
      <c r="K236" s="1" t="s">
        <v>658</v>
      </c>
      <c r="L236" s="1" t="s">
        <v>691</v>
      </c>
      <c r="M236" s="1" t="s">
        <v>260</v>
      </c>
      <c r="N236" s="1" t="s">
        <v>357</v>
      </c>
      <c r="O236" s="1" t="s">
        <v>632</v>
      </c>
      <c r="P236" s="1" t="str">
        <f>_xlfn.CONCAT(B236,C236,D236,E236,F236)</f>
        <v>BC Caiaponia1SG60KTL(COM1-010)46058,575694444446058,575694444446058,6694444444</v>
      </c>
      <c r="Q236" s="1" t="str">
        <f>_xlfn.CONCAT(H236,I236,J236)</f>
        <v>DAURDE</v>
      </c>
    </row>
    <row r="237" spans="2:17">
      <c r="B237" s="1" t="s">
        <v>456</v>
      </c>
      <c r="C237" s="1" t="s">
        <v>468</v>
      </c>
      <c r="D237" s="52">
        <v>46058.575694444444</v>
      </c>
      <c r="E237" s="52">
        <v>46058.575694444444</v>
      </c>
      <c r="F237" s="52">
        <v>46058.669444444444</v>
      </c>
      <c r="G237" s="53">
        <v>9.375E-2</v>
      </c>
      <c r="H237" s="1" t="s">
        <v>257</v>
      </c>
      <c r="J237" s="1" t="s">
        <v>258</v>
      </c>
      <c r="K237" s="1" t="s">
        <v>658</v>
      </c>
      <c r="L237" s="1" t="s">
        <v>691</v>
      </c>
      <c r="M237" s="1" t="s">
        <v>260</v>
      </c>
      <c r="N237" s="1" t="s">
        <v>357</v>
      </c>
      <c r="O237" s="1" t="s">
        <v>632</v>
      </c>
      <c r="P237" s="1" t="str">
        <f>_xlfn.CONCAT(B237,C237,D237,E237,F237)</f>
        <v>BC Caiaponia1SG60KTL(COM1-011)46058,575694444446058,575694444446058,6694444444</v>
      </c>
      <c r="Q237" s="1" t="str">
        <f>_xlfn.CONCAT(H237,I237,J237)</f>
        <v>DAURDE</v>
      </c>
    </row>
    <row r="238" spans="2:17">
      <c r="B238" s="1" t="s">
        <v>456</v>
      </c>
      <c r="C238" s="1" t="s">
        <v>469</v>
      </c>
      <c r="D238" s="52">
        <v>46058.575694444444</v>
      </c>
      <c r="E238" s="52">
        <v>46058.575694444444</v>
      </c>
      <c r="F238" s="52">
        <v>46058.669444444444</v>
      </c>
      <c r="G238" s="53">
        <v>9.375E-2</v>
      </c>
      <c r="H238" s="1" t="s">
        <v>257</v>
      </c>
      <c r="J238" s="1" t="s">
        <v>258</v>
      </c>
      <c r="K238" s="1" t="s">
        <v>658</v>
      </c>
      <c r="L238" s="1" t="s">
        <v>691</v>
      </c>
      <c r="M238" s="1" t="s">
        <v>260</v>
      </c>
      <c r="N238" s="1" t="s">
        <v>357</v>
      </c>
      <c r="O238" s="1" t="s">
        <v>632</v>
      </c>
      <c r="P238" s="1" t="str">
        <f>_xlfn.CONCAT(B238,C238,D238,E238,F238)</f>
        <v>BC Caiaponia1SG60KTL(COM1-012)46058,575694444446058,575694444446058,6694444444</v>
      </c>
      <c r="Q238" s="1" t="str">
        <f>_xlfn.CONCAT(H238,I238,J238)</f>
        <v>DAURDE</v>
      </c>
    </row>
    <row r="239" spans="2:17">
      <c r="B239" s="1" t="s">
        <v>456</v>
      </c>
      <c r="C239" s="1" t="s">
        <v>470</v>
      </c>
      <c r="D239" s="52">
        <v>46058.575694444444</v>
      </c>
      <c r="E239" s="52">
        <v>46058.575694444444</v>
      </c>
      <c r="F239" s="52">
        <v>46058.669444444444</v>
      </c>
      <c r="G239" s="53">
        <v>9.375E-2</v>
      </c>
      <c r="H239" s="1" t="s">
        <v>257</v>
      </c>
      <c r="J239" s="1" t="s">
        <v>258</v>
      </c>
      <c r="K239" s="1" t="s">
        <v>658</v>
      </c>
      <c r="L239" s="1" t="s">
        <v>691</v>
      </c>
      <c r="M239" s="1" t="s">
        <v>260</v>
      </c>
      <c r="N239" s="1" t="s">
        <v>357</v>
      </c>
      <c r="O239" s="1" t="s">
        <v>632</v>
      </c>
      <c r="P239" s="1" t="str">
        <f>_xlfn.CONCAT(B239,C239,D239,E239,F239)</f>
        <v>BC Caiaponia1SG60KTL(COM1-013)46058,575694444446058,575694444446058,6694444444</v>
      </c>
      <c r="Q239" s="1" t="str">
        <f>_xlfn.CONCAT(H239,I239,J239)</f>
        <v>DAURDE</v>
      </c>
    </row>
    <row r="240" spans="2:17">
      <c r="B240" s="1" t="s">
        <v>456</v>
      </c>
      <c r="C240" s="1" t="s">
        <v>471</v>
      </c>
      <c r="D240" s="52">
        <v>46058.575694444444</v>
      </c>
      <c r="E240" s="52">
        <v>46058.575694444444</v>
      </c>
      <c r="F240" s="52">
        <v>46058.669444444444</v>
      </c>
      <c r="G240" s="53">
        <v>9.375E-2</v>
      </c>
      <c r="H240" s="1" t="s">
        <v>257</v>
      </c>
      <c r="J240" s="1" t="s">
        <v>258</v>
      </c>
      <c r="K240" s="1" t="s">
        <v>658</v>
      </c>
      <c r="L240" s="1" t="s">
        <v>691</v>
      </c>
      <c r="M240" s="1" t="s">
        <v>260</v>
      </c>
      <c r="N240" s="1" t="s">
        <v>357</v>
      </c>
      <c r="O240" s="1" t="s">
        <v>632</v>
      </c>
      <c r="P240" s="1" t="str">
        <f>_xlfn.CONCAT(B240,C240,D240,E240,F240)</f>
        <v>BC Caiaponia1SG60KTL(COM1-014)46058,575694444446058,575694444446058,6694444444</v>
      </c>
      <c r="Q240" s="1" t="str">
        <f>_xlfn.CONCAT(H240,I240,J240)</f>
        <v>DAURDE</v>
      </c>
    </row>
    <row r="241" spans="2:17">
      <c r="B241" s="1" t="s">
        <v>456</v>
      </c>
      <c r="C241" s="1" t="s">
        <v>472</v>
      </c>
      <c r="D241" s="52">
        <v>46058.575694444444</v>
      </c>
      <c r="E241" s="52">
        <v>46058.575694444444</v>
      </c>
      <c r="F241" s="52">
        <v>46058.669444444444</v>
      </c>
      <c r="G241" s="53">
        <v>9.375E-2</v>
      </c>
      <c r="H241" s="1" t="s">
        <v>257</v>
      </c>
      <c r="J241" s="1" t="s">
        <v>258</v>
      </c>
      <c r="K241" s="1" t="s">
        <v>658</v>
      </c>
      <c r="L241" s="1" t="s">
        <v>691</v>
      </c>
      <c r="M241" s="1" t="s">
        <v>260</v>
      </c>
      <c r="N241" s="1" t="s">
        <v>357</v>
      </c>
      <c r="O241" s="1" t="s">
        <v>632</v>
      </c>
      <c r="P241" s="1" t="str">
        <f>_xlfn.CONCAT(B241,C241,D241,E241,F241)</f>
        <v>BC Caiaponia1SG60KTL(COM1-015)46058,575694444446058,575694444446058,6694444444</v>
      </c>
      <c r="Q241" s="1" t="str">
        <f>_xlfn.CONCAT(H241,I241,J241)</f>
        <v>DAURDE</v>
      </c>
    </row>
    <row r="242" spans="2:17">
      <c r="B242" s="1" t="s">
        <v>456</v>
      </c>
      <c r="C242" s="1" t="s">
        <v>473</v>
      </c>
      <c r="D242" s="52">
        <v>46058.575694444444</v>
      </c>
      <c r="E242" s="52">
        <v>46058.575694444444</v>
      </c>
      <c r="F242" s="52">
        <v>46058.669444444444</v>
      </c>
      <c r="G242" s="53">
        <v>9.375E-2</v>
      </c>
      <c r="H242" s="1" t="s">
        <v>257</v>
      </c>
      <c r="J242" s="1" t="s">
        <v>258</v>
      </c>
      <c r="K242" s="1" t="s">
        <v>658</v>
      </c>
      <c r="L242" s="1" t="s">
        <v>691</v>
      </c>
      <c r="M242" s="1" t="s">
        <v>260</v>
      </c>
      <c r="N242" s="1" t="s">
        <v>357</v>
      </c>
      <c r="O242" s="1" t="s">
        <v>632</v>
      </c>
      <c r="P242" s="1" t="str">
        <f>_xlfn.CONCAT(B242,C242,D242,E242,F242)</f>
        <v>BC Caiaponia1SG60KTL(COM3-016)_001_00946058,575694444446058,575694444446058,6694444444</v>
      </c>
      <c r="Q242" s="1" t="str">
        <f>_xlfn.CONCAT(H242,I242,J242)</f>
        <v>DAURDE</v>
      </c>
    </row>
    <row r="243" spans="2:17">
      <c r="B243" s="1" t="s">
        <v>456</v>
      </c>
      <c r="C243" s="1" t="s">
        <v>474</v>
      </c>
      <c r="D243" s="52">
        <v>46058.575694444444</v>
      </c>
      <c r="E243" s="52">
        <v>46058.575694444444</v>
      </c>
      <c r="F243" s="52">
        <v>46058.669444444444</v>
      </c>
      <c r="G243" s="53">
        <v>9.375E-2</v>
      </c>
      <c r="H243" s="1" t="s">
        <v>257</v>
      </c>
      <c r="J243" s="1" t="s">
        <v>258</v>
      </c>
      <c r="K243" s="1" t="s">
        <v>658</v>
      </c>
      <c r="L243" s="1" t="s">
        <v>691</v>
      </c>
      <c r="M243" s="1" t="s">
        <v>260</v>
      </c>
      <c r="N243" s="1" t="s">
        <v>357</v>
      </c>
      <c r="O243" s="1" t="s">
        <v>695</v>
      </c>
      <c r="P243" s="1" t="str">
        <f>_xlfn.CONCAT(B243,C243,D243,E243,F243)</f>
        <v>BC Caiaponia1SG60KTL(COM3-017)_001_01246058,575694444446058,575694444446058,6694444444</v>
      </c>
      <c r="Q243" s="1" t="str">
        <f>_xlfn.CONCAT(H243,I243,J243)</f>
        <v>DAURDE</v>
      </c>
    </row>
    <row r="244" spans="2:17">
      <c r="B244" s="1" t="s">
        <v>456</v>
      </c>
      <c r="C244" s="1" t="s">
        <v>475</v>
      </c>
      <c r="D244" s="52">
        <v>46058.575694444444</v>
      </c>
      <c r="E244" s="52">
        <v>46058.575694444444</v>
      </c>
      <c r="F244" s="52">
        <v>46058.669444444444</v>
      </c>
      <c r="G244" s="53">
        <v>9.375E-2</v>
      </c>
      <c r="H244" s="1" t="s">
        <v>257</v>
      </c>
      <c r="J244" s="1" t="s">
        <v>258</v>
      </c>
      <c r="K244" s="1" t="s">
        <v>658</v>
      </c>
      <c r="L244" s="1" t="s">
        <v>691</v>
      </c>
      <c r="M244" s="1" t="s">
        <v>260</v>
      </c>
      <c r="N244" s="1" t="s">
        <v>357</v>
      </c>
      <c r="O244" s="1" t="s">
        <v>695</v>
      </c>
      <c r="P244" s="1" t="str">
        <f>_xlfn.CONCAT(B244,C244,D244,E244,F244)</f>
        <v>BC Caiaponia1SG60KTL(COM3-018)_001_00846058,575694444446058,575694444446058,6694444444</v>
      </c>
      <c r="Q244" s="1" t="str">
        <f>_xlfn.CONCAT(H244,I244,J244)</f>
        <v>DAURDE</v>
      </c>
    </row>
    <row r="245" spans="2:17">
      <c r="B245" s="1" t="s">
        <v>456</v>
      </c>
      <c r="C245" s="1" t="s">
        <v>476</v>
      </c>
      <c r="D245" s="52">
        <v>46058.575694444444</v>
      </c>
      <c r="E245" s="52">
        <v>46058.575694444444</v>
      </c>
      <c r="F245" s="52">
        <v>46058.669444444444</v>
      </c>
      <c r="G245" s="53">
        <v>9.375E-2</v>
      </c>
      <c r="H245" s="1" t="s">
        <v>257</v>
      </c>
      <c r="J245" s="1" t="s">
        <v>258</v>
      </c>
      <c r="K245" s="1" t="s">
        <v>658</v>
      </c>
      <c r="L245" s="1" t="s">
        <v>691</v>
      </c>
      <c r="M245" s="1" t="s">
        <v>260</v>
      </c>
      <c r="N245" s="1" t="s">
        <v>357</v>
      </c>
      <c r="O245" s="1" t="s">
        <v>695</v>
      </c>
      <c r="P245" s="1" t="str">
        <f>_xlfn.CONCAT(B245,C245,D245,E245,F245)</f>
        <v>BC Caiaponia1SG60KTL(COM3-019)_001_01946058,575694444446058,575694444446058,6694444444</v>
      </c>
      <c r="Q245" s="1" t="str">
        <f>_xlfn.CONCAT(H245,I245,J245)</f>
        <v>DAURDE</v>
      </c>
    </row>
    <row r="246" spans="2:17">
      <c r="B246" s="1" t="s">
        <v>456</v>
      </c>
      <c r="C246" s="1" t="s">
        <v>477</v>
      </c>
      <c r="D246" s="52">
        <v>46058.575694444444</v>
      </c>
      <c r="E246" s="52">
        <v>46058.575694444444</v>
      </c>
      <c r="F246" s="52">
        <v>46058.669444444444</v>
      </c>
      <c r="G246" s="53">
        <v>9.375E-2</v>
      </c>
      <c r="H246" s="1" t="s">
        <v>257</v>
      </c>
      <c r="J246" s="1" t="s">
        <v>258</v>
      </c>
      <c r="K246" s="1" t="s">
        <v>658</v>
      </c>
      <c r="L246" s="1" t="s">
        <v>691</v>
      </c>
      <c r="M246" s="1" t="s">
        <v>260</v>
      </c>
      <c r="N246" s="1" t="s">
        <v>357</v>
      </c>
      <c r="O246" s="1" t="s">
        <v>695</v>
      </c>
      <c r="P246" s="1" t="str">
        <f>_xlfn.CONCAT(B246,C246,D246,E246,F246)</f>
        <v>BC Caiaponia1SG60KTL(COM3-020)_001_02046058,575694444446058,575694444446058,6694444444</v>
      </c>
      <c r="Q246" s="1" t="str">
        <f>_xlfn.CONCAT(H246,I246,J246)</f>
        <v>DAURDE</v>
      </c>
    </row>
    <row r="247" spans="2:17">
      <c r="B247" s="1" t="s">
        <v>456</v>
      </c>
      <c r="C247" s="1" t="s">
        <v>478</v>
      </c>
      <c r="D247" s="52">
        <v>46058.575694444444</v>
      </c>
      <c r="E247" s="52">
        <v>46058.575694444444</v>
      </c>
      <c r="F247" s="52">
        <v>46058.669444444444</v>
      </c>
      <c r="G247" s="53">
        <v>9.375E-2</v>
      </c>
      <c r="H247" s="1" t="s">
        <v>257</v>
      </c>
      <c r="J247" s="1" t="s">
        <v>258</v>
      </c>
      <c r="K247" s="1" t="s">
        <v>658</v>
      </c>
      <c r="L247" s="1" t="s">
        <v>691</v>
      </c>
      <c r="M247" s="1" t="s">
        <v>260</v>
      </c>
      <c r="N247" s="1" t="s">
        <v>357</v>
      </c>
      <c r="O247" s="1" t="s">
        <v>695</v>
      </c>
      <c r="P247" s="1" t="str">
        <f>_xlfn.CONCAT(B247,C247,D247,E247,F247)</f>
        <v>BC Caiaponia1SG60KTL(COM2-026)46058,575694444446058,575694444446058,6694444444</v>
      </c>
      <c r="Q247" s="1" t="str">
        <f>_xlfn.CONCAT(H247,I247,J247)</f>
        <v>DAURDE</v>
      </c>
    </row>
    <row r="248" spans="2:17">
      <c r="B248" s="1" t="s">
        <v>456</v>
      </c>
      <c r="C248" s="1" t="s">
        <v>479</v>
      </c>
      <c r="D248" s="52">
        <v>46058.575694444444</v>
      </c>
      <c r="E248" s="52">
        <v>46058.575694444444</v>
      </c>
      <c r="F248" s="52">
        <v>46058.669444444444</v>
      </c>
      <c r="G248" s="53">
        <v>9.375E-2</v>
      </c>
      <c r="H248" s="1" t="s">
        <v>257</v>
      </c>
      <c r="J248" s="1" t="s">
        <v>258</v>
      </c>
      <c r="K248" s="1" t="s">
        <v>658</v>
      </c>
      <c r="L248" s="1" t="s">
        <v>691</v>
      </c>
      <c r="M248" s="1" t="s">
        <v>260</v>
      </c>
      <c r="N248" s="1" t="s">
        <v>357</v>
      </c>
      <c r="O248" s="1" t="s">
        <v>695</v>
      </c>
      <c r="P248" s="1" t="str">
        <f>_xlfn.CONCAT(B248,C248,D248,E248,F248)</f>
        <v>BC Caiaponia1SG60KTL(COM2-027)46058,575694444446058,575694444446058,6694444444</v>
      </c>
      <c r="Q248" s="1" t="str">
        <f>_xlfn.CONCAT(H248,I248,J248)</f>
        <v>DAURDE</v>
      </c>
    </row>
    <row r="249" spans="2:17">
      <c r="B249" s="1" t="s">
        <v>456</v>
      </c>
      <c r="C249" s="1" t="s">
        <v>480</v>
      </c>
      <c r="D249" s="52">
        <v>46058.575694444444</v>
      </c>
      <c r="E249" s="52">
        <v>46058.575694444444</v>
      </c>
      <c r="F249" s="52">
        <v>46058.669444444444</v>
      </c>
      <c r="G249" s="53">
        <v>9.375E-2</v>
      </c>
      <c r="H249" s="1" t="s">
        <v>257</v>
      </c>
      <c r="J249" s="1" t="s">
        <v>258</v>
      </c>
      <c r="K249" s="1" t="s">
        <v>658</v>
      </c>
      <c r="L249" s="1" t="s">
        <v>691</v>
      </c>
      <c r="M249" s="1" t="s">
        <v>260</v>
      </c>
      <c r="N249" s="1" t="s">
        <v>357</v>
      </c>
      <c r="O249" s="1" t="s">
        <v>695</v>
      </c>
      <c r="P249" s="1" t="str">
        <f>_xlfn.CONCAT(B249,C249,D249,E249,F249)</f>
        <v>BC Caiaponia1SG60KTL(COM2-028)46058,575694444446058,575694444446058,6694444444</v>
      </c>
      <c r="Q249" s="1" t="str">
        <f>_xlfn.CONCAT(H249,I249,J249)</f>
        <v>DAURDE</v>
      </c>
    </row>
    <row r="250" spans="2:17">
      <c r="B250" s="1" t="s">
        <v>456</v>
      </c>
      <c r="C250" s="1" t="s">
        <v>481</v>
      </c>
      <c r="D250" s="52">
        <v>46058.575694444444</v>
      </c>
      <c r="E250" s="52">
        <v>46058.575694444444</v>
      </c>
      <c r="F250" s="52">
        <v>46058.669444444444</v>
      </c>
      <c r="G250" s="53">
        <v>9.375E-2</v>
      </c>
      <c r="H250" s="1" t="s">
        <v>257</v>
      </c>
      <c r="J250" s="1" t="s">
        <v>258</v>
      </c>
      <c r="K250" s="1" t="s">
        <v>658</v>
      </c>
      <c r="L250" s="1" t="s">
        <v>691</v>
      </c>
      <c r="M250" s="1" t="s">
        <v>260</v>
      </c>
      <c r="N250" s="1" t="s">
        <v>357</v>
      </c>
      <c r="O250" s="1" t="s">
        <v>695</v>
      </c>
      <c r="P250" s="1" t="str">
        <f>_xlfn.CONCAT(B250,C250,D250,E250,F250)</f>
        <v>BC Caiaponia1SG60KTL(COM2-029)46058,575694444446058,575694444446058,6694444444</v>
      </c>
      <c r="Q250" s="1" t="str">
        <f>_xlfn.CONCAT(H250,I250,J250)</f>
        <v>DAURDE</v>
      </c>
    </row>
    <row r="251" spans="2:17">
      <c r="B251" s="66" t="s">
        <v>456</v>
      </c>
      <c r="C251" s="1" t="s">
        <v>482</v>
      </c>
      <c r="D251" s="52">
        <v>46058.575694444444</v>
      </c>
      <c r="E251" s="52">
        <v>46058.575694444444</v>
      </c>
      <c r="F251" s="52">
        <v>46058.669444444444</v>
      </c>
      <c r="G251" s="53">
        <v>9.375E-2</v>
      </c>
      <c r="H251" s="1" t="s">
        <v>257</v>
      </c>
      <c r="J251" s="1" t="s">
        <v>258</v>
      </c>
      <c r="K251" s="1" t="s">
        <v>658</v>
      </c>
      <c r="L251" s="1" t="s">
        <v>691</v>
      </c>
      <c r="M251" s="1" t="s">
        <v>260</v>
      </c>
      <c r="N251" s="1" t="s">
        <v>357</v>
      </c>
      <c r="O251" s="77" t="s">
        <v>626</v>
      </c>
      <c r="P251" s="1" t="str">
        <f>_xlfn.CONCAT(B251,C251,D251,E251,F251)</f>
        <v>BC Caiaponia1SG50CX(COM1-021)46058,575694444446058,575694444446058,6694444444</v>
      </c>
      <c r="Q251" s="1" t="str">
        <f>_xlfn.CONCAT(H251,I251,J251)</f>
        <v>DAURDE</v>
      </c>
    </row>
    <row r="252" spans="2:17">
      <c r="B252" s="66" t="s">
        <v>456</v>
      </c>
      <c r="C252" s="1" t="s">
        <v>483</v>
      </c>
      <c r="D252" s="52">
        <v>46058.575694444444</v>
      </c>
      <c r="E252" s="52">
        <v>46058.575694444444</v>
      </c>
      <c r="F252" s="52">
        <v>46058.669444444444</v>
      </c>
      <c r="G252" s="53">
        <v>9.375E-2</v>
      </c>
      <c r="H252" s="1" t="s">
        <v>257</v>
      </c>
      <c r="J252" s="1" t="s">
        <v>258</v>
      </c>
      <c r="K252" s="1" t="s">
        <v>658</v>
      </c>
      <c r="L252" s="1" t="s">
        <v>691</v>
      </c>
      <c r="M252" s="1" t="s">
        <v>260</v>
      </c>
      <c r="N252" s="1" t="s">
        <v>357</v>
      </c>
      <c r="O252" s="77" t="s">
        <v>626</v>
      </c>
      <c r="P252" s="1" t="str">
        <f>_xlfn.CONCAT(B252,C252,D253,E252,F252)</f>
        <v>BC Caiaponia1SG50CX(COM1-022)46058,575694444446058,575694444446058,6694444444</v>
      </c>
      <c r="Q252" s="1" t="str">
        <f>_xlfn.CONCAT(H252,I252,J252)</f>
        <v>DAURDE</v>
      </c>
    </row>
    <row r="253" spans="2:17">
      <c r="B253" s="66" t="s">
        <v>456</v>
      </c>
      <c r="C253" s="1" t="s">
        <v>484</v>
      </c>
      <c r="D253" s="52">
        <v>46058.575694444444</v>
      </c>
      <c r="E253" s="52">
        <v>46058.575694444444</v>
      </c>
      <c r="F253" s="52">
        <v>46058.669444444444</v>
      </c>
      <c r="G253" s="53">
        <v>9.375E-2</v>
      </c>
      <c r="H253" s="1" t="s">
        <v>257</v>
      </c>
      <c r="J253" s="1" t="s">
        <v>258</v>
      </c>
      <c r="K253" s="1" t="s">
        <v>658</v>
      </c>
      <c r="L253" s="1" t="s">
        <v>691</v>
      </c>
      <c r="M253" s="1" t="s">
        <v>260</v>
      </c>
      <c r="N253" s="1" t="s">
        <v>357</v>
      </c>
      <c r="O253" s="77" t="s">
        <v>626</v>
      </c>
      <c r="P253" s="1" t="str">
        <f>_xlfn.CONCAT(B253,C253,D254,E253,F253)</f>
        <v>BC Caiaponia1SG50CX(COM1-023)46058,575694444446058,575694444446058,6694444444</v>
      </c>
      <c r="Q253" s="1" t="str">
        <f>_xlfn.CONCAT(H253,I253,J253)</f>
        <v>DAURDE</v>
      </c>
    </row>
    <row r="254" spans="2:17">
      <c r="B254" s="66" t="s">
        <v>456</v>
      </c>
      <c r="C254" s="1" t="s">
        <v>485</v>
      </c>
      <c r="D254" s="52">
        <v>46058.575694444444</v>
      </c>
      <c r="E254" s="52">
        <v>46058.575694444444</v>
      </c>
      <c r="F254" s="52">
        <v>46058.669444444444</v>
      </c>
      <c r="G254" s="53">
        <v>9.375E-2</v>
      </c>
      <c r="H254" s="1" t="s">
        <v>257</v>
      </c>
      <c r="J254" s="1" t="s">
        <v>258</v>
      </c>
      <c r="K254" s="1" t="s">
        <v>658</v>
      </c>
      <c r="L254" s="1" t="s">
        <v>691</v>
      </c>
      <c r="M254" s="1" t="s">
        <v>260</v>
      </c>
      <c r="N254" s="1" t="s">
        <v>357</v>
      </c>
      <c r="O254" s="77" t="s">
        <v>626</v>
      </c>
      <c r="P254" s="1" t="str">
        <f>_xlfn.CONCAT(B254,C254,D255,E254,F254)</f>
        <v>BC Caiaponia1SG50CX(COM1-024)46058,575694444446058,575694444446058,6694444444</v>
      </c>
      <c r="Q254" s="1" t="str">
        <f>_xlfn.CONCAT(H254,I254,J254)</f>
        <v>DAURDE</v>
      </c>
    </row>
    <row r="255" spans="2:17">
      <c r="B255" s="66" t="s">
        <v>456</v>
      </c>
      <c r="C255" s="1" t="s">
        <v>486</v>
      </c>
      <c r="D255" s="52">
        <v>46058.575694444444</v>
      </c>
      <c r="E255" s="52">
        <v>46058.575694444444</v>
      </c>
      <c r="F255" s="52">
        <v>46058.669444444444</v>
      </c>
      <c r="G255" s="53">
        <v>9.375E-2</v>
      </c>
      <c r="H255" s="1" t="s">
        <v>257</v>
      </c>
      <c r="J255" s="1" t="s">
        <v>258</v>
      </c>
      <c r="K255" s="1" t="s">
        <v>658</v>
      </c>
      <c r="L255" s="1" t="s">
        <v>691</v>
      </c>
      <c r="M255" s="1" t="s">
        <v>260</v>
      </c>
      <c r="N255" s="1" t="s">
        <v>357</v>
      </c>
      <c r="O255" s="77" t="s">
        <v>626</v>
      </c>
      <c r="P255" s="1" t="str">
        <f>_xlfn.CONCAT(B255,C255,D256,E255,F255)</f>
        <v>BC Caiaponia1SG50CX(COM1-025)46058,575694444446058,575694444446058,6694444444</v>
      </c>
      <c r="Q255" s="1" t="str">
        <f>_xlfn.CONCAT(H255,I255,J255)</f>
        <v>DAURDE</v>
      </c>
    </row>
    <row r="256" spans="2:17">
      <c r="B256" s="66" t="s">
        <v>487</v>
      </c>
      <c r="C256" s="1" t="s">
        <v>377</v>
      </c>
      <c r="D256" s="52">
        <v>46058.575694444444</v>
      </c>
      <c r="E256" s="52">
        <v>46058.575694444444</v>
      </c>
      <c r="F256" s="52">
        <v>46058.669444444444</v>
      </c>
      <c r="G256" s="53">
        <v>9.375E-2</v>
      </c>
      <c r="H256" s="1" t="s">
        <v>257</v>
      </c>
      <c r="J256" s="1" t="s">
        <v>258</v>
      </c>
      <c r="K256" s="1" t="s">
        <v>658</v>
      </c>
      <c r="L256" s="1" t="s">
        <v>691</v>
      </c>
      <c r="M256" s="1" t="s">
        <v>260</v>
      </c>
      <c r="N256" s="1" t="s">
        <v>357</v>
      </c>
      <c r="O256" s="77" t="s">
        <v>626</v>
      </c>
      <c r="P256" s="1" t="str">
        <f>_xlfn.CONCAT(B256,C256,D257,E256,F256)</f>
        <v>BC Caiaponia2.1215KTL-H3(MBUS-12)46058,575694444446058,575694444446058,6694444444</v>
      </c>
      <c r="Q256" s="1" t="str">
        <f>_xlfn.CONCAT(H256,I256,J256)</f>
        <v>DAURDE</v>
      </c>
    </row>
    <row r="257" spans="2:17">
      <c r="B257" s="66" t="s">
        <v>487</v>
      </c>
      <c r="C257" s="1" t="s">
        <v>378</v>
      </c>
      <c r="D257" s="52">
        <v>46058.575694444444</v>
      </c>
      <c r="E257" s="52">
        <v>46058.575694444444</v>
      </c>
      <c r="F257" s="52">
        <v>46058.669444444444</v>
      </c>
      <c r="G257" s="53">
        <v>9.375E-2</v>
      </c>
      <c r="H257" s="1" t="s">
        <v>257</v>
      </c>
      <c r="J257" s="1" t="s">
        <v>258</v>
      </c>
      <c r="K257" s="1" t="s">
        <v>658</v>
      </c>
      <c r="L257" s="1" t="s">
        <v>691</v>
      </c>
      <c r="M257" s="1" t="s">
        <v>260</v>
      </c>
      <c r="N257" s="1" t="s">
        <v>357</v>
      </c>
      <c r="O257" s="77" t="s">
        <v>626</v>
      </c>
      <c r="P257" s="1" t="str">
        <f>_xlfn.CONCAT(B257,C257,D258,E257,F257)</f>
        <v>BC Caiaponia2.1215KTL-H3(MBUS-13)46058,575694444446058,575694444446058,6694444444</v>
      </c>
      <c r="Q257" s="1" t="str">
        <f>_xlfn.CONCAT(H257,I257,J257)</f>
        <v>DAURDE</v>
      </c>
    </row>
    <row r="258" spans="2:17">
      <c r="B258" s="66" t="s">
        <v>487</v>
      </c>
      <c r="C258" s="1" t="s">
        <v>382</v>
      </c>
      <c r="D258" s="52">
        <v>46058.575694444444</v>
      </c>
      <c r="E258" s="52">
        <v>46058.575694444444</v>
      </c>
      <c r="F258" s="52">
        <v>46058.669444444444</v>
      </c>
      <c r="G258" s="53">
        <v>9.375E-2</v>
      </c>
      <c r="H258" s="1" t="s">
        <v>257</v>
      </c>
      <c r="J258" s="1" t="s">
        <v>258</v>
      </c>
      <c r="K258" s="1" t="s">
        <v>658</v>
      </c>
      <c r="L258" s="1" t="s">
        <v>691</v>
      </c>
      <c r="M258" s="1" t="s">
        <v>260</v>
      </c>
      <c r="N258" s="1" t="s">
        <v>357</v>
      </c>
      <c r="O258" s="77" t="s">
        <v>626</v>
      </c>
      <c r="P258" s="1" t="str">
        <f>_xlfn.CONCAT(B258,C258,D259,E258,F258)</f>
        <v>BC Caiaponia2.1215KTL-H3(MBUS-14)46058,575694444446058,575694444446058,6694444444</v>
      </c>
      <c r="Q258" s="1" t="str">
        <f>_xlfn.CONCAT(H258,I258,J258)</f>
        <v>DAURDE</v>
      </c>
    </row>
    <row r="259" spans="2:17">
      <c r="B259" s="1" t="s">
        <v>487</v>
      </c>
      <c r="C259" s="1" t="s">
        <v>380</v>
      </c>
      <c r="D259" s="52">
        <v>46058.575694444444</v>
      </c>
      <c r="E259" s="52">
        <v>46058.575694444444</v>
      </c>
      <c r="F259" s="52">
        <v>46058.669444444444</v>
      </c>
      <c r="G259" s="53">
        <v>9.375E-2</v>
      </c>
      <c r="H259" s="1" t="s">
        <v>257</v>
      </c>
      <c r="J259" s="1" t="s">
        <v>258</v>
      </c>
      <c r="K259" s="1" t="s">
        <v>658</v>
      </c>
      <c r="L259" s="1" t="s">
        <v>691</v>
      </c>
      <c r="M259" s="1" t="s">
        <v>260</v>
      </c>
      <c r="N259" s="1" t="s">
        <v>357</v>
      </c>
      <c r="O259" s="1" t="s">
        <v>632</v>
      </c>
      <c r="P259" s="1" t="str">
        <f>_xlfn.CONCAT(B259,C259,D259,E259,F259)</f>
        <v>BC Caiaponia2.1215KTL-H3(MBUS-15)46058,575694444446058,575694444446058,6694444444</v>
      </c>
      <c r="Q259" s="1" t="str">
        <f>_xlfn.CONCAT(H259,I259,J259)</f>
        <v>DAURDE</v>
      </c>
    </row>
    <row r="260" spans="2:17">
      <c r="B260" s="1" t="s">
        <v>487</v>
      </c>
      <c r="C260" s="1" t="s">
        <v>379</v>
      </c>
      <c r="D260" s="52">
        <v>46058.575694444444</v>
      </c>
      <c r="E260" s="52">
        <v>46058.575694444444</v>
      </c>
      <c r="F260" s="52">
        <v>46058.669444444444</v>
      </c>
      <c r="G260" s="53">
        <v>9.375E-2</v>
      </c>
      <c r="H260" s="1" t="s">
        <v>257</v>
      </c>
      <c r="J260" s="1" t="s">
        <v>258</v>
      </c>
      <c r="K260" s="1" t="s">
        <v>658</v>
      </c>
      <c r="L260" s="1" t="s">
        <v>691</v>
      </c>
      <c r="M260" s="1" t="s">
        <v>260</v>
      </c>
      <c r="N260" s="1" t="s">
        <v>357</v>
      </c>
      <c r="O260" s="1" t="s">
        <v>632</v>
      </c>
      <c r="P260" s="1" t="str">
        <f>_xlfn.CONCAT(B260,C260,D260,E260,F260)</f>
        <v>BC Caiaponia2.1215KTL-H3(MBUS-16)46058,575694444446058,575694444446058,6694444444</v>
      </c>
      <c r="Q260" s="1" t="str">
        <f>_xlfn.CONCAT(H260,I260,J260)</f>
        <v>DAURDE</v>
      </c>
    </row>
    <row r="261" spans="2:17">
      <c r="B261" s="1" t="s">
        <v>583</v>
      </c>
      <c r="C261" s="1" t="s">
        <v>377</v>
      </c>
      <c r="D261" s="52">
        <v>46058.575694444444</v>
      </c>
      <c r="E261" s="52">
        <v>46058.575694444444</v>
      </c>
      <c r="F261" s="52">
        <v>46058.669444444444</v>
      </c>
      <c r="G261" s="53">
        <v>9.375E-2</v>
      </c>
      <c r="H261" s="1" t="s">
        <v>257</v>
      </c>
      <c r="J261" s="1" t="s">
        <v>258</v>
      </c>
      <c r="K261" s="1" t="s">
        <v>658</v>
      </c>
      <c r="L261" s="1" t="s">
        <v>691</v>
      </c>
      <c r="M261" s="1" t="s">
        <v>260</v>
      </c>
      <c r="N261" s="1" t="s">
        <v>357</v>
      </c>
      <c r="O261" s="1" t="s">
        <v>632</v>
      </c>
      <c r="P261" s="1" t="str">
        <f>_xlfn.CONCAT(B261,C261,D261,E261,F261)</f>
        <v>BC Caiaponia2.2215KTL-H3(MBUS-12)46058,575694444446058,575694444446058,6694444444</v>
      </c>
      <c r="Q261" s="1" t="str">
        <f>_xlfn.CONCAT(H261,I261,J261)</f>
        <v>DAURDE</v>
      </c>
    </row>
    <row r="262" spans="2:17">
      <c r="B262" s="1" t="s">
        <v>583</v>
      </c>
      <c r="C262" s="1" t="s">
        <v>378</v>
      </c>
      <c r="D262" s="52">
        <v>46058.575694444444</v>
      </c>
      <c r="E262" s="52">
        <v>46058.575694444444</v>
      </c>
      <c r="F262" s="52">
        <v>46058.669444444444</v>
      </c>
      <c r="G262" s="53">
        <v>9.375E-2</v>
      </c>
      <c r="H262" s="1" t="s">
        <v>257</v>
      </c>
      <c r="J262" s="1" t="s">
        <v>258</v>
      </c>
      <c r="K262" s="1" t="s">
        <v>658</v>
      </c>
      <c r="L262" s="1" t="s">
        <v>691</v>
      </c>
      <c r="M262" s="1" t="s">
        <v>260</v>
      </c>
      <c r="N262" s="1" t="s">
        <v>357</v>
      </c>
      <c r="O262" s="1" t="s">
        <v>632</v>
      </c>
      <c r="P262" s="1" t="str">
        <f>_xlfn.CONCAT(B262,C262,D262,E262,F262)</f>
        <v>BC Caiaponia2.2215KTL-H3(MBUS-13)46058,575694444446058,575694444446058,6694444444</v>
      </c>
      <c r="Q262" s="1" t="str">
        <f>_xlfn.CONCAT(H262,I262,J262)</f>
        <v>DAURDE</v>
      </c>
    </row>
    <row r="263" spans="2:17">
      <c r="B263" s="1" t="s">
        <v>583</v>
      </c>
      <c r="C263" s="1" t="s">
        <v>382</v>
      </c>
      <c r="D263" s="52">
        <v>46058.575694444444</v>
      </c>
      <c r="E263" s="52">
        <v>46058.575694444444</v>
      </c>
      <c r="F263" s="52">
        <v>46058.669444444444</v>
      </c>
      <c r="G263" s="53">
        <v>9.375E-2</v>
      </c>
      <c r="H263" s="1" t="s">
        <v>257</v>
      </c>
      <c r="J263" s="1" t="s">
        <v>258</v>
      </c>
      <c r="K263" s="1" t="s">
        <v>658</v>
      </c>
      <c r="L263" s="1" t="s">
        <v>691</v>
      </c>
      <c r="M263" s="1" t="s">
        <v>260</v>
      </c>
      <c r="N263" s="1" t="s">
        <v>357</v>
      </c>
      <c r="O263" s="1" t="s">
        <v>632</v>
      </c>
      <c r="P263" s="1" t="str">
        <f>_xlfn.CONCAT(B263,C263,D263,E263,F263)</f>
        <v>BC Caiaponia2.2215KTL-H3(MBUS-14)46058,575694444446058,575694444446058,6694444444</v>
      </c>
      <c r="Q263" s="1" t="str">
        <f>_xlfn.CONCAT(H263,I263,J263)</f>
        <v>DAURDE</v>
      </c>
    </row>
    <row r="264" spans="2:17">
      <c r="B264" s="1" t="s">
        <v>583</v>
      </c>
      <c r="C264" s="1" t="s">
        <v>380</v>
      </c>
      <c r="D264" s="52">
        <v>46058.575694444444</v>
      </c>
      <c r="E264" s="52">
        <v>46058.575694444444</v>
      </c>
      <c r="F264" s="52">
        <v>46058.669444444444</v>
      </c>
      <c r="G264" s="53">
        <v>9.375E-2</v>
      </c>
      <c r="H264" s="1" t="s">
        <v>257</v>
      </c>
      <c r="J264" s="1" t="s">
        <v>258</v>
      </c>
      <c r="K264" s="1" t="s">
        <v>658</v>
      </c>
      <c r="L264" s="1" t="s">
        <v>691</v>
      </c>
      <c r="M264" s="1" t="s">
        <v>260</v>
      </c>
      <c r="N264" s="1" t="s">
        <v>357</v>
      </c>
      <c r="O264" s="1" t="s">
        <v>632</v>
      </c>
      <c r="P264" s="1" t="str">
        <f>_xlfn.CONCAT(B264,C264,D264,E264,F264)</f>
        <v>BC Caiaponia2.2215KTL-H3(MBUS-15)46058,575694444446058,575694444446058,6694444444</v>
      </c>
      <c r="Q264" s="1" t="str">
        <f>_xlfn.CONCAT(H264,I264,J264)</f>
        <v>DAURDE</v>
      </c>
    </row>
    <row r="265" spans="2:17">
      <c r="B265" s="1" t="s">
        <v>583</v>
      </c>
      <c r="C265" s="1" t="s">
        <v>379</v>
      </c>
      <c r="D265" s="52">
        <v>46058.575694444444</v>
      </c>
      <c r="E265" s="52">
        <v>46058.575694444444</v>
      </c>
      <c r="F265" s="52">
        <v>46058.669444444444</v>
      </c>
      <c r="G265" s="53">
        <v>9.375E-2</v>
      </c>
      <c r="H265" s="1" t="s">
        <v>257</v>
      </c>
      <c r="J265" s="1" t="s">
        <v>258</v>
      </c>
      <c r="K265" s="1" t="s">
        <v>658</v>
      </c>
      <c r="L265" s="1" t="s">
        <v>691</v>
      </c>
      <c r="M265" s="1" t="s">
        <v>260</v>
      </c>
      <c r="N265" s="1" t="s">
        <v>357</v>
      </c>
      <c r="O265" s="1" t="s">
        <v>632</v>
      </c>
      <c r="P265" s="1" t="str">
        <f>_xlfn.CONCAT(B265,C265,D265,E265,F265)</f>
        <v>BC Caiaponia2.2215KTL-H3(MBUS-16)46058,575694444446058,575694444446058,6694444444</v>
      </c>
      <c r="Q265" s="1" t="str">
        <f>_xlfn.CONCAT(H265,I265,J265)</f>
        <v>DAURDE</v>
      </c>
    </row>
    <row r="266" spans="2:17">
      <c r="B266" s="1" t="s">
        <v>584</v>
      </c>
      <c r="C266" s="1" t="s">
        <v>377</v>
      </c>
      <c r="D266" s="52">
        <v>46058.575694444444</v>
      </c>
      <c r="E266" s="52">
        <v>46058.575694444444</v>
      </c>
      <c r="F266" s="52">
        <v>46058.669444444444</v>
      </c>
      <c r="G266" s="53">
        <v>9.375E-2</v>
      </c>
      <c r="H266" s="1" t="s">
        <v>257</v>
      </c>
      <c r="J266" s="1" t="s">
        <v>258</v>
      </c>
      <c r="K266" s="1" t="s">
        <v>658</v>
      </c>
      <c r="L266" s="1" t="s">
        <v>691</v>
      </c>
      <c r="M266" s="1" t="s">
        <v>260</v>
      </c>
      <c r="N266" s="1" t="s">
        <v>357</v>
      </c>
      <c r="O266" s="1" t="s">
        <v>632</v>
      </c>
      <c r="P266" s="1" t="str">
        <f>_xlfn.CONCAT(B266,C266,D266,E266,F266)</f>
        <v>BC Caiaponia2.3215KTL-H3(MBUS-12)46058,575694444446058,575694444446058,6694444444</v>
      </c>
      <c r="Q266" s="1" t="str">
        <f>_xlfn.CONCAT(H266,I266,J266)</f>
        <v>DAURDE</v>
      </c>
    </row>
    <row r="267" spans="2:17">
      <c r="B267" s="1" t="s">
        <v>584</v>
      </c>
      <c r="C267" s="1" t="s">
        <v>378</v>
      </c>
      <c r="D267" s="52">
        <v>46058.575694444444</v>
      </c>
      <c r="E267" s="52">
        <v>46058.575694444444</v>
      </c>
      <c r="F267" s="52">
        <v>46058.669444444444</v>
      </c>
      <c r="G267" s="53">
        <v>9.375E-2</v>
      </c>
      <c r="H267" s="1" t="s">
        <v>257</v>
      </c>
      <c r="J267" s="1" t="s">
        <v>258</v>
      </c>
      <c r="K267" s="1" t="s">
        <v>658</v>
      </c>
      <c r="L267" s="1" t="s">
        <v>691</v>
      </c>
      <c r="M267" s="1" t="s">
        <v>260</v>
      </c>
      <c r="N267" s="1" t="s">
        <v>357</v>
      </c>
      <c r="O267" s="1" t="s">
        <v>632</v>
      </c>
      <c r="P267" s="1" t="str">
        <f>_xlfn.CONCAT(B267,C267,D267,E267,F267)</f>
        <v>BC Caiaponia2.3215KTL-H3(MBUS-13)46058,575694444446058,575694444446058,6694444444</v>
      </c>
      <c r="Q267" s="1" t="str">
        <f>_xlfn.CONCAT(H267,I267,J267)</f>
        <v>DAURDE</v>
      </c>
    </row>
    <row r="268" spans="2:17">
      <c r="B268" s="1" t="s">
        <v>584</v>
      </c>
      <c r="C268" s="1" t="s">
        <v>382</v>
      </c>
      <c r="D268" s="52">
        <v>46058.575694444444</v>
      </c>
      <c r="E268" s="52">
        <v>46058.575694444444</v>
      </c>
      <c r="F268" s="52">
        <v>46058.669444444444</v>
      </c>
      <c r="G268" s="53">
        <v>9.375E-2</v>
      </c>
      <c r="H268" s="1" t="s">
        <v>257</v>
      </c>
      <c r="J268" s="1" t="s">
        <v>258</v>
      </c>
      <c r="K268" s="1" t="s">
        <v>658</v>
      </c>
      <c r="L268" s="1" t="s">
        <v>691</v>
      </c>
      <c r="M268" s="1" t="s">
        <v>260</v>
      </c>
      <c r="N268" s="1" t="s">
        <v>357</v>
      </c>
      <c r="O268" s="1" t="s">
        <v>632</v>
      </c>
      <c r="P268" s="1" t="str">
        <f>_xlfn.CONCAT(B268,C268,D268,E268,F268)</f>
        <v>BC Caiaponia2.3215KTL-H3(MBUS-14)46058,575694444446058,575694444446058,6694444444</v>
      </c>
      <c r="Q268" s="1" t="str">
        <f>_xlfn.CONCAT(H268,I268,J268)</f>
        <v>DAURDE</v>
      </c>
    </row>
    <row r="269" spans="2:17">
      <c r="B269" s="1" t="s">
        <v>584</v>
      </c>
      <c r="C269" s="1" t="s">
        <v>380</v>
      </c>
      <c r="D269" s="52">
        <v>46058.575694444444</v>
      </c>
      <c r="E269" s="52">
        <v>46058.575694444444</v>
      </c>
      <c r="F269" s="52">
        <v>46058.669444444444</v>
      </c>
      <c r="G269" s="53">
        <v>9.375E-2</v>
      </c>
      <c r="H269" s="1" t="s">
        <v>257</v>
      </c>
      <c r="J269" s="1" t="s">
        <v>258</v>
      </c>
      <c r="K269" s="1" t="s">
        <v>658</v>
      </c>
      <c r="L269" s="1" t="s">
        <v>691</v>
      </c>
      <c r="M269" s="1" t="s">
        <v>260</v>
      </c>
      <c r="N269" s="1" t="s">
        <v>357</v>
      </c>
      <c r="O269" s="1" t="s">
        <v>632</v>
      </c>
      <c r="P269" s="1" t="str">
        <f>_xlfn.CONCAT(B269,C269,D269,E269,F269)</f>
        <v>BC Caiaponia2.3215KTL-H3(MBUS-15)46058,575694444446058,575694444446058,6694444444</v>
      </c>
      <c r="Q269" s="1" t="str">
        <f>_xlfn.CONCAT(H269,I269,J269)</f>
        <v>DAURDE</v>
      </c>
    </row>
    <row r="270" spans="2:17">
      <c r="B270" s="1" t="s">
        <v>584</v>
      </c>
      <c r="C270" s="1" t="s">
        <v>379</v>
      </c>
      <c r="D270" s="52">
        <v>46058.575694444444</v>
      </c>
      <c r="E270" s="52">
        <v>46058.575694444444</v>
      </c>
      <c r="F270" s="52">
        <v>46058.669444444444</v>
      </c>
      <c r="G270" s="53">
        <v>9.375E-2</v>
      </c>
      <c r="H270" s="1" t="s">
        <v>257</v>
      </c>
      <c r="J270" s="1" t="s">
        <v>258</v>
      </c>
      <c r="K270" s="1" t="s">
        <v>658</v>
      </c>
      <c r="L270" s="1" t="s">
        <v>691</v>
      </c>
      <c r="M270" s="1" t="s">
        <v>260</v>
      </c>
      <c r="N270" s="1" t="s">
        <v>357</v>
      </c>
      <c r="O270" s="1" t="s">
        <v>632</v>
      </c>
      <c r="P270" s="1" t="str">
        <f>_xlfn.CONCAT(B270,C270,D270,E270,F270)</f>
        <v>BC Caiaponia2.3215KTL-H3(MBUS-16)46058,575694444446058,575694444446058,6694444444</v>
      </c>
      <c r="Q270" s="1" t="str">
        <f>_xlfn.CONCAT(H270,I270,J270)</f>
        <v>DAURDE</v>
      </c>
    </row>
    <row r="271" spans="2:17">
      <c r="B271" s="1" t="s">
        <v>456</v>
      </c>
      <c r="C271" s="1" t="s">
        <v>457</v>
      </c>
      <c r="D271" s="52">
        <v>46058.701388888891</v>
      </c>
      <c r="E271" s="52">
        <v>46058.701388888891</v>
      </c>
      <c r="F271" s="52">
        <v>46058.865972222222</v>
      </c>
      <c r="G271" s="53">
        <v>0.16458333333333333</v>
      </c>
      <c r="H271" s="1" t="s">
        <v>257</v>
      </c>
      <c r="J271" s="1" t="s">
        <v>258</v>
      </c>
      <c r="K271" s="1" t="s">
        <v>658</v>
      </c>
      <c r="L271" s="1" t="s">
        <v>691</v>
      </c>
      <c r="M271" s="1" t="s">
        <v>260</v>
      </c>
      <c r="N271" s="1" t="s">
        <v>357</v>
      </c>
      <c r="O271" s="1" t="s">
        <v>632</v>
      </c>
      <c r="P271" s="1" t="str">
        <f>_xlfn.CONCAT(B271,C271,D271,E271,F271)</f>
        <v>BC Caiaponia1SG60KTL(COM1-001)_001_00746058,701388888946058,701388888946058,8659722222</v>
      </c>
      <c r="Q271" s="1" t="str">
        <f>_xlfn.CONCAT(H271,I271,J271)</f>
        <v>DAURDE</v>
      </c>
    </row>
    <row r="272" spans="2:17">
      <c r="B272" s="1" t="s">
        <v>456</v>
      </c>
      <c r="C272" s="1" t="s">
        <v>459</v>
      </c>
      <c r="D272" s="52">
        <v>46058.701388888891</v>
      </c>
      <c r="E272" s="52">
        <v>46058.701388888891</v>
      </c>
      <c r="F272" s="52">
        <v>46058.865972222222</v>
      </c>
      <c r="G272" s="53">
        <v>0.16458333333333333</v>
      </c>
      <c r="H272" s="1" t="s">
        <v>257</v>
      </c>
      <c r="J272" s="1" t="s">
        <v>258</v>
      </c>
      <c r="K272" s="1" t="s">
        <v>658</v>
      </c>
      <c r="L272" s="1" t="s">
        <v>691</v>
      </c>
      <c r="M272" s="1" t="s">
        <v>260</v>
      </c>
      <c r="N272" s="1" t="s">
        <v>357</v>
      </c>
      <c r="O272" s="1" t="s">
        <v>632</v>
      </c>
      <c r="P272" s="1" t="str">
        <f>_xlfn.CONCAT(B272,C272,D272,E272,F272)</f>
        <v>BC Caiaponia1SG60KTL(COM1-002)_001_01046058,701388888946058,701388888946058,8659722222</v>
      </c>
      <c r="Q272" s="1" t="str">
        <f>_xlfn.CONCAT(H272,I272,J272)</f>
        <v>DAURDE</v>
      </c>
    </row>
    <row r="273" spans="2:17">
      <c r="B273" s="1" t="s">
        <v>456</v>
      </c>
      <c r="C273" s="1" t="s">
        <v>460</v>
      </c>
      <c r="D273" s="52">
        <v>46058.701388888891</v>
      </c>
      <c r="E273" s="52">
        <v>46058.701388888891</v>
      </c>
      <c r="F273" s="52">
        <v>46058.865972222222</v>
      </c>
      <c r="G273" s="53">
        <v>0.16458333333333333</v>
      </c>
      <c r="H273" s="1" t="s">
        <v>257</v>
      </c>
      <c r="J273" s="1" t="s">
        <v>258</v>
      </c>
      <c r="K273" s="1" t="s">
        <v>658</v>
      </c>
      <c r="L273" s="1" t="s">
        <v>691</v>
      </c>
      <c r="M273" s="1" t="s">
        <v>260</v>
      </c>
      <c r="N273" s="1" t="s">
        <v>357</v>
      </c>
      <c r="O273" s="1" t="s">
        <v>632</v>
      </c>
      <c r="P273" s="1" t="str">
        <f>_xlfn.CONCAT(B273,C273,D273,E273,F273)</f>
        <v>BC Caiaponia1SG60KTL(COM1-003)_001_01146058,701388888946058,701388888946058,8659722222</v>
      </c>
      <c r="Q273" s="1" t="str">
        <f>_xlfn.CONCAT(H273,I273,J273)</f>
        <v>DAURDE</v>
      </c>
    </row>
    <row r="274" spans="2:17">
      <c r="B274" s="1" t="s">
        <v>456</v>
      </c>
      <c r="C274" s="1" t="s">
        <v>461</v>
      </c>
      <c r="D274" s="52">
        <v>46058.701388888891</v>
      </c>
      <c r="E274" s="52">
        <v>46058.701388888891</v>
      </c>
      <c r="F274" s="52">
        <v>46058.865972222222</v>
      </c>
      <c r="G274" s="53">
        <v>0.16458333333333333</v>
      </c>
      <c r="H274" s="1" t="s">
        <v>257</v>
      </c>
      <c r="J274" s="1" t="s">
        <v>258</v>
      </c>
      <c r="K274" s="1" t="s">
        <v>658</v>
      </c>
      <c r="L274" s="1" t="s">
        <v>691</v>
      </c>
      <c r="M274" s="1" t="s">
        <v>260</v>
      </c>
      <c r="N274" s="1" t="s">
        <v>357</v>
      </c>
      <c r="O274" s="1" t="s">
        <v>632</v>
      </c>
      <c r="P274" s="1" t="str">
        <f>_xlfn.CONCAT(B274,C274,D274,E274,F274)</f>
        <v>BC Caiaponia1SG60KTL(COM1-004)_001_01446058,701388888946058,701388888946058,8659722222</v>
      </c>
      <c r="Q274" s="1" t="str">
        <f>_xlfn.CONCAT(H274,I274,J274)</f>
        <v>DAURDE</v>
      </c>
    </row>
    <row r="275" spans="2:17">
      <c r="B275" s="1" t="s">
        <v>456</v>
      </c>
      <c r="C275" s="1" t="s">
        <v>462</v>
      </c>
      <c r="D275" s="52">
        <v>46058.701388888891</v>
      </c>
      <c r="E275" s="52">
        <v>46058.701388888891</v>
      </c>
      <c r="F275" s="52">
        <v>46058.865972222222</v>
      </c>
      <c r="G275" s="53">
        <v>0.16458333333333333</v>
      </c>
      <c r="H275" s="1" t="s">
        <v>257</v>
      </c>
      <c r="J275" s="1" t="s">
        <v>258</v>
      </c>
      <c r="K275" s="1" t="s">
        <v>658</v>
      </c>
      <c r="L275" s="1" t="s">
        <v>691</v>
      </c>
      <c r="M275" s="1" t="s">
        <v>260</v>
      </c>
      <c r="N275" s="1" t="s">
        <v>357</v>
      </c>
      <c r="O275" s="1" t="s">
        <v>632</v>
      </c>
      <c r="P275" s="1" t="str">
        <f>_xlfn.CONCAT(B275,C275,D275,E275,F275)</f>
        <v>BC Caiaponia1SG60KTL(COM1-005)_001_01746058,701388888946058,701388888946058,8659722222</v>
      </c>
      <c r="Q275" s="1" t="str">
        <f>_xlfn.CONCAT(H275,I275,J275)</f>
        <v>DAURDE</v>
      </c>
    </row>
    <row r="276" spans="2:17">
      <c r="B276" s="1" t="s">
        <v>456</v>
      </c>
      <c r="C276" s="1" t="s">
        <v>463</v>
      </c>
      <c r="D276" s="52">
        <v>46058.701388888891</v>
      </c>
      <c r="E276" s="52">
        <v>46058.701388888891</v>
      </c>
      <c r="F276" s="52">
        <v>46058.865972222222</v>
      </c>
      <c r="G276" s="53">
        <v>0.16458333333333333</v>
      </c>
      <c r="H276" s="1" t="s">
        <v>257</v>
      </c>
      <c r="J276" s="1" t="s">
        <v>258</v>
      </c>
      <c r="K276" s="1" t="s">
        <v>658</v>
      </c>
      <c r="L276" s="1" t="s">
        <v>691</v>
      </c>
      <c r="M276" s="1" t="s">
        <v>260</v>
      </c>
      <c r="N276" s="1" t="s">
        <v>357</v>
      </c>
      <c r="O276" s="1" t="s">
        <v>632</v>
      </c>
      <c r="P276" s="1" t="str">
        <f>_xlfn.CONCAT(B276,C276,D276,E276,F276)</f>
        <v>BC Caiaponia1SG60KTL(COM1-006)_001_01646058,701388888946058,701388888946058,8659722222</v>
      </c>
      <c r="Q276" s="1" t="str">
        <f>_xlfn.CONCAT(H276,I276,J276)</f>
        <v>DAURDE</v>
      </c>
    </row>
    <row r="277" spans="2:17">
      <c r="B277" s="1" t="s">
        <v>456</v>
      </c>
      <c r="C277" s="1" t="s">
        <v>464</v>
      </c>
      <c r="D277" s="52">
        <v>46058.701388888891</v>
      </c>
      <c r="E277" s="52">
        <v>46058.701388888891</v>
      </c>
      <c r="F277" s="52">
        <v>46058.865972222222</v>
      </c>
      <c r="G277" s="53">
        <v>0.16458333333333333</v>
      </c>
      <c r="H277" s="1" t="s">
        <v>257</v>
      </c>
      <c r="J277" s="1" t="s">
        <v>258</v>
      </c>
      <c r="K277" s="1" t="s">
        <v>658</v>
      </c>
      <c r="L277" s="1" t="s">
        <v>691</v>
      </c>
      <c r="M277" s="1" t="s">
        <v>260</v>
      </c>
      <c r="N277" s="1" t="s">
        <v>357</v>
      </c>
      <c r="O277" s="1" t="s">
        <v>632</v>
      </c>
      <c r="P277" s="1" t="str">
        <f>_xlfn.CONCAT(B277,C277,D277,E277,F277)</f>
        <v>BC Caiaponia1SG60KTL(COM1-007)_001_01346058,701388888946058,701388888946058,8659722222</v>
      </c>
      <c r="Q277" s="1" t="str">
        <f>_xlfn.CONCAT(H277,I277,J277)</f>
        <v>DAURDE</v>
      </c>
    </row>
    <row r="278" spans="2:17">
      <c r="B278" s="1" t="s">
        <v>456</v>
      </c>
      <c r="C278" s="1" t="s">
        <v>465</v>
      </c>
      <c r="D278" s="52">
        <v>46058.701388888891</v>
      </c>
      <c r="E278" s="52">
        <v>46058.701388888891</v>
      </c>
      <c r="F278" s="52">
        <v>46058.865972222222</v>
      </c>
      <c r="G278" s="53">
        <v>0.16458333333333333</v>
      </c>
      <c r="H278" s="1" t="s">
        <v>257</v>
      </c>
      <c r="J278" s="1" t="s">
        <v>258</v>
      </c>
      <c r="K278" s="1" t="s">
        <v>658</v>
      </c>
      <c r="L278" s="1" t="s">
        <v>691</v>
      </c>
      <c r="M278" s="1" t="s">
        <v>260</v>
      </c>
      <c r="N278" s="1" t="s">
        <v>357</v>
      </c>
      <c r="O278" s="1" t="s">
        <v>632</v>
      </c>
      <c r="P278" s="1" t="str">
        <f>_xlfn.CONCAT(B278,C278,D278,E278,F278)</f>
        <v>BC Caiaponia1SG60KTL(COM1-008)_001_00146058,701388888946058,701388888946058,8659722222</v>
      </c>
      <c r="Q278" s="1" t="str">
        <f>_xlfn.CONCAT(H278,I278,J278)</f>
        <v>DAURDE</v>
      </c>
    </row>
    <row r="279" spans="2:17">
      <c r="B279" s="1" t="s">
        <v>456</v>
      </c>
      <c r="C279" s="1" t="s">
        <v>466</v>
      </c>
      <c r="D279" s="52">
        <v>46058.701388888891</v>
      </c>
      <c r="E279" s="52">
        <v>46058.701388888891</v>
      </c>
      <c r="F279" s="52">
        <v>46058.865972222222</v>
      </c>
      <c r="G279" s="53">
        <v>0.16458333333333333</v>
      </c>
      <c r="H279" s="1" t="s">
        <v>257</v>
      </c>
      <c r="J279" s="1" t="s">
        <v>258</v>
      </c>
      <c r="K279" s="1" t="s">
        <v>658</v>
      </c>
      <c r="L279" s="1" t="s">
        <v>691</v>
      </c>
      <c r="M279" s="1" t="s">
        <v>663</v>
      </c>
      <c r="N279" s="1" t="s">
        <v>364</v>
      </c>
      <c r="O279" s="1" t="s">
        <v>696</v>
      </c>
      <c r="P279" s="1" t="str">
        <f>_xlfn.CONCAT(B279,C279,D279,E279,F279)</f>
        <v>BC Caiaponia1SG60KTL(COM1-009)46058,701388888946058,701388888946058,8659722222</v>
      </c>
      <c r="Q279" s="1" t="str">
        <f>_xlfn.CONCAT(H279,I279,J279)</f>
        <v>DAURDE</v>
      </c>
    </row>
    <row r="280" spans="2:17">
      <c r="B280" s="1" t="s">
        <v>456</v>
      </c>
      <c r="C280" s="1" t="s">
        <v>467</v>
      </c>
      <c r="D280" s="52">
        <v>46058.701388888891</v>
      </c>
      <c r="E280" s="52">
        <v>46058.701388888891</v>
      </c>
      <c r="F280" s="52">
        <v>46058.865972222222</v>
      </c>
      <c r="G280" s="53">
        <v>0.16458333333333333</v>
      </c>
      <c r="H280" s="1" t="s">
        <v>257</v>
      </c>
      <c r="J280" s="1" t="s">
        <v>258</v>
      </c>
      <c r="K280" s="1" t="s">
        <v>658</v>
      </c>
      <c r="L280" s="1" t="s">
        <v>691</v>
      </c>
      <c r="M280" s="1" t="s">
        <v>663</v>
      </c>
      <c r="N280" s="1" t="s">
        <v>364</v>
      </c>
      <c r="O280" s="1" t="s">
        <v>696</v>
      </c>
      <c r="P280" s="1" t="str">
        <f>_xlfn.CONCAT(B280,C280,D280,E280,F280)</f>
        <v>BC Caiaponia1SG60KTL(COM1-010)46058,701388888946058,701388888946058,8659722222</v>
      </c>
      <c r="Q280" s="1" t="str">
        <f>_xlfn.CONCAT(H280,I280,J280)</f>
        <v>DAURDE</v>
      </c>
    </row>
    <row r="281" spans="2:17">
      <c r="B281" s="1" t="s">
        <v>456</v>
      </c>
      <c r="C281" s="1" t="s">
        <v>468</v>
      </c>
      <c r="D281" s="52">
        <v>46058.701388888891</v>
      </c>
      <c r="E281" s="52">
        <v>46058.701388888891</v>
      </c>
      <c r="F281" s="52">
        <v>46058.865972222222</v>
      </c>
      <c r="G281" s="53">
        <v>0.16458333333333333</v>
      </c>
      <c r="H281" s="1" t="s">
        <v>257</v>
      </c>
      <c r="J281" s="1" t="s">
        <v>258</v>
      </c>
      <c r="K281" s="1" t="s">
        <v>658</v>
      </c>
      <c r="L281" s="1" t="s">
        <v>691</v>
      </c>
      <c r="M281" s="1" t="s">
        <v>663</v>
      </c>
      <c r="N281" s="1" t="s">
        <v>364</v>
      </c>
      <c r="O281" s="1" t="s">
        <v>696</v>
      </c>
      <c r="P281" s="1" t="str">
        <f>_xlfn.CONCAT(B281,C281,D281,E281,F281)</f>
        <v>BC Caiaponia1SG60KTL(COM1-011)46058,701388888946058,701388888946058,8659722222</v>
      </c>
      <c r="Q281" s="1" t="str">
        <f>_xlfn.CONCAT(H281,I281,J281)</f>
        <v>DAURDE</v>
      </c>
    </row>
    <row r="282" spans="2:17">
      <c r="B282" s="1" t="s">
        <v>456</v>
      </c>
      <c r="C282" s="1" t="s">
        <v>469</v>
      </c>
      <c r="D282" s="52">
        <v>46058.701388888891</v>
      </c>
      <c r="E282" s="52">
        <v>46058.701388888891</v>
      </c>
      <c r="F282" s="52">
        <v>46058.865972222222</v>
      </c>
      <c r="G282" s="53">
        <v>0.16458333333333333</v>
      </c>
      <c r="H282" s="1" t="s">
        <v>257</v>
      </c>
      <c r="J282" s="1" t="s">
        <v>258</v>
      </c>
      <c r="K282" s="1" t="s">
        <v>658</v>
      </c>
      <c r="L282" s="1" t="s">
        <v>691</v>
      </c>
      <c r="M282" s="1" t="s">
        <v>663</v>
      </c>
      <c r="N282" s="1" t="s">
        <v>364</v>
      </c>
      <c r="O282" s="1" t="s">
        <v>696</v>
      </c>
      <c r="P282" s="1" t="str">
        <f>_xlfn.CONCAT(B282,C282,D282,E282,F282)</f>
        <v>BC Caiaponia1SG60KTL(COM1-012)46058,701388888946058,701388888946058,8659722222</v>
      </c>
      <c r="Q282" s="1" t="str">
        <f>_xlfn.CONCAT(H282,I282,J282)</f>
        <v>DAURDE</v>
      </c>
    </row>
    <row r="283" spans="2:17">
      <c r="B283" s="1" t="s">
        <v>456</v>
      </c>
      <c r="C283" s="1" t="s">
        <v>470</v>
      </c>
      <c r="D283" s="52">
        <v>46058.701388888891</v>
      </c>
      <c r="E283" s="52">
        <v>46058.701388888891</v>
      </c>
      <c r="F283" s="52">
        <v>46058.865972222222</v>
      </c>
      <c r="G283" s="53">
        <v>0.16458333333333333</v>
      </c>
      <c r="H283" s="1" t="s">
        <v>257</v>
      </c>
      <c r="J283" s="1" t="s">
        <v>258</v>
      </c>
      <c r="K283" s="1" t="s">
        <v>658</v>
      </c>
      <c r="L283" s="1" t="s">
        <v>691</v>
      </c>
      <c r="M283" s="1" t="s">
        <v>663</v>
      </c>
      <c r="N283" s="1" t="s">
        <v>364</v>
      </c>
      <c r="O283" s="1" t="s">
        <v>696</v>
      </c>
      <c r="P283" s="1" t="str">
        <f>_xlfn.CONCAT(B283,C283,D283,E283,F283)</f>
        <v>BC Caiaponia1SG60KTL(COM1-013)46058,701388888946058,701388888946058,8659722222</v>
      </c>
      <c r="Q283" s="1" t="str">
        <f>_xlfn.CONCAT(H283,I283,J283)</f>
        <v>DAURDE</v>
      </c>
    </row>
    <row r="284" spans="2:17">
      <c r="B284" s="1" t="s">
        <v>456</v>
      </c>
      <c r="C284" s="1" t="s">
        <v>471</v>
      </c>
      <c r="D284" s="52">
        <v>46058.701388888891</v>
      </c>
      <c r="E284" s="52">
        <v>46058.701388888891</v>
      </c>
      <c r="F284" s="52">
        <v>46058.865972222222</v>
      </c>
      <c r="G284" s="53">
        <v>0.16458333333333333</v>
      </c>
      <c r="H284" s="1" t="s">
        <v>257</v>
      </c>
      <c r="J284" s="1" t="s">
        <v>258</v>
      </c>
      <c r="K284" s="1" t="s">
        <v>658</v>
      </c>
      <c r="L284" s="1" t="s">
        <v>691</v>
      </c>
      <c r="M284" s="1" t="s">
        <v>260</v>
      </c>
      <c r="N284" s="1" t="s">
        <v>357</v>
      </c>
      <c r="O284" s="1" t="s">
        <v>632</v>
      </c>
      <c r="P284" s="1" t="str">
        <f>_xlfn.CONCAT(B284,C284,D284,E284,F284)</f>
        <v>BC Caiaponia1SG60KTL(COM1-014)46058,701388888946058,701388888946058,8659722222</v>
      </c>
      <c r="Q284" s="1" t="str">
        <f>_xlfn.CONCAT(H284,I284,J284)</f>
        <v>DAURDE</v>
      </c>
    </row>
    <row r="285" spans="2:17">
      <c r="B285" s="1" t="s">
        <v>456</v>
      </c>
      <c r="C285" s="1" t="s">
        <v>472</v>
      </c>
      <c r="D285" s="52">
        <v>46058.701388888891</v>
      </c>
      <c r="E285" s="52">
        <v>46058.701388888891</v>
      </c>
      <c r="F285" s="52">
        <v>46058.865972222222</v>
      </c>
      <c r="G285" s="53">
        <v>0.16458333333333333</v>
      </c>
      <c r="H285" s="1" t="s">
        <v>257</v>
      </c>
      <c r="J285" s="1" t="s">
        <v>258</v>
      </c>
      <c r="K285" s="1" t="s">
        <v>658</v>
      </c>
      <c r="L285" s="1" t="s">
        <v>691</v>
      </c>
      <c r="M285" s="1" t="s">
        <v>260</v>
      </c>
      <c r="N285" s="1" t="s">
        <v>357</v>
      </c>
      <c r="O285" s="1" t="s">
        <v>632</v>
      </c>
      <c r="P285" s="1" t="str">
        <f>_xlfn.CONCAT(B285,C285,D285,E285,F285)</f>
        <v>BC Caiaponia1SG60KTL(COM1-015)46058,701388888946058,701388888946058,8659722222</v>
      </c>
      <c r="Q285" s="1" t="str">
        <f>_xlfn.CONCAT(H285,I285,J285)</f>
        <v>DAURDE</v>
      </c>
    </row>
    <row r="286" spans="2:17">
      <c r="B286" s="1" t="s">
        <v>456</v>
      </c>
      <c r="C286" s="1" t="s">
        <v>473</v>
      </c>
      <c r="D286" s="52">
        <v>46058.701388888891</v>
      </c>
      <c r="E286" s="52">
        <v>46058.701388888891</v>
      </c>
      <c r="F286" s="52">
        <v>46058.865972222222</v>
      </c>
      <c r="G286" s="53">
        <v>0.16458333333333333</v>
      </c>
      <c r="H286" s="1" t="s">
        <v>257</v>
      </c>
      <c r="J286" s="1" t="s">
        <v>258</v>
      </c>
      <c r="K286" s="1" t="s">
        <v>658</v>
      </c>
      <c r="L286" s="1" t="s">
        <v>691</v>
      </c>
      <c r="M286" s="1" t="s">
        <v>260</v>
      </c>
      <c r="N286" s="1" t="s">
        <v>357</v>
      </c>
      <c r="O286" s="1" t="s">
        <v>632</v>
      </c>
      <c r="P286" s="1" t="str">
        <f>_xlfn.CONCAT(B286,C286,D286,E286,F286)</f>
        <v>BC Caiaponia1SG60KTL(COM3-016)_001_00946058,701388888946058,701388888946058,8659722222</v>
      </c>
      <c r="Q286" s="1" t="str">
        <f>_xlfn.CONCAT(H286,I286,J286)</f>
        <v>DAURDE</v>
      </c>
    </row>
    <row r="287" spans="2:17">
      <c r="B287" s="1" t="s">
        <v>456</v>
      </c>
      <c r="C287" s="1" t="s">
        <v>474</v>
      </c>
      <c r="D287" s="52">
        <v>46058.701388888891</v>
      </c>
      <c r="E287" s="52">
        <v>46058.701388888891</v>
      </c>
      <c r="F287" s="52">
        <v>46058.865972222222</v>
      </c>
      <c r="G287" s="53">
        <v>0.16458333333333333</v>
      </c>
      <c r="H287" s="1" t="s">
        <v>257</v>
      </c>
      <c r="J287" s="1" t="s">
        <v>258</v>
      </c>
      <c r="K287" s="1" t="s">
        <v>658</v>
      </c>
      <c r="L287" s="1" t="s">
        <v>691</v>
      </c>
      <c r="M287" s="1" t="s">
        <v>260</v>
      </c>
      <c r="N287" s="1" t="s">
        <v>357</v>
      </c>
      <c r="O287" s="1" t="s">
        <v>632</v>
      </c>
      <c r="P287" s="1" t="str">
        <f>_xlfn.CONCAT(B287,C287,D287,E287,F287)</f>
        <v>BC Caiaponia1SG60KTL(COM3-017)_001_01246058,701388888946058,701388888946058,8659722222</v>
      </c>
      <c r="Q287" s="1" t="str">
        <f>_xlfn.CONCAT(H287,I287,J287)</f>
        <v>DAURDE</v>
      </c>
    </row>
    <row r="288" spans="2:17">
      <c r="B288" s="1" t="s">
        <v>456</v>
      </c>
      <c r="C288" s="1" t="s">
        <v>475</v>
      </c>
      <c r="D288" s="52">
        <v>46058.701388888891</v>
      </c>
      <c r="E288" s="52">
        <v>46058.701388888891</v>
      </c>
      <c r="F288" s="52">
        <v>46058.865972222222</v>
      </c>
      <c r="G288" s="53">
        <v>0.16458333333333333</v>
      </c>
      <c r="H288" s="1" t="s">
        <v>257</v>
      </c>
      <c r="J288" s="1" t="s">
        <v>258</v>
      </c>
      <c r="K288" s="1" t="s">
        <v>658</v>
      </c>
      <c r="L288" s="1" t="s">
        <v>691</v>
      </c>
      <c r="M288" s="1" t="s">
        <v>252</v>
      </c>
      <c r="N288" s="1" t="s">
        <v>253</v>
      </c>
      <c r="O288" s="1" t="s">
        <v>693</v>
      </c>
      <c r="P288" s="1" t="str">
        <f>_xlfn.CONCAT(B288,C288,D288,E288,F288)</f>
        <v>BC Caiaponia1SG60KTL(COM3-018)_001_00846058,701388888946058,701388888946058,8659722222</v>
      </c>
      <c r="Q288" s="1" t="str">
        <f>_xlfn.CONCAT(H288,I288,J288)</f>
        <v>DAURDE</v>
      </c>
    </row>
    <row r="289" spans="2:17">
      <c r="B289" s="1" t="s">
        <v>456</v>
      </c>
      <c r="C289" s="1" t="s">
        <v>476</v>
      </c>
      <c r="D289" s="52">
        <v>46058.701388888891</v>
      </c>
      <c r="E289" s="52">
        <v>46058.701388888891</v>
      </c>
      <c r="F289" s="52">
        <v>46058.865972222222</v>
      </c>
      <c r="G289" s="53">
        <v>0.16458333333333333</v>
      </c>
      <c r="H289" s="1" t="s">
        <v>257</v>
      </c>
      <c r="J289" s="1" t="s">
        <v>258</v>
      </c>
      <c r="K289" s="1" t="s">
        <v>658</v>
      </c>
      <c r="L289" s="1" t="s">
        <v>691</v>
      </c>
      <c r="M289" s="1" t="s">
        <v>252</v>
      </c>
      <c r="N289" s="1" t="s">
        <v>253</v>
      </c>
      <c r="O289" s="1" t="s">
        <v>693</v>
      </c>
      <c r="P289" s="1" t="str">
        <f>_xlfn.CONCAT(B289,C289,D289,E289,F289)</f>
        <v>BC Caiaponia1SG60KTL(COM3-019)_001_01946058,701388888946058,701388888946058,8659722222</v>
      </c>
      <c r="Q289" s="1" t="str">
        <f>_xlfn.CONCAT(H289,I289,J289)</f>
        <v>DAURDE</v>
      </c>
    </row>
    <row r="290" spans="2:17">
      <c r="B290" s="1" t="s">
        <v>456</v>
      </c>
      <c r="C290" s="1" t="s">
        <v>477</v>
      </c>
      <c r="D290" s="52">
        <v>46058.701388888891</v>
      </c>
      <c r="E290" s="52">
        <v>46058.701388888891</v>
      </c>
      <c r="F290" s="52">
        <v>46058.865972222222</v>
      </c>
      <c r="G290" s="53">
        <v>0.16458333333333333</v>
      </c>
      <c r="H290" s="1" t="s">
        <v>257</v>
      </c>
      <c r="J290" s="1" t="s">
        <v>258</v>
      </c>
      <c r="K290" s="1" t="s">
        <v>658</v>
      </c>
      <c r="L290" s="1" t="s">
        <v>691</v>
      </c>
      <c r="M290" s="1" t="s">
        <v>260</v>
      </c>
      <c r="N290" s="1" t="s">
        <v>357</v>
      </c>
      <c r="O290" s="1" t="s">
        <v>632</v>
      </c>
      <c r="P290" s="1" t="str">
        <f>_xlfn.CONCAT(B290,C290,D290,E290,F290)</f>
        <v>BC Caiaponia1SG60KTL(COM3-020)_001_02046058,701388888946058,701388888946058,8659722222</v>
      </c>
      <c r="Q290" s="1" t="str">
        <f>_xlfn.CONCAT(H290,I290,J290)</f>
        <v>DAURDE</v>
      </c>
    </row>
    <row r="291" spans="2:17">
      <c r="B291" s="1" t="s">
        <v>456</v>
      </c>
      <c r="C291" s="1" t="s">
        <v>478</v>
      </c>
      <c r="D291" s="52">
        <v>46058.701388888891</v>
      </c>
      <c r="E291" s="52">
        <v>46058.701388888891</v>
      </c>
      <c r="F291" s="52">
        <v>46058.865972222222</v>
      </c>
      <c r="G291" s="53">
        <v>0.16458333333333333</v>
      </c>
      <c r="H291" s="1" t="s">
        <v>257</v>
      </c>
      <c r="J291" s="1" t="s">
        <v>258</v>
      </c>
      <c r="K291" s="1" t="s">
        <v>658</v>
      </c>
      <c r="L291" s="1" t="s">
        <v>691</v>
      </c>
      <c r="M291" s="1" t="s">
        <v>260</v>
      </c>
      <c r="N291" s="1" t="s">
        <v>357</v>
      </c>
      <c r="O291" s="1" t="s">
        <v>632</v>
      </c>
      <c r="P291" s="1" t="str">
        <f>_xlfn.CONCAT(B291,C291,D291,E291,F291)</f>
        <v>BC Caiaponia1SG60KTL(COM2-026)46058,701388888946058,701388888946058,8659722222</v>
      </c>
      <c r="Q291" s="1" t="str">
        <f>_xlfn.CONCAT(H291,I291,J291)</f>
        <v>DAURDE</v>
      </c>
    </row>
    <row r="292" spans="2:17">
      <c r="B292" s="1" t="s">
        <v>456</v>
      </c>
      <c r="C292" s="1" t="s">
        <v>479</v>
      </c>
      <c r="D292" s="52">
        <v>46058.701388888891</v>
      </c>
      <c r="E292" s="52">
        <v>46058.701388888891</v>
      </c>
      <c r="F292" s="52">
        <v>46058.865972222222</v>
      </c>
      <c r="G292" s="53">
        <v>0.16458333333333333</v>
      </c>
      <c r="H292" s="1" t="s">
        <v>257</v>
      </c>
      <c r="J292" s="1" t="s">
        <v>258</v>
      </c>
      <c r="K292" s="1" t="s">
        <v>658</v>
      </c>
      <c r="L292" s="1" t="s">
        <v>691</v>
      </c>
      <c r="M292" s="1" t="s">
        <v>260</v>
      </c>
      <c r="N292" s="1" t="s">
        <v>357</v>
      </c>
      <c r="O292" s="1" t="s">
        <v>632</v>
      </c>
      <c r="P292" s="1" t="str">
        <f>_xlfn.CONCAT(B292,C292,D292,E292,F292)</f>
        <v>BC Caiaponia1SG60KTL(COM2-027)46058,701388888946058,701388888946058,8659722222</v>
      </c>
      <c r="Q292" s="1" t="str">
        <f>_xlfn.CONCAT(H292,I292,J292)</f>
        <v>DAURDE</v>
      </c>
    </row>
    <row r="293" spans="2:17">
      <c r="B293" s="1" t="s">
        <v>456</v>
      </c>
      <c r="C293" s="1" t="s">
        <v>480</v>
      </c>
      <c r="D293" s="52">
        <v>46058.701388888891</v>
      </c>
      <c r="E293" s="52">
        <v>46058.701388888891</v>
      </c>
      <c r="F293" s="52">
        <v>46058.865972222222</v>
      </c>
      <c r="G293" s="53">
        <v>0.16458333333333333</v>
      </c>
      <c r="H293" s="1" t="s">
        <v>257</v>
      </c>
      <c r="J293" s="1" t="s">
        <v>258</v>
      </c>
      <c r="K293" s="1" t="s">
        <v>658</v>
      </c>
      <c r="L293" s="1" t="s">
        <v>691</v>
      </c>
      <c r="M293" s="1" t="s">
        <v>260</v>
      </c>
      <c r="N293" s="1" t="s">
        <v>357</v>
      </c>
      <c r="O293" s="1" t="s">
        <v>632</v>
      </c>
      <c r="P293" s="1" t="str">
        <f>_xlfn.CONCAT(B293,C293,D293,E293,F293)</f>
        <v>BC Caiaponia1SG60KTL(COM2-028)46058,701388888946058,701388888946058,8659722222</v>
      </c>
      <c r="Q293" s="1" t="str">
        <f>_xlfn.CONCAT(H293,I293,J293)</f>
        <v>DAURDE</v>
      </c>
    </row>
    <row r="294" spans="2:17">
      <c r="B294" s="1" t="s">
        <v>456</v>
      </c>
      <c r="C294" s="1" t="s">
        <v>481</v>
      </c>
      <c r="D294" s="52">
        <v>46058.701388888891</v>
      </c>
      <c r="E294" s="52">
        <v>46058.701388888891</v>
      </c>
      <c r="F294" s="52">
        <v>46058.865972222222</v>
      </c>
      <c r="G294" s="53">
        <v>0.16458333333333333</v>
      </c>
      <c r="H294" s="1" t="s">
        <v>257</v>
      </c>
      <c r="J294" s="1" t="s">
        <v>258</v>
      </c>
      <c r="K294" s="1" t="s">
        <v>658</v>
      </c>
      <c r="L294" s="1" t="s">
        <v>691</v>
      </c>
      <c r="M294" s="1" t="s">
        <v>260</v>
      </c>
      <c r="N294" s="1" t="s">
        <v>357</v>
      </c>
      <c r="O294" s="1" t="s">
        <v>632</v>
      </c>
      <c r="P294" s="1" t="str">
        <f>_xlfn.CONCAT(B294,C294,D294,E294,F294)</f>
        <v>BC Caiaponia1SG60KTL(COM2-029)46058,701388888946058,701388888946058,8659722222</v>
      </c>
      <c r="Q294" s="1" t="str">
        <f>_xlfn.CONCAT(H294,I294,J294)</f>
        <v>DAURDE</v>
      </c>
    </row>
    <row r="295" spans="2:17">
      <c r="B295" s="1" t="s">
        <v>456</v>
      </c>
      <c r="C295" s="1" t="s">
        <v>482</v>
      </c>
      <c r="D295" s="52">
        <v>46058.701388888891</v>
      </c>
      <c r="E295" s="52">
        <v>46058.701388888891</v>
      </c>
      <c r="F295" s="52">
        <v>46058.865972222222</v>
      </c>
      <c r="G295" s="53">
        <v>0.16458333333333333</v>
      </c>
      <c r="H295" s="1" t="s">
        <v>257</v>
      </c>
      <c r="J295" s="1" t="s">
        <v>258</v>
      </c>
      <c r="K295" s="1" t="s">
        <v>658</v>
      </c>
      <c r="L295" s="1" t="s">
        <v>691</v>
      </c>
      <c r="M295" s="1" t="s">
        <v>260</v>
      </c>
      <c r="N295" s="1" t="s">
        <v>357</v>
      </c>
      <c r="O295" s="1" t="s">
        <v>632</v>
      </c>
      <c r="P295" s="1" t="str">
        <f>_xlfn.CONCAT(B295,C295,D295,E295,F295)</f>
        <v>BC Caiaponia1SG50CX(COM1-021)46058,701388888946058,701388888946058,8659722222</v>
      </c>
      <c r="Q295" s="1" t="str">
        <f>_xlfn.CONCAT(H295,I295,J295)</f>
        <v>DAURDE</v>
      </c>
    </row>
    <row r="296" spans="2:17">
      <c r="B296" s="1" t="s">
        <v>456</v>
      </c>
      <c r="C296" s="1" t="s">
        <v>483</v>
      </c>
      <c r="D296" s="52">
        <v>46058.701388888891</v>
      </c>
      <c r="E296" s="52">
        <v>46058.701388888891</v>
      </c>
      <c r="F296" s="52">
        <v>46058.865972222222</v>
      </c>
      <c r="G296" s="53">
        <v>0.16458333333333333</v>
      </c>
      <c r="H296" s="1" t="s">
        <v>257</v>
      </c>
      <c r="J296" s="1" t="s">
        <v>258</v>
      </c>
      <c r="K296" s="1" t="s">
        <v>658</v>
      </c>
      <c r="L296" s="1" t="s">
        <v>691</v>
      </c>
      <c r="M296" s="1" t="s">
        <v>260</v>
      </c>
      <c r="N296" s="1" t="s">
        <v>357</v>
      </c>
      <c r="O296" s="1" t="s">
        <v>632</v>
      </c>
      <c r="P296" s="1" t="str">
        <f>_xlfn.CONCAT(B296,C296,D296,E296,F296)</f>
        <v>BC Caiaponia1SG50CX(COM1-022)46058,701388888946058,701388888946058,8659722222</v>
      </c>
      <c r="Q296" s="1" t="str">
        <f>_xlfn.CONCAT(H296,I296,J296)</f>
        <v>DAURDE</v>
      </c>
    </row>
    <row r="297" spans="2:17">
      <c r="B297" s="1" t="s">
        <v>456</v>
      </c>
      <c r="C297" s="1" t="s">
        <v>484</v>
      </c>
      <c r="D297" s="52">
        <v>46058.701388888891</v>
      </c>
      <c r="E297" s="52">
        <v>46058.701388888891</v>
      </c>
      <c r="F297" s="52">
        <v>46058.865972222222</v>
      </c>
      <c r="G297" s="53">
        <v>0.16458333333333333</v>
      </c>
      <c r="H297" s="1" t="s">
        <v>257</v>
      </c>
      <c r="J297" s="1" t="s">
        <v>258</v>
      </c>
      <c r="K297" s="1" t="s">
        <v>658</v>
      </c>
      <c r="L297" s="1" t="s">
        <v>691</v>
      </c>
      <c r="M297" s="1" t="s">
        <v>260</v>
      </c>
      <c r="N297" s="1" t="s">
        <v>357</v>
      </c>
      <c r="O297" s="1" t="s">
        <v>632</v>
      </c>
      <c r="P297" s="1" t="str">
        <f>_xlfn.CONCAT(B297,C297,D297,E297,F297)</f>
        <v>BC Caiaponia1SG50CX(COM1-023)46058,701388888946058,701388888946058,8659722222</v>
      </c>
      <c r="Q297" s="1" t="str">
        <f>_xlfn.CONCAT(H297,I297,J297)</f>
        <v>DAURDE</v>
      </c>
    </row>
    <row r="298" spans="2:17">
      <c r="B298" s="1" t="s">
        <v>456</v>
      </c>
      <c r="C298" s="1" t="s">
        <v>485</v>
      </c>
      <c r="D298" s="52">
        <v>46058.701388888891</v>
      </c>
      <c r="E298" s="52">
        <v>46058.701388888891</v>
      </c>
      <c r="F298" s="52">
        <v>46058.865972222222</v>
      </c>
      <c r="G298" s="53">
        <v>0.16458333333333333</v>
      </c>
      <c r="H298" s="1" t="s">
        <v>257</v>
      </c>
      <c r="J298" s="1" t="s">
        <v>258</v>
      </c>
      <c r="K298" s="1" t="s">
        <v>658</v>
      </c>
      <c r="L298" s="1" t="s">
        <v>691</v>
      </c>
      <c r="M298" s="1" t="s">
        <v>260</v>
      </c>
      <c r="N298" s="1" t="s">
        <v>357</v>
      </c>
      <c r="O298" s="1" t="s">
        <v>632</v>
      </c>
      <c r="P298" s="1" t="str">
        <f>_xlfn.CONCAT(B298,C298,D298,E298,F298)</f>
        <v>BC Caiaponia1SG50CX(COM1-024)46058,701388888946058,701388888946058,8659722222</v>
      </c>
      <c r="Q298" s="1" t="str">
        <f>_xlfn.CONCAT(H298,I298,J298)</f>
        <v>DAURDE</v>
      </c>
    </row>
    <row r="299" spans="2:17">
      <c r="B299" s="1" t="s">
        <v>456</v>
      </c>
      <c r="C299" s="1" t="s">
        <v>486</v>
      </c>
      <c r="D299" s="52">
        <v>46058.701388888891</v>
      </c>
      <c r="E299" s="52">
        <v>46058.701388888891</v>
      </c>
      <c r="F299" s="52">
        <v>46058.865972222222</v>
      </c>
      <c r="G299" s="53">
        <v>0.16458333333333333</v>
      </c>
      <c r="H299" s="1" t="s">
        <v>257</v>
      </c>
      <c r="J299" s="1" t="s">
        <v>258</v>
      </c>
      <c r="K299" s="1" t="s">
        <v>658</v>
      </c>
      <c r="L299" s="1" t="s">
        <v>691</v>
      </c>
      <c r="M299" s="1" t="s">
        <v>260</v>
      </c>
      <c r="N299" s="1" t="s">
        <v>357</v>
      </c>
      <c r="O299" s="1" t="s">
        <v>632</v>
      </c>
      <c r="P299" s="1" t="str">
        <f>_xlfn.CONCAT(B299,C299,D299,E299,F299)</f>
        <v>BC Caiaponia1SG50CX(COM1-025)46058,701388888946058,701388888946058,8659722222</v>
      </c>
      <c r="Q299" s="1" t="str">
        <f>_xlfn.CONCAT(H299,I299,J299)</f>
        <v>DAURDE</v>
      </c>
    </row>
    <row r="300" spans="2:17">
      <c r="B300" s="1" t="s">
        <v>487</v>
      </c>
      <c r="C300" s="1" t="s">
        <v>377</v>
      </c>
      <c r="D300" s="52">
        <v>46058.701388888891</v>
      </c>
      <c r="E300" s="52">
        <v>46058.701388888891</v>
      </c>
      <c r="F300" s="52">
        <v>46058.865972222222</v>
      </c>
      <c r="G300" s="53">
        <v>0.16458333333333333</v>
      </c>
      <c r="H300" s="1" t="s">
        <v>257</v>
      </c>
      <c r="J300" s="1" t="s">
        <v>258</v>
      </c>
      <c r="K300" s="1" t="s">
        <v>658</v>
      </c>
      <c r="L300" s="1" t="s">
        <v>691</v>
      </c>
      <c r="M300" s="1" t="s">
        <v>260</v>
      </c>
      <c r="N300" s="1" t="s">
        <v>357</v>
      </c>
      <c r="O300" s="1" t="s">
        <v>632</v>
      </c>
      <c r="P300" s="1" t="str">
        <f>_xlfn.CONCAT(B300,C300,D300,E300,F300)</f>
        <v>BC Caiaponia2.1215KTL-H3(MBUS-12)46058,701388888946058,701388888946058,8659722222</v>
      </c>
      <c r="Q300" s="1" t="str">
        <f>_xlfn.CONCAT(H300,I300,J300)</f>
        <v>DAURDE</v>
      </c>
    </row>
    <row r="301" spans="2:17">
      <c r="B301" s="1" t="s">
        <v>487</v>
      </c>
      <c r="C301" s="1" t="s">
        <v>378</v>
      </c>
      <c r="D301" s="52">
        <v>46058.701388888891</v>
      </c>
      <c r="E301" s="52">
        <v>46058.701388888891</v>
      </c>
      <c r="F301" s="52">
        <v>46058.865972222222</v>
      </c>
      <c r="G301" s="53">
        <v>0.16458333333333333</v>
      </c>
      <c r="H301" s="1" t="s">
        <v>257</v>
      </c>
      <c r="J301" s="1" t="s">
        <v>258</v>
      </c>
      <c r="K301" s="1" t="s">
        <v>658</v>
      </c>
      <c r="L301" s="1" t="s">
        <v>691</v>
      </c>
      <c r="M301" s="1" t="s">
        <v>260</v>
      </c>
      <c r="N301" s="1" t="s">
        <v>357</v>
      </c>
      <c r="O301" s="1" t="s">
        <v>632</v>
      </c>
      <c r="P301" s="1" t="str">
        <f>_xlfn.CONCAT(B301,C301,D301,E301,F301)</f>
        <v>BC Caiaponia2.1215KTL-H3(MBUS-13)46058,701388888946058,701388888946058,8659722222</v>
      </c>
      <c r="Q301" s="1" t="str">
        <f>_xlfn.CONCAT(H301,I301,J301)</f>
        <v>DAURDE</v>
      </c>
    </row>
    <row r="302" spans="2:17">
      <c r="B302" s="1" t="s">
        <v>487</v>
      </c>
      <c r="C302" s="1" t="s">
        <v>382</v>
      </c>
      <c r="D302" s="52">
        <v>46058.701388888891</v>
      </c>
      <c r="E302" s="52">
        <v>46058.701388888891</v>
      </c>
      <c r="F302" s="52">
        <v>46058.865972222222</v>
      </c>
      <c r="G302" s="53">
        <v>0.16458333333333333</v>
      </c>
      <c r="H302" s="1" t="s">
        <v>257</v>
      </c>
      <c r="J302" s="1" t="s">
        <v>258</v>
      </c>
      <c r="K302" s="1" t="s">
        <v>658</v>
      </c>
      <c r="L302" s="1" t="s">
        <v>691</v>
      </c>
      <c r="M302" s="1" t="s">
        <v>260</v>
      </c>
      <c r="N302" s="1" t="s">
        <v>357</v>
      </c>
      <c r="O302" s="1" t="s">
        <v>632</v>
      </c>
      <c r="P302" s="1" t="str">
        <f>_xlfn.CONCAT(B302,C302,D302,E302,F302)</f>
        <v>BC Caiaponia2.1215KTL-H3(MBUS-14)46058,701388888946058,701388888946058,8659722222</v>
      </c>
      <c r="Q302" s="1" t="str">
        <f>_xlfn.CONCAT(H302,I302,J302)</f>
        <v>DAURDE</v>
      </c>
    </row>
    <row r="303" spans="2:17">
      <c r="B303" s="1" t="s">
        <v>487</v>
      </c>
      <c r="C303" s="1" t="s">
        <v>380</v>
      </c>
      <c r="D303" s="52">
        <v>46058.701388888891</v>
      </c>
      <c r="E303" s="52">
        <v>46058.701388888891</v>
      </c>
      <c r="F303" s="52">
        <v>46058.865972222222</v>
      </c>
      <c r="G303" s="53">
        <v>0.16458333333333333</v>
      </c>
      <c r="H303" s="1" t="s">
        <v>257</v>
      </c>
      <c r="J303" s="1" t="s">
        <v>258</v>
      </c>
      <c r="K303" s="1" t="s">
        <v>658</v>
      </c>
      <c r="L303" s="1" t="s">
        <v>691</v>
      </c>
      <c r="M303" s="1" t="s">
        <v>260</v>
      </c>
      <c r="N303" s="1" t="s">
        <v>357</v>
      </c>
      <c r="O303" s="1" t="s">
        <v>632</v>
      </c>
      <c r="P303" s="1" t="str">
        <f>_xlfn.CONCAT(B303,C303,D303,E303,F303)</f>
        <v>BC Caiaponia2.1215KTL-H3(MBUS-15)46058,701388888946058,701388888946058,8659722222</v>
      </c>
      <c r="Q303" s="1" t="str">
        <f>_xlfn.CONCAT(H303,I303,J303)</f>
        <v>DAURDE</v>
      </c>
    </row>
    <row r="304" spans="2:17">
      <c r="B304" s="1" t="s">
        <v>487</v>
      </c>
      <c r="C304" s="1" t="s">
        <v>379</v>
      </c>
      <c r="D304" s="52">
        <v>46058.701388888891</v>
      </c>
      <c r="E304" s="52">
        <v>46058.701388888891</v>
      </c>
      <c r="F304" s="52">
        <v>46058.865972222222</v>
      </c>
      <c r="G304" s="53">
        <v>0.16458333333333333</v>
      </c>
      <c r="H304" s="1" t="s">
        <v>257</v>
      </c>
      <c r="J304" s="1" t="s">
        <v>258</v>
      </c>
      <c r="K304" s="1" t="s">
        <v>658</v>
      </c>
      <c r="L304" s="1" t="s">
        <v>691</v>
      </c>
      <c r="M304" s="1" t="s">
        <v>260</v>
      </c>
      <c r="N304" s="1" t="s">
        <v>357</v>
      </c>
      <c r="O304" s="1" t="s">
        <v>632</v>
      </c>
      <c r="P304" s="1" t="str">
        <f>_xlfn.CONCAT(B304,C304,D304,E304,F304)</f>
        <v>BC Caiaponia2.1215KTL-H3(MBUS-16)46058,701388888946058,701388888946058,8659722222</v>
      </c>
      <c r="Q304" s="1" t="str">
        <f>_xlfn.CONCAT(H304,I304,J304)</f>
        <v>DAURDE</v>
      </c>
    </row>
    <row r="305" spans="2:17">
      <c r="B305" s="1" t="s">
        <v>583</v>
      </c>
      <c r="C305" s="1" t="s">
        <v>377</v>
      </c>
      <c r="D305" s="52">
        <v>46058.701388888891</v>
      </c>
      <c r="E305" s="52">
        <v>46058.701388888891</v>
      </c>
      <c r="F305" s="52">
        <v>46058.865972222222</v>
      </c>
      <c r="G305" s="53">
        <v>0.16458333333333333</v>
      </c>
      <c r="H305" s="1" t="s">
        <v>257</v>
      </c>
      <c r="J305" s="1" t="s">
        <v>258</v>
      </c>
      <c r="K305" s="1" t="s">
        <v>658</v>
      </c>
      <c r="L305" s="1" t="s">
        <v>691</v>
      </c>
      <c r="M305" s="1" t="s">
        <v>260</v>
      </c>
      <c r="N305" s="1" t="s">
        <v>357</v>
      </c>
      <c r="O305" s="1" t="s">
        <v>632</v>
      </c>
      <c r="P305" s="1" t="str">
        <f>_xlfn.CONCAT(B305,C305,D305,E305,F305)</f>
        <v>BC Caiaponia2.2215KTL-H3(MBUS-12)46058,701388888946058,701388888946058,8659722222</v>
      </c>
      <c r="Q305" s="1" t="str">
        <f>_xlfn.CONCAT(H305,I305,J305)</f>
        <v>DAURDE</v>
      </c>
    </row>
    <row r="306" spans="2:17">
      <c r="B306" s="1" t="s">
        <v>583</v>
      </c>
      <c r="C306" s="1" t="s">
        <v>378</v>
      </c>
      <c r="D306" s="52">
        <v>46058.701388888891</v>
      </c>
      <c r="E306" s="52">
        <v>46058.701388888891</v>
      </c>
      <c r="F306" s="52">
        <v>46058.865972222222</v>
      </c>
      <c r="G306" s="53">
        <v>0.16458333333333333</v>
      </c>
      <c r="H306" s="1" t="s">
        <v>257</v>
      </c>
      <c r="J306" s="1" t="s">
        <v>258</v>
      </c>
      <c r="K306" s="1" t="s">
        <v>658</v>
      </c>
      <c r="L306" s="1" t="s">
        <v>691</v>
      </c>
      <c r="M306" s="1" t="s">
        <v>260</v>
      </c>
      <c r="N306" s="1" t="s">
        <v>357</v>
      </c>
      <c r="O306" s="1" t="s">
        <v>632</v>
      </c>
      <c r="P306" s="1" t="str">
        <f>_xlfn.CONCAT(B306,C306,D306,E306,F306)</f>
        <v>BC Caiaponia2.2215KTL-H3(MBUS-13)46058,701388888946058,701388888946058,8659722222</v>
      </c>
      <c r="Q306" s="1" t="str">
        <f>_xlfn.CONCAT(H306,I306,J306)</f>
        <v>DAURDE</v>
      </c>
    </row>
    <row r="307" spans="2:17">
      <c r="B307" s="1" t="s">
        <v>583</v>
      </c>
      <c r="C307" s="1" t="s">
        <v>382</v>
      </c>
      <c r="D307" s="52">
        <v>46058.701388888891</v>
      </c>
      <c r="E307" s="52">
        <v>46058.701388888891</v>
      </c>
      <c r="F307" s="52">
        <v>46058.865972222222</v>
      </c>
      <c r="G307" s="53">
        <v>0.16458333333333333</v>
      </c>
      <c r="H307" s="1" t="s">
        <v>257</v>
      </c>
      <c r="J307" s="1" t="s">
        <v>258</v>
      </c>
      <c r="K307" s="1" t="s">
        <v>658</v>
      </c>
      <c r="L307" s="1" t="s">
        <v>691</v>
      </c>
      <c r="M307" s="1" t="s">
        <v>260</v>
      </c>
      <c r="N307" s="1" t="s">
        <v>357</v>
      </c>
      <c r="O307" s="1" t="s">
        <v>632</v>
      </c>
      <c r="P307" s="1" t="str">
        <f>_xlfn.CONCAT(B307,C307,D307,E307,F307)</f>
        <v>BC Caiaponia2.2215KTL-H3(MBUS-14)46058,701388888946058,701388888946058,8659722222</v>
      </c>
      <c r="Q307" s="1" t="str">
        <f>_xlfn.CONCAT(H307,I307,J307)</f>
        <v>DAURDE</v>
      </c>
    </row>
    <row r="308" spans="2:17">
      <c r="B308" s="1" t="s">
        <v>583</v>
      </c>
      <c r="C308" s="1" t="s">
        <v>380</v>
      </c>
      <c r="D308" s="52">
        <v>46058.701388888891</v>
      </c>
      <c r="E308" s="52">
        <v>46058.701388888891</v>
      </c>
      <c r="F308" s="52">
        <v>46058.865972222222</v>
      </c>
      <c r="G308" s="53">
        <v>0.16458333333333333</v>
      </c>
      <c r="H308" s="1" t="s">
        <v>257</v>
      </c>
      <c r="J308" s="1" t="s">
        <v>258</v>
      </c>
      <c r="K308" s="1" t="s">
        <v>658</v>
      </c>
      <c r="L308" s="1" t="s">
        <v>691</v>
      </c>
      <c r="M308" s="1" t="s">
        <v>260</v>
      </c>
      <c r="N308" s="1" t="s">
        <v>357</v>
      </c>
      <c r="O308" s="1" t="s">
        <v>632</v>
      </c>
      <c r="P308" s="1" t="str">
        <f>_xlfn.CONCAT(B308,C308,D308,E308,F308)</f>
        <v>BC Caiaponia2.2215KTL-H3(MBUS-15)46058,701388888946058,701388888946058,8659722222</v>
      </c>
      <c r="Q308" s="1" t="str">
        <f>_xlfn.CONCAT(H308,I308,J308)</f>
        <v>DAURDE</v>
      </c>
    </row>
    <row r="309" spans="2:17">
      <c r="B309" s="1" t="s">
        <v>583</v>
      </c>
      <c r="C309" s="1" t="s">
        <v>379</v>
      </c>
      <c r="D309" s="52">
        <v>46058.701388888891</v>
      </c>
      <c r="E309" s="52">
        <v>46058.701388888891</v>
      </c>
      <c r="F309" s="52">
        <v>46058.865972222222</v>
      </c>
      <c r="G309" s="53">
        <v>0.16458333333333333</v>
      </c>
      <c r="H309" s="1" t="s">
        <v>257</v>
      </c>
      <c r="J309" s="1" t="s">
        <v>258</v>
      </c>
      <c r="K309" s="1" t="s">
        <v>658</v>
      </c>
      <c r="L309" s="1" t="s">
        <v>691</v>
      </c>
      <c r="M309" s="1" t="s">
        <v>272</v>
      </c>
      <c r="N309" s="1" t="s">
        <v>253</v>
      </c>
      <c r="O309" s="1" t="s">
        <v>697</v>
      </c>
      <c r="P309" s="1" t="str">
        <f>_xlfn.CONCAT(B309,C309,D309,E309,F309)</f>
        <v>BC Caiaponia2.2215KTL-H3(MBUS-16)46058,701388888946058,701388888946058,8659722222</v>
      </c>
      <c r="Q309" s="1" t="str">
        <f>_xlfn.CONCAT(H309,I309,J309)</f>
        <v>DAURDE</v>
      </c>
    </row>
    <row r="310" spans="2:17">
      <c r="B310" s="1" t="s">
        <v>584</v>
      </c>
      <c r="C310" s="1" t="s">
        <v>377</v>
      </c>
      <c r="D310" s="52">
        <v>46058.701388888891</v>
      </c>
      <c r="E310" s="52">
        <v>46058.701388888891</v>
      </c>
      <c r="F310" s="52">
        <v>46058.865972222222</v>
      </c>
      <c r="G310" s="53">
        <v>0.16458333333333333</v>
      </c>
      <c r="H310" s="1" t="s">
        <v>257</v>
      </c>
      <c r="J310" s="1" t="s">
        <v>258</v>
      </c>
      <c r="K310" s="1" t="s">
        <v>658</v>
      </c>
      <c r="L310" s="1" t="s">
        <v>691</v>
      </c>
      <c r="M310" s="1" t="s">
        <v>272</v>
      </c>
      <c r="N310" s="1" t="s">
        <v>253</v>
      </c>
      <c r="O310" s="1" t="s">
        <v>697</v>
      </c>
      <c r="P310" s="1" t="str">
        <f>_xlfn.CONCAT(B310,C310,D310,E310,F310)</f>
        <v>BC Caiaponia2.3215KTL-H3(MBUS-12)46058,701388888946058,701388888946058,8659722222</v>
      </c>
      <c r="Q310" s="1" t="str">
        <f>_xlfn.CONCAT(H310,I310,J310)</f>
        <v>DAURDE</v>
      </c>
    </row>
    <row r="311" spans="2:17">
      <c r="B311" s="1" t="s">
        <v>584</v>
      </c>
      <c r="C311" s="1" t="s">
        <v>378</v>
      </c>
      <c r="D311" s="52">
        <v>46058.701388888891</v>
      </c>
      <c r="E311" s="52">
        <v>46058.701388888891</v>
      </c>
      <c r="F311" s="52">
        <v>46058.865972222222</v>
      </c>
      <c r="G311" s="53">
        <v>0.16458333333333333</v>
      </c>
      <c r="H311" s="1" t="s">
        <v>257</v>
      </c>
      <c r="J311" s="1" t="s">
        <v>258</v>
      </c>
      <c r="K311" s="1" t="s">
        <v>658</v>
      </c>
      <c r="L311" s="1" t="s">
        <v>691</v>
      </c>
      <c r="M311" s="1" t="s">
        <v>272</v>
      </c>
      <c r="N311" s="1" t="s">
        <v>253</v>
      </c>
      <c r="O311" s="1" t="s">
        <v>697</v>
      </c>
      <c r="P311" s="1" t="str">
        <f>_xlfn.CONCAT(B311,C311,D311,E311,F311)</f>
        <v>BC Caiaponia2.3215KTL-H3(MBUS-13)46058,701388888946058,701388888946058,8659722222</v>
      </c>
      <c r="Q311" s="1" t="str">
        <f>_xlfn.CONCAT(H311,I311,J311)</f>
        <v>DAURDE</v>
      </c>
    </row>
    <row r="312" spans="2:17">
      <c r="B312" s="1" t="s">
        <v>584</v>
      </c>
      <c r="C312" s="1" t="s">
        <v>382</v>
      </c>
      <c r="D312" s="52">
        <v>46058.701388888891</v>
      </c>
      <c r="E312" s="52">
        <v>46058.701388888891</v>
      </c>
      <c r="F312" s="52">
        <v>46058.865972222222</v>
      </c>
      <c r="G312" s="53">
        <v>0.16458333333333333</v>
      </c>
      <c r="H312" s="1" t="s">
        <v>257</v>
      </c>
      <c r="J312" s="1" t="s">
        <v>258</v>
      </c>
      <c r="K312" s="1" t="s">
        <v>658</v>
      </c>
      <c r="L312" s="1" t="s">
        <v>691</v>
      </c>
      <c r="M312" s="1" t="s">
        <v>272</v>
      </c>
      <c r="N312" s="1" t="s">
        <v>253</v>
      </c>
      <c r="O312" s="1" t="s">
        <v>697</v>
      </c>
      <c r="P312" s="1" t="str">
        <f>_xlfn.CONCAT(B312,C312,D312,E312,F312)</f>
        <v>BC Caiaponia2.3215KTL-H3(MBUS-14)46058,701388888946058,701388888946058,8659722222</v>
      </c>
      <c r="Q312" s="1" t="str">
        <f>_xlfn.CONCAT(H312,I312,J312)</f>
        <v>DAURDE</v>
      </c>
    </row>
    <row r="313" spans="2:17">
      <c r="B313" s="1" t="s">
        <v>584</v>
      </c>
      <c r="C313" s="1" t="s">
        <v>380</v>
      </c>
      <c r="D313" s="52">
        <v>46058.701388888891</v>
      </c>
      <c r="E313" s="52">
        <v>46058.701388888891</v>
      </c>
      <c r="F313" s="52">
        <v>46058.865972222222</v>
      </c>
      <c r="G313" s="53">
        <v>0.16458333333333333</v>
      </c>
      <c r="H313" s="1" t="s">
        <v>257</v>
      </c>
      <c r="J313" s="1" t="s">
        <v>258</v>
      </c>
      <c r="K313" s="1" t="s">
        <v>658</v>
      </c>
      <c r="L313" s="1" t="s">
        <v>691</v>
      </c>
      <c r="M313" s="1" t="s">
        <v>272</v>
      </c>
      <c r="N313" s="1" t="s">
        <v>253</v>
      </c>
      <c r="O313" s="1" t="s">
        <v>697</v>
      </c>
      <c r="P313" s="1" t="str">
        <f>_xlfn.CONCAT(B313,C313,D313,E313,F313)</f>
        <v>BC Caiaponia2.3215KTL-H3(MBUS-15)46058,701388888946058,701388888946058,8659722222</v>
      </c>
      <c r="Q313" s="1" t="str">
        <f>_xlfn.CONCAT(H313,I313,J313)</f>
        <v>DAURDE</v>
      </c>
    </row>
    <row r="314" spans="2:17">
      <c r="B314" s="1" t="s">
        <v>584</v>
      </c>
      <c r="C314" s="1" t="s">
        <v>379</v>
      </c>
      <c r="D314" s="52">
        <v>46058.701388888891</v>
      </c>
      <c r="E314" s="52">
        <v>46058.701388888891</v>
      </c>
      <c r="F314" s="52">
        <v>46058.865972222222</v>
      </c>
      <c r="G314" s="53">
        <v>0.16458333333333333</v>
      </c>
      <c r="H314" s="1" t="s">
        <v>257</v>
      </c>
      <c r="J314" s="1" t="s">
        <v>258</v>
      </c>
      <c r="K314" s="1" t="s">
        <v>658</v>
      </c>
      <c r="L314" s="1" t="s">
        <v>691</v>
      </c>
      <c r="M314" s="1" t="s">
        <v>272</v>
      </c>
      <c r="N314" s="1" t="s">
        <v>253</v>
      </c>
      <c r="O314" s="1" t="s">
        <v>697</v>
      </c>
      <c r="P314" s="1" t="str">
        <f>_xlfn.CONCAT(B314,C314,D314,E314,F314)</f>
        <v>BC Caiaponia2.3215KTL-H3(MBUS-16)46058,701388888946058,701388888946058,8659722222</v>
      </c>
      <c r="Q314" s="1" t="str">
        <f>_xlfn.CONCAT(H314,I314,J314)</f>
        <v>DAURDE</v>
      </c>
    </row>
    <row r="315" spans="2:17">
      <c r="B315" s="1" t="s">
        <v>698</v>
      </c>
      <c r="C315" s="1" t="s">
        <v>263</v>
      </c>
      <c r="D315" s="52">
        <v>46058.706250000003</v>
      </c>
      <c r="E315" s="52">
        <v>46058.706250000003</v>
      </c>
      <c r="F315" s="52">
        <v>46058.736111111109</v>
      </c>
      <c r="G315" s="53">
        <v>2.9861111111111113E-2</v>
      </c>
      <c r="H315" s="1" t="s">
        <v>257</v>
      </c>
      <c r="J315" s="1" t="s">
        <v>258</v>
      </c>
      <c r="K315" s="1" t="s">
        <v>658</v>
      </c>
      <c r="L315" s="1" t="s">
        <v>699</v>
      </c>
      <c r="M315" s="1" t="s">
        <v>272</v>
      </c>
      <c r="N315" s="1" t="s">
        <v>253</v>
      </c>
      <c r="O315" s="1" t="s">
        <v>697</v>
      </c>
      <c r="P315" s="1" t="str">
        <f>_xlfn.CONCAT(B315,C315,D315,E315,F315)</f>
        <v>BC Turvania1.1Inverter(MBUS-14)46058,7062546058,7062546058,7361111111</v>
      </c>
      <c r="Q315" s="1" t="str">
        <f>_xlfn.CONCAT(H315,I315,J315)</f>
        <v>DAURDE</v>
      </c>
    </row>
    <row r="316" spans="2:17">
      <c r="B316" s="1" t="s">
        <v>698</v>
      </c>
      <c r="C316" s="1" t="s">
        <v>307</v>
      </c>
      <c r="D316" s="52">
        <v>46058.706250000003</v>
      </c>
      <c r="E316" s="52">
        <v>46058.706250000003</v>
      </c>
      <c r="F316" s="52">
        <v>46058.736111111109</v>
      </c>
      <c r="G316" s="53">
        <v>2.9861111111111113E-2</v>
      </c>
      <c r="H316" s="1" t="s">
        <v>257</v>
      </c>
      <c r="J316" s="1" t="s">
        <v>258</v>
      </c>
      <c r="K316" s="1" t="s">
        <v>658</v>
      </c>
      <c r="L316" s="1" t="s">
        <v>699</v>
      </c>
      <c r="M316" s="1" t="s">
        <v>272</v>
      </c>
      <c r="N316" s="1" t="s">
        <v>253</v>
      </c>
      <c r="O316" s="1" t="s">
        <v>697</v>
      </c>
      <c r="P316" s="1" t="str">
        <f>_xlfn.CONCAT(B316,C316,D316,E316,F316)</f>
        <v>BC Turvania1.1Inverter(MBUS-15)46058,7062546058,7062546058,7361111111</v>
      </c>
      <c r="Q316" s="1" t="str">
        <f>_xlfn.CONCAT(H316,I316,J316)</f>
        <v>DAURDE</v>
      </c>
    </row>
    <row r="317" spans="2:17">
      <c r="B317" s="1" t="s">
        <v>698</v>
      </c>
      <c r="C317" s="1" t="s">
        <v>256</v>
      </c>
      <c r="D317" s="52">
        <v>46058.706250000003</v>
      </c>
      <c r="E317" s="52">
        <v>46058.706250000003</v>
      </c>
      <c r="F317" s="52">
        <v>46058.736111111109</v>
      </c>
      <c r="G317" s="53">
        <v>2.9861111111111113E-2</v>
      </c>
      <c r="H317" s="1" t="s">
        <v>257</v>
      </c>
      <c r="J317" s="1" t="s">
        <v>258</v>
      </c>
      <c r="K317" s="1" t="s">
        <v>658</v>
      </c>
      <c r="L317" s="1" t="s">
        <v>699</v>
      </c>
      <c r="M317" s="1" t="s">
        <v>272</v>
      </c>
      <c r="N317" s="1" t="s">
        <v>253</v>
      </c>
      <c r="O317" s="1" t="s">
        <v>697</v>
      </c>
      <c r="P317" s="1" t="str">
        <f>_xlfn.CONCAT(B317,C317,D317,E317,F317)</f>
        <v>BC Turvania1.1Inverter(MBUS-12)46058,7062546058,7062546058,7361111111</v>
      </c>
      <c r="Q317" s="1" t="str">
        <f>_xlfn.CONCAT(H317,I317,J317)</f>
        <v>DAURDE</v>
      </c>
    </row>
    <row r="318" spans="2:17">
      <c r="B318" s="1" t="s">
        <v>698</v>
      </c>
      <c r="C318" s="1" t="s">
        <v>264</v>
      </c>
      <c r="D318" s="52">
        <v>46058.706250000003</v>
      </c>
      <c r="E318" s="52">
        <v>46058.706250000003</v>
      </c>
      <c r="F318" s="52">
        <v>46058.736111111109</v>
      </c>
      <c r="G318" s="53">
        <v>2.9861111111111113E-2</v>
      </c>
      <c r="H318" s="1" t="s">
        <v>257</v>
      </c>
      <c r="J318" s="1" t="s">
        <v>258</v>
      </c>
      <c r="K318" s="1" t="s">
        <v>658</v>
      </c>
      <c r="L318" s="1" t="s">
        <v>699</v>
      </c>
      <c r="M318" s="1" t="s">
        <v>272</v>
      </c>
      <c r="N318" s="1" t="s">
        <v>253</v>
      </c>
      <c r="O318" s="1" t="s">
        <v>697</v>
      </c>
      <c r="P318" s="1" t="str">
        <f>_xlfn.CONCAT(B318,C318,D318,E318,F318)</f>
        <v>BC Turvania1.1Inverter(MBUS-13)46058,7062546058,7062546058,7361111111</v>
      </c>
      <c r="Q318" s="1" t="str">
        <f>_xlfn.CONCAT(H318,I318,J318)</f>
        <v>DAURDE</v>
      </c>
    </row>
    <row r="319" spans="2:17">
      <c r="B319" s="1" t="s">
        <v>700</v>
      </c>
      <c r="C319" s="1" t="s">
        <v>263</v>
      </c>
      <c r="D319" s="52">
        <v>46058.706250000003</v>
      </c>
      <c r="E319" s="52">
        <v>46058.706250000003</v>
      </c>
      <c r="F319" s="52">
        <v>46058.736111111109</v>
      </c>
      <c r="G319" s="53">
        <v>2.9861111111111113E-2</v>
      </c>
      <c r="H319" s="1" t="s">
        <v>257</v>
      </c>
      <c r="J319" s="1" t="s">
        <v>258</v>
      </c>
      <c r="K319" s="1" t="s">
        <v>658</v>
      </c>
      <c r="L319" s="1" t="s">
        <v>699</v>
      </c>
      <c r="M319" s="1" t="s">
        <v>272</v>
      </c>
      <c r="N319" s="1" t="s">
        <v>253</v>
      </c>
      <c r="O319" s="1" t="s">
        <v>697</v>
      </c>
      <c r="P319" s="1" t="str">
        <f>_xlfn.CONCAT(B319,C319,D319,E319,F319)</f>
        <v>BC Turvania1.2Inverter(MBUS-14)46058,7062546058,7062546058,7361111111</v>
      </c>
      <c r="Q319" s="1" t="str">
        <f>_xlfn.CONCAT(H319,I319,J319)</f>
        <v>DAURDE</v>
      </c>
    </row>
    <row r="320" spans="2:17">
      <c r="B320" s="1" t="s">
        <v>700</v>
      </c>
      <c r="C320" s="1" t="s">
        <v>264</v>
      </c>
      <c r="D320" s="52">
        <v>46058.706250000003</v>
      </c>
      <c r="E320" s="52">
        <v>46058.706250000003</v>
      </c>
      <c r="F320" s="52">
        <v>46058.736111111109</v>
      </c>
      <c r="G320" s="53">
        <v>2.9861111111111113E-2</v>
      </c>
      <c r="H320" s="1" t="s">
        <v>257</v>
      </c>
      <c r="J320" s="1" t="s">
        <v>258</v>
      </c>
      <c r="K320" s="1" t="s">
        <v>658</v>
      </c>
      <c r="L320" s="1" t="s">
        <v>699</v>
      </c>
      <c r="M320" s="1" t="s">
        <v>272</v>
      </c>
      <c r="N320" s="1" t="s">
        <v>253</v>
      </c>
      <c r="O320" s="1" t="s">
        <v>697</v>
      </c>
      <c r="P320" s="1" t="str">
        <f>_xlfn.CONCAT(B320,C320,D320,E320,F320)</f>
        <v>BC Turvania1.2Inverter(MBUS-13)46058,7062546058,7062546058,7361111111</v>
      </c>
      <c r="Q320" s="1" t="str">
        <f>_xlfn.CONCAT(H320,I320,J320)</f>
        <v>DAURDE</v>
      </c>
    </row>
    <row r="321" spans="2:18">
      <c r="B321" s="1" t="s">
        <v>700</v>
      </c>
      <c r="C321" s="1" t="s">
        <v>256</v>
      </c>
      <c r="D321" s="52">
        <v>46058.706250000003</v>
      </c>
      <c r="E321" s="52">
        <v>46058.706250000003</v>
      </c>
      <c r="F321" s="52">
        <v>46058.736111111109</v>
      </c>
      <c r="G321" s="53">
        <v>2.9861111111111113E-2</v>
      </c>
      <c r="H321" s="1" t="s">
        <v>257</v>
      </c>
      <c r="J321" s="1" t="s">
        <v>258</v>
      </c>
      <c r="K321" s="1" t="s">
        <v>658</v>
      </c>
      <c r="L321" s="1" t="s">
        <v>699</v>
      </c>
      <c r="M321" s="1" t="s">
        <v>272</v>
      </c>
      <c r="N321" s="1" t="s">
        <v>253</v>
      </c>
      <c r="O321" s="1" t="s">
        <v>697</v>
      </c>
      <c r="P321" s="1" t="str">
        <f>_xlfn.CONCAT(B321,C321,D321,E321,F321)</f>
        <v>BC Turvania1.2Inverter(MBUS-12)46058,7062546058,7062546058,7361111111</v>
      </c>
      <c r="Q321" s="1" t="str">
        <f>_xlfn.CONCAT(H321,I321,J321)</f>
        <v>DAURDE</v>
      </c>
    </row>
    <row r="322" spans="2:18">
      <c r="B322" s="1" t="s">
        <v>700</v>
      </c>
      <c r="C322" s="1" t="s">
        <v>307</v>
      </c>
      <c r="D322" s="52">
        <v>46058.706250000003</v>
      </c>
      <c r="E322" s="52">
        <v>46058.706250000003</v>
      </c>
      <c r="F322" s="52">
        <v>46058.736111111109</v>
      </c>
      <c r="G322" s="53">
        <v>2.9861111111111113E-2</v>
      </c>
      <c r="H322" s="1" t="s">
        <v>257</v>
      </c>
      <c r="J322" s="1" t="s">
        <v>258</v>
      </c>
      <c r="K322" s="1" t="s">
        <v>658</v>
      </c>
      <c r="L322" s="1" t="s">
        <v>699</v>
      </c>
      <c r="M322" s="1" t="s">
        <v>272</v>
      </c>
      <c r="N322" s="1" t="s">
        <v>253</v>
      </c>
      <c r="O322" s="1" t="s">
        <v>697</v>
      </c>
      <c r="P322" s="1" t="str">
        <f>_xlfn.CONCAT(B322,C322,D322,E322,F322)</f>
        <v>BC Turvania1.2Inverter(MBUS-15)46058,7062546058,7062546058,7361111111</v>
      </c>
      <c r="Q322" s="1" t="str">
        <f>_xlfn.CONCAT(H322,I322,J322)</f>
        <v>DAURDE</v>
      </c>
    </row>
    <row r="323" spans="2:18">
      <c r="B323" s="1" t="s">
        <v>314</v>
      </c>
      <c r="C323" s="1" t="s">
        <v>264</v>
      </c>
      <c r="D323" s="52">
        <v>46058.706250000003</v>
      </c>
      <c r="E323" s="52">
        <v>46058.706250000003</v>
      </c>
      <c r="F323" s="52">
        <v>46058.736111111109</v>
      </c>
      <c r="G323" s="53">
        <v>2.9861111111111113E-2</v>
      </c>
      <c r="H323" s="1" t="s">
        <v>257</v>
      </c>
      <c r="J323" s="1" t="s">
        <v>258</v>
      </c>
      <c r="K323" s="1" t="s">
        <v>658</v>
      </c>
      <c r="L323" s="1" t="s">
        <v>699</v>
      </c>
      <c r="M323" s="1" t="s">
        <v>272</v>
      </c>
      <c r="N323" s="1" t="s">
        <v>253</v>
      </c>
      <c r="O323" s="1" t="s">
        <v>697</v>
      </c>
      <c r="P323" s="1" t="str">
        <f>_xlfn.CONCAT(B323,C323,D323,E323,F323)</f>
        <v>BC Turvania1.3Inverter(MBUS-13)46058,7062546058,7062546058,7361111111</v>
      </c>
      <c r="Q323" s="1" t="str">
        <f>_xlfn.CONCAT(H323,I323,J323)</f>
        <v>DAURDE</v>
      </c>
    </row>
    <row r="324" spans="2:18">
      <c r="B324" s="1" t="s">
        <v>314</v>
      </c>
      <c r="C324" s="1" t="s">
        <v>263</v>
      </c>
      <c r="D324" s="52">
        <v>46058.706250000003</v>
      </c>
      <c r="E324" s="52">
        <v>46058.706250000003</v>
      </c>
      <c r="F324" s="52">
        <v>46058.736111111109</v>
      </c>
      <c r="G324" s="53">
        <v>2.9861111111111113E-2</v>
      </c>
      <c r="H324" s="1" t="s">
        <v>257</v>
      </c>
      <c r="J324" s="1" t="s">
        <v>258</v>
      </c>
      <c r="K324" s="1" t="s">
        <v>658</v>
      </c>
      <c r="L324" s="1" t="s">
        <v>699</v>
      </c>
      <c r="M324" s="1" t="s">
        <v>272</v>
      </c>
      <c r="N324" s="1" t="s">
        <v>253</v>
      </c>
      <c r="O324" s="1" t="s">
        <v>697</v>
      </c>
      <c r="P324" s="1" t="str">
        <f>_xlfn.CONCAT(B324,C324,D324,E324,F324)</f>
        <v>BC Turvania1.3Inverter(MBUS-14)46058,7062546058,7062546058,7361111111</v>
      </c>
      <c r="Q324" s="1" t="str">
        <f>_xlfn.CONCAT(H324,I324,J324)</f>
        <v>DAURDE</v>
      </c>
      <c r="R324" s="1"/>
    </row>
    <row r="325" spans="2:18">
      <c r="B325" s="1" t="s">
        <v>314</v>
      </c>
      <c r="C325" s="1" t="s">
        <v>307</v>
      </c>
      <c r="D325" s="52">
        <v>46058.706250000003</v>
      </c>
      <c r="E325" s="52">
        <v>46058.706250000003</v>
      </c>
      <c r="F325" s="52">
        <v>46058.736111111109</v>
      </c>
      <c r="G325" s="53">
        <v>2.9861111111111113E-2</v>
      </c>
      <c r="H325" s="1" t="s">
        <v>257</v>
      </c>
      <c r="J325" s="1" t="s">
        <v>258</v>
      </c>
      <c r="K325" s="1" t="s">
        <v>658</v>
      </c>
      <c r="L325" s="1" t="s">
        <v>699</v>
      </c>
      <c r="M325" s="1" t="s">
        <v>272</v>
      </c>
      <c r="N325" s="1" t="s">
        <v>253</v>
      </c>
      <c r="O325" s="1" t="s">
        <v>697</v>
      </c>
      <c r="P325" s="1" t="str">
        <f>_xlfn.CONCAT(B325,C325,D325,E325,F325)</f>
        <v>BC Turvania1.3Inverter(MBUS-15)46058,7062546058,7062546058,7361111111</v>
      </c>
      <c r="Q325" s="1" t="str">
        <f>_xlfn.CONCAT(H325,I325,J325)</f>
        <v>DAURDE</v>
      </c>
    </row>
    <row r="326" spans="2:18">
      <c r="B326" s="1" t="s">
        <v>314</v>
      </c>
      <c r="C326" s="1" t="s">
        <v>247</v>
      </c>
      <c r="D326" s="52">
        <v>46058.706250000003</v>
      </c>
      <c r="E326" s="52">
        <v>46058.706250000003</v>
      </c>
      <c r="F326" s="52">
        <v>46058.736111111109</v>
      </c>
      <c r="G326" s="53">
        <v>2.9861111111111113E-2</v>
      </c>
      <c r="H326" s="1" t="s">
        <v>257</v>
      </c>
      <c r="J326" s="1" t="s">
        <v>258</v>
      </c>
      <c r="K326" s="1" t="s">
        <v>658</v>
      </c>
      <c r="L326" s="1" t="s">
        <v>699</v>
      </c>
      <c r="M326" s="1" t="s">
        <v>272</v>
      </c>
      <c r="N326" s="1" t="s">
        <v>253</v>
      </c>
      <c r="O326" s="1" t="s">
        <v>697</v>
      </c>
      <c r="P326" s="1" t="str">
        <f>_xlfn.CONCAT(B326,C326,D326,E326,F326)</f>
        <v>BC Turvania1.3Inverter(MBUS-1)46058,7062546058,7062546058,7361111111</v>
      </c>
      <c r="Q326" s="1" t="str">
        <f>_xlfn.CONCAT(H326,I326,J326)</f>
        <v>DAURDE</v>
      </c>
    </row>
    <row r="327" spans="2:18">
      <c r="B327" s="1" t="s">
        <v>701</v>
      </c>
      <c r="C327" s="1" t="s">
        <v>263</v>
      </c>
      <c r="D327" s="52">
        <v>46058.706250000003</v>
      </c>
      <c r="E327" s="52">
        <v>46058.706250000003</v>
      </c>
      <c r="F327" s="52">
        <v>46058.736111111109</v>
      </c>
      <c r="G327" s="53">
        <v>2.9861111111111113E-2</v>
      </c>
      <c r="H327" s="1" t="s">
        <v>257</v>
      </c>
      <c r="J327" s="1" t="s">
        <v>258</v>
      </c>
      <c r="K327" s="1" t="s">
        <v>658</v>
      </c>
      <c r="L327" s="1" t="s">
        <v>699</v>
      </c>
      <c r="M327" s="1" t="s">
        <v>272</v>
      </c>
      <c r="N327" s="1" t="s">
        <v>253</v>
      </c>
      <c r="O327" s="1" t="s">
        <v>697</v>
      </c>
      <c r="P327" s="1" t="str">
        <f>_xlfn.CONCAT(B327,C327,D327,E327,F327)</f>
        <v>BC Turvania1.4Inverter(MBUS-14)46058,7062546058,7062546058,7361111111</v>
      </c>
      <c r="Q327" s="1" t="str">
        <f>_xlfn.CONCAT(H327,I327,J327)</f>
        <v>DAURDE</v>
      </c>
    </row>
    <row r="328" spans="2:18">
      <c r="B328" s="1" t="s">
        <v>701</v>
      </c>
      <c r="C328" s="1" t="s">
        <v>307</v>
      </c>
      <c r="D328" s="52">
        <v>46058.706250000003</v>
      </c>
      <c r="E328" s="52">
        <v>46058.706250000003</v>
      </c>
      <c r="F328" s="52">
        <v>46058.736111111109</v>
      </c>
      <c r="G328" s="53">
        <v>2.9861111111111113E-2</v>
      </c>
      <c r="H328" s="1" t="s">
        <v>257</v>
      </c>
      <c r="J328" s="1" t="s">
        <v>258</v>
      </c>
      <c r="K328" s="1" t="s">
        <v>658</v>
      </c>
      <c r="L328" s="1" t="s">
        <v>699</v>
      </c>
      <c r="M328" s="1" t="s">
        <v>272</v>
      </c>
      <c r="N328" s="1" t="s">
        <v>253</v>
      </c>
      <c r="O328" s="1" t="s">
        <v>697</v>
      </c>
      <c r="P328" s="1" t="str">
        <f>_xlfn.CONCAT(B328,C328,D328,E328,F328)</f>
        <v>BC Turvania1.4Inverter(MBUS-15)46058,7062546058,7062546058,7361111111</v>
      </c>
      <c r="Q328" s="1" t="str">
        <f>_xlfn.CONCAT(H328,I328,J328)</f>
        <v>DAURDE</v>
      </c>
    </row>
    <row r="329" spans="2:18">
      <c r="B329" s="1" t="s">
        <v>701</v>
      </c>
      <c r="C329" s="1" t="s">
        <v>264</v>
      </c>
      <c r="D329" s="52">
        <v>46058.706250000003</v>
      </c>
      <c r="E329" s="52">
        <v>46058.706250000003</v>
      </c>
      <c r="F329" s="52">
        <v>46058.736111111109</v>
      </c>
      <c r="G329" s="53">
        <v>2.9861111111111113E-2</v>
      </c>
      <c r="H329" s="1" t="s">
        <v>257</v>
      </c>
      <c r="J329" s="1" t="s">
        <v>258</v>
      </c>
      <c r="K329" s="1" t="s">
        <v>658</v>
      </c>
      <c r="L329" s="1" t="s">
        <v>699</v>
      </c>
      <c r="M329" s="1" t="s">
        <v>272</v>
      </c>
      <c r="N329" s="1" t="s">
        <v>253</v>
      </c>
      <c r="O329" s="1" t="s">
        <v>697</v>
      </c>
      <c r="P329" s="1" t="str">
        <f>_xlfn.CONCAT(B329,C329,D329,E329,F329)</f>
        <v>BC Turvania1.4Inverter(MBUS-13)46058,7062546058,7062546058,7361111111</v>
      </c>
      <c r="Q329" s="1" t="str">
        <f>_xlfn.CONCAT(H329,I329,J329)</f>
        <v>DAURDE</v>
      </c>
    </row>
    <row r="330" spans="2:18">
      <c r="B330" s="1" t="s">
        <v>701</v>
      </c>
      <c r="C330" s="1" t="s">
        <v>256</v>
      </c>
      <c r="D330" s="52">
        <v>46058.706250000003</v>
      </c>
      <c r="E330" s="52">
        <v>46058.706250000003</v>
      </c>
      <c r="F330" s="52">
        <v>46058.736111111109</v>
      </c>
      <c r="G330" s="53">
        <v>2.9861111111111113E-2</v>
      </c>
      <c r="H330" s="1" t="s">
        <v>257</v>
      </c>
      <c r="J330" s="1" t="s">
        <v>258</v>
      </c>
      <c r="K330" s="1" t="s">
        <v>658</v>
      </c>
      <c r="L330" s="1" t="s">
        <v>699</v>
      </c>
      <c r="M330" s="1" t="s">
        <v>272</v>
      </c>
      <c r="N330" s="1" t="s">
        <v>253</v>
      </c>
      <c r="O330" s="1" t="s">
        <v>697</v>
      </c>
      <c r="P330" s="1" t="str">
        <f>_xlfn.CONCAT(B330,C330,D330,E330,F330)</f>
        <v>BC Turvania1.4Inverter(MBUS-12)46058,7062546058,7062546058,7361111111</v>
      </c>
      <c r="Q330" s="1" t="str">
        <f>_xlfn.CONCAT(H330,I330,J330)</f>
        <v>DAURDE</v>
      </c>
    </row>
    <row r="331" spans="2:18">
      <c r="B331" s="1" t="s">
        <v>702</v>
      </c>
      <c r="C331" s="1" t="s">
        <v>264</v>
      </c>
      <c r="D331" s="52">
        <v>46058.706250000003</v>
      </c>
      <c r="E331" s="52">
        <v>46058.706250000003</v>
      </c>
      <c r="F331" s="52">
        <v>46058.736111111109</v>
      </c>
      <c r="G331" s="53">
        <v>2.9861111111111113E-2</v>
      </c>
      <c r="H331" s="1" t="s">
        <v>257</v>
      </c>
      <c r="J331" s="1" t="s">
        <v>258</v>
      </c>
      <c r="K331" s="1" t="s">
        <v>658</v>
      </c>
      <c r="L331" s="1" t="s">
        <v>699</v>
      </c>
      <c r="M331" s="1" t="s">
        <v>272</v>
      </c>
      <c r="N331" s="1" t="s">
        <v>253</v>
      </c>
      <c r="O331" s="1" t="s">
        <v>697</v>
      </c>
      <c r="P331" s="1" t="str">
        <f>_xlfn.CONCAT(B331,C331,D331,E331,F331)</f>
        <v>BC Turvania1.5Inverter(MBUS-13)46058,7062546058,7062546058,7361111111</v>
      </c>
      <c r="Q331" s="1" t="str">
        <f>_xlfn.CONCAT(H331,I331,J331)</f>
        <v>DAURDE</v>
      </c>
    </row>
    <row r="332" spans="2:18">
      <c r="B332" s="1" t="s">
        <v>702</v>
      </c>
      <c r="C332" s="1" t="s">
        <v>256</v>
      </c>
      <c r="D332" s="52">
        <v>46058.706250000003</v>
      </c>
      <c r="E332" s="52">
        <v>46058.706250000003</v>
      </c>
      <c r="F332" s="52">
        <v>46058.736111111109</v>
      </c>
      <c r="G332" s="53">
        <v>2.9861111111111113E-2</v>
      </c>
      <c r="H332" s="1" t="s">
        <v>257</v>
      </c>
      <c r="J332" s="1" t="s">
        <v>258</v>
      </c>
      <c r="K332" s="1" t="s">
        <v>658</v>
      </c>
      <c r="L332" s="1" t="s">
        <v>699</v>
      </c>
      <c r="M332" s="1" t="s">
        <v>272</v>
      </c>
      <c r="N332" s="1" t="s">
        <v>253</v>
      </c>
      <c r="O332" s="1" t="s">
        <v>697</v>
      </c>
      <c r="P332" s="1" t="str">
        <f>_xlfn.CONCAT(B332,C332,D332,E332,F332)</f>
        <v>BC Turvania1.5Inverter(MBUS-12)46058,7062546058,7062546058,7361111111</v>
      </c>
      <c r="Q332" s="1" t="str">
        <f>_xlfn.CONCAT(H332,I332,J332)</f>
        <v>DAURDE</v>
      </c>
    </row>
    <row r="333" spans="2:18">
      <c r="B333" s="1" t="s">
        <v>702</v>
      </c>
      <c r="C333" s="1" t="s">
        <v>263</v>
      </c>
      <c r="D333" s="52">
        <v>46058.706250000003</v>
      </c>
      <c r="E333" s="52">
        <v>46058.706250000003</v>
      </c>
      <c r="F333" s="52">
        <v>46058.736111111109</v>
      </c>
      <c r="G333" s="53">
        <v>2.9861111111111113E-2</v>
      </c>
      <c r="H333" s="1" t="s">
        <v>257</v>
      </c>
      <c r="J333" s="1" t="s">
        <v>258</v>
      </c>
      <c r="K333" s="1" t="s">
        <v>658</v>
      </c>
      <c r="L333" s="1" t="s">
        <v>699</v>
      </c>
      <c r="M333" s="1" t="s">
        <v>272</v>
      </c>
      <c r="N333" s="1" t="s">
        <v>253</v>
      </c>
      <c r="O333" s="1" t="s">
        <v>697</v>
      </c>
      <c r="P333" s="1" t="str">
        <f>_xlfn.CONCAT(B333,C333,D333,E333,F333)</f>
        <v>BC Turvania1.5Inverter(MBUS-14)46058,7062546058,7062546058,7361111111</v>
      </c>
      <c r="Q333" s="1" t="str">
        <f>_xlfn.CONCAT(H333,I333,J333)</f>
        <v>DAURDE</v>
      </c>
    </row>
    <row r="334" spans="2:18">
      <c r="B334" s="1" t="s">
        <v>702</v>
      </c>
      <c r="C334" s="1" t="s">
        <v>247</v>
      </c>
      <c r="D334" s="52">
        <v>46058.706250000003</v>
      </c>
      <c r="E334" s="52">
        <v>46058.706250000003</v>
      </c>
      <c r="F334" s="52">
        <v>46058.736111111109</v>
      </c>
      <c r="G334" s="53">
        <v>2.9861111111111113E-2</v>
      </c>
      <c r="H334" s="1" t="s">
        <v>257</v>
      </c>
      <c r="J334" s="1" t="s">
        <v>258</v>
      </c>
      <c r="K334" s="1" t="s">
        <v>658</v>
      </c>
      <c r="L334" s="1" t="s">
        <v>699</v>
      </c>
      <c r="M334" s="1" t="s">
        <v>260</v>
      </c>
      <c r="N334" s="1" t="s">
        <v>357</v>
      </c>
      <c r="O334" s="1" t="s">
        <v>695</v>
      </c>
      <c r="P334" s="1" t="str">
        <f>_xlfn.CONCAT(B334,C334,D334,E334,F334)</f>
        <v>BC Turvania1.5Inverter(MBUS-1)46058,7062546058,7062546058,7361111111</v>
      </c>
      <c r="Q334" s="1" t="str">
        <f>_xlfn.CONCAT(H334,I334,J334)</f>
        <v>DAURDE</v>
      </c>
    </row>
    <row r="335" spans="2:18">
      <c r="B335" s="1" t="s">
        <v>698</v>
      </c>
      <c r="C335" s="1" t="s">
        <v>263</v>
      </c>
      <c r="D335" s="52">
        <v>46058.716666666667</v>
      </c>
      <c r="E335" s="52">
        <v>46058.716666666667</v>
      </c>
      <c r="F335" s="52">
        <v>46058.739583333336</v>
      </c>
      <c r="G335" s="53">
        <v>2.2916666666666665E-2</v>
      </c>
      <c r="H335" s="1" t="s">
        <v>257</v>
      </c>
      <c r="J335" s="1" t="s">
        <v>258</v>
      </c>
      <c r="K335" s="1" t="s">
        <v>658</v>
      </c>
      <c r="L335" s="1" t="s">
        <v>703</v>
      </c>
      <c r="M335" s="1" t="s">
        <v>260</v>
      </c>
      <c r="N335" s="1" t="s">
        <v>357</v>
      </c>
      <c r="O335" s="1" t="s">
        <v>695</v>
      </c>
      <c r="P335" s="1" t="str">
        <f>_xlfn.CONCAT(B335,C335,D335,E335,F335)</f>
        <v>BC Turvania1.1Inverter(MBUS-14)46058,716666666746058,716666666746058,7395833333</v>
      </c>
      <c r="Q335" s="1" t="str">
        <f>_xlfn.CONCAT(H335,I335,J335)</f>
        <v>DAURDE</v>
      </c>
    </row>
    <row r="336" spans="2:18">
      <c r="B336" s="1" t="s">
        <v>698</v>
      </c>
      <c r="C336" s="1" t="s">
        <v>307</v>
      </c>
      <c r="D336" s="52">
        <v>46058.716666666667</v>
      </c>
      <c r="E336" s="52">
        <v>46058.716666666667</v>
      </c>
      <c r="F336" s="52">
        <v>46058.739583333336</v>
      </c>
      <c r="G336" s="53">
        <v>2.2916666666666665E-2</v>
      </c>
      <c r="H336" s="1" t="s">
        <v>257</v>
      </c>
      <c r="J336" s="1" t="s">
        <v>258</v>
      </c>
      <c r="K336" s="1" t="s">
        <v>658</v>
      </c>
      <c r="L336" s="1" t="s">
        <v>703</v>
      </c>
      <c r="M336" s="1" t="s">
        <v>260</v>
      </c>
      <c r="N336" s="1" t="s">
        <v>357</v>
      </c>
      <c r="O336" s="1" t="s">
        <v>695</v>
      </c>
      <c r="P336" s="1" t="str">
        <f>_xlfn.CONCAT(B336,C336,D336,E336,F336)</f>
        <v>BC Turvania1.1Inverter(MBUS-15)46058,716666666746058,716666666746058,7395833333</v>
      </c>
      <c r="Q336" s="1" t="str">
        <f>_xlfn.CONCAT(H336,I336,J336)</f>
        <v>DAURDE</v>
      </c>
    </row>
    <row r="337" spans="2:17">
      <c r="B337" s="1" t="s">
        <v>698</v>
      </c>
      <c r="C337" s="1" t="s">
        <v>256</v>
      </c>
      <c r="D337" s="52">
        <v>46058.716666666667</v>
      </c>
      <c r="E337" s="52">
        <v>46058.716666666667</v>
      </c>
      <c r="F337" s="52">
        <v>46058.739583333336</v>
      </c>
      <c r="G337" s="53">
        <v>2.2916666666666665E-2</v>
      </c>
      <c r="H337" s="1" t="s">
        <v>257</v>
      </c>
      <c r="J337" s="1" t="s">
        <v>258</v>
      </c>
      <c r="K337" s="1" t="s">
        <v>658</v>
      </c>
      <c r="L337" s="1" t="s">
        <v>703</v>
      </c>
      <c r="M337" s="1" t="s">
        <v>260</v>
      </c>
      <c r="N337" s="1" t="s">
        <v>357</v>
      </c>
      <c r="O337" s="1" t="s">
        <v>695</v>
      </c>
      <c r="P337" s="1" t="str">
        <f>_xlfn.CONCAT(B337,C337,D337,E337,F337)</f>
        <v>BC Turvania1.1Inverter(MBUS-12)46058,716666666746058,716666666746058,7395833333</v>
      </c>
      <c r="Q337" s="1" t="str">
        <f>_xlfn.CONCAT(H337,I337,J337)</f>
        <v>DAURDE</v>
      </c>
    </row>
    <row r="338" spans="2:17">
      <c r="B338" s="1" t="s">
        <v>698</v>
      </c>
      <c r="C338" s="1" t="s">
        <v>264</v>
      </c>
      <c r="D338" s="52">
        <v>46058.716666666667</v>
      </c>
      <c r="E338" s="52">
        <v>46058.716666666667</v>
      </c>
      <c r="F338" s="52">
        <v>46058.739583333336</v>
      </c>
      <c r="G338" s="53">
        <v>2.2916666666666665E-2</v>
      </c>
      <c r="H338" s="1" t="s">
        <v>257</v>
      </c>
      <c r="J338" s="1" t="s">
        <v>258</v>
      </c>
      <c r="K338" s="1" t="s">
        <v>658</v>
      </c>
      <c r="L338" s="1" t="s">
        <v>703</v>
      </c>
      <c r="M338" s="1" t="s">
        <v>260</v>
      </c>
      <c r="N338" s="1" t="s">
        <v>357</v>
      </c>
      <c r="O338" s="1" t="s">
        <v>695</v>
      </c>
      <c r="P338" s="1" t="str">
        <f>_xlfn.CONCAT(B338,C338,D338,E338,F338)</f>
        <v>BC Turvania1.1Inverter(MBUS-13)46058,716666666746058,716666666746058,7395833333</v>
      </c>
      <c r="Q338" s="1" t="str">
        <f>_xlfn.CONCAT(H338,I338,J338)</f>
        <v>DAURDE</v>
      </c>
    </row>
    <row r="339" spans="2:17">
      <c r="B339" s="1" t="s">
        <v>700</v>
      </c>
      <c r="C339" s="1" t="s">
        <v>263</v>
      </c>
      <c r="D339" s="52">
        <v>46058.716666666667</v>
      </c>
      <c r="E339" s="52">
        <v>46058.716666666667</v>
      </c>
      <c r="F339" s="52">
        <v>46058.739583333336</v>
      </c>
      <c r="G339" s="53">
        <v>2.2916666666666665E-2</v>
      </c>
      <c r="H339" s="1" t="s">
        <v>257</v>
      </c>
      <c r="J339" s="1" t="s">
        <v>258</v>
      </c>
      <c r="K339" s="1" t="s">
        <v>658</v>
      </c>
      <c r="L339" s="1" t="s">
        <v>703</v>
      </c>
      <c r="M339" s="1" t="s">
        <v>260</v>
      </c>
      <c r="N339" s="1" t="s">
        <v>357</v>
      </c>
      <c r="O339" s="1" t="s">
        <v>695</v>
      </c>
      <c r="P339" s="1" t="str">
        <f>_xlfn.CONCAT(B339,C339,D339,E339,F339)</f>
        <v>BC Turvania1.2Inverter(MBUS-14)46058,716666666746058,716666666746058,7395833333</v>
      </c>
      <c r="Q339" s="1" t="str">
        <f>_xlfn.CONCAT(H339,I339,J339)</f>
        <v>DAURDE</v>
      </c>
    </row>
    <row r="340" spans="2:17">
      <c r="B340" s="1" t="s">
        <v>700</v>
      </c>
      <c r="C340" s="1" t="s">
        <v>264</v>
      </c>
      <c r="D340" s="52">
        <v>46058.716666666667</v>
      </c>
      <c r="E340" s="52">
        <v>46058.716666666667</v>
      </c>
      <c r="F340" s="52">
        <v>46058.739583333336</v>
      </c>
      <c r="G340" s="53">
        <v>2.2916666666666665E-2</v>
      </c>
      <c r="H340" s="1" t="s">
        <v>257</v>
      </c>
      <c r="J340" s="1" t="s">
        <v>258</v>
      </c>
      <c r="K340" s="1" t="s">
        <v>658</v>
      </c>
      <c r="L340" s="1" t="s">
        <v>703</v>
      </c>
      <c r="M340" s="1" t="s">
        <v>260</v>
      </c>
      <c r="N340" s="1" t="s">
        <v>357</v>
      </c>
      <c r="O340" s="1" t="s">
        <v>695</v>
      </c>
      <c r="P340" s="1" t="str">
        <f>_xlfn.CONCAT(B340,C340,D340,E340,F340)</f>
        <v>BC Turvania1.2Inverter(MBUS-13)46058,716666666746058,716666666746058,7395833333</v>
      </c>
      <c r="Q340" s="1" t="str">
        <f>_xlfn.CONCAT(H340,I340,J340)</f>
        <v>DAURDE</v>
      </c>
    </row>
    <row r="341" spans="2:17">
      <c r="B341" s="1" t="s">
        <v>700</v>
      </c>
      <c r="C341" s="1" t="s">
        <v>256</v>
      </c>
      <c r="D341" s="52">
        <v>46058.716666666667</v>
      </c>
      <c r="E341" s="52">
        <v>46058.716666666667</v>
      </c>
      <c r="F341" s="52">
        <v>46058.739583333336</v>
      </c>
      <c r="G341" s="53">
        <v>2.2916666666666665E-2</v>
      </c>
      <c r="H341" s="1" t="s">
        <v>257</v>
      </c>
      <c r="J341" s="1" t="s">
        <v>258</v>
      </c>
      <c r="K341" s="1" t="s">
        <v>658</v>
      </c>
      <c r="L341" s="1" t="s">
        <v>703</v>
      </c>
      <c r="M341" s="1" t="s">
        <v>260</v>
      </c>
      <c r="N341" s="1" t="s">
        <v>357</v>
      </c>
      <c r="O341" s="1" t="s">
        <v>695</v>
      </c>
      <c r="P341" s="1" t="str">
        <f>_xlfn.CONCAT(B341,C341,D341,E341,F341)</f>
        <v>BC Turvania1.2Inverter(MBUS-12)46058,716666666746058,716666666746058,7395833333</v>
      </c>
      <c r="Q341" s="1" t="str">
        <f>_xlfn.CONCAT(H341,I341,J341)</f>
        <v>DAURDE</v>
      </c>
    </row>
    <row r="342" spans="2:17">
      <c r="B342" s="1" t="s">
        <v>700</v>
      </c>
      <c r="C342" s="1" t="s">
        <v>307</v>
      </c>
      <c r="D342" s="52">
        <v>46058.716666666667</v>
      </c>
      <c r="E342" s="52">
        <v>46058.716666666667</v>
      </c>
      <c r="F342" s="52">
        <v>46058.739583333336</v>
      </c>
      <c r="G342" s="53">
        <v>2.2916666666666665E-2</v>
      </c>
      <c r="H342" s="1" t="s">
        <v>257</v>
      </c>
      <c r="J342" s="1" t="s">
        <v>258</v>
      </c>
      <c r="K342" s="1" t="s">
        <v>658</v>
      </c>
      <c r="L342" s="1" t="s">
        <v>703</v>
      </c>
      <c r="M342" s="1" t="s">
        <v>260</v>
      </c>
      <c r="N342" s="1" t="s">
        <v>357</v>
      </c>
      <c r="O342" s="1" t="s">
        <v>695</v>
      </c>
      <c r="P342" s="1" t="str">
        <f>_xlfn.CONCAT(B342,C342,D342,E342,F342)</f>
        <v>BC Turvania1.2Inverter(MBUS-15)46058,716666666746058,716666666746058,7395833333</v>
      </c>
      <c r="Q342" s="1" t="str">
        <f>_xlfn.CONCAT(H342,I342,J342)</f>
        <v>DAURDE</v>
      </c>
    </row>
    <row r="343" spans="2:17">
      <c r="B343" s="1" t="s">
        <v>314</v>
      </c>
      <c r="C343" s="1" t="s">
        <v>264</v>
      </c>
      <c r="D343" s="52">
        <v>46058.716666666667</v>
      </c>
      <c r="E343" s="52">
        <v>46058.716666666667</v>
      </c>
      <c r="F343" s="52">
        <v>46058.739583333336</v>
      </c>
      <c r="G343" s="53">
        <v>2.2916666666666665E-2</v>
      </c>
      <c r="H343" s="1" t="s">
        <v>257</v>
      </c>
      <c r="J343" s="1" t="s">
        <v>258</v>
      </c>
      <c r="K343" s="1" t="s">
        <v>658</v>
      </c>
      <c r="L343" s="1" t="s">
        <v>703</v>
      </c>
      <c r="M343" s="1" t="s">
        <v>260</v>
      </c>
      <c r="N343" s="1" t="s">
        <v>357</v>
      </c>
      <c r="O343" s="1" t="s">
        <v>695</v>
      </c>
      <c r="P343" s="1" t="str">
        <f>_xlfn.CONCAT(B343,C343,D343,E343,F343)</f>
        <v>BC Turvania1.3Inverter(MBUS-13)46058,716666666746058,716666666746058,7395833333</v>
      </c>
      <c r="Q343" s="1" t="str">
        <f>_xlfn.CONCAT(H343,I343,J343)</f>
        <v>DAURDE</v>
      </c>
    </row>
    <row r="344" spans="2:17">
      <c r="B344" s="1" t="s">
        <v>314</v>
      </c>
      <c r="C344" s="1" t="s">
        <v>263</v>
      </c>
      <c r="D344" s="52">
        <v>46058.716666666667</v>
      </c>
      <c r="E344" s="52">
        <v>46058.716666666667</v>
      </c>
      <c r="F344" s="52">
        <v>46058.739583333336</v>
      </c>
      <c r="G344" s="53">
        <v>2.2916666666666665E-2</v>
      </c>
      <c r="H344" s="1" t="s">
        <v>257</v>
      </c>
      <c r="J344" s="1" t="s">
        <v>258</v>
      </c>
      <c r="K344" s="1" t="s">
        <v>658</v>
      </c>
      <c r="L344" s="1" t="s">
        <v>703</v>
      </c>
      <c r="M344" s="1" t="s">
        <v>260</v>
      </c>
      <c r="N344" s="1" t="s">
        <v>357</v>
      </c>
      <c r="O344" s="1" t="s">
        <v>695</v>
      </c>
      <c r="P344" s="1" t="str">
        <f>_xlfn.CONCAT(B344,C344,D344,E344,F344)</f>
        <v>BC Turvania1.3Inverter(MBUS-14)46058,716666666746058,716666666746058,7395833333</v>
      </c>
      <c r="Q344" s="1" t="str">
        <f>_xlfn.CONCAT(H344,I344,J344)</f>
        <v>DAURDE</v>
      </c>
    </row>
    <row r="345" spans="2:17">
      <c r="B345" s="1" t="s">
        <v>314</v>
      </c>
      <c r="C345" s="1" t="s">
        <v>307</v>
      </c>
      <c r="D345" s="52">
        <v>46058.716666666667</v>
      </c>
      <c r="E345" s="52">
        <v>46058.716666666667</v>
      </c>
      <c r="F345" s="52">
        <v>46058.739583333336</v>
      </c>
      <c r="G345" s="53">
        <v>2.2916666666666665E-2</v>
      </c>
      <c r="H345" s="1" t="s">
        <v>257</v>
      </c>
      <c r="J345" s="1" t="s">
        <v>258</v>
      </c>
      <c r="K345" s="1" t="s">
        <v>658</v>
      </c>
      <c r="L345" s="1" t="s">
        <v>703</v>
      </c>
      <c r="M345" s="1" t="s">
        <v>260</v>
      </c>
      <c r="N345" s="1" t="s">
        <v>357</v>
      </c>
      <c r="O345" s="1" t="s">
        <v>695</v>
      </c>
      <c r="P345" s="1" t="str">
        <f>_xlfn.CONCAT(B345,C345,D345,E345,F345)</f>
        <v>BC Turvania1.3Inverter(MBUS-15)46058,716666666746058,716666666746058,7395833333</v>
      </c>
      <c r="Q345" s="1" t="str">
        <f>_xlfn.CONCAT(H345,I345,J345)</f>
        <v>DAURDE</v>
      </c>
    </row>
    <row r="346" spans="2:17">
      <c r="B346" s="1" t="s">
        <v>314</v>
      </c>
      <c r="C346" s="1" t="s">
        <v>247</v>
      </c>
      <c r="D346" s="52">
        <v>46058.716666666667</v>
      </c>
      <c r="E346" s="52">
        <v>46058.716666666667</v>
      </c>
      <c r="F346" s="52">
        <v>46058.739583333336</v>
      </c>
      <c r="G346" s="53">
        <v>2.2916666666666665E-2</v>
      </c>
      <c r="H346" s="1" t="s">
        <v>257</v>
      </c>
      <c r="J346" s="1" t="s">
        <v>258</v>
      </c>
      <c r="K346" s="1" t="s">
        <v>658</v>
      </c>
      <c r="L346" s="1" t="s">
        <v>703</v>
      </c>
      <c r="M346" s="1" t="s">
        <v>260</v>
      </c>
      <c r="N346" s="1" t="s">
        <v>357</v>
      </c>
      <c r="O346" s="1" t="s">
        <v>695</v>
      </c>
      <c r="P346" s="1" t="str">
        <f>_xlfn.CONCAT(B346,C346,D346,E346,F346)</f>
        <v>BC Turvania1.3Inverter(MBUS-1)46058,716666666746058,716666666746058,7395833333</v>
      </c>
      <c r="Q346" s="1" t="str">
        <f>_xlfn.CONCAT(H346,I346,J346)</f>
        <v>DAURDE</v>
      </c>
    </row>
    <row r="347" spans="2:17">
      <c r="B347" s="1" t="s">
        <v>701</v>
      </c>
      <c r="C347" s="1" t="s">
        <v>263</v>
      </c>
      <c r="D347" s="52">
        <v>46058.716666666667</v>
      </c>
      <c r="E347" s="52">
        <v>46058.716666666667</v>
      </c>
      <c r="F347" s="52">
        <v>46058.739583333336</v>
      </c>
      <c r="G347" s="53">
        <v>2.2916666666666665E-2</v>
      </c>
      <c r="H347" s="1" t="s">
        <v>257</v>
      </c>
      <c r="J347" s="1" t="s">
        <v>258</v>
      </c>
      <c r="K347" s="1" t="s">
        <v>658</v>
      </c>
      <c r="L347" s="1" t="s">
        <v>703</v>
      </c>
      <c r="M347" s="1" t="s">
        <v>260</v>
      </c>
      <c r="N347" s="1" t="s">
        <v>357</v>
      </c>
      <c r="O347" s="1" t="s">
        <v>695</v>
      </c>
      <c r="P347" s="1" t="str">
        <f>_xlfn.CONCAT(B347,C347,D347,E347,F347)</f>
        <v>BC Turvania1.4Inverter(MBUS-14)46058,716666666746058,716666666746058,7395833333</v>
      </c>
      <c r="Q347" s="1" t="str">
        <f>_xlfn.CONCAT(H347,I347,J347)</f>
        <v>DAURDE</v>
      </c>
    </row>
    <row r="348" spans="2:17">
      <c r="B348" s="1" t="s">
        <v>701</v>
      </c>
      <c r="C348" s="1" t="s">
        <v>307</v>
      </c>
      <c r="D348" s="52">
        <v>46058.716666666667</v>
      </c>
      <c r="E348" s="52">
        <v>46058.716666666667</v>
      </c>
      <c r="F348" s="52">
        <v>46058.739583333336</v>
      </c>
      <c r="G348" s="53">
        <v>2.2916666666666665E-2</v>
      </c>
      <c r="H348" s="1" t="s">
        <v>257</v>
      </c>
      <c r="J348" s="1" t="s">
        <v>258</v>
      </c>
      <c r="K348" s="1" t="s">
        <v>658</v>
      </c>
      <c r="L348" s="1" t="s">
        <v>703</v>
      </c>
      <c r="M348" s="1" t="s">
        <v>260</v>
      </c>
      <c r="N348" s="1" t="s">
        <v>357</v>
      </c>
      <c r="O348" s="1" t="s">
        <v>695</v>
      </c>
      <c r="P348" s="1" t="str">
        <f>_xlfn.CONCAT(B348,C348,D348,E348,F348)</f>
        <v>BC Turvania1.4Inverter(MBUS-15)46058,716666666746058,716666666746058,7395833333</v>
      </c>
      <c r="Q348" s="1" t="str">
        <f>_xlfn.CONCAT(H348,I348,J348)</f>
        <v>DAURDE</v>
      </c>
    </row>
    <row r="349" spans="2:17">
      <c r="B349" s="1" t="s">
        <v>701</v>
      </c>
      <c r="C349" s="1" t="s">
        <v>264</v>
      </c>
      <c r="D349" s="52">
        <v>46058.716666666667</v>
      </c>
      <c r="E349" s="52">
        <v>46058.716666666667</v>
      </c>
      <c r="F349" s="52">
        <v>46058.739583333336</v>
      </c>
      <c r="G349" s="53">
        <v>2.2916666666666665E-2</v>
      </c>
      <c r="H349" s="1" t="s">
        <v>257</v>
      </c>
      <c r="J349" s="1" t="s">
        <v>258</v>
      </c>
      <c r="K349" s="1" t="s">
        <v>658</v>
      </c>
      <c r="L349" s="1" t="s">
        <v>703</v>
      </c>
      <c r="M349" s="1" t="s">
        <v>260</v>
      </c>
      <c r="N349" s="1" t="s">
        <v>357</v>
      </c>
      <c r="O349" s="1" t="s">
        <v>695</v>
      </c>
      <c r="P349" s="1" t="str">
        <f>_xlfn.CONCAT(B349,C349,D349,E349,F349)</f>
        <v>BC Turvania1.4Inverter(MBUS-13)46058,716666666746058,716666666746058,7395833333</v>
      </c>
      <c r="Q349" s="1" t="str">
        <f>_xlfn.CONCAT(H349,I349,J349)</f>
        <v>DAURDE</v>
      </c>
    </row>
    <row r="350" spans="2:17">
      <c r="B350" s="1" t="s">
        <v>701</v>
      </c>
      <c r="C350" s="1" t="s">
        <v>256</v>
      </c>
      <c r="D350" s="52">
        <v>46058.716666666667</v>
      </c>
      <c r="E350" s="52">
        <v>46058.716666666667</v>
      </c>
      <c r="F350" s="52">
        <v>46058.739583333336</v>
      </c>
      <c r="G350" s="53">
        <v>2.2916666666666665E-2</v>
      </c>
      <c r="H350" s="1" t="s">
        <v>257</v>
      </c>
      <c r="J350" s="1" t="s">
        <v>258</v>
      </c>
      <c r="K350" s="1" t="s">
        <v>658</v>
      </c>
      <c r="L350" s="1" t="s">
        <v>703</v>
      </c>
      <c r="M350" s="1" t="s">
        <v>260</v>
      </c>
      <c r="N350" s="1" t="s">
        <v>357</v>
      </c>
      <c r="O350" s="1" t="s">
        <v>695</v>
      </c>
      <c r="P350" s="1" t="str">
        <f>_xlfn.CONCAT(B350,C350,D350,E350,F350)</f>
        <v>BC Turvania1.4Inverter(MBUS-12)46058,716666666746058,716666666746058,7395833333</v>
      </c>
      <c r="Q350" s="1" t="str">
        <f>_xlfn.CONCAT(H350,I350,J350)</f>
        <v>DAURDE</v>
      </c>
    </row>
    <row r="351" spans="2:17">
      <c r="B351" s="1" t="s">
        <v>702</v>
      </c>
      <c r="C351" s="1" t="s">
        <v>264</v>
      </c>
      <c r="D351" s="52">
        <v>46058.716666666667</v>
      </c>
      <c r="E351" s="52">
        <v>46058.716666666667</v>
      </c>
      <c r="F351" s="52">
        <v>46058.739583333336</v>
      </c>
      <c r="G351" s="53">
        <v>2.2916666666666665E-2</v>
      </c>
      <c r="H351" s="1" t="s">
        <v>257</v>
      </c>
      <c r="J351" s="1" t="s">
        <v>258</v>
      </c>
      <c r="K351" s="1" t="s">
        <v>658</v>
      </c>
      <c r="L351" s="1" t="s">
        <v>703</v>
      </c>
      <c r="M351" s="1" t="s">
        <v>260</v>
      </c>
      <c r="N351" s="1" t="s">
        <v>357</v>
      </c>
      <c r="O351" s="1" t="s">
        <v>695</v>
      </c>
      <c r="P351" s="1" t="str">
        <f>_xlfn.CONCAT(B351,C351,D351,E351,F351)</f>
        <v>BC Turvania1.5Inverter(MBUS-13)46058,716666666746058,716666666746058,7395833333</v>
      </c>
      <c r="Q351" s="1" t="str">
        <f>_xlfn.CONCAT(H351,I351,J351)</f>
        <v>DAURDE</v>
      </c>
    </row>
    <row r="352" spans="2:17">
      <c r="B352" s="1" t="s">
        <v>702</v>
      </c>
      <c r="C352" s="1" t="s">
        <v>256</v>
      </c>
      <c r="D352" s="52">
        <v>46058.716666666667</v>
      </c>
      <c r="E352" s="52">
        <v>46058.716666666667</v>
      </c>
      <c r="F352" s="52">
        <v>46058.739583333336</v>
      </c>
      <c r="G352" s="53">
        <v>2.2916666666666665E-2</v>
      </c>
      <c r="H352" s="1" t="s">
        <v>257</v>
      </c>
      <c r="J352" s="1" t="s">
        <v>258</v>
      </c>
      <c r="K352" s="1" t="s">
        <v>658</v>
      </c>
      <c r="L352" s="1" t="s">
        <v>703</v>
      </c>
      <c r="M352" s="1" t="s">
        <v>260</v>
      </c>
      <c r="N352" s="1" t="s">
        <v>357</v>
      </c>
      <c r="O352" s="1" t="s">
        <v>695</v>
      </c>
      <c r="P352" s="1" t="str">
        <f>_xlfn.CONCAT(B352,C352,D352,E352,F352)</f>
        <v>BC Turvania1.5Inverter(MBUS-12)46058,716666666746058,716666666746058,7395833333</v>
      </c>
      <c r="Q352" s="1" t="str">
        <f>_xlfn.CONCAT(H352,I352,J352)</f>
        <v>DAURDE</v>
      </c>
    </row>
    <row r="353" spans="2:17">
      <c r="B353" s="1" t="s">
        <v>702</v>
      </c>
      <c r="C353" s="1" t="s">
        <v>263</v>
      </c>
      <c r="D353" s="52">
        <v>46058.716666666667</v>
      </c>
      <c r="E353" s="52">
        <v>46058.716666666667</v>
      </c>
      <c r="F353" s="52">
        <v>46058.739583333336</v>
      </c>
      <c r="G353" s="53">
        <v>2.2916666666666665E-2</v>
      </c>
      <c r="H353" s="1" t="s">
        <v>257</v>
      </c>
      <c r="J353" s="1" t="s">
        <v>258</v>
      </c>
      <c r="K353" s="1" t="s">
        <v>658</v>
      </c>
      <c r="L353" s="1" t="s">
        <v>703</v>
      </c>
      <c r="M353" s="1" t="s">
        <v>260</v>
      </c>
      <c r="N353" s="1" t="s">
        <v>357</v>
      </c>
      <c r="O353" s="1" t="s">
        <v>695</v>
      </c>
      <c r="P353" s="1" t="str">
        <f>_xlfn.CONCAT(B353,C353,D353,E353,F353)</f>
        <v>BC Turvania1.5Inverter(MBUS-14)46058,716666666746058,716666666746058,7395833333</v>
      </c>
      <c r="Q353" s="1" t="str">
        <f>_xlfn.CONCAT(H353,I353,J353)</f>
        <v>DAURDE</v>
      </c>
    </row>
    <row r="354" spans="2:17">
      <c r="B354" s="1" t="s">
        <v>702</v>
      </c>
      <c r="C354" s="1" t="s">
        <v>247</v>
      </c>
      <c r="D354" s="52">
        <v>46058.716666666667</v>
      </c>
      <c r="E354" s="52">
        <v>46058.716666666667</v>
      </c>
      <c r="F354" s="52">
        <v>46058.739583333336</v>
      </c>
      <c r="G354" s="53">
        <v>2.2916666666666665E-2</v>
      </c>
      <c r="H354" s="1" t="s">
        <v>257</v>
      </c>
      <c r="J354" s="1" t="s">
        <v>258</v>
      </c>
      <c r="K354" s="1" t="s">
        <v>658</v>
      </c>
      <c r="L354" s="1" t="s">
        <v>703</v>
      </c>
      <c r="M354" s="1" t="s">
        <v>260</v>
      </c>
      <c r="N354" s="1" t="s">
        <v>357</v>
      </c>
      <c r="O354" s="1" t="s">
        <v>632</v>
      </c>
      <c r="P354" s="1" t="str">
        <f>_xlfn.CONCAT(B354,C354,D354,E354,F354)</f>
        <v>BC Turvania1.5Inverter(MBUS-1)46058,716666666746058,716666666746058,7395833333</v>
      </c>
      <c r="Q354" s="1" t="str">
        <f>_xlfn.CONCAT(H354,I354,J354)</f>
        <v>DAURDE</v>
      </c>
    </row>
    <row r="355" spans="2:17">
      <c r="B355" s="1" t="s">
        <v>305</v>
      </c>
      <c r="C355" s="1" t="s">
        <v>256</v>
      </c>
      <c r="D355" s="52">
        <v>46058.716666666667</v>
      </c>
      <c r="E355" s="52">
        <v>46058.716666666667</v>
      </c>
      <c r="F355" s="52">
        <v>46058.739583333336</v>
      </c>
      <c r="G355" s="53">
        <v>2.2916666666666665E-2</v>
      </c>
      <c r="H355" s="1" t="s">
        <v>257</v>
      </c>
      <c r="J355" s="1" t="s">
        <v>258</v>
      </c>
      <c r="K355" s="1" t="s">
        <v>658</v>
      </c>
      <c r="L355" s="1" t="s">
        <v>704</v>
      </c>
      <c r="M355" s="1" t="s">
        <v>260</v>
      </c>
      <c r="N355" s="1" t="s">
        <v>357</v>
      </c>
      <c r="O355" s="1" t="s">
        <v>632</v>
      </c>
      <c r="P355" s="1" t="str">
        <f>_xlfn.CONCAT(B355,C355,D355,E355,F355)</f>
        <v>ARAGUATINS 1.1Inverter(MBUS-12)46058,716666666746058,716666666746058,7395833333</v>
      </c>
      <c r="Q355" s="1" t="str">
        <f>_xlfn.CONCAT(H355,I355,J355)</f>
        <v>DAURDE</v>
      </c>
    </row>
    <row r="356" spans="2:17">
      <c r="B356" s="1" t="s">
        <v>305</v>
      </c>
      <c r="C356" s="1" t="s">
        <v>264</v>
      </c>
      <c r="D356" s="52">
        <v>46058.716666666667</v>
      </c>
      <c r="E356" s="52">
        <v>46058.716666666667</v>
      </c>
      <c r="F356" s="52">
        <v>46058.739583333336</v>
      </c>
      <c r="G356" s="53">
        <v>2.2916666666666665E-2</v>
      </c>
      <c r="H356" s="1" t="s">
        <v>257</v>
      </c>
      <c r="J356" s="1" t="s">
        <v>258</v>
      </c>
      <c r="K356" s="1" t="s">
        <v>658</v>
      </c>
      <c r="L356" s="1" t="s">
        <v>704</v>
      </c>
      <c r="M356" s="1" t="s">
        <v>260</v>
      </c>
      <c r="N356" s="1" t="s">
        <v>357</v>
      </c>
      <c r="O356" s="1" t="s">
        <v>632</v>
      </c>
      <c r="P356" s="1" t="str">
        <f>_xlfn.CONCAT(B356,C356,D356,E356,F356)</f>
        <v>ARAGUATINS 1.1Inverter(MBUS-13)46058,716666666746058,716666666746058,7395833333</v>
      </c>
      <c r="Q356" s="1" t="str">
        <f>_xlfn.CONCAT(H356,I356,J356)</f>
        <v>DAURDE</v>
      </c>
    </row>
    <row r="357" spans="2:17">
      <c r="B357" s="1" t="s">
        <v>305</v>
      </c>
      <c r="C357" s="1" t="s">
        <v>263</v>
      </c>
      <c r="D357" s="52">
        <v>46058.716666666667</v>
      </c>
      <c r="E357" s="52">
        <v>46058.716666666667</v>
      </c>
      <c r="F357" s="52">
        <v>46058.739583333336</v>
      </c>
      <c r="G357" s="53">
        <v>2.2916666666666665E-2</v>
      </c>
      <c r="H357" s="1" t="s">
        <v>257</v>
      </c>
      <c r="J357" s="1" t="s">
        <v>258</v>
      </c>
      <c r="K357" s="1" t="s">
        <v>658</v>
      </c>
      <c r="L357" s="1" t="s">
        <v>704</v>
      </c>
      <c r="M357" s="1" t="s">
        <v>260</v>
      </c>
      <c r="N357" s="1" t="s">
        <v>357</v>
      </c>
      <c r="O357" s="1" t="s">
        <v>632</v>
      </c>
      <c r="P357" s="1" t="str">
        <f>_xlfn.CONCAT(B357,C357,D357,E357,F357)</f>
        <v>ARAGUATINS 1.1Inverter(MBUS-14)46058,716666666746058,716666666746058,7395833333</v>
      </c>
      <c r="Q357" s="1" t="str">
        <f>_xlfn.CONCAT(H357,I357,J357)</f>
        <v>DAURDE</v>
      </c>
    </row>
    <row r="358" spans="2:17">
      <c r="B358" s="1" t="s">
        <v>305</v>
      </c>
      <c r="C358" s="1" t="s">
        <v>307</v>
      </c>
      <c r="D358" s="52">
        <v>46058.716666666667</v>
      </c>
      <c r="E358" s="52">
        <v>46058.716666666667</v>
      </c>
      <c r="F358" s="52">
        <v>46058.739583333336</v>
      </c>
      <c r="G358" s="53">
        <v>2.2916666666666665E-2</v>
      </c>
      <c r="H358" s="1" t="s">
        <v>257</v>
      </c>
      <c r="J358" s="1" t="s">
        <v>258</v>
      </c>
      <c r="K358" s="1" t="s">
        <v>658</v>
      </c>
      <c r="L358" s="1" t="s">
        <v>704</v>
      </c>
      <c r="M358" s="1" t="s">
        <v>260</v>
      </c>
      <c r="N358" s="1" t="s">
        <v>357</v>
      </c>
      <c r="O358" s="1" t="s">
        <v>632</v>
      </c>
      <c r="P358" s="1" t="str">
        <f>_xlfn.CONCAT(B358,C358,D358,E358,F358)</f>
        <v>ARAGUATINS 1.1Inverter(MBUS-15)46058,716666666746058,716666666746058,7395833333</v>
      </c>
      <c r="Q358" s="1" t="str">
        <f>_xlfn.CONCAT(H358,I358,J358)</f>
        <v>DAURDE</v>
      </c>
    </row>
    <row r="359" spans="2:17">
      <c r="B359" s="1" t="s">
        <v>308</v>
      </c>
      <c r="C359" s="1" t="s">
        <v>256</v>
      </c>
      <c r="D359" s="52">
        <v>46058.716666666667</v>
      </c>
      <c r="E359" s="52">
        <v>46058.716666666667</v>
      </c>
      <c r="F359" s="52">
        <v>46058.739583333336</v>
      </c>
      <c r="G359" s="53">
        <v>2.2916666666666665E-2</v>
      </c>
      <c r="H359" s="1" t="s">
        <v>257</v>
      </c>
      <c r="J359" s="1" t="s">
        <v>258</v>
      </c>
      <c r="K359" s="1" t="s">
        <v>658</v>
      </c>
      <c r="L359" s="1" t="s">
        <v>704</v>
      </c>
      <c r="M359" s="1" t="s">
        <v>260</v>
      </c>
      <c r="N359" s="1" t="s">
        <v>261</v>
      </c>
      <c r="O359" s="1" t="s">
        <v>626</v>
      </c>
      <c r="P359" s="1" t="str">
        <f>_xlfn.CONCAT(B359,C359,D359,E359,F359)</f>
        <v>ARAGUATINS 1.2Inverter(MBUS-12)46058,716666666746058,716666666746058,7395833333</v>
      </c>
      <c r="Q359" s="1" t="str">
        <f>_xlfn.CONCAT(H359,I359,J359)</f>
        <v>DAURDE</v>
      </c>
    </row>
    <row r="360" spans="2:17">
      <c r="B360" s="1" t="s">
        <v>308</v>
      </c>
      <c r="C360" s="1" t="s">
        <v>264</v>
      </c>
      <c r="D360" s="52">
        <v>46058.716666666667</v>
      </c>
      <c r="E360" s="52">
        <v>46058.716666666667</v>
      </c>
      <c r="F360" s="52">
        <v>46058.739583333336</v>
      </c>
      <c r="G360" s="53">
        <v>2.2916666666666665E-2</v>
      </c>
      <c r="H360" s="1" t="s">
        <v>257</v>
      </c>
      <c r="J360" s="1" t="s">
        <v>258</v>
      </c>
      <c r="K360" s="1" t="s">
        <v>658</v>
      </c>
      <c r="L360" s="1" t="s">
        <v>704</v>
      </c>
      <c r="M360" s="1" t="s">
        <v>260</v>
      </c>
      <c r="N360" s="1" t="s">
        <v>261</v>
      </c>
      <c r="O360" s="1" t="s">
        <v>626</v>
      </c>
      <c r="P360" s="1" t="str">
        <f>_xlfn.CONCAT(B360,C360,D360,E360,F360)</f>
        <v>ARAGUATINS 1.2Inverter(MBUS-13)46058,716666666746058,716666666746058,7395833333</v>
      </c>
      <c r="Q360" s="1" t="str">
        <f>_xlfn.CONCAT(H360,I360,J360)</f>
        <v>DAURDE</v>
      </c>
    </row>
    <row r="361" spans="2:17">
      <c r="B361" s="1" t="s">
        <v>308</v>
      </c>
      <c r="C361" s="1" t="s">
        <v>263</v>
      </c>
      <c r="D361" s="52">
        <v>46058.716666666667</v>
      </c>
      <c r="E361" s="52">
        <v>46058.716666666667</v>
      </c>
      <c r="F361" s="52">
        <v>46058.739583333336</v>
      </c>
      <c r="G361" s="53">
        <v>2.2916666666666665E-2</v>
      </c>
      <c r="H361" s="1" t="s">
        <v>257</v>
      </c>
      <c r="J361" s="1" t="s">
        <v>258</v>
      </c>
      <c r="K361" s="1" t="s">
        <v>658</v>
      </c>
      <c r="L361" s="1" t="s">
        <v>704</v>
      </c>
      <c r="M361" s="1" t="s">
        <v>260</v>
      </c>
      <c r="N361" s="1" t="s">
        <v>261</v>
      </c>
      <c r="O361" s="1" t="s">
        <v>626</v>
      </c>
      <c r="P361" s="1" t="str">
        <f>_xlfn.CONCAT(B361,C361,D361,E361,F361)</f>
        <v>ARAGUATINS 1.2Inverter(MBUS-14)46058,716666666746058,716666666746058,7395833333</v>
      </c>
      <c r="Q361" s="1" t="str">
        <f>_xlfn.CONCAT(H361,I361,J361)</f>
        <v>DAURDE</v>
      </c>
    </row>
    <row r="362" spans="2:17">
      <c r="B362" s="1" t="s">
        <v>308</v>
      </c>
      <c r="C362" s="1" t="s">
        <v>307</v>
      </c>
      <c r="D362" s="52">
        <v>46058.716666666667</v>
      </c>
      <c r="E362" s="52">
        <v>46058.716666666667</v>
      </c>
      <c r="F362" s="52">
        <v>46058.739583333336</v>
      </c>
      <c r="G362" s="53">
        <v>2.2916666666666665E-2</v>
      </c>
      <c r="H362" s="1" t="s">
        <v>257</v>
      </c>
      <c r="J362" s="1" t="s">
        <v>258</v>
      </c>
      <c r="K362" s="1" t="s">
        <v>658</v>
      </c>
      <c r="L362" s="1" t="s">
        <v>704</v>
      </c>
      <c r="M362" s="1" t="s">
        <v>260</v>
      </c>
      <c r="N362" s="1" t="s">
        <v>261</v>
      </c>
      <c r="O362" s="1" t="s">
        <v>626</v>
      </c>
      <c r="P362" s="1" t="str">
        <f>_xlfn.CONCAT(B362,C362,D362,E362,F362)</f>
        <v>ARAGUATINS 1.2Inverter(MBUS-15)46058,716666666746058,716666666746058,7395833333</v>
      </c>
      <c r="Q362" s="1" t="str">
        <f>_xlfn.CONCAT(H362,I362,J362)</f>
        <v>DAURDE</v>
      </c>
    </row>
    <row r="363" spans="2:17">
      <c r="B363" s="1" t="s">
        <v>309</v>
      </c>
      <c r="C363" s="1" t="s">
        <v>310</v>
      </c>
      <c r="D363" s="52">
        <v>46058.716666666667</v>
      </c>
      <c r="E363" s="52">
        <v>46058.716666666667</v>
      </c>
      <c r="F363" s="52">
        <v>46058.739583333336</v>
      </c>
      <c r="G363" s="53">
        <v>2.2916666666666665E-2</v>
      </c>
      <c r="H363" s="1" t="s">
        <v>257</v>
      </c>
      <c r="J363" s="1" t="s">
        <v>258</v>
      </c>
      <c r="K363" s="1" t="s">
        <v>658</v>
      </c>
      <c r="L363" s="1" t="s">
        <v>704</v>
      </c>
      <c r="M363" s="1" t="s">
        <v>260</v>
      </c>
      <c r="N363" s="1" t="s">
        <v>261</v>
      </c>
      <c r="O363" s="1" t="s">
        <v>626</v>
      </c>
      <c r="P363" s="1" t="str">
        <f>_xlfn.CONCAT(B363,C363,D363,E363,F363)</f>
        <v>ARAGUATINS 1.3Inverter(MBUS-20)46058,716666666746058,716666666746058,7395833333</v>
      </c>
      <c r="Q363" s="1" t="str">
        <f>_xlfn.CONCAT(H363,I363,J363)</f>
        <v>DAURDE</v>
      </c>
    </row>
    <row r="364" spans="2:17">
      <c r="B364" s="1" t="s">
        <v>309</v>
      </c>
      <c r="C364" s="1" t="s">
        <v>247</v>
      </c>
      <c r="D364" s="52">
        <v>46058.716666666667</v>
      </c>
      <c r="E364" s="52">
        <v>46058.716666666667</v>
      </c>
      <c r="F364" s="52">
        <v>46058.739583333336</v>
      </c>
      <c r="G364" s="53">
        <v>2.2916666666666665E-2</v>
      </c>
      <c r="H364" s="1" t="s">
        <v>257</v>
      </c>
      <c r="J364" s="1" t="s">
        <v>258</v>
      </c>
      <c r="K364" s="1" t="s">
        <v>658</v>
      </c>
      <c r="L364" s="1" t="s">
        <v>704</v>
      </c>
      <c r="M364" s="1" t="s">
        <v>260</v>
      </c>
      <c r="N364" s="1" t="s">
        <v>261</v>
      </c>
      <c r="O364" s="1" t="s">
        <v>626</v>
      </c>
      <c r="P364" s="1" t="str">
        <f>_xlfn.CONCAT(B364,C364,D364,E364,F364)</f>
        <v>ARAGUATINS 1.3Inverter(MBUS-1)46058,716666666746058,716666666746058,7395833333</v>
      </c>
      <c r="Q364" s="1" t="str">
        <f>_xlfn.CONCAT(H364,I364,J364)</f>
        <v>DAURDE</v>
      </c>
    </row>
    <row r="365" spans="2:17">
      <c r="B365" s="1" t="s">
        <v>393</v>
      </c>
      <c r="C365" s="1" t="s">
        <v>394</v>
      </c>
      <c r="D365" s="52">
        <v>46059.475694444445</v>
      </c>
      <c r="E365" s="52">
        <v>46059.475694444445</v>
      </c>
      <c r="F365" s="52">
        <v>46059.527777777781</v>
      </c>
      <c r="G365" s="53">
        <v>5.2083333333333336E-2</v>
      </c>
      <c r="H365" s="1" t="s">
        <v>677</v>
      </c>
      <c r="J365" s="1" t="s">
        <v>230</v>
      </c>
      <c r="K365" s="1" t="s">
        <v>230</v>
      </c>
      <c r="L365" s="1" t="s">
        <v>705</v>
      </c>
      <c r="M365" s="1" t="s">
        <v>260</v>
      </c>
      <c r="N365" s="1" t="s">
        <v>261</v>
      </c>
      <c r="O365" s="1" t="s">
        <v>626</v>
      </c>
      <c r="P365" s="1" t="str">
        <f>_xlfn.CONCAT(B365,C365,D365,E365,F365)</f>
        <v>BC ParanoaSG60KTL(COM1-014)_001_01346059,475694444446059,475694444446059,5277777778</v>
      </c>
      <c r="Q365" s="1" t="str">
        <f>_xlfn.CONCAT(H365,I365,J365)</f>
        <v>DPRUFV</v>
      </c>
    </row>
    <row r="366" spans="2:17">
      <c r="B366" s="1" t="s">
        <v>393</v>
      </c>
      <c r="C366" s="1" t="s">
        <v>395</v>
      </c>
      <c r="D366" s="52">
        <v>46059.475694444445</v>
      </c>
      <c r="E366" s="52">
        <v>46059.475694444445</v>
      </c>
      <c r="F366" s="52">
        <v>46059.527777777781</v>
      </c>
      <c r="G366" s="53">
        <v>5.2083333333333336E-2</v>
      </c>
      <c r="H366" s="1" t="s">
        <v>677</v>
      </c>
      <c r="J366" s="1" t="s">
        <v>230</v>
      </c>
      <c r="K366" s="1" t="s">
        <v>230</v>
      </c>
      <c r="L366" s="1" t="s">
        <v>705</v>
      </c>
      <c r="M366" s="1" t="s">
        <v>260</v>
      </c>
      <c r="N366" s="1" t="s">
        <v>357</v>
      </c>
      <c r="O366" s="1" t="s">
        <v>632</v>
      </c>
      <c r="P366" s="1" t="str">
        <f>_xlfn.CONCAT(B366,C366,D366,E366,F366)</f>
        <v>BC ParanoaSG60KTL(COM1-013)_001_01046059,475694444446059,475694444446059,5277777778</v>
      </c>
      <c r="Q366" s="1" t="str">
        <f>_xlfn.CONCAT(H366,I366,J366)</f>
        <v>DPRUFV</v>
      </c>
    </row>
    <row r="367" spans="2:17">
      <c r="B367" s="1" t="s">
        <v>393</v>
      </c>
      <c r="C367" s="1" t="s">
        <v>396</v>
      </c>
      <c r="D367" s="52">
        <v>46059.475694444445</v>
      </c>
      <c r="E367" s="52">
        <v>46059.475694444445</v>
      </c>
      <c r="F367" s="52">
        <v>46059.527777777781</v>
      </c>
      <c r="G367" s="53">
        <v>5.2083333333333336E-2</v>
      </c>
      <c r="H367" s="1" t="s">
        <v>677</v>
      </c>
      <c r="J367" s="1" t="s">
        <v>230</v>
      </c>
      <c r="K367" s="1" t="s">
        <v>230</v>
      </c>
      <c r="L367" s="1" t="s">
        <v>705</v>
      </c>
      <c r="M367" s="1" t="s">
        <v>260</v>
      </c>
      <c r="N367" s="1" t="s">
        <v>357</v>
      </c>
      <c r="O367" s="1" t="s">
        <v>632</v>
      </c>
      <c r="P367" s="1" t="str">
        <f>_xlfn.CONCAT(B367,C367,D367,E367,F367)</f>
        <v>BC ParanoaSG60KTL(COM1-012)_001_01146059,475694444446059,475694444446059,5277777778</v>
      </c>
      <c r="Q367" s="1" t="str">
        <f>_xlfn.CONCAT(H367,I367,J367)</f>
        <v>DPRUFV</v>
      </c>
    </row>
    <row r="368" spans="2:17">
      <c r="B368" s="66" t="s">
        <v>393</v>
      </c>
      <c r="C368" s="1" t="s">
        <v>397</v>
      </c>
      <c r="D368" s="52">
        <v>46059.475694444445</v>
      </c>
      <c r="E368" s="52">
        <v>46059.475694444445</v>
      </c>
      <c r="F368" s="52">
        <v>46059.527777777781</v>
      </c>
      <c r="G368" s="53">
        <v>5.2083333333333336E-2</v>
      </c>
      <c r="H368" s="1" t="s">
        <v>677</v>
      </c>
      <c r="J368" s="1" t="s">
        <v>230</v>
      </c>
      <c r="K368" s="1" t="s">
        <v>230</v>
      </c>
      <c r="L368" s="1" t="s">
        <v>705</v>
      </c>
      <c r="M368" s="1" t="s">
        <v>663</v>
      </c>
      <c r="N368" s="1" t="s">
        <v>364</v>
      </c>
      <c r="O368" s="1" t="s">
        <v>706</v>
      </c>
      <c r="P368" s="1" t="str">
        <f>_xlfn.CONCAT(B368,C368,D369,E368,F368)</f>
        <v>BC ParanoaSG60KTL(COM1-011)_001_00546059,475694444446059,475694444446059,5277777778</v>
      </c>
      <c r="Q368" s="1" t="str">
        <f>_xlfn.CONCAT(H368,I368,J368)</f>
        <v>DPRUFV</v>
      </c>
    </row>
    <row r="369" spans="2:17">
      <c r="B369" s="66" t="s">
        <v>393</v>
      </c>
      <c r="C369" s="1" t="s">
        <v>398</v>
      </c>
      <c r="D369" s="52">
        <v>46059.475694444445</v>
      </c>
      <c r="E369" s="52">
        <v>46059.475694444445</v>
      </c>
      <c r="F369" s="52">
        <v>46059.527777777781</v>
      </c>
      <c r="G369" s="53">
        <v>5.2083333333333336E-2</v>
      </c>
      <c r="H369" s="1" t="s">
        <v>677</v>
      </c>
      <c r="J369" s="1" t="s">
        <v>230</v>
      </c>
      <c r="K369" s="1" t="s">
        <v>230</v>
      </c>
      <c r="L369" s="1" t="s">
        <v>705</v>
      </c>
      <c r="M369" s="1" t="s">
        <v>663</v>
      </c>
      <c r="N369" s="1" t="s">
        <v>364</v>
      </c>
      <c r="O369" s="1" t="s">
        <v>706</v>
      </c>
      <c r="P369" s="1" t="str">
        <f>_xlfn.CONCAT(B369,C369,D370,E369,F369)</f>
        <v>BC ParanoaSG60KTL(COM1-010)_001_00346059,475694444446059,475694444446059,5277777778</v>
      </c>
      <c r="Q369" s="1" t="str">
        <f>_xlfn.CONCAT(H369,I369,J369)</f>
        <v>DPRUFV</v>
      </c>
    </row>
    <row r="370" spans="2:17">
      <c r="B370" s="66" t="s">
        <v>393</v>
      </c>
      <c r="C370" s="1" t="s">
        <v>399</v>
      </c>
      <c r="D370" s="52">
        <v>46059.475694444445</v>
      </c>
      <c r="E370" s="52">
        <v>46059.475694444445</v>
      </c>
      <c r="F370" s="52">
        <v>46059.527777777781</v>
      </c>
      <c r="G370" s="53">
        <v>5.2083333333333336E-2</v>
      </c>
      <c r="H370" s="1" t="s">
        <v>677</v>
      </c>
      <c r="J370" s="1" t="s">
        <v>230</v>
      </c>
      <c r="K370" s="1" t="s">
        <v>230</v>
      </c>
      <c r="L370" s="1" t="s">
        <v>705</v>
      </c>
      <c r="M370" s="1" t="s">
        <v>663</v>
      </c>
      <c r="N370" s="1" t="s">
        <v>364</v>
      </c>
      <c r="O370" s="1" t="s">
        <v>706</v>
      </c>
      <c r="P370" s="1" t="str">
        <f>_xlfn.CONCAT(B370,C370,D371,E370,F370)</f>
        <v>BC ParanoaSG60KTL(COM1-018)_001_01246059,475694444446059,475694444446059,5277777778</v>
      </c>
      <c r="Q370" s="1" t="str">
        <f>_xlfn.CONCAT(H370,I370,J370)</f>
        <v>DPRUFV</v>
      </c>
    </row>
    <row r="371" spans="2:17">
      <c r="B371" s="66" t="s">
        <v>393</v>
      </c>
      <c r="C371" s="1" t="s">
        <v>400</v>
      </c>
      <c r="D371" s="52">
        <v>46059.475694444445</v>
      </c>
      <c r="E371" s="52">
        <v>46059.475694444445</v>
      </c>
      <c r="F371" s="52">
        <v>46059.527777777781</v>
      </c>
      <c r="G371" s="53">
        <v>5.2083333333333336E-2</v>
      </c>
      <c r="H371" s="1" t="s">
        <v>677</v>
      </c>
      <c r="J371" s="1" t="s">
        <v>230</v>
      </c>
      <c r="K371" s="1" t="s">
        <v>230</v>
      </c>
      <c r="L371" s="1" t="s">
        <v>705</v>
      </c>
      <c r="M371" s="1" t="s">
        <v>663</v>
      </c>
      <c r="N371" s="1" t="s">
        <v>364</v>
      </c>
      <c r="O371" s="1" t="s">
        <v>706</v>
      </c>
      <c r="P371" s="1" t="str">
        <f>_xlfn.CONCAT(B371,C371,D372,E371,F371)</f>
        <v>BC ParanoaSG60KTL(COM1-017)_001_00746059,475694444446059,475694444446059,5277777778</v>
      </c>
      <c r="Q371" s="1" t="str">
        <f>_xlfn.CONCAT(H371,I371,J371)</f>
        <v>DPRUFV</v>
      </c>
    </row>
    <row r="372" spans="2:17">
      <c r="B372" s="66" t="s">
        <v>393</v>
      </c>
      <c r="C372" s="1" t="s">
        <v>401</v>
      </c>
      <c r="D372" s="52">
        <v>46059.475694444445</v>
      </c>
      <c r="E372" s="52">
        <v>46059.475694444445</v>
      </c>
      <c r="F372" s="52">
        <v>46059.527777777781</v>
      </c>
      <c r="G372" s="53">
        <v>5.2083333333333336E-2</v>
      </c>
      <c r="H372" s="1" t="s">
        <v>677</v>
      </c>
      <c r="J372" s="1" t="s">
        <v>230</v>
      </c>
      <c r="K372" s="1" t="s">
        <v>230</v>
      </c>
      <c r="L372" s="1" t="s">
        <v>705</v>
      </c>
      <c r="M372" s="1" t="s">
        <v>663</v>
      </c>
      <c r="N372" s="1" t="s">
        <v>364</v>
      </c>
      <c r="O372" s="1" t="s">
        <v>706</v>
      </c>
      <c r="P372" s="1" t="str">
        <f>_xlfn.CONCAT(B372,C372,D373,E372,F372)</f>
        <v>BC ParanoaSG60KTL(COM1-016)_001_00646059,475694444446059,475694444446059,5277777778</v>
      </c>
      <c r="Q372" s="1" t="str">
        <f>_xlfn.CONCAT(H372,I372,J372)</f>
        <v>DPRUFV</v>
      </c>
    </row>
    <row r="373" spans="2:17">
      <c r="B373" s="66" t="s">
        <v>393</v>
      </c>
      <c r="C373" s="1" t="s">
        <v>402</v>
      </c>
      <c r="D373" s="52">
        <v>46059.475694444445</v>
      </c>
      <c r="E373" s="52">
        <v>46059.475694444445</v>
      </c>
      <c r="F373" s="52">
        <v>46059.527777777781</v>
      </c>
      <c r="G373" s="53">
        <v>5.2083333333333336E-2</v>
      </c>
      <c r="H373" s="1" t="s">
        <v>677</v>
      </c>
      <c r="J373" s="1" t="s">
        <v>230</v>
      </c>
      <c r="K373" s="1" t="s">
        <v>230</v>
      </c>
      <c r="L373" s="1" t="s">
        <v>705</v>
      </c>
      <c r="M373" s="1" t="s">
        <v>663</v>
      </c>
      <c r="N373" s="1" t="s">
        <v>364</v>
      </c>
      <c r="O373" s="1" t="s">
        <v>706</v>
      </c>
      <c r="P373" s="1" t="str">
        <f>_xlfn.CONCAT(B373,C373,D374,E373,F373)</f>
        <v>BC ParanoaSG50CX(COM2-015)_001_01746059,475694444446059,475694444446059,5277777778</v>
      </c>
      <c r="Q373" s="1" t="str">
        <f>_xlfn.CONCAT(H373,I373,J373)</f>
        <v>DPRUFV</v>
      </c>
    </row>
    <row r="374" spans="2:17">
      <c r="B374" s="66" t="s">
        <v>393</v>
      </c>
      <c r="C374" s="1" t="s">
        <v>403</v>
      </c>
      <c r="D374" s="52">
        <v>46059.475694444445</v>
      </c>
      <c r="E374" s="52">
        <v>46059.475694444445</v>
      </c>
      <c r="F374" s="52">
        <v>46059.527777777781</v>
      </c>
      <c r="G374" s="53">
        <v>5.2083333333333336E-2</v>
      </c>
      <c r="H374" s="1" t="s">
        <v>677</v>
      </c>
      <c r="J374" s="1" t="s">
        <v>230</v>
      </c>
      <c r="K374" s="1" t="s">
        <v>230</v>
      </c>
      <c r="L374" s="1" t="s">
        <v>705</v>
      </c>
      <c r="M374" s="1" t="s">
        <v>663</v>
      </c>
      <c r="N374" s="1" t="s">
        <v>364</v>
      </c>
      <c r="O374" s="1" t="s">
        <v>706</v>
      </c>
      <c r="P374" s="1" t="str">
        <f>_xlfn.CONCAT(B374,C374,D375,E374,F374)</f>
        <v>BC ParanoaSG60KTL(COM1-009)_001_00246059,475694444446059,475694444446059,5277777778</v>
      </c>
      <c r="Q374" s="1" t="str">
        <f>_xlfn.CONCAT(H374,I374,J374)</f>
        <v>DPRUFV</v>
      </c>
    </row>
    <row r="375" spans="2:17">
      <c r="B375" s="66" t="s">
        <v>393</v>
      </c>
      <c r="C375" s="1" t="s">
        <v>404</v>
      </c>
      <c r="D375" s="52">
        <v>46059.475694444445</v>
      </c>
      <c r="E375" s="52">
        <v>46059.475694444445</v>
      </c>
      <c r="F375" s="52">
        <v>46059.527777777781</v>
      </c>
      <c r="G375" s="53">
        <v>5.2083333333333336E-2</v>
      </c>
      <c r="H375" s="1" t="s">
        <v>677</v>
      </c>
      <c r="J375" s="1" t="s">
        <v>230</v>
      </c>
      <c r="K375" s="1" t="s">
        <v>230</v>
      </c>
      <c r="L375" s="1" t="s">
        <v>705</v>
      </c>
      <c r="M375" s="1" t="s">
        <v>663</v>
      </c>
      <c r="N375" s="1" t="s">
        <v>364</v>
      </c>
      <c r="O375" s="1" t="s">
        <v>706</v>
      </c>
      <c r="P375" s="1" t="str">
        <f>_xlfn.CONCAT(B375,C375,D376,E375,F375)</f>
        <v>BC ParanoaSG60KTL(COM1-008)_001_00946059,475694444446059,475694444446059,5277777778</v>
      </c>
      <c r="Q375" s="1" t="str">
        <f>_xlfn.CONCAT(H375,I375,J375)</f>
        <v>DPRUFV</v>
      </c>
    </row>
    <row r="376" spans="2:17">
      <c r="B376" s="1" t="s">
        <v>393</v>
      </c>
      <c r="C376" s="1" t="s">
        <v>405</v>
      </c>
      <c r="D376" s="52">
        <v>46059.475694444445</v>
      </c>
      <c r="E376" s="52">
        <v>46059.475694444445</v>
      </c>
      <c r="F376" s="52">
        <v>46059.527777777781</v>
      </c>
      <c r="G376" s="53">
        <v>5.2083333333333336E-2</v>
      </c>
      <c r="H376" s="1" t="s">
        <v>677</v>
      </c>
      <c r="J376" s="1" t="s">
        <v>230</v>
      </c>
      <c r="K376" s="1" t="s">
        <v>230</v>
      </c>
      <c r="L376" s="1" t="s">
        <v>705</v>
      </c>
      <c r="M376" s="1" t="s">
        <v>289</v>
      </c>
      <c r="N376" s="1" t="s">
        <v>253</v>
      </c>
      <c r="O376" s="1" t="s">
        <v>707</v>
      </c>
      <c r="P376" s="1" t="str">
        <f>_xlfn.CONCAT(B376,C376,D376,E376,F376)</f>
        <v>BC ParanoaSG60KTL(COM1-007)_001_00446059,475694444446059,475694444446059,5277777778</v>
      </c>
      <c r="Q376" s="1" t="str">
        <f>_xlfn.CONCAT(H376,I376,J376)</f>
        <v>DPRUFV</v>
      </c>
    </row>
    <row r="377" spans="2:17">
      <c r="B377" s="1" t="s">
        <v>393</v>
      </c>
      <c r="C377" s="1" t="s">
        <v>406</v>
      </c>
      <c r="D377" s="52">
        <v>46059.475694444445</v>
      </c>
      <c r="E377" s="52">
        <v>46059.475694444445</v>
      </c>
      <c r="F377" s="52">
        <v>46059.527777777781</v>
      </c>
      <c r="G377" s="53">
        <v>5.2083333333333336E-2</v>
      </c>
      <c r="H377" s="1" t="s">
        <v>677</v>
      </c>
      <c r="J377" s="1" t="s">
        <v>230</v>
      </c>
      <c r="K377" s="1" t="s">
        <v>230</v>
      </c>
      <c r="L377" s="1" t="s">
        <v>705</v>
      </c>
      <c r="M377" s="1" t="s">
        <v>260</v>
      </c>
      <c r="N377" s="1" t="s">
        <v>261</v>
      </c>
      <c r="O377" s="1" t="s">
        <v>632</v>
      </c>
      <c r="P377" s="1" t="str">
        <f>_xlfn.CONCAT(B377,C377,D377,E377,F377)</f>
        <v>BC ParanoaSG60KTL(COM1-006)_001_01446059,475694444446059,475694444446059,5277777778</v>
      </c>
      <c r="Q377" s="1" t="str">
        <f>_xlfn.CONCAT(H377,I377,J377)</f>
        <v>DPRUFV</v>
      </c>
    </row>
    <row r="378" spans="2:17">
      <c r="B378" s="1" t="s">
        <v>393</v>
      </c>
      <c r="C378" s="1" t="s">
        <v>407</v>
      </c>
      <c r="D378" s="52">
        <v>46059.475694444445</v>
      </c>
      <c r="E378" s="52">
        <v>46059.475694444445</v>
      </c>
      <c r="F378" s="52">
        <v>46059.527777777781</v>
      </c>
      <c r="G378" s="53">
        <v>5.2083333333333336E-2</v>
      </c>
      <c r="H378" s="1" t="s">
        <v>677</v>
      </c>
      <c r="J378" s="1" t="s">
        <v>230</v>
      </c>
      <c r="K378" s="1" t="s">
        <v>230</v>
      </c>
      <c r="L378" s="1" t="s">
        <v>705</v>
      </c>
      <c r="M378" s="1" t="s">
        <v>260</v>
      </c>
      <c r="N378" s="1" t="s">
        <v>261</v>
      </c>
      <c r="O378" s="1" t="s">
        <v>632</v>
      </c>
      <c r="P378" s="1" t="str">
        <f>_xlfn.CONCAT(B378,C378,D378,E378,F378)</f>
        <v>BC ParanoaSG40CX(COM2-005)_001_01546059,475694444446059,475694444446059,5277777778</v>
      </c>
      <c r="Q378" s="1" t="str">
        <f>_xlfn.CONCAT(H378,I378,J378)</f>
        <v>DPRUFV</v>
      </c>
    </row>
    <row r="379" spans="2:17">
      <c r="B379" s="1" t="s">
        <v>393</v>
      </c>
      <c r="C379" s="1" t="s">
        <v>408</v>
      </c>
      <c r="D379" s="52">
        <v>46059.475694444445</v>
      </c>
      <c r="E379" s="52">
        <v>46059.475694444445</v>
      </c>
      <c r="F379" s="52">
        <v>46059.527777777781</v>
      </c>
      <c r="G379" s="53">
        <v>5.2083333333333336E-2</v>
      </c>
      <c r="H379" s="1" t="s">
        <v>677</v>
      </c>
      <c r="J379" s="1" t="s">
        <v>230</v>
      </c>
      <c r="K379" s="1" t="s">
        <v>230</v>
      </c>
      <c r="L379" s="1" t="s">
        <v>705</v>
      </c>
      <c r="M379" s="1" t="s">
        <v>260</v>
      </c>
      <c r="N379" s="1" t="s">
        <v>261</v>
      </c>
      <c r="O379" s="1" t="s">
        <v>632</v>
      </c>
      <c r="P379" s="1" t="str">
        <f>_xlfn.CONCAT(B379,C379,D379,E379,F379)</f>
        <v>BC ParanoaSG60KTL(COM1-019)_002_00746059,475694444446059,475694444446059,5277777778</v>
      </c>
      <c r="Q379" s="1" t="str">
        <f>_xlfn.CONCAT(H379,I379,J379)</f>
        <v>DPRUFV</v>
      </c>
    </row>
    <row r="380" spans="2:17">
      <c r="B380" s="1" t="s">
        <v>393</v>
      </c>
      <c r="C380" s="1" t="s">
        <v>409</v>
      </c>
      <c r="D380" s="52">
        <v>46059.475694444445</v>
      </c>
      <c r="E380" s="52">
        <v>46059.475694444445</v>
      </c>
      <c r="F380" s="52">
        <v>46059.527777777781</v>
      </c>
      <c r="G380" s="53">
        <v>5.2083333333333336E-2</v>
      </c>
      <c r="H380" s="1" t="s">
        <v>677</v>
      </c>
      <c r="J380" s="1" t="s">
        <v>230</v>
      </c>
      <c r="K380" s="1" t="s">
        <v>230</v>
      </c>
      <c r="L380" s="1" t="s">
        <v>705</v>
      </c>
      <c r="M380" s="1" t="s">
        <v>260</v>
      </c>
      <c r="N380" s="1" t="s">
        <v>261</v>
      </c>
      <c r="O380" s="1" t="s">
        <v>632</v>
      </c>
      <c r="P380" s="1" t="str">
        <f>_xlfn.CONCAT(B380,C380,D380,E380,F380)</f>
        <v>BC ParanoaSG60KTL(COM1-020)_002_01146059,475694444446059,475694444446059,5277777778</v>
      </c>
      <c r="Q380" s="1" t="str">
        <f>_xlfn.CONCAT(H380,I380,J380)</f>
        <v>DPRUFV</v>
      </c>
    </row>
    <row r="381" spans="2:17">
      <c r="B381" s="1" t="s">
        <v>393</v>
      </c>
      <c r="C381" s="1" t="s">
        <v>410</v>
      </c>
      <c r="D381" s="52">
        <v>46059.475694444445</v>
      </c>
      <c r="E381" s="52">
        <v>46059.475694444445</v>
      </c>
      <c r="F381" s="52">
        <v>46059.527777777781</v>
      </c>
      <c r="G381" s="53">
        <v>5.2083333333333336E-2</v>
      </c>
      <c r="H381" s="1" t="s">
        <v>677</v>
      </c>
      <c r="J381" s="1" t="s">
        <v>230</v>
      </c>
      <c r="K381" s="1" t="s">
        <v>230</v>
      </c>
      <c r="L381" s="1" t="s">
        <v>705</v>
      </c>
      <c r="M381" s="1" t="s">
        <v>260</v>
      </c>
      <c r="N381" s="1" t="s">
        <v>261</v>
      </c>
      <c r="O381" s="1" t="s">
        <v>632</v>
      </c>
      <c r="P381" s="1" t="str">
        <f>_xlfn.CONCAT(B381,C381,D381,E381,F381)</f>
        <v>BC ParanoaSG60KTL(COM1-021)_002_01746059,475694444446059,475694444446059,5277777778</v>
      </c>
      <c r="Q381" s="1" t="str">
        <f>_xlfn.CONCAT(H381,I381,J381)</f>
        <v>DPRUFV</v>
      </c>
    </row>
    <row r="382" spans="2:17">
      <c r="B382" s="1" t="s">
        <v>393</v>
      </c>
      <c r="C382" s="1" t="s">
        <v>411</v>
      </c>
      <c r="D382" s="52">
        <v>46059.475694444445</v>
      </c>
      <c r="E382" s="52">
        <v>46059.475694444445</v>
      </c>
      <c r="F382" s="52">
        <v>46059.527777777781</v>
      </c>
      <c r="G382" s="53">
        <v>5.2083333333333336E-2</v>
      </c>
      <c r="H382" s="1" t="s">
        <v>677</v>
      </c>
      <c r="J382" s="1" t="s">
        <v>230</v>
      </c>
      <c r="K382" s="1" t="s">
        <v>230</v>
      </c>
      <c r="L382" s="1" t="s">
        <v>705</v>
      </c>
      <c r="M382" s="1" t="s">
        <v>663</v>
      </c>
      <c r="N382" s="1" t="s">
        <v>364</v>
      </c>
      <c r="O382" s="1" t="s">
        <v>708</v>
      </c>
      <c r="P382" s="1" t="str">
        <f>_xlfn.CONCAT(B382,C382,D382,E382,F382)</f>
        <v>BC ParanoaSG60KTL(COM1-022)_002_02046059,475694444446059,475694444446059,5277777778</v>
      </c>
      <c r="Q382" s="1" t="str">
        <f>_xlfn.CONCAT(H382,I382,J382)</f>
        <v>DPRUFV</v>
      </c>
    </row>
    <row r="383" spans="2:17">
      <c r="B383" s="1" t="s">
        <v>393</v>
      </c>
      <c r="C383" s="1" t="s">
        <v>412</v>
      </c>
      <c r="D383" s="52">
        <v>46059.475694444445</v>
      </c>
      <c r="E383" s="52">
        <v>46059.475694444445</v>
      </c>
      <c r="F383" s="52">
        <v>46059.527777777781</v>
      </c>
      <c r="G383" s="53">
        <v>5.2083333333333336E-2</v>
      </c>
      <c r="H383" s="1" t="s">
        <v>677</v>
      </c>
      <c r="J383" s="1" t="s">
        <v>230</v>
      </c>
      <c r="K383" s="1" t="s">
        <v>230</v>
      </c>
      <c r="L383" s="1" t="s">
        <v>705</v>
      </c>
      <c r="M383" s="1" t="s">
        <v>260</v>
      </c>
      <c r="N383" s="1" t="s">
        <v>357</v>
      </c>
      <c r="O383" s="1" t="s">
        <v>632</v>
      </c>
      <c r="P383" s="1" t="str">
        <f>_xlfn.CONCAT(B383,C383,D383,E383,F383)</f>
        <v>BC ParanoaSG40CX(COM2-023)_002_02446059,475694444446059,475694444446059,5277777778</v>
      </c>
      <c r="Q383" s="1" t="str">
        <f>_xlfn.CONCAT(H383,I383,J383)</f>
        <v>DPRUFV</v>
      </c>
    </row>
    <row r="384" spans="2:17">
      <c r="B384" s="1" t="s">
        <v>393</v>
      </c>
      <c r="C384" s="1" t="s">
        <v>413</v>
      </c>
      <c r="D384" s="52">
        <v>46059.475694444445</v>
      </c>
      <c r="E384" s="52">
        <v>46059.475694444445</v>
      </c>
      <c r="F384" s="52">
        <v>46059.527777777781</v>
      </c>
      <c r="G384" s="53">
        <v>5.2083333333333336E-2</v>
      </c>
      <c r="H384" s="1" t="s">
        <v>677</v>
      </c>
      <c r="J384" s="1" t="s">
        <v>230</v>
      </c>
      <c r="K384" s="1" t="s">
        <v>230</v>
      </c>
      <c r="L384" s="1" t="s">
        <v>705</v>
      </c>
      <c r="M384" s="1" t="s">
        <v>260</v>
      </c>
      <c r="N384" s="1" t="s">
        <v>357</v>
      </c>
      <c r="O384" s="1" t="s">
        <v>632</v>
      </c>
      <c r="P384" s="1" t="str">
        <f>_xlfn.CONCAT(B384,C384,D384,E384,F384)</f>
        <v>BC ParanoaSG40CX(COM2-024)_002_02246059,475694444446059,475694444446059,5277777778</v>
      </c>
      <c r="Q384" s="1" t="str">
        <f>_xlfn.CONCAT(H384,I384,J384)</f>
        <v>DPRUFV</v>
      </c>
    </row>
    <row r="385" spans="2:17">
      <c r="B385" s="1" t="s">
        <v>393</v>
      </c>
      <c r="C385" s="1" t="s">
        <v>414</v>
      </c>
      <c r="D385" s="52">
        <v>46059.475694444445</v>
      </c>
      <c r="E385" s="52">
        <v>46059.475694444445</v>
      </c>
      <c r="F385" s="52">
        <v>46059.527777777781</v>
      </c>
      <c r="G385" s="53">
        <v>5.2083333333333336E-2</v>
      </c>
      <c r="H385" s="1" t="s">
        <v>677</v>
      </c>
      <c r="J385" s="1" t="s">
        <v>230</v>
      </c>
      <c r="K385" s="1" t="s">
        <v>230</v>
      </c>
      <c r="L385" s="1" t="s">
        <v>705</v>
      </c>
      <c r="M385" s="1" t="s">
        <v>260</v>
      </c>
      <c r="N385" s="1" t="s">
        <v>357</v>
      </c>
      <c r="O385" s="1" t="s">
        <v>632</v>
      </c>
      <c r="P385" s="1" t="str">
        <f>_xlfn.CONCAT(B385,C385,D385,E385,F385)</f>
        <v>BC ParanoaSG60KTL(COM1-007)_002_01346059,475694444446059,475694444446059,5277777778</v>
      </c>
      <c r="Q385" s="1" t="str">
        <f>_xlfn.CONCAT(H385,I385,J385)</f>
        <v>DPRUFV</v>
      </c>
    </row>
    <row r="386" spans="2:17">
      <c r="B386" s="1" t="s">
        <v>393</v>
      </c>
      <c r="C386" s="1" t="s">
        <v>415</v>
      </c>
      <c r="D386" s="52">
        <v>46059.475694444445</v>
      </c>
      <c r="E386" s="52">
        <v>46059.475694444445</v>
      </c>
      <c r="F386" s="52">
        <v>46059.527777777781</v>
      </c>
      <c r="G386" s="53">
        <v>5.2083333333333336E-2</v>
      </c>
      <c r="H386" s="1" t="s">
        <v>677</v>
      </c>
      <c r="J386" s="1" t="s">
        <v>230</v>
      </c>
      <c r="K386" s="1" t="s">
        <v>230</v>
      </c>
      <c r="L386" s="1" t="s">
        <v>705</v>
      </c>
      <c r="M386" s="1" t="s">
        <v>260</v>
      </c>
      <c r="N386" s="1" t="s">
        <v>357</v>
      </c>
      <c r="O386" s="1" t="s">
        <v>632</v>
      </c>
      <c r="P386" s="1" t="str">
        <f>_xlfn.CONCAT(B386,C386,D386,E386,F386)</f>
        <v>BC ParanoaSG60KTL(COM1-008)_002_00246059,475694444446059,475694444446059,5277777778</v>
      </c>
      <c r="Q386" s="1" t="str">
        <f>_xlfn.CONCAT(H386,I386,J386)</f>
        <v>DPRUFV</v>
      </c>
    </row>
    <row r="387" spans="2:17">
      <c r="B387" s="1" t="s">
        <v>393</v>
      </c>
      <c r="C387" s="1" t="s">
        <v>416</v>
      </c>
      <c r="D387" s="52">
        <v>46059.475694444445</v>
      </c>
      <c r="E387" s="52">
        <v>46059.475694444445</v>
      </c>
      <c r="F387" s="52">
        <v>46059.527777777781</v>
      </c>
      <c r="G387" s="53">
        <v>5.2083333333333336E-2</v>
      </c>
      <c r="H387" s="1" t="s">
        <v>677</v>
      </c>
      <c r="J387" s="1" t="s">
        <v>230</v>
      </c>
      <c r="K387" s="1" t="s">
        <v>230</v>
      </c>
      <c r="L387" s="1" t="s">
        <v>705</v>
      </c>
      <c r="M387" s="1" t="s">
        <v>260</v>
      </c>
      <c r="N387" s="1" t="s">
        <v>357</v>
      </c>
      <c r="O387" s="1" t="s">
        <v>632</v>
      </c>
      <c r="P387" s="1" t="str">
        <f>_xlfn.CONCAT(B387,C387,D387,E387,F387)</f>
        <v>BC ParanoaSG60KTL(COM1-009)_002_00846059,475694444446059,475694444446059,5277777778</v>
      </c>
      <c r="Q387" s="1" t="str">
        <f>_xlfn.CONCAT(H387,I387,J387)</f>
        <v>DPRUFV</v>
      </c>
    </row>
    <row r="388" spans="2:17">
      <c r="B388" s="1" t="s">
        <v>393</v>
      </c>
      <c r="C388" s="1" t="s">
        <v>417</v>
      </c>
      <c r="D388" s="52">
        <v>46059.475694444445</v>
      </c>
      <c r="E388" s="52">
        <v>46059.475694444445</v>
      </c>
      <c r="F388" s="52">
        <v>46059.527777777781</v>
      </c>
      <c r="G388" s="53">
        <v>5.2083333333333336E-2</v>
      </c>
      <c r="H388" s="1" t="s">
        <v>677</v>
      </c>
      <c r="J388" s="1" t="s">
        <v>230</v>
      </c>
      <c r="K388" s="1" t="s">
        <v>230</v>
      </c>
      <c r="L388" s="1" t="s">
        <v>705</v>
      </c>
      <c r="M388" s="1" t="s">
        <v>260</v>
      </c>
      <c r="N388" s="1" t="s">
        <v>357</v>
      </c>
      <c r="O388" s="1" t="s">
        <v>632</v>
      </c>
      <c r="P388" s="1" t="str">
        <f>_xlfn.CONCAT(B388,C388,D388,E388,F388)</f>
        <v>BC ParanoaSG60KTL(COM1-010)_002_00346059,475694444446059,475694444446059,5277777778</v>
      </c>
      <c r="Q388" s="1" t="str">
        <f>_xlfn.CONCAT(H388,I388,J388)</f>
        <v>DPRUFV</v>
      </c>
    </row>
    <row r="389" spans="2:17">
      <c r="B389" s="1" t="s">
        <v>393</v>
      </c>
      <c r="C389" s="1" t="s">
        <v>418</v>
      </c>
      <c r="D389" s="52">
        <v>46059.475694444445</v>
      </c>
      <c r="E389" s="52">
        <v>46059.475694444445</v>
      </c>
      <c r="F389" s="52">
        <v>46059.527777777781</v>
      </c>
      <c r="G389" s="53">
        <v>5.2083333333333336E-2</v>
      </c>
      <c r="H389" s="1" t="s">
        <v>677</v>
      </c>
      <c r="J389" s="1" t="s">
        <v>230</v>
      </c>
      <c r="K389" s="1" t="s">
        <v>230</v>
      </c>
      <c r="L389" s="1" t="s">
        <v>705</v>
      </c>
      <c r="M389" s="1" t="s">
        <v>260</v>
      </c>
      <c r="N389" s="1" t="s">
        <v>357</v>
      </c>
      <c r="O389" s="1" t="s">
        <v>632</v>
      </c>
      <c r="P389" s="1" t="str">
        <f>_xlfn.CONCAT(B389,C389,D389,E389,F389)</f>
        <v>BC ParanoaSG60KTL(COM1-011)_002_01046059,475694444446059,475694444446059,5277777778</v>
      </c>
      <c r="Q389" s="1" t="str">
        <f>_xlfn.CONCAT(H389,I389,J389)</f>
        <v>DPRUFV</v>
      </c>
    </row>
    <row r="390" spans="2:17">
      <c r="B390" s="1" t="s">
        <v>393</v>
      </c>
      <c r="C390" s="1" t="s">
        <v>419</v>
      </c>
      <c r="D390" s="52">
        <v>46059.475694444445</v>
      </c>
      <c r="E390" s="52">
        <v>46059.475694444445</v>
      </c>
      <c r="F390" s="52">
        <v>46059.527777777781</v>
      </c>
      <c r="G390" s="53">
        <v>5.2083333333333336E-2</v>
      </c>
      <c r="H390" s="1" t="s">
        <v>677</v>
      </c>
      <c r="J390" s="1" t="s">
        <v>230</v>
      </c>
      <c r="K390" s="1" t="s">
        <v>230</v>
      </c>
      <c r="L390" s="1" t="s">
        <v>705</v>
      </c>
      <c r="M390" s="1" t="s">
        <v>260</v>
      </c>
      <c r="N390" s="1" t="s">
        <v>357</v>
      </c>
      <c r="O390" s="1" t="s">
        <v>632</v>
      </c>
      <c r="P390" s="1" t="str">
        <f>_xlfn.CONCAT(B390,C390,D390,E390,F390)</f>
        <v>BC ParanoaSG60KTL(COM1-012)_002_00546059,475694444446059,475694444446059,5277777778</v>
      </c>
      <c r="Q390" s="1" t="str">
        <f>_xlfn.CONCAT(H390,I390,J390)</f>
        <v>DPRUFV</v>
      </c>
    </row>
    <row r="391" spans="2:17">
      <c r="B391" s="1" t="s">
        <v>393</v>
      </c>
      <c r="C391" s="1" t="s">
        <v>420</v>
      </c>
      <c r="D391" s="52">
        <v>46059.475694444445</v>
      </c>
      <c r="E391" s="52">
        <v>46059.475694444445</v>
      </c>
      <c r="F391" s="52">
        <v>46059.527777777781</v>
      </c>
      <c r="G391" s="53">
        <v>5.2083333333333336E-2</v>
      </c>
      <c r="H391" s="1" t="s">
        <v>677</v>
      </c>
      <c r="J391" s="1" t="s">
        <v>230</v>
      </c>
      <c r="K391" s="1" t="s">
        <v>230</v>
      </c>
      <c r="L391" s="1" t="s">
        <v>705</v>
      </c>
      <c r="M391" s="1" t="s">
        <v>260</v>
      </c>
      <c r="N391" s="1" t="s">
        <v>357</v>
      </c>
      <c r="O391" s="1" t="s">
        <v>632</v>
      </c>
      <c r="P391" s="1" t="str">
        <f>_xlfn.CONCAT(B391,C391,D391,E391,F391)</f>
        <v>BC ParanoaSG60KTL(COM1-001)_002_00646059,475694444446059,475694444446059,5277777778</v>
      </c>
      <c r="Q391" s="1" t="str">
        <f>_xlfn.CONCAT(H391,I391,J391)</f>
        <v>DPRUFV</v>
      </c>
    </row>
    <row r="392" spans="2:17">
      <c r="B392" s="1" t="s">
        <v>393</v>
      </c>
      <c r="C392" s="1" t="s">
        <v>421</v>
      </c>
      <c r="D392" s="52">
        <v>46059.475694444445</v>
      </c>
      <c r="E392" s="52">
        <v>46059.475694444445</v>
      </c>
      <c r="F392" s="52">
        <v>46059.527777777781</v>
      </c>
      <c r="G392" s="53">
        <v>5.2083333333333336E-2</v>
      </c>
      <c r="H392" s="1" t="s">
        <v>677</v>
      </c>
      <c r="J392" s="1" t="s">
        <v>230</v>
      </c>
      <c r="K392" s="1" t="s">
        <v>230</v>
      </c>
      <c r="L392" s="1" t="s">
        <v>705</v>
      </c>
      <c r="M392" s="1" t="s">
        <v>260</v>
      </c>
      <c r="N392" s="1" t="s">
        <v>357</v>
      </c>
      <c r="O392" s="1" t="s">
        <v>632</v>
      </c>
      <c r="P392" s="1" t="str">
        <f>_xlfn.CONCAT(B392,C392,D392,E392,F392)</f>
        <v>BC ParanoaSG60KTL(COM1-002)_002_01646059,475694444446059,475694444446059,5277777778</v>
      </c>
      <c r="Q392" s="1" t="str">
        <f>_xlfn.CONCAT(H392,I392,J392)</f>
        <v>DPRUFV</v>
      </c>
    </row>
    <row r="393" spans="2:17">
      <c r="B393" s="1" t="s">
        <v>393</v>
      </c>
      <c r="C393" s="1" t="s">
        <v>422</v>
      </c>
      <c r="D393" s="52">
        <v>46059.475694444445</v>
      </c>
      <c r="E393" s="52">
        <v>46059.475694444445</v>
      </c>
      <c r="F393" s="52">
        <v>46059.527777777781</v>
      </c>
      <c r="G393" s="53">
        <v>5.2083333333333336E-2</v>
      </c>
      <c r="H393" s="1" t="s">
        <v>677</v>
      </c>
      <c r="J393" s="1" t="s">
        <v>230</v>
      </c>
      <c r="K393" s="1" t="s">
        <v>230</v>
      </c>
      <c r="L393" s="1" t="s">
        <v>705</v>
      </c>
      <c r="M393" s="1" t="s">
        <v>260</v>
      </c>
      <c r="N393" s="1" t="s">
        <v>357</v>
      </c>
      <c r="O393" s="1" t="s">
        <v>632</v>
      </c>
      <c r="P393" s="1" t="str">
        <f>_xlfn.CONCAT(B393,C393,D393,E393,F393)</f>
        <v>BC ParanoaSG50CX(COM2-003)_002_02146059,475694444446059,475694444446059,5277777778</v>
      </c>
      <c r="Q393" s="1" t="str">
        <f>_xlfn.CONCAT(H393,I393,J393)</f>
        <v>DPRUFV</v>
      </c>
    </row>
    <row r="394" spans="2:17">
      <c r="B394" s="1" t="s">
        <v>393</v>
      </c>
      <c r="C394" s="1" t="s">
        <v>423</v>
      </c>
      <c r="D394" s="52">
        <v>46059.475694444445</v>
      </c>
      <c r="E394" s="52">
        <v>46059.475694444445</v>
      </c>
      <c r="F394" s="52">
        <v>46059.527777777781</v>
      </c>
      <c r="G394" s="53">
        <v>5.2083333333333336E-2</v>
      </c>
      <c r="H394" s="1" t="s">
        <v>677</v>
      </c>
      <c r="J394" s="1" t="s">
        <v>230</v>
      </c>
      <c r="K394" s="1" t="s">
        <v>230</v>
      </c>
      <c r="L394" s="1" t="s">
        <v>705</v>
      </c>
      <c r="M394" s="1" t="s">
        <v>260</v>
      </c>
      <c r="N394" s="1" t="s">
        <v>357</v>
      </c>
      <c r="O394" s="1" t="s">
        <v>632</v>
      </c>
      <c r="P394" s="1" t="str">
        <f>_xlfn.CONCAT(B394,C394,D394,E394,F394)</f>
        <v>BC ParanoaSG50CX(COM2-004)_002_02346059,475694444446059,475694444446059,5277777778</v>
      </c>
      <c r="Q394" s="1" t="str">
        <f>_xlfn.CONCAT(H394,I394,J394)</f>
        <v>DPRUFV</v>
      </c>
    </row>
    <row r="395" spans="2:17">
      <c r="B395" s="1" t="s">
        <v>393</v>
      </c>
      <c r="C395" s="1" t="s">
        <v>424</v>
      </c>
      <c r="D395" s="52">
        <v>46059.475694444445</v>
      </c>
      <c r="E395" s="52">
        <v>46059.475694444445</v>
      </c>
      <c r="F395" s="52">
        <v>46059.527777777781</v>
      </c>
      <c r="G395" s="53">
        <v>5.2083333333333336E-2</v>
      </c>
      <c r="H395" s="1" t="s">
        <v>677</v>
      </c>
      <c r="J395" s="1" t="s">
        <v>230</v>
      </c>
      <c r="K395" s="1" t="s">
        <v>230</v>
      </c>
      <c r="L395" s="1" t="s">
        <v>705</v>
      </c>
      <c r="M395" s="1" t="s">
        <v>260</v>
      </c>
      <c r="N395" s="1" t="s">
        <v>357</v>
      </c>
      <c r="O395" s="1" t="s">
        <v>632</v>
      </c>
      <c r="P395" s="1" t="str">
        <f>_xlfn.CONCAT(B395,C395,D395,E395,F395)</f>
        <v>BC ParanoaSG60KTL(COM1-005)_002_00946059,475694444446059,475694444446059,5277777778</v>
      </c>
      <c r="Q395" s="1" t="str">
        <f>_xlfn.CONCAT(H395,I395,J395)</f>
        <v>DPRUFV</v>
      </c>
    </row>
    <row r="396" spans="2:17">
      <c r="B396" s="1" t="s">
        <v>393</v>
      </c>
      <c r="C396" s="1" t="s">
        <v>425</v>
      </c>
      <c r="D396" s="52">
        <v>46059.475694444445</v>
      </c>
      <c r="E396" s="52">
        <v>46059.475694444445</v>
      </c>
      <c r="F396" s="52">
        <v>46059.527777777781</v>
      </c>
      <c r="G396" s="53">
        <v>5.2083333333333336E-2</v>
      </c>
      <c r="H396" s="1" t="s">
        <v>677</v>
      </c>
      <c r="J396" s="1" t="s">
        <v>230</v>
      </c>
      <c r="K396" s="1" t="s">
        <v>230</v>
      </c>
      <c r="L396" s="1" t="s">
        <v>705</v>
      </c>
      <c r="M396" s="1" t="s">
        <v>260</v>
      </c>
      <c r="N396" s="1" t="s">
        <v>357</v>
      </c>
      <c r="O396" s="1" t="s">
        <v>632</v>
      </c>
      <c r="P396" s="1" t="str">
        <f>_xlfn.CONCAT(B396,C396,D396,E396,F396)</f>
        <v>BC ParanoaSG60KTL(COM1-006)_002_00146059,475694444446059,475694444446059,5277777778</v>
      </c>
      <c r="Q396" s="1" t="str">
        <f>_xlfn.CONCAT(H396,I396,J396)</f>
        <v>DPRUFV</v>
      </c>
    </row>
    <row r="397" spans="2:17">
      <c r="B397" s="1" t="s">
        <v>393</v>
      </c>
      <c r="C397" s="1" t="s">
        <v>426</v>
      </c>
      <c r="D397" s="52">
        <v>46059.475694444445</v>
      </c>
      <c r="E397" s="52">
        <v>46059.475694444445</v>
      </c>
      <c r="F397" s="52">
        <v>46059.527777777781</v>
      </c>
      <c r="G397" s="53">
        <v>5.2083333333333336E-2</v>
      </c>
      <c r="H397" s="1" t="s">
        <v>677</v>
      </c>
      <c r="J397" s="1" t="s">
        <v>230</v>
      </c>
      <c r="K397" s="1" t="s">
        <v>230</v>
      </c>
      <c r="L397" s="1" t="s">
        <v>705</v>
      </c>
      <c r="M397" s="1" t="s">
        <v>260</v>
      </c>
      <c r="N397" s="1" t="s">
        <v>357</v>
      </c>
      <c r="O397" s="1" t="s">
        <v>632</v>
      </c>
      <c r="P397" s="1" t="str">
        <f>_xlfn.CONCAT(B397,C397,D397,E397,F397)</f>
        <v>BC ParanoaSG60KTL(COM1-013)_002_00446059,475694444446059,475694444446059,5277777778</v>
      </c>
      <c r="Q397" s="1" t="str">
        <f>_xlfn.CONCAT(H397,I397,J397)</f>
        <v>DPRUFV</v>
      </c>
    </row>
    <row r="398" spans="2:17">
      <c r="B398" s="1" t="s">
        <v>393</v>
      </c>
      <c r="C398" s="1" t="s">
        <v>427</v>
      </c>
      <c r="D398" s="52">
        <v>46059.475694444445</v>
      </c>
      <c r="E398" s="52">
        <v>46059.475694444445</v>
      </c>
      <c r="F398" s="52">
        <v>46059.527777777781</v>
      </c>
      <c r="G398" s="53">
        <v>5.2083333333333336E-2</v>
      </c>
      <c r="H398" s="1" t="s">
        <v>677</v>
      </c>
      <c r="J398" s="1" t="s">
        <v>230</v>
      </c>
      <c r="K398" s="1" t="s">
        <v>230</v>
      </c>
      <c r="L398" s="1" t="s">
        <v>705</v>
      </c>
      <c r="M398" s="1" t="s">
        <v>260</v>
      </c>
      <c r="N398" s="1" t="s">
        <v>357</v>
      </c>
      <c r="O398" s="1" t="s">
        <v>632</v>
      </c>
      <c r="P398" s="1" t="str">
        <f>_xlfn.CONCAT(B398,C398,D398,E398,F398)</f>
        <v>BC ParanoaSG60KTL(COM1-014)_002_01946059,475694444446059,475694444446059,5277777778</v>
      </c>
      <c r="Q398" s="1" t="str">
        <f>_xlfn.CONCAT(H398,I398,J398)</f>
        <v>DPRUFV</v>
      </c>
    </row>
    <row r="399" spans="2:17">
      <c r="B399" s="1" t="s">
        <v>393</v>
      </c>
      <c r="C399" s="1" t="s">
        <v>428</v>
      </c>
      <c r="D399" s="52">
        <v>46059.475694444445</v>
      </c>
      <c r="E399" s="52">
        <v>46059.475694444445</v>
      </c>
      <c r="F399" s="52">
        <v>46059.527777777781</v>
      </c>
      <c r="G399" s="53">
        <v>5.2083333333333336E-2</v>
      </c>
      <c r="H399" s="1" t="s">
        <v>677</v>
      </c>
      <c r="J399" s="1" t="s">
        <v>230</v>
      </c>
      <c r="K399" s="1" t="s">
        <v>230</v>
      </c>
      <c r="L399" s="1" t="s">
        <v>705</v>
      </c>
      <c r="M399" s="1" t="s">
        <v>260</v>
      </c>
      <c r="N399" s="1" t="s">
        <v>357</v>
      </c>
      <c r="O399" s="1" t="s">
        <v>632</v>
      </c>
      <c r="P399" s="1" t="str">
        <f>_xlfn.CONCAT(B399,C399,D399,E399,F399)</f>
        <v>BC ParanoaSG60KTL(COM1-015)_002_01846059,475694444446059,475694444446059,5277777778</v>
      </c>
      <c r="Q399" s="1" t="str">
        <f>_xlfn.CONCAT(H399,I399,J399)</f>
        <v>DPRUFV</v>
      </c>
    </row>
    <row r="400" spans="2:17">
      <c r="B400" s="1" t="s">
        <v>393</v>
      </c>
      <c r="C400" s="1" t="s">
        <v>429</v>
      </c>
      <c r="D400" s="52">
        <v>46059.475694444445</v>
      </c>
      <c r="E400" s="52">
        <v>46059.475694444445</v>
      </c>
      <c r="F400" s="52">
        <v>46059.527777777781</v>
      </c>
      <c r="G400" s="53">
        <v>5.2083333333333336E-2</v>
      </c>
      <c r="H400" s="1" t="s">
        <v>677</v>
      </c>
      <c r="J400" s="1" t="s">
        <v>230</v>
      </c>
      <c r="K400" s="1" t="s">
        <v>230</v>
      </c>
      <c r="L400" s="1" t="s">
        <v>705</v>
      </c>
      <c r="M400" s="1" t="s">
        <v>260</v>
      </c>
      <c r="N400" s="1" t="s">
        <v>357</v>
      </c>
      <c r="O400" s="1" t="s">
        <v>632</v>
      </c>
      <c r="P400" s="1" t="str">
        <f>_xlfn.CONCAT(B400,C400,D400,E400,F400)</f>
        <v>BC ParanoaSG60KTL(COM1-016)_002_01446059,475694444446059,475694444446059,5277777778</v>
      </c>
      <c r="Q400" s="1" t="str">
        <f>_xlfn.CONCAT(H400,I400,J400)</f>
        <v>DPRUFV</v>
      </c>
    </row>
    <row r="401" spans="2:17">
      <c r="B401" s="1" t="s">
        <v>393</v>
      </c>
      <c r="C401" s="1" t="s">
        <v>430</v>
      </c>
      <c r="D401" s="52">
        <v>46059.475694444445</v>
      </c>
      <c r="E401" s="52">
        <v>46059.475694444445</v>
      </c>
      <c r="F401" s="52">
        <v>46059.527777777781</v>
      </c>
      <c r="G401" s="53">
        <v>5.2083333333333336E-2</v>
      </c>
      <c r="H401" s="1" t="s">
        <v>677</v>
      </c>
      <c r="J401" s="1" t="s">
        <v>230</v>
      </c>
      <c r="K401" s="1" t="s">
        <v>230</v>
      </c>
      <c r="L401" s="1" t="s">
        <v>705</v>
      </c>
      <c r="M401" s="1" t="s">
        <v>260</v>
      </c>
      <c r="N401" s="1" t="s">
        <v>357</v>
      </c>
      <c r="O401" s="1" t="s">
        <v>632</v>
      </c>
      <c r="P401" s="1" t="str">
        <f>_xlfn.CONCAT(B401,C401,D401,E401,F401)</f>
        <v>BC ParanoaSG60KTL(COM1-017)_002_01546059,475694444446059,475694444446059,5277777778</v>
      </c>
      <c r="Q401" s="1" t="str">
        <f>_xlfn.CONCAT(H401,I401,J401)</f>
        <v>DPRUFV</v>
      </c>
    </row>
    <row r="402" spans="2:17">
      <c r="B402" s="1" t="s">
        <v>393</v>
      </c>
      <c r="C402" s="1" t="s">
        <v>431</v>
      </c>
      <c r="D402" s="52">
        <v>46059.475694444445</v>
      </c>
      <c r="E402" s="52">
        <v>46059.475694444445</v>
      </c>
      <c r="F402" s="52">
        <v>46059.527777777781</v>
      </c>
      <c r="G402" s="53">
        <v>5.2083333333333336E-2</v>
      </c>
      <c r="H402" s="1" t="s">
        <v>677</v>
      </c>
      <c r="J402" s="1" t="s">
        <v>230</v>
      </c>
      <c r="K402" s="1" t="s">
        <v>230</v>
      </c>
      <c r="L402" s="1" t="s">
        <v>705</v>
      </c>
      <c r="M402" s="1" t="s">
        <v>260</v>
      </c>
      <c r="N402" s="1" t="s">
        <v>357</v>
      </c>
      <c r="O402" s="1" t="s">
        <v>632</v>
      </c>
      <c r="P402" s="1" t="str">
        <f>_xlfn.CONCAT(B402,C402,D402,E402,F402)</f>
        <v>BC ParanoaSG60KTL(COM1-018)_002_01246059,475694444446059,475694444446059,5277777778</v>
      </c>
      <c r="Q402" s="1" t="str">
        <f>_xlfn.CONCAT(H402,I402,J402)</f>
        <v>DPRUFV</v>
      </c>
    </row>
    <row r="403" spans="2:17">
      <c r="B403" s="1" t="s">
        <v>393</v>
      </c>
      <c r="C403" s="1" t="s">
        <v>432</v>
      </c>
      <c r="D403" s="52">
        <v>46059.475694444445</v>
      </c>
      <c r="E403" s="52">
        <v>46059.475694444445</v>
      </c>
      <c r="F403" s="52">
        <v>46059.527777777781</v>
      </c>
      <c r="G403" s="53">
        <v>5.2083333333333336E-2</v>
      </c>
      <c r="H403" s="1" t="s">
        <v>677</v>
      </c>
      <c r="J403" s="1" t="s">
        <v>230</v>
      </c>
      <c r="K403" s="1" t="s">
        <v>230</v>
      </c>
      <c r="L403" s="1" t="s">
        <v>705</v>
      </c>
      <c r="M403" s="1" t="s">
        <v>260</v>
      </c>
      <c r="N403" s="1" t="s">
        <v>357</v>
      </c>
      <c r="O403" s="1" t="s">
        <v>632</v>
      </c>
      <c r="P403" s="1" t="str">
        <f>_xlfn.CONCAT(B403,C403,D403,E403,F403)</f>
        <v>BC ParanoaSG50CX(COM2-004)_001_01846059,475694444446059,475694444446059,5277777778</v>
      </c>
      <c r="Q403" s="1" t="str">
        <f>_xlfn.CONCAT(H403,I403,J403)</f>
        <v>DPRUFV</v>
      </c>
    </row>
    <row r="404" spans="2:17">
      <c r="B404" s="1" t="s">
        <v>393</v>
      </c>
      <c r="C404" s="1" t="s">
        <v>433</v>
      </c>
      <c r="D404" s="52">
        <v>46059.475694444445</v>
      </c>
      <c r="E404" s="52">
        <v>46059.475694444445</v>
      </c>
      <c r="F404" s="52">
        <v>46059.527777777781</v>
      </c>
      <c r="G404" s="53">
        <v>5.2083333333333336E-2</v>
      </c>
      <c r="H404" s="1" t="s">
        <v>677</v>
      </c>
      <c r="J404" s="1" t="s">
        <v>230</v>
      </c>
      <c r="K404" s="1" t="s">
        <v>230</v>
      </c>
      <c r="L404" s="1" t="s">
        <v>705</v>
      </c>
      <c r="M404" s="1" t="s">
        <v>260</v>
      </c>
      <c r="N404" s="1" t="s">
        <v>357</v>
      </c>
      <c r="O404" s="1" t="s">
        <v>632</v>
      </c>
      <c r="P404" s="1" t="str">
        <f>_xlfn.CONCAT(B404,C404,D404,E404,F404)</f>
        <v>BC ParanoaSG50CX(COM2-003)_001_01646059,475694444446059,475694444446059,5277777778</v>
      </c>
      <c r="Q404" s="1" t="str">
        <f>_xlfn.CONCAT(H404,I404,J404)</f>
        <v>DPRUFV</v>
      </c>
    </row>
    <row r="405" spans="2:17">
      <c r="B405" s="1" t="s">
        <v>393</v>
      </c>
      <c r="C405" s="1" t="s">
        <v>434</v>
      </c>
      <c r="D405" s="52">
        <v>46059.475694444445</v>
      </c>
      <c r="E405" s="52">
        <v>46059.475694444445</v>
      </c>
      <c r="F405" s="52">
        <v>46059.527777777781</v>
      </c>
      <c r="G405" s="53">
        <v>5.2083333333333336E-2</v>
      </c>
      <c r="H405" s="1" t="s">
        <v>677</v>
      </c>
      <c r="J405" s="1" t="s">
        <v>230</v>
      </c>
      <c r="K405" s="1" t="s">
        <v>230</v>
      </c>
      <c r="L405" s="1" t="s">
        <v>705</v>
      </c>
      <c r="M405" s="1" t="s">
        <v>260</v>
      </c>
      <c r="N405" s="1" t="s">
        <v>357</v>
      </c>
      <c r="O405" s="1" t="s">
        <v>632</v>
      </c>
      <c r="P405" s="1" t="str">
        <f>_xlfn.CONCAT(B405,C405,D405,E405,F405)</f>
        <v>BC ParanoaSG60KTL(COM1-002)_001_00846059,475694444446059,475694444446059,5277777778</v>
      </c>
      <c r="Q405" s="1" t="str">
        <f>_xlfn.CONCAT(H405,I405,J405)</f>
        <v>DPRUFV</v>
      </c>
    </row>
    <row r="406" spans="2:17">
      <c r="B406" s="1" t="s">
        <v>585</v>
      </c>
      <c r="C406" s="1" t="s">
        <v>586</v>
      </c>
      <c r="D406" s="52">
        <v>46059.540277777778</v>
      </c>
      <c r="E406" s="52">
        <v>46059.540277777778</v>
      </c>
      <c r="F406" s="52">
        <v>46059.652777777781</v>
      </c>
      <c r="G406" s="53">
        <v>0.1125</v>
      </c>
      <c r="H406" s="1" t="s">
        <v>257</v>
      </c>
      <c r="J406" s="1" t="s">
        <v>258</v>
      </c>
      <c r="K406" s="1" t="s">
        <v>658</v>
      </c>
      <c r="L406" s="1" t="s">
        <v>709</v>
      </c>
      <c r="M406" s="1" t="s">
        <v>260</v>
      </c>
      <c r="N406" s="1" t="s">
        <v>357</v>
      </c>
      <c r="O406" s="1" t="s">
        <v>632</v>
      </c>
      <c r="P406" s="1" t="str">
        <f>_xlfn.CONCAT(B406,C406,D406,E406,F406)</f>
        <v>BC Rio Monte1Inverter3546059,540277777846059,540277777846059,6527777778</v>
      </c>
      <c r="Q406" s="1" t="str">
        <f>_xlfn.CONCAT(H406,I406,J406)</f>
        <v>DAURDE</v>
      </c>
    </row>
    <row r="407" spans="2:17">
      <c r="B407" s="1" t="s">
        <v>585</v>
      </c>
      <c r="C407" s="1" t="s">
        <v>588</v>
      </c>
      <c r="D407" s="52">
        <v>46059.540277777778</v>
      </c>
      <c r="E407" s="52">
        <v>46059.540277777778</v>
      </c>
      <c r="F407" s="52">
        <v>46059.652777777781</v>
      </c>
      <c r="G407" s="53">
        <v>0.1125</v>
      </c>
      <c r="H407" s="1" t="s">
        <v>257</v>
      </c>
      <c r="J407" s="1" t="s">
        <v>258</v>
      </c>
      <c r="K407" s="1" t="s">
        <v>658</v>
      </c>
      <c r="L407" s="1" t="s">
        <v>709</v>
      </c>
      <c r="M407" s="1" t="s">
        <v>260</v>
      </c>
      <c r="N407" s="1" t="s">
        <v>357</v>
      </c>
      <c r="O407" s="1" t="s">
        <v>632</v>
      </c>
      <c r="P407" s="1" t="str">
        <f>_xlfn.CONCAT(B407,C407,D407,E407,F407)</f>
        <v>BC Rio Monte1Inverter4046059,540277777846059,540277777846059,6527777778</v>
      </c>
      <c r="Q407" s="1" t="str">
        <f>_xlfn.CONCAT(H407,I407,J407)</f>
        <v>DAURDE</v>
      </c>
    </row>
    <row r="408" spans="2:17">
      <c r="B408" s="1" t="s">
        <v>585</v>
      </c>
      <c r="C408" s="1" t="s">
        <v>589</v>
      </c>
      <c r="D408" s="52">
        <v>46059.540277777778</v>
      </c>
      <c r="E408" s="52">
        <v>46059.540277777778</v>
      </c>
      <c r="F408" s="52">
        <v>46059.652777777781</v>
      </c>
      <c r="G408" s="53">
        <v>0.1125</v>
      </c>
      <c r="H408" s="1" t="s">
        <v>257</v>
      </c>
      <c r="J408" s="1" t="s">
        <v>258</v>
      </c>
      <c r="K408" s="1" t="s">
        <v>658</v>
      </c>
      <c r="L408" s="1" t="s">
        <v>709</v>
      </c>
      <c r="M408" s="1" t="s">
        <v>260</v>
      </c>
      <c r="N408" s="1" t="s">
        <v>357</v>
      </c>
      <c r="O408" s="1" t="s">
        <v>632</v>
      </c>
      <c r="P408" s="1" t="str">
        <f>_xlfn.CONCAT(B408,C408,D408,E408,F408)</f>
        <v>BC Rio Monte1Inverter4246059,540277777846059,540277777846059,6527777778</v>
      </c>
      <c r="Q408" s="1" t="str">
        <f>_xlfn.CONCAT(H408,I408,J408)</f>
        <v>DAURDE</v>
      </c>
    </row>
    <row r="409" spans="2:17">
      <c r="B409" s="1" t="s">
        <v>585</v>
      </c>
      <c r="C409" s="1" t="s">
        <v>590</v>
      </c>
      <c r="D409" s="52">
        <v>46059.540277777778</v>
      </c>
      <c r="E409" s="52">
        <v>46059.540277777778</v>
      </c>
      <c r="F409" s="52">
        <v>46059.652777777781</v>
      </c>
      <c r="G409" s="53">
        <v>0.1125</v>
      </c>
      <c r="H409" s="1" t="s">
        <v>257</v>
      </c>
      <c r="J409" s="1" t="s">
        <v>258</v>
      </c>
      <c r="K409" s="1" t="s">
        <v>658</v>
      </c>
      <c r="L409" s="1" t="s">
        <v>709</v>
      </c>
      <c r="M409" s="1" t="s">
        <v>260</v>
      </c>
      <c r="N409" s="1" t="s">
        <v>357</v>
      </c>
      <c r="O409" s="1" t="s">
        <v>632</v>
      </c>
      <c r="P409" s="1" t="str">
        <f>_xlfn.CONCAT(B409,C409,D409,E409,F409)</f>
        <v>BC Rio Monte1Inverter4146059,540277777846059,540277777846059,6527777778</v>
      </c>
      <c r="Q409" s="1" t="str">
        <f>_xlfn.CONCAT(H409,I409,J409)</f>
        <v>DAURDE</v>
      </c>
    </row>
    <row r="410" spans="2:17">
      <c r="B410" s="1" t="s">
        <v>585</v>
      </c>
      <c r="C410" s="1" t="s">
        <v>591</v>
      </c>
      <c r="D410" s="52">
        <v>46059.540277777778</v>
      </c>
      <c r="E410" s="52">
        <v>46059.540277777778</v>
      </c>
      <c r="F410" s="52">
        <v>46059.652777777781</v>
      </c>
      <c r="G410" s="53">
        <v>0.1125</v>
      </c>
      <c r="H410" s="1" t="s">
        <v>257</v>
      </c>
      <c r="J410" s="1" t="s">
        <v>258</v>
      </c>
      <c r="K410" s="1" t="s">
        <v>658</v>
      </c>
      <c r="L410" s="1" t="s">
        <v>709</v>
      </c>
      <c r="M410" s="1" t="s">
        <v>260</v>
      </c>
      <c r="N410" s="1" t="s">
        <v>357</v>
      </c>
      <c r="O410" s="1" t="s">
        <v>632</v>
      </c>
      <c r="P410" s="1" t="str">
        <f>_xlfn.CONCAT(B410,C410,D410,E410,F410)</f>
        <v>BC Rio Monte1Inverter4446059,540277777846059,540277777846059,6527777778</v>
      </c>
      <c r="Q410" s="1" t="str">
        <f>_xlfn.CONCAT(H410,I410,J410)</f>
        <v>DAURDE</v>
      </c>
    </row>
    <row r="411" spans="2:17">
      <c r="B411" s="1" t="s">
        <v>585</v>
      </c>
      <c r="C411" s="1" t="s">
        <v>592</v>
      </c>
      <c r="D411" s="52">
        <v>46059.540277777778</v>
      </c>
      <c r="E411" s="52">
        <v>46059.540277777778</v>
      </c>
      <c r="F411" s="52">
        <v>46059.652777777781</v>
      </c>
      <c r="G411" s="53">
        <v>0.1125</v>
      </c>
      <c r="H411" s="1" t="s">
        <v>257</v>
      </c>
      <c r="J411" s="1" t="s">
        <v>258</v>
      </c>
      <c r="K411" s="1" t="s">
        <v>658</v>
      </c>
      <c r="L411" s="1" t="s">
        <v>709</v>
      </c>
      <c r="M411" s="1" t="s">
        <v>260</v>
      </c>
      <c r="N411" s="1" t="s">
        <v>357</v>
      </c>
      <c r="O411" s="1" t="s">
        <v>632</v>
      </c>
      <c r="P411" s="1" t="str">
        <f>_xlfn.CONCAT(B411,C411,D411,E411,F411)</f>
        <v>BC Rio Monte1Inverter4346059,540277777846059,540277777846059,6527777778</v>
      </c>
      <c r="Q411" s="1" t="str">
        <f>_xlfn.CONCAT(H411,I411,J411)</f>
        <v>DAURDE</v>
      </c>
    </row>
    <row r="412" spans="2:17">
      <c r="B412" s="1" t="s">
        <v>585</v>
      </c>
      <c r="C412" s="1" t="s">
        <v>593</v>
      </c>
      <c r="D412" s="52">
        <v>46059.540277777778</v>
      </c>
      <c r="E412" s="52">
        <v>46059.540277777778</v>
      </c>
      <c r="F412" s="52">
        <v>46059.652777777781</v>
      </c>
      <c r="G412" s="53">
        <v>0.1125</v>
      </c>
      <c r="H412" s="1" t="s">
        <v>257</v>
      </c>
      <c r="J412" s="1" t="s">
        <v>258</v>
      </c>
      <c r="K412" s="1" t="s">
        <v>658</v>
      </c>
      <c r="L412" s="1" t="s">
        <v>709</v>
      </c>
      <c r="M412" s="1" t="s">
        <v>260</v>
      </c>
      <c r="N412" s="1" t="s">
        <v>357</v>
      </c>
      <c r="O412" s="1" t="s">
        <v>632</v>
      </c>
      <c r="P412" s="1" t="str">
        <f>_xlfn.CONCAT(B412,C412,D412,E412,F412)</f>
        <v>BC Rio Monte1Inverter4546059,540277777846059,540277777846059,6527777778</v>
      </c>
      <c r="Q412" s="1" t="str">
        <f>_xlfn.CONCAT(H412,I412,J412)</f>
        <v>DAURDE</v>
      </c>
    </row>
    <row r="413" spans="2:17">
      <c r="B413" s="1" t="s">
        <v>585</v>
      </c>
      <c r="C413" s="1" t="s">
        <v>594</v>
      </c>
      <c r="D413" s="52">
        <v>46059.540277777778</v>
      </c>
      <c r="E413" s="52">
        <v>46059.540277777778</v>
      </c>
      <c r="F413" s="52">
        <v>46059.652777777781</v>
      </c>
      <c r="G413" s="53">
        <v>0.1125</v>
      </c>
      <c r="H413" s="1" t="s">
        <v>257</v>
      </c>
      <c r="J413" s="1" t="s">
        <v>258</v>
      </c>
      <c r="K413" s="1" t="s">
        <v>658</v>
      </c>
      <c r="L413" s="1" t="s">
        <v>709</v>
      </c>
      <c r="M413" s="1" t="s">
        <v>260</v>
      </c>
      <c r="N413" s="1" t="s">
        <v>357</v>
      </c>
      <c r="O413" s="1" t="s">
        <v>632</v>
      </c>
      <c r="P413" s="1" t="str">
        <f>_xlfn.CONCAT(B413,C413,D413,E413,F413)</f>
        <v>BC Rio Monte1Inverter3446059,540277777846059,540277777846059,6527777778</v>
      </c>
      <c r="Q413" s="1" t="str">
        <f>_xlfn.CONCAT(H413,I413,J413)</f>
        <v>DAURDE</v>
      </c>
    </row>
    <row r="414" spans="2:17">
      <c r="B414" s="1" t="s">
        <v>585</v>
      </c>
      <c r="C414" s="1" t="s">
        <v>595</v>
      </c>
      <c r="D414" s="52">
        <v>46059.540277777778</v>
      </c>
      <c r="E414" s="52">
        <v>46059.540277777778</v>
      </c>
      <c r="F414" s="52">
        <v>46059.652777777781</v>
      </c>
      <c r="G414" s="53">
        <v>0.1125</v>
      </c>
      <c r="H414" s="1" t="s">
        <v>257</v>
      </c>
      <c r="J414" s="1" t="s">
        <v>258</v>
      </c>
      <c r="K414" s="1" t="s">
        <v>658</v>
      </c>
      <c r="L414" s="1" t="s">
        <v>709</v>
      </c>
      <c r="M414" s="1" t="s">
        <v>260</v>
      </c>
      <c r="N414" s="1" t="s">
        <v>357</v>
      </c>
      <c r="O414" s="1" t="s">
        <v>632</v>
      </c>
      <c r="P414" s="1" t="str">
        <f>_xlfn.CONCAT(B414,C414,D414,E414,F414)</f>
        <v>BC Rio Monte1Inverter3746059,540277777846059,540277777846059,6527777778</v>
      </c>
      <c r="Q414" s="1" t="str">
        <f>_xlfn.CONCAT(H414,I414,J414)</f>
        <v>DAURDE</v>
      </c>
    </row>
    <row r="415" spans="2:17">
      <c r="B415" s="1" t="s">
        <v>585</v>
      </c>
      <c r="C415" s="1" t="s">
        <v>596</v>
      </c>
      <c r="D415" s="52">
        <v>46059.540277777778</v>
      </c>
      <c r="E415" s="52">
        <v>46059.540277777778</v>
      </c>
      <c r="F415" s="52">
        <v>46059.652777777781</v>
      </c>
      <c r="G415" s="53">
        <v>0.1125</v>
      </c>
      <c r="H415" s="1" t="s">
        <v>257</v>
      </c>
      <c r="J415" s="1" t="s">
        <v>258</v>
      </c>
      <c r="K415" s="1" t="s">
        <v>658</v>
      </c>
      <c r="L415" s="1" t="s">
        <v>709</v>
      </c>
      <c r="M415" s="1" t="s">
        <v>260</v>
      </c>
      <c r="N415" s="1" t="s">
        <v>357</v>
      </c>
      <c r="O415" s="1" t="s">
        <v>632</v>
      </c>
      <c r="P415" s="1" t="str">
        <f>_xlfn.CONCAT(B415,C415,D415,E415,F415)</f>
        <v>BC Rio Monte1Inverter3346059,540277777846059,540277777846059,6527777778</v>
      </c>
      <c r="Q415" s="1" t="str">
        <f>_xlfn.CONCAT(H415,I415,J415)</f>
        <v>DAURDE</v>
      </c>
    </row>
    <row r="416" spans="2:17">
      <c r="B416" s="1" t="s">
        <v>585</v>
      </c>
      <c r="C416" s="1" t="s">
        <v>597</v>
      </c>
      <c r="D416" s="52">
        <v>46059.540277777778</v>
      </c>
      <c r="E416" s="52">
        <v>46059.540277777778</v>
      </c>
      <c r="F416" s="52">
        <v>46059.652777777781</v>
      </c>
      <c r="G416" s="53">
        <v>0.1125</v>
      </c>
      <c r="H416" s="1" t="s">
        <v>257</v>
      </c>
      <c r="J416" s="1" t="s">
        <v>258</v>
      </c>
      <c r="K416" s="1" t="s">
        <v>658</v>
      </c>
      <c r="L416" s="1" t="s">
        <v>709</v>
      </c>
      <c r="M416" s="1" t="s">
        <v>260</v>
      </c>
      <c r="N416" s="1" t="s">
        <v>357</v>
      </c>
      <c r="O416" s="1" t="s">
        <v>632</v>
      </c>
      <c r="P416" s="1" t="str">
        <f>_xlfn.CONCAT(B416,C416,D416,E416,F416)</f>
        <v>BC Rio Monte1Inverter2946059,540277777846059,540277777846059,6527777778</v>
      </c>
      <c r="Q416" s="1" t="str">
        <f>_xlfn.CONCAT(H416,I416,J416)</f>
        <v>DAURDE</v>
      </c>
    </row>
    <row r="417" spans="2:17">
      <c r="B417" s="1" t="s">
        <v>585</v>
      </c>
      <c r="C417" s="1" t="s">
        <v>598</v>
      </c>
      <c r="D417" s="52">
        <v>46059.540277777778</v>
      </c>
      <c r="E417" s="52">
        <v>46059.540277777778</v>
      </c>
      <c r="F417" s="52">
        <v>46059.652777777781</v>
      </c>
      <c r="G417" s="53">
        <v>0.1125</v>
      </c>
      <c r="H417" s="1" t="s">
        <v>257</v>
      </c>
      <c r="J417" s="1" t="s">
        <v>258</v>
      </c>
      <c r="K417" s="1" t="s">
        <v>658</v>
      </c>
      <c r="L417" s="1" t="s">
        <v>709</v>
      </c>
      <c r="M417" s="1" t="s">
        <v>260</v>
      </c>
      <c r="N417" s="1" t="s">
        <v>357</v>
      </c>
      <c r="O417" s="1" t="s">
        <v>632</v>
      </c>
      <c r="P417" s="1" t="str">
        <f>_xlfn.CONCAT(B417,C417,D417,E417,F417)</f>
        <v>BC Rio Monte1Inverter3646059,540277777846059,540277777846059,6527777778</v>
      </c>
      <c r="Q417" s="1" t="str">
        <f>_xlfn.CONCAT(H417,I417,J417)</f>
        <v>DAURDE</v>
      </c>
    </row>
    <row r="418" spans="2:17">
      <c r="B418" s="1" t="s">
        <v>585</v>
      </c>
      <c r="C418" s="1" t="s">
        <v>599</v>
      </c>
      <c r="D418" s="52">
        <v>46059.540277777778</v>
      </c>
      <c r="E418" s="52">
        <v>46059.540277777778</v>
      </c>
      <c r="F418" s="52">
        <v>46059.652777777781</v>
      </c>
      <c r="G418" s="53">
        <v>0.1125</v>
      </c>
      <c r="H418" s="1" t="s">
        <v>257</v>
      </c>
      <c r="J418" s="1" t="s">
        <v>258</v>
      </c>
      <c r="K418" s="1" t="s">
        <v>658</v>
      </c>
      <c r="L418" s="1" t="s">
        <v>709</v>
      </c>
      <c r="M418" s="1" t="s">
        <v>260</v>
      </c>
      <c r="N418" s="1" t="s">
        <v>357</v>
      </c>
      <c r="O418" s="1" t="s">
        <v>632</v>
      </c>
      <c r="P418" s="1" t="str">
        <f>_xlfn.CONCAT(B418,C418,D418,E418,F418)</f>
        <v>BC Rio Monte1Inverter3946059,540277777846059,540277777846059,6527777778</v>
      </c>
      <c r="Q418" s="1" t="str">
        <f>_xlfn.CONCAT(H418,I418,J418)</f>
        <v>DAURDE</v>
      </c>
    </row>
    <row r="419" spans="2:17">
      <c r="B419" s="1" t="s">
        <v>585</v>
      </c>
      <c r="C419" s="1" t="s">
        <v>600</v>
      </c>
      <c r="D419" s="52">
        <v>46059.540277777778</v>
      </c>
      <c r="E419" s="52">
        <v>46059.540277777778</v>
      </c>
      <c r="F419" s="52">
        <v>46059.652777777781</v>
      </c>
      <c r="G419" s="53">
        <v>0.1125</v>
      </c>
      <c r="H419" s="1" t="s">
        <v>257</v>
      </c>
      <c r="J419" s="1" t="s">
        <v>258</v>
      </c>
      <c r="K419" s="1" t="s">
        <v>658</v>
      </c>
      <c r="L419" s="1" t="s">
        <v>709</v>
      </c>
      <c r="M419" s="1" t="s">
        <v>260</v>
      </c>
      <c r="N419" s="1" t="s">
        <v>357</v>
      </c>
      <c r="O419" s="1" t="s">
        <v>632</v>
      </c>
      <c r="P419" s="1" t="str">
        <f>_xlfn.CONCAT(B419,C419,D419,E419,F419)</f>
        <v>BC Rio Monte1Inverter3146059,540277777846059,540277777846059,6527777778</v>
      </c>
      <c r="Q419" s="1" t="str">
        <f>_xlfn.CONCAT(H419,I419,J419)</f>
        <v>DAURDE</v>
      </c>
    </row>
    <row r="420" spans="2:17">
      <c r="B420" s="1" t="s">
        <v>585</v>
      </c>
      <c r="C420" s="1" t="s">
        <v>601</v>
      </c>
      <c r="D420" s="52">
        <v>46059.540277777778</v>
      </c>
      <c r="E420" s="52">
        <v>46059.540277777778</v>
      </c>
      <c r="F420" s="52">
        <v>46059.652777777781</v>
      </c>
      <c r="G420" s="53">
        <v>0.1125</v>
      </c>
      <c r="H420" s="1" t="s">
        <v>257</v>
      </c>
      <c r="J420" s="1" t="s">
        <v>258</v>
      </c>
      <c r="K420" s="1" t="s">
        <v>658</v>
      </c>
      <c r="L420" s="1" t="s">
        <v>709</v>
      </c>
      <c r="M420" s="1" t="s">
        <v>260</v>
      </c>
      <c r="N420" s="1" t="s">
        <v>357</v>
      </c>
      <c r="O420" s="1" t="s">
        <v>632</v>
      </c>
      <c r="P420" s="1" t="str">
        <f>_xlfn.CONCAT(B420,C420,D420,E420,F420)</f>
        <v>BC Rio Monte1Inverter3046059,540277777846059,540277777846059,6527777778</v>
      </c>
      <c r="Q420" s="1" t="str">
        <f>_xlfn.CONCAT(H420,I420,J420)</f>
        <v>DAURDE</v>
      </c>
    </row>
    <row r="421" spans="2:17">
      <c r="B421" s="1" t="s">
        <v>585</v>
      </c>
      <c r="C421" s="1" t="s">
        <v>602</v>
      </c>
      <c r="D421" s="52">
        <v>46059.540277777778</v>
      </c>
      <c r="E421" s="52">
        <v>46059.540277777778</v>
      </c>
      <c r="F421" s="52">
        <v>46059.652777777781</v>
      </c>
      <c r="G421" s="53">
        <v>0.1125</v>
      </c>
      <c r="H421" s="1" t="s">
        <v>257</v>
      </c>
      <c r="J421" s="1" t="s">
        <v>258</v>
      </c>
      <c r="K421" s="1" t="s">
        <v>658</v>
      </c>
      <c r="L421" s="1" t="s">
        <v>709</v>
      </c>
      <c r="M421" s="1" t="s">
        <v>260</v>
      </c>
      <c r="N421" s="1" t="s">
        <v>357</v>
      </c>
      <c r="O421" s="1" t="s">
        <v>632</v>
      </c>
      <c r="P421" s="1" t="str">
        <f>_xlfn.CONCAT(B421,C421,D421,E421,F421)</f>
        <v>BC Rio Monte1Inverter3846059,540277777846059,540277777846059,6527777778</v>
      </c>
      <c r="Q421" s="1" t="str">
        <f>_xlfn.CONCAT(H421,I421,J421)</f>
        <v>DAURDE</v>
      </c>
    </row>
    <row r="422" spans="2:17">
      <c r="B422" s="1" t="s">
        <v>585</v>
      </c>
      <c r="C422" s="1" t="s">
        <v>603</v>
      </c>
      <c r="D422" s="52">
        <v>46059.540277777778</v>
      </c>
      <c r="E422" s="52">
        <v>46059.540277777778</v>
      </c>
      <c r="F422" s="52">
        <v>46059.652777777781</v>
      </c>
      <c r="G422" s="53">
        <v>0.1125</v>
      </c>
      <c r="H422" s="1" t="s">
        <v>257</v>
      </c>
      <c r="J422" s="1" t="s">
        <v>258</v>
      </c>
      <c r="K422" s="1" t="s">
        <v>658</v>
      </c>
      <c r="L422" s="1" t="s">
        <v>709</v>
      </c>
      <c r="M422" s="1" t="s">
        <v>260</v>
      </c>
      <c r="N422" s="1" t="s">
        <v>357</v>
      </c>
      <c r="O422" s="1" t="s">
        <v>632</v>
      </c>
      <c r="P422" s="1" t="str">
        <f>_xlfn.CONCAT(B422,C422,D422,E422,F422)</f>
        <v>BC Rio Monte1Inverter3246059,540277777846059,540277777846059,6527777778</v>
      </c>
      <c r="Q422" s="1" t="str">
        <f>_xlfn.CONCAT(H422,I422,J422)</f>
        <v>DAURDE</v>
      </c>
    </row>
    <row r="423" spans="2:17">
      <c r="B423" s="1" t="s">
        <v>255</v>
      </c>
      <c r="C423" s="1" t="s">
        <v>256</v>
      </c>
      <c r="D423" s="52">
        <v>46059.638888888891</v>
      </c>
      <c r="E423" s="52">
        <v>46059.638888888891</v>
      </c>
      <c r="F423" s="52">
        <v>46059.65625</v>
      </c>
      <c r="G423" s="53">
        <v>1.7361111111111112E-2</v>
      </c>
      <c r="H423" s="1" t="s">
        <v>257</v>
      </c>
      <c r="J423" s="1" t="s">
        <v>258</v>
      </c>
      <c r="K423" s="1" t="s">
        <v>658</v>
      </c>
      <c r="L423" s="1" t="s">
        <v>710</v>
      </c>
      <c r="M423" s="1" t="s">
        <v>260</v>
      </c>
      <c r="N423" s="1" t="s">
        <v>357</v>
      </c>
      <c r="O423" s="1" t="s">
        <v>632</v>
      </c>
      <c r="P423" s="1" t="str">
        <f>_xlfn.CONCAT(B423,C423,D423,E423,F423)</f>
        <v>BC Formoso2.1Inverter(MBUS-12)46059,638888888946059,638888888946059,65625</v>
      </c>
      <c r="Q423" s="1" t="str">
        <f>_xlfn.CONCAT(H423,I423,J423)</f>
        <v>DAURDE</v>
      </c>
    </row>
    <row r="424" spans="2:17">
      <c r="B424" s="1" t="s">
        <v>255</v>
      </c>
      <c r="C424" s="1" t="s">
        <v>263</v>
      </c>
      <c r="D424" s="52">
        <v>46059.638888888891</v>
      </c>
      <c r="E424" s="52">
        <v>46059.638888888891</v>
      </c>
      <c r="F424" s="52">
        <v>46059.65625</v>
      </c>
      <c r="G424" s="53">
        <v>1.7361111111111112E-2</v>
      </c>
      <c r="H424" s="1" t="s">
        <v>257</v>
      </c>
      <c r="J424" s="1" t="s">
        <v>258</v>
      </c>
      <c r="K424" s="1" t="s">
        <v>658</v>
      </c>
      <c r="L424" s="1" t="s">
        <v>710</v>
      </c>
      <c r="M424" s="1" t="s">
        <v>260</v>
      </c>
      <c r="N424" s="1" t="s">
        <v>357</v>
      </c>
      <c r="O424" s="1" t="s">
        <v>632</v>
      </c>
      <c r="P424" s="1" t="str">
        <f>_xlfn.CONCAT(B424,C424,D424,E424,F424)</f>
        <v>BC Formoso2.1Inverter(MBUS-14)46059,638888888946059,638888888946059,65625</v>
      </c>
      <c r="Q424" s="1" t="str">
        <f>_xlfn.CONCAT(H424,I424,J424)</f>
        <v>DAURDE</v>
      </c>
    </row>
    <row r="425" spans="2:17">
      <c r="B425" s="1" t="s">
        <v>255</v>
      </c>
      <c r="C425" s="1" t="s">
        <v>264</v>
      </c>
      <c r="D425" s="52">
        <v>46059.638888888891</v>
      </c>
      <c r="E425" s="52">
        <v>46059.638888888891</v>
      </c>
      <c r="F425" s="52">
        <v>46059.65625</v>
      </c>
      <c r="G425" s="53">
        <v>1.7361111111111112E-2</v>
      </c>
      <c r="H425" s="1" t="s">
        <v>257</v>
      </c>
      <c r="J425" s="1" t="s">
        <v>258</v>
      </c>
      <c r="K425" s="1" t="s">
        <v>658</v>
      </c>
      <c r="L425" s="1" t="s">
        <v>710</v>
      </c>
      <c r="M425" s="1" t="s">
        <v>260</v>
      </c>
      <c r="N425" s="1" t="s">
        <v>357</v>
      </c>
      <c r="O425" s="1" t="s">
        <v>632</v>
      </c>
      <c r="P425" s="1" t="str">
        <f>_xlfn.CONCAT(B425,C425,D425,E425,F425)</f>
        <v>BC Formoso2.1Inverter(MBUS-13)46059,638888888946059,638888888946059,65625</v>
      </c>
      <c r="Q425" s="1" t="str">
        <f>_xlfn.CONCAT(H425,I425,J425)</f>
        <v>DAURDE</v>
      </c>
    </row>
    <row r="426" spans="2:17">
      <c r="B426" s="1" t="s">
        <v>255</v>
      </c>
      <c r="C426" s="1" t="s">
        <v>247</v>
      </c>
      <c r="D426" s="52">
        <v>46059.638888888891</v>
      </c>
      <c r="E426" s="52">
        <v>46059.638888888891</v>
      </c>
      <c r="F426" s="52">
        <v>46059.65625</v>
      </c>
      <c r="G426" s="53">
        <v>1.7361111111111112E-2</v>
      </c>
      <c r="H426" s="1" t="s">
        <v>257</v>
      </c>
      <c r="J426" s="1" t="s">
        <v>258</v>
      </c>
      <c r="K426" s="1" t="s">
        <v>658</v>
      </c>
      <c r="L426" s="1" t="s">
        <v>710</v>
      </c>
      <c r="M426" s="1" t="s">
        <v>260</v>
      </c>
      <c r="N426" s="1" t="s">
        <v>357</v>
      </c>
      <c r="O426" s="1" t="s">
        <v>632</v>
      </c>
      <c r="P426" s="1" t="str">
        <f>_xlfn.CONCAT(B426,C426,D426,E426,F426)</f>
        <v>BC Formoso2.1Inverter(MBUS-1)46059,638888888946059,638888888946059,65625</v>
      </c>
      <c r="Q426" s="1" t="str">
        <f>_xlfn.CONCAT(H426,I426,J426)</f>
        <v>DAURDE</v>
      </c>
    </row>
    <row r="427" spans="2:17">
      <c r="B427" s="1" t="s">
        <v>327</v>
      </c>
      <c r="C427" s="1" t="s">
        <v>247</v>
      </c>
      <c r="D427" s="52">
        <v>46059.702777777777</v>
      </c>
      <c r="E427" s="52">
        <v>46059.702777777777</v>
      </c>
      <c r="F427" s="52">
        <v>46060.28402777778</v>
      </c>
      <c r="G427" s="53">
        <v>0.58125000000000004</v>
      </c>
      <c r="H427" s="1" t="s">
        <v>257</v>
      </c>
      <c r="J427" s="1" t="s">
        <v>258</v>
      </c>
      <c r="K427" s="1" t="s">
        <v>658</v>
      </c>
      <c r="L427" s="1" t="s">
        <v>711</v>
      </c>
      <c r="M427" s="1" t="s">
        <v>260</v>
      </c>
      <c r="N427" s="1" t="s">
        <v>357</v>
      </c>
      <c r="O427" s="1" t="s">
        <v>632</v>
      </c>
      <c r="P427" s="1" t="str">
        <f>_xlfn.CONCAT(B427,C427,D427,E427,F427)</f>
        <v>BC Aracu5.1Inverter(MBUS-1)46059,702777777846059,702777777846060,2840277778</v>
      </c>
      <c r="Q427" s="1" t="str">
        <f>_xlfn.CONCAT(H427,I427,J427)</f>
        <v>DAURDE</v>
      </c>
    </row>
    <row r="428" spans="2:17">
      <c r="B428" s="1" t="s">
        <v>328</v>
      </c>
      <c r="C428" s="1" t="s">
        <v>247</v>
      </c>
      <c r="D428" s="52">
        <v>46059.702777777777</v>
      </c>
      <c r="E428" s="52">
        <v>46059.702777777777</v>
      </c>
      <c r="F428" s="52">
        <v>46060.28402777778</v>
      </c>
      <c r="G428" s="53">
        <v>0.58125000000000004</v>
      </c>
      <c r="H428" s="1" t="s">
        <v>257</v>
      </c>
      <c r="J428" s="1" t="s">
        <v>258</v>
      </c>
      <c r="K428" s="1" t="s">
        <v>658</v>
      </c>
      <c r="L428" s="1" t="s">
        <v>711</v>
      </c>
      <c r="M428" s="1" t="s">
        <v>289</v>
      </c>
      <c r="N428" s="1" t="s">
        <v>253</v>
      </c>
      <c r="O428" s="1" t="s">
        <v>712</v>
      </c>
      <c r="P428" s="1" t="str">
        <f>_xlfn.CONCAT(B428,C428,D429,E428,F428)</f>
        <v>BC Aracu5.3Inverter(MBUS-1)46059,702777777846059,702777777846060,2840277778</v>
      </c>
      <c r="Q428" s="1" t="str">
        <f>_xlfn.CONCAT(H428,I428,J428)</f>
        <v>DAURDE</v>
      </c>
    </row>
    <row r="429" spans="2:17">
      <c r="B429" s="1" t="s">
        <v>329</v>
      </c>
      <c r="C429" s="1" t="s">
        <v>247</v>
      </c>
      <c r="D429" s="52">
        <v>46059.702777777777</v>
      </c>
      <c r="E429" s="52">
        <v>46059.702777777777</v>
      </c>
      <c r="F429" s="52">
        <v>46060.28402777778</v>
      </c>
      <c r="G429" s="53">
        <v>0.58125000000000004</v>
      </c>
      <c r="H429" s="1" t="s">
        <v>257</v>
      </c>
      <c r="J429" s="1" t="s">
        <v>258</v>
      </c>
      <c r="K429" s="1" t="s">
        <v>658</v>
      </c>
      <c r="L429" s="1" t="s">
        <v>711</v>
      </c>
      <c r="M429" s="1" t="s">
        <v>289</v>
      </c>
      <c r="N429" s="1" t="s">
        <v>253</v>
      </c>
      <c r="O429" s="1" t="s">
        <v>712</v>
      </c>
      <c r="P429" s="1" t="str">
        <f>_xlfn.CONCAT(B429,C429,D430,E429,F429)</f>
        <v>BC Aracu5.4Inverter(MBUS-1)46059,702777777846059,702777777846060,2840277778</v>
      </c>
      <c r="Q429" s="1" t="str">
        <f>_xlfn.CONCAT(H429,I429,J429)</f>
        <v>DAURDE</v>
      </c>
    </row>
    <row r="430" spans="2:17">
      <c r="B430" s="1" t="s">
        <v>330</v>
      </c>
      <c r="C430" s="1" t="s">
        <v>247</v>
      </c>
      <c r="D430" s="52">
        <v>46059.702777777777</v>
      </c>
      <c r="E430" s="52">
        <v>46059.702777777777</v>
      </c>
      <c r="F430" s="52">
        <v>46060.28402777778</v>
      </c>
      <c r="G430" s="53">
        <v>0.58125000000000004</v>
      </c>
      <c r="H430" s="1" t="s">
        <v>257</v>
      </c>
      <c r="J430" s="1" t="s">
        <v>258</v>
      </c>
      <c r="K430" s="1" t="s">
        <v>658</v>
      </c>
      <c r="L430" s="1" t="s">
        <v>711</v>
      </c>
      <c r="M430" s="1" t="s">
        <v>289</v>
      </c>
      <c r="N430" s="1" t="s">
        <v>253</v>
      </c>
      <c r="O430" s="1" t="s">
        <v>712</v>
      </c>
      <c r="P430" s="1" t="str">
        <f>_xlfn.CONCAT(B430,C430,D431,E430,F430)</f>
        <v>BC Aracu5.5Inverter(MBUS-1)46059,750694444446059,702777777846060,2840277778</v>
      </c>
      <c r="Q430" s="1" t="str">
        <f>_xlfn.CONCAT(H430,I430,J430)</f>
        <v>DAURDE</v>
      </c>
    </row>
    <row r="431" spans="2:17">
      <c r="B431" s="1" t="s">
        <v>305</v>
      </c>
      <c r="C431" s="1" t="s">
        <v>256</v>
      </c>
      <c r="D431" s="52">
        <v>46059.750694444447</v>
      </c>
      <c r="E431" s="52">
        <v>46059.750694444447</v>
      </c>
      <c r="F431" s="52">
        <v>46059.868055555555</v>
      </c>
      <c r="G431" s="53">
        <v>0.11736111111111111</v>
      </c>
      <c r="H431" s="1" t="s">
        <v>257</v>
      </c>
      <c r="J431" s="1" t="s">
        <v>258</v>
      </c>
      <c r="K431" s="1" t="s">
        <v>658</v>
      </c>
      <c r="L431" s="1" t="s">
        <v>713</v>
      </c>
      <c r="M431" s="1" t="s">
        <v>289</v>
      </c>
      <c r="N431" s="1" t="s">
        <v>253</v>
      </c>
      <c r="O431" s="1" t="s">
        <v>712</v>
      </c>
      <c r="P431" s="1" t="str">
        <f>_xlfn.CONCAT(B431,C431,D432,E431,F431)</f>
        <v>ARAGUATINS 1.1Inverter(MBUS-12)46059,750694444446059,750694444446059,8680555556</v>
      </c>
      <c r="Q431" s="1" t="str">
        <f>_xlfn.CONCAT(H431,I431,J431)</f>
        <v>DAURDE</v>
      </c>
    </row>
    <row r="432" spans="2:17">
      <c r="B432" s="1" t="s">
        <v>305</v>
      </c>
      <c r="C432" s="1" t="s">
        <v>264</v>
      </c>
      <c r="D432" s="52">
        <v>46059.750694444447</v>
      </c>
      <c r="E432" s="52">
        <v>46059.750694444447</v>
      </c>
      <c r="F432" s="52">
        <v>46059.868055555555</v>
      </c>
      <c r="G432" s="53">
        <v>0.11736111111111111</v>
      </c>
      <c r="H432" s="1" t="s">
        <v>257</v>
      </c>
      <c r="J432" s="1" t="s">
        <v>258</v>
      </c>
      <c r="K432" s="1" t="s">
        <v>658</v>
      </c>
      <c r="L432" s="1" t="s">
        <v>713</v>
      </c>
      <c r="M432" s="1" t="s">
        <v>289</v>
      </c>
      <c r="N432" s="1" t="s">
        <v>253</v>
      </c>
      <c r="O432" s="1" t="s">
        <v>714</v>
      </c>
      <c r="P432" s="1" t="str">
        <f>_xlfn.CONCAT(B432,C432,D432,E432,F432)</f>
        <v>ARAGUATINS 1.1Inverter(MBUS-13)46059,750694444446059,750694444446059,8680555556</v>
      </c>
      <c r="Q432" s="1" t="str">
        <f>_xlfn.CONCAT(H432,I432,J432)</f>
        <v>DAURDE</v>
      </c>
    </row>
    <row r="433" spans="2:17">
      <c r="B433" s="1" t="s">
        <v>305</v>
      </c>
      <c r="C433" s="1" t="s">
        <v>263</v>
      </c>
      <c r="D433" s="52">
        <v>46059.750694444447</v>
      </c>
      <c r="E433" s="52">
        <v>46059.750694444447</v>
      </c>
      <c r="F433" s="52">
        <v>46059.868055555555</v>
      </c>
      <c r="G433" s="53">
        <v>0.11736111111111111</v>
      </c>
      <c r="H433" s="1" t="s">
        <v>257</v>
      </c>
      <c r="J433" s="1" t="s">
        <v>258</v>
      </c>
      <c r="K433" s="1" t="s">
        <v>658</v>
      </c>
      <c r="L433" s="1" t="s">
        <v>713</v>
      </c>
      <c r="M433" s="1" t="s">
        <v>289</v>
      </c>
      <c r="N433" s="1" t="s">
        <v>253</v>
      </c>
      <c r="O433" s="1" t="s">
        <v>714</v>
      </c>
      <c r="P433" s="1" t="str">
        <f>_xlfn.CONCAT(B433,C433,D433,E433,F433)</f>
        <v>ARAGUATINS 1.1Inverter(MBUS-14)46059,750694444446059,750694444446059,8680555556</v>
      </c>
      <c r="Q433" s="1" t="str">
        <f>_xlfn.CONCAT(H433,I433,J433)</f>
        <v>DAURDE</v>
      </c>
    </row>
    <row r="434" spans="2:17">
      <c r="B434" s="1" t="s">
        <v>305</v>
      </c>
      <c r="C434" s="1" t="s">
        <v>307</v>
      </c>
      <c r="D434" s="52">
        <v>46059.750694444447</v>
      </c>
      <c r="E434" s="52">
        <v>46059.750694444447</v>
      </c>
      <c r="F434" s="52">
        <v>46059.868055555555</v>
      </c>
      <c r="G434" s="53">
        <v>0.11736111111111111</v>
      </c>
      <c r="H434" s="1" t="s">
        <v>257</v>
      </c>
      <c r="J434" s="1" t="s">
        <v>258</v>
      </c>
      <c r="K434" s="1" t="s">
        <v>658</v>
      </c>
      <c r="L434" s="1" t="s">
        <v>713</v>
      </c>
      <c r="M434" s="1" t="s">
        <v>289</v>
      </c>
      <c r="N434" s="1" t="s">
        <v>253</v>
      </c>
      <c r="O434" s="1" t="s">
        <v>714</v>
      </c>
      <c r="P434" s="1" t="str">
        <f>_xlfn.CONCAT(B434,C434,D434,E434,F434)</f>
        <v>ARAGUATINS 1.1Inverter(MBUS-15)46059,750694444446059,750694444446059,8680555556</v>
      </c>
      <c r="Q434" s="1" t="str">
        <f>_xlfn.CONCAT(H434,I434,J434)</f>
        <v>DAURDE</v>
      </c>
    </row>
    <row r="435" spans="2:17">
      <c r="B435" s="1" t="s">
        <v>308</v>
      </c>
      <c r="C435" s="1" t="s">
        <v>256</v>
      </c>
      <c r="D435" s="52">
        <v>46059.750694444447</v>
      </c>
      <c r="E435" s="52">
        <v>46059.750694444447</v>
      </c>
      <c r="F435" s="52">
        <v>46059.868055555555</v>
      </c>
      <c r="G435" s="53">
        <v>0.11736111111111111</v>
      </c>
      <c r="H435" s="1" t="s">
        <v>257</v>
      </c>
      <c r="J435" s="1" t="s">
        <v>258</v>
      </c>
      <c r="K435" s="1" t="s">
        <v>658</v>
      </c>
      <c r="L435" s="1" t="s">
        <v>713</v>
      </c>
      <c r="M435" s="1" t="s">
        <v>289</v>
      </c>
      <c r="N435" s="1" t="s">
        <v>253</v>
      </c>
      <c r="O435" s="1" t="s">
        <v>714</v>
      </c>
      <c r="P435" s="1" t="str">
        <f>_xlfn.CONCAT(B435,C435,D435,E435,F435)</f>
        <v>ARAGUATINS 1.2Inverter(MBUS-12)46059,750694444446059,750694444446059,8680555556</v>
      </c>
      <c r="Q435" s="1" t="str">
        <f>_xlfn.CONCAT(H435,I435,J435)</f>
        <v>DAURDE</v>
      </c>
    </row>
    <row r="436" spans="2:17">
      <c r="B436" s="1" t="s">
        <v>308</v>
      </c>
      <c r="C436" s="1" t="s">
        <v>264</v>
      </c>
      <c r="D436" s="52">
        <v>46059.750694444447</v>
      </c>
      <c r="E436" s="52">
        <v>46059.750694444447</v>
      </c>
      <c r="F436" s="52">
        <v>46059.868055555555</v>
      </c>
      <c r="G436" s="53">
        <v>0.11736111111111111</v>
      </c>
      <c r="H436" s="1" t="s">
        <v>257</v>
      </c>
      <c r="J436" s="1" t="s">
        <v>258</v>
      </c>
      <c r="K436" s="1" t="s">
        <v>658</v>
      </c>
      <c r="L436" s="1" t="s">
        <v>713</v>
      </c>
      <c r="M436" s="1" t="s">
        <v>289</v>
      </c>
      <c r="N436" s="1" t="s">
        <v>253</v>
      </c>
      <c r="O436" s="1" t="s">
        <v>714</v>
      </c>
      <c r="P436" s="1" t="str">
        <f>_xlfn.CONCAT(B436,C436,D436,E436,F436)</f>
        <v>ARAGUATINS 1.2Inverter(MBUS-13)46059,750694444446059,750694444446059,8680555556</v>
      </c>
      <c r="Q436" s="1" t="str">
        <f>_xlfn.CONCAT(H436,I436,J436)</f>
        <v>DAURDE</v>
      </c>
    </row>
    <row r="437" spans="2:17">
      <c r="B437" s="1" t="s">
        <v>308</v>
      </c>
      <c r="C437" s="1" t="s">
        <v>263</v>
      </c>
      <c r="D437" s="52">
        <v>46059.750694444447</v>
      </c>
      <c r="E437" s="52">
        <v>46059.750694444447</v>
      </c>
      <c r="F437" s="52">
        <v>46059.868055555555</v>
      </c>
      <c r="G437" s="53">
        <v>0.11736111111111111</v>
      </c>
      <c r="H437" s="1" t="s">
        <v>257</v>
      </c>
      <c r="J437" s="1" t="s">
        <v>258</v>
      </c>
      <c r="K437" s="1" t="s">
        <v>658</v>
      </c>
      <c r="L437" s="1" t="s">
        <v>713</v>
      </c>
      <c r="M437" s="1" t="s">
        <v>289</v>
      </c>
      <c r="N437" s="1" t="s">
        <v>253</v>
      </c>
      <c r="O437" s="1" t="s">
        <v>714</v>
      </c>
      <c r="P437" s="1" t="str">
        <f>_xlfn.CONCAT(B437,C437,D437,E437,F437)</f>
        <v>ARAGUATINS 1.2Inverter(MBUS-14)46059,750694444446059,750694444446059,8680555556</v>
      </c>
      <c r="Q437" s="1" t="str">
        <f>_xlfn.CONCAT(H437,I437,J437)</f>
        <v>DAURDE</v>
      </c>
    </row>
    <row r="438" spans="2:17">
      <c r="B438" s="1" t="s">
        <v>308</v>
      </c>
      <c r="C438" s="1" t="s">
        <v>307</v>
      </c>
      <c r="D438" s="52">
        <v>46059.750694444447</v>
      </c>
      <c r="E438" s="52">
        <v>46059.750694444447</v>
      </c>
      <c r="F438" s="52">
        <v>46059.868055555555</v>
      </c>
      <c r="G438" s="53">
        <v>0.11736111111111111</v>
      </c>
      <c r="H438" s="1" t="s">
        <v>257</v>
      </c>
      <c r="J438" s="1" t="s">
        <v>258</v>
      </c>
      <c r="K438" s="1" t="s">
        <v>658</v>
      </c>
      <c r="L438" s="1" t="s">
        <v>713</v>
      </c>
      <c r="M438" s="1" t="s">
        <v>289</v>
      </c>
      <c r="N438" s="1" t="s">
        <v>253</v>
      </c>
      <c r="O438" s="1" t="s">
        <v>714</v>
      </c>
      <c r="P438" s="1" t="str">
        <f>_xlfn.CONCAT(B438,C438,D438,E438,F438)</f>
        <v>ARAGUATINS 1.2Inverter(MBUS-15)46059,750694444446059,750694444446059,8680555556</v>
      </c>
      <c r="Q438" s="1" t="str">
        <f>_xlfn.CONCAT(H438,I438,J438)</f>
        <v>DAURDE</v>
      </c>
    </row>
    <row r="439" spans="2:17">
      <c r="B439" s="1" t="s">
        <v>309</v>
      </c>
      <c r="C439" s="1" t="s">
        <v>310</v>
      </c>
      <c r="D439" s="52">
        <v>46059.750694444447</v>
      </c>
      <c r="E439" s="52">
        <v>46059.750694444447</v>
      </c>
      <c r="F439" s="52">
        <v>46059.868055555555</v>
      </c>
      <c r="G439" s="53">
        <v>0.11736111111111111</v>
      </c>
      <c r="H439" s="1" t="s">
        <v>257</v>
      </c>
      <c r="J439" s="1" t="s">
        <v>258</v>
      </c>
      <c r="K439" s="1" t="s">
        <v>658</v>
      </c>
      <c r="L439" s="1" t="s">
        <v>713</v>
      </c>
      <c r="M439" s="1" t="s">
        <v>289</v>
      </c>
      <c r="N439" s="1" t="s">
        <v>253</v>
      </c>
      <c r="O439" s="1" t="s">
        <v>714</v>
      </c>
      <c r="P439" s="1" t="str">
        <f>_xlfn.CONCAT(B439,C439,D439,E439,F439)</f>
        <v>ARAGUATINS 1.3Inverter(MBUS-20)46059,750694444446059,750694444446059,8680555556</v>
      </c>
      <c r="Q439" s="1" t="str">
        <f>_xlfn.CONCAT(H439,I439,J439)</f>
        <v>DAURDE</v>
      </c>
    </row>
    <row r="440" spans="2:17">
      <c r="B440" s="1" t="s">
        <v>309</v>
      </c>
      <c r="C440" s="1" t="s">
        <v>247</v>
      </c>
      <c r="D440" s="52">
        <v>46059.750694444447</v>
      </c>
      <c r="E440" s="52">
        <v>46059.750694444447</v>
      </c>
      <c r="F440" s="52">
        <v>46059.868055555555</v>
      </c>
      <c r="G440" s="53">
        <v>0.11736111111111111</v>
      </c>
      <c r="H440" s="1" t="s">
        <v>257</v>
      </c>
      <c r="J440" s="1" t="s">
        <v>258</v>
      </c>
      <c r="K440" s="1" t="s">
        <v>658</v>
      </c>
      <c r="L440" s="1" t="s">
        <v>713</v>
      </c>
      <c r="M440" s="1" t="s">
        <v>289</v>
      </c>
      <c r="N440" s="1" t="s">
        <v>253</v>
      </c>
      <c r="O440" s="1" t="s">
        <v>714</v>
      </c>
      <c r="P440" s="1" t="str">
        <f>_xlfn.CONCAT(B440,C440,D440,E440,F440)</f>
        <v>ARAGUATINS 1.3Inverter(MBUS-1)46059,750694444446059,750694444446059,8680555556</v>
      </c>
      <c r="Q440" s="1" t="str">
        <f>_xlfn.CONCAT(H440,I440,J440)</f>
        <v>DAURDE</v>
      </c>
    </row>
    <row r="441" spans="2:17">
      <c r="B441" s="1" t="s">
        <v>311</v>
      </c>
      <c r="C441" s="1" t="s">
        <v>256</v>
      </c>
      <c r="D441" s="52">
        <v>46059.750694444447</v>
      </c>
      <c r="E441" s="52">
        <v>46059.750694444447</v>
      </c>
      <c r="F441" s="52">
        <v>46059.868055555555</v>
      </c>
      <c r="G441" s="53">
        <v>0.11736111111111111</v>
      </c>
      <c r="H441" s="1" t="s">
        <v>268</v>
      </c>
      <c r="I441" s="1" t="s">
        <v>269</v>
      </c>
      <c r="J441" s="1" t="s">
        <v>270</v>
      </c>
      <c r="K441" s="1" t="s">
        <v>674</v>
      </c>
      <c r="L441" s="1" t="s">
        <v>715</v>
      </c>
      <c r="M441" s="1" t="s">
        <v>289</v>
      </c>
      <c r="N441" s="1" t="s">
        <v>253</v>
      </c>
      <c r="O441" s="1" t="s">
        <v>714</v>
      </c>
      <c r="P441" s="1" t="str">
        <f>_xlfn.CONCAT(B441,C441,D441,E441,F441)</f>
        <v>ARAGUATINS 2.1Inverter(MBUS-12)46059,750694444446059,750694444446059,8680555556</v>
      </c>
      <c r="Q441" s="1" t="str">
        <f>_xlfn.CONCAT(H441,I441,J441)</f>
        <v>LIGRFOINT</v>
      </c>
    </row>
    <row r="442" spans="2:17">
      <c r="B442" s="1" t="s">
        <v>311</v>
      </c>
      <c r="C442" s="1" t="s">
        <v>263</v>
      </c>
      <c r="D442" s="52">
        <v>46059.750694444447</v>
      </c>
      <c r="E442" s="52">
        <v>46059.750694444447</v>
      </c>
      <c r="F442" s="52">
        <v>46059.868055555555</v>
      </c>
      <c r="G442" s="53">
        <v>0.11736111111111111</v>
      </c>
      <c r="H442" s="1" t="s">
        <v>268</v>
      </c>
      <c r="I442" s="1" t="s">
        <v>269</v>
      </c>
      <c r="J442" s="1" t="s">
        <v>270</v>
      </c>
      <c r="K442" s="1" t="s">
        <v>674</v>
      </c>
      <c r="L442" s="1" t="s">
        <v>715</v>
      </c>
      <c r="M442" s="1" t="s">
        <v>289</v>
      </c>
      <c r="N442" s="1" t="s">
        <v>253</v>
      </c>
      <c r="O442" s="1" t="s">
        <v>714</v>
      </c>
      <c r="P442" s="1" t="str">
        <f>_xlfn.CONCAT(B442,C442,D442,E442,F442)</f>
        <v>ARAGUATINS 2.1Inverter(MBUS-14)46059,750694444446059,750694444446059,8680555556</v>
      </c>
      <c r="Q442" s="1" t="str">
        <f>_xlfn.CONCAT(H442,I442,J442)</f>
        <v>LIGRFOINT</v>
      </c>
    </row>
    <row r="443" spans="2:17">
      <c r="B443" s="1" t="s">
        <v>311</v>
      </c>
      <c r="C443" s="1" t="s">
        <v>247</v>
      </c>
      <c r="D443" s="52">
        <v>46059.750694444447</v>
      </c>
      <c r="E443" s="52">
        <v>46059.750694444447</v>
      </c>
      <c r="F443" s="52">
        <v>46059.868055555555</v>
      </c>
      <c r="G443" s="53">
        <v>0.11736111111111111</v>
      </c>
      <c r="H443" s="1" t="s">
        <v>268</v>
      </c>
      <c r="I443" s="1" t="s">
        <v>269</v>
      </c>
      <c r="J443" s="1" t="s">
        <v>270</v>
      </c>
      <c r="K443" s="1" t="s">
        <v>674</v>
      </c>
      <c r="L443" s="1" t="s">
        <v>715</v>
      </c>
      <c r="M443" s="1" t="s">
        <v>289</v>
      </c>
      <c r="N443" s="1" t="s">
        <v>253</v>
      </c>
      <c r="O443" s="1" t="s">
        <v>714</v>
      </c>
      <c r="P443" s="1" t="str">
        <f>_xlfn.CONCAT(B443,C443,D443,E443,F443)</f>
        <v>ARAGUATINS 2.1Inverter(MBUS-1)46059,750694444446059,750694444446059,8680555556</v>
      </c>
      <c r="Q443" s="1" t="str">
        <f>_xlfn.CONCAT(H443,I443,J443)</f>
        <v>LIGRFOINT</v>
      </c>
    </row>
    <row r="444" spans="2:17">
      <c r="B444" s="1" t="s">
        <v>311</v>
      </c>
      <c r="C444" s="1" t="s">
        <v>574</v>
      </c>
      <c r="D444" s="52">
        <v>46059.750694444447</v>
      </c>
      <c r="E444" s="52">
        <v>46059.750694444447</v>
      </c>
      <c r="F444" s="52">
        <v>46059.868055555555</v>
      </c>
      <c r="G444" s="53">
        <v>0.11736111111111111</v>
      </c>
      <c r="H444" s="1" t="s">
        <v>268</v>
      </c>
      <c r="I444" s="1" t="s">
        <v>269</v>
      </c>
      <c r="J444" s="1" t="s">
        <v>270</v>
      </c>
      <c r="K444" s="1" t="s">
        <v>674</v>
      </c>
      <c r="L444" s="1" t="s">
        <v>715</v>
      </c>
      <c r="M444" s="1" t="s">
        <v>289</v>
      </c>
      <c r="N444" s="1" t="s">
        <v>253</v>
      </c>
      <c r="O444" s="1" t="s">
        <v>714</v>
      </c>
      <c r="P444" s="1" t="str">
        <f>_xlfn.CONCAT(B444,C444,D444,E444,F444)</f>
        <v>ARAGUATINS 2.1Inverter(MBUS-11)46059,750694444446059,750694444446059,8680555556</v>
      </c>
      <c r="Q444" s="1" t="str">
        <f>_xlfn.CONCAT(H444,I444,J444)</f>
        <v>LIGRFOINT</v>
      </c>
    </row>
    <row r="445" spans="2:17">
      <c r="B445" s="1" t="s">
        <v>311</v>
      </c>
      <c r="C445" s="1" t="s">
        <v>256</v>
      </c>
      <c r="D445" s="52">
        <v>46060.256249999999</v>
      </c>
      <c r="E445" s="52">
        <v>46060.256249999999</v>
      </c>
      <c r="F445" s="52">
        <v>46064.704861111109</v>
      </c>
      <c r="G445" s="53">
        <v>4.4486111111111111</v>
      </c>
      <c r="H445" s="1" t="s">
        <v>257</v>
      </c>
      <c r="J445" s="1" t="s">
        <v>371</v>
      </c>
      <c r="K445" s="1" t="s">
        <v>653</v>
      </c>
      <c r="L445" s="1" t="s">
        <v>716</v>
      </c>
      <c r="M445" s="1" t="s">
        <v>289</v>
      </c>
      <c r="N445" s="1" t="s">
        <v>253</v>
      </c>
      <c r="O445" s="1" t="s">
        <v>714</v>
      </c>
      <c r="P445" s="1" t="str">
        <f>_xlfn.CONCAT(B445,C445,D445,E445,F445)</f>
        <v>ARAGUATINS 2.1Inverter(MBUS-12)46060,2562546060,2562546064,7048611111</v>
      </c>
      <c r="Q445" s="1" t="str">
        <f>_xlfn.CONCAT(H445,I445,J445)</f>
        <v>DAUINV</v>
      </c>
    </row>
    <row r="446" spans="2:17">
      <c r="B446" s="1" t="s">
        <v>311</v>
      </c>
      <c r="C446" s="1" t="s">
        <v>263</v>
      </c>
      <c r="D446" s="52">
        <v>46060.256249999999</v>
      </c>
      <c r="E446" s="52">
        <v>46060.256249999999</v>
      </c>
      <c r="F446" s="52">
        <v>46064.482638888891</v>
      </c>
      <c r="G446" s="53">
        <v>4.2263888888888888</v>
      </c>
      <c r="H446" s="1" t="s">
        <v>257</v>
      </c>
      <c r="J446" s="1" t="s">
        <v>371</v>
      </c>
      <c r="K446" s="1" t="s">
        <v>653</v>
      </c>
      <c r="L446" s="1" t="s">
        <v>716</v>
      </c>
      <c r="M446" s="1" t="s">
        <v>289</v>
      </c>
      <c r="N446" s="1" t="s">
        <v>253</v>
      </c>
      <c r="O446" s="1" t="s">
        <v>714</v>
      </c>
      <c r="P446" s="1" t="str">
        <f>_xlfn.CONCAT(B446,C446,D446,E446,F446)</f>
        <v>ARAGUATINS 2.1Inverter(MBUS-14)46060,2562546060,2562546064,4826388889</v>
      </c>
      <c r="Q446" s="1" t="str">
        <f>_xlfn.CONCAT(H446,I446,J446)</f>
        <v>DAUINV</v>
      </c>
    </row>
    <row r="447" spans="2:17">
      <c r="B447" s="1" t="s">
        <v>327</v>
      </c>
      <c r="C447" s="1" t="s">
        <v>247</v>
      </c>
      <c r="D447" s="52">
        <v>46060.509722222225</v>
      </c>
      <c r="E447" s="52">
        <v>46060.509722222225</v>
      </c>
      <c r="F447" s="52">
        <v>46060.520833333336</v>
      </c>
      <c r="G447" s="53">
        <v>1.1111111111111112E-2</v>
      </c>
      <c r="H447" s="1" t="s">
        <v>257</v>
      </c>
      <c r="J447" s="1" t="s">
        <v>258</v>
      </c>
      <c r="K447" s="1" t="s">
        <v>658</v>
      </c>
      <c r="L447" s="1" t="s">
        <v>711</v>
      </c>
      <c r="M447" s="1" t="s">
        <v>289</v>
      </c>
      <c r="N447" s="1" t="s">
        <v>253</v>
      </c>
      <c r="O447" s="1" t="s">
        <v>714</v>
      </c>
      <c r="P447" s="1" t="str">
        <f>_xlfn.CONCAT(B447,C447,D447,E447,F447)</f>
        <v>BC Aracu5.1Inverter(MBUS-1)46060,509722222246060,509722222246060,5208333333</v>
      </c>
      <c r="Q447" s="1" t="str">
        <f>_xlfn.CONCAT(H447,I447,J447)</f>
        <v>DAURDE</v>
      </c>
    </row>
    <row r="448" spans="2:17">
      <c r="B448" s="1" t="s">
        <v>328</v>
      </c>
      <c r="C448" s="1" t="s">
        <v>247</v>
      </c>
      <c r="D448" s="52">
        <v>46060.509722222225</v>
      </c>
      <c r="E448" s="52">
        <v>46060.509722222225</v>
      </c>
      <c r="F448" s="52">
        <v>46060.520833333336</v>
      </c>
      <c r="G448" s="53">
        <v>1.1111111111111112E-2</v>
      </c>
      <c r="H448" s="1" t="s">
        <v>257</v>
      </c>
      <c r="J448" s="1" t="s">
        <v>258</v>
      </c>
      <c r="K448" s="1" t="s">
        <v>658</v>
      </c>
      <c r="L448" s="1" t="s">
        <v>711</v>
      </c>
      <c r="M448" s="1" t="s">
        <v>289</v>
      </c>
      <c r="N448" s="1" t="s">
        <v>253</v>
      </c>
      <c r="O448" s="1" t="s">
        <v>714</v>
      </c>
      <c r="P448" s="1" t="str">
        <f>_xlfn.CONCAT(B448,C448,D448,E448,F448)</f>
        <v>BC Aracu5.3Inverter(MBUS-1)46060,509722222246060,509722222246060,5208333333</v>
      </c>
      <c r="Q448" s="1" t="str">
        <f>_xlfn.CONCAT(H448,I448,J448)</f>
        <v>DAURDE</v>
      </c>
    </row>
    <row r="449" spans="2:17">
      <c r="B449" s="1" t="s">
        <v>329</v>
      </c>
      <c r="C449" s="1" t="s">
        <v>247</v>
      </c>
      <c r="D449" s="52">
        <v>46060.509722222225</v>
      </c>
      <c r="E449" s="52">
        <v>46060.509722222225</v>
      </c>
      <c r="F449" s="52">
        <v>46060.520833333336</v>
      </c>
      <c r="G449" s="53">
        <v>1.1111111111111112E-2</v>
      </c>
      <c r="H449" s="1" t="s">
        <v>257</v>
      </c>
      <c r="J449" s="1" t="s">
        <v>258</v>
      </c>
      <c r="K449" s="1" t="s">
        <v>658</v>
      </c>
      <c r="L449" s="1" t="s">
        <v>711</v>
      </c>
      <c r="M449" s="1" t="s">
        <v>289</v>
      </c>
      <c r="N449" s="1" t="s">
        <v>253</v>
      </c>
      <c r="O449" s="1" t="s">
        <v>714</v>
      </c>
      <c r="P449" s="1" t="str">
        <f>_xlfn.CONCAT(B449,C449,D449,E449,F449)</f>
        <v>BC Aracu5.4Inverter(MBUS-1)46060,509722222246060,509722222246060,5208333333</v>
      </c>
      <c r="Q449" s="1" t="str">
        <f>_xlfn.CONCAT(H449,I449,J449)</f>
        <v>DAURDE</v>
      </c>
    </row>
    <row r="450" spans="2:17">
      <c r="B450" s="1" t="s">
        <v>330</v>
      </c>
      <c r="C450" s="1" t="s">
        <v>247</v>
      </c>
      <c r="D450" s="52">
        <v>46060.509722222225</v>
      </c>
      <c r="E450" s="52">
        <v>46060.509722222225</v>
      </c>
      <c r="F450" s="52">
        <v>46060.520833333336</v>
      </c>
      <c r="G450" s="53">
        <v>1.1111111111111112E-2</v>
      </c>
      <c r="H450" s="1" t="s">
        <v>257</v>
      </c>
      <c r="J450" s="1" t="s">
        <v>258</v>
      </c>
      <c r="K450" s="1" t="s">
        <v>658</v>
      </c>
      <c r="L450" s="1" t="s">
        <v>711</v>
      </c>
      <c r="M450" s="1" t="s">
        <v>260</v>
      </c>
      <c r="N450" s="1" t="s">
        <v>357</v>
      </c>
      <c r="O450" s="1" t="s">
        <v>632</v>
      </c>
      <c r="P450" s="1" t="str">
        <f>_xlfn.CONCAT(B450,C450,D451,E450,F450)</f>
        <v>BC Aracu5.5Inverter(MBUS-1)46060,592361111146060,509722222246060,5208333333</v>
      </c>
      <c r="Q450" s="1" t="str">
        <f>_xlfn.CONCAT(H450,I450,J450)</f>
        <v>DAURDE</v>
      </c>
    </row>
    <row r="451" spans="2:17">
      <c r="B451" s="1" t="s">
        <v>393</v>
      </c>
      <c r="C451" s="1" t="s">
        <v>394</v>
      </c>
      <c r="D451" s="52">
        <v>46060.592361111114</v>
      </c>
      <c r="E451" s="52">
        <v>46060.592361111114</v>
      </c>
      <c r="F451" s="52">
        <v>46060.681250000001</v>
      </c>
      <c r="G451" s="53">
        <v>8.8888888888888892E-2</v>
      </c>
      <c r="H451" s="1" t="s">
        <v>677</v>
      </c>
      <c r="J451" s="1" t="s">
        <v>230</v>
      </c>
      <c r="K451" s="1" t="s">
        <v>230</v>
      </c>
      <c r="L451" s="1" t="s">
        <v>717</v>
      </c>
      <c r="M451" s="1" t="s">
        <v>260</v>
      </c>
      <c r="N451" s="1" t="s">
        <v>357</v>
      </c>
      <c r="O451" s="1" t="s">
        <v>632</v>
      </c>
      <c r="P451" s="1" t="str">
        <f>_xlfn.CONCAT(B451,C451,D452,E451,F451)</f>
        <v>BC ParanoaSG60KTL(COM1-014)_001_01346060,592361111146060,592361111146060,68125</v>
      </c>
      <c r="Q451" s="1" t="str">
        <f>_xlfn.CONCAT(H451,I451,J451)</f>
        <v>DPRUFV</v>
      </c>
    </row>
    <row r="452" spans="2:17">
      <c r="B452" s="1" t="s">
        <v>393</v>
      </c>
      <c r="C452" s="1" t="s">
        <v>395</v>
      </c>
      <c r="D452" s="52">
        <v>46060.592361111114</v>
      </c>
      <c r="E452" s="52">
        <v>46060.592361111114</v>
      </c>
      <c r="F452" s="52">
        <v>46060.681250000001</v>
      </c>
      <c r="G452" s="53">
        <v>8.8888888888888892E-2</v>
      </c>
      <c r="H452" s="1" t="s">
        <v>677</v>
      </c>
      <c r="J452" s="1" t="s">
        <v>230</v>
      </c>
      <c r="K452" s="1" t="s">
        <v>230</v>
      </c>
      <c r="L452" s="1" t="s">
        <v>717</v>
      </c>
      <c r="M452" s="1" t="s">
        <v>260</v>
      </c>
      <c r="N452" s="1" t="s">
        <v>357</v>
      </c>
      <c r="O452" s="1" t="s">
        <v>632</v>
      </c>
      <c r="P452" s="1" t="str">
        <f>_xlfn.CONCAT(B452,C452,D453,E452,F452)</f>
        <v>BC ParanoaSG60KTL(COM1-013)_001_01046060,592361111146060,592361111146060,68125</v>
      </c>
      <c r="Q452" s="1" t="str">
        <f>_xlfn.CONCAT(H452,I452,J452)</f>
        <v>DPRUFV</v>
      </c>
    </row>
    <row r="453" spans="2:17">
      <c r="B453" s="1" t="s">
        <v>393</v>
      </c>
      <c r="C453" s="1" t="s">
        <v>396</v>
      </c>
      <c r="D453" s="52">
        <v>46060.592361111114</v>
      </c>
      <c r="E453" s="52">
        <v>46060.592361111114</v>
      </c>
      <c r="F453" s="52">
        <v>46060.681250000001</v>
      </c>
      <c r="G453" s="53">
        <v>8.8888888888888892E-2</v>
      </c>
      <c r="H453" s="1" t="s">
        <v>677</v>
      </c>
      <c r="J453" s="1" t="s">
        <v>230</v>
      </c>
      <c r="K453" s="1" t="s">
        <v>230</v>
      </c>
      <c r="L453" s="1" t="s">
        <v>717</v>
      </c>
      <c r="M453" s="1" t="s">
        <v>260</v>
      </c>
      <c r="N453" s="1" t="s">
        <v>357</v>
      </c>
      <c r="O453" s="1" t="s">
        <v>632</v>
      </c>
      <c r="P453" s="1" t="str">
        <f>_xlfn.CONCAT(B453,C453,D454,E453,F453)</f>
        <v>BC ParanoaSG60KTL(COM1-012)_001_01146060,592361111146060,592361111146060,68125</v>
      </c>
      <c r="Q453" s="1" t="str">
        <f>_xlfn.CONCAT(H453,I453,J453)</f>
        <v>DPRUFV</v>
      </c>
    </row>
    <row r="454" spans="2:17" ht="60.75">
      <c r="B454" s="66" t="s">
        <v>393</v>
      </c>
      <c r="C454" s="1" t="s">
        <v>397</v>
      </c>
      <c r="D454" s="52">
        <v>46060.592361111114</v>
      </c>
      <c r="E454" s="52">
        <v>46060.592361111114</v>
      </c>
      <c r="F454" s="52">
        <v>46060.681250000001</v>
      </c>
      <c r="G454" s="53">
        <v>8.8888888888888892E-2</v>
      </c>
      <c r="H454" s="1" t="s">
        <v>677</v>
      </c>
      <c r="J454" s="1" t="s">
        <v>230</v>
      </c>
      <c r="K454" s="1" t="s">
        <v>230</v>
      </c>
      <c r="L454" s="1" t="s">
        <v>717</v>
      </c>
      <c r="M454" s="1" t="s">
        <v>260</v>
      </c>
      <c r="N454" s="1" t="s">
        <v>357</v>
      </c>
      <c r="O454" s="72" t="s">
        <v>718</v>
      </c>
      <c r="P454" s="1" t="str">
        <f>_xlfn.CONCAT(B454,C454,D455,E454,F454)</f>
        <v>BC ParanoaSG60KTL(COM1-011)_001_00546060,592361111146060,592361111146060,68125</v>
      </c>
      <c r="Q454" s="1" t="str">
        <f>_xlfn.CONCAT(H454,I454,J454)</f>
        <v>DPRUFV</v>
      </c>
    </row>
    <row r="455" spans="2:17" ht="60.75">
      <c r="B455" s="66" t="s">
        <v>393</v>
      </c>
      <c r="C455" s="1" t="s">
        <v>398</v>
      </c>
      <c r="D455" s="52">
        <v>46060.592361111114</v>
      </c>
      <c r="E455" s="52">
        <v>46060.592361111114</v>
      </c>
      <c r="F455" s="52">
        <v>46060.681250000001</v>
      </c>
      <c r="G455" s="53">
        <v>8.8888888888888892E-2</v>
      </c>
      <c r="H455" s="1" t="s">
        <v>677</v>
      </c>
      <c r="J455" s="1" t="s">
        <v>230</v>
      </c>
      <c r="K455" s="1" t="s">
        <v>230</v>
      </c>
      <c r="L455" s="1" t="s">
        <v>717</v>
      </c>
      <c r="M455" s="1" t="s">
        <v>260</v>
      </c>
      <c r="N455" s="1" t="s">
        <v>357</v>
      </c>
      <c r="O455" s="72" t="s">
        <v>718</v>
      </c>
      <c r="P455" s="1" t="str">
        <f>_xlfn.CONCAT(B455,C455,D456,E455,F455)</f>
        <v>BC ParanoaSG60KTL(COM1-010)_001_00346060,592361111146060,592361111146060,68125</v>
      </c>
      <c r="Q455" s="1" t="str">
        <f>_xlfn.CONCAT(H455,I455,J455)</f>
        <v>DPRUFV</v>
      </c>
    </row>
    <row r="456" spans="2:17" ht="60.75">
      <c r="B456" s="66" t="s">
        <v>393</v>
      </c>
      <c r="C456" s="1" t="s">
        <v>399</v>
      </c>
      <c r="D456" s="52">
        <v>46060.592361111114</v>
      </c>
      <c r="E456" s="52">
        <v>46060.592361111114</v>
      </c>
      <c r="F456" s="52">
        <v>46060.681250000001</v>
      </c>
      <c r="G456" s="53">
        <v>8.8888888888888892E-2</v>
      </c>
      <c r="H456" s="1" t="s">
        <v>677</v>
      </c>
      <c r="J456" s="1" t="s">
        <v>230</v>
      </c>
      <c r="K456" s="1" t="s">
        <v>230</v>
      </c>
      <c r="L456" s="1" t="s">
        <v>717</v>
      </c>
      <c r="M456" s="1" t="s">
        <v>260</v>
      </c>
      <c r="N456" s="1" t="s">
        <v>357</v>
      </c>
      <c r="O456" s="72" t="s">
        <v>718</v>
      </c>
      <c r="P456" s="1" t="str">
        <f>_xlfn.CONCAT(B456,C456,D457,E456,F456)</f>
        <v>BC ParanoaSG60KTL(COM1-018)_001_01246060,592361111146060,592361111146060,68125</v>
      </c>
      <c r="Q456" s="1" t="str">
        <f>_xlfn.CONCAT(H456,I456,J456)</f>
        <v>DPRUFV</v>
      </c>
    </row>
    <row r="457" spans="2:17" ht="60.75">
      <c r="B457" s="66" t="s">
        <v>393</v>
      </c>
      <c r="C457" s="1" t="s">
        <v>400</v>
      </c>
      <c r="D457" s="52">
        <v>46060.592361111114</v>
      </c>
      <c r="E457" s="52">
        <v>46060.592361111114</v>
      </c>
      <c r="F457" s="52">
        <v>46060.681250000001</v>
      </c>
      <c r="G457" s="53">
        <v>8.8888888888888892E-2</v>
      </c>
      <c r="H457" s="1" t="s">
        <v>677</v>
      </c>
      <c r="J457" s="1" t="s">
        <v>230</v>
      </c>
      <c r="K457" s="1" t="s">
        <v>230</v>
      </c>
      <c r="L457" s="1" t="s">
        <v>717</v>
      </c>
      <c r="M457" s="1" t="s">
        <v>260</v>
      </c>
      <c r="N457" s="1" t="s">
        <v>357</v>
      </c>
      <c r="O457" s="72" t="s">
        <v>718</v>
      </c>
      <c r="P457" s="1" t="str">
        <f>_xlfn.CONCAT(B457,C457,D458,E457,F457)</f>
        <v>BC ParanoaSG60KTL(COM1-017)_001_00746060,592361111146060,592361111146060,68125</v>
      </c>
      <c r="Q457" s="1" t="str">
        <f>_xlfn.CONCAT(H457,I457,J457)</f>
        <v>DPRUFV</v>
      </c>
    </row>
    <row r="458" spans="2:17" ht="60.75">
      <c r="B458" s="66" t="s">
        <v>393</v>
      </c>
      <c r="C458" s="1" t="s">
        <v>401</v>
      </c>
      <c r="D458" s="52">
        <v>46060.592361111114</v>
      </c>
      <c r="E458" s="52">
        <v>46060.592361111114</v>
      </c>
      <c r="F458" s="52">
        <v>46060.681250000001</v>
      </c>
      <c r="G458" s="53">
        <v>8.8888888888888892E-2</v>
      </c>
      <c r="H458" s="1" t="s">
        <v>677</v>
      </c>
      <c r="J458" s="1" t="s">
        <v>230</v>
      </c>
      <c r="K458" s="1" t="s">
        <v>230</v>
      </c>
      <c r="L458" s="1" t="s">
        <v>717</v>
      </c>
      <c r="M458" s="1" t="s">
        <v>260</v>
      </c>
      <c r="N458" s="1" t="s">
        <v>357</v>
      </c>
      <c r="O458" s="72" t="s">
        <v>718</v>
      </c>
      <c r="P458" s="1" t="str">
        <f>_xlfn.CONCAT(B458,C458,D459,E458,F458)</f>
        <v>BC ParanoaSG60KTL(COM1-016)_001_00646060,592361111146060,592361111146060,68125</v>
      </c>
      <c r="Q458" s="1" t="str">
        <f>_xlfn.CONCAT(H458,I458,J458)</f>
        <v>DPRUFV</v>
      </c>
    </row>
    <row r="459" spans="2:17">
      <c r="B459" s="1" t="s">
        <v>393</v>
      </c>
      <c r="C459" s="1" t="s">
        <v>402</v>
      </c>
      <c r="D459" s="52">
        <v>46060.592361111114</v>
      </c>
      <c r="E459" s="52">
        <v>46060.592361111114</v>
      </c>
      <c r="F459" s="52">
        <v>46060.681250000001</v>
      </c>
      <c r="G459" s="53">
        <v>8.8888888888888892E-2</v>
      </c>
      <c r="H459" s="1" t="s">
        <v>677</v>
      </c>
      <c r="J459" s="1" t="s">
        <v>230</v>
      </c>
      <c r="K459" s="1" t="s">
        <v>230</v>
      </c>
      <c r="L459" s="1" t="s">
        <v>717</v>
      </c>
      <c r="M459" s="1" t="s">
        <v>260</v>
      </c>
      <c r="N459" s="1" t="s">
        <v>357</v>
      </c>
      <c r="O459" s="1" t="s">
        <v>632</v>
      </c>
      <c r="P459" s="1" t="str">
        <f>_xlfn.CONCAT(B459,C459,D459,E459,F459)</f>
        <v>BC ParanoaSG50CX(COM2-015)_001_01746060,592361111146060,592361111146060,68125</v>
      </c>
      <c r="Q459" s="1" t="str">
        <f>_xlfn.CONCAT(H459,I459,J459)</f>
        <v>DPRUFV</v>
      </c>
    </row>
    <row r="460" spans="2:17">
      <c r="B460" s="1" t="s">
        <v>393</v>
      </c>
      <c r="C460" s="1" t="s">
        <v>403</v>
      </c>
      <c r="D460" s="52">
        <v>46060.592361111114</v>
      </c>
      <c r="E460" s="52">
        <v>46060.592361111114</v>
      </c>
      <c r="F460" s="52">
        <v>46060.681250000001</v>
      </c>
      <c r="G460" s="53">
        <v>8.8888888888888892E-2</v>
      </c>
      <c r="H460" s="1" t="s">
        <v>677</v>
      </c>
      <c r="J460" s="1" t="s">
        <v>230</v>
      </c>
      <c r="K460" s="1" t="s">
        <v>230</v>
      </c>
      <c r="L460" s="1" t="s">
        <v>717</v>
      </c>
      <c r="M460" s="1" t="s">
        <v>260</v>
      </c>
      <c r="N460" s="1" t="s">
        <v>357</v>
      </c>
      <c r="O460" s="1" t="s">
        <v>632</v>
      </c>
      <c r="P460" s="1" t="str">
        <f>_xlfn.CONCAT(B460,C460,D460,E460,F460)</f>
        <v>BC ParanoaSG60KTL(COM1-009)_001_00246060,592361111146060,592361111146060,68125</v>
      </c>
      <c r="Q460" s="1" t="str">
        <f>_xlfn.CONCAT(H460,I460,J460)</f>
        <v>DPRUFV</v>
      </c>
    </row>
    <row r="461" spans="2:17">
      <c r="B461" s="1" t="s">
        <v>393</v>
      </c>
      <c r="C461" s="1" t="s">
        <v>404</v>
      </c>
      <c r="D461" s="52">
        <v>46060.592361111114</v>
      </c>
      <c r="E461" s="52">
        <v>46060.592361111114</v>
      </c>
      <c r="F461" s="52">
        <v>46060.681250000001</v>
      </c>
      <c r="G461" s="53">
        <v>8.8888888888888892E-2</v>
      </c>
      <c r="H461" s="1" t="s">
        <v>677</v>
      </c>
      <c r="J461" s="1" t="s">
        <v>230</v>
      </c>
      <c r="K461" s="1" t="s">
        <v>230</v>
      </c>
      <c r="L461" s="1" t="s">
        <v>717</v>
      </c>
      <c r="M461" s="1" t="s">
        <v>260</v>
      </c>
      <c r="N461" s="1" t="s">
        <v>357</v>
      </c>
      <c r="O461" s="1" t="s">
        <v>632</v>
      </c>
      <c r="P461" s="1" t="str">
        <f>_xlfn.CONCAT(B461,C461,D461,E461,F461)</f>
        <v>BC ParanoaSG60KTL(COM1-008)_001_00946060,592361111146060,592361111146060,68125</v>
      </c>
      <c r="Q461" s="1" t="str">
        <f>_xlfn.CONCAT(H461,I461,J461)</f>
        <v>DPRUFV</v>
      </c>
    </row>
    <row r="462" spans="2:17">
      <c r="B462" s="1" t="s">
        <v>393</v>
      </c>
      <c r="C462" s="1" t="s">
        <v>405</v>
      </c>
      <c r="D462" s="52">
        <v>46060.592361111114</v>
      </c>
      <c r="E462" s="52">
        <v>46060.592361111114</v>
      </c>
      <c r="F462" s="52">
        <v>46060.681250000001</v>
      </c>
      <c r="G462" s="53">
        <v>8.8888888888888892E-2</v>
      </c>
      <c r="H462" s="1" t="s">
        <v>677</v>
      </c>
      <c r="J462" s="1" t="s">
        <v>230</v>
      </c>
      <c r="K462" s="1" t="s">
        <v>230</v>
      </c>
      <c r="L462" s="1" t="s">
        <v>717</v>
      </c>
      <c r="M462" s="1" t="s">
        <v>260</v>
      </c>
      <c r="N462" s="1" t="s">
        <v>357</v>
      </c>
      <c r="O462" s="1" t="s">
        <v>632</v>
      </c>
      <c r="P462" s="1" t="str">
        <f>_xlfn.CONCAT(B462,C462,D462,E462,F462)</f>
        <v>BC ParanoaSG60KTL(COM1-007)_001_00446060,592361111146060,592361111146060,68125</v>
      </c>
      <c r="Q462" s="1" t="str">
        <f>_xlfn.CONCAT(H462,I462,J462)</f>
        <v>DPRUFV</v>
      </c>
    </row>
    <row r="463" spans="2:17">
      <c r="B463" s="1" t="s">
        <v>393</v>
      </c>
      <c r="C463" s="1" t="s">
        <v>406</v>
      </c>
      <c r="D463" s="52">
        <v>46060.592361111114</v>
      </c>
      <c r="E463" s="52">
        <v>46060.592361111114</v>
      </c>
      <c r="F463" s="52">
        <v>46060.681250000001</v>
      </c>
      <c r="G463" s="53">
        <v>8.8888888888888892E-2</v>
      </c>
      <c r="H463" s="1" t="s">
        <v>677</v>
      </c>
      <c r="J463" s="1" t="s">
        <v>230</v>
      </c>
      <c r="K463" s="1" t="s">
        <v>230</v>
      </c>
      <c r="L463" s="1" t="s">
        <v>717</v>
      </c>
      <c r="M463" s="1" t="s">
        <v>260</v>
      </c>
      <c r="N463" s="1" t="s">
        <v>357</v>
      </c>
      <c r="O463" s="1" t="s">
        <v>632</v>
      </c>
      <c r="P463" s="1" t="str">
        <f>_xlfn.CONCAT(B463,C463,D463,E463,F463)</f>
        <v>BC ParanoaSG60KTL(COM1-006)_001_01446060,592361111146060,592361111146060,68125</v>
      </c>
      <c r="Q463" s="1" t="str">
        <f>_xlfn.CONCAT(H463,I463,J463)</f>
        <v>DPRUFV</v>
      </c>
    </row>
    <row r="464" spans="2:17">
      <c r="B464" s="1" t="s">
        <v>393</v>
      </c>
      <c r="C464" s="1" t="s">
        <v>407</v>
      </c>
      <c r="D464" s="52">
        <v>46060.592361111114</v>
      </c>
      <c r="E464" s="52">
        <v>46060.592361111114</v>
      </c>
      <c r="F464" s="52">
        <v>46060.681250000001</v>
      </c>
      <c r="G464" s="53">
        <v>8.8888888888888892E-2</v>
      </c>
      <c r="H464" s="1" t="s">
        <v>677</v>
      </c>
      <c r="J464" s="1" t="s">
        <v>230</v>
      </c>
      <c r="K464" s="1" t="s">
        <v>230</v>
      </c>
      <c r="L464" s="1" t="s">
        <v>717</v>
      </c>
      <c r="M464" s="1" t="s">
        <v>260</v>
      </c>
      <c r="N464" s="1" t="s">
        <v>357</v>
      </c>
      <c r="O464" s="1" t="s">
        <v>632</v>
      </c>
      <c r="P464" s="1" t="str">
        <f>_xlfn.CONCAT(B464,C464,D464,E464,F464)</f>
        <v>BC ParanoaSG40CX(COM2-005)_001_01546060,592361111146060,592361111146060,68125</v>
      </c>
      <c r="Q464" s="1" t="str">
        <f>_xlfn.CONCAT(H464,I464,J464)</f>
        <v>DPRUFV</v>
      </c>
    </row>
    <row r="465" spans="2:17">
      <c r="B465" s="1" t="s">
        <v>393</v>
      </c>
      <c r="C465" s="1" t="s">
        <v>408</v>
      </c>
      <c r="D465" s="52">
        <v>46060.592361111114</v>
      </c>
      <c r="E465" s="52">
        <v>46060.592361111114</v>
      </c>
      <c r="F465" s="52">
        <v>46060.681250000001</v>
      </c>
      <c r="G465" s="53">
        <v>8.8888888888888892E-2</v>
      </c>
      <c r="H465" s="1" t="s">
        <v>677</v>
      </c>
      <c r="J465" s="1" t="s">
        <v>230</v>
      </c>
      <c r="K465" s="1" t="s">
        <v>230</v>
      </c>
      <c r="L465" s="1" t="s">
        <v>717</v>
      </c>
      <c r="M465" s="1" t="s">
        <v>260</v>
      </c>
      <c r="N465" s="1" t="s">
        <v>357</v>
      </c>
      <c r="O465" s="1" t="s">
        <v>632</v>
      </c>
      <c r="P465" s="1" t="str">
        <f>_xlfn.CONCAT(B465,C465,D465,E465,F465)</f>
        <v>BC ParanoaSG60KTL(COM1-019)_002_00746060,592361111146060,592361111146060,68125</v>
      </c>
      <c r="Q465" s="1" t="str">
        <f>_xlfn.CONCAT(H465,I465,J465)</f>
        <v>DPRUFV</v>
      </c>
    </row>
    <row r="466" spans="2:17">
      <c r="B466" s="1" t="s">
        <v>393</v>
      </c>
      <c r="C466" s="1" t="s">
        <v>409</v>
      </c>
      <c r="D466" s="52">
        <v>46060.592361111114</v>
      </c>
      <c r="E466" s="52">
        <v>46060.592361111114</v>
      </c>
      <c r="F466" s="52">
        <v>46060.681250000001</v>
      </c>
      <c r="G466" s="53">
        <v>8.8888888888888892E-2</v>
      </c>
      <c r="H466" s="1" t="s">
        <v>677</v>
      </c>
      <c r="J466" s="1" t="s">
        <v>230</v>
      </c>
      <c r="K466" s="1" t="s">
        <v>230</v>
      </c>
      <c r="L466" s="1" t="s">
        <v>717</v>
      </c>
      <c r="M466" s="1" t="s">
        <v>260</v>
      </c>
      <c r="N466" s="1" t="s">
        <v>357</v>
      </c>
      <c r="O466" s="1" t="s">
        <v>632</v>
      </c>
      <c r="P466" s="1" t="str">
        <f>_xlfn.CONCAT(B466,C466,D466,E466,F466)</f>
        <v>BC ParanoaSG60KTL(COM1-020)_002_01146060,592361111146060,592361111146060,68125</v>
      </c>
      <c r="Q466" s="1" t="str">
        <f>_xlfn.CONCAT(H466,I466,J466)</f>
        <v>DPRUFV</v>
      </c>
    </row>
    <row r="467" spans="2:17">
      <c r="B467" s="1" t="s">
        <v>393</v>
      </c>
      <c r="C467" s="1" t="s">
        <v>410</v>
      </c>
      <c r="D467" s="52">
        <v>46060.592361111114</v>
      </c>
      <c r="E467" s="52">
        <v>46060.592361111114</v>
      </c>
      <c r="F467" s="52">
        <v>46060.681250000001</v>
      </c>
      <c r="G467" s="53">
        <v>8.8888888888888892E-2</v>
      </c>
      <c r="H467" s="1" t="s">
        <v>677</v>
      </c>
      <c r="J467" s="1" t="s">
        <v>230</v>
      </c>
      <c r="K467" s="1" t="s">
        <v>230</v>
      </c>
      <c r="L467" s="1" t="s">
        <v>717</v>
      </c>
      <c r="M467" s="1" t="s">
        <v>260</v>
      </c>
      <c r="N467" s="1" t="s">
        <v>357</v>
      </c>
      <c r="O467" s="1" t="s">
        <v>632</v>
      </c>
      <c r="P467" s="1" t="str">
        <f>_xlfn.CONCAT(B467,C467,D467,E467,F467)</f>
        <v>BC ParanoaSG60KTL(COM1-021)_002_01746060,592361111146060,592361111146060,68125</v>
      </c>
      <c r="Q467" s="1" t="str">
        <f>_xlfn.CONCAT(H467,I467,J467)</f>
        <v>DPRUFV</v>
      </c>
    </row>
    <row r="468" spans="2:17">
      <c r="B468" s="1" t="s">
        <v>393</v>
      </c>
      <c r="C468" s="1" t="s">
        <v>411</v>
      </c>
      <c r="D468" s="52">
        <v>46060.592361111114</v>
      </c>
      <c r="E468" s="52">
        <v>46060.592361111114</v>
      </c>
      <c r="F468" s="52">
        <v>46060.681250000001</v>
      </c>
      <c r="G468" s="53">
        <v>8.8888888888888892E-2</v>
      </c>
      <c r="H468" s="1" t="s">
        <v>677</v>
      </c>
      <c r="J468" s="1" t="s">
        <v>230</v>
      </c>
      <c r="K468" s="1" t="s">
        <v>230</v>
      </c>
      <c r="L468" s="1" t="s">
        <v>717</v>
      </c>
      <c r="M468" s="1" t="s">
        <v>260</v>
      </c>
      <c r="N468" s="1" t="s">
        <v>357</v>
      </c>
      <c r="O468" s="1" t="s">
        <v>632</v>
      </c>
      <c r="P468" s="1" t="str">
        <f>_xlfn.CONCAT(B468,C468,D468,E468,F468)</f>
        <v>BC ParanoaSG60KTL(COM1-022)_002_02046060,592361111146060,592361111146060,68125</v>
      </c>
      <c r="Q468" s="1" t="str">
        <f>_xlfn.CONCAT(H468,I468,J468)</f>
        <v>DPRUFV</v>
      </c>
    </row>
    <row r="469" spans="2:17">
      <c r="B469" s="1" t="s">
        <v>393</v>
      </c>
      <c r="C469" s="1" t="s">
        <v>412</v>
      </c>
      <c r="D469" s="52">
        <v>46060.592361111114</v>
      </c>
      <c r="E469" s="52">
        <v>46060.592361111114</v>
      </c>
      <c r="F469" s="52">
        <v>46060.681250000001</v>
      </c>
      <c r="G469" s="53">
        <v>8.8888888888888892E-2</v>
      </c>
      <c r="H469" s="1" t="s">
        <v>677</v>
      </c>
      <c r="J469" s="1" t="s">
        <v>230</v>
      </c>
      <c r="K469" s="1" t="s">
        <v>230</v>
      </c>
      <c r="L469" s="1" t="s">
        <v>717</v>
      </c>
      <c r="M469" s="1" t="s">
        <v>260</v>
      </c>
      <c r="N469" s="1" t="s">
        <v>357</v>
      </c>
      <c r="O469" s="1" t="s">
        <v>632</v>
      </c>
      <c r="P469" s="1" t="str">
        <f>_xlfn.CONCAT(B469,C469,D469,E469,F469)</f>
        <v>BC ParanoaSG40CX(COM2-023)_002_02446060,592361111146060,592361111146060,68125</v>
      </c>
      <c r="Q469" s="1" t="str">
        <f>_xlfn.CONCAT(H469,I469,J469)</f>
        <v>DPRUFV</v>
      </c>
    </row>
    <row r="470" spans="2:17">
      <c r="B470" s="1" t="s">
        <v>393</v>
      </c>
      <c r="C470" s="1" t="s">
        <v>413</v>
      </c>
      <c r="D470" s="52">
        <v>46060.592361111114</v>
      </c>
      <c r="E470" s="52">
        <v>46060.592361111114</v>
      </c>
      <c r="F470" s="52">
        <v>46060.681250000001</v>
      </c>
      <c r="G470" s="53">
        <v>8.8888888888888892E-2</v>
      </c>
      <c r="H470" s="1" t="s">
        <v>677</v>
      </c>
      <c r="J470" s="1" t="s">
        <v>230</v>
      </c>
      <c r="K470" s="1" t="s">
        <v>230</v>
      </c>
      <c r="L470" s="1" t="s">
        <v>717</v>
      </c>
      <c r="M470" s="1" t="s">
        <v>260</v>
      </c>
      <c r="N470" s="1" t="s">
        <v>357</v>
      </c>
      <c r="O470" s="1" t="s">
        <v>632</v>
      </c>
      <c r="P470" s="1" t="str">
        <f>_xlfn.CONCAT(B470,C470,D470,E470,F470)</f>
        <v>BC ParanoaSG40CX(COM2-024)_002_02246060,592361111146060,592361111146060,68125</v>
      </c>
      <c r="Q470" s="1" t="str">
        <f>_xlfn.CONCAT(H470,I470,J470)</f>
        <v>DPRUFV</v>
      </c>
    </row>
    <row r="471" spans="2:17">
      <c r="B471" s="1" t="s">
        <v>393</v>
      </c>
      <c r="C471" s="1" t="s">
        <v>414</v>
      </c>
      <c r="D471" s="52">
        <v>46060.592361111114</v>
      </c>
      <c r="E471" s="52">
        <v>46060.592361111114</v>
      </c>
      <c r="F471" s="52">
        <v>46060.681250000001</v>
      </c>
      <c r="G471" s="53">
        <v>8.8888888888888892E-2</v>
      </c>
      <c r="H471" s="1" t="s">
        <v>677</v>
      </c>
      <c r="J471" s="1" t="s">
        <v>230</v>
      </c>
      <c r="K471" s="1" t="s">
        <v>230</v>
      </c>
      <c r="L471" s="1" t="s">
        <v>717</v>
      </c>
      <c r="M471" s="1" t="s">
        <v>260</v>
      </c>
      <c r="N471" s="1" t="s">
        <v>357</v>
      </c>
      <c r="O471" s="1" t="s">
        <v>632</v>
      </c>
      <c r="P471" s="1" t="str">
        <f>_xlfn.CONCAT(B471,C471,D471,E471,F471)</f>
        <v>BC ParanoaSG60KTL(COM1-007)_002_01346060,592361111146060,592361111146060,68125</v>
      </c>
      <c r="Q471" s="1" t="str">
        <f>_xlfn.CONCAT(H471,I471,J471)</f>
        <v>DPRUFV</v>
      </c>
    </row>
    <row r="472" spans="2:17">
      <c r="B472" s="1" t="s">
        <v>393</v>
      </c>
      <c r="C472" s="1" t="s">
        <v>415</v>
      </c>
      <c r="D472" s="52">
        <v>46060.592361111114</v>
      </c>
      <c r="E472" s="52">
        <v>46060.592361111114</v>
      </c>
      <c r="F472" s="52">
        <v>46060.681250000001</v>
      </c>
      <c r="G472" s="53">
        <v>8.8888888888888892E-2</v>
      </c>
      <c r="H472" s="1" t="s">
        <v>677</v>
      </c>
      <c r="J472" s="1" t="s">
        <v>230</v>
      </c>
      <c r="K472" s="1" t="s">
        <v>230</v>
      </c>
      <c r="L472" s="1" t="s">
        <v>717</v>
      </c>
      <c r="M472" s="1" t="s">
        <v>260</v>
      </c>
      <c r="N472" s="1" t="s">
        <v>357</v>
      </c>
      <c r="O472" s="1" t="s">
        <v>632</v>
      </c>
      <c r="P472" s="1" t="str">
        <f>_xlfn.CONCAT(B472,C472,D472,E472,F472)</f>
        <v>BC ParanoaSG60KTL(COM1-008)_002_00246060,592361111146060,592361111146060,68125</v>
      </c>
      <c r="Q472" s="1" t="str">
        <f>_xlfn.CONCAT(H472,I472,J472)</f>
        <v>DPRUFV</v>
      </c>
    </row>
    <row r="473" spans="2:17">
      <c r="B473" s="1" t="s">
        <v>393</v>
      </c>
      <c r="C473" s="1" t="s">
        <v>416</v>
      </c>
      <c r="D473" s="52">
        <v>46060.592361111114</v>
      </c>
      <c r="E473" s="52">
        <v>46060.592361111114</v>
      </c>
      <c r="F473" s="52">
        <v>46060.681250000001</v>
      </c>
      <c r="G473" s="53">
        <v>8.8888888888888892E-2</v>
      </c>
      <c r="H473" s="1" t="s">
        <v>677</v>
      </c>
      <c r="J473" s="1" t="s">
        <v>230</v>
      </c>
      <c r="K473" s="1" t="s">
        <v>230</v>
      </c>
      <c r="L473" s="1" t="s">
        <v>717</v>
      </c>
      <c r="M473" s="1" t="s">
        <v>260</v>
      </c>
      <c r="N473" s="1" t="s">
        <v>357</v>
      </c>
      <c r="O473" s="1" t="s">
        <v>632</v>
      </c>
      <c r="P473" s="1" t="str">
        <f>_xlfn.CONCAT(B473,C473,D473,E473,F473)</f>
        <v>BC ParanoaSG60KTL(COM1-009)_002_00846060,592361111146060,592361111146060,68125</v>
      </c>
      <c r="Q473" s="1" t="str">
        <f>_xlfn.CONCAT(H473,I473,J473)</f>
        <v>DPRUFV</v>
      </c>
    </row>
    <row r="474" spans="2:17">
      <c r="B474" s="1" t="s">
        <v>393</v>
      </c>
      <c r="C474" s="1" t="s">
        <v>417</v>
      </c>
      <c r="D474" s="52">
        <v>46060.592361111114</v>
      </c>
      <c r="E474" s="52">
        <v>46060.592361111114</v>
      </c>
      <c r="F474" s="52">
        <v>46060.681250000001</v>
      </c>
      <c r="G474" s="53">
        <v>8.8888888888888892E-2</v>
      </c>
      <c r="H474" s="1" t="s">
        <v>677</v>
      </c>
      <c r="J474" s="1" t="s">
        <v>230</v>
      </c>
      <c r="K474" s="1" t="s">
        <v>230</v>
      </c>
      <c r="L474" s="1" t="s">
        <v>717</v>
      </c>
      <c r="M474" s="1" t="s">
        <v>260</v>
      </c>
      <c r="N474" s="1" t="s">
        <v>357</v>
      </c>
      <c r="O474" s="1" t="s">
        <v>632</v>
      </c>
      <c r="P474" s="1" t="str">
        <f>_xlfn.CONCAT(B474,C474,D474,E474,F474)</f>
        <v>BC ParanoaSG60KTL(COM1-010)_002_00346060,592361111146060,592361111146060,68125</v>
      </c>
      <c r="Q474" s="1" t="str">
        <f>_xlfn.CONCAT(H474,I474,J474)</f>
        <v>DPRUFV</v>
      </c>
    </row>
    <row r="475" spans="2:17">
      <c r="B475" s="1" t="s">
        <v>393</v>
      </c>
      <c r="C475" s="1" t="s">
        <v>418</v>
      </c>
      <c r="D475" s="52">
        <v>46060.592361111114</v>
      </c>
      <c r="E475" s="52">
        <v>46060.592361111114</v>
      </c>
      <c r="F475" s="52">
        <v>46060.681250000001</v>
      </c>
      <c r="G475" s="53">
        <v>8.8888888888888892E-2</v>
      </c>
      <c r="H475" s="1" t="s">
        <v>677</v>
      </c>
      <c r="J475" s="1" t="s">
        <v>230</v>
      </c>
      <c r="K475" s="1" t="s">
        <v>230</v>
      </c>
      <c r="L475" s="1" t="s">
        <v>717</v>
      </c>
      <c r="M475" s="1" t="s">
        <v>260</v>
      </c>
      <c r="N475" s="1" t="s">
        <v>357</v>
      </c>
      <c r="O475" s="1" t="s">
        <v>632</v>
      </c>
      <c r="P475" s="1" t="str">
        <f>_xlfn.CONCAT(B475,C475,D475,E475,F475)</f>
        <v>BC ParanoaSG60KTL(COM1-011)_002_01046060,592361111146060,592361111146060,68125</v>
      </c>
      <c r="Q475" s="1" t="str">
        <f>_xlfn.CONCAT(H475,I475,J475)</f>
        <v>DPRUFV</v>
      </c>
    </row>
    <row r="476" spans="2:17">
      <c r="B476" s="1" t="s">
        <v>393</v>
      </c>
      <c r="C476" s="1" t="s">
        <v>419</v>
      </c>
      <c r="D476" s="52">
        <v>46060.592361111114</v>
      </c>
      <c r="E476" s="52">
        <v>46060.592361111114</v>
      </c>
      <c r="F476" s="52">
        <v>46060.681250000001</v>
      </c>
      <c r="G476" s="53">
        <v>8.8888888888888892E-2</v>
      </c>
      <c r="H476" s="1" t="s">
        <v>677</v>
      </c>
      <c r="J476" s="1" t="s">
        <v>230</v>
      </c>
      <c r="K476" s="1" t="s">
        <v>230</v>
      </c>
      <c r="L476" s="1" t="s">
        <v>717</v>
      </c>
      <c r="M476" s="1" t="s">
        <v>260</v>
      </c>
      <c r="N476" s="1" t="s">
        <v>357</v>
      </c>
      <c r="O476" s="1" t="s">
        <v>632</v>
      </c>
      <c r="P476" s="1" t="str">
        <f>_xlfn.CONCAT(B476,C476,D476,E476,F476)</f>
        <v>BC ParanoaSG60KTL(COM1-012)_002_00546060,592361111146060,592361111146060,68125</v>
      </c>
      <c r="Q476" s="1" t="str">
        <f>_xlfn.CONCAT(H476,I476,J476)</f>
        <v>DPRUFV</v>
      </c>
    </row>
    <row r="477" spans="2:17">
      <c r="B477" s="1" t="s">
        <v>393</v>
      </c>
      <c r="C477" s="1" t="s">
        <v>420</v>
      </c>
      <c r="D477" s="52">
        <v>46060.592361111114</v>
      </c>
      <c r="E477" s="52">
        <v>46060.592361111114</v>
      </c>
      <c r="F477" s="52">
        <v>46060.681250000001</v>
      </c>
      <c r="G477" s="53">
        <v>8.8888888888888892E-2</v>
      </c>
      <c r="H477" s="1" t="s">
        <v>677</v>
      </c>
      <c r="J477" s="1" t="s">
        <v>230</v>
      </c>
      <c r="K477" s="1" t="s">
        <v>230</v>
      </c>
      <c r="L477" s="1" t="s">
        <v>717</v>
      </c>
      <c r="M477" s="1" t="s">
        <v>260</v>
      </c>
      <c r="N477" s="1" t="s">
        <v>357</v>
      </c>
      <c r="O477" s="1" t="s">
        <v>632</v>
      </c>
      <c r="P477" s="1" t="str">
        <f>_xlfn.CONCAT(B477,C477,D477,E477,F477)</f>
        <v>BC ParanoaSG60KTL(COM1-001)_002_00646060,592361111146060,592361111146060,68125</v>
      </c>
      <c r="Q477" s="1" t="str">
        <f>_xlfn.CONCAT(H477,I477,J477)</f>
        <v>DPRUFV</v>
      </c>
    </row>
    <row r="478" spans="2:17">
      <c r="B478" s="1" t="s">
        <v>393</v>
      </c>
      <c r="C478" s="1" t="s">
        <v>421</v>
      </c>
      <c r="D478" s="52">
        <v>46060.592361111114</v>
      </c>
      <c r="E478" s="52">
        <v>46060.592361111114</v>
      </c>
      <c r="F478" s="52">
        <v>46060.681250000001</v>
      </c>
      <c r="G478" s="53">
        <v>8.8888888888888892E-2</v>
      </c>
      <c r="H478" s="1" t="s">
        <v>677</v>
      </c>
      <c r="J478" s="1" t="s">
        <v>230</v>
      </c>
      <c r="K478" s="1" t="s">
        <v>230</v>
      </c>
      <c r="L478" s="1" t="s">
        <v>717</v>
      </c>
      <c r="M478" s="1" t="s">
        <v>260</v>
      </c>
      <c r="N478" s="1" t="s">
        <v>357</v>
      </c>
      <c r="O478" s="1" t="s">
        <v>632</v>
      </c>
      <c r="P478" s="1" t="str">
        <f>_xlfn.CONCAT(B478,C478,D478,E478,F478)</f>
        <v>BC ParanoaSG60KTL(COM1-002)_002_01646060,592361111146060,592361111146060,68125</v>
      </c>
      <c r="Q478" s="1" t="str">
        <f>_xlfn.CONCAT(H478,I478,J478)</f>
        <v>DPRUFV</v>
      </c>
    </row>
    <row r="479" spans="2:17">
      <c r="B479" s="1" t="s">
        <v>393</v>
      </c>
      <c r="C479" s="1" t="s">
        <v>422</v>
      </c>
      <c r="D479" s="52">
        <v>46060.592361111114</v>
      </c>
      <c r="E479" s="52">
        <v>46060.592361111114</v>
      </c>
      <c r="F479" s="52">
        <v>46060.681250000001</v>
      </c>
      <c r="G479" s="53">
        <v>8.8888888888888892E-2</v>
      </c>
      <c r="H479" s="1" t="s">
        <v>677</v>
      </c>
      <c r="J479" s="1" t="s">
        <v>230</v>
      </c>
      <c r="K479" s="1" t="s">
        <v>230</v>
      </c>
      <c r="L479" s="1" t="s">
        <v>717</v>
      </c>
      <c r="M479" s="1" t="s">
        <v>260</v>
      </c>
      <c r="N479" s="1" t="s">
        <v>357</v>
      </c>
      <c r="O479" s="1" t="s">
        <v>632</v>
      </c>
      <c r="P479" s="1" t="str">
        <f>_xlfn.CONCAT(B479,C479,D479,E479,F479)</f>
        <v>BC ParanoaSG50CX(COM2-003)_002_02146060,592361111146060,592361111146060,68125</v>
      </c>
      <c r="Q479" s="1" t="str">
        <f>_xlfn.CONCAT(H479,I479,J479)</f>
        <v>DPRUFV</v>
      </c>
    </row>
    <row r="480" spans="2:17">
      <c r="B480" s="1" t="s">
        <v>393</v>
      </c>
      <c r="C480" s="1" t="s">
        <v>423</v>
      </c>
      <c r="D480" s="52">
        <v>46060.592361111114</v>
      </c>
      <c r="E480" s="52">
        <v>46060.592361111114</v>
      </c>
      <c r="F480" s="52">
        <v>46060.681250000001</v>
      </c>
      <c r="G480" s="53">
        <v>8.8888888888888892E-2</v>
      </c>
      <c r="H480" s="1" t="s">
        <v>677</v>
      </c>
      <c r="J480" s="1" t="s">
        <v>230</v>
      </c>
      <c r="K480" s="1" t="s">
        <v>230</v>
      </c>
      <c r="L480" s="1" t="s">
        <v>717</v>
      </c>
      <c r="M480" s="1" t="s">
        <v>260</v>
      </c>
      <c r="N480" s="1" t="s">
        <v>357</v>
      </c>
      <c r="O480" s="1" t="s">
        <v>632</v>
      </c>
      <c r="P480" s="1" t="str">
        <f>_xlfn.CONCAT(B480,C480,D480,E480,F480)</f>
        <v>BC ParanoaSG50CX(COM2-004)_002_02346060,592361111146060,592361111146060,68125</v>
      </c>
      <c r="Q480" s="1" t="str">
        <f>_xlfn.CONCAT(H480,I480,J480)</f>
        <v>DPRUFV</v>
      </c>
    </row>
    <row r="481" spans="2:17">
      <c r="B481" s="1" t="s">
        <v>393</v>
      </c>
      <c r="C481" s="1" t="s">
        <v>424</v>
      </c>
      <c r="D481" s="52">
        <v>46060.592361111114</v>
      </c>
      <c r="E481" s="52">
        <v>46060.592361111114</v>
      </c>
      <c r="F481" s="52">
        <v>46060.681250000001</v>
      </c>
      <c r="G481" s="53">
        <v>8.8888888888888892E-2</v>
      </c>
      <c r="H481" s="1" t="s">
        <v>677</v>
      </c>
      <c r="J481" s="1" t="s">
        <v>230</v>
      </c>
      <c r="K481" s="1" t="s">
        <v>230</v>
      </c>
      <c r="L481" s="1" t="s">
        <v>717</v>
      </c>
      <c r="M481" s="1" t="s">
        <v>260</v>
      </c>
      <c r="N481" s="1" t="s">
        <v>357</v>
      </c>
      <c r="O481" s="1" t="s">
        <v>632</v>
      </c>
      <c r="P481" s="1" t="str">
        <f>_xlfn.CONCAT(B481,C481,D481,E481,F481)</f>
        <v>BC ParanoaSG60KTL(COM1-005)_002_00946060,592361111146060,592361111146060,68125</v>
      </c>
      <c r="Q481" s="1" t="str">
        <f>_xlfn.CONCAT(H481,I481,J481)</f>
        <v>DPRUFV</v>
      </c>
    </row>
    <row r="482" spans="2:17">
      <c r="B482" s="1" t="s">
        <v>393</v>
      </c>
      <c r="C482" s="1" t="s">
        <v>425</v>
      </c>
      <c r="D482" s="52">
        <v>46060.592361111114</v>
      </c>
      <c r="E482" s="52">
        <v>46060.592361111114</v>
      </c>
      <c r="F482" s="52">
        <v>46060.681250000001</v>
      </c>
      <c r="G482" s="53">
        <v>8.8888888888888892E-2</v>
      </c>
      <c r="H482" s="1" t="s">
        <v>677</v>
      </c>
      <c r="J482" s="1" t="s">
        <v>230</v>
      </c>
      <c r="K482" s="1" t="s">
        <v>230</v>
      </c>
      <c r="L482" s="1" t="s">
        <v>717</v>
      </c>
      <c r="M482" s="1" t="s">
        <v>260</v>
      </c>
      <c r="N482" s="1" t="s">
        <v>357</v>
      </c>
      <c r="O482" s="1" t="s">
        <v>632</v>
      </c>
      <c r="P482" s="1" t="str">
        <f>_xlfn.CONCAT(B482,C482,D482,E482,F482)</f>
        <v>BC ParanoaSG60KTL(COM1-006)_002_00146060,592361111146060,592361111146060,68125</v>
      </c>
      <c r="Q482" s="1" t="str">
        <f>_xlfn.CONCAT(H482,I482,J482)</f>
        <v>DPRUFV</v>
      </c>
    </row>
    <row r="483" spans="2:17">
      <c r="B483" s="1" t="s">
        <v>393</v>
      </c>
      <c r="C483" s="1" t="s">
        <v>426</v>
      </c>
      <c r="D483" s="52">
        <v>46060.592361111114</v>
      </c>
      <c r="E483" s="52">
        <v>46060.592361111114</v>
      </c>
      <c r="F483" s="52">
        <v>46060.681250000001</v>
      </c>
      <c r="G483" s="53">
        <v>8.8888888888888892E-2</v>
      </c>
      <c r="H483" s="1" t="s">
        <v>677</v>
      </c>
      <c r="J483" s="1" t="s">
        <v>230</v>
      </c>
      <c r="K483" s="1" t="s">
        <v>230</v>
      </c>
      <c r="L483" s="1" t="s">
        <v>717</v>
      </c>
      <c r="M483" s="1" t="s">
        <v>260</v>
      </c>
      <c r="N483" s="1" t="s">
        <v>357</v>
      </c>
      <c r="O483" s="1" t="s">
        <v>632</v>
      </c>
      <c r="P483" s="1" t="str">
        <f>_xlfn.CONCAT(B483,C483,D483,E483,F483)</f>
        <v>BC ParanoaSG60KTL(COM1-013)_002_00446060,592361111146060,592361111146060,68125</v>
      </c>
      <c r="Q483" s="1" t="str">
        <f>_xlfn.CONCAT(H483,I483,J483)</f>
        <v>DPRUFV</v>
      </c>
    </row>
    <row r="484" spans="2:17">
      <c r="B484" s="1" t="s">
        <v>393</v>
      </c>
      <c r="C484" s="1" t="s">
        <v>427</v>
      </c>
      <c r="D484" s="52">
        <v>46060.592361111114</v>
      </c>
      <c r="E484" s="52">
        <v>46060.592361111114</v>
      </c>
      <c r="F484" s="52">
        <v>46060.681250000001</v>
      </c>
      <c r="G484" s="53">
        <v>8.8888888888888892E-2</v>
      </c>
      <c r="H484" s="1" t="s">
        <v>677</v>
      </c>
      <c r="J484" s="1" t="s">
        <v>230</v>
      </c>
      <c r="K484" s="1" t="s">
        <v>230</v>
      </c>
      <c r="L484" s="1" t="s">
        <v>717</v>
      </c>
      <c r="M484" s="1" t="s">
        <v>260</v>
      </c>
      <c r="N484" s="1" t="s">
        <v>357</v>
      </c>
      <c r="O484" s="1" t="s">
        <v>632</v>
      </c>
      <c r="P484" s="1" t="str">
        <f>_xlfn.CONCAT(B484,C484,D484,E484,F484)</f>
        <v>BC ParanoaSG60KTL(COM1-014)_002_01946060,592361111146060,592361111146060,68125</v>
      </c>
      <c r="Q484" s="1" t="str">
        <f>_xlfn.CONCAT(H484,I484,J484)</f>
        <v>DPRUFV</v>
      </c>
    </row>
    <row r="485" spans="2:17">
      <c r="B485" s="1" t="s">
        <v>393</v>
      </c>
      <c r="C485" s="1" t="s">
        <v>428</v>
      </c>
      <c r="D485" s="52">
        <v>46060.592361111114</v>
      </c>
      <c r="E485" s="52">
        <v>46060.592361111114</v>
      </c>
      <c r="F485" s="52">
        <v>46060.681250000001</v>
      </c>
      <c r="G485" s="53">
        <v>8.8888888888888892E-2</v>
      </c>
      <c r="H485" s="1" t="s">
        <v>677</v>
      </c>
      <c r="J485" s="1" t="s">
        <v>230</v>
      </c>
      <c r="K485" s="1" t="s">
        <v>230</v>
      </c>
      <c r="L485" s="1" t="s">
        <v>717</v>
      </c>
      <c r="M485" s="1" t="s">
        <v>260</v>
      </c>
      <c r="N485" s="1" t="s">
        <v>357</v>
      </c>
      <c r="O485" s="1" t="s">
        <v>632</v>
      </c>
      <c r="P485" s="1" t="str">
        <f>_xlfn.CONCAT(B485,C485,D485,E485,F485)</f>
        <v>BC ParanoaSG60KTL(COM1-015)_002_01846060,592361111146060,592361111146060,68125</v>
      </c>
      <c r="Q485" s="1" t="str">
        <f>_xlfn.CONCAT(H485,I485,J485)</f>
        <v>DPRUFV</v>
      </c>
    </row>
    <row r="486" spans="2:17">
      <c r="B486" s="1" t="s">
        <v>393</v>
      </c>
      <c r="C486" s="1" t="s">
        <v>429</v>
      </c>
      <c r="D486" s="52">
        <v>46060.592361111114</v>
      </c>
      <c r="E486" s="52">
        <v>46060.592361111114</v>
      </c>
      <c r="F486" s="52">
        <v>46060.681250000001</v>
      </c>
      <c r="G486" s="53">
        <v>8.8888888888888892E-2</v>
      </c>
      <c r="H486" s="1" t="s">
        <v>677</v>
      </c>
      <c r="J486" s="1" t="s">
        <v>230</v>
      </c>
      <c r="K486" s="1" t="s">
        <v>230</v>
      </c>
      <c r="L486" s="1" t="s">
        <v>717</v>
      </c>
      <c r="M486" s="1" t="s">
        <v>260</v>
      </c>
      <c r="N486" s="1" t="s">
        <v>357</v>
      </c>
      <c r="O486" s="1" t="s">
        <v>632</v>
      </c>
      <c r="P486" s="1" t="str">
        <f>_xlfn.CONCAT(B486,C486,D486,E486,F486)</f>
        <v>BC ParanoaSG60KTL(COM1-016)_002_01446060,592361111146060,592361111146060,68125</v>
      </c>
      <c r="Q486" s="1" t="str">
        <f>_xlfn.CONCAT(H486,I486,J486)</f>
        <v>DPRUFV</v>
      </c>
    </row>
    <row r="487" spans="2:17">
      <c r="B487" s="1" t="s">
        <v>393</v>
      </c>
      <c r="C487" s="1" t="s">
        <v>430</v>
      </c>
      <c r="D487" s="52">
        <v>46060.592361111114</v>
      </c>
      <c r="E487" s="52">
        <v>46060.592361111114</v>
      </c>
      <c r="F487" s="52">
        <v>46060.681250000001</v>
      </c>
      <c r="G487" s="53">
        <v>8.8888888888888892E-2</v>
      </c>
      <c r="H487" s="1" t="s">
        <v>677</v>
      </c>
      <c r="J487" s="1" t="s">
        <v>230</v>
      </c>
      <c r="K487" s="1" t="s">
        <v>230</v>
      </c>
      <c r="L487" s="1" t="s">
        <v>717</v>
      </c>
      <c r="M487" s="1" t="s">
        <v>260</v>
      </c>
      <c r="N487" s="1" t="s">
        <v>357</v>
      </c>
      <c r="O487" s="1" t="s">
        <v>632</v>
      </c>
      <c r="P487" s="1" t="str">
        <f>_xlfn.CONCAT(B487,C487,D487,E487,F487)</f>
        <v>BC ParanoaSG60KTL(COM1-017)_002_01546060,592361111146060,592361111146060,68125</v>
      </c>
      <c r="Q487" s="1" t="str">
        <f>_xlfn.CONCAT(H487,I487,J487)</f>
        <v>DPRUFV</v>
      </c>
    </row>
    <row r="488" spans="2:17">
      <c r="B488" s="1" t="s">
        <v>393</v>
      </c>
      <c r="C488" s="1" t="s">
        <v>431</v>
      </c>
      <c r="D488" s="52">
        <v>46060.592361111114</v>
      </c>
      <c r="E488" s="52">
        <v>46060.592361111114</v>
      </c>
      <c r="F488" s="52">
        <v>46060.681250000001</v>
      </c>
      <c r="G488" s="53">
        <v>8.8888888888888892E-2</v>
      </c>
      <c r="H488" s="1" t="s">
        <v>677</v>
      </c>
      <c r="J488" s="1" t="s">
        <v>230</v>
      </c>
      <c r="K488" s="1" t="s">
        <v>230</v>
      </c>
      <c r="L488" s="1" t="s">
        <v>717</v>
      </c>
      <c r="M488" s="1" t="s">
        <v>260</v>
      </c>
      <c r="N488" s="1" t="s">
        <v>357</v>
      </c>
      <c r="O488" s="1" t="s">
        <v>632</v>
      </c>
      <c r="P488" s="1" t="str">
        <f>_xlfn.CONCAT(B488,C488,D488,E488,F488)</f>
        <v>BC ParanoaSG60KTL(COM1-018)_002_01246060,592361111146060,592361111146060,68125</v>
      </c>
      <c r="Q488" s="1" t="str">
        <f>_xlfn.CONCAT(H488,I488,J488)</f>
        <v>DPRUFV</v>
      </c>
    </row>
    <row r="489" spans="2:17">
      <c r="B489" s="1" t="s">
        <v>393</v>
      </c>
      <c r="C489" s="1" t="s">
        <v>432</v>
      </c>
      <c r="D489" s="52">
        <v>46060.592361111114</v>
      </c>
      <c r="E489" s="52">
        <v>46060.592361111114</v>
      </c>
      <c r="F489" s="52">
        <v>46060.681250000001</v>
      </c>
      <c r="G489" s="53">
        <v>8.8888888888888892E-2</v>
      </c>
      <c r="H489" s="1" t="s">
        <v>677</v>
      </c>
      <c r="J489" s="1" t="s">
        <v>230</v>
      </c>
      <c r="K489" s="1" t="s">
        <v>230</v>
      </c>
      <c r="L489" s="1" t="s">
        <v>717</v>
      </c>
      <c r="M489" s="1" t="s">
        <v>260</v>
      </c>
      <c r="N489" s="1" t="s">
        <v>357</v>
      </c>
      <c r="O489" s="1" t="s">
        <v>632</v>
      </c>
      <c r="P489" s="1" t="str">
        <f>_xlfn.CONCAT(B489,C489,D489,E489,F489)</f>
        <v>BC ParanoaSG50CX(COM2-004)_001_01846060,592361111146060,592361111146060,68125</v>
      </c>
      <c r="Q489" s="1" t="str">
        <f>_xlfn.CONCAT(H489,I489,J489)</f>
        <v>DPRUFV</v>
      </c>
    </row>
    <row r="490" spans="2:17">
      <c r="B490" s="1" t="s">
        <v>393</v>
      </c>
      <c r="C490" s="1" t="s">
        <v>433</v>
      </c>
      <c r="D490" s="52">
        <v>46060.592361111114</v>
      </c>
      <c r="E490" s="52">
        <v>46060.592361111114</v>
      </c>
      <c r="F490" s="52">
        <v>46060.681250000001</v>
      </c>
      <c r="G490" s="53">
        <v>8.8888888888888892E-2</v>
      </c>
      <c r="H490" s="1" t="s">
        <v>677</v>
      </c>
      <c r="J490" s="1" t="s">
        <v>230</v>
      </c>
      <c r="K490" s="1" t="s">
        <v>230</v>
      </c>
      <c r="L490" s="1" t="s">
        <v>717</v>
      </c>
      <c r="M490" s="1" t="s">
        <v>260</v>
      </c>
      <c r="N490" s="1" t="s">
        <v>357</v>
      </c>
      <c r="O490" s="1" t="s">
        <v>632</v>
      </c>
      <c r="P490" s="1" t="str">
        <f>_xlfn.CONCAT(B490,C490,D490,E490,F490)</f>
        <v>BC ParanoaSG50CX(COM2-003)_001_01646060,592361111146060,592361111146060,68125</v>
      </c>
      <c r="Q490" s="1" t="str">
        <f>_xlfn.CONCAT(H490,I490,J490)</f>
        <v>DPRUFV</v>
      </c>
    </row>
    <row r="491" spans="2:17">
      <c r="B491" s="1" t="s">
        <v>393</v>
      </c>
      <c r="C491" s="1" t="s">
        <v>434</v>
      </c>
      <c r="D491" s="52">
        <v>46060.592361111114</v>
      </c>
      <c r="E491" s="52">
        <v>46060.592361111114</v>
      </c>
      <c r="F491" s="52">
        <v>46060.681250000001</v>
      </c>
      <c r="G491" s="53">
        <v>8.8888888888888892E-2</v>
      </c>
      <c r="H491" s="1" t="s">
        <v>677</v>
      </c>
      <c r="J491" s="1" t="s">
        <v>230</v>
      </c>
      <c r="K491" s="1" t="s">
        <v>230</v>
      </c>
      <c r="L491" s="1" t="s">
        <v>717</v>
      </c>
      <c r="M491" s="1" t="s">
        <v>260</v>
      </c>
      <c r="N491" s="1" t="s">
        <v>357</v>
      </c>
      <c r="O491" s="1" t="s">
        <v>632</v>
      </c>
      <c r="P491" s="1" t="str">
        <f>_xlfn.CONCAT(B491,C491,D491,E491,F491)</f>
        <v>BC ParanoaSG60KTL(COM1-002)_001_00846060,592361111146060,592361111146060,68125</v>
      </c>
      <c r="Q491" s="1" t="str">
        <f>_xlfn.CONCAT(H491,I491,J491)</f>
        <v>DPRUFV</v>
      </c>
    </row>
    <row r="492" spans="2:17">
      <c r="B492" s="1" t="s">
        <v>442</v>
      </c>
      <c r="C492" s="1" t="s">
        <v>264</v>
      </c>
      <c r="D492" s="52">
        <v>46060.611111111109</v>
      </c>
      <c r="E492" s="52">
        <v>46060.611111111109</v>
      </c>
      <c r="F492" s="52">
        <v>46060.697916666664</v>
      </c>
      <c r="G492" s="53">
        <v>8.6805555555555552E-2</v>
      </c>
      <c r="H492" s="1" t="s">
        <v>257</v>
      </c>
      <c r="J492" s="1" t="s">
        <v>258</v>
      </c>
      <c r="K492" s="1" t="s">
        <v>658</v>
      </c>
      <c r="L492" s="1" t="s">
        <v>719</v>
      </c>
      <c r="M492" s="1" t="s">
        <v>260</v>
      </c>
      <c r="N492" s="1" t="s">
        <v>357</v>
      </c>
      <c r="O492" s="1" t="s">
        <v>632</v>
      </c>
      <c r="P492" s="1" t="str">
        <f>_xlfn.CONCAT(B492,C492,D492,E492,F492)</f>
        <v>BC Lencois PaulistaInverter(MBUS-13)46060,611111111146060,611111111146060,6979166667</v>
      </c>
      <c r="Q492" s="1" t="str">
        <f>_xlfn.CONCAT(H492,I492,J492)</f>
        <v>DAURDE</v>
      </c>
    </row>
    <row r="493" spans="2:17">
      <c r="B493" s="1" t="s">
        <v>442</v>
      </c>
      <c r="C493" s="1" t="s">
        <v>263</v>
      </c>
      <c r="D493" s="52">
        <v>46060.611111111109</v>
      </c>
      <c r="E493" s="52">
        <v>46060.611111111109</v>
      </c>
      <c r="F493" s="52">
        <v>46060.697916666664</v>
      </c>
      <c r="G493" s="53">
        <v>8.6805555555555552E-2</v>
      </c>
      <c r="H493" s="1" t="s">
        <v>257</v>
      </c>
      <c r="J493" s="1" t="s">
        <v>258</v>
      </c>
      <c r="K493" s="1" t="s">
        <v>658</v>
      </c>
      <c r="L493" s="1" t="s">
        <v>719</v>
      </c>
      <c r="M493" s="1" t="s">
        <v>260</v>
      </c>
      <c r="N493" s="1" t="s">
        <v>357</v>
      </c>
      <c r="O493" s="1" t="s">
        <v>632</v>
      </c>
      <c r="P493" s="1" t="str">
        <f>_xlfn.CONCAT(B493,C493,D493,E493,F493)</f>
        <v>BC Lencois PaulistaInverter(MBUS-14)46060,611111111146060,611111111146060,6979166667</v>
      </c>
      <c r="Q493" s="1" t="str">
        <f>_xlfn.CONCAT(H493,I493,J493)</f>
        <v>DAURDE</v>
      </c>
    </row>
    <row r="494" spans="2:17">
      <c r="B494" s="1" t="s">
        <v>442</v>
      </c>
      <c r="C494" s="1" t="s">
        <v>256</v>
      </c>
      <c r="D494" s="52">
        <v>46060.611111111109</v>
      </c>
      <c r="E494" s="52">
        <v>46060.611111111109</v>
      </c>
      <c r="F494" s="52">
        <v>46060.697916666664</v>
      </c>
      <c r="G494" s="53">
        <v>8.6805555555555552E-2</v>
      </c>
      <c r="H494" s="1" t="s">
        <v>257</v>
      </c>
      <c r="J494" s="1" t="s">
        <v>258</v>
      </c>
      <c r="K494" s="1" t="s">
        <v>658</v>
      </c>
      <c r="L494" s="1" t="s">
        <v>719</v>
      </c>
      <c r="M494" s="1" t="s">
        <v>260</v>
      </c>
      <c r="N494" s="1" t="s">
        <v>357</v>
      </c>
      <c r="O494" s="1" t="s">
        <v>632</v>
      </c>
      <c r="P494" s="1" t="str">
        <f>_xlfn.CONCAT(B494,C494,D494,E494,F494)</f>
        <v>BC Lencois PaulistaInverter(MBUS-12)46060,611111111146060,611111111146060,6979166667</v>
      </c>
      <c r="Q494" s="1" t="str">
        <f>_xlfn.CONCAT(H494,I494,J494)</f>
        <v>DAURDE</v>
      </c>
    </row>
    <row r="495" spans="2:17">
      <c r="B495" s="1" t="s">
        <v>442</v>
      </c>
      <c r="C495" s="1" t="s">
        <v>307</v>
      </c>
      <c r="D495" s="52">
        <v>46060.611111111109</v>
      </c>
      <c r="E495" s="52">
        <v>46060.611111111109</v>
      </c>
      <c r="F495" s="52">
        <v>46060.697916666664</v>
      </c>
      <c r="G495" s="53">
        <v>8.6805555555555552E-2</v>
      </c>
      <c r="H495" s="1" t="s">
        <v>257</v>
      </c>
      <c r="J495" s="1" t="s">
        <v>258</v>
      </c>
      <c r="K495" s="1" t="s">
        <v>658</v>
      </c>
      <c r="L495" s="1" t="s">
        <v>719</v>
      </c>
      <c r="M495" s="1" t="s">
        <v>260</v>
      </c>
      <c r="N495" s="1" t="s">
        <v>357</v>
      </c>
      <c r="O495" s="1" t="s">
        <v>632</v>
      </c>
      <c r="P495" s="1" t="str">
        <f>_xlfn.CONCAT(B495,C495,D495,E495,F495)</f>
        <v>BC Lencois PaulistaInverter(MBUS-15)46060,611111111146060,611111111146060,6979166667</v>
      </c>
      <c r="Q495" s="1" t="str">
        <f>_xlfn.CONCAT(H495,I495,J495)</f>
        <v>DAURDE</v>
      </c>
    </row>
    <row r="496" spans="2:17">
      <c r="B496" s="1" t="s">
        <v>327</v>
      </c>
      <c r="C496" s="1" t="s">
        <v>247</v>
      </c>
      <c r="D496" s="52">
        <v>46061.021527777775</v>
      </c>
      <c r="E496" s="52">
        <v>46061.021527777775</v>
      </c>
      <c r="F496" s="52">
        <v>46061.375694444447</v>
      </c>
      <c r="G496" s="53">
        <v>0.35416666666666669</v>
      </c>
      <c r="H496" s="1" t="s">
        <v>257</v>
      </c>
      <c r="J496" s="1" t="s">
        <v>258</v>
      </c>
      <c r="K496" s="1" t="s">
        <v>658</v>
      </c>
      <c r="L496" s="1" t="s">
        <v>711</v>
      </c>
      <c r="M496" s="1" t="s">
        <v>260</v>
      </c>
      <c r="N496" s="1" t="s">
        <v>357</v>
      </c>
      <c r="O496" s="1" t="s">
        <v>632</v>
      </c>
      <c r="P496" s="1" t="str">
        <f>_xlfn.CONCAT(B496,C496,D496,E496,F496)</f>
        <v>BC Aracu5.1Inverter(MBUS-1)46061,021527777846061,021527777846061,3756944444</v>
      </c>
      <c r="Q496" s="1" t="str">
        <f>_xlfn.CONCAT(H496,I496,J496)</f>
        <v>DAURDE</v>
      </c>
    </row>
    <row r="497" spans="2:17">
      <c r="B497" s="1" t="s">
        <v>328</v>
      </c>
      <c r="C497" s="1" t="s">
        <v>247</v>
      </c>
      <c r="D497" s="52">
        <v>46061.021527777775</v>
      </c>
      <c r="E497" s="52">
        <v>46061.021527777775</v>
      </c>
      <c r="F497" s="52">
        <v>46061.375694444447</v>
      </c>
      <c r="G497" s="53">
        <v>0.35416666666666669</v>
      </c>
      <c r="H497" s="1" t="s">
        <v>257</v>
      </c>
      <c r="J497" s="1" t="s">
        <v>258</v>
      </c>
      <c r="K497" s="1" t="s">
        <v>658</v>
      </c>
      <c r="L497" s="1" t="s">
        <v>711</v>
      </c>
      <c r="M497" s="1" t="s">
        <v>260</v>
      </c>
      <c r="N497" s="1" t="s">
        <v>357</v>
      </c>
      <c r="O497" s="1" t="s">
        <v>632</v>
      </c>
      <c r="P497" s="1" t="str">
        <f>_xlfn.CONCAT(B497,C497,D497,E497,F497)</f>
        <v>BC Aracu5.3Inverter(MBUS-1)46061,021527777846061,021527777846061,3756944444</v>
      </c>
      <c r="Q497" s="1" t="str">
        <f>_xlfn.CONCAT(H497,I497,J497)</f>
        <v>DAURDE</v>
      </c>
    </row>
    <row r="498" spans="2:17">
      <c r="B498" s="1" t="s">
        <v>329</v>
      </c>
      <c r="C498" s="1" t="s">
        <v>247</v>
      </c>
      <c r="D498" s="52">
        <v>46061.021527777775</v>
      </c>
      <c r="E498" s="52">
        <v>46061.021527777775</v>
      </c>
      <c r="F498" s="52">
        <v>46061.375694444447</v>
      </c>
      <c r="G498" s="53">
        <v>0.35416666666666669</v>
      </c>
      <c r="H498" s="1" t="s">
        <v>257</v>
      </c>
      <c r="J498" s="1" t="s">
        <v>258</v>
      </c>
      <c r="K498" s="1" t="s">
        <v>658</v>
      </c>
      <c r="L498" s="1" t="s">
        <v>711</v>
      </c>
      <c r="M498" s="1" t="s">
        <v>260</v>
      </c>
      <c r="N498" s="1" t="s">
        <v>357</v>
      </c>
      <c r="O498" s="1" t="s">
        <v>632</v>
      </c>
      <c r="P498" s="1" t="str">
        <f>_xlfn.CONCAT(B498,C498,D498,E498,F498)</f>
        <v>BC Aracu5.4Inverter(MBUS-1)46061,021527777846061,021527777846061,3756944444</v>
      </c>
      <c r="Q498" s="1" t="str">
        <f>_xlfn.CONCAT(H498,I498,J498)</f>
        <v>DAURDE</v>
      </c>
    </row>
    <row r="499" spans="2:17">
      <c r="B499" s="1" t="s">
        <v>330</v>
      </c>
      <c r="C499" s="1" t="s">
        <v>247</v>
      </c>
      <c r="D499" s="52">
        <v>46061.021527777775</v>
      </c>
      <c r="E499" s="52">
        <v>46061.021527777775</v>
      </c>
      <c r="F499" s="52">
        <v>46061.375694444447</v>
      </c>
      <c r="G499" s="53">
        <v>0.35416666666666669</v>
      </c>
      <c r="H499" s="1" t="s">
        <v>257</v>
      </c>
      <c r="J499" s="1" t="s">
        <v>258</v>
      </c>
      <c r="K499" s="1" t="s">
        <v>658</v>
      </c>
      <c r="L499" s="1" t="s">
        <v>711</v>
      </c>
      <c r="M499" s="1" t="s">
        <v>260</v>
      </c>
      <c r="N499" s="1" t="s">
        <v>357</v>
      </c>
      <c r="O499" s="1" t="s">
        <v>632</v>
      </c>
      <c r="P499" s="1" t="str">
        <f>_xlfn.CONCAT(B499,C499,D499,E499,F499)</f>
        <v>BC Aracu5.5Inverter(MBUS-1)46061,021527777846061,021527777846061,3756944444</v>
      </c>
      <c r="Q499" s="1" t="str">
        <f>_xlfn.CONCAT(H499,I499,J499)</f>
        <v>DAURDE</v>
      </c>
    </row>
    <row r="500" spans="2:17">
      <c r="B500" s="1" t="s">
        <v>360</v>
      </c>
      <c r="C500" s="1" t="s">
        <v>720</v>
      </c>
      <c r="D500" s="52">
        <v>46061.254861111112</v>
      </c>
      <c r="E500" s="52">
        <v>46061.254861111112</v>
      </c>
      <c r="F500" s="52">
        <v>46061.319444444445</v>
      </c>
      <c r="G500" s="53">
        <v>6.458333333333334E-2</v>
      </c>
      <c r="H500" s="1" t="s">
        <v>257</v>
      </c>
      <c r="J500" s="1" t="s">
        <v>258</v>
      </c>
      <c r="K500" s="1" t="s">
        <v>658</v>
      </c>
      <c r="L500" s="1" t="s">
        <v>691</v>
      </c>
      <c r="M500" s="1" t="s">
        <v>260</v>
      </c>
      <c r="N500" s="1" t="s">
        <v>357</v>
      </c>
      <c r="O500" s="1" t="s">
        <v>632</v>
      </c>
      <c r="P500" s="1" t="str">
        <f>_xlfn.CONCAT(B500,C500,D500,E500,F500)</f>
        <v>BC Corumba1.1U01.I0146061,254861111146061,254861111146061,3194444444</v>
      </c>
      <c r="Q500" s="1" t="str">
        <f>_xlfn.CONCAT(H500,I500,J500)</f>
        <v>DAURDE</v>
      </c>
    </row>
    <row r="501" spans="2:17">
      <c r="B501" s="1" t="s">
        <v>360</v>
      </c>
      <c r="C501" s="1" t="s">
        <v>721</v>
      </c>
      <c r="D501" s="52">
        <v>46061.254861111112</v>
      </c>
      <c r="E501" s="52">
        <v>46061.254861111112</v>
      </c>
      <c r="F501" s="52">
        <v>46061.319444444445</v>
      </c>
      <c r="G501" s="53">
        <v>6.458333333333334E-2</v>
      </c>
      <c r="H501" s="1" t="s">
        <v>257</v>
      </c>
      <c r="J501" s="1" t="s">
        <v>258</v>
      </c>
      <c r="K501" s="1" t="s">
        <v>658</v>
      </c>
      <c r="L501" s="1" t="s">
        <v>691</v>
      </c>
      <c r="M501" s="1" t="s">
        <v>260</v>
      </c>
      <c r="N501" s="1" t="s">
        <v>357</v>
      </c>
      <c r="O501" s="1" t="s">
        <v>632</v>
      </c>
      <c r="P501" s="1" t="str">
        <f>_xlfn.CONCAT(B501,C501,D501,E501,F501)</f>
        <v>BC Corumba1.1U01.I0246061,254861111146061,254861111146061,3194444444</v>
      </c>
      <c r="Q501" s="1" t="str">
        <f>_xlfn.CONCAT(H501,I501,J501)</f>
        <v>DAURDE</v>
      </c>
    </row>
    <row r="502" spans="2:17">
      <c r="B502" s="1" t="s">
        <v>360</v>
      </c>
      <c r="C502" s="1" t="s">
        <v>722</v>
      </c>
      <c r="D502" s="52">
        <v>46061.254861111112</v>
      </c>
      <c r="E502" s="52">
        <v>46061.254861111112</v>
      </c>
      <c r="F502" s="52">
        <v>46061.319444444445</v>
      </c>
      <c r="G502" s="53">
        <v>6.458333333333334E-2</v>
      </c>
      <c r="H502" s="1" t="s">
        <v>257</v>
      </c>
      <c r="J502" s="1" t="s">
        <v>258</v>
      </c>
      <c r="K502" s="1" t="s">
        <v>658</v>
      </c>
      <c r="L502" s="1" t="s">
        <v>691</v>
      </c>
      <c r="M502" s="1" t="s">
        <v>260</v>
      </c>
      <c r="N502" s="1" t="s">
        <v>357</v>
      </c>
      <c r="O502" s="1" t="s">
        <v>632</v>
      </c>
      <c r="P502" s="1" t="str">
        <f>_xlfn.CONCAT(B502,C502,D502,E502,F502)</f>
        <v>BC Corumba1.1U01.I0346061,254861111146061,254861111146061,3194444444</v>
      </c>
      <c r="Q502" s="1" t="str">
        <f>_xlfn.CONCAT(H502,I502,J502)</f>
        <v>DAURDE</v>
      </c>
    </row>
    <row r="503" spans="2:17">
      <c r="B503" s="1" t="s">
        <v>360</v>
      </c>
      <c r="C503" s="1" t="s">
        <v>361</v>
      </c>
      <c r="D503" s="52">
        <v>46061.254861111112</v>
      </c>
      <c r="E503" s="52">
        <v>46061.254861111112</v>
      </c>
      <c r="F503" s="52">
        <v>46061.319444444445</v>
      </c>
      <c r="G503" s="53">
        <v>6.458333333333334E-2</v>
      </c>
      <c r="H503" s="1" t="s">
        <v>257</v>
      </c>
      <c r="J503" s="1" t="s">
        <v>258</v>
      </c>
      <c r="K503" s="1" t="s">
        <v>658</v>
      </c>
      <c r="L503" s="1" t="s">
        <v>691</v>
      </c>
      <c r="M503" s="1" t="s">
        <v>260</v>
      </c>
      <c r="N503" s="1" t="s">
        <v>357</v>
      </c>
      <c r="O503" s="1" t="s">
        <v>632</v>
      </c>
      <c r="P503" s="1" t="str">
        <f>_xlfn.CONCAT(B503,C503,D503,E503,F503)</f>
        <v>BC Corumba1.1U01.I0446061,254861111146061,254861111146061,3194444444</v>
      </c>
      <c r="Q503" s="1" t="str">
        <f>_xlfn.CONCAT(H503,I503,J503)</f>
        <v>DAURDE</v>
      </c>
    </row>
    <row r="504" spans="2:17">
      <c r="B504" s="1" t="s">
        <v>360</v>
      </c>
      <c r="C504" s="1" t="s">
        <v>366</v>
      </c>
      <c r="D504" s="52">
        <v>46061.254861111112</v>
      </c>
      <c r="E504" s="52">
        <v>46061.254861111112</v>
      </c>
      <c r="F504" s="52">
        <v>46061.319444444445</v>
      </c>
      <c r="G504" s="53">
        <v>6.458333333333334E-2</v>
      </c>
      <c r="H504" s="1" t="s">
        <v>257</v>
      </c>
      <c r="J504" s="1" t="s">
        <v>258</v>
      </c>
      <c r="K504" s="1" t="s">
        <v>658</v>
      </c>
      <c r="L504" s="1" t="s">
        <v>691</v>
      </c>
      <c r="M504" s="1" t="s">
        <v>252</v>
      </c>
      <c r="N504" s="1" t="s">
        <v>253</v>
      </c>
      <c r="O504" s="1" t="s">
        <v>723</v>
      </c>
      <c r="P504" s="1" t="str">
        <f>_xlfn.CONCAT(B504,C504,D504,E504,F504)</f>
        <v>BC Corumba1.1U01.I0546061,254861111146061,254861111146061,3194444444</v>
      </c>
      <c r="Q504" s="1" t="str">
        <f>_xlfn.CONCAT(H504,I504,J504)</f>
        <v>DAURDE</v>
      </c>
    </row>
    <row r="505" spans="2:17">
      <c r="B505" s="1" t="s">
        <v>367</v>
      </c>
      <c r="C505" s="1" t="s">
        <v>287</v>
      </c>
      <c r="D505" s="52">
        <v>46061.254861111112</v>
      </c>
      <c r="E505" s="52">
        <v>46061.254861111112</v>
      </c>
      <c r="F505" s="52">
        <v>46061.319444444445</v>
      </c>
      <c r="G505" s="53">
        <v>6.458333333333334E-2</v>
      </c>
      <c r="H505" s="1" t="s">
        <v>257</v>
      </c>
      <c r="J505" s="1" t="s">
        <v>258</v>
      </c>
      <c r="K505" s="1" t="s">
        <v>658</v>
      </c>
      <c r="L505" s="1" t="s">
        <v>691</v>
      </c>
      <c r="M505" s="1" t="s">
        <v>260</v>
      </c>
      <c r="N505" s="1" t="s">
        <v>357</v>
      </c>
      <c r="O505" s="1" t="s">
        <v>632</v>
      </c>
      <c r="P505" s="1" t="str">
        <f>_xlfn.CONCAT(B505,C505,D505,E505,F505)</f>
        <v>BC Corumba1.2U02.I0146061,254861111146061,254861111146061,3194444444</v>
      </c>
      <c r="Q505" s="1" t="str">
        <f>_xlfn.CONCAT(H505,I505,J505)</f>
        <v>DAURDE</v>
      </c>
    </row>
    <row r="506" spans="2:17">
      <c r="B506" s="1" t="s">
        <v>367</v>
      </c>
      <c r="C506" s="1" t="s">
        <v>292</v>
      </c>
      <c r="D506" s="52">
        <v>46061.254861111112</v>
      </c>
      <c r="E506" s="52">
        <v>46061.254861111112</v>
      </c>
      <c r="F506" s="52">
        <v>46061.319444444445</v>
      </c>
      <c r="G506" s="53">
        <v>6.458333333333334E-2</v>
      </c>
      <c r="H506" s="1" t="s">
        <v>257</v>
      </c>
      <c r="J506" s="1" t="s">
        <v>258</v>
      </c>
      <c r="K506" s="1" t="s">
        <v>658</v>
      </c>
      <c r="L506" s="1" t="s">
        <v>691</v>
      </c>
      <c r="M506" s="1" t="s">
        <v>260</v>
      </c>
      <c r="N506" s="1" t="s">
        <v>357</v>
      </c>
      <c r="O506" s="1" t="s">
        <v>632</v>
      </c>
      <c r="P506" s="1" t="str">
        <f>_xlfn.CONCAT(B506,C506,D506,E506,F506)</f>
        <v>BC Corumba1.2U02.I0246061,254861111146061,254861111146061,3194444444</v>
      </c>
      <c r="Q506" s="1" t="str">
        <f>_xlfn.CONCAT(H506,I506,J506)</f>
        <v>DAURDE</v>
      </c>
    </row>
    <row r="507" spans="2:17">
      <c r="B507" s="1" t="s">
        <v>367</v>
      </c>
      <c r="C507" s="1" t="s">
        <v>293</v>
      </c>
      <c r="D507" s="52">
        <v>46061.254861111112</v>
      </c>
      <c r="E507" s="52">
        <v>46061.254861111112</v>
      </c>
      <c r="F507" s="52">
        <v>46061.319444444445</v>
      </c>
      <c r="G507" s="53">
        <v>6.458333333333334E-2</v>
      </c>
      <c r="H507" s="1" t="s">
        <v>257</v>
      </c>
      <c r="J507" s="1" t="s">
        <v>258</v>
      </c>
      <c r="K507" s="1" t="s">
        <v>658</v>
      </c>
      <c r="L507" s="1" t="s">
        <v>691</v>
      </c>
      <c r="M507" s="1" t="s">
        <v>260</v>
      </c>
      <c r="N507" s="1" t="s">
        <v>357</v>
      </c>
      <c r="O507" s="1" t="s">
        <v>632</v>
      </c>
      <c r="P507" s="1" t="str">
        <f>_xlfn.CONCAT(B507,C507,D507,E507,F507)</f>
        <v>BC Corumba1.2U02.I0346061,254861111146061,254861111146061,3194444444</v>
      </c>
      <c r="Q507" s="1" t="str">
        <f>_xlfn.CONCAT(H507,I507,J507)</f>
        <v>DAURDE</v>
      </c>
    </row>
    <row r="508" spans="2:17">
      <c r="B508" s="1" t="s">
        <v>367</v>
      </c>
      <c r="C508" s="1" t="s">
        <v>294</v>
      </c>
      <c r="D508" s="52">
        <v>46061.254861111112</v>
      </c>
      <c r="E508" s="52">
        <v>46061.254861111112</v>
      </c>
      <c r="F508" s="52">
        <v>46061.319444444445</v>
      </c>
      <c r="G508" s="53">
        <v>6.458333333333334E-2</v>
      </c>
      <c r="H508" s="1" t="s">
        <v>257</v>
      </c>
      <c r="J508" s="1" t="s">
        <v>258</v>
      </c>
      <c r="K508" s="1" t="s">
        <v>658</v>
      </c>
      <c r="L508" s="1" t="s">
        <v>691</v>
      </c>
      <c r="M508" s="1" t="s">
        <v>260</v>
      </c>
      <c r="N508" s="1" t="s">
        <v>357</v>
      </c>
      <c r="O508" s="1" t="s">
        <v>632</v>
      </c>
      <c r="P508" s="1" t="str">
        <f>_xlfn.CONCAT(B508,C508,D508,E508,F508)</f>
        <v>BC Corumba1.2U02.I0446061,254861111146061,254861111146061,3194444444</v>
      </c>
      <c r="Q508" s="1" t="str">
        <f>_xlfn.CONCAT(H508,I508,J508)</f>
        <v>DAURDE</v>
      </c>
    </row>
    <row r="509" spans="2:17">
      <c r="B509" s="1" t="s">
        <v>367</v>
      </c>
      <c r="C509" s="1" t="s">
        <v>295</v>
      </c>
      <c r="D509" s="52">
        <v>46061.254861111112</v>
      </c>
      <c r="E509" s="52">
        <v>46061.254861111112</v>
      </c>
      <c r="F509" s="52">
        <v>46061.319444444445</v>
      </c>
      <c r="G509" s="53">
        <v>6.458333333333334E-2</v>
      </c>
      <c r="H509" s="1" t="s">
        <v>257</v>
      </c>
      <c r="J509" s="1" t="s">
        <v>258</v>
      </c>
      <c r="K509" s="1" t="s">
        <v>658</v>
      </c>
      <c r="L509" s="1" t="s">
        <v>691</v>
      </c>
      <c r="M509" s="1" t="s">
        <v>260</v>
      </c>
      <c r="N509" s="1" t="s">
        <v>357</v>
      </c>
      <c r="O509" s="1" t="s">
        <v>632</v>
      </c>
      <c r="P509" s="1" t="str">
        <f>_xlfn.CONCAT(B509,C509,D509,E509,F509)</f>
        <v>BC Corumba1.2U02.I0546061,254861111146061,254861111146061,3194444444</v>
      </c>
      <c r="Q509" s="1" t="str">
        <f>_xlfn.CONCAT(H509,I509,J509)</f>
        <v>DAURDE</v>
      </c>
    </row>
    <row r="510" spans="2:17">
      <c r="B510" s="1" t="s">
        <v>724</v>
      </c>
      <c r="C510" s="1" t="s">
        <v>608</v>
      </c>
      <c r="D510" s="52">
        <v>46061.254861111112</v>
      </c>
      <c r="E510" s="52">
        <v>46061.254861111112</v>
      </c>
      <c r="F510" s="52">
        <v>46061.319444444445</v>
      </c>
      <c r="G510" s="53">
        <v>6.458333333333334E-2</v>
      </c>
      <c r="H510" s="1" t="s">
        <v>257</v>
      </c>
      <c r="J510" s="1" t="s">
        <v>258</v>
      </c>
      <c r="K510" s="1" t="s">
        <v>658</v>
      </c>
      <c r="L510" s="1" t="s">
        <v>691</v>
      </c>
      <c r="M510" s="1" t="s">
        <v>260</v>
      </c>
      <c r="N510" s="1" t="s">
        <v>357</v>
      </c>
      <c r="O510" s="1" t="s">
        <v>632</v>
      </c>
      <c r="P510" s="1" t="str">
        <f>_xlfn.CONCAT(B510,C510,D510,E510,F510)</f>
        <v>BC Corumba1.3U03.I0146061,254861111146061,254861111146061,3194444444</v>
      </c>
      <c r="Q510" s="1" t="str">
        <f>_xlfn.CONCAT(H510,I510,J510)</f>
        <v>DAURDE</v>
      </c>
    </row>
    <row r="511" spans="2:17">
      <c r="B511" s="1" t="s">
        <v>724</v>
      </c>
      <c r="C511" s="1" t="s">
        <v>611</v>
      </c>
      <c r="D511" s="52">
        <v>46061.254861111112</v>
      </c>
      <c r="E511" s="52">
        <v>46061.254861111112</v>
      </c>
      <c r="F511" s="52">
        <v>46061.319444444445</v>
      </c>
      <c r="G511" s="53">
        <v>6.458333333333334E-2</v>
      </c>
      <c r="H511" s="1" t="s">
        <v>257</v>
      </c>
      <c r="J511" s="1" t="s">
        <v>258</v>
      </c>
      <c r="K511" s="1" t="s">
        <v>658</v>
      </c>
      <c r="L511" s="1" t="s">
        <v>691</v>
      </c>
      <c r="M511" s="1" t="s">
        <v>260</v>
      </c>
      <c r="N511" s="1" t="s">
        <v>357</v>
      </c>
      <c r="O511" s="1" t="s">
        <v>632</v>
      </c>
      <c r="P511" s="1" t="str">
        <f>_xlfn.CONCAT(B511,C511,D511,E511,F511)</f>
        <v>BC Corumba1.3U03.I0246061,254861111146061,254861111146061,3194444444</v>
      </c>
      <c r="Q511" s="1" t="str">
        <f>_xlfn.CONCAT(H511,I511,J511)</f>
        <v>DAURDE</v>
      </c>
    </row>
    <row r="512" spans="2:17">
      <c r="B512" s="1" t="s">
        <v>724</v>
      </c>
      <c r="C512" s="1" t="s">
        <v>536</v>
      </c>
      <c r="D512" s="52">
        <v>46061.254861111112</v>
      </c>
      <c r="E512" s="52">
        <v>46061.254861111112</v>
      </c>
      <c r="F512" s="52">
        <v>46061.319444444445</v>
      </c>
      <c r="G512" s="53">
        <v>6.458333333333334E-2</v>
      </c>
      <c r="H512" s="1" t="s">
        <v>257</v>
      </c>
      <c r="J512" s="1" t="s">
        <v>258</v>
      </c>
      <c r="K512" s="1" t="s">
        <v>658</v>
      </c>
      <c r="L512" s="1" t="s">
        <v>691</v>
      </c>
      <c r="M512" s="1" t="s">
        <v>260</v>
      </c>
      <c r="N512" s="1" t="s">
        <v>357</v>
      </c>
      <c r="O512" s="1" t="s">
        <v>632</v>
      </c>
      <c r="P512" s="1" t="str">
        <f>_xlfn.CONCAT(B512,C512,D512,E512,F512)</f>
        <v>BC Corumba1.3U03.I0346061,254861111146061,254861111146061,3194444444</v>
      </c>
      <c r="Q512" s="1" t="str">
        <f>_xlfn.CONCAT(H512,I512,J512)</f>
        <v>DAURDE</v>
      </c>
    </row>
    <row r="513" spans="2:17">
      <c r="B513" s="1" t="s">
        <v>725</v>
      </c>
      <c r="C513" s="1" t="s">
        <v>263</v>
      </c>
      <c r="D513" s="52">
        <v>46061.254861111112</v>
      </c>
      <c r="E513" s="52">
        <v>46061.254861111112</v>
      </c>
      <c r="F513" s="52">
        <v>46061.319444444445</v>
      </c>
      <c r="G513" s="53">
        <v>6.458333333333334E-2</v>
      </c>
      <c r="H513" s="1" t="s">
        <v>257</v>
      </c>
      <c r="J513" s="1" t="s">
        <v>258</v>
      </c>
      <c r="K513" s="1" t="s">
        <v>658</v>
      </c>
      <c r="L513" s="1" t="s">
        <v>691</v>
      </c>
      <c r="M513" s="1" t="s">
        <v>260</v>
      </c>
      <c r="N513" s="1" t="s">
        <v>357</v>
      </c>
      <c r="O513" s="1" t="s">
        <v>632</v>
      </c>
      <c r="P513" s="1" t="str">
        <f>_xlfn.CONCAT(B513,C513,D513,E513,F513)</f>
        <v>BC Corumba2.1Inverter(MBUS-14)46061,254861111146061,254861111146061,3194444444</v>
      </c>
      <c r="Q513" s="1" t="str">
        <f>_xlfn.CONCAT(H513,I513,J513)</f>
        <v>DAURDE</v>
      </c>
    </row>
    <row r="514" spans="2:17">
      <c r="B514" s="1" t="s">
        <v>725</v>
      </c>
      <c r="C514" s="1" t="s">
        <v>307</v>
      </c>
      <c r="D514" s="52">
        <v>46061.254861111112</v>
      </c>
      <c r="E514" s="52">
        <v>46061.254861111112</v>
      </c>
      <c r="F514" s="52">
        <v>46061.319444444445</v>
      </c>
      <c r="G514" s="53">
        <v>6.458333333333334E-2</v>
      </c>
      <c r="H514" s="1" t="s">
        <v>257</v>
      </c>
      <c r="J514" s="1" t="s">
        <v>258</v>
      </c>
      <c r="K514" s="1" t="s">
        <v>658</v>
      </c>
      <c r="L514" s="1" t="s">
        <v>691</v>
      </c>
      <c r="M514" s="1" t="s">
        <v>260</v>
      </c>
      <c r="N514" s="1" t="s">
        <v>357</v>
      </c>
      <c r="O514" s="1" t="s">
        <v>632</v>
      </c>
      <c r="P514" s="1" t="str">
        <f>_xlfn.CONCAT(B514,C514,D514,E514,F514)</f>
        <v>BC Corumba2.1Inverter(MBUS-15)46061,254861111146061,254861111146061,3194444444</v>
      </c>
      <c r="Q514" s="1" t="str">
        <f>_xlfn.CONCAT(H514,I514,J514)</f>
        <v>DAURDE</v>
      </c>
    </row>
    <row r="515" spans="2:17">
      <c r="B515" s="1" t="s">
        <v>725</v>
      </c>
      <c r="C515" s="1" t="s">
        <v>390</v>
      </c>
      <c r="D515" s="52">
        <v>46061.254861111112</v>
      </c>
      <c r="E515" s="52">
        <v>46061.254861111112</v>
      </c>
      <c r="F515" s="52">
        <v>46061.319444444445</v>
      </c>
      <c r="G515" s="53">
        <v>6.458333333333334E-2</v>
      </c>
      <c r="H515" s="1" t="s">
        <v>257</v>
      </c>
      <c r="J515" s="1" t="s">
        <v>258</v>
      </c>
      <c r="K515" s="1" t="s">
        <v>658</v>
      </c>
      <c r="L515" s="1" t="s">
        <v>691</v>
      </c>
      <c r="M515" s="1" t="s">
        <v>260</v>
      </c>
      <c r="N515" s="1" t="s">
        <v>357</v>
      </c>
      <c r="O515" s="1" t="s">
        <v>632</v>
      </c>
      <c r="P515" s="1" t="str">
        <f>_xlfn.CONCAT(B515,C515,D515,E515,F515)</f>
        <v>BC Corumba2.1Inverter(MBUS-16)46061,254861111146061,254861111146061,3194444444</v>
      </c>
      <c r="Q515" s="1" t="str">
        <f>_xlfn.CONCAT(H515,I515,J515)</f>
        <v>DAURDE</v>
      </c>
    </row>
    <row r="516" spans="2:17">
      <c r="B516" s="1" t="s">
        <v>725</v>
      </c>
      <c r="C516" s="1" t="s">
        <v>726</v>
      </c>
      <c r="D516" s="52">
        <v>46061.254861111112</v>
      </c>
      <c r="E516" s="52">
        <v>46061.254861111112</v>
      </c>
      <c r="F516" s="52">
        <v>46061.319444444445</v>
      </c>
      <c r="G516" s="53">
        <v>6.458333333333334E-2</v>
      </c>
      <c r="H516" s="1" t="s">
        <v>257</v>
      </c>
      <c r="J516" s="1" t="s">
        <v>258</v>
      </c>
      <c r="K516" s="1" t="s">
        <v>658</v>
      </c>
      <c r="L516" s="1" t="s">
        <v>691</v>
      </c>
      <c r="M516" s="1" t="s">
        <v>260</v>
      </c>
      <c r="N516" s="1" t="s">
        <v>357</v>
      </c>
      <c r="O516" s="1" t="s">
        <v>632</v>
      </c>
      <c r="P516" s="1" t="str">
        <f>_xlfn.CONCAT(B516,C516,D516,E516,F516)</f>
        <v>BC Corumba2.1U01. I0146061,254861111146061,254861111146061,3194444444</v>
      </c>
      <c r="Q516" s="1" t="str">
        <f>_xlfn.CONCAT(H516,I516,J516)</f>
        <v>DAURDE</v>
      </c>
    </row>
    <row r="517" spans="2:17">
      <c r="B517" s="1" t="s">
        <v>725</v>
      </c>
      <c r="C517" s="1" t="s">
        <v>727</v>
      </c>
      <c r="D517" s="52">
        <v>46061.254861111112</v>
      </c>
      <c r="E517" s="52">
        <v>46061.254861111112</v>
      </c>
      <c r="F517" s="52">
        <v>46061.319444444445</v>
      </c>
      <c r="G517" s="53">
        <v>6.458333333333334E-2</v>
      </c>
      <c r="H517" s="1" t="s">
        <v>257</v>
      </c>
      <c r="J517" s="1" t="s">
        <v>258</v>
      </c>
      <c r="K517" s="1" t="s">
        <v>658</v>
      </c>
      <c r="L517" s="1" t="s">
        <v>691</v>
      </c>
      <c r="M517" s="1" t="s">
        <v>260</v>
      </c>
      <c r="N517" s="1" t="s">
        <v>357</v>
      </c>
      <c r="O517" s="1" t="s">
        <v>632</v>
      </c>
      <c r="P517" s="1" t="str">
        <f>_xlfn.CONCAT(B517,C517,D517,E517,F517)</f>
        <v>BC Corumba2.1U01. I0246061,254861111146061,254861111146061,3194444444</v>
      </c>
      <c r="Q517" s="1" t="str">
        <f>_xlfn.CONCAT(H517,I517,J517)</f>
        <v>DAURDE</v>
      </c>
    </row>
    <row r="518" spans="2:17">
      <c r="B518" s="1" t="s">
        <v>286</v>
      </c>
      <c r="C518" s="1" t="s">
        <v>287</v>
      </c>
      <c r="D518" s="52">
        <v>46061.254861111112</v>
      </c>
      <c r="E518" s="52">
        <v>46061.254861111112</v>
      </c>
      <c r="F518" s="52">
        <v>46061.319444444445</v>
      </c>
      <c r="G518" s="53">
        <v>6.458333333333334E-2</v>
      </c>
      <c r="H518" s="1" t="s">
        <v>257</v>
      </c>
      <c r="J518" s="1" t="s">
        <v>258</v>
      </c>
      <c r="K518" s="1" t="s">
        <v>658</v>
      </c>
      <c r="L518" s="1" t="s">
        <v>691</v>
      </c>
      <c r="M518" s="1" t="s">
        <v>260</v>
      </c>
      <c r="N518" s="1" t="s">
        <v>357</v>
      </c>
      <c r="O518" s="1" t="s">
        <v>632</v>
      </c>
      <c r="P518" s="1" t="str">
        <f>_xlfn.CONCAT(B518,C518,D518,E518,F518)</f>
        <v>BC Corumba2.2U02.I0146061,254861111146061,254861111146061,3194444444</v>
      </c>
      <c r="Q518" s="1" t="str">
        <f>_xlfn.CONCAT(H518,I518,J518)</f>
        <v>DAURDE</v>
      </c>
    </row>
    <row r="519" spans="2:17">
      <c r="B519" s="1" t="s">
        <v>286</v>
      </c>
      <c r="C519" s="1" t="s">
        <v>292</v>
      </c>
      <c r="D519" s="52">
        <v>46061.254861111112</v>
      </c>
      <c r="E519" s="52">
        <v>46061.254861111112</v>
      </c>
      <c r="F519" s="52">
        <v>46061.319444444445</v>
      </c>
      <c r="G519" s="53">
        <v>6.458333333333334E-2</v>
      </c>
      <c r="H519" s="1" t="s">
        <v>257</v>
      </c>
      <c r="J519" s="1" t="s">
        <v>258</v>
      </c>
      <c r="K519" s="1" t="s">
        <v>658</v>
      </c>
      <c r="L519" s="1" t="s">
        <v>691</v>
      </c>
      <c r="M519" s="1" t="s">
        <v>260</v>
      </c>
      <c r="N519" s="1" t="s">
        <v>357</v>
      </c>
      <c r="O519" s="1" t="s">
        <v>632</v>
      </c>
      <c r="P519" s="1" t="str">
        <f>_xlfn.CONCAT(B519,C519,D519,E519,F519)</f>
        <v>BC Corumba2.2U02.I0246061,254861111146061,254861111146061,3194444444</v>
      </c>
      <c r="Q519" s="1" t="str">
        <f>_xlfn.CONCAT(H519,I519,J519)</f>
        <v>DAURDE</v>
      </c>
    </row>
    <row r="520" spans="2:17">
      <c r="B520" s="1" t="s">
        <v>286</v>
      </c>
      <c r="C520" s="1" t="s">
        <v>293</v>
      </c>
      <c r="D520" s="52">
        <v>46061.254861111112</v>
      </c>
      <c r="E520" s="52">
        <v>46061.254861111112</v>
      </c>
      <c r="F520" s="52">
        <v>46061.319444444445</v>
      </c>
      <c r="G520" s="53">
        <v>6.458333333333334E-2</v>
      </c>
      <c r="H520" s="1" t="s">
        <v>257</v>
      </c>
      <c r="J520" s="1" t="s">
        <v>258</v>
      </c>
      <c r="K520" s="1" t="s">
        <v>658</v>
      </c>
      <c r="L520" s="1" t="s">
        <v>691</v>
      </c>
      <c r="M520" s="1" t="s">
        <v>260</v>
      </c>
      <c r="N520" s="1" t="s">
        <v>357</v>
      </c>
      <c r="O520" s="1" t="s">
        <v>632</v>
      </c>
      <c r="P520" s="1" t="str">
        <f>_xlfn.CONCAT(B520,C520,D520,E520,F520)</f>
        <v>BC Corumba2.2U02.I0346061,254861111146061,254861111146061,3194444444</v>
      </c>
      <c r="Q520" s="1" t="str">
        <f>_xlfn.CONCAT(H520,I520,J520)</f>
        <v>DAURDE</v>
      </c>
    </row>
    <row r="521" spans="2:17">
      <c r="B521" s="1" t="s">
        <v>286</v>
      </c>
      <c r="C521" s="1" t="s">
        <v>294</v>
      </c>
      <c r="D521" s="52">
        <v>46061.254861111112</v>
      </c>
      <c r="E521" s="52">
        <v>46061.254861111112</v>
      </c>
      <c r="F521" s="52">
        <v>46061.319444444445</v>
      </c>
      <c r="G521" s="53">
        <v>6.458333333333334E-2</v>
      </c>
      <c r="H521" s="1" t="s">
        <v>257</v>
      </c>
      <c r="J521" s="1" t="s">
        <v>258</v>
      </c>
      <c r="K521" s="1" t="s">
        <v>658</v>
      </c>
      <c r="L521" s="1" t="s">
        <v>691</v>
      </c>
      <c r="M521" s="1" t="s">
        <v>260</v>
      </c>
      <c r="N521" s="1" t="s">
        <v>357</v>
      </c>
      <c r="O521" s="1" t="s">
        <v>632</v>
      </c>
      <c r="P521" s="1" t="str">
        <f>_xlfn.CONCAT(B521,C521,D521,E521,F521)</f>
        <v>BC Corumba2.2U02.I0446061,254861111146061,254861111146061,3194444444</v>
      </c>
      <c r="Q521" s="1" t="str">
        <f>_xlfn.CONCAT(H521,I521,J521)</f>
        <v>DAURDE</v>
      </c>
    </row>
    <row r="522" spans="2:17">
      <c r="B522" s="1" t="s">
        <v>286</v>
      </c>
      <c r="C522" s="1" t="s">
        <v>295</v>
      </c>
      <c r="D522" s="52">
        <v>46061.254861111112</v>
      </c>
      <c r="E522" s="52">
        <v>46061.254861111112</v>
      </c>
      <c r="F522" s="52">
        <v>46061.319444444445</v>
      </c>
      <c r="G522" s="53">
        <v>6.458333333333334E-2</v>
      </c>
      <c r="H522" s="1" t="s">
        <v>257</v>
      </c>
      <c r="J522" s="1" t="s">
        <v>258</v>
      </c>
      <c r="K522" s="1" t="s">
        <v>658</v>
      </c>
      <c r="L522" s="1" t="s">
        <v>691</v>
      </c>
      <c r="M522" s="1" t="s">
        <v>260</v>
      </c>
      <c r="N522" s="1" t="s">
        <v>357</v>
      </c>
      <c r="O522" s="1" t="s">
        <v>632</v>
      </c>
      <c r="P522" s="1" t="str">
        <f>_xlfn.CONCAT(B522,C522,D522,E522,F522)</f>
        <v>BC Corumba2.2U02.I0546061,254861111146061,254861111146061,3194444444</v>
      </c>
      <c r="Q522" s="1" t="str">
        <f>_xlfn.CONCAT(H522,I522,J522)</f>
        <v>DAURDE</v>
      </c>
    </row>
    <row r="523" spans="2:17">
      <c r="B523" s="1" t="s">
        <v>612</v>
      </c>
      <c r="C523" s="1" t="s">
        <v>622</v>
      </c>
      <c r="D523" s="52">
        <v>46061.520833333336</v>
      </c>
      <c r="E523" s="52">
        <v>46061.520833333336</v>
      </c>
      <c r="F523" s="52">
        <v>46061.621527777781</v>
      </c>
      <c r="G523" s="53">
        <v>0.10069444444444445</v>
      </c>
      <c r="H523" s="1" t="s">
        <v>257</v>
      </c>
      <c r="J523" s="1" t="s">
        <v>371</v>
      </c>
      <c r="K523" s="1" t="s">
        <v>653</v>
      </c>
      <c r="L523" s="1" t="s">
        <v>614</v>
      </c>
      <c r="M523" s="1" t="s">
        <v>260</v>
      </c>
      <c r="N523" s="1" t="s">
        <v>357</v>
      </c>
      <c r="O523" s="1" t="s">
        <v>632</v>
      </c>
      <c r="P523" s="1" t="str">
        <f>_xlfn.CONCAT(B523,C523,D523,E523,F523)</f>
        <v>BC Vazante 1.1Inverter1246061,520833333346061,520833333346061,6215277778</v>
      </c>
      <c r="Q523" s="1" t="str">
        <f>_xlfn.CONCAT(H523,I523,J523)</f>
        <v>DAUINV</v>
      </c>
    </row>
    <row r="524" spans="2:17">
      <c r="B524" s="1" t="s">
        <v>442</v>
      </c>
      <c r="C524" s="1" t="s">
        <v>264</v>
      </c>
      <c r="D524" s="52">
        <v>46061.840277777781</v>
      </c>
      <c r="E524" s="52">
        <v>46061.840277777781</v>
      </c>
      <c r="F524" s="52">
        <v>46061.951388888891</v>
      </c>
      <c r="G524" s="53">
        <v>0.1111111111111111</v>
      </c>
      <c r="H524" s="1" t="s">
        <v>257</v>
      </c>
      <c r="J524" s="1" t="s">
        <v>258</v>
      </c>
      <c r="K524" s="1" t="s">
        <v>658</v>
      </c>
      <c r="L524" s="1" t="s">
        <v>728</v>
      </c>
      <c r="M524" s="1" t="s">
        <v>260</v>
      </c>
      <c r="N524" s="1" t="s">
        <v>357</v>
      </c>
      <c r="O524" s="1" t="s">
        <v>632</v>
      </c>
      <c r="P524" s="1" t="str">
        <f>_xlfn.CONCAT(B524,C524,D524,E524,F524)</f>
        <v>BC Lencois PaulistaInverter(MBUS-13)46061,840277777846061,840277777846061,9513888889</v>
      </c>
      <c r="Q524" s="1" t="str">
        <f>_xlfn.CONCAT(H524,I524,J524)</f>
        <v>DAURDE</v>
      </c>
    </row>
    <row r="525" spans="2:17">
      <c r="B525" s="1" t="s">
        <v>442</v>
      </c>
      <c r="C525" s="1" t="s">
        <v>263</v>
      </c>
      <c r="D525" s="52">
        <v>46061.840277777781</v>
      </c>
      <c r="E525" s="52">
        <v>46061.840277777781</v>
      </c>
      <c r="F525" s="52">
        <v>46061.951388888891</v>
      </c>
      <c r="G525" s="53">
        <v>0.1111111111111111</v>
      </c>
      <c r="H525" s="1" t="s">
        <v>257</v>
      </c>
      <c r="J525" s="1" t="s">
        <v>258</v>
      </c>
      <c r="K525" s="1" t="s">
        <v>658</v>
      </c>
      <c r="L525" s="1" t="s">
        <v>728</v>
      </c>
      <c r="M525" s="1" t="s">
        <v>260</v>
      </c>
      <c r="N525" s="1" t="s">
        <v>357</v>
      </c>
      <c r="O525" s="1" t="s">
        <v>632</v>
      </c>
      <c r="P525" s="1" t="str">
        <f>_xlfn.CONCAT(B525,C525,D525,E525,F525)</f>
        <v>BC Lencois PaulistaInverter(MBUS-14)46061,840277777846061,840277777846061,9513888889</v>
      </c>
      <c r="Q525" s="1" t="str">
        <f>_xlfn.CONCAT(H525,I525,J525)</f>
        <v>DAURDE</v>
      </c>
    </row>
    <row r="526" spans="2:17">
      <c r="B526" s="1" t="s">
        <v>442</v>
      </c>
      <c r="C526" s="1" t="s">
        <v>256</v>
      </c>
      <c r="D526" s="52">
        <v>46061.840277777781</v>
      </c>
      <c r="E526" s="52">
        <v>46061.840277777781</v>
      </c>
      <c r="F526" s="52">
        <v>46061.951388888891</v>
      </c>
      <c r="G526" s="53">
        <v>0.1111111111111111</v>
      </c>
      <c r="H526" s="1" t="s">
        <v>257</v>
      </c>
      <c r="J526" s="1" t="s">
        <v>258</v>
      </c>
      <c r="K526" s="1" t="s">
        <v>658</v>
      </c>
      <c r="L526" s="1" t="s">
        <v>728</v>
      </c>
      <c r="M526" s="1" t="s">
        <v>260</v>
      </c>
      <c r="N526" s="1" t="s">
        <v>357</v>
      </c>
      <c r="O526" s="1" t="s">
        <v>632</v>
      </c>
      <c r="P526" s="1" t="str">
        <f>_xlfn.CONCAT(B526,C526,D526,E526,F526)</f>
        <v>BC Lencois PaulistaInverter(MBUS-12)46061,840277777846061,840277777846061,9513888889</v>
      </c>
      <c r="Q526" s="1" t="str">
        <f>_xlfn.CONCAT(H526,I526,J526)</f>
        <v>DAURDE</v>
      </c>
    </row>
    <row r="527" spans="2:17">
      <c r="B527" s="1" t="s">
        <v>442</v>
      </c>
      <c r="C527" s="1" t="s">
        <v>307</v>
      </c>
      <c r="D527" s="52">
        <v>46061.840277777781</v>
      </c>
      <c r="E527" s="52">
        <v>46061.840277777781</v>
      </c>
      <c r="F527" s="52">
        <v>46061.951388888891</v>
      </c>
      <c r="G527" s="53">
        <v>0.1111111111111111</v>
      </c>
      <c r="H527" s="1" t="s">
        <v>257</v>
      </c>
      <c r="J527" s="1" t="s">
        <v>258</v>
      </c>
      <c r="K527" s="1" t="s">
        <v>658</v>
      </c>
      <c r="L527" s="1" t="s">
        <v>728</v>
      </c>
      <c r="M527" s="1" t="s">
        <v>260</v>
      </c>
      <c r="N527" s="1" t="s">
        <v>357</v>
      </c>
      <c r="O527" s="1" t="s">
        <v>632</v>
      </c>
      <c r="P527" s="1" t="str">
        <f>_xlfn.CONCAT(B527,C527,D527,E527,F527)</f>
        <v>BC Lencois PaulistaInverter(MBUS-15)46061,840277777846061,840277777846061,9513888889</v>
      </c>
      <c r="Q527" s="1" t="str">
        <f>_xlfn.CONCAT(H527,I527,J527)</f>
        <v>DAURDE</v>
      </c>
    </row>
    <row r="528" spans="2:17">
      <c r="B528" s="1" t="s">
        <v>729</v>
      </c>
      <c r="C528" s="1" t="s">
        <v>730</v>
      </c>
      <c r="D528" s="52">
        <v>46062.006944444445</v>
      </c>
      <c r="E528" s="52">
        <v>46062.006944444445</v>
      </c>
      <c r="F528" s="52">
        <v>46062.451388888891</v>
      </c>
      <c r="G528" s="53">
        <v>0.44444444444444442</v>
      </c>
      <c r="H528" s="1" t="s">
        <v>268</v>
      </c>
      <c r="I528" s="1" t="s">
        <v>269</v>
      </c>
      <c r="J528" s="1" t="s">
        <v>319</v>
      </c>
      <c r="K528" s="1" t="s">
        <v>652</v>
      </c>
      <c r="L528" s="1" t="s">
        <v>731</v>
      </c>
      <c r="M528" s="1" t="s">
        <v>260</v>
      </c>
      <c r="N528" s="1" t="s">
        <v>357</v>
      </c>
      <c r="O528" s="1" t="s">
        <v>632</v>
      </c>
      <c r="P528" s="1" t="str">
        <f>_xlfn.CONCAT(B528,C528,D528,E528,F528)</f>
        <v>BC Varjao1.1UFV 1 - INV 146062,006944444446062,006944444446062,4513888889</v>
      </c>
      <c r="Q528" s="1" t="str">
        <f>_xlfn.CONCAT(H528,I528,J528)</f>
        <v>LIGRFOCOM</v>
      </c>
    </row>
    <row r="529" spans="2:17">
      <c r="B529" s="1" t="s">
        <v>729</v>
      </c>
      <c r="C529" s="1" t="s">
        <v>732</v>
      </c>
      <c r="D529" s="52">
        <v>46062.006944444445</v>
      </c>
      <c r="E529" s="52">
        <v>46062.006944444445</v>
      </c>
      <c r="F529" s="52">
        <v>46062.451388888891</v>
      </c>
      <c r="G529" s="53">
        <v>0.44444444444444442</v>
      </c>
      <c r="H529" s="1" t="s">
        <v>268</v>
      </c>
      <c r="I529" s="1" t="s">
        <v>269</v>
      </c>
      <c r="J529" s="1" t="s">
        <v>319</v>
      </c>
      <c r="K529" s="1" t="s">
        <v>652</v>
      </c>
      <c r="L529" s="1" t="s">
        <v>731</v>
      </c>
      <c r="M529" s="1" t="s">
        <v>260</v>
      </c>
      <c r="N529" s="1" t="s">
        <v>357</v>
      </c>
      <c r="O529" s="1" t="s">
        <v>632</v>
      </c>
      <c r="P529" s="1" t="str">
        <f>_xlfn.CONCAT(B529,C529,D529,E529,F529)</f>
        <v>BC Varjao1.1UFV 1 - INV 546062,006944444446062,006944444446062,4513888889</v>
      </c>
      <c r="Q529" s="1" t="str">
        <f>_xlfn.CONCAT(H529,I529,J529)</f>
        <v>LIGRFOCOM</v>
      </c>
    </row>
    <row r="530" spans="2:17">
      <c r="B530" s="1" t="s">
        <v>729</v>
      </c>
      <c r="C530" s="1" t="s">
        <v>733</v>
      </c>
      <c r="D530" s="52">
        <v>46062.006944444445</v>
      </c>
      <c r="E530" s="52">
        <v>46062.006944444445</v>
      </c>
      <c r="F530" s="52">
        <v>46062.451388888891</v>
      </c>
      <c r="G530" s="53">
        <v>0.44444444444444442</v>
      </c>
      <c r="H530" s="1" t="s">
        <v>268</v>
      </c>
      <c r="I530" s="1" t="s">
        <v>269</v>
      </c>
      <c r="J530" s="1" t="s">
        <v>319</v>
      </c>
      <c r="K530" s="1" t="s">
        <v>652</v>
      </c>
      <c r="L530" s="1" t="s">
        <v>731</v>
      </c>
      <c r="M530" s="1" t="s">
        <v>260</v>
      </c>
      <c r="N530" s="1" t="s">
        <v>357</v>
      </c>
      <c r="O530" s="1" t="s">
        <v>632</v>
      </c>
      <c r="P530" s="1" t="str">
        <f>_xlfn.CONCAT(B530,C530,D530,E530,F530)</f>
        <v>BC Varjao1.1UFV 1 - INV 446062,006944444446062,006944444446062,4513888889</v>
      </c>
      <c r="Q530" s="1" t="str">
        <f>_xlfn.CONCAT(H530,I530,J530)</f>
        <v>LIGRFOCOM</v>
      </c>
    </row>
    <row r="531" spans="2:17">
      <c r="B531" s="1" t="s">
        <v>729</v>
      </c>
      <c r="C531" s="1" t="s">
        <v>734</v>
      </c>
      <c r="D531" s="52">
        <v>46062.006944444445</v>
      </c>
      <c r="E531" s="52">
        <v>46062.006944444445</v>
      </c>
      <c r="F531" s="52">
        <v>46062.451388888891</v>
      </c>
      <c r="G531" s="53">
        <v>0.44444444444444442</v>
      </c>
      <c r="H531" s="1" t="s">
        <v>268</v>
      </c>
      <c r="I531" s="1" t="s">
        <v>269</v>
      </c>
      <c r="J531" s="1" t="s">
        <v>319</v>
      </c>
      <c r="K531" s="1" t="s">
        <v>652</v>
      </c>
      <c r="L531" s="1" t="s">
        <v>731</v>
      </c>
      <c r="M531" s="1" t="s">
        <v>260</v>
      </c>
      <c r="N531" s="1" t="s">
        <v>357</v>
      </c>
      <c r="O531" s="1" t="s">
        <v>632</v>
      </c>
      <c r="P531" s="1" t="str">
        <f>_xlfn.CONCAT(B531,C531,D531,E531,F531)</f>
        <v>BC Varjao1.1UFV 1 - INV 346062,006944444446062,006944444446062,4513888889</v>
      </c>
      <c r="Q531" s="1" t="str">
        <f>_xlfn.CONCAT(H531,I531,J531)</f>
        <v>LIGRFOCOM</v>
      </c>
    </row>
    <row r="532" spans="2:17">
      <c r="B532" s="1" t="s">
        <v>729</v>
      </c>
      <c r="C532" s="1" t="s">
        <v>735</v>
      </c>
      <c r="D532" s="52">
        <v>46062.006944444445</v>
      </c>
      <c r="E532" s="52">
        <v>46062.006944444445</v>
      </c>
      <c r="F532" s="52">
        <v>46062.451388888891</v>
      </c>
      <c r="G532" s="53">
        <v>0.44444444444444442</v>
      </c>
      <c r="H532" s="1" t="s">
        <v>268</v>
      </c>
      <c r="I532" s="1" t="s">
        <v>269</v>
      </c>
      <c r="J532" s="1" t="s">
        <v>319</v>
      </c>
      <c r="K532" s="1" t="s">
        <v>652</v>
      </c>
      <c r="L532" s="1" t="s">
        <v>731</v>
      </c>
      <c r="M532" s="1" t="s">
        <v>260</v>
      </c>
      <c r="N532" s="1" t="s">
        <v>357</v>
      </c>
      <c r="O532" s="1" t="s">
        <v>632</v>
      </c>
      <c r="P532" s="1" t="str">
        <f>_xlfn.CONCAT(B532,C532,D532,E532,F532)</f>
        <v>BC Varjao1.1UFV 1 - INV 246062,006944444446062,006944444446062,4513888889</v>
      </c>
      <c r="Q532" s="1" t="str">
        <f>_xlfn.CONCAT(H532,I532,J532)</f>
        <v>LIGRFOCOM</v>
      </c>
    </row>
    <row r="533" spans="2:17">
      <c r="B533" s="1" t="s">
        <v>736</v>
      </c>
      <c r="C533" s="1" t="s">
        <v>332</v>
      </c>
      <c r="D533" s="52">
        <v>46062.006944444445</v>
      </c>
      <c r="E533" s="52">
        <v>46062.006944444445</v>
      </c>
      <c r="F533" s="52">
        <v>46062.451388888891</v>
      </c>
      <c r="G533" s="53">
        <v>0.44444444444444442</v>
      </c>
      <c r="H533" s="1" t="s">
        <v>268</v>
      </c>
      <c r="I533" s="1" t="s">
        <v>269</v>
      </c>
      <c r="J533" s="1" t="s">
        <v>319</v>
      </c>
      <c r="K533" s="1" t="s">
        <v>652</v>
      </c>
      <c r="L533" s="1" t="s">
        <v>731</v>
      </c>
      <c r="M533" s="1" t="s">
        <v>260</v>
      </c>
      <c r="N533" s="1" t="s">
        <v>357</v>
      </c>
      <c r="O533" s="1" t="s">
        <v>632</v>
      </c>
      <c r="P533" s="1" t="str">
        <f>_xlfn.CONCAT(B533,C533,D533,E533,F533)</f>
        <v>BC Varjao1.2215KTL-H0(MBUS-12)46062,006944444446062,006944444446062,4513888889</v>
      </c>
      <c r="Q533" s="1" t="str">
        <f>_xlfn.CONCAT(H533,I533,J533)</f>
        <v>LIGRFOCOM</v>
      </c>
    </row>
    <row r="534" spans="2:17">
      <c r="B534" s="1" t="s">
        <v>736</v>
      </c>
      <c r="C534" s="1" t="s">
        <v>335</v>
      </c>
      <c r="D534" s="52">
        <v>46062.006944444445</v>
      </c>
      <c r="E534" s="52">
        <v>46062.006944444445</v>
      </c>
      <c r="F534" s="52">
        <v>46062.451388888891</v>
      </c>
      <c r="G534" s="53">
        <v>0.44444444444444442</v>
      </c>
      <c r="H534" s="1" t="s">
        <v>268</v>
      </c>
      <c r="I534" s="1" t="s">
        <v>269</v>
      </c>
      <c r="J534" s="1" t="s">
        <v>319</v>
      </c>
      <c r="K534" s="1" t="s">
        <v>652</v>
      </c>
      <c r="L534" s="1" t="s">
        <v>731</v>
      </c>
      <c r="M534" s="1" t="s">
        <v>260</v>
      </c>
      <c r="N534" s="1" t="s">
        <v>357</v>
      </c>
      <c r="O534" s="1" t="s">
        <v>632</v>
      </c>
      <c r="P534" s="1" t="str">
        <f>_xlfn.CONCAT(B534,C534,D534,E534,F534)</f>
        <v>BC Varjao1.2215KTL-H0(MBUS-13)46062,006944444446062,006944444446062,4513888889</v>
      </c>
      <c r="Q534" s="1" t="str">
        <f>_xlfn.CONCAT(H534,I534,J534)</f>
        <v>LIGRFOCOM</v>
      </c>
    </row>
    <row r="535" spans="2:17">
      <c r="B535" s="1" t="s">
        <v>736</v>
      </c>
      <c r="C535" s="1" t="s">
        <v>336</v>
      </c>
      <c r="D535" s="52">
        <v>46062.006944444445</v>
      </c>
      <c r="E535" s="52">
        <v>46062.006944444445</v>
      </c>
      <c r="F535" s="52">
        <v>46062.451388888891</v>
      </c>
      <c r="G535" s="53">
        <v>0.44444444444444442</v>
      </c>
      <c r="H535" s="1" t="s">
        <v>268</v>
      </c>
      <c r="I535" s="1" t="s">
        <v>269</v>
      </c>
      <c r="J535" s="1" t="s">
        <v>319</v>
      </c>
      <c r="K535" s="1" t="s">
        <v>652</v>
      </c>
      <c r="L535" s="1" t="s">
        <v>731</v>
      </c>
      <c r="M535" s="1" t="s">
        <v>260</v>
      </c>
      <c r="N535" s="1" t="s">
        <v>357</v>
      </c>
      <c r="O535" s="1" t="s">
        <v>632</v>
      </c>
      <c r="P535" s="1" t="str">
        <f>_xlfn.CONCAT(B535,C535,D535,E535,F535)</f>
        <v>BC Varjao1.2215KTL-H0(MBUS-14)46062,006944444446062,006944444446062,4513888889</v>
      </c>
      <c r="Q535" s="1" t="str">
        <f>_xlfn.CONCAT(H535,I535,J535)</f>
        <v>LIGRFOCOM</v>
      </c>
    </row>
    <row r="536" spans="2:17">
      <c r="B536" s="1" t="s">
        <v>736</v>
      </c>
      <c r="C536" s="1" t="s">
        <v>337</v>
      </c>
      <c r="D536" s="52">
        <v>46062.006944444445</v>
      </c>
      <c r="E536" s="52">
        <v>46062.006944444445</v>
      </c>
      <c r="F536" s="52">
        <v>46062.451388888891</v>
      </c>
      <c r="G536" s="53">
        <v>0.44444444444444442</v>
      </c>
      <c r="H536" s="1" t="s">
        <v>268</v>
      </c>
      <c r="I536" s="1" t="s">
        <v>269</v>
      </c>
      <c r="J536" s="1" t="s">
        <v>319</v>
      </c>
      <c r="K536" s="1" t="s">
        <v>652</v>
      </c>
      <c r="L536" s="1" t="s">
        <v>731</v>
      </c>
      <c r="M536" s="1" t="s">
        <v>260</v>
      </c>
      <c r="N536" s="1" t="s">
        <v>357</v>
      </c>
      <c r="O536" s="1" t="s">
        <v>632</v>
      </c>
      <c r="P536" s="1" t="str">
        <f>_xlfn.CONCAT(B536,C536,D536,E536,F536)</f>
        <v>BC Varjao1.2215KTL-H0(MBUS-15)46062,006944444446062,006944444446062,4513888889</v>
      </c>
      <c r="Q536" s="1" t="str">
        <f>_xlfn.CONCAT(H536,I536,J536)</f>
        <v>LIGRFOCOM</v>
      </c>
    </row>
    <row r="537" spans="2:17">
      <c r="B537" s="1" t="s">
        <v>736</v>
      </c>
      <c r="C537" s="1" t="s">
        <v>338</v>
      </c>
      <c r="D537" s="52">
        <v>46062.006944444445</v>
      </c>
      <c r="E537" s="52">
        <v>46062.006944444445</v>
      </c>
      <c r="F537" s="52">
        <v>46062.451388888891</v>
      </c>
      <c r="G537" s="53">
        <v>0.44444444444444442</v>
      </c>
      <c r="H537" s="1" t="s">
        <v>268</v>
      </c>
      <c r="I537" s="1" t="s">
        <v>269</v>
      </c>
      <c r="J537" s="1" t="s">
        <v>319</v>
      </c>
      <c r="K537" s="1" t="s">
        <v>652</v>
      </c>
      <c r="L537" s="1" t="s">
        <v>731</v>
      </c>
      <c r="M537" s="1" t="s">
        <v>260</v>
      </c>
      <c r="N537" s="1" t="s">
        <v>357</v>
      </c>
      <c r="O537" s="1" t="s">
        <v>632</v>
      </c>
      <c r="P537" s="1" t="str">
        <f>_xlfn.CONCAT(B537,C537,D537,E537,F537)</f>
        <v>BC Varjao1.2215KTL-H0(MBUS-16)46062,006944444446062,006944444446062,4513888889</v>
      </c>
      <c r="Q537" s="1" t="str">
        <f>_xlfn.CONCAT(H537,I537,J537)</f>
        <v>LIGRFOCOM</v>
      </c>
    </row>
    <row r="538" spans="2:17">
      <c r="B538" s="1" t="s">
        <v>667</v>
      </c>
      <c r="C538" s="1" t="s">
        <v>247</v>
      </c>
      <c r="D538" s="52">
        <v>46062.006944444445</v>
      </c>
      <c r="E538" s="52">
        <v>46062.006944444445</v>
      </c>
      <c r="F538" s="52">
        <v>46062.451388888891</v>
      </c>
      <c r="G538" s="53">
        <v>0.44444444444444442</v>
      </c>
      <c r="H538" s="1" t="s">
        <v>268</v>
      </c>
      <c r="I538" s="1" t="s">
        <v>269</v>
      </c>
      <c r="J538" s="1" t="s">
        <v>319</v>
      </c>
      <c r="K538" s="1" t="s">
        <v>652</v>
      </c>
      <c r="L538" s="1" t="s">
        <v>731</v>
      </c>
      <c r="M538" s="1" t="s">
        <v>260</v>
      </c>
      <c r="N538" s="1" t="s">
        <v>357</v>
      </c>
      <c r="O538" s="1" t="s">
        <v>632</v>
      </c>
      <c r="P538" s="1" t="str">
        <f>_xlfn.CONCAT(B538,C538,D538,E538,F538)</f>
        <v>BC Varjao1.3Inverter(MBUS-1)46062,006944444446062,006944444446062,4513888889</v>
      </c>
      <c r="Q538" s="1" t="str">
        <f>_xlfn.CONCAT(H538,I538,J538)</f>
        <v>LIGRFOCOM</v>
      </c>
    </row>
    <row r="539" spans="2:17">
      <c r="B539" s="1" t="s">
        <v>667</v>
      </c>
      <c r="C539" s="1" t="s">
        <v>737</v>
      </c>
      <c r="D539" s="52">
        <v>46062.006944444445</v>
      </c>
      <c r="E539" s="52">
        <v>46062.006944444445</v>
      </c>
      <c r="F539" s="52">
        <v>46062.451388888891</v>
      </c>
      <c r="G539" s="53">
        <v>0.44444444444444442</v>
      </c>
      <c r="H539" s="1" t="s">
        <v>268</v>
      </c>
      <c r="I539" s="1" t="s">
        <v>269</v>
      </c>
      <c r="J539" s="1" t="s">
        <v>319</v>
      </c>
      <c r="K539" s="1" t="s">
        <v>652</v>
      </c>
      <c r="L539" s="1" t="s">
        <v>731</v>
      </c>
      <c r="M539" s="1" t="s">
        <v>260</v>
      </c>
      <c r="N539" s="1" t="s">
        <v>357</v>
      </c>
      <c r="O539" s="1" t="s">
        <v>632</v>
      </c>
      <c r="P539" s="1" t="str">
        <f>_xlfn.CONCAT(B539,C539,D539,E539,F539)</f>
        <v>BC Varjao1.3UF3Inv246062,006944444446062,006944444446062,4513888889</v>
      </c>
      <c r="Q539" s="1" t="str">
        <f>_xlfn.CONCAT(H539,I539,J539)</f>
        <v>LIGRFOCOM</v>
      </c>
    </row>
    <row r="540" spans="2:17">
      <c r="B540" s="1" t="s">
        <v>667</v>
      </c>
      <c r="C540" s="1" t="s">
        <v>336</v>
      </c>
      <c r="D540" s="52">
        <v>46062.006944444445</v>
      </c>
      <c r="E540" s="52">
        <v>46062.006944444445</v>
      </c>
      <c r="F540" s="52">
        <v>46062.451388888891</v>
      </c>
      <c r="G540" s="53">
        <v>0.44444444444444442</v>
      </c>
      <c r="H540" s="1" t="s">
        <v>268</v>
      </c>
      <c r="I540" s="1" t="s">
        <v>269</v>
      </c>
      <c r="J540" s="1" t="s">
        <v>319</v>
      </c>
      <c r="K540" s="1" t="s">
        <v>652</v>
      </c>
      <c r="L540" s="1" t="s">
        <v>731</v>
      </c>
      <c r="M540" s="1" t="s">
        <v>260</v>
      </c>
      <c r="N540" s="1" t="s">
        <v>357</v>
      </c>
      <c r="O540" s="1" t="s">
        <v>632</v>
      </c>
      <c r="P540" s="1" t="str">
        <f>_xlfn.CONCAT(B540,C540,D540,E540,F540)</f>
        <v>BC Varjao1.3215KTL-H0(MBUS-14)46062,006944444446062,006944444446062,4513888889</v>
      </c>
      <c r="Q540" s="1" t="str">
        <f>_xlfn.CONCAT(H540,I540,J540)</f>
        <v>LIGRFOCOM</v>
      </c>
    </row>
    <row r="541" spans="2:17">
      <c r="B541" s="1" t="s">
        <v>331</v>
      </c>
      <c r="C541" s="1" t="s">
        <v>332</v>
      </c>
      <c r="D541" s="52">
        <v>46062.006944444445</v>
      </c>
      <c r="E541" s="52">
        <v>46062.006944444445</v>
      </c>
      <c r="F541" s="52">
        <v>46062.451388888891</v>
      </c>
      <c r="G541" s="53">
        <v>0.44444444444444442</v>
      </c>
      <c r="H541" s="1" t="s">
        <v>268</v>
      </c>
      <c r="I541" s="1" t="s">
        <v>269</v>
      </c>
      <c r="J541" s="1" t="s">
        <v>319</v>
      </c>
      <c r="K541" s="1" t="s">
        <v>652</v>
      </c>
      <c r="L541" s="1" t="s">
        <v>731</v>
      </c>
      <c r="M541" s="1" t="s">
        <v>260</v>
      </c>
      <c r="N541" s="1" t="s">
        <v>357</v>
      </c>
      <c r="O541" s="1" t="s">
        <v>632</v>
      </c>
      <c r="P541" s="1" t="str">
        <f>_xlfn.CONCAT(B541,C541,D541,E541,F541)</f>
        <v>BC Varjao2.1215KTL-H0(MBUS-12)46062,006944444446062,006944444446062,4513888889</v>
      </c>
      <c r="Q541" s="1" t="str">
        <f>_xlfn.CONCAT(H541,I541,J541)</f>
        <v>LIGRFOCOM</v>
      </c>
    </row>
    <row r="542" spans="2:17">
      <c r="B542" s="1" t="s">
        <v>331</v>
      </c>
      <c r="C542" s="1" t="s">
        <v>335</v>
      </c>
      <c r="D542" s="52">
        <v>46062.006944444445</v>
      </c>
      <c r="E542" s="52">
        <v>46062.006944444445</v>
      </c>
      <c r="F542" s="52">
        <v>46062.451388888891</v>
      </c>
      <c r="G542" s="53">
        <v>0.44444444444444442</v>
      </c>
      <c r="H542" s="1" t="s">
        <v>268</v>
      </c>
      <c r="I542" s="1" t="s">
        <v>269</v>
      </c>
      <c r="J542" s="1" t="s">
        <v>319</v>
      </c>
      <c r="K542" s="1" t="s">
        <v>652</v>
      </c>
      <c r="L542" s="1" t="s">
        <v>731</v>
      </c>
      <c r="M542" s="1" t="s">
        <v>260</v>
      </c>
      <c r="N542" s="1" t="s">
        <v>357</v>
      </c>
      <c r="O542" s="1" t="s">
        <v>632</v>
      </c>
      <c r="P542" s="1" t="str">
        <f>_xlfn.CONCAT(B542,C542,D542,E542,F542)</f>
        <v>BC Varjao2.1215KTL-H0(MBUS-13)46062,006944444446062,006944444446062,4513888889</v>
      </c>
      <c r="Q542" s="1" t="str">
        <f>_xlfn.CONCAT(H542,I542,J542)</f>
        <v>LIGRFOCOM</v>
      </c>
    </row>
    <row r="543" spans="2:17">
      <c r="B543" s="1" t="s">
        <v>331</v>
      </c>
      <c r="C543" s="1" t="s">
        <v>336</v>
      </c>
      <c r="D543" s="52">
        <v>46062.006944444445</v>
      </c>
      <c r="E543" s="52">
        <v>46062.006944444445</v>
      </c>
      <c r="F543" s="52">
        <v>46062.451388888891</v>
      </c>
      <c r="G543" s="53">
        <v>0.44444444444444442</v>
      </c>
      <c r="H543" s="1" t="s">
        <v>268</v>
      </c>
      <c r="I543" s="1" t="s">
        <v>269</v>
      </c>
      <c r="J543" s="1" t="s">
        <v>319</v>
      </c>
      <c r="K543" s="1" t="s">
        <v>652</v>
      </c>
      <c r="L543" s="1" t="s">
        <v>731</v>
      </c>
      <c r="M543" s="1" t="s">
        <v>260</v>
      </c>
      <c r="N543" s="1" t="s">
        <v>357</v>
      </c>
      <c r="O543" s="1" t="s">
        <v>632</v>
      </c>
      <c r="P543" s="1" t="str">
        <f>_xlfn.CONCAT(B543,C543,D543,E543,F543)</f>
        <v>BC Varjao2.1215KTL-H0(MBUS-14)46062,006944444446062,006944444446062,4513888889</v>
      </c>
      <c r="Q543" s="1" t="str">
        <f>_xlfn.CONCAT(H543,I543,J543)</f>
        <v>LIGRFOCOM</v>
      </c>
    </row>
    <row r="544" spans="2:17">
      <c r="B544" s="1" t="s">
        <v>331</v>
      </c>
      <c r="C544" s="1" t="s">
        <v>337</v>
      </c>
      <c r="D544" s="52">
        <v>46062.006944444445</v>
      </c>
      <c r="E544" s="52">
        <v>46062.006944444445</v>
      </c>
      <c r="F544" s="52">
        <v>46062.451388888891</v>
      </c>
      <c r="G544" s="53">
        <v>0.44444444444444442</v>
      </c>
      <c r="H544" s="1" t="s">
        <v>268</v>
      </c>
      <c r="I544" s="1" t="s">
        <v>269</v>
      </c>
      <c r="J544" s="1" t="s">
        <v>319</v>
      </c>
      <c r="K544" s="1" t="s">
        <v>652</v>
      </c>
      <c r="L544" s="1" t="s">
        <v>731</v>
      </c>
      <c r="M544" s="1" t="s">
        <v>260</v>
      </c>
      <c r="N544" s="1" t="s">
        <v>357</v>
      </c>
      <c r="O544" s="1" t="s">
        <v>632</v>
      </c>
      <c r="P544" s="1" t="str">
        <f>_xlfn.CONCAT(B544,C544,D544,E544,F544)</f>
        <v>BC Varjao2.1215KTL-H0(MBUS-15)46062,006944444446062,006944444446062,4513888889</v>
      </c>
      <c r="Q544" s="1" t="str">
        <f>_xlfn.CONCAT(H544,I544,J544)</f>
        <v>LIGRFOCOM</v>
      </c>
    </row>
    <row r="545" spans="2:17">
      <c r="B545" s="1" t="s">
        <v>331</v>
      </c>
      <c r="C545" s="1" t="s">
        <v>338</v>
      </c>
      <c r="D545" s="52">
        <v>46062.006944444445</v>
      </c>
      <c r="E545" s="52">
        <v>46062.006944444445</v>
      </c>
      <c r="F545" s="52">
        <v>46062.451388888891</v>
      </c>
      <c r="G545" s="53">
        <v>0.44444444444444442</v>
      </c>
      <c r="H545" s="1" t="s">
        <v>268</v>
      </c>
      <c r="I545" s="1" t="s">
        <v>269</v>
      </c>
      <c r="J545" s="1" t="s">
        <v>319</v>
      </c>
      <c r="K545" s="1" t="s">
        <v>652</v>
      </c>
      <c r="L545" s="1" t="s">
        <v>731</v>
      </c>
      <c r="M545" s="1" t="s">
        <v>260</v>
      </c>
      <c r="N545" s="1" t="s">
        <v>357</v>
      </c>
      <c r="O545" s="1" t="s">
        <v>632</v>
      </c>
      <c r="P545" s="1" t="str">
        <f>_xlfn.CONCAT(B545,C545,D545,E545,F545)</f>
        <v>BC Varjao2.1215KTL-H0(MBUS-16)46062,006944444446062,006944444446062,4513888889</v>
      </c>
      <c r="Q545" s="1" t="str">
        <f>_xlfn.CONCAT(H545,I545,J545)</f>
        <v>LIGRFOCOM</v>
      </c>
    </row>
    <row r="546" spans="2:17">
      <c r="B546" s="1" t="s">
        <v>339</v>
      </c>
      <c r="C546" s="1" t="s">
        <v>335</v>
      </c>
      <c r="D546" s="52">
        <v>46062.006944444445</v>
      </c>
      <c r="E546" s="52">
        <v>46062.006944444445</v>
      </c>
      <c r="F546" s="52">
        <v>46062.451388888891</v>
      </c>
      <c r="G546" s="53">
        <v>0.44444444444444442</v>
      </c>
      <c r="H546" s="1" t="s">
        <v>268</v>
      </c>
      <c r="I546" s="1" t="s">
        <v>269</v>
      </c>
      <c r="J546" s="1" t="s">
        <v>319</v>
      </c>
      <c r="K546" s="1" t="s">
        <v>652</v>
      </c>
      <c r="L546" s="1" t="s">
        <v>731</v>
      </c>
      <c r="M546" s="1" t="s">
        <v>260</v>
      </c>
      <c r="N546" s="1" t="s">
        <v>357</v>
      </c>
      <c r="O546" s="1" t="s">
        <v>632</v>
      </c>
      <c r="P546" s="1" t="str">
        <f>_xlfn.CONCAT(B546,C546,D546,E546,F546)</f>
        <v>BC Varjao2.2215KTL-H0(MBUS-13)46062,006944444446062,006944444446062,4513888889</v>
      </c>
      <c r="Q546" s="1" t="str">
        <f>_xlfn.CONCAT(H546,I546,J546)</f>
        <v>LIGRFOCOM</v>
      </c>
    </row>
    <row r="547" spans="2:17">
      <c r="B547" s="1" t="s">
        <v>339</v>
      </c>
      <c r="C547" s="1" t="s">
        <v>336</v>
      </c>
      <c r="D547" s="52">
        <v>46062.006944444445</v>
      </c>
      <c r="E547" s="52">
        <v>46062.006944444445</v>
      </c>
      <c r="F547" s="52">
        <v>46062.451388888891</v>
      </c>
      <c r="G547" s="53">
        <v>0.44444444444444442</v>
      </c>
      <c r="H547" s="1" t="s">
        <v>268</v>
      </c>
      <c r="I547" s="1" t="s">
        <v>269</v>
      </c>
      <c r="J547" s="1" t="s">
        <v>319</v>
      </c>
      <c r="K547" s="1" t="s">
        <v>652</v>
      </c>
      <c r="L547" s="1" t="s">
        <v>731</v>
      </c>
      <c r="M547" s="1" t="s">
        <v>260</v>
      </c>
      <c r="N547" s="1" t="s">
        <v>357</v>
      </c>
      <c r="O547" s="1" t="s">
        <v>632</v>
      </c>
      <c r="P547" s="1" t="str">
        <f>_xlfn.CONCAT(B547,C547,D547,E547,F547)</f>
        <v>BC Varjao2.2215KTL-H0(MBUS-14)46062,006944444446062,006944444446062,4513888889</v>
      </c>
      <c r="Q547" s="1" t="str">
        <f>_xlfn.CONCAT(H547,I547,J547)</f>
        <v>LIGRFOCOM</v>
      </c>
    </row>
    <row r="548" spans="2:17">
      <c r="B548" s="1" t="s">
        <v>339</v>
      </c>
      <c r="C548" s="1" t="s">
        <v>337</v>
      </c>
      <c r="D548" s="52">
        <v>46062.006944444445</v>
      </c>
      <c r="E548" s="52">
        <v>46062.006944444445</v>
      </c>
      <c r="F548" s="52">
        <v>46062.451388888891</v>
      </c>
      <c r="G548" s="53">
        <v>0.44444444444444442</v>
      </c>
      <c r="H548" s="1" t="s">
        <v>268</v>
      </c>
      <c r="I548" s="1" t="s">
        <v>269</v>
      </c>
      <c r="J548" s="1" t="s">
        <v>319</v>
      </c>
      <c r="K548" s="1" t="s">
        <v>652</v>
      </c>
      <c r="L548" s="1" t="s">
        <v>731</v>
      </c>
      <c r="M548" s="1" t="s">
        <v>260</v>
      </c>
      <c r="N548" s="1" t="s">
        <v>357</v>
      </c>
      <c r="O548" s="1" t="s">
        <v>632</v>
      </c>
      <c r="P548" s="1" t="str">
        <f>_xlfn.CONCAT(B548,C548,D548,E548,F548)</f>
        <v>BC Varjao2.2215KTL-H0(MBUS-15)46062,006944444446062,006944444446062,4513888889</v>
      </c>
      <c r="Q548" s="1" t="str">
        <f>_xlfn.CONCAT(H548,I548,J548)</f>
        <v>LIGRFOCOM</v>
      </c>
    </row>
    <row r="549" spans="2:17">
      <c r="B549" s="1" t="s">
        <v>339</v>
      </c>
      <c r="C549" s="1" t="s">
        <v>338</v>
      </c>
      <c r="D549" s="52">
        <v>46062.006944444445</v>
      </c>
      <c r="E549" s="52">
        <v>46062.006944444445</v>
      </c>
      <c r="F549" s="52">
        <v>46062.451388888891</v>
      </c>
      <c r="G549" s="53">
        <v>0.44444444444444442</v>
      </c>
      <c r="H549" s="1" t="s">
        <v>268</v>
      </c>
      <c r="I549" s="1" t="s">
        <v>269</v>
      </c>
      <c r="J549" s="1" t="s">
        <v>319</v>
      </c>
      <c r="K549" s="1" t="s">
        <v>652</v>
      </c>
      <c r="L549" s="1" t="s">
        <v>731</v>
      </c>
      <c r="M549" s="1" t="s">
        <v>260</v>
      </c>
      <c r="N549" s="1" t="s">
        <v>357</v>
      </c>
      <c r="O549" s="1" t="s">
        <v>632</v>
      </c>
      <c r="P549" s="1" t="str">
        <f>_xlfn.CONCAT(B549,C549,D549,E549,F549)</f>
        <v>BC Varjao2.2215KTL-H0(MBUS-16)46062,006944444446062,006944444446062,4513888889</v>
      </c>
      <c r="Q549" s="1" t="str">
        <f>_xlfn.CONCAT(H549,I549,J549)</f>
        <v>LIGRFOCOM</v>
      </c>
    </row>
    <row r="550" spans="2:17">
      <c r="B550" s="1" t="s">
        <v>339</v>
      </c>
      <c r="C550" s="1" t="s">
        <v>332</v>
      </c>
      <c r="D550" s="52">
        <v>46062.006944444445</v>
      </c>
      <c r="E550" s="52">
        <v>46062.006944444445</v>
      </c>
      <c r="F550" s="52">
        <v>46062.451388888891</v>
      </c>
      <c r="G550" s="53">
        <v>0.44444444444444442</v>
      </c>
      <c r="H550" s="1" t="s">
        <v>268</v>
      </c>
      <c r="I550" s="1" t="s">
        <v>269</v>
      </c>
      <c r="J550" s="1" t="s">
        <v>319</v>
      </c>
      <c r="K550" s="1" t="s">
        <v>652</v>
      </c>
      <c r="L550" s="1" t="s">
        <v>731</v>
      </c>
      <c r="M550" s="1" t="s">
        <v>260</v>
      </c>
      <c r="N550" s="1" t="s">
        <v>357</v>
      </c>
      <c r="O550" s="1" t="s">
        <v>632</v>
      </c>
      <c r="P550" s="1" t="str">
        <f>_xlfn.CONCAT(B550,C550,D550,E550,F550)</f>
        <v>BC Varjao2.2215KTL-H0(MBUS-12)46062,006944444446062,006944444446062,4513888889</v>
      </c>
      <c r="Q550" s="1" t="str">
        <f>_xlfn.CONCAT(H550,I550,J550)</f>
        <v>LIGRFOCOM</v>
      </c>
    </row>
    <row r="551" spans="2:17">
      <c r="B551" s="1" t="s">
        <v>340</v>
      </c>
      <c r="C551" s="1" t="s">
        <v>341</v>
      </c>
      <c r="D551" s="52">
        <v>46062.006944444445</v>
      </c>
      <c r="E551" s="52">
        <v>46062.006944444445</v>
      </c>
      <c r="F551" s="52">
        <v>46062.451388888891</v>
      </c>
      <c r="G551" s="53">
        <v>0.44444444444444442</v>
      </c>
      <c r="H551" s="1" t="s">
        <v>268</v>
      </c>
      <c r="I551" s="1" t="s">
        <v>269</v>
      </c>
      <c r="J551" s="1" t="s">
        <v>319</v>
      </c>
      <c r="K551" s="1" t="s">
        <v>652</v>
      </c>
      <c r="L551" s="1" t="s">
        <v>731</v>
      </c>
      <c r="M551" s="1" t="s">
        <v>260</v>
      </c>
      <c r="N551" s="1" t="s">
        <v>357</v>
      </c>
      <c r="O551" s="1" t="s">
        <v>632</v>
      </c>
      <c r="P551" s="1" t="str">
        <f>_xlfn.CONCAT(B551,C551,D551,E551,F551)</f>
        <v>BC Varjao2.3100KTL-H1(MBUS-1)46062,006944444446062,006944444446062,4513888889</v>
      </c>
      <c r="Q551" s="1" t="str">
        <f>_xlfn.CONCAT(H551,I551,J551)</f>
        <v>LIGRFOCOM</v>
      </c>
    </row>
    <row r="552" spans="2:17">
      <c r="B552" s="1" t="s">
        <v>340</v>
      </c>
      <c r="C552" s="1" t="s">
        <v>335</v>
      </c>
      <c r="D552" s="52">
        <v>46062.006944444445</v>
      </c>
      <c r="E552" s="52">
        <v>46062.006944444445</v>
      </c>
      <c r="F552" s="52">
        <v>46062.451388888891</v>
      </c>
      <c r="G552" s="53">
        <v>0.44444444444444442</v>
      </c>
      <c r="H552" s="1" t="s">
        <v>268</v>
      </c>
      <c r="I552" s="1" t="s">
        <v>269</v>
      </c>
      <c r="J552" s="1" t="s">
        <v>319</v>
      </c>
      <c r="K552" s="1" t="s">
        <v>652</v>
      </c>
      <c r="L552" s="1" t="s">
        <v>731</v>
      </c>
      <c r="M552" s="1" t="s">
        <v>260</v>
      </c>
      <c r="N552" s="1" t="s">
        <v>357</v>
      </c>
      <c r="O552" s="1" t="s">
        <v>632</v>
      </c>
      <c r="P552" s="1" t="str">
        <f>_xlfn.CONCAT(B552,C552,D552,E552,F552)</f>
        <v>BC Varjao2.3215KTL-H0(MBUS-13)46062,006944444446062,006944444446062,4513888889</v>
      </c>
      <c r="Q552" s="1" t="str">
        <f>_xlfn.CONCAT(H552,I552,J552)</f>
        <v>LIGRFOCOM</v>
      </c>
    </row>
    <row r="553" spans="2:17">
      <c r="B553" s="1" t="s">
        <v>340</v>
      </c>
      <c r="C553" s="1" t="s">
        <v>332</v>
      </c>
      <c r="D553" s="52">
        <v>46062.006944444445</v>
      </c>
      <c r="E553" s="52">
        <v>46062.006944444445</v>
      </c>
      <c r="F553" s="52">
        <v>46062.451388888891</v>
      </c>
      <c r="G553" s="53">
        <v>0.44444444444444442</v>
      </c>
      <c r="H553" s="1" t="s">
        <v>268</v>
      </c>
      <c r="I553" s="1" t="s">
        <v>269</v>
      </c>
      <c r="J553" s="1" t="s">
        <v>319</v>
      </c>
      <c r="K553" s="1" t="s">
        <v>652</v>
      </c>
      <c r="L553" s="1" t="s">
        <v>731</v>
      </c>
      <c r="M553" s="1" t="s">
        <v>260</v>
      </c>
      <c r="N553" s="1" t="s">
        <v>357</v>
      </c>
      <c r="O553" s="1" t="s">
        <v>632</v>
      </c>
      <c r="P553" s="1" t="str">
        <f>_xlfn.CONCAT(B553,C553,D553,E553,F553)</f>
        <v>BC Varjao2.3215KTL-H0(MBUS-12)46062,006944444446062,006944444446062,4513888889</v>
      </c>
      <c r="Q553" s="1" t="str">
        <f>_xlfn.CONCAT(H553,I553,J553)</f>
        <v>LIGRFOCOM</v>
      </c>
    </row>
    <row r="554" spans="2:17">
      <c r="B554" s="1" t="s">
        <v>286</v>
      </c>
      <c r="C554" s="1" t="s">
        <v>287</v>
      </c>
      <c r="D554" s="52">
        <v>46062.368055555555</v>
      </c>
      <c r="E554" s="52">
        <v>46062.368055555555</v>
      </c>
      <c r="F554" s="52">
        <v>46062.5</v>
      </c>
      <c r="G554" s="53">
        <v>0.13194444444444445</v>
      </c>
      <c r="H554" s="1" t="s">
        <v>268</v>
      </c>
      <c r="I554" s="1" t="s">
        <v>269</v>
      </c>
      <c r="J554" s="1" t="s">
        <v>319</v>
      </c>
      <c r="K554" s="1" t="s">
        <v>652</v>
      </c>
      <c r="L554" s="1" t="s">
        <v>738</v>
      </c>
      <c r="M554" s="1" t="s">
        <v>260</v>
      </c>
      <c r="N554" s="1" t="s">
        <v>357</v>
      </c>
      <c r="O554" s="1" t="s">
        <v>632</v>
      </c>
      <c r="P554" s="1" t="str">
        <f>_xlfn.CONCAT(B554,C554,D554,E554,F554)</f>
        <v>BC Corumba2.2U02.I0146062,368055555646062,368055555646062,5</v>
      </c>
      <c r="Q554" s="1" t="str">
        <f>_xlfn.CONCAT(H554,I554,J554)</f>
        <v>LIGRFOCOM</v>
      </c>
    </row>
    <row r="555" spans="2:17">
      <c r="B555" s="1" t="s">
        <v>286</v>
      </c>
      <c r="C555" s="1" t="s">
        <v>292</v>
      </c>
      <c r="D555" s="52">
        <v>46062.368055555555</v>
      </c>
      <c r="E555" s="52">
        <v>46062.368055555555</v>
      </c>
      <c r="F555" s="52">
        <v>46062.5</v>
      </c>
      <c r="G555" s="53">
        <v>0.13194444444444445</v>
      </c>
      <c r="H555" s="1" t="s">
        <v>268</v>
      </c>
      <c r="I555" s="1" t="s">
        <v>269</v>
      </c>
      <c r="J555" s="1" t="s">
        <v>319</v>
      </c>
      <c r="K555" s="1" t="s">
        <v>652</v>
      </c>
      <c r="L555" s="1" t="s">
        <v>738</v>
      </c>
      <c r="M555" s="1" t="s">
        <v>260</v>
      </c>
      <c r="N555" s="1" t="s">
        <v>357</v>
      </c>
      <c r="O555" s="1" t="s">
        <v>632</v>
      </c>
      <c r="P555" s="1" t="str">
        <f>_xlfn.CONCAT(B555,C555,D555,E555,F555)</f>
        <v>BC Corumba2.2U02.I0246062,368055555646062,368055555646062,5</v>
      </c>
      <c r="Q555" s="1" t="str">
        <f>_xlfn.CONCAT(H555,I555,J555)</f>
        <v>LIGRFOCOM</v>
      </c>
    </row>
    <row r="556" spans="2:17">
      <c r="B556" s="1" t="s">
        <v>286</v>
      </c>
      <c r="C556" s="1" t="s">
        <v>293</v>
      </c>
      <c r="D556" s="52">
        <v>46062.368055555555</v>
      </c>
      <c r="E556" s="52">
        <v>46062.368055555555</v>
      </c>
      <c r="F556" s="52">
        <v>46062.5</v>
      </c>
      <c r="G556" s="53">
        <v>0.13194444444444445</v>
      </c>
      <c r="H556" s="1" t="s">
        <v>268</v>
      </c>
      <c r="I556" s="1" t="s">
        <v>269</v>
      </c>
      <c r="J556" s="1" t="s">
        <v>319</v>
      </c>
      <c r="K556" s="1" t="s">
        <v>652</v>
      </c>
      <c r="L556" s="1" t="s">
        <v>738</v>
      </c>
      <c r="M556" s="1" t="s">
        <v>260</v>
      </c>
      <c r="N556" s="1" t="s">
        <v>357</v>
      </c>
      <c r="O556" s="1" t="s">
        <v>632</v>
      </c>
      <c r="P556" s="1" t="str">
        <f>_xlfn.CONCAT(B556,C556,D556,E556,F556)</f>
        <v>BC Corumba2.2U02.I0346062,368055555646062,368055555646062,5</v>
      </c>
      <c r="Q556" s="1" t="str">
        <f>_xlfn.CONCAT(H556,I556,J556)</f>
        <v>LIGRFOCOM</v>
      </c>
    </row>
    <row r="557" spans="2:17">
      <c r="B557" s="1" t="s">
        <v>286</v>
      </c>
      <c r="C557" s="1" t="s">
        <v>294</v>
      </c>
      <c r="D557" s="52">
        <v>46062.368055555555</v>
      </c>
      <c r="E557" s="52">
        <v>46062.368055555555</v>
      </c>
      <c r="F557" s="52">
        <v>46062.5</v>
      </c>
      <c r="G557" s="53">
        <v>0.13194444444444445</v>
      </c>
      <c r="H557" s="1" t="s">
        <v>268</v>
      </c>
      <c r="I557" s="1" t="s">
        <v>269</v>
      </c>
      <c r="J557" s="1" t="s">
        <v>319</v>
      </c>
      <c r="K557" s="1" t="s">
        <v>652</v>
      </c>
      <c r="L557" s="1" t="s">
        <v>738</v>
      </c>
      <c r="M557" s="1" t="s">
        <v>260</v>
      </c>
      <c r="N557" s="1" t="s">
        <v>357</v>
      </c>
      <c r="O557" s="1" t="s">
        <v>632</v>
      </c>
      <c r="P557" s="1" t="str">
        <f>_xlfn.CONCAT(B557,C557,D557,E557,F557)</f>
        <v>BC Corumba2.2U02.I0446062,368055555646062,368055555646062,5</v>
      </c>
      <c r="Q557" s="1" t="str">
        <f>_xlfn.CONCAT(H557,I557,J557)</f>
        <v>LIGRFOCOM</v>
      </c>
    </row>
    <row r="558" spans="2:17">
      <c r="B558" s="1" t="s">
        <v>286</v>
      </c>
      <c r="C558" s="1" t="s">
        <v>295</v>
      </c>
      <c r="D558" s="52">
        <v>46062.368055555555</v>
      </c>
      <c r="E558" s="52">
        <v>46062.368055555555</v>
      </c>
      <c r="F558" s="52">
        <v>46062.5</v>
      </c>
      <c r="G558" s="53">
        <v>0.13194444444444445</v>
      </c>
      <c r="H558" s="1" t="s">
        <v>268</v>
      </c>
      <c r="I558" s="1" t="s">
        <v>269</v>
      </c>
      <c r="J558" s="1" t="s">
        <v>319</v>
      </c>
      <c r="K558" s="1" t="s">
        <v>652</v>
      </c>
      <c r="L558" s="1" t="s">
        <v>738</v>
      </c>
      <c r="M558" s="1" t="s">
        <v>260</v>
      </c>
      <c r="N558" s="1" t="s">
        <v>357</v>
      </c>
      <c r="O558" s="1" t="s">
        <v>632</v>
      </c>
      <c r="P558" s="1" t="str">
        <f>_xlfn.CONCAT(B558,C558,D558,E558,F558)</f>
        <v>BC Corumba2.2U02.I0546062,368055555646062,368055555646062,5</v>
      </c>
      <c r="Q558" s="1" t="str">
        <f>_xlfn.CONCAT(H558,I558,J558)</f>
        <v>LIGRFOCOM</v>
      </c>
    </row>
    <row r="559" spans="2:17">
      <c r="B559" s="1" t="s">
        <v>698</v>
      </c>
      <c r="C559" s="1" t="s">
        <v>263</v>
      </c>
      <c r="D559" s="52">
        <v>46062.458333333336</v>
      </c>
      <c r="E559" s="52">
        <v>46062.458333333336</v>
      </c>
      <c r="F559" s="52">
        <v>46062.498611111114</v>
      </c>
      <c r="G559" s="53">
        <v>4.027777777777778E-2</v>
      </c>
      <c r="H559" s="1" t="s">
        <v>257</v>
      </c>
      <c r="J559" s="1" t="s">
        <v>258</v>
      </c>
      <c r="K559" s="1" t="s">
        <v>658</v>
      </c>
      <c r="L559" s="1" t="s">
        <v>739</v>
      </c>
      <c r="M559" s="1" t="s">
        <v>260</v>
      </c>
      <c r="N559" s="1" t="s">
        <v>357</v>
      </c>
      <c r="O559" s="1" t="s">
        <v>632</v>
      </c>
      <c r="P559" s="1" t="str">
        <f>_xlfn.CONCAT(B559,C559,D559,E559,F559)</f>
        <v>BC Turvania1.1Inverter(MBUS-14)46062,458333333346062,458333333346062,4986111111</v>
      </c>
      <c r="Q559" s="1" t="str">
        <f>_xlfn.CONCAT(H559,I559,J559)</f>
        <v>DAURDE</v>
      </c>
    </row>
    <row r="560" spans="2:17">
      <c r="B560" s="1" t="s">
        <v>698</v>
      </c>
      <c r="C560" s="1" t="s">
        <v>307</v>
      </c>
      <c r="D560" s="52">
        <v>46062.458333333336</v>
      </c>
      <c r="E560" s="52">
        <v>46062.458333333336</v>
      </c>
      <c r="F560" s="52">
        <v>46062.498611111114</v>
      </c>
      <c r="G560" s="53">
        <v>4.027777777777778E-2</v>
      </c>
      <c r="H560" s="1" t="s">
        <v>257</v>
      </c>
      <c r="J560" s="1" t="s">
        <v>258</v>
      </c>
      <c r="K560" s="1" t="s">
        <v>658</v>
      </c>
      <c r="L560" s="1" t="s">
        <v>739</v>
      </c>
      <c r="M560" s="1" t="s">
        <v>260</v>
      </c>
      <c r="N560" s="1" t="s">
        <v>357</v>
      </c>
      <c r="O560" s="1" t="s">
        <v>632</v>
      </c>
      <c r="P560" s="1" t="str">
        <f>_xlfn.CONCAT(B560,C560,D561,E560,F560)</f>
        <v>BC Turvania1.1Inverter(MBUS-15)46062,458333333346062,458333333346062,4986111111</v>
      </c>
      <c r="Q560" s="1" t="str">
        <f>_xlfn.CONCAT(H560,I560,J560)</f>
        <v>DAURDE</v>
      </c>
    </row>
    <row r="561" spans="2:17">
      <c r="B561" s="1" t="s">
        <v>698</v>
      </c>
      <c r="C561" s="1" t="s">
        <v>256</v>
      </c>
      <c r="D561" s="52">
        <v>46062.458333333336</v>
      </c>
      <c r="E561" s="52">
        <v>46062.458333333336</v>
      </c>
      <c r="F561" s="52">
        <v>46062.498611111114</v>
      </c>
      <c r="G561" s="53">
        <v>4.027777777777778E-2</v>
      </c>
      <c r="H561" s="1" t="s">
        <v>257</v>
      </c>
      <c r="J561" s="1" t="s">
        <v>258</v>
      </c>
      <c r="K561" s="1" t="s">
        <v>658</v>
      </c>
      <c r="L561" s="1" t="s">
        <v>739</v>
      </c>
      <c r="M561" s="1" t="s">
        <v>260</v>
      </c>
      <c r="N561" s="1" t="s">
        <v>357</v>
      </c>
      <c r="O561" s="1" t="s">
        <v>632</v>
      </c>
      <c r="P561" s="1" t="str">
        <f>_xlfn.CONCAT(B561,C561,D561,E561,F561)</f>
        <v>BC Turvania1.1Inverter(MBUS-12)46062,458333333346062,458333333346062,4986111111</v>
      </c>
      <c r="Q561" s="1" t="str">
        <f>_xlfn.CONCAT(H561,I561,J561)</f>
        <v>DAURDE</v>
      </c>
    </row>
    <row r="562" spans="2:17">
      <c r="B562" s="1" t="s">
        <v>698</v>
      </c>
      <c r="C562" s="1" t="s">
        <v>264</v>
      </c>
      <c r="D562" s="52">
        <v>46062.458333333336</v>
      </c>
      <c r="E562" s="52">
        <v>46062.458333333336</v>
      </c>
      <c r="F562" s="52">
        <v>46062.498611111114</v>
      </c>
      <c r="G562" s="53">
        <v>4.027777777777778E-2</v>
      </c>
      <c r="H562" s="1" t="s">
        <v>257</v>
      </c>
      <c r="J562" s="1" t="s">
        <v>258</v>
      </c>
      <c r="K562" s="1" t="s">
        <v>658</v>
      </c>
      <c r="L562" s="1" t="s">
        <v>739</v>
      </c>
      <c r="M562" s="1" t="s">
        <v>260</v>
      </c>
      <c r="N562" s="1" t="s">
        <v>357</v>
      </c>
      <c r="O562" s="1" t="s">
        <v>632</v>
      </c>
      <c r="P562" s="1" t="str">
        <f>_xlfn.CONCAT(B562,C562,D562,E562,F562)</f>
        <v>BC Turvania1.1Inverter(MBUS-13)46062,458333333346062,458333333346062,4986111111</v>
      </c>
      <c r="Q562" s="1" t="str">
        <f>_xlfn.CONCAT(H562,I562,J562)</f>
        <v>DAURDE</v>
      </c>
    </row>
    <row r="563" spans="2:17">
      <c r="B563" s="1" t="s">
        <v>700</v>
      </c>
      <c r="C563" s="1" t="s">
        <v>263</v>
      </c>
      <c r="D563" s="52">
        <v>46062.458333333336</v>
      </c>
      <c r="E563" s="52">
        <v>46062.458333333336</v>
      </c>
      <c r="F563" s="52">
        <v>46062.498611111114</v>
      </c>
      <c r="G563" s="53">
        <v>4.027777777777778E-2</v>
      </c>
      <c r="H563" s="1" t="s">
        <v>257</v>
      </c>
      <c r="J563" s="1" t="s">
        <v>258</v>
      </c>
      <c r="K563" s="1" t="s">
        <v>658</v>
      </c>
      <c r="L563" s="1" t="s">
        <v>739</v>
      </c>
      <c r="M563" s="1" t="s">
        <v>260</v>
      </c>
      <c r="N563" s="1" t="s">
        <v>357</v>
      </c>
      <c r="O563" s="1" t="s">
        <v>632</v>
      </c>
      <c r="P563" s="1" t="str">
        <f>_xlfn.CONCAT(B563,C563,D563,E563,F563)</f>
        <v>BC Turvania1.2Inverter(MBUS-14)46062,458333333346062,458333333346062,4986111111</v>
      </c>
      <c r="Q563" s="1" t="str">
        <f>_xlfn.CONCAT(H563,I563,J563)</f>
        <v>DAURDE</v>
      </c>
    </row>
    <row r="564" spans="2:17">
      <c r="B564" s="1" t="s">
        <v>700</v>
      </c>
      <c r="C564" s="1" t="s">
        <v>264</v>
      </c>
      <c r="D564" s="52">
        <v>46062.458333333336</v>
      </c>
      <c r="E564" s="52">
        <v>46062.458333333336</v>
      </c>
      <c r="F564" s="52">
        <v>46062.498611111114</v>
      </c>
      <c r="G564" s="53">
        <v>4.027777777777778E-2</v>
      </c>
      <c r="H564" s="1" t="s">
        <v>257</v>
      </c>
      <c r="J564" s="1" t="s">
        <v>258</v>
      </c>
      <c r="K564" s="1" t="s">
        <v>658</v>
      </c>
      <c r="L564" s="1" t="s">
        <v>739</v>
      </c>
      <c r="M564" s="1" t="s">
        <v>260</v>
      </c>
      <c r="N564" s="1" t="s">
        <v>357</v>
      </c>
      <c r="O564" s="1" t="s">
        <v>632</v>
      </c>
      <c r="P564" s="1" t="str">
        <f>_xlfn.CONCAT(B564,C564,D564,E564,F564)</f>
        <v>BC Turvania1.2Inverter(MBUS-13)46062,458333333346062,458333333346062,4986111111</v>
      </c>
      <c r="Q564" s="1" t="str">
        <f>_xlfn.CONCAT(H564,I564,J564)</f>
        <v>DAURDE</v>
      </c>
    </row>
    <row r="565" spans="2:17">
      <c r="B565" s="1" t="s">
        <v>700</v>
      </c>
      <c r="C565" s="1" t="s">
        <v>256</v>
      </c>
      <c r="D565" s="52">
        <v>46062.458333333336</v>
      </c>
      <c r="E565" s="52">
        <v>46062.458333333336</v>
      </c>
      <c r="F565" s="52">
        <v>46062.498611111114</v>
      </c>
      <c r="G565" s="53">
        <v>4.027777777777778E-2</v>
      </c>
      <c r="H565" s="1" t="s">
        <v>257</v>
      </c>
      <c r="J565" s="1" t="s">
        <v>258</v>
      </c>
      <c r="K565" s="1" t="s">
        <v>658</v>
      </c>
      <c r="L565" s="1" t="s">
        <v>739</v>
      </c>
      <c r="M565" s="1" t="s">
        <v>260</v>
      </c>
      <c r="N565" s="1" t="s">
        <v>357</v>
      </c>
      <c r="O565" s="1" t="s">
        <v>632</v>
      </c>
      <c r="P565" s="1" t="str">
        <f>_xlfn.CONCAT(B565,C565,D565,E565,F565)</f>
        <v>BC Turvania1.2Inverter(MBUS-12)46062,458333333346062,458333333346062,4986111111</v>
      </c>
      <c r="Q565" s="1" t="str">
        <f>_xlfn.CONCAT(H565,I565,J565)</f>
        <v>DAURDE</v>
      </c>
    </row>
    <row r="566" spans="2:17">
      <c r="B566" s="1" t="s">
        <v>700</v>
      </c>
      <c r="C566" s="1" t="s">
        <v>307</v>
      </c>
      <c r="D566" s="52">
        <v>46062.458333333336</v>
      </c>
      <c r="E566" s="52">
        <v>46062.458333333336</v>
      </c>
      <c r="F566" s="52">
        <v>46062.498611111114</v>
      </c>
      <c r="G566" s="53">
        <v>4.027777777777778E-2</v>
      </c>
      <c r="H566" s="1" t="s">
        <v>257</v>
      </c>
      <c r="J566" s="1" t="s">
        <v>258</v>
      </c>
      <c r="K566" s="1" t="s">
        <v>658</v>
      </c>
      <c r="L566" s="1" t="s">
        <v>739</v>
      </c>
      <c r="M566" s="1" t="s">
        <v>260</v>
      </c>
      <c r="N566" s="1" t="s">
        <v>357</v>
      </c>
      <c r="O566" s="1" t="s">
        <v>632</v>
      </c>
      <c r="P566" s="1" t="str">
        <f>_xlfn.CONCAT(B566,C566,D566,E566,F566)</f>
        <v>BC Turvania1.2Inverter(MBUS-15)46062,458333333346062,458333333346062,4986111111</v>
      </c>
      <c r="Q566" s="1" t="str">
        <f>_xlfn.CONCAT(H566,I566,J566)</f>
        <v>DAURDE</v>
      </c>
    </row>
    <row r="567" spans="2:17">
      <c r="B567" s="1" t="s">
        <v>314</v>
      </c>
      <c r="C567" s="1" t="s">
        <v>264</v>
      </c>
      <c r="D567" s="52">
        <v>46062.458333333336</v>
      </c>
      <c r="E567" s="52">
        <v>46062.458333333336</v>
      </c>
      <c r="F567" s="52">
        <v>46062.498611111114</v>
      </c>
      <c r="G567" s="53">
        <v>4.027777777777778E-2</v>
      </c>
      <c r="H567" s="1" t="s">
        <v>257</v>
      </c>
      <c r="J567" s="1" t="s">
        <v>258</v>
      </c>
      <c r="K567" s="1" t="s">
        <v>658</v>
      </c>
      <c r="L567" s="1" t="s">
        <v>739</v>
      </c>
      <c r="M567" s="1" t="s">
        <v>260</v>
      </c>
      <c r="N567" s="1" t="s">
        <v>357</v>
      </c>
      <c r="O567" s="1" t="s">
        <v>632</v>
      </c>
      <c r="P567" s="1" t="str">
        <f>_xlfn.CONCAT(B567,C567,D567,E567,F567)</f>
        <v>BC Turvania1.3Inverter(MBUS-13)46062,458333333346062,458333333346062,4986111111</v>
      </c>
      <c r="Q567" s="1" t="str">
        <f>_xlfn.CONCAT(H567,I567,J567)</f>
        <v>DAURDE</v>
      </c>
    </row>
    <row r="568" spans="2:17">
      <c r="B568" s="1" t="s">
        <v>314</v>
      </c>
      <c r="C568" s="1" t="s">
        <v>263</v>
      </c>
      <c r="D568" s="52">
        <v>46062.458333333336</v>
      </c>
      <c r="E568" s="52">
        <v>46062.458333333336</v>
      </c>
      <c r="F568" s="52">
        <v>46062.498611111114</v>
      </c>
      <c r="G568" s="53">
        <v>4.027777777777778E-2</v>
      </c>
      <c r="H568" s="1" t="s">
        <v>257</v>
      </c>
      <c r="J568" s="1" t="s">
        <v>258</v>
      </c>
      <c r="K568" s="1" t="s">
        <v>658</v>
      </c>
      <c r="L568" s="1" t="s">
        <v>739</v>
      </c>
      <c r="M568" s="1" t="s">
        <v>260</v>
      </c>
      <c r="N568" s="1" t="s">
        <v>357</v>
      </c>
      <c r="O568" s="1" t="s">
        <v>632</v>
      </c>
      <c r="P568" s="1" t="str">
        <f>_xlfn.CONCAT(B568,C568,D568,E568,F568)</f>
        <v>BC Turvania1.3Inverter(MBUS-14)46062,458333333346062,458333333346062,4986111111</v>
      </c>
      <c r="Q568" s="1" t="str">
        <f>_xlfn.CONCAT(H568,I568,J568)</f>
        <v>DAURDE</v>
      </c>
    </row>
    <row r="569" spans="2:17">
      <c r="B569" s="1" t="s">
        <v>314</v>
      </c>
      <c r="C569" s="1" t="s">
        <v>307</v>
      </c>
      <c r="D569" s="52">
        <v>46062.458333333336</v>
      </c>
      <c r="E569" s="52">
        <v>46062.458333333336</v>
      </c>
      <c r="F569" s="52">
        <v>46062.498611111114</v>
      </c>
      <c r="G569" s="53">
        <v>4.027777777777778E-2</v>
      </c>
      <c r="H569" s="1" t="s">
        <v>257</v>
      </c>
      <c r="J569" s="1" t="s">
        <v>258</v>
      </c>
      <c r="K569" s="1" t="s">
        <v>658</v>
      </c>
      <c r="L569" s="1" t="s">
        <v>739</v>
      </c>
      <c r="M569" s="1" t="s">
        <v>260</v>
      </c>
      <c r="N569" s="1" t="s">
        <v>357</v>
      </c>
      <c r="O569" s="1" t="s">
        <v>632</v>
      </c>
      <c r="P569" s="1" t="str">
        <f>_xlfn.CONCAT(B569,C569,D569,E569,F569)</f>
        <v>BC Turvania1.3Inverter(MBUS-15)46062,458333333346062,458333333346062,4986111111</v>
      </c>
      <c r="Q569" s="1" t="str">
        <f>_xlfn.CONCAT(H569,I569,J569)</f>
        <v>DAURDE</v>
      </c>
    </row>
    <row r="570" spans="2:17">
      <c r="B570" s="1" t="s">
        <v>314</v>
      </c>
      <c r="C570" s="1" t="s">
        <v>247</v>
      </c>
      <c r="D570" s="52">
        <v>46062.458333333336</v>
      </c>
      <c r="E570" s="52">
        <v>46062.458333333336</v>
      </c>
      <c r="F570" s="52">
        <v>46062.498611111114</v>
      </c>
      <c r="G570" s="53">
        <v>4.027777777777778E-2</v>
      </c>
      <c r="H570" s="1" t="s">
        <v>257</v>
      </c>
      <c r="J570" s="1" t="s">
        <v>258</v>
      </c>
      <c r="K570" s="1" t="s">
        <v>658</v>
      </c>
      <c r="L570" s="1" t="s">
        <v>739</v>
      </c>
      <c r="M570" s="1" t="s">
        <v>260</v>
      </c>
      <c r="N570" s="1" t="s">
        <v>357</v>
      </c>
      <c r="O570" s="1" t="s">
        <v>632</v>
      </c>
      <c r="P570" s="1" t="str">
        <f>_xlfn.CONCAT(B570,C570,D570,E570,F570)</f>
        <v>BC Turvania1.3Inverter(MBUS-1)46062,458333333346062,458333333346062,4986111111</v>
      </c>
      <c r="Q570" s="1" t="str">
        <f>_xlfn.CONCAT(H570,I570,J570)</f>
        <v>DAURDE</v>
      </c>
    </row>
    <row r="571" spans="2:17">
      <c r="B571" s="1" t="s">
        <v>701</v>
      </c>
      <c r="C571" s="1" t="s">
        <v>263</v>
      </c>
      <c r="D571" s="52">
        <v>46062.458333333336</v>
      </c>
      <c r="E571" s="52">
        <v>46062.458333333336</v>
      </c>
      <c r="F571" s="52">
        <v>46062.498611111114</v>
      </c>
      <c r="G571" s="53">
        <v>4.027777777777778E-2</v>
      </c>
      <c r="H571" s="1" t="s">
        <v>257</v>
      </c>
      <c r="J571" s="1" t="s">
        <v>258</v>
      </c>
      <c r="K571" s="1" t="s">
        <v>658</v>
      </c>
      <c r="L571" s="1" t="s">
        <v>739</v>
      </c>
      <c r="M571" s="1" t="s">
        <v>260</v>
      </c>
      <c r="N571" s="1" t="s">
        <v>357</v>
      </c>
      <c r="O571" s="1" t="s">
        <v>632</v>
      </c>
      <c r="P571" s="1" t="str">
        <f>_xlfn.CONCAT(B571,C571,D571,E571,F571)</f>
        <v>BC Turvania1.4Inverter(MBUS-14)46062,458333333346062,458333333346062,4986111111</v>
      </c>
      <c r="Q571" s="1" t="str">
        <f>_xlfn.CONCAT(H571,I571,J571)</f>
        <v>DAURDE</v>
      </c>
    </row>
    <row r="572" spans="2:17">
      <c r="B572" s="1" t="s">
        <v>701</v>
      </c>
      <c r="C572" s="1" t="s">
        <v>307</v>
      </c>
      <c r="D572" s="52">
        <v>46062.458333333336</v>
      </c>
      <c r="E572" s="52">
        <v>46062.458333333336</v>
      </c>
      <c r="F572" s="52">
        <v>46062.498611111114</v>
      </c>
      <c r="G572" s="53">
        <v>4.027777777777778E-2</v>
      </c>
      <c r="H572" s="1" t="s">
        <v>257</v>
      </c>
      <c r="J572" s="1" t="s">
        <v>258</v>
      </c>
      <c r="K572" s="1" t="s">
        <v>658</v>
      </c>
      <c r="L572" s="1" t="s">
        <v>739</v>
      </c>
      <c r="M572" s="1" t="s">
        <v>260</v>
      </c>
      <c r="N572" s="1" t="s">
        <v>357</v>
      </c>
      <c r="O572" s="1" t="s">
        <v>632</v>
      </c>
      <c r="P572" s="1" t="str">
        <f>_xlfn.CONCAT(B572,C572,D572,E572,F572)</f>
        <v>BC Turvania1.4Inverter(MBUS-15)46062,458333333346062,458333333346062,4986111111</v>
      </c>
      <c r="Q572" s="1" t="str">
        <f>_xlfn.CONCAT(H572,I572,J572)</f>
        <v>DAURDE</v>
      </c>
    </row>
    <row r="573" spans="2:17">
      <c r="B573" s="1" t="s">
        <v>701</v>
      </c>
      <c r="C573" s="1" t="s">
        <v>264</v>
      </c>
      <c r="D573" s="52">
        <v>46062.458333333336</v>
      </c>
      <c r="E573" s="52">
        <v>46062.458333333336</v>
      </c>
      <c r="F573" s="52">
        <v>46062.498611111114</v>
      </c>
      <c r="G573" s="53">
        <v>4.027777777777778E-2</v>
      </c>
      <c r="H573" s="1" t="s">
        <v>257</v>
      </c>
      <c r="J573" s="1" t="s">
        <v>258</v>
      </c>
      <c r="K573" s="1" t="s">
        <v>658</v>
      </c>
      <c r="L573" s="1" t="s">
        <v>739</v>
      </c>
      <c r="M573" s="1" t="s">
        <v>260</v>
      </c>
      <c r="N573" s="1" t="s">
        <v>357</v>
      </c>
      <c r="O573" s="1" t="s">
        <v>632</v>
      </c>
      <c r="P573" s="1" t="str">
        <f>_xlfn.CONCAT(B573,C573,D573,E573,F573)</f>
        <v>BC Turvania1.4Inverter(MBUS-13)46062,458333333346062,458333333346062,4986111111</v>
      </c>
      <c r="Q573" s="1" t="str">
        <f>_xlfn.CONCAT(H573,I573,J573)</f>
        <v>DAURDE</v>
      </c>
    </row>
    <row r="574" spans="2:17">
      <c r="B574" s="1" t="s">
        <v>701</v>
      </c>
      <c r="C574" s="1" t="s">
        <v>256</v>
      </c>
      <c r="D574" s="52">
        <v>46062.458333333336</v>
      </c>
      <c r="E574" s="52">
        <v>46062.458333333336</v>
      </c>
      <c r="F574" s="52">
        <v>46062.498611111114</v>
      </c>
      <c r="G574" s="53">
        <v>4.027777777777778E-2</v>
      </c>
      <c r="H574" s="1" t="s">
        <v>257</v>
      </c>
      <c r="J574" s="1" t="s">
        <v>258</v>
      </c>
      <c r="K574" s="1" t="s">
        <v>658</v>
      </c>
      <c r="L574" s="1" t="s">
        <v>739</v>
      </c>
      <c r="M574" s="1" t="s">
        <v>260</v>
      </c>
      <c r="N574" s="1" t="s">
        <v>357</v>
      </c>
      <c r="O574" s="1" t="s">
        <v>632</v>
      </c>
      <c r="P574" s="1" t="str">
        <f>_xlfn.CONCAT(B574,C574,D574,E574,F574)</f>
        <v>BC Turvania1.4Inverter(MBUS-12)46062,458333333346062,458333333346062,4986111111</v>
      </c>
      <c r="Q574" s="1" t="str">
        <f>_xlfn.CONCAT(H574,I574,J574)</f>
        <v>DAURDE</v>
      </c>
    </row>
    <row r="575" spans="2:17">
      <c r="B575" s="1" t="s">
        <v>702</v>
      </c>
      <c r="C575" s="1" t="s">
        <v>264</v>
      </c>
      <c r="D575" s="52">
        <v>46062.458333333336</v>
      </c>
      <c r="E575" s="52">
        <v>46062.458333333336</v>
      </c>
      <c r="F575" s="52">
        <v>46062.498611111114</v>
      </c>
      <c r="G575" s="53">
        <v>4.027777777777778E-2</v>
      </c>
      <c r="H575" s="1" t="s">
        <v>257</v>
      </c>
      <c r="J575" s="1" t="s">
        <v>258</v>
      </c>
      <c r="K575" s="1" t="s">
        <v>658</v>
      </c>
      <c r="L575" s="1" t="s">
        <v>739</v>
      </c>
      <c r="M575" s="1" t="s">
        <v>260</v>
      </c>
      <c r="N575" s="1" t="s">
        <v>357</v>
      </c>
      <c r="O575" s="1" t="s">
        <v>632</v>
      </c>
      <c r="P575" s="1" t="str">
        <f>_xlfn.CONCAT(B575,C575,D575,E575,F575)</f>
        <v>BC Turvania1.5Inverter(MBUS-13)46062,458333333346062,458333333346062,4986111111</v>
      </c>
      <c r="Q575" s="1" t="str">
        <f>_xlfn.CONCAT(H575,I575,J575)</f>
        <v>DAURDE</v>
      </c>
    </row>
    <row r="576" spans="2:17">
      <c r="B576" s="1" t="s">
        <v>702</v>
      </c>
      <c r="C576" s="1" t="s">
        <v>256</v>
      </c>
      <c r="D576" s="52">
        <v>46062.458333333336</v>
      </c>
      <c r="E576" s="52">
        <v>46062.458333333336</v>
      </c>
      <c r="F576" s="52">
        <v>46062.498611111114</v>
      </c>
      <c r="G576" s="53">
        <v>4.027777777777778E-2</v>
      </c>
      <c r="H576" s="1" t="s">
        <v>257</v>
      </c>
      <c r="J576" s="1" t="s">
        <v>258</v>
      </c>
      <c r="K576" s="1" t="s">
        <v>658</v>
      </c>
      <c r="L576" s="1" t="s">
        <v>739</v>
      </c>
      <c r="M576" s="1" t="s">
        <v>260</v>
      </c>
      <c r="N576" s="1" t="s">
        <v>357</v>
      </c>
      <c r="O576" s="1" t="s">
        <v>632</v>
      </c>
      <c r="P576" s="1" t="str">
        <f>_xlfn.CONCAT(B576,C576,D576,E576,F576)</f>
        <v>BC Turvania1.5Inverter(MBUS-12)46062,458333333346062,458333333346062,4986111111</v>
      </c>
      <c r="Q576" s="1" t="str">
        <f>_xlfn.CONCAT(H576,I576,J576)</f>
        <v>DAURDE</v>
      </c>
    </row>
    <row r="577" spans="1:17">
      <c r="B577" s="1" t="s">
        <v>702</v>
      </c>
      <c r="C577" s="1" t="s">
        <v>263</v>
      </c>
      <c r="D577" s="52">
        <v>46062.458333333336</v>
      </c>
      <c r="E577" s="52">
        <v>46062.458333333336</v>
      </c>
      <c r="F577" s="52">
        <v>46062.498611111114</v>
      </c>
      <c r="G577" s="53">
        <v>4.027777777777778E-2</v>
      </c>
      <c r="H577" s="1" t="s">
        <v>257</v>
      </c>
      <c r="J577" s="1" t="s">
        <v>258</v>
      </c>
      <c r="K577" s="1" t="s">
        <v>658</v>
      </c>
      <c r="L577" s="1" t="s">
        <v>739</v>
      </c>
      <c r="M577" s="1" t="s">
        <v>260</v>
      </c>
      <c r="N577" s="1" t="s">
        <v>357</v>
      </c>
      <c r="O577" s="1" t="s">
        <v>632</v>
      </c>
      <c r="P577" s="1" t="str">
        <f>_xlfn.CONCAT(B577,C577,D577,E577,F577)</f>
        <v>BC Turvania1.5Inverter(MBUS-14)46062,458333333346062,458333333346062,4986111111</v>
      </c>
      <c r="Q577" s="1" t="str">
        <f>_xlfn.CONCAT(H577,I577,J577)</f>
        <v>DAURDE</v>
      </c>
    </row>
    <row r="578" spans="1:17">
      <c r="B578" s="1" t="s">
        <v>702</v>
      </c>
      <c r="C578" s="1" t="s">
        <v>247</v>
      </c>
      <c r="D578" s="52">
        <v>46062.458333333336</v>
      </c>
      <c r="E578" s="52">
        <v>46062.458333333336</v>
      </c>
      <c r="F578" s="52">
        <v>46062.498611111114</v>
      </c>
      <c r="G578" s="53">
        <v>4.027777777777778E-2</v>
      </c>
      <c r="H578" s="1" t="s">
        <v>257</v>
      </c>
      <c r="J578" s="1" t="s">
        <v>258</v>
      </c>
      <c r="K578" s="1" t="s">
        <v>658</v>
      </c>
      <c r="L578" s="1" t="s">
        <v>739</v>
      </c>
      <c r="M578" s="1" t="s">
        <v>260</v>
      </c>
      <c r="N578" s="1" t="s">
        <v>357</v>
      </c>
      <c r="O578" s="1" t="s">
        <v>632</v>
      </c>
      <c r="P578" s="1" t="str">
        <f>_xlfn.CONCAT(B578,C578,D578,E578,F578)</f>
        <v>BC Turvania1.5Inverter(MBUS-1)46062,458333333346062,458333333346062,4986111111</v>
      </c>
      <c r="Q578" s="1" t="str">
        <f>_xlfn.CONCAT(H578,I578,J578)</f>
        <v>DAURDE</v>
      </c>
    </row>
    <row r="579" spans="1:17">
      <c r="B579" s="1" t="s">
        <v>729</v>
      </c>
      <c r="C579" s="1" t="s">
        <v>730</v>
      </c>
      <c r="D579" s="52">
        <v>46062.472222222219</v>
      </c>
      <c r="E579" s="52">
        <v>46062.472222222219</v>
      </c>
      <c r="F579" s="52">
        <v>46062.479166666664</v>
      </c>
      <c r="G579" s="53">
        <v>6.9444444444444441E-3</v>
      </c>
      <c r="H579" s="1" t="s">
        <v>268</v>
      </c>
      <c r="I579" s="1" t="s">
        <v>269</v>
      </c>
      <c r="J579" s="1" t="s">
        <v>319</v>
      </c>
      <c r="K579" s="1" t="s">
        <v>652</v>
      </c>
      <c r="L579" s="1" t="s">
        <v>740</v>
      </c>
      <c r="M579" s="1" t="s">
        <v>260</v>
      </c>
      <c r="N579" s="1" t="s">
        <v>357</v>
      </c>
      <c r="O579" s="1" t="s">
        <v>632</v>
      </c>
      <c r="P579" s="1" t="str">
        <f>_xlfn.CONCAT(B579,C579,D579,E579,F579)</f>
        <v>BC Varjao1.1UFV 1 - INV 146062,472222222246062,472222222246062,4791666667</v>
      </c>
      <c r="Q579" s="1" t="str">
        <f>_xlfn.CONCAT(H579,I579,J579)</f>
        <v>LIGRFOCOM</v>
      </c>
    </row>
    <row r="580" spans="1:17" s="75" customFormat="1" ht="19.5" customHeight="1">
      <c r="A580" s="2"/>
      <c r="B580" s="66" t="s">
        <v>729</v>
      </c>
      <c r="C580" s="66" t="s">
        <v>732</v>
      </c>
      <c r="D580" s="73">
        <v>46062.472222222219</v>
      </c>
      <c r="E580" s="73">
        <v>46062.472222222219</v>
      </c>
      <c r="F580" s="73">
        <v>46062.479166666664</v>
      </c>
      <c r="G580" s="74">
        <v>6.9444444444444441E-3</v>
      </c>
      <c r="H580" s="66" t="s">
        <v>268</v>
      </c>
      <c r="I580" s="66" t="s">
        <v>269</v>
      </c>
      <c r="J580" s="66" t="s">
        <v>319</v>
      </c>
      <c r="K580" s="66" t="s">
        <v>652</v>
      </c>
      <c r="L580" s="66" t="s">
        <v>740</v>
      </c>
      <c r="M580" s="66" t="s">
        <v>363</v>
      </c>
      <c r="N580" s="66" t="s">
        <v>364</v>
      </c>
      <c r="O580" s="76" t="s">
        <v>741</v>
      </c>
      <c r="P580" s="66" t="str">
        <f>_xlfn.CONCAT(B580,C580,D581,E580,F580)</f>
        <v>BC Varjao1.1UFV 1 - INV 546062,472222222246062,472222222246062,4791666667</v>
      </c>
      <c r="Q580" s="66" t="str">
        <f>_xlfn.CONCAT(H580,I580,J580)</f>
        <v>LIGRFOCOM</v>
      </c>
    </row>
    <row r="581" spans="1:17" s="75" customFormat="1">
      <c r="A581" s="2"/>
      <c r="B581" s="1" t="s">
        <v>729</v>
      </c>
      <c r="C581" s="1" t="s">
        <v>733</v>
      </c>
      <c r="D581" s="52">
        <v>46062.472222222219</v>
      </c>
      <c r="E581" s="52">
        <v>46062.472222222219</v>
      </c>
      <c r="F581" s="52">
        <v>46062.479166666664</v>
      </c>
      <c r="G581" s="53">
        <v>6.9444444444444441E-3</v>
      </c>
      <c r="H581" s="1" t="s">
        <v>268</v>
      </c>
      <c r="I581" s="1" t="s">
        <v>269</v>
      </c>
      <c r="J581" s="1" t="s">
        <v>319</v>
      </c>
      <c r="K581" s="1" t="s">
        <v>652</v>
      </c>
      <c r="L581" s="1" t="s">
        <v>740</v>
      </c>
      <c r="M581" s="1" t="s">
        <v>289</v>
      </c>
      <c r="N581" s="1" t="s">
        <v>253</v>
      </c>
      <c r="O581" s="1" t="s">
        <v>742</v>
      </c>
      <c r="P581" s="1" t="str">
        <f>_xlfn.CONCAT(B581,C581,D581,E581,F581)</f>
        <v>BC Varjao1.1UFV 1 - INV 446062,472222222246062,472222222246062,4791666667</v>
      </c>
      <c r="Q581" s="1" t="str">
        <f>_xlfn.CONCAT(H581,I581,J581)</f>
        <v>LIGRFOCOM</v>
      </c>
    </row>
    <row r="582" spans="1:17" s="75" customFormat="1">
      <c r="A582" s="2"/>
      <c r="B582" s="1" t="s">
        <v>729</v>
      </c>
      <c r="C582" s="1" t="s">
        <v>734</v>
      </c>
      <c r="D582" s="52">
        <v>46062.472222222219</v>
      </c>
      <c r="E582" s="52">
        <v>46062.472222222219</v>
      </c>
      <c r="F582" s="52">
        <v>46062.479166666664</v>
      </c>
      <c r="G582" s="53">
        <v>6.9444444444444441E-3</v>
      </c>
      <c r="H582" s="1" t="s">
        <v>268</v>
      </c>
      <c r="I582" s="1" t="s">
        <v>269</v>
      </c>
      <c r="J582" s="1" t="s">
        <v>319</v>
      </c>
      <c r="K582" s="1" t="s">
        <v>652</v>
      </c>
      <c r="L582" s="1" t="s">
        <v>740</v>
      </c>
      <c r="M582" s="1" t="s">
        <v>289</v>
      </c>
      <c r="N582" s="1" t="s">
        <v>253</v>
      </c>
      <c r="O582" s="1" t="s">
        <v>742</v>
      </c>
      <c r="P582" s="1" t="str">
        <f>_xlfn.CONCAT(B582,C582,D582,E582,F582)</f>
        <v>BC Varjao1.1UFV 1 - INV 346062,472222222246062,472222222246062,4791666667</v>
      </c>
      <c r="Q582" s="1" t="str">
        <f>_xlfn.CONCAT(H582,I582,J582)</f>
        <v>LIGRFOCOM</v>
      </c>
    </row>
    <row r="583" spans="1:17" s="75" customFormat="1">
      <c r="A583" s="2"/>
      <c r="B583" s="1" t="s">
        <v>729</v>
      </c>
      <c r="C583" s="1" t="s">
        <v>735</v>
      </c>
      <c r="D583" s="52">
        <v>46062.472222222219</v>
      </c>
      <c r="E583" s="52">
        <v>46062.472222222219</v>
      </c>
      <c r="F583" s="52">
        <v>46062.479166666664</v>
      </c>
      <c r="G583" s="53">
        <v>6.9444444444444441E-3</v>
      </c>
      <c r="H583" s="1" t="s">
        <v>268</v>
      </c>
      <c r="I583" s="1" t="s">
        <v>269</v>
      </c>
      <c r="J583" s="1" t="s">
        <v>319</v>
      </c>
      <c r="K583" s="1" t="s">
        <v>652</v>
      </c>
      <c r="L583" s="1" t="s">
        <v>740</v>
      </c>
      <c r="M583" s="1" t="s">
        <v>289</v>
      </c>
      <c r="N583" s="1" t="s">
        <v>253</v>
      </c>
      <c r="O583" s="1" t="s">
        <v>742</v>
      </c>
      <c r="P583" s="1" t="str">
        <f>_xlfn.CONCAT(B583,C583,D583,E583,F583)</f>
        <v>BC Varjao1.1UFV 1 - INV 246062,472222222246062,472222222246062,4791666667</v>
      </c>
      <c r="Q583" s="1" t="str">
        <f>_xlfn.CONCAT(H583,I583,J583)</f>
        <v>LIGRFOCOM</v>
      </c>
    </row>
    <row r="584" spans="1:17">
      <c r="B584" s="1" t="s">
        <v>736</v>
      </c>
      <c r="C584" s="1" t="s">
        <v>332</v>
      </c>
      <c r="D584" s="52">
        <v>46062.472222222219</v>
      </c>
      <c r="E584" s="52">
        <v>46062.472222222219</v>
      </c>
      <c r="F584" s="52">
        <v>46062.479166666664</v>
      </c>
      <c r="G584" s="53">
        <v>6.9444444444444441E-3</v>
      </c>
      <c r="H584" s="1" t="s">
        <v>268</v>
      </c>
      <c r="I584" s="1" t="s">
        <v>269</v>
      </c>
      <c r="J584" s="1" t="s">
        <v>319</v>
      </c>
      <c r="K584" s="1" t="s">
        <v>652</v>
      </c>
      <c r="L584" s="1" t="s">
        <v>740</v>
      </c>
      <c r="M584" s="1" t="s">
        <v>289</v>
      </c>
      <c r="N584" s="1" t="s">
        <v>253</v>
      </c>
      <c r="O584" s="1" t="s">
        <v>742</v>
      </c>
      <c r="P584" s="1" t="str">
        <f>_xlfn.CONCAT(B584,C584,D584,E584,F584)</f>
        <v>BC Varjao1.2215KTL-H0(MBUS-12)46062,472222222246062,472222222246062,4791666667</v>
      </c>
      <c r="Q584" s="1" t="str">
        <f>_xlfn.CONCAT(H584,I584,J584)</f>
        <v>LIGRFOCOM</v>
      </c>
    </row>
    <row r="585" spans="1:17">
      <c r="B585" s="1" t="s">
        <v>736</v>
      </c>
      <c r="C585" s="1" t="s">
        <v>335</v>
      </c>
      <c r="D585" s="52">
        <v>46062.472222222219</v>
      </c>
      <c r="E585" s="52">
        <v>46062.472222222219</v>
      </c>
      <c r="F585" s="52">
        <v>46062.479166666664</v>
      </c>
      <c r="G585" s="53">
        <v>6.9444444444444441E-3</v>
      </c>
      <c r="H585" s="1" t="s">
        <v>268</v>
      </c>
      <c r="I585" s="1" t="s">
        <v>269</v>
      </c>
      <c r="J585" s="1" t="s">
        <v>319</v>
      </c>
      <c r="K585" s="1" t="s">
        <v>652</v>
      </c>
      <c r="L585" s="1" t="s">
        <v>740</v>
      </c>
      <c r="M585" s="1" t="s">
        <v>289</v>
      </c>
      <c r="N585" s="1" t="s">
        <v>253</v>
      </c>
      <c r="O585" s="1" t="s">
        <v>742</v>
      </c>
      <c r="P585" s="1" t="str">
        <f>_xlfn.CONCAT(B585,C585,D585,E585,F585)</f>
        <v>BC Varjao1.2215KTL-H0(MBUS-13)46062,472222222246062,472222222246062,4791666667</v>
      </c>
      <c r="Q585" s="1" t="str">
        <f>_xlfn.CONCAT(H585,I585,J585)</f>
        <v>LIGRFOCOM</v>
      </c>
    </row>
    <row r="586" spans="1:17">
      <c r="B586" s="1" t="s">
        <v>736</v>
      </c>
      <c r="C586" s="1" t="s">
        <v>336</v>
      </c>
      <c r="D586" s="52">
        <v>46062.472222222219</v>
      </c>
      <c r="E586" s="52">
        <v>46062.472222222219</v>
      </c>
      <c r="F586" s="52">
        <v>46062.479166666664</v>
      </c>
      <c r="G586" s="53">
        <v>6.9444444444444441E-3</v>
      </c>
      <c r="H586" s="1" t="s">
        <v>268</v>
      </c>
      <c r="I586" s="1" t="s">
        <v>269</v>
      </c>
      <c r="J586" s="1" t="s">
        <v>319</v>
      </c>
      <c r="K586" s="1" t="s">
        <v>652</v>
      </c>
      <c r="L586" s="1" t="s">
        <v>740</v>
      </c>
      <c r="M586" s="1" t="s">
        <v>289</v>
      </c>
      <c r="N586" s="1" t="s">
        <v>253</v>
      </c>
      <c r="O586" s="1" t="s">
        <v>742</v>
      </c>
      <c r="P586" s="1" t="str">
        <f>_xlfn.CONCAT(B586,C586,D586,E586,F586)</f>
        <v>BC Varjao1.2215KTL-H0(MBUS-14)46062,472222222246062,472222222246062,4791666667</v>
      </c>
      <c r="Q586" s="1" t="str">
        <f>_xlfn.CONCAT(H586,I586,J586)</f>
        <v>LIGRFOCOM</v>
      </c>
    </row>
    <row r="587" spans="1:17">
      <c r="B587" s="1" t="s">
        <v>736</v>
      </c>
      <c r="C587" s="1" t="s">
        <v>337</v>
      </c>
      <c r="D587" s="52">
        <v>46062.472222222219</v>
      </c>
      <c r="E587" s="52">
        <v>46062.472222222219</v>
      </c>
      <c r="F587" s="52">
        <v>46062.479166666664</v>
      </c>
      <c r="G587" s="53">
        <v>6.9444444444444441E-3</v>
      </c>
      <c r="H587" s="1" t="s">
        <v>268</v>
      </c>
      <c r="I587" s="1" t="s">
        <v>269</v>
      </c>
      <c r="J587" s="1" t="s">
        <v>319</v>
      </c>
      <c r="K587" s="1" t="s">
        <v>652</v>
      </c>
      <c r="L587" s="1" t="s">
        <v>740</v>
      </c>
      <c r="M587" s="1" t="s">
        <v>289</v>
      </c>
      <c r="N587" s="1" t="s">
        <v>253</v>
      </c>
      <c r="O587" s="1" t="s">
        <v>742</v>
      </c>
      <c r="P587" s="1" t="str">
        <f>_xlfn.CONCAT(B587,C587,D587,E587,F587)</f>
        <v>BC Varjao1.2215KTL-H0(MBUS-15)46062,472222222246062,472222222246062,4791666667</v>
      </c>
      <c r="Q587" s="1" t="str">
        <f>_xlfn.CONCAT(H587,I587,J587)</f>
        <v>LIGRFOCOM</v>
      </c>
    </row>
    <row r="588" spans="1:17">
      <c r="B588" s="1" t="s">
        <v>736</v>
      </c>
      <c r="C588" s="1" t="s">
        <v>338</v>
      </c>
      <c r="D588" s="52">
        <v>46062.472222222219</v>
      </c>
      <c r="E588" s="52">
        <v>46062.472222222219</v>
      </c>
      <c r="F588" s="52">
        <v>46062.479166666664</v>
      </c>
      <c r="G588" s="53">
        <v>6.9444444444444441E-3</v>
      </c>
      <c r="H588" s="1" t="s">
        <v>268</v>
      </c>
      <c r="I588" s="1" t="s">
        <v>269</v>
      </c>
      <c r="J588" s="1" t="s">
        <v>319</v>
      </c>
      <c r="K588" s="1" t="s">
        <v>652</v>
      </c>
      <c r="L588" s="1" t="s">
        <v>740</v>
      </c>
      <c r="M588" s="1" t="s">
        <v>289</v>
      </c>
      <c r="N588" s="1" t="s">
        <v>253</v>
      </c>
      <c r="O588" s="1" t="s">
        <v>742</v>
      </c>
      <c r="P588" s="1" t="str">
        <f>_xlfn.CONCAT(B588,C588,D588,E588,F588)</f>
        <v>BC Varjao1.2215KTL-H0(MBUS-16)46062,472222222246062,472222222246062,4791666667</v>
      </c>
      <c r="Q588" s="1" t="str">
        <f>_xlfn.CONCAT(H588,I588,J588)</f>
        <v>LIGRFOCOM</v>
      </c>
    </row>
    <row r="589" spans="1:17">
      <c r="B589" s="1" t="s">
        <v>667</v>
      </c>
      <c r="C589" s="1" t="s">
        <v>247</v>
      </c>
      <c r="D589" s="52">
        <v>46062.472222222219</v>
      </c>
      <c r="E589" s="52">
        <v>46062.472222222219</v>
      </c>
      <c r="F589" s="52">
        <v>46062.479166666664</v>
      </c>
      <c r="G589" s="53">
        <v>6.9444444444444441E-3</v>
      </c>
      <c r="H589" s="1" t="s">
        <v>268</v>
      </c>
      <c r="I589" s="1" t="s">
        <v>269</v>
      </c>
      <c r="J589" s="1" t="s">
        <v>319</v>
      </c>
      <c r="K589" s="1" t="s">
        <v>652</v>
      </c>
      <c r="L589" s="1" t="s">
        <v>740</v>
      </c>
      <c r="M589" s="1" t="s">
        <v>289</v>
      </c>
      <c r="N589" s="1" t="s">
        <v>253</v>
      </c>
      <c r="O589" s="1" t="s">
        <v>742</v>
      </c>
      <c r="P589" s="1" t="str">
        <f>_xlfn.CONCAT(B589,C589,D589,E589,F589)</f>
        <v>BC Varjao1.3Inverter(MBUS-1)46062,472222222246062,472222222246062,4791666667</v>
      </c>
      <c r="Q589" s="1" t="str">
        <f>_xlfn.CONCAT(H589,I589,J589)</f>
        <v>LIGRFOCOM</v>
      </c>
    </row>
    <row r="590" spans="1:17">
      <c r="B590" s="1" t="s">
        <v>667</v>
      </c>
      <c r="C590" s="1" t="s">
        <v>737</v>
      </c>
      <c r="D590" s="52">
        <v>46062.472222222219</v>
      </c>
      <c r="E590" s="52">
        <v>46062.472222222219</v>
      </c>
      <c r="F590" s="52">
        <v>46062.479166666664</v>
      </c>
      <c r="G590" s="53">
        <v>6.9444444444444441E-3</v>
      </c>
      <c r="H590" s="1" t="s">
        <v>268</v>
      </c>
      <c r="I590" s="1" t="s">
        <v>269</v>
      </c>
      <c r="J590" s="1" t="s">
        <v>319</v>
      </c>
      <c r="K590" s="1" t="s">
        <v>652</v>
      </c>
      <c r="L590" s="1" t="s">
        <v>740</v>
      </c>
      <c r="M590" s="1" t="s">
        <v>289</v>
      </c>
      <c r="N590" s="1" t="s">
        <v>253</v>
      </c>
      <c r="O590" s="1" t="s">
        <v>742</v>
      </c>
      <c r="P590" s="1" t="str">
        <f>_xlfn.CONCAT(B590,C590,D590,E590,F590)</f>
        <v>BC Varjao1.3UF3Inv246062,472222222246062,472222222246062,4791666667</v>
      </c>
      <c r="Q590" s="1" t="str">
        <f>_xlfn.CONCAT(H590,I590,J590)</f>
        <v>LIGRFOCOM</v>
      </c>
    </row>
    <row r="591" spans="1:17">
      <c r="B591" s="1" t="s">
        <v>667</v>
      </c>
      <c r="C591" s="1" t="s">
        <v>336</v>
      </c>
      <c r="D591" s="52">
        <v>46062.472222222219</v>
      </c>
      <c r="E591" s="52">
        <v>46062.472222222219</v>
      </c>
      <c r="F591" s="52">
        <v>46062.479166666664</v>
      </c>
      <c r="G591" s="53">
        <v>6.9444444444444441E-3</v>
      </c>
      <c r="H591" s="1" t="s">
        <v>268</v>
      </c>
      <c r="I591" s="1" t="s">
        <v>269</v>
      </c>
      <c r="J591" s="1" t="s">
        <v>319</v>
      </c>
      <c r="K591" s="1" t="s">
        <v>652</v>
      </c>
      <c r="L591" s="1" t="s">
        <v>740</v>
      </c>
      <c r="M591" s="1" t="s">
        <v>289</v>
      </c>
      <c r="N591" s="1" t="s">
        <v>253</v>
      </c>
      <c r="O591" s="1" t="s">
        <v>742</v>
      </c>
      <c r="P591" s="1" t="str">
        <f>_xlfn.CONCAT(B591,C591,D591,E591,F591)</f>
        <v>BC Varjao1.3215KTL-H0(MBUS-14)46062,472222222246062,472222222246062,4791666667</v>
      </c>
      <c r="Q591" s="1" t="str">
        <f>_xlfn.CONCAT(H591,I591,J591)</f>
        <v>LIGRFOCOM</v>
      </c>
    </row>
    <row r="592" spans="1:17">
      <c r="B592" s="1" t="s">
        <v>305</v>
      </c>
      <c r="C592" s="1" t="s">
        <v>256</v>
      </c>
      <c r="D592" s="52">
        <v>46062.576388888891</v>
      </c>
      <c r="E592" s="52">
        <v>46062.576388888891</v>
      </c>
      <c r="F592" s="52">
        <v>46062.694444444445</v>
      </c>
      <c r="G592" s="53">
        <v>0.11805555555555555</v>
      </c>
      <c r="H592" s="1" t="s">
        <v>257</v>
      </c>
      <c r="J592" s="1" t="s">
        <v>258</v>
      </c>
      <c r="K592" s="1" t="s">
        <v>658</v>
      </c>
      <c r="L592" s="1" t="s">
        <v>743</v>
      </c>
      <c r="M592" s="1" t="s">
        <v>289</v>
      </c>
      <c r="N592" s="1" t="s">
        <v>253</v>
      </c>
      <c r="O592" s="1" t="s">
        <v>742</v>
      </c>
      <c r="P592" s="1" t="str">
        <f>_xlfn.CONCAT(B592,C592,D592,E592,F592)</f>
        <v>ARAGUATINS 1.1Inverter(MBUS-12)46062,576388888946062,576388888946062,6944444444</v>
      </c>
      <c r="Q592" s="1" t="str">
        <f>_xlfn.CONCAT(H592,I592,J592)</f>
        <v>DAURDE</v>
      </c>
    </row>
    <row r="593" spans="2:17">
      <c r="B593" s="1" t="s">
        <v>305</v>
      </c>
      <c r="C593" s="1" t="s">
        <v>264</v>
      </c>
      <c r="D593" s="52">
        <v>46062.576388888891</v>
      </c>
      <c r="E593" s="52">
        <v>46062.576388888891</v>
      </c>
      <c r="F593" s="52">
        <v>46062.694444444445</v>
      </c>
      <c r="G593" s="53">
        <v>0.11805555555555555</v>
      </c>
      <c r="H593" s="1" t="s">
        <v>257</v>
      </c>
      <c r="J593" s="1" t="s">
        <v>258</v>
      </c>
      <c r="K593" s="1" t="s">
        <v>658</v>
      </c>
      <c r="L593" s="1" t="s">
        <v>743</v>
      </c>
      <c r="M593" s="1" t="s">
        <v>289</v>
      </c>
      <c r="N593" s="1" t="s">
        <v>253</v>
      </c>
      <c r="O593" s="1" t="s">
        <v>742</v>
      </c>
      <c r="P593" s="1" t="str">
        <f>_xlfn.CONCAT(B593,C593,D593,E593,F593)</f>
        <v>ARAGUATINS 1.1Inverter(MBUS-13)46062,576388888946062,576388888946062,6944444444</v>
      </c>
      <c r="Q593" s="1" t="str">
        <f>_xlfn.CONCAT(H593,I593,J593)</f>
        <v>DAURDE</v>
      </c>
    </row>
    <row r="594" spans="2:17">
      <c r="B594" s="1" t="s">
        <v>305</v>
      </c>
      <c r="C594" s="1" t="s">
        <v>263</v>
      </c>
      <c r="D594" s="52">
        <v>46062.576388888891</v>
      </c>
      <c r="E594" s="52">
        <v>46062.576388888891</v>
      </c>
      <c r="F594" s="52">
        <v>46062.694444444445</v>
      </c>
      <c r="G594" s="53">
        <v>0.11805555555555555</v>
      </c>
      <c r="H594" s="1" t="s">
        <v>257</v>
      </c>
      <c r="J594" s="1" t="s">
        <v>258</v>
      </c>
      <c r="K594" s="1" t="s">
        <v>658</v>
      </c>
      <c r="L594" s="1" t="s">
        <v>743</v>
      </c>
      <c r="M594" s="1" t="s">
        <v>289</v>
      </c>
      <c r="N594" s="1" t="s">
        <v>253</v>
      </c>
      <c r="O594" s="1" t="s">
        <v>742</v>
      </c>
      <c r="P594" s="1" t="str">
        <f>_xlfn.CONCAT(B594,C594,D594,E594,F594)</f>
        <v>ARAGUATINS 1.1Inverter(MBUS-14)46062,576388888946062,576388888946062,6944444444</v>
      </c>
      <c r="Q594" s="1" t="str">
        <f>_xlfn.CONCAT(H594,I594,J594)</f>
        <v>DAURDE</v>
      </c>
    </row>
    <row r="595" spans="2:17">
      <c r="B595" s="1" t="s">
        <v>305</v>
      </c>
      <c r="C595" s="1" t="s">
        <v>307</v>
      </c>
      <c r="D595" s="52">
        <v>46062.576388888891</v>
      </c>
      <c r="E595" s="52">
        <v>46062.576388888891</v>
      </c>
      <c r="F595" s="52">
        <v>46062.694444444445</v>
      </c>
      <c r="G595" s="53">
        <v>0.11805555555555555</v>
      </c>
      <c r="H595" s="1" t="s">
        <v>257</v>
      </c>
      <c r="J595" s="1" t="s">
        <v>258</v>
      </c>
      <c r="K595" s="1" t="s">
        <v>658</v>
      </c>
      <c r="L595" s="1" t="s">
        <v>743</v>
      </c>
      <c r="M595" s="1" t="s">
        <v>289</v>
      </c>
      <c r="N595" s="1" t="s">
        <v>253</v>
      </c>
      <c r="O595" s="1" t="s">
        <v>742</v>
      </c>
      <c r="P595" s="1" t="str">
        <f>_xlfn.CONCAT(B595,C595,D595,E595,F595)</f>
        <v>ARAGUATINS 1.1Inverter(MBUS-15)46062,576388888946062,576388888946062,6944444444</v>
      </c>
      <c r="Q595" s="1" t="str">
        <f>_xlfn.CONCAT(H595,I595,J595)</f>
        <v>DAURDE</v>
      </c>
    </row>
    <row r="596" spans="2:17">
      <c r="B596" s="1" t="s">
        <v>308</v>
      </c>
      <c r="C596" s="1" t="s">
        <v>256</v>
      </c>
      <c r="D596" s="52">
        <v>46062.576388888891</v>
      </c>
      <c r="E596" s="52">
        <v>46062.576388888891</v>
      </c>
      <c r="F596" s="52">
        <v>46062.694444444445</v>
      </c>
      <c r="G596" s="53">
        <v>0.11805555555555555</v>
      </c>
      <c r="H596" s="1" t="s">
        <v>257</v>
      </c>
      <c r="J596" s="1" t="s">
        <v>258</v>
      </c>
      <c r="K596" s="1" t="s">
        <v>658</v>
      </c>
      <c r="L596" s="1" t="s">
        <v>743</v>
      </c>
      <c r="M596" s="1" t="s">
        <v>289</v>
      </c>
      <c r="N596" s="1" t="s">
        <v>253</v>
      </c>
      <c r="O596" s="1" t="s">
        <v>742</v>
      </c>
      <c r="P596" s="1" t="str">
        <f>_xlfn.CONCAT(B596,C596,D596,E596,F596)</f>
        <v>ARAGUATINS 1.2Inverter(MBUS-12)46062,576388888946062,576388888946062,6944444444</v>
      </c>
      <c r="Q596" s="1" t="str">
        <f>_xlfn.CONCAT(H596,I596,J596)</f>
        <v>DAURDE</v>
      </c>
    </row>
    <row r="597" spans="2:17">
      <c r="B597" s="1" t="s">
        <v>308</v>
      </c>
      <c r="C597" s="1" t="s">
        <v>264</v>
      </c>
      <c r="D597" s="52">
        <v>46062.576388888891</v>
      </c>
      <c r="E597" s="52">
        <v>46062.576388888891</v>
      </c>
      <c r="F597" s="52">
        <v>46062.694444444445</v>
      </c>
      <c r="G597" s="53">
        <v>0.11805555555555555</v>
      </c>
      <c r="H597" s="1" t="s">
        <v>257</v>
      </c>
      <c r="J597" s="1" t="s">
        <v>258</v>
      </c>
      <c r="K597" s="1" t="s">
        <v>658</v>
      </c>
      <c r="L597" s="1" t="s">
        <v>743</v>
      </c>
      <c r="M597" s="1" t="s">
        <v>289</v>
      </c>
      <c r="N597" s="1" t="s">
        <v>253</v>
      </c>
      <c r="O597" s="1" t="s">
        <v>742</v>
      </c>
      <c r="P597" s="1" t="str">
        <f>_xlfn.CONCAT(B597,C597,D597,E597,F597)</f>
        <v>ARAGUATINS 1.2Inverter(MBUS-13)46062,576388888946062,576388888946062,6944444444</v>
      </c>
      <c r="Q597" s="1" t="str">
        <f>_xlfn.CONCAT(H597,I597,J597)</f>
        <v>DAURDE</v>
      </c>
    </row>
    <row r="598" spans="2:17">
      <c r="B598" s="1" t="s">
        <v>308</v>
      </c>
      <c r="C598" s="1" t="s">
        <v>263</v>
      </c>
      <c r="D598" s="52">
        <v>46062.576388888891</v>
      </c>
      <c r="E598" s="52">
        <v>46062.576388888891</v>
      </c>
      <c r="F598" s="52">
        <v>46062.694444444445</v>
      </c>
      <c r="G598" s="53">
        <v>0.11805555555555555</v>
      </c>
      <c r="H598" s="1" t="s">
        <v>257</v>
      </c>
      <c r="J598" s="1" t="s">
        <v>258</v>
      </c>
      <c r="K598" s="1" t="s">
        <v>658</v>
      </c>
      <c r="L598" s="1" t="s">
        <v>743</v>
      </c>
      <c r="M598" s="1" t="s">
        <v>289</v>
      </c>
      <c r="N598" s="1" t="s">
        <v>253</v>
      </c>
      <c r="O598" s="1" t="s">
        <v>742</v>
      </c>
      <c r="P598" s="1" t="str">
        <f>_xlfn.CONCAT(B598,C598,D598,E598,F598)</f>
        <v>ARAGUATINS 1.2Inverter(MBUS-14)46062,576388888946062,576388888946062,6944444444</v>
      </c>
      <c r="Q598" s="1" t="str">
        <f>_xlfn.CONCAT(H598,I598,J598)</f>
        <v>DAURDE</v>
      </c>
    </row>
    <row r="599" spans="2:17">
      <c r="B599" s="1" t="s">
        <v>308</v>
      </c>
      <c r="C599" s="1" t="s">
        <v>307</v>
      </c>
      <c r="D599" s="52">
        <v>46062.576388888891</v>
      </c>
      <c r="E599" s="52">
        <v>46062.576388888891</v>
      </c>
      <c r="F599" s="52">
        <v>46062.694444444445</v>
      </c>
      <c r="G599" s="53">
        <v>0.11805555555555555</v>
      </c>
      <c r="H599" s="1" t="s">
        <v>257</v>
      </c>
      <c r="J599" s="1" t="s">
        <v>258</v>
      </c>
      <c r="K599" s="1" t="s">
        <v>658</v>
      </c>
      <c r="L599" s="1" t="s">
        <v>743</v>
      </c>
      <c r="M599" s="1" t="s">
        <v>289</v>
      </c>
      <c r="N599" s="1" t="s">
        <v>253</v>
      </c>
      <c r="O599" s="1" t="s">
        <v>742</v>
      </c>
      <c r="P599" s="1" t="str">
        <f>_xlfn.CONCAT(B599,C599,D599,E599,F599)</f>
        <v>ARAGUATINS 1.2Inverter(MBUS-15)46062,576388888946062,576388888946062,6944444444</v>
      </c>
      <c r="Q599" s="1" t="str">
        <f>_xlfn.CONCAT(H599,I599,J599)</f>
        <v>DAURDE</v>
      </c>
    </row>
    <row r="600" spans="2:17">
      <c r="B600" s="1" t="s">
        <v>309</v>
      </c>
      <c r="C600" s="1" t="s">
        <v>310</v>
      </c>
      <c r="D600" s="52">
        <v>46062.576388888891</v>
      </c>
      <c r="E600" s="52">
        <v>46062.576388888891</v>
      </c>
      <c r="F600" s="52">
        <v>46062.694444444445</v>
      </c>
      <c r="G600" s="53">
        <v>0.11805555555555555</v>
      </c>
      <c r="H600" s="1" t="s">
        <v>257</v>
      </c>
      <c r="J600" s="1" t="s">
        <v>258</v>
      </c>
      <c r="K600" s="1" t="s">
        <v>658</v>
      </c>
      <c r="L600" s="1" t="s">
        <v>743</v>
      </c>
      <c r="M600" s="1" t="s">
        <v>289</v>
      </c>
      <c r="N600" s="1" t="s">
        <v>253</v>
      </c>
      <c r="O600" s="1" t="s">
        <v>742</v>
      </c>
      <c r="P600" s="1" t="str">
        <f>_xlfn.CONCAT(B600,C600,D600,E600,F600)</f>
        <v>ARAGUATINS 1.3Inverter(MBUS-20)46062,576388888946062,576388888946062,6944444444</v>
      </c>
      <c r="Q600" s="1" t="str">
        <f>_xlfn.CONCAT(H600,I600,J600)</f>
        <v>DAURDE</v>
      </c>
    </row>
    <row r="601" spans="2:17">
      <c r="B601" s="1" t="s">
        <v>309</v>
      </c>
      <c r="C601" s="1" t="s">
        <v>247</v>
      </c>
      <c r="D601" s="52">
        <v>46062.576388888891</v>
      </c>
      <c r="E601" s="52">
        <v>46062.576388888891</v>
      </c>
      <c r="F601" s="52">
        <v>46062.694444444445</v>
      </c>
      <c r="G601" s="53">
        <v>0.11805555555555555</v>
      </c>
      <c r="H601" s="1" t="s">
        <v>257</v>
      </c>
      <c r="J601" s="1" t="s">
        <v>258</v>
      </c>
      <c r="K601" s="1" t="s">
        <v>658</v>
      </c>
      <c r="L601" s="1" t="s">
        <v>743</v>
      </c>
      <c r="M601" s="1" t="s">
        <v>289</v>
      </c>
      <c r="N601" s="1" t="s">
        <v>253</v>
      </c>
      <c r="O601" s="1" t="s">
        <v>742</v>
      </c>
      <c r="P601" s="1" t="str">
        <f>_xlfn.CONCAT(B601,C601,D601,E601,F601)</f>
        <v>ARAGUATINS 1.3Inverter(MBUS-1)46062,576388888946062,576388888946062,6944444444</v>
      </c>
      <c r="Q601" s="1" t="str">
        <f>_xlfn.CONCAT(H601,I601,J601)</f>
        <v>DAURDE</v>
      </c>
    </row>
    <row r="602" spans="2:17">
      <c r="B602" s="1" t="s">
        <v>311</v>
      </c>
      <c r="C602" s="1" t="s">
        <v>256</v>
      </c>
      <c r="D602" s="52">
        <v>46062.576388888891</v>
      </c>
      <c r="E602" s="52">
        <v>46062.576388888891</v>
      </c>
      <c r="F602" s="52">
        <v>46062.694444444445</v>
      </c>
      <c r="G602" s="53">
        <v>0.11805555555555555</v>
      </c>
      <c r="H602" s="1" t="s">
        <v>257</v>
      </c>
      <c r="J602" s="1" t="s">
        <v>258</v>
      </c>
      <c r="K602" s="1" t="s">
        <v>658</v>
      </c>
      <c r="L602" s="1" t="s">
        <v>743</v>
      </c>
      <c r="M602" s="1" t="s">
        <v>289</v>
      </c>
      <c r="N602" s="1" t="s">
        <v>253</v>
      </c>
      <c r="O602" s="1" t="s">
        <v>742</v>
      </c>
      <c r="P602" s="1" t="str">
        <f>_xlfn.CONCAT(B602,C602,D602,E602,F602)</f>
        <v>ARAGUATINS 2.1Inverter(MBUS-12)46062,576388888946062,576388888946062,6944444444</v>
      </c>
      <c r="Q602" s="1" t="str">
        <f>_xlfn.CONCAT(H602,I602,J602)</f>
        <v>DAURDE</v>
      </c>
    </row>
    <row r="603" spans="2:17">
      <c r="B603" s="1" t="s">
        <v>311</v>
      </c>
      <c r="C603" s="1" t="s">
        <v>307</v>
      </c>
      <c r="D603" s="52">
        <v>46062.576388888891</v>
      </c>
      <c r="E603" s="52">
        <v>46062.576388888891</v>
      </c>
      <c r="F603" s="52">
        <v>46062.694444444445</v>
      </c>
      <c r="G603" s="53">
        <v>0.11805555555555555</v>
      </c>
      <c r="H603" s="1" t="s">
        <v>257</v>
      </c>
      <c r="J603" s="1" t="s">
        <v>258</v>
      </c>
      <c r="K603" s="1" t="s">
        <v>658</v>
      </c>
      <c r="L603" s="1" t="s">
        <v>743</v>
      </c>
      <c r="M603" s="1" t="s">
        <v>289</v>
      </c>
      <c r="N603" s="1" t="s">
        <v>253</v>
      </c>
      <c r="O603" s="1" t="s">
        <v>742</v>
      </c>
      <c r="P603" s="1" t="str">
        <f>_xlfn.CONCAT(B603,C603,D603,E603,F603)</f>
        <v>ARAGUATINS 2.1Inverter(MBUS-15)46062,576388888946062,576388888946062,6944444444</v>
      </c>
      <c r="Q603" s="1" t="str">
        <f>_xlfn.CONCAT(H603,I603,J603)</f>
        <v>DAURDE</v>
      </c>
    </row>
    <row r="604" spans="2:17">
      <c r="B604" s="1" t="s">
        <v>311</v>
      </c>
      <c r="C604" s="1" t="s">
        <v>263</v>
      </c>
      <c r="D604" s="52">
        <v>46062.576388888891</v>
      </c>
      <c r="E604" s="52">
        <v>46062.576388888891</v>
      </c>
      <c r="F604" s="52">
        <v>46062.694444444445</v>
      </c>
      <c r="G604" s="53">
        <v>0.11805555555555555</v>
      </c>
      <c r="H604" s="1" t="s">
        <v>257</v>
      </c>
      <c r="J604" s="1" t="s">
        <v>258</v>
      </c>
      <c r="K604" s="1" t="s">
        <v>658</v>
      </c>
      <c r="L604" s="1" t="s">
        <v>743</v>
      </c>
      <c r="M604" s="1" t="s">
        <v>289</v>
      </c>
      <c r="N604" s="1" t="s">
        <v>253</v>
      </c>
      <c r="O604" s="1" t="s">
        <v>742</v>
      </c>
      <c r="P604" s="1" t="str">
        <f>_xlfn.CONCAT(B604,C604,D604,E604,F604)</f>
        <v>ARAGUATINS 2.1Inverter(MBUS-14)46062,576388888946062,576388888946062,6944444444</v>
      </c>
      <c r="Q604" s="1" t="str">
        <f>_xlfn.CONCAT(H604,I604,J604)</f>
        <v>DAURDE</v>
      </c>
    </row>
    <row r="605" spans="2:17">
      <c r="B605" s="1" t="s">
        <v>311</v>
      </c>
      <c r="C605" s="1" t="s">
        <v>247</v>
      </c>
      <c r="D605" s="52">
        <v>46062.576388888891</v>
      </c>
      <c r="E605" s="52">
        <v>46062.576388888891</v>
      </c>
      <c r="F605" s="52">
        <v>46062.694444444445</v>
      </c>
      <c r="G605" s="53">
        <v>0.11805555555555555</v>
      </c>
      <c r="H605" s="1" t="s">
        <v>257</v>
      </c>
      <c r="J605" s="1" t="s">
        <v>258</v>
      </c>
      <c r="K605" s="1" t="s">
        <v>658</v>
      </c>
      <c r="L605" s="1" t="s">
        <v>743</v>
      </c>
      <c r="M605" s="1" t="s">
        <v>289</v>
      </c>
      <c r="N605" s="1" t="s">
        <v>253</v>
      </c>
      <c r="O605" s="1" t="s">
        <v>742</v>
      </c>
      <c r="P605" s="1" t="str">
        <f>_xlfn.CONCAT(B605,C605,D605,E605,F605)</f>
        <v>ARAGUATINS 2.1Inverter(MBUS-1)46062,576388888946062,576388888946062,6944444444</v>
      </c>
      <c r="Q605" s="1" t="str">
        <f>_xlfn.CONCAT(H605,I605,J605)</f>
        <v>DAURDE</v>
      </c>
    </row>
    <row r="606" spans="2:17">
      <c r="B606" s="1" t="s">
        <v>312</v>
      </c>
      <c r="C606" s="1" t="s">
        <v>307</v>
      </c>
      <c r="D606" s="52">
        <v>46062.576388888891</v>
      </c>
      <c r="E606" s="52">
        <v>46062.576388888891</v>
      </c>
      <c r="F606" s="52">
        <v>46062.694444444445</v>
      </c>
      <c r="G606" s="53">
        <v>0.11805555555555555</v>
      </c>
      <c r="H606" s="1" t="s">
        <v>257</v>
      </c>
      <c r="J606" s="1" t="s">
        <v>258</v>
      </c>
      <c r="K606" s="1" t="s">
        <v>658</v>
      </c>
      <c r="L606" s="1" t="s">
        <v>743</v>
      </c>
      <c r="M606" s="1" t="s">
        <v>289</v>
      </c>
      <c r="N606" s="1" t="s">
        <v>253</v>
      </c>
      <c r="O606" s="1" t="s">
        <v>742</v>
      </c>
      <c r="P606" s="1" t="str">
        <f>_xlfn.CONCAT(B606,C606,D606,E606,F606)</f>
        <v>ARAGUATINS 2.2Inverter(MBUS-15)46062,576388888946062,576388888946062,6944444444</v>
      </c>
      <c r="Q606" s="1" t="str">
        <f>_xlfn.CONCAT(H606,I606,J606)</f>
        <v>DAURDE</v>
      </c>
    </row>
    <row r="607" spans="2:17">
      <c r="B607" s="1" t="s">
        <v>312</v>
      </c>
      <c r="C607" s="1" t="s">
        <v>264</v>
      </c>
      <c r="D607" s="52">
        <v>46062.576388888891</v>
      </c>
      <c r="E607" s="52">
        <v>46062.576388888891</v>
      </c>
      <c r="F607" s="52">
        <v>46062.694444444445</v>
      </c>
      <c r="G607" s="53">
        <v>0.11805555555555555</v>
      </c>
      <c r="H607" s="1" t="s">
        <v>257</v>
      </c>
      <c r="J607" s="1" t="s">
        <v>258</v>
      </c>
      <c r="K607" s="1" t="s">
        <v>658</v>
      </c>
      <c r="L607" s="65" t="s">
        <v>743</v>
      </c>
      <c r="M607" s="1" t="s">
        <v>260</v>
      </c>
      <c r="N607" s="1" t="s">
        <v>357</v>
      </c>
      <c r="O607" s="1" t="s">
        <v>632</v>
      </c>
      <c r="P607" s="1" t="str">
        <f>_xlfn.CONCAT(B607,C607,D607,E607,F607)</f>
        <v>ARAGUATINS 2.2Inverter(MBUS-13)46062,576388888946062,576388888946062,6944444444</v>
      </c>
      <c r="Q607" s="1" t="str">
        <f>_xlfn.CONCAT(H607,I607,J607)</f>
        <v>DAURDE</v>
      </c>
    </row>
    <row r="608" spans="2:17">
      <c r="B608" s="1" t="s">
        <v>312</v>
      </c>
      <c r="C608" s="1" t="s">
        <v>263</v>
      </c>
      <c r="D608" s="52">
        <v>46062.576388888891</v>
      </c>
      <c r="E608" s="52">
        <v>46062.576388888891</v>
      </c>
      <c r="F608" s="52">
        <v>46062.694444444445</v>
      </c>
      <c r="G608" s="53">
        <v>0.11805555555555555</v>
      </c>
      <c r="H608" s="1" t="s">
        <v>257</v>
      </c>
      <c r="J608" s="1" t="s">
        <v>258</v>
      </c>
      <c r="K608" s="1" t="s">
        <v>658</v>
      </c>
      <c r="L608" s="65" t="s">
        <v>743</v>
      </c>
      <c r="M608" s="1" t="s">
        <v>260</v>
      </c>
      <c r="N608" s="1" t="s">
        <v>357</v>
      </c>
      <c r="O608" s="1" t="s">
        <v>632</v>
      </c>
      <c r="P608" s="1" t="str">
        <f>_xlfn.CONCAT(B608,C608,D608,E608,F608)</f>
        <v>ARAGUATINS 2.2Inverter(MBUS-14)46062,576388888946062,576388888946062,6944444444</v>
      </c>
      <c r="Q608" s="1" t="str">
        <f>_xlfn.CONCAT(H608,I608,J608)</f>
        <v>DAURDE</v>
      </c>
    </row>
    <row r="609" spans="2:17">
      <c r="B609" s="1" t="s">
        <v>312</v>
      </c>
      <c r="C609" s="1" t="s">
        <v>256</v>
      </c>
      <c r="D609" s="52">
        <v>46062.576388888891</v>
      </c>
      <c r="E609" s="52">
        <v>46062.576388888891</v>
      </c>
      <c r="F609" s="52">
        <v>46062.694444444445</v>
      </c>
      <c r="G609" s="53">
        <v>0.11805555555555555</v>
      </c>
      <c r="H609" s="1" t="s">
        <v>257</v>
      </c>
      <c r="J609" s="1" t="s">
        <v>258</v>
      </c>
      <c r="K609" s="1" t="s">
        <v>658</v>
      </c>
      <c r="L609" s="65" t="s">
        <v>743</v>
      </c>
      <c r="M609" s="1" t="s">
        <v>260</v>
      </c>
      <c r="N609" s="1" t="s">
        <v>357</v>
      </c>
      <c r="O609" s="1" t="s">
        <v>632</v>
      </c>
      <c r="P609" s="1" t="str">
        <f>_xlfn.CONCAT(B609,C609,D609,E609,F609)</f>
        <v>ARAGUATINS 2.2Inverter(MBUS-12)46062,576388888946062,576388888946062,6944444444</v>
      </c>
      <c r="Q609" s="1" t="str">
        <f>_xlfn.CONCAT(H609,I609,J609)</f>
        <v>DAURDE</v>
      </c>
    </row>
    <row r="610" spans="2:17">
      <c r="B610" s="1" t="s">
        <v>313</v>
      </c>
      <c r="C610" s="1" t="s">
        <v>256</v>
      </c>
      <c r="D610" s="52">
        <v>46062.576388888891</v>
      </c>
      <c r="E610" s="52">
        <v>46062.576388888891</v>
      </c>
      <c r="F610" s="52">
        <v>46062.694444444445</v>
      </c>
      <c r="G610" s="53">
        <v>0.11805555555555555</v>
      </c>
      <c r="H610" s="1" t="s">
        <v>257</v>
      </c>
      <c r="J610" s="1" t="s">
        <v>258</v>
      </c>
      <c r="K610" s="1" t="s">
        <v>658</v>
      </c>
      <c r="L610" s="65" t="s">
        <v>743</v>
      </c>
      <c r="M610" s="1" t="s">
        <v>260</v>
      </c>
      <c r="N610" s="1" t="s">
        <v>357</v>
      </c>
      <c r="O610" s="1" t="s">
        <v>632</v>
      </c>
      <c r="P610" s="1" t="str">
        <f>_xlfn.CONCAT(B610,C610,D610,E610,F610)</f>
        <v>ARAGUATINS 2.3Inverter(MBUS-12)46062,576388888946062,576388888946062,6944444444</v>
      </c>
      <c r="Q610" s="1" t="str">
        <f>_xlfn.CONCAT(H610,I610,J610)</f>
        <v>DAURDE</v>
      </c>
    </row>
    <row r="611" spans="2:17">
      <c r="B611" s="1" t="s">
        <v>313</v>
      </c>
      <c r="C611" s="1" t="s">
        <v>264</v>
      </c>
      <c r="D611" s="52">
        <v>46062.576388888891</v>
      </c>
      <c r="E611" s="52">
        <v>46062.576388888891</v>
      </c>
      <c r="F611" s="52">
        <v>46062.694444444445</v>
      </c>
      <c r="G611" s="53">
        <v>0.11805555555555555</v>
      </c>
      <c r="H611" s="1" t="s">
        <v>257</v>
      </c>
      <c r="J611" s="1" t="s">
        <v>258</v>
      </c>
      <c r="K611" s="1" t="s">
        <v>658</v>
      </c>
      <c r="L611" s="1" t="s">
        <v>743</v>
      </c>
      <c r="M611" s="1" t="s">
        <v>272</v>
      </c>
      <c r="N611" s="1" t="s">
        <v>273</v>
      </c>
      <c r="O611" s="1" t="s">
        <v>744</v>
      </c>
      <c r="P611" s="1" t="str">
        <f>_xlfn.CONCAT(B611,C611,D611,E611,F611)</f>
        <v>ARAGUATINS 2.3Inverter(MBUS-13)46062,576388888946062,576388888946062,6944444444</v>
      </c>
      <c r="Q611" s="1" t="str">
        <f>_xlfn.CONCAT(H611,I611,J611)</f>
        <v>DAURDE</v>
      </c>
    </row>
    <row r="612" spans="2:17">
      <c r="B612" s="1" t="s">
        <v>535</v>
      </c>
      <c r="C612" s="1" t="s">
        <v>608</v>
      </c>
      <c r="D612" s="52">
        <v>46062.666666666664</v>
      </c>
      <c r="E612" s="52">
        <v>46062.666666666664</v>
      </c>
      <c r="F612" s="52">
        <v>46062.738194444442</v>
      </c>
      <c r="G612" s="53">
        <v>7.1527777777777773E-2</v>
      </c>
      <c r="H612" s="1" t="s">
        <v>257</v>
      </c>
      <c r="J612" s="1" t="s">
        <v>258</v>
      </c>
      <c r="K612" s="1" t="s">
        <v>658</v>
      </c>
      <c r="L612" s="1" t="s">
        <v>745</v>
      </c>
      <c r="M612" s="1" t="s">
        <v>272</v>
      </c>
      <c r="N612" s="1" t="s">
        <v>273</v>
      </c>
      <c r="O612" s="1" t="s">
        <v>744</v>
      </c>
      <c r="P612" s="1" t="str">
        <f>_xlfn.CONCAT(B612,C612,D612,E612,F612)</f>
        <v>BC Corumba2.3U03.I0146062,666666666746062,666666666746062,7381944444</v>
      </c>
      <c r="Q612" s="1" t="str">
        <f>_xlfn.CONCAT(H612,I612,J612)</f>
        <v>DAURDE</v>
      </c>
    </row>
    <row r="613" spans="2:17">
      <c r="B613" s="1" t="s">
        <v>535</v>
      </c>
      <c r="C613" s="1" t="s">
        <v>611</v>
      </c>
      <c r="D613" s="52">
        <v>46062.666666666664</v>
      </c>
      <c r="E613" s="52">
        <v>46062.666666666664</v>
      </c>
      <c r="F613" s="52">
        <v>46062.738194444442</v>
      </c>
      <c r="G613" s="53">
        <v>7.1527777777777773E-2</v>
      </c>
      <c r="H613" s="1" t="s">
        <v>257</v>
      </c>
      <c r="J613" s="1" t="s">
        <v>258</v>
      </c>
      <c r="K613" s="1" t="s">
        <v>658</v>
      </c>
      <c r="L613" s="1" t="s">
        <v>745</v>
      </c>
      <c r="M613" s="1" t="s">
        <v>272</v>
      </c>
      <c r="N613" s="1" t="s">
        <v>273</v>
      </c>
      <c r="O613" s="1" t="s">
        <v>744</v>
      </c>
      <c r="P613" s="1" t="str">
        <f>_xlfn.CONCAT(B613,C613,D613,E613,F613)</f>
        <v>BC Corumba2.3U03.I0246062,666666666746062,666666666746062,7381944444</v>
      </c>
      <c r="Q613" s="1" t="str">
        <f>_xlfn.CONCAT(H613,I613,J613)</f>
        <v>DAURDE</v>
      </c>
    </row>
    <row r="614" spans="2:17">
      <c r="B614" s="1" t="s">
        <v>535</v>
      </c>
      <c r="C614" s="1" t="s">
        <v>536</v>
      </c>
      <c r="D614" s="52">
        <v>46062.666666666664</v>
      </c>
      <c r="E614" s="52">
        <v>46062.666666666664</v>
      </c>
      <c r="F614" s="52">
        <v>46062.738194444442</v>
      </c>
      <c r="G614" s="53">
        <v>7.1527777777777773E-2</v>
      </c>
      <c r="H614" s="1" t="s">
        <v>257</v>
      </c>
      <c r="J614" s="1" t="s">
        <v>258</v>
      </c>
      <c r="K614" s="1" t="s">
        <v>658</v>
      </c>
      <c r="L614" s="1" t="s">
        <v>745</v>
      </c>
      <c r="M614" s="1" t="s">
        <v>272</v>
      </c>
      <c r="N614" s="1" t="s">
        <v>273</v>
      </c>
      <c r="O614" s="1" t="s">
        <v>744</v>
      </c>
      <c r="P614" s="1" t="str">
        <f>_xlfn.CONCAT(B614,C614,D614,E614,F614)</f>
        <v>BC Corumba2.3U03.I0346062,666666666746062,666666666746062,7381944444</v>
      </c>
      <c r="Q614" s="1" t="str">
        <f>_xlfn.CONCAT(H614,I614,J614)</f>
        <v>DAURDE</v>
      </c>
    </row>
    <row r="615" spans="2:17">
      <c r="B615" s="1" t="s">
        <v>573</v>
      </c>
      <c r="C615" s="1" t="s">
        <v>574</v>
      </c>
      <c r="D615" s="52">
        <v>46062.697916666664</v>
      </c>
      <c r="E615" s="52">
        <v>46062.697916666664</v>
      </c>
      <c r="F615" s="52">
        <v>46063.368055555555</v>
      </c>
      <c r="G615" s="53">
        <v>0.67013888888888884</v>
      </c>
      <c r="H615" s="1" t="s">
        <v>268</v>
      </c>
      <c r="I615" s="1" t="s">
        <v>269</v>
      </c>
      <c r="J615" s="1" t="s">
        <v>319</v>
      </c>
      <c r="K615" s="1" t="s">
        <v>652</v>
      </c>
      <c r="L615" s="1" t="s">
        <v>740</v>
      </c>
      <c r="M615" s="1" t="s">
        <v>272</v>
      </c>
      <c r="N615" s="1" t="s">
        <v>273</v>
      </c>
      <c r="O615" s="1" t="s">
        <v>744</v>
      </c>
      <c r="P615" s="1" t="str">
        <f>_xlfn.CONCAT(B615,C615,D615,E615,F615)</f>
        <v>BC Vazante2.3Inverter(MBUS-11)46062,697916666746062,697916666746063,3680555556</v>
      </c>
      <c r="Q615" s="1" t="str">
        <f>_xlfn.CONCAT(H615,I615,J615)</f>
        <v>LIGRFOCOM</v>
      </c>
    </row>
    <row r="616" spans="2:17">
      <c r="B616" s="1" t="s">
        <v>573</v>
      </c>
      <c r="C616" s="1" t="s">
        <v>256</v>
      </c>
      <c r="D616" s="52">
        <v>46062.697916666664</v>
      </c>
      <c r="E616" s="52">
        <v>46062.697916666664</v>
      </c>
      <c r="F616" s="52">
        <v>46063.368055555555</v>
      </c>
      <c r="G616" s="53">
        <v>0.67013888888888884</v>
      </c>
      <c r="H616" s="1" t="s">
        <v>268</v>
      </c>
      <c r="I616" s="1" t="s">
        <v>269</v>
      </c>
      <c r="J616" s="1" t="s">
        <v>319</v>
      </c>
      <c r="K616" s="1" t="s">
        <v>652</v>
      </c>
      <c r="L616" s="1" t="s">
        <v>740</v>
      </c>
      <c r="M616" s="1" t="s">
        <v>272</v>
      </c>
      <c r="N616" s="1" t="s">
        <v>273</v>
      </c>
      <c r="O616" s="1" t="s">
        <v>744</v>
      </c>
      <c r="P616" s="1" t="str">
        <f>_xlfn.CONCAT(B616,C616,D616,E616,F616)</f>
        <v>BC Vazante2.3Inverter(MBUS-12)46062,697916666746062,697916666746063,3680555556</v>
      </c>
      <c r="Q616" s="1" t="str">
        <f>_xlfn.CONCAT(H616,I616,J616)</f>
        <v>LIGRFOCOM</v>
      </c>
    </row>
    <row r="617" spans="2:17">
      <c r="B617" s="1" t="s">
        <v>573</v>
      </c>
      <c r="C617" s="1" t="s">
        <v>264</v>
      </c>
      <c r="D617" s="52">
        <v>46062.697916666664</v>
      </c>
      <c r="E617" s="52">
        <v>46062.697916666664</v>
      </c>
      <c r="F617" s="52">
        <v>46063.368055555555</v>
      </c>
      <c r="G617" s="53">
        <v>0.67013888888888884</v>
      </c>
      <c r="H617" s="1" t="s">
        <v>268</v>
      </c>
      <c r="I617" s="1" t="s">
        <v>269</v>
      </c>
      <c r="J617" s="1" t="s">
        <v>319</v>
      </c>
      <c r="K617" s="1" t="s">
        <v>652</v>
      </c>
      <c r="L617" s="1" t="s">
        <v>740</v>
      </c>
      <c r="M617" s="1" t="s">
        <v>272</v>
      </c>
      <c r="N617" s="1" t="s">
        <v>273</v>
      </c>
      <c r="O617" s="1" t="s">
        <v>744</v>
      </c>
      <c r="P617" s="1" t="str">
        <f>_xlfn.CONCAT(B617,C617,D617,E617,F617)</f>
        <v>BC Vazante2.3Inverter(MBUS-13)46062,697916666746062,697916666746063,3680555556</v>
      </c>
      <c r="Q617" s="1" t="str">
        <f>_xlfn.CONCAT(H617,I617,J617)</f>
        <v>LIGRFOCOM</v>
      </c>
    </row>
    <row r="618" spans="2:17">
      <c r="B618" s="1" t="s">
        <v>331</v>
      </c>
      <c r="C618" s="1" t="s">
        <v>332</v>
      </c>
      <c r="D618" s="52">
        <v>46063.097222222219</v>
      </c>
      <c r="E618" s="52">
        <v>46063.097222222219</v>
      </c>
      <c r="F618" s="52">
        <v>46063.34375</v>
      </c>
      <c r="G618" s="53">
        <v>0.24652777777777779</v>
      </c>
      <c r="H618" s="1" t="s">
        <v>268</v>
      </c>
      <c r="I618" s="1" t="s">
        <v>269</v>
      </c>
      <c r="J618" s="1" t="s">
        <v>319</v>
      </c>
      <c r="K618" s="1" t="s">
        <v>652</v>
      </c>
      <c r="L618" s="1" t="s">
        <v>746</v>
      </c>
      <c r="M618" s="1" t="s">
        <v>272</v>
      </c>
      <c r="N618" s="1" t="s">
        <v>273</v>
      </c>
      <c r="O618" s="1" t="s">
        <v>744</v>
      </c>
      <c r="P618" s="1" t="str">
        <f>_xlfn.CONCAT(B618,C618,D618,E618,F618)</f>
        <v>BC Varjao2.1215KTL-H0(MBUS-12)46063,097222222246063,097222222246063,34375</v>
      </c>
      <c r="Q618" s="1" t="str">
        <f>_xlfn.CONCAT(H618,I618,J618)</f>
        <v>LIGRFOCOM</v>
      </c>
    </row>
    <row r="619" spans="2:17">
      <c r="B619" s="1" t="s">
        <v>331</v>
      </c>
      <c r="C619" s="1" t="s">
        <v>335</v>
      </c>
      <c r="D619" s="52">
        <v>46063.097222222219</v>
      </c>
      <c r="E619" s="52">
        <v>46063.097222222219</v>
      </c>
      <c r="F619" s="52">
        <v>46063.34375</v>
      </c>
      <c r="G619" s="53">
        <v>0.24652777777777779</v>
      </c>
      <c r="H619" s="1" t="s">
        <v>268</v>
      </c>
      <c r="I619" s="1" t="s">
        <v>269</v>
      </c>
      <c r="J619" s="1" t="s">
        <v>319</v>
      </c>
      <c r="K619" s="1" t="s">
        <v>652</v>
      </c>
      <c r="L619" s="1" t="s">
        <v>746</v>
      </c>
      <c r="M619" s="1" t="s">
        <v>272</v>
      </c>
      <c r="N619" s="1" t="s">
        <v>273</v>
      </c>
      <c r="O619" s="1" t="s">
        <v>744</v>
      </c>
      <c r="P619" s="1" t="str">
        <f>_xlfn.CONCAT(B619,C619,D619,E619,F619)</f>
        <v>BC Varjao2.1215KTL-H0(MBUS-13)46063,097222222246063,097222222246063,34375</v>
      </c>
      <c r="Q619" s="1" t="str">
        <f>_xlfn.CONCAT(H619,I619,J619)</f>
        <v>LIGRFOCOM</v>
      </c>
    </row>
    <row r="620" spans="2:17">
      <c r="B620" s="1" t="s">
        <v>331</v>
      </c>
      <c r="C620" s="1" t="s">
        <v>336</v>
      </c>
      <c r="D620" s="52">
        <v>46063.097222222219</v>
      </c>
      <c r="E620" s="52">
        <v>46063.097222222219</v>
      </c>
      <c r="F620" s="52">
        <v>46063.34375</v>
      </c>
      <c r="G620" s="53">
        <v>0.24652777777777779</v>
      </c>
      <c r="H620" s="1" t="s">
        <v>268</v>
      </c>
      <c r="I620" s="1" t="s">
        <v>269</v>
      </c>
      <c r="J620" s="1" t="s">
        <v>319</v>
      </c>
      <c r="K620" s="1" t="s">
        <v>652</v>
      </c>
      <c r="L620" s="1" t="s">
        <v>746</v>
      </c>
      <c r="M620" s="1" t="s">
        <v>272</v>
      </c>
      <c r="N620" s="1" t="s">
        <v>273</v>
      </c>
      <c r="O620" s="1" t="s">
        <v>744</v>
      </c>
      <c r="P620" s="1" t="str">
        <f>_xlfn.CONCAT(B620,C620,D620,E620,F620)</f>
        <v>BC Varjao2.1215KTL-H0(MBUS-14)46063,097222222246063,097222222246063,34375</v>
      </c>
      <c r="Q620" s="1" t="str">
        <f>_xlfn.CONCAT(H620,I620,J620)</f>
        <v>LIGRFOCOM</v>
      </c>
    </row>
    <row r="621" spans="2:17">
      <c r="B621" s="1" t="s">
        <v>331</v>
      </c>
      <c r="C621" s="1" t="s">
        <v>337</v>
      </c>
      <c r="D621" s="52">
        <v>46063.097222222219</v>
      </c>
      <c r="E621" s="52">
        <v>46063.097222222219</v>
      </c>
      <c r="F621" s="52">
        <v>46063.34375</v>
      </c>
      <c r="G621" s="53">
        <v>0.24652777777777779</v>
      </c>
      <c r="H621" s="1" t="s">
        <v>268</v>
      </c>
      <c r="I621" s="1" t="s">
        <v>269</v>
      </c>
      <c r="J621" s="1" t="s">
        <v>319</v>
      </c>
      <c r="K621" s="1" t="s">
        <v>652</v>
      </c>
      <c r="L621" s="1" t="s">
        <v>746</v>
      </c>
      <c r="M621" s="1" t="s">
        <v>272</v>
      </c>
      <c r="N621" s="1" t="s">
        <v>273</v>
      </c>
      <c r="O621" s="1" t="s">
        <v>744</v>
      </c>
      <c r="P621" s="1" t="str">
        <f>_xlfn.CONCAT(B621,C621,D621,E621,F621)</f>
        <v>BC Varjao2.1215KTL-H0(MBUS-15)46063,097222222246063,097222222246063,34375</v>
      </c>
      <c r="Q621" s="1" t="str">
        <f>_xlfn.CONCAT(H621,I621,J621)</f>
        <v>LIGRFOCOM</v>
      </c>
    </row>
    <row r="622" spans="2:17">
      <c r="B622" s="1" t="s">
        <v>331</v>
      </c>
      <c r="C622" s="1" t="s">
        <v>338</v>
      </c>
      <c r="D622" s="52">
        <v>46063.097222222219</v>
      </c>
      <c r="E622" s="52">
        <v>46063.097222222219</v>
      </c>
      <c r="F622" s="52">
        <v>46063.34375</v>
      </c>
      <c r="G622" s="53">
        <v>0.24652777777777779</v>
      </c>
      <c r="H622" s="1" t="s">
        <v>268</v>
      </c>
      <c r="I622" s="1" t="s">
        <v>269</v>
      </c>
      <c r="J622" s="1" t="s">
        <v>319</v>
      </c>
      <c r="K622" s="1" t="s">
        <v>652</v>
      </c>
      <c r="L622" s="1" t="s">
        <v>746</v>
      </c>
      <c r="M622" s="1" t="s">
        <v>272</v>
      </c>
      <c r="N622" s="1" t="s">
        <v>273</v>
      </c>
      <c r="O622" s="1" t="s">
        <v>744</v>
      </c>
      <c r="P622" s="1" t="str">
        <f>_xlfn.CONCAT(B622,C622,D622,E622,F622)</f>
        <v>BC Varjao2.1215KTL-H0(MBUS-16)46063,097222222246063,097222222246063,34375</v>
      </c>
      <c r="Q622" s="1" t="str">
        <f>_xlfn.CONCAT(H622,I622,J622)</f>
        <v>LIGRFOCOM</v>
      </c>
    </row>
    <row r="623" spans="2:17">
      <c r="B623" s="1" t="s">
        <v>339</v>
      </c>
      <c r="C623" s="1" t="s">
        <v>335</v>
      </c>
      <c r="D623" s="52">
        <v>46063.097222222219</v>
      </c>
      <c r="E623" s="52">
        <v>46063.097222222219</v>
      </c>
      <c r="F623" s="52">
        <v>46063.34375</v>
      </c>
      <c r="G623" s="53">
        <v>0.24652777777777779</v>
      </c>
      <c r="H623" s="1" t="s">
        <v>268</v>
      </c>
      <c r="I623" s="1" t="s">
        <v>269</v>
      </c>
      <c r="J623" s="1" t="s">
        <v>319</v>
      </c>
      <c r="K623" s="1" t="s">
        <v>652</v>
      </c>
      <c r="L623" s="1" t="s">
        <v>746</v>
      </c>
      <c r="M623" s="1" t="s">
        <v>272</v>
      </c>
      <c r="N623" s="1" t="s">
        <v>273</v>
      </c>
      <c r="O623" s="1" t="s">
        <v>744</v>
      </c>
      <c r="P623" s="1" t="str">
        <f>_xlfn.CONCAT(B623,C623,D623,E623,F623)</f>
        <v>BC Varjao2.2215KTL-H0(MBUS-13)46063,097222222246063,097222222246063,34375</v>
      </c>
      <c r="Q623" s="1" t="str">
        <f>_xlfn.CONCAT(H623,I623,J623)</f>
        <v>LIGRFOCOM</v>
      </c>
    </row>
    <row r="624" spans="2:17">
      <c r="B624" s="1" t="s">
        <v>339</v>
      </c>
      <c r="C624" s="1" t="s">
        <v>336</v>
      </c>
      <c r="D624" s="52">
        <v>46063.097222222219</v>
      </c>
      <c r="E624" s="52">
        <v>46063.097222222219</v>
      </c>
      <c r="F624" s="52">
        <v>46063.34375</v>
      </c>
      <c r="G624" s="53">
        <v>0.24652777777777779</v>
      </c>
      <c r="H624" s="1" t="s">
        <v>268</v>
      </c>
      <c r="I624" s="1" t="s">
        <v>269</v>
      </c>
      <c r="J624" s="1" t="s">
        <v>319</v>
      </c>
      <c r="K624" s="1" t="s">
        <v>652</v>
      </c>
      <c r="L624" s="1" t="s">
        <v>746</v>
      </c>
      <c r="M624" s="1" t="s">
        <v>272</v>
      </c>
      <c r="N624" s="1" t="s">
        <v>273</v>
      </c>
      <c r="O624" s="1" t="s">
        <v>744</v>
      </c>
      <c r="P624" s="1" t="str">
        <f>_xlfn.CONCAT(B624,C624,D624,E624,F624)</f>
        <v>BC Varjao2.2215KTL-H0(MBUS-14)46063,097222222246063,097222222246063,34375</v>
      </c>
      <c r="Q624" s="1" t="str">
        <f>_xlfn.CONCAT(H624,I624,J624)</f>
        <v>LIGRFOCOM</v>
      </c>
    </row>
    <row r="625" spans="2:17">
      <c r="B625" s="1" t="s">
        <v>339</v>
      </c>
      <c r="C625" s="1" t="s">
        <v>337</v>
      </c>
      <c r="D625" s="52">
        <v>46063.097222222219</v>
      </c>
      <c r="E625" s="52">
        <v>46063.097222222219</v>
      </c>
      <c r="F625" s="52">
        <v>46063.34375</v>
      </c>
      <c r="G625" s="53">
        <v>0.24652777777777779</v>
      </c>
      <c r="H625" s="1" t="s">
        <v>268</v>
      </c>
      <c r="I625" s="1" t="s">
        <v>269</v>
      </c>
      <c r="J625" s="1" t="s">
        <v>319</v>
      </c>
      <c r="K625" s="1" t="s">
        <v>652</v>
      </c>
      <c r="L625" s="1" t="s">
        <v>746</v>
      </c>
      <c r="M625" s="1" t="s">
        <v>272</v>
      </c>
      <c r="N625" s="1" t="s">
        <v>273</v>
      </c>
      <c r="O625" s="1" t="s">
        <v>744</v>
      </c>
      <c r="P625" s="1" t="str">
        <f>_xlfn.CONCAT(B625,C625,D625,E625,F625)</f>
        <v>BC Varjao2.2215KTL-H0(MBUS-15)46063,097222222246063,097222222246063,34375</v>
      </c>
      <c r="Q625" s="1" t="str">
        <f>_xlfn.CONCAT(H625,I625,J625)</f>
        <v>LIGRFOCOM</v>
      </c>
    </row>
    <row r="626" spans="2:17">
      <c r="B626" s="1" t="s">
        <v>339</v>
      </c>
      <c r="C626" s="1" t="s">
        <v>338</v>
      </c>
      <c r="D626" s="52">
        <v>46063.097222222219</v>
      </c>
      <c r="E626" s="52">
        <v>46063.097222222219</v>
      </c>
      <c r="F626" s="52">
        <v>46063.34375</v>
      </c>
      <c r="G626" s="53">
        <v>0.24652777777777779</v>
      </c>
      <c r="H626" s="1" t="s">
        <v>268</v>
      </c>
      <c r="I626" s="1" t="s">
        <v>269</v>
      </c>
      <c r="J626" s="1" t="s">
        <v>319</v>
      </c>
      <c r="K626" s="1" t="s">
        <v>652</v>
      </c>
      <c r="L626" s="1" t="s">
        <v>746</v>
      </c>
      <c r="M626" s="1" t="s">
        <v>272</v>
      </c>
      <c r="N626" s="1" t="s">
        <v>273</v>
      </c>
      <c r="O626" s="1" t="s">
        <v>744</v>
      </c>
      <c r="P626" s="1" t="str">
        <f>_xlfn.CONCAT(B626,C626,D626,E626,F626)</f>
        <v>BC Varjao2.2215KTL-H0(MBUS-16)46063,097222222246063,097222222246063,34375</v>
      </c>
      <c r="Q626" s="1" t="str">
        <f>_xlfn.CONCAT(H626,I626,J626)</f>
        <v>LIGRFOCOM</v>
      </c>
    </row>
    <row r="627" spans="2:17">
      <c r="B627" s="1" t="s">
        <v>339</v>
      </c>
      <c r="C627" s="1" t="s">
        <v>332</v>
      </c>
      <c r="D627" s="52">
        <v>46063.097222222219</v>
      </c>
      <c r="E627" s="52">
        <v>46063.097222222219</v>
      </c>
      <c r="F627" s="52">
        <v>46063.34375</v>
      </c>
      <c r="G627" s="53">
        <v>0.24652777777777779</v>
      </c>
      <c r="H627" s="1" t="s">
        <v>268</v>
      </c>
      <c r="I627" s="1" t="s">
        <v>269</v>
      </c>
      <c r="J627" s="1" t="s">
        <v>319</v>
      </c>
      <c r="K627" s="1" t="s">
        <v>652</v>
      </c>
      <c r="L627" s="1" t="s">
        <v>746</v>
      </c>
      <c r="M627" s="1" t="s">
        <v>272</v>
      </c>
      <c r="N627" s="1" t="s">
        <v>273</v>
      </c>
      <c r="O627" s="1" t="s">
        <v>744</v>
      </c>
      <c r="P627" s="1" t="str">
        <f>_xlfn.CONCAT(B627,C627,D627,E627,F627)</f>
        <v>BC Varjao2.2215KTL-H0(MBUS-12)46063,097222222246063,097222222246063,34375</v>
      </c>
      <c r="Q627" s="1" t="str">
        <f>_xlfn.CONCAT(H627,I627,J627)</f>
        <v>LIGRFOCOM</v>
      </c>
    </row>
    <row r="628" spans="2:17">
      <c r="B628" s="1" t="s">
        <v>286</v>
      </c>
      <c r="C628" s="1" t="s">
        <v>287</v>
      </c>
      <c r="D628" s="52">
        <v>46063.302083333336</v>
      </c>
      <c r="E628" s="52">
        <v>46063.302083333336</v>
      </c>
      <c r="F628" s="52">
        <v>46063.788194444445</v>
      </c>
      <c r="G628" s="53">
        <v>0.4861111111111111</v>
      </c>
      <c r="H628" s="1" t="s">
        <v>268</v>
      </c>
      <c r="I628" s="1" t="s">
        <v>269</v>
      </c>
      <c r="J628" s="1" t="s">
        <v>319</v>
      </c>
      <c r="K628" s="1" t="s">
        <v>652</v>
      </c>
      <c r="L628" s="1" t="s">
        <v>738</v>
      </c>
      <c r="M628" s="1" t="s">
        <v>272</v>
      </c>
      <c r="N628" s="1" t="s">
        <v>273</v>
      </c>
      <c r="O628" s="1" t="s">
        <v>744</v>
      </c>
      <c r="P628" s="1" t="str">
        <f>_xlfn.CONCAT(B628,C628,D628,E628,F628)</f>
        <v>BC Corumba2.2U02.I0146063,302083333346063,302083333346063,7881944444</v>
      </c>
      <c r="Q628" s="1" t="str">
        <f>_xlfn.CONCAT(H628,I628,J628)</f>
        <v>LIGRFOCOM</v>
      </c>
    </row>
    <row r="629" spans="2:17">
      <c r="B629" s="1" t="s">
        <v>286</v>
      </c>
      <c r="C629" s="1" t="s">
        <v>292</v>
      </c>
      <c r="D629" s="52">
        <v>46063.302083333336</v>
      </c>
      <c r="E629" s="52">
        <v>46063.302083333336</v>
      </c>
      <c r="F629" s="52">
        <v>46063.788194444445</v>
      </c>
      <c r="G629" s="53">
        <v>0.4861111111111111</v>
      </c>
      <c r="H629" s="1" t="s">
        <v>268</v>
      </c>
      <c r="I629" s="1" t="s">
        <v>269</v>
      </c>
      <c r="J629" s="1" t="s">
        <v>319</v>
      </c>
      <c r="K629" s="1" t="s">
        <v>652</v>
      </c>
      <c r="L629" s="1" t="s">
        <v>738</v>
      </c>
      <c r="M629" s="1" t="s">
        <v>272</v>
      </c>
      <c r="N629" s="1" t="s">
        <v>273</v>
      </c>
      <c r="O629" s="1" t="s">
        <v>744</v>
      </c>
      <c r="P629" s="1" t="str">
        <f>_xlfn.CONCAT(B629,C629,D629,E629,F629)</f>
        <v>BC Corumba2.2U02.I0246063,302083333346063,302083333346063,7881944444</v>
      </c>
      <c r="Q629" s="1" t="str">
        <f>_xlfn.CONCAT(H629,I629,J629)</f>
        <v>LIGRFOCOM</v>
      </c>
    </row>
    <row r="630" spans="2:17">
      <c r="B630" s="1" t="s">
        <v>286</v>
      </c>
      <c r="C630" s="1" t="s">
        <v>293</v>
      </c>
      <c r="D630" s="52">
        <v>46063.302083333336</v>
      </c>
      <c r="E630" s="52">
        <v>46063.302083333336</v>
      </c>
      <c r="F630" s="52">
        <v>46063.788194444445</v>
      </c>
      <c r="G630" s="53">
        <v>0.4861111111111111</v>
      </c>
      <c r="H630" s="1" t="s">
        <v>268</v>
      </c>
      <c r="I630" s="1" t="s">
        <v>269</v>
      </c>
      <c r="J630" s="1" t="s">
        <v>319</v>
      </c>
      <c r="K630" s="1" t="s">
        <v>652</v>
      </c>
      <c r="L630" s="1" t="s">
        <v>738</v>
      </c>
      <c r="M630" s="1" t="s">
        <v>289</v>
      </c>
      <c r="N630" s="1" t="s">
        <v>253</v>
      </c>
      <c r="O630" s="1" t="s">
        <v>744</v>
      </c>
      <c r="P630" s="1" t="str">
        <f>_xlfn.CONCAT(B630,C630,D630,E630,F630)</f>
        <v>BC Corumba2.2U02.I0346063,302083333346063,302083333346063,7881944444</v>
      </c>
      <c r="Q630" s="1" t="str">
        <f>_xlfn.CONCAT(H630,I630,J630)</f>
        <v>LIGRFOCOM</v>
      </c>
    </row>
    <row r="631" spans="2:17">
      <c r="B631" s="1" t="s">
        <v>286</v>
      </c>
      <c r="C631" s="1" t="s">
        <v>294</v>
      </c>
      <c r="D631" s="52">
        <v>46063.302083333336</v>
      </c>
      <c r="E631" s="52">
        <v>46063.302083333336</v>
      </c>
      <c r="F631" s="52">
        <v>46063.788194444445</v>
      </c>
      <c r="G631" s="53">
        <v>0.4861111111111111</v>
      </c>
      <c r="H631" s="1" t="s">
        <v>268</v>
      </c>
      <c r="I631" s="1" t="s">
        <v>269</v>
      </c>
      <c r="J631" s="1" t="s">
        <v>319</v>
      </c>
      <c r="K631" s="1" t="s">
        <v>652</v>
      </c>
      <c r="L631" s="1" t="s">
        <v>738</v>
      </c>
      <c r="M631" s="1" t="s">
        <v>260</v>
      </c>
      <c r="N631" s="1" t="s">
        <v>357</v>
      </c>
      <c r="O631" s="1" t="s">
        <v>632</v>
      </c>
      <c r="P631" s="1" t="str">
        <f>_xlfn.CONCAT(B631,C631,D631,E631,F631)</f>
        <v>BC Corumba2.2U02.I0446063,302083333346063,302083333346063,7881944444</v>
      </c>
      <c r="Q631" s="1" t="str">
        <f>_xlfn.CONCAT(H631,I631,J631)</f>
        <v>LIGRFOCOM</v>
      </c>
    </row>
    <row r="632" spans="2:17">
      <c r="B632" s="1" t="s">
        <v>286</v>
      </c>
      <c r="C632" s="1" t="s">
        <v>295</v>
      </c>
      <c r="D632" s="52">
        <v>46063.302083333336</v>
      </c>
      <c r="E632" s="52">
        <v>46063.302083333336</v>
      </c>
      <c r="F632" s="52">
        <v>46063.788194444445</v>
      </c>
      <c r="G632" s="53">
        <v>0.4861111111111111</v>
      </c>
      <c r="H632" s="1" t="s">
        <v>268</v>
      </c>
      <c r="I632" s="1" t="s">
        <v>269</v>
      </c>
      <c r="J632" s="1" t="s">
        <v>319</v>
      </c>
      <c r="K632" s="1" t="s">
        <v>652</v>
      </c>
      <c r="L632" s="1" t="s">
        <v>738</v>
      </c>
      <c r="M632" s="1" t="s">
        <v>260</v>
      </c>
      <c r="N632" s="1" t="s">
        <v>357</v>
      </c>
      <c r="O632" s="1" t="s">
        <v>632</v>
      </c>
      <c r="P632" s="1" t="str">
        <f>_xlfn.CONCAT(B632,C632,D632,E632,F632)</f>
        <v>BC Corumba2.2U02.I0546063,302083333346063,302083333346063,7881944444</v>
      </c>
      <c r="Q632" s="1" t="str">
        <f>_xlfn.CONCAT(H632,I632,J632)</f>
        <v>LIGRFOCOM</v>
      </c>
    </row>
    <row r="633" spans="2:17">
      <c r="B633" s="1" t="s">
        <v>367</v>
      </c>
      <c r="C633" s="1" t="s">
        <v>287</v>
      </c>
      <c r="D633" s="52">
        <v>46063.366666666669</v>
      </c>
      <c r="E633" s="52">
        <v>46063.366666666669</v>
      </c>
      <c r="F633" s="52">
        <v>46063.40625</v>
      </c>
      <c r="G633" s="53">
        <v>3.9583333333333331E-2</v>
      </c>
      <c r="H633" s="1" t="s">
        <v>257</v>
      </c>
      <c r="J633" s="1" t="s">
        <v>371</v>
      </c>
      <c r="K633" s="1" t="s">
        <v>653</v>
      </c>
      <c r="L633" s="1" t="s">
        <v>747</v>
      </c>
      <c r="M633" s="1" t="s">
        <v>260</v>
      </c>
      <c r="N633" s="1" t="s">
        <v>357</v>
      </c>
      <c r="O633" s="1" t="s">
        <v>632</v>
      </c>
      <c r="P633" s="1" t="str">
        <f>_xlfn.CONCAT(B633,C633,D633,E633,F633)</f>
        <v>BC Corumba1.2U02.I0146063,366666666746063,366666666746063,40625</v>
      </c>
      <c r="Q633" s="1" t="str">
        <f>_xlfn.CONCAT(H633,I633,J633)</f>
        <v>DAUINV</v>
      </c>
    </row>
    <row r="634" spans="2:17">
      <c r="B634" s="1" t="s">
        <v>368</v>
      </c>
      <c r="C634" s="1" t="s">
        <v>256</v>
      </c>
      <c r="D634" s="52">
        <v>46063.378472222219</v>
      </c>
      <c r="E634" s="52">
        <v>46063.378472222219</v>
      </c>
      <c r="F634" s="52">
        <v>46063.385416666664</v>
      </c>
      <c r="G634" s="53">
        <v>6.9444444444444441E-3</v>
      </c>
      <c r="H634" s="1" t="s">
        <v>257</v>
      </c>
      <c r="J634" s="1" t="s">
        <v>258</v>
      </c>
      <c r="K634" s="1" t="s">
        <v>658</v>
      </c>
      <c r="L634" s="1" t="s">
        <v>748</v>
      </c>
      <c r="M634" s="1" t="s">
        <v>260</v>
      </c>
      <c r="N634" s="1" t="s">
        <v>357</v>
      </c>
      <c r="O634" s="1" t="s">
        <v>632</v>
      </c>
      <c r="P634" s="1" t="str">
        <f>_xlfn.CONCAT(B634,C634,D634,E634,F634)</f>
        <v>BC Ibiuna 1.1Inverter(MBUS-12)46063,378472222246063,378472222246063,3854166667</v>
      </c>
      <c r="Q634" s="1" t="str">
        <f>_xlfn.CONCAT(H634,I634,J634)</f>
        <v>DAURDE</v>
      </c>
    </row>
    <row r="635" spans="2:17">
      <c r="B635" s="1" t="s">
        <v>368</v>
      </c>
      <c r="C635" s="1" t="s">
        <v>264</v>
      </c>
      <c r="D635" s="52">
        <v>46063.378472222219</v>
      </c>
      <c r="E635" s="52">
        <v>46063.378472222219</v>
      </c>
      <c r="F635" s="52">
        <v>46063.385416666664</v>
      </c>
      <c r="G635" s="53">
        <v>6.9444444444444441E-3</v>
      </c>
      <c r="H635" s="1" t="s">
        <v>257</v>
      </c>
      <c r="J635" s="1" t="s">
        <v>258</v>
      </c>
      <c r="K635" s="1" t="s">
        <v>658</v>
      </c>
      <c r="L635" s="1" t="s">
        <v>748</v>
      </c>
      <c r="M635" s="1" t="s">
        <v>260</v>
      </c>
      <c r="N635" s="1" t="s">
        <v>357</v>
      </c>
      <c r="O635" s="1" t="s">
        <v>632</v>
      </c>
      <c r="P635" s="1" t="str">
        <f>_xlfn.CONCAT(B635,C635,D635,E635,F635)</f>
        <v>BC Ibiuna 1.1Inverter(MBUS-13)46063,378472222246063,378472222246063,3854166667</v>
      </c>
      <c r="Q635" s="1" t="str">
        <f>_xlfn.CONCAT(H635,I635,J635)</f>
        <v>DAURDE</v>
      </c>
    </row>
    <row r="636" spans="2:17">
      <c r="B636" s="1" t="s">
        <v>368</v>
      </c>
      <c r="C636" s="1" t="s">
        <v>263</v>
      </c>
      <c r="D636" s="52">
        <v>46063.378472222219</v>
      </c>
      <c r="E636" s="52">
        <v>46063.378472222219</v>
      </c>
      <c r="F636" s="52">
        <v>46063.385416666664</v>
      </c>
      <c r="G636" s="53">
        <v>6.9444444444444441E-3</v>
      </c>
      <c r="H636" s="1" t="s">
        <v>257</v>
      </c>
      <c r="J636" s="1" t="s">
        <v>258</v>
      </c>
      <c r="K636" s="1" t="s">
        <v>658</v>
      </c>
      <c r="L636" s="1" t="s">
        <v>748</v>
      </c>
      <c r="M636" s="1" t="s">
        <v>260</v>
      </c>
      <c r="N636" s="1" t="s">
        <v>357</v>
      </c>
      <c r="O636" s="1" t="s">
        <v>632</v>
      </c>
      <c r="P636" s="1" t="str">
        <f>_xlfn.CONCAT(B636,C636,D636,E636,F636)</f>
        <v>BC Ibiuna 1.1Inverter(MBUS-14)46063,378472222246063,378472222246063,3854166667</v>
      </c>
      <c r="Q636" s="1" t="str">
        <f>_xlfn.CONCAT(H636,I636,J636)</f>
        <v>DAURDE</v>
      </c>
    </row>
    <row r="637" spans="2:17">
      <c r="B637" s="1" t="s">
        <v>368</v>
      </c>
      <c r="C637" s="1" t="s">
        <v>307</v>
      </c>
      <c r="D637" s="52">
        <v>46063.378472222219</v>
      </c>
      <c r="E637" s="52">
        <v>46063.378472222219</v>
      </c>
      <c r="F637" s="52">
        <v>46063.385416666664</v>
      </c>
      <c r="G637" s="53">
        <v>6.9444444444444441E-3</v>
      </c>
      <c r="H637" s="1" t="s">
        <v>257</v>
      </c>
      <c r="J637" s="1" t="s">
        <v>258</v>
      </c>
      <c r="K637" s="1" t="s">
        <v>658</v>
      </c>
      <c r="L637" s="1" t="s">
        <v>748</v>
      </c>
      <c r="M637" s="1" t="s">
        <v>260</v>
      </c>
      <c r="N637" s="1" t="s">
        <v>357</v>
      </c>
      <c r="O637" s="1" t="s">
        <v>632</v>
      </c>
      <c r="P637" s="1" t="str">
        <f>_xlfn.CONCAT(B637,C637,D637,E637,F637)</f>
        <v>BC Ibiuna 1.1Inverter(MBUS-15)46063,378472222246063,378472222246063,3854166667</v>
      </c>
      <c r="Q637" s="1" t="str">
        <f>_xlfn.CONCAT(H637,I637,J637)</f>
        <v>DAURDE</v>
      </c>
    </row>
    <row r="638" spans="2:17">
      <c r="B638" s="1" t="s">
        <v>370</v>
      </c>
      <c r="C638" s="1" t="s">
        <v>256</v>
      </c>
      <c r="D638" s="52">
        <v>46063.378472222219</v>
      </c>
      <c r="E638" s="52">
        <v>46063.378472222219</v>
      </c>
      <c r="F638" s="52">
        <v>46063.385416666664</v>
      </c>
      <c r="G638" s="53">
        <v>6.9444444444444441E-3</v>
      </c>
      <c r="H638" s="1" t="s">
        <v>257</v>
      </c>
      <c r="J638" s="1" t="s">
        <v>258</v>
      </c>
      <c r="K638" s="1" t="s">
        <v>658</v>
      </c>
      <c r="L638" s="1" t="s">
        <v>748</v>
      </c>
      <c r="M638" s="1" t="s">
        <v>260</v>
      </c>
      <c r="N638" s="1" t="s">
        <v>357</v>
      </c>
      <c r="O638" s="1" t="s">
        <v>632</v>
      </c>
      <c r="P638" s="1" t="str">
        <f>_xlfn.CONCAT(B638,C638,D638,E638,F638)</f>
        <v>BC Ibiuna 1.2Inverter(MBUS-12)46063,378472222246063,378472222246063,3854166667</v>
      </c>
      <c r="Q638" s="1" t="str">
        <f>_xlfn.CONCAT(H638,I638,J638)</f>
        <v>DAURDE</v>
      </c>
    </row>
    <row r="639" spans="2:17">
      <c r="B639" s="1" t="s">
        <v>370</v>
      </c>
      <c r="C639" s="1" t="s">
        <v>264</v>
      </c>
      <c r="D639" s="52">
        <v>46063.378472222219</v>
      </c>
      <c r="E639" s="52">
        <v>46063.378472222219</v>
      </c>
      <c r="F639" s="52">
        <v>46063.385416666664</v>
      </c>
      <c r="G639" s="53">
        <v>6.9444444444444441E-3</v>
      </c>
      <c r="H639" s="1" t="s">
        <v>257</v>
      </c>
      <c r="J639" s="1" t="s">
        <v>258</v>
      </c>
      <c r="K639" s="1" t="s">
        <v>658</v>
      </c>
      <c r="L639" s="1" t="s">
        <v>748</v>
      </c>
      <c r="M639" s="1" t="s">
        <v>260</v>
      </c>
      <c r="N639" s="1" t="s">
        <v>357</v>
      </c>
      <c r="O639" s="1" t="s">
        <v>632</v>
      </c>
      <c r="P639" s="1" t="str">
        <f>_xlfn.CONCAT(B639,C639,D639,E639,F639)</f>
        <v>BC Ibiuna 1.2Inverter(MBUS-13)46063,378472222246063,378472222246063,3854166667</v>
      </c>
      <c r="Q639" s="1" t="str">
        <f>_xlfn.CONCAT(H639,I639,J639)</f>
        <v>DAURDE</v>
      </c>
    </row>
    <row r="640" spans="2:17">
      <c r="B640" s="1" t="s">
        <v>370</v>
      </c>
      <c r="C640" s="1" t="s">
        <v>263</v>
      </c>
      <c r="D640" s="52">
        <v>46063.378472222219</v>
      </c>
      <c r="E640" s="52">
        <v>46063.378472222219</v>
      </c>
      <c r="F640" s="52">
        <v>46063.385416666664</v>
      </c>
      <c r="G640" s="53">
        <v>6.9444444444444441E-3</v>
      </c>
      <c r="H640" s="1" t="s">
        <v>257</v>
      </c>
      <c r="J640" s="1" t="s">
        <v>258</v>
      </c>
      <c r="K640" s="1" t="s">
        <v>658</v>
      </c>
      <c r="L640" s="1" t="s">
        <v>748</v>
      </c>
      <c r="M640" s="1" t="s">
        <v>260</v>
      </c>
      <c r="N640" s="1" t="s">
        <v>357</v>
      </c>
      <c r="O640" s="1" t="s">
        <v>632</v>
      </c>
      <c r="P640" s="1" t="str">
        <f>_xlfn.CONCAT(B640,C640,D640,E640,F640)</f>
        <v>BC Ibiuna 1.2Inverter(MBUS-14)46063,378472222246063,378472222246063,3854166667</v>
      </c>
      <c r="Q640" s="1" t="str">
        <f>_xlfn.CONCAT(H640,I640,J640)</f>
        <v>DAURDE</v>
      </c>
    </row>
    <row r="641" spans="2:17">
      <c r="B641" s="1" t="s">
        <v>370</v>
      </c>
      <c r="C641" s="1" t="s">
        <v>307</v>
      </c>
      <c r="D641" s="52">
        <v>46063.378472222219</v>
      </c>
      <c r="E641" s="52">
        <v>46063.378472222219</v>
      </c>
      <c r="F641" s="52">
        <v>46063.385416666664</v>
      </c>
      <c r="G641" s="53">
        <v>6.9444444444444441E-3</v>
      </c>
      <c r="H641" s="1" t="s">
        <v>257</v>
      </c>
      <c r="J641" s="1" t="s">
        <v>258</v>
      </c>
      <c r="K641" s="1" t="s">
        <v>658</v>
      </c>
      <c r="L641" s="1" t="s">
        <v>748</v>
      </c>
      <c r="M641" s="1" t="s">
        <v>260</v>
      </c>
      <c r="N641" s="1" t="s">
        <v>357</v>
      </c>
      <c r="O641" s="1" t="s">
        <v>632</v>
      </c>
      <c r="P641" s="1" t="str">
        <f>_xlfn.CONCAT(B641,C641,D641,E641,F641)</f>
        <v>BC Ibiuna 1.2Inverter(MBUS-15)46063,378472222246063,378472222246063,3854166667</v>
      </c>
      <c r="Q641" s="1" t="str">
        <f>_xlfn.CONCAT(H641,I641,J641)</f>
        <v>DAURDE</v>
      </c>
    </row>
    <row r="642" spans="2:17">
      <c r="B642" s="1" t="s">
        <v>265</v>
      </c>
      <c r="C642" s="1" t="s">
        <v>263</v>
      </c>
      <c r="D642" s="52">
        <v>46063.404861111114</v>
      </c>
      <c r="E642" s="52">
        <v>46063.404861111114</v>
      </c>
      <c r="F642" s="52">
        <v>46063.458333333336</v>
      </c>
      <c r="G642" s="53">
        <v>5.347222222222222E-2</v>
      </c>
      <c r="H642" s="1" t="s">
        <v>268</v>
      </c>
      <c r="I642" s="1" t="s">
        <v>269</v>
      </c>
      <c r="J642" s="1" t="s">
        <v>319</v>
      </c>
      <c r="K642" s="1" t="s">
        <v>652</v>
      </c>
      <c r="L642" s="1" t="s">
        <v>749</v>
      </c>
      <c r="M642" s="1" t="s">
        <v>260</v>
      </c>
      <c r="N642" s="1" t="s">
        <v>357</v>
      </c>
      <c r="O642" s="1" t="s">
        <v>632</v>
      </c>
      <c r="P642" s="1" t="str">
        <f>_xlfn.CONCAT(B642,C642,D642,E642,F642)</f>
        <v>BC Formoso2.2Inverter(MBUS-14)46063,404861111146063,404861111146063,4583333333</v>
      </c>
      <c r="Q642" s="1" t="str">
        <f>_xlfn.CONCAT(H642,I642,J642)</f>
        <v>LIGRFOCOM</v>
      </c>
    </row>
    <row r="643" spans="2:17">
      <c r="B643" s="1" t="s">
        <v>265</v>
      </c>
      <c r="C643" s="1" t="s">
        <v>264</v>
      </c>
      <c r="D643" s="52">
        <v>46063.404861111114</v>
      </c>
      <c r="E643" s="52">
        <v>46063.404861111114</v>
      </c>
      <c r="F643" s="52">
        <v>46063.458333333336</v>
      </c>
      <c r="G643" s="53">
        <v>5.347222222222222E-2</v>
      </c>
      <c r="H643" s="1" t="s">
        <v>268</v>
      </c>
      <c r="I643" s="1" t="s">
        <v>269</v>
      </c>
      <c r="J643" s="1" t="s">
        <v>319</v>
      </c>
      <c r="K643" s="1" t="s">
        <v>652</v>
      </c>
      <c r="L643" s="1" t="s">
        <v>749</v>
      </c>
      <c r="M643" s="1" t="s">
        <v>260</v>
      </c>
      <c r="N643" s="1" t="s">
        <v>357</v>
      </c>
      <c r="O643" s="1" t="s">
        <v>632</v>
      </c>
      <c r="P643" s="1" t="str">
        <f>_xlfn.CONCAT(B643,C643,D643,E643,F643)</f>
        <v>BC Formoso2.2Inverter(MBUS-13)46063,404861111146063,404861111146063,4583333333</v>
      </c>
      <c r="Q643" s="1" t="str">
        <f>_xlfn.CONCAT(H643,I643,J643)</f>
        <v>LIGRFOCOM</v>
      </c>
    </row>
    <row r="644" spans="2:17">
      <c r="B644" s="1" t="s">
        <v>265</v>
      </c>
      <c r="C644" s="1" t="s">
        <v>256</v>
      </c>
      <c r="D644" s="52">
        <v>46063.404861111114</v>
      </c>
      <c r="E644" s="52">
        <v>46063.404861111114</v>
      </c>
      <c r="F644" s="52">
        <v>46063.458333333336</v>
      </c>
      <c r="G644" s="53">
        <v>5.347222222222222E-2</v>
      </c>
      <c r="H644" s="1" t="s">
        <v>268</v>
      </c>
      <c r="I644" s="1" t="s">
        <v>269</v>
      </c>
      <c r="J644" s="1" t="s">
        <v>319</v>
      </c>
      <c r="K644" s="1" t="s">
        <v>652</v>
      </c>
      <c r="L644" s="1" t="s">
        <v>749</v>
      </c>
      <c r="M644" s="1" t="s">
        <v>260</v>
      </c>
      <c r="N644" s="1" t="s">
        <v>357</v>
      </c>
      <c r="O644" s="1" t="s">
        <v>632</v>
      </c>
      <c r="P644" s="1" t="str">
        <f>_xlfn.CONCAT(B644,C644,D644,E644,F644)</f>
        <v>BC Formoso2.2Inverter(MBUS-12)46063,404861111146063,404861111146063,4583333333</v>
      </c>
      <c r="Q644" s="1" t="str">
        <f>_xlfn.CONCAT(H644,I644,J644)</f>
        <v>LIGRFOCOM</v>
      </c>
    </row>
    <row r="645" spans="2:17">
      <c r="B645" s="1" t="s">
        <v>265</v>
      </c>
      <c r="C645" s="1" t="s">
        <v>247</v>
      </c>
      <c r="D645" s="52">
        <v>46063.404861111114</v>
      </c>
      <c r="E645" s="52">
        <v>46063.404861111114</v>
      </c>
      <c r="F645" s="52">
        <v>46063.458333333336</v>
      </c>
      <c r="G645" s="53">
        <v>5.347222222222222E-2</v>
      </c>
      <c r="H645" s="1" t="s">
        <v>268</v>
      </c>
      <c r="I645" s="1" t="s">
        <v>269</v>
      </c>
      <c r="J645" s="1" t="s">
        <v>319</v>
      </c>
      <c r="K645" s="1" t="s">
        <v>652</v>
      </c>
      <c r="L645" s="1" t="s">
        <v>749</v>
      </c>
      <c r="M645" s="1" t="s">
        <v>260</v>
      </c>
      <c r="N645" s="1" t="s">
        <v>357</v>
      </c>
      <c r="O645" s="1" t="s">
        <v>632</v>
      </c>
      <c r="P645" s="1" t="str">
        <f>_xlfn.CONCAT(B645,C645,D645,E645,F645)</f>
        <v>BC Formoso2.2Inverter(MBUS-1)46063,404861111146063,404861111146063,4583333333</v>
      </c>
      <c r="Q645" s="1" t="str">
        <f>_xlfn.CONCAT(H645,I645,J645)</f>
        <v>LIGRFOCOM</v>
      </c>
    </row>
    <row r="646" spans="2:17">
      <c r="B646" s="1" t="s">
        <v>393</v>
      </c>
      <c r="C646" s="1" t="s">
        <v>394</v>
      </c>
      <c r="D646" s="52">
        <v>46063.561111111114</v>
      </c>
      <c r="E646" s="52">
        <v>46063.561111111114</v>
      </c>
      <c r="F646" s="52">
        <v>46063.572916666664</v>
      </c>
      <c r="G646" s="53">
        <v>1.1805555555555555E-2</v>
      </c>
      <c r="H646" s="1" t="s">
        <v>677</v>
      </c>
      <c r="J646" s="1" t="s">
        <v>258</v>
      </c>
      <c r="K646" s="1" t="s">
        <v>658</v>
      </c>
      <c r="L646" s="1" t="s">
        <v>750</v>
      </c>
      <c r="M646" s="1" t="s">
        <v>260</v>
      </c>
      <c r="N646" s="1" t="s">
        <v>357</v>
      </c>
      <c r="O646" s="1" t="s">
        <v>632</v>
      </c>
      <c r="P646" s="1" t="str">
        <f>_xlfn.CONCAT(B646,C646,D646,E646,F646)</f>
        <v>BC ParanoaSG60KTL(COM1-014)_001_01346063,561111111146063,561111111146063,5729166667</v>
      </c>
      <c r="Q646" s="1" t="str">
        <f>_xlfn.CONCAT(H646,I646,J646)</f>
        <v>DPRRDE</v>
      </c>
    </row>
    <row r="647" spans="2:17">
      <c r="B647" s="1" t="s">
        <v>393</v>
      </c>
      <c r="C647" s="1" t="s">
        <v>395</v>
      </c>
      <c r="D647" s="52">
        <v>46063.561111111114</v>
      </c>
      <c r="E647" s="52">
        <v>46063.561111111114</v>
      </c>
      <c r="F647" s="52">
        <v>46063.572916666664</v>
      </c>
      <c r="G647" s="53">
        <v>1.1805555555555555E-2</v>
      </c>
      <c r="H647" s="1" t="s">
        <v>677</v>
      </c>
      <c r="J647" s="1" t="s">
        <v>258</v>
      </c>
      <c r="K647" s="1" t="s">
        <v>658</v>
      </c>
      <c r="L647" s="1" t="s">
        <v>750</v>
      </c>
      <c r="M647" s="1" t="s">
        <v>260</v>
      </c>
      <c r="N647" s="1" t="s">
        <v>357</v>
      </c>
      <c r="O647" s="1" t="s">
        <v>632</v>
      </c>
      <c r="P647" s="1" t="str">
        <f>_xlfn.CONCAT(B647,C647,D647,E647,F647)</f>
        <v>BC ParanoaSG60KTL(COM1-013)_001_01046063,561111111146063,561111111146063,5729166667</v>
      </c>
      <c r="Q647" s="1" t="str">
        <f>_xlfn.CONCAT(H647,I647,J647)</f>
        <v>DPRRDE</v>
      </c>
    </row>
    <row r="648" spans="2:17">
      <c r="B648" s="1" t="s">
        <v>393</v>
      </c>
      <c r="C648" s="1" t="s">
        <v>396</v>
      </c>
      <c r="D648" s="52">
        <v>46063.561111111114</v>
      </c>
      <c r="E648" s="52">
        <v>46063.561111111114</v>
      </c>
      <c r="F648" s="52">
        <v>46063.572916666664</v>
      </c>
      <c r="G648" s="53">
        <v>1.1805555555555555E-2</v>
      </c>
      <c r="H648" s="1" t="s">
        <v>677</v>
      </c>
      <c r="J648" s="1" t="s">
        <v>258</v>
      </c>
      <c r="K648" s="1" t="s">
        <v>658</v>
      </c>
      <c r="L648" s="1" t="s">
        <v>750</v>
      </c>
      <c r="M648" s="1" t="s">
        <v>260</v>
      </c>
      <c r="N648" s="1" t="s">
        <v>357</v>
      </c>
      <c r="O648" s="1" t="s">
        <v>632</v>
      </c>
      <c r="P648" s="1" t="str">
        <f>_xlfn.CONCAT(B648,C648,D648,E648,F648)</f>
        <v>BC ParanoaSG60KTL(COM1-012)_001_01146063,561111111146063,561111111146063,5729166667</v>
      </c>
      <c r="Q648" s="1" t="str">
        <f>_xlfn.CONCAT(H648,I648,J648)</f>
        <v>DPRRDE</v>
      </c>
    </row>
    <row r="649" spans="2:17">
      <c r="B649" s="1" t="s">
        <v>393</v>
      </c>
      <c r="C649" s="1" t="s">
        <v>397</v>
      </c>
      <c r="D649" s="52">
        <v>46063.561111111114</v>
      </c>
      <c r="E649" s="52">
        <v>46063.561111111114</v>
      </c>
      <c r="F649" s="52">
        <v>46063.572916666664</v>
      </c>
      <c r="G649" s="53">
        <v>1.1805555555555555E-2</v>
      </c>
      <c r="H649" s="1" t="s">
        <v>677</v>
      </c>
      <c r="J649" s="1" t="s">
        <v>258</v>
      </c>
      <c r="K649" s="1" t="s">
        <v>658</v>
      </c>
      <c r="L649" s="1" t="s">
        <v>750</v>
      </c>
      <c r="M649" s="1" t="s">
        <v>260</v>
      </c>
      <c r="N649" s="1" t="s">
        <v>357</v>
      </c>
      <c r="O649" s="1" t="s">
        <v>632</v>
      </c>
      <c r="P649" s="1" t="str">
        <f>_xlfn.CONCAT(B649,C649,D649,E649,F649)</f>
        <v>BC ParanoaSG60KTL(COM1-011)_001_00546063,561111111146063,561111111146063,5729166667</v>
      </c>
      <c r="Q649" s="1" t="str">
        <f>_xlfn.CONCAT(H649,I649,J649)</f>
        <v>DPRRDE</v>
      </c>
    </row>
    <row r="650" spans="2:17">
      <c r="B650" s="1" t="s">
        <v>393</v>
      </c>
      <c r="C650" s="1" t="s">
        <v>398</v>
      </c>
      <c r="D650" s="52">
        <v>46063.561111111114</v>
      </c>
      <c r="E650" s="52">
        <v>46063.561111111114</v>
      </c>
      <c r="F650" s="52">
        <v>46063.572916666664</v>
      </c>
      <c r="G650" s="53">
        <v>1.1805555555555555E-2</v>
      </c>
      <c r="H650" s="1" t="s">
        <v>677</v>
      </c>
      <c r="J650" s="1" t="s">
        <v>258</v>
      </c>
      <c r="K650" s="1" t="s">
        <v>658</v>
      </c>
      <c r="L650" s="1" t="s">
        <v>750</v>
      </c>
      <c r="M650" s="1" t="s">
        <v>260</v>
      </c>
      <c r="N650" s="1" t="s">
        <v>357</v>
      </c>
      <c r="O650" s="1" t="s">
        <v>632</v>
      </c>
      <c r="P650" s="1" t="str">
        <f>_xlfn.CONCAT(B650,C650,D650,E650,F650)</f>
        <v>BC ParanoaSG60KTL(COM1-010)_001_00346063,561111111146063,561111111146063,5729166667</v>
      </c>
      <c r="Q650" s="1" t="str">
        <f>_xlfn.CONCAT(H650,I650,J650)</f>
        <v>DPRRDE</v>
      </c>
    </row>
    <row r="651" spans="2:17">
      <c r="B651" s="1" t="s">
        <v>393</v>
      </c>
      <c r="C651" s="1" t="s">
        <v>399</v>
      </c>
      <c r="D651" s="52">
        <v>46063.561111111114</v>
      </c>
      <c r="E651" s="52">
        <v>46063.561111111114</v>
      </c>
      <c r="F651" s="52">
        <v>46063.572916666664</v>
      </c>
      <c r="G651" s="53">
        <v>1.1805555555555555E-2</v>
      </c>
      <c r="H651" s="1" t="s">
        <v>677</v>
      </c>
      <c r="J651" s="1" t="s">
        <v>258</v>
      </c>
      <c r="K651" s="1" t="s">
        <v>658</v>
      </c>
      <c r="L651" s="1" t="s">
        <v>750</v>
      </c>
      <c r="M651" s="1" t="s">
        <v>289</v>
      </c>
      <c r="N651" s="1" t="s">
        <v>253</v>
      </c>
      <c r="O651" s="1" t="s">
        <v>751</v>
      </c>
      <c r="P651" s="1" t="str">
        <f>_xlfn.CONCAT(B651,C651,D651,E651,F651)</f>
        <v>BC ParanoaSG60KTL(COM1-018)_001_01246063,561111111146063,561111111146063,5729166667</v>
      </c>
      <c r="Q651" s="1" t="str">
        <f>_xlfn.CONCAT(H651,I651,J651)</f>
        <v>DPRRDE</v>
      </c>
    </row>
    <row r="652" spans="2:17">
      <c r="B652" s="1" t="s">
        <v>393</v>
      </c>
      <c r="C652" s="1" t="s">
        <v>400</v>
      </c>
      <c r="D652" s="52">
        <v>46063.561111111114</v>
      </c>
      <c r="E652" s="52">
        <v>46063.561111111114</v>
      </c>
      <c r="F652" s="52">
        <v>46063.572916666664</v>
      </c>
      <c r="G652" s="53">
        <v>1.1805555555555555E-2</v>
      </c>
      <c r="H652" s="1" t="s">
        <v>677</v>
      </c>
      <c r="J652" s="1" t="s">
        <v>258</v>
      </c>
      <c r="K652" s="1" t="s">
        <v>658</v>
      </c>
      <c r="L652" s="1" t="s">
        <v>750</v>
      </c>
      <c r="M652" s="1" t="s">
        <v>289</v>
      </c>
      <c r="N652" s="1" t="s">
        <v>253</v>
      </c>
      <c r="O652" s="1" t="s">
        <v>751</v>
      </c>
      <c r="P652" s="1" t="str">
        <f>_xlfn.CONCAT(B652,C652,D652,E652,F652)</f>
        <v>BC ParanoaSG60KTL(COM1-017)_001_00746063,561111111146063,561111111146063,5729166667</v>
      </c>
      <c r="Q652" s="1" t="str">
        <f>_xlfn.CONCAT(H652,I652,J652)</f>
        <v>DPRRDE</v>
      </c>
    </row>
    <row r="653" spans="2:17">
      <c r="B653" s="1" t="s">
        <v>393</v>
      </c>
      <c r="C653" s="1" t="s">
        <v>401</v>
      </c>
      <c r="D653" s="52">
        <v>46063.561111111114</v>
      </c>
      <c r="E653" s="52">
        <v>46063.561111111114</v>
      </c>
      <c r="F653" s="52">
        <v>46063.572916666664</v>
      </c>
      <c r="G653" s="53">
        <v>1.1805555555555555E-2</v>
      </c>
      <c r="H653" s="1" t="s">
        <v>677</v>
      </c>
      <c r="J653" s="1" t="s">
        <v>258</v>
      </c>
      <c r="K653" s="1" t="s">
        <v>658</v>
      </c>
      <c r="L653" s="1" t="s">
        <v>750</v>
      </c>
      <c r="M653" s="1" t="s">
        <v>289</v>
      </c>
      <c r="N653" s="1" t="s">
        <v>253</v>
      </c>
      <c r="O653" s="1" t="s">
        <v>751</v>
      </c>
      <c r="P653" s="1" t="str">
        <f>_xlfn.CONCAT(B653,C653,D653,E653,F653)</f>
        <v>BC ParanoaSG60KTL(COM1-016)_001_00646063,561111111146063,561111111146063,5729166667</v>
      </c>
      <c r="Q653" s="1" t="str">
        <f>_xlfn.CONCAT(H653,I653,J653)</f>
        <v>DPRRDE</v>
      </c>
    </row>
    <row r="654" spans="2:17">
      <c r="B654" s="1" t="s">
        <v>393</v>
      </c>
      <c r="C654" s="1" t="s">
        <v>402</v>
      </c>
      <c r="D654" s="52">
        <v>46063.561111111114</v>
      </c>
      <c r="E654" s="52">
        <v>46063.561111111114</v>
      </c>
      <c r="F654" s="52">
        <v>46063.572916666664</v>
      </c>
      <c r="G654" s="53">
        <v>1.1805555555555555E-2</v>
      </c>
      <c r="H654" s="1" t="s">
        <v>677</v>
      </c>
      <c r="J654" s="1" t="s">
        <v>258</v>
      </c>
      <c r="K654" s="1" t="s">
        <v>658</v>
      </c>
      <c r="L654" s="1" t="s">
        <v>750</v>
      </c>
      <c r="M654" s="1" t="s">
        <v>289</v>
      </c>
      <c r="N654" s="1" t="s">
        <v>253</v>
      </c>
      <c r="O654" s="1" t="s">
        <v>751</v>
      </c>
      <c r="P654" s="1" t="str">
        <f>_xlfn.CONCAT(B654,C654,D654,E654,F654)</f>
        <v>BC ParanoaSG50CX(COM2-015)_001_01746063,561111111146063,561111111146063,5729166667</v>
      </c>
      <c r="Q654" s="1" t="str">
        <f>_xlfn.CONCAT(H654,I654,J654)</f>
        <v>DPRRDE</v>
      </c>
    </row>
    <row r="655" spans="2:17">
      <c r="B655" s="1" t="s">
        <v>393</v>
      </c>
      <c r="C655" s="1" t="s">
        <v>403</v>
      </c>
      <c r="D655" s="52">
        <v>46063.561111111114</v>
      </c>
      <c r="E655" s="52">
        <v>46063.561111111114</v>
      </c>
      <c r="F655" s="52">
        <v>46063.572916666664</v>
      </c>
      <c r="G655" s="53">
        <v>1.1805555555555555E-2</v>
      </c>
      <c r="H655" s="1" t="s">
        <v>677</v>
      </c>
      <c r="J655" s="1" t="s">
        <v>258</v>
      </c>
      <c r="K655" s="1" t="s">
        <v>658</v>
      </c>
      <c r="L655" s="1" t="s">
        <v>750</v>
      </c>
      <c r="M655" s="1" t="s">
        <v>260</v>
      </c>
      <c r="N655" s="1" t="s">
        <v>357</v>
      </c>
      <c r="O655" s="1" t="s">
        <v>632</v>
      </c>
      <c r="P655" s="1" t="str">
        <f>_xlfn.CONCAT(B655,C655,D655,E655,F655)</f>
        <v>BC ParanoaSG60KTL(COM1-009)_001_00246063,561111111146063,561111111146063,5729166667</v>
      </c>
      <c r="Q655" s="1" t="str">
        <f>_xlfn.CONCAT(H655,I655,J655)</f>
        <v>DPRRDE</v>
      </c>
    </row>
    <row r="656" spans="2:17">
      <c r="B656" s="1" t="s">
        <v>393</v>
      </c>
      <c r="C656" s="1" t="s">
        <v>404</v>
      </c>
      <c r="D656" s="52">
        <v>46063.561111111114</v>
      </c>
      <c r="E656" s="52">
        <v>46063.561111111114</v>
      </c>
      <c r="F656" s="52">
        <v>46063.572916666664</v>
      </c>
      <c r="G656" s="53">
        <v>1.1805555555555555E-2</v>
      </c>
      <c r="H656" s="1" t="s">
        <v>677</v>
      </c>
      <c r="J656" s="1" t="s">
        <v>258</v>
      </c>
      <c r="K656" s="1" t="s">
        <v>658</v>
      </c>
      <c r="L656" s="1" t="s">
        <v>750</v>
      </c>
      <c r="M656" s="1" t="s">
        <v>260</v>
      </c>
      <c r="N656" s="1" t="s">
        <v>357</v>
      </c>
      <c r="O656" s="1" t="s">
        <v>632</v>
      </c>
      <c r="P656" s="1" t="str">
        <f>_xlfn.CONCAT(B656,C656,D656,E656,F656)</f>
        <v>BC ParanoaSG60KTL(COM1-008)_001_00946063,561111111146063,561111111146063,5729166667</v>
      </c>
      <c r="Q656" s="1" t="str">
        <f>_xlfn.CONCAT(H656,I656,J656)</f>
        <v>DPRRDE</v>
      </c>
    </row>
    <row r="657" spans="1:17">
      <c r="B657" s="1" t="s">
        <v>393</v>
      </c>
      <c r="C657" s="1" t="s">
        <v>405</v>
      </c>
      <c r="D657" s="52">
        <v>46063.561111111114</v>
      </c>
      <c r="E657" s="52">
        <v>46063.561111111114</v>
      </c>
      <c r="F657" s="52">
        <v>46063.572916666664</v>
      </c>
      <c r="G657" s="53">
        <v>1.1805555555555555E-2</v>
      </c>
      <c r="H657" s="1" t="s">
        <v>677</v>
      </c>
      <c r="J657" s="1" t="s">
        <v>258</v>
      </c>
      <c r="K657" s="1" t="s">
        <v>658</v>
      </c>
      <c r="L657" s="1" t="s">
        <v>750</v>
      </c>
      <c r="M657" s="1" t="s">
        <v>260</v>
      </c>
      <c r="N657" s="1" t="s">
        <v>357</v>
      </c>
      <c r="O657" s="1" t="s">
        <v>632</v>
      </c>
      <c r="P657" s="1" t="str">
        <f>_xlfn.CONCAT(B657,C657,D657,E657,F657)</f>
        <v>BC ParanoaSG60KTL(COM1-007)_001_00446063,561111111146063,561111111146063,5729166667</v>
      </c>
      <c r="Q657" s="1" t="str">
        <f>_xlfn.CONCAT(H657,I657,J657)</f>
        <v>DPRRDE</v>
      </c>
    </row>
    <row r="658" spans="1:17">
      <c r="B658" s="1" t="s">
        <v>393</v>
      </c>
      <c r="C658" s="1" t="s">
        <v>406</v>
      </c>
      <c r="D658" s="52">
        <v>46063.561111111114</v>
      </c>
      <c r="E658" s="52">
        <v>46063.561111111114</v>
      </c>
      <c r="F658" s="52">
        <v>46063.572916666664</v>
      </c>
      <c r="G658" s="53">
        <v>1.1805555555555555E-2</v>
      </c>
      <c r="H658" s="1" t="s">
        <v>677</v>
      </c>
      <c r="J658" s="1" t="s">
        <v>258</v>
      </c>
      <c r="K658" s="1" t="s">
        <v>658</v>
      </c>
      <c r="L658" s="1" t="s">
        <v>750</v>
      </c>
      <c r="M658" s="1" t="s">
        <v>260</v>
      </c>
      <c r="N658" s="1" t="s">
        <v>357</v>
      </c>
      <c r="O658" s="1" t="s">
        <v>632</v>
      </c>
      <c r="P658" s="1" t="str">
        <f>_xlfn.CONCAT(B658,C658,D658,E658,F658)</f>
        <v>BC ParanoaSG60KTL(COM1-006)_001_01446063,561111111146063,561111111146063,5729166667</v>
      </c>
      <c r="Q658" s="1" t="str">
        <f>_xlfn.CONCAT(H658,I658,J658)</f>
        <v>DPRRDE</v>
      </c>
    </row>
    <row r="659" spans="1:17">
      <c r="B659" s="66" t="s">
        <v>393</v>
      </c>
      <c r="C659" s="66" t="s">
        <v>407</v>
      </c>
      <c r="D659" s="73">
        <v>46063.561111111114</v>
      </c>
      <c r="E659" s="73">
        <v>46063.561111111114</v>
      </c>
      <c r="F659" s="73">
        <v>46063.572916666664</v>
      </c>
      <c r="G659" s="74">
        <v>1.1805555555555555E-2</v>
      </c>
      <c r="H659" s="66" t="s">
        <v>677</v>
      </c>
      <c r="I659" s="66"/>
      <c r="J659" s="66" t="s">
        <v>258</v>
      </c>
      <c r="K659" s="66" t="s">
        <v>658</v>
      </c>
      <c r="L659" s="66" t="s">
        <v>750</v>
      </c>
      <c r="M659" s="66" t="s">
        <v>252</v>
      </c>
      <c r="N659" s="66" t="s">
        <v>364</v>
      </c>
      <c r="O659" s="66" t="s">
        <v>752</v>
      </c>
      <c r="P659" s="66" t="str">
        <f>_xlfn.CONCAT(B659,C659,D660,E659,F659)</f>
        <v>BC ParanoaSG40CX(COM2-005)_001_01546063,561111111146063,561111111146063,5729166667</v>
      </c>
      <c r="Q659" s="66" t="str">
        <f>_xlfn.CONCAT(H659,I659,J659)</f>
        <v>DPRRDE</v>
      </c>
    </row>
    <row r="660" spans="1:17">
      <c r="B660" s="1" t="s">
        <v>393</v>
      </c>
      <c r="C660" s="1" t="s">
        <v>408</v>
      </c>
      <c r="D660" s="52">
        <v>46063.561111111114</v>
      </c>
      <c r="E660" s="52">
        <v>46063.561111111114</v>
      </c>
      <c r="F660" s="52">
        <v>46063.572916666664</v>
      </c>
      <c r="G660" s="53">
        <v>1.1805555555555555E-2</v>
      </c>
      <c r="H660" s="1" t="s">
        <v>677</v>
      </c>
      <c r="J660" s="1" t="s">
        <v>258</v>
      </c>
      <c r="K660" s="1" t="s">
        <v>658</v>
      </c>
      <c r="L660" s="1" t="s">
        <v>750</v>
      </c>
      <c r="M660" s="1" t="s">
        <v>260</v>
      </c>
      <c r="N660" s="1" t="s">
        <v>357</v>
      </c>
      <c r="O660" s="1" t="s">
        <v>632</v>
      </c>
      <c r="P660" s="1" t="str">
        <f>_xlfn.CONCAT(B660,C660,D660,E660,F660)</f>
        <v>BC ParanoaSG60KTL(COM1-019)_002_00746063,561111111146063,561111111146063,5729166667</v>
      </c>
      <c r="Q660" s="1" t="str">
        <f>_xlfn.CONCAT(H660,I660,J660)</f>
        <v>DPRRDE</v>
      </c>
    </row>
    <row r="661" spans="1:17">
      <c r="B661" s="1" t="s">
        <v>393</v>
      </c>
      <c r="C661" s="1" t="s">
        <v>409</v>
      </c>
      <c r="D661" s="52">
        <v>46063.561111111114</v>
      </c>
      <c r="E661" s="52">
        <v>46063.561111111114</v>
      </c>
      <c r="F661" s="52">
        <v>46063.572916666664</v>
      </c>
      <c r="G661" s="53">
        <v>1.1805555555555555E-2</v>
      </c>
      <c r="H661" s="1" t="s">
        <v>677</v>
      </c>
      <c r="J661" s="1" t="s">
        <v>258</v>
      </c>
      <c r="K661" s="1" t="s">
        <v>658</v>
      </c>
      <c r="L661" s="1" t="s">
        <v>750</v>
      </c>
      <c r="M661" s="1" t="s">
        <v>260</v>
      </c>
      <c r="N661" s="1" t="s">
        <v>357</v>
      </c>
      <c r="O661" s="1" t="s">
        <v>632</v>
      </c>
      <c r="P661" s="1" t="str">
        <f>_xlfn.CONCAT(B661,C661,D661,E661,F661)</f>
        <v>BC ParanoaSG60KTL(COM1-020)_002_01146063,561111111146063,561111111146063,5729166667</v>
      </c>
      <c r="Q661" s="1" t="str">
        <f>_xlfn.CONCAT(H661,I661,J661)</f>
        <v>DPRRDE</v>
      </c>
    </row>
    <row r="662" spans="1:17" s="75" customFormat="1">
      <c r="A662" s="2"/>
      <c r="B662" s="1" t="s">
        <v>393</v>
      </c>
      <c r="C662" s="1" t="s">
        <v>410</v>
      </c>
      <c r="D662" s="52">
        <v>46063.561111111114</v>
      </c>
      <c r="E662" s="52">
        <v>46063.561111111114</v>
      </c>
      <c r="F662" s="52">
        <v>46063.572916666664</v>
      </c>
      <c r="G662" s="53">
        <v>1.1805555555555555E-2</v>
      </c>
      <c r="H662" s="1" t="s">
        <v>677</v>
      </c>
      <c r="I662" s="1"/>
      <c r="J662" s="1" t="s">
        <v>258</v>
      </c>
      <c r="K662" s="1" t="s">
        <v>658</v>
      </c>
      <c r="L662" s="1" t="s">
        <v>750</v>
      </c>
      <c r="M662" s="1" t="s">
        <v>260</v>
      </c>
      <c r="N662" s="1" t="s">
        <v>357</v>
      </c>
      <c r="O662" s="1" t="s">
        <v>632</v>
      </c>
      <c r="P662" s="1" t="str">
        <f>_xlfn.CONCAT(B662,C662,D662,E662,F662)</f>
        <v>BC ParanoaSG60KTL(COM1-021)_002_01746063,561111111146063,561111111146063,5729166667</v>
      </c>
      <c r="Q662" s="1" t="str">
        <f>_xlfn.CONCAT(H662,I662,J662)</f>
        <v>DPRRDE</v>
      </c>
    </row>
    <row r="663" spans="1:17">
      <c r="B663" s="1" t="s">
        <v>393</v>
      </c>
      <c r="C663" s="1" t="s">
        <v>411</v>
      </c>
      <c r="D663" s="52">
        <v>46063.561111111114</v>
      </c>
      <c r="E663" s="52">
        <v>46063.561111111114</v>
      </c>
      <c r="F663" s="52">
        <v>46063.572916666664</v>
      </c>
      <c r="G663" s="53">
        <v>1.1805555555555555E-2</v>
      </c>
      <c r="H663" s="1" t="s">
        <v>677</v>
      </c>
      <c r="J663" s="1" t="s">
        <v>258</v>
      </c>
      <c r="K663" s="1" t="s">
        <v>658</v>
      </c>
      <c r="L663" s="1" t="s">
        <v>750</v>
      </c>
      <c r="M663" s="1" t="s">
        <v>260</v>
      </c>
      <c r="N663" s="1" t="s">
        <v>357</v>
      </c>
      <c r="O663" s="1" t="s">
        <v>632</v>
      </c>
      <c r="P663" s="1" t="str">
        <f>_xlfn.CONCAT(B663,C663,D663,E663,F663)</f>
        <v>BC ParanoaSG60KTL(COM1-022)_002_02046063,561111111146063,561111111146063,5729166667</v>
      </c>
      <c r="Q663" s="1" t="str">
        <f>_xlfn.CONCAT(H663,I663,J663)</f>
        <v>DPRRDE</v>
      </c>
    </row>
    <row r="664" spans="1:17">
      <c r="B664" s="1" t="s">
        <v>393</v>
      </c>
      <c r="C664" s="1" t="s">
        <v>412</v>
      </c>
      <c r="D664" s="52">
        <v>46063.561111111114</v>
      </c>
      <c r="E664" s="52">
        <v>46063.561111111114</v>
      </c>
      <c r="F664" s="52">
        <v>46063.572916666664</v>
      </c>
      <c r="G664" s="53">
        <v>1.1805555555555555E-2</v>
      </c>
      <c r="H664" s="1" t="s">
        <v>677</v>
      </c>
      <c r="J664" s="1" t="s">
        <v>258</v>
      </c>
      <c r="K664" s="1" t="s">
        <v>658</v>
      </c>
      <c r="L664" s="1" t="s">
        <v>750</v>
      </c>
      <c r="M664" s="1" t="s">
        <v>260</v>
      </c>
      <c r="N664" s="1" t="s">
        <v>357</v>
      </c>
      <c r="O664" s="1" t="s">
        <v>632</v>
      </c>
      <c r="P664" s="1" t="str">
        <f>_xlfn.CONCAT(B664,C664,D664,E664,F664)</f>
        <v>BC ParanoaSG40CX(COM2-023)_002_02446063,561111111146063,561111111146063,5729166667</v>
      </c>
      <c r="Q664" s="1" t="str">
        <f>_xlfn.CONCAT(H664,I664,J664)</f>
        <v>DPRRDE</v>
      </c>
    </row>
    <row r="665" spans="1:17">
      <c r="B665" s="1" t="s">
        <v>393</v>
      </c>
      <c r="C665" s="1" t="s">
        <v>413</v>
      </c>
      <c r="D665" s="52">
        <v>46063.561111111114</v>
      </c>
      <c r="E665" s="52">
        <v>46063.561111111114</v>
      </c>
      <c r="F665" s="52">
        <v>46063.572916666664</v>
      </c>
      <c r="G665" s="53">
        <v>1.1805555555555555E-2</v>
      </c>
      <c r="H665" s="1" t="s">
        <v>677</v>
      </c>
      <c r="J665" s="1" t="s">
        <v>258</v>
      </c>
      <c r="K665" s="1" t="s">
        <v>658</v>
      </c>
      <c r="L665" s="1" t="s">
        <v>750</v>
      </c>
      <c r="M665" s="1" t="s">
        <v>289</v>
      </c>
      <c r="N665" s="1" t="s">
        <v>253</v>
      </c>
      <c r="O665" s="1" t="s">
        <v>753</v>
      </c>
      <c r="P665" s="1" t="str">
        <f>_xlfn.CONCAT(B665,C665,D665,E665,F665)</f>
        <v>BC ParanoaSG40CX(COM2-024)_002_02246063,561111111146063,561111111146063,5729166667</v>
      </c>
      <c r="Q665" s="1" t="str">
        <f>_xlfn.CONCAT(H665,I665,J665)</f>
        <v>DPRRDE</v>
      </c>
    </row>
    <row r="666" spans="1:17">
      <c r="B666" s="1" t="s">
        <v>393</v>
      </c>
      <c r="C666" s="1" t="s">
        <v>414</v>
      </c>
      <c r="D666" s="52">
        <v>46063.561111111114</v>
      </c>
      <c r="E666" s="52">
        <v>46063.561111111114</v>
      </c>
      <c r="F666" s="52">
        <v>46063.572916666664</v>
      </c>
      <c r="G666" s="53">
        <v>1.1805555555555555E-2</v>
      </c>
      <c r="H666" s="1" t="s">
        <v>677</v>
      </c>
      <c r="J666" s="1" t="s">
        <v>258</v>
      </c>
      <c r="K666" s="1" t="s">
        <v>658</v>
      </c>
      <c r="L666" s="1" t="s">
        <v>750</v>
      </c>
      <c r="M666" s="1" t="s">
        <v>289</v>
      </c>
      <c r="N666" s="1" t="s">
        <v>253</v>
      </c>
      <c r="O666" s="1" t="s">
        <v>753</v>
      </c>
      <c r="P666" s="1" t="str">
        <f>_xlfn.CONCAT(B666,C666,D666,E666,F666)</f>
        <v>BC ParanoaSG60KTL(COM1-007)_002_01346063,561111111146063,561111111146063,5729166667</v>
      </c>
      <c r="Q666" s="1" t="str">
        <f>_xlfn.CONCAT(H666,I666,J666)</f>
        <v>DPRRDE</v>
      </c>
    </row>
    <row r="667" spans="1:17">
      <c r="B667" s="1" t="s">
        <v>393</v>
      </c>
      <c r="C667" s="1" t="s">
        <v>415</v>
      </c>
      <c r="D667" s="52">
        <v>46063.561111111114</v>
      </c>
      <c r="E667" s="52">
        <v>46063.561111111114</v>
      </c>
      <c r="F667" s="52">
        <v>46063.572916666664</v>
      </c>
      <c r="G667" s="53">
        <v>1.1805555555555555E-2</v>
      </c>
      <c r="H667" s="1" t="s">
        <v>677</v>
      </c>
      <c r="J667" s="1" t="s">
        <v>258</v>
      </c>
      <c r="K667" s="1" t="s">
        <v>658</v>
      </c>
      <c r="L667" s="1" t="s">
        <v>750</v>
      </c>
      <c r="M667" s="1" t="s">
        <v>289</v>
      </c>
      <c r="N667" s="1" t="s">
        <v>253</v>
      </c>
      <c r="O667" s="1" t="s">
        <v>753</v>
      </c>
      <c r="P667" s="1" t="str">
        <f>_xlfn.CONCAT(B667,C667,D667,E667,F667)</f>
        <v>BC ParanoaSG60KTL(COM1-008)_002_00246063,561111111146063,561111111146063,5729166667</v>
      </c>
      <c r="Q667" s="1" t="str">
        <f>_xlfn.CONCAT(H667,I667,J667)</f>
        <v>DPRRDE</v>
      </c>
    </row>
    <row r="668" spans="1:17">
      <c r="B668" s="1" t="s">
        <v>393</v>
      </c>
      <c r="C668" s="1" t="s">
        <v>416</v>
      </c>
      <c r="D668" s="52">
        <v>46063.561111111114</v>
      </c>
      <c r="E668" s="52">
        <v>46063.561111111114</v>
      </c>
      <c r="F668" s="52">
        <v>46063.572916666664</v>
      </c>
      <c r="G668" s="53">
        <v>1.1805555555555555E-2</v>
      </c>
      <c r="H668" s="1" t="s">
        <v>677</v>
      </c>
      <c r="J668" s="1" t="s">
        <v>258</v>
      </c>
      <c r="K668" s="1" t="s">
        <v>658</v>
      </c>
      <c r="L668" s="1" t="s">
        <v>750</v>
      </c>
      <c r="M668" s="1" t="s">
        <v>289</v>
      </c>
      <c r="N668" s="1" t="s">
        <v>253</v>
      </c>
      <c r="O668" s="1" t="s">
        <v>753</v>
      </c>
      <c r="P668" s="1" t="str">
        <f>_xlfn.CONCAT(B668,C668,D668,E668,F668)</f>
        <v>BC ParanoaSG60KTL(COM1-009)_002_00846063,561111111146063,561111111146063,5729166667</v>
      </c>
      <c r="Q668" s="1" t="str">
        <f>_xlfn.CONCAT(H668,I668,J668)</f>
        <v>DPRRDE</v>
      </c>
    </row>
    <row r="669" spans="1:17">
      <c r="B669" s="1" t="s">
        <v>393</v>
      </c>
      <c r="C669" s="1" t="s">
        <v>417</v>
      </c>
      <c r="D669" s="52">
        <v>46063.561111111114</v>
      </c>
      <c r="E669" s="52">
        <v>46063.561111111114</v>
      </c>
      <c r="F669" s="52">
        <v>46063.572916666664</v>
      </c>
      <c r="G669" s="53">
        <v>1.1805555555555555E-2</v>
      </c>
      <c r="H669" s="1" t="s">
        <v>677</v>
      </c>
      <c r="J669" s="1" t="s">
        <v>258</v>
      </c>
      <c r="K669" s="1" t="s">
        <v>658</v>
      </c>
      <c r="L669" s="1" t="s">
        <v>750</v>
      </c>
      <c r="M669" s="1" t="s">
        <v>260</v>
      </c>
      <c r="N669" s="1" t="s">
        <v>357</v>
      </c>
      <c r="O669" s="1" t="s">
        <v>754</v>
      </c>
      <c r="P669" s="1" t="str">
        <f>_xlfn.CONCAT(B669,C669,D669,E669,F669)</f>
        <v>BC ParanoaSG60KTL(COM1-010)_002_00346063,561111111146063,561111111146063,5729166667</v>
      </c>
      <c r="Q669" s="1" t="str">
        <f>_xlfn.CONCAT(H669,I669,J669)</f>
        <v>DPRRDE</v>
      </c>
    </row>
    <row r="670" spans="1:17">
      <c r="B670" s="1" t="s">
        <v>393</v>
      </c>
      <c r="C670" s="1" t="s">
        <v>418</v>
      </c>
      <c r="D670" s="52">
        <v>46063.561111111114</v>
      </c>
      <c r="E670" s="52">
        <v>46063.561111111114</v>
      </c>
      <c r="F670" s="52">
        <v>46063.572916666664</v>
      </c>
      <c r="G670" s="53">
        <v>1.1805555555555555E-2</v>
      </c>
      <c r="H670" s="1" t="s">
        <v>677</v>
      </c>
      <c r="J670" s="1" t="s">
        <v>258</v>
      </c>
      <c r="K670" s="1" t="s">
        <v>658</v>
      </c>
      <c r="L670" s="1" t="s">
        <v>750</v>
      </c>
      <c r="M670" s="1" t="s">
        <v>260</v>
      </c>
      <c r="N670" s="1" t="s">
        <v>357</v>
      </c>
      <c r="O670" s="1" t="s">
        <v>754</v>
      </c>
      <c r="P670" s="1" t="str">
        <f>_xlfn.CONCAT(B670,C670,D670,E670,F670)</f>
        <v>BC ParanoaSG60KTL(COM1-011)_002_01046063,561111111146063,561111111146063,5729166667</v>
      </c>
      <c r="Q670" s="1" t="str">
        <f>_xlfn.CONCAT(H670,I670,J670)</f>
        <v>DPRRDE</v>
      </c>
    </row>
    <row r="671" spans="1:17">
      <c r="B671" s="1" t="s">
        <v>393</v>
      </c>
      <c r="C671" s="1" t="s">
        <v>419</v>
      </c>
      <c r="D671" s="52">
        <v>46063.561111111114</v>
      </c>
      <c r="E671" s="52">
        <v>46063.561111111114</v>
      </c>
      <c r="F671" s="52">
        <v>46063.572916666664</v>
      </c>
      <c r="G671" s="53">
        <v>1.1805555555555555E-2</v>
      </c>
      <c r="H671" s="1" t="s">
        <v>677</v>
      </c>
      <c r="J671" s="1" t="s">
        <v>258</v>
      </c>
      <c r="K671" s="1" t="s">
        <v>658</v>
      </c>
      <c r="L671" s="1" t="s">
        <v>750</v>
      </c>
      <c r="M671" s="1" t="s">
        <v>260</v>
      </c>
      <c r="N671" s="1" t="s">
        <v>357</v>
      </c>
      <c r="O671" s="1" t="s">
        <v>754</v>
      </c>
      <c r="P671" s="1" t="str">
        <f>_xlfn.CONCAT(B671,C671,D671,E671,F671)</f>
        <v>BC ParanoaSG60KTL(COM1-012)_002_00546063,561111111146063,561111111146063,5729166667</v>
      </c>
      <c r="Q671" s="1" t="str">
        <f>_xlfn.CONCAT(H671,I671,J671)</f>
        <v>DPRRDE</v>
      </c>
    </row>
    <row r="672" spans="1:17">
      <c r="B672" s="1" t="s">
        <v>393</v>
      </c>
      <c r="C672" s="1" t="s">
        <v>420</v>
      </c>
      <c r="D672" s="52">
        <v>46063.561111111114</v>
      </c>
      <c r="E672" s="52">
        <v>46063.561111111114</v>
      </c>
      <c r="F672" s="52">
        <v>46063.572916666664</v>
      </c>
      <c r="G672" s="53">
        <v>1.1805555555555555E-2</v>
      </c>
      <c r="H672" s="1" t="s">
        <v>677</v>
      </c>
      <c r="J672" s="1" t="s">
        <v>258</v>
      </c>
      <c r="K672" s="1" t="s">
        <v>658</v>
      </c>
      <c r="L672" s="1" t="s">
        <v>750</v>
      </c>
      <c r="M672" s="1" t="s">
        <v>260</v>
      </c>
      <c r="N672" s="1" t="s">
        <v>357</v>
      </c>
      <c r="O672" s="1" t="s">
        <v>357</v>
      </c>
      <c r="P672" s="1" t="str">
        <f>_xlfn.CONCAT(B672,C672,D672,E672,F672)</f>
        <v>BC ParanoaSG60KTL(COM1-001)_002_00646063,561111111146063,561111111146063,5729166667</v>
      </c>
      <c r="Q672" s="1" t="str">
        <f>_xlfn.CONCAT(H672,I672,J672)</f>
        <v>DPRRDE</v>
      </c>
    </row>
    <row r="673" spans="2:17">
      <c r="B673" s="1" t="s">
        <v>393</v>
      </c>
      <c r="C673" s="1" t="s">
        <v>421</v>
      </c>
      <c r="D673" s="52">
        <v>46063.561111111114</v>
      </c>
      <c r="E673" s="52">
        <v>46063.561111111114</v>
      </c>
      <c r="F673" s="52">
        <v>46063.572916666664</v>
      </c>
      <c r="G673" s="53">
        <v>1.1805555555555555E-2</v>
      </c>
      <c r="H673" s="1" t="s">
        <v>677</v>
      </c>
      <c r="J673" s="1" t="s">
        <v>258</v>
      </c>
      <c r="K673" s="1" t="s">
        <v>658</v>
      </c>
      <c r="L673" s="1" t="s">
        <v>750</v>
      </c>
      <c r="M673" s="1" t="s">
        <v>260</v>
      </c>
      <c r="N673" s="1" t="s">
        <v>357</v>
      </c>
      <c r="O673" s="1" t="s">
        <v>357</v>
      </c>
      <c r="P673" s="1" t="str">
        <f>_xlfn.CONCAT(B673,C673,D673,E673,F673)</f>
        <v>BC ParanoaSG60KTL(COM1-002)_002_01646063,561111111146063,561111111146063,5729166667</v>
      </c>
      <c r="Q673" s="1" t="str">
        <f>_xlfn.CONCAT(H673,I673,J673)</f>
        <v>DPRRDE</v>
      </c>
    </row>
    <row r="674" spans="2:17">
      <c r="B674" s="1" t="s">
        <v>393</v>
      </c>
      <c r="C674" s="1" t="s">
        <v>422</v>
      </c>
      <c r="D674" s="52">
        <v>46063.561111111114</v>
      </c>
      <c r="E674" s="52">
        <v>46063.561111111114</v>
      </c>
      <c r="F674" s="52">
        <v>46063.572916666664</v>
      </c>
      <c r="G674" s="53">
        <v>1.1805555555555555E-2</v>
      </c>
      <c r="H674" s="1" t="s">
        <v>677</v>
      </c>
      <c r="J674" s="1" t="s">
        <v>258</v>
      </c>
      <c r="K674" s="1" t="s">
        <v>658</v>
      </c>
      <c r="L674" s="1" t="s">
        <v>750</v>
      </c>
      <c r="M674" s="1" t="s">
        <v>260</v>
      </c>
      <c r="N674" s="1" t="s">
        <v>357</v>
      </c>
      <c r="O674" s="1" t="s">
        <v>357</v>
      </c>
      <c r="P674" s="1" t="str">
        <f>_xlfn.CONCAT(B674,C674,D674,E674,F674)</f>
        <v>BC ParanoaSG50CX(COM2-003)_002_02146063,561111111146063,561111111146063,5729166667</v>
      </c>
      <c r="Q674" s="1" t="str">
        <f>_xlfn.CONCAT(H674,I674,J674)</f>
        <v>DPRRDE</v>
      </c>
    </row>
    <row r="675" spans="2:17">
      <c r="B675" s="1" t="s">
        <v>393</v>
      </c>
      <c r="C675" s="1" t="s">
        <v>423</v>
      </c>
      <c r="D675" s="52">
        <v>46063.561111111114</v>
      </c>
      <c r="E675" s="52">
        <v>46063.561111111114</v>
      </c>
      <c r="F675" s="52">
        <v>46063.572916666664</v>
      </c>
      <c r="G675" s="53">
        <v>1.1805555555555555E-2</v>
      </c>
      <c r="H675" s="1" t="s">
        <v>677</v>
      </c>
      <c r="J675" s="1" t="s">
        <v>258</v>
      </c>
      <c r="K675" s="1" t="s">
        <v>658</v>
      </c>
      <c r="L675" s="1" t="s">
        <v>750</v>
      </c>
      <c r="M675" s="1" t="s">
        <v>260</v>
      </c>
      <c r="N675" s="1" t="s">
        <v>357</v>
      </c>
      <c r="O675" s="1" t="s">
        <v>357</v>
      </c>
      <c r="P675" s="1" t="str">
        <f>_xlfn.CONCAT(B675,C675,D675,E675,F675)</f>
        <v>BC ParanoaSG50CX(COM2-004)_002_02346063,561111111146063,561111111146063,5729166667</v>
      </c>
      <c r="Q675" s="1" t="str">
        <f>_xlfn.CONCAT(H675,I675,J675)</f>
        <v>DPRRDE</v>
      </c>
    </row>
    <row r="676" spans="2:17">
      <c r="B676" s="1" t="s">
        <v>393</v>
      </c>
      <c r="C676" s="1" t="s">
        <v>424</v>
      </c>
      <c r="D676" s="52">
        <v>46063.561111111114</v>
      </c>
      <c r="E676" s="52">
        <v>46063.561111111114</v>
      </c>
      <c r="F676" s="52">
        <v>46063.572916666664</v>
      </c>
      <c r="G676" s="53">
        <v>1.1805555555555555E-2</v>
      </c>
      <c r="H676" s="1" t="s">
        <v>677</v>
      </c>
      <c r="J676" s="1" t="s">
        <v>258</v>
      </c>
      <c r="K676" s="1" t="s">
        <v>658</v>
      </c>
      <c r="L676" s="1" t="s">
        <v>750</v>
      </c>
      <c r="M676" s="1" t="s">
        <v>260</v>
      </c>
      <c r="N676" s="1" t="s">
        <v>261</v>
      </c>
      <c r="O676" s="1" t="s">
        <v>357</v>
      </c>
      <c r="P676" s="1" t="str">
        <f>_xlfn.CONCAT(B676,C676,D676,E676,F676)</f>
        <v>BC ParanoaSG60KTL(COM1-005)_002_00946063,561111111146063,561111111146063,5729166667</v>
      </c>
      <c r="Q676" s="1" t="str">
        <f>_xlfn.CONCAT(H676,I676,J676)</f>
        <v>DPRRDE</v>
      </c>
    </row>
    <row r="677" spans="2:17">
      <c r="B677" s="1" t="s">
        <v>393</v>
      </c>
      <c r="C677" s="1" t="s">
        <v>425</v>
      </c>
      <c r="D677" s="52">
        <v>46063.561111111114</v>
      </c>
      <c r="E677" s="52">
        <v>46063.561111111114</v>
      </c>
      <c r="F677" s="52">
        <v>46063.572916666664</v>
      </c>
      <c r="G677" s="53">
        <v>1.1805555555555555E-2</v>
      </c>
      <c r="H677" s="1" t="s">
        <v>677</v>
      </c>
      <c r="J677" s="1" t="s">
        <v>258</v>
      </c>
      <c r="K677" s="1" t="s">
        <v>658</v>
      </c>
      <c r="L677" s="1" t="s">
        <v>750</v>
      </c>
      <c r="M677" s="1" t="s">
        <v>260</v>
      </c>
      <c r="N677" s="1" t="s">
        <v>357</v>
      </c>
      <c r="O677" s="1" t="s">
        <v>632</v>
      </c>
      <c r="P677" s="1" t="str">
        <f>_xlfn.CONCAT(B677,C677,D677,E677,F677)</f>
        <v>BC ParanoaSG60KTL(COM1-006)_002_00146063,561111111146063,561111111146063,5729166667</v>
      </c>
      <c r="Q677" s="1" t="str">
        <f>_xlfn.CONCAT(H677,I677,J677)</f>
        <v>DPRRDE</v>
      </c>
    </row>
    <row r="678" spans="2:17">
      <c r="B678" s="1" t="s">
        <v>393</v>
      </c>
      <c r="C678" s="1" t="s">
        <v>426</v>
      </c>
      <c r="D678" s="52">
        <v>46063.561111111114</v>
      </c>
      <c r="E678" s="52">
        <v>46063.561111111114</v>
      </c>
      <c r="F678" s="52">
        <v>46063.572916666664</v>
      </c>
      <c r="G678" s="53">
        <v>1.1805555555555555E-2</v>
      </c>
      <c r="H678" s="1" t="s">
        <v>677</v>
      </c>
      <c r="J678" s="1" t="s">
        <v>258</v>
      </c>
      <c r="K678" s="1" t="s">
        <v>658</v>
      </c>
      <c r="L678" s="1" t="s">
        <v>750</v>
      </c>
      <c r="M678" s="1" t="s">
        <v>260</v>
      </c>
      <c r="N678" s="1" t="s">
        <v>357</v>
      </c>
      <c r="O678" s="1" t="s">
        <v>632</v>
      </c>
      <c r="P678" s="1" t="str">
        <f>_xlfn.CONCAT(B678,C678,D678,E678,F678)</f>
        <v>BC ParanoaSG60KTL(COM1-013)_002_00446063,561111111146063,561111111146063,5729166667</v>
      </c>
      <c r="Q678" s="1" t="str">
        <f>_xlfn.CONCAT(H678,I678,J678)</f>
        <v>DPRRDE</v>
      </c>
    </row>
    <row r="679" spans="2:17">
      <c r="B679" s="1" t="s">
        <v>393</v>
      </c>
      <c r="C679" s="1" t="s">
        <v>427</v>
      </c>
      <c r="D679" s="52">
        <v>46063.561111111114</v>
      </c>
      <c r="E679" s="52">
        <v>46063.561111111114</v>
      </c>
      <c r="F679" s="52">
        <v>46063.572916666664</v>
      </c>
      <c r="G679" s="53">
        <v>1.1805555555555555E-2</v>
      </c>
      <c r="H679" s="1" t="s">
        <v>677</v>
      </c>
      <c r="J679" s="1" t="s">
        <v>258</v>
      </c>
      <c r="K679" s="1" t="s">
        <v>658</v>
      </c>
      <c r="L679" s="1" t="s">
        <v>750</v>
      </c>
      <c r="M679" s="1" t="s">
        <v>260</v>
      </c>
      <c r="N679" s="1" t="s">
        <v>357</v>
      </c>
      <c r="O679" s="1" t="s">
        <v>632</v>
      </c>
      <c r="P679" s="1" t="str">
        <f>_xlfn.CONCAT(B679,C679,D679,E679,F679)</f>
        <v>BC ParanoaSG60KTL(COM1-014)_002_01946063,561111111146063,561111111146063,5729166667</v>
      </c>
      <c r="Q679" s="1" t="str">
        <f>_xlfn.CONCAT(H679,I679,J679)</f>
        <v>DPRRDE</v>
      </c>
    </row>
    <row r="680" spans="2:17">
      <c r="B680" s="1" t="s">
        <v>393</v>
      </c>
      <c r="C680" s="1" t="s">
        <v>428</v>
      </c>
      <c r="D680" s="52">
        <v>46063.561111111114</v>
      </c>
      <c r="E680" s="52">
        <v>46063.561111111114</v>
      </c>
      <c r="F680" s="52">
        <v>46063.572916666664</v>
      </c>
      <c r="G680" s="53">
        <v>1.1805555555555555E-2</v>
      </c>
      <c r="H680" s="1" t="s">
        <v>677</v>
      </c>
      <c r="J680" s="1" t="s">
        <v>258</v>
      </c>
      <c r="K680" s="1" t="s">
        <v>658</v>
      </c>
      <c r="L680" s="1" t="s">
        <v>750</v>
      </c>
      <c r="M680" s="1" t="s">
        <v>260</v>
      </c>
      <c r="N680" s="1" t="s">
        <v>357</v>
      </c>
      <c r="O680" s="1" t="s">
        <v>632</v>
      </c>
      <c r="P680" s="1" t="str">
        <f>_xlfn.CONCAT(B680,C680,D680,E680,F680)</f>
        <v>BC ParanoaSG60KTL(COM1-015)_002_01846063,561111111146063,561111111146063,5729166667</v>
      </c>
      <c r="Q680" s="1" t="str">
        <f>_xlfn.CONCAT(H680,I680,J680)</f>
        <v>DPRRDE</v>
      </c>
    </row>
    <row r="681" spans="2:17">
      <c r="B681" s="1" t="s">
        <v>393</v>
      </c>
      <c r="C681" s="1" t="s">
        <v>429</v>
      </c>
      <c r="D681" s="52">
        <v>46063.561111111114</v>
      </c>
      <c r="E681" s="52">
        <v>46063.561111111114</v>
      </c>
      <c r="F681" s="52">
        <v>46063.572916666664</v>
      </c>
      <c r="G681" s="53">
        <v>1.1805555555555555E-2</v>
      </c>
      <c r="H681" s="1" t="s">
        <v>677</v>
      </c>
      <c r="J681" s="1" t="s">
        <v>258</v>
      </c>
      <c r="K681" s="1" t="s">
        <v>658</v>
      </c>
      <c r="L681" s="1" t="s">
        <v>750</v>
      </c>
      <c r="M681" s="1" t="s">
        <v>260</v>
      </c>
      <c r="N681" s="1" t="s">
        <v>357</v>
      </c>
      <c r="O681" s="1" t="s">
        <v>632</v>
      </c>
      <c r="P681" s="1" t="str">
        <f>_xlfn.CONCAT(B681,C681,D681,E681,F681)</f>
        <v>BC ParanoaSG60KTL(COM1-016)_002_01446063,561111111146063,561111111146063,5729166667</v>
      </c>
      <c r="Q681" s="1" t="str">
        <f>_xlfn.CONCAT(H681,I681,J681)</f>
        <v>DPRRDE</v>
      </c>
    </row>
    <row r="682" spans="2:17">
      <c r="B682" s="1" t="s">
        <v>393</v>
      </c>
      <c r="C682" s="1" t="s">
        <v>430</v>
      </c>
      <c r="D682" s="52">
        <v>46063.561111111114</v>
      </c>
      <c r="E682" s="52">
        <v>46063.561111111114</v>
      </c>
      <c r="F682" s="52">
        <v>46063.572916666664</v>
      </c>
      <c r="G682" s="53">
        <v>1.1805555555555555E-2</v>
      </c>
      <c r="H682" s="1" t="s">
        <v>677</v>
      </c>
      <c r="J682" s="1" t="s">
        <v>258</v>
      </c>
      <c r="K682" s="1" t="s">
        <v>658</v>
      </c>
      <c r="L682" s="1" t="s">
        <v>750</v>
      </c>
      <c r="M682" s="1" t="s">
        <v>260</v>
      </c>
      <c r="N682" s="1" t="s">
        <v>357</v>
      </c>
      <c r="O682" s="1" t="s">
        <v>632</v>
      </c>
      <c r="P682" s="1" t="str">
        <f>_xlfn.CONCAT(B682,C682,D682,E682,F682)</f>
        <v>BC ParanoaSG60KTL(COM1-017)_002_01546063,561111111146063,561111111146063,5729166667</v>
      </c>
      <c r="Q682" s="1" t="str">
        <f>_xlfn.CONCAT(H682,I682,J682)</f>
        <v>DPRRDE</v>
      </c>
    </row>
    <row r="683" spans="2:17">
      <c r="B683" s="1" t="s">
        <v>393</v>
      </c>
      <c r="C683" s="1" t="s">
        <v>431</v>
      </c>
      <c r="D683" s="52">
        <v>46063.561111111114</v>
      </c>
      <c r="E683" s="52">
        <v>46063.561111111114</v>
      </c>
      <c r="F683" s="52">
        <v>46063.572916666664</v>
      </c>
      <c r="G683" s="53">
        <v>1.1805555555555555E-2</v>
      </c>
      <c r="H683" s="1" t="s">
        <v>677</v>
      </c>
      <c r="J683" s="1" t="s">
        <v>258</v>
      </c>
      <c r="K683" s="1" t="s">
        <v>658</v>
      </c>
      <c r="L683" s="1" t="s">
        <v>750</v>
      </c>
      <c r="M683" s="1" t="s">
        <v>260</v>
      </c>
      <c r="N683" s="1" t="s">
        <v>357</v>
      </c>
      <c r="O683" s="1" t="s">
        <v>632</v>
      </c>
      <c r="P683" s="1" t="str">
        <f>_xlfn.CONCAT(B683,C683,D683,E683,F683)</f>
        <v>BC ParanoaSG60KTL(COM1-018)_002_01246063,561111111146063,561111111146063,5729166667</v>
      </c>
      <c r="Q683" s="1" t="str">
        <f>_xlfn.CONCAT(H683,I683,J683)</f>
        <v>DPRRDE</v>
      </c>
    </row>
    <row r="684" spans="2:17">
      <c r="B684" s="1" t="s">
        <v>393</v>
      </c>
      <c r="C684" s="1" t="s">
        <v>432</v>
      </c>
      <c r="D684" s="52">
        <v>46063.561111111114</v>
      </c>
      <c r="E684" s="52">
        <v>46063.561111111114</v>
      </c>
      <c r="F684" s="52">
        <v>46063.572916666664</v>
      </c>
      <c r="G684" s="53">
        <v>1.1805555555555555E-2</v>
      </c>
      <c r="H684" s="1" t="s">
        <v>677</v>
      </c>
      <c r="J684" s="1" t="s">
        <v>258</v>
      </c>
      <c r="K684" s="1" t="s">
        <v>658</v>
      </c>
      <c r="L684" s="1" t="s">
        <v>750</v>
      </c>
      <c r="M684" s="1" t="s">
        <v>260</v>
      </c>
      <c r="N684" s="1" t="s">
        <v>357</v>
      </c>
      <c r="O684" s="1" t="s">
        <v>632</v>
      </c>
      <c r="P684" s="1" t="str">
        <f>_xlfn.CONCAT(B684,C684,D684,E684,F684)</f>
        <v>BC ParanoaSG50CX(COM2-004)_001_01846063,561111111146063,561111111146063,5729166667</v>
      </c>
      <c r="Q684" s="1" t="str">
        <f>_xlfn.CONCAT(H684,I684,J684)</f>
        <v>DPRRDE</v>
      </c>
    </row>
    <row r="685" spans="2:17">
      <c r="B685" s="1" t="s">
        <v>393</v>
      </c>
      <c r="C685" s="1" t="s">
        <v>433</v>
      </c>
      <c r="D685" s="52">
        <v>46063.561111111114</v>
      </c>
      <c r="E685" s="52">
        <v>46063.561111111114</v>
      </c>
      <c r="F685" s="52">
        <v>46063.572916666664</v>
      </c>
      <c r="G685" s="53">
        <v>1.1805555555555555E-2</v>
      </c>
      <c r="H685" s="1" t="s">
        <v>677</v>
      </c>
      <c r="J685" s="1" t="s">
        <v>258</v>
      </c>
      <c r="K685" s="1" t="s">
        <v>658</v>
      </c>
      <c r="L685" s="1" t="s">
        <v>750</v>
      </c>
      <c r="M685" s="1" t="s">
        <v>260</v>
      </c>
      <c r="N685" s="1" t="s">
        <v>357</v>
      </c>
      <c r="O685" s="1" t="s">
        <v>632</v>
      </c>
      <c r="P685" s="1" t="str">
        <f>_xlfn.CONCAT(B685,C685,D685,E685,F685)</f>
        <v>BC ParanoaSG50CX(COM2-003)_001_01646063,561111111146063,561111111146063,5729166667</v>
      </c>
      <c r="Q685" s="1" t="str">
        <f>_xlfn.CONCAT(H685,I685,J685)</f>
        <v>DPRRDE</v>
      </c>
    </row>
    <row r="686" spans="2:17">
      <c r="B686" s="1" t="s">
        <v>393</v>
      </c>
      <c r="C686" s="1" t="s">
        <v>434</v>
      </c>
      <c r="D686" s="52">
        <v>46063.561111111114</v>
      </c>
      <c r="E686" s="52">
        <v>46063.561111111114</v>
      </c>
      <c r="F686" s="52">
        <v>46063.572916666664</v>
      </c>
      <c r="G686" s="53">
        <v>1.1805555555555555E-2</v>
      </c>
      <c r="H686" s="1" t="s">
        <v>677</v>
      </c>
      <c r="J686" s="1" t="s">
        <v>258</v>
      </c>
      <c r="K686" s="1" t="s">
        <v>658</v>
      </c>
      <c r="L686" s="1" t="s">
        <v>750</v>
      </c>
      <c r="M686" s="1" t="s">
        <v>260</v>
      </c>
      <c r="N686" s="1" t="s">
        <v>357</v>
      </c>
      <c r="O686" s="1" t="s">
        <v>632</v>
      </c>
      <c r="P686" s="1" t="str">
        <f>_xlfn.CONCAT(B686,C686,D686,E686,F686)</f>
        <v>BC ParanoaSG60KTL(COM1-002)_001_00846063,561111111146063,561111111146063,5729166667</v>
      </c>
      <c r="Q686" s="1" t="str">
        <f>_xlfn.CONCAT(H686,I686,J686)</f>
        <v>DPRRDE</v>
      </c>
    </row>
    <row r="687" spans="2:17">
      <c r="B687" s="1" t="s">
        <v>619</v>
      </c>
      <c r="C687" s="1" t="s">
        <v>247</v>
      </c>
      <c r="D687" s="52">
        <v>46063.701388888891</v>
      </c>
      <c r="E687" s="52">
        <v>46063.701388888891</v>
      </c>
      <c r="F687" s="52">
        <v>46063.736111111109</v>
      </c>
      <c r="G687" s="53">
        <v>3.4722222222222224E-2</v>
      </c>
      <c r="H687" s="1" t="s">
        <v>677</v>
      </c>
      <c r="J687" s="1" t="s">
        <v>258</v>
      </c>
      <c r="K687" s="1" t="s">
        <v>658</v>
      </c>
      <c r="L687" s="1" t="s">
        <v>755</v>
      </c>
      <c r="M687" s="1" t="s">
        <v>260</v>
      </c>
      <c r="N687" s="1" t="s">
        <v>357</v>
      </c>
      <c r="O687" s="1" t="s">
        <v>632</v>
      </c>
      <c r="P687" s="1" t="str">
        <f>_xlfn.CONCAT(B687,C687,D687,E687,F687)</f>
        <v>BC Vazante2.2Inverter(MBUS-1)46063,701388888946063,701388888946063,7361111111</v>
      </c>
      <c r="Q687" s="1" t="str">
        <f>_xlfn.CONCAT(H687,I687,J687)</f>
        <v>DPRRDE</v>
      </c>
    </row>
    <row r="688" spans="2:17">
      <c r="B688" s="1" t="s">
        <v>619</v>
      </c>
      <c r="C688" s="1" t="s">
        <v>756</v>
      </c>
      <c r="D688" s="52">
        <v>46063.701388888891</v>
      </c>
      <c r="E688" s="52">
        <v>46063.701388888891</v>
      </c>
      <c r="F688" s="52">
        <v>46063.736111111109</v>
      </c>
      <c r="G688" s="53">
        <v>3.4722222222222224E-2</v>
      </c>
      <c r="H688" s="1" t="s">
        <v>677</v>
      </c>
      <c r="J688" s="1" t="s">
        <v>258</v>
      </c>
      <c r="K688" s="1" t="s">
        <v>658</v>
      </c>
      <c r="L688" s="1" t="s">
        <v>755</v>
      </c>
      <c r="M688" s="1" t="s">
        <v>260</v>
      </c>
      <c r="N688" s="1" t="s">
        <v>357</v>
      </c>
      <c r="O688" s="1" t="s">
        <v>632</v>
      </c>
      <c r="P688" s="1" t="str">
        <f>_xlfn.CONCAT(B688,C688,D688,E688,F688)</f>
        <v>BC Vazante2.2Inverter(MBUS-10)46063,701388888946063,701388888946063,7361111111</v>
      </c>
      <c r="Q688" s="1" t="str">
        <f>_xlfn.CONCAT(H688,I688,J688)</f>
        <v>DPRRDE</v>
      </c>
    </row>
    <row r="689" spans="2:17">
      <c r="B689" s="1" t="s">
        <v>619</v>
      </c>
      <c r="C689" s="1" t="s">
        <v>256</v>
      </c>
      <c r="D689" s="52">
        <v>46063.701388888891</v>
      </c>
      <c r="E689" s="52">
        <v>46063.701388888891</v>
      </c>
      <c r="F689" s="52">
        <v>46063.736111111109</v>
      </c>
      <c r="G689" s="53">
        <v>3.4722222222222224E-2</v>
      </c>
      <c r="H689" s="1" t="s">
        <v>677</v>
      </c>
      <c r="J689" s="1" t="s">
        <v>258</v>
      </c>
      <c r="K689" s="1" t="s">
        <v>658</v>
      </c>
      <c r="L689" s="1" t="s">
        <v>755</v>
      </c>
      <c r="M689" s="1" t="s">
        <v>260</v>
      </c>
      <c r="N689" s="1" t="s">
        <v>357</v>
      </c>
      <c r="O689" s="1" t="s">
        <v>632</v>
      </c>
      <c r="P689" s="1" t="str">
        <f>_xlfn.CONCAT(B689,C689,D689,E689,F689)</f>
        <v>BC Vazante2.2Inverter(MBUS-12)46063,701388888946063,701388888946063,7361111111</v>
      </c>
      <c r="Q689" s="1" t="str">
        <f>_xlfn.CONCAT(H689,I689,J689)</f>
        <v>DPRRDE</v>
      </c>
    </row>
    <row r="690" spans="2:17">
      <c r="B690" s="1" t="s">
        <v>619</v>
      </c>
      <c r="C690" s="1" t="s">
        <v>757</v>
      </c>
      <c r="D690" s="52">
        <v>46063.701388888891</v>
      </c>
      <c r="E690" s="52">
        <v>46063.701388888891</v>
      </c>
      <c r="F690" s="52">
        <v>46063.736111111109</v>
      </c>
      <c r="G690" s="53">
        <v>3.4722222222222224E-2</v>
      </c>
      <c r="H690" s="1" t="s">
        <v>677</v>
      </c>
      <c r="J690" s="1" t="s">
        <v>258</v>
      </c>
      <c r="K690" s="1" t="s">
        <v>658</v>
      </c>
      <c r="L690" s="1" t="s">
        <v>755</v>
      </c>
      <c r="M690" s="1" t="s">
        <v>260</v>
      </c>
      <c r="N690" s="1" t="s">
        <v>357</v>
      </c>
      <c r="O690" s="1" t="s">
        <v>632</v>
      </c>
      <c r="P690" s="1" t="str">
        <f>_xlfn.CONCAT(B690,C690,D690,E690,F690)</f>
        <v>BC Vazante2.2Inverter(MBUS-6)46063,701388888946063,701388888946063,7361111111</v>
      </c>
      <c r="Q690" s="1" t="str">
        <f>_xlfn.CONCAT(H690,I690,J690)</f>
        <v>DPRRDE</v>
      </c>
    </row>
    <row r="691" spans="2:17">
      <c r="B691" s="1" t="s">
        <v>619</v>
      </c>
      <c r="C691" s="1" t="s">
        <v>758</v>
      </c>
      <c r="D691" s="52">
        <v>46063.701388888891</v>
      </c>
      <c r="E691" s="52">
        <v>46063.701388888891</v>
      </c>
      <c r="F691" s="52">
        <v>46063.736111111109</v>
      </c>
      <c r="G691" s="53">
        <v>3.4722222222222224E-2</v>
      </c>
      <c r="H691" s="1" t="s">
        <v>677</v>
      </c>
      <c r="J691" s="1" t="s">
        <v>258</v>
      </c>
      <c r="K691" s="1" t="s">
        <v>658</v>
      </c>
      <c r="L691" s="1" t="s">
        <v>755</v>
      </c>
      <c r="M691" s="1" t="s">
        <v>260</v>
      </c>
      <c r="N691" s="1" t="s">
        <v>357</v>
      </c>
      <c r="O691" s="1" t="s">
        <v>632</v>
      </c>
      <c r="P691" s="1" t="str">
        <f>_xlfn.CONCAT(B691,C691,D691,E691,F691)</f>
        <v>BC Vazante2.2Inverter(MBUS-7)46063,701388888946063,701388888946063,7361111111</v>
      </c>
      <c r="Q691" s="1" t="str">
        <f>_xlfn.CONCAT(H691,I691,J691)</f>
        <v>DPRRDE</v>
      </c>
    </row>
    <row r="692" spans="2:17">
      <c r="B692" s="1" t="s">
        <v>612</v>
      </c>
      <c r="C692" s="1" t="s">
        <v>622</v>
      </c>
      <c r="D692" s="52">
        <v>46064.395833333336</v>
      </c>
      <c r="E692" s="52">
        <v>46064.395833333336</v>
      </c>
      <c r="F692" s="52">
        <v>46064.44027777778</v>
      </c>
      <c r="G692" s="53">
        <v>4.4444444444444446E-2</v>
      </c>
      <c r="H692" s="1" t="s">
        <v>677</v>
      </c>
      <c r="J692" s="1" t="s">
        <v>230</v>
      </c>
      <c r="K692" s="1" t="s">
        <v>230</v>
      </c>
      <c r="L692" s="1" t="s">
        <v>759</v>
      </c>
      <c r="M692" s="1" t="s">
        <v>260</v>
      </c>
      <c r="N692" s="1" t="s">
        <v>357</v>
      </c>
      <c r="O692" s="1" t="s">
        <v>632</v>
      </c>
      <c r="P692" s="1" t="str">
        <f>_xlfn.CONCAT(B692,C692,D692,E692,F692)</f>
        <v>BC Vazante 1.1Inverter1246064,395833333346064,395833333346064,4402777778</v>
      </c>
      <c r="Q692" s="1" t="str">
        <f>_xlfn.CONCAT(H692,I692,J692)</f>
        <v>DPRUFV</v>
      </c>
    </row>
    <row r="693" spans="2:17">
      <c r="B693" s="1" t="s">
        <v>349</v>
      </c>
      <c r="C693" s="1" t="s">
        <v>760</v>
      </c>
      <c r="D693" s="52">
        <v>46064.395833333336</v>
      </c>
      <c r="E693" s="52">
        <v>46064.395833333336</v>
      </c>
      <c r="F693" s="52">
        <v>46064.44027777778</v>
      </c>
      <c r="G693" s="53">
        <v>4.4444444444444446E-2</v>
      </c>
      <c r="H693" s="1" t="s">
        <v>268</v>
      </c>
      <c r="I693" s="1" t="s">
        <v>269</v>
      </c>
      <c r="J693" s="1" t="s">
        <v>319</v>
      </c>
      <c r="K693" s="1" t="s">
        <v>652</v>
      </c>
      <c r="L693" s="1" t="s">
        <v>761</v>
      </c>
      <c r="M693" s="1" t="s">
        <v>260</v>
      </c>
      <c r="N693" s="1" t="s">
        <v>357</v>
      </c>
      <c r="O693" s="1" t="s">
        <v>632</v>
      </c>
      <c r="P693" s="1" t="str">
        <f>_xlfn.CONCAT(B693,C693,D693,E693,F693)</f>
        <v>BC Vazante1.2Inverter 146064,395833333346064,395833333346064,4402777778</v>
      </c>
      <c r="Q693" s="1" t="str">
        <f>_xlfn.CONCAT(H693,I693,J693)</f>
        <v>LIGRFOCOM</v>
      </c>
    </row>
    <row r="694" spans="2:17">
      <c r="B694" s="1" t="s">
        <v>349</v>
      </c>
      <c r="C694" s="1" t="s">
        <v>762</v>
      </c>
      <c r="D694" s="52">
        <v>46064.395833333336</v>
      </c>
      <c r="E694" s="52">
        <v>46064.395833333336</v>
      </c>
      <c r="F694" s="52">
        <v>46064.44027777778</v>
      </c>
      <c r="G694" s="53">
        <v>4.4444444444444446E-2</v>
      </c>
      <c r="H694" s="1" t="s">
        <v>268</v>
      </c>
      <c r="I694" s="1" t="s">
        <v>269</v>
      </c>
      <c r="J694" s="1" t="s">
        <v>319</v>
      </c>
      <c r="K694" s="1" t="s">
        <v>652</v>
      </c>
      <c r="L694" s="1" t="s">
        <v>761</v>
      </c>
      <c r="M694" s="1" t="s">
        <v>260</v>
      </c>
      <c r="N694" s="1" t="s">
        <v>357</v>
      </c>
      <c r="O694" s="1" t="s">
        <v>632</v>
      </c>
      <c r="P694" s="1" t="str">
        <f>_xlfn.CONCAT(B694,C694,D694,E694,F694)</f>
        <v>BC Vazante1.2Inverter 246064,395833333346064,395833333346064,4402777778</v>
      </c>
      <c r="Q694" s="1" t="str">
        <f>_xlfn.CONCAT(H694,I694,J694)</f>
        <v>LIGRFOCOM</v>
      </c>
    </row>
    <row r="695" spans="2:17">
      <c r="B695" s="1" t="s">
        <v>349</v>
      </c>
      <c r="C695" s="1" t="s">
        <v>763</v>
      </c>
      <c r="D695" s="52">
        <v>46064.395833333336</v>
      </c>
      <c r="E695" s="52">
        <v>46064.395833333336</v>
      </c>
      <c r="F695" s="52">
        <v>46064.44027777778</v>
      </c>
      <c r="G695" s="53">
        <v>4.4444444444444446E-2</v>
      </c>
      <c r="H695" s="1" t="s">
        <v>268</v>
      </c>
      <c r="I695" s="1" t="s">
        <v>269</v>
      </c>
      <c r="J695" s="1" t="s">
        <v>319</v>
      </c>
      <c r="K695" s="1" t="s">
        <v>652</v>
      </c>
      <c r="L695" s="1" t="s">
        <v>761</v>
      </c>
      <c r="M695" s="1" t="s">
        <v>260</v>
      </c>
      <c r="N695" s="1" t="s">
        <v>357</v>
      </c>
      <c r="O695" s="1" t="s">
        <v>632</v>
      </c>
      <c r="P695" s="1" t="str">
        <f>_xlfn.CONCAT(B695,C695,D695,E695,F695)</f>
        <v>BC Vazante1.2Inverter 346064,395833333346064,395833333346064,4402777778</v>
      </c>
      <c r="Q695" s="1" t="str">
        <f>_xlfn.CONCAT(H695,I695,J695)</f>
        <v>LIGRFOCOM</v>
      </c>
    </row>
    <row r="696" spans="2:17">
      <c r="B696" s="1" t="s">
        <v>349</v>
      </c>
      <c r="C696" s="1" t="s">
        <v>764</v>
      </c>
      <c r="D696" s="52">
        <v>46064.395833333336</v>
      </c>
      <c r="E696" s="52">
        <v>46064.395833333336</v>
      </c>
      <c r="F696" s="52">
        <v>46064.44027777778</v>
      </c>
      <c r="G696" s="53">
        <v>4.4444444444444446E-2</v>
      </c>
      <c r="H696" s="1" t="s">
        <v>268</v>
      </c>
      <c r="I696" s="1" t="s">
        <v>269</v>
      </c>
      <c r="J696" s="1" t="s">
        <v>319</v>
      </c>
      <c r="K696" s="1" t="s">
        <v>652</v>
      </c>
      <c r="L696" s="1" t="s">
        <v>761</v>
      </c>
      <c r="M696" s="1" t="s">
        <v>260</v>
      </c>
      <c r="N696" s="1" t="s">
        <v>357</v>
      </c>
      <c r="O696" s="1" t="s">
        <v>632</v>
      </c>
      <c r="P696" s="1" t="str">
        <f>_xlfn.CONCAT(B696,C696,D696,E696,F696)</f>
        <v>BC Vazante1.2Inverter 446064,395833333346064,395833333346064,4402777778</v>
      </c>
      <c r="Q696" s="1" t="str">
        <f>_xlfn.CONCAT(H696,I696,J696)</f>
        <v>LIGRFOCOM</v>
      </c>
    </row>
    <row r="697" spans="2:17">
      <c r="B697" s="1" t="s">
        <v>349</v>
      </c>
      <c r="C697" s="1" t="s">
        <v>765</v>
      </c>
      <c r="D697" s="52">
        <v>46064.395833333336</v>
      </c>
      <c r="E697" s="52">
        <v>46064.395833333336</v>
      </c>
      <c r="F697" s="52">
        <v>46064.44027777778</v>
      </c>
      <c r="G697" s="53">
        <v>4.4444444444444446E-2</v>
      </c>
      <c r="H697" s="1" t="s">
        <v>268</v>
      </c>
      <c r="I697" s="1" t="s">
        <v>269</v>
      </c>
      <c r="J697" s="1" t="s">
        <v>319</v>
      </c>
      <c r="K697" s="1" t="s">
        <v>652</v>
      </c>
      <c r="L697" s="1" t="s">
        <v>761</v>
      </c>
      <c r="M697" s="1" t="s">
        <v>260</v>
      </c>
      <c r="N697" s="1" t="s">
        <v>357</v>
      </c>
      <c r="O697" s="1" t="s">
        <v>632</v>
      </c>
      <c r="P697" s="1" t="str">
        <f>_xlfn.CONCAT(B697,C697,D697,E697,F697)</f>
        <v>BC Vazante1.2Inverter 546064,395833333346064,395833333346064,4402777778</v>
      </c>
      <c r="Q697" s="1" t="str">
        <f>_xlfn.CONCAT(H697,I697,J697)</f>
        <v>LIGRFOCOM</v>
      </c>
    </row>
    <row r="698" spans="2:17">
      <c r="B698" s="1" t="s">
        <v>349</v>
      </c>
      <c r="C698" s="1" t="s">
        <v>766</v>
      </c>
      <c r="D698" s="52">
        <v>46064.395833333336</v>
      </c>
      <c r="E698" s="52">
        <v>46064.395833333336</v>
      </c>
      <c r="F698" s="52">
        <v>46064.44027777778</v>
      </c>
      <c r="G698" s="53">
        <v>4.4444444444444446E-2</v>
      </c>
      <c r="H698" s="1" t="s">
        <v>268</v>
      </c>
      <c r="I698" s="1" t="s">
        <v>269</v>
      </c>
      <c r="J698" s="1" t="s">
        <v>319</v>
      </c>
      <c r="K698" s="1" t="s">
        <v>652</v>
      </c>
      <c r="L698" s="1" t="s">
        <v>761</v>
      </c>
      <c r="M698" s="1" t="s">
        <v>260</v>
      </c>
      <c r="N698" s="1" t="s">
        <v>357</v>
      </c>
      <c r="O698" s="1" t="s">
        <v>632</v>
      </c>
      <c r="P698" s="1" t="str">
        <f>_xlfn.CONCAT(B698,C698,D698,E698,F698)</f>
        <v>BC Vazante1.2Inverter 646064,395833333346064,395833333346064,4402777778</v>
      </c>
      <c r="Q698" s="1" t="str">
        <f>_xlfn.CONCAT(H698,I698,J698)</f>
        <v>LIGRFOCOM</v>
      </c>
    </row>
    <row r="699" spans="2:17">
      <c r="B699" s="1" t="s">
        <v>349</v>
      </c>
      <c r="C699" s="1" t="s">
        <v>767</v>
      </c>
      <c r="D699" s="52">
        <v>46064.395833333336</v>
      </c>
      <c r="E699" s="52">
        <v>46064.395833333336</v>
      </c>
      <c r="F699" s="52">
        <v>46064.44027777778</v>
      </c>
      <c r="G699" s="53">
        <v>4.4444444444444446E-2</v>
      </c>
      <c r="H699" s="1" t="s">
        <v>268</v>
      </c>
      <c r="I699" s="1" t="s">
        <v>269</v>
      </c>
      <c r="J699" s="1" t="s">
        <v>319</v>
      </c>
      <c r="K699" s="1" t="s">
        <v>652</v>
      </c>
      <c r="L699" s="1" t="s">
        <v>761</v>
      </c>
      <c r="M699" s="1" t="s">
        <v>260</v>
      </c>
      <c r="N699" s="1" t="s">
        <v>357</v>
      </c>
      <c r="O699" s="1" t="s">
        <v>632</v>
      </c>
      <c r="P699" s="1" t="str">
        <f>_xlfn.CONCAT(B699,C699,D699,E699,F699)</f>
        <v>BC Vazante1.2Inverter 746064,395833333346064,395833333346064,4402777778</v>
      </c>
      <c r="Q699" s="1" t="str">
        <f>_xlfn.CONCAT(H699,I699,J699)</f>
        <v>LIGRFOCOM</v>
      </c>
    </row>
    <row r="700" spans="2:17">
      <c r="B700" s="1" t="s">
        <v>349</v>
      </c>
      <c r="C700" s="1" t="s">
        <v>768</v>
      </c>
      <c r="D700" s="52">
        <v>46064.395833333336</v>
      </c>
      <c r="E700" s="52">
        <v>46064.395833333336</v>
      </c>
      <c r="F700" s="52">
        <v>46064.44027777778</v>
      </c>
      <c r="G700" s="53">
        <v>4.4444444444444446E-2</v>
      </c>
      <c r="H700" s="1" t="s">
        <v>268</v>
      </c>
      <c r="I700" s="1" t="s">
        <v>269</v>
      </c>
      <c r="J700" s="1" t="s">
        <v>319</v>
      </c>
      <c r="K700" s="1" t="s">
        <v>652</v>
      </c>
      <c r="L700" s="1" t="s">
        <v>761</v>
      </c>
      <c r="M700" s="1" t="s">
        <v>260</v>
      </c>
      <c r="N700" s="1" t="s">
        <v>357</v>
      </c>
      <c r="O700" s="1" t="s">
        <v>632</v>
      </c>
      <c r="P700" s="1" t="str">
        <f>_xlfn.CONCAT(B700,C700,D700,E700,F700)</f>
        <v>BC Vazante1.2Inverter 846064,395833333346064,395833333346064,4402777778</v>
      </c>
      <c r="Q700" s="1" t="str">
        <f>_xlfn.CONCAT(H700,I700,J700)</f>
        <v>LIGRFOCOM</v>
      </c>
    </row>
    <row r="701" spans="2:17">
      <c r="B701" s="1" t="s">
        <v>349</v>
      </c>
      <c r="C701" s="1" t="s">
        <v>769</v>
      </c>
      <c r="D701" s="52">
        <v>46064.395833333336</v>
      </c>
      <c r="E701" s="52">
        <v>46064.395833333336</v>
      </c>
      <c r="F701" s="52">
        <v>46064.44027777778</v>
      </c>
      <c r="G701" s="53">
        <v>4.4444444444444446E-2</v>
      </c>
      <c r="H701" s="1" t="s">
        <v>268</v>
      </c>
      <c r="I701" s="1" t="s">
        <v>269</v>
      </c>
      <c r="J701" s="1" t="s">
        <v>319</v>
      </c>
      <c r="K701" s="1" t="s">
        <v>652</v>
      </c>
      <c r="L701" s="1" t="s">
        <v>761</v>
      </c>
      <c r="M701" s="1" t="s">
        <v>260</v>
      </c>
      <c r="N701" s="1" t="s">
        <v>357</v>
      </c>
      <c r="O701" s="1" t="s">
        <v>632</v>
      </c>
      <c r="P701" s="1" t="str">
        <f>_xlfn.CONCAT(B701,C701,D701,E701,F701)</f>
        <v>BC Vazante1.2Inverter 946064,395833333346064,395833333346064,4402777778</v>
      </c>
      <c r="Q701" s="1" t="str">
        <f>_xlfn.CONCAT(H701,I701,J701)</f>
        <v>LIGRFOCOM</v>
      </c>
    </row>
    <row r="702" spans="2:17">
      <c r="B702" s="1" t="s">
        <v>349</v>
      </c>
      <c r="C702" s="1" t="s">
        <v>770</v>
      </c>
      <c r="D702" s="52">
        <v>46064.395833333336</v>
      </c>
      <c r="E702" s="52">
        <v>46064.395833333336</v>
      </c>
      <c r="F702" s="52">
        <v>46064.44027777778</v>
      </c>
      <c r="G702" s="53">
        <v>4.4444444444444446E-2</v>
      </c>
      <c r="H702" s="1" t="s">
        <v>268</v>
      </c>
      <c r="I702" s="1" t="s">
        <v>269</v>
      </c>
      <c r="J702" s="1" t="s">
        <v>319</v>
      </c>
      <c r="K702" s="1" t="s">
        <v>652</v>
      </c>
      <c r="L702" s="1" t="s">
        <v>761</v>
      </c>
      <c r="M702" s="1" t="s">
        <v>260</v>
      </c>
      <c r="N702" s="1" t="s">
        <v>357</v>
      </c>
      <c r="O702" s="1" t="s">
        <v>632</v>
      </c>
      <c r="P702" s="1" t="str">
        <f>_xlfn.CONCAT(B702,C702,D702,E702,F702)</f>
        <v>BC Vazante1.2Inverter 1046064,395833333346064,395833333346064,4402777778</v>
      </c>
      <c r="Q702" s="1" t="str">
        <f>_xlfn.CONCAT(H702,I702,J702)</f>
        <v>LIGRFOCOM</v>
      </c>
    </row>
    <row r="703" spans="2:17">
      <c r="B703" s="1" t="s">
        <v>349</v>
      </c>
      <c r="C703" s="1" t="s">
        <v>771</v>
      </c>
      <c r="D703" s="52">
        <v>46064.395833333336</v>
      </c>
      <c r="E703" s="52">
        <v>46064.395833333336</v>
      </c>
      <c r="F703" s="52">
        <v>46064.44027777778</v>
      </c>
      <c r="G703" s="53">
        <v>4.4444444444444446E-2</v>
      </c>
      <c r="H703" s="1" t="s">
        <v>268</v>
      </c>
      <c r="I703" s="1" t="s">
        <v>269</v>
      </c>
      <c r="J703" s="1" t="s">
        <v>319</v>
      </c>
      <c r="K703" s="1" t="s">
        <v>652</v>
      </c>
      <c r="L703" s="1" t="s">
        <v>761</v>
      </c>
      <c r="M703" s="1" t="s">
        <v>260</v>
      </c>
      <c r="N703" s="1" t="s">
        <v>357</v>
      </c>
      <c r="O703" s="1" t="s">
        <v>632</v>
      </c>
      <c r="P703" s="1" t="str">
        <f>_xlfn.CONCAT(B703,C703,D703,E703,F703)</f>
        <v>BC Vazante1.2Inverter 1146064,395833333346064,395833333346064,4402777778</v>
      </c>
      <c r="Q703" s="1" t="str">
        <f>_xlfn.CONCAT(H703,I703,J703)</f>
        <v>LIGRFOCOM</v>
      </c>
    </row>
    <row r="704" spans="2:17">
      <c r="B704" s="1" t="s">
        <v>349</v>
      </c>
      <c r="C704" s="1" t="s">
        <v>772</v>
      </c>
      <c r="D704" s="52">
        <v>46064.395833333336</v>
      </c>
      <c r="E704" s="52">
        <v>46064.395833333336</v>
      </c>
      <c r="F704" s="52">
        <v>46064.44027777778</v>
      </c>
      <c r="G704" s="53">
        <v>4.4444444444444446E-2</v>
      </c>
      <c r="H704" s="1" t="s">
        <v>268</v>
      </c>
      <c r="I704" s="1" t="s">
        <v>269</v>
      </c>
      <c r="J704" s="1" t="s">
        <v>319</v>
      </c>
      <c r="K704" s="1" t="s">
        <v>652</v>
      </c>
      <c r="L704" s="1" t="s">
        <v>761</v>
      </c>
      <c r="M704" s="1" t="s">
        <v>260</v>
      </c>
      <c r="N704" s="1" t="s">
        <v>357</v>
      </c>
      <c r="O704" s="1" t="s">
        <v>632</v>
      </c>
      <c r="P704" s="1" t="str">
        <f>_xlfn.CONCAT(B704,C704,D704,E704,F704)</f>
        <v>BC Vazante1.2Inverter 1246064,395833333346064,395833333346064,4402777778</v>
      </c>
      <c r="Q704" s="1" t="str">
        <f>_xlfn.CONCAT(H704,I704,J704)</f>
        <v>LIGRFOCOM</v>
      </c>
    </row>
    <row r="705" spans="2:17">
      <c r="B705" s="1" t="s">
        <v>349</v>
      </c>
      <c r="C705" s="1" t="s">
        <v>773</v>
      </c>
      <c r="D705" s="52">
        <v>46064.395833333336</v>
      </c>
      <c r="E705" s="52">
        <v>46064.395833333336</v>
      </c>
      <c r="F705" s="52">
        <v>46064.44027777778</v>
      </c>
      <c r="G705" s="53">
        <v>4.4444444444444446E-2</v>
      </c>
      <c r="H705" s="1" t="s">
        <v>268</v>
      </c>
      <c r="I705" s="1" t="s">
        <v>269</v>
      </c>
      <c r="J705" s="1" t="s">
        <v>319</v>
      </c>
      <c r="K705" s="1" t="s">
        <v>652</v>
      </c>
      <c r="L705" s="1" t="s">
        <v>761</v>
      </c>
      <c r="M705" s="1" t="s">
        <v>260</v>
      </c>
      <c r="N705" s="1" t="s">
        <v>357</v>
      </c>
      <c r="O705" s="1" t="s">
        <v>632</v>
      </c>
      <c r="P705" s="1" t="str">
        <f>_xlfn.CONCAT(B705,C705,D705,E705,F705)</f>
        <v>BC Vazante1.2Inverter 1346064,395833333346064,395833333346064,4402777778</v>
      </c>
      <c r="Q705" s="1" t="str">
        <f>_xlfn.CONCAT(H705,I705,J705)</f>
        <v>LIGRFOCOM</v>
      </c>
    </row>
    <row r="706" spans="2:17">
      <c r="B706" s="1" t="s">
        <v>349</v>
      </c>
      <c r="C706" s="1" t="s">
        <v>774</v>
      </c>
      <c r="D706" s="52">
        <v>46064.395833333336</v>
      </c>
      <c r="E706" s="52">
        <v>46064.395833333336</v>
      </c>
      <c r="F706" s="52">
        <v>46064.44027777778</v>
      </c>
      <c r="G706" s="53">
        <v>4.4444444444444446E-2</v>
      </c>
      <c r="H706" s="1" t="s">
        <v>268</v>
      </c>
      <c r="I706" s="1" t="s">
        <v>269</v>
      </c>
      <c r="J706" s="1" t="s">
        <v>319</v>
      </c>
      <c r="K706" s="1" t="s">
        <v>652</v>
      </c>
      <c r="L706" s="1" t="s">
        <v>761</v>
      </c>
      <c r="M706" s="1" t="s">
        <v>260</v>
      </c>
      <c r="N706" s="1" t="s">
        <v>357</v>
      </c>
      <c r="O706" s="1" t="s">
        <v>632</v>
      </c>
      <c r="P706" s="1" t="str">
        <f>_xlfn.CONCAT(B706,C706,D706,E706,F706)</f>
        <v>BC Vazante1.2Inverter 1446064,395833333346064,395833333346064,4402777778</v>
      </c>
      <c r="Q706" s="1" t="str">
        <f>_xlfn.CONCAT(H706,I706,J706)</f>
        <v>LIGRFOCOM</v>
      </c>
    </row>
    <row r="707" spans="2:17">
      <c r="B707" s="1" t="s">
        <v>349</v>
      </c>
      <c r="C707" s="1" t="s">
        <v>775</v>
      </c>
      <c r="D707" s="52">
        <v>46064.395833333336</v>
      </c>
      <c r="E707" s="52">
        <v>46064.395833333336</v>
      </c>
      <c r="F707" s="52">
        <v>46064.44027777778</v>
      </c>
      <c r="G707" s="53">
        <v>4.4444444444444446E-2</v>
      </c>
      <c r="H707" s="1" t="s">
        <v>268</v>
      </c>
      <c r="I707" s="1" t="s">
        <v>269</v>
      </c>
      <c r="J707" s="1" t="s">
        <v>319</v>
      </c>
      <c r="K707" s="1" t="s">
        <v>652</v>
      </c>
      <c r="L707" s="1" t="s">
        <v>761</v>
      </c>
      <c r="M707" s="1" t="s">
        <v>260</v>
      </c>
      <c r="N707" s="1" t="s">
        <v>357</v>
      </c>
      <c r="O707" s="1" t="s">
        <v>632</v>
      </c>
      <c r="P707" s="1" t="str">
        <f>_xlfn.CONCAT(B707,C707,D707,E707,F707)</f>
        <v>BC Vazante1.2Inverter 1546064,395833333346064,395833333346064,4402777778</v>
      </c>
      <c r="Q707" s="1" t="str">
        <f>_xlfn.CONCAT(H707,I707,J707)</f>
        <v>LIGRFOCOM</v>
      </c>
    </row>
    <row r="708" spans="2:17">
      <c r="B708" s="1" t="s">
        <v>349</v>
      </c>
      <c r="C708" s="1" t="s">
        <v>350</v>
      </c>
      <c r="D708" s="52">
        <v>46064.395833333336</v>
      </c>
      <c r="E708" s="52">
        <v>46064.395833333336</v>
      </c>
      <c r="F708" s="52">
        <v>46064.44027777778</v>
      </c>
      <c r="G708" s="53">
        <v>4.4444444444444446E-2</v>
      </c>
      <c r="H708" s="1" t="s">
        <v>268</v>
      </c>
      <c r="I708" s="1" t="s">
        <v>269</v>
      </c>
      <c r="J708" s="1" t="s">
        <v>319</v>
      </c>
      <c r="K708" s="1" t="s">
        <v>652</v>
      </c>
      <c r="L708" s="1" t="s">
        <v>761</v>
      </c>
      <c r="M708" s="1" t="s">
        <v>260</v>
      </c>
      <c r="N708" s="1" t="s">
        <v>357</v>
      </c>
      <c r="O708" s="1" t="s">
        <v>632</v>
      </c>
      <c r="P708" s="1" t="str">
        <f>_xlfn.CONCAT(B708,C708,D708,E708,F708)</f>
        <v>BC Vazante1.2Inverter 1646064,395833333346064,395833333346064,4402777778</v>
      </c>
      <c r="Q708" s="1" t="str">
        <f>_xlfn.CONCAT(H708,I708,J708)</f>
        <v>LIGRFOCOM</v>
      </c>
    </row>
    <row r="709" spans="2:17">
      <c r="B709" s="1" t="s">
        <v>349</v>
      </c>
      <c r="C709" s="1" t="s">
        <v>776</v>
      </c>
      <c r="D709" s="52">
        <v>46064.395833333336</v>
      </c>
      <c r="E709" s="52">
        <v>46064.395833333336</v>
      </c>
      <c r="F709" s="52">
        <v>46064.44027777778</v>
      </c>
      <c r="G709" s="53">
        <v>4.4444444444444446E-2</v>
      </c>
      <c r="H709" s="1" t="s">
        <v>268</v>
      </c>
      <c r="I709" s="1" t="s">
        <v>269</v>
      </c>
      <c r="J709" s="1" t="s">
        <v>319</v>
      </c>
      <c r="K709" s="1" t="s">
        <v>652</v>
      </c>
      <c r="L709" s="1" t="s">
        <v>761</v>
      </c>
      <c r="M709" s="1" t="s">
        <v>260</v>
      </c>
      <c r="N709" s="1" t="s">
        <v>357</v>
      </c>
      <c r="O709" s="1" t="s">
        <v>632</v>
      </c>
      <c r="P709" s="1" t="str">
        <f>_xlfn.CONCAT(B709,C709,D709,E709,F709)</f>
        <v>BC Vazante1.2Inverter 1746064,395833333346064,395833333346064,4402777778</v>
      </c>
      <c r="Q709" s="1" t="str">
        <f>_xlfn.CONCAT(H709,I709,J709)</f>
        <v>LIGRFOCOM</v>
      </c>
    </row>
    <row r="710" spans="2:17">
      <c r="B710" s="1" t="s">
        <v>385</v>
      </c>
      <c r="C710" s="1" t="s">
        <v>386</v>
      </c>
      <c r="D710" s="52">
        <v>46064.395833333336</v>
      </c>
      <c r="E710" s="52">
        <v>46064.395833333336</v>
      </c>
      <c r="F710" s="52">
        <v>46064.44027777778</v>
      </c>
      <c r="G710" s="53">
        <v>4.4444444444444446E-2</v>
      </c>
      <c r="H710" s="1" t="s">
        <v>268</v>
      </c>
      <c r="I710" s="1" t="s">
        <v>269</v>
      </c>
      <c r="J710" s="1" t="s">
        <v>319</v>
      </c>
      <c r="K710" s="1" t="s">
        <v>652</v>
      </c>
      <c r="L710" s="1" t="s">
        <v>761</v>
      </c>
      <c r="M710" s="1" t="s">
        <v>260</v>
      </c>
      <c r="N710" s="1" t="s">
        <v>357</v>
      </c>
      <c r="O710" s="1" t="s">
        <v>632</v>
      </c>
      <c r="P710" s="1" t="str">
        <f>_xlfn.CONCAT(B710,C710,D710,E710,F710)</f>
        <v>BC Vazante1.3Inversor 146064,395833333346064,395833333346064,4402777778</v>
      </c>
      <c r="Q710" s="1" t="str">
        <f>_xlfn.CONCAT(H710,I710,J710)</f>
        <v>LIGRFOCOM</v>
      </c>
    </row>
    <row r="711" spans="2:17">
      <c r="B711" s="1" t="s">
        <v>385</v>
      </c>
      <c r="C711" s="1" t="s">
        <v>777</v>
      </c>
      <c r="D711" s="52">
        <v>46064.395833333336</v>
      </c>
      <c r="E711" s="52">
        <v>46064.395833333336</v>
      </c>
      <c r="F711" s="52">
        <v>46064.44027777778</v>
      </c>
      <c r="G711" s="53">
        <v>4.4444444444444446E-2</v>
      </c>
      <c r="H711" s="1" t="s">
        <v>268</v>
      </c>
      <c r="I711" s="1" t="s">
        <v>269</v>
      </c>
      <c r="J711" s="1" t="s">
        <v>319</v>
      </c>
      <c r="K711" s="1" t="s">
        <v>652</v>
      </c>
      <c r="L711" s="1" t="s">
        <v>761</v>
      </c>
      <c r="M711" s="1" t="s">
        <v>260</v>
      </c>
      <c r="N711" s="1" t="s">
        <v>357</v>
      </c>
      <c r="O711" s="1" t="s">
        <v>632</v>
      </c>
      <c r="P711" s="1" t="str">
        <f>_xlfn.CONCAT(B711,C711,D711,E711,F711)</f>
        <v>BC Vazante1.3Inversor 246064,395833333346064,395833333346064,4402777778</v>
      </c>
      <c r="Q711" s="1" t="str">
        <f>_xlfn.CONCAT(H711,I711,J711)</f>
        <v>LIGRFOCOM</v>
      </c>
    </row>
    <row r="712" spans="2:17">
      <c r="B712" s="1" t="s">
        <v>385</v>
      </c>
      <c r="C712" s="1" t="s">
        <v>778</v>
      </c>
      <c r="D712" s="52">
        <v>46064.395833333336</v>
      </c>
      <c r="E712" s="52">
        <v>46064.395833333336</v>
      </c>
      <c r="F712" s="52">
        <v>46064.44027777778</v>
      </c>
      <c r="G712" s="53">
        <v>4.4444444444444446E-2</v>
      </c>
      <c r="H712" s="1" t="s">
        <v>268</v>
      </c>
      <c r="I712" s="1" t="s">
        <v>269</v>
      </c>
      <c r="J712" s="1" t="s">
        <v>319</v>
      </c>
      <c r="K712" s="1" t="s">
        <v>652</v>
      </c>
      <c r="L712" s="1" t="s">
        <v>761</v>
      </c>
      <c r="M712" s="1" t="s">
        <v>260</v>
      </c>
      <c r="N712" s="1" t="s">
        <v>357</v>
      </c>
      <c r="O712" s="1" t="s">
        <v>632</v>
      </c>
      <c r="P712" s="1" t="str">
        <f>_xlfn.CONCAT(B712,C712,D712,E712,F712)</f>
        <v>BC Vazante1.3Inversor 346064,395833333346064,395833333346064,4402777778</v>
      </c>
      <c r="Q712" s="1" t="str">
        <f>_xlfn.CONCAT(H712,I712,J712)</f>
        <v>LIGRFOCOM</v>
      </c>
    </row>
    <row r="713" spans="2:17">
      <c r="B713" s="1" t="s">
        <v>385</v>
      </c>
      <c r="C713" s="1" t="s">
        <v>779</v>
      </c>
      <c r="D713" s="52">
        <v>46064.395833333336</v>
      </c>
      <c r="E713" s="52">
        <v>46064.395833333336</v>
      </c>
      <c r="F713" s="52">
        <v>46064.44027777778</v>
      </c>
      <c r="G713" s="53">
        <v>4.4444444444444446E-2</v>
      </c>
      <c r="H713" s="1" t="s">
        <v>268</v>
      </c>
      <c r="I713" s="1" t="s">
        <v>269</v>
      </c>
      <c r="J713" s="1" t="s">
        <v>319</v>
      </c>
      <c r="K713" s="1" t="s">
        <v>652</v>
      </c>
      <c r="L713" s="1" t="s">
        <v>761</v>
      </c>
      <c r="M713" s="1" t="s">
        <v>260</v>
      </c>
      <c r="N713" s="1" t="s">
        <v>357</v>
      </c>
      <c r="O713" s="1" t="s">
        <v>632</v>
      </c>
      <c r="P713" s="1" t="str">
        <f>_xlfn.CONCAT(B713,C713,D713,E713,F713)</f>
        <v>BC Vazante1.3Inversor 446064,395833333346064,395833333346064,4402777778</v>
      </c>
      <c r="Q713" s="1" t="str">
        <f>_xlfn.CONCAT(H713,I713,J713)</f>
        <v>LIGRFOCOM</v>
      </c>
    </row>
    <row r="714" spans="2:17">
      <c r="B714" s="1" t="s">
        <v>385</v>
      </c>
      <c r="C714" s="1" t="s">
        <v>780</v>
      </c>
      <c r="D714" s="52">
        <v>46064.395833333336</v>
      </c>
      <c r="E714" s="52">
        <v>46064.395833333336</v>
      </c>
      <c r="F714" s="52">
        <v>46064.44027777778</v>
      </c>
      <c r="G714" s="53">
        <v>4.4444444444444446E-2</v>
      </c>
      <c r="H714" s="1" t="s">
        <v>268</v>
      </c>
      <c r="I714" s="1" t="s">
        <v>269</v>
      </c>
      <c r="J714" s="1" t="s">
        <v>319</v>
      </c>
      <c r="K714" s="1" t="s">
        <v>652</v>
      </c>
      <c r="L714" s="1" t="s">
        <v>761</v>
      </c>
      <c r="M714" s="1" t="s">
        <v>260</v>
      </c>
      <c r="N714" s="1" t="s">
        <v>357</v>
      </c>
      <c r="O714" s="1" t="s">
        <v>632</v>
      </c>
      <c r="P714" s="1" t="str">
        <f>_xlfn.CONCAT(B714,C714,D714,E714,F714)</f>
        <v>BC Vazante1.3Inversor 546064,395833333346064,395833333346064,4402777778</v>
      </c>
      <c r="Q714" s="1" t="str">
        <f>_xlfn.CONCAT(H714,I714,J714)</f>
        <v>LIGRFOCOM</v>
      </c>
    </row>
    <row r="715" spans="2:17">
      <c r="B715" s="1" t="s">
        <v>385</v>
      </c>
      <c r="C715" s="1" t="s">
        <v>781</v>
      </c>
      <c r="D715" s="52">
        <v>46064.395833333336</v>
      </c>
      <c r="E715" s="52">
        <v>46064.395833333336</v>
      </c>
      <c r="F715" s="52">
        <v>46064.44027777778</v>
      </c>
      <c r="G715" s="53">
        <v>4.4444444444444446E-2</v>
      </c>
      <c r="H715" s="1" t="s">
        <v>268</v>
      </c>
      <c r="I715" s="1" t="s">
        <v>269</v>
      </c>
      <c r="J715" s="1" t="s">
        <v>319</v>
      </c>
      <c r="K715" s="1" t="s">
        <v>652</v>
      </c>
      <c r="L715" s="1" t="s">
        <v>761</v>
      </c>
      <c r="M715" s="1" t="s">
        <v>260</v>
      </c>
      <c r="N715" s="1" t="s">
        <v>357</v>
      </c>
      <c r="O715" s="1" t="s">
        <v>632</v>
      </c>
      <c r="P715" s="1" t="str">
        <f>_xlfn.CONCAT(B715,C715,D715,E715,F715)</f>
        <v>BC Vazante1.3Inversor 646064,395833333346064,395833333346064,4402777778</v>
      </c>
      <c r="Q715" s="1" t="str">
        <f>_xlfn.CONCAT(H715,I715,J715)</f>
        <v>LIGRFOCOM</v>
      </c>
    </row>
    <row r="716" spans="2:17">
      <c r="B716" s="1" t="s">
        <v>385</v>
      </c>
      <c r="C716" s="1" t="s">
        <v>782</v>
      </c>
      <c r="D716" s="52">
        <v>46064.395833333336</v>
      </c>
      <c r="E716" s="52">
        <v>46064.395833333336</v>
      </c>
      <c r="F716" s="52">
        <v>46064.44027777778</v>
      </c>
      <c r="G716" s="53">
        <v>4.4444444444444446E-2</v>
      </c>
      <c r="H716" s="1" t="s">
        <v>268</v>
      </c>
      <c r="I716" s="1" t="s">
        <v>269</v>
      </c>
      <c r="J716" s="1" t="s">
        <v>319</v>
      </c>
      <c r="K716" s="1" t="s">
        <v>652</v>
      </c>
      <c r="L716" s="1" t="s">
        <v>761</v>
      </c>
      <c r="M716" s="1" t="s">
        <v>260</v>
      </c>
      <c r="N716" s="1" t="s">
        <v>357</v>
      </c>
      <c r="O716" s="1" t="s">
        <v>632</v>
      </c>
      <c r="P716" s="1" t="str">
        <f>_xlfn.CONCAT(B716,C716,D716,E716,F716)</f>
        <v>BC Vazante1.3Inversor 746064,395833333346064,395833333346064,4402777778</v>
      </c>
      <c r="Q716" s="1" t="str">
        <f>_xlfn.CONCAT(H716,I716,J716)</f>
        <v>LIGRFOCOM</v>
      </c>
    </row>
    <row r="717" spans="2:17">
      <c r="B717" s="1" t="s">
        <v>385</v>
      </c>
      <c r="C717" s="1" t="s">
        <v>783</v>
      </c>
      <c r="D717" s="52">
        <v>46064.395833333336</v>
      </c>
      <c r="E717" s="52">
        <v>46064.395833333336</v>
      </c>
      <c r="F717" s="52">
        <v>46064.44027777778</v>
      </c>
      <c r="G717" s="53">
        <v>4.4444444444444446E-2</v>
      </c>
      <c r="H717" s="1" t="s">
        <v>268</v>
      </c>
      <c r="I717" s="1" t="s">
        <v>269</v>
      </c>
      <c r="J717" s="1" t="s">
        <v>319</v>
      </c>
      <c r="K717" s="1" t="s">
        <v>652</v>
      </c>
      <c r="L717" s="1" t="s">
        <v>761</v>
      </c>
      <c r="M717" s="1" t="s">
        <v>260</v>
      </c>
      <c r="N717" s="1" t="s">
        <v>357</v>
      </c>
      <c r="O717" s="1" t="s">
        <v>632</v>
      </c>
      <c r="P717" s="1" t="str">
        <f>_xlfn.CONCAT(B717,C717,D717,E717,F717)</f>
        <v>BC Vazante1.3Inversor 846064,395833333346064,395833333346064,4402777778</v>
      </c>
      <c r="Q717" s="1" t="str">
        <f>_xlfn.CONCAT(H717,I717,J717)</f>
        <v>LIGRFOCOM</v>
      </c>
    </row>
    <row r="718" spans="2:17">
      <c r="B718" s="1" t="s">
        <v>385</v>
      </c>
      <c r="C718" s="1" t="s">
        <v>784</v>
      </c>
      <c r="D718" s="52">
        <v>46064.395833333336</v>
      </c>
      <c r="E718" s="52">
        <v>46064.395833333336</v>
      </c>
      <c r="F718" s="52">
        <v>46064.44027777778</v>
      </c>
      <c r="G718" s="53">
        <v>4.4444444444444446E-2</v>
      </c>
      <c r="H718" s="1" t="s">
        <v>268</v>
      </c>
      <c r="I718" s="1" t="s">
        <v>269</v>
      </c>
      <c r="J718" s="1" t="s">
        <v>319</v>
      </c>
      <c r="K718" s="1" t="s">
        <v>652</v>
      </c>
      <c r="L718" s="1" t="s">
        <v>761</v>
      </c>
      <c r="M718" s="1" t="s">
        <v>260</v>
      </c>
      <c r="N718" s="1" t="s">
        <v>357</v>
      </c>
      <c r="O718" s="1" t="s">
        <v>632</v>
      </c>
      <c r="P718" s="1" t="str">
        <f>_xlfn.CONCAT(B718,C718,D718,E718,F718)</f>
        <v>BC Vazante1.3Inversor 946064,395833333346064,395833333346064,4402777778</v>
      </c>
      <c r="Q718" s="1" t="str">
        <f>_xlfn.CONCAT(H718,I718,J718)</f>
        <v>LIGRFOCOM</v>
      </c>
    </row>
    <row r="719" spans="2:17">
      <c r="B719" s="1" t="s">
        <v>785</v>
      </c>
      <c r="C719" s="1" t="s">
        <v>247</v>
      </c>
      <c r="D719" s="52">
        <v>46064.395833333336</v>
      </c>
      <c r="E719" s="52">
        <v>46064.395833333336</v>
      </c>
      <c r="F719" s="52">
        <v>46064.44027777778</v>
      </c>
      <c r="G719" s="53">
        <v>4.4444444444444446E-2</v>
      </c>
      <c r="H719" s="1" t="s">
        <v>268</v>
      </c>
      <c r="I719" s="1" t="s">
        <v>269</v>
      </c>
      <c r="J719" s="1" t="s">
        <v>319</v>
      </c>
      <c r="K719" s="1" t="s">
        <v>652</v>
      </c>
      <c r="L719" s="1" t="s">
        <v>761</v>
      </c>
      <c r="M719" s="1" t="s">
        <v>260</v>
      </c>
      <c r="N719" s="1" t="s">
        <v>357</v>
      </c>
      <c r="O719" s="1" t="s">
        <v>632</v>
      </c>
      <c r="P719" s="1" t="str">
        <f>_xlfn.CONCAT(B719,C719,D719,E719,F719)</f>
        <v>BC Vazante2.1Inverter(MBUS-1)46064,395833333346064,395833333346064,4402777778</v>
      </c>
      <c r="Q719" s="1" t="str">
        <f>_xlfn.CONCAT(H719,I719,J719)</f>
        <v>LIGRFOCOM</v>
      </c>
    </row>
    <row r="720" spans="2:17">
      <c r="B720" s="1" t="s">
        <v>785</v>
      </c>
      <c r="C720" s="1" t="s">
        <v>786</v>
      </c>
      <c r="D720" s="52">
        <v>46064.395833333336</v>
      </c>
      <c r="E720" s="52">
        <v>46064.395833333336</v>
      </c>
      <c r="F720" s="52">
        <v>46064.44027777778</v>
      </c>
      <c r="G720" s="53">
        <v>4.4444444444444446E-2</v>
      </c>
      <c r="H720" s="1" t="s">
        <v>268</v>
      </c>
      <c r="I720" s="1" t="s">
        <v>269</v>
      </c>
      <c r="J720" s="1" t="s">
        <v>319</v>
      </c>
      <c r="K720" s="1" t="s">
        <v>652</v>
      </c>
      <c r="L720" s="1" t="s">
        <v>761</v>
      </c>
      <c r="M720" s="1" t="s">
        <v>260</v>
      </c>
      <c r="N720" s="1" t="s">
        <v>357</v>
      </c>
      <c r="O720" s="1" t="s">
        <v>632</v>
      </c>
      <c r="P720" s="1" t="str">
        <f>_xlfn.CONCAT(B720,C720,D720,E720,F720)</f>
        <v>BC Vazante2.1Inverter(MBUS-5)46064,395833333346064,395833333346064,4402777778</v>
      </c>
      <c r="Q720" s="1" t="str">
        <f>_xlfn.CONCAT(H720,I720,J720)</f>
        <v>LIGRFOCOM</v>
      </c>
    </row>
    <row r="721" spans="2:17">
      <c r="B721" s="1" t="s">
        <v>785</v>
      </c>
      <c r="C721" s="1" t="s">
        <v>787</v>
      </c>
      <c r="D721" s="52">
        <v>46064.395833333336</v>
      </c>
      <c r="E721" s="52">
        <v>46064.395833333336</v>
      </c>
      <c r="F721" s="52">
        <v>46064.44027777778</v>
      </c>
      <c r="G721" s="53">
        <v>4.4444444444444446E-2</v>
      </c>
      <c r="H721" s="1" t="s">
        <v>268</v>
      </c>
      <c r="I721" s="1" t="s">
        <v>269</v>
      </c>
      <c r="J721" s="1" t="s">
        <v>319</v>
      </c>
      <c r="K721" s="1" t="s">
        <v>652</v>
      </c>
      <c r="L721" s="1" t="s">
        <v>761</v>
      </c>
      <c r="M721" s="1" t="s">
        <v>663</v>
      </c>
      <c r="N721" s="1" t="s">
        <v>788</v>
      </c>
      <c r="O721" s="1" t="s">
        <v>789</v>
      </c>
      <c r="P721" s="1" t="str">
        <f>_xlfn.CONCAT(B721,C721,D721,E721,F721)</f>
        <v>BC Vazante2.1Inverter(MBUS-4)46064,395833333346064,395833333346064,4402777778</v>
      </c>
      <c r="Q721" s="1" t="str">
        <f>_xlfn.CONCAT(H721,I721,J721)</f>
        <v>LIGRFOCOM</v>
      </c>
    </row>
    <row r="722" spans="2:17">
      <c r="B722" s="1" t="s">
        <v>785</v>
      </c>
      <c r="C722" s="1" t="s">
        <v>256</v>
      </c>
      <c r="D722" s="52">
        <v>46064.395833333336</v>
      </c>
      <c r="E722" s="52">
        <v>46064.395833333336</v>
      </c>
      <c r="F722" s="52">
        <v>46064.44027777778</v>
      </c>
      <c r="G722" s="53">
        <v>4.4444444444444446E-2</v>
      </c>
      <c r="H722" s="1" t="s">
        <v>268</v>
      </c>
      <c r="I722" s="1" t="s">
        <v>269</v>
      </c>
      <c r="J722" s="1" t="s">
        <v>319</v>
      </c>
      <c r="K722" s="1" t="s">
        <v>652</v>
      </c>
      <c r="L722" s="1" t="s">
        <v>761</v>
      </c>
      <c r="M722" s="1" t="s">
        <v>663</v>
      </c>
      <c r="N722" s="1" t="s">
        <v>788</v>
      </c>
      <c r="O722" s="1" t="s">
        <v>789</v>
      </c>
      <c r="P722" s="1" t="str">
        <f>_xlfn.CONCAT(B722,C722,D722,E722,F722)</f>
        <v>BC Vazante2.1Inverter(MBUS-12)46064,395833333346064,395833333346064,4402777778</v>
      </c>
      <c r="Q722" s="1" t="str">
        <f>_xlfn.CONCAT(H722,I722,J722)</f>
        <v>LIGRFOCOM</v>
      </c>
    </row>
    <row r="723" spans="2:17">
      <c r="B723" s="1" t="s">
        <v>785</v>
      </c>
      <c r="C723" s="1" t="s">
        <v>790</v>
      </c>
      <c r="D723" s="52">
        <v>46064.395833333336</v>
      </c>
      <c r="E723" s="52">
        <v>46064.395833333336</v>
      </c>
      <c r="F723" s="52">
        <v>46064.44027777778</v>
      </c>
      <c r="G723" s="53">
        <v>4.4444444444444446E-2</v>
      </c>
      <c r="H723" s="1" t="s">
        <v>268</v>
      </c>
      <c r="I723" s="1" t="s">
        <v>269</v>
      </c>
      <c r="J723" s="1" t="s">
        <v>319</v>
      </c>
      <c r="K723" s="1" t="s">
        <v>652</v>
      </c>
      <c r="L723" s="1" t="s">
        <v>761</v>
      </c>
      <c r="M723" s="1" t="s">
        <v>663</v>
      </c>
      <c r="N723" s="1" t="s">
        <v>788</v>
      </c>
      <c r="O723" s="1" t="s">
        <v>789</v>
      </c>
      <c r="P723" s="1" t="str">
        <f>_xlfn.CONCAT(B723,C723,D723,E723,F723)</f>
        <v>BC Vazante2.1Inverter(MBUS-2)46064,395833333346064,395833333346064,4402777778</v>
      </c>
      <c r="Q723" s="1" t="str">
        <f>_xlfn.CONCAT(H723,I723,J723)</f>
        <v>LIGRFOCOM</v>
      </c>
    </row>
    <row r="724" spans="2:17">
      <c r="B724" s="1" t="s">
        <v>619</v>
      </c>
      <c r="C724" s="1" t="s">
        <v>247</v>
      </c>
      <c r="D724" s="52">
        <v>46064.395833333336</v>
      </c>
      <c r="E724" s="52">
        <v>46064.395833333336</v>
      </c>
      <c r="F724" s="52">
        <v>46064.44027777778</v>
      </c>
      <c r="G724" s="53">
        <v>4.4444444444444446E-2</v>
      </c>
      <c r="H724" s="1" t="s">
        <v>268</v>
      </c>
      <c r="I724" s="1" t="s">
        <v>269</v>
      </c>
      <c r="J724" s="1" t="s">
        <v>319</v>
      </c>
      <c r="K724" s="1" t="s">
        <v>652</v>
      </c>
      <c r="L724" s="1" t="s">
        <v>761</v>
      </c>
      <c r="M724" s="1" t="s">
        <v>663</v>
      </c>
      <c r="N724" s="1" t="s">
        <v>788</v>
      </c>
      <c r="O724" s="1" t="s">
        <v>789</v>
      </c>
      <c r="P724" s="1" t="str">
        <f>_xlfn.CONCAT(B724,C724,D724,E724,F724)</f>
        <v>BC Vazante2.2Inverter(MBUS-1)46064,395833333346064,395833333346064,4402777778</v>
      </c>
      <c r="Q724" s="1" t="str">
        <f>_xlfn.CONCAT(H724,I724,J724)</f>
        <v>LIGRFOCOM</v>
      </c>
    </row>
    <row r="725" spans="2:17">
      <c r="B725" s="1" t="s">
        <v>619</v>
      </c>
      <c r="C725" s="1" t="s">
        <v>756</v>
      </c>
      <c r="D725" s="52">
        <v>46064.395833333336</v>
      </c>
      <c r="E725" s="52">
        <v>46064.395833333336</v>
      </c>
      <c r="F725" s="52">
        <v>46064.44027777778</v>
      </c>
      <c r="G725" s="53">
        <v>4.4444444444444446E-2</v>
      </c>
      <c r="H725" s="1" t="s">
        <v>268</v>
      </c>
      <c r="I725" s="1" t="s">
        <v>269</v>
      </c>
      <c r="J725" s="1" t="s">
        <v>319</v>
      </c>
      <c r="K725" s="1" t="s">
        <v>652</v>
      </c>
      <c r="L725" s="1" t="s">
        <v>761</v>
      </c>
      <c r="M725" s="1" t="s">
        <v>663</v>
      </c>
      <c r="N725" s="1" t="s">
        <v>788</v>
      </c>
      <c r="O725" s="1" t="s">
        <v>789</v>
      </c>
      <c r="P725" s="1" t="str">
        <f>_xlfn.CONCAT(B725,C725,D725,E725,F725)</f>
        <v>BC Vazante2.2Inverter(MBUS-10)46064,395833333346064,395833333346064,4402777778</v>
      </c>
      <c r="Q725" s="1" t="str">
        <f>_xlfn.CONCAT(H725,I725,J725)</f>
        <v>LIGRFOCOM</v>
      </c>
    </row>
    <row r="726" spans="2:17">
      <c r="B726" s="1" t="s">
        <v>619</v>
      </c>
      <c r="C726" s="1" t="s">
        <v>256</v>
      </c>
      <c r="D726" s="52">
        <v>46064.395833333336</v>
      </c>
      <c r="E726" s="52">
        <v>46064.395833333336</v>
      </c>
      <c r="F726" s="52">
        <v>46064.44027777778</v>
      </c>
      <c r="G726" s="53">
        <v>4.4444444444444446E-2</v>
      </c>
      <c r="H726" s="1" t="s">
        <v>268</v>
      </c>
      <c r="I726" s="1" t="s">
        <v>269</v>
      </c>
      <c r="J726" s="1" t="s">
        <v>319</v>
      </c>
      <c r="K726" s="1" t="s">
        <v>652</v>
      </c>
      <c r="L726" s="1" t="s">
        <v>761</v>
      </c>
      <c r="M726" s="1" t="s">
        <v>663</v>
      </c>
      <c r="N726" s="1" t="s">
        <v>788</v>
      </c>
      <c r="O726" s="1" t="s">
        <v>789</v>
      </c>
      <c r="P726" s="1" t="str">
        <f>_xlfn.CONCAT(B726,C726,D726,E726,F726)</f>
        <v>BC Vazante2.2Inverter(MBUS-12)46064,395833333346064,395833333346064,4402777778</v>
      </c>
      <c r="Q726" s="1" t="str">
        <f>_xlfn.CONCAT(H726,I726,J726)</f>
        <v>LIGRFOCOM</v>
      </c>
    </row>
    <row r="727" spans="2:17">
      <c r="B727" s="1" t="s">
        <v>619</v>
      </c>
      <c r="C727" s="1" t="s">
        <v>757</v>
      </c>
      <c r="D727" s="52">
        <v>46064.395833333336</v>
      </c>
      <c r="E727" s="52">
        <v>46064.395833333336</v>
      </c>
      <c r="F727" s="52">
        <v>46064.44027777778</v>
      </c>
      <c r="G727" s="53">
        <v>4.4444444444444446E-2</v>
      </c>
      <c r="H727" s="1" t="s">
        <v>268</v>
      </c>
      <c r="I727" s="1" t="s">
        <v>269</v>
      </c>
      <c r="J727" s="1" t="s">
        <v>319</v>
      </c>
      <c r="K727" s="1" t="s">
        <v>652</v>
      </c>
      <c r="L727" s="1" t="s">
        <v>761</v>
      </c>
      <c r="M727" s="1" t="s">
        <v>663</v>
      </c>
      <c r="N727" s="1" t="s">
        <v>788</v>
      </c>
      <c r="O727" s="1" t="s">
        <v>789</v>
      </c>
      <c r="P727" s="1" t="str">
        <f>_xlfn.CONCAT(B727,C727,D727,E727,F727)</f>
        <v>BC Vazante2.2Inverter(MBUS-6)46064,395833333346064,395833333346064,4402777778</v>
      </c>
      <c r="Q727" s="1" t="str">
        <f>_xlfn.CONCAT(H727,I727,J727)</f>
        <v>LIGRFOCOM</v>
      </c>
    </row>
    <row r="728" spans="2:17">
      <c r="B728" s="1" t="s">
        <v>619</v>
      </c>
      <c r="C728" s="1" t="s">
        <v>758</v>
      </c>
      <c r="D728" s="52">
        <v>46064.395833333336</v>
      </c>
      <c r="E728" s="52">
        <v>46064.395833333336</v>
      </c>
      <c r="F728" s="52">
        <v>46064.44027777778</v>
      </c>
      <c r="G728" s="53">
        <v>4.4444444444444446E-2</v>
      </c>
      <c r="H728" s="1" t="s">
        <v>268</v>
      </c>
      <c r="I728" s="1" t="s">
        <v>269</v>
      </c>
      <c r="J728" s="1" t="s">
        <v>319</v>
      </c>
      <c r="K728" s="1" t="s">
        <v>652</v>
      </c>
      <c r="L728" s="1" t="s">
        <v>761</v>
      </c>
      <c r="M728" s="1" t="s">
        <v>663</v>
      </c>
      <c r="N728" s="1" t="s">
        <v>788</v>
      </c>
      <c r="O728" s="1" t="s">
        <v>789</v>
      </c>
      <c r="P728" s="1" t="str">
        <f>_xlfn.CONCAT(B728,C728,D728,E728,F728)</f>
        <v>BC Vazante2.2Inverter(MBUS-7)46064,395833333346064,395833333346064,4402777778</v>
      </c>
      <c r="Q728" s="1" t="str">
        <f>_xlfn.CONCAT(H728,I728,J728)</f>
        <v>LIGRFOCOM</v>
      </c>
    </row>
    <row r="729" spans="2:17">
      <c r="B729" s="1" t="s">
        <v>573</v>
      </c>
      <c r="C729" s="1" t="s">
        <v>574</v>
      </c>
      <c r="D729" s="52">
        <v>46064.395833333336</v>
      </c>
      <c r="E729" s="52">
        <v>46064.395833333336</v>
      </c>
      <c r="F729" s="52">
        <v>46064.44027777778</v>
      </c>
      <c r="G729" s="53">
        <v>4.4444444444444446E-2</v>
      </c>
      <c r="H729" s="1" t="s">
        <v>268</v>
      </c>
      <c r="I729" s="1" t="s">
        <v>269</v>
      </c>
      <c r="J729" s="1" t="s">
        <v>319</v>
      </c>
      <c r="K729" s="1" t="s">
        <v>652</v>
      </c>
      <c r="L729" s="1" t="s">
        <v>761</v>
      </c>
      <c r="M729" s="1" t="s">
        <v>289</v>
      </c>
      <c r="N729" s="1" t="s">
        <v>253</v>
      </c>
      <c r="O729" s="1" t="s">
        <v>753</v>
      </c>
      <c r="P729" s="1" t="str">
        <f>_xlfn.CONCAT(B729,C729,D729,E729,F729)</f>
        <v>BC Vazante2.3Inverter(MBUS-11)46064,395833333346064,395833333346064,4402777778</v>
      </c>
      <c r="Q729" s="1" t="str">
        <f>_xlfn.CONCAT(H729,I729,J729)</f>
        <v>LIGRFOCOM</v>
      </c>
    </row>
    <row r="730" spans="2:17">
      <c r="B730" s="1" t="s">
        <v>573</v>
      </c>
      <c r="C730" s="1" t="s">
        <v>256</v>
      </c>
      <c r="D730" s="52">
        <v>46064.395833333336</v>
      </c>
      <c r="E730" s="52">
        <v>46064.395833333336</v>
      </c>
      <c r="F730" s="52">
        <v>46064.44027777778</v>
      </c>
      <c r="G730" s="53">
        <v>4.4444444444444446E-2</v>
      </c>
      <c r="H730" s="1" t="s">
        <v>268</v>
      </c>
      <c r="I730" s="1" t="s">
        <v>269</v>
      </c>
      <c r="J730" s="1" t="s">
        <v>319</v>
      </c>
      <c r="K730" s="1" t="s">
        <v>652</v>
      </c>
      <c r="L730" s="1" t="s">
        <v>761</v>
      </c>
      <c r="M730" s="1" t="s">
        <v>289</v>
      </c>
      <c r="N730" s="1" t="s">
        <v>253</v>
      </c>
      <c r="O730" s="1" t="s">
        <v>753</v>
      </c>
      <c r="P730" s="1" t="str">
        <f>_xlfn.CONCAT(B730,C730,D730,E730,F730)</f>
        <v>BC Vazante2.3Inverter(MBUS-12)46064,395833333346064,395833333346064,4402777778</v>
      </c>
      <c r="Q730" s="1" t="str">
        <f>_xlfn.CONCAT(H730,I730,J730)</f>
        <v>LIGRFOCOM</v>
      </c>
    </row>
    <row r="731" spans="2:17">
      <c r="B731" s="1" t="s">
        <v>573</v>
      </c>
      <c r="C731" s="1" t="s">
        <v>264</v>
      </c>
      <c r="D731" s="52">
        <v>46064.395833333336</v>
      </c>
      <c r="E731" s="52">
        <v>46064.395833333336</v>
      </c>
      <c r="F731" s="52">
        <v>46064.44027777778</v>
      </c>
      <c r="G731" s="53">
        <v>4.4444444444444446E-2</v>
      </c>
      <c r="H731" s="1" t="s">
        <v>268</v>
      </c>
      <c r="I731" s="1" t="s">
        <v>269</v>
      </c>
      <c r="J731" s="1" t="s">
        <v>319</v>
      </c>
      <c r="K731" s="1" t="s">
        <v>652</v>
      </c>
      <c r="L731" s="1" t="s">
        <v>761</v>
      </c>
      <c r="M731" s="1" t="s">
        <v>289</v>
      </c>
      <c r="N731" s="1" t="s">
        <v>253</v>
      </c>
      <c r="O731" s="1" t="s">
        <v>753</v>
      </c>
      <c r="P731" s="1" t="str">
        <f>_xlfn.CONCAT(B731,C731,D731,E731,F731)</f>
        <v>BC Vazante2.3Inverter(MBUS-13)46064,395833333346064,395833333346064,4402777778</v>
      </c>
      <c r="Q731" s="1" t="str">
        <f>_xlfn.CONCAT(H731,I731,J731)</f>
        <v>LIGRFOCOM</v>
      </c>
    </row>
    <row r="732" spans="2:17">
      <c r="B732" s="1" t="s">
        <v>349</v>
      </c>
      <c r="C732" s="1" t="s">
        <v>760</v>
      </c>
      <c r="D732" s="52">
        <v>46064.44027777778</v>
      </c>
      <c r="E732" s="52">
        <v>46064.44027777778</v>
      </c>
      <c r="F732" s="52">
        <v>46064.569444444445</v>
      </c>
      <c r="G732" s="53">
        <v>0.12916666666666668</v>
      </c>
      <c r="H732" s="1" t="s">
        <v>677</v>
      </c>
      <c r="J732" s="1" t="s">
        <v>230</v>
      </c>
      <c r="K732" s="1" t="s">
        <v>230</v>
      </c>
      <c r="L732" s="1" t="s">
        <v>791</v>
      </c>
      <c r="M732" s="1" t="s">
        <v>289</v>
      </c>
      <c r="N732" s="1" t="s">
        <v>253</v>
      </c>
      <c r="O732" s="1" t="s">
        <v>753</v>
      </c>
      <c r="P732" s="1" t="str">
        <f>_xlfn.CONCAT(B732,C732,D732,E732,F732)</f>
        <v>BC Vazante1.2Inverter 146064,440277777846064,440277777846064,5694444444</v>
      </c>
      <c r="Q732" s="1" t="str">
        <f>_xlfn.CONCAT(H732,I732,J732)</f>
        <v>DPRUFV</v>
      </c>
    </row>
    <row r="733" spans="2:17" ht="30.75">
      <c r="B733" s="1" t="s">
        <v>349</v>
      </c>
      <c r="C733" s="1" t="s">
        <v>762</v>
      </c>
      <c r="D733" s="52">
        <v>46064.44027777778</v>
      </c>
      <c r="E733" s="52">
        <v>46064.44027777778</v>
      </c>
      <c r="F733" s="52">
        <v>46064.569444444445</v>
      </c>
      <c r="G733" s="53">
        <v>0.12916666666666668</v>
      </c>
      <c r="H733" s="1" t="s">
        <v>677</v>
      </c>
      <c r="J733" s="1" t="s">
        <v>230</v>
      </c>
      <c r="K733" s="1" t="s">
        <v>230</v>
      </c>
      <c r="L733" s="72" t="s">
        <v>791</v>
      </c>
      <c r="M733" s="1" t="s">
        <v>289</v>
      </c>
      <c r="N733" s="1" t="s">
        <v>253</v>
      </c>
      <c r="O733" s="1" t="s">
        <v>792</v>
      </c>
    </row>
    <row r="734" spans="2:17" ht="30.75">
      <c r="B734" s="1" t="s">
        <v>349</v>
      </c>
      <c r="C734" s="1" t="s">
        <v>763</v>
      </c>
      <c r="D734" s="52">
        <v>46064.44027777778</v>
      </c>
      <c r="E734" s="52">
        <v>46064.44027777778</v>
      </c>
      <c r="F734" s="52">
        <v>46064.569444444445</v>
      </c>
      <c r="G734" s="53">
        <v>0.12916666666666668</v>
      </c>
      <c r="H734" s="1" t="s">
        <v>677</v>
      </c>
      <c r="J734" s="1" t="s">
        <v>230</v>
      </c>
      <c r="K734" s="1" t="s">
        <v>230</v>
      </c>
      <c r="L734" s="72" t="s">
        <v>791</v>
      </c>
      <c r="M734" s="1" t="s">
        <v>289</v>
      </c>
      <c r="N734" s="1" t="s">
        <v>253</v>
      </c>
      <c r="O734" s="1" t="s">
        <v>792</v>
      </c>
    </row>
    <row r="735" spans="2:17" ht="30.75">
      <c r="B735" s="1" t="s">
        <v>349</v>
      </c>
      <c r="C735" s="1" t="s">
        <v>764</v>
      </c>
      <c r="D735" s="52">
        <v>46064.44027777778</v>
      </c>
      <c r="E735" s="52">
        <v>46064.44027777778</v>
      </c>
      <c r="F735" s="52">
        <v>46064.569444444445</v>
      </c>
      <c r="G735" s="53">
        <v>0.12916666666666668</v>
      </c>
      <c r="H735" s="1" t="s">
        <v>677</v>
      </c>
      <c r="J735" s="1" t="s">
        <v>230</v>
      </c>
      <c r="K735" s="1" t="s">
        <v>230</v>
      </c>
      <c r="L735" s="72" t="s">
        <v>791</v>
      </c>
      <c r="M735" s="1" t="s">
        <v>289</v>
      </c>
      <c r="N735" s="1" t="s">
        <v>253</v>
      </c>
      <c r="O735" s="1" t="s">
        <v>792</v>
      </c>
    </row>
    <row r="736" spans="2:17" ht="30.75">
      <c r="B736" s="1" t="s">
        <v>349</v>
      </c>
      <c r="C736" s="1" t="s">
        <v>765</v>
      </c>
      <c r="D736" s="52">
        <v>46064.44027777778</v>
      </c>
      <c r="E736" s="52">
        <v>46064.44027777778</v>
      </c>
      <c r="F736" s="52">
        <v>46064.569444444445</v>
      </c>
      <c r="G736" s="53">
        <v>0.12916666666666668</v>
      </c>
      <c r="H736" s="1" t="s">
        <v>677</v>
      </c>
      <c r="J736" s="1" t="s">
        <v>230</v>
      </c>
      <c r="K736" s="1" t="s">
        <v>230</v>
      </c>
      <c r="L736" s="72" t="s">
        <v>791</v>
      </c>
      <c r="M736" s="1" t="s">
        <v>289</v>
      </c>
      <c r="N736" s="1" t="s">
        <v>253</v>
      </c>
      <c r="O736" s="1" t="s">
        <v>792</v>
      </c>
    </row>
    <row r="737" spans="2:17" ht="30.75">
      <c r="B737" s="1" t="s">
        <v>349</v>
      </c>
      <c r="C737" s="1" t="s">
        <v>766</v>
      </c>
      <c r="D737" s="52">
        <v>46064.44027777778</v>
      </c>
      <c r="E737" s="52">
        <v>46064.44027777778</v>
      </c>
      <c r="F737" s="52">
        <v>46064.569444444445</v>
      </c>
      <c r="G737" s="53">
        <v>0.12916666666666668</v>
      </c>
      <c r="H737" s="1" t="s">
        <v>677</v>
      </c>
      <c r="J737" s="1" t="s">
        <v>230</v>
      </c>
      <c r="K737" s="1" t="s">
        <v>230</v>
      </c>
      <c r="L737" s="72" t="s">
        <v>791</v>
      </c>
      <c r="M737" s="1" t="s">
        <v>289</v>
      </c>
      <c r="N737" s="1" t="s">
        <v>253</v>
      </c>
      <c r="O737" s="1" t="s">
        <v>792</v>
      </c>
    </row>
    <row r="738" spans="2:17" ht="30.75">
      <c r="B738" s="1" t="s">
        <v>349</v>
      </c>
      <c r="C738" s="1" t="s">
        <v>767</v>
      </c>
      <c r="D738" s="52">
        <v>46064.44027777778</v>
      </c>
      <c r="E738" s="52">
        <v>46064.44027777778</v>
      </c>
      <c r="F738" s="52">
        <v>46064.569444444445</v>
      </c>
      <c r="G738" s="53">
        <v>0.12916666666666668</v>
      </c>
      <c r="H738" s="1" t="s">
        <v>677</v>
      </c>
      <c r="J738" s="1" t="s">
        <v>230</v>
      </c>
      <c r="K738" s="1" t="s">
        <v>230</v>
      </c>
      <c r="L738" s="72" t="s">
        <v>791</v>
      </c>
      <c r="M738" s="1" t="s">
        <v>289</v>
      </c>
      <c r="N738" s="1" t="s">
        <v>253</v>
      </c>
      <c r="O738" s="1" t="s">
        <v>792</v>
      </c>
    </row>
    <row r="739" spans="2:17" ht="30.75">
      <c r="B739" s="1" t="s">
        <v>349</v>
      </c>
      <c r="C739" s="1" t="s">
        <v>768</v>
      </c>
      <c r="D739" s="52">
        <v>46064.44027777778</v>
      </c>
      <c r="E739" s="52">
        <v>46064.44027777778</v>
      </c>
      <c r="F739" s="52">
        <v>46064.569444444445</v>
      </c>
      <c r="G739" s="53">
        <v>0.12916666666666668</v>
      </c>
      <c r="H739" s="1" t="s">
        <v>677</v>
      </c>
      <c r="J739" s="1" t="s">
        <v>230</v>
      </c>
      <c r="K739" s="1" t="s">
        <v>230</v>
      </c>
      <c r="L739" s="72" t="s">
        <v>791</v>
      </c>
      <c r="M739" s="1" t="s">
        <v>289</v>
      </c>
      <c r="N739" s="1" t="s">
        <v>253</v>
      </c>
      <c r="O739" s="1" t="s">
        <v>792</v>
      </c>
    </row>
    <row r="740" spans="2:17" ht="30.75">
      <c r="B740" s="1" t="s">
        <v>349</v>
      </c>
      <c r="C740" s="1" t="s">
        <v>769</v>
      </c>
      <c r="D740" s="52">
        <v>46064.44027777778</v>
      </c>
      <c r="E740" s="52">
        <v>46064.44027777778</v>
      </c>
      <c r="F740" s="52">
        <v>46064.569444444445</v>
      </c>
      <c r="G740" s="53">
        <v>0.12916666666666668</v>
      </c>
      <c r="H740" s="1" t="s">
        <v>677</v>
      </c>
      <c r="J740" s="1" t="s">
        <v>230</v>
      </c>
      <c r="K740" s="1" t="s">
        <v>230</v>
      </c>
      <c r="L740" s="72" t="s">
        <v>791</v>
      </c>
      <c r="M740" s="1" t="s">
        <v>289</v>
      </c>
      <c r="N740" s="1" t="s">
        <v>253</v>
      </c>
      <c r="O740" s="1" t="s">
        <v>792</v>
      </c>
    </row>
    <row r="741" spans="2:17" ht="30.75">
      <c r="B741" s="1" t="s">
        <v>349</v>
      </c>
      <c r="C741" s="1" t="s">
        <v>770</v>
      </c>
      <c r="D741" s="52">
        <v>46064.44027777778</v>
      </c>
      <c r="E741" s="52">
        <v>46064.44027777778</v>
      </c>
      <c r="F741" s="52">
        <v>46064.569444444445</v>
      </c>
      <c r="G741" s="53">
        <v>0.12916666666666668</v>
      </c>
      <c r="H741" s="1" t="s">
        <v>677</v>
      </c>
      <c r="J741" s="1" t="s">
        <v>230</v>
      </c>
      <c r="K741" s="1" t="s">
        <v>230</v>
      </c>
      <c r="L741" s="72" t="s">
        <v>791</v>
      </c>
      <c r="M741" s="1" t="s">
        <v>289</v>
      </c>
      <c r="N741" s="1" t="s">
        <v>253</v>
      </c>
      <c r="O741" s="1" t="s">
        <v>792</v>
      </c>
    </row>
    <row r="742" spans="2:17" ht="30.75">
      <c r="B742" s="1" t="s">
        <v>349</v>
      </c>
      <c r="C742" s="1" t="s">
        <v>771</v>
      </c>
      <c r="D742" s="52">
        <v>46064.44027777778</v>
      </c>
      <c r="E742" s="52">
        <v>46064.44027777778</v>
      </c>
      <c r="F742" s="52">
        <v>46064.569444444445</v>
      </c>
      <c r="G742" s="53">
        <v>0.12916666666666668</v>
      </c>
      <c r="H742" s="1" t="s">
        <v>677</v>
      </c>
      <c r="J742" s="1" t="s">
        <v>230</v>
      </c>
      <c r="K742" s="1" t="s">
        <v>230</v>
      </c>
      <c r="L742" s="72" t="s">
        <v>791</v>
      </c>
      <c r="M742" s="1" t="s">
        <v>289</v>
      </c>
      <c r="N742" s="1" t="s">
        <v>253</v>
      </c>
      <c r="O742" s="1" t="s">
        <v>792</v>
      </c>
    </row>
    <row r="743" spans="2:17" ht="30.75">
      <c r="B743" s="1" t="s">
        <v>349</v>
      </c>
      <c r="C743" s="1" t="s">
        <v>772</v>
      </c>
      <c r="D743" s="52">
        <v>46064.44027777778</v>
      </c>
      <c r="E743" s="52">
        <v>46064.44027777778</v>
      </c>
      <c r="F743" s="52">
        <v>46064.569444444445</v>
      </c>
      <c r="G743" s="53">
        <v>0.12916666666666668</v>
      </c>
      <c r="H743" s="1" t="s">
        <v>677</v>
      </c>
      <c r="J743" s="1" t="s">
        <v>230</v>
      </c>
      <c r="K743" s="1" t="s">
        <v>230</v>
      </c>
      <c r="L743" s="72" t="s">
        <v>791</v>
      </c>
      <c r="M743" s="1" t="s">
        <v>289</v>
      </c>
      <c r="N743" s="1" t="s">
        <v>253</v>
      </c>
      <c r="O743" s="1" t="s">
        <v>792</v>
      </c>
    </row>
    <row r="744" spans="2:17" ht="30.75">
      <c r="B744" s="1" t="s">
        <v>349</v>
      </c>
      <c r="C744" s="1" t="s">
        <v>773</v>
      </c>
      <c r="D744" s="52">
        <v>46064.44027777778</v>
      </c>
      <c r="E744" s="52">
        <v>46064.44027777778</v>
      </c>
      <c r="F744" s="52">
        <v>46064.569444444445</v>
      </c>
      <c r="G744" s="53">
        <v>0.12916666666666668</v>
      </c>
      <c r="H744" s="1" t="s">
        <v>677</v>
      </c>
      <c r="J744" s="1" t="s">
        <v>230</v>
      </c>
      <c r="K744" s="1" t="s">
        <v>230</v>
      </c>
      <c r="L744" s="72" t="s">
        <v>791</v>
      </c>
      <c r="M744" s="1" t="s">
        <v>289</v>
      </c>
      <c r="N744" s="1" t="s">
        <v>253</v>
      </c>
      <c r="O744" s="1" t="s">
        <v>792</v>
      </c>
    </row>
    <row r="745" spans="2:17" ht="30.75">
      <c r="B745" s="1" t="s">
        <v>349</v>
      </c>
      <c r="C745" s="1" t="s">
        <v>774</v>
      </c>
      <c r="D745" s="52">
        <v>46064.44027777778</v>
      </c>
      <c r="E745" s="52">
        <v>46064.44027777778</v>
      </c>
      <c r="F745" s="52">
        <v>46064.569444444445</v>
      </c>
      <c r="G745" s="53">
        <v>0.12916666666666668</v>
      </c>
      <c r="H745" s="1" t="s">
        <v>677</v>
      </c>
      <c r="J745" s="1" t="s">
        <v>230</v>
      </c>
      <c r="K745" s="1" t="s">
        <v>230</v>
      </c>
      <c r="L745" s="72" t="s">
        <v>791</v>
      </c>
      <c r="M745" s="1" t="s">
        <v>289</v>
      </c>
      <c r="N745" s="1" t="s">
        <v>253</v>
      </c>
      <c r="O745" s="1" t="s">
        <v>792</v>
      </c>
    </row>
    <row r="746" spans="2:17" ht="30.75">
      <c r="B746" s="1" t="s">
        <v>349</v>
      </c>
      <c r="C746" s="1" t="s">
        <v>775</v>
      </c>
      <c r="D746" s="52">
        <v>46064.44027777778</v>
      </c>
      <c r="E746" s="52">
        <v>46064.44027777778</v>
      </c>
      <c r="F746" s="52">
        <v>46064.569444444445</v>
      </c>
      <c r="G746" s="53">
        <v>0.12916666666666668</v>
      </c>
      <c r="H746" s="1" t="s">
        <v>677</v>
      </c>
      <c r="J746" s="1" t="s">
        <v>230</v>
      </c>
      <c r="K746" s="1" t="s">
        <v>230</v>
      </c>
      <c r="L746" s="72" t="s">
        <v>791</v>
      </c>
      <c r="M746" s="1" t="s">
        <v>289</v>
      </c>
      <c r="N746" s="1" t="s">
        <v>253</v>
      </c>
      <c r="O746" s="1" t="s">
        <v>792</v>
      </c>
    </row>
    <row r="747" spans="2:17" ht="30.75">
      <c r="B747" s="1" t="s">
        <v>349</v>
      </c>
      <c r="C747" s="1" t="s">
        <v>350</v>
      </c>
      <c r="D747" s="52">
        <v>46064.44027777778</v>
      </c>
      <c r="E747" s="52">
        <v>46064.44027777778</v>
      </c>
      <c r="F747" s="52">
        <v>46064.569444444445</v>
      </c>
      <c r="G747" s="53">
        <v>0.12916666666666668</v>
      </c>
      <c r="H747" s="1" t="s">
        <v>677</v>
      </c>
      <c r="J747" s="1" t="s">
        <v>230</v>
      </c>
      <c r="K747" s="1" t="s">
        <v>230</v>
      </c>
      <c r="L747" s="72" t="s">
        <v>791</v>
      </c>
      <c r="M747" s="1" t="s">
        <v>289</v>
      </c>
      <c r="N747" s="1" t="s">
        <v>253</v>
      </c>
      <c r="O747" s="1" t="s">
        <v>792</v>
      </c>
    </row>
    <row r="748" spans="2:17" ht="30.75">
      <c r="B748" s="1" t="s">
        <v>349</v>
      </c>
      <c r="C748" s="1" t="s">
        <v>776</v>
      </c>
      <c r="D748" s="52">
        <v>46064.44027777778</v>
      </c>
      <c r="E748" s="52">
        <v>46064.44027777778</v>
      </c>
      <c r="F748" s="52">
        <v>46064.569444444445</v>
      </c>
      <c r="G748" s="53">
        <v>0.12916666666666668</v>
      </c>
      <c r="H748" s="1" t="s">
        <v>677</v>
      </c>
      <c r="J748" s="1" t="s">
        <v>230</v>
      </c>
      <c r="K748" s="1" t="s">
        <v>230</v>
      </c>
      <c r="L748" s="72" t="s">
        <v>791</v>
      </c>
      <c r="M748" s="1" t="s">
        <v>289</v>
      </c>
      <c r="N748" s="1" t="s">
        <v>253</v>
      </c>
      <c r="O748" s="1" t="s">
        <v>792</v>
      </c>
    </row>
    <row r="749" spans="2:17">
      <c r="B749" s="1" t="s">
        <v>331</v>
      </c>
      <c r="C749" s="1" t="s">
        <v>332</v>
      </c>
      <c r="D749" s="52">
        <v>46064.491666666669</v>
      </c>
      <c r="E749" s="52">
        <v>46064.491666666669</v>
      </c>
      <c r="F749" s="52">
        <v>46064.53125</v>
      </c>
      <c r="G749" s="53">
        <v>3.9583333333333331E-2</v>
      </c>
      <c r="H749" s="1" t="s">
        <v>257</v>
      </c>
      <c r="J749" s="1" t="s">
        <v>258</v>
      </c>
      <c r="K749" s="1" t="s">
        <v>658</v>
      </c>
      <c r="L749" s="72" t="s">
        <v>793</v>
      </c>
      <c r="M749" s="1" t="s">
        <v>289</v>
      </c>
      <c r="N749" s="1" t="s">
        <v>253</v>
      </c>
      <c r="O749" s="1" t="s">
        <v>792</v>
      </c>
    </row>
    <row r="750" spans="2:17">
      <c r="B750" s="1" t="s">
        <v>331</v>
      </c>
      <c r="C750" s="1" t="s">
        <v>335</v>
      </c>
      <c r="D750" s="52">
        <v>46064.491666666669</v>
      </c>
      <c r="E750" s="52">
        <v>46064.491666666669</v>
      </c>
      <c r="F750" s="52">
        <v>46064.53125</v>
      </c>
      <c r="G750" s="53">
        <v>3.9583333333333331E-2</v>
      </c>
      <c r="H750" s="1" t="s">
        <v>257</v>
      </c>
      <c r="J750" s="1" t="s">
        <v>258</v>
      </c>
      <c r="K750" s="1" t="s">
        <v>658</v>
      </c>
      <c r="L750" s="72" t="s">
        <v>793</v>
      </c>
      <c r="M750" s="1" t="s">
        <v>289</v>
      </c>
      <c r="N750" s="1" t="s">
        <v>253</v>
      </c>
      <c r="O750" s="1" t="s">
        <v>792</v>
      </c>
    </row>
    <row r="751" spans="2:17">
      <c r="B751" s="1" t="s">
        <v>331</v>
      </c>
      <c r="C751" s="1" t="s">
        <v>336</v>
      </c>
      <c r="D751" s="52">
        <v>46064.491666666669</v>
      </c>
      <c r="E751" s="52">
        <v>46064.491666666669</v>
      </c>
      <c r="F751" s="52">
        <v>46064.53125</v>
      </c>
      <c r="G751" s="53">
        <v>3.9583333333333331E-2</v>
      </c>
      <c r="H751" s="1" t="s">
        <v>257</v>
      </c>
      <c r="J751" s="1" t="s">
        <v>258</v>
      </c>
      <c r="K751" s="1" t="s">
        <v>658</v>
      </c>
      <c r="L751" s="1" t="s">
        <v>793</v>
      </c>
      <c r="M751" s="1" t="s">
        <v>663</v>
      </c>
      <c r="N751" s="1" t="s">
        <v>788</v>
      </c>
      <c r="O751" s="1" t="s">
        <v>789</v>
      </c>
      <c r="P751" s="1" t="str">
        <f>_xlfn.CONCAT(B751,C751,D751,E751,F751)</f>
        <v>BC Varjao2.1215KTL-H0(MBUS-14)46064,491666666746064,491666666746064,53125</v>
      </c>
      <c r="Q751" s="1" t="str">
        <f>_xlfn.CONCAT(H751,I751,J751)</f>
        <v>DAURDE</v>
      </c>
    </row>
    <row r="752" spans="2:17">
      <c r="B752" s="1" t="s">
        <v>331</v>
      </c>
      <c r="C752" s="1" t="s">
        <v>337</v>
      </c>
      <c r="D752" s="52">
        <v>46064.491666666669</v>
      </c>
      <c r="E752" s="52">
        <v>46064.491666666669</v>
      </c>
      <c r="F752" s="52">
        <v>46064.53125</v>
      </c>
      <c r="G752" s="53">
        <v>3.9583333333333331E-2</v>
      </c>
      <c r="H752" s="1" t="s">
        <v>257</v>
      </c>
      <c r="J752" s="1" t="s">
        <v>258</v>
      </c>
      <c r="K752" s="1" t="s">
        <v>658</v>
      </c>
      <c r="L752" s="1" t="s">
        <v>793</v>
      </c>
      <c r="M752" s="1" t="s">
        <v>663</v>
      </c>
      <c r="N752" s="1" t="s">
        <v>788</v>
      </c>
      <c r="O752" s="1" t="s">
        <v>789</v>
      </c>
      <c r="P752" s="1" t="str">
        <f>_xlfn.CONCAT(B752,C752,D752,E752,F752)</f>
        <v>BC Varjao2.1215KTL-H0(MBUS-15)46064,491666666746064,491666666746064,53125</v>
      </c>
      <c r="Q752" s="1" t="str">
        <f>_xlfn.CONCAT(H752,I752,J752)</f>
        <v>DAURDE</v>
      </c>
    </row>
    <row r="753" spans="2:17">
      <c r="B753" s="1" t="s">
        <v>331</v>
      </c>
      <c r="C753" s="1" t="s">
        <v>338</v>
      </c>
      <c r="D753" s="52">
        <v>46064.491666666669</v>
      </c>
      <c r="E753" s="52">
        <v>46064.491666666669</v>
      </c>
      <c r="F753" s="52">
        <v>46064.53125</v>
      </c>
      <c r="G753" s="53">
        <v>3.9583333333333331E-2</v>
      </c>
      <c r="H753" s="1" t="s">
        <v>257</v>
      </c>
      <c r="J753" s="1" t="s">
        <v>258</v>
      </c>
      <c r="K753" s="1" t="s">
        <v>658</v>
      </c>
      <c r="L753" s="1" t="s">
        <v>793</v>
      </c>
      <c r="M753" s="1" t="s">
        <v>663</v>
      </c>
      <c r="N753" s="1" t="s">
        <v>788</v>
      </c>
      <c r="O753" s="1" t="s">
        <v>789</v>
      </c>
      <c r="P753" s="1" t="str">
        <f>_xlfn.CONCAT(B753,C753,D753,E753,F753)</f>
        <v>BC Varjao2.1215KTL-H0(MBUS-16)46064,491666666746064,491666666746064,53125</v>
      </c>
      <c r="Q753" s="1" t="str">
        <f>_xlfn.CONCAT(H753,I753,J753)</f>
        <v>DAURDE</v>
      </c>
    </row>
    <row r="754" spans="2:17">
      <c r="B754" s="1" t="s">
        <v>339</v>
      </c>
      <c r="C754" s="1" t="s">
        <v>335</v>
      </c>
      <c r="D754" s="52">
        <v>46064.491666666669</v>
      </c>
      <c r="E754" s="52">
        <v>46064.491666666669</v>
      </c>
      <c r="F754" s="52">
        <v>46064.53125</v>
      </c>
      <c r="G754" s="53">
        <v>3.9583333333333331E-2</v>
      </c>
      <c r="H754" s="1" t="s">
        <v>257</v>
      </c>
      <c r="J754" s="1" t="s">
        <v>258</v>
      </c>
      <c r="K754" s="1" t="s">
        <v>658</v>
      </c>
      <c r="L754" s="1" t="s">
        <v>793</v>
      </c>
      <c r="M754" s="1" t="s">
        <v>663</v>
      </c>
      <c r="N754" s="1" t="s">
        <v>788</v>
      </c>
      <c r="O754" s="1" t="s">
        <v>789</v>
      </c>
      <c r="P754" s="1" t="str">
        <f>_xlfn.CONCAT(B754,C754,D754,E754,F754)</f>
        <v>BC Varjao2.2215KTL-H0(MBUS-13)46064,491666666746064,491666666746064,53125</v>
      </c>
      <c r="Q754" s="1" t="str">
        <f>_xlfn.CONCAT(H754,I754,J754)</f>
        <v>DAURDE</v>
      </c>
    </row>
    <row r="755" spans="2:17">
      <c r="B755" s="1" t="s">
        <v>339</v>
      </c>
      <c r="C755" s="1" t="s">
        <v>336</v>
      </c>
      <c r="D755" s="52">
        <v>46064.491666666669</v>
      </c>
      <c r="E755" s="52">
        <v>46064.491666666669</v>
      </c>
      <c r="F755" s="52">
        <v>46064.53125</v>
      </c>
      <c r="G755" s="53">
        <v>3.9583333333333331E-2</v>
      </c>
      <c r="H755" s="1" t="s">
        <v>257</v>
      </c>
      <c r="J755" s="1" t="s">
        <v>258</v>
      </c>
      <c r="K755" s="1" t="s">
        <v>658</v>
      </c>
      <c r="L755" s="1" t="s">
        <v>793</v>
      </c>
      <c r="M755" s="1" t="s">
        <v>663</v>
      </c>
      <c r="N755" s="1" t="s">
        <v>788</v>
      </c>
      <c r="O755" s="1" t="s">
        <v>789</v>
      </c>
      <c r="P755" s="1" t="str">
        <f>_xlfn.CONCAT(B755,C755,D755,E755,F755)</f>
        <v>BC Varjao2.2215KTL-H0(MBUS-14)46064,491666666746064,491666666746064,53125</v>
      </c>
      <c r="Q755" s="1" t="str">
        <f>_xlfn.CONCAT(H755,I755,J755)</f>
        <v>DAURDE</v>
      </c>
    </row>
    <row r="756" spans="2:17">
      <c r="B756" s="1" t="s">
        <v>339</v>
      </c>
      <c r="C756" s="1" t="s">
        <v>337</v>
      </c>
      <c r="D756" s="52">
        <v>46064.491666666669</v>
      </c>
      <c r="E756" s="52">
        <v>46064.491666666669</v>
      </c>
      <c r="F756" s="52">
        <v>46064.53125</v>
      </c>
      <c r="G756" s="53">
        <v>3.9583333333333331E-2</v>
      </c>
      <c r="H756" s="1" t="s">
        <v>257</v>
      </c>
      <c r="J756" s="1" t="s">
        <v>258</v>
      </c>
      <c r="K756" s="1" t="s">
        <v>658</v>
      </c>
      <c r="L756" s="1" t="s">
        <v>793</v>
      </c>
      <c r="M756" s="1" t="s">
        <v>663</v>
      </c>
      <c r="N756" s="1" t="s">
        <v>788</v>
      </c>
      <c r="O756" s="1" t="s">
        <v>789</v>
      </c>
      <c r="P756" s="1" t="str">
        <f>_xlfn.CONCAT(B756,C756,D756,E756,F756)</f>
        <v>BC Varjao2.2215KTL-H0(MBUS-15)46064,491666666746064,491666666746064,53125</v>
      </c>
      <c r="Q756" s="1" t="str">
        <f>_xlfn.CONCAT(H756,I756,J756)</f>
        <v>DAURDE</v>
      </c>
    </row>
    <row r="757" spans="2:17">
      <c r="B757" s="1" t="s">
        <v>339</v>
      </c>
      <c r="C757" s="1" t="s">
        <v>338</v>
      </c>
      <c r="D757" s="52">
        <v>46064.491666666669</v>
      </c>
      <c r="E757" s="52">
        <v>46064.491666666669</v>
      </c>
      <c r="F757" s="52">
        <v>46064.53125</v>
      </c>
      <c r="G757" s="53">
        <v>3.9583333333333331E-2</v>
      </c>
      <c r="H757" s="1" t="s">
        <v>257</v>
      </c>
      <c r="J757" s="1" t="s">
        <v>258</v>
      </c>
      <c r="K757" s="1" t="s">
        <v>658</v>
      </c>
      <c r="L757" s="1" t="s">
        <v>793</v>
      </c>
      <c r="M757" s="1" t="s">
        <v>663</v>
      </c>
      <c r="N757" s="1" t="s">
        <v>788</v>
      </c>
      <c r="O757" s="1" t="s">
        <v>789</v>
      </c>
      <c r="P757" s="1" t="str">
        <f>_xlfn.CONCAT(B757,C757,D757,E757,F757)</f>
        <v>BC Varjao2.2215KTL-H0(MBUS-16)46064,491666666746064,491666666746064,53125</v>
      </c>
      <c r="Q757" s="1" t="str">
        <f>_xlfn.CONCAT(H757,I757,J757)</f>
        <v>DAURDE</v>
      </c>
    </row>
    <row r="758" spans="2:17">
      <c r="B758" s="1" t="s">
        <v>339</v>
      </c>
      <c r="C758" s="1" t="s">
        <v>332</v>
      </c>
      <c r="D758" s="52">
        <v>46064.491666666669</v>
      </c>
      <c r="E758" s="52">
        <v>46064.491666666669</v>
      </c>
      <c r="F758" s="52">
        <v>46064.53125</v>
      </c>
      <c r="G758" s="53">
        <v>3.9583333333333331E-2</v>
      </c>
      <c r="H758" s="1" t="s">
        <v>257</v>
      </c>
      <c r="J758" s="1" t="s">
        <v>258</v>
      </c>
      <c r="K758" s="1" t="s">
        <v>658</v>
      </c>
      <c r="L758" s="1" t="s">
        <v>793</v>
      </c>
      <c r="M758" s="1" t="s">
        <v>252</v>
      </c>
      <c r="N758" s="1" t="s">
        <v>253</v>
      </c>
      <c r="O758" s="1" t="s">
        <v>794</v>
      </c>
      <c r="P758" s="1" t="str">
        <f>_xlfn.CONCAT(B758,C758,D758,E758,F758)</f>
        <v>BC Varjao2.2215KTL-H0(MBUS-12)46064,491666666746064,491666666746064,53125</v>
      </c>
      <c r="Q758" s="1" t="str">
        <f>_xlfn.CONCAT(H758,I758,J758)</f>
        <v>DAURDE</v>
      </c>
    </row>
    <row r="759" spans="2:17">
      <c r="B759" s="1" t="s">
        <v>331</v>
      </c>
      <c r="C759" s="1" t="s">
        <v>332</v>
      </c>
      <c r="D759" s="52">
        <v>46064.616666666669</v>
      </c>
      <c r="E759" s="52">
        <v>46064.616666666669</v>
      </c>
      <c r="F759" s="52">
        <v>46064.722222222219</v>
      </c>
      <c r="G759" s="53">
        <v>0.10555555555555556</v>
      </c>
      <c r="H759" s="1" t="s">
        <v>257</v>
      </c>
      <c r="J759" s="1" t="s">
        <v>258</v>
      </c>
      <c r="K759" s="1" t="s">
        <v>658</v>
      </c>
      <c r="L759" s="1" t="s">
        <v>793</v>
      </c>
      <c r="M759" s="1" t="s">
        <v>252</v>
      </c>
      <c r="N759" s="1" t="s">
        <v>253</v>
      </c>
      <c r="O759" s="1" t="s">
        <v>794</v>
      </c>
      <c r="P759" s="1" t="str">
        <f>_xlfn.CONCAT(B759,C759,D759,E759,F759)</f>
        <v>BC Varjao2.1215KTL-H0(MBUS-12)46064,616666666746064,616666666746064,7222222222</v>
      </c>
      <c r="Q759" s="1" t="str">
        <f>_xlfn.CONCAT(H759,I759,J759)</f>
        <v>DAURDE</v>
      </c>
    </row>
    <row r="760" spans="2:17">
      <c r="B760" s="1" t="s">
        <v>331</v>
      </c>
      <c r="C760" s="1" t="s">
        <v>335</v>
      </c>
      <c r="D760" s="52">
        <v>46064.616666666669</v>
      </c>
      <c r="E760" s="52">
        <v>46064.616666666669</v>
      </c>
      <c r="F760" s="52">
        <v>46064.722222222219</v>
      </c>
      <c r="G760" s="53">
        <v>0.10555555555555556</v>
      </c>
      <c r="H760" s="1" t="s">
        <v>257</v>
      </c>
      <c r="J760" s="1" t="s">
        <v>258</v>
      </c>
      <c r="K760" s="1" t="s">
        <v>658</v>
      </c>
      <c r="L760" s="1" t="s">
        <v>793</v>
      </c>
      <c r="M760" s="1" t="s">
        <v>252</v>
      </c>
      <c r="N760" s="1" t="s">
        <v>253</v>
      </c>
      <c r="O760" s="1" t="s">
        <v>794</v>
      </c>
      <c r="P760" s="1" t="str">
        <f>_xlfn.CONCAT(B760,C760,D760,E760,F760)</f>
        <v>BC Varjao2.1215KTL-H0(MBUS-13)46064,616666666746064,616666666746064,7222222222</v>
      </c>
      <c r="Q760" s="1" t="str">
        <f>_xlfn.CONCAT(H760,I760,J760)</f>
        <v>DAURDE</v>
      </c>
    </row>
    <row r="761" spans="2:17">
      <c r="B761" s="1" t="s">
        <v>331</v>
      </c>
      <c r="C761" s="1" t="s">
        <v>336</v>
      </c>
      <c r="D761" s="52">
        <v>46064.616666666669</v>
      </c>
      <c r="E761" s="52">
        <v>46064.616666666669</v>
      </c>
      <c r="F761" s="52">
        <v>46064.722222222219</v>
      </c>
      <c r="G761" s="53">
        <v>0.10555555555555556</v>
      </c>
      <c r="H761" s="1" t="s">
        <v>257</v>
      </c>
      <c r="J761" s="1" t="s">
        <v>258</v>
      </c>
      <c r="K761" s="1" t="s">
        <v>658</v>
      </c>
      <c r="L761" s="1" t="s">
        <v>793</v>
      </c>
      <c r="M761" s="1" t="s">
        <v>260</v>
      </c>
      <c r="N761" s="1" t="s">
        <v>357</v>
      </c>
      <c r="O761" s="1" t="s">
        <v>632</v>
      </c>
      <c r="P761" s="1" t="str">
        <f>_xlfn.CONCAT(B761,C761,D761,E761,F761)</f>
        <v>BC Varjao2.1215KTL-H0(MBUS-14)46064,616666666746064,616666666746064,7222222222</v>
      </c>
      <c r="Q761" s="1" t="str">
        <f>_xlfn.CONCAT(H761,I761,J761)</f>
        <v>DAURDE</v>
      </c>
    </row>
    <row r="762" spans="2:17">
      <c r="B762" s="1" t="s">
        <v>331</v>
      </c>
      <c r="C762" s="1" t="s">
        <v>337</v>
      </c>
      <c r="D762" s="52">
        <v>46064.616666666669</v>
      </c>
      <c r="E762" s="52">
        <v>46064.616666666669</v>
      </c>
      <c r="F762" s="52">
        <v>46064.722222222219</v>
      </c>
      <c r="G762" s="53">
        <v>0.10555555555555556</v>
      </c>
      <c r="H762" s="1" t="s">
        <v>257</v>
      </c>
      <c r="J762" s="1" t="s">
        <v>258</v>
      </c>
      <c r="K762" s="1" t="s">
        <v>658</v>
      </c>
      <c r="L762" s="1" t="s">
        <v>793</v>
      </c>
      <c r="M762" s="1" t="s">
        <v>260</v>
      </c>
      <c r="N762" s="1" t="s">
        <v>357</v>
      </c>
      <c r="O762" s="1" t="s">
        <v>632</v>
      </c>
      <c r="P762" s="1" t="str">
        <f>_xlfn.CONCAT(B762,C762,D762,E762,F762)</f>
        <v>BC Varjao2.1215KTL-H0(MBUS-15)46064,616666666746064,616666666746064,7222222222</v>
      </c>
      <c r="Q762" s="1" t="str">
        <f>_xlfn.CONCAT(H762,I762,J762)</f>
        <v>DAURDE</v>
      </c>
    </row>
    <row r="763" spans="2:17">
      <c r="B763" s="1" t="s">
        <v>331</v>
      </c>
      <c r="C763" s="1" t="s">
        <v>338</v>
      </c>
      <c r="D763" s="52">
        <v>46064.616666666669</v>
      </c>
      <c r="E763" s="52">
        <v>46064.616666666669</v>
      </c>
      <c r="F763" s="52">
        <v>46064.722222222219</v>
      </c>
      <c r="G763" s="53">
        <v>0.10555555555555556</v>
      </c>
      <c r="H763" s="1" t="s">
        <v>257</v>
      </c>
      <c r="J763" s="1" t="s">
        <v>258</v>
      </c>
      <c r="K763" s="1" t="s">
        <v>658</v>
      </c>
      <c r="L763" s="1" t="s">
        <v>793</v>
      </c>
      <c r="M763" s="1" t="s">
        <v>260</v>
      </c>
      <c r="N763" s="1" t="s">
        <v>357</v>
      </c>
      <c r="O763" s="1" t="s">
        <v>632</v>
      </c>
      <c r="P763" s="1" t="str">
        <f>_xlfn.CONCAT(B763,C763,D763,E763,F763)</f>
        <v>BC Varjao2.1215KTL-H0(MBUS-16)46064,616666666746064,616666666746064,7222222222</v>
      </c>
      <c r="Q763" s="1" t="str">
        <f>_xlfn.CONCAT(H763,I763,J763)</f>
        <v>DAURDE</v>
      </c>
    </row>
    <row r="764" spans="2:17">
      <c r="B764" s="1" t="s">
        <v>339</v>
      </c>
      <c r="C764" s="1" t="s">
        <v>335</v>
      </c>
      <c r="D764" s="52">
        <v>46064.616666666669</v>
      </c>
      <c r="E764" s="52">
        <v>46064.616666666669</v>
      </c>
      <c r="F764" s="52">
        <v>46064.722222222219</v>
      </c>
      <c r="G764" s="53">
        <v>0.10555555555555556</v>
      </c>
      <c r="H764" s="1" t="s">
        <v>257</v>
      </c>
      <c r="J764" s="1" t="s">
        <v>258</v>
      </c>
      <c r="K764" s="1" t="s">
        <v>658</v>
      </c>
      <c r="L764" s="1" t="s">
        <v>793</v>
      </c>
      <c r="M764" s="1" t="s">
        <v>260</v>
      </c>
      <c r="N764" s="1" t="s">
        <v>357</v>
      </c>
      <c r="O764" s="1" t="s">
        <v>632</v>
      </c>
      <c r="P764" s="1" t="str">
        <f>_xlfn.CONCAT(B764,C764,D764,E764,F764)</f>
        <v>BC Varjao2.2215KTL-H0(MBUS-13)46064,616666666746064,616666666746064,7222222222</v>
      </c>
      <c r="Q764" s="1" t="str">
        <f>_xlfn.CONCAT(H764,I764,J764)</f>
        <v>DAURDE</v>
      </c>
    </row>
    <row r="765" spans="2:17">
      <c r="B765" s="1" t="s">
        <v>339</v>
      </c>
      <c r="C765" s="1" t="s">
        <v>336</v>
      </c>
      <c r="D765" s="52">
        <v>46064.616666666669</v>
      </c>
      <c r="E765" s="52">
        <v>46064.616666666669</v>
      </c>
      <c r="F765" s="52">
        <v>46064.722222222219</v>
      </c>
      <c r="G765" s="53">
        <v>0.10555555555555556</v>
      </c>
      <c r="H765" s="1" t="s">
        <v>257</v>
      </c>
      <c r="J765" s="1" t="s">
        <v>258</v>
      </c>
      <c r="K765" s="1" t="s">
        <v>658</v>
      </c>
      <c r="L765" s="1" t="s">
        <v>793</v>
      </c>
      <c r="M765" s="1" t="s">
        <v>260</v>
      </c>
      <c r="N765" s="1" t="s">
        <v>357</v>
      </c>
      <c r="O765" s="1" t="s">
        <v>632</v>
      </c>
      <c r="P765" s="1" t="str">
        <f>_xlfn.CONCAT(B765,C765,D765,E765,F765)</f>
        <v>BC Varjao2.2215KTL-H0(MBUS-14)46064,616666666746064,616666666746064,7222222222</v>
      </c>
      <c r="Q765" s="1" t="str">
        <f>_xlfn.CONCAT(H765,I765,J765)</f>
        <v>DAURDE</v>
      </c>
    </row>
    <row r="766" spans="2:17">
      <c r="B766" s="1" t="s">
        <v>339</v>
      </c>
      <c r="C766" s="1" t="s">
        <v>337</v>
      </c>
      <c r="D766" s="52">
        <v>46064.616666666669</v>
      </c>
      <c r="E766" s="52">
        <v>46064.616666666669</v>
      </c>
      <c r="F766" s="52">
        <v>46064.722222222219</v>
      </c>
      <c r="G766" s="53">
        <v>0.10555555555555556</v>
      </c>
      <c r="H766" s="1" t="s">
        <v>257</v>
      </c>
      <c r="J766" s="1" t="s">
        <v>258</v>
      </c>
      <c r="K766" s="1" t="s">
        <v>658</v>
      </c>
      <c r="L766" s="1" t="s">
        <v>793</v>
      </c>
      <c r="M766" s="1" t="s">
        <v>260</v>
      </c>
      <c r="N766" s="1" t="s">
        <v>357</v>
      </c>
      <c r="O766" s="1" t="s">
        <v>632</v>
      </c>
      <c r="P766" s="1" t="str">
        <f>_xlfn.CONCAT(B766,C766,D766,E766,F766)</f>
        <v>BC Varjao2.2215KTL-H0(MBUS-15)46064,616666666746064,616666666746064,7222222222</v>
      </c>
      <c r="Q766" s="1" t="str">
        <f>_xlfn.CONCAT(H766,I766,J766)</f>
        <v>DAURDE</v>
      </c>
    </row>
    <row r="767" spans="2:17">
      <c r="B767" s="1" t="s">
        <v>339</v>
      </c>
      <c r="C767" s="1" t="s">
        <v>338</v>
      </c>
      <c r="D767" s="52">
        <v>46064.616666666669</v>
      </c>
      <c r="E767" s="52">
        <v>46064.616666666669</v>
      </c>
      <c r="F767" s="52">
        <v>46064.722222222219</v>
      </c>
      <c r="G767" s="53">
        <v>0.10555555555555556</v>
      </c>
      <c r="H767" s="1" t="s">
        <v>257</v>
      </c>
      <c r="J767" s="1" t="s">
        <v>258</v>
      </c>
      <c r="K767" s="1" t="s">
        <v>658</v>
      </c>
      <c r="L767" s="1" t="s">
        <v>793</v>
      </c>
      <c r="M767" s="1" t="s">
        <v>260</v>
      </c>
      <c r="N767" s="1" t="s">
        <v>357</v>
      </c>
      <c r="O767" s="1" t="s">
        <v>632</v>
      </c>
      <c r="P767" s="1" t="str">
        <f>_xlfn.CONCAT(B767,C767,D767,E767,F767)</f>
        <v>BC Varjao2.2215KTL-H0(MBUS-16)46064,616666666746064,616666666746064,7222222222</v>
      </c>
      <c r="Q767" s="1" t="str">
        <f>_xlfn.CONCAT(H767,I767,J767)</f>
        <v>DAURDE</v>
      </c>
    </row>
    <row r="768" spans="2:17">
      <c r="B768" s="1" t="s">
        <v>339</v>
      </c>
      <c r="C768" s="1" t="s">
        <v>332</v>
      </c>
      <c r="D768" s="52">
        <v>46064.616666666669</v>
      </c>
      <c r="E768" s="52">
        <v>46064.616666666669</v>
      </c>
      <c r="F768" s="52">
        <v>46064.722222222219</v>
      </c>
      <c r="G768" s="53">
        <v>0.10555555555555556</v>
      </c>
      <c r="H768" s="1" t="s">
        <v>257</v>
      </c>
      <c r="J768" s="1" t="s">
        <v>258</v>
      </c>
      <c r="K768" s="1" t="s">
        <v>658</v>
      </c>
      <c r="L768" s="1" t="s">
        <v>793</v>
      </c>
      <c r="M768" s="1" t="s">
        <v>260</v>
      </c>
      <c r="N768" s="1" t="s">
        <v>357</v>
      </c>
      <c r="O768" s="1" t="s">
        <v>632</v>
      </c>
      <c r="P768" s="1" t="str">
        <f>_xlfn.CONCAT(B768,C768,D768,E768,F768)</f>
        <v>BC Varjao2.2215KTL-H0(MBUS-12)46064,616666666746064,616666666746064,7222222222</v>
      </c>
      <c r="Q768" s="1" t="str">
        <f>_xlfn.CONCAT(H768,I768,J768)</f>
        <v>DAURDE</v>
      </c>
    </row>
    <row r="769" spans="2:17">
      <c r="B769" s="1" t="s">
        <v>724</v>
      </c>
      <c r="C769" s="1" t="s">
        <v>608</v>
      </c>
      <c r="D769" s="52">
        <v>46064.666666666664</v>
      </c>
      <c r="E769" s="52">
        <v>46064.666666666664</v>
      </c>
      <c r="F769" s="52">
        <v>46064.708333333336</v>
      </c>
      <c r="G769" s="53">
        <v>4.1666666666666664E-2</v>
      </c>
      <c r="H769" s="1" t="s">
        <v>677</v>
      </c>
      <c r="J769" s="1" t="s">
        <v>230</v>
      </c>
      <c r="K769" s="1" t="s">
        <v>230</v>
      </c>
      <c r="L769" s="1" t="s">
        <v>795</v>
      </c>
      <c r="M769" s="1" t="s">
        <v>260</v>
      </c>
      <c r="N769" s="1" t="s">
        <v>357</v>
      </c>
      <c r="O769" s="1" t="s">
        <v>632</v>
      </c>
      <c r="P769" s="1" t="str">
        <f>_xlfn.CONCAT(B769,C769,D769,E769,F769)</f>
        <v>BC Corumba1.3U03.I0146064,666666666746064,666666666746064,7083333333</v>
      </c>
      <c r="Q769" s="1" t="str">
        <f>_xlfn.CONCAT(H769,I769,J769)</f>
        <v>DPRUFV</v>
      </c>
    </row>
    <row r="770" spans="2:17">
      <c r="B770" s="1" t="s">
        <v>724</v>
      </c>
      <c r="C770" s="1" t="s">
        <v>611</v>
      </c>
      <c r="D770" s="52">
        <v>46064.666666666664</v>
      </c>
      <c r="E770" s="52">
        <v>46064.666666666664</v>
      </c>
      <c r="F770" s="52">
        <v>46064.708333333336</v>
      </c>
      <c r="G770" s="53">
        <v>4.1666666666666664E-2</v>
      </c>
      <c r="H770" s="1" t="s">
        <v>677</v>
      </c>
      <c r="J770" s="1" t="s">
        <v>230</v>
      </c>
      <c r="K770" s="1" t="s">
        <v>230</v>
      </c>
      <c r="L770" s="1" t="s">
        <v>796</v>
      </c>
      <c r="M770" s="1" t="s">
        <v>260</v>
      </c>
      <c r="N770" s="1" t="s">
        <v>357</v>
      </c>
      <c r="O770" s="1" t="s">
        <v>632</v>
      </c>
      <c r="P770" s="1" t="str">
        <f>_xlfn.CONCAT(B770,C770,D770,E770,F770)</f>
        <v>BC Corumba1.3U03.I0246064,666666666746064,666666666746064,7083333333</v>
      </c>
      <c r="Q770" s="1" t="str">
        <f>_xlfn.CONCAT(H770,I770,J770)</f>
        <v>DPRUFV</v>
      </c>
    </row>
    <row r="771" spans="2:17">
      <c r="B771" s="1" t="s">
        <v>724</v>
      </c>
      <c r="C771" s="1" t="s">
        <v>536</v>
      </c>
      <c r="D771" s="52">
        <v>46064.666666666664</v>
      </c>
      <c r="E771" s="52">
        <v>46064.666666666664</v>
      </c>
      <c r="F771" s="52">
        <v>46064.708333333336</v>
      </c>
      <c r="G771" s="53">
        <v>4.1666666666666664E-2</v>
      </c>
      <c r="H771" s="1" t="s">
        <v>677</v>
      </c>
      <c r="J771" s="1" t="s">
        <v>230</v>
      </c>
      <c r="K771" s="1" t="s">
        <v>230</v>
      </c>
      <c r="L771" s="1" t="s">
        <v>796</v>
      </c>
      <c r="M771" s="1" t="s">
        <v>260</v>
      </c>
      <c r="N771" s="1" t="s">
        <v>357</v>
      </c>
      <c r="O771" s="1" t="s">
        <v>632</v>
      </c>
      <c r="P771" s="1" t="str">
        <f>_xlfn.CONCAT(B771,C771,D771,E771,F771)</f>
        <v>BC Corumba1.3U03.I0346064,666666666746064,666666666746064,7083333333</v>
      </c>
      <c r="Q771" s="1" t="str">
        <f>_xlfn.CONCAT(H771,I771,J771)</f>
        <v>DPRUFV</v>
      </c>
    </row>
    <row r="772" spans="2:17">
      <c r="B772" s="1" t="s">
        <v>360</v>
      </c>
      <c r="C772" s="1" t="s">
        <v>720</v>
      </c>
      <c r="D772" s="52">
        <v>46065.05972222222</v>
      </c>
      <c r="E772" s="52">
        <v>46065.05972222222</v>
      </c>
      <c r="F772" s="52">
        <v>46065.253472222219</v>
      </c>
      <c r="G772" s="53">
        <v>0.19375000000000001</v>
      </c>
      <c r="H772" s="1" t="s">
        <v>797</v>
      </c>
      <c r="J772" s="1" t="s">
        <v>230</v>
      </c>
      <c r="K772" s="1" t="s">
        <v>230</v>
      </c>
      <c r="L772" s="1" t="s">
        <v>798</v>
      </c>
      <c r="M772" s="1" t="s">
        <v>260</v>
      </c>
      <c r="N772" s="1" t="s">
        <v>357</v>
      </c>
      <c r="O772" s="1" t="s">
        <v>632</v>
      </c>
      <c r="P772" s="1" t="str">
        <f>_xlfn.CONCAT(B772,C772,D772,E772,F772)</f>
        <v>BC Corumba1.1U01.I0146065,059722222246065,059722222246065,2534722222</v>
      </c>
      <c r="Q772" s="1" t="str">
        <f>_xlfn.CONCAT(H772,I772,J772)</f>
        <v>DURUFV</v>
      </c>
    </row>
    <row r="773" spans="2:17">
      <c r="B773" s="1" t="s">
        <v>360</v>
      </c>
      <c r="C773" s="1" t="s">
        <v>721</v>
      </c>
      <c r="D773" s="52">
        <v>46065.05972222222</v>
      </c>
      <c r="E773" s="52">
        <v>46065.05972222222</v>
      </c>
      <c r="F773" s="52">
        <v>46065.253472222219</v>
      </c>
      <c r="G773" s="53">
        <v>0.19375000000000001</v>
      </c>
      <c r="H773" s="1" t="s">
        <v>797</v>
      </c>
      <c r="J773" s="1" t="s">
        <v>230</v>
      </c>
      <c r="K773" s="1" t="s">
        <v>230</v>
      </c>
      <c r="L773" s="1" t="s">
        <v>798</v>
      </c>
      <c r="M773" s="1" t="s">
        <v>260</v>
      </c>
      <c r="N773" s="1" t="s">
        <v>357</v>
      </c>
      <c r="O773" s="1" t="s">
        <v>632</v>
      </c>
      <c r="P773" s="1" t="str">
        <f>_xlfn.CONCAT(B773,C773,D773,E773,F773)</f>
        <v>BC Corumba1.1U01.I0246065,059722222246065,059722222246065,2534722222</v>
      </c>
      <c r="Q773" s="1" t="str">
        <f>_xlfn.CONCAT(H773,I773,J773)</f>
        <v>DURUFV</v>
      </c>
    </row>
    <row r="774" spans="2:17">
      <c r="B774" s="1" t="s">
        <v>360</v>
      </c>
      <c r="C774" s="1" t="s">
        <v>722</v>
      </c>
      <c r="D774" s="52">
        <v>46065.05972222222</v>
      </c>
      <c r="E774" s="52">
        <v>46065.05972222222</v>
      </c>
      <c r="F774" s="52">
        <v>46065.253472222219</v>
      </c>
      <c r="G774" s="53">
        <v>0.19375000000000001</v>
      </c>
      <c r="H774" s="1" t="s">
        <v>797</v>
      </c>
      <c r="J774" s="1" t="s">
        <v>230</v>
      </c>
      <c r="K774" s="1" t="s">
        <v>230</v>
      </c>
      <c r="L774" s="1" t="s">
        <v>798</v>
      </c>
      <c r="M774" s="1" t="s">
        <v>260</v>
      </c>
      <c r="N774" s="1" t="s">
        <v>357</v>
      </c>
      <c r="O774" s="1" t="s">
        <v>632</v>
      </c>
      <c r="P774" s="1" t="str">
        <f>_xlfn.CONCAT(B774,C774,D774,E774,F774)</f>
        <v>BC Corumba1.1U01.I0346065,059722222246065,059722222246065,2534722222</v>
      </c>
      <c r="Q774" s="1" t="str">
        <f>_xlfn.CONCAT(H774,I774,J774)</f>
        <v>DURUFV</v>
      </c>
    </row>
    <row r="775" spans="2:17">
      <c r="B775" s="1" t="s">
        <v>360</v>
      </c>
      <c r="C775" s="1" t="s">
        <v>361</v>
      </c>
      <c r="D775" s="52">
        <v>46065.05972222222</v>
      </c>
      <c r="E775" s="52">
        <v>46065.05972222222</v>
      </c>
      <c r="F775" s="52">
        <v>46065.253472222219</v>
      </c>
      <c r="G775" s="53">
        <v>0.19375000000000001</v>
      </c>
      <c r="H775" s="1" t="s">
        <v>797</v>
      </c>
      <c r="J775" s="1" t="s">
        <v>230</v>
      </c>
      <c r="K775" s="1" t="s">
        <v>230</v>
      </c>
      <c r="L775" s="1" t="s">
        <v>798</v>
      </c>
      <c r="M775" s="1" t="s">
        <v>260</v>
      </c>
      <c r="N775" s="1" t="s">
        <v>357</v>
      </c>
      <c r="O775" s="1" t="s">
        <v>632</v>
      </c>
      <c r="P775" s="1" t="str">
        <f>_xlfn.CONCAT(B775,C775,D775,E775,F775)</f>
        <v>BC Corumba1.1U01.I0446065,059722222246065,059722222246065,2534722222</v>
      </c>
      <c r="Q775" s="1" t="str">
        <f>_xlfn.CONCAT(H775,I775,J775)</f>
        <v>DURUFV</v>
      </c>
    </row>
    <row r="776" spans="2:17">
      <c r="B776" s="1" t="s">
        <v>360</v>
      </c>
      <c r="C776" s="1" t="s">
        <v>366</v>
      </c>
      <c r="D776" s="52">
        <v>46065.05972222222</v>
      </c>
      <c r="E776" s="52">
        <v>46065.05972222222</v>
      </c>
      <c r="F776" s="52">
        <v>46065.253472222219</v>
      </c>
      <c r="G776" s="53">
        <v>0.19375000000000001</v>
      </c>
      <c r="H776" s="1" t="s">
        <v>797</v>
      </c>
      <c r="J776" s="1" t="s">
        <v>230</v>
      </c>
      <c r="K776" s="1" t="s">
        <v>230</v>
      </c>
      <c r="L776" s="1" t="s">
        <v>798</v>
      </c>
      <c r="M776" s="1" t="s">
        <v>260</v>
      </c>
      <c r="N776" s="1" t="s">
        <v>357</v>
      </c>
      <c r="O776" s="1" t="s">
        <v>632</v>
      </c>
      <c r="P776" s="1" t="str">
        <f>_xlfn.CONCAT(B776,C776,D776,E776,F776)</f>
        <v>BC Corumba1.1U01.I0546065,059722222246065,059722222246065,2534722222</v>
      </c>
      <c r="Q776" s="1" t="str">
        <f>_xlfn.CONCAT(H776,I776,J776)</f>
        <v>DURUFV</v>
      </c>
    </row>
    <row r="777" spans="2:17">
      <c r="B777" s="1" t="s">
        <v>367</v>
      </c>
      <c r="C777" s="1" t="s">
        <v>287</v>
      </c>
      <c r="D777" s="52">
        <v>46065.05972222222</v>
      </c>
      <c r="E777" s="52">
        <v>46065.05972222222</v>
      </c>
      <c r="F777" s="52">
        <v>46065.253472222219</v>
      </c>
      <c r="G777" s="53">
        <v>0.19375000000000001</v>
      </c>
      <c r="H777" s="1" t="s">
        <v>797</v>
      </c>
      <c r="J777" s="1" t="s">
        <v>230</v>
      </c>
      <c r="K777" s="1" t="s">
        <v>230</v>
      </c>
      <c r="L777" s="1" t="s">
        <v>798</v>
      </c>
      <c r="M777" s="1" t="s">
        <v>260</v>
      </c>
      <c r="N777" s="1" t="s">
        <v>357</v>
      </c>
      <c r="O777" s="1" t="s">
        <v>632</v>
      </c>
      <c r="P777" s="1" t="str">
        <f>_xlfn.CONCAT(B777,C777,D777,E777,F777)</f>
        <v>BC Corumba1.2U02.I0146065,059722222246065,059722222246065,2534722222</v>
      </c>
      <c r="Q777" s="1" t="str">
        <f>_xlfn.CONCAT(H777,I777,J777)</f>
        <v>DURUFV</v>
      </c>
    </row>
    <row r="778" spans="2:17">
      <c r="B778" s="1" t="s">
        <v>367</v>
      </c>
      <c r="C778" s="1" t="s">
        <v>292</v>
      </c>
      <c r="D778" s="52">
        <v>46065.05972222222</v>
      </c>
      <c r="E778" s="52">
        <v>46065.05972222222</v>
      </c>
      <c r="F778" s="52">
        <v>46065.253472222219</v>
      </c>
      <c r="G778" s="53">
        <v>0.19375000000000001</v>
      </c>
      <c r="H778" s="1" t="s">
        <v>797</v>
      </c>
      <c r="J778" s="1" t="s">
        <v>230</v>
      </c>
      <c r="K778" s="1" t="s">
        <v>230</v>
      </c>
      <c r="L778" s="1" t="s">
        <v>798</v>
      </c>
      <c r="M778" s="1" t="s">
        <v>260</v>
      </c>
      <c r="N778" s="1" t="s">
        <v>357</v>
      </c>
      <c r="O778" s="1" t="s">
        <v>632</v>
      </c>
      <c r="P778" s="1" t="str">
        <f>_xlfn.CONCAT(B778,C778,D778,E778,F778)</f>
        <v>BC Corumba1.2U02.I0246065,059722222246065,059722222246065,2534722222</v>
      </c>
      <c r="Q778" s="1" t="str">
        <f>_xlfn.CONCAT(H778,I778,J778)</f>
        <v>DURUFV</v>
      </c>
    </row>
    <row r="779" spans="2:17">
      <c r="B779" s="1" t="s">
        <v>367</v>
      </c>
      <c r="C779" s="1" t="s">
        <v>293</v>
      </c>
      <c r="D779" s="52">
        <v>46065.05972222222</v>
      </c>
      <c r="E779" s="52">
        <v>46065.05972222222</v>
      </c>
      <c r="F779" s="52">
        <v>46065.253472222219</v>
      </c>
      <c r="G779" s="53">
        <v>0.19375000000000001</v>
      </c>
      <c r="H779" s="1" t="s">
        <v>797</v>
      </c>
      <c r="J779" s="1" t="s">
        <v>230</v>
      </c>
      <c r="K779" s="1" t="s">
        <v>230</v>
      </c>
      <c r="L779" s="1" t="s">
        <v>798</v>
      </c>
      <c r="M779" s="1" t="s">
        <v>260</v>
      </c>
      <c r="N779" s="1" t="s">
        <v>357</v>
      </c>
      <c r="O779" s="1" t="s">
        <v>632</v>
      </c>
      <c r="P779" s="1" t="str">
        <f>_xlfn.CONCAT(B779,C779,D779,E779,F779)</f>
        <v>BC Corumba1.2U02.I0346065,059722222246065,059722222246065,2534722222</v>
      </c>
      <c r="Q779" s="1" t="str">
        <f>_xlfn.CONCAT(H779,I779,J779)</f>
        <v>DURUFV</v>
      </c>
    </row>
    <row r="780" spans="2:17">
      <c r="B780" s="1" t="s">
        <v>367</v>
      </c>
      <c r="C780" s="1" t="s">
        <v>294</v>
      </c>
      <c r="D780" s="52">
        <v>46065.05972222222</v>
      </c>
      <c r="E780" s="52">
        <v>46065.05972222222</v>
      </c>
      <c r="F780" s="52">
        <v>46065.253472222219</v>
      </c>
      <c r="G780" s="53">
        <v>0.19375000000000001</v>
      </c>
      <c r="H780" s="1" t="s">
        <v>797</v>
      </c>
      <c r="J780" s="1" t="s">
        <v>230</v>
      </c>
      <c r="K780" s="1" t="s">
        <v>230</v>
      </c>
      <c r="L780" s="1" t="s">
        <v>798</v>
      </c>
      <c r="M780" s="1" t="s">
        <v>260</v>
      </c>
      <c r="N780" s="1" t="s">
        <v>357</v>
      </c>
      <c r="O780" s="1" t="s">
        <v>632</v>
      </c>
      <c r="P780" s="1" t="str">
        <f>_xlfn.CONCAT(B780,C780,D780,E780,F780)</f>
        <v>BC Corumba1.2U02.I0446065,059722222246065,059722222246065,2534722222</v>
      </c>
      <c r="Q780" s="1" t="str">
        <f>_xlfn.CONCAT(H780,I780,J780)</f>
        <v>DURUFV</v>
      </c>
    </row>
    <row r="781" spans="2:17">
      <c r="B781" s="1" t="s">
        <v>367</v>
      </c>
      <c r="C781" s="1" t="s">
        <v>295</v>
      </c>
      <c r="D781" s="52">
        <v>46065.05972222222</v>
      </c>
      <c r="E781" s="52">
        <v>46065.05972222222</v>
      </c>
      <c r="F781" s="52">
        <v>46065.253472222219</v>
      </c>
      <c r="G781" s="53">
        <v>0.19375000000000001</v>
      </c>
      <c r="H781" s="1" t="s">
        <v>797</v>
      </c>
      <c r="J781" s="1" t="s">
        <v>230</v>
      </c>
      <c r="K781" s="1" t="s">
        <v>230</v>
      </c>
      <c r="L781" s="1" t="s">
        <v>798</v>
      </c>
      <c r="M781" s="1" t="s">
        <v>260</v>
      </c>
      <c r="N781" s="1" t="s">
        <v>357</v>
      </c>
      <c r="O781" s="1" t="s">
        <v>632</v>
      </c>
      <c r="P781" s="1" t="str">
        <f>_xlfn.CONCAT(B781,C781,D781,E781,F781)</f>
        <v>BC Corumba1.2U02.I0546065,059722222246065,059722222246065,2534722222</v>
      </c>
      <c r="Q781" s="1" t="str">
        <f>_xlfn.CONCAT(H781,I781,J781)</f>
        <v>DURUFV</v>
      </c>
    </row>
    <row r="782" spans="2:17">
      <c r="B782" s="1" t="s">
        <v>724</v>
      </c>
      <c r="C782" s="1" t="s">
        <v>608</v>
      </c>
      <c r="D782" s="52">
        <v>46065.05972222222</v>
      </c>
      <c r="E782" s="52">
        <v>46065.05972222222</v>
      </c>
      <c r="F782" s="52">
        <v>46065.253472222219</v>
      </c>
      <c r="G782" s="53">
        <v>0.19375000000000001</v>
      </c>
      <c r="H782" s="1" t="s">
        <v>797</v>
      </c>
      <c r="J782" s="1" t="s">
        <v>230</v>
      </c>
      <c r="K782" s="1" t="s">
        <v>230</v>
      </c>
      <c r="L782" s="1" t="s">
        <v>798</v>
      </c>
      <c r="M782" s="1" t="s">
        <v>260</v>
      </c>
      <c r="N782" s="1" t="s">
        <v>357</v>
      </c>
      <c r="O782" s="1" t="s">
        <v>632</v>
      </c>
      <c r="P782" s="1" t="str">
        <f>_xlfn.CONCAT(B782,C782,D782,E782,F782)</f>
        <v>BC Corumba1.3U03.I0146065,059722222246065,059722222246065,2534722222</v>
      </c>
      <c r="Q782" s="1" t="str">
        <f>_xlfn.CONCAT(H782,I782,J782)</f>
        <v>DURUFV</v>
      </c>
    </row>
    <row r="783" spans="2:17">
      <c r="B783" s="1" t="s">
        <v>724</v>
      </c>
      <c r="C783" s="1" t="s">
        <v>611</v>
      </c>
      <c r="D783" s="52">
        <v>46065.05972222222</v>
      </c>
      <c r="E783" s="52">
        <v>46065.05972222222</v>
      </c>
      <c r="F783" s="52">
        <v>46065.253472222219</v>
      </c>
      <c r="G783" s="53">
        <v>0.19375000000000001</v>
      </c>
      <c r="H783" s="1" t="s">
        <v>797</v>
      </c>
      <c r="J783" s="1" t="s">
        <v>230</v>
      </c>
      <c r="K783" s="1" t="s">
        <v>230</v>
      </c>
      <c r="L783" s="1" t="s">
        <v>798</v>
      </c>
      <c r="M783" s="1" t="s">
        <v>260</v>
      </c>
      <c r="N783" s="1" t="s">
        <v>357</v>
      </c>
      <c r="O783" s="1" t="s">
        <v>632</v>
      </c>
      <c r="P783" s="1" t="str">
        <f>_xlfn.CONCAT(B783,C783,D783,E783,F783)</f>
        <v>BC Corumba1.3U03.I0246065,059722222246065,059722222246065,2534722222</v>
      </c>
      <c r="Q783" s="1" t="str">
        <f>_xlfn.CONCAT(H783,I783,J783)</f>
        <v>DURUFV</v>
      </c>
    </row>
    <row r="784" spans="2:17">
      <c r="B784" s="1" t="s">
        <v>724</v>
      </c>
      <c r="C784" s="1" t="s">
        <v>536</v>
      </c>
      <c r="D784" s="52">
        <v>46065.05972222222</v>
      </c>
      <c r="E784" s="52">
        <v>46065.05972222222</v>
      </c>
      <c r="F784" s="52">
        <v>46065.253472222219</v>
      </c>
      <c r="G784" s="53">
        <v>0.19375000000000001</v>
      </c>
      <c r="H784" s="1" t="s">
        <v>797</v>
      </c>
      <c r="J784" s="1" t="s">
        <v>230</v>
      </c>
      <c r="K784" s="1" t="s">
        <v>230</v>
      </c>
      <c r="L784" s="1" t="s">
        <v>798</v>
      </c>
      <c r="M784" s="1" t="s">
        <v>260</v>
      </c>
      <c r="N784" s="1" t="s">
        <v>357</v>
      </c>
      <c r="O784" s="1" t="s">
        <v>632</v>
      </c>
      <c r="P784" s="1" t="str">
        <f>_xlfn.CONCAT(B784,C784,D784,E784,F784)</f>
        <v>BC Corumba1.3U03.I0346065,059722222246065,059722222246065,2534722222</v>
      </c>
      <c r="Q784" s="1" t="str">
        <f>_xlfn.CONCAT(H784,I784,J784)</f>
        <v>DURUFV</v>
      </c>
    </row>
    <row r="785" spans="2:17">
      <c r="B785" s="1" t="s">
        <v>725</v>
      </c>
      <c r="C785" s="1" t="s">
        <v>263</v>
      </c>
      <c r="D785" s="52">
        <v>46065.05972222222</v>
      </c>
      <c r="E785" s="52">
        <v>46065.05972222222</v>
      </c>
      <c r="F785" s="52">
        <v>46080.46875</v>
      </c>
      <c r="G785" s="53">
        <v>15.409027777777778</v>
      </c>
      <c r="H785" s="1" t="s">
        <v>797</v>
      </c>
      <c r="J785" s="1" t="s">
        <v>230</v>
      </c>
      <c r="K785" s="1" t="s">
        <v>230</v>
      </c>
      <c r="L785" s="1" t="s">
        <v>798</v>
      </c>
      <c r="M785" s="1" t="s">
        <v>260</v>
      </c>
      <c r="N785" s="1" t="s">
        <v>357</v>
      </c>
      <c r="O785" s="1" t="s">
        <v>632</v>
      </c>
      <c r="P785" s="1" t="str">
        <f>_xlfn.CONCAT(B785,C785,D785,E785,F785)</f>
        <v>BC Corumba2.1Inverter(MBUS-14)46065,059722222246065,059722222246080,46875</v>
      </c>
      <c r="Q785" s="1" t="str">
        <f>_xlfn.CONCAT(H785,I785,J785)</f>
        <v>DURUFV</v>
      </c>
    </row>
    <row r="786" spans="2:17">
      <c r="B786" s="1" t="s">
        <v>725</v>
      </c>
      <c r="C786" s="1" t="s">
        <v>307</v>
      </c>
      <c r="D786" s="52">
        <v>46065.05972222222</v>
      </c>
      <c r="E786" s="52">
        <v>46065.05972222222</v>
      </c>
      <c r="F786" s="52">
        <v>46066.708333333336</v>
      </c>
      <c r="G786" s="53">
        <v>1.648611111111111</v>
      </c>
      <c r="H786" s="1" t="s">
        <v>797</v>
      </c>
      <c r="J786" s="1" t="s">
        <v>230</v>
      </c>
      <c r="K786" s="1" t="s">
        <v>230</v>
      </c>
      <c r="L786" s="1" t="s">
        <v>798</v>
      </c>
      <c r="M786" s="1" t="s">
        <v>260</v>
      </c>
      <c r="N786" s="1" t="s">
        <v>357</v>
      </c>
      <c r="O786" s="1" t="s">
        <v>632</v>
      </c>
      <c r="P786" s="1" t="str">
        <f>_xlfn.CONCAT(B786,C786,D786,E786,F786)</f>
        <v>BC Corumba2.1Inverter(MBUS-15)46065,059722222246065,059722222246066,7083333333</v>
      </c>
      <c r="Q786" s="1" t="str">
        <f>_xlfn.CONCAT(H786,I786,J786)</f>
        <v>DURUFV</v>
      </c>
    </row>
    <row r="787" spans="2:17">
      <c r="B787" s="1" t="s">
        <v>725</v>
      </c>
      <c r="C787" s="1" t="s">
        <v>390</v>
      </c>
      <c r="D787" s="52">
        <v>46065.05972222222</v>
      </c>
      <c r="E787" s="52">
        <v>46065.05972222222</v>
      </c>
      <c r="F787" s="52">
        <v>46066.715277777781</v>
      </c>
      <c r="G787" s="53">
        <v>1.6555555555555554</v>
      </c>
      <c r="H787" s="1" t="s">
        <v>797</v>
      </c>
      <c r="J787" s="1" t="s">
        <v>230</v>
      </c>
      <c r="K787" s="1" t="s">
        <v>230</v>
      </c>
      <c r="L787" s="1" t="s">
        <v>798</v>
      </c>
      <c r="M787" s="1" t="s">
        <v>260</v>
      </c>
      <c r="N787" s="1" t="s">
        <v>357</v>
      </c>
      <c r="O787" s="1" t="s">
        <v>632</v>
      </c>
      <c r="P787" s="1" t="str">
        <f>_xlfn.CONCAT(B787,C787,D787,E787,F787)</f>
        <v>BC Corumba2.1Inverter(MBUS-16)46065,059722222246065,059722222246066,7152777778</v>
      </c>
      <c r="Q787" s="1" t="str">
        <f>_xlfn.CONCAT(H787,I787,J787)</f>
        <v>DURUFV</v>
      </c>
    </row>
    <row r="788" spans="2:17">
      <c r="B788" s="1" t="s">
        <v>725</v>
      </c>
      <c r="C788" s="1" t="s">
        <v>726</v>
      </c>
      <c r="D788" s="52">
        <v>46065.05972222222</v>
      </c>
      <c r="E788" s="52">
        <v>46065.05972222222</v>
      </c>
      <c r="F788" s="52">
        <v>46080.5625</v>
      </c>
      <c r="G788" s="53">
        <v>15.502777777777778</v>
      </c>
      <c r="H788" s="1" t="s">
        <v>797</v>
      </c>
      <c r="J788" s="1" t="s">
        <v>230</v>
      </c>
      <c r="K788" s="1" t="s">
        <v>230</v>
      </c>
      <c r="L788" s="1" t="s">
        <v>798</v>
      </c>
      <c r="M788" s="1" t="s">
        <v>260</v>
      </c>
      <c r="N788" s="1" t="s">
        <v>357</v>
      </c>
      <c r="O788" s="1" t="s">
        <v>632</v>
      </c>
      <c r="P788" s="1" t="str">
        <f>_xlfn.CONCAT(B788,C788,D788,E788,F788)</f>
        <v>BC Corumba2.1U01. I0146065,059722222246065,059722222246080,5625</v>
      </c>
      <c r="Q788" s="1" t="str">
        <f>_xlfn.CONCAT(H788,I788,J788)</f>
        <v>DURUFV</v>
      </c>
    </row>
    <row r="789" spans="2:17">
      <c r="B789" s="1" t="s">
        <v>725</v>
      </c>
      <c r="C789" s="1" t="s">
        <v>727</v>
      </c>
      <c r="D789" s="52">
        <v>46065.05972222222</v>
      </c>
      <c r="E789" s="52">
        <v>46065.05972222222</v>
      </c>
      <c r="F789" s="52">
        <v>46080.486111111109</v>
      </c>
      <c r="G789" s="53">
        <v>15.426388888888889</v>
      </c>
      <c r="H789" s="1" t="s">
        <v>797</v>
      </c>
      <c r="J789" s="1" t="s">
        <v>230</v>
      </c>
      <c r="K789" s="1" t="s">
        <v>230</v>
      </c>
      <c r="L789" s="1" t="s">
        <v>798</v>
      </c>
      <c r="M789" s="1" t="s">
        <v>260</v>
      </c>
      <c r="N789" s="1" t="s">
        <v>357</v>
      </c>
      <c r="O789" s="1" t="s">
        <v>632</v>
      </c>
      <c r="P789" s="1" t="str">
        <f>_xlfn.CONCAT(B789,C789,D789,E789,F789)</f>
        <v>BC Corumba2.1U01. I0246065,059722222246065,059722222246080,4861111111</v>
      </c>
      <c r="Q789" s="1" t="str">
        <f>_xlfn.CONCAT(H789,I789,J789)</f>
        <v>DURUFV</v>
      </c>
    </row>
    <row r="790" spans="2:17">
      <c r="B790" s="1" t="s">
        <v>286</v>
      </c>
      <c r="C790" s="1" t="s">
        <v>287</v>
      </c>
      <c r="D790" s="52">
        <v>46065.05972222222</v>
      </c>
      <c r="E790" s="52">
        <v>46065.05972222222</v>
      </c>
      <c r="F790" s="52">
        <v>46065.253472222219</v>
      </c>
      <c r="G790" s="53">
        <v>0.19375000000000001</v>
      </c>
      <c r="H790" s="1" t="s">
        <v>797</v>
      </c>
      <c r="J790" s="1" t="s">
        <v>230</v>
      </c>
      <c r="K790" s="1" t="s">
        <v>230</v>
      </c>
      <c r="L790" s="1" t="s">
        <v>798</v>
      </c>
      <c r="M790" s="1" t="s">
        <v>260</v>
      </c>
      <c r="N790" s="1" t="s">
        <v>357</v>
      </c>
      <c r="O790" s="1" t="s">
        <v>632</v>
      </c>
      <c r="P790" s="1" t="str">
        <f>_xlfn.CONCAT(B790,C790,D790,E790,F790)</f>
        <v>BC Corumba2.2U02.I0146065,059722222246065,059722222246065,2534722222</v>
      </c>
      <c r="Q790" s="1" t="str">
        <f>_xlfn.CONCAT(H790,I790,J790)</f>
        <v>DURUFV</v>
      </c>
    </row>
    <row r="791" spans="2:17">
      <c r="B791" s="1" t="s">
        <v>286</v>
      </c>
      <c r="C791" s="1" t="s">
        <v>292</v>
      </c>
      <c r="D791" s="52">
        <v>46065.05972222222</v>
      </c>
      <c r="E791" s="52">
        <v>46065.05972222222</v>
      </c>
      <c r="F791" s="52">
        <v>46065.253472222219</v>
      </c>
      <c r="G791" s="53">
        <v>0.19375000000000001</v>
      </c>
      <c r="H791" s="1" t="s">
        <v>797</v>
      </c>
      <c r="J791" s="1" t="s">
        <v>230</v>
      </c>
      <c r="K791" s="1" t="s">
        <v>230</v>
      </c>
      <c r="L791" s="1" t="s">
        <v>798</v>
      </c>
      <c r="M791" s="1" t="s">
        <v>260</v>
      </c>
      <c r="N791" s="1" t="s">
        <v>357</v>
      </c>
      <c r="O791" s="1" t="s">
        <v>632</v>
      </c>
      <c r="P791" s="1" t="str">
        <f>_xlfn.CONCAT(B791,C791,D791,E791,F791)</f>
        <v>BC Corumba2.2U02.I0246065,059722222246065,059722222246065,2534722222</v>
      </c>
      <c r="Q791" s="1" t="str">
        <f>_xlfn.CONCAT(H791,I791,J791)</f>
        <v>DURUFV</v>
      </c>
    </row>
    <row r="792" spans="2:17">
      <c r="B792" s="1" t="s">
        <v>286</v>
      </c>
      <c r="C792" s="1" t="s">
        <v>293</v>
      </c>
      <c r="D792" s="52">
        <v>46065.05972222222</v>
      </c>
      <c r="E792" s="52">
        <v>46065.05972222222</v>
      </c>
      <c r="F792" s="52">
        <v>46065.253472222219</v>
      </c>
      <c r="G792" s="53">
        <v>0.19375000000000001</v>
      </c>
      <c r="H792" s="1" t="s">
        <v>797</v>
      </c>
      <c r="J792" s="1" t="s">
        <v>230</v>
      </c>
      <c r="K792" s="1" t="s">
        <v>230</v>
      </c>
      <c r="L792" s="1" t="s">
        <v>798</v>
      </c>
      <c r="M792" s="1" t="s">
        <v>260</v>
      </c>
      <c r="N792" s="1" t="s">
        <v>357</v>
      </c>
      <c r="O792" s="1" t="s">
        <v>632</v>
      </c>
      <c r="P792" s="1" t="str">
        <f>_xlfn.CONCAT(B792,C792,D792,E792,F792)</f>
        <v>BC Corumba2.2U02.I0346065,059722222246065,059722222246065,2534722222</v>
      </c>
      <c r="Q792" s="1" t="str">
        <f>_xlfn.CONCAT(H792,I792,J792)</f>
        <v>DURUFV</v>
      </c>
    </row>
    <row r="793" spans="2:17">
      <c r="B793" s="1" t="s">
        <v>286</v>
      </c>
      <c r="C793" s="1" t="s">
        <v>294</v>
      </c>
      <c r="D793" s="52">
        <v>46065.05972222222</v>
      </c>
      <c r="E793" s="52">
        <v>46065.05972222222</v>
      </c>
      <c r="F793" s="52">
        <v>46065.253472222219</v>
      </c>
      <c r="G793" s="53">
        <v>0.19375000000000001</v>
      </c>
      <c r="H793" s="1" t="s">
        <v>797</v>
      </c>
      <c r="J793" s="1" t="s">
        <v>230</v>
      </c>
      <c r="K793" s="1" t="s">
        <v>230</v>
      </c>
      <c r="L793" s="1" t="s">
        <v>798</v>
      </c>
      <c r="M793" s="1" t="s">
        <v>260</v>
      </c>
      <c r="N793" s="1" t="s">
        <v>357</v>
      </c>
      <c r="O793" s="1" t="s">
        <v>632</v>
      </c>
      <c r="P793" s="1" t="str">
        <f>_xlfn.CONCAT(B793,C793,D793,E793,F793)</f>
        <v>BC Corumba2.2U02.I0446065,059722222246065,059722222246065,2534722222</v>
      </c>
      <c r="Q793" s="1" t="str">
        <f>_xlfn.CONCAT(H793,I793,J793)</f>
        <v>DURUFV</v>
      </c>
    </row>
    <row r="794" spans="2:17">
      <c r="B794" s="1" t="s">
        <v>286</v>
      </c>
      <c r="C794" s="1" t="s">
        <v>295</v>
      </c>
      <c r="D794" s="52">
        <v>46065.05972222222</v>
      </c>
      <c r="E794" s="52">
        <v>46065.05972222222</v>
      </c>
      <c r="F794" s="52">
        <v>46065.253472222219</v>
      </c>
      <c r="G794" s="53">
        <v>0.19375000000000001</v>
      </c>
      <c r="H794" s="1" t="s">
        <v>797</v>
      </c>
      <c r="J794" s="1" t="s">
        <v>230</v>
      </c>
      <c r="K794" s="1" t="s">
        <v>230</v>
      </c>
      <c r="L794" s="1" t="s">
        <v>798</v>
      </c>
      <c r="M794" s="1" t="s">
        <v>260</v>
      </c>
      <c r="N794" s="1" t="s">
        <v>357</v>
      </c>
      <c r="O794" s="1" t="s">
        <v>632</v>
      </c>
      <c r="P794" s="1" t="str">
        <f>_xlfn.CONCAT(B794,C794,D794,E794,F794)</f>
        <v>BC Corumba2.2U02.I0546065,059722222246065,059722222246065,2534722222</v>
      </c>
      <c r="Q794" s="1" t="str">
        <f>_xlfn.CONCAT(H794,I794,J794)</f>
        <v>DURUFV</v>
      </c>
    </row>
    <row r="795" spans="2:17">
      <c r="B795" s="1" t="s">
        <v>535</v>
      </c>
      <c r="C795" s="1" t="s">
        <v>608</v>
      </c>
      <c r="D795" s="52">
        <v>46065.05972222222</v>
      </c>
      <c r="E795" s="52">
        <v>46065.05972222222</v>
      </c>
      <c r="F795" s="52">
        <v>46065.253472222219</v>
      </c>
      <c r="G795" s="53">
        <v>0.19375000000000001</v>
      </c>
      <c r="H795" s="1" t="s">
        <v>797</v>
      </c>
      <c r="J795" s="1" t="s">
        <v>230</v>
      </c>
      <c r="K795" s="1" t="s">
        <v>230</v>
      </c>
      <c r="L795" s="1" t="s">
        <v>798</v>
      </c>
      <c r="M795" s="1" t="s">
        <v>260</v>
      </c>
      <c r="N795" s="1" t="s">
        <v>357</v>
      </c>
      <c r="O795" s="1" t="s">
        <v>632</v>
      </c>
      <c r="P795" s="1" t="str">
        <f>_xlfn.CONCAT(B795,C795,D795,E795,F795)</f>
        <v>BC Corumba2.3U03.I0146065,059722222246065,059722222246065,2534722222</v>
      </c>
      <c r="Q795" s="1" t="str">
        <f>_xlfn.CONCAT(H795,I795,J795)</f>
        <v>DURUFV</v>
      </c>
    </row>
    <row r="796" spans="2:17">
      <c r="B796" s="1" t="s">
        <v>535</v>
      </c>
      <c r="C796" s="1" t="s">
        <v>611</v>
      </c>
      <c r="D796" s="52">
        <v>46065.05972222222</v>
      </c>
      <c r="E796" s="52">
        <v>46065.05972222222</v>
      </c>
      <c r="F796" s="52">
        <v>46065.253472222219</v>
      </c>
      <c r="G796" s="53">
        <v>0.19375000000000001</v>
      </c>
      <c r="H796" s="1" t="s">
        <v>797</v>
      </c>
      <c r="J796" s="1" t="s">
        <v>230</v>
      </c>
      <c r="K796" s="1" t="s">
        <v>230</v>
      </c>
      <c r="L796" s="1" t="s">
        <v>798</v>
      </c>
      <c r="M796" s="1" t="s">
        <v>260</v>
      </c>
      <c r="N796" s="1" t="s">
        <v>357</v>
      </c>
      <c r="O796" s="1" t="s">
        <v>632</v>
      </c>
      <c r="P796" s="1" t="str">
        <f>_xlfn.CONCAT(B796,C796,D796,E796,F796)</f>
        <v>BC Corumba2.3U03.I0246065,059722222246065,059722222246065,2534722222</v>
      </c>
      <c r="Q796" s="1" t="str">
        <f>_xlfn.CONCAT(H796,I796,J796)</f>
        <v>DURUFV</v>
      </c>
    </row>
    <row r="797" spans="2:17">
      <c r="B797" s="1" t="s">
        <v>535</v>
      </c>
      <c r="C797" s="1" t="s">
        <v>536</v>
      </c>
      <c r="D797" s="52">
        <v>46065.05972222222</v>
      </c>
      <c r="E797" s="52">
        <v>46065.05972222222</v>
      </c>
      <c r="F797" s="52">
        <v>46065.253472222219</v>
      </c>
      <c r="G797" s="53">
        <v>0.19375000000000001</v>
      </c>
      <c r="H797" s="1" t="s">
        <v>797</v>
      </c>
      <c r="J797" s="1" t="s">
        <v>230</v>
      </c>
      <c r="K797" s="1" t="s">
        <v>230</v>
      </c>
      <c r="L797" s="1" t="s">
        <v>798</v>
      </c>
      <c r="M797" s="1" t="s">
        <v>260</v>
      </c>
      <c r="N797" s="1" t="s">
        <v>357</v>
      </c>
      <c r="O797" s="1" t="s">
        <v>632</v>
      </c>
      <c r="P797" s="1" t="str">
        <f>_xlfn.CONCAT(B797,C797,D797,E797,F797)</f>
        <v>BC Corumba2.3U03.I0346065,059722222246065,059722222246065,2534722222</v>
      </c>
      <c r="Q797" s="1" t="str">
        <f>_xlfn.CONCAT(H797,I797,J797)</f>
        <v>DURUFV</v>
      </c>
    </row>
    <row r="798" spans="2:17">
      <c r="B798" s="1" t="s">
        <v>299</v>
      </c>
      <c r="C798" s="1" t="s">
        <v>300</v>
      </c>
      <c r="D798" s="52">
        <v>46065.267361111109</v>
      </c>
      <c r="E798" s="52">
        <v>46065.267361111109</v>
      </c>
      <c r="F798" s="52">
        <v>46066.470833333333</v>
      </c>
      <c r="G798" s="53">
        <v>1.2034722222222223</v>
      </c>
      <c r="H798" s="1" t="s">
        <v>268</v>
      </c>
      <c r="I798" s="1" t="s">
        <v>269</v>
      </c>
      <c r="J798" s="1" t="s">
        <v>319</v>
      </c>
      <c r="K798" s="1" t="s">
        <v>652</v>
      </c>
      <c r="L798" s="1" t="s">
        <v>799</v>
      </c>
      <c r="M798" s="1" t="s">
        <v>260</v>
      </c>
      <c r="N798" s="1" t="s">
        <v>357</v>
      </c>
      <c r="O798" s="1" t="s">
        <v>632</v>
      </c>
      <c r="P798" s="1" t="str">
        <f>_xlfn.CONCAT(B798,C798,D798,E798,F798)</f>
        <v>BC Panama1.1ITAPOAN 001 (COM1-001)_001_00146065,267361111146065,267361111146066,4708333333</v>
      </c>
      <c r="Q798" s="1" t="str">
        <f>_xlfn.CONCAT(H798,I798,J798)</f>
        <v>LIGRFOCOM</v>
      </c>
    </row>
    <row r="799" spans="2:17">
      <c r="B799" s="1" t="s">
        <v>299</v>
      </c>
      <c r="C799" s="1" t="s">
        <v>303</v>
      </c>
      <c r="D799" s="52">
        <v>46065.267361111109</v>
      </c>
      <c r="E799" s="52">
        <v>46065.267361111109</v>
      </c>
      <c r="F799" s="52">
        <v>46066.470833333333</v>
      </c>
      <c r="G799" s="53">
        <v>1.2034722222222223</v>
      </c>
      <c r="H799" s="1" t="s">
        <v>268</v>
      </c>
      <c r="I799" s="1" t="s">
        <v>269</v>
      </c>
      <c r="J799" s="1" t="s">
        <v>319</v>
      </c>
      <c r="K799" s="1" t="s">
        <v>652</v>
      </c>
      <c r="L799" s="1" t="s">
        <v>799</v>
      </c>
      <c r="M799" s="1" t="s">
        <v>260</v>
      </c>
      <c r="N799" s="1" t="s">
        <v>357</v>
      </c>
      <c r="O799" s="1" t="s">
        <v>632</v>
      </c>
      <c r="P799" s="1" t="str">
        <f>_xlfn.CONCAT(B799,C799,D799,E799,F799)</f>
        <v>BC Panama1.1CEREAL_00246065,267361111146065,267361111146066,4708333333</v>
      </c>
      <c r="Q799" s="1" t="str">
        <f>_xlfn.CONCAT(H799,I799,J799)</f>
        <v>LIGRFOCOM</v>
      </c>
    </row>
    <row r="800" spans="2:17">
      <c r="B800" s="1" t="s">
        <v>299</v>
      </c>
      <c r="C800" s="1" t="s">
        <v>304</v>
      </c>
      <c r="D800" s="52">
        <v>46065.267361111109</v>
      </c>
      <c r="E800" s="52">
        <v>46065.267361111109</v>
      </c>
      <c r="F800" s="52">
        <v>46066.470833333333</v>
      </c>
      <c r="G800" s="53">
        <v>1.2034722222222223</v>
      </c>
      <c r="H800" s="1" t="s">
        <v>268</v>
      </c>
      <c r="I800" s="1" t="s">
        <v>269</v>
      </c>
      <c r="J800" s="1" t="s">
        <v>319</v>
      </c>
      <c r="K800" s="1" t="s">
        <v>652</v>
      </c>
      <c r="L800" s="1" t="s">
        <v>799</v>
      </c>
      <c r="M800" s="1" t="s">
        <v>260</v>
      </c>
      <c r="N800" s="1" t="s">
        <v>357</v>
      </c>
      <c r="O800" s="1" t="s">
        <v>632</v>
      </c>
      <c r="P800" s="1" t="str">
        <f>_xlfn.CONCAT(B800,C800,D800,E800,F800)</f>
        <v>BC Panama1.1ITAPOAN_00346065,267361111146065,267361111146066,4708333333</v>
      </c>
      <c r="Q800" s="1" t="str">
        <f>_xlfn.CONCAT(H800,I800,J800)</f>
        <v>LIGRFOCOM</v>
      </c>
    </row>
    <row r="801" spans="2:17">
      <c r="B801" s="1" t="s">
        <v>311</v>
      </c>
      <c r="C801" s="1" t="s">
        <v>256</v>
      </c>
      <c r="D801" s="52">
        <v>46065.376388888886</v>
      </c>
      <c r="E801" s="52">
        <v>46065.376388888886</v>
      </c>
      <c r="F801" s="52">
        <v>46065.427777777775</v>
      </c>
      <c r="G801" s="53">
        <v>5.1388888888888887E-2</v>
      </c>
      <c r="H801" s="1" t="s">
        <v>257</v>
      </c>
      <c r="J801" s="1" t="s">
        <v>258</v>
      </c>
      <c r="K801" s="1" t="s">
        <v>658</v>
      </c>
      <c r="L801" s="1" t="s">
        <v>800</v>
      </c>
      <c r="M801" s="1" t="s">
        <v>260</v>
      </c>
      <c r="N801" s="1" t="s">
        <v>357</v>
      </c>
      <c r="O801" s="1" t="s">
        <v>632</v>
      </c>
      <c r="P801" s="1" t="str">
        <f>_xlfn.CONCAT(B801,C801,D801,E801,F801)</f>
        <v>ARAGUATINS 2.1Inverter(MBUS-12)46065,376388888946065,376388888946065,4277777778</v>
      </c>
      <c r="Q801" s="1" t="str">
        <f>_xlfn.CONCAT(H801,I801,J801)</f>
        <v>DAURDE</v>
      </c>
    </row>
    <row r="802" spans="2:17">
      <c r="B802" s="1" t="s">
        <v>311</v>
      </c>
      <c r="C802" s="1" t="s">
        <v>307</v>
      </c>
      <c r="D802" s="52">
        <v>46065.376388888886</v>
      </c>
      <c r="E802" s="52">
        <v>46065.376388888886</v>
      </c>
      <c r="F802" s="52">
        <v>46065.427777777775</v>
      </c>
      <c r="G802" s="53">
        <v>5.1388888888888887E-2</v>
      </c>
      <c r="H802" s="1" t="s">
        <v>257</v>
      </c>
      <c r="J802" s="1" t="s">
        <v>258</v>
      </c>
      <c r="K802" s="1" t="s">
        <v>658</v>
      </c>
      <c r="L802" s="1" t="s">
        <v>800</v>
      </c>
      <c r="M802" s="1" t="s">
        <v>260</v>
      </c>
      <c r="N802" s="1" t="s">
        <v>357</v>
      </c>
      <c r="O802" s="1" t="s">
        <v>632</v>
      </c>
      <c r="P802" s="1" t="str">
        <f>_xlfn.CONCAT(B802,C802,D802,E802,F802)</f>
        <v>ARAGUATINS 2.1Inverter(MBUS-15)46065,376388888946065,376388888946065,4277777778</v>
      </c>
      <c r="Q802" s="1" t="str">
        <f>_xlfn.CONCAT(H802,I802,J802)</f>
        <v>DAURDE</v>
      </c>
    </row>
    <row r="803" spans="2:17">
      <c r="B803" s="1" t="s">
        <v>311</v>
      </c>
      <c r="C803" s="1" t="s">
        <v>263</v>
      </c>
      <c r="D803" s="52">
        <v>46065.376388888886</v>
      </c>
      <c r="E803" s="52">
        <v>46065.376388888886</v>
      </c>
      <c r="F803" s="52">
        <v>46065.427777777775</v>
      </c>
      <c r="G803" s="53">
        <v>5.1388888888888887E-2</v>
      </c>
      <c r="H803" s="1" t="s">
        <v>257</v>
      </c>
      <c r="J803" s="1" t="s">
        <v>258</v>
      </c>
      <c r="K803" s="1" t="s">
        <v>658</v>
      </c>
      <c r="L803" s="1" t="s">
        <v>800</v>
      </c>
      <c r="M803" s="1" t="s">
        <v>260</v>
      </c>
      <c r="N803" s="1" t="s">
        <v>357</v>
      </c>
      <c r="O803" s="1" t="s">
        <v>632</v>
      </c>
      <c r="P803" s="1" t="str">
        <f>_xlfn.CONCAT(B803,C803,D803,E803,F803)</f>
        <v>ARAGUATINS 2.1Inverter(MBUS-14)46065,376388888946065,376388888946065,4277777778</v>
      </c>
      <c r="Q803" s="1" t="str">
        <f>_xlfn.CONCAT(H803,I803,J803)</f>
        <v>DAURDE</v>
      </c>
    </row>
    <row r="804" spans="2:17">
      <c r="B804" s="1" t="s">
        <v>311</v>
      </c>
      <c r="C804" s="1" t="s">
        <v>247</v>
      </c>
      <c r="D804" s="52">
        <v>46065.376388888886</v>
      </c>
      <c r="E804" s="52">
        <v>46065.376388888886</v>
      </c>
      <c r="F804" s="52">
        <v>46065.427777777775</v>
      </c>
      <c r="G804" s="53">
        <v>5.1388888888888887E-2</v>
      </c>
      <c r="H804" s="1" t="s">
        <v>257</v>
      </c>
      <c r="J804" s="1" t="s">
        <v>258</v>
      </c>
      <c r="K804" s="1" t="s">
        <v>658</v>
      </c>
      <c r="L804" s="1" t="s">
        <v>800</v>
      </c>
      <c r="M804" s="1" t="s">
        <v>260</v>
      </c>
      <c r="N804" s="1" t="s">
        <v>357</v>
      </c>
      <c r="O804" s="1" t="s">
        <v>632</v>
      </c>
      <c r="P804" s="1" t="str">
        <f>_xlfn.CONCAT(B804,C804,D804,E804,F804)</f>
        <v>ARAGUATINS 2.1Inverter(MBUS-1)46065,376388888946065,376388888946065,4277777778</v>
      </c>
      <c r="Q804" s="1" t="str">
        <f>_xlfn.CONCAT(H804,I804,J804)</f>
        <v>DAURDE</v>
      </c>
    </row>
    <row r="805" spans="2:17">
      <c r="B805" s="1" t="s">
        <v>331</v>
      </c>
      <c r="C805" s="1" t="s">
        <v>332</v>
      </c>
      <c r="D805" s="52">
        <v>46065.381944444445</v>
      </c>
      <c r="E805" s="52">
        <v>46065.381944444445</v>
      </c>
      <c r="F805" s="52">
        <v>46065.513888888891</v>
      </c>
      <c r="G805" s="53">
        <v>0.13194444444444445</v>
      </c>
      <c r="H805" s="1" t="s">
        <v>257</v>
      </c>
      <c r="J805" s="1" t="s">
        <v>258</v>
      </c>
      <c r="K805" s="1" t="s">
        <v>658</v>
      </c>
      <c r="L805" s="1" t="s">
        <v>793</v>
      </c>
      <c r="M805" s="1" t="s">
        <v>260</v>
      </c>
      <c r="N805" s="1" t="s">
        <v>357</v>
      </c>
      <c r="O805" s="1" t="s">
        <v>632</v>
      </c>
      <c r="P805" s="1" t="str">
        <f>_xlfn.CONCAT(B805,C805,D805,E805,F805)</f>
        <v>BC Varjao2.1215KTL-H0(MBUS-12)46065,381944444446065,381944444446065,5138888889</v>
      </c>
      <c r="Q805" s="1" t="str">
        <f>_xlfn.CONCAT(H805,I805,J805)</f>
        <v>DAURDE</v>
      </c>
    </row>
    <row r="806" spans="2:17">
      <c r="B806" s="1" t="s">
        <v>331</v>
      </c>
      <c r="C806" s="1" t="s">
        <v>335</v>
      </c>
      <c r="D806" s="52">
        <v>46065.381944444445</v>
      </c>
      <c r="E806" s="52">
        <v>46065.381944444445</v>
      </c>
      <c r="F806" s="52">
        <v>46065.513888888891</v>
      </c>
      <c r="G806" s="53">
        <v>0.13194444444444445</v>
      </c>
      <c r="H806" s="1" t="s">
        <v>257</v>
      </c>
      <c r="J806" s="1" t="s">
        <v>258</v>
      </c>
      <c r="K806" s="1" t="s">
        <v>658</v>
      </c>
      <c r="L806" s="1" t="s">
        <v>793</v>
      </c>
      <c r="M806" s="1" t="s">
        <v>260</v>
      </c>
      <c r="N806" s="1" t="s">
        <v>357</v>
      </c>
      <c r="O806" s="1" t="s">
        <v>632</v>
      </c>
      <c r="P806" s="1" t="str">
        <f>_xlfn.CONCAT(B806,C806,D806,E806,F806)</f>
        <v>BC Varjao2.1215KTL-H0(MBUS-13)46065,381944444446065,381944444446065,5138888889</v>
      </c>
      <c r="Q806" s="1" t="str">
        <f>_xlfn.CONCAT(H806,I806,J806)</f>
        <v>DAURDE</v>
      </c>
    </row>
    <row r="807" spans="2:17">
      <c r="B807" s="1" t="s">
        <v>331</v>
      </c>
      <c r="C807" s="1" t="s">
        <v>336</v>
      </c>
      <c r="D807" s="52">
        <v>46065.381944444445</v>
      </c>
      <c r="E807" s="52">
        <v>46065.381944444445</v>
      </c>
      <c r="F807" s="52">
        <v>46065.513888888891</v>
      </c>
      <c r="G807" s="53">
        <v>0.13194444444444445</v>
      </c>
      <c r="H807" s="1" t="s">
        <v>257</v>
      </c>
      <c r="J807" s="1" t="s">
        <v>258</v>
      </c>
      <c r="K807" s="1" t="s">
        <v>658</v>
      </c>
      <c r="L807" s="1" t="s">
        <v>793</v>
      </c>
      <c r="M807" s="1" t="s">
        <v>260</v>
      </c>
      <c r="N807" s="1" t="s">
        <v>357</v>
      </c>
      <c r="O807" s="1" t="s">
        <v>632</v>
      </c>
      <c r="P807" s="1" t="str">
        <f>_xlfn.CONCAT(B807,C807,D807,E807,F807)</f>
        <v>BC Varjao2.1215KTL-H0(MBUS-14)46065,381944444446065,381944444446065,5138888889</v>
      </c>
      <c r="Q807" s="1" t="str">
        <f>_xlfn.CONCAT(H807,I807,J807)</f>
        <v>DAURDE</v>
      </c>
    </row>
    <row r="808" spans="2:17">
      <c r="B808" s="1" t="s">
        <v>331</v>
      </c>
      <c r="C808" s="1" t="s">
        <v>337</v>
      </c>
      <c r="D808" s="52">
        <v>46065.381944444445</v>
      </c>
      <c r="E808" s="52">
        <v>46065.381944444445</v>
      </c>
      <c r="F808" s="52">
        <v>46065.513888888891</v>
      </c>
      <c r="G808" s="53">
        <v>0.13194444444444445</v>
      </c>
      <c r="H808" s="1" t="s">
        <v>257</v>
      </c>
      <c r="J808" s="1" t="s">
        <v>258</v>
      </c>
      <c r="K808" s="1" t="s">
        <v>658</v>
      </c>
      <c r="L808" s="1" t="s">
        <v>793</v>
      </c>
      <c r="M808" s="1" t="s">
        <v>260</v>
      </c>
      <c r="N808" s="1" t="s">
        <v>357</v>
      </c>
      <c r="O808" s="1" t="s">
        <v>632</v>
      </c>
      <c r="P808" s="1" t="str">
        <f>_xlfn.CONCAT(B808,C808,D808,E808,F808)</f>
        <v>BC Varjao2.1215KTL-H0(MBUS-15)46065,381944444446065,381944444446065,5138888889</v>
      </c>
      <c r="Q808" s="1" t="str">
        <f>_xlfn.CONCAT(H808,I808,J808)</f>
        <v>DAURDE</v>
      </c>
    </row>
    <row r="809" spans="2:17">
      <c r="B809" s="1" t="s">
        <v>331</v>
      </c>
      <c r="C809" s="1" t="s">
        <v>338</v>
      </c>
      <c r="D809" s="52">
        <v>46065.381944444445</v>
      </c>
      <c r="E809" s="52">
        <v>46065.381944444445</v>
      </c>
      <c r="F809" s="52">
        <v>46065.513888888891</v>
      </c>
      <c r="G809" s="53">
        <v>0.13194444444444445</v>
      </c>
      <c r="H809" s="1" t="s">
        <v>257</v>
      </c>
      <c r="J809" s="1" t="s">
        <v>258</v>
      </c>
      <c r="K809" s="1" t="s">
        <v>658</v>
      </c>
      <c r="L809" s="1" t="s">
        <v>793</v>
      </c>
      <c r="M809" s="1" t="s">
        <v>260</v>
      </c>
      <c r="N809" s="1" t="s">
        <v>357</v>
      </c>
      <c r="O809" s="1" t="s">
        <v>632</v>
      </c>
      <c r="P809" s="1" t="str">
        <f>_xlfn.CONCAT(B809,C809,D809,E809,F809)</f>
        <v>BC Varjao2.1215KTL-H0(MBUS-16)46065,381944444446065,381944444446065,5138888889</v>
      </c>
      <c r="Q809" s="1" t="str">
        <f>_xlfn.CONCAT(H809,I809,J809)</f>
        <v>DAURDE</v>
      </c>
    </row>
    <row r="810" spans="2:17">
      <c r="B810" s="1" t="s">
        <v>368</v>
      </c>
      <c r="C810" s="1" t="s">
        <v>256</v>
      </c>
      <c r="D810" s="52">
        <v>46065.583333333336</v>
      </c>
      <c r="E810" s="52">
        <v>46065.583333333336</v>
      </c>
      <c r="F810" s="52">
        <v>46065.586805555555</v>
      </c>
      <c r="G810" s="53">
        <v>3.472222222222222E-3</v>
      </c>
      <c r="H810" s="1" t="s">
        <v>257</v>
      </c>
      <c r="J810" s="1" t="s">
        <v>258</v>
      </c>
      <c r="K810" s="1" t="s">
        <v>658</v>
      </c>
      <c r="L810" s="1" t="s">
        <v>801</v>
      </c>
      <c r="M810" s="1" t="s">
        <v>260</v>
      </c>
      <c r="N810" s="1" t="s">
        <v>357</v>
      </c>
      <c r="O810" s="1" t="s">
        <v>632</v>
      </c>
      <c r="P810" s="1" t="str">
        <f>_xlfn.CONCAT(B810,C810,D810,E810,F810)</f>
        <v>BC Ibiuna 1.1Inverter(MBUS-12)46065,583333333346065,583333333346065,5868055556</v>
      </c>
      <c r="Q810" s="1" t="str">
        <f>_xlfn.CONCAT(H810,I810,J810)</f>
        <v>DAURDE</v>
      </c>
    </row>
    <row r="811" spans="2:17">
      <c r="B811" s="1" t="s">
        <v>368</v>
      </c>
      <c r="C811" s="1" t="s">
        <v>264</v>
      </c>
      <c r="D811" s="52">
        <v>46065.583333333336</v>
      </c>
      <c r="E811" s="52">
        <v>46065.583333333336</v>
      </c>
      <c r="F811" s="52">
        <v>46065.586805555555</v>
      </c>
      <c r="G811" s="53">
        <v>3.472222222222222E-3</v>
      </c>
      <c r="H811" s="1" t="s">
        <v>257</v>
      </c>
      <c r="J811" s="1" t="s">
        <v>258</v>
      </c>
      <c r="K811" s="1" t="s">
        <v>658</v>
      </c>
      <c r="L811" s="1" t="s">
        <v>801</v>
      </c>
      <c r="M811" s="1" t="s">
        <v>260</v>
      </c>
      <c r="N811" s="1" t="s">
        <v>357</v>
      </c>
      <c r="O811" s="1" t="s">
        <v>632</v>
      </c>
      <c r="P811" s="1" t="str">
        <f>_xlfn.CONCAT(B811,C811,D811,E811,F811)</f>
        <v>BC Ibiuna 1.1Inverter(MBUS-13)46065,583333333346065,583333333346065,5868055556</v>
      </c>
      <c r="Q811" s="1" t="str">
        <f>_xlfn.CONCAT(H811,I811,J811)</f>
        <v>DAURDE</v>
      </c>
    </row>
    <row r="812" spans="2:17">
      <c r="B812" s="1" t="s">
        <v>368</v>
      </c>
      <c r="C812" s="1" t="s">
        <v>263</v>
      </c>
      <c r="D812" s="52">
        <v>46065.583333333336</v>
      </c>
      <c r="E812" s="52">
        <v>46065.583333333336</v>
      </c>
      <c r="F812" s="52">
        <v>46065.586805555555</v>
      </c>
      <c r="G812" s="53">
        <v>3.472222222222222E-3</v>
      </c>
      <c r="H812" s="1" t="s">
        <v>257</v>
      </c>
      <c r="J812" s="1" t="s">
        <v>258</v>
      </c>
      <c r="K812" s="1" t="s">
        <v>658</v>
      </c>
      <c r="L812" s="1" t="s">
        <v>801</v>
      </c>
      <c r="M812" s="1" t="s">
        <v>260</v>
      </c>
      <c r="N812" s="1" t="s">
        <v>357</v>
      </c>
      <c r="O812" s="1" t="s">
        <v>632</v>
      </c>
      <c r="P812" s="1" t="str">
        <f>_xlfn.CONCAT(B812,C812,D812,E812,F812)</f>
        <v>BC Ibiuna 1.1Inverter(MBUS-14)46065,583333333346065,583333333346065,5868055556</v>
      </c>
      <c r="Q812" s="1" t="str">
        <f>_xlfn.CONCAT(H812,I812,J812)</f>
        <v>DAURDE</v>
      </c>
    </row>
    <row r="813" spans="2:17">
      <c r="B813" s="1" t="s">
        <v>368</v>
      </c>
      <c r="C813" s="1" t="s">
        <v>307</v>
      </c>
      <c r="D813" s="52">
        <v>46065.583333333336</v>
      </c>
      <c r="E813" s="52">
        <v>46065.583333333336</v>
      </c>
      <c r="F813" s="52">
        <v>46065.586805555555</v>
      </c>
      <c r="G813" s="53">
        <v>3.472222222222222E-3</v>
      </c>
      <c r="H813" s="1" t="s">
        <v>257</v>
      </c>
      <c r="J813" s="1" t="s">
        <v>258</v>
      </c>
      <c r="K813" s="1" t="s">
        <v>658</v>
      </c>
      <c r="L813" s="1" t="s">
        <v>801</v>
      </c>
      <c r="M813" s="1" t="s">
        <v>260</v>
      </c>
      <c r="N813" s="1" t="s">
        <v>357</v>
      </c>
      <c r="O813" s="1" t="s">
        <v>632</v>
      </c>
      <c r="P813" s="1" t="str">
        <f>_xlfn.CONCAT(B813,C813,D813,E813,F813)</f>
        <v>BC Ibiuna 1.1Inverter(MBUS-15)46065,583333333346065,583333333346065,5868055556</v>
      </c>
      <c r="Q813" s="1" t="str">
        <f>_xlfn.CONCAT(H813,I813,J813)</f>
        <v>DAURDE</v>
      </c>
    </row>
    <row r="814" spans="2:17">
      <c r="B814" s="1" t="s">
        <v>370</v>
      </c>
      <c r="C814" s="1" t="s">
        <v>256</v>
      </c>
      <c r="D814" s="52">
        <v>46065.583333333336</v>
      </c>
      <c r="E814" s="52">
        <v>46065.583333333336</v>
      </c>
      <c r="F814" s="52">
        <v>46065.586805555555</v>
      </c>
      <c r="G814" s="53">
        <v>3.472222222222222E-3</v>
      </c>
      <c r="H814" s="1" t="s">
        <v>257</v>
      </c>
      <c r="J814" s="1" t="s">
        <v>258</v>
      </c>
      <c r="K814" s="1" t="s">
        <v>658</v>
      </c>
      <c r="L814" s="1" t="s">
        <v>801</v>
      </c>
      <c r="M814" s="1" t="s">
        <v>260</v>
      </c>
      <c r="N814" s="1" t="s">
        <v>357</v>
      </c>
      <c r="O814" s="1" t="s">
        <v>632</v>
      </c>
      <c r="P814" s="1" t="str">
        <f>_xlfn.CONCAT(B814,C814,D814,E814,F814)</f>
        <v>BC Ibiuna 1.2Inverter(MBUS-12)46065,583333333346065,583333333346065,5868055556</v>
      </c>
      <c r="Q814" s="1" t="str">
        <f>_xlfn.CONCAT(H814,I814,J814)</f>
        <v>DAURDE</v>
      </c>
    </row>
    <row r="815" spans="2:17">
      <c r="B815" s="1" t="s">
        <v>370</v>
      </c>
      <c r="C815" s="1" t="s">
        <v>264</v>
      </c>
      <c r="D815" s="52">
        <v>46065.583333333336</v>
      </c>
      <c r="E815" s="52">
        <v>46065.583333333336</v>
      </c>
      <c r="F815" s="52">
        <v>46065.586805555555</v>
      </c>
      <c r="G815" s="53">
        <v>3.472222222222222E-3</v>
      </c>
      <c r="H815" s="1" t="s">
        <v>257</v>
      </c>
      <c r="J815" s="1" t="s">
        <v>258</v>
      </c>
      <c r="K815" s="1" t="s">
        <v>658</v>
      </c>
      <c r="L815" s="1" t="s">
        <v>801</v>
      </c>
      <c r="M815" s="1" t="s">
        <v>260</v>
      </c>
      <c r="N815" s="1" t="s">
        <v>357</v>
      </c>
      <c r="O815" s="1" t="s">
        <v>632</v>
      </c>
      <c r="P815" s="1" t="str">
        <f>_xlfn.CONCAT(B815,C815,D815,E815,F815)</f>
        <v>BC Ibiuna 1.2Inverter(MBUS-13)46065,583333333346065,583333333346065,5868055556</v>
      </c>
      <c r="Q815" s="1" t="str">
        <f>_xlfn.CONCAT(H815,I815,J815)</f>
        <v>DAURDE</v>
      </c>
    </row>
    <row r="816" spans="2:17">
      <c r="B816" s="1" t="s">
        <v>370</v>
      </c>
      <c r="C816" s="1" t="s">
        <v>263</v>
      </c>
      <c r="D816" s="52">
        <v>46065.583333333336</v>
      </c>
      <c r="E816" s="52">
        <v>46065.583333333336</v>
      </c>
      <c r="F816" s="52">
        <v>46065.586805555555</v>
      </c>
      <c r="G816" s="53">
        <v>3.472222222222222E-3</v>
      </c>
      <c r="H816" s="1" t="s">
        <v>257</v>
      </c>
      <c r="J816" s="1" t="s">
        <v>258</v>
      </c>
      <c r="K816" s="1" t="s">
        <v>658</v>
      </c>
      <c r="L816" s="1" t="s">
        <v>801</v>
      </c>
      <c r="M816" s="1" t="s">
        <v>260</v>
      </c>
      <c r="N816" s="1" t="s">
        <v>357</v>
      </c>
      <c r="O816" s="1" t="s">
        <v>632</v>
      </c>
      <c r="P816" s="1" t="str">
        <f>_xlfn.CONCAT(B816,C816,D816,E816,F816)</f>
        <v>BC Ibiuna 1.2Inverter(MBUS-14)46065,583333333346065,583333333346065,5868055556</v>
      </c>
      <c r="Q816" s="1" t="str">
        <f>_xlfn.CONCAT(H816,I816,J816)</f>
        <v>DAURDE</v>
      </c>
    </row>
    <row r="817" spans="2:17">
      <c r="B817" s="1" t="s">
        <v>370</v>
      </c>
      <c r="C817" s="1" t="s">
        <v>307</v>
      </c>
      <c r="D817" s="52">
        <v>46065.583333333336</v>
      </c>
      <c r="E817" s="52">
        <v>46065.583333333336</v>
      </c>
      <c r="F817" s="52">
        <v>46065.586805555555</v>
      </c>
      <c r="G817" s="53">
        <v>3.472222222222222E-3</v>
      </c>
      <c r="H817" s="1" t="s">
        <v>257</v>
      </c>
      <c r="J817" s="1" t="s">
        <v>258</v>
      </c>
      <c r="K817" s="1" t="s">
        <v>658</v>
      </c>
      <c r="L817" s="1" t="s">
        <v>801</v>
      </c>
      <c r="M817" s="1" t="s">
        <v>260</v>
      </c>
      <c r="N817" s="1" t="s">
        <v>357</v>
      </c>
      <c r="O817" s="1" t="s">
        <v>632</v>
      </c>
      <c r="P817" s="1" t="str">
        <f>_xlfn.CONCAT(B817,C817,D817,E817,F817)</f>
        <v>BC Ibiuna 1.2Inverter(MBUS-15)46065,583333333346065,583333333346065,5868055556</v>
      </c>
      <c r="Q817" s="1" t="str">
        <f>_xlfn.CONCAT(H817,I817,J817)</f>
        <v>DAURDE</v>
      </c>
    </row>
    <row r="818" spans="2:17">
      <c r="B818" s="1" t="s">
        <v>667</v>
      </c>
      <c r="C818" s="1" t="s">
        <v>247</v>
      </c>
      <c r="D818" s="52">
        <v>46065.611111111109</v>
      </c>
      <c r="E818" s="52">
        <v>46065.611111111109</v>
      </c>
      <c r="F818" s="52">
        <v>46066.3125</v>
      </c>
      <c r="G818" s="53">
        <v>0.70138888888888884</v>
      </c>
      <c r="H818" s="1" t="s">
        <v>677</v>
      </c>
      <c r="J818" s="1" t="s">
        <v>230</v>
      </c>
      <c r="K818" s="1" t="s">
        <v>230</v>
      </c>
      <c r="L818" s="1" t="s">
        <v>802</v>
      </c>
      <c r="M818" s="1" t="s">
        <v>260</v>
      </c>
      <c r="N818" s="1" t="s">
        <v>357</v>
      </c>
      <c r="O818" s="1" t="s">
        <v>632</v>
      </c>
      <c r="P818" s="1" t="str">
        <f>_xlfn.CONCAT(B818,C818,D818,E818,F818)</f>
        <v>BC Varjao1.3Inverter(MBUS-1)46065,611111111146065,611111111146066,3125</v>
      </c>
      <c r="Q818" s="1" t="str">
        <f>_xlfn.CONCAT(H818,I818,J818)</f>
        <v>DPRUFV</v>
      </c>
    </row>
    <row r="819" spans="2:17">
      <c r="B819" s="1" t="s">
        <v>803</v>
      </c>
      <c r="C819" s="1" t="s">
        <v>264</v>
      </c>
      <c r="D819" s="52">
        <v>46065.701388888891</v>
      </c>
      <c r="E819" s="52">
        <v>46065.701388888891</v>
      </c>
      <c r="F819" s="52">
        <v>46065.888194444444</v>
      </c>
      <c r="G819" s="53">
        <v>0.18680555555555556</v>
      </c>
      <c r="H819" s="1" t="s">
        <v>257</v>
      </c>
      <c r="J819" s="1" t="s">
        <v>258</v>
      </c>
      <c r="K819" s="1" t="s">
        <v>658</v>
      </c>
      <c r="L819" s="1" t="s">
        <v>804</v>
      </c>
      <c r="M819" s="1" t="s">
        <v>260</v>
      </c>
      <c r="N819" s="1" t="s">
        <v>357</v>
      </c>
      <c r="O819" s="1" t="s">
        <v>632</v>
      </c>
      <c r="P819" s="1" t="str">
        <f>_xlfn.CONCAT(B819,C819,D819,E819,F819)</f>
        <v>BC Formoso1.1Inverter(MBUS-13)46065,701388888946065,701388888946065,8881944444</v>
      </c>
      <c r="Q819" s="1" t="str">
        <f>_xlfn.CONCAT(H819,I819,J819)</f>
        <v>DAURDE</v>
      </c>
    </row>
    <row r="820" spans="2:17">
      <c r="B820" s="1" t="s">
        <v>803</v>
      </c>
      <c r="C820" s="1" t="s">
        <v>256</v>
      </c>
      <c r="D820" s="52">
        <v>46065.701388888891</v>
      </c>
      <c r="E820" s="52">
        <v>46065.701388888891</v>
      </c>
      <c r="F820" s="52">
        <v>46065.888194444444</v>
      </c>
      <c r="G820" s="53">
        <v>0.18680555555555556</v>
      </c>
      <c r="H820" s="1" t="s">
        <v>257</v>
      </c>
      <c r="J820" s="1" t="s">
        <v>258</v>
      </c>
      <c r="K820" s="1" t="s">
        <v>658</v>
      </c>
      <c r="L820" s="1" t="s">
        <v>804</v>
      </c>
      <c r="M820" s="1" t="s">
        <v>260</v>
      </c>
      <c r="N820" s="1" t="s">
        <v>357</v>
      </c>
      <c r="O820" s="1" t="s">
        <v>632</v>
      </c>
      <c r="P820" s="1" t="str">
        <f>_xlfn.CONCAT(B820,C820,D820,E820,F820)</f>
        <v>BC Formoso1.1Inverter(MBUS-12)46065,701388888946065,701388888946065,8881944444</v>
      </c>
      <c r="Q820" s="1" t="str">
        <f>_xlfn.CONCAT(H820,I820,J820)</f>
        <v>DAURDE</v>
      </c>
    </row>
    <row r="821" spans="2:17">
      <c r="B821" s="1" t="s">
        <v>803</v>
      </c>
      <c r="C821" s="1" t="s">
        <v>307</v>
      </c>
      <c r="D821" s="52">
        <v>46065.701388888891</v>
      </c>
      <c r="E821" s="52">
        <v>46065.701388888891</v>
      </c>
      <c r="F821" s="52">
        <v>46065.888194444444</v>
      </c>
      <c r="G821" s="53">
        <v>0.18680555555555556</v>
      </c>
      <c r="H821" s="1" t="s">
        <v>257</v>
      </c>
      <c r="J821" s="1" t="s">
        <v>258</v>
      </c>
      <c r="K821" s="1" t="s">
        <v>658</v>
      </c>
      <c r="L821" s="1" t="s">
        <v>804</v>
      </c>
      <c r="M821" s="1" t="s">
        <v>260</v>
      </c>
      <c r="N821" s="1" t="s">
        <v>357</v>
      </c>
      <c r="O821" s="1" t="s">
        <v>632</v>
      </c>
      <c r="P821" s="1" t="str">
        <f>_xlfn.CONCAT(B821,C821,D821,E821,F821)</f>
        <v>BC Formoso1.1Inverter(MBUS-15)46065,701388888946065,701388888946065,8881944444</v>
      </c>
      <c r="Q821" s="1" t="str">
        <f>_xlfn.CONCAT(H821,I821,J821)</f>
        <v>DAURDE</v>
      </c>
    </row>
    <row r="822" spans="2:17">
      <c r="B822" s="1" t="s">
        <v>803</v>
      </c>
      <c r="C822" s="1" t="s">
        <v>263</v>
      </c>
      <c r="D822" s="52">
        <v>46065.701388888891</v>
      </c>
      <c r="E822" s="52">
        <v>46065.701388888891</v>
      </c>
      <c r="F822" s="52">
        <v>46065.888194444444</v>
      </c>
      <c r="G822" s="53">
        <v>0.18680555555555556</v>
      </c>
      <c r="H822" s="1" t="s">
        <v>257</v>
      </c>
      <c r="J822" s="1" t="s">
        <v>258</v>
      </c>
      <c r="K822" s="1" t="s">
        <v>658</v>
      </c>
      <c r="L822" s="1" t="s">
        <v>804</v>
      </c>
      <c r="M822" s="1" t="s">
        <v>260</v>
      </c>
      <c r="N822" s="1" t="s">
        <v>357</v>
      </c>
      <c r="O822" s="1" t="s">
        <v>632</v>
      </c>
      <c r="P822" s="1" t="str">
        <f>_xlfn.CONCAT(B822,C822,D822,E822,F822)</f>
        <v>BC Formoso1.1Inverter(MBUS-14)46065,701388888946065,701388888946065,8881944444</v>
      </c>
      <c r="Q822" s="1" t="str">
        <f>_xlfn.CONCAT(H822,I822,J822)</f>
        <v>DAURDE</v>
      </c>
    </row>
    <row r="823" spans="2:17">
      <c r="B823" s="1" t="s">
        <v>805</v>
      </c>
      <c r="C823" s="1" t="s">
        <v>264</v>
      </c>
      <c r="D823" s="52">
        <v>46065.701388888891</v>
      </c>
      <c r="E823" s="52">
        <v>46065.701388888891</v>
      </c>
      <c r="F823" s="52">
        <v>46065.888194444444</v>
      </c>
      <c r="G823" s="53">
        <v>0.18680555555555556</v>
      </c>
      <c r="H823" s="1" t="s">
        <v>257</v>
      </c>
      <c r="J823" s="1" t="s">
        <v>258</v>
      </c>
      <c r="K823" s="1" t="s">
        <v>658</v>
      </c>
      <c r="L823" s="1" t="s">
        <v>804</v>
      </c>
      <c r="M823" s="1" t="s">
        <v>260</v>
      </c>
      <c r="N823" s="1" t="s">
        <v>357</v>
      </c>
      <c r="O823" s="1" t="s">
        <v>632</v>
      </c>
      <c r="P823" s="1" t="str">
        <f>_xlfn.CONCAT(B823,C823,D823,E823,F823)</f>
        <v>BC Formoso1.2Inverter(MBUS-13)46065,701388888946065,701388888946065,8881944444</v>
      </c>
      <c r="Q823" s="1" t="str">
        <f>_xlfn.CONCAT(H823,I823,J823)</f>
        <v>DAURDE</v>
      </c>
    </row>
    <row r="824" spans="2:17">
      <c r="B824" s="1" t="s">
        <v>805</v>
      </c>
      <c r="C824" s="1" t="s">
        <v>256</v>
      </c>
      <c r="D824" s="52">
        <v>46065.701388888891</v>
      </c>
      <c r="E824" s="52">
        <v>46065.701388888891</v>
      </c>
      <c r="F824" s="52">
        <v>46065.888194444444</v>
      </c>
      <c r="G824" s="53">
        <v>0.18680555555555556</v>
      </c>
      <c r="H824" s="1" t="s">
        <v>257</v>
      </c>
      <c r="J824" s="1" t="s">
        <v>258</v>
      </c>
      <c r="K824" s="1" t="s">
        <v>658</v>
      </c>
      <c r="L824" s="1" t="s">
        <v>804</v>
      </c>
      <c r="M824" s="1" t="s">
        <v>260</v>
      </c>
      <c r="N824" s="1" t="s">
        <v>357</v>
      </c>
      <c r="O824" s="1" t="s">
        <v>632</v>
      </c>
      <c r="P824" s="1" t="str">
        <f>_xlfn.CONCAT(B824,C824,D824,E824,F824)</f>
        <v>BC Formoso1.2Inverter(MBUS-12)46065,701388888946065,701388888946065,8881944444</v>
      </c>
      <c r="Q824" s="1" t="str">
        <f>_xlfn.CONCAT(H824,I824,J824)</f>
        <v>DAURDE</v>
      </c>
    </row>
    <row r="825" spans="2:17">
      <c r="B825" s="1" t="s">
        <v>805</v>
      </c>
      <c r="C825" s="1" t="s">
        <v>307</v>
      </c>
      <c r="D825" s="52">
        <v>46065.701388888891</v>
      </c>
      <c r="E825" s="52">
        <v>46065.701388888891</v>
      </c>
      <c r="F825" s="52">
        <v>46065.888194444444</v>
      </c>
      <c r="G825" s="53">
        <v>0.18680555555555556</v>
      </c>
      <c r="H825" s="1" t="s">
        <v>257</v>
      </c>
      <c r="J825" s="1" t="s">
        <v>258</v>
      </c>
      <c r="K825" s="1" t="s">
        <v>658</v>
      </c>
      <c r="L825" s="1" t="s">
        <v>804</v>
      </c>
      <c r="M825" s="1" t="s">
        <v>260</v>
      </c>
      <c r="N825" s="1" t="s">
        <v>357</v>
      </c>
      <c r="O825" s="1" t="s">
        <v>632</v>
      </c>
      <c r="P825" s="1" t="str">
        <f>_xlfn.CONCAT(B825,C825,D825,E825,F825)</f>
        <v>BC Formoso1.2Inverter(MBUS-15)46065,701388888946065,701388888946065,8881944444</v>
      </c>
      <c r="Q825" s="1" t="str">
        <f>_xlfn.CONCAT(H825,I825,J825)</f>
        <v>DAURDE</v>
      </c>
    </row>
    <row r="826" spans="2:17">
      <c r="B826" s="1" t="s">
        <v>805</v>
      </c>
      <c r="C826" s="1" t="s">
        <v>263</v>
      </c>
      <c r="D826" s="52">
        <v>46065.701388888891</v>
      </c>
      <c r="E826" s="52">
        <v>46065.701388888891</v>
      </c>
      <c r="F826" s="52">
        <v>46065.888194444444</v>
      </c>
      <c r="G826" s="53">
        <v>0.18680555555555556</v>
      </c>
      <c r="H826" s="1" t="s">
        <v>257</v>
      </c>
      <c r="J826" s="1" t="s">
        <v>258</v>
      </c>
      <c r="K826" s="1" t="s">
        <v>658</v>
      </c>
      <c r="L826" s="1" t="s">
        <v>804</v>
      </c>
      <c r="M826" s="1" t="s">
        <v>260</v>
      </c>
      <c r="N826" s="1" t="s">
        <v>357</v>
      </c>
      <c r="O826" s="1" t="s">
        <v>632</v>
      </c>
      <c r="P826" s="1" t="str">
        <f>_xlfn.CONCAT(B826,C826,D826,E826,F826)</f>
        <v>BC Formoso1.2Inverter(MBUS-14)46065,701388888946065,701388888946065,8881944444</v>
      </c>
      <c r="Q826" s="1" t="str">
        <f>_xlfn.CONCAT(H826,I826,J826)</f>
        <v>DAURDE</v>
      </c>
    </row>
    <row r="827" spans="2:17">
      <c r="B827" s="1" t="s">
        <v>806</v>
      </c>
      <c r="C827" s="1" t="s">
        <v>264</v>
      </c>
      <c r="D827" s="52">
        <v>46065.701388888891</v>
      </c>
      <c r="E827" s="52">
        <v>46065.701388888891</v>
      </c>
      <c r="F827" s="52">
        <v>46065.888194444444</v>
      </c>
      <c r="G827" s="53">
        <v>0.18680555555555556</v>
      </c>
      <c r="H827" s="1" t="s">
        <v>257</v>
      </c>
      <c r="J827" s="1" t="s">
        <v>258</v>
      </c>
      <c r="K827" s="1" t="s">
        <v>658</v>
      </c>
      <c r="L827" s="1" t="s">
        <v>804</v>
      </c>
      <c r="M827" s="1" t="s">
        <v>260</v>
      </c>
      <c r="N827" s="1" t="s">
        <v>357</v>
      </c>
      <c r="O827" s="1" t="s">
        <v>632</v>
      </c>
      <c r="P827" s="1" t="str">
        <f>_xlfn.CONCAT(B827,C827,D827,E827,F827)</f>
        <v>BC Formoso1.3Inverter(MBUS-13)46065,701388888946065,701388888946065,8881944444</v>
      </c>
      <c r="Q827" s="1" t="str">
        <f>_xlfn.CONCAT(H827,I827,J827)</f>
        <v>DAURDE</v>
      </c>
    </row>
    <row r="828" spans="2:17">
      <c r="B828" s="1" t="s">
        <v>806</v>
      </c>
      <c r="C828" s="1" t="s">
        <v>256</v>
      </c>
      <c r="D828" s="52">
        <v>46065.701388888891</v>
      </c>
      <c r="E828" s="52">
        <v>46065.701388888891</v>
      </c>
      <c r="F828" s="52">
        <v>46065.888194444444</v>
      </c>
      <c r="G828" s="53">
        <v>0.18680555555555556</v>
      </c>
      <c r="H828" s="1" t="s">
        <v>257</v>
      </c>
      <c r="J828" s="1" t="s">
        <v>258</v>
      </c>
      <c r="K828" s="1" t="s">
        <v>658</v>
      </c>
      <c r="L828" s="1" t="s">
        <v>804</v>
      </c>
      <c r="M828" s="1" t="s">
        <v>260</v>
      </c>
      <c r="N828" s="1" t="s">
        <v>357</v>
      </c>
      <c r="O828" s="1" t="s">
        <v>632</v>
      </c>
      <c r="P828" s="1" t="str">
        <f>_xlfn.CONCAT(B828,C828,D828,E828,F828)</f>
        <v>BC Formoso1.3Inverter(MBUS-12)46065,701388888946065,701388888946065,8881944444</v>
      </c>
      <c r="Q828" s="1" t="str">
        <f>_xlfn.CONCAT(H828,I828,J828)</f>
        <v>DAURDE</v>
      </c>
    </row>
    <row r="829" spans="2:17">
      <c r="B829" s="1" t="s">
        <v>255</v>
      </c>
      <c r="C829" s="1" t="s">
        <v>256</v>
      </c>
      <c r="D829" s="52">
        <v>46065.701388888891</v>
      </c>
      <c r="E829" s="52">
        <v>46065.701388888891</v>
      </c>
      <c r="F829" s="52">
        <v>46065.888194444444</v>
      </c>
      <c r="G829" s="53">
        <v>0.18680555555555556</v>
      </c>
      <c r="H829" s="1" t="s">
        <v>257</v>
      </c>
      <c r="J829" s="1" t="s">
        <v>258</v>
      </c>
      <c r="K829" s="1" t="s">
        <v>658</v>
      </c>
      <c r="L829" s="1" t="s">
        <v>804</v>
      </c>
      <c r="M829" s="1" t="s">
        <v>260</v>
      </c>
      <c r="N829" s="1" t="s">
        <v>357</v>
      </c>
      <c r="O829" s="1" t="s">
        <v>632</v>
      </c>
      <c r="P829" s="1" t="str">
        <f>_xlfn.CONCAT(B829,C829,D829,E829,F829)</f>
        <v>BC Formoso2.1Inverter(MBUS-12)46065,701388888946065,701388888946065,8881944444</v>
      </c>
      <c r="Q829" s="1" t="str">
        <f>_xlfn.CONCAT(H829,I829,J829)</f>
        <v>DAURDE</v>
      </c>
    </row>
    <row r="830" spans="2:17">
      <c r="B830" s="1" t="s">
        <v>255</v>
      </c>
      <c r="C830" s="1" t="s">
        <v>263</v>
      </c>
      <c r="D830" s="52">
        <v>46065.701388888891</v>
      </c>
      <c r="E830" s="52">
        <v>46065.701388888891</v>
      </c>
      <c r="F830" s="52">
        <v>46065.888194444444</v>
      </c>
      <c r="G830" s="53">
        <v>0.18680555555555556</v>
      </c>
      <c r="H830" s="1" t="s">
        <v>257</v>
      </c>
      <c r="J830" s="1" t="s">
        <v>258</v>
      </c>
      <c r="K830" s="1" t="s">
        <v>658</v>
      </c>
      <c r="L830" s="1" t="s">
        <v>804</v>
      </c>
      <c r="M830" s="1" t="s">
        <v>260</v>
      </c>
      <c r="N830" s="1" t="s">
        <v>357</v>
      </c>
      <c r="O830" s="1" t="s">
        <v>632</v>
      </c>
      <c r="P830" s="1" t="str">
        <f>_xlfn.CONCAT(B830,C830,D830,E830,F830)</f>
        <v>BC Formoso2.1Inverter(MBUS-14)46065,701388888946065,701388888946065,8881944444</v>
      </c>
      <c r="Q830" s="1" t="str">
        <f>_xlfn.CONCAT(H830,I830,J830)</f>
        <v>DAURDE</v>
      </c>
    </row>
    <row r="831" spans="2:17">
      <c r="B831" s="1" t="s">
        <v>255</v>
      </c>
      <c r="C831" s="1" t="s">
        <v>264</v>
      </c>
      <c r="D831" s="52">
        <v>46065.701388888891</v>
      </c>
      <c r="E831" s="52">
        <v>46065.701388888891</v>
      </c>
      <c r="F831" s="52">
        <v>46065.888194444444</v>
      </c>
      <c r="G831" s="53">
        <v>0.18680555555555556</v>
      </c>
      <c r="H831" s="1" t="s">
        <v>257</v>
      </c>
      <c r="J831" s="1" t="s">
        <v>258</v>
      </c>
      <c r="K831" s="1" t="s">
        <v>658</v>
      </c>
      <c r="L831" s="1" t="s">
        <v>804</v>
      </c>
      <c r="M831" s="1" t="s">
        <v>260</v>
      </c>
      <c r="N831" s="1" t="s">
        <v>357</v>
      </c>
      <c r="O831" s="1" t="s">
        <v>632</v>
      </c>
      <c r="P831" s="1" t="str">
        <f>_xlfn.CONCAT(B831,C831,D831,E831,F831)</f>
        <v>BC Formoso2.1Inverter(MBUS-13)46065,701388888946065,701388888946065,8881944444</v>
      </c>
      <c r="Q831" s="1" t="str">
        <f>_xlfn.CONCAT(H831,I831,J831)</f>
        <v>DAURDE</v>
      </c>
    </row>
    <row r="832" spans="2:17">
      <c r="B832" s="1" t="s">
        <v>255</v>
      </c>
      <c r="C832" s="1" t="s">
        <v>247</v>
      </c>
      <c r="D832" s="52">
        <v>46065.701388888891</v>
      </c>
      <c r="E832" s="52">
        <v>46065.701388888891</v>
      </c>
      <c r="F832" s="52">
        <v>46065.888194444444</v>
      </c>
      <c r="G832" s="53">
        <v>0.18680555555555556</v>
      </c>
      <c r="H832" s="1" t="s">
        <v>257</v>
      </c>
      <c r="J832" s="1" t="s">
        <v>258</v>
      </c>
      <c r="K832" s="1" t="s">
        <v>658</v>
      </c>
      <c r="L832" s="1" t="s">
        <v>804</v>
      </c>
      <c r="M832" s="1" t="s">
        <v>260</v>
      </c>
      <c r="N832" s="1" t="s">
        <v>357</v>
      </c>
      <c r="O832" s="1" t="s">
        <v>632</v>
      </c>
      <c r="P832" s="1" t="str">
        <f>_xlfn.CONCAT(B832,C832,D832,E832,F832)</f>
        <v>BC Formoso2.1Inverter(MBUS-1)46065,701388888946065,701388888946065,8881944444</v>
      </c>
      <c r="Q832" s="1" t="str">
        <f>_xlfn.CONCAT(H832,I832,J832)</f>
        <v>DAURDE</v>
      </c>
    </row>
    <row r="833" spans="2:17">
      <c r="B833" s="1" t="s">
        <v>265</v>
      </c>
      <c r="C833" s="1" t="s">
        <v>263</v>
      </c>
      <c r="D833" s="52">
        <v>46065.701388888891</v>
      </c>
      <c r="E833" s="52">
        <v>46065.701388888891</v>
      </c>
      <c r="F833" s="52">
        <v>46065.888194444444</v>
      </c>
      <c r="G833" s="53">
        <v>0.18680555555555556</v>
      </c>
      <c r="H833" s="1" t="s">
        <v>257</v>
      </c>
      <c r="J833" s="1" t="s">
        <v>258</v>
      </c>
      <c r="K833" s="1" t="s">
        <v>658</v>
      </c>
      <c r="L833" s="1" t="s">
        <v>804</v>
      </c>
      <c r="M833" s="1" t="s">
        <v>260</v>
      </c>
      <c r="N833" s="1" t="s">
        <v>357</v>
      </c>
      <c r="O833" s="1" t="s">
        <v>632</v>
      </c>
      <c r="P833" s="1" t="str">
        <f>_xlfn.CONCAT(B833,C833,D833,E833,F833)</f>
        <v>BC Formoso2.2Inverter(MBUS-14)46065,701388888946065,701388888946065,8881944444</v>
      </c>
      <c r="Q833" s="1" t="str">
        <f>_xlfn.CONCAT(H833,I833,J833)</f>
        <v>DAURDE</v>
      </c>
    </row>
    <row r="834" spans="2:17">
      <c r="B834" s="1" t="s">
        <v>265</v>
      </c>
      <c r="C834" s="1" t="s">
        <v>264</v>
      </c>
      <c r="D834" s="52">
        <v>46065.701388888891</v>
      </c>
      <c r="E834" s="52">
        <v>46065.701388888891</v>
      </c>
      <c r="F834" s="52">
        <v>46065.888194444444</v>
      </c>
      <c r="G834" s="53">
        <v>0.18680555555555556</v>
      </c>
      <c r="H834" s="1" t="s">
        <v>257</v>
      </c>
      <c r="J834" s="1" t="s">
        <v>258</v>
      </c>
      <c r="K834" s="1" t="s">
        <v>658</v>
      </c>
      <c r="L834" s="1" t="s">
        <v>804</v>
      </c>
      <c r="M834" s="1" t="s">
        <v>260</v>
      </c>
      <c r="N834" s="1" t="s">
        <v>357</v>
      </c>
      <c r="O834" s="1" t="s">
        <v>632</v>
      </c>
      <c r="P834" s="1" t="str">
        <f>_xlfn.CONCAT(B834,C834,D834,E834,F834)</f>
        <v>BC Formoso2.2Inverter(MBUS-13)46065,701388888946065,701388888946065,8881944444</v>
      </c>
      <c r="Q834" s="1" t="str">
        <f>_xlfn.CONCAT(H834,I834,J834)</f>
        <v>DAURDE</v>
      </c>
    </row>
    <row r="835" spans="2:17">
      <c r="B835" s="1" t="s">
        <v>265</v>
      </c>
      <c r="C835" s="1" t="s">
        <v>256</v>
      </c>
      <c r="D835" s="52">
        <v>46065.701388888891</v>
      </c>
      <c r="E835" s="52">
        <v>46065.701388888891</v>
      </c>
      <c r="F835" s="52">
        <v>46065.888194444444</v>
      </c>
      <c r="G835" s="53">
        <v>0.18680555555555556</v>
      </c>
      <c r="H835" s="1" t="s">
        <v>257</v>
      </c>
      <c r="J835" s="1" t="s">
        <v>258</v>
      </c>
      <c r="K835" s="1" t="s">
        <v>658</v>
      </c>
      <c r="L835" s="1" t="s">
        <v>804</v>
      </c>
      <c r="M835" s="1" t="s">
        <v>260</v>
      </c>
      <c r="N835" s="1" t="s">
        <v>357</v>
      </c>
      <c r="O835" s="1" t="s">
        <v>632</v>
      </c>
      <c r="P835" s="1" t="str">
        <f>_xlfn.CONCAT(B835,C835,D835,E835,F835)</f>
        <v>BC Formoso2.2Inverter(MBUS-12)46065,701388888946065,701388888946065,8881944444</v>
      </c>
      <c r="Q835" s="1" t="str">
        <f>_xlfn.CONCAT(H835,I835,J835)</f>
        <v>DAURDE</v>
      </c>
    </row>
    <row r="836" spans="2:17">
      <c r="B836" s="1" t="s">
        <v>265</v>
      </c>
      <c r="C836" s="1" t="s">
        <v>247</v>
      </c>
      <c r="D836" s="52">
        <v>46065.701388888891</v>
      </c>
      <c r="E836" s="52">
        <v>46065.701388888891</v>
      </c>
      <c r="F836" s="52">
        <v>46065.888194444444</v>
      </c>
      <c r="G836" s="53">
        <v>0.18680555555555556</v>
      </c>
      <c r="H836" s="1" t="s">
        <v>257</v>
      </c>
      <c r="J836" s="1" t="s">
        <v>258</v>
      </c>
      <c r="K836" s="1" t="s">
        <v>658</v>
      </c>
      <c r="L836" s="1" t="s">
        <v>804</v>
      </c>
      <c r="M836" s="1" t="s">
        <v>260</v>
      </c>
      <c r="N836" s="1" t="s">
        <v>357</v>
      </c>
      <c r="O836" s="1" t="s">
        <v>632</v>
      </c>
      <c r="P836" s="1" t="str">
        <f>_xlfn.CONCAT(B836,C836,D836,E836,F836)</f>
        <v>BC Formoso2.2Inverter(MBUS-1)46065,701388888946065,701388888946065,8881944444</v>
      </c>
      <c r="Q836" s="1" t="str">
        <f>_xlfn.CONCAT(H836,I836,J836)</f>
        <v>DAURDE</v>
      </c>
    </row>
    <row r="837" spans="2:17">
      <c r="B837" s="1" t="s">
        <v>355</v>
      </c>
      <c r="C837" s="1" t="s">
        <v>264</v>
      </c>
      <c r="D837" s="52">
        <v>46065.701388888891</v>
      </c>
      <c r="E837" s="52">
        <v>46065.701388888891</v>
      </c>
      <c r="F837" s="52">
        <v>46065.888194444444</v>
      </c>
      <c r="G837" s="53">
        <v>0.18680555555555556</v>
      </c>
      <c r="H837" s="1" t="s">
        <v>257</v>
      </c>
      <c r="J837" s="1" t="s">
        <v>258</v>
      </c>
      <c r="K837" s="1" t="s">
        <v>658</v>
      </c>
      <c r="L837" s="1" t="s">
        <v>804</v>
      </c>
      <c r="M837" s="1" t="s">
        <v>260</v>
      </c>
      <c r="N837" s="1" t="s">
        <v>357</v>
      </c>
      <c r="O837" s="1" t="s">
        <v>632</v>
      </c>
      <c r="P837" s="1" t="str">
        <f>_xlfn.CONCAT(B837,C837,D837,E837,F837)</f>
        <v>BC Formoso2.3Inverter(MBUS-13)46065,701388888946065,701388888946065,8881944444</v>
      </c>
      <c r="Q837" s="1" t="str">
        <f>_xlfn.CONCAT(H837,I837,J837)</f>
        <v>DAURDE</v>
      </c>
    </row>
    <row r="838" spans="2:17">
      <c r="B838" s="1" t="s">
        <v>355</v>
      </c>
      <c r="C838" s="1" t="s">
        <v>256</v>
      </c>
      <c r="D838" s="52">
        <v>46065.701388888891</v>
      </c>
      <c r="E838" s="52">
        <v>46065.701388888891</v>
      </c>
      <c r="F838" s="52">
        <v>46065.888194444444</v>
      </c>
      <c r="G838" s="53">
        <v>0.18680555555555556</v>
      </c>
      <c r="H838" s="1" t="s">
        <v>257</v>
      </c>
      <c r="J838" s="1" t="s">
        <v>258</v>
      </c>
      <c r="K838" s="1" t="s">
        <v>658</v>
      </c>
      <c r="L838" s="1" t="s">
        <v>804</v>
      </c>
      <c r="M838" s="1" t="s">
        <v>260</v>
      </c>
      <c r="N838" s="1" t="s">
        <v>357</v>
      </c>
      <c r="O838" s="1" t="s">
        <v>632</v>
      </c>
      <c r="P838" s="1" t="str">
        <f>_xlfn.CONCAT(B838,C838,D838,E838,F838)</f>
        <v>BC Formoso2.3Inverter(MBUS-12)46065,701388888946065,701388888946065,8881944444</v>
      </c>
      <c r="Q838" s="1" t="str">
        <f>_xlfn.CONCAT(H838,I838,J838)</f>
        <v>DAURDE</v>
      </c>
    </row>
    <row r="839" spans="2:17">
      <c r="B839" s="1" t="s">
        <v>321</v>
      </c>
      <c r="C839" s="1" t="s">
        <v>322</v>
      </c>
      <c r="D839" s="52">
        <v>46065.840277777781</v>
      </c>
      <c r="E839" s="52">
        <v>46065.840277777781</v>
      </c>
      <c r="F839" s="52">
        <v>46066.298611111109</v>
      </c>
      <c r="G839" s="53">
        <v>0.45833333333333331</v>
      </c>
      <c r="H839" s="1" t="s">
        <v>257</v>
      </c>
      <c r="J839" s="1" t="s">
        <v>258</v>
      </c>
      <c r="K839" s="1" t="s">
        <v>658</v>
      </c>
      <c r="L839" s="1" t="s">
        <v>807</v>
      </c>
      <c r="M839" s="1" t="s">
        <v>260</v>
      </c>
      <c r="N839" s="1" t="s">
        <v>357</v>
      </c>
      <c r="O839" s="1" t="s">
        <v>632</v>
      </c>
      <c r="P839" s="1" t="str">
        <f>_xlfn.CONCAT(B839,C839,D839,E839,F839)</f>
        <v>BC Aracu4SG75CX(COM1-018)_001_01846065,840277777846065,840277777846066,2986111111</v>
      </c>
      <c r="Q839" s="1" t="str">
        <f>_xlfn.CONCAT(H839,I839,J839)</f>
        <v>DAURDE</v>
      </c>
    </row>
    <row r="840" spans="2:17">
      <c r="B840" s="1" t="s">
        <v>321</v>
      </c>
      <c r="C840" s="1" t="s">
        <v>324</v>
      </c>
      <c r="D840" s="52">
        <v>46065.840277777781</v>
      </c>
      <c r="E840" s="52">
        <v>46065.840277777781</v>
      </c>
      <c r="F840" s="52">
        <v>46066.298611111109</v>
      </c>
      <c r="G840" s="53">
        <v>0.45833333333333331</v>
      </c>
      <c r="H840" s="1" t="s">
        <v>257</v>
      </c>
      <c r="J840" s="1" t="s">
        <v>258</v>
      </c>
      <c r="K840" s="1" t="s">
        <v>658</v>
      </c>
      <c r="L840" s="1" t="s">
        <v>807</v>
      </c>
      <c r="M840" s="1" t="s">
        <v>260</v>
      </c>
      <c r="N840" s="1" t="s">
        <v>357</v>
      </c>
      <c r="O840" s="1" t="s">
        <v>632</v>
      </c>
      <c r="P840" s="1" t="str">
        <f>_xlfn.CONCAT(B840,C840,D840,E840,F840)</f>
        <v>BC Aracu4SG75CX(COM1-019)_001_01946065,840277777846065,840277777846066,2986111111</v>
      </c>
      <c r="Q840" s="1" t="str">
        <f>_xlfn.CONCAT(H840,I840,J840)</f>
        <v>DAURDE</v>
      </c>
    </row>
    <row r="841" spans="2:17">
      <c r="B841" s="1" t="s">
        <v>321</v>
      </c>
      <c r="C841" s="1" t="s">
        <v>325</v>
      </c>
      <c r="D841" s="52">
        <v>46065.840277777781</v>
      </c>
      <c r="E841" s="52">
        <v>46065.840277777781</v>
      </c>
      <c r="F841" s="52">
        <v>46066.298611111109</v>
      </c>
      <c r="G841" s="53">
        <v>0.45833333333333331</v>
      </c>
      <c r="H841" s="1" t="s">
        <v>257</v>
      </c>
      <c r="J841" s="1" t="s">
        <v>258</v>
      </c>
      <c r="K841" s="1" t="s">
        <v>658</v>
      </c>
      <c r="L841" s="1" t="s">
        <v>807</v>
      </c>
      <c r="M841" s="1" t="s">
        <v>260</v>
      </c>
      <c r="N841" s="1" t="s">
        <v>357</v>
      </c>
      <c r="O841" s="1" t="s">
        <v>632</v>
      </c>
      <c r="P841" s="1" t="str">
        <f>_xlfn.CONCAT(B841,C841,D841,E841,F841)</f>
        <v>BC Aracu4SG75CX(COM1-020)_001_02046065,840277777846065,840277777846066,2986111111</v>
      </c>
      <c r="Q841" s="1" t="str">
        <f>_xlfn.CONCAT(H841,I841,J841)</f>
        <v>DAURDE</v>
      </c>
    </row>
    <row r="842" spans="2:17">
      <c r="B842" s="1" t="s">
        <v>321</v>
      </c>
      <c r="C842" s="1" t="s">
        <v>326</v>
      </c>
      <c r="D842" s="52">
        <v>46065.840277777781</v>
      </c>
      <c r="E842" s="52">
        <v>46065.840277777781</v>
      </c>
      <c r="F842" s="52">
        <v>46066.298611111109</v>
      </c>
      <c r="G842" s="53">
        <v>0.45833333333333331</v>
      </c>
      <c r="H842" s="1" t="s">
        <v>257</v>
      </c>
      <c r="J842" s="1" t="s">
        <v>258</v>
      </c>
      <c r="K842" s="1" t="s">
        <v>658</v>
      </c>
      <c r="L842" s="1" t="s">
        <v>807</v>
      </c>
      <c r="M842" s="1" t="s">
        <v>260</v>
      </c>
      <c r="N842" s="1" t="s">
        <v>357</v>
      </c>
      <c r="O842" s="1" t="s">
        <v>632</v>
      </c>
      <c r="P842" s="1" t="str">
        <f>_xlfn.CONCAT(B842,C842,D842,E842,F842)</f>
        <v>BC Aracu4SG75CX(COM1-021)_001_02146065,840277777846065,840277777846066,2986111111</v>
      </c>
      <c r="Q842" s="1" t="str">
        <f>_xlfn.CONCAT(H842,I842,J842)</f>
        <v>DAURDE</v>
      </c>
    </row>
    <row r="843" spans="2:17">
      <c r="B843" s="1" t="s">
        <v>327</v>
      </c>
      <c r="C843" s="1" t="s">
        <v>247</v>
      </c>
      <c r="D843" s="52">
        <v>46065.840277777781</v>
      </c>
      <c r="E843" s="52">
        <v>46065.840277777781</v>
      </c>
      <c r="F843" s="52">
        <v>46066.298611111109</v>
      </c>
      <c r="G843" s="53">
        <v>0.45833333333333331</v>
      </c>
      <c r="H843" s="1" t="s">
        <v>257</v>
      </c>
      <c r="J843" s="1" t="s">
        <v>258</v>
      </c>
      <c r="K843" s="1" t="s">
        <v>658</v>
      </c>
      <c r="L843" s="1" t="s">
        <v>808</v>
      </c>
      <c r="M843" s="1" t="s">
        <v>260</v>
      </c>
      <c r="N843" s="1" t="s">
        <v>357</v>
      </c>
      <c r="O843" s="1" t="s">
        <v>632</v>
      </c>
      <c r="P843" s="1" t="str">
        <f>_xlfn.CONCAT(B843,C843,D843,E843,F843)</f>
        <v>BC Aracu5.1Inverter(MBUS-1)46065,840277777846065,840277777846066,2986111111</v>
      </c>
      <c r="Q843" s="1" t="str">
        <f>_xlfn.CONCAT(H843,I843,J843)</f>
        <v>DAURDE</v>
      </c>
    </row>
    <row r="844" spans="2:17">
      <c r="B844" s="1" t="s">
        <v>328</v>
      </c>
      <c r="C844" s="1" t="s">
        <v>247</v>
      </c>
      <c r="D844" s="52">
        <v>46065.840277777781</v>
      </c>
      <c r="E844" s="52">
        <v>46065.840277777781</v>
      </c>
      <c r="F844" s="52">
        <v>46066.298611111109</v>
      </c>
      <c r="G844" s="53">
        <v>0.45833333333333331</v>
      </c>
      <c r="H844" s="1" t="s">
        <v>257</v>
      </c>
      <c r="J844" s="1" t="s">
        <v>258</v>
      </c>
      <c r="K844" s="1" t="s">
        <v>658</v>
      </c>
      <c r="L844" s="1" t="s">
        <v>808</v>
      </c>
      <c r="M844" s="1" t="s">
        <v>260</v>
      </c>
      <c r="N844" s="1" t="s">
        <v>357</v>
      </c>
      <c r="O844" s="1" t="s">
        <v>632</v>
      </c>
      <c r="P844" s="1" t="str">
        <f>_xlfn.CONCAT(B844,C844,D844,E844,F844)</f>
        <v>BC Aracu5.3Inverter(MBUS-1)46065,840277777846065,840277777846066,2986111111</v>
      </c>
      <c r="Q844" s="1" t="str">
        <f>_xlfn.CONCAT(H844,I844,J844)</f>
        <v>DAURDE</v>
      </c>
    </row>
    <row r="845" spans="2:17">
      <c r="B845" s="1" t="s">
        <v>329</v>
      </c>
      <c r="C845" s="1" t="s">
        <v>247</v>
      </c>
      <c r="D845" s="52">
        <v>46065.840277777781</v>
      </c>
      <c r="E845" s="52">
        <v>46065.840277777781</v>
      </c>
      <c r="F845" s="52">
        <v>46066.298611111109</v>
      </c>
      <c r="G845" s="53">
        <v>0.45833333333333331</v>
      </c>
      <c r="H845" s="1" t="s">
        <v>257</v>
      </c>
      <c r="J845" s="1" t="s">
        <v>258</v>
      </c>
      <c r="K845" s="1" t="s">
        <v>658</v>
      </c>
      <c r="L845" s="1" t="s">
        <v>808</v>
      </c>
      <c r="M845" s="1" t="s">
        <v>260</v>
      </c>
      <c r="N845" s="1" t="s">
        <v>357</v>
      </c>
      <c r="O845" s="1" t="s">
        <v>632</v>
      </c>
      <c r="P845" s="1" t="str">
        <f>_xlfn.CONCAT(B845,C845,D845,E845,F845)</f>
        <v>BC Aracu5.4Inverter(MBUS-1)46065,840277777846065,840277777846066,2986111111</v>
      </c>
      <c r="Q845" s="1" t="str">
        <f>_xlfn.CONCAT(H845,I845,J845)</f>
        <v>DAURDE</v>
      </c>
    </row>
    <row r="846" spans="2:17">
      <c r="B846" s="1" t="s">
        <v>330</v>
      </c>
      <c r="C846" s="1" t="s">
        <v>247</v>
      </c>
      <c r="D846" s="52">
        <v>46065.840277777781</v>
      </c>
      <c r="E846" s="52">
        <v>46065.840277777781</v>
      </c>
      <c r="F846" s="52">
        <v>46066.298611111109</v>
      </c>
      <c r="G846" s="53">
        <v>0.45833333333333331</v>
      </c>
      <c r="H846" s="1" t="s">
        <v>257</v>
      </c>
      <c r="J846" s="1" t="s">
        <v>258</v>
      </c>
      <c r="K846" s="1" t="s">
        <v>658</v>
      </c>
      <c r="L846" s="1" t="s">
        <v>808</v>
      </c>
      <c r="M846" s="1" t="s">
        <v>260</v>
      </c>
      <c r="N846" s="1" t="s">
        <v>357</v>
      </c>
      <c r="O846" s="1" t="s">
        <v>632</v>
      </c>
      <c r="P846" s="1" t="str">
        <f>_xlfn.CONCAT(B846,C846,D846,E846,F846)</f>
        <v>BC Aracu5.5Inverter(MBUS-1)46065,840277777846065,840277777846066,2986111111</v>
      </c>
      <c r="Q846" s="1" t="str">
        <f>_xlfn.CONCAT(H846,I846,J846)</f>
        <v>DAURDE</v>
      </c>
    </row>
    <row r="847" spans="2:17">
      <c r="B847" s="1" t="s">
        <v>381</v>
      </c>
      <c r="C847" s="1" t="s">
        <v>379</v>
      </c>
      <c r="D847" s="52">
        <v>46066.454861111109</v>
      </c>
      <c r="E847" s="52">
        <v>46066.454861111109</v>
      </c>
      <c r="F847" s="52">
        <v>46066.461805555555</v>
      </c>
      <c r="G847" s="53">
        <v>6.9444444444444441E-3</v>
      </c>
      <c r="H847" s="1" t="s">
        <v>268</v>
      </c>
      <c r="I847" s="1" t="s">
        <v>269</v>
      </c>
      <c r="J847" s="1" t="s">
        <v>319</v>
      </c>
      <c r="K847" s="1" t="s">
        <v>652</v>
      </c>
      <c r="L847" s="1" t="s">
        <v>659</v>
      </c>
      <c r="M847" s="1" t="s">
        <v>260</v>
      </c>
      <c r="N847" s="1" t="s">
        <v>357</v>
      </c>
      <c r="O847" s="1" t="s">
        <v>632</v>
      </c>
      <c r="P847" s="1" t="str">
        <f>_xlfn.CONCAT(B847,C847,D847,E847,F847)</f>
        <v>BC Camarao1.3215KTL-H3(MBUS-16)46066,454861111146066,454861111146066,4618055556</v>
      </c>
      <c r="Q847" s="1" t="str">
        <f>_xlfn.CONCAT(H847,I847,J847)</f>
        <v>LIGRFOCOM</v>
      </c>
    </row>
    <row r="848" spans="2:17">
      <c r="B848" s="1" t="s">
        <v>381</v>
      </c>
      <c r="C848" s="1" t="s">
        <v>382</v>
      </c>
      <c r="D848" s="52">
        <v>46066.454861111109</v>
      </c>
      <c r="E848" s="52">
        <v>46066.454861111109</v>
      </c>
      <c r="F848" s="52">
        <v>46066.461805555555</v>
      </c>
      <c r="G848" s="53">
        <v>6.9444444444444441E-3</v>
      </c>
      <c r="H848" s="1" t="s">
        <v>268</v>
      </c>
      <c r="I848" s="1" t="s">
        <v>269</v>
      </c>
      <c r="J848" s="1" t="s">
        <v>319</v>
      </c>
      <c r="K848" s="1" t="s">
        <v>652</v>
      </c>
      <c r="L848" s="1" t="s">
        <v>659</v>
      </c>
      <c r="M848" s="1" t="s">
        <v>260</v>
      </c>
      <c r="N848" s="1" t="s">
        <v>357</v>
      </c>
      <c r="O848" s="1" t="s">
        <v>632</v>
      </c>
      <c r="P848" s="1" t="str">
        <f>_xlfn.CONCAT(B848,C848,D848,E848,F848)</f>
        <v>BC Camarao1.3215KTL-H3(MBUS-14)46066,454861111146066,454861111146066,4618055556</v>
      </c>
      <c r="Q848" s="1" t="str">
        <f>_xlfn.CONCAT(H848,I848,J848)</f>
        <v>LIGRFOCOM</v>
      </c>
    </row>
    <row r="849" spans="2:17">
      <c r="B849" s="1" t="s">
        <v>381</v>
      </c>
      <c r="C849" s="1" t="s">
        <v>380</v>
      </c>
      <c r="D849" s="52">
        <v>46066.454861111109</v>
      </c>
      <c r="E849" s="52">
        <v>46066.454861111109</v>
      </c>
      <c r="F849" s="52">
        <v>46066.461805555555</v>
      </c>
      <c r="G849" s="53">
        <v>6.9444444444444441E-3</v>
      </c>
      <c r="H849" s="1" t="s">
        <v>268</v>
      </c>
      <c r="I849" s="1" t="s">
        <v>269</v>
      </c>
      <c r="J849" s="1" t="s">
        <v>319</v>
      </c>
      <c r="K849" s="1" t="s">
        <v>652</v>
      </c>
      <c r="L849" s="1" t="s">
        <v>659</v>
      </c>
      <c r="M849" s="1" t="s">
        <v>260</v>
      </c>
      <c r="N849" s="1" t="s">
        <v>357</v>
      </c>
      <c r="O849" s="1" t="s">
        <v>809</v>
      </c>
      <c r="P849" s="1" t="str">
        <f>_xlfn.CONCAT(B849,C849,D849,E849,F849)</f>
        <v>BC Camarao1.3215KTL-H3(MBUS-15)46066,454861111146066,454861111146066,4618055556</v>
      </c>
      <c r="Q849" s="1" t="str">
        <f>_xlfn.CONCAT(H849,I849,J849)</f>
        <v>LIGRFOCOM</v>
      </c>
    </row>
    <row r="850" spans="2:17">
      <c r="B850" s="1" t="s">
        <v>381</v>
      </c>
      <c r="C850" s="1" t="s">
        <v>377</v>
      </c>
      <c r="D850" s="52">
        <v>46066.454861111109</v>
      </c>
      <c r="E850" s="52">
        <v>46066.454861111109</v>
      </c>
      <c r="F850" s="52">
        <v>46066.461805555555</v>
      </c>
      <c r="G850" s="53">
        <v>6.9444444444444441E-3</v>
      </c>
      <c r="H850" s="1" t="s">
        <v>268</v>
      </c>
      <c r="I850" s="1" t="s">
        <v>269</v>
      </c>
      <c r="J850" s="1" t="s">
        <v>319</v>
      </c>
      <c r="K850" s="1" t="s">
        <v>652</v>
      </c>
      <c r="L850" s="1" t="s">
        <v>659</v>
      </c>
      <c r="M850" s="1" t="s">
        <v>260</v>
      </c>
      <c r="N850" s="1" t="s">
        <v>357</v>
      </c>
      <c r="O850" s="1" t="s">
        <v>809</v>
      </c>
      <c r="P850" s="1" t="str">
        <f>_xlfn.CONCAT(B850,C850,D850,E850,F850)</f>
        <v>BC Camarao1.3215KTL-H3(MBUS-12)46066,454861111146066,454861111146066,4618055556</v>
      </c>
      <c r="Q850" s="1" t="str">
        <f>_xlfn.CONCAT(H850,I850,J850)</f>
        <v>LIGRFOCOM</v>
      </c>
    </row>
    <row r="851" spans="2:17">
      <c r="B851" s="1" t="s">
        <v>381</v>
      </c>
      <c r="C851" s="1" t="s">
        <v>378</v>
      </c>
      <c r="D851" s="52">
        <v>46066.454861111109</v>
      </c>
      <c r="E851" s="52">
        <v>46066.454861111109</v>
      </c>
      <c r="F851" s="52">
        <v>46066.461805555555</v>
      </c>
      <c r="G851" s="53">
        <v>6.9444444444444441E-3</v>
      </c>
      <c r="H851" s="1" t="s">
        <v>268</v>
      </c>
      <c r="I851" s="1" t="s">
        <v>269</v>
      </c>
      <c r="J851" s="1" t="s">
        <v>319</v>
      </c>
      <c r="K851" s="1" t="s">
        <v>652</v>
      </c>
      <c r="L851" s="1" t="s">
        <v>659</v>
      </c>
      <c r="M851" s="1" t="s">
        <v>260</v>
      </c>
      <c r="N851" s="1" t="s">
        <v>357</v>
      </c>
      <c r="O851" s="1" t="s">
        <v>809</v>
      </c>
      <c r="P851" s="1" t="str">
        <f>_xlfn.CONCAT(B851,C851,D851,E851,F851)</f>
        <v>BC Camarao1.3215KTL-H3(MBUS-13)46066,454861111146066,454861111146066,4618055556</v>
      </c>
      <c r="Q851" s="1" t="str">
        <f>_xlfn.CONCAT(H851,I851,J851)</f>
        <v>LIGRFOCOM</v>
      </c>
    </row>
    <row r="852" spans="2:17">
      <c r="B852" s="1" t="s">
        <v>41</v>
      </c>
      <c r="C852" s="1" t="s">
        <v>267</v>
      </c>
      <c r="D852" s="52">
        <v>46066.479166666664</v>
      </c>
      <c r="E852" s="52">
        <v>46066.479166666664</v>
      </c>
      <c r="F852" s="52">
        <v>46066.513888888891</v>
      </c>
      <c r="G852" s="53">
        <v>3.4722222222222224E-2</v>
      </c>
      <c r="H852" s="1" t="s">
        <v>268</v>
      </c>
      <c r="I852" s="1" t="s">
        <v>269</v>
      </c>
      <c r="J852" s="1" t="s">
        <v>319</v>
      </c>
      <c r="K852" s="1" t="s">
        <v>652</v>
      </c>
      <c r="L852" s="1" t="s">
        <v>810</v>
      </c>
      <c r="M852" s="1" t="s">
        <v>260</v>
      </c>
      <c r="N852" s="1" t="s">
        <v>357</v>
      </c>
      <c r="O852" s="1" t="s">
        <v>809</v>
      </c>
      <c r="P852" s="1" t="str">
        <f>_xlfn.CONCAT(B852,C852,D852,E852,F852)</f>
        <v>BC Bom SucessoSG60KTL46066,479166666746066,479166666746066,5138888889</v>
      </c>
      <c r="Q852" s="1" t="str">
        <f>_xlfn.CONCAT(H852,I852,J852)</f>
        <v>LIGRFOCOM</v>
      </c>
    </row>
    <row r="853" spans="2:17">
      <c r="B853" s="1" t="s">
        <v>393</v>
      </c>
      <c r="C853" s="1" t="s">
        <v>420</v>
      </c>
      <c r="D853" s="52">
        <v>46066.546527777777</v>
      </c>
      <c r="E853" s="52">
        <v>46066.546527777777</v>
      </c>
      <c r="F853" s="52">
        <v>46066.708333333336</v>
      </c>
      <c r="G853" s="53">
        <v>0.16180555555555556</v>
      </c>
      <c r="H853" s="1" t="s">
        <v>677</v>
      </c>
      <c r="J853" s="1" t="s">
        <v>249</v>
      </c>
      <c r="K853" s="1" t="s">
        <v>250</v>
      </c>
      <c r="L853" s="1" t="s">
        <v>811</v>
      </c>
      <c r="M853" s="1" t="s">
        <v>260</v>
      </c>
      <c r="N853" s="1" t="s">
        <v>357</v>
      </c>
      <c r="O853" s="1" t="s">
        <v>809</v>
      </c>
      <c r="P853" s="1" t="str">
        <f>_xlfn.CONCAT(B853,C853,D853,E853,F853)</f>
        <v>BC ParanoaSG60KTL(COM1-001)_002_00646066,546527777846066,546527777846066,7083333333</v>
      </c>
      <c r="Q853" s="1" t="str">
        <f>_xlfn.CONCAT(H853,I853,J853)</f>
        <v>DPRTRF</v>
      </c>
    </row>
    <row r="854" spans="2:17">
      <c r="B854" s="1" t="s">
        <v>393</v>
      </c>
      <c r="C854" s="1" t="s">
        <v>421</v>
      </c>
      <c r="D854" s="52">
        <v>46066.546527777777</v>
      </c>
      <c r="E854" s="52">
        <v>46066.546527777777</v>
      </c>
      <c r="F854" s="52">
        <v>46066.708333333336</v>
      </c>
      <c r="G854" s="53">
        <v>0.16180555555555556</v>
      </c>
      <c r="H854" s="1" t="s">
        <v>677</v>
      </c>
      <c r="J854" s="1" t="s">
        <v>249</v>
      </c>
      <c r="K854" s="1" t="s">
        <v>250</v>
      </c>
      <c r="L854" s="1" t="s">
        <v>811</v>
      </c>
      <c r="M854" s="1" t="s">
        <v>260</v>
      </c>
      <c r="N854" s="1" t="s">
        <v>357</v>
      </c>
      <c r="O854" s="1" t="s">
        <v>809</v>
      </c>
      <c r="P854" s="1" t="str">
        <f>_xlfn.CONCAT(B854,C854,D854,E854,F854)</f>
        <v>BC ParanoaSG60KTL(COM1-002)_002_01646066,546527777846066,546527777846066,7083333333</v>
      </c>
      <c r="Q854" s="1" t="str">
        <f>_xlfn.CONCAT(H854,I854,J854)</f>
        <v>DPRTRF</v>
      </c>
    </row>
    <row r="855" spans="2:17">
      <c r="B855" s="1" t="s">
        <v>393</v>
      </c>
      <c r="C855" s="1" t="s">
        <v>422</v>
      </c>
      <c r="D855" s="52">
        <v>46066.546527777777</v>
      </c>
      <c r="E855" s="52">
        <v>46066.546527777777</v>
      </c>
      <c r="F855" s="52">
        <v>46066.708333333336</v>
      </c>
      <c r="G855" s="53">
        <v>0.16180555555555556</v>
      </c>
      <c r="H855" s="1" t="s">
        <v>677</v>
      </c>
      <c r="J855" s="1" t="s">
        <v>249</v>
      </c>
      <c r="K855" s="1" t="s">
        <v>250</v>
      </c>
      <c r="L855" s="1" t="s">
        <v>811</v>
      </c>
      <c r="M855" s="1" t="s">
        <v>260</v>
      </c>
      <c r="N855" s="1" t="s">
        <v>357</v>
      </c>
      <c r="O855" s="1" t="s">
        <v>809</v>
      </c>
      <c r="P855" s="1" t="str">
        <f>_xlfn.CONCAT(B855,C855,D855,E855,F855)</f>
        <v>BC ParanoaSG50CX(COM2-003)_002_02146066,546527777846066,546527777846066,7083333333</v>
      </c>
      <c r="Q855" s="1" t="str">
        <f>_xlfn.CONCAT(H855,I855,J855)</f>
        <v>DPRTRF</v>
      </c>
    </row>
    <row r="856" spans="2:17">
      <c r="B856" s="1" t="s">
        <v>255</v>
      </c>
      <c r="C856" s="1" t="s">
        <v>256</v>
      </c>
      <c r="D856" s="52">
        <v>46067.688888888886</v>
      </c>
      <c r="E856" s="52">
        <v>46067.688888888886</v>
      </c>
      <c r="F856" s="52">
        <v>46071.354166666664</v>
      </c>
      <c r="G856" s="53">
        <v>3.6652777777777779</v>
      </c>
      <c r="H856" s="1" t="s">
        <v>257</v>
      </c>
      <c r="J856" s="1" t="s">
        <v>258</v>
      </c>
      <c r="K856" s="1" t="s">
        <v>658</v>
      </c>
      <c r="L856" s="1" t="s">
        <v>812</v>
      </c>
      <c r="M856" s="1" t="s">
        <v>260</v>
      </c>
      <c r="N856" s="1" t="s">
        <v>357</v>
      </c>
      <c r="O856" s="1" t="s">
        <v>632</v>
      </c>
      <c r="P856" s="1" t="str">
        <f>_xlfn.CONCAT(B856,C856,D856,E856,F856)</f>
        <v>BC Formoso2.1Inverter(MBUS-12)46067,688888888946067,688888888946071,3541666667</v>
      </c>
      <c r="Q856" s="1" t="str">
        <f>_xlfn.CONCAT(H856,I856,J856)</f>
        <v>DAURDE</v>
      </c>
    </row>
    <row r="857" spans="2:17">
      <c r="B857" s="1" t="s">
        <v>255</v>
      </c>
      <c r="C857" s="1" t="s">
        <v>263</v>
      </c>
      <c r="D857" s="52">
        <v>46067.688888888886</v>
      </c>
      <c r="E857" s="52">
        <v>46067.688888888886</v>
      </c>
      <c r="F857" s="52">
        <v>46071.354166666664</v>
      </c>
      <c r="G857" s="53">
        <v>3.6652777777777779</v>
      </c>
      <c r="H857" s="1" t="s">
        <v>257</v>
      </c>
      <c r="J857" s="1" t="s">
        <v>258</v>
      </c>
      <c r="K857" s="1" t="s">
        <v>658</v>
      </c>
      <c r="L857" s="1" t="s">
        <v>812</v>
      </c>
      <c r="M857" s="1" t="s">
        <v>260</v>
      </c>
      <c r="N857" s="1" t="s">
        <v>357</v>
      </c>
      <c r="O857" s="1" t="s">
        <v>632</v>
      </c>
      <c r="P857" s="1" t="str">
        <f>_xlfn.CONCAT(B857,C857,D857,E857,F857)</f>
        <v>BC Formoso2.1Inverter(MBUS-14)46067,688888888946067,688888888946071,3541666667</v>
      </c>
      <c r="Q857" s="1" t="str">
        <f>_xlfn.CONCAT(H857,I857,J857)</f>
        <v>DAURDE</v>
      </c>
    </row>
    <row r="858" spans="2:17">
      <c r="B858" s="1" t="s">
        <v>255</v>
      </c>
      <c r="C858" s="1" t="s">
        <v>264</v>
      </c>
      <c r="D858" s="52">
        <v>46067.688888888886</v>
      </c>
      <c r="E858" s="52">
        <v>46067.688888888886</v>
      </c>
      <c r="F858" s="52">
        <v>46071.354166666664</v>
      </c>
      <c r="G858" s="53">
        <v>3.6652777777777779</v>
      </c>
      <c r="H858" s="1" t="s">
        <v>257</v>
      </c>
      <c r="J858" s="1" t="s">
        <v>258</v>
      </c>
      <c r="K858" s="1" t="s">
        <v>658</v>
      </c>
      <c r="L858" s="1" t="s">
        <v>812</v>
      </c>
      <c r="M858" s="1" t="s">
        <v>260</v>
      </c>
      <c r="N858" s="1" t="s">
        <v>357</v>
      </c>
      <c r="O858" s="1" t="s">
        <v>632</v>
      </c>
      <c r="P858" s="1" t="str">
        <f>_xlfn.CONCAT(B858,C858,D858,E858,F858)</f>
        <v>BC Formoso2.1Inverter(MBUS-13)46067,688888888946067,688888888946071,3541666667</v>
      </c>
      <c r="Q858" s="1" t="str">
        <f>_xlfn.CONCAT(H858,I858,J858)</f>
        <v>DAURDE</v>
      </c>
    </row>
    <row r="859" spans="2:17">
      <c r="B859" s="1" t="s">
        <v>255</v>
      </c>
      <c r="C859" s="1" t="s">
        <v>247</v>
      </c>
      <c r="D859" s="52">
        <v>46067.688888888886</v>
      </c>
      <c r="E859" s="52">
        <v>46067.688888888886</v>
      </c>
      <c r="F859" s="52">
        <v>46071.354166666664</v>
      </c>
      <c r="G859" s="53">
        <v>3.6652777777777779</v>
      </c>
      <c r="H859" s="1" t="s">
        <v>257</v>
      </c>
      <c r="J859" s="1" t="s">
        <v>258</v>
      </c>
      <c r="K859" s="1" t="s">
        <v>658</v>
      </c>
      <c r="L859" s="1" t="s">
        <v>812</v>
      </c>
      <c r="M859" s="1" t="s">
        <v>260</v>
      </c>
      <c r="N859" s="1" t="s">
        <v>357</v>
      </c>
      <c r="O859" s="1" t="s">
        <v>632</v>
      </c>
      <c r="P859" s="1" t="str">
        <f>_xlfn.CONCAT(B859,C859,D859,E859,F859)</f>
        <v>BC Formoso2.1Inverter(MBUS-1)46067,688888888946067,688888888946071,3541666667</v>
      </c>
      <c r="Q859" s="1" t="str">
        <f>_xlfn.CONCAT(H859,I859,J859)</f>
        <v>DAURDE</v>
      </c>
    </row>
    <row r="860" spans="2:17">
      <c r="B860" s="1" t="s">
        <v>265</v>
      </c>
      <c r="C860" s="1" t="s">
        <v>263</v>
      </c>
      <c r="D860" s="52">
        <v>46067.688888888886</v>
      </c>
      <c r="E860" s="52">
        <v>46067.688888888886</v>
      </c>
      <c r="F860" s="52">
        <v>46071.354166666664</v>
      </c>
      <c r="G860" s="53">
        <v>3.6652777777777779</v>
      </c>
      <c r="H860" s="1" t="s">
        <v>257</v>
      </c>
      <c r="J860" s="1" t="s">
        <v>258</v>
      </c>
      <c r="K860" s="1" t="s">
        <v>658</v>
      </c>
      <c r="L860" s="1" t="s">
        <v>812</v>
      </c>
      <c r="M860" s="1" t="s">
        <v>260</v>
      </c>
      <c r="N860" s="1" t="s">
        <v>357</v>
      </c>
      <c r="O860" s="1" t="s">
        <v>632</v>
      </c>
      <c r="P860" s="1" t="str">
        <f>_xlfn.CONCAT(B860,C860,D860,E860,F860)</f>
        <v>BC Formoso2.2Inverter(MBUS-14)46067,688888888946067,688888888946071,3541666667</v>
      </c>
      <c r="Q860" s="1" t="str">
        <f>_xlfn.CONCAT(H860,I860,J860)</f>
        <v>DAURDE</v>
      </c>
    </row>
    <row r="861" spans="2:17">
      <c r="B861" s="1" t="s">
        <v>265</v>
      </c>
      <c r="C861" s="1" t="s">
        <v>264</v>
      </c>
      <c r="D861" s="52">
        <v>46067.688888888886</v>
      </c>
      <c r="E861" s="52">
        <v>46067.688888888886</v>
      </c>
      <c r="F861" s="52">
        <v>46071.354166666664</v>
      </c>
      <c r="G861" s="53">
        <v>3.6652777777777779</v>
      </c>
      <c r="H861" s="1" t="s">
        <v>257</v>
      </c>
      <c r="J861" s="1" t="s">
        <v>258</v>
      </c>
      <c r="K861" s="1" t="s">
        <v>658</v>
      </c>
      <c r="L861" s="1" t="s">
        <v>812</v>
      </c>
      <c r="M861" s="1" t="s">
        <v>260</v>
      </c>
      <c r="N861" s="1" t="s">
        <v>357</v>
      </c>
      <c r="O861" s="1" t="s">
        <v>809</v>
      </c>
      <c r="P861" s="1" t="str">
        <f>_xlfn.CONCAT(B861,C861,D861,E861,F861)</f>
        <v>BC Formoso2.2Inverter(MBUS-13)46067,688888888946067,688888888946071,3541666667</v>
      </c>
      <c r="Q861" s="1" t="str">
        <f>_xlfn.CONCAT(H861,I861,J861)</f>
        <v>DAURDE</v>
      </c>
    </row>
    <row r="862" spans="2:17">
      <c r="B862" s="1" t="s">
        <v>265</v>
      </c>
      <c r="C862" s="1" t="s">
        <v>256</v>
      </c>
      <c r="D862" s="52">
        <v>46067.688888888886</v>
      </c>
      <c r="E862" s="52">
        <v>46067.688888888886</v>
      </c>
      <c r="F862" s="52">
        <v>46071.354166666664</v>
      </c>
      <c r="G862" s="53">
        <v>3.6652777777777779</v>
      </c>
      <c r="H862" s="1" t="s">
        <v>257</v>
      </c>
      <c r="J862" s="1" t="s">
        <v>258</v>
      </c>
      <c r="K862" s="1" t="s">
        <v>658</v>
      </c>
      <c r="L862" s="1" t="s">
        <v>812</v>
      </c>
      <c r="M862" s="1" t="s">
        <v>260</v>
      </c>
      <c r="N862" s="1" t="s">
        <v>357</v>
      </c>
      <c r="O862" s="1" t="s">
        <v>809</v>
      </c>
      <c r="P862" s="1" t="str">
        <f>_xlfn.CONCAT(B862,C862,D862,E862,F862)</f>
        <v>BC Formoso2.2Inverter(MBUS-12)46067,688888888946067,688888888946071,3541666667</v>
      </c>
      <c r="Q862" s="1" t="str">
        <f>_xlfn.CONCAT(H862,I862,J862)</f>
        <v>DAURDE</v>
      </c>
    </row>
    <row r="863" spans="2:17">
      <c r="B863" s="1" t="s">
        <v>265</v>
      </c>
      <c r="C863" s="1" t="s">
        <v>247</v>
      </c>
      <c r="D863" s="52">
        <v>46067.688888888886</v>
      </c>
      <c r="E863" s="52">
        <v>46067.688888888886</v>
      </c>
      <c r="F863" s="52">
        <v>46071.354166666664</v>
      </c>
      <c r="G863" s="53">
        <v>3.6652777777777779</v>
      </c>
      <c r="H863" s="1" t="s">
        <v>257</v>
      </c>
      <c r="J863" s="1" t="s">
        <v>258</v>
      </c>
      <c r="K863" s="1" t="s">
        <v>658</v>
      </c>
      <c r="L863" s="1" t="s">
        <v>812</v>
      </c>
      <c r="M863" s="1" t="s">
        <v>260</v>
      </c>
      <c r="N863" s="1" t="s">
        <v>357</v>
      </c>
      <c r="O863" s="1" t="s">
        <v>809</v>
      </c>
      <c r="P863" s="1" t="str">
        <f>_xlfn.CONCAT(B863,C863,D863,E863,F863)</f>
        <v>BC Formoso2.2Inverter(MBUS-1)46067,688888888946067,688888888946071,3541666667</v>
      </c>
      <c r="Q863" s="1" t="str">
        <f>_xlfn.CONCAT(H863,I863,J863)</f>
        <v>DAURDE</v>
      </c>
    </row>
    <row r="864" spans="2:17">
      <c r="B864" s="1" t="s">
        <v>355</v>
      </c>
      <c r="C864" s="1" t="s">
        <v>264</v>
      </c>
      <c r="D864" s="52">
        <v>46067.688888888886</v>
      </c>
      <c r="E864" s="52">
        <v>46067.688888888886</v>
      </c>
      <c r="F864" s="52">
        <v>46071.354166666664</v>
      </c>
      <c r="G864" s="53">
        <v>3.6652777777777779</v>
      </c>
      <c r="H864" s="1" t="s">
        <v>257</v>
      </c>
      <c r="J864" s="1" t="s">
        <v>258</v>
      </c>
      <c r="K864" s="1" t="s">
        <v>658</v>
      </c>
      <c r="L864" s="1" t="s">
        <v>812</v>
      </c>
      <c r="M864" s="1" t="s">
        <v>260</v>
      </c>
      <c r="N864" s="1" t="s">
        <v>357</v>
      </c>
      <c r="O864" s="1" t="s">
        <v>809</v>
      </c>
      <c r="P864" s="1" t="str">
        <f>_xlfn.CONCAT(B864,C864,D864,E864,F864)</f>
        <v>BC Formoso2.3Inverter(MBUS-13)46067,688888888946067,688888888946071,3541666667</v>
      </c>
      <c r="Q864" s="1" t="str">
        <f>_xlfn.CONCAT(H864,I864,J864)</f>
        <v>DAURDE</v>
      </c>
    </row>
    <row r="865" spans="2:17">
      <c r="B865" s="1" t="s">
        <v>355</v>
      </c>
      <c r="C865" s="1" t="s">
        <v>256</v>
      </c>
      <c r="D865" s="52">
        <v>46067.688888888886</v>
      </c>
      <c r="E865" s="52">
        <v>46067.688888888886</v>
      </c>
      <c r="F865" s="52">
        <v>46071.354166666664</v>
      </c>
      <c r="G865" s="53">
        <v>3.6652777777777779</v>
      </c>
      <c r="H865" s="1" t="s">
        <v>257</v>
      </c>
      <c r="J865" s="1" t="s">
        <v>258</v>
      </c>
      <c r="K865" s="1" t="s">
        <v>658</v>
      </c>
      <c r="L865" s="1" t="s">
        <v>812</v>
      </c>
      <c r="M865" s="1" t="s">
        <v>260</v>
      </c>
      <c r="N865" s="1" t="s">
        <v>357</v>
      </c>
      <c r="O865" s="1" t="s">
        <v>809</v>
      </c>
      <c r="P865" s="1" t="str">
        <f>_xlfn.CONCAT(B865,C865,D865,E865,F865)</f>
        <v>BC Formoso2.3Inverter(MBUS-12)46067,688888888946067,688888888946071,3541666667</v>
      </c>
      <c r="Q865" s="1" t="str">
        <f>_xlfn.CONCAT(H865,I865,J865)</f>
        <v>DAURDE</v>
      </c>
    </row>
    <row r="866" spans="2:17">
      <c r="B866" s="1" t="s">
        <v>584</v>
      </c>
      <c r="C866" s="1" t="s">
        <v>382</v>
      </c>
      <c r="D866" s="52">
        <v>46068.298611111109</v>
      </c>
      <c r="E866" s="52">
        <v>46068.298611111109</v>
      </c>
      <c r="F866" s="52">
        <v>46068.511111111111</v>
      </c>
      <c r="G866" s="53">
        <v>0.21249999999999999</v>
      </c>
      <c r="H866" s="1" t="s">
        <v>257</v>
      </c>
      <c r="J866" s="1" t="s">
        <v>371</v>
      </c>
      <c r="K866" s="1" t="s">
        <v>653</v>
      </c>
      <c r="L866" s="1" t="s">
        <v>813</v>
      </c>
      <c r="M866" s="1" t="s">
        <v>260</v>
      </c>
      <c r="N866" s="1" t="s">
        <v>357</v>
      </c>
      <c r="O866" s="1" t="s">
        <v>809</v>
      </c>
      <c r="P866" s="1" t="str">
        <f>_xlfn.CONCAT(B866,C866,D866,E866,F866)</f>
        <v>BC Caiaponia2.3215KTL-H3(MBUS-14)46068,298611111146068,298611111146068,5111111111</v>
      </c>
      <c r="Q866" s="1" t="str">
        <f>_xlfn.CONCAT(H866,I866,J866)</f>
        <v>DAUINV</v>
      </c>
    </row>
    <row r="867" spans="2:17">
      <c r="B867" s="1" t="s">
        <v>375</v>
      </c>
      <c r="C867" s="1" t="s">
        <v>247</v>
      </c>
      <c r="D867" s="52">
        <v>46068.315972222219</v>
      </c>
      <c r="E867" s="52">
        <v>46068.315972222219</v>
      </c>
      <c r="F867" s="52">
        <v>46068.407638888886</v>
      </c>
      <c r="G867" s="53">
        <v>9.166666666666666E-2</v>
      </c>
      <c r="H867" s="1" t="s">
        <v>257</v>
      </c>
      <c r="J867" s="1" t="s">
        <v>258</v>
      </c>
      <c r="K867" s="1" t="s">
        <v>658</v>
      </c>
      <c r="L867" s="1" t="s">
        <v>814</v>
      </c>
      <c r="M867" s="1" t="s">
        <v>260</v>
      </c>
      <c r="N867" s="1" t="s">
        <v>357</v>
      </c>
      <c r="O867" s="1" t="s">
        <v>809</v>
      </c>
      <c r="P867" s="1" t="str">
        <f>_xlfn.CONCAT(B867,C867,D867,E867,F867)</f>
        <v>BC Camarao1.1Inverter(MBUS-1)46068,315972222246068,315972222246068,4076388889</v>
      </c>
      <c r="Q867" s="1" t="str">
        <f>_xlfn.CONCAT(H867,I867,J867)</f>
        <v>DAURDE</v>
      </c>
    </row>
    <row r="868" spans="2:17">
      <c r="B868" s="1" t="s">
        <v>375</v>
      </c>
      <c r="C868" s="1" t="s">
        <v>377</v>
      </c>
      <c r="D868" s="52">
        <v>46068.315972222219</v>
      </c>
      <c r="E868" s="52">
        <v>46068.315972222219</v>
      </c>
      <c r="F868" s="52">
        <v>46068.407638888886</v>
      </c>
      <c r="G868" s="53">
        <v>9.166666666666666E-2</v>
      </c>
      <c r="H868" s="1" t="s">
        <v>257</v>
      </c>
      <c r="J868" s="1" t="s">
        <v>258</v>
      </c>
      <c r="K868" s="1" t="s">
        <v>658</v>
      </c>
      <c r="L868" s="1" t="s">
        <v>814</v>
      </c>
      <c r="M868" s="1" t="s">
        <v>260</v>
      </c>
      <c r="N868" s="1" t="s">
        <v>357</v>
      </c>
      <c r="O868" s="1" t="s">
        <v>809</v>
      </c>
      <c r="P868" s="1" t="str">
        <f>_xlfn.CONCAT(B868,C868,D868,E868,F868)</f>
        <v>BC Camarao1.1215KTL-H3(MBUS-12)46068,315972222246068,315972222246068,4076388889</v>
      </c>
      <c r="Q868" s="1" t="str">
        <f>_xlfn.CONCAT(H868,I868,J868)</f>
        <v>DAURDE</v>
      </c>
    </row>
    <row r="869" spans="2:17">
      <c r="B869" s="1" t="s">
        <v>375</v>
      </c>
      <c r="C869" s="1" t="s">
        <v>378</v>
      </c>
      <c r="D869" s="52">
        <v>46068.315972222219</v>
      </c>
      <c r="E869" s="52">
        <v>46068.315972222219</v>
      </c>
      <c r="F869" s="52">
        <v>46068.407638888886</v>
      </c>
      <c r="G869" s="53">
        <v>9.166666666666666E-2</v>
      </c>
      <c r="H869" s="1" t="s">
        <v>257</v>
      </c>
      <c r="J869" s="1" t="s">
        <v>258</v>
      </c>
      <c r="K869" s="1" t="s">
        <v>658</v>
      </c>
      <c r="L869" s="1" t="s">
        <v>814</v>
      </c>
      <c r="M869" s="1" t="s">
        <v>260</v>
      </c>
      <c r="N869" s="1" t="s">
        <v>357</v>
      </c>
      <c r="O869" s="1" t="s">
        <v>809</v>
      </c>
      <c r="P869" s="1" t="str">
        <f>_xlfn.CONCAT(B869,C869,D869,E869,F869)</f>
        <v>BC Camarao1.1215KTL-H3(MBUS-13)46068,315972222246068,315972222246068,4076388889</v>
      </c>
      <c r="Q869" s="1" t="str">
        <f>_xlfn.CONCAT(H869,I869,J869)</f>
        <v>DAURDE</v>
      </c>
    </row>
    <row r="870" spans="2:17">
      <c r="B870" s="1" t="s">
        <v>375</v>
      </c>
      <c r="C870" s="1" t="s">
        <v>379</v>
      </c>
      <c r="D870" s="52">
        <v>46068.315972222219</v>
      </c>
      <c r="E870" s="52">
        <v>46068.315972222219</v>
      </c>
      <c r="F870" s="52">
        <v>46068.407638888886</v>
      </c>
      <c r="G870" s="53">
        <v>9.166666666666666E-2</v>
      </c>
      <c r="H870" s="1" t="s">
        <v>257</v>
      </c>
      <c r="J870" s="1" t="s">
        <v>258</v>
      </c>
      <c r="K870" s="1" t="s">
        <v>658</v>
      </c>
      <c r="L870" s="1" t="s">
        <v>814</v>
      </c>
      <c r="M870" s="1" t="s">
        <v>260</v>
      </c>
      <c r="N870" s="1" t="s">
        <v>357</v>
      </c>
      <c r="O870" s="1" t="s">
        <v>809</v>
      </c>
      <c r="P870" s="1" t="str">
        <f>_xlfn.CONCAT(B870,C870,D870,E870,F870)</f>
        <v>BC Camarao1.1215KTL-H3(MBUS-16)46068,315972222246068,315972222246068,4076388889</v>
      </c>
      <c r="Q870" s="1" t="str">
        <f>_xlfn.CONCAT(H870,I870,J870)</f>
        <v>DAURDE</v>
      </c>
    </row>
    <row r="871" spans="2:17">
      <c r="B871" s="1" t="s">
        <v>375</v>
      </c>
      <c r="C871" s="1" t="s">
        <v>380</v>
      </c>
      <c r="D871" s="52">
        <v>46068.315972222219</v>
      </c>
      <c r="E871" s="52">
        <v>46068.315972222219</v>
      </c>
      <c r="F871" s="52">
        <v>46068.407638888886</v>
      </c>
      <c r="G871" s="53">
        <v>9.166666666666666E-2</v>
      </c>
      <c r="H871" s="1" t="s">
        <v>257</v>
      </c>
      <c r="J871" s="1" t="s">
        <v>258</v>
      </c>
      <c r="K871" s="1" t="s">
        <v>658</v>
      </c>
      <c r="L871" s="1" t="s">
        <v>814</v>
      </c>
      <c r="M871" s="1" t="s">
        <v>260</v>
      </c>
      <c r="N871" s="1" t="s">
        <v>357</v>
      </c>
      <c r="O871" s="1" t="s">
        <v>809</v>
      </c>
      <c r="P871" s="1" t="str">
        <f>_xlfn.CONCAT(B871,C871,D871,E871,F871)</f>
        <v>BC Camarao1.1215KTL-H3(MBUS-15)46068,315972222246068,315972222246068,4076388889</v>
      </c>
      <c r="Q871" s="1" t="str">
        <f>_xlfn.CONCAT(H871,I871,J871)</f>
        <v>DAURDE</v>
      </c>
    </row>
    <row r="872" spans="2:17">
      <c r="B872" s="1" t="s">
        <v>387</v>
      </c>
      <c r="C872" s="1" t="s">
        <v>247</v>
      </c>
      <c r="D872" s="52">
        <v>46068.315972222219</v>
      </c>
      <c r="E872" s="52">
        <v>46068.315972222219</v>
      </c>
      <c r="F872" s="52">
        <v>46068.407638888886</v>
      </c>
      <c r="G872" s="53">
        <v>9.166666666666666E-2</v>
      </c>
      <c r="H872" s="1" t="s">
        <v>257</v>
      </c>
      <c r="J872" s="1" t="s">
        <v>258</v>
      </c>
      <c r="K872" s="1" t="s">
        <v>658</v>
      </c>
      <c r="L872" s="1" t="s">
        <v>814</v>
      </c>
      <c r="M872" s="1" t="s">
        <v>260</v>
      </c>
      <c r="N872" s="1" t="s">
        <v>357</v>
      </c>
      <c r="O872" s="1" t="s">
        <v>809</v>
      </c>
      <c r="P872" s="1" t="str">
        <f>_xlfn.CONCAT(B872,C872,D872,E872,F872)</f>
        <v>BC Camarao1.2Inverter(MBUS-1)46068,315972222246068,315972222246068,4076388889</v>
      </c>
      <c r="Q872" s="1" t="str">
        <f>_xlfn.CONCAT(H872,I872,J872)</f>
        <v>DAURDE</v>
      </c>
    </row>
    <row r="873" spans="2:17">
      <c r="B873" s="1" t="s">
        <v>387</v>
      </c>
      <c r="C873" s="1" t="s">
        <v>388</v>
      </c>
      <c r="D873" s="52">
        <v>46068.315972222219</v>
      </c>
      <c r="E873" s="52">
        <v>46068.315972222219</v>
      </c>
      <c r="F873" s="52">
        <v>46068.407638888886</v>
      </c>
      <c r="G873" s="53">
        <v>9.166666666666666E-2</v>
      </c>
      <c r="H873" s="1" t="s">
        <v>257</v>
      </c>
      <c r="J873" s="1" t="s">
        <v>258</v>
      </c>
      <c r="K873" s="1" t="s">
        <v>658</v>
      </c>
      <c r="L873" s="1" t="s">
        <v>814</v>
      </c>
      <c r="M873" s="1" t="s">
        <v>260</v>
      </c>
      <c r="N873" s="1" t="s">
        <v>357</v>
      </c>
      <c r="O873" s="1" t="s">
        <v>809</v>
      </c>
      <c r="P873" s="1" t="str">
        <f>_xlfn.CONCAT(B873,C873,D873,E873,F873)</f>
        <v>BC Camarao1.2Inv. 346068,315972222246068,315972222246068,4076388889</v>
      </c>
      <c r="Q873" s="1" t="str">
        <f>_xlfn.CONCAT(H873,I873,J873)</f>
        <v>DAURDE</v>
      </c>
    </row>
    <row r="874" spans="2:17">
      <c r="B874" s="1" t="s">
        <v>387</v>
      </c>
      <c r="C874" s="1" t="s">
        <v>389</v>
      </c>
      <c r="D874" s="52">
        <v>46068.315972222219</v>
      </c>
      <c r="E874" s="52">
        <v>46068.315972222219</v>
      </c>
      <c r="F874" s="52">
        <v>46068.407638888886</v>
      </c>
      <c r="G874" s="53">
        <v>9.166666666666666E-2</v>
      </c>
      <c r="H874" s="1" t="s">
        <v>257</v>
      </c>
      <c r="J874" s="1" t="s">
        <v>258</v>
      </c>
      <c r="K874" s="1" t="s">
        <v>658</v>
      </c>
      <c r="L874" s="1" t="s">
        <v>814</v>
      </c>
      <c r="M874" s="1" t="s">
        <v>260</v>
      </c>
      <c r="N874" s="1" t="s">
        <v>357</v>
      </c>
      <c r="O874" s="1" t="s">
        <v>809</v>
      </c>
      <c r="P874" s="1" t="str">
        <f>_xlfn.CONCAT(B874,C874,D874,E874,F874)</f>
        <v>BC Camarao1.2Inv. 446068,315972222246068,315972222246068,4076388889</v>
      </c>
      <c r="Q874" s="1" t="str">
        <f>_xlfn.CONCAT(H874,I874,J874)</f>
        <v>DAURDE</v>
      </c>
    </row>
    <row r="875" spans="2:17">
      <c r="B875" s="1" t="s">
        <v>387</v>
      </c>
      <c r="C875" s="1" t="s">
        <v>390</v>
      </c>
      <c r="D875" s="52">
        <v>46068.315972222219</v>
      </c>
      <c r="E875" s="52">
        <v>46068.315972222219</v>
      </c>
      <c r="F875" s="52">
        <v>46068.407638888886</v>
      </c>
      <c r="G875" s="53">
        <v>9.166666666666666E-2</v>
      </c>
      <c r="H875" s="1" t="s">
        <v>257</v>
      </c>
      <c r="J875" s="1" t="s">
        <v>258</v>
      </c>
      <c r="K875" s="1" t="s">
        <v>658</v>
      </c>
      <c r="L875" s="1" t="s">
        <v>814</v>
      </c>
      <c r="M875" s="1" t="s">
        <v>260</v>
      </c>
      <c r="N875" s="1" t="s">
        <v>357</v>
      </c>
      <c r="O875" s="1" t="s">
        <v>809</v>
      </c>
      <c r="P875" s="1" t="str">
        <f>_xlfn.CONCAT(B875,C875,D875,E875,F875)</f>
        <v>BC Camarao1.2Inverter(MBUS-16)46068,315972222246068,315972222246068,4076388889</v>
      </c>
      <c r="Q875" s="1" t="str">
        <f>_xlfn.CONCAT(H875,I875,J875)</f>
        <v>DAURDE</v>
      </c>
    </row>
    <row r="876" spans="2:17">
      <c r="B876" s="1" t="s">
        <v>387</v>
      </c>
      <c r="C876" s="1" t="s">
        <v>256</v>
      </c>
      <c r="D876" s="52">
        <v>46068.315972222219</v>
      </c>
      <c r="E876" s="52">
        <v>46068.315972222219</v>
      </c>
      <c r="F876" s="52">
        <v>46068.407638888886</v>
      </c>
      <c r="G876" s="53">
        <v>9.166666666666666E-2</v>
      </c>
      <c r="H876" s="1" t="s">
        <v>257</v>
      </c>
      <c r="J876" s="1" t="s">
        <v>258</v>
      </c>
      <c r="K876" s="1" t="s">
        <v>658</v>
      </c>
      <c r="L876" s="1" t="s">
        <v>814</v>
      </c>
      <c r="M876" s="1" t="s">
        <v>260</v>
      </c>
      <c r="N876" s="1" t="s">
        <v>357</v>
      </c>
      <c r="O876" s="1" t="s">
        <v>809</v>
      </c>
      <c r="P876" s="1" t="str">
        <f>_xlfn.CONCAT(B876,C876,D876,E876,F876)</f>
        <v>BC Camarao1.2Inverter(MBUS-12)46068,315972222246068,315972222246068,4076388889</v>
      </c>
      <c r="Q876" s="1" t="str">
        <f>_xlfn.CONCAT(H876,I876,J876)</f>
        <v>DAURDE</v>
      </c>
    </row>
    <row r="877" spans="2:17">
      <c r="B877" s="1" t="s">
        <v>381</v>
      </c>
      <c r="C877" s="1" t="s">
        <v>379</v>
      </c>
      <c r="D877" s="52">
        <v>46068.315972222219</v>
      </c>
      <c r="E877" s="52">
        <v>46068.315972222219</v>
      </c>
      <c r="F877" s="52">
        <v>46068.407638888886</v>
      </c>
      <c r="G877" s="53">
        <v>9.166666666666666E-2</v>
      </c>
      <c r="H877" s="1" t="s">
        <v>257</v>
      </c>
      <c r="J877" s="1" t="s">
        <v>258</v>
      </c>
      <c r="K877" s="1" t="s">
        <v>658</v>
      </c>
      <c r="L877" s="1" t="s">
        <v>814</v>
      </c>
      <c r="M877" s="1" t="s">
        <v>260</v>
      </c>
      <c r="N877" s="1" t="s">
        <v>357</v>
      </c>
      <c r="O877" s="1" t="s">
        <v>809</v>
      </c>
      <c r="P877" s="1" t="str">
        <f>_xlfn.CONCAT(B877,C877,D877,E877,F877)</f>
        <v>BC Camarao1.3215KTL-H3(MBUS-16)46068,315972222246068,315972222246068,4076388889</v>
      </c>
      <c r="Q877" s="1" t="str">
        <f>_xlfn.CONCAT(H877,I877,J877)</f>
        <v>DAURDE</v>
      </c>
    </row>
    <row r="878" spans="2:17">
      <c r="B878" s="1" t="s">
        <v>381</v>
      </c>
      <c r="C878" s="1" t="s">
        <v>382</v>
      </c>
      <c r="D878" s="52">
        <v>46068.315972222219</v>
      </c>
      <c r="E878" s="52">
        <v>46068.315972222219</v>
      </c>
      <c r="F878" s="52">
        <v>46068.407638888886</v>
      </c>
      <c r="G878" s="53">
        <v>9.166666666666666E-2</v>
      </c>
      <c r="H878" s="1" t="s">
        <v>257</v>
      </c>
      <c r="J878" s="1" t="s">
        <v>258</v>
      </c>
      <c r="K878" s="1" t="s">
        <v>658</v>
      </c>
      <c r="L878" s="1" t="s">
        <v>814</v>
      </c>
      <c r="M878" s="1" t="s">
        <v>260</v>
      </c>
      <c r="N878" s="1" t="s">
        <v>357</v>
      </c>
      <c r="O878" s="1" t="s">
        <v>809</v>
      </c>
      <c r="P878" s="1" t="str">
        <f>_xlfn.CONCAT(B878,C878,D878,E878,F878)</f>
        <v>BC Camarao1.3215KTL-H3(MBUS-14)46068,315972222246068,315972222246068,4076388889</v>
      </c>
      <c r="Q878" s="1" t="str">
        <f>_xlfn.CONCAT(H878,I878,J878)</f>
        <v>DAURDE</v>
      </c>
    </row>
    <row r="879" spans="2:17">
      <c r="B879" s="1" t="s">
        <v>381</v>
      </c>
      <c r="C879" s="1" t="s">
        <v>380</v>
      </c>
      <c r="D879" s="52">
        <v>46068.315972222219</v>
      </c>
      <c r="E879" s="52">
        <v>46068.315972222219</v>
      </c>
      <c r="F879" s="52">
        <v>46068.407638888886</v>
      </c>
      <c r="G879" s="53">
        <v>9.166666666666666E-2</v>
      </c>
      <c r="H879" s="1" t="s">
        <v>257</v>
      </c>
      <c r="J879" s="1" t="s">
        <v>258</v>
      </c>
      <c r="K879" s="1" t="s">
        <v>658</v>
      </c>
      <c r="L879" s="1" t="s">
        <v>814</v>
      </c>
      <c r="M879" s="1" t="s">
        <v>260</v>
      </c>
      <c r="N879" s="1" t="s">
        <v>357</v>
      </c>
      <c r="O879" s="1" t="s">
        <v>809</v>
      </c>
      <c r="P879" s="1" t="str">
        <f>_xlfn.CONCAT(B879,C879,D879,E879,F879)</f>
        <v>BC Camarao1.3215KTL-H3(MBUS-15)46068,315972222246068,315972222246068,4076388889</v>
      </c>
      <c r="Q879" s="1" t="str">
        <f>_xlfn.CONCAT(H879,I879,J879)</f>
        <v>DAURDE</v>
      </c>
    </row>
    <row r="880" spans="2:17">
      <c r="B880" s="1" t="s">
        <v>381</v>
      </c>
      <c r="C880" s="1" t="s">
        <v>377</v>
      </c>
      <c r="D880" s="52">
        <v>46068.315972222219</v>
      </c>
      <c r="E880" s="52">
        <v>46068.315972222219</v>
      </c>
      <c r="F880" s="52">
        <v>46068.407638888886</v>
      </c>
      <c r="G880" s="53">
        <v>9.166666666666666E-2</v>
      </c>
      <c r="H880" s="1" t="s">
        <v>257</v>
      </c>
      <c r="J880" s="1" t="s">
        <v>258</v>
      </c>
      <c r="K880" s="1" t="s">
        <v>658</v>
      </c>
      <c r="L880" s="1" t="s">
        <v>814</v>
      </c>
      <c r="M880" s="1" t="s">
        <v>260</v>
      </c>
      <c r="N880" s="1" t="s">
        <v>357</v>
      </c>
      <c r="O880" s="1" t="s">
        <v>809</v>
      </c>
      <c r="P880" s="1" t="str">
        <f>_xlfn.CONCAT(B880,C880,D880,E880,F880)</f>
        <v>BC Camarao1.3215KTL-H3(MBUS-12)46068,315972222246068,315972222246068,4076388889</v>
      </c>
      <c r="Q880" s="1" t="str">
        <f>_xlfn.CONCAT(H880,I880,J880)</f>
        <v>DAURDE</v>
      </c>
    </row>
    <row r="881" spans="2:17">
      <c r="B881" s="1" t="s">
        <v>381</v>
      </c>
      <c r="C881" s="1" t="s">
        <v>378</v>
      </c>
      <c r="D881" s="52">
        <v>46068.315972222219</v>
      </c>
      <c r="E881" s="52">
        <v>46068.315972222219</v>
      </c>
      <c r="F881" s="52">
        <v>46068.407638888886</v>
      </c>
      <c r="G881" s="53">
        <v>9.166666666666666E-2</v>
      </c>
      <c r="H881" s="1" t="s">
        <v>257</v>
      </c>
      <c r="J881" s="1" t="s">
        <v>258</v>
      </c>
      <c r="K881" s="1" t="s">
        <v>658</v>
      </c>
      <c r="L881" s="1" t="s">
        <v>814</v>
      </c>
      <c r="M881" s="1" t="s">
        <v>260</v>
      </c>
      <c r="N881" s="1" t="s">
        <v>357</v>
      </c>
      <c r="O881" s="1" t="s">
        <v>809</v>
      </c>
      <c r="P881" s="1" t="str">
        <f>_xlfn.CONCAT(B881,C881,D881,E881,F881)</f>
        <v>BC Camarao1.3215KTL-H3(MBUS-13)46068,315972222246068,315972222246068,4076388889</v>
      </c>
      <c r="Q881" s="1" t="str">
        <f>_xlfn.CONCAT(H881,I881,J881)</f>
        <v>DAURDE</v>
      </c>
    </row>
    <row r="882" spans="2:17">
      <c r="B882" s="1" t="s">
        <v>391</v>
      </c>
      <c r="C882" s="1" t="s">
        <v>392</v>
      </c>
      <c r="D882" s="52">
        <v>46068.315972222219</v>
      </c>
      <c r="E882" s="52">
        <v>46068.315972222219</v>
      </c>
      <c r="F882" s="52">
        <v>46068.407638888886</v>
      </c>
      <c r="G882" s="53">
        <v>9.166666666666666E-2</v>
      </c>
      <c r="H882" s="1" t="s">
        <v>257</v>
      </c>
      <c r="J882" s="1" t="s">
        <v>258</v>
      </c>
      <c r="K882" s="1" t="s">
        <v>658</v>
      </c>
      <c r="L882" s="1" t="s">
        <v>814</v>
      </c>
      <c r="M882" s="1" t="s">
        <v>260</v>
      </c>
      <c r="N882" s="1" t="s">
        <v>357</v>
      </c>
      <c r="O882" s="1" t="s">
        <v>809</v>
      </c>
      <c r="P882" s="1" t="str">
        <f>_xlfn.CONCAT(B882,C882,D882,E882,F882)</f>
        <v>BC Camarao1.4INV-6T22A904138146068,315972222246068,315972222246068,4076388889</v>
      </c>
      <c r="Q882" s="1" t="str">
        <f>_xlfn.CONCAT(H882,I882,J882)</f>
        <v>DAURDE</v>
      </c>
    </row>
    <row r="883" spans="2:17">
      <c r="B883" s="1" t="s">
        <v>391</v>
      </c>
      <c r="C883" s="1" t="s">
        <v>382</v>
      </c>
      <c r="D883" s="52">
        <v>46068.315972222219</v>
      </c>
      <c r="E883" s="52">
        <v>46068.315972222219</v>
      </c>
      <c r="F883" s="52">
        <v>46068.407638888886</v>
      </c>
      <c r="G883" s="53">
        <v>9.166666666666666E-2</v>
      </c>
      <c r="H883" s="1" t="s">
        <v>257</v>
      </c>
      <c r="J883" s="1" t="s">
        <v>258</v>
      </c>
      <c r="K883" s="1" t="s">
        <v>658</v>
      </c>
      <c r="L883" s="1" t="s">
        <v>814</v>
      </c>
      <c r="M883" s="1" t="s">
        <v>260</v>
      </c>
      <c r="N883" s="1" t="s">
        <v>357</v>
      </c>
      <c r="O883" s="1" t="s">
        <v>809</v>
      </c>
      <c r="P883" s="1" t="str">
        <f>_xlfn.CONCAT(B883,C883,D883,E883,F883)</f>
        <v>BC Camarao1.4215KTL-H3(MBUS-14)46068,315972222246068,315972222246068,4076388889</v>
      </c>
      <c r="Q883" s="1" t="str">
        <f>_xlfn.CONCAT(H883,I883,J883)</f>
        <v>DAURDE</v>
      </c>
    </row>
    <row r="884" spans="2:17">
      <c r="B884" s="1" t="s">
        <v>391</v>
      </c>
      <c r="C884" s="1" t="s">
        <v>378</v>
      </c>
      <c r="D884" s="52">
        <v>46068.315972222219</v>
      </c>
      <c r="E884" s="52">
        <v>46068.315972222219</v>
      </c>
      <c r="F884" s="52">
        <v>46068.407638888886</v>
      </c>
      <c r="G884" s="53">
        <v>9.166666666666666E-2</v>
      </c>
      <c r="H884" s="1" t="s">
        <v>257</v>
      </c>
      <c r="J884" s="1" t="s">
        <v>258</v>
      </c>
      <c r="K884" s="1" t="s">
        <v>658</v>
      </c>
      <c r="L884" s="1" t="s">
        <v>814</v>
      </c>
      <c r="M884" s="1" t="s">
        <v>260</v>
      </c>
      <c r="N884" s="1" t="s">
        <v>357</v>
      </c>
      <c r="O884" s="1" t="s">
        <v>809</v>
      </c>
      <c r="P884" s="1" t="str">
        <f>_xlfn.CONCAT(B884,C884,D884,E884,F884)</f>
        <v>BC Camarao1.4215KTL-H3(MBUS-13)46068,315972222246068,315972222246068,4076388889</v>
      </c>
      <c r="Q884" s="1" t="str">
        <f>_xlfn.CONCAT(H884,I884,J884)</f>
        <v>DAURDE</v>
      </c>
    </row>
    <row r="885" spans="2:17">
      <c r="B885" s="1" t="s">
        <v>391</v>
      </c>
      <c r="C885" s="1" t="s">
        <v>379</v>
      </c>
      <c r="D885" s="52">
        <v>46068.315972222219</v>
      </c>
      <c r="E885" s="52">
        <v>46068.315972222219</v>
      </c>
      <c r="F885" s="52">
        <v>46068.407638888886</v>
      </c>
      <c r="G885" s="53">
        <v>9.166666666666666E-2</v>
      </c>
      <c r="H885" s="1" t="s">
        <v>257</v>
      </c>
      <c r="J885" s="1" t="s">
        <v>258</v>
      </c>
      <c r="K885" s="1" t="s">
        <v>658</v>
      </c>
      <c r="L885" s="1" t="s">
        <v>814</v>
      </c>
      <c r="M885" s="1" t="s">
        <v>260</v>
      </c>
      <c r="N885" s="1" t="s">
        <v>357</v>
      </c>
      <c r="O885" s="1" t="s">
        <v>809</v>
      </c>
      <c r="P885" s="1" t="str">
        <f>_xlfn.CONCAT(B885,C885,D885,E885,F885)</f>
        <v>BC Camarao1.4215KTL-H3(MBUS-16)46068,315972222246068,315972222246068,4076388889</v>
      </c>
      <c r="Q885" s="1" t="str">
        <f>_xlfn.CONCAT(H885,I885,J885)</f>
        <v>DAURDE</v>
      </c>
    </row>
    <row r="886" spans="2:17">
      <c r="B886" s="1" t="s">
        <v>391</v>
      </c>
      <c r="C886" s="1" t="s">
        <v>380</v>
      </c>
      <c r="D886" s="52">
        <v>46068.315972222219</v>
      </c>
      <c r="E886" s="52">
        <v>46068.315972222219</v>
      </c>
      <c r="F886" s="52">
        <v>46068.407638888886</v>
      </c>
      <c r="G886" s="53">
        <v>9.166666666666666E-2</v>
      </c>
      <c r="H886" s="1" t="s">
        <v>257</v>
      </c>
      <c r="J886" s="1" t="s">
        <v>258</v>
      </c>
      <c r="K886" s="1" t="s">
        <v>658</v>
      </c>
      <c r="L886" s="1" t="s">
        <v>814</v>
      </c>
      <c r="M886" s="1" t="s">
        <v>260</v>
      </c>
      <c r="N886" s="1" t="s">
        <v>357</v>
      </c>
      <c r="O886" s="1" t="s">
        <v>809</v>
      </c>
      <c r="P886" s="1" t="str">
        <f>_xlfn.CONCAT(B886,C886,D886,E886,F886)</f>
        <v>BC Camarao1.4215KTL-H3(MBUS-15)46068,315972222246068,315972222246068,4076388889</v>
      </c>
      <c r="Q886" s="1" t="str">
        <f>_xlfn.CONCAT(H886,I886,J886)</f>
        <v>DAURDE</v>
      </c>
    </row>
    <row r="887" spans="2:17">
      <c r="B887" s="1" t="s">
        <v>519</v>
      </c>
      <c r="C887" s="1" t="s">
        <v>380</v>
      </c>
      <c r="D887" s="52">
        <v>46068.315972222219</v>
      </c>
      <c r="E887" s="52">
        <v>46068.315972222219</v>
      </c>
      <c r="F887" s="52">
        <v>46068.407638888886</v>
      </c>
      <c r="G887" s="53">
        <v>9.166666666666666E-2</v>
      </c>
      <c r="H887" s="1" t="s">
        <v>257</v>
      </c>
      <c r="J887" s="1" t="s">
        <v>258</v>
      </c>
      <c r="K887" s="1" t="s">
        <v>658</v>
      </c>
      <c r="L887" s="1" t="s">
        <v>814</v>
      </c>
      <c r="M887" s="1" t="s">
        <v>260</v>
      </c>
      <c r="N887" s="1" t="s">
        <v>357</v>
      </c>
      <c r="O887" s="1" t="s">
        <v>809</v>
      </c>
      <c r="P887" s="1" t="str">
        <f>_xlfn.CONCAT(B887,C887,D887,E887,F887)</f>
        <v>BC Camarao1.5215KTL-H3(MBUS-15)46068,315972222246068,315972222246068,4076388889</v>
      </c>
      <c r="Q887" s="1" t="str">
        <f>_xlfn.CONCAT(H887,I887,J887)</f>
        <v>DAURDE</v>
      </c>
    </row>
    <row r="888" spans="2:17">
      <c r="B888" s="1" t="s">
        <v>519</v>
      </c>
      <c r="C888" s="1" t="s">
        <v>378</v>
      </c>
      <c r="D888" s="52">
        <v>46068.315972222219</v>
      </c>
      <c r="E888" s="52">
        <v>46068.315972222219</v>
      </c>
      <c r="F888" s="52">
        <v>46068.407638888886</v>
      </c>
      <c r="G888" s="53">
        <v>9.166666666666666E-2</v>
      </c>
      <c r="H888" s="1" t="s">
        <v>257</v>
      </c>
      <c r="J888" s="1" t="s">
        <v>258</v>
      </c>
      <c r="K888" s="1" t="s">
        <v>658</v>
      </c>
      <c r="L888" s="1" t="s">
        <v>814</v>
      </c>
      <c r="M888" s="1" t="s">
        <v>260</v>
      </c>
      <c r="N888" s="1" t="s">
        <v>357</v>
      </c>
      <c r="O888" s="1" t="s">
        <v>809</v>
      </c>
      <c r="P888" s="1" t="str">
        <f>_xlfn.CONCAT(B888,C888,D888,E888,F888)</f>
        <v>BC Camarao1.5215KTL-H3(MBUS-13)46068,315972222246068,315972222246068,4076388889</v>
      </c>
      <c r="Q888" s="1" t="str">
        <f>_xlfn.CONCAT(H888,I888,J888)</f>
        <v>DAURDE</v>
      </c>
    </row>
    <row r="889" spans="2:17">
      <c r="B889" s="1" t="s">
        <v>519</v>
      </c>
      <c r="C889" s="1" t="s">
        <v>377</v>
      </c>
      <c r="D889" s="52">
        <v>46068.315972222219</v>
      </c>
      <c r="E889" s="52">
        <v>46068.315972222219</v>
      </c>
      <c r="F889" s="52">
        <v>46068.407638888886</v>
      </c>
      <c r="G889" s="53">
        <v>9.166666666666666E-2</v>
      </c>
      <c r="H889" s="1" t="s">
        <v>257</v>
      </c>
      <c r="J889" s="1" t="s">
        <v>258</v>
      </c>
      <c r="K889" s="1" t="s">
        <v>658</v>
      </c>
      <c r="L889" s="1" t="s">
        <v>814</v>
      </c>
      <c r="M889" s="1" t="s">
        <v>260</v>
      </c>
      <c r="N889" s="1" t="s">
        <v>357</v>
      </c>
      <c r="O889" s="1" t="s">
        <v>809</v>
      </c>
      <c r="P889" s="1" t="str">
        <f>_xlfn.CONCAT(B889,C889,D889,E889,F889)</f>
        <v>BC Camarao1.5215KTL-H3(MBUS-12)46068,315972222246068,315972222246068,4076388889</v>
      </c>
      <c r="Q889" s="1" t="str">
        <f>_xlfn.CONCAT(H889,I889,J889)</f>
        <v>DAURDE</v>
      </c>
    </row>
    <row r="890" spans="2:17">
      <c r="B890" s="1" t="s">
        <v>519</v>
      </c>
      <c r="C890" s="1" t="s">
        <v>520</v>
      </c>
      <c r="D890" s="52">
        <v>46068.315972222219</v>
      </c>
      <c r="E890" s="52">
        <v>46068.315972222219</v>
      </c>
      <c r="F890" s="52">
        <v>46068.407638888886</v>
      </c>
      <c r="G890" s="53">
        <v>9.166666666666666E-2</v>
      </c>
      <c r="H890" s="1" t="s">
        <v>257</v>
      </c>
      <c r="J890" s="1" t="s">
        <v>258</v>
      </c>
      <c r="K890" s="1" t="s">
        <v>658</v>
      </c>
      <c r="L890" s="1" t="s">
        <v>814</v>
      </c>
      <c r="M890" s="1" t="s">
        <v>260</v>
      </c>
      <c r="N890" s="1" t="s">
        <v>357</v>
      </c>
      <c r="O890" s="1" t="s">
        <v>809</v>
      </c>
      <c r="P890" s="1" t="str">
        <f>_xlfn.CONCAT(B890,C890,D890,E890,F890)</f>
        <v>BC Camarao1.5215KTL-H3(MBUS-1)46068,315972222246068,315972222246068,4076388889</v>
      </c>
      <c r="Q890" s="1" t="str">
        <f>_xlfn.CONCAT(H890,I890,J890)</f>
        <v>DAURDE</v>
      </c>
    </row>
    <row r="891" spans="2:17">
      <c r="B891" s="1" t="s">
        <v>519</v>
      </c>
      <c r="C891" s="1" t="s">
        <v>382</v>
      </c>
      <c r="D891" s="52">
        <v>46068.315972222219</v>
      </c>
      <c r="E891" s="52">
        <v>46068.315972222219</v>
      </c>
      <c r="F891" s="52">
        <v>46068.407638888886</v>
      </c>
      <c r="G891" s="53">
        <v>9.166666666666666E-2</v>
      </c>
      <c r="H891" s="1" t="s">
        <v>257</v>
      </c>
      <c r="J891" s="1" t="s">
        <v>258</v>
      </c>
      <c r="K891" s="1" t="s">
        <v>658</v>
      </c>
      <c r="L891" s="1" t="s">
        <v>814</v>
      </c>
      <c r="M891" s="1" t="s">
        <v>260</v>
      </c>
      <c r="N891" s="1" t="s">
        <v>357</v>
      </c>
      <c r="O891" s="1" t="s">
        <v>809</v>
      </c>
      <c r="P891" s="1" t="str">
        <f>_xlfn.CONCAT(B891,C891,D891,E891,F891)</f>
        <v>BC Camarao1.5215KTL-H3(MBUS-14)46068,315972222246068,315972222246068,4076388889</v>
      </c>
      <c r="Q891" s="1" t="str">
        <f>_xlfn.CONCAT(H891,I891,J891)</f>
        <v>DAURDE</v>
      </c>
    </row>
    <row r="892" spans="2:17">
      <c r="B892" s="1" t="s">
        <v>41</v>
      </c>
      <c r="C892" s="1" t="s">
        <v>267</v>
      </c>
      <c r="D892" s="52">
        <v>46068.315972222219</v>
      </c>
      <c r="E892" s="52">
        <v>46068.315972222219</v>
      </c>
      <c r="F892" s="52">
        <v>46068.481944444444</v>
      </c>
      <c r="G892" s="53">
        <v>0.16597222222222222</v>
      </c>
      <c r="H892" s="1" t="s">
        <v>268</v>
      </c>
      <c r="I892" s="1" t="s">
        <v>269</v>
      </c>
      <c r="J892" s="1" t="s">
        <v>270</v>
      </c>
      <c r="K892" s="1" t="s">
        <v>674</v>
      </c>
      <c r="L892" s="1" t="s">
        <v>799</v>
      </c>
      <c r="M892" s="1" t="s">
        <v>260</v>
      </c>
      <c r="N892" s="1" t="s">
        <v>357</v>
      </c>
      <c r="O892" s="1" t="s">
        <v>809</v>
      </c>
      <c r="P892" s="1" t="str">
        <f>_xlfn.CONCAT(B892,C892,D892,E892,F892)</f>
        <v>BC Bom SucessoSG60KTL46068,315972222246068,315972222246068,4819444444</v>
      </c>
      <c r="Q892" s="1" t="str">
        <f>_xlfn.CONCAT(H892,I892,J892)</f>
        <v>LIGRFOINT</v>
      </c>
    </row>
    <row r="893" spans="2:17">
      <c r="B893" s="1" t="s">
        <v>41</v>
      </c>
      <c r="C893" s="1" t="s">
        <v>275</v>
      </c>
      <c r="D893" s="52">
        <v>46068.315972222219</v>
      </c>
      <c r="E893" s="52">
        <v>46068.315972222219</v>
      </c>
      <c r="F893" s="52">
        <v>46068.481944444444</v>
      </c>
      <c r="G893" s="53">
        <v>0.16597222222222222</v>
      </c>
      <c r="H893" s="1" t="s">
        <v>268</v>
      </c>
      <c r="I893" s="1" t="s">
        <v>269</v>
      </c>
      <c r="J893" s="1" t="s">
        <v>270</v>
      </c>
      <c r="K893" s="1" t="s">
        <v>674</v>
      </c>
      <c r="L893" s="1" t="s">
        <v>799</v>
      </c>
      <c r="M893" s="1" t="s">
        <v>260</v>
      </c>
      <c r="N893" s="1" t="s">
        <v>357</v>
      </c>
      <c r="O893" s="1" t="s">
        <v>809</v>
      </c>
      <c r="P893" s="1" t="str">
        <f>_xlfn.CONCAT(B893,C893,D893,E893,F893)</f>
        <v>BC Bom SucessoI46068,315972222246068,315972222246068,4819444444</v>
      </c>
      <c r="Q893" s="1" t="str">
        <f>_xlfn.CONCAT(H893,I893,J893)</f>
        <v>LIGRFOINT</v>
      </c>
    </row>
    <row r="894" spans="2:17">
      <c r="B894" s="1" t="s">
        <v>41</v>
      </c>
      <c r="C894" s="1" t="s">
        <v>276</v>
      </c>
      <c r="D894" s="52">
        <v>46068.315972222219</v>
      </c>
      <c r="E894" s="52">
        <v>46068.315972222219</v>
      </c>
      <c r="F894" s="52">
        <v>46068.481944444444</v>
      </c>
      <c r="G894" s="53">
        <v>0.16597222222222222</v>
      </c>
      <c r="H894" s="1" t="s">
        <v>268</v>
      </c>
      <c r="I894" s="1" t="s">
        <v>269</v>
      </c>
      <c r="J894" s="1" t="s">
        <v>270</v>
      </c>
      <c r="K894" s="1" t="s">
        <v>674</v>
      </c>
      <c r="L894" s="1" t="s">
        <v>799</v>
      </c>
      <c r="M894" s="1" t="s">
        <v>260</v>
      </c>
      <c r="N894" s="1" t="s">
        <v>357</v>
      </c>
      <c r="O894" s="1" t="s">
        <v>809</v>
      </c>
      <c r="P894" s="1" t="str">
        <f>_xlfn.CONCAT(B894,C894,D894,E894,F894)</f>
        <v>BC Bom SucessoG46068,315972222246068,315972222246068,4819444444</v>
      </c>
      <c r="Q894" s="1" t="str">
        <f>_xlfn.CONCAT(H894,I894,J894)</f>
        <v>LIGRFOINT</v>
      </c>
    </row>
    <row r="895" spans="2:17">
      <c r="B895" s="1" t="s">
        <v>41</v>
      </c>
      <c r="C895" s="1" t="s">
        <v>277</v>
      </c>
      <c r="D895" s="52">
        <v>46068.315972222219</v>
      </c>
      <c r="E895" s="52">
        <v>46068.315972222219</v>
      </c>
      <c r="F895" s="52">
        <v>46068.481944444444</v>
      </c>
      <c r="G895" s="53">
        <v>0.16597222222222222</v>
      </c>
      <c r="H895" s="1" t="s">
        <v>268</v>
      </c>
      <c r="I895" s="1" t="s">
        <v>269</v>
      </c>
      <c r="J895" s="1" t="s">
        <v>270</v>
      </c>
      <c r="K895" s="1" t="s">
        <v>674</v>
      </c>
      <c r="L895" s="1" t="s">
        <v>799</v>
      </c>
      <c r="M895" s="1" t="s">
        <v>260</v>
      </c>
      <c r="N895" s="1" t="s">
        <v>357</v>
      </c>
      <c r="O895" s="1" t="s">
        <v>809</v>
      </c>
      <c r="P895" s="1" t="str">
        <f>_xlfn.CONCAT(B895,C895,D895,E895,F895)</f>
        <v>BC Bom SucessoK46068,315972222246068,315972222246068,4819444444</v>
      </c>
      <c r="Q895" s="1" t="str">
        <f>_xlfn.CONCAT(H895,I895,J895)</f>
        <v>LIGRFOINT</v>
      </c>
    </row>
    <row r="896" spans="2:17">
      <c r="B896" s="1" t="s">
        <v>41</v>
      </c>
      <c r="C896" s="1" t="s">
        <v>278</v>
      </c>
      <c r="D896" s="52">
        <v>46068.315972222219</v>
      </c>
      <c r="E896" s="52">
        <v>46068.315972222219</v>
      </c>
      <c r="F896" s="52">
        <v>46068.481944444444</v>
      </c>
      <c r="G896" s="53">
        <v>0.16597222222222222</v>
      </c>
      <c r="H896" s="1" t="s">
        <v>268</v>
      </c>
      <c r="I896" s="1" t="s">
        <v>269</v>
      </c>
      <c r="J896" s="1" t="s">
        <v>270</v>
      </c>
      <c r="K896" s="1" t="s">
        <v>674</v>
      </c>
      <c r="L896" s="1" t="s">
        <v>799</v>
      </c>
      <c r="M896" s="1" t="s">
        <v>260</v>
      </c>
      <c r="N896" s="1" t="s">
        <v>357</v>
      </c>
      <c r="O896" s="1" t="s">
        <v>809</v>
      </c>
      <c r="P896" s="1" t="str">
        <f>_xlfn.CONCAT(B896,C896,D896,E896,F896)</f>
        <v>BC Bom SucessoH46068,315972222246068,315972222246068,4819444444</v>
      </c>
      <c r="Q896" s="1" t="str">
        <f>_xlfn.CONCAT(H896,I896,J896)</f>
        <v>LIGRFOINT</v>
      </c>
    </row>
    <row r="897" spans="2:17">
      <c r="B897" s="1" t="s">
        <v>41</v>
      </c>
      <c r="C897" s="1" t="s">
        <v>279</v>
      </c>
      <c r="D897" s="52">
        <v>46068.315972222219</v>
      </c>
      <c r="E897" s="52">
        <v>46068.315972222219</v>
      </c>
      <c r="F897" s="52">
        <v>46068.481944444444</v>
      </c>
      <c r="G897" s="53">
        <v>0.16597222222222222</v>
      </c>
      <c r="H897" s="1" t="s">
        <v>268</v>
      </c>
      <c r="I897" s="1" t="s">
        <v>269</v>
      </c>
      <c r="J897" s="1" t="s">
        <v>270</v>
      </c>
      <c r="K897" s="1" t="s">
        <v>674</v>
      </c>
      <c r="L897" s="1" t="s">
        <v>799</v>
      </c>
      <c r="M897" s="1" t="s">
        <v>260</v>
      </c>
      <c r="N897" s="1" t="s">
        <v>357</v>
      </c>
      <c r="O897" s="1" t="s">
        <v>809</v>
      </c>
      <c r="P897" s="1" t="str">
        <f>_xlfn.CONCAT(B897,C897,D897,E897,F897)</f>
        <v>BC Bom SucessoF46068,315972222246068,315972222246068,4819444444</v>
      </c>
      <c r="Q897" s="1" t="str">
        <f>_xlfn.CONCAT(H897,I897,J897)</f>
        <v>LIGRFOINT</v>
      </c>
    </row>
    <row r="898" spans="2:17">
      <c r="B898" s="1" t="s">
        <v>41</v>
      </c>
      <c r="C898" s="1" t="s">
        <v>280</v>
      </c>
      <c r="D898" s="52">
        <v>46068.315972222219</v>
      </c>
      <c r="E898" s="52">
        <v>46068.315972222219</v>
      </c>
      <c r="F898" s="52">
        <v>46068.481944444444</v>
      </c>
      <c r="G898" s="53">
        <v>0.16597222222222222</v>
      </c>
      <c r="H898" s="1" t="s">
        <v>268</v>
      </c>
      <c r="I898" s="1" t="s">
        <v>269</v>
      </c>
      <c r="J898" s="1" t="s">
        <v>270</v>
      </c>
      <c r="K898" s="1" t="s">
        <v>674</v>
      </c>
      <c r="L898" s="1" t="s">
        <v>799</v>
      </c>
      <c r="M898" s="1" t="s">
        <v>260</v>
      </c>
      <c r="N898" s="1" t="s">
        <v>357</v>
      </c>
      <c r="O898" s="1" t="s">
        <v>809</v>
      </c>
      <c r="P898" s="1" t="str">
        <f>_xlfn.CONCAT(B898,C898,D898,E898,F898)</f>
        <v>BC Bom SucessoD46068,315972222246068,315972222246068,4819444444</v>
      </c>
      <c r="Q898" s="1" t="str">
        <f>_xlfn.CONCAT(H898,I898,J898)</f>
        <v>LIGRFOINT</v>
      </c>
    </row>
    <row r="899" spans="2:17">
      <c r="B899" s="1" t="s">
        <v>41</v>
      </c>
      <c r="C899" s="1" t="s">
        <v>281</v>
      </c>
      <c r="D899" s="52">
        <v>46068.315972222219</v>
      </c>
      <c r="E899" s="52">
        <v>46068.315972222219</v>
      </c>
      <c r="F899" s="52">
        <v>46068.481944444444</v>
      </c>
      <c r="G899" s="53">
        <v>0.16597222222222222</v>
      </c>
      <c r="H899" s="1" t="s">
        <v>268</v>
      </c>
      <c r="I899" s="1" t="s">
        <v>269</v>
      </c>
      <c r="J899" s="1" t="s">
        <v>270</v>
      </c>
      <c r="K899" s="1" t="s">
        <v>674</v>
      </c>
      <c r="L899" s="1" t="s">
        <v>799</v>
      </c>
      <c r="M899" s="1" t="s">
        <v>260</v>
      </c>
      <c r="N899" s="1" t="s">
        <v>357</v>
      </c>
      <c r="O899" s="1" t="s">
        <v>809</v>
      </c>
      <c r="P899" s="1" t="str">
        <f>_xlfn.CONCAT(B899,C899,D899,E899,F899)</f>
        <v>BC Bom SucessoE46068,315972222246068,315972222246068,4819444444</v>
      </c>
      <c r="Q899" s="1" t="str">
        <f>_xlfn.CONCAT(H899,I899,J899)</f>
        <v>LIGRFOINT</v>
      </c>
    </row>
    <row r="900" spans="2:17">
      <c r="B900" s="1" t="s">
        <v>41</v>
      </c>
      <c r="C900" s="1" t="s">
        <v>282</v>
      </c>
      <c r="D900" s="52">
        <v>46068.315972222219</v>
      </c>
      <c r="E900" s="52">
        <v>46068.315972222219</v>
      </c>
      <c r="F900" s="52">
        <v>46068.481944444444</v>
      </c>
      <c r="G900" s="53">
        <v>0.16597222222222222</v>
      </c>
      <c r="H900" s="1" t="s">
        <v>268</v>
      </c>
      <c r="I900" s="1" t="s">
        <v>269</v>
      </c>
      <c r="J900" s="1" t="s">
        <v>270</v>
      </c>
      <c r="K900" s="1" t="s">
        <v>674</v>
      </c>
      <c r="L900" s="1" t="s">
        <v>799</v>
      </c>
      <c r="M900" s="1" t="s">
        <v>260</v>
      </c>
      <c r="N900" s="1" t="s">
        <v>357</v>
      </c>
      <c r="O900" s="1" t="s">
        <v>809</v>
      </c>
      <c r="P900" s="1" t="str">
        <f>_xlfn.CONCAT(B900,C900,D900,E900,F900)</f>
        <v>BC Bom SucessoC46068,315972222246068,315972222246068,4819444444</v>
      </c>
      <c r="Q900" s="1" t="str">
        <f>_xlfn.CONCAT(H900,I900,J900)</f>
        <v>LIGRFOINT</v>
      </c>
    </row>
    <row r="901" spans="2:17">
      <c r="B901" s="1" t="s">
        <v>41</v>
      </c>
      <c r="C901" s="1" t="s">
        <v>283</v>
      </c>
      <c r="D901" s="52">
        <v>46068.315972222219</v>
      </c>
      <c r="E901" s="52">
        <v>46068.315972222219</v>
      </c>
      <c r="F901" s="52">
        <v>46068.481944444444</v>
      </c>
      <c r="G901" s="53">
        <v>0.16597222222222222</v>
      </c>
      <c r="H901" s="1" t="s">
        <v>268</v>
      </c>
      <c r="I901" s="1" t="s">
        <v>269</v>
      </c>
      <c r="J901" s="1" t="s">
        <v>270</v>
      </c>
      <c r="K901" s="1" t="s">
        <v>674</v>
      </c>
      <c r="L901" s="1" t="s">
        <v>799</v>
      </c>
      <c r="M901" s="1" t="s">
        <v>260</v>
      </c>
      <c r="N901" s="1" t="s">
        <v>357</v>
      </c>
      <c r="O901" s="1" t="s">
        <v>809</v>
      </c>
      <c r="P901" s="1" t="str">
        <f>_xlfn.CONCAT(B901,C901,D901,E901,F901)</f>
        <v>BC Bom SucessoB46068,315972222246068,315972222246068,4819444444</v>
      </c>
      <c r="Q901" s="1" t="str">
        <f>_xlfn.CONCAT(H901,I901,J901)</f>
        <v>LIGRFOINT</v>
      </c>
    </row>
    <row r="902" spans="2:17">
      <c r="B902" s="1" t="s">
        <v>41</v>
      </c>
      <c r="C902" s="1" t="s">
        <v>284</v>
      </c>
      <c r="D902" s="52">
        <v>46068.315972222219</v>
      </c>
      <c r="E902" s="52">
        <v>46068.315972222219</v>
      </c>
      <c r="F902" s="52">
        <v>46068.481944444444</v>
      </c>
      <c r="G902" s="53">
        <v>0.16597222222222222</v>
      </c>
      <c r="H902" s="1" t="s">
        <v>268</v>
      </c>
      <c r="I902" s="1" t="s">
        <v>269</v>
      </c>
      <c r="J902" s="1" t="s">
        <v>270</v>
      </c>
      <c r="K902" s="1" t="s">
        <v>674</v>
      </c>
      <c r="L902" s="1" t="s">
        <v>799</v>
      </c>
      <c r="M902" s="1" t="s">
        <v>260</v>
      </c>
      <c r="N902" s="1" t="s">
        <v>357</v>
      </c>
      <c r="O902" s="1" t="s">
        <v>632</v>
      </c>
      <c r="P902" s="1" t="str">
        <f>_xlfn.CONCAT(B902,C902,D902,E902,F902)</f>
        <v>BC Bom SucessoA46068,315972222246068,315972222246068,4819444444</v>
      </c>
      <c r="Q902" s="1" t="str">
        <f>_xlfn.CONCAT(H902,I902,J902)</f>
        <v>LIGRFOINT</v>
      </c>
    </row>
    <row r="903" spans="2:17">
      <c r="B903" s="1" t="s">
        <v>41</v>
      </c>
      <c r="C903" s="1" t="s">
        <v>285</v>
      </c>
      <c r="D903" s="52">
        <v>46068.315972222219</v>
      </c>
      <c r="E903" s="52">
        <v>46068.315972222219</v>
      </c>
      <c r="F903" s="52">
        <v>46068.481944444444</v>
      </c>
      <c r="G903" s="53">
        <v>0.16597222222222222</v>
      </c>
      <c r="H903" s="1" t="s">
        <v>268</v>
      </c>
      <c r="I903" s="1" t="s">
        <v>269</v>
      </c>
      <c r="J903" s="1" t="s">
        <v>270</v>
      </c>
      <c r="K903" s="1" t="s">
        <v>674</v>
      </c>
      <c r="L903" s="1" t="s">
        <v>799</v>
      </c>
      <c r="M903" s="1" t="s">
        <v>260</v>
      </c>
      <c r="N903" s="1" t="s">
        <v>357</v>
      </c>
      <c r="O903" s="1" t="s">
        <v>632</v>
      </c>
      <c r="P903" s="1" t="str">
        <f>_xlfn.CONCAT(B903,C903,D903,E903,F903)</f>
        <v>BC Bom SucessoJ46068,315972222246068,315972222246068,4819444444</v>
      </c>
      <c r="Q903" s="1" t="str">
        <f>_xlfn.CONCAT(H903,I903,J903)</f>
        <v>LIGRFOINT</v>
      </c>
    </row>
    <row r="904" spans="2:17">
      <c r="B904" s="1" t="s">
        <v>305</v>
      </c>
      <c r="C904" s="1" t="s">
        <v>256</v>
      </c>
      <c r="D904" s="52">
        <v>46068.392361111109</v>
      </c>
      <c r="E904" s="52">
        <v>46068.392361111109</v>
      </c>
      <c r="F904" s="52">
        <v>46068.446527777778</v>
      </c>
      <c r="G904" s="53">
        <v>5.4166666666666669E-2</v>
      </c>
      <c r="H904" s="1" t="s">
        <v>257</v>
      </c>
      <c r="J904" s="1" t="s">
        <v>258</v>
      </c>
      <c r="K904" s="1" t="s">
        <v>658</v>
      </c>
      <c r="L904" s="1" t="s">
        <v>815</v>
      </c>
      <c r="M904" s="1" t="s">
        <v>260</v>
      </c>
      <c r="N904" s="1" t="s">
        <v>357</v>
      </c>
      <c r="O904" s="1" t="s">
        <v>632</v>
      </c>
      <c r="P904" s="1" t="str">
        <f>_xlfn.CONCAT(B904,C904,D904,E904,F904)</f>
        <v>ARAGUATINS 1.1Inverter(MBUS-12)46068,392361111146068,392361111146068,4465277778</v>
      </c>
      <c r="Q904" s="1" t="str">
        <f>_xlfn.CONCAT(H904,I904,J904)</f>
        <v>DAURDE</v>
      </c>
    </row>
    <row r="905" spans="2:17">
      <c r="B905" s="1" t="s">
        <v>305</v>
      </c>
      <c r="C905" s="1" t="s">
        <v>264</v>
      </c>
      <c r="D905" s="52">
        <v>46068.392361111109</v>
      </c>
      <c r="E905" s="52">
        <v>46068.392361111109</v>
      </c>
      <c r="F905" s="52">
        <v>46068.446527777778</v>
      </c>
      <c r="G905" s="53">
        <v>5.4166666666666669E-2</v>
      </c>
      <c r="H905" s="1" t="s">
        <v>257</v>
      </c>
      <c r="J905" s="1" t="s">
        <v>258</v>
      </c>
      <c r="K905" s="1" t="s">
        <v>658</v>
      </c>
      <c r="L905" s="1" t="s">
        <v>815</v>
      </c>
      <c r="M905" s="1" t="s">
        <v>260</v>
      </c>
      <c r="N905" s="1" t="s">
        <v>357</v>
      </c>
      <c r="O905" s="1" t="s">
        <v>632</v>
      </c>
      <c r="P905" s="1" t="str">
        <f>_xlfn.CONCAT(B905,C905,D905,E905,F905)</f>
        <v>ARAGUATINS 1.1Inverter(MBUS-13)46068,392361111146068,392361111146068,4465277778</v>
      </c>
      <c r="Q905" s="1" t="str">
        <f>_xlfn.CONCAT(H905,I905,J905)</f>
        <v>DAURDE</v>
      </c>
    </row>
    <row r="906" spans="2:17">
      <c r="B906" s="1" t="s">
        <v>305</v>
      </c>
      <c r="C906" s="1" t="s">
        <v>263</v>
      </c>
      <c r="D906" s="52">
        <v>46068.392361111109</v>
      </c>
      <c r="E906" s="52">
        <v>46068.392361111109</v>
      </c>
      <c r="F906" s="52">
        <v>46068.446527777778</v>
      </c>
      <c r="G906" s="53">
        <v>5.4166666666666669E-2</v>
      </c>
      <c r="H906" s="1" t="s">
        <v>257</v>
      </c>
      <c r="J906" s="1" t="s">
        <v>258</v>
      </c>
      <c r="K906" s="1" t="s">
        <v>658</v>
      </c>
      <c r="L906" s="1" t="s">
        <v>815</v>
      </c>
      <c r="M906" s="1" t="s">
        <v>260</v>
      </c>
      <c r="N906" s="1" t="s">
        <v>357</v>
      </c>
      <c r="O906" s="1" t="s">
        <v>632</v>
      </c>
      <c r="P906" s="1" t="str">
        <f>_xlfn.CONCAT(B906,C906,D906,E906,F906)</f>
        <v>ARAGUATINS 1.1Inverter(MBUS-14)46068,392361111146068,392361111146068,4465277778</v>
      </c>
      <c r="Q906" s="1" t="str">
        <f>_xlfn.CONCAT(H906,I906,J906)</f>
        <v>DAURDE</v>
      </c>
    </row>
    <row r="907" spans="2:17">
      <c r="B907" s="1" t="s">
        <v>305</v>
      </c>
      <c r="C907" s="1" t="s">
        <v>307</v>
      </c>
      <c r="D907" s="52">
        <v>46068.392361111109</v>
      </c>
      <c r="E907" s="52">
        <v>46068.392361111109</v>
      </c>
      <c r="F907" s="52">
        <v>46068.446527777778</v>
      </c>
      <c r="G907" s="53">
        <v>5.4166666666666669E-2</v>
      </c>
      <c r="H907" s="1" t="s">
        <v>257</v>
      </c>
      <c r="J907" s="1" t="s">
        <v>258</v>
      </c>
      <c r="K907" s="1" t="s">
        <v>658</v>
      </c>
      <c r="L907" s="1" t="s">
        <v>815</v>
      </c>
      <c r="M907" s="1" t="s">
        <v>260</v>
      </c>
      <c r="N907" s="1" t="s">
        <v>357</v>
      </c>
      <c r="O907" s="1" t="s">
        <v>632</v>
      </c>
      <c r="P907" s="1" t="str">
        <f>_xlfn.CONCAT(B907,C907,D907,E907,F907)</f>
        <v>ARAGUATINS 1.1Inverter(MBUS-15)46068,392361111146068,392361111146068,4465277778</v>
      </c>
      <c r="Q907" s="1" t="str">
        <f>_xlfn.CONCAT(H907,I907,J907)</f>
        <v>DAURDE</v>
      </c>
    </row>
    <row r="908" spans="2:17">
      <c r="B908" s="1" t="s">
        <v>308</v>
      </c>
      <c r="C908" s="1" t="s">
        <v>256</v>
      </c>
      <c r="D908" s="52">
        <v>46068.392361111109</v>
      </c>
      <c r="E908" s="52">
        <v>46068.392361111109</v>
      </c>
      <c r="F908" s="52">
        <v>46068.446527777778</v>
      </c>
      <c r="G908" s="53">
        <v>5.4166666666666669E-2</v>
      </c>
      <c r="H908" s="1" t="s">
        <v>257</v>
      </c>
      <c r="J908" s="1" t="s">
        <v>258</v>
      </c>
      <c r="K908" s="1" t="s">
        <v>658</v>
      </c>
      <c r="L908" s="1" t="s">
        <v>815</v>
      </c>
      <c r="M908" s="1" t="s">
        <v>260</v>
      </c>
      <c r="N908" s="1" t="s">
        <v>357</v>
      </c>
      <c r="O908" s="1" t="s">
        <v>632</v>
      </c>
      <c r="P908" s="1" t="str">
        <f>_xlfn.CONCAT(B908,C908,D908,E908,F908)</f>
        <v>ARAGUATINS 1.2Inverter(MBUS-12)46068,392361111146068,392361111146068,4465277778</v>
      </c>
      <c r="Q908" s="1" t="str">
        <f>_xlfn.CONCAT(H908,I908,J908)</f>
        <v>DAURDE</v>
      </c>
    </row>
    <row r="909" spans="2:17">
      <c r="B909" s="1" t="s">
        <v>308</v>
      </c>
      <c r="C909" s="1" t="s">
        <v>264</v>
      </c>
      <c r="D909" s="52">
        <v>46068.392361111109</v>
      </c>
      <c r="E909" s="52">
        <v>46068.392361111109</v>
      </c>
      <c r="F909" s="52">
        <v>46068.446527777778</v>
      </c>
      <c r="G909" s="53">
        <v>5.4166666666666669E-2</v>
      </c>
      <c r="H909" s="1" t="s">
        <v>257</v>
      </c>
      <c r="J909" s="1" t="s">
        <v>258</v>
      </c>
      <c r="K909" s="1" t="s">
        <v>658</v>
      </c>
      <c r="L909" s="1" t="s">
        <v>815</v>
      </c>
      <c r="M909" s="1" t="s">
        <v>260</v>
      </c>
      <c r="N909" s="1" t="s">
        <v>357</v>
      </c>
      <c r="O909" s="1" t="s">
        <v>632</v>
      </c>
      <c r="P909" s="1" t="str">
        <f>_xlfn.CONCAT(B909,C909,D909,E909,F909)</f>
        <v>ARAGUATINS 1.2Inverter(MBUS-13)46068,392361111146068,392361111146068,4465277778</v>
      </c>
      <c r="Q909" s="1" t="str">
        <f>_xlfn.CONCAT(H909,I909,J909)</f>
        <v>DAURDE</v>
      </c>
    </row>
    <row r="910" spans="2:17">
      <c r="B910" s="1" t="s">
        <v>308</v>
      </c>
      <c r="C910" s="1" t="s">
        <v>263</v>
      </c>
      <c r="D910" s="52">
        <v>46068.392361111109</v>
      </c>
      <c r="E910" s="52">
        <v>46068.392361111109</v>
      </c>
      <c r="F910" s="52">
        <v>46068.446527777778</v>
      </c>
      <c r="G910" s="53">
        <v>5.4166666666666669E-2</v>
      </c>
      <c r="H910" s="1" t="s">
        <v>257</v>
      </c>
      <c r="J910" s="1" t="s">
        <v>258</v>
      </c>
      <c r="K910" s="1" t="s">
        <v>658</v>
      </c>
      <c r="L910" s="1" t="s">
        <v>815</v>
      </c>
      <c r="M910" s="1" t="s">
        <v>260</v>
      </c>
      <c r="N910" s="1" t="s">
        <v>357</v>
      </c>
      <c r="O910" s="1" t="s">
        <v>632</v>
      </c>
      <c r="P910" s="1" t="str">
        <f>_xlfn.CONCAT(B910,C910,D910,E910,F910)</f>
        <v>ARAGUATINS 1.2Inverter(MBUS-14)46068,392361111146068,392361111146068,4465277778</v>
      </c>
      <c r="Q910" s="1" t="str">
        <f>_xlfn.CONCAT(H910,I910,J910)</f>
        <v>DAURDE</v>
      </c>
    </row>
    <row r="911" spans="2:17">
      <c r="B911" s="1" t="s">
        <v>308</v>
      </c>
      <c r="C911" s="1" t="s">
        <v>307</v>
      </c>
      <c r="D911" s="52">
        <v>46068.392361111109</v>
      </c>
      <c r="E911" s="52">
        <v>46068.392361111109</v>
      </c>
      <c r="F911" s="52">
        <v>46068.446527777778</v>
      </c>
      <c r="G911" s="53">
        <v>5.4166666666666669E-2</v>
      </c>
      <c r="H911" s="1" t="s">
        <v>257</v>
      </c>
      <c r="J911" s="1" t="s">
        <v>258</v>
      </c>
      <c r="K911" s="1" t="s">
        <v>658</v>
      </c>
      <c r="L911" s="1" t="s">
        <v>815</v>
      </c>
      <c r="M911" s="1" t="s">
        <v>260</v>
      </c>
      <c r="N911" s="1" t="s">
        <v>357</v>
      </c>
      <c r="O911" s="1" t="s">
        <v>632</v>
      </c>
      <c r="P911" s="1" t="str">
        <f>_xlfn.CONCAT(B911,C911,D911,E911,F911)</f>
        <v>ARAGUATINS 1.2Inverter(MBUS-15)46068,392361111146068,392361111146068,4465277778</v>
      </c>
      <c r="Q911" s="1" t="str">
        <f>_xlfn.CONCAT(H911,I911,J911)</f>
        <v>DAURDE</v>
      </c>
    </row>
    <row r="912" spans="2:17">
      <c r="B912" s="1" t="s">
        <v>327</v>
      </c>
      <c r="C912" s="1" t="s">
        <v>247</v>
      </c>
      <c r="D912" s="52">
        <v>46068.638888888891</v>
      </c>
      <c r="E912" s="52">
        <v>46068.638888888891</v>
      </c>
      <c r="F912" s="52">
        <v>46069.29791666667</v>
      </c>
      <c r="G912" s="53">
        <v>0.65902777777777777</v>
      </c>
      <c r="H912" s="1" t="s">
        <v>257</v>
      </c>
      <c r="J912" s="1" t="s">
        <v>258</v>
      </c>
      <c r="K912" s="1" t="s">
        <v>658</v>
      </c>
      <c r="L912" s="1" t="s">
        <v>816</v>
      </c>
      <c r="M912" s="1" t="s">
        <v>260</v>
      </c>
      <c r="N912" s="1" t="s">
        <v>357</v>
      </c>
      <c r="O912" s="1" t="s">
        <v>632</v>
      </c>
      <c r="P912" s="1" t="str">
        <f>_xlfn.CONCAT(B912,C912,D912,E912,F912)</f>
        <v>BC Aracu5.1Inverter(MBUS-1)46068,638888888946068,638888888946069,2979166667</v>
      </c>
      <c r="Q912" s="1" t="str">
        <f>_xlfn.CONCAT(H912,I912,J912)</f>
        <v>DAURDE</v>
      </c>
    </row>
    <row r="913" spans="2:17">
      <c r="B913" s="1" t="s">
        <v>328</v>
      </c>
      <c r="C913" s="1" t="s">
        <v>247</v>
      </c>
      <c r="D913" s="52">
        <v>46068.638888888891</v>
      </c>
      <c r="E913" s="52">
        <v>46068.638888888891</v>
      </c>
      <c r="F913" s="52">
        <v>46069.29791666667</v>
      </c>
      <c r="G913" s="53">
        <v>0.65902777777777777</v>
      </c>
      <c r="H913" s="1" t="s">
        <v>257</v>
      </c>
      <c r="J913" s="1" t="s">
        <v>258</v>
      </c>
      <c r="K913" s="1" t="s">
        <v>658</v>
      </c>
      <c r="L913" s="1" t="s">
        <v>816</v>
      </c>
      <c r="M913" s="1" t="s">
        <v>260</v>
      </c>
      <c r="N913" s="1" t="s">
        <v>357</v>
      </c>
      <c r="O913" s="1" t="s">
        <v>632</v>
      </c>
      <c r="P913" s="1" t="str">
        <f>_xlfn.CONCAT(B913,C913,D913,E913,F913)</f>
        <v>BC Aracu5.3Inverter(MBUS-1)46068,638888888946068,638888888946069,2979166667</v>
      </c>
      <c r="Q913" s="1" t="str">
        <f>_xlfn.CONCAT(H913,I913,J913)</f>
        <v>DAURDE</v>
      </c>
    </row>
    <row r="914" spans="2:17">
      <c r="B914" s="1" t="s">
        <v>329</v>
      </c>
      <c r="C914" s="1" t="s">
        <v>247</v>
      </c>
      <c r="D914" s="52">
        <v>46068.638888888891</v>
      </c>
      <c r="E914" s="52">
        <v>46068.638888888891</v>
      </c>
      <c r="F914" s="52">
        <v>46069.29791666667</v>
      </c>
      <c r="G914" s="53">
        <v>0.65902777777777777</v>
      </c>
      <c r="H914" s="1" t="s">
        <v>257</v>
      </c>
      <c r="J914" s="1" t="s">
        <v>258</v>
      </c>
      <c r="K914" s="1" t="s">
        <v>658</v>
      </c>
      <c r="L914" s="1" t="s">
        <v>816</v>
      </c>
      <c r="M914" s="1" t="s">
        <v>260</v>
      </c>
      <c r="N914" s="1" t="s">
        <v>357</v>
      </c>
      <c r="O914" s="1" t="s">
        <v>632</v>
      </c>
      <c r="P914" s="1" t="str">
        <f>_xlfn.CONCAT(B914,C914,D914,E914,F914)</f>
        <v>BC Aracu5.4Inverter(MBUS-1)46068,638888888946068,638888888946069,2979166667</v>
      </c>
      <c r="Q914" s="1" t="str">
        <f>_xlfn.CONCAT(H914,I914,J914)</f>
        <v>DAURDE</v>
      </c>
    </row>
    <row r="915" spans="2:17">
      <c r="B915" s="1" t="s">
        <v>330</v>
      </c>
      <c r="C915" s="1" t="s">
        <v>247</v>
      </c>
      <c r="D915" s="52">
        <v>46068.638888888891</v>
      </c>
      <c r="E915" s="52">
        <v>46068.638888888891</v>
      </c>
      <c r="F915" s="52">
        <v>46069.29791666667</v>
      </c>
      <c r="G915" s="53">
        <v>0.65902777777777777</v>
      </c>
      <c r="H915" s="1" t="s">
        <v>257</v>
      </c>
      <c r="J915" s="1" t="s">
        <v>258</v>
      </c>
      <c r="K915" s="1" t="s">
        <v>658</v>
      </c>
      <c r="L915" s="1" t="s">
        <v>816</v>
      </c>
      <c r="M915" s="1" t="s">
        <v>260</v>
      </c>
      <c r="N915" s="1" t="s">
        <v>357</v>
      </c>
      <c r="O915" s="1" t="s">
        <v>632</v>
      </c>
      <c r="P915" s="1" t="str">
        <f>_xlfn.CONCAT(B915,C915,D915,E915,F915)</f>
        <v>BC Aracu5.5Inverter(MBUS-1)46068,638888888946068,638888888946069,2979166667</v>
      </c>
      <c r="Q915" s="1" t="str">
        <f>_xlfn.CONCAT(H915,I915,J915)</f>
        <v>DAURDE</v>
      </c>
    </row>
    <row r="916" spans="2:17">
      <c r="B916" s="1" t="s">
        <v>305</v>
      </c>
      <c r="C916" s="1" t="s">
        <v>256</v>
      </c>
      <c r="D916" s="52">
        <v>46069.251388888886</v>
      </c>
      <c r="E916" s="52">
        <v>46069.251388888886</v>
      </c>
      <c r="F916" s="52">
        <v>46069.361111111109</v>
      </c>
      <c r="G916" s="53">
        <v>0.10972222222222222</v>
      </c>
      <c r="H916" s="1" t="s">
        <v>257</v>
      </c>
      <c r="J916" s="1" t="s">
        <v>258</v>
      </c>
      <c r="K916" s="1" t="s">
        <v>658</v>
      </c>
      <c r="L916" s="1" t="s">
        <v>817</v>
      </c>
      <c r="M916" s="1" t="s">
        <v>260</v>
      </c>
      <c r="N916" s="1" t="s">
        <v>357</v>
      </c>
      <c r="O916" s="1" t="s">
        <v>632</v>
      </c>
      <c r="P916" s="1" t="str">
        <f>_xlfn.CONCAT(B916,C916,D916,E916,F916)</f>
        <v>ARAGUATINS 1.1Inverter(MBUS-12)46069,251388888946069,251388888946069,3611111111</v>
      </c>
      <c r="Q916" s="1" t="str">
        <f>_xlfn.CONCAT(H916,I916,J916)</f>
        <v>DAURDE</v>
      </c>
    </row>
    <row r="917" spans="2:17">
      <c r="B917" s="1" t="s">
        <v>305</v>
      </c>
      <c r="C917" s="1" t="s">
        <v>264</v>
      </c>
      <c r="D917" s="52">
        <v>46069.251388888886</v>
      </c>
      <c r="E917" s="52">
        <v>46069.251388888886</v>
      </c>
      <c r="F917" s="52">
        <v>46069.361111111109</v>
      </c>
      <c r="G917" s="53">
        <v>0.10972222222222222</v>
      </c>
      <c r="H917" s="1" t="s">
        <v>257</v>
      </c>
      <c r="J917" s="1" t="s">
        <v>258</v>
      </c>
      <c r="K917" s="1" t="s">
        <v>658</v>
      </c>
      <c r="L917" s="1" t="s">
        <v>817</v>
      </c>
      <c r="M917" s="1" t="s">
        <v>260</v>
      </c>
      <c r="N917" s="1" t="s">
        <v>357</v>
      </c>
      <c r="O917" s="1" t="s">
        <v>632</v>
      </c>
      <c r="P917" s="1" t="str">
        <f>_xlfn.CONCAT(B917,C917,D917,E917,F917)</f>
        <v>ARAGUATINS 1.1Inverter(MBUS-13)46069,251388888946069,251388888946069,3611111111</v>
      </c>
      <c r="Q917" s="1" t="str">
        <f>_xlfn.CONCAT(H917,I917,J917)</f>
        <v>DAURDE</v>
      </c>
    </row>
    <row r="918" spans="2:17">
      <c r="B918" s="1" t="s">
        <v>305</v>
      </c>
      <c r="C918" s="1" t="s">
        <v>263</v>
      </c>
      <c r="D918" s="52">
        <v>46069.251388888886</v>
      </c>
      <c r="E918" s="52">
        <v>46069.251388888886</v>
      </c>
      <c r="F918" s="52">
        <v>46069.361111111109</v>
      </c>
      <c r="G918" s="53">
        <v>0.10972222222222222</v>
      </c>
      <c r="H918" s="1" t="s">
        <v>257</v>
      </c>
      <c r="J918" s="1" t="s">
        <v>258</v>
      </c>
      <c r="K918" s="1" t="s">
        <v>658</v>
      </c>
      <c r="L918" s="1" t="s">
        <v>817</v>
      </c>
      <c r="M918" s="1" t="s">
        <v>260</v>
      </c>
      <c r="N918" s="1" t="s">
        <v>357</v>
      </c>
      <c r="O918" s="1" t="s">
        <v>632</v>
      </c>
      <c r="P918" s="1" t="str">
        <f>_xlfn.CONCAT(B918,C918,D918,E918,F918)</f>
        <v>ARAGUATINS 1.1Inverter(MBUS-14)46069,251388888946069,251388888946069,3611111111</v>
      </c>
      <c r="Q918" s="1" t="str">
        <f>_xlfn.CONCAT(H918,I918,J918)</f>
        <v>DAURDE</v>
      </c>
    </row>
    <row r="919" spans="2:17">
      <c r="B919" s="1" t="s">
        <v>305</v>
      </c>
      <c r="C919" s="1" t="s">
        <v>307</v>
      </c>
      <c r="D919" s="52">
        <v>46069.251388888886</v>
      </c>
      <c r="E919" s="52">
        <v>46069.251388888886</v>
      </c>
      <c r="F919" s="52">
        <v>46069.361111111109</v>
      </c>
      <c r="G919" s="53">
        <v>0.10972222222222222</v>
      </c>
      <c r="H919" s="1" t="s">
        <v>257</v>
      </c>
      <c r="J919" s="1" t="s">
        <v>258</v>
      </c>
      <c r="K919" s="1" t="s">
        <v>658</v>
      </c>
      <c r="L919" s="1" t="s">
        <v>817</v>
      </c>
      <c r="M919" s="1" t="s">
        <v>260</v>
      </c>
      <c r="N919" s="1" t="s">
        <v>357</v>
      </c>
      <c r="O919" s="1" t="s">
        <v>632</v>
      </c>
      <c r="P919" s="1" t="str">
        <f>_xlfn.CONCAT(B919,C919,D919,E919,F919)</f>
        <v>ARAGUATINS 1.1Inverter(MBUS-15)46069,251388888946069,251388888946069,3611111111</v>
      </c>
      <c r="Q919" s="1" t="str">
        <f>_xlfn.CONCAT(H919,I919,J919)</f>
        <v>DAURDE</v>
      </c>
    </row>
    <row r="920" spans="2:17">
      <c r="B920" s="1" t="s">
        <v>308</v>
      </c>
      <c r="C920" s="1" t="s">
        <v>256</v>
      </c>
      <c r="D920" s="52">
        <v>46069.251388888886</v>
      </c>
      <c r="E920" s="52">
        <v>46069.251388888886</v>
      </c>
      <c r="F920" s="52">
        <v>46069.361111111109</v>
      </c>
      <c r="G920" s="53">
        <v>0.10972222222222222</v>
      </c>
      <c r="H920" s="1" t="s">
        <v>257</v>
      </c>
      <c r="J920" s="1" t="s">
        <v>258</v>
      </c>
      <c r="K920" s="1" t="s">
        <v>658</v>
      </c>
      <c r="L920" s="1" t="s">
        <v>817</v>
      </c>
      <c r="M920" s="1" t="s">
        <v>260</v>
      </c>
      <c r="N920" s="1" t="s">
        <v>357</v>
      </c>
      <c r="O920" s="1" t="s">
        <v>632</v>
      </c>
      <c r="P920" s="1" t="str">
        <f>_xlfn.CONCAT(B920,C920,D920,E920,F920)</f>
        <v>ARAGUATINS 1.2Inverter(MBUS-12)46069,251388888946069,251388888946069,3611111111</v>
      </c>
      <c r="Q920" s="1" t="str">
        <f>_xlfn.CONCAT(H920,I920,J920)</f>
        <v>DAURDE</v>
      </c>
    </row>
    <row r="921" spans="2:17">
      <c r="B921" s="1" t="s">
        <v>308</v>
      </c>
      <c r="C921" s="1" t="s">
        <v>264</v>
      </c>
      <c r="D921" s="52">
        <v>46069.251388888886</v>
      </c>
      <c r="E921" s="52">
        <v>46069.251388888886</v>
      </c>
      <c r="F921" s="52">
        <v>46069.361111111109</v>
      </c>
      <c r="G921" s="53">
        <v>0.10972222222222222</v>
      </c>
      <c r="H921" s="1" t="s">
        <v>257</v>
      </c>
      <c r="J921" s="1" t="s">
        <v>258</v>
      </c>
      <c r="K921" s="1" t="s">
        <v>658</v>
      </c>
      <c r="L921" s="1" t="s">
        <v>817</v>
      </c>
      <c r="M921" s="1" t="s">
        <v>260</v>
      </c>
      <c r="N921" s="1" t="s">
        <v>357</v>
      </c>
      <c r="O921" s="1" t="s">
        <v>632</v>
      </c>
      <c r="P921" s="1" t="str">
        <f>_xlfn.CONCAT(B921,C921,D921,E921,F921)</f>
        <v>ARAGUATINS 1.2Inverter(MBUS-13)46069,251388888946069,251388888946069,3611111111</v>
      </c>
      <c r="Q921" s="1" t="str">
        <f>_xlfn.CONCAT(H921,I921,J921)</f>
        <v>DAURDE</v>
      </c>
    </row>
    <row r="922" spans="2:17">
      <c r="B922" s="1" t="s">
        <v>308</v>
      </c>
      <c r="C922" s="1" t="s">
        <v>263</v>
      </c>
      <c r="D922" s="52">
        <v>46069.251388888886</v>
      </c>
      <c r="E922" s="52">
        <v>46069.251388888886</v>
      </c>
      <c r="F922" s="52">
        <v>46069.361111111109</v>
      </c>
      <c r="G922" s="53">
        <v>0.10972222222222222</v>
      </c>
      <c r="H922" s="1" t="s">
        <v>257</v>
      </c>
      <c r="J922" s="1" t="s">
        <v>258</v>
      </c>
      <c r="K922" s="1" t="s">
        <v>658</v>
      </c>
      <c r="L922" s="1" t="s">
        <v>817</v>
      </c>
      <c r="M922" s="1" t="s">
        <v>260</v>
      </c>
      <c r="N922" s="1" t="s">
        <v>357</v>
      </c>
      <c r="O922" s="1" t="s">
        <v>632</v>
      </c>
      <c r="P922" s="1" t="str">
        <f>_xlfn.CONCAT(B922,C922,D922,E922,F922)</f>
        <v>ARAGUATINS 1.2Inverter(MBUS-14)46069,251388888946069,251388888946069,3611111111</v>
      </c>
      <c r="Q922" s="1" t="str">
        <f>_xlfn.CONCAT(H922,I922,J922)</f>
        <v>DAURDE</v>
      </c>
    </row>
    <row r="923" spans="2:17">
      <c r="B923" s="1" t="s">
        <v>308</v>
      </c>
      <c r="C923" s="1" t="s">
        <v>307</v>
      </c>
      <c r="D923" s="52">
        <v>46069.251388888886</v>
      </c>
      <c r="E923" s="52">
        <v>46069.251388888886</v>
      </c>
      <c r="F923" s="52">
        <v>46069.361111111109</v>
      </c>
      <c r="G923" s="53">
        <v>0.10972222222222222</v>
      </c>
      <c r="H923" s="1" t="s">
        <v>257</v>
      </c>
      <c r="J923" s="1" t="s">
        <v>258</v>
      </c>
      <c r="K923" s="1" t="s">
        <v>658</v>
      </c>
      <c r="L923" s="1" t="s">
        <v>817</v>
      </c>
      <c r="M923" s="1" t="s">
        <v>260</v>
      </c>
      <c r="N923" s="1" t="s">
        <v>357</v>
      </c>
      <c r="O923" s="1" t="s">
        <v>632</v>
      </c>
      <c r="P923" s="1" t="str">
        <f>_xlfn.CONCAT(B923,C923,D923,E923,F923)</f>
        <v>ARAGUATINS 1.2Inverter(MBUS-15)46069,251388888946069,251388888946069,3611111111</v>
      </c>
      <c r="Q923" s="1" t="str">
        <f>_xlfn.CONCAT(H923,I923,J923)</f>
        <v>DAURDE</v>
      </c>
    </row>
    <row r="924" spans="2:17">
      <c r="B924" s="1" t="s">
        <v>309</v>
      </c>
      <c r="C924" s="1" t="s">
        <v>310</v>
      </c>
      <c r="D924" s="52">
        <v>46069.251388888886</v>
      </c>
      <c r="E924" s="52">
        <v>46069.251388888886</v>
      </c>
      <c r="F924" s="52">
        <v>46069.361111111109</v>
      </c>
      <c r="G924" s="53">
        <v>0.10972222222222222</v>
      </c>
      <c r="H924" s="1" t="s">
        <v>257</v>
      </c>
      <c r="J924" s="1" t="s">
        <v>258</v>
      </c>
      <c r="K924" s="1" t="s">
        <v>658</v>
      </c>
      <c r="L924" s="1" t="s">
        <v>817</v>
      </c>
      <c r="M924" s="1" t="s">
        <v>260</v>
      </c>
      <c r="N924" s="1" t="s">
        <v>357</v>
      </c>
      <c r="O924" s="1" t="s">
        <v>632</v>
      </c>
      <c r="P924" s="1" t="str">
        <f>_xlfn.CONCAT(B924,C924,D924,E924,F924)</f>
        <v>ARAGUATINS 1.3Inverter(MBUS-20)46069,251388888946069,251388888946069,3611111111</v>
      </c>
      <c r="Q924" s="1" t="str">
        <f>_xlfn.CONCAT(H924,I924,J924)</f>
        <v>DAURDE</v>
      </c>
    </row>
    <row r="925" spans="2:17">
      <c r="B925" s="1" t="s">
        <v>309</v>
      </c>
      <c r="C925" s="1" t="s">
        <v>247</v>
      </c>
      <c r="D925" s="52">
        <v>46069.701388888891</v>
      </c>
      <c r="E925" s="52">
        <v>46069.701388888891</v>
      </c>
      <c r="F925" s="52">
        <v>46069.802083333336</v>
      </c>
      <c r="G925" s="53">
        <v>0.10069444444444445</v>
      </c>
      <c r="H925" s="1" t="s">
        <v>257</v>
      </c>
      <c r="J925" s="1" t="s">
        <v>258</v>
      </c>
      <c r="K925" s="1" t="s">
        <v>658</v>
      </c>
      <c r="L925" s="1" t="s">
        <v>817</v>
      </c>
      <c r="M925" s="1" t="s">
        <v>260</v>
      </c>
      <c r="N925" s="1" t="s">
        <v>357</v>
      </c>
      <c r="O925" s="1" t="s">
        <v>632</v>
      </c>
      <c r="P925" s="1" t="str">
        <f>_xlfn.CONCAT(B925,C925,D925,E925,F925)</f>
        <v>ARAGUATINS 1.3Inverter(MBUS-1)46069,701388888946069,701388888946069,8020833333</v>
      </c>
      <c r="Q925" s="1" t="str">
        <f>_xlfn.CONCAT(H925,I925,J925)</f>
        <v>DAURDE</v>
      </c>
    </row>
    <row r="926" spans="2:17">
      <c r="B926" s="1" t="s">
        <v>313</v>
      </c>
      <c r="C926" s="1" t="s">
        <v>256</v>
      </c>
      <c r="D926" s="52">
        <v>46069.701388888891</v>
      </c>
      <c r="E926" s="52">
        <v>46069.701388888891</v>
      </c>
      <c r="F926" s="52">
        <v>46069.802083333336</v>
      </c>
      <c r="G926" s="53">
        <v>0.10069444444444445</v>
      </c>
      <c r="H926" s="1" t="s">
        <v>677</v>
      </c>
      <c r="J926" s="1" t="s">
        <v>230</v>
      </c>
      <c r="K926" s="1" t="s">
        <v>230</v>
      </c>
      <c r="L926" s="1" t="s">
        <v>818</v>
      </c>
      <c r="M926" s="1" t="s">
        <v>260</v>
      </c>
      <c r="N926" s="1" t="s">
        <v>357</v>
      </c>
      <c r="O926" s="1" t="s">
        <v>632</v>
      </c>
      <c r="P926" s="1" t="str">
        <f>_xlfn.CONCAT(B926,C926,D926,E926,F926)</f>
        <v>ARAGUATINS 2.3Inverter(MBUS-12)46069,701388888946069,701388888946069,8020833333</v>
      </c>
      <c r="Q926" s="1" t="str">
        <f>_xlfn.CONCAT(H926,I926,J926)</f>
        <v>DPRUFV</v>
      </c>
    </row>
    <row r="927" spans="2:17">
      <c r="B927" s="1" t="s">
        <v>313</v>
      </c>
      <c r="C927" s="1" t="s">
        <v>264</v>
      </c>
      <c r="D927" s="52">
        <v>46069.701388888891</v>
      </c>
      <c r="E927" s="52">
        <v>46069.701388888891</v>
      </c>
      <c r="F927" s="52">
        <v>46069.802083333336</v>
      </c>
      <c r="G927" s="53">
        <v>0.10069444444444445</v>
      </c>
      <c r="H927" s="1" t="s">
        <v>677</v>
      </c>
      <c r="J927" s="1" t="s">
        <v>230</v>
      </c>
      <c r="K927" s="1" t="s">
        <v>230</v>
      </c>
      <c r="L927" s="1" t="s">
        <v>818</v>
      </c>
      <c r="M927" s="1" t="s">
        <v>260</v>
      </c>
      <c r="N927" s="1" t="s">
        <v>357</v>
      </c>
      <c r="O927" s="1" t="s">
        <v>632</v>
      </c>
      <c r="P927" s="1" t="str">
        <f>_xlfn.CONCAT(B927,C927,D927,E927,F927)</f>
        <v>ARAGUATINS 2.3Inverter(MBUS-13)46069,701388888946069,701388888946069,8020833333</v>
      </c>
      <c r="Q927" s="1" t="str">
        <f>_xlfn.CONCAT(H927,I927,J927)</f>
        <v>DPRUFV</v>
      </c>
    </row>
    <row r="928" spans="2:17">
      <c r="B928" s="1" t="s">
        <v>305</v>
      </c>
      <c r="C928" s="1" t="s">
        <v>256</v>
      </c>
      <c r="D928" s="52">
        <v>46069.815972222219</v>
      </c>
      <c r="E928" s="52">
        <v>46069.815972222219</v>
      </c>
      <c r="F928" s="52">
        <v>46070.401388888888</v>
      </c>
      <c r="G928" s="53">
        <v>0.5854166666666667</v>
      </c>
      <c r="H928" s="1" t="s">
        <v>257</v>
      </c>
      <c r="J928" s="1" t="s">
        <v>258</v>
      </c>
      <c r="K928" s="1" t="s">
        <v>658</v>
      </c>
      <c r="L928" s="1" t="s">
        <v>819</v>
      </c>
      <c r="M928" s="1" t="s">
        <v>260</v>
      </c>
      <c r="N928" s="1" t="s">
        <v>357</v>
      </c>
      <c r="O928" s="1" t="s">
        <v>632</v>
      </c>
      <c r="P928" s="1" t="str">
        <f>_xlfn.CONCAT(B928,C928,D928,E928,F928)</f>
        <v>ARAGUATINS 1.1Inverter(MBUS-12)46069,815972222246069,815972222246070,4013888889</v>
      </c>
      <c r="Q928" s="1" t="str">
        <f>_xlfn.CONCAT(H928,I928,J928)</f>
        <v>DAURDE</v>
      </c>
    </row>
    <row r="929" spans="2:17">
      <c r="B929" s="1" t="s">
        <v>305</v>
      </c>
      <c r="C929" s="1" t="s">
        <v>264</v>
      </c>
      <c r="D929" s="52">
        <v>46069.815972222219</v>
      </c>
      <c r="E929" s="52">
        <v>46069.815972222219</v>
      </c>
      <c r="F929" s="52">
        <v>46070.401388888888</v>
      </c>
      <c r="G929" s="53">
        <v>0.5854166666666667</v>
      </c>
      <c r="H929" s="1" t="s">
        <v>257</v>
      </c>
      <c r="J929" s="1" t="s">
        <v>258</v>
      </c>
      <c r="K929" s="1" t="s">
        <v>658</v>
      </c>
      <c r="L929" s="1" t="s">
        <v>819</v>
      </c>
      <c r="M929" s="1" t="s">
        <v>260</v>
      </c>
      <c r="N929" s="1" t="s">
        <v>357</v>
      </c>
      <c r="O929" s="1" t="s">
        <v>632</v>
      </c>
      <c r="P929" s="1" t="str">
        <f>_xlfn.CONCAT(B929,C929,D929,E929,F929)</f>
        <v>ARAGUATINS 1.1Inverter(MBUS-13)46069,815972222246069,815972222246070,4013888889</v>
      </c>
      <c r="Q929" s="1" t="str">
        <f>_xlfn.CONCAT(H929,I929,J929)</f>
        <v>DAURDE</v>
      </c>
    </row>
    <row r="930" spans="2:17">
      <c r="B930" s="1" t="s">
        <v>305</v>
      </c>
      <c r="C930" s="1" t="s">
        <v>263</v>
      </c>
      <c r="D930" s="52">
        <v>46069.815972222219</v>
      </c>
      <c r="E930" s="52">
        <v>46069.815972222219</v>
      </c>
      <c r="F930" s="52">
        <v>46070.401388888888</v>
      </c>
      <c r="G930" s="53">
        <v>0.5854166666666667</v>
      </c>
      <c r="H930" s="1" t="s">
        <v>257</v>
      </c>
      <c r="J930" s="1" t="s">
        <v>258</v>
      </c>
      <c r="K930" s="1" t="s">
        <v>658</v>
      </c>
      <c r="L930" s="1" t="s">
        <v>819</v>
      </c>
      <c r="M930" s="1" t="s">
        <v>260</v>
      </c>
      <c r="N930" s="1" t="s">
        <v>357</v>
      </c>
      <c r="O930" s="1" t="s">
        <v>632</v>
      </c>
      <c r="P930" s="1" t="str">
        <f>_xlfn.CONCAT(B930,C930,D930,E930,F930)</f>
        <v>ARAGUATINS 1.1Inverter(MBUS-14)46069,815972222246069,815972222246070,4013888889</v>
      </c>
      <c r="Q930" s="1" t="str">
        <f>_xlfn.CONCAT(H930,I930,J930)</f>
        <v>DAURDE</v>
      </c>
    </row>
    <row r="931" spans="2:17">
      <c r="B931" s="1" t="s">
        <v>305</v>
      </c>
      <c r="C931" s="1" t="s">
        <v>307</v>
      </c>
      <c r="D931" s="52">
        <v>46069.815972222219</v>
      </c>
      <c r="E931" s="52">
        <v>46069.815972222219</v>
      </c>
      <c r="F931" s="52">
        <v>46070.401388888888</v>
      </c>
      <c r="G931" s="53">
        <v>0.5854166666666667</v>
      </c>
      <c r="H931" s="1" t="s">
        <v>257</v>
      </c>
      <c r="J931" s="1" t="s">
        <v>258</v>
      </c>
      <c r="K931" s="1" t="s">
        <v>658</v>
      </c>
      <c r="L931" s="1" t="s">
        <v>819</v>
      </c>
      <c r="M931" s="1" t="s">
        <v>260</v>
      </c>
      <c r="N931" s="1" t="s">
        <v>357</v>
      </c>
      <c r="O931" s="1" t="s">
        <v>632</v>
      </c>
      <c r="P931" s="1" t="str">
        <f>_xlfn.CONCAT(B931,C931,D931,E931,F931)</f>
        <v>ARAGUATINS 1.1Inverter(MBUS-15)46069,815972222246069,815972222246070,4013888889</v>
      </c>
      <c r="Q931" s="1" t="str">
        <f>_xlfn.CONCAT(H931,I931,J931)</f>
        <v>DAURDE</v>
      </c>
    </row>
    <row r="932" spans="2:17">
      <c r="B932" s="1" t="s">
        <v>308</v>
      </c>
      <c r="C932" s="1" t="s">
        <v>256</v>
      </c>
      <c r="D932" s="52">
        <v>46069.815972222219</v>
      </c>
      <c r="E932" s="52">
        <v>46069.815972222219</v>
      </c>
      <c r="F932" s="52">
        <v>46070.401388888888</v>
      </c>
      <c r="G932" s="53">
        <v>0.5854166666666667</v>
      </c>
      <c r="H932" s="1" t="s">
        <v>257</v>
      </c>
      <c r="J932" s="1" t="s">
        <v>258</v>
      </c>
      <c r="K932" s="1" t="s">
        <v>658</v>
      </c>
      <c r="L932" s="1" t="s">
        <v>819</v>
      </c>
      <c r="M932" s="1" t="s">
        <v>260</v>
      </c>
      <c r="N932" s="1" t="s">
        <v>357</v>
      </c>
      <c r="O932" s="1" t="s">
        <v>632</v>
      </c>
      <c r="P932" s="1" t="str">
        <f>_xlfn.CONCAT(B932,C932,D932,E932,F932)</f>
        <v>ARAGUATINS 1.2Inverter(MBUS-12)46069,815972222246069,815972222246070,4013888889</v>
      </c>
      <c r="Q932" s="1" t="str">
        <f>_xlfn.CONCAT(H932,I932,J932)</f>
        <v>DAURDE</v>
      </c>
    </row>
    <row r="933" spans="2:17">
      <c r="B933" s="1" t="s">
        <v>308</v>
      </c>
      <c r="C933" s="1" t="s">
        <v>264</v>
      </c>
      <c r="D933" s="52">
        <v>46069.815972222219</v>
      </c>
      <c r="E933" s="52">
        <v>46069.815972222219</v>
      </c>
      <c r="F933" s="52">
        <v>46070.401388888888</v>
      </c>
      <c r="G933" s="53">
        <v>0.5854166666666667</v>
      </c>
      <c r="H933" s="1" t="s">
        <v>257</v>
      </c>
      <c r="J933" s="1" t="s">
        <v>258</v>
      </c>
      <c r="K933" s="1" t="s">
        <v>658</v>
      </c>
      <c r="L933" s="1" t="s">
        <v>819</v>
      </c>
      <c r="M933" s="1" t="s">
        <v>260</v>
      </c>
      <c r="N933" s="1" t="s">
        <v>357</v>
      </c>
      <c r="O933" s="1" t="s">
        <v>632</v>
      </c>
      <c r="P933" s="1" t="str">
        <f>_xlfn.CONCAT(B933,C933,D933,E933,F933)</f>
        <v>ARAGUATINS 1.2Inverter(MBUS-13)46069,815972222246069,815972222246070,4013888889</v>
      </c>
      <c r="Q933" s="1" t="str">
        <f>_xlfn.CONCAT(H933,I933,J933)</f>
        <v>DAURDE</v>
      </c>
    </row>
    <row r="934" spans="2:17">
      <c r="B934" s="1" t="s">
        <v>308</v>
      </c>
      <c r="C934" s="1" t="s">
        <v>263</v>
      </c>
      <c r="D934" s="52">
        <v>46069.815972222219</v>
      </c>
      <c r="E934" s="52">
        <v>46069.815972222219</v>
      </c>
      <c r="F934" s="52">
        <v>46070.401388888888</v>
      </c>
      <c r="G934" s="53">
        <v>0.5854166666666667</v>
      </c>
      <c r="H934" s="1" t="s">
        <v>257</v>
      </c>
      <c r="J934" s="1" t="s">
        <v>258</v>
      </c>
      <c r="K934" s="1" t="s">
        <v>658</v>
      </c>
      <c r="L934" s="1" t="s">
        <v>819</v>
      </c>
      <c r="M934" s="1" t="s">
        <v>260</v>
      </c>
      <c r="N934" s="1" t="s">
        <v>357</v>
      </c>
      <c r="O934" s="1" t="s">
        <v>632</v>
      </c>
      <c r="P934" s="1" t="str">
        <f>_xlfn.CONCAT(B934,C934,D934,E934,F934)</f>
        <v>ARAGUATINS 1.2Inverter(MBUS-14)46069,815972222246069,815972222246070,4013888889</v>
      </c>
      <c r="Q934" s="1" t="str">
        <f>_xlfn.CONCAT(H934,I934,J934)</f>
        <v>DAURDE</v>
      </c>
    </row>
    <row r="935" spans="2:17">
      <c r="B935" s="1" t="s">
        <v>308</v>
      </c>
      <c r="C935" s="1" t="s">
        <v>307</v>
      </c>
      <c r="D935" s="52">
        <v>46069.815972222219</v>
      </c>
      <c r="E935" s="52">
        <v>46069.815972222219</v>
      </c>
      <c r="F935" s="52">
        <v>46070.401388888888</v>
      </c>
      <c r="G935" s="53">
        <v>0.5854166666666667</v>
      </c>
      <c r="H935" s="1" t="s">
        <v>257</v>
      </c>
      <c r="J935" s="1" t="s">
        <v>258</v>
      </c>
      <c r="K935" s="1" t="s">
        <v>658</v>
      </c>
      <c r="L935" s="1" t="s">
        <v>819</v>
      </c>
      <c r="M935" s="1" t="s">
        <v>260</v>
      </c>
      <c r="N935" s="1" t="s">
        <v>357</v>
      </c>
      <c r="O935" s="1" t="s">
        <v>632</v>
      </c>
      <c r="P935" s="1" t="str">
        <f>_xlfn.CONCAT(B935,C935,D935,E935,F935)</f>
        <v>ARAGUATINS 1.2Inverter(MBUS-15)46069,815972222246069,815972222246070,4013888889</v>
      </c>
      <c r="Q935" s="1" t="str">
        <f>_xlfn.CONCAT(H935,I935,J935)</f>
        <v>DAURDE</v>
      </c>
    </row>
    <row r="936" spans="2:17">
      <c r="B936" s="1" t="s">
        <v>309</v>
      </c>
      <c r="C936" s="1" t="s">
        <v>310</v>
      </c>
      <c r="D936" s="52">
        <v>46069.815972222219</v>
      </c>
      <c r="E936" s="52">
        <v>46069.815972222219</v>
      </c>
      <c r="F936" s="52">
        <v>46070.401388888888</v>
      </c>
      <c r="G936" s="53">
        <v>0.5854166666666667</v>
      </c>
      <c r="H936" s="1" t="s">
        <v>257</v>
      </c>
      <c r="J936" s="1" t="s">
        <v>258</v>
      </c>
      <c r="K936" s="1" t="s">
        <v>658</v>
      </c>
      <c r="L936" s="1" t="s">
        <v>819</v>
      </c>
      <c r="M936" s="1" t="s">
        <v>260</v>
      </c>
      <c r="N936" s="1" t="s">
        <v>357</v>
      </c>
      <c r="O936" s="1" t="s">
        <v>632</v>
      </c>
      <c r="P936" s="1" t="str">
        <f>_xlfn.CONCAT(B936,C936,D936,E936,F936)</f>
        <v>ARAGUATINS 1.3Inverter(MBUS-20)46069,815972222246069,815972222246070,4013888889</v>
      </c>
      <c r="Q936" s="1" t="str">
        <f>_xlfn.CONCAT(H936,I936,J936)</f>
        <v>DAURDE</v>
      </c>
    </row>
    <row r="937" spans="2:17">
      <c r="B937" s="1" t="s">
        <v>309</v>
      </c>
      <c r="C937" s="1" t="s">
        <v>247</v>
      </c>
      <c r="D937" s="52">
        <v>46069.815972222219</v>
      </c>
      <c r="E937" s="52">
        <v>46069.815972222219</v>
      </c>
      <c r="F937" s="52">
        <v>46070.401388888888</v>
      </c>
      <c r="G937" s="53">
        <v>0.5854166666666667</v>
      </c>
      <c r="H937" s="1" t="s">
        <v>257</v>
      </c>
      <c r="J937" s="1" t="s">
        <v>258</v>
      </c>
      <c r="K937" s="1" t="s">
        <v>658</v>
      </c>
      <c r="L937" s="1" t="s">
        <v>819</v>
      </c>
      <c r="M937" s="1" t="s">
        <v>260</v>
      </c>
      <c r="N937" s="1" t="s">
        <v>357</v>
      </c>
      <c r="O937" s="1" t="s">
        <v>632</v>
      </c>
      <c r="P937" s="1" t="str">
        <f>_xlfn.CONCAT(B937,C937,D937,E937,F937)</f>
        <v>ARAGUATINS 1.3Inverter(MBUS-1)46069,815972222246069,815972222246070,4013888889</v>
      </c>
      <c r="Q937" s="1" t="str">
        <f>_xlfn.CONCAT(H937,I937,J937)</f>
        <v>DAURDE</v>
      </c>
    </row>
    <row r="938" spans="2:17">
      <c r="B938" s="1" t="s">
        <v>311</v>
      </c>
      <c r="C938" s="1" t="s">
        <v>256</v>
      </c>
      <c r="D938" s="52">
        <v>46069.815972222219</v>
      </c>
      <c r="E938" s="52">
        <v>46069.815972222219</v>
      </c>
      <c r="F938" s="52">
        <v>46070.401388888888</v>
      </c>
      <c r="G938" s="53">
        <v>0.5854166666666667</v>
      </c>
      <c r="H938" s="1" t="s">
        <v>257</v>
      </c>
      <c r="J938" s="1" t="s">
        <v>258</v>
      </c>
      <c r="K938" s="1" t="s">
        <v>658</v>
      </c>
      <c r="L938" s="1" t="s">
        <v>819</v>
      </c>
      <c r="M938" s="1" t="s">
        <v>260</v>
      </c>
      <c r="N938" s="1" t="s">
        <v>357</v>
      </c>
      <c r="O938" s="1" t="s">
        <v>632</v>
      </c>
      <c r="P938" s="1" t="str">
        <f>_xlfn.CONCAT(B938,C938,D938,E938,F938)</f>
        <v>ARAGUATINS 2.1Inverter(MBUS-12)46069,815972222246069,815972222246070,4013888889</v>
      </c>
      <c r="Q938" s="1" t="str">
        <f>_xlfn.CONCAT(H938,I938,J938)</f>
        <v>DAURDE</v>
      </c>
    </row>
    <row r="939" spans="2:17">
      <c r="B939" s="1" t="s">
        <v>311</v>
      </c>
      <c r="C939" s="1" t="s">
        <v>307</v>
      </c>
      <c r="D939" s="52">
        <v>46069.815972222219</v>
      </c>
      <c r="E939" s="52">
        <v>46069.815972222219</v>
      </c>
      <c r="F939" s="52">
        <v>46070.401388888888</v>
      </c>
      <c r="G939" s="53">
        <v>0.5854166666666667</v>
      </c>
      <c r="H939" s="1" t="s">
        <v>257</v>
      </c>
      <c r="J939" s="1" t="s">
        <v>258</v>
      </c>
      <c r="K939" s="1" t="s">
        <v>658</v>
      </c>
      <c r="L939" s="1" t="s">
        <v>819</v>
      </c>
      <c r="M939" s="1" t="s">
        <v>260</v>
      </c>
      <c r="N939" s="1" t="s">
        <v>357</v>
      </c>
      <c r="O939" s="1" t="s">
        <v>632</v>
      </c>
      <c r="P939" s="1" t="str">
        <f>_xlfn.CONCAT(B939,C939,D939,E939,F939)</f>
        <v>ARAGUATINS 2.1Inverter(MBUS-15)46069,815972222246069,815972222246070,4013888889</v>
      </c>
      <c r="Q939" s="1" t="str">
        <f>_xlfn.CONCAT(H939,I939,J939)</f>
        <v>DAURDE</v>
      </c>
    </row>
    <row r="940" spans="2:17">
      <c r="B940" s="1" t="s">
        <v>311</v>
      </c>
      <c r="C940" s="1" t="s">
        <v>263</v>
      </c>
      <c r="D940" s="52">
        <v>46069.815972222219</v>
      </c>
      <c r="E940" s="52">
        <v>46069.815972222219</v>
      </c>
      <c r="F940" s="52">
        <v>46070.401388888888</v>
      </c>
      <c r="G940" s="53">
        <v>0.5854166666666667</v>
      </c>
      <c r="H940" s="1" t="s">
        <v>257</v>
      </c>
      <c r="J940" s="1" t="s">
        <v>258</v>
      </c>
      <c r="K940" s="1" t="s">
        <v>658</v>
      </c>
      <c r="L940" s="1" t="s">
        <v>819</v>
      </c>
      <c r="M940" s="1" t="s">
        <v>260</v>
      </c>
      <c r="N940" s="1" t="s">
        <v>357</v>
      </c>
      <c r="O940" s="1" t="s">
        <v>632</v>
      </c>
      <c r="P940" s="1" t="str">
        <f>_xlfn.CONCAT(B940,C940,D940,E940,F940)</f>
        <v>ARAGUATINS 2.1Inverter(MBUS-14)46069,815972222246069,815972222246070,4013888889</v>
      </c>
      <c r="Q940" s="1" t="str">
        <f>_xlfn.CONCAT(H940,I940,J940)</f>
        <v>DAURDE</v>
      </c>
    </row>
    <row r="941" spans="2:17">
      <c r="B941" s="1" t="s">
        <v>311</v>
      </c>
      <c r="C941" s="1" t="s">
        <v>247</v>
      </c>
      <c r="D941" s="52">
        <v>46069.815972222219</v>
      </c>
      <c r="E941" s="52">
        <v>46069.815972222219</v>
      </c>
      <c r="F941" s="52">
        <v>46070.401388888888</v>
      </c>
      <c r="G941" s="53">
        <v>0.5854166666666667</v>
      </c>
      <c r="H941" s="1" t="s">
        <v>257</v>
      </c>
      <c r="J941" s="1" t="s">
        <v>258</v>
      </c>
      <c r="K941" s="1" t="s">
        <v>658</v>
      </c>
      <c r="L941" s="1" t="s">
        <v>819</v>
      </c>
      <c r="M941" s="1" t="s">
        <v>260</v>
      </c>
      <c r="N941" s="1" t="s">
        <v>357</v>
      </c>
      <c r="O941" s="1" t="s">
        <v>632</v>
      </c>
      <c r="P941" s="1" t="str">
        <f>_xlfn.CONCAT(B941,C941,D941,E941,F941)</f>
        <v>ARAGUATINS 2.1Inverter(MBUS-1)46069,815972222246069,815972222246070,4013888889</v>
      </c>
      <c r="Q941" s="1" t="str">
        <f>_xlfn.CONCAT(H941,I941,J941)</f>
        <v>DAURDE</v>
      </c>
    </row>
    <row r="942" spans="2:17">
      <c r="B942" s="1" t="s">
        <v>312</v>
      </c>
      <c r="C942" s="1" t="s">
        <v>307</v>
      </c>
      <c r="D942" s="52">
        <v>46069.815972222219</v>
      </c>
      <c r="E942" s="52">
        <v>46069.815972222219</v>
      </c>
      <c r="F942" s="52">
        <v>46070.401388888888</v>
      </c>
      <c r="G942" s="53">
        <v>0.5854166666666667</v>
      </c>
      <c r="H942" s="1" t="s">
        <v>257</v>
      </c>
      <c r="J942" s="1" t="s">
        <v>258</v>
      </c>
      <c r="K942" s="1" t="s">
        <v>658</v>
      </c>
      <c r="L942" s="1" t="s">
        <v>819</v>
      </c>
      <c r="M942" s="1" t="s">
        <v>260</v>
      </c>
      <c r="N942" s="1" t="s">
        <v>357</v>
      </c>
      <c r="O942" s="1" t="s">
        <v>632</v>
      </c>
      <c r="P942" s="1" t="str">
        <f>_xlfn.CONCAT(B942,C942,D942,E942,F942)</f>
        <v>ARAGUATINS 2.2Inverter(MBUS-15)46069,815972222246069,815972222246070,4013888889</v>
      </c>
      <c r="Q942" s="1" t="str">
        <f>_xlfn.CONCAT(H942,I942,J942)</f>
        <v>DAURDE</v>
      </c>
    </row>
    <row r="943" spans="2:17">
      <c r="B943" s="1" t="s">
        <v>312</v>
      </c>
      <c r="C943" s="1" t="s">
        <v>264</v>
      </c>
      <c r="D943" s="52">
        <v>46069.815972222219</v>
      </c>
      <c r="E943" s="52">
        <v>46069.815972222219</v>
      </c>
      <c r="F943" s="52">
        <v>46070.401388888888</v>
      </c>
      <c r="G943" s="53">
        <v>0.5854166666666667</v>
      </c>
      <c r="H943" s="1" t="s">
        <v>257</v>
      </c>
      <c r="J943" s="1" t="s">
        <v>258</v>
      </c>
      <c r="K943" s="1" t="s">
        <v>658</v>
      </c>
      <c r="L943" s="1" t="s">
        <v>819</v>
      </c>
      <c r="M943" s="1" t="s">
        <v>260</v>
      </c>
      <c r="N943" s="1" t="s">
        <v>357</v>
      </c>
      <c r="O943" s="1" t="s">
        <v>632</v>
      </c>
      <c r="P943" s="1" t="str">
        <f>_xlfn.CONCAT(B943,C943,D943,E943,F943)</f>
        <v>ARAGUATINS 2.2Inverter(MBUS-13)46069,815972222246069,815972222246070,4013888889</v>
      </c>
      <c r="Q943" s="1" t="str">
        <f>_xlfn.CONCAT(H943,I943,J943)</f>
        <v>DAURDE</v>
      </c>
    </row>
    <row r="944" spans="2:17">
      <c r="B944" s="1" t="s">
        <v>312</v>
      </c>
      <c r="C944" s="1" t="s">
        <v>263</v>
      </c>
      <c r="D944" s="52">
        <v>46069.815972222219</v>
      </c>
      <c r="E944" s="52">
        <v>46069.815972222219</v>
      </c>
      <c r="F944" s="52">
        <v>46070.401388888888</v>
      </c>
      <c r="G944" s="53">
        <v>0.5854166666666667</v>
      </c>
      <c r="H944" s="1" t="s">
        <v>257</v>
      </c>
      <c r="J944" s="1" t="s">
        <v>258</v>
      </c>
      <c r="K944" s="1" t="s">
        <v>658</v>
      </c>
      <c r="L944" s="1" t="s">
        <v>819</v>
      </c>
      <c r="M944" s="1" t="s">
        <v>260</v>
      </c>
      <c r="N944" s="1" t="s">
        <v>357</v>
      </c>
      <c r="O944" s="1" t="s">
        <v>632</v>
      </c>
      <c r="P944" s="1" t="str">
        <f>_xlfn.CONCAT(B944,C944,D944,E944,F944)</f>
        <v>ARAGUATINS 2.2Inverter(MBUS-14)46069,815972222246069,815972222246070,4013888889</v>
      </c>
      <c r="Q944" s="1" t="str">
        <f>_xlfn.CONCAT(H944,I944,J944)</f>
        <v>DAURDE</v>
      </c>
    </row>
    <row r="945" spans="2:17">
      <c r="B945" s="1" t="s">
        <v>312</v>
      </c>
      <c r="C945" s="1" t="s">
        <v>256</v>
      </c>
      <c r="D945" s="52">
        <v>46069.815972222219</v>
      </c>
      <c r="E945" s="52">
        <v>46069.815972222219</v>
      </c>
      <c r="F945" s="52">
        <v>46070.401388888888</v>
      </c>
      <c r="G945" s="53">
        <v>0.5854166666666667</v>
      </c>
      <c r="H945" s="1" t="s">
        <v>257</v>
      </c>
      <c r="J945" s="1" t="s">
        <v>258</v>
      </c>
      <c r="K945" s="1" t="s">
        <v>658</v>
      </c>
      <c r="L945" s="1" t="s">
        <v>819</v>
      </c>
      <c r="M945" s="1" t="s">
        <v>260</v>
      </c>
      <c r="N945" s="1" t="s">
        <v>357</v>
      </c>
      <c r="O945" s="1" t="s">
        <v>632</v>
      </c>
      <c r="P945" s="1" t="str">
        <f>_xlfn.CONCAT(B945,C945,D945,E945,F945)</f>
        <v>ARAGUATINS 2.2Inverter(MBUS-12)46069,815972222246069,815972222246070,4013888889</v>
      </c>
      <c r="Q945" s="1" t="str">
        <f>_xlfn.CONCAT(H945,I945,J945)</f>
        <v>DAURDE</v>
      </c>
    </row>
    <row r="946" spans="2:17">
      <c r="B946" s="1" t="s">
        <v>313</v>
      </c>
      <c r="C946" s="1" t="s">
        <v>256</v>
      </c>
      <c r="D946" s="52">
        <v>46069.815972222219</v>
      </c>
      <c r="E946" s="52">
        <v>46069.815972222219</v>
      </c>
      <c r="F946" s="52">
        <v>46070.401388888888</v>
      </c>
      <c r="G946" s="53">
        <v>0.5854166666666667</v>
      </c>
      <c r="H946" s="1" t="s">
        <v>257</v>
      </c>
      <c r="J946" s="1" t="s">
        <v>258</v>
      </c>
      <c r="K946" s="1" t="s">
        <v>658</v>
      </c>
      <c r="L946" s="1" t="s">
        <v>819</v>
      </c>
      <c r="M946" s="1" t="s">
        <v>260</v>
      </c>
      <c r="N946" s="1" t="s">
        <v>357</v>
      </c>
      <c r="O946" s="1" t="s">
        <v>809</v>
      </c>
      <c r="P946" s="1" t="str">
        <f>_xlfn.CONCAT(B946,C946,D946,E946,F946)</f>
        <v>ARAGUATINS 2.3Inverter(MBUS-12)46069,815972222246069,815972222246070,4013888889</v>
      </c>
      <c r="Q946" s="1" t="str">
        <f>_xlfn.CONCAT(H946,I946,J946)</f>
        <v>DAURDE</v>
      </c>
    </row>
    <row r="947" spans="2:17">
      <c r="B947" s="1" t="s">
        <v>313</v>
      </c>
      <c r="C947" s="1" t="s">
        <v>264</v>
      </c>
      <c r="D947" s="52">
        <v>46069.815972222219</v>
      </c>
      <c r="E947" s="52">
        <v>46069.815972222219</v>
      </c>
      <c r="F947" s="52">
        <v>46070.401388888888</v>
      </c>
      <c r="G947" s="53">
        <v>0.5854166666666667</v>
      </c>
      <c r="H947" s="1" t="s">
        <v>257</v>
      </c>
      <c r="J947" s="1" t="s">
        <v>258</v>
      </c>
      <c r="K947" s="1" t="s">
        <v>658</v>
      </c>
      <c r="L947" s="1" t="s">
        <v>819</v>
      </c>
      <c r="M947" s="1" t="s">
        <v>260</v>
      </c>
      <c r="N947" s="1" t="s">
        <v>357</v>
      </c>
      <c r="O947" s="1" t="s">
        <v>809</v>
      </c>
      <c r="P947" s="1" t="str">
        <f>_xlfn.CONCAT(B947,C947,D947,E947,F947)</f>
        <v>ARAGUATINS 2.3Inverter(MBUS-13)46069,815972222246069,815972222246070,4013888889</v>
      </c>
      <c r="Q947" s="1" t="str">
        <f>_xlfn.CONCAT(H947,I947,J947)</f>
        <v>DAURDE</v>
      </c>
    </row>
    <row r="948" spans="2:17">
      <c r="B948" s="1" t="s">
        <v>349</v>
      </c>
      <c r="C948" s="1" t="s">
        <v>350</v>
      </c>
      <c r="D948" s="52">
        <v>46070.51666666667</v>
      </c>
      <c r="E948" s="52">
        <v>46070.51666666667</v>
      </c>
      <c r="F948" s="52">
        <v>46070.600694444445</v>
      </c>
      <c r="G948" s="53">
        <v>8.4027777777777785E-2</v>
      </c>
      <c r="H948" s="1" t="s">
        <v>257</v>
      </c>
      <c r="J948" s="1" t="s">
        <v>258</v>
      </c>
      <c r="K948" s="1" t="s">
        <v>658</v>
      </c>
      <c r="L948" s="1" t="s">
        <v>820</v>
      </c>
      <c r="M948" s="1" t="s">
        <v>260</v>
      </c>
      <c r="N948" s="1" t="s">
        <v>357</v>
      </c>
      <c r="O948" s="1" t="s">
        <v>809</v>
      </c>
      <c r="P948" s="1" t="str">
        <f>_xlfn.CONCAT(B948,C948,D948,E948,F948)</f>
        <v>BC Vazante1.2Inverter 1646070,516666666746070,516666666746070,6006944444</v>
      </c>
      <c r="Q948" s="1" t="str">
        <f>_xlfn.CONCAT(H948,I948,J948)</f>
        <v>DAURDE</v>
      </c>
    </row>
    <row r="949" spans="2:17">
      <c r="B949" s="1" t="s">
        <v>331</v>
      </c>
      <c r="C949" s="1" t="s">
        <v>332</v>
      </c>
      <c r="D949" s="52">
        <v>46070.690972222219</v>
      </c>
      <c r="E949" s="52">
        <v>46070.690972222219</v>
      </c>
      <c r="F949" s="52">
        <v>46070.708333333336</v>
      </c>
      <c r="G949" s="53">
        <v>1.7361111111111112E-2</v>
      </c>
      <c r="H949" s="1" t="s">
        <v>268</v>
      </c>
      <c r="I949" s="1" t="s">
        <v>269</v>
      </c>
      <c r="J949" s="1" t="s">
        <v>319</v>
      </c>
      <c r="K949" s="1" t="s">
        <v>652</v>
      </c>
      <c r="L949" s="1" t="s">
        <v>821</v>
      </c>
      <c r="M949" s="1" t="s">
        <v>260</v>
      </c>
      <c r="N949" s="1" t="s">
        <v>357</v>
      </c>
      <c r="O949" s="1" t="s">
        <v>809</v>
      </c>
      <c r="P949" s="1" t="str">
        <f>_xlfn.CONCAT(B949,C949,D949,E949,F949)</f>
        <v>BC Varjao2.1215KTL-H0(MBUS-12)46070,690972222246070,690972222246070,7083333333</v>
      </c>
      <c r="Q949" s="1" t="str">
        <f>_xlfn.CONCAT(H949,I949,J949)</f>
        <v>LIGRFOCOM</v>
      </c>
    </row>
    <row r="950" spans="2:17">
      <c r="B950" s="1" t="s">
        <v>331</v>
      </c>
      <c r="C950" s="1" t="s">
        <v>335</v>
      </c>
      <c r="D950" s="52">
        <v>46070.690972222219</v>
      </c>
      <c r="E950" s="52">
        <v>46070.690972222219</v>
      </c>
      <c r="F950" s="52">
        <v>46070.708333333336</v>
      </c>
      <c r="G950" s="53">
        <v>1.7361111111111112E-2</v>
      </c>
      <c r="H950" s="1" t="s">
        <v>268</v>
      </c>
      <c r="I950" s="1" t="s">
        <v>269</v>
      </c>
      <c r="J950" s="1" t="s">
        <v>319</v>
      </c>
      <c r="K950" s="1" t="s">
        <v>652</v>
      </c>
      <c r="L950" s="1" t="s">
        <v>821</v>
      </c>
      <c r="M950" s="1" t="s">
        <v>260</v>
      </c>
      <c r="N950" s="1" t="s">
        <v>357</v>
      </c>
      <c r="O950" s="1" t="s">
        <v>809</v>
      </c>
      <c r="P950" s="1" t="str">
        <f>_xlfn.CONCAT(B950,C950,D950,E950,F950)</f>
        <v>BC Varjao2.1215KTL-H0(MBUS-13)46070,690972222246070,690972222246070,7083333333</v>
      </c>
      <c r="Q950" s="1" t="str">
        <f>_xlfn.CONCAT(H950,I950,J950)</f>
        <v>LIGRFOCOM</v>
      </c>
    </row>
    <row r="951" spans="2:17">
      <c r="B951" s="1" t="s">
        <v>331</v>
      </c>
      <c r="C951" s="1" t="s">
        <v>336</v>
      </c>
      <c r="D951" s="52">
        <v>46070.690972222219</v>
      </c>
      <c r="E951" s="52">
        <v>46070.690972222219</v>
      </c>
      <c r="F951" s="52">
        <v>46070.708333333336</v>
      </c>
      <c r="G951" s="53">
        <v>1.7361111111111112E-2</v>
      </c>
      <c r="H951" s="1" t="s">
        <v>268</v>
      </c>
      <c r="I951" s="1" t="s">
        <v>269</v>
      </c>
      <c r="J951" s="1" t="s">
        <v>319</v>
      </c>
      <c r="K951" s="1" t="s">
        <v>652</v>
      </c>
      <c r="L951" s="1" t="s">
        <v>821</v>
      </c>
      <c r="M951" s="1" t="s">
        <v>260</v>
      </c>
      <c r="N951" s="1" t="s">
        <v>357</v>
      </c>
      <c r="O951" s="1" t="s">
        <v>809</v>
      </c>
      <c r="P951" s="1" t="str">
        <f>_xlfn.CONCAT(B951,C951,D951,E951,F951)</f>
        <v>BC Varjao2.1215KTL-H0(MBUS-14)46070,690972222246070,690972222246070,7083333333</v>
      </c>
      <c r="Q951" s="1" t="str">
        <f>_xlfn.CONCAT(H951,I951,J951)</f>
        <v>LIGRFOCOM</v>
      </c>
    </row>
    <row r="952" spans="2:17">
      <c r="B952" s="1" t="s">
        <v>331</v>
      </c>
      <c r="C952" s="1" t="s">
        <v>337</v>
      </c>
      <c r="D952" s="52">
        <v>46070.690972222219</v>
      </c>
      <c r="E952" s="52">
        <v>46070.690972222219</v>
      </c>
      <c r="F952" s="52">
        <v>46070.708333333336</v>
      </c>
      <c r="G952" s="53">
        <v>1.7361111111111112E-2</v>
      </c>
      <c r="H952" s="1" t="s">
        <v>268</v>
      </c>
      <c r="I952" s="1" t="s">
        <v>269</v>
      </c>
      <c r="J952" s="1" t="s">
        <v>319</v>
      </c>
      <c r="K952" s="1" t="s">
        <v>652</v>
      </c>
      <c r="L952" s="1" t="s">
        <v>821</v>
      </c>
      <c r="M952" s="1" t="s">
        <v>260</v>
      </c>
      <c r="N952" s="1" t="s">
        <v>357</v>
      </c>
      <c r="O952" s="1" t="s">
        <v>809</v>
      </c>
      <c r="P952" s="1" t="str">
        <f>_xlfn.CONCAT(B952,C952,D952,E952,F952)</f>
        <v>BC Varjao2.1215KTL-H0(MBUS-15)46070,690972222246070,690972222246070,7083333333</v>
      </c>
      <c r="Q952" s="1" t="str">
        <f>_xlfn.CONCAT(H952,I952,J952)</f>
        <v>LIGRFOCOM</v>
      </c>
    </row>
    <row r="953" spans="2:17">
      <c r="B953" s="1" t="s">
        <v>331</v>
      </c>
      <c r="C953" s="1" t="s">
        <v>338</v>
      </c>
      <c r="D953" s="52">
        <v>46070.690972222219</v>
      </c>
      <c r="E953" s="52">
        <v>46070.690972222219</v>
      </c>
      <c r="F953" s="52">
        <v>46070.708333333336</v>
      </c>
      <c r="G953" s="53">
        <v>1.7361111111111112E-2</v>
      </c>
      <c r="H953" s="1" t="s">
        <v>268</v>
      </c>
      <c r="I953" s="1" t="s">
        <v>269</v>
      </c>
      <c r="J953" s="1" t="s">
        <v>319</v>
      </c>
      <c r="K953" s="1" t="s">
        <v>652</v>
      </c>
      <c r="L953" s="1" t="s">
        <v>821</v>
      </c>
      <c r="M953" s="1" t="s">
        <v>260</v>
      </c>
      <c r="N953" s="1" t="s">
        <v>357</v>
      </c>
      <c r="O953" s="1" t="s">
        <v>809</v>
      </c>
      <c r="P953" s="1" t="str">
        <f>_xlfn.CONCAT(B953,C953,D953,E953,F953)</f>
        <v>BC Varjao2.1215KTL-H0(MBUS-16)46070,690972222246070,690972222246070,7083333333</v>
      </c>
      <c r="Q953" s="1" t="str">
        <f>_xlfn.CONCAT(H953,I953,J953)</f>
        <v>LIGRFOCOM</v>
      </c>
    </row>
    <row r="954" spans="2:17">
      <c r="B954" s="1" t="s">
        <v>339</v>
      </c>
      <c r="C954" s="1" t="s">
        <v>335</v>
      </c>
      <c r="D954" s="52">
        <v>46070.690972222219</v>
      </c>
      <c r="E954" s="52">
        <v>46070.690972222219</v>
      </c>
      <c r="F954" s="52">
        <v>46070.708333333336</v>
      </c>
      <c r="G954" s="53">
        <v>1.7361111111111112E-2</v>
      </c>
      <c r="H954" s="1" t="s">
        <v>268</v>
      </c>
      <c r="I954" s="1" t="s">
        <v>269</v>
      </c>
      <c r="J954" s="1" t="s">
        <v>319</v>
      </c>
      <c r="K954" s="1" t="s">
        <v>652</v>
      </c>
      <c r="L954" s="1" t="s">
        <v>821</v>
      </c>
      <c r="M954" s="1" t="s">
        <v>260</v>
      </c>
      <c r="N954" s="1" t="s">
        <v>357</v>
      </c>
      <c r="O954" s="1" t="s">
        <v>809</v>
      </c>
      <c r="P954" s="1" t="str">
        <f>_xlfn.CONCAT(B954,C954,D954,E954,F954)</f>
        <v>BC Varjao2.2215KTL-H0(MBUS-13)46070,690972222246070,690972222246070,7083333333</v>
      </c>
      <c r="Q954" s="1" t="str">
        <f>_xlfn.CONCAT(H954,I954,J954)</f>
        <v>LIGRFOCOM</v>
      </c>
    </row>
    <row r="955" spans="2:17">
      <c r="B955" s="1" t="s">
        <v>339</v>
      </c>
      <c r="C955" s="1" t="s">
        <v>336</v>
      </c>
      <c r="D955" s="52">
        <v>46070.690972222219</v>
      </c>
      <c r="E955" s="52">
        <v>46070.690972222219</v>
      </c>
      <c r="F955" s="52">
        <v>46070.708333333336</v>
      </c>
      <c r="G955" s="53">
        <v>1.7361111111111112E-2</v>
      </c>
      <c r="H955" s="1" t="s">
        <v>268</v>
      </c>
      <c r="I955" s="1" t="s">
        <v>269</v>
      </c>
      <c r="J955" s="1" t="s">
        <v>319</v>
      </c>
      <c r="K955" s="1" t="s">
        <v>652</v>
      </c>
      <c r="L955" s="1" t="s">
        <v>821</v>
      </c>
      <c r="M955" s="1" t="s">
        <v>260</v>
      </c>
      <c r="N955" s="1" t="s">
        <v>357</v>
      </c>
      <c r="O955" s="1" t="s">
        <v>809</v>
      </c>
      <c r="P955" s="1" t="str">
        <f>_xlfn.CONCAT(B955,C955,D955,E955,F955)</f>
        <v>BC Varjao2.2215KTL-H0(MBUS-14)46070,690972222246070,690972222246070,7083333333</v>
      </c>
      <c r="Q955" s="1" t="str">
        <f>_xlfn.CONCAT(H955,I955,J955)</f>
        <v>LIGRFOCOM</v>
      </c>
    </row>
    <row r="956" spans="2:17">
      <c r="B956" s="1" t="s">
        <v>339</v>
      </c>
      <c r="C956" s="1" t="s">
        <v>337</v>
      </c>
      <c r="D956" s="52">
        <v>46070.690972222219</v>
      </c>
      <c r="E956" s="52">
        <v>46070.690972222219</v>
      </c>
      <c r="F956" s="52">
        <v>46070.708333333336</v>
      </c>
      <c r="G956" s="53">
        <v>1.7361111111111112E-2</v>
      </c>
      <c r="H956" s="1" t="s">
        <v>268</v>
      </c>
      <c r="I956" s="1" t="s">
        <v>269</v>
      </c>
      <c r="J956" s="1" t="s">
        <v>319</v>
      </c>
      <c r="K956" s="1" t="s">
        <v>652</v>
      </c>
      <c r="L956" s="1" t="s">
        <v>821</v>
      </c>
      <c r="M956" s="1" t="s">
        <v>260</v>
      </c>
      <c r="N956" s="1" t="s">
        <v>357</v>
      </c>
      <c r="O956" s="1" t="s">
        <v>809</v>
      </c>
      <c r="P956" s="1" t="str">
        <f>_xlfn.CONCAT(B956,C956,D956,E956,F956)</f>
        <v>BC Varjao2.2215KTL-H0(MBUS-15)46070,690972222246070,690972222246070,7083333333</v>
      </c>
      <c r="Q956" s="1" t="str">
        <f>_xlfn.CONCAT(H956,I956,J956)</f>
        <v>LIGRFOCOM</v>
      </c>
    </row>
    <row r="957" spans="2:17">
      <c r="B957" s="1" t="s">
        <v>339</v>
      </c>
      <c r="C957" s="1" t="s">
        <v>338</v>
      </c>
      <c r="D957" s="52">
        <v>46070.690972222219</v>
      </c>
      <c r="E957" s="52">
        <v>46070.690972222219</v>
      </c>
      <c r="F957" s="52">
        <v>46070.708333333336</v>
      </c>
      <c r="G957" s="53">
        <v>1.7361111111111112E-2</v>
      </c>
      <c r="H957" s="1" t="s">
        <v>268</v>
      </c>
      <c r="I957" s="1" t="s">
        <v>269</v>
      </c>
      <c r="J957" s="1" t="s">
        <v>319</v>
      </c>
      <c r="K957" s="1" t="s">
        <v>652</v>
      </c>
      <c r="L957" s="1" t="s">
        <v>821</v>
      </c>
      <c r="M957" s="1" t="s">
        <v>260</v>
      </c>
      <c r="N957" s="1" t="s">
        <v>357</v>
      </c>
      <c r="O957" s="1" t="s">
        <v>809</v>
      </c>
      <c r="P957" s="1" t="str">
        <f>_xlfn.CONCAT(B957,C957,D957,E957,F957)</f>
        <v>BC Varjao2.2215KTL-H0(MBUS-16)46070,690972222246070,690972222246070,7083333333</v>
      </c>
      <c r="Q957" s="1" t="str">
        <f>_xlfn.CONCAT(H957,I957,J957)</f>
        <v>LIGRFOCOM</v>
      </c>
    </row>
    <row r="958" spans="2:17">
      <c r="B958" s="1" t="s">
        <v>339</v>
      </c>
      <c r="C958" s="1" t="s">
        <v>332</v>
      </c>
      <c r="D958" s="52">
        <v>46070.690972222219</v>
      </c>
      <c r="E958" s="52">
        <v>46070.690972222219</v>
      </c>
      <c r="F958" s="52">
        <v>46070.708333333336</v>
      </c>
      <c r="G958" s="53">
        <v>1.7361111111111112E-2</v>
      </c>
      <c r="H958" s="1" t="s">
        <v>268</v>
      </c>
      <c r="I958" s="1" t="s">
        <v>269</v>
      </c>
      <c r="J958" s="1" t="s">
        <v>319</v>
      </c>
      <c r="K958" s="1" t="s">
        <v>652</v>
      </c>
      <c r="L958" s="1" t="s">
        <v>821</v>
      </c>
      <c r="M958" s="1" t="s">
        <v>260</v>
      </c>
      <c r="N958" s="1" t="s">
        <v>357</v>
      </c>
      <c r="O958" s="1" t="s">
        <v>809</v>
      </c>
      <c r="P958" s="1" t="str">
        <f>_xlfn.CONCAT(B958,C958,D958,E958,F958)</f>
        <v>BC Varjao2.2215KTL-H0(MBUS-12)46070,690972222246070,690972222246070,7083333333</v>
      </c>
      <c r="Q958" s="1" t="str">
        <f>_xlfn.CONCAT(H958,I958,J958)</f>
        <v>LIGRFOCOM</v>
      </c>
    </row>
    <row r="959" spans="2:17">
      <c r="B959" s="1" t="s">
        <v>340</v>
      </c>
      <c r="C959" s="1" t="s">
        <v>341</v>
      </c>
      <c r="D959" s="52">
        <v>46070.690972222219</v>
      </c>
      <c r="E959" s="52">
        <v>46070.690972222219</v>
      </c>
      <c r="F959" s="52">
        <v>46070.708333333336</v>
      </c>
      <c r="G959" s="53">
        <v>1.7361111111111112E-2</v>
      </c>
      <c r="H959" s="1" t="s">
        <v>268</v>
      </c>
      <c r="I959" s="1" t="s">
        <v>269</v>
      </c>
      <c r="J959" s="1" t="s">
        <v>319</v>
      </c>
      <c r="K959" s="1" t="s">
        <v>652</v>
      </c>
      <c r="L959" s="1" t="s">
        <v>821</v>
      </c>
      <c r="M959" s="1" t="s">
        <v>260</v>
      </c>
      <c r="N959" s="1" t="s">
        <v>357</v>
      </c>
      <c r="O959" s="1" t="s">
        <v>809</v>
      </c>
      <c r="P959" s="1" t="str">
        <f>_xlfn.CONCAT(B959,C959,D959,E959,F959)</f>
        <v>BC Varjao2.3100KTL-H1(MBUS-1)46070,690972222246070,690972222246070,7083333333</v>
      </c>
      <c r="Q959" s="1" t="str">
        <f>_xlfn.CONCAT(H959,I959,J959)</f>
        <v>LIGRFOCOM</v>
      </c>
    </row>
    <row r="960" spans="2:17">
      <c r="B960" s="66" t="s">
        <v>340</v>
      </c>
      <c r="C960" s="66" t="s">
        <v>335</v>
      </c>
      <c r="D960" s="73">
        <v>46070.690972222219</v>
      </c>
      <c r="E960" s="73">
        <v>46070.690972222219</v>
      </c>
      <c r="F960" s="73">
        <v>46070.708333333336</v>
      </c>
      <c r="G960" s="74">
        <v>1.7361111111111112E-2</v>
      </c>
      <c r="H960" s="66" t="s">
        <v>268</v>
      </c>
      <c r="I960" s="66" t="s">
        <v>269</v>
      </c>
      <c r="J960" s="66" t="s">
        <v>319</v>
      </c>
      <c r="K960" s="66" t="s">
        <v>652</v>
      </c>
      <c r="L960" s="66" t="s">
        <v>821</v>
      </c>
      <c r="M960" s="66" t="s">
        <v>363</v>
      </c>
      <c r="N960" s="66" t="s">
        <v>364</v>
      </c>
      <c r="O960" s="66" t="s">
        <v>822</v>
      </c>
      <c r="P960" s="66"/>
      <c r="Q960" s="66"/>
    </row>
    <row r="961" spans="2:17">
      <c r="B961" s="66" t="s">
        <v>340</v>
      </c>
      <c r="C961" s="66" t="s">
        <v>332</v>
      </c>
      <c r="D961" s="73">
        <v>46070.690972222219</v>
      </c>
      <c r="E961" s="73">
        <v>46070.690972222219</v>
      </c>
      <c r="F961" s="73">
        <v>46070.708333333336</v>
      </c>
      <c r="G961" s="74">
        <v>1.7361111111111112E-2</v>
      </c>
      <c r="H961" s="66" t="s">
        <v>268</v>
      </c>
      <c r="I961" s="66" t="s">
        <v>269</v>
      </c>
      <c r="J961" s="66" t="s">
        <v>319</v>
      </c>
      <c r="K961" s="66" t="s">
        <v>652</v>
      </c>
      <c r="L961" s="66" t="s">
        <v>821</v>
      </c>
      <c r="M961" s="66" t="s">
        <v>363</v>
      </c>
      <c r="N961" s="66" t="s">
        <v>364</v>
      </c>
      <c r="O961" s="66" t="s">
        <v>822</v>
      </c>
      <c r="P961" s="66"/>
      <c r="Q961" s="66"/>
    </row>
    <row r="962" spans="2:17">
      <c r="B962" s="66" t="s">
        <v>729</v>
      </c>
      <c r="C962" s="66" t="s">
        <v>730</v>
      </c>
      <c r="D962" s="73">
        <v>46070.945138888892</v>
      </c>
      <c r="E962" s="73">
        <v>46070.945138888892</v>
      </c>
      <c r="F962" s="73">
        <v>46071.326388888891</v>
      </c>
      <c r="G962" s="74">
        <v>0.38124999999999998</v>
      </c>
      <c r="H962" s="66" t="s">
        <v>268</v>
      </c>
      <c r="I962" s="66" t="s">
        <v>269</v>
      </c>
      <c r="J962" s="66" t="s">
        <v>319</v>
      </c>
      <c r="K962" s="66" t="s">
        <v>652</v>
      </c>
      <c r="L962" s="66" t="s">
        <v>823</v>
      </c>
      <c r="M962" s="66" t="s">
        <v>252</v>
      </c>
      <c r="N962" s="66" t="s">
        <v>661</v>
      </c>
      <c r="O962" s="66" t="s">
        <v>824</v>
      </c>
      <c r="P962" s="66"/>
      <c r="Q962" s="1" t="str">
        <f>_xlfn.CONCAT(H962,I962,J962)</f>
        <v>LIGRFOCOM</v>
      </c>
    </row>
    <row r="963" spans="2:17">
      <c r="B963" s="1" t="s">
        <v>729</v>
      </c>
      <c r="C963" s="1" t="s">
        <v>732</v>
      </c>
      <c r="D963" s="52">
        <v>46070.945138888892</v>
      </c>
      <c r="E963" s="52">
        <v>46070.945138888892</v>
      </c>
      <c r="F963" s="52">
        <v>46071.326388888891</v>
      </c>
      <c r="G963" s="53">
        <v>0.38124999999999998</v>
      </c>
      <c r="H963" s="1" t="s">
        <v>268</v>
      </c>
      <c r="I963" s="1" t="s">
        <v>269</v>
      </c>
      <c r="J963" s="1" t="s">
        <v>319</v>
      </c>
      <c r="K963" s="1" t="s">
        <v>652</v>
      </c>
      <c r="L963" s="1" t="s">
        <v>823</v>
      </c>
      <c r="M963" s="1" t="s">
        <v>252</v>
      </c>
      <c r="N963" s="1" t="s">
        <v>253</v>
      </c>
      <c r="O963" s="1" t="s">
        <v>825</v>
      </c>
      <c r="P963" s="1" t="str">
        <f>_xlfn.CONCAT(B963,C963,D963,E963,F963)</f>
        <v>BC Varjao1.1UFV 1 - INV 546070,945138888946070,945138888946071,3263888889</v>
      </c>
      <c r="Q963" s="1" t="str">
        <f>_xlfn.CONCAT(H963,I963,J963)</f>
        <v>LIGRFOCOM</v>
      </c>
    </row>
    <row r="964" spans="2:17">
      <c r="B964" s="1" t="s">
        <v>729</v>
      </c>
      <c r="C964" s="1" t="s">
        <v>733</v>
      </c>
      <c r="D964" s="52">
        <v>46070.945138888892</v>
      </c>
      <c r="E964" s="52">
        <v>46070.945138888892</v>
      </c>
      <c r="F964" s="52">
        <v>46071.326388888891</v>
      </c>
      <c r="G964" s="53">
        <v>0.38124999999999998</v>
      </c>
      <c r="H964" s="1" t="s">
        <v>268</v>
      </c>
      <c r="I964" s="1" t="s">
        <v>269</v>
      </c>
      <c r="J964" s="1" t="s">
        <v>319</v>
      </c>
      <c r="K964" s="1" t="s">
        <v>652</v>
      </c>
      <c r="L964" s="1" t="s">
        <v>823</v>
      </c>
      <c r="M964" s="1" t="s">
        <v>260</v>
      </c>
      <c r="N964" s="1" t="s">
        <v>261</v>
      </c>
      <c r="O964" s="1" t="s">
        <v>826</v>
      </c>
      <c r="P964" s="1" t="str">
        <f>_xlfn.CONCAT(B964,C964,D964,E964,F964)</f>
        <v>BC Varjao1.1UFV 1 - INV 446070,945138888946070,945138888946071,3263888889</v>
      </c>
      <c r="Q964" s="1" t="str">
        <f>_xlfn.CONCAT(H964,I964,J964)</f>
        <v>LIGRFOCOM</v>
      </c>
    </row>
    <row r="965" spans="2:17">
      <c r="B965" s="1" t="s">
        <v>729</v>
      </c>
      <c r="C965" s="1" t="s">
        <v>734</v>
      </c>
      <c r="D965" s="52">
        <v>46070.945138888892</v>
      </c>
      <c r="E965" s="52">
        <v>46070.945138888892</v>
      </c>
      <c r="F965" s="52">
        <v>46071.326388888891</v>
      </c>
      <c r="G965" s="53">
        <v>0.38124999999999998</v>
      </c>
      <c r="H965" s="1" t="s">
        <v>268</v>
      </c>
      <c r="I965" s="1" t="s">
        <v>269</v>
      </c>
      <c r="J965" s="1" t="s">
        <v>319</v>
      </c>
      <c r="K965" s="1" t="s">
        <v>652</v>
      </c>
      <c r="L965" s="1" t="s">
        <v>823</v>
      </c>
      <c r="M965" s="1" t="s">
        <v>260</v>
      </c>
      <c r="N965" s="1" t="s">
        <v>261</v>
      </c>
      <c r="O965" s="1" t="s">
        <v>826</v>
      </c>
      <c r="P965" s="1" t="str">
        <f>_xlfn.CONCAT(B965,C965,D965,E965,F965)</f>
        <v>BC Varjao1.1UFV 1 - INV 346070,945138888946070,945138888946071,3263888889</v>
      </c>
      <c r="Q965" s="1" t="str">
        <f>_xlfn.CONCAT(H965,I965,J965)</f>
        <v>LIGRFOCOM</v>
      </c>
    </row>
    <row r="966" spans="2:17">
      <c r="B966" s="1" t="s">
        <v>729</v>
      </c>
      <c r="C966" s="1" t="s">
        <v>735</v>
      </c>
      <c r="D966" s="52">
        <v>46070.945138888892</v>
      </c>
      <c r="E966" s="52">
        <v>46070.945138888892</v>
      </c>
      <c r="F966" s="52">
        <v>46071.326388888891</v>
      </c>
      <c r="G966" s="53">
        <v>0.38124999999999998</v>
      </c>
      <c r="H966" s="1" t="s">
        <v>268</v>
      </c>
      <c r="I966" s="1" t="s">
        <v>269</v>
      </c>
      <c r="J966" s="1" t="s">
        <v>319</v>
      </c>
      <c r="K966" s="1" t="s">
        <v>652</v>
      </c>
      <c r="L966" s="1" t="s">
        <v>823</v>
      </c>
      <c r="M966" s="1" t="s">
        <v>260</v>
      </c>
      <c r="N966" s="1" t="s">
        <v>261</v>
      </c>
      <c r="O966" s="1" t="s">
        <v>826</v>
      </c>
      <c r="P966" s="1" t="str">
        <f>_xlfn.CONCAT(B966,C966,D966,E966,F966)</f>
        <v>BC Varjao1.1UFV 1 - INV 246070,945138888946070,945138888946071,3263888889</v>
      </c>
      <c r="Q966" s="1" t="str">
        <f>_xlfn.CONCAT(H966,I966,J966)</f>
        <v>LIGRFOCOM</v>
      </c>
    </row>
    <row r="967" spans="2:17">
      <c r="B967" s="1" t="s">
        <v>736</v>
      </c>
      <c r="C967" s="1" t="s">
        <v>332</v>
      </c>
      <c r="D967" s="52">
        <v>46070.945138888892</v>
      </c>
      <c r="E967" s="52">
        <v>46070.945138888892</v>
      </c>
      <c r="F967" s="52">
        <v>46071.326388888891</v>
      </c>
      <c r="G967" s="53">
        <v>0.38124999999999998</v>
      </c>
      <c r="H967" s="1" t="s">
        <v>268</v>
      </c>
      <c r="I967" s="1" t="s">
        <v>269</v>
      </c>
      <c r="J967" s="1" t="s">
        <v>319</v>
      </c>
      <c r="K967" s="1" t="s">
        <v>652</v>
      </c>
      <c r="L967" s="1" t="s">
        <v>823</v>
      </c>
      <c r="M967" s="1" t="s">
        <v>260</v>
      </c>
      <c r="N967" s="1" t="s">
        <v>261</v>
      </c>
      <c r="O967" s="1" t="s">
        <v>826</v>
      </c>
      <c r="P967" s="1" t="str">
        <f>_xlfn.CONCAT(B967,C967,D967,E967,F967)</f>
        <v>BC Varjao1.2215KTL-H0(MBUS-12)46070,945138888946070,945138888946071,3263888889</v>
      </c>
      <c r="Q967" s="1" t="str">
        <f>_xlfn.CONCAT(H967,I967,J967)</f>
        <v>LIGRFOCOM</v>
      </c>
    </row>
    <row r="968" spans="2:17">
      <c r="B968" s="1" t="s">
        <v>736</v>
      </c>
      <c r="C968" s="1" t="s">
        <v>335</v>
      </c>
      <c r="D968" s="52">
        <v>46070.945138888892</v>
      </c>
      <c r="E968" s="52">
        <v>46070.945138888892</v>
      </c>
      <c r="F968" s="52">
        <v>46071.326388888891</v>
      </c>
      <c r="G968" s="53">
        <v>0.38124999999999998</v>
      </c>
      <c r="H968" s="1" t="s">
        <v>268</v>
      </c>
      <c r="I968" s="1" t="s">
        <v>269</v>
      </c>
      <c r="J968" s="1" t="s">
        <v>319</v>
      </c>
      <c r="K968" s="1" t="s">
        <v>652</v>
      </c>
      <c r="L968" s="1" t="s">
        <v>823</v>
      </c>
      <c r="M968" s="1" t="s">
        <v>260</v>
      </c>
      <c r="N968" s="1" t="s">
        <v>261</v>
      </c>
      <c r="O968" s="1" t="s">
        <v>826</v>
      </c>
      <c r="P968" s="1" t="str">
        <f>_xlfn.CONCAT(B968,C968,D968,E968,F968)</f>
        <v>BC Varjao1.2215KTL-H0(MBUS-13)46070,945138888946070,945138888946071,3263888889</v>
      </c>
      <c r="Q968" s="1" t="str">
        <f>_xlfn.CONCAT(H968,I968,J968)</f>
        <v>LIGRFOCOM</v>
      </c>
    </row>
    <row r="969" spans="2:17">
      <c r="B969" s="1" t="s">
        <v>736</v>
      </c>
      <c r="C969" s="1" t="s">
        <v>336</v>
      </c>
      <c r="D969" s="52">
        <v>46070.945138888892</v>
      </c>
      <c r="E969" s="52">
        <v>46070.945138888892</v>
      </c>
      <c r="F969" s="52">
        <v>46071.326388888891</v>
      </c>
      <c r="G969" s="53">
        <v>0.38124999999999998</v>
      </c>
      <c r="H969" s="1" t="s">
        <v>268</v>
      </c>
      <c r="I969" s="1" t="s">
        <v>269</v>
      </c>
      <c r="J969" s="1" t="s">
        <v>319</v>
      </c>
      <c r="K969" s="1" t="s">
        <v>652</v>
      </c>
      <c r="L969" s="1" t="s">
        <v>823</v>
      </c>
      <c r="M969" s="1" t="s">
        <v>289</v>
      </c>
      <c r="N969" s="1" t="s">
        <v>253</v>
      </c>
      <c r="O969" s="1" t="s">
        <v>827</v>
      </c>
      <c r="P969" s="1" t="str">
        <f>_xlfn.CONCAT(B969,C969,D969,E969,F969)</f>
        <v>BC Varjao1.2215KTL-H0(MBUS-14)46070,945138888946070,945138888946071,3263888889</v>
      </c>
      <c r="Q969" s="1" t="str">
        <f>_xlfn.CONCAT(H969,I969,J969)</f>
        <v>LIGRFOCOM</v>
      </c>
    </row>
    <row r="970" spans="2:17">
      <c r="B970" s="1" t="s">
        <v>736</v>
      </c>
      <c r="C970" s="1" t="s">
        <v>337</v>
      </c>
      <c r="D970" s="52">
        <v>46070.945138888892</v>
      </c>
      <c r="E970" s="52">
        <v>46070.945138888892</v>
      </c>
      <c r="F970" s="52">
        <v>46071.326388888891</v>
      </c>
      <c r="G970" s="53">
        <v>0.38124999999999998</v>
      </c>
      <c r="H970" s="1" t="s">
        <v>268</v>
      </c>
      <c r="I970" s="1" t="s">
        <v>269</v>
      </c>
      <c r="J970" s="1" t="s">
        <v>319</v>
      </c>
      <c r="K970" s="1" t="s">
        <v>652</v>
      </c>
      <c r="L970" s="1" t="s">
        <v>823</v>
      </c>
      <c r="M970" s="1" t="s">
        <v>289</v>
      </c>
      <c r="N970" s="1" t="s">
        <v>253</v>
      </c>
      <c r="O970" s="1" t="s">
        <v>827</v>
      </c>
      <c r="P970" s="1" t="str">
        <f>_xlfn.CONCAT(B970,C970,D970,E970,F970)</f>
        <v>BC Varjao1.2215KTL-H0(MBUS-15)46070,945138888946070,945138888946071,3263888889</v>
      </c>
      <c r="Q970" s="1" t="str">
        <f>_xlfn.CONCAT(H970,I970,J970)</f>
        <v>LIGRFOCOM</v>
      </c>
    </row>
    <row r="971" spans="2:17">
      <c r="B971" s="1" t="s">
        <v>736</v>
      </c>
      <c r="C971" s="1" t="s">
        <v>338</v>
      </c>
      <c r="D971" s="52">
        <v>46070.945138888892</v>
      </c>
      <c r="E971" s="52">
        <v>46070.945138888892</v>
      </c>
      <c r="F971" s="52">
        <v>46071.326388888891</v>
      </c>
      <c r="G971" s="53">
        <v>0.38124999999999998</v>
      </c>
      <c r="H971" s="1" t="s">
        <v>268</v>
      </c>
      <c r="I971" s="1" t="s">
        <v>269</v>
      </c>
      <c r="J971" s="1" t="s">
        <v>319</v>
      </c>
      <c r="K971" s="1" t="s">
        <v>652</v>
      </c>
      <c r="L971" s="1" t="s">
        <v>823</v>
      </c>
      <c r="M971" s="1" t="s">
        <v>289</v>
      </c>
      <c r="N971" s="1" t="s">
        <v>253</v>
      </c>
      <c r="O971" s="1" t="s">
        <v>827</v>
      </c>
      <c r="P971" s="1" t="str">
        <f>_xlfn.CONCAT(B971,C971,D971,E971,F971)</f>
        <v>BC Varjao1.2215KTL-H0(MBUS-16)46070,945138888946070,945138888946071,3263888889</v>
      </c>
      <c r="Q971" s="1" t="str">
        <f>_xlfn.CONCAT(H971,I971,J971)</f>
        <v>LIGRFOCOM</v>
      </c>
    </row>
    <row r="972" spans="2:17">
      <c r="B972" s="1" t="s">
        <v>667</v>
      </c>
      <c r="C972" s="1" t="s">
        <v>247</v>
      </c>
      <c r="D972" s="52">
        <v>46070.945138888892</v>
      </c>
      <c r="E972" s="52">
        <v>46070.945138888892</v>
      </c>
      <c r="F972" s="52">
        <v>46071.326388888891</v>
      </c>
      <c r="G972" s="53">
        <v>0.38124999999999998</v>
      </c>
      <c r="H972" s="1" t="s">
        <v>268</v>
      </c>
      <c r="I972" s="1" t="s">
        <v>269</v>
      </c>
      <c r="J972" s="1" t="s">
        <v>319</v>
      </c>
      <c r="K972" s="1" t="s">
        <v>652</v>
      </c>
      <c r="L972" s="1" t="s">
        <v>823</v>
      </c>
      <c r="M972" s="1" t="s">
        <v>289</v>
      </c>
      <c r="N972" s="1" t="s">
        <v>253</v>
      </c>
      <c r="O972" s="1" t="s">
        <v>827</v>
      </c>
      <c r="P972" s="1" t="str">
        <f>_xlfn.CONCAT(B972,C972,D972,E972,F972)</f>
        <v>BC Varjao1.3Inverter(MBUS-1)46070,945138888946070,945138888946071,3263888889</v>
      </c>
      <c r="Q972" s="1" t="str">
        <f>_xlfn.CONCAT(H972,I972,J972)</f>
        <v>LIGRFOCOM</v>
      </c>
    </row>
    <row r="973" spans="2:17">
      <c r="B973" s="1" t="s">
        <v>667</v>
      </c>
      <c r="C973" s="1" t="s">
        <v>737</v>
      </c>
      <c r="D973" s="52">
        <v>46070.945138888892</v>
      </c>
      <c r="E973" s="52">
        <v>46070.945138888892</v>
      </c>
      <c r="F973" s="52">
        <v>46071.326388888891</v>
      </c>
      <c r="G973" s="53">
        <v>0.38124999999999998</v>
      </c>
      <c r="H973" s="1" t="s">
        <v>268</v>
      </c>
      <c r="I973" s="1" t="s">
        <v>269</v>
      </c>
      <c r="J973" s="1" t="s">
        <v>319</v>
      </c>
      <c r="K973" s="1" t="s">
        <v>652</v>
      </c>
      <c r="L973" s="1" t="s">
        <v>823</v>
      </c>
      <c r="M973" s="1" t="s">
        <v>289</v>
      </c>
      <c r="N973" s="1" t="s">
        <v>253</v>
      </c>
      <c r="O973" s="1" t="s">
        <v>827</v>
      </c>
      <c r="P973" s="1" t="str">
        <f>_xlfn.CONCAT(B973,C973,D973,E973,F973)</f>
        <v>BC Varjao1.3UF3Inv246070,945138888946070,945138888946071,3263888889</v>
      </c>
      <c r="Q973" s="1" t="str">
        <f>_xlfn.CONCAT(H973,I973,J973)</f>
        <v>LIGRFOCOM</v>
      </c>
    </row>
    <row r="974" spans="2:17">
      <c r="B974" s="1" t="s">
        <v>667</v>
      </c>
      <c r="C974" s="1" t="s">
        <v>336</v>
      </c>
      <c r="D974" s="52">
        <v>46070.945138888892</v>
      </c>
      <c r="E974" s="52">
        <v>46070.945138888892</v>
      </c>
      <c r="F974" s="52">
        <v>46071.326388888891</v>
      </c>
      <c r="G974" s="53">
        <v>0.38124999999999998</v>
      </c>
      <c r="H974" s="1" t="s">
        <v>268</v>
      </c>
      <c r="I974" s="1" t="s">
        <v>269</v>
      </c>
      <c r="J974" s="1" t="s">
        <v>319</v>
      </c>
      <c r="K974" s="1" t="s">
        <v>652</v>
      </c>
      <c r="L974" s="1" t="s">
        <v>823</v>
      </c>
      <c r="M974" s="1" t="s">
        <v>289</v>
      </c>
      <c r="N974" s="1" t="s">
        <v>253</v>
      </c>
      <c r="O974" s="1" t="s">
        <v>827</v>
      </c>
      <c r="P974" s="1" t="str">
        <f>_xlfn.CONCAT(B974,C974,D974,E974,F974)</f>
        <v>BC Varjao1.3215KTL-H0(MBUS-14)46070,945138888946070,945138888946071,3263888889</v>
      </c>
      <c r="Q974" s="1" t="str">
        <f>_xlfn.CONCAT(H974,I974,J974)</f>
        <v>LIGRFOCOM</v>
      </c>
    </row>
    <row r="975" spans="2:17">
      <c r="B975" s="1" t="s">
        <v>360</v>
      </c>
      <c r="C975" s="1" t="s">
        <v>720</v>
      </c>
      <c r="D975" s="52">
        <v>46071.150694444441</v>
      </c>
      <c r="E975" s="52">
        <v>46071.150694444441</v>
      </c>
      <c r="F975" s="52">
        <v>46071.265972222223</v>
      </c>
      <c r="G975" s="53">
        <v>0.11527777777777778</v>
      </c>
      <c r="H975" s="1" t="s">
        <v>268</v>
      </c>
      <c r="I975" s="1" t="s">
        <v>269</v>
      </c>
      <c r="J975" s="1" t="s">
        <v>319</v>
      </c>
      <c r="K975" s="1" t="s">
        <v>652</v>
      </c>
      <c r="L975" s="1" t="s">
        <v>828</v>
      </c>
      <c r="M975" s="1" t="s">
        <v>289</v>
      </c>
      <c r="N975" s="1" t="s">
        <v>253</v>
      </c>
      <c r="O975" s="1" t="s">
        <v>827</v>
      </c>
      <c r="P975" s="1" t="str">
        <f>_xlfn.CONCAT(B975,C975,D975,E975,F975)</f>
        <v>BC Corumba1.1U01.I0146071,150694444446071,150694444446071,2659722222</v>
      </c>
      <c r="Q975" s="1" t="str">
        <f>_xlfn.CONCAT(H975,I975,J975)</f>
        <v>LIGRFOCOM</v>
      </c>
    </row>
    <row r="976" spans="2:17">
      <c r="B976" s="1" t="s">
        <v>360</v>
      </c>
      <c r="C976" s="1" t="s">
        <v>721</v>
      </c>
      <c r="D976" s="52">
        <v>46071.150694444441</v>
      </c>
      <c r="E976" s="52">
        <v>46071.150694444441</v>
      </c>
      <c r="F976" s="52">
        <v>46071.265972222223</v>
      </c>
      <c r="G976" s="53">
        <v>0.11527777777777778</v>
      </c>
      <c r="H976" s="1" t="s">
        <v>268</v>
      </c>
      <c r="I976" s="1" t="s">
        <v>269</v>
      </c>
      <c r="J976" s="1" t="s">
        <v>319</v>
      </c>
      <c r="K976" s="1" t="s">
        <v>652</v>
      </c>
      <c r="L976" s="1" t="s">
        <v>828</v>
      </c>
      <c r="M976" s="1" t="s">
        <v>289</v>
      </c>
      <c r="N976" s="1" t="s">
        <v>253</v>
      </c>
      <c r="O976" s="1" t="s">
        <v>827</v>
      </c>
      <c r="P976" s="1" t="str">
        <f>_xlfn.CONCAT(B976,C976,D976,E976,F976)</f>
        <v>BC Corumba1.1U01.I0246071,150694444446071,150694444446071,2659722222</v>
      </c>
      <c r="Q976" s="1" t="str">
        <f>_xlfn.CONCAT(H976,I976,J976)</f>
        <v>LIGRFOCOM</v>
      </c>
    </row>
    <row r="977" spans="2:17">
      <c r="B977" s="1" t="s">
        <v>360</v>
      </c>
      <c r="C977" s="1" t="s">
        <v>722</v>
      </c>
      <c r="D977" s="52">
        <v>46071.150694444441</v>
      </c>
      <c r="E977" s="52">
        <v>46071.150694444441</v>
      </c>
      <c r="F977" s="52">
        <v>46071.265972222223</v>
      </c>
      <c r="G977" s="53">
        <v>0.11527777777777778</v>
      </c>
      <c r="H977" s="1" t="s">
        <v>268</v>
      </c>
      <c r="I977" s="1" t="s">
        <v>269</v>
      </c>
      <c r="J977" s="1" t="s">
        <v>319</v>
      </c>
      <c r="K977" s="1" t="s">
        <v>652</v>
      </c>
      <c r="L977" s="1" t="s">
        <v>828</v>
      </c>
      <c r="M977" s="1" t="s">
        <v>289</v>
      </c>
      <c r="N977" s="1" t="s">
        <v>253</v>
      </c>
      <c r="O977" s="1" t="s">
        <v>827</v>
      </c>
      <c r="P977" s="1" t="str">
        <f>_xlfn.CONCAT(B977,C977,D977,E977,F977)</f>
        <v>BC Corumba1.1U01.I0346071,150694444446071,150694444446071,2659722222</v>
      </c>
      <c r="Q977" s="1" t="str">
        <f>_xlfn.CONCAT(H977,I977,J977)</f>
        <v>LIGRFOCOM</v>
      </c>
    </row>
    <row r="978" spans="2:17">
      <c r="B978" s="1" t="s">
        <v>360</v>
      </c>
      <c r="C978" s="1" t="s">
        <v>361</v>
      </c>
      <c r="D978" s="52">
        <v>46071.150694444441</v>
      </c>
      <c r="E978" s="52">
        <v>46071.150694444441</v>
      </c>
      <c r="F978" s="52">
        <v>46071.265972222223</v>
      </c>
      <c r="G978" s="53">
        <v>0.11527777777777778</v>
      </c>
      <c r="H978" s="1" t="s">
        <v>268</v>
      </c>
      <c r="I978" s="1" t="s">
        <v>269</v>
      </c>
      <c r="J978" s="1" t="s">
        <v>319</v>
      </c>
      <c r="K978" s="1" t="s">
        <v>652</v>
      </c>
      <c r="L978" s="1" t="s">
        <v>828</v>
      </c>
      <c r="M978" s="1" t="s">
        <v>289</v>
      </c>
      <c r="N978" s="1" t="s">
        <v>253</v>
      </c>
      <c r="O978" s="1" t="s">
        <v>827</v>
      </c>
      <c r="P978" s="1" t="str">
        <f>_xlfn.CONCAT(B978,C978,D978,E978,F978)</f>
        <v>BC Corumba1.1U01.I0446071,150694444446071,150694444446071,2659722222</v>
      </c>
      <c r="Q978" s="1" t="str">
        <f>_xlfn.CONCAT(H978,I978,J978)</f>
        <v>LIGRFOCOM</v>
      </c>
    </row>
    <row r="979" spans="2:17">
      <c r="B979" s="1" t="s">
        <v>360</v>
      </c>
      <c r="C979" s="1" t="s">
        <v>366</v>
      </c>
      <c r="D979" s="52">
        <v>46071.150694444441</v>
      </c>
      <c r="E979" s="52">
        <v>46071.150694444441</v>
      </c>
      <c r="F979" s="52">
        <v>46071.265972222223</v>
      </c>
      <c r="G979" s="53">
        <v>0.11527777777777778</v>
      </c>
      <c r="H979" s="1" t="s">
        <v>268</v>
      </c>
      <c r="I979" s="1" t="s">
        <v>269</v>
      </c>
      <c r="J979" s="1" t="s">
        <v>319</v>
      </c>
      <c r="K979" s="1" t="s">
        <v>652</v>
      </c>
      <c r="L979" s="1" t="s">
        <v>828</v>
      </c>
      <c r="M979" s="1" t="s">
        <v>260</v>
      </c>
      <c r="N979" s="1" t="s">
        <v>261</v>
      </c>
      <c r="O979" s="1" t="s">
        <v>826</v>
      </c>
      <c r="P979" s="1" t="str">
        <f>_xlfn.CONCAT(B979,C979,D979,E979,F979)</f>
        <v>BC Corumba1.1U01.I0546071,150694444446071,150694444446071,2659722222</v>
      </c>
      <c r="Q979" s="1" t="str">
        <f>_xlfn.CONCAT(H979,I979,J979)</f>
        <v>LIGRFOCOM</v>
      </c>
    </row>
    <row r="980" spans="2:17">
      <c r="B980" s="1" t="s">
        <v>367</v>
      </c>
      <c r="C980" s="1" t="s">
        <v>287</v>
      </c>
      <c r="D980" s="52">
        <v>46071.150694444441</v>
      </c>
      <c r="E980" s="52">
        <v>46071.150694444441</v>
      </c>
      <c r="F980" s="52">
        <v>46071.265972222223</v>
      </c>
      <c r="G980" s="53">
        <v>0.11527777777777778</v>
      </c>
      <c r="H980" s="1" t="s">
        <v>268</v>
      </c>
      <c r="I980" s="1" t="s">
        <v>269</v>
      </c>
      <c r="J980" s="1" t="s">
        <v>319</v>
      </c>
      <c r="K980" s="1" t="s">
        <v>652</v>
      </c>
      <c r="L980" s="1" t="s">
        <v>828</v>
      </c>
      <c r="M980" s="1" t="s">
        <v>260</v>
      </c>
      <c r="N980" s="1" t="s">
        <v>261</v>
      </c>
      <c r="O980" s="1" t="s">
        <v>826</v>
      </c>
      <c r="P980" s="1" t="str">
        <f>_xlfn.CONCAT(B980,C980,D980,E980,F980)</f>
        <v>BC Corumba1.2U02.I0146071,150694444446071,150694444446071,2659722222</v>
      </c>
      <c r="Q980" s="1" t="str">
        <f>_xlfn.CONCAT(H980,I980,J980)</f>
        <v>LIGRFOCOM</v>
      </c>
    </row>
    <row r="981" spans="2:17">
      <c r="B981" s="1" t="s">
        <v>367</v>
      </c>
      <c r="C981" s="1" t="s">
        <v>292</v>
      </c>
      <c r="D981" s="52">
        <v>46071.150694444441</v>
      </c>
      <c r="E981" s="52">
        <v>46071.150694444441</v>
      </c>
      <c r="F981" s="52">
        <v>46071.265972222223</v>
      </c>
      <c r="G981" s="53">
        <v>0.11527777777777778</v>
      </c>
      <c r="H981" s="1" t="s">
        <v>268</v>
      </c>
      <c r="I981" s="1" t="s">
        <v>269</v>
      </c>
      <c r="J981" s="1" t="s">
        <v>319</v>
      </c>
      <c r="K981" s="1" t="s">
        <v>652</v>
      </c>
      <c r="L981" s="1" t="s">
        <v>828</v>
      </c>
      <c r="M981" s="1" t="s">
        <v>260</v>
      </c>
      <c r="N981" s="1" t="s">
        <v>261</v>
      </c>
      <c r="O981" s="1" t="s">
        <v>826</v>
      </c>
      <c r="P981" s="1" t="str">
        <f>_xlfn.CONCAT(B981,C981,D981,E981,F981)</f>
        <v>BC Corumba1.2U02.I0246071,150694444446071,150694444446071,2659722222</v>
      </c>
      <c r="Q981" s="1" t="str">
        <f>_xlfn.CONCAT(H981,I981,J981)</f>
        <v>LIGRFOCOM</v>
      </c>
    </row>
    <row r="982" spans="2:17">
      <c r="B982" s="1" t="s">
        <v>367</v>
      </c>
      <c r="C982" s="1" t="s">
        <v>293</v>
      </c>
      <c r="D982" s="52">
        <v>46071.150694444441</v>
      </c>
      <c r="E982" s="52">
        <v>46071.150694444441</v>
      </c>
      <c r="F982" s="52">
        <v>46071.265972222223</v>
      </c>
      <c r="G982" s="53">
        <v>0.11527777777777778</v>
      </c>
      <c r="H982" s="1" t="s">
        <v>268</v>
      </c>
      <c r="I982" s="1" t="s">
        <v>269</v>
      </c>
      <c r="J982" s="1" t="s">
        <v>319</v>
      </c>
      <c r="K982" s="1" t="s">
        <v>652</v>
      </c>
      <c r="L982" s="1" t="s">
        <v>828</v>
      </c>
      <c r="M982" s="1" t="s">
        <v>260</v>
      </c>
      <c r="N982" s="1" t="s">
        <v>261</v>
      </c>
      <c r="O982" s="1" t="s">
        <v>826</v>
      </c>
      <c r="P982" s="1" t="str">
        <f>_xlfn.CONCAT(B982,C982,D982,E982,F982)</f>
        <v>BC Corumba1.2U02.I0346071,150694444446071,150694444446071,2659722222</v>
      </c>
      <c r="Q982" s="1" t="str">
        <f>_xlfn.CONCAT(H982,I982,J982)</f>
        <v>LIGRFOCOM</v>
      </c>
    </row>
    <row r="983" spans="2:17">
      <c r="B983" s="1" t="s">
        <v>367</v>
      </c>
      <c r="C983" s="1" t="s">
        <v>294</v>
      </c>
      <c r="D983" s="52">
        <v>46071.150694444441</v>
      </c>
      <c r="E983" s="52">
        <v>46071.150694444441</v>
      </c>
      <c r="F983" s="52">
        <v>46071.265972222223</v>
      </c>
      <c r="G983" s="53">
        <v>0.11527777777777778</v>
      </c>
      <c r="H983" s="1" t="s">
        <v>268</v>
      </c>
      <c r="I983" s="1" t="s">
        <v>269</v>
      </c>
      <c r="J983" s="1" t="s">
        <v>319</v>
      </c>
      <c r="K983" s="1" t="s">
        <v>652</v>
      </c>
      <c r="L983" s="1" t="s">
        <v>828</v>
      </c>
      <c r="M983" s="1" t="s">
        <v>260</v>
      </c>
      <c r="N983" s="1" t="s">
        <v>261</v>
      </c>
      <c r="O983" s="1" t="s">
        <v>826</v>
      </c>
      <c r="P983" s="1" t="str">
        <f>_xlfn.CONCAT(B983,C983,D983,E983,F983)</f>
        <v>BC Corumba1.2U02.I0446071,150694444446071,150694444446071,2659722222</v>
      </c>
      <c r="Q983" s="1" t="str">
        <f>_xlfn.CONCAT(H983,I983,J983)</f>
        <v>LIGRFOCOM</v>
      </c>
    </row>
    <row r="984" spans="2:17">
      <c r="B984" s="1" t="s">
        <v>367</v>
      </c>
      <c r="C984" s="1" t="s">
        <v>295</v>
      </c>
      <c r="D984" s="52">
        <v>46071.150694444441</v>
      </c>
      <c r="E984" s="52">
        <v>46071.150694444441</v>
      </c>
      <c r="F984" s="52">
        <v>46071.265972222223</v>
      </c>
      <c r="G984" s="53">
        <v>0.11527777777777778</v>
      </c>
      <c r="H984" s="1" t="s">
        <v>268</v>
      </c>
      <c r="I984" s="1" t="s">
        <v>269</v>
      </c>
      <c r="J984" s="1" t="s">
        <v>319</v>
      </c>
      <c r="K984" s="1" t="s">
        <v>652</v>
      </c>
      <c r="L984" s="1" t="s">
        <v>828</v>
      </c>
      <c r="M984" s="1" t="s">
        <v>260</v>
      </c>
      <c r="N984" s="1" t="s">
        <v>261</v>
      </c>
      <c r="O984" s="1" t="s">
        <v>826</v>
      </c>
      <c r="P984" s="1" t="str">
        <f>_xlfn.CONCAT(B984,C984,D984,E984,F984)</f>
        <v>BC Corumba1.2U02.I0546071,150694444446071,150694444446071,2659722222</v>
      </c>
      <c r="Q984" s="1" t="str">
        <f>_xlfn.CONCAT(H984,I984,J984)</f>
        <v>LIGRFOCOM</v>
      </c>
    </row>
    <row r="985" spans="2:17">
      <c r="B985" s="1" t="s">
        <v>724</v>
      </c>
      <c r="C985" s="1" t="s">
        <v>608</v>
      </c>
      <c r="D985" s="52">
        <v>46071.150694444441</v>
      </c>
      <c r="E985" s="52">
        <v>46071.150694444441</v>
      </c>
      <c r="F985" s="52">
        <v>46071.265972222223</v>
      </c>
      <c r="G985" s="53">
        <v>0.11527777777777778</v>
      </c>
      <c r="H985" s="1" t="s">
        <v>268</v>
      </c>
      <c r="I985" s="1" t="s">
        <v>269</v>
      </c>
      <c r="J985" s="1" t="s">
        <v>319</v>
      </c>
      <c r="K985" s="1" t="s">
        <v>652</v>
      </c>
      <c r="L985" s="1" t="s">
        <v>828</v>
      </c>
      <c r="M985" s="1" t="s">
        <v>260</v>
      </c>
      <c r="N985" s="1" t="s">
        <v>261</v>
      </c>
      <c r="O985" s="1" t="s">
        <v>826</v>
      </c>
      <c r="P985" s="1" t="str">
        <f>_xlfn.CONCAT(B985,C985,D985,E985,F985)</f>
        <v>BC Corumba1.3U03.I0146071,150694444446071,150694444446071,2659722222</v>
      </c>
      <c r="Q985" s="1" t="str">
        <f>_xlfn.CONCAT(H985,I985,J985)</f>
        <v>LIGRFOCOM</v>
      </c>
    </row>
    <row r="986" spans="2:17">
      <c r="B986" s="1" t="s">
        <v>724</v>
      </c>
      <c r="C986" s="1" t="s">
        <v>611</v>
      </c>
      <c r="D986" s="52">
        <v>46071.150694444441</v>
      </c>
      <c r="E986" s="52">
        <v>46071.150694444441</v>
      </c>
      <c r="F986" s="52">
        <v>46071.265972222223</v>
      </c>
      <c r="G986" s="53">
        <v>0.11527777777777778</v>
      </c>
      <c r="H986" s="1" t="s">
        <v>268</v>
      </c>
      <c r="I986" s="1" t="s">
        <v>269</v>
      </c>
      <c r="J986" s="1" t="s">
        <v>319</v>
      </c>
      <c r="K986" s="1" t="s">
        <v>652</v>
      </c>
      <c r="L986" s="1" t="s">
        <v>828</v>
      </c>
      <c r="M986" s="1" t="s">
        <v>260</v>
      </c>
      <c r="N986" s="1" t="s">
        <v>261</v>
      </c>
      <c r="O986" s="1" t="s">
        <v>826</v>
      </c>
      <c r="P986" s="1" t="str">
        <f>_xlfn.CONCAT(B986,C986,D986,E986,F986)</f>
        <v>BC Corumba1.3U03.I0246071,150694444446071,150694444446071,2659722222</v>
      </c>
      <c r="Q986" s="1" t="str">
        <f>_xlfn.CONCAT(H986,I986,J986)</f>
        <v>LIGRFOCOM</v>
      </c>
    </row>
    <row r="987" spans="2:17">
      <c r="B987" s="1" t="s">
        <v>724</v>
      </c>
      <c r="C987" s="1" t="s">
        <v>536</v>
      </c>
      <c r="D987" s="52">
        <v>46071.150694444441</v>
      </c>
      <c r="E987" s="52">
        <v>46071.150694444441</v>
      </c>
      <c r="F987" s="52">
        <v>46071.265972222223</v>
      </c>
      <c r="G987" s="53">
        <v>0.11527777777777778</v>
      </c>
      <c r="H987" s="1" t="s">
        <v>268</v>
      </c>
      <c r="I987" s="1" t="s">
        <v>269</v>
      </c>
      <c r="J987" s="1" t="s">
        <v>319</v>
      </c>
      <c r="K987" s="1" t="s">
        <v>652</v>
      </c>
      <c r="L987" s="1" t="s">
        <v>828</v>
      </c>
      <c r="M987" s="1" t="s">
        <v>260</v>
      </c>
      <c r="N987" s="1" t="s">
        <v>261</v>
      </c>
      <c r="O987" s="1" t="s">
        <v>826</v>
      </c>
      <c r="P987" s="1" t="str">
        <f>_xlfn.CONCAT(B987,C987,D987,E987,F987)</f>
        <v>BC Corumba1.3U03.I0346071,150694444446071,150694444446071,2659722222</v>
      </c>
      <c r="Q987" s="1" t="str">
        <f>_xlfn.CONCAT(H987,I987,J987)</f>
        <v>LIGRFOCOM</v>
      </c>
    </row>
    <row r="988" spans="2:17">
      <c r="B988" s="1" t="s">
        <v>725</v>
      </c>
      <c r="C988" s="1" t="s">
        <v>263</v>
      </c>
      <c r="D988" s="52">
        <v>46071.150694444441</v>
      </c>
      <c r="E988" s="52">
        <v>46071.150694444441</v>
      </c>
      <c r="F988" s="52">
        <v>46071.265972222223</v>
      </c>
      <c r="G988" s="53">
        <v>0.11527777777777778</v>
      </c>
      <c r="H988" s="1" t="s">
        <v>268</v>
      </c>
      <c r="I988" s="1" t="s">
        <v>269</v>
      </c>
      <c r="J988" s="1" t="s">
        <v>319</v>
      </c>
      <c r="K988" s="1" t="s">
        <v>652</v>
      </c>
      <c r="L988" s="1" t="s">
        <v>828</v>
      </c>
      <c r="M988" s="1" t="s">
        <v>260</v>
      </c>
      <c r="N988" s="1" t="s">
        <v>261</v>
      </c>
      <c r="O988" s="1" t="s">
        <v>826</v>
      </c>
      <c r="P988" s="1" t="str">
        <f>_xlfn.CONCAT(B988,C988,D988,E988,F988)</f>
        <v>BC Corumba2.1Inverter(MBUS-14)46071,150694444446071,150694444446071,2659722222</v>
      </c>
      <c r="Q988" s="1" t="str">
        <f>_xlfn.CONCAT(H988,I988,J988)</f>
        <v>LIGRFOCOM</v>
      </c>
    </row>
    <row r="989" spans="2:17">
      <c r="B989" s="1" t="s">
        <v>725</v>
      </c>
      <c r="C989" s="1" t="s">
        <v>307</v>
      </c>
      <c r="D989" s="52">
        <v>46071.150694444441</v>
      </c>
      <c r="E989" s="52">
        <v>46071.150694444441</v>
      </c>
      <c r="F989" s="52">
        <v>46071.265972222223</v>
      </c>
      <c r="G989" s="53">
        <v>0.11527777777777778</v>
      </c>
      <c r="H989" s="1" t="s">
        <v>268</v>
      </c>
      <c r="I989" s="1" t="s">
        <v>269</v>
      </c>
      <c r="J989" s="1" t="s">
        <v>319</v>
      </c>
      <c r="K989" s="1" t="s">
        <v>652</v>
      </c>
      <c r="L989" s="1" t="s">
        <v>828</v>
      </c>
      <c r="M989" s="1" t="s">
        <v>260</v>
      </c>
      <c r="N989" s="1" t="s">
        <v>261</v>
      </c>
      <c r="O989" s="1" t="s">
        <v>826</v>
      </c>
      <c r="P989" s="1" t="str">
        <f>_xlfn.CONCAT(B989,C989,D989,E989,F989)</f>
        <v>BC Corumba2.1Inverter(MBUS-15)46071,150694444446071,150694444446071,2659722222</v>
      </c>
      <c r="Q989" s="1" t="str">
        <f>_xlfn.CONCAT(H989,I989,J989)</f>
        <v>LIGRFOCOM</v>
      </c>
    </row>
    <row r="990" spans="2:17">
      <c r="B990" s="1" t="s">
        <v>725</v>
      </c>
      <c r="C990" s="1" t="s">
        <v>390</v>
      </c>
      <c r="D990" s="52">
        <v>46071.150694444441</v>
      </c>
      <c r="E990" s="52">
        <v>46071.150694444441</v>
      </c>
      <c r="F990" s="52">
        <v>46071.265972222223</v>
      </c>
      <c r="G990" s="53">
        <v>0.11527777777777778</v>
      </c>
      <c r="H990" s="1" t="s">
        <v>268</v>
      </c>
      <c r="I990" s="1" t="s">
        <v>269</v>
      </c>
      <c r="J990" s="1" t="s">
        <v>319</v>
      </c>
      <c r="K990" s="1" t="s">
        <v>652</v>
      </c>
      <c r="L990" s="1" t="s">
        <v>828</v>
      </c>
      <c r="M990" s="1" t="s">
        <v>260</v>
      </c>
      <c r="N990" s="1" t="s">
        <v>261</v>
      </c>
      <c r="O990" s="1" t="s">
        <v>826</v>
      </c>
      <c r="P990" s="1" t="str">
        <f>_xlfn.CONCAT(B990,C990,D990,E990,F990)</f>
        <v>BC Corumba2.1Inverter(MBUS-16)46071,150694444446071,150694444446071,2659722222</v>
      </c>
      <c r="Q990" s="1" t="str">
        <f>_xlfn.CONCAT(H990,I990,J990)</f>
        <v>LIGRFOCOM</v>
      </c>
    </row>
    <row r="991" spans="2:17">
      <c r="B991" s="1" t="s">
        <v>725</v>
      </c>
      <c r="C991" s="1" t="s">
        <v>726</v>
      </c>
      <c r="D991" s="52">
        <v>46071.150694444441</v>
      </c>
      <c r="E991" s="52">
        <v>46071.150694444441</v>
      </c>
      <c r="F991" s="52">
        <v>46071.265972222223</v>
      </c>
      <c r="G991" s="53">
        <v>0.11527777777777778</v>
      </c>
      <c r="H991" s="1" t="s">
        <v>268</v>
      </c>
      <c r="I991" s="1" t="s">
        <v>269</v>
      </c>
      <c r="J991" s="1" t="s">
        <v>319</v>
      </c>
      <c r="K991" s="1" t="s">
        <v>652</v>
      </c>
      <c r="L991" s="1" t="s">
        <v>828</v>
      </c>
      <c r="M991" s="1" t="s">
        <v>260</v>
      </c>
      <c r="N991" s="1" t="s">
        <v>261</v>
      </c>
      <c r="O991" s="1" t="s">
        <v>826</v>
      </c>
      <c r="P991" s="1" t="str">
        <f>_xlfn.CONCAT(B991,C991,D991,E991,F991)</f>
        <v>BC Corumba2.1U01. I0146071,150694444446071,150694444446071,2659722222</v>
      </c>
      <c r="Q991" s="1" t="str">
        <f>_xlfn.CONCAT(H991,I991,J991)</f>
        <v>LIGRFOCOM</v>
      </c>
    </row>
    <row r="992" spans="2:17">
      <c r="B992" s="1" t="s">
        <v>725</v>
      </c>
      <c r="C992" s="1" t="s">
        <v>727</v>
      </c>
      <c r="D992" s="52">
        <v>46071.150694444441</v>
      </c>
      <c r="E992" s="52">
        <v>46071.150694444441</v>
      </c>
      <c r="F992" s="52">
        <v>46071.265972222223</v>
      </c>
      <c r="G992" s="53">
        <v>0.11527777777777778</v>
      </c>
      <c r="H992" s="1" t="s">
        <v>268</v>
      </c>
      <c r="I992" s="1" t="s">
        <v>269</v>
      </c>
      <c r="J992" s="1" t="s">
        <v>319</v>
      </c>
      <c r="K992" s="1" t="s">
        <v>652</v>
      </c>
      <c r="L992" s="1" t="s">
        <v>828</v>
      </c>
      <c r="M992" s="1" t="s">
        <v>252</v>
      </c>
      <c r="N992" s="1" t="s">
        <v>253</v>
      </c>
      <c r="O992" s="1" t="s">
        <v>829</v>
      </c>
      <c r="P992" s="1" t="str">
        <f>_xlfn.CONCAT(B992,C992,D992,E992,F992)</f>
        <v>BC Corumba2.1U01. I0246071,150694444446071,150694444446071,2659722222</v>
      </c>
      <c r="Q992" s="1" t="str">
        <f>_xlfn.CONCAT(H992,I992,J992)</f>
        <v>LIGRFOCOM</v>
      </c>
    </row>
    <row r="993" spans="2:17">
      <c r="B993" s="1" t="s">
        <v>286</v>
      </c>
      <c r="C993" s="1" t="s">
        <v>287</v>
      </c>
      <c r="D993" s="52">
        <v>46071.150694444441</v>
      </c>
      <c r="E993" s="52">
        <v>46071.150694444441</v>
      </c>
      <c r="F993" s="52">
        <v>46071.265972222223</v>
      </c>
      <c r="G993" s="53">
        <v>0.11527777777777778</v>
      </c>
      <c r="H993" s="1" t="s">
        <v>268</v>
      </c>
      <c r="I993" s="1" t="s">
        <v>269</v>
      </c>
      <c r="J993" s="1" t="s">
        <v>319</v>
      </c>
      <c r="K993" s="1" t="s">
        <v>652</v>
      </c>
      <c r="L993" s="1" t="s">
        <v>828</v>
      </c>
      <c r="M993" s="1" t="s">
        <v>260</v>
      </c>
      <c r="N993" s="1" t="s">
        <v>261</v>
      </c>
      <c r="O993" s="1" t="s">
        <v>826</v>
      </c>
      <c r="P993" s="1" t="str">
        <f>_xlfn.CONCAT(B993,C993,D993,E993,F993)</f>
        <v>BC Corumba2.2U02.I0146071,150694444446071,150694444446071,2659722222</v>
      </c>
      <c r="Q993" s="1" t="str">
        <f>_xlfn.CONCAT(H993,I993,J993)</f>
        <v>LIGRFOCOM</v>
      </c>
    </row>
    <row r="994" spans="2:17">
      <c r="B994" s="1" t="s">
        <v>286</v>
      </c>
      <c r="C994" s="1" t="s">
        <v>292</v>
      </c>
      <c r="D994" s="52">
        <v>46071.150694444441</v>
      </c>
      <c r="E994" s="52">
        <v>46071.150694444441</v>
      </c>
      <c r="F994" s="52">
        <v>46071.265972222223</v>
      </c>
      <c r="G994" s="53">
        <v>0.11527777777777778</v>
      </c>
      <c r="H994" s="1" t="s">
        <v>268</v>
      </c>
      <c r="I994" s="1" t="s">
        <v>269</v>
      </c>
      <c r="J994" s="1" t="s">
        <v>319</v>
      </c>
      <c r="K994" s="1" t="s">
        <v>652</v>
      </c>
      <c r="L994" s="1" t="s">
        <v>828</v>
      </c>
      <c r="M994" s="1" t="s">
        <v>260</v>
      </c>
      <c r="N994" s="1" t="s">
        <v>261</v>
      </c>
      <c r="O994" s="1" t="s">
        <v>826</v>
      </c>
      <c r="P994" s="1" t="str">
        <f>_xlfn.CONCAT(B994,C994,D994,E994,F994)</f>
        <v>BC Corumba2.2U02.I0246071,150694444446071,150694444446071,2659722222</v>
      </c>
      <c r="Q994" s="1" t="str">
        <f>_xlfn.CONCAT(H994,I994,J994)</f>
        <v>LIGRFOCOM</v>
      </c>
    </row>
    <row r="995" spans="2:17">
      <c r="B995" s="1" t="s">
        <v>286</v>
      </c>
      <c r="C995" s="1" t="s">
        <v>293</v>
      </c>
      <c r="D995" s="52">
        <v>46071.150694444441</v>
      </c>
      <c r="E995" s="52">
        <v>46071.150694444441</v>
      </c>
      <c r="F995" s="52">
        <v>46071.265972222223</v>
      </c>
      <c r="G995" s="53">
        <v>0.11527777777777778</v>
      </c>
      <c r="H995" s="1" t="s">
        <v>268</v>
      </c>
      <c r="I995" s="1" t="s">
        <v>269</v>
      </c>
      <c r="J995" s="1" t="s">
        <v>319</v>
      </c>
      <c r="K995" s="1" t="s">
        <v>652</v>
      </c>
      <c r="L995" s="1" t="s">
        <v>828</v>
      </c>
      <c r="M995" s="1" t="s">
        <v>260</v>
      </c>
      <c r="N995" s="1" t="s">
        <v>261</v>
      </c>
      <c r="O995" s="1" t="s">
        <v>826</v>
      </c>
      <c r="P995" s="1" t="str">
        <f>_xlfn.CONCAT(B995,C995,D995,E995,F995)</f>
        <v>BC Corumba2.2U02.I0346071,150694444446071,150694444446071,2659722222</v>
      </c>
      <c r="Q995" s="1" t="str">
        <f>_xlfn.CONCAT(H995,I995,J995)</f>
        <v>LIGRFOCOM</v>
      </c>
    </row>
    <row r="996" spans="2:17">
      <c r="B996" s="1" t="s">
        <v>286</v>
      </c>
      <c r="C996" s="1" t="s">
        <v>294</v>
      </c>
      <c r="D996" s="52">
        <v>46071.150694444441</v>
      </c>
      <c r="E996" s="52">
        <v>46071.150694444441</v>
      </c>
      <c r="F996" s="52">
        <v>46071.265972222223</v>
      </c>
      <c r="G996" s="53">
        <v>0.11527777777777778</v>
      </c>
      <c r="H996" s="1" t="s">
        <v>268</v>
      </c>
      <c r="I996" s="1" t="s">
        <v>269</v>
      </c>
      <c r="J996" s="1" t="s">
        <v>319</v>
      </c>
      <c r="K996" s="1" t="s">
        <v>652</v>
      </c>
      <c r="L996" s="1" t="s">
        <v>828</v>
      </c>
      <c r="M996" s="1" t="s">
        <v>260</v>
      </c>
      <c r="N996" s="1" t="s">
        <v>261</v>
      </c>
      <c r="O996" s="1" t="s">
        <v>826</v>
      </c>
      <c r="P996" s="1" t="str">
        <f>_xlfn.CONCAT(B996,C996,D996,E996,F996)</f>
        <v>BC Corumba2.2U02.I0446071,150694444446071,150694444446071,2659722222</v>
      </c>
      <c r="Q996" s="1" t="str">
        <f>_xlfn.CONCAT(H996,I996,J996)</f>
        <v>LIGRFOCOM</v>
      </c>
    </row>
    <row r="997" spans="2:17">
      <c r="B997" s="1" t="s">
        <v>286</v>
      </c>
      <c r="C997" s="1" t="s">
        <v>295</v>
      </c>
      <c r="D997" s="52">
        <v>46071.150694444441</v>
      </c>
      <c r="E997" s="52">
        <v>46071.150694444441</v>
      </c>
      <c r="F997" s="52">
        <v>46071.265972222223</v>
      </c>
      <c r="G997" s="53">
        <v>0.11527777777777778</v>
      </c>
      <c r="H997" s="1" t="s">
        <v>268</v>
      </c>
      <c r="I997" s="1" t="s">
        <v>269</v>
      </c>
      <c r="J997" s="1" t="s">
        <v>319</v>
      </c>
      <c r="K997" s="1" t="s">
        <v>652</v>
      </c>
      <c r="L997" s="1" t="s">
        <v>828</v>
      </c>
      <c r="M997" s="1" t="s">
        <v>260</v>
      </c>
      <c r="N997" s="1" t="s">
        <v>261</v>
      </c>
      <c r="O997" s="1" t="s">
        <v>826</v>
      </c>
      <c r="P997" s="1" t="str">
        <f>_xlfn.CONCAT(B997,C997,D997,E997,F997)</f>
        <v>BC Corumba2.2U02.I0546071,150694444446071,150694444446071,2659722222</v>
      </c>
      <c r="Q997" s="1" t="str">
        <f>_xlfn.CONCAT(H997,I997,J997)</f>
        <v>LIGRFOCOM</v>
      </c>
    </row>
    <row r="998" spans="2:17">
      <c r="B998" s="1" t="s">
        <v>535</v>
      </c>
      <c r="C998" s="1" t="s">
        <v>608</v>
      </c>
      <c r="D998" s="52">
        <v>46071.150694444441</v>
      </c>
      <c r="E998" s="52">
        <v>46071.150694444441</v>
      </c>
      <c r="F998" s="52">
        <v>46071.265972222223</v>
      </c>
      <c r="G998" s="53">
        <v>0.11527777777777778</v>
      </c>
      <c r="H998" s="1" t="s">
        <v>268</v>
      </c>
      <c r="I998" s="1" t="s">
        <v>269</v>
      </c>
      <c r="J998" s="1" t="s">
        <v>319</v>
      </c>
      <c r="K998" s="1" t="s">
        <v>652</v>
      </c>
      <c r="L998" s="1" t="s">
        <v>828</v>
      </c>
      <c r="M998" s="1" t="s">
        <v>260</v>
      </c>
      <c r="N998" s="1" t="s">
        <v>261</v>
      </c>
      <c r="O998" s="1" t="s">
        <v>826</v>
      </c>
      <c r="P998" s="1" t="str">
        <f>_xlfn.CONCAT(B998,C998,D998,E998,F998)</f>
        <v>BC Corumba2.3U03.I0146071,150694444446071,150694444446071,2659722222</v>
      </c>
      <c r="Q998" s="1" t="str">
        <f>_xlfn.CONCAT(H998,I998,J998)</f>
        <v>LIGRFOCOM</v>
      </c>
    </row>
    <row r="999" spans="2:17">
      <c r="B999" s="1" t="s">
        <v>535</v>
      </c>
      <c r="C999" s="1" t="s">
        <v>611</v>
      </c>
      <c r="D999" s="52">
        <v>46071.150694444441</v>
      </c>
      <c r="E999" s="52">
        <v>46071.150694444441</v>
      </c>
      <c r="F999" s="52">
        <v>46071.265972222223</v>
      </c>
      <c r="G999" s="53">
        <v>0.11527777777777778</v>
      </c>
      <c r="H999" s="1" t="s">
        <v>268</v>
      </c>
      <c r="I999" s="1" t="s">
        <v>269</v>
      </c>
      <c r="J999" s="1" t="s">
        <v>319</v>
      </c>
      <c r="K999" s="1" t="s">
        <v>652</v>
      </c>
      <c r="L999" s="1" t="s">
        <v>828</v>
      </c>
      <c r="M999" s="1" t="s">
        <v>260</v>
      </c>
      <c r="N999" s="1" t="s">
        <v>261</v>
      </c>
      <c r="O999" s="1" t="s">
        <v>826</v>
      </c>
      <c r="P999" s="1" t="str">
        <f>_xlfn.CONCAT(B999,C999,D999,E999,F999)</f>
        <v>BC Corumba2.3U03.I0246071,150694444446071,150694444446071,2659722222</v>
      </c>
      <c r="Q999" s="1" t="str">
        <f>_xlfn.CONCAT(H999,I999,J999)</f>
        <v>LIGRFOCOM</v>
      </c>
    </row>
    <row r="1000" spans="2:17">
      <c r="B1000" s="1" t="s">
        <v>535</v>
      </c>
      <c r="C1000" s="1" t="s">
        <v>536</v>
      </c>
      <c r="D1000" s="52">
        <v>46071.150694444441</v>
      </c>
      <c r="E1000" s="52">
        <v>46071.150694444441</v>
      </c>
      <c r="F1000" s="52">
        <v>46071.265972222223</v>
      </c>
      <c r="G1000" s="53">
        <v>0.11527777777777778</v>
      </c>
      <c r="H1000" s="1" t="s">
        <v>268</v>
      </c>
      <c r="I1000" s="1" t="s">
        <v>269</v>
      </c>
      <c r="J1000" s="1" t="s">
        <v>319</v>
      </c>
      <c r="K1000" s="1" t="s">
        <v>652</v>
      </c>
      <c r="L1000" s="1" t="s">
        <v>828</v>
      </c>
      <c r="M1000" s="1" t="s">
        <v>260</v>
      </c>
      <c r="N1000" s="1" t="s">
        <v>261</v>
      </c>
      <c r="O1000" s="1" t="s">
        <v>826</v>
      </c>
      <c r="P1000" s="1" t="str">
        <f>_xlfn.CONCAT(B1000,C1000,D1000,E1000,F1000)</f>
        <v>BC Corumba2.3U03.I0346071,150694444446071,150694444446071,2659722222</v>
      </c>
      <c r="Q1000" s="1" t="str">
        <f>_xlfn.CONCAT(H1000,I1000,J1000)</f>
        <v>LIGRFOCOM</v>
      </c>
    </row>
    <row r="1001" spans="2:17">
      <c r="B1001" s="1" t="s">
        <v>327</v>
      </c>
      <c r="C1001" s="1" t="s">
        <v>247</v>
      </c>
      <c r="D1001" s="52">
        <v>46071.276388888888</v>
      </c>
      <c r="E1001" s="52">
        <v>46071.276388888888</v>
      </c>
      <c r="F1001" s="52">
        <v>46071.29791666667</v>
      </c>
      <c r="G1001" s="53">
        <v>2.1527777777777778E-2</v>
      </c>
      <c r="H1001" s="1" t="s">
        <v>257</v>
      </c>
      <c r="J1001" s="1" t="s">
        <v>258</v>
      </c>
      <c r="K1001" s="1" t="s">
        <v>658</v>
      </c>
      <c r="L1001" s="1" t="s">
        <v>830</v>
      </c>
      <c r="M1001" s="1" t="s">
        <v>260</v>
      </c>
      <c r="N1001" s="1" t="s">
        <v>261</v>
      </c>
      <c r="O1001" s="1" t="s">
        <v>826</v>
      </c>
      <c r="P1001" s="1" t="str">
        <f>_xlfn.CONCAT(B1001,C1001,D1001,E1001,F1001)</f>
        <v>BC Aracu5.1Inverter(MBUS-1)46071,276388888946071,276388888946071,2979166667</v>
      </c>
      <c r="Q1001" s="1" t="str">
        <f>_xlfn.CONCAT(H1001,I1001,J1001)</f>
        <v>DAURDE</v>
      </c>
    </row>
    <row r="1002" spans="2:17">
      <c r="B1002" s="1" t="s">
        <v>328</v>
      </c>
      <c r="C1002" s="1" t="s">
        <v>247</v>
      </c>
      <c r="D1002" s="52">
        <v>46071.276388888888</v>
      </c>
      <c r="E1002" s="52">
        <v>46071.276388888888</v>
      </c>
      <c r="F1002" s="52">
        <v>46071.29791666667</v>
      </c>
      <c r="G1002" s="53">
        <v>2.1527777777777778E-2</v>
      </c>
      <c r="H1002" s="1" t="s">
        <v>257</v>
      </c>
      <c r="J1002" s="1" t="s">
        <v>258</v>
      </c>
      <c r="K1002" s="1" t="s">
        <v>658</v>
      </c>
      <c r="L1002" s="1" t="s">
        <v>830</v>
      </c>
      <c r="M1002" s="1" t="s">
        <v>260</v>
      </c>
      <c r="N1002" s="1" t="s">
        <v>261</v>
      </c>
      <c r="O1002" s="1" t="s">
        <v>826</v>
      </c>
      <c r="P1002" s="1" t="str">
        <f>_xlfn.CONCAT(B1002,C1002,D1002,E1002,F1002)</f>
        <v>BC Aracu5.3Inverter(MBUS-1)46071,276388888946071,276388888946071,2979166667</v>
      </c>
      <c r="Q1002" s="1" t="str">
        <f>_xlfn.CONCAT(H1002,I1002,J1002)</f>
        <v>DAURDE</v>
      </c>
    </row>
    <row r="1003" spans="2:17">
      <c r="B1003" s="1" t="s">
        <v>329</v>
      </c>
      <c r="C1003" s="1" t="s">
        <v>247</v>
      </c>
      <c r="D1003" s="52">
        <v>46071.276388888888</v>
      </c>
      <c r="E1003" s="52">
        <v>46071.276388888888</v>
      </c>
      <c r="F1003" s="52">
        <v>46071.29791666667</v>
      </c>
      <c r="G1003" s="53">
        <v>2.1527777777777778E-2</v>
      </c>
      <c r="H1003" s="1" t="s">
        <v>257</v>
      </c>
      <c r="J1003" s="1" t="s">
        <v>258</v>
      </c>
      <c r="K1003" s="1" t="s">
        <v>658</v>
      </c>
      <c r="L1003" s="1" t="s">
        <v>830</v>
      </c>
      <c r="M1003" s="1" t="s">
        <v>260</v>
      </c>
      <c r="N1003" s="1" t="s">
        <v>261</v>
      </c>
      <c r="O1003" s="1" t="s">
        <v>826</v>
      </c>
      <c r="P1003" s="1" t="str">
        <f>_xlfn.CONCAT(B1003,C1003,D1003,E1003,F1003)</f>
        <v>BC Aracu5.4Inverter(MBUS-1)46071,276388888946071,276388888946071,2979166667</v>
      </c>
      <c r="Q1003" s="1" t="str">
        <f>_xlfn.CONCAT(H1003,I1003,J1003)</f>
        <v>DAURDE</v>
      </c>
    </row>
    <row r="1004" spans="2:17" ht="45.75">
      <c r="B1004" s="1" t="s">
        <v>330</v>
      </c>
      <c r="C1004" s="1" t="s">
        <v>247</v>
      </c>
      <c r="D1004" s="52">
        <v>46071.276388888888</v>
      </c>
      <c r="E1004" s="52">
        <v>46071.276388888888</v>
      </c>
      <c r="F1004" s="52">
        <v>46071.29791666667</v>
      </c>
      <c r="G1004" s="53">
        <v>2.1527777777777778E-2</v>
      </c>
      <c r="H1004" s="1" t="s">
        <v>257</v>
      </c>
      <c r="J1004" s="1" t="s">
        <v>258</v>
      </c>
      <c r="K1004" s="1" t="s">
        <v>658</v>
      </c>
      <c r="L1004" s="1" t="s">
        <v>830</v>
      </c>
      <c r="M1004" s="1" t="s">
        <v>260</v>
      </c>
      <c r="N1004" s="1" t="s">
        <v>261</v>
      </c>
      <c r="O1004" s="72" t="s">
        <v>831</v>
      </c>
      <c r="P1004" s="1" t="str">
        <f>_xlfn.CONCAT(B1004,C1004,D1004,E1004,F1004)</f>
        <v>BC Aracu5.5Inverter(MBUS-1)46071,276388888946071,276388888946071,2979166667</v>
      </c>
      <c r="Q1004" s="1" t="str">
        <f>_xlfn.CONCAT(H1004,I1004,J1004)</f>
        <v>DAURDE</v>
      </c>
    </row>
    <row r="1005" spans="2:17" ht="45.75">
      <c r="B1005" s="1" t="s">
        <v>311</v>
      </c>
      <c r="C1005" s="1" t="s">
        <v>256</v>
      </c>
      <c r="D1005" s="52">
        <v>46071.40625</v>
      </c>
      <c r="E1005" s="52">
        <v>46071.40625</v>
      </c>
      <c r="F1005" s="52">
        <v>46071.438888888886</v>
      </c>
      <c r="G1005" s="53">
        <v>3.2638888888888891E-2</v>
      </c>
      <c r="H1005" s="1" t="s">
        <v>257</v>
      </c>
      <c r="J1005" s="1" t="s">
        <v>258</v>
      </c>
      <c r="K1005" s="1" t="s">
        <v>658</v>
      </c>
      <c r="L1005" s="1" t="s">
        <v>832</v>
      </c>
      <c r="M1005" s="1" t="s">
        <v>260</v>
      </c>
      <c r="N1005" s="1" t="s">
        <v>261</v>
      </c>
      <c r="O1005" s="72" t="s">
        <v>831</v>
      </c>
      <c r="P1005" s="1" t="str">
        <f>_xlfn.CONCAT(B1005,C1005,D1005,E1005,F1005)</f>
        <v>ARAGUATINS 2.1Inverter(MBUS-12)46071,4062546071,4062546071,4388888889</v>
      </c>
      <c r="Q1005" s="1" t="str">
        <f>_xlfn.CONCAT(H1005,I1005,J1005)</f>
        <v>DAURDE</v>
      </c>
    </row>
    <row r="1006" spans="2:17" ht="45.75">
      <c r="B1006" s="1" t="s">
        <v>311</v>
      </c>
      <c r="C1006" s="1" t="s">
        <v>307</v>
      </c>
      <c r="D1006" s="52">
        <v>46071.40625</v>
      </c>
      <c r="E1006" s="52">
        <v>46071.40625</v>
      </c>
      <c r="F1006" s="52">
        <v>46071.438888888886</v>
      </c>
      <c r="G1006" s="53">
        <v>3.2638888888888891E-2</v>
      </c>
      <c r="H1006" s="1" t="s">
        <v>257</v>
      </c>
      <c r="J1006" s="1" t="s">
        <v>258</v>
      </c>
      <c r="K1006" s="1" t="s">
        <v>658</v>
      </c>
      <c r="L1006" s="1" t="s">
        <v>832</v>
      </c>
      <c r="M1006" s="1" t="s">
        <v>260</v>
      </c>
      <c r="N1006" s="1" t="s">
        <v>261</v>
      </c>
      <c r="O1006" s="72" t="s">
        <v>831</v>
      </c>
      <c r="P1006" s="1" t="str">
        <f>_xlfn.CONCAT(B1006,C1006,D1006,E1006,F1006)</f>
        <v>ARAGUATINS 2.1Inverter(MBUS-15)46071,4062546071,4062546071,4388888889</v>
      </c>
      <c r="Q1006" s="1" t="str">
        <f>_xlfn.CONCAT(H1006,I1006,J1006)</f>
        <v>DAURDE</v>
      </c>
    </row>
    <row r="1007" spans="2:17" ht="45.75">
      <c r="B1007" s="1" t="s">
        <v>311</v>
      </c>
      <c r="C1007" s="1" t="s">
        <v>263</v>
      </c>
      <c r="D1007" s="52">
        <v>46071.40625</v>
      </c>
      <c r="E1007" s="52">
        <v>46071.40625</v>
      </c>
      <c r="F1007" s="52">
        <v>46071.438888888886</v>
      </c>
      <c r="G1007" s="53">
        <v>3.2638888888888891E-2</v>
      </c>
      <c r="H1007" s="1" t="s">
        <v>257</v>
      </c>
      <c r="J1007" s="1" t="s">
        <v>258</v>
      </c>
      <c r="K1007" s="1" t="s">
        <v>658</v>
      </c>
      <c r="L1007" s="1" t="s">
        <v>832</v>
      </c>
      <c r="M1007" s="1" t="s">
        <v>260</v>
      </c>
      <c r="N1007" s="1" t="s">
        <v>261</v>
      </c>
      <c r="O1007" s="72" t="s">
        <v>831</v>
      </c>
      <c r="P1007" s="1" t="str">
        <f>_xlfn.CONCAT(B1007,C1007,D1007,E1007,F1007)</f>
        <v>ARAGUATINS 2.1Inverter(MBUS-14)46071,4062546071,4062546071,4388888889</v>
      </c>
      <c r="Q1007" s="1" t="str">
        <f>_xlfn.CONCAT(H1007,I1007,J1007)</f>
        <v>DAURDE</v>
      </c>
    </row>
    <row r="1008" spans="2:17" ht="45.75">
      <c r="B1008" s="1" t="s">
        <v>311</v>
      </c>
      <c r="C1008" s="1" t="s">
        <v>247</v>
      </c>
      <c r="D1008" s="52">
        <v>46071.40625</v>
      </c>
      <c r="E1008" s="52">
        <v>46071.40625</v>
      </c>
      <c r="F1008" s="52">
        <v>46071.438888888886</v>
      </c>
      <c r="G1008" s="53">
        <v>3.2638888888888891E-2</v>
      </c>
      <c r="H1008" s="1" t="s">
        <v>257</v>
      </c>
      <c r="J1008" s="1" t="s">
        <v>258</v>
      </c>
      <c r="K1008" s="1" t="s">
        <v>658</v>
      </c>
      <c r="L1008" s="1" t="s">
        <v>832</v>
      </c>
      <c r="M1008" s="1" t="s">
        <v>260</v>
      </c>
      <c r="N1008" s="1" t="s">
        <v>261</v>
      </c>
      <c r="O1008" s="72" t="s">
        <v>831</v>
      </c>
      <c r="P1008" s="1" t="str">
        <f>_xlfn.CONCAT(B1008,C1008,D1008,E1008,F1008)</f>
        <v>ARAGUATINS 2.1Inverter(MBUS-1)46071,4062546071,4062546071,4388888889</v>
      </c>
      <c r="Q1008" s="1" t="str">
        <f>_xlfn.CONCAT(H1008,I1008,J1008)</f>
        <v>DAURDE</v>
      </c>
    </row>
    <row r="1009" spans="2:17" ht="45.75">
      <c r="B1009" s="1" t="s">
        <v>312</v>
      </c>
      <c r="C1009" s="1" t="s">
        <v>307</v>
      </c>
      <c r="D1009" s="52">
        <v>46071.40625</v>
      </c>
      <c r="E1009" s="52">
        <v>46071.40625</v>
      </c>
      <c r="F1009" s="52">
        <v>46071.438888888886</v>
      </c>
      <c r="G1009" s="53">
        <v>3.2638888888888891E-2</v>
      </c>
      <c r="H1009" s="1" t="s">
        <v>257</v>
      </c>
      <c r="J1009" s="1" t="s">
        <v>258</v>
      </c>
      <c r="K1009" s="1" t="s">
        <v>658</v>
      </c>
      <c r="L1009" s="1" t="s">
        <v>832</v>
      </c>
      <c r="M1009" s="1" t="s">
        <v>260</v>
      </c>
      <c r="N1009" s="1" t="s">
        <v>261</v>
      </c>
      <c r="O1009" s="72" t="s">
        <v>831</v>
      </c>
      <c r="P1009" s="1" t="str">
        <f>_xlfn.CONCAT(B1009,C1009,D1009,E1009,F1009)</f>
        <v>ARAGUATINS 2.2Inverter(MBUS-15)46071,4062546071,4062546071,4388888889</v>
      </c>
      <c r="Q1009" s="1" t="str">
        <f>_xlfn.CONCAT(H1009,I1009,J1009)</f>
        <v>DAURDE</v>
      </c>
    </row>
    <row r="1010" spans="2:17" ht="45.75">
      <c r="B1010" s="1" t="s">
        <v>312</v>
      </c>
      <c r="C1010" s="1" t="s">
        <v>264</v>
      </c>
      <c r="D1010" s="52">
        <v>46071.40625</v>
      </c>
      <c r="E1010" s="52">
        <v>46071.40625</v>
      </c>
      <c r="F1010" s="52">
        <v>46071.438888888886</v>
      </c>
      <c r="G1010" s="53">
        <v>3.2638888888888891E-2</v>
      </c>
      <c r="H1010" s="1" t="s">
        <v>257</v>
      </c>
      <c r="J1010" s="1" t="s">
        <v>258</v>
      </c>
      <c r="K1010" s="1" t="s">
        <v>658</v>
      </c>
      <c r="L1010" s="1" t="s">
        <v>832</v>
      </c>
      <c r="M1010" s="1" t="s">
        <v>260</v>
      </c>
      <c r="N1010" s="1" t="s">
        <v>261</v>
      </c>
      <c r="O1010" s="72" t="s">
        <v>831</v>
      </c>
      <c r="P1010" s="1" t="str">
        <f>_xlfn.CONCAT(B1010,C1010,D1010,E1010,F1010)</f>
        <v>ARAGUATINS 2.2Inverter(MBUS-13)46071,4062546071,4062546071,4388888889</v>
      </c>
      <c r="Q1010" s="1" t="str">
        <f>_xlfn.CONCAT(H1010,I1010,J1010)</f>
        <v>DAURDE</v>
      </c>
    </row>
    <row r="1011" spans="2:17" ht="45.75">
      <c r="B1011" s="1" t="s">
        <v>312</v>
      </c>
      <c r="C1011" s="1" t="s">
        <v>263</v>
      </c>
      <c r="D1011" s="52">
        <v>46071.40625</v>
      </c>
      <c r="E1011" s="52">
        <v>46071.40625</v>
      </c>
      <c r="F1011" s="52">
        <v>46071.438888888886</v>
      </c>
      <c r="G1011" s="53">
        <v>3.2638888888888891E-2</v>
      </c>
      <c r="H1011" s="1" t="s">
        <v>257</v>
      </c>
      <c r="J1011" s="1" t="s">
        <v>258</v>
      </c>
      <c r="K1011" s="1" t="s">
        <v>658</v>
      </c>
      <c r="L1011" s="1" t="s">
        <v>832</v>
      </c>
      <c r="M1011" s="1" t="s">
        <v>260</v>
      </c>
      <c r="N1011" s="1" t="s">
        <v>261</v>
      </c>
      <c r="O1011" s="72" t="s">
        <v>831</v>
      </c>
      <c r="P1011" s="1" t="str">
        <f>_xlfn.CONCAT(B1011,C1011,D1011,E1011,F1011)</f>
        <v>ARAGUATINS 2.2Inverter(MBUS-14)46071,4062546071,4062546071,4388888889</v>
      </c>
      <c r="Q1011" s="1" t="str">
        <f>_xlfn.CONCAT(H1011,I1011,J1011)</f>
        <v>DAURDE</v>
      </c>
    </row>
    <row r="1012" spans="2:17" ht="45.75">
      <c r="B1012" s="1" t="s">
        <v>312</v>
      </c>
      <c r="C1012" s="1" t="s">
        <v>256</v>
      </c>
      <c r="D1012" s="52">
        <v>46071.40625</v>
      </c>
      <c r="E1012" s="52">
        <v>46071.40625</v>
      </c>
      <c r="F1012" s="52">
        <v>46071.438888888886</v>
      </c>
      <c r="G1012" s="53">
        <v>3.2638888888888891E-2</v>
      </c>
      <c r="H1012" s="1" t="s">
        <v>257</v>
      </c>
      <c r="J1012" s="1" t="s">
        <v>258</v>
      </c>
      <c r="K1012" s="1" t="s">
        <v>658</v>
      </c>
      <c r="L1012" s="1" t="s">
        <v>832</v>
      </c>
      <c r="M1012" s="1" t="s">
        <v>260</v>
      </c>
      <c r="N1012" s="1" t="s">
        <v>261</v>
      </c>
      <c r="O1012" s="72" t="s">
        <v>831</v>
      </c>
      <c r="P1012" s="1" t="str">
        <f>_xlfn.CONCAT(B1012,C1012,D1012,E1012,F1012)</f>
        <v>ARAGUATINS 2.2Inverter(MBUS-12)46071,4062546071,4062546071,4388888889</v>
      </c>
      <c r="Q1012" s="1" t="str">
        <f>_xlfn.CONCAT(H1012,I1012,J1012)</f>
        <v>DAURDE</v>
      </c>
    </row>
    <row r="1013" spans="2:17" ht="45.75">
      <c r="B1013" s="1" t="s">
        <v>313</v>
      </c>
      <c r="C1013" s="1" t="s">
        <v>256</v>
      </c>
      <c r="D1013" s="52">
        <v>46071.40625</v>
      </c>
      <c r="E1013" s="52">
        <v>46071.40625</v>
      </c>
      <c r="F1013" s="52">
        <v>46071.438888888886</v>
      </c>
      <c r="G1013" s="53">
        <v>3.2638888888888891E-2</v>
      </c>
      <c r="H1013" s="1" t="s">
        <v>257</v>
      </c>
      <c r="J1013" s="1" t="s">
        <v>258</v>
      </c>
      <c r="K1013" s="1" t="s">
        <v>658</v>
      </c>
      <c r="L1013" s="1" t="s">
        <v>832</v>
      </c>
      <c r="M1013" s="1" t="s">
        <v>260</v>
      </c>
      <c r="N1013" s="1" t="s">
        <v>261</v>
      </c>
      <c r="O1013" s="72" t="s">
        <v>831</v>
      </c>
      <c r="P1013" s="1" t="str">
        <f>_xlfn.CONCAT(B1013,C1013,D1013,E1013,F1013)</f>
        <v>ARAGUATINS 2.3Inverter(MBUS-12)46071,4062546071,4062546071,4388888889</v>
      </c>
      <c r="Q1013" s="1" t="str">
        <f>_xlfn.CONCAT(H1013,I1013,J1013)</f>
        <v>DAURDE</v>
      </c>
    </row>
    <row r="1014" spans="2:17" ht="45.75">
      <c r="B1014" s="1" t="s">
        <v>313</v>
      </c>
      <c r="C1014" s="1" t="s">
        <v>264</v>
      </c>
      <c r="D1014" s="52">
        <v>46071.40625</v>
      </c>
      <c r="E1014" s="52">
        <v>46071.40625</v>
      </c>
      <c r="F1014" s="52">
        <v>46071.438888888886</v>
      </c>
      <c r="G1014" s="53">
        <v>3.2638888888888891E-2</v>
      </c>
      <c r="H1014" s="1" t="s">
        <v>257</v>
      </c>
      <c r="J1014" s="1" t="s">
        <v>258</v>
      </c>
      <c r="K1014" s="1" t="s">
        <v>658</v>
      </c>
      <c r="L1014" s="1" t="s">
        <v>832</v>
      </c>
      <c r="M1014" s="1" t="s">
        <v>260</v>
      </c>
      <c r="N1014" s="1" t="s">
        <v>261</v>
      </c>
      <c r="O1014" s="72" t="s">
        <v>831</v>
      </c>
      <c r="P1014" s="1" t="str">
        <f>_xlfn.CONCAT(B1014,C1014,D1014,E1014,F1014)</f>
        <v>ARAGUATINS 2.3Inverter(MBUS-13)46071,4062546071,4062546071,4388888889</v>
      </c>
      <c r="Q1014" s="1" t="str">
        <f>_xlfn.CONCAT(H1014,I1014,J1014)</f>
        <v>DAURDE</v>
      </c>
    </row>
    <row r="1015" spans="2:17" ht="45.75">
      <c r="B1015" s="1" t="s">
        <v>305</v>
      </c>
      <c r="C1015" s="1" t="s">
        <v>256</v>
      </c>
      <c r="D1015" s="52">
        <v>46071.40625</v>
      </c>
      <c r="E1015" s="52">
        <v>46071.40625</v>
      </c>
      <c r="F1015" s="52">
        <v>46071.438888888886</v>
      </c>
      <c r="G1015" s="53">
        <v>3.2638888888888891E-2</v>
      </c>
      <c r="H1015" s="1" t="s">
        <v>268</v>
      </c>
      <c r="I1015" s="1" t="s">
        <v>269</v>
      </c>
      <c r="J1015" s="1" t="s">
        <v>319</v>
      </c>
      <c r="K1015" s="1" t="s">
        <v>652</v>
      </c>
      <c r="L1015" s="1" t="s">
        <v>833</v>
      </c>
      <c r="M1015" s="1" t="s">
        <v>260</v>
      </c>
      <c r="N1015" s="1" t="s">
        <v>261</v>
      </c>
      <c r="O1015" s="72" t="s">
        <v>831</v>
      </c>
      <c r="P1015" s="1" t="str">
        <f>_xlfn.CONCAT(B1015,C1015,D1015,E1015,F1015)</f>
        <v>ARAGUATINS 1.1Inverter(MBUS-12)46071,4062546071,4062546071,4388888889</v>
      </c>
      <c r="Q1015" s="1" t="str">
        <f>_xlfn.CONCAT(H1015,I1015,J1015)</f>
        <v>LIGRFOCOM</v>
      </c>
    </row>
    <row r="1016" spans="2:17" ht="45.75">
      <c r="B1016" s="1" t="s">
        <v>305</v>
      </c>
      <c r="C1016" s="1" t="s">
        <v>264</v>
      </c>
      <c r="D1016" s="52">
        <v>46071.40625</v>
      </c>
      <c r="E1016" s="52">
        <v>46071.40625</v>
      </c>
      <c r="F1016" s="52">
        <v>46071.438888888886</v>
      </c>
      <c r="G1016" s="53">
        <v>3.2638888888888891E-2</v>
      </c>
      <c r="H1016" s="1" t="s">
        <v>268</v>
      </c>
      <c r="I1016" s="1" t="s">
        <v>269</v>
      </c>
      <c r="J1016" s="1" t="s">
        <v>319</v>
      </c>
      <c r="K1016" s="1" t="s">
        <v>652</v>
      </c>
      <c r="L1016" s="1" t="s">
        <v>833</v>
      </c>
      <c r="M1016" s="1" t="s">
        <v>260</v>
      </c>
      <c r="N1016" s="1" t="s">
        <v>261</v>
      </c>
      <c r="O1016" s="72" t="s">
        <v>831</v>
      </c>
      <c r="P1016" s="1" t="str">
        <f>_xlfn.CONCAT(B1016,C1016,D1016,E1016,F1016)</f>
        <v>ARAGUATINS 1.1Inverter(MBUS-13)46071,4062546071,4062546071,4388888889</v>
      </c>
      <c r="Q1016" s="1" t="str">
        <f>_xlfn.CONCAT(H1016,I1016,J1016)</f>
        <v>LIGRFOCOM</v>
      </c>
    </row>
    <row r="1017" spans="2:17" ht="45.75">
      <c r="B1017" s="1" t="s">
        <v>305</v>
      </c>
      <c r="C1017" s="1" t="s">
        <v>263</v>
      </c>
      <c r="D1017" s="52">
        <v>46071.40625</v>
      </c>
      <c r="E1017" s="52">
        <v>46071.40625</v>
      </c>
      <c r="F1017" s="52">
        <v>46071.438888888886</v>
      </c>
      <c r="G1017" s="53">
        <v>3.2638888888888891E-2</v>
      </c>
      <c r="H1017" s="1" t="s">
        <v>268</v>
      </c>
      <c r="I1017" s="1" t="s">
        <v>269</v>
      </c>
      <c r="J1017" s="1" t="s">
        <v>319</v>
      </c>
      <c r="K1017" s="1" t="s">
        <v>652</v>
      </c>
      <c r="L1017" s="1" t="s">
        <v>833</v>
      </c>
      <c r="M1017" s="1" t="s">
        <v>260</v>
      </c>
      <c r="N1017" s="1" t="s">
        <v>261</v>
      </c>
      <c r="O1017" s="72" t="s">
        <v>831</v>
      </c>
      <c r="P1017" s="1" t="str">
        <f>_xlfn.CONCAT(B1017,C1017,D1017,E1017,F1017)</f>
        <v>ARAGUATINS 1.1Inverter(MBUS-14)46071,4062546071,4062546071,4388888889</v>
      </c>
      <c r="Q1017" s="1" t="str">
        <f>_xlfn.CONCAT(H1017,I1017,J1017)</f>
        <v>LIGRFOCOM</v>
      </c>
    </row>
    <row r="1018" spans="2:17" ht="45.75">
      <c r="B1018" s="1" t="s">
        <v>305</v>
      </c>
      <c r="C1018" s="1" t="s">
        <v>307</v>
      </c>
      <c r="D1018" s="52">
        <v>46071.40625</v>
      </c>
      <c r="E1018" s="52">
        <v>46071.40625</v>
      </c>
      <c r="F1018" s="52">
        <v>46071.438888888886</v>
      </c>
      <c r="G1018" s="53">
        <v>3.2638888888888891E-2</v>
      </c>
      <c r="H1018" s="1" t="s">
        <v>268</v>
      </c>
      <c r="I1018" s="1" t="s">
        <v>269</v>
      </c>
      <c r="J1018" s="1" t="s">
        <v>319</v>
      </c>
      <c r="K1018" s="1" t="s">
        <v>652</v>
      </c>
      <c r="L1018" s="1" t="s">
        <v>833</v>
      </c>
      <c r="M1018" s="1" t="s">
        <v>260</v>
      </c>
      <c r="N1018" s="1" t="s">
        <v>261</v>
      </c>
      <c r="O1018" s="72" t="s">
        <v>831</v>
      </c>
      <c r="P1018" s="1" t="str">
        <f>_xlfn.CONCAT(B1018,C1018,D1018,E1018,F1018)</f>
        <v>ARAGUATINS 1.1Inverter(MBUS-15)46071,4062546071,4062546071,4388888889</v>
      </c>
      <c r="Q1018" s="1" t="str">
        <f>_xlfn.CONCAT(H1018,I1018,J1018)</f>
        <v>LIGRFOCOM</v>
      </c>
    </row>
    <row r="1019" spans="2:17" ht="45.75">
      <c r="B1019" s="1" t="s">
        <v>456</v>
      </c>
      <c r="C1019" s="1" t="s">
        <v>457</v>
      </c>
      <c r="D1019" s="52">
        <v>46071.599305555559</v>
      </c>
      <c r="E1019" s="52">
        <v>46071.599305555559</v>
      </c>
      <c r="F1019" s="52">
        <v>46071.701388888891</v>
      </c>
      <c r="G1019" s="53">
        <v>0.10208333333333333</v>
      </c>
      <c r="H1019" s="1" t="s">
        <v>257</v>
      </c>
      <c r="J1019" s="1" t="s">
        <v>258</v>
      </c>
      <c r="K1019" s="1" t="s">
        <v>658</v>
      </c>
      <c r="L1019" s="1" t="s">
        <v>834</v>
      </c>
      <c r="M1019" s="1" t="s">
        <v>260</v>
      </c>
      <c r="N1019" s="1" t="s">
        <v>261</v>
      </c>
      <c r="O1019" s="72" t="s">
        <v>831</v>
      </c>
      <c r="P1019" s="1" t="str">
        <f>_xlfn.CONCAT(B1019,C1019,D1019,E1019,F1019)</f>
        <v>BC Caiaponia1SG60KTL(COM1-001)_001_00746071,599305555646071,599305555646071,7013888889</v>
      </c>
      <c r="Q1019" s="1" t="str">
        <f>_xlfn.CONCAT(H1019,I1019,J1019)</f>
        <v>DAURDE</v>
      </c>
    </row>
    <row r="1020" spans="2:17" ht="45.75">
      <c r="B1020" s="1" t="s">
        <v>456</v>
      </c>
      <c r="C1020" s="1" t="s">
        <v>459</v>
      </c>
      <c r="D1020" s="52">
        <v>46071.599305555559</v>
      </c>
      <c r="E1020" s="52">
        <v>46071.599305555559</v>
      </c>
      <c r="F1020" s="52">
        <v>46071.701388888891</v>
      </c>
      <c r="G1020" s="53">
        <v>0.10208333333333333</v>
      </c>
      <c r="H1020" s="1" t="s">
        <v>257</v>
      </c>
      <c r="J1020" s="1" t="s">
        <v>258</v>
      </c>
      <c r="K1020" s="1" t="s">
        <v>658</v>
      </c>
      <c r="L1020" s="1" t="s">
        <v>834</v>
      </c>
      <c r="M1020" s="1" t="s">
        <v>260</v>
      </c>
      <c r="N1020" s="1" t="s">
        <v>261</v>
      </c>
      <c r="O1020" s="72" t="s">
        <v>831</v>
      </c>
      <c r="P1020" s="1" t="str">
        <f>_xlfn.CONCAT(B1020,C1020,D1020,E1020,F1020)</f>
        <v>BC Caiaponia1SG60KTL(COM1-002)_001_01046071,599305555646071,599305555646071,7013888889</v>
      </c>
      <c r="Q1020" s="1" t="str">
        <f>_xlfn.CONCAT(H1020,I1020,J1020)</f>
        <v>DAURDE</v>
      </c>
    </row>
    <row r="1021" spans="2:17" ht="45.75">
      <c r="B1021" s="1" t="s">
        <v>456</v>
      </c>
      <c r="C1021" s="1" t="s">
        <v>460</v>
      </c>
      <c r="D1021" s="52">
        <v>46071.599305555559</v>
      </c>
      <c r="E1021" s="52">
        <v>46071.599305555559</v>
      </c>
      <c r="F1021" s="52">
        <v>46071.701388888891</v>
      </c>
      <c r="G1021" s="53">
        <v>0.10208333333333333</v>
      </c>
      <c r="H1021" s="1" t="s">
        <v>257</v>
      </c>
      <c r="J1021" s="1" t="s">
        <v>258</v>
      </c>
      <c r="K1021" s="1" t="s">
        <v>658</v>
      </c>
      <c r="L1021" s="1" t="s">
        <v>834</v>
      </c>
      <c r="M1021" s="1" t="s">
        <v>260</v>
      </c>
      <c r="N1021" s="1" t="s">
        <v>261</v>
      </c>
      <c r="O1021" s="72" t="s">
        <v>831</v>
      </c>
      <c r="P1021" s="1" t="str">
        <f>_xlfn.CONCAT(B1021,C1021,D1021,E1021,F1021)</f>
        <v>BC Caiaponia1SG60KTL(COM1-003)_001_01146071,599305555646071,599305555646071,7013888889</v>
      </c>
      <c r="Q1021" s="1" t="str">
        <f>_xlfn.CONCAT(H1021,I1021,J1021)</f>
        <v>DAURDE</v>
      </c>
    </row>
    <row r="1022" spans="2:17" ht="45.75">
      <c r="B1022" s="1" t="s">
        <v>456</v>
      </c>
      <c r="C1022" s="1" t="s">
        <v>461</v>
      </c>
      <c r="D1022" s="52">
        <v>46071.599305555559</v>
      </c>
      <c r="E1022" s="52">
        <v>46071.599305555559</v>
      </c>
      <c r="F1022" s="52">
        <v>46071.701388888891</v>
      </c>
      <c r="G1022" s="53">
        <v>0.10208333333333333</v>
      </c>
      <c r="H1022" s="1" t="s">
        <v>257</v>
      </c>
      <c r="J1022" s="1" t="s">
        <v>258</v>
      </c>
      <c r="K1022" s="1" t="s">
        <v>658</v>
      </c>
      <c r="L1022" s="1" t="s">
        <v>834</v>
      </c>
      <c r="M1022" s="1" t="s">
        <v>260</v>
      </c>
      <c r="N1022" s="1" t="s">
        <v>261</v>
      </c>
      <c r="O1022" s="72" t="s">
        <v>831</v>
      </c>
      <c r="P1022" s="1" t="str">
        <f>_xlfn.CONCAT(B1022,C1022,D1022,E1022,F1022)</f>
        <v>BC Caiaponia1SG60KTL(COM1-004)_001_01446071,599305555646071,599305555646071,7013888889</v>
      </c>
      <c r="Q1022" s="1" t="str">
        <f>_xlfn.CONCAT(H1022,I1022,J1022)</f>
        <v>DAURDE</v>
      </c>
    </row>
    <row r="1023" spans="2:17" ht="45.75">
      <c r="B1023" s="1" t="s">
        <v>456</v>
      </c>
      <c r="C1023" s="1" t="s">
        <v>462</v>
      </c>
      <c r="D1023" s="52">
        <v>46071.599305555559</v>
      </c>
      <c r="E1023" s="52">
        <v>46071.599305555559</v>
      </c>
      <c r="F1023" s="52">
        <v>46071.701388888891</v>
      </c>
      <c r="G1023" s="53">
        <v>0.10208333333333333</v>
      </c>
      <c r="H1023" s="1" t="s">
        <v>257</v>
      </c>
      <c r="J1023" s="1" t="s">
        <v>258</v>
      </c>
      <c r="K1023" s="1" t="s">
        <v>658</v>
      </c>
      <c r="L1023" s="1" t="s">
        <v>834</v>
      </c>
      <c r="M1023" s="1" t="s">
        <v>260</v>
      </c>
      <c r="N1023" s="1" t="s">
        <v>261</v>
      </c>
      <c r="O1023" s="72" t="s">
        <v>831</v>
      </c>
      <c r="P1023" s="1" t="str">
        <f>_xlfn.CONCAT(B1023,C1023,D1023,E1023,F1023)</f>
        <v>BC Caiaponia1SG60KTL(COM1-005)_001_01746071,599305555646071,599305555646071,7013888889</v>
      </c>
      <c r="Q1023" s="1" t="str">
        <f>_xlfn.CONCAT(H1023,I1023,J1023)</f>
        <v>DAURDE</v>
      </c>
    </row>
    <row r="1024" spans="2:17">
      <c r="B1024" s="1" t="s">
        <v>456</v>
      </c>
      <c r="C1024" s="1" t="s">
        <v>463</v>
      </c>
      <c r="D1024" s="52">
        <v>46071.599305555559</v>
      </c>
      <c r="E1024" s="52">
        <v>46071.599305555559</v>
      </c>
      <c r="F1024" s="52">
        <v>46071.701388888891</v>
      </c>
      <c r="G1024" s="53">
        <v>0.10208333333333333</v>
      </c>
      <c r="H1024" s="1" t="s">
        <v>257</v>
      </c>
      <c r="J1024" s="1" t="s">
        <v>258</v>
      </c>
      <c r="K1024" s="1" t="s">
        <v>658</v>
      </c>
      <c r="L1024" s="1" t="s">
        <v>834</v>
      </c>
      <c r="M1024" s="1" t="s">
        <v>289</v>
      </c>
      <c r="N1024" s="1" t="s">
        <v>253</v>
      </c>
      <c r="O1024" s="1" t="s">
        <v>835</v>
      </c>
      <c r="P1024" s="1" t="str">
        <f>_xlfn.CONCAT(B1024,C1024,D1024,E1024,F1024)</f>
        <v>BC Caiaponia1SG60KTL(COM1-006)_001_01646071,599305555646071,599305555646071,7013888889</v>
      </c>
      <c r="Q1024" s="1" t="str">
        <f>_xlfn.CONCAT(H1024,I1024,J1024)</f>
        <v>DAURDE</v>
      </c>
    </row>
    <row r="1025" spans="2:17">
      <c r="B1025" s="1" t="s">
        <v>456</v>
      </c>
      <c r="C1025" s="1" t="s">
        <v>464</v>
      </c>
      <c r="D1025" s="52">
        <v>46071.599305555559</v>
      </c>
      <c r="E1025" s="52">
        <v>46071.599305555559</v>
      </c>
      <c r="F1025" s="52">
        <v>46071.701388888891</v>
      </c>
      <c r="G1025" s="53">
        <v>0.10208333333333333</v>
      </c>
      <c r="H1025" s="1" t="s">
        <v>257</v>
      </c>
      <c r="J1025" s="1" t="s">
        <v>258</v>
      </c>
      <c r="K1025" s="1" t="s">
        <v>658</v>
      </c>
      <c r="L1025" s="1" t="s">
        <v>834</v>
      </c>
      <c r="M1025" s="1" t="s">
        <v>289</v>
      </c>
      <c r="N1025" s="1" t="s">
        <v>253</v>
      </c>
      <c r="O1025" s="1" t="s">
        <v>835</v>
      </c>
      <c r="P1025" s="1" t="str">
        <f>_xlfn.CONCAT(B1025,C1025,D1025,E1025,F1025)</f>
        <v>BC Caiaponia1SG60KTL(COM1-007)_001_01346071,599305555646071,599305555646071,7013888889</v>
      </c>
      <c r="Q1025" s="1" t="str">
        <f>_xlfn.CONCAT(H1025,I1025,J1025)</f>
        <v>DAURDE</v>
      </c>
    </row>
    <row r="1026" spans="2:17">
      <c r="B1026" s="1" t="s">
        <v>456</v>
      </c>
      <c r="C1026" s="1" t="s">
        <v>465</v>
      </c>
      <c r="D1026" s="52">
        <v>46071.599305555559</v>
      </c>
      <c r="E1026" s="52">
        <v>46071.599305555559</v>
      </c>
      <c r="F1026" s="52">
        <v>46071.701388888891</v>
      </c>
      <c r="G1026" s="53">
        <v>0.10208333333333333</v>
      </c>
      <c r="H1026" s="1" t="s">
        <v>257</v>
      </c>
      <c r="J1026" s="1" t="s">
        <v>258</v>
      </c>
      <c r="K1026" s="1" t="s">
        <v>658</v>
      </c>
      <c r="L1026" s="1" t="s">
        <v>834</v>
      </c>
      <c r="M1026" s="1" t="s">
        <v>289</v>
      </c>
      <c r="N1026" s="1" t="s">
        <v>253</v>
      </c>
      <c r="O1026" s="1" t="s">
        <v>835</v>
      </c>
      <c r="P1026" s="1" t="str">
        <f>_xlfn.CONCAT(B1026,C1026,D1026,E1026,F1026)</f>
        <v>BC Caiaponia1SG60KTL(COM1-008)_001_00146071,599305555646071,599305555646071,7013888889</v>
      </c>
      <c r="Q1026" s="1" t="str">
        <f>_xlfn.CONCAT(H1026,I1026,J1026)</f>
        <v>DAURDE</v>
      </c>
    </row>
    <row r="1027" spans="2:17">
      <c r="B1027" s="1" t="s">
        <v>456</v>
      </c>
      <c r="C1027" s="1" t="s">
        <v>466</v>
      </c>
      <c r="D1027" s="52">
        <v>46071.599305555559</v>
      </c>
      <c r="E1027" s="52">
        <v>46071.599305555559</v>
      </c>
      <c r="F1027" s="52">
        <v>46071.701388888891</v>
      </c>
      <c r="G1027" s="53">
        <v>0.10208333333333333</v>
      </c>
      <c r="H1027" s="1" t="s">
        <v>257</v>
      </c>
      <c r="J1027" s="1" t="s">
        <v>258</v>
      </c>
      <c r="K1027" s="1" t="s">
        <v>658</v>
      </c>
      <c r="L1027" s="1" t="s">
        <v>834</v>
      </c>
      <c r="M1027" s="1" t="s">
        <v>289</v>
      </c>
      <c r="N1027" s="1" t="s">
        <v>253</v>
      </c>
      <c r="O1027" s="1" t="s">
        <v>835</v>
      </c>
      <c r="P1027" s="1" t="str">
        <f>_xlfn.CONCAT(B1027,C1027,D1027,E1027,F1027)</f>
        <v>BC Caiaponia1SG60KTL(COM1-009)46071,599305555646071,599305555646071,7013888889</v>
      </c>
      <c r="Q1027" s="1" t="str">
        <f>_xlfn.CONCAT(H1027,I1027,J1027)</f>
        <v>DAURDE</v>
      </c>
    </row>
    <row r="1028" spans="2:17">
      <c r="B1028" s="1" t="s">
        <v>456</v>
      </c>
      <c r="C1028" s="1" t="s">
        <v>467</v>
      </c>
      <c r="D1028" s="52">
        <v>46071.599305555559</v>
      </c>
      <c r="E1028" s="52">
        <v>46071.599305555559</v>
      </c>
      <c r="F1028" s="52">
        <v>46071.701388888891</v>
      </c>
      <c r="G1028" s="53">
        <v>0.10208333333333333</v>
      </c>
      <c r="H1028" s="1" t="s">
        <v>257</v>
      </c>
      <c r="J1028" s="1" t="s">
        <v>258</v>
      </c>
      <c r="K1028" s="1" t="s">
        <v>658</v>
      </c>
      <c r="L1028" s="1" t="s">
        <v>834</v>
      </c>
      <c r="M1028" s="1" t="s">
        <v>289</v>
      </c>
      <c r="N1028" s="1" t="s">
        <v>253</v>
      </c>
      <c r="O1028" s="1" t="s">
        <v>835</v>
      </c>
      <c r="P1028" s="1" t="str">
        <f>_xlfn.CONCAT(B1028,C1028,D1028,E1028,F1028)</f>
        <v>BC Caiaponia1SG60KTL(COM1-010)46071,599305555646071,599305555646071,7013888889</v>
      </c>
      <c r="Q1028" s="1" t="str">
        <f>_xlfn.CONCAT(H1028,I1028,J1028)</f>
        <v>DAURDE</v>
      </c>
    </row>
    <row r="1029" spans="2:17">
      <c r="B1029" s="1" t="s">
        <v>456</v>
      </c>
      <c r="C1029" s="1" t="s">
        <v>468</v>
      </c>
      <c r="D1029" s="52">
        <v>46071.599305555559</v>
      </c>
      <c r="E1029" s="52">
        <v>46071.599305555559</v>
      </c>
      <c r="F1029" s="52">
        <v>46071.701388888891</v>
      </c>
      <c r="G1029" s="53">
        <v>0.10208333333333333</v>
      </c>
      <c r="H1029" s="1" t="s">
        <v>257</v>
      </c>
      <c r="J1029" s="1" t="s">
        <v>258</v>
      </c>
      <c r="K1029" s="1" t="s">
        <v>658</v>
      </c>
      <c r="L1029" s="1" t="s">
        <v>834</v>
      </c>
      <c r="M1029" s="1" t="s">
        <v>289</v>
      </c>
      <c r="N1029" s="1" t="s">
        <v>253</v>
      </c>
      <c r="O1029" s="1" t="s">
        <v>835</v>
      </c>
      <c r="P1029" s="1" t="str">
        <f>_xlfn.CONCAT(B1029,C1029,D1029,E1029,F1029)</f>
        <v>BC Caiaponia1SG60KTL(COM1-011)46071,599305555646071,599305555646071,7013888889</v>
      </c>
      <c r="Q1029" s="1" t="str">
        <f>_xlfn.CONCAT(H1029,I1029,J1029)</f>
        <v>DAURDE</v>
      </c>
    </row>
    <row r="1030" spans="2:17">
      <c r="B1030" s="1" t="s">
        <v>456</v>
      </c>
      <c r="C1030" s="1" t="s">
        <v>469</v>
      </c>
      <c r="D1030" s="52">
        <v>46071.599305555559</v>
      </c>
      <c r="E1030" s="52">
        <v>46071.599305555559</v>
      </c>
      <c r="F1030" s="52">
        <v>46071.701388888891</v>
      </c>
      <c r="G1030" s="53">
        <v>0.10208333333333333</v>
      </c>
      <c r="H1030" s="1" t="s">
        <v>257</v>
      </c>
      <c r="J1030" s="1" t="s">
        <v>258</v>
      </c>
      <c r="K1030" s="1" t="s">
        <v>658</v>
      </c>
      <c r="L1030" s="1" t="s">
        <v>834</v>
      </c>
      <c r="M1030" s="1" t="s">
        <v>289</v>
      </c>
      <c r="N1030" s="1" t="s">
        <v>253</v>
      </c>
      <c r="O1030" s="1" t="s">
        <v>835</v>
      </c>
      <c r="P1030" s="1" t="str">
        <f>_xlfn.CONCAT(B1030,C1030,D1030,E1030,F1030)</f>
        <v>BC Caiaponia1SG60KTL(COM1-012)46071,599305555646071,599305555646071,7013888889</v>
      </c>
      <c r="Q1030" s="1" t="str">
        <f>_xlfn.CONCAT(H1030,I1030,J1030)</f>
        <v>DAURDE</v>
      </c>
    </row>
    <row r="1031" spans="2:17">
      <c r="B1031" s="1" t="s">
        <v>456</v>
      </c>
      <c r="C1031" s="1" t="s">
        <v>470</v>
      </c>
      <c r="D1031" s="52">
        <v>46071.599305555559</v>
      </c>
      <c r="E1031" s="52">
        <v>46071.599305555559</v>
      </c>
      <c r="F1031" s="52">
        <v>46071.701388888891</v>
      </c>
      <c r="G1031" s="53">
        <v>0.10208333333333333</v>
      </c>
      <c r="H1031" s="1" t="s">
        <v>257</v>
      </c>
      <c r="J1031" s="1" t="s">
        <v>258</v>
      </c>
      <c r="K1031" s="1" t="s">
        <v>658</v>
      </c>
      <c r="L1031" s="1" t="s">
        <v>834</v>
      </c>
      <c r="M1031" s="1" t="s">
        <v>289</v>
      </c>
      <c r="N1031" s="1" t="s">
        <v>253</v>
      </c>
      <c r="O1031" s="1" t="s">
        <v>835</v>
      </c>
      <c r="P1031" s="1" t="str">
        <f>_xlfn.CONCAT(B1031,C1031,D1031,E1031,F1031)</f>
        <v>BC Caiaponia1SG60KTL(COM1-013)46071,599305555646071,599305555646071,7013888889</v>
      </c>
      <c r="Q1031" s="1" t="str">
        <f>_xlfn.CONCAT(H1031,I1031,J1031)</f>
        <v>DAURDE</v>
      </c>
    </row>
    <row r="1032" spans="2:17">
      <c r="B1032" s="1" t="s">
        <v>456</v>
      </c>
      <c r="C1032" s="1" t="s">
        <v>471</v>
      </c>
      <c r="D1032" s="52">
        <v>46071.599305555559</v>
      </c>
      <c r="E1032" s="52">
        <v>46071.599305555559</v>
      </c>
      <c r="F1032" s="52">
        <v>46071.701388888891</v>
      </c>
      <c r="G1032" s="53">
        <v>0.10208333333333333</v>
      </c>
      <c r="H1032" s="1" t="s">
        <v>257</v>
      </c>
      <c r="J1032" s="1" t="s">
        <v>258</v>
      </c>
      <c r="K1032" s="1" t="s">
        <v>658</v>
      </c>
      <c r="L1032" s="1" t="s">
        <v>834</v>
      </c>
      <c r="M1032" s="1" t="s">
        <v>289</v>
      </c>
      <c r="N1032" s="1" t="s">
        <v>253</v>
      </c>
      <c r="O1032" s="1" t="s">
        <v>835</v>
      </c>
      <c r="P1032" s="1" t="str">
        <f>_xlfn.CONCAT(B1032,C1032,D1032,E1032,F1032)</f>
        <v>BC Caiaponia1SG60KTL(COM1-014)46071,599305555646071,599305555646071,7013888889</v>
      </c>
      <c r="Q1032" s="1" t="str">
        <f>_xlfn.CONCAT(H1032,I1032,J1032)</f>
        <v>DAURDE</v>
      </c>
    </row>
    <row r="1033" spans="2:17">
      <c r="B1033" s="1" t="s">
        <v>456</v>
      </c>
      <c r="C1033" s="1" t="s">
        <v>472</v>
      </c>
      <c r="D1033" s="52">
        <v>46071.599305555559</v>
      </c>
      <c r="E1033" s="52">
        <v>46071.599305555559</v>
      </c>
      <c r="F1033" s="52">
        <v>46071.701388888891</v>
      </c>
      <c r="G1033" s="53">
        <v>0.10208333333333333</v>
      </c>
      <c r="H1033" s="1" t="s">
        <v>257</v>
      </c>
      <c r="J1033" s="1" t="s">
        <v>258</v>
      </c>
      <c r="K1033" s="1" t="s">
        <v>658</v>
      </c>
      <c r="L1033" s="1" t="s">
        <v>834</v>
      </c>
      <c r="M1033" s="1" t="s">
        <v>289</v>
      </c>
      <c r="N1033" s="1" t="s">
        <v>253</v>
      </c>
      <c r="O1033" s="1" t="s">
        <v>835</v>
      </c>
      <c r="P1033" s="1" t="str">
        <f>_xlfn.CONCAT(B1033,C1033,D1033,E1033,F1033)</f>
        <v>BC Caiaponia1SG60KTL(COM1-015)46071,599305555646071,599305555646071,7013888889</v>
      </c>
      <c r="Q1033" s="1" t="str">
        <f>_xlfn.CONCAT(H1033,I1033,J1033)</f>
        <v>DAURDE</v>
      </c>
    </row>
    <row r="1034" spans="2:17">
      <c r="B1034" s="1" t="s">
        <v>456</v>
      </c>
      <c r="C1034" s="1" t="s">
        <v>473</v>
      </c>
      <c r="D1034" s="52">
        <v>46071.599305555559</v>
      </c>
      <c r="E1034" s="52">
        <v>46071.599305555559</v>
      </c>
      <c r="F1034" s="52">
        <v>46071.701388888891</v>
      </c>
      <c r="G1034" s="53">
        <v>0.10208333333333333</v>
      </c>
      <c r="H1034" s="1" t="s">
        <v>257</v>
      </c>
      <c r="J1034" s="1" t="s">
        <v>258</v>
      </c>
      <c r="K1034" s="1" t="s">
        <v>658</v>
      </c>
      <c r="L1034" s="1" t="s">
        <v>834</v>
      </c>
      <c r="M1034" s="1" t="s">
        <v>289</v>
      </c>
      <c r="N1034" s="1" t="s">
        <v>253</v>
      </c>
      <c r="O1034" s="1" t="s">
        <v>835</v>
      </c>
      <c r="P1034" s="1" t="str">
        <f>_xlfn.CONCAT(B1034,C1034,D1034,E1034,F1034)</f>
        <v>BC Caiaponia1SG60KTL(COM3-016)_001_00946071,599305555646071,599305555646071,7013888889</v>
      </c>
      <c r="Q1034" s="1" t="str">
        <f>_xlfn.CONCAT(H1034,I1034,J1034)</f>
        <v>DAURDE</v>
      </c>
    </row>
    <row r="1035" spans="2:17">
      <c r="B1035" s="1" t="s">
        <v>456</v>
      </c>
      <c r="C1035" s="1" t="s">
        <v>474</v>
      </c>
      <c r="D1035" s="52">
        <v>46071.599305555559</v>
      </c>
      <c r="E1035" s="52">
        <v>46071.599305555559</v>
      </c>
      <c r="F1035" s="52">
        <v>46071.701388888891</v>
      </c>
      <c r="G1035" s="53">
        <v>0.10208333333333333</v>
      </c>
      <c r="H1035" s="1" t="s">
        <v>257</v>
      </c>
      <c r="J1035" s="1" t="s">
        <v>258</v>
      </c>
      <c r="K1035" s="1" t="s">
        <v>658</v>
      </c>
      <c r="L1035" s="1" t="s">
        <v>834</v>
      </c>
      <c r="M1035" s="1" t="s">
        <v>289</v>
      </c>
      <c r="N1035" s="1" t="s">
        <v>253</v>
      </c>
      <c r="O1035" s="1" t="s">
        <v>835</v>
      </c>
      <c r="P1035" s="1" t="str">
        <f>_xlfn.CONCAT(B1035,C1035,D1035,E1035,F1035)</f>
        <v>BC Caiaponia1SG60KTL(COM3-017)_001_01246071,599305555646071,599305555646071,7013888889</v>
      </c>
      <c r="Q1035" s="1" t="str">
        <f>_xlfn.CONCAT(H1035,I1035,J1035)</f>
        <v>DAURDE</v>
      </c>
    </row>
    <row r="1036" spans="2:17">
      <c r="B1036" s="1" t="s">
        <v>456</v>
      </c>
      <c r="C1036" s="1" t="s">
        <v>475</v>
      </c>
      <c r="D1036" s="52">
        <v>46071.599305555559</v>
      </c>
      <c r="E1036" s="52">
        <v>46071.599305555559</v>
      </c>
      <c r="F1036" s="52">
        <v>46071.701388888891</v>
      </c>
      <c r="G1036" s="53">
        <v>0.10208333333333333</v>
      </c>
      <c r="H1036" s="1" t="s">
        <v>257</v>
      </c>
      <c r="J1036" s="1" t="s">
        <v>258</v>
      </c>
      <c r="K1036" s="1" t="s">
        <v>658</v>
      </c>
      <c r="L1036" s="1" t="s">
        <v>834</v>
      </c>
      <c r="M1036" s="1" t="s">
        <v>289</v>
      </c>
      <c r="N1036" s="1" t="s">
        <v>253</v>
      </c>
      <c r="O1036" s="1" t="s">
        <v>835</v>
      </c>
      <c r="P1036" s="1" t="str">
        <f>_xlfn.CONCAT(B1036,C1036,D1036,E1036,F1036)</f>
        <v>BC Caiaponia1SG60KTL(COM3-018)_001_00846071,599305555646071,599305555646071,7013888889</v>
      </c>
      <c r="Q1036" s="1" t="str">
        <f>_xlfn.CONCAT(H1036,I1036,J1036)</f>
        <v>DAURDE</v>
      </c>
    </row>
    <row r="1037" spans="2:17">
      <c r="B1037" s="1" t="s">
        <v>456</v>
      </c>
      <c r="C1037" s="1" t="s">
        <v>476</v>
      </c>
      <c r="D1037" s="52">
        <v>46071.599305555559</v>
      </c>
      <c r="E1037" s="52">
        <v>46071.599305555559</v>
      </c>
      <c r="F1037" s="52">
        <v>46071.701388888891</v>
      </c>
      <c r="G1037" s="53">
        <v>0.10208333333333333</v>
      </c>
      <c r="H1037" s="1" t="s">
        <v>257</v>
      </c>
      <c r="J1037" s="1" t="s">
        <v>258</v>
      </c>
      <c r="K1037" s="1" t="s">
        <v>658</v>
      </c>
      <c r="L1037" s="1" t="s">
        <v>834</v>
      </c>
      <c r="M1037" s="1" t="s">
        <v>289</v>
      </c>
      <c r="N1037" s="1" t="s">
        <v>253</v>
      </c>
      <c r="O1037" s="1" t="s">
        <v>835</v>
      </c>
      <c r="P1037" s="1" t="str">
        <f>_xlfn.CONCAT(B1037,C1037,D1037,E1037,F1037)</f>
        <v>BC Caiaponia1SG60KTL(COM3-019)_001_01946071,599305555646071,599305555646071,7013888889</v>
      </c>
      <c r="Q1037" s="1" t="str">
        <f>_xlfn.CONCAT(H1037,I1037,J1037)</f>
        <v>DAURDE</v>
      </c>
    </row>
    <row r="1038" spans="2:17">
      <c r="B1038" s="1" t="s">
        <v>456</v>
      </c>
      <c r="C1038" s="1" t="s">
        <v>477</v>
      </c>
      <c r="D1038" s="52">
        <v>46071.599305555559</v>
      </c>
      <c r="E1038" s="52">
        <v>46071.599305555559</v>
      </c>
      <c r="F1038" s="52">
        <v>46071.701388888891</v>
      </c>
      <c r="G1038" s="53">
        <v>0.10208333333333333</v>
      </c>
      <c r="H1038" s="1" t="s">
        <v>257</v>
      </c>
      <c r="J1038" s="1" t="s">
        <v>258</v>
      </c>
      <c r="K1038" s="1" t="s">
        <v>658</v>
      </c>
      <c r="L1038" s="1" t="s">
        <v>834</v>
      </c>
      <c r="M1038" s="1" t="s">
        <v>289</v>
      </c>
      <c r="N1038" s="1" t="s">
        <v>253</v>
      </c>
      <c r="O1038" s="1" t="s">
        <v>835</v>
      </c>
      <c r="P1038" s="1" t="str">
        <f>_xlfn.CONCAT(B1038,C1038,D1038,E1038,F1038)</f>
        <v>BC Caiaponia1SG60KTL(COM3-020)_001_02046071,599305555646071,599305555646071,7013888889</v>
      </c>
      <c r="Q1038" s="1" t="str">
        <f>_xlfn.CONCAT(H1038,I1038,J1038)</f>
        <v>DAURDE</v>
      </c>
    </row>
    <row r="1039" spans="2:17">
      <c r="B1039" s="1" t="s">
        <v>456</v>
      </c>
      <c r="C1039" s="1" t="s">
        <v>478</v>
      </c>
      <c r="D1039" s="52">
        <v>46071.599305555559</v>
      </c>
      <c r="E1039" s="52">
        <v>46071.599305555559</v>
      </c>
      <c r="F1039" s="52">
        <v>46071.701388888891</v>
      </c>
      <c r="G1039" s="53">
        <v>0.10208333333333333</v>
      </c>
      <c r="H1039" s="1" t="s">
        <v>257</v>
      </c>
      <c r="J1039" s="1" t="s">
        <v>258</v>
      </c>
      <c r="K1039" s="1" t="s">
        <v>658</v>
      </c>
      <c r="L1039" s="1" t="s">
        <v>834</v>
      </c>
      <c r="M1039" s="1" t="s">
        <v>289</v>
      </c>
      <c r="N1039" s="1" t="s">
        <v>253</v>
      </c>
      <c r="O1039" s="1" t="s">
        <v>835</v>
      </c>
      <c r="P1039" s="1" t="str">
        <f>_xlfn.CONCAT(B1039,C1039,D1039,E1039,F1039)</f>
        <v>BC Caiaponia1SG60KTL(COM2-026)46071,599305555646071,599305555646071,7013888889</v>
      </c>
      <c r="Q1039" s="1" t="str">
        <f>_xlfn.CONCAT(H1039,I1039,J1039)</f>
        <v>DAURDE</v>
      </c>
    </row>
    <row r="1040" spans="2:17">
      <c r="B1040" s="1" t="s">
        <v>456</v>
      </c>
      <c r="C1040" s="1" t="s">
        <v>479</v>
      </c>
      <c r="D1040" s="52">
        <v>46071.599305555559</v>
      </c>
      <c r="E1040" s="52">
        <v>46071.599305555559</v>
      </c>
      <c r="F1040" s="52">
        <v>46071.701388888891</v>
      </c>
      <c r="G1040" s="53">
        <v>0.10208333333333333</v>
      </c>
      <c r="H1040" s="1" t="s">
        <v>257</v>
      </c>
      <c r="J1040" s="1" t="s">
        <v>258</v>
      </c>
      <c r="K1040" s="1" t="s">
        <v>658</v>
      </c>
      <c r="L1040" s="1" t="s">
        <v>834</v>
      </c>
      <c r="M1040" s="1" t="s">
        <v>289</v>
      </c>
      <c r="N1040" s="1" t="s">
        <v>253</v>
      </c>
      <c r="O1040" s="1" t="s">
        <v>835</v>
      </c>
      <c r="P1040" s="1" t="str">
        <f>_xlfn.CONCAT(B1040,C1040,D1040,E1040,F1040)</f>
        <v>BC Caiaponia1SG60KTL(COM2-027)46071,599305555646071,599305555646071,7013888889</v>
      </c>
      <c r="Q1040" s="1" t="str">
        <f>_xlfn.CONCAT(H1040,I1040,J1040)</f>
        <v>DAURDE</v>
      </c>
    </row>
    <row r="1041" spans="2:17">
      <c r="B1041" s="1" t="s">
        <v>456</v>
      </c>
      <c r="C1041" s="1" t="s">
        <v>480</v>
      </c>
      <c r="D1041" s="52">
        <v>46071.599305555559</v>
      </c>
      <c r="E1041" s="52">
        <v>46071.599305555559</v>
      </c>
      <c r="F1041" s="52">
        <v>46071.701388888891</v>
      </c>
      <c r="G1041" s="53">
        <v>0.10208333333333333</v>
      </c>
      <c r="H1041" s="1" t="s">
        <v>257</v>
      </c>
      <c r="J1041" s="1" t="s">
        <v>258</v>
      </c>
      <c r="K1041" s="1" t="s">
        <v>658</v>
      </c>
      <c r="L1041" s="1" t="s">
        <v>834</v>
      </c>
      <c r="M1041" s="1" t="s">
        <v>289</v>
      </c>
      <c r="N1041" s="1" t="s">
        <v>253</v>
      </c>
      <c r="O1041" s="1" t="s">
        <v>835</v>
      </c>
      <c r="P1041" s="1" t="str">
        <f>_xlfn.CONCAT(B1041,C1041,D1041,E1041,F1041)</f>
        <v>BC Caiaponia1SG60KTL(COM2-028)46071,599305555646071,599305555646071,7013888889</v>
      </c>
      <c r="Q1041" s="1" t="str">
        <f>_xlfn.CONCAT(H1041,I1041,J1041)</f>
        <v>DAURDE</v>
      </c>
    </row>
    <row r="1042" spans="2:17">
      <c r="B1042" s="1" t="s">
        <v>456</v>
      </c>
      <c r="C1042" s="1" t="s">
        <v>481</v>
      </c>
      <c r="D1042" s="52">
        <v>46071.599305555559</v>
      </c>
      <c r="E1042" s="52">
        <v>46071.599305555559</v>
      </c>
      <c r="F1042" s="52">
        <v>46071.701388888891</v>
      </c>
      <c r="G1042" s="53">
        <v>0.10208333333333333</v>
      </c>
      <c r="H1042" s="1" t="s">
        <v>257</v>
      </c>
      <c r="J1042" s="1" t="s">
        <v>258</v>
      </c>
      <c r="K1042" s="1" t="s">
        <v>658</v>
      </c>
      <c r="L1042" s="1" t="s">
        <v>834</v>
      </c>
      <c r="M1042" s="1" t="s">
        <v>289</v>
      </c>
      <c r="N1042" s="1" t="s">
        <v>253</v>
      </c>
      <c r="O1042" s="1" t="s">
        <v>835</v>
      </c>
      <c r="P1042" s="1" t="str">
        <f>_xlfn.CONCAT(B1042,C1042,D1042,E1042,F1042)</f>
        <v>BC Caiaponia1SG60KTL(COM2-029)46071,599305555646071,599305555646071,7013888889</v>
      </c>
      <c r="Q1042" s="1" t="str">
        <f>_xlfn.CONCAT(H1042,I1042,J1042)</f>
        <v>DAURDE</v>
      </c>
    </row>
    <row r="1043" spans="2:17">
      <c r="B1043" s="1" t="s">
        <v>456</v>
      </c>
      <c r="C1043" s="1" t="s">
        <v>482</v>
      </c>
      <c r="D1043" s="52">
        <v>46071.599305555559</v>
      </c>
      <c r="E1043" s="52">
        <v>46071.599305555559</v>
      </c>
      <c r="F1043" s="52">
        <v>46071.701388888891</v>
      </c>
      <c r="G1043" s="53">
        <v>0.10208333333333333</v>
      </c>
      <c r="H1043" s="1" t="s">
        <v>257</v>
      </c>
      <c r="J1043" s="1" t="s">
        <v>258</v>
      </c>
      <c r="K1043" s="1" t="s">
        <v>658</v>
      </c>
      <c r="L1043" s="1" t="s">
        <v>834</v>
      </c>
      <c r="M1043" s="1" t="s">
        <v>289</v>
      </c>
      <c r="N1043" s="1" t="s">
        <v>253</v>
      </c>
      <c r="O1043" s="1" t="s">
        <v>835</v>
      </c>
      <c r="P1043" s="1" t="str">
        <f>_xlfn.CONCAT(B1043,C1043,D1043,E1043,F1043)</f>
        <v>BC Caiaponia1SG50CX(COM1-021)46071,599305555646071,599305555646071,7013888889</v>
      </c>
      <c r="Q1043" s="1" t="str">
        <f>_xlfn.CONCAT(H1043,I1043,J1043)</f>
        <v>DAURDE</v>
      </c>
    </row>
    <row r="1044" spans="2:17">
      <c r="B1044" s="1" t="s">
        <v>456</v>
      </c>
      <c r="C1044" s="1" t="s">
        <v>483</v>
      </c>
      <c r="D1044" s="52">
        <v>46071.599305555559</v>
      </c>
      <c r="E1044" s="52">
        <v>46071.599305555559</v>
      </c>
      <c r="F1044" s="52">
        <v>46071.701388888891</v>
      </c>
      <c r="G1044" s="53">
        <v>0.10208333333333333</v>
      </c>
      <c r="H1044" s="1" t="s">
        <v>257</v>
      </c>
      <c r="J1044" s="1" t="s">
        <v>258</v>
      </c>
      <c r="K1044" s="1" t="s">
        <v>658</v>
      </c>
      <c r="L1044" s="1" t="s">
        <v>834</v>
      </c>
      <c r="M1044" s="1" t="s">
        <v>289</v>
      </c>
      <c r="N1044" s="1" t="s">
        <v>253</v>
      </c>
      <c r="O1044" s="1" t="s">
        <v>835</v>
      </c>
      <c r="P1044" s="1" t="str">
        <f>_xlfn.CONCAT(B1044,C1044,D1044,E1044,F1044)</f>
        <v>BC Caiaponia1SG50CX(COM1-022)46071,599305555646071,599305555646071,7013888889</v>
      </c>
      <c r="Q1044" s="1" t="str">
        <f>_xlfn.CONCAT(H1044,I1044,J1044)</f>
        <v>DAURDE</v>
      </c>
    </row>
    <row r="1045" spans="2:17">
      <c r="B1045" s="1" t="s">
        <v>456</v>
      </c>
      <c r="C1045" s="1" t="s">
        <v>484</v>
      </c>
      <c r="D1045" s="52">
        <v>46071.599305555559</v>
      </c>
      <c r="E1045" s="52">
        <v>46071.599305555559</v>
      </c>
      <c r="F1045" s="52">
        <v>46071.701388888891</v>
      </c>
      <c r="G1045" s="53">
        <v>0.10208333333333333</v>
      </c>
      <c r="H1045" s="1" t="s">
        <v>257</v>
      </c>
      <c r="J1045" s="1" t="s">
        <v>258</v>
      </c>
      <c r="K1045" s="1" t="s">
        <v>658</v>
      </c>
      <c r="L1045" s="1" t="s">
        <v>834</v>
      </c>
      <c r="M1045" s="1" t="s">
        <v>289</v>
      </c>
      <c r="N1045" s="1" t="s">
        <v>253</v>
      </c>
      <c r="O1045" s="1" t="s">
        <v>835</v>
      </c>
      <c r="P1045" s="1" t="str">
        <f>_xlfn.CONCAT(B1045,C1045,D1045,E1045,F1045)</f>
        <v>BC Caiaponia1SG50CX(COM1-023)46071,599305555646071,599305555646071,7013888889</v>
      </c>
      <c r="Q1045" s="1" t="str">
        <f>_xlfn.CONCAT(H1045,I1045,J1045)</f>
        <v>DAURDE</v>
      </c>
    </row>
    <row r="1046" spans="2:17">
      <c r="B1046" s="1" t="s">
        <v>456</v>
      </c>
      <c r="C1046" s="1" t="s">
        <v>485</v>
      </c>
      <c r="D1046" s="52">
        <v>46071.599305555559</v>
      </c>
      <c r="E1046" s="52">
        <v>46071.599305555559</v>
      </c>
      <c r="F1046" s="52">
        <v>46071.701388888891</v>
      </c>
      <c r="G1046" s="53">
        <v>0.10208333333333333</v>
      </c>
      <c r="H1046" s="1" t="s">
        <v>257</v>
      </c>
      <c r="J1046" s="1" t="s">
        <v>258</v>
      </c>
      <c r="K1046" s="1" t="s">
        <v>658</v>
      </c>
      <c r="L1046" s="1" t="s">
        <v>834</v>
      </c>
      <c r="M1046" s="1" t="s">
        <v>289</v>
      </c>
      <c r="N1046" s="1" t="s">
        <v>253</v>
      </c>
      <c r="O1046" s="1" t="s">
        <v>835</v>
      </c>
      <c r="P1046" s="1" t="str">
        <f>_xlfn.CONCAT(B1046,C1046,D1046,E1046,F1046)</f>
        <v>BC Caiaponia1SG50CX(COM1-024)46071,599305555646071,599305555646071,7013888889</v>
      </c>
      <c r="Q1046" s="1" t="str">
        <f>_xlfn.CONCAT(H1046,I1046,J1046)</f>
        <v>DAURDE</v>
      </c>
    </row>
    <row r="1047" spans="2:17">
      <c r="B1047" s="1" t="s">
        <v>456</v>
      </c>
      <c r="C1047" s="1" t="s">
        <v>486</v>
      </c>
      <c r="D1047" s="52">
        <v>46071.599305555559</v>
      </c>
      <c r="E1047" s="52">
        <v>46071.599305555559</v>
      </c>
      <c r="F1047" s="52">
        <v>46071.701388888891</v>
      </c>
      <c r="G1047" s="53">
        <v>0.10208333333333333</v>
      </c>
      <c r="H1047" s="1" t="s">
        <v>257</v>
      </c>
      <c r="J1047" s="1" t="s">
        <v>258</v>
      </c>
      <c r="K1047" s="1" t="s">
        <v>658</v>
      </c>
      <c r="L1047" s="1" t="s">
        <v>834</v>
      </c>
      <c r="M1047" s="1" t="s">
        <v>289</v>
      </c>
      <c r="N1047" s="1" t="s">
        <v>253</v>
      </c>
      <c r="O1047" s="1" t="s">
        <v>835</v>
      </c>
      <c r="P1047" s="1" t="str">
        <f>_xlfn.CONCAT(B1047,C1047,D1047,E1047,F1047)</f>
        <v>BC Caiaponia1SG50CX(COM1-025)46071,599305555646071,599305555646071,7013888889</v>
      </c>
      <c r="Q1047" s="1" t="str">
        <f>_xlfn.CONCAT(H1047,I1047,J1047)</f>
        <v>DAURDE</v>
      </c>
    </row>
    <row r="1048" spans="2:17">
      <c r="B1048" s="1" t="s">
        <v>487</v>
      </c>
      <c r="C1048" s="1" t="s">
        <v>377</v>
      </c>
      <c r="D1048" s="52">
        <v>46071.599305555559</v>
      </c>
      <c r="E1048" s="52">
        <v>46071.599305555559</v>
      </c>
      <c r="F1048" s="52">
        <v>46071.701388888891</v>
      </c>
      <c r="G1048" s="53">
        <v>0.10208333333333333</v>
      </c>
      <c r="H1048" s="1" t="s">
        <v>257</v>
      </c>
      <c r="J1048" s="1" t="s">
        <v>258</v>
      </c>
      <c r="K1048" s="1" t="s">
        <v>658</v>
      </c>
      <c r="L1048" s="1" t="s">
        <v>834</v>
      </c>
      <c r="M1048" s="1" t="s">
        <v>289</v>
      </c>
      <c r="N1048" s="1" t="s">
        <v>253</v>
      </c>
      <c r="O1048" s="1" t="s">
        <v>835</v>
      </c>
      <c r="P1048" s="1" t="str">
        <f>_xlfn.CONCAT(B1048,C1048,D1048,E1048,F1048)</f>
        <v>BC Caiaponia2.1215KTL-H3(MBUS-12)46071,599305555646071,599305555646071,7013888889</v>
      </c>
      <c r="Q1048" s="1" t="str">
        <f>_xlfn.CONCAT(H1048,I1048,J1048)</f>
        <v>DAURDE</v>
      </c>
    </row>
    <row r="1049" spans="2:17">
      <c r="B1049" s="1" t="s">
        <v>487</v>
      </c>
      <c r="C1049" s="1" t="s">
        <v>378</v>
      </c>
      <c r="D1049" s="52">
        <v>46071.599305555559</v>
      </c>
      <c r="E1049" s="52">
        <v>46071.599305555559</v>
      </c>
      <c r="F1049" s="52">
        <v>46071.701388888891</v>
      </c>
      <c r="G1049" s="53">
        <v>0.10208333333333333</v>
      </c>
      <c r="H1049" s="1" t="s">
        <v>257</v>
      </c>
      <c r="J1049" s="1" t="s">
        <v>258</v>
      </c>
      <c r="K1049" s="1" t="s">
        <v>658</v>
      </c>
      <c r="L1049" s="1" t="s">
        <v>834</v>
      </c>
      <c r="M1049" s="1" t="s">
        <v>289</v>
      </c>
      <c r="N1049" s="1" t="s">
        <v>253</v>
      </c>
      <c r="O1049" s="1" t="s">
        <v>835</v>
      </c>
      <c r="P1049" s="1" t="str">
        <f>_xlfn.CONCAT(B1049,C1049,D1049,E1049,F1049)</f>
        <v>BC Caiaponia2.1215KTL-H3(MBUS-13)46071,599305555646071,599305555646071,7013888889</v>
      </c>
      <c r="Q1049" s="1" t="str">
        <f>_xlfn.CONCAT(H1049,I1049,J1049)</f>
        <v>DAURDE</v>
      </c>
    </row>
    <row r="1050" spans="2:17">
      <c r="B1050" s="1" t="s">
        <v>487</v>
      </c>
      <c r="C1050" s="1" t="s">
        <v>382</v>
      </c>
      <c r="D1050" s="52">
        <v>46071.599305555559</v>
      </c>
      <c r="E1050" s="52">
        <v>46071.599305555559</v>
      </c>
      <c r="F1050" s="52">
        <v>46071.701388888891</v>
      </c>
      <c r="G1050" s="53">
        <v>0.10208333333333333</v>
      </c>
      <c r="H1050" s="1" t="s">
        <v>257</v>
      </c>
      <c r="J1050" s="1" t="s">
        <v>258</v>
      </c>
      <c r="K1050" s="1" t="s">
        <v>658</v>
      </c>
      <c r="L1050" s="1" t="s">
        <v>834</v>
      </c>
      <c r="M1050" s="1" t="s">
        <v>289</v>
      </c>
      <c r="N1050" s="1" t="s">
        <v>253</v>
      </c>
      <c r="O1050" s="1" t="s">
        <v>835</v>
      </c>
      <c r="P1050" s="1" t="str">
        <f>_xlfn.CONCAT(B1050,C1050,D1050,E1050,F1050)</f>
        <v>BC Caiaponia2.1215KTL-H3(MBUS-14)46071,599305555646071,599305555646071,7013888889</v>
      </c>
      <c r="Q1050" s="1" t="str">
        <f>_xlfn.CONCAT(H1050,I1050,J1050)</f>
        <v>DAURDE</v>
      </c>
    </row>
    <row r="1051" spans="2:17">
      <c r="B1051" s="1" t="s">
        <v>487</v>
      </c>
      <c r="C1051" s="1" t="s">
        <v>380</v>
      </c>
      <c r="D1051" s="52">
        <v>46071.599305555559</v>
      </c>
      <c r="E1051" s="52">
        <v>46071.599305555559</v>
      </c>
      <c r="F1051" s="52">
        <v>46071.701388888891</v>
      </c>
      <c r="G1051" s="53">
        <v>0.10208333333333333</v>
      </c>
      <c r="H1051" s="1" t="s">
        <v>257</v>
      </c>
      <c r="J1051" s="1" t="s">
        <v>258</v>
      </c>
      <c r="K1051" s="1" t="s">
        <v>658</v>
      </c>
      <c r="L1051" s="1" t="s">
        <v>834</v>
      </c>
      <c r="M1051" s="1" t="s">
        <v>289</v>
      </c>
      <c r="N1051" s="1" t="s">
        <v>253</v>
      </c>
      <c r="O1051" s="1" t="s">
        <v>835</v>
      </c>
      <c r="P1051" s="1" t="str">
        <f>_xlfn.CONCAT(B1051,C1051,D1051,E1051,F1051)</f>
        <v>BC Caiaponia2.1215KTL-H3(MBUS-15)46071,599305555646071,599305555646071,7013888889</v>
      </c>
      <c r="Q1051" s="1" t="str">
        <f>_xlfn.CONCAT(H1051,I1051,J1051)</f>
        <v>DAURDE</v>
      </c>
    </row>
    <row r="1052" spans="2:17">
      <c r="B1052" s="1" t="s">
        <v>487</v>
      </c>
      <c r="C1052" s="1" t="s">
        <v>379</v>
      </c>
      <c r="D1052" s="52">
        <v>46071.599305555559</v>
      </c>
      <c r="E1052" s="52">
        <v>46071.599305555559</v>
      </c>
      <c r="F1052" s="52">
        <v>46071.701388888891</v>
      </c>
      <c r="G1052" s="53">
        <v>0.10208333333333333</v>
      </c>
      <c r="H1052" s="1" t="s">
        <v>257</v>
      </c>
      <c r="J1052" s="1" t="s">
        <v>258</v>
      </c>
      <c r="K1052" s="1" t="s">
        <v>658</v>
      </c>
      <c r="L1052" s="1" t="s">
        <v>834</v>
      </c>
      <c r="M1052" s="1" t="s">
        <v>289</v>
      </c>
      <c r="N1052" s="1" t="s">
        <v>253</v>
      </c>
      <c r="O1052" s="1" t="s">
        <v>835</v>
      </c>
      <c r="P1052" s="1" t="str">
        <f>_xlfn.CONCAT(B1052,C1052,D1052,E1052,F1052)</f>
        <v>BC Caiaponia2.1215KTL-H3(MBUS-16)46071,599305555646071,599305555646071,7013888889</v>
      </c>
      <c r="Q1052" s="1" t="str">
        <f>_xlfn.CONCAT(H1052,I1052,J1052)</f>
        <v>DAURDE</v>
      </c>
    </row>
    <row r="1053" spans="2:17">
      <c r="B1053" s="1" t="s">
        <v>583</v>
      </c>
      <c r="C1053" s="1" t="s">
        <v>377</v>
      </c>
      <c r="D1053" s="52">
        <v>46071.599305555559</v>
      </c>
      <c r="E1053" s="52">
        <v>46071.599305555559</v>
      </c>
      <c r="F1053" s="52">
        <v>46071.701388888891</v>
      </c>
      <c r="G1053" s="53">
        <v>0.10208333333333333</v>
      </c>
      <c r="H1053" s="1" t="s">
        <v>257</v>
      </c>
      <c r="J1053" s="1" t="s">
        <v>258</v>
      </c>
      <c r="K1053" s="1" t="s">
        <v>658</v>
      </c>
      <c r="L1053" s="1" t="s">
        <v>834</v>
      </c>
      <c r="M1053" s="1" t="s">
        <v>252</v>
      </c>
      <c r="N1053" s="1" t="s">
        <v>253</v>
      </c>
      <c r="O1053" s="1" t="s">
        <v>836</v>
      </c>
      <c r="P1053" s="1" t="str">
        <f>_xlfn.CONCAT(B1053,C1053,D1053,E1053,F1053)</f>
        <v>BC Caiaponia2.2215KTL-H3(MBUS-12)46071,599305555646071,599305555646071,7013888889</v>
      </c>
      <c r="Q1053" s="1" t="str">
        <f>_xlfn.CONCAT(H1053,I1053,J1053)</f>
        <v>DAURDE</v>
      </c>
    </row>
    <row r="1054" spans="2:17">
      <c r="B1054" s="1" t="s">
        <v>583</v>
      </c>
      <c r="C1054" s="1" t="s">
        <v>378</v>
      </c>
      <c r="D1054" s="52">
        <v>46071.599305555559</v>
      </c>
      <c r="E1054" s="52">
        <v>46071.599305555559</v>
      </c>
      <c r="F1054" s="52">
        <v>46071.701388888891</v>
      </c>
      <c r="G1054" s="53">
        <v>0.10208333333333333</v>
      </c>
      <c r="H1054" s="1" t="s">
        <v>257</v>
      </c>
      <c r="J1054" s="1" t="s">
        <v>258</v>
      </c>
      <c r="K1054" s="1" t="s">
        <v>658</v>
      </c>
      <c r="L1054" s="1" t="s">
        <v>834</v>
      </c>
      <c r="M1054" s="1" t="s">
        <v>289</v>
      </c>
      <c r="N1054" s="1" t="s">
        <v>290</v>
      </c>
      <c r="O1054" s="1" t="s">
        <v>837</v>
      </c>
      <c r="P1054" s="1" t="str">
        <f>_xlfn.CONCAT(B1054,C1054,D1054,E1054,F1054)</f>
        <v>BC Caiaponia2.2215KTL-H3(MBUS-13)46071,599305555646071,599305555646071,7013888889</v>
      </c>
      <c r="Q1054" s="1" t="str">
        <f>_xlfn.CONCAT(H1054,I1054,J1054)</f>
        <v>DAURDE</v>
      </c>
    </row>
    <row r="1055" spans="2:17">
      <c r="B1055" s="1" t="s">
        <v>583</v>
      </c>
      <c r="C1055" s="1" t="s">
        <v>382</v>
      </c>
      <c r="D1055" s="52">
        <v>46071.599305555559</v>
      </c>
      <c r="E1055" s="52">
        <v>46071.599305555559</v>
      </c>
      <c r="F1055" s="52">
        <v>46071.701388888891</v>
      </c>
      <c r="G1055" s="53">
        <v>0.10208333333333333</v>
      </c>
      <c r="H1055" s="1" t="s">
        <v>257</v>
      </c>
      <c r="J1055" s="1" t="s">
        <v>258</v>
      </c>
      <c r="K1055" s="1" t="s">
        <v>658</v>
      </c>
      <c r="L1055" s="1" t="s">
        <v>834</v>
      </c>
      <c r="M1055" s="1" t="s">
        <v>289</v>
      </c>
      <c r="N1055" s="1" t="s">
        <v>290</v>
      </c>
      <c r="O1055" s="1" t="s">
        <v>837</v>
      </c>
      <c r="P1055" s="1" t="str">
        <f>_xlfn.CONCAT(B1055,C1055,D1055,E1055,F1055)</f>
        <v>BC Caiaponia2.2215KTL-H3(MBUS-14)46071,599305555646071,599305555646071,7013888889</v>
      </c>
      <c r="Q1055" s="1" t="str">
        <f>_xlfn.CONCAT(H1055,I1055,J1055)</f>
        <v>DAURDE</v>
      </c>
    </row>
    <row r="1056" spans="2:17">
      <c r="B1056" s="1" t="s">
        <v>583</v>
      </c>
      <c r="C1056" s="1" t="s">
        <v>380</v>
      </c>
      <c r="D1056" s="52">
        <v>46071.599305555559</v>
      </c>
      <c r="E1056" s="52">
        <v>46071.599305555559</v>
      </c>
      <c r="F1056" s="52">
        <v>46071.701388888891</v>
      </c>
      <c r="G1056" s="53">
        <v>0.10208333333333333</v>
      </c>
      <c r="H1056" s="1" t="s">
        <v>257</v>
      </c>
      <c r="J1056" s="1" t="s">
        <v>258</v>
      </c>
      <c r="K1056" s="1" t="s">
        <v>658</v>
      </c>
      <c r="L1056" s="1" t="s">
        <v>834</v>
      </c>
      <c r="M1056" s="1" t="s">
        <v>289</v>
      </c>
      <c r="N1056" s="1" t="s">
        <v>290</v>
      </c>
      <c r="O1056" s="1" t="s">
        <v>837</v>
      </c>
      <c r="P1056" s="1" t="str">
        <f>_xlfn.CONCAT(B1056,C1056,D1056,E1056,F1056)</f>
        <v>BC Caiaponia2.2215KTL-H3(MBUS-15)46071,599305555646071,599305555646071,7013888889</v>
      </c>
      <c r="Q1056" s="1" t="str">
        <f>_xlfn.CONCAT(H1056,I1056,J1056)</f>
        <v>DAURDE</v>
      </c>
    </row>
    <row r="1057" spans="2:17">
      <c r="B1057" s="1" t="s">
        <v>583</v>
      </c>
      <c r="C1057" s="1" t="s">
        <v>379</v>
      </c>
      <c r="D1057" s="52">
        <v>46071.599305555559</v>
      </c>
      <c r="E1057" s="52">
        <v>46071.599305555559</v>
      </c>
      <c r="F1057" s="52">
        <v>46071.701388888891</v>
      </c>
      <c r="G1057" s="53">
        <v>0.10208333333333333</v>
      </c>
      <c r="H1057" s="1" t="s">
        <v>257</v>
      </c>
      <c r="J1057" s="1" t="s">
        <v>258</v>
      </c>
      <c r="K1057" s="1" t="s">
        <v>658</v>
      </c>
      <c r="L1057" s="1" t="s">
        <v>834</v>
      </c>
      <c r="M1057" s="1" t="s">
        <v>289</v>
      </c>
      <c r="N1057" s="1" t="s">
        <v>290</v>
      </c>
      <c r="O1057" s="1" t="s">
        <v>837</v>
      </c>
      <c r="P1057" s="1" t="str">
        <f>_xlfn.CONCAT(B1057,C1057,D1057,E1057,F1057)</f>
        <v>BC Caiaponia2.2215KTL-H3(MBUS-16)46071,599305555646071,599305555646071,7013888889</v>
      </c>
      <c r="Q1057" s="1" t="str">
        <f>_xlfn.CONCAT(H1057,I1057,J1057)</f>
        <v>DAURDE</v>
      </c>
    </row>
    <row r="1058" spans="2:17">
      <c r="B1058" s="1" t="s">
        <v>584</v>
      </c>
      <c r="C1058" s="1" t="s">
        <v>377</v>
      </c>
      <c r="D1058" s="52">
        <v>46071.599305555559</v>
      </c>
      <c r="E1058" s="52">
        <v>46071.599305555559</v>
      </c>
      <c r="F1058" s="52">
        <v>46071.701388888891</v>
      </c>
      <c r="G1058" s="53">
        <v>0.10208333333333333</v>
      </c>
      <c r="H1058" s="1" t="s">
        <v>257</v>
      </c>
      <c r="J1058" s="1" t="s">
        <v>258</v>
      </c>
      <c r="K1058" s="1" t="s">
        <v>658</v>
      </c>
      <c r="L1058" s="1" t="s">
        <v>834</v>
      </c>
      <c r="M1058" s="1" t="s">
        <v>272</v>
      </c>
      <c r="N1058" s="1" t="s">
        <v>253</v>
      </c>
      <c r="O1058" s="1" t="s">
        <v>838</v>
      </c>
      <c r="P1058" s="1" t="str">
        <f>_xlfn.CONCAT(B1058,C1058,D1058,E1058,F1058)</f>
        <v>BC Caiaponia2.3215KTL-H3(MBUS-12)46071,599305555646071,599305555646071,7013888889</v>
      </c>
      <c r="Q1058" s="1" t="str">
        <f>_xlfn.CONCAT(H1058,I1058,J1058)</f>
        <v>DAURDE</v>
      </c>
    </row>
    <row r="1059" spans="2:17">
      <c r="B1059" s="1" t="s">
        <v>584</v>
      </c>
      <c r="C1059" s="1" t="s">
        <v>378</v>
      </c>
      <c r="D1059" s="52">
        <v>46071.599305555559</v>
      </c>
      <c r="E1059" s="52">
        <v>46071.599305555559</v>
      </c>
      <c r="F1059" s="52">
        <v>46071.701388888891</v>
      </c>
      <c r="G1059" s="53">
        <v>0.10208333333333333</v>
      </c>
      <c r="H1059" s="1" t="s">
        <v>257</v>
      </c>
      <c r="J1059" s="1" t="s">
        <v>258</v>
      </c>
      <c r="K1059" s="1" t="s">
        <v>658</v>
      </c>
      <c r="L1059" s="1" t="s">
        <v>834</v>
      </c>
      <c r="M1059" s="1" t="s">
        <v>663</v>
      </c>
      <c r="N1059" s="1" t="s">
        <v>672</v>
      </c>
      <c r="O1059" s="1" t="s">
        <v>533</v>
      </c>
      <c r="P1059" s="1" t="str">
        <f>_xlfn.CONCAT(B1059,C1059,D1059,E1059,F1059)</f>
        <v>BC Caiaponia2.3215KTL-H3(MBUS-13)46071,599305555646071,599305555646071,7013888889</v>
      </c>
      <c r="Q1059" s="1" t="str">
        <f>_xlfn.CONCAT(H1059,I1059,J1059)</f>
        <v>DAURDE</v>
      </c>
    </row>
    <row r="1060" spans="2:17">
      <c r="B1060" s="1" t="s">
        <v>584</v>
      </c>
      <c r="C1060" s="1" t="s">
        <v>382</v>
      </c>
      <c r="D1060" s="52">
        <v>46071.599305555559</v>
      </c>
      <c r="E1060" s="52">
        <v>46071.599305555559</v>
      </c>
      <c r="F1060" s="52">
        <v>46071.701388888891</v>
      </c>
      <c r="G1060" s="53">
        <v>0.10208333333333333</v>
      </c>
      <c r="H1060" s="1" t="s">
        <v>257</v>
      </c>
      <c r="J1060" s="1" t="s">
        <v>258</v>
      </c>
      <c r="K1060" s="1" t="s">
        <v>658</v>
      </c>
      <c r="L1060" s="1" t="s">
        <v>834</v>
      </c>
      <c r="M1060" s="1" t="s">
        <v>663</v>
      </c>
      <c r="N1060" s="1" t="s">
        <v>672</v>
      </c>
      <c r="O1060" s="1" t="s">
        <v>533</v>
      </c>
      <c r="P1060" s="1" t="str">
        <f>_xlfn.CONCAT(B1060,C1060,D1060,E1060,F1060)</f>
        <v>BC Caiaponia2.3215KTL-H3(MBUS-14)46071,599305555646071,599305555646071,7013888889</v>
      </c>
      <c r="Q1060" s="1" t="str">
        <f>_xlfn.CONCAT(H1060,I1060,J1060)</f>
        <v>DAURDE</v>
      </c>
    </row>
    <row r="1061" spans="2:17">
      <c r="B1061" s="1" t="s">
        <v>584</v>
      </c>
      <c r="C1061" s="1" t="s">
        <v>380</v>
      </c>
      <c r="D1061" s="52">
        <v>46071.599305555559</v>
      </c>
      <c r="E1061" s="52">
        <v>46071.599305555559</v>
      </c>
      <c r="F1061" s="52">
        <v>46071.701388888891</v>
      </c>
      <c r="G1061" s="53">
        <v>0.10208333333333333</v>
      </c>
      <c r="H1061" s="1" t="s">
        <v>257</v>
      </c>
      <c r="J1061" s="1" t="s">
        <v>258</v>
      </c>
      <c r="K1061" s="1" t="s">
        <v>658</v>
      </c>
      <c r="L1061" s="1" t="s">
        <v>834</v>
      </c>
      <c r="M1061" s="1" t="s">
        <v>663</v>
      </c>
      <c r="N1061" s="1" t="s">
        <v>672</v>
      </c>
      <c r="O1061" s="1" t="s">
        <v>533</v>
      </c>
      <c r="P1061" s="1" t="str">
        <f>_xlfn.CONCAT(B1061,C1061,D1061,E1061,F1061)</f>
        <v>BC Caiaponia2.3215KTL-H3(MBUS-15)46071,599305555646071,599305555646071,7013888889</v>
      </c>
      <c r="Q1061" s="1" t="str">
        <f>_xlfn.CONCAT(H1061,I1061,J1061)</f>
        <v>DAURDE</v>
      </c>
    </row>
    <row r="1062" spans="2:17">
      <c r="B1062" s="1" t="s">
        <v>584</v>
      </c>
      <c r="C1062" s="1" t="s">
        <v>379</v>
      </c>
      <c r="D1062" s="52">
        <v>46071.599305555559</v>
      </c>
      <c r="E1062" s="52">
        <v>46071.599305555559</v>
      </c>
      <c r="F1062" s="52">
        <v>46071.701388888891</v>
      </c>
      <c r="G1062" s="53">
        <v>0.10208333333333333</v>
      </c>
      <c r="H1062" s="1" t="s">
        <v>257</v>
      </c>
      <c r="J1062" s="1" t="s">
        <v>258</v>
      </c>
      <c r="K1062" s="1" t="s">
        <v>658</v>
      </c>
      <c r="L1062" s="1" t="s">
        <v>834</v>
      </c>
      <c r="M1062" s="1" t="s">
        <v>663</v>
      </c>
      <c r="N1062" s="1" t="s">
        <v>672</v>
      </c>
      <c r="O1062" s="1" t="s">
        <v>533</v>
      </c>
      <c r="P1062" s="1" t="str">
        <f>_xlfn.CONCAT(B1062,C1062,D1062,E1062,F1062)</f>
        <v>BC Caiaponia2.3215KTL-H3(MBUS-16)46071,599305555646071,599305555646071,7013888889</v>
      </c>
      <c r="Q1062" s="1" t="str">
        <f>_xlfn.CONCAT(H1062,I1062,J1062)</f>
        <v>DAURDE</v>
      </c>
    </row>
    <row r="1063" spans="2:17">
      <c r="B1063" s="1" t="s">
        <v>299</v>
      </c>
      <c r="C1063" s="1" t="s">
        <v>300</v>
      </c>
      <c r="D1063" s="52">
        <v>46071.628472222219</v>
      </c>
      <c r="E1063" s="52">
        <v>46071.628472222219</v>
      </c>
      <c r="F1063" s="52">
        <v>46071.663194444445</v>
      </c>
      <c r="G1063" s="53">
        <v>3.4722222222222224E-2</v>
      </c>
      <c r="H1063" s="1" t="s">
        <v>257</v>
      </c>
      <c r="J1063" s="1" t="s">
        <v>258</v>
      </c>
      <c r="K1063" s="1" t="s">
        <v>658</v>
      </c>
      <c r="L1063" s="1" t="s">
        <v>839</v>
      </c>
      <c r="M1063" s="1" t="s">
        <v>663</v>
      </c>
      <c r="N1063" s="1" t="s">
        <v>672</v>
      </c>
      <c r="O1063" s="1" t="s">
        <v>533</v>
      </c>
      <c r="P1063" s="1" t="str">
        <f>_xlfn.CONCAT(B1063,C1063,D1063,E1063,F1063)</f>
        <v>BC Panama1.1ITAPOAN 001 (COM1-001)_001_00146071,628472222246071,628472222246071,6631944444</v>
      </c>
      <c r="Q1063" s="1" t="str">
        <f>_xlfn.CONCAT(H1063,I1063,J1063)</f>
        <v>DAURDE</v>
      </c>
    </row>
    <row r="1064" spans="2:17">
      <c r="B1064" s="1" t="s">
        <v>299</v>
      </c>
      <c r="C1064" s="1" t="s">
        <v>303</v>
      </c>
      <c r="D1064" s="52">
        <v>46071.628472222219</v>
      </c>
      <c r="E1064" s="52">
        <v>46071.628472222219</v>
      </c>
      <c r="F1064" s="52">
        <v>46071.663194444445</v>
      </c>
      <c r="G1064" s="53">
        <v>3.4722222222222224E-2</v>
      </c>
      <c r="H1064" s="1" t="s">
        <v>257</v>
      </c>
      <c r="J1064" s="1" t="s">
        <v>258</v>
      </c>
      <c r="K1064" s="1" t="s">
        <v>658</v>
      </c>
      <c r="L1064" s="1" t="s">
        <v>839</v>
      </c>
      <c r="M1064" s="1" t="s">
        <v>663</v>
      </c>
      <c r="N1064" s="1" t="s">
        <v>672</v>
      </c>
      <c r="O1064" s="1" t="s">
        <v>533</v>
      </c>
      <c r="P1064" s="1" t="str">
        <f>_xlfn.CONCAT(B1064,C1064,D1064,E1064,F1064)</f>
        <v>BC Panama1.1CEREAL_00246071,628472222246071,628472222246071,6631944444</v>
      </c>
      <c r="Q1064" s="1" t="str">
        <f>_xlfn.CONCAT(H1064,I1064,J1064)</f>
        <v>DAURDE</v>
      </c>
    </row>
    <row r="1065" spans="2:17">
      <c r="B1065" s="1" t="s">
        <v>299</v>
      </c>
      <c r="C1065" s="1" t="s">
        <v>304</v>
      </c>
      <c r="D1065" s="52">
        <v>46071.628472222219</v>
      </c>
      <c r="E1065" s="52">
        <v>46071.628472222219</v>
      </c>
      <c r="F1065" s="52">
        <v>46071.663194444445</v>
      </c>
      <c r="G1065" s="53">
        <v>3.4722222222222224E-2</v>
      </c>
      <c r="H1065" s="1" t="s">
        <v>257</v>
      </c>
      <c r="J1065" s="1" t="s">
        <v>258</v>
      </c>
      <c r="K1065" s="1" t="s">
        <v>658</v>
      </c>
      <c r="L1065" s="1" t="s">
        <v>839</v>
      </c>
      <c r="M1065" s="1" t="s">
        <v>663</v>
      </c>
      <c r="N1065" s="1" t="s">
        <v>672</v>
      </c>
      <c r="O1065" s="1" t="s">
        <v>533</v>
      </c>
      <c r="P1065" s="1" t="str">
        <f>_xlfn.CONCAT(B1065,C1065,D1065,E1065,F1065)</f>
        <v>BC Panama1.1ITAPOAN_00346071,628472222246071,628472222246071,6631944444</v>
      </c>
      <c r="Q1065" s="1" t="str">
        <f>_xlfn.CONCAT(H1065,I1065,J1065)</f>
        <v>DAURDE</v>
      </c>
    </row>
    <row r="1066" spans="2:17">
      <c r="B1066" s="1" t="s">
        <v>343</v>
      </c>
      <c r="C1066" s="1" t="s">
        <v>344</v>
      </c>
      <c r="D1066" s="52">
        <v>46071.628472222219</v>
      </c>
      <c r="E1066" s="52">
        <v>46071.628472222219</v>
      </c>
      <c r="F1066" s="52">
        <v>46071.663194444445</v>
      </c>
      <c r="G1066" s="53">
        <v>3.4722222222222224E-2</v>
      </c>
      <c r="H1066" s="1" t="s">
        <v>257</v>
      </c>
      <c r="J1066" s="1" t="s">
        <v>258</v>
      </c>
      <c r="K1066" s="1" t="s">
        <v>658</v>
      </c>
      <c r="L1066" s="1" t="s">
        <v>839</v>
      </c>
      <c r="M1066" s="1" t="s">
        <v>663</v>
      </c>
      <c r="N1066" s="1" t="s">
        <v>672</v>
      </c>
      <c r="O1066" s="1" t="s">
        <v>533</v>
      </c>
      <c r="P1066" s="1" t="str">
        <f>_xlfn.CONCAT(B1066,C1066,D1066,E1066,F1066)</f>
        <v>BC Panama1.2ART_00446071,628472222246071,628472222246071,6631944444</v>
      </c>
      <c r="Q1066" s="1" t="str">
        <f>_xlfn.CONCAT(H1066,I1066,J1066)</f>
        <v>DAURDE</v>
      </c>
    </row>
    <row r="1067" spans="2:17">
      <c r="B1067" s="1" t="s">
        <v>343</v>
      </c>
      <c r="C1067" s="1" t="s">
        <v>345</v>
      </c>
      <c r="D1067" s="52">
        <v>46071.628472222219</v>
      </c>
      <c r="E1067" s="52">
        <v>46071.628472222219</v>
      </c>
      <c r="F1067" s="52">
        <v>46071.663194444445</v>
      </c>
      <c r="G1067" s="53">
        <v>3.4722222222222224E-2</v>
      </c>
      <c r="H1067" s="1" t="s">
        <v>257</v>
      </c>
      <c r="J1067" s="1" t="s">
        <v>258</v>
      </c>
      <c r="K1067" s="1" t="s">
        <v>658</v>
      </c>
      <c r="L1067" s="1" t="s">
        <v>839</v>
      </c>
      <c r="M1067" s="1" t="s">
        <v>663</v>
      </c>
      <c r="N1067" s="1" t="s">
        <v>672</v>
      </c>
      <c r="O1067" s="1" t="s">
        <v>533</v>
      </c>
      <c r="P1067" s="1" t="str">
        <f>_xlfn.CONCAT(B1067,C1067,D1067,E1067,F1067)</f>
        <v>BC Panama1.2COOGED_00546071,628472222246071,628472222246071,6631944444</v>
      </c>
      <c r="Q1067" s="1" t="str">
        <f>_xlfn.CONCAT(H1067,I1067,J1067)</f>
        <v>DAURDE</v>
      </c>
    </row>
    <row r="1068" spans="2:17">
      <c r="B1068" s="1" t="s">
        <v>343</v>
      </c>
      <c r="C1068" s="1" t="s">
        <v>346</v>
      </c>
      <c r="D1068" s="52">
        <v>46071.628472222219</v>
      </c>
      <c r="E1068" s="52">
        <v>46071.628472222219</v>
      </c>
      <c r="F1068" s="52">
        <v>46071.663194444445</v>
      </c>
      <c r="G1068" s="53">
        <v>3.4722222222222224E-2</v>
      </c>
      <c r="H1068" s="1" t="s">
        <v>257</v>
      </c>
      <c r="J1068" s="1" t="s">
        <v>258</v>
      </c>
      <c r="K1068" s="1" t="s">
        <v>658</v>
      </c>
      <c r="L1068" s="1" t="s">
        <v>839</v>
      </c>
      <c r="M1068" s="1" t="s">
        <v>663</v>
      </c>
      <c r="N1068" s="1" t="s">
        <v>672</v>
      </c>
      <c r="O1068" s="1" t="s">
        <v>533</v>
      </c>
      <c r="P1068" s="1" t="str">
        <f>_xlfn.CONCAT(B1068,C1068,D1068,E1068,F1068)</f>
        <v>BC Panama1.2ART_00646071,628472222246071,628472222246071,6631944444</v>
      </c>
      <c r="Q1068" s="1" t="str">
        <f>_xlfn.CONCAT(H1068,I1068,J1068)</f>
        <v>DAURDE</v>
      </c>
    </row>
    <row r="1069" spans="2:17">
      <c r="B1069" s="1" t="s">
        <v>343</v>
      </c>
      <c r="C1069" s="1" t="s">
        <v>347</v>
      </c>
      <c r="D1069" s="52">
        <v>46071.628472222219</v>
      </c>
      <c r="E1069" s="52">
        <v>46071.628472222219</v>
      </c>
      <c r="F1069" s="52">
        <v>46071.663194444445</v>
      </c>
      <c r="G1069" s="53">
        <v>3.4722222222222224E-2</v>
      </c>
      <c r="H1069" s="1" t="s">
        <v>257</v>
      </c>
      <c r="J1069" s="1" t="s">
        <v>258</v>
      </c>
      <c r="K1069" s="1" t="s">
        <v>658</v>
      </c>
      <c r="L1069" s="1" t="s">
        <v>839</v>
      </c>
      <c r="M1069" s="1" t="s">
        <v>663</v>
      </c>
      <c r="N1069" s="1" t="s">
        <v>672</v>
      </c>
      <c r="O1069" s="1" t="s">
        <v>533</v>
      </c>
      <c r="P1069" s="1" t="str">
        <f>_xlfn.CONCAT(B1069,C1069,D1069,E1069,F1069)</f>
        <v>BC Panama1.2RADIO_00746071,628472222246071,628472222246071,6631944444</v>
      </c>
      <c r="Q1069" s="1" t="str">
        <f>_xlfn.CONCAT(H1069,I1069,J1069)</f>
        <v>DAURDE</v>
      </c>
    </row>
    <row r="1070" spans="2:17">
      <c r="B1070" s="1" t="s">
        <v>305</v>
      </c>
      <c r="C1070" s="1" t="s">
        <v>256</v>
      </c>
      <c r="D1070" s="52">
        <v>46071.680555555555</v>
      </c>
      <c r="E1070" s="52">
        <v>46071.680555555555</v>
      </c>
      <c r="F1070" s="52">
        <v>46071.725694444445</v>
      </c>
      <c r="G1070" s="53">
        <v>4.5138888888888888E-2</v>
      </c>
      <c r="H1070" s="1" t="s">
        <v>257</v>
      </c>
      <c r="J1070" s="1" t="s">
        <v>258</v>
      </c>
      <c r="K1070" s="1" t="s">
        <v>658</v>
      </c>
      <c r="L1070" s="1" t="s">
        <v>840</v>
      </c>
      <c r="M1070" s="1" t="s">
        <v>663</v>
      </c>
      <c r="N1070" s="1" t="s">
        <v>672</v>
      </c>
      <c r="O1070" s="1" t="s">
        <v>533</v>
      </c>
      <c r="P1070" s="1" t="str">
        <f>_xlfn.CONCAT(B1070,C1070,D1070,E1070,F1070)</f>
        <v>ARAGUATINS 1.1Inverter(MBUS-12)46071,680555555646071,680555555646071,7256944444</v>
      </c>
      <c r="Q1070" s="1" t="str">
        <f>_xlfn.CONCAT(H1070,I1070,J1070)</f>
        <v>DAURDE</v>
      </c>
    </row>
    <row r="1071" spans="2:17">
      <c r="B1071" s="1" t="s">
        <v>305</v>
      </c>
      <c r="C1071" s="1" t="s">
        <v>264</v>
      </c>
      <c r="D1071" s="52">
        <v>46071.680555555555</v>
      </c>
      <c r="E1071" s="52">
        <v>46071.680555555555</v>
      </c>
      <c r="F1071" s="52">
        <v>46071.725694444445</v>
      </c>
      <c r="G1071" s="53">
        <v>4.5138888888888888E-2</v>
      </c>
      <c r="H1071" s="1" t="s">
        <v>257</v>
      </c>
      <c r="J1071" s="1" t="s">
        <v>258</v>
      </c>
      <c r="K1071" s="1" t="s">
        <v>658</v>
      </c>
      <c r="L1071" s="1" t="s">
        <v>840</v>
      </c>
      <c r="M1071" s="1" t="s">
        <v>260</v>
      </c>
      <c r="N1071" s="1" t="s">
        <v>261</v>
      </c>
      <c r="O1071" s="1" t="s">
        <v>533</v>
      </c>
      <c r="P1071" s="1" t="str">
        <f>_xlfn.CONCAT(B1071,C1071,D1071,E1071,F1071)</f>
        <v>ARAGUATINS 1.1Inverter(MBUS-13)46071,680555555646071,680555555646071,7256944444</v>
      </c>
      <c r="Q1071" s="1" t="str">
        <f>_xlfn.CONCAT(H1071,I1071,J1071)</f>
        <v>DAURDE</v>
      </c>
    </row>
    <row r="1072" spans="2:17">
      <c r="B1072" s="1" t="s">
        <v>305</v>
      </c>
      <c r="C1072" s="1" t="s">
        <v>263</v>
      </c>
      <c r="D1072" s="52">
        <v>46071.680555555555</v>
      </c>
      <c r="E1072" s="52">
        <v>46071.680555555555</v>
      </c>
      <c r="F1072" s="52">
        <v>46071.725694444445</v>
      </c>
      <c r="G1072" s="53">
        <v>4.5138888888888888E-2</v>
      </c>
      <c r="H1072" s="1" t="s">
        <v>257</v>
      </c>
      <c r="J1072" s="1" t="s">
        <v>258</v>
      </c>
      <c r="K1072" s="1" t="s">
        <v>658</v>
      </c>
      <c r="L1072" s="1" t="s">
        <v>840</v>
      </c>
      <c r="M1072" s="1" t="s">
        <v>260</v>
      </c>
      <c r="N1072" s="1" t="s">
        <v>261</v>
      </c>
      <c r="O1072" s="1" t="s">
        <v>533</v>
      </c>
      <c r="P1072" s="1" t="str">
        <f>_xlfn.CONCAT(B1072,C1072,D1072,E1072,F1072)</f>
        <v>ARAGUATINS 1.1Inverter(MBUS-14)46071,680555555646071,680555555646071,7256944444</v>
      </c>
      <c r="Q1072" s="1" t="str">
        <f>_xlfn.CONCAT(H1072,I1072,J1072)</f>
        <v>DAURDE</v>
      </c>
    </row>
    <row r="1073" spans="2:17">
      <c r="B1073" s="1" t="s">
        <v>305</v>
      </c>
      <c r="C1073" s="1" t="s">
        <v>307</v>
      </c>
      <c r="D1073" s="52">
        <v>46071.680555555555</v>
      </c>
      <c r="E1073" s="52">
        <v>46071.680555555555</v>
      </c>
      <c r="F1073" s="52">
        <v>46071.725694444445</v>
      </c>
      <c r="G1073" s="53">
        <v>4.5138888888888888E-2</v>
      </c>
      <c r="H1073" s="1" t="s">
        <v>257</v>
      </c>
      <c r="J1073" s="1" t="s">
        <v>258</v>
      </c>
      <c r="K1073" s="1" t="s">
        <v>658</v>
      </c>
      <c r="L1073" s="1" t="s">
        <v>840</v>
      </c>
      <c r="M1073" s="1" t="s">
        <v>260</v>
      </c>
      <c r="N1073" s="1" t="s">
        <v>261</v>
      </c>
      <c r="O1073" s="1" t="s">
        <v>533</v>
      </c>
      <c r="P1073" s="1" t="str">
        <f>_xlfn.CONCAT(B1073,C1073,D1073,E1073,F1073)</f>
        <v>ARAGUATINS 1.1Inverter(MBUS-15)46071,680555555646071,680555555646071,7256944444</v>
      </c>
      <c r="Q1073" s="1" t="str">
        <f>_xlfn.CONCAT(H1073,I1073,J1073)</f>
        <v>DAURDE</v>
      </c>
    </row>
    <row r="1074" spans="2:17">
      <c r="B1074" s="1" t="s">
        <v>308</v>
      </c>
      <c r="C1074" s="1" t="s">
        <v>256</v>
      </c>
      <c r="D1074" s="52">
        <v>46071.680555555555</v>
      </c>
      <c r="E1074" s="52">
        <v>46071.680555555555</v>
      </c>
      <c r="F1074" s="52">
        <v>46071.725694444445</v>
      </c>
      <c r="G1074" s="53">
        <v>4.5138888888888888E-2</v>
      </c>
      <c r="H1074" s="1" t="s">
        <v>257</v>
      </c>
      <c r="J1074" s="1" t="s">
        <v>258</v>
      </c>
      <c r="K1074" s="1" t="s">
        <v>658</v>
      </c>
      <c r="L1074" s="1" t="s">
        <v>840</v>
      </c>
      <c r="M1074" s="1" t="s">
        <v>260</v>
      </c>
      <c r="N1074" s="1" t="s">
        <v>261</v>
      </c>
      <c r="O1074" s="1" t="s">
        <v>533</v>
      </c>
      <c r="P1074" s="1" t="str">
        <f>_xlfn.CONCAT(B1074,C1074,D1074,E1074,F1074)</f>
        <v>ARAGUATINS 1.2Inverter(MBUS-12)46071,680555555646071,680555555646071,7256944444</v>
      </c>
      <c r="Q1074" s="1" t="str">
        <f>_xlfn.CONCAT(H1074,I1074,J1074)</f>
        <v>DAURDE</v>
      </c>
    </row>
    <row r="1075" spans="2:17">
      <c r="B1075" s="1" t="s">
        <v>308</v>
      </c>
      <c r="C1075" s="1" t="s">
        <v>264</v>
      </c>
      <c r="D1075" s="52">
        <v>46071.680555555555</v>
      </c>
      <c r="E1075" s="52">
        <v>46071.680555555555</v>
      </c>
      <c r="F1075" s="52">
        <v>46071.725694444445</v>
      </c>
      <c r="G1075" s="53">
        <v>4.5138888888888888E-2</v>
      </c>
      <c r="H1075" s="1" t="s">
        <v>257</v>
      </c>
      <c r="J1075" s="1" t="s">
        <v>258</v>
      </c>
      <c r="K1075" s="1" t="s">
        <v>658</v>
      </c>
      <c r="L1075" s="1" t="s">
        <v>840</v>
      </c>
      <c r="M1075" s="1" t="s">
        <v>260</v>
      </c>
      <c r="N1075" s="1" t="s">
        <v>261</v>
      </c>
      <c r="O1075" s="1" t="s">
        <v>533</v>
      </c>
      <c r="P1075" s="1" t="str">
        <f>_xlfn.CONCAT(B1075,C1075,D1075,E1075,F1075)</f>
        <v>ARAGUATINS 1.2Inverter(MBUS-13)46071,680555555646071,680555555646071,7256944444</v>
      </c>
      <c r="Q1075" s="1" t="str">
        <f>_xlfn.CONCAT(H1075,I1075,J1075)</f>
        <v>DAURDE</v>
      </c>
    </row>
    <row r="1076" spans="2:17">
      <c r="B1076" s="1" t="s">
        <v>308</v>
      </c>
      <c r="C1076" s="1" t="s">
        <v>263</v>
      </c>
      <c r="D1076" s="52">
        <v>46071.680555555555</v>
      </c>
      <c r="E1076" s="52">
        <v>46071.680555555555</v>
      </c>
      <c r="F1076" s="52">
        <v>46071.725694444445</v>
      </c>
      <c r="G1076" s="53">
        <v>4.5138888888888888E-2</v>
      </c>
      <c r="H1076" s="1" t="s">
        <v>257</v>
      </c>
      <c r="J1076" s="1" t="s">
        <v>258</v>
      </c>
      <c r="K1076" s="1" t="s">
        <v>658</v>
      </c>
      <c r="L1076" s="1" t="s">
        <v>840</v>
      </c>
      <c r="M1076" s="1" t="s">
        <v>260</v>
      </c>
      <c r="N1076" s="1" t="s">
        <v>261</v>
      </c>
      <c r="O1076" s="1" t="s">
        <v>534</v>
      </c>
      <c r="P1076" s="1" t="str">
        <f>_xlfn.CONCAT(B1076,C1076,D1076,E1076,F1076)</f>
        <v>ARAGUATINS 1.2Inverter(MBUS-14)46071,680555555646071,680555555646071,7256944444</v>
      </c>
      <c r="Q1076" s="1" t="str">
        <f>_xlfn.CONCAT(H1076,I1076,J1076)</f>
        <v>DAURDE</v>
      </c>
    </row>
    <row r="1077" spans="2:17">
      <c r="B1077" s="1" t="s">
        <v>308</v>
      </c>
      <c r="C1077" s="1" t="s">
        <v>307</v>
      </c>
      <c r="D1077" s="52">
        <v>46071.680555555555</v>
      </c>
      <c r="E1077" s="52">
        <v>46071.680555555555</v>
      </c>
      <c r="F1077" s="52">
        <v>46071.725694444445</v>
      </c>
      <c r="G1077" s="53">
        <v>4.5138888888888888E-2</v>
      </c>
      <c r="H1077" s="1" t="s">
        <v>257</v>
      </c>
      <c r="J1077" s="1" t="s">
        <v>258</v>
      </c>
      <c r="K1077" s="1" t="s">
        <v>658</v>
      </c>
      <c r="L1077" s="1" t="s">
        <v>840</v>
      </c>
      <c r="M1077" s="1" t="s">
        <v>260</v>
      </c>
      <c r="N1077" s="1" t="s">
        <v>261</v>
      </c>
      <c r="O1077" s="1" t="s">
        <v>534</v>
      </c>
      <c r="P1077" s="1" t="str">
        <f>_xlfn.CONCAT(B1077,C1077,D1077,E1077,F1077)</f>
        <v>ARAGUATINS 1.2Inverter(MBUS-15)46071,680555555646071,680555555646071,7256944444</v>
      </c>
      <c r="Q1077" s="1" t="str">
        <f>_xlfn.CONCAT(H1077,I1077,J1077)</f>
        <v>DAURDE</v>
      </c>
    </row>
    <row r="1078" spans="2:17">
      <c r="B1078" s="1" t="s">
        <v>309</v>
      </c>
      <c r="C1078" s="1" t="s">
        <v>310</v>
      </c>
      <c r="D1078" s="52">
        <v>46071.680555555555</v>
      </c>
      <c r="E1078" s="52">
        <v>46071.680555555555</v>
      </c>
      <c r="F1078" s="52">
        <v>46071.725694444445</v>
      </c>
      <c r="G1078" s="53">
        <v>4.5138888888888888E-2</v>
      </c>
      <c r="H1078" s="1" t="s">
        <v>257</v>
      </c>
      <c r="J1078" s="1" t="s">
        <v>258</v>
      </c>
      <c r="K1078" s="1" t="s">
        <v>658</v>
      </c>
      <c r="L1078" s="1" t="s">
        <v>840</v>
      </c>
      <c r="M1078" s="1" t="s">
        <v>260</v>
      </c>
      <c r="N1078" s="1" t="s">
        <v>261</v>
      </c>
      <c r="O1078" s="1" t="s">
        <v>534</v>
      </c>
      <c r="P1078" s="1" t="str">
        <f>_xlfn.CONCAT(B1078,C1078,D1078,E1078,F1078)</f>
        <v>ARAGUATINS 1.3Inverter(MBUS-20)46071,680555555646071,680555555646071,7256944444</v>
      </c>
      <c r="Q1078" s="1" t="str">
        <f>_xlfn.CONCAT(H1078,I1078,J1078)</f>
        <v>DAURDE</v>
      </c>
    </row>
    <row r="1079" spans="2:17">
      <c r="B1079" s="1" t="s">
        <v>309</v>
      </c>
      <c r="C1079" s="1" t="s">
        <v>247</v>
      </c>
      <c r="D1079" s="52">
        <v>46071.680555555555</v>
      </c>
      <c r="E1079" s="52">
        <v>46071.680555555555</v>
      </c>
      <c r="F1079" s="52">
        <v>46071.725694444445</v>
      </c>
      <c r="G1079" s="53">
        <v>4.5138888888888888E-2</v>
      </c>
      <c r="H1079" s="1" t="s">
        <v>257</v>
      </c>
      <c r="J1079" s="1" t="s">
        <v>258</v>
      </c>
      <c r="K1079" s="1" t="s">
        <v>658</v>
      </c>
      <c r="L1079" s="1" t="s">
        <v>840</v>
      </c>
      <c r="M1079" s="1" t="s">
        <v>260</v>
      </c>
      <c r="N1079" s="1" t="s">
        <v>261</v>
      </c>
      <c r="O1079" s="1" t="s">
        <v>534</v>
      </c>
      <c r="P1079" s="1" t="str">
        <f>_xlfn.CONCAT(B1079,C1079,D1079,E1079,F1079)</f>
        <v>ARAGUATINS 1.3Inverter(MBUS-1)46071,680555555646071,680555555646071,7256944444</v>
      </c>
      <c r="Q1079" s="1" t="str">
        <f>_xlfn.CONCAT(H1079,I1079,J1079)</f>
        <v>DAURDE</v>
      </c>
    </row>
    <row r="1080" spans="2:17">
      <c r="B1080" s="1" t="s">
        <v>311</v>
      </c>
      <c r="C1080" s="1" t="s">
        <v>256</v>
      </c>
      <c r="D1080" s="52">
        <v>46071.680555555555</v>
      </c>
      <c r="E1080" s="52">
        <v>46071.680555555555</v>
      </c>
      <c r="F1080" s="52">
        <v>46071.725694444445</v>
      </c>
      <c r="G1080" s="53">
        <v>4.5138888888888888E-2</v>
      </c>
      <c r="H1080" s="1" t="s">
        <v>257</v>
      </c>
      <c r="J1080" s="1" t="s">
        <v>258</v>
      </c>
      <c r="K1080" s="1" t="s">
        <v>658</v>
      </c>
      <c r="L1080" s="1" t="s">
        <v>840</v>
      </c>
      <c r="M1080" s="1" t="s">
        <v>260</v>
      </c>
      <c r="N1080" s="1" t="s">
        <v>261</v>
      </c>
      <c r="O1080" s="1" t="s">
        <v>534</v>
      </c>
      <c r="P1080" s="1" t="str">
        <f>_xlfn.CONCAT(B1080,C1080,D1080,E1080,F1080)</f>
        <v>ARAGUATINS 2.1Inverter(MBUS-12)46071,680555555646071,680555555646071,7256944444</v>
      </c>
      <c r="Q1080" s="1" t="str">
        <f>_xlfn.CONCAT(H1080,I1080,J1080)</f>
        <v>DAURDE</v>
      </c>
    </row>
    <row r="1081" spans="2:17">
      <c r="B1081" s="1" t="s">
        <v>311</v>
      </c>
      <c r="C1081" s="1" t="s">
        <v>307</v>
      </c>
      <c r="D1081" s="52">
        <v>46071.680555555555</v>
      </c>
      <c r="E1081" s="52">
        <v>46071.680555555555</v>
      </c>
      <c r="F1081" s="52">
        <v>46071.725694444445</v>
      </c>
      <c r="G1081" s="53">
        <v>4.5138888888888888E-2</v>
      </c>
      <c r="H1081" s="1" t="s">
        <v>257</v>
      </c>
      <c r="J1081" s="1" t="s">
        <v>258</v>
      </c>
      <c r="K1081" s="1" t="s">
        <v>658</v>
      </c>
      <c r="L1081" s="1" t="s">
        <v>840</v>
      </c>
      <c r="M1081" s="1" t="s">
        <v>260</v>
      </c>
      <c r="N1081" s="1" t="s">
        <v>261</v>
      </c>
      <c r="O1081" s="1" t="s">
        <v>534</v>
      </c>
      <c r="P1081" s="1" t="str">
        <f>_xlfn.CONCAT(B1081,C1081,D1081,E1081,F1081)</f>
        <v>ARAGUATINS 2.1Inverter(MBUS-15)46071,680555555646071,680555555646071,7256944444</v>
      </c>
      <c r="Q1081" s="1" t="str">
        <f>_xlfn.CONCAT(H1081,I1081,J1081)</f>
        <v>DAURDE</v>
      </c>
    </row>
    <row r="1082" spans="2:17">
      <c r="B1082" s="1" t="s">
        <v>311</v>
      </c>
      <c r="C1082" s="1" t="s">
        <v>263</v>
      </c>
      <c r="D1082" s="52">
        <v>46071.680555555555</v>
      </c>
      <c r="E1082" s="52">
        <v>46071.680555555555</v>
      </c>
      <c r="F1082" s="52">
        <v>46071.725694444445</v>
      </c>
      <c r="G1082" s="53">
        <v>4.5138888888888888E-2</v>
      </c>
      <c r="H1082" s="1" t="s">
        <v>257</v>
      </c>
      <c r="J1082" s="1" t="s">
        <v>258</v>
      </c>
      <c r="K1082" s="1" t="s">
        <v>658</v>
      </c>
      <c r="L1082" s="1" t="s">
        <v>840</v>
      </c>
      <c r="M1082" s="1" t="s">
        <v>260</v>
      </c>
      <c r="N1082" s="1" t="s">
        <v>261</v>
      </c>
      <c r="O1082" s="1" t="s">
        <v>534</v>
      </c>
      <c r="P1082" s="1" t="str">
        <f>_xlfn.CONCAT(B1082,C1082,D1082,E1082,F1082)</f>
        <v>ARAGUATINS 2.1Inverter(MBUS-14)46071,680555555646071,680555555646071,7256944444</v>
      </c>
      <c r="Q1082" s="1" t="str">
        <f>_xlfn.CONCAT(H1082,I1082,J1082)</f>
        <v>DAURDE</v>
      </c>
    </row>
    <row r="1083" spans="2:17">
      <c r="B1083" s="1" t="s">
        <v>311</v>
      </c>
      <c r="C1083" s="1" t="s">
        <v>247</v>
      </c>
      <c r="D1083" s="52">
        <v>46071.680555555555</v>
      </c>
      <c r="E1083" s="52">
        <v>46071.680555555555</v>
      </c>
      <c r="F1083" s="52">
        <v>46071.725694444445</v>
      </c>
      <c r="G1083" s="53">
        <v>4.5138888888888888E-2</v>
      </c>
      <c r="H1083" s="1" t="s">
        <v>257</v>
      </c>
      <c r="J1083" s="1" t="s">
        <v>258</v>
      </c>
      <c r="K1083" s="1" t="s">
        <v>658</v>
      </c>
      <c r="L1083" s="1" t="s">
        <v>840</v>
      </c>
      <c r="M1083" s="1" t="s">
        <v>260</v>
      </c>
      <c r="N1083" s="1" t="s">
        <v>261</v>
      </c>
      <c r="O1083" s="1" t="s">
        <v>534</v>
      </c>
      <c r="P1083" s="1" t="str">
        <f>_xlfn.CONCAT(B1083,C1083,D1083,E1083,F1083)</f>
        <v>ARAGUATINS 2.1Inverter(MBUS-1)46071,680555555646071,680555555646071,7256944444</v>
      </c>
      <c r="Q1083" s="1" t="str">
        <f>_xlfn.CONCAT(H1083,I1083,J1083)</f>
        <v>DAURDE</v>
      </c>
    </row>
    <row r="1084" spans="2:17">
      <c r="B1084" s="1" t="s">
        <v>312</v>
      </c>
      <c r="C1084" s="1" t="s">
        <v>307</v>
      </c>
      <c r="D1084" s="52">
        <v>46071.680555555555</v>
      </c>
      <c r="E1084" s="52">
        <v>46071.680555555555</v>
      </c>
      <c r="F1084" s="52">
        <v>46071.725694444445</v>
      </c>
      <c r="G1084" s="53">
        <v>4.5138888888888888E-2</v>
      </c>
      <c r="H1084" s="1" t="s">
        <v>257</v>
      </c>
      <c r="J1084" s="1" t="s">
        <v>258</v>
      </c>
      <c r="K1084" s="1" t="s">
        <v>658</v>
      </c>
      <c r="L1084" s="1" t="s">
        <v>840</v>
      </c>
      <c r="M1084" s="1" t="s">
        <v>260</v>
      </c>
      <c r="N1084" s="1" t="s">
        <v>261</v>
      </c>
      <c r="O1084" s="1" t="s">
        <v>534</v>
      </c>
      <c r="P1084" s="1" t="str">
        <f>_xlfn.CONCAT(B1084,C1084,D1084,E1084,F1084)</f>
        <v>ARAGUATINS 2.2Inverter(MBUS-15)46071,680555555646071,680555555646071,7256944444</v>
      </c>
      <c r="Q1084" s="1" t="str">
        <f>_xlfn.CONCAT(H1084,I1084,J1084)</f>
        <v>DAURDE</v>
      </c>
    </row>
    <row r="1085" spans="2:17">
      <c r="B1085" s="1" t="s">
        <v>312</v>
      </c>
      <c r="C1085" s="1" t="s">
        <v>264</v>
      </c>
      <c r="D1085" s="52">
        <v>46071.680555555555</v>
      </c>
      <c r="E1085" s="52">
        <v>46071.680555555555</v>
      </c>
      <c r="F1085" s="52">
        <v>46071.725694444445</v>
      </c>
      <c r="G1085" s="53">
        <v>4.5138888888888888E-2</v>
      </c>
      <c r="H1085" s="1" t="s">
        <v>257</v>
      </c>
      <c r="J1085" s="1" t="s">
        <v>258</v>
      </c>
      <c r="K1085" s="1" t="s">
        <v>658</v>
      </c>
      <c r="L1085" s="1" t="s">
        <v>840</v>
      </c>
      <c r="M1085" s="1" t="s">
        <v>260</v>
      </c>
      <c r="N1085" s="1" t="s">
        <v>261</v>
      </c>
      <c r="O1085" s="1" t="s">
        <v>534</v>
      </c>
      <c r="P1085" s="1" t="str">
        <f>_xlfn.CONCAT(B1085,C1085,D1085,E1085,F1085)</f>
        <v>ARAGUATINS 2.2Inverter(MBUS-13)46071,680555555646071,680555555646071,7256944444</v>
      </c>
      <c r="Q1085" s="1" t="str">
        <f>_xlfn.CONCAT(H1085,I1085,J1085)</f>
        <v>DAURDE</v>
      </c>
    </row>
    <row r="1086" spans="2:17">
      <c r="B1086" s="1" t="s">
        <v>312</v>
      </c>
      <c r="C1086" s="1" t="s">
        <v>263</v>
      </c>
      <c r="D1086" s="52">
        <v>46071.680555555555</v>
      </c>
      <c r="E1086" s="52">
        <v>46071.680555555555</v>
      </c>
      <c r="F1086" s="52">
        <v>46071.725694444445</v>
      </c>
      <c r="G1086" s="53">
        <v>4.5138888888888888E-2</v>
      </c>
      <c r="H1086" s="1" t="s">
        <v>257</v>
      </c>
      <c r="J1086" s="1" t="s">
        <v>258</v>
      </c>
      <c r="K1086" s="1" t="s">
        <v>658</v>
      </c>
      <c r="L1086" s="1" t="s">
        <v>840</v>
      </c>
      <c r="M1086" s="1" t="s">
        <v>260</v>
      </c>
      <c r="N1086" s="1" t="s">
        <v>261</v>
      </c>
      <c r="O1086" s="1" t="s">
        <v>534</v>
      </c>
      <c r="P1086" s="1" t="str">
        <f>_xlfn.CONCAT(B1086,C1086,D1086,E1086,F1086)</f>
        <v>ARAGUATINS 2.2Inverter(MBUS-14)46071,680555555646071,680555555646071,7256944444</v>
      </c>
      <c r="Q1086" s="1" t="str">
        <f>_xlfn.CONCAT(H1086,I1086,J1086)</f>
        <v>DAURDE</v>
      </c>
    </row>
    <row r="1087" spans="2:17">
      <c r="B1087" s="1" t="s">
        <v>312</v>
      </c>
      <c r="C1087" s="1" t="s">
        <v>256</v>
      </c>
      <c r="D1087" s="52">
        <v>46071.680555555555</v>
      </c>
      <c r="E1087" s="52">
        <v>46071.680555555555</v>
      </c>
      <c r="F1087" s="52">
        <v>46071.725694444445</v>
      </c>
      <c r="G1087" s="53">
        <v>4.5138888888888888E-2</v>
      </c>
      <c r="H1087" s="1" t="s">
        <v>257</v>
      </c>
      <c r="J1087" s="1" t="s">
        <v>258</v>
      </c>
      <c r="K1087" s="1" t="s">
        <v>658</v>
      </c>
      <c r="L1087" s="1" t="s">
        <v>840</v>
      </c>
      <c r="M1087" s="1" t="s">
        <v>260</v>
      </c>
      <c r="N1087" s="1" t="s">
        <v>261</v>
      </c>
      <c r="O1087" s="1" t="s">
        <v>534</v>
      </c>
      <c r="P1087" s="1" t="str">
        <f>_xlfn.CONCAT(B1087,C1087,D1087,E1087,F1087)</f>
        <v>ARAGUATINS 2.2Inverter(MBUS-12)46071,680555555646071,680555555646071,7256944444</v>
      </c>
      <c r="Q1087" s="1" t="str">
        <f>_xlfn.CONCAT(H1087,I1087,J1087)</f>
        <v>DAURDE</v>
      </c>
    </row>
    <row r="1088" spans="2:17">
      <c r="B1088" s="1" t="s">
        <v>313</v>
      </c>
      <c r="C1088" s="1" t="s">
        <v>256</v>
      </c>
      <c r="D1088" s="52">
        <v>46071.680555555555</v>
      </c>
      <c r="E1088" s="52">
        <v>46071.680555555555</v>
      </c>
      <c r="F1088" s="52">
        <v>46071.725694444445</v>
      </c>
      <c r="G1088" s="53">
        <v>4.5138888888888888E-2</v>
      </c>
      <c r="H1088" s="1" t="s">
        <v>257</v>
      </c>
      <c r="J1088" s="1" t="s">
        <v>258</v>
      </c>
      <c r="K1088" s="1" t="s">
        <v>658</v>
      </c>
      <c r="L1088" s="1" t="s">
        <v>840</v>
      </c>
      <c r="M1088" s="1" t="s">
        <v>260</v>
      </c>
      <c r="N1088" s="1" t="s">
        <v>261</v>
      </c>
      <c r="O1088" s="1" t="s">
        <v>534</v>
      </c>
      <c r="P1088" s="1" t="str">
        <f>_xlfn.CONCAT(B1088,C1088,D1088,E1088,F1088)</f>
        <v>ARAGUATINS 2.3Inverter(MBUS-12)46071,680555555646071,680555555646071,7256944444</v>
      </c>
      <c r="Q1088" s="1" t="str">
        <f>_xlfn.CONCAT(H1088,I1088,J1088)</f>
        <v>DAURDE</v>
      </c>
    </row>
    <row r="1089" spans="2:17">
      <c r="B1089" s="1" t="s">
        <v>313</v>
      </c>
      <c r="C1089" s="1" t="s">
        <v>264</v>
      </c>
      <c r="D1089" s="52">
        <v>46071.680555555555</v>
      </c>
      <c r="E1089" s="52">
        <v>46071.680555555555</v>
      </c>
      <c r="F1089" s="52">
        <v>46071.725694444445</v>
      </c>
      <c r="G1089" s="53">
        <v>4.5138888888888888E-2</v>
      </c>
      <c r="H1089" s="1" t="s">
        <v>257</v>
      </c>
      <c r="J1089" s="1" t="s">
        <v>258</v>
      </c>
      <c r="K1089" s="1" t="s">
        <v>658</v>
      </c>
      <c r="L1089" s="1" t="s">
        <v>840</v>
      </c>
      <c r="M1089" s="1" t="s">
        <v>260</v>
      </c>
      <c r="N1089" s="1" t="s">
        <v>261</v>
      </c>
      <c r="O1089" s="1" t="s">
        <v>534</v>
      </c>
      <c r="P1089" s="1" t="str">
        <f>_xlfn.CONCAT(B1089,C1089,D1089,E1089,F1089)</f>
        <v>ARAGUATINS 2.3Inverter(MBUS-13)46071,680555555646071,680555555646071,7256944444</v>
      </c>
      <c r="Q1089" s="1" t="str">
        <f>_xlfn.CONCAT(H1089,I1089,J1089)</f>
        <v>DAURDE</v>
      </c>
    </row>
    <row r="1090" spans="2:17">
      <c r="B1090" s="1" t="s">
        <v>321</v>
      </c>
      <c r="C1090" s="1" t="s">
        <v>322</v>
      </c>
      <c r="D1090" s="52">
        <v>46071.681944444441</v>
      </c>
      <c r="E1090" s="52">
        <v>46071.681944444441</v>
      </c>
      <c r="F1090" s="52">
        <v>46073.402777777781</v>
      </c>
      <c r="G1090" s="53">
        <v>1.7208333333333334</v>
      </c>
      <c r="H1090" s="1" t="s">
        <v>268</v>
      </c>
      <c r="I1090" s="1" t="s">
        <v>269</v>
      </c>
      <c r="J1090" s="1" t="s">
        <v>270</v>
      </c>
      <c r="K1090" s="1" t="s">
        <v>674</v>
      </c>
      <c r="L1090" s="1" t="s">
        <v>841</v>
      </c>
      <c r="M1090" s="1" t="s">
        <v>260</v>
      </c>
      <c r="N1090" s="1" t="s">
        <v>261</v>
      </c>
      <c r="O1090" s="1" t="s">
        <v>534</v>
      </c>
      <c r="P1090" s="1" t="str">
        <f>_xlfn.CONCAT(B1090,C1090,D1090,E1090,F1090)</f>
        <v>BC Aracu4SG75CX(COM1-018)_001_01846071,681944444446071,681944444446073,4027777778</v>
      </c>
      <c r="Q1090" s="1" t="str">
        <f>_xlfn.CONCAT(H1090,I1090,J1090)</f>
        <v>LIGRFOINT</v>
      </c>
    </row>
    <row r="1091" spans="2:17">
      <c r="B1091" s="1" t="s">
        <v>321</v>
      </c>
      <c r="C1091" s="1" t="s">
        <v>324</v>
      </c>
      <c r="D1091" s="52">
        <v>46071.681944444441</v>
      </c>
      <c r="E1091" s="52">
        <v>46071.681944444441</v>
      </c>
      <c r="F1091" s="52">
        <v>46073.402777777781</v>
      </c>
      <c r="G1091" s="53">
        <v>1.7208333333333334</v>
      </c>
      <c r="H1091" s="1" t="s">
        <v>268</v>
      </c>
      <c r="I1091" s="1" t="s">
        <v>269</v>
      </c>
      <c r="J1091" s="1" t="s">
        <v>270</v>
      </c>
      <c r="K1091" s="1" t="s">
        <v>674</v>
      </c>
      <c r="L1091" s="1" t="s">
        <v>841</v>
      </c>
      <c r="M1091" s="1" t="s">
        <v>260</v>
      </c>
      <c r="N1091" s="1" t="s">
        <v>261</v>
      </c>
      <c r="O1091" s="1" t="s">
        <v>534</v>
      </c>
      <c r="P1091" s="1" t="str">
        <f>_xlfn.CONCAT(B1091,C1091,D1091,E1091,F1091)</f>
        <v>BC Aracu4SG75CX(COM1-019)_001_01946071,681944444446071,681944444446073,4027777778</v>
      </c>
      <c r="Q1091" s="1" t="str">
        <f>_xlfn.CONCAT(H1091,I1091,J1091)</f>
        <v>LIGRFOINT</v>
      </c>
    </row>
    <row r="1092" spans="2:17">
      <c r="B1092" s="1" t="s">
        <v>321</v>
      </c>
      <c r="C1092" s="1" t="s">
        <v>325</v>
      </c>
      <c r="D1092" s="52">
        <v>46071.681944444441</v>
      </c>
      <c r="E1092" s="52">
        <v>46071.681944444441</v>
      </c>
      <c r="F1092" s="52">
        <v>46073.402777777781</v>
      </c>
      <c r="G1092" s="53">
        <v>1.7208333333333334</v>
      </c>
      <c r="H1092" s="1" t="s">
        <v>268</v>
      </c>
      <c r="I1092" s="1" t="s">
        <v>269</v>
      </c>
      <c r="J1092" s="1" t="s">
        <v>270</v>
      </c>
      <c r="K1092" s="1" t="s">
        <v>674</v>
      </c>
      <c r="L1092" s="1" t="s">
        <v>841</v>
      </c>
      <c r="M1092" s="1" t="s">
        <v>260</v>
      </c>
      <c r="N1092" s="1" t="s">
        <v>261</v>
      </c>
      <c r="O1092" s="1" t="s">
        <v>534</v>
      </c>
      <c r="P1092" s="1" t="str">
        <f>_xlfn.CONCAT(B1092,C1092,D1092,E1092,F1092)</f>
        <v>BC Aracu4SG75CX(COM1-020)_001_02046071,681944444446071,681944444446073,4027777778</v>
      </c>
      <c r="Q1092" s="1" t="str">
        <f>_xlfn.CONCAT(H1092,I1092,J1092)</f>
        <v>LIGRFOINT</v>
      </c>
    </row>
    <row r="1093" spans="2:17">
      <c r="B1093" s="1" t="s">
        <v>321</v>
      </c>
      <c r="C1093" s="1" t="s">
        <v>326</v>
      </c>
      <c r="D1093" s="52">
        <v>46071.681944444441</v>
      </c>
      <c r="E1093" s="52">
        <v>46071.681944444441</v>
      </c>
      <c r="F1093" s="52">
        <v>46073.402777777781</v>
      </c>
      <c r="G1093" s="53">
        <v>1.7208333333333334</v>
      </c>
      <c r="H1093" s="1" t="s">
        <v>268</v>
      </c>
      <c r="I1093" s="1" t="s">
        <v>269</v>
      </c>
      <c r="J1093" s="1" t="s">
        <v>270</v>
      </c>
      <c r="K1093" s="1" t="s">
        <v>674</v>
      </c>
      <c r="L1093" s="1" t="s">
        <v>841</v>
      </c>
      <c r="M1093" s="1" t="s">
        <v>260</v>
      </c>
      <c r="N1093" s="1" t="s">
        <v>261</v>
      </c>
      <c r="O1093" s="1" t="s">
        <v>534</v>
      </c>
      <c r="P1093" s="1" t="str">
        <f>_xlfn.CONCAT(B1093,C1093,D1093,E1093,F1093)</f>
        <v>BC Aracu4SG75CX(COM1-021)_001_02146071,681944444446071,681944444446073,4027777778</v>
      </c>
      <c r="Q1093" s="1" t="str">
        <f>_xlfn.CONCAT(H1093,I1093,J1093)</f>
        <v>LIGRFOINT</v>
      </c>
    </row>
    <row r="1094" spans="2:17">
      <c r="B1094" s="1" t="s">
        <v>568</v>
      </c>
      <c r="C1094" s="1" t="s">
        <v>569</v>
      </c>
      <c r="D1094" s="52">
        <v>46071.681944444441</v>
      </c>
      <c r="E1094" s="52">
        <v>46071.681944444441</v>
      </c>
      <c r="F1094" s="52">
        <v>46073.402777777781</v>
      </c>
      <c r="G1094" s="53">
        <v>1.7208333333333334</v>
      </c>
      <c r="H1094" s="1" t="s">
        <v>268</v>
      </c>
      <c r="I1094" s="1" t="s">
        <v>269</v>
      </c>
      <c r="J1094" s="1" t="s">
        <v>270</v>
      </c>
      <c r="K1094" s="1" t="s">
        <v>674</v>
      </c>
      <c r="L1094" s="1" t="s">
        <v>841</v>
      </c>
      <c r="M1094" s="1" t="s">
        <v>260</v>
      </c>
      <c r="N1094" s="1" t="s">
        <v>261</v>
      </c>
      <c r="O1094" s="1" t="s">
        <v>534</v>
      </c>
      <c r="P1094" s="1" t="str">
        <f>_xlfn.CONCAT(B1094,C1094,D1094,E1094,F1094)</f>
        <v>BC Aracu3Inverter446071,681944444446071,681944444446073,4027777778</v>
      </c>
      <c r="Q1094" s="1" t="str">
        <f>_xlfn.CONCAT(H1094,I1094,J1094)</f>
        <v>LIGRFOINT</v>
      </c>
    </row>
    <row r="1095" spans="2:17">
      <c r="B1095" s="1" t="s">
        <v>568</v>
      </c>
      <c r="C1095" s="1" t="s">
        <v>570</v>
      </c>
      <c r="D1095" s="52">
        <v>46071.681944444441</v>
      </c>
      <c r="E1095" s="52">
        <v>46071.681944444441</v>
      </c>
      <c r="F1095" s="52">
        <v>46073.402777777781</v>
      </c>
      <c r="G1095" s="53">
        <v>1.7208333333333334</v>
      </c>
      <c r="H1095" s="1" t="s">
        <v>268</v>
      </c>
      <c r="I1095" s="1" t="s">
        <v>269</v>
      </c>
      <c r="J1095" s="1" t="s">
        <v>270</v>
      </c>
      <c r="K1095" s="1" t="s">
        <v>674</v>
      </c>
      <c r="L1095" s="1" t="s">
        <v>841</v>
      </c>
      <c r="M1095" s="1" t="s">
        <v>260</v>
      </c>
      <c r="N1095" s="1" t="s">
        <v>261</v>
      </c>
      <c r="O1095" s="1" t="s">
        <v>534</v>
      </c>
      <c r="P1095" s="1" t="str">
        <f>_xlfn.CONCAT(B1095,C1095,D1095,E1095,F1095)</f>
        <v>BC Aracu3Inverter346071,681944444446071,681944444446073,4027777778</v>
      </c>
      <c r="Q1095" s="1" t="str">
        <f>_xlfn.CONCAT(H1095,I1095,J1095)</f>
        <v>LIGRFOINT</v>
      </c>
    </row>
    <row r="1096" spans="2:17">
      <c r="B1096" s="1" t="s">
        <v>568</v>
      </c>
      <c r="C1096" s="1" t="s">
        <v>571</v>
      </c>
      <c r="D1096" s="52">
        <v>46071.681944444441</v>
      </c>
      <c r="E1096" s="52">
        <v>46071.681944444441</v>
      </c>
      <c r="F1096" s="52">
        <v>46073.402777777781</v>
      </c>
      <c r="G1096" s="53">
        <v>1.7208333333333334</v>
      </c>
      <c r="H1096" s="1" t="s">
        <v>268</v>
      </c>
      <c r="I1096" s="1" t="s">
        <v>269</v>
      </c>
      <c r="J1096" s="1" t="s">
        <v>270</v>
      </c>
      <c r="K1096" s="1" t="s">
        <v>674</v>
      </c>
      <c r="L1096" s="1" t="s">
        <v>841</v>
      </c>
      <c r="M1096" s="1" t="s">
        <v>260</v>
      </c>
      <c r="N1096" s="1" t="s">
        <v>261</v>
      </c>
      <c r="O1096" s="1" t="s">
        <v>534</v>
      </c>
      <c r="P1096" s="1" t="str">
        <f>_xlfn.CONCAT(B1096,C1096,D1096,E1096,F1096)</f>
        <v>BC Aracu3Inverter146071,681944444446071,681944444446073,4027777778</v>
      </c>
      <c r="Q1096" s="1" t="str">
        <f>_xlfn.CONCAT(H1096,I1096,J1096)</f>
        <v>LIGRFOINT</v>
      </c>
    </row>
    <row r="1097" spans="2:17">
      <c r="B1097" s="1" t="s">
        <v>568</v>
      </c>
      <c r="C1097" s="1" t="s">
        <v>572</v>
      </c>
      <c r="D1097" s="52">
        <v>46071.681944444441</v>
      </c>
      <c r="E1097" s="52">
        <v>46071.681944444441</v>
      </c>
      <c r="F1097" s="52">
        <v>46073.402777777781</v>
      </c>
      <c r="G1097" s="53">
        <v>1.7208333333333334</v>
      </c>
      <c r="H1097" s="1" t="s">
        <v>268</v>
      </c>
      <c r="I1097" s="1" t="s">
        <v>269</v>
      </c>
      <c r="J1097" s="1" t="s">
        <v>270</v>
      </c>
      <c r="K1097" s="1" t="s">
        <v>674</v>
      </c>
      <c r="L1097" s="1" t="s">
        <v>841</v>
      </c>
      <c r="M1097" s="1" t="s">
        <v>260</v>
      </c>
      <c r="N1097" s="1" t="s">
        <v>261</v>
      </c>
      <c r="O1097" s="1" t="s">
        <v>534</v>
      </c>
      <c r="P1097" s="1" t="str">
        <f>_xlfn.CONCAT(B1097,C1097,D1097,E1097,F1097)</f>
        <v>BC Aracu3Inverter246071,681944444446071,681944444446073,4027777778</v>
      </c>
      <c r="Q1097" s="1" t="str">
        <f>_xlfn.CONCAT(H1097,I1097,J1097)</f>
        <v>LIGRFOINT</v>
      </c>
    </row>
    <row r="1098" spans="2:17">
      <c r="B1098" s="1" t="s">
        <v>327</v>
      </c>
      <c r="C1098" s="1" t="s">
        <v>247</v>
      </c>
      <c r="D1098" s="52">
        <v>46071.681944444441</v>
      </c>
      <c r="E1098" s="52">
        <v>46071.681944444441</v>
      </c>
      <c r="F1098" s="52">
        <v>46073.402777777781</v>
      </c>
      <c r="G1098" s="53">
        <v>1.7208333333333334</v>
      </c>
      <c r="H1098" s="1" t="s">
        <v>268</v>
      </c>
      <c r="I1098" s="1" t="s">
        <v>269</v>
      </c>
      <c r="J1098" s="1" t="s">
        <v>270</v>
      </c>
      <c r="K1098" s="1" t="s">
        <v>674</v>
      </c>
      <c r="L1098" s="1" t="s">
        <v>841</v>
      </c>
      <c r="M1098" s="1" t="s">
        <v>260</v>
      </c>
      <c r="N1098" s="1" t="s">
        <v>261</v>
      </c>
      <c r="O1098" s="1" t="s">
        <v>534</v>
      </c>
      <c r="P1098" s="1" t="str">
        <f>_xlfn.CONCAT(B1098,C1098,D1098,E1098,F1098)</f>
        <v>BC Aracu5.1Inverter(MBUS-1)46071,681944444446071,681944444446073,4027777778</v>
      </c>
      <c r="Q1098" s="1" t="str">
        <f>_xlfn.CONCAT(H1098,I1098,J1098)</f>
        <v>LIGRFOINT</v>
      </c>
    </row>
    <row r="1099" spans="2:17">
      <c r="B1099" s="1" t="s">
        <v>329</v>
      </c>
      <c r="C1099" s="1" t="s">
        <v>247</v>
      </c>
      <c r="D1099" s="52">
        <v>46071.681944444441</v>
      </c>
      <c r="E1099" s="52">
        <v>46071.681944444441</v>
      </c>
      <c r="F1099" s="52">
        <v>46073.402777777781</v>
      </c>
      <c r="G1099" s="53">
        <v>1.7208333333333334</v>
      </c>
      <c r="H1099" s="1" t="s">
        <v>268</v>
      </c>
      <c r="I1099" s="1" t="s">
        <v>269</v>
      </c>
      <c r="J1099" s="1" t="s">
        <v>270</v>
      </c>
      <c r="K1099" s="1" t="s">
        <v>674</v>
      </c>
      <c r="L1099" s="1" t="s">
        <v>841</v>
      </c>
      <c r="M1099" s="1" t="s">
        <v>260</v>
      </c>
      <c r="N1099" s="1" t="s">
        <v>261</v>
      </c>
      <c r="O1099" s="1" t="s">
        <v>534</v>
      </c>
      <c r="P1099" s="1" t="str">
        <f>_xlfn.CONCAT(B1099,C1099,D1099,E1099,F1099)</f>
        <v>BC Aracu5.4Inverter(MBUS-1)46071,681944444446071,681944444446073,4027777778</v>
      </c>
      <c r="Q1099" s="1" t="str">
        <f>_xlfn.CONCAT(H1099,I1099,J1099)</f>
        <v>LIGRFOINT</v>
      </c>
    </row>
    <row r="1100" spans="2:17">
      <c r="B1100" s="1" t="s">
        <v>330</v>
      </c>
      <c r="C1100" s="1" t="s">
        <v>247</v>
      </c>
      <c r="D1100" s="52">
        <v>46071.681944444441</v>
      </c>
      <c r="E1100" s="52">
        <v>46071.681944444441</v>
      </c>
      <c r="F1100" s="52">
        <v>46073.402777777781</v>
      </c>
      <c r="G1100" s="53">
        <v>1.7208333333333334</v>
      </c>
      <c r="H1100" s="1" t="s">
        <v>268</v>
      </c>
      <c r="I1100" s="1" t="s">
        <v>269</v>
      </c>
      <c r="J1100" s="1" t="s">
        <v>270</v>
      </c>
      <c r="K1100" s="1" t="s">
        <v>674</v>
      </c>
      <c r="L1100" s="1" t="s">
        <v>841</v>
      </c>
      <c r="M1100" s="1" t="s">
        <v>260</v>
      </c>
      <c r="N1100" s="1" t="s">
        <v>261</v>
      </c>
      <c r="O1100" s="1" t="s">
        <v>534</v>
      </c>
      <c r="P1100" s="1" t="str">
        <f>_xlfn.CONCAT(B1100,C1100,D1100,E1100,F1100)</f>
        <v>BC Aracu5.5Inverter(MBUS-1)46071,681944444446071,681944444446073,4027777778</v>
      </c>
      <c r="Q1100" s="1" t="str">
        <f>_xlfn.CONCAT(H1100,I1100,J1100)</f>
        <v>LIGRFOINT</v>
      </c>
    </row>
    <row r="1101" spans="2:17">
      <c r="B1101" s="1" t="s">
        <v>255</v>
      </c>
      <c r="C1101" s="1" t="s">
        <v>256</v>
      </c>
      <c r="D1101" s="52">
        <v>46072.069444444445</v>
      </c>
      <c r="E1101" s="52">
        <v>46072.069444444445</v>
      </c>
      <c r="F1101" s="52">
        <v>46072.326388888891</v>
      </c>
      <c r="G1101" s="53">
        <v>0.25694444444444442</v>
      </c>
      <c r="H1101" s="1" t="s">
        <v>257</v>
      </c>
      <c r="J1101" s="1" t="s">
        <v>258</v>
      </c>
      <c r="K1101" s="1" t="s">
        <v>658</v>
      </c>
      <c r="L1101" s="1" t="s">
        <v>842</v>
      </c>
      <c r="M1101" s="1" t="s">
        <v>260</v>
      </c>
      <c r="N1101" s="1" t="s">
        <v>261</v>
      </c>
      <c r="O1101" s="1" t="s">
        <v>534</v>
      </c>
      <c r="P1101" s="1" t="str">
        <f>_xlfn.CONCAT(B1101,C1101,D1101,E1101,F1101)</f>
        <v>BC Formoso2.1Inverter(MBUS-12)46072,069444444446072,069444444446072,3263888889</v>
      </c>
      <c r="Q1101" s="1" t="str">
        <f>_xlfn.CONCAT(H1101,I1101,J1101)</f>
        <v>DAURDE</v>
      </c>
    </row>
    <row r="1102" spans="2:17">
      <c r="B1102" s="1" t="s">
        <v>255</v>
      </c>
      <c r="C1102" s="1" t="s">
        <v>263</v>
      </c>
      <c r="D1102" s="52">
        <v>46072.069444444445</v>
      </c>
      <c r="E1102" s="52">
        <v>46072.069444444445</v>
      </c>
      <c r="F1102" s="52">
        <v>46072.326388888891</v>
      </c>
      <c r="G1102" s="53">
        <v>0.25694444444444442</v>
      </c>
      <c r="H1102" s="1" t="s">
        <v>257</v>
      </c>
      <c r="J1102" s="1" t="s">
        <v>258</v>
      </c>
      <c r="K1102" s="1" t="s">
        <v>658</v>
      </c>
      <c r="L1102" s="1" t="s">
        <v>842</v>
      </c>
      <c r="M1102" s="1" t="s">
        <v>260</v>
      </c>
      <c r="N1102" s="1" t="s">
        <v>261</v>
      </c>
      <c r="O1102" s="1" t="s">
        <v>537</v>
      </c>
      <c r="P1102" s="1" t="str">
        <f>_xlfn.CONCAT(B1102,C1102,D1102,E1102,F1102)</f>
        <v>BC Formoso2.1Inverter(MBUS-14)46072,069444444446072,069444444446072,3263888889</v>
      </c>
      <c r="Q1102" s="1" t="str">
        <f>_xlfn.CONCAT(H1102,I1102,J1102)</f>
        <v>DAURDE</v>
      </c>
    </row>
    <row r="1103" spans="2:17">
      <c r="B1103" s="1" t="s">
        <v>255</v>
      </c>
      <c r="C1103" s="1" t="s">
        <v>264</v>
      </c>
      <c r="D1103" s="52">
        <v>46072.069444444445</v>
      </c>
      <c r="E1103" s="52">
        <v>46072.069444444445</v>
      </c>
      <c r="F1103" s="52">
        <v>46072.326388888891</v>
      </c>
      <c r="G1103" s="53">
        <v>0.25694444444444442</v>
      </c>
      <c r="H1103" s="1" t="s">
        <v>257</v>
      </c>
      <c r="J1103" s="1" t="s">
        <v>258</v>
      </c>
      <c r="K1103" s="1" t="s">
        <v>658</v>
      </c>
      <c r="L1103" s="1" t="s">
        <v>842</v>
      </c>
      <c r="M1103" s="1" t="s">
        <v>260</v>
      </c>
      <c r="N1103" s="1" t="s">
        <v>261</v>
      </c>
      <c r="O1103" s="1" t="s">
        <v>537</v>
      </c>
      <c r="P1103" s="1" t="str">
        <f>_xlfn.CONCAT(B1103,C1103,D1103,E1103,F1103)</f>
        <v>BC Formoso2.1Inverter(MBUS-13)46072,069444444446072,069444444446072,3263888889</v>
      </c>
      <c r="Q1103" s="1" t="str">
        <f>_xlfn.CONCAT(H1103,I1103,J1103)</f>
        <v>DAURDE</v>
      </c>
    </row>
    <row r="1104" spans="2:17">
      <c r="B1104" s="1" t="s">
        <v>255</v>
      </c>
      <c r="C1104" s="1" t="s">
        <v>247</v>
      </c>
      <c r="D1104" s="52">
        <v>46072.069444444445</v>
      </c>
      <c r="E1104" s="52">
        <v>46072.069444444445</v>
      </c>
      <c r="F1104" s="52">
        <v>46072.326388888891</v>
      </c>
      <c r="G1104" s="53">
        <v>0.25694444444444442</v>
      </c>
      <c r="H1104" s="1" t="s">
        <v>257</v>
      </c>
      <c r="J1104" s="1" t="s">
        <v>258</v>
      </c>
      <c r="K1104" s="1" t="s">
        <v>658</v>
      </c>
      <c r="L1104" s="1" t="s">
        <v>842</v>
      </c>
      <c r="M1104" s="1" t="s">
        <v>260</v>
      </c>
      <c r="N1104" s="1" t="s">
        <v>261</v>
      </c>
      <c r="O1104" s="1" t="s">
        <v>537</v>
      </c>
      <c r="P1104" s="1" t="str">
        <f>_xlfn.CONCAT(B1104,C1104,D1104,E1104,F1104)</f>
        <v>BC Formoso2.1Inverter(MBUS-1)46072,069444444446072,069444444446072,3263888889</v>
      </c>
      <c r="Q1104" s="1" t="str">
        <f>_xlfn.CONCAT(H1104,I1104,J1104)</f>
        <v>DAURDE</v>
      </c>
    </row>
    <row r="1105" spans="2:17">
      <c r="B1105" s="1" t="s">
        <v>265</v>
      </c>
      <c r="C1105" s="1" t="s">
        <v>263</v>
      </c>
      <c r="D1105" s="52">
        <v>46072.069444444445</v>
      </c>
      <c r="E1105" s="52">
        <v>46072.069444444445</v>
      </c>
      <c r="F1105" s="52">
        <v>46072.326388888891</v>
      </c>
      <c r="G1105" s="53">
        <v>0.25694444444444442</v>
      </c>
      <c r="H1105" s="1" t="s">
        <v>257</v>
      </c>
      <c r="J1105" s="1" t="s">
        <v>258</v>
      </c>
      <c r="K1105" s="1" t="s">
        <v>658</v>
      </c>
      <c r="L1105" s="1" t="s">
        <v>842</v>
      </c>
      <c r="M1105" s="1" t="s">
        <v>289</v>
      </c>
      <c r="N1105" s="1" t="s">
        <v>290</v>
      </c>
      <c r="O1105" s="1" t="s">
        <v>540</v>
      </c>
      <c r="P1105" s="1" t="str">
        <f>_xlfn.CONCAT(B1105,C1105,D1105,E1105,F1105)</f>
        <v>BC Formoso2.2Inverter(MBUS-14)46072,069444444446072,069444444446072,3263888889</v>
      </c>
      <c r="Q1105" s="1" t="str">
        <f>_xlfn.CONCAT(H1105,I1105,J1105)</f>
        <v>DAURDE</v>
      </c>
    </row>
    <row r="1106" spans="2:17">
      <c r="B1106" s="1" t="s">
        <v>265</v>
      </c>
      <c r="C1106" s="1" t="s">
        <v>264</v>
      </c>
      <c r="D1106" s="52">
        <v>46072.069444444445</v>
      </c>
      <c r="E1106" s="52">
        <v>46072.069444444445</v>
      </c>
      <c r="F1106" s="52">
        <v>46072.326388888891</v>
      </c>
      <c r="G1106" s="53">
        <v>0.25694444444444442</v>
      </c>
      <c r="H1106" s="1" t="s">
        <v>257</v>
      </c>
      <c r="J1106" s="1" t="s">
        <v>258</v>
      </c>
      <c r="K1106" s="1" t="s">
        <v>658</v>
      </c>
      <c r="L1106" s="1" t="s">
        <v>842</v>
      </c>
      <c r="M1106" s="1" t="s">
        <v>260</v>
      </c>
      <c r="N1106" s="1" t="s">
        <v>261</v>
      </c>
      <c r="O1106" s="1" t="s">
        <v>542</v>
      </c>
      <c r="P1106" s="1" t="str">
        <f>_xlfn.CONCAT(B1106,C1106,D1106,E1106,F1106)</f>
        <v>BC Formoso2.2Inverter(MBUS-13)46072,069444444446072,069444444446072,3263888889</v>
      </c>
      <c r="Q1106" s="1" t="str">
        <f>_xlfn.CONCAT(H1106,I1106,J1106)</f>
        <v>DAURDE</v>
      </c>
    </row>
    <row r="1107" spans="2:17">
      <c r="B1107" s="1" t="s">
        <v>265</v>
      </c>
      <c r="C1107" s="1" t="s">
        <v>256</v>
      </c>
      <c r="D1107" s="52">
        <v>46072.069444444445</v>
      </c>
      <c r="E1107" s="52">
        <v>46072.069444444445</v>
      </c>
      <c r="F1107" s="52">
        <v>46072.326388888891</v>
      </c>
      <c r="G1107" s="53">
        <v>0.25694444444444442</v>
      </c>
      <c r="H1107" s="1" t="s">
        <v>257</v>
      </c>
      <c r="J1107" s="1" t="s">
        <v>258</v>
      </c>
      <c r="K1107" s="1" t="s">
        <v>658</v>
      </c>
      <c r="L1107" s="1" t="s">
        <v>842</v>
      </c>
      <c r="M1107" s="1" t="s">
        <v>260</v>
      </c>
      <c r="N1107" s="1" t="s">
        <v>261</v>
      </c>
      <c r="O1107" s="1" t="s">
        <v>542</v>
      </c>
      <c r="P1107" s="1" t="str">
        <f>_xlfn.CONCAT(B1107,C1107,D1107,E1107,F1107)</f>
        <v>BC Formoso2.2Inverter(MBUS-12)46072,069444444446072,069444444446072,3263888889</v>
      </c>
      <c r="Q1107" s="1" t="str">
        <f>_xlfn.CONCAT(H1107,I1107,J1107)</f>
        <v>DAURDE</v>
      </c>
    </row>
    <row r="1108" spans="2:17">
      <c r="B1108" s="1" t="s">
        <v>265</v>
      </c>
      <c r="C1108" s="1" t="s">
        <v>247</v>
      </c>
      <c r="D1108" s="52">
        <v>46072.069444444445</v>
      </c>
      <c r="E1108" s="52">
        <v>46072.069444444445</v>
      </c>
      <c r="F1108" s="52">
        <v>46072.326388888891</v>
      </c>
      <c r="G1108" s="53">
        <v>0.25694444444444442</v>
      </c>
      <c r="H1108" s="1" t="s">
        <v>257</v>
      </c>
      <c r="J1108" s="1" t="s">
        <v>258</v>
      </c>
      <c r="K1108" s="1" t="s">
        <v>658</v>
      </c>
      <c r="L1108" s="1" t="s">
        <v>842</v>
      </c>
      <c r="M1108" s="1" t="s">
        <v>260</v>
      </c>
      <c r="N1108" s="1" t="s">
        <v>261</v>
      </c>
      <c r="O1108" s="1" t="s">
        <v>542</v>
      </c>
      <c r="P1108" s="1" t="str">
        <f>_xlfn.CONCAT(B1108,C1108,D1108,E1108,F1108)</f>
        <v>BC Formoso2.2Inverter(MBUS-1)46072,069444444446072,069444444446072,3263888889</v>
      </c>
      <c r="Q1108" s="1" t="str">
        <f>_xlfn.CONCAT(H1108,I1108,J1108)</f>
        <v>DAURDE</v>
      </c>
    </row>
    <row r="1109" spans="2:17">
      <c r="B1109" s="1" t="s">
        <v>355</v>
      </c>
      <c r="C1109" s="1" t="s">
        <v>264</v>
      </c>
      <c r="D1109" s="52">
        <v>46072.069444444445</v>
      </c>
      <c r="E1109" s="52">
        <v>46072.069444444445</v>
      </c>
      <c r="F1109" s="52">
        <v>46072.326388888891</v>
      </c>
      <c r="G1109" s="53">
        <v>0.25694444444444442</v>
      </c>
      <c r="H1109" s="1" t="s">
        <v>257</v>
      </c>
      <c r="J1109" s="1" t="s">
        <v>258</v>
      </c>
      <c r="K1109" s="1" t="s">
        <v>658</v>
      </c>
      <c r="L1109" s="1" t="s">
        <v>842</v>
      </c>
      <c r="M1109" s="1" t="s">
        <v>260</v>
      </c>
      <c r="N1109" s="1" t="s">
        <v>261</v>
      </c>
      <c r="O1109" s="1" t="s">
        <v>542</v>
      </c>
      <c r="P1109" s="1" t="str">
        <f>_xlfn.CONCAT(B1109,C1109,D1109,E1109,F1109)</f>
        <v>BC Formoso2.3Inverter(MBUS-13)46072,069444444446072,069444444446072,3263888889</v>
      </c>
      <c r="Q1109" s="1" t="str">
        <f>_xlfn.CONCAT(H1109,I1109,J1109)</f>
        <v>DAURDE</v>
      </c>
    </row>
    <row r="1110" spans="2:17">
      <c r="B1110" s="1" t="s">
        <v>355</v>
      </c>
      <c r="C1110" s="1" t="s">
        <v>256</v>
      </c>
      <c r="D1110" s="52">
        <v>46072.069444444445</v>
      </c>
      <c r="E1110" s="52">
        <v>46072.069444444445</v>
      </c>
      <c r="F1110" s="52">
        <v>46072.326388888891</v>
      </c>
      <c r="G1110" s="53">
        <v>0.25694444444444442</v>
      </c>
      <c r="H1110" s="1" t="s">
        <v>257</v>
      </c>
      <c r="J1110" s="1" t="s">
        <v>258</v>
      </c>
      <c r="K1110" s="1" t="s">
        <v>658</v>
      </c>
      <c r="L1110" s="1" t="s">
        <v>842</v>
      </c>
      <c r="M1110" s="1" t="s">
        <v>260</v>
      </c>
      <c r="N1110" s="1" t="s">
        <v>261</v>
      </c>
      <c r="O1110" s="1" t="s">
        <v>542</v>
      </c>
      <c r="P1110" s="1" t="str">
        <f>_xlfn.CONCAT(B1110,C1110,D1110,E1110,F1110)</f>
        <v>BC Formoso2.3Inverter(MBUS-12)46072,069444444446072,069444444446072,3263888889</v>
      </c>
      <c r="Q1110" s="1" t="str">
        <f>_xlfn.CONCAT(H1110,I1110,J1110)</f>
        <v>DAURDE</v>
      </c>
    </row>
    <row r="1111" spans="2:17">
      <c r="B1111" s="1" t="s">
        <v>314</v>
      </c>
      <c r="C1111" s="1" t="s">
        <v>264</v>
      </c>
      <c r="D1111" s="52">
        <v>46072.284722222219</v>
      </c>
      <c r="E1111" s="52">
        <v>46072.284722222219</v>
      </c>
      <c r="F1111" s="52">
        <v>46072.319444444445</v>
      </c>
      <c r="G1111" s="53">
        <v>3.4722222222222224E-2</v>
      </c>
      <c r="H1111" s="1" t="s">
        <v>257</v>
      </c>
      <c r="J1111" s="1" t="s">
        <v>371</v>
      </c>
      <c r="K1111" s="1" t="s">
        <v>653</v>
      </c>
      <c r="L1111" s="1" t="s">
        <v>843</v>
      </c>
      <c r="M1111" s="1" t="s">
        <v>260</v>
      </c>
      <c r="N1111" s="1" t="s">
        <v>261</v>
      </c>
      <c r="O1111" s="1" t="s">
        <v>542</v>
      </c>
      <c r="P1111" s="1" t="str">
        <f>_xlfn.CONCAT(B1111,C1111,D1111,E1111,F1111)</f>
        <v>BC Turvania1.3Inverter(MBUS-13)46072,284722222246072,284722222246072,3194444444</v>
      </c>
      <c r="Q1111" s="1" t="str">
        <f>_xlfn.CONCAT(H1111,I1111,J1111)</f>
        <v>DAUINV</v>
      </c>
    </row>
    <row r="1112" spans="2:17">
      <c r="B1112" s="1" t="s">
        <v>305</v>
      </c>
      <c r="C1112" s="1" t="s">
        <v>256</v>
      </c>
      <c r="D1112" s="52">
        <v>46072.634722222225</v>
      </c>
      <c r="E1112" s="52">
        <v>46072.634722222225</v>
      </c>
      <c r="F1112" s="52">
        <v>46072.71875</v>
      </c>
      <c r="G1112" s="53">
        <v>8.4027777777777785E-2</v>
      </c>
      <c r="H1112" s="1" t="s">
        <v>257</v>
      </c>
      <c r="J1112" s="1" t="s">
        <v>258</v>
      </c>
      <c r="K1112" s="1" t="s">
        <v>658</v>
      </c>
      <c r="L1112" s="1" t="s">
        <v>844</v>
      </c>
      <c r="M1112" s="1" t="s">
        <v>260</v>
      </c>
      <c r="N1112" s="1" t="s">
        <v>261</v>
      </c>
      <c r="O1112" s="1" t="s">
        <v>542</v>
      </c>
      <c r="P1112" s="1" t="str">
        <f>_xlfn.CONCAT(B1112,C1112,D1112,E1112,F1112)</f>
        <v>ARAGUATINS 1.1Inverter(MBUS-12)46072,634722222246072,634722222246072,71875</v>
      </c>
      <c r="Q1112" s="1" t="str">
        <f>_xlfn.CONCAT(H1112,I1112,J1112)</f>
        <v>DAURDE</v>
      </c>
    </row>
    <row r="1113" spans="2:17">
      <c r="B1113" s="1" t="s">
        <v>305</v>
      </c>
      <c r="C1113" s="1" t="s">
        <v>264</v>
      </c>
      <c r="D1113" s="52">
        <v>46072.634722222225</v>
      </c>
      <c r="E1113" s="52">
        <v>46072.634722222225</v>
      </c>
      <c r="F1113" s="52">
        <v>46072.71875</v>
      </c>
      <c r="G1113" s="53">
        <v>8.4027777777777785E-2</v>
      </c>
      <c r="H1113" s="1" t="s">
        <v>257</v>
      </c>
      <c r="J1113" s="1" t="s">
        <v>258</v>
      </c>
      <c r="K1113" s="1" t="s">
        <v>658</v>
      </c>
      <c r="L1113" s="1" t="s">
        <v>844</v>
      </c>
      <c r="M1113" s="1" t="s">
        <v>260</v>
      </c>
      <c r="N1113" s="1" t="s">
        <v>261</v>
      </c>
      <c r="O1113" s="1" t="s">
        <v>542</v>
      </c>
      <c r="P1113" s="1" t="str">
        <f>_xlfn.CONCAT(B1113,C1113,D1113,E1113,F1113)</f>
        <v>ARAGUATINS 1.1Inverter(MBUS-13)46072,634722222246072,634722222246072,71875</v>
      </c>
      <c r="Q1113" s="1" t="str">
        <f>_xlfn.CONCAT(H1113,I1113,J1113)</f>
        <v>DAURDE</v>
      </c>
    </row>
    <row r="1114" spans="2:17">
      <c r="B1114" s="1" t="s">
        <v>305</v>
      </c>
      <c r="C1114" s="1" t="s">
        <v>263</v>
      </c>
      <c r="D1114" s="52">
        <v>46072.634722222225</v>
      </c>
      <c r="E1114" s="52">
        <v>46072.634722222225</v>
      </c>
      <c r="F1114" s="52">
        <v>46072.71875</v>
      </c>
      <c r="G1114" s="53">
        <v>8.4027777777777785E-2</v>
      </c>
      <c r="H1114" s="1" t="s">
        <v>257</v>
      </c>
      <c r="J1114" s="1" t="s">
        <v>258</v>
      </c>
      <c r="K1114" s="1" t="s">
        <v>658</v>
      </c>
      <c r="L1114" s="1" t="s">
        <v>844</v>
      </c>
      <c r="M1114" s="1" t="s">
        <v>260</v>
      </c>
      <c r="N1114" s="1" t="s">
        <v>261</v>
      </c>
      <c r="O1114" s="1" t="s">
        <v>542</v>
      </c>
      <c r="P1114" s="1" t="str">
        <f>_xlfn.CONCAT(B1114,C1114,D1114,E1114,F1114)</f>
        <v>ARAGUATINS 1.1Inverter(MBUS-14)46072,634722222246072,634722222246072,71875</v>
      </c>
      <c r="Q1114" s="1" t="str">
        <f>_xlfn.CONCAT(H1114,I1114,J1114)</f>
        <v>DAURDE</v>
      </c>
    </row>
    <row r="1115" spans="2:17">
      <c r="B1115" s="1" t="s">
        <v>305</v>
      </c>
      <c r="C1115" s="1" t="s">
        <v>307</v>
      </c>
      <c r="D1115" s="52">
        <v>46072.634722222225</v>
      </c>
      <c r="E1115" s="52">
        <v>46072.634722222225</v>
      </c>
      <c r="F1115" s="52">
        <v>46072.71875</v>
      </c>
      <c r="G1115" s="53">
        <v>8.4027777777777785E-2</v>
      </c>
      <c r="H1115" s="1" t="s">
        <v>257</v>
      </c>
      <c r="J1115" s="1" t="s">
        <v>258</v>
      </c>
      <c r="K1115" s="1" t="s">
        <v>658</v>
      </c>
      <c r="L1115" s="1" t="s">
        <v>844</v>
      </c>
      <c r="M1115" s="1" t="s">
        <v>260</v>
      </c>
      <c r="N1115" s="1" t="s">
        <v>261</v>
      </c>
      <c r="O1115" s="1" t="s">
        <v>542</v>
      </c>
      <c r="P1115" s="1" t="str">
        <f>_xlfn.CONCAT(B1115,C1115,D1115,E1115,F1115)</f>
        <v>ARAGUATINS 1.1Inverter(MBUS-15)46072,634722222246072,634722222246072,71875</v>
      </c>
      <c r="Q1115" s="1" t="str">
        <f>_xlfn.CONCAT(H1115,I1115,J1115)</f>
        <v>DAURDE</v>
      </c>
    </row>
    <row r="1116" spans="2:17">
      <c r="B1116" s="1" t="s">
        <v>308</v>
      </c>
      <c r="C1116" s="1" t="s">
        <v>256</v>
      </c>
      <c r="D1116" s="52">
        <v>46072.634722222225</v>
      </c>
      <c r="E1116" s="52">
        <v>46072.634722222225</v>
      </c>
      <c r="F1116" s="52">
        <v>46072.71875</v>
      </c>
      <c r="G1116" s="53">
        <v>8.4027777777777785E-2</v>
      </c>
      <c r="H1116" s="1" t="s">
        <v>257</v>
      </c>
      <c r="J1116" s="1" t="s">
        <v>258</v>
      </c>
      <c r="K1116" s="1" t="s">
        <v>658</v>
      </c>
      <c r="L1116" s="1" t="s">
        <v>844</v>
      </c>
      <c r="M1116" s="1" t="s">
        <v>260</v>
      </c>
      <c r="N1116" s="1" t="s">
        <v>261</v>
      </c>
      <c r="O1116" s="1" t="s">
        <v>542</v>
      </c>
      <c r="P1116" s="1" t="str">
        <f>_xlfn.CONCAT(B1116,C1116,D1116,E1116,F1116)</f>
        <v>ARAGUATINS 1.2Inverter(MBUS-12)46072,634722222246072,634722222246072,71875</v>
      </c>
      <c r="Q1116" s="1" t="str">
        <f>_xlfn.CONCAT(H1116,I1116,J1116)</f>
        <v>DAURDE</v>
      </c>
    </row>
    <row r="1117" spans="2:17">
      <c r="B1117" s="1" t="s">
        <v>308</v>
      </c>
      <c r="C1117" s="1" t="s">
        <v>264</v>
      </c>
      <c r="D1117" s="52">
        <v>46072.634722222225</v>
      </c>
      <c r="E1117" s="52">
        <v>46072.634722222225</v>
      </c>
      <c r="F1117" s="52">
        <v>46072.71875</v>
      </c>
      <c r="G1117" s="53">
        <v>8.4027777777777785E-2</v>
      </c>
      <c r="H1117" s="1" t="s">
        <v>257</v>
      </c>
      <c r="J1117" s="1" t="s">
        <v>258</v>
      </c>
      <c r="K1117" s="1" t="s">
        <v>658</v>
      </c>
      <c r="L1117" s="1" t="s">
        <v>844</v>
      </c>
      <c r="M1117" s="1" t="s">
        <v>260</v>
      </c>
      <c r="N1117" s="1" t="s">
        <v>261</v>
      </c>
      <c r="O1117" s="1" t="s">
        <v>542</v>
      </c>
      <c r="P1117" s="1" t="str">
        <f>_xlfn.CONCAT(B1117,C1117,D1117,E1117,F1117)</f>
        <v>ARAGUATINS 1.2Inverter(MBUS-13)46072,634722222246072,634722222246072,71875</v>
      </c>
      <c r="Q1117" s="1" t="str">
        <f>_xlfn.CONCAT(H1117,I1117,J1117)</f>
        <v>DAURDE</v>
      </c>
    </row>
    <row r="1118" spans="2:17">
      <c r="B1118" s="1" t="s">
        <v>308</v>
      </c>
      <c r="C1118" s="1" t="s">
        <v>263</v>
      </c>
      <c r="D1118" s="52">
        <v>46072.634722222225</v>
      </c>
      <c r="E1118" s="52">
        <v>46072.634722222225</v>
      </c>
      <c r="F1118" s="52">
        <v>46072.71875</v>
      </c>
      <c r="G1118" s="53">
        <v>8.4027777777777785E-2</v>
      </c>
      <c r="H1118" s="1" t="s">
        <v>257</v>
      </c>
      <c r="J1118" s="1" t="s">
        <v>258</v>
      </c>
      <c r="K1118" s="1" t="s">
        <v>658</v>
      </c>
      <c r="L1118" s="1" t="s">
        <v>844</v>
      </c>
      <c r="M1118" s="1" t="s">
        <v>260</v>
      </c>
      <c r="N1118" s="1" t="s">
        <v>261</v>
      </c>
      <c r="O1118" s="1" t="s">
        <v>542</v>
      </c>
      <c r="P1118" s="1" t="str">
        <f>_xlfn.CONCAT(B1118,C1118,D1118,E1118,F1118)</f>
        <v>ARAGUATINS 1.2Inverter(MBUS-14)46072,634722222246072,634722222246072,71875</v>
      </c>
      <c r="Q1118" s="1" t="str">
        <f>_xlfn.CONCAT(H1118,I1118,J1118)</f>
        <v>DAURDE</v>
      </c>
    </row>
    <row r="1119" spans="2:17">
      <c r="B1119" s="1" t="s">
        <v>308</v>
      </c>
      <c r="C1119" s="1" t="s">
        <v>307</v>
      </c>
      <c r="D1119" s="52">
        <v>46072.634722222225</v>
      </c>
      <c r="E1119" s="52">
        <v>46072.634722222225</v>
      </c>
      <c r="F1119" s="52">
        <v>46072.71875</v>
      </c>
      <c r="G1119" s="53">
        <v>8.4027777777777785E-2</v>
      </c>
      <c r="H1119" s="1" t="s">
        <v>257</v>
      </c>
      <c r="J1119" s="1" t="s">
        <v>258</v>
      </c>
      <c r="K1119" s="1" t="s">
        <v>658</v>
      </c>
      <c r="L1119" s="1" t="s">
        <v>844</v>
      </c>
      <c r="M1119" s="1" t="s">
        <v>260</v>
      </c>
      <c r="N1119" s="1" t="s">
        <v>261</v>
      </c>
      <c r="O1119" s="1" t="s">
        <v>542</v>
      </c>
      <c r="P1119" s="1" t="str">
        <f>_xlfn.CONCAT(B1119,C1119,D1119,E1119,F1119)</f>
        <v>ARAGUATINS 1.2Inverter(MBUS-15)46072,634722222246072,634722222246072,71875</v>
      </c>
      <c r="Q1119" s="1" t="str">
        <f>_xlfn.CONCAT(H1119,I1119,J1119)</f>
        <v>DAURDE</v>
      </c>
    </row>
    <row r="1120" spans="2:17">
      <c r="B1120" s="1" t="s">
        <v>309</v>
      </c>
      <c r="C1120" s="1" t="s">
        <v>310</v>
      </c>
      <c r="D1120" s="52">
        <v>46072.634722222225</v>
      </c>
      <c r="E1120" s="52">
        <v>46072.634722222225</v>
      </c>
      <c r="F1120" s="52">
        <v>46072.71875</v>
      </c>
      <c r="G1120" s="53">
        <v>8.4027777777777785E-2</v>
      </c>
      <c r="H1120" s="1" t="s">
        <v>257</v>
      </c>
      <c r="J1120" s="1" t="s">
        <v>258</v>
      </c>
      <c r="K1120" s="1" t="s">
        <v>658</v>
      </c>
      <c r="L1120" s="1" t="s">
        <v>844</v>
      </c>
      <c r="M1120" s="1" t="s">
        <v>260</v>
      </c>
      <c r="N1120" s="1" t="s">
        <v>261</v>
      </c>
      <c r="O1120" s="1" t="s">
        <v>542</v>
      </c>
      <c r="P1120" s="1" t="str">
        <f>_xlfn.CONCAT(B1120,C1120,D1120,E1120,F1120)</f>
        <v>ARAGUATINS 1.3Inverter(MBUS-20)46072,634722222246072,634722222246072,71875</v>
      </c>
      <c r="Q1120" s="1" t="str">
        <f>_xlfn.CONCAT(H1120,I1120,J1120)</f>
        <v>DAURDE</v>
      </c>
    </row>
    <row r="1121" spans="2:17">
      <c r="B1121" s="1" t="s">
        <v>309</v>
      </c>
      <c r="C1121" s="1" t="s">
        <v>247</v>
      </c>
      <c r="D1121" s="52">
        <v>46072.634722222225</v>
      </c>
      <c r="E1121" s="52">
        <v>46072.634722222225</v>
      </c>
      <c r="F1121" s="52">
        <v>46072.71875</v>
      </c>
      <c r="G1121" s="53">
        <v>8.4027777777777785E-2</v>
      </c>
      <c r="H1121" s="1" t="s">
        <v>257</v>
      </c>
      <c r="J1121" s="1" t="s">
        <v>258</v>
      </c>
      <c r="K1121" s="1" t="s">
        <v>658</v>
      </c>
      <c r="L1121" s="1" t="s">
        <v>844</v>
      </c>
      <c r="M1121" s="1" t="s">
        <v>260</v>
      </c>
      <c r="N1121" s="1" t="s">
        <v>261</v>
      </c>
      <c r="O1121" s="1" t="s">
        <v>542</v>
      </c>
      <c r="P1121" s="1" t="str">
        <f>_xlfn.CONCAT(B1121,C1121,D1121,E1121,F1121)</f>
        <v>ARAGUATINS 1.3Inverter(MBUS-1)46072,634722222246072,634722222246072,71875</v>
      </c>
      <c r="Q1121" s="1" t="str">
        <f>_xlfn.CONCAT(H1121,I1121,J1121)</f>
        <v>DAURDE</v>
      </c>
    </row>
    <row r="1122" spans="2:17">
      <c r="B1122" s="1" t="s">
        <v>311</v>
      </c>
      <c r="C1122" s="1" t="s">
        <v>256</v>
      </c>
      <c r="D1122" s="52">
        <v>46072.634722222225</v>
      </c>
      <c r="E1122" s="52">
        <v>46072.634722222225</v>
      </c>
      <c r="F1122" s="52">
        <v>46072.71875</v>
      </c>
      <c r="G1122" s="53">
        <v>8.4027777777777785E-2</v>
      </c>
      <c r="H1122" s="1" t="s">
        <v>257</v>
      </c>
      <c r="J1122" s="1" t="s">
        <v>258</v>
      </c>
      <c r="K1122" s="1" t="s">
        <v>658</v>
      </c>
      <c r="L1122" s="1" t="s">
        <v>844</v>
      </c>
      <c r="M1122" s="1" t="s">
        <v>260</v>
      </c>
      <c r="N1122" s="1" t="s">
        <v>261</v>
      </c>
      <c r="O1122" s="1" t="s">
        <v>542</v>
      </c>
      <c r="P1122" s="1" t="str">
        <f>_xlfn.CONCAT(B1122,C1122,D1122,E1122,F1122)</f>
        <v>ARAGUATINS 2.1Inverter(MBUS-12)46072,634722222246072,634722222246072,71875</v>
      </c>
      <c r="Q1122" s="1" t="str">
        <f>_xlfn.CONCAT(H1122,I1122,J1122)</f>
        <v>DAURDE</v>
      </c>
    </row>
    <row r="1123" spans="2:17">
      <c r="B1123" s="1" t="s">
        <v>311</v>
      </c>
      <c r="C1123" s="1" t="s">
        <v>307</v>
      </c>
      <c r="D1123" s="52">
        <v>46072.634722222225</v>
      </c>
      <c r="E1123" s="52">
        <v>46072.634722222225</v>
      </c>
      <c r="F1123" s="52">
        <v>46072.71875</v>
      </c>
      <c r="G1123" s="53">
        <v>8.4027777777777785E-2</v>
      </c>
      <c r="H1123" s="1" t="s">
        <v>257</v>
      </c>
      <c r="J1123" s="1" t="s">
        <v>258</v>
      </c>
      <c r="K1123" s="1" t="s">
        <v>658</v>
      </c>
      <c r="L1123" s="1" t="s">
        <v>844</v>
      </c>
      <c r="M1123" s="1" t="s">
        <v>260</v>
      </c>
      <c r="N1123" s="1" t="s">
        <v>261</v>
      </c>
      <c r="O1123" s="1" t="s">
        <v>542</v>
      </c>
      <c r="P1123" s="1" t="str">
        <f>_xlfn.CONCAT(B1123,C1123,D1123,E1123,F1123)</f>
        <v>ARAGUATINS 2.1Inverter(MBUS-15)46072,634722222246072,634722222246072,71875</v>
      </c>
      <c r="Q1123" s="1" t="str">
        <f>_xlfn.CONCAT(H1123,I1123,J1123)</f>
        <v>DAURDE</v>
      </c>
    </row>
    <row r="1124" spans="2:17">
      <c r="B1124" s="1" t="s">
        <v>311</v>
      </c>
      <c r="C1124" s="1" t="s">
        <v>263</v>
      </c>
      <c r="D1124" s="52">
        <v>46072.634722222225</v>
      </c>
      <c r="E1124" s="52">
        <v>46072.634722222225</v>
      </c>
      <c r="F1124" s="52">
        <v>46072.71875</v>
      </c>
      <c r="G1124" s="53">
        <v>8.4027777777777785E-2</v>
      </c>
      <c r="H1124" s="1" t="s">
        <v>257</v>
      </c>
      <c r="J1124" s="1" t="s">
        <v>258</v>
      </c>
      <c r="K1124" s="1" t="s">
        <v>658</v>
      </c>
      <c r="L1124" s="1" t="s">
        <v>844</v>
      </c>
      <c r="M1124" s="1" t="s">
        <v>260</v>
      </c>
      <c r="N1124" s="1" t="s">
        <v>261</v>
      </c>
      <c r="O1124" s="1" t="s">
        <v>542</v>
      </c>
      <c r="P1124" s="1" t="str">
        <f>_xlfn.CONCAT(B1124,C1124,D1124,E1124,F1124)</f>
        <v>ARAGUATINS 2.1Inverter(MBUS-14)46072,634722222246072,634722222246072,71875</v>
      </c>
      <c r="Q1124" s="1" t="str">
        <f>_xlfn.CONCAT(H1124,I1124,J1124)</f>
        <v>DAURDE</v>
      </c>
    </row>
    <row r="1125" spans="2:17">
      <c r="B1125" s="1" t="s">
        <v>311</v>
      </c>
      <c r="C1125" s="1" t="s">
        <v>247</v>
      </c>
      <c r="D1125" s="52">
        <v>46072.634722222225</v>
      </c>
      <c r="E1125" s="52">
        <v>46072.634722222225</v>
      </c>
      <c r="F1125" s="52">
        <v>46072.71875</v>
      </c>
      <c r="G1125" s="53">
        <v>8.4027777777777785E-2</v>
      </c>
      <c r="H1125" s="1" t="s">
        <v>257</v>
      </c>
      <c r="J1125" s="1" t="s">
        <v>258</v>
      </c>
      <c r="K1125" s="1" t="s">
        <v>658</v>
      </c>
      <c r="L1125" s="1" t="s">
        <v>844</v>
      </c>
      <c r="M1125" s="1" t="s">
        <v>260</v>
      </c>
      <c r="N1125" s="1" t="s">
        <v>261</v>
      </c>
      <c r="O1125" s="1" t="s">
        <v>542</v>
      </c>
      <c r="P1125" s="1" t="str">
        <f>_xlfn.CONCAT(B1125,C1125,D1125,E1125,F1125)</f>
        <v>ARAGUATINS 2.1Inverter(MBUS-1)46072,634722222246072,634722222246072,71875</v>
      </c>
      <c r="Q1125" s="1" t="str">
        <f>_xlfn.CONCAT(H1125,I1125,J1125)</f>
        <v>DAURDE</v>
      </c>
    </row>
    <row r="1126" spans="2:17">
      <c r="B1126" s="1" t="s">
        <v>312</v>
      </c>
      <c r="C1126" s="1" t="s">
        <v>307</v>
      </c>
      <c r="D1126" s="52">
        <v>46072.634722222225</v>
      </c>
      <c r="E1126" s="52">
        <v>46072.634722222225</v>
      </c>
      <c r="F1126" s="52">
        <v>46072.71875</v>
      </c>
      <c r="G1126" s="53">
        <v>8.4027777777777785E-2</v>
      </c>
      <c r="H1126" s="1" t="s">
        <v>257</v>
      </c>
      <c r="J1126" s="1" t="s">
        <v>258</v>
      </c>
      <c r="K1126" s="1" t="s">
        <v>658</v>
      </c>
      <c r="L1126" s="1" t="s">
        <v>844</v>
      </c>
      <c r="M1126" s="1" t="s">
        <v>260</v>
      </c>
      <c r="N1126" s="1" t="s">
        <v>261</v>
      </c>
      <c r="O1126" s="1" t="s">
        <v>542</v>
      </c>
      <c r="P1126" s="1" t="str">
        <f>_xlfn.CONCAT(B1126,C1126,D1126,E1126,F1126)</f>
        <v>ARAGUATINS 2.2Inverter(MBUS-15)46072,634722222246072,634722222246072,71875</v>
      </c>
      <c r="Q1126" s="1" t="str">
        <f>_xlfn.CONCAT(H1126,I1126,J1126)</f>
        <v>DAURDE</v>
      </c>
    </row>
    <row r="1127" spans="2:17">
      <c r="B1127" s="1" t="s">
        <v>312</v>
      </c>
      <c r="C1127" s="1" t="s">
        <v>264</v>
      </c>
      <c r="D1127" s="52">
        <v>46072.634722222225</v>
      </c>
      <c r="E1127" s="52">
        <v>46072.634722222225</v>
      </c>
      <c r="F1127" s="52">
        <v>46072.71875</v>
      </c>
      <c r="G1127" s="53">
        <v>8.4027777777777785E-2</v>
      </c>
      <c r="H1127" s="1" t="s">
        <v>257</v>
      </c>
      <c r="J1127" s="1" t="s">
        <v>258</v>
      </c>
      <c r="K1127" s="1" t="s">
        <v>658</v>
      </c>
      <c r="L1127" s="1" t="s">
        <v>844</v>
      </c>
      <c r="M1127" s="1" t="s">
        <v>260</v>
      </c>
      <c r="N1127" s="1" t="s">
        <v>261</v>
      </c>
      <c r="O1127" s="1" t="s">
        <v>542</v>
      </c>
      <c r="P1127" s="1" t="str">
        <f>_xlfn.CONCAT(B1127,C1127,D1127,E1127,F1127)</f>
        <v>ARAGUATINS 2.2Inverter(MBUS-13)46072,634722222246072,634722222246072,71875</v>
      </c>
      <c r="Q1127" s="1" t="str">
        <f>_xlfn.CONCAT(H1127,I1127,J1127)</f>
        <v>DAURDE</v>
      </c>
    </row>
    <row r="1128" spans="2:17">
      <c r="B1128" s="1" t="s">
        <v>312</v>
      </c>
      <c r="C1128" s="1" t="s">
        <v>263</v>
      </c>
      <c r="D1128" s="52">
        <v>46072.634722222225</v>
      </c>
      <c r="E1128" s="52">
        <v>46072.634722222225</v>
      </c>
      <c r="F1128" s="52">
        <v>46072.71875</v>
      </c>
      <c r="G1128" s="53">
        <v>8.4027777777777785E-2</v>
      </c>
      <c r="H1128" s="1" t="s">
        <v>257</v>
      </c>
      <c r="J1128" s="1" t="s">
        <v>258</v>
      </c>
      <c r="K1128" s="1" t="s">
        <v>658</v>
      </c>
      <c r="L1128" s="1" t="s">
        <v>844</v>
      </c>
      <c r="M1128" s="1" t="s">
        <v>260</v>
      </c>
      <c r="N1128" s="1" t="s">
        <v>261</v>
      </c>
      <c r="O1128" s="1" t="s">
        <v>542</v>
      </c>
      <c r="P1128" s="1" t="str">
        <f>_xlfn.CONCAT(B1128,C1128,D1128,E1128,F1128)</f>
        <v>ARAGUATINS 2.2Inverter(MBUS-14)46072,634722222246072,634722222246072,71875</v>
      </c>
      <c r="Q1128" s="1" t="str">
        <f>_xlfn.CONCAT(H1128,I1128,J1128)</f>
        <v>DAURDE</v>
      </c>
    </row>
    <row r="1129" spans="2:17">
      <c r="B1129" s="1" t="s">
        <v>312</v>
      </c>
      <c r="C1129" s="1" t="s">
        <v>256</v>
      </c>
      <c r="D1129" s="52">
        <v>46072.634722222225</v>
      </c>
      <c r="E1129" s="52">
        <v>46072.634722222225</v>
      </c>
      <c r="F1129" s="52">
        <v>46072.71875</v>
      </c>
      <c r="G1129" s="53">
        <v>8.4027777777777785E-2</v>
      </c>
      <c r="H1129" s="1" t="s">
        <v>257</v>
      </c>
      <c r="J1129" s="1" t="s">
        <v>258</v>
      </c>
      <c r="K1129" s="1" t="s">
        <v>658</v>
      </c>
      <c r="L1129" s="1" t="s">
        <v>844</v>
      </c>
      <c r="M1129" s="1" t="s">
        <v>260</v>
      </c>
      <c r="N1129" s="1" t="s">
        <v>261</v>
      </c>
      <c r="O1129" s="1" t="s">
        <v>542</v>
      </c>
      <c r="P1129" s="1" t="str">
        <f>_xlfn.CONCAT(B1129,C1129,D1129,E1129,F1129)</f>
        <v>ARAGUATINS 2.2Inverter(MBUS-12)46072,634722222246072,634722222246072,71875</v>
      </c>
      <c r="Q1129" s="1" t="str">
        <f>_xlfn.CONCAT(H1129,I1129,J1129)</f>
        <v>DAURDE</v>
      </c>
    </row>
    <row r="1130" spans="2:17">
      <c r="B1130" s="1" t="s">
        <v>313</v>
      </c>
      <c r="C1130" s="1" t="s">
        <v>256</v>
      </c>
      <c r="D1130" s="52">
        <v>46072.634722222225</v>
      </c>
      <c r="E1130" s="52">
        <v>46072.634722222225</v>
      </c>
      <c r="F1130" s="52">
        <v>46072.71875</v>
      </c>
      <c r="G1130" s="53">
        <v>8.4027777777777785E-2</v>
      </c>
      <c r="H1130" s="1" t="s">
        <v>257</v>
      </c>
      <c r="J1130" s="1" t="s">
        <v>258</v>
      </c>
      <c r="K1130" s="1" t="s">
        <v>658</v>
      </c>
      <c r="L1130" s="1" t="s">
        <v>844</v>
      </c>
      <c r="M1130" s="1" t="s">
        <v>260</v>
      </c>
      <c r="N1130" s="1" t="s">
        <v>261</v>
      </c>
      <c r="O1130" s="1" t="s">
        <v>542</v>
      </c>
      <c r="P1130" s="1" t="str">
        <f>_xlfn.CONCAT(B1130,C1130,D1130,E1130,F1130)</f>
        <v>ARAGUATINS 2.3Inverter(MBUS-12)46072,634722222246072,634722222246072,71875</v>
      </c>
      <c r="Q1130" s="1" t="str">
        <f>_xlfn.CONCAT(H1130,I1130,J1130)</f>
        <v>DAURDE</v>
      </c>
    </row>
    <row r="1131" spans="2:17">
      <c r="B1131" s="1" t="s">
        <v>313</v>
      </c>
      <c r="C1131" s="1" t="s">
        <v>264</v>
      </c>
      <c r="D1131" s="52">
        <v>46072.634722222225</v>
      </c>
      <c r="E1131" s="52">
        <v>46072.634722222225</v>
      </c>
      <c r="F1131" s="52">
        <v>46072.71875</v>
      </c>
      <c r="G1131" s="53">
        <v>8.4027777777777785E-2</v>
      </c>
      <c r="H1131" s="1" t="s">
        <v>257</v>
      </c>
      <c r="J1131" s="1" t="s">
        <v>258</v>
      </c>
      <c r="K1131" s="1" t="s">
        <v>658</v>
      </c>
      <c r="L1131" s="1" t="s">
        <v>844</v>
      </c>
      <c r="M1131" s="1" t="s">
        <v>260</v>
      </c>
      <c r="N1131" s="1" t="s">
        <v>261</v>
      </c>
      <c r="O1131" s="1" t="s">
        <v>542</v>
      </c>
      <c r="P1131" s="1" t="str">
        <f>_xlfn.CONCAT(B1131,C1131,D1131,E1131,F1131)</f>
        <v>ARAGUATINS 2.3Inverter(MBUS-13)46072,634722222246072,634722222246072,71875</v>
      </c>
      <c r="Q1131" s="1" t="str">
        <f>_xlfn.CONCAT(H1131,I1131,J1131)</f>
        <v>DAURDE</v>
      </c>
    </row>
    <row r="1132" spans="2:17">
      <c r="B1132" s="1" t="s">
        <v>393</v>
      </c>
      <c r="C1132" s="1" t="s">
        <v>420</v>
      </c>
      <c r="D1132" s="52">
        <v>46072.681250000001</v>
      </c>
      <c r="E1132" s="52">
        <v>46072.681250000001</v>
      </c>
      <c r="F1132" s="52">
        <v>46072.743055555555</v>
      </c>
      <c r="G1132" s="53">
        <v>6.1805555555555558E-2</v>
      </c>
      <c r="H1132" s="1" t="s">
        <v>677</v>
      </c>
      <c r="J1132" s="1" t="s">
        <v>249</v>
      </c>
      <c r="K1132" s="1" t="s">
        <v>250</v>
      </c>
      <c r="L1132" s="1" t="s">
        <v>845</v>
      </c>
      <c r="M1132" s="1" t="s">
        <v>260</v>
      </c>
      <c r="N1132" s="1" t="s">
        <v>261</v>
      </c>
      <c r="O1132" s="1" t="s">
        <v>542</v>
      </c>
      <c r="P1132" s="1" t="str">
        <f>_xlfn.CONCAT(B1132,C1132,D1132,E1132,F1132)</f>
        <v>BC ParanoaSG60KTL(COM1-001)_002_00646072,6812546072,6812546072,7430555556</v>
      </c>
      <c r="Q1132" s="1" t="str">
        <f>_xlfn.CONCAT(H1132,I1132,J1132)</f>
        <v>DPRTRF</v>
      </c>
    </row>
    <row r="1133" spans="2:17">
      <c r="B1133" s="1" t="s">
        <v>393</v>
      </c>
      <c r="C1133" s="1" t="s">
        <v>421</v>
      </c>
      <c r="D1133" s="52">
        <v>46072.681250000001</v>
      </c>
      <c r="E1133" s="52">
        <v>46072.681250000001</v>
      </c>
      <c r="F1133" s="52">
        <v>46072.743055555555</v>
      </c>
      <c r="G1133" s="53">
        <v>6.1805555555555558E-2</v>
      </c>
      <c r="H1133" s="1" t="s">
        <v>677</v>
      </c>
      <c r="J1133" s="1" t="s">
        <v>249</v>
      </c>
      <c r="K1133" s="1" t="s">
        <v>250</v>
      </c>
      <c r="L1133" s="1" t="s">
        <v>845</v>
      </c>
      <c r="M1133" s="1" t="s">
        <v>260</v>
      </c>
      <c r="N1133" s="1" t="s">
        <v>261</v>
      </c>
      <c r="O1133" s="1" t="s">
        <v>542</v>
      </c>
      <c r="P1133" s="1" t="str">
        <f>_xlfn.CONCAT(B1133,C1133,D1133,E1133,F1133)</f>
        <v>BC ParanoaSG60KTL(COM1-002)_002_01646072,6812546072,6812546072,7430555556</v>
      </c>
      <c r="Q1133" s="1" t="str">
        <f>_xlfn.CONCAT(H1133,I1133,J1133)</f>
        <v>DPRTRF</v>
      </c>
    </row>
    <row r="1134" spans="2:17">
      <c r="B1134" s="1" t="s">
        <v>393</v>
      </c>
      <c r="C1134" s="1" t="s">
        <v>422</v>
      </c>
      <c r="D1134" s="52">
        <v>46072.681250000001</v>
      </c>
      <c r="E1134" s="52">
        <v>46072.681250000001</v>
      </c>
      <c r="F1134" s="52">
        <v>46072.743055555555</v>
      </c>
      <c r="G1134" s="53">
        <v>6.1805555555555558E-2</v>
      </c>
      <c r="H1134" s="1" t="s">
        <v>677</v>
      </c>
      <c r="J1134" s="1" t="s">
        <v>249</v>
      </c>
      <c r="K1134" s="1" t="s">
        <v>250</v>
      </c>
      <c r="L1134" s="1" t="s">
        <v>845</v>
      </c>
      <c r="M1134" s="1" t="s">
        <v>260</v>
      </c>
      <c r="N1134" s="1" t="s">
        <v>261</v>
      </c>
      <c r="O1134" s="1" t="s">
        <v>542</v>
      </c>
      <c r="P1134" s="1" t="str">
        <f>_xlfn.CONCAT(B1134,C1134,D1134,E1134,F1134)</f>
        <v>BC ParanoaSG50CX(COM2-003)_002_02146072,6812546072,6812546072,7430555556</v>
      </c>
      <c r="Q1134" s="1" t="str">
        <f>_xlfn.CONCAT(H1134,I1134,J1134)</f>
        <v>DPRTRF</v>
      </c>
    </row>
    <row r="1135" spans="2:17">
      <c r="B1135" s="1" t="s">
        <v>393</v>
      </c>
      <c r="C1135" s="1" t="s">
        <v>394</v>
      </c>
      <c r="D1135" s="52">
        <v>46072.704861111109</v>
      </c>
      <c r="E1135" s="52">
        <v>46072.704861111109</v>
      </c>
      <c r="F1135" s="52">
        <v>46072.743055555555</v>
      </c>
      <c r="G1135" s="53">
        <v>3.8194444444444448E-2</v>
      </c>
      <c r="H1135" s="1" t="s">
        <v>677</v>
      </c>
      <c r="J1135" s="1" t="s">
        <v>249</v>
      </c>
      <c r="K1135" s="1" t="s">
        <v>250</v>
      </c>
      <c r="L1135" s="1" t="s">
        <v>846</v>
      </c>
      <c r="M1135" s="1" t="s">
        <v>260</v>
      </c>
      <c r="N1135" s="1" t="s">
        <v>261</v>
      </c>
      <c r="O1135" s="1" t="s">
        <v>542</v>
      </c>
      <c r="P1135" s="1" t="str">
        <f>_xlfn.CONCAT(B1135,C1135,D1135,E1135,F1135)</f>
        <v>BC ParanoaSG60KTL(COM1-014)_001_01346072,704861111146072,704861111146072,7430555556</v>
      </c>
      <c r="Q1135" s="1" t="str">
        <f>_xlfn.CONCAT(H1135,I1135,J1135)</f>
        <v>DPRTRF</v>
      </c>
    </row>
    <row r="1136" spans="2:17">
      <c r="B1136" s="1" t="s">
        <v>393</v>
      </c>
      <c r="C1136" s="1" t="s">
        <v>395</v>
      </c>
      <c r="D1136" s="52">
        <v>46072.704861111109</v>
      </c>
      <c r="E1136" s="52">
        <v>46072.704861111109</v>
      </c>
      <c r="F1136" s="52">
        <v>46072.743055555555</v>
      </c>
      <c r="G1136" s="53">
        <v>3.8194444444444448E-2</v>
      </c>
      <c r="H1136" s="1" t="s">
        <v>677</v>
      </c>
      <c r="J1136" s="1" t="s">
        <v>249</v>
      </c>
      <c r="K1136" s="1" t="s">
        <v>250</v>
      </c>
      <c r="L1136" s="1" t="s">
        <v>846</v>
      </c>
      <c r="M1136" s="1" t="s">
        <v>260</v>
      </c>
      <c r="N1136" s="1" t="s">
        <v>261</v>
      </c>
      <c r="O1136" s="1" t="s">
        <v>542</v>
      </c>
      <c r="P1136" s="1" t="str">
        <f>_xlfn.CONCAT(B1136,C1136,D1136,E1136,F1136)</f>
        <v>BC ParanoaSG60KTL(COM1-013)_001_01046072,704861111146072,704861111146072,7430555556</v>
      </c>
      <c r="Q1136" s="1" t="str">
        <f>_xlfn.CONCAT(H1136,I1136,J1136)</f>
        <v>DPRTRF</v>
      </c>
    </row>
    <row r="1137" spans="2:17">
      <c r="B1137" s="1" t="s">
        <v>393</v>
      </c>
      <c r="C1137" s="1" t="s">
        <v>396</v>
      </c>
      <c r="D1137" s="52">
        <v>46072.704861111109</v>
      </c>
      <c r="E1137" s="52">
        <v>46072.704861111109</v>
      </c>
      <c r="F1137" s="52">
        <v>46072.743055555555</v>
      </c>
      <c r="G1137" s="53">
        <v>3.8194444444444448E-2</v>
      </c>
      <c r="H1137" s="1" t="s">
        <v>677</v>
      </c>
      <c r="J1137" s="1" t="s">
        <v>249</v>
      </c>
      <c r="K1137" s="1" t="s">
        <v>250</v>
      </c>
      <c r="L1137" s="1" t="s">
        <v>846</v>
      </c>
      <c r="M1137" s="1" t="s">
        <v>260</v>
      </c>
      <c r="N1137" s="1" t="s">
        <v>261</v>
      </c>
      <c r="O1137" s="1" t="s">
        <v>542</v>
      </c>
      <c r="P1137" s="1" t="str">
        <f>_xlfn.CONCAT(B1137,C1137,D1137,E1137,F1137)</f>
        <v>BC ParanoaSG60KTL(COM1-012)_001_01146072,704861111146072,704861111146072,7430555556</v>
      </c>
      <c r="Q1137" s="1" t="str">
        <f>_xlfn.CONCAT(H1137,I1137,J1137)</f>
        <v>DPRTRF</v>
      </c>
    </row>
    <row r="1138" spans="2:17">
      <c r="B1138" s="1" t="s">
        <v>393</v>
      </c>
      <c r="C1138" s="1" t="s">
        <v>397</v>
      </c>
      <c r="D1138" s="52">
        <v>46072.704861111109</v>
      </c>
      <c r="E1138" s="52">
        <v>46072.704861111109</v>
      </c>
      <c r="F1138" s="52">
        <v>46072.743055555555</v>
      </c>
      <c r="G1138" s="53">
        <v>3.8194444444444448E-2</v>
      </c>
      <c r="H1138" s="1" t="s">
        <v>677</v>
      </c>
      <c r="J1138" s="1" t="s">
        <v>249</v>
      </c>
      <c r="K1138" s="1" t="s">
        <v>250</v>
      </c>
      <c r="L1138" s="1" t="s">
        <v>846</v>
      </c>
      <c r="M1138" s="1" t="s">
        <v>260</v>
      </c>
      <c r="N1138" s="1" t="s">
        <v>261</v>
      </c>
      <c r="O1138" s="1" t="s">
        <v>542</v>
      </c>
      <c r="P1138" s="1" t="str">
        <f>_xlfn.CONCAT(B1138,C1138,D1138,E1138,F1138)</f>
        <v>BC ParanoaSG60KTL(COM1-011)_001_00546072,704861111146072,704861111146072,7430555556</v>
      </c>
      <c r="Q1138" s="1" t="str">
        <f>_xlfn.CONCAT(H1138,I1138,J1138)</f>
        <v>DPRTRF</v>
      </c>
    </row>
    <row r="1139" spans="2:17">
      <c r="B1139" s="1" t="s">
        <v>393</v>
      </c>
      <c r="C1139" s="1" t="s">
        <v>398</v>
      </c>
      <c r="D1139" s="52">
        <v>46072.704861111109</v>
      </c>
      <c r="E1139" s="52">
        <v>46072.704861111109</v>
      </c>
      <c r="F1139" s="52">
        <v>46072.743055555555</v>
      </c>
      <c r="G1139" s="53">
        <v>3.8194444444444448E-2</v>
      </c>
      <c r="H1139" s="1" t="s">
        <v>677</v>
      </c>
      <c r="J1139" s="1" t="s">
        <v>249</v>
      </c>
      <c r="K1139" s="1" t="s">
        <v>250</v>
      </c>
      <c r="L1139" s="1" t="s">
        <v>846</v>
      </c>
      <c r="M1139" s="1" t="s">
        <v>260</v>
      </c>
      <c r="N1139" s="1" t="s">
        <v>261</v>
      </c>
      <c r="O1139" s="1" t="s">
        <v>542</v>
      </c>
      <c r="P1139" s="1" t="str">
        <f>_xlfn.CONCAT(B1139,C1139,D1139,E1139,F1139)</f>
        <v>BC ParanoaSG60KTL(COM1-010)_001_00346072,704861111146072,704861111146072,7430555556</v>
      </c>
      <c r="Q1139" s="1" t="str">
        <f>_xlfn.CONCAT(H1139,I1139,J1139)</f>
        <v>DPRTRF</v>
      </c>
    </row>
    <row r="1140" spans="2:17">
      <c r="B1140" s="1" t="s">
        <v>393</v>
      </c>
      <c r="C1140" s="1" t="s">
        <v>399</v>
      </c>
      <c r="D1140" s="52">
        <v>46072.704861111109</v>
      </c>
      <c r="E1140" s="52">
        <v>46072.704861111109</v>
      </c>
      <c r="F1140" s="52">
        <v>46072.743055555555</v>
      </c>
      <c r="G1140" s="53">
        <v>3.8194444444444448E-2</v>
      </c>
      <c r="H1140" s="1" t="s">
        <v>677</v>
      </c>
      <c r="J1140" s="1" t="s">
        <v>249</v>
      </c>
      <c r="K1140" s="1" t="s">
        <v>250</v>
      </c>
      <c r="L1140" s="1" t="s">
        <v>846</v>
      </c>
      <c r="M1140" s="1" t="s">
        <v>260</v>
      </c>
      <c r="N1140" s="1" t="s">
        <v>261</v>
      </c>
      <c r="O1140" s="1" t="s">
        <v>542</v>
      </c>
      <c r="P1140" s="1" t="str">
        <f>_xlfn.CONCAT(B1140,C1140,D1140,E1140,F1140)</f>
        <v>BC ParanoaSG60KTL(COM1-018)_001_01246072,704861111146072,704861111146072,7430555556</v>
      </c>
      <c r="Q1140" s="1" t="str">
        <f>_xlfn.CONCAT(H1140,I1140,J1140)</f>
        <v>DPRTRF</v>
      </c>
    </row>
    <row r="1141" spans="2:17">
      <c r="B1141" s="1" t="s">
        <v>393</v>
      </c>
      <c r="C1141" s="1" t="s">
        <v>400</v>
      </c>
      <c r="D1141" s="52">
        <v>46072.704861111109</v>
      </c>
      <c r="E1141" s="52">
        <v>46072.704861111109</v>
      </c>
      <c r="F1141" s="52">
        <v>46072.743055555555</v>
      </c>
      <c r="G1141" s="53">
        <v>3.8194444444444448E-2</v>
      </c>
      <c r="H1141" s="1" t="s">
        <v>677</v>
      </c>
      <c r="J1141" s="1" t="s">
        <v>249</v>
      </c>
      <c r="K1141" s="1" t="s">
        <v>250</v>
      </c>
      <c r="L1141" s="1" t="s">
        <v>846</v>
      </c>
      <c r="M1141" s="1" t="s">
        <v>260</v>
      </c>
      <c r="N1141" s="1" t="s">
        <v>261</v>
      </c>
      <c r="O1141" s="1" t="s">
        <v>542</v>
      </c>
      <c r="P1141" s="1" t="str">
        <f>_xlfn.CONCAT(B1141,C1141,D1141,E1141,F1141)</f>
        <v>BC ParanoaSG60KTL(COM1-017)_001_00746072,704861111146072,704861111146072,7430555556</v>
      </c>
      <c r="Q1141" s="1" t="str">
        <f>_xlfn.CONCAT(H1141,I1141,J1141)</f>
        <v>DPRTRF</v>
      </c>
    </row>
    <row r="1142" spans="2:17">
      <c r="B1142" s="1" t="s">
        <v>393</v>
      </c>
      <c r="C1142" s="1" t="s">
        <v>401</v>
      </c>
      <c r="D1142" s="52">
        <v>46072.704861111109</v>
      </c>
      <c r="E1142" s="52">
        <v>46072.704861111109</v>
      </c>
      <c r="F1142" s="52">
        <v>46072.743055555555</v>
      </c>
      <c r="G1142" s="53">
        <v>3.8194444444444448E-2</v>
      </c>
      <c r="H1142" s="1" t="s">
        <v>677</v>
      </c>
      <c r="J1142" s="1" t="s">
        <v>249</v>
      </c>
      <c r="K1142" s="1" t="s">
        <v>250</v>
      </c>
      <c r="L1142" s="1" t="s">
        <v>846</v>
      </c>
      <c r="M1142" s="1" t="s">
        <v>260</v>
      </c>
      <c r="N1142" s="1" t="s">
        <v>261</v>
      </c>
      <c r="O1142" s="1" t="s">
        <v>542</v>
      </c>
      <c r="P1142" s="1" t="str">
        <f>_xlfn.CONCAT(B1142,C1142,D1142,E1142,F1142)</f>
        <v>BC ParanoaSG60KTL(COM1-016)_001_00646072,704861111146072,704861111146072,7430555556</v>
      </c>
      <c r="Q1142" s="1" t="str">
        <f>_xlfn.CONCAT(H1142,I1142,J1142)</f>
        <v>DPRTRF</v>
      </c>
    </row>
    <row r="1143" spans="2:17">
      <c r="B1143" s="1" t="s">
        <v>393</v>
      </c>
      <c r="C1143" s="1" t="s">
        <v>402</v>
      </c>
      <c r="D1143" s="52">
        <v>46072.704861111109</v>
      </c>
      <c r="E1143" s="52">
        <v>46072.704861111109</v>
      </c>
      <c r="F1143" s="52">
        <v>46072.743055555555</v>
      </c>
      <c r="G1143" s="53">
        <v>3.8194444444444448E-2</v>
      </c>
      <c r="H1143" s="1" t="s">
        <v>677</v>
      </c>
      <c r="J1143" s="1" t="s">
        <v>249</v>
      </c>
      <c r="K1143" s="1" t="s">
        <v>250</v>
      </c>
      <c r="L1143" s="1" t="s">
        <v>846</v>
      </c>
      <c r="M1143" s="1" t="s">
        <v>260</v>
      </c>
      <c r="N1143" s="1" t="s">
        <v>261</v>
      </c>
      <c r="O1143" s="1" t="s">
        <v>542</v>
      </c>
      <c r="P1143" s="1" t="str">
        <f>_xlfn.CONCAT(B1143,C1143,D1143,E1143,F1143)</f>
        <v>BC ParanoaSG50CX(COM2-015)_001_01746072,704861111146072,704861111146072,7430555556</v>
      </c>
      <c r="Q1143" s="1" t="str">
        <f>_xlfn.CONCAT(H1143,I1143,J1143)</f>
        <v>DPRTRF</v>
      </c>
    </row>
    <row r="1144" spans="2:17">
      <c r="B1144" s="1" t="s">
        <v>393</v>
      </c>
      <c r="C1144" s="1" t="s">
        <v>403</v>
      </c>
      <c r="D1144" s="52">
        <v>46072.704861111109</v>
      </c>
      <c r="E1144" s="52">
        <v>46072.704861111109</v>
      </c>
      <c r="F1144" s="52">
        <v>46072.743055555555</v>
      </c>
      <c r="G1144" s="53">
        <v>3.8194444444444448E-2</v>
      </c>
      <c r="H1144" s="1" t="s">
        <v>677</v>
      </c>
      <c r="J1144" s="1" t="s">
        <v>249</v>
      </c>
      <c r="K1144" s="1" t="s">
        <v>250</v>
      </c>
      <c r="L1144" s="1" t="s">
        <v>846</v>
      </c>
      <c r="M1144" s="1" t="s">
        <v>289</v>
      </c>
      <c r="N1144" s="1" t="s">
        <v>253</v>
      </c>
      <c r="O1144" s="1" t="s">
        <v>576</v>
      </c>
      <c r="P1144" s="1" t="str">
        <f>_xlfn.CONCAT(B1144,C1144,D1144,E1144,F1144)</f>
        <v>BC ParanoaSG60KTL(COM1-009)_001_00246072,704861111146072,704861111146072,7430555556</v>
      </c>
      <c r="Q1144" s="1" t="str">
        <f>_xlfn.CONCAT(H1144,I1144,J1144)</f>
        <v>DPRTRF</v>
      </c>
    </row>
    <row r="1145" spans="2:17">
      <c r="B1145" s="1" t="s">
        <v>393</v>
      </c>
      <c r="C1145" s="1" t="s">
        <v>404</v>
      </c>
      <c r="D1145" s="52">
        <v>46072.704861111109</v>
      </c>
      <c r="E1145" s="52">
        <v>46072.704861111109</v>
      </c>
      <c r="F1145" s="52">
        <v>46072.743055555555</v>
      </c>
      <c r="G1145" s="53">
        <v>3.8194444444444448E-2</v>
      </c>
      <c r="H1145" s="1" t="s">
        <v>677</v>
      </c>
      <c r="J1145" s="1" t="s">
        <v>249</v>
      </c>
      <c r="K1145" s="1" t="s">
        <v>250</v>
      </c>
      <c r="L1145" s="1" t="s">
        <v>846</v>
      </c>
      <c r="M1145" s="1" t="s">
        <v>289</v>
      </c>
      <c r="N1145" s="1" t="s">
        <v>253</v>
      </c>
      <c r="O1145" s="1" t="s">
        <v>576</v>
      </c>
      <c r="P1145" s="1" t="str">
        <f>_xlfn.CONCAT(B1145,C1145,D1145,E1145,F1145)</f>
        <v>BC ParanoaSG60KTL(COM1-008)_001_00946072,704861111146072,704861111146072,7430555556</v>
      </c>
      <c r="Q1145" s="1" t="str">
        <f>_xlfn.CONCAT(H1145,I1145,J1145)</f>
        <v>DPRTRF</v>
      </c>
    </row>
    <row r="1146" spans="2:17">
      <c r="B1146" s="1" t="s">
        <v>393</v>
      </c>
      <c r="C1146" s="1" t="s">
        <v>405</v>
      </c>
      <c r="D1146" s="52">
        <v>46072.704861111109</v>
      </c>
      <c r="E1146" s="52">
        <v>46072.704861111109</v>
      </c>
      <c r="F1146" s="52">
        <v>46072.743055555555</v>
      </c>
      <c r="G1146" s="53">
        <v>3.8194444444444448E-2</v>
      </c>
      <c r="H1146" s="1" t="s">
        <v>677</v>
      </c>
      <c r="J1146" s="1" t="s">
        <v>249</v>
      </c>
      <c r="K1146" s="1" t="s">
        <v>250</v>
      </c>
      <c r="L1146" s="1" t="s">
        <v>846</v>
      </c>
      <c r="M1146" s="1" t="s">
        <v>289</v>
      </c>
      <c r="N1146" s="1" t="s">
        <v>253</v>
      </c>
      <c r="O1146" s="1" t="s">
        <v>576</v>
      </c>
      <c r="P1146" s="1" t="str">
        <f>_xlfn.CONCAT(B1146,C1146,D1146,E1146,F1146)</f>
        <v>BC ParanoaSG60KTL(COM1-007)_001_00446072,704861111146072,704861111146072,7430555556</v>
      </c>
      <c r="Q1146" s="1" t="str">
        <f>_xlfn.CONCAT(H1146,I1146,J1146)</f>
        <v>DPRTRF</v>
      </c>
    </row>
    <row r="1147" spans="2:17">
      <c r="B1147" s="1" t="s">
        <v>393</v>
      </c>
      <c r="C1147" s="1" t="s">
        <v>406</v>
      </c>
      <c r="D1147" s="52">
        <v>46072.704861111109</v>
      </c>
      <c r="E1147" s="52">
        <v>46072.704861111109</v>
      </c>
      <c r="F1147" s="52">
        <v>46072.743055555555</v>
      </c>
      <c r="G1147" s="53">
        <v>3.8194444444444448E-2</v>
      </c>
      <c r="H1147" s="1" t="s">
        <v>677</v>
      </c>
      <c r="J1147" s="1" t="s">
        <v>249</v>
      </c>
      <c r="K1147" s="1" t="s">
        <v>250</v>
      </c>
      <c r="L1147" s="1" t="s">
        <v>846</v>
      </c>
      <c r="M1147" s="1" t="s">
        <v>260</v>
      </c>
      <c r="N1147" s="1" t="s">
        <v>261</v>
      </c>
      <c r="O1147" s="1" t="s">
        <v>578</v>
      </c>
      <c r="P1147" s="1" t="str">
        <f>_xlfn.CONCAT(B1147,C1147,D1147,E1147,F1147)</f>
        <v>BC ParanoaSG60KTL(COM1-006)_001_01446072,704861111146072,704861111146072,7430555556</v>
      </c>
      <c r="Q1147" s="1" t="str">
        <f>_xlfn.CONCAT(H1147,I1147,J1147)</f>
        <v>DPRTRF</v>
      </c>
    </row>
    <row r="1148" spans="2:17">
      <c r="B1148" s="1" t="s">
        <v>393</v>
      </c>
      <c r="C1148" s="1" t="s">
        <v>407</v>
      </c>
      <c r="D1148" s="52">
        <v>46072.704861111109</v>
      </c>
      <c r="E1148" s="52">
        <v>46072.704861111109</v>
      </c>
      <c r="F1148" s="52">
        <v>46072.743055555555</v>
      </c>
      <c r="G1148" s="53">
        <v>3.8194444444444448E-2</v>
      </c>
      <c r="H1148" s="1" t="s">
        <v>677</v>
      </c>
      <c r="J1148" s="1" t="s">
        <v>249</v>
      </c>
      <c r="K1148" s="1" t="s">
        <v>250</v>
      </c>
      <c r="L1148" s="1" t="s">
        <v>846</v>
      </c>
      <c r="M1148" s="1" t="s">
        <v>260</v>
      </c>
      <c r="N1148" s="1" t="s">
        <v>261</v>
      </c>
      <c r="O1148" s="1" t="s">
        <v>578</v>
      </c>
      <c r="P1148" s="1" t="str">
        <f>_xlfn.CONCAT(B1148,C1148,D1148,E1148,F1148)</f>
        <v>BC ParanoaSG40CX(COM2-005)_001_01546072,704861111146072,704861111146072,7430555556</v>
      </c>
      <c r="Q1148" s="1" t="str">
        <f>_xlfn.CONCAT(H1148,I1148,J1148)</f>
        <v>DPRTRF</v>
      </c>
    </row>
    <row r="1149" spans="2:17">
      <c r="B1149" s="1" t="s">
        <v>393</v>
      </c>
      <c r="C1149" s="1" t="s">
        <v>408</v>
      </c>
      <c r="D1149" s="52">
        <v>46072.704861111109</v>
      </c>
      <c r="E1149" s="52">
        <v>46072.704861111109</v>
      </c>
      <c r="F1149" s="52">
        <v>46072.743055555555</v>
      </c>
      <c r="G1149" s="53">
        <v>3.8194444444444448E-2</v>
      </c>
      <c r="H1149" s="1" t="s">
        <v>677</v>
      </c>
      <c r="J1149" s="1" t="s">
        <v>249</v>
      </c>
      <c r="K1149" s="1" t="s">
        <v>250</v>
      </c>
      <c r="L1149" s="1" t="s">
        <v>846</v>
      </c>
      <c r="M1149" s="1" t="s">
        <v>260</v>
      </c>
      <c r="N1149" s="1" t="s">
        <v>261</v>
      </c>
      <c r="O1149" s="1" t="s">
        <v>578</v>
      </c>
      <c r="P1149" s="1" t="str">
        <f>_xlfn.CONCAT(B1149,C1149,D1149,E1149,F1149)</f>
        <v>BC ParanoaSG60KTL(COM1-019)_002_00746072,704861111146072,704861111146072,7430555556</v>
      </c>
      <c r="Q1149" s="1" t="str">
        <f>_xlfn.CONCAT(H1149,I1149,J1149)</f>
        <v>DPRTRF</v>
      </c>
    </row>
    <row r="1150" spans="2:17">
      <c r="B1150" s="1" t="s">
        <v>393</v>
      </c>
      <c r="C1150" s="1" t="s">
        <v>409</v>
      </c>
      <c r="D1150" s="52">
        <v>46072.704861111109</v>
      </c>
      <c r="E1150" s="52">
        <v>46072.704861111109</v>
      </c>
      <c r="F1150" s="52">
        <v>46072.743055555555</v>
      </c>
      <c r="G1150" s="53">
        <v>3.8194444444444448E-2</v>
      </c>
      <c r="H1150" s="1" t="s">
        <v>677</v>
      </c>
      <c r="J1150" s="1" t="s">
        <v>249</v>
      </c>
      <c r="K1150" s="1" t="s">
        <v>250</v>
      </c>
      <c r="L1150" s="1" t="s">
        <v>846</v>
      </c>
      <c r="M1150" s="1" t="s">
        <v>260</v>
      </c>
      <c r="N1150" s="1" t="s">
        <v>261</v>
      </c>
      <c r="O1150" s="1" t="s">
        <v>578</v>
      </c>
      <c r="P1150" s="1" t="str">
        <f>_xlfn.CONCAT(B1150,C1150,D1150,E1150,F1150)</f>
        <v>BC ParanoaSG60KTL(COM1-020)_002_01146072,704861111146072,704861111146072,7430555556</v>
      </c>
      <c r="Q1150" s="1" t="str">
        <f>_xlfn.CONCAT(H1150,I1150,J1150)</f>
        <v>DPRTRF</v>
      </c>
    </row>
    <row r="1151" spans="2:17">
      <c r="B1151" s="1" t="s">
        <v>393</v>
      </c>
      <c r="C1151" s="1" t="s">
        <v>410</v>
      </c>
      <c r="D1151" s="52">
        <v>46072.704861111109</v>
      </c>
      <c r="E1151" s="52">
        <v>46072.704861111109</v>
      </c>
      <c r="F1151" s="52">
        <v>46072.743055555555</v>
      </c>
      <c r="G1151" s="53">
        <v>3.8194444444444448E-2</v>
      </c>
      <c r="H1151" s="1" t="s">
        <v>677</v>
      </c>
      <c r="J1151" s="1" t="s">
        <v>249</v>
      </c>
      <c r="K1151" s="1" t="s">
        <v>250</v>
      </c>
      <c r="L1151" s="1" t="s">
        <v>846</v>
      </c>
      <c r="M1151" s="1" t="s">
        <v>260</v>
      </c>
      <c r="N1151" s="1" t="s">
        <v>261</v>
      </c>
      <c r="O1151" s="1" t="s">
        <v>578</v>
      </c>
      <c r="P1151" s="1" t="str">
        <f>_xlfn.CONCAT(B1151,C1151,D1151,E1151,F1151)</f>
        <v>BC ParanoaSG60KTL(COM1-021)_002_01746072,704861111146072,704861111146072,7430555556</v>
      </c>
      <c r="Q1151" s="1" t="str">
        <f>_xlfn.CONCAT(H1151,I1151,J1151)</f>
        <v>DPRTRF</v>
      </c>
    </row>
    <row r="1152" spans="2:17">
      <c r="B1152" s="1" t="s">
        <v>393</v>
      </c>
      <c r="C1152" s="1" t="s">
        <v>411</v>
      </c>
      <c r="D1152" s="52">
        <v>46072.704861111109</v>
      </c>
      <c r="E1152" s="52">
        <v>46072.704861111109</v>
      </c>
      <c r="F1152" s="52">
        <v>46072.743055555555</v>
      </c>
      <c r="G1152" s="53">
        <v>3.8194444444444448E-2</v>
      </c>
      <c r="H1152" s="1" t="s">
        <v>677</v>
      </c>
      <c r="J1152" s="1" t="s">
        <v>249</v>
      </c>
      <c r="K1152" s="1" t="s">
        <v>250</v>
      </c>
      <c r="L1152" s="1" t="s">
        <v>846</v>
      </c>
      <c r="M1152" s="1" t="s">
        <v>260</v>
      </c>
      <c r="N1152" s="1" t="s">
        <v>261</v>
      </c>
      <c r="O1152" s="1" t="s">
        <v>578</v>
      </c>
      <c r="P1152" s="1" t="str">
        <f>_xlfn.CONCAT(B1152,C1152,D1152,E1152,F1152)</f>
        <v>BC ParanoaSG60KTL(COM1-022)_002_02046072,704861111146072,704861111146072,7430555556</v>
      </c>
      <c r="Q1152" s="1" t="str">
        <f>_xlfn.CONCAT(H1152,I1152,J1152)</f>
        <v>DPRTRF</v>
      </c>
    </row>
    <row r="1153" spans="2:17">
      <c r="B1153" s="1" t="s">
        <v>393</v>
      </c>
      <c r="C1153" s="1" t="s">
        <v>412</v>
      </c>
      <c r="D1153" s="52">
        <v>46072.704861111109</v>
      </c>
      <c r="E1153" s="52">
        <v>46072.704861111109</v>
      </c>
      <c r="F1153" s="52">
        <v>46072.743055555555</v>
      </c>
      <c r="G1153" s="53">
        <v>3.8194444444444448E-2</v>
      </c>
      <c r="H1153" s="1" t="s">
        <v>677</v>
      </c>
      <c r="J1153" s="1" t="s">
        <v>249</v>
      </c>
      <c r="K1153" s="1" t="s">
        <v>250</v>
      </c>
      <c r="L1153" s="1" t="s">
        <v>846</v>
      </c>
      <c r="M1153" s="1" t="s">
        <v>260</v>
      </c>
      <c r="N1153" s="1" t="s">
        <v>261</v>
      </c>
      <c r="O1153" s="1" t="s">
        <v>578</v>
      </c>
      <c r="P1153" s="1" t="str">
        <f>_xlfn.CONCAT(B1153,C1153,D1153,E1153,F1153)</f>
        <v>BC ParanoaSG40CX(COM2-023)_002_02446072,704861111146072,704861111146072,7430555556</v>
      </c>
      <c r="Q1153" s="1" t="str">
        <f>_xlfn.CONCAT(H1153,I1153,J1153)</f>
        <v>DPRTRF</v>
      </c>
    </row>
    <row r="1154" spans="2:17">
      <c r="B1154" s="1" t="s">
        <v>393</v>
      </c>
      <c r="C1154" s="1" t="s">
        <v>413</v>
      </c>
      <c r="D1154" s="52">
        <v>46072.704861111109</v>
      </c>
      <c r="E1154" s="52">
        <v>46072.704861111109</v>
      </c>
      <c r="F1154" s="52">
        <v>46072.743055555555</v>
      </c>
      <c r="G1154" s="53">
        <v>3.8194444444444448E-2</v>
      </c>
      <c r="H1154" s="1" t="s">
        <v>677</v>
      </c>
      <c r="J1154" s="1" t="s">
        <v>249</v>
      </c>
      <c r="K1154" s="1" t="s">
        <v>250</v>
      </c>
      <c r="L1154" s="1" t="s">
        <v>846</v>
      </c>
      <c r="M1154" s="1" t="s">
        <v>260</v>
      </c>
      <c r="N1154" s="1" t="s">
        <v>261</v>
      </c>
      <c r="O1154" s="1" t="s">
        <v>578</v>
      </c>
      <c r="P1154" s="1" t="str">
        <f>_xlfn.CONCAT(B1154,C1154,D1154,E1154,F1154)</f>
        <v>BC ParanoaSG40CX(COM2-024)_002_02246072,704861111146072,704861111146072,7430555556</v>
      </c>
      <c r="Q1154" s="1" t="str">
        <f>_xlfn.CONCAT(H1154,I1154,J1154)</f>
        <v>DPRTRF</v>
      </c>
    </row>
    <row r="1155" spans="2:17">
      <c r="B1155" s="1" t="s">
        <v>393</v>
      </c>
      <c r="C1155" s="1" t="s">
        <v>414</v>
      </c>
      <c r="D1155" s="52">
        <v>46072.704861111109</v>
      </c>
      <c r="E1155" s="52">
        <v>46072.704861111109</v>
      </c>
      <c r="F1155" s="52">
        <v>46072.743055555555</v>
      </c>
      <c r="G1155" s="53">
        <v>3.8194444444444448E-2</v>
      </c>
      <c r="H1155" s="1" t="s">
        <v>677</v>
      </c>
      <c r="J1155" s="1" t="s">
        <v>249</v>
      </c>
      <c r="K1155" s="1" t="s">
        <v>250</v>
      </c>
      <c r="L1155" s="1" t="s">
        <v>846</v>
      </c>
      <c r="M1155" s="1" t="s">
        <v>260</v>
      </c>
      <c r="N1155" s="1" t="s">
        <v>261</v>
      </c>
      <c r="O1155" s="1" t="s">
        <v>578</v>
      </c>
      <c r="P1155" s="1" t="str">
        <f>_xlfn.CONCAT(B1155,C1155,D1155,E1155,F1155)</f>
        <v>BC ParanoaSG60KTL(COM1-007)_002_01346072,704861111146072,704861111146072,7430555556</v>
      </c>
      <c r="Q1155" s="1" t="str">
        <f>_xlfn.CONCAT(H1155,I1155,J1155)</f>
        <v>DPRTRF</v>
      </c>
    </row>
    <row r="1156" spans="2:17">
      <c r="B1156" s="1" t="s">
        <v>393</v>
      </c>
      <c r="C1156" s="1" t="s">
        <v>415</v>
      </c>
      <c r="D1156" s="52">
        <v>46072.704861111109</v>
      </c>
      <c r="E1156" s="52">
        <v>46072.704861111109</v>
      </c>
      <c r="F1156" s="52">
        <v>46072.743055555555</v>
      </c>
      <c r="G1156" s="53">
        <v>3.8194444444444448E-2</v>
      </c>
      <c r="H1156" s="1" t="s">
        <v>677</v>
      </c>
      <c r="J1156" s="1" t="s">
        <v>249</v>
      </c>
      <c r="K1156" s="1" t="s">
        <v>250</v>
      </c>
      <c r="L1156" s="1" t="s">
        <v>846</v>
      </c>
      <c r="M1156" s="1" t="s">
        <v>260</v>
      </c>
      <c r="N1156" s="1" t="s">
        <v>261</v>
      </c>
      <c r="O1156" s="1" t="s">
        <v>578</v>
      </c>
      <c r="P1156" s="1" t="str">
        <f>_xlfn.CONCAT(B1156,C1156,D1156,E1156,F1156)</f>
        <v>BC ParanoaSG60KTL(COM1-008)_002_00246072,704861111146072,704861111146072,7430555556</v>
      </c>
      <c r="Q1156" s="1" t="str">
        <f>_xlfn.CONCAT(H1156,I1156,J1156)</f>
        <v>DPRTRF</v>
      </c>
    </row>
    <row r="1157" spans="2:17">
      <c r="B1157" s="1" t="s">
        <v>393</v>
      </c>
      <c r="C1157" s="1" t="s">
        <v>416</v>
      </c>
      <c r="D1157" s="52">
        <v>46072.704861111109</v>
      </c>
      <c r="E1157" s="52">
        <v>46072.704861111109</v>
      </c>
      <c r="F1157" s="52">
        <v>46072.743055555555</v>
      </c>
      <c r="G1157" s="53">
        <v>3.8194444444444448E-2</v>
      </c>
      <c r="H1157" s="1" t="s">
        <v>677</v>
      </c>
      <c r="J1157" s="1" t="s">
        <v>249</v>
      </c>
      <c r="K1157" s="1" t="s">
        <v>250</v>
      </c>
      <c r="L1157" s="1" t="s">
        <v>846</v>
      </c>
      <c r="M1157" s="1" t="s">
        <v>260</v>
      </c>
      <c r="N1157" s="1" t="s">
        <v>261</v>
      </c>
      <c r="O1157" s="1" t="s">
        <v>578</v>
      </c>
      <c r="P1157" s="1" t="str">
        <f>_xlfn.CONCAT(B1157,C1157,D1157,E1157,F1157)</f>
        <v>BC ParanoaSG60KTL(COM1-009)_002_00846072,704861111146072,704861111146072,7430555556</v>
      </c>
      <c r="Q1157" s="1" t="str">
        <f>_xlfn.CONCAT(H1157,I1157,J1157)</f>
        <v>DPRTRF</v>
      </c>
    </row>
    <row r="1158" spans="2:17">
      <c r="B1158" s="1" t="s">
        <v>393</v>
      </c>
      <c r="C1158" s="1" t="s">
        <v>417</v>
      </c>
      <c r="D1158" s="52">
        <v>46072.704861111109</v>
      </c>
      <c r="E1158" s="52">
        <v>46072.704861111109</v>
      </c>
      <c r="F1158" s="52">
        <v>46072.743055555555</v>
      </c>
      <c r="G1158" s="53">
        <v>3.8194444444444448E-2</v>
      </c>
      <c r="H1158" s="1" t="s">
        <v>677</v>
      </c>
      <c r="J1158" s="1" t="s">
        <v>249</v>
      </c>
      <c r="K1158" s="1" t="s">
        <v>250</v>
      </c>
      <c r="L1158" s="1" t="s">
        <v>846</v>
      </c>
      <c r="M1158" s="1" t="s">
        <v>260</v>
      </c>
      <c r="N1158" s="1" t="s">
        <v>261</v>
      </c>
      <c r="O1158" s="1" t="s">
        <v>578</v>
      </c>
      <c r="P1158" s="1" t="str">
        <f>_xlfn.CONCAT(B1158,C1158,D1158,E1158,F1158)</f>
        <v>BC ParanoaSG60KTL(COM1-010)_002_00346072,704861111146072,704861111146072,7430555556</v>
      </c>
      <c r="Q1158" s="1" t="str">
        <f>_xlfn.CONCAT(H1158,I1158,J1158)</f>
        <v>DPRTRF</v>
      </c>
    </row>
    <row r="1159" spans="2:17">
      <c r="B1159" s="1" t="s">
        <v>393</v>
      </c>
      <c r="C1159" s="1" t="s">
        <v>418</v>
      </c>
      <c r="D1159" s="52">
        <v>46072.704861111109</v>
      </c>
      <c r="E1159" s="52">
        <v>46072.704861111109</v>
      </c>
      <c r="F1159" s="52">
        <v>46072.743055555555</v>
      </c>
      <c r="G1159" s="53">
        <v>3.8194444444444448E-2</v>
      </c>
      <c r="H1159" s="1" t="s">
        <v>677</v>
      </c>
      <c r="J1159" s="1" t="s">
        <v>249</v>
      </c>
      <c r="K1159" s="1" t="s">
        <v>250</v>
      </c>
      <c r="L1159" s="1" t="s">
        <v>846</v>
      </c>
      <c r="M1159" s="1" t="s">
        <v>260</v>
      </c>
      <c r="N1159" s="1" t="s">
        <v>261</v>
      </c>
      <c r="O1159" s="1" t="s">
        <v>578</v>
      </c>
      <c r="P1159" s="1" t="str">
        <f>_xlfn.CONCAT(B1159,C1159,D1159,E1159,F1159)</f>
        <v>BC ParanoaSG60KTL(COM1-011)_002_01046072,704861111146072,704861111146072,7430555556</v>
      </c>
      <c r="Q1159" s="1" t="str">
        <f>_xlfn.CONCAT(H1159,I1159,J1159)</f>
        <v>DPRTRF</v>
      </c>
    </row>
    <row r="1160" spans="2:17">
      <c r="B1160" s="1" t="s">
        <v>393</v>
      </c>
      <c r="C1160" s="1" t="s">
        <v>419</v>
      </c>
      <c r="D1160" s="52">
        <v>46072.704861111109</v>
      </c>
      <c r="E1160" s="52">
        <v>46072.704861111109</v>
      </c>
      <c r="F1160" s="52">
        <v>46072.743055555555</v>
      </c>
      <c r="G1160" s="53">
        <v>3.8194444444444448E-2</v>
      </c>
      <c r="H1160" s="1" t="s">
        <v>677</v>
      </c>
      <c r="J1160" s="1" t="s">
        <v>249</v>
      </c>
      <c r="K1160" s="1" t="s">
        <v>250</v>
      </c>
      <c r="L1160" s="1" t="s">
        <v>846</v>
      </c>
      <c r="M1160" s="1" t="s">
        <v>260</v>
      </c>
      <c r="N1160" s="1" t="s">
        <v>261</v>
      </c>
      <c r="O1160" s="1" t="s">
        <v>578</v>
      </c>
      <c r="P1160" s="1" t="str">
        <f>_xlfn.CONCAT(B1160,C1160,D1160,E1160,F1160)</f>
        <v>BC ParanoaSG60KTL(COM1-012)_002_00546072,704861111146072,704861111146072,7430555556</v>
      </c>
      <c r="Q1160" s="1" t="str">
        <f>_xlfn.CONCAT(H1160,I1160,J1160)</f>
        <v>DPRTRF</v>
      </c>
    </row>
    <row r="1161" spans="2:17">
      <c r="B1161" s="1" t="s">
        <v>393</v>
      </c>
      <c r="C1161" s="1" t="s">
        <v>423</v>
      </c>
      <c r="D1161" s="52">
        <v>46072.704861111109</v>
      </c>
      <c r="E1161" s="52">
        <v>46072.704861111109</v>
      </c>
      <c r="F1161" s="52">
        <v>46072.743055555555</v>
      </c>
      <c r="G1161" s="53">
        <v>3.8194444444444448E-2</v>
      </c>
      <c r="H1161" s="1" t="s">
        <v>677</v>
      </c>
      <c r="J1161" s="1" t="s">
        <v>249</v>
      </c>
      <c r="K1161" s="1" t="s">
        <v>250</v>
      </c>
      <c r="L1161" s="1" t="s">
        <v>846</v>
      </c>
      <c r="M1161" s="1" t="s">
        <v>260</v>
      </c>
      <c r="N1161" s="1" t="s">
        <v>261</v>
      </c>
      <c r="O1161" s="1" t="s">
        <v>578</v>
      </c>
      <c r="P1161" s="1" t="str">
        <f>_xlfn.CONCAT(B1161,C1161,D1161,E1161,F1161)</f>
        <v>BC ParanoaSG50CX(COM2-004)_002_02346072,704861111146072,704861111146072,7430555556</v>
      </c>
      <c r="Q1161" s="1" t="str">
        <f>_xlfn.CONCAT(H1161,I1161,J1161)</f>
        <v>DPRTRF</v>
      </c>
    </row>
    <row r="1162" spans="2:17">
      <c r="B1162" s="1" t="s">
        <v>393</v>
      </c>
      <c r="C1162" s="1" t="s">
        <v>424</v>
      </c>
      <c r="D1162" s="52">
        <v>46072.704861111109</v>
      </c>
      <c r="E1162" s="52">
        <v>46072.704861111109</v>
      </c>
      <c r="F1162" s="52">
        <v>46072.743055555555</v>
      </c>
      <c r="G1162" s="53">
        <v>3.8194444444444448E-2</v>
      </c>
      <c r="H1162" s="1" t="s">
        <v>677</v>
      </c>
      <c r="J1162" s="1" t="s">
        <v>249</v>
      </c>
      <c r="K1162" s="1" t="s">
        <v>250</v>
      </c>
      <c r="L1162" s="1" t="s">
        <v>846</v>
      </c>
      <c r="M1162" s="1" t="s">
        <v>260</v>
      </c>
      <c r="N1162" s="1" t="s">
        <v>261</v>
      </c>
      <c r="O1162" s="1" t="s">
        <v>578</v>
      </c>
      <c r="P1162" s="1" t="str">
        <f>_xlfn.CONCAT(B1162,C1162,D1162,E1162,F1162)</f>
        <v>BC ParanoaSG60KTL(COM1-005)_002_00946072,704861111146072,704861111146072,7430555556</v>
      </c>
      <c r="Q1162" s="1" t="str">
        <f>_xlfn.CONCAT(H1162,I1162,J1162)</f>
        <v>DPRTRF</v>
      </c>
    </row>
    <row r="1163" spans="2:17">
      <c r="B1163" s="1" t="s">
        <v>393</v>
      </c>
      <c r="C1163" s="1" t="s">
        <v>425</v>
      </c>
      <c r="D1163" s="52">
        <v>46072.704861111109</v>
      </c>
      <c r="E1163" s="52">
        <v>46072.704861111109</v>
      </c>
      <c r="F1163" s="52">
        <v>46072.743055555555</v>
      </c>
      <c r="G1163" s="53">
        <v>3.8194444444444448E-2</v>
      </c>
      <c r="H1163" s="1" t="s">
        <v>677</v>
      </c>
      <c r="J1163" s="1" t="s">
        <v>249</v>
      </c>
      <c r="K1163" s="1" t="s">
        <v>250</v>
      </c>
      <c r="L1163" s="1" t="s">
        <v>846</v>
      </c>
      <c r="M1163" s="1" t="s">
        <v>260</v>
      </c>
      <c r="N1163" s="1" t="s">
        <v>261</v>
      </c>
      <c r="O1163" s="1" t="s">
        <v>578</v>
      </c>
      <c r="P1163" s="1" t="str">
        <f>_xlfn.CONCAT(B1163,C1163,D1163,E1163,F1163)</f>
        <v>BC ParanoaSG60KTL(COM1-006)_002_00146072,704861111146072,704861111146072,7430555556</v>
      </c>
      <c r="Q1163" s="1" t="str">
        <f>_xlfn.CONCAT(H1163,I1163,J1163)</f>
        <v>DPRTRF</v>
      </c>
    </row>
    <row r="1164" spans="2:17">
      <c r="B1164" s="1" t="s">
        <v>393</v>
      </c>
      <c r="C1164" s="1" t="s">
        <v>426</v>
      </c>
      <c r="D1164" s="52">
        <v>46072.704861111109</v>
      </c>
      <c r="E1164" s="52">
        <v>46072.704861111109</v>
      </c>
      <c r="F1164" s="52">
        <v>46072.743055555555</v>
      </c>
      <c r="G1164" s="53">
        <v>3.8194444444444448E-2</v>
      </c>
      <c r="H1164" s="1" t="s">
        <v>677</v>
      </c>
      <c r="J1164" s="1" t="s">
        <v>249</v>
      </c>
      <c r="K1164" s="1" t="s">
        <v>250</v>
      </c>
      <c r="L1164" s="1" t="s">
        <v>846</v>
      </c>
      <c r="M1164" s="1" t="s">
        <v>260</v>
      </c>
      <c r="N1164" s="1" t="s">
        <v>261</v>
      </c>
      <c r="O1164" s="1" t="s">
        <v>578</v>
      </c>
      <c r="P1164" s="1" t="str">
        <f>_xlfn.CONCAT(B1164,C1164,D1164,E1164,F1164)</f>
        <v>BC ParanoaSG60KTL(COM1-013)_002_00446072,704861111146072,704861111146072,7430555556</v>
      </c>
      <c r="Q1164" s="1" t="str">
        <f>_xlfn.CONCAT(H1164,I1164,J1164)</f>
        <v>DPRTRF</v>
      </c>
    </row>
    <row r="1165" spans="2:17">
      <c r="B1165" s="1" t="s">
        <v>393</v>
      </c>
      <c r="C1165" s="1" t="s">
        <v>427</v>
      </c>
      <c r="D1165" s="52">
        <v>46072.704861111109</v>
      </c>
      <c r="E1165" s="52">
        <v>46072.704861111109</v>
      </c>
      <c r="F1165" s="52">
        <v>46072.743055555555</v>
      </c>
      <c r="G1165" s="53">
        <v>3.8194444444444448E-2</v>
      </c>
      <c r="H1165" s="1" t="s">
        <v>677</v>
      </c>
      <c r="J1165" s="1" t="s">
        <v>249</v>
      </c>
      <c r="K1165" s="1" t="s">
        <v>250</v>
      </c>
      <c r="L1165" s="1" t="s">
        <v>846</v>
      </c>
      <c r="M1165" s="1" t="s">
        <v>260</v>
      </c>
      <c r="N1165" s="1" t="s">
        <v>261</v>
      </c>
      <c r="O1165" s="1" t="s">
        <v>578</v>
      </c>
      <c r="P1165" s="1" t="str">
        <f>_xlfn.CONCAT(B1165,C1165,D1165,E1165,F1165)</f>
        <v>BC ParanoaSG60KTL(COM1-014)_002_01946072,704861111146072,704861111146072,7430555556</v>
      </c>
      <c r="Q1165" s="1" t="str">
        <f>_xlfn.CONCAT(H1165,I1165,J1165)</f>
        <v>DPRTRF</v>
      </c>
    </row>
    <row r="1166" spans="2:17">
      <c r="B1166" s="1" t="s">
        <v>393</v>
      </c>
      <c r="C1166" s="1" t="s">
        <v>428</v>
      </c>
      <c r="D1166" s="52">
        <v>46072.704861111109</v>
      </c>
      <c r="E1166" s="52">
        <v>46072.704861111109</v>
      </c>
      <c r="F1166" s="52">
        <v>46072.743055555555</v>
      </c>
      <c r="G1166" s="53">
        <v>3.8194444444444448E-2</v>
      </c>
      <c r="H1166" s="1" t="s">
        <v>677</v>
      </c>
      <c r="J1166" s="1" t="s">
        <v>249</v>
      </c>
      <c r="K1166" s="1" t="s">
        <v>250</v>
      </c>
      <c r="L1166" s="1" t="s">
        <v>846</v>
      </c>
      <c r="M1166" s="1" t="s">
        <v>260</v>
      </c>
      <c r="N1166" s="1" t="s">
        <v>261</v>
      </c>
      <c r="O1166" s="1" t="s">
        <v>578</v>
      </c>
      <c r="P1166" s="1" t="str">
        <f>_xlfn.CONCAT(B1166,C1166,D1166,E1166,F1166)</f>
        <v>BC ParanoaSG60KTL(COM1-015)_002_01846072,704861111146072,704861111146072,7430555556</v>
      </c>
      <c r="Q1166" s="1" t="str">
        <f>_xlfn.CONCAT(H1166,I1166,J1166)</f>
        <v>DPRTRF</v>
      </c>
    </row>
    <row r="1167" spans="2:17">
      <c r="B1167" s="1" t="s">
        <v>393</v>
      </c>
      <c r="C1167" s="1" t="s">
        <v>429</v>
      </c>
      <c r="D1167" s="52">
        <v>46072.704861111109</v>
      </c>
      <c r="E1167" s="52">
        <v>46072.704861111109</v>
      </c>
      <c r="F1167" s="52">
        <v>46072.743055555555</v>
      </c>
      <c r="G1167" s="53">
        <v>3.8194444444444448E-2</v>
      </c>
      <c r="H1167" s="1" t="s">
        <v>677</v>
      </c>
      <c r="J1167" s="1" t="s">
        <v>249</v>
      </c>
      <c r="K1167" s="1" t="s">
        <v>250</v>
      </c>
      <c r="L1167" s="1" t="s">
        <v>846</v>
      </c>
      <c r="M1167" s="1" t="s">
        <v>260</v>
      </c>
      <c r="N1167" s="1" t="s">
        <v>261</v>
      </c>
      <c r="O1167" s="1" t="s">
        <v>579</v>
      </c>
      <c r="P1167" s="1" t="str">
        <f>_xlfn.CONCAT(B1167,C1167,D1167,E1167,F1167)</f>
        <v>BC ParanoaSG60KTL(COM1-016)_002_01446072,704861111146072,704861111146072,7430555556</v>
      </c>
      <c r="Q1167" s="1" t="str">
        <f>_xlfn.CONCAT(H1167,I1167,J1167)</f>
        <v>DPRTRF</v>
      </c>
    </row>
    <row r="1168" spans="2:17">
      <c r="B1168" s="1" t="s">
        <v>393</v>
      </c>
      <c r="C1168" s="1" t="s">
        <v>430</v>
      </c>
      <c r="D1168" s="52">
        <v>46072.704861111109</v>
      </c>
      <c r="E1168" s="52">
        <v>46072.704861111109</v>
      </c>
      <c r="F1168" s="52">
        <v>46072.743055555555</v>
      </c>
      <c r="G1168" s="53">
        <v>3.8194444444444448E-2</v>
      </c>
      <c r="H1168" s="1" t="s">
        <v>677</v>
      </c>
      <c r="J1168" s="1" t="s">
        <v>249</v>
      </c>
      <c r="K1168" s="1" t="s">
        <v>250</v>
      </c>
      <c r="L1168" s="1" t="s">
        <v>846</v>
      </c>
      <c r="M1168" s="1" t="s">
        <v>260</v>
      </c>
      <c r="N1168" s="1" t="s">
        <v>261</v>
      </c>
      <c r="O1168" s="1" t="s">
        <v>579</v>
      </c>
      <c r="P1168" s="1" t="str">
        <f>_xlfn.CONCAT(B1168,C1168,D1168,E1168,F1168)</f>
        <v>BC ParanoaSG60KTL(COM1-017)_002_01546072,704861111146072,704861111146072,7430555556</v>
      </c>
      <c r="Q1168" s="1" t="str">
        <f>_xlfn.CONCAT(H1168,I1168,J1168)</f>
        <v>DPRTRF</v>
      </c>
    </row>
    <row r="1169" spans="2:17">
      <c r="B1169" s="1" t="s">
        <v>393</v>
      </c>
      <c r="C1169" s="1" t="s">
        <v>431</v>
      </c>
      <c r="D1169" s="52">
        <v>46072.704861111109</v>
      </c>
      <c r="E1169" s="52">
        <v>46072.704861111109</v>
      </c>
      <c r="F1169" s="52">
        <v>46072.743055555555</v>
      </c>
      <c r="G1169" s="53">
        <v>3.8194444444444448E-2</v>
      </c>
      <c r="H1169" s="1" t="s">
        <v>677</v>
      </c>
      <c r="J1169" s="1" t="s">
        <v>249</v>
      </c>
      <c r="K1169" s="1" t="s">
        <v>250</v>
      </c>
      <c r="L1169" s="1" t="s">
        <v>846</v>
      </c>
      <c r="M1169" s="1" t="s">
        <v>260</v>
      </c>
      <c r="N1169" s="1" t="s">
        <v>261</v>
      </c>
      <c r="O1169" s="1" t="s">
        <v>579</v>
      </c>
      <c r="P1169" s="1" t="str">
        <f>_xlfn.CONCAT(B1169,C1169,D1169,E1169,F1169)</f>
        <v>BC ParanoaSG60KTL(COM1-018)_002_01246072,704861111146072,704861111146072,7430555556</v>
      </c>
      <c r="Q1169" s="1" t="str">
        <f>_xlfn.CONCAT(H1169,I1169,J1169)</f>
        <v>DPRTRF</v>
      </c>
    </row>
    <row r="1170" spans="2:17">
      <c r="B1170" s="1" t="s">
        <v>393</v>
      </c>
      <c r="C1170" s="1" t="s">
        <v>432</v>
      </c>
      <c r="D1170" s="52">
        <v>46072.704861111109</v>
      </c>
      <c r="E1170" s="52">
        <v>46072.704861111109</v>
      </c>
      <c r="F1170" s="52">
        <v>46072.743055555555</v>
      </c>
      <c r="G1170" s="53">
        <v>3.8194444444444448E-2</v>
      </c>
      <c r="H1170" s="1" t="s">
        <v>677</v>
      </c>
      <c r="J1170" s="1" t="s">
        <v>249</v>
      </c>
      <c r="K1170" s="1" t="s">
        <v>250</v>
      </c>
      <c r="L1170" s="1" t="s">
        <v>846</v>
      </c>
      <c r="M1170" s="1" t="s">
        <v>260</v>
      </c>
      <c r="N1170" s="1" t="s">
        <v>261</v>
      </c>
      <c r="O1170" s="1" t="s">
        <v>579</v>
      </c>
      <c r="P1170" s="1" t="str">
        <f>_xlfn.CONCAT(B1170,C1170,D1170,E1170,F1170)</f>
        <v>BC ParanoaSG50CX(COM2-004)_001_01846072,704861111146072,704861111146072,7430555556</v>
      </c>
      <c r="Q1170" s="1" t="str">
        <f>_xlfn.CONCAT(H1170,I1170,J1170)</f>
        <v>DPRTRF</v>
      </c>
    </row>
    <row r="1171" spans="2:17">
      <c r="B1171" s="1" t="s">
        <v>393</v>
      </c>
      <c r="C1171" s="1" t="s">
        <v>433</v>
      </c>
      <c r="D1171" s="52">
        <v>46072.704861111109</v>
      </c>
      <c r="E1171" s="52">
        <v>46072.704861111109</v>
      </c>
      <c r="F1171" s="52">
        <v>46072.743055555555</v>
      </c>
      <c r="G1171" s="53">
        <v>3.8194444444444448E-2</v>
      </c>
      <c r="H1171" s="1" t="s">
        <v>677</v>
      </c>
      <c r="J1171" s="1" t="s">
        <v>249</v>
      </c>
      <c r="K1171" s="1" t="s">
        <v>250</v>
      </c>
      <c r="L1171" s="1" t="s">
        <v>846</v>
      </c>
      <c r="M1171" s="1" t="s">
        <v>260</v>
      </c>
      <c r="N1171" s="1" t="s">
        <v>261</v>
      </c>
      <c r="O1171" s="1" t="s">
        <v>579</v>
      </c>
      <c r="P1171" s="1" t="str">
        <f>_xlfn.CONCAT(B1171,C1171,D1171,E1171,F1171)</f>
        <v>BC ParanoaSG50CX(COM2-003)_001_01646072,704861111146072,704861111146072,7430555556</v>
      </c>
      <c r="Q1171" s="1" t="str">
        <f>_xlfn.CONCAT(H1171,I1171,J1171)</f>
        <v>DPRTRF</v>
      </c>
    </row>
    <row r="1172" spans="2:17">
      <c r="B1172" s="1" t="s">
        <v>393</v>
      </c>
      <c r="C1172" s="1" t="s">
        <v>434</v>
      </c>
      <c r="D1172" s="52">
        <v>46072.704861111109</v>
      </c>
      <c r="E1172" s="52">
        <v>46072.704861111109</v>
      </c>
      <c r="F1172" s="52">
        <v>46072.743055555555</v>
      </c>
      <c r="G1172" s="53">
        <v>3.8194444444444448E-2</v>
      </c>
      <c r="H1172" s="1" t="s">
        <v>677</v>
      </c>
      <c r="J1172" s="1" t="s">
        <v>249</v>
      </c>
      <c r="K1172" s="1" t="s">
        <v>250</v>
      </c>
      <c r="L1172" s="1" t="s">
        <v>846</v>
      </c>
      <c r="M1172" s="1" t="s">
        <v>260</v>
      </c>
      <c r="N1172" s="1" t="s">
        <v>261</v>
      </c>
      <c r="O1172" s="1" t="s">
        <v>579</v>
      </c>
      <c r="P1172" s="1" t="str">
        <f>_xlfn.CONCAT(B1172,C1172,D1172,E1172,F1172)</f>
        <v>BC ParanoaSG60KTL(COM1-002)_001_00846072,704861111146072,704861111146072,7430555556</v>
      </c>
      <c r="Q1172" s="1" t="str">
        <f>_xlfn.CONCAT(H1172,I1172,J1172)</f>
        <v>DPRTRF</v>
      </c>
    </row>
    <row r="1173" spans="2:17">
      <c r="B1173" s="1" t="s">
        <v>495</v>
      </c>
      <c r="C1173" s="1" t="s">
        <v>496</v>
      </c>
      <c r="D1173" s="52">
        <v>46072.762499999997</v>
      </c>
      <c r="E1173" s="52">
        <v>46072.762499999997</v>
      </c>
      <c r="F1173" s="52">
        <v>46072.769444444442</v>
      </c>
      <c r="G1173" s="53">
        <v>6.9444444444444441E-3</v>
      </c>
      <c r="H1173" s="1" t="s">
        <v>257</v>
      </c>
      <c r="J1173" s="1" t="s">
        <v>258</v>
      </c>
      <c r="K1173" s="1" t="s">
        <v>658</v>
      </c>
      <c r="L1173" s="1" t="s">
        <v>538</v>
      </c>
      <c r="M1173" s="1" t="s">
        <v>260</v>
      </c>
      <c r="N1173" s="1" t="s">
        <v>261</v>
      </c>
      <c r="O1173" s="1" t="s">
        <v>579</v>
      </c>
      <c r="P1173" s="1" t="str">
        <f>_xlfn.CONCAT(B1173,C1173,D1173,E1173,F1173)</f>
        <v>BC Rio Bonito1SG36KTL-M-17_001_01746072,762546072,762546072,7694444444</v>
      </c>
      <c r="Q1173" s="1" t="str">
        <f>_xlfn.CONCAT(H1173,I1173,J1173)</f>
        <v>DAURDE</v>
      </c>
    </row>
    <row r="1174" spans="2:17">
      <c r="B1174" s="1" t="s">
        <v>495</v>
      </c>
      <c r="C1174" s="1" t="s">
        <v>501</v>
      </c>
      <c r="D1174" s="52">
        <v>46072.762499999997</v>
      </c>
      <c r="E1174" s="52">
        <v>46072.762499999997</v>
      </c>
      <c r="F1174" s="52">
        <v>46072.769444444442</v>
      </c>
      <c r="G1174" s="53">
        <v>6.9444444444444441E-3</v>
      </c>
      <c r="H1174" s="1" t="s">
        <v>257</v>
      </c>
      <c r="J1174" s="1" t="s">
        <v>258</v>
      </c>
      <c r="K1174" s="1" t="s">
        <v>658</v>
      </c>
      <c r="L1174" s="1" t="s">
        <v>538</v>
      </c>
      <c r="M1174" s="1" t="s">
        <v>260</v>
      </c>
      <c r="N1174" s="1" t="s">
        <v>261</v>
      </c>
      <c r="O1174" s="1" t="s">
        <v>579</v>
      </c>
      <c r="P1174" s="1" t="str">
        <f>_xlfn.CONCAT(B1174,C1174,D1174,E1174,F1174)</f>
        <v>BC Rio Bonito1SG60KTL-10_001_01046072,762546072,762546072,7694444444</v>
      </c>
      <c r="Q1174" s="1" t="str">
        <f>_xlfn.CONCAT(H1174,I1174,J1174)</f>
        <v>DAURDE</v>
      </c>
    </row>
    <row r="1175" spans="2:17">
      <c r="B1175" s="1" t="s">
        <v>495</v>
      </c>
      <c r="C1175" s="1" t="s">
        <v>502</v>
      </c>
      <c r="D1175" s="52">
        <v>46072.762499999997</v>
      </c>
      <c r="E1175" s="52">
        <v>46072.762499999997</v>
      </c>
      <c r="F1175" s="52">
        <v>46072.769444444442</v>
      </c>
      <c r="G1175" s="53">
        <v>6.9444444444444441E-3</v>
      </c>
      <c r="H1175" s="1" t="s">
        <v>257</v>
      </c>
      <c r="J1175" s="1" t="s">
        <v>258</v>
      </c>
      <c r="K1175" s="1" t="s">
        <v>658</v>
      </c>
      <c r="L1175" s="1" t="s">
        <v>538</v>
      </c>
      <c r="M1175" s="1" t="s">
        <v>260</v>
      </c>
      <c r="N1175" s="1" t="s">
        <v>261</v>
      </c>
      <c r="O1175" s="1" t="s">
        <v>579</v>
      </c>
      <c r="P1175" s="1" t="str">
        <f>_xlfn.CONCAT(B1175,C1175,D1175,E1175,F1175)</f>
        <v>BC Rio Bonito1SG60KTL-11_001_01146072,762546072,762546072,7694444444</v>
      </c>
      <c r="Q1175" s="1" t="str">
        <f>_xlfn.CONCAT(H1175,I1175,J1175)</f>
        <v>DAURDE</v>
      </c>
    </row>
    <row r="1176" spans="2:17">
      <c r="B1176" s="1" t="s">
        <v>495</v>
      </c>
      <c r="C1176" s="1" t="s">
        <v>503</v>
      </c>
      <c r="D1176" s="52">
        <v>46072.762499999997</v>
      </c>
      <c r="E1176" s="52">
        <v>46072.762499999997</v>
      </c>
      <c r="F1176" s="52">
        <v>46072.769444444442</v>
      </c>
      <c r="G1176" s="53">
        <v>6.9444444444444441E-3</v>
      </c>
      <c r="H1176" s="1" t="s">
        <v>257</v>
      </c>
      <c r="J1176" s="1" t="s">
        <v>258</v>
      </c>
      <c r="K1176" s="1" t="s">
        <v>658</v>
      </c>
      <c r="L1176" s="1" t="s">
        <v>538</v>
      </c>
      <c r="M1176" s="1" t="s">
        <v>260</v>
      </c>
      <c r="N1176" s="1" t="s">
        <v>261</v>
      </c>
      <c r="O1176" s="1" t="s">
        <v>579</v>
      </c>
      <c r="P1176" s="1" t="str">
        <f>_xlfn.CONCAT(B1176,C1176,D1176,E1176,F1176)</f>
        <v>BC Rio Bonito1SG60KTL-12_001_01246072,762546072,762546072,7694444444</v>
      </c>
      <c r="Q1176" s="1" t="str">
        <f>_xlfn.CONCAT(H1176,I1176,J1176)</f>
        <v>DAURDE</v>
      </c>
    </row>
    <row r="1177" spans="2:17">
      <c r="B1177" s="1" t="s">
        <v>495</v>
      </c>
      <c r="C1177" s="1" t="s">
        <v>504</v>
      </c>
      <c r="D1177" s="52">
        <v>46072.762499999997</v>
      </c>
      <c r="E1177" s="52">
        <v>46072.762499999997</v>
      </c>
      <c r="F1177" s="52">
        <v>46072.769444444442</v>
      </c>
      <c r="G1177" s="53">
        <v>6.9444444444444441E-3</v>
      </c>
      <c r="H1177" s="1" t="s">
        <v>257</v>
      </c>
      <c r="J1177" s="1" t="s">
        <v>258</v>
      </c>
      <c r="K1177" s="1" t="s">
        <v>658</v>
      </c>
      <c r="L1177" s="1" t="s">
        <v>538</v>
      </c>
      <c r="M1177" s="1" t="s">
        <v>260</v>
      </c>
      <c r="N1177" s="1" t="s">
        <v>261</v>
      </c>
      <c r="O1177" s="1" t="s">
        <v>579</v>
      </c>
      <c r="P1177" s="1" t="str">
        <f>_xlfn.CONCAT(B1177,C1177,D1177,E1177,F1177)</f>
        <v>BC Rio Bonito1SG60KTL-13_001_01346072,762546072,762546072,7694444444</v>
      </c>
      <c r="Q1177" s="1" t="str">
        <f>_xlfn.CONCAT(H1177,I1177,J1177)</f>
        <v>DAURDE</v>
      </c>
    </row>
    <row r="1178" spans="2:17">
      <c r="B1178" s="1" t="s">
        <v>495</v>
      </c>
      <c r="C1178" s="1" t="s">
        <v>505</v>
      </c>
      <c r="D1178" s="52">
        <v>46072.762499999997</v>
      </c>
      <c r="E1178" s="52">
        <v>46072.762499999997</v>
      </c>
      <c r="F1178" s="52">
        <v>46072.769444444442</v>
      </c>
      <c r="G1178" s="53">
        <v>6.9444444444444441E-3</v>
      </c>
      <c r="H1178" s="1" t="s">
        <v>257</v>
      </c>
      <c r="J1178" s="1" t="s">
        <v>258</v>
      </c>
      <c r="K1178" s="1" t="s">
        <v>658</v>
      </c>
      <c r="L1178" s="1" t="s">
        <v>538</v>
      </c>
      <c r="M1178" s="1" t="s">
        <v>260</v>
      </c>
      <c r="N1178" s="1" t="s">
        <v>261</v>
      </c>
      <c r="O1178" s="1" t="s">
        <v>579</v>
      </c>
      <c r="P1178" s="1" t="str">
        <f>_xlfn.CONCAT(B1178,C1178,D1178,E1178,F1178)</f>
        <v>BC Rio Bonito1SG60KTL-14_001_01446072,762546072,762546072,7694444444</v>
      </c>
      <c r="Q1178" s="1" t="str">
        <f>_xlfn.CONCAT(H1178,I1178,J1178)</f>
        <v>DAURDE</v>
      </c>
    </row>
    <row r="1179" spans="2:17">
      <c r="B1179" s="1" t="s">
        <v>495</v>
      </c>
      <c r="C1179" s="1" t="s">
        <v>506</v>
      </c>
      <c r="D1179" s="52">
        <v>46072.762499999997</v>
      </c>
      <c r="E1179" s="52">
        <v>46072.762499999997</v>
      </c>
      <c r="F1179" s="52">
        <v>46072.769444444442</v>
      </c>
      <c r="G1179" s="53">
        <v>6.9444444444444441E-3</v>
      </c>
      <c r="H1179" s="1" t="s">
        <v>257</v>
      </c>
      <c r="J1179" s="1" t="s">
        <v>258</v>
      </c>
      <c r="K1179" s="1" t="s">
        <v>658</v>
      </c>
      <c r="L1179" s="1" t="s">
        <v>538</v>
      </c>
      <c r="M1179" s="1" t="s">
        <v>260</v>
      </c>
      <c r="N1179" s="1" t="s">
        <v>261</v>
      </c>
      <c r="O1179" s="1" t="s">
        <v>579</v>
      </c>
      <c r="P1179" s="1" t="str">
        <f>_xlfn.CONCAT(B1179,C1179,D1179,E1179,F1179)</f>
        <v>BC Rio Bonito1SG60KTL-15_001_01546072,762546072,762546072,7694444444</v>
      </c>
      <c r="Q1179" s="1" t="str">
        <f>_xlfn.CONCAT(H1179,I1179,J1179)</f>
        <v>DAURDE</v>
      </c>
    </row>
    <row r="1180" spans="2:17">
      <c r="B1180" s="1" t="s">
        <v>495</v>
      </c>
      <c r="C1180" s="1" t="s">
        <v>507</v>
      </c>
      <c r="D1180" s="52">
        <v>46072.762499999997</v>
      </c>
      <c r="E1180" s="52">
        <v>46072.762499999997</v>
      </c>
      <c r="F1180" s="52">
        <v>46072.769444444442</v>
      </c>
      <c r="G1180" s="53">
        <v>6.9444444444444441E-3</v>
      </c>
      <c r="H1180" s="1" t="s">
        <v>257</v>
      </c>
      <c r="J1180" s="1" t="s">
        <v>258</v>
      </c>
      <c r="K1180" s="1" t="s">
        <v>658</v>
      </c>
      <c r="L1180" s="1" t="s">
        <v>538</v>
      </c>
      <c r="M1180" s="1" t="s">
        <v>260</v>
      </c>
      <c r="N1180" s="1" t="s">
        <v>261</v>
      </c>
      <c r="O1180" s="1" t="s">
        <v>579</v>
      </c>
      <c r="P1180" s="1" t="str">
        <f>_xlfn.CONCAT(B1180,C1180,D1180,E1180,F1180)</f>
        <v>BC Rio Bonito1SG60KTL-16_001_01646072,762546072,762546072,7694444444</v>
      </c>
      <c r="Q1180" s="1" t="str">
        <f>_xlfn.CONCAT(H1180,I1180,J1180)</f>
        <v>DAURDE</v>
      </c>
    </row>
    <row r="1181" spans="2:17">
      <c r="B1181" s="1" t="s">
        <v>495</v>
      </c>
      <c r="C1181" s="1" t="s">
        <v>508</v>
      </c>
      <c r="D1181" s="52">
        <v>46072.762499999997</v>
      </c>
      <c r="E1181" s="52">
        <v>46072.762499999997</v>
      </c>
      <c r="F1181" s="52">
        <v>46072.769444444442</v>
      </c>
      <c r="G1181" s="53">
        <v>6.9444444444444441E-3</v>
      </c>
      <c r="H1181" s="1" t="s">
        <v>257</v>
      </c>
      <c r="J1181" s="1" t="s">
        <v>258</v>
      </c>
      <c r="K1181" s="1" t="s">
        <v>658</v>
      </c>
      <c r="L1181" s="1" t="s">
        <v>538</v>
      </c>
      <c r="M1181" s="1" t="s">
        <v>260</v>
      </c>
      <c r="N1181" s="1" t="s">
        <v>261</v>
      </c>
      <c r="O1181" s="1" t="s">
        <v>579</v>
      </c>
      <c r="P1181" s="1" t="str">
        <f>_xlfn.CONCAT(B1181,C1181,D1181,E1181,F1181)</f>
        <v>BC Rio Bonito1SG60KTL-1_001_00146072,762546072,762546072,7694444444</v>
      </c>
      <c r="Q1181" s="1" t="str">
        <f>_xlfn.CONCAT(H1181,I1181,J1181)</f>
        <v>DAURDE</v>
      </c>
    </row>
    <row r="1182" spans="2:17">
      <c r="B1182" s="1" t="s">
        <v>495</v>
      </c>
      <c r="C1182" s="1" t="s">
        <v>509</v>
      </c>
      <c r="D1182" s="52">
        <v>46072.762499999997</v>
      </c>
      <c r="E1182" s="52">
        <v>46072.762499999997</v>
      </c>
      <c r="F1182" s="52">
        <v>46072.769444444442</v>
      </c>
      <c r="G1182" s="53">
        <v>6.9444444444444441E-3</v>
      </c>
      <c r="H1182" s="1" t="s">
        <v>257</v>
      </c>
      <c r="J1182" s="1" t="s">
        <v>258</v>
      </c>
      <c r="K1182" s="1" t="s">
        <v>658</v>
      </c>
      <c r="L1182" s="1" t="s">
        <v>538</v>
      </c>
      <c r="M1182" s="1" t="s">
        <v>260</v>
      </c>
      <c r="N1182" s="1" t="s">
        <v>261</v>
      </c>
      <c r="O1182" s="1" t="s">
        <v>579</v>
      </c>
      <c r="P1182" s="1" t="str">
        <f>_xlfn.CONCAT(B1182,C1182,D1182,E1182,F1182)</f>
        <v>BC Rio Bonito1SG60KTL-2_001_00246072,762546072,762546072,7694444444</v>
      </c>
      <c r="Q1182" s="1" t="str">
        <f>_xlfn.CONCAT(H1182,I1182,J1182)</f>
        <v>DAURDE</v>
      </c>
    </row>
    <row r="1183" spans="2:17">
      <c r="B1183" s="1" t="s">
        <v>495</v>
      </c>
      <c r="C1183" s="1" t="s">
        <v>510</v>
      </c>
      <c r="D1183" s="52">
        <v>46072.762499999997</v>
      </c>
      <c r="E1183" s="52">
        <v>46072.762499999997</v>
      </c>
      <c r="F1183" s="52">
        <v>46072.769444444442</v>
      </c>
      <c r="G1183" s="53">
        <v>6.9444444444444441E-3</v>
      </c>
      <c r="H1183" s="1" t="s">
        <v>257</v>
      </c>
      <c r="J1183" s="1" t="s">
        <v>258</v>
      </c>
      <c r="K1183" s="1" t="s">
        <v>658</v>
      </c>
      <c r="L1183" s="1" t="s">
        <v>538</v>
      </c>
      <c r="M1183" s="1" t="s">
        <v>260</v>
      </c>
      <c r="N1183" s="1" t="s">
        <v>261</v>
      </c>
      <c r="O1183" s="1" t="s">
        <v>579</v>
      </c>
      <c r="P1183" s="1" t="str">
        <f>_xlfn.CONCAT(B1183,C1183,D1183,E1183,F1183)</f>
        <v>BC Rio Bonito1SG60KTL-3_001_00346072,762546072,762546072,7694444444</v>
      </c>
      <c r="Q1183" s="1" t="str">
        <f>_xlfn.CONCAT(H1183,I1183,J1183)</f>
        <v>DAURDE</v>
      </c>
    </row>
    <row r="1184" spans="2:17">
      <c r="B1184" s="1" t="s">
        <v>495</v>
      </c>
      <c r="C1184" s="1" t="s">
        <v>511</v>
      </c>
      <c r="D1184" s="52">
        <v>46072.762499999997</v>
      </c>
      <c r="E1184" s="52">
        <v>46072.762499999997</v>
      </c>
      <c r="F1184" s="52">
        <v>46072.769444444442</v>
      </c>
      <c r="G1184" s="53">
        <v>6.9444444444444441E-3</v>
      </c>
      <c r="H1184" s="1" t="s">
        <v>257</v>
      </c>
      <c r="J1184" s="1" t="s">
        <v>258</v>
      </c>
      <c r="K1184" s="1" t="s">
        <v>658</v>
      </c>
      <c r="L1184" s="1" t="s">
        <v>538</v>
      </c>
      <c r="M1184" s="1" t="s">
        <v>260</v>
      </c>
      <c r="N1184" s="1" t="s">
        <v>261</v>
      </c>
      <c r="O1184" s="1" t="s">
        <v>579</v>
      </c>
      <c r="P1184" s="1" t="str">
        <f>_xlfn.CONCAT(B1184,C1184,D1184,E1184,F1184)</f>
        <v>BC Rio Bonito1SG60KTL-4_001_00446072,762546072,762546072,7694444444</v>
      </c>
      <c r="Q1184" s="1" t="str">
        <f>_xlfn.CONCAT(H1184,I1184,J1184)</f>
        <v>DAURDE</v>
      </c>
    </row>
    <row r="1185" spans="2:17">
      <c r="B1185" s="1" t="s">
        <v>495</v>
      </c>
      <c r="C1185" s="1" t="s">
        <v>512</v>
      </c>
      <c r="D1185" s="52">
        <v>46072.762499999997</v>
      </c>
      <c r="E1185" s="52">
        <v>46072.762499999997</v>
      </c>
      <c r="F1185" s="52">
        <v>46072.769444444442</v>
      </c>
      <c r="G1185" s="53">
        <v>6.9444444444444441E-3</v>
      </c>
      <c r="H1185" s="1" t="s">
        <v>257</v>
      </c>
      <c r="J1185" s="1" t="s">
        <v>258</v>
      </c>
      <c r="K1185" s="1" t="s">
        <v>658</v>
      </c>
      <c r="L1185" s="1" t="s">
        <v>538</v>
      </c>
      <c r="M1185" s="1" t="s">
        <v>260</v>
      </c>
      <c r="N1185" s="1" t="s">
        <v>261</v>
      </c>
      <c r="O1185" s="1" t="s">
        <v>579</v>
      </c>
      <c r="P1185" s="1" t="str">
        <f>_xlfn.CONCAT(B1185,C1185,D1185,E1185,F1185)</f>
        <v>BC Rio Bonito1SG60KTL-5_001_00546072,762546072,762546072,7694444444</v>
      </c>
      <c r="Q1185" s="1" t="str">
        <f>_xlfn.CONCAT(H1185,I1185,J1185)</f>
        <v>DAURDE</v>
      </c>
    </row>
    <row r="1186" spans="2:17">
      <c r="B1186" s="1" t="s">
        <v>495</v>
      </c>
      <c r="C1186" s="1" t="s">
        <v>513</v>
      </c>
      <c r="D1186" s="52">
        <v>46072.762499999997</v>
      </c>
      <c r="E1186" s="52">
        <v>46072.762499999997</v>
      </c>
      <c r="F1186" s="52">
        <v>46072.769444444442</v>
      </c>
      <c r="G1186" s="53">
        <v>6.9444444444444441E-3</v>
      </c>
      <c r="H1186" s="1" t="s">
        <v>257</v>
      </c>
      <c r="J1186" s="1" t="s">
        <v>258</v>
      </c>
      <c r="K1186" s="1" t="s">
        <v>658</v>
      </c>
      <c r="L1186" s="1" t="s">
        <v>538</v>
      </c>
      <c r="M1186" s="1" t="s">
        <v>260</v>
      </c>
      <c r="N1186" s="1" t="s">
        <v>261</v>
      </c>
      <c r="O1186" s="1" t="s">
        <v>579</v>
      </c>
      <c r="P1186" s="1" t="str">
        <f>_xlfn.CONCAT(B1186,C1186,D1186,E1186,F1186)</f>
        <v>BC Rio Bonito1SG60KTL-6_001_00646072,762546072,762546072,7694444444</v>
      </c>
      <c r="Q1186" s="1" t="str">
        <f>_xlfn.CONCAT(H1186,I1186,J1186)</f>
        <v>DAURDE</v>
      </c>
    </row>
    <row r="1187" spans="2:17">
      <c r="B1187" s="1" t="s">
        <v>495</v>
      </c>
      <c r="C1187" s="1" t="s">
        <v>514</v>
      </c>
      <c r="D1187" s="52">
        <v>46072.762499999997</v>
      </c>
      <c r="E1187" s="52">
        <v>46072.762499999997</v>
      </c>
      <c r="F1187" s="52">
        <v>46072.769444444442</v>
      </c>
      <c r="G1187" s="53">
        <v>6.9444444444444441E-3</v>
      </c>
      <c r="H1187" s="1" t="s">
        <v>257</v>
      </c>
      <c r="J1187" s="1" t="s">
        <v>258</v>
      </c>
      <c r="K1187" s="1" t="s">
        <v>658</v>
      </c>
      <c r="L1187" s="1" t="s">
        <v>538</v>
      </c>
      <c r="M1187" s="1" t="s">
        <v>260</v>
      </c>
      <c r="N1187" s="1" t="s">
        <v>261</v>
      </c>
      <c r="O1187" s="1" t="s">
        <v>579</v>
      </c>
      <c r="P1187" s="1" t="str">
        <f>_xlfn.CONCAT(B1187,C1187,D1187,E1187,F1187)</f>
        <v>BC Rio Bonito1SG60KTL-7_001_00746072,762546072,762546072,7694444444</v>
      </c>
      <c r="Q1187" s="1" t="str">
        <f>_xlfn.CONCAT(H1187,I1187,J1187)</f>
        <v>DAURDE</v>
      </c>
    </row>
    <row r="1188" spans="2:17">
      <c r="B1188" s="1" t="s">
        <v>495</v>
      </c>
      <c r="C1188" s="1" t="s">
        <v>515</v>
      </c>
      <c r="D1188" s="52">
        <v>46072.762499999997</v>
      </c>
      <c r="E1188" s="52">
        <v>46072.762499999997</v>
      </c>
      <c r="F1188" s="52">
        <v>46072.769444444442</v>
      </c>
      <c r="G1188" s="53">
        <v>6.9444444444444441E-3</v>
      </c>
      <c r="H1188" s="1" t="s">
        <v>257</v>
      </c>
      <c r="J1188" s="1" t="s">
        <v>258</v>
      </c>
      <c r="K1188" s="1" t="s">
        <v>658</v>
      </c>
      <c r="L1188" s="1" t="s">
        <v>538</v>
      </c>
      <c r="M1188" s="1" t="s">
        <v>260</v>
      </c>
      <c r="N1188" s="1" t="s">
        <v>261</v>
      </c>
      <c r="O1188" s="1" t="s">
        <v>579</v>
      </c>
      <c r="P1188" s="1" t="str">
        <f>_xlfn.CONCAT(B1188,C1188,D1188,E1188,F1188)</f>
        <v>BC Rio Bonito1SG60KTL-8_001_00846072,762546072,762546072,7694444444</v>
      </c>
      <c r="Q1188" s="1" t="str">
        <f>_xlfn.CONCAT(H1188,I1188,J1188)</f>
        <v>DAURDE</v>
      </c>
    </row>
    <row r="1189" spans="2:17">
      <c r="B1189" s="1" t="s">
        <v>495</v>
      </c>
      <c r="C1189" s="1" t="s">
        <v>516</v>
      </c>
      <c r="D1189" s="52">
        <v>46072.762499999997</v>
      </c>
      <c r="E1189" s="52">
        <v>46072.762499999997</v>
      </c>
      <c r="F1189" s="52">
        <v>46072.769444444442</v>
      </c>
      <c r="G1189" s="53">
        <v>6.9444444444444441E-3</v>
      </c>
      <c r="H1189" s="1" t="s">
        <v>257</v>
      </c>
      <c r="J1189" s="1" t="s">
        <v>258</v>
      </c>
      <c r="K1189" s="1" t="s">
        <v>658</v>
      </c>
      <c r="L1189" s="1" t="s">
        <v>538</v>
      </c>
      <c r="M1189" s="1" t="s">
        <v>260</v>
      </c>
      <c r="N1189" s="1" t="s">
        <v>261</v>
      </c>
      <c r="O1189" s="1" t="s">
        <v>579</v>
      </c>
      <c r="P1189" s="1" t="str">
        <f>_xlfn.CONCAT(B1189,C1189,D1189,E1189,F1189)</f>
        <v>BC Rio Bonito1SG60KTL-9_001_00946072,762546072,762546072,7694444444</v>
      </c>
      <c r="Q1189" s="1" t="str">
        <f>_xlfn.CONCAT(H1189,I1189,J1189)</f>
        <v>DAURDE</v>
      </c>
    </row>
    <row r="1190" spans="2:17">
      <c r="B1190" s="1" t="s">
        <v>642</v>
      </c>
      <c r="C1190" s="1" t="s">
        <v>643</v>
      </c>
      <c r="D1190" s="52">
        <v>46072.762499999997</v>
      </c>
      <c r="E1190" s="52">
        <v>46072.762499999997</v>
      </c>
      <c r="F1190" s="52">
        <v>46072.769444444442</v>
      </c>
      <c r="G1190" s="53">
        <v>6.9444444444444441E-3</v>
      </c>
      <c r="H1190" s="1" t="s">
        <v>257</v>
      </c>
      <c r="J1190" s="1" t="s">
        <v>258</v>
      </c>
      <c r="K1190" s="1" t="s">
        <v>658</v>
      </c>
      <c r="L1190" s="1" t="s">
        <v>538</v>
      </c>
      <c r="M1190" s="1" t="s">
        <v>260</v>
      </c>
      <c r="N1190" s="1" t="s">
        <v>261</v>
      </c>
      <c r="O1190" s="1" t="s">
        <v>579</v>
      </c>
      <c r="P1190" s="1" t="str">
        <f>_xlfn.CONCAT(B1190,C1190,D1190,E1190,F1190)</f>
        <v>BC Rio Bonito2INV-00146072,762546072,762546072,7694444444</v>
      </c>
      <c r="Q1190" s="1" t="str">
        <f>_xlfn.CONCAT(H1190,I1190,J1190)</f>
        <v>DAURDE</v>
      </c>
    </row>
    <row r="1191" spans="2:17">
      <c r="B1191" s="1" t="s">
        <v>642</v>
      </c>
      <c r="C1191" s="1" t="s">
        <v>646</v>
      </c>
      <c r="D1191" s="52">
        <v>46072.762499999997</v>
      </c>
      <c r="E1191" s="52">
        <v>46072.762499999997</v>
      </c>
      <c r="F1191" s="52">
        <v>46072.769444444442</v>
      </c>
      <c r="G1191" s="53">
        <v>6.9444444444444441E-3</v>
      </c>
      <c r="H1191" s="1" t="s">
        <v>257</v>
      </c>
      <c r="J1191" s="1" t="s">
        <v>258</v>
      </c>
      <c r="K1191" s="1" t="s">
        <v>658</v>
      </c>
      <c r="L1191" s="1" t="s">
        <v>538</v>
      </c>
      <c r="M1191" s="1" t="s">
        <v>260</v>
      </c>
      <c r="N1191" s="1" t="s">
        <v>261</v>
      </c>
      <c r="O1191" s="1" t="s">
        <v>579</v>
      </c>
      <c r="P1191" s="1" t="str">
        <f>_xlfn.CONCAT(B1191,C1191,D1191,E1191,F1191)</f>
        <v>BC Rio Bonito2INV-00246072,762546072,762546072,7694444444</v>
      </c>
      <c r="Q1191" s="1" t="str">
        <f>_xlfn.CONCAT(H1191,I1191,J1191)</f>
        <v>DAURDE</v>
      </c>
    </row>
    <row r="1192" spans="2:17">
      <c r="B1192" s="1" t="s">
        <v>642</v>
      </c>
      <c r="C1192" s="1" t="s">
        <v>647</v>
      </c>
      <c r="D1192" s="52">
        <v>46072.762499999997</v>
      </c>
      <c r="E1192" s="52">
        <v>46072.762499999997</v>
      </c>
      <c r="F1192" s="52">
        <v>46072.769444444442</v>
      </c>
      <c r="G1192" s="53">
        <v>6.9444444444444441E-3</v>
      </c>
      <c r="H1192" s="1" t="s">
        <v>257</v>
      </c>
      <c r="J1192" s="1" t="s">
        <v>258</v>
      </c>
      <c r="K1192" s="1" t="s">
        <v>658</v>
      </c>
      <c r="L1192" s="1" t="s">
        <v>538</v>
      </c>
      <c r="M1192" s="1" t="s">
        <v>260</v>
      </c>
      <c r="N1192" s="1" t="s">
        <v>261</v>
      </c>
      <c r="O1192" s="1" t="s">
        <v>579</v>
      </c>
      <c r="P1192" s="1" t="str">
        <f>_xlfn.CONCAT(B1192,C1192,D1192,E1192,F1192)</f>
        <v>BC Rio Bonito2INV-00346072,762546072,762546072,7694444444</v>
      </c>
      <c r="Q1192" s="1" t="str">
        <f>_xlfn.CONCAT(H1192,I1192,J1192)</f>
        <v>DAURDE</v>
      </c>
    </row>
    <row r="1193" spans="2:17">
      <c r="B1193" s="1" t="s">
        <v>642</v>
      </c>
      <c r="C1193" s="1" t="s">
        <v>648</v>
      </c>
      <c r="D1193" s="52">
        <v>46072.762499999997</v>
      </c>
      <c r="E1193" s="52">
        <v>46072.762499999997</v>
      </c>
      <c r="F1193" s="52">
        <v>46072.769444444442</v>
      </c>
      <c r="G1193" s="53">
        <v>6.9444444444444441E-3</v>
      </c>
      <c r="H1193" s="1" t="s">
        <v>257</v>
      </c>
      <c r="J1193" s="1" t="s">
        <v>258</v>
      </c>
      <c r="K1193" s="1" t="s">
        <v>658</v>
      </c>
      <c r="L1193" s="1" t="s">
        <v>538</v>
      </c>
      <c r="M1193" s="1" t="s">
        <v>260</v>
      </c>
      <c r="N1193" s="1" t="s">
        <v>261</v>
      </c>
      <c r="O1193" s="1" t="s">
        <v>579</v>
      </c>
      <c r="P1193" s="1" t="str">
        <f>_xlfn.CONCAT(B1193,C1193,D1193,E1193,F1193)</f>
        <v>BC Rio Bonito2INV-00446072,762546072,762546072,7694444444</v>
      </c>
      <c r="Q1193" s="1" t="str">
        <f>_xlfn.CONCAT(H1193,I1193,J1193)</f>
        <v>DAURDE</v>
      </c>
    </row>
    <row r="1194" spans="2:17">
      <c r="B1194" s="1" t="s">
        <v>698</v>
      </c>
      <c r="C1194" s="1" t="s">
        <v>263</v>
      </c>
      <c r="D1194" s="52">
        <v>46072.984027777777</v>
      </c>
      <c r="E1194" s="52">
        <v>46072.984027777777</v>
      </c>
      <c r="F1194" s="52">
        <v>46072.995138888888</v>
      </c>
      <c r="G1194" s="53">
        <v>1.1111111111111112E-2</v>
      </c>
      <c r="H1194" s="1" t="s">
        <v>268</v>
      </c>
      <c r="I1194" s="1" t="s">
        <v>269</v>
      </c>
      <c r="J1194" s="1" t="s">
        <v>319</v>
      </c>
      <c r="K1194" s="1" t="s">
        <v>652</v>
      </c>
      <c r="L1194" s="1" t="s">
        <v>847</v>
      </c>
      <c r="M1194" s="1" t="s">
        <v>260</v>
      </c>
      <c r="N1194" s="1" t="s">
        <v>261</v>
      </c>
      <c r="O1194" s="1" t="s">
        <v>579</v>
      </c>
      <c r="P1194" s="1" t="str">
        <f>_xlfn.CONCAT(B1194,C1194,D1194,E1194,F1194)</f>
        <v>BC Turvania1.1Inverter(MBUS-14)46072,984027777846072,984027777846072,9951388889</v>
      </c>
      <c r="Q1194" s="1" t="str">
        <f>_xlfn.CONCAT(H1194,I1194,J1194)</f>
        <v>LIGRFOCOM</v>
      </c>
    </row>
    <row r="1195" spans="2:17">
      <c r="B1195" s="1" t="s">
        <v>698</v>
      </c>
      <c r="C1195" s="1" t="s">
        <v>307</v>
      </c>
      <c r="D1195" s="52">
        <v>46072.984027777777</v>
      </c>
      <c r="E1195" s="52">
        <v>46072.984027777777</v>
      </c>
      <c r="F1195" s="52">
        <v>46072.995138888888</v>
      </c>
      <c r="G1195" s="53">
        <v>1.1111111111111112E-2</v>
      </c>
      <c r="H1195" s="1" t="s">
        <v>268</v>
      </c>
      <c r="I1195" s="1" t="s">
        <v>269</v>
      </c>
      <c r="J1195" s="1" t="s">
        <v>319</v>
      </c>
      <c r="K1195" s="1" t="s">
        <v>652</v>
      </c>
      <c r="L1195" s="1" t="s">
        <v>847</v>
      </c>
      <c r="M1195" s="1" t="s">
        <v>260</v>
      </c>
      <c r="N1195" s="1" t="s">
        <v>261</v>
      </c>
      <c r="O1195" s="1" t="s">
        <v>579</v>
      </c>
      <c r="P1195" s="1" t="str">
        <f>_xlfn.CONCAT(B1195,C1195,D1195,E1195,F1195)</f>
        <v>BC Turvania1.1Inverter(MBUS-15)46072,984027777846072,984027777846072,9951388889</v>
      </c>
      <c r="Q1195" s="1" t="str">
        <f>_xlfn.CONCAT(H1195,I1195,J1195)</f>
        <v>LIGRFOCOM</v>
      </c>
    </row>
    <row r="1196" spans="2:17">
      <c r="B1196" s="1" t="s">
        <v>698</v>
      </c>
      <c r="C1196" s="1" t="s">
        <v>256</v>
      </c>
      <c r="D1196" s="52">
        <v>46072.984027777777</v>
      </c>
      <c r="E1196" s="52">
        <v>46072.984027777777</v>
      </c>
      <c r="F1196" s="52">
        <v>46072.995138888888</v>
      </c>
      <c r="G1196" s="53">
        <v>1.1111111111111112E-2</v>
      </c>
      <c r="H1196" s="1" t="s">
        <v>268</v>
      </c>
      <c r="I1196" s="1" t="s">
        <v>269</v>
      </c>
      <c r="J1196" s="1" t="s">
        <v>319</v>
      </c>
      <c r="K1196" s="1" t="s">
        <v>652</v>
      </c>
      <c r="L1196" s="1" t="s">
        <v>847</v>
      </c>
      <c r="M1196" s="1" t="s">
        <v>260</v>
      </c>
      <c r="N1196" s="1" t="s">
        <v>261</v>
      </c>
      <c r="O1196" s="1" t="s">
        <v>580</v>
      </c>
      <c r="P1196" s="1" t="str">
        <f>_xlfn.CONCAT(B1196,C1196,D1196,E1196,F1196)</f>
        <v>BC Turvania1.1Inverter(MBUS-12)46072,984027777846072,984027777846072,9951388889</v>
      </c>
      <c r="Q1196" s="1" t="str">
        <f>_xlfn.CONCAT(H1196,I1196,J1196)</f>
        <v>LIGRFOCOM</v>
      </c>
    </row>
    <row r="1197" spans="2:17">
      <c r="B1197" s="1" t="s">
        <v>698</v>
      </c>
      <c r="C1197" s="1" t="s">
        <v>264</v>
      </c>
      <c r="D1197" s="52">
        <v>46072.984027777777</v>
      </c>
      <c r="E1197" s="52">
        <v>46072.984027777777</v>
      </c>
      <c r="F1197" s="52">
        <v>46072.995138888888</v>
      </c>
      <c r="G1197" s="53">
        <v>1.1111111111111112E-2</v>
      </c>
      <c r="H1197" s="1" t="s">
        <v>268</v>
      </c>
      <c r="I1197" s="1" t="s">
        <v>269</v>
      </c>
      <c r="J1197" s="1" t="s">
        <v>319</v>
      </c>
      <c r="K1197" s="1" t="s">
        <v>652</v>
      </c>
      <c r="L1197" s="1" t="s">
        <v>847</v>
      </c>
      <c r="M1197" s="1" t="s">
        <v>260</v>
      </c>
      <c r="N1197" s="1" t="s">
        <v>261</v>
      </c>
      <c r="O1197" s="1" t="s">
        <v>580</v>
      </c>
      <c r="P1197" s="1" t="str">
        <f>_xlfn.CONCAT(B1197,C1197,D1197,E1197,F1197)</f>
        <v>BC Turvania1.1Inverter(MBUS-13)46072,984027777846072,984027777846072,9951388889</v>
      </c>
      <c r="Q1197" s="1" t="str">
        <f>_xlfn.CONCAT(H1197,I1197,J1197)</f>
        <v>LIGRFOCOM</v>
      </c>
    </row>
    <row r="1198" spans="2:17">
      <c r="B1198" s="1" t="s">
        <v>700</v>
      </c>
      <c r="C1198" s="1" t="s">
        <v>263</v>
      </c>
      <c r="D1198" s="52">
        <v>46072.984027777777</v>
      </c>
      <c r="E1198" s="52">
        <v>46072.984027777777</v>
      </c>
      <c r="F1198" s="52">
        <v>46072.995138888888</v>
      </c>
      <c r="G1198" s="53">
        <v>1.1111111111111112E-2</v>
      </c>
      <c r="H1198" s="1" t="s">
        <v>268</v>
      </c>
      <c r="I1198" s="1" t="s">
        <v>269</v>
      </c>
      <c r="J1198" s="1" t="s">
        <v>319</v>
      </c>
      <c r="K1198" s="1" t="s">
        <v>652</v>
      </c>
      <c r="L1198" s="1" t="s">
        <v>847</v>
      </c>
      <c r="M1198" s="1" t="s">
        <v>260</v>
      </c>
      <c r="N1198" s="1" t="s">
        <v>261</v>
      </c>
      <c r="O1198" s="1" t="s">
        <v>580</v>
      </c>
      <c r="P1198" s="1" t="str">
        <f>_xlfn.CONCAT(B1198,C1198,D1198,E1198,F1198)</f>
        <v>BC Turvania1.2Inverter(MBUS-14)46072,984027777846072,984027777846072,9951388889</v>
      </c>
      <c r="Q1198" s="1" t="str">
        <f>_xlfn.CONCAT(H1198,I1198,J1198)</f>
        <v>LIGRFOCOM</v>
      </c>
    </row>
    <row r="1199" spans="2:17">
      <c r="B1199" s="1" t="s">
        <v>700</v>
      </c>
      <c r="C1199" s="1" t="s">
        <v>264</v>
      </c>
      <c r="D1199" s="52">
        <v>46072.984027777777</v>
      </c>
      <c r="E1199" s="52">
        <v>46072.984027777777</v>
      </c>
      <c r="F1199" s="52">
        <v>46072.995138888888</v>
      </c>
      <c r="G1199" s="53">
        <v>1.1111111111111112E-2</v>
      </c>
      <c r="H1199" s="1" t="s">
        <v>268</v>
      </c>
      <c r="I1199" s="1" t="s">
        <v>269</v>
      </c>
      <c r="J1199" s="1" t="s">
        <v>319</v>
      </c>
      <c r="K1199" s="1" t="s">
        <v>652</v>
      </c>
      <c r="L1199" s="1" t="s">
        <v>847</v>
      </c>
      <c r="M1199" s="1" t="s">
        <v>260</v>
      </c>
      <c r="N1199" s="1" t="s">
        <v>261</v>
      </c>
      <c r="O1199" s="1" t="s">
        <v>580</v>
      </c>
      <c r="P1199" s="1" t="str">
        <f>_xlfn.CONCAT(B1199,C1199,D1199,E1199,F1199)</f>
        <v>BC Turvania1.2Inverter(MBUS-13)46072,984027777846072,984027777846072,9951388889</v>
      </c>
      <c r="Q1199" s="1" t="str">
        <f>_xlfn.CONCAT(H1199,I1199,J1199)</f>
        <v>LIGRFOCOM</v>
      </c>
    </row>
    <row r="1200" spans="2:17">
      <c r="B1200" s="1" t="s">
        <v>700</v>
      </c>
      <c r="C1200" s="1" t="s">
        <v>256</v>
      </c>
      <c r="D1200" s="52">
        <v>46072.984027777777</v>
      </c>
      <c r="E1200" s="52">
        <v>46072.984027777777</v>
      </c>
      <c r="F1200" s="52">
        <v>46072.995138888888</v>
      </c>
      <c r="G1200" s="53">
        <v>1.1111111111111112E-2</v>
      </c>
      <c r="H1200" s="1" t="s">
        <v>268</v>
      </c>
      <c r="I1200" s="1" t="s">
        <v>269</v>
      </c>
      <c r="J1200" s="1" t="s">
        <v>319</v>
      </c>
      <c r="K1200" s="1" t="s">
        <v>652</v>
      </c>
      <c r="L1200" s="1" t="s">
        <v>847</v>
      </c>
      <c r="M1200" s="1" t="s">
        <v>260</v>
      </c>
      <c r="N1200" s="1" t="s">
        <v>261</v>
      </c>
      <c r="O1200" s="1" t="s">
        <v>580</v>
      </c>
      <c r="P1200" s="1" t="str">
        <f>_xlfn.CONCAT(B1200,C1200,D1200,E1200,F1200)</f>
        <v>BC Turvania1.2Inverter(MBUS-12)46072,984027777846072,984027777846072,9951388889</v>
      </c>
      <c r="Q1200" s="1" t="str">
        <f>_xlfn.CONCAT(H1200,I1200,J1200)</f>
        <v>LIGRFOCOM</v>
      </c>
    </row>
    <row r="1201" spans="2:17">
      <c r="B1201" s="1" t="s">
        <v>700</v>
      </c>
      <c r="C1201" s="1" t="s">
        <v>307</v>
      </c>
      <c r="D1201" s="52">
        <v>46072.984027777777</v>
      </c>
      <c r="E1201" s="52">
        <v>46072.984027777777</v>
      </c>
      <c r="F1201" s="52">
        <v>46072.995138888888</v>
      </c>
      <c r="G1201" s="53">
        <v>1.1111111111111112E-2</v>
      </c>
      <c r="H1201" s="1" t="s">
        <v>268</v>
      </c>
      <c r="I1201" s="1" t="s">
        <v>269</v>
      </c>
      <c r="J1201" s="1" t="s">
        <v>319</v>
      </c>
      <c r="K1201" s="1" t="s">
        <v>652</v>
      </c>
      <c r="L1201" s="1" t="s">
        <v>847</v>
      </c>
      <c r="M1201" s="1" t="s">
        <v>260</v>
      </c>
      <c r="N1201" s="1" t="s">
        <v>261</v>
      </c>
      <c r="O1201" s="1" t="s">
        <v>580</v>
      </c>
      <c r="P1201" s="1" t="str">
        <f>_xlfn.CONCAT(B1201,C1201,D1201,E1201,F1201)</f>
        <v>BC Turvania1.2Inverter(MBUS-15)46072,984027777846072,984027777846072,9951388889</v>
      </c>
      <c r="Q1201" s="1" t="str">
        <f>_xlfn.CONCAT(H1201,I1201,J1201)</f>
        <v>LIGRFOCOM</v>
      </c>
    </row>
    <row r="1202" spans="2:17">
      <c r="B1202" s="1" t="s">
        <v>314</v>
      </c>
      <c r="C1202" s="1" t="s">
        <v>264</v>
      </c>
      <c r="D1202" s="52">
        <v>46072.984027777777</v>
      </c>
      <c r="E1202" s="52">
        <v>46072.984027777777</v>
      </c>
      <c r="F1202" s="52">
        <v>46072.995138888888</v>
      </c>
      <c r="G1202" s="53">
        <v>1.1111111111111112E-2</v>
      </c>
      <c r="H1202" s="1" t="s">
        <v>268</v>
      </c>
      <c r="I1202" s="1" t="s">
        <v>269</v>
      </c>
      <c r="J1202" s="1" t="s">
        <v>319</v>
      </c>
      <c r="K1202" s="1" t="s">
        <v>652</v>
      </c>
      <c r="L1202" s="1" t="s">
        <v>847</v>
      </c>
      <c r="M1202" s="1" t="s">
        <v>260</v>
      </c>
      <c r="N1202" s="1" t="s">
        <v>261</v>
      </c>
      <c r="O1202" s="1" t="s">
        <v>580</v>
      </c>
      <c r="P1202" s="1" t="str">
        <f>_xlfn.CONCAT(B1202,C1202,D1202,E1202,F1202)</f>
        <v>BC Turvania1.3Inverter(MBUS-13)46072,984027777846072,984027777846072,9951388889</v>
      </c>
      <c r="Q1202" s="1" t="str">
        <f>_xlfn.CONCAT(H1202,I1202,J1202)</f>
        <v>LIGRFOCOM</v>
      </c>
    </row>
    <row r="1203" spans="2:17">
      <c r="B1203" s="1" t="s">
        <v>314</v>
      </c>
      <c r="C1203" s="1" t="s">
        <v>263</v>
      </c>
      <c r="D1203" s="52">
        <v>46072.984027777777</v>
      </c>
      <c r="E1203" s="52">
        <v>46072.984027777777</v>
      </c>
      <c r="F1203" s="52">
        <v>46072.995138888888</v>
      </c>
      <c r="G1203" s="53">
        <v>1.1111111111111112E-2</v>
      </c>
      <c r="H1203" s="1" t="s">
        <v>268</v>
      </c>
      <c r="I1203" s="1" t="s">
        <v>269</v>
      </c>
      <c r="J1203" s="1" t="s">
        <v>319</v>
      </c>
      <c r="K1203" s="1" t="s">
        <v>652</v>
      </c>
      <c r="L1203" s="1" t="s">
        <v>847</v>
      </c>
      <c r="M1203" s="1" t="s">
        <v>260</v>
      </c>
      <c r="N1203" s="1" t="s">
        <v>261</v>
      </c>
      <c r="O1203" s="1" t="s">
        <v>580</v>
      </c>
      <c r="P1203" s="1" t="str">
        <f>_xlfn.CONCAT(B1203,C1203,D1203,E1203,F1203)</f>
        <v>BC Turvania1.3Inverter(MBUS-14)46072,984027777846072,984027777846072,9951388889</v>
      </c>
      <c r="Q1203" s="1" t="str">
        <f>_xlfn.CONCAT(H1203,I1203,J1203)</f>
        <v>LIGRFOCOM</v>
      </c>
    </row>
    <row r="1204" spans="2:17">
      <c r="B1204" s="1" t="s">
        <v>314</v>
      </c>
      <c r="C1204" s="1" t="s">
        <v>307</v>
      </c>
      <c r="D1204" s="52">
        <v>46072.984027777777</v>
      </c>
      <c r="E1204" s="52">
        <v>46072.984027777777</v>
      </c>
      <c r="F1204" s="52">
        <v>46072.995138888888</v>
      </c>
      <c r="G1204" s="53">
        <v>1.1111111111111112E-2</v>
      </c>
      <c r="H1204" s="1" t="s">
        <v>268</v>
      </c>
      <c r="I1204" s="1" t="s">
        <v>269</v>
      </c>
      <c r="J1204" s="1" t="s">
        <v>319</v>
      </c>
      <c r="K1204" s="1" t="s">
        <v>652</v>
      </c>
      <c r="L1204" s="1" t="s">
        <v>847</v>
      </c>
      <c r="M1204" s="1" t="s">
        <v>260</v>
      </c>
      <c r="N1204" s="1" t="s">
        <v>261</v>
      </c>
      <c r="O1204" s="1" t="s">
        <v>580</v>
      </c>
      <c r="P1204" s="1" t="str">
        <f>_xlfn.CONCAT(B1204,C1204,D1204,E1204,F1204)</f>
        <v>BC Turvania1.3Inverter(MBUS-15)46072,984027777846072,984027777846072,9951388889</v>
      </c>
      <c r="Q1204" s="1" t="str">
        <f>_xlfn.CONCAT(H1204,I1204,J1204)</f>
        <v>LIGRFOCOM</v>
      </c>
    </row>
    <row r="1205" spans="2:17">
      <c r="B1205" s="1" t="s">
        <v>314</v>
      </c>
      <c r="C1205" s="1" t="s">
        <v>247</v>
      </c>
      <c r="D1205" s="52">
        <v>46072.984027777777</v>
      </c>
      <c r="E1205" s="52">
        <v>46072.984027777777</v>
      </c>
      <c r="F1205" s="52">
        <v>46072.995138888888</v>
      </c>
      <c r="G1205" s="53">
        <v>1.1111111111111112E-2</v>
      </c>
      <c r="H1205" s="1" t="s">
        <v>268</v>
      </c>
      <c r="I1205" s="1" t="s">
        <v>269</v>
      </c>
      <c r="J1205" s="1" t="s">
        <v>319</v>
      </c>
      <c r="K1205" s="1" t="s">
        <v>652</v>
      </c>
      <c r="L1205" s="1" t="s">
        <v>847</v>
      </c>
      <c r="M1205" s="1" t="s">
        <v>260</v>
      </c>
      <c r="N1205" s="1" t="s">
        <v>261</v>
      </c>
      <c r="O1205" s="1" t="s">
        <v>579</v>
      </c>
      <c r="P1205" s="1" t="str">
        <f>_xlfn.CONCAT(B1205,C1205,D1205,E1205,F1205)</f>
        <v>BC Turvania1.3Inverter(MBUS-1)46072,984027777846072,984027777846072,9951388889</v>
      </c>
      <c r="Q1205" s="1" t="str">
        <f>_xlfn.CONCAT(H1205,I1205,J1205)</f>
        <v>LIGRFOCOM</v>
      </c>
    </row>
    <row r="1206" spans="2:17">
      <c r="B1206" s="1" t="s">
        <v>701</v>
      </c>
      <c r="C1206" s="1" t="s">
        <v>263</v>
      </c>
      <c r="D1206" s="52">
        <v>46072.984027777777</v>
      </c>
      <c r="E1206" s="52">
        <v>46072.984027777777</v>
      </c>
      <c r="F1206" s="52">
        <v>46072.995138888888</v>
      </c>
      <c r="G1206" s="53">
        <v>1.1111111111111112E-2</v>
      </c>
      <c r="H1206" s="1" t="s">
        <v>268</v>
      </c>
      <c r="I1206" s="1" t="s">
        <v>269</v>
      </c>
      <c r="J1206" s="1" t="s">
        <v>319</v>
      </c>
      <c r="K1206" s="1" t="s">
        <v>652</v>
      </c>
      <c r="L1206" s="1" t="s">
        <v>847</v>
      </c>
      <c r="M1206" s="1" t="s">
        <v>260</v>
      </c>
      <c r="N1206" s="1" t="s">
        <v>261</v>
      </c>
      <c r="O1206" s="1" t="s">
        <v>579</v>
      </c>
      <c r="P1206" s="1" t="str">
        <f>_xlfn.CONCAT(B1206,C1206,D1206,E1206,F1206)</f>
        <v>BC Turvania1.4Inverter(MBUS-14)46072,984027777846072,984027777846072,9951388889</v>
      </c>
      <c r="Q1206" s="1" t="str">
        <f>_xlfn.CONCAT(H1206,I1206,J1206)</f>
        <v>LIGRFOCOM</v>
      </c>
    </row>
    <row r="1207" spans="2:17">
      <c r="B1207" s="1" t="s">
        <v>701</v>
      </c>
      <c r="C1207" s="1" t="s">
        <v>307</v>
      </c>
      <c r="D1207" s="52">
        <v>46072.984027777777</v>
      </c>
      <c r="E1207" s="52">
        <v>46072.984027777777</v>
      </c>
      <c r="F1207" s="52">
        <v>46072.995138888888</v>
      </c>
      <c r="G1207" s="53">
        <v>1.1111111111111112E-2</v>
      </c>
      <c r="H1207" s="1" t="s">
        <v>268</v>
      </c>
      <c r="I1207" s="1" t="s">
        <v>269</v>
      </c>
      <c r="J1207" s="1" t="s">
        <v>319</v>
      </c>
      <c r="K1207" s="1" t="s">
        <v>652</v>
      </c>
      <c r="L1207" s="1" t="s">
        <v>847</v>
      </c>
      <c r="M1207" s="1" t="s">
        <v>260</v>
      </c>
      <c r="N1207" s="1" t="s">
        <v>261</v>
      </c>
      <c r="O1207" s="1" t="s">
        <v>579</v>
      </c>
      <c r="P1207" s="1" t="str">
        <f>_xlfn.CONCAT(B1207,C1207,D1207,E1207,F1207)</f>
        <v>BC Turvania1.4Inverter(MBUS-15)46072,984027777846072,984027777846072,9951388889</v>
      </c>
      <c r="Q1207" s="1" t="str">
        <f>_xlfn.CONCAT(H1207,I1207,J1207)</f>
        <v>LIGRFOCOM</v>
      </c>
    </row>
    <row r="1208" spans="2:17">
      <c r="B1208" s="1" t="s">
        <v>701</v>
      </c>
      <c r="C1208" s="1" t="s">
        <v>264</v>
      </c>
      <c r="D1208" s="52">
        <v>46072.984027777777</v>
      </c>
      <c r="E1208" s="52">
        <v>46072.984027777777</v>
      </c>
      <c r="F1208" s="52">
        <v>46072.995138888888</v>
      </c>
      <c r="G1208" s="53">
        <v>1.1111111111111112E-2</v>
      </c>
      <c r="H1208" s="1" t="s">
        <v>268</v>
      </c>
      <c r="I1208" s="1" t="s">
        <v>269</v>
      </c>
      <c r="J1208" s="1" t="s">
        <v>319</v>
      </c>
      <c r="K1208" s="1" t="s">
        <v>652</v>
      </c>
      <c r="L1208" s="1" t="s">
        <v>847</v>
      </c>
      <c r="M1208" s="1" t="s">
        <v>260</v>
      </c>
      <c r="N1208" s="1" t="s">
        <v>261</v>
      </c>
      <c r="O1208" s="1" t="s">
        <v>579</v>
      </c>
      <c r="P1208" s="1" t="str">
        <f>_xlfn.CONCAT(B1208,C1208,D1208,E1208,F1208)</f>
        <v>BC Turvania1.4Inverter(MBUS-13)46072,984027777846072,984027777846072,9951388889</v>
      </c>
      <c r="Q1208" s="1" t="str">
        <f>_xlfn.CONCAT(H1208,I1208,J1208)</f>
        <v>LIGRFOCOM</v>
      </c>
    </row>
    <row r="1209" spans="2:17">
      <c r="B1209" s="1" t="s">
        <v>701</v>
      </c>
      <c r="C1209" s="1" t="s">
        <v>256</v>
      </c>
      <c r="D1209" s="52">
        <v>46072.984027777777</v>
      </c>
      <c r="E1209" s="52">
        <v>46072.984027777777</v>
      </c>
      <c r="F1209" s="52">
        <v>46072.995138888888</v>
      </c>
      <c r="G1209" s="53">
        <v>1.1111111111111112E-2</v>
      </c>
      <c r="H1209" s="1" t="s">
        <v>268</v>
      </c>
      <c r="I1209" s="1" t="s">
        <v>269</v>
      </c>
      <c r="J1209" s="1" t="s">
        <v>319</v>
      </c>
      <c r="K1209" s="1" t="s">
        <v>652</v>
      </c>
      <c r="L1209" s="1" t="s">
        <v>847</v>
      </c>
      <c r="M1209" s="1" t="s">
        <v>260</v>
      </c>
      <c r="N1209" s="1" t="s">
        <v>261</v>
      </c>
      <c r="O1209" s="1" t="s">
        <v>579</v>
      </c>
      <c r="P1209" s="1" t="str">
        <f>_xlfn.CONCAT(B1209,C1209,D1209,E1209,F1209)</f>
        <v>BC Turvania1.4Inverter(MBUS-12)46072,984027777846072,984027777846072,9951388889</v>
      </c>
      <c r="Q1209" s="1" t="str">
        <f>_xlfn.CONCAT(H1209,I1209,J1209)</f>
        <v>LIGRFOCOM</v>
      </c>
    </row>
    <row r="1210" spans="2:17">
      <c r="B1210" s="1" t="s">
        <v>702</v>
      </c>
      <c r="C1210" s="1" t="s">
        <v>264</v>
      </c>
      <c r="D1210" s="52">
        <v>46072.984027777777</v>
      </c>
      <c r="E1210" s="52">
        <v>46072.984027777777</v>
      </c>
      <c r="F1210" s="52">
        <v>46072.995138888888</v>
      </c>
      <c r="G1210" s="53">
        <v>1.1111111111111112E-2</v>
      </c>
      <c r="H1210" s="1" t="s">
        <v>268</v>
      </c>
      <c r="I1210" s="1" t="s">
        <v>269</v>
      </c>
      <c r="J1210" s="1" t="s">
        <v>319</v>
      </c>
      <c r="K1210" s="1" t="s">
        <v>652</v>
      </c>
      <c r="L1210" s="1" t="s">
        <v>847</v>
      </c>
      <c r="M1210" s="1" t="s">
        <v>260</v>
      </c>
      <c r="N1210" s="1" t="s">
        <v>261</v>
      </c>
      <c r="O1210" s="1" t="s">
        <v>579</v>
      </c>
      <c r="P1210" s="1" t="str">
        <f>_xlfn.CONCAT(B1210,C1210,D1210,E1210,F1210)</f>
        <v>BC Turvania1.5Inverter(MBUS-13)46072,984027777846072,984027777846072,9951388889</v>
      </c>
      <c r="Q1210" s="1" t="str">
        <f>_xlfn.CONCAT(H1210,I1210,J1210)</f>
        <v>LIGRFOCOM</v>
      </c>
    </row>
    <row r="1211" spans="2:17">
      <c r="B1211" s="1" t="s">
        <v>702</v>
      </c>
      <c r="C1211" s="1" t="s">
        <v>256</v>
      </c>
      <c r="D1211" s="52">
        <v>46072.984027777777</v>
      </c>
      <c r="E1211" s="52">
        <v>46072.984027777777</v>
      </c>
      <c r="F1211" s="52">
        <v>46072.995138888888</v>
      </c>
      <c r="G1211" s="53">
        <v>1.1111111111111112E-2</v>
      </c>
      <c r="H1211" s="1" t="s">
        <v>268</v>
      </c>
      <c r="I1211" s="1" t="s">
        <v>269</v>
      </c>
      <c r="J1211" s="1" t="s">
        <v>319</v>
      </c>
      <c r="K1211" s="1" t="s">
        <v>652</v>
      </c>
      <c r="L1211" s="1" t="s">
        <v>847</v>
      </c>
      <c r="M1211" s="1" t="s">
        <v>260</v>
      </c>
      <c r="N1211" s="1" t="s">
        <v>261</v>
      </c>
      <c r="O1211" s="1" t="s">
        <v>579</v>
      </c>
      <c r="P1211" s="1" t="str">
        <f>_xlfn.CONCAT(B1211,C1211,D1211,E1211,F1211)</f>
        <v>BC Turvania1.5Inverter(MBUS-12)46072,984027777846072,984027777846072,9951388889</v>
      </c>
      <c r="Q1211" s="1" t="str">
        <f>_xlfn.CONCAT(H1211,I1211,J1211)</f>
        <v>LIGRFOCOM</v>
      </c>
    </row>
    <row r="1212" spans="2:17">
      <c r="B1212" s="1" t="s">
        <v>702</v>
      </c>
      <c r="C1212" s="1" t="s">
        <v>263</v>
      </c>
      <c r="D1212" s="52">
        <v>46072.984027777777</v>
      </c>
      <c r="E1212" s="52">
        <v>46072.984027777777</v>
      </c>
      <c r="F1212" s="52">
        <v>46072.995138888888</v>
      </c>
      <c r="G1212" s="53">
        <v>1.1111111111111112E-2</v>
      </c>
      <c r="H1212" s="1" t="s">
        <v>268</v>
      </c>
      <c r="I1212" s="1" t="s">
        <v>269</v>
      </c>
      <c r="J1212" s="1" t="s">
        <v>319</v>
      </c>
      <c r="K1212" s="1" t="s">
        <v>652</v>
      </c>
      <c r="L1212" s="1" t="s">
        <v>847</v>
      </c>
      <c r="M1212" s="1" t="s">
        <v>260</v>
      </c>
      <c r="N1212" s="1" t="s">
        <v>261</v>
      </c>
      <c r="O1212" s="1" t="s">
        <v>579</v>
      </c>
      <c r="P1212" s="1" t="str">
        <f>_xlfn.CONCAT(B1212,C1212,D1212,E1212,F1212)</f>
        <v>BC Turvania1.5Inverter(MBUS-14)46072,984027777846072,984027777846072,9951388889</v>
      </c>
      <c r="Q1212" s="1" t="str">
        <f>_xlfn.CONCAT(H1212,I1212,J1212)</f>
        <v>LIGRFOCOM</v>
      </c>
    </row>
    <row r="1213" spans="2:17">
      <c r="B1213" s="1" t="s">
        <v>702</v>
      </c>
      <c r="C1213" s="1" t="s">
        <v>247</v>
      </c>
      <c r="D1213" s="52">
        <v>46072.984027777777</v>
      </c>
      <c r="E1213" s="52">
        <v>46072.984027777777</v>
      </c>
      <c r="F1213" s="52">
        <v>46072.995138888888</v>
      </c>
      <c r="G1213" s="53">
        <v>1.1111111111111112E-2</v>
      </c>
      <c r="H1213" s="1" t="s">
        <v>268</v>
      </c>
      <c r="I1213" s="1" t="s">
        <v>269</v>
      </c>
      <c r="J1213" s="1" t="s">
        <v>319</v>
      </c>
      <c r="K1213" s="1" t="s">
        <v>652</v>
      </c>
      <c r="L1213" s="1" t="s">
        <v>847</v>
      </c>
      <c r="M1213" s="1" t="s">
        <v>260</v>
      </c>
      <c r="N1213" s="1" t="s">
        <v>261</v>
      </c>
      <c r="O1213" s="1" t="s">
        <v>579</v>
      </c>
      <c r="P1213" s="1" t="str">
        <f>_xlfn.CONCAT(B1213,C1213,D1213,E1213,F1213)</f>
        <v>BC Turvania1.5Inverter(MBUS-1)46072,984027777846072,984027777846072,9951388889</v>
      </c>
      <c r="Q1213" s="1" t="str">
        <f>_xlfn.CONCAT(H1213,I1213,J1213)</f>
        <v>LIGRFOCOM</v>
      </c>
    </row>
    <row r="1214" spans="2:17">
      <c r="B1214" s="1" t="s">
        <v>255</v>
      </c>
      <c r="C1214" s="1" t="s">
        <v>256</v>
      </c>
      <c r="D1214" s="52">
        <v>46073.208333333336</v>
      </c>
      <c r="E1214" s="52">
        <v>46073.208333333336</v>
      </c>
      <c r="F1214" s="52">
        <v>46073.347222222219</v>
      </c>
      <c r="G1214" s="53">
        <v>0.1388888888888889</v>
      </c>
      <c r="H1214" s="1" t="s">
        <v>257</v>
      </c>
      <c r="J1214" s="1" t="s">
        <v>258</v>
      </c>
      <c r="K1214" s="1" t="s">
        <v>658</v>
      </c>
      <c r="L1214" s="1" t="s">
        <v>848</v>
      </c>
      <c r="M1214" s="1" t="s">
        <v>260</v>
      </c>
      <c r="N1214" s="1" t="s">
        <v>261</v>
      </c>
      <c r="O1214" s="1" t="s">
        <v>579</v>
      </c>
      <c r="P1214" s="1" t="str">
        <f>_xlfn.CONCAT(B1214,C1214,D1214,E1214,F1214)</f>
        <v>BC Formoso2.1Inverter(MBUS-12)46073,208333333346073,208333333346073,3472222222</v>
      </c>
      <c r="Q1214" s="1" t="str">
        <f>_xlfn.CONCAT(H1214,I1214,J1214)</f>
        <v>DAURDE</v>
      </c>
    </row>
    <row r="1215" spans="2:17">
      <c r="B1215" s="1" t="s">
        <v>255</v>
      </c>
      <c r="C1215" s="1" t="s">
        <v>263</v>
      </c>
      <c r="D1215" s="52">
        <v>46073.208333333336</v>
      </c>
      <c r="E1215" s="52">
        <v>46073.208333333336</v>
      </c>
      <c r="F1215" s="52">
        <v>46073.347222222219</v>
      </c>
      <c r="G1215" s="53">
        <v>0.1388888888888889</v>
      </c>
      <c r="H1215" s="1" t="s">
        <v>257</v>
      </c>
      <c r="J1215" s="1" t="s">
        <v>258</v>
      </c>
      <c r="K1215" s="1" t="s">
        <v>658</v>
      </c>
      <c r="L1215" s="1" t="s">
        <v>848</v>
      </c>
      <c r="M1215" s="1" t="s">
        <v>260</v>
      </c>
      <c r="N1215" s="1" t="s">
        <v>261</v>
      </c>
      <c r="O1215" s="1" t="s">
        <v>579</v>
      </c>
      <c r="P1215" s="1" t="str">
        <f>_xlfn.CONCAT(B1215,C1215,D1215,E1215,F1215)</f>
        <v>BC Formoso2.1Inverter(MBUS-14)46073,208333333346073,208333333346073,3472222222</v>
      </c>
      <c r="Q1215" s="1" t="str">
        <f>_xlfn.CONCAT(H1215,I1215,J1215)</f>
        <v>DAURDE</v>
      </c>
    </row>
    <row r="1216" spans="2:17">
      <c r="B1216" s="1" t="s">
        <v>255</v>
      </c>
      <c r="C1216" s="1" t="s">
        <v>264</v>
      </c>
      <c r="D1216" s="52">
        <v>46073.208333333336</v>
      </c>
      <c r="E1216" s="52">
        <v>46073.208333333336</v>
      </c>
      <c r="F1216" s="52">
        <v>46073.347222222219</v>
      </c>
      <c r="G1216" s="53">
        <v>0.1388888888888889</v>
      </c>
      <c r="H1216" s="1" t="s">
        <v>257</v>
      </c>
      <c r="J1216" s="1" t="s">
        <v>258</v>
      </c>
      <c r="K1216" s="1" t="s">
        <v>658</v>
      </c>
      <c r="L1216" s="1" t="s">
        <v>848</v>
      </c>
      <c r="M1216" s="1" t="s">
        <v>260</v>
      </c>
      <c r="N1216" s="1" t="s">
        <v>261</v>
      </c>
      <c r="O1216" s="1" t="s">
        <v>579</v>
      </c>
      <c r="P1216" s="1" t="str">
        <f>_xlfn.CONCAT(B1216,C1216,D1216,E1216,F1216)</f>
        <v>BC Formoso2.1Inverter(MBUS-13)46073,208333333346073,208333333346073,3472222222</v>
      </c>
      <c r="Q1216" s="1" t="str">
        <f>_xlfn.CONCAT(H1216,I1216,J1216)</f>
        <v>DAURDE</v>
      </c>
    </row>
    <row r="1217" spans="2:17">
      <c r="B1217" s="1" t="s">
        <v>255</v>
      </c>
      <c r="C1217" s="1" t="s">
        <v>247</v>
      </c>
      <c r="D1217" s="52">
        <v>46073.208333333336</v>
      </c>
      <c r="E1217" s="52">
        <v>46073.208333333336</v>
      </c>
      <c r="F1217" s="52">
        <v>46073.347222222219</v>
      </c>
      <c r="G1217" s="53">
        <v>0.1388888888888889</v>
      </c>
      <c r="H1217" s="1" t="s">
        <v>257</v>
      </c>
      <c r="J1217" s="1" t="s">
        <v>258</v>
      </c>
      <c r="K1217" s="1" t="s">
        <v>658</v>
      </c>
      <c r="L1217" s="1" t="s">
        <v>848</v>
      </c>
      <c r="M1217" s="1" t="s">
        <v>260</v>
      </c>
      <c r="N1217" s="1" t="s">
        <v>261</v>
      </c>
      <c r="O1217" s="1" t="s">
        <v>579</v>
      </c>
      <c r="P1217" s="1" t="str">
        <f>_xlfn.CONCAT(B1217,C1217,D1217,E1217,F1217)</f>
        <v>BC Formoso2.1Inverter(MBUS-1)46073,208333333346073,208333333346073,3472222222</v>
      </c>
      <c r="Q1217" s="1" t="str">
        <f>_xlfn.CONCAT(H1217,I1217,J1217)</f>
        <v>DAURDE</v>
      </c>
    </row>
    <row r="1218" spans="2:17">
      <c r="B1218" s="1" t="s">
        <v>265</v>
      </c>
      <c r="C1218" s="1" t="s">
        <v>263</v>
      </c>
      <c r="D1218" s="52">
        <v>46073.208333333336</v>
      </c>
      <c r="E1218" s="52">
        <v>46073.208333333336</v>
      </c>
      <c r="F1218" s="52">
        <v>46073.347222222219</v>
      </c>
      <c r="G1218" s="53">
        <v>0.1388888888888889</v>
      </c>
      <c r="H1218" s="1" t="s">
        <v>257</v>
      </c>
      <c r="J1218" s="1" t="s">
        <v>258</v>
      </c>
      <c r="K1218" s="1" t="s">
        <v>658</v>
      </c>
      <c r="L1218" s="1" t="s">
        <v>848</v>
      </c>
      <c r="M1218" s="1" t="s">
        <v>260</v>
      </c>
      <c r="N1218" s="1" t="s">
        <v>261</v>
      </c>
      <c r="O1218" s="1" t="s">
        <v>579</v>
      </c>
      <c r="P1218" s="1" t="str">
        <f>_xlfn.CONCAT(B1218,C1218,D1218,E1218,F1218)</f>
        <v>BC Formoso2.2Inverter(MBUS-14)46073,208333333346073,208333333346073,3472222222</v>
      </c>
      <c r="Q1218" s="1" t="str">
        <f>_xlfn.CONCAT(H1218,I1218,J1218)</f>
        <v>DAURDE</v>
      </c>
    </row>
    <row r="1219" spans="2:17">
      <c r="B1219" s="1" t="s">
        <v>265</v>
      </c>
      <c r="C1219" s="1" t="s">
        <v>264</v>
      </c>
      <c r="D1219" s="52">
        <v>46073.208333333336</v>
      </c>
      <c r="E1219" s="52">
        <v>46073.208333333336</v>
      </c>
      <c r="F1219" s="52">
        <v>46073.347222222219</v>
      </c>
      <c r="G1219" s="53">
        <v>0.1388888888888889</v>
      </c>
      <c r="H1219" s="1" t="s">
        <v>257</v>
      </c>
      <c r="J1219" s="1" t="s">
        <v>258</v>
      </c>
      <c r="K1219" s="1" t="s">
        <v>658</v>
      </c>
      <c r="L1219" s="1" t="s">
        <v>848</v>
      </c>
      <c r="M1219" s="1" t="s">
        <v>260</v>
      </c>
      <c r="N1219" s="1" t="s">
        <v>261</v>
      </c>
      <c r="O1219" s="1" t="s">
        <v>579</v>
      </c>
      <c r="P1219" s="1" t="str">
        <f>_xlfn.CONCAT(B1219,C1219,D1219,E1219,F1219)</f>
        <v>BC Formoso2.2Inverter(MBUS-13)46073,208333333346073,208333333346073,3472222222</v>
      </c>
      <c r="Q1219" s="1" t="str">
        <f>_xlfn.CONCAT(H1219,I1219,J1219)</f>
        <v>DAURDE</v>
      </c>
    </row>
    <row r="1220" spans="2:17">
      <c r="B1220" s="1" t="s">
        <v>265</v>
      </c>
      <c r="C1220" s="1" t="s">
        <v>256</v>
      </c>
      <c r="D1220" s="52">
        <v>46073.208333333336</v>
      </c>
      <c r="E1220" s="52">
        <v>46073.208333333336</v>
      </c>
      <c r="F1220" s="52">
        <v>46073.347222222219</v>
      </c>
      <c r="G1220" s="53">
        <v>0.1388888888888889</v>
      </c>
      <c r="H1220" s="1" t="s">
        <v>257</v>
      </c>
      <c r="J1220" s="1" t="s">
        <v>258</v>
      </c>
      <c r="K1220" s="1" t="s">
        <v>658</v>
      </c>
      <c r="L1220" s="1" t="s">
        <v>848</v>
      </c>
      <c r="M1220" s="1" t="s">
        <v>260</v>
      </c>
      <c r="N1220" s="1" t="s">
        <v>261</v>
      </c>
      <c r="O1220" s="1" t="s">
        <v>579</v>
      </c>
      <c r="P1220" s="1" t="str">
        <f>_xlfn.CONCAT(B1220,C1220,D1220,E1220,F1220)</f>
        <v>BC Formoso2.2Inverter(MBUS-12)46073,208333333346073,208333333346073,3472222222</v>
      </c>
      <c r="Q1220" s="1" t="str">
        <f>_xlfn.CONCAT(H1220,I1220,J1220)</f>
        <v>DAURDE</v>
      </c>
    </row>
    <row r="1221" spans="2:17">
      <c r="B1221" s="1" t="s">
        <v>265</v>
      </c>
      <c r="C1221" s="1" t="s">
        <v>247</v>
      </c>
      <c r="D1221" s="52">
        <v>46073.208333333336</v>
      </c>
      <c r="E1221" s="52">
        <v>46073.208333333336</v>
      </c>
      <c r="F1221" s="52">
        <v>46073.347222222219</v>
      </c>
      <c r="G1221" s="53">
        <v>0.1388888888888889</v>
      </c>
      <c r="H1221" s="1" t="s">
        <v>257</v>
      </c>
      <c r="J1221" s="1" t="s">
        <v>258</v>
      </c>
      <c r="K1221" s="1" t="s">
        <v>658</v>
      </c>
      <c r="L1221" s="1" t="s">
        <v>848</v>
      </c>
      <c r="M1221" s="1" t="s">
        <v>260</v>
      </c>
      <c r="N1221" s="1" t="s">
        <v>261</v>
      </c>
      <c r="O1221" s="1" t="s">
        <v>579</v>
      </c>
      <c r="P1221" s="1" t="str">
        <f>_xlfn.CONCAT(B1221,C1221,D1221,E1221,F1221)</f>
        <v>BC Formoso2.2Inverter(MBUS-1)46073,208333333346073,208333333346073,3472222222</v>
      </c>
      <c r="Q1221" s="1" t="str">
        <f>_xlfn.CONCAT(H1221,I1221,J1221)</f>
        <v>DAURDE</v>
      </c>
    </row>
    <row r="1222" spans="2:17">
      <c r="B1222" s="1" t="s">
        <v>355</v>
      </c>
      <c r="C1222" s="1" t="s">
        <v>264</v>
      </c>
      <c r="D1222" s="52">
        <v>46073.208333333336</v>
      </c>
      <c r="E1222" s="52">
        <v>46073.208333333336</v>
      </c>
      <c r="F1222" s="52">
        <v>46073.347222222219</v>
      </c>
      <c r="G1222" s="53">
        <v>0.1388888888888889</v>
      </c>
      <c r="H1222" s="1" t="s">
        <v>257</v>
      </c>
      <c r="J1222" s="1" t="s">
        <v>258</v>
      </c>
      <c r="K1222" s="1" t="s">
        <v>658</v>
      </c>
      <c r="L1222" s="1" t="s">
        <v>848</v>
      </c>
      <c r="M1222" s="1" t="s">
        <v>260</v>
      </c>
      <c r="N1222" s="1" t="s">
        <v>261</v>
      </c>
      <c r="O1222" s="1" t="s">
        <v>579</v>
      </c>
      <c r="P1222" s="1" t="str">
        <f>_xlfn.CONCAT(B1222,C1222,D1222,E1222,F1222)</f>
        <v>BC Formoso2.3Inverter(MBUS-13)46073,208333333346073,208333333346073,3472222222</v>
      </c>
      <c r="Q1222" s="1" t="str">
        <f>_xlfn.CONCAT(H1222,I1222,J1222)</f>
        <v>DAURDE</v>
      </c>
    </row>
    <row r="1223" spans="2:17">
      <c r="B1223" s="1" t="s">
        <v>355</v>
      </c>
      <c r="C1223" s="1" t="s">
        <v>256</v>
      </c>
      <c r="D1223" s="52">
        <v>46073.208333333336</v>
      </c>
      <c r="E1223" s="52">
        <v>46073.208333333336</v>
      </c>
      <c r="F1223" s="52">
        <v>46073.347222222219</v>
      </c>
      <c r="G1223" s="53">
        <v>0.1388888888888889</v>
      </c>
      <c r="H1223" s="1" t="s">
        <v>257</v>
      </c>
      <c r="J1223" s="1" t="s">
        <v>258</v>
      </c>
      <c r="K1223" s="1" t="s">
        <v>658</v>
      </c>
      <c r="L1223" s="1" t="s">
        <v>848</v>
      </c>
      <c r="M1223" s="1" t="s">
        <v>260</v>
      </c>
      <c r="N1223" s="1" t="s">
        <v>261</v>
      </c>
      <c r="O1223" s="1" t="s">
        <v>579</v>
      </c>
      <c r="P1223" s="1" t="str">
        <f>_xlfn.CONCAT(B1223,C1223,D1223,E1223,F1223)</f>
        <v>BC Formoso2.3Inverter(MBUS-12)46073,208333333346073,208333333346073,3472222222</v>
      </c>
      <c r="Q1223" s="1" t="str">
        <f>_xlfn.CONCAT(H1223,I1223,J1223)</f>
        <v>DAURDE</v>
      </c>
    </row>
    <row r="1224" spans="2:17">
      <c r="B1224" s="1" t="s">
        <v>368</v>
      </c>
      <c r="C1224" s="1" t="s">
        <v>256</v>
      </c>
      <c r="D1224" s="52">
        <v>46073.365277777775</v>
      </c>
      <c r="E1224" s="52">
        <v>46073.365277777775</v>
      </c>
      <c r="F1224" s="52">
        <v>46073.369444444441</v>
      </c>
      <c r="G1224" s="53">
        <v>4.1666666666666666E-3</v>
      </c>
      <c r="H1224" s="1" t="s">
        <v>257</v>
      </c>
      <c r="J1224" s="1" t="s">
        <v>258</v>
      </c>
      <c r="K1224" s="1" t="s">
        <v>658</v>
      </c>
      <c r="L1224" s="1" t="s">
        <v>849</v>
      </c>
      <c r="M1224" s="1" t="s">
        <v>260</v>
      </c>
      <c r="N1224" s="1" t="s">
        <v>261</v>
      </c>
      <c r="O1224" s="1" t="s">
        <v>579</v>
      </c>
      <c r="P1224" s="1" t="str">
        <f>_xlfn.CONCAT(B1224,C1224,D1224,E1224,F1224)</f>
        <v>BC Ibiuna 1.1Inverter(MBUS-12)46073,365277777846073,365277777846073,3694444444</v>
      </c>
      <c r="Q1224" s="1" t="str">
        <f>_xlfn.CONCAT(H1224,I1224,J1224)</f>
        <v>DAURDE</v>
      </c>
    </row>
    <row r="1225" spans="2:17">
      <c r="B1225" s="1" t="s">
        <v>368</v>
      </c>
      <c r="C1225" s="1" t="s">
        <v>264</v>
      </c>
      <c r="D1225" s="52">
        <v>46073.365277777775</v>
      </c>
      <c r="E1225" s="52">
        <v>46073.365277777775</v>
      </c>
      <c r="F1225" s="52">
        <v>46073.369444444441</v>
      </c>
      <c r="G1225" s="53">
        <v>4.1666666666666666E-3</v>
      </c>
      <c r="H1225" s="1" t="s">
        <v>257</v>
      </c>
      <c r="J1225" s="1" t="s">
        <v>258</v>
      </c>
      <c r="K1225" s="1" t="s">
        <v>658</v>
      </c>
      <c r="L1225" s="1" t="s">
        <v>849</v>
      </c>
      <c r="M1225" s="1" t="s">
        <v>260</v>
      </c>
      <c r="N1225" s="1" t="s">
        <v>261</v>
      </c>
      <c r="O1225" s="1" t="s">
        <v>579</v>
      </c>
      <c r="P1225" s="1" t="str">
        <f>_xlfn.CONCAT(B1225,C1225,D1225,E1225,F1225)</f>
        <v>BC Ibiuna 1.1Inverter(MBUS-13)46073,365277777846073,365277777846073,3694444444</v>
      </c>
      <c r="Q1225" s="1" t="str">
        <f>_xlfn.CONCAT(H1225,I1225,J1225)</f>
        <v>DAURDE</v>
      </c>
    </row>
    <row r="1226" spans="2:17">
      <c r="B1226" s="1" t="s">
        <v>368</v>
      </c>
      <c r="C1226" s="1" t="s">
        <v>263</v>
      </c>
      <c r="D1226" s="52">
        <v>46073.365277777775</v>
      </c>
      <c r="E1226" s="52">
        <v>46073.365277777775</v>
      </c>
      <c r="F1226" s="52">
        <v>46073.369444444441</v>
      </c>
      <c r="G1226" s="53">
        <v>4.1666666666666666E-3</v>
      </c>
      <c r="H1226" s="1" t="s">
        <v>257</v>
      </c>
      <c r="J1226" s="1" t="s">
        <v>258</v>
      </c>
      <c r="K1226" s="1" t="s">
        <v>658</v>
      </c>
      <c r="L1226" s="1" t="s">
        <v>849</v>
      </c>
      <c r="M1226" s="1" t="s">
        <v>260</v>
      </c>
      <c r="N1226" s="1" t="s">
        <v>261</v>
      </c>
      <c r="O1226" s="1" t="s">
        <v>579</v>
      </c>
      <c r="P1226" s="1" t="str">
        <f>_xlfn.CONCAT(B1226,C1226,D1226,E1226,F1226)</f>
        <v>BC Ibiuna 1.1Inverter(MBUS-14)46073,365277777846073,365277777846073,3694444444</v>
      </c>
      <c r="Q1226" s="1" t="str">
        <f>_xlfn.CONCAT(H1226,I1226,J1226)</f>
        <v>DAURDE</v>
      </c>
    </row>
    <row r="1227" spans="2:17">
      <c r="B1227" s="1" t="s">
        <v>368</v>
      </c>
      <c r="C1227" s="1" t="s">
        <v>307</v>
      </c>
      <c r="D1227" s="52">
        <v>46073.365277777775</v>
      </c>
      <c r="E1227" s="52">
        <v>46073.365277777775</v>
      </c>
      <c r="F1227" s="52">
        <v>46073.369444444441</v>
      </c>
      <c r="G1227" s="53">
        <v>4.1666666666666666E-3</v>
      </c>
      <c r="H1227" s="1" t="s">
        <v>257</v>
      </c>
      <c r="J1227" s="1" t="s">
        <v>258</v>
      </c>
      <c r="K1227" s="1" t="s">
        <v>658</v>
      </c>
      <c r="L1227" s="1" t="s">
        <v>849</v>
      </c>
      <c r="M1227" s="1" t="s">
        <v>260</v>
      </c>
      <c r="N1227" s="1" t="s">
        <v>261</v>
      </c>
      <c r="O1227" s="1" t="s">
        <v>579</v>
      </c>
      <c r="P1227" s="1" t="str">
        <f>_xlfn.CONCAT(B1227,C1227,D1227,E1227,F1227)</f>
        <v>BC Ibiuna 1.1Inverter(MBUS-15)46073,365277777846073,365277777846073,3694444444</v>
      </c>
      <c r="Q1227" s="1" t="str">
        <f>_xlfn.CONCAT(H1227,I1227,J1227)</f>
        <v>DAURDE</v>
      </c>
    </row>
    <row r="1228" spans="2:17">
      <c r="B1228" s="1" t="s">
        <v>370</v>
      </c>
      <c r="C1228" s="1" t="s">
        <v>256</v>
      </c>
      <c r="D1228" s="52">
        <v>46073.365277777775</v>
      </c>
      <c r="E1228" s="52">
        <v>46073.365277777775</v>
      </c>
      <c r="F1228" s="52">
        <v>46073.369444444441</v>
      </c>
      <c r="G1228" s="53">
        <v>4.1666666666666666E-3</v>
      </c>
      <c r="H1228" s="1" t="s">
        <v>257</v>
      </c>
      <c r="J1228" s="1" t="s">
        <v>258</v>
      </c>
      <c r="K1228" s="1" t="s">
        <v>658</v>
      </c>
      <c r="L1228" s="1" t="s">
        <v>849</v>
      </c>
      <c r="M1228" s="1" t="s">
        <v>260</v>
      </c>
      <c r="N1228" s="1" t="s">
        <v>261</v>
      </c>
      <c r="O1228" s="1" t="s">
        <v>579</v>
      </c>
      <c r="P1228" s="1" t="str">
        <f>_xlfn.CONCAT(B1228,C1228,D1228,E1228,F1228)</f>
        <v>BC Ibiuna 1.2Inverter(MBUS-12)46073,365277777846073,365277777846073,3694444444</v>
      </c>
      <c r="Q1228" s="1" t="str">
        <f>_xlfn.CONCAT(H1228,I1228,J1228)</f>
        <v>DAURDE</v>
      </c>
    </row>
    <row r="1229" spans="2:17">
      <c r="B1229" s="1" t="s">
        <v>370</v>
      </c>
      <c r="C1229" s="1" t="s">
        <v>264</v>
      </c>
      <c r="D1229" s="52">
        <v>46073.365277777775</v>
      </c>
      <c r="E1229" s="52">
        <v>46073.365277777775</v>
      </c>
      <c r="F1229" s="52">
        <v>46073.369444444441</v>
      </c>
      <c r="G1229" s="53">
        <v>4.1666666666666666E-3</v>
      </c>
      <c r="H1229" s="1" t="s">
        <v>257</v>
      </c>
      <c r="J1229" s="1" t="s">
        <v>258</v>
      </c>
      <c r="K1229" s="1" t="s">
        <v>658</v>
      </c>
      <c r="L1229" s="1" t="s">
        <v>849</v>
      </c>
      <c r="M1229" s="1" t="s">
        <v>260</v>
      </c>
      <c r="N1229" s="1" t="s">
        <v>261</v>
      </c>
      <c r="O1229" s="1" t="s">
        <v>579</v>
      </c>
      <c r="P1229" s="1" t="str">
        <f>_xlfn.CONCAT(B1229,C1229,D1229,E1229,F1229)</f>
        <v>BC Ibiuna 1.2Inverter(MBUS-13)46073,365277777846073,365277777846073,3694444444</v>
      </c>
      <c r="Q1229" s="1" t="str">
        <f>_xlfn.CONCAT(H1229,I1229,J1229)</f>
        <v>DAURDE</v>
      </c>
    </row>
    <row r="1230" spans="2:17">
      <c r="B1230" s="1" t="s">
        <v>370</v>
      </c>
      <c r="C1230" s="1" t="s">
        <v>263</v>
      </c>
      <c r="D1230" s="52">
        <v>46073.365277777775</v>
      </c>
      <c r="E1230" s="52">
        <v>46073.365277777775</v>
      </c>
      <c r="F1230" s="52">
        <v>46073.369444444441</v>
      </c>
      <c r="G1230" s="53">
        <v>4.1666666666666666E-3</v>
      </c>
      <c r="H1230" s="1" t="s">
        <v>257</v>
      </c>
      <c r="J1230" s="1" t="s">
        <v>258</v>
      </c>
      <c r="K1230" s="1" t="s">
        <v>658</v>
      </c>
      <c r="L1230" s="1" t="s">
        <v>849</v>
      </c>
      <c r="M1230" s="1" t="s">
        <v>260</v>
      </c>
      <c r="N1230" s="1" t="s">
        <v>261</v>
      </c>
      <c r="O1230" s="1" t="s">
        <v>579</v>
      </c>
      <c r="P1230" s="1" t="str">
        <f>_xlfn.CONCAT(B1230,C1230,D1230,E1230,F1230)</f>
        <v>BC Ibiuna 1.2Inverter(MBUS-14)46073,365277777846073,365277777846073,3694444444</v>
      </c>
      <c r="Q1230" s="1" t="str">
        <f>_xlfn.CONCAT(H1230,I1230,J1230)</f>
        <v>DAURDE</v>
      </c>
    </row>
    <row r="1231" spans="2:17">
      <c r="B1231" s="1" t="s">
        <v>370</v>
      </c>
      <c r="C1231" s="1" t="s">
        <v>307</v>
      </c>
      <c r="D1231" s="52">
        <v>46073.365277777775</v>
      </c>
      <c r="E1231" s="52">
        <v>46073.365277777775</v>
      </c>
      <c r="F1231" s="52">
        <v>46073.369444444441</v>
      </c>
      <c r="G1231" s="53">
        <v>4.1666666666666666E-3</v>
      </c>
      <c r="H1231" s="1" t="s">
        <v>257</v>
      </c>
      <c r="J1231" s="1" t="s">
        <v>258</v>
      </c>
      <c r="K1231" s="1" t="s">
        <v>658</v>
      </c>
      <c r="L1231" s="1" t="s">
        <v>849</v>
      </c>
      <c r="M1231" s="1" t="s">
        <v>260</v>
      </c>
      <c r="N1231" s="1" t="s">
        <v>261</v>
      </c>
      <c r="O1231" s="1" t="s">
        <v>579</v>
      </c>
      <c r="P1231" s="1" t="str">
        <f>_xlfn.CONCAT(B1231,C1231,D1231,E1231,F1231)</f>
        <v>BC Ibiuna 1.2Inverter(MBUS-15)46073,365277777846073,365277777846073,3694444444</v>
      </c>
      <c r="Q1231" s="1" t="str">
        <f>_xlfn.CONCAT(H1231,I1231,J1231)</f>
        <v>DAURDE</v>
      </c>
    </row>
    <row r="1232" spans="2:17">
      <c r="B1232" s="1" t="s">
        <v>393</v>
      </c>
      <c r="C1232" s="1" t="s">
        <v>394</v>
      </c>
      <c r="D1232" s="52">
        <v>46073.416666666664</v>
      </c>
      <c r="E1232" s="52">
        <v>46073.416666666664</v>
      </c>
      <c r="F1232" s="52">
        <v>46073.583333333336</v>
      </c>
      <c r="G1232" s="53">
        <v>0.16666666666666666</v>
      </c>
      <c r="H1232" s="1" t="s">
        <v>677</v>
      </c>
      <c r="J1232" s="1" t="s">
        <v>249</v>
      </c>
      <c r="K1232" s="1" t="s">
        <v>250</v>
      </c>
      <c r="L1232" s="1" t="s">
        <v>846</v>
      </c>
      <c r="M1232" s="1" t="s">
        <v>260</v>
      </c>
      <c r="N1232" s="1" t="s">
        <v>261</v>
      </c>
      <c r="O1232" s="1" t="s">
        <v>579</v>
      </c>
      <c r="P1232" s="1" t="str">
        <f>_xlfn.CONCAT(B1232,C1232,D1232,E1232,F1232)</f>
        <v>BC ParanoaSG60KTL(COM1-014)_001_01346073,416666666746073,416666666746073,5833333333</v>
      </c>
      <c r="Q1232" s="1" t="str">
        <f>_xlfn.CONCAT(H1232,I1232,J1232)</f>
        <v>DPRTRF</v>
      </c>
    </row>
    <row r="1233" spans="2:17">
      <c r="B1233" s="1" t="s">
        <v>393</v>
      </c>
      <c r="C1233" s="1" t="s">
        <v>395</v>
      </c>
      <c r="D1233" s="52">
        <v>46073.416666666664</v>
      </c>
      <c r="E1233" s="52">
        <v>46073.416666666664</v>
      </c>
      <c r="F1233" s="52">
        <v>46073.583333333336</v>
      </c>
      <c r="G1233" s="53">
        <v>0.16666666666666666</v>
      </c>
      <c r="H1233" s="1" t="s">
        <v>677</v>
      </c>
      <c r="J1233" s="1" t="s">
        <v>249</v>
      </c>
      <c r="K1233" s="1" t="s">
        <v>250</v>
      </c>
      <c r="L1233" s="1" t="s">
        <v>846</v>
      </c>
      <c r="M1233" s="1" t="s">
        <v>260</v>
      </c>
      <c r="N1233" s="1" t="s">
        <v>261</v>
      </c>
      <c r="O1233" s="1" t="s">
        <v>579</v>
      </c>
      <c r="P1233" s="1" t="str">
        <f>_xlfn.CONCAT(B1233,C1233,D1233,E1233,F1233)</f>
        <v>BC ParanoaSG60KTL(COM1-013)_001_01046073,416666666746073,416666666746073,5833333333</v>
      </c>
      <c r="Q1233" s="1" t="str">
        <f>_xlfn.CONCAT(H1233,I1233,J1233)</f>
        <v>DPRTRF</v>
      </c>
    </row>
    <row r="1234" spans="2:17">
      <c r="B1234" s="1" t="s">
        <v>393</v>
      </c>
      <c r="C1234" s="1" t="s">
        <v>396</v>
      </c>
      <c r="D1234" s="52">
        <v>46073.416666666664</v>
      </c>
      <c r="E1234" s="52">
        <v>46073.416666666664</v>
      </c>
      <c r="F1234" s="52">
        <v>46073.583333333336</v>
      </c>
      <c r="G1234" s="53">
        <v>0.16666666666666666</v>
      </c>
      <c r="H1234" s="1" t="s">
        <v>677</v>
      </c>
      <c r="J1234" s="1" t="s">
        <v>249</v>
      </c>
      <c r="K1234" s="1" t="s">
        <v>250</v>
      </c>
      <c r="L1234" s="1" t="s">
        <v>846</v>
      </c>
      <c r="M1234" s="1" t="s">
        <v>260</v>
      </c>
      <c r="N1234" s="1" t="s">
        <v>261</v>
      </c>
      <c r="O1234" s="1" t="s">
        <v>579</v>
      </c>
      <c r="P1234" s="1" t="str">
        <f>_xlfn.CONCAT(B1234,C1234,D1234,E1234,F1234)</f>
        <v>BC ParanoaSG60KTL(COM1-012)_001_01146073,416666666746073,416666666746073,5833333333</v>
      </c>
      <c r="Q1234" s="1" t="str">
        <f>_xlfn.CONCAT(H1234,I1234,J1234)</f>
        <v>DPRTRF</v>
      </c>
    </row>
    <row r="1235" spans="2:17">
      <c r="B1235" s="1" t="s">
        <v>393</v>
      </c>
      <c r="C1235" s="1" t="s">
        <v>397</v>
      </c>
      <c r="D1235" s="52">
        <v>46073.416666666664</v>
      </c>
      <c r="E1235" s="52">
        <v>46073.416666666664</v>
      </c>
      <c r="F1235" s="52">
        <v>46073.583333333336</v>
      </c>
      <c r="G1235" s="53">
        <v>0.16666666666666666</v>
      </c>
      <c r="H1235" s="1" t="s">
        <v>677</v>
      </c>
      <c r="J1235" s="1" t="s">
        <v>249</v>
      </c>
      <c r="K1235" s="1" t="s">
        <v>250</v>
      </c>
      <c r="L1235" s="1" t="s">
        <v>846</v>
      </c>
      <c r="M1235" s="1" t="s">
        <v>260</v>
      </c>
      <c r="N1235" s="1" t="s">
        <v>261</v>
      </c>
      <c r="O1235" s="1" t="s">
        <v>579</v>
      </c>
      <c r="P1235" s="1" t="str">
        <f>_xlfn.CONCAT(B1235,C1235,D1235,E1235,F1235)</f>
        <v>BC ParanoaSG60KTL(COM1-011)_001_00546073,416666666746073,416666666746073,5833333333</v>
      </c>
      <c r="Q1235" s="1" t="str">
        <f>_xlfn.CONCAT(H1235,I1235,J1235)</f>
        <v>DPRTRF</v>
      </c>
    </row>
    <row r="1236" spans="2:17">
      <c r="B1236" s="1" t="s">
        <v>393</v>
      </c>
      <c r="C1236" s="1" t="s">
        <v>398</v>
      </c>
      <c r="D1236" s="52">
        <v>46073.416666666664</v>
      </c>
      <c r="E1236" s="52">
        <v>46073.416666666664</v>
      </c>
      <c r="F1236" s="52">
        <v>46073.583333333336</v>
      </c>
      <c r="G1236" s="53">
        <v>0.16666666666666666</v>
      </c>
      <c r="H1236" s="1" t="s">
        <v>677</v>
      </c>
      <c r="J1236" s="1" t="s">
        <v>249</v>
      </c>
      <c r="K1236" s="1" t="s">
        <v>250</v>
      </c>
      <c r="L1236" s="1" t="s">
        <v>846</v>
      </c>
      <c r="M1236" s="1" t="s">
        <v>260</v>
      </c>
      <c r="N1236" s="1" t="s">
        <v>261</v>
      </c>
      <c r="O1236" s="1" t="s">
        <v>579</v>
      </c>
      <c r="P1236" s="1" t="str">
        <f>_xlfn.CONCAT(B1236,C1236,D1236,E1236,F1236)</f>
        <v>BC ParanoaSG60KTL(COM1-010)_001_00346073,416666666746073,416666666746073,5833333333</v>
      </c>
      <c r="Q1236" s="1" t="str">
        <f>_xlfn.CONCAT(H1236,I1236,J1236)</f>
        <v>DPRTRF</v>
      </c>
    </row>
    <row r="1237" spans="2:17">
      <c r="B1237" s="1" t="s">
        <v>393</v>
      </c>
      <c r="C1237" s="1" t="s">
        <v>399</v>
      </c>
      <c r="D1237" s="52">
        <v>46073.416666666664</v>
      </c>
      <c r="E1237" s="52">
        <v>46073.416666666664</v>
      </c>
      <c r="F1237" s="52">
        <v>46073.583333333336</v>
      </c>
      <c r="G1237" s="53">
        <v>0.16666666666666666</v>
      </c>
      <c r="H1237" s="1" t="s">
        <v>677</v>
      </c>
      <c r="J1237" s="1" t="s">
        <v>249</v>
      </c>
      <c r="K1237" s="1" t="s">
        <v>250</v>
      </c>
      <c r="L1237" s="1" t="s">
        <v>846</v>
      </c>
      <c r="M1237" s="1" t="s">
        <v>260</v>
      </c>
      <c r="N1237" s="1" t="s">
        <v>261</v>
      </c>
      <c r="O1237" s="1" t="s">
        <v>579</v>
      </c>
      <c r="P1237" s="1" t="str">
        <f>_xlfn.CONCAT(B1237,C1237,D1237,E1237,F1237)</f>
        <v>BC ParanoaSG60KTL(COM1-018)_001_01246073,416666666746073,416666666746073,5833333333</v>
      </c>
      <c r="Q1237" s="1" t="str">
        <f>_xlfn.CONCAT(H1237,I1237,J1237)</f>
        <v>DPRTRF</v>
      </c>
    </row>
    <row r="1238" spans="2:17">
      <c r="B1238" s="1" t="s">
        <v>393</v>
      </c>
      <c r="C1238" s="1" t="s">
        <v>400</v>
      </c>
      <c r="D1238" s="52">
        <v>46073.416666666664</v>
      </c>
      <c r="E1238" s="52">
        <v>46073.416666666664</v>
      </c>
      <c r="F1238" s="52">
        <v>46073.583333333336</v>
      </c>
      <c r="G1238" s="53">
        <v>0.16666666666666666</v>
      </c>
      <c r="H1238" s="1" t="s">
        <v>677</v>
      </c>
      <c r="J1238" s="1" t="s">
        <v>249</v>
      </c>
      <c r="K1238" s="1" t="s">
        <v>250</v>
      </c>
      <c r="L1238" s="1" t="s">
        <v>846</v>
      </c>
      <c r="M1238" s="1" t="s">
        <v>260</v>
      </c>
      <c r="N1238" s="1" t="s">
        <v>261</v>
      </c>
      <c r="O1238" s="1" t="s">
        <v>579</v>
      </c>
      <c r="P1238" s="1" t="str">
        <f>_xlfn.CONCAT(B1238,C1238,D1238,E1238,F1238)</f>
        <v>BC ParanoaSG60KTL(COM1-017)_001_00746073,416666666746073,416666666746073,5833333333</v>
      </c>
      <c r="Q1238" s="1" t="str">
        <f>_xlfn.CONCAT(H1238,I1238,J1238)</f>
        <v>DPRTRF</v>
      </c>
    </row>
    <row r="1239" spans="2:17">
      <c r="B1239" s="1" t="s">
        <v>393</v>
      </c>
      <c r="C1239" s="1" t="s">
        <v>401</v>
      </c>
      <c r="D1239" s="52">
        <v>46073.416666666664</v>
      </c>
      <c r="E1239" s="52">
        <v>46073.416666666664</v>
      </c>
      <c r="F1239" s="52">
        <v>46073.583333333336</v>
      </c>
      <c r="G1239" s="53">
        <v>0.16666666666666666</v>
      </c>
      <c r="H1239" s="1" t="s">
        <v>677</v>
      </c>
      <c r="J1239" s="1" t="s">
        <v>249</v>
      </c>
      <c r="K1239" s="1" t="s">
        <v>250</v>
      </c>
      <c r="L1239" s="1" t="s">
        <v>846</v>
      </c>
      <c r="M1239" s="1" t="s">
        <v>260</v>
      </c>
      <c r="N1239" s="1" t="s">
        <v>261</v>
      </c>
      <c r="O1239" s="1" t="s">
        <v>579</v>
      </c>
      <c r="P1239" s="1" t="str">
        <f>_xlfn.CONCAT(B1239,C1239,D1239,E1239,F1239)</f>
        <v>BC ParanoaSG60KTL(COM1-016)_001_00646073,416666666746073,416666666746073,5833333333</v>
      </c>
      <c r="Q1239" s="1" t="str">
        <f>_xlfn.CONCAT(H1239,I1239,J1239)</f>
        <v>DPRTRF</v>
      </c>
    </row>
    <row r="1240" spans="2:17">
      <c r="B1240" s="1" t="s">
        <v>393</v>
      </c>
      <c r="C1240" s="1" t="s">
        <v>402</v>
      </c>
      <c r="D1240" s="52">
        <v>46073.416666666664</v>
      </c>
      <c r="E1240" s="52">
        <v>46073.416666666664</v>
      </c>
      <c r="F1240" s="52">
        <v>46073.583333333336</v>
      </c>
      <c r="G1240" s="53">
        <v>0.16666666666666666</v>
      </c>
      <c r="H1240" s="1" t="s">
        <v>677</v>
      </c>
      <c r="J1240" s="1" t="s">
        <v>249</v>
      </c>
      <c r="K1240" s="1" t="s">
        <v>250</v>
      </c>
      <c r="L1240" s="1" t="s">
        <v>846</v>
      </c>
      <c r="M1240" s="1" t="s">
        <v>260</v>
      </c>
      <c r="N1240" s="1" t="s">
        <v>261</v>
      </c>
      <c r="O1240" s="1" t="s">
        <v>579</v>
      </c>
      <c r="P1240" s="1" t="str">
        <f>_xlfn.CONCAT(B1240,C1240,D1240,E1240,F1240)</f>
        <v>BC ParanoaSG50CX(COM2-015)_001_01746073,416666666746073,416666666746073,5833333333</v>
      </c>
      <c r="Q1240" s="1" t="str">
        <f>_xlfn.CONCAT(H1240,I1240,J1240)</f>
        <v>DPRTRF</v>
      </c>
    </row>
    <row r="1241" spans="2:17">
      <c r="B1241" s="1" t="s">
        <v>442</v>
      </c>
      <c r="C1241" s="1" t="s">
        <v>264</v>
      </c>
      <c r="D1241" s="52">
        <v>46074.215277777781</v>
      </c>
      <c r="E1241" s="52">
        <v>46074.215277777781</v>
      </c>
      <c r="F1241" s="52">
        <v>46074.559027777781</v>
      </c>
      <c r="G1241" s="53">
        <v>0.34375</v>
      </c>
      <c r="H1241" s="1" t="s">
        <v>797</v>
      </c>
      <c r="J1241" s="1" t="s">
        <v>230</v>
      </c>
      <c r="K1241" s="1" t="s">
        <v>230</v>
      </c>
      <c r="L1241" s="1" t="s">
        <v>850</v>
      </c>
      <c r="M1241" s="1" t="s">
        <v>260</v>
      </c>
      <c r="N1241" s="1" t="s">
        <v>261</v>
      </c>
      <c r="O1241" s="1" t="s">
        <v>579</v>
      </c>
      <c r="P1241" s="1" t="str">
        <f>_xlfn.CONCAT(B1241,C1241,D1241,E1241,F1241)</f>
        <v>BC Lencois PaulistaInverter(MBUS-13)46074,215277777846074,215277777846074,5590277778</v>
      </c>
      <c r="Q1241" s="1" t="str">
        <f>_xlfn.CONCAT(H1241,I1241,J1241)</f>
        <v>DURUFV</v>
      </c>
    </row>
    <row r="1242" spans="2:17">
      <c r="D1242" s="52">
        <v>46074.215277777781</v>
      </c>
      <c r="F1242" s="52">
        <v>46074.559027777781</v>
      </c>
      <c r="G1242" s="53" t="s">
        <v>851</v>
      </c>
      <c r="M1242" s="1" t="s">
        <v>260</v>
      </c>
      <c r="N1242" s="1" t="s">
        <v>261</v>
      </c>
      <c r="O1242" s="1" t="s">
        <v>579</v>
      </c>
      <c r="P1242" s="1" t="str">
        <f>_xlfn.CONCAT(B1242,C1242,D1242,E1242,F1242)</f>
        <v>46074,215277777846074,5590277778</v>
      </c>
      <c r="Q1242" s="1" t="str">
        <f>_xlfn.CONCAT(H1242,I1242,J1242)</f>
        <v/>
      </c>
    </row>
    <row r="1243" spans="2:17">
      <c r="B1243" s="1" t="s">
        <v>442</v>
      </c>
      <c r="C1243" s="1" t="s">
        <v>263</v>
      </c>
      <c r="D1243" s="52">
        <v>46074.215277777781</v>
      </c>
      <c r="E1243" s="52">
        <v>46074.215277777781</v>
      </c>
      <c r="F1243" s="52">
        <v>46081.999305555553</v>
      </c>
      <c r="G1243" s="53">
        <v>7.7847106481481481</v>
      </c>
      <c r="H1243" s="1" t="s">
        <v>797</v>
      </c>
      <c r="J1243" s="1" t="s">
        <v>230</v>
      </c>
      <c r="K1243" s="1" t="s">
        <v>230</v>
      </c>
      <c r="L1243" s="1" t="s">
        <v>850</v>
      </c>
      <c r="M1243" s="1" t="s">
        <v>260</v>
      </c>
      <c r="N1243" s="1" t="s">
        <v>261</v>
      </c>
      <c r="O1243" s="1" t="s">
        <v>579</v>
      </c>
      <c r="P1243" s="1" t="str">
        <f>_xlfn.CONCAT(B1243,C1243,D1243,E1243,F1243)</f>
        <v>BC Lencois PaulistaInverter(MBUS-14)46074,215277777846074,215277777846081,9993055556</v>
      </c>
      <c r="Q1243" s="1" t="str">
        <f>_xlfn.CONCAT(H1243,I1243,J1243)</f>
        <v>DURUFV</v>
      </c>
    </row>
    <row r="1244" spans="2:17">
      <c r="D1244" s="52">
        <v>46074.215277777781</v>
      </c>
      <c r="F1244" s="52">
        <v>46081.999305555553</v>
      </c>
      <c r="G1244" s="53" t="s">
        <v>852</v>
      </c>
      <c r="M1244" s="1" t="s">
        <v>260</v>
      </c>
      <c r="N1244" s="1" t="s">
        <v>261</v>
      </c>
      <c r="O1244" s="1" t="s">
        <v>579</v>
      </c>
      <c r="P1244" s="1" t="str">
        <f>_xlfn.CONCAT(B1244,C1244,D1244,E1244,F1244)</f>
        <v>46074,215277777846081,9993055556</v>
      </c>
      <c r="Q1244" s="1" t="str">
        <f>_xlfn.CONCAT(H1244,I1244,J1244)</f>
        <v/>
      </c>
    </row>
    <row r="1245" spans="2:17">
      <c r="B1245" s="1" t="s">
        <v>442</v>
      </c>
      <c r="C1245" s="1" t="s">
        <v>256</v>
      </c>
      <c r="D1245" s="52">
        <v>46074.215277777781</v>
      </c>
      <c r="E1245" s="52">
        <v>46074.215277777781</v>
      </c>
      <c r="F1245" s="52">
        <v>46081.999305555553</v>
      </c>
      <c r="G1245" s="53">
        <v>7.7847106481481481</v>
      </c>
      <c r="H1245" s="1" t="s">
        <v>797</v>
      </c>
      <c r="J1245" s="1" t="s">
        <v>230</v>
      </c>
      <c r="K1245" s="1" t="s">
        <v>230</v>
      </c>
      <c r="L1245" s="1" t="s">
        <v>850</v>
      </c>
      <c r="M1245" s="1" t="s">
        <v>260</v>
      </c>
      <c r="N1245" s="1" t="s">
        <v>261</v>
      </c>
      <c r="O1245" s="1" t="s">
        <v>579</v>
      </c>
      <c r="P1245" s="1" t="str">
        <f>_xlfn.CONCAT(B1245,C1245,D1245,E1245,F1245)</f>
        <v>BC Lencois PaulistaInverter(MBUS-12)46074,215277777846074,215277777846081,9993055556</v>
      </c>
      <c r="Q1245" s="1" t="str">
        <f>_xlfn.CONCAT(H1245,I1245,J1245)</f>
        <v>DURUFV</v>
      </c>
    </row>
    <row r="1246" spans="2:17">
      <c r="D1246" s="52">
        <v>46074.215277777781</v>
      </c>
      <c r="F1246" s="52">
        <v>46081.999305555553</v>
      </c>
      <c r="G1246" s="53" t="s">
        <v>852</v>
      </c>
      <c r="M1246" s="1" t="s">
        <v>260</v>
      </c>
      <c r="N1246" s="1" t="s">
        <v>261</v>
      </c>
      <c r="O1246" s="1" t="s">
        <v>579</v>
      </c>
      <c r="P1246" s="1" t="str">
        <f>_xlfn.CONCAT(B1246,C1246,D1246,E1246,F1246)</f>
        <v>46074,215277777846081,9993055556</v>
      </c>
      <c r="Q1246" s="1" t="str">
        <f>_xlfn.CONCAT(H1246,I1246,J1246)</f>
        <v/>
      </c>
    </row>
    <row r="1247" spans="2:17">
      <c r="B1247" s="1" t="s">
        <v>442</v>
      </c>
      <c r="C1247" s="1" t="s">
        <v>307</v>
      </c>
      <c r="D1247" s="52">
        <v>46074.215277777781</v>
      </c>
      <c r="E1247" s="52">
        <v>46074.215277777781</v>
      </c>
      <c r="F1247" s="52">
        <v>46081.999305555553</v>
      </c>
      <c r="G1247" s="53">
        <v>7.7847106481481481</v>
      </c>
      <c r="H1247" s="1" t="s">
        <v>797</v>
      </c>
      <c r="J1247" s="1" t="s">
        <v>230</v>
      </c>
      <c r="K1247" s="1" t="s">
        <v>230</v>
      </c>
      <c r="L1247" s="1" t="s">
        <v>850</v>
      </c>
      <c r="M1247" s="1" t="s">
        <v>260</v>
      </c>
      <c r="N1247" s="1" t="s">
        <v>261</v>
      </c>
      <c r="O1247" s="1" t="s">
        <v>579</v>
      </c>
      <c r="P1247" s="1" t="str">
        <f>_xlfn.CONCAT(B1247,C1247,D1247,E1247,F1247)</f>
        <v>BC Lencois PaulistaInverter(MBUS-15)46074,215277777846074,215277777846081,9993055556</v>
      </c>
      <c r="Q1247" s="1" t="str">
        <f>_xlfn.CONCAT(H1247,I1247,J1247)</f>
        <v>DURUFV</v>
      </c>
    </row>
    <row r="1248" spans="2:17">
      <c r="D1248" s="52">
        <v>46074.215277777781</v>
      </c>
      <c r="F1248" s="52">
        <v>46081.999305555553</v>
      </c>
      <c r="G1248" s="53" t="s">
        <v>852</v>
      </c>
      <c r="M1248" s="1" t="s">
        <v>260</v>
      </c>
      <c r="N1248" s="1" t="s">
        <v>261</v>
      </c>
      <c r="O1248" s="1" t="s">
        <v>579</v>
      </c>
      <c r="P1248" s="1" t="str">
        <f>_xlfn.CONCAT(B1248,C1248,D1248,E1248,F1248)</f>
        <v>46074,215277777846081,9993055556</v>
      </c>
      <c r="Q1248" s="1" t="str">
        <f>_xlfn.CONCAT(H1248,I1248,J1248)</f>
        <v/>
      </c>
    </row>
    <row r="1249" spans="2:17">
      <c r="B1249" s="1" t="s">
        <v>700</v>
      </c>
      <c r="C1249" s="1" t="s">
        <v>307</v>
      </c>
      <c r="D1249" s="52">
        <v>46073.604166666664</v>
      </c>
      <c r="E1249" s="52">
        <v>46073.604166666664</v>
      </c>
      <c r="F1249" s="52">
        <v>46073.614583333336</v>
      </c>
      <c r="G1249" s="53">
        <v>1.0416666666666666E-2</v>
      </c>
      <c r="H1249" s="1" t="s">
        <v>677</v>
      </c>
      <c r="J1249" s="1" t="s">
        <v>371</v>
      </c>
      <c r="K1249" s="1" t="s">
        <v>653</v>
      </c>
      <c r="L1249" s="1" t="s">
        <v>853</v>
      </c>
      <c r="M1249" s="1" t="s">
        <v>260</v>
      </c>
      <c r="N1249" s="1" t="s">
        <v>261</v>
      </c>
      <c r="O1249" s="1" t="s">
        <v>579</v>
      </c>
      <c r="P1249" s="1" t="str">
        <f>_xlfn.CONCAT(B1249,C1249,D1249,E1249,F1249)</f>
        <v>BC Turvania1.2Inverter(MBUS-15)46073,604166666746073,604166666746073,6145833333</v>
      </c>
      <c r="Q1249" s="1" t="str">
        <f>_xlfn.CONCAT(H1249,I1249,J1249)</f>
        <v>DPRINV</v>
      </c>
    </row>
    <row r="1250" spans="2:17">
      <c r="B1250" s="1" t="s">
        <v>456</v>
      </c>
      <c r="C1250" s="1" t="s">
        <v>457</v>
      </c>
      <c r="D1250" s="52">
        <v>46074.3125</v>
      </c>
      <c r="E1250" s="52">
        <v>46074.3125</v>
      </c>
      <c r="F1250" s="52">
        <v>46074.413194444445</v>
      </c>
      <c r="G1250" s="53">
        <v>0.10069444444444445</v>
      </c>
      <c r="H1250" s="1" t="s">
        <v>257</v>
      </c>
      <c r="J1250" s="1" t="s">
        <v>258</v>
      </c>
      <c r="K1250" s="1" t="s">
        <v>658</v>
      </c>
      <c r="L1250" s="1" t="s">
        <v>854</v>
      </c>
      <c r="M1250" s="1" t="s">
        <v>260</v>
      </c>
      <c r="N1250" s="1" t="s">
        <v>261</v>
      </c>
      <c r="O1250" s="1" t="s">
        <v>579</v>
      </c>
      <c r="P1250" s="1" t="str">
        <f>_xlfn.CONCAT(B1250,C1250,D1250,E1250,F1250)</f>
        <v>BC Caiaponia1SG60KTL(COM1-001)_001_00746074,312546074,312546074,4131944444</v>
      </c>
      <c r="Q1250" s="1" t="str">
        <f>_xlfn.CONCAT(H1250,I1250,J1250)</f>
        <v>DAURDE</v>
      </c>
    </row>
    <row r="1251" spans="2:17">
      <c r="B1251" s="1" t="s">
        <v>456</v>
      </c>
      <c r="C1251" s="1" t="s">
        <v>459</v>
      </c>
      <c r="D1251" s="52">
        <v>46074.3125</v>
      </c>
      <c r="E1251" s="52">
        <v>46074.3125</v>
      </c>
      <c r="F1251" s="52">
        <v>46074.413194444445</v>
      </c>
      <c r="G1251" s="53">
        <v>0.10069444444444445</v>
      </c>
      <c r="H1251" s="1" t="s">
        <v>257</v>
      </c>
      <c r="J1251" s="1" t="s">
        <v>258</v>
      </c>
      <c r="K1251" s="1" t="s">
        <v>658</v>
      </c>
      <c r="L1251" s="1" t="s">
        <v>854</v>
      </c>
      <c r="M1251" s="1" t="s">
        <v>260</v>
      </c>
      <c r="N1251" s="1" t="s">
        <v>261</v>
      </c>
      <c r="O1251" s="1" t="s">
        <v>579</v>
      </c>
      <c r="P1251" s="1" t="str">
        <f>_xlfn.CONCAT(B1251,C1251,D1251,E1251,F1251)</f>
        <v>BC Caiaponia1SG60KTL(COM1-002)_001_01046074,312546074,312546074,4131944444</v>
      </c>
      <c r="Q1251" s="1" t="str">
        <f>_xlfn.CONCAT(H1251,I1251,J1251)</f>
        <v>DAURDE</v>
      </c>
    </row>
    <row r="1252" spans="2:17">
      <c r="B1252" s="1" t="s">
        <v>456</v>
      </c>
      <c r="C1252" s="1" t="s">
        <v>460</v>
      </c>
      <c r="D1252" s="52">
        <v>46074.3125</v>
      </c>
      <c r="E1252" s="52">
        <v>46074.3125</v>
      </c>
      <c r="F1252" s="52">
        <v>46074.413194444445</v>
      </c>
      <c r="G1252" s="53">
        <v>0.10069444444444445</v>
      </c>
      <c r="H1252" s="1" t="s">
        <v>257</v>
      </c>
      <c r="J1252" s="1" t="s">
        <v>258</v>
      </c>
      <c r="K1252" s="1" t="s">
        <v>658</v>
      </c>
      <c r="L1252" s="1" t="s">
        <v>854</v>
      </c>
      <c r="M1252" s="1" t="s">
        <v>260</v>
      </c>
      <c r="N1252" s="1" t="s">
        <v>261</v>
      </c>
      <c r="O1252" s="1" t="s">
        <v>579</v>
      </c>
      <c r="P1252" s="1" t="str">
        <f>_xlfn.CONCAT(B1252,C1252,D1252,E1252,F1252)</f>
        <v>BC Caiaponia1SG60KTL(COM1-003)_001_01146074,312546074,312546074,4131944444</v>
      </c>
      <c r="Q1252" s="1" t="str">
        <f>_xlfn.CONCAT(H1252,I1252,J1252)</f>
        <v>DAURDE</v>
      </c>
    </row>
    <row r="1253" spans="2:17">
      <c r="B1253" s="1" t="s">
        <v>456</v>
      </c>
      <c r="C1253" s="1" t="s">
        <v>461</v>
      </c>
      <c r="D1253" s="52">
        <v>46074.3125</v>
      </c>
      <c r="E1253" s="52">
        <v>46074.3125</v>
      </c>
      <c r="F1253" s="52">
        <v>46074.413194444445</v>
      </c>
      <c r="G1253" s="53">
        <v>0.10069444444444445</v>
      </c>
      <c r="H1253" s="1" t="s">
        <v>257</v>
      </c>
      <c r="J1253" s="1" t="s">
        <v>258</v>
      </c>
      <c r="K1253" s="1" t="s">
        <v>658</v>
      </c>
      <c r="L1253" s="1" t="s">
        <v>854</v>
      </c>
      <c r="M1253" s="1" t="s">
        <v>260</v>
      </c>
      <c r="N1253" s="1" t="s">
        <v>261</v>
      </c>
      <c r="O1253" s="1" t="s">
        <v>579</v>
      </c>
      <c r="P1253" s="1" t="str">
        <f>_xlfn.CONCAT(B1253,C1253,D1253,E1253,F1253)</f>
        <v>BC Caiaponia1SG60KTL(COM1-004)_001_01446074,312546074,312546074,4131944444</v>
      </c>
      <c r="Q1253" s="1" t="str">
        <f>_xlfn.CONCAT(H1253,I1253,J1253)</f>
        <v>DAURDE</v>
      </c>
    </row>
    <row r="1254" spans="2:17">
      <c r="B1254" s="1" t="s">
        <v>456</v>
      </c>
      <c r="C1254" s="1" t="s">
        <v>462</v>
      </c>
      <c r="D1254" s="52">
        <v>46074.3125</v>
      </c>
      <c r="E1254" s="52">
        <v>46074.3125</v>
      </c>
      <c r="F1254" s="52">
        <v>46074.413194444445</v>
      </c>
      <c r="G1254" s="53">
        <v>0.10069444444444445</v>
      </c>
      <c r="H1254" s="1" t="s">
        <v>257</v>
      </c>
      <c r="J1254" s="1" t="s">
        <v>258</v>
      </c>
      <c r="K1254" s="1" t="s">
        <v>658</v>
      </c>
      <c r="L1254" s="1" t="s">
        <v>854</v>
      </c>
      <c r="M1254" s="1" t="s">
        <v>260</v>
      </c>
      <c r="N1254" s="1" t="s">
        <v>261</v>
      </c>
      <c r="O1254" s="1" t="s">
        <v>579</v>
      </c>
      <c r="P1254" s="1" t="str">
        <f>_xlfn.CONCAT(B1254,C1254,D1254,E1254,F1254)</f>
        <v>BC Caiaponia1SG60KTL(COM1-005)_001_01746074,312546074,312546074,4131944444</v>
      </c>
      <c r="Q1254" s="1" t="str">
        <f>_xlfn.CONCAT(H1254,I1254,J1254)</f>
        <v>DAURDE</v>
      </c>
    </row>
    <row r="1255" spans="2:17">
      <c r="B1255" s="1" t="s">
        <v>456</v>
      </c>
      <c r="C1255" s="1" t="s">
        <v>463</v>
      </c>
      <c r="D1255" s="52">
        <v>46074.3125</v>
      </c>
      <c r="E1255" s="52">
        <v>46074.3125</v>
      </c>
      <c r="F1255" s="52">
        <v>46074.413194444445</v>
      </c>
      <c r="G1255" s="53">
        <v>0.10069444444444445</v>
      </c>
      <c r="H1255" s="1" t="s">
        <v>257</v>
      </c>
      <c r="J1255" s="1" t="s">
        <v>258</v>
      </c>
      <c r="K1255" s="1" t="s">
        <v>658</v>
      </c>
      <c r="L1255" s="1" t="s">
        <v>854</v>
      </c>
      <c r="M1255" s="1" t="s">
        <v>260</v>
      </c>
      <c r="N1255" s="1" t="s">
        <v>261</v>
      </c>
      <c r="O1255" s="1" t="s">
        <v>579</v>
      </c>
      <c r="P1255" s="1" t="str">
        <f>_xlfn.CONCAT(B1255,C1255,D1255,E1255,F1255)</f>
        <v>BC Caiaponia1SG60KTL(COM1-006)_001_01646074,312546074,312546074,4131944444</v>
      </c>
      <c r="Q1255" s="1" t="str">
        <f>_xlfn.CONCAT(H1255,I1255,J1255)</f>
        <v>DAURDE</v>
      </c>
    </row>
    <row r="1256" spans="2:17">
      <c r="B1256" s="1" t="s">
        <v>456</v>
      </c>
      <c r="C1256" s="1" t="s">
        <v>464</v>
      </c>
      <c r="D1256" s="52">
        <v>46074.3125</v>
      </c>
      <c r="E1256" s="52">
        <v>46074.3125</v>
      </c>
      <c r="F1256" s="52">
        <v>46074.413194444445</v>
      </c>
      <c r="G1256" s="53">
        <v>0.10069444444444445</v>
      </c>
      <c r="H1256" s="1" t="s">
        <v>257</v>
      </c>
      <c r="J1256" s="1" t="s">
        <v>258</v>
      </c>
      <c r="K1256" s="1" t="s">
        <v>658</v>
      </c>
      <c r="L1256" s="1" t="s">
        <v>854</v>
      </c>
      <c r="M1256" s="1" t="s">
        <v>260</v>
      </c>
      <c r="N1256" s="1" t="s">
        <v>261</v>
      </c>
      <c r="O1256" s="1" t="s">
        <v>579</v>
      </c>
      <c r="P1256" s="1" t="str">
        <f>_xlfn.CONCAT(B1256,C1256,D1256,E1256,F1256)</f>
        <v>BC Caiaponia1SG60KTL(COM1-007)_001_01346074,312546074,312546074,4131944444</v>
      </c>
      <c r="Q1256" s="1" t="str">
        <f>_xlfn.CONCAT(H1256,I1256,J1256)</f>
        <v>DAURDE</v>
      </c>
    </row>
    <row r="1257" spans="2:17">
      <c r="B1257" s="1" t="s">
        <v>456</v>
      </c>
      <c r="C1257" s="1" t="s">
        <v>465</v>
      </c>
      <c r="D1257" s="52">
        <v>46074.3125</v>
      </c>
      <c r="E1257" s="52">
        <v>46074.3125</v>
      </c>
      <c r="F1257" s="52">
        <v>46074.413194444445</v>
      </c>
      <c r="G1257" s="53">
        <v>0.10069444444444445</v>
      </c>
      <c r="H1257" s="1" t="s">
        <v>257</v>
      </c>
      <c r="J1257" s="1" t="s">
        <v>258</v>
      </c>
      <c r="K1257" s="1" t="s">
        <v>658</v>
      </c>
      <c r="L1257" s="1" t="s">
        <v>854</v>
      </c>
      <c r="M1257" s="1" t="s">
        <v>260</v>
      </c>
      <c r="N1257" s="1" t="s">
        <v>261</v>
      </c>
      <c r="O1257" s="1" t="s">
        <v>587</v>
      </c>
      <c r="P1257" s="1" t="str">
        <f>_xlfn.CONCAT(B1257,C1257,D1257,E1257,F1257)</f>
        <v>BC Caiaponia1SG60KTL(COM1-008)_001_00146074,312546074,312546074,4131944444</v>
      </c>
      <c r="Q1257" s="1" t="str">
        <f>_xlfn.CONCAT(H1257,I1257,J1257)</f>
        <v>DAURDE</v>
      </c>
    </row>
    <row r="1258" spans="2:17">
      <c r="B1258" s="1" t="s">
        <v>456</v>
      </c>
      <c r="C1258" s="1" t="s">
        <v>466</v>
      </c>
      <c r="D1258" s="52">
        <v>46074.3125</v>
      </c>
      <c r="E1258" s="52">
        <v>46074.3125</v>
      </c>
      <c r="F1258" s="52">
        <v>46074.413194444445</v>
      </c>
      <c r="G1258" s="53">
        <v>0.10069444444444445</v>
      </c>
      <c r="H1258" s="1" t="s">
        <v>257</v>
      </c>
      <c r="J1258" s="1" t="s">
        <v>258</v>
      </c>
      <c r="K1258" s="1" t="s">
        <v>658</v>
      </c>
      <c r="L1258" s="1" t="s">
        <v>854</v>
      </c>
      <c r="M1258" s="1" t="s">
        <v>260</v>
      </c>
      <c r="N1258" s="1" t="s">
        <v>261</v>
      </c>
      <c r="O1258" s="1" t="s">
        <v>587</v>
      </c>
      <c r="P1258" s="1" t="str">
        <f>_xlfn.CONCAT(B1258,C1258,D1258,E1258,F1258)</f>
        <v>BC Caiaponia1SG60KTL(COM1-009)46074,312546074,312546074,4131944444</v>
      </c>
      <c r="Q1258" s="1" t="str">
        <f>_xlfn.CONCAT(H1258,I1258,J1258)</f>
        <v>DAURDE</v>
      </c>
    </row>
    <row r="1259" spans="2:17">
      <c r="B1259" s="1" t="s">
        <v>456</v>
      </c>
      <c r="C1259" s="1" t="s">
        <v>467</v>
      </c>
      <c r="D1259" s="52">
        <v>46074.3125</v>
      </c>
      <c r="E1259" s="52">
        <v>46074.3125</v>
      </c>
      <c r="F1259" s="52">
        <v>46074.413194444445</v>
      </c>
      <c r="G1259" s="53">
        <v>0.10069444444444445</v>
      </c>
      <c r="H1259" s="1" t="s">
        <v>257</v>
      </c>
      <c r="J1259" s="1" t="s">
        <v>258</v>
      </c>
      <c r="K1259" s="1" t="s">
        <v>658</v>
      </c>
      <c r="L1259" s="1" t="s">
        <v>854</v>
      </c>
      <c r="M1259" s="1" t="s">
        <v>260</v>
      </c>
      <c r="N1259" s="1" t="s">
        <v>261</v>
      </c>
      <c r="O1259" s="1" t="s">
        <v>587</v>
      </c>
      <c r="P1259" s="1" t="str">
        <f>_xlfn.CONCAT(B1259,C1259,D1259,E1259,F1259)</f>
        <v>BC Caiaponia1SG60KTL(COM1-010)46074,312546074,312546074,4131944444</v>
      </c>
      <c r="Q1259" s="1" t="str">
        <f>_xlfn.CONCAT(H1259,I1259,J1259)</f>
        <v>DAURDE</v>
      </c>
    </row>
    <row r="1260" spans="2:17">
      <c r="B1260" s="1" t="s">
        <v>456</v>
      </c>
      <c r="C1260" s="1" t="s">
        <v>468</v>
      </c>
      <c r="D1260" s="52">
        <v>46074.3125</v>
      </c>
      <c r="E1260" s="52">
        <v>46074.3125</v>
      </c>
      <c r="F1260" s="52">
        <v>46074.413194444445</v>
      </c>
      <c r="G1260" s="53">
        <v>0.10069444444444445</v>
      </c>
      <c r="H1260" s="1" t="s">
        <v>257</v>
      </c>
      <c r="J1260" s="1" t="s">
        <v>258</v>
      </c>
      <c r="K1260" s="1" t="s">
        <v>658</v>
      </c>
      <c r="L1260" s="1" t="s">
        <v>854</v>
      </c>
      <c r="M1260" s="1" t="s">
        <v>260</v>
      </c>
      <c r="N1260" s="1" t="s">
        <v>261</v>
      </c>
      <c r="O1260" s="1" t="s">
        <v>587</v>
      </c>
      <c r="P1260" s="1" t="str">
        <f>_xlfn.CONCAT(B1260,C1260,D1260,E1260,F1260)</f>
        <v>BC Caiaponia1SG60KTL(COM1-011)46074,312546074,312546074,4131944444</v>
      </c>
      <c r="Q1260" s="1" t="str">
        <f>_xlfn.CONCAT(H1260,I1260,J1260)</f>
        <v>DAURDE</v>
      </c>
    </row>
    <row r="1261" spans="2:17">
      <c r="B1261" s="1" t="s">
        <v>456</v>
      </c>
      <c r="C1261" s="1" t="s">
        <v>469</v>
      </c>
      <c r="D1261" s="52">
        <v>46074.3125</v>
      </c>
      <c r="E1261" s="52">
        <v>46074.3125</v>
      </c>
      <c r="F1261" s="52">
        <v>46074.413194444445</v>
      </c>
      <c r="G1261" s="53">
        <v>0.10069444444444445</v>
      </c>
      <c r="H1261" s="1" t="s">
        <v>257</v>
      </c>
      <c r="J1261" s="1" t="s">
        <v>258</v>
      </c>
      <c r="K1261" s="1" t="s">
        <v>658</v>
      </c>
      <c r="L1261" s="1" t="s">
        <v>854</v>
      </c>
      <c r="M1261" s="1" t="s">
        <v>260</v>
      </c>
      <c r="N1261" s="1" t="s">
        <v>261</v>
      </c>
      <c r="O1261" s="1" t="s">
        <v>587</v>
      </c>
      <c r="P1261" s="1" t="str">
        <f>_xlfn.CONCAT(B1261,C1261,D1261,E1261,F1261)</f>
        <v>BC Caiaponia1SG60KTL(COM1-012)46074,312546074,312546074,4131944444</v>
      </c>
      <c r="Q1261" s="1" t="str">
        <f>_xlfn.CONCAT(H1261,I1261,J1261)</f>
        <v>DAURDE</v>
      </c>
    </row>
    <row r="1262" spans="2:17">
      <c r="B1262" s="1" t="s">
        <v>456</v>
      </c>
      <c r="C1262" s="1" t="s">
        <v>470</v>
      </c>
      <c r="D1262" s="52">
        <v>46074.3125</v>
      </c>
      <c r="E1262" s="52">
        <v>46074.3125</v>
      </c>
      <c r="F1262" s="52">
        <v>46074.413194444445</v>
      </c>
      <c r="G1262" s="53">
        <v>0.10069444444444445</v>
      </c>
      <c r="H1262" s="1" t="s">
        <v>257</v>
      </c>
      <c r="J1262" s="1" t="s">
        <v>258</v>
      </c>
      <c r="K1262" s="1" t="s">
        <v>658</v>
      </c>
      <c r="L1262" s="1" t="s">
        <v>854</v>
      </c>
      <c r="M1262" s="1" t="s">
        <v>260</v>
      </c>
      <c r="N1262" s="1" t="s">
        <v>261</v>
      </c>
      <c r="O1262" s="1" t="s">
        <v>587</v>
      </c>
      <c r="P1262" s="1" t="str">
        <f>_xlfn.CONCAT(B1262,C1262,D1262,E1262,F1262)</f>
        <v>BC Caiaponia1SG60KTL(COM1-013)46074,312546074,312546074,4131944444</v>
      </c>
      <c r="Q1262" s="1" t="str">
        <f>_xlfn.CONCAT(H1262,I1262,J1262)</f>
        <v>DAURDE</v>
      </c>
    </row>
    <row r="1263" spans="2:17">
      <c r="B1263" s="1" t="s">
        <v>456</v>
      </c>
      <c r="C1263" s="1" t="s">
        <v>471</v>
      </c>
      <c r="D1263" s="52">
        <v>46074.3125</v>
      </c>
      <c r="E1263" s="52">
        <v>46074.3125</v>
      </c>
      <c r="F1263" s="52">
        <v>46074.413194444445</v>
      </c>
      <c r="G1263" s="53">
        <v>0.10069444444444445</v>
      </c>
      <c r="H1263" s="1" t="s">
        <v>257</v>
      </c>
      <c r="J1263" s="1" t="s">
        <v>258</v>
      </c>
      <c r="K1263" s="1" t="s">
        <v>658</v>
      </c>
      <c r="L1263" s="1" t="s">
        <v>854</v>
      </c>
      <c r="M1263" s="1" t="s">
        <v>260</v>
      </c>
      <c r="N1263" s="1" t="s">
        <v>261</v>
      </c>
      <c r="O1263" s="1" t="s">
        <v>587</v>
      </c>
      <c r="P1263" s="1" t="str">
        <f>_xlfn.CONCAT(B1263,C1263,D1263,E1263,F1263)</f>
        <v>BC Caiaponia1SG60KTL(COM1-014)46074,312546074,312546074,4131944444</v>
      </c>
      <c r="Q1263" s="1" t="str">
        <f>_xlfn.CONCAT(H1263,I1263,J1263)</f>
        <v>DAURDE</v>
      </c>
    </row>
    <row r="1264" spans="2:17">
      <c r="B1264" s="1" t="s">
        <v>456</v>
      </c>
      <c r="C1264" s="1" t="s">
        <v>472</v>
      </c>
      <c r="D1264" s="52">
        <v>46074.3125</v>
      </c>
      <c r="E1264" s="52">
        <v>46074.3125</v>
      </c>
      <c r="F1264" s="52">
        <v>46074.413194444445</v>
      </c>
      <c r="G1264" s="53">
        <v>0.10069444444444445</v>
      </c>
      <c r="H1264" s="1" t="s">
        <v>257</v>
      </c>
      <c r="J1264" s="1" t="s">
        <v>258</v>
      </c>
      <c r="K1264" s="1" t="s">
        <v>658</v>
      </c>
      <c r="L1264" s="1" t="s">
        <v>854</v>
      </c>
      <c r="M1264" s="1" t="s">
        <v>260</v>
      </c>
      <c r="N1264" s="1" t="s">
        <v>261</v>
      </c>
      <c r="O1264" s="1" t="s">
        <v>587</v>
      </c>
      <c r="P1264" s="1" t="str">
        <f>_xlfn.CONCAT(B1264,C1264,D1264,E1264,F1264)</f>
        <v>BC Caiaponia1SG60KTL(COM1-015)46074,312546074,312546074,4131944444</v>
      </c>
      <c r="Q1264" s="1" t="str">
        <f>_xlfn.CONCAT(H1264,I1264,J1264)</f>
        <v>DAURDE</v>
      </c>
    </row>
    <row r="1265" spans="1:17">
      <c r="B1265" s="1" t="s">
        <v>456</v>
      </c>
      <c r="C1265" s="1" t="s">
        <v>473</v>
      </c>
      <c r="D1265" s="52">
        <v>46074.3125</v>
      </c>
      <c r="E1265" s="52">
        <v>46074.3125</v>
      </c>
      <c r="F1265" s="52">
        <v>46074.413194444445</v>
      </c>
      <c r="G1265" s="53">
        <v>0.10069444444444445</v>
      </c>
      <c r="H1265" s="1" t="s">
        <v>257</v>
      </c>
      <c r="J1265" s="1" t="s">
        <v>258</v>
      </c>
      <c r="K1265" s="1" t="s">
        <v>658</v>
      </c>
      <c r="L1265" s="1" t="s">
        <v>854</v>
      </c>
      <c r="M1265" s="1" t="s">
        <v>260</v>
      </c>
      <c r="N1265" s="1" t="s">
        <v>261</v>
      </c>
      <c r="O1265" s="1" t="s">
        <v>587</v>
      </c>
      <c r="P1265" s="1" t="str">
        <f>_xlfn.CONCAT(B1265,C1265,D1265,E1265,F1265)</f>
        <v>BC Caiaponia1SG60KTL(COM3-016)_001_00946074,312546074,312546074,4131944444</v>
      </c>
      <c r="Q1265" s="1" t="str">
        <f>_xlfn.CONCAT(H1265,I1265,J1265)</f>
        <v>DAURDE</v>
      </c>
    </row>
    <row r="1266" spans="1:17">
      <c r="B1266" s="1" t="s">
        <v>456</v>
      </c>
      <c r="C1266" s="1" t="s">
        <v>474</v>
      </c>
      <c r="D1266" s="52">
        <v>46074.3125</v>
      </c>
      <c r="E1266" s="52">
        <v>46074.3125</v>
      </c>
      <c r="F1266" s="52">
        <v>46074.413194444445</v>
      </c>
      <c r="G1266" s="53">
        <v>0.10069444444444445</v>
      </c>
      <c r="H1266" s="1" t="s">
        <v>257</v>
      </c>
      <c r="J1266" s="1" t="s">
        <v>258</v>
      </c>
      <c r="K1266" s="1" t="s">
        <v>658</v>
      </c>
      <c r="L1266" s="1" t="s">
        <v>854</v>
      </c>
      <c r="M1266" s="1" t="s">
        <v>260</v>
      </c>
      <c r="N1266" s="1" t="s">
        <v>261</v>
      </c>
      <c r="O1266" s="1" t="s">
        <v>587</v>
      </c>
      <c r="P1266" s="1" t="str">
        <f>_xlfn.CONCAT(B1266,C1266,D1266,E1266,F1266)</f>
        <v>BC Caiaponia1SG60KTL(COM3-017)_001_01246074,312546074,312546074,4131944444</v>
      </c>
      <c r="Q1266" s="1" t="str">
        <f>_xlfn.CONCAT(H1266,I1266,J1266)</f>
        <v>DAURDE</v>
      </c>
    </row>
    <row r="1267" spans="1:17">
      <c r="B1267" s="1" t="s">
        <v>456</v>
      </c>
      <c r="C1267" s="1" t="s">
        <v>475</v>
      </c>
      <c r="D1267" s="52">
        <v>46074.3125</v>
      </c>
      <c r="E1267" s="52">
        <v>46074.3125</v>
      </c>
      <c r="F1267" s="52">
        <v>46074.413194444445</v>
      </c>
      <c r="G1267" s="53">
        <v>0.10069444444444445</v>
      </c>
      <c r="H1267" s="1" t="s">
        <v>257</v>
      </c>
      <c r="J1267" s="1" t="s">
        <v>258</v>
      </c>
      <c r="K1267" s="1" t="s">
        <v>658</v>
      </c>
      <c r="L1267" s="1" t="s">
        <v>854</v>
      </c>
      <c r="M1267" s="1" t="s">
        <v>260</v>
      </c>
      <c r="N1267" s="1" t="s">
        <v>261</v>
      </c>
      <c r="O1267" s="1" t="s">
        <v>587</v>
      </c>
      <c r="P1267" s="1" t="str">
        <f>_xlfn.CONCAT(B1267,C1267,D1267,E1267,F1267)</f>
        <v>BC Caiaponia1SG60KTL(COM3-018)_001_00846074,312546074,312546074,4131944444</v>
      </c>
      <c r="Q1267" s="1" t="str">
        <f>_xlfn.CONCAT(H1267,I1267,J1267)</f>
        <v>DAURDE</v>
      </c>
    </row>
    <row r="1268" spans="1:17" s="75" customFormat="1">
      <c r="A1268" s="2"/>
      <c r="B1268" s="1" t="s">
        <v>456</v>
      </c>
      <c r="C1268" s="1" t="s">
        <v>476</v>
      </c>
      <c r="D1268" s="52">
        <v>46074.3125</v>
      </c>
      <c r="E1268" s="52">
        <v>46074.3125</v>
      </c>
      <c r="F1268" s="52">
        <v>46074.413194444445</v>
      </c>
      <c r="G1268" s="53">
        <v>0.10069444444444445</v>
      </c>
      <c r="H1268" s="1" t="s">
        <v>257</v>
      </c>
      <c r="I1268" s="1"/>
      <c r="J1268" s="1" t="s">
        <v>258</v>
      </c>
      <c r="K1268" s="1" t="s">
        <v>658</v>
      </c>
      <c r="L1268" s="1" t="s">
        <v>854</v>
      </c>
      <c r="M1268" s="1" t="s">
        <v>260</v>
      </c>
      <c r="N1268" s="1" t="s">
        <v>261</v>
      </c>
      <c r="O1268" s="1" t="s">
        <v>587</v>
      </c>
      <c r="P1268" s="1" t="str">
        <f>_xlfn.CONCAT(B1268,C1268,D1268,E1268,F1268)</f>
        <v>BC Caiaponia1SG60KTL(COM3-019)_001_01946074,312546074,312546074,4131944444</v>
      </c>
      <c r="Q1268" s="1" t="str">
        <f>_xlfn.CONCAT(H1268,I1268,J1268)</f>
        <v>DAURDE</v>
      </c>
    </row>
    <row r="1269" spans="1:17">
      <c r="B1269" s="1" t="s">
        <v>456</v>
      </c>
      <c r="C1269" s="1" t="s">
        <v>477</v>
      </c>
      <c r="D1269" s="52">
        <v>46074.3125</v>
      </c>
      <c r="E1269" s="52">
        <v>46074.3125</v>
      </c>
      <c r="F1269" s="52">
        <v>46074.413194444445</v>
      </c>
      <c r="G1269" s="53">
        <v>0.10069444444444445</v>
      </c>
      <c r="H1269" s="1" t="s">
        <v>257</v>
      </c>
      <c r="J1269" s="1" t="s">
        <v>258</v>
      </c>
      <c r="K1269" s="1" t="s">
        <v>658</v>
      </c>
      <c r="L1269" s="1" t="s">
        <v>854</v>
      </c>
      <c r="M1269" s="1" t="s">
        <v>260</v>
      </c>
      <c r="N1269" s="1" t="s">
        <v>261</v>
      </c>
      <c r="O1269" s="1" t="s">
        <v>587</v>
      </c>
      <c r="P1269" s="1" t="str">
        <f>_xlfn.CONCAT(B1269,C1269,D1269,E1269,F1269)</f>
        <v>BC Caiaponia1SG60KTL(COM3-020)_001_02046074,312546074,312546074,4131944444</v>
      </c>
      <c r="Q1269" s="1" t="str">
        <f>_xlfn.CONCAT(H1269,I1269,J1269)</f>
        <v>DAURDE</v>
      </c>
    </row>
    <row r="1270" spans="1:17">
      <c r="B1270" s="1" t="s">
        <v>456</v>
      </c>
      <c r="C1270" s="1" t="s">
        <v>478</v>
      </c>
      <c r="D1270" s="52">
        <v>46074.3125</v>
      </c>
      <c r="E1270" s="52">
        <v>46074.3125</v>
      </c>
      <c r="F1270" s="52">
        <v>46074.413194444445</v>
      </c>
      <c r="G1270" s="53">
        <v>0.10069444444444445</v>
      </c>
      <c r="H1270" s="1" t="s">
        <v>257</v>
      </c>
      <c r="J1270" s="1" t="s">
        <v>258</v>
      </c>
      <c r="K1270" s="1" t="s">
        <v>658</v>
      </c>
      <c r="L1270" s="1" t="s">
        <v>854</v>
      </c>
      <c r="M1270" s="1" t="s">
        <v>260</v>
      </c>
      <c r="N1270" s="1" t="s">
        <v>261</v>
      </c>
      <c r="O1270" s="1" t="s">
        <v>587</v>
      </c>
      <c r="P1270" s="1" t="str">
        <f>_xlfn.CONCAT(B1270,C1270,D1270,E1270,F1270)</f>
        <v>BC Caiaponia1SG60KTL(COM2-026)46074,312546074,312546074,4131944444</v>
      </c>
      <c r="Q1270" s="1" t="str">
        <f>_xlfn.CONCAT(H1270,I1270,J1270)</f>
        <v>DAURDE</v>
      </c>
    </row>
    <row r="1271" spans="1:17">
      <c r="B1271" s="1" t="s">
        <v>456</v>
      </c>
      <c r="C1271" s="1" t="s">
        <v>479</v>
      </c>
      <c r="D1271" s="52">
        <v>46074.3125</v>
      </c>
      <c r="E1271" s="52">
        <v>46074.3125</v>
      </c>
      <c r="F1271" s="52">
        <v>46074.413194444445</v>
      </c>
      <c r="G1271" s="53">
        <v>0.10069444444444445</v>
      </c>
      <c r="H1271" s="1" t="s">
        <v>257</v>
      </c>
      <c r="J1271" s="1" t="s">
        <v>258</v>
      </c>
      <c r="K1271" s="1" t="s">
        <v>658</v>
      </c>
      <c r="L1271" s="1" t="s">
        <v>854</v>
      </c>
      <c r="M1271" s="1" t="s">
        <v>260</v>
      </c>
      <c r="N1271" s="1" t="s">
        <v>261</v>
      </c>
      <c r="O1271" s="1" t="s">
        <v>587</v>
      </c>
      <c r="P1271" s="1" t="str">
        <f>_xlfn.CONCAT(B1271,C1271,D1271,E1271,F1271)</f>
        <v>BC Caiaponia1SG60KTL(COM2-027)46074,312546074,312546074,4131944444</v>
      </c>
      <c r="Q1271" s="1" t="str">
        <f>_xlfn.CONCAT(H1271,I1271,J1271)</f>
        <v>DAURDE</v>
      </c>
    </row>
    <row r="1272" spans="1:17">
      <c r="B1272" s="1" t="s">
        <v>456</v>
      </c>
      <c r="C1272" s="1" t="s">
        <v>480</v>
      </c>
      <c r="D1272" s="52">
        <v>46074.3125</v>
      </c>
      <c r="E1272" s="52">
        <v>46074.3125</v>
      </c>
      <c r="F1272" s="52">
        <v>46074.413194444445</v>
      </c>
      <c r="G1272" s="53">
        <v>0.10069444444444445</v>
      </c>
      <c r="H1272" s="1" t="s">
        <v>257</v>
      </c>
      <c r="J1272" s="1" t="s">
        <v>258</v>
      </c>
      <c r="K1272" s="1" t="s">
        <v>658</v>
      </c>
      <c r="L1272" s="1" t="s">
        <v>854</v>
      </c>
      <c r="M1272" s="1" t="s">
        <v>260</v>
      </c>
      <c r="N1272" s="1" t="s">
        <v>261</v>
      </c>
      <c r="O1272" s="1" t="s">
        <v>587</v>
      </c>
      <c r="P1272" s="1" t="str">
        <f>_xlfn.CONCAT(B1272,C1272,D1272,E1272,F1272)</f>
        <v>BC Caiaponia1SG60KTL(COM2-028)46074,312546074,312546074,4131944444</v>
      </c>
      <c r="Q1272" s="1" t="str">
        <f>_xlfn.CONCAT(H1272,I1272,J1272)</f>
        <v>DAURDE</v>
      </c>
    </row>
    <row r="1273" spans="1:17">
      <c r="B1273" s="1" t="s">
        <v>456</v>
      </c>
      <c r="C1273" s="1" t="s">
        <v>481</v>
      </c>
      <c r="D1273" s="52">
        <v>46074.3125</v>
      </c>
      <c r="E1273" s="52">
        <v>46074.3125</v>
      </c>
      <c r="F1273" s="52">
        <v>46074.413194444445</v>
      </c>
      <c r="G1273" s="53">
        <v>0.10069444444444445</v>
      </c>
      <c r="H1273" s="1" t="s">
        <v>257</v>
      </c>
      <c r="J1273" s="1" t="s">
        <v>258</v>
      </c>
      <c r="K1273" s="1" t="s">
        <v>658</v>
      </c>
      <c r="L1273" s="1" t="s">
        <v>854</v>
      </c>
      <c r="M1273" s="1" t="s">
        <v>260</v>
      </c>
      <c r="N1273" s="1" t="s">
        <v>261</v>
      </c>
      <c r="O1273" s="1" t="s">
        <v>587</v>
      </c>
      <c r="P1273" s="1" t="str">
        <f>_xlfn.CONCAT(B1273,C1273,D1273,E1273,F1273)</f>
        <v>BC Caiaponia1SG60KTL(COM2-029)46074,312546074,312546074,4131944444</v>
      </c>
      <c r="Q1273" s="1" t="str">
        <f>_xlfn.CONCAT(H1273,I1273,J1273)</f>
        <v>DAURDE</v>
      </c>
    </row>
    <row r="1274" spans="1:17">
      <c r="B1274" s="1" t="s">
        <v>456</v>
      </c>
      <c r="C1274" s="1" t="s">
        <v>482</v>
      </c>
      <c r="D1274" s="52">
        <v>46074.3125</v>
      </c>
      <c r="E1274" s="52">
        <v>46074.3125</v>
      </c>
      <c r="F1274" s="52">
        <v>46074.413194444445</v>
      </c>
      <c r="G1274" s="53">
        <v>0.10069444444444445</v>
      </c>
      <c r="H1274" s="1" t="s">
        <v>257</v>
      </c>
      <c r="J1274" s="1" t="s">
        <v>258</v>
      </c>
      <c r="K1274" s="1" t="s">
        <v>658</v>
      </c>
      <c r="L1274" s="1" t="s">
        <v>854</v>
      </c>
      <c r="M1274" s="1" t="s">
        <v>289</v>
      </c>
      <c r="N1274" s="1" t="s">
        <v>253</v>
      </c>
      <c r="O1274" s="1" t="s">
        <v>605</v>
      </c>
      <c r="P1274" s="1" t="str">
        <f>_xlfn.CONCAT(B1274,C1274,D1274,E1274,F1274)</f>
        <v>BC Caiaponia1SG50CX(COM1-021)46074,312546074,312546074,4131944444</v>
      </c>
      <c r="Q1274" s="1" t="str">
        <f>_xlfn.CONCAT(H1274,I1274,J1274)</f>
        <v>DAURDE</v>
      </c>
    </row>
    <row r="1275" spans="1:17">
      <c r="B1275" s="1" t="s">
        <v>456</v>
      </c>
      <c r="C1275" s="1" t="s">
        <v>483</v>
      </c>
      <c r="D1275" s="52">
        <v>46074.3125</v>
      </c>
      <c r="E1275" s="52">
        <v>46074.3125</v>
      </c>
      <c r="F1275" s="52">
        <v>46074.413194444445</v>
      </c>
      <c r="G1275" s="53">
        <v>0.10069444444444445</v>
      </c>
      <c r="H1275" s="1" t="s">
        <v>257</v>
      </c>
      <c r="J1275" s="1" t="s">
        <v>258</v>
      </c>
      <c r="K1275" s="1" t="s">
        <v>658</v>
      </c>
      <c r="L1275" s="1" t="s">
        <v>854</v>
      </c>
      <c r="M1275" s="1" t="s">
        <v>289</v>
      </c>
      <c r="N1275" s="1" t="s">
        <v>253</v>
      </c>
      <c r="O1275" s="1" t="s">
        <v>605</v>
      </c>
      <c r="P1275" s="1" t="str">
        <f>_xlfn.CONCAT(B1275,C1275,D1275,E1275,F1275)</f>
        <v>BC Caiaponia1SG50CX(COM1-022)46074,312546074,312546074,4131944444</v>
      </c>
      <c r="Q1275" s="1" t="str">
        <f>_xlfn.CONCAT(H1275,I1275,J1275)</f>
        <v>DAURDE</v>
      </c>
    </row>
    <row r="1276" spans="1:17">
      <c r="B1276" s="1" t="s">
        <v>456</v>
      </c>
      <c r="C1276" s="1" t="s">
        <v>484</v>
      </c>
      <c r="D1276" s="52">
        <v>46074.3125</v>
      </c>
      <c r="E1276" s="52">
        <v>46074.3125</v>
      </c>
      <c r="F1276" s="52">
        <v>46074.413194444445</v>
      </c>
      <c r="G1276" s="53">
        <v>0.10069444444444445</v>
      </c>
      <c r="H1276" s="1" t="s">
        <v>257</v>
      </c>
      <c r="J1276" s="1" t="s">
        <v>258</v>
      </c>
      <c r="K1276" s="1" t="s">
        <v>658</v>
      </c>
      <c r="L1276" s="1" t="s">
        <v>854</v>
      </c>
      <c r="M1276" s="1" t="s">
        <v>289</v>
      </c>
      <c r="N1276" s="1" t="s">
        <v>253</v>
      </c>
      <c r="O1276" s="1" t="s">
        <v>605</v>
      </c>
      <c r="P1276" s="1" t="str">
        <f>_xlfn.CONCAT(B1276,C1276,D1276,E1276,F1276)</f>
        <v>BC Caiaponia1SG50CX(COM1-023)46074,312546074,312546074,4131944444</v>
      </c>
      <c r="Q1276" s="1" t="str">
        <f>_xlfn.CONCAT(H1276,I1276,J1276)</f>
        <v>DAURDE</v>
      </c>
    </row>
    <row r="1277" spans="1:17">
      <c r="B1277" s="1" t="s">
        <v>456</v>
      </c>
      <c r="C1277" s="1" t="s">
        <v>485</v>
      </c>
      <c r="D1277" s="52">
        <v>46074.3125</v>
      </c>
      <c r="E1277" s="52">
        <v>46074.3125</v>
      </c>
      <c r="F1277" s="52">
        <v>46074.413194444445</v>
      </c>
      <c r="G1277" s="53">
        <v>0.10069444444444445</v>
      </c>
      <c r="H1277" s="1" t="s">
        <v>257</v>
      </c>
      <c r="J1277" s="1" t="s">
        <v>258</v>
      </c>
      <c r="K1277" s="1" t="s">
        <v>658</v>
      </c>
      <c r="L1277" s="1" t="s">
        <v>854</v>
      </c>
      <c r="M1277" s="1" t="s">
        <v>289</v>
      </c>
      <c r="N1277" s="1" t="s">
        <v>253</v>
      </c>
      <c r="O1277" s="1" t="s">
        <v>605</v>
      </c>
      <c r="P1277" s="1" t="str">
        <f>_xlfn.CONCAT(B1277,C1277,D1277,E1277,F1277)</f>
        <v>BC Caiaponia1SG50CX(COM1-024)46074,312546074,312546074,4131944444</v>
      </c>
      <c r="Q1277" s="1" t="str">
        <f>_xlfn.CONCAT(H1277,I1277,J1277)</f>
        <v>DAURDE</v>
      </c>
    </row>
    <row r="1278" spans="1:17">
      <c r="B1278" s="1" t="s">
        <v>456</v>
      </c>
      <c r="C1278" s="1" t="s">
        <v>486</v>
      </c>
      <c r="D1278" s="52">
        <v>46074.3125</v>
      </c>
      <c r="E1278" s="52">
        <v>46074.3125</v>
      </c>
      <c r="F1278" s="52">
        <v>46074.413194444445</v>
      </c>
      <c r="G1278" s="53">
        <v>0.10069444444444445</v>
      </c>
      <c r="H1278" s="1" t="s">
        <v>257</v>
      </c>
      <c r="J1278" s="1" t="s">
        <v>258</v>
      </c>
      <c r="K1278" s="1" t="s">
        <v>658</v>
      </c>
      <c r="L1278" s="1" t="s">
        <v>854</v>
      </c>
      <c r="M1278" s="1" t="s">
        <v>289</v>
      </c>
      <c r="N1278" s="1" t="s">
        <v>253</v>
      </c>
      <c r="O1278" s="1" t="s">
        <v>605</v>
      </c>
      <c r="P1278" s="1" t="str">
        <f>_xlfn.CONCAT(B1278,C1278,D1278,E1278,F1278)</f>
        <v>BC Caiaponia1SG50CX(COM1-025)46074,312546074,312546074,4131944444</v>
      </c>
      <c r="Q1278" s="1" t="str">
        <f>_xlfn.CONCAT(H1278,I1278,J1278)</f>
        <v>DAURDE</v>
      </c>
    </row>
    <row r="1279" spans="1:17">
      <c r="B1279" s="1" t="s">
        <v>487</v>
      </c>
      <c r="C1279" s="1" t="s">
        <v>377</v>
      </c>
      <c r="D1279" s="52">
        <v>46074.3125</v>
      </c>
      <c r="E1279" s="52">
        <v>46074.3125</v>
      </c>
      <c r="F1279" s="52">
        <v>46074.413194444445</v>
      </c>
      <c r="G1279" s="53">
        <v>0.10069444444444445</v>
      </c>
      <c r="H1279" s="1" t="s">
        <v>257</v>
      </c>
      <c r="J1279" s="1" t="s">
        <v>258</v>
      </c>
      <c r="K1279" s="1" t="s">
        <v>658</v>
      </c>
      <c r="L1279" s="1" t="s">
        <v>854</v>
      </c>
      <c r="M1279" s="1" t="s">
        <v>260</v>
      </c>
      <c r="N1279" s="1" t="s">
        <v>261</v>
      </c>
      <c r="O1279" s="1" t="s">
        <v>607</v>
      </c>
      <c r="P1279" s="1" t="str">
        <f>_xlfn.CONCAT(B1279,C1279,D1279,E1279,F1279)</f>
        <v>BC Caiaponia2.1215KTL-H3(MBUS-12)46074,312546074,312546074,4131944444</v>
      </c>
      <c r="Q1279" s="1" t="str">
        <f>_xlfn.CONCAT(H1279,I1279,J1279)</f>
        <v>DAURDE</v>
      </c>
    </row>
    <row r="1280" spans="1:17">
      <c r="B1280" s="1" t="s">
        <v>487</v>
      </c>
      <c r="C1280" s="1" t="s">
        <v>378</v>
      </c>
      <c r="D1280" s="52">
        <v>46074.3125</v>
      </c>
      <c r="E1280" s="52">
        <v>46074.3125</v>
      </c>
      <c r="F1280" s="52">
        <v>46074.413194444445</v>
      </c>
      <c r="G1280" s="53">
        <v>0.10069444444444445</v>
      </c>
      <c r="H1280" s="1" t="s">
        <v>257</v>
      </c>
      <c r="J1280" s="1" t="s">
        <v>258</v>
      </c>
      <c r="K1280" s="1" t="s">
        <v>658</v>
      </c>
      <c r="L1280" s="1" t="s">
        <v>854</v>
      </c>
      <c r="M1280" s="1" t="s">
        <v>260</v>
      </c>
      <c r="N1280" s="1" t="s">
        <v>261</v>
      </c>
      <c r="O1280" s="1" t="s">
        <v>607</v>
      </c>
      <c r="P1280" s="1" t="str">
        <f>_xlfn.CONCAT(B1280,C1280,D1280,E1280,F1280)</f>
        <v>BC Caiaponia2.1215KTL-H3(MBUS-13)46074,312546074,312546074,4131944444</v>
      </c>
      <c r="Q1280" s="1" t="str">
        <f>_xlfn.CONCAT(H1280,I1280,J1280)</f>
        <v>DAURDE</v>
      </c>
    </row>
    <row r="1281" spans="2:17">
      <c r="B1281" s="1" t="s">
        <v>487</v>
      </c>
      <c r="C1281" s="1" t="s">
        <v>382</v>
      </c>
      <c r="D1281" s="52">
        <v>46074.3125</v>
      </c>
      <c r="E1281" s="52">
        <v>46074.3125</v>
      </c>
      <c r="F1281" s="52">
        <v>46074.413194444445</v>
      </c>
      <c r="G1281" s="53">
        <v>0.10069444444444445</v>
      </c>
      <c r="H1281" s="1" t="s">
        <v>257</v>
      </c>
      <c r="J1281" s="1" t="s">
        <v>258</v>
      </c>
      <c r="K1281" s="1" t="s">
        <v>658</v>
      </c>
      <c r="L1281" s="1" t="s">
        <v>854</v>
      </c>
      <c r="M1281" s="1" t="s">
        <v>260</v>
      </c>
      <c r="N1281" s="1" t="s">
        <v>261</v>
      </c>
      <c r="O1281" s="1" t="s">
        <v>607</v>
      </c>
      <c r="P1281" s="1" t="str">
        <f>_xlfn.CONCAT(B1281,C1281,D1281,E1281,F1281)</f>
        <v>BC Caiaponia2.1215KTL-H3(MBUS-14)46074,312546074,312546074,4131944444</v>
      </c>
      <c r="Q1281" s="1" t="str">
        <f>_xlfn.CONCAT(H1281,I1281,J1281)</f>
        <v>DAURDE</v>
      </c>
    </row>
    <row r="1282" spans="2:17">
      <c r="B1282" s="1" t="s">
        <v>487</v>
      </c>
      <c r="C1282" s="1" t="s">
        <v>380</v>
      </c>
      <c r="D1282" s="52">
        <v>46074.3125</v>
      </c>
      <c r="E1282" s="52">
        <v>46074.3125</v>
      </c>
      <c r="F1282" s="52">
        <v>46074.413194444445</v>
      </c>
      <c r="G1282" s="53">
        <v>0.10069444444444445</v>
      </c>
      <c r="H1282" s="1" t="s">
        <v>257</v>
      </c>
      <c r="J1282" s="1" t="s">
        <v>258</v>
      </c>
      <c r="K1282" s="1" t="s">
        <v>658</v>
      </c>
      <c r="L1282" s="1" t="s">
        <v>854</v>
      </c>
      <c r="M1282" s="1" t="s">
        <v>260</v>
      </c>
      <c r="N1282" s="1" t="s">
        <v>261</v>
      </c>
      <c r="O1282" s="1" t="s">
        <v>607</v>
      </c>
      <c r="P1282" s="1" t="str">
        <f>_xlfn.CONCAT(B1282,C1282,D1282,E1282,F1282)</f>
        <v>BC Caiaponia2.1215KTL-H3(MBUS-15)46074,312546074,312546074,4131944444</v>
      </c>
      <c r="Q1282" s="1" t="str">
        <f>_xlfn.CONCAT(H1282,I1282,J1282)</f>
        <v>DAURDE</v>
      </c>
    </row>
    <row r="1283" spans="2:17">
      <c r="B1283" s="1" t="s">
        <v>487</v>
      </c>
      <c r="C1283" s="1" t="s">
        <v>379</v>
      </c>
      <c r="D1283" s="52">
        <v>46074.3125</v>
      </c>
      <c r="E1283" s="52">
        <v>46074.3125</v>
      </c>
      <c r="F1283" s="52">
        <v>46074.413194444445</v>
      </c>
      <c r="G1283" s="53">
        <v>0.10069444444444445</v>
      </c>
      <c r="H1283" s="1" t="s">
        <v>257</v>
      </c>
      <c r="J1283" s="1" t="s">
        <v>258</v>
      </c>
      <c r="K1283" s="1" t="s">
        <v>658</v>
      </c>
      <c r="L1283" s="1" t="s">
        <v>854</v>
      </c>
      <c r="M1283" s="1" t="s">
        <v>289</v>
      </c>
      <c r="N1283" s="1" t="s">
        <v>253</v>
      </c>
      <c r="O1283" s="1" t="s">
        <v>610</v>
      </c>
      <c r="P1283" s="1" t="str">
        <f>_xlfn.CONCAT(B1283,C1283,D1283,E1283,F1283)</f>
        <v>BC Caiaponia2.1215KTL-H3(MBUS-16)46074,312546074,312546074,4131944444</v>
      </c>
      <c r="Q1283" s="1" t="str">
        <f>_xlfn.CONCAT(H1283,I1283,J1283)</f>
        <v>DAURDE</v>
      </c>
    </row>
    <row r="1284" spans="2:17">
      <c r="B1284" s="1" t="s">
        <v>583</v>
      </c>
      <c r="C1284" s="1" t="s">
        <v>377</v>
      </c>
      <c r="D1284" s="52">
        <v>46074.3125</v>
      </c>
      <c r="E1284" s="52">
        <v>46074.3125</v>
      </c>
      <c r="F1284" s="52">
        <v>46074.413194444445</v>
      </c>
      <c r="G1284" s="53">
        <v>0.10069444444444445</v>
      </c>
      <c r="H1284" s="1" t="s">
        <v>257</v>
      </c>
      <c r="J1284" s="1" t="s">
        <v>258</v>
      </c>
      <c r="K1284" s="1" t="s">
        <v>658</v>
      </c>
      <c r="L1284" s="1" t="s">
        <v>854</v>
      </c>
      <c r="M1284" s="1" t="s">
        <v>289</v>
      </c>
      <c r="N1284" s="1" t="s">
        <v>253</v>
      </c>
      <c r="O1284" s="1" t="s">
        <v>610</v>
      </c>
      <c r="P1284" s="1" t="str">
        <f>_xlfn.CONCAT(B1284,C1284,D1284,E1284,F1284)</f>
        <v>BC Caiaponia2.2215KTL-H3(MBUS-12)46074,312546074,312546074,4131944444</v>
      </c>
      <c r="Q1284" s="1" t="str">
        <f>_xlfn.CONCAT(H1284,I1284,J1284)</f>
        <v>DAURDE</v>
      </c>
    </row>
    <row r="1285" spans="2:17">
      <c r="B1285" s="1" t="s">
        <v>583</v>
      </c>
      <c r="C1285" s="1" t="s">
        <v>378</v>
      </c>
      <c r="D1285" s="52">
        <v>46074.3125</v>
      </c>
      <c r="E1285" s="52">
        <v>46074.3125</v>
      </c>
      <c r="F1285" s="52">
        <v>46074.413194444445</v>
      </c>
      <c r="G1285" s="53">
        <v>0.10069444444444445</v>
      </c>
      <c r="H1285" s="1" t="s">
        <v>257</v>
      </c>
      <c r="J1285" s="1" t="s">
        <v>258</v>
      </c>
      <c r="K1285" s="1" t="s">
        <v>658</v>
      </c>
      <c r="L1285" s="1" t="s">
        <v>854</v>
      </c>
      <c r="M1285" s="1" t="s">
        <v>289</v>
      </c>
      <c r="N1285" s="1" t="s">
        <v>253</v>
      </c>
      <c r="O1285" s="1" t="s">
        <v>610</v>
      </c>
      <c r="P1285" s="1" t="str">
        <f>_xlfn.CONCAT(B1285,C1285,D1285,E1285,F1285)</f>
        <v>BC Caiaponia2.2215KTL-H3(MBUS-13)46074,312546074,312546074,4131944444</v>
      </c>
      <c r="Q1285" s="1" t="str">
        <f>_xlfn.CONCAT(H1285,I1285,J1285)</f>
        <v>DAURDE</v>
      </c>
    </row>
    <row r="1286" spans="2:17">
      <c r="B1286" s="66" t="s">
        <v>583</v>
      </c>
      <c r="C1286" s="66" t="s">
        <v>382</v>
      </c>
      <c r="D1286" s="73">
        <v>46074.3125</v>
      </c>
      <c r="E1286" s="73">
        <v>46074.3125</v>
      </c>
      <c r="F1286" s="73">
        <v>46074.413194444445</v>
      </c>
      <c r="G1286" s="74">
        <v>0.10069444444444445</v>
      </c>
      <c r="H1286" s="66" t="s">
        <v>257</v>
      </c>
      <c r="I1286" s="66"/>
      <c r="J1286" s="66" t="s">
        <v>258</v>
      </c>
      <c r="K1286" s="66" t="s">
        <v>658</v>
      </c>
      <c r="L1286" s="66" t="s">
        <v>854</v>
      </c>
      <c r="M1286" s="66" t="s">
        <v>252</v>
      </c>
      <c r="N1286" s="66" t="s">
        <v>253</v>
      </c>
      <c r="O1286" s="66" t="s">
        <v>615</v>
      </c>
      <c r="P1286" s="66" t="str">
        <f>_xlfn.CONCAT(B1286,C1286,D1286,E1286,F1286)</f>
        <v>BC Caiaponia2.2215KTL-H3(MBUS-14)46074,312546074,312546074,4131944444</v>
      </c>
      <c r="Q1286" s="66" t="str">
        <f>_xlfn.CONCAT(H1286,I1286,J1286)</f>
        <v>DAURDE</v>
      </c>
    </row>
    <row r="1287" spans="2:17">
      <c r="B1287" s="1" t="s">
        <v>583</v>
      </c>
      <c r="C1287" s="1" t="s">
        <v>380</v>
      </c>
      <c r="D1287" s="52">
        <v>46074.3125</v>
      </c>
      <c r="E1287" s="52">
        <v>46074.3125</v>
      </c>
      <c r="F1287" s="52">
        <v>46074.413194444445</v>
      </c>
      <c r="G1287" s="53">
        <v>0.10069444444444445</v>
      </c>
      <c r="H1287" s="1" t="s">
        <v>257</v>
      </c>
      <c r="J1287" s="1" t="s">
        <v>258</v>
      </c>
      <c r="K1287" s="1" t="s">
        <v>658</v>
      </c>
      <c r="L1287" s="1" t="s">
        <v>854</v>
      </c>
      <c r="M1287" s="1" t="s">
        <v>260</v>
      </c>
      <c r="N1287" s="1" t="s">
        <v>261</v>
      </c>
      <c r="O1287" s="1" t="s">
        <v>617</v>
      </c>
      <c r="P1287" s="1" t="str">
        <f>_xlfn.CONCAT(B1287,C1287,D1287,E1287,F1287)</f>
        <v>BC Caiaponia2.2215KTL-H3(MBUS-15)46074,312546074,312546074,4131944444</v>
      </c>
      <c r="Q1287" s="1" t="str">
        <f>_xlfn.CONCAT(H1287,I1287,J1287)</f>
        <v>DAURDE</v>
      </c>
    </row>
    <row r="1288" spans="2:17">
      <c r="B1288" s="1" t="s">
        <v>583</v>
      </c>
      <c r="C1288" s="1" t="s">
        <v>379</v>
      </c>
      <c r="D1288" s="52">
        <v>46074.3125</v>
      </c>
      <c r="E1288" s="52">
        <v>46074.3125</v>
      </c>
      <c r="F1288" s="52">
        <v>46074.413194444445</v>
      </c>
      <c r="G1288" s="53">
        <v>0.10069444444444445</v>
      </c>
      <c r="H1288" s="1" t="s">
        <v>257</v>
      </c>
      <c r="J1288" s="1" t="s">
        <v>258</v>
      </c>
      <c r="K1288" s="1" t="s">
        <v>658</v>
      </c>
      <c r="L1288" s="1" t="s">
        <v>854</v>
      </c>
      <c r="M1288" s="1" t="s">
        <v>260</v>
      </c>
      <c r="N1288" s="1" t="s">
        <v>261</v>
      </c>
      <c r="O1288" s="1" t="s">
        <v>617</v>
      </c>
      <c r="P1288" s="1" t="str">
        <f>_xlfn.CONCAT(B1288,C1288,D1288,E1288,F1288)</f>
        <v>BC Caiaponia2.2215KTL-H3(MBUS-16)46074,312546074,312546074,4131944444</v>
      </c>
      <c r="Q1288" s="1" t="str">
        <f>_xlfn.CONCAT(H1288,I1288,J1288)</f>
        <v>DAURDE</v>
      </c>
    </row>
    <row r="1289" spans="2:17">
      <c r="B1289" s="1" t="s">
        <v>584</v>
      </c>
      <c r="C1289" s="1" t="s">
        <v>377</v>
      </c>
      <c r="D1289" s="52">
        <v>46074.3125</v>
      </c>
      <c r="E1289" s="52">
        <v>46074.3125</v>
      </c>
      <c r="F1289" s="52">
        <v>46074.413194444445</v>
      </c>
      <c r="G1289" s="53">
        <v>0.10069444444444445</v>
      </c>
      <c r="H1289" s="1" t="s">
        <v>257</v>
      </c>
      <c r="J1289" s="1" t="s">
        <v>258</v>
      </c>
      <c r="K1289" s="1" t="s">
        <v>658</v>
      </c>
      <c r="L1289" s="1" t="s">
        <v>854</v>
      </c>
      <c r="M1289" s="1" t="s">
        <v>260</v>
      </c>
      <c r="N1289" s="1" t="s">
        <v>261</v>
      </c>
      <c r="O1289" s="1" t="s">
        <v>617</v>
      </c>
      <c r="P1289" s="1" t="str">
        <f>_xlfn.CONCAT(B1289,C1289,D1289,E1289,F1289)</f>
        <v>BC Caiaponia2.3215KTL-H3(MBUS-12)46074,312546074,312546074,4131944444</v>
      </c>
      <c r="Q1289" s="1" t="str">
        <f>_xlfn.CONCAT(H1289,I1289,J1289)</f>
        <v>DAURDE</v>
      </c>
    </row>
    <row r="1290" spans="2:17">
      <c r="B1290" s="1" t="s">
        <v>584</v>
      </c>
      <c r="C1290" s="1" t="s">
        <v>378</v>
      </c>
      <c r="D1290" s="52">
        <v>46074.3125</v>
      </c>
      <c r="E1290" s="52">
        <v>46074.3125</v>
      </c>
      <c r="F1290" s="52">
        <v>46074.413194444445</v>
      </c>
      <c r="G1290" s="53">
        <v>0.10069444444444445</v>
      </c>
      <c r="H1290" s="1" t="s">
        <v>257</v>
      </c>
      <c r="J1290" s="1" t="s">
        <v>258</v>
      </c>
      <c r="K1290" s="1" t="s">
        <v>658</v>
      </c>
      <c r="L1290" s="1" t="s">
        <v>854</v>
      </c>
      <c r="M1290" s="1" t="s">
        <v>260</v>
      </c>
      <c r="N1290" s="1" t="s">
        <v>261</v>
      </c>
      <c r="O1290" s="1" t="s">
        <v>617</v>
      </c>
      <c r="P1290" s="1" t="str">
        <f>_xlfn.CONCAT(B1290,C1290,D1290,E1290,F1290)</f>
        <v>BC Caiaponia2.3215KTL-H3(MBUS-13)46074,312546074,312546074,4131944444</v>
      </c>
      <c r="Q1290" s="1" t="str">
        <f>_xlfn.CONCAT(H1290,I1290,J1290)</f>
        <v>DAURDE</v>
      </c>
    </row>
    <row r="1291" spans="2:17">
      <c r="B1291" s="1" t="s">
        <v>584</v>
      </c>
      <c r="C1291" s="1" t="s">
        <v>382</v>
      </c>
      <c r="D1291" s="52">
        <v>46074.3125</v>
      </c>
      <c r="E1291" s="52">
        <v>46074.3125</v>
      </c>
      <c r="F1291" s="52">
        <v>46074.413194444445</v>
      </c>
      <c r="G1291" s="53">
        <v>0.10069444444444445</v>
      </c>
      <c r="H1291" s="1" t="s">
        <v>257</v>
      </c>
      <c r="J1291" s="1" t="s">
        <v>258</v>
      </c>
      <c r="K1291" s="1" t="s">
        <v>658</v>
      </c>
      <c r="L1291" s="1" t="s">
        <v>854</v>
      </c>
      <c r="M1291" s="1" t="s">
        <v>260</v>
      </c>
      <c r="N1291" s="1" t="s">
        <v>261</v>
      </c>
      <c r="O1291" s="1" t="s">
        <v>617</v>
      </c>
      <c r="P1291" s="1" t="str">
        <f>_xlfn.CONCAT(B1291,C1291,D1291,E1291,F1291)</f>
        <v>BC Caiaponia2.3215KTL-H3(MBUS-14)46074,312546074,312546074,4131944444</v>
      </c>
      <c r="Q1291" s="1" t="str">
        <f>_xlfn.CONCAT(H1291,I1291,J1291)</f>
        <v>DAURDE</v>
      </c>
    </row>
    <row r="1292" spans="2:17">
      <c r="B1292" s="1" t="s">
        <v>584</v>
      </c>
      <c r="C1292" s="1" t="s">
        <v>380</v>
      </c>
      <c r="D1292" s="52">
        <v>46074.3125</v>
      </c>
      <c r="E1292" s="52">
        <v>46074.3125</v>
      </c>
      <c r="F1292" s="52">
        <v>46074.413194444445</v>
      </c>
      <c r="G1292" s="53">
        <v>0.10069444444444445</v>
      </c>
      <c r="H1292" s="1" t="s">
        <v>257</v>
      </c>
      <c r="J1292" s="1" t="s">
        <v>258</v>
      </c>
      <c r="K1292" s="1" t="s">
        <v>658</v>
      </c>
      <c r="L1292" s="1" t="s">
        <v>854</v>
      </c>
      <c r="M1292" s="1" t="s">
        <v>260</v>
      </c>
      <c r="N1292" s="1" t="s">
        <v>261</v>
      </c>
      <c r="O1292" s="1" t="s">
        <v>617</v>
      </c>
      <c r="P1292" s="1" t="str">
        <f>_xlfn.CONCAT(B1292,C1292,D1292,E1292,F1292)</f>
        <v>BC Caiaponia2.3215KTL-H3(MBUS-15)46074,312546074,312546074,4131944444</v>
      </c>
      <c r="Q1292" s="1" t="str">
        <f>_xlfn.CONCAT(H1292,I1292,J1292)</f>
        <v>DAURDE</v>
      </c>
    </row>
    <row r="1293" spans="2:17">
      <c r="B1293" s="1" t="s">
        <v>584</v>
      </c>
      <c r="C1293" s="1" t="s">
        <v>379</v>
      </c>
      <c r="D1293" s="52">
        <v>46074.3125</v>
      </c>
      <c r="E1293" s="52">
        <v>46074.3125</v>
      </c>
      <c r="F1293" s="52">
        <v>46074.413194444445</v>
      </c>
      <c r="G1293" s="53">
        <v>0.10069444444444445</v>
      </c>
      <c r="H1293" s="1" t="s">
        <v>257</v>
      </c>
      <c r="J1293" s="1" t="s">
        <v>258</v>
      </c>
      <c r="K1293" s="1" t="s">
        <v>658</v>
      </c>
      <c r="L1293" s="1" t="s">
        <v>854</v>
      </c>
      <c r="M1293" s="1" t="s">
        <v>260</v>
      </c>
      <c r="N1293" s="1" t="s">
        <v>261</v>
      </c>
      <c r="O1293" s="1" t="s">
        <v>617</v>
      </c>
      <c r="P1293" s="1" t="str">
        <f>_xlfn.CONCAT(B1293,C1293,D1293,E1293,F1293)</f>
        <v>BC Caiaponia2.3215KTL-H3(MBUS-16)46074,312546074,312546074,4131944444</v>
      </c>
      <c r="Q1293" s="1" t="str">
        <f>_xlfn.CONCAT(H1293,I1293,J1293)</f>
        <v>DAURDE</v>
      </c>
    </row>
    <row r="1294" spans="2:17">
      <c r="B1294" s="1" t="s">
        <v>387</v>
      </c>
      <c r="C1294" s="1" t="s">
        <v>247</v>
      </c>
      <c r="D1294" s="52">
        <v>46074.371527777781</v>
      </c>
      <c r="E1294" s="52">
        <v>46074.371527777781</v>
      </c>
      <c r="F1294" s="52">
        <v>46074.468055555553</v>
      </c>
      <c r="G1294" s="53">
        <v>9.6527777777777782E-2</v>
      </c>
      <c r="H1294" s="1" t="s">
        <v>268</v>
      </c>
      <c r="I1294" s="1" t="s">
        <v>269</v>
      </c>
      <c r="J1294" s="1" t="s">
        <v>319</v>
      </c>
      <c r="K1294" s="1" t="s">
        <v>652</v>
      </c>
      <c r="L1294" s="1" t="s">
        <v>855</v>
      </c>
      <c r="M1294" s="1" t="s">
        <v>260</v>
      </c>
      <c r="N1294" s="1" t="s">
        <v>261</v>
      </c>
      <c r="O1294" s="1" t="s">
        <v>617</v>
      </c>
      <c r="P1294" s="1" t="str">
        <f>_xlfn.CONCAT(B1294,C1294,D1294,E1294,F1294)</f>
        <v>BC Camarao1.2Inverter(MBUS-1)46074,371527777846074,371527777846074,4680555556</v>
      </c>
      <c r="Q1294" s="1" t="str">
        <f>_xlfn.CONCAT(H1294,I1294,J1294)</f>
        <v>LIGRFOCOM</v>
      </c>
    </row>
    <row r="1295" spans="2:17">
      <c r="B1295" s="1" t="s">
        <v>368</v>
      </c>
      <c r="C1295" s="1" t="s">
        <v>256</v>
      </c>
      <c r="D1295" s="52">
        <v>46074.510416666664</v>
      </c>
      <c r="E1295" s="52">
        <v>46074.510416666664</v>
      </c>
      <c r="F1295" s="52">
        <v>46074.606249999997</v>
      </c>
      <c r="G1295" s="53">
        <v>9.583333333333334E-2</v>
      </c>
      <c r="H1295" s="1" t="s">
        <v>268</v>
      </c>
      <c r="I1295" s="1" t="s">
        <v>269</v>
      </c>
      <c r="J1295" s="1" t="s">
        <v>270</v>
      </c>
      <c r="K1295" s="1" t="s">
        <v>674</v>
      </c>
      <c r="L1295" s="1" t="s">
        <v>856</v>
      </c>
      <c r="M1295" s="1" t="s">
        <v>289</v>
      </c>
      <c r="N1295" s="1" t="s">
        <v>253</v>
      </c>
      <c r="O1295" s="1" t="s">
        <v>618</v>
      </c>
      <c r="P1295" s="1" t="str">
        <f>_xlfn.CONCAT(B1295,C1295,D1295,E1295,F1295)</f>
        <v>BC Ibiuna 1.1Inverter(MBUS-12)46074,510416666746074,510416666746074,60625</v>
      </c>
      <c r="Q1295" s="1" t="str">
        <f>_xlfn.CONCAT(H1295,I1295,J1295)</f>
        <v>LIGRFOINT</v>
      </c>
    </row>
    <row r="1296" spans="2:17">
      <c r="B1296" s="1" t="s">
        <v>368</v>
      </c>
      <c r="C1296" s="1" t="s">
        <v>264</v>
      </c>
      <c r="D1296" s="52">
        <v>46074.510416666664</v>
      </c>
      <c r="E1296" s="52">
        <v>46074.510416666664</v>
      </c>
      <c r="F1296" s="52">
        <v>46074.606249999997</v>
      </c>
      <c r="G1296" s="53">
        <v>9.583333333333334E-2</v>
      </c>
      <c r="H1296" s="1" t="s">
        <v>268</v>
      </c>
      <c r="I1296" s="1" t="s">
        <v>269</v>
      </c>
      <c r="J1296" s="1" t="s">
        <v>270</v>
      </c>
      <c r="K1296" s="1" t="s">
        <v>674</v>
      </c>
      <c r="L1296" s="1" t="s">
        <v>856</v>
      </c>
      <c r="M1296" s="1" t="s">
        <v>289</v>
      </c>
      <c r="N1296" s="1" t="s">
        <v>253</v>
      </c>
      <c r="O1296" s="1" t="s">
        <v>618</v>
      </c>
      <c r="P1296" s="1" t="str">
        <f>_xlfn.CONCAT(B1296,C1296,D1296,E1296,F1296)</f>
        <v>BC Ibiuna 1.1Inverter(MBUS-13)46074,510416666746074,510416666746074,60625</v>
      </c>
      <c r="Q1296" s="1" t="str">
        <f>_xlfn.CONCAT(H1296,I1296,J1296)</f>
        <v>LIGRFOINT</v>
      </c>
    </row>
    <row r="1297" spans="2:17">
      <c r="B1297" s="1" t="s">
        <v>368</v>
      </c>
      <c r="C1297" s="1" t="s">
        <v>263</v>
      </c>
      <c r="D1297" s="52">
        <v>46074.510416666664</v>
      </c>
      <c r="E1297" s="52">
        <v>46074.510416666664</v>
      </c>
      <c r="F1297" s="52">
        <v>46074.606249999997</v>
      </c>
      <c r="G1297" s="53">
        <v>9.583333333333334E-2</v>
      </c>
      <c r="H1297" s="1" t="s">
        <v>268</v>
      </c>
      <c r="I1297" s="1" t="s">
        <v>269</v>
      </c>
      <c r="J1297" s="1" t="s">
        <v>270</v>
      </c>
      <c r="K1297" s="1" t="s">
        <v>674</v>
      </c>
      <c r="L1297" s="1" t="s">
        <v>856</v>
      </c>
      <c r="M1297" s="1" t="s">
        <v>289</v>
      </c>
      <c r="N1297" s="1" t="s">
        <v>253</v>
      </c>
      <c r="O1297" s="1" t="s">
        <v>618</v>
      </c>
      <c r="P1297" s="1" t="str">
        <f>_xlfn.CONCAT(B1297,C1297,D1297,E1297,F1297)</f>
        <v>BC Ibiuna 1.1Inverter(MBUS-14)46074,510416666746074,510416666746074,60625</v>
      </c>
      <c r="Q1297" s="1" t="str">
        <f>_xlfn.CONCAT(H1297,I1297,J1297)</f>
        <v>LIGRFOINT</v>
      </c>
    </row>
    <row r="1298" spans="2:17">
      <c r="B1298" s="1" t="s">
        <v>368</v>
      </c>
      <c r="C1298" s="1" t="s">
        <v>307</v>
      </c>
      <c r="D1298" s="52">
        <v>46074.510416666664</v>
      </c>
      <c r="E1298" s="52">
        <v>46074.510416666664</v>
      </c>
      <c r="F1298" s="52">
        <v>46074.606249999997</v>
      </c>
      <c r="G1298" s="53">
        <v>9.583333333333334E-2</v>
      </c>
      <c r="H1298" s="1" t="s">
        <v>268</v>
      </c>
      <c r="I1298" s="1" t="s">
        <v>269</v>
      </c>
      <c r="J1298" s="1" t="s">
        <v>270</v>
      </c>
      <c r="K1298" s="1" t="s">
        <v>674</v>
      </c>
      <c r="L1298" s="1" t="s">
        <v>856</v>
      </c>
      <c r="M1298" s="1" t="s">
        <v>289</v>
      </c>
      <c r="N1298" s="1" t="s">
        <v>253</v>
      </c>
      <c r="O1298" s="1" t="s">
        <v>618</v>
      </c>
      <c r="P1298" s="1" t="str">
        <f>_xlfn.CONCAT(B1298,C1298,D1298,E1298,F1298)</f>
        <v>BC Ibiuna 1.1Inverter(MBUS-15)46074,510416666746074,510416666746074,60625</v>
      </c>
      <c r="Q1298" s="1" t="str">
        <f>_xlfn.CONCAT(H1298,I1298,J1298)</f>
        <v>LIGRFOINT</v>
      </c>
    </row>
    <row r="1299" spans="2:17">
      <c r="B1299" s="1" t="s">
        <v>370</v>
      </c>
      <c r="C1299" s="1" t="s">
        <v>256</v>
      </c>
      <c r="D1299" s="52">
        <v>46074.510416666664</v>
      </c>
      <c r="E1299" s="52">
        <v>46074.510416666664</v>
      </c>
      <c r="F1299" s="52">
        <v>46074.606249999997</v>
      </c>
      <c r="G1299" s="53">
        <v>9.583333333333334E-2</v>
      </c>
      <c r="H1299" s="1" t="s">
        <v>268</v>
      </c>
      <c r="I1299" s="1" t="s">
        <v>269</v>
      </c>
      <c r="J1299" s="1" t="s">
        <v>270</v>
      </c>
      <c r="K1299" s="1" t="s">
        <v>674</v>
      </c>
      <c r="L1299" s="1" t="s">
        <v>856</v>
      </c>
      <c r="M1299" s="1" t="s">
        <v>289</v>
      </c>
      <c r="N1299" s="1" t="s">
        <v>253</v>
      </c>
      <c r="O1299" s="1" t="s">
        <v>618</v>
      </c>
      <c r="P1299" s="1" t="str">
        <f>_xlfn.CONCAT(B1299,C1299,D1299,E1299,F1299)</f>
        <v>BC Ibiuna 1.2Inverter(MBUS-12)46074,510416666746074,510416666746074,60625</v>
      </c>
      <c r="Q1299" s="1" t="str">
        <f>_xlfn.CONCAT(H1299,I1299,J1299)</f>
        <v>LIGRFOINT</v>
      </c>
    </row>
    <row r="1300" spans="2:17">
      <c r="B1300" s="1" t="s">
        <v>370</v>
      </c>
      <c r="C1300" s="1" t="s">
        <v>264</v>
      </c>
      <c r="D1300" s="52">
        <v>46074.510416666664</v>
      </c>
      <c r="E1300" s="52">
        <v>46074.510416666664</v>
      </c>
      <c r="F1300" s="52">
        <v>46074.606249999997</v>
      </c>
      <c r="G1300" s="53">
        <v>9.583333333333334E-2</v>
      </c>
      <c r="H1300" s="1" t="s">
        <v>268</v>
      </c>
      <c r="I1300" s="1" t="s">
        <v>269</v>
      </c>
      <c r="J1300" s="1" t="s">
        <v>270</v>
      </c>
      <c r="K1300" s="1" t="s">
        <v>674</v>
      </c>
      <c r="L1300" s="1" t="s">
        <v>856</v>
      </c>
      <c r="M1300" s="1" t="s">
        <v>289</v>
      </c>
      <c r="N1300" s="1" t="s">
        <v>253</v>
      </c>
      <c r="O1300" s="1" t="s">
        <v>618</v>
      </c>
      <c r="P1300" s="1" t="str">
        <f>_xlfn.CONCAT(B1300,C1300,D1300,E1300,F1300)</f>
        <v>BC Ibiuna 1.2Inverter(MBUS-13)46074,510416666746074,510416666746074,60625</v>
      </c>
      <c r="Q1300" s="1" t="str">
        <f>_xlfn.CONCAT(H1300,I1300,J1300)</f>
        <v>LIGRFOINT</v>
      </c>
    </row>
    <row r="1301" spans="2:17">
      <c r="B1301" s="1" t="s">
        <v>370</v>
      </c>
      <c r="C1301" s="1" t="s">
        <v>263</v>
      </c>
      <c r="D1301" s="52">
        <v>46074.510416666664</v>
      </c>
      <c r="E1301" s="52">
        <v>46074.510416666664</v>
      </c>
      <c r="F1301" s="52">
        <v>46074.606249999997</v>
      </c>
      <c r="G1301" s="53">
        <v>9.583333333333334E-2</v>
      </c>
      <c r="H1301" s="1" t="s">
        <v>268</v>
      </c>
      <c r="I1301" s="1" t="s">
        <v>269</v>
      </c>
      <c r="J1301" s="1" t="s">
        <v>270</v>
      </c>
      <c r="K1301" s="1" t="s">
        <v>674</v>
      </c>
      <c r="L1301" s="1" t="s">
        <v>856</v>
      </c>
      <c r="M1301" s="1" t="s">
        <v>289</v>
      </c>
      <c r="N1301" s="1" t="s">
        <v>253</v>
      </c>
      <c r="O1301" s="1" t="s">
        <v>618</v>
      </c>
      <c r="P1301" s="1" t="str">
        <f>_xlfn.CONCAT(B1301,C1301,D1301,E1301,F1301)</f>
        <v>BC Ibiuna 1.2Inverter(MBUS-14)46074,510416666746074,510416666746074,60625</v>
      </c>
      <c r="Q1301" s="1" t="str">
        <f>_xlfn.CONCAT(H1301,I1301,J1301)</f>
        <v>LIGRFOINT</v>
      </c>
    </row>
    <row r="1302" spans="2:17">
      <c r="B1302" s="1" t="s">
        <v>370</v>
      </c>
      <c r="C1302" s="1" t="s">
        <v>307</v>
      </c>
      <c r="D1302" s="52">
        <v>46074.510416666664</v>
      </c>
      <c r="E1302" s="52">
        <v>46074.510416666664</v>
      </c>
      <c r="F1302" s="52">
        <v>46074.606249999997</v>
      </c>
      <c r="G1302" s="53">
        <v>9.583333333333334E-2</v>
      </c>
      <c r="H1302" s="1" t="s">
        <v>268</v>
      </c>
      <c r="I1302" s="1" t="s">
        <v>269</v>
      </c>
      <c r="J1302" s="1" t="s">
        <v>270</v>
      </c>
      <c r="K1302" s="1" t="s">
        <v>674</v>
      </c>
      <c r="L1302" s="1" t="s">
        <v>856</v>
      </c>
      <c r="M1302" s="1" t="s">
        <v>289</v>
      </c>
      <c r="N1302" s="1" t="s">
        <v>253</v>
      </c>
      <c r="O1302" s="1" t="s">
        <v>618</v>
      </c>
      <c r="P1302" s="1" t="str">
        <f>_xlfn.CONCAT(B1302,C1302,D1302,E1302,F1302)</f>
        <v>BC Ibiuna 1.2Inverter(MBUS-15)46074,510416666746074,510416666746074,60625</v>
      </c>
      <c r="Q1302" s="1" t="str">
        <f>_xlfn.CONCAT(H1302,I1302,J1302)</f>
        <v>LIGRFOINT</v>
      </c>
    </row>
    <row r="1303" spans="2:17">
      <c r="B1303" s="1" t="s">
        <v>349</v>
      </c>
      <c r="C1303" s="1" t="s">
        <v>350</v>
      </c>
      <c r="D1303" s="52">
        <v>46074.604166666664</v>
      </c>
      <c r="E1303" s="52">
        <v>46074.604166666664</v>
      </c>
      <c r="F1303" s="52">
        <v>46074.739583333336</v>
      </c>
      <c r="G1303" s="53">
        <v>0.13541666666666666</v>
      </c>
      <c r="H1303" s="1" t="s">
        <v>257</v>
      </c>
      <c r="J1303" s="1" t="s">
        <v>371</v>
      </c>
      <c r="K1303" s="1" t="s">
        <v>653</v>
      </c>
      <c r="L1303" s="1" t="s">
        <v>857</v>
      </c>
      <c r="M1303" s="1" t="s">
        <v>289</v>
      </c>
      <c r="N1303" s="1" t="s">
        <v>253</v>
      </c>
      <c r="O1303" s="1" t="s">
        <v>618</v>
      </c>
      <c r="P1303" s="1" t="str">
        <f>_xlfn.CONCAT(B1303,C1303,D1303,E1303,F1303)</f>
        <v>BC Vazante1.2Inverter 1646074,604166666746074,604166666746074,7395833333</v>
      </c>
      <c r="Q1303" s="1" t="str">
        <f>_xlfn.CONCAT(H1303,I1303,J1303)</f>
        <v>DAUINV</v>
      </c>
    </row>
    <row r="1304" spans="2:17">
      <c r="B1304" s="1" t="s">
        <v>331</v>
      </c>
      <c r="C1304" s="1" t="s">
        <v>332</v>
      </c>
      <c r="D1304" s="52">
        <v>46074.614583333336</v>
      </c>
      <c r="E1304" s="52">
        <v>46074.614583333336</v>
      </c>
      <c r="F1304" s="52">
        <v>46074.6875</v>
      </c>
      <c r="G1304" s="53">
        <v>7.2916666666666671E-2</v>
      </c>
      <c r="H1304" s="1" t="s">
        <v>268</v>
      </c>
      <c r="I1304" s="1" t="s">
        <v>269</v>
      </c>
      <c r="J1304" s="1" t="s">
        <v>270</v>
      </c>
      <c r="K1304" s="1" t="s">
        <v>674</v>
      </c>
      <c r="L1304" s="1" t="s">
        <v>858</v>
      </c>
      <c r="M1304" s="1" t="s">
        <v>289</v>
      </c>
      <c r="N1304" s="1" t="s">
        <v>253</v>
      </c>
      <c r="O1304" s="1" t="s">
        <v>618</v>
      </c>
      <c r="P1304" s="1" t="str">
        <f>_xlfn.CONCAT(B1304,C1304,D1304,E1304,F1304)</f>
        <v>BC Varjao2.1215KTL-H0(MBUS-12)46074,614583333346074,614583333346074,6875</v>
      </c>
      <c r="Q1304" s="1" t="str">
        <f>_xlfn.CONCAT(H1304,I1304,J1304)</f>
        <v>LIGRFOINT</v>
      </c>
    </row>
    <row r="1305" spans="2:17">
      <c r="B1305" s="1" t="s">
        <v>331</v>
      </c>
      <c r="C1305" s="1" t="s">
        <v>335</v>
      </c>
      <c r="D1305" s="52">
        <v>46074.614583333336</v>
      </c>
      <c r="E1305" s="52">
        <v>46074.614583333336</v>
      </c>
      <c r="F1305" s="52">
        <v>46074.6875</v>
      </c>
      <c r="G1305" s="53">
        <v>7.2916666666666671E-2</v>
      </c>
      <c r="H1305" s="1" t="s">
        <v>268</v>
      </c>
      <c r="I1305" s="1" t="s">
        <v>269</v>
      </c>
      <c r="J1305" s="1" t="s">
        <v>270</v>
      </c>
      <c r="K1305" s="1" t="s">
        <v>674</v>
      </c>
      <c r="L1305" s="1" t="s">
        <v>858</v>
      </c>
      <c r="M1305" s="1" t="s">
        <v>289</v>
      </c>
      <c r="N1305" s="1" t="s">
        <v>253</v>
      </c>
      <c r="O1305" s="1" t="s">
        <v>618</v>
      </c>
      <c r="P1305" s="1" t="str">
        <f>_xlfn.CONCAT(B1305,C1305,D1305,E1305,F1305)</f>
        <v>BC Varjao2.1215KTL-H0(MBUS-13)46074,614583333346074,614583333346074,6875</v>
      </c>
      <c r="Q1305" s="1" t="str">
        <f>_xlfn.CONCAT(H1305,I1305,J1305)</f>
        <v>LIGRFOINT</v>
      </c>
    </row>
    <row r="1306" spans="2:17">
      <c r="B1306" s="1" t="s">
        <v>331</v>
      </c>
      <c r="C1306" s="1" t="s">
        <v>336</v>
      </c>
      <c r="D1306" s="52">
        <v>46074.614583333336</v>
      </c>
      <c r="E1306" s="52">
        <v>46074.614583333336</v>
      </c>
      <c r="F1306" s="52">
        <v>46074.6875</v>
      </c>
      <c r="G1306" s="53">
        <v>7.2916666666666671E-2</v>
      </c>
      <c r="H1306" s="1" t="s">
        <v>268</v>
      </c>
      <c r="I1306" s="1" t="s">
        <v>269</v>
      </c>
      <c r="J1306" s="1" t="s">
        <v>270</v>
      </c>
      <c r="K1306" s="1" t="s">
        <v>674</v>
      </c>
      <c r="L1306" s="1" t="s">
        <v>858</v>
      </c>
      <c r="M1306" s="1" t="s">
        <v>289</v>
      </c>
      <c r="N1306" s="1" t="s">
        <v>253</v>
      </c>
      <c r="O1306" s="1" t="s">
        <v>618</v>
      </c>
      <c r="P1306" s="1" t="str">
        <f>_xlfn.CONCAT(B1306,C1306,D1306,E1306,F1306)</f>
        <v>BC Varjao2.1215KTL-H0(MBUS-14)46074,614583333346074,614583333346074,6875</v>
      </c>
      <c r="Q1306" s="1" t="str">
        <f>_xlfn.CONCAT(H1306,I1306,J1306)</f>
        <v>LIGRFOINT</v>
      </c>
    </row>
    <row r="1307" spans="2:17">
      <c r="B1307" s="1" t="s">
        <v>331</v>
      </c>
      <c r="C1307" s="1" t="s">
        <v>337</v>
      </c>
      <c r="D1307" s="52">
        <v>46074.614583333336</v>
      </c>
      <c r="E1307" s="52">
        <v>46074.614583333336</v>
      </c>
      <c r="F1307" s="52">
        <v>46074.6875</v>
      </c>
      <c r="G1307" s="53">
        <v>7.2916666666666671E-2</v>
      </c>
      <c r="H1307" s="1" t="s">
        <v>268</v>
      </c>
      <c r="I1307" s="1" t="s">
        <v>269</v>
      </c>
      <c r="J1307" s="1" t="s">
        <v>270</v>
      </c>
      <c r="K1307" s="1" t="s">
        <v>674</v>
      </c>
      <c r="L1307" s="1" t="s">
        <v>858</v>
      </c>
      <c r="M1307" s="1" t="s">
        <v>289</v>
      </c>
      <c r="N1307" s="1" t="s">
        <v>253</v>
      </c>
      <c r="O1307" s="1" t="s">
        <v>618</v>
      </c>
      <c r="P1307" s="1" t="str">
        <f>_xlfn.CONCAT(B1307,C1307,D1307,E1307,F1307)</f>
        <v>BC Varjao2.1215KTL-H0(MBUS-15)46074,614583333346074,614583333346074,6875</v>
      </c>
      <c r="Q1307" s="1" t="str">
        <f>_xlfn.CONCAT(H1307,I1307,J1307)</f>
        <v>LIGRFOINT</v>
      </c>
    </row>
    <row r="1308" spans="2:17">
      <c r="B1308" s="1" t="s">
        <v>331</v>
      </c>
      <c r="C1308" s="1" t="s">
        <v>338</v>
      </c>
      <c r="D1308" s="52">
        <v>46074.614583333336</v>
      </c>
      <c r="E1308" s="52">
        <v>46074.614583333336</v>
      </c>
      <c r="F1308" s="52">
        <v>46074.6875</v>
      </c>
      <c r="G1308" s="53">
        <v>7.2916666666666671E-2</v>
      </c>
      <c r="H1308" s="1" t="s">
        <v>268</v>
      </c>
      <c r="I1308" s="1" t="s">
        <v>269</v>
      </c>
      <c r="J1308" s="1" t="s">
        <v>270</v>
      </c>
      <c r="K1308" s="1" t="s">
        <v>674</v>
      </c>
      <c r="L1308" s="1" t="s">
        <v>858</v>
      </c>
      <c r="M1308" s="1" t="s">
        <v>289</v>
      </c>
      <c r="N1308" s="1" t="s">
        <v>253</v>
      </c>
      <c r="O1308" s="1" t="s">
        <v>618</v>
      </c>
      <c r="P1308" s="1" t="str">
        <f>_xlfn.CONCAT(B1308,C1308,D1308,E1308,F1308)</f>
        <v>BC Varjao2.1215KTL-H0(MBUS-16)46074,614583333346074,614583333346074,6875</v>
      </c>
      <c r="Q1308" s="1" t="str">
        <f>_xlfn.CONCAT(H1308,I1308,J1308)</f>
        <v>LIGRFOINT</v>
      </c>
    </row>
    <row r="1309" spans="2:17">
      <c r="B1309" s="1" t="s">
        <v>339</v>
      </c>
      <c r="C1309" s="1" t="s">
        <v>335</v>
      </c>
      <c r="D1309" s="52">
        <v>46074.614583333336</v>
      </c>
      <c r="E1309" s="52">
        <v>46074.614583333336</v>
      </c>
      <c r="F1309" s="52">
        <v>46074.6875</v>
      </c>
      <c r="G1309" s="53">
        <v>7.2916666666666671E-2</v>
      </c>
      <c r="H1309" s="1" t="s">
        <v>268</v>
      </c>
      <c r="I1309" s="1" t="s">
        <v>269</v>
      </c>
      <c r="J1309" s="1" t="s">
        <v>270</v>
      </c>
      <c r="K1309" s="1" t="s">
        <v>674</v>
      </c>
      <c r="L1309" s="1" t="s">
        <v>858</v>
      </c>
      <c r="M1309" s="1" t="s">
        <v>289</v>
      </c>
      <c r="N1309" s="1" t="s">
        <v>253</v>
      </c>
      <c r="O1309" s="1" t="s">
        <v>618</v>
      </c>
      <c r="P1309" s="1" t="str">
        <f>_xlfn.CONCAT(B1309,C1309,D1309,E1309,F1309)</f>
        <v>BC Varjao2.2215KTL-H0(MBUS-13)46074,614583333346074,614583333346074,6875</v>
      </c>
      <c r="Q1309" s="1" t="str">
        <f>_xlfn.CONCAT(H1309,I1309,J1309)</f>
        <v>LIGRFOINT</v>
      </c>
    </row>
    <row r="1310" spans="2:17">
      <c r="B1310" s="1" t="s">
        <v>339</v>
      </c>
      <c r="C1310" s="1" t="s">
        <v>336</v>
      </c>
      <c r="D1310" s="52">
        <v>46074.614583333336</v>
      </c>
      <c r="E1310" s="52">
        <v>46074.614583333336</v>
      </c>
      <c r="F1310" s="52">
        <v>46074.6875</v>
      </c>
      <c r="G1310" s="53">
        <v>7.2916666666666671E-2</v>
      </c>
      <c r="H1310" s="1" t="s">
        <v>268</v>
      </c>
      <c r="I1310" s="1" t="s">
        <v>269</v>
      </c>
      <c r="J1310" s="1" t="s">
        <v>270</v>
      </c>
      <c r="K1310" s="1" t="s">
        <v>674</v>
      </c>
      <c r="L1310" s="1" t="s">
        <v>858</v>
      </c>
      <c r="M1310" s="1" t="s">
        <v>289</v>
      </c>
      <c r="N1310" s="1" t="s">
        <v>253</v>
      </c>
      <c r="O1310" s="1" t="s">
        <v>618</v>
      </c>
      <c r="P1310" s="1" t="str">
        <f>_xlfn.CONCAT(B1310,C1310,D1310,E1310,F1310)</f>
        <v>BC Varjao2.2215KTL-H0(MBUS-14)46074,614583333346074,614583333346074,6875</v>
      </c>
      <c r="Q1310" s="1" t="str">
        <f>_xlfn.CONCAT(H1310,I1310,J1310)</f>
        <v>LIGRFOINT</v>
      </c>
    </row>
    <row r="1311" spans="2:17">
      <c r="B1311" s="1" t="s">
        <v>339</v>
      </c>
      <c r="C1311" s="1" t="s">
        <v>337</v>
      </c>
      <c r="D1311" s="52">
        <v>46074.614583333336</v>
      </c>
      <c r="E1311" s="52">
        <v>46074.614583333336</v>
      </c>
      <c r="F1311" s="52">
        <v>46074.6875</v>
      </c>
      <c r="G1311" s="53">
        <v>7.2916666666666671E-2</v>
      </c>
      <c r="H1311" s="1" t="s">
        <v>268</v>
      </c>
      <c r="I1311" s="1" t="s">
        <v>269</v>
      </c>
      <c r="J1311" s="1" t="s">
        <v>270</v>
      </c>
      <c r="K1311" s="1" t="s">
        <v>674</v>
      </c>
      <c r="L1311" s="1" t="s">
        <v>858</v>
      </c>
      <c r="M1311" s="1" t="s">
        <v>289</v>
      </c>
      <c r="N1311" s="1" t="s">
        <v>253</v>
      </c>
      <c r="O1311" s="1" t="s">
        <v>618</v>
      </c>
      <c r="P1311" s="1" t="str">
        <f>_xlfn.CONCAT(B1311,C1311,D1311,E1311,F1311)</f>
        <v>BC Varjao2.2215KTL-H0(MBUS-15)46074,614583333346074,614583333346074,6875</v>
      </c>
      <c r="Q1311" s="1" t="str">
        <f>_xlfn.CONCAT(H1311,I1311,J1311)</f>
        <v>LIGRFOINT</v>
      </c>
    </row>
    <row r="1312" spans="2:17">
      <c r="B1312" s="1" t="s">
        <v>339</v>
      </c>
      <c r="C1312" s="1" t="s">
        <v>338</v>
      </c>
      <c r="D1312" s="52">
        <v>46074.614583333336</v>
      </c>
      <c r="E1312" s="52">
        <v>46074.614583333336</v>
      </c>
      <c r="F1312" s="52">
        <v>46074.6875</v>
      </c>
      <c r="G1312" s="53">
        <v>7.2916666666666671E-2</v>
      </c>
      <c r="H1312" s="1" t="s">
        <v>268</v>
      </c>
      <c r="I1312" s="1" t="s">
        <v>269</v>
      </c>
      <c r="J1312" s="1" t="s">
        <v>270</v>
      </c>
      <c r="K1312" s="1" t="s">
        <v>674</v>
      </c>
      <c r="L1312" s="1" t="s">
        <v>858</v>
      </c>
      <c r="M1312" s="1" t="s">
        <v>289</v>
      </c>
      <c r="N1312" s="1" t="s">
        <v>253</v>
      </c>
      <c r="O1312" s="1" t="s">
        <v>618</v>
      </c>
      <c r="P1312" s="1" t="str">
        <f>_xlfn.CONCAT(B1312,C1312,D1312,E1312,F1312)</f>
        <v>BC Varjao2.2215KTL-H0(MBUS-16)46074,614583333346074,614583333346074,6875</v>
      </c>
      <c r="Q1312" s="1" t="str">
        <f>_xlfn.CONCAT(H1312,I1312,J1312)</f>
        <v>LIGRFOINT</v>
      </c>
    </row>
    <row r="1313" spans="2:17">
      <c r="B1313" s="1" t="s">
        <v>339</v>
      </c>
      <c r="C1313" s="1" t="s">
        <v>332</v>
      </c>
      <c r="D1313" s="52">
        <v>46074.614583333336</v>
      </c>
      <c r="E1313" s="52">
        <v>46074.614583333336</v>
      </c>
      <c r="F1313" s="52">
        <v>46074.6875</v>
      </c>
      <c r="G1313" s="53">
        <v>7.2916666666666671E-2</v>
      </c>
      <c r="H1313" s="1" t="s">
        <v>268</v>
      </c>
      <c r="I1313" s="1" t="s">
        <v>269</v>
      </c>
      <c r="J1313" s="1" t="s">
        <v>270</v>
      </c>
      <c r="K1313" s="1" t="s">
        <v>674</v>
      </c>
      <c r="L1313" s="1" t="s">
        <v>858</v>
      </c>
      <c r="M1313" s="1" t="s">
        <v>289</v>
      </c>
      <c r="N1313" s="1" t="s">
        <v>253</v>
      </c>
      <c r="O1313" s="1" t="s">
        <v>618</v>
      </c>
      <c r="P1313" s="1" t="str">
        <f>_xlfn.CONCAT(B1313,C1313,D1313,E1313,F1313)</f>
        <v>BC Varjao2.2215KTL-H0(MBUS-12)46074,614583333346074,614583333346074,6875</v>
      </c>
      <c r="Q1313" s="1" t="str">
        <f>_xlfn.CONCAT(H1313,I1313,J1313)</f>
        <v>LIGRFOINT</v>
      </c>
    </row>
    <row r="1314" spans="2:17">
      <c r="B1314" s="1" t="s">
        <v>340</v>
      </c>
      <c r="C1314" s="1" t="s">
        <v>341</v>
      </c>
      <c r="D1314" s="52">
        <v>46074.614583333336</v>
      </c>
      <c r="E1314" s="52">
        <v>46074.614583333336</v>
      </c>
      <c r="F1314" s="52">
        <v>46074.6875</v>
      </c>
      <c r="G1314" s="53">
        <v>7.2916666666666671E-2</v>
      </c>
      <c r="H1314" s="1" t="s">
        <v>268</v>
      </c>
      <c r="I1314" s="1" t="s">
        <v>269</v>
      </c>
      <c r="J1314" s="1" t="s">
        <v>270</v>
      </c>
      <c r="K1314" s="1" t="s">
        <v>674</v>
      </c>
      <c r="L1314" s="1" t="s">
        <v>858</v>
      </c>
      <c r="M1314" s="1" t="s">
        <v>289</v>
      </c>
      <c r="N1314" s="1" t="s">
        <v>253</v>
      </c>
      <c r="O1314" s="1" t="s">
        <v>618</v>
      </c>
      <c r="P1314" s="1" t="str">
        <f>_xlfn.CONCAT(B1314,C1314,D1314,E1314,F1314)</f>
        <v>BC Varjao2.3100KTL-H1(MBUS-1)46074,614583333346074,614583333346074,6875</v>
      </c>
      <c r="Q1314" s="1" t="str">
        <f>_xlfn.CONCAT(H1314,I1314,J1314)</f>
        <v>LIGRFOINT</v>
      </c>
    </row>
    <row r="1315" spans="2:17">
      <c r="B1315" s="1" t="s">
        <v>340</v>
      </c>
      <c r="C1315" s="1" t="s">
        <v>335</v>
      </c>
      <c r="D1315" s="52">
        <v>46074.614583333336</v>
      </c>
      <c r="E1315" s="52">
        <v>46074.614583333336</v>
      </c>
      <c r="F1315" s="59">
        <v>46074.6875</v>
      </c>
      <c r="G1315" s="53">
        <v>7.2916666666666671E-2</v>
      </c>
      <c r="H1315" s="1" t="s">
        <v>268</v>
      </c>
      <c r="I1315" s="1" t="s">
        <v>269</v>
      </c>
      <c r="J1315" s="1" t="s">
        <v>270</v>
      </c>
      <c r="K1315" s="1" t="s">
        <v>674</v>
      </c>
      <c r="L1315" s="1" t="s">
        <v>858</v>
      </c>
      <c r="M1315" s="1" t="s">
        <v>252</v>
      </c>
      <c r="N1315" s="1" t="s">
        <v>253</v>
      </c>
      <c r="O1315" s="72" t="s">
        <v>621</v>
      </c>
      <c r="P1315" s="1" t="str">
        <f>_xlfn.CONCAT(B1315,C1315,D1315,E1315,F1315)</f>
        <v>BC Varjao2.3215KTL-H0(MBUS-13)46074,614583333346074,614583333346074,6875</v>
      </c>
      <c r="Q1315" s="1" t="str">
        <f>_xlfn.CONCAT(H1315,I1315,J1315)</f>
        <v>LIGRFOINT</v>
      </c>
    </row>
    <row r="1316" spans="2:17">
      <c r="B1316" s="1" t="s">
        <v>340</v>
      </c>
      <c r="C1316" s="1" t="s">
        <v>332</v>
      </c>
      <c r="D1316" s="52">
        <v>46074.614583333336</v>
      </c>
      <c r="E1316" s="52">
        <v>46074.614583333336</v>
      </c>
      <c r="F1316" s="52">
        <v>46074.6875</v>
      </c>
      <c r="G1316" s="53">
        <v>7.2916666666666671E-2</v>
      </c>
      <c r="H1316" s="1" t="s">
        <v>268</v>
      </c>
      <c r="I1316" s="1" t="s">
        <v>269</v>
      </c>
      <c r="J1316" s="1" t="s">
        <v>270</v>
      </c>
      <c r="K1316" s="1" t="s">
        <v>674</v>
      </c>
      <c r="L1316" s="1" t="s">
        <v>858</v>
      </c>
      <c r="M1316" s="1" t="s">
        <v>260</v>
      </c>
      <c r="N1316" s="1" t="s">
        <v>261</v>
      </c>
      <c r="O1316" s="1" t="s">
        <v>624</v>
      </c>
      <c r="P1316" s="1" t="str">
        <f>_xlfn.CONCAT(B1316,C1316,D1316,E1316,F1316)</f>
        <v>BC Varjao2.3215KTL-H0(MBUS-12)46074,614583333346074,614583333346074,6875</v>
      </c>
      <c r="Q1316" s="1" t="str">
        <f>_xlfn.CONCAT(H1316,I1316,J1316)</f>
        <v>LIGRFOINT</v>
      </c>
    </row>
    <row r="1317" spans="2:17">
      <c r="B1317" s="1" t="s">
        <v>305</v>
      </c>
      <c r="C1317" s="1" t="s">
        <v>256</v>
      </c>
      <c r="D1317" s="52">
        <v>46074.929166666669</v>
      </c>
      <c r="E1317" s="52">
        <v>46074.929166666669</v>
      </c>
      <c r="F1317" s="52">
        <v>46075.010416666664</v>
      </c>
      <c r="G1317" s="53">
        <v>8.1250000000000003E-2</v>
      </c>
      <c r="H1317" s="1" t="s">
        <v>257</v>
      </c>
      <c r="J1317" s="1" t="s">
        <v>258</v>
      </c>
      <c r="K1317" s="1" t="s">
        <v>658</v>
      </c>
      <c r="L1317" s="1" t="s">
        <v>859</v>
      </c>
      <c r="M1317" s="1" t="s">
        <v>260</v>
      </c>
      <c r="N1317" s="1" t="s">
        <v>261</v>
      </c>
      <c r="O1317" s="1" t="s">
        <v>607</v>
      </c>
      <c r="P1317" s="1" t="str">
        <f>_xlfn.CONCAT(B1317,C1317,D1317,E1317,F1317)</f>
        <v>ARAGUATINS 1.1Inverter(MBUS-12)46074,929166666746074,929166666746075,0104166667</v>
      </c>
      <c r="Q1317" s="1" t="str">
        <f>_xlfn.CONCAT(H1317,I1317,J1317)</f>
        <v>DAURDE</v>
      </c>
    </row>
    <row r="1318" spans="2:17">
      <c r="B1318" s="1" t="s">
        <v>305</v>
      </c>
      <c r="C1318" s="1" t="s">
        <v>264</v>
      </c>
      <c r="D1318" s="52">
        <v>46074.929166666669</v>
      </c>
      <c r="E1318" s="52">
        <v>46074.929166666669</v>
      </c>
      <c r="F1318" s="52">
        <v>46075.010416666664</v>
      </c>
      <c r="G1318" s="53">
        <v>8.1250000000000003E-2</v>
      </c>
      <c r="H1318" s="1" t="s">
        <v>257</v>
      </c>
      <c r="J1318" s="1" t="s">
        <v>258</v>
      </c>
      <c r="K1318" s="1" t="s">
        <v>658</v>
      </c>
      <c r="L1318" s="1" t="s">
        <v>859</v>
      </c>
      <c r="M1318" s="1" t="s">
        <v>260</v>
      </c>
      <c r="N1318" s="1" t="s">
        <v>261</v>
      </c>
      <c r="O1318" s="1" t="s">
        <v>607</v>
      </c>
      <c r="P1318" s="1" t="str">
        <f>_xlfn.CONCAT(B1318,C1318,D1318,E1318,F1318)</f>
        <v>ARAGUATINS 1.1Inverter(MBUS-13)46074,929166666746074,929166666746075,0104166667</v>
      </c>
      <c r="Q1318" s="1" t="str">
        <f>_xlfn.CONCAT(H1318,I1318,J1318)</f>
        <v>DAURDE</v>
      </c>
    </row>
    <row r="1319" spans="2:17">
      <c r="B1319" s="1" t="s">
        <v>305</v>
      </c>
      <c r="C1319" s="1" t="s">
        <v>263</v>
      </c>
      <c r="D1319" s="52">
        <v>46074.929166666669</v>
      </c>
      <c r="E1319" s="52">
        <v>46074.929166666669</v>
      </c>
      <c r="F1319" s="52">
        <v>46075.010416666664</v>
      </c>
      <c r="G1319" s="53">
        <v>8.1250000000000003E-2</v>
      </c>
      <c r="H1319" s="1" t="s">
        <v>257</v>
      </c>
      <c r="J1319" s="1" t="s">
        <v>258</v>
      </c>
      <c r="K1319" s="1" t="s">
        <v>658</v>
      </c>
      <c r="L1319" s="1" t="s">
        <v>859</v>
      </c>
      <c r="M1319" s="1" t="s">
        <v>260</v>
      </c>
      <c r="N1319" s="1" t="s">
        <v>261</v>
      </c>
      <c r="O1319" s="1" t="s">
        <v>607</v>
      </c>
      <c r="P1319" s="1" t="str">
        <f>_xlfn.CONCAT(B1319,C1319,D1319,E1319,F1319)</f>
        <v>ARAGUATINS 1.1Inverter(MBUS-14)46074,929166666746074,929166666746075,0104166667</v>
      </c>
      <c r="Q1319" s="1" t="str">
        <f>_xlfn.CONCAT(H1319,I1319,J1319)</f>
        <v>DAURDE</v>
      </c>
    </row>
    <row r="1320" spans="2:17">
      <c r="B1320" s="1" t="s">
        <v>305</v>
      </c>
      <c r="C1320" s="1" t="s">
        <v>307</v>
      </c>
      <c r="D1320" s="52">
        <v>46074.929166666669</v>
      </c>
      <c r="E1320" s="52">
        <v>46074.929166666669</v>
      </c>
      <c r="F1320" s="52">
        <v>46075.010416666664</v>
      </c>
      <c r="G1320" s="53">
        <v>8.1250000000000003E-2</v>
      </c>
      <c r="H1320" s="1" t="s">
        <v>257</v>
      </c>
      <c r="J1320" s="1" t="s">
        <v>258</v>
      </c>
      <c r="K1320" s="1" t="s">
        <v>658</v>
      </c>
      <c r="L1320" s="1" t="s">
        <v>859</v>
      </c>
      <c r="M1320" s="1" t="s">
        <v>260</v>
      </c>
      <c r="N1320" s="1" t="s">
        <v>261</v>
      </c>
      <c r="O1320" s="1" t="s">
        <v>607</v>
      </c>
      <c r="P1320" s="1" t="str">
        <f>_xlfn.CONCAT(B1320,C1320,D1320,E1320,F1320)</f>
        <v>ARAGUATINS 1.1Inverter(MBUS-15)46074,929166666746074,929166666746075,0104166667</v>
      </c>
      <c r="Q1320" s="1" t="str">
        <f>_xlfn.CONCAT(H1320,I1320,J1320)</f>
        <v>DAURDE</v>
      </c>
    </row>
    <row r="1321" spans="2:17">
      <c r="B1321" s="1" t="s">
        <v>308</v>
      </c>
      <c r="C1321" s="1" t="s">
        <v>256</v>
      </c>
      <c r="D1321" s="52">
        <v>46074.929166666669</v>
      </c>
      <c r="E1321" s="52">
        <v>46074.929166666669</v>
      </c>
      <c r="F1321" s="52">
        <v>46075.010416666664</v>
      </c>
      <c r="G1321" s="53">
        <v>8.1250000000000003E-2</v>
      </c>
      <c r="H1321" s="1" t="s">
        <v>257</v>
      </c>
      <c r="J1321" s="1" t="s">
        <v>258</v>
      </c>
      <c r="K1321" s="1" t="s">
        <v>658</v>
      </c>
      <c r="L1321" s="1" t="s">
        <v>859</v>
      </c>
      <c r="M1321" s="1" t="s">
        <v>260</v>
      </c>
      <c r="N1321" s="1" t="s">
        <v>261</v>
      </c>
      <c r="O1321" s="1" t="s">
        <v>607</v>
      </c>
      <c r="P1321" s="1" t="str">
        <f>_xlfn.CONCAT(B1321,C1321,D1321,E1321,F1321)</f>
        <v>ARAGUATINS 1.2Inverter(MBUS-12)46074,929166666746074,929166666746075,0104166667</v>
      </c>
      <c r="Q1321" s="1" t="str">
        <f>_xlfn.CONCAT(H1321,I1321,J1321)</f>
        <v>DAURDE</v>
      </c>
    </row>
    <row r="1322" spans="2:17">
      <c r="B1322" s="1" t="s">
        <v>308</v>
      </c>
      <c r="C1322" s="1" t="s">
        <v>264</v>
      </c>
      <c r="D1322" s="52">
        <v>46074.929166666669</v>
      </c>
      <c r="E1322" s="52">
        <v>46074.929166666669</v>
      </c>
      <c r="F1322" s="52">
        <v>46075.010416666664</v>
      </c>
      <c r="G1322" s="53">
        <v>8.1250000000000003E-2</v>
      </c>
      <c r="H1322" s="1" t="s">
        <v>257</v>
      </c>
      <c r="J1322" s="1" t="s">
        <v>258</v>
      </c>
      <c r="K1322" s="1" t="s">
        <v>658</v>
      </c>
      <c r="L1322" s="1" t="s">
        <v>859</v>
      </c>
      <c r="M1322" s="1" t="s">
        <v>260</v>
      </c>
      <c r="N1322" s="1" t="s">
        <v>261</v>
      </c>
      <c r="O1322" s="1" t="s">
        <v>607</v>
      </c>
      <c r="P1322" s="1" t="str">
        <f>_xlfn.CONCAT(B1322,C1322,D1322,E1322,F1322)</f>
        <v>ARAGUATINS 1.2Inverter(MBUS-13)46074,929166666746074,929166666746075,0104166667</v>
      </c>
      <c r="Q1322" s="1" t="str">
        <f>_xlfn.CONCAT(H1322,I1322,J1322)</f>
        <v>DAURDE</v>
      </c>
    </row>
    <row r="1323" spans="2:17">
      <c r="B1323" s="1" t="s">
        <v>308</v>
      </c>
      <c r="C1323" s="1" t="s">
        <v>263</v>
      </c>
      <c r="D1323" s="52">
        <v>46074.929166666669</v>
      </c>
      <c r="E1323" s="52">
        <v>46074.929166666669</v>
      </c>
      <c r="F1323" s="52">
        <v>46075.010416666664</v>
      </c>
      <c r="G1323" s="53">
        <v>8.1250000000000003E-2</v>
      </c>
      <c r="H1323" s="1" t="s">
        <v>257</v>
      </c>
      <c r="J1323" s="1" t="s">
        <v>258</v>
      </c>
      <c r="K1323" s="1" t="s">
        <v>658</v>
      </c>
      <c r="L1323" s="1" t="s">
        <v>859</v>
      </c>
      <c r="M1323" s="1" t="s">
        <v>260</v>
      </c>
      <c r="N1323" s="1" t="s">
        <v>261</v>
      </c>
      <c r="O1323" s="1" t="s">
        <v>607</v>
      </c>
      <c r="P1323" s="1" t="str">
        <f>_xlfn.CONCAT(B1323,C1323,D1323,E1323,F1323)</f>
        <v>ARAGUATINS 1.2Inverter(MBUS-14)46074,929166666746074,929166666746075,0104166667</v>
      </c>
      <c r="Q1323" s="1" t="str">
        <f>_xlfn.CONCAT(H1323,I1323,J1323)</f>
        <v>DAURDE</v>
      </c>
    </row>
    <row r="1324" spans="2:17">
      <c r="B1324" s="1" t="s">
        <v>308</v>
      </c>
      <c r="C1324" s="1" t="s">
        <v>307</v>
      </c>
      <c r="D1324" s="52">
        <v>46074.929166666669</v>
      </c>
      <c r="E1324" s="52">
        <v>46074.929166666669</v>
      </c>
      <c r="F1324" s="52">
        <v>46075.010416666664</v>
      </c>
      <c r="G1324" s="53">
        <v>8.1250000000000003E-2</v>
      </c>
      <c r="H1324" s="1" t="s">
        <v>257</v>
      </c>
      <c r="J1324" s="1" t="s">
        <v>258</v>
      </c>
      <c r="K1324" s="1" t="s">
        <v>658</v>
      </c>
      <c r="L1324" s="1" t="s">
        <v>859</v>
      </c>
      <c r="M1324" s="1" t="s">
        <v>260</v>
      </c>
      <c r="N1324" s="1" t="s">
        <v>261</v>
      </c>
      <c r="O1324" s="1" t="s">
        <v>607</v>
      </c>
      <c r="P1324" s="1" t="str">
        <f>_xlfn.CONCAT(B1324,C1324,D1324,E1324,F1324)</f>
        <v>ARAGUATINS 1.2Inverter(MBUS-15)46074,929166666746074,929166666746075,0104166667</v>
      </c>
      <c r="Q1324" s="1" t="str">
        <f>_xlfn.CONCAT(H1324,I1324,J1324)</f>
        <v>DAURDE</v>
      </c>
    </row>
    <row r="1325" spans="2:17">
      <c r="B1325" s="1" t="s">
        <v>309</v>
      </c>
      <c r="C1325" s="1" t="s">
        <v>310</v>
      </c>
      <c r="D1325" s="52">
        <v>46074.929166666669</v>
      </c>
      <c r="E1325" s="52">
        <v>46074.929166666669</v>
      </c>
      <c r="F1325" s="52">
        <v>46075.010416666664</v>
      </c>
      <c r="G1325" s="53">
        <v>8.1250000000000003E-2</v>
      </c>
      <c r="H1325" s="1" t="s">
        <v>257</v>
      </c>
      <c r="J1325" s="1" t="s">
        <v>258</v>
      </c>
      <c r="K1325" s="1" t="s">
        <v>658</v>
      </c>
      <c r="L1325" s="1" t="s">
        <v>859</v>
      </c>
      <c r="M1325" s="1" t="s">
        <v>260</v>
      </c>
      <c r="N1325" s="1" t="s">
        <v>261</v>
      </c>
      <c r="O1325" s="1" t="s">
        <v>607</v>
      </c>
      <c r="P1325" s="1" t="str">
        <f>_xlfn.CONCAT(B1325,C1325,D1325,E1325,F1325)</f>
        <v>ARAGUATINS 1.3Inverter(MBUS-20)46074,929166666746074,929166666746075,0104166667</v>
      </c>
      <c r="Q1325" s="1" t="str">
        <f>_xlfn.CONCAT(H1325,I1325,J1325)</f>
        <v>DAURDE</v>
      </c>
    </row>
    <row r="1326" spans="2:17">
      <c r="B1326" s="1" t="s">
        <v>309</v>
      </c>
      <c r="C1326" s="1" t="s">
        <v>247</v>
      </c>
      <c r="D1326" s="52">
        <v>46074.929166666669</v>
      </c>
      <c r="E1326" s="52">
        <v>46074.929166666669</v>
      </c>
      <c r="F1326" s="52">
        <v>46075.010416666664</v>
      </c>
      <c r="G1326" s="53">
        <v>8.1250000000000003E-2</v>
      </c>
      <c r="H1326" s="1" t="s">
        <v>257</v>
      </c>
      <c r="J1326" s="1" t="s">
        <v>258</v>
      </c>
      <c r="K1326" s="1" t="s">
        <v>658</v>
      </c>
      <c r="L1326" s="1" t="s">
        <v>859</v>
      </c>
      <c r="M1326" s="1" t="s">
        <v>260</v>
      </c>
      <c r="N1326" s="1" t="s">
        <v>261</v>
      </c>
      <c r="O1326" s="1" t="s">
        <v>607</v>
      </c>
      <c r="P1326" s="1" t="str">
        <f>_xlfn.CONCAT(B1326,C1326,D1326,E1326,F1326)</f>
        <v>ARAGUATINS 1.3Inverter(MBUS-1)46074,929166666746074,929166666746075,0104166667</v>
      </c>
      <c r="Q1326" s="1" t="str">
        <f>_xlfn.CONCAT(H1326,I1326,J1326)</f>
        <v>DAURDE</v>
      </c>
    </row>
    <row r="1327" spans="2:17">
      <c r="B1327" s="1" t="s">
        <v>311</v>
      </c>
      <c r="C1327" s="1" t="s">
        <v>256</v>
      </c>
      <c r="D1327" s="52">
        <v>46074.929166666669</v>
      </c>
      <c r="E1327" s="52">
        <v>46074.929166666669</v>
      </c>
      <c r="F1327" s="52">
        <v>46075.010416666664</v>
      </c>
      <c r="G1327" s="53">
        <v>8.1250000000000003E-2</v>
      </c>
      <c r="H1327" s="1" t="s">
        <v>257</v>
      </c>
      <c r="J1327" s="1" t="s">
        <v>258</v>
      </c>
      <c r="K1327" s="1" t="s">
        <v>658</v>
      </c>
      <c r="L1327" s="1" t="s">
        <v>859</v>
      </c>
      <c r="M1327" s="1" t="s">
        <v>260</v>
      </c>
      <c r="N1327" s="1" t="s">
        <v>261</v>
      </c>
      <c r="O1327" s="1" t="s">
        <v>607</v>
      </c>
      <c r="P1327" s="1" t="str">
        <f>_xlfn.CONCAT(B1327,C1327,D1327,E1327,F1327)</f>
        <v>ARAGUATINS 2.1Inverter(MBUS-12)46074,929166666746074,929166666746075,0104166667</v>
      </c>
      <c r="Q1327" s="1" t="str">
        <f>_xlfn.CONCAT(H1327,I1327,J1327)</f>
        <v>DAURDE</v>
      </c>
    </row>
    <row r="1328" spans="2:17">
      <c r="B1328" s="1" t="s">
        <v>311</v>
      </c>
      <c r="C1328" s="1" t="s">
        <v>307</v>
      </c>
      <c r="D1328" s="52">
        <v>46074.929166666669</v>
      </c>
      <c r="E1328" s="52">
        <v>46074.929166666669</v>
      </c>
      <c r="F1328" s="52">
        <v>46075.010416666664</v>
      </c>
      <c r="G1328" s="53">
        <v>8.1250000000000003E-2</v>
      </c>
      <c r="H1328" s="1" t="s">
        <v>257</v>
      </c>
      <c r="J1328" s="1" t="s">
        <v>258</v>
      </c>
      <c r="K1328" s="1" t="s">
        <v>658</v>
      </c>
      <c r="L1328" s="1" t="s">
        <v>859</v>
      </c>
      <c r="M1328" s="1" t="s">
        <v>260</v>
      </c>
      <c r="N1328" s="1" t="s">
        <v>261</v>
      </c>
      <c r="O1328" s="1" t="s">
        <v>607</v>
      </c>
      <c r="P1328" s="1" t="str">
        <f>_xlfn.CONCAT(B1328,C1328,D1328,E1328,F1328)</f>
        <v>ARAGUATINS 2.1Inverter(MBUS-15)46074,929166666746074,929166666746075,0104166667</v>
      </c>
      <c r="Q1328" s="1" t="str">
        <f>_xlfn.CONCAT(H1328,I1328,J1328)</f>
        <v>DAURDE</v>
      </c>
    </row>
    <row r="1329" spans="2:17">
      <c r="B1329" s="1" t="s">
        <v>311</v>
      </c>
      <c r="C1329" s="1" t="s">
        <v>263</v>
      </c>
      <c r="D1329" s="52">
        <v>46074.929166666669</v>
      </c>
      <c r="E1329" s="52">
        <v>46074.929166666669</v>
      </c>
      <c r="F1329" s="52">
        <v>46075.010416666664</v>
      </c>
      <c r="G1329" s="53">
        <v>8.1250000000000003E-2</v>
      </c>
      <c r="H1329" s="1" t="s">
        <v>257</v>
      </c>
      <c r="J1329" s="1" t="s">
        <v>258</v>
      </c>
      <c r="K1329" s="1" t="s">
        <v>658</v>
      </c>
      <c r="L1329" s="1" t="s">
        <v>859</v>
      </c>
      <c r="M1329" s="1" t="s">
        <v>260</v>
      </c>
      <c r="N1329" s="1" t="s">
        <v>261</v>
      </c>
      <c r="O1329" s="1" t="s">
        <v>607</v>
      </c>
      <c r="P1329" s="1" t="str">
        <f>_xlfn.CONCAT(B1329,C1329,D1329,E1329,F1329)</f>
        <v>ARAGUATINS 2.1Inverter(MBUS-14)46074,929166666746074,929166666746075,0104166667</v>
      </c>
      <c r="Q1329" s="1" t="str">
        <f>_xlfn.CONCAT(H1329,I1329,J1329)</f>
        <v>DAURDE</v>
      </c>
    </row>
    <row r="1330" spans="2:17">
      <c r="B1330" s="1" t="s">
        <v>311</v>
      </c>
      <c r="C1330" s="1" t="s">
        <v>247</v>
      </c>
      <c r="D1330" s="52">
        <v>46074.929166666669</v>
      </c>
      <c r="E1330" s="52">
        <v>46074.929166666669</v>
      </c>
      <c r="F1330" s="52">
        <v>46075.010416666664</v>
      </c>
      <c r="G1330" s="53">
        <v>8.1250000000000003E-2</v>
      </c>
      <c r="H1330" s="1" t="s">
        <v>257</v>
      </c>
      <c r="J1330" s="1" t="s">
        <v>258</v>
      </c>
      <c r="K1330" s="1" t="s">
        <v>658</v>
      </c>
      <c r="L1330" s="1" t="s">
        <v>859</v>
      </c>
      <c r="M1330" s="1" t="s">
        <v>260</v>
      </c>
      <c r="N1330" s="1" t="s">
        <v>261</v>
      </c>
      <c r="O1330" s="1" t="s">
        <v>607</v>
      </c>
      <c r="P1330" s="1" t="str">
        <f>_xlfn.CONCAT(B1330,C1330,D1330,E1330,F1330)</f>
        <v>ARAGUATINS 2.1Inverter(MBUS-1)46074,929166666746074,929166666746075,0104166667</v>
      </c>
      <c r="Q1330" s="1" t="str">
        <f>_xlfn.CONCAT(H1330,I1330,J1330)</f>
        <v>DAURDE</v>
      </c>
    </row>
    <row r="1331" spans="2:17">
      <c r="B1331" s="1" t="s">
        <v>312</v>
      </c>
      <c r="C1331" s="1" t="s">
        <v>307</v>
      </c>
      <c r="D1331" s="52">
        <v>46074.929166666669</v>
      </c>
      <c r="E1331" s="52">
        <v>46074.929166666669</v>
      </c>
      <c r="F1331" s="52">
        <v>46075.010416666664</v>
      </c>
      <c r="G1331" s="53">
        <v>8.1250000000000003E-2</v>
      </c>
      <c r="H1331" s="1" t="s">
        <v>257</v>
      </c>
      <c r="J1331" s="1" t="s">
        <v>258</v>
      </c>
      <c r="K1331" s="1" t="s">
        <v>658</v>
      </c>
      <c r="L1331" s="1" t="s">
        <v>859</v>
      </c>
      <c r="M1331" s="1" t="s">
        <v>260</v>
      </c>
      <c r="N1331" s="1" t="s">
        <v>261</v>
      </c>
      <c r="O1331" s="1" t="s">
        <v>607</v>
      </c>
      <c r="P1331" s="1" t="str">
        <f>_xlfn.CONCAT(B1331,C1331,D1331,E1331,F1331)</f>
        <v>ARAGUATINS 2.2Inverter(MBUS-15)46074,929166666746074,929166666746075,0104166667</v>
      </c>
      <c r="Q1331" s="1" t="str">
        <f>_xlfn.CONCAT(H1331,I1331,J1331)</f>
        <v>DAURDE</v>
      </c>
    </row>
    <row r="1332" spans="2:17">
      <c r="B1332" s="1" t="s">
        <v>312</v>
      </c>
      <c r="C1332" s="1" t="s">
        <v>264</v>
      </c>
      <c r="D1332" s="52">
        <v>46074.929166666669</v>
      </c>
      <c r="E1332" s="52">
        <v>46074.929166666669</v>
      </c>
      <c r="F1332" s="52">
        <v>46075.010416666664</v>
      </c>
      <c r="G1332" s="53">
        <v>8.1250000000000003E-2</v>
      </c>
      <c r="H1332" s="1" t="s">
        <v>257</v>
      </c>
      <c r="J1332" s="1" t="s">
        <v>258</v>
      </c>
      <c r="K1332" s="1" t="s">
        <v>658</v>
      </c>
      <c r="L1332" s="1" t="s">
        <v>859</v>
      </c>
      <c r="M1332" s="1" t="s">
        <v>260</v>
      </c>
      <c r="N1332" s="1" t="s">
        <v>261</v>
      </c>
      <c r="O1332" s="1" t="s">
        <v>607</v>
      </c>
      <c r="P1332" s="1" t="str">
        <f>_xlfn.CONCAT(B1332,C1332,D1332,E1332,F1332)</f>
        <v>ARAGUATINS 2.2Inverter(MBUS-13)46074,929166666746074,929166666746075,0104166667</v>
      </c>
      <c r="Q1332" s="1" t="str">
        <f>_xlfn.CONCAT(H1332,I1332,J1332)</f>
        <v>DAURDE</v>
      </c>
    </row>
    <row r="1333" spans="2:17">
      <c r="B1333" s="1" t="s">
        <v>312</v>
      </c>
      <c r="C1333" s="1" t="s">
        <v>263</v>
      </c>
      <c r="D1333" s="52">
        <v>46074.929166666669</v>
      </c>
      <c r="E1333" s="52">
        <v>46074.929166666669</v>
      </c>
      <c r="F1333" s="52">
        <v>46075.010416666664</v>
      </c>
      <c r="G1333" s="53">
        <v>8.1250000000000003E-2</v>
      </c>
      <c r="H1333" s="1" t="s">
        <v>257</v>
      </c>
      <c r="J1333" s="1" t="s">
        <v>258</v>
      </c>
      <c r="K1333" s="1" t="s">
        <v>658</v>
      </c>
      <c r="L1333" s="1" t="s">
        <v>859</v>
      </c>
      <c r="M1333" s="1" t="s">
        <v>260</v>
      </c>
      <c r="N1333" s="1" t="s">
        <v>261</v>
      </c>
      <c r="O1333" s="1" t="s">
        <v>607</v>
      </c>
      <c r="P1333" s="1" t="str">
        <f>_xlfn.CONCAT(B1333,C1333,D1333,E1333,F1333)</f>
        <v>ARAGUATINS 2.2Inverter(MBUS-14)46074,929166666746074,929166666746075,0104166667</v>
      </c>
      <c r="Q1333" s="1" t="str">
        <f>_xlfn.CONCAT(H1333,I1333,J1333)</f>
        <v>DAURDE</v>
      </c>
    </row>
    <row r="1334" spans="2:17">
      <c r="B1334" s="1" t="s">
        <v>312</v>
      </c>
      <c r="C1334" s="1" t="s">
        <v>256</v>
      </c>
      <c r="D1334" s="52">
        <v>46074.929166666669</v>
      </c>
      <c r="E1334" s="52">
        <v>46074.929166666669</v>
      </c>
      <c r="F1334" s="52">
        <v>46075.010416666664</v>
      </c>
      <c r="G1334" s="53">
        <v>8.1250000000000003E-2</v>
      </c>
      <c r="H1334" s="1" t="s">
        <v>257</v>
      </c>
      <c r="J1334" s="1" t="s">
        <v>258</v>
      </c>
      <c r="K1334" s="1" t="s">
        <v>658</v>
      </c>
      <c r="L1334" s="1" t="s">
        <v>859</v>
      </c>
      <c r="M1334" s="1" t="s">
        <v>260</v>
      </c>
      <c r="N1334" s="1" t="s">
        <v>261</v>
      </c>
      <c r="O1334" s="1" t="s">
        <v>607</v>
      </c>
      <c r="P1334" s="1" t="str">
        <f>_xlfn.CONCAT(B1334,C1334,D1334,E1334,F1334)</f>
        <v>ARAGUATINS 2.2Inverter(MBUS-12)46074,929166666746074,929166666746075,0104166667</v>
      </c>
      <c r="Q1334" s="1" t="str">
        <f>_xlfn.CONCAT(H1334,I1334,J1334)</f>
        <v>DAURDE</v>
      </c>
    </row>
    <row r="1335" spans="2:17">
      <c r="B1335" s="1" t="s">
        <v>313</v>
      </c>
      <c r="C1335" s="1" t="s">
        <v>256</v>
      </c>
      <c r="D1335" s="52">
        <v>46074.929166666669</v>
      </c>
      <c r="E1335" s="52">
        <v>46074.929166666669</v>
      </c>
      <c r="F1335" s="52">
        <v>46075.010416666664</v>
      </c>
      <c r="G1335" s="53">
        <v>8.1250000000000003E-2</v>
      </c>
      <c r="H1335" s="1" t="s">
        <v>257</v>
      </c>
      <c r="J1335" s="1" t="s">
        <v>258</v>
      </c>
      <c r="K1335" s="1" t="s">
        <v>658</v>
      </c>
      <c r="L1335" s="1" t="s">
        <v>859</v>
      </c>
      <c r="M1335" s="1" t="s">
        <v>260</v>
      </c>
      <c r="N1335" s="1" t="s">
        <v>261</v>
      </c>
      <c r="O1335" s="1" t="s">
        <v>607</v>
      </c>
      <c r="P1335" s="1" t="str">
        <f>_xlfn.CONCAT(B1335,C1335,D1335,E1335,F1335)</f>
        <v>ARAGUATINS 2.3Inverter(MBUS-12)46074,929166666746074,929166666746075,0104166667</v>
      </c>
      <c r="Q1335" s="1" t="str">
        <f>_xlfn.CONCAT(H1335,I1335,J1335)</f>
        <v>DAURDE</v>
      </c>
    </row>
    <row r="1336" spans="2:17">
      <c r="B1336" s="1" t="s">
        <v>313</v>
      </c>
      <c r="C1336" s="1" t="s">
        <v>264</v>
      </c>
      <c r="D1336" s="52">
        <v>46074.929166666669</v>
      </c>
      <c r="E1336" s="52">
        <v>46074.929166666669</v>
      </c>
      <c r="F1336" s="52">
        <v>46075.010416666664</v>
      </c>
      <c r="G1336" s="53">
        <v>8.1250000000000003E-2</v>
      </c>
      <c r="H1336" s="1" t="s">
        <v>257</v>
      </c>
      <c r="J1336" s="1" t="s">
        <v>258</v>
      </c>
      <c r="K1336" s="1" t="s">
        <v>658</v>
      </c>
      <c r="L1336" s="1" t="s">
        <v>859</v>
      </c>
      <c r="M1336" s="1" t="s">
        <v>260</v>
      </c>
      <c r="N1336" s="1" t="s">
        <v>261</v>
      </c>
      <c r="O1336" s="1" t="s">
        <v>607</v>
      </c>
      <c r="P1336" s="1" t="str">
        <f>_xlfn.CONCAT(B1336,C1336,D1336,E1336,F1336)</f>
        <v>ARAGUATINS 2.3Inverter(MBUS-13)46074,929166666746074,929166666746075,0104166667</v>
      </c>
      <c r="Q1336" s="1" t="str">
        <f>_xlfn.CONCAT(H1336,I1336,J1336)</f>
        <v>DAURDE</v>
      </c>
    </row>
    <row r="1337" spans="2:17">
      <c r="B1337" s="1" t="s">
        <v>255</v>
      </c>
      <c r="C1337" s="1" t="s">
        <v>256</v>
      </c>
      <c r="D1337" s="52">
        <v>46075.106249999997</v>
      </c>
      <c r="E1337" s="52">
        <v>46075.106249999997</v>
      </c>
      <c r="F1337" s="52">
        <v>46075.642361111109</v>
      </c>
      <c r="G1337" s="53">
        <v>0.53611111111111109</v>
      </c>
      <c r="H1337" s="1" t="s">
        <v>257</v>
      </c>
      <c r="J1337" s="1" t="s">
        <v>258</v>
      </c>
      <c r="K1337" s="1" t="s">
        <v>658</v>
      </c>
      <c r="L1337" s="1" t="s">
        <v>860</v>
      </c>
      <c r="M1337" s="1" t="s">
        <v>260</v>
      </c>
      <c r="N1337" s="1" t="s">
        <v>261</v>
      </c>
      <c r="O1337" s="1" t="s">
        <v>607</v>
      </c>
      <c r="P1337" s="1" t="str">
        <f>_xlfn.CONCAT(B1337,C1337,D1337,E1337,F1337)</f>
        <v>BC Formoso2.1Inverter(MBUS-12)46075,1062546075,1062546075,6423611111</v>
      </c>
      <c r="Q1337" s="1" t="str">
        <f>_xlfn.CONCAT(H1337,I1337,J1337)</f>
        <v>DAURDE</v>
      </c>
    </row>
    <row r="1338" spans="2:17">
      <c r="B1338" s="1" t="s">
        <v>255</v>
      </c>
      <c r="C1338" s="1" t="s">
        <v>263</v>
      </c>
      <c r="D1338" s="52">
        <v>46075.106249999997</v>
      </c>
      <c r="E1338" s="52">
        <v>46075.106249999997</v>
      </c>
      <c r="F1338" s="52">
        <v>46075.642361111109</v>
      </c>
      <c r="G1338" s="53">
        <v>0.53611111111111109</v>
      </c>
      <c r="H1338" s="1" t="s">
        <v>257</v>
      </c>
      <c r="J1338" s="1" t="s">
        <v>258</v>
      </c>
      <c r="K1338" s="1" t="s">
        <v>658</v>
      </c>
      <c r="L1338" s="1" t="s">
        <v>860</v>
      </c>
      <c r="M1338" s="1" t="s">
        <v>260</v>
      </c>
      <c r="N1338" s="1" t="s">
        <v>261</v>
      </c>
      <c r="O1338" s="1" t="s">
        <v>607</v>
      </c>
      <c r="P1338" s="1" t="str">
        <f>_xlfn.CONCAT(B1338,C1338,D1338,E1338,F1338)</f>
        <v>BC Formoso2.1Inverter(MBUS-14)46075,1062546075,1062546075,6423611111</v>
      </c>
      <c r="Q1338" s="1" t="str">
        <f>_xlfn.CONCAT(H1338,I1338,J1338)</f>
        <v>DAURDE</v>
      </c>
    </row>
    <row r="1339" spans="2:17">
      <c r="B1339" s="1" t="s">
        <v>255</v>
      </c>
      <c r="C1339" s="1" t="s">
        <v>264</v>
      </c>
      <c r="D1339" s="52">
        <v>46075.106249999997</v>
      </c>
      <c r="E1339" s="52">
        <v>46075.106249999997</v>
      </c>
      <c r="F1339" s="52">
        <v>46075.642361111109</v>
      </c>
      <c r="G1339" s="53">
        <v>0.53611111111111109</v>
      </c>
      <c r="H1339" s="1" t="s">
        <v>257</v>
      </c>
      <c r="J1339" s="1" t="s">
        <v>258</v>
      </c>
      <c r="K1339" s="1" t="s">
        <v>658</v>
      </c>
      <c r="L1339" s="1" t="s">
        <v>860</v>
      </c>
      <c r="M1339" s="1" t="s">
        <v>260</v>
      </c>
      <c r="N1339" s="1" t="s">
        <v>261</v>
      </c>
      <c r="O1339" s="1" t="s">
        <v>607</v>
      </c>
      <c r="P1339" s="1" t="str">
        <f>_xlfn.CONCAT(B1339,C1339,D1339,E1339,F1339)</f>
        <v>BC Formoso2.1Inverter(MBUS-13)46075,1062546075,1062546075,6423611111</v>
      </c>
      <c r="Q1339" s="1" t="str">
        <f>_xlfn.CONCAT(H1339,I1339,J1339)</f>
        <v>DAURDE</v>
      </c>
    </row>
    <row r="1340" spans="2:17">
      <c r="B1340" s="1" t="s">
        <v>255</v>
      </c>
      <c r="C1340" s="1" t="s">
        <v>247</v>
      </c>
      <c r="D1340" s="52">
        <v>46075.106249999997</v>
      </c>
      <c r="E1340" s="52">
        <v>46075.106249999997</v>
      </c>
      <c r="F1340" s="52">
        <v>46075.642361111109</v>
      </c>
      <c r="G1340" s="53">
        <v>0.53611111111111109</v>
      </c>
      <c r="H1340" s="1" t="s">
        <v>257</v>
      </c>
      <c r="J1340" s="1" t="s">
        <v>258</v>
      </c>
      <c r="K1340" s="1" t="s">
        <v>658</v>
      </c>
      <c r="L1340" s="1" t="s">
        <v>860</v>
      </c>
      <c r="M1340" s="1" t="s">
        <v>260</v>
      </c>
      <c r="N1340" s="1" t="s">
        <v>261</v>
      </c>
      <c r="O1340" s="1" t="s">
        <v>607</v>
      </c>
      <c r="P1340" s="1" t="str">
        <f>_xlfn.CONCAT(B1340,C1340,D1340,E1340,F1340)</f>
        <v>BC Formoso2.1Inverter(MBUS-1)46075,1062546075,1062546075,6423611111</v>
      </c>
      <c r="Q1340" s="1" t="str">
        <f>_xlfn.CONCAT(H1340,I1340,J1340)</f>
        <v>DAURDE</v>
      </c>
    </row>
    <row r="1341" spans="2:17">
      <c r="B1341" s="1" t="s">
        <v>265</v>
      </c>
      <c r="C1341" s="1" t="s">
        <v>263</v>
      </c>
      <c r="D1341" s="52">
        <v>46075.106249999997</v>
      </c>
      <c r="E1341" s="52">
        <v>46075.106249999997</v>
      </c>
      <c r="F1341" s="52">
        <v>46075.642361111109</v>
      </c>
      <c r="G1341" s="53">
        <v>0.53611111111111109</v>
      </c>
      <c r="H1341" s="1" t="s">
        <v>257</v>
      </c>
      <c r="J1341" s="1" t="s">
        <v>258</v>
      </c>
      <c r="K1341" s="1" t="s">
        <v>658</v>
      </c>
      <c r="L1341" s="1" t="s">
        <v>860</v>
      </c>
      <c r="M1341" s="1" t="s">
        <v>260</v>
      </c>
      <c r="N1341" s="1" t="s">
        <v>261</v>
      </c>
      <c r="O1341" s="1" t="s">
        <v>607</v>
      </c>
      <c r="P1341" s="1" t="str">
        <f>_xlfn.CONCAT(B1341,C1341,D1341,E1341,F1341)</f>
        <v>BC Formoso2.2Inverter(MBUS-14)46075,1062546075,1062546075,6423611111</v>
      </c>
      <c r="Q1341" s="1" t="str">
        <f>_xlfn.CONCAT(H1341,I1341,J1341)</f>
        <v>DAURDE</v>
      </c>
    </row>
    <row r="1342" spans="2:17">
      <c r="B1342" s="1" t="s">
        <v>265</v>
      </c>
      <c r="C1342" s="1" t="s">
        <v>264</v>
      </c>
      <c r="D1342" s="52">
        <v>46075.106249999997</v>
      </c>
      <c r="E1342" s="52">
        <v>46075.106249999997</v>
      </c>
      <c r="F1342" s="52">
        <v>46075.642361111109</v>
      </c>
      <c r="G1342" s="53">
        <v>0.53611111111111109</v>
      </c>
      <c r="H1342" s="1" t="s">
        <v>257</v>
      </c>
      <c r="J1342" s="1" t="s">
        <v>258</v>
      </c>
      <c r="K1342" s="1" t="s">
        <v>658</v>
      </c>
      <c r="L1342" s="1" t="s">
        <v>860</v>
      </c>
      <c r="M1342" s="1" t="s">
        <v>260</v>
      </c>
      <c r="N1342" s="1" t="s">
        <v>261</v>
      </c>
      <c r="O1342" s="1" t="s">
        <v>607</v>
      </c>
      <c r="P1342" s="1" t="str">
        <f>_xlfn.CONCAT(B1342,C1342,D1342,E1342,F1342)</f>
        <v>BC Formoso2.2Inverter(MBUS-13)46075,1062546075,1062546075,6423611111</v>
      </c>
      <c r="Q1342" s="1" t="str">
        <f>_xlfn.CONCAT(H1342,I1342,J1342)</f>
        <v>DAURDE</v>
      </c>
    </row>
    <row r="1343" spans="2:17">
      <c r="B1343" s="1" t="s">
        <v>265</v>
      </c>
      <c r="C1343" s="1" t="s">
        <v>256</v>
      </c>
      <c r="D1343" s="52">
        <v>46075.106249999997</v>
      </c>
      <c r="E1343" s="52">
        <v>46075.106249999997</v>
      </c>
      <c r="F1343" s="52">
        <v>46075.642361111109</v>
      </c>
      <c r="G1343" s="53">
        <v>0.53611111111111109</v>
      </c>
      <c r="H1343" s="1" t="s">
        <v>257</v>
      </c>
      <c r="J1343" s="1" t="s">
        <v>258</v>
      </c>
      <c r="K1343" s="1" t="s">
        <v>658</v>
      </c>
      <c r="L1343" s="1" t="s">
        <v>860</v>
      </c>
      <c r="M1343" s="1" t="s">
        <v>260</v>
      </c>
      <c r="N1343" s="1" t="s">
        <v>261</v>
      </c>
      <c r="O1343" s="1" t="s">
        <v>607</v>
      </c>
      <c r="P1343" s="1" t="str">
        <f>_xlfn.CONCAT(B1343,C1343,D1343,E1343,F1343)</f>
        <v>BC Formoso2.2Inverter(MBUS-12)46075,1062546075,1062546075,6423611111</v>
      </c>
      <c r="Q1343" s="1" t="str">
        <f>_xlfn.CONCAT(H1343,I1343,J1343)</f>
        <v>DAURDE</v>
      </c>
    </row>
    <row r="1344" spans="2:17">
      <c r="B1344" s="1" t="s">
        <v>265</v>
      </c>
      <c r="C1344" s="1" t="s">
        <v>247</v>
      </c>
      <c r="D1344" s="52">
        <v>46075.106249999997</v>
      </c>
      <c r="E1344" s="52">
        <v>46075.106249999997</v>
      </c>
      <c r="F1344" s="52">
        <v>46075.642361111109</v>
      </c>
      <c r="G1344" s="53">
        <v>0.53611111111111109</v>
      </c>
      <c r="H1344" s="1" t="s">
        <v>257</v>
      </c>
      <c r="J1344" s="1" t="s">
        <v>258</v>
      </c>
      <c r="K1344" s="1" t="s">
        <v>658</v>
      </c>
      <c r="L1344" s="1" t="s">
        <v>860</v>
      </c>
      <c r="M1344" s="1" t="s">
        <v>260</v>
      </c>
      <c r="N1344" s="1" t="s">
        <v>261</v>
      </c>
      <c r="O1344" s="1" t="s">
        <v>607</v>
      </c>
      <c r="P1344" s="1" t="str">
        <f>_xlfn.CONCAT(B1344,C1344,D1344,E1344,F1344)</f>
        <v>BC Formoso2.2Inverter(MBUS-1)46075,1062546075,1062546075,6423611111</v>
      </c>
      <c r="Q1344" s="1" t="str">
        <f>_xlfn.CONCAT(H1344,I1344,J1344)</f>
        <v>DAURDE</v>
      </c>
    </row>
    <row r="1345" spans="2:17">
      <c r="B1345" s="1" t="s">
        <v>355</v>
      </c>
      <c r="C1345" s="1" t="s">
        <v>264</v>
      </c>
      <c r="D1345" s="52">
        <v>46075.106249999997</v>
      </c>
      <c r="E1345" s="52">
        <v>46075.106249999997</v>
      </c>
      <c r="F1345" s="52">
        <v>46075.642361111109</v>
      </c>
      <c r="G1345" s="53">
        <v>0.53611111111111109</v>
      </c>
      <c r="H1345" s="1" t="s">
        <v>257</v>
      </c>
      <c r="J1345" s="1" t="s">
        <v>258</v>
      </c>
      <c r="K1345" s="1" t="s">
        <v>658</v>
      </c>
      <c r="L1345" s="1" t="s">
        <v>860</v>
      </c>
      <c r="M1345" s="1" t="s">
        <v>260</v>
      </c>
      <c r="N1345" s="1" t="s">
        <v>261</v>
      </c>
      <c r="O1345" s="1" t="s">
        <v>607</v>
      </c>
      <c r="P1345" s="1" t="str">
        <f>_xlfn.CONCAT(B1345,C1345,D1345,E1345,F1345)</f>
        <v>BC Formoso2.3Inverter(MBUS-13)46075,1062546075,1062546075,6423611111</v>
      </c>
      <c r="Q1345" s="1" t="str">
        <f>_xlfn.CONCAT(H1345,I1345,J1345)</f>
        <v>DAURDE</v>
      </c>
    </row>
    <row r="1346" spans="2:17">
      <c r="B1346" s="1" t="s">
        <v>355</v>
      </c>
      <c r="C1346" s="1" t="s">
        <v>256</v>
      </c>
      <c r="D1346" s="52">
        <v>46075.106249999997</v>
      </c>
      <c r="E1346" s="52">
        <v>46075.106249999997</v>
      </c>
      <c r="F1346" s="52">
        <v>46075.642361111109</v>
      </c>
      <c r="G1346" s="53">
        <v>0.53611111111111109</v>
      </c>
      <c r="H1346" s="1" t="s">
        <v>257</v>
      </c>
      <c r="J1346" s="1" t="s">
        <v>258</v>
      </c>
      <c r="K1346" s="1" t="s">
        <v>658</v>
      </c>
      <c r="L1346" s="1" t="s">
        <v>860</v>
      </c>
      <c r="M1346" s="1" t="s">
        <v>260</v>
      </c>
      <c r="N1346" s="1" t="s">
        <v>261</v>
      </c>
      <c r="O1346" s="1" t="s">
        <v>607</v>
      </c>
      <c r="P1346" s="1" t="str">
        <f>_xlfn.CONCAT(B1346,C1346,D1346,E1346,F1346)</f>
        <v>BC Formoso2.3Inverter(MBUS-12)46075,1062546075,1062546075,6423611111</v>
      </c>
      <c r="Q1346" s="1" t="str">
        <f>_xlfn.CONCAT(H1346,I1346,J1346)</f>
        <v>DAURDE</v>
      </c>
    </row>
    <row r="1347" spans="2:17">
      <c r="B1347" s="1" t="s">
        <v>543</v>
      </c>
      <c r="C1347" s="1" t="s">
        <v>544</v>
      </c>
      <c r="D1347" s="52">
        <v>46075.319444444445</v>
      </c>
      <c r="E1347" s="52">
        <v>46075.319444444445</v>
      </c>
      <c r="F1347" s="52">
        <v>46075.347222222219</v>
      </c>
      <c r="G1347" s="53">
        <v>2.7777777777777776E-2</v>
      </c>
      <c r="H1347" s="1" t="s">
        <v>257</v>
      </c>
      <c r="J1347" s="1" t="s">
        <v>230</v>
      </c>
      <c r="K1347" s="1" t="s">
        <v>230</v>
      </c>
      <c r="L1347" s="1" t="s">
        <v>861</v>
      </c>
      <c r="M1347" s="1" t="s">
        <v>260</v>
      </c>
      <c r="N1347" s="1" t="s">
        <v>261</v>
      </c>
      <c r="O1347" s="1" t="s">
        <v>607</v>
      </c>
      <c r="P1347" s="1" t="str">
        <f>_xlfn.CONCAT(B1347,C1347,D1347,E1347,F1347)</f>
        <v>BC Aracu1Inverter7146075,319444444446075,319444444446075,3472222222</v>
      </c>
      <c r="Q1347" s="1" t="str">
        <f>_xlfn.CONCAT(H1347,I1347,J1347)</f>
        <v>DAUUFV</v>
      </c>
    </row>
    <row r="1348" spans="2:17">
      <c r="B1348" s="1" t="s">
        <v>543</v>
      </c>
      <c r="C1348" s="1" t="s">
        <v>545</v>
      </c>
      <c r="D1348" s="52">
        <v>46075.319444444445</v>
      </c>
      <c r="E1348" s="52">
        <v>46075.319444444445</v>
      </c>
      <c r="F1348" s="52">
        <v>46075.347222222219</v>
      </c>
      <c r="G1348" s="53">
        <v>2.7777777777777776E-2</v>
      </c>
      <c r="H1348" s="1" t="s">
        <v>257</v>
      </c>
      <c r="J1348" s="1" t="s">
        <v>230</v>
      </c>
      <c r="K1348" s="1" t="s">
        <v>230</v>
      </c>
      <c r="L1348" s="1" t="s">
        <v>861</v>
      </c>
      <c r="M1348" s="1" t="s">
        <v>260</v>
      </c>
      <c r="N1348" s="1" t="s">
        <v>261</v>
      </c>
      <c r="O1348" s="1" t="s">
        <v>607</v>
      </c>
      <c r="P1348" s="1" t="str">
        <f>_xlfn.CONCAT(B1348,C1348,D1348,E1348,F1348)</f>
        <v>BC Aracu1Inverter7246075,319444444446075,319444444446075,3472222222</v>
      </c>
      <c r="Q1348" s="1" t="str">
        <f>_xlfn.CONCAT(H1348,I1348,J1348)</f>
        <v>DAUUFV</v>
      </c>
    </row>
    <row r="1349" spans="2:17">
      <c r="B1349" s="1" t="s">
        <v>543</v>
      </c>
      <c r="C1349" s="1" t="s">
        <v>546</v>
      </c>
      <c r="D1349" s="52">
        <v>46075.319444444445</v>
      </c>
      <c r="E1349" s="52">
        <v>46075.319444444445</v>
      </c>
      <c r="F1349" s="52">
        <v>46075.347222222219</v>
      </c>
      <c r="G1349" s="53">
        <v>2.7777777777777776E-2</v>
      </c>
      <c r="H1349" s="1" t="s">
        <v>257</v>
      </c>
      <c r="J1349" s="1" t="s">
        <v>230</v>
      </c>
      <c r="K1349" s="1" t="s">
        <v>230</v>
      </c>
      <c r="L1349" s="1" t="s">
        <v>861</v>
      </c>
      <c r="M1349" s="1" t="s">
        <v>260</v>
      </c>
      <c r="N1349" s="1" t="s">
        <v>261</v>
      </c>
      <c r="O1349" s="1" t="s">
        <v>607</v>
      </c>
      <c r="P1349" s="1" t="str">
        <f>_xlfn.CONCAT(B1349,C1349,D1349,E1349,F1349)</f>
        <v>BC Aracu1Inverter7346075,319444444446075,319444444446075,3472222222</v>
      </c>
      <c r="Q1349" s="1" t="str">
        <f>_xlfn.CONCAT(H1349,I1349,J1349)</f>
        <v>DAUUFV</v>
      </c>
    </row>
    <row r="1350" spans="2:17">
      <c r="B1350" s="1" t="s">
        <v>543</v>
      </c>
      <c r="C1350" s="1" t="s">
        <v>547</v>
      </c>
      <c r="D1350" s="52">
        <v>46075.319444444445</v>
      </c>
      <c r="E1350" s="52">
        <v>46075.319444444445</v>
      </c>
      <c r="F1350" s="52">
        <v>46075.347222222219</v>
      </c>
      <c r="G1350" s="53">
        <v>2.7777777777777776E-2</v>
      </c>
      <c r="H1350" s="1" t="s">
        <v>257</v>
      </c>
      <c r="J1350" s="1" t="s">
        <v>230</v>
      </c>
      <c r="K1350" s="1" t="s">
        <v>230</v>
      </c>
      <c r="L1350" s="1" t="s">
        <v>861</v>
      </c>
      <c r="M1350" s="1" t="s">
        <v>260</v>
      </c>
      <c r="N1350" s="1" t="s">
        <v>261</v>
      </c>
      <c r="O1350" s="1" t="s">
        <v>607</v>
      </c>
      <c r="P1350" s="1" t="str">
        <f>_xlfn.CONCAT(B1350,C1350,D1350,E1350,F1350)</f>
        <v>BC Aracu1Inverter7446075,319444444446075,319444444446075,3472222222</v>
      </c>
      <c r="Q1350" s="1" t="str">
        <f>_xlfn.CONCAT(H1350,I1350,J1350)</f>
        <v>DAUUFV</v>
      </c>
    </row>
    <row r="1351" spans="2:17">
      <c r="B1351" s="1" t="s">
        <v>543</v>
      </c>
      <c r="C1351" s="1" t="s">
        <v>548</v>
      </c>
      <c r="D1351" s="52">
        <v>46075.319444444445</v>
      </c>
      <c r="E1351" s="52">
        <v>46075.319444444445</v>
      </c>
      <c r="F1351" s="52">
        <v>46075.347222222219</v>
      </c>
      <c r="G1351" s="53">
        <v>2.7777777777777776E-2</v>
      </c>
      <c r="H1351" s="1" t="s">
        <v>257</v>
      </c>
      <c r="J1351" s="1" t="s">
        <v>230</v>
      </c>
      <c r="K1351" s="1" t="s">
        <v>230</v>
      </c>
      <c r="L1351" s="1" t="s">
        <v>861</v>
      </c>
      <c r="M1351" s="1" t="s">
        <v>260</v>
      </c>
      <c r="N1351" s="1" t="s">
        <v>261</v>
      </c>
      <c r="O1351" s="1" t="s">
        <v>607</v>
      </c>
      <c r="P1351" s="1" t="str">
        <f>_xlfn.CONCAT(B1351,C1351,D1351,E1351,F1351)</f>
        <v>BC Aracu1Inverter7546075,319444444446075,319444444446075,3472222222</v>
      </c>
      <c r="Q1351" s="1" t="str">
        <f>_xlfn.CONCAT(H1351,I1351,J1351)</f>
        <v>DAUUFV</v>
      </c>
    </row>
    <row r="1352" spans="2:17">
      <c r="B1352" s="1" t="s">
        <v>543</v>
      </c>
      <c r="C1352" s="1" t="s">
        <v>549</v>
      </c>
      <c r="D1352" s="52">
        <v>46075.319444444445</v>
      </c>
      <c r="E1352" s="52">
        <v>46075.319444444445</v>
      </c>
      <c r="F1352" s="52">
        <v>46075.347222222219</v>
      </c>
      <c r="G1352" s="53">
        <v>2.7777777777777776E-2</v>
      </c>
      <c r="H1352" s="1" t="s">
        <v>257</v>
      </c>
      <c r="J1352" s="1" t="s">
        <v>230</v>
      </c>
      <c r="K1352" s="1" t="s">
        <v>230</v>
      </c>
      <c r="L1352" s="1" t="s">
        <v>861</v>
      </c>
      <c r="M1352" s="1" t="s">
        <v>260</v>
      </c>
      <c r="N1352" s="1" t="s">
        <v>261</v>
      </c>
      <c r="O1352" s="1" t="s">
        <v>607</v>
      </c>
      <c r="P1352" s="1" t="str">
        <f>_xlfn.CONCAT(B1352,C1352,D1352,E1352,F1352)</f>
        <v>BC Aracu1Inverter7646075,319444444446075,319444444446075,3472222222</v>
      </c>
      <c r="Q1352" s="1" t="str">
        <f>_xlfn.CONCAT(H1352,I1352,J1352)</f>
        <v>DAUUFV</v>
      </c>
    </row>
    <row r="1353" spans="2:17">
      <c r="B1353" s="1" t="s">
        <v>543</v>
      </c>
      <c r="C1353" s="1" t="s">
        <v>550</v>
      </c>
      <c r="D1353" s="52">
        <v>46075.319444444445</v>
      </c>
      <c r="E1353" s="52">
        <v>46075.319444444445</v>
      </c>
      <c r="F1353" s="52">
        <v>46075.347222222219</v>
      </c>
      <c r="G1353" s="53">
        <v>2.7777777777777776E-2</v>
      </c>
      <c r="H1353" s="1" t="s">
        <v>257</v>
      </c>
      <c r="J1353" s="1" t="s">
        <v>230</v>
      </c>
      <c r="K1353" s="1" t="s">
        <v>230</v>
      </c>
      <c r="L1353" s="1" t="s">
        <v>861</v>
      </c>
      <c r="M1353" s="1" t="s">
        <v>260</v>
      </c>
      <c r="N1353" s="1" t="s">
        <v>261</v>
      </c>
      <c r="O1353" s="1" t="s">
        <v>607</v>
      </c>
      <c r="P1353" s="1" t="str">
        <f>_xlfn.CONCAT(B1353,C1353,D1353,E1353,F1353)</f>
        <v>BC Aracu1Inverter7746075,319444444446075,319444444446075,3472222222</v>
      </c>
      <c r="Q1353" s="1" t="str">
        <f>_xlfn.CONCAT(H1353,I1353,J1353)</f>
        <v>DAUUFV</v>
      </c>
    </row>
    <row r="1354" spans="2:17">
      <c r="B1354" s="1" t="s">
        <v>286</v>
      </c>
      <c r="C1354" s="1" t="s">
        <v>287</v>
      </c>
      <c r="D1354" s="52">
        <v>46075.417361111111</v>
      </c>
      <c r="E1354" s="52">
        <v>46075.417361111111</v>
      </c>
      <c r="F1354" s="52">
        <v>46075.460416666669</v>
      </c>
      <c r="G1354" s="53">
        <v>4.3055555555555555E-2</v>
      </c>
      <c r="H1354" s="1" t="s">
        <v>257</v>
      </c>
      <c r="J1354" s="1" t="s">
        <v>371</v>
      </c>
      <c r="K1354" s="1" t="s">
        <v>653</v>
      </c>
      <c r="L1354" s="1" t="s">
        <v>862</v>
      </c>
      <c r="M1354" s="1" t="s">
        <v>260</v>
      </c>
      <c r="N1354" s="1" t="s">
        <v>261</v>
      </c>
      <c r="O1354" s="1" t="s">
        <v>607</v>
      </c>
      <c r="P1354" s="1" t="str">
        <f>_xlfn.CONCAT(B1354,C1354,D1354,E1354,F1354)</f>
        <v>BC Corumba2.2U02.I0146075,417361111146075,417361111146075,4604166667</v>
      </c>
      <c r="Q1354" s="1" t="str">
        <f>_xlfn.CONCAT(H1354,I1354,J1354)</f>
        <v>DAUINV</v>
      </c>
    </row>
    <row r="1355" spans="2:17">
      <c r="B1355" s="1" t="s">
        <v>612</v>
      </c>
      <c r="C1355" s="1" t="s">
        <v>622</v>
      </c>
      <c r="D1355" s="52">
        <v>46075.527777777781</v>
      </c>
      <c r="E1355" s="52">
        <v>46075.527777777781</v>
      </c>
      <c r="F1355" s="52">
        <v>46075.694444444445</v>
      </c>
      <c r="G1355" s="53">
        <v>0.16666666666666666</v>
      </c>
      <c r="H1355" s="1" t="s">
        <v>257</v>
      </c>
      <c r="J1355" s="1" t="s">
        <v>371</v>
      </c>
      <c r="K1355" s="1" t="s">
        <v>653</v>
      </c>
      <c r="L1355" s="1" t="s">
        <v>863</v>
      </c>
      <c r="M1355" s="1" t="s">
        <v>260</v>
      </c>
      <c r="N1355" s="1" t="s">
        <v>261</v>
      </c>
      <c r="O1355" s="1" t="s">
        <v>607</v>
      </c>
      <c r="P1355" s="1" t="str">
        <f>_xlfn.CONCAT(B1355,C1355,D1355,E1355,F1355)</f>
        <v>BC Vazante 1.1Inverter1246075,527777777846075,527777777846075,6944444444</v>
      </c>
      <c r="Q1355" s="1" t="str">
        <f>_xlfn.CONCAT(H1355,I1355,J1355)</f>
        <v>DAUINV</v>
      </c>
    </row>
    <row r="1356" spans="2:17">
      <c r="B1356" s="1" t="s">
        <v>327</v>
      </c>
      <c r="C1356" s="1" t="s">
        <v>247</v>
      </c>
      <c r="D1356" s="52">
        <v>46075.638888888891</v>
      </c>
      <c r="E1356" s="52">
        <v>46075.638888888891</v>
      </c>
      <c r="F1356" s="52">
        <v>46075.664583333331</v>
      </c>
      <c r="G1356" s="53">
        <v>2.5694444444444443E-2</v>
      </c>
      <c r="H1356" s="1" t="s">
        <v>257</v>
      </c>
      <c r="J1356" s="1" t="s">
        <v>258</v>
      </c>
      <c r="K1356" s="1" t="s">
        <v>658</v>
      </c>
      <c r="L1356" s="1" t="s">
        <v>864</v>
      </c>
      <c r="M1356" s="1" t="s">
        <v>260</v>
      </c>
      <c r="N1356" s="1" t="s">
        <v>261</v>
      </c>
      <c r="O1356" s="1" t="s">
        <v>607</v>
      </c>
      <c r="P1356" s="1" t="str">
        <f>_xlfn.CONCAT(B1356,C1356,D1356,E1356,F1356)</f>
        <v>BC Aracu5.1Inverter(MBUS-1)46075,638888888946075,638888888946075,6645833333</v>
      </c>
      <c r="Q1356" s="1" t="str">
        <f>_xlfn.CONCAT(H1356,I1356,J1356)</f>
        <v>DAURDE</v>
      </c>
    </row>
    <row r="1357" spans="2:17">
      <c r="B1357" s="1" t="s">
        <v>328</v>
      </c>
      <c r="C1357" s="1" t="s">
        <v>247</v>
      </c>
      <c r="D1357" s="52">
        <v>46075.638888888891</v>
      </c>
      <c r="E1357" s="52">
        <v>46075.638888888891</v>
      </c>
      <c r="F1357" s="52">
        <v>46075.664583333331</v>
      </c>
      <c r="G1357" s="53">
        <v>2.5694444444444443E-2</v>
      </c>
      <c r="H1357" s="1" t="s">
        <v>257</v>
      </c>
      <c r="J1357" s="1" t="s">
        <v>258</v>
      </c>
      <c r="K1357" s="1" t="s">
        <v>658</v>
      </c>
      <c r="L1357" s="1" t="s">
        <v>864</v>
      </c>
      <c r="M1357" s="1" t="s">
        <v>260</v>
      </c>
      <c r="N1357" s="1" t="s">
        <v>261</v>
      </c>
      <c r="O1357" s="1" t="s">
        <v>607</v>
      </c>
      <c r="P1357" s="1" t="str">
        <f>_xlfn.CONCAT(B1357,C1357,D1357,E1357,F1357)</f>
        <v>BC Aracu5.3Inverter(MBUS-1)46075,638888888946075,638888888946075,6645833333</v>
      </c>
      <c r="Q1357" s="1" t="str">
        <f>_xlfn.CONCAT(H1357,I1357,J1357)</f>
        <v>DAURDE</v>
      </c>
    </row>
    <row r="1358" spans="2:17">
      <c r="B1358" s="1" t="s">
        <v>329</v>
      </c>
      <c r="C1358" s="1" t="s">
        <v>247</v>
      </c>
      <c r="D1358" s="52">
        <v>46075.638888888891</v>
      </c>
      <c r="E1358" s="52">
        <v>46075.638888888891</v>
      </c>
      <c r="F1358" s="52">
        <v>46075.664583333331</v>
      </c>
      <c r="G1358" s="53">
        <v>2.5694444444444443E-2</v>
      </c>
      <c r="H1358" s="1" t="s">
        <v>257</v>
      </c>
      <c r="J1358" s="1" t="s">
        <v>258</v>
      </c>
      <c r="K1358" s="1" t="s">
        <v>658</v>
      </c>
      <c r="L1358" s="1" t="s">
        <v>864</v>
      </c>
      <c r="M1358" s="1" t="s">
        <v>260</v>
      </c>
      <c r="N1358" s="1" t="s">
        <v>261</v>
      </c>
      <c r="O1358" s="1" t="s">
        <v>607</v>
      </c>
      <c r="P1358" s="1" t="str">
        <f>_xlfn.CONCAT(B1358,C1358,D1358,E1358,F1358)</f>
        <v>BC Aracu5.4Inverter(MBUS-1)46075,638888888946075,638888888946075,6645833333</v>
      </c>
      <c r="Q1358" s="1" t="str">
        <f>_xlfn.CONCAT(H1358,I1358,J1358)</f>
        <v>DAURDE</v>
      </c>
    </row>
    <row r="1359" spans="2:17">
      <c r="B1359" s="1" t="s">
        <v>330</v>
      </c>
      <c r="C1359" s="1" t="s">
        <v>247</v>
      </c>
      <c r="D1359" s="52">
        <v>46075.638888888891</v>
      </c>
      <c r="E1359" s="52">
        <v>46075.638888888891</v>
      </c>
      <c r="F1359" s="52">
        <v>46075.664583333331</v>
      </c>
      <c r="G1359" s="53">
        <v>2.5694444444444443E-2</v>
      </c>
      <c r="H1359" s="1" t="s">
        <v>257</v>
      </c>
      <c r="J1359" s="1" t="s">
        <v>258</v>
      </c>
      <c r="K1359" s="1" t="s">
        <v>658</v>
      </c>
      <c r="L1359" s="1" t="s">
        <v>864</v>
      </c>
      <c r="M1359" s="1" t="s">
        <v>260</v>
      </c>
      <c r="N1359" s="1" t="s">
        <v>261</v>
      </c>
      <c r="O1359" s="1" t="s">
        <v>607</v>
      </c>
      <c r="P1359" s="1" t="str">
        <f>_xlfn.CONCAT(B1359,C1359,D1359,E1359,F1359)</f>
        <v>BC Aracu5.5Inverter(MBUS-1)46075,638888888946075,638888888946075,6645833333</v>
      </c>
      <c r="Q1359" s="1" t="str">
        <f>_xlfn.CONCAT(H1359,I1359,J1359)</f>
        <v>DAURDE</v>
      </c>
    </row>
    <row r="1360" spans="2:17">
      <c r="B1360" s="1" t="s">
        <v>311</v>
      </c>
      <c r="C1360" s="1" t="s">
        <v>256</v>
      </c>
      <c r="D1360" s="52">
        <v>46076.40347222222</v>
      </c>
      <c r="E1360" s="52">
        <v>46076.40347222222</v>
      </c>
      <c r="F1360" s="52">
        <v>46076.420138888891</v>
      </c>
      <c r="G1360" s="53">
        <v>1.6666666666666666E-2</v>
      </c>
      <c r="H1360" s="1" t="s">
        <v>257</v>
      </c>
      <c r="J1360" s="1" t="s">
        <v>258</v>
      </c>
      <c r="K1360" s="1" t="s">
        <v>658</v>
      </c>
      <c r="L1360" s="1" t="s">
        <v>865</v>
      </c>
      <c r="M1360" s="1" t="s">
        <v>260</v>
      </c>
      <c r="N1360" s="1" t="s">
        <v>261</v>
      </c>
      <c r="O1360" s="1" t="s">
        <v>607</v>
      </c>
      <c r="P1360" s="1" t="str">
        <f>_xlfn.CONCAT(B1360,C1360,D1360,E1360,F1360)</f>
        <v>ARAGUATINS 2.1Inverter(MBUS-12)46076,403472222246076,403472222246076,4201388889</v>
      </c>
      <c r="Q1360" s="1" t="str">
        <f>_xlfn.CONCAT(H1360,I1360,J1360)</f>
        <v>DAURDE</v>
      </c>
    </row>
    <row r="1361" spans="2:17">
      <c r="B1361" s="66" t="s">
        <v>311</v>
      </c>
      <c r="C1361" s="1" t="s">
        <v>307</v>
      </c>
      <c r="D1361" s="52">
        <v>46076.40347222222</v>
      </c>
      <c r="E1361" s="52">
        <v>46076.40347222222</v>
      </c>
      <c r="F1361" s="52">
        <v>46076.420138888891</v>
      </c>
      <c r="G1361" s="53">
        <v>1.6666666666666666E-2</v>
      </c>
      <c r="H1361" s="1" t="s">
        <v>257</v>
      </c>
      <c r="J1361" s="1" t="s">
        <v>258</v>
      </c>
      <c r="K1361" s="1" t="s">
        <v>658</v>
      </c>
      <c r="L1361" s="1" t="s">
        <v>865</v>
      </c>
      <c r="M1361" s="1" t="s">
        <v>260</v>
      </c>
      <c r="N1361" s="1" t="s">
        <v>261</v>
      </c>
      <c r="O1361" s="1" t="s">
        <v>626</v>
      </c>
      <c r="P1361" s="1" t="str">
        <f>_xlfn.CONCAT(B1361,C1361,D1361,E1361,F1361)</f>
        <v>ARAGUATINS 2.1Inverter(MBUS-15)46076,403472222246076,403472222246076,4201388889</v>
      </c>
      <c r="Q1361" s="1" t="str">
        <f>_xlfn.CONCAT(H1361,I1361,J1361)</f>
        <v>DAURDE</v>
      </c>
    </row>
    <row r="1362" spans="2:17">
      <c r="B1362" s="66" t="s">
        <v>311</v>
      </c>
      <c r="C1362" s="1" t="s">
        <v>263</v>
      </c>
      <c r="D1362" s="52">
        <v>46076.40347222222</v>
      </c>
      <c r="E1362" s="52">
        <v>46076.40347222222</v>
      </c>
      <c r="F1362" s="52">
        <v>46076.420138888891</v>
      </c>
      <c r="G1362" s="53">
        <v>1.6666666666666666E-2</v>
      </c>
      <c r="H1362" s="1" t="s">
        <v>257</v>
      </c>
      <c r="J1362" s="1" t="s">
        <v>258</v>
      </c>
      <c r="K1362" s="1" t="s">
        <v>658</v>
      </c>
      <c r="L1362" s="1" t="s">
        <v>865</v>
      </c>
      <c r="M1362" s="1" t="s">
        <v>260</v>
      </c>
      <c r="N1362" s="1" t="s">
        <v>261</v>
      </c>
      <c r="O1362" s="1" t="s">
        <v>626</v>
      </c>
      <c r="P1362" s="1" t="str">
        <f>_xlfn.CONCAT(B1362,C1362,D1362,E1362,F1362)</f>
        <v>ARAGUATINS 2.1Inverter(MBUS-14)46076,403472222246076,403472222246076,4201388889</v>
      </c>
      <c r="Q1362" s="1" t="str">
        <f>_xlfn.CONCAT(H1362,I1362,J1362)</f>
        <v>DAURDE</v>
      </c>
    </row>
    <row r="1363" spans="2:17">
      <c r="B1363" s="1" t="s">
        <v>311</v>
      </c>
      <c r="C1363" s="1" t="s">
        <v>247</v>
      </c>
      <c r="D1363" s="52">
        <v>46076.40347222222</v>
      </c>
      <c r="E1363" s="52">
        <v>46076.40347222222</v>
      </c>
      <c r="F1363" s="52">
        <v>46076.420138888891</v>
      </c>
      <c r="G1363" s="53">
        <v>1.6666666666666666E-2</v>
      </c>
      <c r="H1363" s="1" t="s">
        <v>257</v>
      </c>
      <c r="J1363" s="1" t="s">
        <v>258</v>
      </c>
      <c r="K1363" s="1" t="s">
        <v>658</v>
      </c>
      <c r="L1363" s="1" t="s">
        <v>865</v>
      </c>
      <c r="M1363" s="1" t="s">
        <v>260</v>
      </c>
      <c r="N1363" s="1" t="s">
        <v>261</v>
      </c>
      <c r="O1363" s="1" t="s">
        <v>626</v>
      </c>
      <c r="P1363" s="1" t="str">
        <f>_xlfn.CONCAT(B1363,C1363,D1363,E1363,F1363)</f>
        <v>ARAGUATINS 2.1Inverter(MBUS-1)46076,403472222246076,403472222246076,4201388889</v>
      </c>
      <c r="Q1363" s="1" t="str">
        <f>_xlfn.CONCAT(H1363,I1363,J1363)</f>
        <v>DAURDE</v>
      </c>
    </row>
    <row r="1364" spans="2:17">
      <c r="B1364" s="1" t="s">
        <v>387</v>
      </c>
      <c r="C1364" s="1" t="s">
        <v>247</v>
      </c>
      <c r="D1364" s="52">
        <v>46076.551388888889</v>
      </c>
      <c r="E1364" s="52">
        <v>46076.551388888889</v>
      </c>
      <c r="F1364" s="52">
        <v>46076.750694444447</v>
      </c>
      <c r="G1364" s="53">
        <v>0.19930555555555557</v>
      </c>
      <c r="H1364" s="1" t="s">
        <v>257</v>
      </c>
      <c r="J1364" s="1" t="s">
        <v>371</v>
      </c>
      <c r="K1364" s="1" t="s">
        <v>653</v>
      </c>
      <c r="L1364" s="1" t="s">
        <v>866</v>
      </c>
      <c r="M1364" s="1" t="s">
        <v>260</v>
      </c>
      <c r="N1364" s="1" t="s">
        <v>261</v>
      </c>
      <c r="O1364" s="1" t="s">
        <v>626</v>
      </c>
      <c r="P1364" s="1" t="str">
        <f>_xlfn.CONCAT(B1364,C1364,D1364,E1364,F1364)</f>
        <v>BC Camarao1.2Inverter(MBUS-1)46076,551388888946076,551388888946076,7506944444</v>
      </c>
      <c r="Q1364" s="1" t="str">
        <f>_xlfn.CONCAT(H1364,I1364,J1364)</f>
        <v>DAUINV</v>
      </c>
    </row>
    <row r="1365" spans="2:17">
      <c r="B1365" s="1" t="s">
        <v>331</v>
      </c>
      <c r="C1365" s="1" t="s">
        <v>332</v>
      </c>
      <c r="D1365" s="52">
        <v>46076.673611111109</v>
      </c>
      <c r="E1365" s="52">
        <v>46076.673611111109</v>
      </c>
      <c r="F1365" s="52">
        <v>46077.4375</v>
      </c>
      <c r="G1365" s="53">
        <v>0.76388888888888884</v>
      </c>
      <c r="H1365" s="1" t="s">
        <v>268</v>
      </c>
      <c r="I1365" s="1" t="s">
        <v>269</v>
      </c>
      <c r="J1365" s="1" t="s">
        <v>270</v>
      </c>
      <c r="K1365" s="1" t="s">
        <v>674</v>
      </c>
      <c r="L1365" s="1" t="s">
        <v>867</v>
      </c>
      <c r="M1365" s="1" t="s">
        <v>260</v>
      </c>
      <c r="N1365" s="1" t="s">
        <v>261</v>
      </c>
      <c r="O1365" s="1" t="s">
        <v>626</v>
      </c>
      <c r="P1365" s="1" t="str">
        <f>_xlfn.CONCAT(B1365,C1365,D1365,E1365,F1365)</f>
        <v>BC Varjao2.1215KTL-H0(MBUS-12)46076,673611111146076,673611111146077,4375</v>
      </c>
      <c r="Q1365" s="1" t="str">
        <f>_xlfn.CONCAT(H1365,I1365,J1365)</f>
        <v>LIGRFOINT</v>
      </c>
    </row>
    <row r="1366" spans="2:17">
      <c r="B1366" s="1" t="s">
        <v>331</v>
      </c>
      <c r="C1366" s="1" t="s">
        <v>335</v>
      </c>
      <c r="D1366" s="52">
        <v>46076.673611111109</v>
      </c>
      <c r="E1366" s="52">
        <v>46076.673611111109</v>
      </c>
      <c r="F1366" s="52">
        <v>46077.4375</v>
      </c>
      <c r="G1366" s="53">
        <v>0.76388888888888884</v>
      </c>
      <c r="H1366" s="1" t="s">
        <v>268</v>
      </c>
      <c r="I1366" s="1" t="s">
        <v>269</v>
      </c>
      <c r="J1366" s="1" t="s">
        <v>270</v>
      </c>
      <c r="K1366" s="1" t="s">
        <v>674</v>
      </c>
      <c r="L1366" s="1" t="s">
        <v>867</v>
      </c>
      <c r="M1366" s="1" t="s">
        <v>260</v>
      </c>
      <c r="N1366" s="1" t="s">
        <v>261</v>
      </c>
      <c r="O1366" s="1" t="s">
        <v>626</v>
      </c>
      <c r="P1366" s="1" t="str">
        <f>_xlfn.CONCAT(B1366,C1366,D1366,E1366,F1366)</f>
        <v>BC Varjao2.1215KTL-H0(MBUS-13)46076,673611111146076,673611111146077,4375</v>
      </c>
      <c r="Q1366" s="1" t="str">
        <f>_xlfn.CONCAT(H1366,I1366,J1366)</f>
        <v>LIGRFOINT</v>
      </c>
    </row>
    <row r="1367" spans="2:17">
      <c r="B1367" s="1" t="s">
        <v>331</v>
      </c>
      <c r="C1367" s="1" t="s">
        <v>336</v>
      </c>
      <c r="D1367" s="52">
        <v>46076.673611111109</v>
      </c>
      <c r="E1367" s="52">
        <v>46076.673611111109</v>
      </c>
      <c r="F1367" s="52">
        <v>46077.4375</v>
      </c>
      <c r="G1367" s="53">
        <v>0.76388888888888884</v>
      </c>
      <c r="H1367" s="1" t="s">
        <v>268</v>
      </c>
      <c r="I1367" s="1" t="s">
        <v>269</v>
      </c>
      <c r="J1367" s="1" t="s">
        <v>270</v>
      </c>
      <c r="K1367" s="1" t="s">
        <v>674</v>
      </c>
      <c r="L1367" s="1" t="s">
        <v>867</v>
      </c>
      <c r="M1367" s="1" t="s">
        <v>260</v>
      </c>
      <c r="N1367" s="1" t="s">
        <v>261</v>
      </c>
      <c r="O1367" s="1" t="s">
        <v>626</v>
      </c>
      <c r="P1367" s="1" t="str">
        <f>_xlfn.CONCAT(B1367,C1367,D1367,E1367,F1367)</f>
        <v>BC Varjao2.1215KTL-H0(MBUS-14)46076,673611111146076,673611111146077,4375</v>
      </c>
      <c r="Q1367" s="1" t="str">
        <f>_xlfn.CONCAT(H1367,I1367,J1367)</f>
        <v>LIGRFOINT</v>
      </c>
    </row>
    <row r="1368" spans="2:17">
      <c r="B1368" s="1" t="s">
        <v>331</v>
      </c>
      <c r="C1368" s="1" t="s">
        <v>337</v>
      </c>
      <c r="D1368" s="52">
        <v>46076.673611111109</v>
      </c>
      <c r="E1368" s="52">
        <v>46076.673611111109</v>
      </c>
      <c r="F1368" s="52">
        <v>46077.4375</v>
      </c>
      <c r="G1368" s="53">
        <v>0.76388888888888884</v>
      </c>
      <c r="H1368" s="1" t="s">
        <v>268</v>
      </c>
      <c r="I1368" s="1" t="s">
        <v>269</v>
      </c>
      <c r="J1368" s="1" t="s">
        <v>270</v>
      </c>
      <c r="K1368" s="1" t="s">
        <v>674</v>
      </c>
      <c r="L1368" s="1" t="s">
        <v>867</v>
      </c>
      <c r="M1368" s="1" t="s">
        <v>260</v>
      </c>
      <c r="N1368" s="1" t="s">
        <v>261</v>
      </c>
      <c r="O1368" s="1" t="s">
        <v>626</v>
      </c>
      <c r="P1368" s="1" t="str">
        <f>_xlfn.CONCAT(B1368,C1368,D1368,E1368,F1368)</f>
        <v>BC Varjao2.1215KTL-H0(MBUS-15)46076,673611111146076,673611111146077,4375</v>
      </c>
      <c r="Q1368" s="1" t="str">
        <f>_xlfn.CONCAT(H1368,I1368,J1368)</f>
        <v>LIGRFOINT</v>
      </c>
    </row>
    <row r="1369" spans="2:17">
      <c r="B1369" s="1" t="s">
        <v>331</v>
      </c>
      <c r="C1369" s="1" t="s">
        <v>338</v>
      </c>
      <c r="D1369" s="52">
        <v>46076.673611111109</v>
      </c>
      <c r="E1369" s="52">
        <v>46076.673611111109</v>
      </c>
      <c r="F1369" s="52">
        <v>46077.4375</v>
      </c>
      <c r="G1369" s="53">
        <v>0.76388888888888884</v>
      </c>
      <c r="H1369" s="1" t="s">
        <v>268</v>
      </c>
      <c r="I1369" s="1" t="s">
        <v>269</v>
      </c>
      <c r="J1369" s="1" t="s">
        <v>270</v>
      </c>
      <c r="K1369" s="1" t="s">
        <v>674</v>
      </c>
      <c r="L1369" s="1" t="s">
        <v>867</v>
      </c>
      <c r="M1369" s="1" t="s">
        <v>260</v>
      </c>
      <c r="N1369" s="1" t="s">
        <v>261</v>
      </c>
      <c r="O1369" s="1" t="s">
        <v>626</v>
      </c>
      <c r="P1369" s="1" t="str">
        <f>_xlfn.CONCAT(B1369,C1369,D1369,E1369,F1369)</f>
        <v>BC Varjao2.1215KTL-H0(MBUS-16)46076,673611111146076,673611111146077,4375</v>
      </c>
      <c r="Q1369" s="1" t="str">
        <f>_xlfn.CONCAT(H1369,I1369,J1369)</f>
        <v>LIGRFOINT</v>
      </c>
    </row>
    <row r="1370" spans="2:17">
      <c r="B1370" s="1" t="s">
        <v>339</v>
      </c>
      <c r="C1370" s="1" t="s">
        <v>335</v>
      </c>
      <c r="D1370" s="52">
        <v>46076.673611111109</v>
      </c>
      <c r="E1370" s="52">
        <v>46076.673611111109</v>
      </c>
      <c r="F1370" s="52">
        <v>46077.4375</v>
      </c>
      <c r="G1370" s="53">
        <v>0.76388888888888884</v>
      </c>
      <c r="H1370" s="1" t="s">
        <v>268</v>
      </c>
      <c r="I1370" s="1" t="s">
        <v>269</v>
      </c>
      <c r="J1370" s="1" t="s">
        <v>270</v>
      </c>
      <c r="K1370" s="1" t="s">
        <v>674</v>
      </c>
      <c r="L1370" s="1" t="s">
        <v>867</v>
      </c>
      <c r="M1370" s="1" t="s">
        <v>260</v>
      </c>
      <c r="N1370" s="1" t="s">
        <v>261</v>
      </c>
      <c r="O1370" s="1" t="s">
        <v>626</v>
      </c>
      <c r="P1370" s="1" t="str">
        <f>_xlfn.CONCAT(B1370,C1370,D1370,E1370,F1370)</f>
        <v>BC Varjao2.2215KTL-H0(MBUS-13)46076,673611111146076,673611111146077,4375</v>
      </c>
      <c r="Q1370" s="1" t="str">
        <f>_xlfn.CONCAT(H1370,I1370,J1370)</f>
        <v>LIGRFOINT</v>
      </c>
    </row>
    <row r="1371" spans="2:17">
      <c r="B1371" s="1" t="s">
        <v>339</v>
      </c>
      <c r="C1371" s="1" t="s">
        <v>336</v>
      </c>
      <c r="D1371" s="52">
        <v>46076.673611111109</v>
      </c>
      <c r="E1371" s="52">
        <v>46076.673611111109</v>
      </c>
      <c r="F1371" s="52">
        <v>46077.4375</v>
      </c>
      <c r="G1371" s="53">
        <v>0.76388888888888884</v>
      </c>
      <c r="H1371" s="1" t="s">
        <v>268</v>
      </c>
      <c r="I1371" s="1" t="s">
        <v>269</v>
      </c>
      <c r="J1371" s="1" t="s">
        <v>270</v>
      </c>
      <c r="K1371" s="1" t="s">
        <v>674</v>
      </c>
      <c r="L1371" s="1" t="s">
        <v>867</v>
      </c>
      <c r="M1371" s="1" t="s">
        <v>260</v>
      </c>
      <c r="N1371" s="1" t="s">
        <v>261</v>
      </c>
      <c r="O1371" s="1" t="s">
        <v>626</v>
      </c>
      <c r="P1371" s="1" t="str">
        <f>_xlfn.CONCAT(B1371,C1371,D1371,E1371,F1371)</f>
        <v>BC Varjao2.2215KTL-H0(MBUS-14)46076,673611111146076,673611111146077,4375</v>
      </c>
      <c r="Q1371" s="1" t="str">
        <f>_xlfn.CONCAT(H1371,I1371,J1371)</f>
        <v>LIGRFOINT</v>
      </c>
    </row>
    <row r="1372" spans="2:17">
      <c r="B1372" s="1" t="s">
        <v>339</v>
      </c>
      <c r="C1372" s="1" t="s">
        <v>337</v>
      </c>
      <c r="D1372" s="52">
        <v>46076.673611111109</v>
      </c>
      <c r="E1372" s="52">
        <v>46076.673611111109</v>
      </c>
      <c r="F1372" s="52">
        <v>46077.4375</v>
      </c>
      <c r="G1372" s="53">
        <v>0.76388888888888884</v>
      </c>
      <c r="H1372" s="1" t="s">
        <v>268</v>
      </c>
      <c r="I1372" s="1" t="s">
        <v>269</v>
      </c>
      <c r="J1372" s="1" t="s">
        <v>270</v>
      </c>
      <c r="K1372" s="1" t="s">
        <v>674</v>
      </c>
      <c r="L1372" s="1" t="s">
        <v>867</v>
      </c>
      <c r="M1372" s="1" t="s">
        <v>260</v>
      </c>
      <c r="N1372" s="1" t="s">
        <v>261</v>
      </c>
      <c r="O1372" s="1" t="s">
        <v>626</v>
      </c>
      <c r="P1372" s="1" t="str">
        <f>_xlfn.CONCAT(B1372,C1372,D1372,E1372,F1372)</f>
        <v>BC Varjao2.2215KTL-H0(MBUS-15)46076,673611111146076,673611111146077,4375</v>
      </c>
      <c r="Q1372" s="1" t="str">
        <f>_xlfn.CONCAT(H1372,I1372,J1372)</f>
        <v>LIGRFOINT</v>
      </c>
    </row>
    <row r="1373" spans="2:17">
      <c r="B1373" s="1" t="s">
        <v>339</v>
      </c>
      <c r="C1373" s="1" t="s">
        <v>338</v>
      </c>
      <c r="D1373" s="52">
        <v>46076.673611111109</v>
      </c>
      <c r="E1373" s="52">
        <v>46076.673611111109</v>
      </c>
      <c r="F1373" s="52">
        <v>46077.4375</v>
      </c>
      <c r="G1373" s="53">
        <v>0.76388888888888884</v>
      </c>
      <c r="H1373" s="1" t="s">
        <v>268</v>
      </c>
      <c r="I1373" s="1" t="s">
        <v>269</v>
      </c>
      <c r="J1373" s="1" t="s">
        <v>270</v>
      </c>
      <c r="K1373" s="1" t="s">
        <v>674</v>
      </c>
      <c r="L1373" s="1" t="s">
        <v>867</v>
      </c>
      <c r="M1373" s="1" t="s">
        <v>260</v>
      </c>
      <c r="N1373" s="1" t="s">
        <v>261</v>
      </c>
      <c r="O1373" s="1" t="s">
        <v>626</v>
      </c>
      <c r="P1373" s="1" t="str">
        <f>_xlfn.CONCAT(B1373,C1373,D1373,E1373,F1373)</f>
        <v>BC Varjao2.2215KTL-H0(MBUS-16)46076,673611111146076,673611111146077,4375</v>
      </c>
      <c r="Q1373" s="1" t="str">
        <f>_xlfn.CONCAT(H1373,I1373,J1373)</f>
        <v>LIGRFOINT</v>
      </c>
    </row>
    <row r="1374" spans="2:17">
      <c r="B1374" s="1" t="s">
        <v>339</v>
      </c>
      <c r="C1374" s="1" t="s">
        <v>332</v>
      </c>
      <c r="D1374" s="52">
        <v>46076.673611111109</v>
      </c>
      <c r="E1374" s="52">
        <v>46076.673611111109</v>
      </c>
      <c r="F1374" s="52">
        <v>46077.4375</v>
      </c>
      <c r="G1374" s="53">
        <v>0.76388888888888884</v>
      </c>
      <c r="H1374" s="1" t="s">
        <v>268</v>
      </c>
      <c r="I1374" s="1" t="s">
        <v>269</v>
      </c>
      <c r="J1374" s="1" t="s">
        <v>270</v>
      </c>
      <c r="K1374" s="1" t="s">
        <v>674</v>
      </c>
      <c r="L1374" s="1" t="s">
        <v>867</v>
      </c>
      <c r="M1374" s="1" t="s">
        <v>260</v>
      </c>
      <c r="N1374" s="1" t="s">
        <v>261</v>
      </c>
      <c r="O1374" s="1" t="s">
        <v>626</v>
      </c>
      <c r="P1374" s="1" t="str">
        <f>_xlfn.CONCAT(B1374,C1374,D1374,E1374,F1374)</f>
        <v>BC Varjao2.2215KTL-H0(MBUS-12)46076,673611111146076,673611111146077,4375</v>
      </c>
      <c r="Q1374" s="1" t="str">
        <f>_xlfn.CONCAT(H1374,I1374,J1374)</f>
        <v>LIGRFOINT</v>
      </c>
    </row>
    <row r="1375" spans="2:17">
      <c r="B1375" s="1" t="s">
        <v>340</v>
      </c>
      <c r="C1375" s="1" t="s">
        <v>341</v>
      </c>
      <c r="D1375" s="52">
        <v>46076.673611111109</v>
      </c>
      <c r="E1375" s="52">
        <v>46076.673611111109</v>
      </c>
      <c r="F1375" s="52">
        <v>46077.4375</v>
      </c>
      <c r="G1375" s="53">
        <v>0.76388888888888884</v>
      </c>
      <c r="H1375" s="1" t="s">
        <v>268</v>
      </c>
      <c r="I1375" s="1" t="s">
        <v>269</v>
      </c>
      <c r="J1375" s="1" t="s">
        <v>270</v>
      </c>
      <c r="K1375" s="1" t="s">
        <v>674</v>
      </c>
      <c r="L1375" s="1" t="s">
        <v>867</v>
      </c>
      <c r="M1375" s="1" t="s">
        <v>260</v>
      </c>
      <c r="N1375" s="1" t="s">
        <v>261</v>
      </c>
      <c r="O1375" s="1" t="s">
        <v>626</v>
      </c>
      <c r="P1375" s="1" t="str">
        <f>_xlfn.CONCAT(B1375,C1375,D1375,E1375,F1375)</f>
        <v>BC Varjao2.3100KTL-H1(MBUS-1)46076,673611111146076,673611111146077,4375</v>
      </c>
      <c r="Q1375" s="1" t="str">
        <f>_xlfn.CONCAT(H1375,I1375,J1375)</f>
        <v>LIGRFOINT</v>
      </c>
    </row>
    <row r="1376" spans="2:17">
      <c r="B1376" s="1" t="s">
        <v>340</v>
      </c>
      <c r="C1376" s="1" t="s">
        <v>335</v>
      </c>
      <c r="D1376" s="52">
        <v>46076.673611111109</v>
      </c>
      <c r="E1376" s="52">
        <v>46076.673611111109</v>
      </c>
      <c r="F1376" s="52">
        <v>46077.4375</v>
      </c>
      <c r="G1376" s="53">
        <v>0.76388888888888884</v>
      </c>
      <c r="H1376" s="1" t="s">
        <v>268</v>
      </c>
      <c r="I1376" s="1" t="s">
        <v>269</v>
      </c>
      <c r="J1376" s="1" t="s">
        <v>270</v>
      </c>
      <c r="K1376" s="1" t="s">
        <v>674</v>
      </c>
      <c r="L1376" s="1" t="s">
        <v>867</v>
      </c>
      <c r="M1376" s="1" t="s">
        <v>260</v>
      </c>
      <c r="N1376" s="1" t="s">
        <v>261</v>
      </c>
      <c r="O1376" s="1" t="s">
        <v>626</v>
      </c>
      <c r="P1376" s="1" t="str">
        <f>_xlfn.CONCAT(B1376,C1376,D1376,E1376,F1376)</f>
        <v>BC Varjao2.3215KTL-H0(MBUS-13)46076,673611111146076,673611111146077,4375</v>
      </c>
      <c r="Q1376" s="1" t="str">
        <f>_xlfn.CONCAT(H1376,I1376,J1376)</f>
        <v>LIGRFOINT</v>
      </c>
    </row>
    <row r="1377" spans="2:17">
      <c r="B1377" s="1" t="s">
        <v>340</v>
      </c>
      <c r="C1377" s="1" t="s">
        <v>332</v>
      </c>
      <c r="D1377" s="52">
        <v>46076.673611111109</v>
      </c>
      <c r="E1377" s="52">
        <v>46076.673611111109</v>
      </c>
      <c r="F1377" s="52">
        <v>46077.4375</v>
      </c>
      <c r="G1377" s="53">
        <v>0.76388888888888884</v>
      </c>
      <c r="H1377" s="1" t="s">
        <v>268</v>
      </c>
      <c r="I1377" s="1" t="s">
        <v>269</v>
      </c>
      <c r="J1377" s="1" t="s">
        <v>270</v>
      </c>
      <c r="K1377" s="1" t="s">
        <v>674</v>
      </c>
      <c r="L1377" s="1" t="s">
        <v>867</v>
      </c>
      <c r="M1377" s="1" t="s">
        <v>260</v>
      </c>
      <c r="N1377" s="1" t="s">
        <v>261</v>
      </c>
      <c r="O1377" s="1" t="s">
        <v>626</v>
      </c>
      <c r="P1377" s="1" t="str">
        <f>_xlfn.CONCAT(B1377,C1377,D1377,E1377,F1377)</f>
        <v>BC Varjao2.3215KTL-H0(MBUS-12)46076,673611111146076,673611111146077,4375</v>
      </c>
      <c r="Q1377" s="1" t="str">
        <f>_xlfn.CONCAT(H1377,I1377,J1377)</f>
        <v>LIGRFOINT</v>
      </c>
    </row>
    <row r="1378" spans="2:17">
      <c r="B1378" s="1" t="s">
        <v>456</v>
      </c>
      <c r="C1378" s="1" t="s">
        <v>457</v>
      </c>
      <c r="D1378" s="52">
        <v>46077.291666666664</v>
      </c>
      <c r="E1378" s="52">
        <v>46077.291666666664</v>
      </c>
      <c r="F1378" s="52">
        <v>46077.333333333336</v>
      </c>
      <c r="G1378" s="53">
        <v>4.1666666666666664E-2</v>
      </c>
      <c r="H1378" s="1" t="s">
        <v>257</v>
      </c>
      <c r="J1378" s="1" t="s">
        <v>258</v>
      </c>
      <c r="K1378" s="1" t="s">
        <v>658</v>
      </c>
      <c r="L1378" s="1" t="s">
        <v>868</v>
      </c>
      <c r="M1378" s="1" t="s">
        <v>260</v>
      </c>
      <c r="N1378" s="1" t="s">
        <v>261</v>
      </c>
      <c r="O1378" s="1" t="s">
        <v>626</v>
      </c>
      <c r="P1378" s="1" t="str">
        <f>_xlfn.CONCAT(B1378,C1378,D1378,E1378,F1378)</f>
        <v>BC Caiaponia1SG60KTL(COM1-001)_001_00746077,291666666746077,291666666746077,3333333333</v>
      </c>
      <c r="Q1378" s="1" t="str">
        <f>_xlfn.CONCAT(H1378,I1378,J1378)</f>
        <v>DAURDE</v>
      </c>
    </row>
    <row r="1379" spans="2:17">
      <c r="B1379" s="1" t="s">
        <v>456</v>
      </c>
      <c r="C1379" s="1" t="s">
        <v>459</v>
      </c>
      <c r="D1379" s="52">
        <v>46077.291666666664</v>
      </c>
      <c r="E1379" s="52">
        <v>46077.291666666664</v>
      </c>
      <c r="F1379" s="52">
        <v>46077.333333333336</v>
      </c>
      <c r="G1379" s="53">
        <v>4.1666666666666664E-2</v>
      </c>
      <c r="H1379" s="1" t="s">
        <v>257</v>
      </c>
      <c r="J1379" s="1" t="s">
        <v>258</v>
      </c>
      <c r="K1379" s="1" t="s">
        <v>658</v>
      </c>
      <c r="L1379" s="1" t="s">
        <v>868</v>
      </c>
      <c r="M1379" s="1" t="s">
        <v>260</v>
      </c>
      <c r="N1379" s="1" t="s">
        <v>261</v>
      </c>
      <c r="O1379" s="1" t="s">
        <v>626</v>
      </c>
      <c r="P1379" s="1" t="str">
        <f>_xlfn.CONCAT(B1379,C1379,D1379,E1379,F1379)</f>
        <v>BC Caiaponia1SG60KTL(COM1-002)_001_01046077,291666666746077,291666666746077,3333333333</v>
      </c>
      <c r="Q1379" s="1" t="str">
        <f>_xlfn.CONCAT(H1379,I1379,J1379)</f>
        <v>DAURDE</v>
      </c>
    </row>
    <row r="1380" spans="2:17">
      <c r="B1380" s="1" t="s">
        <v>456</v>
      </c>
      <c r="C1380" s="1" t="s">
        <v>460</v>
      </c>
      <c r="D1380" s="52">
        <v>46077.291666666664</v>
      </c>
      <c r="E1380" s="52">
        <v>46077.291666666664</v>
      </c>
      <c r="F1380" s="52">
        <v>46077.333333333336</v>
      </c>
      <c r="G1380" s="53">
        <v>4.1666666666666664E-2</v>
      </c>
      <c r="H1380" s="1" t="s">
        <v>257</v>
      </c>
      <c r="J1380" s="1" t="s">
        <v>258</v>
      </c>
      <c r="K1380" s="1" t="s">
        <v>658</v>
      </c>
      <c r="L1380" s="1" t="s">
        <v>868</v>
      </c>
      <c r="M1380" s="1" t="s">
        <v>260</v>
      </c>
      <c r="N1380" s="1" t="s">
        <v>261</v>
      </c>
      <c r="O1380" s="1" t="s">
        <v>626</v>
      </c>
      <c r="P1380" s="1" t="str">
        <f>_xlfn.CONCAT(B1380,C1380,D1380,E1380,F1380)</f>
        <v>BC Caiaponia1SG60KTL(COM1-003)_001_01146077,291666666746077,291666666746077,3333333333</v>
      </c>
      <c r="Q1380" s="1" t="str">
        <f>_xlfn.CONCAT(H1380,I1380,J1380)</f>
        <v>DAURDE</v>
      </c>
    </row>
    <row r="1381" spans="2:17">
      <c r="B1381" s="1" t="s">
        <v>456</v>
      </c>
      <c r="C1381" s="1" t="s">
        <v>461</v>
      </c>
      <c r="D1381" s="52">
        <v>46077.291666666664</v>
      </c>
      <c r="E1381" s="52">
        <v>46077.291666666664</v>
      </c>
      <c r="F1381" s="52">
        <v>46077.333333333336</v>
      </c>
      <c r="G1381" s="53">
        <v>4.1666666666666664E-2</v>
      </c>
      <c r="H1381" s="1" t="s">
        <v>257</v>
      </c>
      <c r="J1381" s="1" t="s">
        <v>258</v>
      </c>
      <c r="K1381" s="1" t="s">
        <v>658</v>
      </c>
      <c r="L1381" s="1" t="s">
        <v>868</v>
      </c>
      <c r="M1381" s="1" t="s">
        <v>260</v>
      </c>
      <c r="N1381" s="1" t="s">
        <v>261</v>
      </c>
      <c r="O1381" s="1" t="s">
        <v>626</v>
      </c>
      <c r="P1381" s="1" t="str">
        <f>_xlfn.CONCAT(B1381,C1381,D1381,E1381,F1381)</f>
        <v>BC Caiaponia1SG60KTL(COM1-004)_001_01446077,291666666746077,291666666746077,3333333333</v>
      </c>
      <c r="Q1381" s="1" t="str">
        <f>_xlfn.CONCAT(H1381,I1381,J1381)</f>
        <v>DAURDE</v>
      </c>
    </row>
    <row r="1382" spans="2:17">
      <c r="B1382" s="1" t="s">
        <v>456</v>
      </c>
      <c r="C1382" s="1" t="s">
        <v>462</v>
      </c>
      <c r="D1382" s="52">
        <v>46077.291666666664</v>
      </c>
      <c r="E1382" s="52">
        <v>46077.291666666664</v>
      </c>
      <c r="F1382" s="52">
        <v>46077.333333333336</v>
      </c>
      <c r="G1382" s="53">
        <v>4.1666666666666664E-2</v>
      </c>
      <c r="H1382" s="1" t="s">
        <v>257</v>
      </c>
      <c r="J1382" s="1" t="s">
        <v>258</v>
      </c>
      <c r="K1382" s="1" t="s">
        <v>658</v>
      </c>
      <c r="L1382" s="1" t="s">
        <v>868</v>
      </c>
      <c r="M1382" s="1" t="s">
        <v>260</v>
      </c>
      <c r="N1382" s="1" t="s">
        <v>261</v>
      </c>
      <c r="O1382" s="1" t="s">
        <v>626</v>
      </c>
      <c r="P1382" s="1" t="str">
        <f>_xlfn.CONCAT(B1382,C1382,D1382,E1382,F1382)</f>
        <v>BC Caiaponia1SG60KTL(COM1-005)_001_01746077,291666666746077,291666666746077,3333333333</v>
      </c>
      <c r="Q1382" s="1" t="str">
        <f>_xlfn.CONCAT(H1382,I1382,J1382)</f>
        <v>DAURDE</v>
      </c>
    </row>
    <row r="1383" spans="2:17">
      <c r="B1383" s="1" t="s">
        <v>456</v>
      </c>
      <c r="C1383" s="1" t="s">
        <v>463</v>
      </c>
      <c r="D1383" s="52">
        <v>46077.291666666664</v>
      </c>
      <c r="E1383" s="52">
        <v>46077.291666666664</v>
      </c>
      <c r="F1383" s="52">
        <v>46077.333333333336</v>
      </c>
      <c r="G1383" s="53">
        <v>4.1666666666666664E-2</v>
      </c>
      <c r="H1383" s="1" t="s">
        <v>257</v>
      </c>
      <c r="J1383" s="1" t="s">
        <v>258</v>
      </c>
      <c r="K1383" s="1" t="s">
        <v>658</v>
      </c>
      <c r="L1383" s="1" t="s">
        <v>868</v>
      </c>
      <c r="M1383" s="1" t="s">
        <v>260</v>
      </c>
      <c r="N1383" s="1" t="s">
        <v>261</v>
      </c>
      <c r="O1383" s="1" t="s">
        <v>626</v>
      </c>
      <c r="P1383" s="1" t="str">
        <f>_xlfn.CONCAT(B1383,C1383,D1383,E1383,F1383)</f>
        <v>BC Caiaponia1SG60KTL(COM1-006)_001_01646077,291666666746077,291666666746077,3333333333</v>
      </c>
      <c r="Q1383" s="1" t="str">
        <f>_xlfn.CONCAT(H1383,I1383,J1383)</f>
        <v>DAURDE</v>
      </c>
    </row>
    <row r="1384" spans="2:17">
      <c r="B1384" s="1" t="s">
        <v>456</v>
      </c>
      <c r="C1384" s="1" t="s">
        <v>464</v>
      </c>
      <c r="D1384" s="52">
        <v>46077.291666666664</v>
      </c>
      <c r="E1384" s="52">
        <v>46077.291666666664</v>
      </c>
      <c r="F1384" s="52">
        <v>46077.333333333336</v>
      </c>
      <c r="G1384" s="53">
        <v>4.1666666666666664E-2</v>
      </c>
      <c r="H1384" s="1" t="s">
        <v>257</v>
      </c>
      <c r="J1384" s="1" t="s">
        <v>258</v>
      </c>
      <c r="K1384" s="1" t="s">
        <v>658</v>
      </c>
      <c r="L1384" s="1" t="s">
        <v>868</v>
      </c>
      <c r="M1384" s="1" t="s">
        <v>260</v>
      </c>
      <c r="N1384" s="1" t="s">
        <v>261</v>
      </c>
      <c r="O1384" s="1" t="s">
        <v>626</v>
      </c>
      <c r="P1384" s="1" t="str">
        <f>_xlfn.CONCAT(B1384,C1384,D1384,E1384,F1384)</f>
        <v>BC Caiaponia1SG60KTL(COM1-007)_001_01346077,291666666746077,291666666746077,3333333333</v>
      </c>
      <c r="Q1384" s="1" t="str">
        <f>_xlfn.CONCAT(H1384,I1384,J1384)</f>
        <v>DAURDE</v>
      </c>
    </row>
    <row r="1385" spans="2:17">
      <c r="B1385" s="1" t="s">
        <v>456</v>
      </c>
      <c r="C1385" s="1" t="s">
        <v>465</v>
      </c>
      <c r="D1385" s="52">
        <v>46077.291666666664</v>
      </c>
      <c r="E1385" s="52">
        <v>46077.291666666664</v>
      </c>
      <c r="F1385" s="52">
        <v>46077.333333333336</v>
      </c>
      <c r="G1385" s="53">
        <v>4.1666666666666664E-2</v>
      </c>
      <c r="H1385" s="1" t="s">
        <v>257</v>
      </c>
      <c r="J1385" s="1" t="s">
        <v>258</v>
      </c>
      <c r="K1385" s="1" t="s">
        <v>658</v>
      </c>
      <c r="L1385" s="1" t="s">
        <v>868</v>
      </c>
      <c r="M1385" s="1" t="s">
        <v>260</v>
      </c>
      <c r="N1385" s="1" t="s">
        <v>261</v>
      </c>
      <c r="O1385" s="1" t="s">
        <v>626</v>
      </c>
      <c r="P1385" s="1" t="str">
        <f>_xlfn.CONCAT(B1385,C1385,D1385,E1385,F1385)</f>
        <v>BC Caiaponia1SG60KTL(COM1-008)_001_00146077,291666666746077,291666666746077,3333333333</v>
      </c>
      <c r="Q1385" s="1" t="str">
        <f>_xlfn.CONCAT(H1385,I1385,J1385)</f>
        <v>DAURDE</v>
      </c>
    </row>
    <row r="1386" spans="2:17">
      <c r="B1386" s="1" t="s">
        <v>456</v>
      </c>
      <c r="C1386" s="1" t="s">
        <v>466</v>
      </c>
      <c r="D1386" s="52">
        <v>46077.291666666664</v>
      </c>
      <c r="E1386" s="52">
        <v>46077.291666666664</v>
      </c>
      <c r="F1386" s="52">
        <v>46077.333333333336</v>
      </c>
      <c r="G1386" s="53">
        <v>4.1666666666666664E-2</v>
      </c>
      <c r="H1386" s="1" t="s">
        <v>257</v>
      </c>
      <c r="J1386" s="1" t="s">
        <v>258</v>
      </c>
      <c r="K1386" s="1" t="s">
        <v>658</v>
      </c>
      <c r="L1386" s="1" t="s">
        <v>868</v>
      </c>
      <c r="M1386" s="1" t="s">
        <v>260</v>
      </c>
      <c r="N1386" s="1" t="s">
        <v>261</v>
      </c>
      <c r="O1386" s="1" t="s">
        <v>626</v>
      </c>
      <c r="P1386" s="1" t="str">
        <f>_xlfn.CONCAT(B1386,C1386,D1386,E1386,F1386)</f>
        <v>BC Caiaponia1SG60KTL(COM1-009)46077,291666666746077,291666666746077,3333333333</v>
      </c>
      <c r="Q1386" s="1" t="str">
        <f>_xlfn.CONCAT(H1386,I1386,J1386)</f>
        <v>DAURDE</v>
      </c>
    </row>
    <row r="1387" spans="2:17">
      <c r="B1387" s="1" t="s">
        <v>456</v>
      </c>
      <c r="C1387" s="1" t="s">
        <v>467</v>
      </c>
      <c r="D1387" s="52">
        <v>46077.291666666664</v>
      </c>
      <c r="E1387" s="52">
        <v>46077.291666666664</v>
      </c>
      <c r="F1387" s="52">
        <v>46077.333333333336</v>
      </c>
      <c r="G1387" s="53">
        <v>4.1666666666666664E-2</v>
      </c>
      <c r="H1387" s="1" t="s">
        <v>257</v>
      </c>
      <c r="J1387" s="1" t="s">
        <v>258</v>
      </c>
      <c r="K1387" s="1" t="s">
        <v>658</v>
      </c>
      <c r="L1387" s="1" t="s">
        <v>868</v>
      </c>
      <c r="M1387" s="1" t="s">
        <v>260</v>
      </c>
      <c r="N1387" s="1" t="s">
        <v>261</v>
      </c>
      <c r="O1387" s="1" t="s">
        <v>626</v>
      </c>
      <c r="P1387" s="1" t="str">
        <f>_xlfn.CONCAT(B1387,C1387,D1387,E1387,F1387)</f>
        <v>BC Caiaponia1SG60KTL(COM1-010)46077,291666666746077,291666666746077,3333333333</v>
      </c>
      <c r="Q1387" s="1" t="str">
        <f>_xlfn.CONCAT(H1387,I1387,J1387)</f>
        <v>DAURDE</v>
      </c>
    </row>
    <row r="1388" spans="2:17">
      <c r="B1388" s="1" t="s">
        <v>456</v>
      </c>
      <c r="C1388" s="1" t="s">
        <v>468</v>
      </c>
      <c r="D1388" s="52">
        <v>46077.291666666664</v>
      </c>
      <c r="E1388" s="52">
        <v>46077.291666666664</v>
      </c>
      <c r="F1388" s="52">
        <v>46077.333333333336</v>
      </c>
      <c r="G1388" s="53">
        <v>4.1666666666666664E-2</v>
      </c>
      <c r="H1388" s="1" t="s">
        <v>257</v>
      </c>
      <c r="J1388" s="1" t="s">
        <v>258</v>
      </c>
      <c r="K1388" s="1" t="s">
        <v>658</v>
      </c>
      <c r="L1388" s="1" t="s">
        <v>868</v>
      </c>
      <c r="M1388" s="1" t="s">
        <v>260</v>
      </c>
      <c r="N1388" s="1" t="s">
        <v>261</v>
      </c>
      <c r="O1388" s="1" t="s">
        <v>626</v>
      </c>
      <c r="P1388" s="1" t="str">
        <f>_xlfn.CONCAT(B1388,C1388,D1388,E1388,F1388)</f>
        <v>BC Caiaponia1SG60KTL(COM1-011)46077,291666666746077,291666666746077,3333333333</v>
      </c>
      <c r="Q1388" s="1" t="str">
        <f>_xlfn.CONCAT(H1388,I1388,J1388)</f>
        <v>DAURDE</v>
      </c>
    </row>
    <row r="1389" spans="2:17">
      <c r="B1389" s="1" t="s">
        <v>456</v>
      </c>
      <c r="C1389" s="1" t="s">
        <v>469</v>
      </c>
      <c r="D1389" s="52">
        <v>46077.291666666664</v>
      </c>
      <c r="E1389" s="52">
        <v>46077.291666666664</v>
      </c>
      <c r="F1389" s="52">
        <v>46077.333333333336</v>
      </c>
      <c r="G1389" s="53">
        <v>4.1666666666666664E-2</v>
      </c>
      <c r="H1389" s="1" t="s">
        <v>257</v>
      </c>
      <c r="J1389" s="1" t="s">
        <v>258</v>
      </c>
      <c r="K1389" s="1" t="s">
        <v>658</v>
      </c>
      <c r="L1389" s="1" t="s">
        <v>868</v>
      </c>
      <c r="M1389" s="1" t="s">
        <v>260</v>
      </c>
      <c r="N1389" s="1" t="s">
        <v>261</v>
      </c>
      <c r="O1389" s="1" t="s">
        <v>626</v>
      </c>
      <c r="P1389" s="1" t="str">
        <f>_xlfn.CONCAT(B1389,C1389,D1389,E1389,F1389)</f>
        <v>BC Caiaponia1SG60KTL(COM1-012)46077,291666666746077,291666666746077,3333333333</v>
      </c>
      <c r="Q1389" s="1" t="str">
        <f>_xlfn.CONCAT(H1389,I1389,J1389)</f>
        <v>DAURDE</v>
      </c>
    </row>
    <row r="1390" spans="2:17">
      <c r="B1390" s="1" t="s">
        <v>456</v>
      </c>
      <c r="C1390" s="1" t="s">
        <v>470</v>
      </c>
      <c r="D1390" s="52">
        <v>46077.291666666664</v>
      </c>
      <c r="E1390" s="52">
        <v>46077.291666666664</v>
      </c>
      <c r="F1390" s="52">
        <v>46077.333333333336</v>
      </c>
      <c r="G1390" s="53">
        <v>4.1666666666666664E-2</v>
      </c>
      <c r="H1390" s="1" t="s">
        <v>257</v>
      </c>
      <c r="J1390" s="1" t="s">
        <v>258</v>
      </c>
      <c r="K1390" s="1" t="s">
        <v>658</v>
      </c>
      <c r="L1390" s="1" t="s">
        <v>868</v>
      </c>
      <c r="M1390" s="1" t="s">
        <v>260</v>
      </c>
      <c r="N1390" s="1" t="s">
        <v>261</v>
      </c>
      <c r="O1390" s="1" t="s">
        <v>626</v>
      </c>
      <c r="P1390" s="1" t="str">
        <f>_xlfn.CONCAT(B1390,C1390,D1390,E1390,F1390)</f>
        <v>BC Caiaponia1SG60KTL(COM1-013)46077,291666666746077,291666666746077,3333333333</v>
      </c>
      <c r="Q1390" s="1" t="str">
        <f>_xlfn.CONCAT(H1390,I1390,J1390)</f>
        <v>DAURDE</v>
      </c>
    </row>
    <row r="1391" spans="2:17">
      <c r="B1391" s="1" t="s">
        <v>456</v>
      </c>
      <c r="C1391" s="1" t="s">
        <v>471</v>
      </c>
      <c r="D1391" s="52">
        <v>46077.291666666664</v>
      </c>
      <c r="E1391" s="52">
        <v>46077.291666666664</v>
      </c>
      <c r="F1391" s="52">
        <v>46077.333333333336</v>
      </c>
      <c r="G1391" s="53">
        <v>4.1666666666666664E-2</v>
      </c>
      <c r="H1391" s="1" t="s">
        <v>257</v>
      </c>
      <c r="J1391" s="1" t="s">
        <v>258</v>
      </c>
      <c r="K1391" s="1" t="s">
        <v>658</v>
      </c>
      <c r="L1391" s="1" t="s">
        <v>868</v>
      </c>
      <c r="M1391" s="1" t="s">
        <v>260</v>
      </c>
      <c r="N1391" s="1" t="s">
        <v>261</v>
      </c>
      <c r="O1391" s="1" t="s">
        <v>626</v>
      </c>
      <c r="P1391" s="1" t="str">
        <f>_xlfn.CONCAT(B1391,C1391,D1391,E1391,F1391)</f>
        <v>BC Caiaponia1SG60KTL(COM1-014)46077,291666666746077,291666666746077,3333333333</v>
      </c>
      <c r="Q1391" s="1" t="str">
        <f>_xlfn.CONCAT(H1391,I1391,J1391)</f>
        <v>DAURDE</v>
      </c>
    </row>
    <row r="1392" spans="2:17">
      <c r="B1392" s="1" t="s">
        <v>456</v>
      </c>
      <c r="C1392" s="1" t="s">
        <v>472</v>
      </c>
      <c r="D1392" s="52">
        <v>46077.291666666664</v>
      </c>
      <c r="E1392" s="52">
        <v>46077.291666666664</v>
      </c>
      <c r="F1392" s="52">
        <v>46077.333333333336</v>
      </c>
      <c r="G1392" s="53">
        <v>4.1666666666666664E-2</v>
      </c>
      <c r="H1392" s="1" t="s">
        <v>257</v>
      </c>
      <c r="J1392" s="1" t="s">
        <v>258</v>
      </c>
      <c r="K1392" s="1" t="s">
        <v>658</v>
      </c>
      <c r="L1392" s="1" t="s">
        <v>868</v>
      </c>
      <c r="M1392" s="1" t="s">
        <v>260</v>
      </c>
      <c r="N1392" s="1" t="s">
        <v>261</v>
      </c>
      <c r="O1392" s="1" t="s">
        <v>626</v>
      </c>
      <c r="P1392" s="1" t="str">
        <f>_xlfn.CONCAT(B1392,C1392,D1392,E1392,F1392)</f>
        <v>BC Caiaponia1SG60KTL(COM1-015)46077,291666666746077,291666666746077,3333333333</v>
      </c>
      <c r="Q1392" s="1" t="str">
        <f>_xlfn.CONCAT(H1392,I1392,J1392)</f>
        <v>DAURDE</v>
      </c>
    </row>
    <row r="1393" spans="2:17">
      <c r="B1393" s="1" t="s">
        <v>456</v>
      </c>
      <c r="C1393" s="1" t="s">
        <v>473</v>
      </c>
      <c r="D1393" s="52">
        <v>46077.291666666664</v>
      </c>
      <c r="E1393" s="52">
        <v>46077.291666666664</v>
      </c>
      <c r="F1393" s="52">
        <v>46077.333333333336</v>
      </c>
      <c r="G1393" s="53">
        <v>4.1666666666666664E-2</v>
      </c>
      <c r="H1393" s="1" t="s">
        <v>257</v>
      </c>
      <c r="J1393" s="1" t="s">
        <v>258</v>
      </c>
      <c r="K1393" s="1" t="s">
        <v>658</v>
      </c>
      <c r="L1393" s="1" t="s">
        <v>868</v>
      </c>
      <c r="M1393" s="1" t="s">
        <v>260</v>
      </c>
      <c r="N1393" s="1" t="s">
        <v>261</v>
      </c>
      <c r="O1393" s="1" t="s">
        <v>626</v>
      </c>
      <c r="P1393" s="1" t="str">
        <f>_xlfn.CONCAT(B1393,C1393,D1393,E1393,F1393)</f>
        <v>BC Caiaponia1SG60KTL(COM3-016)_001_00946077,291666666746077,291666666746077,3333333333</v>
      </c>
      <c r="Q1393" s="1" t="str">
        <f>_xlfn.CONCAT(H1393,I1393,J1393)</f>
        <v>DAURDE</v>
      </c>
    </row>
    <row r="1394" spans="2:17">
      <c r="B1394" s="1" t="s">
        <v>456</v>
      </c>
      <c r="C1394" s="1" t="s">
        <v>474</v>
      </c>
      <c r="D1394" s="52">
        <v>46077.291666666664</v>
      </c>
      <c r="E1394" s="52">
        <v>46077.291666666664</v>
      </c>
      <c r="F1394" s="52">
        <v>46077.333333333336</v>
      </c>
      <c r="G1394" s="53">
        <v>4.1666666666666664E-2</v>
      </c>
      <c r="H1394" s="1" t="s">
        <v>257</v>
      </c>
      <c r="J1394" s="1" t="s">
        <v>258</v>
      </c>
      <c r="K1394" s="1" t="s">
        <v>658</v>
      </c>
      <c r="L1394" s="1" t="s">
        <v>868</v>
      </c>
      <c r="M1394" s="1" t="s">
        <v>260</v>
      </c>
      <c r="N1394" s="1" t="s">
        <v>261</v>
      </c>
      <c r="O1394" s="1" t="s">
        <v>626</v>
      </c>
      <c r="P1394" s="1" t="str">
        <f>_xlfn.CONCAT(B1394,C1394,D1394,E1394,F1394)</f>
        <v>BC Caiaponia1SG60KTL(COM3-017)_001_01246077,291666666746077,291666666746077,3333333333</v>
      </c>
      <c r="Q1394" s="1" t="str">
        <f>_xlfn.CONCAT(H1394,I1394,J1394)</f>
        <v>DAURDE</v>
      </c>
    </row>
    <row r="1395" spans="2:17">
      <c r="B1395" s="1" t="s">
        <v>456</v>
      </c>
      <c r="C1395" s="1" t="s">
        <v>475</v>
      </c>
      <c r="D1395" s="52">
        <v>46077.291666666664</v>
      </c>
      <c r="E1395" s="52">
        <v>46077.291666666664</v>
      </c>
      <c r="F1395" s="52">
        <v>46077.333333333336</v>
      </c>
      <c r="G1395" s="53">
        <v>4.1666666666666664E-2</v>
      </c>
      <c r="H1395" s="1" t="s">
        <v>257</v>
      </c>
      <c r="J1395" s="1" t="s">
        <v>258</v>
      </c>
      <c r="K1395" s="1" t="s">
        <v>658</v>
      </c>
      <c r="L1395" s="1" t="s">
        <v>868</v>
      </c>
      <c r="M1395" s="1" t="s">
        <v>260</v>
      </c>
      <c r="N1395" s="1" t="s">
        <v>261</v>
      </c>
      <c r="O1395" s="1" t="s">
        <v>626</v>
      </c>
      <c r="P1395" s="1" t="str">
        <f>_xlfn.CONCAT(B1395,C1395,D1395,E1395,F1395)</f>
        <v>BC Caiaponia1SG60KTL(COM3-018)_001_00846077,291666666746077,291666666746077,3333333333</v>
      </c>
      <c r="Q1395" s="1" t="str">
        <f>_xlfn.CONCAT(H1395,I1395,J1395)</f>
        <v>DAURDE</v>
      </c>
    </row>
    <row r="1396" spans="2:17">
      <c r="B1396" s="1" t="s">
        <v>456</v>
      </c>
      <c r="C1396" s="1" t="s">
        <v>476</v>
      </c>
      <c r="D1396" s="52">
        <v>46077.291666666664</v>
      </c>
      <c r="E1396" s="52">
        <v>46077.291666666664</v>
      </c>
      <c r="F1396" s="52">
        <v>46077.333333333336</v>
      </c>
      <c r="G1396" s="53">
        <v>4.1666666666666664E-2</v>
      </c>
      <c r="H1396" s="1" t="s">
        <v>257</v>
      </c>
      <c r="J1396" s="1" t="s">
        <v>258</v>
      </c>
      <c r="K1396" s="1" t="s">
        <v>658</v>
      </c>
      <c r="L1396" s="1" t="s">
        <v>868</v>
      </c>
      <c r="M1396" s="1" t="s">
        <v>260</v>
      </c>
      <c r="N1396" s="1" t="s">
        <v>261</v>
      </c>
      <c r="O1396" s="1" t="s">
        <v>626</v>
      </c>
      <c r="P1396" s="1" t="str">
        <f>_xlfn.CONCAT(B1396,C1396,D1396,E1396,F1396)</f>
        <v>BC Caiaponia1SG60KTL(COM3-019)_001_01946077,291666666746077,291666666746077,3333333333</v>
      </c>
      <c r="Q1396" s="1" t="str">
        <f>_xlfn.CONCAT(H1396,I1396,J1396)</f>
        <v>DAURDE</v>
      </c>
    </row>
    <row r="1397" spans="2:17">
      <c r="B1397" s="1" t="s">
        <v>456</v>
      </c>
      <c r="C1397" s="1" t="s">
        <v>477</v>
      </c>
      <c r="D1397" s="52">
        <v>46077.291666666664</v>
      </c>
      <c r="E1397" s="52">
        <v>46077.291666666664</v>
      </c>
      <c r="F1397" s="52">
        <v>46077.333333333336</v>
      </c>
      <c r="G1397" s="53">
        <v>4.1666666666666664E-2</v>
      </c>
      <c r="H1397" s="1" t="s">
        <v>257</v>
      </c>
      <c r="J1397" s="1" t="s">
        <v>258</v>
      </c>
      <c r="K1397" s="1" t="s">
        <v>658</v>
      </c>
      <c r="L1397" s="1" t="s">
        <v>868</v>
      </c>
      <c r="M1397" s="1" t="s">
        <v>260</v>
      </c>
      <c r="N1397" s="1" t="s">
        <v>261</v>
      </c>
      <c r="O1397" s="1" t="s">
        <v>626</v>
      </c>
      <c r="P1397" s="1" t="str">
        <f>_xlfn.CONCAT(B1397,C1397,D1397,E1397,F1397)</f>
        <v>BC Caiaponia1SG60KTL(COM3-020)_001_02046077,291666666746077,291666666746077,3333333333</v>
      </c>
      <c r="Q1397" s="1" t="str">
        <f>_xlfn.CONCAT(H1397,I1397,J1397)</f>
        <v>DAURDE</v>
      </c>
    </row>
    <row r="1398" spans="2:17">
      <c r="B1398" s="1" t="s">
        <v>456</v>
      </c>
      <c r="C1398" s="1" t="s">
        <v>478</v>
      </c>
      <c r="D1398" s="52">
        <v>46077.291666666664</v>
      </c>
      <c r="E1398" s="52">
        <v>46077.291666666664</v>
      </c>
      <c r="F1398" s="52">
        <v>46077.333333333336</v>
      </c>
      <c r="G1398" s="53">
        <v>4.1666666666666664E-2</v>
      </c>
      <c r="H1398" s="1" t="s">
        <v>257</v>
      </c>
      <c r="J1398" s="1" t="s">
        <v>258</v>
      </c>
      <c r="K1398" s="1" t="s">
        <v>658</v>
      </c>
      <c r="L1398" s="1" t="s">
        <v>868</v>
      </c>
      <c r="M1398" s="1" t="s">
        <v>260</v>
      </c>
      <c r="N1398" s="1" t="s">
        <v>261</v>
      </c>
      <c r="O1398" s="1" t="s">
        <v>626</v>
      </c>
      <c r="P1398" s="1" t="str">
        <f>_xlfn.CONCAT(B1398,C1398,D1398,E1398,F1398)</f>
        <v>BC Caiaponia1SG60KTL(COM2-026)46077,291666666746077,291666666746077,3333333333</v>
      </c>
      <c r="Q1398" s="1" t="str">
        <f>_xlfn.CONCAT(H1398,I1398,J1398)</f>
        <v>DAURDE</v>
      </c>
    </row>
    <row r="1399" spans="2:17">
      <c r="B1399" s="1" t="s">
        <v>456</v>
      </c>
      <c r="C1399" s="1" t="s">
        <v>479</v>
      </c>
      <c r="D1399" s="52">
        <v>46077.291666666664</v>
      </c>
      <c r="E1399" s="52">
        <v>46077.291666666664</v>
      </c>
      <c r="F1399" s="52">
        <v>46077.333333333336</v>
      </c>
      <c r="G1399" s="53">
        <v>4.1666666666666664E-2</v>
      </c>
      <c r="H1399" s="1" t="s">
        <v>257</v>
      </c>
      <c r="J1399" s="1" t="s">
        <v>258</v>
      </c>
      <c r="K1399" s="1" t="s">
        <v>658</v>
      </c>
      <c r="L1399" s="1" t="s">
        <v>868</v>
      </c>
      <c r="M1399" s="1" t="s">
        <v>260</v>
      </c>
      <c r="N1399" s="1" t="s">
        <v>261</v>
      </c>
      <c r="O1399" s="1" t="s">
        <v>626</v>
      </c>
      <c r="P1399" s="1" t="str">
        <f>_xlfn.CONCAT(B1399,C1399,D1399,E1399,F1399)</f>
        <v>BC Caiaponia1SG60KTL(COM2-027)46077,291666666746077,291666666746077,3333333333</v>
      </c>
      <c r="Q1399" s="1" t="str">
        <f>_xlfn.CONCAT(H1399,I1399,J1399)</f>
        <v>DAURDE</v>
      </c>
    </row>
    <row r="1400" spans="2:17">
      <c r="B1400" s="1" t="s">
        <v>456</v>
      </c>
      <c r="C1400" s="1" t="s">
        <v>480</v>
      </c>
      <c r="D1400" s="52">
        <v>46077.291666666664</v>
      </c>
      <c r="E1400" s="52">
        <v>46077.291666666664</v>
      </c>
      <c r="F1400" s="52">
        <v>46077.333333333336</v>
      </c>
      <c r="G1400" s="53">
        <v>4.1666666666666664E-2</v>
      </c>
      <c r="H1400" s="1" t="s">
        <v>257</v>
      </c>
      <c r="J1400" s="1" t="s">
        <v>258</v>
      </c>
      <c r="K1400" s="1" t="s">
        <v>658</v>
      </c>
      <c r="L1400" s="1" t="s">
        <v>868</v>
      </c>
      <c r="M1400" s="1" t="s">
        <v>260</v>
      </c>
      <c r="N1400" s="1" t="s">
        <v>261</v>
      </c>
      <c r="O1400" s="1" t="s">
        <v>626</v>
      </c>
      <c r="P1400" s="1" t="str">
        <f>_xlfn.CONCAT(B1400,C1400,D1400,E1400,F1400)</f>
        <v>BC Caiaponia1SG60KTL(COM2-028)46077,291666666746077,291666666746077,3333333333</v>
      </c>
      <c r="Q1400" s="1" t="str">
        <f>_xlfn.CONCAT(H1400,I1400,J1400)</f>
        <v>DAURDE</v>
      </c>
    </row>
    <row r="1401" spans="2:17">
      <c r="B1401" s="1" t="s">
        <v>456</v>
      </c>
      <c r="C1401" s="1" t="s">
        <v>481</v>
      </c>
      <c r="D1401" s="52">
        <v>46077.291666666664</v>
      </c>
      <c r="E1401" s="52">
        <v>46077.291666666664</v>
      </c>
      <c r="F1401" s="52">
        <v>46077.333333333336</v>
      </c>
      <c r="G1401" s="53">
        <v>4.1666666666666664E-2</v>
      </c>
      <c r="H1401" s="1" t="s">
        <v>257</v>
      </c>
      <c r="J1401" s="1" t="s">
        <v>258</v>
      </c>
      <c r="K1401" s="1" t="s">
        <v>658</v>
      </c>
      <c r="L1401" s="1" t="s">
        <v>868</v>
      </c>
      <c r="M1401" s="1" t="s">
        <v>260</v>
      </c>
      <c r="N1401" s="1" t="s">
        <v>261</v>
      </c>
      <c r="O1401" s="1" t="s">
        <v>626</v>
      </c>
      <c r="P1401" s="1" t="str">
        <f>_xlfn.CONCAT(B1401,C1401,D1401,E1401,F1401)</f>
        <v>BC Caiaponia1SG60KTL(COM2-029)46077,291666666746077,291666666746077,3333333333</v>
      </c>
      <c r="Q1401" s="1" t="str">
        <f>_xlfn.CONCAT(H1401,I1401,J1401)</f>
        <v>DAURDE</v>
      </c>
    </row>
    <row r="1402" spans="2:17">
      <c r="B1402" s="1" t="s">
        <v>456</v>
      </c>
      <c r="C1402" s="1" t="s">
        <v>482</v>
      </c>
      <c r="D1402" s="52">
        <v>46077.291666666664</v>
      </c>
      <c r="E1402" s="52">
        <v>46077.291666666664</v>
      </c>
      <c r="F1402" s="52">
        <v>46077.333333333336</v>
      </c>
      <c r="G1402" s="53">
        <v>4.1666666666666664E-2</v>
      </c>
      <c r="H1402" s="1" t="s">
        <v>257</v>
      </c>
      <c r="J1402" s="1" t="s">
        <v>258</v>
      </c>
      <c r="K1402" s="1" t="s">
        <v>658</v>
      </c>
      <c r="L1402" s="1" t="s">
        <v>868</v>
      </c>
      <c r="M1402" s="1" t="s">
        <v>260</v>
      </c>
      <c r="N1402" s="1" t="s">
        <v>261</v>
      </c>
      <c r="O1402" s="1" t="s">
        <v>626</v>
      </c>
      <c r="P1402" s="1" t="str">
        <f>_xlfn.CONCAT(B1402,C1402,D1402,E1402,F1402)</f>
        <v>BC Caiaponia1SG50CX(COM1-021)46077,291666666746077,291666666746077,3333333333</v>
      </c>
      <c r="Q1402" s="1" t="str">
        <f>_xlfn.CONCAT(H1402,I1402,J1402)</f>
        <v>DAURDE</v>
      </c>
    </row>
    <row r="1403" spans="2:17">
      <c r="B1403" s="1" t="s">
        <v>456</v>
      </c>
      <c r="C1403" s="1" t="s">
        <v>483</v>
      </c>
      <c r="D1403" s="52">
        <v>46077.291666666664</v>
      </c>
      <c r="E1403" s="52">
        <v>46077.291666666664</v>
      </c>
      <c r="F1403" s="52">
        <v>46077.333333333336</v>
      </c>
      <c r="G1403" s="53">
        <v>4.1666666666666664E-2</v>
      </c>
      <c r="H1403" s="1" t="s">
        <v>257</v>
      </c>
      <c r="J1403" s="1" t="s">
        <v>258</v>
      </c>
      <c r="K1403" s="1" t="s">
        <v>658</v>
      </c>
      <c r="L1403" s="1" t="s">
        <v>868</v>
      </c>
      <c r="M1403" s="1" t="s">
        <v>260</v>
      </c>
      <c r="N1403" s="1" t="s">
        <v>261</v>
      </c>
      <c r="O1403" s="1" t="s">
        <v>626</v>
      </c>
      <c r="P1403" s="1" t="str">
        <f>_xlfn.CONCAT(B1403,C1403,D1403,E1403,F1403)</f>
        <v>BC Caiaponia1SG50CX(COM1-022)46077,291666666746077,291666666746077,3333333333</v>
      </c>
      <c r="Q1403" s="1" t="str">
        <f>_xlfn.CONCAT(H1403,I1403,J1403)</f>
        <v>DAURDE</v>
      </c>
    </row>
    <row r="1404" spans="2:17">
      <c r="B1404" s="1" t="s">
        <v>456</v>
      </c>
      <c r="C1404" s="1" t="s">
        <v>484</v>
      </c>
      <c r="D1404" s="52">
        <v>46077.291666666664</v>
      </c>
      <c r="E1404" s="52">
        <v>46077.291666666664</v>
      </c>
      <c r="F1404" s="52">
        <v>46077.333333333336</v>
      </c>
      <c r="G1404" s="53">
        <v>4.1666666666666664E-2</v>
      </c>
      <c r="H1404" s="1" t="s">
        <v>257</v>
      </c>
      <c r="J1404" s="1" t="s">
        <v>258</v>
      </c>
      <c r="K1404" s="1" t="s">
        <v>658</v>
      </c>
      <c r="L1404" s="1" t="s">
        <v>868</v>
      </c>
      <c r="M1404" s="1" t="s">
        <v>260</v>
      </c>
      <c r="N1404" s="1" t="s">
        <v>261</v>
      </c>
      <c r="O1404" s="1" t="s">
        <v>626</v>
      </c>
      <c r="P1404" s="1" t="str">
        <f>_xlfn.CONCAT(B1404,C1404,D1404,E1404,F1404)</f>
        <v>BC Caiaponia1SG50CX(COM1-023)46077,291666666746077,291666666746077,3333333333</v>
      </c>
      <c r="Q1404" s="1" t="str">
        <f>_xlfn.CONCAT(H1404,I1404,J1404)</f>
        <v>DAURDE</v>
      </c>
    </row>
    <row r="1405" spans="2:17">
      <c r="B1405" s="1" t="s">
        <v>456</v>
      </c>
      <c r="C1405" s="1" t="s">
        <v>485</v>
      </c>
      <c r="D1405" s="52">
        <v>46077.291666666664</v>
      </c>
      <c r="E1405" s="52">
        <v>46077.291666666664</v>
      </c>
      <c r="F1405" s="52">
        <v>46077.333333333336</v>
      </c>
      <c r="G1405" s="53">
        <v>4.1666666666666664E-2</v>
      </c>
      <c r="H1405" s="1" t="s">
        <v>257</v>
      </c>
      <c r="J1405" s="1" t="s">
        <v>258</v>
      </c>
      <c r="K1405" s="1" t="s">
        <v>658</v>
      </c>
      <c r="L1405" s="1" t="s">
        <v>868</v>
      </c>
      <c r="M1405" s="1" t="s">
        <v>260</v>
      </c>
      <c r="N1405" s="1" t="s">
        <v>261</v>
      </c>
      <c r="O1405" s="1" t="s">
        <v>607</v>
      </c>
      <c r="P1405" s="1" t="str">
        <f>_xlfn.CONCAT(B1405,C1405,D1405,E1405,F1405)</f>
        <v>BC Caiaponia1SG50CX(COM1-024)46077,291666666746077,291666666746077,3333333333</v>
      </c>
      <c r="Q1405" s="1" t="str">
        <f>_xlfn.CONCAT(H1405,I1405,J1405)</f>
        <v>DAURDE</v>
      </c>
    </row>
    <row r="1406" spans="2:17">
      <c r="B1406" s="1" t="s">
        <v>456</v>
      </c>
      <c r="C1406" s="1" t="s">
        <v>486</v>
      </c>
      <c r="D1406" s="52">
        <v>46077.291666666664</v>
      </c>
      <c r="E1406" s="52">
        <v>46077.291666666664</v>
      </c>
      <c r="F1406" s="52">
        <v>46077.333333333336</v>
      </c>
      <c r="G1406" s="53">
        <v>4.1666666666666664E-2</v>
      </c>
      <c r="H1406" s="1" t="s">
        <v>257</v>
      </c>
      <c r="J1406" s="1" t="s">
        <v>258</v>
      </c>
      <c r="K1406" s="1" t="s">
        <v>658</v>
      </c>
      <c r="L1406" s="1" t="s">
        <v>868</v>
      </c>
      <c r="M1406" s="1" t="s">
        <v>260</v>
      </c>
      <c r="N1406" s="1" t="s">
        <v>261</v>
      </c>
      <c r="O1406" s="1" t="s">
        <v>607</v>
      </c>
      <c r="P1406" s="1" t="str">
        <f>_xlfn.CONCAT(B1406,C1406,D1406,E1406,F1406)</f>
        <v>BC Caiaponia1SG50CX(COM1-025)46077,291666666746077,291666666746077,3333333333</v>
      </c>
      <c r="Q1406" s="1" t="str">
        <f>_xlfn.CONCAT(H1406,I1406,J1406)</f>
        <v>DAURDE</v>
      </c>
    </row>
    <row r="1407" spans="2:17">
      <c r="B1407" s="1" t="s">
        <v>487</v>
      </c>
      <c r="C1407" s="1" t="s">
        <v>377</v>
      </c>
      <c r="D1407" s="52">
        <v>46077.291666666664</v>
      </c>
      <c r="E1407" s="52">
        <v>46077.291666666664</v>
      </c>
      <c r="F1407" s="52">
        <v>46077.333333333336</v>
      </c>
      <c r="G1407" s="53">
        <v>4.1666666666666664E-2</v>
      </c>
      <c r="H1407" s="1" t="s">
        <v>257</v>
      </c>
      <c r="J1407" s="1" t="s">
        <v>258</v>
      </c>
      <c r="K1407" s="1" t="s">
        <v>658</v>
      </c>
      <c r="L1407" s="1" t="s">
        <v>868</v>
      </c>
      <c r="M1407" s="1" t="s">
        <v>260</v>
      </c>
      <c r="N1407" s="1" t="s">
        <v>261</v>
      </c>
      <c r="O1407" s="1" t="s">
        <v>607</v>
      </c>
      <c r="P1407" s="1" t="str">
        <f>_xlfn.CONCAT(B1407,C1407,D1407,E1407,F1407)</f>
        <v>BC Caiaponia2.1215KTL-H3(MBUS-12)46077,291666666746077,291666666746077,3333333333</v>
      </c>
      <c r="Q1407" s="1" t="str">
        <f>_xlfn.CONCAT(H1407,I1407,J1407)</f>
        <v>DAURDE</v>
      </c>
    </row>
    <row r="1408" spans="2:17">
      <c r="B1408" s="1" t="s">
        <v>487</v>
      </c>
      <c r="C1408" s="1" t="s">
        <v>378</v>
      </c>
      <c r="D1408" s="52">
        <v>46077.291666666664</v>
      </c>
      <c r="E1408" s="52">
        <v>46077.291666666664</v>
      </c>
      <c r="F1408" s="52">
        <v>46077.333333333336</v>
      </c>
      <c r="G1408" s="53">
        <v>4.1666666666666664E-2</v>
      </c>
      <c r="H1408" s="1" t="s">
        <v>257</v>
      </c>
      <c r="J1408" s="1" t="s">
        <v>258</v>
      </c>
      <c r="K1408" s="1" t="s">
        <v>658</v>
      </c>
      <c r="L1408" s="1" t="s">
        <v>868</v>
      </c>
      <c r="M1408" s="1" t="s">
        <v>260</v>
      </c>
      <c r="N1408" s="1" t="s">
        <v>261</v>
      </c>
      <c r="O1408" s="1" t="s">
        <v>607</v>
      </c>
      <c r="P1408" s="1" t="str">
        <f>_xlfn.CONCAT(B1408,C1408,D1408,E1408,F1408)</f>
        <v>BC Caiaponia2.1215KTL-H3(MBUS-13)46077,291666666746077,291666666746077,3333333333</v>
      </c>
      <c r="Q1408" s="1" t="str">
        <f>_xlfn.CONCAT(H1408,I1408,J1408)</f>
        <v>DAURDE</v>
      </c>
    </row>
    <row r="1409" spans="2:17">
      <c r="B1409" s="1" t="s">
        <v>487</v>
      </c>
      <c r="C1409" s="1" t="s">
        <v>382</v>
      </c>
      <c r="D1409" s="52">
        <v>46077.291666666664</v>
      </c>
      <c r="E1409" s="52">
        <v>46077.291666666664</v>
      </c>
      <c r="F1409" s="52">
        <v>46077.333333333336</v>
      </c>
      <c r="G1409" s="53">
        <v>4.1666666666666664E-2</v>
      </c>
      <c r="H1409" s="1" t="s">
        <v>257</v>
      </c>
      <c r="J1409" s="1" t="s">
        <v>258</v>
      </c>
      <c r="K1409" s="1" t="s">
        <v>658</v>
      </c>
      <c r="L1409" s="1" t="s">
        <v>868</v>
      </c>
      <c r="M1409" s="1" t="s">
        <v>260</v>
      </c>
      <c r="N1409" s="1" t="s">
        <v>261</v>
      </c>
      <c r="O1409" s="1" t="s">
        <v>607</v>
      </c>
      <c r="P1409" s="1" t="str">
        <f>_xlfn.CONCAT(B1409,C1409,D1409,E1409,F1409)</f>
        <v>BC Caiaponia2.1215KTL-H3(MBUS-14)46077,291666666746077,291666666746077,3333333333</v>
      </c>
      <c r="Q1409" s="1" t="str">
        <f>_xlfn.CONCAT(H1409,I1409,J1409)</f>
        <v>DAURDE</v>
      </c>
    </row>
    <row r="1410" spans="2:17">
      <c r="B1410" s="1" t="s">
        <v>487</v>
      </c>
      <c r="C1410" s="1" t="s">
        <v>380</v>
      </c>
      <c r="D1410" s="52">
        <v>46077.291666666664</v>
      </c>
      <c r="E1410" s="52">
        <v>46077.291666666664</v>
      </c>
      <c r="F1410" s="52">
        <v>46077.333333333336</v>
      </c>
      <c r="G1410" s="53">
        <v>4.1666666666666664E-2</v>
      </c>
      <c r="H1410" s="1" t="s">
        <v>257</v>
      </c>
      <c r="J1410" s="1" t="s">
        <v>258</v>
      </c>
      <c r="K1410" s="1" t="s">
        <v>658</v>
      </c>
      <c r="L1410" s="1" t="s">
        <v>868</v>
      </c>
      <c r="M1410" s="1" t="s">
        <v>260</v>
      </c>
      <c r="N1410" s="1" t="s">
        <v>261</v>
      </c>
      <c r="O1410" s="1" t="s">
        <v>607</v>
      </c>
      <c r="P1410" s="1" t="str">
        <f>_xlfn.CONCAT(B1410,C1410,D1410,E1410,F1410)</f>
        <v>BC Caiaponia2.1215KTL-H3(MBUS-15)46077,291666666746077,291666666746077,3333333333</v>
      </c>
      <c r="Q1410" s="1" t="str">
        <f>_xlfn.CONCAT(H1410,I1410,J1410)</f>
        <v>DAURDE</v>
      </c>
    </row>
    <row r="1411" spans="2:17">
      <c r="B1411" s="1" t="s">
        <v>487</v>
      </c>
      <c r="C1411" s="1" t="s">
        <v>379</v>
      </c>
      <c r="D1411" s="52">
        <v>46077.291666666664</v>
      </c>
      <c r="E1411" s="52">
        <v>46077.291666666664</v>
      </c>
      <c r="F1411" s="52">
        <v>46077.333333333336</v>
      </c>
      <c r="G1411" s="53">
        <v>4.1666666666666664E-2</v>
      </c>
      <c r="H1411" s="1" t="s">
        <v>257</v>
      </c>
      <c r="J1411" s="1" t="s">
        <v>258</v>
      </c>
      <c r="K1411" s="1" t="s">
        <v>658</v>
      </c>
      <c r="L1411" s="1" t="s">
        <v>868</v>
      </c>
      <c r="M1411" s="1" t="s">
        <v>260</v>
      </c>
      <c r="N1411" s="1" t="s">
        <v>261</v>
      </c>
      <c r="O1411" s="1" t="s">
        <v>607</v>
      </c>
      <c r="P1411" s="1" t="str">
        <f>_xlfn.CONCAT(B1411,C1411,D1411,E1411,F1411)</f>
        <v>BC Caiaponia2.1215KTL-H3(MBUS-16)46077,291666666746077,291666666746077,3333333333</v>
      </c>
      <c r="Q1411" s="1" t="str">
        <f>_xlfn.CONCAT(H1411,I1411,J1411)</f>
        <v>DAURDE</v>
      </c>
    </row>
    <row r="1412" spans="2:17">
      <c r="B1412" s="1" t="s">
        <v>583</v>
      </c>
      <c r="C1412" s="1" t="s">
        <v>377</v>
      </c>
      <c r="D1412" s="52">
        <v>46077.291666666664</v>
      </c>
      <c r="E1412" s="52">
        <v>46077.291666666664</v>
      </c>
      <c r="F1412" s="52">
        <v>46077.333333333336</v>
      </c>
      <c r="G1412" s="53">
        <v>4.1666666666666664E-2</v>
      </c>
      <c r="H1412" s="1" t="s">
        <v>257</v>
      </c>
      <c r="J1412" s="1" t="s">
        <v>258</v>
      </c>
      <c r="K1412" s="1" t="s">
        <v>658</v>
      </c>
      <c r="L1412" s="1" t="s">
        <v>868</v>
      </c>
      <c r="M1412" s="1" t="s">
        <v>260</v>
      </c>
      <c r="N1412" s="1" t="s">
        <v>261</v>
      </c>
      <c r="O1412" s="1" t="s">
        <v>607</v>
      </c>
      <c r="P1412" s="1" t="str">
        <f>_xlfn.CONCAT(B1412,C1412,D1412,E1412,F1412)</f>
        <v>BC Caiaponia2.2215KTL-H3(MBUS-12)46077,291666666746077,291666666746077,3333333333</v>
      </c>
      <c r="Q1412" s="1" t="str">
        <f>_xlfn.CONCAT(H1412,I1412,J1412)</f>
        <v>DAURDE</v>
      </c>
    </row>
    <row r="1413" spans="2:17">
      <c r="B1413" s="1" t="s">
        <v>583</v>
      </c>
      <c r="C1413" s="1" t="s">
        <v>378</v>
      </c>
      <c r="D1413" s="52">
        <v>46077.291666666664</v>
      </c>
      <c r="E1413" s="52">
        <v>46077.291666666664</v>
      </c>
      <c r="F1413" s="52">
        <v>46077.333333333336</v>
      </c>
      <c r="G1413" s="53">
        <v>4.1666666666666664E-2</v>
      </c>
      <c r="H1413" s="1" t="s">
        <v>257</v>
      </c>
      <c r="J1413" s="1" t="s">
        <v>258</v>
      </c>
      <c r="K1413" s="1" t="s">
        <v>658</v>
      </c>
      <c r="L1413" s="1" t="s">
        <v>868</v>
      </c>
      <c r="M1413" s="1" t="s">
        <v>260</v>
      </c>
      <c r="N1413" s="1" t="s">
        <v>261</v>
      </c>
      <c r="O1413" s="1" t="s">
        <v>607</v>
      </c>
      <c r="P1413" s="1" t="str">
        <f>_xlfn.CONCAT(B1413,C1413,D1413,E1413,F1413)</f>
        <v>BC Caiaponia2.2215KTL-H3(MBUS-13)46077,291666666746077,291666666746077,3333333333</v>
      </c>
      <c r="Q1413" s="1" t="str">
        <f>_xlfn.CONCAT(H1413,I1413,J1413)</f>
        <v>DAURDE</v>
      </c>
    </row>
    <row r="1414" spans="2:17">
      <c r="B1414" s="1" t="s">
        <v>583</v>
      </c>
      <c r="C1414" s="1" t="s">
        <v>382</v>
      </c>
      <c r="D1414" s="52">
        <v>46077.291666666664</v>
      </c>
      <c r="E1414" s="52">
        <v>46077.291666666664</v>
      </c>
      <c r="F1414" s="52">
        <v>46077.333333333336</v>
      </c>
      <c r="G1414" s="53">
        <v>4.1666666666666664E-2</v>
      </c>
      <c r="H1414" s="1" t="s">
        <v>257</v>
      </c>
      <c r="J1414" s="1" t="s">
        <v>258</v>
      </c>
      <c r="K1414" s="1" t="s">
        <v>658</v>
      </c>
      <c r="L1414" s="1" t="s">
        <v>868</v>
      </c>
      <c r="M1414" s="1" t="s">
        <v>260</v>
      </c>
      <c r="N1414" s="1" t="s">
        <v>261</v>
      </c>
      <c r="O1414" s="1" t="s">
        <v>607</v>
      </c>
      <c r="P1414" s="1" t="str">
        <f>_xlfn.CONCAT(B1414,C1414,D1414,E1414,F1414)</f>
        <v>BC Caiaponia2.2215KTL-H3(MBUS-14)46077,291666666746077,291666666746077,3333333333</v>
      </c>
      <c r="Q1414" s="1" t="str">
        <f>_xlfn.CONCAT(H1414,I1414,J1414)</f>
        <v>DAURDE</v>
      </c>
    </row>
    <row r="1415" spans="2:17">
      <c r="B1415" s="1" t="s">
        <v>583</v>
      </c>
      <c r="C1415" s="1" t="s">
        <v>380</v>
      </c>
      <c r="D1415" s="52">
        <v>46077.291666666664</v>
      </c>
      <c r="E1415" s="52">
        <v>46077.291666666664</v>
      </c>
      <c r="F1415" s="52">
        <v>46077.333333333336</v>
      </c>
      <c r="G1415" s="53">
        <v>4.1666666666666664E-2</v>
      </c>
      <c r="H1415" s="1" t="s">
        <v>257</v>
      </c>
      <c r="J1415" s="1" t="s">
        <v>258</v>
      </c>
      <c r="K1415" s="1" t="s">
        <v>658</v>
      </c>
      <c r="L1415" s="1" t="s">
        <v>868</v>
      </c>
      <c r="M1415" s="1" t="s">
        <v>260</v>
      </c>
      <c r="N1415" s="1" t="s">
        <v>261</v>
      </c>
      <c r="O1415" s="1" t="s">
        <v>607</v>
      </c>
      <c r="P1415" s="1" t="str">
        <f>_xlfn.CONCAT(B1415,C1415,D1415,E1415,F1415)</f>
        <v>BC Caiaponia2.2215KTL-H3(MBUS-15)46077,291666666746077,291666666746077,3333333333</v>
      </c>
      <c r="Q1415" s="1" t="str">
        <f>_xlfn.CONCAT(H1415,I1415,J1415)</f>
        <v>DAURDE</v>
      </c>
    </row>
    <row r="1416" spans="2:17">
      <c r="B1416" s="1" t="s">
        <v>583</v>
      </c>
      <c r="C1416" s="1" t="s">
        <v>379</v>
      </c>
      <c r="D1416" s="52">
        <v>46077.291666666664</v>
      </c>
      <c r="E1416" s="52">
        <v>46077.291666666664</v>
      </c>
      <c r="F1416" s="52">
        <v>46077.333333333336</v>
      </c>
      <c r="G1416" s="53">
        <v>4.1666666666666664E-2</v>
      </c>
      <c r="H1416" s="1" t="s">
        <v>257</v>
      </c>
      <c r="J1416" s="1" t="s">
        <v>258</v>
      </c>
      <c r="K1416" s="1" t="s">
        <v>658</v>
      </c>
      <c r="L1416" s="1" t="s">
        <v>868</v>
      </c>
      <c r="M1416" s="1" t="s">
        <v>260</v>
      </c>
      <c r="N1416" s="1" t="s">
        <v>261</v>
      </c>
      <c r="O1416" s="1" t="s">
        <v>607</v>
      </c>
      <c r="P1416" s="1" t="str">
        <f>_xlfn.CONCAT(B1416,C1416,D1416,E1416,F1416)</f>
        <v>BC Caiaponia2.2215KTL-H3(MBUS-16)46077,291666666746077,291666666746077,3333333333</v>
      </c>
      <c r="Q1416" s="1" t="str">
        <f>_xlfn.CONCAT(H1416,I1416,J1416)</f>
        <v>DAURDE</v>
      </c>
    </row>
    <row r="1417" spans="2:17">
      <c r="B1417" s="1" t="s">
        <v>584</v>
      </c>
      <c r="C1417" s="1" t="s">
        <v>377</v>
      </c>
      <c r="D1417" s="52">
        <v>46077.291666666664</v>
      </c>
      <c r="E1417" s="52">
        <v>46077.291666666664</v>
      </c>
      <c r="F1417" s="52">
        <v>46077.333333333336</v>
      </c>
      <c r="G1417" s="53">
        <v>4.1666666666666664E-2</v>
      </c>
      <c r="H1417" s="1" t="s">
        <v>257</v>
      </c>
      <c r="J1417" s="1" t="s">
        <v>258</v>
      </c>
      <c r="K1417" s="1" t="s">
        <v>658</v>
      </c>
      <c r="L1417" s="1" t="s">
        <v>868</v>
      </c>
      <c r="M1417" s="1" t="s">
        <v>260</v>
      </c>
      <c r="N1417" s="1" t="s">
        <v>261</v>
      </c>
      <c r="O1417" s="1" t="s">
        <v>607</v>
      </c>
      <c r="P1417" s="1" t="str">
        <f>_xlfn.CONCAT(B1417,C1417,D1417,E1417,F1417)</f>
        <v>BC Caiaponia2.3215KTL-H3(MBUS-12)46077,291666666746077,291666666746077,3333333333</v>
      </c>
      <c r="Q1417" s="1" t="str">
        <f>_xlfn.CONCAT(H1417,I1417,J1417)</f>
        <v>DAURDE</v>
      </c>
    </row>
    <row r="1418" spans="2:17">
      <c r="B1418" s="1" t="s">
        <v>584</v>
      </c>
      <c r="C1418" s="1" t="s">
        <v>378</v>
      </c>
      <c r="D1418" s="52">
        <v>46077.291666666664</v>
      </c>
      <c r="E1418" s="52">
        <v>46077.291666666664</v>
      </c>
      <c r="F1418" s="52">
        <v>46077.333333333336</v>
      </c>
      <c r="G1418" s="53">
        <v>4.1666666666666664E-2</v>
      </c>
      <c r="H1418" s="1" t="s">
        <v>257</v>
      </c>
      <c r="J1418" s="1" t="s">
        <v>258</v>
      </c>
      <c r="K1418" s="1" t="s">
        <v>658</v>
      </c>
      <c r="L1418" s="1" t="s">
        <v>868</v>
      </c>
      <c r="M1418" s="1" t="s">
        <v>260</v>
      </c>
      <c r="N1418" s="1" t="s">
        <v>261</v>
      </c>
      <c r="O1418" s="1" t="s">
        <v>607</v>
      </c>
      <c r="P1418" s="1" t="str">
        <f>_xlfn.CONCAT(B1418,C1418,D1418,E1418,F1418)</f>
        <v>BC Caiaponia2.3215KTL-H3(MBUS-13)46077,291666666746077,291666666746077,3333333333</v>
      </c>
      <c r="Q1418" s="1" t="str">
        <f>_xlfn.CONCAT(H1418,I1418,J1418)</f>
        <v>DAURDE</v>
      </c>
    </row>
    <row r="1419" spans="2:17">
      <c r="B1419" s="1" t="s">
        <v>584</v>
      </c>
      <c r="C1419" s="1" t="s">
        <v>382</v>
      </c>
      <c r="D1419" s="52">
        <v>46077.291666666664</v>
      </c>
      <c r="E1419" s="52">
        <v>46077.291666666664</v>
      </c>
      <c r="F1419" s="52">
        <v>46077.333333333336</v>
      </c>
      <c r="G1419" s="53">
        <v>4.1666666666666664E-2</v>
      </c>
      <c r="H1419" s="1" t="s">
        <v>257</v>
      </c>
      <c r="J1419" s="1" t="s">
        <v>258</v>
      </c>
      <c r="K1419" s="1" t="s">
        <v>658</v>
      </c>
      <c r="L1419" s="1" t="s">
        <v>868</v>
      </c>
      <c r="M1419" s="1" t="s">
        <v>260</v>
      </c>
      <c r="N1419" s="1" t="s">
        <v>261</v>
      </c>
      <c r="O1419" s="1" t="s">
        <v>607</v>
      </c>
      <c r="P1419" s="1" t="str">
        <f>_xlfn.CONCAT(B1419,C1419,D1419,E1419,F1419)</f>
        <v>BC Caiaponia2.3215KTL-H3(MBUS-14)46077,291666666746077,291666666746077,3333333333</v>
      </c>
      <c r="Q1419" s="1" t="str">
        <f>_xlfn.CONCAT(H1419,I1419,J1419)</f>
        <v>DAURDE</v>
      </c>
    </row>
    <row r="1420" spans="2:17">
      <c r="B1420" s="1" t="s">
        <v>584</v>
      </c>
      <c r="C1420" s="1" t="s">
        <v>380</v>
      </c>
      <c r="D1420" s="52">
        <v>46077.291666666664</v>
      </c>
      <c r="E1420" s="52">
        <v>46077.291666666664</v>
      </c>
      <c r="F1420" s="52">
        <v>46077.333333333336</v>
      </c>
      <c r="G1420" s="53">
        <v>4.1666666666666664E-2</v>
      </c>
      <c r="H1420" s="1" t="s">
        <v>257</v>
      </c>
      <c r="J1420" s="1" t="s">
        <v>258</v>
      </c>
      <c r="K1420" s="1" t="s">
        <v>658</v>
      </c>
      <c r="L1420" s="1" t="s">
        <v>868</v>
      </c>
      <c r="M1420" s="1" t="s">
        <v>260</v>
      </c>
      <c r="N1420" s="1" t="s">
        <v>261</v>
      </c>
      <c r="O1420" s="1" t="s">
        <v>607</v>
      </c>
      <c r="P1420" s="1" t="str">
        <f>_xlfn.CONCAT(B1420,C1420,D1420,E1420,F1420)</f>
        <v>BC Caiaponia2.3215KTL-H3(MBUS-15)46077,291666666746077,291666666746077,3333333333</v>
      </c>
      <c r="Q1420" s="1" t="str">
        <f>_xlfn.CONCAT(H1420,I1420,J1420)</f>
        <v>DAURDE</v>
      </c>
    </row>
    <row r="1421" spans="2:17">
      <c r="B1421" s="1" t="s">
        <v>584</v>
      </c>
      <c r="C1421" s="1" t="s">
        <v>379</v>
      </c>
      <c r="D1421" s="52">
        <v>46077.291666666664</v>
      </c>
      <c r="E1421" s="52">
        <v>46077.291666666664</v>
      </c>
      <c r="F1421" s="52">
        <v>46077.333333333336</v>
      </c>
      <c r="G1421" s="53">
        <v>4.1666666666666664E-2</v>
      </c>
      <c r="H1421" s="1" t="s">
        <v>257</v>
      </c>
      <c r="J1421" s="1" t="s">
        <v>258</v>
      </c>
      <c r="K1421" s="1" t="s">
        <v>658</v>
      </c>
      <c r="L1421" s="1" t="s">
        <v>868</v>
      </c>
      <c r="M1421" s="1" t="s">
        <v>260</v>
      </c>
      <c r="N1421" s="1" t="s">
        <v>261</v>
      </c>
      <c r="O1421" s="1" t="s">
        <v>607</v>
      </c>
      <c r="P1421" s="1" t="str">
        <f>_xlfn.CONCAT(B1421,C1421,D1421,E1421,F1421)</f>
        <v>BC Caiaponia2.3215KTL-H3(MBUS-16)46077,291666666746077,291666666746077,3333333333</v>
      </c>
      <c r="Q1421" s="1" t="str">
        <f>_xlfn.CONCAT(H1421,I1421,J1421)</f>
        <v>DAURDE</v>
      </c>
    </row>
    <row r="1422" spans="2:17">
      <c r="B1422" s="1" t="s">
        <v>305</v>
      </c>
      <c r="C1422" s="1" t="s">
        <v>256</v>
      </c>
      <c r="D1422" s="52">
        <v>46077.586111111108</v>
      </c>
      <c r="E1422" s="52">
        <v>46077.586111111108</v>
      </c>
      <c r="F1422" s="52">
        <v>46077.628472222219</v>
      </c>
      <c r="G1422" s="53">
        <v>4.2361111111111113E-2</v>
      </c>
      <c r="H1422" s="1" t="s">
        <v>257</v>
      </c>
      <c r="J1422" s="1" t="s">
        <v>258</v>
      </c>
      <c r="K1422" s="1" t="s">
        <v>658</v>
      </c>
      <c r="L1422" s="1" t="s">
        <v>869</v>
      </c>
      <c r="M1422" s="1" t="s">
        <v>260</v>
      </c>
      <c r="N1422" s="1" t="s">
        <v>261</v>
      </c>
      <c r="O1422" s="1" t="s">
        <v>607</v>
      </c>
      <c r="P1422" s="1" t="str">
        <f>_xlfn.CONCAT(B1422,C1422,D1422,E1422,F1422)</f>
        <v>ARAGUATINS 1.1Inverter(MBUS-12)46077,586111111146077,586111111146077,6284722222</v>
      </c>
      <c r="Q1422" s="1" t="str">
        <f>_xlfn.CONCAT(H1422,I1422,J1422)</f>
        <v>DAURDE</v>
      </c>
    </row>
    <row r="1423" spans="2:17">
      <c r="B1423" s="1" t="s">
        <v>305</v>
      </c>
      <c r="C1423" s="1" t="s">
        <v>264</v>
      </c>
      <c r="D1423" s="52">
        <v>46077.586111111108</v>
      </c>
      <c r="E1423" s="52">
        <v>46077.586111111108</v>
      </c>
      <c r="F1423" s="52">
        <v>46077.628472222219</v>
      </c>
      <c r="G1423" s="53">
        <v>4.2361111111111113E-2</v>
      </c>
      <c r="H1423" s="1" t="s">
        <v>257</v>
      </c>
      <c r="J1423" s="1" t="s">
        <v>258</v>
      </c>
      <c r="K1423" s="1" t="s">
        <v>658</v>
      </c>
      <c r="L1423" s="1" t="s">
        <v>869</v>
      </c>
      <c r="M1423" s="1" t="s">
        <v>260</v>
      </c>
      <c r="N1423" s="1" t="s">
        <v>261</v>
      </c>
      <c r="O1423" s="1" t="s">
        <v>607</v>
      </c>
      <c r="P1423" s="1" t="str">
        <f>_xlfn.CONCAT(B1423,C1423,D1423,E1423,F1423)</f>
        <v>ARAGUATINS 1.1Inverter(MBUS-13)46077,586111111146077,586111111146077,6284722222</v>
      </c>
      <c r="Q1423" s="1" t="str">
        <f>_xlfn.CONCAT(H1423,I1423,J1423)</f>
        <v>DAURDE</v>
      </c>
    </row>
    <row r="1424" spans="2:17">
      <c r="B1424" s="1" t="s">
        <v>305</v>
      </c>
      <c r="C1424" s="1" t="s">
        <v>263</v>
      </c>
      <c r="D1424" s="52">
        <v>46077.586111111108</v>
      </c>
      <c r="E1424" s="52">
        <v>46077.586111111108</v>
      </c>
      <c r="F1424" s="52">
        <v>46077.628472222219</v>
      </c>
      <c r="G1424" s="53">
        <v>4.2361111111111113E-2</v>
      </c>
      <c r="H1424" s="1" t="s">
        <v>257</v>
      </c>
      <c r="J1424" s="1" t="s">
        <v>258</v>
      </c>
      <c r="K1424" s="1" t="s">
        <v>658</v>
      </c>
      <c r="L1424" s="1" t="s">
        <v>869</v>
      </c>
      <c r="M1424" s="1" t="s">
        <v>260</v>
      </c>
      <c r="N1424" s="1" t="s">
        <v>261</v>
      </c>
      <c r="O1424" s="1" t="s">
        <v>607</v>
      </c>
      <c r="P1424" s="1" t="str">
        <f>_xlfn.CONCAT(B1424,C1424,D1424,E1424,F1424)</f>
        <v>ARAGUATINS 1.1Inverter(MBUS-14)46077,586111111146077,586111111146077,6284722222</v>
      </c>
      <c r="Q1424" s="1" t="str">
        <f>_xlfn.CONCAT(H1424,I1424,J1424)</f>
        <v>DAURDE</v>
      </c>
    </row>
    <row r="1425" spans="2:17">
      <c r="B1425" s="1" t="s">
        <v>305</v>
      </c>
      <c r="C1425" s="1" t="s">
        <v>307</v>
      </c>
      <c r="D1425" s="52">
        <v>46077.586111111108</v>
      </c>
      <c r="E1425" s="52">
        <v>46077.586111111108</v>
      </c>
      <c r="F1425" s="52">
        <v>46077.628472222219</v>
      </c>
      <c r="G1425" s="53">
        <v>4.2361111111111113E-2</v>
      </c>
      <c r="H1425" s="1" t="s">
        <v>257</v>
      </c>
      <c r="J1425" s="1" t="s">
        <v>258</v>
      </c>
      <c r="K1425" s="1" t="s">
        <v>658</v>
      </c>
      <c r="L1425" s="1" t="s">
        <v>869</v>
      </c>
      <c r="M1425" s="1" t="s">
        <v>260</v>
      </c>
      <c r="N1425" s="1" t="s">
        <v>261</v>
      </c>
      <c r="O1425" s="1" t="s">
        <v>607</v>
      </c>
      <c r="P1425" s="1" t="str">
        <f>_xlfn.CONCAT(B1425,C1425,D1425,E1425,F1425)</f>
        <v>ARAGUATINS 1.1Inverter(MBUS-15)46077,586111111146077,586111111146077,6284722222</v>
      </c>
      <c r="Q1425" s="1" t="str">
        <f>_xlfn.CONCAT(H1425,I1425,J1425)</f>
        <v>DAURDE</v>
      </c>
    </row>
    <row r="1426" spans="2:17">
      <c r="B1426" s="1" t="s">
        <v>308</v>
      </c>
      <c r="C1426" s="1" t="s">
        <v>256</v>
      </c>
      <c r="D1426" s="52">
        <v>46077.586111111108</v>
      </c>
      <c r="E1426" s="52">
        <v>46077.586111111108</v>
      </c>
      <c r="F1426" s="52">
        <v>46077.628472222219</v>
      </c>
      <c r="G1426" s="53">
        <v>4.2361111111111113E-2</v>
      </c>
      <c r="H1426" s="1" t="s">
        <v>257</v>
      </c>
      <c r="J1426" s="1" t="s">
        <v>258</v>
      </c>
      <c r="K1426" s="1" t="s">
        <v>658</v>
      </c>
      <c r="L1426" s="1" t="s">
        <v>869</v>
      </c>
      <c r="M1426" s="1" t="s">
        <v>260</v>
      </c>
      <c r="N1426" s="1" t="s">
        <v>261</v>
      </c>
      <c r="O1426" s="1" t="s">
        <v>607</v>
      </c>
      <c r="P1426" s="1" t="str">
        <f>_xlfn.CONCAT(B1426,C1426,D1426,E1426,F1426)</f>
        <v>ARAGUATINS 1.2Inverter(MBUS-12)46077,586111111146077,586111111146077,6284722222</v>
      </c>
      <c r="Q1426" s="1" t="str">
        <f>_xlfn.CONCAT(H1426,I1426,J1426)</f>
        <v>DAURDE</v>
      </c>
    </row>
    <row r="1427" spans="2:17">
      <c r="B1427" s="1" t="s">
        <v>308</v>
      </c>
      <c r="C1427" s="1" t="s">
        <v>264</v>
      </c>
      <c r="D1427" s="52">
        <v>46077.586111111108</v>
      </c>
      <c r="E1427" s="52">
        <v>46077.586111111108</v>
      </c>
      <c r="F1427" s="52">
        <v>46077.628472222219</v>
      </c>
      <c r="G1427" s="53">
        <v>4.2361111111111113E-2</v>
      </c>
      <c r="H1427" s="1" t="s">
        <v>257</v>
      </c>
      <c r="J1427" s="1" t="s">
        <v>258</v>
      </c>
      <c r="K1427" s="1" t="s">
        <v>658</v>
      </c>
      <c r="L1427" s="1" t="s">
        <v>869</v>
      </c>
      <c r="M1427" s="1" t="s">
        <v>260</v>
      </c>
      <c r="N1427" s="1" t="s">
        <v>261</v>
      </c>
      <c r="O1427" s="1" t="s">
        <v>607</v>
      </c>
      <c r="P1427" s="1" t="str">
        <f>_xlfn.CONCAT(B1427,C1427,D1427,E1427,F1427)</f>
        <v>ARAGUATINS 1.2Inverter(MBUS-13)46077,586111111146077,586111111146077,6284722222</v>
      </c>
      <c r="Q1427" s="1" t="str">
        <f>_xlfn.CONCAT(H1427,I1427,J1427)</f>
        <v>DAURDE</v>
      </c>
    </row>
    <row r="1428" spans="2:17">
      <c r="B1428" s="1" t="s">
        <v>308</v>
      </c>
      <c r="C1428" s="1" t="s">
        <v>263</v>
      </c>
      <c r="D1428" s="52">
        <v>46077.586111111108</v>
      </c>
      <c r="E1428" s="52">
        <v>46077.586111111108</v>
      </c>
      <c r="F1428" s="52">
        <v>46077.628472222219</v>
      </c>
      <c r="G1428" s="53">
        <v>4.2361111111111113E-2</v>
      </c>
      <c r="H1428" s="1" t="s">
        <v>257</v>
      </c>
      <c r="J1428" s="1" t="s">
        <v>258</v>
      </c>
      <c r="K1428" s="1" t="s">
        <v>658</v>
      </c>
      <c r="L1428" s="1" t="s">
        <v>869</v>
      </c>
      <c r="M1428" s="1" t="s">
        <v>260</v>
      </c>
      <c r="N1428" s="1" t="s">
        <v>261</v>
      </c>
      <c r="O1428" s="1" t="s">
        <v>607</v>
      </c>
      <c r="P1428" s="1" t="str">
        <f>_xlfn.CONCAT(B1428,C1428,D1428,E1428,F1428)</f>
        <v>ARAGUATINS 1.2Inverter(MBUS-14)46077,586111111146077,586111111146077,6284722222</v>
      </c>
      <c r="Q1428" s="1" t="str">
        <f>_xlfn.CONCAT(H1428,I1428,J1428)</f>
        <v>DAURDE</v>
      </c>
    </row>
    <row r="1429" spans="2:17">
      <c r="B1429" s="1" t="s">
        <v>308</v>
      </c>
      <c r="C1429" s="1" t="s">
        <v>307</v>
      </c>
      <c r="D1429" s="52">
        <v>46077.586111111108</v>
      </c>
      <c r="E1429" s="52">
        <v>46077.586111111108</v>
      </c>
      <c r="F1429" s="52">
        <v>46077.628472222219</v>
      </c>
      <c r="G1429" s="53">
        <v>4.2361111111111113E-2</v>
      </c>
      <c r="H1429" s="1" t="s">
        <v>257</v>
      </c>
      <c r="J1429" s="1" t="s">
        <v>258</v>
      </c>
      <c r="K1429" s="1" t="s">
        <v>658</v>
      </c>
      <c r="L1429" s="1" t="s">
        <v>869</v>
      </c>
      <c r="M1429" s="1" t="s">
        <v>260</v>
      </c>
      <c r="N1429" s="1" t="s">
        <v>261</v>
      </c>
      <c r="O1429" s="1" t="s">
        <v>607</v>
      </c>
      <c r="P1429" s="1" t="str">
        <f>_xlfn.CONCAT(B1429,C1429,D1429,E1429,F1429)</f>
        <v>ARAGUATINS 1.2Inverter(MBUS-15)46077,586111111146077,586111111146077,6284722222</v>
      </c>
      <c r="Q1429" s="1" t="str">
        <f>_xlfn.CONCAT(H1429,I1429,J1429)</f>
        <v>DAURDE</v>
      </c>
    </row>
    <row r="1430" spans="2:17">
      <c r="B1430" s="1" t="s">
        <v>309</v>
      </c>
      <c r="C1430" s="1" t="s">
        <v>310</v>
      </c>
      <c r="D1430" s="52">
        <v>46077.586111111108</v>
      </c>
      <c r="E1430" s="52">
        <v>46077.586111111108</v>
      </c>
      <c r="F1430" s="52">
        <v>46077.628472222219</v>
      </c>
      <c r="G1430" s="53">
        <v>4.2361111111111113E-2</v>
      </c>
      <c r="H1430" s="1" t="s">
        <v>257</v>
      </c>
      <c r="J1430" s="1" t="s">
        <v>258</v>
      </c>
      <c r="K1430" s="1" t="s">
        <v>658</v>
      </c>
      <c r="L1430" s="1" t="s">
        <v>869</v>
      </c>
      <c r="M1430" s="1" t="s">
        <v>260</v>
      </c>
      <c r="N1430" s="1" t="s">
        <v>261</v>
      </c>
      <c r="O1430" s="1" t="s">
        <v>607</v>
      </c>
      <c r="P1430" s="1" t="str">
        <f>_xlfn.CONCAT(B1430,C1430,D1430,E1430,F1430)</f>
        <v>ARAGUATINS 1.3Inverter(MBUS-20)46077,586111111146077,586111111146077,6284722222</v>
      </c>
      <c r="Q1430" s="1" t="str">
        <f>_xlfn.CONCAT(H1430,I1430,J1430)</f>
        <v>DAURDE</v>
      </c>
    </row>
    <row r="1431" spans="2:17">
      <c r="B1431" s="1" t="s">
        <v>309</v>
      </c>
      <c r="C1431" s="1" t="s">
        <v>247</v>
      </c>
      <c r="D1431" s="52">
        <v>46077.586111111108</v>
      </c>
      <c r="E1431" s="52">
        <v>46077.586111111108</v>
      </c>
      <c r="F1431" s="52">
        <v>46077.628472222219</v>
      </c>
      <c r="G1431" s="53">
        <v>4.2361111111111113E-2</v>
      </c>
      <c r="H1431" s="1" t="s">
        <v>257</v>
      </c>
      <c r="J1431" s="1" t="s">
        <v>258</v>
      </c>
      <c r="K1431" s="1" t="s">
        <v>658</v>
      </c>
      <c r="L1431" s="1" t="s">
        <v>869</v>
      </c>
      <c r="M1431" s="1" t="s">
        <v>260</v>
      </c>
      <c r="N1431" s="1" t="s">
        <v>261</v>
      </c>
      <c r="O1431" s="1" t="s">
        <v>607</v>
      </c>
      <c r="P1431" s="1" t="str">
        <f>_xlfn.CONCAT(B1431,C1431,D1431,E1431,F1431)</f>
        <v>ARAGUATINS 1.3Inverter(MBUS-1)46077,586111111146077,586111111146077,6284722222</v>
      </c>
      <c r="Q1431" s="1" t="str">
        <f>_xlfn.CONCAT(H1431,I1431,J1431)</f>
        <v>DAURDE</v>
      </c>
    </row>
    <row r="1432" spans="2:17">
      <c r="B1432" s="1" t="s">
        <v>311</v>
      </c>
      <c r="C1432" s="1" t="s">
        <v>256</v>
      </c>
      <c r="D1432" s="52">
        <v>46077.586111111108</v>
      </c>
      <c r="E1432" s="52">
        <v>46077.586111111108</v>
      </c>
      <c r="F1432" s="52">
        <v>46077.628472222219</v>
      </c>
      <c r="G1432" s="53">
        <v>4.2361111111111113E-2</v>
      </c>
      <c r="H1432" s="1" t="s">
        <v>257</v>
      </c>
      <c r="J1432" s="1" t="s">
        <v>258</v>
      </c>
      <c r="K1432" s="1" t="s">
        <v>658</v>
      </c>
      <c r="L1432" s="1" t="s">
        <v>869</v>
      </c>
      <c r="M1432" s="1" t="s">
        <v>260</v>
      </c>
      <c r="N1432" s="1" t="s">
        <v>261</v>
      </c>
      <c r="O1432" s="1" t="s">
        <v>607</v>
      </c>
      <c r="P1432" s="1" t="str">
        <f>_xlfn.CONCAT(B1432,C1432,D1432,E1432,F1432)</f>
        <v>ARAGUATINS 2.1Inverter(MBUS-12)46077,586111111146077,586111111146077,6284722222</v>
      </c>
      <c r="Q1432" s="1" t="str">
        <f>_xlfn.CONCAT(H1432,I1432,J1432)</f>
        <v>DAURDE</v>
      </c>
    </row>
    <row r="1433" spans="2:17">
      <c r="B1433" s="1" t="s">
        <v>311</v>
      </c>
      <c r="C1433" s="1" t="s">
        <v>307</v>
      </c>
      <c r="D1433" s="52">
        <v>46077.586111111108</v>
      </c>
      <c r="E1433" s="52">
        <v>46077.586111111108</v>
      </c>
      <c r="F1433" s="52">
        <v>46077.628472222219</v>
      </c>
      <c r="G1433" s="53">
        <v>4.2361111111111113E-2</v>
      </c>
      <c r="H1433" s="1" t="s">
        <v>257</v>
      </c>
      <c r="J1433" s="1" t="s">
        <v>258</v>
      </c>
      <c r="K1433" s="1" t="s">
        <v>658</v>
      </c>
      <c r="L1433" s="1" t="s">
        <v>869</v>
      </c>
      <c r="M1433" s="1" t="s">
        <v>260</v>
      </c>
      <c r="N1433" s="1" t="s">
        <v>261</v>
      </c>
      <c r="O1433" s="1" t="s">
        <v>607</v>
      </c>
      <c r="P1433" s="1" t="str">
        <f>_xlfn.CONCAT(B1433,C1433,D1433,E1433,F1433)</f>
        <v>ARAGUATINS 2.1Inverter(MBUS-15)46077,586111111146077,586111111146077,6284722222</v>
      </c>
      <c r="Q1433" s="1" t="str">
        <f>_xlfn.CONCAT(H1433,I1433,J1433)</f>
        <v>DAURDE</v>
      </c>
    </row>
    <row r="1434" spans="2:17">
      <c r="B1434" s="1" t="s">
        <v>311</v>
      </c>
      <c r="C1434" s="1" t="s">
        <v>263</v>
      </c>
      <c r="D1434" s="52">
        <v>46077.586111111108</v>
      </c>
      <c r="E1434" s="52">
        <v>46077.586111111108</v>
      </c>
      <c r="F1434" s="52">
        <v>46077.628472222219</v>
      </c>
      <c r="G1434" s="53">
        <v>4.2361111111111113E-2</v>
      </c>
      <c r="H1434" s="1" t="s">
        <v>257</v>
      </c>
      <c r="J1434" s="1" t="s">
        <v>258</v>
      </c>
      <c r="K1434" s="1" t="s">
        <v>658</v>
      </c>
      <c r="L1434" s="1" t="s">
        <v>869</v>
      </c>
      <c r="M1434" s="1" t="s">
        <v>260</v>
      </c>
      <c r="N1434" s="1" t="s">
        <v>261</v>
      </c>
      <c r="O1434" s="1" t="s">
        <v>607</v>
      </c>
      <c r="P1434" s="1" t="str">
        <f>_xlfn.CONCAT(B1434,C1434,D1434,E1434,F1434)</f>
        <v>ARAGUATINS 2.1Inverter(MBUS-14)46077,586111111146077,586111111146077,6284722222</v>
      </c>
      <c r="Q1434" s="1" t="str">
        <f>_xlfn.CONCAT(H1434,I1434,J1434)</f>
        <v>DAURDE</v>
      </c>
    </row>
    <row r="1435" spans="2:17">
      <c r="B1435" s="1" t="s">
        <v>311</v>
      </c>
      <c r="C1435" s="1" t="s">
        <v>247</v>
      </c>
      <c r="D1435" s="52">
        <v>46077.586111111108</v>
      </c>
      <c r="E1435" s="52">
        <v>46077.586111111108</v>
      </c>
      <c r="F1435" s="52">
        <v>46077.628472222219</v>
      </c>
      <c r="G1435" s="53">
        <v>4.2361111111111113E-2</v>
      </c>
      <c r="H1435" s="1" t="s">
        <v>257</v>
      </c>
      <c r="J1435" s="1" t="s">
        <v>258</v>
      </c>
      <c r="K1435" s="1" t="s">
        <v>658</v>
      </c>
      <c r="L1435" s="1" t="s">
        <v>869</v>
      </c>
      <c r="M1435" s="1" t="s">
        <v>260</v>
      </c>
      <c r="N1435" s="1" t="s">
        <v>261</v>
      </c>
      <c r="O1435" s="1" t="s">
        <v>607</v>
      </c>
      <c r="P1435" s="1" t="str">
        <f>_xlfn.CONCAT(B1435,C1435,D1435,E1435,F1435)</f>
        <v>ARAGUATINS 2.1Inverter(MBUS-1)46077,586111111146077,586111111146077,6284722222</v>
      </c>
      <c r="Q1435" s="1" t="str">
        <f>_xlfn.CONCAT(H1435,I1435,J1435)</f>
        <v>DAURDE</v>
      </c>
    </row>
    <row r="1436" spans="2:17">
      <c r="B1436" s="1" t="s">
        <v>312</v>
      </c>
      <c r="C1436" s="1" t="s">
        <v>307</v>
      </c>
      <c r="D1436" s="52">
        <v>46077.586111111108</v>
      </c>
      <c r="E1436" s="52">
        <v>46077.586111111108</v>
      </c>
      <c r="F1436" s="52">
        <v>46077.628472222219</v>
      </c>
      <c r="G1436" s="53">
        <v>4.2361111111111113E-2</v>
      </c>
      <c r="H1436" s="1" t="s">
        <v>257</v>
      </c>
      <c r="J1436" s="1" t="s">
        <v>258</v>
      </c>
      <c r="K1436" s="1" t="s">
        <v>658</v>
      </c>
      <c r="L1436" s="1" t="s">
        <v>869</v>
      </c>
      <c r="M1436" s="1" t="s">
        <v>260</v>
      </c>
      <c r="N1436" s="1" t="s">
        <v>261</v>
      </c>
      <c r="O1436" s="1" t="s">
        <v>607</v>
      </c>
      <c r="P1436" s="1" t="str">
        <f>_xlfn.CONCAT(B1436,C1436,D1436,E1436,F1436)</f>
        <v>ARAGUATINS 2.2Inverter(MBUS-15)46077,586111111146077,586111111146077,6284722222</v>
      </c>
      <c r="Q1436" s="1" t="str">
        <f>_xlfn.CONCAT(H1436,I1436,J1436)</f>
        <v>DAURDE</v>
      </c>
    </row>
    <row r="1437" spans="2:17">
      <c r="B1437" s="1" t="s">
        <v>312</v>
      </c>
      <c r="C1437" s="1" t="s">
        <v>264</v>
      </c>
      <c r="D1437" s="52">
        <v>46077.586111111108</v>
      </c>
      <c r="E1437" s="52">
        <v>46077.586111111108</v>
      </c>
      <c r="F1437" s="52">
        <v>46077.628472222219</v>
      </c>
      <c r="G1437" s="53">
        <v>4.2361111111111113E-2</v>
      </c>
      <c r="H1437" s="1" t="s">
        <v>257</v>
      </c>
      <c r="J1437" s="1" t="s">
        <v>258</v>
      </c>
      <c r="K1437" s="1" t="s">
        <v>658</v>
      </c>
      <c r="L1437" s="1" t="s">
        <v>869</v>
      </c>
      <c r="M1437" s="1" t="s">
        <v>260</v>
      </c>
      <c r="N1437" s="1" t="s">
        <v>261</v>
      </c>
      <c r="O1437" s="1" t="s">
        <v>607</v>
      </c>
      <c r="P1437" s="1" t="str">
        <f>_xlfn.CONCAT(B1437,C1437,D1437,E1437,F1437)</f>
        <v>ARAGUATINS 2.2Inverter(MBUS-13)46077,586111111146077,586111111146077,6284722222</v>
      </c>
      <c r="Q1437" s="1" t="str">
        <f>_xlfn.CONCAT(H1437,I1437,J1437)</f>
        <v>DAURDE</v>
      </c>
    </row>
    <row r="1438" spans="2:17">
      <c r="B1438" s="1" t="s">
        <v>312</v>
      </c>
      <c r="C1438" s="1" t="s">
        <v>263</v>
      </c>
      <c r="D1438" s="52">
        <v>46077.586111111108</v>
      </c>
      <c r="E1438" s="52">
        <v>46077.586111111108</v>
      </c>
      <c r="F1438" s="52">
        <v>46077.628472222219</v>
      </c>
      <c r="G1438" s="53">
        <v>4.2361111111111113E-2</v>
      </c>
      <c r="H1438" s="1" t="s">
        <v>257</v>
      </c>
      <c r="J1438" s="1" t="s">
        <v>258</v>
      </c>
      <c r="K1438" s="1" t="s">
        <v>658</v>
      </c>
      <c r="L1438" s="1" t="s">
        <v>869</v>
      </c>
      <c r="M1438" s="1" t="s">
        <v>260</v>
      </c>
      <c r="N1438" s="1" t="s">
        <v>261</v>
      </c>
      <c r="O1438" s="1" t="s">
        <v>607</v>
      </c>
      <c r="P1438" s="1" t="str">
        <f>_xlfn.CONCAT(B1438,C1438,D1438,E1438,F1438)</f>
        <v>ARAGUATINS 2.2Inverter(MBUS-14)46077,586111111146077,586111111146077,6284722222</v>
      </c>
      <c r="Q1438" s="1" t="str">
        <f>_xlfn.CONCAT(H1438,I1438,J1438)</f>
        <v>DAURDE</v>
      </c>
    </row>
    <row r="1439" spans="2:17">
      <c r="B1439" s="1" t="s">
        <v>312</v>
      </c>
      <c r="C1439" s="1" t="s">
        <v>256</v>
      </c>
      <c r="D1439" s="52">
        <v>46077.586111111108</v>
      </c>
      <c r="E1439" s="52">
        <v>46077.586111111108</v>
      </c>
      <c r="F1439" s="52">
        <v>46077.628472222219</v>
      </c>
      <c r="G1439" s="53">
        <v>4.2361111111111113E-2</v>
      </c>
      <c r="H1439" s="1" t="s">
        <v>257</v>
      </c>
      <c r="J1439" s="1" t="s">
        <v>258</v>
      </c>
      <c r="K1439" s="1" t="s">
        <v>658</v>
      </c>
      <c r="L1439" s="1" t="s">
        <v>869</v>
      </c>
      <c r="M1439" s="1" t="s">
        <v>260</v>
      </c>
      <c r="N1439" s="1" t="s">
        <v>261</v>
      </c>
      <c r="O1439" s="1" t="s">
        <v>607</v>
      </c>
      <c r="P1439" s="1" t="str">
        <f>_xlfn.CONCAT(B1439,C1439,D1439,E1439,F1439)</f>
        <v>ARAGUATINS 2.2Inverter(MBUS-12)46077,586111111146077,586111111146077,6284722222</v>
      </c>
      <c r="Q1439" s="1" t="str">
        <f>_xlfn.CONCAT(H1439,I1439,J1439)</f>
        <v>DAURDE</v>
      </c>
    </row>
    <row r="1440" spans="2:17">
      <c r="B1440" s="1" t="s">
        <v>313</v>
      </c>
      <c r="C1440" s="1" t="s">
        <v>256</v>
      </c>
      <c r="D1440" s="52">
        <v>46077.586111111108</v>
      </c>
      <c r="E1440" s="52">
        <v>46077.586111111108</v>
      </c>
      <c r="F1440" s="52">
        <v>46077.628472222219</v>
      </c>
      <c r="G1440" s="53">
        <v>4.2361111111111113E-2</v>
      </c>
      <c r="H1440" s="1" t="s">
        <v>257</v>
      </c>
      <c r="J1440" s="1" t="s">
        <v>258</v>
      </c>
      <c r="K1440" s="1" t="s">
        <v>658</v>
      </c>
      <c r="L1440" s="1" t="s">
        <v>869</v>
      </c>
      <c r="M1440" s="1" t="s">
        <v>260</v>
      </c>
      <c r="N1440" s="1" t="s">
        <v>261</v>
      </c>
      <c r="O1440" s="1" t="s">
        <v>607</v>
      </c>
      <c r="P1440" s="1" t="str">
        <f>_xlfn.CONCAT(B1440,C1440,D1440,E1440,F1440)</f>
        <v>ARAGUATINS 2.3Inverter(MBUS-12)46077,586111111146077,586111111146077,6284722222</v>
      </c>
      <c r="Q1440" s="1" t="str">
        <f>_xlfn.CONCAT(H1440,I1440,J1440)</f>
        <v>DAURDE</v>
      </c>
    </row>
    <row r="1441" spans="2:17">
      <c r="B1441" s="1" t="s">
        <v>313</v>
      </c>
      <c r="C1441" s="1" t="s">
        <v>264</v>
      </c>
      <c r="D1441" s="52">
        <v>46077.586111111108</v>
      </c>
      <c r="E1441" s="52">
        <v>46077.586111111108</v>
      </c>
      <c r="F1441" s="52">
        <v>46077.628472222219</v>
      </c>
      <c r="G1441" s="53">
        <v>4.2361111111111113E-2</v>
      </c>
      <c r="H1441" s="1" t="s">
        <v>257</v>
      </c>
      <c r="J1441" s="1" t="s">
        <v>258</v>
      </c>
      <c r="K1441" s="1" t="s">
        <v>658</v>
      </c>
      <c r="L1441" s="1" t="s">
        <v>869</v>
      </c>
      <c r="M1441" s="1" t="s">
        <v>260</v>
      </c>
      <c r="N1441" s="1" t="s">
        <v>261</v>
      </c>
      <c r="O1441" s="1" t="s">
        <v>607</v>
      </c>
      <c r="P1441" s="1" t="str">
        <f>_xlfn.CONCAT(B1441,C1441,D1441,E1441,F1441)</f>
        <v>ARAGUATINS 2.3Inverter(MBUS-13)46077,586111111146077,586111111146077,6284722222</v>
      </c>
      <c r="Q1441" s="1" t="str">
        <f>_xlfn.CONCAT(H1441,I1441,J1441)</f>
        <v>DAURDE</v>
      </c>
    </row>
    <row r="1442" spans="2:17">
      <c r="B1442" s="1" t="s">
        <v>311</v>
      </c>
      <c r="C1442" s="1" t="s">
        <v>307</v>
      </c>
      <c r="D1442" s="52">
        <v>46077.709027777775</v>
      </c>
      <c r="E1442" s="52">
        <v>46077.709027777775</v>
      </c>
      <c r="F1442" s="52">
        <v>46079.524305555555</v>
      </c>
      <c r="G1442" s="53">
        <v>1.8152777777777778</v>
      </c>
      <c r="H1442" s="1" t="s">
        <v>677</v>
      </c>
      <c r="J1442" s="1" t="s">
        <v>230</v>
      </c>
      <c r="K1442" s="1" t="s">
        <v>230</v>
      </c>
      <c r="L1442" s="1" t="s">
        <v>870</v>
      </c>
      <c r="M1442" s="1" t="s">
        <v>260</v>
      </c>
      <c r="N1442" s="1" t="s">
        <v>261</v>
      </c>
      <c r="O1442" s="1" t="s">
        <v>607</v>
      </c>
      <c r="P1442" s="1" t="str">
        <f>_xlfn.CONCAT(B1442,C1442,D1442,E1442,F1442)</f>
        <v>ARAGUATINS 2.1Inverter(MBUS-15)46077,709027777846077,709027777846079,5243055556</v>
      </c>
      <c r="Q1442" s="1" t="str">
        <f>_xlfn.CONCAT(H1442,I1442,J1442)</f>
        <v>DPRUFV</v>
      </c>
    </row>
    <row r="1443" spans="2:17">
      <c r="B1443" s="1" t="s">
        <v>311</v>
      </c>
      <c r="C1443" s="1" t="s">
        <v>263</v>
      </c>
      <c r="D1443" s="52">
        <v>46077.709027777775</v>
      </c>
      <c r="E1443" s="52">
        <v>46077.709027777775</v>
      </c>
      <c r="F1443" s="52">
        <v>46079.524305555555</v>
      </c>
      <c r="G1443" s="53">
        <v>1.8152777777777778</v>
      </c>
      <c r="H1443" s="1" t="s">
        <v>677</v>
      </c>
      <c r="J1443" s="1" t="s">
        <v>230</v>
      </c>
      <c r="K1443" s="1" t="s">
        <v>230</v>
      </c>
      <c r="L1443" s="1" t="s">
        <v>870</v>
      </c>
      <c r="M1443" s="1" t="s">
        <v>260</v>
      </c>
      <c r="N1443" s="1" t="s">
        <v>261</v>
      </c>
      <c r="O1443" s="1" t="s">
        <v>607</v>
      </c>
      <c r="P1443" s="1" t="str">
        <f>_xlfn.CONCAT(B1443,C1443,D1443,E1443,F1443)</f>
        <v>ARAGUATINS 2.1Inverter(MBUS-14)46077,709027777846077,709027777846079,5243055556</v>
      </c>
      <c r="Q1443" s="1" t="str">
        <f>_xlfn.CONCAT(H1443,I1443,J1443)</f>
        <v>DPRUFV</v>
      </c>
    </row>
    <row r="1444" spans="2:17">
      <c r="B1444" s="1" t="s">
        <v>311</v>
      </c>
      <c r="C1444" s="1" t="s">
        <v>247</v>
      </c>
      <c r="D1444" s="52">
        <v>46077.709027777775</v>
      </c>
      <c r="E1444" s="52">
        <v>46077.709027777775</v>
      </c>
      <c r="F1444" s="52">
        <v>46079.524305555555</v>
      </c>
      <c r="G1444" s="53">
        <v>1.8152777777777778</v>
      </c>
      <c r="H1444" s="1" t="s">
        <v>677</v>
      </c>
      <c r="J1444" s="1" t="s">
        <v>230</v>
      </c>
      <c r="K1444" s="1" t="s">
        <v>230</v>
      </c>
      <c r="L1444" s="1" t="s">
        <v>870</v>
      </c>
      <c r="M1444" s="1" t="s">
        <v>260</v>
      </c>
      <c r="N1444" s="1" t="s">
        <v>261</v>
      </c>
      <c r="O1444" s="1" t="s">
        <v>607</v>
      </c>
      <c r="P1444" s="1" t="str">
        <f>_xlfn.CONCAT(B1444,C1444,D1444,E1444,F1444)</f>
        <v>ARAGUATINS 2.1Inverter(MBUS-1)46077,709027777846077,709027777846079,5243055556</v>
      </c>
      <c r="Q1444" s="1" t="str">
        <f>_xlfn.CONCAT(H1444,I1444,J1444)</f>
        <v>DPRUFV</v>
      </c>
    </row>
    <row r="1445" spans="2:17">
      <c r="B1445" s="1" t="s">
        <v>321</v>
      </c>
      <c r="C1445" s="1" t="s">
        <v>322</v>
      </c>
      <c r="D1445" s="52">
        <v>46077.868055555555</v>
      </c>
      <c r="E1445" s="52">
        <v>46077.868055555555</v>
      </c>
      <c r="F1445" s="52">
        <v>46077.897222222222</v>
      </c>
      <c r="G1445" s="53">
        <v>2.9166666666666667E-2</v>
      </c>
      <c r="H1445" s="1" t="s">
        <v>257</v>
      </c>
      <c r="J1445" s="1" t="s">
        <v>258</v>
      </c>
      <c r="K1445" s="1" t="s">
        <v>658</v>
      </c>
      <c r="L1445" s="1" t="s">
        <v>807</v>
      </c>
      <c r="M1445" s="1" t="s">
        <v>260</v>
      </c>
      <c r="N1445" s="1" t="s">
        <v>261</v>
      </c>
      <c r="O1445" s="1" t="s">
        <v>607</v>
      </c>
      <c r="P1445" s="1" t="str">
        <f>_xlfn.CONCAT(B1445,C1445,D1445,E1445,F1445)</f>
        <v>BC Aracu4SG75CX(COM1-018)_001_01846077,868055555646077,868055555646077,8972222222</v>
      </c>
      <c r="Q1445" s="1" t="str">
        <f>_xlfn.CONCAT(H1445,I1445,J1445)</f>
        <v>DAURDE</v>
      </c>
    </row>
    <row r="1446" spans="2:17">
      <c r="B1446" s="1" t="s">
        <v>321</v>
      </c>
      <c r="C1446" s="1" t="s">
        <v>324</v>
      </c>
      <c r="D1446" s="52">
        <v>46077.868055555555</v>
      </c>
      <c r="E1446" s="52">
        <v>46077.868055555555</v>
      </c>
      <c r="F1446" s="52">
        <v>46077.897222222222</v>
      </c>
      <c r="G1446" s="53">
        <v>2.9166666666666667E-2</v>
      </c>
      <c r="H1446" s="1" t="s">
        <v>257</v>
      </c>
      <c r="J1446" s="1" t="s">
        <v>258</v>
      </c>
      <c r="K1446" s="1" t="s">
        <v>658</v>
      </c>
      <c r="L1446" s="1" t="s">
        <v>807</v>
      </c>
      <c r="M1446" s="1" t="s">
        <v>260</v>
      </c>
      <c r="N1446" s="1" t="s">
        <v>261</v>
      </c>
      <c r="O1446" s="1" t="s">
        <v>607</v>
      </c>
      <c r="P1446" s="1" t="str">
        <f>_xlfn.CONCAT(B1446,C1446,D1446,E1446,F1446)</f>
        <v>BC Aracu4SG75CX(COM1-019)_001_01946077,868055555646077,868055555646077,8972222222</v>
      </c>
      <c r="Q1446" s="1" t="str">
        <f>_xlfn.CONCAT(H1446,I1446,J1446)</f>
        <v>DAURDE</v>
      </c>
    </row>
    <row r="1447" spans="2:17">
      <c r="B1447" s="1" t="s">
        <v>321</v>
      </c>
      <c r="C1447" s="1" t="s">
        <v>325</v>
      </c>
      <c r="D1447" s="52">
        <v>46077.868055555555</v>
      </c>
      <c r="E1447" s="52">
        <v>46077.868055555555</v>
      </c>
      <c r="F1447" s="52">
        <v>46077.897222222222</v>
      </c>
      <c r="G1447" s="53">
        <v>2.9166666666666667E-2</v>
      </c>
      <c r="H1447" s="1" t="s">
        <v>257</v>
      </c>
      <c r="J1447" s="1" t="s">
        <v>258</v>
      </c>
      <c r="K1447" s="1" t="s">
        <v>658</v>
      </c>
      <c r="L1447" s="1" t="s">
        <v>807</v>
      </c>
      <c r="M1447" s="1" t="s">
        <v>260</v>
      </c>
      <c r="N1447" s="1" t="s">
        <v>261</v>
      </c>
      <c r="O1447" s="1" t="s">
        <v>607</v>
      </c>
      <c r="P1447" s="1" t="str">
        <f>_xlfn.CONCAT(B1447,C1447,D1447,E1447,F1447)</f>
        <v>BC Aracu4SG75CX(COM1-020)_001_02046077,868055555646077,868055555646077,8972222222</v>
      </c>
      <c r="Q1447" s="1" t="str">
        <f>_xlfn.CONCAT(H1447,I1447,J1447)</f>
        <v>DAURDE</v>
      </c>
    </row>
    <row r="1448" spans="2:17">
      <c r="B1448" s="1" t="s">
        <v>321</v>
      </c>
      <c r="C1448" s="1" t="s">
        <v>326</v>
      </c>
      <c r="D1448" s="52">
        <v>46077.868055555555</v>
      </c>
      <c r="E1448" s="52">
        <v>46077.868055555555</v>
      </c>
      <c r="F1448" s="52">
        <v>46077.897222222222</v>
      </c>
      <c r="G1448" s="53">
        <v>2.9166666666666667E-2</v>
      </c>
      <c r="H1448" s="1" t="s">
        <v>257</v>
      </c>
      <c r="J1448" s="1" t="s">
        <v>258</v>
      </c>
      <c r="K1448" s="1" t="s">
        <v>658</v>
      </c>
      <c r="L1448" s="1" t="s">
        <v>807</v>
      </c>
      <c r="M1448" s="1" t="s">
        <v>260</v>
      </c>
      <c r="N1448" s="1" t="s">
        <v>261</v>
      </c>
      <c r="O1448" s="1" t="s">
        <v>607</v>
      </c>
      <c r="P1448" s="1" t="str">
        <f>_xlfn.CONCAT(B1448,C1448,D1448,E1448,F1448)</f>
        <v>BC Aracu4SG75CX(COM1-021)_001_02146077,868055555646077,868055555646077,8972222222</v>
      </c>
      <c r="Q1448" s="1" t="str">
        <f>_xlfn.CONCAT(H1448,I1448,J1448)</f>
        <v>DAURDE</v>
      </c>
    </row>
    <row r="1449" spans="2:17">
      <c r="B1449" s="1" t="s">
        <v>327</v>
      </c>
      <c r="C1449" s="1" t="s">
        <v>247</v>
      </c>
      <c r="D1449" s="52">
        <v>46077.868055555555</v>
      </c>
      <c r="E1449" s="52">
        <v>46077.868055555555</v>
      </c>
      <c r="F1449" s="52">
        <v>46077.897222222222</v>
      </c>
      <c r="G1449" s="53">
        <v>2.9166666666666667E-2</v>
      </c>
      <c r="H1449" s="1" t="s">
        <v>257</v>
      </c>
      <c r="J1449" s="1" t="s">
        <v>258</v>
      </c>
      <c r="K1449" s="1" t="s">
        <v>658</v>
      </c>
      <c r="L1449" s="1" t="s">
        <v>871</v>
      </c>
      <c r="M1449" s="1" t="s">
        <v>260</v>
      </c>
      <c r="N1449" s="1" t="s">
        <v>261</v>
      </c>
      <c r="O1449" s="1" t="s">
        <v>607</v>
      </c>
      <c r="P1449" s="1" t="str">
        <f>_xlfn.CONCAT(B1449,C1449,D1449,E1449,F1449)</f>
        <v>BC Aracu5.1Inverter(MBUS-1)46077,868055555646077,868055555646077,8972222222</v>
      </c>
      <c r="Q1449" s="1" t="str">
        <f>_xlfn.CONCAT(H1449,I1449,J1449)</f>
        <v>DAURDE</v>
      </c>
    </row>
    <row r="1450" spans="2:17">
      <c r="B1450" s="1" t="s">
        <v>328</v>
      </c>
      <c r="C1450" s="1" t="s">
        <v>247</v>
      </c>
      <c r="D1450" s="52">
        <v>46077.868055555555</v>
      </c>
      <c r="E1450" s="52">
        <v>46077.868055555555</v>
      </c>
      <c r="F1450" s="52">
        <v>46077.897222222222</v>
      </c>
      <c r="G1450" s="53">
        <v>2.9166666666666667E-2</v>
      </c>
      <c r="H1450" s="1" t="s">
        <v>257</v>
      </c>
      <c r="J1450" s="1" t="s">
        <v>258</v>
      </c>
      <c r="K1450" s="1" t="s">
        <v>658</v>
      </c>
      <c r="L1450" s="1" t="s">
        <v>871</v>
      </c>
      <c r="M1450" s="1" t="s">
        <v>260</v>
      </c>
      <c r="N1450" s="1" t="s">
        <v>261</v>
      </c>
      <c r="O1450" s="1" t="s">
        <v>607</v>
      </c>
      <c r="P1450" s="1" t="str">
        <f>_xlfn.CONCAT(B1450,C1450,D1450,E1450,F1450)</f>
        <v>BC Aracu5.3Inverter(MBUS-1)46077,868055555646077,868055555646077,8972222222</v>
      </c>
      <c r="Q1450" s="1" t="str">
        <f>_xlfn.CONCAT(H1450,I1450,J1450)</f>
        <v>DAURDE</v>
      </c>
    </row>
    <row r="1451" spans="2:17">
      <c r="B1451" s="1" t="s">
        <v>329</v>
      </c>
      <c r="C1451" s="1" t="s">
        <v>247</v>
      </c>
      <c r="D1451" s="52">
        <v>46077.868055555555</v>
      </c>
      <c r="E1451" s="52">
        <v>46077.868055555555</v>
      </c>
      <c r="F1451" s="52">
        <v>46077.897222222222</v>
      </c>
      <c r="G1451" s="53">
        <v>2.9166666666666667E-2</v>
      </c>
      <c r="H1451" s="1" t="s">
        <v>257</v>
      </c>
      <c r="J1451" s="1" t="s">
        <v>258</v>
      </c>
      <c r="K1451" s="1" t="s">
        <v>658</v>
      </c>
      <c r="L1451" s="1" t="s">
        <v>871</v>
      </c>
      <c r="M1451" s="1" t="s">
        <v>260</v>
      </c>
      <c r="N1451" s="1" t="s">
        <v>261</v>
      </c>
      <c r="O1451" s="1" t="s">
        <v>607</v>
      </c>
      <c r="P1451" s="1" t="str">
        <f>_xlfn.CONCAT(B1451,C1451,D1451,E1451,F1451)</f>
        <v>BC Aracu5.4Inverter(MBUS-1)46077,868055555646077,868055555646077,8972222222</v>
      </c>
      <c r="Q1451" s="1" t="str">
        <f>_xlfn.CONCAT(H1451,I1451,J1451)</f>
        <v>DAURDE</v>
      </c>
    </row>
    <row r="1452" spans="2:17">
      <c r="B1452" s="1" t="s">
        <v>330</v>
      </c>
      <c r="C1452" s="1" t="s">
        <v>247</v>
      </c>
      <c r="D1452" s="52">
        <v>46077.868055555555</v>
      </c>
      <c r="E1452" s="52">
        <v>46077.868055555555</v>
      </c>
      <c r="F1452" s="52">
        <v>46077.897222222222</v>
      </c>
      <c r="G1452" s="53">
        <v>2.9166666666666667E-2</v>
      </c>
      <c r="H1452" s="1" t="s">
        <v>257</v>
      </c>
      <c r="J1452" s="1" t="s">
        <v>258</v>
      </c>
      <c r="K1452" s="1" t="s">
        <v>658</v>
      </c>
      <c r="L1452" s="1" t="s">
        <v>871</v>
      </c>
      <c r="M1452" s="1" t="s">
        <v>260</v>
      </c>
      <c r="N1452" s="1" t="s">
        <v>261</v>
      </c>
      <c r="O1452" s="1" t="s">
        <v>607</v>
      </c>
      <c r="P1452" s="1" t="str">
        <f>_xlfn.CONCAT(B1452,C1452,D1452,E1452,F1452)</f>
        <v>BC Aracu5.5Inverter(MBUS-1)46077,868055555646077,868055555646077,8972222222</v>
      </c>
      <c r="Q1452" s="1" t="str">
        <f>_xlfn.CONCAT(H1452,I1452,J1452)</f>
        <v>DAURDE</v>
      </c>
    </row>
    <row r="1453" spans="2:17">
      <c r="B1453" s="1" t="s">
        <v>305</v>
      </c>
      <c r="C1453" s="1" t="s">
        <v>256</v>
      </c>
      <c r="D1453" s="52">
        <v>46077.892361111109</v>
      </c>
      <c r="E1453" s="52">
        <v>46077.892361111109</v>
      </c>
      <c r="F1453" s="52">
        <v>46078.355555555558</v>
      </c>
      <c r="G1453" s="53">
        <v>0.46319444444444446</v>
      </c>
      <c r="H1453" s="1" t="s">
        <v>257</v>
      </c>
      <c r="J1453" s="1" t="s">
        <v>258</v>
      </c>
      <c r="K1453" s="1" t="s">
        <v>658</v>
      </c>
      <c r="L1453" s="1" t="s">
        <v>872</v>
      </c>
      <c r="M1453" s="1" t="s">
        <v>260</v>
      </c>
      <c r="N1453" s="1" t="s">
        <v>261</v>
      </c>
      <c r="O1453" s="1" t="s">
        <v>607</v>
      </c>
      <c r="P1453" s="1" t="str">
        <f>_xlfn.CONCAT(B1453,C1453,D1453,E1453,F1453)</f>
        <v>ARAGUATINS 1.1Inverter(MBUS-12)46077,892361111146077,892361111146078,3555555556</v>
      </c>
      <c r="Q1453" s="1" t="str">
        <f>_xlfn.CONCAT(H1453,I1453,J1453)</f>
        <v>DAURDE</v>
      </c>
    </row>
    <row r="1454" spans="2:17">
      <c r="B1454" s="1" t="s">
        <v>305</v>
      </c>
      <c r="C1454" s="1" t="s">
        <v>264</v>
      </c>
      <c r="D1454" s="52">
        <v>46077.892361111109</v>
      </c>
      <c r="E1454" s="52">
        <v>46077.892361111109</v>
      </c>
      <c r="F1454" s="52">
        <v>46078.355555555558</v>
      </c>
      <c r="G1454" s="53">
        <v>0.46319444444444446</v>
      </c>
      <c r="H1454" s="1" t="s">
        <v>257</v>
      </c>
      <c r="J1454" s="1" t="s">
        <v>258</v>
      </c>
      <c r="K1454" s="1" t="s">
        <v>658</v>
      </c>
      <c r="L1454" s="1" t="s">
        <v>872</v>
      </c>
      <c r="M1454" s="1" t="s">
        <v>260</v>
      </c>
      <c r="N1454" s="1" t="s">
        <v>261</v>
      </c>
      <c r="O1454" s="1" t="s">
        <v>607</v>
      </c>
      <c r="P1454" s="1" t="str">
        <f>_xlfn.CONCAT(B1454,C1454,D1454,E1454,F1454)</f>
        <v>ARAGUATINS 1.1Inverter(MBUS-13)46077,892361111146077,892361111146078,3555555556</v>
      </c>
      <c r="Q1454" s="1" t="str">
        <f>_xlfn.CONCAT(H1454,I1454,J1454)</f>
        <v>DAURDE</v>
      </c>
    </row>
    <row r="1455" spans="2:17">
      <c r="B1455" s="1" t="s">
        <v>305</v>
      </c>
      <c r="C1455" s="1" t="s">
        <v>263</v>
      </c>
      <c r="D1455" s="52">
        <v>46077.892361111109</v>
      </c>
      <c r="E1455" s="52">
        <v>46077.892361111109</v>
      </c>
      <c r="F1455" s="52">
        <v>46078.355555555558</v>
      </c>
      <c r="G1455" s="53">
        <v>0.46319444444444446</v>
      </c>
      <c r="H1455" s="1" t="s">
        <v>257</v>
      </c>
      <c r="J1455" s="1" t="s">
        <v>258</v>
      </c>
      <c r="K1455" s="1" t="s">
        <v>658</v>
      </c>
      <c r="L1455" s="1" t="s">
        <v>872</v>
      </c>
      <c r="M1455" s="1" t="s">
        <v>260</v>
      </c>
      <c r="N1455" s="1" t="s">
        <v>261</v>
      </c>
      <c r="O1455" s="1" t="s">
        <v>607</v>
      </c>
      <c r="P1455" s="1" t="str">
        <f>_xlfn.CONCAT(B1455,C1455,D1455,E1455,F1455)</f>
        <v>ARAGUATINS 1.1Inverter(MBUS-14)46077,892361111146077,892361111146078,3555555556</v>
      </c>
      <c r="Q1455" s="1" t="str">
        <f>_xlfn.CONCAT(H1455,I1455,J1455)</f>
        <v>DAURDE</v>
      </c>
    </row>
    <row r="1456" spans="2:17">
      <c r="B1456" s="1" t="s">
        <v>305</v>
      </c>
      <c r="C1456" s="1" t="s">
        <v>307</v>
      </c>
      <c r="D1456" s="52">
        <v>46077.892361111109</v>
      </c>
      <c r="E1456" s="52">
        <v>46077.892361111109</v>
      </c>
      <c r="F1456" s="52">
        <v>46078.355555555558</v>
      </c>
      <c r="G1456" s="53">
        <v>0.46319444444444446</v>
      </c>
      <c r="H1456" s="1" t="s">
        <v>257</v>
      </c>
      <c r="J1456" s="1" t="s">
        <v>258</v>
      </c>
      <c r="K1456" s="1" t="s">
        <v>658</v>
      </c>
      <c r="L1456" s="1" t="s">
        <v>872</v>
      </c>
      <c r="M1456" s="1" t="s">
        <v>260</v>
      </c>
      <c r="N1456" s="1" t="s">
        <v>261</v>
      </c>
      <c r="O1456" s="1" t="s">
        <v>607</v>
      </c>
      <c r="P1456" s="1" t="str">
        <f>_xlfn.CONCAT(B1456,C1456,D1456,E1456,F1456)</f>
        <v>ARAGUATINS 1.1Inverter(MBUS-15)46077,892361111146077,892361111146078,3555555556</v>
      </c>
      <c r="Q1456" s="1" t="str">
        <f>_xlfn.CONCAT(H1456,I1456,J1456)</f>
        <v>DAURDE</v>
      </c>
    </row>
    <row r="1457" spans="2:17">
      <c r="B1457" s="1" t="s">
        <v>308</v>
      </c>
      <c r="C1457" s="1" t="s">
        <v>256</v>
      </c>
      <c r="D1457" s="52">
        <v>46077.892361111109</v>
      </c>
      <c r="E1457" s="52">
        <v>46077.892361111109</v>
      </c>
      <c r="F1457" s="52">
        <v>46078.355555555558</v>
      </c>
      <c r="G1457" s="53">
        <v>0.46319444444444446</v>
      </c>
      <c r="H1457" s="1" t="s">
        <v>257</v>
      </c>
      <c r="J1457" s="1" t="s">
        <v>258</v>
      </c>
      <c r="K1457" s="1" t="s">
        <v>658</v>
      </c>
      <c r="L1457" s="1" t="s">
        <v>872</v>
      </c>
      <c r="M1457" s="1" t="s">
        <v>260</v>
      </c>
      <c r="N1457" s="1" t="s">
        <v>261</v>
      </c>
      <c r="O1457" s="1" t="s">
        <v>607</v>
      </c>
      <c r="P1457" s="1" t="str">
        <f>_xlfn.CONCAT(B1457,C1457,D1457,E1457,F1457)</f>
        <v>ARAGUATINS 1.2Inverter(MBUS-12)46077,892361111146077,892361111146078,3555555556</v>
      </c>
      <c r="Q1457" s="1" t="str">
        <f>_xlfn.CONCAT(H1457,I1457,J1457)</f>
        <v>DAURDE</v>
      </c>
    </row>
    <row r="1458" spans="2:17">
      <c r="B1458" s="1" t="s">
        <v>308</v>
      </c>
      <c r="C1458" s="1" t="s">
        <v>264</v>
      </c>
      <c r="D1458" s="52">
        <v>46077.892361111109</v>
      </c>
      <c r="E1458" s="52">
        <v>46077.892361111109</v>
      </c>
      <c r="F1458" s="52">
        <v>46078.355555555558</v>
      </c>
      <c r="G1458" s="53">
        <v>0.46319444444444446</v>
      </c>
      <c r="H1458" s="1" t="s">
        <v>257</v>
      </c>
      <c r="J1458" s="1" t="s">
        <v>258</v>
      </c>
      <c r="K1458" s="1" t="s">
        <v>658</v>
      </c>
      <c r="L1458" s="1" t="s">
        <v>872</v>
      </c>
      <c r="M1458" s="1" t="s">
        <v>260</v>
      </c>
      <c r="N1458" s="1" t="s">
        <v>261</v>
      </c>
      <c r="O1458" s="1" t="s">
        <v>607</v>
      </c>
      <c r="P1458" s="1" t="str">
        <f>_xlfn.CONCAT(B1458,C1458,D1458,E1458,F1458)</f>
        <v>ARAGUATINS 1.2Inverter(MBUS-13)46077,892361111146077,892361111146078,3555555556</v>
      </c>
      <c r="Q1458" s="1" t="str">
        <f>_xlfn.CONCAT(H1458,I1458,J1458)</f>
        <v>DAURDE</v>
      </c>
    </row>
    <row r="1459" spans="2:17">
      <c r="B1459" s="1" t="s">
        <v>308</v>
      </c>
      <c r="C1459" s="1" t="s">
        <v>263</v>
      </c>
      <c r="D1459" s="52">
        <v>46077.892361111109</v>
      </c>
      <c r="E1459" s="52">
        <v>46077.892361111109</v>
      </c>
      <c r="F1459" s="52">
        <v>46078.355555555558</v>
      </c>
      <c r="G1459" s="53">
        <v>0.46319444444444446</v>
      </c>
      <c r="H1459" s="1" t="s">
        <v>257</v>
      </c>
      <c r="J1459" s="1" t="s">
        <v>258</v>
      </c>
      <c r="K1459" s="1" t="s">
        <v>658</v>
      </c>
      <c r="L1459" s="1" t="s">
        <v>872</v>
      </c>
      <c r="M1459" s="1" t="s">
        <v>260</v>
      </c>
      <c r="N1459" s="1" t="s">
        <v>261</v>
      </c>
      <c r="O1459" s="1" t="s">
        <v>607</v>
      </c>
      <c r="P1459" s="1" t="str">
        <f>_xlfn.CONCAT(B1459,C1459,D1459,E1459,F1459)</f>
        <v>ARAGUATINS 1.2Inverter(MBUS-14)46077,892361111146077,892361111146078,3555555556</v>
      </c>
      <c r="Q1459" s="1" t="str">
        <f>_xlfn.CONCAT(H1459,I1459,J1459)</f>
        <v>DAURDE</v>
      </c>
    </row>
    <row r="1460" spans="2:17">
      <c r="B1460" s="1" t="s">
        <v>308</v>
      </c>
      <c r="C1460" s="1" t="s">
        <v>307</v>
      </c>
      <c r="D1460" s="52">
        <v>46077.892361111109</v>
      </c>
      <c r="E1460" s="52">
        <v>46077.892361111109</v>
      </c>
      <c r="F1460" s="52">
        <v>46078.355555555558</v>
      </c>
      <c r="G1460" s="53">
        <v>0.46319444444444446</v>
      </c>
      <c r="H1460" s="1" t="s">
        <v>257</v>
      </c>
      <c r="J1460" s="1" t="s">
        <v>258</v>
      </c>
      <c r="K1460" s="1" t="s">
        <v>658</v>
      </c>
      <c r="L1460" s="1" t="s">
        <v>872</v>
      </c>
      <c r="M1460" s="1" t="s">
        <v>260</v>
      </c>
      <c r="N1460" s="1" t="s">
        <v>261</v>
      </c>
      <c r="O1460" s="1" t="s">
        <v>607</v>
      </c>
      <c r="P1460" s="1" t="str">
        <f>_xlfn.CONCAT(B1460,C1460,D1460,E1460,F1460)</f>
        <v>ARAGUATINS 1.2Inverter(MBUS-15)46077,892361111146077,892361111146078,3555555556</v>
      </c>
      <c r="Q1460" s="1" t="str">
        <f>_xlfn.CONCAT(H1460,I1460,J1460)</f>
        <v>DAURDE</v>
      </c>
    </row>
    <row r="1461" spans="2:17">
      <c r="B1461" s="1" t="s">
        <v>309</v>
      </c>
      <c r="C1461" s="1" t="s">
        <v>310</v>
      </c>
      <c r="D1461" s="52">
        <v>46077.892361111109</v>
      </c>
      <c r="E1461" s="52">
        <v>46077.892361111109</v>
      </c>
      <c r="F1461" s="52">
        <v>46078.355555555558</v>
      </c>
      <c r="G1461" s="53">
        <v>0.46319444444444446</v>
      </c>
      <c r="H1461" s="1" t="s">
        <v>257</v>
      </c>
      <c r="J1461" s="1" t="s">
        <v>258</v>
      </c>
      <c r="K1461" s="1" t="s">
        <v>658</v>
      </c>
      <c r="L1461" s="1" t="s">
        <v>872</v>
      </c>
      <c r="M1461" s="1" t="s">
        <v>260</v>
      </c>
      <c r="N1461" s="1" t="s">
        <v>261</v>
      </c>
      <c r="O1461" s="1" t="s">
        <v>607</v>
      </c>
      <c r="P1461" s="1" t="str">
        <f>_xlfn.CONCAT(B1461,C1461,D1461,E1461,F1461)</f>
        <v>ARAGUATINS 1.3Inverter(MBUS-20)46077,892361111146077,892361111146078,3555555556</v>
      </c>
      <c r="Q1461" s="1" t="str">
        <f>_xlfn.CONCAT(H1461,I1461,J1461)</f>
        <v>DAURDE</v>
      </c>
    </row>
    <row r="1462" spans="2:17">
      <c r="B1462" s="1" t="s">
        <v>309</v>
      </c>
      <c r="C1462" s="1" t="s">
        <v>247</v>
      </c>
      <c r="D1462" s="52">
        <v>46077.892361111109</v>
      </c>
      <c r="E1462" s="52">
        <v>46077.892361111109</v>
      </c>
      <c r="F1462" s="52">
        <v>46078.355555555558</v>
      </c>
      <c r="G1462" s="53">
        <v>0.46319444444444446</v>
      </c>
      <c r="H1462" s="1" t="s">
        <v>257</v>
      </c>
      <c r="J1462" s="1" t="s">
        <v>258</v>
      </c>
      <c r="K1462" s="1" t="s">
        <v>658</v>
      </c>
      <c r="L1462" s="1" t="s">
        <v>872</v>
      </c>
      <c r="M1462" s="1" t="s">
        <v>260</v>
      </c>
      <c r="N1462" s="1" t="s">
        <v>261</v>
      </c>
      <c r="O1462" s="1" t="s">
        <v>607</v>
      </c>
      <c r="P1462" s="1" t="str">
        <f>_xlfn.CONCAT(B1462,C1462,D1462,E1462,F1462)</f>
        <v>ARAGUATINS 1.3Inverter(MBUS-1)46077,892361111146077,892361111146078,3555555556</v>
      </c>
      <c r="Q1462" s="1" t="str">
        <f>_xlfn.CONCAT(H1462,I1462,J1462)</f>
        <v>DAURDE</v>
      </c>
    </row>
    <row r="1463" spans="2:17">
      <c r="B1463" s="1" t="s">
        <v>456</v>
      </c>
      <c r="C1463" s="1" t="s">
        <v>457</v>
      </c>
      <c r="D1463" s="52">
        <v>46078.013888888891</v>
      </c>
      <c r="E1463" s="52">
        <v>46078.013888888891</v>
      </c>
      <c r="F1463" s="52">
        <v>46078.329861111109</v>
      </c>
      <c r="G1463" s="53">
        <v>0.31597222222222221</v>
      </c>
      <c r="H1463" s="1" t="s">
        <v>257</v>
      </c>
      <c r="J1463" s="1" t="s">
        <v>258</v>
      </c>
      <c r="K1463" s="1" t="s">
        <v>658</v>
      </c>
      <c r="L1463" s="1" t="s">
        <v>873</v>
      </c>
      <c r="M1463" s="1" t="s">
        <v>260</v>
      </c>
      <c r="N1463" s="1" t="s">
        <v>261</v>
      </c>
      <c r="O1463" s="1" t="s">
        <v>607</v>
      </c>
      <c r="P1463" s="1" t="str">
        <f>_xlfn.CONCAT(B1463,C1463,D1463,E1463,F1463)</f>
        <v>BC Caiaponia1SG60KTL(COM1-001)_001_00746078,013888888946078,013888888946078,3298611111</v>
      </c>
      <c r="Q1463" s="1" t="str">
        <f>_xlfn.CONCAT(H1463,I1463,J1463)</f>
        <v>DAURDE</v>
      </c>
    </row>
    <row r="1464" spans="2:17">
      <c r="B1464" s="1" t="s">
        <v>456</v>
      </c>
      <c r="C1464" s="1" t="s">
        <v>459</v>
      </c>
      <c r="D1464" s="52">
        <v>46078.013888888891</v>
      </c>
      <c r="E1464" s="52">
        <v>46078.013888888891</v>
      </c>
      <c r="F1464" s="52">
        <v>46078.329861111109</v>
      </c>
      <c r="G1464" s="53">
        <v>0.31597222222222221</v>
      </c>
      <c r="H1464" s="1" t="s">
        <v>257</v>
      </c>
      <c r="J1464" s="1" t="s">
        <v>258</v>
      </c>
      <c r="K1464" s="1" t="s">
        <v>658</v>
      </c>
      <c r="L1464" s="1" t="s">
        <v>873</v>
      </c>
      <c r="M1464" s="1" t="s">
        <v>260</v>
      </c>
      <c r="N1464" s="1" t="s">
        <v>261</v>
      </c>
      <c r="O1464" s="1" t="s">
        <v>607</v>
      </c>
      <c r="P1464" s="1" t="str">
        <f>_xlfn.CONCAT(B1464,C1464,D1464,E1464,F1464)</f>
        <v>BC Caiaponia1SG60KTL(COM1-002)_001_01046078,013888888946078,013888888946078,3298611111</v>
      </c>
      <c r="Q1464" s="1" t="str">
        <f>_xlfn.CONCAT(H1464,I1464,J1464)</f>
        <v>DAURDE</v>
      </c>
    </row>
    <row r="1465" spans="2:17">
      <c r="B1465" s="1" t="s">
        <v>456</v>
      </c>
      <c r="C1465" s="1" t="s">
        <v>460</v>
      </c>
      <c r="D1465" s="52">
        <v>46078.013888888891</v>
      </c>
      <c r="E1465" s="52">
        <v>46078.013888888891</v>
      </c>
      <c r="F1465" s="52">
        <v>46078.329861111109</v>
      </c>
      <c r="G1465" s="53">
        <v>0.31597222222222221</v>
      </c>
      <c r="H1465" s="1" t="s">
        <v>257</v>
      </c>
      <c r="J1465" s="1" t="s">
        <v>258</v>
      </c>
      <c r="K1465" s="1" t="s">
        <v>658</v>
      </c>
      <c r="L1465" s="1" t="s">
        <v>873</v>
      </c>
      <c r="M1465" s="1" t="s">
        <v>260</v>
      </c>
      <c r="N1465" s="1" t="s">
        <v>261</v>
      </c>
      <c r="O1465" s="1" t="s">
        <v>607</v>
      </c>
      <c r="P1465" s="1" t="str">
        <f>_xlfn.CONCAT(B1465,C1465,D1465,E1465,F1465)</f>
        <v>BC Caiaponia1SG60KTL(COM1-003)_001_01146078,013888888946078,013888888946078,3298611111</v>
      </c>
      <c r="Q1465" s="1" t="str">
        <f>_xlfn.CONCAT(H1465,I1465,J1465)</f>
        <v>DAURDE</v>
      </c>
    </row>
    <row r="1466" spans="2:17">
      <c r="B1466" s="1" t="s">
        <v>456</v>
      </c>
      <c r="C1466" s="1" t="s">
        <v>461</v>
      </c>
      <c r="D1466" s="52">
        <v>46078.013888888891</v>
      </c>
      <c r="E1466" s="52">
        <v>46078.013888888891</v>
      </c>
      <c r="F1466" s="52">
        <v>46078.329861111109</v>
      </c>
      <c r="G1466" s="53">
        <v>0.31597222222222221</v>
      </c>
      <c r="H1466" s="1" t="s">
        <v>257</v>
      </c>
      <c r="J1466" s="1" t="s">
        <v>258</v>
      </c>
      <c r="K1466" s="1" t="s">
        <v>658</v>
      </c>
      <c r="L1466" s="1" t="s">
        <v>873</v>
      </c>
      <c r="M1466" s="1" t="s">
        <v>260</v>
      </c>
      <c r="N1466" s="1" t="s">
        <v>261</v>
      </c>
      <c r="O1466" s="1" t="s">
        <v>607</v>
      </c>
      <c r="P1466" s="1" t="str">
        <f>_xlfn.CONCAT(B1466,C1466,D1466,E1466,F1466)</f>
        <v>BC Caiaponia1SG60KTL(COM1-004)_001_01446078,013888888946078,013888888946078,3298611111</v>
      </c>
      <c r="Q1466" s="1" t="str">
        <f>_xlfn.CONCAT(H1466,I1466,J1466)</f>
        <v>DAURDE</v>
      </c>
    </row>
    <row r="1467" spans="2:17">
      <c r="B1467" s="1" t="s">
        <v>456</v>
      </c>
      <c r="C1467" s="1" t="s">
        <v>462</v>
      </c>
      <c r="D1467" s="52">
        <v>46078.013888888891</v>
      </c>
      <c r="E1467" s="52">
        <v>46078.013888888891</v>
      </c>
      <c r="F1467" s="52">
        <v>46078.329861111109</v>
      </c>
      <c r="G1467" s="53">
        <v>0.31597222222222221</v>
      </c>
      <c r="H1467" s="1" t="s">
        <v>257</v>
      </c>
      <c r="J1467" s="1" t="s">
        <v>258</v>
      </c>
      <c r="K1467" s="1" t="s">
        <v>658</v>
      </c>
      <c r="L1467" s="1" t="s">
        <v>873</v>
      </c>
      <c r="M1467" s="1" t="s">
        <v>260</v>
      </c>
      <c r="N1467" s="1" t="s">
        <v>261</v>
      </c>
      <c r="O1467" s="1" t="s">
        <v>607</v>
      </c>
      <c r="P1467" s="1" t="str">
        <f>_xlfn.CONCAT(B1467,C1467,D1467,E1467,F1467)</f>
        <v>BC Caiaponia1SG60KTL(COM1-005)_001_01746078,013888888946078,013888888946078,3298611111</v>
      </c>
      <c r="Q1467" s="1" t="str">
        <f>_xlfn.CONCAT(H1467,I1467,J1467)</f>
        <v>DAURDE</v>
      </c>
    </row>
    <row r="1468" spans="2:17">
      <c r="B1468" s="1" t="s">
        <v>456</v>
      </c>
      <c r="C1468" s="1" t="s">
        <v>463</v>
      </c>
      <c r="D1468" s="52">
        <v>46078.013888888891</v>
      </c>
      <c r="E1468" s="52">
        <v>46078.013888888891</v>
      </c>
      <c r="F1468" s="52">
        <v>46078.329861111109</v>
      </c>
      <c r="G1468" s="53">
        <v>0.31597222222222221</v>
      </c>
      <c r="H1468" s="1" t="s">
        <v>257</v>
      </c>
      <c r="J1468" s="1" t="s">
        <v>258</v>
      </c>
      <c r="K1468" s="1" t="s">
        <v>658</v>
      </c>
      <c r="L1468" s="1" t="s">
        <v>873</v>
      </c>
      <c r="M1468" s="1" t="s">
        <v>260</v>
      </c>
      <c r="N1468" s="1" t="s">
        <v>261</v>
      </c>
      <c r="O1468" s="1" t="s">
        <v>607</v>
      </c>
      <c r="P1468" s="1" t="str">
        <f>_xlfn.CONCAT(B1468,C1468,D1468,E1468,F1468)</f>
        <v>BC Caiaponia1SG60KTL(COM1-006)_001_01646078,013888888946078,013888888946078,3298611111</v>
      </c>
      <c r="Q1468" s="1" t="str">
        <f>_xlfn.CONCAT(H1468,I1468,J1468)</f>
        <v>DAURDE</v>
      </c>
    </row>
    <row r="1469" spans="2:17">
      <c r="B1469" s="1" t="s">
        <v>456</v>
      </c>
      <c r="C1469" s="1" t="s">
        <v>464</v>
      </c>
      <c r="D1469" s="52">
        <v>46078.013888888891</v>
      </c>
      <c r="E1469" s="52">
        <v>46078.013888888891</v>
      </c>
      <c r="F1469" s="52">
        <v>46078.329861111109</v>
      </c>
      <c r="G1469" s="53">
        <v>0.31597222222222221</v>
      </c>
      <c r="H1469" s="1" t="s">
        <v>257</v>
      </c>
      <c r="J1469" s="1" t="s">
        <v>258</v>
      </c>
      <c r="K1469" s="1" t="s">
        <v>658</v>
      </c>
      <c r="L1469" s="1" t="s">
        <v>873</v>
      </c>
      <c r="M1469" s="1" t="s">
        <v>260</v>
      </c>
      <c r="N1469" s="1" t="s">
        <v>261</v>
      </c>
      <c r="O1469" s="1" t="s">
        <v>607</v>
      </c>
      <c r="P1469" s="1" t="str">
        <f>_xlfn.CONCAT(B1469,C1469,D1469,E1469,F1469)</f>
        <v>BC Caiaponia1SG60KTL(COM1-007)_001_01346078,013888888946078,013888888946078,3298611111</v>
      </c>
      <c r="Q1469" s="1" t="str">
        <f>_xlfn.CONCAT(H1469,I1469,J1469)</f>
        <v>DAURDE</v>
      </c>
    </row>
    <row r="1470" spans="2:17">
      <c r="B1470" s="1" t="s">
        <v>456</v>
      </c>
      <c r="C1470" s="1" t="s">
        <v>465</v>
      </c>
      <c r="D1470" s="52">
        <v>46078.013888888891</v>
      </c>
      <c r="E1470" s="52">
        <v>46078.013888888891</v>
      </c>
      <c r="F1470" s="52">
        <v>46078.329861111109</v>
      </c>
      <c r="G1470" s="53">
        <v>0.31597222222222221</v>
      </c>
      <c r="H1470" s="1" t="s">
        <v>257</v>
      </c>
      <c r="J1470" s="1" t="s">
        <v>258</v>
      </c>
      <c r="K1470" s="1" t="s">
        <v>658</v>
      </c>
      <c r="L1470" s="1" t="s">
        <v>873</v>
      </c>
      <c r="M1470" s="1" t="s">
        <v>260</v>
      </c>
      <c r="N1470" s="1" t="s">
        <v>261</v>
      </c>
      <c r="O1470" s="1" t="s">
        <v>607</v>
      </c>
      <c r="P1470" s="1" t="str">
        <f>_xlfn.CONCAT(B1470,C1470,D1470,E1470,F1470)</f>
        <v>BC Caiaponia1SG60KTL(COM1-008)_001_00146078,013888888946078,013888888946078,3298611111</v>
      </c>
      <c r="Q1470" s="1" t="str">
        <f>_xlfn.CONCAT(H1470,I1470,J1470)</f>
        <v>DAURDE</v>
      </c>
    </row>
    <row r="1471" spans="2:17">
      <c r="B1471" s="1" t="s">
        <v>456</v>
      </c>
      <c r="C1471" s="1" t="s">
        <v>466</v>
      </c>
      <c r="D1471" s="52">
        <v>46078.013888888891</v>
      </c>
      <c r="E1471" s="52">
        <v>46078.013888888891</v>
      </c>
      <c r="F1471" s="52">
        <v>46078.329861111109</v>
      </c>
      <c r="G1471" s="53">
        <v>0.31597222222222221</v>
      </c>
      <c r="H1471" s="1" t="s">
        <v>257</v>
      </c>
      <c r="J1471" s="1" t="s">
        <v>258</v>
      </c>
      <c r="K1471" s="1" t="s">
        <v>658</v>
      </c>
      <c r="L1471" s="1" t="s">
        <v>873</v>
      </c>
      <c r="M1471" s="1" t="s">
        <v>260</v>
      </c>
      <c r="N1471" s="1" t="s">
        <v>261</v>
      </c>
      <c r="O1471" s="1" t="s">
        <v>607</v>
      </c>
      <c r="P1471" s="1" t="str">
        <f>_xlfn.CONCAT(B1471,C1471,D1471,E1471,F1471)</f>
        <v>BC Caiaponia1SG60KTL(COM1-009)46078,013888888946078,013888888946078,3298611111</v>
      </c>
      <c r="Q1471" s="1" t="str">
        <f>_xlfn.CONCAT(H1471,I1471,J1471)</f>
        <v>DAURDE</v>
      </c>
    </row>
    <row r="1472" spans="2:17">
      <c r="B1472" s="1" t="s">
        <v>456</v>
      </c>
      <c r="C1472" s="1" t="s">
        <v>467</v>
      </c>
      <c r="D1472" s="52">
        <v>46078.013888888891</v>
      </c>
      <c r="E1472" s="52">
        <v>46078.013888888891</v>
      </c>
      <c r="F1472" s="52">
        <v>46078.329861111109</v>
      </c>
      <c r="G1472" s="53">
        <v>0.31597222222222221</v>
      </c>
      <c r="H1472" s="1" t="s">
        <v>257</v>
      </c>
      <c r="J1472" s="1" t="s">
        <v>258</v>
      </c>
      <c r="K1472" s="1" t="s">
        <v>658</v>
      </c>
      <c r="L1472" s="1" t="s">
        <v>873</v>
      </c>
      <c r="M1472" s="1" t="s">
        <v>260</v>
      </c>
      <c r="N1472" s="1" t="s">
        <v>261</v>
      </c>
      <c r="O1472" s="1" t="s">
        <v>607</v>
      </c>
      <c r="P1472" s="1" t="str">
        <f>_xlfn.CONCAT(B1472,C1472,D1472,E1472,F1472)</f>
        <v>BC Caiaponia1SG60KTL(COM1-010)46078,013888888946078,013888888946078,3298611111</v>
      </c>
      <c r="Q1472" s="1" t="str">
        <f>_xlfn.CONCAT(H1472,I1472,J1472)</f>
        <v>DAURDE</v>
      </c>
    </row>
    <row r="1473" spans="2:17">
      <c r="B1473" s="1" t="s">
        <v>456</v>
      </c>
      <c r="C1473" s="1" t="s">
        <v>468</v>
      </c>
      <c r="D1473" s="52">
        <v>46078.013888888891</v>
      </c>
      <c r="E1473" s="52">
        <v>46078.013888888891</v>
      </c>
      <c r="F1473" s="52">
        <v>46078.329861111109</v>
      </c>
      <c r="G1473" s="53">
        <v>0.31597222222222221</v>
      </c>
      <c r="H1473" s="1" t="s">
        <v>257</v>
      </c>
      <c r="J1473" s="1" t="s">
        <v>258</v>
      </c>
      <c r="K1473" s="1" t="s">
        <v>658</v>
      </c>
      <c r="L1473" s="1" t="s">
        <v>873</v>
      </c>
      <c r="M1473" s="1" t="s">
        <v>260</v>
      </c>
      <c r="N1473" s="1" t="s">
        <v>261</v>
      </c>
      <c r="O1473" s="1" t="s">
        <v>607</v>
      </c>
      <c r="P1473" s="1" t="str">
        <f>_xlfn.CONCAT(B1473,C1473,D1473,E1473,F1473)</f>
        <v>BC Caiaponia1SG60KTL(COM1-011)46078,013888888946078,013888888946078,3298611111</v>
      </c>
      <c r="Q1473" s="1" t="str">
        <f>_xlfn.CONCAT(H1473,I1473,J1473)</f>
        <v>DAURDE</v>
      </c>
    </row>
    <row r="1474" spans="2:17">
      <c r="B1474" s="1" t="s">
        <v>456</v>
      </c>
      <c r="C1474" s="1" t="s">
        <v>469</v>
      </c>
      <c r="D1474" s="52">
        <v>46078.013888888891</v>
      </c>
      <c r="E1474" s="52">
        <v>46078.013888888891</v>
      </c>
      <c r="F1474" s="52">
        <v>46078.329861111109</v>
      </c>
      <c r="G1474" s="53">
        <v>0.31597222222222221</v>
      </c>
      <c r="H1474" s="1" t="s">
        <v>257</v>
      </c>
      <c r="J1474" s="1" t="s">
        <v>258</v>
      </c>
      <c r="K1474" s="1" t="s">
        <v>658</v>
      </c>
      <c r="L1474" s="1" t="s">
        <v>873</v>
      </c>
      <c r="M1474" s="1" t="s">
        <v>289</v>
      </c>
      <c r="N1474" s="1" t="s">
        <v>631</v>
      </c>
      <c r="O1474" s="1" t="s">
        <v>631</v>
      </c>
      <c r="P1474" s="1" t="str">
        <f>_xlfn.CONCAT(B1474,C1474,D1474,E1474,F1474)</f>
        <v>BC Caiaponia1SG60KTL(COM1-012)46078,013888888946078,013888888946078,3298611111</v>
      </c>
      <c r="Q1474" s="1" t="str">
        <f>_xlfn.CONCAT(H1474,I1474,J1474)</f>
        <v>DAURDE</v>
      </c>
    </row>
    <row r="1475" spans="2:17">
      <c r="B1475" s="1" t="s">
        <v>456</v>
      </c>
      <c r="C1475" s="1" t="s">
        <v>470</v>
      </c>
      <c r="D1475" s="52">
        <v>46078.013888888891</v>
      </c>
      <c r="E1475" s="52">
        <v>46078.013888888891</v>
      </c>
      <c r="F1475" s="52">
        <v>46078.329861111109</v>
      </c>
      <c r="G1475" s="53">
        <v>0.31597222222222221</v>
      </c>
      <c r="H1475" s="1" t="s">
        <v>257</v>
      </c>
      <c r="J1475" s="1" t="s">
        <v>258</v>
      </c>
      <c r="K1475" s="1" t="s">
        <v>658</v>
      </c>
      <c r="L1475" s="1" t="s">
        <v>873</v>
      </c>
      <c r="M1475" s="1" t="s">
        <v>289</v>
      </c>
      <c r="N1475" s="1" t="s">
        <v>631</v>
      </c>
      <c r="O1475" s="1" t="s">
        <v>631</v>
      </c>
      <c r="P1475" s="1" t="str">
        <f>_xlfn.CONCAT(B1475,C1475,D1475,E1475,F1475)</f>
        <v>BC Caiaponia1SG60KTL(COM1-013)46078,013888888946078,013888888946078,3298611111</v>
      </c>
      <c r="Q1475" s="1" t="str">
        <f>_xlfn.CONCAT(H1475,I1475,J1475)</f>
        <v>DAURDE</v>
      </c>
    </row>
    <row r="1476" spans="2:17">
      <c r="B1476" s="1" t="s">
        <v>456</v>
      </c>
      <c r="C1476" s="1" t="s">
        <v>471</v>
      </c>
      <c r="D1476" s="52">
        <v>46078.013888888891</v>
      </c>
      <c r="E1476" s="52">
        <v>46078.013888888891</v>
      </c>
      <c r="F1476" s="52">
        <v>46078.329861111109</v>
      </c>
      <c r="G1476" s="53">
        <v>0.31597222222222221</v>
      </c>
      <c r="H1476" s="1" t="s">
        <v>257</v>
      </c>
      <c r="J1476" s="1" t="s">
        <v>258</v>
      </c>
      <c r="K1476" s="1" t="s">
        <v>658</v>
      </c>
      <c r="L1476" s="1" t="s">
        <v>873</v>
      </c>
      <c r="M1476" s="1" t="s">
        <v>289</v>
      </c>
      <c r="N1476" s="1" t="s">
        <v>631</v>
      </c>
      <c r="O1476" s="1" t="s">
        <v>631</v>
      </c>
      <c r="P1476" s="1" t="str">
        <f>_xlfn.CONCAT(B1476,C1476,D1476,E1476,F1476)</f>
        <v>BC Caiaponia1SG60KTL(COM1-014)46078,013888888946078,013888888946078,3298611111</v>
      </c>
      <c r="Q1476" s="1" t="str">
        <f>_xlfn.CONCAT(H1476,I1476,J1476)</f>
        <v>DAURDE</v>
      </c>
    </row>
    <row r="1477" spans="2:17">
      <c r="B1477" s="1" t="s">
        <v>456</v>
      </c>
      <c r="C1477" s="1" t="s">
        <v>472</v>
      </c>
      <c r="D1477" s="52">
        <v>46078.013888888891</v>
      </c>
      <c r="E1477" s="52">
        <v>46078.013888888891</v>
      </c>
      <c r="F1477" s="52">
        <v>46078.329861111109</v>
      </c>
      <c r="G1477" s="53">
        <v>0.31597222222222221</v>
      </c>
      <c r="H1477" s="1" t="s">
        <v>257</v>
      </c>
      <c r="J1477" s="1" t="s">
        <v>258</v>
      </c>
      <c r="K1477" s="1" t="s">
        <v>658</v>
      </c>
      <c r="L1477" s="1" t="s">
        <v>873</v>
      </c>
      <c r="M1477" s="1" t="s">
        <v>289</v>
      </c>
      <c r="N1477" s="1" t="s">
        <v>631</v>
      </c>
      <c r="O1477" s="1" t="s">
        <v>631</v>
      </c>
      <c r="P1477" s="1" t="str">
        <f>_xlfn.CONCAT(B1477,C1477,D1477,E1477,F1477)</f>
        <v>BC Caiaponia1SG60KTL(COM1-015)46078,013888888946078,013888888946078,3298611111</v>
      </c>
      <c r="Q1477" s="1" t="str">
        <f>_xlfn.CONCAT(H1477,I1477,J1477)</f>
        <v>DAURDE</v>
      </c>
    </row>
    <row r="1478" spans="2:17">
      <c r="B1478" s="1" t="s">
        <v>456</v>
      </c>
      <c r="C1478" s="1" t="s">
        <v>473</v>
      </c>
      <c r="D1478" s="52">
        <v>46078.013888888891</v>
      </c>
      <c r="E1478" s="52">
        <v>46078.013888888891</v>
      </c>
      <c r="F1478" s="52">
        <v>46078.329861111109</v>
      </c>
      <c r="G1478" s="53">
        <v>0.31597222222222221</v>
      </c>
      <c r="H1478" s="1" t="s">
        <v>257</v>
      </c>
      <c r="J1478" s="1" t="s">
        <v>258</v>
      </c>
      <c r="K1478" s="1" t="s">
        <v>658</v>
      </c>
      <c r="L1478" s="1" t="s">
        <v>873</v>
      </c>
      <c r="M1478" s="1" t="s">
        <v>289</v>
      </c>
      <c r="N1478" s="1" t="s">
        <v>631</v>
      </c>
      <c r="O1478" s="1" t="s">
        <v>631</v>
      </c>
      <c r="P1478" s="1" t="str">
        <f>_xlfn.CONCAT(B1478,C1478,D1478,E1478,F1478)</f>
        <v>BC Caiaponia1SG60KTL(COM3-016)_001_00946078,013888888946078,013888888946078,3298611111</v>
      </c>
      <c r="Q1478" s="1" t="str">
        <f>_xlfn.CONCAT(H1478,I1478,J1478)</f>
        <v>DAURDE</v>
      </c>
    </row>
    <row r="1479" spans="2:17">
      <c r="B1479" s="1" t="s">
        <v>456</v>
      </c>
      <c r="C1479" s="1" t="s">
        <v>474</v>
      </c>
      <c r="D1479" s="52">
        <v>46078.013888888891</v>
      </c>
      <c r="E1479" s="52">
        <v>46078.013888888891</v>
      </c>
      <c r="F1479" s="52">
        <v>46078.329861111109</v>
      </c>
      <c r="G1479" s="53">
        <v>0.31597222222222221</v>
      </c>
      <c r="H1479" s="1" t="s">
        <v>257</v>
      </c>
      <c r="J1479" s="1" t="s">
        <v>258</v>
      </c>
      <c r="K1479" s="1" t="s">
        <v>658</v>
      </c>
      <c r="L1479" s="1" t="s">
        <v>873</v>
      </c>
      <c r="M1479" s="1" t="s">
        <v>289</v>
      </c>
      <c r="N1479" s="1" t="s">
        <v>631</v>
      </c>
      <c r="O1479" s="1" t="s">
        <v>631</v>
      </c>
      <c r="P1479" s="1" t="str">
        <f>_xlfn.CONCAT(B1479,C1479,D1479,E1479,F1479)</f>
        <v>BC Caiaponia1SG60KTL(COM3-017)_001_01246078,013888888946078,013888888946078,3298611111</v>
      </c>
      <c r="Q1479" s="1" t="str">
        <f>_xlfn.CONCAT(H1479,I1479,J1479)</f>
        <v>DAURDE</v>
      </c>
    </row>
    <row r="1480" spans="2:17">
      <c r="B1480" s="1" t="s">
        <v>456</v>
      </c>
      <c r="C1480" s="1" t="s">
        <v>475</v>
      </c>
      <c r="D1480" s="52">
        <v>46078.013888888891</v>
      </c>
      <c r="E1480" s="52">
        <v>46078.013888888891</v>
      </c>
      <c r="F1480" s="52">
        <v>46078.329861111109</v>
      </c>
      <c r="G1480" s="53">
        <v>0.31597222222222221</v>
      </c>
      <c r="H1480" s="1" t="s">
        <v>257</v>
      </c>
      <c r="J1480" s="1" t="s">
        <v>258</v>
      </c>
      <c r="K1480" s="1" t="s">
        <v>658</v>
      </c>
      <c r="L1480" s="1" t="s">
        <v>873</v>
      </c>
      <c r="M1480" s="1" t="s">
        <v>260</v>
      </c>
      <c r="N1480" s="1" t="s">
        <v>357</v>
      </c>
      <c r="O1480" s="1" t="s">
        <v>632</v>
      </c>
      <c r="P1480" s="1" t="str">
        <f>_xlfn.CONCAT(B1480,C1480,D1480,E1480,F1480)</f>
        <v>BC Caiaponia1SG60KTL(COM3-018)_001_00846078,013888888946078,013888888946078,3298611111</v>
      </c>
      <c r="Q1480" s="1" t="str">
        <f>_xlfn.CONCAT(H1480,I1480,J1480)</f>
        <v>DAURDE</v>
      </c>
    </row>
    <row r="1481" spans="2:17">
      <c r="B1481" s="1" t="s">
        <v>456</v>
      </c>
      <c r="C1481" s="1" t="s">
        <v>476</v>
      </c>
      <c r="D1481" s="52">
        <v>46078.013888888891</v>
      </c>
      <c r="E1481" s="52">
        <v>46078.013888888891</v>
      </c>
      <c r="F1481" s="52">
        <v>46078.329861111109</v>
      </c>
      <c r="G1481" s="53">
        <v>0.31597222222222221</v>
      </c>
      <c r="H1481" s="1" t="s">
        <v>257</v>
      </c>
      <c r="J1481" s="1" t="s">
        <v>258</v>
      </c>
      <c r="K1481" s="1" t="s">
        <v>658</v>
      </c>
      <c r="L1481" s="1" t="s">
        <v>873</v>
      </c>
      <c r="M1481" s="1" t="s">
        <v>260</v>
      </c>
      <c r="N1481" s="1" t="s">
        <v>357</v>
      </c>
      <c r="O1481" s="1" t="s">
        <v>632</v>
      </c>
      <c r="P1481" s="1" t="str">
        <f>_xlfn.CONCAT(B1481,C1481,D1481,E1481,F1481)</f>
        <v>BC Caiaponia1SG60KTL(COM3-019)_001_01946078,013888888946078,013888888946078,3298611111</v>
      </c>
      <c r="Q1481" s="1" t="str">
        <f>_xlfn.CONCAT(H1481,I1481,J1481)</f>
        <v>DAURDE</v>
      </c>
    </row>
    <row r="1482" spans="2:17">
      <c r="B1482" s="1" t="s">
        <v>456</v>
      </c>
      <c r="C1482" s="1" t="s">
        <v>477</v>
      </c>
      <c r="D1482" s="52">
        <v>46078.013888888891</v>
      </c>
      <c r="E1482" s="52">
        <v>46078.013888888891</v>
      </c>
      <c r="F1482" s="52">
        <v>46078.329861111109</v>
      </c>
      <c r="G1482" s="53">
        <v>0.31597222222222221</v>
      </c>
      <c r="H1482" s="1" t="s">
        <v>257</v>
      </c>
      <c r="J1482" s="1" t="s">
        <v>258</v>
      </c>
      <c r="K1482" s="1" t="s">
        <v>658</v>
      </c>
      <c r="L1482" s="1" t="s">
        <v>873</v>
      </c>
      <c r="M1482" s="1" t="s">
        <v>260</v>
      </c>
      <c r="N1482" s="1" t="s">
        <v>357</v>
      </c>
      <c r="O1482" s="1" t="s">
        <v>632</v>
      </c>
      <c r="P1482" s="1" t="str">
        <f>_xlfn.CONCAT(B1482,C1482,D1482,E1482,F1482)</f>
        <v>BC Caiaponia1SG60KTL(COM3-020)_001_02046078,013888888946078,013888888946078,3298611111</v>
      </c>
      <c r="Q1482" s="1" t="str">
        <f>_xlfn.CONCAT(H1482,I1482,J1482)</f>
        <v>DAURDE</v>
      </c>
    </row>
    <row r="1483" spans="2:17">
      <c r="B1483" s="1" t="s">
        <v>456</v>
      </c>
      <c r="C1483" s="1" t="s">
        <v>478</v>
      </c>
      <c r="D1483" s="52">
        <v>46078.013888888891</v>
      </c>
      <c r="E1483" s="52">
        <v>46078.013888888891</v>
      </c>
      <c r="F1483" s="52">
        <v>46078.329861111109</v>
      </c>
      <c r="G1483" s="53">
        <v>0.31597222222222221</v>
      </c>
      <c r="H1483" s="1" t="s">
        <v>257</v>
      </c>
      <c r="J1483" s="1" t="s">
        <v>258</v>
      </c>
      <c r="K1483" s="1" t="s">
        <v>658</v>
      </c>
      <c r="L1483" s="1" t="s">
        <v>873</v>
      </c>
      <c r="M1483" s="1" t="s">
        <v>260</v>
      </c>
      <c r="N1483" s="1" t="s">
        <v>357</v>
      </c>
      <c r="O1483" s="1" t="s">
        <v>632</v>
      </c>
      <c r="P1483" s="1" t="str">
        <f>_xlfn.CONCAT(B1483,C1483,D1483,E1483,F1483)</f>
        <v>BC Caiaponia1SG60KTL(COM2-026)46078,013888888946078,013888888946078,3298611111</v>
      </c>
      <c r="Q1483" s="1" t="str">
        <f>_xlfn.CONCAT(H1483,I1483,J1483)</f>
        <v>DAURDE</v>
      </c>
    </row>
    <row r="1484" spans="2:17">
      <c r="B1484" s="1" t="s">
        <v>456</v>
      </c>
      <c r="C1484" s="1" t="s">
        <v>479</v>
      </c>
      <c r="D1484" s="52">
        <v>46078.013888888891</v>
      </c>
      <c r="E1484" s="52">
        <v>46078.013888888891</v>
      </c>
      <c r="F1484" s="52">
        <v>46078.329861111109</v>
      </c>
      <c r="G1484" s="53">
        <v>0.31597222222222221</v>
      </c>
      <c r="H1484" s="1" t="s">
        <v>257</v>
      </c>
      <c r="J1484" s="1" t="s">
        <v>258</v>
      </c>
      <c r="K1484" s="1" t="s">
        <v>658</v>
      </c>
      <c r="L1484" s="1" t="s">
        <v>873</v>
      </c>
      <c r="M1484" s="1" t="s">
        <v>289</v>
      </c>
      <c r="N1484" s="1" t="s">
        <v>631</v>
      </c>
      <c r="O1484" s="1" t="s">
        <v>631</v>
      </c>
      <c r="P1484" s="1" t="str">
        <f>_xlfn.CONCAT(B1484,C1484,D1484,E1484,F1484)</f>
        <v>BC Caiaponia1SG60KTL(COM2-027)46078,013888888946078,013888888946078,3298611111</v>
      </c>
      <c r="Q1484" s="1" t="str">
        <f>_xlfn.CONCAT(H1484,I1484,J1484)</f>
        <v>DAURDE</v>
      </c>
    </row>
    <row r="1485" spans="2:17">
      <c r="B1485" s="1" t="s">
        <v>456</v>
      </c>
      <c r="C1485" s="1" t="s">
        <v>480</v>
      </c>
      <c r="D1485" s="52">
        <v>46078.013888888891</v>
      </c>
      <c r="E1485" s="52">
        <v>46078.013888888891</v>
      </c>
      <c r="F1485" s="52">
        <v>46078.329861111109</v>
      </c>
      <c r="G1485" s="53">
        <v>0.31597222222222221</v>
      </c>
      <c r="H1485" s="1" t="s">
        <v>257</v>
      </c>
      <c r="J1485" s="1" t="s">
        <v>258</v>
      </c>
      <c r="K1485" s="1" t="s">
        <v>658</v>
      </c>
      <c r="L1485" s="1" t="s">
        <v>873</v>
      </c>
      <c r="M1485" s="1" t="s">
        <v>289</v>
      </c>
      <c r="N1485" s="1" t="s">
        <v>631</v>
      </c>
      <c r="O1485" s="1" t="s">
        <v>631</v>
      </c>
      <c r="P1485" s="1" t="str">
        <f>_xlfn.CONCAT(B1485,C1485,D1485,E1485,F1485)</f>
        <v>BC Caiaponia1SG60KTL(COM2-028)46078,013888888946078,013888888946078,3298611111</v>
      </c>
      <c r="Q1485" s="1" t="str">
        <f>_xlfn.CONCAT(H1485,I1485,J1485)</f>
        <v>DAURDE</v>
      </c>
    </row>
    <row r="1486" spans="2:17">
      <c r="B1486" s="1" t="s">
        <v>456</v>
      </c>
      <c r="C1486" s="1" t="s">
        <v>481</v>
      </c>
      <c r="D1486" s="52">
        <v>46078.013888888891</v>
      </c>
      <c r="E1486" s="52">
        <v>46078.013888888891</v>
      </c>
      <c r="F1486" s="52">
        <v>46078.329861111109</v>
      </c>
      <c r="G1486" s="53">
        <v>0.31597222222222221</v>
      </c>
      <c r="H1486" s="1" t="s">
        <v>257</v>
      </c>
      <c r="J1486" s="1" t="s">
        <v>258</v>
      </c>
      <c r="K1486" s="1" t="s">
        <v>658</v>
      </c>
      <c r="L1486" s="1" t="s">
        <v>873</v>
      </c>
      <c r="M1486" s="1" t="s">
        <v>289</v>
      </c>
      <c r="N1486" s="1" t="s">
        <v>631</v>
      </c>
      <c r="O1486" s="1" t="s">
        <v>631</v>
      </c>
      <c r="P1486" s="1" t="str">
        <f>_xlfn.CONCAT(B1486,C1486,D1486,E1486,F1486)</f>
        <v>BC Caiaponia1SG60KTL(COM2-029)46078,013888888946078,013888888946078,3298611111</v>
      </c>
      <c r="Q1486" s="1" t="str">
        <f>_xlfn.CONCAT(H1486,I1486,J1486)</f>
        <v>DAURDE</v>
      </c>
    </row>
    <row r="1487" spans="2:17">
      <c r="B1487" s="1" t="s">
        <v>456</v>
      </c>
      <c r="C1487" s="1" t="s">
        <v>482</v>
      </c>
      <c r="D1487" s="52">
        <v>46078.013888888891</v>
      </c>
      <c r="E1487" s="52">
        <v>46078.013888888891</v>
      </c>
      <c r="F1487" s="52">
        <v>46078.329861111109</v>
      </c>
      <c r="G1487" s="53">
        <v>0.31597222222222221</v>
      </c>
      <c r="H1487" s="1" t="s">
        <v>257</v>
      </c>
      <c r="J1487" s="1" t="s">
        <v>258</v>
      </c>
      <c r="K1487" s="1" t="s">
        <v>658</v>
      </c>
      <c r="L1487" s="1" t="s">
        <v>873</v>
      </c>
      <c r="M1487" s="1" t="s">
        <v>289</v>
      </c>
      <c r="N1487" s="1" t="s">
        <v>631</v>
      </c>
      <c r="O1487" s="1" t="s">
        <v>631</v>
      </c>
      <c r="P1487" s="1" t="str">
        <f>_xlfn.CONCAT(B1487,C1487,D1487,E1487,F1487)</f>
        <v>BC Caiaponia1SG50CX(COM1-021)46078,013888888946078,013888888946078,3298611111</v>
      </c>
      <c r="Q1487" s="1" t="str">
        <f>_xlfn.CONCAT(H1487,I1487,J1487)</f>
        <v>DAURDE</v>
      </c>
    </row>
    <row r="1488" spans="2:17">
      <c r="B1488" s="1" t="s">
        <v>456</v>
      </c>
      <c r="C1488" s="1" t="s">
        <v>483</v>
      </c>
      <c r="D1488" s="52">
        <v>46078.013888888891</v>
      </c>
      <c r="E1488" s="52">
        <v>46078.013888888891</v>
      </c>
      <c r="F1488" s="52">
        <v>46078.329861111109</v>
      </c>
      <c r="G1488" s="53">
        <v>0.31597222222222221</v>
      </c>
      <c r="H1488" s="1" t="s">
        <v>257</v>
      </c>
      <c r="J1488" s="1" t="s">
        <v>258</v>
      </c>
      <c r="K1488" s="1" t="s">
        <v>658</v>
      </c>
      <c r="L1488" s="1" t="s">
        <v>873</v>
      </c>
      <c r="M1488" s="1" t="s">
        <v>289</v>
      </c>
      <c r="N1488" s="1" t="s">
        <v>631</v>
      </c>
      <c r="O1488" s="1" t="s">
        <v>631</v>
      </c>
      <c r="P1488" s="1" t="str">
        <f>_xlfn.CONCAT(B1488,C1488,D1488,E1488,F1488)</f>
        <v>BC Caiaponia1SG50CX(COM1-022)46078,013888888946078,013888888946078,3298611111</v>
      </c>
      <c r="Q1488" s="1" t="str">
        <f>_xlfn.CONCAT(H1488,I1488,J1488)</f>
        <v>DAURDE</v>
      </c>
    </row>
    <row r="1489" spans="2:17">
      <c r="B1489" s="1" t="s">
        <v>456</v>
      </c>
      <c r="C1489" s="1" t="s">
        <v>484</v>
      </c>
      <c r="D1489" s="52">
        <v>46078.013888888891</v>
      </c>
      <c r="E1489" s="52">
        <v>46078.013888888891</v>
      </c>
      <c r="F1489" s="52">
        <v>46078.329861111109</v>
      </c>
      <c r="G1489" s="53">
        <v>0.31597222222222221</v>
      </c>
      <c r="H1489" s="1" t="s">
        <v>257</v>
      </c>
      <c r="J1489" s="1" t="s">
        <v>258</v>
      </c>
      <c r="K1489" s="1" t="s">
        <v>658</v>
      </c>
      <c r="L1489" s="1" t="s">
        <v>873</v>
      </c>
      <c r="M1489" s="1" t="s">
        <v>260</v>
      </c>
      <c r="N1489" s="1" t="s">
        <v>357</v>
      </c>
      <c r="O1489" s="1" t="s">
        <v>632</v>
      </c>
      <c r="P1489" s="1" t="str">
        <f>_xlfn.CONCAT(B1489,C1489,D1489,E1489,F1489)</f>
        <v>BC Caiaponia1SG50CX(COM1-023)46078,013888888946078,013888888946078,3298611111</v>
      </c>
      <c r="Q1489" s="1" t="str">
        <f>_xlfn.CONCAT(H1489,I1489,J1489)</f>
        <v>DAURDE</v>
      </c>
    </row>
    <row r="1490" spans="2:17">
      <c r="B1490" s="1" t="s">
        <v>456</v>
      </c>
      <c r="C1490" s="1" t="s">
        <v>485</v>
      </c>
      <c r="D1490" s="52">
        <v>46078.013888888891</v>
      </c>
      <c r="E1490" s="52">
        <v>46078.013888888891</v>
      </c>
      <c r="F1490" s="52">
        <v>46078.329861111109</v>
      </c>
      <c r="G1490" s="53">
        <v>0.31597222222222221</v>
      </c>
      <c r="H1490" s="1" t="s">
        <v>257</v>
      </c>
      <c r="J1490" s="1" t="s">
        <v>258</v>
      </c>
      <c r="K1490" s="1" t="s">
        <v>658</v>
      </c>
      <c r="L1490" s="1" t="s">
        <v>873</v>
      </c>
      <c r="M1490" s="1" t="s">
        <v>260</v>
      </c>
      <c r="N1490" s="1" t="s">
        <v>357</v>
      </c>
      <c r="O1490" s="1" t="s">
        <v>632</v>
      </c>
      <c r="P1490" s="1" t="str">
        <f>_xlfn.CONCAT(B1490,C1490,D1490,E1490,F1490)</f>
        <v>BC Caiaponia1SG50CX(COM1-024)46078,013888888946078,013888888946078,3298611111</v>
      </c>
      <c r="Q1490" s="1" t="str">
        <f>_xlfn.CONCAT(H1490,I1490,J1490)</f>
        <v>DAURDE</v>
      </c>
    </row>
    <row r="1491" spans="2:17">
      <c r="B1491" s="1" t="s">
        <v>456</v>
      </c>
      <c r="C1491" s="1" t="s">
        <v>486</v>
      </c>
      <c r="D1491" s="52">
        <v>46078.013888888891</v>
      </c>
      <c r="E1491" s="52">
        <v>46078.013888888891</v>
      </c>
      <c r="F1491" s="52">
        <v>46078.329861111109</v>
      </c>
      <c r="G1491" s="53">
        <v>0.31597222222222221</v>
      </c>
      <c r="H1491" s="1" t="s">
        <v>257</v>
      </c>
      <c r="J1491" s="1" t="s">
        <v>258</v>
      </c>
      <c r="K1491" s="1" t="s">
        <v>658</v>
      </c>
      <c r="L1491" s="1" t="s">
        <v>873</v>
      </c>
      <c r="M1491" s="1" t="s">
        <v>260</v>
      </c>
      <c r="N1491" s="1" t="s">
        <v>357</v>
      </c>
      <c r="O1491" s="1" t="s">
        <v>632</v>
      </c>
      <c r="P1491" s="1" t="str">
        <f>_xlfn.CONCAT(B1491,C1491,D1491,E1491,F1491)</f>
        <v>BC Caiaponia1SG50CX(COM1-025)46078,013888888946078,013888888946078,3298611111</v>
      </c>
      <c r="Q1491" s="1" t="str">
        <f>_xlfn.CONCAT(H1491,I1491,J1491)</f>
        <v>DAURDE</v>
      </c>
    </row>
    <row r="1492" spans="2:17">
      <c r="B1492" s="1" t="s">
        <v>487</v>
      </c>
      <c r="C1492" s="1" t="s">
        <v>377</v>
      </c>
      <c r="D1492" s="52">
        <v>46078.013888888891</v>
      </c>
      <c r="E1492" s="52">
        <v>46078.013888888891</v>
      </c>
      <c r="F1492" s="52">
        <v>46078.329861111109</v>
      </c>
      <c r="G1492" s="53">
        <v>0.31597222222222221</v>
      </c>
      <c r="H1492" s="1" t="s">
        <v>257</v>
      </c>
      <c r="J1492" s="1" t="s">
        <v>258</v>
      </c>
      <c r="K1492" s="1" t="s">
        <v>658</v>
      </c>
      <c r="L1492" s="1" t="s">
        <v>873</v>
      </c>
      <c r="M1492" s="1" t="s">
        <v>260</v>
      </c>
      <c r="N1492" s="1" t="s">
        <v>357</v>
      </c>
      <c r="O1492" s="1" t="s">
        <v>632</v>
      </c>
      <c r="P1492" s="1" t="str">
        <f>_xlfn.CONCAT(B1492,C1492,D1492,E1492,F1492)</f>
        <v>BC Caiaponia2.1215KTL-H3(MBUS-12)46078,013888888946078,013888888946078,3298611111</v>
      </c>
      <c r="Q1492" s="1" t="str">
        <f>_xlfn.CONCAT(H1492,I1492,J1492)</f>
        <v>DAURDE</v>
      </c>
    </row>
    <row r="1493" spans="2:17">
      <c r="B1493" s="1" t="s">
        <v>487</v>
      </c>
      <c r="C1493" s="1" t="s">
        <v>378</v>
      </c>
      <c r="D1493" s="52">
        <v>46078.013888888891</v>
      </c>
      <c r="E1493" s="52">
        <v>46078.013888888891</v>
      </c>
      <c r="F1493" s="52">
        <v>46078.329861111109</v>
      </c>
      <c r="G1493" s="53">
        <v>0.31597222222222221</v>
      </c>
      <c r="H1493" s="1" t="s">
        <v>257</v>
      </c>
      <c r="J1493" s="1" t="s">
        <v>258</v>
      </c>
      <c r="K1493" s="1" t="s">
        <v>658</v>
      </c>
      <c r="L1493" s="1" t="s">
        <v>873</v>
      </c>
      <c r="M1493" s="1" t="s">
        <v>260</v>
      </c>
      <c r="N1493" s="1" t="s">
        <v>357</v>
      </c>
      <c r="O1493" s="1" t="s">
        <v>633</v>
      </c>
      <c r="P1493" s="1" t="str">
        <f>_xlfn.CONCAT(B1493,C1493,D1493,E1493,F1493)</f>
        <v>BC Caiaponia2.1215KTL-H3(MBUS-13)46078,013888888946078,013888888946078,3298611111</v>
      </c>
      <c r="Q1493" s="1" t="str">
        <f>_xlfn.CONCAT(H1493,I1493,J1493)</f>
        <v>DAURDE</v>
      </c>
    </row>
    <row r="1494" spans="2:17">
      <c r="B1494" s="1" t="s">
        <v>487</v>
      </c>
      <c r="C1494" s="1" t="s">
        <v>382</v>
      </c>
      <c r="D1494" s="52">
        <v>46078.013888888891</v>
      </c>
      <c r="E1494" s="52">
        <v>46078.013888888891</v>
      </c>
      <c r="F1494" s="52">
        <v>46078.329861111109</v>
      </c>
      <c r="G1494" s="53">
        <v>0.31597222222222221</v>
      </c>
      <c r="H1494" s="1" t="s">
        <v>257</v>
      </c>
      <c r="J1494" s="1" t="s">
        <v>258</v>
      </c>
      <c r="K1494" s="1" t="s">
        <v>658</v>
      </c>
      <c r="L1494" s="1" t="s">
        <v>873</v>
      </c>
      <c r="M1494" s="1" t="s">
        <v>260</v>
      </c>
      <c r="N1494" s="1" t="s">
        <v>357</v>
      </c>
      <c r="O1494" s="1" t="s">
        <v>633</v>
      </c>
      <c r="P1494" s="1" t="str">
        <f>_xlfn.CONCAT(B1494,C1494,D1494,E1494,F1494)</f>
        <v>BC Caiaponia2.1215KTL-H3(MBUS-14)46078,013888888946078,013888888946078,3298611111</v>
      </c>
      <c r="Q1494" s="1" t="str">
        <f>_xlfn.CONCAT(H1494,I1494,J1494)</f>
        <v>DAURDE</v>
      </c>
    </row>
    <row r="1495" spans="2:17">
      <c r="B1495" s="1" t="s">
        <v>487</v>
      </c>
      <c r="C1495" s="1" t="s">
        <v>380</v>
      </c>
      <c r="D1495" s="52">
        <v>46078.013888888891</v>
      </c>
      <c r="E1495" s="52">
        <v>46078.013888888891</v>
      </c>
      <c r="F1495" s="52">
        <v>46078.329861111109</v>
      </c>
      <c r="G1495" s="53">
        <v>0.31597222222222221</v>
      </c>
      <c r="H1495" s="1" t="s">
        <v>257</v>
      </c>
      <c r="J1495" s="1" t="s">
        <v>258</v>
      </c>
      <c r="K1495" s="1" t="s">
        <v>658</v>
      </c>
      <c r="L1495" s="1" t="s">
        <v>873</v>
      </c>
      <c r="M1495" s="1" t="s">
        <v>260</v>
      </c>
      <c r="N1495" s="1" t="s">
        <v>357</v>
      </c>
      <c r="O1495" s="1" t="s">
        <v>633</v>
      </c>
      <c r="P1495" s="1" t="str">
        <f>_xlfn.CONCAT(B1495,C1495,D1495,E1495,F1495)</f>
        <v>BC Caiaponia2.1215KTL-H3(MBUS-15)46078,013888888946078,013888888946078,3298611111</v>
      </c>
      <c r="Q1495" s="1" t="str">
        <f>_xlfn.CONCAT(H1495,I1495,J1495)</f>
        <v>DAURDE</v>
      </c>
    </row>
    <row r="1496" spans="2:17">
      <c r="B1496" s="1" t="s">
        <v>487</v>
      </c>
      <c r="C1496" s="1" t="s">
        <v>379</v>
      </c>
      <c r="D1496" s="52">
        <v>46078.013888888891</v>
      </c>
      <c r="E1496" s="52">
        <v>46078.013888888891</v>
      </c>
      <c r="F1496" s="52">
        <v>46078.329861111109</v>
      </c>
      <c r="G1496" s="53">
        <v>0.31597222222222221</v>
      </c>
      <c r="H1496" s="1" t="s">
        <v>257</v>
      </c>
      <c r="J1496" s="1" t="s">
        <v>258</v>
      </c>
      <c r="K1496" s="1" t="s">
        <v>658</v>
      </c>
      <c r="L1496" s="1" t="s">
        <v>873</v>
      </c>
      <c r="M1496" s="1" t="s">
        <v>260</v>
      </c>
      <c r="N1496" s="1" t="s">
        <v>357</v>
      </c>
      <c r="O1496" s="1" t="s">
        <v>633</v>
      </c>
      <c r="P1496" s="1" t="str">
        <f>_xlfn.CONCAT(B1496,C1496,D1496,E1496,F1496)</f>
        <v>BC Caiaponia2.1215KTL-H3(MBUS-16)46078,013888888946078,013888888946078,3298611111</v>
      </c>
      <c r="Q1496" s="1" t="str">
        <f>_xlfn.CONCAT(H1496,I1496,J1496)</f>
        <v>DAURDE</v>
      </c>
    </row>
    <row r="1497" spans="2:17">
      <c r="B1497" s="1" t="s">
        <v>583</v>
      </c>
      <c r="C1497" s="1" t="s">
        <v>377</v>
      </c>
      <c r="D1497" s="52">
        <v>46078.013888888891</v>
      </c>
      <c r="E1497" s="52">
        <v>46078.013888888891</v>
      </c>
      <c r="F1497" s="52">
        <v>46078.329861111109</v>
      </c>
      <c r="G1497" s="53">
        <v>0.31597222222222221</v>
      </c>
      <c r="H1497" s="1" t="s">
        <v>257</v>
      </c>
      <c r="J1497" s="1" t="s">
        <v>258</v>
      </c>
      <c r="K1497" s="1" t="s">
        <v>658</v>
      </c>
      <c r="L1497" s="1" t="s">
        <v>873</v>
      </c>
      <c r="M1497" s="1" t="s">
        <v>260</v>
      </c>
      <c r="N1497" s="1" t="s">
        <v>357</v>
      </c>
      <c r="O1497" s="1" t="s">
        <v>633</v>
      </c>
      <c r="P1497" s="1" t="str">
        <f>_xlfn.CONCAT(B1497,C1497,D1497,E1497,F1497)</f>
        <v>BC Caiaponia2.2215KTL-H3(MBUS-12)46078,013888888946078,013888888946078,3298611111</v>
      </c>
      <c r="Q1497" s="1" t="str">
        <f>_xlfn.CONCAT(H1497,I1497,J1497)</f>
        <v>DAURDE</v>
      </c>
    </row>
    <row r="1498" spans="2:17">
      <c r="B1498" s="1" t="s">
        <v>583</v>
      </c>
      <c r="C1498" s="1" t="s">
        <v>378</v>
      </c>
      <c r="D1498" s="52">
        <v>46078.013888888891</v>
      </c>
      <c r="E1498" s="52">
        <v>46078.013888888891</v>
      </c>
      <c r="F1498" s="52">
        <v>46078.329861111109</v>
      </c>
      <c r="G1498" s="53">
        <v>0.31597222222222221</v>
      </c>
      <c r="H1498" s="1" t="s">
        <v>257</v>
      </c>
      <c r="J1498" s="1" t="s">
        <v>258</v>
      </c>
      <c r="K1498" s="1" t="s">
        <v>658</v>
      </c>
      <c r="L1498" s="1" t="s">
        <v>873</v>
      </c>
      <c r="M1498" s="1" t="s">
        <v>260</v>
      </c>
      <c r="N1498" s="1" t="s">
        <v>357</v>
      </c>
      <c r="O1498" s="1" t="s">
        <v>633</v>
      </c>
      <c r="P1498" s="1" t="str">
        <f>_xlfn.CONCAT(B1498,C1498,D1498,E1498,F1498)</f>
        <v>BC Caiaponia2.2215KTL-H3(MBUS-13)46078,013888888946078,013888888946078,3298611111</v>
      </c>
      <c r="Q1498" s="1" t="str">
        <f>_xlfn.CONCAT(H1498,I1498,J1498)</f>
        <v>DAURDE</v>
      </c>
    </row>
    <row r="1499" spans="2:17">
      <c r="B1499" s="1" t="s">
        <v>583</v>
      </c>
      <c r="C1499" s="1" t="s">
        <v>382</v>
      </c>
      <c r="D1499" s="52">
        <v>46078.013888888891</v>
      </c>
      <c r="E1499" s="52">
        <v>46078.013888888891</v>
      </c>
      <c r="F1499" s="52">
        <v>46078.329861111109</v>
      </c>
      <c r="G1499" s="53">
        <v>0.31597222222222221</v>
      </c>
      <c r="H1499" s="1" t="s">
        <v>257</v>
      </c>
      <c r="J1499" s="1" t="s">
        <v>258</v>
      </c>
      <c r="K1499" s="1" t="s">
        <v>658</v>
      </c>
      <c r="L1499" s="1" t="s">
        <v>873</v>
      </c>
      <c r="M1499" s="1" t="s">
        <v>260</v>
      </c>
      <c r="N1499" s="1" t="s">
        <v>357</v>
      </c>
      <c r="O1499" s="1" t="s">
        <v>633</v>
      </c>
      <c r="P1499" s="1" t="str">
        <f>_xlfn.CONCAT(B1499,C1499,D1499,E1499,F1499)</f>
        <v>BC Caiaponia2.2215KTL-H3(MBUS-14)46078,013888888946078,013888888946078,3298611111</v>
      </c>
      <c r="Q1499" s="1" t="str">
        <f>_xlfn.CONCAT(H1499,I1499,J1499)</f>
        <v>DAURDE</v>
      </c>
    </row>
    <row r="1500" spans="2:17">
      <c r="B1500" s="1" t="s">
        <v>583</v>
      </c>
      <c r="C1500" s="1" t="s">
        <v>380</v>
      </c>
      <c r="D1500" s="52">
        <v>46078.013888888891</v>
      </c>
      <c r="E1500" s="52">
        <v>46078.013888888891</v>
      </c>
      <c r="F1500" s="52">
        <v>46078.329861111109</v>
      </c>
      <c r="G1500" s="53">
        <v>0.31597222222222221</v>
      </c>
      <c r="H1500" s="1" t="s">
        <v>257</v>
      </c>
      <c r="J1500" s="1" t="s">
        <v>258</v>
      </c>
      <c r="K1500" s="1" t="s">
        <v>658</v>
      </c>
      <c r="L1500" s="1" t="s">
        <v>873</v>
      </c>
      <c r="M1500" s="1" t="s">
        <v>260</v>
      </c>
      <c r="N1500" s="1" t="s">
        <v>357</v>
      </c>
      <c r="O1500" s="1" t="s">
        <v>633</v>
      </c>
      <c r="P1500" s="1" t="str">
        <f>_xlfn.CONCAT(B1500,C1500,D1500,E1500,F1500)</f>
        <v>BC Caiaponia2.2215KTL-H3(MBUS-15)46078,013888888946078,013888888946078,3298611111</v>
      </c>
      <c r="Q1500" s="1" t="str">
        <f>_xlfn.CONCAT(H1500,I1500,J1500)</f>
        <v>DAURDE</v>
      </c>
    </row>
    <row r="1501" spans="2:17">
      <c r="B1501" s="1" t="s">
        <v>583</v>
      </c>
      <c r="C1501" s="1" t="s">
        <v>379</v>
      </c>
      <c r="D1501" s="52">
        <v>46078.013888888891</v>
      </c>
      <c r="E1501" s="52">
        <v>46078.013888888891</v>
      </c>
      <c r="F1501" s="52">
        <v>46078.329861111109</v>
      </c>
      <c r="G1501" s="53">
        <v>0.31597222222222221</v>
      </c>
      <c r="H1501" s="1" t="s">
        <v>257</v>
      </c>
      <c r="J1501" s="1" t="s">
        <v>258</v>
      </c>
      <c r="K1501" s="1" t="s">
        <v>658</v>
      </c>
      <c r="L1501" s="1" t="s">
        <v>873</v>
      </c>
      <c r="M1501" s="1" t="s">
        <v>260</v>
      </c>
      <c r="N1501" s="1" t="s">
        <v>357</v>
      </c>
      <c r="O1501" s="1" t="s">
        <v>633</v>
      </c>
      <c r="P1501" s="1" t="str">
        <f>_xlfn.CONCAT(B1501,C1501,D1501,E1501,F1501)</f>
        <v>BC Caiaponia2.2215KTL-H3(MBUS-16)46078,013888888946078,013888888946078,3298611111</v>
      </c>
      <c r="Q1501" s="1" t="str">
        <f>_xlfn.CONCAT(H1501,I1501,J1501)</f>
        <v>DAURDE</v>
      </c>
    </row>
    <row r="1502" spans="2:17">
      <c r="B1502" s="1" t="s">
        <v>584</v>
      </c>
      <c r="C1502" s="1" t="s">
        <v>377</v>
      </c>
      <c r="D1502" s="52">
        <v>46078.013888888891</v>
      </c>
      <c r="E1502" s="52">
        <v>46078.013888888891</v>
      </c>
      <c r="F1502" s="52">
        <v>46078.329861111109</v>
      </c>
      <c r="G1502" s="53">
        <v>0.31597222222222221</v>
      </c>
      <c r="H1502" s="1" t="s">
        <v>257</v>
      </c>
      <c r="J1502" s="1" t="s">
        <v>258</v>
      </c>
      <c r="K1502" s="1" t="s">
        <v>658</v>
      </c>
      <c r="L1502" s="1" t="s">
        <v>873</v>
      </c>
      <c r="M1502" s="1" t="s">
        <v>260</v>
      </c>
      <c r="N1502" s="1" t="s">
        <v>357</v>
      </c>
      <c r="O1502" s="1" t="s">
        <v>633</v>
      </c>
      <c r="P1502" s="1" t="str">
        <f>_xlfn.CONCAT(B1502,C1502,D1502,E1502,F1502)</f>
        <v>BC Caiaponia2.3215KTL-H3(MBUS-12)46078,013888888946078,013888888946078,3298611111</v>
      </c>
      <c r="Q1502" s="1" t="str">
        <f>_xlfn.CONCAT(H1502,I1502,J1502)</f>
        <v>DAURDE</v>
      </c>
    </row>
    <row r="1503" spans="2:17">
      <c r="B1503" s="1" t="s">
        <v>584</v>
      </c>
      <c r="C1503" s="1" t="s">
        <v>378</v>
      </c>
      <c r="D1503" s="52">
        <v>46078.013888888891</v>
      </c>
      <c r="E1503" s="52">
        <v>46078.013888888891</v>
      </c>
      <c r="F1503" s="52">
        <v>46078.329861111109</v>
      </c>
      <c r="G1503" s="53">
        <v>0.31597222222222221</v>
      </c>
      <c r="H1503" s="1" t="s">
        <v>257</v>
      </c>
      <c r="J1503" s="1" t="s">
        <v>258</v>
      </c>
      <c r="K1503" s="1" t="s">
        <v>658</v>
      </c>
      <c r="L1503" s="1" t="s">
        <v>873</v>
      </c>
      <c r="M1503" s="1" t="s">
        <v>260</v>
      </c>
      <c r="N1503" s="1" t="s">
        <v>357</v>
      </c>
      <c r="O1503" s="1" t="s">
        <v>633</v>
      </c>
      <c r="P1503" s="1" t="str">
        <f>_xlfn.CONCAT(B1503,C1503,D1503,E1503,F1503)</f>
        <v>BC Caiaponia2.3215KTL-H3(MBUS-13)46078,013888888946078,013888888946078,3298611111</v>
      </c>
      <c r="Q1503" s="1" t="str">
        <f>_xlfn.CONCAT(H1503,I1503,J1503)</f>
        <v>DAURDE</v>
      </c>
    </row>
    <row r="1504" spans="2:17">
      <c r="B1504" s="1" t="s">
        <v>584</v>
      </c>
      <c r="C1504" s="1" t="s">
        <v>382</v>
      </c>
      <c r="D1504" s="52">
        <v>46078.013888888891</v>
      </c>
      <c r="E1504" s="52">
        <v>46078.013888888891</v>
      </c>
      <c r="F1504" s="52">
        <v>46078.329861111109</v>
      </c>
      <c r="G1504" s="53">
        <v>0.31597222222222221</v>
      </c>
      <c r="H1504" s="1" t="s">
        <v>257</v>
      </c>
      <c r="J1504" s="1" t="s">
        <v>258</v>
      </c>
      <c r="K1504" s="1" t="s">
        <v>658</v>
      </c>
      <c r="L1504" s="1" t="s">
        <v>873</v>
      </c>
      <c r="M1504" s="1" t="s">
        <v>260</v>
      </c>
      <c r="N1504" s="1" t="s">
        <v>357</v>
      </c>
      <c r="O1504" s="1" t="s">
        <v>633</v>
      </c>
      <c r="P1504" s="1" t="str">
        <f>_xlfn.CONCAT(B1504,C1504,D1504,E1504,F1504)</f>
        <v>BC Caiaponia2.3215KTL-H3(MBUS-14)46078,013888888946078,013888888946078,3298611111</v>
      </c>
      <c r="Q1504" s="1" t="str">
        <f>_xlfn.CONCAT(H1504,I1504,J1504)</f>
        <v>DAURDE</v>
      </c>
    </row>
    <row r="1505" spans="2:17">
      <c r="B1505" s="1" t="s">
        <v>584</v>
      </c>
      <c r="C1505" s="1" t="s">
        <v>380</v>
      </c>
      <c r="D1505" s="52">
        <v>46078.013888888891</v>
      </c>
      <c r="E1505" s="52">
        <v>46078.013888888891</v>
      </c>
      <c r="F1505" s="52">
        <v>46078.329861111109</v>
      </c>
      <c r="G1505" s="53">
        <v>0.31597222222222221</v>
      </c>
      <c r="H1505" s="1" t="s">
        <v>257</v>
      </c>
      <c r="J1505" s="1" t="s">
        <v>258</v>
      </c>
      <c r="K1505" s="1" t="s">
        <v>658</v>
      </c>
      <c r="L1505" s="1" t="s">
        <v>873</v>
      </c>
      <c r="M1505" s="1" t="s">
        <v>260</v>
      </c>
      <c r="N1505" s="1" t="s">
        <v>357</v>
      </c>
      <c r="O1505" s="1" t="s">
        <v>633</v>
      </c>
      <c r="P1505" s="1" t="str">
        <f>_xlfn.CONCAT(B1505,C1505,D1505,E1505,F1505)</f>
        <v>BC Caiaponia2.3215KTL-H3(MBUS-15)46078,013888888946078,013888888946078,3298611111</v>
      </c>
      <c r="Q1505" s="1" t="str">
        <f>_xlfn.CONCAT(H1505,I1505,J1505)</f>
        <v>DAURDE</v>
      </c>
    </row>
    <row r="1506" spans="2:17">
      <c r="B1506" s="1" t="s">
        <v>584</v>
      </c>
      <c r="C1506" s="1" t="s">
        <v>379</v>
      </c>
      <c r="D1506" s="52">
        <v>46078.013888888891</v>
      </c>
      <c r="E1506" s="52">
        <v>46078.013888888891</v>
      </c>
      <c r="F1506" s="52">
        <v>46078.329861111109</v>
      </c>
      <c r="G1506" s="53">
        <v>0.31597222222222221</v>
      </c>
      <c r="H1506" s="1" t="s">
        <v>257</v>
      </c>
      <c r="J1506" s="1" t="s">
        <v>258</v>
      </c>
      <c r="K1506" s="1" t="s">
        <v>658</v>
      </c>
      <c r="L1506" s="1" t="s">
        <v>873</v>
      </c>
      <c r="M1506" s="1" t="s">
        <v>260</v>
      </c>
      <c r="N1506" s="1" t="s">
        <v>357</v>
      </c>
      <c r="O1506" s="1" t="s">
        <v>632</v>
      </c>
      <c r="P1506" s="1" t="str">
        <f>_xlfn.CONCAT(B1506,C1506,D1506,E1506,F1506)</f>
        <v>BC Caiaponia2.3215KTL-H3(MBUS-16)46078,013888888946078,013888888946078,3298611111</v>
      </c>
      <c r="Q1506" s="1" t="str">
        <f>_xlfn.CONCAT(H1506,I1506,J1506)</f>
        <v>DAURDE</v>
      </c>
    </row>
    <row r="1507" spans="2:17">
      <c r="B1507" s="1" t="s">
        <v>312</v>
      </c>
      <c r="C1507" s="1" t="s">
        <v>307</v>
      </c>
      <c r="D1507" s="52">
        <v>46078.173611111109</v>
      </c>
      <c r="E1507" s="52">
        <v>46078.173611111109</v>
      </c>
      <c r="F1507" s="52">
        <v>46078.355555555558</v>
      </c>
      <c r="G1507" s="53">
        <v>0.18194444444444444</v>
      </c>
      <c r="H1507" s="1" t="s">
        <v>257</v>
      </c>
      <c r="J1507" s="1" t="s">
        <v>258</v>
      </c>
      <c r="K1507" s="1" t="s">
        <v>658</v>
      </c>
      <c r="L1507" s="1" t="s">
        <v>874</v>
      </c>
      <c r="M1507" s="1" t="s">
        <v>260</v>
      </c>
      <c r="N1507" s="1" t="s">
        <v>357</v>
      </c>
      <c r="O1507" s="1" t="s">
        <v>632</v>
      </c>
      <c r="P1507" s="1" t="str">
        <f>_xlfn.CONCAT(B1507,C1507,D1507,E1507,F1507)</f>
        <v>ARAGUATINS 2.2Inverter(MBUS-15)46078,173611111146078,173611111146078,3555555556</v>
      </c>
      <c r="Q1507" s="1" t="str">
        <f>_xlfn.CONCAT(H1507,I1507,J1507)</f>
        <v>DAURDE</v>
      </c>
    </row>
    <row r="1508" spans="2:17">
      <c r="B1508" s="1" t="s">
        <v>312</v>
      </c>
      <c r="C1508" s="1" t="s">
        <v>264</v>
      </c>
      <c r="D1508" s="52">
        <v>46078.173611111109</v>
      </c>
      <c r="E1508" s="52">
        <v>46078.173611111109</v>
      </c>
      <c r="F1508" s="52">
        <v>46078.355555555558</v>
      </c>
      <c r="G1508" s="53">
        <v>0.18194444444444444</v>
      </c>
      <c r="H1508" s="1" t="s">
        <v>257</v>
      </c>
      <c r="J1508" s="1" t="s">
        <v>258</v>
      </c>
      <c r="K1508" s="1" t="s">
        <v>658</v>
      </c>
      <c r="L1508" s="1" t="s">
        <v>874</v>
      </c>
      <c r="M1508" s="1" t="s">
        <v>260</v>
      </c>
      <c r="N1508" s="1" t="s">
        <v>357</v>
      </c>
      <c r="O1508" s="1" t="s">
        <v>632</v>
      </c>
      <c r="P1508" s="1" t="str">
        <f>_xlfn.CONCAT(B1508,C1508,D1508,E1508,F1508)</f>
        <v>ARAGUATINS 2.2Inverter(MBUS-13)46078,173611111146078,173611111146078,3555555556</v>
      </c>
      <c r="Q1508" s="1" t="str">
        <f>_xlfn.CONCAT(H1508,I1508,J1508)</f>
        <v>DAURDE</v>
      </c>
    </row>
    <row r="1509" spans="2:17">
      <c r="B1509" s="1" t="s">
        <v>312</v>
      </c>
      <c r="C1509" s="1" t="s">
        <v>263</v>
      </c>
      <c r="D1509" s="52">
        <v>46078.173611111109</v>
      </c>
      <c r="E1509" s="52">
        <v>46078.173611111109</v>
      </c>
      <c r="F1509" s="52">
        <v>46078.355555555558</v>
      </c>
      <c r="G1509" s="53">
        <v>0.18194444444444444</v>
      </c>
      <c r="H1509" s="1" t="s">
        <v>257</v>
      </c>
      <c r="J1509" s="1" t="s">
        <v>258</v>
      </c>
      <c r="K1509" s="1" t="s">
        <v>658</v>
      </c>
      <c r="L1509" s="1" t="s">
        <v>874</v>
      </c>
      <c r="M1509" s="1" t="s">
        <v>260</v>
      </c>
      <c r="N1509" s="1" t="s">
        <v>357</v>
      </c>
      <c r="O1509" s="1" t="s">
        <v>632</v>
      </c>
      <c r="P1509" s="1" t="str">
        <f>_xlfn.CONCAT(B1509,C1509,D1509,E1509,F1509)</f>
        <v>ARAGUATINS 2.2Inverter(MBUS-14)46078,173611111146078,173611111146078,3555555556</v>
      </c>
      <c r="Q1509" s="1" t="str">
        <f>_xlfn.CONCAT(H1509,I1509,J1509)</f>
        <v>DAURDE</v>
      </c>
    </row>
    <row r="1510" spans="2:17">
      <c r="B1510" s="1" t="s">
        <v>312</v>
      </c>
      <c r="C1510" s="1" t="s">
        <v>256</v>
      </c>
      <c r="D1510" s="52">
        <v>46078.173611111109</v>
      </c>
      <c r="E1510" s="52">
        <v>46078.173611111109</v>
      </c>
      <c r="F1510" s="52">
        <v>46078.355555555558</v>
      </c>
      <c r="G1510" s="53">
        <v>0.18194444444444444</v>
      </c>
      <c r="H1510" s="1" t="s">
        <v>257</v>
      </c>
      <c r="J1510" s="1" t="s">
        <v>258</v>
      </c>
      <c r="K1510" s="1" t="s">
        <v>658</v>
      </c>
      <c r="L1510" s="1" t="s">
        <v>874</v>
      </c>
      <c r="M1510" s="1" t="s">
        <v>289</v>
      </c>
      <c r="N1510" s="1" t="s">
        <v>631</v>
      </c>
      <c r="O1510" s="1" t="s">
        <v>631</v>
      </c>
      <c r="P1510" s="1" t="str">
        <f>_xlfn.CONCAT(B1510,C1510,D1510,E1510,F1510)</f>
        <v>ARAGUATINS 2.2Inverter(MBUS-12)46078,173611111146078,173611111146078,3555555556</v>
      </c>
      <c r="Q1510" s="1" t="str">
        <f>_xlfn.CONCAT(H1510,I1510,J1510)</f>
        <v>DAURDE</v>
      </c>
    </row>
    <row r="1511" spans="2:17">
      <c r="B1511" s="1" t="s">
        <v>313</v>
      </c>
      <c r="C1511" s="1" t="s">
        <v>256</v>
      </c>
      <c r="D1511" s="52">
        <v>46078.173611111109</v>
      </c>
      <c r="E1511" s="52">
        <v>46078.173611111109</v>
      </c>
      <c r="F1511" s="52">
        <v>46078.355555555558</v>
      </c>
      <c r="G1511" s="53">
        <v>0.18194444444444444</v>
      </c>
      <c r="H1511" s="1" t="s">
        <v>257</v>
      </c>
      <c r="J1511" s="1" t="s">
        <v>258</v>
      </c>
      <c r="K1511" s="1" t="s">
        <v>658</v>
      </c>
      <c r="L1511" s="1" t="s">
        <v>874</v>
      </c>
      <c r="M1511" s="1" t="s">
        <v>289</v>
      </c>
      <c r="N1511" s="1" t="s">
        <v>631</v>
      </c>
      <c r="O1511" s="1" t="s">
        <v>631</v>
      </c>
      <c r="P1511" s="1" t="str">
        <f>_xlfn.CONCAT(B1511,C1511,D1511,E1511,F1511)</f>
        <v>ARAGUATINS 2.3Inverter(MBUS-12)46078,173611111146078,173611111146078,3555555556</v>
      </c>
      <c r="Q1511" s="1" t="str">
        <f>_xlfn.CONCAT(H1511,I1511,J1511)</f>
        <v>DAURDE</v>
      </c>
    </row>
    <row r="1512" spans="2:17">
      <c r="B1512" s="1" t="s">
        <v>313</v>
      </c>
      <c r="C1512" s="1" t="s">
        <v>264</v>
      </c>
      <c r="D1512" s="52">
        <v>46078.173611111109</v>
      </c>
      <c r="E1512" s="52">
        <v>46078.173611111109</v>
      </c>
      <c r="F1512" s="52">
        <v>46078.355555555558</v>
      </c>
      <c r="G1512" s="53">
        <v>0.18194444444444444</v>
      </c>
      <c r="H1512" s="1" t="s">
        <v>257</v>
      </c>
      <c r="J1512" s="1" t="s">
        <v>258</v>
      </c>
      <c r="K1512" s="1" t="s">
        <v>658</v>
      </c>
      <c r="L1512" s="1" t="s">
        <v>874</v>
      </c>
      <c r="M1512" s="1" t="s">
        <v>289</v>
      </c>
      <c r="N1512" s="1" t="s">
        <v>631</v>
      </c>
      <c r="O1512" s="1" t="s">
        <v>631</v>
      </c>
      <c r="P1512" s="1" t="str">
        <f>_xlfn.CONCAT(B1512,C1512,D1512,E1512,F1512)</f>
        <v>ARAGUATINS 2.3Inverter(MBUS-13)46078,173611111146078,173611111146078,3555555556</v>
      </c>
      <c r="Q1512" s="1" t="str">
        <f>_xlfn.CONCAT(H1512,I1512,J1512)</f>
        <v>DAURDE</v>
      </c>
    </row>
    <row r="1513" spans="2:17">
      <c r="B1513" s="1" t="s">
        <v>529</v>
      </c>
      <c r="C1513" s="1" t="s">
        <v>530</v>
      </c>
      <c r="D1513" s="52">
        <v>46078.229166666664</v>
      </c>
      <c r="E1513" s="52">
        <v>46078.229166666664</v>
      </c>
      <c r="F1513" s="52">
        <v>46078.333333333336</v>
      </c>
      <c r="G1513" s="53">
        <v>0.10416666666666667</v>
      </c>
      <c r="H1513" s="1" t="s">
        <v>257</v>
      </c>
      <c r="J1513" s="1" t="s">
        <v>258</v>
      </c>
      <c r="K1513" s="1" t="s">
        <v>658</v>
      </c>
      <c r="L1513" s="1" t="s">
        <v>875</v>
      </c>
      <c r="M1513" s="1" t="s">
        <v>289</v>
      </c>
      <c r="N1513" s="1" t="s">
        <v>631</v>
      </c>
      <c r="O1513" s="1" t="s">
        <v>631</v>
      </c>
      <c r="P1513" s="1" t="str">
        <f>_xlfn.CONCAT(B1513,C1513,D1513,E1513,F1513)</f>
        <v>BC Barra1Inverter__546078,229166666746078,229166666746078,3333333333</v>
      </c>
      <c r="Q1513" s="1" t="str">
        <f>_xlfn.CONCAT(H1513,I1513,J1513)</f>
        <v>DAURDE</v>
      </c>
    </row>
    <row r="1514" spans="2:17">
      <c r="B1514" s="1" t="s">
        <v>529</v>
      </c>
      <c r="C1514" s="1" t="s">
        <v>876</v>
      </c>
      <c r="D1514" s="52">
        <v>46078.229166666664</v>
      </c>
      <c r="E1514" s="52">
        <v>46078.229166666664</v>
      </c>
      <c r="F1514" s="52">
        <v>46078.333333333336</v>
      </c>
      <c r="G1514" s="53">
        <v>0.10416666666666667</v>
      </c>
      <c r="H1514" s="1" t="s">
        <v>257</v>
      </c>
      <c r="J1514" s="1" t="s">
        <v>258</v>
      </c>
      <c r="K1514" s="1" t="s">
        <v>658</v>
      </c>
      <c r="L1514" s="1" t="s">
        <v>875</v>
      </c>
      <c r="M1514" s="1" t="s">
        <v>289</v>
      </c>
      <c r="N1514" s="1" t="s">
        <v>631</v>
      </c>
      <c r="O1514" s="1" t="s">
        <v>631</v>
      </c>
      <c r="P1514" s="1" t="str">
        <f>_xlfn.CONCAT(B1514,C1514,D1514,E1514,F1514)</f>
        <v>BC Barra1Inverter__146078,229166666746078,229166666746078,3333333333</v>
      </c>
      <c r="Q1514" s="1" t="str">
        <f>_xlfn.CONCAT(H1514,I1514,J1514)</f>
        <v>DAURDE</v>
      </c>
    </row>
    <row r="1515" spans="2:17">
      <c r="B1515" s="1" t="s">
        <v>529</v>
      </c>
      <c r="C1515" s="1" t="s">
        <v>877</v>
      </c>
      <c r="D1515" s="52">
        <v>46078.229166666664</v>
      </c>
      <c r="E1515" s="52">
        <v>46078.229166666664</v>
      </c>
      <c r="F1515" s="52">
        <v>46078.333333333336</v>
      </c>
      <c r="G1515" s="53">
        <v>0.10416666666666667</v>
      </c>
      <c r="H1515" s="1" t="s">
        <v>257</v>
      </c>
      <c r="J1515" s="1" t="s">
        <v>258</v>
      </c>
      <c r="K1515" s="1" t="s">
        <v>658</v>
      </c>
      <c r="L1515" s="1" t="s">
        <v>875</v>
      </c>
      <c r="M1515" s="1" t="s">
        <v>252</v>
      </c>
      <c r="N1515" s="1" t="s">
        <v>253</v>
      </c>
      <c r="O1515" s="1" t="s">
        <v>632</v>
      </c>
      <c r="P1515" s="1" t="str">
        <f>_xlfn.CONCAT(B1515,C1515,D1515,E1515,F1515)</f>
        <v>BC Barra1Inverter__446078,229166666746078,229166666746078,3333333333</v>
      </c>
      <c r="Q1515" s="1" t="str">
        <f>_xlfn.CONCAT(H1515,I1515,J1515)</f>
        <v>DAURDE</v>
      </c>
    </row>
    <row r="1516" spans="2:17">
      <c r="B1516" s="1" t="s">
        <v>529</v>
      </c>
      <c r="C1516" s="1" t="s">
        <v>878</v>
      </c>
      <c r="D1516" s="52">
        <v>46078.229166666664</v>
      </c>
      <c r="E1516" s="52">
        <v>46078.229166666664</v>
      </c>
      <c r="F1516" s="52">
        <v>46078.333333333336</v>
      </c>
      <c r="G1516" s="53">
        <v>0.10416666666666667</v>
      </c>
      <c r="H1516" s="1" t="s">
        <v>257</v>
      </c>
      <c r="J1516" s="1" t="s">
        <v>258</v>
      </c>
      <c r="K1516" s="1" t="s">
        <v>658</v>
      </c>
      <c r="L1516" s="1" t="s">
        <v>875</v>
      </c>
      <c r="M1516" s="1" t="s">
        <v>260</v>
      </c>
      <c r="N1516" s="1" t="s">
        <v>357</v>
      </c>
      <c r="O1516" s="1" t="s">
        <v>632</v>
      </c>
      <c r="P1516" s="1" t="str">
        <f>_xlfn.CONCAT(B1516,C1516,D1516,E1516,F1516)</f>
        <v>BC Barra1Inverter__346078,229166666746078,229166666746078,3333333333</v>
      </c>
      <c r="Q1516" s="1" t="str">
        <f>_xlfn.CONCAT(H1516,I1516,J1516)</f>
        <v>DAURDE</v>
      </c>
    </row>
    <row r="1517" spans="2:17">
      <c r="B1517" s="1" t="s">
        <v>529</v>
      </c>
      <c r="C1517" s="1" t="s">
        <v>879</v>
      </c>
      <c r="D1517" s="52">
        <v>46078.229166666664</v>
      </c>
      <c r="E1517" s="52">
        <v>46078.229166666664</v>
      </c>
      <c r="F1517" s="52">
        <v>46078.333333333336</v>
      </c>
      <c r="G1517" s="53">
        <v>0.10416666666666667</v>
      </c>
      <c r="H1517" s="1" t="s">
        <v>257</v>
      </c>
      <c r="J1517" s="1" t="s">
        <v>258</v>
      </c>
      <c r="K1517" s="1" t="s">
        <v>658</v>
      </c>
      <c r="L1517" s="1" t="s">
        <v>875</v>
      </c>
      <c r="M1517" s="1" t="s">
        <v>260</v>
      </c>
      <c r="N1517" s="1" t="s">
        <v>357</v>
      </c>
      <c r="O1517" s="1" t="s">
        <v>632</v>
      </c>
      <c r="P1517" s="1" t="str">
        <f>_xlfn.CONCAT(B1517,C1517,D1517,E1517,F1517)</f>
        <v>BC Barra1Inverter__246078,229166666746078,229166666746078,3333333333</v>
      </c>
      <c r="Q1517" s="1" t="str">
        <f>_xlfn.CONCAT(H1517,I1517,J1517)</f>
        <v>DAURDE</v>
      </c>
    </row>
    <row r="1518" spans="2:17">
      <c r="B1518" s="1" t="s">
        <v>529</v>
      </c>
      <c r="C1518" s="1" t="s">
        <v>880</v>
      </c>
      <c r="D1518" s="52">
        <v>46078.229166666664</v>
      </c>
      <c r="E1518" s="52">
        <v>46078.229166666664</v>
      </c>
      <c r="F1518" s="52">
        <v>46078.333333333336</v>
      </c>
      <c r="G1518" s="53">
        <v>0.10416666666666667</v>
      </c>
      <c r="H1518" s="1" t="s">
        <v>257</v>
      </c>
      <c r="J1518" s="1" t="s">
        <v>258</v>
      </c>
      <c r="K1518" s="1" t="s">
        <v>658</v>
      </c>
      <c r="L1518" s="1" t="s">
        <v>875</v>
      </c>
      <c r="M1518" s="1" t="s">
        <v>260</v>
      </c>
      <c r="N1518" s="1" t="s">
        <v>357</v>
      </c>
      <c r="O1518" s="1" t="s">
        <v>632</v>
      </c>
      <c r="P1518" s="1" t="str">
        <f>_xlfn.CONCAT(B1518,C1518,D1518,E1518,F1518)</f>
        <v>BC Barra1Inverter__746078,229166666746078,229166666746078,3333333333</v>
      </c>
      <c r="Q1518" s="1" t="str">
        <f>_xlfn.CONCAT(H1518,I1518,J1518)</f>
        <v>DAURDE</v>
      </c>
    </row>
    <row r="1519" spans="2:17">
      <c r="B1519" s="1" t="s">
        <v>529</v>
      </c>
      <c r="C1519" s="1" t="s">
        <v>881</v>
      </c>
      <c r="D1519" s="52">
        <v>46078.229166666664</v>
      </c>
      <c r="E1519" s="52">
        <v>46078.229166666664</v>
      </c>
      <c r="F1519" s="52">
        <v>46078.333333333336</v>
      </c>
      <c r="G1519" s="53">
        <v>0.10416666666666667</v>
      </c>
      <c r="H1519" s="1" t="s">
        <v>257</v>
      </c>
      <c r="J1519" s="1" t="s">
        <v>258</v>
      </c>
      <c r="K1519" s="1" t="s">
        <v>658</v>
      </c>
      <c r="L1519" s="1" t="s">
        <v>875</v>
      </c>
      <c r="M1519" s="1" t="s">
        <v>260</v>
      </c>
      <c r="N1519" s="1" t="s">
        <v>357</v>
      </c>
      <c r="O1519" s="1" t="s">
        <v>632</v>
      </c>
      <c r="P1519" s="1" t="str">
        <f>_xlfn.CONCAT(B1519,C1519,D1519,E1519,F1519)</f>
        <v>BC Barra1Inverter__946078,229166666746078,229166666746078,3333333333</v>
      </c>
      <c r="Q1519" s="1" t="str">
        <f>_xlfn.CONCAT(H1519,I1519,J1519)</f>
        <v>DAURDE</v>
      </c>
    </row>
    <row r="1520" spans="2:17">
      <c r="B1520" s="1" t="s">
        <v>529</v>
      </c>
      <c r="C1520" s="1" t="s">
        <v>882</v>
      </c>
      <c r="D1520" s="52">
        <v>46078.229166666664</v>
      </c>
      <c r="E1520" s="52">
        <v>46078.229166666664</v>
      </c>
      <c r="F1520" s="52">
        <v>46078.333333333336</v>
      </c>
      <c r="G1520" s="53">
        <v>0.10416666666666667</v>
      </c>
      <c r="H1520" s="1" t="s">
        <v>257</v>
      </c>
      <c r="J1520" s="1" t="s">
        <v>258</v>
      </c>
      <c r="K1520" s="1" t="s">
        <v>658</v>
      </c>
      <c r="L1520" s="1" t="s">
        <v>875</v>
      </c>
      <c r="M1520" s="1" t="s">
        <v>260</v>
      </c>
      <c r="N1520" s="1" t="s">
        <v>357</v>
      </c>
      <c r="O1520" s="1" t="s">
        <v>632</v>
      </c>
      <c r="P1520" s="1" t="str">
        <f>_xlfn.CONCAT(B1520,C1520,D1520,E1520,F1520)</f>
        <v>BC Barra1Inverter__846078,229166666746078,229166666746078,3333333333</v>
      </c>
      <c r="Q1520" s="1" t="str">
        <f>_xlfn.CONCAT(H1520,I1520,J1520)</f>
        <v>DAURDE</v>
      </c>
    </row>
    <row r="1521" spans="2:17">
      <c r="B1521" s="1" t="s">
        <v>529</v>
      </c>
      <c r="C1521" s="1" t="s">
        <v>883</v>
      </c>
      <c r="D1521" s="52">
        <v>46078.229166666664</v>
      </c>
      <c r="E1521" s="52">
        <v>46078.229166666664</v>
      </c>
      <c r="F1521" s="52">
        <v>46078.333333333336</v>
      </c>
      <c r="G1521" s="53">
        <v>0.10416666666666667</v>
      </c>
      <c r="H1521" s="1" t="s">
        <v>257</v>
      </c>
      <c r="J1521" s="1" t="s">
        <v>258</v>
      </c>
      <c r="K1521" s="1" t="s">
        <v>658</v>
      </c>
      <c r="L1521" s="1" t="s">
        <v>875</v>
      </c>
      <c r="M1521" s="1" t="s">
        <v>260</v>
      </c>
      <c r="N1521" s="1" t="s">
        <v>357</v>
      </c>
      <c r="O1521" s="1" t="s">
        <v>632</v>
      </c>
      <c r="P1521" s="1" t="str">
        <f>_xlfn.CONCAT(B1521,C1521,D1521,E1521,F1521)</f>
        <v>BC Barra1Inverter__1046078,229166666746078,229166666746078,3333333333</v>
      </c>
      <c r="Q1521" s="1" t="str">
        <f>_xlfn.CONCAT(H1521,I1521,J1521)</f>
        <v>DAURDE</v>
      </c>
    </row>
    <row r="1522" spans="2:17">
      <c r="B1522" s="1" t="s">
        <v>529</v>
      </c>
      <c r="C1522" s="1" t="s">
        <v>884</v>
      </c>
      <c r="D1522" s="52">
        <v>46078.229166666664</v>
      </c>
      <c r="E1522" s="52">
        <v>46078.229166666664</v>
      </c>
      <c r="F1522" s="52">
        <v>46078.333333333336</v>
      </c>
      <c r="G1522" s="53">
        <v>0.10416666666666667</v>
      </c>
      <c r="H1522" s="1" t="s">
        <v>257</v>
      </c>
      <c r="J1522" s="1" t="s">
        <v>258</v>
      </c>
      <c r="K1522" s="1" t="s">
        <v>658</v>
      </c>
      <c r="L1522" s="1" t="s">
        <v>875</v>
      </c>
      <c r="M1522" s="1" t="s">
        <v>260</v>
      </c>
      <c r="N1522" s="1" t="s">
        <v>357</v>
      </c>
      <c r="O1522" s="1" t="s">
        <v>632</v>
      </c>
      <c r="P1522" s="1" t="str">
        <f>_xlfn.CONCAT(B1522,C1522,D1522,E1522,F1522)</f>
        <v>BC Barra1Inverter__646078,229166666746078,229166666746078,3333333333</v>
      </c>
      <c r="Q1522" s="1" t="str">
        <f>_xlfn.CONCAT(H1522,I1522,J1522)</f>
        <v>DAURDE</v>
      </c>
    </row>
    <row r="1523" spans="2:17">
      <c r="B1523" s="1" t="s">
        <v>327</v>
      </c>
      <c r="C1523" s="1" t="s">
        <v>247</v>
      </c>
      <c r="D1523" s="52">
        <v>46078.5</v>
      </c>
      <c r="E1523" s="52">
        <v>46078.5</v>
      </c>
      <c r="F1523" s="52">
        <v>46078.555555555555</v>
      </c>
      <c r="G1523" s="53">
        <v>5.5555555555555552E-2</v>
      </c>
      <c r="H1523" s="1" t="s">
        <v>257</v>
      </c>
      <c r="J1523" s="1" t="s">
        <v>258</v>
      </c>
      <c r="K1523" s="1" t="s">
        <v>658</v>
      </c>
      <c r="L1523" s="1" t="s">
        <v>885</v>
      </c>
      <c r="M1523" s="1" t="s">
        <v>260</v>
      </c>
      <c r="N1523" s="1" t="s">
        <v>357</v>
      </c>
      <c r="O1523" s="1" t="s">
        <v>632</v>
      </c>
      <c r="P1523" s="1" t="str">
        <f>_xlfn.CONCAT(B1523,C1523,D1523,E1523,F1523)</f>
        <v>BC Aracu5.1Inverter(MBUS-1)46078,546078,546078,5555555556</v>
      </c>
      <c r="Q1523" s="1" t="str">
        <f>_xlfn.CONCAT(H1523,I1523,J1523)</f>
        <v>DAURDE</v>
      </c>
    </row>
    <row r="1524" spans="2:17">
      <c r="B1524" s="1" t="s">
        <v>328</v>
      </c>
      <c r="C1524" s="1" t="s">
        <v>247</v>
      </c>
      <c r="D1524" s="52">
        <v>46078.5</v>
      </c>
      <c r="E1524" s="52">
        <v>46078.5</v>
      </c>
      <c r="F1524" s="52">
        <v>46078.555555555555</v>
      </c>
      <c r="G1524" s="53">
        <v>5.5555555555555552E-2</v>
      </c>
      <c r="H1524" s="1" t="s">
        <v>257</v>
      </c>
      <c r="J1524" s="1" t="s">
        <v>258</v>
      </c>
      <c r="K1524" s="1" t="s">
        <v>658</v>
      </c>
      <c r="L1524" s="1" t="s">
        <v>885</v>
      </c>
      <c r="M1524" s="1" t="s">
        <v>260</v>
      </c>
      <c r="N1524" s="1" t="s">
        <v>357</v>
      </c>
      <c r="O1524" s="1" t="s">
        <v>632</v>
      </c>
      <c r="P1524" s="1" t="str">
        <f>_xlfn.CONCAT(B1524,C1524,D1524,E1524,F1524)</f>
        <v>BC Aracu5.3Inverter(MBUS-1)46078,546078,546078,5555555556</v>
      </c>
      <c r="Q1524" s="1" t="str">
        <f>_xlfn.CONCAT(H1524,I1524,J1524)</f>
        <v>DAURDE</v>
      </c>
    </row>
    <row r="1525" spans="2:17">
      <c r="B1525" s="1" t="s">
        <v>329</v>
      </c>
      <c r="C1525" s="1" t="s">
        <v>247</v>
      </c>
      <c r="D1525" s="52">
        <v>46078.5</v>
      </c>
      <c r="E1525" s="52">
        <v>46078.5</v>
      </c>
      <c r="F1525" s="52">
        <v>46078.555555555555</v>
      </c>
      <c r="G1525" s="53">
        <v>5.5555555555555552E-2</v>
      </c>
      <c r="H1525" s="1" t="s">
        <v>257</v>
      </c>
      <c r="J1525" s="1" t="s">
        <v>258</v>
      </c>
      <c r="K1525" s="1" t="s">
        <v>658</v>
      </c>
      <c r="L1525" s="1" t="s">
        <v>885</v>
      </c>
      <c r="M1525" s="1" t="s">
        <v>260</v>
      </c>
      <c r="N1525" s="1" t="s">
        <v>357</v>
      </c>
      <c r="O1525" s="1" t="s">
        <v>632</v>
      </c>
      <c r="P1525" s="1" t="str">
        <f>_xlfn.CONCAT(B1525,C1525,D1525,E1525,F1525)</f>
        <v>BC Aracu5.4Inverter(MBUS-1)46078,546078,546078,5555555556</v>
      </c>
      <c r="Q1525" s="1" t="str">
        <f>_xlfn.CONCAT(H1525,I1525,J1525)</f>
        <v>DAURDE</v>
      </c>
    </row>
    <row r="1526" spans="2:17">
      <c r="B1526" s="1" t="s">
        <v>330</v>
      </c>
      <c r="C1526" s="1" t="s">
        <v>247</v>
      </c>
      <c r="D1526" s="52">
        <v>46078.5</v>
      </c>
      <c r="E1526" s="52">
        <v>46078.5</v>
      </c>
      <c r="F1526" s="52">
        <v>46078.555555555555</v>
      </c>
      <c r="G1526" s="53">
        <v>5.5555555555555552E-2</v>
      </c>
      <c r="H1526" s="1" t="s">
        <v>257</v>
      </c>
      <c r="J1526" s="1" t="s">
        <v>258</v>
      </c>
      <c r="K1526" s="1" t="s">
        <v>658</v>
      </c>
      <c r="L1526" s="1" t="s">
        <v>885</v>
      </c>
      <c r="M1526" s="1" t="s">
        <v>252</v>
      </c>
      <c r="N1526" s="1" t="s">
        <v>253</v>
      </c>
      <c r="O1526" s="1" t="s">
        <v>632</v>
      </c>
      <c r="P1526" s="1" t="str">
        <f>_xlfn.CONCAT(B1526,C1526,D1526,E1526,F1526)</f>
        <v>BC Aracu5.5Inverter(MBUS-1)46078,546078,546078,5555555556</v>
      </c>
      <c r="Q1526" s="1" t="str">
        <f>_xlfn.CONCAT(H1526,I1526,J1526)</f>
        <v>DAURDE</v>
      </c>
    </row>
    <row r="1527" spans="2:17">
      <c r="B1527" s="1" t="s">
        <v>299</v>
      </c>
      <c r="C1527" s="1" t="s">
        <v>300</v>
      </c>
      <c r="D1527" s="52">
        <v>46078.543749999997</v>
      </c>
      <c r="E1527" s="52">
        <v>46078.543749999997</v>
      </c>
      <c r="F1527" s="52">
        <v>46078.787499999999</v>
      </c>
      <c r="G1527" s="53">
        <v>0.24374999999999999</v>
      </c>
      <c r="H1527" s="1" t="s">
        <v>257</v>
      </c>
      <c r="J1527" s="1" t="s">
        <v>258</v>
      </c>
      <c r="K1527" s="1" t="s">
        <v>658</v>
      </c>
      <c r="L1527" s="1" t="s">
        <v>886</v>
      </c>
      <c r="M1527" s="1" t="s">
        <v>252</v>
      </c>
      <c r="N1527" s="1" t="s">
        <v>253</v>
      </c>
      <c r="O1527" s="1" t="s">
        <v>638</v>
      </c>
      <c r="P1527" s="1" t="str">
        <f>_xlfn.CONCAT(B1527,C1527,D1527,E1527,F1527)</f>
        <v>BC Panama1.1ITAPOAN 001 (COM1-001)_001_00146078,5437546078,5437546078,7875</v>
      </c>
      <c r="Q1527" s="1" t="str">
        <f>_xlfn.CONCAT(H1527,I1527,J1527)</f>
        <v>DAURDE</v>
      </c>
    </row>
    <row r="1528" spans="2:17">
      <c r="B1528" s="1" t="s">
        <v>299</v>
      </c>
      <c r="C1528" s="1" t="s">
        <v>303</v>
      </c>
      <c r="D1528" s="52">
        <v>46078.543749999997</v>
      </c>
      <c r="E1528" s="52">
        <v>46078.543749999997</v>
      </c>
      <c r="F1528" s="52">
        <v>46078.787499999999</v>
      </c>
      <c r="G1528" s="53">
        <v>0.24374999999999999</v>
      </c>
      <c r="H1528" s="1" t="s">
        <v>257</v>
      </c>
      <c r="J1528" s="1" t="s">
        <v>258</v>
      </c>
      <c r="K1528" s="1" t="s">
        <v>658</v>
      </c>
      <c r="L1528" s="1" t="s">
        <v>886</v>
      </c>
      <c r="M1528" s="1" t="s">
        <v>260</v>
      </c>
      <c r="N1528" s="1" t="s">
        <v>357</v>
      </c>
      <c r="O1528" s="1" t="s">
        <v>632</v>
      </c>
      <c r="P1528" s="1" t="str">
        <f>_xlfn.CONCAT(B1528,C1528,D1528,E1528,F1528)</f>
        <v>BC Panama1.1CEREAL_00246078,5437546078,5437546078,7875</v>
      </c>
      <c r="Q1528" s="1" t="str">
        <f>_xlfn.CONCAT(H1528,I1528,J1528)</f>
        <v>DAURDE</v>
      </c>
    </row>
    <row r="1529" spans="2:17">
      <c r="B1529" s="1" t="s">
        <v>299</v>
      </c>
      <c r="C1529" s="1" t="s">
        <v>304</v>
      </c>
      <c r="D1529" s="52">
        <v>46078.543749999997</v>
      </c>
      <c r="E1529" s="52">
        <v>46078.543749999997</v>
      </c>
      <c r="F1529" s="52">
        <v>46078.787499999999</v>
      </c>
      <c r="G1529" s="53">
        <v>0.24374999999999999</v>
      </c>
      <c r="H1529" s="1" t="s">
        <v>257</v>
      </c>
      <c r="J1529" s="1" t="s">
        <v>258</v>
      </c>
      <c r="K1529" s="1" t="s">
        <v>658</v>
      </c>
      <c r="L1529" s="1" t="s">
        <v>886</v>
      </c>
      <c r="M1529" s="1" t="s">
        <v>260</v>
      </c>
      <c r="N1529" s="1" t="s">
        <v>357</v>
      </c>
      <c r="O1529" s="1" t="s">
        <v>632</v>
      </c>
      <c r="P1529" s="1" t="str">
        <f>_xlfn.CONCAT(B1529,C1529,D1529,E1529,F1529)</f>
        <v>BC Panama1.1ITAPOAN_00346078,5437546078,5437546078,7875</v>
      </c>
      <c r="Q1529" s="1" t="str">
        <f>_xlfn.CONCAT(H1529,I1529,J1529)</f>
        <v>DAURDE</v>
      </c>
    </row>
    <row r="1530" spans="2:17">
      <c r="B1530" s="1" t="s">
        <v>343</v>
      </c>
      <c r="C1530" s="1" t="s">
        <v>344</v>
      </c>
      <c r="D1530" s="52">
        <v>46078.543749999997</v>
      </c>
      <c r="E1530" s="52">
        <v>46078.543749999997</v>
      </c>
      <c r="F1530" s="52">
        <v>46078.787499999999</v>
      </c>
      <c r="G1530" s="53">
        <v>0.24374999999999999</v>
      </c>
      <c r="H1530" s="1" t="s">
        <v>257</v>
      </c>
      <c r="J1530" s="1" t="s">
        <v>258</v>
      </c>
      <c r="K1530" s="1" t="s">
        <v>658</v>
      </c>
      <c r="L1530" s="1" t="s">
        <v>886</v>
      </c>
      <c r="M1530" s="1" t="s">
        <v>260</v>
      </c>
      <c r="N1530" s="1" t="s">
        <v>357</v>
      </c>
      <c r="O1530" s="1" t="s">
        <v>632</v>
      </c>
      <c r="P1530" s="1" t="str">
        <f>_xlfn.CONCAT(B1530,C1530,D1530,E1530,F1530)</f>
        <v>BC Panama1.2ART_00446078,5437546078,5437546078,7875</v>
      </c>
      <c r="Q1530" s="1" t="str">
        <f>_xlfn.CONCAT(H1530,I1530,J1530)</f>
        <v>DAURDE</v>
      </c>
    </row>
    <row r="1531" spans="2:17">
      <c r="B1531" s="1" t="s">
        <v>343</v>
      </c>
      <c r="C1531" s="1" t="s">
        <v>345</v>
      </c>
      <c r="D1531" s="52">
        <v>46078.543749999997</v>
      </c>
      <c r="E1531" s="52">
        <v>46078.543749999997</v>
      </c>
      <c r="F1531" s="52">
        <v>46078.787499999999</v>
      </c>
      <c r="G1531" s="53">
        <v>0.24374999999999999</v>
      </c>
      <c r="H1531" s="1" t="s">
        <v>257</v>
      </c>
      <c r="J1531" s="1" t="s">
        <v>258</v>
      </c>
      <c r="K1531" s="1" t="s">
        <v>658</v>
      </c>
      <c r="L1531" s="1" t="s">
        <v>886</v>
      </c>
      <c r="M1531" s="1" t="s">
        <v>260</v>
      </c>
      <c r="N1531" s="1" t="s">
        <v>357</v>
      </c>
      <c r="O1531" s="1" t="s">
        <v>632</v>
      </c>
      <c r="P1531" s="1" t="str">
        <f>_xlfn.CONCAT(B1531,C1531,D1531,E1531,F1531)</f>
        <v>BC Panama1.2COOGED_00546078,5437546078,5437546078,7875</v>
      </c>
      <c r="Q1531" s="1" t="str">
        <f>_xlfn.CONCAT(H1531,I1531,J1531)</f>
        <v>DAURDE</v>
      </c>
    </row>
    <row r="1532" spans="2:17">
      <c r="B1532" s="1" t="s">
        <v>343</v>
      </c>
      <c r="C1532" s="1" t="s">
        <v>346</v>
      </c>
      <c r="D1532" s="52">
        <v>46078.543749999997</v>
      </c>
      <c r="E1532" s="52">
        <v>46078.543749999997</v>
      </c>
      <c r="F1532" s="52">
        <v>46078.787499999999</v>
      </c>
      <c r="G1532" s="53">
        <v>0.24374999999999999</v>
      </c>
      <c r="H1532" s="1" t="s">
        <v>257</v>
      </c>
      <c r="J1532" s="1" t="s">
        <v>258</v>
      </c>
      <c r="K1532" s="1" t="s">
        <v>658</v>
      </c>
      <c r="L1532" s="1" t="s">
        <v>886</v>
      </c>
      <c r="M1532" s="1" t="s">
        <v>252</v>
      </c>
      <c r="N1532" s="1" t="s">
        <v>253</v>
      </c>
      <c r="O1532" s="1" t="s">
        <v>632</v>
      </c>
      <c r="P1532" s="1" t="str">
        <f>_xlfn.CONCAT(B1532,C1532,D1532,E1532,F1532)</f>
        <v>BC Panama1.2ART_00646078,5437546078,5437546078,7875</v>
      </c>
      <c r="Q1532" s="1" t="str">
        <f>_xlfn.CONCAT(H1532,I1532,J1532)</f>
        <v>DAURDE</v>
      </c>
    </row>
    <row r="1533" spans="2:17">
      <c r="B1533" s="1" t="s">
        <v>343</v>
      </c>
      <c r="C1533" s="1" t="s">
        <v>347</v>
      </c>
      <c r="D1533" s="52">
        <v>46078.543749999997</v>
      </c>
      <c r="E1533" s="52">
        <v>46078.543749999997</v>
      </c>
      <c r="F1533" s="52">
        <v>46078.787499999999</v>
      </c>
      <c r="G1533" s="53">
        <v>0.24374999999999999</v>
      </c>
      <c r="H1533" s="1" t="s">
        <v>257</v>
      </c>
      <c r="J1533" s="1" t="s">
        <v>258</v>
      </c>
      <c r="K1533" s="1" t="s">
        <v>658</v>
      </c>
      <c r="L1533" s="1" t="s">
        <v>886</v>
      </c>
      <c r="M1533" s="1" t="s">
        <v>260</v>
      </c>
      <c r="N1533" s="1" t="s">
        <v>357</v>
      </c>
      <c r="O1533" s="1" t="s">
        <v>632</v>
      </c>
      <c r="P1533" s="1" t="str">
        <f>_xlfn.CONCAT(B1533,C1533,D1533,E1533,F1533)</f>
        <v>BC Panama1.2RADIO_00746078,5437546078,5437546078,7875</v>
      </c>
      <c r="Q1533" s="1" t="str">
        <f>_xlfn.CONCAT(H1533,I1533,J1533)</f>
        <v>DAURDE</v>
      </c>
    </row>
    <row r="1534" spans="2:17">
      <c r="B1534" s="1" t="s">
        <v>305</v>
      </c>
      <c r="C1534" s="1" t="s">
        <v>256</v>
      </c>
      <c r="D1534" s="52">
        <v>46078.565972222219</v>
      </c>
      <c r="E1534" s="52">
        <v>46078.565972222219</v>
      </c>
      <c r="F1534" s="52">
        <v>46078.606249999997</v>
      </c>
      <c r="G1534" s="53">
        <v>4.027777777777778E-2</v>
      </c>
      <c r="H1534" s="1" t="s">
        <v>257</v>
      </c>
      <c r="J1534" s="1" t="s">
        <v>258</v>
      </c>
      <c r="K1534" s="1" t="s">
        <v>658</v>
      </c>
      <c r="L1534" s="1" t="s">
        <v>887</v>
      </c>
      <c r="M1534" s="1" t="s">
        <v>260</v>
      </c>
      <c r="N1534" s="1" t="s">
        <v>357</v>
      </c>
      <c r="O1534" s="1" t="s">
        <v>632</v>
      </c>
      <c r="P1534" s="1" t="str">
        <f>_xlfn.CONCAT(B1534,C1534,D1534,E1534,F1534)</f>
        <v>ARAGUATINS 1.1Inverter(MBUS-12)46078,565972222246078,565972222246078,60625</v>
      </c>
      <c r="Q1534" s="1" t="str">
        <f>_xlfn.CONCAT(H1534,I1534,J1534)</f>
        <v>DAURDE</v>
      </c>
    </row>
    <row r="1535" spans="2:17">
      <c r="B1535" s="1" t="s">
        <v>305</v>
      </c>
      <c r="C1535" s="1" t="s">
        <v>264</v>
      </c>
      <c r="D1535" s="52">
        <v>46078.565972222219</v>
      </c>
      <c r="E1535" s="52">
        <v>46078.565972222219</v>
      </c>
      <c r="F1535" s="52">
        <v>46078.606249999997</v>
      </c>
      <c r="G1535" s="53">
        <v>4.027777777777778E-2</v>
      </c>
      <c r="H1535" s="1" t="s">
        <v>257</v>
      </c>
      <c r="J1535" s="1" t="s">
        <v>258</v>
      </c>
      <c r="K1535" s="1" t="s">
        <v>658</v>
      </c>
      <c r="L1535" s="1" t="s">
        <v>887</v>
      </c>
      <c r="M1535" s="1" t="s">
        <v>260</v>
      </c>
      <c r="N1535" s="1" t="s">
        <v>357</v>
      </c>
      <c r="O1535" s="1" t="s">
        <v>632</v>
      </c>
      <c r="P1535" s="1" t="str">
        <f>_xlfn.CONCAT(B1535,C1535,D1535,E1535,F1535)</f>
        <v>ARAGUATINS 1.1Inverter(MBUS-13)46078,565972222246078,565972222246078,60625</v>
      </c>
      <c r="Q1535" s="1" t="str">
        <f>_xlfn.CONCAT(H1535,I1535,J1535)</f>
        <v>DAURDE</v>
      </c>
    </row>
    <row r="1536" spans="2:17">
      <c r="B1536" s="1" t="s">
        <v>305</v>
      </c>
      <c r="C1536" s="1" t="s">
        <v>263</v>
      </c>
      <c r="D1536" s="52">
        <v>46078.565972222219</v>
      </c>
      <c r="E1536" s="52">
        <v>46078.565972222219</v>
      </c>
      <c r="F1536" s="52">
        <v>46078.606249999997</v>
      </c>
      <c r="G1536" s="53">
        <v>4.027777777777778E-2</v>
      </c>
      <c r="H1536" s="1" t="s">
        <v>257</v>
      </c>
      <c r="J1536" s="1" t="s">
        <v>258</v>
      </c>
      <c r="K1536" s="1" t="s">
        <v>658</v>
      </c>
      <c r="L1536" s="1" t="s">
        <v>887</v>
      </c>
      <c r="M1536" s="1" t="s">
        <v>260</v>
      </c>
      <c r="N1536" s="1" t="s">
        <v>357</v>
      </c>
      <c r="O1536" s="1" t="s">
        <v>632</v>
      </c>
      <c r="P1536" s="1" t="str">
        <f>_xlfn.CONCAT(B1536,C1536,D1536,E1536,F1536)</f>
        <v>ARAGUATINS 1.1Inverter(MBUS-14)46078,565972222246078,565972222246078,60625</v>
      </c>
      <c r="Q1536" s="1" t="str">
        <f>_xlfn.CONCAT(H1536,I1536,J1536)</f>
        <v>DAURDE</v>
      </c>
    </row>
    <row r="1537" spans="2:17">
      <c r="B1537" s="1" t="s">
        <v>305</v>
      </c>
      <c r="C1537" s="1" t="s">
        <v>307</v>
      </c>
      <c r="D1537" s="52">
        <v>46078.565972222219</v>
      </c>
      <c r="E1537" s="52">
        <v>46078.565972222219</v>
      </c>
      <c r="F1537" s="52">
        <v>46078.606249999997</v>
      </c>
      <c r="G1537" s="53">
        <v>4.027777777777778E-2</v>
      </c>
      <c r="H1537" s="1" t="s">
        <v>257</v>
      </c>
      <c r="J1537" s="1" t="s">
        <v>258</v>
      </c>
      <c r="K1537" s="1" t="s">
        <v>658</v>
      </c>
      <c r="L1537" s="1" t="s">
        <v>887</v>
      </c>
      <c r="M1537" s="1" t="s">
        <v>260</v>
      </c>
      <c r="N1537" s="1" t="s">
        <v>357</v>
      </c>
      <c r="O1537" s="1" t="s">
        <v>632</v>
      </c>
      <c r="P1537" s="1" t="str">
        <f>_xlfn.CONCAT(B1537,C1537,D1537,E1537,F1537)</f>
        <v>ARAGUATINS 1.1Inverter(MBUS-15)46078,565972222246078,565972222246078,60625</v>
      </c>
      <c r="Q1537" s="1" t="str">
        <f>_xlfn.CONCAT(H1537,I1537,J1537)</f>
        <v>DAURDE</v>
      </c>
    </row>
    <row r="1538" spans="2:17">
      <c r="B1538" s="1" t="s">
        <v>308</v>
      </c>
      <c r="C1538" s="1" t="s">
        <v>256</v>
      </c>
      <c r="D1538" s="52">
        <v>46078.565972222219</v>
      </c>
      <c r="E1538" s="52">
        <v>46078.565972222219</v>
      </c>
      <c r="F1538" s="52">
        <v>46078.606249999997</v>
      </c>
      <c r="G1538" s="53">
        <v>4.027777777777778E-2</v>
      </c>
      <c r="H1538" s="1" t="s">
        <v>257</v>
      </c>
      <c r="J1538" s="1" t="s">
        <v>258</v>
      </c>
      <c r="K1538" s="1" t="s">
        <v>658</v>
      </c>
      <c r="L1538" s="1" t="s">
        <v>887</v>
      </c>
      <c r="M1538" s="1" t="s">
        <v>260</v>
      </c>
      <c r="N1538" s="1" t="s">
        <v>357</v>
      </c>
      <c r="O1538" s="1" t="s">
        <v>632</v>
      </c>
      <c r="P1538" s="1" t="str">
        <f>_xlfn.CONCAT(B1538,C1538,D1538,E1538,F1538)</f>
        <v>ARAGUATINS 1.2Inverter(MBUS-12)46078,565972222246078,565972222246078,60625</v>
      </c>
      <c r="Q1538" s="1" t="str">
        <f>_xlfn.CONCAT(H1538,I1538,J1538)</f>
        <v>DAURDE</v>
      </c>
    </row>
    <row r="1539" spans="2:17">
      <c r="B1539" s="1" t="s">
        <v>308</v>
      </c>
      <c r="C1539" s="1" t="s">
        <v>264</v>
      </c>
      <c r="D1539" s="52">
        <v>46078.565972222219</v>
      </c>
      <c r="E1539" s="52">
        <v>46078.565972222219</v>
      </c>
      <c r="F1539" s="52">
        <v>46078.606249999997</v>
      </c>
      <c r="G1539" s="53">
        <v>4.027777777777778E-2</v>
      </c>
      <c r="H1539" s="1" t="s">
        <v>257</v>
      </c>
      <c r="J1539" s="1" t="s">
        <v>258</v>
      </c>
      <c r="K1539" s="1" t="s">
        <v>658</v>
      </c>
      <c r="L1539" s="1" t="s">
        <v>887</v>
      </c>
      <c r="M1539" s="1" t="s">
        <v>260</v>
      </c>
      <c r="N1539" s="1" t="s">
        <v>357</v>
      </c>
      <c r="O1539" s="1" t="s">
        <v>632</v>
      </c>
      <c r="P1539" s="1" t="str">
        <f>_xlfn.CONCAT(B1539,C1539,D1539,E1539,F1539)</f>
        <v>ARAGUATINS 1.2Inverter(MBUS-13)46078,565972222246078,565972222246078,60625</v>
      </c>
      <c r="Q1539" s="1" t="str">
        <f>_xlfn.CONCAT(H1539,I1539,J1539)</f>
        <v>DAURDE</v>
      </c>
    </row>
    <row r="1540" spans="2:17">
      <c r="B1540" s="1" t="s">
        <v>308</v>
      </c>
      <c r="C1540" s="1" t="s">
        <v>263</v>
      </c>
      <c r="D1540" s="52">
        <v>46078.565972222219</v>
      </c>
      <c r="E1540" s="52">
        <v>46078.565972222219</v>
      </c>
      <c r="F1540" s="52">
        <v>46078.606249999997</v>
      </c>
      <c r="G1540" s="53">
        <v>4.027777777777778E-2</v>
      </c>
      <c r="H1540" s="1" t="s">
        <v>257</v>
      </c>
      <c r="J1540" s="1" t="s">
        <v>258</v>
      </c>
      <c r="K1540" s="1" t="s">
        <v>658</v>
      </c>
      <c r="L1540" s="1" t="s">
        <v>887</v>
      </c>
      <c r="M1540" s="1" t="s">
        <v>260</v>
      </c>
      <c r="N1540" s="1" t="s">
        <v>357</v>
      </c>
      <c r="O1540" s="1" t="s">
        <v>632</v>
      </c>
      <c r="P1540" s="1" t="str">
        <f>_xlfn.CONCAT(B1540,C1540,D1540,E1540,F1540)</f>
        <v>ARAGUATINS 1.2Inverter(MBUS-14)46078,565972222246078,565972222246078,60625</v>
      </c>
      <c r="Q1540" s="1" t="str">
        <f>_xlfn.CONCAT(H1540,I1540,J1540)</f>
        <v>DAURDE</v>
      </c>
    </row>
    <row r="1541" spans="2:17">
      <c r="B1541" s="1" t="s">
        <v>308</v>
      </c>
      <c r="C1541" s="1" t="s">
        <v>307</v>
      </c>
      <c r="D1541" s="52">
        <v>46078.565972222219</v>
      </c>
      <c r="E1541" s="52">
        <v>46078.565972222219</v>
      </c>
      <c r="F1541" s="52">
        <v>46078.606249999997</v>
      </c>
      <c r="G1541" s="53">
        <v>4.027777777777778E-2</v>
      </c>
      <c r="H1541" s="1" t="s">
        <v>257</v>
      </c>
      <c r="J1541" s="1" t="s">
        <v>258</v>
      </c>
      <c r="K1541" s="1" t="s">
        <v>658</v>
      </c>
      <c r="L1541" s="1" t="s">
        <v>887</v>
      </c>
      <c r="M1541" s="1" t="s">
        <v>260</v>
      </c>
      <c r="N1541" s="1" t="s">
        <v>357</v>
      </c>
      <c r="O1541" s="1" t="s">
        <v>632</v>
      </c>
      <c r="P1541" s="1" t="str">
        <f>_xlfn.CONCAT(B1541,C1541,D1541,E1541,F1541)</f>
        <v>ARAGUATINS 1.2Inverter(MBUS-15)46078,565972222246078,565972222246078,60625</v>
      </c>
      <c r="Q1541" s="1" t="str">
        <f>_xlfn.CONCAT(H1541,I1541,J1541)</f>
        <v>DAURDE</v>
      </c>
    </row>
    <row r="1542" spans="2:17">
      <c r="B1542" s="1" t="s">
        <v>309</v>
      </c>
      <c r="C1542" s="1" t="s">
        <v>310</v>
      </c>
      <c r="D1542" s="52">
        <v>46078.565972222219</v>
      </c>
      <c r="E1542" s="52">
        <v>46078.565972222219</v>
      </c>
      <c r="F1542" s="52">
        <v>46078.606249999997</v>
      </c>
      <c r="G1542" s="53">
        <v>4.027777777777778E-2</v>
      </c>
      <c r="H1542" s="1" t="s">
        <v>257</v>
      </c>
      <c r="J1542" s="1" t="s">
        <v>258</v>
      </c>
      <c r="K1542" s="1" t="s">
        <v>658</v>
      </c>
      <c r="L1542" s="1" t="s">
        <v>887</v>
      </c>
      <c r="M1542" s="1" t="s">
        <v>260</v>
      </c>
      <c r="N1542" s="1" t="s">
        <v>357</v>
      </c>
      <c r="O1542" s="1" t="s">
        <v>632</v>
      </c>
      <c r="P1542" s="1" t="str">
        <f>_xlfn.CONCAT(B1542,C1542,D1542,E1542,F1542)</f>
        <v>ARAGUATINS 1.3Inverter(MBUS-20)46078,565972222246078,565972222246078,60625</v>
      </c>
      <c r="Q1542" s="1" t="str">
        <f>_xlfn.CONCAT(H1542,I1542,J1542)</f>
        <v>DAURDE</v>
      </c>
    </row>
    <row r="1543" spans="2:17">
      <c r="B1543" s="1" t="s">
        <v>309</v>
      </c>
      <c r="C1543" s="1" t="s">
        <v>247</v>
      </c>
      <c r="D1543" s="52">
        <v>46078.565972222219</v>
      </c>
      <c r="E1543" s="52">
        <v>46078.565972222219</v>
      </c>
      <c r="F1543" s="52">
        <v>46078.606249999997</v>
      </c>
      <c r="G1543" s="53">
        <v>4.027777777777778E-2</v>
      </c>
      <c r="H1543" s="1" t="s">
        <v>257</v>
      </c>
      <c r="J1543" s="1" t="s">
        <v>258</v>
      </c>
      <c r="K1543" s="1" t="s">
        <v>658</v>
      </c>
      <c r="L1543" s="1" t="s">
        <v>887</v>
      </c>
      <c r="M1543" s="1" t="s">
        <v>260</v>
      </c>
      <c r="N1543" s="1" t="s">
        <v>357</v>
      </c>
      <c r="O1543" s="1" t="s">
        <v>632</v>
      </c>
      <c r="P1543" s="1" t="str">
        <f>_xlfn.CONCAT(B1543,C1543,D1543,E1543,F1543)</f>
        <v>ARAGUATINS 1.3Inverter(MBUS-1)46078,565972222246078,565972222246078,60625</v>
      </c>
      <c r="Q1543" s="1" t="str">
        <f>_xlfn.CONCAT(H1543,I1543,J1543)</f>
        <v>DAURDE</v>
      </c>
    </row>
    <row r="1544" spans="2:17">
      <c r="B1544" s="1" t="s">
        <v>255</v>
      </c>
      <c r="C1544" s="1" t="s">
        <v>256</v>
      </c>
      <c r="D1544" s="52">
        <v>46078.569444444445</v>
      </c>
      <c r="E1544" s="52">
        <v>46078.569444444445</v>
      </c>
      <c r="F1544" s="52">
        <v>46078.618055555555</v>
      </c>
      <c r="G1544" s="53">
        <v>4.8611111111111112E-2</v>
      </c>
      <c r="H1544" s="1" t="s">
        <v>257</v>
      </c>
      <c r="J1544" s="1" t="s">
        <v>258</v>
      </c>
      <c r="K1544" s="1" t="s">
        <v>658</v>
      </c>
      <c r="L1544" s="1" t="s">
        <v>888</v>
      </c>
      <c r="M1544" s="1" t="s">
        <v>260</v>
      </c>
      <c r="N1544" s="1" t="s">
        <v>357</v>
      </c>
      <c r="O1544" s="1" t="s">
        <v>632</v>
      </c>
      <c r="P1544" s="1" t="str">
        <f>_xlfn.CONCAT(B1544,C1544,D1544,E1544,F1544)</f>
        <v>BC Formoso2.1Inverter(MBUS-12)46078,569444444446078,569444444446078,6180555556</v>
      </c>
      <c r="Q1544" s="1" t="str">
        <f>_xlfn.CONCAT(H1544,I1544,J1544)</f>
        <v>DAURDE</v>
      </c>
    </row>
    <row r="1545" spans="2:17">
      <c r="B1545" s="1" t="s">
        <v>255</v>
      </c>
      <c r="C1545" s="1" t="s">
        <v>263</v>
      </c>
      <c r="D1545" s="52">
        <v>46078.569444444445</v>
      </c>
      <c r="E1545" s="52">
        <v>46078.569444444445</v>
      </c>
      <c r="F1545" s="52">
        <v>46078.618055555555</v>
      </c>
      <c r="G1545" s="53">
        <v>4.8611111111111112E-2</v>
      </c>
      <c r="H1545" s="1" t="s">
        <v>257</v>
      </c>
      <c r="J1545" s="1" t="s">
        <v>258</v>
      </c>
      <c r="K1545" s="1" t="s">
        <v>658</v>
      </c>
      <c r="L1545" s="1" t="s">
        <v>888</v>
      </c>
      <c r="M1545" s="1" t="s">
        <v>289</v>
      </c>
      <c r="N1545" s="1" t="s">
        <v>253</v>
      </c>
      <c r="O1545" s="1" t="s">
        <v>645</v>
      </c>
      <c r="P1545" s="1" t="str">
        <f>_xlfn.CONCAT(B1545,C1545,D1545,E1545,F1545)</f>
        <v>BC Formoso2.1Inverter(MBUS-14)46078,569444444446078,569444444446078,6180555556</v>
      </c>
      <c r="Q1545" s="1" t="str">
        <f>_xlfn.CONCAT(H1545,I1545,J1545)</f>
        <v>DAURDE</v>
      </c>
    </row>
    <row r="1546" spans="2:17">
      <c r="B1546" s="1" t="s">
        <v>255</v>
      </c>
      <c r="C1546" s="1" t="s">
        <v>264</v>
      </c>
      <c r="D1546" s="52">
        <v>46078.569444444445</v>
      </c>
      <c r="E1546" s="52">
        <v>46078.569444444445</v>
      </c>
      <c r="F1546" s="52">
        <v>46078.618055555555</v>
      </c>
      <c r="G1546" s="53">
        <v>4.8611111111111112E-2</v>
      </c>
      <c r="H1546" s="1" t="s">
        <v>257</v>
      </c>
      <c r="J1546" s="1" t="s">
        <v>258</v>
      </c>
      <c r="K1546" s="1" t="s">
        <v>658</v>
      </c>
      <c r="L1546" s="1" t="s">
        <v>888</v>
      </c>
      <c r="M1546" s="1" t="s">
        <v>289</v>
      </c>
      <c r="N1546" s="1" t="s">
        <v>253</v>
      </c>
      <c r="O1546" s="1" t="s">
        <v>645</v>
      </c>
      <c r="P1546" s="1" t="str">
        <f>_xlfn.CONCAT(B1546,C1546,D1546,E1546,F1546)</f>
        <v>BC Formoso2.1Inverter(MBUS-13)46078,569444444446078,569444444446078,6180555556</v>
      </c>
      <c r="Q1546" s="1" t="str">
        <f>_xlfn.CONCAT(H1546,I1546,J1546)</f>
        <v>DAURDE</v>
      </c>
    </row>
    <row r="1547" spans="2:17">
      <c r="B1547" s="1" t="s">
        <v>255</v>
      </c>
      <c r="C1547" s="1" t="s">
        <v>247</v>
      </c>
      <c r="D1547" s="52">
        <v>46078.569444444445</v>
      </c>
      <c r="E1547" s="52">
        <v>46078.569444444445</v>
      </c>
      <c r="F1547" s="52">
        <v>46078.618055555555</v>
      </c>
      <c r="G1547" s="53">
        <v>4.8611111111111112E-2</v>
      </c>
      <c r="H1547" s="1" t="s">
        <v>257</v>
      </c>
      <c r="J1547" s="1" t="s">
        <v>258</v>
      </c>
      <c r="K1547" s="1" t="s">
        <v>658</v>
      </c>
      <c r="L1547" s="1" t="s">
        <v>888</v>
      </c>
      <c r="M1547" s="1" t="s">
        <v>289</v>
      </c>
      <c r="N1547" s="1" t="s">
        <v>253</v>
      </c>
      <c r="O1547" s="1" t="s">
        <v>645</v>
      </c>
      <c r="P1547" s="1" t="str">
        <f>_xlfn.CONCAT(B1547,C1547,D1547,E1547,F1547)</f>
        <v>BC Formoso2.1Inverter(MBUS-1)46078,569444444446078,569444444446078,6180555556</v>
      </c>
      <c r="Q1547" s="1" t="str">
        <f>_xlfn.CONCAT(H1547,I1547,J1547)</f>
        <v>DAURDE</v>
      </c>
    </row>
    <row r="1548" spans="2:17">
      <c r="B1548" s="1" t="s">
        <v>265</v>
      </c>
      <c r="C1548" s="1" t="s">
        <v>263</v>
      </c>
      <c r="D1548" s="52">
        <v>46078.569444444445</v>
      </c>
      <c r="E1548" s="52">
        <v>46078.569444444445</v>
      </c>
      <c r="F1548" s="52">
        <v>46078.618055555555</v>
      </c>
      <c r="G1548" s="53">
        <v>4.8611111111111112E-2</v>
      </c>
      <c r="H1548" s="1" t="s">
        <v>257</v>
      </c>
      <c r="J1548" s="1" t="s">
        <v>258</v>
      </c>
      <c r="K1548" s="1" t="s">
        <v>658</v>
      </c>
      <c r="L1548" s="1" t="s">
        <v>888</v>
      </c>
      <c r="M1548" s="1" t="s">
        <v>289</v>
      </c>
      <c r="N1548" s="1" t="s">
        <v>253</v>
      </c>
      <c r="O1548" s="1" t="s">
        <v>645</v>
      </c>
      <c r="P1548" s="1" t="str">
        <f>_xlfn.CONCAT(B1548,C1548,D1548,E1548,F1548)</f>
        <v>BC Formoso2.2Inverter(MBUS-14)46078,569444444446078,569444444446078,6180555556</v>
      </c>
      <c r="Q1548" s="1" t="str">
        <f>_xlfn.CONCAT(H1548,I1548,J1548)</f>
        <v>DAURDE</v>
      </c>
    </row>
    <row r="1549" spans="2:17">
      <c r="B1549" s="1" t="s">
        <v>265</v>
      </c>
      <c r="C1549" s="1" t="s">
        <v>264</v>
      </c>
      <c r="D1549" s="52">
        <v>46078.569444444445</v>
      </c>
      <c r="E1549" s="52">
        <v>46078.569444444445</v>
      </c>
      <c r="F1549" s="52">
        <v>46078.618055555555</v>
      </c>
      <c r="G1549" s="53">
        <v>4.8611111111111112E-2</v>
      </c>
      <c r="H1549" s="1" t="s">
        <v>257</v>
      </c>
      <c r="J1549" s="1" t="s">
        <v>258</v>
      </c>
      <c r="K1549" s="1" t="s">
        <v>658</v>
      </c>
      <c r="L1549" s="1" t="s">
        <v>888</v>
      </c>
      <c r="M1549" s="1" t="s">
        <v>260</v>
      </c>
      <c r="N1549" s="1" t="s">
        <v>357</v>
      </c>
      <c r="O1549" s="1" t="s">
        <v>632</v>
      </c>
      <c r="P1549" s="1" t="str">
        <f>_xlfn.CONCAT(B1549,C1549,D1549,E1549,F1549)</f>
        <v>BC Formoso2.2Inverter(MBUS-13)46078,569444444446078,569444444446078,6180555556</v>
      </c>
      <c r="Q1549" s="1" t="str">
        <f>_xlfn.CONCAT(H1549,I1549,J1549)</f>
        <v>DAURDE</v>
      </c>
    </row>
    <row r="1550" spans="2:17">
      <c r="B1550" s="1" t="s">
        <v>265</v>
      </c>
      <c r="C1550" s="1" t="s">
        <v>256</v>
      </c>
      <c r="D1550" s="52">
        <v>46078.569444444445</v>
      </c>
      <c r="E1550" s="52">
        <v>46078.569444444445</v>
      </c>
      <c r="F1550" s="52">
        <v>46078.618055555555</v>
      </c>
      <c r="G1550" s="53">
        <v>4.8611111111111112E-2</v>
      </c>
      <c r="H1550" s="1" t="s">
        <v>257</v>
      </c>
      <c r="J1550" s="1" t="s">
        <v>258</v>
      </c>
      <c r="K1550" s="1" t="s">
        <v>658</v>
      </c>
      <c r="L1550" s="1" t="s">
        <v>888</v>
      </c>
      <c r="M1550" s="1" t="s">
        <v>260</v>
      </c>
      <c r="N1550" s="1" t="s">
        <v>357</v>
      </c>
      <c r="O1550" s="1" t="s">
        <v>632</v>
      </c>
      <c r="P1550" s="1" t="str">
        <f>_xlfn.CONCAT(B1550,C1550,D1550,E1550,F1550)</f>
        <v>BC Formoso2.2Inverter(MBUS-12)46078,569444444446078,569444444446078,6180555556</v>
      </c>
      <c r="Q1550" s="1" t="str">
        <f>_xlfn.CONCAT(H1550,I1550,J1550)</f>
        <v>DAURDE</v>
      </c>
    </row>
    <row r="1551" spans="2:17">
      <c r="B1551" s="1" t="s">
        <v>265</v>
      </c>
      <c r="C1551" s="1" t="s">
        <v>247</v>
      </c>
      <c r="D1551" s="52">
        <v>46078.569444444445</v>
      </c>
      <c r="E1551" s="52">
        <v>46078.569444444445</v>
      </c>
      <c r="F1551" s="52">
        <v>46078.618055555555</v>
      </c>
      <c r="G1551" s="53">
        <v>4.8611111111111112E-2</v>
      </c>
      <c r="H1551" s="1" t="s">
        <v>257</v>
      </c>
      <c r="J1551" s="1" t="s">
        <v>258</v>
      </c>
      <c r="K1551" s="1" t="s">
        <v>658</v>
      </c>
      <c r="L1551" s="1" t="s">
        <v>888</v>
      </c>
      <c r="M1551" s="1" t="s">
        <v>260</v>
      </c>
      <c r="N1551" s="1" t="s">
        <v>357</v>
      </c>
      <c r="O1551" s="1" t="s">
        <v>632</v>
      </c>
      <c r="P1551" s="1" t="str">
        <f>_xlfn.CONCAT(B1551,C1551,D1551,E1551,F1551)</f>
        <v>BC Formoso2.2Inverter(MBUS-1)46078,569444444446078,569444444446078,6180555556</v>
      </c>
      <c r="Q1551" s="1" t="str">
        <f>_xlfn.CONCAT(H1551,I1551,J1551)</f>
        <v>DAURDE</v>
      </c>
    </row>
    <row r="1552" spans="2:17">
      <c r="B1552" s="1" t="s">
        <v>355</v>
      </c>
      <c r="C1552" s="1" t="s">
        <v>264</v>
      </c>
      <c r="D1552" s="52">
        <v>46078.569444444445</v>
      </c>
      <c r="E1552" s="52">
        <v>46078.569444444445</v>
      </c>
      <c r="F1552" s="52">
        <v>46078.618055555555</v>
      </c>
      <c r="G1552" s="53">
        <v>4.8611111111111112E-2</v>
      </c>
      <c r="H1552" s="1" t="s">
        <v>257</v>
      </c>
      <c r="J1552" s="1" t="s">
        <v>258</v>
      </c>
      <c r="K1552" s="1" t="s">
        <v>658</v>
      </c>
      <c r="L1552" s="1" t="s">
        <v>888</v>
      </c>
      <c r="M1552" s="1" t="s">
        <v>260</v>
      </c>
      <c r="N1552" s="1" t="s">
        <v>357</v>
      </c>
      <c r="O1552" s="1" t="s">
        <v>632</v>
      </c>
      <c r="P1552" s="1" t="str">
        <f>_xlfn.CONCAT(B1552,C1552,D1552,E1552,F1552)</f>
        <v>BC Formoso2.3Inverter(MBUS-13)46078,569444444446078,569444444446078,6180555556</v>
      </c>
      <c r="Q1552" s="1" t="str">
        <f>_xlfn.CONCAT(H1552,I1552,J1552)</f>
        <v>DAURDE</v>
      </c>
    </row>
    <row r="1553" spans="2:17">
      <c r="B1553" s="1" t="s">
        <v>355</v>
      </c>
      <c r="C1553" s="1" t="s">
        <v>256</v>
      </c>
      <c r="D1553" s="52">
        <v>46078.569444444445</v>
      </c>
      <c r="E1553" s="52">
        <v>46078.569444444445</v>
      </c>
      <c r="F1553" s="52">
        <v>46078.618055555555</v>
      </c>
      <c r="G1553" s="53">
        <v>4.8611111111111112E-2</v>
      </c>
      <c r="H1553" s="1" t="s">
        <v>257</v>
      </c>
      <c r="J1553" s="1" t="s">
        <v>258</v>
      </c>
      <c r="K1553" s="1" t="s">
        <v>658</v>
      </c>
      <c r="L1553" s="1" t="s">
        <v>888</v>
      </c>
      <c r="M1553" s="1" t="s">
        <v>260</v>
      </c>
      <c r="N1553" s="1" t="s">
        <v>357</v>
      </c>
      <c r="O1553" s="1" t="s">
        <v>632</v>
      </c>
      <c r="P1553" s="1" t="str">
        <f>_xlfn.CONCAT(B1553,C1553,D1553,E1553,F1553)</f>
        <v>BC Formoso2.3Inverter(MBUS-12)46078,569444444446078,569444444446078,6180555556</v>
      </c>
      <c r="Q1553" s="1" t="str">
        <f>_xlfn.CONCAT(H1553,I1553,J1553)</f>
        <v>DAURDE</v>
      </c>
    </row>
    <row r="1554" spans="2:17">
      <c r="B1554" s="1" t="s">
        <v>41</v>
      </c>
      <c r="C1554" s="1" t="s">
        <v>267</v>
      </c>
      <c r="D1554" s="52">
        <v>46079.261805555558</v>
      </c>
      <c r="E1554" s="52">
        <v>46079.261805555558</v>
      </c>
      <c r="F1554" s="52">
        <v>46079.276388888888</v>
      </c>
      <c r="G1554" s="53">
        <v>1.4583333333333334E-2</v>
      </c>
      <c r="H1554" s="1" t="s">
        <v>268</v>
      </c>
      <c r="I1554" s="1" t="s">
        <v>269</v>
      </c>
      <c r="J1554" s="1" t="s">
        <v>319</v>
      </c>
      <c r="K1554" s="1" t="s">
        <v>652</v>
      </c>
      <c r="L1554" s="1" t="s">
        <v>889</v>
      </c>
      <c r="M1554" s="1" t="s">
        <v>260</v>
      </c>
      <c r="N1554" s="1" t="s">
        <v>357</v>
      </c>
      <c r="O1554" s="1" t="s">
        <v>632</v>
      </c>
      <c r="P1554" s="1" t="str">
        <f>_xlfn.CONCAT(B1554,C1554,D1554,E1554,F1554)</f>
        <v>BC Bom SucessoSG60KTL46079,261805555646079,261805555646079,2763888889</v>
      </c>
      <c r="Q1554" s="1" t="str">
        <f>_xlfn.CONCAT(H1554,I1554,J1554)</f>
        <v>LIGRFOCOM</v>
      </c>
    </row>
    <row r="1555" spans="2:17">
      <c r="B1555" s="1" t="s">
        <v>41</v>
      </c>
      <c r="C1555" s="1" t="s">
        <v>275</v>
      </c>
      <c r="D1555" s="52">
        <v>46079.261805555558</v>
      </c>
      <c r="E1555" s="52">
        <v>46079.261805555558</v>
      </c>
      <c r="F1555" s="52">
        <v>46079.276388888888</v>
      </c>
      <c r="G1555" s="53">
        <v>1.4583333333333334E-2</v>
      </c>
      <c r="H1555" s="1" t="s">
        <v>268</v>
      </c>
      <c r="I1555" s="1" t="s">
        <v>269</v>
      </c>
      <c r="J1555" s="1" t="s">
        <v>319</v>
      </c>
      <c r="K1555" s="1" t="s">
        <v>652</v>
      </c>
      <c r="L1555" s="1" t="s">
        <v>889</v>
      </c>
      <c r="M1555" s="1" t="s">
        <v>260</v>
      </c>
      <c r="N1555" s="1" t="s">
        <v>357</v>
      </c>
      <c r="O1555" s="1" t="s">
        <v>632</v>
      </c>
      <c r="P1555" s="1" t="str">
        <f>_xlfn.CONCAT(B1555,C1555,D1555,E1555,F1555)</f>
        <v>BC Bom SucessoI46079,261805555646079,261805555646079,2763888889</v>
      </c>
      <c r="Q1555" s="1" t="str">
        <f>_xlfn.CONCAT(H1555,I1555,J1555)</f>
        <v>LIGRFOCOM</v>
      </c>
    </row>
    <row r="1556" spans="2:17">
      <c r="B1556" s="1" t="s">
        <v>41</v>
      </c>
      <c r="C1556" s="1" t="s">
        <v>276</v>
      </c>
      <c r="D1556" s="52">
        <v>46079.261805555558</v>
      </c>
      <c r="E1556" s="52">
        <v>46079.261805555558</v>
      </c>
      <c r="F1556" s="52">
        <v>46079.276388888888</v>
      </c>
      <c r="G1556" s="53">
        <v>1.4583333333333334E-2</v>
      </c>
      <c r="H1556" s="1" t="s">
        <v>268</v>
      </c>
      <c r="I1556" s="1" t="s">
        <v>269</v>
      </c>
      <c r="J1556" s="1" t="s">
        <v>319</v>
      </c>
      <c r="K1556" s="1" t="s">
        <v>652</v>
      </c>
      <c r="L1556" s="1" t="s">
        <v>889</v>
      </c>
      <c r="M1556" s="1" t="s">
        <v>260</v>
      </c>
      <c r="N1556" s="1" t="s">
        <v>357</v>
      </c>
      <c r="O1556" s="1" t="s">
        <v>632</v>
      </c>
      <c r="P1556" s="1" t="str">
        <f>_xlfn.CONCAT(B1556,C1556,D1556,E1556,F1556)</f>
        <v>BC Bom SucessoG46079,261805555646079,261805555646079,2763888889</v>
      </c>
      <c r="Q1556" s="1" t="str">
        <f>_xlfn.CONCAT(H1556,I1556,J1556)</f>
        <v>LIGRFOCOM</v>
      </c>
    </row>
    <row r="1557" spans="2:17">
      <c r="B1557" s="1" t="s">
        <v>41</v>
      </c>
      <c r="C1557" s="1" t="s">
        <v>277</v>
      </c>
      <c r="D1557" s="52">
        <v>46079.261805555558</v>
      </c>
      <c r="E1557" s="52">
        <v>46079.261805555558</v>
      </c>
      <c r="F1557" s="52">
        <v>46079.276388888888</v>
      </c>
      <c r="G1557" s="53">
        <v>1.4583333333333334E-2</v>
      </c>
      <c r="H1557" s="1" t="s">
        <v>268</v>
      </c>
      <c r="I1557" s="1" t="s">
        <v>269</v>
      </c>
      <c r="J1557" s="1" t="s">
        <v>319</v>
      </c>
      <c r="K1557" s="1" t="s">
        <v>652</v>
      </c>
      <c r="L1557" s="1" t="s">
        <v>889</v>
      </c>
      <c r="M1557" s="1" t="s">
        <v>260</v>
      </c>
      <c r="N1557" s="1" t="s">
        <v>357</v>
      </c>
      <c r="O1557" s="1" t="s">
        <v>632</v>
      </c>
      <c r="P1557" s="1" t="str">
        <f>_xlfn.CONCAT(B1557,C1557,D1557,E1557,F1557)</f>
        <v>BC Bom SucessoK46079,261805555646079,261805555646079,2763888889</v>
      </c>
      <c r="Q1557" s="1" t="str">
        <f>_xlfn.CONCAT(H1557,I1557,J1557)</f>
        <v>LIGRFOCOM</v>
      </c>
    </row>
    <row r="1558" spans="2:17">
      <c r="B1558" s="1" t="s">
        <v>41</v>
      </c>
      <c r="C1558" s="1" t="s">
        <v>278</v>
      </c>
      <c r="D1558" s="52">
        <v>46079.261805555558</v>
      </c>
      <c r="E1558" s="52">
        <v>46079.261805555558</v>
      </c>
      <c r="F1558" s="52">
        <v>46079.276388888888</v>
      </c>
      <c r="G1558" s="53">
        <v>1.4583333333333334E-2</v>
      </c>
      <c r="H1558" s="1" t="s">
        <v>268</v>
      </c>
      <c r="I1558" s="1" t="s">
        <v>269</v>
      </c>
      <c r="J1558" s="1" t="s">
        <v>319</v>
      </c>
      <c r="K1558" s="1" t="s">
        <v>652</v>
      </c>
      <c r="L1558" s="1" t="s">
        <v>889</v>
      </c>
      <c r="M1558" s="1" t="s">
        <v>260</v>
      </c>
      <c r="N1558" s="1" t="s">
        <v>357</v>
      </c>
      <c r="O1558" s="1" t="s">
        <v>632</v>
      </c>
      <c r="P1558" s="1" t="str">
        <f>_xlfn.CONCAT(B1558,C1558,D1558,E1558,F1558)</f>
        <v>BC Bom SucessoH46079,261805555646079,261805555646079,2763888889</v>
      </c>
      <c r="Q1558" s="1" t="str">
        <f>_xlfn.CONCAT(H1558,I1558,J1558)</f>
        <v>LIGRFOCOM</v>
      </c>
    </row>
    <row r="1559" spans="2:17">
      <c r="B1559" s="1" t="s">
        <v>41</v>
      </c>
      <c r="C1559" s="1" t="s">
        <v>279</v>
      </c>
      <c r="D1559" s="52">
        <v>46079.261805555558</v>
      </c>
      <c r="E1559" s="52">
        <v>46079.261805555558</v>
      </c>
      <c r="F1559" s="52">
        <v>46079.276388888888</v>
      </c>
      <c r="G1559" s="53">
        <v>1.4583333333333334E-2</v>
      </c>
      <c r="H1559" s="1" t="s">
        <v>268</v>
      </c>
      <c r="I1559" s="1" t="s">
        <v>269</v>
      </c>
      <c r="J1559" s="1" t="s">
        <v>319</v>
      </c>
      <c r="K1559" s="1" t="s">
        <v>652</v>
      </c>
      <c r="L1559" s="1" t="s">
        <v>889</v>
      </c>
      <c r="M1559" s="1" t="s">
        <v>260</v>
      </c>
      <c r="N1559" s="1" t="s">
        <v>357</v>
      </c>
      <c r="O1559" s="1" t="s">
        <v>632</v>
      </c>
      <c r="P1559" s="1" t="str">
        <f>_xlfn.CONCAT(B1559,C1559,D1559,E1559,F1559)</f>
        <v>BC Bom SucessoF46079,261805555646079,261805555646079,2763888889</v>
      </c>
      <c r="Q1559" s="1" t="str">
        <f>_xlfn.CONCAT(H1559,I1559,J1559)</f>
        <v>LIGRFOCOM</v>
      </c>
    </row>
    <row r="1560" spans="2:17">
      <c r="B1560" s="1" t="s">
        <v>41</v>
      </c>
      <c r="C1560" s="1" t="s">
        <v>280</v>
      </c>
      <c r="D1560" s="52">
        <v>46079.261805555558</v>
      </c>
      <c r="E1560" s="52">
        <v>46079.261805555558</v>
      </c>
      <c r="F1560" s="52">
        <v>46079.276388888888</v>
      </c>
      <c r="G1560" s="53">
        <v>1.4583333333333334E-2</v>
      </c>
      <c r="H1560" s="1" t="s">
        <v>268</v>
      </c>
      <c r="I1560" s="1" t="s">
        <v>269</v>
      </c>
      <c r="J1560" s="1" t="s">
        <v>319</v>
      </c>
      <c r="K1560" s="1" t="s">
        <v>652</v>
      </c>
      <c r="L1560" s="1" t="s">
        <v>889</v>
      </c>
      <c r="M1560" s="1" t="s">
        <v>260</v>
      </c>
      <c r="N1560" s="1" t="s">
        <v>357</v>
      </c>
      <c r="O1560" s="1" t="s">
        <v>632</v>
      </c>
      <c r="P1560" s="1" t="str">
        <f>_xlfn.CONCAT(B1560,C1560,D1560,E1560,F1560)</f>
        <v>BC Bom SucessoD46079,261805555646079,261805555646079,2763888889</v>
      </c>
      <c r="Q1560" s="1" t="str">
        <f>_xlfn.CONCAT(H1560,I1560,J1560)</f>
        <v>LIGRFOCOM</v>
      </c>
    </row>
    <row r="1561" spans="2:17">
      <c r="B1561" s="1" t="s">
        <v>41</v>
      </c>
      <c r="C1561" s="1" t="s">
        <v>281</v>
      </c>
      <c r="D1561" s="52">
        <v>46079.261805555558</v>
      </c>
      <c r="E1561" s="52">
        <v>46079.261805555558</v>
      </c>
      <c r="F1561" s="52">
        <v>46079.276388888888</v>
      </c>
      <c r="G1561" s="53">
        <v>1.4583333333333334E-2</v>
      </c>
      <c r="H1561" s="1" t="s">
        <v>268</v>
      </c>
      <c r="I1561" s="1" t="s">
        <v>269</v>
      </c>
      <c r="J1561" s="1" t="s">
        <v>319</v>
      </c>
      <c r="K1561" s="1" t="s">
        <v>652</v>
      </c>
      <c r="L1561" s="1" t="s">
        <v>889</v>
      </c>
      <c r="M1561" s="1" t="s">
        <v>260</v>
      </c>
      <c r="N1561" s="1" t="s">
        <v>357</v>
      </c>
      <c r="O1561" s="1" t="s">
        <v>632</v>
      </c>
      <c r="P1561" s="1" t="str">
        <f>_xlfn.CONCAT(B1561,C1561,D1561,E1561,F1561)</f>
        <v>BC Bom SucessoE46079,261805555646079,261805555646079,2763888889</v>
      </c>
      <c r="Q1561" s="1" t="str">
        <f>_xlfn.CONCAT(H1561,I1561,J1561)</f>
        <v>LIGRFOCOM</v>
      </c>
    </row>
    <row r="1562" spans="2:17">
      <c r="B1562" s="1" t="s">
        <v>41</v>
      </c>
      <c r="C1562" s="1" t="s">
        <v>282</v>
      </c>
      <c r="D1562" s="52">
        <v>46079.261805555558</v>
      </c>
      <c r="E1562" s="52">
        <v>46079.261805555558</v>
      </c>
      <c r="F1562" s="52">
        <v>46079.276388888888</v>
      </c>
      <c r="G1562" s="53">
        <v>1.4583333333333334E-2</v>
      </c>
      <c r="H1562" s="1" t="s">
        <v>268</v>
      </c>
      <c r="I1562" s="1" t="s">
        <v>269</v>
      </c>
      <c r="J1562" s="1" t="s">
        <v>319</v>
      </c>
      <c r="K1562" s="1" t="s">
        <v>652</v>
      </c>
      <c r="L1562" s="1" t="s">
        <v>889</v>
      </c>
      <c r="M1562" s="1" t="s">
        <v>260</v>
      </c>
      <c r="N1562" s="1" t="s">
        <v>357</v>
      </c>
      <c r="O1562" s="1" t="s">
        <v>632</v>
      </c>
      <c r="P1562" s="1" t="str">
        <f>_xlfn.CONCAT(B1562,C1562,D1562,E1562,F1562)</f>
        <v>BC Bom SucessoC46079,261805555646079,261805555646079,2763888889</v>
      </c>
      <c r="Q1562" s="1" t="str">
        <f>_xlfn.CONCAT(H1562,I1562,J1562)</f>
        <v>LIGRFOCOM</v>
      </c>
    </row>
    <row r="1563" spans="2:17">
      <c r="B1563" s="1" t="s">
        <v>41</v>
      </c>
      <c r="C1563" s="1" t="s">
        <v>283</v>
      </c>
      <c r="D1563" s="52">
        <v>46079.261805555558</v>
      </c>
      <c r="E1563" s="52">
        <v>46079.261805555558</v>
      </c>
      <c r="F1563" s="52">
        <v>46079.276388888888</v>
      </c>
      <c r="G1563" s="53">
        <v>1.4583333333333334E-2</v>
      </c>
      <c r="H1563" s="1" t="s">
        <v>268</v>
      </c>
      <c r="I1563" s="1" t="s">
        <v>269</v>
      </c>
      <c r="J1563" s="1" t="s">
        <v>319</v>
      </c>
      <c r="K1563" s="1" t="s">
        <v>652</v>
      </c>
      <c r="L1563" s="1" t="s">
        <v>889</v>
      </c>
      <c r="M1563" s="1" t="s">
        <v>260</v>
      </c>
      <c r="N1563" s="1" t="s">
        <v>357</v>
      </c>
      <c r="O1563" s="1" t="s">
        <v>632</v>
      </c>
      <c r="P1563" s="1" t="str">
        <f>_xlfn.CONCAT(B1563,C1563,D1563,E1563,F1563)</f>
        <v>BC Bom SucessoB46079,261805555646079,261805555646079,2763888889</v>
      </c>
      <c r="Q1563" s="1" t="str">
        <f>_xlfn.CONCAT(H1563,I1563,J1563)</f>
        <v>LIGRFOCOM</v>
      </c>
    </row>
    <row r="1564" spans="2:17">
      <c r="B1564" s="1" t="s">
        <v>41</v>
      </c>
      <c r="C1564" s="1" t="s">
        <v>284</v>
      </c>
      <c r="D1564" s="52">
        <v>46079.261805555558</v>
      </c>
      <c r="E1564" s="52">
        <v>46079.261805555558</v>
      </c>
      <c r="F1564" s="52">
        <v>46079.276388888888</v>
      </c>
      <c r="G1564" s="53">
        <v>1.4583333333333334E-2</v>
      </c>
      <c r="H1564" s="1" t="s">
        <v>268</v>
      </c>
      <c r="I1564" s="1" t="s">
        <v>269</v>
      </c>
      <c r="J1564" s="1" t="s">
        <v>319</v>
      </c>
      <c r="K1564" s="1" t="s">
        <v>652</v>
      </c>
      <c r="L1564" s="1" t="s">
        <v>889</v>
      </c>
      <c r="M1564" s="1" t="s">
        <v>260</v>
      </c>
      <c r="N1564" s="1" t="s">
        <v>357</v>
      </c>
      <c r="O1564" s="1" t="s">
        <v>632</v>
      </c>
      <c r="P1564" s="1" t="str">
        <f>_xlfn.CONCAT(B1564,C1564,D1564,E1564,F1564)</f>
        <v>BC Bom SucessoA46079,261805555646079,261805555646079,2763888889</v>
      </c>
      <c r="Q1564" s="1" t="str">
        <f>_xlfn.CONCAT(H1564,I1564,J1564)</f>
        <v>LIGRFOCOM</v>
      </c>
    </row>
    <row r="1565" spans="2:17">
      <c r="B1565" s="1" t="s">
        <v>41</v>
      </c>
      <c r="C1565" s="1" t="s">
        <v>285</v>
      </c>
      <c r="D1565" s="52">
        <v>46079.261805555558</v>
      </c>
      <c r="E1565" s="52">
        <v>46079.261805555558</v>
      </c>
      <c r="F1565" s="52">
        <v>46079.276388888888</v>
      </c>
      <c r="G1565" s="53">
        <v>1.4583333333333334E-2</v>
      </c>
      <c r="H1565" s="1" t="s">
        <v>268</v>
      </c>
      <c r="I1565" s="1" t="s">
        <v>269</v>
      </c>
      <c r="J1565" s="1" t="s">
        <v>319</v>
      </c>
      <c r="K1565" s="1" t="s">
        <v>652</v>
      </c>
      <c r="L1565" s="1" t="s">
        <v>889</v>
      </c>
      <c r="M1565" s="1" t="s">
        <v>260</v>
      </c>
      <c r="N1565" s="1" t="s">
        <v>357</v>
      </c>
      <c r="O1565" s="1" t="s">
        <v>632</v>
      </c>
      <c r="P1565" s="1" t="str">
        <f>_xlfn.CONCAT(B1565,C1565,D1565,E1565,F1565)</f>
        <v>BC Bom SucessoJ46079,261805555646079,261805555646079,2763888889</v>
      </c>
      <c r="Q1565" s="1" t="str">
        <f>_xlfn.CONCAT(H1565,I1565,J1565)</f>
        <v>LIGRFOCOM</v>
      </c>
    </row>
    <row r="1566" spans="2:17">
      <c r="B1566" s="1" t="s">
        <v>529</v>
      </c>
      <c r="C1566" s="1" t="s">
        <v>530</v>
      </c>
      <c r="D1566" s="52">
        <v>46079.393055555556</v>
      </c>
      <c r="E1566" s="52">
        <v>46079.393055555556</v>
      </c>
      <c r="F1566" s="52">
        <v>46079.479166666664</v>
      </c>
      <c r="G1566" s="53">
        <v>8.611111111111111E-2</v>
      </c>
      <c r="H1566" s="1" t="s">
        <v>677</v>
      </c>
      <c r="J1566" s="1" t="s">
        <v>249</v>
      </c>
      <c r="K1566" s="1" t="s">
        <v>250</v>
      </c>
      <c r="L1566" s="1" t="s">
        <v>890</v>
      </c>
      <c r="M1566" s="1" t="s">
        <v>260</v>
      </c>
      <c r="N1566" s="1" t="s">
        <v>357</v>
      </c>
      <c r="O1566" s="1" t="s">
        <v>632</v>
      </c>
      <c r="P1566" s="1" t="str">
        <f>_xlfn.CONCAT(B1566,C1566,D1566,E1566,F1566)</f>
        <v>BC Barra1Inverter__546079,393055555646079,393055555646079,4791666667</v>
      </c>
      <c r="Q1566" s="1" t="str">
        <f>_xlfn.CONCAT(H1566,I1566,J1566)</f>
        <v>DPRTRF</v>
      </c>
    </row>
    <row r="1567" spans="2:17">
      <c r="B1567" s="1" t="s">
        <v>529</v>
      </c>
      <c r="C1567" s="1" t="s">
        <v>876</v>
      </c>
      <c r="D1567" s="52">
        <v>46079.393055555556</v>
      </c>
      <c r="E1567" s="52">
        <v>46079.393055555556</v>
      </c>
      <c r="F1567" s="52">
        <v>46079.479166666664</v>
      </c>
      <c r="G1567" s="53">
        <v>8.611111111111111E-2</v>
      </c>
      <c r="H1567" s="1" t="s">
        <v>677</v>
      </c>
      <c r="J1567" s="1" t="s">
        <v>249</v>
      </c>
      <c r="K1567" s="1" t="s">
        <v>250</v>
      </c>
      <c r="L1567" s="1" t="s">
        <v>890</v>
      </c>
      <c r="M1567" s="1" t="s">
        <v>260</v>
      </c>
      <c r="N1567" s="1" t="s">
        <v>357</v>
      </c>
      <c r="O1567" s="1" t="s">
        <v>632</v>
      </c>
      <c r="P1567" s="1" t="str">
        <f>_xlfn.CONCAT(B1567,C1567,D1567,E1567,F1567)</f>
        <v>BC Barra1Inverter__146079,393055555646079,393055555646079,4791666667</v>
      </c>
      <c r="Q1567" s="1" t="str">
        <f>_xlfn.CONCAT(H1567,I1567,J1567)</f>
        <v>DPRTRF</v>
      </c>
    </row>
    <row r="1568" spans="2:17">
      <c r="B1568" s="1" t="s">
        <v>529</v>
      </c>
      <c r="C1568" s="1" t="s">
        <v>877</v>
      </c>
      <c r="D1568" s="52">
        <v>46079.393055555556</v>
      </c>
      <c r="E1568" s="52">
        <v>46079.393055555556</v>
      </c>
      <c r="F1568" s="52">
        <v>46079.479166666664</v>
      </c>
      <c r="G1568" s="53">
        <v>8.611111111111111E-2</v>
      </c>
      <c r="H1568" s="1" t="s">
        <v>677</v>
      </c>
      <c r="J1568" s="1" t="s">
        <v>249</v>
      </c>
      <c r="K1568" s="1" t="s">
        <v>250</v>
      </c>
      <c r="L1568" s="1" t="s">
        <v>890</v>
      </c>
      <c r="M1568" s="1" t="s">
        <v>260</v>
      </c>
      <c r="N1568" s="1" t="s">
        <v>357</v>
      </c>
      <c r="O1568" s="1" t="s">
        <v>632</v>
      </c>
      <c r="P1568" s="1" t="str">
        <f>_xlfn.CONCAT(B1568,C1568,D1568,E1568,F1568)</f>
        <v>BC Barra1Inverter__446079,393055555646079,393055555646079,4791666667</v>
      </c>
      <c r="Q1568" s="1" t="str">
        <f>_xlfn.CONCAT(H1568,I1568,J1568)</f>
        <v>DPRTRF</v>
      </c>
    </row>
    <row r="1569" spans="2:17">
      <c r="B1569" s="1" t="s">
        <v>529</v>
      </c>
      <c r="C1569" s="1" t="s">
        <v>878</v>
      </c>
      <c r="D1569" s="52">
        <v>46079.393055555556</v>
      </c>
      <c r="E1569" s="52">
        <v>46079.393055555556</v>
      </c>
      <c r="F1569" s="52">
        <v>46079.479166666664</v>
      </c>
      <c r="G1569" s="53">
        <v>8.611111111111111E-2</v>
      </c>
      <c r="H1569" s="1" t="s">
        <v>677</v>
      </c>
      <c r="J1569" s="1" t="s">
        <v>249</v>
      </c>
      <c r="K1569" s="1" t="s">
        <v>250</v>
      </c>
      <c r="L1569" s="1" t="s">
        <v>890</v>
      </c>
      <c r="M1569" s="1" t="s">
        <v>260</v>
      </c>
      <c r="N1569" s="1" t="s">
        <v>357</v>
      </c>
      <c r="O1569" s="1" t="s">
        <v>632</v>
      </c>
      <c r="P1569" s="1" t="str">
        <f>_xlfn.CONCAT(B1569,C1569,D1569,E1569,F1569)</f>
        <v>BC Barra1Inverter__346079,393055555646079,393055555646079,4791666667</v>
      </c>
      <c r="Q1569" s="1" t="str">
        <f>_xlfn.CONCAT(H1569,I1569,J1569)</f>
        <v>DPRTRF</v>
      </c>
    </row>
    <row r="1570" spans="2:17">
      <c r="B1570" s="1" t="s">
        <v>529</v>
      </c>
      <c r="C1570" s="1" t="s">
        <v>879</v>
      </c>
      <c r="D1570" s="52">
        <v>46079.393055555556</v>
      </c>
      <c r="E1570" s="52">
        <v>46079.393055555556</v>
      </c>
      <c r="F1570" s="52">
        <v>46079.479166666664</v>
      </c>
      <c r="G1570" s="53">
        <v>8.611111111111111E-2</v>
      </c>
      <c r="H1570" s="1" t="s">
        <v>677</v>
      </c>
      <c r="J1570" s="1" t="s">
        <v>249</v>
      </c>
      <c r="K1570" s="1" t="s">
        <v>250</v>
      </c>
      <c r="L1570" s="1" t="s">
        <v>890</v>
      </c>
      <c r="M1570" s="1" t="s">
        <v>260</v>
      </c>
      <c r="N1570" s="1" t="s">
        <v>357</v>
      </c>
      <c r="O1570" s="1" t="s">
        <v>632</v>
      </c>
      <c r="P1570" s="1" t="str">
        <f>_xlfn.CONCAT(B1570,C1570,D1570,E1570,F1570)</f>
        <v>BC Barra1Inverter__246079,393055555646079,393055555646079,4791666667</v>
      </c>
      <c r="Q1570" s="1" t="str">
        <f>_xlfn.CONCAT(H1570,I1570,J1570)</f>
        <v>DPRTRF</v>
      </c>
    </row>
    <row r="1571" spans="2:17">
      <c r="B1571" s="1" t="s">
        <v>529</v>
      </c>
      <c r="C1571" s="1" t="s">
        <v>880</v>
      </c>
      <c r="D1571" s="52">
        <v>46079.393055555556</v>
      </c>
      <c r="E1571" s="52">
        <v>46079.393055555556</v>
      </c>
      <c r="F1571" s="52">
        <v>46079.479166666664</v>
      </c>
      <c r="G1571" s="53">
        <v>8.611111111111111E-2</v>
      </c>
      <c r="H1571" s="1" t="s">
        <v>677</v>
      </c>
      <c r="J1571" s="1" t="s">
        <v>249</v>
      </c>
      <c r="K1571" s="1" t="s">
        <v>250</v>
      </c>
      <c r="L1571" s="1" t="s">
        <v>890</v>
      </c>
      <c r="M1571" s="1" t="s">
        <v>260</v>
      </c>
      <c r="N1571" s="1" t="s">
        <v>357</v>
      </c>
      <c r="O1571" s="1" t="s">
        <v>632</v>
      </c>
      <c r="P1571" s="1" t="str">
        <f>_xlfn.CONCAT(B1571,C1571,D1571,E1571,F1571)</f>
        <v>BC Barra1Inverter__746079,393055555646079,393055555646079,4791666667</v>
      </c>
      <c r="Q1571" s="1" t="str">
        <f>_xlfn.CONCAT(H1571,I1571,J1571)</f>
        <v>DPRTRF</v>
      </c>
    </row>
    <row r="1572" spans="2:17">
      <c r="B1572" s="1" t="s">
        <v>529</v>
      </c>
      <c r="C1572" s="1" t="s">
        <v>881</v>
      </c>
      <c r="D1572" s="52">
        <v>46079.393055555556</v>
      </c>
      <c r="E1572" s="52">
        <v>46079.393055555556</v>
      </c>
      <c r="F1572" s="52">
        <v>46079.479166666664</v>
      </c>
      <c r="G1572" s="53">
        <v>8.611111111111111E-2</v>
      </c>
      <c r="H1572" s="1" t="s">
        <v>677</v>
      </c>
      <c r="J1572" s="1" t="s">
        <v>249</v>
      </c>
      <c r="K1572" s="1" t="s">
        <v>250</v>
      </c>
      <c r="L1572" s="1" t="s">
        <v>890</v>
      </c>
      <c r="M1572" s="1" t="s">
        <v>260</v>
      </c>
      <c r="N1572" s="1" t="s">
        <v>357</v>
      </c>
      <c r="O1572" s="1" t="s">
        <v>632</v>
      </c>
      <c r="P1572" s="1" t="str">
        <f>_xlfn.CONCAT(B1572,C1572,D1572,E1572,F1572)</f>
        <v>BC Barra1Inverter__946079,393055555646079,393055555646079,4791666667</v>
      </c>
      <c r="Q1572" s="1" t="str">
        <f>_xlfn.CONCAT(H1572,I1572,J1572)</f>
        <v>DPRTRF</v>
      </c>
    </row>
    <row r="1573" spans="2:17">
      <c r="B1573" s="1" t="s">
        <v>529</v>
      </c>
      <c r="C1573" s="1" t="s">
        <v>882</v>
      </c>
      <c r="D1573" s="52">
        <v>46079.393055555556</v>
      </c>
      <c r="E1573" s="52">
        <v>46079.393055555556</v>
      </c>
      <c r="F1573" s="52">
        <v>46079.479166666664</v>
      </c>
      <c r="G1573" s="53">
        <v>8.611111111111111E-2</v>
      </c>
      <c r="H1573" s="1" t="s">
        <v>677</v>
      </c>
      <c r="J1573" s="1" t="s">
        <v>249</v>
      </c>
      <c r="K1573" s="1" t="s">
        <v>250</v>
      </c>
      <c r="L1573" s="1" t="s">
        <v>890</v>
      </c>
      <c r="M1573" s="1" t="s">
        <v>260</v>
      </c>
      <c r="N1573" s="1" t="s">
        <v>357</v>
      </c>
      <c r="O1573" s="1" t="s">
        <v>632</v>
      </c>
      <c r="P1573" s="1" t="str">
        <f>_xlfn.CONCAT(B1573,C1573,D1573,E1573,F1573)</f>
        <v>BC Barra1Inverter__846079,393055555646079,393055555646079,4791666667</v>
      </c>
      <c r="Q1573" s="1" t="str">
        <f>_xlfn.CONCAT(H1573,I1573,J1573)</f>
        <v>DPRTRF</v>
      </c>
    </row>
    <row r="1574" spans="2:17">
      <c r="B1574" s="1" t="s">
        <v>529</v>
      </c>
      <c r="C1574" s="1" t="s">
        <v>883</v>
      </c>
      <c r="D1574" s="52">
        <v>46079.393055555556</v>
      </c>
      <c r="E1574" s="52">
        <v>46079.393055555556</v>
      </c>
      <c r="F1574" s="52">
        <v>46079.479166666664</v>
      </c>
      <c r="G1574" s="53">
        <v>8.611111111111111E-2</v>
      </c>
      <c r="H1574" s="1" t="s">
        <v>677</v>
      </c>
      <c r="J1574" s="1" t="s">
        <v>249</v>
      </c>
      <c r="K1574" s="1" t="s">
        <v>250</v>
      </c>
      <c r="L1574" s="1" t="s">
        <v>890</v>
      </c>
      <c r="M1574" s="1" t="s">
        <v>260</v>
      </c>
      <c r="N1574" s="1" t="s">
        <v>357</v>
      </c>
      <c r="O1574" s="1" t="s">
        <v>632</v>
      </c>
      <c r="P1574" s="1" t="str">
        <f>_xlfn.CONCAT(B1574,C1574,D1574,E1574,F1574)</f>
        <v>BC Barra1Inverter__1046079,393055555646079,393055555646079,4791666667</v>
      </c>
      <c r="Q1574" s="1" t="str">
        <f>_xlfn.CONCAT(H1574,I1574,J1574)</f>
        <v>DPRTRF</v>
      </c>
    </row>
    <row r="1575" spans="2:17">
      <c r="B1575" s="1" t="s">
        <v>529</v>
      </c>
      <c r="C1575" s="1" t="s">
        <v>884</v>
      </c>
      <c r="D1575" s="52">
        <v>46079.393055555556</v>
      </c>
      <c r="E1575" s="52">
        <v>46079.393055555556</v>
      </c>
      <c r="F1575" s="52">
        <v>46079.479166666664</v>
      </c>
      <c r="G1575" s="53">
        <v>8.611111111111111E-2</v>
      </c>
      <c r="H1575" s="1" t="s">
        <v>677</v>
      </c>
      <c r="J1575" s="1" t="s">
        <v>249</v>
      </c>
      <c r="K1575" s="1" t="s">
        <v>250</v>
      </c>
      <c r="L1575" s="1" t="s">
        <v>890</v>
      </c>
      <c r="M1575" s="1" t="s">
        <v>260</v>
      </c>
      <c r="N1575" s="1" t="s">
        <v>357</v>
      </c>
      <c r="O1575" s="1" t="s">
        <v>632</v>
      </c>
      <c r="P1575" s="1" t="str">
        <f>_xlfn.CONCAT(B1575,C1575,D1575,E1575,F1575)</f>
        <v>BC Barra1Inverter__646079,393055555646079,393055555646079,4791666667</v>
      </c>
      <c r="Q1575" s="1" t="str">
        <f>_xlfn.CONCAT(H1575,I1575,J1575)</f>
        <v>DPRTRF</v>
      </c>
    </row>
    <row r="1576" spans="2:17">
      <c r="B1576" s="1" t="s">
        <v>803</v>
      </c>
      <c r="C1576" s="1" t="s">
        <v>264</v>
      </c>
      <c r="D1576" s="52">
        <v>46079.576388888891</v>
      </c>
      <c r="E1576" s="52">
        <v>46079.576388888891</v>
      </c>
      <c r="F1576" s="52">
        <v>46079.615972222222</v>
      </c>
      <c r="G1576" s="53">
        <v>3.9583333333333331E-2</v>
      </c>
      <c r="H1576" s="1" t="s">
        <v>268</v>
      </c>
      <c r="I1576" s="1" t="s">
        <v>269</v>
      </c>
      <c r="J1576" s="1" t="s">
        <v>319</v>
      </c>
      <c r="K1576" s="1" t="s">
        <v>652</v>
      </c>
      <c r="L1576" s="1" t="s">
        <v>889</v>
      </c>
    </row>
    <row r="1577" spans="2:17">
      <c r="B1577" s="1" t="s">
        <v>803</v>
      </c>
      <c r="C1577" s="1" t="s">
        <v>256</v>
      </c>
      <c r="D1577" s="52">
        <v>46079.576388888891</v>
      </c>
      <c r="E1577" s="52">
        <v>46079.576388888891</v>
      </c>
      <c r="F1577" s="52">
        <v>46079.615972222222</v>
      </c>
      <c r="G1577" s="53">
        <v>3.9583333333333331E-2</v>
      </c>
      <c r="H1577" s="1" t="s">
        <v>268</v>
      </c>
      <c r="I1577" s="1" t="s">
        <v>269</v>
      </c>
      <c r="J1577" s="1" t="s">
        <v>319</v>
      </c>
      <c r="K1577" s="1" t="s">
        <v>652</v>
      </c>
      <c r="L1577" s="1" t="s">
        <v>889</v>
      </c>
    </row>
    <row r="1578" spans="2:17">
      <c r="B1578" s="1" t="s">
        <v>803</v>
      </c>
      <c r="C1578" s="1" t="s">
        <v>307</v>
      </c>
      <c r="D1578" s="52">
        <v>46079.576388888891</v>
      </c>
      <c r="E1578" s="52">
        <v>46079.576388888891</v>
      </c>
      <c r="F1578" s="52">
        <v>46079.615972222222</v>
      </c>
      <c r="G1578" s="53">
        <v>3.9583333333333331E-2</v>
      </c>
      <c r="H1578" s="1" t="s">
        <v>268</v>
      </c>
      <c r="I1578" s="1" t="s">
        <v>269</v>
      </c>
      <c r="J1578" s="1" t="s">
        <v>319</v>
      </c>
      <c r="K1578" s="1" t="s">
        <v>652</v>
      </c>
      <c r="L1578" s="1" t="s">
        <v>889</v>
      </c>
    </row>
    <row r="1579" spans="2:17">
      <c r="B1579" s="1" t="s">
        <v>803</v>
      </c>
      <c r="C1579" s="1" t="s">
        <v>263</v>
      </c>
      <c r="D1579" s="52">
        <v>46079.576388888891</v>
      </c>
      <c r="E1579" s="52">
        <v>46079.576388888891</v>
      </c>
      <c r="F1579" s="52">
        <v>46079.615972222222</v>
      </c>
      <c r="G1579" s="53">
        <v>3.9583333333333331E-2</v>
      </c>
      <c r="H1579" s="1" t="s">
        <v>268</v>
      </c>
      <c r="I1579" s="1" t="s">
        <v>269</v>
      </c>
      <c r="J1579" s="1" t="s">
        <v>319</v>
      </c>
      <c r="K1579" s="1" t="s">
        <v>652</v>
      </c>
      <c r="L1579" s="1" t="s">
        <v>889</v>
      </c>
    </row>
    <row r="1580" spans="2:17">
      <c r="B1580" s="1" t="s">
        <v>305</v>
      </c>
      <c r="C1580" s="1" t="s">
        <v>256</v>
      </c>
      <c r="D1580" s="52">
        <v>46079.652777777781</v>
      </c>
      <c r="E1580" s="52">
        <v>46079.652777777781</v>
      </c>
      <c r="F1580" s="52">
        <v>46079.685416666667</v>
      </c>
      <c r="G1580" s="53">
        <v>3.2638888888888891E-2</v>
      </c>
      <c r="H1580" s="1" t="s">
        <v>257</v>
      </c>
      <c r="J1580" s="1" t="s">
        <v>258</v>
      </c>
      <c r="K1580" s="1" t="s">
        <v>658</v>
      </c>
      <c r="L1580" s="1" t="s">
        <v>891</v>
      </c>
    </row>
    <row r="1581" spans="2:17">
      <c r="B1581" s="1" t="s">
        <v>305</v>
      </c>
      <c r="C1581" s="1" t="s">
        <v>264</v>
      </c>
      <c r="D1581" s="52">
        <v>46079.652777777781</v>
      </c>
      <c r="E1581" s="52">
        <v>46079.652777777781</v>
      </c>
      <c r="F1581" s="52">
        <v>46079.685416666667</v>
      </c>
      <c r="G1581" s="53">
        <v>3.2638888888888891E-2</v>
      </c>
      <c r="H1581" s="1" t="s">
        <v>257</v>
      </c>
      <c r="J1581" s="1" t="s">
        <v>258</v>
      </c>
      <c r="K1581" s="1" t="s">
        <v>658</v>
      </c>
      <c r="L1581" s="1" t="s">
        <v>891</v>
      </c>
    </row>
    <row r="1582" spans="2:17">
      <c r="B1582" s="1" t="s">
        <v>305</v>
      </c>
      <c r="C1582" s="1" t="s">
        <v>263</v>
      </c>
      <c r="D1582" s="52">
        <v>46079.652777777781</v>
      </c>
      <c r="E1582" s="52">
        <v>46079.652777777781</v>
      </c>
      <c r="F1582" s="52">
        <v>46079.685416666667</v>
      </c>
      <c r="G1582" s="53">
        <v>3.2638888888888891E-2</v>
      </c>
      <c r="H1582" s="1" t="s">
        <v>257</v>
      </c>
      <c r="J1582" s="1" t="s">
        <v>258</v>
      </c>
      <c r="K1582" s="1" t="s">
        <v>658</v>
      </c>
      <c r="L1582" s="1" t="s">
        <v>891</v>
      </c>
    </row>
    <row r="1583" spans="2:17">
      <c r="B1583" s="1" t="s">
        <v>305</v>
      </c>
      <c r="C1583" s="1" t="s">
        <v>307</v>
      </c>
      <c r="D1583" s="52">
        <v>46079.652777777781</v>
      </c>
      <c r="E1583" s="52">
        <v>46079.652777777781</v>
      </c>
      <c r="F1583" s="52">
        <v>46079.685416666667</v>
      </c>
      <c r="G1583" s="53">
        <v>3.2638888888888891E-2</v>
      </c>
      <c r="H1583" s="1" t="s">
        <v>257</v>
      </c>
      <c r="J1583" s="1" t="s">
        <v>258</v>
      </c>
      <c r="K1583" s="1" t="s">
        <v>658</v>
      </c>
      <c r="L1583" s="1" t="s">
        <v>891</v>
      </c>
    </row>
    <row r="1584" spans="2:17">
      <c r="B1584" s="1" t="s">
        <v>308</v>
      </c>
      <c r="C1584" s="1" t="s">
        <v>256</v>
      </c>
      <c r="D1584" s="52">
        <v>46079.652777777781</v>
      </c>
      <c r="E1584" s="52">
        <v>46079.652777777781</v>
      </c>
      <c r="F1584" s="52">
        <v>46079.685416666667</v>
      </c>
      <c r="G1584" s="53">
        <v>3.2638888888888891E-2</v>
      </c>
      <c r="H1584" s="1" t="s">
        <v>257</v>
      </c>
      <c r="J1584" s="1" t="s">
        <v>258</v>
      </c>
      <c r="K1584" s="1" t="s">
        <v>658</v>
      </c>
      <c r="L1584" s="1" t="s">
        <v>891</v>
      </c>
    </row>
    <row r="1585" spans="2:12">
      <c r="B1585" s="1" t="s">
        <v>308</v>
      </c>
      <c r="C1585" s="1" t="s">
        <v>264</v>
      </c>
      <c r="D1585" s="52">
        <v>46079.652777777781</v>
      </c>
      <c r="E1585" s="52">
        <v>46079.652777777781</v>
      </c>
      <c r="F1585" s="52">
        <v>46079.685416666667</v>
      </c>
      <c r="G1585" s="53">
        <v>3.2638888888888891E-2</v>
      </c>
      <c r="H1585" s="1" t="s">
        <v>257</v>
      </c>
      <c r="J1585" s="1" t="s">
        <v>258</v>
      </c>
      <c r="K1585" s="1" t="s">
        <v>658</v>
      </c>
      <c r="L1585" s="1" t="s">
        <v>891</v>
      </c>
    </row>
    <row r="1586" spans="2:12">
      <c r="B1586" s="1" t="s">
        <v>308</v>
      </c>
      <c r="C1586" s="1" t="s">
        <v>263</v>
      </c>
      <c r="D1586" s="52">
        <v>46079.652777777781</v>
      </c>
      <c r="E1586" s="52">
        <v>46079.652777777781</v>
      </c>
      <c r="F1586" s="52">
        <v>46079.685416666667</v>
      </c>
      <c r="G1586" s="53">
        <v>3.2638888888888891E-2</v>
      </c>
      <c r="H1586" s="1" t="s">
        <v>257</v>
      </c>
      <c r="J1586" s="1" t="s">
        <v>258</v>
      </c>
      <c r="K1586" s="1" t="s">
        <v>658</v>
      </c>
      <c r="L1586" s="1" t="s">
        <v>891</v>
      </c>
    </row>
    <row r="1587" spans="2:12">
      <c r="B1587" s="1" t="s">
        <v>308</v>
      </c>
      <c r="C1587" s="1" t="s">
        <v>307</v>
      </c>
      <c r="D1587" s="52">
        <v>46079.652777777781</v>
      </c>
      <c r="E1587" s="52">
        <v>46079.652777777781</v>
      </c>
      <c r="F1587" s="52">
        <v>46079.685416666667</v>
      </c>
      <c r="G1587" s="53">
        <v>3.2638888888888891E-2</v>
      </c>
      <c r="H1587" s="1" t="s">
        <v>257</v>
      </c>
      <c r="J1587" s="1" t="s">
        <v>258</v>
      </c>
      <c r="K1587" s="1" t="s">
        <v>658</v>
      </c>
      <c r="L1587" s="1" t="s">
        <v>891</v>
      </c>
    </row>
    <row r="1588" spans="2:12">
      <c r="B1588" s="1" t="s">
        <v>309</v>
      </c>
      <c r="C1588" s="1" t="s">
        <v>310</v>
      </c>
      <c r="D1588" s="52">
        <v>46079.652777777781</v>
      </c>
      <c r="E1588" s="52">
        <v>46079.652777777781</v>
      </c>
      <c r="F1588" s="52">
        <v>46079.685416666667</v>
      </c>
      <c r="G1588" s="53">
        <v>3.2638888888888891E-2</v>
      </c>
      <c r="H1588" s="1" t="s">
        <v>257</v>
      </c>
      <c r="J1588" s="1" t="s">
        <v>258</v>
      </c>
      <c r="K1588" s="1" t="s">
        <v>658</v>
      </c>
      <c r="L1588" s="1" t="s">
        <v>891</v>
      </c>
    </row>
    <row r="1589" spans="2:12">
      <c r="B1589" s="1" t="s">
        <v>309</v>
      </c>
      <c r="C1589" s="1" t="s">
        <v>247</v>
      </c>
      <c r="D1589" s="52">
        <v>46079.652777777781</v>
      </c>
      <c r="E1589" s="52">
        <v>46079.652777777781</v>
      </c>
      <c r="F1589" s="52">
        <v>46079.685416666667</v>
      </c>
      <c r="G1589" s="53">
        <v>3.2638888888888891E-2</v>
      </c>
      <c r="H1589" s="1" t="s">
        <v>257</v>
      </c>
      <c r="J1589" s="1" t="s">
        <v>258</v>
      </c>
      <c r="K1589" s="1" t="s">
        <v>658</v>
      </c>
      <c r="L1589" s="1" t="s">
        <v>891</v>
      </c>
    </row>
    <row r="1590" spans="2:12">
      <c r="B1590" s="1" t="s">
        <v>456</v>
      </c>
      <c r="C1590" s="1" t="s">
        <v>457</v>
      </c>
      <c r="D1590" s="52">
        <v>46079.666666666664</v>
      </c>
      <c r="E1590" s="52">
        <v>46079.666666666664</v>
      </c>
      <c r="F1590" s="52">
        <v>46079.743055555555</v>
      </c>
      <c r="G1590" s="53">
        <v>7.6388888888888895E-2</v>
      </c>
      <c r="H1590" s="1" t="s">
        <v>677</v>
      </c>
      <c r="J1590" s="1" t="s">
        <v>249</v>
      </c>
      <c r="K1590" s="1" t="s">
        <v>250</v>
      </c>
      <c r="L1590" s="1" t="s">
        <v>892</v>
      </c>
    </row>
    <row r="1591" spans="2:12">
      <c r="B1591" s="1" t="s">
        <v>456</v>
      </c>
      <c r="C1591" s="1" t="s">
        <v>459</v>
      </c>
      <c r="D1591" s="52">
        <v>46079.666666666664</v>
      </c>
      <c r="E1591" s="52">
        <v>46079.666666666664</v>
      </c>
      <c r="F1591" s="52">
        <v>46079.743055555555</v>
      </c>
      <c r="G1591" s="53">
        <v>7.6388888888888895E-2</v>
      </c>
      <c r="H1591" s="1" t="s">
        <v>677</v>
      </c>
      <c r="J1591" s="1" t="s">
        <v>249</v>
      </c>
      <c r="K1591" s="1" t="s">
        <v>250</v>
      </c>
      <c r="L1591" s="1" t="s">
        <v>892</v>
      </c>
    </row>
    <row r="1592" spans="2:12">
      <c r="B1592" s="1" t="s">
        <v>456</v>
      </c>
      <c r="C1592" s="1" t="s">
        <v>460</v>
      </c>
      <c r="D1592" s="52">
        <v>46079.666666666664</v>
      </c>
      <c r="E1592" s="52">
        <v>46079.666666666664</v>
      </c>
      <c r="F1592" s="52">
        <v>46079.743055555555</v>
      </c>
      <c r="G1592" s="53">
        <v>7.6388888888888895E-2</v>
      </c>
      <c r="H1592" s="1" t="s">
        <v>677</v>
      </c>
      <c r="J1592" s="1" t="s">
        <v>249</v>
      </c>
      <c r="K1592" s="1" t="s">
        <v>250</v>
      </c>
      <c r="L1592" s="1" t="s">
        <v>892</v>
      </c>
    </row>
    <row r="1593" spans="2:12">
      <c r="B1593" s="1" t="s">
        <v>456</v>
      </c>
      <c r="C1593" s="1" t="s">
        <v>461</v>
      </c>
      <c r="D1593" s="52">
        <v>46079.666666666664</v>
      </c>
      <c r="E1593" s="52">
        <v>46079.666666666664</v>
      </c>
      <c r="F1593" s="52">
        <v>46079.743055555555</v>
      </c>
      <c r="G1593" s="53">
        <v>7.6388888888888895E-2</v>
      </c>
      <c r="H1593" s="1" t="s">
        <v>677</v>
      </c>
      <c r="J1593" s="1" t="s">
        <v>249</v>
      </c>
      <c r="K1593" s="1" t="s">
        <v>250</v>
      </c>
      <c r="L1593" s="1" t="s">
        <v>892</v>
      </c>
    </row>
    <row r="1594" spans="2:12">
      <c r="B1594" s="1" t="s">
        <v>456</v>
      </c>
      <c r="C1594" s="1" t="s">
        <v>462</v>
      </c>
      <c r="D1594" s="52">
        <v>46079.666666666664</v>
      </c>
      <c r="E1594" s="52">
        <v>46079.666666666664</v>
      </c>
      <c r="F1594" s="52">
        <v>46079.743055555555</v>
      </c>
      <c r="G1594" s="53">
        <v>7.6388888888888895E-2</v>
      </c>
      <c r="H1594" s="1" t="s">
        <v>677</v>
      </c>
      <c r="J1594" s="1" t="s">
        <v>249</v>
      </c>
      <c r="K1594" s="1" t="s">
        <v>250</v>
      </c>
      <c r="L1594" s="1" t="s">
        <v>892</v>
      </c>
    </row>
    <row r="1595" spans="2:12">
      <c r="B1595" s="1" t="s">
        <v>456</v>
      </c>
      <c r="C1595" s="1" t="s">
        <v>463</v>
      </c>
      <c r="D1595" s="52">
        <v>46079.666666666664</v>
      </c>
      <c r="E1595" s="52">
        <v>46079.666666666664</v>
      </c>
      <c r="F1595" s="52">
        <v>46079.743055555555</v>
      </c>
      <c r="G1595" s="53">
        <v>7.6388888888888895E-2</v>
      </c>
      <c r="H1595" s="1" t="s">
        <v>677</v>
      </c>
      <c r="J1595" s="1" t="s">
        <v>249</v>
      </c>
      <c r="K1595" s="1" t="s">
        <v>250</v>
      </c>
      <c r="L1595" s="1" t="s">
        <v>892</v>
      </c>
    </row>
    <row r="1596" spans="2:12">
      <c r="B1596" s="1" t="s">
        <v>456</v>
      </c>
      <c r="C1596" s="1" t="s">
        <v>464</v>
      </c>
      <c r="D1596" s="52">
        <v>46079.666666666664</v>
      </c>
      <c r="E1596" s="52">
        <v>46079.666666666664</v>
      </c>
      <c r="F1596" s="52">
        <v>46079.743055555555</v>
      </c>
      <c r="G1596" s="53">
        <v>7.6388888888888895E-2</v>
      </c>
      <c r="H1596" s="1" t="s">
        <v>677</v>
      </c>
      <c r="J1596" s="1" t="s">
        <v>249</v>
      </c>
      <c r="K1596" s="1" t="s">
        <v>250</v>
      </c>
      <c r="L1596" s="1" t="s">
        <v>892</v>
      </c>
    </row>
    <row r="1597" spans="2:12">
      <c r="B1597" s="1" t="s">
        <v>456</v>
      </c>
      <c r="C1597" s="1" t="s">
        <v>465</v>
      </c>
      <c r="D1597" s="52">
        <v>46079.666666666664</v>
      </c>
      <c r="E1597" s="52">
        <v>46079.666666666664</v>
      </c>
      <c r="F1597" s="52">
        <v>46079.743055555555</v>
      </c>
      <c r="G1597" s="53">
        <v>7.6388888888888895E-2</v>
      </c>
      <c r="H1597" s="1" t="s">
        <v>677</v>
      </c>
      <c r="J1597" s="1" t="s">
        <v>249</v>
      </c>
      <c r="K1597" s="1" t="s">
        <v>250</v>
      </c>
      <c r="L1597" s="1" t="s">
        <v>892</v>
      </c>
    </row>
    <row r="1598" spans="2:12">
      <c r="B1598" s="1" t="s">
        <v>456</v>
      </c>
      <c r="C1598" s="1" t="s">
        <v>466</v>
      </c>
      <c r="D1598" s="52">
        <v>46079.666666666664</v>
      </c>
      <c r="E1598" s="52">
        <v>46079.666666666664</v>
      </c>
      <c r="F1598" s="52">
        <v>46079.743055555555</v>
      </c>
      <c r="G1598" s="53">
        <v>7.6388888888888895E-2</v>
      </c>
      <c r="H1598" s="1" t="s">
        <v>677</v>
      </c>
      <c r="J1598" s="1" t="s">
        <v>249</v>
      </c>
      <c r="K1598" s="1" t="s">
        <v>250</v>
      </c>
      <c r="L1598" s="1" t="s">
        <v>892</v>
      </c>
    </row>
    <row r="1599" spans="2:12">
      <c r="B1599" s="1" t="s">
        <v>456</v>
      </c>
      <c r="C1599" s="1" t="s">
        <v>467</v>
      </c>
      <c r="D1599" s="52">
        <v>46079.666666666664</v>
      </c>
      <c r="E1599" s="52">
        <v>46079.666666666664</v>
      </c>
      <c r="F1599" s="52">
        <v>46079.743055555555</v>
      </c>
      <c r="G1599" s="53">
        <v>7.6388888888888895E-2</v>
      </c>
      <c r="H1599" s="1" t="s">
        <v>677</v>
      </c>
      <c r="J1599" s="1" t="s">
        <v>249</v>
      </c>
      <c r="K1599" s="1" t="s">
        <v>250</v>
      </c>
      <c r="L1599" s="1" t="s">
        <v>892</v>
      </c>
    </row>
    <row r="1600" spans="2:12">
      <c r="B1600" s="1" t="s">
        <v>456</v>
      </c>
      <c r="C1600" s="1" t="s">
        <v>468</v>
      </c>
      <c r="D1600" s="52">
        <v>46079.666666666664</v>
      </c>
      <c r="E1600" s="52">
        <v>46079.666666666664</v>
      </c>
      <c r="F1600" s="52">
        <v>46079.743055555555</v>
      </c>
      <c r="G1600" s="53">
        <v>7.6388888888888895E-2</v>
      </c>
      <c r="H1600" s="1" t="s">
        <v>677</v>
      </c>
      <c r="J1600" s="1" t="s">
        <v>249</v>
      </c>
      <c r="K1600" s="1" t="s">
        <v>250</v>
      </c>
      <c r="L1600" s="1" t="s">
        <v>892</v>
      </c>
    </row>
    <row r="1601" spans="2:12">
      <c r="B1601" s="1" t="s">
        <v>456</v>
      </c>
      <c r="C1601" s="1" t="s">
        <v>469</v>
      </c>
      <c r="D1601" s="52">
        <v>46079.666666666664</v>
      </c>
      <c r="E1601" s="52">
        <v>46079.666666666664</v>
      </c>
      <c r="F1601" s="52">
        <v>46079.743055555555</v>
      </c>
      <c r="G1601" s="53">
        <v>7.6388888888888895E-2</v>
      </c>
      <c r="H1601" s="1" t="s">
        <v>677</v>
      </c>
      <c r="J1601" s="1" t="s">
        <v>249</v>
      </c>
      <c r="K1601" s="1" t="s">
        <v>250</v>
      </c>
      <c r="L1601" s="1" t="s">
        <v>892</v>
      </c>
    </row>
    <row r="1602" spans="2:12">
      <c r="B1602" s="1" t="s">
        <v>456</v>
      </c>
      <c r="C1602" s="1" t="s">
        <v>470</v>
      </c>
      <c r="D1602" s="52">
        <v>46079.666666666664</v>
      </c>
      <c r="E1602" s="52">
        <v>46079.666666666664</v>
      </c>
      <c r="F1602" s="52">
        <v>46079.743055555555</v>
      </c>
      <c r="G1602" s="53">
        <v>7.6388888888888895E-2</v>
      </c>
      <c r="H1602" s="1" t="s">
        <v>677</v>
      </c>
      <c r="J1602" s="1" t="s">
        <v>249</v>
      </c>
      <c r="K1602" s="1" t="s">
        <v>250</v>
      </c>
      <c r="L1602" s="1" t="s">
        <v>892</v>
      </c>
    </row>
    <row r="1603" spans="2:12">
      <c r="B1603" s="1" t="s">
        <v>456</v>
      </c>
      <c r="C1603" s="1" t="s">
        <v>471</v>
      </c>
      <c r="D1603" s="52">
        <v>46079.666666666664</v>
      </c>
      <c r="E1603" s="52">
        <v>46079.666666666664</v>
      </c>
      <c r="F1603" s="52">
        <v>46079.743055555555</v>
      </c>
      <c r="G1603" s="53">
        <v>7.6388888888888895E-2</v>
      </c>
      <c r="H1603" s="1" t="s">
        <v>677</v>
      </c>
      <c r="J1603" s="1" t="s">
        <v>249</v>
      </c>
      <c r="K1603" s="1" t="s">
        <v>250</v>
      </c>
      <c r="L1603" s="1" t="s">
        <v>892</v>
      </c>
    </row>
    <row r="1604" spans="2:12">
      <c r="B1604" s="1" t="s">
        <v>456</v>
      </c>
      <c r="C1604" s="1" t="s">
        <v>472</v>
      </c>
      <c r="D1604" s="52">
        <v>46079.666666666664</v>
      </c>
      <c r="E1604" s="52">
        <v>46079.666666666664</v>
      </c>
      <c r="F1604" s="52">
        <v>46079.743055555555</v>
      </c>
      <c r="G1604" s="53">
        <v>7.6388888888888895E-2</v>
      </c>
      <c r="H1604" s="1" t="s">
        <v>677</v>
      </c>
      <c r="J1604" s="1" t="s">
        <v>249</v>
      </c>
      <c r="K1604" s="1" t="s">
        <v>250</v>
      </c>
      <c r="L1604" s="1" t="s">
        <v>892</v>
      </c>
    </row>
    <row r="1605" spans="2:12">
      <c r="B1605" s="1" t="s">
        <v>456</v>
      </c>
      <c r="C1605" s="1" t="s">
        <v>473</v>
      </c>
      <c r="D1605" s="52">
        <v>46079.666666666664</v>
      </c>
      <c r="E1605" s="52">
        <v>46079.666666666664</v>
      </c>
      <c r="F1605" s="52">
        <v>46079.743055555555</v>
      </c>
      <c r="G1605" s="53">
        <v>7.6388888888888895E-2</v>
      </c>
      <c r="H1605" s="1" t="s">
        <v>677</v>
      </c>
      <c r="J1605" s="1" t="s">
        <v>249</v>
      </c>
      <c r="K1605" s="1" t="s">
        <v>250</v>
      </c>
      <c r="L1605" s="1" t="s">
        <v>892</v>
      </c>
    </row>
    <row r="1606" spans="2:12">
      <c r="B1606" s="1" t="s">
        <v>456</v>
      </c>
      <c r="C1606" s="1" t="s">
        <v>474</v>
      </c>
      <c r="D1606" s="52">
        <v>46079.666666666664</v>
      </c>
      <c r="E1606" s="52">
        <v>46079.666666666664</v>
      </c>
      <c r="F1606" s="52">
        <v>46079.743055555555</v>
      </c>
      <c r="G1606" s="53">
        <v>7.6388888888888895E-2</v>
      </c>
      <c r="H1606" s="1" t="s">
        <v>677</v>
      </c>
      <c r="J1606" s="1" t="s">
        <v>249</v>
      </c>
      <c r="K1606" s="1" t="s">
        <v>250</v>
      </c>
      <c r="L1606" s="1" t="s">
        <v>892</v>
      </c>
    </row>
    <row r="1607" spans="2:12">
      <c r="B1607" s="1" t="s">
        <v>456</v>
      </c>
      <c r="C1607" s="1" t="s">
        <v>475</v>
      </c>
      <c r="D1607" s="52">
        <v>46079.666666666664</v>
      </c>
      <c r="E1607" s="52">
        <v>46079.666666666664</v>
      </c>
      <c r="F1607" s="52">
        <v>46079.743055555555</v>
      </c>
      <c r="G1607" s="53">
        <v>7.6388888888888895E-2</v>
      </c>
      <c r="H1607" s="1" t="s">
        <v>677</v>
      </c>
      <c r="J1607" s="1" t="s">
        <v>249</v>
      </c>
      <c r="K1607" s="1" t="s">
        <v>250</v>
      </c>
      <c r="L1607" s="1" t="s">
        <v>892</v>
      </c>
    </row>
    <row r="1608" spans="2:12">
      <c r="B1608" s="1" t="s">
        <v>456</v>
      </c>
      <c r="C1608" s="1" t="s">
        <v>476</v>
      </c>
      <c r="D1608" s="52">
        <v>46079.666666666664</v>
      </c>
      <c r="E1608" s="52">
        <v>46079.666666666664</v>
      </c>
      <c r="F1608" s="52">
        <v>46079.743055555555</v>
      </c>
      <c r="G1608" s="53">
        <v>7.6388888888888895E-2</v>
      </c>
      <c r="H1608" s="1" t="s">
        <v>677</v>
      </c>
      <c r="J1608" s="1" t="s">
        <v>249</v>
      </c>
      <c r="K1608" s="1" t="s">
        <v>250</v>
      </c>
      <c r="L1608" s="1" t="s">
        <v>892</v>
      </c>
    </row>
    <row r="1609" spans="2:12">
      <c r="B1609" s="1" t="s">
        <v>456</v>
      </c>
      <c r="C1609" s="1" t="s">
        <v>477</v>
      </c>
      <c r="D1609" s="52">
        <v>46079.666666666664</v>
      </c>
      <c r="E1609" s="52">
        <v>46079.666666666664</v>
      </c>
      <c r="F1609" s="52">
        <v>46079.743055555555</v>
      </c>
      <c r="G1609" s="53">
        <v>7.6388888888888895E-2</v>
      </c>
      <c r="H1609" s="1" t="s">
        <v>677</v>
      </c>
      <c r="J1609" s="1" t="s">
        <v>249</v>
      </c>
      <c r="K1609" s="1" t="s">
        <v>250</v>
      </c>
      <c r="L1609" s="1" t="s">
        <v>892</v>
      </c>
    </row>
    <row r="1610" spans="2:12">
      <c r="B1610" s="1" t="s">
        <v>456</v>
      </c>
      <c r="C1610" s="1" t="s">
        <v>478</v>
      </c>
      <c r="D1610" s="52">
        <v>46079.666666666664</v>
      </c>
      <c r="E1610" s="52">
        <v>46079.666666666664</v>
      </c>
      <c r="F1610" s="52">
        <v>46079.743055555555</v>
      </c>
      <c r="G1610" s="53">
        <v>7.6388888888888895E-2</v>
      </c>
      <c r="H1610" s="1" t="s">
        <v>677</v>
      </c>
      <c r="J1610" s="1" t="s">
        <v>249</v>
      </c>
      <c r="K1610" s="1" t="s">
        <v>250</v>
      </c>
      <c r="L1610" s="1" t="s">
        <v>892</v>
      </c>
    </row>
    <row r="1611" spans="2:12">
      <c r="B1611" s="1" t="s">
        <v>456</v>
      </c>
      <c r="C1611" s="1" t="s">
        <v>479</v>
      </c>
      <c r="D1611" s="52">
        <v>46079.666666666664</v>
      </c>
      <c r="E1611" s="52">
        <v>46079.666666666664</v>
      </c>
      <c r="F1611" s="52">
        <v>46079.743055555555</v>
      </c>
      <c r="G1611" s="53">
        <v>7.6388888888888895E-2</v>
      </c>
      <c r="H1611" s="1" t="s">
        <v>677</v>
      </c>
      <c r="J1611" s="1" t="s">
        <v>249</v>
      </c>
      <c r="K1611" s="1" t="s">
        <v>250</v>
      </c>
      <c r="L1611" s="1" t="s">
        <v>892</v>
      </c>
    </row>
    <row r="1612" spans="2:12">
      <c r="B1612" s="1" t="s">
        <v>456</v>
      </c>
      <c r="C1612" s="1" t="s">
        <v>480</v>
      </c>
      <c r="D1612" s="52">
        <v>46079.666666666664</v>
      </c>
      <c r="E1612" s="52">
        <v>46079.666666666664</v>
      </c>
      <c r="F1612" s="52">
        <v>46079.743055555555</v>
      </c>
      <c r="G1612" s="53">
        <v>7.6388888888888895E-2</v>
      </c>
      <c r="H1612" s="1" t="s">
        <v>677</v>
      </c>
      <c r="J1612" s="1" t="s">
        <v>249</v>
      </c>
      <c r="K1612" s="1" t="s">
        <v>250</v>
      </c>
      <c r="L1612" s="1" t="s">
        <v>892</v>
      </c>
    </row>
    <row r="1613" spans="2:12">
      <c r="B1613" s="1" t="s">
        <v>456</v>
      </c>
      <c r="C1613" s="1" t="s">
        <v>481</v>
      </c>
      <c r="D1613" s="52">
        <v>46079.666666666664</v>
      </c>
      <c r="E1613" s="52">
        <v>46079.666666666664</v>
      </c>
      <c r="F1613" s="52">
        <v>46079.743055555555</v>
      </c>
      <c r="G1613" s="53">
        <v>7.6388888888888895E-2</v>
      </c>
      <c r="H1613" s="1" t="s">
        <v>677</v>
      </c>
      <c r="J1613" s="1" t="s">
        <v>249</v>
      </c>
      <c r="K1613" s="1" t="s">
        <v>250</v>
      </c>
      <c r="L1613" s="1" t="s">
        <v>892</v>
      </c>
    </row>
    <row r="1614" spans="2:12">
      <c r="B1614" s="1" t="s">
        <v>456</v>
      </c>
      <c r="C1614" s="1" t="s">
        <v>482</v>
      </c>
      <c r="D1614" s="52">
        <v>46079.666666666664</v>
      </c>
      <c r="E1614" s="52">
        <v>46079.666666666664</v>
      </c>
      <c r="F1614" s="52">
        <v>46079.743055555555</v>
      </c>
      <c r="G1614" s="53">
        <v>7.6388888888888895E-2</v>
      </c>
      <c r="H1614" s="1" t="s">
        <v>677</v>
      </c>
      <c r="J1614" s="1" t="s">
        <v>249</v>
      </c>
      <c r="K1614" s="1" t="s">
        <v>250</v>
      </c>
      <c r="L1614" s="1" t="s">
        <v>892</v>
      </c>
    </row>
    <row r="1615" spans="2:12">
      <c r="B1615" s="1" t="s">
        <v>456</v>
      </c>
      <c r="C1615" s="1" t="s">
        <v>483</v>
      </c>
      <c r="D1615" s="52">
        <v>46079.666666666664</v>
      </c>
      <c r="E1615" s="52">
        <v>46079.666666666664</v>
      </c>
      <c r="F1615" s="52">
        <v>46079.743055555555</v>
      </c>
      <c r="G1615" s="53">
        <v>7.6388888888888895E-2</v>
      </c>
      <c r="H1615" s="1" t="s">
        <v>677</v>
      </c>
      <c r="J1615" s="1" t="s">
        <v>249</v>
      </c>
      <c r="K1615" s="1" t="s">
        <v>250</v>
      </c>
      <c r="L1615" s="1" t="s">
        <v>892</v>
      </c>
    </row>
    <row r="1616" spans="2:12">
      <c r="B1616" s="1" t="s">
        <v>456</v>
      </c>
      <c r="C1616" s="1" t="s">
        <v>484</v>
      </c>
      <c r="D1616" s="52">
        <v>46079.666666666664</v>
      </c>
      <c r="E1616" s="52">
        <v>46079.666666666664</v>
      </c>
      <c r="F1616" s="52">
        <v>46079.743055555555</v>
      </c>
      <c r="G1616" s="53">
        <v>7.6388888888888895E-2</v>
      </c>
      <c r="H1616" s="1" t="s">
        <v>677</v>
      </c>
      <c r="J1616" s="1" t="s">
        <v>249</v>
      </c>
      <c r="K1616" s="1" t="s">
        <v>250</v>
      </c>
      <c r="L1616" s="1" t="s">
        <v>892</v>
      </c>
    </row>
    <row r="1617" spans="2:12">
      <c r="B1617" s="1" t="s">
        <v>456</v>
      </c>
      <c r="C1617" s="1" t="s">
        <v>485</v>
      </c>
      <c r="D1617" s="52">
        <v>46079.666666666664</v>
      </c>
      <c r="E1617" s="52">
        <v>46079.666666666664</v>
      </c>
      <c r="F1617" s="52">
        <v>46079.743055555555</v>
      </c>
      <c r="G1617" s="53">
        <v>7.6388888888888895E-2</v>
      </c>
      <c r="H1617" s="1" t="s">
        <v>677</v>
      </c>
      <c r="J1617" s="1" t="s">
        <v>249</v>
      </c>
      <c r="K1617" s="1" t="s">
        <v>250</v>
      </c>
      <c r="L1617" s="1" t="s">
        <v>892</v>
      </c>
    </row>
    <row r="1618" spans="2:12">
      <c r="B1618" s="1" t="s">
        <v>456</v>
      </c>
      <c r="C1618" s="1" t="s">
        <v>486</v>
      </c>
      <c r="D1618" s="52">
        <v>46079.666666666664</v>
      </c>
      <c r="E1618" s="52">
        <v>46079.666666666664</v>
      </c>
      <c r="F1618" s="52">
        <v>46079.743055555555</v>
      </c>
      <c r="G1618" s="53">
        <v>7.6388888888888895E-2</v>
      </c>
      <c r="H1618" s="1" t="s">
        <v>677</v>
      </c>
      <c r="J1618" s="1" t="s">
        <v>249</v>
      </c>
      <c r="K1618" s="1" t="s">
        <v>250</v>
      </c>
      <c r="L1618" s="1" t="s">
        <v>892</v>
      </c>
    </row>
    <row r="1619" spans="2:12">
      <c r="B1619" s="1" t="s">
        <v>487</v>
      </c>
      <c r="C1619" s="1" t="s">
        <v>377</v>
      </c>
      <c r="D1619" s="52">
        <v>46079.666666666664</v>
      </c>
      <c r="E1619" s="52">
        <v>46079.666666666664</v>
      </c>
      <c r="F1619" s="52">
        <v>46079.743055555555</v>
      </c>
      <c r="G1619" s="53">
        <v>7.6388888888888895E-2</v>
      </c>
      <c r="H1619" s="1" t="s">
        <v>677</v>
      </c>
      <c r="J1619" s="1" t="s">
        <v>249</v>
      </c>
      <c r="K1619" s="1" t="s">
        <v>250</v>
      </c>
      <c r="L1619" s="1" t="s">
        <v>892</v>
      </c>
    </row>
    <row r="1620" spans="2:12">
      <c r="B1620" s="1" t="s">
        <v>487</v>
      </c>
      <c r="C1620" s="1" t="s">
        <v>378</v>
      </c>
      <c r="D1620" s="52">
        <v>46079.666666666664</v>
      </c>
      <c r="E1620" s="52">
        <v>46079.666666666664</v>
      </c>
      <c r="F1620" s="52">
        <v>46079.743055555555</v>
      </c>
      <c r="G1620" s="53">
        <v>7.6388888888888895E-2</v>
      </c>
      <c r="H1620" s="1" t="s">
        <v>677</v>
      </c>
      <c r="J1620" s="1" t="s">
        <v>249</v>
      </c>
      <c r="K1620" s="1" t="s">
        <v>250</v>
      </c>
      <c r="L1620" s="1" t="s">
        <v>892</v>
      </c>
    </row>
    <row r="1621" spans="2:12">
      <c r="B1621" s="1" t="s">
        <v>487</v>
      </c>
      <c r="C1621" s="1" t="s">
        <v>382</v>
      </c>
      <c r="D1621" s="52">
        <v>46079.666666666664</v>
      </c>
      <c r="E1621" s="52">
        <v>46079.666666666664</v>
      </c>
      <c r="F1621" s="52">
        <v>46079.743055555555</v>
      </c>
      <c r="G1621" s="53">
        <v>7.6388888888888895E-2</v>
      </c>
      <c r="H1621" s="1" t="s">
        <v>677</v>
      </c>
      <c r="J1621" s="1" t="s">
        <v>249</v>
      </c>
      <c r="K1621" s="1" t="s">
        <v>250</v>
      </c>
      <c r="L1621" s="1" t="s">
        <v>892</v>
      </c>
    </row>
    <row r="1622" spans="2:12">
      <c r="B1622" s="1" t="s">
        <v>487</v>
      </c>
      <c r="C1622" s="1" t="s">
        <v>380</v>
      </c>
      <c r="D1622" s="52">
        <v>46079.666666666664</v>
      </c>
      <c r="E1622" s="52">
        <v>46079.666666666664</v>
      </c>
      <c r="F1622" s="52">
        <v>46079.743055555555</v>
      </c>
      <c r="G1622" s="53">
        <v>7.6388888888888895E-2</v>
      </c>
      <c r="H1622" s="1" t="s">
        <v>677</v>
      </c>
      <c r="J1622" s="1" t="s">
        <v>249</v>
      </c>
      <c r="K1622" s="1" t="s">
        <v>250</v>
      </c>
      <c r="L1622" s="1" t="s">
        <v>892</v>
      </c>
    </row>
    <row r="1623" spans="2:12">
      <c r="B1623" s="1" t="s">
        <v>487</v>
      </c>
      <c r="C1623" s="1" t="s">
        <v>379</v>
      </c>
      <c r="D1623" s="52">
        <v>46079.666666666664</v>
      </c>
      <c r="E1623" s="52">
        <v>46079.666666666664</v>
      </c>
      <c r="F1623" s="52">
        <v>46079.743055555555</v>
      </c>
      <c r="G1623" s="53">
        <v>7.6388888888888895E-2</v>
      </c>
      <c r="H1623" s="1" t="s">
        <v>677</v>
      </c>
      <c r="J1623" s="1" t="s">
        <v>249</v>
      </c>
      <c r="K1623" s="1" t="s">
        <v>250</v>
      </c>
      <c r="L1623" s="1" t="s">
        <v>892</v>
      </c>
    </row>
    <row r="1624" spans="2:12">
      <c r="B1624" s="1" t="s">
        <v>583</v>
      </c>
      <c r="C1624" s="1" t="s">
        <v>377</v>
      </c>
      <c r="D1624" s="52">
        <v>46079.666666666664</v>
      </c>
      <c r="E1624" s="52">
        <v>46079.666666666664</v>
      </c>
      <c r="F1624" s="52">
        <v>46079.743055555555</v>
      </c>
      <c r="G1624" s="53">
        <v>7.6388888888888895E-2</v>
      </c>
      <c r="H1624" s="1" t="s">
        <v>677</v>
      </c>
      <c r="J1624" s="1" t="s">
        <v>249</v>
      </c>
      <c r="K1624" s="1" t="s">
        <v>250</v>
      </c>
      <c r="L1624" s="1" t="s">
        <v>892</v>
      </c>
    </row>
    <row r="1625" spans="2:12">
      <c r="B1625" s="1" t="s">
        <v>583</v>
      </c>
      <c r="C1625" s="1" t="s">
        <v>378</v>
      </c>
      <c r="D1625" s="52">
        <v>46079.666666666664</v>
      </c>
      <c r="E1625" s="52">
        <v>46079.666666666664</v>
      </c>
      <c r="F1625" s="52">
        <v>46079.743055555555</v>
      </c>
      <c r="G1625" s="53">
        <v>7.6388888888888895E-2</v>
      </c>
      <c r="H1625" s="1" t="s">
        <v>677</v>
      </c>
      <c r="J1625" s="1" t="s">
        <v>249</v>
      </c>
      <c r="K1625" s="1" t="s">
        <v>250</v>
      </c>
      <c r="L1625" s="1" t="s">
        <v>892</v>
      </c>
    </row>
    <row r="1626" spans="2:12">
      <c r="B1626" s="1" t="s">
        <v>583</v>
      </c>
      <c r="C1626" s="1" t="s">
        <v>382</v>
      </c>
      <c r="D1626" s="52">
        <v>46079.666666666664</v>
      </c>
      <c r="E1626" s="52">
        <v>46079.666666666664</v>
      </c>
      <c r="F1626" s="52">
        <v>46079.743055555555</v>
      </c>
      <c r="G1626" s="53">
        <v>7.6388888888888895E-2</v>
      </c>
      <c r="H1626" s="1" t="s">
        <v>677</v>
      </c>
      <c r="J1626" s="1" t="s">
        <v>249</v>
      </c>
      <c r="K1626" s="1" t="s">
        <v>250</v>
      </c>
      <c r="L1626" s="1" t="s">
        <v>892</v>
      </c>
    </row>
    <row r="1627" spans="2:12">
      <c r="B1627" s="1" t="s">
        <v>583</v>
      </c>
      <c r="C1627" s="1" t="s">
        <v>380</v>
      </c>
      <c r="D1627" s="52">
        <v>46079.666666666664</v>
      </c>
      <c r="E1627" s="52">
        <v>46079.666666666664</v>
      </c>
      <c r="F1627" s="52">
        <v>46079.743055555555</v>
      </c>
      <c r="G1627" s="53">
        <v>7.6388888888888895E-2</v>
      </c>
      <c r="H1627" s="1" t="s">
        <v>677</v>
      </c>
      <c r="J1627" s="1" t="s">
        <v>249</v>
      </c>
      <c r="K1627" s="1" t="s">
        <v>250</v>
      </c>
      <c r="L1627" s="1" t="s">
        <v>892</v>
      </c>
    </row>
    <row r="1628" spans="2:12">
      <c r="B1628" s="1" t="s">
        <v>583</v>
      </c>
      <c r="C1628" s="1" t="s">
        <v>379</v>
      </c>
      <c r="D1628" s="52">
        <v>46079.666666666664</v>
      </c>
      <c r="E1628" s="52">
        <v>46079.666666666664</v>
      </c>
      <c r="F1628" s="52">
        <v>46079.743055555555</v>
      </c>
      <c r="G1628" s="53">
        <v>7.6388888888888895E-2</v>
      </c>
      <c r="H1628" s="1" t="s">
        <v>677</v>
      </c>
      <c r="J1628" s="1" t="s">
        <v>249</v>
      </c>
      <c r="K1628" s="1" t="s">
        <v>250</v>
      </c>
      <c r="L1628" s="1" t="s">
        <v>892</v>
      </c>
    </row>
    <row r="1629" spans="2:12">
      <c r="B1629" s="1" t="s">
        <v>584</v>
      </c>
      <c r="C1629" s="1" t="s">
        <v>377</v>
      </c>
      <c r="D1629" s="52">
        <v>46079.666666666664</v>
      </c>
      <c r="E1629" s="52">
        <v>46079.666666666664</v>
      </c>
      <c r="F1629" s="52">
        <v>46079.743055555555</v>
      </c>
      <c r="G1629" s="53">
        <v>7.6388888888888895E-2</v>
      </c>
      <c r="H1629" s="1" t="s">
        <v>677</v>
      </c>
      <c r="J1629" s="1" t="s">
        <v>249</v>
      </c>
      <c r="K1629" s="1" t="s">
        <v>250</v>
      </c>
      <c r="L1629" s="1" t="s">
        <v>892</v>
      </c>
    </row>
    <row r="1630" spans="2:12">
      <c r="B1630" s="1" t="s">
        <v>584</v>
      </c>
      <c r="C1630" s="1" t="s">
        <v>378</v>
      </c>
      <c r="D1630" s="52">
        <v>46079.666666666664</v>
      </c>
      <c r="E1630" s="52">
        <v>46079.666666666664</v>
      </c>
      <c r="F1630" s="52">
        <v>46079.743055555555</v>
      </c>
      <c r="G1630" s="53">
        <v>7.6388888888888895E-2</v>
      </c>
      <c r="H1630" s="1" t="s">
        <v>677</v>
      </c>
      <c r="J1630" s="1" t="s">
        <v>249</v>
      </c>
      <c r="K1630" s="1" t="s">
        <v>250</v>
      </c>
      <c r="L1630" s="1" t="s">
        <v>892</v>
      </c>
    </row>
    <row r="1631" spans="2:12">
      <c r="B1631" s="1" t="s">
        <v>584</v>
      </c>
      <c r="C1631" s="1" t="s">
        <v>382</v>
      </c>
      <c r="D1631" s="52">
        <v>46079.666666666664</v>
      </c>
      <c r="E1631" s="52">
        <v>46079.666666666664</v>
      </c>
      <c r="F1631" s="52">
        <v>46079.743055555555</v>
      </c>
      <c r="G1631" s="53">
        <v>7.6388888888888895E-2</v>
      </c>
      <c r="H1631" s="1" t="s">
        <v>677</v>
      </c>
      <c r="J1631" s="1" t="s">
        <v>249</v>
      </c>
      <c r="K1631" s="1" t="s">
        <v>250</v>
      </c>
      <c r="L1631" s="1" t="s">
        <v>892</v>
      </c>
    </row>
    <row r="1632" spans="2:12">
      <c r="B1632" s="1" t="s">
        <v>584</v>
      </c>
      <c r="C1632" s="1" t="s">
        <v>380</v>
      </c>
      <c r="D1632" s="52">
        <v>46079.666666666664</v>
      </c>
      <c r="E1632" s="52">
        <v>46079.666666666664</v>
      </c>
      <c r="F1632" s="52">
        <v>46079.743055555555</v>
      </c>
      <c r="G1632" s="53">
        <v>7.6388888888888895E-2</v>
      </c>
      <c r="H1632" s="1" t="s">
        <v>677</v>
      </c>
      <c r="J1632" s="1" t="s">
        <v>249</v>
      </c>
      <c r="K1632" s="1" t="s">
        <v>250</v>
      </c>
      <c r="L1632" s="1" t="s">
        <v>892</v>
      </c>
    </row>
    <row r="1633" spans="2:12">
      <c r="B1633" s="1" t="s">
        <v>584</v>
      </c>
      <c r="C1633" s="1" t="s">
        <v>379</v>
      </c>
      <c r="D1633" s="52">
        <v>46079.666666666664</v>
      </c>
      <c r="E1633" s="52">
        <v>46079.666666666664</v>
      </c>
      <c r="F1633" s="52">
        <v>46079.743055555555</v>
      </c>
      <c r="G1633" s="53">
        <v>7.6388888888888895E-2</v>
      </c>
      <c r="H1633" s="1" t="s">
        <v>677</v>
      </c>
      <c r="J1633" s="1" t="s">
        <v>249</v>
      </c>
      <c r="K1633" s="1" t="s">
        <v>250</v>
      </c>
      <c r="L1633" s="1" t="s">
        <v>892</v>
      </c>
    </row>
    <row r="1634" spans="2:12">
      <c r="B1634" s="1" t="s">
        <v>327</v>
      </c>
      <c r="C1634" s="1" t="s">
        <v>247</v>
      </c>
      <c r="D1634" s="52">
        <v>46079.71875</v>
      </c>
      <c r="E1634" s="52">
        <v>46079.71875</v>
      </c>
      <c r="F1634" s="52">
        <v>46079.745138888888</v>
      </c>
      <c r="G1634" s="53">
        <v>2.6388888888888889E-2</v>
      </c>
      <c r="H1634" s="1" t="s">
        <v>677</v>
      </c>
      <c r="J1634" s="1" t="s">
        <v>249</v>
      </c>
      <c r="K1634" s="1" t="s">
        <v>250</v>
      </c>
      <c r="L1634" s="1" t="s">
        <v>893</v>
      </c>
    </row>
    <row r="1635" spans="2:12">
      <c r="B1635" s="1" t="s">
        <v>328</v>
      </c>
      <c r="C1635" s="1" t="s">
        <v>247</v>
      </c>
      <c r="D1635" s="52">
        <v>46079.71875</v>
      </c>
      <c r="E1635" s="52">
        <v>46079.71875</v>
      </c>
      <c r="F1635" s="52">
        <v>46079.745138888888</v>
      </c>
      <c r="G1635" s="53">
        <v>2.6388888888888889E-2</v>
      </c>
      <c r="H1635" s="1" t="s">
        <v>677</v>
      </c>
      <c r="J1635" s="1" t="s">
        <v>249</v>
      </c>
      <c r="K1635" s="1" t="s">
        <v>250</v>
      </c>
      <c r="L1635" s="1" t="s">
        <v>893</v>
      </c>
    </row>
    <row r="1636" spans="2:12">
      <c r="B1636" s="1" t="s">
        <v>329</v>
      </c>
      <c r="C1636" s="1" t="s">
        <v>247</v>
      </c>
      <c r="D1636" s="52">
        <v>46079.71875</v>
      </c>
      <c r="E1636" s="52">
        <v>46079.71875</v>
      </c>
      <c r="F1636" s="52">
        <v>46079.745138888888</v>
      </c>
      <c r="G1636" s="53">
        <v>2.6388888888888889E-2</v>
      </c>
      <c r="H1636" s="1" t="s">
        <v>677</v>
      </c>
      <c r="J1636" s="1" t="s">
        <v>249</v>
      </c>
      <c r="K1636" s="1" t="s">
        <v>250</v>
      </c>
      <c r="L1636" s="1" t="s">
        <v>893</v>
      </c>
    </row>
    <row r="1637" spans="2:12">
      <c r="B1637" s="1" t="s">
        <v>330</v>
      </c>
      <c r="C1637" s="1" t="s">
        <v>247</v>
      </c>
      <c r="D1637" s="52">
        <v>46079.71875</v>
      </c>
      <c r="E1637" s="52">
        <v>46079.71875</v>
      </c>
      <c r="F1637" s="52">
        <v>46079.745138888888</v>
      </c>
      <c r="G1637" s="53">
        <v>2.6388888888888889E-2</v>
      </c>
      <c r="H1637" s="1" t="s">
        <v>677</v>
      </c>
      <c r="J1637" s="1" t="s">
        <v>249</v>
      </c>
      <c r="K1637" s="1" t="s">
        <v>250</v>
      </c>
      <c r="L1637" s="1" t="s">
        <v>893</v>
      </c>
    </row>
    <row r="1638" spans="2:12">
      <c r="B1638" s="1" t="s">
        <v>375</v>
      </c>
      <c r="C1638" s="1" t="s">
        <v>247</v>
      </c>
      <c r="D1638" s="52">
        <v>46079.899305555555</v>
      </c>
      <c r="E1638" s="52">
        <v>46079.899305555555</v>
      </c>
      <c r="F1638" s="52">
        <v>46079.966666666667</v>
      </c>
      <c r="G1638" s="53">
        <v>6.7361111111111108E-2</v>
      </c>
      <c r="H1638" s="1" t="s">
        <v>257</v>
      </c>
      <c r="J1638" s="1" t="s">
        <v>258</v>
      </c>
      <c r="K1638" s="1" t="s">
        <v>658</v>
      </c>
      <c r="L1638" s="1" t="s">
        <v>894</v>
      </c>
    </row>
    <row r="1639" spans="2:12">
      <c r="B1639" s="1" t="s">
        <v>375</v>
      </c>
      <c r="C1639" s="1" t="s">
        <v>377</v>
      </c>
      <c r="D1639" s="52">
        <v>46079.899305555555</v>
      </c>
      <c r="E1639" s="52">
        <v>46079.899305555555</v>
      </c>
      <c r="F1639" s="52">
        <v>46079.966666666667</v>
      </c>
      <c r="G1639" s="53">
        <v>6.7361111111111108E-2</v>
      </c>
      <c r="H1639" s="1" t="s">
        <v>257</v>
      </c>
      <c r="J1639" s="1" t="s">
        <v>258</v>
      </c>
      <c r="K1639" s="1" t="s">
        <v>658</v>
      </c>
      <c r="L1639" s="1" t="s">
        <v>894</v>
      </c>
    </row>
    <row r="1640" spans="2:12">
      <c r="B1640" s="1" t="s">
        <v>375</v>
      </c>
      <c r="C1640" s="1" t="s">
        <v>378</v>
      </c>
      <c r="D1640" s="52">
        <v>46079.899305555555</v>
      </c>
      <c r="E1640" s="52">
        <v>46079.899305555555</v>
      </c>
      <c r="F1640" s="52">
        <v>46079.966666666667</v>
      </c>
      <c r="G1640" s="53">
        <v>6.7361111111111108E-2</v>
      </c>
      <c r="H1640" s="1" t="s">
        <v>257</v>
      </c>
      <c r="J1640" s="1" t="s">
        <v>258</v>
      </c>
      <c r="K1640" s="1" t="s">
        <v>658</v>
      </c>
      <c r="L1640" s="1" t="s">
        <v>894</v>
      </c>
    </row>
    <row r="1641" spans="2:12">
      <c r="B1641" s="1" t="s">
        <v>375</v>
      </c>
      <c r="C1641" s="1" t="s">
        <v>379</v>
      </c>
      <c r="D1641" s="52">
        <v>46079.899305555555</v>
      </c>
      <c r="E1641" s="52">
        <v>46079.899305555555</v>
      </c>
      <c r="F1641" s="52">
        <v>46079.966666666667</v>
      </c>
      <c r="G1641" s="53">
        <v>6.7361111111111108E-2</v>
      </c>
      <c r="H1641" s="1" t="s">
        <v>257</v>
      </c>
      <c r="J1641" s="1" t="s">
        <v>258</v>
      </c>
      <c r="K1641" s="1" t="s">
        <v>658</v>
      </c>
      <c r="L1641" s="1" t="s">
        <v>894</v>
      </c>
    </row>
    <row r="1642" spans="2:12">
      <c r="B1642" s="1" t="s">
        <v>375</v>
      </c>
      <c r="C1642" s="1" t="s">
        <v>380</v>
      </c>
      <c r="D1642" s="52">
        <v>46079.899305555555</v>
      </c>
      <c r="E1642" s="52">
        <v>46079.899305555555</v>
      </c>
      <c r="F1642" s="52">
        <v>46079.966666666667</v>
      </c>
      <c r="G1642" s="53">
        <v>6.7361111111111108E-2</v>
      </c>
      <c r="H1642" s="1" t="s">
        <v>257</v>
      </c>
      <c r="J1642" s="1" t="s">
        <v>258</v>
      </c>
      <c r="K1642" s="1" t="s">
        <v>658</v>
      </c>
      <c r="L1642" s="1" t="s">
        <v>894</v>
      </c>
    </row>
    <row r="1643" spans="2:12">
      <c r="B1643" s="1" t="s">
        <v>387</v>
      </c>
      <c r="C1643" s="1" t="s">
        <v>247</v>
      </c>
      <c r="D1643" s="52">
        <v>46079.899305555555</v>
      </c>
      <c r="E1643" s="52">
        <v>46079.899305555555</v>
      </c>
      <c r="F1643" s="52">
        <v>46079.966666666667</v>
      </c>
      <c r="G1643" s="53">
        <v>6.7361111111111108E-2</v>
      </c>
      <c r="H1643" s="1" t="s">
        <v>257</v>
      </c>
      <c r="J1643" s="1" t="s">
        <v>258</v>
      </c>
      <c r="K1643" s="1" t="s">
        <v>658</v>
      </c>
      <c r="L1643" s="1" t="s">
        <v>895</v>
      </c>
    </row>
    <row r="1644" spans="2:12">
      <c r="B1644" s="1" t="s">
        <v>387</v>
      </c>
      <c r="C1644" s="1" t="s">
        <v>388</v>
      </c>
      <c r="D1644" s="52">
        <v>46079.899305555555</v>
      </c>
      <c r="E1644" s="52">
        <v>46079.899305555555</v>
      </c>
      <c r="F1644" s="52">
        <v>46079.966666666667</v>
      </c>
      <c r="G1644" s="53">
        <v>6.7361111111111108E-2</v>
      </c>
      <c r="H1644" s="1" t="s">
        <v>257</v>
      </c>
      <c r="J1644" s="1" t="s">
        <v>258</v>
      </c>
      <c r="K1644" s="1" t="s">
        <v>658</v>
      </c>
      <c r="L1644" s="1" t="s">
        <v>895</v>
      </c>
    </row>
    <row r="1645" spans="2:12">
      <c r="B1645" s="1" t="s">
        <v>387</v>
      </c>
      <c r="C1645" s="1" t="s">
        <v>389</v>
      </c>
      <c r="D1645" s="52">
        <v>46079.899305555555</v>
      </c>
      <c r="E1645" s="52">
        <v>46079.899305555555</v>
      </c>
      <c r="F1645" s="52">
        <v>46079.966666666667</v>
      </c>
      <c r="G1645" s="53">
        <v>6.7361111111111108E-2</v>
      </c>
      <c r="H1645" s="1" t="s">
        <v>257</v>
      </c>
      <c r="J1645" s="1" t="s">
        <v>258</v>
      </c>
      <c r="K1645" s="1" t="s">
        <v>658</v>
      </c>
      <c r="L1645" s="1" t="s">
        <v>895</v>
      </c>
    </row>
    <row r="1646" spans="2:12">
      <c r="B1646" s="1" t="s">
        <v>387</v>
      </c>
      <c r="C1646" s="1" t="s">
        <v>390</v>
      </c>
      <c r="D1646" s="52">
        <v>46079.899305555555</v>
      </c>
      <c r="E1646" s="52">
        <v>46079.899305555555</v>
      </c>
      <c r="F1646" s="52">
        <v>46079.966666666667</v>
      </c>
      <c r="G1646" s="53">
        <v>6.7361111111111108E-2</v>
      </c>
      <c r="H1646" s="1" t="s">
        <v>257</v>
      </c>
      <c r="J1646" s="1" t="s">
        <v>258</v>
      </c>
      <c r="K1646" s="1" t="s">
        <v>658</v>
      </c>
      <c r="L1646" s="1" t="s">
        <v>895</v>
      </c>
    </row>
    <row r="1647" spans="2:12">
      <c r="B1647" s="1" t="s">
        <v>387</v>
      </c>
      <c r="C1647" s="1" t="s">
        <v>256</v>
      </c>
      <c r="D1647" s="52">
        <v>46079.899305555555</v>
      </c>
      <c r="E1647" s="52">
        <v>46079.899305555555</v>
      </c>
      <c r="F1647" s="52">
        <v>46079.966666666667</v>
      </c>
      <c r="G1647" s="53">
        <v>6.7361111111111108E-2</v>
      </c>
      <c r="H1647" s="1" t="s">
        <v>257</v>
      </c>
      <c r="J1647" s="1" t="s">
        <v>258</v>
      </c>
      <c r="K1647" s="1" t="s">
        <v>658</v>
      </c>
      <c r="L1647" s="1" t="s">
        <v>895</v>
      </c>
    </row>
    <row r="1648" spans="2:12">
      <c r="B1648" s="1" t="s">
        <v>381</v>
      </c>
      <c r="C1648" s="1" t="s">
        <v>379</v>
      </c>
      <c r="D1648" s="52">
        <v>46079.899305555555</v>
      </c>
      <c r="E1648" s="52">
        <v>46079.899305555555</v>
      </c>
      <c r="F1648" s="52">
        <v>46079.966666666667</v>
      </c>
      <c r="G1648" s="53">
        <v>6.7361111111111108E-2</v>
      </c>
      <c r="H1648" s="1" t="s">
        <v>257</v>
      </c>
      <c r="J1648" s="1" t="s">
        <v>258</v>
      </c>
      <c r="K1648" s="1" t="s">
        <v>658</v>
      </c>
      <c r="L1648" s="1" t="s">
        <v>896</v>
      </c>
    </row>
    <row r="1649" spans="2:12">
      <c r="B1649" s="1" t="s">
        <v>381</v>
      </c>
      <c r="C1649" s="1" t="s">
        <v>382</v>
      </c>
      <c r="D1649" s="52">
        <v>46079.899305555555</v>
      </c>
      <c r="E1649" s="52">
        <v>46079.899305555555</v>
      </c>
      <c r="F1649" s="52">
        <v>46079.966666666667</v>
      </c>
      <c r="G1649" s="53">
        <v>6.7361111111111108E-2</v>
      </c>
      <c r="H1649" s="1" t="s">
        <v>257</v>
      </c>
      <c r="J1649" s="1" t="s">
        <v>258</v>
      </c>
      <c r="K1649" s="1" t="s">
        <v>658</v>
      </c>
      <c r="L1649" s="1" t="s">
        <v>896</v>
      </c>
    </row>
    <row r="1650" spans="2:12">
      <c r="B1650" s="1" t="s">
        <v>381</v>
      </c>
      <c r="C1650" s="1" t="s">
        <v>380</v>
      </c>
      <c r="D1650" s="52">
        <v>46079.899305555555</v>
      </c>
      <c r="E1650" s="52">
        <v>46079.899305555555</v>
      </c>
      <c r="F1650" s="52">
        <v>46079.966666666667</v>
      </c>
      <c r="G1650" s="53">
        <v>6.7361111111111108E-2</v>
      </c>
      <c r="H1650" s="1" t="s">
        <v>257</v>
      </c>
      <c r="J1650" s="1" t="s">
        <v>258</v>
      </c>
      <c r="K1650" s="1" t="s">
        <v>658</v>
      </c>
      <c r="L1650" s="1" t="s">
        <v>896</v>
      </c>
    </row>
    <row r="1651" spans="2:12">
      <c r="B1651" s="1" t="s">
        <v>381</v>
      </c>
      <c r="C1651" s="1" t="s">
        <v>377</v>
      </c>
      <c r="D1651" s="52">
        <v>46079.899305555555</v>
      </c>
      <c r="E1651" s="52">
        <v>46079.899305555555</v>
      </c>
      <c r="F1651" s="52">
        <v>46079.966666666667</v>
      </c>
      <c r="G1651" s="53">
        <v>6.7361111111111108E-2</v>
      </c>
      <c r="H1651" s="1" t="s">
        <v>257</v>
      </c>
      <c r="J1651" s="1" t="s">
        <v>258</v>
      </c>
      <c r="K1651" s="1" t="s">
        <v>658</v>
      </c>
      <c r="L1651" s="1" t="s">
        <v>896</v>
      </c>
    </row>
    <row r="1652" spans="2:12">
      <c r="B1652" s="1" t="s">
        <v>381</v>
      </c>
      <c r="C1652" s="1" t="s">
        <v>378</v>
      </c>
      <c r="D1652" s="52">
        <v>46079.899305555555</v>
      </c>
      <c r="E1652" s="52">
        <v>46079.899305555555</v>
      </c>
      <c r="F1652" s="52">
        <v>46079.966666666667</v>
      </c>
      <c r="G1652" s="53">
        <v>6.7361111111111108E-2</v>
      </c>
      <c r="H1652" s="1" t="s">
        <v>257</v>
      </c>
      <c r="J1652" s="1" t="s">
        <v>258</v>
      </c>
      <c r="K1652" s="1" t="s">
        <v>658</v>
      </c>
      <c r="L1652" s="1" t="s">
        <v>896</v>
      </c>
    </row>
    <row r="1653" spans="2:12">
      <c r="B1653" s="1" t="s">
        <v>391</v>
      </c>
      <c r="C1653" s="1" t="s">
        <v>392</v>
      </c>
      <c r="D1653" s="52">
        <v>46079.899305555555</v>
      </c>
      <c r="E1653" s="52">
        <v>46079.899305555555</v>
      </c>
      <c r="F1653" s="52">
        <v>46079.966666666667</v>
      </c>
      <c r="G1653" s="53">
        <v>6.7361111111111108E-2</v>
      </c>
      <c r="H1653" s="1" t="s">
        <v>257</v>
      </c>
      <c r="J1653" s="1" t="s">
        <v>258</v>
      </c>
      <c r="K1653" s="1" t="s">
        <v>658</v>
      </c>
      <c r="L1653" s="1" t="s">
        <v>897</v>
      </c>
    </row>
    <row r="1654" spans="2:12">
      <c r="B1654" s="1" t="s">
        <v>391</v>
      </c>
      <c r="C1654" s="1" t="s">
        <v>382</v>
      </c>
      <c r="D1654" s="52">
        <v>46079.899305555555</v>
      </c>
      <c r="E1654" s="52">
        <v>46079.899305555555</v>
      </c>
      <c r="F1654" s="52">
        <v>46079.966666666667</v>
      </c>
      <c r="G1654" s="53">
        <v>6.7361111111111108E-2</v>
      </c>
      <c r="H1654" s="1" t="s">
        <v>257</v>
      </c>
      <c r="J1654" s="1" t="s">
        <v>258</v>
      </c>
      <c r="K1654" s="1" t="s">
        <v>658</v>
      </c>
      <c r="L1654" s="1" t="s">
        <v>897</v>
      </c>
    </row>
    <row r="1655" spans="2:12">
      <c r="B1655" s="1" t="s">
        <v>391</v>
      </c>
      <c r="C1655" s="1" t="s">
        <v>378</v>
      </c>
      <c r="D1655" s="52">
        <v>46079.899305555555</v>
      </c>
      <c r="E1655" s="52">
        <v>46079.899305555555</v>
      </c>
      <c r="F1655" s="52">
        <v>46079.966666666667</v>
      </c>
      <c r="G1655" s="53">
        <v>6.7361111111111108E-2</v>
      </c>
      <c r="H1655" s="1" t="s">
        <v>257</v>
      </c>
      <c r="J1655" s="1" t="s">
        <v>258</v>
      </c>
      <c r="K1655" s="1" t="s">
        <v>658</v>
      </c>
      <c r="L1655" s="1" t="s">
        <v>897</v>
      </c>
    </row>
    <row r="1656" spans="2:12">
      <c r="B1656" s="1" t="s">
        <v>391</v>
      </c>
      <c r="C1656" s="1" t="s">
        <v>379</v>
      </c>
      <c r="D1656" s="52">
        <v>46079.899305555555</v>
      </c>
      <c r="E1656" s="52">
        <v>46079.899305555555</v>
      </c>
      <c r="F1656" s="52">
        <v>46079.966666666667</v>
      </c>
      <c r="G1656" s="53">
        <v>6.7361111111111108E-2</v>
      </c>
      <c r="H1656" s="1" t="s">
        <v>257</v>
      </c>
      <c r="J1656" s="1" t="s">
        <v>258</v>
      </c>
      <c r="K1656" s="1" t="s">
        <v>658</v>
      </c>
      <c r="L1656" s="1" t="s">
        <v>897</v>
      </c>
    </row>
    <row r="1657" spans="2:12">
      <c r="B1657" s="1" t="s">
        <v>391</v>
      </c>
      <c r="C1657" s="1" t="s">
        <v>380</v>
      </c>
      <c r="D1657" s="52">
        <v>46079.899305555555</v>
      </c>
      <c r="E1657" s="52">
        <v>46079.899305555555</v>
      </c>
      <c r="F1657" s="52">
        <v>46079.966666666667</v>
      </c>
      <c r="G1657" s="53">
        <v>6.7361111111111108E-2</v>
      </c>
      <c r="H1657" s="1" t="s">
        <v>257</v>
      </c>
      <c r="J1657" s="1" t="s">
        <v>258</v>
      </c>
      <c r="K1657" s="1" t="s">
        <v>658</v>
      </c>
      <c r="L1657" s="1" t="s">
        <v>897</v>
      </c>
    </row>
    <row r="1658" spans="2:12">
      <c r="B1658" s="1" t="s">
        <v>519</v>
      </c>
      <c r="C1658" s="1" t="s">
        <v>380</v>
      </c>
      <c r="D1658" s="52">
        <v>46079.899305555555</v>
      </c>
      <c r="E1658" s="52">
        <v>46079.899305555555</v>
      </c>
      <c r="F1658" s="52">
        <v>46079.966666666667</v>
      </c>
      <c r="G1658" s="53">
        <v>6.7361111111111108E-2</v>
      </c>
      <c r="H1658" s="1" t="s">
        <v>257</v>
      </c>
      <c r="J1658" s="1" t="s">
        <v>258</v>
      </c>
      <c r="K1658" s="1" t="s">
        <v>658</v>
      </c>
      <c r="L1658" s="1" t="s">
        <v>898</v>
      </c>
    </row>
    <row r="1659" spans="2:12">
      <c r="B1659" s="1" t="s">
        <v>519</v>
      </c>
      <c r="C1659" s="1" t="s">
        <v>378</v>
      </c>
      <c r="D1659" s="52">
        <v>46079.899305555555</v>
      </c>
      <c r="E1659" s="52">
        <v>46079.899305555555</v>
      </c>
      <c r="F1659" s="52">
        <v>46079.966666666667</v>
      </c>
      <c r="G1659" s="53">
        <v>6.7361111111111108E-2</v>
      </c>
      <c r="H1659" s="1" t="s">
        <v>257</v>
      </c>
      <c r="J1659" s="1" t="s">
        <v>258</v>
      </c>
      <c r="K1659" s="1" t="s">
        <v>658</v>
      </c>
      <c r="L1659" s="1" t="s">
        <v>898</v>
      </c>
    </row>
    <row r="1660" spans="2:12">
      <c r="B1660" s="1" t="s">
        <v>519</v>
      </c>
      <c r="C1660" s="1" t="s">
        <v>377</v>
      </c>
      <c r="D1660" s="52">
        <v>46079.899305555555</v>
      </c>
      <c r="E1660" s="52">
        <v>46079.899305555555</v>
      </c>
      <c r="F1660" s="52">
        <v>46079.966666666667</v>
      </c>
      <c r="G1660" s="53">
        <v>6.7361111111111108E-2</v>
      </c>
      <c r="H1660" s="1" t="s">
        <v>257</v>
      </c>
      <c r="J1660" s="1" t="s">
        <v>258</v>
      </c>
      <c r="K1660" s="1" t="s">
        <v>658</v>
      </c>
      <c r="L1660" s="1" t="s">
        <v>898</v>
      </c>
    </row>
    <row r="1661" spans="2:12">
      <c r="B1661" s="1" t="s">
        <v>519</v>
      </c>
      <c r="C1661" s="1" t="s">
        <v>520</v>
      </c>
      <c r="D1661" s="52">
        <v>46079.899305555555</v>
      </c>
      <c r="E1661" s="52">
        <v>46079.899305555555</v>
      </c>
      <c r="F1661" s="52">
        <v>46079.966666666667</v>
      </c>
      <c r="G1661" s="53">
        <v>6.7361111111111108E-2</v>
      </c>
      <c r="H1661" s="1" t="s">
        <v>257</v>
      </c>
      <c r="J1661" s="1" t="s">
        <v>258</v>
      </c>
      <c r="K1661" s="1" t="s">
        <v>658</v>
      </c>
      <c r="L1661" s="1" t="s">
        <v>898</v>
      </c>
    </row>
    <row r="1662" spans="2:12">
      <c r="B1662" s="1" t="s">
        <v>519</v>
      </c>
      <c r="C1662" s="1" t="s">
        <v>382</v>
      </c>
      <c r="D1662" s="52">
        <v>46079.899305555555</v>
      </c>
      <c r="E1662" s="52">
        <v>46079.899305555555</v>
      </c>
      <c r="F1662" s="52">
        <v>46079.966666666667</v>
      </c>
      <c r="G1662" s="53">
        <v>6.7361111111111108E-2</v>
      </c>
      <c r="H1662" s="1" t="s">
        <v>257</v>
      </c>
      <c r="J1662" s="1" t="s">
        <v>258</v>
      </c>
      <c r="K1662" s="1" t="s">
        <v>658</v>
      </c>
      <c r="L1662" s="1" t="s">
        <v>898</v>
      </c>
    </row>
    <row r="1663" spans="2:12">
      <c r="B1663" s="1" t="s">
        <v>299</v>
      </c>
      <c r="C1663" s="1" t="s">
        <v>300</v>
      </c>
      <c r="D1663" s="52">
        <v>46079.989583333336</v>
      </c>
      <c r="E1663" s="52">
        <v>46079.989583333336</v>
      </c>
      <c r="F1663" s="52">
        <v>46080.319444444445</v>
      </c>
      <c r="G1663" s="53">
        <v>0.3298611111111111</v>
      </c>
      <c r="H1663" s="1" t="s">
        <v>268</v>
      </c>
      <c r="I1663" s="1" t="s">
        <v>269</v>
      </c>
      <c r="J1663" s="1" t="s">
        <v>319</v>
      </c>
      <c r="K1663" s="1" t="s">
        <v>652</v>
      </c>
      <c r="L1663" s="1" t="s">
        <v>899</v>
      </c>
    </row>
    <row r="1664" spans="2:12">
      <c r="B1664" s="1" t="s">
        <v>299</v>
      </c>
      <c r="C1664" s="1" t="s">
        <v>303</v>
      </c>
      <c r="D1664" s="52">
        <v>46079.989583333336</v>
      </c>
      <c r="E1664" s="52">
        <v>46079.989583333336</v>
      </c>
      <c r="F1664" s="52">
        <v>46080.319444444445</v>
      </c>
      <c r="G1664" s="53">
        <v>0.3298611111111111</v>
      </c>
      <c r="H1664" s="1" t="s">
        <v>268</v>
      </c>
      <c r="I1664" s="1" t="s">
        <v>269</v>
      </c>
      <c r="J1664" s="1" t="s">
        <v>319</v>
      </c>
      <c r="K1664" s="1" t="s">
        <v>652</v>
      </c>
      <c r="L1664" s="1" t="s">
        <v>899</v>
      </c>
    </row>
    <row r="1665" spans="2:12">
      <c r="B1665" s="1" t="s">
        <v>299</v>
      </c>
      <c r="C1665" s="1" t="s">
        <v>304</v>
      </c>
      <c r="D1665" s="52">
        <v>46079.989583333336</v>
      </c>
      <c r="E1665" s="52">
        <v>46079.989583333336</v>
      </c>
      <c r="F1665" s="52">
        <v>46080.319444444445</v>
      </c>
      <c r="G1665" s="53">
        <v>0.3298611111111111</v>
      </c>
      <c r="H1665" s="1" t="s">
        <v>268</v>
      </c>
      <c r="I1665" s="1" t="s">
        <v>269</v>
      </c>
      <c r="J1665" s="1" t="s">
        <v>319</v>
      </c>
      <c r="K1665" s="1" t="s">
        <v>652</v>
      </c>
      <c r="L1665" s="1" t="s">
        <v>899</v>
      </c>
    </row>
    <row r="1666" spans="2:12">
      <c r="B1666" s="1" t="s">
        <v>355</v>
      </c>
      <c r="C1666" s="1" t="s">
        <v>264</v>
      </c>
      <c r="D1666" s="52">
        <v>46080.34375</v>
      </c>
      <c r="E1666" s="52">
        <v>46080.34375</v>
      </c>
      <c r="F1666" s="52">
        <v>46080.375</v>
      </c>
      <c r="G1666" s="53">
        <v>3.125E-2</v>
      </c>
      <c r="H1666" s="1" t="s">
        <v>257</v>
      </c>
      <c r="J1666" s="1" t="s">
        <v>230</v>
      </c>
      <c r="K1666" s="1" t="s">
        <v>230</v>
      </c>
      <c r="L1666" s="1" t="s">
        <v>900</v>
      </c>
    </row>
    <row r="1667" spans="2:12">
      <c r="B1667" s="1" t="s">
        <v>355</v>
      </c>
      <c r="C1667" s="1" t="s">
        <v>256</v>
      </c>
      <c r="D1667" s="52">
        <v>46080.34375</v>
      </c>
      <c r="E1667" s="52">
        <v>46080.34375</v>
      </c>
      <c r="F1667" s="52">
        <v>46080.375</v>
      </c>
      <c r="G1667" s="53">
        <v>3.125E-2</v>
      </c>
      <c r="H1667" s="1" t="s">
        <v>257</v>
      </c>
      <c r="J1667" s="1" t="s">
        <v>230</v>
      </c>
      <c r="K1667" s="1" t="s">
        <v>230</v>
      </c>
      <c r="L1667" s="1" t="s">
        <v>900</v>
      </c>
    </row>
    <row r="1668" spans="2:12">
      <c r="B1668" s="1" t="s">
        <v>375</v>
      </c>
      <c r="C1668" s="1" t="s">
        <v>247</v>
      </c>
      <c r="D1668" s="52">
        <v>46080.388888888891</v>
      </c>
      <c r="E1668" s="52">
        <v>46080.388888888891</v>
      </c>
      <c r="F1668" s="52">
        <v>46080.51458333333</v>
      </c>
      <c r="G1668" s="53">
        <v>0.12569444444444444</v>
      </c>
      <c r="H1668" s="1" t="s">
        <v>257</v>
      </c>
      <c r="J1668" s="1" t="s">
        <v>258</v>
      </c>
      <c r="K1668" s="1" t="s">
        <v>658</v>
      </c>
      <c r="L1668" s="1" t="s">
        <v>901</v>
      </c>
    </row>
    <row r="1669" spans="2:12">
      <c r="B1669" s="1" t="s">
        <v>375</v>
      </c>
      <c r="C1669" s="1" t="s">
        <v>377</v>
      </c>
      <c r="D1669" s="52">
        <v>46080.388888888891</v>
      </c>
      <c r="E1669" s="52">
        <v>46080.388888888891</v>
      </c>
      <c r="F1669" s="52">
        <v>46080.51458333333</v>
      </c>
      <c r="G1669" s="53">
        <v>0.12569444444444444</v>
      </c>
      <c r="H1669" s="1" t="s">
        <v>257</v>
      </c>
      <c r="J1669" s="1" t="s">
        <v>258</v>
      </c>
      <c r="K1669" s="1" t="s">
        <v>658</v>
      </c>
      <c r="L1669" s="1" t="s">
        <v>901</v>
      </c>
    </row>
    <row r="1670" spans="2:12">
      <c r="B1670" s="1" t="s">
        <v>375</v>
      </c>
      <c r="C1670" s="1" t="s">
        <v>378</v>
      </c>
      <c r="D1670" s="52">
        <v>46080.388888888891</v>
      </c>
      <c r="E1670" s="52">
        <v>46080.388888888891</v>
      </c>
      <c r="F1670" s="52">
        <v>46080.51458333333</v>
      </c>
      <c r="G1670" s="53">
        <v>0.12569444444444444</v>
      </c>
      <c r="H1670" s="1" t="s">
        <v>257</v>
      </c>
      <c r="J1670" s="1" t="s">
        <v>258</v>
      </c>
      <c r="K1670" s="1" t="s">
        <v>658</v>
      </c>
      <c r="L1670" s="1" t="s">
        <v>901</v>
      </c>
    </row>
    <row r="1671" spans="2:12">
      <c r="B1671" s="1" t="s">
        <v>375</v>
      </c>
      <c r="C1671" s="1" t="s">
        <v>379</v>
      </c>
      <c r="D1671" s="52">
        <v>46080.388888888891</v>
      </c>
      <c r="E1671" s="52">
        <v>46080.388888888891</v>
      </c>
      <c r="F1671" s="52">
        <v>46080.51458333333</v>
      </c>
      <c r="G1671" s="53">
        <v>0.12569444444444444</v>
      </c>
      <c r="H1671" s="1" t="s">
        <v>257</v>
      </c>
      <c r="J1671" s="1" t="s">
        <v>258</v>
      </c>
      <c r="K1671" s="1" t="s">
        <v>658</v>
      </c>
      <c r="L1671" s="1" t="s">
        <v>901</v>
      </c>
    </row>
    <row r="1672" spans="2:12">
      <c r="B1672" s="1" t="s">
        <v>375</v>
      </c>
      <c r="C1672" s="1" t="s">
        <v>380</v>
      </c>
      <c r="D1672" s="52">
        <v>46080.388888888891</v>
      </c>
      <c r="E1672" s="52">
        <v>46080.388888888891</v>
      </c>
      <c r="F1672" s="52">
        <v>46080.51458333333</v>
      </c>
      <c r="G1672" s="53">
        <v>0.12569444444444444</v>
      </c>
      <c r="H1672" s="1" t="s">
        <v>257</v>
      </c>
      <c r="J1672" s="1" t="s">
        <v>258</v>
      </c>
      <c r="K1672" s="1" t="s">
        <v>658</v>
      </c>
      <c r="L1672" s="1" t="s">
        <v>901</v>
      </c>
    </row>
    <row r="1673" spans="2:12">
      <c r="B1673" s="1" t="s">
        <v>387</v>
      </c>
      <c r="C1673" s="1" t="s">
        <v>247</v>
      </c>
      <c r="D1673" s="52">
        <v>46080.388888888891</v>
      </c>
      <c r="E1673" s="52">
        <v>46080.388888888891</v>
      </c>
      <c r="F1673" s="52">
        <v>46080.51458333333</v>
      </c>
      <c r="G1673" s="53">
        <v>0.12569444444444444</v>
      </c>
      <c r="H1673" s="1" t="s">
        <v>257</v>
      </c>
      <c r="J1673" s="1" t="s">
        <v>258</v>
      </c>
      <c r="K1673" s="1" t="s">
        <v>658</v>
      </c>
      <c r="L1673" s="1" t="s">
        <v>901</v>
      </c>
    </row>
    <row r="1674" spans="2:12">
      <c r="B1674" s="1" t="s">
        <v>387</v>
      </c>
      <c r="C1674" s="1" t="s">
        <v>388</v>
      </c>
      <c r="D1674" s="52">
        <v>46080.388888888891</v>
      </c>
      <c r="E1674" s="52">
        <v>46080.388888888891</v>
      </c>
      <c r="F1674" s="52">
        <v>46080.51458333333</v>
      </c>
      <c r="G1674" s="53">
        <v>0.12569444444444444</v>
      </c>
      <c r="H1674" s="1" t="s">
        <v>257</v>
      </c>
      <c r="J1674" s="1" t="s">
        <v>258</v>
      </c>
      <c r="K1674" s="1" t="s">
        <v>658</v>
      </c>
      <c r="L1674" s="1" t="s">
        <v>901</v>
      </c>
    </row>
    <row r="1675" spans="2:12">
      <c r="B1675" s="1" t="s">
        <v>387</v>
      </c>
      <c r="C1675" s="1" t="s">
        <v>389</v>
      </c>
      <c r="D1675" s="52">
        <v>46080.388888888891</v>
      </c>
      <c r="E1675" s="52">
        <v>46080.388888888891</v>
      </c>
      <c r="F1675" s="52">
        <v>46080.51458333333</v>
      </c>
      <c r="G1675" s="53">
        <v>0.12569444444444444</v>
      </c>
      <c r="H1675" s="1" t="s">
        <v>257</v>
      </c>
      <c r="J1675" s="1" t="s">
        <v>258</v>
      </c>
      <c r="K1675" s="1" t="s">
        <v>658</v>
      </c>
      <c r="L1675" s="1" t="s">
        <v>901</v>
      </c>
    </row>
    <row r="1676" spans="2:12">
      <c r="B1676" s="1" t="s">
        <v>387</v>
      </c>
      <c r="C1676" s="1" t="s">
        <v>390</v>
      </c>
      <c r="D1676" s="52">
        <v>46080.388888888891</v>
      </c>
      <c r="E1676" s="52">
        <v>46080.388888888891</v>
      </c>
      <c r="F1676" s="52">
        <v>46080.51458333333</v>
      </c>
      <c r="G1676" s="53">
        <v>0.12569444444444444</v>
      </c>
      <c r="H1676" s="1" t="s">
        <v>257</v>
      </c>
      <c r="J1676" s="1" t="s">
        <v>258</v>
      </c>
      <c r="K1676" s="1" t="s">
        <v>658</v>
      </c>
      <c r="L1676" s="1" t="s">
        <v>901</v>
      </c>
    </row>
    <row r="1677" spans="2:12">
      <c r="B1677" s="1" t="s">
        <v>387</v>
      </c>
      <c r="C1677" s="1" t="s">
        <v>256</v>
      </c>
      <c r="D1677" s="52">
        <v>46080.388888888891</v>
      </c>
      <c r="E1677" s="52">
        <v>46080.388888888891</v>
      </c>
      <c r="F1677" s="52">
        <v>46080.51458333333</v>
      </c>
      <c r="G1677" s="53">
        <v>0.12569444444444444</v>
      </c>
      <c r="H1677" s="1" t="s">
        <v>257</v>
      </c>
      <c r="J1677" s="1" t="s">
        <v>258</v>
      </c>
      <c r="K1677" s="1" t="s">
        <v>658</v>
      </c>
      <c r="L1677" s="1" t="s">
        <v>901</v>
      </c>
    </row>
    <row r="1678" spans="2:12">
      <c r="B1678" s="1" t="s">
        <v>381</v>
      </c>
      <c r="C1678" s="1" t="s">
        <v>379</v>
      </c>
      <c r="D1678" s="52">
        <v>46080.388888888891</v>
      </c>
      <c r="E1678" s="52">
        <v>46080.388888888891</v>
      </c>
      <c r="F1678" s="52">
        <v>46080.51458333333</v>
      </c>
      <c r="G1678" s="53">
        <v>0.12569444444444444</v>
      </c>
      <c r="H1678" s="1" t="s">
        <v>257</v>
      </c>
      <c r="J1678" s="1" t="s">
        <v>258</v>
      </c>
      <c r="K1678" s="1" t="s">
        <v>658</v>
      </c>
      <c r="L1678" s="1" t="s">
        <v>901</v>
      </c>
    </row>
    <row r="1679" spans="2:12">
      <c r="B1679" s="1" t="s">
        <v>381</v>
      </c>
      <c r="C1679" s="1" t="s">
        <v>382</v>
      </c>
      <c r="D1679" s="52">
        <v>46080.388888888891</v>
      </c>
      <c r="E1679" s="52">
        <v>46080.388888888891</v>
      </c>
      <c r="F1679" s="52">
        <v>46080.51458333333</v>
      </c>
      <c r="G1679" s="53">
        <v>0.12569444444444444</v>
      </c>
      <c r="H1679" s="1" t="s">
        <v>257</v>
      </c>
      <c r="J1679" s="1" t="s">
        <v>258</v>
      </c>
      <c r="K1679" s="1" t="s">
        <v>658</v>
      </c>
      <c r="L1679" s="1" t="s">
        <v>901</v>
      </c>
    </row>
    <row r="1680" spans="2:12">
      <c r="B1680" s="1" t="s">
        <v>381</v>
      </c>
      <c r="C1680" s="1" t="s">
        <v>380</v>
      </c>
      <c r="D1680" s="52">
        <v>46080.388888888891</v>
      </c>
      <c r="E1680" s="52">
        <v>46080.388888888891</v>
      </c>
      <c r="F1680" s="52">
        <v>46080.51458333333</v>
      </c>
      <c r="G1680" s="53">
        <v>0.12569444444444444</v>
      </c>
      <c r="H1680" s="1" t="s">
        <v>257</v>
      </c>
      <c r="J1680" s="1" t="s">
        <v>258</v>
      </c>
      <c r="K1680" s="1" t="s">
        <v>658</v>
      </c>
      <c r="L1680" s="1" t="s">
        <v>901</v>
      </c>
    </row>
    <row r="1681" spans="2:12">
      <c r="B1681" s="1" t="s">
        <v>381</v>
      </c>
      <c r="C1681" s="1" t="s">
        <v>377</v>
      </c>
      <c r="D1681" s="52">
        <v>46080.388888888891</v>
      </c>
      <c r="E1681" s="52">
        <v>46080.388888888891</v>
      </c>
      <c r="F1681" s="52">
        <v>46080.51458333333</v>
      </c>
      <c r="G1681" s="53">
        <v>0.12569444444444444</v>
      </c>
      <c r="H1681" s="1" t="s">
        <v>257</v>
      </c>
      <c r="J1681" s="1" t="s">
        <v>258</v>
      </c>
      <c r="K1681" s="1" t="s">
        <v>658</v>
      </c>
      <c r="L1681" s="1" t="s">
        <v>901</v>
      </c>
    </row>
    <row r="1682" spans="2:12">
      <c r="B1682" s="1" t="s">
        <v>381</v>
      </c>
      <c r="C1682" s="1" t="s">
        <v>378</v>
      </c>
      <c r="D1682" s="52">
        <v>46080.388888888891</v>
      </c>
      <c r="E1682" s="52">
        <v>46080.388888888891</v>
      </c>
      <c r="F1682" s="52">
        <v>46080.51458333333</v>
      </c>
      <c r="G1682" s="53">
        <v>0.12569444444444444</v>
      </c>
      <c r="H1682" s="1" t="s">
        <v>257</v>
      </c>
      <c r="J1682" s="1" t="s">
        <v>258</v>
      </c>
      <c r="K1682" s="1" t="s">
        <v>658</v>
      </c>
      <c r="L1682" s="1" t="s">
        <v>901</v>
      </c>
    </row>
    <row r="1683" spans="2:12">
      <c r="B1683" s="1" t="s">
        <v>391</v>
      </c>
      <c r="C1683" s="1" t="s">
        <v>392</v>
      </c>
      <c r="D1683" s="52">
        <v>46080.388888888891</v>
      </c>
      <c r="E1683" s="52">
        <v>46080.388888888891</v>
      </c>
      <c r="F1683" s="52">
        <v>46080.51458333333</v>
      </c>
      <c r="G1683" s="53">
        <v>0.12569444444444444</v>
      </c>
      <c r="H1683" s="1" t="s">
        <v>257</v>
      </c>
      <c r="J1683" s="1" t="s">
        <v>258</v>
      </c>
      <c r="K1683" s="1" t="s">
        <v>658</v>
      </c>
      <c r="L1683" s="1" t="s">
        <v>901</v>
      </c>
    </row>
    <row r="1684" spans="2:12">
      <c r="B1684" s="1" t="s">
        <v>391</v>
      </c>
      <c r="C1684" s="1" t="s">
        <v>382</v>
      </c>
      <c r="D1684" s="52">
        <v>46080.388888888891</v>
      </c>
      <c r="E1684" s="52">
        <v>46080.388888888891</v>
      </c>
      <c r="F1684" s="52">
        <v>46080.51458333333</v>
      </c>
      <c r="G1684" s="53">
        <v>0.12569444444444444</v>
      </c>
      <c r="H1684" s="1" t="s">
        <v>257</v>
      </c>
      <c r="J1684" s="1" t="s">
        <v>258</v>
      </c>
      <c r="K1684" s="1" t="s">
        <v>658</v>
      </c>
      <c r="L1684" s="1" t="s">
        <v>901</v>
      </c>
    </row>
    <row r="1685" spans="2:12">
      <c r="B1685" s="1" t="s">
        <v>391</v>
      </c>
      <c r="C1685" s="1" t="s">
        <v>378</v>
      </c>
      <c r="D1685" s="52">
        <v>46080.388888888891</v>
      </c>
      <c r="E1685" s="52">
        <v>46080.388888888891</v>
      </c>
      <c r="F1685" s="52">
        <v>46080.51458333333</v>
      </c>
      <c r="G1685" s="53">
        <v>0.12569444444444444</v>
      </c>
      <c r="H1685" s="1" t="s">
        <v>257</v>
      </c>
      <c r="J1685" s="1" t="s">
        <v>258</v>
      </c>
      <c r="K1685" s="1" t="s">
        <v>658</v>
      </c>
      <c r="L1685" s="1" t="s">
        <v>901</v>
      </c>
    </row>
    <row r="1686" spans="2:12">
      <c r="B1686" s="1" t="s">
        <v>391</v>
      </c>
      <c r="C1686" s="1" t="s">
        <v>379</v>
      </c>
      <c r="D1686" s="52">
        <v>46080.388888888891</v>
      </c>
      <c r="E1686" s="52">
        <v>46080.388888888891</v>
      </c>
      <c r="F1686" s="52">
        <v>46080.51458333333</v>
      </c>
      <c r="G1686" s="53">
        <v>0.12569444444444444</v>
      </c>
      <c r="H1686" s="1" t="s">
        <v>257</v>
      </c>
      <c r="J1686" s="1" t="s">
        <v>258</v>
      </c>
      <c r="K1686" s="1" t="s">
        <v>658</v>
      </c>
      <c r="L1686" s="1" t="s">
        <v>901</v>
      </c>
    </row>
    <row r="1687" spans="2:12">
      <c r="B1687" s="1" t="s">
        <v>391</v>
      </c>
      <c r="C1687" s="1" t="s">
        <v>380</v>
      </c>
      <c r="D1687" s="52">
        <v>46080.388888888891</v>
      </c>
      <c r="E1687" s="52">
        <v>46080.388888888891</v>
      </c>
      <c r="F1687" s="52">
        <v>46080.51458333333</v>
      </c>
      <c r="G1687" s="53">
        <v>0.12569444444444444</v>
      </c>
      <c r="H1687" s="1" t="s">
        <v>257</v>
      </c>
      <c r="J1687" s="1" t="s">
        <v>258</v>
      </c>
      <c r="K1687" s="1" t="s">
        <v>658</v>
      </c>
      <c r="L1687" s="1" t="s">
        <v>901</v>
      </c>
    </row>
    <row r="1688" spans="2:12">
      <c r="B1688" s="1" t="s">
        <v>519</v>
      </c>
      <c r="C1688" s="1" t="s">
        <v>380</v>
      </c>
      <c r="D1688" s="52">
        <v>46080.388888888891</v>
      </c>
      <c r="E1688" s="52">
        <v>46080.388888888891</v>
      </c>
      <c r="F1688" s="52">
        <v>46080.51458333333</v>
      </c>
      <c r="G1688" s="53">
        <v>0.12569444444444444</v>
      </c>
      <c r="H1688" s="1" t="s">
        <v>257</v>
      </c>
      <c r="J1688" s="1" t="s">
        <v>258</v>
      </c>
      <c r="K1688" s="1" t="s">
        <v>658</v>
      </c>
      <c r="L1688" s="1" t="s">
        <v>901</v>
      </c>
    </row>
    <row r="1689" spans="2:12">
      <c r="B1689" s="1" t="s">
        <v>519</v>
      </c>
      <c r="C1689" s="1" t="s">
        <v>378</v>
      </c>
      <c r="D1689" s="52">
        <v>46080.388888888891</v>
      </c>
      <c r="E1689" s="52">
        <v>46080.388888888891</v>
      </c>
      <c r="F1689" s="52">
        <v>46080.51458333333</v>
      </c>
      <c r="G1689" s="53">
        <v>0.12569444444444444</v>
      </c>
      <c r="H1689" s="1" t="s">
        <v>257</v>
      </c>
      <c r="J1689" s="1" t="s">
        <v>258</v>
      </c>
      <c r="K1689" s="1" t="s">
        <v>658</v>
      </c>
      <c r="L1689" s="1" t="s">
        <v>901</v>
      </c>
    </row>
    <row r="1690" spans="2:12">
      <c r="B1690" s="1" t="s">
        <v>519</v>
      </c>
      <c r="C1690" s="1" t="s">
        <v>377</v>
      </c>
      <c r="D1690" s="52">
        <v>46080.388888888891</v>
      </c>
      <c r="E1690" s="52">
        <v>46080.388888888891</v>
      </c>
      <c r="F1690" s="52">
        <v>46080.51458333333</v>
      </c>
      <c r="G1690" s="53">
        <v>0.12569444444444444</v>
      </c>
      <c r="H1690" s="1" t="s">
        <v>257</v>
      </c>
      <c r="J1690" s="1" t="s">
        <v>258</v>
      </c>
      <c r="K1690" s="1" t="s">
        <v>658</v>
      </c>
      <c r="L1690" s="1" t="s">
        <v>901</v>
      </c>
    </row>
    <row r="1691" spans="2:12">
      <c r="B1691" s="1" t="s">
        <v>519</v>
      </c>
      <c r="C1691" s="1" t="s">
        <v>520</v>
      </c>
      <c r="D1691" s="52">
        <v>46080.388888888891</v>
      </c>
      <c r="E1691" s="52">
        <v>46080.388888888891</v>
      </c>
      <c r="F1691" s="52">
        <v>46080.51458333333</v>
      </c>
      <c r="G1691" s="53">
        <v>0.12569444444444444</v>
      </c>
      <c r="H1691" s="1" t="s">
        <v>257</v>
      </c>
      <c r="J1691" s="1" t="s">
        <v>258</v>
      </c>
      <c r="K1691" s="1" t="s">
        <v>658</v>
      </c>
      <c r="L1691" s="1" t="s">
        <v>901</v>
      </c>
    </row>
    <row r="1692" spans="2:12">
      <c r="B1692" s="1" t="s">
        <v>519</v>
      </c>
      <c r="C1692" s="1" t="s">
        <v>382</v>
      </c>
      <c r="D1692" s="52">
        <v>46080.388888888891</v>
      </c>
      <c r="E1692" s="52">
        <v>46080.388888888891</v>
      </c>
      <c r="F1692" s="52">
        <v>46080.51458333333</v>
      </c>
      <c r="G1692" s="53">
        <v>0.12569444444444444</v>
      </c>
      <c r="H1692" s="1" t="s">
        <v>257</v>
      </c>
      <c r="J1692" s="1" t="s">
        <v>258</v>
      </c>
      <c r="K1692" s="1" t="s">
        <v>658</v>
      </c>
      <c r="L1692" s="1" t="s">
        <v>901</v>
      </c>
    </row>
    <row r="1693" spans="2:12">
      <c r="B1693" s="1" t="s">
        <v>327</v>
      </c>
      <c r="C1693" s="1" t="s">
        <v>247</v>
      </c>
      <c r="D1693" s="52">
        <v>46080.465277777781</v>
      </c>
      <c r="E1693" s="52">
        <v>46080.465277777781</v>
      </c>
      <c r="F1693" s="52">
        <v>46080.524305555555</v>
      </c>
      <c r="G1693" s="53">
        <v>5.9027777777777776E-2</v>
      </c>
      <c r="H1693" s="1" t="s">
        <v>257</v>
      </c>
      <c r="J1693" s="1" t="s">
        <v>258</v>
      </c>
      <c r="K1693" s="1" t="s">
        <v>658</v>
      </c>
      <c r="L1693" s="1" t="s">
        <v>902</v>
      </c>
    </row>
    <row r="1694" spans="2:12">
      <c r="B1694" s="1" t="s">
        <v>328</v>
      </c>
      <c r="C1694" s="1" t="s">
        <v>247</v>
      </c>
      <c r="D1694" s="52">
        <v>46080.465277777781</v>
      </c>
      <c r="E1694" s="52">
        <v>46080.465277777781</v>
      </c>
      <c r="F1694" s="52">
        <v>46080.524305555555</v>
      </c>
      <c r="G1694" s="53">
        <v>5.9027777777777776E-2</v>
      </c>
      <c r="H1694" s="1" t="s">
        <v>257</v>
      </c>
      <c r="J1694" s="1" t="s">
        <v>258</v>
      </c>
      <c r="K1694" s="1" t="s">
        <v>658</v>
      </c>
      <c r="L1694" s="1" t="s">
        <v>902</v>
      </c>
    </row>
    <row r="1695" spans="2:12">
      <c r="B1695" s="1" t="s">
        <v>329</v>
      </c>
      <c r="C1695" s="1" t="s">
        <v>247</v>
      </c>
      <c r="D1695" s="52">
        <v>46080.465277777781</v>
      </c>
      <c r="E1695" s="52">
        <v>46080.465277777781</v>
      </c>
      <c r="F1695" s="52">
        <v>46080.524305555555</v>
      </c>
      <c r="G1695" s="53">
        <v>5.9027777777777776E-2</v>
      </c>
      <c r="H1695" s="1" t="s">
        <v>257</v>
      </c>
      <c r="J1695" s="1" t="s">
        <v>258</v>
      </c>
      <c r="K1695" s="1" t="s">
        <v>658</v>
      </c>
      <c r="L1695" s="1" t="s">
        <v>902</v>
      </c>
    </row>
    <row r="1696" spans="2:12">
      <c r="B1696" s="1" t="s">
        <v>330</v>
      </c>
      <c r="C1696" s="1" t="s">
        <v>247</v>
      </c>
      <c r="D1696" s="52">
        <v>46080.465277777781</v>
      </c>
      <c r="E1696" s="52">
        <v>46080.465277777781</v>
      </c>
      <c r="F1696" s="52">
        <v>46080.524305555555</v>
      </c>
      <c r="G1696" s="53">
        <v>5.9027777777777776E-2</v>
      </c>
      <c r="H1696" s="1" t="s">
        <v>257</v>
      </c>
      <c r="J1696" s="1" t="s">
        <v>258</v>
      </c>
      <c r="K1696" s="1" t="s">
        <v>658</v>
      </c>
      <c r="L1696" s="1" t="s">
        <v>902</v>
      </c>
    </row>
    <row r="1697" spans="2:12">
      <c r="B1697" s="1" t="s">
        <v>355</v>
      </c>
      <c r="C1697" s="1" t="s">
        <v>264</v>
      </c>
      <c r="D1697" s="52">
        <v>46080.46875</v>
      </c>
      <c r="E1697" s="52">
        <v>46080.46875</v>
      </c>
      <c r="F1697" s="52">
        <v>46080.513194444444</v>
      </c>
      <c r="G1697" s="53">
        <v>4.4444444444444446E-2</v>
      </c>
      <c r="H1697" s="1" t="s">
        <v>257</v>
      </c>
      <c r="J1697" s="1" t="s">
        <v>230</v>
      </c>
      <c r="K1697" s="1" t="s">
        <v>230</v>
      </c>
      <c r="L1697" s="1" t="s">
        <v>900</v>
      </c>
    </row>
    <row r="1698" spans="2:12">
      <c r="B1698" s="1" t="s">
        <v>355</v>
      </c>
      <c r="C1698" s="1" t="s">
        <v>256</v>
      </c>
      <c r="D1698" s="52">
        <v>46080.46875</v>
      </c>
      <c r="E1698" s="52">
        <v>46080.46875</v>
      </c>
      <c r="F1698" s="52">
        <v>46080.513194444444</v>
      </c>
      <c r="G1698" s="53">
        <v>4.4444444444444446E-2</v>
      </c>
      <c r="H1698" s="1" t="s">
        <v>257</v>
      </c>
      <c r="J1698" s="1" t="s">
        <v>230</v>
      </c>
      <c r="K1698" s="1" t="s">
        <v>230</v>
      </c>
      <c r="L1698" s="1" t="s">
        <v>900</v>
      </c>
    </row>
    <row r="1699" spans="2:12">
      <c r="B1699" s="1" t="s">
        <v>368</v>
      </c>
      <c r="C1699" s="1" t="s">
        <v>256</v>
      </c>
      <c r="D1699" s="52">
        <v>46080.880555555559</v>
      </c>
      <c r="E1699" s="52">
        <v>46080.880555555559</v>
      </c>
      <c r="F1699" s="52">
        <v>46080.916666666664</v>
      </c>
      <c r="G1699" s="53">
        <v>3.6111111111111108E-2</v>
      </c>
      <c r="H1699" s="1" t="s">
        <v>268</v>
      </c>
      <c r="I1699" s="1" t="s">
        <v>269</v>
      </c>
      <c r="J1699" s="1" t="s">
        <v>319</v>
      </c>
      <c r="K1699" s="1" t="s">
        <v>652</v>
      </c>
      <c r="L1699" s="1" t="s">
        <v>903</v>
      </c>
    </row>
    <row r="1700" spans="2:12">
      <c r="B1700" s="1" t="s">
        <v>368</v>
      </c>
      <c r="C1700" s="1" t="s">
        <v>264</v>
      </c>
      <c r="D1700" s="52">
        <v>46080.880555555559</v>
      </c>
      <c r="E1700" s="52">
        <v>46080.880555555559</v>
      </c>
      <c r="F1700" s="52">
        <v>46080.916666666664</v>
      </c>
      <c r="G1700" s="53">
        <v>3.6111111111111108E-2</v>
      </c>
      <c r="H1700" s="1" t="s">
        <v>268</v>
      </c>
      <c r="I1700" s="1" t="s">
        <v>269</v>
      </c>
      <c r="J1700" s="1" t="s">
        <v>319</v>
      </c>
      <c r="K1700" s="1" t="s">
        <v>652</v>
      </c>
      <c r="L1700" s="1" t="s">
        <v>903</v>
      </c>
    </row>
    <row r="1701" spans="2:12">
      <c r="B1701" s="1" t="s">
        <v>368</v>
      </c>
      <c r="C1701" s="1" t="s">
        <v>263</v>
      </c>
      <c r="D1701" s="52">
        <v>46080.880555555559</v>
      </c>
      <c r="E1701" s="52">
        <v>46080.880555555559</v>
      </c>
      <c r="F1701" s="52">
        <v>46080.916666666664</v>
      </c>
      <c r="G1701" s="53">
        <v>3.6111111111111108E-2</v>
      </c>
      <c r="H1701" s="1" t="s">
        <v>268</v>
      </c>
      <c r="I1701" s="1" t="s">
        <v>269</v>
      </c>
      <c r="J1701" s="1" t="s">
        <v>319</v>
      </c>
      <c r="K1701" s="1" t="s">
        <v>652</v>
      </c>
      <c r="L1701" s="1" t="s">
        <v>903</v>
      </c>
    </row>
    <row r="1702" spans="2:12">
      <c r="B1702" s="1" t="s">
        <v>368</v>
      </c>
      <c r="C1702" s="1" t="s">
        <v>307</v>
      </c>
      <c r="D1702" s="52">
        <v>46080.880555555559</v>
      </c>
      <c r="E1702" s="52">
        <v>46080.880555555559</v>
      </c>
      <c r="F1702" s="52">
        <v>46080.916666666664</v>
      </c>
      <c r="G1702" s="53">
        <v>3.6111111111111108E-2</v>
      </c>
      <c r="H1702" s="1" t="s">
        <v>268</v>
      </c>
      <c r="I1702" s="1" t="s">
        <v>269</v>
      </c>
      <c r="J1702" s="1" t="s">
        <v>319</v>
      </c>
      <c r="K1702" s="1" t="s">
        <v>652</v>
      </c>
      <c r="L1702" s="1" t="s">
        <v>903</v>
      </c>
    </row>
    <row r="1703" spans="2:12">
      <c r="B1703" s="1" t="s">
        <v>370</v>
      </c>
      <c r="C1703" s="1" t="s">
        <v>256</v>
      </c>
      <c r="D1703" s="52">
        <v>46080.880555555559</v>
      </c>
      <c r="E1703" s="52">
        <v>46080.880555555559</v>
      </c>
      <c r="F1703" s="52">
        <v>46080.916666666664</v>
      </c>
      <c r="G1703" s="53">
        <v>3.6111111111111108E-2</v>
      </c>
      <c r="H1703" s="1" t="s">
        <v>268</v>
      </c>
      <c r="I1703" s="1" t="s">
        <v>269</v>
      </c>
      <c r="J1703" s="1" t="s">
        <v>319</v>
      </c>
      <c r="K1703" s="1" t="s">
        <v>652</v>
      </c>
      <c r="L1703" s="1" t="s">
        <v>903</v>
      </c>
    </row>
    <row r="1704" spans="2:12">
      <c r="B1704" s="1" t="s">
        <v>370</v>
      </c>
      <c r="C1704" s="1" t="s">
        <v>264</v>
      </c>
      <c r="D1704" s="52">
        <v>46080.880555555559</v>
      </c>
      <c r="E1704" s="52">
        <v>46080.880555555559</v>
      </c>
      <c r="F1704" s="52">
        <v>46080.916666666664</v>
      </c>
      <c r="G1704" s="53">
        <v>3.6111111111111108E-2</v>
      </c>
      <c r="H1704" s="1" t="s">
        <v>268</v>
      </c>
      <c r="I1704" s="1" t="s">
        <v>269</v>
      </c>
      <c r="J1704" s="1" t="s">
        <v>319</v>
      </c>
      <c r="K1704" s="1" t="s">
        <v>652</v>
      </c>
      <c r="L1704" s="1" t="s">
        <v>903</v>
      </c>
    </row>
    <row r="1705" spans="2:12">
      <c r="B1705" s="1" t="s">
        <v>370</v>
      </c>
      <c r="C1705" s="1" t="s">
        <v>263</v>
      </c>
      <c r="D1705" s="52">
        <v>46080.880555555559</v>
      </c>
      <c r="E1705" s="52">
        <v>46080.880555555559</v>
      </c>
      <c r="F1705" s="52">
        <v>46080.916666666664</v>
      </c>
      <c r="G1705" s="53">
        <v>3.6111111111111108E-2</v>
      </c>
      <c r="H1705" s="1" t="s">
        <v>268</v>
      </c>
      <c r="I1705" s="1" t="s">
        <v>269</v>
      </c>
      <c r="J1705" s="1" t="s">
        <v>319</v>
      </c>
      <c r="K1705" s="1" t="s">
        <v>652</v>
      </c>
      <c r="L1705" s="1" t="s">
        <v>903</v>
      </c>
    </row>
    <row r="1706" spans="2:12">
      <c r="B1706" s="1" t="s">
        <v>370</v>
      </c>
      <c r="C1706" s="1" t="s">
        <v>307</v>
      </c>
      <c r="D1706" s="52">
        <v>46080.880555555559</v>
      </c>
      <c r="E1706" s="52">
        <v>46080.880555555559</v>
      </c>
      <c r="F1706" s="52">
        <v>46080.916666666664</v>
      </c>
      <c r="G1706" s="53">
        <v>3.6111111111111108E-2</v>
      </c>
      <c r="H1706" s="1" t="s">
        <v>268</v>
      </c>
      <c r="I1706" s="1" t="s">
        <v>269</v>
      </c>
      <c r="J1706" s="1" t="s">
        <v>319</v>
      </c>
      <c r="K1706" s="1" t="s">
        <v>652</v>
      </c>
      <c r="L1706" s="1" t="s">
        <v>903</v>
      </c>
    </row>
    <row r="1707" spans="2:12">
      <c r="B1707" s="1" t="s">
        <v>375</v>
      </c>
      <c r="C1707" s="1" t="s">
        <v>247</v>
      </c>
      <c r="D1707" s="52">
        <v>46081.510416666664</v>
      </c>
      <c r="E1707" s="52">
        <v>46081.510416666664</v>
      </c>
      <c r="F1707" s="52">
        <v>46081.590277777781</v>
      </c>
      <c r="G1707" s="53">
        <v>7.9861111111111105E-2</v>
      </c>
      <c r="H1707" s="1" t="s">
        <v>257</v>
      </c>
      <c r="J1707" s="1" t="s">
        <v>258</v>
      </c>
      <c r="K1707" s="1" t="s">
        <v>658</v>
      </c>
      <c r="L1707" s="1" t="s">
        <v>904</v>
      </c>
    </row>
    <row r="1708" spans="2:12">
      <c r="B1708" s="1" t="s">
        <v>375</v>
      </c>
      <c r="C1708" s="1" t="s">
        <v>377</v>
      </c>
      <c r="D1708" s="52">
        <v>46081.510416666664</v>
      </c>
      <c r="E1708" s="52">
        <v>46081.510416666664</v>
      </c>
      <c r="F1708" s="52">
        <v>46081.590277777781</v>
      </c>
      <c r="G1708" s="53">
        <v>7.9861111111111105E-2</v>
      </c>
      <c r="H1708" s="1" t="s">
        <v>257</v>
      </c>
      <c r="J1708" s="1" t="s">
        <v>258</v>
      </c>
      <c r="K1708" s="1" t="s">
        <v>658</v>
      </c>
      <c r="L1708" s="1" t="s">
        <v>904</v>
      </c>
    </row>
    <row r="1709" spans="2:12">
      <c r="B1709" s="1" t="s">
        <v>375</v>
      </c>
      <c r="C1709" s="1" t="s">
        <v>378</v>
      </c>
      <c r="D1709" s="52">
        <v>46081.510416666664</v>
      </c>
      <c r="E1709" s="52">
        <v>46081.510416666664</v>
      </c>
      <c r="F1709" s="52">
        <v>46081.590277777781</v>
      </c>
      <c r="G1709" s="53">
        <v>7.9861111111111105E-2</v>
      </c>
      <c r="H1709" s="1" t="s">
        <v>257</v>
      </c>
      <c r="J1709" s="1" t="s">
        <v>258</v>
      </c>
      <c r="K1709" s="1" t="s">
        <v>658</v>
      </c>
      <c r="L1709" s="1" t="s">
        <v>904</v>
      </c>
    </row>
    <row r="1710" spans="2:12">
      <c r="B1710" s="1" t="s">
        <v>375</v>
      </c>
      <c r="C1710" s="1" t="s">
        <v>379</v>
      </c>
      <c r="D1710" s="52">
        <v>46081.510416666664</v>
      </c>
      <c r="E1710" s="52">
        <v>46081.510416666664</v>
      </c>
      <c r="F1710" s="52">
        <v>46081.590277777781</v>
      </c>
      <c r="G1710" s="53">
        <v>7.9861111111111105E-2</v>
      </c>
      <c r="H1710" s="1" t="s">
        <v>257</v>
      </c>
      <c r="J1710" s="1" t="s">
        <v>258</v>
      </c>
      <c r="K1710" s="1" t="s">
        <v>658</v>
      </c>
      <c r="L1710" s="1" t="s">
        <v>904</v>
      </c>
    </row>
    <row r="1711" spans="2:12">
      <c r="B1711" s="1" t="s">
        <v>375</v>
      </c>
      <c r="C1711" s="1" t="s">
        <v>380</v>
      </c>
      <c r="D1711" s="52">
        <v>46081.510416666664</v>
      </c>
      <c r="E1711" s="52">
        <v>46081.510416666664</v>
      </c>
      <c r="F1711" s="52">
        <v>46081.590277777781</v>
      </c>
      <c r="G1711" s="53">
        <v>7.9861111111111105E-2</v>
      </c>
      <c r="H1711" s="1" t="s">
        <v>257</v>
      </c>
      <c r="J1711" s="1" t="s">
        <v>258</v>
      </c>
      <c r="K1711" s="1" t="s">
        <v>658</v>
      </c>
      <c r="L1711" s="1" t="s">
        <v>904</v>
      </c>
    </row>
    <row r="1712" spans="2:12">
      <c r="B1712" s="1" t="s">
        <v>381</v>
      </c>
      <c r="C1712" s="1" t="s">
        <v>379</v>
      </c>
      <c r="D1712" s="52">
        <v>46081.510416666664</v>
      </c>
      <c r="E1712" s="52">
        <v>46081.510416666664</v>
      </c>
      <c r="F1712" s="52">
        <v>46081.590277777781</v>
      </c>
      <c r="G1712" s="53">
        <v>7.9861111111111105E-2</v>
      </c>
      <c r="H1712" s="1" t="s">
        <v>257</v>
      </c>
      <c r="J1712" s="1" t="s">
        <v>258</v>
      </c>
      <c r="K1712" s="1" t="s">
        <v>658</v>
      </c>
      <c r="L1712" s="1" t="s">
        <v>904</v>
      </c>
    </row>
    <row r="1713" spans="2:12">
      <c r="B1713" s="1" t="s">
        <v>381</v>
      </c>
      <c r="C1713" s="1" t="s">
        <v>382</v>
      </c>
      <c r="D1713" s="52">
        <v>46081.510416666664</v>
      </c>
      <c r="E1713" s="52">
        <v>46081.510416666664</v>
      </c>
      <c r="F1713" s="52">
        <v>46081.590277777781</v>
      </c>
      <c r="G1713" s="53">
        <v>7.9861111111111105E-2</v>
      </c>
      <c r="H1713" s="1" t="s">
        <v>257</v>
      </c>
      <c r="J1713" s="1" t="s">
        <v>258</v>
      </c>
      <c r="K1713" s="1" t="s">
        <v>658</v>
      </c>
      <c r="L1713" s="1" t="s">
        <v>904</v>
      </c>
    </row>
    <row r="1714" spans="2:12">
      <c r="B1714" s="1" t="s">
        <v>381</v>
      </c>
      <c r="C1714" s="1" t="s">
        <v>380</v>
      </c>
      <c r="D1714" s="52">
        <v>46081.510416666664</v>
      </c>
      <c r="E1714" s="52">
        <v>46081.510416666664</v>
      </c>
      <c r="F1714" s="52">
        <v>46081.590277777781</v>
      </c>
      <c r="G1714" s="53">
        <v>7.9861111111111105E-2</v>
      </c>
      <c r="H1714" s="1" t="s">
        <v>257</v>
      </c>
      <c r="J1714" s="1" t="s">
        <v>258</v>
      </c>
      <c r="K1714" s="1" t="s">
        <v>658</v>
      </c>
      <c r="L1714" s="1" t="s">
        <v>904</v>
      </c>
    </row>
    <row r="1715" spans="2:12">
      <c r="B1715" s="1" t="s">
        <v>381</v>
      </c>
      <c r="C1715" s="1" t="s">
        <v>377</v>
      </c>
      <c r="D1715" s="52">
        <v>46081.510416666664</v>
      </c>
      <c r="E1715" s="52">
        <v>46081.510416666664</v>
      </c>
      <c r="F1715" s="52">
        <v>46081.590277777781</v>
      </c>
      <c r="G1715" s="53">
        <v>7.9861111111111105E-2</v>
      </c>
      <c r="H1715" s="1" t="s">
        <v>257</v>
      </c>
      <c r="J1715" s="1" t="s">
        <v>258</v>
      </c>
      <c r="K1715" s="1" t="s">
        <v>658</v>
      </c>
      <c r="L1715" s="1" t="s">
        <v>904</v>
      </c>
    </row>
    <row r="1716" spans="2:12">
      <c r="B1716" s="1" t="s">
        <v>381</v>
      </c>
      <c r="C1716" s="1" t="s">
        <v>378</v>
      </c>
      <c r="D1716" s="52">
        <v>46081.510416666664</v>
      </c>
      <c r="E1716" s="52">
        <v>46081.510416666664</v>
      </c>
      <c r="F1716" s="52">
        <v>46081.590277777781</v>
      </c>
      <c r="G1716" s="53">
        <v>7.9861111111111105E-2</v>
      </c>
      <c r="H1716" s="1" t="s">
        <v>257</v>
      </c>
      <c r="J1716" s="1" t="s">
        <v>258</v>
      </c>
      <c r="K1716" s="1" t="s">
        <v>658</v>
      </c>
      <c r="L1716" s="1" t="s">
        <v>904</v>
      </c>
    </row>
    <row r="1717" spans="2:12">
      <c r="B1717" s="1" t="s">
        <v>327</v>
      </c>
      <c r="C1717" s="1" t="s">
        <v>247</v>
      </c>
      <c r="D1717" s="52">
        <v>46081.607638888891</v>
      </c>
      <c r="E1717" s="52">
        <v>46081.607638888891</v>
      </c>
      <c r="F1717" s="52">
        <v>46081.999305555553</v>
      </c>
      <c r="G1717" s="53">
        <v>0.39234953703703701</v>
      </c>
      <c r="H1717" s="1" t="s">
        <v>268</v>
      </c>
      <c r="I1717" s="1" t="s">
        <v>269</v>
      </c>
      <c r="J1717" s="1" t="s">
        <v>319</v>
      </c>
      <c r="K1717" s="1" t="s">
        <v>652</v>
      </c>
      <c r="L1717" s="1" t="s">
        <v>905</v>
      </c>
    </row>
    <row r="1718" spans="2:12">
      <c r="B1718" s="1" t="s">
        <v>328</v>
      </c>
      <c r="C1718" s="1" t="s">
        <v>247</v>
      </c>
      <c r="D1718" s="52">
        <v>46081.607638888891</v>
      </c>
      <c r="E1718" s="52">
        <v>46081.607638888891</v>
      </c>
      <c r="F1718" s="52">
        <v>46081.999305555553</v>
      </c>
      <c r="G1718" s="53">
        <v>0.39234953703703701</v>
      </c>
      <c r="H1718" s="1" t="s">
        <v>268</v>
      </c>
      <c r="I1718" s="1" t="s">
        <v>269</v>
      </c>
      <c r="J1718" s="1" t="s">
        <v>319</v>
      </c>
      <c r="K1718" s="1" t="s">
        <v>652</v>
      </c>
      <c r="L1718" s="1" t="s">
        <v>905</v>
      </c>
    </row>
    <row r="1719" spans="2:12">
      <c r="B1719" s="1" t="s">
        <v>329</v>
      </c>
      <c r="C1719" s="1" t="s">
        <v>247</v>
      </c>
      <c r="D1719" s="52">
        <v>46081.607638888891</v>
      </c>
      <c r="E1719" s="52">
        <v>46081.607638888891</v>
      </c>
      <c r="F1719" s="52">
        <v>46081.999305555553</v>
      </c>
      <c r="G1719" s="53">
        <v>0.39234953703703701</v>
      </c>
      <c r="H1719" s="1" t="s">
        <v>268</v>
      </c>
      <c r="I1719" s="1" t="s">
        <v>269</v>
      </c>
      <c r="J1719" s="1" t="s">
        <v>319</v>
      </c>
      <c r="K1719" s="1" t="s">
        <v>652</v>
      </c>
      <c r="L1719" s="1" t="s">
        <v>905</v>
      </c>
    </row>
    <row r="1720" spans="2:12">
      <c r="B1720" s="1" t="s">
        <v>330</v>
      </c>
      <c r="C1720" s="1" t="s">
        <v>247</v>
      </c>
      <c r="D1720" s="52">
        <v>46081.607638888891</v>
      </c>
      <c r="E1720" s="52">
        <v>46081.607638888891</v>
      </c>
      <c r="F1720" s="52">
        <v>46081.999305555553</v>
      </c>
      <c r="G1720" s="53">
        <v>0.39234953703703701</v>
      </c>
      <c r="H1720" s="1" t="s">
        <v>268</v>
      </c>
      <c r="I1720" s="1" t="s">
        <v>269</v>
      </c>
      <c r="J1720" s="1" t="s">
        <v>319</v>
      </c>
      <c r="K1720" s="1" t="s">
        <v>652</v>
      </c>
      <c r="L1720" s="1" t="s">
        <v>905</v>
      </c>
    </row>
    <row r="1721" spans="2:12">
      <c r="B1721" s="1" t="s">
        <v>619</v>
      </c>
      <c r="C1721" s="1" t="s">
        <v>757</v>
      </c>
      <c r="D1721" s="52">
        <v>46081.588194444441</v>
      </c>
      <c r="E1721" s="52">
        <v>46081.588194444441</v>
      </c>
      <c r="F1721" s="52">
        <v>46081.588888888888</v>
      </c>
      <c r="G1721" s="53">
        <v>7.8703703703703705E-4</v>
      </c>
      <c r="H1721" s="1" t="s">
        <v>257</v>
      </c>
      <c r="J1721" s="1" t="s">
        <v>371</v>
      </c>
      <c r="K1721" s="1" t="s">
        <v>653</v>
      </c>
      <c r="L1721" s="1" t="s">
        <v>906</v>
      </c>
    </row>
    <row r="1722" spans="2:12">
      <c r="B1722" s="1" t="s">
        <v>619</v>
      </c>
      <c r="C1722" s="1" t="s">
        <v>757</v>
      </c>
      <c r="D1722" s="52">
        <v>46081.584027777775</v>
      </c>
      <c r="E1722" s="52">
        <v>46081.584027777775</v>
      </c>
      <c r="F1722" s="52">
        <v>46081.584722222222</v>
      </c>
      <c r="G1722" s="53">
        <v>7.7546296296296293E-4</v>
      </c>
      <c r="H1722" s="1" t="s">
        <v>257</v>
      </c>
      <c r="J1722" s="1" t="s">
        <v>371</v>
      </c>
      <c r="K1722" s="1" t="s">
        <v>653</v>
      </c>
      <c r="L1722" s="1" t="s">
        <v>906</v>
      </c>
    </row>
    <row r="1723" spans="2:12">
      <c r="B1723" s="1" t="s">
        <v>619</v>
      </c>
      <c r="C1723" s="1" t="s">
        <v>757</v>
      </c>
      <c r="D1723" s="52">
        <v>46081.581250000003</v>
      </c>
      <c r="E1723" s="52">
        <v>46081.581250000003</v>
      </c>
      <c r="F1723" s="52">
        <v>46081.581944444442</v>
      </c>
      <c r="G1723" s="53">
        <v>7.7546296296296293E-4</v>
      </c>
      <c r="H1723" s="1" t="s">
        <v>257</v>
      </c>
      <c r="J1723" s="1" t="s">
        <v>371</v>
      </c>
      <c r="K1723" s="1" t="s">
        <v>653</v>
      </c>
      <c r="L1723" s="1" t="s">
        <v>906</v>
      </c>
    </row>
    <row r="1724" spans="2:12">
      <c r="B1724" s="1" t="s">
        <v>619</v>
      </c>
      <c r="C1724" s="1" t="s">
        <v>757</v>
      </c>
      <c r="D1724" s="52">
        <v>46081.534722222219</v>
      </c>
      <c r="E1724" s="52">
        <v>46081.534722222219</v>
      </c>
      <c r="F1724" s="52">
        <v>46081.535416666666</v>
      </c>
      <c r="G1724" s="53">
        <v>8.1018518518518516E-4</v>
      </c>
      <c r="H1724" s="1" t="s">
        <v>257</v>
      </c>
      <c r="J1724" s="1" t="s">
        <v>371</v>
      </c>
      <c r="K1724" s="1" t="s">
        <v>653</v>
      </c>
      <c r="L1724" s="1" t="s">
        <v>906</v>
      </c>
    </row>
    <row r="1725" spans="2:12">
      <c r="B1725" s="1" t="s">
        <v>619</v>
      </c>
      <c r="C1725" s="1" t="s">
        <v>757</v>
      </c>
      <c r="D1725" s="52">
        <v>46081.53125</v>
      </c>
      <c r="E1725" s="52">
        <v>46081.53125</v>
      </c>
      <c r="F1725" s="52">
        <v>46081.531944444447</v>
      </c>
      <c r="G1725" s="53">
        <v>7.6388888888888893E-4</v>
      </c>
      <c r="H1725" s="1" t="s">
        <v>257</v>
      </c>
      <c r="J1725" s="1" t="s">
        <v>371</v>
      </c>
      <c r="K1725" s="1" t="s">
        <v>653</v>
      </c>
      <c r="L1725" s="1" t="s">
        <v>906</v>
      </c>
    </row>
    <row r="1726" spans="2:12">
      <c r="B1726" s="1" t="s">
        <v>619</v>
      </c>
      <c r="C1726" s="1" t="s">
        <v>757</v>
      </c>
      <c r="D1726" s="52">
        <v>46081.525694444441</v>
      </c>
      <c r="E1726" s="52">
        <v>46081.525694444441</v>
      </c>
      <c r="F1726" s="52">
        <v>46081.526388888888</v>
      </c>
      <c r="G1726" s="53">
        <v>7.9861111111111116E-4</v>
      </c>
      <c r="H1726" s="1" t="s">
        <v>257</v>
      </c>
      <c r="J1726" s="1" t="s">
        <v>371</v>
      </c>
      <c r="K1726" s="1" t="s">
        <v>653</v>
      </c>
      <c r="L1726" s="1" t="s">
        <v>906</v>
      </c>
    </row>
    <row r="1727" spans="2:12">
      <c r="B1727" s="1" t="s">
        <v>619</v>
      </c>
      <c r="C1727" s="1" t="s">
        <v>757</v>
      </c>
      <c r="D1727" s="52">
        <v>46081.521527777775</v>
      </c>
      <c r="E1727" s="52">
        <v>46081.521527777775</v>
      </c>
      <c r="F1727" s="52">
        <v>46081.522222222222</v>
      </c>
      <c r="G1727" s="53">
        <v>7.7546296296296293E-4</v>
      </c>
      <c r="H1727" s="1" t="s">
        <v>257</v>
      </c>
      <c r="J1727" s="1" t="s">
        <v>371</v>
      </c>
      <c r="K1727" s="1" t="s">
        <v>653</v>
      </c>
      <c r="L1727" s="1" t="s">
        <v>906</v>
      </c>
    </row>
    <row r="1728" spans="2:12">
      <c r="B1728" s="1" t="s">
        <v>619</v>
      </c>
      <c r="C1728" s="1" t="s">
        <v>757</v>
      </c>
      <c r="D1728" s="52">
        <v>46081.518055555556</v>
      </c>
      <c r="E1728" s="52">
        <v>46081.518055555556</v>
      </c>
      <c r="F1728" s="52">
        <v>46081.518750000003</v>
      </c>
      <c r="G1728" s="53">
        <v>7.7546296296296293E-4</v>
      </c>
      <c r="H1728" s="1" t="s">
        <v>257</v>
      </c>
      <c r="J1728" s="1" t="s">
        <v>371</v>
      </c>
      <c r="K1728" s="1" t="s">
        <v>653</v>
      </c>
      <c r="L1728" s="1" t="s">
        <v>906</v>
      </c>
    </row>
    <row r="1729" spans="2:12">
      <c r="B1729" s="1" t="s">
        <v>619</v>
      </c>
      <c r="C1729" s="1" t="s">
        <v>757</v>
      </c>
      <c r="D1729" s="52">
        <v>46081.513888888891</v>
      </c>
      <c r="E1729" s="52">
        <v>46081.513888888891</v>
      </c>
      <c r="F1729" s="52">
        <v>46081.51458333333</v>
      </c>
      <c r="G1729" s="53">
        <v>7.6388888888888893E-4</v>
      </c>
      <c r="H1729" s="1" t="s">
        <v>257</v>
      </c>
      <c r="J1729" s="1" t="s">
        <v>371</v>
      </c>
      <c r="K1729" s="1" t="s">
        <v>653</v>
      </c>
      <c r="L1729" s="1" t="s">
        <v>906</v>
      </c>
    </row>
    <row r="1730" spans="2:12">
      <c r="B1730" s="1" t="s">
        <v>619</v>
      </c>
      <c r="C1730" s="1" t="s">
        <v>757</v>
      </c>
      <c r="D1730" s="52">
        <v>46081.510416666664</v>
      </c>
      <c r="E1730" s="52">
        <v>46081.510416666664</v>
      </c>
      <c r="F1730" s="52">
        <v>46081.511111111111</v>
      </c>
      <c r="G1730" s="53">
        <v>7.9861111111111116E-4</v>
      </c>
      <c r="H1730" s="1" t="s">
        <v>257</v>
      </c>
      <c r="J1730" s="1" t="s">
        <v>371</v>
      </c>
      <c r="K1730" s="1" t="s">
        <v>653</v>
      </c>
      <c r="L1730" s="1" t="s">
        <v>906</v>
      </c>
    </row>
    <row r="1731" spans="2:12">
      <c r="B1731" s="1" t="s">
        <v>619</v>
      </c>
      <c r="C1731" s="1" t="s">
        <v>757</v>
      </c>
      <c r="D1731" s="52">
        <v>46081.505555555559</v>
      </c>
      <c r="E1731" s="52">
        <v>46081.505555555559</v>
      </c>
      <c r="F1731" s="52">
        <v>46081.506249999999</v>
      </c>
      <c r="G1731" s="53">
        <v>7.6388888888888893E-4</v>
      </c>
      <c r="H1731" s="1" t="s">
        <v>257</v>
      </c>
      <c r="J1731" s="1" t="s">
        <v>371</v>
      </c>
      <c r="K1731" s="1" t="s">
        <v>653</v>
      </c>
      <c r="L1731" s="1" t="s">
        <v>906</v>
      </c>
    </row>
    <row r="1732" spans="2:12">
      <c r="B1732" s="1" t="s">
        <v>619</v>
      </c>
      <c r="C1732" s="1" t="s">
        <v>757</v>
      </c>
      <c r="D1732" s="52">
        <v>46081.501388888886</v>
      </c>
      <c r="E1732" s="52">
        <v>46081.501388888886</v>
      </c>
      <c r="F1732" s="52">
        <v>46081.502083333333</v>
      </c>
      <c r="G1732" s="53">
        <v>7.7546296296296293E-4</v>
      </c>
      <c r="H1732" s="1" t="s">
        <v>257</v>
      </c>
      <c r="J1732" s="1" t="s">
        <v>371</v>
      </c>
      <c r="K1732" s="1" t="s">
        <v>653</v>
      </c>
      <c r="L1732" s="1" t="s">
        <v>906</v>
      </c>
    </row>
    <row r="1733" spans="2:12">
      <c r="B1733" s="1" t="s">
        <v>619</v>
      </c>
      <c r="C1733" s="1" t="s">
        <v>757</v>
      </c>
      <c r="D1733" s="52">
        <v>46081.404166666667</v>
      </c>
      <c r="E1733" s="52">
        <v>46081.404166666667</v>
      </c>
      <c r="F1733" s="52">
        <v>46081.404861111114</v>
      </c>
      <c r="G1733" s="53">
        <v>7.9861111111111116E-4</v>
      </c>
      <c r="H1733" s="1" t="s">
        <v>257</v>
      </c>
      <c r="J1733" s="1" t="s">
        <v>371</v>
      </c>
      <c r="K1733" s="1" t="s">
        <v>653</v>
      </c>
      <c r="L1733" s="1" t="s">
        <v>906</v>
      </c>
    </row>
    <row r="1734" spans="2:12">
      <c r="B1734" s="1" t="s">
        <v>619</v>
      </c>
      <c r="C1734" s="1" t="s">
        <v>757</v>
      </c>
      <c r="D1734" s="52">
        <v>46081.398611111108</v>
      </c>
      <c r="E1734" s="52">
        <v>46081.398611111108</v>
      </c>
      <c r="F1734" s="52">
        <v>46081.399305555555</v>
      </c>
      <c r="G1734" s="53">
        <v>7.7546296296296293E-4</v>
      </c>
      <c r="H1734" s="1" t="s">
        <v>257</v>
      </c>
      <c r="J1734" s="1" t="s">
        <v>371</v>
      </c>
      <c r="K1734" s="1" t="s">
        <v>653</v>
      </c>
      <c r="L1734" s="1" t="s">
        <v>906</v>
      </c>
    </row>
    <row r="1735" spans="2:12">
      <c r="B1735" s="1" t="s">
        <v>619</v>
      </c>
      <c r="C1735" s="1" t="s">
        <v>757</v>
      </c>
      <c r="D1735" s="52">
        <v>46081.392361111109</v>
      </c>
      <c r="E1735" s="52">
        <v>46081.392361111109</v>
      </c>
      <c r="F1735" s="52">
        <v>46081.393055555556</v>
      </c>
      <c r="G1735" s="53">
        <v>7.8703703703703705E-4</v>
      </c>
      <c r="H1735" s="1" t="s">
        <v>257</v>
      </c>
      <c r="J1735" s="1" t="s">
        <v>371</v>
      </c>
      <c r="K1735" s="1" t="s">
        <v>653</v>
      </c>
      <c r="L1735" s="1" t="s">
        <v>906</v>
      </c>
    </row>
    <row r="1736" spans="2:12">
      <c r="B1736" s="1" t="s">
        <v>619</v>
      </c>
      <c r="C1736" s="1" t="s">
        <v>757</v>
      </c>
      <c r="D1736" s="52">
        <v>46080.689583333333</v>
      </c>
      <c r="E1736" s="52">
        <v>46080.689583333333</v>
      </c>
      <c r="F1736" s="52">
        <v>46080.690972222219</v>
      </c>
      <c r="G1736" s="53">
        <v>7.6388888888888893E-4</v>
      </c>
      <c r="H1736" s="1" t="s">
        <v>257</v>
      </c>
      <c r="J1736" s="1" t="s">
        <v>371</v>
      </c>
      <c r="K1736" s="1" t="s">
        <v>653</v>
      </c>
      <c r="L1736" s="1" t="s">
        <v>906</v>
      </c>
    </row>
    <row r="1737" spans="2:12">
      <c r="B1737" s="1" t="s">
        <v>619</v>
      </c>
      <c r="C1737" s="1" t="s">
        <v>757</v>
      </c>
      <c r="D1737" s="52">
        <v>46080.681250000001</v>
      </c>
      <c r="E1737" s="52">
        <v>46080.681250000001</v>
      </c>
      <c r="F1737" s="52">
        <v>46080.681944444441</v>
      </c>
      <c r="G1737" s="53">
        <v>7.7546296296296293E-4</v>
      </c>
      <c r="H1737" s="1" t="s">
        <v>257</v>
      </c>
      <c r="J1737" s="1" t="s">
        <v>371</v>
      </c>
      <c r="K1737" s="1" t="s">
        <v>653</v>
      </c>
      <c r="L1737" s="1" t="s">
        <v>906</v>
      </c>
    </row>
    <row r="1738" spans="2:12">
      <c r="B1738" s="1" t="s">
        <v>619</v>
      </c>
      <c r="C1738" s="1" t="s">
        <v>757</v>
      </c>
      <c r="D1738" s="52">
        <v>46080.677083333336</v>
      </c>
      <c r="E1738" s="52">
        <v>46080.677083333336</v>
      </c>
      <c r="F1738" s="52">
        <v>46080.677777777775</v>
      </c>
      <c r="G1738" s="53">
        <v>8.1018518518518516E-4</v>
      </c>
      <c r="H1738" s="1" t="s">
        <v>257</v>
      </c>
      <c r="J1738" s="1" t="s">
        <v>371</v>
      </c>
      <c r="K1738" s="1" t="s">
        <v>653</v>
      </c>
      <c r="L1738" s="1" t="s">
        <v>906</v>
      </c>
    </row>
    <row r="1739" spans="2:12">
      <c r="B1739" s="1" t="s">
        <v>619</v>
      </c>
      <c r="C1739" s="1" t="s">
        <v>757</v>
      </c>
      <c r="D1739" s="52">
        <v>46080.672222222223</v>
      </c>
      <c r="E1739" s="52">
        <v>46080.672222222223</v>
      </c>
      <c r="F1739" s="52">
        <v>46080.673611111109</v>
      </c>
      <c r="G1739" s="53">
        <v>8.1018518518518516E-4</v>
      </c>
      <c r="H1739" s="1" t="s">
        <v>257</v>
      </c>
      <c r="J1739" s="1" t="s">
        <v>371</v>
      </c>
      <c r="K1739" s="1" t="s">
        <v>653</v>
      </c>
      <c r="L1739" s="1" t="s">
        <v>906</v>
      </c>
    </row>
    <row r="1740" spans="2:12">
      <c r="B1740" s="1" t="s">
        <v>619</v>
      </c>
      <c r="C1740" s="1" t="s">
        <v>757</v>
      </c>
      <c r="D1740" s="52">
        <v>46080.668749999997</v>
      </c>
      <c r="E1740" s="52">
        <v>46080.668749999997</v>
      </c>
      <c r="F1740" s="52">
        <v>46080.669444444444</v>
      </c>
      <c r="G1740" s="53">
        <v>7.7546296296296293E-4</v>
      </c>
      <c r="H1740" s="1" t="s">
        <v>257</v>
      </c>
      <c r="J1740" s="1" t="s">
        <v>371</v>
      </c>
      <c r="K1740" s="1" t="s">
        <v>653</v>
      </c>
      <c r="L1740" s="1" t="s">
        <v>906</v>
      </c>
    </row>
    <row r="1741" spans="2:12">
      <c r="B1741" s="1" t="s">
        <v>619</v>
      </c>
      <c r="C1741" s="1" t="s">
        <v>757</v>
      </c>
      <c r="D1741" s="52">
        <v>46080.644444444442</v>
      </c>
      <c r="E1741" s="52">
        <v>46080.644444444442</v>
      </c>
      <c r="F1741" s="52">
        <v>46080.645138888889</v>
      </c>
      <c r="G1741" s="53">
        <v>7.8703703703703705E-4</v>
      </c>
      <c r="H1741" s="1" t="s">
        <v>257</v>
      </c>
      <c r="J1741" s="1" t="s">
        <v>371</v>
      </c>
      <c r="K1741" s="1" t="s">
        <v>653</v>
      </c>
      <c r="L1741" s="1" t="s">
        <v>906</v>
      </c>
    </row>
    <row r="1742" spans="2:12">
      <c r="B1742" s="1" t="s">
        <v>619</v>
      </c>
      <c r="C1742" s="1" t="s">
        <v>757</v>
      </c>
      <c r="D1742" s="52">
        <v>46080.634722222225</v>
      </c>
      <c r="E1742" s="52">
        <v>46080.634722222225</v>
      </c>
      <c r="F1742" s="52">
        <v>46080.635416666664</v>
      </c>
      <c r="G1742" s="53">
        <v>8.4490740740740739E-4</v>
      </c>
      <c r="H1742" s="1" t="s">
        <v>257</v>
      </c>
      <c r="J1742" s="1" t="s">
        <v>371</v>
      </c>
      <c r="K1742" s="1" t="s">
        <v>653</v>
      </c>
      <c r="L1742" s="1" t="s">
        <v>906</v>
      </c>
    </row>
    <row r="1743" spans="2:12">
      <c r="B1743" s="1" t="s">
        <v>619</v>
      </c>
      <c r="C1743" s="1" t="s">
        <v>757</v>
      </c>
      <c r="D1743" s="52">
        <v>46080.631249999999</v>
      </c>
      <c r="E1743" s="52">
        <v>46080.631249999999</v>
      </c>
      <c r="F1743" s="52">
        <v>46080.631944444445</v>
      </c>
      <c r="G1743" s="53">
        <v>7.6388888888888893E-4</v>
      </c>
      <c r="H1743" s="1" t="s">
        <v>257</v>
      </c>
      <c r="J1743" s="1" t="s">
        <v>371</v>
      </c>
      <c r="K1743" s="1" t="s">
        <v>653</v>
      </c>
      <c r="L1743" s="1" t="s">
        <v>906</v>
      </c>
    </row>
    <row r="1744" spans="2:12">
      <c r="B1744" s="1" t="s">
        <v>619</v>
      </c>
      <c r="C1744" s="1" t="s">
        <v>757</v>
      </c>
      <c r="D1744" s="52">
        <v>46080.627083333333</v>
      </c>
      <c r="E1744" s="52">
        <v>46080.627083333333</v>
      </c>
      <c r="F1744" s="52">
        <v>46080.62777777778</v>
      </c>
      <c r="G1744" s="53">
        <v>7.7546296296296293E-4</v>
      </c>
      <c r="H1744" s="1" t="s">
        <v>257</v>
      </c>
      <c r="J1744" s="1" t="s">
        <v>371</v>
      </c>
      <c r="K1744" s="1" t="s">
        <v>653</v>
      </c>
      <c r="L1744" s="1" t="s">
        <v>906</v>
      </c>
    </row>
    <row r="1745" spans="2:12">
      <c r="B1745" s="1" t="s">
        <v>619</v>
      </c>
      <c r="C1745" s="1" t="s">
        <v>757</v>
      </c>
      <c r="D1745" s="52">
        <v>46080.62222222222</v>
      </c>
      <c r="E1745" s="52">
        <v>46080.62222222222</v>
      </c>
      <c r="F1745" s="52">
        <v>46080.622916666667</v>
      </c>
      <c r="G1745" s="53">
        <v>7.5231481481481482E-4</v>
      </c>
      <c r="H1745" s="1" t="s">
        <v>257</v>
      </c>
      <c r="J1745" s="1" t="s">
        <v>371</v>
      </c>
      <c r="K1745" s="1" t="s">
        <v>653</v>
      </c>
      <c r="L1745" s="1" t="s">
        <v>906</v>
      </c>
    </row>
    <row r="1746" spans="2:12">
      <c r="B1746" s="1" t="s">
        <v>619</v>
      </c>
      <c r="C1746" s="1" t="s">
        <v>757</v>
      </c>
      <c r="D1746" s="52">
        <v>46080.540972222225</v>
      </c>
      <c r="E1746" s="52">
        <v>46080.540972222225</v>
      </c>
      <c r="F1746" s="52">
        <v>46080.541666666664</v>
      </c>
      <c r="G1746" s="53">
        <v>7.7546296296296293E-4</v>
      </c>
      <c r="H1746" s="1" t="s">
        <v>257</v>
      </c>
      <c r="J1746" s="1" t="s">
        <v>371</v>
      </c>
      <c r="K1746" s="1" t="s">
        <v>653</v>
      </c>
      <c r="L1746" s="1" t="s">
        <v>906</v>
      </c>
    </row>
    <row r="1747" spans="2:12">
      <c r="B1747" s="1" t="s">
        <v>619</v>
      </c>
      <c r="C1747" s="1" t="s">
        <v>757</v>
      </c>
      <c r="D1747" s="52">
        <v>46080.536111111112</v>
      </c>
      <c r="E1747" s="52">
        <v>46080.536111111112</v>
      </c>
      <c r="F1747" s="52">
        <v>46080.536805555559</v>
      </c>
      <c r="G1747" s="53">
        <v>7.7546296296296293E-4</v>
      </c>
      <c r="H1747" s="1" t="s">
        <v>257</v>
      </c>
      <c r="J1747" s="1" t="s">
        <v>371</v>
      </c>
      <c r="K1747" s="1" t="s">
        <v>653</v>
      </c>
      <c r="L1747" s="1" t="s">
        <v>906</v>
      </c>
    </row>
    <row r="1748" spans="2:12">
      <c r="B1748" s="1" t="s">
        <v>619</v>
      </c>
      <c r="C1748" s="1" t="s">
        <v>757</v>
      </c>
      <c r="D1748" s="52">
        <v>46080.50277777778</v>
      </c>
      <c r="E1748" s="52">
        <v>46080.50277777778</v>
      </c>
      <c r="F1748" s="52">
        <v>46080.503472222219</v>
      </c>
      <c r="G1748" s="53">
        <v>7.7546296296296293E-4</v>
      </c>
      <c r="H1748" s="1" t="s">
        <v>257</v>
      </c>
      <c r="J1748" s="1" t="s">
        <v>371</v>
      </c>
      <c r="K1748" s="1" t="s">
        <v>653</v>
      </c>
      <c r="L1748" s="1" t="s">
        <v>906</v>
      </c>
    </row>
    <row r="1749" spans="2:12">
      <c r="B1749" s="1" t="s">
        <v>619</v>
      </c>
      <c r="C1749" s="1" t="s">
        <v>757</v>
      </c>
      <c r="D1749" s="52">
        <v>46080.49722222222</v>
      </c>
      <c r="E1749" s="52">
        <v>46080.49722222222</v>
      </c>
      <c r="F1749" s="52">
        <v>46080.497916666667</v>
      </c>
      <c r="G1749" s="53">
        <v>7.8703703703703705E-4</v>
      </c>
      <c r="H1749" s="1" t="s">
        <v>257</v>
      </c>
      <c r="J1749" s="1" t="s">
        <v>371</v>
      </c>
      <c r="K1749" s="1" t="s">
        <v>653</v>
      </c>
      <c r="L1749" s="1" t="s">
        <v>906</v>
      </c>
    </row>
    <row r="1750" spans="2:12">
      <c r="B1750" s="1" t="s">
        <v>619</v>
      </c>
      <c r="C1750" s="1" t="s">
        <v>757</v>
      </c>
      <c r="D1750" s="52">
        <v>46078.63958333333</v>
      </c>
      <c r="E1750" s="52">
        <v>46078.63958333333</v>
      </c>
      <c r="F1750" s="52">
        <v>46078.640277777777</v>
      </c>
      <c r="G1750" s="53">
        <v>8.1018518518518516E-4</v>
      </c>
      <c r="H1750" s="1" t="s">
        <v>257</v>
      </c>
      <c r="J1750" s="1" t="s">
        <v>371</v>
      </c>
      <c r="K1750" s="1" t="s">
        <v>653</v>
      </c>
      <c r="L1750" s="1" t="s">
        <v>906</v>
      </c>
    </row>
    <row r="1751" spans="2:12">
      <c r="B1751" s="1" t="s">
        <v>619</v>
      </c>
      <c r="C1751" s="1" t="s">
        <v>757</v>
      </c>
      <c r="D1751" s="52">
        <v>46078.634722222225</v>
      </c>
      <c r="E1751" s="52">
        <v>46078.634722222225</v>
      </c>
      <c r="F1751" s="52">
        <v>46078.635416666664</v>
      </c>
      <c r="G1751" s="53">
        <v>8.1018518518518516E-4</v>
      </c>
      <c r="H1751" s="1" t="s">
        <v>257</v>
      </c>
      <c r="J1751" s="1" t="s">
        <v>371</v>
      </c>
      <c r="K1751" s="1" t="s">
        <v>653</v>
      </c>
      <c r="L1751" s="1" t="s">
        <v>906</v>
      </c>
    </row>
    <row r="1752" spans="2:12">
      <c r="B1752" s="1" t="s">
        <v>619</v>
      </c>
      <c r="C1752" s="1" t="s">
        <v>757</v>
      </c>
      <c r="D1752" s="52">
        <v>46078.630555555559</v>
      </c>
      <c r="E1752" s="52">
        <v>46078.630555555559</v>
      </c>
      <c r="F1752" s="52">
        <v>46078.631249999999</v>
      </c>
      <c r="G1752" s="53">
        <v>7.8703703703703705E-4</v>
      </c>
      <c r="H1752" s="1" t="s">
        <v>257</v>
      </c>
      <c r="J1752" s="1" t="s">
        <v>371</v>
      </c>
      <c r="K1752" s="1" t="s">
        <v>653</v>
      </c>
      <c r="L1752" s="1" t="s">
        <v>906</v>
      </c>
    </row>
    <row r="1753" spans="2:12">
      <c r="B1753" s="1" t="s">
        <v>619</v>
      </c>
      <c r="C1753" s="1" t="s">
        <v>757</v>
      </c>
      <c r="D1753" s="52">
        <v>46078.626388888886</v>
      </c>
      <c r="E1753" s="52">
        <v>46078.626388888886</v>
      </c>
      <c r="F1753" s="52">
        <v>46078.627083333333</v>
      </c>
      <c r="G1753" s="53">
        <v>7.7546296296296293E-4</v>
      </c>
      <c r="H1753" s="1" t="s">
        <v>257</v>
      </c>
      <c r="J1753" s="1" t="s">
        <v>371</v>
      </c>
      <c r="K1753" s="1" t="s">
        <v>653</v>
      </c>
      <c r="L1753" s="1" t="s">
        <v>906</v>
      </c>
    </row>
    <row r="1754" spans="2:12">
      <c r="B1754" s="1" t="s">
        <v>619</v>
      </c>
      <c r="C1754" s="1" t="s">
        <v>757</v>
      </c>
      <c r="D1754" s="52">
        <v>46078.62222222222</v>
      </c>
      <c r="E1754" s="52">
        <v>46078.62222222222</v>
      </c>
      <c r="F1754" s="52">
        <v>46078.623611111114</v>
      </c>
      <c r="G1754" s="53">
        <v>7.8703703703703705E-4</v>
      </c>
      <c r="H1754" s="1" t="s">
        <v>257</v>
      </c>
      <c r="J1754" s="1" t="s">
        <v>371</v>
      </c>
      <c r="K1754" s="1" t="s">
        <v>653</v>
      </c>
      <c r="L1754" s="1" t="s">
        <v>906</v>
      </c>
    </row>
    <row r="1755" spans="2:12">
      <c r="B1755" s="1" t="s">
        <v>619</v>
      </c>
      <c r="C1755" s="1" t="s">
        <v>757</v>
      </c>
      <c r="D1755" s="52">
        <v>46078.618055555555</v>
      </c>
      <c r="E1755" s="52">
        <v>46078.618055555555</v>
      </c>
      <c r="F1755" s="52">
        <v>46078.619444444441</v>
      </c>
      <c r="G1755" s="53">
        <v>7.8703703703703705E-4</v>
      </c>
      <c r="H1755" s="1" t="s">
        <v>257</v>
      </c>
      <c r="J1755" s="1" t="s">
        <v>371</v>
      </c>
      <c r="K1755" s="1" t="s">
        <v>653</v>
      </c>
      <c r="L1755" s="1" t="s">
        <v>906</v>
      </c>
    </row>
    <row r="1756" spans="2:12">
      <c r="B1756" s="1" t="s">
        <v>619</v>
      </c>
      <c r="C1756" s="1" t="s">
        <v>757</v>
      </c>
      <c r="D1756" s="52">
        <v>46078.613888888889</v>
      </c>
      <c r="E1756" s="52">
        <v>46078.613888888889</v>
      </c>
      <c r="F1756" s="52">
        <v>46078.614583333336</v>
      </c>
      <c r="G1756" s="53">
        <v>7.8703703703703705E-4</v>
      </c>
      <c r="H1756" s="1" t="s">
        <v>257</v>
      </c>
      <c r="J1756" s="1" t="s">
        <v>371</v>
      </c>
      <c r="K1756" s="1" t="s">
        <v>653</v>
      </c>
      <c r="L1756" s="1" t="s">
        <v>906</v>
      </c>
    </row>
    <row r="1757" spans="2:12">
      <c r="B1757" s="1" t="s">
        <v>619</v>
      </c>
      <c r="C1757" s="1" t="s">
        <v>757</v>
      </c>
      <c r="D1757" s="52">
        <v>46078.61041666667</v>
      </c>
      <c r="E1757" s="52">
        <v>46078.61041666667</v>
      </c>
      <c r="F1757" s="52">
        <v>46078.611111111109</v>
      </c>
      <c r="G1757" s="53">
        <v>7.6388888888888893E-4</v>
      </c>
      <c r="H1757" s="1" t="s">
        <v>257</v>
      </c>
      <c r="J1757" s="1" t="s">
        <v>371</v>
      </c>
      <c r="K1757" s="1" t="s">
        <v>653</v>
      </c>
      <c r="L1757" s="1" t="s">
        <v>906</v>
      </c>
    </row>
    <row r="1758" spans="2:12">
      <c r="B1758" s="1" t="s">
        <v>619</v>
      </c>
      <c r="C1758" s="1" t="s">
        <v>757</v>
      </c>
      <c r="D1758" s="52">
        <v>46078.606249999997</v>
      </c>
      <c r="E1758" s="52">
        <v>46078.606249999997</v>
      </c>
      <c r="F1758" s="52">
        <v>46078.606944444444</v>
      </c>
      <c r="G1758" s="53">
        <v>7.7546296296296293E-4</v>
      </c>
      <c r="H1758" s="1" t="s">
        <v>257</v>
      </c>
      <c r="J1758" s="1" t="s">
        <v>371</v>
      </c>
      <c r="K1758" s="1" t="s">
        <v>653</v>
      </c>
      <c r="L1758" s="1" t="s">
        <v>906</v>
      </c>
    </row>
    <row r="1759" spans="2:12">
      <c r="B1759" s="1" t="s">
        <v>619</v>
      </c>
      <c r="C1759" s="1" t="s">
        <v>757</v>
      </c>
      <c r="D1759" s="52">
        <v>46078.598611111112</v>
      </c>
      <c r="E1759" s="52">
        <v>46078.598611111112</v>
      </c>
      <c r="F1759" s="52">
        <v>46078.599305555559</v>
      </c>
      <c r="G1759" s="53">
        <v>7.7546296296296293E-4</v>
      </c>
      <c r="H1759" s="1" t="s">
        <v>257</v>
      </c>
      <c r="J1759" s="1" t="s">
        <v>371</v>
      </c>
      <c r="K1759" s="1" t="s">
        <v>653</v>
      </c>
      <c r="L1759" s="1" t="s">
        <v>906</v>
      </c>
    </row>
    <row r="1760" spans="2:12">
      <c r="B1760" s="1" t="s">
        <v>619</v>
      </c>
      <c r="C1760" s="1" t="s">
        <v>757</v>
      </c>
      <c r="D1760" s="52">
        <v>46076.65625</v>
      </c>
      <c r="E1760" s="52">
        <v>46076.65625</v>
      </c>
      <c r="F1760" s="52">
        <v>46076.656944444447</v>
      </c>
      <c r="G1760" s="53">
        <v>7.7546296296296293E-4</v>
      </c>
      <c r="H1760" s="1" t="s">
        <v>257</v>
      </c>
      <c r="J1760" s="1" t="s">
        <v>371</v>
      </c>
      <c r="K1760" s="1" t="s">
        <v>653</v>
      </c>
      <c r="L1760" s="1" t="s">
        <v>906</v>
      </c>
    </row>
    <row r="1761" spans="2:12">
      <c r="B1761" s="1" t="s">
        <v>619</v>
      </c>
      <c r="C1761" s="1" t="s">
        <v>757</v>
      </c>
      <c r="D1761" s="52">
        <v>46076.650694444441</v>
      </c>
      <c r="E1761" s="52">
        <v>46076.650694444441</v>
      </c>
      <c r="F1761" s="52">
        <v>46076.651388888888</v>
      </c>
      <c r="G1761" s="53">
        <v>7.7546296296296293E-4</v>
      </c>
      <c r="H1761" s="1" t="s">
        <v>257</v>
      </c>
      <c r="J1761" s="1" t="s">
        <v>371</v>
      </c>
      <c r="K1761" s="1" t="s">
        <v>653</v>
      </c>
      <c r="L1761" s="1" t="s">
        <v>906</v>
      </c>
    </row>
    <row r="1762" spans="2:12">
      <c r="B1762" s="1" t="s">
        <v>619</v>
      </c>
      <c r="C1762" s="1" t="s">
        <v>757</v>
      </c>
      <c r="D1762" s="52">
        <v>46074.664583333331</v>
      </c>
      <c r="E1762" s="52">
        <v>46074.664583333331</v>
      </c>
      <c r="F1762" s="52">
        <v>46074.665277777778</v>
      </c>
      <c r="G1762" s="53">
        <v>7.8703703703703705E-4</v>
      </c>
      <c r="H1762" s="1" t="s">
        <v>257</v>
      </c>
      <c r="J1762" s="1" t="s">
        <v>371</v>
      </c>
      <c r="K1762" s="1" t="s">
        <v>653</v>
      </c>
      <c r="L1762" s="1" t="s">
        <v>906</v>
      </c>
    </row>
    <row r="1763" spans="2:12">
      <c r="B1763" s="1" t="s">
        <v>619</v>
      </c>
      <c r="C1763" s="1" t="s">
        <v>757</v>
      </c>
      <c r="D1763" s="52">
        <v>46074.651388888888</v>
      </c>
      <c r="E1763" s="52">
        <v>46074.651388888888</v>
      </c>
      <c r="F1763" s="52">
        <v>46074.652083333334</v>
      </c>
      <c r="G1763" s="53">
        <v>7.8703703703703705E-4</v>
      </c>
      <c r="H1763" s="1" t="s">
        <v>257</v>
      </c>
      <c r="J1763" s="1" t="s">
        <v>371</v>
      </c>
      <c r="K1763" s="1" t="s">
        <v>653</v>
      </c>
      <c r="L1763" s="1" t="s">
        <v>906</v>
      </c>
    </row>
    <row r="1764" spans="2:12">
      <c r="B1764" s="1" t="s">
        <v>619</v>
      </c>
      <c r="C1764" s="1" t="s">
        <v>757</v>
      </c>
      <c r="D1764" s="52">
        <v>46074.638194444444</v>
      </c>
      <c r="E1764" s="52">
        <v>46074.638194444444</v>
      </c>
      <c r="F1764" s="52">
        <v>46074.638888888891</v>
      </c>
      <c r="G1764" s="53">
        <v>7.7546296296296293E-4</v>
      </c>
      <c r="H1764" s="1" t="s">
        <v>257</v>
      </c>
      <c r="J1764" s="1" t="s">
        <v>371</v>
      </c>
      <c r="K1764" s="1" t="s">
        <v>653</v>
      </c>
      <c r="L1764" s="1" t="s">
        <v>906</v>
      </c>
    </row>
    <row r="1765" spans="2:12">
      <c r="B1765" s="1" t="s">
        <v>619</v>
      </c>
      <c r="C1765" s="1" t="s">
        <v>757</v>
      </c>
      <c r="D1765" s="52">
        <v>46074.634722222225</v>
      </c>
      <c r="E1765" s="52">
        <v>46074.634722222225</v>
      </c>
      <c r="F1765" s="52">
        <v>46074.635416666664</v>
      </c>
      <c r="G1765" s="53">
        <v>7.6388888888888893E-4</v>
      </c>
      <c r="H1765" s="1" t="s">
        <v>257</v>
      </c>
      <c r="J1765" s="1" t="s">
        <v>371</v>
      </c>
      <c r="K1765" s="1" t="s">
        <v>653</v>
      </c>
      <c r="L1765" s="1" t="s">
        <v>906</v>
      </c>
    </row>
    <row r="1766" spans="2:12">
      <c r="B1766" s="1" t="s">
        <v>619</v>
      </c>
      <c r="C1766" s="1" t="s">
        <v>757</v>
      </c>
      <c r="D1766" s="52">
        <v>46074.631249999999</v>
      </c>
      <c r="E1766" s="52">
        <v>46074.631249999999</v>
      </c>
      <c r="F1766" s="52">
        <v>46074.631944444445</v>
      </c>
      <c r="G1766" s="53">
        <v>7.8703703703703705E-4</v>
      </c>
      <c r="H1766" s="1" t="s">
        <v>257</v>
      </c>
      <c r="J1766" s="1" t="s">
        <v>371</v>
      </c>
      <c r="K1766" s="1" t="s">
        <v>653</v>
      </c>
      <c r="L1766" s="1" t="s">
        <v>906</v>
      </c>
    </row>
    <row r="1767" spans="2:12">
      <c r="B1767" s="1" t="s">
        <v>619</v>
      </c>
      <c r="C1767" s="1" t="s">
        <v>757</v>
      </c>
      <c r="D1767" s="52">
        <v>46074.625694444447</v>
      </c>
      <c r="E1767" s="52">
        <v>46074.625694444447</v>
      </c>
      <c r="F1767" s="52">
        <v>46074.627083333333</v>
      </c>
      <c r="G1767" s="53">
        <v>7.7546296296296293E-4</v>
      </c>
      <c r="H1767" s="1" t="s">
        <v>257</v>
      </c>
      <c r="J1767" s="1" t="s">
        <v>371</v>
      </c>
      <c r="K1767" s="1" t="s">
        <v>653</v>
      </c>
      <c r="L1767" s="1" t="s">
        <v>906</v>
      </c>
    </row>
    <row r="1768" spans="2:12">
      <c r="B1768" s="1" t="s">
        <v>619</v>
      </c>
      <c r="C1768" s="1" t="s">
        <v>757</v>
      </c>
      <c r="D1768" s="52">
        <v>46074.62222222222</v>
      </c>
      <c r="E1768" s="52">
        <v>46074.62222222222</v>
      </c>
      <c r="F1768" s="52">
        <v>46074.622916666667</v>
      </c>
      <c r="G1768" s="53">
        <v>7.7546296296296293E-4</v>
      </c>
      <c r="H1768" s="1" t="s">
        <v>257</v>
      </c>
      <c r="J1768" s="1" t="s">
        <v>371</v>
      </c>
      <c r="K1768" s="1" t="s">
        <v>653</v>
      </c>
      <c r="L1768" s="1" t="s">
        <v>906</v>
      </c>
    </row>
    <row r="1769" spans="2:12">
      <c r="B1769" s="1" t="s">
        <v>619</v>
      </c>
      <c r="C1769" s="1" t="s">
        <v>757</v>
      </c>
      <c r="D1769" s="52">
        <v>46074.618750000001</v>
      </c>
      <c r="E1769" s="52">
        <v>46074.618750000001</v>
      </c>
      <c r="F1769" s="52">
        <v>46074.619444444441</v>
      </c>
      <c r="G1769" s="53">
        <v>7.7546296296296293E-4</v>
      </c>
      <c r="H1769" s="1" t="s">
        <v>257</v>
      </c>
      <c r="J1769" s="1" t="s">
        <v>371</v>
      </c>
      <c r="K1769" s="1" t="s">
        <v>653</v>
      </c>
      <c r="L1769" s="1" t="s">
        <v>906</v>
      </c>
    </row>
    <row r="1770" spans="2:12">
      <c r="B1770" s="1" t="s">
        <v>619</v>
      </c>
      <c r="C1770" s="1" t="s">
        <v>757</v>
      </c>
      <c r="D1770" s="52">
        <v>46074.614583333336</v>
      </c>
      <c r="E1770" s="52">
        <v>46074.614583333336</v>
      </c>
      <c r="F1770" s="52">
        <v>46074.615277777775</v>
      </c>
      <c r="G1770" s="53">
        <v>8.9120370370370373E-4</v>
      </c>
      <c r="H1770" s="1" t="s">
        <v>257</v>
      </c>
      <c r="J1770" s="1" t="s">
        <v>371</v>
      </c>
      <c r="K1770" s="1" t="s">
        <v>653</v>
      </c>
      <c r="L1770" s="1" t="s">
        <v>906</v>
      </c>
    </row>
    <row r="1771" spans="2:12">
      <c r="B1771" s="1" t="s">
        <v>619</v>
      </c>
      <c r="C1771" s="1" t="s">
        <v>757</v>
      </c>
      <c r="D1771" s="52">
        <v>46074.61041666667</v>
      </c>
      <c r="E1771" s="52">
        <v>46074.61041666667</v>
      </c>
      <c r="F1771" s="52">
        <v>46074.611111111109</v>
      </c>
      <c r="G1771" s="53">
        <v>7.7546296296296293E-4</v>
      </c>
      <c r="H1771" s="1" t="s">
        <v>257</v>
      </c>
      <c r="J1771" s="1" t="s">
        <v>371</v>
      </c>
      <c r="K1771" s="1" t="s">
        <v>653</v>
      </c>
      <c r="L1771" s="1" t="s">
        <v>906</v>
      </c>
    </row>
    <row r="1772" spans="2:12">
      <c r="B1772" s="1" t="s">
        <v>619</v>
      </c>
      <c r="C1772" s="1" t="s">
        <v>757</v>
      </c>
      <c r="D1772" s="52">
        <v>46074.594444444447</v>
      </c>
      <c r="E1772" s="52">
        <v>46074.594444444447</v>
      </c>
      <c r="F1772" s="52">
        <v>46074.595138888886</v>
      </c>
      <c r="G1772" s="53">
        <v>7.7546296296296293E-4</v>
      </c>
      <c r="H1772" s="1" t="s">
        <v>257</v>
      </c>
      <c r="J1772" s="1" t="s">
        <v>371</v>
      </c>
      <c r="K1772" s="1" t="s">
        <v>653</v>
      </c>
      <c r="L1772" s="1" t="s">
        <v>906</v>
      </c>
    </row>
    <row r="1773" spans="2:12">
      <c r="B1773" s="1" t="s">
        <v>619</v>
      </c>
      <c r="C1773" s="1" t="s">
        <v>757</v>
      </c>
      <c r="D1773" s="52">
        <v>46074.590277777781</v>
      </c>
      <c r="E1773" s="52">
        <v>46074.590277777781</v>
      </c>
      <c r="F1773" s="52">
        <v>46074.59097222222</v>
      </c>
      <c r="G1773" s="53">
        <v>7.7546296296296293E-4</v>
      </c>
      <c r="H1773" s="1" t="s">
        <v>257</v>
      </c>
      <c r="J1773" s="1" t="s">
        <v>371</v>
      </c>
      <c r="K1773" s="1" t="s">
        <v>653</v>
      </c>
      <c r="L1773" s="1" t="s">
        <v>906</v>
      </c>
    </row>
    <row r="1774" spans="2:12">
      <c r="B1774" s="1" t="s">
        <v>619</v>
      </c>
      <c r="C1774" s="1" t="s">
        <v>757</v>
      </c>
      <c r="D1774" s="52">
        <v>46074.581944444442</v>
      </c>
      <c r="E1774" s="52">
        <v>46074.581944444442</v>
      </c>
      <c r="F1774" s="52">
        <v>46074.582638888889</v>
      </c>
      <c r="G1774" s="53">
        <v>7.7546296296296293E-4</v>
      </c>
      <c r="H1774" s="1" t="s">
        <v>257</v>
      </c>
      <c r="J1774" s="1" t="s">
        <v>371</v>
      </c>
      <c r="K1774" s="1" t="s">
        <v>653</v>
      </c>
      <c r="L1774" s="1" t="s">
        <v>906</v>
      </c>
    </row>
    <row r="1775" spans="2:12">
      <c r="B1775" s="1" t="s">
        <v>619</v>
      </c>
      <c r="C1775" s="1" t="s">
        <v>757</v>
      </c>
      <c r="D1775" s="52">
        <v>46074.57708333333</v>
      </c>
      <c r="E1775" s="52">
        <v>46074.57708333333</v>
      </c>
      <c r="F1775" s="52">
        <v>46074.577777777777</v>
      </c>
      <c r="G1775" s="53">
        <v>7.6388888888888893E-4</v>
      </c>
      <c r="H1775" s="1" t="s">
        <v>257</v>
      </c>
      <c r="J1775" s="1" t="s">
        <v>371</v>
      </c>
      <c r="K1775" s="1" t="s">
        <v>653</v>
      </c>
      <c r="L1775" s="1" t="s">
        <v>906</v>
      </c>
    </row>
    <row r="1776" spans="2:12">
      <c r="B1776" s="1" t="s">
        <v>619</v>
      </c>
      <c r="C1776" s="1" t="s">
        <v>757</v>
      </c>
      <c r="D1776" s="52">
        <v>46074.572222222225</v>
      </c>
      <c r="E1776" s="52">
        <v>46074.572222222225</v>
      </c>
      <c r="F1776" s="52">
        <v>46074.573611111111</v>
      </c>
      <c r="G1776" s="53">
        <v>7.7546296296296293E-4</v>
      </c>
      <c r="H1776" s="1" t="s">
        <v>257</v>
      </c>
      <c r="J1776" s="1" t="s">
        <v>371</v>
      </c>
      <c r="K1776" s="1" t="s">
        <v>653</v>
      </c>
      <c r="L1776" s="1" t="s">
        <v>906</v>
      </c>
    </row>
    <row r="1777" spans="2:12">
      <c r="B1777" s="1" t="s">
        <v>619</v>
      </c>
      <c r="C1777" s="1" t="s">
        <v>757</v>
      </c>
      <c r="D1777" s="52">
        <v>46074.568055555559</v>
      </c>
      <c r="E1777" s="52">
        <v>46074.568055555559</v>
      </c>
      <c r="F1777" s="52">
        <v>46074.568749999999</v>
      </c>
      <c r="G1777" s="53">
        <v>7.7546296296296293E-4</v>
      </c>
      <c r="H1777" s="1" t="s">
        <v>257</v>
      </c>
      <c r="J1777" s="1" t="s">
        <v>371</v>
      </c>
      <c r="K1777" s="1" t="s">
        <v>653</v>
      </c>
      <c r="L1777" s="1" t="s">
        <v>906</v>
      </c>
    </row>
    <row r="1778" spans="2:12">
      <c r="B1778" s="1" t="s">
        <v>619</v>
      </c>
      <c r="C1778" s="1" t="s">
        <v>757</v>
      </c>
      <c r="D1778" s="52">
        <v>46074.563888888886</v>
      </c>
      <c r="E1778" s="52">
        <v>46074.563888888886</v>
      </c>
      <c r="F1778" s="52">
        <v>46074.564583333333</v>
      </c>
      <c r="G1778" s="53">
        <v>7.8703703703703705E-4</v>
      </c>
      <c r="H1778" s="1" t="s">
        <v>257</v>
      </c>
      <c r="J1778" s="1" t="s">
        <v>371</v>
      </c>
      <c r="K1778" s="1" t="s">
        <v>653</v>
      </c>
      <c r="L1778" s="1" t="s">
        <v>906</v>
      </c>
    </row>
    <row r="1779" spans="2:12">
      <c r="B1779" s="1" t="s">
        <v>619</v>
      </c>
      <c r="C1779" s="1" t="s">
        <v>757</v>
      </c>
      <c r="D1779" s="52">
        <v>46074.560416666667</v>
      </c>
      <c r="E1779" s="52">
        <v>46074.560416666667</v>
      </c>
      <c r="F1779" s="52">
        <v>46074.561111111114</v>
      </c>
      <c r="G1779" s="53">
        <v>7.7546296296296293E-4</v>
      </c>
      <c r="H1779" s="1" t="s">
        <v>257</v>
      </c>
      <c r="J1779" s="1" t="s">
        <v>371</v>
      </c>
      <c r="K1779" s="1" t="s">
        <v>653</v>
      </c>
      <c r="L1779" s="1" t="s">
        <v>906</v>
      </c>
    </row>
    <row r="1780" spans="2:12">
      <c r="B1780" s="1" t="s">
        <v>619</v>
      </c>
      <c r="C1780" s="1" t="s">
        <v>757</v>
      </c>
      <c r="D1780" s="52">
        <v>46074.55</v>
      </c>
      <c r="E1780" s="52">
        <v>46074.55</v>
      </c>
      <c r="F1780" s="52">
        <v>46074.550694444442</v>
      </c>
      <c r="G1780" s="53">
        <v>7.5231481481481482E-4</v>
      </c>
      <c r="H1780" s="1" t="s">
        <v>257</v>
      </c>
      <c r="J1780" s="1" t="s">
        <v>371</v>
      </c>
      <c r="K1780" s="1" t="s">
        <v>653</v>
      </c>
      <c r="L1780" s="1" t="s">
        <v>906</v>
      </c>
    </row>
    <row r="1781" spans="2:12">
      <c r="B1781" s="1" t="s">
        <v>619</v>
      </c>
      <c r="C1781" s="1" t="s">
        <v>757</v>
      </c>
      <c r="D1781" s="52">
        <v>46074.539583333331</v>
      </c>
      <c r="E1781" s="52">
        <v>46074.539583333331</v>
      </c>
      <c r="F1781" s="52">
        <v>46074.540277777778</v>
      </c>
      <c r="G1781" s="53">
        <v>9.7222222222222219E-4</v>
      </c>
      <c r="H1781" s="1" t="s">
        <v>257</v>
      </c>
      <c r="J1781" s="1" t="s">
        <v>371</v>
      </c>
      <c r="K1781" s="1" t="s">
        <v>653</v>
      </c>
      <c r="L1781" s="1" t="s">
        <v>906</v>
      </c>
    </row>
    <row r="1782" spans="2:12">
      <c r="B1782" s="1" t="s">
        <v>619</v>
      </c>
      <c r="C1782" s="1" t="s">
        <v>757</v>
      </c>
      <c r="D1782" s="52">
        <v>46073.695138888892</v>
      </c>
      <c r="E1782" s="52">
        <v>46073.695138888892</v>
      </c>
      <c r="F1782" s="52">
        <v>46073.695833333331</v>
      </c>
      <c r="G1782" s="53">
        <v>7.6388888888888893E-4</v>
      </c>
      <c r="H1782" s="1" t="s">
        <v>257</v>
      </c>
      <c r="J1782" s="1" t="s">
        <v>371</v>
      </c>
      <c r="K1782" s="1" t="s">
        <v>653</v>
      </c>
      <c r="L1782" s="1" t="s">
        <v>906</v>
      </c>
    </row>
    <row r="1783" spans="2:12">
      <c r="B1783" s="1" t="s">
        <v>619</v>
      </c>
      <c r="C1783" s="1" t="s">
        <v>757</v>
      </c>
      <c r="D1783" s="52">
        <v>46073.686805555553</v>
      </c>
      <c r="E1783" s="52">
        <v>46073.686805555553</v>
      </c>
      <c r="F1783" s="52">
        <v>46073.6875</v>
      </c>
      <c r="G1783" s="53">
        <v>7.7546296296296293E-4</v>
      </c>
      <c r="H1783" s="1" t="s">
        <v>257</v>
      </c>
      <c r="J1783" s="1" t="s">
        <v>371</v>
      </c>
      <c r="K1783" s="1" t="s">
        <v>653</v>
      </c>
      <c r="L1783" s="1" t="s">
        <v>906</v>
      </c>
    </row>
    <row r="1784" spans="2:12">
      <c r="B1784" s="1" t="s">
        <v>619</v>
      </c>
      <c r="C1784" s="1" t="s">
        <v>757</v>
      </c>
      <c r="D1784" s="52">
        <v>46073.680555555555</v>
      </c>
      <c r="E1784" s="52">
        <v>46073.680555555555</v>
      </c>
      <c r="F1784" s="52">
        <v>46073.681250000001</v>
      </c>
      <c r="G1784" s="53">
        <v>7.7546296296296293E-4</v>
      </c>
      <c r="H1784" s="1" t="s">
        <v>257</v>
      </c>
      <c r="J1784" s="1" t="s">
        <v>371</v>
      </c>
      <c r="K1784" s="1" t="s">
        <v>653</v>
      </c>
      <c r="L1784" s="1" t="s">
        <v>906</v>
      </c>
    </row>
    <row r="1785" spans="2:12">
      <c r="B1785" s="1" t="s">
        <v>619</v>
      </c>
      <c r="C1785" s="1" t="s">
        <v>757</v>
      </c>
      <c r="D1785" s="52">
        <v>46073.675694444442</v>
      </c>
      <c r="E1785" s="52">
        <v>46073.675694444442</v>
      </c>
      <c r="F1785" s="52">
        <v>46073.676388888889</v>
      </c>
      <c r="G1785" s="53">
        <v>7.7546296296296293E-4</v>
      </c>
      <c r="H1785" s="1" t="s">
        <v>257</v>
      </c>
      <c r="J1785" s="1" t="s">
        <v>371</v>
      </c>
      <c r="K1785" s="1" t="s">
        <v>653</v>
      </c>
      <c r="L1785" s="1" t="s">
        <v>906</v>
      </c>
    </row>
    <row r="1786" spans="2:12">
      <c r="B1786" s="1" t="s">
        <v>619</v>
      </c>
      <c r="C1786" s="1" t="s">
        <v>757</v>
      </c>
      <c r="D1786" s="52">
        <v>46073.670138888891</v>
      </c>
      <c r="E1786" s="52">
        <v>46073.670138888891</v>
      </c>
      <c r="F1786" s="52">
        <v>46073.671527777777</v>
      </c>
      <c r="G1786" s="53">
        <v>7.6388888888888893E-4</v>
      </c>
      <c r="H1786" s="1" t="s">
        <v>257</v>
      </c>
      <c r="J1786" s="1" t="s">
        <v>371</v>
      </c>
      <c r="K1786" s="1" t="s">
        <v>653</v>
      </c>
      <c r="L1786" s="1" t="s">
        <v>906</v>
      </c>
    </row>
    <row r="1787" spans="2:12">
      <c r="B1787" s="1" t="s">
        <v>619</v>
      </c>
      <c r="C1787" s="1" t="s">
        <v>757</v>
      </c>
      <c r="D1787" s="52">
        <v>46073.665277777778</v>
      </c>
      <c r="E1787" s="52">
        <v>46073.665277777778</v>
      </c>
      <c r="F1787" s="52">
        <v>46073.665972222225</v>
      </c>
      <c r="G1787" s="53">
        <v>7.8703703703703705E-4</v>
      </c>
      <c r="H1787" s="1" t="s">
        <v>257</v>
      </c>
      <c r="J1787" s="1" t="s">
        <v>371</v>
      </c>
      <c r="K1787" s="1" t="s">
        <v>653</v>
      </c>
      <c r="L1787" s="1" t="s">
        <v>906</v>
      </c>
    </row>
    <row r="1788" spans="2:12">
      <c r="B1788" s="1" t="s">
        <v>619</v>
      </c>
      <c r="C1788" s="1" t="s">
        <v>757</v>
      </c>
      <c r="D1788" s="52">
        <v>46073.660416666666</v>
      </c>
      <c r="E1788" s="52">
        <v>46073.660416666666</v>
      </c>
      <c r="F1788" s="52">
        <v>46073.661111111112</v>
      </c>
      <c r="G1788" s="53">
        <v>7.8703703703703705E-4</v>
      </c>
      <c r="H1788" s="1" t="s">
        <v>257</v>
      </c>
      <c r="J1788" s="1" t="s">
        <v>371</v>
      </c>
      <c r="K1788" s="1" t="s">
        <v>653</v>
      </c>
      <c r="L1788" s="1" t="s">
        <v>906</v>
      </c>
    </row>
    <row r="1789" spans="2:12">
      <c r="B1789" s="1" t="s">
        <v>619</v>
      </c>
      <c r="C1789" s="1" t="s">
        <v>757</v>
      </c>
      <c r="D1789" s="52">
        <v>46073.655555555553</v>
      </c>
      <c r="E1789" s="52">
        <v>46073.655555555553</v>
      </c>
      <c r="F1789" s="52">
        <v>46073.65625</v>
      </c>
      <c r="G1789" s="53">
        <v>7.6388888888888893E-4</v>
      </c>
      <c r="H1789" s="1" t="s">
        <v>257</v>
      </c>
      <c r="J1789" s="1" t="s">
        <v>371</v>
      </c>
      <c r="K1789" s="1" t="s">
        <v>653</v>
      </c>
      <c r="L1789" s="1" t="s">
        <v>906</v>
      </c>
    </row>
    <row r="1790" spans="2:12">
      <c r="B1790" s="1" t="s">
        <v>619</v>
      </c>
      <c r="C1790" s="1" t="s">
        <v>757</v>
      </c>
      <c r="D1790" s="52">
        <v>46073.650694444441</v>
      </c>
      <c r="E1790" s="52">
        <v>46073.650694444441</v>
      </c>
      <c r="F1790" s="52">
        <v>46073.651388888888</v>
      </c>
      <c r="G1790" s="53">
        <v>7.7546296296296293E-4</v>
      </c>
      <c r="H1790" s="1" t="s">
        <v>257</v>
      </c>
      <c r="J1790" s="1" t="s">
        <v>371</v>
      </c>
      <c r="K1790" s="1" t="s">
        <v>653</v>
      </c>
      <c r="L1790" s="1" t="s">
        <v>906</v>
      </c>
    </row>
    <row r="1791" spans="2:12">
      <c r="B1791" s="1" t="s">
        <v>619</v>
      </c>
      <c r="C1791" s="1" t="s">
        <v>757</v>
      </c>
      <c r="D1791" s="52">
        <v>46073.646527777775</v>
      </c>
      <c r="E1791" s="52">
        <v>46073.646527777775</v>
      </c>
      <c r="F1791" s="52">
        <v>46073.647222222222</v>
      </c>
      <c r="G1791" s="53">
        <v>7.7546296296296293E-4</v>
      </c>
      <c r="H1791" s="1" t="s">
        <v>257</v>
      </c>
      <c r="J1791" s="1" t="s">
        <v>371</v>
      </c>
      <c r="K1791" s="1" t="s">
        <v>653</v>
      </c>
      <c r="L1791" s="1" t="s">
        <v>906</v>
      </c>
    </row>
    <row r="1792" spans="2:12">
      <c r="B1792" s="1" t="s">
        <v>619</v>
      </c>
      <c r="C1792" s="1" t="s">
        <v>757</v>
      </c>
      <c r="D1792" s="52">
        <v>46073.64166666667</v>
      </c>
      <c r="E1792" s="52">
        <v>46073.64166666667</v>
      </c>
      <c r="F1792" s="52">
        <v>46073.642361111109</v>
      </c>
      <c r="G1792" s="53">
        <v>7.7546296296296293E-4</v>
      </c>
      <c r="H1792" s="1" t="s">
        <v>257</v>
      </c>
      <c r="J1792" s="1" t="s">
        <v>371</v>
      </c>
      <c r="K1792" s="1" t="s">
        <v>653</v>
      </c>
      <c r="L1792" s="1" t="s">
        <v>906</v>
      </c>
    </row>
    <row r="1793" spans="2:12">
      <c r="B1793" s="1" t="s">
        <v>619</v>
      </c>
      <c r="C1793" s="1" t="s">
        <v>757</v>
      </c>
      <c r="D1793" s="52">
        <v>46073.637499999997</v>
      </c>
      <c r="E1793" s="52">
        <v>46073.637499999997</v>
      </c>
      <c r="F1793" s="52">
        <v>46073.638194444444</v>
      </c>
      <c r="G1793" s="53">
        <v>7.6388888888888893E-4</v>
      </c>
      <c r="H1793" s="1" t="s">
        <v>257</v>
      </c>
      <c r="J1793" s="1" t="s">
        <v>371</v>
      </c>
      <c r="K1793" s="1" t="s">
        <v>653</v>
      </c>
      <c r="L1793" s="1" t="s">
        <v>906</v>
      </c>
    </row>
    <row r="1794" spans="2:12">
      <c r="B1794" s="1" t="s">
        <v>619</v>
      </c>
      <c r="C1794" s="1" t="s">
        <v>757</v>
      </c>
      <c r="D1794" s="52">
        <v>46073.633333333331</v>
      </c>
      <c r="E1794" s="52">
        <v>46073.633333333331</v>
      </c>
      <c r="F1794" s="52">
        <v>46073.634027777778</v>
      </c>
      <c r="G1794" s="53">
        <v>7.6388888888888893E-4</v>
      </c>
      <c r="H1794" s="1" t="s">
        <v>257</v>
      </c>
      <c r="J1794" s="1" t="s">
        <v>371</v>
      </c>
      <c r="K1794" s="1" t="s">
        <v>653</v>
      </c>
      <c r="L1794" s="1" t="s">
        <v>906</v>
      </c>
    </row>
    <row r="1795" spans="2:12">
      <c r="B1795" s="1" t="s">
        <v>619</v>
      </c>
      <c r="C1795" s="1" t="s">
        <v>757</v>
      </c>
      <c r="D1795" s="52">
        <v>46073.609027777777</v>
      </c>
      <c r="E1795" s="52">
        <v>46073.609027777777</v>
      </c>
      <c r="F1795" s="52">
        <v>46073.609722222223</v>
      </c>
      <c r="G1795" s="53">
        <v>7.6388888888888893E-4</v>
      </c>
      <c r="H1795" s="1" t="s">
        <v>257</v>
      </c>
      <c r="J1795" s="1" t="s">
        <v>371</v>
      </c>
      <c r="K1795" s="1" t="s">
        <v>653</v>
      </c>
      <c r="L1795" s="1" t="s">
        <v>906</v>
      </c>
    </row>
    <row r="1796" spans="2:12">
      <c r="B1796" s="1" t="s">
        <v>619</v>
      </c>
      <c r="C1796" s="1" t="s">
        <v>757</v>
      </c>
      <c r="D1796" s="52">
        <v>46073.604861111111</v>
      </c>
      <c r="E1796" s="52">
        <v>46073.604861111111</v>
      </c>
      <c r="F1796" s="52">
        <v>46073.606249999997</v>
      </c>
      <c r="G1796" s="53">
        <v>7.7546296296296293E-4</v>
      </c>
      <c r="H1796" s="1" t="s">
        <v>257</v>
      </c>
      <c r="J1796" s="1" t="s">
        <v>371</v>
      </c>
      <c r="K1796" s="1" t="s">
        <v>653</v>
      </c>
      <c r="L1796" s="1" t="s">
        <v>906</v>
      </c>
    </row>
    <row r="1797" spans="2:12">
      <c r="B1797" s="1" t="s">
        <v>619</v>
      </c>
      <c r="C1797" s="1" t="s">
        <v>757</v>
      </c>
      <c r="D1797" s="52">
        <v>46072.681944444441</v>
      </c>
      <c r="E1797" s="52">
        <v>46072.681944444441</v>
      </c>
      <c r="F1797" s="52">
        <v>46072.682638888888</v>
      </c>
      <c r="G1797" s="53">
        <v>7.7546296296296293E-4</v>
      </c>
      <c r="H1797" s="1" t="s">
        <v>257</v>
      </c>
      <c r="J1797" s="1" t="s">
        <v>371</v>
      </c>
      <c r="K1797" s="1" t="s">
        <v>653</v>
      </c>
      <c r="L1797" s="1" t="s">
        <v>906</v>
      </c>
    </row>
    <row r="1798" spans="2:12">
      <c r="B1798" s="1" t="s">
        <v>619</v>
      </c>
      <c r="C1798" s="1" t="s">
        <v>757</v>
      </c>
      <c r="D1798" s="52">
        <v>46072.671527777777</v>
      </c>
      <c r="E1798" s="52">
        <v>46072.671527777777</v>
      </c>
      <c r="F1798" s="52">
        <v>46072.672222222223</v>
      </c>
      <c r="G1798" s="53">
        <v>7.7546296296296293E-4</v>
      </c>
      <c r="H1798" s="1" t="s">
        <v>257</v>
      </c>
      <c r="J1798" s="1" t="s">
        <v>371</v>
      </c>
      <c r="K1798" s="1" t="s">
        <v>653</v>
      </c>
      <c r="L1798" s="1" t="s">
        <v>906</v>
      </c>
    </row>
    <row r="1799" spans="2:12">
      <c r="B1799" s="1" t="s">
        <v>619</v>
      </c>
      <c r="C1799" s="1" t="s">
        <v>757</v>
      </c>
      <c r="D1799" s="52">
        <v>46072.668055555558</v>
      </c>
      <c r="E1799" s="52">
        <v>46072.668055555558</v>
      </c>
      <c r="F1799" s="52">
        <v>46072.668749999997</v>
      </c>
      <c r="G1799" s="53">
        <v>7.6388888888888893E-4</v>
      </c>
      <c r="H1799" s="1" t="s">
        <v>257</v>
      </c>
      <c r="J1799" s="1" t="s">
        <v>371</v>
      </c>
      <c r="K1799" s="1" t="s">
        <v>653</v>
      </c>
      <c r="L1799" s="1" t="s">
        <v>906</v>
      </c>
    </row>
    <row r="1800" spans="2:12">
      <c r="B1800" s="1" t="s">
        <v>619</v>
      </c>
      <c r="C1800" s="1" t="s">
        <v>757</v>
      </c>
      <c r="D1800" s="52">
        <v>46072.665277777778</v>
      </c>
      <c r="E1800" s="52">
        <v>46072.665277777778</v>
      </c>
      <c r="F1800" s="52">
        <v>46072.665972222225</v>
      </c>
      <c r="G1800" s="53">
        <v>7.6388888888888893E-4</v>
      </c>
      <c r="H1800" s="1" t="s">
        <v>257</v>
      </c>
      <c r="J1800" s="1" t="s">
        <v>371</v>
      </c>
      <c r="K1800" s="1" t="s">
        <v>653</v>
      </c>
      <c r="L1800" s="1" t="s">
        <v>906</v>
      </c>
    </row>
    <row r="1801" spans="2:12">
      <c r="B1801" s="1" t="s">
        <v>619</v>
      </c>
      <c r="C1801" s="1" t="s">
        <v>757</v>
      </c>
      <c r="D1801" s="52">
        <v>46072.661805555559</v>
      </c>
      <c r="E1801" s="52">
        <v>46072.661805555559</v>
      </c>
      <c r="F1801" s="52">
        <v>46072.662499999999</v>
      </c>
      <c r="G1801" s="53">
        <v>7.8703703703703705E-4</v>
      </c>
      <c r="H1801" s="1" t="s">
        <v>257</v>
      </c>
      <c r="J1801" s="1" t="s">
        <v>371</v>
      </c>
      <c r="K1801" s="1" t="s">
        <v>653</v>
      </c>
      <c r="L1801" s="1" t="s">
        <v>906</v>
      </c>
    </row>
    <row r="1802" spans="2:12">
      <c r="B1802" s="1" t="s">
        <v>619</v>
      </c>
      <c r="C1802" s="1" t="s">
        <v>757</v>
      </c>
      <c r="D1802" s="52">
        <v>46072.658333333333</v>
      </c>
      <c r="E1802" s="52">
        <v>46072.658333333333</v>
      </c>
      <c r="F1802" s="52">
        <v>46072.65902777778</v>
      </c>
      <c r="G1802" s="53">
        <v>7.8703703703703705E-4</v>
      </c>
      <c r="H1802" s="1" t="s">
        <v>257</v>
      </c>
      <c r="J1802" s="1" t="s">
        <v>371</v>
      </c>
      <c r="K1802" s="1" t="s">
        <v>653</v>
      </c>
      <c r="L1802" s="1" t="s">
        <v>906</v>
      </c>
    </row>
    <row r="1803" spans="2:12">
      <c r="B1803" s="1" t="s">
        <v>619</v>
      </c>
      <c r="C1803" s="1" t="s">
        <v>757</v>
      </c>
      <c r="D1803" s="52">
        <v>46072.654861111114</v>
      </c>
      <c r="E1803" s="52">
        <v>46072.654861111114</v>
      </c>
      <c r="F1803" s="52">
        <v>46072.655555555553</v>
      </c>
      <c r="G1803" s="53">
        <v>7.7546296296296293E-4</v>
      </c>
      <c r="H1803" s="1" t="s">
        <v>257</v>
      </c>
      <c r="J1803" s="1" t="s">
        <v>371</v>
      </c>
      <c r="K1803" s="1" t="s">
        <v>653</v>
      </c>
      <c r="L1803" s="1" t="s">
        <v>906</v>
      </c>
    </row>
    <row r="1804" spans="2:12">
      <c r="B1804" s="1" t="s">
        <v>619</v>
      </c>
      <c r="C1804" s="1" t="s">
        <v>757</v>
      </c>
      <c r="D1804" s="52">
        <v>46072.650694444441</v>
      </c>
      <c r="E1804" s="52">
        <v>46072.650694444441</v>
      </c>
      <c r="F1804" s="52">
        <v>46072.652083333334</v>
      </c>
      <c r="G1804" s="53">
        <v>7.7546296296296293E-4</v>
      </c>
      <c r="H1804" s="1" t="s">
        <v>257</v>
      </c>
      <c r="J1804" s="1" t="s">
        <v>371</v>
      </c>
      <c r="K1804" s="1" t="s">
        <v>653</v>
      </c>
      <c r="L1804" s="1" t="s">
        <v>906</v>
      </c>
    </row>
    <row r="1805" spans="2:12">
      <c r="B1805" s="1" t="s">
        <v>619</v>
      </c>
      <c r="C1805" s="1" t="s">
        <v>757</v>
      </c>
      <c r="D1805" s="52">
        <v>46072.647222222222</v>
      </c>
      <c r="E1805" s="52">
        <v>46072.647222222222</v>
      </c>
      <c r="F1805" s="52">
        <v>46072.647916666669</v>
      </c>
      <c r="G1805" s="53">
        <v>7.6388888888888893E-4</v>
      </c>
      <c r="H1805" s="1" t="s">
        <v>257</v>
      </c>
      <c r="J1805" s="1" t="s">
        <v>371</v>
      </c>
      <c r="K1805" s="1" t="s">
        <v>653</v>
      </c>
      <c r="L1805" s="1" t="s">
        <v>906</v>
      </c>
    </row>
    <row r="1806" spans="2:12">
      <c r="B1806" s="1" t="s">
        <v>619</v>
      </c>
      <c r="C1806" s="1" t="s">
        <v>757</v>
      </c>
      <c r="D1806" s="52">
        <v>46072.643055555556</v>
      </c>
      <c r="E1806" s="52">
        <v>46072.643055555556</v>
      </c>
      <c r="F1806" s="52">
        <v>46072.643750000003</v>
      </c>
      <c r="G1806" s="53">
        <v>7.6388888888888893E-4</v>
      </c>
      <c r="H1806" s="1" t="s">
        <v>257</v>
      </c>
      <c r="J1806" s="1" t="s">
        <v>371</v>
      </c>
      <c r="K1806" s="1" t="s">
        <v>653</v>
      </c>
      <c r="L1806" s="1" t="s">
        <v>906</v>
      </c>
    </row>
    <row r="1807" spans="2:12">
      <c r="B1807" s="1" t="s">
        <v>619</v>
      </c>
      <c r="C1807" s="1" t="s">
        <v>757</v>
      </c>
      <c r="D1807" s="52">
        <v>46072.638888888891</v>
      </c>
      <c r="E1807" s="52">
        <v>46072.638888888891</v>
      </c>
      <c r="F1807" s="52">
        <v>46072.63958333333</v>
      </c>
      <c r="G1807" s="53">
        <v>7.6388888888888893E-4</v>
      </c>
      <c r="H1807" s="1" t="s">
        <v>257</v>
      </c>
      <c r="J1807" s="1" t="s">
        <v>371</v>
      </c>
      <c r="K1807" s="1" t="s">
        <v>653</v>
      </c>
      <c r="L1807" s="1" t="s">
        <v>906</v>
      </c>
    </row>
    <row r="1808" spans="2:12">
      <c r="B1808" s="1" t="s">
        <v>619</v>
      </c>
      <c r="C1808" s="1" t="s">
        <v>757</v>
      </c>
      <c r="D1808" s="52">
        <v>46072.634722222225</v>
      </c>
      <c r="E1808" s="52">
        <v>46072.634722222225</v>
      </c>
      <c r="F1808" s="52">
        <v>46072.635416666664</v>
      </c>
      <c r="G1808" s="53">
        <v>7.9861111111111116E-4</v>
      </c>
      <c r="H1808" s="1" t="s">
        <v>257</v>
      </c>
      <c r="J1808" s="1" t="s">
        <v>371</v>
      </c>
      <c r="K1808" s="1" t="s">
        <v>653</v>
      </c>
      <c r="L1808" s="1" t="s">
        <v>906</v>
      </c>
    </row>
    <row r="1809" spans="2:12">
      <c r="B1809" s="1" t="s">
        <v>619</v>
      </c>
      <c r="C1809" s="1" t="s">
        <v>757</v>
      </c>
      <c r="D1809" s="52">
        <v>46072.631249999999</v>
      </c>
      <c r="E1809" s="52">
        <v>46072.631249999999</v>
      </c>
      <c r="F1809" s="52">
        <v>46072.631944444445</v>
      </c>
      <c r="G1809" s="53">
        <v>7.7546296296296293E-4</v>
      </c>
      <c r="H1809" s="1" t="s">
        <v>257</v>
      </c>
      <c r="J1809" s="1" t="s">
        <v>371</v>
      </c>
      <c r="K1809" s="1" t="s">
        <v>653</v>
      </c>
      <c r="L1809" s="1" t="s">
        <v>906</v>
      </c>
    </row>
    <row r="1810" spans="2:12">
      <c r="B1810" s="1" t="s">
        <v>619</v>
      </c>
      <c r="C1810" s="1" t="s">
        <v>757</v>
      </c>
      <c r="D1810" s="52">
        <v>46072.627083333333</v>
      </c>
      <c r="E1810" s="52">
        <v>46072.627083333333</v>
      </c>
      <c r="F1810" s="52">
        <v>46072.62777777778</v>
      </c>
      <c r="G1810" s="53">
        <v>7.6388888888888893E-4</v>
      </c>
      <c r="H1810" s="1" t="s">
        <v>257</v>
      </c>
      <c r="J1810" s="1" t="s">
        <v>371</v>
      </c>
      <c r="K1810" s="1" t="s">
        <v>653</v>
      </c>
      <c r="L1810" s="1" t="s">
        <v>906</v>
      </c>
    </row>
    <row r="1811" spans="2:12">
      <c r="B1811" s="1" t="s">
        <v>619</v>
      </c>
      <c r="C1811" s="1" t="s">
        <v>757</v>
      </c>
      <c r="D1811" s="52">
        <v>46072.622916666667</v>
      </c>
      <c r="E1811" s="52">
        <v>46072.622916666667</v>
      </c>
      <c r="F1811" s="52">
        <v>46072.623611111114</v>
      </c>
      <c r="G1811" s="53">
        <v>7.6388888888888893E-4</v>
      </c>
      <c r="H1811" s="1" t="s">
        <v>257</v>
      </c>
      <c r="J1811" s="1" t="s">
        <v>371</v>
      </c>
      <c r="K1811" s="1" t="s">
        <v>653</v>
      </c>
      <c r="L1811" s="1" t="s">
        <v>906</v>
      </c>
    </row>
    <row r="1812" spans="2:12">
      <c r="B1812" s="1" t="s">
        <v>619</v>
      </c>
      <c r="C1812" s="1" t="s">
        <v>757</v>
      </c>
      <c r="D1812" s="52">
        <v>46072.618750000001</v>
      </c>
      <c r="E1812" s="52">
        <v>46072.618750000001</v>
      </c>
      <c r="F1812" s="52">
        <v>46072.619444444441</v>
      </c>
      <c r="G1812" s="53">
        <v>7.8703703703703705E-4</v>
      </c>
      <c r="H1812" s="1" t="s">
        <v>257</v>
      </c>
      <c r="J1812" s="1" t="s">
        <v>371</v>
      </c>
      <c r="K1812" s="1" t="s">
        <v>653</v>
      </c>
      <c r="L1812" s="1" t="s">
        <v>906</v>
      </c>
    </row>
    <row r="1813" spans="2:12">
      <c r="B1813" s="1" t="s">
        <v>619</v>
      </c>
      <c r="C1813" s="1" t="s">
        <v>757</v>
      </c>
      <c r="D1813" s="52">
        <v>46072.613194444442</v>
      </c>
      <c r="E1813" s="52">
        <v>46072.613194444442</v>
      </c>
      <c r="F1813" s="52">
        <v>46072.613888888889</v>
      </c>
      <c r="G1813" s="53">
        <v>7.6388888888888893E-4</v>
      </c>
      <c r="H1813" s="1" t="s">
        <v>257</v>
      </c>
      <c r="J1813" s="1" t="s">
        <v>371</v>
      </c>
      <c r="K1813" s="1" t="s">
        <v>653</v>
      </c>
      <c r="L1813" s="1" t="s">
        <v>906</v>
      </c>
    </row>
    <row r="1814" spans="2:12">
      <c r="B1814" s="1" t="s">
        <v>619</v>
      </c>
      <c r="C1814" s="1" t="s">
        <v>757</v>
      </c>
      <c r="D1814" s="52">
        <v>46072.609722222223</v>
      </c>
      <c r="E1814" s="52">
        <v>46072.609722222223</v>
      </c>
      <c r="F1814" s="52">
        <v>46072.61041666667</v>
      </c>
      <c r="G1814" s="53">
        <v>8.1018518518518516E-4</v>
      </c>
      <c r="H1814" s="1" t="s">
        <v>257</v>
      </c>
      <c r="J1814" s="1" t="s">
        <v>371</v>
      </c>
      <c r="K1814" s="1" t="s">
        <v>653</v>
      </c>
      <c r="L1814" s="1" t="s">
        <v>906</v>
      </c>
    </row>
    <row r="1815" spans="2:12">
      <c r="B1815" s="1" t="s">
        <v>619</v>
      </c>
      <c r="C1815" s="1" t="s">
        <v>757</v>
      </c>
      <c r="D1815" s="52">
        <v>46072.605555555558</v>
      </c>
      <c r="E1815" s="52">
        <v>46072.605555555558</v>
      </c>
      <c r="F1815" s="52">
        <v>46072.606249999997</v>
      </c>
      <c r="G1815" s="53">
        <v>7.8703703703703705E-4</v>
      </c>
      <c r="H1815" s="1" t="s">
        <v>257</v>
      </c>
      <c r="J1815" s="1" t="s">
        <v>371</v>
      </c>
      <c r="K1815" s="1" t="s">
        <v>653</v>
      </c>
      <c r="L1815" s="1" t="s">
        <v>906</v>
      </c>
    </row>
    <row r="1816" spans="2:12">
      <c r="B1816" s="1" t="s">
        <v>619</v>
      </c>
      <c r="C1816" s="1" t="s">
        <v>757</v>
      </c>
      <c r="D1816" s="52">
        <v>46072.601388888892</v>
      </c>
      <c r="E1816" s="52">
        <v>46072.601388888892</v>
      </c>
      <c r="F1816" s="52">
        <v>46072.602083333331</v>
      </c>
      <c r="G1816" s="53">
        <v>7.7546296296296293E-4</v>
      </c>
      <c r="H1816" s="1" t="s">
        <v>257</v>
      </c>
      <c r="J1816" s="1" t="s">
        <v>371</v>
      </c>
      <c r="K1816" s="1" t="s">
        <v>653</v>
      </c>
      <c r="L1816" s="1" t="s">
        <v>906</v>
      </c>
    </row>
    <row r="1817" spans="2:12">
      <c r="B1817" s="1" t="s">
        <v>619</v>
      </c>
      <c r="C1817" s="1" t="s">
        <v>757</v>
      </c>
      <c r="D1817" s="52">
        <v>46072.531944444447</v>
      </c>
      <c r="E1817" s="52">
        <v>46072.531944444447</v>
      </c>
      <c r="F1817" s="52">
        <v>46072.532638888886</v>
      </c>
      <c r="G1817" s="53">
        <v>7.7546296296296293E-4</v>
      </c>
      <c r="H1817" s="1" t="s">
        <v>257</v>
      </c>
      <c r="J1817" s="1" t="s">
        <v>371</v>
      </c>
      <c r="K1817" s="1" t="s">
        <v>653</v>
      </c>
      <c r="L1817" s="1" t="s">
        <v>906</v>
      </c>
    </row>
    <row r="1818" spans="2:12">
      <c r="B1818" s="1" t="s">
        <v>619</v>
      </c>
      <c r="C1818" s="1" t="s">
        <v>757</v>
      </c>
      <c r="D1818" s="52">
        <v>46072.52847222222</v>
      </c>
      <c r="E1818" s="52">
        <v>46072.52847222222</v>
      </c>
      <c r="F1818" s="52">
        <v>46072.529166666667</v>
      </c>
      <c r="G1818" s="53">
        <v>7.6388888888888893E-4</v>
      </c>
      <c r="H1818" s="1" t="s">
        <v>257</v>
      </c>
      <c r="J1818" s="1" t="s">
        <v>371</v>
      </c>
      <c r="K1818" s="1" t="s">
        <v>653</v>
      </c>
      <c r="L1818" s="1" t="s">
        <v>906</v>
      </c>
    </row>
    <row r="1819" spans="2:12">
      <c r="B1819" s="1" t="s">
        <v>619</v>
      </c>
      <c r="C1819" s="1" t="s">
        <v>757</v>
      </c>
      <c r="D1819" s="52">
        <v>46072.525000000001</v>
      </c>
      <c r="E1819" s="52">
        <v>46072.525000000001</v>
      </c>
      <c r="F1819" s="52">
        <v>46072.525694444441</v>
      </c>
      <c r="G1819" s="53">
        <v>7.6388888888888893E-4</v>
      </c>
      <c r="H1819" s="1" t="s">
        <v>257</v>
      </c>
      <c r="J1819" s="1" t="s">
        <v>371</v>
      </c>
      <c r="K1819" s="1" t="s">
        <v>653</v>
      </c>
      <c r="L1819" s="1" t="s">
        <v>906</v>
      </c>
    </row>
    <row r="1820" spans="2:12">
      <c r="B1820" s="1" t="s">
        <v>619</v>
      </c>
      <c r="C1820" s="1" t="s">
        <v>757</v>
      </c>
      <c r="D1820" s="52">
        <v>46072.520833333336</v>
      </c>
      <c r="E1820" s="52">
        <v>46072.520833333336</v>
      </c>
      <c r="F1820" s="52">
        <v>46072.521527777775</v>
      </c>
      <c r="G1820" s="53">
        <v>7.5231481481481482E-4</v>
      </c>
      <c r="H1820" s="1" t="s">
        <v>257</v>
      </c>
      <c r="J1820" s="1" t="s">
        <v>371</v>
      </c>
      <c r="K1820" s="1" t="s">
        <v>653</v>
      </c>
      <c r="L1820" s="1" t="s">
        <v>906</v>
      </c>
    </row>
    <row r="1821" spans="2:12">
      <c r="B1821" s="1" t="s">
        <v>619</v>
      </c>
      <c r="C1821" s="1" t="s">
        <v>757</v>
      </c>
      <c r="D1821" s="52">
        <v>46072.518055555556</v>
      </c>
      <c r="E1821" s="52">
        <v>46072.518055555556</v>
      </c>
      <c r="F1821" s="52">
        <v>46072.518750000003</v>
      </c>
      <c r="G1821" s="53">
        <v>7.7546296296296293E-4</v>
      </c>
      <c r="H1821" s="1" t="s">
        <v>257</v>
      </c>
      <c r="J1821" s="1" t="s">
        <v>371</v>
      </c>
      <c r="K1821" s="1" t="s">
        <v>653</v>
      </c>
      <c r="L1821" s="1" t="s">
        <v>906</v>
      </c>
    </row>
    <row r="1822" spans="2:12">
      <c r="B1822" s="1" t="s">
        <v>619</v>
      </c>
      <c r="C1822" s="1" t="s">
        <v>757</v>
      </c>
      <c r="D1822" s="52">
        <v>46072.51458333333</v>
      </c>
      <c r="E1822" s="52">
        <v>46072.51458333333</v>
      </c>
      <c r="F1822" s="52">
        <v>46072.515972222223</v>
      </c>
      <c r="G1822" s="53">
        <v>7.9861111111111116E-4</v>
      </c>
      <c r="H1822" s="1" t="s">
        <v>257</v>
      </c>
      <c r="J1822" s="1" t="s">
        <v>371</v>
      </c>
      <c r="K1822" s="1" t="s">
        <v>653</v>
      </c>
      <c r="L1822" s="1" t="s">
        <v>906</v>
      </c>
    </row>
    <row r="1823" spans="2:12">
      <c r="B1823" s="1" t="s">
        <v>619</v>
      </c>
      <c r="C1823" s="1" t="s">
        <v>757</v>
      </c>
      <c r="D1823" s="52">
        <v>46072.511805555558</v>
      </c>
      <c r="E1823" s="52">
        <v>46072.511805555558</v>
      </c>
      <c r="F1823" s="52">
        <v>46072.513194444444</v>
      </c>
      <c r="G1823" s="53">
        <v>8.1018518518518516E-4</v>
      </c>
      <c r="H1823" s="1" t="s">
        <v>257</v>
      </c>
      <c r="J1823" s="1" t="s">
        <v>371</v>
      </c>
      <c r="K1823" s="1" t="s">
        <v>653</v>
      </c>
      <c r="L1823" s="1" t="s">
        <v>906</v>
      </c>
    </row>
    <row r="1824" spans="2:12">
      <c r="B1824" s="1" t="s">
        <v>619</v>
      </c>
      <c r="C1824" s="1" t="s">
        <v>757</v>
      </c>
      <c r="D1824" s="52">
        <v>46072.509722222225</v>
      </c>
      <c r="E1824" s="52">
        <v>46072.509722222225</v>
      </c>
      <c r="F1824" s="52">
        <v>46072.510416666664</v>
      </c>
      <c r="G1824" s="53">
        <v>7.7546296296296293E-4</v>
      </c>
      <c r="H1824" s="1" t="s">
        <v>257</v>
      </c>
      <c r="J1824" s="1" t="s">
        <v>371</v>
      </c>
      <c r="K1824" s="1" t="s">
        <v>653</v>
      </c>
      <c r="L1824" s="1" t="s">
        <v>906</v>
      </c>
    </row>
    <row r="1825" spans="2:12">
      <c r="B1825" s="1" t="s">
        <v>619</v>
      </c>
      <c r="C1825" s="1" t="s">
        <v>757</v>
      </c>
      <c r="D1825" s="52">
        <v>46072.506944444445</v>
      </c>
      <c r="E1825" s="52">
        <v>46072.506944444445</v>
      </c>
      <c r="F1825" s="52">
        <v>46072.507638888892</v>
      </c>
      <c r="G1825" s="53">
        <v>7.7546296296296293E-4</v>
      </c>
      <c r="H1825" s="1" t="s">
        <v>257</v>
      </c>
      <c r="J1825" s="1" t="s">
        <v>371</v>
      </c>
      <c r="K1825" s="1" t="s">
        <v>653</v>
      </c>
      <c r="L1825" s="1" t="s">
        <v>906</v>
      </c>
    </row>
    <row r="1826" spans="2:12">
      <c r="B1826" s="1" t="s">
        <v>619</v>
      </c>
      <c r="C1826" s="1" t="s">
        <v>757</v>
      </c>
      <c r="D1826" s="52">
        <v>46072.504166666666</v>
      </c>
      <c r="E1826" s="52">
        <v>46072.504166666666</v>
      </c>
      <c r="F1826" s="52">
        <v>46072.504861111112</v>
      </c>
      <c r="G1826" s="53">
        <v>7.8703703703703705E-4</v>
      </c>
      <c r="H1826" s="1" t="s">
        <v>257</v>
      </c>
      <c r="J1826" s="1" t="s">
        <v>371</v>
      </c>
      <c r="K1826" s="1" t="s">
        <v>653</v>
      </c>
      <c r="L1826" s="1" t="s">
        <v>906</v>
      </c>
    </row>
    <row r="1827" spans="2:12">
      <c r="B1827" s="1" t="s">
        <v>619</v>
      </c>
      <c r="C1827" s="1" t="s">
        <v>757</v>
      </c>
      <c r="D1827" s="52">
        <v>46072.501388888886</v>
      </c>
      <c r="E1827" s="52">
        <v>46072.501388888886</v>
      </c>
      <c r="F1827" s="52">
        <v>46072.502083333333</v>
      </c>
      <c r="G1827" s="53">
        <v>7.7546296296296293E-4</v>
      </c>
      <c r="H1827" s="1" t="s">
        <v>257</v>
      </c>
      <c r="J1827" s="1" t="s">
        <v>371</v>
      </c>
      <c r="K1827" s="1" t="s">
        <v>653</v>
      </c>
      <c r="L1827" s="1" t="s">
        <v>906</v>
      </c>
    </row>
    <row r="1828" spans="2:12">
      <c r="B1828" s="1" t="s">
        <v>619</v>
      </c>
      <c r="C1828" s="1" t="s">
        <v>757</v>
      </c>
      <c r="D1828" s="52">
        <v>46072.498611111114</v>
      </c>
      <c r="E1828" s="52">
        <v>46072.498611111114</v>
      </c>
      <c r="F1828" s="52">
        <v>46072.499305555553</v>
      </c>
      <c r="G1828" s="53">
        <v>7.7546296296296293E-4</v>
      </c>
      <c r="H1828" s="1" t="s">
        <v>257</v>
      </c>
      <c r="J1828" s="1" t="s">
        <v>371</v>
      </c>
      <c r="K1828" s="1" t="s">
        <v>653</v>
      </c>
      <c r="L1828" s="1" t="s">
        <v>906</v>
      </c>
    </row>
    <row r="1829" spans="2:12">
      <c r="B1829" s="1" t="s">
        <v>619</v>
      </c>
      <c r="C1829" s="1" t="s">
        <v>757</v>
      </c>
      <c r="D1829" s="52">
        <v>46072.495833333334</v>
      </c>
      <c r="E1829" s="52">
        <v>46072.495833333334</v>
      </c>
      <c r="F1829" s="52">
        <v>46072.496527777781</v>
      </c>
      <c r="G1829" s="53">
        <v>7.7546296296296293E-4</v>
      </c>
      <c r="H1829" s="1" t="s">
        <v>257</v>
      </c>
      <c r="J1829" s="1" t="s">
        <v>371</v>
      </c>
      <c r="K1829" s="1" t="s">
        <v>653</v>
      </c>
      <c r="L1829" s="1" t="s">
        <v>906</v>
      </c>
    </row>
    <row r="1830" spans="2:12">
      <c r="B1830" s="1" t="s">
        <v>619</v>
      </c>
      <c r="C1830" s="1" t="s">
        <v>757</v>
      </c>
      <c r="D1830" s="52">
        <v>46072.492361111108</v>
      </c>
      <c r="E1830" s="52">
        <v>46072.492361111108</v>
      </c>
      <c r="F1830" s="52">
        <v>46072.493055555555</v>
      </c>
      <c r="G1830" s="53">
        <v>7.7546296296296293E-4</v>
      </c>
      <c r="H1830" s="1" t="s">
        <v>257</v>
      </c>
      <c r="J1830" s="1" t="s">
        <v>371</v>
      </c>
      <c r="K1830" s="1" t="s">
        <v>653</v>
      </c>
      <c r="L1830" s="1" t="s">
        <v>906</v>
      </c>
    </row>
    <row r="1831" spans="2:12">
      <c r="B1831" s="1" t="s">
        <v>619</v>
      </c>
      <c r="C1831" s="1" t="s">
        <v>757</v>
      </c>
      <c r="D1831" s="52">
        <v>46072.487500000003</v>
      </c>
      <c r="E1831" s="52">
        <v>46072.487500000003</v>
      </c>
      <c r="F1831" s="52">
        <v>46072.488194444442</v>
      </c>
      <c r="G1831" s="53">
        <v>7.7546296296296293E-4</v>
      </c>
      <c r="H1831" s="1" t="s">
        <v>257</v>
      </c>
      <c r="J1831" s="1" t="s">
        <v>371</v>
      </c>
      <c r="K1831" s="1" t="s">
        <v>653</v>
      </c>
      <c r="L1831" s="1" t="s">
        <v>906</v>
      </c>
    </row>
    <row r="1832" spans="2:12">
      <c r="B1832" s="1" t="s">
        <v>619</v>
      </c>
      <c r="C1832" s="1" t="s">
        <v>757</v>
      </c>
      <c r="D1832" s="52">
        <v>46072.484027777777</v>
      </c>
      <c r="E1832" s="52">
        <v>46072.484027777777</v>
      </c>
      <c r="F1832" s="52">
        <v>46072.484722222223</v>
      </c>
      <c r="G1832" s="53">
        <v>7.6388888888888893E-4</v>
      </c>
      <c r="H1832" s="1" t="s">
        <v>257</v>
      </c>
      <c r="J1832" s="1" t="s">
        <v>371</v>
      </c>
      <c r="K1832" s="1" t="s">
        <v>653</v>
      </c>
      <c r="L1832" s="1" t="s">
        <v>906</v>
      </c>
    </row>
    <row r="1833" spans="2:12">
      <c r="B1833" s="1" t="s">
        <v>619</v>
      </c>
      <c r="C1833" s="1" t="s">
        <v>757</v>
      </c>
      <c r="D1833" s="52">
        <v>46072.439583333333</v>
      </c>
      <c r="E1833" s="52">
        <v>46072.439583333333</v>
      </c>
      <c r="F1833" s="52">
        <v>46072.440972222219</v>
      </c>
      <c r="G1833" s="53">
        <v>7.8703703703703705E-4</v>
      </c>
      <c r="H1833" s="1" t="s">
        <v>257</v>
      </c>
      <c r="J1833" s="1" t="s">
        <v>371</v>
      </c>
      <c r="K1833" s="1" t="s">
        <v>653</v>
      </c>
      <c r="L1833" s="1" t="s">
        <v>906</v>
      </c>
    </row>
    <row r="1834" spans="2:12">
      <c r="B1834" s="1" t="s">
        <v>619</v>
      </c>
      <c r="C1834" s="1" t="s">
        <v>757</v>
      </c>
      <c r="D1834" s="52">
        <v>46072.436111111114</v>
      </c>
      <c r="E1834" s="52">
        <v>46072.436111111114</v>
      </c>
      <c r="F1834" s="52">
        <v>46072.436805555553</v>
      </c>
      <c r="G1834" s="53">
        <v>8.2175925925925927E-4</v>
      </c>
      <c r="H1834" s="1" t="s">
        <v>257</v>
      </c>
      <c r="J1834" s="1" t="s">
        <v>371</v>
      </c>
      <c r="K1834" s="1" t="s">
        <v>653</v>
      </c>
      <c r="L1834" s="1" t="s">
        <v>906</v>
      </c>
    </row>
    <row r="1835" spans="2:12">
      <c r="B1835" s="1" t="s">
        <v>619</v>
      </c>
      <c r="C1835" s="1" t="s">
        <v>757</v>
      </c>
      <c r="D1835" s="52">
        <v>46072.431944444441</v>
      </c>
      <c r="E1835" s="52">
        <v>46072.431944444441</v>
      </c>
      <c r="F1835" s="52">
        <v>46072.433333333334</v>
      </c>
      <c r="G1835" s="53">
        <v>7.9861111111111116E-4</v>
      </c>
      <c r="H1835" s="1" t="s">
        <v>257</v>
      </c>
      <c r="J1835" s="1" t="s">
        <v>371</v>
      </c>
      <c r="K1835" s="1" t="s">
        <v>653</v>
      </c>
      <c r="L1835" s="1" t="s">
        <v>906</v>
      </c>
    </row>
    <row r="1836" spans="2:12">
      <c r="B1836" s="1" t="s">
        <v>619</v>
      </c>
      <c r="C1836" s="1" t="s">
        <v>757</v>
      </c>
      <c r="D1836" s="52">
        <v>46072.426388888889</v>
      </c>
      <c r="E1836" s="52">
        <v>46072.426388888889</v>
      </c>
      <c r="F1836" s="52">
        <v>46072.427083333336</v>
      </c>
      <c r="G1836" s="53">
        <v>7.8703703703703705E-4</v>
      </c>
      <c r="H1836" s="1" t="s">
        <v>257</v>
      </c>
      <c r="J1836" s="1" t="s">
        <v>371</v>
      </c>
      <c r="K1836" s="1" t="s">
        <v>653</v>
      </c>
      <c r="L1836" s="1" t="s">
        <v>906</v>
      </c>
    </row>
    <row r="1837" spans="2:12">
      <c r="B1837" s="1" t="s">
        <v>619</v>
      </c>
      <c r="C1837" s="1" t="s">
        <v>757</v>
      </c>
      <c r="D1837" s="52">
        <v>46072.422222222223</v>
      </c>
      <c r="E1837" s="52">
        <v>46072.422222222223</v>
      </c>
      <c r="F1837" s="52">
        <v>46072.42291666667</v>
      </c>
      <c r="G1837" s="53">
        <v>7.9861111111111116E-4</v>
      </c>
      <c r="H1837" s="1" t="s">
        <v>257</v>
      </c>
      <c r="J1837" s="1" t="s">
        <v>371</v>
      </c>
      <c r="K1837" s="1" t="s">
        <v>653</v>
      </c>
      <c r="L1837" s="1" t="s">
        <v>906</v>
      </c>
    </row>
    <row r="1838" spans="2:12">
      <c r="B1838" s="1" t="s">
        <v>619</v>
      </c>
      <c r="C1838" s="1" t="s">
        <v>757</v>
      </c>
      <c r="D1838" s="52">
        <v>46072.418055555558</v>
      </c>
      <c r="E1838" s="52">
        <v>46072.418055555558</v>
      </c>
      <c r="F1838" s="52">
        <v>46072.418749999997</v>
      </c>
      <c r="G1838" s="53">
        <v>8.1018518518518516E-4</v>
      </c>
      <c r="H1838" s="1" t="s">
        <v>257</v>
      </c>
      <c r="J1838" s="1" t="s">
        <v>371</v>
      </c>
      <c r="K1838" s="1" t="s">
        <v>653</v>
      </c>
      <c r="L1838" s="1" t="s">
        <v>906</v>
      </c>
    </row>
    <row r="1839" spans="2:12">
      <c r="B1839" s="1" t="s">
        <v>619</v>
      </c>
      <c r="C1839" s="1" t="s">
        <v>757</v>
      </c>
      <c r="D1839" s="52">
        <v>46072.413194444445</v>
      </c>
      <c r="E1839" s="52">
        <v>46072.413194444445</v>
      </c>
      <c r="F1839" s="52">
        <v>46072.413888888892</v>
      </c>
      <c r="G1839" s="53">
        <v>7.7546296296296293E-4</v>
      </c>
      <c r="H1839" s="1" t="s">
        <v>257</v>
      </c>
      <c r="J1839" s="1" t="s">
        <v>371</v>
      </c>
      <c r="K1839" s="1" t="s">
        <v>653</v>
      </c>
      <c r="L1839" s="1" t="s">
        <v>906</v>
      </c>
    </row>
    <row r="1840" spans="2:12">
      <c r="B1840" s="1" t="s">
        <v>619</v>
      </c>
      <c r="C1840" s="1" t="s">
        <v>757</v>
      </c>
      <c r="D1840" s="52">
        <v>46071.650694444441</v>
      </c>
      <c r="E1840" s="52">
        <v>46071.650694444441</v>
      </c>
      <c r="F1840" s="52">
        <v>46071.651388888888</v>
      </c>
      <c r="G1840" s="53">
        <v>7.7546296296296293E-4</v>
      </c>
      <c r="H1840" s="1" t="s">
        <v>257</v>
      </c>
      <c r="J1840" s="1" t="s">
        <v>371</v>
      </c>
      <c r="K1840" s="1" t="s">
        <v>653</v>
      </c>
      <c r="L1840" s="1" t="s">
        <v>906</v>
      </c>
    </row>
    <row r="1841" spans="2:12">
      <c r="B1841" s="1" t="s">
        <v>619</v>
      </c>
      <c r="C1841" s="1" t="s">
        <v>757</v>
      </c>
      <c r="D1841" s="52">
        <v>46071.554861111108</v>
      </c>
      <c r="E1841" s="52">
        <v>46071.554861111108</v>
      </c>
      <c r="F1841" s="52">
        <v>46071.555555555555</v>
      </c>
      <c r="G1841" s="53">
        <v>7.7546296296296293E-4</v>
      </c>
      <c r="H1841" s="1" t="s">
        <v>257</v>
      </c>
      <c r="J1841" s="1" t="s">
        <v>371</v>
      </c>
      <c r="K1841" s="1" t="s">
        <v>653</v>
      </c>
      <c r="L1841" s="1" t="s">
        <v>906</v>
      </c>
    </row>
    <row r="1842" spans="2:12">
      <c r="B1842" s="1" t="s">
        <v>619</v>
      </c>
      <c r="C1842" s="1" t="s">
        <v>757</v>
      </c>
      <c r="D1842" s="52">
        <v>46071.551388888889</v>
      </c>
      <c r="E1842" s="52">
        <v>46071.551388888889</v>
      </c>
      <c r="F1842" s="52">
        <v>46071.552083333336</v>
      </c>
      <c r="G1842" s="53">
        <v>7.6388888888888893E-4</v>
      </c>
      <c r="H1842" s="1" t="s">
        <v>257</v>
      </c>
      <c r="J1842" s="1" t="s">
        <v>371</v>
      </c>
      <c r="K1842" s="1" t="s">
        <v>653</v>
      </c>
      <c r="L1842" s="1" t="s">
        <v>906</v>
      </c>
    </row>
    <row r="1843" spans="2:12">
      <c r="B1843" s="1" t="s">
        <v>619</v>
      </c>
      <c r="C1843" s="1" t="s">
        <v>757</v>
      </c>
      <c r="D1843" s="52">
        <v>46071.54791666667</v>
      </c>
      <c r="E1843" s="52">
        <v>46071.54791666667</v>
      </c>
      <c r="F1843" s="52">
        <v>46071.548611111109</v>
      </c>
      <c r="G1843" s="53">
        <v>7.7546296296296293E-4</v>
      </c>
      <c r="H1843" s="1" t="s">
        <v>257</v>
      </c>
      <c r="J1843" s="1" t="s">
        <v>371</v>
      </c>
      <c r="K1843" s="1" t="s">
        <v>653</v>
      </c>
      <c r="L1843" s="1" t="s">
        <v>906</v>
      </c>
    </row>
    <row r="1844" spans="2:12">
      <c r="B1844" s="1" t="s">
        <v>619</v>
      </c>
      <c r="C1844" s="1" t="s">
        <v>757</v>
      </c>
      <c r="D1844" s="52">
        <v>46071.476388888892</v>
      </c>
      <c r="E1844" s="52">
        <v>46071.476388888892</v>
      </c>
      <c r="F1844" s="52">
        <v>46071.477083333331</v>
      </c>
      <c r="G1844" s="53">
        <v>7.7546296296296293E-4</v>
      </c>
      <c r="H1844" s="1" t="s">
        <v>257</v>
      </c>
      <c r="J1844" s="1" t="s">
        <v>371</v>
      </c>
      <c r="K1844" s="1" t="s">
        <v>653</v>
      </c>
      <c r="L1844" s="1" t="s">
        <v>906</v>
      </c>
    </row>
    <row r="1845" spans="2:12">
      <c r="B1845" s="1" t="s">
        <v>619</v>
      </c>
      <c r="C1845" s="1" t="s">
        <v>757</v>
      </c>
      <c r="D1845" s="52">
        <v>46071.472916666666</v>
      </c>
      <c r="E1845" s="52">
        <v>46071.472916666666</v>
      </c>
      <c r="F1845" s="52">
        <v>46071.473611111112</v>
      </c>
      <c r="G1845" s="53">
        <v>7.7546296296296293E-4</v>
      </c>
      <c r="H1845" s="1" t="s">
        <v>257</v>
      </c>
      <c r="J1845" s="1" t="s">
        <v>371</v>
      </c>
      <c r="K1845" s="1" t="s">
        <v>653</v>
      </c>
      <c r="L1845" s="1" t="s">
        <v>906</v>
      </c>
    </row>
    <row r="1846" spans="2:12">
      <c r="B1846" s="1" t="s">
        <v>619</v>
      </c>
      <c r="C1846" s="1" t="s">
        <v>757</v>
      </c>
      <c r="D1846" s="52">
        <v>46071.469444444447</v>
      </c>
      <c r="E1846" s="52">
        <v>46071.469444444447</v>
      </c>
      <c r="F1846" s="52">
        <v>46071.470138888886</v>
      </c>
      <c r="G1846" s="53">
        <v>7.7546296296296293E-4</v>
      </c>
      <c r="H1846" s="1" t="s">
        <v>257</v>
      </c>
      <c r="J1846" s="1" t="s">
        <v>371</v>
      </c>
      <c r="K1846" s="1" t="s">
        <v>653</v>
      </c>
      <c r="L1846" s="1" t="s">
        <v>906</v>
      </c>
    </row>
    <row r="1847" spans="2:12">
      <c r="B1847" s="1" t="s">
        <v>619</v>
      </c>
      <c r="C1847" s="1" t="s">
        <v>757</v>
      </c>
      <c r="D1847" s="52">
        <v>46071.46597222222</v>
      </c>
      <c r="E1847" s="52">
        <v>46071.46597222222</v>
      </c>
      <c r="F1847" s="52">
        <v>46071.466666666667</v>
      </c>
      <c r="G1847" s="53">
        <v>7.8703703703703705E-4</v>
      </c>
      <c r="H1847" s="1" t="s">
        <v>257</v>
      </c>
      <c r="J1847" s="1" t="s">
        <v>371</v>
      </c>
      <c r="K1847" s="1" t="s">
        <v>653</v>
      </c>
      <c r="L1847" s="1" t="s">
        <v>906</v>
      </c>
    </row>
    <row r="1848" spans="2:12">
      <c r="B1848" s="1" t="s">
        <v>619</v>
      </c>
      <c r="C1848" s="1" t="s">
        <v>757</v>
      </c>
      <c r="D1848" s="52">
        <v>46071.461111111108</v>
      </c>
      <c r="E1848" s="52">
        <v>46071.461111111108</v>
      </c>
      <c r="F1848" s="52">
        <v>46071.462500000001</v>
      </c>
      <c r="G1848" s="53">
        <v>7.7546296296296293E-4</v>
      </c>
      <c r="H1848" s="1" t="s">
        <v>257</v>
      </c>
      <c r="J1848" s="1" t="s">
        <v>371</v>
      </c>
      <c r="K1848" s="1" t="s">
        <v>653</v>
      </c>
      <c r="L1848" s="1" t="s">
        <v>906</v>
      </c>
    </row>
    <row r="1849" spans="2:12">
      <c r="B1849" s="1" t="s">
        <v>619</v>
      </c>
      <c r="C1849" s="1" t="s">
        <v>757</v>
      </c>
      <c r="D1849" s="52">
        <v>46071.457638888889</v>
      </c>
      <c r="E1849" s="52">
        <v>46071.457638888889</v>
      </c>
      <c r="F1849" s="52">
        <v>46071.458333333336</v>
      </c>
      <c r="G1849" s="53">
        <v>7.6388888888888893E-4</v>
      </c>
      <c r="H1849" s="1" t="s">
        <v>257</v>
      </c>
      <c r="J1849" s="1" t="s">
        <v>371</v>
      </c>
      <c r="K1849" s="1" t="s">
        <v>653</v>
      </c>
      <c r="L1849" s="1" t="s">
        <v>906</v>
      </c>
    </row>
    <row r="1850" spans="2:12">
      <c r="B1850" s="1" t="s">
        <v>619</v>
      </c>
      <c r="C1850" s="1" t="s">
        <v>757</v>
      </c>
      <c r="D1850" s="52">
        <v>46071.453472222223</v>
      </c>
      <c r="E1850" s="52">
        <v>46071.453472222223</v>
      </c>
      <c r="F1850" s="52">
        <v>46071.45416666667</v>
      </c>
      <c r="G1850" s="53">
        <v>7.8703703703703705E-4</v>
      </c>
      <c r="H1850" s="1" t="s">
        <v>257</v>
      </c>
      <c r="J1850" s="1" t="s">
        <v>371</v>
      </c>
      <c r="K1850" s="1" t="s">
        <v>653</v>
      </c>
      <c r="L1850" s="1" t="s">
        <v>906</v>
      </c>
    </row>
    <row r="1851" spans="2:12">
      <c r="B1851" s="1" t="s">
        <v>619</v>
      </c>
      <c r="C1851" s="1" t="s">
        <v>757</v>
      </c>
      <c r="D1851" s="52">
        <v>46071.45</v>
      </c>
      <c r="E1851" s="52">
        <v>46071.45</v>
      </c>
      <c r="F1851" s="52">
        <v>46071.450694444444</v>
      </c>
      <c r="G1851" s="53">
        <v>7.8703703703703705E-4</v>
      </c>
      <c r="H1851" s="1" t="s">
        <v>257</v>
      </c>
      <c r="J1851" s="1" t="s">
        <v>371</v>
      </c>
      <c r="K1851" s="1" t="s">
        <v>653</v>
      </c>
      <c r="L1851" s="1" t="s">
        <v>906</v>
      </c>
    </row>
    <row r="1852" spans="2:12">
      <c r="B1852" s="1" t="s">
        <v>619</v>
      </c>
      <c r="C1852" s="1" t="s">
        <v>757</v>
      </c>
      <c r="D1852" s="52">
        <v>46071.446527777778</v>
      </c>
      <c r="E1852" s="52">
        <v>46071.446527777778</v>
      </c>
      <c r="F1852" s="52">
        <v>46071.447222222225</v>
      </c>
      <c r="G1852" s="53">
        <v>7.7546296296296293E-4</v>
      </c>
      <c r="H1852" s="1" t="s">
        <v>257</v>
      </c>
      <c r="J1852" s="1" t="s">
        <v>371</v>
      </c>
      <c r="K1852" s="1" t="s">
        <v>653</v>
      </c>
      <c r="L1852" s="1" t="s">
        <v>906</v>
      </c>
    </row>
    <row r="1853" spans="2:12">
      <c r="B1853" s="1" t="s">
        <v>619</v>
      </c>
      <c r="C1853" s="1" t="s">
        <v>757</v>
      </c>
      <c r="D1853" s="52">
        <v>46071.440972222219</v>
      </c>
      <c r="E1853" s="52">
        <v>46071.440972222219</v>
      </c>
      <c r="F1853" s="52">
        <v>46071.441666666666</v>
      </c>
      <c r="G1853" s="53">
        <v>9.837962962962962E-4</v>
      </c>
      <c r="H1853" s="1" t="s">
        <v>257</v>
      </c>
      <c r="J1853" s="1" t="s">
        <v>371</v>
      </c>
      <c r="K1853" s="1" t="s">
        <v>653</v>
      </c>
      <c r="L1853" s="1" t="s">
        <v>906</v>
      </c>
    </row>
    <row r="1854" spans="2:12">
      <c r="B1854" s="1" t="s">
        <v>619</v>
      </c>
      <c r="C1854" s="1" t="s">
        <v>757</v>
      </c>
      <c r="D1854" s="52">
        <v>46071.436805555553</v>
      </c>
      <c r="E1854" s="52">
        <v>46071.436805555553</v>
      </c>
      <c r="F1854" s="52">
        <v>46071.438194444447</v>
      </c>
      <c r="G1854" s="53">
        <v>7.8703703703703705E-4</v>
      </c>
      <c r="H1854" s="1" t="s">
        <v>257</v>
      </c>
      <c r="J1854" s="1" t="s">
        <v>371</v>
      </c>
      <c r="K1854" s="1" t="s">
        <v>653</v>
      </c>
      <c r="L1854" s="1" t="s">
        <v>906</v>
      </c>
    </row>
    <row r="1855" spans="2:12">
      <c r="B1855" s="1" t="s">
        <v>619</v>
      </c>
      <c r="C1855" s="1" t="s">
        <v>757</v>
      </c>
      <c r="D1855" s="52">
        <v>46071.433333333334</v>
      </c>
      <c r="E1855" s="52">
        <v>46071.433333333334</v>
      </c>
      <c r="F1855" s="52">
        <v>46071.434027777781</v>
      </c>
      <c r="G1855" s="53">
        <v>7.7546296296296293E-4</v>
      </c>
      <c r="H1855" s="1" t="s">
        <v>257</v>
      </c>
      <c r="J1855" s="1" t="s">
        <v>371</v>
      </c>
      <c r="K1855" s="1" t="s">
        <v>653</v>
      </c>
      <c r="L1855" s="1" t="s">
        <v>906</v>
      </c>
    </row>
    <row r="1856" spans="2:12">
      <c r="B1856" s="1" t="s">
        <v>619</v>
      </c>
      <c r="C1856" s="1" t="s">
        <v>757</v>
      </c>
      <c r="D1856" s="52">
        <v>46071.429166666669</v>
      </c>
      <c r="E1856" s="52">
        <v>46071.429166666669</v>
      </c>
      <c r="F1856" s="52">
        <v>46071.429861111108</v>
      </c>
      <c r="G1856" s="53">
        <v>7.7546296296296293E-4</v>
      </c>
      <c r="H1856" s="1" t="s">
        <v>257</v>
      </c>
      <c r="J1856" s="1" t="s">
        <v>371</v>
      </c>
      <c r="K1856" s="1" t="s">
        <v>653</v>
      </c>
      <c r="L1856" s="1" t="s">
        <v>906</v>
      </c>
    </row>
    <row r="1857" spans="2:12">
      <c r="B1857" s="1" t="s">
        <v>619</v>
      </c>
      <c r="C1857" s="1" t="s">
        <v>757</v>
      </c>
      <c r="D1857" s="52">
        <v>46071.425694444442</v>
      </c>
      <c r="E1857" s="52">
        <v>46071.425694444442</v>
      </c>
      <c r="F1857" s="52">
        <v>46071.426388888889</v>
      </c>
      <c r="G1857" s="53">
        <v>7.7546296296296293E-4</v>
      </c>
      <c r="H1857" s="1" t="s">
        <v>257</v>
      </c>
      <c r="J1857" s="1" t="s">
        <v>371</v>
      </c>
      <c r="K1857" s="1" t="s">
        <v>653</v>
      </c>
      <c r="L1857" s="1" t="s">
        <v>906</v>
      </c>
    </row>
    <row r="1858" spans="2:12">
      <c r="B1858" s="1" t="s">
        <v>619</v>
      </c>
      <c r="C1858" s="1" t="s">
        <v>757</v>
      </c>
      <c r="D1858" s="52">
        <v>46071.422222222223</v>
      </c>
      <c r="E1858" s="52">
        <v>46071.422222222223</v>
      </c>
      <c r="F1858" s="52">
        <v>46071.42291666667</v>
      </c>
      <c r="G1858" s="53">
        <v>7.6388888888888893E-4</v>
      </c>
      <c r="H1858" s="1" t="s">
        <v>257</v>
      </c>
      <c r="J1858" s="1" t="s">
        <v>371</v>
      </c>
      <c r="K1858" s="1" t="s">
        <v>653</v>
      </c>
      <c r="L1858" s="1" t="s">
        <v>906</v>
      </c>
    </row>
    <row r="1859" spans="2:12">
      <c r="B1859" s="1" t="s">
        <v>619</v>
      </c>
      <c r="C1859" s="1" t="s">
        <v>757</v>
      </c>
      <c r="D1859" s="52">
        <v>46071.418055555558</v>
      </c>
      <c r="E1859" s="52">
        <v>46071.418055555558</v>
      </c>
      <c r="F1859" s="52">
        <v>46071.418749999997</v>
      </c>
      <c r="G1859" s="53">
        <v>7.8703703703703705E-4</v>
      </c>
      <c r="H1859" s="1" t="s">
        <v>257</v>
      </c>
      <c r="J1859" s="1" t="s">
        <v>371</v>
      </c>
      <c r="K1859" s="1" t="s">
        <v>653</v>
      </c>
      <c r="L1859" s="1" t="s">
        <v>906</v>
      </c>
    </row>
    <row r="1860" spans="2:12">
      <c r="B1860" s="1" t="s">
        <v>619</v>
      </c>
      <c r="C1860" s="1" t="s">
        <v>757</v>
      </c>
      <c r="D1860" s="52">
        <v>46071.414583333331</v>
      </c>
      <c r="E1860" s="52">
        <v>46071.414583333331</v>
      </c>
      <c r="F1860" s="52">
        <v>46071.415277777778</v>
      </c>
      <c r="G1860" s="53">
        <v>7.5231481481481482E-4</v>
      </c>
      <c r="H1860" s="1" t="s">
        <v>257</v>
      </c>
      <c r="J1860" s="1" t="s">
        <v>371</v>
      </c>
      <c r="K1860" s="1" t="s">
        <v>653</v>
      </c>
      <c r="L1860" s="1" t="s">
        <v>906</v>
      </c>
    </row>
    <row r="1861" spans="2:12">
      <c r="B1861" s="1" t="s">
        <v>619</v>
      </c>
      <c r="C1861" s="1" t="s">
        <v>757</v>
      </c>
      <c r="D1861" s="52">
        <v>46071.410416666666</v>
      </c>
      <c r="E1861" s="52">
        <v>46071.410416666666</v>
      </c>
      <c r="F1861" s="52">
        <v>46071.411805555559</v>
      </c>
      <c r="G1861" s="53">
        <v>7.7546296296296293E-4</v>
      </c>
      <c r="H1861" s="1" t="s">
        <v>257</v>
      </c>
      <c r="J1861" s="1" t="s">
        <v>371</v>
      </c>
      <c r="K1861" s="1" t="s">
        <v>653</v>
      </c>
      <c r="L1861" s="1" t="s">
        <v>906</v>
      </c>
    </row>
    <row r="1862" spans="2:12">
      <c r="B1862" s="1" t="s">
        <v>619</v>
      </c>
      <c r="C1862" s="1" t="s">
        <v>757</v>
      </c>
      <c r="D1862" s="52">
        <v>46071.406944444447</v>
      </c>
      <c r="E1862" s="52">
        <v>46071.406944444447</v>
      </c>
      <c r="F1862" s="52">
        <v>46071.407638888886</v>
      </c>
      <c r="G1862" s="53">
        <v>7.7546296296296293E-4</v>
      </c>
      <c r="H1862" s="1" t="s">
        <v>257</v>
      </c>
      <c r="J1862" s="1" t="s">
        <v>371</v>
      </c>
      <c r="K1862" s="1" t="s">
        <v>653</v>
      </c>
      <c r="L1862" s="1" t="s">
        <v>906</v>
      </c>
    </row>
    <row r="1863" spans="2:12">
      <c r="B1863" s="1" t="s">
        <v>619</v>
      </c>
      <c r="C1863" s="1" t="s">
        <v>757</v>
      </c>
      <c r="D1863" s="52">
        <v>46071.402083333334</v>
      </c>
      <c r="E1863" s="52">
        <v>46071.402083333334</v>
      </c>
      <c r="F1863" s="52">
        <v>46071.40347222222</v>
      </c>
      <c r="G1863" s="53">
        <v>7.7546296296296293E-4</v>
      </c>
      <c r="H1863" s="1" t="s">
        <v>257</v>
      </c>
      <c r="J1863" s="1" t="s">
        <v>371</v>
      </c>
      <c r="K1863" s="1" t="s">
        <v>653</v>
      </c>
      <c r="L1863" s="1" t="s">
        <v>906</v>
      </c>
    </row>
    <row r="1864" spans="2:12">
      <c r="B1864" s="1" t="s">
        <v>619</v>
      </c>
      <c r="C1864" s="1" t="s">
        <v>757</v>
      </c>
      <c r="D1864" s="52">
        <v>46071.397916666669</v>
      </c>
      <c r="E1864" s="52">
        <v>46071.397916666669</v>
      </c>
      <c r="F1864" s="52">
        <v>46071.398611111108</v>
      </c>
      <c r="G1864" s="53">
        <v>7.7546296296296293E-4</v>
      </c>
      <c r="H1864" s="1" t="s">
        <v>257</v>
      </c>
      <c r="J1864" s="1" t="s">
        <v>371</v>
      </c>
      <c r="K1864" s="1" t="s">
        <v>653</v>
      </c>
      <c r="L1864" s="1" t="s">
        <v>906</v>
      </c>
    </row>
    <row r="1865" spans="2:12">
      <c r="B1865" s="1" t="s">
        <v>619</v>
      </c>
      <c r="C1865" s="1" t="s">
        <v>757</v>
      </c>
      <c r="D1865" s="52">
        <v>46071.392361111109</v>
      </c>
      <c r="E1865" s="52">
        <v>46071.392361111109</v>
      </c>
      <c r="F1865" s="52">
        <v>46071.393055555556</v>
      </c>
      <c r="G1865" s="53">
        <v>7.8703703703703705E-4</v>
      </c>
      <c r="H1865" s="1" t="s">
        <v>257</v>
      </c>
      <c r="J1865" s="1" t="s">
        <v>371</v>
      </c>
      <c r="K1865" s="1" t="s">
        <v>653</v>
      </c>
      <c r="L1865" s="1" t="s">
        <v>906</v>
      </c>
    </row>
    <row r="1866" spans="2:12">
      <c r="B1866" s="1" t="s">
        <v>619</v>
      </c>
      <c r="C1866" s="1" t="s">
        <v>757</v>
      </c>
      <c r="D1866" s="52">
        <v>46071.385416666664</v>
      </c>
      <c r="E1866" s="52">
        <v>46071.385416666664</v>
      </c>
      <c r="F1866" s="52">
        <v>46071.386111111111</v>
      </c>
      <c r="G1866" s="53">
        <v>7.8703703703703705E-4</v>
      </c>
      <c r="H1866" s="1" t="s">
        <v>257</v>
      </c>
      <c r="J1866" s="1" t="s">
        <v>371</v>
      </c>
      <c r="K1866" s="1" t="s">
        <v>653</v>
      </c>
      <c r="L1866" s="1" t="s">
        <v>906</v>
      </c>
    </row>
    <row r="1867" spans="2:12">
      <c r="B1867" s="1" t="s">
        <v>619</v>
      </c>
      <c r="C1867" s="1" t="s">
        <v>757</v>
      </c>
      <c r="D1867" s="52">
        <v>46070.704861111109</v>
      </c>
      <c r="E1867" s="52">
        <v>46070.704861111109</v>
      </c>
      <c r="F1867" s="52">
        <v>46070.705555555556</v>
      </c>
      <c r="G1867" s="53">
        <v>7.6388888888888893E-4</v>
      </c>
      <c r="H1867" s="1" t="s">
        <v>257</v>
      </c>
      <c r="J1867" s="1" t="s">
        <v>371</v>
      </c>
      <c r="K1867" s="1" t="s">
        <v>653</v>
      </c>
      <c r="L1867" s="1" t="s">
        <v>906</v>
      </c>
    </row>
    <row r="1868" spans="2:12">
      <c r="B1868" s="1" t="s">
        <v>619</v>
      </c>
      <c r="C1868" s="1" t="s">
        <v>757</v>
      </c>
      <c r="D1868" s="52">
        <v>46070.698611111111</v>
      </c>
      <c r="E1868" s="52">
        <v>46070.698611111111</v>
      </c>
      <c r="F1868" s="52">
        <v>46070.699305555558</v>
      </c>
      <c r="G1868" s="53">
        <v>7.8703703703703705E-4</v>
      </c>
      <c r="H1868" s="1" t="s">
        <v>257</v>
      </c>
      <c r="J1868" s="1" t="s">
        <v>371</v>
      </c>
      <c r="K1868" s="1" t="s">
        <v>653</v>
      </c>
      <c r="L1868" s="1" t="s">
        <v>906</v>
      </c>
    </row>
    <row r="1869" spans="2:12">
      <c r="B1869" s="1" t="s">
        <v>619</v>
      </c>
      <c r="C1869" s="1" t="s">
        <v>757</v>
      </c>
      <c r="D1869" s="52">
        <v>46070.692361111112</v>
      </c>
      <c r="E1869" s="52">
        <v>46070.692361111112</v>
      </c>
      <c r="F1869" s="52">
        <v>46070.693055555559</v>
      </c>
      <c r="G1869" s="53">
        <v>7.7546296296296293E-4</v>
      </c>
      <c r="H1869" s="1" t="s">
        <v>257</v>
      </c>
      <c r="J1869" s="1" t="s">
        <v>371</v>
      </c>
      <c r="K1869" s="1" t="s">
        <v>653</v>
      </c>
      <c r="L1869" s="1" t="s">
        <v>906</v>
      </c>
    </row>
    <row r="1870" spans="2:12">
      <c r="B1870" s="1" t="s">
        <v>619</v>
      </c>
      <c r="C1870" s="1" t="s">
        <v>757</v>
      </c>
      <c r="D1870" s="52">
        <v>46070.6875</v>
      </c>
      <c r="E1870" s="52">
        <v>46070.6875</v>
      </c>
      <c r="F1870" s="52">
        <v>46070.688194444447</v>
      </c>
      <c r="G1870" s="53">
        <v>7.8703703703703705E-4</v>
      </c>
      <c r="H1870" s="1" t="s">
        <v>257</v>
      </c>
      <c r="J1870" s="1" t="s">
        <v>371</v>
      </c>
      <c r="K1870" s="1" t="s">
        <v>653</v>
      </c>
      <c r="L1870" s="1" t="s">
        <v>906</v>
      </c>
    </row>
    <row r="1871" spans="2:12">
      <c r="B1871" s="1" t="s">
        <v>619</v>
      </c>
      <c r="C1871" s="1" t="s">
        <v>757</v>
      </c>
      <c r="D1871" s="52">
        <v>46070.682638888888</v>
      </c>
      <c r="E1871" s="52">
        <v>46070.682638888888</v>
      </c>
      <c r="F1871" s="52">
        <v>46070.683333333334</v>
      </c>
      <c r="G1871" s="53">
        <v>7.6388888888888893E-4</v>
      </c>
      <c r="H1871" s="1" t="s">
        <v>257</v>
      </c>
      <c r="J1871" s="1" t="s">
        <v>371</v>
      </c>
      <c r="K1871" s="1" t="s">
        <v>653</v>
      </c>
      <c r="L1871" s="1" t="s">
        <v>906</v>
      </c>
    </row>
    <row r="1872" spans="2:12">
      <c r="B1872" s="1" t="s">
        <v>619</v>
      </c>
      <c r="C1872" s="1" t="s">
        <v>757</v>
      </c>
      <c r="D1872" s="52">
        <v>46070.676388888889</v>
      </c>
      <c r="E1872" s="52">
        <v>46070.676388888889</v>
      </c>
      <c r="F1872" s="52">
        <v>46070.677083333336</v>
      </c>
      <c r="G1872" s="53">
        <v>7.8703703703703705E-4</v>
      </c>
      <c r="H1872" s="1" t="s">
        <v>257</v>
      </c>
      <c r="J1872" s="1" t="s">
        <v>371</v>
      </c>
      <c r="K1872" s="1" t="s">
        <v>653</v>
      </c>
      <c r="L1872" s="1" t="s">
        <v>906</v>
      </c>
    </row>
    <row r="1873" spans="2:12">
      <c r="B1873" s="1" t="s">
        <v>619</v>
      </c>
      <c r="C1873" s="1" t="s">
        <v>757</v>
      </c>
      <c r="D1873" s="52">
        <v>46070.661805555559</v>
      </c>
      <c r="E1873" s="52">
        <v>46070.661805555559</v>
      </c>
      <c r="F1873" s="52">
        <v>46070.662499999999</v>
      </c>
      <c r="G1873" s="53">
        <v>7.7546296296296293E-4</v>
      </c>
      <c r="H1873" s="1" t="s">
        <v>257</v>
      </c>
      <c r="J1873" s="1" t="s">
        <v>371</v>
      </c>
      <c r="K1873" s="1" t="s">
        <v>653</v>
      </c>
      <c r="L1873" s="1" t="s">
        <v>906</v>
      </c>
    </row>
    <row r="1874" spans="2:12">
      <c r="B1874" s="1" t="s">
        <v>619</v>
      </c>
      <c r="C1874" s="1" t="s">
        <v>757</v>
      </c>
      <c r="D1874" s="52">
        <v>46070.658333333333</v>
      </c>
      <c r="E1874" s="52">
        <v>46070.658333333333</v>
      </c>
      <c r="F1874" s="52">
        <v>46070.659722222219</v>
      </c>
      <c r="G1874" s="53">
        <v>7.8703703703703705E-4</v>
      </c>
      <c r="H1874" s="1" t="s">
        <v>257</v>
      </c>
      <c r="J1874" s="1" t="s">
        <v>371</v>
      </c>
      <c r="K1874" s="1" t="s">
        <v>653</v>
      </c>
      <c r="L1874" s="1" t="s">
        <v>906</v>
      </c>
    </row>
    <row r="1875" spans="2:12">
      <c r="B1875" s="1" t="s">
        <v>619</v>
      </c>
      <c r="C1875" s="1" t="s">
        <v>757</v>
      </c>
      <c r="D1875" s="52">
        <v>46070.655555555553</v>
      </c>
      <c r="E1875" s="52">
        <v>46070.655555555553</v>
      </c>
      <c r="F1875" s="52">
        <v>46070.65625</v>
      </c>
      <c r="G1875" s="53">
        <v>7.8703703703703705E-4</v>
      </c>
      <c r="H1875" s="1" t="s">
        <v>257</v>
      </c>
      <c r="J1875" s="1" t="s">
        <v>371</v>
      </c>
      <c r="K1875" s="1" t="s">
        <v>653</v>
      </c>
      <c r="L1875" s="1" t="s">
        <v>906</v>
      </c>
    </row>
    <row r="1876" spans="2:12">
      <c r="B1876" s="1" t="s">
        <v>619</v>
      </c>
      <c r="C1876" s="1" t="s">
        <v>757</v>
      </c>
      <c r="D1876" s="52">
        <v>46070.652083333334</v>
      </c>
      <c r="E1876" s="52">
        <v>46070.652083333334</v>
      </c>
      <c r="F1876" s="52">
        <v>46070.652777777781</v>
      </c>
      <c r="G1876" s="53">
        <v>7.6388888888888893E-4</v>
      </c>
      <c r="H1876" s="1" t="s">
        <v>257</v>
      </c>
      <c r="J1876" s="1" t="s">
        <v>371</v>
      </c>
      <c r="K1876" s="1" t="s">
        <v>653</v>
      </c>
      <c r="L1876" s="1" t="s">
        <v>906</v>
      </c>
    </row>
    <row r="1877" spans="2:12">
      <c r="B1877" s="1" t="s">
        <v>619</v>
      </c>
      <c r="C1877" s="1" t="s">
        <v>757</v>
      </c>
      <c r="D1877" s="52">
        <v>46070.648611111108</v>
      </c>
      <c r="E1877" s="52">
        <v>46070.648611111108</v>
      </c>
      <c r="F1877" s="52">
        <v>46070.649305555555</v>
      </c>
      <c r="G1877" s="53">
        <v>7.7546296296296293E-4</v>
      </c>
      <c r="H1877" s="1" t="s">
        <v>257</v>
      </c>
      <c r="J1877" s="1" t="s">
        <v>371</v>
      </c>
      <c r="K1877" s="1" t="s">
        <v>653</v>
      </c>
      <c r="L1877" s="1" t="s">
        <v>906</v>
      </c>
    </row>
    <row r="1878" spans="2:12">
      <c r="B1878" s="1" t="s">
        <v>619</v>
      </c>
      <c r="C1878" s="1" t="s">
        <v>757</v>
      </c>
      <c r="D1878" s="52">
        <v>46070.645833333336</v>
      </c>
      <c r="E1878" s="52">
        <v>46070.645833333336</v>
      </c>
      <c r="F1878" s="52">
        <v>46070.646527777775</v>
      </c>
      <c r="G1878" s="53">
        <v>8.1018518518518516E-4</v>
      </c>
      <c r="H1878" s="1" t="s">
        <v>257</v>
      </c>
      <c r="J1878" s="1" t="s">
        <v>371</v>
      </c>
      <c r="K1878" s="1" t="s">
        <v>653</v>
      </c>
      <c r="L1878" s="1" t="s">
        <v>906</v>
      </c>
    </row>
    <row r="1879" spans="2:12">
      <c r="B1879" s="1" t="s">
        <v>619</v>
      </c>
      <c r="C1879" s="1" t="s">
        <v>757</v>
      </c>
      <c r="D1879" s="52">
        <v>46070.643055555556</v>
      </c>
      <c r="E1879" s="52">
        <v>46070.643055555556</v>
      </c>
      <c r="F1879" s="52">
        <v>46070.643750000003</v>
      </c>
      <c r="G1879" s="53">
        <v>7.8703703703703705E-4</v>
      </c>
      <c r="H1879" s="1" t="s">
        <v>257</v>
      </c>
      <c r="J1879" s="1" t="s">
        <v>371</v>
      </c>
      <c r="K1879" s="1" t="s">
        <v>653</v>
      </c>
      <c r="L1879" s="1" t="s">
        <v>906</v>
      </c>
    </row>
    <row r="1880" spans="2:12">
      <c r="B1880" s="1" t="s">
        <v>619</v>
      </c>
      <c r="C1880" s="1" t="s">
        <v>757</v>
      </c>
      <c r="D1880" s="52">
        <v>46070.63958333333</v>
      </c>
      <c r="E1880" s="52">
        <v>46070.63958333333</v>
      </c>
      <c r="F1880" s="52">
        <v>46070.640277777777</v>
      </c>
      <c r="G1880" s="53">
        <v>7.8703703703703705E-4</v>
      </c>
      <c r="H1880" s="1" t="s">
        <v>257</v>
      </c>
      <c r="J1880" s="1" t="s">
        <v>371</v>
      </c>
      <c r="K1880" s="1" t="s">
        <v>653</v>
      </c>
      <c r="L1880" s="1" t="s">
        <v>906</v>
      </c>
    </row>
    <row r="1881" spans="2:12">
      <c r="B1881" s="1" t="s">
        <v>619</v>
      </c>
      <c r="C1881" s="1" t="s">
        <v>757</v>
      </c>
      <c r="D1881" s="52">
        <v>46070.628472222219</v>
      </c>
      <c r="E1881" s="52">
        <v>46070.628472222219</v>
      </c>
      <c r="F1881" s="52">
        <v>46070.629166666666</v>
      </c>
      <c r="G1881" s="53">
        <v>7.6388888888888893E-4</v>
      </c>
      <c r="H1881" s="1" t="s">
        <v>257</v>
      </c>
      <c r="J1881" s="1" t="s">
        <v>371</v>
      </c>
      <c r="K1881" s="1" t="s">
        <v>653</v>
      </c>
      <c r="L1881" s="1" t="s">
        <v>906</v>
      </c>
    </row>
    <row r="1882" spans="2:12">
      <c r="B1882" s="1" t="s">
        <v>619</v>
      </c>
      <c r="C1882" s="1" t="s">
        <v>757</v>
      </c>
      <c r="D1882" s="52">
        <v>46070.625</v>
      </c>
      <c r="E1882" s="52">
        <v>46070.625</v>
      </c>
      <c r="F1882" s="52">
        <v>46070.625694444447</v>
      </c>
      <c r="G1882" s="53">
        <v>7.7546296296296293E-4</v>
      </c>
      <c r="H1882" s="1" t="s">
        <v>257</v>
      </c>
      <c r="J1882" s="1" t="s">
        <v>371</v>
      </c>
      <c r="K1882" s="1" t="s">
        <v>653</v>
      </c>
      <c r="L1882" s="1" t="s">
        <v>906</v>
      </c>
    </row>
    <row r="1883" spans="2:12">
      <c r="B1883" s="1" t="s">
        <v>619</v>
      </c>
      <c r="C1883" s="1" t="s">
        <v>757</v>
      </c>
      <c r="D1883" s="52">
        <v>46070.621527777781</v>
      </c>
      <c r="E1883" s="52">
        <v>46070.621527777781</v>
      </c>
      <c r="F1883" s="52">
        <v>46070.62222222222</v>
      </c>
      <c r="G1883" s="53">
        <v>7.9861111111111116E-4</v>
      </c>
      <c r="H1883" s="1" t="s">
        <v>257</v>
      </c>
      <c r="J1883" s="1" t="s">
        <v>371</v>
      </c>
      <c r="K1883" s="1" t="s">
        <v>653</v>
      </c>
      <c r="L1883" s="1" t="s">
        <v>906</v>
      </c>
    </row>
    <row r="1884" spans="2:12">
      <c r="B1884" s="1" t="s">
        <v>619</v>
      </c>
      <c r="C1884" s="1" t="s">
        <v>757</v>
      </c>
      <c r="D1884" s="52">
        <v>46070.618055555555</v>
      </c>
      <c r="E1884" s="52">
        <v>46070.618055555555</v>
      </c>
      <c r="F1884" s="52">
        <v>46070.619444444441</v>
      </c>
      <c r="G1884" s="53">
        <v>8.1018518518518516E-4</v>
      </c>
      <c r="H1884" s="1" t="s">
        <v>257</v>
      </c>
      <c r="J1884" s="1" t="s">
        <v>371</v>
      </c>
      <c r="K1884" s="1" t="s">
        <v>653</v>
      </c>
      <c r="L1884" s="1" t="s">
        <v>906</v>
      </c>
    </row>
    <row r="1885" spans="2:12">
      <c r="B1885" s="1" t="s">
        <v>619</v>
      </c>
      <c r="C1885" s="1" t="s">
        <v>757</v>
      </c>
      <c r="D1885" s="52">
        <v>46070.614583333336</v>
      </c>
      <c r="E1885" s="52">
        <v>46070.614583333336</v>
      </c>
      <c r="F1885" s="52">
        <v>46070.615277777775</v>
      </c>
      <c r="G1885" s="53">
        <v>7.8703703703703705E-4</v>
      </c>
      <c r="H1885" s="1" t="s">
        <v>257</v>
      </c>
      <c r="J1885" s="1" t="s">
        <v>371</v>
      </c>
      <c r="K1885" s="1" t="s">
        <v>653</v>
      </c>
      <c r="L1885" s="1" t="s">
        <v>906</v>
      </c>
    </row>
    <row r="1886" spans="2:12">
      <c r="B1886" s="1" t="s">
        <v>619</v>
      </c>
      <c r="C1886" s="1" t="s">
        <v>757</v>
      </c>
      <c r="D1886" s="52">
        <v>46070.611111111109</v>
      </c>
      <c r="E1886" s="52">
        <v>46070.611111111109</v>
      </c>
      <c r="F1886" s="52">
        <v>46070.612500000003</v>
      </c>
      <c r="G1886" s="53">
        <v>7.8703703703703705E-4</v>
      </c>
      <c r="H1886" s="1" t="s">
        <v>257</v>
      </c>
      <c r="J1886" s="1" t="s">
        <v>371</v>
      </c>
      <c r="K1886" s="1" t="s">
        <v>653</v>
      </c>
      <c r="L1886" s="1" t="s">
        <v>906</v>
      </c>
    </row>
    <row r="1887" spans="2:12">
      <c r="B1887" s="1" t="s">
        <v>619</v>
      </c>
      <c r="C1887" s="1" t="s">
        <v>757</v>
      </c>
      <c r="D1887" s="52">
        <v>46070.60833333333</v>
      </c>
      <c r="E1887" s="52">
        <v>46070.60833333333</v>
      </c>
      <c r="F1887" s="52">
        <v>46070.609027777777</v>
      </c>
      <c r="G1887" s="53">
        <v>7.8703703703703705E-4</v>
      </c>
      <c r="H1887" s="1" t="s">
        <v>257</v>
      </c>
      <c r="J1887" s="1" t="s">
        <v>371</v>
      </c>
      <c r="K1887" s="1" t="s">
        <v>653</v>
      </c>
      <c r="L1887" s="1" t="s">
        <v>906</v>
      </c>
    </row>
    <row r="1888" spans="2:12">
      <c r="B1888" s="1" t="s">
        <v>619</v>
      </c>
      <c r="C1888" s="1" t="s">
        <v>757</v>
      </c>
      <c r="D1888" s="52">
        <v>46070.605555555558</v>
      </c>
      <c r="E1888" s="52">
        <v>46070.605555555558</v>
      </c>
      <c r="F1888" s="52">
        <v>46070.606249999997</v>
      </c>
      <c r="G1888" s="53">
        <v>7.7546296296296293E-4</v>
      </c>
      <c r="H1888" s="1" t="s">
        <v>257</v>
      </c>
      <c r="J1888" s="1" t="s">
        <v>371</v>
      </c>
      <c r="K1888" s="1" t="s">
        <v>653</v>
      </c>
      <c r="L1888" s="1" t="s">
        <v>906</v>
      </c>
    </row>
    <row r="1889" spans="2:12">
      <c r="B1889" s="1" t="s">
        <v>619</v>
      </c>
      <c r="C1889" s="1" t="s">
        <v>757</v>
      </c>
      <c r="D1889" s="52">
        <v>46070.602083333331</v>
      </c>
      <c r="E1889" s="52">
        <v>46070.602083333331</v>
      </c>
      <c r="F1889" s="52">
        <v>46070.602777777778</v>
      </c>
      <c r="G1889" s="53">
        <v>7.8703703703703705E-4</v>
      </c>
      <c r="H1889" s="1" t="s">
        <v>257</v>
      </c>
      <c r="J1889" s="1" t="s">
        <v>371</v>
      </c>
      <c r="K1889" s="1" t="s">
        <v>653</v>
      </c>
      <c r="L1889" s="1" t="s">
        <v>906</v>
      </c>
    </row>
    <row r="1890" spans="2:12">
      <c r="B1890" s="1" t="s">
        <v>619</v>
      </c>
      <c r="C1890" s="1" t="s">
        <v>757</v>
      </c>
      <c r="D1890" s="52">
        <v>46070.598611111112</v>
      </c>
      <c r="E1890" s="52">
        <v>46070.598611111112</v>
      </c>
      <c r="F1890" s="52">
        <v>46070.599305555559</v>
      </c>
      <c r="G1890" s="53">
        <v>7.7546296296296293E-4</v>
      </c>
      <c r="H1890" s="1" t="s">
        <v>257</v>
      </c>
      <c r="J1890" s="1" t="s">
        <v>371</v>
      </c>
      <c r="K1890" s="1" t="s">
        <v>653</v>
      </c>
      <c r="L1890" s="1" t="s">
        <v>906</v>
      </c>
    </row>
    <row r="1891" spans="2:12">
      <c r="B1891" s="1" t="s">
        <v>619</v>
      </c>
      <c r="C1891" s="1" t="s">
        <v>757</v>
      </c>
      <c r="D1891" s="52">
        <v>46070.595833333333</v>
      </c>
      <c r="E1891" s="52">
        <v>46070.595833333333</v>
      </c>
      <c r="F1891" s="52">
        <v>46070.59652777778</v>
      </c>
      <c r="G1891" s="53">
        <v>7.8703703703703705E-4</v>
      </c>
      <c r="H1891" s="1" t="s">
        <v>257</v>
      </c>
      <c r="J1891" s="1" t="s">
        <v>371</v>
      </c>
      <c r="K1891" s="1" t="s">
        <v>653</v>
      </c>
      <c r="L1891" s="1" t="s">
        <v>906</v>
      </c>
    </row>
    <row r="1892" spans="2:12">
      <c r="B1892" s="1" t="s">
        <v>619</v>
      </c>
      <c r="C1892" s="1" t="s">
        <v>757</v>
      </c>
      <c r="D1892" s="52">
        <v>46070.592361111114</v>
      </c>
      <c r="E1892" s="52">
        <v>46070.592361111114</v>
      </c>
      <c r="F1892" s="52">
        <v>46070.593055555553</v>
      </c>
      <c r="G1892" s="53">
        <v>7.6388888888888893E-4</v>
      </c>
      <c r="H1892" s="1" t="s">
        <v>257</v>
      </c>
      <c r="J1892" s="1" t="s">
        <v>371</v>
      </c>
      <c r="K1892" s="1" t="s">
        <v>653</v>
      </c>
      <c r="L1892" s="1" t="s">
        <v>906</v>
      </c>
    </row>
    <row r="1893" spans="2:12">
      <c r="B1893" s="1" t="s">
        <v>619</v>
      </c>
      <c r="C1893" s="1" t="s">
        <v>757</v>
      </c>
      <c r="D1893" s="52">
        <v>46070.588888888888</v>
      </c>
      <c r="E1893" s="52">
        <v>46070.588888888888</v>
      </c>
      <c r="F1893" s="52">
        <v>46070.589583333334</v>
      </c>
      <c r="G1893" s="53">
        <v>7.9861111111111116E-4</v>
      </c>
      <c r="H1893" s="1" t="s">
        <v>257</v>
      </c>
      <c r="J1893" s="1" t="s">
        <v>371</v>
      </c>
      <c r="K1893" s="1" t="s">
        <v>653</v>
      </c>
      <c r="L1893" s="1" t="s">
        <v>906</v>
      </c>
    </row>
    <row r="1894" spans="2:12">
      <c r="B1894" s="1" t="s">
        <v>619</v>
      </c>
      <c r="C1894" s="1" t="s">
        <v>757</v>
      </c>
      <c r="D1894" s="52">
        <v>46070.585416666669</v>
      </c>
      <c r="E1894" s="52">
        <v>46070.585416666669</v>
      </c>
      <c r="F1894" s="52">
        <v>46070.586111111108</v>
      </c>
      <c r="G1894" s="53">
        <v>7.7546296296296293E-4</v>
      </c>
      <c r="H1894" s="1" t="s">
        <v>257</v>
      </c>
      <c r="J1894" s="1" t="s">
        <v>371</v>
      </c>
      <c r="K1894" s="1" t="s">
        <v>653</v>
      </c>
      <c r="L1894" s="1" t="s">
        <v>906</v>
      </c>
    </row>
    <row r="1895" spans="2:12">
      <c r="B1895" s="1" t="s">
        <v>619</v>
      </c>
      <c r="C1895" s="1" t="s">
        <v>757</v>
      </c>
      <c r="D1895" s="52">
        <v>46070.581944444442</v>
      </c>
      <c r="E1895" s="52">
        <v>46070.581944444442</v>
      </c>
      <c r="F1895" s="52">
        <v>46070.583333333336</v>
      </c>
      <c r="G1895" s="53">
        <v>8.1018518518518516E-4</v>
      </c>
      <c r="H1895" s="1" t="s">
        <v>257</v>
      </c>
      <c r="J1895" s="1" t="s">
        <v>371</v>
      </c>
      <c r="K1895" s="1" t="s">
        <v>653</v>
      </c>
      <c r="L1895" s="1" t="s">
        <v>906</v>
      </c>
    </row>
    <row r="1896" spans="2:12">
      <c r="B1896" s="1" t="s">
        <v>619</v>
      </c>
      <c r="C1896" s="1" t="s">
        <v>757</v>
      </c>
      <c r="D1896" s="52">
        <v>46070.57916666667</v>
      </c>
      <c r="E1896" s="52">
        <v>46070.57916666667</v>
      </c>
      <c r="F1896" s="52">
        <v>46070.579861111109</v>
      </c>
      <c r="G1896" s="53">
        <v>7.6388888888888893E-4</v>
      </c>
      <c r="H1896" s="1" t="s">
        <v>257</v>
      </c>
      <c r="J1896" s="1" t="s">
        <v>371</v>
      </c>
      <c r="K1896" s="1" t="s">
        <v>653</v>
      </c>
      <c r="L1896" s="1" t="s">
        <v>906</v>
      </c>
    </row>
    <row r="1897" spans="2:12">
      <c r="B1897" s="1" t="s">
        <v>619</v>
      </c>
      <c r="C1897" s="1" t="s">
        <v>757</v>
      </c>
      <c r="D1897" s="52">
        <v>46070.576388888891</v>
      </c>
      <c r="E1897" s="52">
        <v>46070.576388888891</v>
      </c>
      <c r="F1897" s="52">
        <v>46070.57708333333</v>
      </c>
      <c r="G1897" s="53">
        <v>7.7546296296296293E-4</v>
      </c>
      <c r="H1897" s="1" t="s">
        <v>257</v>
      </c>
      <c r="J1897" s="1" t="s">
        <v>371</v>
      </c>
      <c r="K1897" s="1" t="s">
        <v>653</v>
      </c>
      <c r="L1897" s="1" t="s">
        <v>906</v>
      </c>
    </row>
    <row r="1898" spans="2:12">
      <c r="B1898" s="1" t="s">
        <v>619</v>
      </c>
      <c r="C1898" s="1" t="s">
        <v>757</v>
      </c>
      <c r="D1898" s="52">
        <v>46070.573611111111</v>
      </c>
      <c r="E1898" s="52">
        <v>46070.573611111111</v>
      </c>
      <c r="F1898" s="52">
        <v>46070.574305555558</v>
      </c>
      <c r="G1898" s="53">
        <v>7.7546296296296293E-4</v>
      </c>
      <c r="H1898" s="1" t="s">
        <v>257</v>
      </c>
      <c r="J1898" s="1" t="s">
        <v>371</v>
      </c>
      <c r="K1898" s="1" t="s">
        <v>653</v>
      </c>
      <c r="L1898" s="1" t="s">
        <v>906</v>
      </c>
    </row>
    <row r="1899" spans="2:12">
      <c r="B1899" s="1" t="s">
        <v>619</v>
      </c>
      <c r="C1899" s="1" t="s">
        <v>757</v>
      </c>
      <c r="D1899" s="52">
        <v>46070.570138888892</v>
      </c>
      <c r="E1899" s="52">
        <v>46070.570138888892</v>
      </c>
      <c r="F1899" s="52">
        <v>46070.570833333331</v>
      </c>
      <c r="G1899" s="53">
        <v>7.6388888888888893E-4</v>
      </c>
      <c r="H1899" s="1" t="s">
        <v>257</v>
      </c>
      <c r="J1899" s="1" t="s">
        <v>371</v>
      </c>
      <c r="K1899" s="1" t="s">
        <v>653</v>
      </c>
      <c r="L1899" s="1" t="s">
        <v>906</v>
      </c>
    </row>
    <row r="1900" spans="2:12">
      <c r="B1900" s="1" t="s">
        <v>619</v>
      </c>
      <c r="C1900" s="1" t="s">
        <v>757</v>
      </c>
      <c r="D1900" s="52">
        <v>46070.555555555555</v>
      </c>
      <c r="E1900" s="52">
        <v>46070.555555555555</v>
      </c>
      <c r="F1900" s="52">
        <v>46070.556250000001</v>
      </c>
      <c r="G1900" s="53">
        <v>7.8703703703703705E-4</v>
      </c>
      <c r="H1900" s="1" t="s">
        <v>257</v>
      </c>
      <c r="J1900" s="1" t="s">
        <v>371</v>
      </c>
      <c r="K1900" s="1" t="s">
        <v>653</v>
      </c>
      <c r="L1900" s="1" t="s">
        <v>906</v>
      </c>
    </row>
    <row r="1901" spans="2:12">
      <c r="B1901" s="1" t="s">
        <v>619</v>
      </c>
      <c r="C1901" s="1" t="s">
        <v>757</v>
      </c>
      <c r="D1901" s="52">
        <v>46070.547222222223</v>
      </c>
      <c r="E1901" s="52">
        <v>46070.547222222223</v>
      </c>
      <c r="F1901" s="52">
        <v>46070.54791666667</v>
      </c>
      <c r="G1901" s="53">
        <v>8.3333333333333339E-4</v>
      </c>
      <c r="H1901" s="1" t="s">
        <v>257</v>
      </c>
      <c r="J1901" s="1" t="s">
        <v>371</v>
      </c>
      <c r="K1901" s="1" t="s">
        <v>653</v>
      </c>
      <c r="L1901" s="1" t="s">
        <v>906</v>
      </c>
    </row>
    <row r="1902" spans="2:12">
      <c r="B1902" s="1" t="s">
        <v>619</v>
      </c>
      <c r="C1902" s="1" t="s">
        <v>757</v>
      </c>
      <c r="D1902" s="52">
        <v>46070.544444444444</v>
      </c>
      <c r="E1902" s="52">
        <v>46070.544444444444</v>
      </c>
      <c r="F1902" s="52">
        <v>46070.545138888891</v>
      </c>
      <c r="G1902" s="53">
        <v>7.8703703703703705E-4</v>
      </c>
      <c r="H1902" s="1" t="s">
        <v>257</v>
      </c>
      <c r="J1902" s="1" t="s">
        <v>371</v>
      </c>
      <c r="K1902" s="1" t="s">
        <v>653</v>
      </c>
      <c r="L1902" s="1" t="s">
        <v>906</v>
      </c>
    </row>
    <row r="1903" spans="2:12">
      <c r="B1903" s="1" t="s">
        <v>619</v>
      </c>
      <c r="C1903" s="1" t="s">
        <v>757</v>
      </c>
      <c r="D1903" s="52">
        <v>46070.541666666664</v>
      </c>
      <c r="E1903" s="52">
        <v>46070.541666666664</v>
      </c>
      <c r="F1903" s="52">
        <v>46070.542361111111</v>
      </c>
      <c r="G1903" s="53">
        <v>7.6388888888888893E-4</v>
      </c>
      <c r="H1903" s="1" t="s">
        <v>257</v>
      </c>
      <c r="J1903" s="1" t="s">
        <v>371</v>
      </c>
      <c r="K1903" s="1" t="s">
        <v>653</v>
      </c>
      <c r="L1903" s="1" t="s">
        <v>906</v>
      </c>
    </row>
    <row r="1904" spans="2:12">
      <c r="B1904" s="1" t="s">
        <v>619</v>
      </c>
      <c r="C1904" s="1" t="s">
        <v>757</v>
      </c>
      <c r="D1904" s="52">
        <v>46070.538194444445</v>
      </c>
      <c r="E1904" s="52">
        <v>46070.538194444445</v>
      </c>
      <c r="F1904" s="52">
        <v>46070.539583333331</v>
      </c>
      <c r="G1904" s="53">
        <v>7.7546296296296293E-4</v>
      </c>
      <c r="H1904" s="1" t="s">
        <v>257</v>
      </c>
      <c r="J1904" s="1" t="s">
        <v>371</v>
      </c>
      <c r="K1904" s="1" t="s">
        <v>653</v>
      </c>
      <c r="L1904" s="1" t="s">
        <v>906</v>
      </c>
    </row>
    <row r="1905" spans="2:12">
      <c r="B1905" s="1" t="s">
        <v>619</v>
      </c>
      <c r="C1905" s="1" t="s">
        <v>757</v>
      </c>
      <c r="D1905" s="52">
        <v>46070.535416666666</v>
      </c>
      <c r="E1905" s="52">
        <v>46070.535416666666</v>
      </c>
      <c r="F1905" s="52">
        <v>46070.536111111112</v>
      </c>
      <c r="G1905" s="53">
        <v>7.7546296296296293E-4</v>
      </c>
      <c r="H1905" s="1" t="s">
        <v>257</v>
      </c>
      <c r="J1905" s="1" t="s">
        <v>371</v>
      </c>
      <c r="K1905" s="1" t="s">
        <v>653</v>
      </c>
      <c r="L1905" s="1" t="s">
        <v>906</v>
      </c>
    </row>
    <row r="1906" spans="2:12">
      <c r="B1906" s="1" t="s">
        <v>619</v>
      </c>
      <c r="C1906" s="1" t="s">
        <v>757</v>
      </c>
      <c r="D1906" s="52">
        <v>46070.523611111108</v>
      </c>
      <c r="E1906" s="52">
        <v>46070.523611111108</v>
      </c>
      <c r="F1906" s="52">
        <v>46070.525000000001</v>
      </c>
      <c r="G1906" s="53">
        <v>7.7546296296296293E-4</v>
      </c>
      <c r="H1906" s="1" t="s">
        <v>257</v>
      </c>
      <c r="J1906" s="1" t="s">
        <v>371</v>
      </c>
      <c r="K1906" s="1" t="s">
        <v>653</v>
      </c>
      <c r="L1906" s="1" t="s">
        <v>906</v>
      </c>
    </row>
    <row r="1907" spans="2:12">
      <c r="B1907" s="1" t="s">
        <v>619</v>
      </c>
      <c r="C1907" s="1" t="s">
        <v>757</v>
      </c>
      <c r="D1907" s="52">
        <v>46070.520138888889</v>
      </c>
      <c r="E1907" s="52">
        <v>46070.520138888889</v>
      </c>
      <c r="F1907" s="52">
        <v>46070.520833333336</v>
      </c>
      <c r="G1907" s="53">
        <v>7.6388888888888893E-4</v>
      </c>
      <c r="H1907" s="1" t="s">
        <v>257</v>
      </c>
      <c r="J1907" s="1" t="s">
        <v>371</v>
      </c>
      <c r="K1907" s="1" t="s">
        <v>653</v>
      </c>
      <c r="L1907" s="1" t="s">
        <v>906</v>
      </c>
    </row>
    <row r="1908" spans="2:12">
      <c r="B1908" s="1" t="s">
        <v>619</v>
      </c>
      <c r="C1908" s="1" t="s">
        <v>757</v>
      </c>
      <c r="D1908" s="52">
        <v>46070.515972222223</v>
      </c>
      <c r="E1908" s="52">
        <v>46070.515972222223</v>
      </c>
      <c r="F1908" s="52">
        <v>46070.51666666667</v>
      </c>
      <c r="G1908" s="53">
        <v>7.7546296296296293E-4</v>
      </c>
      <c r="H1908" s="1" t="s">
        <v>257</v>
      </c>
      <c r="J1908" s="1" t="s">
        <v>371</v>
      </c>
      <c r="K1908" s="1" t="s">
        <v>653</v>
      </c>
      <c r="L1908" s="1" t="s">
        <v>906</v>
      </c>
    </row>
    <row r="1909" spans="2:12">
      <c r="B1909" s="1" t="s">
        <v>619</v>
      </c>
      <c r="C1909" s="1" t="s">
        <v>757</v>
      </c>
      <c r="D1909" s="52">
        <v>46070.511805555558</v>
      </c>
      <c r="E1909" s="52">
        <v>46070.511805555558</v>
      </c>
      <c r="F1909" s="52">
        <v>46070.512499999997</v>
      </c>
      <c r="G1909" s="53">
        <v>7.7546296296296293E-4</v>
      </c>
      <c r="H1909" s="1" t="s">
        <v>257</v>
      </c>
      <c r="J1909" s="1" t="s">
        <v>371</v>
      </c>
      <c r="K1909" s="1" t="s">
        <v>653</v>
      </c>
      <c r="L1909" s="1" t="s">
        <v>906</v>
      </c>
    </row>
    <row r="1910" spans="2:12">
      <c r="B1910" s="1" t="s">
        <v>619</v>
      </c>
      <c r="C1910" s="1" t="s">
        <v>757</v>
      </c>
      <c r="D1910" s="52">
        <v>46070.508333333331</v>
      </c>
      <c r="E1910" s="52">
        <v>46070.508333333331</v>
      </c>
      <c r="F1910" s="52">
        <v>46070.509722222225</v>
      </c>
      <c r="G1910" s="53">
        <v>7.6388888888888893E-4</v>
      </c>
      <c r="H1910" s="1" t="s">
        <v>257</v>
      </c>
      <c r="J1910" s="1" t="s">
        <v>371</v>
      </c>
      <c r="K1910" s="1" t="s">
        <v>653</v>
      </c>
      <c r="L1910" s="1" t="s">
        <v>906</v>
      </c>
    </row>
    <row r="1911" spans="2:12">
      <c r="B1911" s="1" t="s">
        <v>619</v>
      </c>
      <c r="C1911" s="1" t="s">
        <v>757</v>
      </c>
      <c r="D1911" s="52">
        <v>46070.504166666666</v>
      </c>
      <c r="E1911" s="52">
        <v>46070.504166666666</v>
      </c>
      <c r="F1911" s="52">
        <v>46070.504861111112</v>
      </c>
      <c r="G1911" s="53">
        <v>7.8703703703703705E-4</v>
      </c>
      <c r="H1911" s="1" t="s">
        <v>257</v>
      </c>
      <c r="J1911" s="1" t="s">
        <v>371</v>
      </c>
      <c r="K1911" s="1" t="s">
        <v>653</v>
      </c>
      <c r="L1911" s="1" t="s">
        <v>906</v>
      </c>
    </row>
    <row r="1912" spans="2:12">
      <c r="B1912" s="1" t="s">
        <v>619</v>
      </c>
      <c r="C1912" s="1" t="s">
        <v>757</v>
      </c>
      <c r="D1912" s="52">
        <v>46070.5</v>
      </c>
      <c r="E1912" s="52">
        <v>46070.5</v>
      </c>
      <c r="F1912" s="52">
        <v>46070.500694444447</v>
      </c>
      <c r="G1912" s="53">
        <v>7.7546296296296293E-4</v>
      </c>
      <c r="H1912" s="1" t="s">
        <v>257</v>
      </c>
      <c r="J1912" s="1" t="s">
        <v>371</v>
      </c>
      <c r="K1912" s="1" t="s">
        <v>653</v>
      </c>
      <c r="L1912" s="1" t="s">
        <v>906</v>
      </c>
    </row>
    <row r="1913" spans="2:12">
      <c r="B1913" s="1" t="s">
        <v>619</v>
      </c>
      <c r="C1913" s="1" t="s">
        <v>757</v>
      </c>
      <c r="D1913" s="52">
        <v>46070.495138888888</v>
      </c>
      <c r="E1913" s="52">
        <v>46070.495138888888</v>
      </c>
      <c r="F1913" s="52">
        <v>46070.495833333334</v>
      </c>
      <c r="G1913" s="53">
        <v>7.8703703703703705E-4</v>
      </c>
      <c r="H1913" s="1" t="s">
        <v>257</v>
      </c>
      <c r="J1913" s="1" t="s">
        <v>371</v>
      </c>
      <c r="K1913" s="1" t="s">
        <v>653</v>
      </c>
      <c r="L1913" s="1" t="s">
        <v>906</v>
      </c>
    </row>
    <row r="1914" spans="2:12">
      <c r="B1914" s="1" t="s">
        <v>619</v>
      </c>
      <c r="C1914" s="1" t="s">
        <v>757</v>
      </c>
      <c r="D1914" s="52">
        <v>46070.490972222222</v>
      </c>
      <c r="E1914" s="52">
        <v>46070.490972222222</v>
      </c>
      <c r="F1914" s="52">
        <v>46070.491666666669</v>
      </c>
      <c r="G1914" s="53">
        <v>7.6388888888888893E-4</v>
      </c>
      <c r="H1914" s="1" t="s">
        <v>257</v>
      </c>
      <c r="J1914" s="1" t="s">
        <v>371</v>
      </c>
      <c r="K1914" s="1" t="s">
        <v>653</v>
      </c>
      <c r="L1914" s="1" t="s">
        <v>906</v>
      </c>
    </row>
    <row r="1915" spans="2:12">
      <c r="B1915" s="1" t="s">
        <v>619</v>
      </c>
      <c r="C1915" s="1" t="s">
        <v>757</v>
      </c>
      <c r="D1915" s="52">
        <v>46070.486805555556</v>
      </c>
      <c r="E1915" s="52">
        <v>46070.486805555556</v>
      </c>
      <c r="F1915" s="52">
        <v>46070.487500000003</v>
      </c>
      <c r="G1915" s="53">
        <v>7.7546296296296293E-4</v>
      </c>
      <c r="H1915" s="1" t="s">
        <v>257</v>
      </c>
      <c r="J1915" s="1" t="s">
        <v>371</v>
      </c>
      <c r="K1915" s="1" t="s">
        <v>653</v>
      </c>
      <c r="L1915" s="1" t="s">
        <v>906</v>
      </c>
    </row>
    <row r="1916" spans="2:12">
      <c r="B1916" s="1" t="s">
        <v>619</v>
      </c>
      <c r="C1916" s="1" t="s">
        <v>757</v>
      </c>
      <c r="D1916" s="52">
        <v>46070.48333333333</v>
      </c>
      <c r="E1916" s="52">
        <v>46070.48333333333</v>
      </c>
      <c r="F1916" s="52">
        <v>46070.484027777777</v>
      </c>
      <c r="G1916" s="53">
        <v>7.6388888888888893E-4</v>
      </c>
      <c r="H1916" s="1" t="s">
        <v>257</v>
      </c>
      <c r="J1916" s="1" t="s">
        <v>371</v>
      </c>
      <c r="K1916" s="1" t="s">
        <v>653</v>
      </c>
      <c r="L1916" s="1" t="s">
        <v>906</v>
      </c>
    </row>
    <row r="1917" spans="2:12">
      <c r="B1917" s="1" t="s">
        <v>619</v>
      </c>
      <c r="C1917" s="1" t="s">
        <v>757</v>
      </c>
      <c r="D1917" s="52">
        <v>46070.479861111111</v>
      </c>
      <c r="E1917" s="52">
        <v>46070.479861111111</v>
      </c>
      <c r="F1917" s="52">
        <v>46070.480555555558</v>
      </c>
      <c r="G1917" s="53">
        <v>7.7546296296296293E-4</v>
      </c>
      <c r="H1917" s="1" t="s">
        <v>257</v>
      </c>
      <c r="J1917" s="1" t="s">
        <v>371</v>
      </c>
      <c r="K1917" s="1" t="s">
        <v>653</v>
      </c>
      <c r="L1917" s="1" t="s">
        <v>906</v>
      </c>
    </row>
    <row r="1918" spans="2:12">
      <c r="B1918" s="1" t="s">
        <v>619</v>
      </c>
      <c r="C1918" s="1" t="s">
        <v>757</v>
      </c>
      <c r="D1918" s="52">
        <v>46070.475694444445</v>
      </c>
      <c r="E1918" s="52">
        <v>46070.475694444445</v>
      </c>
      <c r="F1918" s="52">
        <v>46070.476388888892</v>
      </c>
      <c r="G1918" s="53">
        <v>7.6388888888888893E-4</v>
      </c>
      <c r="H1918" s="1" t="s">
        <v>257</v>
      </c>
      <c r="J1918" s="1" t="s">
        <v>371</v>
      </c>
      <c r="K1918" s="1" t="s">
        <v>653</v>
      </c>
      <c r="L1918" s="1" t="s">
        <v>906</v>
      </c>
    </row>
    <row r="1919" spans="2:12">
      <c r="B1919" s="1" t="s">
        <v>619</v>
      </c>
      <c r="C1919" s="1" t="s">
        <v>757</v>
      </c>
      <c r="D1919" s="52">
        <v>46070.472222222219</v>
      </c>
      <c r="E1919" s="52">
        <v>46070.472222222219</v>
      </c>
      <c r="F1919" s="52">
        <v>46070.472916666666</v>
      </c>
      <c r="G1919" s="53">
        <v>7.8703703703703705E-4</v>
      </c>
      <c r="H1919" s="1" t="s">
        <v>257</v>
      </c>
      <c r="J1919" s="1" t="s">
        <v>371</v>
      </c>
      <c r="K1919" s="1" t="s">
        <v>653</v>
      </c>
      <c r="L1919" s="1" t="s">
        <v>906</v>
      </c>
    </row>
    <row r="1920" spans="2:12">
      <c r="B1920" s="1" t="s">
        <v>619</v>
      </c>
      <c r="C1920" s="1" t="s">
        <v>757</v>
      </c>
      <c r="D1920" s="52">
        <v>46070.468055555553</v>
      </c>
      <c r="E1920" s="52">
        <v>46070.468055555553</v>
      </c>
      <c r="F1920" s="52">
        <v>46070.46875</v>
      </c>
      <c r="G1920" s="53">
        <v>7.7546296296296293E-4</v>
      </c>
      <c r="H1920" s="1" t="s">
        <v>257</v>
      </c>
      <c r="J1920" s="1" t="s">
        <v>371</v>
      </c>
      <c r="K1920" s="1" t="s">
        <v>653</v>
      </c>
      <c r="L1920" s="1" t="s">
        <v>906</v>
      </c>
    </row>
    <row r="1921" spans="2:12">
      <c r="B1921" s="1" t="s">
        <v>619</v>
      </c>
      <c r="C1921" s="1" t="s">
        <v>757</v>
      </c>
      <c r="D1921" s="52">
        <v>46070.463888888888</v>
      </c>
      <c r="E1921" s="52">
        <v>46070.463888888888</v>
      </c>
      <c r="F1921" s="52">
        <v>46070.464583333334</v>
      </c>
      <c r="G1921" s="53">
        <v>8.1018518518518516E-4</v>
      </c>
      <c r="H1921" s="1" t="s">
        <v>257</v>
      </c>
      <c r="J1921" s="1" t="s">
        <v>371</v>
      </c>
      <c r="K1921" s="1" t="s">
        <v>653</v>
      </c>
      <c r="L1921" s="1" t="s">
        <v>906</v>
      </c>
    </row>
    <row r="1922" spans="2:12">
      <c r="B1922" s="1" t="s">
        <v>619</v>
      </c>
      <c r="C1922" s="1" t="s">
        <v>757</v>
      </c>
      <c r="D1922" s="52">
        <v>46070.459722222222</v>
      </c>
      <c r="E1922" s="52">
        <v>46070.459722222222</v>
      </c>
      <c r="F1922" s="52">
        <v>46070.460416666669</v>
      </c>
      <c r="G1922" s="53">
        <v>7.8703703703703705E-4</v>
      </c>
      <c r="H1922" s="1" t="s">
        <v>257</v>
      </c>
      <c r="J1922" s="1" t="s">
        <v>371</v>
      </c>
      <c r="K1922" s="1" t="s">
        <v>653</v>
      </c>
      <c r="L1922" s="1" t="s">
        <v>906</v>
      </c>
    </row>
    <row r="1923" spans="2:12">
      <c r="B1923" s="1" t="s">
        <v>619</v>
      </c>
      <c r="C1923" s="1" t="s">
        <v>757</v>
      </c>
      <c r="D1923" s="52">
        <v>46070.455555555556</v>
      </c>
      <c r="E1923" s="52">
        <v>46070.455555555556</v>
      </c>
      <c r="F1923" s="52">
        <v>46070.456250000003</v>
      </c>
      <c r="G1923" s="53">
        <v>7.7546296296296293E-4</v>
      </c>
      <c r="H1923" s="1" t="s">
        <v>257</v>
      </c>
      <c r="J1923" s="1" t="s">
        <v>371</v>
      </c>
      <c r="K1923" s="1" t="s">
        <v>653</v>
      </c>
      <c r="L1923" s="1" t="s">
        <v>906</v>
      </c>
    </row>
    <row r="1924" spans="2:12">
      <c r="B1924" s="1" t="s">
        <v>619</v>
      </c>
      <c r="C1924" s="1" t="s">
        <v>757</v>
      </c>
      <c r="D1924" s="52">
        <v>46070.45208333333</v>
      </c>
      <c r="E1924" s="52">
        <v>46070.45208333333</v>
      </c>
      <c r="F1924" s="52">
        <v>46070.452777777777</v>
      </c>
      <c r="G1924" s="53">
        <v>7.7546296296296293E-4</v>
      </c>
      <c r="H1924" s="1" t="s">
        <v>257</v>
      </c>
      <c r="J1924" s="1" t="s">
        <v>371</v>
      </c>
      <c r="K1924" s="1" t="s">
        <v>653</v>
      </c>
      <c r="L1924" s="1" t="s">
        <v>906</v>
      </c>
    </row>
    <row r="1925" spans="2:12">
      <c r="B1925" s="1" t="s">
        <v>619</v>
      </c>
      <c r="C1925" s="1" t="s">
        <v>757</v>
      </c>
      <c r="D1925" s="52">
        <v>46070.447916666664</v>
      </c>
      <c r="E1925" s="52">
        <v>46070.447916666664</v>
      </c>
      <c r="F1925" s="52">
        <v>46070.448611111111</v>
      </c>
      <c r="G1925" s="53">
        <v>7.7546296296296293E-4</v>
      </c>
      <c r="H1925" s="1" t="s">
        <v>257</v>
      </c>
      <c r="J1925" s="1" t="s">
        <v>371</v>
      </c>
      <c r="K1925" s="1" t="s">
        <v>653</v>
      </c>
      <c r="L1925" s="1" t="s">
        <v>906</v>
      </c>
    </row>
    <row r="1926" spans="2:12">
      <c r="B1926" s="1" t="s">
        <v>619</v>
      </c>
      <c r="C1926" s="1" t="s">
        <v>757</v>
      </c>
      <c r="D1926" s="52">
        <v>46070.443055555559</v>
      </c>
      <c r="E1926" s="52">
        <v>46070.443055555559</v>
      </c>
      <c r="F1926" s="52">
        <v>46070.443749999999</v>
      </c>
      <c r="G1926" s="53">
        <v>7.8703703703703705E-4</v>
      </c>
      <c r="H1926" s="1" t="s">
        <v>257</v>
      </c>
      <c r="J1926" s="1" t="s">
        <v>371</v>
      </c>
      <c r="K1926" s="1" t="s">
        <v>653</v>
      </c>
      <c r="L1926" s="1" t="s">
        <v>906</v>
      </c>
    </row>
    <row r="1927" spans="2:12">
      <c r="B1927" s="1" t="s">
        <v>619</v>
      </c>
      <c r="C1927" s="1" t="s">
        <v>757</v>
      </c>
      <c r="D1927" s="52">
        <v>46070.438194444447</v>
      </c>
      <c r="E1927" s="52">
        <v>46070.438194444447</v>
      </c>
      <c r="F1927" s="52">
        <v>46070.438888888886</v>
      </c>
      <c r="G1927" s="53">
        <v>7.7546296296296293E-4</v>
      </c>
      <c r="H1927" s="1" t="s">
        <v>257</v>
      </c>
      <c r="J1927" s="1" t="s">
        <v>371</v>
      </c>
      <c r="K1927" s="1" t="s">
        <v>653</v>
      </c>
      <c r="L1927" s="1" t="s">
        <v>906</v>
      </c>
    </row>
    <row r="1928" spans="2:12">
      <c r="B1928" s="1" t="s">
        <v>619</v>
      </c>
      <c r="C1928" s="1" t="s">
        <v>757</v>
      </c>
      <c r="D1928" s="52">
        <v>46070.433333333334</v>
      </c>
      <c r="E1928" s="52">
        <v>46070.433333333334</v>
      </c>
      <c r="F1928" s="52">
        <v>46070.434027777781</v>
      </c>
      <c r="G1928" s="53">
        <v>7.7546296296296293E-4</v>
      </c>
      <c r="H1928" s="1" t="s">
        <v>257</v>
      </c>
      <c r="J1928" s="1" t="s">
        <v>371</v>
      </c>
      <c r="K1928" s="1" t="s">
        <v>653</v>
      </c>
      <c r="L1928" s="1" t="s">
        <v>906</v>
      </c>
    </row>
    <row r="1929" spans="2:12">
      <c r="B1929" s="1" t="s">
        <v>619</v>
      </c>
      <c r="C1929" s="1" t="s">
        <v>757</v>
      </c>
      <c r="D1929" s="52">
        <v>46070.428472222222</v>
      </c>
      <c r="E1929" s="52">
        <v>46070.428472222222</v>
      </c>
      <c r="F1929" s="52">
        <v>46070.429166666669</v>
      </c>
      <c r="G1929" s="53">
        <v>7.7546296296296293E-4</v>
      </c>
      <c r="H1929" s="1" t="s">
        <v>257</v>
      </c>
      <c r="J1929" s="1" t="s">
        <v>371</v>
      </c>
      <c r="K1929" s="1" t="s">
        <v>653</v>
      </c>
      <c r="L1929" s="1" t="s">
        <v>906</v>
      </c>
    </row>
    <row r="1930" spans="2:12">
      <c r="B1930" s="1" t="s">
        <v>619</v>
      </c>
      <c r="C1930" s="1" t="s">
        <v>757</v>
      </c>
      <c r="D1930" s="52">
        <v>46070.42291666667</v>
      </c>
      <c r="E1930" s="52">
        <v>46070.42291666667</v>
      </c>
      <c r="F1930" s="52">
        <v>46070.423611111109</v>
      </c>
      <c r="G1930" s="53">
        <v>7.7546296296296293E-4</v>
      </c>
      <c r="H1930" s="1" t="s">
        <v>257</v>
      </c>
      <c r="J1930" s="1" t="s">
        <v>371</v>
      </c>
      <c r="K1930" s="1" t="s">
        <v>653</v>
      </c>
      <c r="L1930" s="1" t="s">
        <v>906</v>
      </c>
    </row>
    <row r="1931" spans="2:12">
      <c r="B1931" s="1" t="s">
        <v>619</v>
      </c>
      <c r="C1931" s="1" t="s">
        <v>757</v>
      </c>
      <c r="D1931" s="52">
        <v>46070.418055555558</v>
      </c>
      <c r="E1931" s="52">
        <v>46070.418055555558</v>
      </c>
      <c r="F1931" s="52">
        <v>46070.418749999997</v>
      </c>
      <c r="G1931" s="53">
        <v>7.7546296296296293E-4</v>
      </c>
      <c r="H1931" s="1" t="s">
        <v>257</v>
      </c>
      <c r="J1931" s="1" t="s">
        <v>371</v>
      </c>
      <c r="K1931" s="1" t="s">
        <v>653</v>
      </c>
      <c r="L1931" s="1" t="s">
        <v>906</v>
      </c>
    </row>
    <row r="1932" spans="2:12">
      <c r="B1932" s="1" t="s">
        <v>619</v>
      </c>
      <c r="C1932" s="1" t="s">
        <v>757</v>
      </c>
      <c r="D1932" s="52">
        <v>46070.413194444445</v>
      </c>
      <c r="E1932" s="52">
        <v>46070.413194444445</v>
      </c>
      <c r="F1932" s="52">
        <v>46070.413888888892</v>
      </c>
      <c r="G1932" s="53">
        <v>7.8703703703703705E-4</v>
      </c>
      <c r="H1932" s="1" t="s">
        <v>257</v>
      </c>
      <c r="J1932" s="1" t="s">
        <v>371</v>
      </c>
      <c r="K1932" s="1" t="s">
        <v>653</v>
      </c>
      <c r="L1932" s="1" t="s">
        <v>906</v>
      </c>
    </row>
    <row r="1933" spans="2:12">
      <c r="B1933" s="1" t="s">
        <v>619</v>
      </c>
      <c r="C1933" s="1" t="s">
        <v>757</v>
      </c>
      <c r="D1933" s="52">
        <v>46070.408333333333</v>
      </c>
      <c r="E1933" s="52">
        <v>46070.408333333333</v>
      </c>
      <c r="F1933" s="52">
        <v>46070.40902777778</v>
      </c>
      <c r="G1933" s="53">
        <v>7.5231481481481482E-4</v>
      </c>
      <c r="H1933" s="1" t="s">
        <v>257</v>
      </c>
      <c r="J1933" s="1" t="s">
        <v>371</v>
      </c>
      <c r="K1933" s="1" t="s">
        <v>653</v>
      </c>
      <c r="L1933" s="1" t="s">
        <v>906</v>
      </c>
    </row>
    <row r="1934" spans="2:12">
      <c r="B1934" s="1" t="s">
        <v>619</v>
      </c>
      <c r="C1934" s="1" t="s">
        <v>757</v>
      </c>
      <c r="D1934" s="52">
        <v>46070.402777777781</v>
      </c>
      <c r="E1934" s="52">
        <v>46070.402777777781</v>
      </c>
      <c r="F1934" s="52">
        <v>46070.40347222222</v>
      </c>
      <c r="G1934" s="53">
        <v>7.8703703703703705E-4</v>
      </c>
      <c r="H1934" s="1" t="s">
        <v>257</v>
      </c>
      <c r="J1934" s="1" t="s">
        <v>371</v>
      </c>
      <c r="K1934" s="1" t="s">
        <v>653</v>
      </c>
      <c r="L1934" s="1" t="s">
        <v>906</v>
      </c>
    </row>
    <row r="1935" spans="2:12">
      <c r="B1935" s="1" t="s">
        <v>619</v>
      </c>
      <c r="C1935" s="1" t="s">
        <v>757</v>
      </c>
      <c r="D1935" s="52">
        <v>46070.396527777775</v>
      </c>
      <c r="E1935" s="52">
        <v>46070.396527777775</v>
      </c>
      <c r="F1935" s="52">
        <v>46070.397222222222</v>
      </c>
      <c r="G1935" s="53">
        <v>7.5231481481481482E-4</v>
      </c>
      <c r="H1935" s="1" t="s">
        <v>257</v>
      </c>
      <c r="J1935" s="1" t="s">
        <v>371</v>
      </c>
      <c r="K1935" s="1" t="s">
        <v>653</v>
      </c>
      <c r="L1935" s="1" t="s">
        <v>906</v>
      </c>
    </row>
    <row r="1936" spans="2:12">
      <c r="B1936" s="1" t="s">
        <v>619</v>
      </c>
      <c r="C1936" s="1" t="s">
        <v>757</v>
      </c>
      <c r="D1936" s="52">
        <v>46070.390277777777</v>
      </c>
      <c r="E1936" s="52">
        <v>46070.390277777777</v>
      </c>
      <c r="F1936" s="52">
        <v>46070.390972222223</v>
      </c>
      <c r="G1936" s="53">
        <v>7.7546296296296293E-4</v>
      </c>
      <c r="H1936" s="1" t="s">
        <v>257</v>
      </c>
      <c r="J1936" s="1" t="s">
        <v>371</v>
      </c>
      <c r="K1936" s="1" t="s">
        <v>653</v>
      </c>
      <c r="L1936" s="1" t="s">
        <v>906</v>
      </c>
    </row>
    <row r="1937" spans="2:12">
      <c r="B1937" s="1" t="s">
        <v>619</v>
      </c>
      <c r="C1937" s="1" t="s">
        <v>757</v>
      </c>
      <c r="D1937" s="52">
        <v>46070.384027777778</v>
      </c>
      <c r="E1937" s="52">
        <v>46070.384027777778</v>
      </c>
      <c r="F1937" s="52">
        <v>46070.384722222225</v>
      </c>
      <c r="G1937" s="53">
        <v>7.7546296296296293E-4</v>
      </c>
      <c r="H1937" s="1" t="s">
        <v>257</v>
      </c>
      <c r="J1937" s="1" t="s">
        <v>371</v>
      </c>
      <c r="K1937" s="1" t="s">
        <v>653</v>
      </c>
      <c r="L1937" s="1" t="s">
        <v>906</v>
      </c>
    </row>
    <row r="1938" spans="2:12">
      <c r="B1938" s="1" t="s">
        <v>619</v>
      </c>
      <c r="C1938" s="1" t="s">
        <v>757</v>
      </c>
      <c r="D1938" s="52">
        <v>46070.378472222219</v>
      </c>
      <c r="E1938" s="52">
        <v>46070.378472222219</v>
      </c>
      <c r="F1938" s="52">
        <v>46070.379166666666</v>
      </c>
      <c r="G1938" s="53">
        <v>7.7546296296296293E-4</v>
      </c>
      <c r="H1938" s="1" t="s">
        <v>257</v>
      </c>
      <c r="J1938" s="1" t="s">
        <v>371</v>
      </c>
      <c r="K1938" s="1" t="s">
        <v>653</v>
      </c>
      <c r="L1938" s="1" t="s">
        <v>906</v>
      </c>
    </row>
    <row r="1939" spans="2:12">
      <c r="B1939" s="1" t="s">
        <v>619</v>
      </c>
      <c r="C1939" s="1" t="s">
        <v>757</v>
      </c>
      <c r="D1939" s="52">
        <v>46070.372916666667</v>
      </c>
      <c r="E1939" s="52">
        <v>46070.372916666667</v>
      </c>
      <c r="F1939" s="52">
        <v>46070.373611111114</v>
      </c>
      <c r="G1939" s="53">
        <v>7.6388888888888893E-4</v>
      </c>
      <c r="H1939" s="1" t="s">
        <v>257</v>
      </c>
      <c r="J1939" s="1" t="s">
        <v>371</v>
      </c>
      <c r="K1939" s="1" t="s">
        <v>653</v>
      </c>
      <c r="L1939" s="1" t="s">
        <v>906</v>
      </c>
    </row>
    <row r="1940" spans="2:12">
      <c r="B1940" s="1" t="s">
        <v>619</v>
      </c>
      <c r="C1940" s="1" t="s">
        <v>757</v>
      </c>
      <c r="D1940" s="52">
        <v>46069.671527777777</v>
      </c>
      <c r="E1940" s="52">
        <v>46069.671527777777</v>
      </c>
      <c r="F1940" s="52">
        <v>46069.672222222223</v>
      </c>
      <c r="G1940" s="53">
        <v>8.3333333333333339E-4</v>
      </c>
      <c r="H1940" s="1" t="s">
        <v>257</v>
      </c>
      <c r="J1940" s="1" t="s">
        <v>371</v>
      </c>
      <c r="K1940" s="1" t="s">
        <v>653</v>
      </c>
      <c r="L1940" s="1" t="s">
        <v>906</v>
      </c>
    </row>
    <row r="1941" spans="2:12">
      <c r="B1941" s="1" t="s">
        <v>619</v>
      </c>
      <c r="C1941" s="1" t="s">
        <v>757</v>
      </c>
      <c r="D1941" s="52">
        <v>46069.668749999997</v>
      </c>
      <c r="E1941" s="52">
        <v>46069.668749999997</v>
      </c>
      <c r="F1941" s="52">
        <v>46069.669444444444</v>
      </c>
      <c r="G1941" s="53">
        <v>8.1018518518518516E-4</v>
      </c>
      <c r="H1941" s="1" t="s">
        <v>257</v>
      </c>
      <c r="J1941" s="1" t="s">
        <v>371</v>
      </c>
      <c r="K1941" s="1" t="s">
        <v>653</v>
      </c>
      <c r="L1941" s="1" t="s">
        <v>906</v>
      </c>
    </row>
    <row r="1942" spans="2:12">
      <c r="B1942" s="1" t="s">
        <v>619</v>
      </c>
      <c r="C1942" s="1" t="s">
        <v>757</v>
      </c>
      <c r="D1942" s="52">
        <v>46069.664583333331</v>
      </c>
      <c r="E1942" s="52">
        <v>46069.664583333331</v>
      </c>
      <c r="F1942" s="52">
        <v>46069.665277777778</v>
      </c>
      <c r="G1942" s="53">
        <v>8.1018518518518516E-4</v>
      </c>
      <c r="H1942" s="1" t="s">
        <v>257</v>
      </c>
      <c r="J1942" s="1" t="s">
        <v>371</v>
      </c>
      <c r="K1942" s="1" t="s">
        <v>653</v>
      </c>
      <c r="L1942" s="1" t="s">
        <v>906</v>
      </c>
    </row>
    <row r="1943" spans="2:12">
      <c r="B1943" s="1" t="s">
        <v>619</v>
      </c>
      <c r="C1943" s="1" t="s">
        <v>757</v>
      </c>
      <c r="D1943" s="52">
        <v>46069.661111111112</v>
      </c>
      <c r="E1943" s="52">
        <v>46069.661111111112</v>
      </c>
      <c r="F1943" s="52">
        <v>46069.661805555559</v>
      </c>
      <c r="G1943" s="53">
        <v>7.9861111111111116E-4</v>
      </c>
      <c r="H1943" s="1" t="s">
        <v>257</v>
      </c>
      <c r="J1943" s="1" t="s">
        <v>371</v>
      </c>
      <c r="K1943" s="1" t="s">
        <v>653</v>
      </c>
      <c r="L1943" s="1" t="s">
        <v>906</v>
      </c>
    </row>
    <row r="1944" spans="2:12">
      <c r="B1944" s="1" t="s">
        <v>619</v>
      </c>
      <c r="C1944" s="1" t="s">
        <v>757</v>
      </c>
      <c r="D1944" s="52">
        <v>46069.657638888886</v>
      </c>
      <c r="E1944" s="52">
        <v>46069.657638888886</v>
      </c>
      <c r="F1944" s="52">
        <v>46069.65902777778</v>
      </c>
      <c r="G1944" s="53">
        <v>8.2175925925925927E-4</v>
      </c>
      <c r="H1944" s="1" t="s">
        <v>257</v>
      </c>
      <c r="J1944" s="1" t="s">
        <v>371</v>
      </c>
      <c r="K1944" s="1" t="s">
        <v>653</v>
      </c>
      <c r="L1944" s="1" t="s">
        <v>906</v>
      </c>
    </row>
    <row r="1945" spans="2:12">
      <c r="B1945" s="1" t="s">
        <v>619</v>
      </c>
      <c r="C1945" s="1" t="s">
        <v>757</v>
      </c>
      <c r="D1945" s="52">
        <v>46069.654861111114</v>
      </c>
      <c r="E1945" s="52">
        <v>46069.654861111114</v>
      </c>
      <c r="F1945" s="52">
        <v>46069.655555555553</v>
      </c>
      <c r="G1945" s="53">
        <v>7.9861111111111116E-4</v>
      </c>
      <c r="H1945" s="1" t="s">
        <v>257</v>
      </c>
      <c r="J1945" s="1" t="s">
        <v>371</v>
      </c>
      <c r="K1945" s="1" t="s">
        <v>653</v>
      </c>
      <c r="L1945" s="1" t="s">
        <v>906</v>
      </c>
    </row>
    <row r="1946" spans="2:12">
      <c r="B1946" s="1" t="s">
        <v>619</v>
      </c>
      <c r="C1946" s="1" t="s">
        <v>757</v>
      </c>
      <c r="D1946" s="52">
        <v>46069.650694444441</v>
      </c>
      <c r="E1946" s="52">
        <v>46069.650694444441</v>
      </c>
      <c r="F1946" s="52">
        <v>46069.652083333334</v>
      </c>
      <c r="G1946" s="53">
        <v>9.4907407407407408E-4</v>
      </c>
      <c r="H1946" s="1" t="s">
        <v>257</v>
      </c>
      <c r="J1946" s="1" t="s">
        <v>371</v>
      </c>
      <c r="K1946" s="1" t="s">
        <v>653</v>
      </c>
      <c r="L1946" s="1" t="s">
        <v>906</v>
      </c>
    </row>
    <row r="1947" spans="2:12">
      <c r="B1947" s="1" t="s">
        <v>619</v>
      </c>
      <c r="C1947" s="1" t="s">
        <v>757</v>
      </c>
      <c r="D1947" s="52">
        <v>46069.647916666669</v>
      </c>
      <c r="E1947" s="52">
        <v>46069.647916666669</v>
      </c>
      <c r="F1947" s="52">
        <v>46069.648611111108</v>
      </c>
      <c r="G1947" s="53">
        <v>8.1018518518518516E-4</v>
      </c>
      <c r="H1947" s="1" t="s">
        <v>257</v>
      </c>
      <c r="J1947" s="1" t="s">
        <v>371</v>
      </c>
      <c r="K1947" s="1" t="s">
        <v>653</v>
      </c>
      <c r="L1947" s="1" t="s">
        <v>906</v>
      </c>
    </row>
    <row r="1948" spans="2:12">
      <c r="B1948" s="1" t="s">
        <v>619</v>
      </c>
      <c r="C1948" s="1" t="s">
        <v>757</v>
      </c>
      <c r="D1948" s="52">
        <v>46069.645138888889</v>
      </c>
      <c r="E1948" s="52">
        <v>46069.645138888889</v>
      </c>
      <c r="F1948" s="52">
        <v>46069.645833333336</v>
      </c>
      <c r="G1948" s="53">
        <v>7.9861111111111116E-4</v>
      </c>
      <c r="H1948" s="1" t="s">
        <v>257</v>
      </c>
      <c r="J1948" s="1" t="s">
        <v>371</v>
      </c>
      <c r="K1948" s="1" t="s">
        <v>653</v>
      </c>
      <c r="L1948" s="1" t="s">
        <v>906</v>
      </c>
    </row>
    <row r="1949" spans="2:12">
      <c r="B1949" s="1" t="s">
        <v>619</v>
      </c>
      <c r="C1949" s="1" t="s">
        <v>757</v>
      </c>
      <c r="D1949" s="52">
        <v>46069.642361111109</v>
      </c>
      <c r="E1949" s="52">
        <v>46069.642361111109</v>
      </c>
      <c r="F1949" s="52">
        <v>46069.643055555556</v>
      </c>
      <c r="G1949" s="53">
        <v>7.7546296296296293E-4</v>
      </c>
      <c r="H1949" s="1" t="s">
        <v>257</v>
      </c>
      <c r="J1949" s="1" t="s">
        <v>371</v>
      </c>
      <c r="K1949" s="1" t="s">
        <v>653</v>
      </c>
      <c r="L1949" s="1" t="s">
        <v>906</v>
      </c>
    </row>
    <row r="1950" spans="2:12">
      <c r="B1950" s="1" t="s">
        <v>619</v>
      </c>
      <c r="C1950" s="1" t="s">
        <v>757</v>
      </c>
      <c r="D1950" s="52">
        <v>46069.63958333333</v>
      </c>
      <c r="E1950" s="52">
        <v>46069.63958333333</v>
      </c>
      <c r="F1950" s="52">
        <v>46069.640277777777</v>
      </c>
      <c r="G1950" s="53">
        <v>7.7546296296296293E-4</v>
      </c>
      <c r="H1950" s="1" t="s">
        <v>257</v>
      </c>
      <c r="J1950" s="1" t="s">
        <v>371</v>
      </c>
      <c r="K1950" s="1" t="s">
        <v>653</v>
      </c>
      <c r="L1950" s="1" t="s">
        <v>906</v>
      </c>
    </row>
    <row r="1951" spans="2:12">
      <c r="B1951" s="1" t="s">
        <v>619</v>
      </c>
      <c r="C1951" s="1" t="s">
        <v>757</v>
      </c>
      <c r="D1951" s="52">
        <v>46069.636805555558</v>
      </c>
      <c r="E1951" s="52">
        <v>46069.636805555558</v>
      </c>
      <c r="F1951" s="52">
        <v>46069.637499999997</v>
      </c>
      <c r="G1951" s="53">
        <v>7.7546296296296293E-4</v>
      </c>
      <c r="H1951" s="1" t="s">
        <v>257</v>
      </c>
      <c r="J1951" s="1" t="s">
        <v>371</v>
      </c>
      <c r="K1951" s="1" t="s">
        <v>653</v>
      </c>
      <c r="L1951" s="1" t="s">
        <v>906</v>
      </c>
    </row>
    <row r="1952" spans="2:12">
      <c r="B1952" s="1" t="s">
        <v>619</v>
      </c>
      <c r="C1952" s="1" t="s">
        <v>757</v>
      </c>
      <c r="D1952" s="52">
        <v>46069.633333333331</v>
      </c>
      <c r="E1952" s="52">
        <v>46069.633333333331</v>
      </c>
      <c r="F1952" s="52">
        <v>46069.634027777778</v>
      </c>
      <c r="G1952" s="53">
        <v>7.7546296296296293E-4</v>
      </c>
      <c r="H1952" s="1" t="s">
        <v>257</v>
      </c>
      <c r="J1952" s="1" t="s">
        <v>371</v>
      </c>
      <c r="K1952" s="1" t="s">
        <v>653</v>
      </c>
      <c r="L1952" s="1" t="s">
        <v>906</v>
      </c>
    </row>
    <row r="1953" spans="2:12">
      <c r="B1953" s="1" t="s">
        <v>619</v>
      </c>
      <c r="C1953" s="1" t="s">
        <v>757</v>
      </c>
      <c r="D1953" s="52">
        <v>46069.630555555559</v>
      </c>
      <c r="E1953" s="52">
        <v>46069.630555555559</v>
      </c>
      <c r="F1953" s="52">
        <v>46069.631249999999</v>
      </c>
      <c r="G1953" s="53">
        <v>7.7546296296296293E-4</v>
      </c>
      <c r="H1953" s="1" t="s">
        <v>257</v>
      </c>
      <c r="J1953" s="1" t="s">
        <v>371</v>
      </c>
      <c r="K1953" s="1" t="s">
        <v>653</v>
      </c>
      <c r="L1953" s="1" t="s">
        <v>906</v>
      </c>
    </row>
    <row r="1954" spans="2:12">
      <c r="B1954" s="1" t="s">
        <v>619</v>
      </c>
      <c r="C1954" s="1" t="s">
        <v>757</v>
      </c>
      <c r="D1954" s="52">
        <v>46069.627083333333</v>
      </c>
      <c r="E1954" s="52">
        <v>46069.627083333333</v>
      </c>
      <c r="F1954" s="52">
        <v>46069.62777777778</v>
      </c>
      <c r="G1954" s="53">
        <v>7.6388888888888893E-4</v>
      </c>
      <c r="H1954" s="1" t="s">
        <v>257</v>
      </c>
      <c r="J1954" s="1" t="s">
        <v>371</v>
      </c>
      <c r="K1954" s="1" t="s">
        <v>653</v>
      </c>
      <c r="L1954" s="1" t="s">
        <v>906</v>
      </c>
    </row>
    <row r="1955" spans="2:12">
      <c r="B1955" s="1" t="s">
        <v>619</v>
      </c>
      <c r="C1955" s="1" t="s">
        <v>757</v>
      </c>
      <c r="D1955" s="52">
        <v>46069.595138888886</v>
      </c>
      <c r="E1955" s="52">
        <v>46069.595138888886</v>
      </c>
      <c r="F1955" s="52">
        <v>46069.59652777778</v>
      </c>
      <c r="G1955" s="53">
        <v>9.837962962962962E-4</v>
      </c>
      <c r="H1955" s="1" t="s">
        <v>257</v>
      </c>
      <c r="J1955" s="1" t="s">
        <v>371</v>
      </c>
      <c r="K1955" s="1" t="s">
        <v>653</v>
      </c>
      <c r="L1955" s="1" t="s">
        <v>906</v>
      </c>
    </row>
    <row r="1956" spans="2:12">
      <c r="B1956" s="1" t="s">
        <v>619</v>
      </c>
      <c r="C1956" s="1" t="s">
        <v>757</v>
      </c>
      <c r="D1956" s="52">
        <v>46069.592361111114</v>
      </c>
      <c r="E1956" s="52">
        <v>46069.592361111114</v>
      </c>
      <c r="F1956" s="52">
        <v>46069.593055555553</v>
      </c>
      <c r="G1956" s="53">
        <v>7.7546296296296293E-4</v>
      </c>
      <c r="H1956" s="1" t="s">
        <v>257</v>
      </c>
      <c r="J1956" s="1" t="s">
        <v>371</v>
      </c>
      <c r="K1956" s="1" t="s">
        <v>653</v>
      </c>
      <c r="L1956" s="1" t="s">
        <v>906</v>
      </c>
    </row>
    <row r="1957" spans="2:12">
      <c r="B1957" s="1" t="s">
        <v>619</v>
      </c>
      <c r="C1957" s="1" t="s">
        <v>757</v>
      </c>
      <c r="D1957" s="52">
        <v>46069.589583333334</v>
      </c>
      <c r="E1957" s="52">
        <v>46069.589583333334</v>
      </c>
      <c r="F1957" s="52">
        <v>46069.590277777781</v>
      </c>
      <c r="G1957" s="53">
        <v>7.9861111111111116E-4</v>
      </c>
      <c r="H1957" s="1" t="s">
        <v>257</v>
      </c>
      <c r="J1957" s="1" t="s">
        <v>371</v>
      </c>
      <c r="K1957" s="1" t="s">
        <v>653</v>
      </c>
      <c r="L1957" s="1" t="s">
        <v>906</v>
      </c>
    </row>
    <row r="1958" spans="2:12">
      <c r="B1958" s="1" t="s">
        <v>619</v>
      </c>
      <c r="C1958" s="1" t="s">
        <v>757</v>
      </c>
      <c r="D1958" s="52">
        <v>46069.586111111108</v>
      </c>
      <c r="E1958" s="52">
        <v>46069.586111111108</v>
      </c>
      <c r="F1958" s="52">
        <v>46069.586805555555</v>
      </c>
      <c r="G1958" s="53">
        <v>9.7222222222222219E-4</v>
      </c>
      <c r="H1958" s="1" t="s">
        <v>257</v>
      </c>
      <c r="J1958" s="1" t="s">
        <v>371</v>
      </c>
      <c r="K1958" s="1" t="s">
        <v>653</v>
      </c>
      <c r="L1958" s="1" t="s">
        <v>906</v>
      </c>
    </row>
    <row r="1959" spans="2:12">
      <c r="B1959" s="1" t="s">
        <v>619</v>
      </c>
      <c r="C1959" s="1" t="s">
        <v>757</v>
      </c>
      <c r="D1959" s="52">
        <v>46069.582638888889</v>
      </c>
      <c r="E1959" s="52">
        <v>46069.582638888889</v>
      </c>
      <c r="F1959" s="52">
        <v>46069.583333333336</v>
      </c>
      <c r="G1959" s="53">
        <v>7.7546296296296293E-4</v>
      </c>
      <c r="H1959" s="1" t="s">
        <v>257</v>
      </c>
      <c r="J1959" s="1" t="s">
        <v>371</v>
      </c>
      <c r="K1959" s="1" t="s">
        <v>653</v>
      </c>
      <c r="L1959" s="1" t="s">
        <v>906</v>
      </c>
    </row>
    <row r="1960" spans="2:12">
      <c r="B1960" s="1" t="s">
        <v>619</v>
      </c>
      <c r="C1960" s="1" t="s">
        <v>757</v>
      </c>
      <c r="D1960" s="52">
        <v>46069.579861111109</v>
      </c>
      <c r="E1960" s="52">
        <v>46069.579861111109</v>
      </c>
      <c r="F1960" s="52">
        <v>46069.580555555556</v>
      </c>
      <c r="G1960" s="53">
        <v>8.1018518518518516E-4</v>
      </c>
      <c r="H1960" s="1" t="s">
        <v>257</v>
      </c>
      <c r="J1960" s="1" t="s">
        <v>371</v>
      </c>
      <c r="K1960" s="1" t="s">
        <v>653</v>
      </c>
      <c r="L1960" s="1" t="s">
        <v>906</v>
      </c>
    </row>
    <row r="1961" spans="2:12">
      <c r="B1961" s="1" t="s">
        <v>619</v>
      </c>
      <c r="C1961" s="1" t="s">
        <v>757</v>
      </c>
      <c r="D1961" s="52">
        <v>46069.57708333333</v>
      </c>
      <c r="E1961" s="52">
        <v>46069.57708333333</v>
      </c>
      <c r="F1961" s="52">
        <v>46069.577777777777</v>
      </c>
      <c r="G1961" s="53">
        <v>7.8703703703703705E-4</v>
      </c>
      <c r="H1961" s="1" t="s">
        <v>257</v>
      </c>
      <c r="J1961" s="1" t="s">
        <v>371</v>
      </c>
      <c r="K1961" s="1" t="s">
        <v>653</v>
      </c>
      <c r="L1961" s="1" t="s">
        <v>906</v>
      </c>
    </row>
    <row r="1962" spans="2:12">
      <c r="B1962" s="1" t="s">
        <v>619</v>
      </c>
      <c r="C1962" s="1" t="s">
        <v>757</v>
      </c>
      <c r="D1962" s="52">
        <v>46069.574305555558</v>
      </c>
      <c r="E1962" s="52">
        <v>46069.574305555558</v>
      </c>
      <c r="F1962" s="52">
        <v>46069.574999999997</v>
      </c>
      <c r="G1962" s="53">
        <v>7.6388888888888893E-4</v>
      </c>
      <c r="H1962" s="1" t="s">
        <v>257</v>
      </c>
      <c r="J1962" s="1" t="s">
        <v>371</v>
      </c>
      <c r="K1962" s="1" t="s">
        <v>653</v>
      </c>
      <c r="L1962" s="1" t="s">
        <v>906</v>
      </c>
    </row>
    <row r="1963" spans="2:12">
      <c r="B1963" s="1" t="s">
        <v>619</v>
      </c>
      <c r="C1963" s="1" t="s">
        <v>757</v>
      </c>
      <c r="D1963" s="52">
        <v>46069.570833333331</v>
      </c>
      <c r="E1963" s="52">
        <v>46069.570833333331</v>
      </c>
      <c r="F1963" s="52">
        <v>46069.571527777778</v>
      </c>
      <c r="G1963" s="53">
        <v>7.9861111111111116E-4</v>
      </c>
      <c r="H1963" s="1" t="s">
        <v>257</v>
      </c>
      <c r="J1963" s="1" t="s">
        <v>371</v>
      </c>
      <c r="K1963" s="1" t="s">
        <v>653</v>
      </c>
      <c r="L1963" s="1" t="s">
        <v>906</v>
      </c>
    </row>
    <row r="1964" spans="2:12">
      <c r="B1964" s="1" t="s">
        <v>619</v>
      </c>
      <c r="C1964" s="1" t="s">
        <v>757</v>
      </c>
      <c r="D1964" s="52">
        <v>46069.567361111112</v>
      </c>
      <c r="E1964" s="52">
        <v>46069.567361111112</v>
      </c>
      <c r="F1964" s="52">
        <v>46069.568055555559</v>
      </c>
      <c r="G1964" s="53">
        <v>7.6388888888888893E-4</v>
      </c>
      <c r="H1964" s="1" t="s">
        <v>257</v>
      </c>
      <c r="J1964" s="1" t="s">
        <v>371</v>
      </c>
      <c r="K1964" s="1" t="s">
        <v>653</v>
      </c>
      <c r="L1964" s="1" t="s">
        <v>906</v>
      </c>
    </row>
    <row r="1965" spans="2:12">
      <c r="B1965" s="1" t="s">
        <v>619</v>
      </c>
      <c r="C1965" s="1" t="s">
        <v>757</v>
      </c>
      <c r="D1965" s="52">
        <v>46069.563888888886</v>
      </c>
      <c r="E1965" s="52">
        <v>46069.563888888886</v>
      </c>
      <c r="F1965" s="52">
        <v>46069.56527777778</v>
      </c>
      <c r="G1965" s="53">
        <v>7.6388888888888893E-4</v>
      </c>
      <c r="H1965" s="1" t="s">
        <v>257</v>
      </c>
      <c r="J1965" s="1" t="s">
        <v>371</v>
      </c>
      <c r="K1965" s="1" t="s">
        <v>653</v>
      </c>
      <c r="L1965" s="1" t="s">
        <v>906</v>
      </c>
    </row>
    <row r="1966" spans="2:12">
      <c r="B1966" s="1" t="s">
        <v>619</v>
      </c>
      <c r="C1966" s="1" t="s">
        <v>757</v>
      </c>
      <c r="D1966" s="52">
        <v>46069.560416666667</v>
      </c>
      <c r="E1966" s="52">
        <v>46069.560416666667</v>
      </c>
      <c r="F1966" s="52">
        <v>46069.561111111114</v>
      </c>
      <c r="G1966" s="53">
        <v>7.7546296296296293E-4</v>
      </c>
      <c r="H1966" s="1" t="s">
        <v>257</v>
      </c>
      <c r="J1966" s="1" t="s">
        <v>371</v>
      </c>
      <c r="K1966" s="1" t="s">
        <v>653</v>
      </c>
      <c r="L1966" s="1" t="s">
        <v>906</v>
      </c>
    </row>
    <row r="1967" spans="2:12">
      <c r="B1967" s="1" t="s">
        <v>619</v>
      </c>
      <c r="C1967" s="1" t="s">
        <v>757</v>
      </c>
      <c r="D1967" s="52">
        <v>46069.555555555555</v>
      </c>
      <c r="E1967" s="52">
        <v>46069.555555555555</v>
      </c>
      <c r="F1967" s="52">
        <v>46069.556250000001</v>
      </c>
      <c r="G1967" s="53">
        <v>7.8703703703703705E-4</v>
      </c>
      <c r="H1967" s="1" t="s">
        <v>257</v>
      </c>
      <c r="J1967" s="1" t="s">
        <v>371</v>
      </c>
      <c r="K1967" s="1" t="s">
        <v>653</v>
      </c>
      <c r="L1967" s="1" t="s">
        <v>906</v>
      </c>
    </row>
    <row r="1968" spans="2:12">
      <c r="B1968" s="1" t="s">
        <v>619</v>
      </c>
      <c r="C1968" s="1" t="s">
        <v>757</v>
      </c>
      <c r="D1968" s="52">
        <v>46069.551388888889</v>
      </c>
      <c r="E1968" s="52">
        <v>46069.551388888889</v>
      </c>
      <c r="F1968" s="52">
        <v>46069.552083333336</v>
      </c>
      <c r="G1968" s="53">
        <v>7.6388888888888893E-4</v>
      </c>
      <c r="H1968" s="1" t="s">
        <v>257</v>
      </c>
      <c r="J1968" s="1" t="s">
        <v>371</v>
      </c>
      <c r="K1968" s="1" t="s">
        <v>653</v>
      </c>
      <c r="L1968" s="1" t="s">
        <v>906</v>
      </c>
    </row>
    <row r="1969" spans="2:12">
      <c r="B1969" s="1" t="s">
        <v>619</v>
      </c>
      <c r="C1969" s="1" t="s">
        <v>757</v>
      </c>
      <c r="D1969" s="52">
        <v>46069.545138888891</v>
      </c>
      <c r="E1969" s="52">
        <v>46069.545138888891</v>
      </c>
      <c r="F1969" s="52">
        <v>46069.54583333333</v>
      </c>
      <c r="G1969" s="53">
        <v>7.8703703703703705E-4</v>
      </c>
      <c r="H1969" s="1" t="s">
        <v>257</v>
      </c>
      <c r="J1969" s="1" t="s">
        <v>371</v>
      </c>
      <c r="K1969" s="1" t="s">
        <v>653</v>
      </c>
      <c r="L1969" s="1" t="s">
        <v>906</v>
      </c>
    </row>
    <row r="1970" spans="2:12">
      <c r="B1970" s="1" t="s">
        <v>619</v>
      </c>
      <c r="C1970" s="1" t="s">
        <v>757</v>
      </c>
      <c r="D1970" s="52">
        <v>46069.540972222225</v>
      </c>
      <c r="E1970" s="52">
        <v>46069.540972222225</v>
      </c>
      <c r="F1970" s="52">
        <v>46069.542361111111</v>
      </c>
      <c r="G1970" s="53">
        <v>7.9861111111111116E-4</v>
      </c>
      <c r="H1970" s="1" t="s">
        <v>257</v>
      </c>
      <c r="J1970" s="1" t="s">
        <v>371</v>
      </c>
      <c r="K1970" s="1" t="s">
        <v>653</v>
      </c>
      <c r="L1970" s="1" t="s">
        <v>906</v>
      </c>
    </row>
    <row r="1971" spans="2:12">
      <c r="B1971" s="1" t="s">
        <v>619</v>
      </c>
      <c r="C1971" s="1" t="s">
        <v>757</v>
      </c>
      <c r="D1971" s="52">
        <v>46069.537499999999</v>
      </c>
      <c r="E1971" s="52">
        <v>46069.537499999999</v>
      </c>
      <c r="F1971" s="52">
        <v>46069.538194444445</v>
      </c>
      <c r="G1971" s="53">
        <v>7.7546296296296293E-4</v>
      </c>
      <c r="H1971" s="1" t="s">
        <v>257</v>
      </c>
      <c r="J1971" s="1" t="s">
        <v>371</v>
      </c>
      <c r="K1971" s="1" t="s">
        <v>653</v>
      </c>
      <c r="L1971" s="1" t="s">
        <v>906</v>
      </c>
    </row>
    <row r="1972" spans="2:12">
      <c r="B1972" s="1" t="s">
        <v>619</v>
      </c>
      <c r="C1972" s="1" t="s">
        <v>757</v>
      </c>
      <c r="D1972" s="52">
        <v>46069.53402777778</v>
      </c>
      <c r="E1972" s="52">
        <v>46069.53402777778</v>
      </c>
      <c r="F1972" s="52">
        <v>46069.534722222219</v>
      </c>
      <c r="G1972" s="53">
        <v>7.6388888888888893E-4</v>
      </c>
      <c r="H1972" s="1" t="s">
        <v>257</v>
      </c>
      <c r="J1972" s="1" t="s">
        <v>371</v>
      </c>
      <c r="K1972" s="1" t="s">
        <v>653</v>
      </c>
      <c r="L1972" s="1" t="s">
        <v>906</v>
      </c>
    </row>
    <row r="1973" spans="2:12">
      <c r="B1973" s="1" t="s">
        <v>619</v>
      </c>
      <c r="C1973" s="1" t="s">
        <v>757</v>
      </c>
      <c r="D1973" s="52">
        <v>46069.530555555553</v>
      </c>
      <c r="E1973" s="52">
        <v>46069.530555555553</v>
      </c>
      <c r="F1973" s="52">
        <v>46069.53125</v>
      </c>
      <c r="G1973" s="53">
        <v>7.6388888888888893E-4</v>
      </c>
      <c r="H1973" s="1" t="s">
        <v>257</v>
      </c>
      <c r="J1973" s="1" t="s">
        <v>371</v>
      </c>
      <c r="K1973" s="1" t="s">
        <v>653</v>
      </c>
      <c r="L1973" s="1" t="s">
        <v>906</v>
      </c>
    </row>
    <row r="1974" spans="2:12">
      <c r="B1974" s="1" t="s">
        <v>619</v>
      </c>
      <c r="C1974" s="1" t="s">
        <v>757</v>
      </c>
      <c r="D1974" s="52">
        <v>46069.527083333334</v>
      </c>
      <c r="E1974" s="52">
        <v>46069.527083333334</v>
      </c>
      <c r="F1974" s="52">
        <v>46069.527777777781</v>
      </c>
      <c r="G1974" s="53">
        <v>7.7546296296296293E-4</v>
      </c>
      <c r="H1974" s="1" t="s">
        <v>257</v>
      </c>
      <c r="J1974" s="1" t="s">
        <v>371</v>
      </c>
      <c r="K1974" s="1" t="s">
        <v>653</v>
      </c>
      <c r="L1974" s="1" t="s">
        <v>906</v>
      </c>
    </row>
    <row r="1975" spans="2:12">
      <c r="B1975" s="1" t="s">
        <v>619</v>
      </c>
      <c r="C1975" s="1" t="s">
        <v>757</v>
      </c>
      <c r="D1975" s="52">
        <v>46069.508333333331</v>
      </c>
      <c r="E1975" s="52">
        <v>46069.508333333331</v>
      </c>
      <c r="F1975" s="52">
        <v>46069.509027777778</v>
      </c>
      <c r="G1975" s="53">
        <v>7.6388888888888893E-4</v>
      </c>
      <c r="H1975" s="1" t="s">
        <v>257</v>
      </c>
      <c r="J1975" s="1" t="s">
        <v>371</v>
      </c>
      <c r="K1975" s="1" t="s">
        <v>653</v>
      </c>
      <c r="L1975" s="1" t="s">
        <v>906</v>
      </c>
    </row>
    <row r="1976" spans="2:12">
      <c r="B1976" s="1" t="s">
        <v>619</v>
      </c>
      <c r="C1976" s="1" t="s">
        <v>757</v>
      </c>
      <c r="D1976" s="52">
        <v>46069.503472222219</v>
      </c>
      <c r="E1976" s="52">
        <v>46069.503472222219</v>
      </c>
      <c r="F1976" s="52">
        <v>46069.504166666666</v>
      </c>
      <c r="G1976" s="53">
        <v>7.7546296296296293E-4</v>
      </c>
      <c r="H1976" s="1" t="s">
        <v>257</v>
      </c>
      <c r="J1976" s="1" t="s">
        <v>371</v>
      </c>
      <c r="K1976" s="1" t="s">
        <v>653</v>
      </c>
      <c r="L1976" s="1" t="s">
        <v>906</v>
      </c>
    </row>
    <row r="1977" spans="2:12">
      <c r="B1977" s="1" t="s">
        <v>619</v>
      </c>
      <c r="C1977" s="1" t="s">
        <v>757</v>
      </c>
      <c r="D1977" s="52">
        <v>46069.495138888888</v>
      </c>
      <c r="E1977" s="52">
        <v>46069.495138888888</v>
      </c>
      <c r="F1977" s="52">
        <v>46069.495833333334</v>
      </c>
      <c r="G1977" s="53">
        <v>7.8703703703703705E-4</v>
      </c>
      <c r="H1977" s="1" t="s">
        <v>257</v>
      </c>
      <c r="J1977" s="1" t="s">
        <v>371</v>
      </c>
      <c r="K1977" s="1" t="s">
        <v>653</v>
      </c>
      <c r="L1977" s="1" t="s">
        <v>906</v>
      </c>
    </row>
    <row r="1978" spans="2:12">
      <c r="B1978" s="1" t="s">
        <v>619</v>
      </c>
      <c r="C1978" s="1" t="s">
        <v>757</v>
      </c>
      <c r="D1978" s="52">
        <v>46069.491666666669</v>
      </c>
      <c r="E1978" s="52">
        <v>46069.491666666669</v>
      </c>
      <c r="F1978" s="52">
        <v>46069.492361111108</v>
      </c>
      <c r="G1978" s="53">
        <v>7.6388888888888893E-4</v>
      </c>
      <c r="H1978" s="1" t="s">
        <v>257</v>
      </c>
      <c r="J1978" s="1" t="s">
        <v>371</v>
      </c>
      <c r="K1978" s="1" t="s">
        <v>653</v>
      </c>
      <c r="L1978" s="1" t="s">
        <v>906</v>
      </c>
    </row>
    <row r="1979" spans="2:12">
      <c r="B1979" s="1" t="s">
        <v>619</v>
      </c>
      <c r="C1979" s="1" t="s">
        <v>757</v>
      </c>
      <c r="D1979" s="52">
        <v>46069.48333333333</v>
      </c>
      <c r="E1979" s="52">
        <v>46069.48333333333</v>
      </c>
      <c r="F1979" s="52">
        <v>46069.484722222223</v>
      </c>
      <c r="G1979" s="53">
        <v>7.7546296296296293E-4</v>
      </c>
      <c r="H1979" s="1" t="s">
        <v>257</v>
      </c>
      <c r="J1979" s="1" t="s">
        <v>371</v>
      </c>
      <c r="K1979" s="1" t="s">
        <v>653</v>
      </c>
      <c r="L1979" s="1" t="s">
        <v>906</v>
      </c>
    </row>
    <row r="1980" spans="2:12">
      <c r="B1980" s="1" t="s">
        <v>619</v>
      </c>
      <c r="C1980" s="1" t="s">
        <v>757</v>
      </c>
      <c r="D1980" s="52">
        <v>46069.479166666664</v>
      </c>
      <c r="E1980" s="52">
        <v>46069.479166666664</v>
      </c>
      <c r="F1980" s="52">
        <v>46069.479861111111</v>
      </c>
      <c r="G1980" s="53">
        <v>7.8703703703703705E-4</v>
      </c>
      <c r="H1980" s="1" t="s">
        <v>257</v>
      </c>
      <c r="J1980" s="1" t="s">
        <v>371</v>
      </c>
      <c r="K1980" s="1" t="s">
        <v>653</v>
      </c>
      <c r="L1980" s="1" t="s">
        <v>906</v>
      </c>
    </row>
    <row r="1981" spans="2:12">
      <c r="B1981" s="1" t="s">
        <v>619</v>
      </c>
      <c r="C1981" s="1" t="s">
        <v>757</v>
      </c>
      <c r="D1981" s="52">
        <v>46069.474305555559</v>
      </c>
      <c r="E1981" s="52">
        <v>46069.474305555559</v>
      </c>
      <c r="F1981" s="52">
        <v>46069.474999999999</v>
      </c>
      <c r="G1981" s="53">
        <v>7.8703703703703705E-4</v>
      </c>
      <c r="H1981" s="1" t="s">
        <v>257</v>
      </c>
      <c r="J1981" s="1" t="s">
        <v>371</v>
      </c>
      <c r="K1981" s="1" t="s">
        <v>653</v>
      </c>
      <c r="L1981" s="1" t="s">
        <v>906</v>
      </c>
    </row>
    <row r="1982" spans="2:12">
      <c r="B1982" s="1" t="s">
        <v>619</v>
      </c>
      <c r="C1982" s="1" t="s">
        <v>757</v>
      </c>
      <c r="D1982" s="52">
        <v>46069.463194444441</v>
      </c>
      <c r="E1982" s="52">
        <v>46069.463194444441</v>
      </c>
      <c r="F1982" s="52">
        <v>46069.463888888888</v>
      </c>
      <c r="G1982" s="53">
        <v>7.7546296296296293E-4</v>
      </c>
      <c r="H1982" s="1" t="s">
        <v>257</v>
      </c>
      <c r="J1982" s="1" t="s">
        <v>371</v>
      </c>
      <c r="K1982" s="1" t="s">
        <v>653</v>
      </c>
      <c r="L1982" s="1" t="s">
        <v>906</v>
      </c>
    </row>
    <row r="1983" spans="2:12">
      <c r="B1983" s="1" t="s">
        <v>619</v>
      </c>
      <c r="C1983" s="1" t="s">
        <v>757</v>
      </c>
      <c r="D1983" s="52">
        <v>46069.452777777777</v>
      </c>
      <c r="E1983" s="52">
        <v>46069.452777777777</v>
      </c>
      <c r="F1983" s="52">
        <v>46069.453472222223</v>
      </c>
      <c r="G1983" s="53">
        <v>9.7222222222222219E-4</v>
      </c>
      <c r="H1983" s="1" t="s">
        <v>257</v>
      </c>
      <c r="J1983" s="1" t="s">
        <v>371</v>
      </c>
      <c r="K1983" s="1" t="s">
        <v>653</v>
      </c>
      <c r="L1983" s="1" t="s">
        <v>906</v>
      </c>
    </row>
    <row r="1984" spans="2:12">
      <c r="B1984" s="1" t="s">
        <v>619</v>
      </c>
      <c r="C1984" s="1" t="s">
        <v>757</v>
      </c>
      <c r="D1984" s="52">
        <v>46069.448611111111</v>
      </c>
      <c r="E1984" s="52">
        <v>46069.448611111111</v>
      </c>
      <c r="F1984" s="52">
        <v>46069.449305555558</v>
      </c>
      <c r="G1984" s="53">
        <v>7.6388888888888893E-4</v>
      </c>
      <c r="H1984" s="1" t="s">
        <v>257</v>
      </c>
      <c r="J1984" s="1" t="s">
        <v>371</v>
      </c>
      <c r="K1984" s="1" t="s">
        <v>653</v>
      </c>
      <c r="L1984" s="1" t="s">
        <v>906</v>
      </c>
    </row>
    <row r="1985" spans="2:12">
      <c r="B1985" s="1" t="s">
        <v>619</v>
      </c>
      <c r="C1985" s="1" t="s">
        <v>757</v>
      </c>
      <c r="D1985" s="52">
        <v>46069.442361111112</v>
      </c>
      <c r="E1985" s="52">
        <v>46069.442361111112</v>
      </c>
      <c r="F1985" s="52">
        <v>46069.443055555559</v>
      </c>
      <c r="G1985" s="53">
        <v>7.7546296296296293E-4</v>
      </c>
      <c r="H1985" s="1" t="s">
        <v>257</v>
      </c>
      <c r="J1985" s="1" t="s">
        <v>371</v>
      </c>
      <c r="K1985" s="1" t="s">
        <v>653</v>
      </c>
      <c r="L1985" s="1" t="s">
        <v>906</v>
      </c>
    </row>
    <row r="1986" spans="2:12">
      <c r="B1986" s="1" t="s">
        <v>619</v>
      </c>
      <c r="C1986" s="1" t="s">
        <v>757</v>
      </c>
      <c r="D1986" s="52">
        <v>46069.438194444447</v>
      </c>
      <c r="E1986" s="52">
        <v>46069.438194444447</v>
      </c>
      <c r="F1986" s="52">
        <v>46069.438888888886</v>
      </c>
      <c r="G1986" s="53">
        <v>7.7546296296296293E-4</v>
      </c>
      <c r="H1986" s="1" t="s">
        <v>257</v>
      </c>
      <c r="J1986" s="1" t="s">
        <v>371</v>
      </c>
      <c r="K1986" s="1" t="s">
        <v>653</v>
      </c>
      <c r="L1986" s="1" t="s">
        <v>906</v>
      </c>
    </row>
    <row r="1987" spans="2:12">
      <c r="B1987" s="1" t="s">
        <v>619</v>
      </c>
      <c r="C1987" s="1" t="s">
        <v>757</v>
      </c>
      <c r="D1987" s="52">
        <v>46069.433333333334</v>
      </c>
      <c r="E1987" s="52">
        <v>46069.433333333334</v>
      </c>
      <c r="F1987" s="52">
        <v>46069.434027777781</v>
      </c>
      <c r="G1987" s="53">
        <v>7.8703703703703705E-4</v>
      </c>
      <c r="H1987" s="1" t="s">
        <v>257</v>
      </c>
      <c r="J1987" s="1" t="s">
        <v>371</v>
      </c>
      <c r="K1987" s="1" t="s">
        <v>653</v>
      </c>
      <c r="L1987" s="1" t="s">
        <v>906</v>
      </c>
    </row>
    <row r="1988" spans="2:12">
      <c r="B1988" s="1" t="s">
        <v>619</v>
      </c>
      <c r="C1988" s="1" t="s">
        <v>757</v>
      </c>
      <c r="D1988" s="52">
        <v>46069.427777777775</v>
      </c>
      <c r="E1988" s="52">
        <v>46069.427777777775</v>
      </c>
      <c r="F1988" s="52">
        <v>46069.428472222222</v>
      </c>
      <c r="G1988" s="53">
        <v>7.7546296296296293E-4</v>
      </c>
      <c r="H1988" s="1" t="s">
        <v>257</v>
      </c>
      <c r="J1988" s="1" t="s">
        <v>371</v>
      </c>
      <c r="K1988" s="1" t="s">
        <v>653</v>
      </c>
      <c r="L1988" s="1" t="s">
        <v>906</v>
      </c>
    </row>
    <row r="1989" spans="2:12">
      <c r="B1989" s="1" t="s">
        <v>619</v>
      </c>
      <c r="C1989" s="1" t="s">
        <v>757</v>
      </c>
      <c r="D1989" s="52">
        <v>46069.42291666667</v>
      </c>
      <c r="E1989" s="52">
        <v>46069.42291666667</v>
      </c>
      <c r="F1989" s="52">
        <v>46069.423611111109</v>
      </c>
      <c r="G1989" s="53">
        <v>7.7546296296296293E-4</v>
      </c>
      <c r="H1989" s="1" t="s">
        <v>257</v>
      </c>
      <c r="J1989" s="1" t="s">
        <v>371</v>
      </c>
      <c r="K1989" s="1" t="s">
        <v>653</v>
      </c>
      <c r="L1989" s="1" t="s">
        <v>906</v>
      </c>
    </row>
    <row r="1990" spans="2:12">
      <c r="B1990" s="1" t="s">
        <v>619</v>
      </c>
      <c r="C1990" s="1" t="s">
        <v>757</v>
      </c>
      <c r="D1990" s="52">
        <v>46069.418055555558</v>
      </c>
      <c r="E1990" s="52">
        <v>46069.418055555558</v>
      </c>
      <c r="F1990" s="52">
        <v>46069.418749999997</v>
      </c>
      <c r="G1990" s="53">
        <v>7.7546296296296293E-4</v>
      </c>
      <c r="H1990" s="1" t="s">
        <v>257</v>
      </c>
      <c r="J1990" s="1" t="s">
        <v>371</v>
      </c>
      <c r="K1990" s="1" t="s">
        <v>653</v>
      </c>
      <c r="L1990" s="1" t="s">
        <v>906</v>
      </c>
    </row>
    <row r="1991" spans="2:12">
      <c r="B1991" s="1" t="s">
        <v>619</v>
      </c>
      <c r="C1991" s="1" t="s">
        <v>757</v>
      </c>
      <c r="D1991" s="52">
        <v>46069.412499999999</v>
      </c>
      <c r="E1991" s="52">
        <v>46069.412499999999</v>
      </c>
      <c r="F1991" s="52">
        <v>46069.413194444445</v>
      </c>
      <c r="G1991" s="53">
        <v>7.7546296296296293E-4</v>
      </c>
      <c r="H1991" s="1" t="s">
        <v>257</v>
      </c>
      <c r="J1991" s="1" t="s">
        <v>371</v>
      </c>
      <c r="K1991" s="1" t="s">
        <v>653</v>
      </c>
      <c r="L1991" s="1" t="s">
        <v>906</v>
      </c>
    </row>
    <row r="1992" spans="2:12">
      <c r="B1992" s="1" t="s">
        <v>619</v>
      </c>
      <c r="C1992" s="1" t="s">
        <v>757</v>
      </c>
      <c r="D1992" s="52">
        <v>46069.40625</v>
      </c>
      <c r="E1992" s="52">
        <v>46069.40625</v>
      </c>
      <c r="F1992" s="52">
        <v>46069.406944444447</v>
      </c>
      <c r="G1992" s="53">
        <v>7.8703703703703705E-4</v>
      </c>
      <c r="H1992" s="1" t="s">
        <v>257</v>
      </c>
      <c r="J1992" s="1" t="s">
        <v>371</v>
      </c>
      <c r="K1992" s="1" t="s">
        <v>653</v>
      </c>
      <c r="L1992" s="1" t="s">
        <v>906</v>
      </c>
    </row>
    <row r="1993" spans="2:12">
      <c r="B1993" s="1" t="s">
        <v>619</v>
      </c>
      <c r="C1993" s="1" t="s">
        <v>757</v>
      </c>
      <c r="D1993" s="52">
        <v>46069.4</v>
      </c>
      <c r="E1993" s="52">
        <v>46069.4</v>
      </c>
      <c r="F1993" s="52">
        <v>46069.400694444441</v>
      </c>
      <c r="G1993" s="53">
        <v>7.7546296296296293E-4</v>
      </c>
      <c r="H1993" s="1" t="s">
        <v>257</v>
      </c>
      <c r="J1993" s="1" t="s">
        <v>371</v>
      </c>
      <c r="K1993" s="1" t="s">
        <v>653</v>
      </c>
      <c r="L1993" s="1" t="s">
        <v>906</v>
      </c>
    </row>
    <row r="1994" spans="2:12">
      <c r="B1994" s="1" t="s">
        <v>619</v>
      </c>
      <c r="C1994" s="1" t="s">
        <v>757</v>
      </c>
      <c r="D1994" s="52">
        <v>46069.394444444442</v>
      </c>
      <c r="E1994" s="52">
        <v>46069.394444444442</v>
      </c>
      <c r="F1994" s="52">
        <v>46069.395138888889</v>
      </c>
      <c r="G1994" s="53">
        <v>7.6388888888888893E-4</v>
      </c>
      <c r="H1994" s="1" t="s">
        <v>257</v>
      </c>
      <c r="J1994" s="1" t="s">
        <v>371</v>
      </c>
      <c r="K1994" s="1" t="s">
        <v>653</v>
      </c>
      <c r="L1994" s="1" t="s">
        <v>906</v>
      </c>
    </row>
    <row r="1995" spans="2:12">
      <c r="B1995" s="1" t="s">
        <v>619</v>
      </c>
      <c r="C1995" s="1" t="s">
        <v>757</v>
      </c>
      <c r="D1995" s="52">
        <v>46069.387499999997</v>
      </c>
      <c r="E1995" s="52">
        <v>46069.387499999997</v>
      </c>
      <c r="F1995" s="52">
        <v>46069.388194444444</v>
      </c>
      <c r="G1995" s="53">
        <v>7.7546296296296293E-4</v>
      </c>
      <c r="H1995" s="1" t="s">
        <v>257</v>
      </c>
      <c r="J1995" s="1" t="s">
        <v>371</v>
      </c>
      <c r="K1995" s="1" t="s">
        <v>653</v>
      </c>
      <c r="L1995" s="1" t="s">
        <v>906</v>
      </c>
    </row>
    <row r="1996" spans="2:12">
      <c r="B1996" s="1" t="s">
        <v>619</v>
      </c>
      <c r="C1996" s="1" t="s">
        <v>757</v>
      </c>
      <c r="D1996" s="52">
        <v>46069.381249999999</v>
      </c>
      <c r="E1996" s="52">
        <v>46069.381249999999</v>
      </c>
      <c r="F1996" s="52">
        <v>46069.381944444445</v>
      </c>
      <c r="G1996" s="53">
        <v>7.5231481481481482E-4</v>
      </c>
      <c r="H1996" s="1" t="s">
        <v>257</v>
      </c>
      <c r="J1996" s="1" t="s">
        <v>371</v>
      </c>
      <c r="K1996" s="1" t="s">
        <v>653</v>
      </c>
      <c r="L1996" s="1" t="s">
        <v>906</v>
      </c>
    </row>
    <row r="1997" spans="2:12">
      <c r="B1997" s="1" t="s">
        <v>619</v>
      </c>
      <c r="C1997" s="1" t="s">
        <v>757</v>
      </c>
      <c r="D1997" s="52">
        <v>46069.375694444447</v>
      </c>
      <c r="E1997" s="52">
        <v>46069.375694444447</v>
      </c>
      <c r="F1997" s="52">
        <v>46069.377083333333</v>
      </c>
      <c r="G1997" s="53">
        <v>7.6388888888888893E-4</v>
      </c>
      <c r="H1997" s="1" t="s">
        <v>257</v>
      </c>
      <c r="J1997" s="1" t="s">
        <v>371</v>
      </c>
      <c r="K1997" s="1" t="s">
        <v>653</v>
      </c>
      <c r="L1997" s="1" t="s">
        <v>906</v>
      </c>
    </row>
    <row r="1998" spans="2:12">
      <c r="B1998" s="1" t="s">
        <v>619</v>
      </c>
      <c r="C1998" s="1" t="s">
        <v>757</v>
      </c>
      <c r="D1998" s="52">
        <v>46069.369444444441</v>
      </c>
      <c r="E1998" s="52">
        <v>46069.369444444441</v>
      </c>
      <c r="F1998" s="52">
        <v>46069.370138888888</v>
      </c>
      <c r="G1998" s="53">
        <v>7.7546296296296293E-4</v>
      </c>
      <c r="H1998" s="1" t="s">
        <v>257</v>
      </c>
      <c r="J1998" s="1" t="s">
        <v>371</v>
      </c>
      <c r="K1998" s="1" t="s">
        <v>653</v>
      </c>
      <c r="L1998" s="1" t="s">
        <v>906</v>
      </c>
    </row>
    <row r="1999" spans="2:12">
      <c r="B1999" s="1" t="s">
        <v>619</v>
      </c>
      <c r="C1999" s="1" t="s">
        <v>757</v>
      </c>
      <c r="D1999" s="52">
        <v>46068.709027777775</v>
      </c>
      <c r="E1999" s="52">
        <v>46068.709027777775</v>
      </c>
      <c r="F1999" s="52">
        <v>46068.709722222222</v>
      </c>
      <c r="G1999" s="53">
        <v>1.0069444444444444E-3</v>
      </c>
      <c r="H1999" s="1" t="s">
        <v>257</v>
      </c>
      <c r="J1999" s="1" t="s">
        <v>371</v>
      </c>
      <c r="K1999" s="1" t="s">
        <v>653</v>
      </c>
      <c r="L1999" s="1" t="s">
        <v>906</v>
      </c>
    </row>
    <row r="2000" spans="2:12">
      <c r="B2000" s="1" t="s">
        <v>619</v>
      </c>
      <c r="C2000" s="1" t="s">
        <v>757</v>
      </c>
      <c r="D2000" s="52">
        <v>46068.70208333333</v>
      </c>
      <c r="E2000" s="52">
        <v>46068.70208333333</v>
      </c>
      <c r="F2000" s="52">
        <v>46068.702777777777</v>
      </c>
      <c r="G2000" s="53">
        <v>7.7546296296296293E-4</v>
      </c>
      <c r="H2000" s="1" t="s">
        <v>257</v>
      </c>
      <c r="J2000" s="1" t="s">
        <v>371</v>
      </c>
      <c r="K2000" s="1" t="s">
        <v>653</v>
      </c>
      <c r="L2000" s="1" t="s">
        <v>906</v>
      </c>
    </row>
    <row r="2001" spans="2:12">
      <c r="B2001" s="1" t="s">
        <v>619</v>
      </c>
      <c r="C2001" s="1" t="s">
        <v>757</v>
      </c>
      <c r="D2001" s="52">
        <v>46068.663888888892</v>
      </c>
      <c r="E2001" s="52">
        <v>46068.663888888892</v>
      </c>
      <c r="F2001" s="52">
        <v>46068.664583333331</v>
      </c>
      <c r="G2001" s="53">
        <v>7.8703703703703705E-4</v>
      </c>
      <c r="H2001" s="1" t="s">
        <v>257</v>
      </c>
      <c r="J2001" s="1" t="s">
        <v>371</v>
      </c>
      <c r="K2001" s="1" t="s">
        <v>653</v>
      </c>
      <c r="L2001" s="1" t="s">
        <v>906</v>
      </c>
    </row>
    <row r="2002" spans="2:12">
      <c r="B2002" s="1" t="s">
        <v>619</v>
      </c>
      <c r="C2002" s="1" t="s">
        <v>757</v>
      </c>
      <c r="D2002" s="52">
        <v>46068.659722222219</v>
      </c>
      <c r="E2002" s="52">
        <v>46068.659722222219</v>
      </c>
      <c r="F2002" s="52">
        <v>46068.660416666666</v>
      </c>
      <c r="G2002" s="53">
        <v>7.7546296296296293E-4</v>
      </c>
      <c r="H2002" s="1" t="s">
        <v>257</v>
      </c>
      <c r="J2002" s="1" t="s">
        <v>371</v>
      </c>
      <c r="K2002" s="1" t="s">
        <v>653</v>
      </c>
      <c r="L2002" s="1" t="s">
        <v>906</v>
      </c>
    </row>
    <row r="2003" spans="2:12">
      <c r="B2003" s="1" t="s">
        <v>619</v>
      </c>
      <c r="C2003" s="1" t="s">
        <v>757</v>
      </c>
      <c r="D2003" s="52">
        <v>46068.655555555553</v>
      </c>
      <c r="E2003" s="52">
        <v>46068.655555555553</v>
      </c>
      <c r="F2003" s="52">
        <v>46068.65625</v>
      </c>
      <c r="G2003" s="53">
        <v>7.6388888888888893E-4</v>
      </c>
      <c r="H2003" s="1" t="s">
        <v>257</v>
      </c>
      <c r="J2003" s="1" t="s">
        <v>371</v>
      </c>
      <c r="K2003" s="1" t="s">
        <v>653</v>
      </c>
      <c r="L2003" s="1" t="s">
        <v>906</v>
      </c>
    </row>
    <row r="2004" spans="2:12">
      <c r="B2004" s="1" t="s">
        <v>619</v>
      </c>
      <c r="C2004" s="1" t="s">
        <v>757</v>
      </c>
      <c r="D2004" s="52">
        <v>46068.652083333334</v>
      </c>
      <c r="E2004" s="52">
        <v>46068.652083333334</v>
      </c>
      <c r="F2004" s="52">
        <v>46068.652777777781</v>
      </c>
      <c r="G2004" s="53">
        <v>7.7546296296296293E-4</v>
      </c>
      <c r="H2004" s="1" t="s">
        <v>257</v>
      </c>
      <c r="J2004" s="1" t="s">
        <v>371</v>
      </c>
      <c r="K2004" s="1" t="s">
        <v>653</v>
      </c>
      <c r="L2004" s="1" t="s">
        <v>906</v>
      </c>
    </row>
    <row r="2005" spans="2:12">
      <c r="B2005" s="1" t="s">
        <v>619</v>
      </c>
      <c r="C2005" s="1" t="s">
        <v>757</v>
      </c>
      <c r="D2005" s="52">
        <v>46068.649305555555</v>
      </c>
      <c r="E2005" s="52">
        <v>46068.649305555555</v>
      </c>
      <c r="F2005" s="52">
        <v>46068.65</v>
      </c>
      <c r="G2005" s="53">
        <v>7.7546296296296293E-4</v>
      </c>
      <c r="H2005" s="1" t="s">
        <v>257</v>
      </c>
      <c r="J2005" s="1" t="s">
        <v>371</v>
      </c>
      <c r="K2005" s="1" t="s">
        <v>653</v>
      </c>
      <c r="L2005" s="1" t="s">
        <v>906</v>
      </c>
    </row>
    <row r="2006" spans="2:12">
      <c r="B2006" s="1" t="s">
        <v>619</v>
      </c>
      <c r="C2006" s="1" t="s">
        <v>757</v>
      </c>
      <c r="D2006" s="52">
        <v>46068.645833333336</v>
      </c>
      <c r="E2006" s="52">
        <v>46068.645833333336</v>
      </c>
      <c r="F2006" s="52">
        <v>46068.647222222222</v>
      </c>
      <c r="G2006" s="53">
        <v>7.7546296296296293E-4</v>
      </c>
      <c r="H2006" s="1" t="s">
        <v>257</v>
      </c>
      <c r="J2006" s="1" t="s">
        <v>371</v>
      </c>
      <c r="K2006" s="1" t="s">
        <v>653</v>
      </c>
      <c r="L2006" s="1" t="s">
        <v>906</v>
      </c>
    </row>
    <row r="2007" spans="2:12">
      <c r="B2007" s="1" t="s">
        <v>619</v>
      </c>
      <c r="C2007" s="1" t="s">
        <v>757</v>
      </c>
      <c r="D2007" s="52">
        <v>46068.643055555556</v>
      </c>
      <c r="E2007" s="52">
        <v>46068.643055555556</v>
      </c>
      <c r="F2007" s="52">
        <v>46068.643750000003</v>
      </c>
      <c r="G2007" s="53">
        <v>7.8703703703703705E-4</v>
      </c>
      <c r="H2007" s="1" t="s">
        <v>257</v>
      </c>
      <c r="J2007" s="1" t="s">
        <v>371</v>
      </c>
      <c r="K2007" s="1" t="s">
        <v>653</v>
      </c>
      <c r="L2007" s="1" t="s">
        <v>906</v>
      </c>
    </row>
    <row r="2008" spans="2:12">
      <c r="B2008" s="1" t="s">
        <v>619</v>
      </c>
      <c r="C2008" s="1" t="s">
        <v>757</v>
      </c>
      <c r="D2008" s="52">
        <v>46068.63958333333</v>
      </c>
      <c r="E2008" s="52">
        <v>46068.63958333333</v>
      </c>
      <c r="F2008" s="52">
        <v>46068.640277777777</v>
      </c>
      <c r="G2008" s="53">
        <v>7.7546296296296293E-4</v>
      </c>
      <c r="H2008" s="1" t="s">
        <v>257</v>
      </c>
      <c r="J2008" s="1" t="s">
        <v>371</v>
      </c>
      <c r="K2008" s="1" t="s">
        <v>653</v>
      </c>
      <c r="L2008" s="1" t="s">
        <v>906</v>
      </c>
    </row>
    <row r="2009" spans="2:12">
      <c r="B2009" s="1" t="s">
        <v>619</v>
      </c>
      <c r="C2009" s="1" t="s">
        <v>757</v>
      </c>
      <c r="D2009" s="52">
        <v>46068.581250000003</v>
      </c>
      <c r="E2009" s="52">
        <v>46068.581250000003</v>
      </c>
      <c r="F2009" s="52">
        <v>46068.581944444442</v>
      </c>
      <c r="G2009" s="53">
        <v>7.8703703703703705E-4</v>
      </c>
      <c r="H2009" s="1" t="s">
        <v>257</v>
      </c>
      <c r="J2009" s="1" t="s">
        <v>371</v>
      </c>
      <c r="K2009" s="1" t="s">
        <v>653</v>
      </c>
      <c r="L2009" s="1" t="s">
        <v>906</v>
      </c>
    </row>
    <row r="2010" spans="2:12">
      <c r="B2010" s="1" t="s">
        <v>619</v>
      </c>
      <c r="C2010" s="1" t="s">
        <v>757</v>
      </c>
      <c r="D2010" s="52">
        <v>46068.577777777777</v>
      </c>
      <c r="E2010" s="52">
        <v>46068.577777777777</v>
      </c>
      <c r="F2010" s="52">
        <v>46068.57916666667</v>
      </c>
      <c r="G2010" s="53">
        <v>8.1018518518518516E-4</v>
      </c>
      <c r="H2010" s="1" t="s">
        <v>257</v>
      </c>
      <c r="J2010" s="1" t="s">
        <v>371</v>
      </c>
      <c r="K2010" s="1" t="s">
        <v>653</v>
      </c>
      <c r="L2010" s="1" t="s">
        <v>906</v>
      </c>
    </row>
    <row r="2011" spans="2:12">
      <c r="B2011" s="1" t="s">
        <v>619</v>
      </c>
      <c r="C2011" s="1" t="s">
        <v>757</v>
      </c>
      <c r="D2011" s="52">
        <v>46068.574999999997</v>
      </c>
      <c r="E2011" s="52">
        <v>46068.574999999997</v>
      </c>
      <c r="F2011" s="52">
        <v>46068.575694444444</v>
      </c>
      <c r="G2011" s="53">
        <v>7.7546296296296293E-4</v>
      </c>
      <c r="H2011" s="1" t="s">
        <v>257</v>
      </c>
      <c r="J2011" s="1" t="s">
        <v>371</v>
      </c>
      <c r="K2011" s="1" t="s">
        <v>653</v>
      </c>
      <c r="L2011" s="1" t="s">
        <v>906</v>
      </c>
    </row>
    <row r="2012" spans="2:12">
      <c r="B2012" s="1" t="s">
        <v>619</v>
      </c>
      <c r="C2012" s="1" t="s">
        <v>757</v>
      </c>
      <c r="D2012" s="52">
        <v>46068.571527777778</v>
      </c>
      <c r="E2012" s="52">
        <v>46068.571527777778</v>
      </c>
      <c r="F2012" s="52">
        <v>46068.572222222225</v>
      </c>
      <c r="G2012" s="53">
        <v>7.6388888888888893E-4</v>
      </c>
      <c r="H2012" s="1" t="s">
        <v>257</v>
      </c>
      <c r="J2012" s="1" t="s">
        <v>371</v>
      </c>
      <c r="K2012" s="1" t="s">
        <v>653</v>
      </c>
      <c r="L2012" s="1" t="s">
        <v>906</v>
      </c>
    </row>
    <row r="2013" spans="2:12">
      <c r="B2013" s="1" t="s">
        <v>619</v>
      </c>
      <c r="C2013" s="1" t="s">
        <v>757</v>
      </c>
      <c r="D2013" s="52">
        <v>46068.56527777778</v>
      </c>
      <c r="E2013" s="52">
        <v>46068.56527777778</v>
      </c>
      <c r="F2013" s="52">
        <v>46068.565972222219</v>
      </c>
      <c r="G2013" s="53">
        <v>7.7546296296296293E-4</v>
      </c>
      <c r="H2013" s="1" t="s">
        <v>257</v>
      </c>
      <c r="J2013" s="1" t="s">
        <v>371</v>
      </c>
      <c r="K2013" s="1" t="s">
        <v>653</v>
      </c>
      <c r="L2013" s="1" t="s">
        <v>906</v>
      </c>
    </row>
    <row r="2014" spans="2:12">
      <c r="B2014" s="1" t="s">
        <v>619</v>
      </c>
      <c r="C2014" s="1" t="s">
        <v>757</v>
      </c>
      <c r="D2014" s="52">
        <v>46068.561805555553</v>
      </c>
      <c r="E2014" s="52">
        <v>46068.561805555553</v>
      </c>
      <c r="F2014" s="52">
        <v>46068.563194444447</v>
      </c>
      <c r="G2014" s="53">
        <v>7.7546296296296293E-4</v>
      </c>
      <c r="H2014" s="1" t="s">
        <v>257</v>
      </c>
      <c r="J2014" s="1" t="s">
        <v>371</v>
      </c>
      <c r="K2014" s="1" t="s">
        <v>653</v>
      </c>
      <c r="L2014" s="1" t="s">
        <v>906</v>
      </c>
    </row>
    <row r="2015" spans="2:12">
      <c r="B2015" s="1" t="s">
        <v>619</v>
      </c>
      <c r="C2015" s="1" t="s">
        <v>757</v>
      </c>
      <c r="D2015" s="52">
        <v>46068.559027777781</v>
      </c>
      <c r="E2015" s="52">
        <v>46068.559027777781</v>
      </c>
      <c r="F2015" s="52">
        <v>46068.55972222222</v>
      </c>
      <c r="G2015" s="53">
        <v>7.8703703703703705E-4</v>
      </c>
      <c r="H2015" s="1" t="s">
        <v>257</v>
      </c>
      <c r="J2015" s="1" t="s">
        <v>371</v>
      </c>
      <c r="K2015" s="1" t="s">
        <v>653</v>
      </c>
      <c r="L2015" s="1" t="s">
        <v>906</v>
      </c>
    </row>
    <row r="2016" spans="2:12">
      <c r="B2016" s="1" t="s">
        <v>619</v>
      </c>
      <c r="C2016" s="1" t="s">
        <v>757</v>
      </c>
      <c r="D2016" s="52">
        <v>46068.552083333336</v>
      </c>
      <c r="E2016" s="52">
        <v>46068.552083333336</v>
      </c>
      <c r="F2016" s="52">
        <v>46068.552777777775</v>
      </c>
      <c r="G2016" s="53">
        <v>7.8703703703703705E-4</v>
      </c>
      <c r="H2016" s="1" t="s">
        <v>257</v>
      </c>
      <c r="J2016" s="1" t="s">
        <v>371</v>
      </c>
      <c r="K2016" s="1" t="s">
        <v>653</v>
      </c>
      <c r="L2016" s="1" t="s">
        <v>906</v>
      </c>
    </row>
    <row r="2017" spans="2:12">
      <c r="B2017" s="1" t="s">
        <v>619</v>
      </c>
      <c r="C2017" s="1" t="s">
        <v>757</v>
      </c>
      <c r="D2017" s="52">
        <v>46068.540277777778</v>
      </c>
      <c r="E2017" s="52">
        <v>46068.540277777778</v>
      </c>
      <c r="F2017" s="52">
        <v>46068.540972222225</v>
      </c>
      <c r="G2017" s="53">
        <v>8.1018518518518516E-4</v>
      </c>
      <c r="H2017" s="1" t="s">
        <v>257</v>
      </c>
      <c r="J2017" s="1" t="s">
        <v>371</v>
      </c>
      <c r="K2017" s="1" t="s">
        <v>653</v>
      </c>
      <c r="L2017" s="1" t="s">
        <v>906</v>
      </c>
    </row>
    <row r="2018" spans="2:12">
      <c r="B2018" s="1" t="s">
        <v>619</v>
      </c>
      <c r="C2018" s="1" t="s">
        <v>757</v>
      </c>
      <c r="D2018" s="52">
        <v>46068.536805555559</v>
      </c>
      <c r="E2018" s="52">
        <v>46068.536805555559</v>
      </c>
      <c r="F2018" s="52">
        <v>46068.537499999999</v>
      </c>
      <c r="G2018" s="53">
        <v>7.6388888888888893E-4</v>
      </c>
      <c r="H2018" s="1" t="s">
        <v>257</v>
      </c>
      <c r="J2018" s="1" t="s">
        <v>371</v>
      </c>
      <c r="K2018" s="1" t="s">
        <v>653</v>
      </c>
      <c r="L2018" s="1" t="s">
        <v>906</v>
      </c>
    </row>
    <row r="2019" spans="2:12">
      <c r="B2019" s="1" t="s">
        <v>619</v>
      </c>
      <c r="C2019" s="1" t="s">
        <v>757</v>
      </c>
      <c r="D2019" s="52">
        <v>46068.524305555555</v>
      </c>
      <c r="E2019" s="52">
        <v>46068.524305555555</v>
      </c>
      <c r="F2019" s="52">
        <v>46068.525000000001</v>
      </c>
      <c r="G2019" s="53">
        <v>7.8703703703703705E-4</v>
      </c>
      <c r="H2019" s="1" t="s">
        <v>257</v>
      </c>
      <c r="J2019" s="1" t="s">
        <v>371</v>
      </c>
      <c r="K2019" s="1" t="s">
        <v>653</v>
      </c>
      <c r="L2019" s="1" t="s">
        <v>906</v>
      </c>
    </row>
    <row r="2020" spans="2:12">
      <c r="B2020" s="1" t="s">
        <v>619</v>
      </c>
      <c r="C2020" s="1" t="s">
        <v>757</v>
      </c>
      <c r="D2020" s="52">
        <v>46068.520833333336</v>
      </c>
      <c r="E2020" s="52">
        <v>46068.520833333336</v>
      </c>
      <c r="F2020" s="52">
        <v>46068.521527777775</v>
      </c>
      <c r="G2020" s="53">
        <v>7.8703703703703705E-4</v>
      </c>
      <c r="H2020" s="1" t="s">
        <v>257</v>
      </c>
      <c r="J2020" s="1" t="s">
        <v>371</v>
      </c>
      <c r="K2020" s="1" t="s">
        <v>653</v>
      </c>
      <c r="L2020" s="1" t="s">
        <v>906</v>
      </c>
    </row>
    <row r="2021" spans="2:12">
      <c r="B2021" s="1" t="s">
        <v>619</v>
      </c>
      <c r="C2021" s="1" t="s">
        <v>757</v>
      </c>
      <c r="D2021" s="52">
        <v>46068.513888888891</v>
      </c>
      <c r="E2021" s="52">
        <v>46068.513888888891</v>
      </c>
      <c r="F2021" s="52">
        <v>46068.515277777777</v>
      </c>
      <c r="G2021" s="53">
        <v>7.8703703703703705E-4</v>
      </c>
      <c r="H2021" s="1" t="s">
        <v>257</v>
      </c>
      <c r="J2021" s="1" t="s">
        <v>371</v>
      </c>
      <c r="K2021" s="1" t="s">
        <v>653</v>
      </c>
      <c r="L2021" s="1" t="s">
        <v>906</v>
      </c>
    </row>
    <row r="2022" spans="2:12">
      <c r="B2022" s="1" t="s">
        <v>619</v>
      </c>
      <c r="C2022" s="1" t="s">
        <v>757</v>
      </c>
      <c r="D2022" s="52">
        <v>46068.509722222225</v>
      </c>
      <c r="E2022" s="52">
        <v>46068.509722222225</v>
      </c>
      <c r="F2022" s="52">
        <v>46068.510416666664</v>
      </c>
      <c r="G2022" s="53">
        <v>7.6388888888888893E-4</v>
      </c>
      <c r="H2022" s="1" t="s">
        <v>257</v>
      </c>
      <c r="J2022" s="1" t="s">
        <v>371</v>
      </c>
      <c r="K2022" s="1" t="s">
        <v>653</v>
      </c>
      <c r="L2022" s="1" t="s">
        <v>906</v>
      </c>
    </row>
    <row r="2023" spans="2:12">
      <c r="B2023" s="1" t="s">
        <v>619</v>
      </c>
      <c r="C2023" s="1" t="s">
        <v>757</v>
      </c>
      <c r="D2023" s="52">
        <v>46068.504861111112</v>
      </c>
      <c r="E2023" s="52">
        <v>46068.504861111112</v>
      </c>
      <c r="F2023" s="52">
        <v>46068.505555555559</v>
      </c>
      <c r="G2023" s="53">
        <v>7.6388888888888893E-4</v>
      </c>
      <c r="H2023" s="1" t="s">
        <v>257</v>
      </c>
      <c r="J2023" s="1" t="s">
        <v>371</v>
      </c>
      <c r="K2023" s="1" t="s">
        <v>653</v>
      </c>
      <c r="L2023" s="1" t="s">
        <v>906</v>
      </c>
    </row>
    <row r="2024" spans="2:12">
      <c r="B2024" s="1" t="s">
        <v>619</v>
      </c>
      <c r="C2024" s="1" t="s">
        <v>757</v>
      </c>
      <c r="D2024" s="52">
        <v>46068.492361111108</v>
      </c>
      <c r="E2024" s="52">
        <v>46068.492361111108</v>
      </c>
      <c r="F2024" s="52">
        <v>46068.493055555555</v>
      </c>
      <c r="G2024" s="53">
        <v>7.7546296296296293E-4</v>
      </c>
      <c r="H2024" s="1" t="s">
        <v>257</v>
      </c>
      <c r="J2024" s="1" t="s">
        <v>371</v>
      </c>
      <c r="K2024" s="1" t="s">
        <v>653</v>
      </c>
      <c r="L2024" s="1" t="s">
        <v>906</v>
      </c>
    </row>
    <row r="2025" spans="2:12">
      <c r="B2025" s="1" t="s">
        <v>619</v>
      </c>
      <c r="C2025" s="1" t="s">
        <v>757</v>
      </c>
      <c r="D2025" s="52">
        <v>46068.461111111108</v>
      </c>
      <c r="E2025" s="52">
        <v>46068.461111111108</v>
      </c>
      <c r="F2025" s="52">
        <v>46068.461805555555</v>
      </c>
      <c r="G2025" s="53">
        <v>7.7546296296296293E-4</v>
      </c>
      <c r="H2025" s="1" t="s">
        <v>257</v>
      </c>
      <c r="J2025" s="1" t="s">
        <v>371</v>
      </c>
      <c r="K2025" s="1" t="s">
        <v>653</v>
      </c>
      <c r="L2025" s="1" t="s">
        <v>906</v>
      </c>
    </row>
    <row r="2026" spans="2:12">
      <c r="B2026" s="1" t="s">
        <v>619</v>
      </c>
      <c r="C2026" s="1" t="s">
        <v>757</v>
      </c>
      <c r="D2026" s="52">
        <v>46068.456250000003</v>
      </c>
      <c r="E2026" s="52">
        <v>46068.456250000003</v>
      </c>
      <c r="F2026" s="52">
        <v>46068.457638888889</v>
      </c>
      <c r="G2026" s="53">
        <v>7.7546296296296293E-4</v>
      </c>
      <c r="H2026" s="1" t="s">
        <v>257</v>
      </c>
      <c r="J2026" s="1" t="s">
        <v>371</v>
      </c>
      <c r="K2026" s="1" t="s">
        <v>653</v>
      </c>
      <c r="L2026" s="1" t="s">
        <v>906</v>
      </c>
    </row>
    <row r="2027" spans="2:12">
      <c r="B2027" s="1" t="s">
        <v>619</v>
      </c>
      <c r="C2027" s="1" t="s">
        <v>757</v>
      </c>
      <c r="D2027" s="52">
        <v>46068.45208333333</v>
      </c>
      <c r="E2027" s="52">
        <v>46068.45208333333</v>
      </c>
      <c r="F2027" s="52">
        <v>46068.452777777777</v>
      </c>
      <c r="G2027" s="53">
        <v>8.1018518518518516E-4</v>
      </c>
      <c r="H2027" s="1" t="s">
        <v>257</v>
      </c>
      <c r="J2027" s="1" t="s">
        <v>371</v>
      </c>
      <c r="K2027" s="1" t="s">
        <v>653</v>
      </c>
      <c r="L2027" s="1" t="s">
        <v>906</v>
      </c>
    </row>
    <row r="2028" spans="2:12">
      <c r="B2028" s="1" t="s">
        <v>619</v>
      </c>
      <c r="C2028" s="1" t="s">
        <v>757</v>
      </c>
      <c r="D2028" s="52">
        <v>46068.447916666664</v>
      </c>
      <c r="E2028" s="52">
        <v>46068.447916666664</v>
      </c>
      <c r="F2028" s="52">
        <v>46068.448611111111</v>
      </c>
      <c r="G2028" s="53">
        <v>7.8703703703703705E-4</v>
      </c>
      <c r="H2028" s="1" t="s">
        <v>257</v>
      </c>
      <c r="J2028" s="1" t="s">
        <v>371</v>
      </c>
      <c r="K2028" s="1" t="s">
        <v>653</v>
      </c>
      <c r="L2028" s="1" t="s">
        <v>906</v>
      </c>
    </row>
    <row r="2029" spans="2:12">
      <c r="B2029" s="1" t="s">
        <v>619</v>
      </c>
      <c r="C2029" s="1" t="s">
        <v>757</v>
      </c>
      <c r="D2029" s="52">
        <v>46068.441666666666</v>
      </c>
      <c r="E2029" s="52">
        <v>46068.441666666666</v>
      </c>
      <c r="F2029" s="52">
        <v>46068.442361111112</v>
      </c>
      <c r="G2029" s="53">
        <v>8.1018518518518516E-4</v>
      </c>
      <c r="H2029" s="1" t="s">
        <v>257</v>
      </c>
      <c r="J2029" s="1" t="s">
        <v>371</v>
      </c>
      <c r="K2029" s="1" t="s">
        <v>653</v>
      </c>
      <c r="L2029" s="1" t="s">
        <v>906</v>
      </c>
    </row>
    <row r="2030" spans="2:12">
      <c r="B2030" s="1" t="s">
        <v>619</v>
      </c>
      <c r="C2030" s="1" t="s">
        <v>757</v>
      </c>
      <c r="D2030" s="52">
        <v>46068.4375</v>
      </c>
      <c r="E2030" s="52">
        <v>46068.4375</v>
      </c>
      <c r="F2030" s="52">
        <v>46068.438194444447</v>
      </c>
      <c r="G2030" s="53">
        <v>7.7546296296296293E-4</v>
      </c>
      <c r="H2030" s="1" t="s">
        <v>257</v>
      </c>
      <c r="J2030" s="1" t="s">
        <v>371</v>
      </c>
      <c r="K2030" s="1" t="s">
        <v>653</v>
      </c>
      <c r="L2030" s="1" t="s">
        <v>906</v>
      </c>
    </row>
    <row r="2031" spans="2:12">
      <c r="B2031" s="1" t="s">
        <v>619</v>
      </c>
      <c r="C2031" s="1" t="s">
        <v>757</v>
      </c>
      <c r="D2031" s="52">
        <v>46068.433333333334</v>
      </c>
      <c r="E2031" s="52">
        <v>46068.433333333334</v>
      </c>
      <c r="F2031" s="52">
        <v>46068.434027777781</v>
      </c>
      <c r="G2031" s="53">
        <v>7.6388888888888893E-4</v>
      </c>
      <c r="H2031" s="1" t="s">
        <v>257</v>
      </c>
      <c r="J2031" s="1" t="s">
        <v>371</v>
      </c>
      <c r="K2031" s="1" t="s">
        <v>653</v>
      </c>
      <c r="L2031" s="1" t="s">
        <v>906</v>
      </c>
    </row>
    <row r="2032" spans="2:12">
      <c r="B2032" s="1" t="s">
        <v>619</v>
      </c>
      <c r="C2032" s="1" t="s">
        <v>757</v>
      </c>
      <c r="D2032" s="52">
        <v>46068.429861111108</v>
      </c>
      <c r="E2032" s="52">
        <v>46068.429861111108</v>
      </c>
      <c r="F2032" s="52">
        <v>46068.430555555555</v>
      </c>
      <c r="G2032" s="53">
        <v>7.6388888888888893E-4</v>
      </c>
      <c r="H2032" s="1" t="s">
        <v>257</v>
      </c>
      <c r="J2032" s="1" t="s">
        <v>371</v>
      </c>
      <c r="K2032" s="1" t="s">
        <v>653</v>
      </c>
      <c r="L2032" s="1" t="s">
        <v>906</v>
      </c>
    </row>
    <row r="2033" spans="2:12">
      <c r="B2033" s="1" t="s">
        <v>619</v>
      </c>
      <c r="C2033" s="1" t="s">
        <v>757</v>
      </c>
      <c r="D2033" s="52">
        <v>46068.425694444442</v>
      </c>
      <c r="E2033" s="52">
        <v>46068.425694444442</v>
      </c>
      <c r="F2033" s="52">
        <v>46068.426388888889</v>
      </c>
      <c r="G2033" s="53">
        <v>7.6388888888888893E-4</v>
      </c>
      <c r="H2033" s="1" t="s">
        <v>257</v>
      </c>
      <c r="J2033" s="1" t="s">
        <v>371</v>
      </c>
      <c r="K2033" s="1" t="s">
        <v>653</v>
      </c>
      <c r="L2033" s="1" t="s">
        <v>906</v>
      </c>
    </row>
    <row r="2034" spans="2:12">
      <c r="B2034" s="1" t="s">
        <v>619</v>
      </c>
      <c r="C2034" s="1" t="s">
        <v>757</v>
      </c>
      <c r="D2034" s="52">
        <v>46068.420138888891</v>
      </c>
      <c r="E2034" s="52">
        <v>46068.420138888891</v>
      </c>
      <c r="F2034" s="52">
        <v>46068.42083333333</v>
      </c>
      <c r="G2034" s="53">
        <v>7.8703703703703705E-4</v>
      </c>
      <c r="H2034" s="1" t="s">
        <v>257</v>
      </c>
      <c r="J2034" s="1" t="s">
        <v>371</v>
      </c>
      <c r="K2034" s="1" t="s">
        <v>653</v>
      </c>
      <c r="L2034" s="1" t="s">
        <v>906</v>
      </c>
    </row>
    <row r="2035" spans="2:12">
      <c r="B2035" s="1" t="s">
        <v>619</v>
      </c>
      <c r="C2035" s="1" t="s">
        <v>757</v>
      </c>
      <c r="D2035" s="52">
        <v>46068.413888888892</v>
      </c>
      <c r="E2035" s="52">
        <v>46068.413888888892</v>
      </c>
      <c r="F2035" s="52">
        <v>46068.414583333331</v>
      </c>
      <c r="G2035" s="53">
        <v>7.6388888888888893E-4</v>
      </c>
      <c r="H2035" s="1" t="s">
        <v>257</v>
      </c>
      <c r="J2035" s="1" t="s">
        <v>371</v>
      </c>
      <c r="K2035" s="1" t="s">
        <v>653</v>
      </c>
      <c r="L2035" s="1" t="s">
        <v>906</v>
      </c>
    </row>
    <row r="2036" spans="2:12">
      <c r="B2036" s="1" t="s">
        <v>619</v>
      </c>
      <c r="C2036" s="1" t="s">
        <v>757</v>
      </c>
      <c r="D2036" s="52">
        <v>46068.40902777778</v>
      </c>
      <c r="E2036" s="52">
        <v>46068.40902777778</v>
      </c>
      <c r="F2036" s="52">
        <v>46068.410416666666</v>
      </c>
      <c r="G2036" s="53">
        <v>7.6388888888888893E-4</v>
      </c>
      <c r="H2036" s="1" t="s">
        <v>257</v>
      </c>
      <c r="J2036" s="1" t="s">
        <v>371</v>
      </c>
      <c r="K2036" s="1" t="s">
        <v>653</v>
      </c>
      <c r="L2036" s="1" t="s">
        <v>906</v>
      </c>
    </row>
    <row r="2037" spans="2:12">
      <c r="B2037" s="1" t="s">
        <v>619</v>
      </c>
      <c r="C2037" s="1" t="s">
        <v>757</v>
      </c>
      <c r="D2037" s="52">
        <v>46068.404861111114</v>
      </c>
      <c r="E2037" s="52">
        <v>46068.404861111114</v>
      </c>
      <c r="F2037" s="52">
        <v>46068.405555555553</v>
      </c>
      <c r="G2037" s="53">
        <v>7.8703703703703705E-4</v>
      </c>
      <c r="H2037" s="1" t="s">
        <v>257</v>
      </c>
      <c r="J2037" s="1" t="s">
        <v>371</v>
      </c>
      <c r="K2037" s="1" t="s">
        <v>653</v>
      </c>
      <c r="L2037" s="1" t="s">
        <v>906</v>
      </c>
    </row>
    <row r="2038" spans="2:12">
      <c r="B2038" s="1" t="s">
        <v>619</v>
      </c>
      <c r="C2038" s="1" t="s">
        <v>757</v>
      </c>
      <c r="D2038" s="52">
        <v>46068.398611111108</v>
      </c>
      <c r="E2038" s="52">
        <v>46068.398611111108</v>
      </c>
      <c r="F2038" s="52">
        <v>46068.399305555555</v>
      </c>
      <c r="G2038" s="53">
        <v>7.7546296296296293E-4</v>
      </c>
      <c r="H2038" s="1" t="s">
        <v>257</v>
      </c>
      <c r="J2038" s="1" t="s">
        <v>371</v>
      </c>
      <c r="K2038" s="1" t="s">
        <v>653</v>
      </c>
      <c r="L2038" s="1" t="s">
        <v>906</v>
      </c>
    </row>
    <row r="2039" spans="2:12">
      <c r="B2039" s="1" t="s">
        <v>619</v>
      </c>
      <c r="C2039" s="1" t="s">
        <v>757</v>
      </c>
      <c r="D2039" s="52">
        <v>46068.39166666667</v>
      </c>
      <c r="E2039" s="52">
        <v>46068.39166666667</v>
      </c>
      <c r="F2039" s="52">
        <v>46068.392361111109</v>
      </c>
      <c r="G2039" s="53">
        <v>7.7546296296296293E-4</v>
      </c>
      <c r="H2039" s="1" t="s">
        <v>257</v>
      </c>
      <c r="J2039" s="1" t="s">
        <v>371</v>
      </c>
      <c r="K2039" s="1" t="s">
        <v>653</v>
      </c>
      <c r="L2039" s="1" t="s">
        <v>906</v>
      </c>
    </row>
    <row r="2040" spans="2:12">
      <c r="B2040" s="1" t="s">
        <v>619</v>
      </c>
      <c r="C2040" s="1" t="s">
        <v>757</v>
      </c>
      <c r="D2040" s="52">
        <v>46068.386805555558</v>
      </c>
      <c r="E2040" s="52">
        <v>46068.386805555558</v>
      </c>
      <c r="F2040" s="52">
        <v>46068.387499999997</v>
      </c>
      <c r="G2040" s="53">
        <v>7.6388888888888893E-4</v>
      </c>
      <c r="H2040" s="1" t="s">
        <v>257</v>
      </c>
      <c r="J2040" s="1" t="s">
        <v>371</v>
      </c>
      <c r="K2040" s="1" t="s">
        <v>653</v>
      </c>
      <c r="L2040" s="1" t="s">
        <v>906</v>
      </c>
    </row>
    <row r="2041" spans="2:12">
      <c r="B2041" s="1" t="s">
        <v>619</v>
      </c>
      <c r="C2041" s="1" t="s">
        <v>757</v>
      </c>
      <c r="D2041" s="52">
        <v>46068.381944444445</v>
      </c>
      <c r="E2041" s="52">
        <v>46068.381944444445</v>
      </c>
      <c r="F2041" s="52">
        <v>46068.382638888892</v>
      </c>
      <c r="G2041" s="53">
        <v>7.6388888888888893E-4</v>
      </c>
      <c r="H2041" s="1" t="s">
        <v>257</v>
      </c>
      <c r="J2041" s="1" t="s">
        <v>371</v>
      </c>
      <c r="K2041" s="1" t="s">
        <v>653</v>
      </c>
      <c r="L2041" s="1" t="s">
        <v>906</v>
      </c>
    </row>
    <row r="2042" spans="2:12">
      <c r="B2042" s="1" t="s">
        <v>619</v>
      </c>
      <c r="C2042" s="1" t="s">
        <v>757</v>
      </c>
      <c r="D2042" s="52">
        <v>46068.376388888886</v>
      </c>
      <c r="E2042" s="52">
        <v>46068.376388888886</v>
      </c>
      <c r="F2042" s="52">
        <v>46068.377083333333</v>
      </c>
      <c r="G2042" s="53">
        <v>7.9861111111111116E-4</v>
      </c>
      <c r="H2042" s="1" t="s">
        <v>257</v>
      </c>
      <c r="J2042" s="1" t="s">
        <v>371</v>
      </c>
      <c r="K2042" s="1" t="s">
        <v>653</v>
      </c>
      <c r="L2042" s="1" t="s">
        <v>906</v>
      </c>
    </row>
    <row r="2043" spans="2:12">
      <c r="B2043" s="1" t="s">
        <v>619</v>
      </c>
      <c r="C2043" s="1" t="s">
        <v>757</v>
      </c>
      <c r="D2043" s="52">
        <v>46068.371527777781</v>
      </c>
      <c r="E2043" s="52">
        <v>46068.371527777781</v>
      </c>
      <c r="F2043" s="52">
        <v>46068.37222222222</v>
      </c>
      <c r="G2043" s="53">
        <v>7.7546296296296293E-4</v>
      </c>
      <c r="H2043" s="1" t="s">
        <v>257</v>
      </c>
      <c r="J2043" s="1" t="s">
        <v>371</v>
      </c>
      <c r="K2043" s="1" t="s">
        <v>653</v>
      </c>
      <c r="L2043" s="1" t="s">
        <v>906</v>
      </c>
    </row>
    <row r="2044" spans="2:12">
      <c r="B2044" s="1" t="s">
        <v>619</v>
      </c>
      <c r="C2044" s="1" t="s">
        <v>757</v>
      </c>
      <c r="D2044" s="52">
        <v>46067.694444444445</v>
      </c>
      <c r="E2044" s="52">
        <v>46067.694444444445</v>
      </c>
      <c r="F2044" s="52">
        <v>46067.695833333331</v>
      </c>
      <c r="G2044" s="53">
        <v>7.8703703703703705E-4</v>
      </c>
      <c r="H2044" s="1" t="s">
        <v>257</v>
      </c>
      <c r="J2044" s="1" t="s">
        <v>371</v>
      </c>
      <c r="K2044" s="1" t="s">
        <v>653</v>
      </c>
      <c r="L2044" s="1" t="s">
        <v>906</v>
      </c>
    </row>
    <row r="2045" spans="2:12">
      <c r="B2045" s="1" t="s">
        <v>619</v>
      </c>
      <c r="C2045" s="1" t="s">
        <v>757</v>
      </c>
      <c r="D2045" s="52">
        <v>46067.65902777778</v>
      </c>
      <c r="E2045" s="52">
        <v>46067.65902777778</v>
      </c>
      <c r="F2045" s="52">
        <v>46067.659722222219</v>
      </c>
      <c r="G2045" s="53">
        <v>7.7546296296296293E-4</v>
      </c>
      <c r="H2045" s="1" t="s">
        <v>257</v>
      </c>
      <c r="J2045" s="1" t="s">
        <v>371</v>
      </c>
      <c r="K2045" s="1" t="s">
        <v>653</v>
      </c>
      <c r="L2045" s="1" t="s">
        <v>906</v>
      </c>
    </row>
    <row r="2046" spans="2:12">
      <c r="B2046" s="1" t="s">
        <v>619</v>
      </c>
      <c r="C2046" s="1" t="s">
        <v>757</v>
      </c>
      <c r="D2046" s="52">
        <v>46067.655555555553</v>
      </c>
      <c r="E2046" s="52">
        <v>46067.655555555553</v>
      </c>
      <c r="F2046" s="52">
        <v>46067.65625</v>
      </c>
      <c r="G2046" s="53">
        <v>7.7546296296296293E-4</v>
      </c>
      <c r="H2046" s="1" t="s">
        <v>257</v>
      </c>
      <c r="J2046" s="1" t="s">
        <v>371</v>
      </c>
      <c r="K2046" s="1" t="s">
        <v>653</v>
      </c>
      <c r="L2046" s="1" t="s">
        <v>906</v>
      </c>
    </row>
    <row r="2047" spans="2:12">
      <c r="B2047" s="1" t="s">
        <v>619</v>
      </c>
      <c r="C2047" s="1" t="s">
        <v>757</v>
      </c>
      <c r="D2047" s="52">
        <v>46067.636111111111</v>
      </c>
      <c r="E2047" s="52">
        <v>46067.636111111111</v>
      </c>
      <c r="F2047" s="52">
        <v>46067.636805555558</v>
      </c>
      <c r="G2047" s="53">
        <v>7.7546296296296293E-4</v>
      </c>
      <c r="H2047" s="1" t="s">
        <v>257</v>
      </c>
      <c r="J2047" s="1" t="s">
        <v>371</v>
      </c>
      <c r="K2047" s="1" t="s">
        <v>653</v>
      </c>
      <c r="L2047" s="1" t="s">
        <v>906</v>
      </c>
    </row>
    <row r="2048" spans="2:12">
      <c r="B2048" s="1" t="s">
        <v>619</v>
      </c>
      <c r="C2048" s="1" t="s">
        <v>757</v>
      </c>
      <c r="D2048" s="52">
        <v>46067.631249999999</v>
      </c>
      <c r="E2048" s="52">
        <v>46067.631249999999</v>
      </c>
      <c r="F2048" s="52">
        <v>46067.631944444445</v>
      </c>
      <c r="G2048" s="53">
        <v>8.1018518518518516E-4</v>
      </c>
      <c r="H2048" s="1" t="s">
        <v>257</v>
      </c>
      <c r="J2048" s="1" t="s">
        <v>371</v>
      </c>
      <c r="K2048" s="1" t="s">
        <v>653</v>
      </c>
      <c r="L2048" s="1" t="s">
        <v>906</v>
      </c>
    </row>
    <row r="2049" spans="2:12">
      <c r="B2049" s="1" t="s">
        <v>619</v>
      </c>
      <c r="C2049" s="1" t="s">
        <v>757</v>
      </c>
      <c r="D2049" s="52">
        <v>46067.625694444447</v>
      </c>
      <c r="E2049" s="52">
        <v>46067.625694444447</v>
      </c>
      <c r="F2049" s="52">
        <v>46067.627083333333</v>
      </c>
      <c r="G2049" s="53">
        <v>7.8703703703703705E-4</v>
      </c>
      <c r="H2049" s="1" t="s">
        <v>257</v>
      </c>
      <c r="J2049" s="1" t="s">
        <v>371</v>
      </c>
      <c r="K2049" s="1" t="s">
        <v>653</v>
      </c>
      <c r="L2049" s="1" t="s">
        <v>906</v>
      </c>
    </row>
    <row r="2050" spans="2:12">
      <c r="B2050" s="1" t="s">
        <v>619</v>
      </c>
      <c r="C2050" s="1" t="s">
        <v>757</v>
      </c>
      <c r="D2050" s="52">
        <v>46067.622916666667</v>
      </c>
      <c r="E2050" s="52">
        <v>46067.622916666667</v>
      </c>
      <c r="F2050" s="52">
        <v>46067.623611111114</v>
      </c>
      <c r="G2050" s="53">
        <v>7.8703703703703705E-4</v>
      </c>
      <c r="H2050" s="1" t="s">
        <v>257</v>
      </c>
      <c r="J2050" s="1" t="s">
        <v>371</v>
      </c>
      <c r="K2050" s="1" t="s">
        <v>653</v>
      </c>
      <c r="L2050" s="1" t="s">
        <v>906</v>
      </c>
    </row>
    <row r="2051" spans="2:12">
      <c r="B2051" s="1" t="s">
        <v>619</v>
      </c>
      <c r="C2051" s="1" t="s">
        <v>757</v>
      </c>
      <c r="D2051" s="52">
        <v>46067.620138888888</v>
      </c>
      <c r="E2051" s="52">
        <v>46067.620138888888</v>
      </c>
      <c r="F2051" s="52">
        <v>46067.620833333334</v>
      </c>
      <c r="G2051" s="53">
        <v>7.8703703703703705E-4</v>
      </c>
      <c r="H2051" s="1" t="s">
        <v>257</v>
      </c>
      <c r="J2051" s="1" t="s">
        <v>371</v>
      </c>
      <c r="K2051" s="1" t="s">
        <v>653</v>
      </c>
      <c r="L2051" s="1" t="s">
        <v>906</v>
      </c>
    </row>
    <row r="2052" spans="2:12">
      <c r="B2052" s="1" t="s">
        <v>619</v>
      </c>
      <c r="C2052" s="1" t="s">
        <v>757</v>
      </c>
      <c r="D2052" s="52">
        <v>46067.617361111108</v>
      </c>
      <c r="E2052" s="52">
        <v>46067.617361111108</v>
      </c>
      <c r="F2052" s="52">
        <v>46067.618055555555</v>
      </c>
      <c r="G2052" s="53">
        <v>7.6388888888888893E-4</v>
      </c>
      <c r="H2052" s="1" t="s">
        <v>257</v>
      </c>
      <c r="J2052" s="1" t="s">
        <v>371</v>
      </c>
      <c r="K2052" s="1" t="s">
        <v>653</v>
      </c>
      <c r="L2052" s="1" t="s">
        <v>906</v>
      </c>
    </row>
    <row r="2053" spans="2:12">
      <c r="B2053" s="1" t="s">
        <v>619</v>
      </c>
      <c r="C2053" s="1" t="s">
        <v>757</v>
      </c>
      <c r="D2053" s="52">
        <v>46067.614583333336</v>
      </c>
      <c r="E2053" s="52">
        <v>46067.614583333336</v>
      </c>
      <c r="F2053" s="52">
        <v>46067.615277777775</v>
      </c>
      <c r="G2053" s="53">
        <v>7.6388888888888893E-4</v>
      </c>
      <c r="H2053" s="1" t="s">
        <v>257</v>
      </c>
      <c r="J2053" s="1" t="s">
        <v>371</v>
      </c>
      <c r="K2053" s="1" t="s">
        <v>653</v>
      </c>
      <c r="L2053" s="1" t="s">
        <v>906</v>
      </c>
    </row>
    <row r="2054" spans="2:12">
      <c r="B2054" s="1" t="s">
        <v>619</v>
      </c>
      <c r="C2054" s="1" t="s">
        <v>757</v>
      </c>
      <c r="D2054" s="52">
        <v>46067.611111111109</v>
      </c>
      <c r="E2054" s="52">
        <v>46067.611111111109</v>
      </c>
      <c r="F2054" s="52">
        <v>46067.611805555556</v>
      </c>
      <c r="G2054" s="53">
        <v>7.7546296296296293E-4</v>
      </c>
      <c r="H2054" s="1" t="s">
        <v>257</v>
      </c>
      <c r="J2054" s="1" t="s">
        <v>371</v>
      </c>
      <c r="K2054" s="1" t="s">
        <v>653</v>
      </c>
      <c r="L2054" s="1" t="s">
        <v>906</v>
      </c>
    </row>
    <row r="2055" spans="2:12">
      <c r="B2055" s="1" t="s">
        <v>619</v>
      </c>
      <c r="C2055" s="1" t="s">
        <v>757</v>
      </c>
      <c r="D2055" s="52">
        <v>46067.60833333333</v>
      </c>
      <c r="E2055" s="52">
        <v>46067.60833333333</v>
      </c>
      <c r="F2055" s="52">
        <v>46067.609027777777</v>
      </c>
      <c r="G2055" s="53">
        <v>7.7546296296296293E-4</v>
      </c>
      <c r="H2055" s="1" t="s">
        <v>257</v>
      </c>
      <c r="J2055" s="1" t="s">
        <v>371</v>
      </c>
      <c r="K2055" s="1" t="s">
        <v>653</v>
      </c>
      <c r="L2055" s="1" t="s">
        <v>906</v>
      </c>
    </row>
    <row r="2056" spans="2:12">
      <c r="B2056" s="1" t="s">
        <v>619</v>
      </c>
      <c r="C2056" s="1" t="s">
        <v>757</v>
      </c>
      <c r="D2056" s="52">
        <v>46067.604861111111</v>
      </c>
      <c r="E2056" s="52">
        <v>46067.604861111111</v>
      </c>
      <c r="F2056" s="52">
        <v>46067.605555555558</v>
      </c>
      <c r="G2056" s="53">
        <v>7.7546296296296293E-4</v>
      </c>
      <c r="H2056" s="1" t="s">
        <v>257</v>
      </c>
      <c r="J2056" s="1" t="s">
        <v>371</v>
      </c>
      <c r="K2056" s="1" t="s">
        <v>653</v>
      </c>
      <c r="L2056" s="1" t="s">
        <v>906</v>
      </c>
    </row>
    <row r="2057" spans="2:12">
      <c r="B2057" s="1" t="s">
        <v>619</v>
      </c>
      <c r="C2057" s="1" t="s">
        <v>757</v>
      </c>
      <c r="D2057" s="52">
        <v>46067.601388888892</v>
      </c>
      <c r="E2057" s="52">
        <v>46067.601388888892</v>
      </c>
      <c r="F2057" s="52">
        <v>46067.602777777778</v>
      </c>
      <c r="G2057" s="53">
        <v>7.8703703703703705E-4</v>
      </c>
      <c r="H2057" s="1" t="s">
        <v>257</v>
      </c>
      <c r="J2057" s="1" t="s">
        <v>371</v>
      </c>
      <c r="K2057" s="1" t="s">
        <v>653</v>
      </c>
      <c r="L2057" s="1" t="s">
        <v>906</v>
      </c>
    </row>
    <row r="2058" spans="2:12">
      <c r="B2058" s="1" t="s">
        <v>619</v>
      </c>
      <c r="C2058" s="1" t="s">
        <v>757</v>
      </c>
      <c r="D2058" s="52">
        <v>46067.599305555559</v>
      </c>
      <c r="E2058" s="52">
        <v>46067.599305555559</v>
      </c>
      <c r="F2058" s="52">
        <v>46067.6</v>
      </c>
      <c r="G2058" s="53">
        <v>7.6388888888888893E-4</v>
      </c>
      <c r="H2058" s="1" t="s">
        <v>257</v>
      </c>
      <c r="J2058" s="1" t="s">
        <v>371</v>
      </c>
      <c r="K2058" s="1" t="s">
        <v>653</v>
      </c>
      <c r="L2058" s="1" t="s">
        <v>906</v>
      </c>
    </row>
    <row r="2059" spans="2:12">
      <c r="B2059" s="1" t="s">
        <v>619</v>
      </c>
      <c r="C2059" s="1" t="s">
        <v>757</v>
      </c>
      <c r="D2059" s="52">
        <v>46067.59652777778</v>
      </c>
      <c r="E2059" s="52">
        <v>46067.59652777778</v>
      </c>
      <c r="F2059" s="52">
        <v>46067.597222222219</v>
      </c>
      <c r="G2059" s="53">
        <v>7.8703703703703705E-4</v>
      </c>
      <c r="H2059" s="1" t="s">
        <v>257</v>
      </c>
      <c r="J2059" s="1" t="s">
        <v>371</v>
      </c>
      <c r="K2059" s="1" t="s">
        <v>653</v>
      </c>
      <c r="L2059" s="1" t="s">
        <v>906</v>
      </c>
    </row>
    <row r="2060" spans="2:12">
      <c r="B2060" s="1" t="s">
        <v>619</v>
      </c>
      <c r="C2060" s="1" t="s">
        <v>757</v>
      </c>
      <c r="D2060" s="52">
        <v>46067.593055555553</v>
      </c>
      <c r="E2060" s="52">
        <v>46067.593055555553</v>
      </c>
      <c r="F2060" s="52">
        <v>46067.59375</v>
      </c>
      <c r="G2060" s="53">
        <v>7.7546296296296293E-4</v>
      </c>
      <c r="H2060" s="1" t="s">
        <v>257</v>
      </c>
      <c r="J2060" s="1" t="s">
        <v>371</v>
      </c>
      <c r="K2060" s="1" t="s">
        <v>653</v>
      </c>
      <c r="L2060" s="1" t="s">
        <v>906</v>
      </c>
    </row>
    <row r="2061" spans="2:12">
      <c r="B2061" s="1" t="s">
        <v>619</v>
      </c>
      <c r="C2061" s="1" t="s">
        <v>757</v>
      </c>
      <c r="D2061" s="52">
        <v>46067.589583333334</v>
      </c>
      <c r="E2061" s="52">
        <v>46067.589583333334</v>
      </c>
      <c r="F2061" s="52">
        <v>46067.590277777781</v>
      </c>
      <c r="G2061" s="53">
        <v>7.7546296296296293E-4</v>
      </c>
      <c r="H2061" s="1" t="s">
        <v>257</v>
      </c>
      <c r="J2061" s="1" t="s">
        <v>371</v>
      </c>
      <c r="K2061" s="1" t="s">
        <v>653</v>
      </c>
      <c r="L2061" s="1" t="s">
        <v>906</v>
      </c>
    </row>
    <row r="2062" spans="2:12">
      <c r="B2062" s="1" t="s">
        <v>619</v>
      </c>
      <c r="C2062" s="1" t="s">
        <v>757</v>
      </c>
      <c r="D2062" s="52">
        <v>46067.586111111108</v>
      </c>
      <c r="E2062" s="52">
        <v>46067.586111111108</v>
      </c>
      <c r="F2062" s="52">
        <v>46067.586805555555</v>
      </c>
      <c r="G2062" s="53">
        <v>8.1018518518518516E-4</v>
      </c>
      <c r="H2062" s="1" t="s">
        <v>257</v>
      </c>
      <c r="J2062" s="1" t="s">
        <v>371</v>
      </c>
      <c r="K2062" s="1" t="s">
        <v>653</v>
      </c>
      <c r="L2062" s="1" t="s">
        <v>906</v>
      </c>
    </row>
    <row r="2063" spans="2:12">
      <c r="B2063" s="1" t="s">
        <v>619</v>
      </c>
      <c r="C2063" s="1" t="s">
        <v>757</v>
      </c>
      <c r="D2063" s="52">
        <v>46067.583333333336</v>
      </c>
      <c r="E2063" s="52">
        <v>46067.583333333336</v>
      </c>
      <c r="F2063" s="52">
        <v>46067.584027777775</v>
      </c>
      <c r="G2063" s="53">
        <v>7.6388888888888893E-4</v>
      </c>
      <c r="H2063" s="1" t="s">
        <v>257</v>
      </c>
      <c r="J2063" s="1" t="s">
        <v>371</v>
      </c>
      <c r="K2063" s="1" t="s">
        <v>653</v>
      </c>
      <c r="L2063" s="1" t="s">
        <v>906</v>
      </c>
    </row>
    <row r="2064" spans="2:12">
      <c r="B2064" s="1" t="s">
        <v>619</v>
      </c>
      <c r="C2064" s="1" t="s">
        <v>757</v>
      </c>
      <c r="D2064" s="52">
        <v>46067.580555555556</v>
      </c>
      <c r="E2064" s="52">
        <v>46067.580555555556</v>
      </c>
      <c r="F2064" s="52">
        <v>46067.581250000003</v>
      </c>
      <c r="G2064" s="53">
        <v>7.8703703703703705E-4</v>
      </c>
      <c r="H2064" s="1" t="s">
        <v>257</v>
      </c>
      <c r="J2064" s="1" t="s">
        <v>371</v>
      </c>
      <c r="K2064" s="1" t="s">
        <v>653</v>
      </c>
      <c r="L2064" s="1" t="s">
        <v>906</v>
      </c>
    </row>
    <row r="2065" spans="2:12">
      <c r="B2065" s="1" t="s">
        <v>619</v>
      </c>
      <c r="C2065" s="1" t="s">
        <v>757</v>
      </c>
      <c r="D2065" s="52">
        <v>46067.57708333333</v>
      </c>
      <c r="E2065" s="52">
        <v>46067.57708333333</v>
      </c>
      <c r="F2065" s="52">
        <v>46067.577777777777</v>
      </c>
      <c r="G2065" s="53">
        <v>7.6388888888888893E-4</v>
      </c>
      <c r="H2065" s="1" t="s">
        <v>257</v>
      </c>
      <c r="J2065" s="1" t="s">
        <v>371</v>
      </c>
      <c r="K2065" s="1" t="s">
        <v>653</v>
      </c>
      <c r="L2065" s="1" t="s">
        <v>906</v>
      </c>
    </row>
    <row r="2066" spans="2:12">
      <c r="B2066" s="1" t="s">
        <v>619</v>
      </c>
      <c r="C2066" s="1" t="s">
        <v>757</v>
      </c>
      <c r="D2066" s="52">
        <v>46067.574305555558</v>
      </c>
      <c r="E2066" s="52">
        <v>46067.574305555558</v>
      </c>
      <c r="F2066" s="52">
        <v>46067.574999999997</v>
      </c>
      <c r="G2066" s="53">
        <v>7.8703703703703705E-4</v>
      </c>
      <c r="H2066" s="1" t="s">
        <v>257</v>
      </c>
      <c r="J2066" s="1" t="s">
        <v>371</v>
      </c>
      <c r="K2066" s="1" t="s">
        <v>653</v>
      </c>
      <c r="L2066" s="1" t="s">
        <v>906</v>
      </c>
    </row>
    <row r="2067" spans="2:12">
      <c r="B2067" s="1" t="s">
        <v>619</v>
      </c>
      <c r="C2067" s="1" t="s">
        <v>757</v>
      </c>
      <c r="D2067" s="52">
        <v>46067.570833333331</v>
      </c>
      <c r="E2067" s="52">
        <v>46067.570833333331</v>
      </c>
      <c r="F2067" s="52">
        <v>46067.571527777778</v>
      </c>
      <c r="G2067" s="53">
        <v>7.7546296296296293E-4</v>
      </c>
      <c r="H2067" s="1" t="s">
        <v>257</v>
      </c>
      <c r="J2067" s="1" t="s">
        <v>371</v>
      </c>
      <c r="K2067" s="1" t="s">
        <v>653</v>
      </c>
      <c r="L2067" s="1" t="s">
        <v>906</v>
      </c>
    </row>
    <row r="2068" spans="2:12">
      <c r="B2068" s="1" t="s">
        <v>619</v>
      </c>
      <c r="C2068" s="1" t="s">
        <v>757</v>
      </c>
      <c r="D2068" s="52">
        <v>46067.567361111112</v>
      </c>
      <c r="E2068" s="52">
        <v>46067.567361111112</v>
      </c>
      <c r="F2068" s="52">
        <v>46067.568055555559</v>
      </c>
      <c r="G2068" s="53">
        <v>7.7546296296296293E-4</v>
      </c>
      <c r="H2068" s="1" t="s">
        <v>257</v>
      </c>
      <c r="J2068" s="1" t="s">
        <v>371</v>
      </c>
      <c r="K2068" s="1" t="s">
        <v>653</v>
      </c>
      <c r="L2068" s="1" t="s">
        <v>906</v>
      </c>
    </row>
    <row r="2069" spans="2:12">
      <c r="B2069" s="1" t="s">
        <v>619</v>
      </c>
      <c r="C2069" s="1" t="s">
        <v>757</v>
      </c>
      <c r="D2069" s="52">
        <v>46067.5625</v>
      </c>
      <c r="E2069" s="52">
        <v>46067.5625</v>
      </c>
      <c r="F2069" s="52">
        <v>46067.563194444447</v>
      </c>
      <c r="G2069" s="53">
        <v>7.7546296296296293E-4</v>
      </c>
      <c r="H2069" s="1" t="s">
        <v>257</v>
      </c>
      <c r="J2069" s="1" t="s">
        <v>371</v>
      </c>
      <c r="K2069" s="1" t="s">
        <v>653</v>
      </c>
      <c r="L2069" s="1" t="s">
        <v>906</v>
      </c>
    </row>
    <row r="2070" spans="2:12">
      <c r="B2070" s="1" t="s">
        <v>619</v>
      </c>
      <c r="C2070" s="1" t="s">
        <v>757</v>
      </c>
      <c r="D2070" s="52">
        <v>46067.555555555555</v>
      </c>
      <c r="E2070" s="52">
        <v>46067.555555555555</v>
      </c>
      <c r="F2070" s="52">
        <v>46067.556944444441</v>
      </c>
      <c r="G2070" s="53">
        <v>7.8703703703703705E-4</v>
      </c>
      <c r="H2070" s="1" t="s">
        <v>257</v>
      </c>
      <c r="J2070" s="1" t="s">
        <v>371</v>
      </c>
      <c r="K2070" s="1" t="s">
        <v>653</v>
      </c>
      <c r="L2070" s="1" t="s">
        <v>906</v>
      </c>
    </row>
    <row r="2071" spans="2:12">
      <c r="B2071" s="1" t="s">
        <v>619</v>
      </c>
      <c r="C2071" s="1" t="s">
        <v>757</v>
      </c>
      <c r="D2071" s="52">
        <v>46067.551388888889</v>
      </c>
      <c r="E2071" s="52">
        <v>46067.551388888889</v>
      </c>
      <c r="F2071" s="52">
        <v>46067.552083333336</v>
      </c>
      <c r="G2071" s="53">
        <v>7.9861111111111116E-4</v>
      </c>
      <c r="H2071" s="1" t="s">
        <v>257</v>
      </c>
      <c r="J2071" s="1" t="s">
        <v>371</v>
      </c>
      <c r="K2071" s="1" t="s">
        <v>653</v>
      </c>
      <c r="L2071" s="1" t="s">
        <v>906</v>
      </c>
    </row>
    <row r="2072" spans="2:12">
      <c r="B2072" s="1" t="s">
        <v>619</v>
      </c>
      <c r="C2072" s="1" t="s">
        <v>757</v>
      </c>
      <c r="D2072" s="52">
        <v>46067.54791666667</v>
      </c>
      <c r="E2072" s="52">
        <v>46067.54791666667</v>
      </c>
      <c r="F2072" s="52">
        <v>46067.548611111109</v>
      </c>
      <c r="G2072" s="53">
        <v>7.6388888888888893E-4</v>
      </c>
      <c r="H2072" s="1" t="s">
        <v>257</v>
      </c>
      <c r="J2072" s="1" t="s">
        <v>371</v>
      </c>
      <c r="K2072" s="1" t="s">
        <v>653</v>
      </c>
      <c r="L2072" s="1" t="s">
        <v>906</v>
      </c>
    </row>
    <row r="2073" spans="2:12">
      <c r="B2073" s="1" t="s">
        <v>619</v>
      </c>
      <c r="C2073" s="1" t="s">
        <v>757</v>
      </c>
      <c r="D2073" s="52">
        <v>46067.543749999997</v>
      </c>
      <c r="E2073" s="52">
        <v>46067.543749999997</v>
      </c>
      <c r="F2073" s="52">
        <v>46067.545138888891</v>
      </c>
      <c r="G2073" s="53">
        <v>7.7546296296296293E-4</v>
      </c>
      <c r="H2073" s="1" t="s">
        <v>257</v>
      </c>
      <c r="J2073" s="1" t="s">
        <v>371</v>
      </c>
      <c r="K2073" s="1" t="s">
        <v>653</v>
      </c>
      <c r="L2073" s="1" t="s">
        <v>906</v>
      </c>
    </row>
    <row r="2074" spans="2:12">
      <c r="B2074" s="1" t="s">
        <v>619</v>
      </c>
      <c r="C2074" s="1" t="s">
        <v>757</v>
      </c>
      <c r="D2074" s="52">
        <v>46067.504166666666</v>
      </c>
      <c r="E2074" s="52">
        <v>46067.504166666666</v>
      </c>
      <c r="F2074" s="52">
        <v>46067.504861111112</v>
      </c>
      <c r="G2074" s="53">
        <v>7.7546296296296293E-4</v>
      </c>
      <c r="H2074" s="1" t="s">
        <v>257</v>
      </c>
      <c r="J2074" s="1" t="s">
        <v>371</v>
      </c>
      <c r="K2074" s="1" t="s">
        <v>653</v>
      </c>
      <c r="L2074" s="1" t="s">
        <v>906</v>
      </c>
    </row>
    <row r="2075" spans="2:12">
      <c r="B2075" s="1" t="s">
        <v>619</v>
      </c>
      <c r="C2075" s="1" t="s">
        <v>757</v>
      </c>
      <c r="D2075" s="52">
        <v>46067.499305555553</v>
      </c>
      <c r="E2075" s="52">
        <v>46067.499305555553</v>
      </c>
      <c r="F2075" s="52">
        <v>46067.5</v>
      </c>
      <c r="G2075" s="53">
        <v>7.7546296296296293E-4</v>
      </c>
      <c r="H2075" s="1" t="s">
        <v>257</v>
      </c>
      <c r="J2075" s="1" t="s">
        <v>371</v>
      </c>
      <c r="K2075" s="1" t="s">
        <v>653</v>
      </c>
      <c r="L2075" s="1" t="s">
        <v>906</v>
      </c>
    </row>
    <row r="2076" spans="2:12">
      <c r="B2076" s="1" t="s">
        <v>619</v>
      </c>
      <c r="C2076" s="1" t="s">
        <v>757</v>
      </c>
      <c r="D2076" s="52">
        <v>46067.486111111109</v>
      </c>
      <c r="E2076" s="52">
        <v>46067.486111111109</v>
      </c>
      <c r="F2076" s="52">
        <v>46067.486805555556</v>
      </c>
      <c r="G2076" s="53">
        <v>7.7546296296296293E-4</v>
      </c>
      <c r="H2076" s="1" t="s">
        <v>257</v>
      </c>
      <c r="J2076" s="1" t="s">
        <v>371</v>
      </c>
      <c r="K2076" s="1" t="s">
        <v>653</v>
      </c>
      <c r="L2076" s="1" t="s">
        <v>906</v>
      </c>
    </row>
    <row r="2077" spans="2:12">
      <c r="B2077" s="1" t="s">
        <v>619</v>
      </c>
      <c r="C2077" s="1" t="s">
        <v>757</v>
      </c>
      <c r="D2077" s="52">
        <v>46067.481944444444</v>
      </c>
      <c r="E2077" s="52">
        <v>46067.481944444444</v>
      </c>
      <c r="F2077" s="52">
        <v>46067.482638888891</v>
      </c>
      <c r="G2077" s="53">
        <v>7.6388888888888893E-4</v>
      </c>
      <c r="H2077" s="1" t="s">
        <v>257</v>
      </c>
      <c r="J2077" s="1" t="s">
        <v>371</v>
      </c>
      <c r="K2077" s="1" t="s">
        <v>653</v>
      </c>
      <c r="L2077" s="1" t="s">
        <v>906</v>
      </c>
    </row>
    <row r="2078" spans="2:12">
      <c r="B2078" s="1" t="s">
        <v>619</v>
      </c>
      <c r="C2078" s="1" t="s">
        <v>757</v>
      </c>
      <c r="D2078" s="52">
        <v>46067.476388888892</v>
      </c>
      <c r="E2078" s="52">
        <v>46067.476388888892</v>
      </c>
      <c r="F2078" s="52">
        <v>46067.477083333331</v>
      </c>
      <c r="G2078" s="53">
        <v>7.7546296296296293E-4</v>
      </c>
      <c r="H2078" s="1" t="s">
        <v>257</v>
      </c>
      <c r="J2078" s="1" t="s">
        <v>371</v>
      </c>
      <c r="K2078" s="1" t="s">
        <v>653</v>
      </c>
      <c r="L2078" s="1" t="s">
        <v>906</v>
      </c>
    </row>
    <row r="2079" spans="2:12">
      <c r="B2079" s="1" t="s">
        <v>619</v>
      </c>
      <c r="C2079" s="1" t="s">
        <v>757</v>
      </c>
      <c r="D2079" s="52">
        <v>46067.47152777778</v>
      </c>
      <c r="E2079" s="52">
        <v>46067.47152777778</v>
      </c>
      <c r="F2079" s="52">
        <v>46067.472222222219</v>
      </c>
      <c r="G2079" s="53">
        <v>7.8703703703703705E-4</v>
      </c>
      <c r="H2079" s="1" t="s">
        <v>257</v>
      </c>
      <c r="J2079" s="1" t="s">
        <v>371</v>
      </c>
      <c r="K2079" s="1" t="s">
        <v>653</v>
      </c>
      <c r="L2079" s="1" t="s">
        <v>906</v>
      </c>
    </row>
    <row r="2080" spans="2:12">
      <c r="B2080" s="1" t="s">
        <v>619</v>
      </c>
      <c r="C2080" s="1" t="s">
        <v>757</v>
      </c>
      <c r="D2080" s="52">
        <v>46067.467361111114</v>
      </c>
      <c r="E2080" s="52">
        <v>46067.467361111114</v>
      </c>
      <c r="F2080" s="52">
        <v>46067.468055555553</v>
      </c>
      <c r="G2080" s="53">
        <v>8.6805555555555551E-4</v>
      </c>
      <c r="H2080" s="1" t="s">
        <v>257</v>
      </c>
      <c r="J2080" s="1" t="s">
        <v>371</v>
      </c>
      <c r="K2080" s="1" t="s">
        <v>653</v>
      </c>
      <c r="L2080" s="1" t="s">
        <v>906</v>
      </c>
    </row>
    <row r="2081" spans="2:12">
      <c r="B2081" s="1" t="s">
        <v>619</v>
      </c>
      <c r="C2081" s="1" t="s">
        <v>757</v>
      </c>
      <c r="D2081" s="52">
        <v>46067.463194444441</v>
      </c>
      <c r="E2081" s="52">
        <v>46067.463194444441</v>
      </c>
      <c r="F2081" s="52">
        <v>46067.463888888888</v>
      </c>
      <c r="G2081" s="53">
        <v>7.7546296296296293E-4</v>
      </c>
      <c r="H2081" s="1" t="s">
        <v>257</v>
      </c>
      <c r="J2081" s="1" t="s">
        <v>371</v>
      </c>
      <c r="K2081" s="1" t="s">
        <v>653</v>
      </c>
      <c r="L2081" s="1" t="s">
        <v>906</v>
      </c>
    </row>
    <row r="2082" spans="2:12">
      <c r="B2082" s="1" t="s">
        <v>619</v>
      </c>
      <c r="C2082" s="1" t="s">
        <v>757</v>
      </c>
      <c r="D2082" s="52">
        <v>46067.455555555556</v>
      </c>
      <c r="E2082" s="52">
        <v>46067.455555555556</v>
      </c>
      <c r="F2082" s="52">
        <v>46067.456944444442</v>
      </c>
      <c r="G2082" s="53">
        <v>7.6388888888888893E-4</v>
      </c>
      <c r="H2082" s="1" t="s">
        <v>257</v>
      </c>
      <c r="J2082" s="1" t="s">
        <v>371</v>
      </c>
      <c r="K2082" s="1" t="s">
        <v>653</v>
      </c>
      <c r="L2082" s="1" t="s">
        <v>906</v>
      </c>
    </row>
    <row r="2083" spans="2:12">
      <c r="B2083" s="1" t="s">
        <v>619</v>
      </c>
      <c r="C2083" s="1" t="s">
        <v>757</v>
      </c>
      <c r="D2083" s="52">
        <v>46067.45</v>
      </c>
      <c r="E2083" s="52">
        <v>46067.45</v>
      </c>
      <c r="F2083" s="52">
        <v>46067.450694444444</v>
      </c>
      <c r="G2083" s="53">
        <v>7.7546296296296293E-4</v>
      </c>
      <c r="H2083" s="1" t="s">
        <v>257</v>
      </c>
      <c r="J2083" s="1" t="s">
        <v>371</v>
      </c>
      <c r="K2083" s="1" t="s">
        <v>653</v>
      </c>
      <c r="L2083" s="1" t="s">
        <v>906</v>
      </c>
    </row>
    <row r="2084" spans="2:12">
      <c r="B2084" s="1" t="s">
        <v>619</v>
      </c>
      <c r="C2084" s="1" t="s">
        <v>757</v>
      </c>
      <c r="D2084" s="52">
        <v>46067.445833333331</v>
      </c>
      <c r="E2084" s="52">
        <v>46067.445833333331</v>
      </c>
      <c r="F2084" s="52">
        <v>46067.446527777778</v>
      </c>
      <c r="G2084" s="53">
        <v>7.6388888888888893E-4</v>
      </c>
      <c r="H2084" s="1" t="s">
        <v>257</v>
      </c>
      <c r="J2084" s="1" t="s">
        <v>371</v>
      </c>
      <c r="K2084" s="1" t="s">
        <v>653</v>
      </c>
      <c r="L2084" s="1" t="s">
        <v>906</v>
      </c>
    </row>
    <row r="2085" spans="2:12">
      <c r="B2085" s="1" t="s">
        <v>619</v>
      </c>
      <c r="C2085" s="1" t="s">
        <v>757</v>
      </c>
      <c r="D2085" s="52">
        <v>46067.440972222219</v>
      </c>
      <c r="E2085" s="52">
        <v>46067.440972222219</v>
      </c>
      <c r="F2085" s="52">
        <v>46067.441666666666</v>
      </c>
      <c r="G2085" s="53">
        <v>7.6388888888888893E-4</v>
      </c>
      <c r="H2085" s="1" t="s">
        <v>257</v>
      </c>
      <c r="J2085" s="1" t="s">
        <v>371</v>
      </c>
      <c r="K2085" s="1" t="s">
        <v>653</v>
      </c>
      <c r="L2085" s="1" t="s">
        <v>906</v>
      </c>
    </row>
    <row r="2086" spans="2:12">
      <c r="B2086" s="1" t="s">
        <v>619</v>
      </c>
      <c r="C2086" s="1" t="s">
        <v>757</v>
      </c>
      <c r="D2086" s="52">
        <v>46067.435416666667</v>
      </c>
      <c r="E2086" s="52">
        <v>46067.435416666667</v>
      </c>
      <c r="F2086" s="52">
        <v>46067.436111111114</v>
      </c>
      <c r="G2086" s="53">
        <v>7.8703703703703705E-4</v>
      </c>
      <c r="H2086" s="1" t="s">
        <v>257</v>
      </c>
      <c r="J2086" s="1" t="s">
        <v>371</v>
      </c>
      <c r="K2086" s="1" t="s">
        <v>653</v>
      </c>
      <c r="L2086" s="1" t="s">
        <v>906</v>
      </c>
    </row>
    <row r="2087" spans="2:12">
      <c r="B2087" s="1" t="s">
        <v>619</v>
      </c>
      <c r="C2087" s="1" t="s">
        <v>757</v>
      </c>
      <c r="D2087" s="52">
        <v>46067.427083333336</v>
      </c>
      <c r="E2087" s="52">
        <v>46067.427083333336</v>
      </c>
      <c r="F2087" s="52">
        <v>46067.427777777775</v>
      </c>
      <c r="G2087" s="53">
        <v>7.7546296296296293E-4</v>
      </c>
      <c r="H2087" s="1" t="s">
        <v>257</v>
      </c>
      <c r="J2087" s="1" t="s">
        <v>371</v>
      </c>
      <c r="K2087" s="1" t="s">
        <v>653</v>
      </c>
      <c r="L2087" s="1" t="s">
        <v>906</v>
      </c>
    </row>
    <row r="2088" spans="2:12">
      <c r="B2088" s="1" t="s">
        <v>619</v>
      </c>
      <c r="C2088" s="1" t="s">
        <v>757</v>
      </c>
      <c r="D2088" s="52">
        <v>46067.421527777777</v>
      </c>
      <c r="E2088" s="52">
        <v>46067.421527777777</v>
      </c>
      <c r="F2088" s="52">
        <v>46067.422222222223</v>
      </c>
      <c r="G2088" s="53">
        <v>7.6388888888888893E-4</v>
      </c>
      <c r="H2088" s="1" t="s">
        <v>257</v>
      </c>
      <c r="J2088" s="1" t="s">
        <v>371</v>
      </c>
      <c r="K2088" s="1" t="s">
        <v>653</v>
      </c>
      <c r="L2088" s="1" t="s">
        <v>906</v>
      </c>
    </row>
    <row r="2089" spans="2:12">
      <c r="B2089" s="1" t="s">
        <v>619</v>
      </c>
      <c r="C2089" s="1" t="s">
        <v>757</v>
      </c>
      <c r="D2089" s="52">
        <v>46067.414583333331</v>
      </c>
      <c r="E2089" s="52">
        <v>46067.414583333331</v>
      </c>
      <c r="F2089" s="52">
        <v>46067.415277777778</v>
      </c>
      <c r="G2089" s="53">
        <v>7.6388888888888893E-4</v>
      </c>
      <c r="H2089" s="1" t="s">
        <v>257</v>
      </c>
      <c r="J2089" s="1" t="s">
        <v>371</v>
      </c>
      <c r="K2089" s="1" t="s">
        <v>653</v>
      </c>
      <c r="L2089" s="1" t="s">
        <v>906</v>
      </c>
    </row>
    <row r="2090" spans="2:12">
      <c r="B2090" s="1" t="s">
        <v>619</v>
      </c>
      <c r="C2090" s="1" t="s">
        <v>757</v>
      </c>
      <c r="D2090" s="52">
        <v>46067.408333333333</v>
      </c>
      <c r="E2090" s="52">
        <v>46067.408333333333</v>
      </c>
      <c r="F2090" s="52">
        <v>46067.40902777778</v>
      </c>
      <c r="G2090" s="53">
        <v>7.407407407407407E-4</v>
      </c>
      <c r="H2090" s="1" t="s">
        <v>257</v>
      </c>
      <c r="J2090" s="1" t="s">
        <v>371</v>
      </c>
      <c r="K2090" s="1" t="s">
        <v>653</v>
      </c>
      <c r="L2090" s="1" t="s">
        <v>906</v>
      </c>
    </row>
    <row r="2091" spans="2:12">
      <c r="B2091" s="1" t="s">
        <v>619</v>
      </c>
      <c r="C2091" s="1" t="s">
        <v>757</v>
      </c>
      <c r="D2091" s="52">
        <v>46067.402083333334</v>
      </c>
      <c r="E2091" s="52">
        <v>46067.402083333334</v>
      </c>
      <c r="F2091" s="52">
        <v>46067.402777777781</v>
      </c>
      <c r="G2091" s="53">
        <v>7.5231481481481482E-4</v>
      </c>
      <c r="H2091" s="1" t="s">
        <v>257</v>
      </c>
      <c r="J2091" s="1" t="s">
        <v>371</v>
      </c>
      <c r="K2091" s="1" t="s">
        <v>653</v>
      </c>
      <c r="L2091" s="1" t="s">
        <v>906</v>
      </c>
    </row>
    <row r="2092" spans="2:12">
      <c r="B2092" s="1" t="s">
        <v>619</v>
      </c>
      <c r="C2092" s="1" t="s">
        <v>757</v>
      </c>
      <c r="D2092" s="52">
        <v>46067.393055555556</v>
      </c>
      <c r="E2092" s="52">
        <v>46067.393055555556</v>
      </c>
      <c r="F2092" s="52">
        <v>46067.393750000003</v>
      </c>
      <c r="G2092" s="53">
        <v>7.407407407407407E-4</v>
      </c>
      <c r="H2092" s="1" t="s">
        <v>257</v>
      </c>
      <c r="J2092" s="1" t="s">
        <v>371</v>
      </c>
      <c r="K2092" s="1" t="s">
        <v>653</v>
      </c>
      <c r="L2092" s="1" t="s">
        <v>906</v>
      </c>
    </row>
    <row r="2093" spans="2:12">
      <c r="B2093" s="1" t="s">
        <v>619</v>
      </c>
      <c r="C2093" s="1" t="s">
        <v>757</v>
      </c>
      <c r="D2093" s="52">
        <v>46067.386111111111</v>
      </c>
      <c r="E2093" s="52">
        <v>46067.386111111111</v>
      </c>
      <c r="F2093" s="52">
        <v>46067.386805555558</v>
      </c>
      <c r="G2093" s="53">
        <v>7.5231481481481482E-4</v>
      </c>
      <c r="H2093" s="1" t="s">
        <v>257</v>
      </c>
      <c r="J2093" s="1" t="s">
        <v>371</v>
      </c>
      <c r="K2093" s="1" t="s">
        <v>653</v>
      </c>
      <c r="L2093" s="1" t="s">
        <v>906</v>
      </c>
    </row>
    <row r="2094" spans="2:12">
      <c r="B2094" s="1" t="s">
        <v>619</v>
      </c>
      <c r="C2094" s="1" t="s">
        <v>757</v>
      </c>
      <c r="D2094" s="52">
        <v>46067.379861111112</v>
      </c>
      <c r="E2094" s="52">
        <v>46067.379861111112</v>
      </c>
      <c r="F2094" s="52">
        <v>46067.380555555559</v>
      </c>
      <c r="G2094" s="53">
        <v>7.6388888888888893E-4</v>
      </c>
      <c r="H2094" s="1" t="s">
        <v>257</v>
      </c>
      <c r="J2094" s="1" t="s">
        <v>371</v>
      </c>
      <c r="K2094" s="1" t="s">
        <v>653</v>
      </c>
      <c r="L2094" s="1" t="s">
        <v>906</v>
      </c>
    </row>
    <row r="2095" spans="2:12">
      <c r="B2095" s="1" t="s">
        <v>619</v>
      </c>
      <c r="C2095" s="1" t="s">
        <v>757</v>
      </c>
      <c r="D2095" s="52">
        <v>46067.372916666667</v>
      </c>
      <c r="E2095" s="52">
        <v>46067.372916666667</v>
      </c>
      <c r="F2095" s="52">
        <v>46067.373611111114</v>
      </c>
      <c r="G2095" s="53">
        <v>7.7546296296296293E-4</v>
      </c>
      <c r="H2095" s="1" t="s">
        <v>257</v>
      </c>
      <c r="J2095" s="1" t="s">
        <v>371</v>
      </c>
      <c r="K2095" s="1" t="s">
        <v>653</v>
      </c>
      <c r="L2095" s="1" t="s">
        <v>906</v>
      </c>
    </row>
    <row r="2096" spans="2:12">
      <c r="B2096" s="1" t="s">
        <v>619</v>
      </c>
      <c r="C2096" s="1" t="s">
        <v>757</v>
      </c>
      <c r="D2096" s="52">
        <v>46066.707638888889</v>
      </c>
      <c r="E2096" s="52">
        <v>46066.707638888889</v>
      </c>
      <c r="F2096" s="52">
        <v>46066.708333333336</v>
      </c>
      <c r="G2096" s="53">
        <v>7.6388888888888893E-4</v>
      </c>
      <c r="H2096" s="1" t="s">
        <v>257</v>
      </c>
      <c r="J2096" s="1" t="s">
        <v>371</v>
      </c>
      <c r="K2096" s="1" t="s">
        <v>653</v>
      </c>
      <c r="L2096" s="1" t="s">
        <v>906</v>
      </c>
    </row>
    <row r="2097" spans="2:12">
      <c r="B2097" s="1" t="s">
        <v>619</v>
      </c>
      <c r="C2097" s="1" t="s">
        <v>757</v>
      </c>
      <c r="D2097" s="52">
        <v>46066.7</v>
      </c>
      <c r="E2097" s="52">
        <v>46066.7</v>
      </c>
      <c r="F2097" s="52">
        <v>46066.700694444444</v>
      </c>
      <c r="G2097" s="53">
        <v>7.6388888888888893E-4</v>
      </c>
      <c r="H2097" s="1" t="s">
        <v>257</v>
      </c>
      <c r="J2097" s="1" t="s">
        <v>371</v>
      </c>
      <c r="K2097" s="1" t="s">
        <v>653</v>
      </c>
      <c r="L2097" s="1" t="s">
        <v>906</v>
      </c>
    </row>
    <row r="2098" spans="2:12">
      <c r="B2098" s="1" t="s">
        <v>619</v>
      </c>
      <c r="C2098" s="1" t="s">
        <v>757</v>
      </c>
      <c r="D2098" s="52">
        <v>46066.693749999999</v>
      </c>
      <c r="E2098" s="52">
        <v>46066.693749999999</v>
      </c>
      <c r="F2098" s="52">
        <v>46066.694444444445</v>
      </c>
      <c r="G2098" s="53">
        <v>7.8703703703703705E-4</v>
      </c>
      <c r="H2098" s="1" t="s">
        <v>257</v>
      </c>
      <c r="J2098" s="1" t="s">
        <v>371</v>
      </c>
      <c r="K2098" s="1" t="s">
        <v>653</v>
      </c>
      <c r="L2098" s="1" t="s">
        <v>906</v>
      </c>
    </row>
    <row r="2099" spans="2:12">
      <c r="B2099" s="1" t="s">
        <v>619</v>
      </c>
      <c r="C2099" s="1" t="s">
        <v>757</v>
      </c>
      <c r="D2099" s="52">
        <v>46066.688194444447</v>
      </c>
      <c r="E2099" s="52">
        <v>46066.688194444447</v>
      </c>
      <c r="F2099" s="52">
        <v>46066.688888888886</v>
      </c>
      <c r="G2099" s="53">
        <v>7.8703703703703705E-4</v>
      </c>
      <c r="H2099" s="1" t="s">
        <v>257</v>
      </c>
      <c r="J2099" s="1" t="s">
        <v>371</v>
      </c>
      <c r="K2099" s="1" t="s">
        <v>653</v>
      </c>
      <c r="L2099" s="1" t="s">
        <v>906</v>
      </c>
    </row>
    <row r="2100" spans="2:12">
      <c r="B2100" s="1" t="s">
        <v>619</v>
      </c>
      <c r="C2100" s="1" t="s">
        <v>757</v>
      </c>
      <c r="D2100" s="52">
        <v>46066.681944444441</v>
      </c>
      <c r="E2100" s="52">
        <v>46066.681944444441</v>
      </c>
      <c r="F2100" s="52">
        <v>46066.682638888888</v>
      </c>
      <c r="G2100" s="53">
        <v>7.6388888888888893E-4</v>
      </c>
      <c r="H2100" s="1" t="s">
        <v>257</v>
      </c>
      <c r="J2100" s="1" t="s">
        <v>371</v>
      </c>
      <c r="K2100" s="1" t="s">
        <v>653</v>
      </c>
      <c r="L2100" s="1" t="s">
        <v>906</v>
      </c>
    </row>
    <row r="2101" spans="2:12">
      <c r="B2101" s="1" t="s">
        <v>619</v>
      </c>
      <c r="C2101" s="1" t="s">
        <v>757</v>
      </c>
      <c r="D2101" s="52">
        <v>46066.677777777775</v>
      </c>
      <c r="E2101" s="52">
        <v>46066.677777777775</v>
      </c>
      <c r="F2101" s="52">
        <v>46066.679166666669</v>
      </c>
      <c r="G2101" s="53">
        <v>7.8703703703703705E-4</v>
      </c>
      <c r="H2101" s="1" t="s">
        <v>257</v>
      </c>
      <c r="J2101" s="1" t="s">
        <v>371</v>
      </c>
      <c r="K2101" s="1" t="s">
        <v>653</v>
      </c>
      <c r="L2101" s="1" t="s">
        <v>906</v>
      </c>
    </row>
    <row r="2102" spans="2:12">
      <c r="B2102" s="1" t="s">
        <v>619</v>
      </c>
      <c r="C2102" s="1" t="s">
        <v>757</v>
      </c>
      <c r="D2102" s="52">
        <v>46066.674305555556</v>
      </c>
      <c r="E2102" s="52">
        <v>46066.674305555556</v>
      </c>
      <c r="F2102" s="52">
        <v>46066.675000000003</v>
      </c>
      <c r="G2102" s="53">
        <v>7.7546296296296293E-4</v>
      </c>
      <c r="H2102" s="1" t="s">
        <v>257</v>
      </c>
      <c r="J2102" s="1" t="s">
        <v>371</v>
      </c>
      <c r="K2102" s="1" t="s">
        <v>653</v>
      </c>
      <c r="L2102" s="1" t="s">
        <v>906</v>
      </c>
    </row>
    <row r="2103" spans="2:12">
      <c r="B2103" s="1" t="s">
        <v>619</v>
      </c>
      <c r="C2103" s="1" t="s">
        <v>757</v>
      </c>
      <c r="D2103" s="52">
        <v>46066.670138888891</v>
      </c>
      <c r="E2103" s="52">
        <v>46066.670138888891</v>
      </c>
      <c r="F2103" s="52">
        <v>46066.67083333333</v>
      </c>
      <c r="G2103" s="53">
        <v>7.6388888888888893E-4</v>
      </c>
      <c r="H2103" s="1" t="s">
        <v>257</v>
      </c>
      <c r="J2103" s="1" t="s">
        <v>371</v>
      </c>
      <c r="K2103" s="1" t="s">
        <v>653</v>
      </c>
      <c r="L2103" s="1" t="s">
        <v>906</v>
      </c>
    </row>
    <row r="2104" spans="2:12">
      <c r="B2104" s="1" t="s">
        <v>619</v>
      </c>
      <c r="C2104" s="1" t="s">
        <v>757</v>
      </c>
      <c r="D2104" s="52">
        <v>46066.665972222225</v>
      </c>
      <c r="E2104" s="52">
        <v>46066.665972222225</v>
      </c>
      <c r="F2104" s="52">
        <v>46066.666666666664</v>
      </c>
      <c r="G2104" s="53">
        <v>7.7546296296296293E-4</v>
      </c>
      <c r="H2104" s="1" t="s">
        <v>257</v>
      </c>
      <c r="J2104" s="1" t="s">
        <v>371</v>
      </c>
      <c r="K2104" s="1" t="s">
        <v>653</v>
      </c>
      <c r="L2104" s="1" t="s">
        <v>906</v>
      </c>
    </row>
    <row r="2105" spans="2:12">
      <c r="B2105" s="1" t="s">
        <v>619</v>
      </c>
      <c r="C2105" s="1" t="s">
        <v>757</v>
      </c>
      <c r="D2105" s="52">
        <v>46066.662499999999</v>
      </c>
      <c r="E2105" s="52">
        <v>46066.662499999999</v>
      </c>
      <c r="F2105" s="52">
        <v>46066.663194444445</v>
      </c>
      <c r="G2105" s="53">
        <v>7.6388888888888893E-4</v>
      </c>
      <c r="H2105" s="1" t="s">
        <v>257</v>
      </c>
      <c r="J2105" s="1" t="s">
        <v>371</v>
      </c>
      <c r="K2105" s="1" t="s">
        <v>653</v>
      </c>
      <c r="L2105" s="1" t="s">
        <v>906</v>
      </c>
    </row>
    <row r="2106" spans="2:12">
      <c r="B2106" s="1" t="s">
        <v>619</v>
      </c>
      <c r="C2106" s="1" t="s">
        <v>757</v>
      </c>
      <c r="D2106" s="52">
        <v>46066.658333333333</v>
      </c>
      <c r="E2106" s="52">
        <v>46066.658333333333</v>
      </c>
      <c r="F2106" s="52">
        <v>46066.659722222219</v>
      </c>
      <c r="G2106" s="53">
        <v>7.8703703703703705E-4</v>
      </c>
      <c r="H2106" s="1" t="s">
        <v>257</v>
      </c>
      <c r="J2106" s="1" t="s">
        <v>371</v>
      </c>
      <c r="K2106" s="1" t="s">
        <v>653</v>
      </c>
      <c r="L2106" s="1" t="s">
        <v>906</v>
      </c>
    </row>
    <row r="2107" spans="2:12">
      <c r="B2107" s="1" t="s">
        <v>619</v>
      </c>
      <c r="C2107" s="1" t="s">
        <v>757</v>
      </c>
      <c r="D2107" s="52">
        <v>46066.654861111114</v>
      </c>
      <c r="E2107" s="52">
        <v>46066.654861111114</v>
      </c>
      <c r="F2107" s="52">
        <v>46066.65625</v>
      </c>
      <c r="G2107" s="53">
        <v>7.7546296296296293E-4</v>
      </c>
      <c r="H2107" s="1" t="s">
        <v>257</v>
      </c>
      <c r="J2107" s="1" t="s">
        <v>371</v>
      </c>
      <c r="K2107" s="1" t="s">
        <v>653</v>
      </c>
      <c r="L2107" s="1" t="s">
        <v>906</v>
      </c>
    </row>
    <row r="2108" spans="2:12">
      <c r="B2108" s="1" t="s">
        <v>619</v>
      </c>
      <c r="C2108" s="1" t="s">
        <v>757</v>
      </c>
      <c r="D2108" s="52">
        <v>46066.652083333334</v>
      </c>
      <c r="E2108" s="52">
        <v>46066.652083333334</v>
      </c>
      <c r="F2108" s="52">
        <v>46066.652777777781</v>
      </c>
      <c r="G2108" s="53">
        <v>7.7546296296296293E-4</v>
      </c>
      <c r="H2108" s="1" t="s">
        <v>257</v>
      </c>
      <c r="J2108" s="1" t="s">
        <v>371</v>
      </c>
      <c r="K2108" s="1" t="s">
        <v>653</v>
      </c>
      <c r="L2108" s="1" t="s">
        <v>906</v>
      </c>
    </row>
    <row r="2109" spans="2:12">
      <c r="B2109" s="1" t="s">
        <v>619</v>
      </c>
      <c r="C2109" s="1" t="s">
        <v>757</v>
      </c>
      <c r="D2109" s="52">
        <v>46066.648611111108</v>
      </c>
      <c r="E2109" s="52">
        <v>46066.648611111108</v>
      </c>
      <c r="F2109" s="52">
        <v>46066.649305555555</v>
      </c>
      <c r="G2109" s="53">
        <v>7.8703703703703705E-4</v>
      </c>
      <c r="H2109" s="1" t="s">
        <v>257</v>
      </c>
      <c r="J2109" s="1" t="s">
        <v>371</v>
      </c>
      <c r="K2109" s="1" t="s">
        <v>653</v>
      </c>
      <c r="L2109" s="1" t="s">
        <v>906</v>
      </c>
    </row>
    <row r="2110" spans="2:12">
      <c r="B2110" s="1" t="s">
        <v>619</v>
      </c>
      <c r="C2110" s="1" t="s">
        <v>757</v>
      </c>
      <c r="D2110" s="52">
        <v>46066.645138888889</v>
      </c>
      <c r="E2110" s="52">
        <v>46066.645138888889</v>
      </c>
      <c r="F2110" s="52">
        <v>46066.645833333336</v>
      </c>
      <c r="G2110" s="53">
        <v>7.6388888888888893E-4</v>
      </c>
      <c r="H2110" s="1" t="s">
        <v>257</v>
      </c>
      <c r="J2110" s="1" t="s">
        <v>371</v>
      </c>
      <c r="K2110" s="1" t="s">
        <v>653</v>
      </c>
      <c r="L2110" s="1" t="s">
        <v>906</v>
      </c>
    </row>
    <row r="2111" spans="2:12">
      <c r="B2111" s="1" t="s">
        <v>619</v>
      </c>
      <c r="C2111" s="1" t="s">
        <v>757</v>
      </c>
      <c r="D2111" s="52">
        <v>46066.64166666667</v>
      </c>
      <c r="E2111" s="52">
        <v>46066.64166666667</v>
      </c>
      <c r="F2111" s="52">
        <v>46066.642361111109</v>
      </c>
      <c r="G2111" s="53">
        <v>7.6388888888888893E-4</v>
      </c>
      <c r="H2111" s="1" t="s">
        <v>257</v>
      </c>
      <c r="J2111" s="1" t="s">
        <v>371</v>
      </c>
      <c r="K2111" s="1" t="s">
        <v>653</v>
      </c>
      <c r="L2111" s="1" t="s">
        <v>906</v>
      </c>
    </row>
    <row r="2112" spans="2:12">
      <c r="B2112" s="1" t="s">
        <v>619</v>
      </c>
      <c r="C2112" s="1" t="s">
        <v>757</v>
      </c>
      <c r="D2112" s="52">
        <v>46066.638194444444</v>
      </c>
      <c r="E2112" s="52">
        <v>46066.638194444444</v>
      </c>
      <c r="F2112" s="52">
        <v>46066.638888888891</v>
      </c>
      <c r="G2112" s="53">
        <v>7.7546296296296293E-4</v>
      </c>
      <c r="H2112" s="1" t="s">
        <v>257</v>
      </c>
      <c r="J2112" s="1" t="s">
        <v>371</v>
      </c>
      <c r="K2112" s="1" t="s">
        <v>653</v>
      </c>
      <c r="L2112" s="1" t="s">
        <v>906</v>
      </c>
    </row>
    <row r="2113" spans="2:12">
      <c r="B2113" s="1" t="s">
        <v>619</v>
      </c>
      <c r="C2113" s="1" t="s">
        <v>757</v>
      </c>
      <c r="D2113" s="52">
        <v>46066.634027777778</v>
      </c>
      <c r="E2113" s="52">
        <v>46066.634027777778</v>
      </c>
      <c r="F2113" s="52">
        <v>46066.634722222225</v>
      </c>
      <c r="G2113" s="53">
        <v>7.7546296296296293E-4</v>
      </c>
      <c r="H2113" s="1" t="s">
        <v>257</v>
      </c>
      <c r="J2113" s="1" t="s">
        <v>371</v>
      </c>
      <c r="K2113" s="1" t="s">
        <v>653</v>
      </c>
      <c r="L2113" s="1" t="s">
        <v>906</v>
      </c>
    </row>
    <row r="2114" spans="2:12">
      <c r="B2114" s="1" t="s">
        <v>619</v>
      </c>
      <c r="C2114" s="1" t="s">
        <v>757</v>
      </c>
      <c r="D2114" s="52">
        <v>46066.630555555559</v>
      </c>
      <c r="E2114" s="52">
        <v>46066.630555555559</v>
      </c>
      <c r="F2114" s="52">
        <v>46066.631249999999</v>
      </c>
      <c r="G2114" s="53">
        <v>8.1018518518518516E-4</v>
      </c>
      <c r="H2114" s="1" t="s">
        <v>257</v>
      </c>
      <c r="J2114" s="1" t="s">
        <v>371</v>
      </c>
      <c r="K2114" s="1" t="s">
        <v>653</v>
      </c>
      <c r="L2114" s="1" t="s">
        <v>906</v>
      </c>
    </row>
    <row r="2115" spans="2:12">
      <c r="B2115" s="1" t="s">
        <v>619</v>
      </c>
      <c r="C2115" s="1" t="s">
        <v>757</v>
      </c>
      <c r="D2115" s="52">
        <v>46066.627083333333</v>
      </c>
      <c r="E2115" s="52">
        <v>46066.627083333333</v>
      </c>
      <c r="F2115" s="52">
        <v>46066.62777777778</v>
      </c>
      <c r="G2115" s="53">
        <v>7.7546296296296293E-4</v>
      </c>
      <c r="H2115" s="1" t="s">
        <v>257</v>
      </c>
      <c r="J2115" s="1" t="s">
        <v>371</v>
      </c>
      <c r="K2115" s="1" t="s">
        <v>653</v>
      </c>
      <c r="L2115" s="1" t="s">
        <v>906</v>
      </c>
    </row>
    <row r="2116" spans="2:12">
      <c r="B2116" s="1" t="s">
        <v>619</v>
      </c>
      <c r="C2116" s="1" t="s">
        <v>757</v>
      </c>
      <c r="D2116" s="52">
        <v>46066.624305555553</v>
      </c>
      <c r="E2116" s="52">
        <v>46066.624305555553</v>
      </c>
      <c r="F2116" s="52">
        <v>46066.625</v>
      </c>
      <c r="G2116" s="53">
        <v>7.7546296296296293E-4</v>
      </c>
      <c r="H2116" s="1" t="s">
        <v>257</v>
      </c>
      <c r="J2116" s="1" t="s">
        <v>371</v>
      </c>
      <c r="K2116" s="1" t="s">
        <v>653</v>
      </c>
      <c r="L2116" s="1" t="s">
        <v>906</v>
      </c>
    </row>
    <row r="2117" spans="2:12">
      <c r="B2117" s="1" t="s">
        <v>619</v>
      </c>
      <c r="C2117" s="1" t="s">
        <v>757</v>
      </c>
      <c r="D2117" s="52">
        <v>46066.620833333334</v>
      </c>
      <c r="E2117" s="52">
        <v>46066.620833333334</v>
      </c>
      <c r="F2117" s="52">
        <v>46066.62222222222</v>
      </c>
      <c r="G2117" s="53">
        <v>7.6388888888888893E-4</v>
      </c>
      <c r="H2117" s="1" t="s">
        <v>257</v>
      </c>
      <c r="J2117" s="1" t="s">
        <v>371</v>
      </c>
      <c r="K2117" s="1" t="s">
        <v>653</v>
      </c>
      <c r="L2117" s="1" t="s">
        <v>906</v>
      </c>
    </row>
    <row r="2118" spans="2:12">
      <c r="B2118" s="1" t="s">
        <v>619</v>
      </c>
      <c r="C2118" s="1" t="s">
        <v>757</v>
      </c>
      <c r="D2118" s="52">
        <v>46066.617361111108</v>
      </c>
      <c r="E2118" s="52">
        <v>46066.617361111108</v>
      </c>
      <c r="F2118" s="52">
        <v>46066.618055555555</v>
      </c>
      <c r="G2118" s="53">
        <v>7.7546296296296293E-4</v>
      </c>
      <c r="H2118" s="1" t="s">
        <v>257</v>
      </c>
      <c r="J2118" s="1" t="s">
        <v>371</v>
      </c>
      <c r="K2118" s="1" t="s">
        <v>653</v>
      </c>
      <c r="L2118" s="1" t="s">
        <v>906</v>
      </c>
    </row>
    <row r="2119" spans="2:12">
      <c r="B2119" s="1" t="s">
        <v>619</v>
      </c>
      <c r="C2119" s="1" t="s">
        <v>757</v>
      </c>
      <c r="D2119" s="52">
        <v>46066.613888888889</v>
      </c>
      <c r="E2119" s="52">
        <v>46066.613888888889</v>
      </c>
      <c r="F2119" s="52">
        <v>46066.614583333336</v>
      </c>
      <c r="G2119" s="53">
        <v>7.7546296296296293E-4</v>
      </c>
      <c r="H2119" s="1" t="s">
        <v>257</v>
      </c>
      <c r="J2119" s="1" t="s">
        <v>371</v>
      </c>
      <c r="K2119" s="1" t="s">
        <v>653</v>
      </c>
      <c r="L2119" s="1" t="s">
        <v>906</v>
      </c>
    </row>
    <row r="2120" spans="2:12">
      <c r="B2120" s="1" t="s">
        <v>619</v>
      </c>
      <c r="C2120" s="1" t="s">
        <v>757</v>
      </c>
      <c r="D2120" s="52">
        <v>46066.609722222223</v>
      </c>
      <c r="E2120" s="52">
        <v>46066.609722222223</v>
      </c>
      <c r="F2120" s="52">
        <v>46066.61041666667</v>
      </c>
      <c r="G2120" s="53">
        <v>7.7546296296296293E-4</v>
      </c>
      <c r="H2120" s="1" t="s">
        <v>257</v>
      </c>
      <c r="J2120" s="1" t="s">
        <v>371</v>
      </c>
      <c r="K2120" s="1" t="s">
        <v>653</v>
      </c>
      <c r="L2120" s="1" t="s">
        <v>906</v>
      </c>
    </row>
    <row r="2121" spans="2:12">
      <c r="B2121" s="1" t="s">
        <v>619</v>
      </c>
      <c r="C2121" s="1" t="s">
        <v>757</v>
      </c>
      <c r="D2121" s="52">
        <v>46066.604861111111</v>
      </c>
      <c r="E2121" s="52">
        <v>46066.604861111111</v>
      </c>
      <c r="F2121" s="52">
        <v>46066.605555555558</v>
      </c>
      <c r="G2121" s="53">
        <v>7.7546296296296293E-4</v>
      </c>
      <c r="H2121" s="1" t="s">
        <v>257</v>
      </c>
      <c r="J2121" s="1" t="s">
        <v>371</v>
      </c>
      <c r="K2121" s="1" t="s">
        <v>653</v>
      </c>
      <c r="L2121" s="1" t="s">
        <v>906</v>
      </c>
    </row>
    <row r="2122" spans="2:12">
      <c r="B2122" s="1" t="s">
        <v>619</v>
      </c>
      <c r="C2122" s="1" t="s">
        <v>757</v>
      </c>
      <c r="D2122" s="52">
        <v>46066.601388888892</v>
      </c>
      <c r="E2122" s="52">
        <v>46066.601388888892</v>
      </c>
      <c r="F2122" s="52">
        <v>46066.602083333331</v>
      </c>
      <c r="G2122" s="53">
        <v>7.8703703703703705E-4</v>
      </c>
      <c r="H2122" s="1" t="s">
        <v>257</v>
      </c>
      <c r="J2122" s="1" t="s">
        <v>371</v>
      </c>
      <c r="K2122" s="1" t="s">
        <v>653</v>
      </c>
      <c r="L2122" s="1" t="s">
        <v>906</v>
      </c>
    </row>
    <row r="2123" spans="2:12">
      <c r="B2123" s="1" t="s">
        <v>619</v>
      </c>
      <c r="C2123" s="1" t="s">
        <v>757</v>
      </c>
      <c r="D2123" s="52">
        <v>46066.597916666666</v>
      </c>
      <c r="E2123" s="52">
        <v>46066.597916666666</v>
      </c>
      <c r="F2123" s="52">
        <v>46066.598611111112</v>
      </c>
      <c r="G2123" s="53">
        <v>7.9861111111111116E-4</v>
      </c>
      <c r="H2123" s="1" t="s">
        <v>257</v>
      </c>
      <c r="J2123" s="1" t="s">
        <v>371</v>
      </c>
      <c r="K2123" s="1" t="s">
        <v>653</v>
      </c>
      <c r="L2123" s="1" t="s">
        <v>906</v>
      </c>
    </row>
    <row r="2124" spans="2:12">
      <c r="B2124" s="1" t="s">
        <v>619</v>
      </c>
      <c r="C2124" s="1" t="s">
        <v>757</v>
      </c>
      <c r="D2124" s="52">
        <v>46066.59375</v>
      </c>
      <c r="E2124" s="52">
        <v>46066.59375</v>
      </c>
      <c r="F2124" s="52">
        <v>46066.594444444447</v>
      </c>
      <c r="G2124" s="53">
        <v>7.7546296296296293E-4</v>
      </c>
      <c r="H2124" s="1" t="s">
        <v>257</v>
      </c>
      <c r="J2124" s="1" t="s">
        <v>371</v>
      </c>
      <c r="K2124" s="1" t="s">
        <v>653</v>
      </c>
      <c r="L2124" s="1" t="s">
        <v>906</v>
      </c>
    </row>
    <row r="2125" spans="2:12">
      <c r="B2125" s="1" t="s">
        <v>619</v>
      </c>
      <c r="C2125" s="1" t="s">
        <v>757</v>
      </c>
      <c r="D2125" s="52">
        <v>46066.590277777781</v>
      </c>
      <c r="E2125" s="52">
        <v>46066.590277777781</v>
      </c>
      <c r="F2125" s="52">
        <v>46066.59097222222</v>
      </c>
      <c r="G2125" s="53">
        <v>7.8703703703703705E-4</v>
      </c>
      <c r="H2125" s="1" t="s">
        <v>257</v>
      </c>
      <c r="J2125" s="1" t="s">
        <v>371</v>
      </c>
      <c r="K2125" s="1" t="s">
        <v>653</v>
      </c>
      <c r="L2125" s="1" t="s">
        <v>906</v>
      </c>
    </row>
    <row r="2126" spans="2:12">
      <c r="B2126" s="1" t="s">
        <v>619</v>
      </c>
      <c r="C2126" s="1" t="s">
        <v>757</v>
      </c>
      <c r="D2126" s="52">
        <v>46066.586805555555</v>
      </c>
      <c r="E2126" s="52">
        <v>46066.586805555555</v>
      </c>
      <c r="F2126" s="52">
        <v>46066.587500000001</v>
      </c>
      <c r="G2126" s="53">
        <v>7.6388888888888893E-4</v>
      </c>
      <c r="H2126" s="1" t="s">
        <v>257</v>
      </c>
      <c r="J2126" s="1" t="s">
        <v>371</v>
      </c>
      <c r="K2126" s="1" t="s">
        <v>653</v>
      </c>
      <c r="L2126" s="1" t="s">
        <v>906</v>
      </c>
    </row>
    <row r="2127" spans="2:12">
      <c r="B2127" s="1" t="s">
        <v>619</v>
      </c>
      <c r="C2127" s="1" t="s">
        <v>757</v>
      </c>
      <c r="D2127" s="52">
        <v>46066.583333333336</v>
      </c>
      <c r="E2127" s="52">
        <v>46066.583333333336</v>
      </c>
      <c r="F2127" s="52">
        <v>46066.584027777775</v>
      </c>
      <c r="G2127" s="53">
        <v>7.7546296296296293E-4</v>
      </c>
      <c r="H2127" s="1" t="s">
        <v>257</v>
      </c>
      <c r="J2127" s="1" t="s">
        <v>371</v>
      </c>
      <c r="K2127" s="1" t="s">
        <v>653</v>
      </c>
      <c r="L2127" s="1" t="s">
        <v>906</v>
      </c>
    </row>
    <row r="2128" spans="2:12">
      <c r="B2128" s="1" t="s">
        <v>619</v>
      </c>
      <c r="C2128" s="1" t="s">
        <v>757</v>
      </c>
      <c r="D2128" s="52">
        <v>46066.579861111109</v>
      </c>
      <c r="E2128" s="52">
        <v>46066.579861111109</v>
      </c>
      <c r="F2128" s="52">
        <v>46066.580555555556</v>
      </c>
      <c r="G2128" s="53">
        <v>7.8703703703703705E-4</v>
      </c>
      <c r="H2128" s="1" t="s">
        <v>257</v>
      </c>
      <c r="J2128" s="1" t="s">
        <v>371</v>
      </c>
      <c r="K2128" s="1" t="s">
        <v>653</v>
      </c>
      <c r="L2128" s="1" t="s">
        <v>906</v>
      </c>
    </row>
    <row r="2129" spans="2:12">
      <c r="B2129" s="1" t="s">
        <v>619</v>
      </c>
      <c r="C2129" s="1" t="s">
        <v>757</v>
      </c>
      <c r="D2129" s="52">
        <v>46066.575694444444</v>
      </c>
      <c r="E2129" s="52">
        <v>46066.575694444444</v>
      </c>
      <c r="F2129" s="52">
        <v>46066.576388888891</v>
      </c>
      <c r="G2129" s="53">
        <v>7.6388888888888893E-4</v>
      </c>
      <c r="H2129" s="1" t="s">
        <v>257</v>
      </c>
      <c r="J2129" s="1" t="s">
        <v>371</v>
      </c>
      <c r="K2129" s="1" t="s">
        <v>653</v>
      </c>
      <c r="L2129" s="1" t="s">
        <v>906</v>
      </c>
    </row>
    <row r="2130" spans="2:12">
      <c r="B2130" s="1" t="s">
        <v>619</v>
      </c>
      <c r="C2130" s="1" t="s">
        <v>757</v>
      </c>
      <c r="D2130" s="52">
        <v>46066.572222222225</v>
      </c>
      <c r="E2130" s="52">
        <v>46066.572222222225</v>
      </c>
      <c r="F2130" s="52">
        <v>46066.572916666664</v>
      </c>
      <c r="G2130" s="53">
        <v>7.8703703703703705E-4</v>
      </c>
      <c r="H2130" s="1" t="s">
        <v>257</v>
      </c>
      <c r="J2130" s="1" t="s">
        <v>371</v>
      </c>
      <c r="K2130" s="1" t="s">
        <v>653</v>
      </c>
      <c r="L2130" s="1" t="s">
        <v>906</v>
      </c>
    </row>
    <row r="2131" spans="2:12">
      <c r="B2131" s="1" t="s">
        <v>619</v>
      </c>
      <c r="C2131" s="1" t="s">
        <v>757</v>
      </c>
      <c r="D2131" s="52">
        <v>46066.568749999999</v>
      </c>
      <c r="E2131" s="52">
        <v>46066.568749999999</v>
      </c>
      <c r="F2131" s="52">
        <v>46066.569444444445</v>
      </c>
      <c r="G2131" s="53">
        <v>7.8703703703703705E-4</v>
      </c>
      <c r="H2131" s="1" t="s">
        <v>257</v>
      </c>
      <c r="J2131" s="1" t="s">
        <v>371</v>
      </c>
      <c r="K2131" s="1" t="s">
        <v>653</v>
      </c>
      <c r="L2131" s="1" t="s">
        <v>906</v>
      </c>
    </row>
    <row r="2132" spans="2:12">
      <c r="B2132" s="1" t="s">
        <v>619</v>
      </c>
      <c r="C2132" s="1" t="s">
        <v>757</v>
      </c>
      <c r="D2132" s="52">
        <v>46066.56527777778</v>
      </c>
      <c r="E2132" s="52">
        <v>46066.56527777778</v>
      </c>
      <c r="F2132" s="52">
        <v>46066.565972222219</v>
      </c>
      <c r="G2132" s="53">
        <v>7.7546296296296293E-4</v>
      </c>
      <c r="H2132" s="1" t="s">
        <v>257</v>
      </c>
      <c r="J2132" s="1" t="s">
        <v>371</v>
      </c>
      <c r="K2132" s="1" t="s">
        <v>653</v>
      </c>
      <c r="L2132" s="1" t="s">
        <v>906</v>
      </c>
    </row>
    <row r="2133" spans="2:12">
      <c r="B2133" s="1" t="s">
        <v>619</v>
      </c>
      <c r="C2133" s="1" t="s">
        <v>757</v>
      </c>
      <c r="D2133" s="52">
        <v>46066.5625</v>
      </c>
      <c r="E2133" s="52">
        <v>46066.5625</v>
      </c>
      <c r="F2133" s="52">
        <v>46066.563194444447</v>
      </c>
      <c r="G2133" s="53">
        <v>7.7546296296296293E-4</v>
      </c>
      <c r="H2133" s="1" t="s">
        <v>257</v>
      </c>
      <c r="J2133" s="1" t="s">
        <v>371</v>
      </c>
      <c r="K2133" s="1" t="s">
        <v>653</v>
      </c>
      <c r="L2133" s="1" t="s">
        <v>906</v>
      </c>
    </row>
    <row r="2134" spans="2:12">
      <c r="B2134" s="1" t="s">
        <v>619</v>
      </c>
      <c r="C2134" s="1" t="s">
        <v>757</v>
      </c>
      <c r="D2134" s="52">
        <v>46066.559027777781</v>
      </c>
      <c r="E2134" s="52">
        <v>46066.559027777781</v>
      </c>
      <c r="F2134" s="52">
        <v>46066.55972222222</v>
      </c>
      <c r="G2134" s="53">
        <v>7.7546296296296293E-4</v>
      </c>
      <c r="H2134" s="1" t="s">
        <v>257</v>
      </c>
      <c r="J2134" s="1" t="s">
        <v>371</v>
      </c>
      <c r="K2134" s="1" t="s">
        <v>653</v>
      </c>
      <c r="L2134" s="1" t="s">
        <v>906</v>
      </c>
    </row>
    <row r="2135" spans="2:12">
      <c r="B2135" s="1" t="s">
        <v>619</v>
      </c>
      <c r="C2135" s="1" t="s">
        <v>757</v>
      </c>
      <c r="D2135" s="52">
        <v>46066.555555555555</v>
      </c>
      <c r="E2135" s="52">
        <v>46066.555555555555</v>
      </c>
      <c r="F2135" s="52">
        <v>46066.556250000001</v>
      </c>
      <c r="G2135" s="53">
        <v>7.6388888888888893E-4</v>
      </c>
      <c r="H2135" s="1" t="s">
        <v>257</v>
      </c>
      <c r="J2135" s="1" t="s">
        <v>371</v>
      </c>
      <c r="K2135" s="1" t="s">
        <v>653</v>
      </c>
      <c r="L2135" s="1" t="s">
        <v>906</v>
      </c>
    </row>
    <row r="2136" spans="2:12">
      <c r="B2136" s="1" t="s">
        <v>619</v>
      </c>
      <c r="C2136" s="1" t="s">
        <v>757</v>
      </c>
      <c r="D2136" s="52">
        <v>46066.551388888889</v>
      </c>
      <c r="E2136" s="52">
        <v>46066.551388888889</v>
      </c>
      <c r="F2136" s="52">
        <v>46066.552777777775</v>
      </c>
      <c r="G2136" s="53">
        <v>7.7546296296296293E-4</v>
      </c>
      <c r="H2136" s="1" t="s">
        <v>257</v>
      </c>
      <c r="J2136" s="1" t="s">
        <v>371</v>
      </c>
      <c r="K2136" s="1" t="s">
        <v>653</v>
      </c>
      <c r="L2136" s="1" t="s">
        <v>906</v>
      </c>
    </row>
    <row r="2137" spans="2:12">
      <c r="B2137" s="1" t="s">
        <v>619</v>
      </c>
      <c r="C2137" s="1" t="s">
        <v>757</v>
      </c>
      <c r="D2137" s="52">
        <v>46066.54791666667</v>
      </c>
      <c r="E2137" s="52">
        <v>46066.54791666667</v>
      </c>
      <c r="F2137" s="52">
        <v>46066.549305555556</v>
      </c>
      <c r="G2137" s="53">
        <v>7.6388888888888893E-4</v>
      </c>
      <c r="H2137" s="1" t="s">
        <v>257</v>
      </c>
      <c r="J2137" s="1" t="s">
        <v>371</v>
      </c>
      <c r="K2137" s="1" t="s">
        <v>653</v>
      </c>
      <c r="L2137" s="1" t="s">
        <v>906</v>
      </c>
    </row>
    <row r="2138" spans="2:12">
      <c r="B2138" s="1" t="s">
        <v>619</v>
      </c>
      <c r="C2138" s="1" t="s">
        <v>757</v>
      </c>
      <c r="D2138" s="52">
        <v>46066.543749999997</v>
      </c>
      <c r="E2138" s="52">
        <v>46066.543749999997</v>
      </c>
      <c r="F2138" s="52">
        <v>46066.544444444444</v>
      </c>
      <c r="G2138" s="53">
        <v>7.6388888888888893E-4</v>
      </c>
      <c r="H2138" s="1" t="s">
        <v>257</v>
      </c>
      <c r="J2138" s="1" t="s">
        <v>371</v>
      </c>
      <c r="K2138" s="1" t="s">
        <v>653</v>
      </c>
      <c r="L2138" s="1" t="s">
        <v>906</v>
      </c>
    </row>
    <row r="2139" spans="2:12">
      <c r="B2139" s="1" t="s">
        <v>619</v>
      </c>
      <c r="C2139" s="1" t="s">
        <v>757</v>
      </c>
      <c r="D2139" s="52">
        <v>46066.538888888892</v>
      </c>
      <c r="E2139" s="52">
        <v>46066.538888888892</v>
      </c>
      <c r="F2139" s="52">
        <v>46066.540277777778</v>
      </c>
      <c r="G2139" s="53">
        <v>7.7546296296296293E-4</v>
      </c>
      <c r="H2139" s="1" t="s">
        <v>257</v>
      </c>
      <c r="J2139" s="1" t="s">
        <v>371</v>
      </c>
      <c r="K2139" s="1" t="s">
        <v>653</v>
      </c>
      <c r="L2139" s="1" t="s">
        <v>906</v>
      </c>
    </row>
    <row r="2140" spans="2:12">
      <c r="B2140" s="1" t="s">
        <v>619</v>
      </c>
      <c r="C2140" s="1" t="s">
        <v>757</v>
      </c>
      <c r="D2140" s="52">
        <v>46066.534722222219</v>
      </c>
      <c r="E2140" s="52">
        <v>46066.534722222219</v>
      </c>
      <c r="F2140" s="52">
        <v>46066.535416666666</v>
      </c>
      <c r="G2140" s="53">
        <v>7.6388888888888893E-4</v>
      </c>
      <c r="H2140" s="1" t="s">
        <v>257</v>
      </c>
      <c r="J2140" s="1" t="s">
        <v>371</v>
      </c>
      <c r="K2140" s="1" t="s">
        <v>653</v>
      </c>
      <c r="L2140" s="1" t="s">
        <v>906</v>
      </c>
    </row>
    <row r="2141" spans="2:12">
      <c r="B2141" s="1" t="s">
        <v>619</v>
      </c>
      <c r="C2141" s="1" t="s">
        <v>757</v>
      </c>
      <c r="D2141" s="52">
        <v>46066.529166666667</v>
      </c>
      <c r="E2141" s="52">
        <v>46066.529166666667</v>
      </c>
      <c r="F2141" s="52">
        <v>46066.529861111114</v>
      </c>
      <c r="G2141" s="53">
        <v>7.7546296296296293E-4</v>
      </c>
      <c r="H2141" s="1" t="s">
        <v>257</v>
      </c>
      <c r="J2141" s="1" t="s">
        <v>371</v>
      </c>
      <c r="K2141" s="1" t="s">
        <v>653</v>
      </c>
      <c r="L2141" s="1" t="s">
        <v>906</v>
      </c>
    </row>
    <row r="2142" spans="2:12">
      <c r="B2142" s="1" t="s">
        <v>619</v>
      </c>
      <c r="C2142" s="1" t="s">
        <v>757</v>
      </c>
      <c r="D2142" s="52">
        <v>46066.519444444442</v>
      </c>
      <c r="E2142" s="52">
        <v>46066.519444444442</v>
      </c>
      <c r="F2142" s="52">
        <v>46066.520138888889</v>
      </c>
      <c r="G2142" s="53">
        <v>7.8703703703703705E-4</v>
      </c>
      <c r="H2142" s="1" t="s">
        <v>257</v>
      </c>
      <c r="J2142" s="1" t="s">
        <v>371</v>
      </c>
      <c r="K2142" s="1" t="s">
        <v>653</v>
      </c>
      <c r="L2142" s="1" t="s">
        <v>906</v>
      </c>
    </row>
    <row r="2143" spans="2:12">
      <c r="B2143" s="1" t="s">
        <v>619</v>
      </c>
      <c r="C2143" s="1" t="s">
        <v>757</v>
      </c>
      <c r="D2143" s="52">
        <v>46066.494444444441</v>
      </c>
      <c r="E2143" s="52">
        <v>46066.494444444441</v>
      </c>
      <c r="F2143" s="52">
        <v>46066.495833333334</v>
      </c>
      <c r="G2143" s="53">
        <v>7.6388888888888893E-4</v>
      </c>
      <c r="H2143" s="1" t="s">
        <v>257</v>
      </c>
      <c r="J2143" s="1" t="s">
        <v>371</v>
      </c>
      <c r="K2143" s="1" t="s">
        <v>653</v>
      </c>
      <c r="L2143" s="1" t="s">
        <v>906</v>
      </c>
    </row>
    <row r="2144" spans="2:12">
      <c r="B2144" s="1" t="s">
        <v>619</v>
      </c>
      <c r="C2144" s="1" t="s">
        <v>757</v>
      </c>
      <c r="D2144" s="52">
        <v>46066.490277777775</v>
      </c>
      <c r="E2144" s="52">
        <v>46066.490277777775</v>
      </c>
      <c r="F2144" s="52">
        <v>46066.491666666669</v>
      </c>
      <c r="G2144" s="53">
        <v>7.6388888888888893E-4</v>
      </c>
      <c r="H2144" s="1" t="s">
        <v>257</v>
      </c>
      <c r="J2144" s="1" t="s">
        <v>371</v>
      </c>
      <c r="K2144" s="1" t="s">
        <v>653</v>
      </c>
      <c r="L2144" s="1" t="s">
        <v>906</v>
      </c>
    </row>
    <row r="2145" spans="2:12">
      <c r="B2145" s="1" t="s">
        <v>619</v>
      </c>
      <c r="C2145" s="1" t="s">
        <v>757</v>
      </c>
      <c r="D2145" s="52">
        <v>46066.486805555556</v>
      </c>
      <c r="E2145" s="52">
        <v>46066.486805555556</v>
      </c>
      <c r="F2145" s="52">
        <v>46066.487500000003</v>
      </c>
      <c r="G2145" s="53">
        <v>7.6388888888888893E-4</v>
      </c>
      <c r="H2145" s="1" t="s">
        <v>257</v>
      </c>
      <c r="J2145" s="1" t="s">
        <v>371</v>
      </c>
      <c r="K2145" s="1" t="s">
        <v>653</v>
      </c>
      <c r="L2145" s="1" t="s">
        <v>906</v>
      </c>
    </row>
    <row r="2146" spans="2:12">
      <c r="B2146" s="1" t="s">
        <v>619</v>
      </c>
      <c r="C2146" s="1" t="s">
        <v>757</v>
      </c>
      <c r="D2146" s="52">
        <v>46066.476388888892</v>
      </c>
      <c r="E2146" s="52">
        <v>46066.476388888892</v>
      </c>
      <c r="F2146" s="52">
        <v>46066.477083333331</v>
      </c>
      <c r="G2146" s="53">
        <v>7.6388888888888893E-4</v>
      </c>
      <c r="H2146" s="1" t="s">
        <v>257</v>
      </c>
      <c r="J2146" s="1" t="s">
        <v>371</v>
      </c>
      <c r="K2146" s="1" t="s">
        <v>653</v>
      </c>
      <c r="L2146" s="1" t="s">
        <v>906</v>
      </c>
    </row>
    <row r="2147" spans="2:12">
      <c r="B2147" s="1" t="s">
        <v>619</v>
      </c>
      <c r="C2147" s="1" t="s">
        <v>757</v>
      </c>
      <c r="D2147" s="52">
        <v>46066.470138888886</v>
      </c>
      <c r="E2147" s="52">
        <v>46066.470138888886</v>
      </c>
      <c r="F2147" s="52">
        <v>46066.470833333333</v>
      </c>
      <c r="G2147" s="53">
        <v>7.6388888888888893E-4</v>
      </c>
      <c r="H2147" s="1" t="s">
        <v>257</v>
      </c>
      <c r="J2147" s="1" t="s">
        <v>371</v>
      </c>
      <c r="K2147" s="1" t="s">
        <v>653</v>
      </c>
      <c r="L2147" s="1" t="s">
        <v>906</v>
      </c>
    </row>
    <row r="2148" spans="2:12">
      <c r="B2148" s="1" t="s">
        <v>619</v>
      </c>
      <c r="C2148" s="1" t="s">
        <v>757</v>
      </c>
      <c r="D2148" s="52">
        <v>46066.461805555555</v>
      </c>
      <c r="E2148" s="52">
        <v>46066.461805555555</v>
      </c>
      <c r="F2148" s="52">
        <v>46066.462500000001</v>
      </c>
      <c r="G2148" s="53">
        <v>7.7546296296296293E-4</v>
      </c>
      <c r="H2148" s="1" t="s">
        <v>257</v>
      </c>
      <c r="J2148" s="1" t="s">
        <v>371</v>
      </c>
      <c r="K2148" s="1" t="s">
        <v>653</v>
      </c>
      <c r="L2148" s="1" t="s">
        <v>906</v>
      </c>
    </row>
    <row r="2149" spans="2:12">
      <c r="B2149" s="1" t="s">
        <v>619</v>
      </c>
      <c r="C2149" s="1" t="s">
        <v>757</v>
      </c>
      <c r="D2149" s="52">
        <v>46066.456944444442</v>
      </c>
      <c r="E2149" s="52">
        <v>46066.456944444442</v>
      </c>
      <c r="F2149" s="52">
        <v>46066.457638888889</v>
      </c>
      <c r="G2149" s="53">
        <v>7.8703703703703705E-4</v>
      </c>
      <c r="H2149" s="1" t="s">
        <v>257</v>
      </c>
      <c r="J2149" s="1" t="s">
        <v>371</v>
      </c>
      <c r="K2149" s="1" t="s">
        <v>653</v>
      </c>
      <c r="L2149" s="1" t="s">
        <v>906</v>
      </c>
    </row>
    <row r="2150" spans="2:12">
      <c r="B2150" s="1" t="s">
        <v>619</v>
      </c>
      <c r="C2150" s="1" t="s">
        <v>757</v>
      </c>
      <c r="D2150" s="52">
        <v>46066.45208333333</v>
      </c>
      <c r="E2150" s="52">
        <v>46066.45208333333</v>
      </c>
      <c r="F2150" s="52">
        <v>46066.452777777777</v>
      </c>
      <c r="G2150" s="53">
        <v>7.6388888888888893E-4</v>
      </c>
      <c r="H2150" s="1" t="s">
        <v>257</v>
      </c>
      <c r="J2150" s="1" t="s">
        <v>371</v>
      </c>
      <c r="K2150" s="1" t="s">
        <v>653</v>
      </c>
      <c r="L2150" s="1" t="s">
        <v>906</v>
      </c>
    </row>
    <row r="2151" spans="2:12">
      <c r="B2151" s="1" t="s">
        <v>619</v>
      </c>
      <c r="C2151" s="1" t="s">
        <v>757</v>
      </c>
      <c r="D2151" s="52">
        <v>46066.447916666664</v>
      </c>
      <c r="E2151" s="52">
        <v>46066.447916666664</v>
      </c>
      <c r="F2151" s="52">
        <v>46066.448611111111</v>
      </c>
      <c r="G2151" s="53">
        <v>7.7546296296296293E-4</v>
      </c>
      <c r="H2151" s="1" t="s">
        <v>257</v>
      </c>
      <c r="J2151" s="1" t="s">
        <v>371</v>
      </c>
      <c r="K2151" s="1" t="s">
        <v>653</v>
      </c>
      <c r="L2151" s="1" t="s">
        <v>906</v>
      </c>
    </row>
    <row r="2152" spans="2:12">
      <c r="B2152" s="1" t="s">
        <v>619</v>
      </c>
      <c r="C2152" s="1" t="s">
        <v>757</v>
      </c>
      <c r="D2152" s="52">
        <v>46066.442361111112</v>
      </c>
      <c r="E2152" s="52">
        <v>46066.442361111112</v>
      </c>
      <c r="F2152" s="52">
        <v>46066.443055555559</v>
      </c>
      <c r="G2152" s="53">
        <v>7.7546296296296293E-4</v>
      </c>
      <c r="H2152" s="1" t="s">
        <v>257</v>
      </c>
      <c r="J2152" s="1" t="s">
        <v>371</v>
      </c>
      <c r="K2152" s="1" t="s">
        <v>653</v>
      </c>
      <c r="L2152" s="1" t="s">
        <v>906</v>
      </c>
    </row>
    <row r="2153" spans="2:12">
      <c r="B2153" s="1" t="s">
        <v>619</v>
      </c>
      <c r="C2153" s="1" t="s">
        <v>757</v>
      </c>
      <c r="D2153" s="52">
        <v>46066.438194444447</v>
      </c>
      <c r="E2153" s="52">
        <v>46066.438194444447</v>
      </c>
      <c r="F2153" s="52">
        <v>46066.438888888886</v>
      </c>
      <c r="G2153" s="53">
        <v>7.8703703703703705E-4</v>
      </c>
      <c r="H2153" s="1" t="s">
        <v>257</v>
      </c>
      <c r="J2153" s="1" t="s">
        <v>371</v>
      </c>
      <c r="K2153" s="1" t="s">
        <v>653</v>
      </c>
      <c r="L2153" s="1" t="s">
        <v>906</v>
      </c>
    </row>
    <row r="2154" spans="2:12">
      <c r="B2154" s="1" t="s">
        <v>619</v>
      </c>
      <c r="C2154" s="1" t="s">
        <v>757</v>
      </c>
      <c r="D2154" s="52">
        <v>46066.433333333334</v>
      </c>
      <c r="E2154" s="52">
        <v>46066.433333333334</v>
      </c>
      <c r="F2154" s="52">
        <v>46066.434027777781</v>
      </c>
      <c r="G2154" s="53">
        <v>7.8703703703703705E-4</v>
      </c>
      <c r="H2154" s="1" t="s">
        <v>257</v>
      </c>
      <c r="J2154" s="1" t="s">
        <v>371</v>
      </c>
      <c r="K2154" s="1" t="s">
        <v>653</v>
      </c>
      <c r="L2154" s="1" t="s">
        <v>906</v>
      </c>
    </row>
    <row r="2155" spans="2:12">
      <c r="B2155" s="1" t="s">
        <v>619</v>
      </c>
      <c r="C2155" s="1" t="s">
        <v>757</v>
      </c>
      <c r="D2155" s="52">
        <v>46066.428472222222</v>
      </c>
      <c r="E2155" s="52">
        <v>46066.428472222222</v>
      </c>
      <c r="F2155" s="52">
        <v>46066.429166666669</v>
      </c>
      <c r="G2155" s="53">
        <v>7.7546296296296293E-4</v>
      </c>
      <c r="H2155" s="1" t="s">
        <v>257</v>
      </c>
      <c r="J2155" s="1" t="s">
        <v>371</v>
      </c>
      <c r="K2155" s="1" t="s">
        <v>653</v>
      </c>
      <c r="L2155" s="1" t="s">
        <v>906</v>
      </c>
    </row>
    <row r="2156" spans="2:12">
      <c r="B2156" s="1" t="s">
        <v>619</v>
      </c>
      <c r="C2156" s="1" t="s">
        <v>757</v>
      </c>
      <c r="D2156" s="52">
        <v>46066.423611111109</v>
      </c>
      <c r="E2156" s="52">
        <v>46066.423611111109</v>
      </c>
      <c r="F2156" s="52">
        <v>46066.424305555556</v>
      </c>
      <c r="G2156" s="53">
        <v>7.7546296296296293E-4</v>
      </c>
      <c r="H2156" s="1" t="s">
        <v>257</v>
      </c>
      <c r="J2156" s="1" t="s">
        <v>371</v>
      </c>
      <c r="K2156" s="1" t="s">
        <v>653</v>
      </c>
      <c r="L2156" s="1" t="s">
        <v>906</v>
      </c>
    </row>
    <row r="2157" spans="2:12">
      <c r="B2157" s="1" t="s">
        <v>619</v>
      </c>
      <c r="C2157" s="1" t="s">
        <v>757</v>
      </c>
      <c r="D2157" s="52">
        <v>46066.418055555558</v>
      </c>
      <c r="E2157" s="52">
        <v>46066.418055555558</v>
      </c>
      <c r="F2157" s="52">
        <v>46066.418749999997</v>
      </c>
      <c r="G2157" s="53">
        <v>7.6388888888888893E-4</v>
      </c>
      <c r="H2157" s="1" t="s">
        <v>257</v>
      </c>
      <c r="J2157" s="1" t="s">
        <v>371</v>
      </c>
      <c r="K2157" s="1" t="s">
        <v>653</v>
      </c>
      <c r="L2157" s="1" t="s">
        <v>906</v>
      </c>
    </row>
    <row r="2158" spans="2:12">
      <c r="B2158" s="1" t="s">
        <v>619</v>
      </c>
      <c r="C2158" s="1" t="s">
        <v>757</v>
      </c>
      <c r="D2158" s="52">
        <v>46066.411805555559</v>
      </c>
      <c r="E2158" s="52">
        <v>46066.411805555559</v>
      </c>
      <c r="F2158" s="52">
        <v>46066.412499999999</v>
      </c>
      <c r="G2158" s="53">
        <v>7.6388888888888893E-4</v>
      </c>
      <c r="H2158" s="1" t="s">
        <v>257</v>
      </c>
      <c r="J2158" s="1" t="s">
        <v>371</v>
      </c>
      <c r="K2158" s="1" t="s">
        <v>653</v>
      </c>
      <c r="L2158" s="1" t="s">
        <v>906</v>
      </c>
    </row>
    <row r="2159" spans="2:12">
      <c r="B2159" s="1" t="s">
        <v>619</v>
      </c>
      <c r="C2159" s="1" t="s">
        <v>757</v>
      </c>
      <c r="D2159" s="52">
        <v>46066.405555555553</v>
      </c>
      <c r="E2159" s="52">
        <v>46066.405555555553</v>
      </c>
      <c r="F2159" s="52">
        <v>46066.40625</v>
      </c>
      <c r="G2159" s="53">
        <v>7.6388888888888893E-4</v>
      </c>
      <c r="H2159" s="1" t="s">
        <v>257</v>
      </c>
      <c r="J2159" s="1" t="s">
        <v>371</v>
      </c>
      <c r="K2159" s="1" t="s">
        <v>653</v>
      </c>
      <c r="L2159" s="1" t="s">
        <v>906</v>
      </c>
    </row>
    <row r="2160" spans="2:12">
      <c r="B2160" s="1" t="s">
        <v>619</v>
      </c>
      <c r="C2160" s="1" t="s">
        <v>757</v>
      </c>
      <c r="D2160" s="52">
        <v>46066.400000000001</v>
      </c>
      <c r="E2160" s="52">
        <v>46066.400000000001</v>
      </c>
      <c r="F2160" s="52">
        <v>46066.401388888888</v>
      </c>
      <c r="G2160" s="53">
        <v>7.8703703703703705E-4</v>
      </c>
      <c r="H2160" s="1" t="s">
        <v>257</v>
      </c>
      <c r="J2160" s="1" t="s">
        <v>371</v>
      </c>
      <c r="K2160" s="1" t="s">
        <v>653</v>
      </c>
      <c r="L2160" s="1" t="s">
        <v>906</v>
      </c>
    </row>
    <row r="2161" spans="2:12">
      <c r="B2161" s="1" t="s">
        <v>619</v>
      </c>
      <c r="C2161" s="1" t="s">
        <v>757</v>
      </c>
      <c r="D2161" s="52">
        <v>46066.394444444442</v>
      </c>
      <c r="E2161" s="52">
        <v>46066.394444444442</v>
      </c>
      <c r="F2161" s="52">
        <v>46066.395138888889</v>
      </c>
      <c r="G2161" s="53">
        <v>7.7546296296296293E-4</v>
      </c>
      <c r="H2161" s="1" t="s">
        <v>257</v>
      </c>
      <c r="J2161" s="1" t="s">
        <v>371</v>
      </c>
      <c r="K2161" s="1" t="s">
        <v>653</v>
      </c>
      <c r="L2161" s="1" t="s">
        <v>906</v>
      </c>
    </row>
    <row r="2162" spans="2:12">
      <c r="B2162" s="1" t="s">
        <v>619</v>
      </c>
      <c r="C2162" s="1" t="s">
        <v>757</v>
      </c>
      <c r="D2162" s="52">
        <v>46066.388194444444</v>
      </c>
      <c r="E2162" s="52">
        <v>46066.388194444444</v>
      </c>
      <c r="F2162" s="52">
        <v>46066.388888888891</v>
      </c>
      <c r="G2162" s="53">
        <v>7.8703703703703705E-4</v>
      </c>
      <c r="H2162" s="1" t="s">
        <v>257</v>
      </c>
      <c r="J2162" s="1" t="s">
        <v>371</v>
      </c>
      <c r="K2162" s="1" t="s">
        <v>653</v>
      </c>
      <c r="L2162" s="1" t="s">
        <v>906</v>
      </c>
    </row>
    <row r="2163" spans="2:12">
      <c r="B2163" s="1" t="s">
        <v>619</v>
      </c>
      <c r="C2163" s="1" t="s">
        <v>757</v>
      </c>
      <c r="D2163" s="52">
        <v>46066.381944444445</v>
      </c>
      <c r="E2163" s="52">
        <v>46066.381944444445</v>
      </c>
      <c r="F2163" s="52">
        <v>46066.382638888892</v>
      </c>
      <c r="G2163" s="53">
        <v>7.407407407407407E-4</v>
      </c>
      <c r="H2163" s="1" t="s">
        <v>257</v>
      </c>
      <c r="J2163" s="1" t="s">
        <v>371</v>
      </c>
      <c r="K2163" s="1" t="s">
        <v>653</v>
      </c>
      <c r="L2163" s="1" t="s">
        <v>906</v>
      </c>
    </row>
    <row r="2164" spans="2:12">
      <c r="B2164" s="1" t="s">
        <v>619</v>
      </c>
      <c r="C2164" s="1" t="s">
        <v>757</v>
      </c>
      <c r="D2164" s="52">
        <v>46065.6875</v>
      </c>
      <c r="E2164" s="52">
        <v>46065.6875</v>
      </c>
      <c r="F2164" s="52">
        <v>46065.688194444447</v>
      </c>
      <c r="G2164" s="53">
        <v>7.8703703703703705E-4</v>
      </c>
      <c r="H2164" s="1" t="s">
        <v>257</v>
      </c>
      <c r="J2164" s="1" t="s">
        <v>371</v>
      </c>
      <c r="K2164" s="1" t="s">
        <v>653</v>
      </c>
      <c r="L2164" s="1" t="s">
        <v>906</v>
      </c>
    </row>
    <row r="2165" spans="2:12">
      <c r="B2165" s="1" t="s">
        <v>619</v>
      </c>
      <c r="C2165" s="1" t="s">
        <v>757</v>
      </c>
      <c r="D2165" s="52">
        <v>46065.684027777781</v>
      </c>
      <c r="E2165" s="52">
        <v>46065.684027777781</v>
      </c>
      <c r="F2165" s="52">
        <v>46065.68472222222</v>
      </c>
      <c r="G2165" s="53">
        <v>7.8703703703703705E-4</v>
      </c>
      <c r="H2165" s="1" t="s">
        <v>257</v>
      </c>
      <c r="J2165" s="1" t="s">
        <v>371</v>
      </c>
      <c r="K2165" s="1" t="s">
        <v>653</v>
      </c>
      <c r="L2165" s="1" t="s">
        <v>906</v>
      </c>
    </row>
    <row r="2166" spans="2:12">
      <c r="B2166" s="1" t="s">
        <v>619</v>
      </c>
      <c r="C2166" s="1" t="s">
        <v>757</v>
      </c>
      <c r="D2166" s="52">
        <v>46065.680555555555</v>
      </c>
      <c r="E2166" s="52">
        <v>46065.680555555555</v>
      </c>
      <c r="F2166" s="52">
        <v>46065.681250000001</v>
      </c>
      <c r="G2166" s="53">
        <v>7.7546296296296293E-4</v>
      </c>
      <c r="H2166" s="1" t="s">
        <v>257</v>
      </c>
      <c r="J2166" s="1" t="s">
        <v>371</v>
      </c>
      <c r="K2166" s="1" t="s">
        <v>653</v>
      </c>
      <c r="L2166" s="1" t="s">
        <v>906</v>
      </c>
    </row>
    <row r="2167" spans="2:12">
      <c r="B2167" s="1" t="s">
        <v>619</v>
      </c>
      <c r="C2167" s="1" t="s">
        <v>757</v>
      </c>
      <c r="D2167" s="52">
        <v>46065.677083333336</v>
      </c>
      <c r="E2167" s="52">
        <v>46065.677083333336</v>
      </c>
      <c r="F2167" s="52">
        <v>46065.677777777775</v>
      </c>
      <c r="G2167" s="53">
        <v>7.6388888888888893E-4</v>
      </c>
      <c r="H2167" s="1" t="s">
        <v>257</v>
      </c>
      <c r="J2167" s="1" t="s">
        <v>371</v>
      </c>
      <c r="K2167" s="1" t="s">
        <v>653</v>
      </c>
      <c r="L2167" s="1" t="s">
        <v>906</v>
      </c>
    </row>
    <row r="2168" spans="2:12">
      <c r="B2168" s="1" t="s">
        <v>619</v>
      </c>
      <c r="C2168" s="1" t="s">
        <v>757</v>
      </c>
      <c r="D2168" s="52">
        <v>46065.673611111109</v>
      </c>
      <c r="E2168" s="52">
        <v>46065.673611111109</v>
      </c>
      <c r="F2168" s="52">
        <v>46065.674305555556</v>
      </c>
      <c r="G2168" s="53">
        <v>7.8703703703703705E-4</v>
      </c>
      <c r="H2168" s="1" t="s">
        <v>257</v>
      </c>
      <c r="J2168" s="1" t="s">
        <v>371</v>
      </c>
      <c r="K2168" s="1" t="s">
        <v>653</v>
      </c>
      <c r="L2168" s="1" t="s">
        <v>906</v>
      </c>
    </row>
    <row r="2169" spans="2:12">
      <c r="B2169" s="1" t="s">
        <v>619</v>
      </c>
      <c r="C2169" s="1" t="s">
        <v>757</v>
      </c>
      <c r="D2169" s="52">
        <v>46065.670138888891</v>
      </c>
      <c r="E2169" s="52">
        <v>46065.670138888891</v>
      </c>
      <c r="F2169" s="52">
        <v>46065.67083333333</v>
      </c>
      <c r="G2169" s="53">
        <v>7.6388888888888893E-4</v>
      </c>
      <c r="H2169" s="1" t="s">
        <v>257</v>
      </c>
      <c r="J2169" s="1" t="s">
        <v>371</v>
      </c>
      <c r="K2169" s="1" t="s">
        <v>653</v>
      </c>
      <c r="L2169" s="1" t="s">
        <v>906</v>
      </c>
    </row>
    <row r="2170" spans="2:12">
      <c r="B2170" s="1" t="s">
        <v>619</v>
      </c>
      <c r="C2170" s="1" t="s">
        <v>757</v>
      </c>
      <c r="D2170" s="52">
        <v>46065.666666666664</v>
      </c>
      <c r="E2170" s="52">
        <v>46065.666666666664</v>
      </c>
      <c r="F2170" s="52">
        <v>46065.667361111111</v>
      </c>
      <c r="G2170" s="53">
        <v>7.7546296296296293E-4</v>
      </c>
      <c r="H2170" s="1" t="s">
        <v>257</v>
      </c>
      <c r="J2170" s="1" t="s">
        <v>371</v>
      </c>
      <c r="K2170" s="1" t="s">
        <v>653</v>
      </c>
      <c r="L2170" s="1" t="s">
        <v>906</v>
      </c>
    </row>
    <row r="2171" spans="2:12">
      <c r="B2171" s="1" t="s">
        <v>619</v>
      </c>
      <c r="C2171" s="1" t="s">
        <v>757</v>
      </c>
      <c r="D2171" s="52">
        <v>46065.662499999999</v>
      </c>
      <c r="E2171" s="52">
        <v>46065.662499999999</v>
      </c>
      <c r="F2171" s="52">
        <v>46065.663194444445</v>
      </c>
      <c r="G2171" s="53">
        <v>7.7546296296296293E-4</v>
      </c>
      <c r="H2171" s="1" t="s">
        <v>257</v>
      </c>
      <c r="J2171" s="1" t="s">
        <v>371</v>
      </c>
      <c r="K2171" s="1" t="s">
        <v>653</v>
      </c>
      <c r="L2171" s="1" t="s">
        <v>906</v>
      </c>
    </row>
    <row r="2172" spans="2:12">
      <c r="B2172" s="1" t="s">
        <v>619</v>
      </c>
      <c r="C2172" s="1" t="s">
        <v>757</v>
      </c>
      <c r="D2172" s="52">
        <v>46065.658333333333</v>
      </c>
      <c r="E2172" s="52">
        <v>46065.658333333333</v>
      </c>
      <c r="F2172" s="52">
        <v>46065.65902777778</v>
      </c>
      <c r="G2172" s="53">
        <v>7.8703703703703705E-4</v>
      </c>
      <c r="H2172" s="1" t="s">
        <v>257</v>
      </c>
      <c r="J2172" s="1" t="s">
        <v>371</v>
      </c>
      <c r="K2172" s="1" t="s">
        <v>653</v>
      </c>
      <c r="L2172" s="1" t="s">
        <v>906</v>
      </c>
    </row>
    <row r="2173" spans="2:12">
      <c r="B2173" s="1" t="s">
        <v>619</v>
      </c>
      <c r="C2173" s="1" t="s">
        <v>757</v>
      </c>
      <c r="D2173" s="52">
        <v>46065.654166666667</v>
      </c>
      <c r="E2173" s="52">
        <v>46065.654166666667</v>
      </c>
      <c r="F2173" s="52">
        <v>46065.655555555553</v>
      </c>
      <c r="G2173" s="53">
        <v>7.6388888888888893E-4</v>
      </c>
      <c r="H2173" s="1" t="s">
        <v>257</v>
      </c>
      <c r="J2173" s="1" t="s">
        <v>371</v>
      </c>
      <c r="K2173" s="1" t="s">
        <v>653</v>
      </c>
      <c r="L2173" s="1" t="s">
        <v>906</v>
      </c>
    </row>
    <row r="2174" spans="2:12">
      <c r="B2174" s="1" t="s">
        <v>619</v>
      </c>
      <c r="C2174" s="1" t="s">
        <v>757</v>
      </c>
      <c r="D2174" s="52">
        <v>46065.65</v>
      </c>
      <c r="E2174" s="52">
        <v>46065.65</v>
      </c>
      <c r="F2174" s="52">
        <v>46065.651388888888</v>
      </c>
      <c r="G2174" s="53">
        <v>7.7546296296296293E-4</v>
      </c>
      <c r="H2174" s="1" t="s">
        <v>257</v>
      </c>
      <c r="J2174" s="1" t="s">
        <v>371</v>
      </c>
      <c r="K2174" s="1" t="s">
        <v>653</v>
      </c>
      <c r="L2174" s="1" t="s">
        <v>906</v>
      </c>
    </row>
    <row r="2175" spans="2:12">
      <c r="B2175" s="1" t="s">
        <v>619</v>
      </c>
      <c r="C2175" s="1" t="s">
        <v>757</v>
      </c>
      <c r="D2175" s="52">
        <v>46065.645833333336</v>
      </c>
      <c r="E2175" s="52">
        <v>46065.645833333336</v>
      </c>
      <c r="F2175" s="52">
        <v>46065.646527777775</v>
      </c>
      <c r="G2175" s="53">
        <v>7.8703703703703705E-4</v>
      </c>
      <c r="H2175" s="1" t="s">
        <v>257</v>
      </c>
      <c r="J2175" s="1" t="s">
        <v>371</v>
      </c>
      <c r="K2175" s="1" t="s">
        <v>653</v>
      </c>
      <c r="L2175" s="1" t="s">
        <v>906</v>
      </c>
    </row>
    <row r="2176" spans="2:12">
      <c r="B2176" s="1" t="s">
        <v>619</v>
      </c>
      <c r="C2176" s="1" t="s">
        <v>757</v>
      </c>
      <c r="D2176" s="52">
        <v>46065.592361111114</v>
      </c>
      <c r="E2176" s="52">
        <v>46065.592361111114</v>
      </c>
      <c r="F2176" s="52">
        <v>46065.593055555553</v>
      </c>
      <c r="G2176" s="53">
        <v>7.7546296296296293E-4</v>
      </c>
      <c r="H2176" s="1" t="s">
        <v>257</v>
      </c>
      <c r="J2176" s="1" t="s">
        <v>371</v>
      </c>
      <c r="K2176" s="1" t="s">
        <v>653</v>
      </c>
      <c r="L2176" s="1" t="s">
        <v>906</v>
      </c>
    </row>
    <row r="2177" spans="2:12">
      <c r="B2177" s="1" t="s">
        <v>619</v>
      </c>
      <c r="C2177" s="1" t="s">
        <v>757</v>
      </c>
      <c r="D2177" s="52">
        <v>46065.588888888888</v>
      </c>
      <c r="E2177" s="52">
        <v>46065.588888888888</v>
      </c>
      <c r="F2177" s="52">
        <v>46065.589583333334</v>
      </c>
      <c r="G2177" s="53">
        <v>7.6388888888888893E-4</v>
      </c>
      <c r="H2177" s="1" t="s">
        <v>257</v>
      </c>
      <c r="J2177" s="1" t="s">
        <v>371</v>
      </c>
      <c r="K2177" s="1" t="s">
        <v>653</v>
      </c>
      <c r="L2177" s="1" t="s">
        <v>906</v>
      </c>
    </row>
    <row r="2178" spans="2:12">
      <c r="B2178" s="1" t="s">
        <v>619</v>
      </c>
      <c r="C2178" s="1" t="s">
        <v>757</v>
      </c>
      <c r="D2178" s="52">
        <v>46065.570138888892</v>
      </c>
      <c r="E2178" s="52">
        <v>46065.570138888892</v>
      </c>
      <c r="F2178" s="52">
        <v>46065.570833333331</v>
      </c>
      <c r="G2178" s="53">
        <v>7.8703703703703705E-4</v>
      </c>
      <c r="H2178" s="1" t="s">
        <v>257</v>
      </c>
      <c r="J2178" s="1" t="s">
        <v>371</v>
      </c>
      <c r="K2178" s="1" t="s">
        <v>653</v>
      </c>
      <c r="L2178" s="1" t="s">
        <v>906</v>
      </c>
    </row>
    <row r="2179" spans="2:12">
      <c r="B2179" s="1" t="s">
        <v>619</v>
      </c>
      <c r="C2179" s="1" t="s">
        <v>757</v>
      </c>
      <c r="D2179" s="52">
        <v>46065.565972222219</v>
      </c>
      <c r="E2179" s="52">
        <v>46065.565972222219</v>
      </c>
      <c r="F2179" s="52">
        <v>46065.566666666666</v>
      </c>
      <c r="G2179" s="53">
        <v>7.6388888888888893E-4</v>
      </c>
      <c r="H2179" s="1" t="s">
        <v>257</v>
      </c>
      <c r="J2179" s="1" t="s">
        <v>371</v>
      </c>
      <c r="K2179" s="1" t="s">
        <v>653</v>
      </c>
      <c r="L2179" s="1" t="s">
        <v>906</v>
      </c>
    </row>
    <row r="2180" spans="2:12">
      <c r="B2180" s="1" t="s">
        <v>619</v>
      </c>
      <c r="C2180" s="1" t="s">
        <v>757</v>
      </c>
      <c r="D2180" s="52">
        <v>46063.701388888891</v>
      </c>
      <c r="E2180" s="52">
        <v>46063.701388888891</v>
      </c>
      <c r="F2180" s="52">
        <v>46063.722916666666</v>
      </c>
      <c r="G2180" s="53">
        <v>2.1435185185185186E-2</v>
      </c>
      <c r="H2180" s="1" t="s">
        <v>257</v>
      </c>
      <c r="J2180" s="1" t="s">
        <v>371</v>
      </c>
      <c r="K2180" s="1" t="s">
        <v>653</v>
      </c>
      <c r="L2180" s="1" t="s">
        <v>906</v>
      </c>
    </row>
    <row r="2181" spans="2:12">
      <c r="B2181" s="1" t="s">
        <v>619</v>
      </c>
      <c r="C2181" s="1" t="s">
        <v>757</v>
      </c>
      <c r="D2181" s="52">
        <v>46063.663194444445</v>
      </c>
      <c r="E2181" s="52">
        <v>46063.663194444445</v>
      </c>
      <c r="F2181" s="52">
        <v>46063.663888888892</v>
      </c>
      <c r="G2181" s="53">
        <v>7.5231481481481482E-4</v>
      </c>
      <c r="H2181" s="1" t="s">
        <v>257</v>
      </c>
      <c r="J2181" s="1" t="s">
        <v>371</v>
      </c>
      <c r="K2181" s="1" t="s">
        <v>653</v>
      </c>
      <c r="L2181" s="1" t="s">
        <v>906</v>
      </c>
    </row>
    <row r="2182" spans="2:12">
      <c r="B2182" s="1" t="s">
        <v>619</v>
      </c>
      <c r="C2182" s="1" t="s">
        <v>757</v>
      </c>
      <c r="D2182" s="52">
        <v>46063.649305555555</v>
      </c>
      <c r="E2182" s="52">
        <v>46063.649305555555</v>
      </c>
      <c r="F2182" s="52">
        <v>46063.65</v>
      </c>
      <c r="G2182" s="53">
        <v>7.7546296296296293E-4</v>
      </c>
      <c r="H2182" s="1" t="s">
        <v>257</v>
      </c>
      <c r="J2182" s="1" t="s">
        <v>371</v>
      </c>
      <c r="K2182" s="1" t="s">
        <v>653</v>
      </c>
      <c r="L2182" s="1" t="s">
        <v>906</v>
      </c>
    </row>
    <row r="2183" spans="2:12">
      <c r="B2183" s="1" t="s">
        <v>619</v>
      </c>
      <c r="C2183" s="1" t="s">
        <v>757</v>
      </c>
      <c r="D2183" s="52">
        <v>46063.642361111109</v>
      </c>
      <c r="E2183" s="52">
        <v>46063.642361111109</v>
      </c>
      <c r="F2183" s="52">
        <v>46063.643055555556</v>
      </c>
      <c r="G2183" s="53">
        <v>7.5231481481481482E-4</v>
      </c>
      <c r="H2183" s="1" t="s">
        <v>257</v>
      </c>
      <c r="J2183" s="1" t="s">
        <v>371</v>
      </c>
      <c r="K2183" s="1" t="s">
        <v>653</v>
      </c>
      <c r="L2183" s="1" t="s">
        <v>906</v>
      </c>
    </row>
    <row r="2184" spans="2:12">
      <c r="B2184" s="1" t="s">
        <v>619</v>
      </c>
      <c r="C2184" s="1" t="s">
        <v>757</v>
      </c>
      <c r="D2184" s="52">
        <v>46063.635416666664</v>
      </c>
      <c r="E2184" s="52">
        <v>46063.635416666664</v>
      </c>
      <c r="F2184" s="52">
        <v>46063.636111111111</v>
      </c>
      <c r="G2184" s="53">
        <v>7.7546296296296293E-4</v>
      </c>
      <c r="H2184" s="1" t="s">
        <v>257</v>
      </c>
      <c r="J2184" s="1" t="s">
        <v>371</v>
      </c>
      <c r="K2184" s="1" t="s">
        <v>653</v>
      </c>
      <c r="L2184" s="1" t="s">
        <v>906</v>
      </c>
    </row>
    <row r="2185" spans="2:12">
      <c r="B2185" s="1" t="s">
        <v>619</v>
      </c>
      <c r="C2185" s="1" t="s">
        <v>757</v>
      </c>
      <c r="D2185" s="52">
        <v>46063.629166666666</v>
      </c>
      <c r="E2185" s="52">
        <v>46063.629166666666</v>
      </c>
      <c r="F2185" s="52">
        <v>46063.629861111112</v>
      </c>
      <c r="G2185" s="53">
        <v>7.5231481481481482E-4</v>
      </c>
      <c r="H2185" s="1" t="s">
        <v>257</v>
      </c>
      <c r="J2185" s="1" t="s">
        <v>371</v>
      </c>
      <c r="K2185" s="1" t="s">
        <v>653</v>
      </c>
      <c r="L2185" s="1" t="s">
        <v>906</v>
      </c>
    </row>
    <row r="2186" spans="2:12">
      <c r="B2186" s="1" t="s">
        <v>619</v>
      </c>
      <c r="C2186" s="1" t="s">
        <v>757</v>
      </c>
      <c r="D2186" s="52">
        <v>46063.620833333334</v>
      </c>
      <c r="E2186" s="52">
        <v>46063.620833333334</v>
      </c>
      <c r="F2186" s="52">
        <v>46063.621527777781</v>
      </c>
      <c r="G2186" s="53">
        <v>7.407407407407407E-4</v>
      </c>
      <c r="H2186" s="1" t="s">
        <v>257</v>
      </c>
      <c r="J2186" s="1" t="s">
        <v>371</v>
      </c>
      <c r="K2186" s="1" t="s">
        <v>653</v>
      </c>
      <c r="L2186" s="1" t="s">
        <v>906</v>
      </c>
    </row>
    <row r="2187" spans="2:12">
      <c r="B2187" s="1" t="s">
        <v>619</v>
      </c>
      <c r="C2187" s="1" t="s">
        <v>757</v>
      </c>
      <c r="D2187" s="52">
        <v>46063.614583333336</v>
      </c>
      <c r="E2187" s="52">
        <v>46063.614583333336</v>
      </c>
      <c r="F2187" s="52">
        <v>46063.615277777775</v>
      </c>
      <c r="G2187" s="53">
        <v>7.5231481481481482E-4</v>
      </c>
      <c r="H2187" s="1" t="s">
        <v>257</v>
      </c>
      <c r="J2187" s="1" t="s">
        <v>371</v>
      </c>
      <c r="K2187" s="1" t="s">
        <v>653</v>
      </c>
      <c r="L2187" s="1" t="s">
        <v>906</v>
      </c>
    </row>
    <row r="2188" spans="2:12">
      <c r="B2188" s="1" t="s">
        <v>619</v>
      </c>
      <c r="C2188" s="1" t="s">
        <v>757</v>
      </c>
      <c r="D2188" s="52">
        <v>46063.606944444444</v>
      </c>
      <c r="E2188" s="52">
        <v>46063.606944444444</v>
      </c>
      <c r="F2188" s="52">
        <v>46063.607638888891</v>
      </c>
      <c r="G2188" s="53">
        <v>7.5231481481481482E-4</v>
      </c>
      <c r="H2188" s="1" t="s">
        <v>257</v>
      </c>
      <c r="J2188" s="1" t="s">
        <v>371</v>
      </c>
      <c r="K2188" s="1" t="s">
        <v>653</v>
      </c>
      <c r="L2188" s="1" t="s">
        <v>906</v>
      </c>
    </row>
    <row r="2189" spans="2:12">
      <c r="B2189" s="1" t="s">
        <v>619</v>
      </c>
      <c r="C2189" s="1" t="s">
        <v>757</v>
      </c>
      <c r="D2189" s="52">
        <v>46063.6</v>
      </c>
      <c r="E2189" s="52">
        <v>46063.6</v>
      </c>
      <c r="F2189" s="52">
        <v>46063.600694444445</v>
      </c>
      <c r="G2189" s="53">
        <v>7.5231481481481482E-4</v>
      </c>
      <c r="H2189" s="1" t="s">
        <v>257</v>
      </c>
      <c r="J2189" s="1" t="s">
        <v>371</v>
      </c>
      <c r="K2189" s="1" t="s">
        <v>653</v>
      </c>
      <c r="L2189" s="1" t="s">
        <v>906</v>
      </c>
    </row>
    <row r="2190" spans="2:12">
      <c r="B2190" s="1" t="s">
        <v>619</v>
      </c>
      <c r="C2190" s="1" t="s">
        <v>757</v>
      </c>
      <c r="D2190" s="52">
        <v>46063.59375</v>
      </c>
      <c r="E2190" s="52">
        <v>46063.59375</v>
      </c>
      <c r="F2190" s="52">
        <v>46063.594444444447</v>
      </c>
      <c r="G2190" s="53">
        <v>7.6388888888888893E-4</v>
      </c>
      <c r="H2190" s="1" t="s">
        <v>257</v>
      </c>
      <c r="J2190" s="1" t="s">
        <v>371</v>
      </c>
      <c r="K2190" s="1" t="s">
        <v>653</v>
      </c>
      <c r="L2190" s="1" t="s">
        <v>906</v>
      </c>
    </row>
    <row r="2191" spans="2:12">
      <c r="B2191" s="1" t="s">
        <v>619</v>
      </c>
      <c r="C2191" s="1" t="s">
        <v>757</v>
      </c>
      <c r="D2191" s="52">
        <v>46063.584722222222</v>
      </c>
      <c r="E2191" s="52">
        <v>46063.584722222222</v>
      </c>
      <c r="F2191" s="52">
        <v>46063.585416666669</v>
      </c>
      <c r="G2191" s="53">
        <v>7.5231481481481482E-4</v>
      </c>
      <c r="H2191" s="1" t="s">
        <v>257</v>
      </c>
      <c r="J2191" s="1" t="s">
        <v>371</v>
      </c>
      <c r="K2191" s="1" t="s">
        <v>653</v>
      </c>
      <c r="L2191" s="1" t="s">
        <v>906</v>
      </c>
    </row>
    <row r="2192" spans="2:12">
      <c r="B2192" s="1" t="s">
        <v>619</v>
      </c>
      <c r="C2192" s="1" t="s">
        <v>757</v>
      </c>
      <c r="D2192" s="52">
        <v>46063.543749999997</v>
      </c>
      <c r="E2192" s="52">
        <v>46063.543749999997</v>
      </c>
      <c r="F2192" s="52">
        <v>46063.544444444444</v>
      </c>
      <c r="G2192" s="53">
        <v>7.6388888888888893E-4</v>
      </c>
      <c r="H2192" s="1" t="s">
        <v>257</v>
      </c>
      <c r="J2192" s="1" t="s">
        <v>371</v>
      </c>
      <c r="K2192" s="1" t="s">
        <v>653</v>
      </c>
      <c r="L2192" s="1" t="s">
        <v>906</v>
      </c>
    </row>
    <row r="2193" spans="2:12">
      <c r="B2193" s="1" t="s">
        <v>619</v>
      </c>
      <c r="C2193" s="1" t="s">
        <v>757</v>
      </c>
      <c r="D2193" s="52">
        <v>46061.53402777778</v>
      </c>
      <c r="E2193" s="52">
        <v>46061.53402777778</v>
      </c>
      <c r="F2193" s="52">
        <v>46061.534722222219</v>
      </c>
      <c r="G2193" s="53">
        <v>7.291666666666667E-4</v>
      </c>
      <c r="H2193" s="1" t="s">
        <v>257</v>
      </c>
      <c r="J2193" s="1" t="s">
        <v>371</v>
      </c>
      <c r="K2193" s="1" t="s">
        <v>653</v>
      </c>
      <c r="L2193" s="1" t="s">
        <v>906</v>
      </c>
    </row>
    <row r="2194" spans="2:12">
      <c r="B2194" s="1" t="s">
        <v>619</v>
      </c>
      <c r="C2194" s="1" t="s">
        <v>757</v>
      </c>
      <c r="D2194" s="52">
        <v>46061.52847222222</v>
      </c>
      <c r="E2194" s="52">
        <v>46061.52847222222</v>
      </c>
      <c r="F2194" s="52">
        <v>46061.529166666667</v>
      </c>
      <c r="G2194" s="53">
        <v>7.5231481481481482E-4</v>
      </c>
      <c r="H2194" s="1" t="s">
        <v>257</v>
      </c>
      <c r="J2194" s="1" t="s">
        <v>371</v>
      </c>
      <c r="K2194" s="1" t="s">
        <v>653</v>
      </c>
      <c r="L2194" s="1" t="s">
        <v>906</v>
      </c>
    </row>
    <row r="2195" spans="2:12">
      <c r="B2195" s="1" t="s">
        <v>619</v>
      </c>
      <c r="C2195" s="1" t="s">
        <v>757</v>
      </c>
      <c r="D2195" s="52">
        <v>46061.524305555555</v>
      </c>
      <c r="E2195" s="52">
        <v>46061.524305555555</v>
      </c>
      <c r="F2195" s="52">
        <v>46061.525000000001</v>
      </c>
      <c r="G2195" s="53">
        <v>7.7546296296296293E-4</v>
      </c>
      <c r="H2195" s="1" t="s">
        <v>257</v>
      </c>
      <c r="J2195" s="1" t="s">
        <v>371</v>
      </c>
      <c r="K2195" s="1" t="s">
        <v>653</v>
      </c>
      <c r="L2195" s="1" t="s">
        <v>906</v>
      </c>
    </row>
    <row r="2196" spans="2:12">
      <c r="B2196" s="1" t="s">
        <v>619</v>
      </c>
      <c r="C2196" s="1" t="s">
        <v>757</v>
      </c>
      <c r="D2196" s="52">
        <v>46061.491666666669</v>
      </c>
      <c r="E2196" s="52">
        <v>46061.491666666669</v>
      </c>
      <c r="F2196" s="52">
        <v>46061.492361111108</v>
      </c>
      <c r="G2196" s="53">
        <v>7.7546296296296293E-4</v>
      </c>
      <c r="H2196" s="1" t="s">
        <v>257</v>
      </c>
      <c r="J2196" s="1" t="s">
        <v>371</v>
      </c>
      <c r="K2196" s="1" t="s">
        <v>653</v>
      </c>
      <c r="L2196" s="1" t="s">
        <v>906</v>
      </c>
    </row>
    <row r="2197" spans="2:12">
      <c r="B2197" s="1" t="s">
        <v>619</v>
      </c>
      <c r="C2197" s="1" t="s">
        <v>757</v>
      </c>
      <c r="D2197" s="52">
        <v>46061.470138888886</v>
      </c>
      <c r="E2197" s="52">
        <v>46061.470138888886</v>
      </c>
      <c r="F2197" s="52">
        <v>46061.470833333333</v>
      </c>
      <c r="G2197" s="53">
        <v>7.6388888888888893E-4</v>
      </c>
      <c r="H2197" s="1" t="s">
        <v>257</v>
      </c>
      <c r="J2197" s="1" t="s">
        <v>371</v>
      </c>
      <c r="K2197" s="1" t="s">
        <v>653</v>
      </c>
      <c r="L2197" s="1" t="s">
        <v>906</v>
      </c>
    </row>
    <row r="2198" spans="2:12">
      <c r="B2198" s="1" t="s">
        <v>619</v>
      </c>
      <c r="C2198" s="1" t="s">
        <v>757</v>
      </c>
      <c r="D2198" s="52">
        <v>46061.46597222222</v>
      </c>
      <c r="E2198" s="52">
        <v>46061.46597222222</v>
      </c>
      <c r="F2198" s="52">
        <v>46061.467361111114</v>
      </c>
      <c r="G2198" s="53">
        <v>7.8703703703703705E-4</v>
      </c>
      <c r="H2198" s="1" t="s">
        <v>257</v>
      </c>
      <c r="J2198" s="1" t="s">
        <v>371</v>
      </c>
      <c r="K2198" s="1" t="s">
        <v>653</v>
      </c>
      <c r="L2198" s="1" t="s">
        <v>906</v>
      </c>
    </row>
    <row r="2199" spans="2:12">
      <c r="B2199" s="1" t="s">
        <v>619</v>
      </c>
      <c r="C2199" s="1" t="s">
        <v>757</v>
      </c>
      <c r="D2199" s="52">
        <v>46061.461805555555</v>
      </c>
      <c r="E2199" s="52">
        <v>46061.461805555555</v>
      </c>
      <c r="F2199" s="52">
        <v>46061.462500000001</v>
      </c>
      <c r="G2199" s="53">
        <v>7.6388888888888893E-4</v>
      </c>
      <c r="H2199" s="1" t="s">
        <v>257</v>
      </c>
      <c r="J2199" s="1" t="s">
        <v>371</v>
      </c>
      <c r="K2199" s="1" t="s">
        <v>653</v>
      </c>
      <c r="L2199" s="1" t="s">
        <v>906</v>
      </c>
    </row>
    <row r="2200" spans="2:12">
      <c r="B2200" s="1" t="s">
        <v>619</v>
      </c>
      <c r="C2200" s="1" t="s">
        <v>757</v>
      </c>
      <c r="D2200" s="52">
        <v>46060.581250000003</v>
      </c>
      <c r="E2200" s="52">
        <v>46060.581250000003</v>
      </c>
      <c r="F2200" s="52">
        <v>46060.581944444442</v>
      </c>
      <c r="G2200" s="53">
        <v>7.7546296296296293E-4</v>
      </c>
      <c r="H2200" s="1" t="s">
        <v>257</v>
      </c>
      <c r="J2200" s="1" t="s">
        <v>371</v>
      </c>
      <c r="K2200" s="1" t="s">
        <v>653</v>
      </c>
      <c r="L2200" s="1" t="s">
        <v>906</v>
      </c>
    </row>
    <row r="2201" spans="2:12">
      <c r="B2201" s="1" t="s">
        <v>619</v>
      </c>
      <c r="C2201" s="1" t="s">
        <v>757</v>
      </c>
      <c r="D2201" s="52">
        <v>46060.519444444442</v>
      </c>
      <c r="E2201" s="52">
        <v>46060.519444444442</v>
      </c>
      <c r="F2201" s="52">
        <v>46060.520138888889</v>
      </c>
      <c r="G2201" s="53">
        <v>7.6388888888888893E-4</v>
      </c>
      <c r="H2201" s="1" t="s">
        <v>257</v>
      </c>
      <c r="J2201" s="1" t="s">
        <v>371</v>
      </c>
      <c r="K2201" s="1" t="s">
        <v>653</v>
      </c>
      <c r="L2201" s="1" t="s">
        <v>906</v>
      </c>
    </row>
    <row r="2202" spans="2:12">
      <c r="B2202" s="1" t="s">
        <v>619</v>
      </c>
      <c r="C2202" s="1" t="s">
        <v>757</v>
      </c>
      <c r="D2202" s="52">
        <v>46060.515277777777</v>
      </c>
      <c r="E2202" s="52">
        <v>46060.515277777777</v>
      </c>
      <c r="F2202" s="52">
        <v>46060.515972222223</v>
      </c>
      <c r="G2202" s="53">
        <v>7.7546296296296293E-4</v>
      </c>
      <c r="H2202" s="1" t="s">
        <v>257</v>
      </c>
      <c r="J2202" s="1" t="s">
        <v>371</v>
      </c>
      <c r="K2202" s="1" t="s">
        <v>653</v>
      </c>
      <c r="L2202" s="1" t="s">
        <v>906</v>
      </c>
    </row>
    <row r="2203" spans="2:12">
      <c r="B2203" s="1" t="s">
        <v>619</v>
      </c>
      <c r="C2203" s="1" t="s">
        <v>757</v>
      </c>
      <c r="D2203" s="52">
        <v>46060.509027777778</v>
      </c>
      <c r="E2203" s="52">
        <v>46060.509027777778</v>
      </c>
      <c r="F2203" s="52">
        <v>46060.509722222225</v>
      </c>
      <c r="G2203" s="53">
        <v>7.9861111111111116E-4</v>
      </c>
      <c r="H2203" s="1" t="s">
        <v>257</v>
      </c>
      <c r="J2203" s="1" t="s">
        <v>371</v>
      </c>
      <c r="K2203" s="1" t="s">
        <v>653</v>
      </c>
      <c r="L2203" s="1" t="s">
        <v>906</v>
      </c>
    </row>
    <row r="2204" spans="2:12">
      <c r="B2204" s="1" t="s">
        <v>619</v>
      </c>
      <c r="C2204" s="1" t="s">
        <v>757</v>
      </c>
      <c r="D2204" s="52">
        <v>46060.504861111112</v>
      </c>
      <c r="E2204" s="52">
        <v>46060.504861111112</v>
      </c>
      <c r="F2204" s="52">
        <v>46060.505555555559</v>
      </c>
      <c r="G2204" s="53">
        <v>7.6388888888888893E-4</v>
      </c>
      <c r="H2204" s="1" t="s">
        <v>257</v>
      </c>
      <c r="J2204" s="1" t="s">
        <v>371</v>
      </c>
      <c r="K2204" s="1" t="s">
        <v>653</v>
      </c>
      <c r="L2204" s="1" t="s">
        <v>906</v>
      </c>
    </row>
    <row r="2205" spans="2:12">
      <c r="B2205" s="1" t="s">
        <v>619</v>
      </c>
      <c r="C2205" s="1" t="s">
        <v>757</v>
      </c>
      <c r="D2205" s="52">
        <v>46060.502083333333</v>
      </c>
      <c r="E2205" s="52">
        <v>46060.502083333333</v>
      </c>
      <c r="F2205" s="52">
        <v>46060.50277777778</v>
      </c>
      <c r="G2205" s="53">
        <v>7.7546296296296293E-4</v>
      </c>
      <c r="H2205" s="1" t="s">
        <v>257</v>
      </c>
      <c r="J2205" s="1" t="s">
        <v>371</v>
      </c>
      <c r="K2205" s="1" t="s">
        <v>653</v>
      </c>
      <c r="L2205" s="1" t="s">
        <v>906</v>
      </c>
    </row>
    <row r="2206" spans="2:12">
      <c r="B2206" s="1" t="s">
        <v>619</v>
      </c>
      <c r="C2206" s="1" t="s">
        <v>757</v>
      </c>
      <c r="D2206" s="52">
        <v>46060.498611111114</v>
      </c>
      <c r="E2206" s="52">
        <v>46060.498611111114</v>
      </c>
      <c r="F2206" s="52">
        <v>46060.499305555553</v>
      </c>
      <c r="G2206" s="53">
        <v>7.8703703703703705E-4</v>
      </c>
      <c r="H2206" s="1" t="s">
        <v>257</v>
      </c>
      <c r="J2206" s="1" t="s">
        <v>371</v>
      </c>
      <c r="K2206" s="1" t="s">
        <v>653</v>
      </c>
      <c r="L2206" s="1" t="s">
        <v>906</v>
      </c>
    </row>
    <row r="2207" spans="2:12">
      <c r="B2207" s="1" t="s">
        <v>619</v>
      </c>
      <c r="C2207" s="1" t="s">
        <v>757</v>
      </c>
      <c r="D2207" s="52">
        <v>46060.495138888888</v>
      </c>
      <c r="E2207" s="52">
        <v>46060.495138888888</v>
      </c>
      <c r="F2207" s="52">
        <v>46060.495833333334</v>
      </c>
      <c r="G2207" s="53">
        <v>7.7546296296296293E-4</v>
      </c>
      <c r="H2207" s="1" t="s">
        <v>257</v>
      </c>
      <c r="J2207" s="1" t="s">
        <v>371</v>
      </c>
      <c r="K2207" s="1" t="s">
        <v>653</v>
      </c>
      <c r="L2207" s="1" t="s">
        <v>906</v>
      </c>
    </row>
    <row r="2208" spans="2:12">
      <c r="B2208" s="1" t="s">
        <v>619</v>
      </c>
      <c r="C2208" s="1" t="s">
        <v>757</v>
      </c>
      <c r="D2208" s="52">
        <v>46060.489583333336</v>
      </c>
      <c r="E2208" s="52">
        <v>46060.489583333336</v>
      </c>
      <c r="F2208" s="52">
        <v>46060.490277777775</v>
      </c>
      <c r="G2208" s="53">
        <v>8.4490740740740739E-4</v>
      </c>
      <c r="H2208" s="1" t="s">
        <v>257</v>
      </c>
      <c r="J2208" s="1" t="s">
        <v>371</v>
      </c>
      <c r="K2208" s="1" t="s">
        <v>653</v>
      </c>
      <c r="L2208" s="1" t="s">
        <v>906</v>
      </c>
    </row>
    <row r="2209" spans="2:12">
      <c r="B2209" s="1" t="s">
        <v>619</v>
      </c>
      <c r="C2209" s="1" t="s">
        <v>757</v>
      </c>
      <c r="D2209" s="52">
        <v>46060.486111111109</v>
      </c>
      <c r="E2209" s="52">
        <v>46060.486111111109</v>
      </c>
      <c r="F2209" s="52">
        <v>46060.486805555556</v>
      </c>
      <c r="G2209" s="53">
        <v>7.7546296296296293E-4</v>
      </c>
      <c r="H2209" s="1" t="s">
        <v>257</v>
      </c>
      <c r="J2209" s="1" t="s">
        <v>371</v>
      </c>
      <c r="K2209" s="1" t="s">
        <v>653</v>
      </c>
      <c r="L2209" s="1" t="s">
        <v>906</v>
      </c>
    </row>
    <row r="2210" spans="2:12">
      <c r="B2210" s="1" t="s">
        <v>619</v>
      </c>
      <c r="C2210" s="1" t="s">
        <v>757</v>
      </c>
      <c r="D2210" s="52">
        <v>46060.481944444444</v>
      </c>
      <c r="E2210" s="52">
        <v>46060.481944444444</v>
      </c>
      <c r="F2210" s="52">
        <v>46060.482638888891</v>
      </c>
      <c r="G2210" s="53">
        <v>7.7546296296296293E-4</v>
      </c>
      <c r="H2210" s="1" t="s">
        <v>257</v>
      </c>
      <c r="J2210" s="1" t="s">
        <v>371</v>
      </c>
      <c r="K2210" s="1" t="s">
        <v>653</v>
      </c>
      <c r="L2210" s="1" t="s">
        <v>906</v>
      </c>
    </row>
    <row r="2211" spans="2:12">
      <c r="B2211" s="1" t="s">
        <v>619</v>
      </c>
      <c r="C2211" s="1" t="s">
        <v>757</v>
      </c>
      <c r="D2211" s="52">
        <v>46060.477777777778</v>
      </c>
      <c r="E2211" s="52">
        <v>46060.477777777778</v>
      </c>
      <c r="F2211" s="52">
        <v>46060.478472222225</v>
      </c>
      <c r="G2211" s="53">
        <v>7.6388888888888893E-4</v>
      </c>
      <c r="H2211" s="1" t="s">
        <v>257</v>
      </c>
      <c r="J2211" s="1" t="s">
        <v>371</v>
      </c>
      <c r="K2211" s="1" t="s">
        <v>653</v>
      </c>
      <c r="L2211" s="1" t="s">
        <v>906</v>
      </c>
    </row>
    <row r="2212" spans="2:12">
      <c r="B2212" s="1" t="s">
        <v>619</v>
      </c>
      <c r="C2212" s="1" t="s">
        <v>757</v>
      </c>
      <c r="D2212" s="52">
        <v>46060.472916666666</v>
      </c>
      <c r="E2212" s="52">
        <v>46060.472916666666</v>
      </c>
      <c r="F2212" s="52">
        <v>46060.474305555559</v>
      </c>
      <c r="G2212" s="53">
        <v>7.8703703703703705E-4</v>
      </c>
      <c r="H2212" s="1" t="s">
        <v>257</v>
      </c>
      <c r="J2212" s="1" t="s">
        <v>371</v>
      </c>
      <c r="K2212" s="1" t="s">
        <v>653</v>
      </c>
      <c r="L2212" s="1" t="s">
        <v>906</v>
      </c>
    </row>
    <row r="2213" spans="2:12">
      <c r="B2213" s="1" t="s">
        <v>619</v>
      </c>
      <c r="C2213" s="1" t="s">
        <v>757</v>
      </c>
      <c r="D2213" s="52">
        <v>46060.441666666666</v>
      </c>
      <c r="E2213" s="52">
        <v>46060.441666666666</v>
      </c>
      <c r="F2213" s="52">
        <v>46060.442361111112</v>
      </c>
      <c r="G2213" s="53">
        <v>7.6388888888888893E-4</v>
      </c>
      <c r="H2213" s="1" t="s">
        <v>257</v>
      </c>
      <c r="J2213" s="1" t="s">
        <v>371</v>
      </c>
      <c r="K2213" s="1" t="s">
        <v>653</v>
      </c>
      <c r="L2213" s="1" t="s">
        <v>906</v>
      </c>
    </row>
    <row r="2214" spans="2:12">
      <c r="B2214" s="1" t="s">
        <v>619</v>
      </c>
      <c r="C2214" s="1" t="s">
        <v>757</v>
      </c>
      <c r="D2214" s="52">
        <v>46060.43472222222</v>
      </c>
      <c r="E2214" s="52">
        <v>46060.43472222222</v>
      </c>
      <c r="F2214" s="52">
        <v>46060.435416666667</v>
      </c>
      <c r="G2214" s="53">
        <v>7.7546296296296293E-4</v>
      </c>
      <c r="H2214" s="1" t="s">
        <v>257</v>
      </c>
      <c r="J2214" s="1" t="s">
        <v>371</v>
      </c>
      <c r="K2214" s="1" t="s">
        <v>653</v>
      </c>
      <c r="L2214" s="1" t="s">
        <v>906</v>
      </c>
    </row>
    <row r="2215" spans="2:12">
      <c r="B2215" s="1" t="s">
        <v>619</v>
      </c>
      <c r="C2215" s="1" t="s">
        <v>757</v>
      </c>
      <c r="D2215" s="52">
        <v>46060.430555555555</v>
      </c>
      <c r="E2215" s="52">
        <v>46060.430555555555</v>
      </c>
      <c r="F2215" s="52">
        <v>46060.431250000001</v>
      </c>
      <c r="G2215" s="53">
        <v>7.7546296296296293E-4</v>
      </c>
      <c r="H2215" s="1" t="s">
        <v>257</v>
      </c>
      <c r="J2215" s="1" t="s">
        <v>371</v>
      </c>
      <c r="K2215" s="1" t="s">
        <v>653</v>
      </c>
      <c r="L2215" s="1" t="s">
        <v>906</v>
      </c>
    </row>
    <row r="2216" spans="2:12">
      <c r="B2216" s="1" t="s">
        <v>619</v>
      </c>
      <c r="C2216" s="1" t="s">
        <v>757</v>
      </c>
      <c r="D2216" s="52">
        <v>46060.426388888889</v>
      </c>
      <c r="E2216" s="52">
        <v>46060.426388888889</v>
      </c>
      <c r="F2216" s="52">
        <v>46060.427777777775</v>
      </c>
      <c r="G2216" s="53">
        <v>7.7546296296296293E-4</v>
      </c>
      <c r="H2216" s="1" t="s">
        <v>257</v>
      </c>
      <c r="J2216" s="1" t="s">
        <v>371</v>
      </c>
      <c r="K2216" s="1" t="s">
        <v>653</v>
      </c>
      <c r="L2216" s="1" t="s">
        <v>906</v>
      </c>
    </row>
    <row r="2217" spans="2:12">
      <c r="B2217" s="1" t="s">
        <v>619</v>
      </c>
      <c r="C2217" s="1" t="s">
        <v>757</v>
      </c>
      <c r="D2217" s="52">
        <v>46060.405555555553</v>
      </c>
      <c r="E2217" s="52">
        <v>46060.405555555553</v>
      </c>
      <c r="F2217" s="52">
        <v>46060.40625</v>
      </c>
      <c r="G2217" s="53">
        <v>1.0416666666666667E-3</v>
      </c>
      <c r="H2217" s="1" t="s">
        <v>257</v>
      </c>
      <c r="J2217" s="1" t="s">
        <v>371</v>
      </c>
      <c r="K2217" s="1" t="s">
        <v>653</v>
      </c>
      <c r="L2217" s="1" t="s">
        <v>906</v>
      </c>
    </row>
    <row r="2218" spans="2:12">
      <c r="B2218" s="1" t="s">
        <v>619</v>
      </c>
      <c r="C2218" s="1" t="s">
        <v>757</v>
      </c>
      <c r="D2218" s="52">
        <v>46060.393750000003</v>
      </c>
      <c r="E2218" s="52">
        <v>46060.393750000003</v>
      </c>
      <c r="F2218" s="52">
        <v>46060.394444444442</v>
      </c>
      <c r="G2218" s="53">
        <v>7.7546296296296293E-4</v>
      </c>
      <c r="H2218" s="1" t="s">
        <v>257</v>
      </c>
      <c r="J2218" s="1" t="s">
        <v>371</v>
      </c>
      <c r="K2218" s="1" t="s">
        <v>653</v>
      </c>
      <c r="L2218" s="1" t="s">
        <v>906</v>
      </c>
    </row>
    <row r="2219" spans="2:12">
      <c r="B2219" s="1" t="s">
        <v>619</v>
      </c>
      <c r="C2219" s="1" t="s">
        <v>757</v>
      </c>
      <c r="D2219" s="52">
        <v>46060.38958333333</v>
      </c>
      <c r="E2219" s="52">
        <v>46060.38958333333</v>
      </c>
      <c r="F2219" s="52">
        <v>46060.390277777777</v>
      </c>
      <c r="G2219" s="53">
        <v>7.6388888888888893E-4</v>
      </c>
      <c r="H2219" s="1" t="s">
        <v>257</v>
      </c>
      <c r="J2219" s="1" t="s">
        <v>371</v>
      </c>
      <c r="K2219" s="1" t="s">
        <v>653</v>
      </c>
      <c r="L2219" s="1" t="s">
        <v>906</v>
      </c>
    </row>
    <row r="2220" spans="2:12">
      <c r="B2220" s="1" t="s">
        <v>619</v>
      </c>
      <c r="C2220" s="1" t="s">
        <v>757</v>
      </c>
      <c r="D2220" s="52">
        <v>46060.384027777778</v>
      </c>
      <c r="E2220" s="52">
        <v>46060.384027777778</v>
      </c>
      <c r="F2220" s="52">
        <v>46060.384722222225</v>
      </c>
      <c r="G2220" s="53">
        <v>7.7546296296296293E-4</v>
      </c>
      <c r="H2220" s="1" t="s">
        <v>257</v>
      </c>
      <c r="J2220" s="1" t="s">
        <v>371</v>
      </c>
      <c r="K2220" s="1" t="s">
        <v>653</v>
      </c>
      <c r="L2220" s="1" t="s">
        <v>906</v>
      </c>
    </row>
    <row r="2221" spans="2:12">
      <c r="B2221" s="1" t="s">
        <v>619</v>
      </c>
      <c r="C2221" s="1" t="s">
        <v>757</v>
      </c>
      <c r="D2221" s="52">
        <v>46059.657638888886</v>
      </c>
      <c r="E2221" s="52">
        <v>46059.657638888886</v>
      </c>
      <c r="F2221" s="52">
        <v>46059.658333333333</v>
      </c>
      <c r="G2221" s="53">
        <v>7.6388888888888893E-4</v>
      </c>
      <c r="H2221" s="1" t="s">
        <v>257</v>
      </c>
      <c r="J2221" s="1" t="s">
        <v>371</v>
      </c>
      <c r="K2221" s="1" t="s">
        <v>653</v>
      </c>
      <c r="L2221" s="1" t="s">
        <v>906</v>
      </c>
    </row>
    <row r="2222" spans="2:12">
      <c r="B2222" s="1" t="s">
        <v>619</v>
      </c>
      <c r="C2222" s="1" t="s">
        <v>757</v>
      </c>
      <c r="D2222" s="52">
        <v>46059.65347222222</v>
      </c>
      <c r="E2222" s="52">
        <v>46059.65347222222</v>
      </c>
      <c r="F2222" s="52">
        <v>46059.654166666667</v>
      </c>
      <c r="G2222" s="53">
        <v>7.5231481481481482E-4</v>
      </c>
      <c r="H2222" s="1" t="s">
        <v>257</v>
      </c>
      <c r="J2222" s="1" t="s">
        <v>371</v>
      </c>
      <c r="K2222" s="1" t="s">
        <v>653</v>
      </c>
      <c r="L2222" s="1" t="s">
        <v>906</v>
      </c>
    </row>
    <row r="2223" spans="2:12">
      <c r="B2223" s="1" t="s">
        <v>619</v>
      </c>
      <c r="C2223" s="1" t="s">
        <v>757</v>
      </c>
      <c r="D2223" s="52">
        <v>46059.649305555555</v>
      </c>
      <c r="E2223" s="52">
        <v>46059.649305555555</v>
      </c>
      <c r="F2223" s="52">
        <v>46059.65</v>
      </c>
      <c r="G2223" s="53">
        <v>7.6388888888888893E-4</v>
      </c>
      <c r="H2223" s="1" t="s">
        <v>257</v>
      </c>
      <c r="J2223" s="1" t="s">
        <v>371</v>
      </c>
      <c r="K2223" s="1" t="s">
        <v>653</v>
      </c>
      <c r="L2223" s="1" t="s">
        <v>906</v>
      </c>
    </row>
    <row r="2224" spans="2:12">
      <c r="B2224" s="1" t="s">
        <v>619</v>
      </c>
      <c r="C2224" s="1" t="s">
        <v>757</v>
      </c>
      <c r="D2224" s="52">
        <v>46059.645138888889</v>
      </c>
      <c r="E2224" s="52">
        <v>46059.645138888889</v>
      </c>
      <c r="F2224" s="52">
        <v>46059.645833333336</v>
      </c>
      <c r="G2224" s="53">
        <v>7.8703703703703705E-4</v>
      </c>
      <c r="H2224" s="1" t="s">
        <v>257</v>
      </c>
      <c r="J2224" s="1" t="s">
        <v>371</v>
      </c>
      <c r="K2224" s="1" t="s">
        <v>653</v>
      </c>
      <c r="L2224" s="1" t="s">
        <v>906</v>
      </c>
    </row>
    <row r="2225" spans="2:12">
      <c r="B2225" s="1" t="s">
        <v>619</v>
      </c>
      <c r="C2225" s="1" t="s">
        <v>757</v>
      </c>
      <c r="D2225" s="52">
        <v>46059.640972222223</v>
      </c>
      <c r="E2225" s="52">
        <v>46059.640972222223</v>
      </c>
      <c r="F2225" s="52">
        <v>46059.64166666667</v>
      </c>
      <c r="G2225" s="53">
        <v>7.6388888888888893E-4</v>
      </c>
      <c r="H2225" s="1" t="s">
        <v>257</v>
      </c>
      <c r="J2225" s="1" t="s">
        <v>371</v>
      </c>
      <c r="K2225" s="1" t="s">
        <v>653</v>
      </c>
      <c r="L2225" s="1" t="s">
        <v>906</v>
      </c>
    </row>
    <row r="2226" spans="2:12">
      <c r="B2226" s="1" t="s">
        <v>619</v>
      </c>
      <c r="C2226" s="1" t="s">
        <v>757</v>
      </c>
      <c r="D2226" s="52">
        <v>46059.630555555559</v>
      </c>
      <c r="E2226" s="52">
        <v>46059.630555555559</v>
      </c>
      <c r="F2226" s="52">
        <v>46059.631249999999</v>
      </c>
      <c r="G2226" s="53">
        <v>7.6388888888888893E-4</v>
      </c>
      <c r="H2226" s="1" t="s">
        <v>257</v>
      </c>
      <c r="J2226" s="1" t="s">
        <v>371</v>
      </c>
      <c r="K2226" s="1" t="s">
        <v>653</v>
      </c>
      <c r="L2226" s="1" t="s">
        <v>906</v>
      </c>
    </row>
    <row r="2227" spans="2:12">
      <c r="B2227" s="1" t="s">
        <v>619</v>
      </c>
      <c r="C2227" s="1" t="s">
        <v>757</v>
      </c>
      <c r="D2227" s="52">
        <v>46059.604166666664</v>
      </c>
      <c r="E2227" s="52">
        <v>46059.604166666664</v>
      </c>
      <c r="F2227" s="52">
        <v>46059.604861111111</v>
      </c>
      <c r="G2227" s="53">
        <v>7.7546296296296293E-4</v>
      </c>
      <c r="H2227" s="1" t="s">
        <v>257</v>
      </c>
      <c r="J2227" s="1" t="s">
        <v>371</v>
      </c>
      <c r="K2227" s="1" t="s">
        <v>653</v>
      </c>
      <c r="L2227" s="1" t="s">
        <v>906</v>
      </c>
    </row>
    <row r="2228" spans="2:12">
      <c r="B2228" s="1" t="s">
        <v>619</v>
      </c>
      <c r="C2228" s="1" t="s">
        <v>757</v>
      </c>
      <c r="D2228" s="52">
        <v>46058.587500000001</v>
      </c>
      <c r="E2228" s="52">
        <v>46058.587500000001</v>
      </c>
      <c r="F2228" s="52">
        <v>46058.588194444441</v>
      </c>
      <c r="G2228" s="53">
        <v>7.9861111111111116E-4</v>
      </c>
      <c r="H2228" s="1" t="s">
        <v>257</v>
      </c>
      <c r="J2228" s="1" t="s">
        <v>371</v>
      </c>
      <c r="K2228" s="1" t="s">
        <v>653</v>
      </c>
      <c r="L2228" s="1" t="s">
        <v>906</v>
      </c>
    </row>
    <row r="2229" spans="2:12">
      <c r="B2229" s="1" t="s">
        <v>619</v>
      </c>
      <c r="C2229" s="1" t="s">
        <v>757</v>
      </c>
      <c r="D2229" s="52">
        <v>46058.584027777775</v>
      </c>
      <c r="E2229" s="52">
        <v>46058.584027777775</v>
      </c>
      <c r="F2229" s="52">
        <v>46058.584722222222</v>
      </c>
      <c r="G2229" s="53">
        <v>7.7546296296296293E-4</v>
      </c>
      <c r="H2229" s="1" t="s">
        <v>257</v>
      </c>
      <c r="J2229" s="1" t="s">
        <v>371</v>
      </c>
      <c r="K2229" s="1" t="s">
        <v>653</v>
      </c>
      <c r="L2229" s="1" t="s">
        <v>906</v>
      </c>
    </row>
    <row r="2230" spans="2:12">
      <c r="B2230" s="1" t="s">
        <v>619</v>
      </c>
      <c r="C2230" s="1" t="s">
        <v>757</v>
      </c>
      <c r="D2230" s="52">
        <v>46058.578472222223</v>
      </c>
      <c r="E2230" s="52">
        <v>46058.578472222223</v>
      </c>
      <c r="F2230" s="52">
        <v>46058.57916666667</v>
      </c>
      <c r="G2230" s="53">
        <v>7.7546296296296293E-4</v>
      </c>
      <c r="H2230" s="1" t="s">
        <v>257</v>
      </c>
      <c r="J2230" s="1" t="s">
        <v>371</v>
      </c>
      <c r="K2230" s="1" t="s">
        <v>653</v>
      </c>
      <c r="L2230" s="1" t="s">
        <v>906</v>
      </c>
    </row>
    <row r="2231" spans="2:12">
      <c r="B2231" s="1" t="s">
        <v>619</v>
      </c>
      <c r="C2231" s="1" t="s">
        <v>757</v>
      </c>
      <c r="D2231" s="52">
        <v>46058.574305555558</v>
      </c>
      <c r="E2231" s="52">
        <v>46058.574305555558</v>
      </c>
      <c r="F2231" s="52">
        <v>46058.574999999997</v>
      </c>
      <c r="G2231" s="53">
        <v>7.8703703703703705E-4</v>
      </c>
      <c r="H2231" s="1" t="s">
        <v>257</v>
      </c>
      <c r="J2231" s="1" t="s">
        <v>371</v>
      </c>
      <c r="K2231" s="1" t="s">
        <v>653</v>
      </c>
      <c r="L2231" s="1" t="s">
        <v>906</v>
      </c>
    </row>
    <row r="2232" spans="2:12">
      <c r="B2232" s="1" t="s">
        <v>619</v>
      </c>
      <c r="C2232" s="1" t="s">
        <v>757</v>
      </c>
      <c r="D2232" s="52">
        <v>46058.560416666667</v>
      </c>
      <c r="E2232" s="52">
        <v>46058.560416666667</v>
      </c>
      <c r="F2232" s="52">
        <v>46058.561111111114</v>
      </c>
      <c r="G2232" s="53">
        <v>7.9861111111111116E-4</v>
      </c>
      <c r="H2232" s="1" t="s">
        <v>257</v>
      </c>
      <c r="J2232" s="1" t="s">
        <v>371</v>
      </c>
      <c r="K2232" s="1" t="s">
        <v>653</v>
      </c>
      <c r="L2232" s="1" t="s">
        <v>906</v>
      </c>
    </row>
    <row r="2233" spans="2:12">
      <c r="B2233" s="1" t="s">
        <v>619</v>
      </c>
      <c r="C2233" s="1" t="s">
        <v>757</v>
      </c>
      <c r="D2233" s="52">
        <v>46058.556944444441</v>
      </c>
      <c r="E2233" s="52">
        <v>46058.556944444441</v>
      </c>
      <c r="F2233" s="52">
        <v>46058.557638888888</v>
      </c>
      <c r="G2233" s="53">
        <v>7.9861111111111116E-4</v>
      </c>
      <c r="H2233" s="1" t="s">
        <v>257</v>
      </c>
      <c r="J2233" s="1" t="s">
        <v>371</v>
      </c>
      <c r="K2233" s="1" t="s">
        <v>653</v>
      </c>
      <c r="L2233" s="1" t="s">
        <v>906</v>
      </c>
    </row>
    <row r="2234" spans="2:12">
      <c r="B2234" s="1" t="s">
        <v>619</v>
      </c>
      <c r="C2234" s="1" t="s">
        <v>757</v>
      </c>
      <c r="D2234" s="52">
        <v>46058.552777777775</v>
      </c>
      <c r="E2234" s="52">
        <v>46058.552777777775</v>
      </c>
      <c r="F2234" s="52">
        <v>46058.554166666669</v>
      </c>
      <c r="G2234" s="53">
        <v>7.9861111111111116E-4</v>
      </c>
      <c r="H2234" s="1" t="s">
        <v>257</v>
      </c>
      <c r="J2234" s="1" t="s">
        <v>371</v>
      </c>
      <c r="K2234" s="1" t="s">
        <v>653</v>
      </c>
      <c r="L2234" s="1" t="s">
        <v>906</v>
      </c>
    </row>
    <row r="2235" spans="2:12">
      <c r="B2235" s="1" t="s">
        <v>619</v>
      </c>
      <c r="C2235" s="1" t="s">
        <v>757</v>
      </c>
      <c r="D2235" s="52">
        <v>46058.55</v>
      </c>
      <c r="E2235" s="52">
        <v>46058.55</v>
      </c>
      <c r="F2235" s="52">
        <v>46058.550694444442</v>
      </c>
      <c r="G2235" s="53">
        <v>7.7546296296296293E-4</v>
      </c>
      <c r="H2235" s="1" t="s">
        <v>257</v>
      </c>
      <c r="J2235" s="1" t="s">
        <v>371</v>
      </c>
      <c r="K2235" s="1" t="s">
        <v>653</v>
      </c>
      <c r="L2235" s="1" t="s">
        <v>906</v>
      </c>
    </row>
    <row r="2236" spans="2:12">
      <c r="B2236" s="1" t="s">
        <v>619</v>
      </c>
      <c r="C2236" s="1" t="s">
        <v>757</v>
      </c>
      <c r="D2236" s="52">
        <v>46058.54583333333</v>
      </c>
      <c r="E2236" s="52">
        <v>46058.54583333333</v>
      </c>
      <c r="F2236" s="52">
        <v>46058.546527777777</v>
      </c>
      <c r="G2236" s="53">
        <v>7.7546296296296293E-4</v>
      </c>
      <c r="H2236" s="1" t="s">
        <v>257</v>
      </c>
      <c r="J2236" s="1" t="s">
        <v>371</v>
      </c>
      <c r="K2236" s="1" t="s">
        <v>653</v>
      </c>
      <c r="L2236" s="1" t="s">
        <v>906</v>
      </c>
    </row>
    <row r="2237" spans="2:12">
      <c r="B2237" s="1" t="s">
        <v>619</v>
      </c>
      <c r="C2237" s="1" t="s">
        <v>757</v>
      </c>
      <c r="D2237" s="52">
        <v>46058.542361111111</v>
      </c>
      <c r="E2237" s="52">
        <v>46058.542361111111</v>
      </c>
      <c r="F2237" s="52">
        <v>46058.543055555558</v>
      </c>
      <c r="G2237" s="53">
        <v>7.7546296296296293E-4</v>
      </c>
      <c r="H2237" s="1" t="s">
        <v>257</v>
      </c>
      <c r="J2237" s="1" t="s">
        <v>371</v>
      </c>
      <c r="K2237" s="1" t="s">
        <v>653</v>
      </c>
      <c r="L2237" s="1" t="s">
        <v>906</v>
      </c>
    </row>
    <row r="2238" spans="2:12">
      <c r="B2238" s="1" t="s">
        <v>619</v>
      </c>
      <c r="C2238" s="1" t="s">
        <v>757</v>
      </c>
      <c r="D2238" s="52">
        <v>46058.513888888891</v>
      </c>
      <c r="E2238" s="52">
        <v>46058.513888888891</v>
      </c>
      <c r="F2238" s="52">
        <v>46058.51458333333</v>
      </c>
      <c r="G2238" s="53">
        <v>7.7546296296296293E-4</v>
      </c>
      <c r="H2238" s="1" t="s">
        <v>257</v>
      </c>
      <c r="J2238" s="1" t="s">
        <v>371</v>
      </c>
      <c r="K2238" s="1" t="s">
        <v>653</v>
      </c>
      <c r="L2238" s="1" t="s">
        <v>906</v>
      </c>
    </row>
    <row r="2239" spans="2:12">
      <c r="B2239" s="1" t="s">
        <v>619</v>
      </c>
      <c r="C2239" s="1" t="s">
        <v>757</v>
      </c>
      <c r="D2239" s="52">
        <v>46057.595138888886</v>
      </c>
      <c r="E2239" s="52">
        <v>46057.595138888886</v>
      </c>
      <c r="F2239" s="52">
        <v>46057.595833333333</v>
      </c>
      <c r="G2239" s="53">
        <v>7.8703703703703705E-4</v>
      </c>
      <c r="H2239" s="1" t="s">
        <v>257</v>
      </c>
      <c r="J2239" s="1" t="s">
        <v>371</v>
      </c>
      <c r="K2239" s="1" t="s">
        <v>653</v>
      </c>
      <c r="L2239" s="1" t="s">
        <v>906</v>
      </c>
    </row>
    <row r="2240" spans="2:12">
      <c r="B2240" s="1" t="s">
        <v>619</v>
      </c>
      <c r="C2240" s="1" t="s">
        <v>757</v>
      </c>
      <c r="D2240" s="52">
        <v>46057.590277777781</v>
      </c>
      <c r="E2240" s="52">
        <v>46057.590277777781</v>
      </c>
      <c r="F2240" s="52">
        <v>46057.591666666667</v>
      </c>
      <c r="G2240" s="53">
        <v>8.1018518518518516E-4</v>
      </c>
      <c r="H2240" s="1" t="s">
        <v>257</v>
      </c>
      <c r="J2240" s="1" t="s">
        <v>371</v>
      </c>
      <c r="K2240" s="1" t="s">
        <v>653</v>
      </c>
      <c r="L2240" s="1" t="s">
        <v>906</v>
      </c>
    </row>
    <row r="2241" spans="2:12">
      <c r="B2241" s="1" t="s">
        <v>619</v>
      </c>
      <c r="C2241" s="1" t="s">
        <v>757</v>
      </c>
      <c r="D2241" s="52">
        <v>46057.587500000001</v>
      </c>
      <c r="E2241" s="52">
        <v>46057.587500000001</v>
      </c>
      <c r="F2241" s="52">
        <v>46057.588888888888</v>
      </c>
      <c r="G2241" s="53">
        <v>7.8703703703703705E-4</v>
      </c>
      <c r="H2241" s="1" t="s">
        <v>257</v>
      </c>
      <c r="J2241" s="1" t="s">
        <v>371</v>
      </c>
      <c r="K2241" s="1" t="s">
        <v>653</v>
      </c>
      <c r="L2241" s="1" t="s">
        <v>906</v>
      </c>
    </row>
    <row r="2242" spans="2:12">
      <c r="B2242" s="1" t="s">
        <v>619</v>
      </c>
      <c r="C2242" s="1" t="s">
        <v>757</v>
      </c>
      <c r="D2242" s="52">
        <v>46057.584722222222</v>
      </c>
      <c r="E2242" s="52">
        <v>46057.584722222222</v>
      </c>
      <c r="F2242" s="52">
        <v>46057.585416666669</v>
      </c>
      <c r="G2242" s="53">
        <v>7.7546296296296293E-4</v>
      </c>
      <c r="H2242" s="1" t="s">
        <v>257</v>
      </c>
      <c r="J2242" s="1" t="s">
        <v>371</v>
      </c>
      <c r="K2242" s="1" t="s">
        <v>653</v>
      </c>
      <c r="L2242" s="1" t="s">
        <v>906</v>
      </c>
    </row>
    <row r="2243" spans="2:12">
      <c r="B2243" s="1" t="s">
        <v>619</v>
      </c>
      <c r="C2243" s="1" t="s">
        <v>757</v>
      </c>
      <c r="D2243" s="52">
        <v>46057.581944444442</v>
      </c>
      <c r="E2243" s="52">
        <v>46057.581944444442</v>
      </c>
      <c r="F2243" s="52">
        <v>46057.582638888889</v>
      </c>
      <c r="G2243" s="53">
        <v>7.7546296296296293E-4</v>
      </c>
      <c r="H2243" s="1" t="s">
        <v>257</v>
      </c>
      <c r="J2243" s="1" t="s">
        <v>371</v>
      </c>
      <c r="K2243" s="1" t="s">
        <v>653</v>
      </c>
      <c r="L2243" s="1" t="s">
        <v>906</v>
      </c>
    </row>
    <row r="2244" spans="2:12">
      <c r="B2244" s="1" t="s">
        <v>619</v>
      </c>
      <c r="C2244" s="1" t="s">
        <v>757</v>
      </c>
      <c r="D2244" s="52">
        <v>46057.57708333333</v>
      </c>
      <c r="E2244" s="52">
        <v>46057.57708333333</v>
      </c>
      <c r="F2244" s="52">
        <v>46057.577777777777</v>
      </c>
      <c r="G2244" s="53">
        <v>7.7546296296296293E-4</v>
      </c>
      <c r="H2244" s="1" t="s">
        <v>257</v>
      </c>
      <c r="J2244" s="1" t="s">
        <v>371</v>
      </c>
      <c r="K2244" s="1" t="s">
        <v>653</v>
      </c>
      <c r="L2244" s="1" t="s">
        <v>906</v>
      </c>
    </row>
    <row r="2245" spans="2:12">
      <c r="B2245" s="1" t="s">
        <v>619</v>
      </c>
      <c r="C2245" s="1" t="s">
        <v>757</v>
      </c>
      <c r="D2245" s="52">
        <v>46057.563888888886</v>
      </c>
      <c r="E2245" s="52">
        <v>46057.563888888886</v>
      </c>
      <c r="F2245" s="52">
        <v>46057.564583333333</v>
      </c>
      <c r="G2245" s="53">
        <v>7.8703703703703705E-4</v>
      </c>
      <c r="H2245" s="1" t="s">
        <v>257</v>
      </c>
      <c r="J2245" s="1" t="s">
        <v>371</v>
      </c>
      <c r="K2245" s="1" t="s">
        <v>653</v>
      </c>
      <c r="L2245" s="1" t="s">
        <v>906</v>
      </c>
    </row>
    <row r="2246" spans="2:12">
      <c r="B2246" s="1" t="s">
        <v>619</v>
      </c>
      <c r="C2246" s="1" t="s">
        <v>757</v>
      </c>
      <c r="D2246" s="52">
        <v>46057.55972222222</v>
      </c>
      <c r="E2246" s="52">
        <v>46057.55972222222</v>
      </c>
      <c r="F2246" s="52">
        <v>46057.561111111114</v>
      </c>
      <c r="G2246" s="53">
        <v>8.2175925925925927E-4</v>
      </c>
      <c r="H2246" s="1" t="s">
        <v>257</v>
      </c>
      <c r="J2246" s="1" t="s">
        <v>371</v>
      </c>
      <c r="K2246" s="1" t="s">
        <v>653</v>
      </c>
      <c r="L2246" s="1" t="s">
        <v>906</v>
      </c>
    </row>
    <row r="2247" spans="2:12">
      <c r="B2247" s="1" t="s">
        <v>667</v>
      </c>
      <c r="C2247" s="1" t="s">
        <v>336</v>
      </c>
      <c r="D2247" s="52">
        <v>46081.740972222222</v>
      </c>
      <c r="E2247" s="52">
        <v>46081.740972222222</v>
      </c>
      <c r="F2247" s="52">
        <v>46081.765277777777</v>
      </c>
      <c r="G2247" s="53">
        <v>2.4108796296296295E-2</v>
      </c>
      <c r="H2247" s="1" t="s">
        <v>257</v>
      </c>
      <c r="J2247" s="1" t="s">
        <v>371</v>
      </c>
      <c r="K2247" s="1" t="s">
        <v>653</v>
      </c>
      <c r="L2247" s="1" t="s">
        <v>907</v>
      </c>
    </row>
    <row r="2248" spans="2:12">
      <c r="B2248" s="1" t="s">
        <v>667</v>
      </c>
      <c r="C2248" s="1" t="s">
        <v>336</v>
      </c>
      <c r="D2248" s="52">
        <v>46081.718055555553</v>
      </c>
      <c r="E2248" s="52">
        <v>46081.718055555553</v>
      </c>
      <c r="F2248" s="52">
        <v>46081.718055555553</v>
      </c>
      <c r="G2248" s="53">
        <v>5.4398148148148144E-4</v>
      </c>
      <c r="H2248" s="1" t="s">
        <v>257</v>
      </c>
      <c r="J2248" s="1" t="s">
        <v>371</v>
      </c>
      <c r="K2248" s="1" t="s">
        <v>653</v>
      </c>
      <c r="L2248" s="1" t="s">
        <v>908</v>
      </c>
    </row>
    <row r="2249" spans="2:12">
      <c r="B2249" s="1" t="s">
        <v>667</v>
      </c>
      <c r="C2249" s="1" t="s">
        <v>336</v>
      </c>
      <c r="D2249" s="52">
        <v>46081.686111111114</v>
      </c>
      <c r="E2249" s="52">
        <v>46081.686111111114</v>
      </c>
      <c r="F2249" s="52">
        <v>46081.690972222219</v>
      </c>
      <c r="G2249" s="53">
        <v>5.2777777777777779E-3</v>
      </c>
      <c r="H2249" s="1" t="s">
        <v>257</v>
      </c>
      <c r="J2249" s="1" t="s">
        <v>371</v>
      </c>
      <c r="K2249" s="1" t="s">
        <v>653</v>
      </c>
      <c r="L2249" s="1" t="s">
        <v>909</v>
      </c>
    </row>
    <row r="2250" spans="2:12">
      <c r="B2250" s="1" t="s">
        <v>667</v>
      </c>
      <c r="C2250" s="1" t="s">
        <v>336</v>
      </c>
      <c r="D2250" s="52">
        <v>46081.682638888888</v>
      </c>
      <c r="E2250" s="52">
        <v>46081.682638888888</v>
      </c>
      <c r="F2250" s="52">
        <v>46081.683333333334</v>
      </c>
      <c r="G2250" s="53">
        <v>7.1759259259259259E-4</v>
      </c>
      <c r="H2250" s="1" t="s">
        <v>257</v>
      </c>
      <c r="J2250" s="1" t="s">
        <v>371</v>
      </c>
      <c r="K2250" s="1" t="s">
        <v>653</v>
      </c>
      <c r="L2250" s="1" t="s">
        <v>910</v>
      </c>
    </row>
    <row r="2251" spans="2:12">
      <c r="B2251" s="1" t="s">
        <v>667</v>
      </c>
      <c r="C2251" s="1" t="s">
        <v>336</v>
      </c>
      <c r="D2251" s="52">
        <v>46081.676388888889</v>
      </c>
      <c r="E2251" s="52">
        <v>46081.676388888889</v>
      </c>
      <c r="F2251" s="52">
        <v>46081.677777777775</v>
      </c>
      <c r="G2251" s="53">
        <v>1.2847222222222223E-3</v>
      </c>
      <c r="H2251" s="1" t="s">
        <v>257</v>
      </c>
      <c r="J2251" s="1" t="s">
        <v>371</v>
      </c>
      <c r="K2251" s="1" t="s">
        <v>653</v>
      </c>
      <c r="L2251" s="1" t="s">
        <v>911</v>
      </c>
    </row>
    <row r="2252" spans="2:12">
      <c r="B2252" s="1" t="s">
        <v>667</v>
      </c>
      <c r="C2252" s="1" t="s">
        <v>336</v>
      </c>
      <c r="D2252" s="52">
        <v>46081.675000000003</v>
      </c>
      <c r="E2252" s="52">
        <v>46081.675000000003</v>
      </c>
      <c r="F2252" s="52">
        <v>46081.675000000003</v>
      </c>
      <c r="G2252" s="53">
        <v>5.7870370370370367E-4</v>
      </c>
      <c r="H2252" s="1" t="s">
        <v>257</v>
      </c>
      <c r="J2252" s="1" t="s">
        <v>371</v>
      </c>
      <c r="K2252" s="1" t="s">
        <v>653</v>
      </c>
      <c r="L2252" s="1" t="s">
        <v>912</v>
      </c>
    </row>
    <row r="2253" spans="2:12">
      <c r="B2253" s="1" t="s">
        <v>667</v>
      </c>
      <c r="C2253" s="1" t="s">
        <v>336</v>
      </c>
      <c r="D2253" s="52">
        <v>46081.667361111111</v>
      </c>
      <c r="E2253" s="52">
        <v>46081.667361111111</v>
      </c>
      <c r="F2253" s="52">
        <v>46081.670138888891</v>
      </c>
      <c r="G2253" s="53">
        <v>2.7546296296296294E-3</v>
      </c>
      <c r="H2253" s="1" t="s">
        <v>257</v>
      </c>
      <c r="J2253" s="1" t="s">
        <v>371</v>
      </c>
      <c r="K2253" s="1" t="s">
        <v>653</v>
      </c>
      <c r="L2253" s="1" t="s">
        <v>913</v>
      </c>
    </row>
    <row r="2254" spans="2:12">
      <c r="B2254" s="1" t="s">
        <v>667</v>
      </c>
      <c r="C2254" s="1" t="s">
        <v>336</v>
      </c>
      <c r="D2254" s="52">
        <v>46081.665972222225</v>
      </c>
      <c r="E2254" s="52">
        <v>46081.665972222225</v>
      </c>
      <c r="F2254" s="52">
        <v>46081.667361111111</v>
      </c>
      <c r="G2254" s="53">
        <v>1.0416666666666667E-3</v>
      </c>
      <c r="H2254" s="1" t="s">
        <v>257</v>
      </c>
      <c r="J2254" s="1" t="s">
        <v>371</v>
      </c>
      <c r="K2254" s="1" t="s">
        <v>653</v>
      </c>
      <c r="L2254" s="1" t="s">
        <v>914</v>
      </c>
    </row>
    <row r="2255" spans="2:12">
      <c r="B2255" s="1" t="s">
        <v>667</v>
      </c>
      <c r="C2255" s="1" t="s">
        <v>336</v>
      </c>
      <c r="D2255" s="52">
        <v>46081.656944444447</v>
      </c>
      <c r="E2255" s="52">
        <v>46081.656944444447</v>
      </c>
      <c r="F2255" s="52">
        <v>46081.658333333333</v>
      </c>
      <c r="G2255" s="53">
        <v>9.9537037037037042E-4</v>
      </c>
      <c r="H2255" s="1" t="s">
        <v>257</v>
      </c>
      <c r="J2255" s="1" t="s">
        <v>371</v>
      </c>
      <c r="K2255" s="1" t="s">
        <v>653</v>
      </c>
      <c r="L2255" s="1" t="s">
        <v>915</v>
      </c>
    </row>
    <row r="2256" spans="2:12">
      <c r="B2256" s="1" t="s">
        <v>667</v>
      </c>
      <c r="C2256" s="1" t="s">
        <v>336</v>
      </c>
      <c r="D2256" s="52">
        <v>46081.635416666664</v>
      </c>
      <c r="E2256" s="52">
        <v>46081.635416666664</v>
      </c>
      <c r="F2256" s="52">
        <v>46081.636805555558</v>
      </c>
      <c r="G2256" s="53">
        <v>1.8634259259259259E-3</v>
      </c>
      <c r="H2256" s="1" t="s">
        <v>257</v>
      </c>
      <c r="J2256" s="1" t="s">
        <v>371</v>
      </c>
      <c r="K2256" s="1" t="s">
        <v>653</v>
      </c>
      <c r="L2256" s="1" t="s">
        <v>916</v>
      </c>
    </row>
    <row r="2257" spans="2:12">
      <c r="B2257" s="1" t="s">
        <v>667</v>
      </c>
      <c r="C2257" s="1" t="s">
        <v>336</v>
      </c>
      <c r="D2257" s="52">
        <v>46081.631944444445</v>
      </c>
      <c r="E2257" s="52">
        <v>46081.631944444445</v>
      </c>
      <c r="F2257" s="52">
        <v>46081.633333333331</v>
      </c>
      <c r="G2257" s="53">
        <v>1.1342592592592593E-3</v>
      </c>
      <c r="H2257" s="1" t="s">
        <v>257</v>
      </c>
      <c r="J2257" s="1" t="s">
        <v>371</v>
      </c>
      <c r="K2257" s="1" t="s">
        <v>653</v>
      </c>
      <c r="L2257" s="1" t="s">
        <v>917</v>
      </c>
    </row>
    <row r="2258" spans="2:12">
      <c r="B2258" s="1" t="s">
        <v>667</v>
      </c>
      <c r="C2258" s="1" t="s">
        <v>336</v>
      </c>
      <c r="D2258" s="52">
        <v>46081.625694444447</v>
      </c>
      <c r="E2258" s="52">
        <v>46081.625694444447</v>
      </c>
      <c r="F2258" s="52">
        <v>46081.627083333333</v>
      </c>
      <c r="G2258" s="53">
        <v>1.7939814814814815E-3</v>
      </c>
      <c r="H2258" s="1" t="s">
        <v>257</v>
      </c>
      <c r="J2258" s="1" t="s">
        <v>371</v>
      </c>
      <c r="K2258" s="1" t="s">
        <v>653</v>
      </c>
      <c r="L2258" s="1" t="s">
        <v>918</v>
      </c>
    </row>
    <row r="2259" spans="2:12">
      <c r="B2259" s="1" t="s">
        <v>667</v>
      </c>
      <c r="C2259" s="1" t="s">
        <v>336</v>
      </c>
      <c r="D2259" s="52">
        <v>46081.622916666667</v>
      </c>
      <c r="E2259" s="52">
        <v>46081.622916666667</v>
      </c>
      <c r="F2259" s="52">
        <v>46081.625694444447</v>
      </c>
      <c r="G2259" s="53">
        <v>2.1527777777777778E-3</v>
      </c>
      <c r="H2259" s="1" t="s">
        <v>257</v>
      </c>
      <c r="J2259" s="1" t="s">
        <v>371</v>
      </c>
      <c r="K2259" s="1" t="s">
        <v>653</v>
      </c>
      <c r="L2259" s="1" t="s">
        <v>919</v>
      </c>
    </row>
    <row r="2260" spans="2:12">
      <c r="B2260" s="1" t="s">
        <v>667</v>
      </c>
      <c r="C2260" s="1" t="s">
        <v>336</v>
      </c>
      <c r="D2260" s="52">
        <v>46081.621527777781</v>
      </c>
      <c r="E2260" s="52">
        <v>46081.621527777781</v>
      </c>
      <c r="F2260" s="52">
        <v>46081.62222222222</v>
      </c>
      <c r="G2260" s="53">
        <v>5.4398148148148144E-4</v>
      </c>
      <c r="H2260" s="1" t="s">
        <v>257</v>
      </c>
      <c r="J2260" s="1" t="s">
        <v>371</v>
      </c>
      <c r="K2260" s="1" t="s">
        <v>653</v>
      </c>
      <c r="L2260" s="1" t="s">
        <v>920</v>
      </c>
    </row>
    <row r="2261" spans="2:12">
      <c r="B2261" s="1" t="s">
        <v>667</v>
      </c>
      <c r="C2261" s="1" t="s">
        <v>336</v>
      </c>
      <c r="D2261" s="52">
        <v>46081.60833333333</v>
      </c>
      <c r="E2261" s="52">
        <v>46081.60833333333</v>
      </c>
      <c r="F2261" s="52">
        <v>46081.61041666667</v>
      </c>
      <c r="G2261" s="53">
        <v>2.1180555555555558E-3</v>
      </c>
      <c r="H2261" s="1" t="s">
        <v>257</v>
      </c>
      <c r="J2261" s="1" t="s">
        <v>371</v>
      </c>
      <c r="K2261" s="1" t="s">
        <v>653</v>
      </c>
      <c r="L2261" s="1" t="s">
        <v>921</v>
      </c>
    </row>
    <row r="2262" spans="2:12">
      <c r="B2262" s="1" t="s">
        <v>667</v>
      </c>
      <c r="C2262" s="1" t="s">
        <v>336</v>
      </c>
      <c r="D2262" s="52">
        <v>46081.599305555559</v>
      </c>
      <c r="E2262" s="52">
        <v>46081.599305555559</v>
      </c>
      <c r="F2262" s="52">
        <v>46081.599999999999</v>
      </c>
      <c r="G2262" s="53">
        <v>5.7870370370370367E-4</v>
      </c>
      <c r="H2262" s="1" t="s">
        <v>257</v>
      </c>
      <c r="J2262" s="1" t="s">
        <v>371</v>
      </c>
      <c r="K2262" s="1" t="s">
        <v>653</v>
      </c>
      <c r="L2262" s="1" t="s">
        <v>922</v>
      </c>
    </row>
    <row r="2263" spans="2:12">
      <c r="B2263" s="1" t="s">
        <v>667</v>
      </c>
      <c r="C2263" s="1" t="s">
        <v>336</v>
      </c>
      <c r="D2263" s="52">
        <v>46081.572916666664</v>
      </c>
      <c r="E2263" s="52">
        <v>46081.572916666664</v>
      </c>
      <c r="F2263" s="52">
        <v>46081.57708333333</v>
      </c>
      <c r="G2263" s="53">
        <v>4.5138888888888885E-3</v>
      </c>
      <c r="H2263" s="1" t="s">
        <v>257</v>
      </c>
      <c r="J2263" s="1" t="s">
        <v>371</v>
      </c>
      <c r="K2263" s="1" t="s">
        <v>653</v>
      </c>
      <c r="L2263" s="1" t="s">
        <v>923</v>
      </c>
    </row>
    <row r="2264" spans="2:12">
      <c r="B2264" s="1" t="s">
        <v>667</v>
      </c>
      <c r="C2264" s="1" t="s">
        <v>336</v>
      </c>
      <c r="D2264" s="52">
        <v>46081.568055555559</v>
      </c>
      <c r="E2264" s="52">
        <v>46081.568055555559</v>
      </c>
      <c r="F2264" s="52">
        <v>46081.569444444445</v>
      </c>
      <c r="G2264" s="53">
        <v>1.0185185185185184E-3</v>
      </c>
      <c r="H2264" s="1" t="s">
        <v>257</v>
      </c>
      <c r="J2264" s="1" t="s">
        <v>371</v>
      </c>
      <c r="K2264" s="1" t="s">
        <v>653</v>
      </c>
      <c r="L2264" s="1" t="s">
        <v>924</v>
      </c>
    </row>
    <row r="2265" spans="2:12">
      <c r="B2265" s="1" t="s">
        <v>667</v>
      </c>
      <c r="C2265" s="1" t="s">
        <v>336</v>
      </c>
      <c r="D2265" s="52">
        <v>46081.567361111112</v>
      </c>
      <c r="E2265" s="52">
        <v>46081.567361111112</v>
      </c>
      <c r="F2265" s="52">
        <v>46081.568055555559</v>
      </c>
      <c r="G2265" s="53">
        <v>5.3240740740740744E-4</v>
      </c>
      <c r="H2265" s="1" t="s">
        <v>257</v>
      </c>
      <c r="J2265" s="1" t="s">
        <v>371</v>
      </c>
      <c r="K2265" s="1" t="s">
        <v>653</v>
      </c>
      <c r="L2265" s="1" t="s">
        <v>925</v>
      </c>
    </row>
    <row r="2266" spans="2:12">
      <c r="B2266" s="1" t="s">
        <v>667</v>
      </c>
      <c r="C2266" s="1" t="s">
        <v>336</v>
      </c>
      <c r="D2266" s="52">
        <v>46081.550694444442</v>
      </c>
      <c r="E2266" s="52">
        <v>46081.550694444442</v>
      </c>
      <c r="F2266" s="52">
        <v>46081.551388888889</v>
      </c>
      <c r="G2266" s="53">
        <v>5.3240740740740744E-4</v>
      </c>
      <c r="H2266" s="1" t="s">
        <v>257</v>
      </c>
      <c r="J2266" s="1" t="s">
        <v>371</v>
      </c>
      <c r="K2266" s="1" t="s">
        <v>653</v>
      </c>
      <c r="L2266" s="1" t="s">
        <v>926</v>
      </c>
    </row>
    <row r="2267" spans="2:12">
      <c r="B2267" s="1" t="s">
        <v>667</v>
      </c>
      <c r="C2267" s="1" t="s">
        <v>336</v>
      </c>
      <c r="D2267" s="52">
        <v>46081.508333333331</v>
      </c>
      <c r="E2267" s="52">
        <v>46081.508333333331</v>
      </c>
      <c r="F2267" s="52">
        <v>46081.509027777778</v>
      </c>
      <c r="G2267" s="53">
        <v>5.4398148148148144E-4</v>
      </c>
      <c r="H2267" s="1" t="s">
        <v>257</v>
      </c>
      <c r="J2267" s="1" t="s">
        <v>371</v>
      </c>
      <c r="K2267" s="1" t="s">
        <v>653</v>
      </c>
      <c r="L2267" s="1" t="s">
        <v>927</v>
      </c>
    </row>
    <row r="2268" spans="2:12">
      <c r="B2268" s="1" t="s">
        <v>667</v>
      </c>
      <c r="C2268" s="1" t="s">
        <v>336</v>
      </c>
      <c r="D2268" s="52">
        <v>46081.495138888888</v>
      </c>
      <c r="E2268" s="52">
        <v>46081.495138888888</v>
      </c>
      <c r="F2268" s="52">
        <v>46081.495833333334</v>
      </c>
      <c r="G2268" s="53">
        <v>5.4398148148148144E-4</v>
      </c>
      <c r="H2268" s="1" t="s">
        <v>257</v>
      </c>
      <c r="J2268" s="1" t="s">
        <v>371</v>
      </c>
      <c r="K2268" s="1" t="s">
        <v>653</v>
      </c>
      <c r="L2268" s="1" t="s">
        <v>928</v>
      </c>
    </row>
    <row r="2269" spans="2:12">
      <c r="B2269" s="1" t="s">
        <v>667</v>
      </c>
      <c r="C2269" s="1" t="s">
        <v>336</v>
      </c>
      <c r="D2269" s="52">
        <v>46081.484027777777</v>
      </c>
      <c r="E2269" s="52">
        <v>46081.484027777777</v>
      </c>
      <c r="F2269" s="52">
        <v>46081.484027777777</v>
      </c>
      <c r="G2269" s="53">
        <v>5.3240740740740744E-4</v>
      </c>
      <c r="H2269" s="1" t="s">
        <v>257</v>
      </c>
      <c r="J2269" s="1" t="s">
        <v>371</v>
      </c>
      <c r="K2269" s="1" t="s">
        <v>653</v>
      </c>
      <c r="L2269" s="1" t="s">
        <v>929</v>
      </c>
    </row>
    <row r="2270" spans="2:12">
      <c r="B2270" s="1" t="s">
        <v>667</v>
      </c>
      <c r="C2270" s="1" t="s">
        <v>336</v>
      </c>
      <c r="D2270" s="52">
        <v>46081.468055555553</v>
      </c>
      <c r="E2270" s="52">
        <v>46081.468055555553</v>
      </c>
      <c r="F2270" s="52">
        <v>46081.468055555553</v>
      </c>
      <c r="G2270" s="53">
        <v>5.4398148148148144E-4</v>
      </c>
      <c r="H2270" s="1" t="s">
        <v>257</v>
      </c>
      <c r="J2270" s="1" t="s">
        <v>371</v>
      </c>
      <c r="K2270" s="1" t="s">
        <v>653</v>
      </c>
      <c r="L2270" s="1" t="s">
        <v>930</v>
      </c>
    </row>
    <row r="2271" spans="2:12">
      <c r="B2271" s="1" t="s">
        <v>667</v>
      </c>
      <c r="C2271" s="1" t="s">
        <v>336</v>
      </c>
      <c r="D2271" s="52">
        <v>46081.447916666664</v>
      </c>
      <c r="E2271" s="52">
        <v>46081.447916666664</v>
      </c>
      <c r="F2271" s="52">
        <v>46081.448611111111</v>
      </c>
      <c r="G2271" s="53">
        <v>5.0925925925925921E-4</v>
      </c>
      <c r="H2271" s="1" t="s">
        <v>257</v>
      </c>
      <c r="J2271" s="1" t="s">
        <v>371</v>
      </c>
      <c r="K2271" s="1" t="s">
        <v>653</v>
      </c>
      <c r="L2271" s="1" t="s">
        <v>931</v>
      </c>
    </row>
    <row r="2272" spans="2:12">
      <c r="B2272" s="1" t="s">
        <v>667</v>
      </c>
      <c r="C2272" s="1" t="s">
        <v>336</v>
      </c>
      <c r="D2272" s="52">
        <v>46081.438888888886</v>
      </c>
      <c r="E2272" s="52">
        <v>46081.438888888886</v>
      </c>
      <c r="F2272" s="52">
        <v>46081.439583333333</v>
      </c>
      <c r="G2272" s="53">
        <v>5.2083333333333333E-4</v>
      </c>
      <c r="H2272" s="1" t="s">
        <v>257</v>
      </c>
      <c r="J2272" s="1" t="s">
        <v>371</v>
      </c>
      <c r="K2272" s="1" t="s">
        <v>653</v>
      </c>
      <c r="L2272" s="1" t="s">
        <v>932</v>
      </c>
    </row>
    <row r="2273" spans="2:12">
      <c r="B2273" s="1" t="s">
        <v>667</v>
      </c>
      <c r="C2273" s="1" t="s">
        <v>336</v>
      </c>
      <c r="D2273" s="52">
        <v>46081.429861111108</v>
      </c>
      <c r="E2273" s="52">
        <v>46081.429861111108</v>
      </c>
      <c r="F2273" s="52">
        <v>46081.429861111108</v>
      </c>
      <c r="G2273" s="53">
        <v>5.3240740740740744E-4</v>
      </c>
      <c r="H2273" s="1" t="s">
        <v>257</v>
      </c>
      <c r="J2273" s="1" t="s">
        <v>371</v>
      </c>
      <c r="K2273" s="1" t="s">
        <v>653</v>
      </c>
      <c r="L2273" s="1" t="s">
        <v>933</v>
      </c>
    </row>
    <row r="2274" spans="2:12">
      <c r="B2274" s="1" t="s">
        <v>667</v>
      </c>
      <c r="C2274" s="1" t="s">
        <v>336</v>
      </c>
      <c r="D2274" s="52">
        <v>46081.410416666666</v>
      </c>
      <c r="E2274" s="52">
        <v>46081.410416666666</v>
      </c>
      <c r="F2274" s="52">
        <v>46081.411111111112</v>
      </c>
      <c r="G2274" s="53">
        <v>5.5555555555555556E-4</v>
      </c>
      <c r="H2274" s="1" t="s">
        <v>257</v>
      </c>
      <c r="J2274" s="1" t="s">
        <v>371</v>
      </c>
      <c r="K2274" s="1" t="s">
        <v>653</v>
      </c>
      <c r="L2274" s="1" t="s">
        <v>934</v>
      </c>
    </row>
    <row r="2275" spans="2:12">
      <c r="B2275" s="1" t="s">
        <v>667</v>
      </c>
      <c r="C2275" s="1" t="s">
        <v>336</v>
      </c>
      <c r="D2275" s="52">
        <v>46081.382638888892</v>
      </c>
      <c r="E2275" s="52">
        <v>46081.382638888892</v>
      </c>
      <c r="F2275" s="52">
        <v>46081.383333333331</v>
      </c>
      <c r="G2275" s="53">
        <v>5.3240740740740744E-4</v>
      </c>
      <c r="H2275" s="1" t="s">
        <v>257</v>
      </c>
      <c r="J2275" s="1" t="s">
        <v>371</v>
      </c>
      <c r="K2275" s="1" t="s">
        <v>653</v>
      </c>
      <c r="L2275" s="1" t="s">
        <v>935</v>
      </c>
    </row>
    <row r="2276" spans="2:12">
      <c r="B2276" s="1" t="s">
        <v>667</v>
      </c>
      <c r="C2276" s="1" t="s">
        <v>336</v>
      </c>
      <c r="D2276" s="52">
        <v>46081.365277777775</v>
      </c>
      <c r="E2276" s="52">
        <v>46081.365277777775</v>
      </c>
      <c r="F2276" s="52">
        <v>46081.365277777775</v>
      </c>
      <c r="G2276" s="53">
        <v>5.2083333333333333E-4</v>
      </c>
      <c r="H2276" s="1" t="s">
        <v>257</v>
      </c>
      <c r="J2276" s="1" t="s">
        <v>371</v>
      </c>
      <c r="K2276" s="1" t="s">
        <v>653</v>
      </c>
      <c r="L2276" s="1" t="s">
        <v>936</v>
      </c>
    </row>
    <row r="2277" spans="2:12">
      <c r="B2277" s="1" t="s">
        <v>667</v>
      </c>
      <c r="C2277" s="1" t="s">
        <v>336</v>
      </c>
      <c r="D2277" s="52">
        <v>46081.357638888891</v>
      </c>
      <c r="E2277" s="52">
        <v>46081.357638888891</v>
      </c>
      <c r="F2277" s="52">
        <v>46081.35833333333</v>
      </c>
      <c r="G2277" s="53">
        <v>5.5555555555555556E-4</v>
      </c>
      <c r="H2277" s="1" t="s">
        <v>257</v>
      </c>
      <c r="J2277" s="1" t="s">
        <v>371</v>
      </c>
      <c r="K2277" s="1" t="s">
        <v>653</v>
      </c>
      <c r="L2277" s="1" t="s">
        <v>937</v>
      </c>
    </row>
    <row r="2278" spans="2:12">
      <c r="B2278" s="1" t="s">
        <v>667</v>
      </c>
      <c r="C2278" s="1" t="s">
        <v>336</v>
      </c>
      <c r="D2278" s="52">
        <v>46081.347916666666</v>
      </c>
      <c r="E2278" s="52">
        <v>46081.347916666666</v>
      </c>
      <c r="F2278" s="52">
        <v>46081.348611111112</v>
      </c>
      <c r="G2278" s="53">
        <v>5.2083333333333333E-4</v>
      </c>
      <c r="H2278" s="1" t="s">
        <v>257</v>
      </c>
      <c r="J2278" s="1" t="s">
        <v>371</v>
      </c>
      <c r="K2278" s="1" t="s">
        <v>653</v>
      </c>
      <c r="L2278" s="1" t="s">
        <v>938</v>
      </c>
    </row>
    <row r="2279" spans="2:12">
      <c r="B2279" s="1" t="s">
        <v>667</v>
      </c>
      <c r="C2279" s="1" t="s">
        <v>336</v>
      </c>
      <c r="D2279" s="52">
        <v>46081.336805555555</v>
      </c>
      <c r="E2279" s="52">
        <v>46081.336805555555</v>
      </c>
      <c r="F2279" s="52">
        <v>46081.337500000001</v>
      </c>
      <c r="G2279" s="53">
        <v>5.2083333333333333E-4</v>
      </c>
      <c r="H2279" s="1" t="s">
        <v>257</v>
      </c>
      <c r="J2279" s="1" t="s">
        <v>371</v>
      </c>
      <c r="K2279" s="1" t="s">
        <v>653</v>
      </c>
      <c r="L2279" s="1" t="s">
        <v>939</v>
      </c>
    </row>
    <row r="2280" spans="2:12">
      <c r="B2280" s="1" t="s">
        <v>667</v>
      </c>
      <c r="C2280" s="1" t="s">
        <v>336</v>
      </c>
      <c r="D2280" s="52">
        <v>46081.276388888888</v>
      </c>
      <c r="E2280" s="52">
        <v>46081.276388888888</v>
      </c>
      <c r="F2280" s="52">
        <v>46081.277083333334</v>
      </c>
      <c r="G2280" s="53">
        <v>9.1435185185185185E-4</v>
      </c>
      <c r="H2280" s="1" t="s">
        <v>257</v>
      </c>
      <c r="J2280" s="1" t="s">
        <v>371</v>
      </c>
      <c r="K2280" s="1" t="s">
        <v>653</v>
      </c>
      <c r="L2280" s="1" t="s">
        <v>940</v>
      </c>
    </row>
    <row r="2281" spans="2:12">
      <c r="B2281" s="1" t="s">
        <v>667</v>
      </c>
      <c r="C2281" s="1" t="s">
        <v>336</v>
      </c>
      <c r="D2281" s="52">
        <v>46081.248611111114</v>
      </c>
      <c r="E2281" s="52">
        <v>46081.248611111114</v>
      </c>
      <c r="F2281" s="52">
        <v>46081.276388888888</v>
      </c>
      <c r="G2281" s="53">
        <v>2.7256944444444445E-2</v>
      </c>
      <c r="H2281" s="1" t="s">
        <v>257</v>
      </c>
      <c r="J2281" s="1" t="s">
        <v>371</v>
      </c>
      <c r="K2281" s="1" t="s">
        <v>653</v>
      </c>
      <c r="L2281" s="1" t="s">
        <v>941</v>
      </c>
    </row>
    <row r="2282" spans="2:12">
      <c r="B2282" s="1" t="s">
        <v>667</v>
      </c>
      <c r="C2282" s="1" t="s">
        <v>336</v>
      </c>
      <c r="D2282" s="52">
        <v>46081.248611111114</v>
      </c>
      <c r="E2282" s="52">
        <v>46081.248611111114</v>
      </c>
      <c r="F2282" s="52">
        <v>46081.276388888888</v>
      </c>
      <c r="G2282" s="53">
        <v>2.7650462962962963E-2</v>
      </c>
      <c r="H2282" s="1" t="s">
        <v>257</v>
      </c>
      <c r="J2282" s="1" t="s">
        <v>371</v>
      </c>
      <c r="K2282" s="1" t="s">
        <v>653</v>
      </c>
      <c r="L2282" s="1" t="s">
        <v>942</v>
      </c>
    </row>
    <row r="2283" spans="2:12">
      <c r="B2283" s="1" t="s">
        <v>667</v>
      </c>
      <c r="C2283" s="1" t="s">
        <v>336</v>
      </c>
      <c r="D2283" s="52">
        <v>46080.774305555555</v>
      </c>
      <c r="E2283" s="52">
        <v>46080.774305555555</v>
      </c>
      <c r="F2283" s="52">
        <v>46080.777083333334</v>
      </c>
      <c r="G2283" s="53">
        <v>2.7430555555555554E-3</v>
      </c>
      <c r="H2283" s="1" t="s">
        <v>257</v>
      </c>
      <c r="J2283" s="1" t="s">
        <v>371</v>
      </c>
      <c r="K2283" s="1" t="s">
        <v>653</v>
      </c>
      <c r="L2283" s="1" t="s">
        <v>943</v>
      </c>
    </row>
    <row r="2284" spans="2:12">
      <c r="B2284" s="1" t="s">
        <v>667</v>
      </c>
      <c r="C2284" s="1" t="s">
        <v>336</v>
      </c>
      <c r="D2284" s="52">
        <v>46080.741666666669</v>
      </c>
      <c r="E2284" s="52">
        <v>46080.741666666669</v>
      </c>
      <c r="F2284" s="52">
        <v>46080.777083333334</v>
      </c>
      <c r="G2284" s="53">
        <v>3.5405092592592592E-2</v>
      </c>
      <c r="H2284" s="1" t="s">
        <v>257</v>
      </c>
      <c r="J2284" s="1" t="s">
        <v>371</v>
      </c>
      <c r="K2284" s="1" t="s">
        <v>653</v>
      </c>
      <c r="L2284" s="1" t="s">
        <v>944</v>
      </c>
    </row>
    <row r="2285" spans="2:12">
      <c r="B2285" s="1" t="s">
        <v>667</v>
      </c>
      <c r="C2285" s="1" t="s">
        <v>336</v>
      </c>
      <c r="D2285" s="52">
        <v>46080.740972222222</v>
      </c>
      <c r="E2285" s="52">
        <v>46080.740972222222</v>
      </c>
      <c r="F2285" s="52">
        <v>46080.741666666669</v>
      </c>
      <c r="G2285" s="53">
        <v>6.8287037037037036E-4</v>
      </c>
      <c r="H2285" s="1" t="s">
        <v>257</v>
      </c>
      <c r="J2285" s="1" t="s">
        <v>371</v>
      </c>
      <c r="K2285" s="1" t="s">
        <v>653</v>
      </c>
      <c r="L2285" s="1" t="s">
        <v>945</v>
      </c>
    </row>
    <row r="2286" spans="2:12">
      <c r="B2286" s="1" t="s">
        <v>667</v>
      </c>
      <c r="C2286" s="1" t="s">
        <v>336</v>
      </c>
      <c r="D2286" s="52">
        <v>46080.740277777775</v>
      </c>
      <c r="E2286" s="52">
        <v>46080.740277777775</v>
      </c>
      <c r="F2286" s="52">
        <v>46080.740972222222</v>
      </c>
      <c r="G2286" s="53">
        <v>6.8287037037037036E-4</v>
      </c>
      <c r="H2286" s="1" t="s">
        <v>257</v>
      </c>
      <c r="J2286" s="1" t="s">
        <v>371</v>
      </c>
      <c r="K2286" s="1" t="s">
        <v>653</v>
      </c>
      <c r="L2286" s="1" t="s">
        <v>946</v>
      </c>
    </row>
    <row r="2287" spans="2:12">
      <c r="B2287" s="1" t="s">
        <v>667</v>
      </c>
      <c r="C2287" s="1" t="s">
        <v>336</v>
      </c>
      <c r="D2287" s="52">
        <v>46080.739583333336</v>
      </c>
      <c r="E2287" s="52">
        <v>46080.739583333336</v>
      </c>
      <c r="F2287" s="52">
        <v>46080.740277777775</v>
      </c>
      <c r="G2287" s="53">
        <v>6.5972222222222224E-4</v>
      </c>
      <c r="H2287" s="1" t="s">
        <v>257</v>
      </c>
      <c r="J2287" s="1" t="s">
        <v>371</v>
      </c>
      <c r="K2287" s="1" t="s">
        <v>653</v>
      </c>
      <c r="L2287" s="1" t="s">
        <v>947</v>
      </c>
    </row>
    <row r="2288" spans="2:12">
      <c r="B2288" s="1" t="s">
        <v>667</v>
      </c>
      <c r="C2288" s="1" t="s">
        <v>336</v>
      </c>
      <c r="D2288" s="52">
        <v>46080.738194444442</v>
      </c>
      <c r="E2288" s="52">
        <v>46080.738194444442</v>
      </c>
      <c r="F2288" s="52">
        <v>46080.738888888889</v>
      </c>
      <c r="G2288" s="53">
        <v>6.7129629629629625E-4</v>
      </c>
      <c r="H2288" s="1" t="s">
        <v>257</v>
      </c>
      <c r="J2288" s="1" t="s">
        <v>371</v>
      </c>
      <c r="K2288" s="1" t="s">
        <v>653</v>
      </c>
      <c r="L2288" s="1" t="s">
        <v>948</v>
      </c>
    </row>
    <row r="2289" spans="2:12">
      <c r="B2289" s="1" t="s">
        <v>667</v>
      </c>
      <c r="C2289" s="1" t="s">
        <v>336</v>
      </c>
      <c r="D2289" s="52">
        <v>46080.737500000003</v>
      </c>
      <c r="E2289" s="52">
        <v>46080.737500000003</v>
      </c>
      <c r="F2289" s="52">
        <v>46080.738194444442</v>
      </c>
      <c r="G2289" s="53">
        <v>6.3657407407407413E-4</v>
      </c>
      <c r="H2289" s="1" t="s">
        <v>257</v>
      </c>
      <c r="J2289" s="1" t="s">
        <v>371</v>
      </c>
      <c r="K2289" s="1" t="s">
        <v>653</v>
      </c>
      <c r="L2289" s="1" t="s">
        <v>949</v>
      </c>
    </row>
    <row r="2290" spans="2:12">
      <c r="B2290" s="1" t="s">
        <v>667</v>
      </c>
      <c r="C2290" s="1" t="s">
        <v>336</v>
      </c>
      <c r="D2290" s="52">
        <v>46080.736805555556</v>
      </c>
      <c r="E2290" s="52">
        <v>46080.736805555556</v>
      </c>
      <c r="F2290" s="52">
        <v>46080.737500000003</v>
      </c>
      <c r="G2290" s="53">
        <v>6.5972222222222224E-4</v>
      </c>
      <c r="H2290" s="1" t="s">
        <v>257</v>
      </c>
      <c r="J2290" s="1" t="s">
        <v>371</v>
      </c>
      <c r="K2290" s="1" t="s">
        <v>653</v>
      </c>
      <c r="L2290" s="1" t="s">
        <v>950</v>
      </c>
    </row>
    <row r="2291" spans="2:12">
      <c r="B2291" s="1" t="s">
        <v>667</v>
      </c>
      <c r="C2291" s="1" t="s">
        <v>336</v>
      </c>
      <c r="D2291" s="52">
        <v>46080.736111111109</v>
      </c>
      <c r="E2291" s="52">
        <v>46080.736111111109</v>
      </c>
      <c r="F2291" s="52">
        <v>46080.736805555556</v>
      </c>
      <c r="G2291" s="53">
        <v>6.8287037037037036E-4</v>
      </c>
      <c r="H2291" s="1" t="s">
        <v>257</v>
      </c>
      <c r="J2291" s="1" t="s">
        <v>371</v>
      </c>
      <c r="K2291" s="1" t="s">
        <v>653</v>
      </c>
      <c r="L2291" s="1" t="s">
        <v>951</v>
      </c>
    </row>
    <row r="2292" spans="2:12">
      <c r="B2292" s="1" t="s">
        <v>667</v>
      </c>
      <c r="C2292" s="1" t="s">
        <v>336</v>
      </c>
      <c r="D2292" s="52">
        <v>46080.734027777777</v>
      </c>
      <c r="E2292" s="52">
        <v>46080.734027777777</v>
      </c>
      <c r="F2292" s="52">
        <v>46080.734722222223</v>
      </c>
      <c r="G2292" s="53">
        <v>6.9444444444444447E-4</v>
      </c>
      <c r="H2292" s="1" t="s">
        <v>257</v>
      </c>
      <c r="J2292" s="1" t="s">
        <v>371</v>
      </c>
      <c r="K2292" s="1" t="s">
        <v>653</v>
      </c>
      <c r="L2292" s="1" t="s">
        <v>952</v>
      </c>
    </row>
    <row r="2293" spans="2:12">
      <c r="B2293" s="1" t="s">
        <v>667</v>
      </c>
      <c r="C2293" s="1" t="s">
        <v>336</v>
      </c>
      <c r="D2293" s="52">
        <v>46080.73333333333</v>
      </c>
      <c r="E2293" s="52">
        <v>46080.73333333333</v>
      </c>
      <c r="F2293" s="52">
        <v>46080.734027777777</v>
      </c>
      <c r="G2293" s="53">
        <v>6.8287037037037036E-4</v>
      </c>
      <c r="H2293" s="1" t="s">
        <v>257</v>
      </c>
      <c r="J2293" s="1" t="s">
        <v>371</v>
      </c>
      <c r="K2293" s="1" t="s">
        <v>653</v>
      </c>
      <c r="L2293" s="1" t="s">
        <v>953</v>
      </c>
    </row>
    <row r="2294" spans="2:12">
      <c r="B2294" s="1" t="s">
        <v>667</v>
      </c>
      <c r="C2294" s="1" t="s">
        <v>336</v>
      </c>
      <c r="D2294" s="52">
        <v>46080.729861111111</v>
      </c>
      <c r="E2294" s="52">
        <v>46080.729861111111</v>
      </c>
      <c r="F2294" s="52">
        <v>46080.730555555558</v>
      </c>
      <c r="G2294" s="53">
        <v>6.8287037037037036E-4</v>
      </c>
      <c r="H2294" s="1" t="s">
        <v>257</v>
      </c>
      <c r="J2294" s="1" t="s">
        <v>371</v>
      </c>
      <c r="K2294" s="1" t="s">
        <v>653</v>
      </c>
      <c r="L2294" s="1" t="s">
        <v>954</v>
      </c>
    </row>
    <row r="2295" spans="2:12">
      <c r="B2295" s="1" t="s">
        <v>667</v>
      </c>
      <c r="C2295" s="1" t="s">
        <v>336</v>
      </c>
      <c r="D2295" s="52">
        <v>46080.726388888892</v>
      </c>
      <c r="E2295" s="52">
        <v>46080.726388888892</v>
      </c>
      <c r="F2295" s="52">
        <v>46080.727083333331</v>
      </c>
      <c r="G2295" s="53">
        <v>6.8287037037037036E-4</v>
      </c>
      <c r="H2295" s="1" t="s">
        <v>257</v>
      </c>
      <c r="J2295" s="1" t="s">
        <v>371</v>
      </c>
      <c r="K2295" s="1" t="s">
        <v>653</v>
      </c>
      <c r="L2295" s="1" t="s">
        <v>955</v>
      </c>
    </row>
    <row r="2296" spans="2:12">
      <c r="B2296" s="1" t="s">
        <v>667</v>
      </c>
      <c r="C2296" s="1" t="s">
        <v>336</v>
      </c>
      <c r="D2296" s="52">
        <v>46080.724999999999</v>
      </c>
      <c r="E2296" s="52">
        <v>46080.724999999999</v>
      </c>
      <c r="F2296" s="52">
        <v>46080.725694444445</v>
      </c>
      <c r="G2296" s="53">
        <v>6.8287037037037036E-4</v>
      </c>
      <c r="H2296" s="1" t="s">
        <v>257</v>
      </c>
      <c r="J2296" s="1" t="s">
        <v>371</v>
      </c>
      <c r="K2296" s="1" t="s">
        <v>653</v>
      </c>
      <c r="L2296" s="1" t="s">
        <v>956</v>
      </c>
    </row>
    <row r="2297" spans="2:12">
      <c r="B2297" s="1" t="s">
        <v>667</v>
      </c>
      <c r="C2297" s="1" t="s">
        <v>336</v>
      </c>
      <c r="D2297" s="52">
        <v>46080.686111111114</v>
      </c>
      <c r="E2297" s="52">
        <v>46080.686111111114</v>
      </c>
      <c r="F2297" s="52">
        <v>46080.690972222219</v>
      </c>
      <c r="G2297" s="53">
        <v>4.6180555555555558E-3</v>
      </c>
      <c r="H2297" s="1" t="s">
        <v>257</v>
      </c>
      <c r="J2297" s="1" t="s">
        <v>371</v>
      </c>
      <c r="K2297" s="1" t="s">
        <v>653</v>
      </c>
      <c r="L2297" s="1" t="s">
        <v>957</v>
      </c>
    </row>
    <row r="2298" spans="2:12">
      <c r="B2298" s="1" t="s">
        <v>667</v>
      </c>
      <c r="C2298" s="1" t="s">
        <v>336</v>
      </c>
      <c r="D2298" s="52">
        <v>46080.675694444442</v>
      </c>
      <c r="E2298" s="52">
        <v>46080.675694444442</v>
      </c>
      <c r="F2298" s="52">
        <v>46080.680555555555</v>
      </c>
      <c r="G2298" s="53">
        <v>4.6064814814814814E-3</v>
      </c>
      <c r="H2298" s="1" t="s">
        <v>257</v>
      </c>
      <c r="J2298" s="1" t="s">
        <v>371</v>
      </c>
      <c r="K2298" s="1" t="s">
        <v>653</v>
      </c>
      <c r="L2298" s="1" t="s">
        <v>958</v>
      </c>
    </row>
    <row r="2299" spans="2:12">
      <c r="B2299" s="1" t="s">
        <v>667</v>
      </c>
      <c r="C2299" s="1" t="s">
        <v>336</v>
      </c>
      <c r="D2299" s="52">
        <v>46080.669444444444</v>
      </c>
      <c r="E2299" s="52">
        <v>46080.669444444444</v>
      </c>
      <c r="F2299" s="52">
        <v>46080.674305555556</v>
      </c>
      <c r="G2299" s="53">
        <v>4.6064814814814814E-3</v>
      </c>
      <c r="H2299" s="1" t="s">
        <v>257</v>
      </c>
      <c r="J2299" s="1" t="s">
        <v>371</v>
      </c>
      <c r="K2299" s="1" t="s">
        <v>653</v>
      </c>
      <c r="L2299" s="1" t="s">
        <v>959</v>
      </c>
    </row>
    <row r="2300" spans="2:12">
      <c r="B2300" s="1" t="s">
        <v>667</v>
      </c>
      <c r="C2300" s="1" t="s">
        <v>336</v>
      </c>
      <c r="D2300" s="52">
        <v>46080.660416666666</v>
      </c>
      <c r="E2300" s="52">
        <v>46080.660416666666</v>
      </c>
      <c r="F2300" s="52">
        <v>46080.665277777778</v>
      </c>
      <c r="G2300" s="53">
        <v>4.6874999999999998E-3</v>
      </c>
      <c r="H2300" s="1" t="s">
        <v>257</v>
      </c>
      <c r="J2300" s="1" t="s">
        <v>371</v>
      </c>
      <c r="K2300" s="1" t="s">
        <v>653</v>
      </c>
      <c r="L2300" s="1" t="s">
        <v>960</v>
      </c>
    </row>
    <row r="2301" spans="2:12">
      <c r="B2301" s="1" t="s">
        <v>667</v>
      </c>
      <c r="C2301" s="1" t="s">
        <v>336</v>
      </c>
      <c r="D2301" s="52">
        <v>46080.62222222222</v>
      </c>
      <c r="E2301" s="52">
        <v>46080.62222222222</v>
      </c>
      <c r="F2301" s="52">
        <v>46080.660416666666</v>
      </c>
      <c r="G2301" s="53">
        <v>3.7662037037037036E-2</v>
      </c>
      <c r="H2301" s="1" t="s">
        <v>257</v>
      </c>
      <c r="J2301" s="1" t="s">
        <v>371</v>
      </c>
      <c r="K2301" s="1" t="s">
        <v>653</v>
      </c>
      <c r="L2301" s="1" t="s">
        <v>961</v>
      </c>
    </row>
    <row r="2302" spans="2:12">
      <c r="B2302" s="1" t="s">
        <v>667</v>
      </c>
      <c r="C2302" s="1" t="s">
        <v>336</v>
      </c>
      <c r="D2302" s="52">
        <v>46080.604166666664</v>
      </c>
      <c r="E2302" s="52">
        <v>46080.604166666664</v>
      </c>
      <c r="F2302" s="52">
        <v>46080.604861111111</v>
      </c>
      <c r="G2302" s="53">
        <v>5.6712962962962967E-4</v>
      </c>
      <c r="H2302" s="1" t="s">
        <v>257</v>
      </c>
      <c r="J2302" s="1" t="s">
        <v>371</v>
      </c>
      <c r="K2302" s="1" t="s">
        <v>653</v>
      </c>
      <c r="L2302" s="1" t="s">
        <v>962</v>
      </c>
    </row>
    <row r="2303" spans="2:12">
      <c r="B2303" s="1" t="s">
        <v>667</v>
      </c>
      <c r="C2303" s="1" t="s">
        <v>336</v>
      </c>
      <c r="D2303" s="52">
        <v>46080.579861111109</v>
      </c>
      <c r="E2303" s="52">
        <v>46080.579861111109</v>
      </c>
      <c r="F2303" s="52">
        <v>46080.579861111109</v>
      </c>
      <c r="G2303" s="53">
        <v>5.4398148148148144E-4</v>
      </c>
      <c r="H2303" s="1" t="s">
        <v>257</v>
      </c>
      <c r="J2303" s="1" t="s">
        <v>371</v>
      </c>
      <c r="K2303" s="1" t="s">
        <v>653</v>
      </c>
      <c r="L2303" s="1" t="s">
        <v>963</v>
      </c>
    </row>
    <row r="2304" spans="2:12">
      <c r="B2304" s="1" t="s">
        <v>667</v>
      </c>
      <c r="C2304" s="1" t="s">
        <v>336</v>
      </c>
      <c r="D2304" s="52">
        <v>46080.570833333331</v>
      </c>
      <c r="E2304" s="52">
        <v>46080.570833333331</v>
      </c>
      <c r="F2304" s="52">
        <v>46080.571527777778</v>
      </c>
      <c r="G2304" s="53">
        <v>5.4398148148148144E-4</v>
      </c>
      <c r="H2304" s="1" t="s">
        <v>257</v>
      </c>
      <c r="J2304" s="1" t="s">
        <v>371</v>
      </c>
      <c r="K2304" s="1" t="s">
        <v>653</v>
      </c>
      <c r="L2304" s="1" t="s">
        <v>964</v>
      </c>
    </row>
    <row r="2305" spans="2:12">
      <c r="B2305" s="1" t="s">
        <v>667</v>
      </c>
      <c r="C2305" s="1" t="s">
        <v>336</v>
      </c>
      <c r="D2305" s="52">
        <v>46080.554861111108</v>
      </c>
      <c r="E2305" s="52">
        <v>46080.554861111108</v>
      </c>
      <c r="F2305" s="52">
        <v>46080.557638888888</v>
      </c>
      <c r="G2305" s="53">
        <v>2.5347222222222221E-3</v>
      </c>
      <c r="H2305" s="1" t="s">
        <v>257</v>
      </c>
      <c r="J2305" s="1" t="s">
        <v>371</v>
      </c>
      <c r="K2305" s="1" t="s">
        <v>653</v>
      </c>
      <c r="L2305" s="1" t="s">
        <v>965</v>
      </c>
    </row>
    <row r="2306" spans="2:12">
      <c r="B2306" s="1" t="s">
        <v>667</v>
      </c>
      <c r="C2306" s="1" t="s">
        <v>336</v>
      </c>
      <c r="D2306" s="52">
        <v>46080.545138888891</v>
      </c>
      <c r="E2306" s="52">
        <v>46080.545138888891</v>
      </c>
      <c r="F2306" s="52">
        <v>46080.545138888891</v>
      </c>
      <c r="G2306" s="53">
        <v>5.5555555555555556E-4</v>
      </c>
      <c r="H2306" s="1" t="s">
        <v>257</v>
      </c>
      <c r="J2306" s="1" t="s">
        <v>371</v>
      </c>
      <c r="K2306" s="1" t="s">
        <v>653</v>
      </c>
      <c r="L2306" s="1" t="s">
        <v>966</v>
      </c>
    </row>
    <row r="2307" spans="2:12">
      <c r="B2307" s="1" t="s">
        <v>667</v>
      </c>
      <c r="C2307" s="1" t="s">
        <v>336</v>
      </c>
      <c r="D2307" s="52">
        <v>46080.543749999997</v>
      </c>
      <c r="E2307" s="52">
        <v>46080.543749999997</v>
      </c>
      <c r="F2307" s="52">
        <v>46080.543749999997</v>
      </c>
      <c r="G2307" s="53">
        <v>5.5555555555555556E-4</v>
      </c>
      <c r="H2307" s="1" t="s">
        <v>257</v>
      </c>
      <c r="J2307" s="1" t="s">
        <v>371</v>
      </c>
      <c r="K2307" s="1" t="s">
        <v>653</v>
      </c>
      <c r="L2307" s="1" t="s">
        <v>967</v>
      </c>
    </row>
    <row r="2308" spans="2:12">
      <c r="B2308" s="1" t="s">
        <v>667</v>
      </c>
      <c r="C2308" s="1" t="s">
        <v>336</v>
      </c>
      <c r="D2308" s="52">
        <v>46080.533333333333</v>
      </c>
      <c r="E2308" s="52">
        <v>46080.533333333333</v>
      </c>
      <c r="F2308" s="52">
        <v>46080.53402777778</v>
      </c>
      <c r="G2308" s="53">
        <v>5.4398148148148144E-4</v>
      </c>
      <c r="H2308" s="1" t="s">
        <v>257</v>
      </c>
      <c r="J2308" s="1" t="s">
        <v>371</v>
      </c>
      <c r="K2308" s="1" t="s">
        <v>653</v>
      </c>
      <c r="L2308" s="1" t="s">
        <v>968</v>
      </c>
    </row>
    <row r="2309" spans="2:12">
      <c r="B2309" s="1" t="s">
        <v>667</v>
      </c>
      <c r="C2309" s="1" t="s">
        <v>336</v>
      </c>
      <c r="D2309" s="52">
        <v>46080.519444444442</v>
      </c>
      <c r="E2309" s="52">
        <v>46080.519444444442</v>
      </c>
      <c r="F2309" s="52">
        <v>46080.519444444442</v>
      </c>
      <c r="G2309" s="53">
        <v>5.3240740740740744E-4</v>
      </c>
      <c r="H2309" s="1" t="s">
        <v>257</v>
      </c>
      <c r="J2309" s="1" t="s">
        <v>371</v>
      </c>
      <c r="K2309" s="1" t="s">
        <v>653</v>
      </c>
      <c r="L2309" s="1" t="s">
        <v>969</v>
      </c>
    </row>
    <row r="2310" spans="2:12">
      <c r="B2310" s="1" t="s">
        <v>667</v>
      </c>
      <c r="C2310" s="1" t="s">
        <v>336</v>
      </c>
      <c r="D2310" s="52">
        <v>46080.5</v>
      </c>
      <c r="E2310" s="52">
        <v>46080.5</v>
      </c>
      <c r="F2310" s="52">
        <v>46080.500694444447</v>
      </c>
      <c r="G2310" s="53">
        <v>5.3240740740740744E-4</v>
      </c>
      <c r="H2310" s="1" t="s">
        <v>257</v>
      </c>
      <c r="J2310" s="1" t="s">
        <v>371</v>
      </c>
      <c r="K2310" s="1" t="s">
        <v>653</v>
      </c>
      <c r="L2310" s="1" t="s">
        <v>970</v>
      </c>
    </row>
    <row r="2311" spans="2:12">
      <c r="B2311" s="1" t="s">
        <v>667</v>
      </c>
      <c r="C2311" s="1" t="s">
        <v>336</v>
      </c>
      <c r="D2311" s="52">
        <v>46080.48333333333</v>
      </c>
      <c r="E2311" s="52">
        <v>46080.48333333333</v>
      </c>
      <c r="F2311" s="52">
        <v>46080.484027777777</v>
      </c>
      <c r="G2311" s="53">
        <v>5.4398148148148144E-4</v>
      </c>
      <c r="H2311" s="1" t="s">
        <v>257</v>
      </c>
      <c r="J2311" s="1" t="s">
        <v>371</v>
      </c>
      <c r="K2311" s="1" t="s">
        <v>653</v>
      </c>
      <c r="L2311" s="1" t="s">
        <v>971</v>
      </c>
    </row>
    <row r="2312" spans="2:12">
      <c r="B2312" s="1" t="s">
        <v>667</v>
      </c>
      <c r="C2312" s="1" t="s">
        <v>336</v>
      </c>
      <c r="D2312" s="52">
        <v>46080.474999999999</v>
      </c>
      <c r="E2312" s="52">
        <v>46080.474999999999</v>
      </c>
      <c r="F2312" s="52">
        <v>46080.475694444445</v>
      </c>
      <c r="G2312" s="53">
        <v>5.2083333333333333E-4</v>
      </c>
      <c r="H2312" s="1" t="s">
        <v>257</v>
      </c>
      <c r="J2312" s="1" t="s">
        <v>371</v>
      </c>
      <c r="K2312" s="1" t="s">
        <v>653</v>
      </c>
      <c r="L2312" s="1" t="s">
        <v>972</v>
      </c>
    </row>
    <row r="2313" spans="2:12">
      <c r="B2313" s="1" t="s">
        <v>667</v>
      </c>
      <c r="C2313" s="1" t="s">
        <v>336</v>
      </c>
      <c r="D2313" s="52">
        <v>46080.440972222219</v>
      </c>
      <c r="E2313" s="52">
        <v>46080.440972222219</v>
      </c>
      <c r="F2313" s="52">
        <v>46080.441666666666</v>
      </c>
      <c r="G2313" s="53">
        <v>5.4398148148148144E-4</v>
      </c>
      <c r="H2313" s="1" t="s">
        <v>257</v>
      </c>
      <c r="J2313" s="1" t="s">
        <v>371</v>
      </c>
      <c r="K2313" s="1" t="s">
        <v>653</v>
      </c>
      <c r="L2313" s="1" t="s">
        <v>973</v>
      </c>
    </row>
    <row r="2314" spans="2:12">
      <c r="B2314" s="1" t="s">
        <v>667</v>
      </c>
      <c r="C2314" s="1" t="s">
        <v>336</v>
      </c>
      <c r="D2314" s="52">
        <v>46080.428472222222</v>
      </c>
      <c r="E2314" s="52">
        <v>46080.428472222222</v>
      </c>
      <c r="F2314" s="52">
        <v>46080.429166666669</v>
      </c>
      <c r="G2314" s="53">
        <v>5.4398148148148144E-4</v>
      </c>
      <c r="H2314" s="1" t="s">
        <v>257</v>
      </c>
      <c r="J2314" s="1" t="s">
        <v>371</v>
      </c>
      <c r="K2314" s="1" t="s">
        <v>653</v>
      </c>
      <c r="L2314" s="1" t="s">
        <v>974</v>
      </c>
    </row>
    <row r="2315" spans="2:12">
      <c r="B2315" s="1" t="s">
        <v>667</v>
      </c>
      <c r="C2315" s="1" t="s">
        <v>336</v>
      </c>
      <c r="D2315" s="52">
        <v>46080.408333333333</v>
      </c>
      <c r="E2315" s="52">
        <v>46080.408333333333</v>
      </c>
      <c r="F2315" s="52">
        <v>46080.40902777778</v>
      </c>
      <c r="G2315" s="53">
        <v>5.6712962962962967E-4</v>
      </c>
      <c r="H2315" s="1" t="s">
        <v>257</v>
      </c>
      <c r="J2315" s="1" t="s">
        <v>371</v>
      </c>
      <c r="K2315" s="1" t="s">
        <v>653</v>
      </c>
      <c r="L2315" s="1" t="s">
        <v>975</v>
      </c>
    </row>
    <row r="2316" spans="2:12">
      <c r="B2316" s="1" t="s">
        <v>667</v>
      </c>
      <c r="C2316" s="1" t="s">
        <v>336</v>
      </c>
      <c r="D2316" s="52">
        <v>46080.407638888886</v>
      </c>
      <c r="E2316" s="52">
        <v>46080.407638888886</v>
      </c>
      <c r="F2316" s="52">
        <v>46080.408333333333</v>
      </c>
      <c r="G2316" s="53">
        <v>5.3240740740740744E-4</v>
      </c>
      <c r="H2316" s="1" t="s">
        <v>257</v>
      </c>
      <c r="J2316" s="1" t="s">
        <v>371</v>
      </c>
      <c r="K2316" s="1" t="s">
        <v>653</v>
      </c>
      <c r="L2316" s="1" t="s">
        <v>976</v>
      </c>
    </row>
    <row r="2317" spans="2:12">
      <c r="B2317" s="1" t="s">
        <v>667</v>
      </c>
      <c r="C2317" s="1" t="s">
        <v>336</v>
      </c>
      <c r="D2317" s="52">
        <v>46080.399305555555</v>
      </c>
      <c r="E2317" s="52">
        <v>46080.399305555555</v>
      </c>
      <c r="F2317" s="52">
        <v>46080.399305555555</v>
      </c>
      <c r="G2317" s="53">
        <v>5.4398148148148144E-4</v>
      </c>
      <c r="H2317" s="1" t="s">
        <v>257</v>
      </c>
      <c r="J2317" s="1" t="s">
        <v>371</v>
      </c>
      <c r="K2317" s="1" t="s">
        <v>653</v>
      </c>
      <c r="L2317" s="1" t="s">
        <v>977</v>
      </c>
    </row>
    <row r="2318" spans="2:12">
      <c r="B2318" s="1" t="s">
        <v>667</v>
      </c>
      <c r="C2318" s="1" t="s">
        <v>336</v>
      </c>
      <c r="D2318" s="52">
        <v>46080.387499999997</v>
      </c>
      <c r="E2318" s="52">
        <v>46080.387499999997</v>
      </c>
      <c r="F2318" s="52">
        <v>46080.388194444444</v>
      </c>
      <c r="G2318" s="53">
        <v>5.4398148148148144E-4</v>
      </c>
      <c r="H2318" s="1" t="s">
        <v>257</v>
      </c>
      <c r="J2318" s="1" t="s">
        <v>371</v>
      </c>
      <c r="K2318" s="1" t="s">
        <v>653</v>
      </c>
      <c r="L2318" s="1" t="s">
        <v>978</v>
      </c>
    </row>
    <row r="2319" spans="2:12">
      <c r="B2319" s="1" t="s">
        <v>667</v>
      </c>
      <c r="C2319" s="1" t="s">
        <v>336</v>
      </c>
      <c r="D2319" s="52">
        <v>46080.359722222223</v>
      </c>
      <c r="E2319" s="52">
        <v>46080.359722222223</v>
      </c>
      <c r="F2319" s="52">
        <v>46080.36041666667</v>
      </c>
      <c r="G2319" s="53">
        <v>5.2083333333333333E-4</v>
      </c>
      <c r="H2319" s="1" t="s">
        <v>257</v>
      </c>
      <c r="J2319" s="1" t="s">
        <v>371</v>
      </c>
      <c r="K2319" s="1" t="s">
        <v>653</v>
      </c>
      <c r="L2319" s="1" t="s">
        <v>979</v>
      </c>
    </row>
    <row r="2320" spans="2:12">
      <c r="B2320" s="1" t="s">
        <v>667</v>
      </c>
      <c r="C2320" s="1" t="s">
        <v>336</v>
      </c>
      <c r="D2320" s="52">
        <v>46080.319444444445</v>
      </c>
      <c r="E2320" s="52">
        <v>46080.319444444445</v>
      </c>
      <c r="F2320" s="52">
        <v>46080.320138888892</v>
      </c>
      <c r="G2320" s="53">
        <v>5.4398148148148144E-4</v>
      </c>
      <c r="H2320" s="1" t="s">
        <v>257</v>
      </c>
      <c r="J2320" s="1" t="s">
        <v>371</v>
      </c>
      <c r="K2320" s="1" t="s">
        <v>653</v>
      </c>
      <c r="L2320" s="1" t="s">
        <v>980</v>
      </c>
    </row>
    <row r="2321" spans="2:12">
      <c r="B2321" s="1" t="s">
        <v>667</v>
      </c>
      <c r="C2321" s="1" t="s">
        <v>336</v>
      </c>
      <c r="D2321" s="52">
        <v>46080.288194444445</v>
      </c>
      <c r="E2321" s="52">
        <v>46080.288194444445</v>
      </c>
      <c r="F2321" s="52">
        <v>46080.292361111111</v>
      </c>
      <c r="G2321" s="53">
        <v>4.5601851851851853E-3</v>
      </c>
      <c r="H2321" s="1" t="s">
        <v>257</v>
      </c>
      <c r="J2321" s="1" t="s">
        <v>371</v>
      </c>
      <c r="K2321" s="1" t="s">
        <v>653</v>
      </c>
      <c r="L2321" s="1" t="s">
        <v>981</v>
      </c>
    </row>
    <row r="2322" spans="2:12">
      <c r="B2322" s="1" t="s">
        <v>667</v>
      </c>
      <c r="C2322" s="1" t="s">
        <v>336</v>
      </c>
      <c r="D2322" s="52">
        <v>46080.286805555559</v>
      </c>
      <c r="E2322" s="52">
        <v>46080.286805555559</v>
      </c>
      <c r="F2322" s="52">
        <v>46080.287499999999</v>
      </c>
      <c r="G2322" s="53">
        <v>4.861111111111111E-4</v>
      </c>
      <c r="H2322" s="1" t="s">
        <v>257</v>
      </c>
      <c r="J2322" s="1" t="s">
        <v>371</v>
      </c>
      <c r="K2322" s="1" t="s">
        <v>653</v>
      </c>
      <c r="L2322" s="1" t="s">
        <v>982</v>
      </c>
    </row>
    <row r="2323" spans="2:12">
      <c r="B2323" s="1" t="s">
        <v>667</v>
      </c>
      <c r="C2323" s="1" t="s">
        <v>336</v>
      </c>
      <c r="D2323" s="52">
        <v>46080.28125</v>
      </c>
      <c r="E2323" s="52">
        <v>46080.28125</v>
      </c>
      <c r="F2323" s="52">
        <v>46080.285416666666</v>
      </c>
      <c r="G2323" s="53">
        <v>4.6759259259259263E-3</v>
      </c>
      <c r="H2323" s="1" t="s">
        <v>257</v>
      </c>
      <c r="J2323" s="1" t="s">
        <v>371</v>
      </c>
      <c r="K2323" s="1" t="s">
        <v>653</v>
      </c>
      <c r="L2323" s="1" t="s">
        <v>983</v>
      </c>
    </row>
    <row r="2324" spans="2:12">
      <c r="B2324" s="1" t="s">
        <v>667</v>
      </c>
      <c r="C2324" s="1" t="s">
        <v>336</v>
      </c>
      <c r="D2324" s="52">
        <v>46080.276388888888</v>
      </c>
      <c r="E2324" s="52">
        <v>46080.276388888888</v>
      </c>
      <c r="F2324" s="52">
        <v>46080.277083333334</v>
      </c>
      <c r="G2324" s="53">
        <v>1.0648148148148149E-3</v>
      </c>
      <c r="H2324" s="1" t="s">
        <v>257</v>
      </c>
      <c r="J2324" s="1" t="s">
        <v>371</v>
      </c>
      <c r="K2324" s="1" t="s">
        <v>653</v>
      </c>
      <c r="L2324" s="1" t="s">
        <v>984</v>
      </c>
    </row>
    <row r="2325" spans="2:12">
      <c r="B2325" s="1" t="s">
        <v>667</v>
      </c>
      <c r="C2325" s="1" t="s">
        <v>336</v>
      </c>
      <c r="D2325" s="52">
        <v>46080.25</v>
      </c>
      <c r="E2325" s="52">
        <v>46080.25</v>
      </c>
      <c r="F2325" s="52">
        <v>46080.276388888888</v>
      </c>
      <c r="G2325" s="53">
        <v>2.5752314814814815E-2</v>
      </c>
      <c r="H2325" s="1" t="s">
        <v>257</v>
      </c>
      <c r="J2325" s="1" t="s">
        <v>371</v>
      </c>
      <c r="K2325" s="1" t="s">
        <v>653</v>
      </c>
      <c r="L2325" s="1" t="s">
        <v>985</v>
      </c>
    </row>
    <row r="2326" spans="2:12">
      <c r="B2326" s="1" t="s">
        <v>667</v>
      </c>
      <c r="C2326" s="1" t="s">
        <v>336</v>
      </c>
      <c r="D2326" s="52">
        <v>46080.25</v>
      </c>
      <c r="E2326" s="52">
        <v>46080.25</v>
      </c>
      <c r="F2326" s="52">
        <v>46080.276388888888</v>
      </c>
      <c r="G2326" s="53">
        <v>2.5879629629629631E-2</v>
      </c>
      <c r="H2326" s="1" t="s">
        <v>257</v>
      </c>
      <c r="J2326" s="1" t="s">
        <v>371</v>
      </c>
      <c r="K2326" s="1" t="s">
        <v>653</v>
      </c>
      <c r="L2326" s="1" t="s">
        <v>986</v>
      </c>
    </row>
    <row r="2327" spans="2:12">
      <c r="B2327" s="1" t="s">
        <v>667</v>
      </c>
      <c r="C2327" s="1" t="s">
        <v>336</v>
      </c>
      <c r="D2327" s="52">
        <v>46079.75277777778</v>
      </c>
      <c r="E2327" s="52">
        <v>46079.75277777778</v>
      </c>
      <c r="F2327" s="52">
        <v>46079.779861111114</v>
      </c>
      <c r="G2327" s="53">
        <v>2.7025462962962963E-2</v>
      </c>
      <c r="H2327" s="1" t="s">
        <v>257</v>
      </c>
      <c r="J2327" s="1" t="s">
        <v>371</v>
      </c>
      <c r="K2327" s="1" t="s">
        <v>653</v>
      </c>
      <c r="L2327" s="1" t="s">
        <v>987</v>
      </c>
    </row>
    <row r="2328" spans="2:12">
      <c r="B2328" s="1" t="s">
        <v>667</v>
      </c>
      <c r="C2328" s="1" t="s">
        <v>336</v>
      </c>
      <c r="D2328" s="52">
        <v>46079.752083333333</v>
      </c>
      <c r="E2328" s="52">
        <v>46079.752083333333</v>
      </c>
      <c r="F2328" s="52">
        <v>46079.75277777778</v>
      </c>
      <c r="G2328" s="53">
        <v>5.2083333333333333E-4</v>
      </c>
      <c r="H2328" s="1" t="s">
        <v>257</v>
      </c>
      <c r="J2328" s="1" t="s">
        <v>371</v>
      </c>
      <c r="K2328" s="1" t="s">
        <v>653</v>
      </c>
      <c r="L2328" s="1" t="s">
        <v>988</v>
      </c>
    </row>
    <row r="2329" spans="2:12">
      <c r="B2329" s="1" t="s">
        <v>667</v>
      </c>
      <c r="C2329" s="1" t="s">
        <v>336</v>
      </c>
      <c r="D2329" s="52">
        <v>46079.751388888886</v>
      </c>
      <c r="E2329" s="52">
        <v>46079.751388888886</v>
      </c>
      <c r="F2329" s="52">
        <v>46079.752083333333</v>
      </c>
      <c r="G2329" s="53">
        <v>5.0925925925925921E-4</v>
      </c>
      <c r="H2329" s="1" t="s">
        <v>257</v>
      </c>
      <c r="J2329" s="1" t="s">
        <v>371</v>
      </c>
      <c r="K2329" s="1" t="s">
        <v>653</v>
      </c>
      <c r="L2329" s="1" t="s">
        <v>989</v>
      </c>
    </row>
    <row r="2330" spans="2:12">
      <c r="B2330" s="1" t="s">
        <v>667</v>
      </c>
      <c r="C2330" s="1" t="s">
        <v>336</v>
      </c>
      <c r="D2330" s="52">
        <v>46079.750694444447</v>
      </c>
      <c r="E2330" s="52">
        <v>46079.750694444447</v>
      </c>
      <c r="F2330" s="52">
        <v>46079.751388888886</v>
      </c>
      <c r="G2330" s="53">
        <v>5.2083333333333333E-4</v>
      </c>
      <c r="H2330" s="1" t="s">
        <v>257</v>
      </c>
      <c r="J2330" s="1" t="s">
        <v>371</v>
      </c>
      <c r="K2330" s="1" t="s">
        <v>653</v>
      </c>
      <c r="L2330" s="1" t="s">
        <v>990</v>
      </c>
    </row>
    <row r="2331" spans="2:12">
      <c r="B2331" s="1" t="s">
        <v>667</v>
      </c>
      <c r="C2331" s="1" t="s">
        <v>336</v>
      </c>
      <c r="D2331" s="52">
        <v>46079.75</v>
      </c>
      <c r="E2331" s="52">
        <v>46079.75</v>
      </c>
      <c r="F2331" s="52">
        <v>46079.750694444447</v>
      </c>
      <c r="G2331" s="53">
        <v>5.2083333333333333E-4</v>
      </c>
      <c r="H2331" s="1" t="s">
        <v>257</v>
      </c>
      <c r="J2331" s="1" t="s">
        <v>371</v>
      </c>
      <c r="K2331" s="1" t="s">
        <v>653</v>
      </c>
      <c r="L2331" s="1" t="s">
        <v>991</v>
      </c>
    </row>
    <row r="2332" spans="2:12">
      <c r="B2332" s="1" t="s">
        <v>667</v>
      </c>
      <c r="C2332" s="1" t="s">
        <v>336</v>
      </c>
      <c r="D2332" s="52">
        <v>46079.748611111114</v>
      </c>
      <c r="E2332" s="52">
        <v>46079.748611111114</v>
      </c>
      <c r="F2332" s="52">
        <v>46079.749305555553</v>
      </c>
      <c r="G2332" s="53">
        <v>5.0925925925925921E-4</v>
      </c>
      <c r="H2332" s="1" t="s">
        <v>257</v>
      </c>
      <c r="J2332" s="1" t="s">
        <v>371</v>
      </c>
      <c r="K2332" s="1" t="s">
        <v>653</v>
      </c>
      <c r="L2332" s="1" t="s">
        <v>992</v>
      </c>
    </row>
    <row r="2333" spans="2:12">
      <c r="B2333" s="1" t="s">
        <v>667</v>
      </c>
      <c r="C2333" s="1" t="s">
        <v>336</v>
      </c>
      <c r="D2333" s="52">
        <v>46079.747916666667</v>
      </c>
      <c r="E2333" s="52">
        <v>46079.747916666667</v>
      </c>
      <c r="F2333" s="52">
        <v>46079.748611111114</v>
      </c>
      <c r="G2333" s="53">
        <v>5.2083333333333333E-4</v>
      </c>
      <c r="H2333" s="1" t="s">
        <v>257</v>
      </c>
      <c r="J2333" s="1" t="s">
        <v>371</v>
      </c>
      <c r="K2333" s="1" t="s">
        <v>653</v>
      </c>
      <c r="L2333" s="1" t="s">
        <v>993</v>
      </c>
    </row>
    <row r="2334" spans="2:12">
      <c r="B2334" s="1" t="s">
        <v>667</v>
      </c>
      <c r="C2334" s="1" t="s">
        <v>336</v>
      </c>
      <c r="D2334" s="52">
        <v>46079.590277777781</v>
      </c>
      <c r="E2334" s="52">
        <v>46079.590277777781</v>
      </c>
      <c r="F2334" s="52">
        <v>46079.59097222222</v>
      </c>
      <c r="G2334" s="53">
        <v>5.3240740740740744E-4</v>
      </c>
      <c r="H2334" s="1" t="s">
        <v>257</v>
      </c>
      <c r="J2334" s="1" t="s">
        <v>371</v>
      </c>
      <c r="K2334" s="1" t="s">
        <v>653</v>
      </c>
      <c r="L2334" s="1" t="s">
        <v>994</v>
      </c>
    </row>
    <row r="2335" spans="2:12">
      <c r="B2335" s="1" t="s">
        <v>667</v>
      </c>
      <c r="C2335" s="1" t="s">
        <v>336</v>
      </c>
      <c r="D2335" s="52">
        <v>46079.574305555558</v>
      </c>
      <c r="E2335" s="52">
        <v>46079.574305555558</v>
      </c>
      <c r="F2335" s="52">
        <v>46079.574999999997</v>
      </c>
      <c r="G2335" s="53">
        <v>5.3240740740740744E-4</v>
      </c>
      <c r="H2335" s="1" t="s">
        <v>257</v>
      </c>
      <c r="J2335" s="1" t="s">
        <v>371</v>
      </c>
      <c r="K2335" s="1" t="s">
        <v>653</v>
      </c>
      <c r="L2335" s="1" t="s">
        <v>995</v>
      </c>
    </row>
    <row r="2336" spans="2:12">
      <c r="B2336" s="1" t="s">
        <v>667</v>
      </c>
      <c r="C2336" s="1" t="s">
        <v>336</v>
      </c>
      <c r="D2336" s="52">
        <v>46079.565972222219</v>
      </c>
      <c r="E2336" s="52">
        <v>46079.565972222219</v>
      </c>
      <c r="F2336" s="52">
        <v>46079.565972222219</v>
      </c>
      <c r="G2336" s="53">
        <v>5.0925925925925921E-4</v>
      </c>
      <c r="H2336" s="1" t="s">
        <v>257</v>
      </c>
      <c r="J2336" s="1" t="s">
        <v>371</v>
      </c>
      <c r="K2336" s="1" t="s">
        <v>653</v>
      </c>
      <c r="L2336" s="1" t="s">
        <v>996</v>
      </c>
    </row>
    <row r="2337" spans="2:12">
      <c r="B2337" s="1" t="s">
        <v>667</v>
      </c>
      <c r="C2337" s="1" t="s">
        <v>336</v>
      </c>
      <c r="D2337" s="52">
        <v>46079.556944444441</v>
      </c>
      <c r="E2337" s="52">
        <v>46079.556944444441</v>
      </c>
      <c r="F2337" s="52">
        <v>46079.557638888888</v>
      </c>
      <c r="G2337" s="53">
        <v>5.5555555555555556E-4</v>
      </c>
      <c r="H2337" s="1" t="s">
        <v>257</v>
      </c>
      <c r="J2337" s="1" t="s">
        <v>371</v>
      </c>
      <c r="K2337" s="1" t="s">
        <v>653</v>
      </c>
      <c r="L2337" s="1" t="s">
        <v>997</v>
      </c>
    </row>
    <row r="2338" spans="2:12">
      <c r="B2338" s="1" t="s">
        <v>667</v>
      </c>
      <c r="C2338" s="1" t="s">
        <v>336</v>
      </c>
      <c r="D2338" s="52">
        <v>46079.551388888889</v>
      </c>
      <c r="E2338" s="52">
        <v>46079.551388888889</v>
      </c>
      <c r="F2338" s="52">
        <v>46079.552083333336</v>
      </c>
      <c r="G2338" s="53">
        <v>5.6712962962962967E-4</v>
      </c>
      <c r="H2338" s="1" t="s">
        <v>257</v>
      </c>
      <c r="J2338" s="1" t="s">
        <v>371</v>
      </c>
      <c r="K2338" s="1" t="s">
        <v>653</v>
      </c>
      <c r="L2338" s="1" t="s">
        <v>998</v>
      </c>
    </row>
    <row r="2339" spans="2:12">
      <c r="B2339" s="1" t="s">
        <v>667</v>
      </c>
      <c r="C2339" s="1" t="s">
        <v>336</v>
      </c>
      <c r="D2339" s="52">
        <v>46079.542361111111</v>
      </c>
      <c r="E2339" s="52">
        <v>46079.542361111111</v>
      </c>
      <c r="F2339" s="52">
        <v>46079.543055555558</v>
      </c>
      <c r="G2339" s="53">
        <v>5.0925925925925921E-4</v>
      </c>
      <c r="H2339" s="1" t="s">
        <v>257</v>
      </c>
      <c r="J2339" s="1" t="s">
        <v>371</v>
      </c>
      <c r="K2339" s="1" t="s">
        <v>653</v>
      </c>
      <c r="L2339" s="1" t="s">
        <v>999</v>
      </c>
    </row>
    <row r="2340" spans="2:12">
      <c r="B2340" s="1" t="s">
        <v>667</v>
      </c>
      <c r="C2340" s="1" t="s">
        <v>336</v>
      </c>
      <c r="D2340" s="52">
        <v>46079.533333333333</v>
      </c>
      <c r="E2340" s="52">
        <v>46079.533333333333</v>
      </c>
      <c r="F2340" s="52">
        <v>46079.533333333333</v>
      </c>
      <c r="G2340" s="53">
        <v>4.9768518518518521E-4</v>
      </c>
      <c r="H2340" s="1" t="s">
        <v>257</v>
      </c>
      <c r="J2340" s="1" t="s">
        <v>371</v>
      </c>
      <c r="K2340" s="1" t="s">
        <v>653</v>
      </c>
      <c r="L2340" s="1" t="s">
        <v>1000</v>
      </c>
    </row>
    <row r="2341" spans="2:12">
      <c r="B2341" s="1" t="s">
        <v>667</v>
      </c>
      <c r="C2341" s="1" t="s">
        <v>336</v>
      </c>
      <c r="D2341" s="52">
        <v>46079.525694444441</v>
      </c>
      <c r="E2341" s="52">
        <v>46079.525694444441</v>
      </c>
      <c r="F2341" s="52">
        <v>46079.525694444441</v>
      </c>
      <c r="G2341" s="53">
        <v>5.2083333333333333E-4</v>
      </c>
      <c r="H2341" s="1" t="s">
        <v>257</v>
      </c>
      <c r="J2341" s="1" t="s">
        <v>371</v>
      </c>
      <c r="K2341" s="1" t="s">
        <v>653</v>
      </c>
      <c r="L2341" s="1" t="s">
        <v>1001</v>
      </c>
    </row>
    <row r="2342" spans="2:12">
      <c r="B2342" s="1" t="s">
        <v>667</v>
      </c>
      <c r="C2342" s="1" t="s">
        <v>336</v>
      </c>
      <c r="D2342" s="52">
        <v>46079.517361111109</v>
      </c>
      <c r="E2342" s="52">
        <v>46079.517361111109</v>
      </c>
      <c r="F2342" s="52">
        <v>46079.518055555556</v>
      </c>
      <c r="G2342" s="53">
        <v>5.5555555555555556E-4</v>
      </c>
      <c r="H2342" s="1" t="s">
        <v>257</v>
      </c>
      <c r="J2342" s="1" t="s">
        <v>371</v>
      </c>
      <c r="K2342" s="1" t="s">
        <v>653</v>
      </c>
      <c r="L2342" s="1" t="s">
        <v>1002</v>
      </c>
    </row>
    <row r="2343" spans="2:12">
      <c r="B2343" s="1" t="s">
        <v>667</v>
      </c>
      <c r="C2343" s="1" t="s">
        <v>336</v>
      </c>
      <c r="D2343" s="52">
        <v>46079.505555555559</v>
      </c>
      <c r="E2343" s="52">
        <v>46079.505555555559</v>
      </c>
      <c r="F2343" s="52">
        <v>46079.506249999999</v>
      </c>
      <c r="G2343" s="53">
        <v>5.5555555555555556E-4</v>
      </c>
      <c r="H2343" s="1" t="s">
        <v>257</v>
      </c>
      <c r="J2343" s="1" t="s">
        <v>371</v>
      </c>
      <c r="K2343" s="1" t="s">
        <v>653</v>
      </c>
      <c r="L2343" s="1" t="s">
        <v>1003</v>
      </c>
    </row>
    <row r="2344" spans="2:12">
      <c r="B2344" s="1" t="s">
        <v>667</v>
      </c>
      <c r="C2344" s="1" t="s">
        <v>336</v>
      </c>
      <c r="D2344" s="52">
        <v>46079.5</v>
      </c>
      <c r="E2344" s="52">
        <v>46079.5</v>
      </c>
      <c r="F2344" s="52">
        <v>46079.500694444447</v>
      </c>
      <c r="G2344" s="53">
        <v>6.3657407407407413E-4</v>
      </c>
      <c r="H2344" s="1" t="s">
        <v>257</v>
      </c>
      <c r="J2344" s="1" t="s">
        <v>371</v>
      </c>
      <c r="K2344" s="1" t="s">
        <v>653</v>
      </c>
      <c r="L2344" s="1" t="s">
        <v>1004</v>
      </c>
    </row>
    <row r="2345" spans="2:12">
      <c r="B2345" s="1" t="s">
        <v>667</v>
      </c>
      <c r="C2345" s="1" t="s">
        <v>336</v>
      </c>
      <c r="D2345" s="52">
        <v>46079.480555555558</v>
      </c>
      <c r="E2345" s="52">
        <v>46079.480555555558</v>
      </c>
      <c r="F2345" s="52">
        <v>46079.481249999997</v>
      </c>
      <c r="G2345" s="53">
        <v>5.0925925925925921E-4</v>
      </c>
      <c r="H2345" s="1" t="s">
        <v>257</v>
      </c>
      <c r="J2345" s="1" t="s">
        <v>371</v>
      </c>
      <c r="K2345" s="1" t="s">
        <v>653</v>
      </c>
      <c r="L2345" s="1" t="s">
        <v>1005</v>
      </c>
    </row>
    <row r="2346" spans="2:12">
      <c r="B2346" s="1" t="s">
        <v>667</v>
      </c>
      <c r="C2346" s="1" t="s">
        <v>336</v>
      </c>
      <c r="D2346" s="52">
        <v>46079.469444444447</v>
      </c>
      <c r="E2346" s="52">
        <v>46079.469444444447</v>
      </c>
      <c r="F2346" s="52">
        <v>46079.470138888886</v>
      </c>
      <c r="G2346" s="53">
        <v>5.2083333333333333E-4</v>
      </c>
      <c r="H2346" s="1" t="s">
        <v>257</v>
      </c>
      <c r="J2346" s="1" t="s">
        <v>371</v>
      </c>
      <c r="K2346" s="1" t="s">
        <v>653</v>
      </c>
      <c r="L2346" s="1" t="s">
        <v>1006</v>
      </c>
    </row>
    <row r="2347" spans="2:12">
      <c r="B2347" s="1" t="s">
        <v>667</v>
      </c>
      <c r="C2347" s="1" t="s">
        <v>336</v>
      </c>
      <c r="D2347" s="52">
        <v>46079.448611111111</v>
      </c>
      <c r="E2347" s="52">
        <v>46079.448611111111</v>
      </c>
      <c r="F2347" s="52">
        <v>46079.448611111111</v>
      </c>
      <c r="G2347" s="53">
        <v>5.4398148148148144E-4</v>
      </c>
      <c r="H2347" s="1" t="s">
        <v>257</v>
      </c>
      <c r="J2347" s="1" t="s">
        <v>371</v>
      </c>
      <c r="K2347" s="1" t="s">
        <v>653</v>
      </c>
      <c r="L2347" s="1" t="s">
        <v>1007</v>
      </c>
    </row>
    <row r="2348" spans="2:12">
      <c r="B2348" s="1" t="s">
        <v>667</v>
      </c>
      <c r="C2348" s="1" t="s">
        <v>336</v>
      </c>
      <c r="D2348" s="52">
        <v>46079.434027777781</v>
      </c>
      <c r="E2348" s="52">
        <v>46079.434027777781</v>
      </c>
      <c r="F2348" s="52">
        <v>46079.434027777781</v>
      </c>
      <c r="G2348" s="53">
        <v>5.9027777777777778E-4</v>
      </c>
      <c r="H2348" s="1" t="s">
        <v>257</v>
      </c>
      <c r="J2348" s="1" t="s">
        <v>371</v>
      </c>
      <c r="K2348" s="1" t="s">
        <v>653</v>
      </c>
      <c r="L2348" s="1" t="s">
        <v>1008</v>
      </c>
    </row>
    <row r="2349" spans="2:12">
      <c r="B2349" s="1" t="s">
        <v>667</v>
      </c>
      <c r="C2349" s="1" t="s">
        <v>336</v>
      </c>
      <c r="D2349" s="52">
        <v>46079.420138888891</v>
      </c>
      <c r="E2349" s="52">
        <v>46079.420138888891</v>
      </c>
      <c r="F2349" s="52">
        <v>46079.42083333333</v>
      </c>
      <c r="G2349" s="53">
        <v>6.8287037037037036E-4</v>
      </c>
      <c r="H2349" s="1" t="s">
        <v>257</v>
      </c>
      <c r="J2349" s="1" t="s">
        <v>371</v>
      </c>
      <c r="K2349" s="1" t="s">
        <v>653</v>
      </c>
      <c r="L2349" s="1" t="s">
        <v>1009</v>
      </c>
    </row>
    <row r="2350" spans="2:12">
      <c r="B2350" s="1" t="s">
        <v>667</v>
      </c>
      <c r="C2350" s="1" t="s">
        <v>336</v>
      </c>
      <c r="D2350" s="52">
        <v>46079.395833333336</v>
      </c>
      <c r="E2350" s="52">
        <v>46079.395833333336</v>
      </c>
      <c r="F2350" s="52">
        <v>46079.396527777775</v>
      </c>
      <c r="G2350" s="53">
        <v>5.3240740740740744E-4</v>
      </c>
      <c r="H2350" s="1" t="s">
        <v>257</v>
      </c>
      <c r="J2350" s="1" t="s">
        <v>371</v>
      </c>
      <c r="K2350" s="1" t="s">
        <v>653</v>
      </c>
      <c r="L2350" s="1" t="s">
        <v>1010</v>
      </c>
    </row>
    <row r="2351" spans="2:12">
      <c r="B2351" s="1" t="s">
        <v>667</v>
      </c>
      <c r="C2351" s="1" t="s">
        <v>336</v>
      </c>
      <c r="D2351" s="52">
        <v>46079.293055555558</v>
      </c>
      <c r="E2351" s="52">
        <v>46079.293055555558</v>
      </c>
      <c r="F2351" s="52">
        <v>46079.297222222223</v>
      </c>
      <c r="G2351" s="53">
        <v>4.7453703703703703E-3</v>
      </c>
      <c r="H2351" s="1" t="s">
        <v>257</v>
      </c>
      <c r="J2351" s="1" t="s">
        <v>371</v>
      </c>
      <c r="K2351" s="1" t="s">
        <v>653</v>
      </c>
      <c r="L2351" s="1" t="s">
        <v>1011</v>
      </c>
    </row>
    <row r="2352" spans="2:12">
      <c r="B2352" s="1" t="s">
        <v>667</v>
      </c>
      <c r="C2352" s="1" t="s">
        <v>336</v>
      </c>
      <c r="D2352" s="52">
        <v>46079.286111111112</v>
      </c>
      <c r="E2352" s="52">
        <v>46079.286111111112</v>
      </c>
      <c r="F2352" s="52">
        <v>46079.286805555559</v>
      </c>
      <c r="G2352" s="53">
        <v>1.0069444444444444E-3</v>
      </c>
      <c r="H2352" s="1" t="s">
        <v>257</v>
      </c>
      <c r="J2352" s="1" t="s">
        <v>371</v>
      </c>
      <c r="K2352" s="1" t="s">
        <v>653</v>
      </c>
      <c r="L2352" s="1" t="s">
        <v>1012</v>
      </c>
    </row>
    <row r="2353" spans="2:12">
      <c r="B2353" s="1" t="s">
        <v>667</v>
      </c>
      <c r="C2353" s="1" t="s">
        <v>336</v>
      </c>
      <c r="D2353" s="52">
        <v>46079.25277777778</v>
      </c>
      <c r="E2353" s="52">
        <v>46079.25277777778</v>
      </c>
      <c r="F2353" s="52">
        <v>46079.285416666666</v>
      </c>
      <c r="G2353" s="53">
        <v>3.2731481481481479E-2</v>
      </c>
      <c r="H2353" s="1" t="s">
        <v>257</v>
      </c>
      <c r="J2353" s="1" t="s">
        <v>371</v>
      </c>
      <c r="K2353" s="1" t="s">
        <v>653</v>
      </c>
      <c r="L2353" s="1" t="s">
        <v>1013</v>
      </c>
    </row>
    <row r="2354" spans="2:12">
      <c r="B2354" s="1" t="s">
        <v>667</v>
      </c>
      <c r="C2354" s="1" t="s">
        <v>336</v>
      </c>
      <c r="D2354" s="52">
        <v>46079.25277777778</v>
      </c>
      <c r="E2354" s="52">
        <v>46079.25277777778</v>
      </c>
      <c r="F2354" s="52">
        <v>46079.285416666666</v>
      </c>
      <c r="G2354" s="53">
        <v>3.2858796296296296E-2</v>
      </c>
      <c r="H2354" s="1" t="s">
        <v>257</v>
      </c>
      <c r="J2354" s="1" t="s">
        <v>371</v>
      </c>
      <c r="K2354" s="1" t="s">
        <v>653</v>
      </c>
      <c r="L2354" s="1" t="s">
        <v>1014</v>
      </c>
    </row>
    <row r="2355" spans="2:12">
      <c r="B2355" s="1" t="s">
        <v>667</v>
      </c>
      <c r="C2355" s="1" t="s">
        <v>336</v>
      </c>
      <c r="D2355" s="52">
        <v>46078.75277777778</v>
      </c>
      <c r="E2355" s="52">
        <v>46078.75277777778</v>
      </c>
      <c r="F2355" s="52">
        <v>46079.24722222222</v>
      </c>
      <c r="G2355" s="53">
        <v>0.49466435185185187</v>
      </c>
      <c r="H2355" s="1" t="s">
        <v>257</v>
      </c>
      <c r="J2355" s="1" t="s">
        <v>371</v>
      </c>
      <c r="K2355" s="1" t="s">
        <v>653</v>
      </c>
      <c r="L2355" s="1" t="s">
        <v>1015</v>
      </c>
    </row>
    <row r="2356" spans="2:12">
      <c r="B2356" s="1" t="s">
        <v>667</v>
      </c>
      <c r="C2356" s="1" t="s">
        <v>336</v>
      </c>
      <c r="D2356" s="52">
        <v>46078.715277777781</v>
      </c>
      <c r="E2356" s="52">
        <v>46078.715277777781</v>
      </c>
      <c r="F2356" s="52">
        <v>46078.71597222222</v>
      </c>
      <c r="G2356" s="53">
        <v>5.0925925925925921E-4</v>
      </c>
      <c r="H2356" s="1" t="s">
        <v>257</v>
      </c>
      <c r="J2356" s="1" t="s">
        <v>371</v>
      </c>
      <c r="K2356" s="1" t="s">
        <v>653</v>
      </c>
      <c r="L2356" s="1" t="s">
        <v>1016</v>
      </c>
    </row>
    <row r="2357" spans="2:12">
      <c r="B2357" s="1" t="s">
        <v>667</v>
      </c>
      <c r="C2357" s="1" t="s">
        <v>336</v>
      </c>
      <c r="D2357" s="52">
        <v>46078.648611111108</v>
      </c>
      <c r="E2357" s="52">
        <v>46078.648611111108</v>
      </c>
      <c r="F2357" s="52">
        <v>46078.649305555555</v>
      </c>
      <c r="G2357" s="53">
        <v>5.2083333333333333E-4</v>
      </c>
      <c r="H2357" s="1" t="s">
        <v>257</v>
      </c>
      <c r="J2357" s="1" t="s">
        <v>371</v>
      </c>
      <c r="K2357" s="1" t="s">
        <v>653</v>
      </c>
      <c r="L2357" s="1" t="s">
        <v>1017</v>
      </c>
    </row>
    <row r="2358" spans="2:12">
      <c r="B2358" s="1" t="s">
        <v>667</v>
      </c>
      <c r="C2358" s="1" t="s">
        <v>336</v>
      </c>
      <c r="D2358" s="52">
        <v>46078.624305555553</v>
      </c>
      <c r="E2358" s="52">
        <v>46078.624305555553</v>
      </c>
      <c r="F2358" s="52">
        <v>46078.625</v>
      </c>
      <c r="G2358" s="53">
        <v>6.4814814814814813E-4</v>
      </c>
      <c r="H2358" s="1" t="s">
        <v>257</v>
      </c>
      <c r="J2358" s="1" t="s">
        <v>371</v>
      </c>
      <c r="K2358" s="1" t="s">
        <v>653</v>
      </c>
      <c r="L2358" s="1" t="s">
        <v>1018</v>
      </c>
    </row>
    <row r="2359" spans="2:12">
      <c r="B2359" s="1" t="s">
        <v>667</v>
      </c>
      <c r="C2359" s="1" t="s">
        <v>336</v>
      </c>
      <c r="D2359" s="52">
        <v>46078.601388888892</v>
      </c>
      <c r="E2359" s="52">
        <v>46078.601388888892</v>
      </c>
      <c r="F2359" s="52">
        <v>46078.602083333331</v>
      </c>
      <c r="G2359" s="53">
        <v>5.0925925925925921E-4</v>
      </c>
      <c r="H2359" s="1" t="s">
        <v>257</v>
      </c>
      <c r="J2359" s="1" t="s">
        <v>371</v>
      </c>
      <c r="K2359" s="1" t="s">
        <v>653</v>
      </c>
      <c r="L2359" s="1" t="s">
        <v>1019</v>
      </c>
    </row>
    <row r="2360" spans="2:12">
      <c r="B2360" s="1" t="s">
        <v>667</v>
      </c>
      <c r="C2360" s="1" t="s">
        <v>336</v>
      </c>
      <c r="D2360" s="52">
        <v>46078.589583333334</v>
      </c>
      <c r="E2360" s="52">
        <v>46078.589583333334</v>
      </c>
      <c r="F2360" s="52">
        <v>46078.590277777781</v>
      </c>
      <c r="G2360" s="53">
        <v>5.0925925925925921E-4</v>
      </c>
      <c r="H2360" s="1" t="s">
        <v>257</v>
      </c>
      <c r="J2360" s="1" t="s">
        <v>371</v>
      </c>
      <c r="K2360" s="1" t="s">
        <v>653</v>
      </c>
      <c r="L2360" s="1" t="s">
        <v>1020</v>
      </c>
    </row>
    <row r="2361" spans="2:12">
      <c r="B2361" s="1" t="s">
        <v>667</v>
      </c>
      <c r="C2361" s="1" t="s">
        <v>336</v>
      </c>
      <c r="D2361" s="52">
        <v>46078.581944444442</v>
      </c>
      <c r="E2361" s="52">
        <v>46078.581944444442</v>
      </c>
      <c r="F2361" s="52">
        <v>46078.581944444442</v>
      </c>
      <c r="G2361" s="53">
        <v>5.0925925925925921E-4</v>
      </c>
      <c r="H2361" s="1" t="s">
        <v>257</v>
      </c>
      <c r="J2361" s="1" t="s">
        <v>371</v>
      </c>
      <c r="K2361" s="1" t="s">
        <v>653</v>
      </c>
      <c r="L2361" s="1" t="s">
        <v>1021</v>
      </c>
    </row>
    <row r="2362" spans="2:12">
      <c r="B2362" s="1" t="s">
        <v>667</v>
      </c>
      <c r="C2362" s="1" t="s">
        <v>336</v>
      </c>
      <c r="D2362" s="52">
        <v>46078.576388888891</v>
      </c>
      <c r="E2362" s="52">
        <v>46078.576388888891</v>
      </c>
      <c r="F2362" s="52">
        <v>46078.576388888891</v>
      </c>
      <c r="G2362" s="53">
        <v>5.4398148148148144E-4</v>
      </c>
      <c r="H2362" s="1" t="s">
        <v>257</v>
      </c>
      <c r="J2362" s="1" t="s">
        <v>371</v>
      </c>
      <c r="K2362" s="1" t="s">
        <v>653</v>
      </c>
      <c r="L2362" s="1" t="s">
        <v>1022</v>
      </c>
    </row>
    <row r="2363" spans="2:12">
      <c r="B2363" s="1" t="s">
        <v>667</v>
      </c>
      <c r="C2363" s="1" t="s">
        <v>336</v>
      </c>
      <c r="D2363" s="52">
        <v>46078.537499999999</v>
      </c>
      <c r="E2363" s="52">
        <v>46078.537499999999</v>
      </c>
      <c r="F2363" s="52">
        <v>46078.538194444445</v>
      </c>
      <c r="G2363" s="53">
        <v>5.2083333333333333E-4</v>
      </c>
      <c r="H2363" s="1" t="s">
        <v>257</v>
      </c>
      <c r="J2363" s="1" t="s">
        <v>371</v>
      </c>
      <c r="K2363" s="1" t="s">
        <v>653</v>
      </c>
      <c r="L2363" s="1" t="s">
        <v>1023</v>
      </c>
    </row>
    <row r="2364" spans="2:12">
      <c r="B2364" s="1" t="s">
        <v>667</v>
      </c>
      <c r="C2364" s="1" t="s">
        <v>336</v>
      </c>
      <c r="D2364" s="52">
        <v>46078.518750000003</v>
      </c>
      <c r="E2364" s="52">
        <v>46078.518750000003</v>
      </c>
      <c r="F2364" s="52">
        <v>46078.518750000003</v>
      </c>
      <c r="G2364" s="53">
        <v>5.0925925925925921E-4</v>
      </c>
      <c r="H2364" s="1" t="s">
        <v>257</v>
      </c>
      <c r="J2364" s="1" t="s">
        <v>371</v>
      </c>
      <c r="K2364" s="1" t="s">
        <v>653</v>
      </c>
      <c r="L2364" s="1" t="s">
        <v>1024</v>
      </c>
    </row>
    <row r="2365" spans="2:12">
      <c r="B2365" s="1" t="s">
        <v>667</v>
      </c>
      <c r="C2365" s="1" t="s">
        <v>336</v>
      </c>
      <c r="D2365" s="52">
        <v>46078.509027777778</v>
      </c>
      <c r="E2365" s="52">
        <v>46078.509027777778</v>
      </c>
      <c r="F2365" s="52">
        <v>46078.509722222225</v>
      </c>
      <c r="G2365" s="53">
        <v>5.0925925925925921E-4</v>
      </c>
      <c r="H2365" s="1" t="s">
        <v>257</v>
      </c>
      <c r="J2365" s="1" t="s">
        <v>371</v>
      </c>
      <c r="K2365" s="1" t="s">
        <v>653</v>
      </c>
      <c r="L2365" s="1" t="s">
        <v>1025</v>
      </c>
    </row>
    <row r="2366" spans="2:12">
      <c r="B2366" s="1" t="s">
        <v>667</v>
      </c>
      <c r="C2366" s="1" t="s">
        <v>336</v>
      </c>
      <c r="D2366" s="52">
        <v>46078.50277777778</v>
      </c>
      <c r="E2366" s="52">
        <v>46078.50277777778</v>
      </c>
      <c r="F2366" s="52">
        <v>46078.503472222219</v>
      </c>
      <c r="G2366" s="53">
        <v>5.0925925925925921E-4</v>
      </c>
      <c r="H2366" s="1" t="s">
        <v>257</v>
      </c>
      <c r="J2366" s="1" t="s">
        <v>371</v>
      </c>
      <c r="K2366" s="1" t="s">
        <v>653</v>
      </c>
      <c r="L2366" s="1" t="s">
        <v>1026</v>
      </c>
    </row>
    <row r="2367" spans="2:12">
      <c r="B2367" s="1" t="s">
        <v>667</v>
      </c>
      <c r="C2367" s="1" t="s">
        <v>336</v>
      </c>
      <c r="D2367" s="52">
        <v>46078.493750000001</v>
      </c>
      <c r="E2367" s="52">
        <v>46078.493750000001</v>
      </c>
      <c r="F2367" s="52">
        <v>46078.494444444441</v>
      </c>
      <c r="G2367" s="53">
        <v>5.0925925925925921E-4</v>
      </c>
      <c r="H2367" s="1" t="s">
        <v>257</v>
      </c>
      <c r="J2367" s="1" t="s">
        <v>371</v>
      </c>
      <c r="K2367" s="1" t="s">
        <v>653</v>
      </c>
      <c r="L2367" s="1" t="s">
        <v>1027</v>
      </c>
    </row>
    <row r="2368" spans="2:12">
      <c r="B2368" s="1" t="s">
        <v>667</v>
      </c>
      <c r="C2368" s="1" t="s">
        <v>336</v>
      </c>
      <c r="D2368" s="52">
        <v>46078.48541666667</v>
      </c>
      <c r="E2368" s="52">
        <v>46078.48541666667</v>
      </c>
      <c r="F2368" s="52">
        <v>46078.486111111109</v>
      </c>
      <c r="G2368" s="53">
        <v>4.9768518518518521E-4</v>
      </c>
      <c r="H2368" s="1" t="s">
        <v>257</v>
      </c>
      <c r="J2368" s="1" t="s">
        <v>371</v>
      </c>
      <c r="K2368" s="1" t="s">
        <v>653</v>
      </c>
      <c r="L2368" s="1" t="s">
        <v>1028</v>
      </c>
    </row>
    <row r="2369" spans="2:12">
      <c r="B2369" s="1" t="s">
        <v>667</v>
      </c>
      <c r="C2369" s="1" t="s">
        <v>336</v>
      </c>
      <c r="D2369" s="52">
        <v>46078.474999999999</v>
      </c>
      <c r="E2369" s="52">
        <v>46078.474999999999</v>
      </c>
      <c r="F2369" s="52">
        <v>46078.474999999999</v>
      </c>
      <c r="G2369" s="53">
        <v>5.0925925925925921E-4</v>
      </c>
      <c r="H2369" s="1" t="s">
        <v>257</v>
      </c>
      <c r="J2369" s="1" t="s">
        <v>371</v>
      </c>
      <c r="K2369" s="1" t="s">
        <v>653</v>
      </c>
      <c r="L2369" s="1" t="s">
        <v>1029</v>
      </c>
    </row>
    <row r="2370" spans="2:12">
      <c r="B2370" s="1" t="s">
        <v>667</v>
      </c>
      <c r="C2370" s="1" t="s">
        <v>336</v>
      </c>
      <c r="D2370" s="52">
        <v>46078.46875</v>
      </c>
      <c r="E2370" s="52">
        <v>46078.46875</v>
      </c>
      <c r="F2370" s="52">
        <v>46078.46875</v>
      </c>
      <c r="G2370" s="53">
        <v>5.2083333333333333E-4</v>
      </c>
      <c r="H2370" s="1" t="s">
        <v>257</v>
      </c>
      <c r="J2370" s="1" t="s">
        <v>371</v>
      </c>
      <c r="K2370" s="1" t="s">
        <v>653</v>
      </c>
      <c r="L2370" s="1" t="s">
        <v>1030</v>
      </c>
    </row>
    <row r="2371" spans="2:12">
      <c r="B2371" s="1" t="s">
        <v>667</v>
      </c>
      <c r="C2371" s="1" t="s">
        <v>336</v>
      </c>
      <c r="D2371" s="52">
        <v>46078.45</v>
      </c>
      <c r="E2371" s="52">
        <v>46078.45</v>
      </c>
      <c r="F2371" s="52">
        <v>46078.450694444444</v>
      </c>
      <c r="G2371" s="53">
        <v>6.8287037037037036E-4</v>
      </c>
      <c r="H2371" s="1" t="s">
        <v>257</v>
      </c>
      <c r="J2371" s="1" t="s">
        <v>371</v>
      </c>
      <c r="K2371" s="1" t="s">
        <v>653</v>
      </c>
      <c r="L2371" s="1" t="s">
        <v>1031</v>
      </c>
    </row>
    <row r="2372" spans="2:12">
      <c r="B2372" s="1" t="s">
        <v>667</v>
      </c>
      <c r="C2372" s="1" t="s">
        <v>336</v>
      </c>
      <c r="D2372" s="52">
        <v>46078.443055555559</v>
      </c>
      <c r="E2372" s="52">
        <v>46078.443055555559</v>
      </c>
      <c r="F2372" s="52">
        <v>46078.443055555559</v>
      </c>
      <c r="G2372" s="53">
        <v>5.2083333333333333E-4</v>
      </c>
      <c r="H2372" s="1" t="s">
        <v>257</v>
      </c>
      <c r="J2372" s="1" t="s">
        <v>371</v>
      </c>
      <c r="K2372" s="1" t="s">
        <v>653</v>
      </c>
      <c r="L2372" s="1" t="s">
        <v>1032</v>
      </c>
    </row>
    <row r="2373" spans="2:12">
      <c r="B2373" s="1" t="s">
        <v>667</v>
      </c>
      <c r="C2373" s="1" t="s">
        <v>336</v>
      </c>
      <c r="D2373" s="52">
        <v>46078.431944444441</v>
      </c>
      <c r="E2373" s="52">
        <v>46078.431944444441</v>
      </c>
      <c r="F2373" s="52">
        <v>46078.431944444441</v>
      </c>
      <c r="G2373" s="53">
        <v>5.0925925925925921E-4</v>
      </c>
      <c r="H2373" s="1" t="s">
        <v>257</v>
      </c>
      <c r="J2373" s="1" t="s">
        <v>371</v>
      </c>
      <c r="K2373" s="1" t="s">
        <v>653</v>
      </c>
      <c r="L2373" s="1" t="s">
        <v>1033</v>
      </c>
    </row>
    <row r="2374" spans="2:12">
      <c r="B2374" s="1" t="s">
        <v>667</v>
      </c>
      <c r="C2374" s="1" t="s">
        <v>336</v>
      </c>
      <c r="D2374" s="52">
        <v>46078.415972222225</v>
      </c>
      <c r="E2374" s="52">
        <v>46078.415972222225</v>
      </c>
      <c r="F2374" s="52">
        <v>46078.416666666664</v>
      </c>
      <c r="G2374" s="53">
        <v>4.9768518518518521E-4</v>
      </c>
      <c r="H2374" s="1" t="s">
        <v>257</v>
      </c>
      <c r="J2374" s="1" t="s">
        <v>371</v>
      </c>
      <c r="K2374" s="1" t="s">
        <v>653</v>
      </c>
      <c r="L2374" s="1" t="s">
        <v>1034</v>
      </c>
    </row>
    <row r="2375" spans="2:12">
      <c r="B2375" s="1" t="s">
        <v>667</v>
      </c>
      <c r="C2375" s="1" t="s">
        <v>336</v>
      </c>
      <c r="D2375" s="52">
        <v>46078.406944444447</v>
      </c>
      <c r="E2375" s="52">
        <v>46078.406944444447</v>
      </c>
      <c r="F2375" s="52">
        <v>46078.406944444447</v>
      </c>
      <c r="G2375" s="53">
        <v>4.9768518518518521E-4</v>
      </c>
      <c r="H2375" s="1" t="s">
        <v>257</v>
      </c>
      <c r="J2375" s="1" t="s">
        <v>371</v>
      </c>
      <c r="K2375" s="1" t="s">
        <v>653</v>
      </c>
      <c r="L2375" s="1" t="s">
        <v>1035</v>
      </c>
    </row>
    <row r="2376" spans="2:12">
      <c r="B2376" s="1" t="s">
        <v>667</v>
      </c>
      <c r="C2376" s="1" t="s">
        <v>336</v>
      </c>
      <c r="D2376" s="52">
        <v>46078.394444444442</v>
      </c>
      <c r="E2376" s="52">
        <v>46078.394444444442</v>
      </c>
      <c r="F2376" s="52">
        <v>46078.395138888889</v>
      </c>
      <c r="G2376" s="53">
        <v>5.0925925925925921E-4</v>
      </c>
      <c r="H2376" s="1" t="s">
        <v>257</v>
      </c>
      <c r="J2376" s="1" t="s">
        <v>371</v>
      </c>
      <c r="K2376" s="1" t="s">
        <v>653</v>
      </c>
      <c r="L2376" s="1" t="s">
        <v>1036</v>
      </c>
    </row>
    <row r="2377" spans="2:12">
      <c r="B2377" s="1" t="s">
        <v>667</v>
      </c>
      <c r="C2377" s="1" t="s">
        <v>336</v>
      </c>
      <c r="D2377" s="52">
        <v>46078.365277777775</v>
      </c>
      <c r="E2377" s="52">
        <v>46078.365277777775</v>
      </c>
      <c r="F2377" s="52">
        <v>46078.365277777775</v>
      </c>
      <c r="G2377" s="53">
        <v>5.3240740740740744E-4</v>
      </c>
      <c r="H2377" s="1" t="s">
        <v>257</v>
      </c>
      <c r="J2377" s="1" t="s">
        <v>371</v>
      </c>
      <c r="K2377" s="1" t="s">
        <v>653</v>
      </c>
      <c r="L2377" s="1" t="s">
        <v>1037</v>
      </c>
    </row>
    <row r="2378" spans="2:12">
      <c r="B2378" s="1" t="s">
        <v>667</v>
      </c>
      <c r="C2378" s="1" t="s">
        <v>336</v>
      </c>
      <c r="D2378" s="52">
        <v>46078.311111111114</v>
      </c>
      <c r="E2378" s="52">
        <v>46078.311111111114</v>
      </c>
      <c r="F2378" s="52">
        <v>46078.311805555553</v>
      </c>
      <c r="G2378" s="53">
        <v>6.5972222222222224E-4</v>
      </c>
      <c r="H2378" s="1" t="s">
        <v>257</v>
      </c>
      <c r="J2378" s="1" t="s">
        <v>371</v>
      </c>
      <c r="K2378" s="1" t="s">
        <v>653</v>
      </c>
      <c r="L2378" s="1" t="s">
        <v>1038</v>
      </c>
    </row>
    <row r="2379" spans="2:12">
      <c r="B2379" s="1" t="s">
        <v>667</v>
      </c>
      <c r="C2379" s="1" t="s">
        <v>336</v>
      </c>
      <c r="D2379" s="52">
        <v>46078.306250000001</v>
      </c>
      <c r="E2379" s="52">
        <v>46078.306250000001</v>
      </c>
      <c r="F2379" s="52">
        <v>46078.306944444441</v>
      </c>
      <c r="G2379" s="53">
        <v>6.5972222222222224E-4</v>
      </c>
      <c r="H2379" s="1" t="s">
        <v>257</v>
      </c>
      <c r="J2379" s="1" t="s">
        <v>371</v>
      </c>
      <c r="K2379" s="1" t="s">
        <v>653</v>
      </c>
      <c r="L2379" s="1" t="s">
        <v>1039</v>
      </c>
    </row>
    <row r="2380" spans="2:12">
      <c r="B2380" s="1" t="s">
        <v>667</v>
      </c>
      <c r="C2380" s="1" t="s">
        <v>336</v>
      </c>
      <c r="D2380" s="52">
        <v>46078.295138888891</v>
      </c>
      <c r="E2380" s="52">
        <v>46078.295138888891</v>
      </c>
      <c r="F2380" s="52">
        <v>46078.29583333333</v>
      </c>
      <c r="G2380" s="53">
        <v>6.2500000000000001E-4</v>
      </c>
      <c r="H2380" s="1" t="s">
        <v>257</v>
      </c>
      <c r="J2380" s="1" t="s">
        <v>371</v>
      </c>
      <c r="K2380" s="1" t="s">
        <v>653</v>
      </c>
      <c r="L2380" s="1" t="s">
        <v>1040</v>
      </c>
    </row>
    <row r="2381" spans="2:12">
      <c r="B2381" s="1" t="s">
        <v>667</v>
      </c>
      <c r="C2381" s="1" t="s">
        <v>336</v>
      </c>
      <c r="D2381" s="52">
        <v>46078.293749999997</v>
      </c>
      <c r="E2381" s="52">
        <v>46078.293749999997</v>
      </c>
      <c r="F2381" s="52">
        <v>46078.294444444444</v>
      </c>
      <c r="G2381" s="53">
        <v>8.3333333333333339E-4</v>
      </c>
      <c r="H2381" s="1" t="s">
        <v>257</v>
      </c>
      <c r="J2381" s="1" t="s">
        <v>371</v>
      </c>
      <c r="K2381" s="1" t="s">
        <v>653</v>
      </c>
      <c r="L2381" s="1" t="s">
        <v>1041</v>
      </c>
    </row>
    <row r="2382" spans="2:12">
      <c r="B2382" s="1" t="s">
        <v>667</v>
      </c>
      <c r="C2382" s="1" t="s">
        <v>336</v>
      </c>
      <c r="D2382" s="52">
        <v>46078.293055555558</v>
      </c>
      <c r="E2382" s="52">
        <v>46078.293055555558</v>
      </c>
      <c r="F2382" s="52">
        <v>46078.293749999997</v>
      </c>
      <c r="G2382" s="53">
        <v>6.8287037037037036E-4</v>
      </c>
      <c r="H2382" s="1" t="s">
        <v>257</v>
      </c>
      <c r="J2382" s="1" t="s">
        <v>371</v>
      </c>
      <c r="K2382" s="1" t="s">
        <v>653</v>
      </c>
      <c r="L2382" s="1" t="s">
        <v>1042</v>
      </c>
    </row>
    <row r="2383" spans="2:12">
      <c r="B2383" s="1" t="s">
        <v>667</v>
      </c>
      <c r="C2383" s="1" t="s">
        <v>336</v>
      </c>
      <c r="D2383" s="52">
        <v>46078.248611111114</v>
      </c>
      <c r="E2383" s="52">
        <v>46078.248611111114</v>
      </c>
      <c r="F2383" s="52">
        <v>46078.293055555558</v>
      </c>
      <c r="G2383" s="53">
        <v>4.4212962962962961E-2</v>
      </c>
      <c r="H2383" s="1" t="s">
        <v>257</v>
      </c>
      <c r="J2383" s="1" t="s">
        <v>371</v>
      </c>
      <c r="K2383" s="1" t="s">
        <v>653</v>
      </c>
      <c r="L2383" s="1" t="s">
        <v>1043</v>
      </c>
    </row>
    <row r="2384" spans="2:12">
      <c r="B2384" s="1" t="s">
        <v>667</v>
      </c>
      <c r="C2384" s="1" t="s">
        <v>336</v>
      </c>
      <c r="D2384" s="52">
        <v>46077.756249999999</v>
      </c>
      <c r="E2384" s="52">
        <v>46077.756249999999</v>
      </c>
      <c r="F2384" s="52">
        <v>46077.780555555553</v>
      </c>
      <c r="G2384" s="53">
        <v>2.449074074074074E-2</v>
      </c>
      <c r="H2384" s="1" t="s">
        <v>257</v>
      </c>
      <c r="J2384" s="1" t="s">
        <v>371</v>
      </c>
      <c r="K2384" s="1" t="s">
        <v>653</v>
      </c>
      <c r="L2384" s="1" t="s">
        <v>1044</v>
      </c>
    </row>
    <row r="2385" spans="2:12">
      <c r="B2385" s="1" t="s">
        <v>667</v>
      </c>
      <c r="C2385" s="1" t="s">
        <v>336</v>
      </c>
      <c r="D2385" s="52">
        <v>46077.755555555559</v>
      </c>
      <c r="E2385" s="52">
        <v>46077.755555555559</v>
      </c>
      <c r="F2385" s="52">
        <v>46077.756249999999</v>
      </c>
      <c r="G2385" s="53">
        <v>4.9768518518518521E-4</v>
      </c>
      <c r="H2385" s="1" t="s">
        <v>257</v>
      </c>
      <c r="J2385" s="1" t="s">
        <v>371</v>
      </c>
      <c r="K2385" s="1" t="s">
        <v>653</v>
      </c>
      <c r="L2385" s="1" t="s">
        <v>1045</v>
      </c>
    </row>
    <row r="2386" spans="2:12">
      <c r="B2386" s="1" t="s">
        <v>667</v>
      </c>
      <c r="C2386" s="1" t="s">
        <v>336</v>
      </c>
      <c r="D2386" s="52">
        <v>46077.754861111112</v>
      </c>
      <c r="E2386" s="52">
        <v>46077.754861111112</v>
      </c>
      <c r="F2386" s="52">
        <v>46077.755555555559</v>
      </c>
      <c r="G2386" s="53">
        <v>5.3240740740740744E-4</v>
      </c>
      <c r="H2386" s="1" t="s">
        <v>257</v>
      </c>
      <c r="J2386" s="1" t="s">
        <v>371</v>
      </c>
      <c r="K2386" s="1" t="s">
        <v>653</v>
      </c>
      <c r="L2386" s="1" t="s">
        <v>1046</v>
      </c>
    </row>
    <row r="2387" spans="2:12">
      <c r="B2387" s="1" t="s">
        <v>667</v>
      </c>
      <c r="C2387" s="1" t="s">
        <v>336</v>
      </c>
      <c r="D2387" s="52">
        <v>46077.754166666666</v>
      </c>
      <c r="E2387" s="52">
        <v>46077.754166666666</v>
      </c>
      <c r="F2387" s="52">
        <v>46077.754861111112</v>
      </c>
      <c r="G2387" s="53">
        <v>5.0925925925925921E-4</v>
      </c>
      <c r="H2387" s="1" t="s">
        <v>257</v>
      </c>
      <c r="J2387" s="1" t="s">
        <v>371</v>
      </c>
      <c r="K2387" s="1" t="s">
        <v>653</v>
      </c>
      <c r="L2387" s="1" t="s">
        <v>1047</v>
      </c>
    </row>
    <row r="2388" spans="2:12">
      <c r="B2388" s="1" t="s">
        <v>667</v>
      </c>
      <c r="C2388" s="1" t="s">
        <v>336</v>
      </c>
      <c r="D2388" s="52">
        <v>46077.753472222219</v>
      </c>
      <c r="E2388" s="52">
        <v>46077.753472222219</v>
      </c>
      <c r="F2388" s="52">
        <v>46077.754166666666</v>
      </c>
      <c r="G2388" s="53">
        <v>5.2083333333333333E-4</v>
      </c>
      <c r="H2388" s="1" t="s">
        <v>257</v>
      </c>
      <c r="J2388" s="1" t="s">
        <v>371</v>
      </c>
      <c r="K2388" s="1" t="s">
        <v>653</v>
      </c>
      <c r="L2388" s="1" t="s">
        <v>1048</v>
      </c>
    </row>
    <row r="2389" spans="2:12">
      <c r="B2389" s="1" t="s">
        <v>667</v>
      </c>
      <c r="C2389" s="1" t="s">
        <v>336</v>
      </c>
      <c r="D2389" s="52">
        <v>46077.751388888886</v>
      </c>
      <c r="E2389" s="52">
        <v>46077.751388888886</v>
      </c>
      <c r="F2389" s="52">
        <v>46077.752083333333</v>
      </c>
      <c r="G2389" s="53">
        <v>5.2083333333333333E-4</v>
      </c>
      <c r="H2389" s="1" t="s">
        <v>257</v>
      </c>
      <c r="J2389" s="1" t="s">
        <v>371</v>
      </c>
      <c r="K2389" s="1" t="s">
        <v>653</v>
      </c>
      <c r="L2389" s="1" t="s">
        <v>1049</v>
      </c>
    </row>
    <row r="2390" spans="2:12">
      <c r="B2390" s="1" t="s">
        <v>667</v>
      </c>
      <c r="C2390" s="1" t="s">
        <v>336</v>
      </c>
      <c r="D2390" s="52">
        <v>46077.731249999997</v>
      </c>
      <c r="E2390" s="52">
        <v>46077.731249999997</v>
      </c>
      <c r="F2390" s="52">
        <v>46077.731249999997</v>
      </c>
      <c r="G2390" s="53">
        <v>5.3240740740740744E-4</v>
      </c>
      <c r="H2390" s="1" t="s">
        <v>257</v>
      </c>
      <c r="J2390" s="1" t="s">
        <v>371</v>
      </c>
      <c r="K2390" s="1" t="s">
        <v>653</v>
      </c>
      <c r="L2390" s="1" t="s">
        <v>1050</v>
      </c>
    </row>
    <row r="2391" spans="2:12">
      <c r="B2391" s="1" t="s">
        <v>667</v>
      </c>
      <c r="C2391" s="1" t="s">
        <v>336</v>
      </c>
      <c r="D2391" s="52">
        <v>46077.713194444441</v>
      </c>
      <c r="E2391" s="52">
        <v>46077.713194444441</v>
      </c>
      <c r="F2391" s="52">
        <v>46077.713888888888</v>
      </c>
      <c r="G2391" s="53">
        <v>5.0925925925925921E-4</v>
      </c>
      <c r="H2391" s="1" t="s">
        <v>257</v>
      </c>
      <c r="J2391" s="1" t="s">
        <v>371</v>
      </c>
      <c r="K2391" s="1" t="s">
        <v>653</v>
      </c>
      <c r="L2391" s="1" t="s">
        <v>1051</v>
      </c>
    </row>
    <row r="2392" spans="2:12">
      <c r="B2392" s="1" t="s">
        <v>667</v>
      </c>
      <c r="C2392" s="1" t="s">
        <v>336</v>
      </c>
      <c r="D2392" s="52">
        <v>46077.706250000003</v>
      </c>
      <c r="E2392" s="52">
        <v>46077.706250000003</v>
      </c>
      <c r="F2392" s="52">
        <v>46077.706944444442</v>
      </c>
      <c r="G2392" s="53">
        <v>8.7962962962962962E-4</v>
      </c>
      <c r="H2392" s="1" t="s">
        <v>257</v>
      </c>
      <c r="J2392" s="1" t="s">
        <v>371</v>
      </c>
      <c r="K2392" s="1" t="s">
        <v>653</v>
      </c>
      <c r="L2392" s="1" t="s">
        <v>1052</v>
      </c>
    </row>
    <row r="2393" spans="2:12">
      <c r="B2393" s="1" t="s">
        <v>667</v>
      </c>
      <c r="C2393" s="1" t="s">
        <v>336</v>
      </c>
      <c r="D2393" s="52">
        <v>46077.70208333333</v>
      </c>
      <c r="E2393" s="52">
        <v>46077.70208333333</v>
      </c>
      <c r="F2393" s="52">
        <v>46077.702777777777</v>
      </c>
      <c r="G2393" s="53">
        <v>5.3240740740740744E-4</v>
      </c>
      <c r="H2393" s="1" t="s">
        <v>257</v>
      </c>
      <c r="J2393" s="1" t="s">
        <v>371</v>
      </c>
      <c r="K2393" s="1" t="s">
        <v>653</v>
      </c>
      <c r="L2393" s="1" t="s">
        <v>1053</v>
      </c>
    </row>
    <row r="2394" spans="2:12">
      <c r="B2394" s="1" t="s">
        <v>667</v>
      </c>
      <c r="C2394" s="1" t="s">
        <v>336</v>
      </c>
      <c r="D2394" s="52">
        <v>46077.673611111109</v>
      </c>
      <c r="E2394" s="52">
        <v>46077.673611111109</v>
      </c>
      <c r="F2394" s="52">
        <v>46077.674305555556</v>
      </c>
      <c r="G2394" s="53">
        <v>5.2083333333333333E-4</v>
      </c>
      <c r="H2394" s="1" t="s">
        <v>257</v>
      </c>
      <c r="J2394" s="1" t="s">
        <v>371</v>
      </c>
      <c r="K2394" s="1" t="s">
        <v>653</v>
      </c>
      <c r="L2394" s="1" t="s">
        <v>1054</v>
      </c>
    </row>
    <row r="2395" spans="2:12">
      <c r="B2395" s="1" t="s">
        <v>667</v>
      </c>
      <c r="C2395" s="1" t="s">
        <v>336</v>
      </c>
      <c r="D2395" s="52">
        <v>46077.62222222222</v>
      </c>
      <c r="E2395" s="52">
        <v>46077.62222222222</v>
      </c>
      <c r="F2395" s="52">
        <v>46077.622916666667</v>
      </c>
      <c r="G2395" s="53">
        <v>5.3240740740740744E-4</v>
      </c>
      <c r="H2395" s="1" t="s">
        <v>257</v>
      </c>
      <c r="J2395" s="1" t="s">
        <v>371</v>
      </c>
      <c r="K2395" s="1" t="s">
        <v>653</v>
      </c>
      <c r="L2395" s="1" t="s">
        <v>1055</v>
      </c>
    </row>
    <row r="2396" spans="2:12">
      <c r="B2396" s="1" t="s">
        <v>667</v>
      </c>
      <c r="C2396" s="1" t="s">
        <v>336</v>
      </c>
      <c r="D2396" s="52">
        <v>46077.603472222225</v>
      </c>
      <c r="E2396" s="52">
        <v>46077.603472222225</v>
      </c>
      <c r="F2396" s="52">
        <v>46077.604166666664</v>
      </c>
      <c r="G2396" s="53">
        <v>5.0925925925925921E-4</v>
      </c>
      <c r="H2396" s="1" t="s">
        <v>257</v>
      </c>
      <c r="J2396" s="1" t="s">
        <v>371</v>
      </c>
      <c r="K2396" s="1" t="s">
        <v>653</v>
      </c>
      <c r="L2396" s="1" t="s">
        <v>1056</v>
      </c>
    </row>
    <row r="2397" spans="2:12">
      <c r="B2397" s="1" t="s">
        <v>667</v>
      </c>
      <c r="C2397" s="1" t="s">
        <v>336</v>
      </c>
      <c r="D2397" s="52">
        <v>46077.531944444447</v>
      </c>
      <c r="E2397" s="52">
        <v>46077.531944444447</v>
      </c>
      <c r="F2397" s="52">
        <v>46077.531944444447</v>
      </c>
      <c r="G2397" s="53">
        <v>5.2083333333333333E-4</v>
      </c>
      <c r="H2397" s="1" t="s">
        <v>257</v>
      </c>
      <c r="J2397" s="1" t="s">
        <v>371</v>
      </c>
      <c r="K2397" s="1" t="s">
        <v>653</v>
      </c>
      <c r="L2397" s="1" t="s">
        <v>1057</v>
      </c>
    </row>
    <row r="2398" spans="2:12">
      <c r="B2398" s="1" t="s">
        <v>667</v>
      </c>
      <c r="C2398" s="1" t="s">
        <v>336</v>
      </c>
      <c r="D2398" s="52">
        <v>46077.521527777775</v>
      </c>
      <c r="E2398" s="52">
        <v>46077.521527777775</v>
      </c>
      <c r="F2398" s="52">
        <v>46077.522222222222</v>
      </c>
      <c r="G2398" s="53">
        <v>5.2083333333333333E-4</v>
      </c>
      <c r="H2398" s="1" t="s">
        <v>257</v>
      </c>
      <c r="J2398" s="1" t="s">
        <v>371</v>
      </c>
      <c r="K2398" s="1" t="s">
        <v>653</v>
      </c>
      <c r="L2398" s="1" t="s">
        <v>1058</v>
      </c>
    </row>
    <row r="2399" spans="2:12">
      <c r="B2399" s="1" t="s">
        <v>667</v>
      </c>
      <c r="C2399" s="1" t="s">
        <v>336</v>
      </c>
      <c r="D2399" s="52">
        <v>46077.509722222225</v>
      </c>
      <c r="E2399" s="52">
        <v>46077.509722222225</v>
      </c>
      <c r="F2399" s="52">
        <v>46077.510416666664</v>
      </c>
      <c r="G2399" s="53">
        <v>5.2083333333333333E-4</v>
      </c>
      <c r="H2399" s="1" t="s">
        <v>257</v>
      </c>
      <c r="J2399" s="1" t="s">
        <v>371</v>
      </c>
      <c r="K2399" s="1" t="s">
        <v>653</v>
      </c>
      <c r="L2399" s="1" t="s">
        <v>1059</v>
      </c>
    </row>
    <row r="2400" spans="2:12">
      <c r="B2400" s="1" t="s">
        <v>667</v>
      </c>
      <c r="C2400" s="1" t="s">
        <v>336</v>
      </c>
      <c r="D2400" s="52">
        <v>46077.502083333333</v>
      </c>
      <c r="E2400" s="52">
        <v>46077.502083333333</v>
      </c>
      <c r="F2400" s="52">
        <v>46077.50277777778</v>
      </c>
      <c r="G2400" s="53">
        <v>5.3240740740740744E-4</v>
      </c>
      <c r="H2400" s="1" t="s">
        <v>257</v>
      </c>
      <c r="J2400" s="1" t="s">
        <v>371</v>
      </c>
      <c r="K2400" s="1" t="s">
        <v>653</v>
      </c>
      <c r="L2400" s="1" t="s">
        <v>1060</v>
      </c>
    </row>
    <row r="2401" spans="2:12">
      <c r="B2401" s="1" t="s">
        <v>667</v>
      </c>
      <c r="C2401" s="1" t="s">
        <v>336</v>
      </c>
      <c r="D2401" s="52">
        <v>46077.489583333336</v>
      </c>
      <c r="E2401" s="52">
        <v>46077.489583333336</v>
      </c>
      <c r="F2401" s="52">
        <v>46077.490277777775</v>
      </c>
      <c r="G2401" s="53">
        <v>5.2083333333333333E-4</v>
      </c>
      <c r="H2401" s="1" t="s">
        <v>257</v>
      </c>
      <c r="J2401" s="1" t="s">
        <v>371</v>
      </c>
      <c r="K2401" s="1" t="s">
        <v>653</v>
      </c>
      <c r="L2401" s="1" t="s">
        <v>1061</v>
      </c>
    </row>
    <row r="2402" spans="2:12">
      <c r="B2402" s="1" t="s">
        <v>667</v>
      </c>
      <c r="C2402" s="1" t="s">
        <v>336</v>
      </c>
      <c r="D2402" s="52">
        <v>46077.476388888892</v>
      </c>
      <c r="E2402" s="52">
        <v>46077.476388888892</v>
      </c>
      <c r="F2402" s="52">
        <v>46077.477083333331</v>
      </c>
      <c r="G2402" s="53">
        <v>5.2083333333333333E-4</v>
      </c>
      <c r="H2402" s="1" t="s">
        <v>257</v>
      </c>
      <c r="J2402" s="1" t="s">
        <v>371</v>
      </c>
      <c r="K2402" s="1" t="s">
        <v>653</v>
      </c>
      <c r="L2402" s="1" t="s">
        <v>1062</v>
      </c>
    </row>
    <row r="2403" spans="2:12">
      <c r="B2403" s="1" t="s">
        <v>667</v>
      </c>
      <c r="C2403" s="1" t="s">
        <v>336</v>
      </c>
      <c r="D2403" s="52">
        <v>46077.463888888888</v>
      </c>
      <c r="E2403" s="52">
        <v>46077.463888888888</v>
      </c>
      <c r="F2403" s="52">
        <v>46077.463888888888</v>
      </c>
      <c r="G2403" s="53">
        <v>5.0925925925925921E-4</v>
      </c>
      <c r="H2403" s="1" t="s">
        <v>257</v>
      </c>
      <c r="J2403" s="1" t="s">
        <v>371</v>
      </c>
      <c r="K2403" s="1" t="s">
        <v>653</v>
      </c>
      <c r="L2403" s="1" t="s">
        <v>1063</v>
      </c>
    </row>
    <row r="2404" spans="2:12">
      <c r="B2404" s="1" t="s">
        <v>667</v>
      </c>
      <c r="C2404" s="1" t="s">
        <v>336</v>
      </c>
      <c r="D2404" s="52">
        <v>46077.45416666667</v>
      </c>
      <c r="E2404" s="52">
        <v>46077.45416666667</v>
      </c>
      <c r="F2404" s="52">
        <v>46077.454861111109</v>
      </c>
      <c r="G2404" s="53">
        <v>5.3240740740740744E-4</v>
      </c>
      <c r="H2404" s="1" t="s">
        <v>257</v>
      </c>
      <c r="J2404" s="1" t="s">
        <v>371</v>
      </c>
      <c r="K2404" s="1" t="s">
        <v>653</v>
      </c>
      <c r="L2404" s="1" t="s">
        <v>1064</v>
      </c>
    </row>
    <row r="2405" spans="2:12">
      <c r="B2405" s="1" t="s">
        <v>667</v>
      </c>
      <c r="C2405" s="1" t="s">
        <v>336</v>
      </c>
      <c r="D2405" s="52">
        <v>46077.43472222222</v>
      </c>
      <c r="E2405" s="52">
        <v>46077.43472222222</v>
      </c>
      <c r="F2405" s="52">
        <v>46077.43472222222</v>
      </c>
      <c r="G2405" s="53">
        <v>5.0925925925925921E-4</v>
      </c>
      <c r="H2405" s="1" t="s">
        <v>257</v>
      </c>
      <c r="J2405" s="1" t="s">
        <v>371</v>
      </c>
      <c r="K2405" s="1" t="s">
        <v>653</v>
      </c>
      <c r="L2405" s="1" t="s">
        <v>1065</v>
      </c>
    </row>
    <row r="2406" spans="2:12">
      <c r="B2406" s="1" t="s">
        <v>667</v>
      </c>
      <c r="C2406" s="1" t="s">
        <v>336</v>
      </c>
      <c r="D2406" s="52">
        <v>46077.429166666669</v>
      </c>
      <c r="E2406" s="52">
        <v>46077.429166666669</v>
      </c>
      <c r="F2406" s="52">
        <v>46077.429861111108</v>
      </c>
      <c r="G2406" s="53">
        <v>5.5555555555555556E-4</v>
      </c>
      <c r="H2406" s="1" t="s">
        <v>257</v>
      </c>
      <c r="J2406" s="1" t="s">
        <v>371</v>
      </c>
      <c r="K2406" s="1" t="s">
        <v>653</v>
      </c>
      <c r="L2406" s="1" t="s">
        <v>1066</v>
      </c>
    </row>
    <row r="2407" spans="2:12">
      <c r="B2407" s="1" t="s">
        <v>667</v>
      </c>
      <c r="C2407" s="1" t="s">
        <v>336</v>
      </c>
      <c r="D2407" s="52">
        <v>46077.381249999999</v>
      </c>
      <c r="E2407" s="52">
        <v>46077.381249999999</v>
      </c>
      <c r="F2407" s="52">
        <v>46077.381944444445</v>
      </c>
      <c r="G2407" s="53">
        <v>5.3240740740740744E-4</v>
      </c>
      <c r="H2407" s="1" t="s">
        <v>257</v>
      </c>
      <c r="J2407" s="1" t="s">
        <v>371</v>
      </c>
      <c r="K2407" s="1" t="s">
        <v>653</v>
      </c>
      <c r="L2407" s="1" t="s">
        <v>1067</v>
      </c>
    </row>
    <row r="2408" spans="2:12">
      <c r="B2408" s="1" t="s">
        <v>667</v>
      </c>
      <c r="C2408" s="1" t="s">
        <v>336</v>
      </c>
      <c r="D2408" s="52">
        <v>46077.356944444444</v>
      </c>
      <c r="E2408" s="52">
        <v>46077.356944444444</v>
      </c>
      <c r="F2408" s="52">
        <v>46077.357638888891</v>
      </c>
      <c r="G2408" s="53">
        <v>5.4398148148148144E-4</v>
      </c>
      <c r="H2408" s="1" t="s">
        <v>257</v>
      </c>
      <c r="J2408" s="1" t="s">
        <v>371</v>
      </c>
      <c r="K2408" s="1" t="s">
        <v>653</v>
      </c>
      <c r="L2408" s="1" t="s">
        <v>1068</v>
      </c>
    </row>
    <row r="2409" spans="2:12">
      <c r="B2409" s="1" t="s">
        <v>667</v>
      </c>
      <c r="C2409" s="1" t="s">
        <v>336</v>
      </c>
      <c r="D2409" s="52">
        <v>46077.29583333333</v>
      </c>
      <c r="E2409" s="52">
        <v>46077.29583333333</v>
      </c>
      <c r="F2409" s="52">
        <v>46077.29791666667</v>
      </c>
      <c r="G2409" s="53">
        <v>1.5393518518518519E-3</v>
      </c>
      <c r="H2409" s="1" t="s">
        <v>257</v>
      </c>
      <c r="J2409" s="1" t="s">
        <v>371</v>
      </c>
      <c r="K2409" s="1" t="s">
        <v>653</v>
      </c>
      <c r="L2409" s="1" t="s">
        <v>1069</v>
      </c>
    </row>
    <row r="2410" spans="2:12">
      <c r="B2410" s="1" t="s">
        <v>667</v>
      </c>
      <c r="C2410" s="1" t="s">
        <v>336</v>
      </c>
      <c r="D2410" s="52">
        <v>46077.293055555558</v>
      </c>
      <c r="E2410" s="52">
        <v>46077.293055555558</v>
      </c>
      <c r="F2410" s="52">
        <v>46077.293749999997</v>
      </c>
      <c r="G2410" s="53">
        <v>6.2500000000000001E-4</v>
      </c>
      <c r="H2410" s="1" t="s">
        <v>257</v>
      </c>
      <c r="J2410" s="1" t="s">
        <v>371</v>
      </c>
      <c r="K2410" s="1" t="s">
        <v>653</v>
      </c>
      <c r="L2410" s="1" t="s">
        <v>1070</v>
      </c>
    </row>
    <row r="2411" spans="2:12">
      <c r="B2411" s="1" t="s">
        <v>667</v>
      </c>
      <c r="C2411" s="1" t="s">
        <v>336</v>
      </c>
      <c r="D2411" s="52">
        <v>46077.292361111111</v>
      </c>
      <c r="E2411" s="52">
        <v>46077.292361111111</v>
      </c>
      <c r="F2411" s="52">
        <v>46077.293055555558</v>
      </c>
      <c r="G2411" s="53">
        <v>6.2500000000000001E-4</v>
      </c>
      <c r="H2411" s="1" t="s">
        <v>257</v>
      </c>
      <c r="J2411" s="1" t="s">
        <v>371</v>
      </c>
      <c r="K2411" s="1" t="s">
        <v>653</v>
      </c>
      <c r="L2411" s="1" t="s">
        <v>1071</v>
      </c>
    </row>
    <row r="2412" spans="2:12">
      <c r="B2412" s="1" t="s">
        <v>667</v>
      </c>
      <c r="C2412" s="1" t="s">
        <v>336</v>
      </c>
      <c r="D2412" s="52">
        <v>46077.291666666664</v>
      </c>
      <c r="E2412" s="52">
        <v>46077.291666666664</v>
      </c>
      <c r="F2412" s="52">
        <v>46077.292361111111</v>
      </c>
      <c r="G2412" s="53">
        <v>6.7129629629629625E-4</v>
      </c>
      <c r="H2412" s="1" t="s">
        <v>257</v>
      </c>
      <c r="J2412" s="1" t="s">
        <v>371</v>
      </c>
      <c r="K2412" s="1" t="s">
        <v>653</v>
      </c>
      <c r="L2412" s="1" t="s">
        <v>1072</v>
      </c>
    </row>
    <row r="2413" spans="2:12">
      <c r="B2413" s="1" t="s">
        <v>667</v>
      </c>
      <c r="C2413" s="1" t="s">
        <v>336</v>
      </c>
      <c r="D2413" s="52">
        <v>46077.290972222225</v>
      </c>
      <c r="E2413" s="52">
        <v>46077.290972222225</v>
      </c>
      <c r="F2413" s="52">
        <v>46077.291666666664</v>
      </c>
      <c r="G2413" s="53">
        <v>6.2500000000000001E-4</v>
      </c>
      <c r="H2413" s="1" t="s">
        <v>257</v>
      </c>
      <c r="J2413" s="1" t="s">
        <v>371</v>
      </c>
      <c r="K2413" s="1" t="s">
        <v>653</v>
      </c>
      <c r="L2413" s="1" t="s">
        <v>1073</v>
      </c>
    </row>
    <row r="2414" spans="2:12">
      <c r="B2414" s="1" t="s">
        <v>667</v>
      </c>
      <c r="C2414" s="1" t="s">
        <v>336</v>
      </c>
      <c r="D2414" s="52">
        <v>46077.289583333331</v>
      </c>
      <c r="E2414" s="52">
        <v>46077.289583333331</v>
      </c>
      <c r="F2414" s="52">
        <v>46077.290277777778</v>
      </c>
      <c r="G2414" s="53">
        <v>6.3657407407407413E-4</v>
      </c>
      <c r="H2414" s="1" t="s">
        <v>257</v>
      </c>
      <c r="J2414" s="1" t="s">
        <v>371</v>
      </c>
      <c r="K2414" s="1" t="s">
        <v>653</v>
      </c>
      <c r="L2414" s="1" t="s">
        <v>1074</v>
      </c>
    </row>
    <row r="2415" spans="2:12">
      <c r="B2415" s="1" t="s">
        <v>667</v>
      </c>
      <c r="C2415" s="1" t="s">
        <v>336</v>
      </c>
      <c r="D2415" s="52">
        <v>46077.286111111112</v>
      </c>
      <c r="E2415" s="52">
        <v>46077.286111111112</v>
      </c>
      <c r="F2415" s="52">
        <v>46077.286805555559</v>
      </c>
      <c r="G2415" s="53">
        <v>6.5972222222222224E-4</v>
      </c>
      <c r="H2415" s="1" t="s">
        <v>257</v>
      </c>
      <c r="J2415" s="1" t="s">
        <v>371</v>
      </c>
      <c r="K2415" s="1" t="s">
        <v>653</v>
      </c>
      <c r="L2415" s="1" t="s">
        <v>1075</v>
      </c>
    </row>
    <row r="2416" spans="2:12">
      <c r="B2416" s="1" t="s">
        <v>667</v>
      </c>
      <c r="C2416" s="1" t="s">
        <v>336</v>
      </c>
      <c r="D2416" s="52">
        <v>46077.284722222219</v>
      </c>
      <c r="E2416" s="52">
        <v>46077.284722222219</v>
      </c>
      <c r="F2416" s="52">
        <v>46077.285416666666</v>
      </c>
      <c r="G2416" s="53">
        <v>6.5972222222222224E-4</v>
      </c>
      <c r="H2416" s="1" t="s">
        <v>257</v>
      </c>
      <c r="J2416" s="1" t="s">
        <v>371</v>
      </c>
      <c r="K2416" s="1" t="s">
        <v>653</v>
      </c>
      <c r="L2416" s="1" t="s">
        <v>1076</v>
      </c>
    </row>
    <row r="2417" spans="2:12">
      <c r="B2417" s="1" t="s">
        <v>667</v>
      </c>
      <c r="C2417" s="1" t="s">
        <v>336</v>
      </c>
      <c r="D2417" s="52">
        <v>46077.28402777778</v>
      </c>
      <c r="E2417" s="52">
        <v>46077.28402777778</v>
      </c>
      <c r="F2417" s="52">
        <v>46077.284722222219</v>
      </c>
      <c r="G2417" s="53">
        <v>6.018518518518519E-4</v>
      </c>
      <c r="H2417" s="1" t="s">
        <v>257</v>
      </c>
      <c r="J2417" s="1" t="s">
        <v>371</v>
      </c>
      <c r="K2417" s="1" t="s">
        <v>653</v>
      </c>
      <c r="L2417" s="1" t="s">
        <v>1077</v>
      </c>
    </row>
    <row r="2418" spans="2:12">
      <c r="B2418" s="1" t="s">
        <v>667</v>
      </c>
      <c r="C2418" s="1" t="s">
        <v>336</v>
      </c>
      <c r="D2418" s="52">
        <v>46077.283333333333</v>
      </c>
      <c r="E2418" s="52">
        <v>46077.283333333333</v>
      </c>
      <c r="F2418" s="52">
        <v>46077.28402777778</v>
      </c>
      <c r="G2418" s="53">
        <v>6.018518518518519E-4</v>
      </c>
      <c r="H2418" s="1" t="s">
        <v>257</v>
      </c>
      <c r="J2418" s="1" t="s">
        <v>371</v>
      </c>
      <c r="K2418" s="1" t="s">
        <v>653</v>
      </c>
      <c r="L2418" s="1" t="s">
        <v>1078</v>
      </c>
    </row>
    <row r="2419" spans="2:12">
      <c r="B2419" s="1" t="s">
        <v>667</v>
      </c>
      <c r="C2419" s="1" t="s">
        <v>336</v>
      </c>
      <c r="D2419" s="52">
        <v>46077.282638888886</v>
      </c>
      <c r="E2419" s="52">
        <v>46077.282638888886</v>
      </c>
      <c r="F2419" s="52">
        <v>46077.282638888886</v>
      </c>
      <c r="G2419" s="53">
        <v>6.2500000000000001E-4</v>
      </c>
      <c r="H2419" s="1" t="s">
        <v>257</v>
      </c>
      <c r="J2419" s="1" t="s">
        <v>371</v>
      </c>
      <c r="K2419" s="1" t="s">
        <v>653</v>
      </c>
      <c r="L2419" s="1" t="s">
        <v>1079</v>
      </c>
    </row>
    <row r="2420" spans="2:12">
      <c r="B2420" s="1" t="s">
        <v>667</v>
      </c>
      <c r="C2420" s="1" t="s">
        <v>336</v>
      </c>
      <c r="D2420" s="52">
        <v>46077.28125</v>
      </c>
      <c r="E2420" s="52">
        <v>46077.28125</v>
      </c>
      <c r="F2420" s="52">
        <v>46077.281944444447</v>
      </c>
      <c r="G2420" s="53">
        <v>6.134259259259259E-4</v>
      </c>
      <c r="H2420" s="1" t="s">
        <v>257</v>
      </c>
      <c r="J2420" s="1" t="s">
        <v>371</v>
      </c>
      <c r="K2420" s="1" t="s">
        <v>653</v>
      </c>
      <c r="L2420" s="1" t="s">
        <v>1080</v>
      </c>
    </row>
    <row r="2421" spans="2:12">
      <c r="B2421" s="1" t="s">
        <v>667</v>
      </c>
      <c r="C2421" s="1" t="s">
        <v>336</v>
      </c>
      <c r="D2421" s="52">
        <v>46077.279861111114</v>
      </c>
      <c r="E2421" s="52">
        <v>46077.279861111114</v>
      </c>
      <c r="F2421" s="52">
        <v>46077.280555555553</v>
      </c>
      <c r="G2421" s="53">
        <v>7.8703703703703705E-4</v>
      </c>
      <c r="H2421" s="1" t="s">
        <v>257</v>
      </c>
      <c r="J2421" s="1" t="s">
        <v>371</v>
      </c>
      <c r="K2421" s="1" t="s">
        <v>653</v>
      </c>
      <c r="L2421" s="1" t="s">
        <v>1081</v>
      </c>
    </row>
    <row r="2422" spans="2:12">
      <c r="B2422" s="1" t="s">
        <v>667</v>
      </c>
      <c r="C2422" s="1" t="s">
        <v>336</v>
      </c>
      <c r="D2422" s="52">
        <v>46077.25</v>
      </c>
      <c r="E2422" s="52">
        <v>46077.25</v>
      </c>
      <c r="F2422" s="52">
        <v>46077.279861111114</v>
      </c>
      <c r="G2422" s="53">
        <v>2.9363425925925925E-2</v>
      </c>
      <c r="H2422" s="1" t="s">
        <v>257</v>
      </c>
      <c r="J2422" s="1" t="s">
        <v>371</v>
      </c>
      <c r="K2422" s="1" t="s">
        <v>653</v>
      </c>
      <c r="L2422" s="1" t="s">
        <v>1082</v>
      </c>
    </row>
    <row r="2423" spans="2:12">
      <c r="B2423" s="1" t="s">
        <v>667</v>
      </c>
      <c r="C2423" s="1" t="s">
        <v>336</v>
      </c>
      <c r="D2423" s="52">
        <v>46076.756249999999</v>
      </c>
      <c r="E2423" s="52">
        <v>46076.756249999999</v>
      </c>
      <c r="F2423" s="52">
        <v>46076.781944444447</v>
      </c>
      <c r="G2423" s="53">
        <v>2.5937499999999999E-2</v>
      </c>
      <c r="H2423" s="1" t="s">
        <v>257</v>
      </c>
      <c r="J2423" s="1" t="s">
        <v>371</v>
      </c>
      <c r="K2423" s="1" t="s">
        <v>653</v>
      </c>
      <c r="L2423" s="1" t="s">
        <v>1083</v>
      </c>
    </row>
    <row r="2424" spans="2:12">
      <c r="B2424" s="1" t="s">
        <v>667</v>
      </c>
      <c r="C2424" s="1" t="s">
        <v>336</v>
      </c>
      <c r="D2424" s="52">
        <v>46076.683333333334</v>
      </c>
      <c r="E2424" s="52">
        <v>46076.683333333334</v>
      </c>
      <c r="F2424" s="52">
        <v>46076.684027777781</v>
      </c>
      <c r="G2424" s="53">
        <v>5.2083333333333333E-4</v>
      </c>
      <c r="H2424" s="1" t="s">
        <v>257</v>
      </c>
      <c r="J2424" s="1" t="s">
        <v>371</v>
      </c>
      <c r="K2424" s="1" t="s">
        <v>653</v>
      </c>
      <c r="L2424" s="1" t="s">
        <v>1084</v>
      </c>
    </row>
    <row r="2425" spans="2:12">
      <c r="B2425" s="1" t="s">
        <v>667</v>
      </c>
      <c r="C2425" s="1" t="s">
        <v>336</v>
      </c>
      <c r="D2425" s="52">
        <v>46076.640972222223</v>
      </c>
      <c r="E2425" s="52">
        <v>46076.640972222223</v>
      </c>
      <c r="F2425" s="52">
        <v>46076.64166666667</v>
      </c>
      <c r="G2425" s="53">
        <v>5.0925925925925921E-4</v>
      </c>
      <c r="H2425" s="1" t="s">
        <v>257</v>
      </c>
      <c r="J2425" s="1" t="s">
        <v>371</v>
      </c>
      <c r="K2425" s="1" t="s">
        <v>653</v>
      </c>
      <c r="L2425" s="1" t="s">
        <v>1085</v>
      </c>
    </row>
    <row r="2426" spans="2:12">
      <c r="B2426" s="1" t="s">
        <v>667</v>
      </c>
      <c r="C2426" s="1" t="s">
        <v>336</v>
      </c>
      <c r="D2426" s="52">
        <v>46076.623611111114</v>
      </c>
      <c r="E2426" s="52">
        <v>46076.623611111114</v>
      </c>
      <c r="F2426" s="52">
        <v>46076.624305555553</v>
      </c>
      <c r="G2426" s="53">
        <v>4.9768518518518521E-4</v>
      </c>
      <c r="H2426" s="1" t="s">
        <v>257</v>
      </c>
      <c r="J2426" s="1" t="s">
        <v>371</v>
      </c>
      <c r="K2426" s="1" t="s">
        <v>653</v>
      </c>
      <c r="L2426" s="1" t="s">
        <v>1086</v>
      </c>
    </row>
    <row r="2427" spans="2:12">
      <c r="B2427" s="1" t="s">
        <v>667</v>
      </c>
      <c r="C2427" s="1" t="s">
        <v>336</v>
      </c>
      <c r="D2427" s="52">
        <v>46076.614583333336</v>
      </c>
      <c r="E2427" s="52">
        <v>46076.614583333336</v>
      </c>
      <c r="F2427" s="52">
        <v>46076.615277777775</v>
      </c>
      <c r="G2427" s="53">
        <v>5.2083333333333333E-4</v>
      </c>
      <c r="H2427" s="1" t="s">
        <v>257</v>
      </c>
      <c r="J2427" s="1" t="s">
        <v>371</v>
      </c>
      <c r="K2427" s="1" t="s">
        <v>653</v>
      </c>
      <c r="L2427" s="1" t="s">
        <v>1087</v>
      </c>
    </row>
    <row r="2428" spans="2:12">
      <c r="B2428" s="1" t="s">
        <v>667</v>
      </c>
      <c r="C2428" s="1" t="s">
        <v>336</v>
      </c>
      <c r="D2428" s="52">
        <v>46076.595833333333</v>
      </c>
      <c r="E2428" s="52">
        <v>46076.595833333333</v>
      </c>
      <c r="F2428" s="52">
        <v>46076.59652777778</v>
      </c>
      <c r="G2428" s="53">
        <v>5.0925925925925921E-4</v>
      </c>
      <c r="H2428" s="1" t="s">
        <v>257</v>
      </c>
      <c r="J2428" s="1" t="s">
        <v>371</v>
      </c>
      <c r="K2428" s="1" t="s">
        <v>653</v>
      </c>
      <c r="L2428" s="1" t="s">
        <v>1088</v>
      </c>
    </row>
    <row r="2429" spans="2:12">
      <c r="B2429" s="1" t="s">
        <v>667</v>
      </c>
      <c r="C2429" s="1" t="s">
        <v>336</v>
      </c>
      <c r="D2429" s="52">
        <v>46076.581944444442</v>
      </c>
      <c r="E2429" s="52">
        <v>46076.581944444442</v>
      </c>
      <c r="F2429" s="52">
        <v>46076.582638888889</v>
      </c>
      <c r="G2429" s="53">
        <v>5.2083333333333333E-4</v>
      </c>
      <c r="H2429" s="1" t="s">
        <v>257</v>
      </c>
      <c r="J2429" s="1" t="s">
        <v>371</v>
      </c>
      <c r="K2429" s="1" t="s">
        <v>653</v>
      </c>
      <c r="L2429" s="1" t="s">
        <v>1089</v>
      </c>
    </row>
    <row r="2430" spans="2:12">
      <c r="B2430" s="1" t="s">
        <v>667</v>
      </c>
      <c r="C2430" s="1" t="s">
        <v>336</v>
      </c>
      <c r="D2430" s="52">
        <v>46076.568749999999</v>
      </c>
      <c r="E2430" s="52">
        <v>46076.568749999999</v>
      </c>
      <c r="F2430" s="52">
        <v>46076.569444444445</v>
      </c>
      <c r="G2430" s="53">
        <v>5.0925925925925921E-4</v>
      </c>
      <c r="H2430" s="1" t="s">
        <v>257</v>
      </c>
      <c r="J2430" s="1" t="s">
        <v>371</v>
      </c>
      <c r="K2430" s="1" t="s">
        <v>653</v>
      </c>
      <c r="L2430" s="1" t="s">
        <v>1090</v>
      </c>
    </row>
    <row r="2431" spans="2:12">
      <c r="B2431" s="1" t="s">
        <v>667</v>
      </c>
      <c r="C2431" s="1" t="s">
        <v>336</v>
      </c>
      <c r="D2431" s="52">
        <v>46076.555555555555</v>
      </c>
      <c r="E2431" s="52">
        <v>46076.555555555555</v>
      </c>
      <c r="F2431" s="52">
        <v>46076.556250000001</v>
      </c>
      <c r="G2431" s="53">
        <v>5.0925925925925921E-4</v>
      </c>
      <c r="H2431" s="1" t="s">
        <v>257</v>
      </c>
      <c r="J2431" s="1" t="s">
        <v>371</v>
      </c>
      <c r="K2431" s="1" t="s">
        <v>653</v>
      </c>
      <c r="L2431" s="1" t="s">
        <v>1091</v>
      </c>
    </row>
    <row r="2432" spans="2:12">
      <c r="B2432" s="1" t="s">
        <v>667</v>
      </c>
      <c r="C2432" s="1" t="s">
        <v>336</v>
      </c>
      <c r="D2432" s="52">
        <v>46076.538194444445</v>
      </c>
      <c r="E2432" s="52">
        <v>46076.538194444445</v>
      </c>
      <c r="F2432" s="52">
        <v>46076.538888888892</v>
      </c>
      <c r="G2432" s="53">
        <v>5.0925925925925921E-4</v>
      </c>
      <c r="H2432" s="1" t="s">
        <v>257</v>
      </c>
      <c r="J2432" s="1" t="s">
        <v>371</v>
      </c>
      <c r="K2432" s="1" t="s">
        <v>653</v>
      </c>
      <c r="L2432" s="1" t="s">
        <v>1092</v>
      </c>
    </row>
    <row r="2433" spans="2:12">
      <c r="B2433" s="1" t="s">
        <v>667</v>
      </c>
      <c r="C2433" s="1" t="s">
        <v>336</v>
      </c>
      <c r="D2433" s="52">
        <v>46076.527777777781</v>
      </c>
      <c r="E2433" s="52">
        <v>46076.527777777781</v>
      </c>
      <c r="F2433" s="52">
        <v>46076.52847222222</v>
      </c>
      <c r="G2433" s="53">
        <v>5.2083333333333333E-4</v>
      </c>
      <c r="H2433" s="1" t="s">
        <v>257</v>
      </c>
      <c r="J2433" s="1" t="s">
        <v>371</v>
      </c>
      <c r="K2433" s="1" t="s">
        <v>653</v>
      </c>
      <c r="L2433" s="1" t="s">
        <v>1093</v>
      </c>
    </row>
    <row r="2434" spans="2:12">
      <c r="B2434" s="1" t="s">
        <v>667</v>
      </c>
      <c r="C2434" s="1" t="s">
        <v>336</v>
      </c>
      <c r="D2434" s="52">
        <v>46076.520833333336</v>
      </c>
      <c r="E2434" s="52">
        <v>46076.520833333336</v>
      </c>
      <c r="F2434" s="52">
        <v>46076.520833333336</v>
      </c>
      <c r="G2434" s="53">
        <v>5.0925925925925921E-4</v>
      </c>
      <c r="H2434" s="1" t="s">
        <v>257</v>
      </c>
      <c r="J2434" s="1" t="s">
        <v>371</v>
      </c>
      <c r="K2434" s="1" t="s">
        <v>653</v>
      </c>
      <c r="L2434" s="1" t="s">
        <v>1094</v>
      </c>
    </row>
    <row r="2435" spans="2:12">
      <c r="B2435" s="1" t="s">
        <v>667</v>
      </c>
      <c r="C2435" s="1" t="s">
        <v>336</v>
      </c>
      <c r="D2435" s="52">
        <v>46076.502083333333</v>
      </c>
      <c r="E2435" s="52">
        <v>46076.502083333333</v>
      </c>
      <c r="F2435" s="52">
        <v>46076.50277777778</v>
      </c>
      <c r="G2435" s="53">
        <v>5.3240740740740744E-4</v>
      </c>
      <c r="H2435" s="1" t="s">
        <v>257</v>
      </c>
      <c r="J2435" s="1" t="s">
        <v>371</v>
      </c>
      <c r="K2435" s="1" t="s">
        <v>653</v>
      </c>
      <c r="L2435" s="1" t="s">
        <v>1095</v>
      </c>
    </row>
    <row r="2436" spans="2:12">
      <c r="B2436" s="1" t="s">
        <v>667</v>
      </c>
      <c r="C2436" s="1" t="s">
        <v>336</v>
      </c>
      <c r="D2436" s="52">
        <v>46076.488888888889</v>
      </c>
      <c r="E2436" s="52">
        <v>46076.488888888889</v>
      </c>
      <c r="F2436" s="52">
        <v>46076.488888888889</v>
      </c>
      <c r="G2436" s="53">
        <v>5.2083333333333333E-4</v>
      </c>
      <c r="H2436" s="1" t="s">
        <v>257</v>
      </c>
      <c r="J2436" s="1" t="s">
        <v>371</v>
      </c>
      <c r="K2436" s="1" t="s">
        <v>653</v>
      </c>
      <c r="L2436" s="1" t="s">
        <v>1096</v>
      </c>
    </row>
    <row r="2437" spans="2:12">
      <c r="B2437" s="1" t="s">
        <v>667</v>
      </c>
      <c r="C2437" s="1" t="s">
        <v>336</v>
      </c>
      <c r="D2437" s="52">
        <v>46076.487500000003</v>
      </c>
      <c r="E2437" s="52">
        <v>46076.487500000003</v>
      </c>
      <c r="F2437" s="52">
        <v>46076.945138888892</v>
      </c>
      <c r="G2437" s="53">
        <v>0.45758101851851851</v>
      </c>
      <c r="H2437" s="1" t="s">
        <v>257</v>
      </c>
      <c r="J2437" s="1" t="s">
        <v>371</v>
      </c>
      <c r="K2437" s="1" t="s">
        <v>653</v>
      </c>
      <c r="L2437" s="1" t="s">
        <v>1097</v>
      </c>
    </row>
    <row r="2438" spans="2:12">
      <c r="B2438" s="1" t="s">
        <v>667</v>
      </c>
      <c r="C2438" s="1" t="s">
        <v>336</v>
      </c>
      <c r="D2438" s="52">
        <v>46076.469444444447</v>
      </c>
      <c r="E2438" s="52">
        <v>46076.469444444447</v>
      </c>
      <c r="F2438" s="52">
        <v>46076.470138888886</v>
      </c>
      <c r="G2438" s="53">
        <v>5.0925925925925921E-4</v>
      </c>
      <c r="H2438" s="1" t="s">
        <v>257</v>
      </c>
      <c r="J2438" s="1" t="s">
        <v>371</v>
      </c>
      <c r="K2438" s="1" t="s">
        <v>653</v>
      </c>
      <c r="L2438" s="1" t="s">
        <v>1098</v>
      </c>
    </row>
    <row r="2439" spans="2:12">
      <c r="B2439" s="1" t="s">
        <v>667</v>
      </c>
      <c r="C2439" s="1" t="s">
        <v>336</v>
      </c>
      <c r="D2439" s="52">
        <v>46076.463888888888</v>
      </c>
      <c r="E2439" s="52">
        <v>46076.463888888888</v>
      </c>
      <c r="F2439" s="52">
        <v>46076.46875</v>
      </c>
      <c r="G2439" s="53">
        <v>4.8842592592592592E-3</v>
      </c>
      <c r="H2439" s="1" t="s">
        <v>257</v>
      </c>
      <c r="J2439" s="1" t="s">
        <v>371</v>
      </c>
      <c r="K2439" s="1" t="s">
        <v>653</v>
      </c>
      <c r="L2439" s="1" t="s">
        <v>1099</v>
      </c>
    </row>
    <row r="2440" spans="2:12">
      <c r="B2440" s="1" t="s">
        <v>667</v>
      </c>
      <c r="C2440" s="1" t="s">
        <v>336</v>
      </c>
      <c r="D2440" s="52">
        <v>46076.457638888889</v>
      </c>
      <c r="E2440" s="52">
        <v>46076.457638888889</v>
      </c>
      <c r="F2440" s="52">
        <v>46076.461805555555</v>
      </c>
      <c r="G2440" s="53">
        <v>4.1319444444444442E-3</v>
      </c>
      <c r="H2440" s="1" t="s">
        <v>257</v>
      </c>
      <c r="J2440" s="1" t="s">
        <v>371</v>
      </c>
      <c r="K2440" s="1" t="s">
        <v>653</v>
      </c>
      <c r="L2440" s="1" t="s">
        <v>1100</v>
      </c>
    </row>
    <row r="2441" spans="2:12">
      <c r="B2441" s="1" t="s">
        <v>667</v>
      </c>
      <c r="C2441" s="1" t="s">
        <v>336</v>
      </c>
      <c r="D2441" s="52">
        <v>46076.456250000003</v>
      </c>
      <c r="E2441" s="52">
        <v>46076.456250000003</v>
      </c>
      <c r="F2441" s="52">
        <v>46076.457638888889</v>
      </c>
      <c r="G2441" s="53">
        <v>1.2847222222222223E-3</v>
      </c>
      <c r="H2441" s="1" t="s">
        <v>257</v>
      </c>
      <c r="J2441" s="1" t="s">
        <v>371</v>
      </c>
      <c r="K2441" s="1" t="s">
        <v>653</v>
      </c>
      <c r="L2441" s="1" t="s">
        <v>1101</v>
      </c>
    </row>
    <row r="2442" spans="2:12">
      <c r="B2442" s="1" t="s">
        <v>667</v>
      </c>
      <c r="C2442" s="1" t="s">
        <v>336</v>
      </c>
      <c r="D2442" s="52">
        <v>46076.449305555558</v>
      </c>
      <c r="E2442" s="52">
        <v>46076.449305555558</v>
      </c>
      <c r="F2442" s="52">
        <v>46076.454861111109</v>
      </c>
      <c r="G2442" s="53">
        <v>5.8680555555555552E-3</v>
      </c>
      <c r="H2442" s="1" t="s">
        <v>257</v>
      </c>
      <c r="J2442" s="1" t="s">
        <v>371</v>
      </c>
      <c r="K2442" s="1" t="s">
        <v>653</v>
      </c>
      <c r="L2442" s="1" t="s">
        <v>1102</v>
      </c>
    </row>
    <row r="2443" spans="2:12">
      <c r="B2443" s="1" t="s">
        <v>667</v>
      </c>
      <c r="C2443" s="1" t="s">
        <v>336</v>
      </c>
      <c r="D2443" s="52">
        <v>46076.446527777778</v>
      </c>
      <c r="E2443" s="52">
        <v>46076.446527777778</v>
      </c>
      <c r="F2443" s="52">
        <v>46076.45</v>
      </c>
      <c r="G2443" s="53">
        <v>3.1597222222222222E-3</v>
      </c>
      <c r="H2443" s="1" t="s">
        <v>257</v>
      </c>
      <c r="J2443" s="1" t="s">
        <v>371</v>
      </c>
      <c r="K2443" s="1" t="s">
        <v>653</v>
      </c>
      <c r="L2443" s="1" t="s">
        <v>1103</v>
      </c>
    </row>
    <row r="2444" spans="2:12">
      <c r="B2444" s="1" t="s">
        <v>667</v>
      </c>
      <c r="C2444" s="1" t="s">
        <v>336</v>
      </c>
      <c r="D2444" s="52">
        <v>46076.445833333331</v>
      </c>
      <c r="E2444" s="52">
        <v>46076.445833333331</v>
      </c>
      <c r="F2444" s="52">
        <v>46076.446527777778</v>
      </c>
      <c r="G2444" s="53">
        <v>1.1689814814814816E-3</v>
      </c>
      <c r="H2444" s="1" t="s">
        <v>257</v>
      </c>
      <c r="J2444" s="1" t="s">
        <v>371</v>
      </c>
      <c r="K2444" s="1" t="s">
        <v>653</v>
      </c>
      <c r="L2444" s="1" t="s">
        <v>1104</v>
      </c>
    </row>
    <row r="2445" spans="2:12">
      <c r="B2445" s="1" t="s">
        <v>667</v>
      </c>
      <c r="C2445" s="1" t="s">
        <v>336</v>
      </c>
      <c r="D2445" s="52">
        <v>46076.442361111112</v>
      </c>
      <c r="E2445" s="52">
        <v>46076.442361111112</v>
      </c>
      <c r="F2445" s="52">
        <v>46076.9</v>
      </c>
      <c r="G2445" s="53">
        <v>0.45792824074074073</v>
      </c>
      <c r="H2445" s="1" t="s">
        <v>257</v>
      </c>
      <c r="J2445" s="1" t="s">
        <v>371</v>
      </c>
      <c r="K2445" s="1" t="s">
        <v>653</v>
      </c>
      <c r="L2445" s="1" t="s">
        <v>1105</v>
      </c>
    </row>
    <row r="2446" spans="2:12">
      <c r="B2446" s="1" t="s">
        <v>667</v>
      </c>
      <c r="C2446" s="1" t="s">
        <v>336</v>
      </c>
      <c r="D2446" s="52">
        <v>46076.434027777781</v>
      </c>
      <c r="E2446" s="52">
        <v>46076.434027777781</v>
      </c>
      <c r="F2446" s="52">
        <v>46076.43472222222</v>
      </c>
      <c r="G2446" s="53">
        <v>5.2083333333333333E-4</v>
      </c>
      <c r="H2446" s="1" t="s">
        <v>257</v>
      </c>
      <c r="J2446" s="1" t="s">
        <v>371</v>
      </c>
      <c r="K2446" s="1" t="s">
        <v>653</v>
      </c>
      <c r="L2446" s="1" t="s">
        <v>1106</v>
      </c>
    </row>
    <row r="2447" spans="2:12">
      <c r="B2447" s="1" t="s">
        <v>667</v>
      </c>
      <c r="C2447" s="1" t="s">
        <v>336</v>
      </c>
      <c r="D2447" s="52">
        <v>46076.418055555558</v>
      </c>
      <c r="E2447" s="52">
        <v>46076.418055555558</v>
      </c>
      <c r="F2447" s="52">
        <v>46076.418055555558</v>
      </c>
      <c r="G2447" s="53">
        <v>5.2083333333333333E-4</v>
      </c>
      <c r="H2447" s="1" t="s">
        <v>257</v>
      </c>
      <c r="J2447" s="1" t="s">
        <v>371</v>
      </c>
      <c r="K2447" s="1" t="s">
        <v>653</v>
      </c>
      <c r="L2447" s="1" t="s">
        <v>1107</v>
      </c>
    </row>
    <row r="2448" spans="2:12">
      <c r="B2448" s="1" t="s">
        <v>667</v>
      </c>
      <c r="C2448" s="1" t="s">
        <v>336</v>
      </c>
      <c r="D2448" s="52">
        <v>46076.410416666666</v>
      </c>
      <c r="E2448" s="52">
        <v>46076.410416666666</v>
      </c>
      <c r="F2448" s="52">
        <v>46076.411111111112</v>
      </c>
      <c r="G2448" s="53">
        <v>5.0925925925925921E-4</v>
      </c>
      <c r="H2448" s="1" t="s">
        <v>257</v>
      </c>
      <c r="J2448" s="1" t="s">
        <v>371</v>
      </c>
      <c r="K2448" s="1" t="s">
        <v>653</v>
      </c>
      <c r="L2448" s="1" t="s">
        <v>1108</v>
      </c>
    </row>
    <row r="2449" spans="2:12">
      <c r="B2449" s="1" t="s">
        <v>667</v>
      </c>
      <c r="C2449" s="1" t="s">
        <v>336</v>
      </c>
      <c r="D2449" s="52">
        <v>46076.404166666667</v>
      </c>
      <c r="E2449" s="52">
        <v>46076.404166666667</v>
      </c>
      <c r="F2449" s="52">
        <v>46076.404861111114</v>
      </c>
      <c r="G2449" s="53">
        <v>5.4398148148148144E-4</v>
      </c>
      <c r="H2449" s="1" t="s">
        <v>257</v>
      </c>
      <c r="J2449" s="1" t="s">
        <v>371</v>
      </c>
      <c r="K2449" s="1" t="s">
        <v>653</v>
      </c>
      <c r="L2449" s="1" t="s">
        <v>1109</v>
      </c>
    </row>
    <row r="2450" spans="2:12">
      <c r="B2450" s="1" t="s">
        <v>667</v>
      </c>
      <c r="C2450" s="1" t="s">
        <v>336</v>
      </c>
      <c r="D2450" s="52">
        <v>46076.371527777781</v>
      </c>
      <c r="E2450" s="52">
        <v>46076.371527777781</v>
      </c>
      <c r="F2450" s="52">
        <v>46076.37222222222</v>
      </c>
      <c r="G2450" s="53">
        <v>5.3240740740740744E-4</v>
      </c>
      <c r="H2450" s="1" t="s">
        <v>257</v>
      </c>
      <c r="J2450" s="1" t="s">
        <v>371</v>
      </c>
      <c r="K2450" s="1" t="s">
        <v>653</v>
      </c>
      <c r="L2450" s="1" t="s">
        <v>1110</v>
      </c>
    </row>
    <row r="2451" spans="2:12">
      <c r="B2451" s="1" t="s">
        <v>667</v>
      </c>
      <c r="C2451" s="1" t="s">
        <v>336</v>
      </c>
      <c r="D2451" s="52">
        <v>46076.364583333336</v>
      </c>
      <c r="E2451" s="52">
        <v>46076.364583333336</v>
      </c>
      <c r="F2451" s="52">
        <v>46076.365277777775</v>
      </c>
      <c r="G2451" s="53">
        <v>6.018518518518519E-4</v>
      </c>
      <c r="H2451" s="1" t="s">
        <v>257</v>
      </c>
      <c r="J2451" s="1" t="s">
        <v>371</v>
      </c>
      <c r="K2451" s="1" t="s">
        <v>653</v>
      </c>
      <c r="L2451" s="1" t="s">
        <v>1111</v>
      </c>
    </row>
    <row r="2452" spans="2:12">
      <c r="B2452" s="1" t="s">
        <v>667</v>
      </c>
      <c r="C2452" s="1" t="s">
        <v>336</v>
      </c>
      <c r="D2452" s="52">
        <v>46076.28402777778</v>
      </c>
      <c r="E2452" s="52">
        <v>46076.28402777778</v>
      </c>
      <c r="F2452" s="52">
        <v>46076.284722222219</v>
      </c>
      <c r="G2452" s="53">
        <v>9.4907407407407408E-4</v>
      </c>
      <c r="H2452" s="1" t="s">
        <v>257</v>
      </c>
      <c r="J2452" s="1" t="s">
        <v>371</v>
      </c>
      <c r="K2452" s="1" t="s">
        <v>653</v>
      </c>
      <c r="L2452" s="1" t="s">
        <v>1112</v>
      </c>
    </row>
    <row r="2453" spans="2:12">
      <c r="B2453" s="1" t="s">
        <v>667</v>
      </c>
      <c r="C2453" s="1" t="s">
        <v>336</v>
      </c>
      <c r="D2453" s="52">
        <v>46076.252083333333</v>
      </c>
      <c r="E2453" s="52">
        <v>46076.252083333333</v>
      </c>
      <c r="F2453" s="52">
        <v>46076.28402777778</v>
      </c>
      <c r="G2453" s="53">
        <v>3.1678240740740743E-2</v>
      </c>
      <c r="H2453" s="1" t="s">
        <v>257</v>
      </c>
      <c r="J2453" s="1" t="s">
        <v>371</v>
      </c>
      <c r="K2453" s="1" t="s">
        <v>653</v>
      </c>
      <c r="L2453" s="1" t="s">
        <v>1113</v>
      </c>
    </row>
    <row r="2454" spans="2:12">
      <c r="B2454" s="1" t="s">
        <v>667</v>
      </c>
      <c r="C2454" s="1" t="s">
        <v>336</v>
      </c>
      <c r="D2454" s="52">
        <v>46076.251388888886</v>
      </c>
      <c r="E2454" s="52">
        <v>46076.251388888886</v>
      </c>
      <c r="F2454" s="52">
        <v>46076.28402777778</v>
      </c>
      <c r="G2454" s="53">
        <v>3.2094907407407405E-2</v>
      </c>
      <c r="H2454" s="1" t="s">
        <v>257</v>
      </c>
      <c r="J2454" s="1" t="s">
        <v>371</v>
      </c>
      <c r="K2454" s="1" t="s">
        <v>653</v>
      </c>
      <c r="L2454" s="1" t="s">
        <v>1114</v>
      </c>
    </row>
    <row r="2455" spans="2:12">
      <c r="B2455" s="1" t="s">
        <v>667</v>
      </c>
      <c r="C2455" s="1" t="s">
        <v>336</v>
      </c>
      <c r="D2455" s="52">
        <v>46075.77847222222</v>
      </c>
      <c r="E2455" s="52">
        <v>46075.77847222222</v>
      </c>
      <c r="F2455" s="52">
        <v>46075.78125</v>
      </c>
      <c r="G2455" s="53">
        <v>2.3148148148148147E-3</v>
      </c>
      <c r="H2455" s="1" t="s">
        <v>257</v>
      </c>
      <c r="J2455" s="1" t="s">
        <v>371</v>
      </c>
      <c r="K2455" s="1" t="s">
        <v>653</v>
      </c>
      <c r="L2455" s="1" t="s">
        <v>1115</v>
      </c>
    </row>
    <row r="2456" spans="2:12">
      <c r="B2456" s="1" t="s">
        <v>667</v>
      </c>
      <c r="C2456" s="1" t="s">
        <v>336</v>
      </c>
      <c r="D2456" s="52">
        <v>46075.751388888886</v>
      </c>
      <c r="E2456" s="52">
        <v>46075.751388888886</v>
      </c>
      <c r="F2456" s="52">
        <v>46075.78125</v>
      </c>
      <c r="G2456" s="53">
        <v>2.9467592592592594E-2</v>
      </c>
      <c r="H2456" s="1" t="s">
        <v>257</v>
      </c>
      <c r="J2456" s="1" t="s">
        <v>371</v>
      </c>
      <c r="K2456" s="1" t="s">
        <v>653</v>
      </c>
      <c r="L2456" s="1" t="s">
        <v>1116</v>
      </c>
    </row>
    <row r="2457" spans="2:12">
      <c r="B2457" s="1" t="s">
        <v>667</v>
      </c>
      <c r="C2457" s="1" t="s">
        <v>336</v>
      </c>
      <c r="D2457" s="52">
        <v>46075.751388888886</v>
      </c>
      <c r="E2457" s="52">
        <v>46075.751388888886</v>
      </c>
      <c r="F2457" s="52">
        <v>46075.774305555555</v>
      </c>
      <c r="G2457" s="53">
        <v>2.2939814814814816E-2</v>
      </c>
      <c r="H2457" s="1" t="s">
        <v>257</v>
      </c>
      <c r="J2457" s="1" t="s">
        <v>371</v>
      </c>
      <c r="K2457" s="1" t="s">
        <v>653</v>
      </c>
      <c r="L2457" s="1" t="s">
        <v>1117</v>
      </c>
    </row>
    <row r="2458" spans="2:12">
      <c r="B2458" s="1" t="s">
        <v>667</v>
      </c>
      <c r="C2458" s="1" t="s">
        <v>336</v>
      </c>
      <c r="D2458" s="52">
        <v>46075.750694444447</v>
      </c>
      <c r="E2458" s="52">
        <v>46075.750694444447</v>
      </c>
      <c r="F2458" s="52">
        <v>46075.751388888886</v>
      </c>
      <c r="G2458" s="53">
        <v>4.861111111111111E-4</v>
      </c>
      <c r="H2458" s="1" t="s">
        <v>257</v>
      </c>
      <c r="J2458" s="1" t="s">
        <v>371</v>
      </c>
      <c r="K2458" s="1" t="s">
        <v>653</v>
      </c>
      <c r="L2458" s="1" t="s">
        <v>1118</v>
      </c>
    </row>
    <row r="2459" spans="2:12">
      <c r="B2459" s="1" t="s">
        <v>667</v>
      </c>
      <c r="C2459" s="1" t="s">
        <v>336</v>
      </c>
      <c r="D2459" s="52">
        <v>46075.745833333334</v>
      </c>
      <c r="E2459" s="52">
        <v>46075.745833333334</v>
      </c>
      <c r="F2459" s="52">
        <v>46075.750694444447</v>
      </c>
      <c r="G2459" s="53">
        <v>4.5949074074074078E-3</v>
      </c>
      <c r="H2459" s="1" t="s">
        <v>257</v>
      </c>
      <c r="J2459" s="1" t="s">
        <v>371</v>
      </c>
      <c r="K2459" s="1" t="s">
        <v>653</v>
      </c>
      <c r="L2459" s="1" t="s">
        <v>1119</v>
      </c>
    </row>
    <row r="2460" spans="2:12">
      <c r="B2460" s="1" t="s">
        <v>667</v>
      </c>
      <c r="C2460" s="1" t="s">
        <v>336</v>
      </c>
      <c r="D2460" s="52">
        <v>46075.740972222222</v>
      </c>
      <c r="E2460" s="52">
        <v>46075.740972222222</v>
      </c>
      <c r="F2460" s="52">
        <v>46075.745833333334</v>
      </c>
      <c r="G2460" s="53">
        <v>4.6412037037037038E-3</v>
      </c>
      <c r="H2460" s="1" t="s">
        <v>257</v>
      </c>
      <c r="J2460" s="1" t="s">
        <v>371</v>
      </c>
      <c r="K2460" s="1" t="s">
        <v>653</v>
      </c>
      <c r="L2460" s="1" t="s">
        <v>1120</v>
      </c>
    </row>
    <row r="2461" spans="2:12">
      <c r="B2461" s="1" t="s">
        <v>667</v>
      </c>
      <c r="C2461" s="1" t="s">
        <v>336</v>
      </c>
      <c r="D2461" s="52">
        <v>46075.736111111109</v>
      </c>
      <c r="E2461" s="52">
        <v>46075.736111111109</v>
      </c>
      <c r="F2461" s="52">
        <v>46075.740972222222</v>
      </c>
      <c r="G2461" s="53">
        <v>4.6412037037037038E-3</v>
      </c>
      <c r="H2461" s="1" t="s">
        <v>257</v>
      </c>
      <c r="J2461" s="1" t="s">
        <v>371</v>
      </c>
      <c r="K2461" s="1" t="s">
        <v>653</v>
      </c>
      <c r="L2461" s="1" t="s">
        <v>1121</v>
      </c>
    </row>
    <row r="2462" spans="2:12">
      <c r="B2462" s="1" t="s">
        <v>667</v>
      </c>
      <c r="C2462" s="1" t="s">
        <v>336</v>
      </c>
      <c r="D2462" s="52">
        <v>46075.734722222223</v>
      </c>
      <c r="E2462" s="52">
        <v>46075.734722222223</v>
      </c>
      <c r="F2462" s="52">
        <v>46075.73541666667</v>
      </c>
      <c r="G2462" s="53">
        <v>5.0925925925925921E-4</v>
      </c>
      <c r="H2462" s="1" t="s">
        <v>257</v>
      </c>
      <c r="J2462" s="1" t="s">
        <v>371</v>
      </c>
      <c r="K2462" s="1" t="s">
        <v>653</v>
      </c>
      <c r="L2462" s="1" t="s">
        <v>1122</v>
      </c>
    </row>
    <row r="2463" spans="2:12">
      <c r="B2463" s="1" t="s">
        <v>667</v>
      </c>
      <c r="C2463" s="1" t="s">
        <v>336</v>
      </c>
      <c r="D2463" s="52">
        <v>46075.730555555558</v>
      </c>
      <c r="E2463" s="52">
        <v>46075.730555555558</v>
      </c>
      <c r="F2463" s="52">
        <v>46075.730555555558</v>
      </c>
      <c r="G2463" s="53">
        <v>5.2083333333333333E-4</v>
      </c>
      <c r="H2463" s="1" t="s">
        <v>257</v>
      </c>
      <c r="J2463" s="1" t="s">
        <v>371</v>
      </c>
      <c r="K2463" s="1" t="s">
        <v>653</v>
      </c>
      <c r="L2463" s="1" t="s">
        <v>1123</v>
      </c>
    </row>
    <row r="2464" spans="2:12">
      <c r="B2464" s="1" t="s">
        <v>667</v>
      </c>
      <c r="C2464" s="1" t="s">
        <v>336</v>
      </c>
      <c r="D2464" s="52">
        <v>46075.729166666664</v>
      </c>
      <c r="E2464" s="52">
        <v>46075.729166666664</v>
      </c>
      <c r="F2464" s="52">
        <v>46075.729861111111</v>
      </c>
      <c r="G2464" s="53">
        <v>5.2083333333333333E-4</v>
      </c>
      <c r="H2464" s="1" t="s">
        <v>257</v>
      </c>
      <c r="J2464" s="1" t="s">
        <v>371</v>
      </c>
      <c r="K2464" s="1" t="s">
        <v>653</v>
      </c>
      <c r="L2464" s="1" t="s">
        <v>1124</v>
      </c>
    </row>
    <row r="2465" spans="2:12">
      <c r="B2465" s="1" t="s">
        <v>667</v>
      </c>
      <c r="C2465" s="1" t="s">
        <v>336</v>
      </c>
      <c r="D2465" s="52">
        <v>46075.727777777778</v>
      </c>
      <c r="E2465" s="52">
        <v>46075.727777777778</v>
      </c>
      <c r="F2465" s="52">
        <v>46075.728472222225</v>
      </c>
      <c r="G2465" s="53">
        <v>5.0925925925925921E-4</v>
      </c>
      <c r="H2465" s="1" t="s">
        <v>257</v>
      </c>
      <c r="J2465" s="1" t="s">
        <v>371</v>
      </c>
      <c r="K2465" s="1" t="s">
        <v>653</v>
      </c>
      <c r="L2465" s="1" t="s">
        <v>1125</v>
      </c>
    </row>
    <row r="2466" spans="2:12">
      <c r="B2466" s="1" t="s">
        <v>667</v>
      </c>
      <c r="C2466" s="1" t="s">
        <v>336</v>
      </c>
      <c r="D2466" s="52">
        <v>46075.724999999999</v>
      </c>
      <c r="E2466" s="52">
        <v>46075.724999999999</v>
      </c>
      <c r="F2466" s="52">
        <v>46075.725694444445</v>
      </c>
      <c r="G2466" s="53">
        <v>5.3240740740740744E-4</v>
      </c>
      <c r="H2466" s="1" t="s">
        <v>257</v>
      </c>
      <c r="J2466" s="1" t="s">
        <v>371</v>
      </c>
      <c r="K2466" s="1" t="s">
        <v>653</v>
      </c>
      <c r="L2466" s="1" t="s">
        <v>1126</v>
      </c>
    </row>
    <row r="2467" spans="2:12">
      <c r="B2467" s="1" t="s">
        <v>667</v>
      </c>
      <c r="C2467" s="1" t="s">
        <v>336</v>
      </c>
      <c r="D2467" s="52">
        <v>46075.722916666666</v>
      </c>
      <c r="E2467" s="52">
        <v>46075.722916666666</v>
      </c>
      <c r="F2467" s="52">
        <v>46075.723611111112</v>
      </c>
      <c r="G2467" s="53">
        <v>5.2083333333333333E-4</v>
      </c>
      <c r="H2467" s="1" t="s">
        <v>257</v>
      </c>
      <c r="J2467" s="1" t="s">
        <v>371</v>
      </c>
      <c r="K2467" s="1" t="s">
        <v>653</v>
      </c>
      <c r="L2467" s="1" t="s">
        <v>1127</v>
      </c>
    </row>
    <row r="2468" spans="2:12">
      <c r="B2468" s="1" t="s">
        <v>667</v>
      </c>
      <c r="C2468" s="1" t="s">
        <v>336</v>
      </c>
      <c r="D2468" s="52">
        <v>46075.649305555555</v>
      </c>
      <c r="E2468" s="52">
        <v>46075.649305555555</v>
      </c>
      <c r="F2468" s="52">
        <v>46075.677777777775</v>
      </c>
      <c r="G2468" s="53">
        <v>2.886574074074074E-2</v>
      </c>
      <c r="H2468" s="1" t="s">
        <v>257</v>
      </c>
      <c r="J2468" s="1" t="s">
        <v>371</v>
      </c>
      <c r="K2468" s="1" t="s">
        <v>653</v>
      </c>
      <c r="L2468" s="1" t="s">
        <v>1128</v>
      </c>
    </row>
    <row r="2469" spans="2:12">
      <c r="B2469" s="1" t="s">
        <v>667</v>
      </c>
      <c r="C2469" s="1" t="s">
        <v>336</v>
      </c>
      <c r="D2469" s="52">
        <v>46075.648611111108</v>
      </c>
      <c r="E2469" s="52">
        <v>46075.648611111108</v>
      </c>
      <c r="F2469" s="52">
        <v>46075.648611111108</v>
      </c>
      <c r="G2469" s="53">
        <v>4.7453703703703704E-4</v>
      </c>
      <c r="H2469" s="1" t="s">
        <v>257</v>
      </c>
      <c r="J2469" s="1" t="s">
        <v>371</v>
      </c>
      <c r="K2469" s="1" t="s">
        <v>653</v>
      </c>
      <c r="L2469" s="1" t="s">
        <v>1129</v>
      </c>
    </row>
    <row r="2470" spans="2:12">
      <c r="B2470" s="1" t="s">
        <v>667</v>
      </c>
      <c r="C2470" s="1" t="s">
        <v>336</v>
      </c>
      <c r="D2470" s="52">
        <v>46075.647916666669</v>
      </c>
      <c r="E2470" s="52">
        <v>46075.647916666669</v>
      </c>
      <c r="F2470" s="52">
        <v>46075.647916666669</v>
      </c>
      <c r="G2470" s="53">
        <v>4.861111111111111E-4</v>
      </c>
      <c r="H2470" s="1" t="s">
        <v>257</v>
      </c>
      <c r="J2470" s="1" t="s">
        <v>371</v>
      </c>
      <c r="K2470" s="1" t="s">
        <v>653</v>
      </c>
      <c r="L2470" s="1" t="s">
        <v>1130</v>
      </c>
    </row>
    <row r="2471" spans="2:12">
      <c r="B2471" s="1" t="s">
        <v>667</v>
      </c>
      <c r="C2471" s="1" t="s">
        <v>336</v>
      </c>
      <c r="D2471" s="52">
        <v>46075.647222222222</v>
      </c>
      <c r="E2471" s="52">
        <v>46075.647222222222</v>
      </c>
      <c r="F2471" s="52">
        <v>46075.647222222222</v>
      </c>
      <c r="G2471" s="53">
        <v>4.9768518518518521E-4</v>
      </c>
      <c r="H2471" s="1" t="s">
        <v>257</v>
      </c>
      <c r="J2471" s="1" t="s">
        <v>371</v>
      </c>
      <c r="K2471" s="1" t="s">
        <v>653</v>
      </c>
      <c r="L2471" s="1" t="s">
        <v>1131</v>
      </c>
    </row>
    <row r="2472" spans="2:12">
      <c r="B2472" s="1" t="s">
        <v>667</v>
      </c>
      <c r="C2472" s="1" t="s">
        <v>336</v>
      </c>
      <c r="D2472" s="52">
        <v>46075.646527777775</v>
      </c>
      <c r="E2472" s="52">
        <v>46075.646527777775</v>
      </c>
      <c r="F2472" s="52">
        <v>46075.646527777775</v>
      </c>
      <c r="G2472" s="53">
        <v>4.9768518518518521E-4</v>
      </c>
      <c r="H2472" s="1" t="s">
        <v>257</v>
      </c>
      <c r="J2472" s="1" t="s">
        <v>371</v>
      </c>
      <c r="K2472" s="1" t="s">
        <v>653</v>
      </c>
      <c r="L2472" s="1" t="s">
        <v>1132</v>
      </c>
    </row>
    <row r="2473" spans="2:12">
      <c r="B2473" s="1" t="s">
        <v>667</v>
      </c>
      <c r="C2473" s="1" t="s">
        <v>336</v>
      </c>
      <c r="D2473" s="52">
        <v>46075.64166666667</v>
      </c>
      <c r="E2473" s="52">
        <v>46075.64166666667</v>
      </c>
      <c r="F2473" s="52">
        <v>46075.645833333336</v>
      </c>
      <c r="G2473" s="53">
        <v>4.6180555555555558E-3</v>
      </c>
      <c r="H2473" s="1" t="s">
        <v>257</v>
      </c>
      <c r="J2473" s="1" t="s">
        <v>371</v>
      </c>
      <c r="K2473" s="1" t="s">
        <v>653</v>
      </c>
      <c r="L2473" s="1" t="s">
        <v>1133</v>
      </c>
    </row>
    <row r="2474" spans="2:12">
      <c r="B2474" s="1" t="s">
        <v>667</v>
      </c>
      <c r="C2474" s="1" t="s">
        <v>336</v>
      </c>
      <c r="D2474" s="52">
        <v>46075.636805555558</v>
      </c>
      <c r="E2474" s="52">
        <v>46075.636805555558</v>
      </c>
      <c r="F2474" s="52">
        <v>46075.640972222223</v>
      </c>
      <c r="G2474" s="53">
        <v>4.6296296296296294E-3</v>
      </c>
      <c r="H2474" s="1" t="s">
        <v>257</v>
      </c>
      <c r="J2474" s="1" t="s">
        <v>371</v>
      </c>
      <c r="K2474" s="1" t="s">
        <v>653</v>
      </c>
      <c r="L2474" s="1" t="s">
        <v>1134</v>
      </c>
    </row>
    <row r="2475" spans="2:12">
      <c r="B2475" s="1" t="s">
        <v>667</v>
      </c>
      <c r="C2475" s="1" t="s">
        <v>336</v>
      </c>
      <c r="D2475" s="52">
        <v>46075.538888888892</v>
      </c>
      <c r="E2475" s="52">
        <v>46075.538888888892</v>
      </c>
      <c r="F2475" s="52">
        <v>46075.546527777777</v>
      </c>
      <c r="G2475" s="53">
        <v>7.3495370370370372E-3</v>
      </c>
      <c r="H2475" s="1" t="s">
        <v>257</v>
      </c>
      <c r="J2475" s="1" t="s">
        <v>371</v>
      </c>
      <c r="K2475" s="1" t="s">
        <v>653</v>
      </c>
      <c r="L2475" s="1" t="s">
        <v>1135</v>
      </c>
    </row>
    <row r="2476" spans="2:12">
      <c r="B2476" s="1" t="s">
        <v>667</v>
      </c>
      <c r="C2476" s="1" t="s">
        <v>336</v>
      </c>
      <c r="D2476" s="52">
        <v>46075.534722222219</v>
      </c>
      <c r="E2476" s="52">
        <v>46075.534722222219</v>
      </c>
      <c r="F2476" s="52">
        <v>46075.535416666666</v>
      </c>
      <c r="G2476" s="53">
        <v>1.2268518518518518E-3</v>
      </c>
      <c r="H2476" s="1" t="s">
        <v>257</v>
      </c>
      <c r="J2476" s="1" t="s">
        <v>371</v>
      </c>
      <c r="K2476" s="1" t="s">
        <v>653</v>
      </c>
      <c r="L2476" s="1" t="s">
        <v>1136</v>
      </c>
    </row>
    <row r="2477" spans="2:12">
      <c r="B2477" s="1" t="s">
        <v>667</v>
      </c>
      <c r="C2477" s="1" t="s">
        <v>336</v>
      </c>
      <c r="D2477" s="52">
        <v>46075.518750000003</v>
      </c>
      <c r="E2477" s="52">
        <v>46075.518750000003</v>
      </c>
      <c r="F2477" s="52">
        <v>46075.519444444442</v>
      </c>
      <c r="G2477" s="53">
        <v>5.5555555555555556E-4</v>
      </c>
      <c r="H2477" s="1" t="s">
        <v>257</v>
      </c>
      <c r="J2477" s="1" t="s">
        <v>371</v>
      </c>
      <c r="K2477" s="1" t="s">
        <v>653</v>
      </c>
      <c r="L2477" s="1" t="s">
        <v>1137</v>
      </c>
    </row>
    <row r="2478" spans="2:12">
      <c r="B2478" s="1" t="s">
        <v>667</v>
      </c>
      <c r="C2478" s="1" t="s">
        <v>336</v>
      </c>
      <c r="D2478" s="52">
        <v>46075.494444444441</v>
      </c>
      <c r="E2478" s="52">
        <v>46075.494444444441</v>
      </c>
      <c r="F2478" s="52">
        <v>46075.495138888888</v>
      </c>
      <c r="G2478" s="53">
        <v>5.4398148148148144E-4</v>
      </c>
      <c r="H2478" s="1" t="s">
        <v>257</v>
      </c>
      <c r="J2478" s="1" t="s">
        <v>371</v>
      </c>
      <c r="K2478" s="1" t="s">
        <v>653</v>
      </c>
      <c r="L2478" s="1" t="s">
        <v>1138</v>
      </c>
    </row>
    <row r="2479" spans="2:12">
      <c r="B2479" s="1" t="s">
        <v>667</v>
      </c>
      <c r="C2479" s="1" t="s">
        <v>336</v>
      </c>
      <c r="D2479" s="52">
        <v>46075.481944444444</v>
      </c>
      <c r="E2479" s="52">
        <v>46075.481944444444</v>
      </c>
      <c r="F2479" s="52">
        <v>46075.482638888891</v>
      </c>
      <c r="G2479" s="53">
        <v>1.1342592592592593E-3</v>
      </c>
      <c r="H2479" s="1" t="s">
        <v>257</v>
      </c>
      <c r="J2479" s="1" t="s">
        <v>371</v>
      </c>
      <c r="K2479" s="1" t="s">
        <v>653</v>
      </c>
      <c r="L2479" s="1" t="s">
        <v>1139</v>
      </c>
    </row>
    <row r="2480" spans="2:12">
      <c r="B2480" s="1" t="s">
        <v>667</v>
      </c>
      <c r="C2480" s="1" t="s">
        <v>336</v>
      </c>
      <c r="D2480" s="52">
        <v>46075.450694444444</v>
      </c>
      <c r="E2480" s="52">
        <v>46075.450694444444</v>
      </c>
      <c r="F2480" s="52">
        <v>46075.451388888891</v>
      </c>
      <c r="G2480" s="53">
        <v>5.4398148148148144E-4</v>
      </c>
      <c r="H2480" s="1" t="s">
        <v>257</v>
      </c>
      <c r="J2480" s="1" t="s">
        <v>371</v>
      </c>
      <c r="K2480" s="1" t="s">
        <v>653</v>
      </c>
      <c r="L2480" s="1" t="s">
        <v>1140</v>
      </c>
    </row>
    <row r="2481" spans="2:12">
      <c r="B2481" s="1" t="s">
        <v>667</v>
      </c>
      <c r="C2481" s="1" t="s">
        <v>336</v>
      </c>
      <c r="D2481" s="52">
        <v>46075.423611111109</v>
      </c>
      <c r="E2481" s="52">
        <v>46075.423611111109</v>
      </c>
      <c r="F2481" s="52">
        <v>46075.424305555556</v>
      </c>
      <c r="G2481" s="53">
        <v>5.0925925925925921E-4</v>
      </c>
      <c r="H2481" s="1" t="s">
        <v>257</v>
      </c>
      <c r="J2481" s="1" t="s">
        <v>371</v>
      </c>
      <c r="K2481" s="1" t="s">
        <v>653</v>
      </c>
      <c r="L2481" s="1" t="s">
        <v>1141</v>
      </c>
    </row>
    <row r="2482" spans="2:12">
      <c r="B2482" s="1" t="s">
        <v>667</v>
      </c>
      <c r="C2482" s="1" t="s">
        <v>336</v>
      </c>
      <c r="D2482" s="52">
        <v>46075.395833333336</v>
      </c>
      <c r="E2482" s="52">
        <v>46075.395833333336</v>
      </c>
      <c r="F2482" s="52">
        <v>46075.396527777775</v>
      </c>
      <c r="G2482" s="53">
        <v>5.0925925925925921E-4</v>
      </c>
      <c r="H2482" s="1" t="s">
        <v>257</v>
      </c>
      <c r="J2482" s="1" t="s">
        <v>371</v>
      </c>
      <c r="K2482" s="1" t="s">
        <v>653</v>
      </c>
      <c r="L2482" s="1" t="s">
        <v>1142</v>
      </c>
    </row>
    <row r="2483" spans="2:12">
      <c r="B2483" s="1" t="s">
        <v>667</v>
      </c>
      <c r="C2483" s="1" t="s">
        <v>336</v>
      </c>
      <c r="D2483" s="52">
        <v>46075.277083333334</v>
      </c>
      <c r="E2483" s="52">
        <v>46075.277083333334</v>
      </c>
      <c r="F2483" s="52">
        <v>46075.281944444447</v>
      </c>
      <c r="G2483" s="53">
        <v>4.5601851851851853E-3</v>
      </c>
      <c r="H2483" s="1" t="s">
        <v>257</v>
      </c>
      <c r="J2483" s="1" t="s">
        <v>371</v>
      </c>
      <c r="K2483" s="1" t="s">
        <v>653</v>
      </c>
      <c r="L2483" s="1" t="s">
        <v>1143</v>
      </c>
    </row>
    <row r="2484" spans="2:12">
      <c r="B2484" s="1" t="s">
        <v>667</v>
      </c>
      <c r="C2484" s="1" t="s">
        <v>336</v>
      </c>
      <c r="D2484" s="52">
        <v>46075.273611111108</v>
      </c>
      <c r="E2484" s="52">
        <v>46075.273611111108</v>
      </c>
      <c r="F2484" s="52">
        <v>46075.275000000001</v>
      </c>
      <c r="G2484" s="53">
        <v>1.0879629629629629E-3</v>
      </c>
      <c r="H2484" s="1" t="s">
        <v>257</v>
      </c>
      <c r="J2484" s="1" t="s">
        <v>371</v>
      </c>
      <c r="K2484" s="1" t="s">
        <v>653</v>
      </c>
      <c r="L2484" s="1" t="s">
        <v>1144</v>
      </c>
    </row>
    <row r="2485" spans="2:12">
      <c r="B2485" s="1" t="s">
        <v>667</v>
      </c>
      <c r="C2485" s="1" t="s">
        <v>336</v>
      </c>
      <c r="D2485" s="52">
        <v>46075.245833333334</v>
      </c>
      <c r="E2485" s="52">
        <v>46075.245833333334</v>
      </c>
      <c r="F2485" s="52">
        <v>46075.273611111108</v>
      </c>
      <c r="G2485" s="53">
        <v>2.7986111111111111E-2</v>
      </c>
      <c r="H2485" s="1" t="s">
        <v>257</v>
      </c>
      <c r="J2485" s="1" t="s">
        <v>371</v>
      </c>
      <c r="K2485" s="1" t="s">
        <v>653</v>
      </c>
      <c r="L2485" s="1" t="s">
        <v>1145</v>
      </c>
    </row>
    <row r="2486" spans="2:12">
      <c r="B2486" s="1" t="s">
        <v>667</v>
      </c>
      <c r="C2486" s="1" t="s">
        <v>336</v>
      </c>
      <c r="D2486" s="52">
        <v>46075.245138888888</v>
      </c>
      <c r="E2486" s="52">
        <v>46075.245138888888</v>
      </c>
      <c r="F2486" s="52">
        <v>46075.273611111108</v>
      </c>
      <c r="G2486" s="53">
        <v>2.8391203703703703E-2</v>
      </c>
      <c r="H2486" s="1" t="s">
        <v>257</v>
      </c>
      <c r="J2486" s="1" t="s">
        <v>371</v>
      </c>
      <c r="K2486" s="1" t="s">
        <v>653</v>
      </c>
      <c r="L2486" s="1" t="s">
        <v>1146</v>
      </c>
    </row>
    <row r="2487" spans="2:12">
      <c r="B2487" s="1" t="s">
        <v>667</v>
      </c>
      <c r="C2487" s="1" t="s">
        <v>336</v>
      </c>
      <c r="D2487" s="52">
        <v>46074.781944444447</v>
      </c>
      <c r="E2487" s="52">
        <v>46074.781944444447</v>
      </c>
      <c r="F2487" s="52">
        <v>46074.783333333333</v>
      </c>
      <c r="G2487" s="53">
        <v>1.8518518518518519E-3</v>
      </c>
      <c r="H2487" s="1" t="s">
        <v>257</v>
      </c>
      <c r="J2487" s="1" t="s">
        <v>371</v>
      </c>
      <c r="K2487" s="1" t="s">
        <v>653</v>
      </c>
      <c r="L2487" s="1" t="s">
        <v>1147</v>
      </c>
    </row>
    <row r="2488" spans="2:12">
      <c r="B2488" s="1" t="s">
        <v>667</v>
      </c>
      <c r="C2488" s="1" t="s">
        <v>336</v>
      </c>
      <c r="D2488" s="52">
        <v>46074.757638888892</v>
      </c>
      <c r="E2488" s="52">
        <v>46074.757638888892</v>
      </c>
      <c r="F2488" s="52">
        <v>46074.783333333333</v>
      </c>
      <c r="G2488" s="53">
        <v>2.5752314814814815E-2</v>
      </c>
      <c r="H2488" s="1" t="s">
        <v>257</v>
      </c>
      <c r="J2488" s="1" t="s">
        <v>371</v>
      </c>
      <c r="K2488" s="1" t="s">
        <v>653</v>
      </c>
      <c r="L2488" s="1" t="s">
        <v>1148</v>
      </c>
    </row>
    <row r="2489" spans="2:12">
      <c r="B2489" s="1" t="s">
        <v>667</v>
      </c>
      <c r="C2489" s="1" t="s">
        <v>336</v>
      </c>
      <c r="D2489" s="52">
        <v>46074.756944444445</v>
      </c>
      <c r="E2489" s="52">
        <v>46074.756944444445</v>
      </c>
      <c r="F2489" s="52">
        <v>46074.757638888892</v>
      </c>
      <c r="G2489" s="53">
        <v>5.2083333333333333E-4</v>
      </c>
      <c r="H2489" s="1" t="s">
        <v>257</v>
      </c>
      <c r="J2489" s="1" t="s">
        <v>371</v>
      </c>
      <c r="K2489" s="1" t="s">
        <v>653</v>
      </c>
      <c r="L2489" s="1" t="s">
        <v>1149</v>
      </c>
    </row>
    <row r="2490" spans="2:12">
      <c r="B2490" s="1" t="s">
        <v>667</v>
      </c>
      <c r="C2490" s="1" t="s">
        <v>336</v>
      </c>
      <c r="D2490" s="52">
        <v>46074.703472222223</v>
      </c>
      <c r="E2490" s="52">
        <v>46074.703472222223</v>
      </c>
      <c r="F2490" s="52">
        <v>46074.703472222223</v>
      </c>
      <c r="G2490" s="53">
        <v>5.4398148148148144E-4</v>
      </c>
      <c r="H2490" s="1" t="s">
        <v>257</v>
      </c>
      <c r="J2490" s="1" t="s">
        <v>371</v>
      </c>
      <c r="K2490" s="1" t="s">
        <v>653</v>
      </c>
      <c r="L2490" s="1" t="s">
        <v>1150</v>
      </c>
    </row>
    <row r="2491" spans="2:12">
      <c r="B2491" s="1" t="s">
        <v>667</v>
      </c>
      <c r="C2491" s="1" t="s">
        <v>336</v>
      </c>
      <c r="D2491" s="52">
        <v>46074.669444444444</v>
      </c>
      <c r="E2491" s="52">
        <v>46074.669444444444</v>
      </c>
      <c r="F2491" s="52">
        <v>46074.670138888891</v>
      </c>
      <c r="G2491" s="53">
        <v>5.5555555555555556E-4</v>
      </c>
      <c r="H2491" s="1" t="s">
        <v>257</v>
      </c>
      <c r="J2491" s="1" t="s">
        <v>371</v>
      </c>
      <c r="K2491" s="1" t="s">
        <v>653</v>
      </c>
      <c r="L2491" s="1" t="s">
        <v>1151</v>
      </c>
    </row>
    <row r="2492" spans="2:12">
      <c r="B2492" s="1" t="s">
        <v>667</v>
      </c>
      <c r="C2492" s="1" t="s">
        <v>336</v>
      </c>
      <c r="D2492" s="52">
        <v>46074.645138888889</v>
      </c>
      <c r="E2492" s="52">
        <v>46074.645138888889</v>
      </c>
      <c r="F2492" s="52">
        <v>46074.645138888889</v>
      </c>
      <c r="G2492" s="53">
        <v>5.4398148148148144E-4</v>
      </c>
      <c r="H2492" s="1" t="s">
        <v>257</v>
      </c>
      <c r="J2492" s="1" t="s">
        <v>371</v>
      </c>
      <c r="K2492" s="1" t="s">
        <v>653</v>
      </c>
      <c r="L2492" s="1" t="s">
        <v>1152</v>
      </c>
    </row>
    <row r="2493" spans="2:12">
      <c r="B2493" s="1" t="s">
        <v>667</v>
      </c>
      <c r="C2493" s="1" t="s">
        <v>336</v>
      </c>
      <c r="D2493" s="52">
        <v>46074.635416666664</v>
      </c>
      <c r="E2493" s="52">
        <v>46074.635416666664</v>
      </c>
      <c r="F2493" s="52">
        <v>46074.636111111111</v>
      </c>
      <c r="G2493" s="53">
        <v>5.2083333333333333E-4</v>
      </c>
      <c r="H2493" s="1" t="s">
        <v>257</v>
      </c>
      <c r="J2493" s="1" t="s">
        <v>371</v>
      </c>
      <c r="K2493" s="1" t="s">
        <v>653</v>
      </c>
      <c r="L2493" s="1" t="s">
        <v>1153</v>
      </c>
    </row>
    <row r="2494" spans="2:12">
      <c r="B2494" s="1" t="s">
        <v>667</v>
      </c>
      <c r="C2494" s="1" t="s">
        <v>336</v>
      </c>
      <c r="D2494" s="52">
        <v>46074.629166666666</v>
      </c>
      <c r="E2494" s="52">
        <v>46074.629166666666</v>
      </c>
      <c r="F2494" s="52">
        <v>46074.629861111112</v>
      </c>
      <c r="G2494" s="53">
        <v>5.0925925925925921E-4</v>
      </c>
      <c r="H2494" s="1" t="s">
        <v>257</v>
      </c>
      <c r="J2494" s="1" t="s">
        <v>371</v>
      </c>
      <c r="K2494" s="1" t="s">
        <v>653</v>
      </c>
      <c r="L2494" s="1" t="s">
        <v>1154</v>
      </c>
    </row>
    <row r="2495" spans="2:12">
      <c r="B2495" s="1" t="s">
        <v>667</v>
      </c>
      <c r="C2495" s="1" t="s">
        <v>336</v>
      </c>
      <c r="D2495" s="52">
        <v>46074.620138888888</v>
      </c>
      <c r="E2495" s="52">
        <v>46074.620138888888</v>
      </c>
      <c r="F2495" s="52">
        <v>46074.620138888888</v>
      </c>
      <c r="G2495" s="53">
        <v>5.2083333333333333E-4</v>
      </c>
      <c r="H2495" s="1" t="s">
        <v>257</v>
      </c>
      <c r="J2495" s="1" t="s">
        <v>371</v>
      </c>
      <c r="K2495" s="1" t="s">
        <v>653</v>
      </c>
      <c r="L2495" s="1" t="s">
        <v>1155</v>
      </c>
    </row>
    <row r="2496" spans="2:12">
      <c r="B2496" s="1" t="s">
        <v>667</v>
      </c>
      <c r="C2496" s="1" t="s">
        <v>336</v>
      </c>
      <c r="D2496" s="52">
        <v>46074.612500000003</v>
      </c>
      <c r="E2496" s="52">
        <v>46074.612500000003</v>
      </c>
      <c r="F2496" s="52">
        <v>46074.613194444442</v>
      </c>
      <c r="G2496" s="53">
        <v>5.4398148148148144E-4</v>
      </c>
      <c r="H2496" s="1" t="s">
        <v>257</v>
      </c>
      <c r="J2496" s="1" t="s">
        <v>371</v>
      </c>
      <c r="K2496" s="1" t="s">
        <v>653</v>
      </c>
      <c r="L2496" s="1" t="s">
        <v>1156</v>
      </c>
    </row>
    <row r="2497" spans="2:12">
      <c r="B2497" s="1" t="s">
        <v>667</v>
      </c>
      <c r="C2497" s="1" t="s">
        <v>336</v>
      </c>
      <c r="D2497" s="52">
        <v>46074.606944444444</v>
      </c>
      <c r="E2497" s="52">
        <v>46074.606944444444</v>
      </c>
      <c r="F2497" s="52">
        <v>46074.606944444444</v>
      </c>
      <c r="G2497" s="53">
        <v>5.0925925925925921E-4</v>
      </c>
      <c r="H2497" s="1" t="s">
        <v>257</v>
      </c>
      <c r="J2497" s="1" t="s">
        <v>371</v>
      </c>
      <c r="K2497" s="1" t="s">
        <v>653</v>
      </c>
      <c r="L2497" s="1" t="s">
        <v>1157</v>
      </c>
    </row>
    <row r="2498" spans="2:12">
      <c r="B2498" s="1" t="s">
        <v>667</v>
      </c>
      <c r="C2498" s="1" t="s">
        <v>336</v>
      </c>
      <c r="D2498" s="52">
        <v>46074.599305555559</v>
      </c>
      <c r="E2498" s="52">
        <v>46074.599305555559</v>
      </c>
      <c r="F2498" s="52">
        <v>46074.6</v>
      </c>
      <c r="G2498" s="53">
        <v>5.2083333333333333E-4</v>
      </c>
      <c r="H2498" s="1" t="s">
        <v>257</v>
      </c>
      <c r="J2498" s="1" t="s">
        <v>371</v>
      </c>
      <c r="K2498" s="1" t="s">
        <v>653</v>
      </c>
      <c r="L2498" s="1" t="s">
        <v>1158</v>
      </c>
    </row>
    <row r="2499" spans="2:12">
      <c r="B2499" s="1" t="s">
        <v>667</v>
      </c>
      <c r="C2499" s="1" t="s">
        <v>336</v>
      </c>
      <c r="D2499" s="52">
        <v>46074.524305555555</v>
      </c>
      <c r="E2499" s="52">
        <v>46074.524305555555</v>
      </c>
      <c r="F2499" s="52">
        <v>46074.524305555555</v>
      </c>
      <c r="G2499" s="53">
        <v>5.2083333333333333E-4</v>
      </c>
      <c r="H2499" s="1" t="s">
        <v>257</v>
      </c>
      <c r="J2499" s="1" t="s">
        <v>371</v>
      </c>
      <c r="K2499" s="1" t="s">
        <v>653</v>
      </c>
      <c r="L2499" s="1" t="s">
        <v>1159</v>
      </c>
    </row>
    <row r="2500" spans="2:12">
      <c r="B2500" s="1" t="s">
        <v>667</v>
      </c>
      <c r="C2500" s="1" t="s">
        <v>336</v>
      </c>
      <c r="D2500" s="52">
        <v>46074.510416666664</v>
      </c>
      <c r="E2500" s="52">
        <v>46074.510416666664</v>
      </c>
      <c r="F2500" s="52">
        <v>46074.511111111111</v>
      </c>
      <c r="G2500" s="53">
        <v>5.2083333333333333E-4</v>
      </c>
      <c r="H2500" s="1" t="s">
        <v>257</v>
      </c>
      <c r="J2500" s="1" t="s">
        <v>371</v>
      </c>
      <c r="K2500" s="1" t="s">
        <v>653</v>
      </c>
      <c r="L2500" s="1" t="s">
        <v>1160</v>
      </c>
    </row>
    <row r="2501" spans="2:12">
      <c r="B2501" s="1" t="s">
        <v>667</v>
      </c>
      <c r="C2501" s="1" t="s">
        <v>336</v>
      </c>
      <c r="D2501" s="52">
        <v>46074.500694444447</v>
      </c>
      <c r="E2501" s="52">
        <v>46074.500694444447</v>
      </c>
      <c r="F2501" s="52">
        <v>46074.501388888886</v>
      </c>
      <c r="G2501" s="53">
        <v>5.2083333333333333E-4</v>
      </c>
      <c r="H2501" s="1" t="s">
        <v>257</v>
      </c>
      <c r="J2501" s="1" t="s">
        <v>371</v>
      </c>
      <c r="K2501" s="1" t="s">
        <v>653</v>
      </c>
      <c r="L2501" s="1" t="s">
        <v>1161</v>
      </c>
    </row>
    <row r="2502" spans="2:12">
      <c r="B2502" s="1" t="s">
        <v>667</v>
      </c>
      <c r="C2502" s="1" t="s">
        <v>336</v>
      </c>
      <c r="D2502" s="52">
        <v>46074.484722222223</v>
      </c>
      <c r="E2502" s="52">
        <v>46074.484722222223</v>
      </c>
      <c r="F2502" s="52">
        <v>46074.48541666667</v>
      </c>
      <c r="G2502" s="53">
        <v>5.4398148148148144E-4</v>
      </c>
      <c r="H2502" s="1" t="s">
        <v>257</v>
      </c>
      <c r="J2502" s="1" t="s">
        <v>371</v>
      </c>
      <c r="K2502" s="1" t="s">
        <v>653</v>
      </c>
      <c r="L2502" s="1" t="s">
        <v>1162</v>
      </c>
    </row>
    <row r="2503" spans="2:12">
      <c r="B2503" s="1" t="s">
        <v>667</v>
      </c>
      <c r="C2503" s="1" t="s">
        <v>336</v>
      </c>
      <c r="D2503" s="52">
        <v>46074.466666666667</v>
      </c>
      <c r="E2503" s="52">
        <v>46074.466666666667</v>
      </c>
      <c r="F2503" s="52">
        <v>46074.467361111114</v>
      </c>
      <c r="G2503" s="53">
        <v>5.4398148148148144E-4</v>
      </c>
      <c r="H2503" s="1" t="s">
        <v>257</v>
      </c>
      <c r="J2503" s="1" t="s">
        <v>371</v>
      </c>
      <c r="K2503" s="1" t="s">
        <v>653</v>
      </c>
      <c r="L2503" s="1" t="s">
        <v>1163</v>
      </c>
    </row>
    <row r="2504" spans="2:12">
      <c r="B2504" s="1" t="s">
        <v>667</v>
      </c>
      <c r="C2504" s="1" t="s">
        <v>336</v>
      </c>
      <c r="D2504" s="52">
        <v>46074.444444444445</v>
      </c>
      <c r="E2504" s="52">
        <v>46074.444444444445</v>
      </c>
      <c r="F2504" s="52">
        <v>46074.445138888892</v>
      </c>
      <c r="G2504" s="53">
        <v>5.0925925925925921E-4</v>
      </c>
      <c r="H2504" s="1" t="s">
        <v>257</v>
      </c>
      <c r="J2504" s="1" t="s">
        <v>371</v>
      </c>
      <c r="K2504" s="1" t="s">
        <v>653</v>
      </c>
      <c r="L2504" s="1" t="s">
        <v>1164</v>
      </c>
    </row>
    <row r="2505" spans="2:12">
      <c r="B2505" s="1" t="s">
        <v>667</v>
      </c>
      <c r="C2505" s="1" t="s">
        <v>336</v>
      </c>
      <c r="D2505" s="52">
        <v>46074.413888888892</v>
      </c>
      <c r="E2505" s="52">
        <v>46074.413888888892</v>
      </c>
      <c r="F2505" s="52">
        <v>46074.414583333331</v>
      </c>
      <c r="G2505" s="53">
        <v>5.3240740740740744E-4</v>
      </c>
      <c r="H2505" s="1" t="s">
        <v>257</v>
      </c>
      <c r="J2505" s="1" t="s">
        <v>371</v>
      </c>
      <c r="K2505" s="1" t="s">
        <v>653</v>
      </c>
      <c r="L2505" s="1" t="s">
        <v>1165</v>
      </c>
    </row>
    <row r="2506" spans="2:12">
      <c r="B2506" s="1" t="s">
        <v>667</v>
      </c>
      <c r="C2506" s="1" t="s">
        <v>336</v>
      </c>
      <c r="D2506" s="52">
        <v>46074.388194444444</v>
      </c>
      <c r="E2506" s="52">
        <v>46074.388194444444</v>
      </c>
      <c r="F2506" s="52">
        <v>46074.388888888891</v>
      </c>
      <c r="G2506" s="53">
        <v>5.0925925925925921E-4</v>
      </c>
      <c r="H2506" s="1" t="s">
        <v>257</v>
      </c>
      <c r="J2506" s="1" t="s">
        <v>371</v>
      </c>
      <c r="K2506" s="1" t="s">
        <v>653</v>
      </c>
      <c r="L2506" s="1" t="s">
        <v>1166</v>
      </c>
    </row>
    <row r="2507" spans="2:12">
      <c r="B2507" s="1" t="s">
        <v>667</v>
      </c>
      <c r="C2507" s="1" t="s">
        <v>336</v>
      </c>
      <c r="D2507" s="52">
        <v>46074.381249999999</v>
      </c>
      <c r="E2507" s="52">
        <v>46074.381249999999</v>
      </c>
      <c r="F2507" s="52">
        <v>46074.381944444445</v>
      </c>
      <c r="G2507" s="53">
        <v>5.0925925925925921E-4</v>
      </c>
      <c r="H2507" s="1" t="s">
        <v>257</v>
      </c>
      <c r="J2507" s="1" t="s">
        <v>371</v>
      </c>
      <c r="K2507" s="1" t="s">
        <v>653</v>
      </c>
      <c r="L2507" s="1" t="s">
        <v>1167</v>
      </c>
    </row>
    <row r="2508" spans="2:12">
      <c r="B2508" s="1" t="s">
        <v>667</v>
      </c>
      <c r="C2508" s="1" t="s">
        <v>336</v>
      </c>
      <c r="D2508" s="52">
        <v>46074.363194444442</v>
      </c>
      <c r="E2508" s="52">
        <v>46074.363194444442</v>
      </c>
      <c r="F2508" s="52">
        <v>46074.363888888889</v>
      </c>
      <c r="G2508" s="53">
        <v>5.0925925925925921E-4</v>
      </c>
      <c r="H2508" s="1" t="s">
        <v>257</v>
      </c>
      <c r="J2508" s="1" t="s">
        <v>371</v>
      </c>
      <c r="K2508" s="1" t="s">
        <v>653</v>
      </c>
      <c r="L2508" s="1" t="s">
        <v>1168</v>
      </c>
    </row>
    <row r="2509" spans="2:12">
      <c r="B2509" s="1" t="s">
        <v>667</v>
      </c>
      <c r="C2509" s="1" t="s">
        <v>336</v>
      </c>
      <c r="D2509" s="52">
        <v>46074.354166666664</v>
      </c>
      <c r="E2509" s="52">
        <v>46074.354166666664</v>
      </c>
      <c r="F2509" s="52">
        <v>46074.354861111111</v>
      </c>
      <c r="G2509" s="53">
        <v>5.0925925925925921E-4</v>
      </c>
      <c r="H2509" s="1" t="s">
        <v>257</v>
      </c>
      <c r="J2509" s="1" t="s">
        <v>371</v>
      </c>
      <c r="K2509" s="1" t="s">
        <v>653</v>
      </c>
      <c r="L2509" s="1" t="s">
        <v>1169</v>
      </c>
    </row>
    <row r="2510" spans="2:12">
      <c r="B2510" s="1" t="s">
        <v>667</v>
      </c>
      <c r="C2510" s="1" t="s">
        <v>336</v>
      </c>
      <c r="D2510" s="52">
        <v>46074.28125</v>
      </c>
      <c r="E2510" s="52">
        <v>46074.28125</v>
      </c>
      <c r="F2510" s="52">
        <v>46074.281944444447</v>
      </c>
      <c r="G2510" s="53">
        <v>5.0925925925925921E-4</v>
      </c>
      <c r="H2510" s="1" t="s">
        <v>257</v>
      </c>
      <c r="J2510" s="1" t="s">
        <v>371</v>
      </c>
      <c r="K2510" s="1" t="s">
        <v>653</v>
      </c>
      <c r="L2510" s="1" t="s">
        <v>1170</v>
      </c>
    </row>
    <row r="2511" spans="2:12">
      <c r="B2511" s="1" t="s">
        <v>667</v>
      </c>
      <c r="C2511" s="1" t="s">
        <v>336</v>
      </c>
      <c r="D2511" s="52">
        <v>46074.279861111114</v>
      </c>
      <c r="E2511" s="52">
        <v>46074.279861111114</v>
      </c>
      <c r="F2511" s="52">
        <v>46074.280555555553</v>
      </c>
      <c r="G2511" s="53">
        <v>8.3333333333333339E-4</v>
      </c>
      <c r="H2511" s="1" t="s">
        <v>257</v>
      </c>
      <c r="J2511" s="1" t="s">
        <v>371</v>
      </c>
      <c r="K2511" s="1" t="s">
        <v>653</v>
      </c>
      <c r="L2511" s="1" t="s">
        <v>1171</v>
      </c>
    </row>
    <row r="2512" spans="2:12">
      <c r="B2512" s="1" t="s">
        <v>667</v>
      </c>
      <c r="C2512" s="1" t="s">
        <v>336</v>
      </c>
      <c r="D2512" s="52">
        <v>46074.240972222222</v>
      </c>
      <c r="E2512" s="52">
        <v>46074.240972222222</v>
      </c>
      <c r="F2512" s="52">
        <v>46074.279861111114</v>
      </c>
      <c r="G2512" s="53">
        <v>3.8807870370370368E-2</v>
      </c>
      <c r="H2512" s="1" t="s">
        <v>257</v>
      </c>
      <c r="J2512" s="1" t="s">
        <v>371</v>
      </c>
      <c r="K2512" s="1" t="s">
        <v>653</v>
      </c>
      <c r="L2512" s="1" t="s">
        <v>1172</v>
      </c>
    </row>
    <row r="2513" spans="2:12">
      <c r="B2513" s="1" t="s">
        <v>667</v>
      </c>
      <c r="C2513" s="1" t="s">
        <v>336</v>
      </c>
      <c r="D2513" s="52">
        <v>46073.760416666664</v>
      </c>
      <c r="E2513" s="52">
        <v>46073.760416666664</v>
      </c>
      <c r="F2513" s="52">
        <v>46073.784722222219</v>
      </c>
      <c r="G2513" s="53">
        <v>2.4421296296296295E-2</v>
      </c>
      <c r="H2513" s="1" t="s">
        <v>257</v>
      </c>
      <c r="J2513" s="1" t="s">
        <v>371</v>
      </c>
      <c r="K2513" s="1" t="s">
        <v>653</v>
      </c>
      <c r="L2513" s="1" t="s">
        <v>1173</v>
      </c>
    </row>
    <row r="2514" spans="2:12">
      <c r="B2514" s="1" t="s">
        <v>667</v>
      </c>
      <c r="C2514" s="1" t="s">
        <v>336</v>
      </c>
      <c r="D2514" s="52">
        <v>46073.759722222225</v>
      </c>
      <c r="E2514" s="52">
        <v>46073.759722222225</v>
      </c>
      <c r="F2514" s="52">
        <v>46073.759722222225</v>
      </c>
      <c r="G2514" s="53">
        <v>5.0925925925925921E-4</v>
      </c>
      <c r="H2514" s="1" t="s">
        <v>257</v>
      </c>
      <c r="J2514" s="1" t="s">
        <v>371</v>
      </c>
      <c r="K2514" s="1" t="s">
        <v>653</v>
      </c>
      <c r="L2514" s="1" t="s">
        <v>1174</v>
      </c>
    </row>
    <row r="2515" spans="2:12">
      <c r="B2515" s="1" t="s">
        <v>667</v>
      </c>
      <c r="C2515" s="1" t="s">
        <v>336</v>
      </c>
      <c r="D2515" s="52">
        <v>46073.759027777778</v>
      </c>
      <c r="E2515" s="52">
        <v>46073.759027777778</v>
      </c>
      <c r="F2515" s="52">
        <v>46073.759027777778</v>
      </c>
      <c r="G2515" s="53">
        <v>5.0925925925925921E-4</v>
      </c>
      <c r="H2515" s="1" t="s">
        <v>257</v>
      </c>
      <c r="J2515" s="1" t="s">
        <v>371</v>
      </c>
      <c r="K2515" s="1" t="s">
        <v>653</v>
      </c>
      <c r="L2515" s="1" t="s">
        <v>1175</v>
      </c>
    </row>
    <row r="2516" spans="2:12">
      <c r="B2516" s="1" t="s">
        <v>667</v>
      </c>
      <c r="C2516" s="1" t="s">
        <v>336</v>
      </c>
      <c r="D2516" s="52">
        <v>46073.758333333331</v>
      </c>
      <c r="E2516" s="52">
        <v>46073.758333333331</v>
      </c>
      <c r="F2516" s="52">
        <v>46073.758333333331</v>
      </c>
      <c r="G2516" s="53">
        <v>5.2083333333333333E-4</v>
      </c>
      <c r="H2516" s="1" t="s">
        <v>257</v>
      </c>
      <c r="J2516" s="1" t="s">
        <v>371</v>
      </c>
      <c r="K2516" s="1" t="s">
        <v>653</v>
      </c>
      <c r="L2516" s="1" t="s">
        <v>1176</v>
      </c>
    </row>
    <row r="2517" spans="2:12">
      <c r="B2517" s="1" t="s">
        <v>667</v>
      </c>
      <c r="C2517" s="1" t="s">
        <v>336</v>
      </c>
      <c r="D2517" s="52">
        <v>46073.757638888892</v>
      </c>
      <c r="E2517" s="52">
        <v>46073.757638888892</v>
      </c>
      <c r="F2517" s="52">
        <v>46073.757638888892</v>
      </c>
      <c r="G2517" s="53">
        <v>5.2083333333333333E-4</v>
      </c>
      <c r="H2517" s="1" t="s">
        <v>257</v>
      </c>
      <c r="J2517" s="1" t="s">
        <v>371</v>
      </c>
      <c r="K2517" s="1" t="s">
        <v>653</v>
      </c>
      <c r="L2517" s="1" t="s">
        <v>1177</v>
      </c>
    </row>
    <row r="2518" spans="2:12">
      <c r="B2518" s="1" t="s">
        <v>667</v>
      </c>
      <c r="C2518" s="1" t="s">
        <v>336</v>
      </c>
      <c r="D2518" s="52">
        <v>46073.754166666666</v>
      </c>
      <c r="E2518" s="52">
        <v>46073.754166666666</v>
      </c>
      <c r="F2518" s="52">
        <v>46073.756944444445</v>
      </c>
      <c r="G2518" s="53">
        <v>2.2800925925925927E-3</v>
      </c>
      <c r="H2518" s="1" t="s">
        <v>257</v>
      </c>
      <c r="J2518" s="1" t="s">
        <v>371</v>
      </c>
      <c r="K2518" s="1" t="s">
        <v>653</v>
      </c>
      <c r="L2518" s="1" t="s">
        <v>1178</v>
      </c>
    </row>
    <row r="2519" spans="2:12">
      <c r="B2519" s="1" t="s">
        <v>667</v>
      </c>
      <c r="C2519" s="1" t="s">
        <v>336</v>
      </c>
      <c r="D2519" s="52">
        <v>46073.749305555553</v>
      </c>
      <c r="E2519" s="52">
        <v>46073.749305555553</v>
      </c>
      <c r="F2519" s="52">
        <v>46073.751388888886</v>
      </c>
      <c r="G2519" s="53">
        <v>2.0486111111111113E-3</v>
      </c>
      <c r="H2519" s="1" t="s">
        <v>257</v>
      </c>
      <c r="J2519" s="1" t="s">
        <v>371</v>
      </c>
      <c r="K2519" s="1" t="s">
        <v>653</v>
      </c>
      <c r="L2519" s="1" t="s">
        <v>1179</v>
      </c>
    </row>
    <row r="2520" spans="2:12">
      <c r="B2520" s="1" t="s">
        <v>667</v>
      </c>
      <c r="C2520" s="1" t="s">
        <v>336</v>
      </c>
      <c r="D2520" s="52">
        <v>46073.738194444442</v>
      </c>
      <c r="E2520" s="52">
        <v>46073.738194444442</v>
      </c>
      <c r="F2520" s="52">
        <v>46073.738888888889</v>
      </c>
      <c r="G2520" s="53">
        <v>5.5555555555555556E-4</v>
      </c>
      <c r="H2520" s="1" t="s">
        <v>257</v>
      </c>
      <c r="J2520" s="1" t="s">
        <v>371</v>
      </c>
      <c r="K2520" s="1" t="s">
        <v>653</v>
      </c>
      <c r="L2520" s="1" t="s">
        <v>1180</v>
      </c>
    </row>
    <row r="2521" spans="2:12">
      <c r="B2521" s="1" t="s">
        <v>667</v>
      </c>
      <c r="C2521" s="1" t="s">
        <v>336</v>
      </c>
      <c r="D2521" s="52">
        <v>46073.604166666664</v>
      </c>
      <c r="E2521" s="52">
        <v>46073.604166666664</v>
      </c>
      <c r="F2521" s="52">
        <v>46073.605555555558</v>
      </c>
      <c r="G2521" s="53">
        <v>1.1226851851851851E-3</v>
      </c>
      <c r="H2521" s="1" t="s">
        <v>257</v>
      </c>
      <c r="J2521" s="1" t="s">
        <v>371</v>
      </c>
      <c r="K2521" s="1" t="s">
        <v>653</v>
      </c>
      <c r="L2521" s="1" t="s">
        <v>1181</v>
      </c>
    </row>
    <row r="2522" spans="2:12">
      <c r="B2522" s="1" t="s">
        <v>667</v>
      </c>
      <c r="C2522" s="1" t="s">
        <v>336</v>
      </c>
      <c r="D2522" s="52">
        <v>46073.585416666669</v>
      </c>
      <c r="E2522" s="52">
        <v>46073.585416666669</v>
      </c>
      <c r="F2522" s="52">
        <v>46073.588194444441</v>
      </c>
      <c r="G2522" s="53">
        <v>2.9629629629629628E-3</v>
      </c>
      <c r="H2522" s="1" t="s">
        <v>257</v>
      </c>
      <c r="J2522" s="1" t="s">
        <v>371</v>
      </c>
      <c r="K2522" s="1" t="s">
        <v>653</v>
      </c>
      <c r="L2522" s="1" t="s">
        <v>1182</v>
      </c>
    </row>
    <row r="2523" spans="2:12">
      <c r="B2523" s="1" t="s">
        <v>667</v>
      </c>
      <c r="C2523" s="1" t="s">
        <v>336</v>
      </c>
      <c r="D2523" s="52">
        <v>46073.574999999997</v>
      </c>
      <c r="E2523" s="52">
        <v>46073.574999999997</v>
      </c>
      <c r="F2523" s="52">
        <v>46073.575694444444</v>
      </c>
      <c r="G2523" s="53">
        <v>5.3240740740740744E-4</v>
      </c>
      <c r="H2523" s="1" t="s">
        <v>257</v>
      </c>
      <c r="J2523" s="1" t="s">
        <v>371</v>
      </c>
      <c r="K2523" s="1" t="s">
        <v>653</v>
      </c>
      <c r="L2523" s="1" t="s">
        <v>1183</v>
      </c>
    </row>
    <row r="2524" spans="2:12">
      <c r="B2524" s="1" t="s">
        <v>667</v>
      </c>
      <c r="C2524" s="1" t="s">
        <v>336</v>
      </c>
      <c r="D2524" s="52">
        <v>46073.55972222222</v>
      </c>
      <c r="E2524" s="52">
        <v>46073.55972222222</v>
      </c>
      <c r="F2524" s="52">
        <v>46073.5625</v>
      </c>
      <c r="G2524" s="53">
        <v>2.9861111111111113E-3</v>
      </c>
      <c r="H2524" s="1" t="s">
        <v>257</v>
      </c>
      <c r="J2524" s="1" t="s">
        <v>371</v>
      </c>
      <c r="K2524" s="1" t="s">
        <v>653</v>
      </c>
      <c r="L2524" s="1" t="s">
        <v>1184</v>
      </c>
    </row>
    <row r="2525" spans="2:12">
      <c r="B2525" s="1" t="s">
        <v>667</v>
      </c>
      <c r="C2525" s="1" t="s">
        <v>336</v>
      </c>
      <c r="D2525" s="52">
        <v>46073.554166666669</v>
      </c>
      <c r="E2525" s="52">
        <v>46073.554166666669</v>
      </c>
      <c r="F2525" s="52">
        <v>46073.554861111108</v>
      </c>
      <c r="G2525" s="53">
        <v>5.4398148148148144E-4</v>
      </c>
      <c r="H2525" s="1" t="s">
        <v>257</v>
      </c>
      <c r="J2525" s="1" t="s">
        <v>371</v>
      </c>
      <c r="K2525" s="1" t="s">
        <v>653</v>
      </c>
      <c r="L2525" s="1" t="s">
        <v>1185</v>
      </c>
    </row>
    <row r="2526" spans="2:12">
      <c r="B2526" s="1" t="s">
        <v>667</v>
      </c>
      <c r="C2526" s="1" t="s">
        <v>336</v>
      </c>
      <c r="D2526" s="52">
        <v>46073.542361111111</v>
      </c>
      <c r="E2526" s="52">
        <v>46073.542361111111</v>
      </c>
      <c r="F2526" s="52">
        <v>46073.543055555558</v>
      </c>
      <c r="G2526" s="53">
        <v>5.4398148148148144E-4</v>
      </c>
      <c r="H2526" s="1" t="s">
        <v>257</v>
      </c>
      <c r="J2526" s="1" t="s">
        <v>371</v>
      </c>
      <c r="K2526" s="1" t="s">
        <v>653</v>
      </c>
      <c r="L2526" s="1" t="s">
        <v>1186</v>
      </c>
    </row>
    <row r="2527" spans="2:12">
      <c r="B2527" s="1" t="s">
        <v>667</v>
      </c>
      <c r="C2527" s="1" t="s">
        <v>336</v>
      </c>
      <c r="D2527" s="52">
        <v>46073.532638888886</v>
      </c>
      <c r="E2527" s="52">
        <v>46073.532638888886</v>
      </c>
      <c r="F2527" s="52">
        <v>46073.533333333333</v>
      </c>
      <c r="G2527" s="53">
        <v>5.4398148148148144E-4</v>
      </c>
      <c r="H2527" s="1" t="s">
        <v>257</v>
      </c>
      <c r="J2527" s="1" t="s">
        <v>371</v>
      </c>
      <c r="K2527" s="1" t="s">
        <v>653</v>
      </c>
      <c r="L2527" s="1" t="s">
        <v>1187</v>
      </c>
    </row>
    <row r="2528" spans="2:12">
      <c r="B2528" s="1" t="s">
        <v>667</v>
      </c>
      <c r="C2528" s="1" t="s">
        <v>336</v>
      </c>
      <c r="D2528" s="52">
        <v>46073.508333333331</v>
      </c>
      <c r="E2528" s="52">
        <v>46073.508333333331</v>
      </c>
      <c r="F2528" s="52">
        <v>46073.509027777778</v>
      </c>
      <c r="G2528" s="53">
        <v>5.4398148148148144E-4</v>
      </c>
      <c r="H2528" s="1" t="s">
        <v>257</v>
      </c>
      <c r="J2528" s="1" t="s">
        <v>371</v>
      </c>
      <c r="K2528" s="1" t="s">
        <v>653</v>
      </c>
      <c r="L2528" s="1" t="s">
        <v>1188</v>
      </c>
    </row>
    <row r="2529" spans="2:12">
      <c r="B2529" s="1" t="s">
        <v>667</v>
      </c>
      <c r="C2529" s="1" t="s">
        <v>336</v>
      </c>
      <c r="D2529" s="52">
        <v>46073.494444444441</v>
      </c>
      <c r="E2529" s="52">
        <v>46073.494444444441</v>
      </c>
      <c r="F2529" s="52">
        <v>46073.494444444441</v>
      </c>
      <c r="G2529" s="53">
        <v>5.0925925925925921E-4</v>
      </c>
      <c r="H2529" s="1" t="s">
        <v>257</v>
      </c>
      <c r="J2529" s="1" t="s">
        <v>371</v>
      </c>
      <c r="K2529" s="1" t="s">
        <v>653</v>
      </c>
      <c r="L2529" s="1" t="s">
        <v>1189</v>
      </c>
    </row>
    <row r="2530" spans="2:12">
      <c r="B2530" s="1" t="s">
        <v>667</v>
      </c>
      <c r="C2530" s="1" t="s">
        <v>336</v>
      </c>
      <c r="D2530" s="52">
        <v>46073.476388888892</v>
      </c>
      <c r="E2530" s="52">
        <v>46073.476388888892</v>
      </c>
      <c r="F2530" s="52">
        <v>46073.476388888892</v>
      </c>
      <c r="G2530" s="53">
        <v>5.0925925925925921E-4</v>
      </c>
      <c r="H2530" s="1" t="s">
        <v>257</v>
      </c>
      <c r="J2530" s="1" t="s">
        <v>371</v>
      </c>
      <c r="K2530" s="1" t="s">
        <v>653</v>
      </c>
      <c r="L2530" s="1" t="s">
        <v>1190</v>
      </c>
    </row>
    <row r="2531" spans="2:12">
      <c r="B2531" s="1" t="s">
        <v>667</v>
      </c>
      <c r="C2531" s="1" t="s">
        <v>336</v>
      </c>
      <c r="D2531" s="52">
        <v>46073.46597222222</v>
      </c>
      <c r="E2531" s="52">
        <v>46073.46597222222</v>
      </c>
      <c r="F2531" s="52">
        <v>46073.466666666667</v>
      </c>
      <c r="G2531" s="53">
        <v>5.2083333333333333E-4</v>
      </c>
      <c r="H2531" s="1" t="s">
        <v>257</v>
      </c>
      <c r="J2531" s="1" t="s">
        <v>371</v>
      </c>
      <c r="K2531" s="1" t="s">
        <v>653</v>
      </c>
      <c r="L2531" s="1" t="s">
        <v>1191</v>
      </c>
    </row>
    <row r="2532" spans="2:12">
      <c r="B2532" s="1" t="s">
        <v>667</v>
      </c>
      <c r="C2532" s="1" t="s">
        <v>336</v>
      </c>
      <c r="D2532" s="52">
        <v>46073.457638888889</v>
      </c>
      <c r="E2532" s="52">
        <v>46073.457638888889</v>
      </c>
      <c r="F2532" s="52">
        <v>46073.458333333336</v>
      </c>
      <c r="G2532" s="53">
        <v>5.2083333333333333E-4</v>
      </c>
      <c r="H2532" s="1" t="s">
        <v>257</v>
      </c>
      <c r="J2532" s="1" t="s">
        <v>371</v>
      </c>
      <c r="K2532" s="1" t="s">
        <v>653</v>
      </c>
      <c r="L2532" s="1" t="s">
        <v>1192</v>
      </c>
    </row>
    <row r="2533" spans="2:12">
      <c r="B2533" s="1" t="s">
        <v>667</v>
      </c>
      <c r="C2533" s="1" t="s">
        <v>336</v>
      </c>
      <c r="D2533" s="52">
        <v>46073.447222222225</v>
      </c>
      <c r="E2533" s="52">
        <v>46073.447222222225</v>
      </c>
      <c r="F2533" s="52">
        <v>46073.447916666664</v>
      </c>
      <c r="G2533" s="53">
        <v>5.0925925925925921E-4</v>
      </c>
      <c r="H2533" s="1" t="s">
        <v>257</v>
      </c>
      <c r="J2533" s="1" t="s">
        <v>371</v>
      </c>
      <c r="K2533" s="1" t="s">
        <v>653</v>
      </c>
      <c r="L2533" s="1" t="s">
        <v>1193</v>
      </c>
    </row>
    <row r="2534" spans="2:12">
      <c r="B2534" s="1" t="s">
        <v>667</v>
      </c>
      <c r="C2534" s="1" t="s">
        <v>336</v>
      </c>
      <c r="D2534" s="52">
        <v>46073.439583333333</v>
      </c>
      <c r="E2534" s="52">
        <v>46073.439583333333</v>
      </c>
      <c r="F2534" s="52">
        <v>46073.44027777778</v>
      </c>
      <c r="G2534" s="53">
        <v>5.2083333333333333E-4</v>
      </c>
      <c r="H2534" s="1" t="s">
        <v>257</v>
      </c>
      <c r="J2534" s="1" t="s">
        <v>371</v>
      </c>
      <c r="K2534" s="1" t="s">
        <v>653</v>
      </c>
      <c r="L2534" s="1" t="s">
        <v>1194</v>
      </c>
    </row>
    <row r="2535" spans="2:12">
      <c r="B2535" s="1" t="s">
        <v>667</v>
      </c>
      <c r="C2535" s="1" t="s">
        <v>336</v>
      </c>
      <c r="D2535" s="52">
        <v>46073.428472222222</v>
      </c>
      <c r="E2535" s="52">
        <v>46073.428472222222</v>
      </c>
      <c r="F2535" s="52">
        <v>46073.428472222222</v>
      </c>
      <c r="G2535" s="53">
        <v>5.2083333333333333E-4</v>
      </c>
      <c r="H2535" s="1" t="s">
        <v>257</v>
      </c>
      <c r="J2535" s="1" t="s">
        <v>371</v>
      </c>
      <c r="K2535" s="1" t="s">
        <v>653</v>
      </c>
      <c r="L2535" s="1" t="s">
        <v>1195</v>
      </c>
    </row>
    <row r="2536" spans="2:12">
      <c r="B2536" s="1" t="s">
        <v>667</v>
      </c>
      <c r="C2536" s="1" t="s">
        <v>336</v>
      </c>
      <c r="D2536" s="52">
        <v>46073.421527777777</v>
      </c>
      <c r="E2536" s="52">
        <v>46073.421527777777</v>
      </c>
      <c r="F2536" s="52">
        <v>46073.422222222223</v>
      </c>
      <c r="G2536" s="53">
        <v>4.9768518518518521E-4</v>
      </c>
      <c r="H2536" s="1" t="s">
        <v>257</v>
      </c>
      <c r="J2536" s="1" t="s">
        <v>371</v>
      </c>
      <c r="K2536" s="1" t="s">
        <v>653</v>
      </c>
      <c r="L2536" s="1" t="s">
        <v>1196</v>
      </c>
    </row>
    <row r="2537" spans="2:12">
      <c r="B2537" s="1" t="s">
        <v>667</v>
      </c>
      <c r="C2537" s="1" t="s">
        <v>336</v>
      </c>
      <c r="D2537" s="52">
        <v>46073.411111111112</v>
      </c>
      <c r="E2537" s="52">
        <v>46073.411111111112</v>
      </c>
      <c r="F2537" s="52">
        <v>46073.411805555559</v>
      </c>
      <c r="G2537" s="53">
        <v>4.9768518518518521E-4</v>
      </c>
      <c r="H2537" s="1" t="s">
        <v>257</v>
      </c>
      <c r="J2537" s="1" t="s">
        <v>371</v>
      </c>
      <c r="K2537" s="1" t="s">
        <v>653</v>
      </c>
      <c r="L2537" s="1" t="s">
        <v>1197</v>
      </c>
    </row>
    <row r="2538" spans="2:12">
      <c r="B2538" s="1" t="s">
        <v>667</v>
      </c>
      <c r="C2538" s="1" t="s">
        <v>336</v>
      </c>
      <c r="D2538" s="52">
        <v>46073.397222222222</v>
      </c>
      <c r="E2538" s="52">
        <v>46073.397222222222</v>
      </c>
      <c r="F2538" s="52">
        <v>46073.397222222222</v>
      </c>
      <c r="G2538" s="53">
        <v>5.2083333333333333E-4</v>
      </c>
      <c r="H2538" s="1" t="s">
        <v>257</v>
      </c>
      <c r="J2538" s="1" t="s">
        <v>371</v>
      </c>
      <c r="K2538" s="1" t="s">
        <v>653</v>
      </c>
      <c r="L2538" s="1" t="s">
        <v>1198</v>
      </c>
    </row>
    <row r="2539" spans="2:12">
      <c r="B2539" s="1" t="s">
        <v>667</v>
      </c>
      <c r="C2539" s="1" t="s">
        <v>336</v>
      </c>
      <c r="D2539" s="52">
        <v>46073.385416666664</v>
      </c>
      <c r="E2539" s="52">
        <v>46073.385416666664</v>
      </c>
      <c r="F2539" s="52">
        <v>46073.386111111111</v>
      </c>
      <c r="G2539" s="53">
        <v>5.0925925925925921E-4</v>
      </c>
      <c r="H2539" s="1" t="s">
        <v>257</v>
      </c>
      <c r="J2539" s="1" t="s">
        <v>371</v>
      </c>
      <c r="K2539" s="1" t="s">
        <v>653</v>
      </c>
      <c r="L2539" s="1" t="s">
        <v>1199</v>
      </c>
    </row>
    <row r="2540" spans="2:12">
      <c r="B2540" s="1" t="s">
        <v>667</v>
      </c>
      <c r="C2540" s="1" t="s">
        <v>336</v>
      </c>
      <c r="D2540" s="52">
        <v>46073.297222222223</v>
      </c>
      <c r="E2540" s="52">
        <v>46073.297222222223</v>
      </c>
      <c r="F2540" s="52">
        <v>46073.29791666667</v>
      </c>
      <c r="G2540" s="53">
        <v>5.2083333333333333E-4</v>
      </c>
      <c r="H2540" s="1" t="s">
        <v>257</v>
      </c>
      <c r="J2540" s="1" t="s">
        <v>371</v>
      </c>
      <c r="K2540" s="1" t="s">
        <v>653</v>
      </c>
      <c r="L2540" s="1" t="s">
        <v>1200</v>
      </c>
    </row>
    <row r="2541" spans="2:12">
      <c r="B2541" s="1" t="s">
        <v>667</v>
      </c>
      <c r="C2541" s="1" t="s">
        <v>336</v>
      </c>
      <c r="D2541" s="52">
        <v>46073.29583333333</v>
      </c>
      <c r="E2541" s="52">
        <v>46073.29583333333</v>
      </c>
      <c r="F2541" s="52">
        <v>46073.29583333333</v>
      </c>
      <c r="G2541" s="53">
        <v>5.2083333333333333E-4</v>
      </c>
      <c r="H2541" s="1" t="s">
        <v>257</v>
      </c>
      <c r="J2541" s="1" t="s">
        <v>371</v>
      </c>
      <c r="K2541" s="1" t="s">
        <v>653</v>
      </c>
      <c r="L2541" s="1" t="s">
        <v>1201</v>
      </c>
    </row>
    <row r="2542" spans="2:12">
      <c r="B2542" s="1" t="s">
        <v>667</v>
      </c>
      <c r="C2542" s="1" t="s">
        <v>336</v>
      </c>
      <c r="D2542" s="52">
        <v>46073.287499999999</v>
      </c>
      <c r="E2542" s="52">
        <v>46073.287499999999</v>
      </c>
      <c r="F2542" s="52">
        <v>46073.288194444445</v>
      </c>
      <c r="G2542" s="53">
        <v>4.7453703703703704E-4</v>
      </c>
      <c r="H2542" s="1" t="s">
        <v>257</v>
      </c>
      <c r="J2542" s="1" t="s">
        <v>371</v>
      </c>
      <c r="K2542" s="1" t="s">
        <v>653</v>
      </c>
      <c r="L2542" s="1" t="s">
        <v>1202</v>
      </c>
    </row>
    <row r="2543" spans="2:12">
      <c r="B2543" s="1" t="s">
        <v>667</v>
      </c>
      <c r="C2543" s="1" t="s">
        <v>336</v>
      </c>
      <c r="D2543" s="52">
        <v>46073.281944444447</v>
      </c>
      <c r="E2543" s="52">
        <v>46073.281944444447</v>
      </c>
      <c r="F2543" s="52">
        <v>46073.286805555559</v>
      </c>
      <c r="G2543" s="53">
        <v>4.5370370370370373E-3</v>
      </c>
      <c r="H2543" s="1" t="s">
        <v>257</v>
      </c>
      <c r="J2543" s="1" t="s">
        <v>371</v>
      </c>
      <c r="K2543" s="1" t="s">
        <v>653</v>
      </c>
      <c r="L2543" s="1" t="s">
        <v>1203</v>
      </c>
    </row>
    <row r="2544" spans="2:12">
      <c r="B2544" s="1" t="s">
        <v>667</v>
      </c>
      <c r="C2544" s="1" t="s">
        <v>336</v>
      </c>
      <c r="D2544" s="52">
        <v>46073.279861111114</v>
      </c>
      <c r="E2544" s="52">
        <v>46073.279861111114</v>
      </c>
      <c r="F2544" s="52">
        <v>46073.280555555553</v>
      </c>
      <c r="G2544" s="53">
        <v>1.0069444444444444E-3</v>
      </c>
      <c r="H2544" s="1" t="s">
        <v>257</v>
      </c>
      <c r="J2544" s="1" t="s">
        <v>371</v>
      </c>
      <c r="K2544" s="1" t="s">
        <v>653</v>
      </c>
      <c r="L2544" s="1" t="s">
        <v>1204</v>
      </c>
    </row>
    <row r="2545" spans="2:12">
      <c r="B2545" s="1" t="s">
        <v>667</v>
      </c>
      <c r="C2545" s="1" t="s">
        <v>336</v>
      </c>
      <c r="D2545" s="52">
        <v>46073.248611111114</v>
      </c>
      <c r="E2545" s="52">
        <v>46073.248611111114</v>
      </c>
      <c r="F2545" s="52">
        <v>46073.279861111114</v>
      </c>
      <c r="G2545" s="53">
        <v>3.0787037037037036E-2</v>
      </c>
      <c r="H2545" s="1" t="s">
        <v>257</v>
      </c>
      <c r="J2545" s="1" t="s">
        <v>371</v>
      </c>
      <c r="K2545" s="1" t="s">
        <v>653</v>
      </c>
      <c r="L2545" s="1" t="s">
        <v>1205</v>
      </c>
    </row>
    <row r="2546" spans="2:12">
      <c r="B2546" s="1" t="s">
        <v>667</v>
      </c>
      <c r="C2546" s="1" t="s">
        <v>336</v>
      </c>
      <c r="D2546" s="52">
        <v>46073.248611111114</v>
      </c>
      <c r="E2546" s="52">
        <v>46073.248611111114</v>
      </c>
      <c r="F2546" s="52">
        <v>46073.279861111114</v>
      </c>
      <c r="G2546" s="53">
        <v>3.1215277777777779E-2</v>
      </c>
      <c r="H2546" s="1" t="s">
        <v>257</v>
      </c>
      <c r="J2546" s="1" t="s">
        <v>371</v>
      </c>
      <c r="K2546" s="1" t="s">
        <v>653</v>
      </c>
      <c r="L2546" s="1" t="s">
        <v>1206</v>
      </c>
    </row>
    <row r="2547" spans="2:12">
      <c r="B2547" s="1" t="s">
        <v>667</v>
      </c>
      <c r="C2547" s="1" t="s">
        <v>336</v>
      </c>
      <c r="D2547" s="52">
        <v>46072.774305555555</v>
      </c>
      <c r="E2547" s="52">
        <v>46072.774305555555</v>
      </c>
      <c r="F2547" s="52">
        <v>46072.774305555555</v>
      </c>
      <c r="G2547" s="53">
        <v>6.9444444444444444E-5</v>
      </c>
      <c r="H2547" s="1" t="s">
        <v>257</v>
      </c>
      <c r="J2547" s="1" t="s">
        <v>371</v>
      </c>
      <c r="K2547" s="1" t="s">
        <v>653</v>
      </c>
      <c r="L2547" s="1" t="s">
        <v>1207</v>
      </c>
    </row>
    <row r="2548" spans="2:12">
      <c r="B2548" s="1" t="s">
        <v>667</v>
      </c>
      <c r="C2548" s="1" t="s">
        <v>336</v>
      </c>
      <c r="D2548" s="52">
        <v>46072.753472222219</v>
      </c>
      <c r="E2548" s="52">
        <v>46072.753472222219</v>
      </c>
      <c r="F2548" s="52">
        <v>46072.777083333334</v>
      </c>
      <c r="G2548" s="53">
        <v>2.3726851851851853E-2</v>
      </c>
      <c r="H2548" s="1" t="s">
        <v>257</v>
      </c>
      <c r="J2548" s="1" t="s">
        <v>371</v>
      </c>
      <c r="K2548" s="1" t="s">
        <v>653</v>
      </c>
      <c r="L2548" s="1" t="s">
        <v>1208</v>
      </c>
    </row>
    <row r="2549" spans="2:12">
      <c r="B2549" s="1" t="s">
        <v>667</v>
      </c>
      <c r="C2549" s="1" t="s">
        <v>336</v>
      </c>
      <c r="D2549" s="52">
        <v>46072.75277777778</v>
      </c>
      <c r="E2549" s="52">
        <v>46072.75277777778</v>
      </c>
      <c r="F2549" s="52">
        <v>46072.75277777778</v>
      </c>
      <c r="G2549" s="53">
        <v>5.4398148148148144E-4</v>
      </c>
      <c r="H2549" s="1" t="s">
        <v>257</v>
      </c>
      <c r="J2549" s="1" t="s">
        <v>371</v>
      </c>
      <c r="K2549" s="1" t="s">
        <v>653</v>
      </c>
      <c r="L2549" s="1" t="s">
        <v>1209</v>
      </c>
    </row>
    <row r="2550" spans="2:12">
      <c r="B2550" s="1" t="s">
        <v>667</v>
      </c>
      <c r="C2550" s="1" t="s">
        <v>336</v>
      </c>
      <c r="D2550" s="52">
        <v>46072.752083333333</v>
      </c>
      <c r="E2550" s="52">
        <v>46072.752083333333</v>
      </c>
      <c r="F2550" s="52">
        <v>46072.752083333333</v>
      </c>
      <c r="G2550" s="53">
        <v>5.4398148148148144E-4</v>
      </c>
      <c r="H2550" s="1" t="s">
        <v>257</v>
      </c>
      <c r="J2550" s="1" t="s">
        <v>371</v>
      </c>
      <c r="K2550" s="1" t="s">
        <v>653</v>
      </c>
      <c r="L2550" s="1" t="s">
        <v>1210</v>
      </c>
    </row>
    <row r="2551" spans="2:12">
      <c r="B2551" s="1" t="s">
        <v>667</v>
      </c>
      <c r="C2551" s="1" t="s">
        <v>336</v>
      </c>
      <c r="D2551" s="52">
        <v>46072.751388888886</v>
      </c>
      <c r="E2551" s="52">
        <v>46072.751388888886</v>
      </c>
      <c r="F2551" s="52">
        <v>46072.751388888886</v>
      </c>
      <c r="G2551" s="53">
        <v>5.3240740740740744E-4</v>
      </c>
      <c r="H2551" s="1" t="s">
        <v>257</v>
      </c>
      <c r="J2551" s="1" t="s">
        <v>371</v>
      </c>
      <c r="K2551" s="1" t="s">
        <v>653</v>
      </c>
      <c r="L2551" s="1" t="s">
        <v>1211</v>
      </c>
    </row>
    <row r="2552" spans="2:12">
      <c r="B2552" s="1" t="s">
        <v>667</v>
      </c>
      <c r="C2552" s="1" t="s">
        <v>336</v>
      </c>
      <c r="D2552" s="52">
        <v>46072.75</v>
      </c>
      <c r="E2552" s="52">
        <v>46072.75</v>
      </c>
      <c r="F2552" s="52">
        <v>46072.750694444447</v>
      </c>
      <c r="G2552" s="53">
        <v>5.5555555555555556E-4</v>
      </c>
      <c r="H2552" s="1" t="s">
        <v>257</v>
      </c>
      <c r="J2552" s="1" t="s">
        <v>371</v>
      </c>
      <c r="K2552" s="1" t="s">
        <v>653</v>
      </c>
      <c r="L2552" s="1" t="s">
        <v>1212</v>
      </c>
    </row>
    <row r="2553" spans="2:12">
      <c r="B2553" s="1" t="s">
        <v>667</v>
      </c>
      <c r="C2553" s="1" t="s">
        <v>336</v>
      </c>
      <c r="D2553" s="52">
        <v>46072.749305555553</v>
      </c>
      <c r="E2553" s="52">
        <v>46072.749305555553</v>
      </c>
      <c r="F2553" s="52">
        <v>46072.75</v>
      </c>
      <c r="G2553" s="53">
        <v>5.5555555555555556E-4</v>
      </c>
      <c r="H2553" s="1" t="s">
        <v>257</v>
      </c>
      <c r="J2553" s="1" t="s">
        <v>371</v>
      </c>
      <c r="K2553" s="1" t="s">
        <v>653</v>
      </c>
      <c r="L2553" s="1" t="s">
        <v>1213</v>
      </c>
    </row>
    <row r="2554" spans="2:12">
      <c r="B2554" s="1" t="s">
        <v>667</v>
      </c>
      <c r="C2554" s="1" t="s">
        <v>336</v>
      </c>
      <c r="D2554" s="52">
        <v>46072.664583333331</v>
      </c>
      <c r="E2554" s="52">
        <v>46072.664583333331</v>
      </c>
      <c r="F2554" s="52">
        <v>46072.665277777778</v>
      </c>
      <c r="G2554" s="53">
        <v>5.2083333333333333E-4</v>
      </c>
      <c r="H2554" s="1" t="s">
        <v>257</v>
      </c>
      <c r="J2554" s="1" t="s">
        <v>371</v>
      </c>
      <c r="K2554" s="1" t="s">
        <v>653</v>
      </c>
      <c r="L2554" s="1" t="s">
        <v>1214</v>
      </c>
    </row>
    <row r="2555" spans="2:12">
      <c r="B2555" s="1" t="s">
        <v>667</v>
      </c>
      <c r="C2555" s="1" t="s">
        <v>336</v>
      </c>
      <c r="D2555" s="52">
        <v>46072.640277777777</v>
      </c>
      <c r="E2555" s="52">
        <v>46072.640277777777</v>
      </c>
      <c r="F2555" s="52">
        <v>46072.640972222223</v>
      </c>
      <c r="G2555" s="53">
        <v>5.0925925925925921E-4</v>
      </c>
      <c r="H2555" s="1" t="s">
        <v>257</v>
      </c>
      <c r="J2555" s="1" t="s">
        <v>371</v>
      </c>
      <c r="K2555" s="1" t="s">
        <v>653</v>
      </c>
      <c r="L2555" s="1" t="s">
        <v>1215</v>
      </c>
    </row>
    <row r="2556" spans="2:12">
      <c r="B2556" s="1" t="s">
        <v>667</v>
      </c>
      <c r="C2556" s="1" t="s">
        <v>336</v>
      </c>
      <c r="D2556" s="52">
        <v>46072.617361111108</v>
      </c>
      <c r="E2556" s="52">
        <v>46072.617361111108</v>
      </c>
      <c r="F2556" s="52">
        <v>46072.618055555555</v>
      </c>
      <c r="G2556" s="53">
        <v>5.2083333333333333E-4</v>
      </c>
      <c r="H2556" s="1" t="s">
        <v>257</v>
      </c>
      <c r="J2556" s="1" t="s">
        <v>371</v>
      </c>
      <c r="K2556" s="1" t="s">
        <v>653</v>
      </c>
      <c r="L2556" s="1" t="s">
        <v>1216</v>
      </c>
    </row>
    <row r="2557" spans="2:12">
      <c r="B2557" s="1" t="s">
        <v>667</v>
      </c>
      <c r="C2557" s="1" t="s">
        <v>336</v>
      </c>
      <c r="D2557" s="52">
        <v>46072.59375</v>
      </c>
      <c r="E2557" s="52">
        <v>46072.59375</v>
      </c>
      <c r="F2557" s="52">
        <v>46072.6</v>
      </c>
      <c r="G2557" s="53">
        <v>5.7523148148148151E-3</v>
      </c>
      <c r="H2557" s="1" t="s">
        <v>257</v>
      </c>
      <c r="J2557" s="1" t="s">
        <v>371</v>
      </c>
      <c r="K2557" s="1" t="s">
        <v>653</v>
      </c>
      <c r="L2557" s="1" t="s">
        <v>1217</v>
      </c>
    </row>
    <row r="2558" spans="2:12">
      <c r="B2558" s="1" t="s">
        <v>667</v>
      </c>
      <c r="C2558" s="1" t="s">
        <v>336</v>
      </c>
      <c r="D2558" s="52">
        <v>46072.592361111114</v>
      </c>
      <c r="E2558" s="52">
        <v>46072.592361111114</v>
      </c>
      <c r="F2558" s="52">
        <v>46072.593055555553</v>
      </c>
      <c r="G2558" s="53">
        <v>5.4398148148148144E-4</v>
      </c>
      <c r="H2558" s="1" t="s">
        <v>257</v>
      </c>
      <c r="J2558" s="1" t="s">
        <v>371</v>
      </c>
      <c r="K2558" s="1" t="s">
        <v>653</v>
      </c>
      <c r="L2558" s="1" t="s">
        <v>1218</v>
      </c>
    </row>
    <row r="2559" spans="2:12">
      <c r="B2559" s="1" t="s">
        <v>667</v>
      </c>
      <c r="C2559" s="1" t="s">
        <v>336</v>
      </c>
      <c r="D2559" s="52">
        <v>46072.580555555556</v>
      </c>
      <c r="E2559" s="52">
        <v>46072.580555555556</v>
      </c>
      <c r="F2559" s="52">
        <v>46072.581250000003</v>
      </c>
      <c r="G2559" s="53">
        <v>5.3240740740740744E-4</v>
      </c>
      <c r="H2559" s="1" t="s">
        <v>257</v>
      </c>
      <c r="J2559" s="1" t="s">
        <v>371</v>
      </c>
      <c r="K2559" s="1" t="s">
        <v>653</v>
      </c>
      <c r="L2559" s="1" t="s">
        <v>1219</v>
      </c>
    </row>
    <row r="2560" spans="2:12">
      <c r="B2560" s="1" t="s">
        <v>667</v>
      </c>
      <c r="C2560" s="1" t="s">
        <v>336</v>
      </c>
      <c r="D2560" s="52">
        <v>46072.57708333333</v>
      </c>
      <c r="E2560" s="52">
        <v>46072.57708333333</v>
      </c>
      <c r="F2560" s="52">
        <v>46072.577777777777</v>
      </c>
      <c r="G2560" s="53">
        <v>1.0069444444444444E-3</v>
      </c>
      <c r="H2560" s="1" t="s">
        <v>257</v>
      </c>
      <c r="J2560" s="1" t="s">
        <v>371</v>
      </c>
      <c r="K2560" s="1" t="s">
        <v>653</v>
      </c>
      <c r="L2560" s="1" t="s">
        <v>1220</v>
      </c>
    </row>
    <row r="2561" spans="2:12">
      <c r="B2561" s="1" t="s">
        <v>667</v>
      </c>
      <c r="C2561" s="1" t="s">
        <v>336</v>
      </c>
      <c r="D2561" s="52">
        <v>46072.573611111111</v>
      </c>
      <c r="E2561" s="52">
        <v>46072.573611111111</v>
      </c>
      <c r="F2561" s="52">
        <v>46072.574305555558</v>
      </c>
      <c r="G2561" s="53">
        <v>1.2037037037037038E-3</v>
      </c>
      <c r="H2561" s="1" t="s">
        <v>257</v>
      </c>
      <c r="J2561" s="1" t="s">
        <v>371</v>
      </c>
      <c r="K2561" s="1" t="s">
        <v>653</v>
      </c>
      <c r="L2561" s="1" t="s">
        <v>1221</v>
      </c>
    </row>
    <row r="2562" spans="2:12">
      <c r="B2562" s="1" t="s">
        <v>667</v>
      </c>
      <c r="C2562" s="1" t="s">
        <v>336</v>
      </c>
      <c r="D2562" s="52">
        <v>46072.561805555553</v>
      </c>
      <c r="E2562" s="52">
        <v>46072.561805555553</v>
      </c>
      <c r="F2562" s="52">
        <v>46072.5625</v>
      </c>
      <c r="G2562" s="53">
        <v>1.1921296296296296E-3</v>
      </c>
      <c r="H2562" s="1" t="s">
        <v>257</v>
      </c>
      <c r="J2562" s="1" t="s">
        <v>371</v>
      </c>
      <c r="K2562" s="1" t="s">
        <v>653</v>
      </c>
      <c r="L2562" s="1" t="s">
        <v>1222</v>
      </c>
    </row>
    <row r="2563" spans="2:12">
      <c r="B2563" s="1" t="s">
        <v>667</v>
      </c>
      <c r="C2563" s="1" t="s">
        <v>336</v>
      </c>
      <c r="D2563" s="52">
        <v>46072.556250000001</v>
      </c>
      <c r="E2563" s="52">
        <v>46072.556250000001</v>
      </c>
      <c r="F2563" s="52">
        <v>46072.556944444441</v>
      </c>
      <c r="G2563" s="53">
        <v>5.4398148148148144E-4</v>
      </c>
      <c r="H2563" s="1" t="s">
        <v>257</v>
      </c>
      <c r="J2563" s="1" t="s">
        <v>371</v>
      </c>
      <c r="K2563" s="1" t="s">
        <v>653</v>
      </c>
      <c r="L2563" s="1" t="s">
        <v>1223</v>
      </c>
    </row>
    <row r="2564" spans="2:12">
      <c r="B2564" s="1" t="s">
        <v>667</v>
      </c>
      <c r="C2564" s="1" t="s">
        <v>336</v>
      </c>
      <c r="D2564" s="52">
        <v>46072.540972222225</v>
      </c>
      <c r="E2564" s="52">
        <v>46072.540972222225</v>
      </c>
      <c r="F2564" s="52">
        <v>46072.542361111111</v>
      </c>
      <c r="G2564" s="53">
        <v>7.6388888888888893E-4</v>
      </c>
      <c r="H2564" s="1" t="s">
        <v>257</v>
      </c>
      <c r="J2564" s="1" t="s">
        <v>371</v>
      </c>
      <c r="K2564" s="1" t="s">
        <v>653</v>
      </c>
      <c r="L2564" s="1" t="s">
        <v>1224</v>
      </c>
    </row>
    <row r="2565" spans="2:12">
      <c r="B2565" s="1" t="s">
        <v>667</v>
      </c>
      <c r="C2565" s="1" t="s">
        <v>336</v>
      </c>
      <c r="D2565" s="52">
        <v>46072.520833333336</v>
      </c>
      <c r="E2565" s="52">
        <v>46072.520833333336</v>
      </c>
      <c r="F2565" s="52">
        <v>46072.522916666669</v>
      </c>
      <c r="G2565" s="53">
        <v>2.0717592592592593E-3</v>
      </c>
      <c r="H2565" s="1" t="s">
        <v>257</v>
      </c>
      <c r="J2565" s="1" t="s">
        <v>371</v>
      </c>
      <c r="K2565" s="1" t="s">
        <v>653</v>
      </c>
      <c r="L2565" s="1" t="s">
        <v>1225</v>
      </c>
    </row>
    <row r="2566" spans="2:12">
      <c r="B2566" s="1" t="s">
        <v>667</v>
      </c>
      <c r="C2566" s="1" t="s">
        <v>336</v>
      </c>
      <c r="D2566" s="52">
        <v>46072.513888888891</v>
      </c>
      <c r="E2566" s="52">
        <v>46072.513888888891</v>
      </c>
      <c r="F2566" s="52">
        <v>46072.51458333333</v>
      </c>
      <c r="G2566" s="53">
        <v>4.9768518518518521E-4</v>
      </c>
      <c r="H2566" s="1" t="s">
        <v>257</v>
      </c>
      <c r="J2566" s="1" t="s">
        <v>371</v>
      </c>
      <c r="K2566" s="1" t="s">
        <v>653</v>
      </c>
      <c r="L2566" s="1" t="s">
        <v>1226</v>
      </c>
    </row>
    <row r="2567" spans="2:12">
      <c r="B2567" s="1" t="s">
        <v>667</v>
      </c>
      <c r="C2567" s="1" t="s">
        <v>336</v>
      </c>
      <c r="D2567" s="52">
        <v>46072.504166666666</v>
      </c>
      <c r="E2567" s="52">
        <v>46072.504166666666</v>
      </c>
      <c r="F2567" s="52">
        <v>46072.504166666666</v>
      </c>
      <c r="G2567" s="53">
        <v>5.4398148148148144E-4</v>
      </c>
      <c r="H2567" s="1" t="s">
        <v>257</v>
      </c>
      <c r="J2567" s="1" t="s">
        <v>371</v>
      </c>
      <c r="K2567" s="1" t="s">
        <v>653</v>
      </c>
      <c r="L2567" s="1" t="s">
        <v>1227</v>
      </c>
    </row>
    <row r="2568" spans="2:12">
      <c r="B2568" s="1" t="s">
        <v>667</v>
      </c>
      <c r="C2568" s="1" t="s">
        <v>336</v>
      </c>
      <c r="D2568" s="52">
        <v>46072.492361111108</v>
      </c>
      <c r="E2568" s="52">
        <v>46072.492361111108</v>
      </c>
      <c r="F2568" s="52">
        <v>46072.493055555555</v>
      </c>
      <c r="G2568" s="53">
        <v>5.4398148148148144E-4</v>
      </c>
      <c r="H2568" s="1" t="s">
        <v>257</v>
      </c>
      <c r="J2568" s="1" t="s">
        <v>371</v>
      </c>
      <c r="K2568" s="1" t="s">
        <v>653</v>
      </c>
      <c r="L2568" s="1" t="s">
        <v>1228</v>
      </c>
    </row>
    <row r="2569" spans="2:12">
      <c r="B2569" s="1" t="s">
        <v>667</v>
      </c>
      <c r="C2569" s="1" t="s">
        <v>336</v>
      </c>
      <c r="D2569" s="52">
        <v>46072.481944444444</v>
      </c>
      <c r="E2569" s="52">
        <v>46072.481944444444</v>
      </c>
      <c r="F2569" s="52">
        <v>46072.482638888891</v>
      </c>
      <c r="G2569" s="53">
        <v>5.2083333333333333E-4</v>
      </c>
      <c r="H2569" s="1" t="s">
        <v>257</v>
      </c>
      <c r="J2569" s="1" t="s">
        <v>371</v>
      </c>
      <c r="K2569" s="1" t="s">
        <v>653</v>
      </c>
      <c r="L2569" s="1" t="s">
        <v>1229</v>
      </c>
    </row>
    <row r="2570" spans="2:12">
      <c r="B2570" s="1" t="s">
        <v>667</v>
      </c>
      <c r="C2570" s="1" t="s">
        <v>336</v>
      </c>
      <c r="D2570" s="52">
        <v>46072.470138888886</v>
      </c>
      <c r="E2570" s="52">
        <v>46072.470138888886</v>
      </c>
      <c r="F2570" s="52">
        <v>46072.470833333333</v>
      </c>
      <c r="G2570" s="53">
        <v>5.3240740740740744E-4</v>
      </c>
      <c r="H2570" s="1" t="s">
        <v>257</v>
      </c>
      <c r="J2570" s="1" t="s">
        <v>371</v>
      </c>
      <c r="K2570" s="1" t="s">
        <v>653</v>
      </c>
      <c r="L2570" s="1" t="s">
        <v>1230</v>
      </c>
    </row>
    <row r="2571" spans="2:12">
      <c r="B2571" s="1" t="s">
        <v>667</v>
      </c>
      <c r="C2571" s="1" t="s">
        <v>336</v>
      </c>
      <c r="D2571" s="52">
        <v>46072.4375</v>
      </c>
      <c r="E2571" s="52">
        <v>46072.4375</v>
      </c>
      <c r="F2571" s="52">
        <v>46072.438194444447</v>
      </c>
      <c r="G2571" s="53">
        <v>5.4398148148148144E-4</v>
      </c>
      <c r="H2571" s="1" t="s">
        <v>257</v>
      </c>
      <c r="J2571" s="1" t="s">
        <v>371</v>
      </c>
      <c r="K2571" s="1" t="s">
        <v>653</v>
      </c>
      <c r="L2571" s="1" t="s">
        <v>1231</v>
      </c>
    </row>
    <row r="2572" spans="2:12">
      <c r="B2572" s="1" t="s">
        <v>667</v>
      </c>
      <c r="C2572" s="1" t="s">
        <v>336</v>
      </c>
      <c r="D2572" s="52">
        <v>46072.428472222222</v>
      </c>
      <c r="E2572" s="52">
        <v>46072.428472222222</v>
      </c>
      <c r="F2572" s="52">
        <v>46072.429166666669</v>
      </c>
      <c r="G2572" s="53">
        <v>5.2083333333333333E-4</v>
      </c>
      <c r="H2572" s="1" t="s">
        <v>257</v>
      </c>
      <c r="J2572" s="1" t="s">
        <v>371</v>
      </c>
      <c r="K2572" s="1" t="s">
        <v>653</v>
      </c>
      <c r="L2572" s="1" t="s">
        <v>1232</v>
      </c>
    </row>
    <row r="2573" spans="2:12">
      <c r="B2573" s="1" t="s">
        <v>667</v>
      </c>
      <c r="C2573" s="1" t="s">
        <v>336</v>
      </c>
      <c r="D2573" s="52">
        <v>46072.40625</v>
      </c>
      <c r="E2573" s="52">
        <v>46072.40625</v>
      </c>
      <c r="F2573" s="52">
        <v>46072.40625</v>
      </c>
      <c r="G2573" s="53">
        <v>5.4398148148148144E-4</v>
      </c>
      <c r="H2573" s="1" t="s">
        <v>257</v>
      </c>
      <c r="J2573" s="1" t="s">
        <v>371</v>
      </c>
      <c r="K2573" s="1" t="s">
        <v>653</v>
      </c>
      <c r="L2573" s="1" t="s">
        <v>1233</v>
      </c>
    </row>
    <row r="2574" spans="2:12">
      <c r="B2574" s="1" t="s">
        <v>667</v>
      </c>
      <c r="C2574" s="1" t="s">
        <v>336</v>
      </c>
      <c r="D2574" s="52">
        <v>46072.390277777777</v>
      </c>
      <c r="E2574" s="52">
        <v>46072.390277777777</v>
      </c>
      <c r="F2574" s="52">
        <v>46072.390277777777</v>
      </c>
      <c r="G2574" s="53">
        <v>5.5555555555555556E-4</v>
      </c>
      <c r="H2574" s="1" t="s">
        <v>257</v>
      </c>
      <c r="J2574" s="1" t="s">
        <v>371</v>
      </c>
      <c r="K2574" s="1" t="s">
        <v>653</v>
      </c>
      <c r="L2574" s="1" t="s">
        <v>1234</v>
      </c>
    </row>
    <row r="2575" spans="2:12">
      <c r="B2575" s="1" t="s">
        <v>667</v>
      </c>
      <c r="C2575" s="1" t="s">
        <v>336</v>
      </c>
      <c r="D2575" s="52">
        <v>46072.379166666666</v>
      </c>
      <c r="E2575" s="52">
        <v>46072.379166666666</v>
      </c>
      <c r="F2575" s="52">
        <v>46072.379166666666</v>
      </c>
      <c r="G2575" s="53">
        <v>5.0925925925925921E-4</v>
      </c>
      <c r="H2575" s="1" t="s">
        <v>257</v>
      </c>
      <c r="J2575" s="1" t="s">
        <v>371</v>
      </c>
      <c r="K2575" s="1" t="s">
        <v>653</v>
      </c>
      <c r="L2575" s="1" t="s">
        <v>1235</v>
      </c>
    </row>
    <row r="2576" spans="2:12">
      <c r="B2576" s="1" t="s">
        <v>667</v>
      </c>
      <c r="C2576" s="1" t="s">
        <v>336</v>
      </c>
      <c r="D2576" s="52">
        <v>46072.37222222222</v>
      </c>
      <c r="E2576" s="52">
        <v>46072.37222222222</v>
      </c>
      <c r="F2576" s="52">
        <v>46072.372916666667</v>
      </c>
      <c r="G2576" s="53">
        <v>5.5555555555555556E-4</v>
      </c>
      <c r="H2576" s="1" t="s">
        <v>257</v>
      </c>
      <c r="J2576" s="1" t="s">
        <v>371</v>
      </c>
      <c r="K2576" s="1" t="s">
        <v>653</v>
      </c>
      <c r="L2576" s="1" t="s">
        <v>1236</v>
      </c>
    </row>
    <row r="2577" spans="2:12">
      <c r="B2577" s="1" t="s">
        <v>667</v>
      </c>
      <c r="C2577" s="1" t="s">
        <v>336</v>
      </c>
      <c r="D2577" s="52">
        <v>46072.363888888889</v>
      </c>
      <c r="E2577" s="52">
        <v>46072.363888888889</v>
      </c>
      <c r="F2577" s="52">
        <v>46072.364583333336</v>
      </c>
      <c r="G2577" s="53">
        <v>5.2083333333333333E-4</v>
      </c>
      <c r="H2577" s="1" t="s">
        <v>257</v>
      </c>
      <c r="J2577" s="1" t="s">
        <v>371</v>
      </c>
      <c r="K2577" s="1" t="s">
        <v>653</v>
      </c>
      <c r="L2577" s="1" t="s">
        <v>1237</v>
      </c>
    </row>
    <row r="2578" spans="2:12">
      <c r="B2578" s="1" t="s">
        <v>667</v>
      </c>
      <c r="C2578" s="1" t="s">
        <v>336</v>
      </c>
      <c r="D2578" s="52">
        <v>46072.241666666669</v>
      </c>
      <c r="E2578" s="52">
        <v>46072.241666666669</v>
      </c>
      <c r="F2578" s="52">
        <v>46072.272222222222</v>
      </c>
      <c r="G2578" s="53">
        <v>3.1018518518518518E-2</v>
      </c>
      <c r="H2578" s="1" t="s">
        <v>257</v>
      </c>
      <c r="J2578" s="1" t="s">
        <v>371</v>
      </c>
      <c r="K2578" s="1" t="s">
        <v>653</v>
      </c>
      <c r="L2578" s="1" t="s">
        <v>1238</v>
      </c>
    </row>
    <row r="2579" spans="2:12">
      <c r="B2579" s="1" t="s">
        <v>667</v>
      </c>
      <c r="C2579" s="1" t="s">
        <v>336</v>
      </c>
      <c r="D2579" s="52">
        <v>46072.240972222222</v>
      </c>
      <c r="E2579" s="52">
        <v>46072.240972222222</v>
      </c>
      <c r="F2579" s="52">
        <v>46072.272222222222</v>
      </c>
      <c r="G2579" s="53">
        <v>3.1412037037037037E-2</v>
      </c>
      <c r="H2579" s="1" t="s">
        <v>257</v>
      </c>
      <c r="J2579" s="1" t="s">
        <v>371</v>
      </c>
      <c r="K2579" s="1" t="s">
        <v>653</v>
      </c>
      <c r="L2579" s="1" t="s">
        <v>1239</v>
      </c>
    </row>
    <row r="2580" spans="2:12">
      <c r="B2580" s="1" t="s">
        <v>667</v>
      </c>
      <c r="C2580" s="1" t="s">
        <v>336</v>
      </c>
      <c r="D2580" s="52">
        <v>46071.763888888891</v>
      </c>
      <c r="E2580" s="52">
        <v>46071.763888888891</v>
      </c>
      <c r="F2580" s="52">
        <v>46071.785416666666</v>
      </c>
      <c r="G2580" s="53">
        <v>2.1516203703703704E-2</v>
      </c>
      <c r="H2580" s="1" t="s">
        <v>257</v>
      </c>
      <c r="J2580" s="1" t="s">
        <v>371</v>
      </c>
      <c r="K2580" s="1" t="s">
        <v>653</v>
      </c>
      <c r="L2580" s="1" t="s">
        <v>1240</v>
      </c>
    </row>
    <row r="2581" spans="2:12">
      <c r="B2581" s="1" t="s">
        <v>667</v>
      </c>
      <c r="C2581" s="1" t="s">
        <v>336</v>
      </c>
      <c r="D2581" s="52">
        <v>46071.762499999997</v>
      </c>
      <c r="E2581" s="52">
        <v>46071.762499999997</v>
      </c>
      <c r="F2581" s="52">
        <v>46071.762499999997</v>
      </c>
      <c r="G2581" s="53">
        <v>5.0925925925925921E-4</v>
      </c>
      <c r="H2581" s="1" t="s">
        <v>257</v>
      </c>
      <c r="J2581" s="1" t="s">
        <v>371</v>
      </c>
      <c r="K2581" s="1" t="s">
        <v>653</v>
      </c>
      <c r="L2581" s="1" t="s">
        <v>1241</v>
      </c>
    </row>
    <row r="2582" spans="2:12">
      <c r="B2582" s="1" t="s">
        <v>667</v>
      </c>
      <c r="C2582" s="1" t="s">
        <v>336</v>
      </c>
      <c r="D2582" s="52">
        <v>46071.73541666667</v>
      </c>
      <c r="E2582" s="52">
        <v>46071.73541666667</v>
      </c>
      <c r="F2582" s="52">
        <v>46071.736111111109</v>
      </c>
      <c r="G2582" s="53">
        <v>4.9768518518518521E-4</v>
      </c>
      <c r="H2582" s="1" t="s">
        <v>257</v>
      </c>
      <c r="J2582" s="1" t="s">
        <v>371</v>
      </c>
      <c r="K2582" s="1" t="s">
        <v>653</v>
      </c>
      <c r="L2582" s="1" t="s">
        <v>1242</v>
      </c>
    </row>
    <row r="2583" spans="2:12">
      <c r="B2583" s="1" t="s">
        <v>667</v>
      </c>
      <c r="C2583" s="1" t="s">
        <v>336</v>
      </c>
      <c r="D2583" s="52">
        <v>46071.734722222223</v>
      </c>
      <c r="E2583" s="52">
        <v>46071.734722222223</v>
      </c>
      <c r="F2583" s="52">
        <v>46071.734722222223</v>
      </c>
      <c r="G2583" s="53">
        <v>5.0925925925925921E-4</v>
      </c>
      <c r="H2583" s="1" t="s">
        <v>257</v>
      </c>
      <c r="J2583" s="1" t="s">
        <v>371</v>
      </c>
      <c r="K2583" s="1" t="s">
        <v>653</v>
      </c>
      <c r="L2583" s="1" t="s">
        <v>1243</v>
      </c>
    </row>
    <row r="2584" spans="2:12">
      <c r="B2584" s="1" t="s">
        <v>667</v>
      </c>
      <c r="C2584" s="1" t="s">
        <v>336</v>
      </c>
      <c r="D2584" s="52">
        <v>46071.724999999999</v>
      </c>
      <c r="E2584" s="52">
        <v>46071.724999999999</v>
      </c>
      <c r="F2584" s="52">
        <v>46071.725694444445</v>
      </c>
      <c r="G2584" s="53">
        <v>5.3240740740740744E-4</v>
      </c>
      <c r="H2584" s="1" t="s">
        <v>257</v>
      </c>
      <c r="J2584" s="1" t="s">
        <v>371</v>
      </c>
      <c r="K2584" s="1" t="s">
        <v>653</v>
      </c>
      <c r="L2584" s="1" t="s">
        <v>1244</v>
      </c>
    </row>
    <row r="2585" spans="2:12">
      <c r="B2585" s="1" t="s">
        <v>667</v>
      </c>
      <c r="C2585" s="1" t="s">
        <v>336</v>
      </c>
      <c r="D2585" s="52">
        <v>46071.682638888888</v>
      </c>
      <c r="E2585" s="52">
        <v>46071.682638888888</v>
      </c>
      <c r="F2585" s="52">
        <v>46071.683333333334</v>
      </c>
      <c r="G2585" s="53">
        <v>5.4398148148148144E-4</v>
      </c>
      <c r="H2585" s="1" t="s">
        <v>257</v>
      </c>
      <c r="J2585" s="1" t="s">
        <v>371</v>
      </c>
      <c r="K2585" s="1" t="s">
        <v>653</v>
      </c>
      <c r="L2585" s="1" t="s">
        <v>1245</v>
      </c>
    </row>
    <row r="2586" spans="2:12">
      <c r="B2586" s="1" t="s">
        <v>667</v>
      </c>
      <c r="C2586" s="1" t="s">
        <v>336</v>
      </c>
      <c r="D2586" s="52">
        <v>46071.658333333333</v>
      </c>
      <c r="E2586" s="52">
        <v>46071.658333333333</v>
      </c>
      <c r="F2586" s="52">
        <v>46071.663194444445</v>
      </c>
      <c r="G2586" s="53">
        <v>5.1736111111111115E-3</v>
      </c>
      <c r="H2586" s="1" t="s">
        <v>257</v>
      </c>
      <c r="J2586" s="1" t="s">
        <v>371</v>
      </c>
      <c r="K2586" s="1" t="s">
        <v>653</v>
      </c>
      <c r="L2586" s="1" t="s">
        <v>1246</v>
      </c>
    </row>
    <row r="2587" spans="2:12">
      <c r="B2587" s="1" t="s">
        <v>667</v>
      </c>
      <c r="C2587" s="1" t="s">
        <v>336</v>
      </c>
      <c r="D2587" s="52">
        <v>46071.657638888886</v>
      </c>
      <c r="E2587" s="52">
        <v>46071.657638888886</v>
      </c>
      <c r="F2587" s="52">
        <v>46071.657638888886</v>
      </c>
      <c r="G2587" s="53">
        <v>5.4398148148148144E-4</v>
      </c>
      <c r="H2587" s="1" t="s">
        <v>257</v>
      </c>
      <c r="J2587" s="1" t="s">
        <v>371</v>
      </c>
      <c r="K2587" s="1" t="s">
        <v>653</v>
      </c>
      <c r="L2587" s="1" t="s">
        <v>1247</v>
      </c>
    </row>
    <row r="2588" spans="2:12">
      <c r="B2588" s="1" t="s">
        <v>667</v>
      </c>
      <c r="C2588" s="1" t="s">
        <v>336</v>
      </c>
      <c r="D2588" s="52">
        <v>46071.65625</v>
      </c>
      <c r="E2588" s="52">
        <v>46071.65625</v>
      </c>
      <c r="F2588" s="52">
        <v>46071.656944444447</v>
      </c>
      <c r="G2588" s="53">
        <v>5.5555555555555556E-4</v>
      </c>
      <c r="H2588" s="1" t="s">
        <v>257</v>
      </c>
      <c r="J2588" s="1" t="s">
        <v>371</v>
      </c>
      <c r="K2588" s="1" t="s">
        <v>653</v>
      </c>
      <c r="L2588" s="1" t="s">
        <v>1248</v>
      </c>
    </row>
    <row r="2589" spans="2:12">
      <c r="B2589" s="1" t="s">
        <v>667</v>
      </c>
      <c r="C2589" s="1" t="s">
        <v>336</v>
      </c>
      <c r="D2589" s="52">
        <v>46071.62777777778</v>
      </c>
      <c r="E2589" s="52">
        <v>46071.62777777778</v>
      </c>
      <c r="F2589" s="52">
        <v>46071.628472222219</v>
      </c>
      <c r="G2589" s="53">
        <v>5.7870370370370367E-4</v>
      </c>
      <c r="H2589" s="1" t="s">
        <v>257</v>
      </c>
      <c r="J2589" s="1" t="s">
        <v>371</v>
      </c>
      <c r="K2589" s="1" t="s">
        <v>653</v>
      </c>
      <c r="L2589" s="1" t="s">
        <v>1249</v>
      </c>
    </row>
    <row r="2590" spans="2:12">
      <c r="B2590" s="1" t="s">
        <v>667</v>
      </c>
      <c r="C2590" s="1" t="s">
        <v>336</v>
      </c>
      <c r="D2590" s="52">
        <v>46071.618750000001</v>
      </c>
      <c r="E2590" s="52">
        <v>46071.618750000001</v>
      </c>
      <c r="F2590" s="52">
        <v>46071.619444444441</v>
      </c>
      <c r="G2590" s="53">
        <v>5.3240740740740744E-4</v>
      </c>
      <c r="H2590" s="1" t="s">
        <v>257</v>
      </c>
      <c r="J2590" s="1" t="s">
        <v>371</v>
      </c>
      <c r="K2590" s="1" t="s">
        <v>653</v>
      </c>
      <c r="L2590" s="1" t="s">
        <v>1250</v>
      </c>
    </row>
    <row r="2591" spans="2:12">
      <c r="B2591" s="1" t="s">
        <v>667</v>
      </c>
      <c r="C2591" s="1" t="s">
        <v>336</v>
      </c>
      <c r="D2591" s="52">
        <v>46071.613888888889</v>
      </c>
      <c r="E2591" s="52">
        <v>46071.613888888889</v>
      </c>
      <c r="F2591" s="52">
        <v>46071.614583333336</v>
      </c>
      <c r="G2591" s="53">
        <v>5.3240740740740744E-4</v>
      </c>
      <c r="H2591" s="1" t="s">
        <v>257</v>
      </c>
      <c r="J2591" s="1" t="s">
        <v>371</v>
      </c>
      <c r="K2591" s="1" t="s">
        <v>653</v>
      </c>
      <c r="L2591" s="1" t="s">
        <v>1251</v>
      </c>
    </row>
    <row r="2592" spans="2:12">
      <c r="B2592" s="1" t="s">
        <v>667</v>
      </c>
      <c r="C2592" s="1" t="s">
        <v>336</v>
      </c>
      <c r="D2592" s="52">
        <v>46071.521527777775</v>
      </c>
      <c r="E2592" s="52">
        <v>46071.521527777775</v>
      </c>
      <c r="F2592" s="52">
        <v>46071.522222222222</v>
      </c>
      <c r="G2592" s="53">
        <v>5.3240740740740744E-4</v>
      </c>
      <c r="H2592" s="1" t="s">
        <v>257</v>
      </c>
      <c r="J2592" s="1" t="s">
        <v>371</v>
      </c>
      <c r="K2592" s="1" t="s">
        <v>653</v>
      </c>
      <c r="L2592" s="1" t="s">
        <v>1252</v>
      </c>
    </row>
    <row r="2593" spans="2:12">
      <c r="B2593" s="1" t="s">
        <v>667</v>
      </c>
      <c r="C2593" s="1" t="s">
        <v>336</v>
      </c>
      <c r="D2593" s="52">
        <v>46071.511111111111</v>
      </c>
      <c r="E2593" s="52">
        <v>46071.511111111111</v>
      </c>
      <c r="F2593" s="52">
        <v>46071.511805555558</v>
      </c>
      <c r="G2593" s="53">
        <v>5.0925925925925921E-4</v>
      </c>
      <c r="H2593" s="1" t="s">
        <v>257</v>
      </c>
      <c r="J2593" s="1" t="s">
        <v>371</v>
      </c>
      <c r="K2593" s="1" t="s">
        <v>653</v>
      </c>
      <c r="L2593" s="1" t="s">
        <v>1253</v>
      </c>
    </row>
    <row r="2594" spans="2:12">
      <c r="B2594" s="1" t="s">
        <v>667</v>
      </c>
      <c r="C2594" s="1" t="s">
        <v>336</v>
      </c>
      <c r="D2594" s="52">
        <v>46071.484027777777</v>
      </c>
      <c r="E2594" s="52">
        <v>46071.484027777777</v>
      </c>
      <c r="F2594" s="52">
        <v>46071.484722222223</v>
      </c>
      <c r="G2594" s="53">
        <v>5.5555555555555556E-4</v>
      </c>
      <c r="H2594" s="1" t="s">
        <v>257</v>
      </c>
      <c r="J2594" s="1" t="s">
        <v>371</v>
      </c>
      <c r="K2594" s="1" t="s">
        <v>653</v>
      </c>
      <c r="L2594" s="1" t="s">
        <v>1254</v>
      </c>
    </row>
    <row r="2595" spans="2:12">
      <c r="B2595" s="1" t="s">
        <v>667</v>
      </c>
      <c r="C2595" s="1" t="s">
        <v>336</v>
      </c>
      <c r="D2595" s="52">
        <v>46071.477777777778</v>
      </c>
      <c r="E2595" s="52">
        <v>46071.477777777778</v>
      </c>
      <c r="F2595" s="52">
        <v>46071.477777777778</v>
      </c>
      <c r="G2595" s="53">
        <v>5.3240740740740744E-4</v>
      </c>
      <c r="H2595" s="1" t="s">
        <v>257</v>
      </c>
      <c r="J2595" s="1" t="s">
        <v>371</v>
      </c>
      <c r="K2595" s="1" t="s">
        <v>653</v>
      </c>
      <c r="L2595" s="1" t="s">
        <v>1255</v>
      </c>
    </row>
    <row r="2596" spans="2:12">
      <c r="B2596" s="1" t="s">
        <v>667</v>
      </c>
      <c r="C2596" s="1" t="s">
        <v>336</v>
      </c>
      <c r="D2596" s="52">
        <v>46071.468055555553</v>
      </c>
      <c r="E2596" s="52">
        <v>46071.468055555553</v>
      </c>
      <c r="F2596" s="52">
        <v>46071.46875</v>
      </c>
      <c r="G2596" s="53">
        <v>5.2083333333333333E-4</v>
      </c>
      <c r="H2596" s="1" t="s">
        <v>257</v>
      </c>
      <c r="J2596" s="1" t="s">
        <v>371</v>
      </c>
      <c r="K2596" s="1" t="s">
        <v>653</v>
      </c>
      <c r="L2596" s="1" t="s">
        <v>1256</v>
      </c>
    </row>
    <row r="2597" spans="2:12">
      <c r="B2597" s="1" t="s">
        <v>667</v>
      </c>
      <c r="C2597" s="1" t="s">
        <v>336</v>
      </c>
      <c r="D2597" s="52">
        <v>46071.442361111112</v>
      </c>
      <c r="E2597" s="52">
        <v>46071.442361111112</v>
      </c>
      <c r="F2597" s="52">
        <v>46071.442361111112</v>
      </c>
      <c r="G2597" s="53">
        <v>5.4398148148148144E-4</v>
      </c>
      <c r="H2597" s="1" t="s">
        <v>257</v>
      </c>
      <c r="J2597" s="1" t="s">
        <v>371</v>
      </c>
      <c r="K2597" s="1" t="s">
        <v>653</v>
      </c>
      <c r="L2597" s="1" t="s">
        <v>1257</v>
      </c>
    </row>
    <row r="2598" spans="2:12">
      <c r="B2598" s="1" t="s">
        <v>667</v>
      </c>
      <c r="C2598" s="1" t="s">
        <v>336</v>
      </c>
      <c r="D2598" s="52">
        <v>46071.406944444447</v>
      </c>
      <c r="E2598" s="52">
        <v>46071.406944444447</v>
      </c>
      <c r="F2598" s="52">
        <v>46071.407638888886</v>
      </c>
      <c r="G2598" s="53">
        <v>5.0925925925925921E-4</v>
      </c>
      <c r="H2598" s="1" t="s">
        <v>257</v>
      </c>
      <c r="J2598" s="1" t="s">
        <v>371</v>
      </c>
      <c r="K2598" s="1" t="s">
        <v>653</v>
      </c>
      <c r="L2598" s="1" t="s">
        <v>1258</v>
      </c>
    </row>
    <row r="2599" spans="2:12">
      <c r="B2599" s="1" t="s">
        <v>667</v>
      </c>
      <c r="C2599" s="1" t="s">
        <v>336</v>
      </c>
      <c r="D2599" s="52">
        <v>46071.388194444444</v>
      </c>
      <c r="E2599" s="52">
        <v>46071.388194444444</v>
      </c>
      <c r="F2599" s="52">
        <v>46071.388888888891</v>
      </c>
      <c r="G2599" s="53">
        <v>1.0185185185185184E-3</v>
      </c>
      <c r="H2599" s="1" t="s">
        <v>257</v>
      </c>
      <c r="J2599" s="1" t="s">
        <v>371</v>
      </c>
      <c r="K2599" s="1" t="s">
        <v>653</v>
      </c>
      <c r="L2599" s="1" t="s">
        <v>1259</v>
      </c>
    </row>
    <row r="2600" spans="2:12">
      <c r="B2600" s="1" t="s">
        <v>667</v>
      </c>
      <c r="C2600" s="1" t="s">
        <v>336</v>
      </c>
      <c r="D2600" s="52">
        <v>46071.378472222219</v>
      </c>
      <c r="E2600" s="52">
        <v>46071.378472222219</v>
      </c>
      <c r="F2600" s="52">
        <v>46071.379166666666</v>
      </c>
      <c r="G2600" s="53">
        <v>5.4398148148148144E-4</v>
      </c>
      <c r="H2600" s="1" t="s">
        <v>257</v>
      </c>
      <c r="J2600" s="1" t="s">
        <v>371</v>
      </c>
      <c r="K2600" s="1" t="s">
        <v>653</v>
      </c>
      <c r="L2600" s="1" t="s">
        <v>1260</v>
      </c>
    </row>
    <row r="2601" spans="2:12">
      <c r="B2601" s="1" t="s">
        <v>667</v>
      </c>
      <c r="C2601" s="1" t="s">
        <v>336</v>
      </c>
      <c r="D2601" s="52">
        <v>46071.362500000003</v>
      </c>
      <c r="E2601" s="52">
        <v>46071.362500000003</v>
      </c>
      <c r="F2601" s="52">
        <v>46071.362500000003</v>
      </c>
      <c r="G2601" s="53">
        <v>5.4398148148148144E-4</v>
      </c>
      <c r="H2601" s="1" t="s">
        <v>257</v>
      </c>
      <c r="J2601" s="1" t="s">
        <v>371</v>
      </c>
      <c r="K2601" s="1" t="s">
        <v>653</v>
      </c>
      <c r="L2601" s="1" t="s">
        <v>1261</v>
      </c>
    </row>
    <row r="2602" spans="2:12">
      <c r="B2602" s="1" t="s">
        <v>667</v>
      </c>
      <c r="C2602" s="1" t="s">
        <v>336</v>
      </c>
      <c r="D2602" s="52">
        <v>46071.352777777778</v>
      </c>
      <c r="E2602" s="52">
        <v>46071.352777777778</v>
      </c>
      <c r="F2602" s="52">
        <v>46071.353472222225</v>
      </c>
      <c r="G2602" s="53">
        <v>5.5555555555555556E-4</v>
      </c>
      <c r="H2602" s="1" t="s">
        <v>257</v>
      </c>
      <c r="J2602" s="1" t="s">
        <v>371</v>
      </c>
      <c r="K2602" s="1" t="s">
        <v>653</v>
      </c>
      <c r="L2602" s="1" t="s">
        <v>1262</v>
      </c>
    </row>
    <row r="2603" spans="2:12">
      <c r="B2603" s="1" t="s">
        <v>667</v>
      </c>
      <c r="C2603" s="1" t="s">
        <v>336</v>
      </c>
      <c r="D2603" s="52">
        <v>46071.338194444441</v>
      </c>
      <c r="E2603" s="52">
        <v>46071.338194444441</v>
      </c>
      <c r="F2603" s="52">
        <v>46071.338888888888</v>
      </c>
      <c r="G2603" s="53">
        <v>5.0925925925925921E-4</v>
      </c>
      <c r="H2603" s="1" t="s">
        <v>257</v>
      </c>
      <c r="J2603" s="1" t="s">
        <v>371</v>
      </c>
      <c r="K2603" s="1" t="s">
        <v>653</v>
      </c>
      <c r="L2603" s="1" t="s">
        <v>1263</v>
      </c>
    </row>
    <row r="2604" spans="2:12">
      <c r="B2604" s="1" t="s">
        <v>667</v>
      </c>
      <c r="C2604" s="1" t="s">
        <v>336</v>
      </c>
      <c r="D2604" s="52">
        <v>46071.321527777778</v>
      </c>
      <c r="E2604" s="52">
        <v>46071.321527777778</v>
      </c>
      <c r="F2604" s="52">
        <v>46071.321527777778</v>
      </c>
      <c r="G2604" s="53">
        <v>5.0925925925925921E-4</v>
      </c>
      <c r="H2604" s="1" t="s">
        <v>257</v>
      </c>
      <c r="J2604" s="1" t="s">
        <v>371</v>
      </c>
      <c r="K2604" s="1" t="s">
        <v>653</v>
      </c>
      <c r="L2604" s="1" t="s">
        <v>1264</v>
      </c>
    </row>
    <row r="2605" spans="2:12">
      <c r="B2605" s="1" t="s">
        <v>667</v>
      </c>
      <c r="C2605" s="1" t="s">
        <v>336</v>
      </c>
      <c r="D2605" s="52">
        <v>46071.309027777781</v>
      </c>
      <c r="E2605" s="52">
        <v>46071.309027777781</v>
      </c>
      <c r="F2605" s="52">
        <v>46071.30972222222</v>
      </c>
      <c r="G2605" s="53">
        <v>5.0925925925925921E-4</v>
      </c>
      <c r="H2605" s="1" t="s">
        <v>257</v>
      </c>
      <c r="J2605" s="1" t="s">
        <v>371</v>
      </c>
      <c r="K2605" s="1" t="s">
        <v>653</v>
      </c>
      <c r="L2605" s="1" t="s">
        <v>1265</v>
      </c>
    </row>
    <row r="2606" spans="2:12">
      <c r="B2606" s="1" t="s">
        <v>667</v>
      </c>
      <c r="C2606" s="1" t="s">
        <v>336</v>
      </c>
      <c r="D2606" s="52">
        <v>46071.283333333333</v>
      </c>
      <c r="E2606" s="52">
        <v>46071.283333333333</v>
      </c>
      <c r="F2606" s="52">
        <v>46071.28402777778</v>
      </c>
      <c r="G2606" s="53">
        <v>6.134259259259259E-4</v>
      </c>
      <c r="H2606" s="1" t="s">
        <v>257</v>
      </c>
      <c r="J2606" s="1" t="s">
        <v>371</v>
      </c>
      <c r="K2606" s="1" t="s">
        <v>653</v>
      </c>
      <c r="L2606" s="1" t="s">
        <v>1266</v>
      </c>
    </row>
    <row r="2607" spans="2:12">
      <c r="B2607" s="1" t="s">
        <v>667</v>
      </c>
      <c r="C2607" s="1" t="s">
        <v>336</v>
      </c>
      <c r="D2607" s="52">
        <v>46071.269444444442</v>
      </c>
      <c r="E2607" s="52">
        <v>46071.269444444442</v>
      </c>
      <c r="F2607" s="52">
        <v>46071.270138888889</v>
      </c>
      <c r="G2607" s="53">
        <v>6.2500000000000001E-4</v>
      </c>
      <c r="H2607" s="1" t="s">
        <v>257</v>
      </c>
      <c r="J2607" s="1" t="s">
        <v>371</v>
      </c>
      <c r="K2607" s="1" t="s">
        <v>653</v>
      </c>
      <c r="L2607" s="1" t="s">
        <v>1267</v>
      </c>
    </row>
    <row r="2608" spans="2:12">
      <c r="B2608" s="1" t="s">
        <v>667</v>
      </c>
      <c r="C2608" s="1" t="s">
        <v>336</v>
      </c>
      <c r="D2608" s="52">
        <v>46071.259027777778</v>
      </c>
      <c r="E2608" s="52">
        <v>46071.259027777778</v>
      </c>
      <c r="F2608" s="52">
        <v>46071.259722222225</v>
      </c>
      <c r="G2608" s="53">
        <v>5.7870370370370367E-4</v>
      </c>
      <c r="H2608" s="1" t="s">
        <v>257</v>
      </c>
      <c r="J2608" s="1" t="s">
        <v>371</v>
      </c>
      <c r="K2608" s="1" t="s">
        <v>653</v>
      </c>
      <c r="L2608" s="1" t="s">
        <v>1268</v>
      </c>
    </row>
    <row r="2609" spans="2:12">
      <c r="B2609" s="1" t="s">
        <v>667</v>
      </c>
      <c r="C2609" s="1" t="s">
        <v>336</v>
      </c>
      <c r="D2609" s="52">
        <v>46071.239583333336</v>
      </c>
      <c r="E2609" s="52">
        <v>46071.239583333336</v>
      </c>
      <c r="F2609" s="52">
        <v>46071.259027777778</v>
      </c>
      <c r="G2609" s="53">
        <v>1.9340277777777779E-2</v>
      </c>
      <c r="H2609" s="1" t="s">
        <v>257</v>
      </c>
      <c r="J2609" s="1" t="s">
        <v>371</v>
      </c>
      <c r="K2609" s="1" t="s">
        <v>653</v>
      </c>
      <c r="L2609" s="1" t="s">
        <v>1269</v>
      </c>
    </row>
    <row r="2610" spans="2:12">
      <c r="B2610" s="1" t="s">
        <v>667</v>
      </c>
      <c r="C2610" s="1" t="s">
        <v>336</v>
      </c>
      <c r="D2610" s="52">
        <v>46071.238888888889</v>
      </c>
      <c r="E2610" s="52">
        <v>46071.238888888889</v>
      </c>
      <c r="F2610" s="52">
        <v>46071.259027777778</v>
      </c>
      <c r="G2610" s="53">
        <v>1.9722222222222221E-2</v>
      </c>
      <c r="H2610" s="1" t="s">
        <v>257</v>
      </c>
      <c r="J2610" s="1" t="s">
        <v>371</v>
      </c>
      <c r="K2610" s="1" t="s">
        <v>653</v>
      </c>
      <c r="L2610" s="1" t="s">
        <v>1270</v>
      </c>
    </row>
    <row r="2611" spans="2:12">
      <c r="B2611" s="1" t="s">
        <v>667</v>
      </c>
      <c r="C2611" s="1" t="s">
        <v>336</v>
      </c>
      <c r="D2611" s="52">
        <v>46070.734722222223</v>
      </c>
      <c r="E2611" s="52">
        <v>46070.734722222223</v>
      </c>
      <c r="F2611" s="52">
        <v>46070.786805555559</v>
      </c>
      <c r="G2611" s="53">
        <v>5.2071759259259262E-2</v>
      </c>
      <c r="H2611" s="1" t="s">
        <v>257</v>
      </c>
      <c r="J2611" s="1" t="s">
        <v>371</v>
      </c>
      <c r="K2611" s="1" t="s">
        <v>653</v>
      </c>
      <c r="L2611" s="1" t="s">
        <v>1271</v>
      </c>
    </row>
    <row r="2612" spans="2:12">
      <c r="B2612" s="1" t="s">
        <v>667</v>
      </c>
      <c r="C2612" s="1" t="s">
        <v>336</v>
      </c>
      <c r="D2612" s="52">
        <v>46070.727083333331</v>
      </c>
      <c r="E2612" s="52">
        <v>46070.727083333331</v>
      </c>
      <c r="F2612" s="52">
        <v>46070.727777777778</v>
      </c>
      <c r="G2612" s="53">
        <v>5.4398148148148144E-4</v>
      </c>
      <c r="H2612" s="1" t="s">
        <v>257</v>
      </c>
      <c r="J2612" s="1" t="s">
        <v>371</v>
      </c>
      <c r="K2612" s="1" t="s">
        <v>653</v>
      </c>
      <c r="L2612" s="1" t="s">
        <v>1272</v>
      </c>
    </row>
    <row r="2613" spans="2:12">
      <c r="B2613" s="1" t="s">
        <v>667</v>
      </c>
      <c r="C2613" s="1" t="s">
        <v>336</v>
      </c>
      <c r="D2613" s="52">
        <v>46070.707638888889</v>
      </c>
      <c r="E2613" s="52">
        <v>46070.707638888889</v>
      </c>
      <c r="F2613" s="52">
        <v>46070.714583333334</v>
      </c>
      <c r="G2613" s="53">
        <v>7.1064814814814819E-3</v>
      </c>
      <c r="H2613" s="1" t="s">
        <v>257</v>
      </c>
      <c r="J2613" s="1" t="s">
        <v>371</v>
      </c>
      <c r="K2613" s="1" t="s">
        <v>653</v>
      </c>
      <c r="L2613" s="1" t="s">
        <v>1273</v>
      </c>
    </row>
    <row r="2614" spans="2:12">
      <c r="B2614" s="1" t="s">
        <v>667</v>
      </c>
      <c r="C2614" s="1" t="s">
        <v>336</v>
      </c>
      <c r="D2614" s="52">
        <v>46070.702777777777</v>
      </c>
      <c r="E2614" s="52">
        <v>46070.702777777777</v>
      </c>
      <c r="F2614" s="52">
        <v>46070.703472222223</v>
      </c>
      <c r="G2614" s="53">
        <v>5.5555555555555556E-4</v>
      </c>
      <c r="H2614" s="1" t="s">
        <v>257</v>
      </c>
      <c r="J2614" s="1" t="s">
        <v>371</v>
      </c>
      <c r="K2614" s="1" t="s">
        <v>653</v>
      </c>
      <c r="L2614" s="1" t="s">
        <v>1274</v>
      </c>
    </row>
    <row r="2615" spans="2:12">
      <c r="B2615" s="1" t="s">
        <v>667</v>
      </c>
      <c r="C2615" s="1" t="s">
        <v>336</v>
      </c>
      <c r="D2615" s="52">
        <v>46070.679861111108</v>
      </c>
      <c r="E2615" s="52">
        <v>46070.679861111108</v>
      </c>
      <c r="F2615" s="52">
        <v>46070.681250000001</v>
      </c>
      <c r="G2615" s="53">
        <v>1.1111111111111111E-3</v>
      </c>
      <c r="H2615" s="1" t="s">
        <v>257</v>
      </c>
      <c r="J2615" s="1" t="s">
        <v>371</v>
      </c>
      <c r="K2615" s="1" t="s">
        <v>653</v>
      </c>
      <c r="L2615" s="1" t="s">
        <v>1275</v>
      </c>
    </row>
    <row r="2616" spans="2:12">
      <c r="B2616" s="1" t="s">
        <v>667</v>
      </c>
      <c r="C2616" s="1" t="s">
        <v>336</v>
      </c>
      <c r="D2616" s="52">
        <v>46070.64166666667</v>
      </c>
      <c r="E2616" s="52">
        <v>46070.64166666667</v>
      </c>
      <c r="F2616" s="52">
        <v>46070.646527777775</v>
      </c>
      <c r="G2616" s="53">
        <v>5.1041666666666666E-3</v>
      </c>
      <c r="H2616" s="1" t="s">
        <v>257</v>
      </c>
      <c r="J2616" s="1" t="s">
        <v>371</v>
      </c>
      <c r="K2616" s="1" t="s">
        <v>653</v>
      </c>
      <c r="L2616" s="1" t="s">
        <v>1276</v>
      </c>
    </row>
    <row r="2617" spans="2:12">
      <c r="B2617" s="1" t="s">
        <v>667</v>
      </c>
      <c r="C2617" s="1" t="s">
        <v>336</v>
      </c>
      <c r="D2617" s="52">
        <v>46070.637499999997</v>
      </c>
      <c r="E2617" s="52">
        <v>46070.637499999997</v>
      </c>
      <c r="F2617" s="52">
        <v>46070.638194444444</v>
      </c>
      <c r="G2617" s="53">
        <v>1.0185185185185184E-3</v>
      </c>
      <c r="H2617" s="1" t="s">
        <v>257</v>
      </c>
      <c r="J2617" s="1" t="s">
        <v>371</v>
      </c>
      <c r="K2617" s="1" t="s">
        <v>653</v>
      </c>
      <c r="L2617" s="1" t="s">
        <v>1277</v>
      </c>
    </row>
    <row r="2618" spans="2:12">
      <c r="B2618" s="1" t="s">
        <v>667</v>
      </c>
      <c r="C2618" s="1" t="s">
        <v>336</v>
      </c>
      <c r="D2618" s="52">
        <v>46070.600694444445</v>
      </c>
      <c r="E2618" s="52">
        <v>46070.600694444445</v>
      </c>
      <c r="F2618" s="52">
        <v>46070.601388888892</v>
      </c>
      <c r="G2618" s="53">
        <v>1.1342592592592593E-3</v>
      </c>
      <c r="H2618" s="1" t="s">
        <v>257</v>
      </c>
      <c r="J2618" s="1" t="s">
        <v>371</v>
      </c>
      <c r="K2618" s="1" t="s">
        <v>653</v>
      </c>
      <c r="L2618" s="1" t="s">
        <v>1278</v>
      </c>
    </row>
    <row r="2619" spans="2:12">
      <c r="B2619" s="1" t="s">
        <v>667</v>
      </c>
      <c r="C2619" s="1" t="s">
        <v>336</v>
      </c>
      <c r="D2619" s="52">
        <v>46070.582638888889</v>
      </c>
      <c r="E2619" s="52">
        <v>46070.582638888889</v>
      </c>
      <c r="F2619" s="52">
        <v>46070.588888888888</v>
      </c>
      <c r="G2619" s="53">
        <v>5.7870370370370367E-3</v>
      </c>
      <c r="H2619" s="1" t="s">
        <v>257</v>
      </c>
      <c r="J2619" s="1" t="s">
        <v>371</v>
      </c>
      <c r="K2619" s="1" t="s">
        <v>653</v>
      </c>
      <c r="L2619" s="1" t="s">
        <v>1279</v>
      </c>
    </row>
    <row r="2620" spans="2:12">
      <c r="B2620" s="1" t="s">
        <v>667</v>
      </c>
      <c r="C2620" s="1" t="s">
        <v>336</v>
      </c>
      <c r="D2620" s="52">
        <v>46070.581250000003</v>
      </c>
      <c r="E2620" s="52">
        <v>46070.581250000003</v>
      </c>
      <c r="F2620" s="52">
        <v>46070.582638888889</v>
      </c>
      <c r="G2620" s="53">
        <v>1.25E-3</v>
      </c>
      <c r="H2620" s="1" t="s">
        <v>257</v>
      </c>
      <c r="J2620" s="1" t="s">
        <v>371</v>
      </c>
      <c r="K2620" s="1" t="s">
        <v>653</v>
      </c>
      <c r="L2620" s="1" t="s">
        <v>1280</v>
      </c>
    </row>
    <row r="2621" spans="2:12">
      <c r="B2621" s="1" t="s">
        <v>667</v>
      </c>
      <c r="C2621" s="1" t="s">
        <v>336</v>
      </c>
      <c r="D2621" s="52">
        <v>46070.564583333333</v>
      </c>
      <c r="E2621" s="52">
        <v>46070.564583333333</v>
      </c>
      <c r="F2621" s="52">
        <v>46070.564583333333</v>
      </c>
      <c r="G2621" s="53">
        <v>5.6712962962962967E-4</v>
      </c>
      <c r="H2621" s="1" t="s">
        <v>257</v>
      </c>
      <c r="J2621" s="1" t="s">
        <v>371</v>
      </c>
      <c r="K2621" s="1" t="s">
        <v>653</v>
      </c>
      <c r="L2621" s="1" t="s">
        <v>1281</v>
      </c>
    </row>
    <row r="2622" spans="2:12">
      <c r="B2622" s="1" t="s">
        <v>667</v>
      </c>
      <c r="C2622" s="1" t="s">
        <v>336</v>
      </c>
      <c r="D2622" s="52">
        <v>46070.553472222222</v>
      </c>
      <c r="E2622" s="52">
        <v>46070.553472222222</v>
      </c>
      <c r="F2622" s="52">
        <v>46070.554861111108</v>
      </c>
      <c r="G2622" s="53">
        <v>1.6435185185185185E-3</v>
      </c>
      <c r="H2622" s="1" t="s">
        <v>257</v>
      </c>
      <c r="J2622" s="1" t="s">
        <v>371</v>
      </c>
      <c r="K2622" s="1" t="s">
        <v>653</v>
      </c>
      <c r="L2622" s="1" t="s">
        <v>1282</v>
      </c>
    </row>
    <row r="2623" spans="2:12">
      <c r="B2623" s="1" t="s">
        <v>667</v>
      </c>
      <c r="C2623" s="1" t="s">
        <v>336</v>
      </c>
      <c r="D2623" s="52">
        <v>46070.548611111109</v>
      </c>
      <c r="E2623" s="52">
        <v>46070.548611111109</v>
      </c>
      <c r="F2623" s="52">
        <v>46070.549305555556</v>
      </c>
      <c r="G2623" s="53">
        <v>5.5555555555555556E-4</v>
      </c>
      <c r="H2623" s="1" t="s">
        <v>257</v>
      </c>
      <c r="J2623" s="1" t="s">
        <v>371</v>
      </c>
      <c r="K2623" s="1" t="s">
        <v>653</v>
      </c>
      <c r="L2623" s="1" t="s">
        <v>1283</v>
      </c>
    </row>
    <row r="2624" spans="2:12">
      <c r="B2624" s="1" t="s">
        <v>667</v>
      </c>
      <c r="C2624" s="1" t="s">
        <v>336</v>
      </c>
      <c r="D2624" s="52">
        <v>46070.527083333334</v>
      </c>
      <c r="E2624" s="52">
        <v>46070.527083333334</v>
      </c>
      <c r="F2624" s="52">
        <v>46070.534722222219</v>
      </c>
      <c r="G2624" s="53">
        <v>8.2407407407407412E-3</v>
      </c>
      <c r="H2624" s="1" t="s">
        <v>257</v>
      </c>
      <c r="J2624" s="1" t="s">
        <v>371</v>
      </c>
      <c r="K2624" s="1" t="s">
        <v>653</v>
      </c>
      <c r="L2624" s="1" t="s">
        <v>1284</v>
      </c>
    </row>
    <row r="2625" spans="2:12">
      <c r="B2625" s="1" t="s">
        <v>667</v>
      </c>
      <c r="C2625" s="1" t="s">
        <v>336</v>
      </c>
      <c r="D2625" s="52">
        <v>46070.511111111111</v>
      </c>
      <c r="E2625" s="52">
        <v>46070.511111111111</v>
      </c>
      <c r="F2625" s="52">
        <v>46070.512499999997</v>
      </c>
      <c r="G2625" s="53">
        <v>1.3078703703703703E-3</v>
      </c>
      <c r="H2625" s="1" t="s">
        <v>257</v>
      </c>
      <c r="J2625" s="1" t="s">
        <v>371</v>
      </c>
      <c r="K2625" s="1" t="s">
        <v>653</v>
      </c>
      <c r="L2625" s="1" t="s">
        <v>1285</v>
      </c>
    </row>
    <row r="2626" spans="2:12">
      <c r="B2626" s="1" t="s">
        <v>667</v>
      </c>
      <c r="C2626" s="1" t="s">
        <v>336</v>
      </c>
      <c r="D2626" s="52">
        <v>46070.484722222223</v>
      </c>
      <c r="E2626" s="52">
        <v>46070.484722222223</v>
      </c>
      <c r="F2626" s="52">
        <v>46070.486111111109</v>
      </c>
      <c r="G2626" s="53">
        <v>1.5162037037037036E-3</v>
      </c>
      <c r="H2626" s="1" t="s">
        <v>257</v>
      </c>
      <c r="J2626" s="1" t="s">
        <v>371</v>
      </c>
      <c r="K2626" s="1" t="s">
        <v>653</v>
      </c>
      <c r="L2626" s="1" t="s">
        <v>1286</v>
      </c>
    </row>
    <row r="2627" spans="2:12">
      <c r="B2627" s="1" t="s">
        <v>667</v>
      </c>
      <c r="C2627" s="1" t="s">
        <v>336</v>
      </c>
      <c r="D2627" s="52">
        <v>46070.482638888891</v>
      </c>
      <c r="E2627" s="52">
        <v>46070.482638888891</v>
      </c>
      <c r="F2627" s="52">
        <v>46070.484722222223</v>
      </c>
      <c r="G2627" s="53">
        <v>1.6550925925925926E-3</v>
      </c>
      <c r="H2627" s="1" t="s">
        <v>257</v>
      </c>
      <c r="J2627" s="1" t="s">
        <v>371</v>
      </c>
      <c r="K2627" s="1" t="s">
        <v>653</v>
      </c>
      <c r="L2627" s="1" t="s">
        <v>1287</v>
      </c>
    </row>
    <row r="2628" spans="2:12">
      <c r="B2628" s="1" t="s">
        <v>667</v>
      </c>
      <c r="C2628" s="1" t="s">
        <v>336</v>
      </c>
      <c r="D2628" s="52">
        <v>46070.481249999997</v>
      </c>
      <c r="E2628" s="52">
        <v>46070.481249999997</v>
      </c>
      <c r="F2628" s="52">
        <v>46070.481944444444</v>
      </c>
      <c r="G2628" s="53">
        <v>1.1689814814814816E-3</v>
      </c>
      <c r="H2628" s="1" t="s">
        <v>257</v>
      </c>
      <c r="J2628" s="1" t="s">
        <v>371</v>
      </c>
      <c r="K2628" s="1" t="s">
        <v>653</v>
      </c>
      <c r="L2628" s="1" t="s">
        <v>1288</v>
      </c>
    </row>
    <row r="2629" spans="2:12">
      <c r="B2629" s="1" t="s">
        <v>667</v>
      </c>
      <c r="C2629" s="1" t="s">
        <v>336</v>
      </c>
      <c r="D2629" s="52">
        <v>46070.46875</v>
      </c>
      <c r="E2629" s="52">
        <v>46070.46875</v>
      </c>
      <c r="F2629" s="52">
        <v>46070.470833333333</v>
      </c>
      <c r="G2629" s="53">
        <v>2.3611111111111111E-3</v>
      </c>
      <c r="H2629" s="1" t="s">
        <v>257</v>
      </c>
      <c r="J2629" s="1" t="s">
        <v>371</v>
      </c>
      <c r="K2629" s="1" t="s">
        <v>653</v>
      </c>
      <c r="L2629" s="1" t="s">
        <v>1289</v>
      </c>
    </row>
    <row r="2630" spans="2:12">
      <c r="B2630" s="1" t="s">
        <v>667</v>
      </c>
      <c r="C2630" s="1" t="s">
        <v>336</v>
      </c>
      <c r="D2630" s="52">
        <v>46070.46597222222</v>
      </c>
      <c r="E2630" s="52">
        <v>46070.46597222222</v>
      </c>
      <c r="F2630" s="52">
        <v>46070.468055555553</v>
      </c>
      <c r="G2630" s="53">
        <v>2.3148148148148147E-3</v>
      </c>
      <c r="H2630" s="1" t="s">
        <v>257</v>
      </c>
      <c r="J2630" s="1" t="s">
        <v>371</v>
      </c>
      <c r="K2630" s="1" t="s">
        <v>653</v>
      </c>
      <c r="L2630" s="1" t="s">
        <v>1290</v>
      </c>
    </row>
    <row r="2631" spans="2:12">
      <c r="B2631" s="1" t="s">
        <v>667</v>
      </c>
      <c r="C2631" s="1" t="s">
        <v>336</v>
      </c>
      <c r="D2631" s="52">
        <v>46070.457638888889</v>
      </c>
      <c r="E2631" s="52">
        <v>46070.457638888889</v>
      </c>
      <c r="F2631" s="52">
        <v>46070.459027777775</v>
      </c>
      <c r="G2631" s="53">
        <v>1.4120370370370369E-3</v>
      </c>
      <c r="H2631" s="1" t="s">
        <v>257</v>
      </c>
      <c r="J2631" s="1" t="s">
        <v>371</v>
      </c>
      <c r="K2631" s="1" t="s">
        <v>653</v>
      </c>
      <c r="L2631" s="1" t="s">
        <v>1291</v>
      </c>
    </row>
    <row r="2632" spans="2:12">
      <c r="B2632" s="1" t="s">
        <v>667</v>
      </c>
      <c r="C2632" s="1" t="s">
        <v>336</v>
      </c>
      <c r="D2632" s="52">
        <v>46070.449305555558</v>
      </c>
      <c r="E2632" s="52">
        <v>46070.449305555558</v>
      </c>
      <c r="F2632" s="52">
        <v>46070.451388888891</v>
      </c>
      <c r="G2632" s="53">
        <v>1.8865740740740742E-3</v>
      </c>
      <c r="H2632" s="1" t="s">
        <v>257</v>
      </c>
      <c r="J2632" s="1" t="s">
        <v>371</v>
      </c>
      <c r="K2632" s="1" t="s">
        <v>653</v>
      </c>
      <c r="L2632" s="1" t="s">
        <v>1292</v>
      </c>
    </row>
    <row r="2633" spans="2:12">
      <c r="B2633" s="1" t="s">
        <v>667</v>
      </c>
      <c r="C2633" s="1" t="s">
        <v>336</v>
      </c>
      <c r="D2633" s="52">
        <v>46070.447222222225</v>
      </c>
      <c r="E2633" s="52">
        <v>46070.447222222225</v>
      </c>
      <c r="F2633" s="52">
        <v>46070.449305555558</v>
      </c>
      <c r="G2633" s="53">
        <v>2.1875000000000002E-3</v>
      </c>
      <c r="H2633" s="1" t="s">
        <v>257</v>
      </c>
      <c r="J2633" s="1" t="s">
        <v>371</v>
      </c>
      <c r="K2633" s="1" t="s">
        <v>653</v>
      </c>
      <c r="L2633" s="1" t="s">
        <v>1293</v>
      </c>
    </row>
    <row r="2634" spans="2:12">
      <c r="B2634" s="1" t="s">
        <v>667</v>
      </c>
      <c r="C2634" s="1" t="s">
        <v>336</v>
      </c>
      <c r="D2634" s="52">
        <v>46070.436111111114</v>
      </c>
      <c r="E2634" s="52">
        <v>46070.436111111114</v>
      </c>
      <c r="F2634" s="52">
        <v>46070.436805555553</v>
      </c>
      <c r="G2634" s="53">
        <v>5.5555555555555556E-4</v>
      </c>
      <c r="H2634" s="1" t="s">
        <v>257</v>
      </c>
      <c r="J2634" s="1" t="s">
        <v>371</v>
      </c>
      <c r="K2634" s="1" t="s">
        <v>653</v>
      </c>
      <c r="L2634" s="1" t="s">
        <v>1294</v>
      </c>
    </row>
    <row r="2635" spans="2:12">
      <c r="B2635" s="1" t="s">
        <v>667</v>
      </c>
      <c r="C2635" s="1" t="s">
        <v>336</v>
      </c>
      <c r="D2635" s="52">
        <v>46070.406944444447</v>
      </c>
      <c r="E2635" s="52">
        <v>46070.406944444447</v>
      </c>
      <c r="F2635" s="52">
        <v>46070.406944444447</v>
      </c>
      <c r="G2635" s="53">
        <v>5.4398148148148144E-4</v>
      </c>
      <c r="H2635" s="1" t="s">
        <v>257</v>
      </c>
      <c r="J2635" s="1" t="s">
        <v>371</v>
      </c>
      <c r="K2635" s="1" t="s">
        <v>653</v>
      </c>
      <c r="L2635" s="1" t="s">
        <v>1295</v>
      </c>
    </row>
    <row r="2636" spans="2:12">
      <c r="B2636" s="1" t="s">
        <v>667</v>
      </c>
      <c r="C2636" s="1" t="s">
        <v>336</v>
      </c>
      <c r="D2636" s="52">
        <v>46070.387499999997</v>
      </c>
      <c r="E2636" s="52">
        <v>46070.387499999997</v>
      </c>
      <c r="F2636" s="52">
        <v>46070.388194444444</v>
      </c>
      <c r="G2636" s="53">
        <v>5.5555555555555556E-4</v>
      </c>
      <c r="H2636" s="1" t="s">
        <v>257</v>
      </c>
      <c r="J2636" s="1" t="s">
        <v>371</v>
      </c>
      <c r="K2636" s="1" t="s">
        <v>653</v>
      </c>
      <c r="L2636" s="1" t="s">
        <v>1296</v>
      </c>
    </row>
    <row r="2637" spans="2:12">
      <c r="B2637" s="1" t="s">
        <v>667</v>
      </c>
      <c r="C2637" s="1" t="s">
        <v>336</v>
      </c>
      <c r="D2637" s="52">
        <v>46070.37777777778</v>
      </c>
      <c r="E2637" s="52">
        <v>46070.37777777778</v>
      </c>
      <c r="F2637" s="52">
        <v>46070.378472222219</v>
      </c>
      <c r="G2637" s="53">
        <v>5.4398148148148144E-4</v>
      </c>
      <c r="H2637" s="1" t="s">
        <v>257</v>
      </c>
      <c r="J2637" s="1" t="s">
        <v>371</v>
      </c>
      <c r="K2637" s="1" t="s">
        <v>653</v>
      </c>
      <c r="L2637" s="1" t="s">
        <v>1297</v>
      </c>
    </row>
    <row r="2638" spans="2:12">
      <c r="B2638" s="1" t="s">
        <v>667</v>
      </c>
      <c r="C2638" s="1" t="s">
        <v>336</v>
      </c>
      <c r="D2638" s="52">
        <v>46070.367361111108</v>
      </c>
      <c r="E2638" s="52">
        <v>46070.367361111108</v>
      </c>
      <c r="F2638" s="52">
        <v>46070.368055555555</v>
      </c>
      <c r="G2638" s="53">
        <v>5.3240740740740744E-4</v>
      </c>
      <c r="H2638" s="1" t="s">
        <v>257</v>
      </c>
      <c r="J2638" s="1" t="s">
        <v>371</v>
      </c>
      <c r="K2638" s="1" t="s">
        <v>653</v>
      </c>
      <c r="L2638" s="1" t="s">
        <v>1298</v>
      </c>
    </row>
    <row r="2639" spans="2:12">
      <c r="B2639" s="1" t="s">
        <v>667</v>
      </c>
      <c r="C2639" s="1" t="s">
        <v>336</v>
      </c>
      <c r="D2639" s="52">
        <v>46070.354166666664</v>
      </c>
      <c r="E2639" s="52">
        <v>46070.354166666664</v>
      </c>
      <c r="F2639" s="52">
        <v>46070.354861111111</v>
      </c>
      <c r="G2639" s="53">
        <v>5.4398148148148144E-4</v>
      </c>
      <c r="H2639" s="1" t="s">
        <v>257</v>
      </c>
      <c r="J2639" s="1" t="s">
        <v>371</v>
      </c>
      <c r="K2639" s="1" t="s">
        <v>653</v>
      </c>
      <c r="L2639" s="1" t="s">
        <v>1299</v>
      </c>
    </row>
    <row r="2640" spans="2:12">
      <c r="B2640" s="1" t="s">
        <v>667</v>
      </c>
      <c r="C2640" s="1" t="s">
        <v>336</v>
      </c>
      <c r="D2640" s="52">
        <v>46070.336805555555</v>
      </c>
      <c r="E2640" s="52">
        <v>46070.336805555555</v>
      </c>
      <c r="F2640" s="52">
        <v>46070.337500000001</v>
      </c>
      <c r="G2640" s="53">
        <v>5.4398148148148144E-4</v>
      </c>
      <c r="H2640" s="1" t="s">
        <v>257</v>
      </c>
      <c r="J2640" s="1" t="s">
        <v>371</v>
      </c>
      <c r="K2640" s="1" t="s">
        <v>653</v>
      </c>
      <c r="L2640" s="1" t="s">
        <v>1300</v>
      </c>
    </row>
    <row r="2641" spans="2:12">
      <c r="B2641" s="1" t="s">
        <v>667</v>
      </c>
      <c r="C2641" s="1" t="s">
        <v>336</v>
      </c>
      <c r="D2641" s="52">
        <v>46070.321527777778</v>
      </c>
      <c r="E2641" s="52">
        <v>46070.321527777778</v>
      </c>
      <c r="F2641" s="52">
        <v>46070.322222222225</v>
      </c>
      <c r="G2641" s="53">
        <v>5.4398148148148144E-4</v>
      </c>
      <c r="H2641" s="1" t="s">
        <v>257</v>
      </c>
      <c r="J2641" s="1" t="s">
        <v>371</v>
      </c>
      <c r="K2641" s="1" t="s">
        <v>653</v>
      </c>
      <c r="L2641" s="1" t="s">
        <v>1301</v>
      </c>
    </row>
    <row r="2642" spans="2:12">
      <c r="B2642" s="1" t="s">
        <v>667</v>
      </c>
      <c r="C2642" s="1" t="s">
        <v>336</v>
      </c>
      <c r="D2642" s="52">
        <v>46070.31527777778</v>
      </c>
      <c r="E2642" s="52">
        <v>46070.31527777778</v>
      </c>
      <c r="F2642" s="52">
        <v>46070.315972222219</v>
      </c>
      <c r="G2642" s="53">
        <v>4.9768518518518521E-4</v>
      </c>
      <c r="H2642" s="1" t="s">
        <v>257</v>
      </c>
      <c r="J2642" s="1" t="s">
        <v>371</v>
      </c>
      <c r="K2642" s="1" t="s">
        <v>653</v>
      </c>
      <c r="L2642" s="1" t="s">
        <v>1302</v>
      </c>
    </row>
    <row r="2643" spans="2:12">
      <c r="B2643" s="1" t="s">
        <v>667</v>
      </c>
      <c r="C2643" s="1" t="s">
        <v>336</v>
      </c>
      <c r="D2643" s="52">
        <v>46070.304861111108</v>
      </c>
      <c r="E2643" s="52">
        <v>46070.304861111108</v>
      </c>
      <c r="F2643" s="52">
        <v>46070.305555555555</v>
      </c>
      <c r="G2643" s="53">
        <v>5.2083333333333333E-4</v>
      </c>
      <c r="H2643" s="1" t="s">
        <v>257</v>
      </c>
      <c r="J2643" s="1" t="s">
        <v>371</v>
      </c>
      <c r="K2643" s="1" t="s">
        <v>653</v>
      </c>
      <c r="L2643" s="1" t="s">
        <v>1303</v>
      </c>
    </row>
    <row r="2644" spans="2:12">
      <c r="B2644" s="1" t="s">
        <v>667</v>
      </c>
      <c r="C2644" s="1" t="s">
        <v>336</v>
      </c>
      <c r="D2644" s="52">
        <v>46070.296527777777</v>
      </c>
      <c r="E2644" s="52">
        <v>46070.296527777777</v>
      </c>
      <c r="F2644" s="52">
        <v>46070.297222222223</v>
      </c>
      <c r="G2644" s="53">
        <v>5.0925925925925921E-4</v>
      </c>
      <c r="H2644" s="1" t="s">
        <v>257</v>
      </c>
      <c r="J2644" s="1" t="s">
        <v>371</v>
      </c>
      <c r="K2644" s="1" t="s">
        <v>653</v>
      </c>
      <c r="L2644" s="1" t="s">
        <v>1304</v>
      </c>
    </row>
    <row r="2645" spans="2:12">
      <c r="B2645" s="1" t="s">
        <v>667</v>
      </c>
      <c r="C2645" s="1" t="s">
        <v>336</v>
      </c>
      <c r="D2645" s="52">
        <v>46070.289583333331</v>
      </c>
      <c r="E2645" s="52">
        <v>46070.289583333331</v>
      </c>
      <c r="F2645" s="52">
        <v>46070.290277777778</v>
      </c>
      <c r="G2645" s="53">
        <v>5.9027777777777778E-4</v>
      </c>
      <c r="H2645" s="1" t="s">
        <v>257</v>
      </c>
      <c r="J2645" s="1" t="s">
        <v>371</v>
      </c>
      <c r="K2645" s="1" t="s">
        <v>653</v>
      </c>
      <c r="L2645" s="1" t="s">
        <v>1305</v>
      </c>
    </row>
    <row r="2646" spans="2:12">
      <c r="B2646" s="1" t="s">
        <v>667</v>
      </c>
      <c r="C2646" s="1" t="s">
        <v>336</v>
      </c>
      <c r="D2646" s="52">
        <v>46070.282638888886</v>
      </c>
      <c r="E2646" s="52">
        <v>46070.282638888886</v>
      </c>
      <c r="F2646" s="52">
        <v>46070.283333333333</v>
      </c>
      <c r="G2646" s="53">
        <v>6.2500000000000001E-4</v>
      </c>
      <c r="H2646" s="1" t="s">
        <v>257</v>
      </c>
      <c r="J2646" s="1" t="s">
        <v>371</v>
      </c>
      <c r="K2646" s="1" t="s">
        <v>653</v>
      </c>
      <c r="L2646" s="1" t="s">
        <v>1306</v>
      </c>
    </row>
    <row r="2647" spans="2:12">
      <c r="B2647" s="1" t="s">
        <v>667</v>
      </c>
      <c r="C2647" s="1" t="s">
        <v>336</v>
      </c>
      <c r="D2647" s="52">
        <v>46070.277083333334</v>
      </c>
      <c r="E2647" s="52">
        <v>46070.277083333334</v>
      </c>
      <c r="F2647" s="52">
        <v>46070.277777777781</v>
      </c>
      <c r="G2647" s="53">
        <v>5.4398148148148144E-4</v>
      </c>
      <c r="H2647" s="1" t="s">
        <v>257</v>
      </c>
      <c r="J2647" s="1" t="s">
        <v>371</v>
      </c>
      <c r="K2647" s="1" t="s">
        <v>653</v>
      </c>
      <c r="L2647" s="1" t="s">
        <v>1307</v>
      </c>
    </row>
    <row r="2648" spans="2:12">
      <c r="B2648" s="1" t="s">
        <v>667</v>
      </c>
      <c r="C2648" s="1" t="s">
        <v>336</v>
      </c>
      <c r="D2648" s="52">
        <v>46070.271527777775</v>
      </c>
      <c r="E2648" s="52">
        <v>46070.271527777775</v>
      </c>
      <c r="F2648" s="52">
        <v>46070.272222222222</v>
      </c>
      <c r="G2648" s="53">
        <v>5.2083333333333333E-4</v>
      </c>
      <c r="H2648" s="1" t="s">
        <v>257</v>
      </c>
      <c r="J2648" s="1" t="s">
        <v>371</v>
      </c>
      <c r="K2648" s="1" t="s">
        <v>653</v>
      </c>
      <c r="L2648" s="1" t="s">
        <v>1308</v>
      </c>
    </row>
    <row r="2649" spans="2:12">
      <c r="B2649" s="1" t="s">
        <v>667</v>
      </c>
      <c r="C2649" s="1" t="s">
        <v>336</v>
      </c>
      <c r="D2649" s="52">
        <v>46070.267361111109</v>
      </c>
      <c r="E2649" s="52">
        <v>46070.267361111109</v>
      </c>
      <c r="F2649" s="52">
        <v>46070.268055555556</v>
      </c>
      <c r="G2649" s="53">
        <v>5.2083333333333333E-4</v>
      </c>
      <c r="H2649" s="1" t="s">
        <v>257</v>
      </c>
      <c r="J2649" s="1" t="s">
        <v>371</v>
      </c>
      <c r="K2649" s="1" t="s">
        <v>653</v>
      </c>
      <c r="L2649" s="1" t="s">
        <v>1309</v>
      </c>
    </row>
    <row r="2650" spans="2:12">
      <c r="B2650" s="1" t="s">
        <v>667</v>
      </c>
      <c r="C2650" s="1" t="s">
        <v>336</v>
      </c>
      <c r="D2650" s="52">
        <v>46070.256944444445</v>
      </c>
      <c r="E2650" s="52">
        <v>46070.256944444445</v>
      </c>
      <c r="F2650" s="52">
        <v>46070.257638888892</v>
      </c>
      <c r="G2650" s="53">
        <v>5.0925925925925921E-4</v>
      </c>
      <c r="H2650" s="1" t="s">
        <v>257</v>
      </c>
      <c r="J2650" s="1" t="s">
        <v>371</v>
      </c>
      <c r="K2650" s="1" t="s">
        <v>653</v>
      </c>
      <c r="L2650" s="1" t="s">
        <v>1310</v>
      </c>
    </row>
    <row r="2651" spans="2:12">
      <c r="B2651" s="1" t="s">
        <v>667</v>
      </c>
      <c r="C2651" s="1" t="s">
        <v>336</v>
      </c>
      <c r="D2651" s="52">
        <v>46070.256249999999</v>
      </c>
      <c r="E2651" s="52">
        <v>46070.256249999999</v>
      </c>
      <c r="F2651" s="52">
        <v>46070.256944444445</v>
      </c>
      <c r="G2651" s="53">
        <v>4.7453703703703704E-4</v>
      </c>
      <c r="H2651" s="1" t="s">
        <v>257</v>
      </c>
      <c r="J2651" s="1" t="s">
        <v>371</v>
      </c>
      <c r="K2651" s="1" t="s">
        <v>653</v>
      </c>
      <c r="L2651" s="1" t="s">
        <v>1311</v>
      </c>
    </row>
    <row r="2652" spans="2:12">
      <c r="B2652" s="1" t="s">
        <v>667</v>
      </c>
      <c r="C2652" s="1" t="s">
        <v>336</v>
      </c>
      <c r="D2652" s="52">
        <v>46070.236805555556</v>
      </c>
      <c r="E2652" s="52">
        <v>46070.236805555556</v>
      </c>
      <c r="F2652" s="52">
        <v>46070.256249999999</v>
      </c>
      <c r="G2652" s="53">
        <v>1.9351851851851853E-2</v>
      </c>
      <c r="H2652" s="1" t="s">
        <v>257</v>
      </c>
      <c r="J2652" s="1" t="s">
        <v>371</v>
      </c>
      <c r="K2652" s="1" t="s">
        <v>653</v>
      </c>
      <c r="L2652" s="1" t="s">
        <v>1312</v>
      </c>
    </row>
    <row r="2653" spans="2:12">
      <c r="B2653" s="1" t="s">
        <v>667</v>
      </c>
      <c r="C2653" s="1" t="s">
        <v>336</v>
      </c>
      <c r="D2653" s="52">
        <v>46070.236111111109</v>
      </c>
      <c r="E2653" s="52">
        <v>46070.236111111109</v>
      </c>
      <c r="F2653" s="52">
        <v>46070.256249999999</v>
      </c>
      <c r="G2653" s="53">
        <v>1.9768518518518519E-2</v>
      </c>
      <c r="H2653" s="1" t="s">
        <v>257</v>
      </c>
      <c r="J2653" s="1" t="s">
        <v>371</v>
      </c>
      <c r="K2653" s="1" t="s">
        <v>653</v>
      </c>
      <c r="L2653" s="1" t="s">
        <v>1313</v>
      </c>
    </row>
    <row r="2654" spans="2:12">
      <c r="B2654" s="1" t="s">
        <v>667</v>
      </c>
      <c r="C2654" s="1" t="s">
        <v>336</v>
      </c>
      <c r="D2654" s="52">
        <v>46069.763194444444</v>
      </c>
      <c r="E2654" s="52">
        <v>46069.763194444444</v>
      </c>
      <c r="F2654" s="52">
        <v>46069.787499999999</v>
      </c>
      <c r="G2654" s="53">
        <v>2.4895833333333332E-2</v>
      </c>
      <c r="H2654" s="1" t="s">
        <v>257</v>
      </c>
      <c r="J2654" s="1" t="s">
        <v>371</v>
      </c>
      <c r="K2654" s="1" t="s">
        <v>653</v>
      </c>
      <c r="L2654" s="1" t="s">
        <v>1314</v>
      </c>
    </row>
    <row r="2655" spans="2:12">
      <c r="B2655" s="1" t="s">
        <v>667</v>
      </c>
      <c r="C2655" s="1" t="s">
        <v>336</v>
      </c>
      <c r="D2655" s="52">
        <v>46069.762499999997</v>
      </c>
      <c r="E2655" s="52">
        <v>46069.762499999997</v>
      </c>
      <c r="F2655" s="52">
        <v>46069.762499999997</v>
      </c>
      <c r="G2655" s="53">
        <v>5.2083333333333333E-4</v>
      </c>
      <c r="H2655" s="1" t="s">
        <v>257</v>
      </c>
      <c r="J2655" s="1" t="s">
        <v>371</v>
      </c>
      <c r="K2655" s="1" t="s">
        <v>653</v>
      </c>
      <c r="L2655" s="1" t="s">
        <v>1315</v>
      </c>
    </row>
    <row r="2656" spans="2:12">
      <c r="B2656" s="1" t="s">
        <v>667</v>
      </c>
      <c r="C2656" s="1" t="s">
        <v>336</v>
      </c>
      <c r="D2656" s="52">
        <v>46069.761805555558</v>
      </c>
      <c r="E2656" s="52">
        <v>46069.761805555558</v>
      </c>
      <c r="F2656" s="52">
        <v>46069.761805555558</v>
      </c>
      <c r="G2656" s="53">
        <v>5.3240740740740744E-4</v>
      </c>
      <c r="H2656" s="1" t="s">
        <v>257</v>
      </c>
      <c r="J2656" s="1" t="s">
        <v>371</v>
      </c>
      <c r="K2656" s="1" t="s">
        <v>653</v>
      </c>
      <c r="L2656" s="1" t="s">
        <v>1316</v>
      </c>
    </row>
    <row r="2657" spans="2:12">
      <c r="B2657" s="1" t="s">
        <v>667</v>
      </c>
      <c r="C2657" s="1" t="s">
        <v>336</v>
      </c>
      <c r="D2657" s="52">
        <v>46069.761111111111</v>
      </c>
      <c r="E2657" s="52">
        <v>46069.761111111111</v>
      </c>
      <c r="F2657" s="52">
        <v>46069.761111111111</v>
      </c>
      <c r="G2657" s="53">
        <v>5.0925925925925921E-4</v>
      </c>
      <c r="H2657" s="1" t="s">
        <v>257</v>
      </c>
      <c r="J2657" s="1" t="s">
        <v>371</v>
      </c>
      <c r="K2657" s="1" t="s">
        <v>653</v>
      </c>
      <c r="L2657" s="1" t="s">
        <v>1317</v>
      </c>
    </row>
    <row r="2658" spans="2:12">
      <c r="B2658" s="1" t="s">
        <v>667</v>
      </c>
      <c r="C2658" s="1" t="s">
        <v>336</v>
      </c>
      <c r="D2658" s="52">
        <v>46069.760416666664</v>
      </c>
      <c r="E2658" s="52">
        <v>46069.760416666664</v>
      </c>
      <c r="F2658" s="52">
        <v>46069.760416666664</v>
      </c>
      <c r="G2658" s="53">
        <v>5.2083333333333333E-4</v>
      </c>
      <c r="H2658" s="1" t="s">
        <v>257</v>
      </c>
      <c r="J2658" s="1" t="s">
        <v>371</v>
      </c>
      <c r="K2658" s="1" t="s">
        <v>653</v>
      </c>
      <c r="L2658" s="1" t="s">
        <v>1318</v>
      </c>
    </row>
    <row r="2659" spans="2:12">
      <c r="B2659" s="1" t="s">
        <v>667</v>
      </c>
      <c r="C2659" s="1" t="s">
        <v>336</v>
      </c>
      <c r="D2659" s="52">
        <v>46069.709722222222</v>
      </c>
      <c r="E2659" s="52">
        <v>46069.709722222222</v>
      </c>
      <c r="F2659" s="52">
        <v>46069.710416666669</v>
      </c>
      <c r="G2659" s="53">
        <v>5.4398148148148144E-4</v>
      </c>
      <c r="H2659" s="1" t="s">
        <v>257</v>
      </c>
      <c r="J2659" s="1" t="s">
        <v>371</v>
      </c>
      <c r="K2659" s="1" t="s">
        <v>653</v>
      </c>
      <c r="L2659" s="1" t="s">
        <v>1319</v>
      </c>
    </row>
    <row r="2660" spans="2:12">
      <c r="B2660" s="1" t="s">
        <v>667</v>
      </c>
      <c r="C2660" s="1" t="s">
        <v>336</v>
      </c>
      <c r="D2660" s="52">
        <v>46069.696527777778</v>
      </c>
      <c r="E2660" s="52">
        <v>46069.696527777778</v>
      </c>
      <c r="F2660" s="52">
        <v>46069.697222222225</v>
      </c>
      <c r="G2660" s="53">
        <v>5.3240740740740744E-4</v>
      </c>
      <c r="H2660" s="1" t="s">
        <v>257</v>
      </c>
      <c r="J2660" s="1" t="s">
        <v>371</v>
      </c>
      <c r="K2660" s="1" t="s">
        <v>653</v>
      </c>
      <c r="L2660" s="1" t="s">
        <v>1320</v>
      </c>
    </row>
    <row r="2661" spans="2:12">
      <c r="B2661" s="1" t="s">
        <v>667</v>
      </c>
      <c r="C2661" s="1" t="s">
        <v>336</v>
      </c>
      <c r="D2661" s="52">
        <v>46069.681250000001</v>
      </c>
      <c r="E2661" s="52">
        <v>46069.681250000001</v>
      </c>
      <c r="F2661" s="52">
        <v>46069.681944444441</v>
      </c>
      <c r="G2661" s="53">
        <v>5.4398148148148144E-4</v>
      </c>
      <c r="H2661" s="1" t="s">
        <v>257</v>
      </c>
      <c r="J2661" s="1" t="s">
        <v>371</v>
      </c>
      <c r="K2661" s="1" t="s">
        <v>653</v>
      </c>
      <c r="L2661" s="1" t="s">
        <v>1321</v>
      </c>
    </row>
    <row r="2662" spans="2:12">
      <c r="B2662" s="1" t="s">
        <v>667</v>
      </c>
      <c r="C2662" s="1" t="s">
        <v>336</v>
      </c>
      <c r="D2662" s="52">
        <v>46069.666666666664</v>
      </c>
      <c r="E2662" s="52">
        <v>46069.666666666664</v>
      </c>
      <c r="F2662" s="52">
        <v>46069.669444444444</v>
      </c>
      <c r="G2662" s="53">
        <v>2.3148148148148147E-3</v>
      </c>
      <c r="H2662" s="1" t="s">
        <v>257</v>
      </c>
      <c r="J2662" s="1" t="s">
        <v>371</v>
      </c>
      <c r="K2662" s="1" t="s">
        <v>653</v>
      </c>
      <c r="L2662" s="1" t="s">
        <v>1322</v>
      </c>
    </row>
    <row r="2663" spans="2:12">
      <c r="B2663" s="1" t="s">
        <v>667</v>
      </c>
      <c r="C2663" s="1" t="s">
        <v>336</v>
      </c>
      <c r="D2663" s="52">
        <v>46069.654166666667</v>
      </c>
      <c r="E2663" s="52">
        <v>46069.654166666667</v>
      </c>
      <c r="F2663" s="52">
        <v>46069.654861111114</v>
      </c>
      <c r="G2663" s="53">
        <v>5.4398148148148144E-4</v>
      </c>
      <c r="H2663" s="1" t="s">
        <v>257</v>
      </c>
      <c r="J2663" s="1" t="s">
        <v>371</v>
      </c>
      <c r="K2663" s="1" t="s">
        <v>653</v>
      </c>
      <c r="L2663" s="1" t="s">
        <v>1323</v>
      </c>
    </row>
    <row r="2664" spans="2:12">
      <c r="B2664" s="1" t="s">
        <v>667</v>
      </c>
      <c r="C2664" s="1" t="s">
        <v>336</v>
      </c>
      <c r="D2664" s="52">
        <v>46069.642361111109</v>
      </c>
      <c r="E2664" s="52">
        <v>46069.642361111109</v>
      </c>
      <c r="F2664" s="52">
        <v>46069.643750000003</v>
      </c>
      <c r="G2664" s="53">
        <v>7.8703703703703705E-4</v>
      </c>
      <c r="H2664" s="1" t="s">
        <v>257</v>
      </c>
      <c r="J2664" s="1" t="s">
        <v>371</v>
      </c>
      <c r="K2664" s="1" t="s">
        <v>653</v>
      </c>
      <c r="L2664" s="1" t="s">
        <v>1324</v>
      </c>
    </row>
    <row r="2665" spans="2:12">
      <c r="B2665" s="1" t="s">
        <v>667</v>
      </c>
      <c r="C2665" s="1" t="s">
        <v>336</v>
      </c>
      <c r="D2665" s="52">
        <v>46069.64166666667</v>
      </c>
      <c r="E2665" s="52">
        <v>46069.64166666667</v>
      </c>
      <c r="F2665" s="52">
        <v>46069.642361111109</v>
      </c>
      <c r="G2665" s="53">
        <v>5.5555555555555556E-4</v>
      </c>
      <c r="H2665" s="1" t="s">
        <v>257</v>
      </c>
      <c r="J2665" s="1" t="s">
        <v>371</v>
      </c>
      <c r="K2665" s="1" t="s">
        <v>653</v>
      </c>
      <c r="L2665" s="1" t="s">
        <v>1325</v>
      </c>
    </row>
    <row r="2666" spans="2:12">
      <c r="B2666" s="1" t="s">
        <v>667</v>
      </c>
      <c r="C2666" s="1" t="s">
        <v>336</v>
      </c>
      <c r="D2666" s="52">
        <v>46069.612500000003</v>
      </c>
      <c r="E2666" s="52">
        <v>46069.612500000003</v>
      </c>
      <c r="F2666" s="52">
        <v>46069.615277777775</v>
      </c>
      <c r="G2666" s="53">
        <v>2.5925925925925925E-3</v>
      </c>
      <c r="H2666" s="1" t="s">
        <v>257</v>
      </c>
      <c r="J2666" s="1" t="s">
        <v>371</v>
      </c>
      <c r="K2666" s="1" t="s">
        <v>653</v>
      </c>
      <c r="L2666" s="1" t="s">
        <v>1326</v>
      </c>
    </row>
    <row r="2667" spans="2:12">
      <c r="B2667" s="1" t="s">
        <v>667</v>
      </c>
      <c r="C2667" s="1" t="s">
        <v>336</v>
      </c>
      <c r="D2667" s="52">
        <v>46069.611111111109</v>
      </c>
      <c r="E2667" s="52">
        <v>46069.611111111109</v>
      </c>
      <c r="F2667" s="52">
        <v>46069.612500000003</v>
      </c>
      <c r="G2667" s="53">
        <v>1.1921296296296296E-3</v>
      </c>
      <c r="H2667" s="1" t="s">
        <v>257</v>
      </c>
      <c r="J2667" s="1" t="s">
        <v>371</v>
      </c>
      <c r="K2667" s="1" t="s">
        <v>653</v>
      </c>
      <c r="L2667" s="1" t="s">
        <v>1327</v>
      </c>
    </row>
    <row r="2668" spans="2:12">
      <c r="B2668" s="1" t="s">
        <v>667</v>
      </c>
      <c r="C2668" s="1" t="s">
        <v>336</v>
      </c>
      <c r="D2668" s="52">
        <v>46069.598611111112</v>
      </c>
      <c r="E2668" s="52">
        <v>46069.598611111112</v>
      </c>
      <c r="F2668" s="52">
        <v>46069.599305555559</v>
      </c>
      <c r="G2668" s="53">
        <v>1.0763888888888889E-3</v>
      </c>
      <c r="H2668" s="1" t="s">
        <v>257</v>
      </c>
      <c r="J2668" s="1" t="s">
        <v>371</v>
      </c>
      <c r="K2668" s="1" t="s">
        <v>653</v>
      </c>
      <c r="L2668" s="1" t="s">
        <v>1328</v>
      </c>
    </row>
    <row r="2669" spans="2:12">
      <c r="B2669" s="1" t="s">
        <v>667</v>
      </c>
      <c r="C2669" s="1" t="s">
        <v>336</v>
      </c>
      <c r="D2669" s="52">
        <v>46069.594444444447</v>
      </c>
      <c r="E2669" s="52">
        <v>46069.594444444447</v>
      </c>
      <c r="F2669" s="52">
        <v>46069.595833333333</v>
      </c>
      <c r="G2669" s="53">
        <v>1.6435185185185185E-3</v>
      </c>
      <c r="H2669" s="1" t="s">
        <v>257</v>
      </c>
      <c r="J2669" s="1" t="s">
        <v>371</v>
      </c>
      <c r="K2669" s="1" t="s">
        <v>653</v>
      </c>
      <c r="L2669" s="1" t="s">
        <v>1329</v>
      </c>
    </row>
    <row r="2670" spans="2:12">
      <c r="B2670" s="1" t="s">
        <v>667</v>
      </c>
      <c r="C2670" s="1" t="s">
        <v>336</v>
      </c>
      <c r="D2670" s="52">
        <v>46069.586805555555</v>
      </c>
      <c r="E2670" s="52">
        <v>46069.586805555555</v>
      </c>
      <c r="F2670" s="52">
        <v>46069.587500000001</v>
      </c>
      <c r="G2670" s="53">
        <v>7.6388888888888893E-4</v>
      </c>
      <c r="H2670" s="1" t="s">
        <v>257</v>
      </c>
      <c r="J2670" s="1" t="s">
        <v>371</v>
      </c>
      <c r="K2670" s="1" t="s">
        <v>653</v>
      </c>
      <c r="L2670" s="1" t="s">
        <v>1330</v>
      </c>
    </row>
    <row r="2671" spans="2:12">
      <c r="B2671" s="1" t="s">
        <v>667</v>
      </c>
      <c r="C2671" s="1" t="s">
        <v>336</v>
      </c>
      <c r="D2671" s="52">
        <v>46069.582638888889</v>
      </c>
      <c r="E2671" s="52">
        <v>46069.582638888889</v>
      </c>
      <c r="F2671" s="52">
        <v>46069.582638888889</v>
      </c>
      <c r="G2671" s="53">
        <v>5.4398148148148144E-4</v>
      </c>
      <c r="H2671" s="1" t="s">
        <v>257</v>
      </c>
      <c r="J2671" s="1" t="s">
        <v>371</v>
      </c>
      <c r="K2671" s="1" t="s">
        <v>653</v>
      </c>
      <c r="L2671" s="1" t="s">
        <v>1331</v>
      </c>
    </row>
    <row r="2672" spans="2:12">
      <c r="B2672" s="1" t="s">
        <v>667</v>
      </c>
      <c r="C2672" s="1" t="s">
        <v>336</v>
      </c>
      <c r="D2672" s="52">
        <v>46069.575694444444</v>
      </c>
      <c r="E2672" s="52">
        <v>46069.575694444444</v>
      </c>
      <c r="F2672" s="52">
        <v>46069.576388888891</v>
      </c>
      <c r="G2672" s="53">
        <v>6.9444444444444447E-4</v>
      </c>
      <c r="H2672" s="1" t="s">
        <v>257</v>
      </c>
      <c r="J2672" s="1" t="s">
        <v>371</v>
      </c>
      <c r="K2672" s="1" t="s">
        <v>653</v>
      </c>
      <c r="L2672" s="1" t="s">
        <v>1332</v>
      </c>
    </row>
    <row r="2673" spans="2:12">
      <c r="B2673" s="1" t="s">
        <v>667</v>
      </c>
      <c r="C2673" s="1" t="s">
        <v>336</v>
      </c>
      <c r="D2673" s="52">
        <v>46069.572916666664</v>
      </c>
      <c r="E2673" s="52">
        <v>46069.572916666664</v>
      </c>
      <c r="F2673" s="52">
        <v>46069.574999999997</v>
      </c>
      <c r="G2673" s="53">
        <v>2.6041666666666665E-3</v>
      </c>
      <c r="H2673" s="1" t="s">
        <v>257</v>
      </c>
      <c r="J2673" s="1" t="s">
        <v>371</v>
      </c>
      <c r="K2673" s="1" t="s">
        <v>653</v>
      </c>
      <c r="L2673" s="1" t="s">
        <v>1333</v>
      </c>
    </row>
    <row r="2674" spans="2:12">
      <c r="B2674" s="1" t="s">
        <v>667</v>
      </c>
      <c r="C2674" s="1" t="s">
        <v>336</v>
      </c>
      <c r="D2674" s="52">
        <v>46069.565972222219</v>
      </c>
      <c r="E2674" s="52">
        <v>46069.565972222219</v>
      </c>
      <c r="F2674" s="52">
        <v>46069.567361111112</v>
      </c>
      <c r="G2674" s="53">
        <v>1.4236111111111112E-3</v>
      </c>
      <c r="H2674" s="1" t="s">
        <v>257</v>
      </c>
      <c r="J2674" s="1" t="s">
        <v>371</v>
      </c>
      <c r="K2674" s="1" t="s">
        <v>653</v>
      </c>
      <c r="L2674" s="1" t="s">
        <v>1334</v>
      </c>
    </row>
    <row r="2675" spans="2:12">
      <c r="B2675" s="1" t="s">
        <v>667</v>
      </c>
      <c r="C2675" s="1" t="s">
        <v>336</v>
      </c>
      <c r="D2675" s="52">
        <v>46069.552083333336</v>
      </c>
      <c r="E2675" s="52">
        <v>46069.552083333336</v>
      </c>
      <c r="F2675" s="52">
        <v>46069.552777777775</v>
      </c>
      <c r="G2675" s="53">
        <v>9.9537037037037042E-4</v>
      </c>
      <c r="H2675" s="1" t="s">
        <v>257</v>
      </c>
      <c r="J2675" s="1" t="s">
        <v>371</v>
      </c>
      <c r="K2675" s="1" t="s">
        <v>653</v>
      </c>
      <c r="L2675" s="1" t="s">
        <v>1335</v>
      </c>
    </row>
    <row r="2676" spans="2:12">
      <c r="B2676" s="1" t="s">
        <v>667</v>
      </c>
      <c r="C2676" s="1" t="s">
        <v>336</v>
      </c>
      <c r="D2676" s="52">
        <v>46069.55</v>
      </c>
      <c r="E2676" s="52">
        <v>46069.55</v>
      </c>
      <c r="F2676" s="52">
        <v>46069.550694444442</v>
      </c>
      <c r="G2676" s="53">
        <v>5.4398148148148144E-4</v>
      </c>
      <c r="H2676" s="1" t="s">
        <v>257</v>
      </c>
      <c r="J2676" s="1" t="s">
        <v>371</v>
      </c>
      <c r="K2676" s="1" t="s">
        <v>653</v>
      </c>
      <c r="L2676" s="1" t="s">
        <v>1336</v>
      </c>
    </row>
    <row r="2677" spans="2:12">
      <c r="B2677" s="1" t="s">
        <v>667</v>
      </c>
      <c r="C2677" s="1" t="s">
        <v>336</v>
      </c>
      <c r="D2677" s="52">
        <v>46069.540277777778</v>
      </c>
      <c r="E2677" s="52">
        <v>46069.540277777778</v>
      </c>
      <c r="F2677" s="52">
        <v>46069.541666666664</v>
      </c>
      <c r="G2677" s="53">
        <v>7.7546296296296293E-4</v>
      </c>
      <c r="H2677" s="1" t="s">
        <v>257</v>
      </c>
      <c r="J2677" s="1" t="s">
        <v>371</v>
      </c>
      <c r="K2677" s="1" t="s">
        <v>653</v>
      </c>
      <c r="L2677" s="1" t="s">
        <v>1337</v>
      </c>
    </row>
    <row r="2678" spans="2:12">
      <c r="B2678" s="1" t="s">
        <v>667</v>
      </c>
      <c r="C2678" s="1" t="s">
        <v>336</v>
      </c>
      <c r="D2678" s="52">
        <v>46069.533333333333</v>
      </c>
      <c r="E2678" s="52">
        <v>46069.533333333333</v>
      </c>
      <c r="F2678" s="52">
        <v>46069.53402777778</v>
      </c>
      <c r="G2678" s="53">
        <v>6.8287037037037036E-4</v>
      </c>
      <c r="H2678" s="1" t="s">
        <v>257</v>
      </c>
      <c r="J2678" s="1" t="s">
        <v>371</v>
      </c>
      <c r="K2678" s="1" t="s">
        <v>653</v>
      </c>
      <c r="L2678" s="1" t="s">
        <v>1338</v>
      </c>
    </row>
    <row r="2679" spans="2:12">
      <c r="B2679" s="1" t="s">
        <v>667</v>
      </c>
      <c r="C2679" s="1" t="s">
        <v>336</v>
      </c>
      <c r="D2679" s="52">
        <v>46069.523611111108</v>
      </c>
      <c r="E2679" s="52">
        <v>46069.523611111108</v>
      </c>
      <c r="F2679" s="52">
        <v>46069.525694444441</v>
      </c>
      <c r="G2679" s="53">
        <v>1.8981481481481482E-3</v>
      </c>
      <c r="H2679" s="1" t="s">
        <v>257</v>
      </c>
      <c r="J2679" s="1" t="s">
        <v>371</v>
      </c>
      <c r="K2679" s="1" t="s">
        <v>653</v>
      </c>
      <c r="L2679" s="1" t="s">
        <v>1339</v>
      </c>
    </row>
    <row r="2680" spans="2:12">
      <c r="B2680" s="1" t="s">
        <v>667</v>
      </c>
      <c r="C2680" s="1" t="s">
        <v>336</v>
      </c>
      <c r="D2680" s="52">
        <v>46069.502083333333</v>
      </c>
      <c r="E2680" s="52">
        <v>46069.502083333333</v>
      </c>
      <c r="F2680" s="52">
        <v>46069.50277777778</v>
      </c>
      <c r="G2680" s="53">
        <v>6.5972222222222224E-4</v>
      </c>
      <c r="H2680" s="1" t="s">
        <v>257</v>
      </c>
      <c r="J2680" s="1" t="s">
        <v>371</v>
      </c>
      <c r="K2680" s="1" t="s">
        <v>653</v>
      </c>
      <c r="L2680" s="1" t="s">
        <v>1340</v>
      </c>
    </row>
    <row r="2681" spans="2:12">
      <c r="B2681" s="1" t="s">
        <v>667</v>
      </c>
      <c r="C2681" s="1" t="s">
        <v>336</v>
      </c>
      <c r="D2681" s="52">
        <v>46069.488888888889</v>
      </c>
      <c r="E2681" s="52">
        <v>46069.488888888889</v>
      </c>
      <c r="F2681" s="52">
        <v>46069.488888888889</v>
      </c>
      <c r="G2681" s="53">
        <v>5.9027777777777778E-4</v>
      </c>
      <c r="H2681" s="1" t="s">
        <v>257</v>
      </c>
      <c r="J2681" s="1" t="s">
        <v>371</v>
      </c>
      <c r="K2681" s="1" t="s">
        <v>653</v>
      </c>
      <c r="L2681" s="1" t="s">
        <v>1341</v>
      </c>
    </row>
    <row r="2682" spans="2:12">
      <c r="B2682" s="1" t="s">
        <v>667</v>
      </c>
      <c r="C2682" s="1" t="s">
        <v>336</v>
      </c>
      <c r="D2682" s="52">
        <v>46069.476388888892</v>
      </c>
      <c r="E2682" s="52">
        <v>46069.476388888892</v>
      </c>
      <c r="F2682" s="52">
        <v>46069.477777777778</v>
      </c>
      <c r="G2682" s="53">
        <v>1.4236111111111112E-3</v>
      </c>
      <c r="H2682" s="1" t="s">
        <v>257</v>
      </c>
      <c r="J2682" s="1" t="s">
        <v>371</v>
      </c>
      <c r="K2682" s="1" t="s">
        <v>653</v>
      </c>
      <c r="L2682" s="1" t="s">
        <v>1342</v>
      </c>
    </row>
    <row r="2683" spans="2:12">
      <c r="B2683" s="1" t="s">
        <v>667</v>
      </c>
      <c r="C2683" s="1" t="s">
        <v>336</v>
      </c>
      <c r="D2683" s="52">
        <v>46069.474999999999</v>
      </c>
      <c r="E2683" s="52">
        <v>46069.474999999999</v>
      </c>
      <c r="F2683" s="52">
        <v>46069.475694444445</v>
      </c>
      <c r="G2683" s="53">
        <v>1.1458333333333333E-3</v>
      </c>
      <c r="H2683" s="1" t="s">
        <v>257</v>
      </c>
      <c r="J2683" s="1" t="s">
        <v>371</v>
      </c>
      <c r="K2683" s="1" t="s">
        <v>653</v>
      </c>
      <c r="L2683" s="1" t="s">
        <v>1343</v>
      </c>
    </row>
    <row r="2684" spans="2:12">
      <c r="B2684" s="1" t="s">
        <v>667</v>
      </c>
      <c r="C2684" s="1" t="s">
        <v>336</v>
      </c>
      <c r="D2684" s="52">
        <v>46069.470138888886</v>
      </c>
      <c r="E2684" s="52">
        <v>46069.470138888886</v>
      </c>
      <c r="F2684" s="52">
        <v>46069.470833333333</v>
      </c>
      <c r="G2684" s="53">
        <v>5.4398148148148144E-4</v>
      </c>
      <c r="H2684" s="1" t="s">
        <v>257</v>
      </c>
      <c r="J2684" s="1" t="s">
        <v>371</v>
      </c>
      <c r="K2684" s="1" t="s">
        <v>653</v>
      </c>
      <c r="L2684" s="1" t="s">
        <v>1344</v>
      </c>
    </row>
    <row r="2685" spans="2:12">
      <c r="B2685" s="1" t="s">
        <v>667</v>
      </c>
      <c r="C2685" s="1" t="s">
        <v>336</v>
      </c>
      <c r="D2685" s="52">
        <v>46069.469444444447</v>
      </c>
      <c r="E2685" s="52">
        <v>46069.469444444447</v>
      </c>
      <c r="F2685" s="52">
        <v>46069.470138888886</v>
      </c>
      <c r="G2685" s="53">
        <v>9.9537037037037042E-4</v>
      </c>
      <c r="H2685" s="1" t="s">
        <v>257</v>
      </c>
      <c r="J2685" s="1" t="s">
        <v>371</v>
      </c>
      <c r="K2685" s="1" t="s">
        <v>653</v>
      </c>
      <c r="L2685" s="1" t="s">
        <v>1345</v>
      </c>
    </row>
    <row r="2686" spans="2:12">
      <c r="B2686" s="1" t="s">
        <v>667</v>
      </c>
      <c r="C2686" s="1" t="s">
        <v>336</v>
      </c>
      <c r="D2686" s="52">
        <v>46069.464583333334</v>
      </c>
      <c r="E2686" s="52">
        <v>46069.464583333334</v>
      </c>
      <c r="F2686" s="52">
        <v>46069.465277777781</v>
      </c>
      <c r="G2686" s="53">
        <v>5.6712962962962967E-4</v>
      </c>
      <c r="H2686" s="1" t="s">
        <v>257</v>
      </c>
      <c r="J2686" s="1" t="s">
        <v>371</v>
      </c>
      <c r="K2686" s="1" t="s">
        <v>653</v>
      </c>
      <c r="L2686" s="1" t="s">
        <v>1346</v>
      </c>
    </row>
    <row r="2687" spans="2:12">
      <c r="B2687" s="1" t="s">
        <v>667</v>
      </c>
      <c r="C2687" s="1" t="s">
        <v>336</v>
      </c>
      <c r="D2687" s="52">
        <v>46069.452777777777</v>
      </c>
      <c r="E2687" s="52">
        <v>46069.452777777777</v>
      </c>
      <c r="F2687" s="52">
        <v>46069.453472222223</v>
      </c>
      <c r="G2687" s="53">
        <v>5.4398148148148144E-4</v>
      </c>
      <c r="H2687" s="1" t="s">
        <v>257</v>
      </c>
      <c r="J2687" s="1" t="s">
        <v>371</v>
      </c>
      <c r="K2687" s="1" t="s">
        <v>653</v>
      </c>
      <c r="L2687" s="1" t="s">
        <v>1347</v>
      </c>
    </row>
    <row r="2688" spans="2:12">
      <c r="B2688" s="1" t="s">
        <v>667</v>
      </c>
      <c r="C2688" s="1" t="s">
        <v>336</v>
      </c>
      <c r="D2688" s="52">
        <v>46069.443749999999</v>
      </c>
      <c r="E2688" s="52">
        <v>46069.443749999999</v>
      </c>
      <c r="F2688" s="52">
        <v>46069.445138888892</v>
      </c>
      <c r="G2688" s="53">
        <v>1.6435185185185185E-3</v>
      </c>
      <c r="H2688" s="1" t="s">
        <v>257</v>
      </c>
      <c r="J2688" s="1" t="s">
        <v>371</v>
      </c>
      <c r="K2688" s="1" t="s">
        <v>653</v>
      </c>
      <c r="L2688" s="1" t="s">
        <v>1348</v>
      </c>
    </row>
    <row r="2689" spans="2:12">
      <c r="B2689" s="1" t="s">
        <v>667</v>
      </c>
      <c r="C2689" s="1" t="s">
        <v>336</v>
      </c>
      <c r="D2689" s="52">
        <v>46069.439583333333</v>
      </c>
      <c r="E2689" s="52">
        <v>46069.439583333333</v>
      </c>
      <c r="F2689" s="52">
        <v>46069.44027777778</v>
      </c>
      <c r="G2689" s="53">
        <v>5.4398148148148144E-4</v>
      </c>
      <c r="H2689" s="1" t="s">
        <v>257</v>
      </c>
      <c r="J2689" s="1" t="s">
        <v>371</v>
      </c>
      <c r="K2689" s="1" t="s">
        <v>653</v>
      </c>
      <c r="L2689" s="1" t="s">
        <v>1349</v>
      </c>
    </row>
    <row r="2690" spans="2:12">
      <c r="B2690" s="1" t="s">
        <v>667</v>
      </c>
      <c r="C2690" s="1" t="s">
        <v>336</v>
      </c>
      <c r="D2690" s="52">
        <v>46069.404861111114</v>
      </c>
      <c r="E2690" s="52">
        <v>46069.404861111114</v>
      </c>
      <c r="F2690" s="52">
        <v>46069.405555555553</v>
      </c>
      <c r="G2690" s="53">
        <v>5.4398148148148144E-4</v>
      </c>
      <c r="H2690" s="1" t="s">
        <v>257</v>
      </c>
      <c r="J2690" s="1" t="s">
        <v>371</v>
      </c>
      <c r="K2690" s="1" t="s">
        <v>653</v>
      </c>
      <c r="L2690" s="1" t="s">
        <v>1350</v>
      </c>
    </row>
    <row r="2691" spans="2:12">
      <c r="B2691" s="1" t="s">
        <v>667</v>
      </c>
      <c r="C2691" s="1" t="s">
        <v>336</v>
      </c>
      <c r="D2691" s="52">
        <v>46069.382638888892</v>
      </c>
      <c r="E2691" s="52">
        <v>46069.382638888892</v>
      </c>
      <c r="F2691" s="52">
        <v>46069.383333333331</v>
      </c>
      <c r="G2691" s="53">
        <v>5.4398148148148144E-4</v>
      </c>
      <c r="H2691" s="1" t="s">
        <v>257</v>
      </c>
      <c r="J2691" s="1" t="s">
        <v>371</v>
      </c>
      <c r="K2691" s="1" t="s">
        <v>653</v>
      </c>
      <c r="L2691" s="1" t="s">
        <v>1351</v>
      </c>
    </row>
    <row r="2692" spans="2:12">
      <c r="B2692" s="1" t="s">
        <v>667</v>
      </c>
      <c r="C2692" s="1" t="s">
        <v>336</v>
      </c>
      <c r="D2692" s="52">
        <v>46069.36041666667</v>
      </c>
      <c r="E2692" s="52">
        <v>46069.36041666667</v>
      </c>
      <c r="F2692" s="52">
        <v>46069.361111111109</v>
      </c>
      <c r="G2692" s="53">
        <v>5.2083333333333333E-4</v>
      </c>
      <c r="H2692" s="1" t="s">
        <v>257</v>
      </c>
      <c r="J2692" s="1" t="s">
        <v>371</v>
      </c>
      <c r="K2692" s="1" t="s">
        <v>653</v>
      </c>
      <c r="L2692" s="1" t="s">
        <v>1352</v>
      </c>
    </row>
    <row r="2693" spans="2:12">
      <c r="B2693" s="1" t="s">
        <v>667</v>
      </c>
      <c r="C2693" s="1" t="s">
        <v>336</v>
      </c>
      <c r="D2693" s="52">
        <v>46069.35</v>
      </c>
      <c r="E2693" s="52">
        <v>46069.35</v>
      </c>
      <c r="F2693" s="52">
        <v>46069.350694444445</v>
      </c>
      <c r="G2693" s="53">
        <v>5.2083333333333333E-4</v>
      </c>
      <c r="H2693" s="1" t="s">
        <v>257</v>
      </c>
      <c r="J2693" s="1" t="s">
        <v>371</v>
      </c>
      <c r="K2693" s="1" t="s">
        <v>653</v>
      </c>
      <c r="L2693" s="1" t="s">
        <v>1353</v>
      </c>
    </row>
    <row r="2694" spans="2:12">
      <c r="B2694" s="1" t="s">
        <v>667</v>
      </c>
      <c r="C2694" s="1" t="s">
        <v>336</v>
      </c>
      <c r="D2694" s="52">
        <v>46069.321527777778</v>
      </c>
      <c r="E2694" s="52">
        <v>46069.321527777778</v>
      </c>
      <c r="F2694" s="52">
        <v>46069.322222222225</v>
      </c>
      <c r="G2694" s="53">
        <v>5.0925925925925921E-4</v>
      </c>
      <c r="H2694" s="1" t="s">
        <v>257</v>
      </c>
      <c r="J2694" s="1" t="s">
        <v>371</v>
      </c>
      <c r="K2694" s="1" t="s">
        <v>653</v>
      </c>
      <c r="L2694" s="1" t="s">
        <v>1354</v>
      </c>
    </row>
    <row r="2695" spans="2:12">
      <c r="B2695" s="1" t="s">
        <v>667</v>
      </c>
      <c r="C2695" s="1" t="s">
        <v>336</v>
      </c>
      <c r="D2695" s="52">
        <v>46069.313888888886</v>
      </c>
      <c r="E2695" s="52">
        <v>46069.313888888886</v>
      </c>
      <c r="F2695" s="52">
        <v>46069.313888888886</v>
      </c>
      <c r="G2695" s="53">
        <v>5.2083333333333333E-4</v>
      </c>
      <c r="H2695" s="1" t="s">
        <v>257</v>
      </c>
      <c r="J2695" s="1" t="s">
        <v>371</v>
      </c>
      <c r="K2695" s="1" t="s">
        <v>653</v>
      </c>
      <c r="L2695" s="1" t="s">
        <v>1355</v>
      </c>
    </row>
    <row r="2696" spans="2:12">
      <c r="B2696" s="1" t="s">
        <v>667</v>
      </c>
      <c r="C2696" s="1" t="s">
        <v>336</v>
      </c>
      <c r="D2696" s="52">
        <v>46069.307638888888</v>
      </c>
      <c r="E2696" s="52">
        <v>46069.307638888888</v>
      </c>
      <c r="F2696" s="52">
        <v>46069.308333333334</v>
      </c>
      <c r="G2696" s="53">
        <v>5.2083333333333333E-4</v>
      </c>
      <c r="H2696" s="1" t="s">
        <v>257</v>
      </c>
      <c r="J2696" s="1" t="s">
        <v>371</v>
      </c>
      <c r="K2696" s="1" t="s">
        <v>653</v>
      </c>
      <c r="L2696" s="1" t="s">
        <v>1356</v>
      </c>
    </row>
    <row r="2697" spans="2:12">
      <c r="B2697" s="1" t="s">
        <v>667</v>
      </c>
      <c r="C2697" s="1" t="s">
        <v>336</v>
      </c>
      <c r="D2697" s="52">
        <v>46069.302083333336</v>
      </c>
      <c r="E2697" s="52">
        <v>46069.302083333336</v>
      </c>
      <c r="F2697" s="52">
        <v>46069.302083333336</v>
      </c>
      <c r="G2697" s="53">
        <v>4.9768518518518521E-4</v>
      </c>
      <c r="H2697" s="1" t="s">
        <v>257</v>
      </c>
      <c r="J2697" s="1" t="s">
        <v>371</v>
      </c>
      <c r="K2697" s="1" t="s">
        <v>653</v>
      </c>
      <c r="L2697" s="1" t="s">
        <v>1357</v>
      </c>
    </row>
    <row r="2698" spans="2:12">
      <c r="B2698" s="1" t="s">
        <v>667</v>
      </c>
      <c r="C2698" s="1" t="s">
        <v>336</v>
      </c>
      <c r="D2698" s="52">
        <v>46069.29583333333</v>
      </c>
      <c r="E2698" s="52">
        <v>46069.29583333333</v>
      </c>
      <c r="F2698" s="52">
        <v>46069.29583333333</v>
      </c>
      <c r="G2698" s="53">
        <v>5.2083333333333333E-4</v>
      </c>
      <c r="H2698" s="1" t="s">
        <v>257</v>
      </c>
      <c r="J2698" s="1" t="s">
        <v>371</v>
      </c>
      <c r="K2698" s="1" t="s">
        <v>653</v>
      </c>
      <c r="L2698" s="1" t="s">
        <v>1358</v>
      </c>
    </row>
    <row r="2699" spans="2:12">
      <c r="B2699" s="1" t="s">
        <v>667</v>
      </c>
      <c r="C2699" s="1" t="s">
        <v>336</v>
      </c>
      <c r="D2699" s="52">
        <v>46069.287499999999</v>
      </c>
      <c r="E2699" s="52">
        <v>46069.287499999999</v>
      </c>
      <c r="F2699" s="52">
        <v>46069.287499999999</v>
      </c>
      <c r="G2699" s="53">
        <v>5.2083333333333333E-4</v>
      </c>
      <c r="H2699" s="1" t="s">
        <v>257</v>
      </c>
      <c r="J2699" s="1" t="s">
        <v>371</v>
      </c>
      <c r="K2699" s="1" t="s">
        <v>653</v>
      </c>
      <c r="L2699" s="1" t="s">
        <v>1359</v>
      </c>
    </row>
    <row r="2700" spans="2:12">
      <c r="B2700" s="1" t="s">
        <v>667</v>
      </c>
      <c r="C2700" s="1" t="s">
        <v>336</v>
      </c>
      <c r="D2700" s="52">
        <v>46069.272916666669</v>
      </c>
      <c r="E2700" s="52">
        <v>46069.272916666669</v>
      </c>
      <c r="F2700" s="52">
        <v>46069.273611111108</v>
      </c>
      <c r="G2700" s="53">
        <v>5.5555555555555556E-4</v>
      </c>
      <c r="H2700" s="1" t="s">
        <v>257</v>
      </c>
      <c r="J2700" s="1" t="s">
        <v>371</v>
      </c>
      <c r="K2700" s="1" t="s">
        <v>653</v>
      </c>
      <c r="L2700" s="1" t="s">
        <v>1360</v>
      </c>
    </row>
    <row r="2701" spans="2:12">
      <c r="B2701" s="1" t="s">
        <v>667</v>
      </c>
      <c r="C2701" s="1" t="s">
        <v>336</v>
      </c>
      <c r="D2701" s="52">
        <v>46069.257638888892</v>
      </c>
      <c r="E2701" s="52">
        <v>46069.257638888892</v>
      </c>
      <c r="F2701" s="52">
        <v>46069.258333333331</v>
      </c>
      <c r="G2701" s="53">
        <v>5.2083333333333333E-4</v>
      </c>
      <c r="H2701" s="1" t="s">
        <v>257</v>
      </c>
      <c r="J2701" s="1" t="s">
        <v>371</v>
      </c>
      <c r="K2701" s="1" t="s">
        <v>653</v>
      </c>
      <c r="L2701" s="1" t="s">
        <v>1361</v>
      </c>
    </row>
    <row r="2702" spans="2:12">
      <c r="B2702" s="1" t="s">
        <v>667</v>
      </c>
      <c r="C2702" s="1" t="s">
        <v>336</v>
      </c>
      <c r="D2702" s="52">
        <v>46069.256249999999</v>
      </c>
      <c r="E2702" s="52">
        <v>46069.256249999999</v>
      </c>
      <c r="F2702" s="52">
        <v>46069.256944444445</v>
      </c>
      <c r="G2702" s="53">
        <v>5.0925925925925921E-4</v>
      </c>
      <c r="H2702" s="1" t="s">
        <v>257</v>
      </c>
      <c r="J2702" s="1" t="s">
        <v>371</v>
      </c>
      <c r="K2702" s="1" t="s">
        <v>653</v>
      </c>
      <c r="L2702" s="1" t="s">
        <v>1362</v>
      </c>
    </row>
    <row r="2703" spans="2:12">
      <c r="B2703" s="1" t="s">
        <v>667</v>
      </c>
      <c r="C2703" s="1" t="s">
        <v>336</v>
      </c>
      <c r="D2703" s="52">
        <v>46069.236111111109</v>
      </c>
      <c r="E2703" s="52">
        <v>46069.236111111109</v>
      </c>
      <c r="F2703" s="52">
        <v>46069.256249999999</v>
      </c>
      <c r="G2703" s="53">
        <v>1.9895833333333335E-2</v>
      </c>
      <c r="H2703" s="1" t="s">
        <v>257</v>
      </c>
      <c r="J2703" s="1" t="s">
        <v>371</v>
      </c>
      <c r="K2703" s="1" t="s">
        <v>653</v>
      </c>
      <c r="L2703" s="1" t="s">
        <v>1363</v>
      </c>
    </row>
    <row r="2704" spans="2:12">
      <c r="B2704" s="1" t="s">
        <v>667</v>
      </c>
      <c r="C2704" s="1" t="s">
        <v>336</v>
      </c>
      <c r="D2704" s="52">
        <v>46069.236111111109</v>
      </c>
      <c r="E2704" s="52">
        <v>46069.236111111109</v>
      </c>
      <c r="F2704" s="52">
        <v>46069.256249999999</v>
      </c>
      <c r="G2704" s="53">
        <v>2.0312500000000001E-2</v>
      </c>
      <c r="H2704" s="1" t="s">
        <v>257</v>
      </c>
      <c r="J2704" s="1" t="s">
        <v>371</v>
      </c>
      <c r="K2704" s="1" t="s">
        <v>653</v>
      </c>
      <c r="L2704" s="1" t="s">
        <v>1364</v>
      </c>
    </row>
    <row r="2705" spans="2:12">
      <c r="B2705" s="1" t="s">
        <v>667</v>
      </c>
      <c r="C2705" s="1" t="s">
        <v>336</v>
      </c>
      <c r="D2705" s="52">
        <v>46068.763888888891</v>
      </c>
      <c r="E2705" s="52">
        <v>46068.763888888891</v>
      </c>
      <c r="F2705" s="52">
        <v>46068.789583333331</v>
      </c>
      <c r="G2705" s="53">
        <v>2.613425925925926E-2</v>
      </c>
      <c r="H2705" s="1" t="s">
        <v>257</v>
      </c>
      <c r="J2705" s="1" t="s">
        <v>371</v>
      </c>
      <c r="K2705" s="1" t="s">
        <v>653</v>
      </c>
      <c r="L2705" s="1" t="s">
        <v>1365</v>
      </c>
    </row>
    <row r="2706" spans="2:12">
      <c r="B2706" s="1" t="s">
        <v>667</v>
      </c>
      <c r="C2706" s="1" t="s">
        <v>336</v>
      </c>
      <c r="D2706" s="52">
        <v>46068.763194444444</v>
      </c>
      <c r="E2706" s="52">
        <v>46068.763194444444</v>
      </c>
      <c r="F2706" s="52">
        <v>46068.763194444444</v>
      </c>
      <c r="G2706" s="53">
        <v>5.0925925925925921E-4</v>
      </c>
      <c r="H2706" s="1" t="s">
        <v>257</v>
      </c>
      <c r="J2706" s="1" t="s">
        <v>371</v>
      </c>
      <c r="K2706" s="1" t="s">
        <v>653</v>
      </c>
      <c r="L2706" s="1" t="s">
        <v>1366</v>
      </c>
    </row>
    <row r="2707" spans="2:12">
      <c r="B2707" s="1" t="s">
        <v>667</v>
      </c>
      <c r="C2707" s="1" t="s">
        <v>336</v>
      </c>
      <c r="D2707" s="52">
        <v>46068.762499999997</v>
      </c>
      <c r="E2707" s="52">
        <v>46068.762499999997</v>
      </c>
      <c r="F2707" s="52">
        <v>46068.762499999997</v>
      </c>
      <c r="G2707" s="53">
        <v>5.2083333333333333E-4</v>
      </c>
      <c r="H2707" s="1" t="s">
        <v>257</v>
      </c>
      <c r="J2707" s="1" t="s">
        <v>371</v>
      </c>
      <c r="K2707" s="1" t="s">
        <v>653</v>
      </c>
      <c r="L2707" s="1" t="s">
        <v>1367</v>
      </c>
    </row>
    <row r="2708" spans="2:12">
      <c r="B2708" s="1" t="s">
        <v>667</v>
      </c>
      <c r="C2708" s="1" t="s">
        <v>336</v>
      </c>
      <c r="D2708" s="52">
        <v>46068.761805555558</v>
      </c>
      <c r="E2708" s="52">
        <v>46068.761805555558</v>
      </c>
      <c r="F2708" s="52">
        <v>46068.761805555558</v>
      </c>
      <c r="G2708" s="53">
        <v>5.2083333333333333E-4</v>
      </c>
      <c r="H2708" s="1" t="s">
        <v>257</v>
      </c>
      <c r="J2708" s="1" t="s">
        <v>371</v>
      </c>
      <c r="K2708" s="1" t="s">
        <v>653</v>
      </c>
      <c r="L2708" s="1" t="s">
        <v>1368</v>
      </c>
    </row>
    <row r="2709" spans="2:12">
      <c r="B2709" s="1" t="s">
        <v>667</v>
      </c>
      <c r="C2709" s="1" t="s">
        <v>336</v>
      </c>
      <c r="D2709" s="52">
        <v>46068.761111111111</v>
      </c>
      <c r="E2709" s="52">
        <v>46068.761111111111</v>
      </c>
      <c r="F2709" s="52">
        <v>46068.761111111111</v>
      </c>
      <c r="G2709" s="53">
        <v>5.3240740740740744E-4</v>
      </c>
      <c r="H2709" s="1" t="s">
        <v>257</v>
      </c>
      <c r="J2709" s="1" t="s">
        <v>371</v>
      </c>
      <c r="K2709" s="1" t="s">
        <v>653</v>
      </c>
      <c r="L2709" s="1" t="s">
        <v>1369</v>
      </c>
    </row>
    <row r="2710" spans="2:12">
      <c r="B2710" s="1" t="s">
        <v>667</v>
      </c>
      <c r="C2710" s="1" t="s">
        <v>336</v>
      </c>
      <c r="D2710" s="52">
        <v>46068.760416666664</v>
      </c>
      <c r="E2710" s="52">
        <v>46068.760416666664</v>
      </c>
      <c r="F2710" s="52">
        <v>46068.760416666664</v>
      </c>
      <c r="G2710" s="53">
        <v>5.2083333333333333E-4</v>
      </c>
      <c r="H2710" s="1" t="s">
        <v>257</v>
      </c>
      <c r="J2710" s="1" t="s">
        <v>371</v>
      </c>
      <c r="K2710" s="1" t="s">
        <v>653</v>
      </c>
      <c r="L2710" s="1" t="s">
        <v>1370</v>
      </c>
    </row>
    <row r="2711" spans="2:12">
      <c r="B2711" s="1" t="s">
        <v>667</v>
      </c>
      <c r="C2711" s="1" t="s">
        <v>336</v>
      </c>
      <c r="D2711" s="52">
        <v>46068.720138888886</v>
      </c>
      <c r="E2711" s="52">
        <v>46068.720138888886</v>
      </c>
      <c r="F2711" s="52">
        <v>46068.720138888886</v>
      </c>
      <c r="G2711" s="53">
        <v>5.4398148148148144E-4</v>
      </c>
      <c r="H2711" s="1" t="s">
        <v>257</v>
      </c>
      <c r="J2711" s="1" t="s">
        <v>371</v>
      </c>
      <c r="K2711" s="1" t="s">
        <v>653</v>
      </c>
      <c r="L2711" s="1" t="s">
        <v>1371</v>
      </c>
    </row>
    <row r="2712" spans="2:12">
      <c r="B2712" s="1" t="s">
        <v>667</v>
      </c>
      <c r="C2712" s="1" t="s">
        <v>336</v>
      </c>
      <c r="D2712" s="52">
        <v>46068.70416666667</v>
      </c>
      <c r="E2712" s="52">
        <v>46068.70416666667</v>
      </c>
      <c r="F2712" s="52">
        <v>46068.704861111109</v>
      </c>
      <c r="G2712" s="53">
        <v>1.1226851851851851E-3</v>
      </c>
      <c r="H2712" s="1" t="s">
        <v>257</v>
      </c>
      <c r="J2712" s="1" t="s">
        <v>371</v>
      </c>
      <c r="K2712" s="1" t="s">
        <v>653</v>
      </c>
      <c r="L2712" s="1" t="s">
        <v>1372</v>
      </c>
    </row>
    <row r="2713" spans="2:12">
      <c r="B2713" s="1" t="s">
        <v>667</v>
      </c>
      <c r="C2713" s="1" t="s">
        <v>336</v>
      </c>
      <c r="D2713" s="52">
        <v>46068.661805555559</v>
      </c>
      <c r="E2713" s="52">
        <v>46068.661805555559</v>
      </c>
      <c r="F2713" s="52">
        <v>46068.665277777778</v>
      </c>
      <c r="G2713" s="53">
        <v>3.2638888888888891E-3</v>
      </c>
      <c r="H2713" s="1" t="s">
        <v>257</v>
      </c>
      <c r="J2713" s="1" t="s">
        <v>371</v>
      </c>
      <c r="K2713" s="1" t="s">
        <v>653</v>
      </c>
      <c r="L2713" s="1" t="s">
        <v>1373</v>
      </c>
    </row>
    <row r="2714" spans="2:12">
      <c r="B2714" s="1" t="s">
        <v>667</v>
      </c>
      <c r="C2714" s="1" t="s">
        <v>336</v>
      </c>
      <c r="D2714" s="52">
        <v>46068.645833333336</v>
      </c>
      <c r="E2714" s="52">
        <v>46068.645833333336</v>
      </c>
      <c r="F2714" s="52">
        <v>46068.646527777775</v>
      </c>
      <c r="G2714" s="53">
        <v>5.4398148148148144E-4</v>
      </c>
      <c r="H2714" s="1" t="s">
        <v>257</v>
      </c>
      <c r="J2714" s="1" t="s">
        <v>371</v>
      </c>
      <c r="K2714" s="1" t="s">
        <v>653</v>
      </c>
      <c r="L2714" s="1" t="s">
        <v>1374</v>
      </c>
    </row>
    <row r="2715" spans="2:12">
      <c r="B2715" s="1" t="s">
        <v>667</v>
      </c>
      <c r="C2715" s="1" t="s">
        <v>336</v>
      </c>
      <c r="D2715" s="52">
        <v>46068.634722222225</v>
      </c>
      <c r="E2715" s="52">
        <v>46068.634722222225</v>
      </c>
      <c r="F2715" s="52">
        <v>46068.635416666664</v>
      </c>
      <c r="G2715" s="53">
        <v>7.0601851851851847E-4</v>
      </c>
      <c r="H2715" s="1" t="s">
        <v>257</v>
      </c>
      <c r="J2715" s="1" t="s">
        <v>371</v>
      </c>
      <c r="K2715" s="1" t="s">
        <v>653</v>
      </c>
      <c r="L2715" s="1" t="s">
        <v>1375</v>
      </c>
    </row>
    <row r="2716" spans="2:12">
      <c r="B2716" s="1" t="s">
        <v>667</v>
      </c>
      <c r="C2716" s="1" t="s">
        <v>336</v>
      </c>
      <c r="D2716" s="52">
        <v>46068.618055555555</v>
      </c>
      <c r="E2716" s="52">
        <v>46068.618055555555</v>
      </c>
      <c r="F2716" s="52">
        <v>46068.618055555555</v>
      </c>
      <c r="G2716" s="53">
        <v>5.3240740740740744E-4</v>
      </c>
      <c r="H2716" s="1" t="s">
        <v>257</v>
      </c>
      <c r="J2716" s="1" t="s">
        <v>371</v>
      </c>
      <c r="K2716" s="1" t="s">
        <v>653</v>
      </c>
      <c r="L2716" s="1" t="s">
        <v>1376</v>
      </c>
    </row>
    <row r="2717" spans="2:12">
      <c r="B2717" s="1" t="s">
        <v>667</v>
      </c>
      <c r="C2717" s="1" t="s">
        <v>336</v>
      </c>
      <c r="D2717" s="52">
        <v>46068.595833333333</v>
      </c>
      <c r="E2717" s="52">
        <v>46068.595833333333</v>
      </c>
      <c r="F2717" s="52">
        <v>46068.59652777778</v>
      </c>
      <c r="G2717" s="53">
        <v>5.5555555555555556E-4</v>
      </c>
      <c r="H2717" s="1" t="s">
        <v>257</v>
      </c>
      <c r="J2717" s="1" t="s">
        <v>371</v>
      </c>
      <c r="K2717" s="1" t="s">
        <v>653</v>
      </c>
      <c r="L2717" s="1" t="s">
        <v>1377</v>
      </c>
    </row>
    <row r="2718" spans="2:12">
      <c r="B2718" s="1" t="s">
        <v>667</v>
      </c>
      <c r="C2718" s="1" t="s">
        <v>336</v>
      </c>
      <c r="D2718" s="52">
        <v>46068.587500000001</v>
      </c>
      <c r="E2718" s="52">
        <v>46068.587500000001</v>
      </c>
      <c r="F2718" s="52">
        <v>46068.589583333334</v>
      </c>
      <c r="G2718" s="53">
        <v>2.3032407407407407E-3</v>
      </c>
      <c r="H2718" s="1" t="s">
        <v>257</v>
      </c>
      <c r="J2718" s="1" t="s">
        <v>371</v>
      </c>
      <c r="K2718" s="1" t="s">
        <v>653</v>
      </c>
      <c r="L2718" s="1" t="s">
        <v>1378</v>
      </c>
    </row>
    <row r="2719" spans="2:12">
      <c r="B2719" s="1" t="s">
        <v>667</v>
      </c>
      <c r="C2719" s="1" t="s">
        <v>336</v>
      </c>
      <c r="D2719" s="52">
        <v>46068.581250000003</v>
      </c>
      <c r="E2719" s="52">
        <v>46068.581250000003</v>
      </c>
      <c r="F2719" s="52">
        <v>46068.581944444442</v>
      </c>
      <c r="G2719" s="53">
        <v>5.3240740740740744E-4</v>
      </c>
      <c r="H2719" s="1" t="s">
        <v>257</v>
      </c>
      <c r="J2719" s="1" t="s">
        <v>371</v>
      </c>
      <c r="K2719" s="1" t="s">
        <v>653</v>
      </c>
      <c r="L2719" s="1" t="s">
        <v>1379</v>
      </c>
    </row>
    <row r="2720" spans="2:12">
      <c r="B2720" s="1" t="s">
        <v>667</v>
      </c>
      <c r="C2720" s="1" t="s">
        <v>336</v>
      </c>
      <c r="D2720" s="52">
        <v>46068.566666666666</v>
      </c>
      <c r="E2720" s="52">
        <v>46068.566666666666</v>
      </c>
      <c r="F2720" s="52">
        <v>46068.567361111112</v>
      </c>
      <c r="G2720" s="53">
        <v>5.5555555555555556E-4</v>
      </c>
      <c r="H2720" s="1" t="s">
        <v>257</v>
      </c>
      <c r="J2720" s="1" t="s">
        <v>371</v>
      </c>
      <c r="K2720" s="1" t="s">
        <v>653</v>
      </c>
      <c r="L2720" s="1" t="s">
        <v>1380</v>
      </c>
    </row>
    <row r="2721" spans="2:12">
      <c r="B2721" s="1" t="s">
        <v>667</v>
      </c>
      <c r="C2721" s="1" t="s">
        <v>336</v>
      </c>
      <c r="D2721" s="52">
        <v>46068.549305555556</v>
      </c>
      <c r="E2721" s="52">
        <v>46068.549305555556</v>
      </c>
      <c r="F2721" s="52">
        <v>46068.55</v>
      </c>
      <c r="G2721" s="53">
        <v>5.4398148148148144E-4</v>
      </c>
      <c r="H2721" s="1" t="s">
        <v>257</v>
      </c>
      <c r="J2721" s="1" t="s">
        <v>371</v>
      </c>
      <c r="K2721" s="1" t="s">
        <v>653</v>
      </c>
      <c r="L2721" s="1" t="s">
        <v>1381</v>
      </c>
    </row>
    <row r="2722" spans="2:12">
      <c r="B2722" s="1" t="s">
        <v>667</v>
      </c>
      <c r="C2722" s="1" t="s">
        <v>336</v>
      </c>
      <c r="D2722" s="52">
        <v>46068.540277777778</v>
      </c>
      <c r="E2722" s="52">
        <v>46068.540277777778</v>
      </c>
      <c r="F2722" s="52">
        <v>46068.540972222225</v>
      </c>
      <c r="G2722" s="53">
        <v>5.4398148148148144E-4</v>
      </c>
      <c r="H2722" s="1" t="s">
        <v>257</v>
      </c>
      <c r="J2722" s="1" t="s">
        <v>371</v>
      </c>
      <c r="K2722" s="1" t="s">
        <v>653</v>
      </c>
      <c r="L2722" s="1" t="s">
        <v>1382</v>
      </c>
    </row>
    <row r="2723" spans="2:12">
      <c r="B2723" s="1" t="s">
        <v>667</v>
      </c>
      <c r="C2723" s="1" t="s">
        <v>336</v>
      </c>
      <c r="D2723" s="52">
        <v>46068.520833333336</v>
      </c>
      <c r="E2723" s="52">
        <v>46068.520833333336</v>
      </c>
      <c r="F2723" s="52">
        <v>46068.522222222222</v>
      </c>
      <c r="G2723" s="53">
        <v>1.2152777777777778E-3</v>
      </c>
      <c r="H2723" s="1" t="s">
        <v>257</v>
      </c>
      <c r="J2723" s="1" t="s">
        <v>371</v>
      </c>
      <c r="K2723" s="1" t="s">
        <v>653</v>
      </c>
      <c r="L2723" s="1" t="s">
        <v>1383</v>
      </c>
    </row>
    <row r="2724" spans="2:12">
      <c r="B2724" s="1" t="s">
        <v>667</v>
      </c>
      <c r="C2724" s="1" t="s">
        <v>336</v>
      </c>
      <c r="D2724" s="52">
        <v>46068.515277777777</v>
      </c>
      <c r="E2724" s="52">
        <v>46068.515277777777</v>
      </c>
      <c r="F2724" s="52">
        <v>46068.515972222223</v>
      </c>
      <c r="G2724" s="53">
        <v>5.7870370370370367E-4</v>
      </c>
      <c r="H2724" s="1" t="s">
        <v>257</v>
      </c>
      <c r="J2724" s="1" t="s">
        <v>371</v>
      </c>
      <c r="K2724" s="1" t="s">
        <v>653</v>
      </c>
      <c r="L2724" s="1" t="s">
        <v>1384</v>
      </c>
    </row>
    <row r="2725" spans="2:12">
      <c r="B2725" s="1" t="s">
        <v>667</v>
      </c>
      <c r="C2725" s="1" t="s">
        <v>336</v>
      </c>
      <c r="D2725" s="52">
        <v>46068.488194444442</v>
      </c>
      <c r="E2725" s="52">
        <v>46068.488194444442</v>
      </c>
      <c r="F2725" s="52">
        <v>46068.488888888889</v>
      </c>
      <c r="G2725" s="53">
        <v>8.1018518518518516E-4</v>
      </c>
      <c r="H2725" s="1" t="s">
        <v>257</v>
      </c>
      <c r="J2725" s="1" t="s">
        <v>371</v>
      </c>
      <c r="K2725" s="1" t="s">
        <v>653</v>
      </c>
      <c r="L2725" s="1" t="s">
        <v>1385</v>
      </c>
    </row>
    <row r="2726" spans="2:12">
      <c r="B2726" s="1" t="s">
        <v>667</v>
      </c>
      <c r="C2726" s="1" t="s">
        <v>336</v>
      </c>
      <c r="D2726" s="52">
        <v>46068.467361111114</v>
      </c>
      <c r="E2726" s="52">
        <v>46068.467361111114</v>
      </c>
      <c r="F2726" s="52">
        <v>46068.468055555553</v>
      </c>
      <c r="G2726" s="53">
        <v>5.9027777777777778E-4</v>
      </c>
      <c r="H2726" s="1" t="s">
        <v>257</v>
      </c>
      <c r="J2726" s="1" t="s">
        <v>371</v>
      </c>
      <c r="K2726" s="1" t="s">
        <v>653</v>
      </c>
      <c r="L2726" s="1" t="s">
        <v>1386</v>
      </c>
    </row>
    <row r="2727" spans="2:12">
      <c r="B2727" s="1" t="s">
        <v>667</v>
      </c>
      <c r="C2727" s="1" t="s">
        <v>336</v>
      </c>
      <c r="D2727" s="52">
        <v>46068.45</v>
      </c>
      <c r="E2727" s="52">
        <v>46068.45</v>
      </c>
      <c r="F2727" s="52">
        <v>46068.450694444444</v>
      </c>
      <c r="G2727" s="53">
        <v>5.4398148148148144E-4</v>
      </c>
      <c r="H2727" s="1" t="s">
        <v>257</v>
      </c>
      <c r="J2727" s="1" t="s">
        <v>371</v>
      </c>
      <c r="K2727" s="1" t="s">
        <v>653</v>
      </c>
      <c r="L2727" s="1" t="s">
        <v>1387</v>
      </c>
    </row>
    <row r="2728" spans="2:12">
      <c r="B2728" s="1" t="s">
        <v>667</v>
      </c>
      <c r="C2728" s="1" t="s">
        <v>336</v>
      </c>
      <c r="D2728" s="52">
        <v>46068.42083333333</v>
      </c>
      <c r="E2728" s="52">
        <v>46068.42083333333</v>
      </c>
      <c r="F2728" s="52">
        <v>46068.421527777777</v>
      </c>
      <c r="G2728" s="53">
        <v>5.3240740740740744E-4</v>
      </c>
      <c r="H2728" s="1" t="s">
        <v>257</v>
      </c>
      <c r="J2728" s="1" t="s">
        <v>371</v>
      </c>
      <c r="K2728" s="1" t="s">
        <v>653</v>
      </c>
      <c r="L2728" s="1" t="s">
        <v>1388</v>
      </c>
    </row>
    <row r="2729" spans="2:12">
      <c r="B2729" s="1" t="s">
        <v>667</v>
      </c>
      <c r="C2729" s="1" t="s">
        <v>336</v>
      </c>
      <c r="D2729" s="52">
        <v>46068.368055555555</v>
      </c>
      <c r="E2729" s="52">
        <v>46068.368055555555</v>
      </c>
      <c r="F2729" s="52">
        <v>46068.368750000001</v>
      </c>
      <c r="G2729" s="53">
        <v>5.4398148148148144E-4</v>
      </c>
      <c r="H2729" s="1" t="s">
        <v>257</v>
      </c>
      <c r="J2729" s="1" t="s">
        <v>371</v>
      </c>
      <c r="K2729" s="1" t="s">
        <v>653</v>
      </c>
      <c r="L2729" s="1" t="s">
        <v>1389</v>
      </c>
    </row>
    <row r="2730" spans="2:12">
      <c r="B2730" s="1" t="s">
        <v>667</v>
      </c>
      <c r="C2730" s="1" t="s">
        <v>336</v>
      </c>
      <c r="D2730" s="52">
        <v>46068.318749999999</v>
      </c>
      <c r="E2730" s="52">
        <v>46068.318749999999</v>
      </c>
      <c r="F2730" s="52">
        <v>46068.319444444445</v>
      </c>
      <c r="G2730" s="53">
        <v>5.0925925925925921E-4</v>
      </c>
      <c r="H2730" s="1" t="s">
        <v>257</v>
      </c>
      <c r="J2730" s="1" t="s">
        <v>371</v>
      </c>
      <c r="K2730" s="1" t="s">
        <v>653</v>
      </c>
      <c r="L2730" s="1" t="s">
        <v>1390</v>
      </c>
    </row>
    <row r="2731" spans="2:12">
      <c r="B2731" s="1" t="s">
        <v>667</v>
      </c>
      <c r="C2731" s="1" t="s">
        <v>336</v>
      </c>
      <c r="D2731" s="52">
        <v>46068.311111111114</v>
      </c>
      <c r="E2731" s="52">
        <v>46068.311111111114</v>
      </c>
      <c r="F2731" s="52">
        <v>46068.311111111114</v>
      </c>
      <c r="G2731" s="53">
        <v>4.9768518518518521E-4</v>
      </c>
      <c r="H2731" s="1" t="s">
        <v>257</v>
      </c>
      <c r="J2731" s="1" t="s">
        <v>371</v>
      </c>
      <c r="K2731" s="1" t="s">
        <v>653</v>
      </c>
      <c r="L2731" s="1" t="s">
        <v>1391</v>
      </c>
    </row>
    <row r="2732" spans="2:12">
      <c r="B2732" s="1" t="s">
        <v>667</v>
      </c>
      <c r="C2732" s="1" t="s">
        <v>336</v>
      </c>
      <c r="D2732" s="52">
        <v>46068.3</v>
      </c>
      <c r="E2732" s="52">
        <v>46068.3</v>
      </c>
      <c r="F2732" s="52">
        <v>46068.300694444442</v>
      </c>
      <c r="G2732" s="53">
        <v>5.2083333333333333E-4</v>
      </c>
      <c r="H2732" s="1" t="s">
        <v>257</v>
      </c>
      <c r="J2732" s="1" t="s">
        <v>371</v>
      </c>
      <c r="K2732" s="1" t="s">
        <v>653</v>
      </c>
      <c r="L2732" s="1" t="s">
        <v>1392</v>
      </c>
    </row>
    <row r="2733" spans="2:12">
      <c r="B2733" s="1" t="s">
        <v>667</v>
      </c>
      <c r="C2733" s="1" t="s">
        <v>336</v>
      </c>
      <c r="D2733" s="52">
        <v>46068.291666666664</v>
      </c>
      <c r="E2733" s="52">
        <v>46068.291666666664</v>
      </c>
      <c r="F2733" s="52">
        <v>46068.291666666664</v>
      </c>
      <c r="G2733" s="53">
        <v>5.0925925925925921E-4</v>
      </c>
      <c r="H2733" s="1" t="s">
        <v>257</v>
      </c>
      <c r="J2733" s="1" t="s">
        <v>371</v>
      </c>
      <c r="K2733" s="1" t="s">
        <v>653</v>
      </c>
      <c r="L2733" s="1" t="s">
        <v>1393</v>
      </c>
    </row>
    <row r="2734" spans="2:12">
      <c r="B2734" s="1" t="s">
        <v>667</v>
      </c>
      <c r="C2734" s="1" t="s">
        <v>336</v>
      </c>
      <c r="D2734" s="52">
        <v>46068.28402777778</v>
      </c>
      <c r="E2734" s="52">
        <v>46068.28402777778</v>
      </c>
      <c r="F2734" s="52">
        <v>46068.284722222219</v>
      </c>
      <c r="G2734" s="53">
        <v>5.5555555555555556E-4</v>
      </c>
      <c r="H2734" s="1" t="s">
        <v>257</v>
      </c>
      <c r="J2734" s="1" t="s">
        <v>371</v>
      </c>
      <c r="K2734" s="1" t="s">
        <v>653</v>
      </c>
      <c r="L2734" s="1" t="s">
        <v>1394</v>
      </c>
    </row>
    <row r="2735" spans="2:12">
      <c r="B2735" s="1" t="s">
        <v>667</v>
      </c>
      <c r="C2735" s="1" t="s">
        <v>336</v>
      </c>
      <c r="D2735" s="52">
        <v>46068.279166666667</v>
      </c>
      <c r="E2735" s="52">
        <v>46068.279166666667</v>
      </c>
      <c r="F2735" s="52">
        <v>46068.279166666667</v>
      </c>
      <c r="G2735" s="53">
        <v>6.018518518518519E-4</v>
      </c>
      <c r="H2735" s="1" t="s">
        <v>257</v>
      </c>
      <c r="J2735" s="1" t="s">
        <v>371</v>
      </c>
      <c r="K2735" s="1" t="s">
        <v>653</v>
      </c>
      <c r="L2735" s="1" t="s">
        <v>1395</v>
      </c>
    </row>
    <row r="2736" spans="2:12">
      <c r="B2736" s="1" t="s">
        <v>667</v>
      </c>
      <c r="C2736" s="1" t="s">
        <v>336</v>
      </c>
      <c r="D2736" s="52">
        <v>46068.267361111109</v>
      </c>
      <c r="E2736" s="52">
        <v>46068.267361111109</v>
      </c>
      <c r="F2736" s="52">
        <v>46068.268055555556</v>
      </c>
      <c r="G2736" s="53">
        <v>5.4398148148148144E-4</v>
      </c>
      <c r="H2736" s="1" t="s">
        <v>257</v>
      </c>
      <c r="J2736" s="1" t="s">
        <v>371</v>
      </c>
      <c r="K2736" s="1" t="s">
        <v>653</v>
      </c>
      <c r="L2736" s="1" t="s">
        <v>1396</v>
      </c>
    </row>
    <row r="2737" spans="2:12">
      <c r="B2737" s="1" t="s">
        <v>667</v>
      </c>
      <c r="C2737" s="1" t="s">
        <v>336</v>
      </c>
      <c r="D2737" s="52">
        <v>46068.256944444445</v>
      </c>
      <c r="E2737" s="52">
        <v>46068.256944444445</v>
      </c>
      <c r="F2737" s="52">
        <v>46068.257638888892</v>
      </c>
      <c r="G2737" s="53">
        <v>5.2083333333333333E-4</v>
      </c>
      <c r="H2737" s="1" t="s">
        <v>257</v>
      </c>
      <c r="J2737" s="1" t="s">
        <v>371</v>
      </c>
      <c r="K2737" s="1" t="s">
        <v>653</v>
      </c>
      <c r="L2737" s="1" t="s">
        <v>1397</v>
      </c>
    </row>
    <row r="2738" spans="2:12">
      <c r="B2738" s="1" t="s">
        <v>667</v>
      </c>
      <c r="C2738" s="1" t="s">
        <v>336</v>
      </c>
      <c r="D2738" s="52">
        <v>46068.256249999999</v>
      </c>
      <c r="E2738" s="52">
        <v>46068.256249999999</v>
      </c>
      <c r="F2738" s="52">
        <v>46068.256944444445</v>
      </c>
      <c r="G2738" s="53">
        <v>4.9768518518518521E-4</v>
      </c>
      <c r="H2738" s="1" t="s">
        <v>257</v>
      </c>
      <c r="J2738" s="1" t="s">
        <v>371</v>
      </c>
      <c r="K2738" s="1" t="s">
        <v>653</v>
      </c>
      <c r="L2738" s="1" t="s">
        <v>1398</v>
      </c>
    </row>
    <row r="2739" spans="2:12">
      <c r="B2739" s="1" t="s">
        <v>667</v>
      </c>
      <c r="C2739" s="1" t="s">
        <v>336</v>
      </c>
      <c r="D2739" s="52">
        <v>46068.23541666667</v>
      </c>
      <c r="E2739" s="52">
        <v>46068.23541666667</v>
      </c>
      <c r="F2739" s="52">
        <v>46068.256249999999</v>
      </c>
      <c r="G2739" s="53">
        <v>2.0405092592592593E-2</v>
      </c>
      <c r="H2739" s="1" t="s">
        <v>257</v>
      </c>
      <c r="J2739" s="1" t="s">
        <v>371</v>
      </c>
      <c r="K2739" s="1" t="s">
        <v>653</v>
      </c>
      <c r="L2739" s="1" t="s">
        <v>1399</v>
      </c>
    </row>
    <row r="2740" spans="2:12">
      <c r="B2740" s="1" t="s">
        <v>667</v>
      </c>
      <c r="C2740" s="1" t="s">
        <v>336</v>
      </c>
      <c r="D2740" s="52">
        <v>46068.23541666667</v>
      </c>
      <c r="E2740" s="52">
        <v>46068.23541666667</v>
      </c>
      <c r="F2740" s="52">
        <v>46068.256249999999</v>
      </c>
      <c r="G2740" s="53">
        <v>2.0798611111111111E-2</v>
      </c>
      <c r="H2740" s="1" t="s">
        <v>257</v>
      </c>
      <c r="J2740" s="1" t="s">
        <v>371</v>
      </c>
      <c r="K2740" s="1" t="s">
        <v>653</v>
      </c>
      <c r="L2740" s="1" t="s">
        <v>1400</v>
      </c>
    </row>
    <row r="2741" spans="2:12">
      <c r="B2741" s="1" t="s">
        <v>667</v>
      </c>
      <c r="C2741" s="1" t="s">
        <v>336</v>
      </c>
      <c r="D2741" s="52">
        <v>46067.763888888891</v>
      </c>
      <c r="E2741" s="52">
        <v>46067.763888888891</v>
      </c>
      <c r="F2741" s="52">
        <v>46067.788888888892</v>
      </c>
      <c r="G2741" s="53">
        <v>2.5289351851851851E-2</v>
      </c>
      <c r="H2741" s="1" t="s">
        <v>257</v>
      </c>
      <c r="J2741" s="1" t="s">
        <v>371</v>
      </c>
      <c r="K2741" s="1" t="s">
        <v>653</v>
      </c>
      <c r="L2741" s="1" t="s">
        <v>1401</v>
      </c>
    </row>
    <row r="2742" spans="2:12">
      <c r="B2742" s="1" t="s">
        <v>667</v>
      </c>
      <c r="C2742" s="1" t="s">
        <v>336</v>
      </c>
      <c r="D2742" s="52">
        <v>46067.763194444444</v>
      </c>
      <c r="E2742" s="52">
        <v>46067.763194444444</v>
      </c>
      <c r="F2742" s="52">
        <v>46067.763194444444</v>
      </c>
      <c r="G2742" s="53">
        <v>5.0925925925925921E-4</v>
      </c>
      <c r="H2742" s="1" t="s">
        <v>257</v>
      </c>
      <c r="J2742" s="1" t="s">
        <v>371</v>
      </c>
      <c r="K2742" s="1" t="s">
        <v>653</v>
      </c>
      <c r="L2742" s="1" t="s">
        <v>1402</v>
      </c>
    </row>
    <row r="2743" spans="2:12">
      <c r="B2743" s="1" t="s">
        <v>667</v>
      </c>
      <c r="C2743" s="1" t="s">
        <v>336</v>
      </c>
      <c r="D2743" s="52">
        <v>46067.762499999997</v>
      </c>
      <c r="E2743" s="52">
        <v>46067.762499999997</v>
      </c>
      <c r="F2743" s="52">
        <v>46067.762499999997</v>
      </c>
      <c r="G2743" s="53">
        <v>5.0925925925925921E-4</v>
      </c>
      <c r="H2743" s="1" t="s">
        <v>257</v>
      </c>
      <c r="J2743" s="1" t="s">
        <v>371</v>
      </c>
      <c r="K2743" s="1" t="s">
        <v>653</v>
      </c>
      <c r="L2743" s="1" t="s">
        <v>1403</v>
      </c>
    </row>
    <row r="2744" spans="2:12">
      <c r="B2744" s="1" t="s">
        <v>667</v>
      </c>
      <c r="C2744" s="1" t="s">
        <v>336</v>
      </c>
      <c r="D2744" s="52">
        <v>46067.761805555558</v>
      </c>
      <c r="E2744" s="52">
        <v>46067.761805555558</v>
      </c>
      <c r="F2744" s="52">
        <v>46067.761805555558</v>
      </c>
      <c r="G2744" s="53">
        <v>5.2083333333333333E-4</v>
      </c>
      <c r="H2744" s="1" t="s">
        <v>257</v>
      </c>
      <c r="J2744" s="1" t="s">
        <v>371</v>
      </c>
      <c r="K2744" s="1" t="s">
        <v>653</v>
      </c>
      <c r="L2744" s="1" t="s">
        <v>1404</v>
      </c>
    </row>
    <row r="2745" spans="2:12">
      <c r="B2745" s="1" t="s">
        <v>667</v>
      </c>
      <c r="C2745" s="1" t="s">
        <v>336</v>
      </c>
      <c r="D2745" s="52">
        <v>46067.761111111111</v>
      </c>
      <c r="E2745" s="52">
        <v>46067.761111111111</v>
      </c>
      <c r="F2745" s="52">
        <v>46067.761111111111</v>
      </c>
      <c r="G2745" s="53">
        <v>5.2083333333333333E-4</v>
      </c>
      <c r="H2745" s="1" t="s">
        <v>257</v>
      </c>
      <c r="J2745" s="1" t="s">
        <v>371</v>
      </c>
      <c r="K2745" s="1" t="s">
        <v>653</v>
      </c>
      <c r="L2745" s="1" t="s">
        <v>1405</v>
      </c>
    </row>
    <row r="2746" spans="2:12">
      <c r="B2746" s="1" t="s">
        <v>667</v>
      </c>
      <c r="C2746" s="1" t="s">
        <v>336</v>
      </c>
      <c r="D2746" s="52">
        <v>46067.683333333334</v>
      </c>
      <c r="E2746" s="52">
        <v>46067.683333333334</v>
      </c>
      <c r="F2746" s="52">
        <v>46067.684027777781</v>
      </c>
      <c r="G2746" s="53">
        <v>4.9768518518518521E-4</v>
      </c>
      <c r="H2746" s="1" t="s">
        <v>257</v>
      </c>
      <c r="J2746" s="1" t="s">
        <v>371</v>
      </c>
      <c r="K2746" s="1" t="s">
        <v>653</v>
      </c>
      <c r="L2746" s="1" t="s">
        <v>1406</v>
      </c>
    </row>
    <row r="2747" spans="2:12">
      <c r="B2747" s="1" t="s">
        <v>667</v>
      </c>
      <c r="C2747" s="1" t="s">
        <v>336</v>
      </c>
      <c r="D2747" s="52">
        <v>46067.683333333334</v>
      </c>
      <c r="E2747" s="52">
        <v>46067.683333333334</v>
      </c>
      <c r="F2747" s="52">
        <v>46067.683333333334</v>
      </c>
      <c r="G2747" s="53">
        <v>5.7870370370370373E-5</v>
      </c>
      <c r="H2747" s="1" t="s">
        <v>257</v>
      </c>
      <c r="J2747" s="1" t="s">
        <v>371</v>
      </c>
      <c r="K2747" s="1" t="s">
        <v>653</v>
      </c>
      <c r="L2747" s="1" t="s">
        <v>1407</v>
      </c>
    </row>
    <row r="2748" spans="2:12">
      <c r="B2748" s="1" t="s">
        <v>667</v>
      </c>
      <c r="C2748" s="1" t="s">
        <v>336</v>
      </c>
      <c r="D2748" s="52">
        <v>46067.675000000003</v>
      </c>
      <c r="E2748" s="52">
        <v>46067.675000000003</v>
      </c>
      <c r="F2748" s="52">
        <v>46067.677083333336</v>
      </c>
      <c r="G2748" s="53">
        <v>2.3148148148148147E-3</v>
      </c>
      <c r="H2748" s="1" t="s">
        <v>257</v>
      </c>
      <c r="J2748" s="1" t="s">
        <v>371</v>
      </c>
      <c r="K2748" s="1" t="s">
        <v>653</v>
      </c>
      <c r="L2748" s="1" t="s">
        <v>1408</v>
      </c>
    </row>
    <row r="2749" spans="2:12">
      <c r="B2749" s="1" t="s">
        <v>667</v>
      </c>
      <c r="C2749" s="1" t="s">
        <v>336</v>
      </c>
      <c r="D2749" s="52">
        <v>46067.658333333333</v>
      </c>
      <c r="E2749" s="52">
        <v>46067.658333333333</v>
      </c>
      <c r="F2749" s="52">
        <v>46067.65902777778</v>
      </c>
      <c r="G2749" s="53">
        <v>5.4398148148148144E-4</v>
      </c>
      <c r="H2749" s="1" t="s">
        <v>257</v>
      </c>
      <c r="J2749" s="1" t="s">
        <v>371</v>
      </c>
      <c r="K2749" s="1" t="s">
        <v>653</v>
      </c>
      <c r="L2749" s="1" t="s">
        <v>1409</v>
      </c>
    </row>
    <row r="2750" spans="2:12">
      <c r="B2750" s="1" t="s">
        <v>667</v>
      </c>
      <c r="C2750" s="1" t="s">
        <v>336</v>
      </c>
      <c r="D2750" s="52">
        <v>46067.634027777778</v>
      </c>
      <c r="E2750" s="52">
        <v>46067.634027777778</v>
      </c>
      <c r="F2750" s="52">
        <v>46067.634027777778</v>
      </c>
      <c r="G2750" s="53">
        <v>5.3240740740740744E-4</v>
      </c>
      <c r="H2750" s="1" t="s">
        <v>257</v>
      </c>
      <c r="J2750" s="1" t="s">
        <v>371</v>
      </c>
      <c r="K2750" s="1" t="s">
        <v>653</v>
      </c>
      <c r="L2750" s="1" t="s">
        <v>1410</v>
      </c>
    </row>
    <row r="2751" spans="2:12">
      <c r="B2751" s="1" t="s">
        <v>667</v>
      </c>
      <c r="C2751" s="1" t="s">
        <v>336</v>
      </c>
      <c r="D2751" s="52">
        <v>46067.6</v>
      </c>
      <c r="E2751" s="52">
        <v>46067.6</v>
      </c>
      <c r="F2751" s="52">
        <v>46067.6</v>
      </c>
      <c r="G2751" s="53">
        <v>5.4398148148148144E-4</v>
      </c>
      <c r="H2751" s="1" t="s">
        <v>257</v>
      </c>
      <c r="J2751" s="1" t="s">
        <v>371</v>
      </c>
      <c r="K2751" s="1" t="s">
        <v>653</v>
      </c>
      <c r="L2751" s="1" t="s">
        <v>1411</v>
      </c>
    </row>
    <row r="2752" spans="2:12">
      <c r="B2752" s="1" t="s">
        <v>667</v>
      </c>
      <c r="C2752" s="1" t="s">
        <v>336</v>
      </c>
      <c r="D2752" s="52">
        <v>46067.582638888889</v>
      </c>
      <c r="E2752" s="52">
        <v>46067.582638888889</v>
      </c>
      <c r="F2752" s="52">
        <v>46067.582638888889</v>
      </c>
      <c r="G2752" s="53">
        <v>5.4398148148148144E-4</v>
      </c>
      <c r="H2752" s="1" t="s">
        <v>257</v>
      </c>
      <c r="J2752" s="1" t="s">
        <v>371</v>
      </c>
      <c r="K2752" s="1" t="s">
        <v>653</v>
      </c>
      <c r="L2752" s="1" t="s">
        <v>1412</v>
      </c>
    </row>
    <row r="2753" spans="2:12">
      <c r="B2753" s="1" t="s">
        <v>667</v>
      </c>
      <c r="C2753" s="1" t="s">
        <v>336</v>
      </c>
      <c r="D2753" s="52">
        <v>46067.570833333331</v>
      </c>
      <c r="E2753" s="52">
        <v>46067.570833333331</v>
      </c>
      <c r="F2753" s="52">
        <v>46067.572916666664</v>
      </c>
      <c r="G2753" s="53">
        <v>2.3032407407407407E-3</v>
      </c>
      <c r="H2753" s="1" t="s">
        <v>257</v>
      </c>
      <c r="J2753" s="1" t="s">
        <v>371</v>
      </c>
      <c r="K2753" s="1" t="s">
        <v>653</v>
      </c>
      <c r="L2753" s="1" t="s">
        <v>1413</v>
      </c>
    </row>
    <row r="2754" spans="2:12">
      <c r="B2754" s="1" t="s">
        <v>667</v>
      </c>
      <c r="C2754" s="1" t="s">
        <v>336</v>
      </c>
      <c r="D2754" s="52">
        <v>46067.556944444441</v>
      </c>
      <c r="E2754" s="52">
        <v>46067.556944444441</v>
      </c>
      <c r="F2754" s="52">
        <v>46067.557638888888</v>
      </c>
      <c r="G2754" s="53">
        <v>5.4398148148148144E-4</v>
      </c>
      <c r="H2754" s="1" t="s">
        <v>257</v>
      </c>
      <c r="J2754" s="1" t="s">
        <v>371</v>
      </c>
      <c r="K2754" s="1" t="s">
        <v>653</v>
      </c>
      <c r="L2754" s="1" t="s">
        <v>1414</v>
      </c>
    </row>
    <row r="2755" spans="2:12">
      <c r="B2755" s="1" t="s">
        <v>667</v>
      </c>
      <c r="C2755" s="1" t="s">
        <v>336</v>
      </c>
      <c r="D2755" s="52">
        <v>46067.548611111109</v>
      </c>
      <c r="E2755" s="52">
        <v>46067.548611111109</v>
      </c>
      <c r="F2755" s="52">
        <v>46067.549305555556</v>
      </c>
      <c r="G2755" s="53">
        <v>5.4398148148148144E-4</v>
      </c>
      <c r="H2755" s="1" t="s">
        <v>257</v>
      </c>
      <c r="J2755" s="1" t="s">
        <v>371</v>
      </c>
      <c r="K2755" s="1" t="s">
        <v>653</v>
      </c>
      <c r="L2755" s="1" t="s">
        <v>1415</v>
      </c>
    </row>
    <row r="2756" spans="2:12">
      <c r="B2756" s="1" t="s">
        <v>667</v>
      </c>
      <c r="C2756" s="1" t="s">
        <v>336</v>
      </c>
      <c r="D2756" s="52">
        <v>46067.537499999999</v>
      </c>
      <c r="E2756" s="52">
        <v>46067.537499999999</v>
      </c>
      <c r="F2756" s="52">
        <v>46067.537499999999</v>
      </c>
      <c r="G2756" s="53">
        <v>5.7870370370370367E-4</v>
      </c>
      <c r="H2756" s="1" t="s">
        <v>257</v>
      </c>
      <c r="J2756" s="1" t="s">
        <v>371</v>
      </c>
      <c r="K2756" s="1" t="s">
        <v>653</v>
      </c>
      <c r="L2756" s="1" t="s">
        <v>1416</v>
      </c>
    </row>
    <row r="2757" spans="2:12">
      <c r="B2757" s="1" t="s">
        <v>667</v>
      </c>
      <c r="C2757" s="1" t="s">
        <v>336</v>
      </c>
      <c r="D2757" s="52">
        <v>46067.527083333334</v>
      </c>
      <c r="E2757" s="52">
        <v>46067.527083333334</v>
      </c>
      <c r="F2757" s="52">
        <v>46067.529861111114</v>
      </c>
      <c r="G2757" s="53">
        <v>2.9398148148148148E-3</v>
      </c>
      <c r="H2757" s="1" t="s">
        <v>257</v>
      </c>
      <c r="J2757" s="1" t="s">
        <v>371</v>
      </c>
      <c r="K2757" s="1" t="s">
        <v>653</v>
      </c>
      <c r="L2757" s="1" t="s">
        <v>1417</v>
      </c>
    </row>
    <row r="2758" spans="2:12">
      <c r="B2758" s="1" t="s">
        <v>667</v>
      </c>
      <c r="C2758" s="1" t="s">
        <v>336</v>
      </c>
      <c r="D2758" s="52">
        <v>46067.526388888888</v>
      </c>
      <c r="E2758" s="52">
        <v>46067.526388888888</v>
      </c>
      <c r="F2758" s="52">
        <v>46067.527083333334</v>
      </c>
      <c r="G2758" s="53">
        <v>5.4398148148148144E-4</v>
      </c>
      <c r="H2758" s="1" t="s">
        <v>257</v>
      </c>
      <c r="J2758" s="1" t="s">
        <v>371</v>
      </c>
      <c r="K2758" s="1" t="s">
        <v>653</v>
      </c>
      <c r="L2758" s="1" t="s">
        <v>1418</v>
      </c>
    </row>
    <row r="2759" spans="2:12">
      <c r="B2759" s="1" t="s">
        <v>667</v>
      </c>
      <c r="C2759" s="1" t="s">
        <v>336</v>
      </c>
      <c r="D2759" s="52">
        <v>46067.515277777777</v>
      </c>
      <c r="E2759" s="52">
        <v>46067.515277777777</v>
      </c>
      <c r="F2759" s="52">
        <v>46067.515972222223</v>
      </c>
      <c r="G2759" s="53">
        <v>5.3240740740740744E-4</v>
      </c>
      <c r="H2759" s="1" t="s">
        <v>257</v>
      </c>
      <c r="J2759" s="1" t="s">
        <v>371</v>
      </c>
      <c r="K2759" s="1" t="s">
        <v>653</v>
      </c>
      <c r="L2759" s="1" t="s">
        <v>1419</v>
      </c>
    </row>
    <row r="2760" spans="2:12">
      <c r="B2760" s="1" t="s">
        <v>667</v>
      </c>
      <c r="C2760" s="1" t="s">
        <v>336</v>
      </c>
      <c r="D2760" s="52">
        <v>46067.502083333333</v>
      </c>
      <c r="E2760" s="52">
        <v>46067.502083333333</v>
      </c>
      <c r="F2760" s="52">
        <v>46067.50277777778</v>
      </c>
      <c r="G2760" s="53">
        <v>5.3240740740740744E-4</v>
      </c>
      <c r="H2760" s="1" t="s">
        <v>257</v>
      </c>
      <c r="J2760" s="1" t="s">
        <v>371</v>
      </c>
      <c r="K2760" s="1" t="s">
        <v>653</v>
      </c>
      <c r="L2760" s="1" t="s">
        <v>1420</v>
      </c>
    </row>
    <row r="2761" spans="2:12">
      <c r="B2761" s="1" t="s">
        <v>667</v>
      </c>
      <c r="C2761" s="1" t="s">
        <v>336</v>
      </c>
      <c r="D2761" s="52">
        <v>46067.488888888889</v>
      </c>
      <c r="E2761" s="52">
        <v>46067.488888888889</v>
      </c>
      <c r="F2761" s="52">
        <v>46067.489583333336</v>
      </c>
      <c r="G2761" s="53">
        <v>7.9861111111111116E-4</v>
      </c>
      <c r="H2761" s="1" t="s">
        <v>257</v>
      </c>
      <c r="J2761" s="1" t="s">
        <v>371</v>
      </c>
      <c r="K2761" s="1" t="s">
        <v>653</v>
      </c>
      <c r="L2761" s="1" t="s">
        <v>1421</v>
      </c>
    </row>
    <row r="2762" spans="2:12">
      <c r="B2762" s="1" t="s">
        <v>667</v>
      </c>
      <c r="C2762" s="1" t="s">
        <v>336</v>
      </c>
      <c r="D2762" s="52">
        <v>46067.487500000003</v>
      </c>
      <c r="E2762" s="52">
        <v>46067.487500000003</v>
      </c>
      <c r="F2762" s="52">
        <v>46067.488888888889</v>
      </c>
      <c r="G2762" s="53">
        <v>8.564814814814815E-4</v>
      </c>
      <c r="H2762" s="1" t="s">
        <v>257</v>
      </c>
      <c r="J2762" s="1" t="s">
        <v>371</v>
      </c>
      <c r="K2762" s="1" t="s">
        <v>653</v>
      </c>
      <c r="L2762" s="1" t="s">
        <v>1422</v>
      </c>
    </row>
    <row r="2763" spans="2:12">
      <c r="B2763" s="1" t="s">
        <v>667</v>
      </c>
      <c r="C2763" s="1" t="s">
        <v>336</v>
      </c>
      <c r="D2763" s="52">
        <v>46067.468055555553</v>
      </c>
      <c r="E2763" s="52">
        <v>46067.468055555553</v>
      </c>
      <c r="F2763" s="52">
        <v>46067.46875</v>
      </c>
      <c r="G2763" s="53">
        <v>5.4398148148148144E-4</v>
      </c>
      <c r="H2763" s="1" t="s">
        <v>257</v>
      </c>
      <c r="J2763" s="1" t="s">
        <v>371</v>
      </c>
      <c r="K2763" s="1" t="s">
        <v>653</v>
      </c>
      <c r="L2763" s="1" t="s">
        <v>1423</v>
      </c>
    </row>
    <row r="2764" spans="2:12">
      <c r="B2764" s="1" t="s">
        <v>667</v>
      </c>
      <c r="C2764" s="1" t="s">
        <v>336</v>
      </c>
      <c r="D2764" s="52">
        <v>46067.458333333336</v>
      </c>
      <c r="E2764" s="52">
        <v>46067.458333333336</v>
      </c>
      <c r="F2764" s="52">
        <v>46067.459027777775</v>
      </c>
      <c r="G2764" s="53">
        <v>6.3657407407407413E-4</v>
      </c>
      <c r="H2764" s="1" t="s">
        <v>257</v>
      </c>
      <c r="J2764" s="1" t="s">
        <v>371</v>
      </c>
      <c r="K2764" s="1" t="s">
        <v>653</v>
      </c>
      <c r="L2764" s="1" t="s">
        <v>1424</v>
      </c>
    </row>
    <row r="2765" spans="2:12">
      <c r="B2765" s="1" t="s">
        <v>667</v>
      </c>
      <c r="C2765" s="1" t="s">
        <v>336</v>
      </c>
      <c r="D2765" s="52">
        <v>46067.456250000003</v>
      </c>
      <c r="E2765" s="52">
        <v>46067.456250000003</v>
      </c>
      <c r="F2765" s="52">
        <v>46067.458333333336</v>
      </c>
      <c r="G2765" s="53">
        <v>2.1527777777777778E-3</v>
      </c>
      <c r="H2765" s="1" t="s">
        <v>257</v>
      </c>
      <c r="J2765" s="1" t="s">
        <v>371</v>
      </c>
      <c r="K2765" s="1" t="s">
        <v>653</v>
      </c>
      <c r="L2765" s="1" t="s">
        <v>1425</v>
      </c>
    </row>
    <row r="2766" spans="2:12">
      <c r="B2766" s="1" t="s">
        <v>667</v>
      </c>
      <c r="C2766" s="1" t="s">
        <v>336</v>
      </c>
      <c r="D2766" s="52">
        <v>46067.450694444444</v>
      </c>
      <c r="E2766" s="52">
        <v>46067.450694444444</v>
      </c>
      <c r="F2766" s="52">
        <v>46067.45208333333</v>
      </c>
      <c r="G2766" s="53">
        <v>1.0069444444444444E-3</v>
      </c>
      <c r="H2766" s="1" t="s">
        <v>257</v>
      </c>
      <c r="J2766" s="1" t="s">
        <v>371</v>
      </c>
      <c r="K2766" s="1" t="s">
        <v>653</v>
      </c>
      <c r="L2766" s="1" t="s">
        <v>1426</v>
      </c>
    </row>
    <row r="2767" spans="2:12">
      <c r="B2767" s="1" t="s">
        <v>667</v>
      </c>
      <c r="C2767" s="1" t="s">
        <v>336</v>
      </c>
      <c r="D2767" s="52">
        <v>46067.448611111111</v>
      </c>
      <c r="E2767" s="52">
        <v>46067.448611111111</v>
      </c>
      <c r="F2767" s="52">
        <v>46067.449305555558</v>
      </c>
      <c r="G2767" s="53">
        <v>8.7962962962962962E-4</v>
      </c>
      <c r="H2767" s="1" t="s">
        <v>257</v>
      </c>
      <c r="J2767" s="1" t="s">
        <v>371</v>
      </c>
      <c r="K2767" s="1" t="s">
        <v>653</v>
      </c>
      <c r="L2767" s="1" t="s">
        <v>1427</v>
      </c>
    </row>
    <row r="2768" spans="2:12">
      <c r="B2768" s="1" t="s">
        <v>667</v>
      </c>
      <c r="C2768" s="1" t="s">
        <v>336</v>
      </c>
      <c r="D2768" s="52">
        <v>46067.447222222225</v>
      </c>
      <c r="E2768" s="52">
        <v>46067.447222222225</v>
      </c>
      <c r="F2768" s="52">
        <v>46067.447916666664</v>
      </c>
      <c r="G2768" s="53">
        <v>5.4398148148148144E-4</v>
      </c>
      <c r="H2768" s="1" t="s">
        <v>257</v>
      </c>
      <c r="J2768" s="1" t="s">
        <v>371</v>
      </c>
      <c r="K2768" s="1" t="s">
        <v>653</v>
      </c>
      <c r="L2768" s="1" t="s">
        <v>1428</v>
      </c>
    </row>
    <row r="2769" spans="2:12">
      <c r="B2769" s="1" t="s">
        <v>667</v>
      </c>
      <c r="C2769" s="1" t="s">
        <v>336</v>
      </c>
      <c r="D2769" s="52">
        <v>46067.43472222222</v>
      </c>
      <c r="E2769" s="52">
        <v>46067.43472222222</v>
      </c>
      <c r="F2769" s="52">
        <v>46067.435416666667</v>
      </c>
      <c r="G2769" s="53">
        <v>1.1574074074074073E-3</v>
      </c>
      <c r="H2769" s="1" t="s">
        <v>257</v>
      </c>
      <c r="J2769" s="1" t="s">
        <v>371</v>
      </c>
      <c r="K2769" s="1" t="s">
        <v>653</v>
      </c>
      <c r="L2769" s="1" t="s">
        <v>1429</v>
      </c>
    </row>
    <row r="2770" spans="2:12">
      <c r="B2770" s="1" t="s">
        <v>667</v>
      </c>
      <c r="C2770" s="1" t="s">
        <v>336</v>
      </c>
      <c r="D2770" s="52">
        <v>46067.431944444441</v>
      </c>
      <c r="E2770" s="52">
        <v>46067.431944444441</v>
      </c>
      <c r="F2770" s="52">
        <v>46067.432638888888</v>
      </c>
      <c r="G2770" s="53">
        <v>6.5972222222222224E-4</v>
      </c>
      <c r="H2770" s="1" t="s">
        <v>257</v>
      </c>
      <c r="J2770" s="1" t="s">
        <v>371</v>
      </c>
      <c r="K2770" s="1" t="s">
        <v>653</v>
      </c>
      <c r="L2770" s="1" t="s">
        <v>1430</v>
      </c>
    </row>
    <row r="2771" spans="2:12">
      <c r="B2771" s="1" t="s">
        <v>667</v>
      </c>
      <c r="C2771" s="1" t="s">
        <v>336</v>
      </c>
      <c r="D2771" s="52">
        <v>46067.419444444444</v>
      </c>
      <c r="E2771" s="52">
        <v>46067.419444444444</v>
      </c>
      <c r="F2771" s="52">
        <v>46067.420138888891</v>
      </c>
      <c r="G2771" s="53">
        <v>5.4398148148148144E-4</v>
      </c>
      <c r="H2771" s="1" t="s">
        <v>257</v>
      </c>
      <c r="J2771" s="1" t="s">
        <v>371</v>
      </c>
      <c r="K2771" s="1" t="s">
        <v>653</v>
      </c>
      <c r="L2771" s="1" t="s">
        <v>1431</v>
      </c>
    </row>
    <row r="2772" spans="2:12">
      <c r="B2772" s="1" t="s">
        <v>667</v>
      </c>
      <c r="C2772" s="1" t="s">
        <v>336</v>
      </c>
      <c r="D2772" s="52">
        <v>46067.409722222219</v>
      </c>
      <c r="E2772" s="52">
        <v>46067.409722222219</v>
      </c>
      <c r="F2772" s="52">
        <v>46067.410416666666</v>
      </c>
      <c r="G2772" s="53">
        <v>5.5555555555555556E-4</v>
      </c>
      <c r="H2772" s="1" t="s">
        <v>257</v>
      </c>
      <c r="J2772" s="1" t="s">
        <v>371</v>
      </c>
      <c r="K2772" s="1" t="s">
        <v>653</v>
      </c>
      <c r="L2772" s="1" t="s">
        <v>1432</v>
      </c>
    </row>
    <row r="2773" spans="2:12">
      <c r="B2773" s="1" t="s">
        <v>667</v>
      </c>
      <c r="C2773" s="1" t="s">
        <v>336</v>
      </c>
      <c r="D2773" s="52">
        <v>46067.402777777781</v>
      </c>
      <c r="E2773" s="52">
        <v>46067.402777777781</v>
      </c>
      <c r="F2773" s="52">
        <v>46067.402777777781</v>
      </c>
      <c r="G2773" s="53">
        <v>5.4398148148148144E-4</v>
      </c>
      <c r="H2773" s="1" t="s">
        <v>257</v>
      </c>
      <c r="J2773" s="1" t="s">
        <v>371</v>
      </c>
      <c r="K2773" s="1" t="s">
        <v>653</v>
      </c>
      <c r="L2773" s="1" t="s">
        <v>1433</v>
      </c>
    </row>
    <row r="2774" spans="2:12">
      <c r="B2774" s="1" t="s">
        <v>667</v>
      </c>
      <c r="C2774" s="1" t="s">
        <v>336</v>
      </c>
      <c r="D2774" s="52">
        <v>46067.38958333333</v>
      </c>
      <c r="E2774" s="52">
        <v>46067.38958333333</v>
      </c>
      <c r="F2774" s="52">
        <v>46067.390277777777</v>
      </c>
      <c r="G2774" s="53">
        <v>5.5555555555555556E-4</v>
      </c>
      <c r="H2774" s="1" t="s">
        <v>257</v>
      </c>
      <c r="J2774" s="1" t="s">
        <v>371</v>
      </c>
      <c r="K2774" s="1" t="s">
        <v>653</v>
      </c>
      <c r="L2774" s="1" t="s">
        <v>1434</v>
      </c>
    </row>
    <row r="2775" spans="2:12">
      <c r="B2775" s="1" t="s">
        <v>667</v>
      </c>
      <c r="C2775" s="1" t="s">
        <v>336</v>
      </c>
      <c r="D2775" s="52">
        <v>46067.37777777778</v>
      </c>
      <c r="E2775" s="52">
        <v>46067.37777777778</v>
      </c>
      <c r="F2775" s="52">
        <v>46067.378472222219</v>
      </c>
      <c r="G2775" s="53">
        <v>5.3240740740740744E-4</v>
      </c>
      <c r="H2775" s="1" t="s">
        <v>257</v>
      </c>
      <c r="J2775" s="1" t="s">
        <v>371</v>
      </c>
      <c r="K2775" s="1" t="s">
        <v>653</v>
      </c>
      <c r="L2775" s="1" t="s">
        <v>1435</v>
      </c>
    </row>
    <row r="2776" spans="2:12">
      <c r="B2776" s="1" t="s">
        <v>667</v>
      </c>
      <c r="C2776" s="1" t="s">
        <v>336</v>
      </c>
      <c r="D2776" s="52">
        <v>46067.34652777778</v>
      </c>
      <c r="E2776" s="52">
        <v>46067.34652777778</v>
      </c>
      <c r="F2776" s="52">
        <v>46067.347222222219</v>
      </c>
      <c r="G2776" s="53">
        <v>5.5555555555555556E-4</v>
      </c>
      <c r="H2776" s="1" t="s">
        <v>257</v>
      </c>
      <c r="J2776" s="1" t="s">
        <v>371</v>
      </c>
      <c r="K2776" s="1" t="s">
        <v>653</v>
      </c>
      <c r="L2776" s="1" t="s">
        <v>1436</v>
      </c>
    </row>
    <row r="2777" spans="2:12">
      <c r="B2777" s="1" t="s">
        <v>667</v>
      </c>
      <c r="C2777" s="1" t="s">
        <v>336</v>
      </c>
      <c r="D2777" s="52">
        <v>46067.334722222222</v>
      </c>
      <c r="E2777" s="52">
        <v>46067.334722222222</v>
      </c>
      <c r="F2777" s="52">
        <v>46067.335416666669</v>
      </c>
      <c r="G2777" s="53">
        <v>5.0925925925925921E-4</v>
      </c>
      <c r="H2777" s="1" t="s">
        <v>257</v>
      </c>
      <c r="J2777" s="1" t="s">
        <v>371</v>
      </c>
      <c r="K2777" s="1" t="s">
        <v>653</v>
      </c>
      <c r="L2777" s="1" t="s">
        <v>1437</v>
      </c>
    </row>
    <row r="2778" spans="2:12">
      <c r="B2778" s="1" t="s">
        <v>667</v>
      </c>
      <c r="C2778" s="1" t="s">
        <v>336</v>
      </c>
      <c r="D2778" s="52">
        <v>46067.321527777778</v>
      </c>
      <c r="E2778" s="52">
        <v>46067.321527777778</v>
      </c>
      <c r="F2778" s="52">
        <v>46067.321527777778</v>
      </c>
      <c r="G2778" s="53">
        <v>5.0925925925925921E-4</v>
      </c>
      <c r="H2778" s="1" t="s">
        <v>257</v>
      </c>
      <c r="J2778" s="1" t="s">
        <v>371</v>
      </c>
      <c r="K2778" s="1" t="s">
        <v>653</v>
      </c>
      <c r="L2778" s="1" t="s">
        <v>1438</v>
      </c>
    </row>
    <row r="2779" spans="2:12">
      <c r="B2779" s="1" t="s">
        <v>667</v>
      </c>
      <c r="C2779" s="1" t="s">
        <v>336</v>
      </c>
      <c r="D2779" s="52">
        <v>46067.3125</v>
      </c>
      <c r="E2779" s="52">
        <v>46067.3125</v>
      </c>
      <c r="F2779" s="52">
        <v>46067.313194444447</v>
      </c>
      <c r="G2779" s="53">
        <v>5.0925925925925921E-4</v>
      </c>
      <c r="H2779" s="1" t="s">
        <v>257</v>
      </c>
      <c r="J2779" s="1" t="s">
        <v>371</v>
      </c>
      <c r="K2779" s="1" t="s">
        <v>653</v>
      </c>
      <c r="L2779" s="1" t="s">
        <v>1439</v>
      </c>
    </row>
    <row r="2780" spans="2:12">
      <c r="B2780" s="1" t="s">
        <v>667</v>
      </c>
      <c r="C2780" s="1" t="s">
        <v>336</v>
      </c>
      <c r="D2780" s="52">
        <v>46067.29583333333</v>
      </c>
      <c r="E2780" s="52">
        <v>46067.29583333333</v>
      </c>
      <c r="F2780" s="52">
        <v>46067.296527777777</v>
      </c>
      <c r="G2780" s="53">
        <v>5.2083333333333333E-4</v>
      </c>
      <c r="H2780" s="1" t="s">
        <v>257</v>
      </c>
      <c r="J2780" s="1" t="s">
        <v>371</v>
      </c>
      <c r="K2780" s="1" t="s">
        <v>653</v>
      </c>
      <c r="L2780" s="1" t="s">
        <v>1440</v>
      </c>
    </row>
    <row r="2781" spans="2:12">
      <c r="B2781" s="1" t="s">
        <v>667</v>
      </c>
      <c r="C2781" s="1" t="s">
        <v>336</v>
      </c>
      <c r="D2781" s="52">
        <v>46067.286805555559</v>
      </c>
      <c r="E2781" s="52">
        <v>46067.286805555559</v>
      </c>
      <c r="F2781" s="52">
        <v>46067.287499999999</v>
      </c>
      <c r="G2781" s="53">
        <v>5.2083333333333333E-4</v>
      </c>
      <c r="H2781" s="1" t="s">
        <v>257</v>
      </c>
      <c r="J2781" s="1" t="s">
        <v>371</v>
      </c>
      <c r="K2781" s="1" t="s">
        <v>653</v>
      </c>
      <c r="L2781" s="1" t="s">
        <v>1441</v>
      </c>
    </row>
    <row r="2782" spans="2:12">
      <c r="B2782" s="1" t="s">
        <v>667</v>
      </c>
      <c r="C2782" s="1" t="s">
        <v>336</v>
      </c>
      <c r="D2782" s="52">
        <v>46067.27847222222</v>
      </c>
      <c r="E2782" s="52">
        <v>46067.27847222222</v>
      </c>
      <c r="F2782" s="52">
        <v>46067.279166666667</v>
      </c>
      <c r="G2782" s="53">
        <v>5.3240740740740744E-4</v>
      </c>
      <c r="H2782" s="1" t="s">
        <v>257</v>
      </c>
      <c r="J2782" s="1" t="s">
        <v>371</v>
      </c>
      <c r="K2782" s="1" t="s">
        <v>653</v>
      </c>
      <c r="L2782" s="1" t="s">
        <v>1442</v>
      </c>
    </row>
    <row r="2783" spans="2:12">
      <c r="B2783" s="1" t="s">
        <v>667</v>
      </c>
      <c r="C2783" s="1" t="s">
        <v>336</v>
      </c>
      <c r="D2783" s="52">
        <v>46067.270833333336</v>
      </c>
      <c r="E2783" s="52">
        <v>46067.270833333336</v>
      </c>
      <c r="F2783" s="52">
        <v>46067.270833333336</v>
      </c>
      <c r="G2783" s="53">
        <v>5.6712962962962967E-4</v>
      </c>
      <c r="H2783" s="1" t="s">
        <v>257</v>
      </c>
      <c r="J2783" s="1" t="s">
        <v>371</v>
      </c>
      <c r="K2783" s="1" t="s">
        <v>653</v>
      </c>
      <c r="L2783" s="1" t="s">
        <v>1443</v>
      </c>
    </row>
    <row r="2784" spans="2:12">
      <c r="B2784" s="1" t="s">
        <v>667</v>
      </c>
      <c r="C2784" s="1" t="s">
        <v>336</v>
      </c>
      <c r="D2784" s="52">
        <v>46067.255555555559</v>
      </c>
      <c r="E2784" s="52">
        <v>46067.255555555559</v>
      </c>
      <c r="F2784" s="52">
        <v>46067.256249999999</v>
      </c>
      <c r="G2784" s="53">
        <v>5.2083333333333333E-4</v>
      </c>
      <c r="H2784" s="1" t="s">
        <v>257</v>
      </c>
      <c r="J2784" s="1" t="s">
        <v>371</v>
      </c>
      <c r="K2784" s="1" t="s">
        <v>653</v>
      </c>
      <c r="L2784" s="1" t="s">
        <v>1444</v>
      </c>
    </row>
    <row r="2785" spans="2:12">
      <c r="B2785" s="1" t="s">
        <v>667</v>
      </c>
      <c r="C2785" s="1" t="s">
        <v>336</v>
      </c>
      <c r="D2785" s="52">
        <v>46067.23541666667</v>
      </c>
      <c r="E2785" s="52">
        <v>46067.23541666667</v>
      </c>
      <c r="F2785" s="52">
        <v>46067.255555555559</v>
      </c>
      <c r="G2785" s="53">
        <v>1.9722222222222221E-2</v>
      </c>
      <c r="H2785" s="1" t="s">
        <v>257</v>
      </c>
      <c r="J2785" s="1" t="s">
        <v>371</v>
      </c>
      <c r="K2785" s="1" t="s">
        <v>653</v>
      </c>
      <c r="L2785" s="1" t="s">
        <v>1445</v>
      </c>
    </row>
    <row r="2786" spans="2:12">
      <c r="B2786" s="1" t="s">
        <v>667</v>
      </c>
      <c r="C2786" s="1" t="s">
        <v>336</v>
      </c>
      <c r="D2786" s="52">
        <v>46067.23541666667</v>
      </c>
      <c r="E2786" s="52">
        <v>46067.23541666667</v>
      </c>
      <c r="F2786" s="52">
        <v>46067.255555555559</v>
      </c>
      <c r="G2786" s="53">
        <v>2.013888888888889E-2</v>
      </c>
      <c r="H2786" s="1" t="s">
        <v>257</v>
      </c>
      <c r="J2786" s="1" t="s">
        <v>371</v>
      </c>
      <c r="K2786" s="1" t="s">
        <v>653</v>
      </c>
      <c r="L2786" s="1" t="s">
        <v>1446</v>
      </c>
    </row>
    <row r="2787" spans="2:12">
      <c r="B2787" s="1" t="s">
        <v>667</v>
      </c>
      <c r="C2787" s="1" t="s">
        <v>336</v>
      </c>
      <c r="D2787" s="52">
        <v>46066.763888888891</v>
      </c>
      <c r="E2787" s="52">
        <v>46066.763888888891</v>
      </c>
      <c r="F2787" s="52">
        <v>46066.789583333331</v>
      </c>
      <c r="G2787" s="53">
        <v>2.5324074074074075E-2</v>
      </c>
      <c r="H2787" s="1" t="s">
        <v>257</v>
      </c>
      <c r="J2787" s="1" t="s">
        <v>371</v>
      </c>
      <c r="K2787" s="1" t="s">
        <v>653</v>
      </c>
      <c r="L2787" s="1" t="s">
        <v>1447</v>
      </c>
    </row>
    <row r="2788" spans="2:12">
      <c r="B2788" s="1" t="s">
        <v>667</v>
      </c>
      <c r="C2788" s="1" t="s">
        <v>336</v>
      </c>
      <c r="D2788" s="52">
        <v>46066.763194444444</v>
      </c>
      <c r="E2788" s="52">
        <v>46066.763194444444</v>
      </c>
      <c r="F2788" s="52">
        <v>46066.763888888891</v>
      </c>
      <c r="G2788" s="53">
        <v>4.9768518518518521E-4</v>
      </c>
      <c r="H2788" s="1" t="s">
        <v>257</v>
      </c>
      <c r="J2788" s="1" t="s">
        <v>371</v>
      </c>
      <c r="K2788" s="1" t="s">
        <v>653</v>
      </c>
      <c r="L2788" s="1" t="s">
        <v>1448</v>
      </c>
    </row>
    <row r="2789" spans="2:12">
      <c r="B2789" s="1" t="s">
        <v>667</v>
      </c>
      <c r="C2789" s="1" t="s">
        <v>336</v>
      </c>
      <c r="D2789" s="52">
        <v>46066.762499999997</v>
      </c>
      <c r="E2789" s="52">
        <v>46066.762499999997</v>
      </c>
      <c r="F2789" s="52">
        <v>46066.763194444444</v>
      </c>
      <c r="G2789" s="53">
        <v>5.3240740740740744E-4</v>
      </c>
      <c r="H2789" s="1" t="s">
        <v>257</v>
      </c>
      <c r="J2789" s="1" t="s">
        <v>371</v>
      </c>
      <c r="K2789" s="1" t="s">
        <v>653</v>
      </c>
      <c r="L2789" s="1" t="s">
        <v>1449</v>
      </c>
    </row>
    <row r="2790" spans="2:12">
      <c r="B2790" s="1" t="s">
        <v>667</v>
      </c>
      <c r="C2790" s="1" t="s">
        <v>336</v>
      </c>
      <c r="D2790" s="52">
        <v>46066.761805555558</v>
      </c>
      <c r="E2790" s="52">
        <v>46066.761805555558</v>
      </c>
      <c r="F2790" s="52">
        <v>46066.762499999997</v>
      </c>
      <c r="G2790" s="53">
        <v>4.9768518518518521E-4</v>
      </c>
      <c r="H2790" s="1" t="s">
        <v>257</v>
      </c>
      <c r="J2790" s="1" t="s">
        <v>371</v>
      </c>
      <c r="K2790" s="1" t="s">
        <v>653</v>
      </c>
      <c r="L2790" s="1" t="s">
        <v>1450</v>
      </c>
    </row>
    <row r="2791" spans="2:12">
      <c r="B2791" s="1" t="s">
        <v>667</v>
      </c>
      <c r="C2791" s="1" t="s">
        <v>336</v>
      </c>
      <c r="D2791" s="52">
        <v>46066.761111111111</v>
      </c>
      <c r="E2791" s="52">
        <v>46066.761111111111</v>
      </c>
      <c r="F2791" s="52">
        <v>46066.761805555558</v>
      </c>
      <c r="G2791" s="53">
        <v>5.2083333333333333E-4</v>
      </c>
      <c r="H2791" s="1" t="s">
        <v>257</v>
      </c>
      <c r="J2791" s="1" t="s">
        <v>371</v>
      </c>
      <c r="K2791" s="1" t="s">
        <v>653</v>
      </c>
      <c r="L2791" s="1" t="s">
        <v>1451</v>
      </c>
    </row>
    <row r="2792" spans="2:12">
      <c r="B2792" s="1" t="s">
        <v>667</v>
      </c>
      <c r="C2792" s="1" t="s">
        <v>336</v>
      </c>
      <c r="D2792" s="52">
        <v>46066.760416666664</v>
      </c>
      <c r="E2792" s="52">
        <v>46066.760416666664</v>
      </c>
      <c r="F2792" s="52">
        <v>46066.761111111111</v>
      </c>
      <c r="G2792" s="53">
        <v>5.3240740740740744E-4</v>
      </c>
      <c r="H2792" s="1" t="s">
        <v>257</v>
      </c>
      <c r="J2792" s="1" t="s">
        <v>371</v>
      </c>
      <c r="K2792" s="1" t="s">
        <v>653</v>
      </c>
      <c r="L2792" s="1" t="s">
        <v>1452</v>
      </c>
    </row>
    <row r="2793" spans="2:12">
      <c r="B2793" s="1" t="s">
        <v>667</v>
      </c>
      <c r="C2793" s="1" t="s">
        <v>336</v>
      </c>
      <c r="D2793" s="52">
        <v>46066.710416666669</v>
      </c>
      <c r="E2793" s="52">
        <v>46066.710416666669</v>
      </c>
      <c r="F2793" s="52">
        <v>46066.711111111108</v>
      </c>
      <c r="G2793" s="53">
        <v>5.3240740740740744E-4</v>
      </c>
      <c r="H2793" s="1" t="s">
        <v>257</v>
      </c>
      <c r="J2793" s="1" t="s">
        <v>371</v>
      </c>
      <c r="K2793" s="1" t="s">
        <v>653</v>
      </c>
      <c r="L2793" s="1" t="s">
        <v>1453</v>
      </c>
    </row>
    <row r="2794" spans="2:12">
      <c r="B2794" s="1" t="s">
        <v>667</v>
      </c>
      <c r="C2794" s="1" t="s">
        <v>336</v>
      </c>
      <c r="D2794" s="52">
        <v>46066.670138888891</v>
      </c>
      <c r="E2794" s="52">
        <v>46066.670138888891</v>
      </c>
      <c r="F2794" s="52">
        <v>46066.673611111109</v>
      </c>
      <c r="G2794" s="53">
        <v>3.472222222222222E-3</v>
      </c>
      <c r="H2794" s="1" t="s">
        <v>257</v>
      </c>
      <c r="J2794" s="1" t="s">
        <v>371</v>
      </c>
      <c r="K2794" s="1" t="s">
        <v>653</v>
      </c>
      <c r="L2794" s="1" t="s">
        <v>1454</v>
      </c>
    </row>
    <row r="2795" spans="2:12">
      <c r="B2795" s="1" t="s">
        <v>667</v>
      </c>
      <c r="C2795" s="1" t="s">
        <v>336</v>
      </c>
      <c r="D2795" s="52">
        <v>46066.636111111111</v>
      </c>
      <c r="E2795" s="52">
        <v>46066.636111111111</v>
      </c>
      <c r="F2795" s="52">
        <v>46066.636805555558</v>
      </c>
      <c r="G2795" s="53">
        <v>5.3240740740740744E-4</v>
      </c>
      <c r="H2795" s="1" t="s">
        <v>257</v>
      </c>
      <c r="J2795" s="1" t="s">
        <v>371</v>
      </c>
      <c r="K2795" s="1" t="s">
        <v>653</v>
      </c>
      <c r="L2795" s="1" t="s">
        <v>1455</v>
      </c>
    </row>
    <row r="2796" spans="2:12">
      <c r="B2796" s="1" t="s">
        <v>667</v>
      </c>
      <c r="C2796" s="1" t="s">
        <v>336</v>
      </c>
      <c r="D2796" s="52">
        <v>46066.623611111114</v>
      </c>
      <c r="E2796" s="52">
        <v>46066.623611111114</v>
      </c>
      <c r="F2796" s="52">
        <v>46066.62777777778</v>
      </c>
      <c r="G2796" s="53">
        <v>4.3055555555555555E-3</v>
      </c>
      <c r="H2796" s="1" t="s">
        <v>257</v>
      </c>
      <c r="J2796" s="1" t="s">
        <v>371</v>
      </c>
      <c r="K2796" s="1" t="s">
        <v>653</v>
      </c>
      <c r="L2796" s="1" t="s">
        <v>1456</v>
      </c>
    </row>
    <row r="2797" spans="2:12">
      <c r="B2797" s="1" t="s">
        <v>667</v>
      </c>
      <c r="C2797" s="1" t="s">
        <v>336</v>
      </c>
      <c r="D2797" s="52">
        <v>46066.620833333334</v>
      </c>
      <c r="E2797" s="52">
        <v>46066.620833333334</v>
      </c>
      <c r="F2797" s="52">
        <v>46066.62222222222</v>
      </c>
      <c r="G2797" s="53">
        <v>1.3773148148148147E-3</v>
      </c>
      <c r="H2797" s="1" t="s">
        <v>257</v>
      </c>
      <c r="J2797" s="1" t="s">
        <v>371</v>
      </c>
      <c r="K2797" s="1" t="s">
        <v>653</v>
      </c>
      <c r="L2797" s="1" t="s">
        <v>1457</v>
      </c>
    </row>
    <row r="2798" spans="2:12">
      <c r="B2798" s="1" t="s">
        <v>667</v>
      </c>
      <c r="C2798" s="1" t="s">
        <v>336</v>
      </c>
      <c r="D2798" s="52">
        <v>46066.618055555555</v>
      </c>
      <c r="E2798" s="52">
        <v>46066.618055555555</v>
      </c>
      <c r="F2798" s="52">
        <v>46066.619444444441</v>
      </c>
      <c r="G2798" s="53">
        <v>1.8171296296296297E-3</v>
      </c>
      <c r="H2798" s="1" t="s">
        <v>257</v>
      </c>
      <c r="J2798" s="1" t="s">
        <v>371</v>
      </c>
      <c r="K2798" s="1" t="s">
        <v>653</v>
      </c>
      <c r="L2798" s="1" t="s">
        <v>1458</v>
      </c>
    </row>
    <row r="2799" spans="2:12">
      <c r="B2799" s="1" t="s">
        <v>667</v>
      </c>
      <c r="C2799" s="1" t="s">
        <v>336</v>
      </c>
      <c r="D2799" s="52">
        <v>46066.599305555559</v>
      </c>
      <c r="E2799" s="52">
        <v>46066.599305555559</v>
      </c>
      <c r="F2799" s="52">
        <v>46066.601388888892</v>
      </c>
      <c r="G2799" s="53">
        <v>2.1527777777777778E-3</v>
      </c>
      <c r="H2799" s="1" t="s">
        <v>257</v>
      </c>
      <c r="J2799" s="1" t="s">
        <v>371</v>
      </c>
      <c r="K2799" s="1" t="s">
        <v>653</v>
      </c>
      <c r="L2799" s="1" t="s">
        <v>1459</v>
      </c>
    </row>
    <row r="2800" spans="2:12">
      <c r="B2800" s="1" t="s">
        <v>667</v>
      </c>
      <c r="C2800" s="1" t="s">
        <v>336</v>
      </c>
      <c r="D2800" s="52">
        <v>46066.594444444447</v>
      </c>
      <c r="E2800" s="52">
        <v>46066.594444444447</v>
      </c>
      <c r="F2800" s="52">
        <v>46066.595138888886</v>
      </c>
      <c r="G2800" s="53">
        <v>5.3240740740740744E-4</v>
      </c>
      <c r="H2800" s="1" t="s">
        <v>257</v>
      </c>
      <c r="J2800" s="1" t="s">
        <v>371</v>
      </c>
      <c r="K2800" s="1" t="s">
        <v>653</v>
      </c>
      <c r="L2800" s="1" t="s">
        <v>1460</v>
      </c>
    </row>
    <row r="2801" spans="2:12">
      <c r="B2801" s="1" t="s">
        <v>667</v>
      </c>
      <c r="C2801" s="1" t="s">
        <v>336</v>
      </c>
      <c r="D2801" s="52">
        <v>46066.567361111112</v>
      </c>
      <c r="E2801" s="52">
        <v>46066.567361111112</v>
      </c>
      <c r="F2801" s="52">
        <v>46066.567361111112</v>
      </c>
      <c r="G2801" s="53">
        <v>5.4398148148148144E-4</v>
      </c>
      <c r="H2801" s="1" t="s">
        <v>257</v>
      </c>
      <c r="J2801" s="1" t="s">
        <v>371</v>
      </c>
      <c r="K2801" s="1" t="s">
        <v>653</v>
      </c>
      <c r="L2801" s="1" t="s">
        <v>1461</v>
      </c>
    </row>
    <row r="2802" spans="2:12">
      <c r="B2802" s="1" t="s">
        <v>667</v>
      </c>
      <c r="C2802" s="1" t="s">
        <v>336</v>
      </c>
      <c r="D2802" s="52">
        <v>46066.552083333336</v>
      </c>
      <c r="E2802" s="52">
        <v>46066.552083333336</v>
      </c>
      <c r="F2802" s="52">
        <v>46066.555555555555</v>
      </c>
      <c r="G2802" s="53">
        <v>3.2523148148148147E-3</v>
      </c>
      <c r="H2802" s="1" t="s">
        <v>257</v>
      </c>
      <c r="J2802" s="1" t="s">
        <v>371</v>
      </c>
      <c r="K2802" s="1" t="s">
        <v>653</v>
      </c>
      <c r="L2802" s="1" t="s">
        <v>1462</v>
      </c>
    </row>
    <row r="2803" spans="2:12">
      <c r="B2803" s="1" t="s">
        <v>667</v>
      </c>
      <c r="C2803" s="1" t="s">
        <v>336</v>
      </c>
      <c r="D2803" s="52">
        <v>46066.549305555556</v>
      </c>
      <c r="E2803" s="52">
        <v>46066.549305555556</v>
      </c>
      <c r="F2803" s="52">
        <v>46066.55</v>
      </c>
      <c r="G2803" s="53">
        <v>5.3240740740740744E-4</v>
      </c>
      <c r="H2803" s="1" t="s">
        <v>257</v>
      </c>
      <c r="J2803" s="1" t="s">
        <v>371</v>
      </c>
      <c r="K2803" s="1" t="s">
        <v>653</v>
      </c>
      <c r="L2803" s="1" t="s">
        <v>1463</v>
      </c>
    </row>
    <row r="2804" spans="2:12">
      <c r="B2804" s="1" t="s">
        <v>667</v>
      </c>
      <c r="C2804" s="1" t="s">
        <v>336</v>
      </c>
      <c r="D2804" s="52">
        <v>46066.538194444445</v>
      </c>
      <c r="E2804" s="52">
        <v>46066.538194444445</v>
      </c>
      <c r="F2804" s="52">
        <v>46066.538888888892</v>
      </c>
      <c r="G2804" s="53">
        <v>1.238425925925926E-3</v>
      </c>
      <c r="H2804" s="1" t="s">
        <v>257</v>
      </c>
      <c r="J2804" s="1" t="s">
        <v>371</v>
      </c>
      <c r="K2804" s="1" t="s">
        <v>653</v>
      </c>
      <c r="L2804" s="1" t="s">
        <v>1464</v>
      </c>
    </row>
    <row r="2805" spans="2:12">
      <c r="B2805" s="1" t="s">
        <v>667</v>
      </c>
      <c r="C2805" s="1" t="s">
        <v>336</v>
      </c>
      <c r="D2805" s="52">
        <v>46066.536805555559</v>
      </c>
      <c r="E2805" s="52">
        <v>46066.536805555559</v>
      </c>
      <c r="F2805" s="52">
        <v>46066.537499999999</v>
      </c>
      <c r="G2805" s="53">
        <v>5.6712962962962967E-4</v>
      </c>
      <c r="H2805" s="1" t="s">
        <v>257</v>
      </c>
      <c r="J2805" s="1" t="s">
        <v>371</v>
      </c>
      <c r="K2805" s="1" t="s">
        <v>653</v>
      </c>
      <c r="L2805" s="1" t="s">
        <v>1465</v>
      </c>
    </row>
    <row r="2806" spans="2:12">
      <c r="B2806" s="1" t="s">
        <v>667</v>
      </c>
      <c r="C2806" s="1" t="s">
        <v>336</v>
      </c>
      <c r="D2806" s="52">
        <v>46066.529166666667</v>
      </c>
      <c r="E2806" s="52">
        <v>46066.529166666667</v>
      </c>
      <c r="F2806" s="52">
        <v>46066.529861111114</v>
      </c>
      <c r="G2806" s="53">
        <v>5.5555555555555556E-4</v>
      </c>
      <c r="H2806" s="1" t="s">
        <v>257</v>
      </c>
      <c r="J2806" s="1" t="s">
        <v>371</v>
      </c>
      <c r="K2806" s="1" t="s">
        <v>653</v>
      </c>
      <c r="L2806" s="1" t="s">
        <v>1466</v>
      </c>
    </row>
    <row r="2807" spans="2:12">
      <c r="B2807" s="1" t="s">
        <v>667</v>
      </c>
      <c r="C2807" s="1" t="s">
        <v>336</v>
      </c>
      <c r="D2807" s="52">
        <v>46066.493750000001</v>
      </c>
      <c r="E2807" s="52">
        <v>46066.493750000001</v>
      </c>
      <c r="F2807" s="52">
        <v>46066.496527777781</v>
      </c>
      <c r="G2807" s="53">
        <v>2.9398148148148148E-3</v>
      </c>
      <c r="H2807" s="1" t="s">
        <v>257</v>
      </c>
      <c r="J2807" s="1" t="s">
        <v>371</v>
      </c>
      <c r="K2807" s="1" t="s">
        <v>653</v>
      </c>
      <c r="L2807" s="1" t="s">
        <v>1467</v>
      </c>
    </row>
    <row r="2808" spans="2:12">
      <c r="B2808" s="1" t="s">
        <v>667</v>
      </c>
      <c r="C2808" s="1" t="s">
        <v>336</v>
      </c>
      <c r="D2808" s="52">
        <v>46066.489583333336</v>
      </c>
      <c r="E2808" s="52">
        <v>46066.489583333336</v>
      </c>
      <c r="F2808" s="52">
        <v>46066.490277777775</v>
      </c>
      <c r="G2808" s="53">
        <v>5.4398148148148144E-4</v>
      </c>
      <c r="H2808" s="1" t="s">
        <v>257</v>
      </c>
      <c r="J2808" s="1" t="s">
        <v>371</v>
      </c>
      <c r="K2808" s="1" t="s">
        <v>653</v>
      </c>
      <c r="L2808" s="1" t="s">
        <v>1468</v>
      </c>
    </row>
    <row r="2809" spans="2:12">
      <c r="B2809" s="1" t="s">
        <v>667</v>
      </c>
      <c r="C2809" s="1" t="s">
        <v>336</v>
      </c>
      <c r="D2809" s="52">
        <v>46066.479861111111</v>
      </c>
      <c r="E2809" s="52">
        <v>46066.479861111111</v>
      </c>
      <c r="F2809" s="52">
        <v>46066.48333333333</v>
      </c>
      <c r="G2809" s="53">
        <v>3.5185185185185185E-3</v>
      </c>
      <c r="H2809" s="1" t="s">
        <v>257</v>
      </c>
      <c r="J2809" s="1" t="s">
        <v>371</v>
      </c>
      <c r="K2809" s="1" t="s">
        <v>653</v>
      </c>
      <c r="L2809" s="1" t="s">
        <v>1469</v>
      </c>
    </row>
    <row r="2810" spans="2:12">
      <c r="B2810" s="1" t="s">
        <v>667</v>
      </c>
      <c r="C2810" s="1" t="s">
        <v>336</v>
      </c>
      <c r="D2810" s="52">
        <v>46066.445138888892</v>
      </c>
      <c r="E2810" s="52">
        <v>46066.445138888892</v>
      </c>
      <c r="F2810" s="52">
        <v>46066.447222222225</v>
      </c>
      <c r="G2810" s="53">
        <v>2.7546296296296294E-3</v>
      </c>
      <c r="H2810" s="1" t="s">
        <v>257</v>
      </c>
      <c r="J2810" s="1" t="s">
        <v>371</v>
      </c>
      <c r="K2810" s="1" t="s">
        <v>653</v>
      </c>
      <c r="L2810" s="1" t="s">
        <v>1470</v>
      </c>
    </row>
    <row r="2811" spans="2:12">
      <c r="B2811" s="1" t="s">
        <v>667</v>
      </c>
      <c r="C2811" s="1" t="s">
        <v>336</v>
      </c>
      <c r="D2811" s="52">
        <v>46066.413888888892</v>
      </c>
      <c r="E2811" s="52">
        <v>46066.413888888892</v>
      </c>
      <c r="F2811" s="52">
        <v>46066.443055555559</v>
      </c>
      <c r="G2811" s="53">
        <v>2.9212962962962961E-2</v>
      </c>
      <c r="H2811" s="1" t="s">
        <v>257</v>
      </c>
      <c r="J2811" s="1" t="s">
        <v>371</v>
      </c>
      <c r="K2811" s="1" t="s">
        <v>653</v>
      </c>
      <c r="L2811" s="1" t="s">
        <v>1471</v>
      </c>
    </row>
    <row r="2812" spans="2:12">
      <c r="B2812" s="1" t="s">
        <v>667</v>
      </c>
      <c r="C2812" s="1" t="s">
        <v>336</v>
      </c>
      <c r="D2812" s="52">
        <v>46066.406944444447</v>
      </c>
      <c r="E2812" s="52">
        <v>46066.406944444447</v>
      </c>
      <c r="F2812" s="52">
        <v>46066.407638888886</v>
      </c>
      <c r="G2812" s="53">
        <v>5.4398148148148144E-4</v>
      </c>
      <c r="H2812" s="1" t="s">
        <v>257</v>
      </c>
      <c r="J2812" s="1" t="s">
        <v>371</v>
      </c>
      <c r="K2812" s="1" t="s">
        <v>653</v>
      </c>
      <c r="L2812" s="1" t="s">
        <v>1472</v>
      </c>
    </row>
    <row r="2813" spans="2:12">
      <c r="B2813" s="1" t="s">
        <v>667</v>
      </c>
      <c r="C2813" s="1" t="s">
        <v>336</v>
      </c>
      <c r="D2813" s="52">
        <v>46066.395833333336</v>
      </c>
      <c r="E2813" s="52">
        <v>46066.395833333336</v>
      </c>
      <c r="F2813" s="52">
        <v>46066.396527777775</v>
      </c>
      <c r="G2813" s="53">
        <v>5.5555555555555556E-4</v>
      </c>
      <c r="H2813" s="1" t="s">
        <v>257</v>
      </c>
      <c r="J2813" s="1" t="s">
        <v>371</v>
      </c>
      <c r="K2813" s="1" t="s">
        <v>653</v>
      </c>
      <c r="L2813" s="1" t="s">
        <v>1473</v>
      </c>
    </row>
    <row r="2814" spans="2:12">
      <c r="B2814" s="1" t="s">
        <v>667</v>
      </c>
      <c r="C2814" s="1" t="s">
        <v>336</v>
      </c>
      <c r="D2814" s="52">
        <v>46066.383333333331</v>
      </c>
      <c r="E2814" s="52">
        <v>46066.383333333331</v>
      </c>
      <c r="F2814" s="52">
        <v>46066.384027777778</v>
      </c>
      <c r="G2814" s="53">
        <v>5.4398148148148144E-4</v>
      </c>
      <c r="H2814" s="1" t="s">
        <v>257</v>
      </c>
      <c r="J2814" s="1" t="s">
        <v>371</v>
      </c>
      <c r="K2814" s="1" t="s">
        <v>653</v>
      </c>
      <c r="L2814" s="1" t="s">
        <v>1474</v>
      </c>
    </row>
    <row r="2815" spans="2:12">
      <c r="B2815" s="1" t="s">
        <v>667</v>
      </c>
      <c r="C2815" s="1" t="s">
        <v>336</v>
      </c>
      <c r="D2815" s="52">
        <v>46066.374305555553</v>
      </c>
      <c r="E2815" s="52">
        <v>46066.374305555553</v>
      </c>
      <c r="F2815" s="52">
        <v>46066.375</v>
      </c>
      <c r="G2815" s="53">
        <v>5.0925925925925921E-4</v>
      </c>
      <c r="H2815" s="1" t="s">
        <v>257</v>
      </c>
      <c r="J2815" s="1" t="s">
        <v>371</v>
      </c>
      <c r="K2815" s="1" t="s">
        <v>653</v>
      </c>
      <c r="L2815" s="1" t="s">
        <v>1475</v>
      </c>
    </row>
    <row r="2816" spans="2:12">
      <c r="B2816" s="1" t="s">
        <v>667</v>
      </c>
      <c r="C2816" s="1" t="s">
        <v>336</v>
      </c>
      <c r="D2816" s="52">
        <v>46066.365972222222</v>
      </c>
      <c r="E2816" s="52">
        <v>46066.365972222222</v>
      </c>
      <c r="F2816" s="52">
        <v>46066.366666666669</v>
      </c>
      <c r="G2816" s="53">
        <v>5.0925925925925921E-4</v>
      </c>
      <c r="H2816" s="1" t="s">
        <v>257</v>
      </c>
      <c r="J2816" s="1" t="s">
        <v>371</v>
      </c>
      <c r="K2816" s="1" t="s">
        <v>653</v>
      </c>
      <c r="L2816" s="1" t="s">
        <v>1476</v>
      </c>
    </row>
    <row r="2817" spans="2:12">
      <c r="B2817" s="1" t="s">
        <v>667</v>
      </c>
      <c r="C2817" s="1" t="s">
        <v>336</v>
      </c>
      <c r="D2817" s="52">
        <v>46066.356944444444</v>
      </c>
      <c r="E2817" s="52">
        <v>46066.356944444444</v>
      </c>
      <c r="F2817" s="52">
        <v>46066.356944444444</v>
      </c>
      <c r="G2817" s="53">
        <v>5.0925925925925921E-4</v>
      </c>
      <c r="H2817" s="1" t="s">
        <v>257</v>
      </c>
      <c r="J2817" s="1" t="s">
        <v>371</v>
      </c>
      <c r="K2817" s="1" t="s">
        <v>653</v>
      </c>
      <c r="L2817" s="1" t="s">
        <v>1477</v>
      </c>
    </row>
    <row r="2818" spans="2:12">
      <c r="B2818" s="1" t="s">
        <v>667</v>
      </c>
      <c r="C2818" s="1" t="s">
        <v>336</v>
      </c>
      <c r="D2818" s="52">
        <v>46066.347916666666</v>
      </c>
      <c r="E2818" s="52">
        <v>46066.347916666666</v>
      </c>
      <c r="F2818" s="52">
        <v>46066.348611111112</v>
      </c>
      <c r="G2818" s="53">
        <v>4.9768518518518521E-4</v>
      </c>
      <c r="H2818" s="1" t="s">
        <v>257</v>
      </c>
      <c r="J2818" s="1" t="s">
        <v>371</v>
      </c>
      <c r="K2818" s="1" t="s">
        <v>653</v>
      </c>
      <c r="L2818" s="1" t="s">
        <v>1478</v>
      </c>
    </row>
    <row r="2819" spans="2:12">
      <c r="B2819" s="1" t="s">
        <v>667</v>
      </c>
      <c r="C2819" s="1" t="s">
        <v>336</v>
      </c>
      <c r="D2819" s="52">
        <v>46066.337500000001</v>
      </c>
      <c r="E2819" s="52">
        <v>46066.337500000001</v>
      </c>
      <c r="F2819" s="52">
        <v>46066.337500000001</v>
      </c>
      <c r="G2819" s="53">
        <v>5.2083333333333333E-4</v>
      </c>
      <c r="H2819" s="1" t="s">
        <v>257</v>
      </c>
      <c r="J2819" s="1" t="s">
        <v>371</v>
      </c>
      <c r="K2819" s="1" t="s">
        <v>653</v>
      </c>
      <c r="L2819" s="1" t="s">
        <v>1479</v>
      </c>
    </row>
    <row r="2820" spans="2:12">
      <c r="B2820" s="1" t="s">
        <v>667</v>
      </c>
      <c r="C2820" s="1" t="s">
        <v>336</v>
      </c>
      <c r="D2820" s="52">
        <v>46066.32708333333</v>
      </c>
      <c r="E2820" s="52">
        <v>46066.32708333333</v>
      </c>
      <c r="F2820" s="52">
        <v>46066.327777777777</v>
      </c>
      <c r="G2820" s="53">
        <v>5.2083333333333333E-4</v>
      </c>
      <c r="H2820" s="1" t="s">
        <v>257</v>
      </c>
      <c r="J2820" s="1" t="s">
        <v>371</v>
      </c>
      <c r="K2820" s="1" t="s">
        <v>653</v>
      </c>
      <c r="L2820" s="1" t="s">
        <v>1480</v>
      </c>
    </row>
    <row r="2821" spans="2:12">
      <c r="B2821" s="1" t="s">
        <v>667</v>
      </c>
      <c r="C2821" s="1" t="s">
        <v>336</v>
      </c>
      <c r="D2821" s="52">
        <v>46066.318749999999</v>
      </c>
      <c r="E2821" s="52">
        <v>46066.318749999999</v>
      </c>
      <c r="F2821" s="52">
        <v>46066.319444444445</v>
      </c>
      <c r="G2821" s="53">
        <v>5.0925925925925921E-4</v>
      </c>
      <c r="H2821" s="1" t="s">
        <v>257</v>
      </c>
      <c r="J2821" s="1" t="s">
        <v>371</v>
      </c>
      <c r="K2821" s="1" t="s">
        <v>653</v>
      </c>
      <c r="L2821" s="1" t="s">
        <v>1481</v>
      </c>
    </row>
    <row r="2822" spans="2:12">
      <c r="B2822" s="1" t="s">
        <v>667</v>
      </c>
      <c r="C2822" s="1" t="s">
        <v>336</v>
      </c>
      <c r="D2822" s="52">
        <v>46066.308333333334</v>
      </c>
      <c r="E2822" s="52">
        <v>46066.308333333334</v>
      </c>
      <c r="F2822" s="52">
        <v>46066.308333333334</v>
      </c>
      <c r="G2822" s="53">
        <v>5.2083333333333333E-4</v>
      </c>
      <c r="H2822" s="1" t="s">
        <v>257</v>
      </c>
      <c r="J2822" s="1" t="s">
        <v>371</v>
      </c>
      <c r="K2822" s="1" t="s">
        <v>653</v>
      </c>
      <c r="L2822" s="1" t="s">
        <v>1482</v>
      </c>
    </row>
    <row r="2823" spans="2:12">
      <c r="B2823" s="1" t="s">
        <v>667</v>
      </c>
      <c r="C2823" s="1" t="s">
        <v>336</v>
      </c>
      <c r="D2823" s="52">
        <v>46066.301388888889</v>
      </c>
      <c r="E2823" s="52">
        <v>46066.301388888889</v>
      </c>
      <c r="F2823" s="52">
        <v>46066.301388888889</v>
      </c>
      <c r="G2823" s="53">
        <v>5.0925925925925921E-4</v>
      </c>
      <c r="H2823" s="1" t="s">
        <v>257</v>
      </c>
      <c r="J2823" s="1" t="s">
        <v>371</v>
      </c>
      <c r="K2823" s="1" t="s">
        <v>653</v>
      </c>
      <c r="L2823" s="1" t="s">
        <v>1483</v>
      </c>
    </row>
    <row r="2824" spans="2:12">
      <c r="B2824" s="1" t="s">
        <v>667</v>
      </c>
      <c r="C2824" s="1" t="s">
        <v>336</v>
      </c>
      <c r="D2824" s="52">
        <v>46066.294444444444</v>
      </c>
      <c r="E2824" s="52">
        <v>46066.294444444444</v>
      </c>
      <c r="F2824" s="52">
        <v>46066.295138888891</v>
      </c>
      <c r="G2824" s="53">
        <v>6.7129629629629625E-4</v>
      </c>
      <c r="H2824" s="1" t="s">
        <v>257</v>
      </c>
      <c r="J2824" s="1" t="s">
        <v>371</v>
      </c>
      <c r="K2824" s="1" t="s">
        <v>653</v>
      </c>
      <c r="L2824" s="1" t="s">
        <v>1484</v>
      </c>
    </row>
    <row r="2825" spans="2:12">
      <c r="B2825" s="1" t="s">
        <v>667</v>
      </c>
      <c r="C2825" s="1" t="s">
        <v>336</v>
      </c>
      <c r="D2825" s="52">
        <v>46066.288888888892</v>
      </c>
      <c r="E2825" s="52">
        <v>46066.288888888892</v>
      </c>
      <c r="F2825" s="52">
        <v>46066.288888888892</v>
      </c>
      <c r="G2825" s="53">
        <v>6.7129629629629625E-4</v>
      </c>
      <c r="H2825" s="1" t="s">
        <v>257</v>
      </c>
      <c r="J2825" s="1" t="s">
        <v>371</v>
      </c>
      <c r="K2825" s="1" t="s">
        <v>653</v>
      </c>
      <c r="L2825" s="1" t="s">
        <v>1485</v>
      </c>
    </row>
    <row r="2826" spans="2:12">
      <c r="B2826" s="1" t="s">
        <v>667</v>
      </c>
      <c r="C2826" s="1" t="s">
        <v>336</v>
      </c>
      <c r="D2826" s="52">
        <v>46066.282638888886</v>
      </c>
      <c r="E2826" s="52">
        <v>46066.282638888886</v>
      </c>
      <c r="F2826" s="52">
        <v>46066.283333333333</v>
      </c>
      <c r="G2826" s="53">
        <v>5.6712962962962967E-4</v>
      </c>
      <c r="H2826" s="1" t="s">
        <v>257</v>
      </c>
      <c r="J2826" s="1" t="s">
        <v>371</v>
      </c>
      <c r="K2826" s="1" t="s">
        <v>653</v>
      </c>
      <c r="L2826" s="1" t="s">
        <v>1486</v>
      </c>
    </row>
    <row r="2827" spans="2:12">
      <c r="B2827" s="1" t="s">
        <v>667</v>
      </c>
      <c r="C2827" s="1" t="s">
        <v>336</v>
      </c>
      <c r="D2827" s="52">
        <v>46066.276388888888</v>
      </c>
      <c r="E2827" s="52">
        <v>46066.276388888888</v>
      </c>
      <c r="F2827" s="52">
        <v>46066.277083333334</v>
      </c>
      <c r="G2827" s="53">
        <v>4.7453703703703704E-4</v>
      </c>
      <c r="H2827" s="1" t="s">
        <v>257</v>
      </c>
      <c r="J2827" s="1" t="s">
        <v>371</v>
      </c>
      <c r="K2827" s="1" t="s">
        <v>653</v>
      </c>
      <c r="L2827" s="1" t="s">
        <v>1487</v>
      </c>
    </row>
    <row r="2828" spans="2:12">
      <c r="B2828" s="1" t="s">
        <v>667</v>
      </c>
      <c r="C2828" s="1" t="s">
        <v>336</v>
      </c>
      <c r="D2828" s="52">
        <v>46066.23541666667</v>
      </c>
      <c r="E2828" s="52">
        <v>46066.23541666667</v>
      </c>
      <c r="F2828" s="52">
        <v>46066.259027777778</v>
      </c>
      <c r="G2828" s="53">
        <v>2.3506944444444445E-2</v>
      </c>
      <c r="H2828" s="1" t="s">
        <v>257</v>
      </c>
      <c r="J2828" s="1" t="s">
        <v>371</v>
      </c>
      <c r="K2828" s="1" t="s">
        <v>653</v>
      </c>
      <c r="L2828" s="1" t="s">
        <v>1488</v>
      </c>
    </row>
    <row r="2829" spans="2:12">
      <c r="B2829" s="1" t="s">
        <v>667</v>
      </c>
      <c r="C2829" s="1" t="s">
        <v>336</v>
      </c>
      <c r="D2829" s="52">
        <v>46066.23541666667</v>
      </c>
      <c r="E2829" s="52">
        <v>46066.23541666667</v>
      </c>
      <c r="F2829" s="52">
        <v>46066.259027777778</v>
      </c>
      <c r="G2829" s="53">
        <v>2.3912037037037037E-2</v>
      </c>
      <c r="H2829" s="1" t="s">
        <v>257</v>
      </c>
      <c r="J2829" s="1" t="s">
        <v>371</v>
      </c>
      <c r="K2829" s="1" t="s">
        <v>653</v>
      </c>
      <c r="L2829" s="1" t="s">
        <v>1489</v>
      </c>
    </row>
    <row r="2830" spans="2:12">
      <c r="B2830" s="1" t="s">
        <v>667</v>
      </c>
      <c r="C2830" s="1" t="s">
        <v>336</v>
      </c>
      <c r="D2830" s="52">
        <v>46065.786805555559</v>
      </c>
      <c r="E2830" s="52">
        <v>46065.786805555559</v>
      </c>
      <c r="F2830" s="52">
        <v>46065.788194444445</v>
      </c>
      <c r="G2830" s="53">
        <v>1.7013888888888888E-3</v>
      </c>
      <c r="H2830" s="1" t="s">
        <v>257</v>
      </c>
      <c r="J2830" s="1" t="s">
        <v>371</v>
      </c>
      <c r="K2830" s="1" t="s">
        <v>653</v>
      </c>
      <c r="L2830" s="1" t="s">
        <v>1490</v>
      </c>
    </row>
    <row r="2831" spans="2:12">
      <c r="B2831" s="1" t="s">
        <v>667</v>
      </c>
      <c r="C2831" s="1" t="s">
        <v>336</v>
      </c>
      <c r="D2831" s="52">
        <v>46065.750694444447</v>
      </c>
      <c r="E2831" s="52">
        <v>46065.750694444447</v>
      </c>
      <c r="F2831" s="52">
        <v>46065.788194444445</v>
      </c>
      <c r="G2831" s="53">
        <v>3.7557870370370373E-2</v>
      </c>
      <c r="H2831" s="1" t="s">
        <v>257</v>
      </c>
      <c r="J2831" s="1" t="s">
        <v>371</v>
      </c>
      <c r="K2831" s="1" t="s">
        <v>653</v>
      </c>
      <c r="L2831" s="1" t="s">
        <v>1491</v>
      </c>
    </row>
    <row r="2832" spans="2:12">
      <c r="B2832" s="1" t="s">
        <v>667</v>
      </c>
      <c r="C2832" s="1" t="s">
        <v>336</v>
      </c>
      <c r="D2832" s="52">
        <v>46065.750694444447</v>
      </c>
      <c r="E2832" s="52">
        <v>46065.750694444447</v>
      </c>
      <c r="F2832" s="52">
        <v>46065.777777777781</v>
      </c>
      <c r="G2832" s="53">
        <v>2.7395833333333335E-2</v>
      </c>
      <c r="H2832" s="1" t="s">
        <v>257</v>
      </c>
      <c r="J2832" s="1" t="s">
        <v>371</v>
      </c>
      <c r="K2832" s="1" t="s">
        <v>653</v>
      </c>
      <c r="L2832" s="1" t="s">
        <v>1492</v>
      </c>
    </row>
    <row r="2833" spans="2:12">
      <c r="B2833" s="1" t="s">
        <v>667</v>
      </c>
      <c r="C2833" s="1" t="s">
        <v>336</v>
      </c>
      <c r="D2833" s="52">
        <v>46065.726388888892</v>
      </c>
      <c r="E2833" s="52">
        <v>46065.726388888892</v>
      </c>
      <c r="F2833" s="52">
        <v>46065.727083333331</v>
      </c>
      <c r="G2833" s="53">
        <v>5.2083333333333333E-4</v>
      </c>
      <c r="H2833" s="1" t="s">
        <v>257</v>
      </c>
      <c r="J2833" s="1" t="s">
        <v>371</v>
      </c>
      <c r="K2833" s="1" t="s">
        <v>653</v>
      </c>
      <c r="L2833" s="1" t="s">
        <v>1493</v>
      </c>
    </row>
    <row r="2834" spans="2:12">
      <c r="B2834" s="1" t="s">
        <v>667</v>
      </c>
      <c r="C2834" s="1" t="s">
        <v>336</v>
      </c>
      <c r="D2834" s="52">
        <v>46065.720138888886</v>
      </c>
      <c r="E2834" s="52">
        <v>46065.720138888886</v>
      </c>
      <c r="F2834" s="52">
        <v>46065.720138888886</v>
      </c>
      <c r="G2834" s="53">
        <v>5.0925925925925921E-4</v>
      </c>
      <c r="H2834" s="1" t="s">
        <v>257</v>
      </c>
      <c r="J2834" s="1" t="s">
        <v>371</v>
      </c>
      <c r="K2834" s="1" t="s">
        <v>653</v>
      </c>
      <c r="L2834" s="1" t="s">
        <v>1494</v>
      </c>
    </row>
    <row r="2835" spans="2:12">
      <c r="B2835" s="1" t="s">
        <v>667</v>
      </c>
      <c r="C2835" s="1" t="s">
        <v>336</v>
      </c>
      <c r="D2835" s="52">
        <v>46065.711111111108</v>
      </c>
      <c r="E2835" s="52">
        <v>46065.711111111108</v>
      </c>
      <c r="F2835" s="52">
        <v>46065.711805555555</v>
      </c>
      <c r="G2835" s="53">
        <v>5.2083333333333333E-4</v>
      </c>
      <c r="H2835" s="1" t="s">
        <v>257</v>
      </c>
      <c r="J2835" s="1" t="s">
        <v>371</v>
      </c>
      <c r="K2835" s="1" t="s">
        <v>653</v>
      </c>
      <c r="L2835" s="1" t="s">
        <v>1495</v>
      </c>
    </row>
    <row r="2836" spans="2:12">
      <c r="B2836" s="1" t="s">
        <v>667</v>
      </c>
      <c r="C2836" s="1" t="s">
        <v>336</v>
      </c>
      <c r="D2836" s="52">
        <v>46065.703472222223</v>
      </c>
      <c r="E2836" s="52">
        <v>46065.703472222223</v>
      </c>
      <c r="F2836" s="52">
        <v>46065.703472222223</v>
      </c>
      <c r="G2836" s="53">
        <v>5.4398148148148144E-4</v>
      </c>
      <c r="H2836" s="1" t="s">
        <v>257</v>
      </c>
      <c r="J2836" s="1" t="s">
        <v>371</v>
      </c>
      <c r="K2836" s="1" t="s">
        <v>653</v>
      </c>
      <c r="L2836" s="1" t="s">
        <v>1496</v>
      </c>
    </row>
    <row r="2837" spans="2:12">
      <c r="B2837" s="1" t="s">
        <v>667</v>
      </c>
      <c r="C2837" s="1" t="s">
        <v>336</v>
      </c>
      <c r="D2837" s="52">
        <v>46065.693749999999</v>
      </c>
      <c r="E2837" s="52">
        <v>46065.693749999999</v>
      </c>
      <c r="F2837" s="52">
        <v>46065.694444444445</v>
      </c>
      <c r="G2837" s="53">
        <v>5.5555555555555556E-4</v>
      </c>
      <c r="H2837" s="1" t="s">
        <v>257</v>
      </c>
      <c r="J2837" s="1" t="s">
        <v>371</v>
      </c>
      <c r="K2837" s="1" t="s">
        <v>653</v>
      </c>
      <c r="L2837" s="1" t="s">
        <v>1497</v>
      </c>
    </row>
    <row r="2838" spans="2:12">
      <c r="B2838" s="1" t="s">
        <v>667</v>
      </c>
      <c r="C2838" s="1" t="s">
        <v>336</v>
      </c>
      <c r="D2838" s="52">
        <v>46065.68472222222</v>
      </c>
      <c r="E2838" s="52">
        <v>46065.68472222222</v>
      </c>
      <c r="F2838" s="52">
        <v>46065.685416666667</v>
      </c>
      <c r="G2838" s="53">
        <v>5.3240740740740744E-4</v>
      </c>
      <c r="H2838" s="1" t="s">
        <v>257</v>
      </c>
      <c r="J2838" s="1" t="s">
        <v>371</v>
      </c>
      <c r="K2838" s="1" t="s">
        <v>653</v>
      </c>
      <c r="L2838" s="1" t="s">
        <v>1498</v>
      </c>
    </row>
    <row r="2839" spans="2:12">
      <c r="B2839" s="1" t="s">
        <v>667</v>
      </c>
      <c r="C2839" s="1" t="s">
        <v>336</v>
      </c>
      <c r="D2839" s="52">
        <v>46065.671527777777</v>
      </c>
      <c r="E2839" s="52">
        <v>46065.671527777777</v>
      </c>
      <c r="F2839" s="52">
        <v>46065.672222222223</v>
      </c>
      <c r="G2839" s="53">
        <v>5.4398148148148144E-4</v>
      </c>
      <c r="H2839" s="1" t="s">
        <v>257</v>
      </c>
      <c r="J2839" s="1" t="s">
        <v>371</v>
      </c>
      <c r="K2839" s="1" t="s">
        <v>653</v>
      </c>
      <c r="L2839" s="1" t="s">
        <v>1499</v>
      </c>
    </row>
    <row r="2840" spans="2:12">
      <c r="B2840" s="1" t="s">
        <v>667</v>
      </c>
      <c r="C2840" s="1" t="s">
        <v>336</v>
      </c>
      <c r="D2840" s="52">
        <v>46065.663888888892</v>
      </c>
      <c r="E2840" s="52">
        <v>46065.663888888892</v>
      </c>
      <c r="F2840" s="52">
        <v>46065.663888888892</v>
      </c>
      <c r="G2840" s="53">
        <v>5.0925925925925921E-4</v>
      </c>
      <c r="H2840" s="1" t="s">
        <v>257</v>
      </c>
      <c r="J2840" s="1" t="s">
        <v>371</v>
      </c>
      <c r="K2840" s="1" t="s">
        <v>653</v>
      </c>
      <c r="L2840" s="1" t="s">
        <v>1500</v>
      </c>
    </row>
    <row r="2841" spans="2:12">
      <c r="B2841" s="1" t="s">
        <v>667</v>
      </c>
      <c r="C2841" s="1" t="s">
        <v>336</v>
      </c>
      <c r="D2841" s="52">
        <v>46065.65625</v>
      </c>
      <c r="E2841" s="52">
        <v>46065.65625</v>
      </c>
      <c r="F2841" s="52">
        <v>46065.656944444447</v>
      </c>
      <c r="G2841" s="53">
        <v>5.2083333333333333E-4</v>
      </c>
      <c r="H2841" s="1" t="s">
        <v>257</v>
      </c>
      <c r="J2841" s="1" t="s">
        <v>371</v>
      </c>
      <c r="K2841" s="1" t="s">
        <v>653</v>
      </c>
      <c r="L2841" s="1" t="s">
        <v>1501</v>
      </c>
    </row>
    <row r="2842" spans="2:12">
      <c r="B2842" s="1" t="s">
        <v>667</v>
      </c>
      <c r="C2842" s="1" t="s">
        <v>336</v>
      </c>
      <c r="D2842" s="52">
        <v>46065.647222222222</v>
      </c>
      <c r="E2842" s="52">
        <v>46065.647222222222</v>
      </c>
      <c r="F2842" s="52">
        <v>46065.647916666669</v>
      </c>
      <c r="G2842" s="53">
        <v>5.2083333333333333E-4</v>
      </c>
      <c r="H2842" s="1" t="s">
        <v>257</v>
      </c>
      <c r="J2842" s="1" t="s">
        <v>371</v>
      </c>
      <c r="K2842" s="1" t="s">
        <v>653</v>
      </c>
      <c r="L2842" s="1" t="s">
        <v>1502</v>
      </c>
    </row>
    <row r="2843" spans="2:12">
      <c r="B2843" s="1" t="s">
        <v>667</v>
      </c>
      <c r="C2843" s="1" t="s">
        <v>336</v>
      </c>
      <c r="D2843" s="52">
        <v>46065.634027777778</v>
      </c>
      <c r="E2843" s="52">
        <v>46065.634027777778</v>
      </c>
      <c r="F2843" s="52">
        <v>46065.634722222225</v>
      </c>
      <c r="G2843" s="53">
        <v>5.0925925925925921E-4</v>
      </c>
      <c r="H2843" s="1" t="s">
        <v>257</v>
      </c>
      <c r="J2843" s="1" t="s">
        <v>371</v>
      </c>
      <c r="K2843" s="1" t="s">
        <v>653</v>
      </c>
      <c r="L2843" s="1" t="s">
        <v>1503</v>
      </c>
    </row>
    <row r="2844" spans="2:12">
      <c r="B2844" s="1" t="s">
        <v>667</v>
      </c>
      <c r="C2844" s="1" t="s">
        <v>336</v>
      </c>
      <c r="D2844" s="52">
        <v>46065.624305555553</v>
      </c>
      <c r="E2844" s="52">
        <v>46065.624305555553</v>
      </c>
      <c r="F2844" s="52">
        <v>46065.625</v>
      </c>
      <c r="G2844" s="53">
        <v>5.2083333333333333E-4</v>
      </c>
      <c r="H2844" s="1" t="s">
        <v>257</v>
      </c>
      <c r="J2844" s="1" t="s">
        <v>371</v>
      </c>
      <c r="K2844" s="1" t="s">
        <v>653</v>
      </c>
      <c r="L2844" s="1" t="s">
        <v>1504</v>
      </c>
    </row>
    <row r="2845" spans="2:12">
      <c r="B2845" s="1" t="s">
        <v>667</v>
      </c>
      <c r="C2845" s="1" t="s">
        <v>336</v>
      </c>
      <c r="D2845" s="52">
        <v>46065.617361111108</v>
      </c>
      <c r="E2845" s="52">
        <v>46065.617361111108</v>
      </c>
      <c r="F2845" s="52">
        <v>46065.618055555555</v>
      </c>
      <c r="G2845" s="53">
        <v>5.2083333333333333E-4</v>
      </c>
      <c r="H2845" s="1" t="s">
        <v>257</v>
      </c>
      <c r="J2845" s="1" t="s">
        <v>371</v>
      </c>
      <c r="K2845" s="1" t="s">
        <v>653</v>
      </c>
      <c r="L2845" s="1" t="s">
        <v>1505</v>
      </c>
    </row>
    <row r="2846" spans="2:12">
      <c r="B2846" s="1" t="s">
        <v>667</v>
      </c>
      <c r="C2846" s="1" t="s">
        <v>336</v>
      </c>
      <c r="D2846" s="52">
        <v>46065.60833333333</v>
      </c>
      <c r="E2846" s="52">
        <v>46065.60833333333</v>
      </c>
      <c r="F2846" s="52">
        <v>46065.609027777777</v>
      </c>
      <c r="G2846" s="53">
        <v>5.2083333333333333E-4</v>
      </c>
      <c r="H2846" s="1" t="s">
        <v>257</v>
      </c>
      <c r="J2846" s="1" t="s">
        <v>371</v>
      </c>
      <c r="K2846" s="1" t="s">
        <v>653</v>
      </c>
      <c r="L2846" s="1" t="s">
        <v>1506</v>
      </c>
    </row>
    <row r="2847" spans="2:12">
      <c r="B2847" s="1" t="s">
        <v>667</v>
      </c>
      <c r="C2847" s="1" t="s">
        <v>336</v>
      </c>
      <c r="D2847" s="52">
        <v>46065.601388888892</v>
      </c>
      <c r="E2847" s="52">
        <v>46065.601388888892</v>
      </c>
      <c r="F2847" s="52">
        <v>46065.601388888892</v>
      </c>
      <c r="G2847" s="53">
        <v>5.5555555555555556E-4</v>
      </c>
      <c r="H2847" s="1" t="s">
        <v>257</v>
      </c>
      <c r="J2847" s="1" t="s">
        <v>371</v>
      </c>
      <c r="K2847" s="1" t="s">
        <v>653</v>
      </c>
      <c r="L2847" s="1" t="s">
        <v>1507</v>
      </c>
    </row>
    <row r="2848" spans="2:12">
      <c r="B2848" s="1" t="s">
        <v>667</v>
      </c>
      <c r="C2848" s="1" t="s">
        <v>336</v>
      </c>
      <c r="D2848" s="52">
        <v>46065.594444444447</v>
      </c>
      <c r="E2848" s="52">
        <v>46065.594444444447</v>
      </c>
      <c r="F2848" s="52">
        <v>46065.595138888886</v>
      </c>
      <c r="G2848" s="53">
        <v>5.3240740740740744E-4</v>
      </c>
      <c r="H2848" s="1" t="s">
        <v>257</v>
      </c>
      <c r="J2848" s="1" t="s">
        <v>371</v>
      </c>
      <c r="K2848" s="1" t="s">
        <v>653</v>
      </c>
      <c r="L2848" s="1" t="s">
        <v>1508</v>
      </c>
    </row>
    <row r="2849" spans="2:12">
      <c r="B2849" s="1" t="s">
        <v>667</v>
      </c>
      <c r="C2849" s="1" t="s">
        <v>336</v>
      </c>
      <c r="D2849" s="52">
        <v>46065.581944444442</v>
      </c>
      <c r="E2849" s="52">
        <v>46065.581944444442</v>
      </c>
      <c r="F2849" s="52">
        <v>46065.582638888889</v>
      </c>
      <c r="G2849" s="53">
        <v>5.2083333333333333E-4</v>
      </c>
      <c r="H2849" s="1" t="s">
        <v>257</v>
      </c>
      <c r="J2849" s="1" t="s">
        <v>371</v>
      </c>
      <c r="K2849" s="1" t="s">
        <v>653</v>
      </c>
      <c r="L2849" s="1" t="s">
        <v>1509</v>
      </c>
    </row>
    <row r="2850" spans="2:12">
      <c r="B2850" s="1" t="s">
        <v>667</v>
      </c>
      <c r="C2850" s="1" t="s">
        <v>336</v>
      </c>
      <c r="D2850" s="52">
        <v>46065.574305555558</v>
      </c>
      <c r="E2850" s="52">
        <v>46065.574305555558</v>
      </c>
      <c r="F2850" s="52">
        <v>46065.574999999997</v>
      </c>
      <c r="G2850" s="53">
        <v>5.4398148148148144E-4</v>
      </c>
      <c r="H2850" s="1" t="s">
        <v>257</v>
      </c>
      <c r="J2850" s="1" t="s">
        <v>371</v>
      </c>
      <c r="K2850" s="1" t="s">
        <v>653</v>
      </c>
      <c r="L2850" s="1" t="s">
        <v>1510</v>
      </c>
    </row>
    <row r="2851" spans="2:12">
      <c r="B2851" s="1" t="s">
        <v>667</v>
      </c>
      <c r="C2851" s="1" t="s">
        <v>336</v>
      </c>
      <c r="D2851" s="52">
        <v>46065.552777777775</v>
      </c>
      <c r="E2851" s="52">
        <v>46065.552777777775</v>
      </c>
      <c r="F2851" s="52">
        <v>46065.554166666669</v>
      </c>
      <c r="G2851" s="53">
        <v>1.8518518518518519E-3</v>
      </c>
      <c r="H2851" s="1" t="s">
        <v>257</v>
      </c>
      <c r="J2851" s="1" t="s">
        <v>371</v>
      </c>
      <c r="K2851" s="1" t="s">
        <v>653</v>
      </c>
      <c r="L2851" s="1" t="s">
        <v>1511</v>
      </c>
    </row>
    <row r="2852" spans="2:12">
      <c r="B2852" s="1" t="s">
        <v>667</v>
      </c>
      <c r="C2852" s="1" t="s">
        <v>336</v>
      </c>
      <c r="D2852" s="52">
        <v>46065.550694444442</v>
      </c>
      <c r="E2852" s="52">
        <v>46065.550694444442</v>
      </c>
      <c r="F2852" s="52">
        <v>46065.551388888889</v>
      </c>
      <c r="G2852" s="53">
        <v>5.4398148148148144E-4</v>
      </c>
      <c r="H2852" s="1" t="s">
        <v>257</v>
      </c>
      <c r="J2852" s="1" t="s">
        <v>371</v>
      </c>
      <c r="K2852" s="1" t="s">
        <v>653</v>
      </c>
      <c r="L2852" s="1" t="s">
        <v>1512</v>
      </c>
    </row>
    <row r="2853" spans="2:12">
      <c r="B2853" s="1" t="s">
        <v>667</v>
      </c>
      <c r="C2853" s="1" t="s">
        <v>336</v>
      </c>
      <c r="D2853" s="52">
        <v>46065.536805555559</v>
      </c>
      <c r="E2853" s="52">
        <v>46065.536805555559</v>
      </c>
      <c r="F2853" s="52">
        <v>46065.537499999999</v>
      </c>
      <c r="G2853" s="53">
        <v>5.4398148148148144E-4</v>
      </c>
      <c r="H2853" s="1" t="s">
        <v>257</v>
      </c>
      <c r="J2853" s="1" t="s">
        <v>371</v>
      </c>
      <c r="K2853" s="1" t="s">
        <v>653</v>
      </c>
      <c r="L2853" s="1" t="s">
        <v>1513</v>
      </c>
    </row>
    <row r="2854" spans="2:12">
      <c r="B2854" s="1" t="s">
        <v>667</v>
      </c>
      <c r="C2854" s="1" t="s">
        <v>336</v>
      </c>
      <c r="D2854" s="52">
        <v>46065.526388888888</v>
      </c>
      <c r="E2854" s="52">
        <v>46065.526388888888</v>
      </c>
      <c r="F2854" s="52">
        <v>46065.527083333334</v>
      </c>
      <c r="G2854" s="53">
        <v>5.4398148148148144E-4</v>
      </c>
      <c r="H2854" s="1" t="s">
        <v>257</v>
      </c>
      <c r="J2854" s="1" t="s">
        <v>371</v>
      </c>
      <c r="K2854" s="1" t="s">
        <v>653</v>
      </c>
      <c r="L2854" s="1" t="s">
        <v>1514</v>
      </c>
    </row>
    <row r="2855" spans="2:12">
      <c r="B2855" s="1" t="s">
        <v>667</v>
      </c>
      <c r="C2855" s="1" t="s">
        <v>336</v>
      </c>
      <c r="D2855" s="52">
        <v>46065.51666666667</v>
      </c>
      <c r="E2855" s="52">
        <v>46065.51666666667</v>
      </c>
      <c r="F2855" s="52">
        <v>46065.519444444442</v>
      </c>
      <c r="G2855" s="53">
        <v>2.4189814814814816E-3</v>
      </c>
      <c r="H2855" s="1" t="s">
        <v>257</v>
      </c>
      <c r="J2855" s="1" t="s">
        <v>371</v>
      </c>
      <c r="K2855" s="1" t="s">
        <v>653</v>
      </c>
      <c r="L2855" s="1" t="s">
        <v>1515</v>
      </c>
    </row>
    <row r="2856" spans="2:12">
      <c r="B2856" s="1" t="s">
        <v>667</v>
      </c>
      <c r="C2856" s="1" t="s">
        <v>336</v>
      </c>
      <c r="D2856" s="52">
        <v>46065.510416666664</v>
      </c>
      <c r="E2856" s="52">
        <v>46065.510416666664</v>
      </c>
      <c r="F2856" s="52">
        <v>46065.511111111111</v>
      </c>
      <c r="G2856" s="53">
        <v>5.5555555555555556E-4</v>
      </c>
      <c r="H2856" s="1" t="s">
        <v>257</v>
      </c>
      <c r="J2856" s="1" t="s">
        <v>371</v>
      </c>
      <c r="K2856" s="1" t="s">
        <v>653</v>
      </c>
      <c r="L2856" s="1" t="s">
        <v>1516</v>
      </c>
    </row>
    <row r="2857" spans="2:12">
      <c r="B2857" s="1" t="s">
        <v>667</v>
      </c>
      <c r="C2857" s="1" t="s">
        <v>336</v>
      </c>
      <c r="D2857" s="52">
        <v>46065.498611111114</v>
      </c>
      <c r="E2857" s="52">
        <v>46065.498611111114</v>
      </c>
      <c r="F2857" s="52">
        <v>46065.498611111114</v>
      </c>
      <c r="G2857" s="53">
        <v>5.4398148148148144E-4</v>
      </c>
      <c r="H2857" s="1" t="s">
        <v>257</v>
      </c>
      <c r="J2857" s="1" t="s">
        <v>371</v>
      </c>
      <c r="K2857" s="1" t="s">
        <v>653</v>
      </c>
      <c r="L2857" s="1" t="s">
        <v>1517</v>
      </c>
    </row>
    <row r="2858" spans="2:12">
      <c r="B2858" s="1" t="s">
        <v>667</v>
      </c>
      <c r="C2858" s="1" t="s">
        <v>336</v>
      </c>
      <c r="D2858" s="52">
        <v>46065.479166666664</v>
      </c>
      <c r="E2858" s="52">
        <v>46065.479166666664</v>
      </c>
      <c r="F2858" s="52">
        <v>46065.479861111111</v>
      </c>
      <c r="G2858" s="53">
        <v>5.3240740740740744E-4</v>
      </c>
      <c r="H2858" s="1" t="s">
        <v>257</v>
      </c>
      <c r="J2858" s="1" t="s">
        <v>371</v>
      </c>
      <c r="K2858" s="1" t="s">
        <v>653</v>
      </c>
      <c r="L2858" s="1" t="s">
        <v>1518</v>
      </c>
    </row>
    <row r="2859" spans="2:12">
      <c r="B2859" s="1" t="s">
        <v>667</v>
      </c>
      <c r="C2859" s="1" t="s">
        <v>336</v>
      </c>
      <c r="D2859" s="52">
        <v>46065.46597222222</v>
      </c>
      <c r="E2859" s="52">
        <v>46065.46597222222</v>
      </c>
      <c r="F2859" s="52">
        <v>46065.466666666667</v>
      </c>
      <c r="G2859" s="53">
        <v>5.4398148148148144E-4</v>
      </c>
      <c r="H2859" s="1" t="s">
        <v>257</v>
      </c>
      <c r="J2859" s="1" t="s">
        <v>371</v>
      </c>
      <c r="K2859" s="1" t="s">
        <v>653</v>
      </c>
      <c r="L2859" s="1" t="s">
        <v>1519</v>
      </c>
    </row>
    <row r="2860" spans="2:12">
      <c r="B2860" s="1" t="s">
        <v>667</v>
      </c>
      <c r="C2860" s="1" t="s">
        <v>336</v>
      </c>
      <c r="D2860" s="52">
        <v>46065.456944444442</v>
      </c>
      <c r="E2860" s="52">
        <v>46065.456944444442</v>
      </c>
      <c r="F2860" s="52">
        <v>46065.456944444442</v>
      </c>
      <c r="G2860" s="53">
        <v>5.4398148148148144E-4</v>
      </c>
      <c r="H2860" s="1" t="s">
        <v>257</v>
      </c>
      <c r="J2860" s="1" t="s">
        <v>371</v>
      </c>
      <c r="K2860" s="1" t="s">
        <v>653</v>
      </c>
      <c r="L2860" s="1" t="s">
        <v>1520</v>
      </c>
    </row>
    <row r="2861" spans="2:12">
      <c r="B2861" s="1" t="s">
        <v>667</v>
      </c>
      <c r="C2861" s="1" t="s">
        <v>336</v>
      </c>
      <c r="D2861" s="52">
        <v>46065.443055555559</v>
      </c>
      <c r="E2861" s="52">
        <v>46065.443055555559</v>
      </c>
      <c r="F2861" s="52">
        <v>46065.443055555559</v>
      </c>
      <c r="G2861" s="53">
        <v>5.5555555555555556E-4</v>
      </c>
      <c r="H2861" s="1" t="s">
        <v>257</v>
      </c>
      <c r="J2861" s="1" t="s">
        <v>371</v>
      </c>
      <c r="K2861" s="1" t="s">
        <v>653</v>
      </c>
      <c r="L2861" s="1" t="s">
        <v>1521</v>
      </c>
    </row>
    <row r="2862" spans="2:12">
      <c r="B2862" s="1" t="s">
        <v>667</v>
      </c>
      <c r="C2862" s="1" t="s">
        <v>336</v>
      </c>
      <c r="D2862" s="52">
        <v>46065.440972222219</v>
      </c>
      <c r="E2862" s="52">
        <v>46065.440972222219</v>
      </c>
      <c r="F2862" s="52">
        <v>46065.442361111112</v>
      </c>
      <c r="G2862" s="53">
        <v>1.238425925925926E-3</v>
      </c>
      <c r="H2862" s="1" t="s">
        <v>257</v>
      </c>
      <c r="J2862" s="1" t="s">
        <v>371</v>
      </c>
      <c r="K2862" s="1" t="s">
        <v>653</v>
      </c>
      <c r="L2862" s="1" t="s">
        <v>1522</v>
      </c>
    </row>
    <row r="2863" spans="2:12">
      <c r="B2863" s="1" t="s">
        <v>667</v>
      </c>
      <c r="C2863" s="1" t="s">
        <v>336</v>
      </c>
      <c r="D2863" s="52">
        <v>46065.438194444447</v>
      </c>
      <c r="E2863" s="52">
        <v>46065.438194444447</v>
      </c>
      <c r="F2863" s="52">
        <v>46065.438888888886</v>
      </c>
      <c r="G2863" s="53">
        <v>8.6805555555555551E-4</v>
      </c>
      <c r="H2863" s="1" t="s">
        <v>257</v>
      </c>
      <c r="J2863" s="1" t="s">
        <v>371</v>
      </c>
      <c r="K2863" s="1" t="s">
        <v>653</v>
      </c>
      <c r="L2863" s="1" t="s">
        <v>1523</v>
      </c>
    </row>
    <row r="2864" spans="2:12">
      <c r="B2864" s="1" t="s">
        <v>667</v>
      </c>
      <c r="C2864" s="1" t="s">
        <v>336</v>
      </c>
      <c r="D2864" s="52">
        <v>46065.435416666667</v>
      </c>
      <c r="E2864" s="52">
        <v>46065.435416666667</v>
      </c>
      <c r="F2864" s="52">
        <v>46065.438194444447</v>
      </c>
      <c r="G2864" s="53">
        <v>2.3842592592592591E-3</v>
      </c>
      <c r="H2864" s="1" t="s">
        <v>257</v>
      </c>
      <c r="J2864" s="1" t="s">
        <v>371</v>
      </c>
      <c r="K2864" s="1" t="s">
        <v>653</v>
      </c>
      <c r="L2864" s="1" t="s">
        <v>1524</v>
      </c>
    </row>
    <row r="2865" spans="2:12">
      <c r="B2865" s="1" t="s">
        <v>667</v>
      </c>
      <c r="C2865" s="1" t="s">
        <v>336</v>
      </c>
      <c r="D2865" s="52">
        <v>46065.435416666667</v>
      </c>
      <c r="E2865" s="52">
        <v>46065.435416666667</v>
      </c>
      <c r="F2865" s="52">
        <v>46065.438194444447</v>
      </c>
      <c r="G2865" s="53">
        <v>2.4074074074074076E-3</v>
      </c>
      <c r="H2865" s="1" t="s">
        <v>257</v>
      </c>
      <c r="J2865" s="1" t="s">
        <v>371</v>
      </c>
      <c r="K2865" s="1" t="s">
        <v>653</v>
      </c>
      <c r="L2865" s="1" t="s">
        <v>1525</v>
      </c>
    </row>
    <row r="2866" spans="2:12">
      <c r="B2866" s="1" t="s">
        <v>667</v>
      </c>
      <c r="C2866" s="1" t="s">
        <v>336</v>
      </c>
      <c r="D2866" s="52">
        <v>46065.435416666667</v>
      </c>
      <c r="E2866" s="52">
        <v>46065.435416666667</v>
      </c>
      <c r="F2866" s="52">
        <v>46065.438194444447</v>
      </c>
      <c r="G2866" s="53">
        <v>2.7430555555555554E-3</v>
      </c>
      <c r="H2866" s="1" t="s">
        <v>257</v>
      </c>
      <c r="J2866" s="1" t="s">
        <v>371</v>
      </c>
      <c r="K2866" s="1" t="s">
        <v>653</v>
      </c>
      <c r="L2866" s="1" t="s">
        <v>1526</v>
      </c>
    </row>
    <row r="2867" spans="2:12">
      <c r="B2867" s="1" t="s">
        <v>667</v>
      </c>
      <c r="C2867" s="1" t="s">
        <v>336</v>
      </c>
      <c r="D2867" s="52">
        <v>46065.433333333334</v>
      </c>
      <c r="E2867" s="52">
        <v>46065.433333333334</v>
      </c>
      <c r="F2867" s="52">
        <v>46065.434027777781</v>
      </c>
      <c r="G2867" s="53">
        <v>5.5555555555555556E-4</v>
      </c>
      <c r="H2867" s="1" t="s">
        <v>257</v>
      </c>
      <c r="J2867" s="1" t="s">
        <v>371</v>
      </c>
      <c r="K2867" s="1" t="s">
        <v>653</v>
      </c>
      <c r="L2867" s="1" t="s">
        <v>1527</v>
      </c>
    </row>
    <row r="2868" spans="2:12">
      <c r="B2868" s="1" t="s">
        <v>667</v>
      </c>
      <c r="C2868" s="1" t="s">
        <v>336</v>
      </c>
      <c r="D2868" s="52">
        <v>46065.42291666667</v>
      </c>
      <c r="E2868" s="52">
        <v>46065.42291666667</v>
      </c>
      <c r="F2868" s="52">
        <v>46065.423611111109</v>
      </c>
      <c r="G2868" s="53">
        <v>5.3240740740740744E-4</v>
      </c>
      <c r="H2868" s="1" t="s">
        <v>257</v>
      </c>
      <c r="J2868" s="1" t="s">
        <v>371</v>
      </c>
      <c r="K2868" s="1" t="s">
        <v>653</v>
      </c>
      <c r="L2868" s="1" t="s">
        <v>1528</v>
      </c>
    </row>
    <row r="2869" spans="2:12">
      <c r="B2869" s="1" t="s">
        <v>667</v>
      </c>
      <c r="C2869" s="1" t="s">
        <v>336</v>
      </c>
      <c r="D2869" s="52">
        <v>46065.406944444447</v>
      </c>
      <c r="E2869" s="52">
        <v>46065.406944444447</v>
      </c>
      <c r="F2869" s="52">
        <v>46065.408333333333</v>
      </c>
      <c r="G2869" s="53">
        <v>1.4236111111111112E-3</v>
      </c>
      <c r="H2869" s="1" t="s">
        <v>257</v>
      </c>
      <c r="J2869" s="1" t="s">
        <v>371</v>
      </c>
      <c r="K2869" s="1" t="s">
        <v>653</v>
      </c>
      <c r="L2869" s="1" t="s">
        <v>1529</v>
      </c>
    </row>
    <row r="2870" spans="2:12">
      <c r="B2870" s="1" t="s">
        <v>667</v>
      </c>
      <c r="C2870" s="1" t="s">
        <v>336</v>
      </c>
      <c r="D2870" s="52">
        <v>46065.388194444444</v>
      </c>
      <c r="E2870" s="52">
        <v>46065.388194444444</v>
      </c>
      <c r="F2870" s="52">
        <v>46065.388888888891</v>
      </c>
      <c r="G2870" s="53">
        <v>1.1342592592592593E-3</v>
      </c>
      <c r="H2870" s="1" t="s">
        <v>257</v>
      </c>
      <c r="J2870" s="1" t="s">
        <v>371</v>
      </c>
      <c r="K2870" s="1" t="s">
        <v>653</v>
      </c>
      <c r="L2870" s="1" t="s">
        <v>1530</v>
      </c>
    </row>
    <row r="2871" spans="2:12">
      <c r="B2871" s="1" t="s">
        <v>667</v>
      </c>
      <c r="C2871" s="1" t="s">
        <v>336</v>
      </c>
      <c r="D2871" s="52">
        <v>46065.368750000001</v>
      </c>
      <c r="E2871" s="52">
        <v>46065.368750000001</v>
      </c>
      <c r="F2871" s="52">
        <v>46065.370138888888</v>
      </c>
      <c r="G2871" s="53">
        <v>1.3657407407407407E-3</v>
      </c>
      <c r="H2871" s="1" t="s">
        <v>257</v>
      </c>
      <c r="J2871" s="1" t="s">
        <v>371</v>
      </c>
      <c r="K2871" s="1" t="s">
        <v>653</v>
      </c>
      <c r="L2871" s="1" t="s">
        <v>1531</v>
      </c>
    </row>
    <row r="2872" spans="2:12">
      <c r="B2872" s="1" t="s">
        <v>667</v>
      </c>
      <c r="C2872" s="1" t="s">
        <v>336</v>
      </c>
      <c r="D2872" s="52">
        <v>46065.347916666666</v>
      </c>
      <c r="E2872" s="52">
        <v>46065.347916666666</v>
      </c>
      <c r="F2872" s="52">
        <v>46065.348611111112</v>
      </c>
      <c r="G2872" s="53">
        <v>5.4398148148148144E-4</v>
      </c>
      <c r="H2872" s="1" t="s">
        <v>257</v>
      </c>
      <c r="J2872" s="1" t="s">
        <v>371</v>
      </c>
      <c r="K2872" s="1" t="s">
        <v>653</v>
      </c>
      <c r="L2872" s="1" t="s">
        <v>1532</v>
      </c>
    </row>
    <row r="2873" spans="2:12">
      <c r="B2873" s="1" t="s">
        <v>667</v>
      </c>
      <c r="C2873" s="1" t="s">
        <v>336</v>
      </c>
      <c r="D2873" s="52">
        <v>46065.333333333336</v>
      </c>
      <c r="E2873" s="52">
        <v>46065.333333333336</v>
      </c>
      <c r="F2873" s="52">
        <v>46065.334027777775</v>
      </c>
      <c r="G2873" s="53">
        <v>5.0925925925925921E-4</v>
      </c>
      <c r="H2873" s="1" t="s">
        <v>257</v>
      </c>
      <c r="J2873" s="1" t="s">
        <v>371</v>
      </c>
      <c r="K2873" s="1" t="s">
        <v>653</v>
      </c>
      <c r="L2873" s="1" t="s">
        <v>1533</v>
      </c>
    </row>
    <row r="2874" spans="2:12">
      <c r="B2874" s="1" t="s">
        <v>667</v>
      </c>
      <c r="C2874" s="1" t="s">
        <v>336</v>
      </c>
      <c r="D2874" s="52">
        <v>46065.315972222219</v>
      </c>
      <c r="E2874" s="52">
        <v>46065.315972222219</v>
      </c>
      <c r="F2874" s="52">
        <v>46065.316666666666</v>
      </c>
      <c r="G2874" s="53">
        <v>5.2083333333333333E-4</v>
      </c>
      <c r="H2874" s="1" t="s">
        <v>257</v>
      </c>
      <c r="J2874" s="1" t="s">
        <v>371</v>
      </c>
      <c r="K2874" s="1" t="s">
        <v>653</v>
      </c>
      <c r="L2874" s="1" t="s">
        <v>1534</v>
      </c>
    </row>
    <row r="2875" spans="2:12">
      <c r="B2875" s="1" t="s">
        <v>667</v>
      </c>
      <c r="C2875" s="1" t="s">
        <v>336</v>
      </c>
      <c r="D2875" s="52">
        <v>46065.308333333334</v>
      </c>
      <c r="E2875" s="52">
        <v>46065.308333333334</v>
      </c>
      <c r="F2875" s="52">
        <v>46065.309027777781</v>
      </c>
      <c r="G2875" s="53">
        <v>5.6712962962962967E-4</v>
      </c>
      <c r="H2875" s="1" t="s">
        <v>257</v>
      </c>
      <c r="J2875" s="1" t="s">
        <v>371</v>
      </c>
      <c r="K2875" s="1" t="s">
        <v>653</v>
      </c>
      <c r="L2875" s="1" t="s">
        <v>1535</v>
      </c>
    </row>
    <row r="2876" spans="2:12">
      <c r="B2876" s="1" t="s">
        <v>667</v>
      </c>
      <c r="C2876" s="1" t="s">
        <v>336</v>
      </c>
      <c r="D2876" s="52">
        <v>46065.301388888889</v>
      </c>
      <c r="E2876" s="52">
        <v>46065.301388888889</v>
      </c>
      <c r="F2876" s="52">
        <v>46065.302083333336</v>
      </c>
      <c r="G2876" s="53">
        <v>7.5231481481481482E-4</v>
      </c>
      <c r="H2876" s="1" t="s">
        <v>257</v>
      </c>
      <c r="J2876" s="1" t="s">
        <v>371</v>
      </c>
      <c r="K2876" s="1" t="s">
        <v>653</v>
      </c>
      <c r="L2876" s="1" t="s">
        <v>1536</v>
      </c>
    </row>
    <row r="2877" spans="2:12">
      <c r="B2877" s="1" t="s">
        <v>667</v>
      </c>
      <c r="C2877" s="1" t="s">
        <v>336</v>
      </c>
      <c r="D2877" s="52">
        <v>46065.289583333331</v>
      </c>
      <c r="E2877" s="52">
        <v>46065.289583333331</v>
      </c>
      <c r="F2877" s="52">
        <v>46065.290277777778</v>
      </c>
      <c r="G2877" s="53">
        <v>5.9027777777777778E-4</v>
      </c>
      <c r="H2877" s="1" t="s">
        <v>257</v>
      </c>
      <c r="J2877" s="1" t="s">
        <v>371</v>
      </c>
      <c r="K2877" s="1" t="s">
        <v>653</v>
      </c>
      <c r="L2877" s="1" t="s">
        <v>1537</v>
      </c>
    </row>
    <row r="2878" spans="2:12">
      <c r="B2878" s="1" t="s">
        <v>667</v>
      </c>
      <c r="C2878" s="1" t="s">
        <v>336</v>
      </c>
      <c r="D2878" s="52">
        <v>46065.272916666669</v>
      </c>
      <c r="E2878" s="52">
        <v>46065.272916666669</v>
      </c>
      <c r="F2878" s="52">
        <v>46065.273611111108</v>
      </c>
      <c r="G2878" s="53">
        <v>4.7453703703703704E-4</v>
      </c>
      <c r="H2878" s="1" t="s">
        <v>257</v>
      </c>
      <c r="J2878" s="1" t="s">
        <v>371</v>
      </c>
      <c r="K2878" s="1" t="s">
        <v>653</v>
      </c>
      <c r="L2878" s="1" t="s">
        <v>1538</v>
      </c>
    </row>
    <row r="2879" spans="2:12">
      <c r="B2879" s="1" t="s">
        <v>667</v>
      </c>
      <c r="C2879" s="1" t="s">
        <v>336</v>
      </c>
      <c r="D2879" s="52">
        <v>46065.257638888892</v>
      </c>
      <c r="E2879" s="52">
        <v>46065.257638888892</v>
      </c>
      <c r="F2879" s="52">
        <v>46065.258333333331</v>
      </c>
      <c r="G2879" s="53">
        <v>5.0925925925925921E-4</v>
      </c>
      <c r="H2879" s="1" t="s">
        <v>257</v>
      </c>
      <c r="J2879" s="1" t="s">
        <v>371</v>
      </c>
      <c r="K2879" s="1" t="s">
        <v>653</v>
      </c>
      <c r="L2879" s="1" t="s">
        <v>1539</v>
      </c>
    </row>
    <row r="2880" spans="2:12">
      <c r="B2880" s="1" t="s">
        <v>667</v>
      </c>
      <c r="C2880" s="1" t="s">
        <v>336</v>
      </c>
      <c r="D2880" s="52">
        <v>46065.238888888889</v>
      </c>
      <c r="E2880" s="52">
        <v>46065.238888888889</v>
      </c>
      <c r="F2880" s="52">
        <v>46065.253472222219</v>
      </c>
      <c r="G2880" s="53">
        <v>1.462962962962963E-2</v>
      </c>
      <c r="H2880" s="1" t="s">
        <v>257</v>
      </c>
      <c r="J2880" s="1" t="s">
        <v>371</v>
      </c>
      <c r="K2880" s="1" t="s">
        <v>653</v>
      </c>
      <c r="L2880" s="1" t="s">
        <v>1540</v>
      </c>
    </row>
    <row r="2881" spans="2:12">
      <c r="B2881" s="1" t="s">
        <v>667</v>
      </c>
      <c r="C2881" s="1" t="s">
        <v>336</v>
      </c>
      <c r="D2881" s="52">
        <v>46065.238194444442</v>
      </c>
      <c r="E2881" s="52">
        <v>46065.238194444442</v>
      </c>
      <c r="F2881" s="52">
        <v>46065.253472222219</v>
      </c>
      <c r="G2881" s="53">
        <v>1.5034722222222222E-2</v>
      </c>
      <c r="H2881" s="1" t="s">
        <v>257</v>
      </c>
      <c r="J2881" s="1" t="s">
        <v>371</v>
      </c>
      <c r="K2881" s="1" t="s">
        <v>653</v>
      </c>
      <c r="L2881" s="1" t="s">
        <v>1541</v>
      </c>
    </row>
    <row r="2882" spans="2:12">
      <c r="B2882" s="1" t="s">
        <v>667</v>
      </c>
      <c r="C2882" s="1" t="s">
        <v>336</v>
      </c>
      <c r="D2882" s="52">
        <v>46064.783333333333</v>
      </c>
      <c r="E2882" s="52">
        <v>46064.783333333333</v>
      </c>
      <c r="F2882" s="52">
        <v>46064.785416666666</v>
      </c>
      <c r="G2882" s="53">
        <v>2.0023148148148148E-3</v>
      </c>
      <c r="H2882" s="1" t="s">
        <v>257</v>
      </c>
      <c r="J2882" s="1" t="s">
        <v>371</v>
      </c>
      <c r="K2882" s="1" t="s">
        <v>653</v>
      </c>
      <c r="L2882" s="1" t="s">
        <v>1542</v>
      </c>
    </row>
    <row r="2883" spans="2:12">
      <c r="B2883" s="1" t="s">
        <v>667</v>
      </c>
      <c r="C2883" s="1" t="s">
        <v>336</v>
      </c>
      <c r="D2883" s="52">
        <v>46064.75277777778</v>
      </c>
      <c r="E2883" s="52">
        <v>46064.75277777778</v>
      </c>
      <c r="F2883" s="52">
        <v>46064.785416666666</v>
      </c>
      <c r="G2883" s="53">
        <v>3.2685185185185185E-2</v>
      </c>
      <c r="H2883" s="1" t="s">
        <v>257</v>
      </c>
      <c r="J2883" s="1" t="s">
        <v>371</v>
      </c>
      <c r="K2883" s="1" t="s">
        <v>653</v>
      </c>
      <c r="L2883" s="1" t="s">
        <v>1543</v>
      </c>
    </row>
    <row r="2884" spans="2:12">
      <c r="B2884" s="1" t="s">
        <v>667</v>
      </c>
      <c r="C2884" s="1" t="s">
        <v>336</v>
      </c>
      <c r="D2884" s="52">
        <v>46064.71875</v>
      </c>
      <c r="E2884" s="52">
        <v>46064.71875</v>
      </c>
      <c r="F2884" s="52">
        <v>46064.719444444447</v>
      </c>
      <c r="G2884" s="53">
        <v>5.0925925925925921E-4</v>
      </c>
      <c r="H2884" s="1" t="s">
        <v>257</v>
      </c>
      <c r="J2884" s="1" t="s">
        <v>371</v>
      </c>
      <c r="K2884" s="1" t="s">
        <v>653</v>
      </c>
      <c r="L2884" s="1" t="s">
        <v>1544</v>
      </c>
    </row>
    <row r="2885" spans="2:12">
      <c r="B2885" s="1" t="s">
        <v>667</v>
      </c>
      <c r="C2885" s="1" t="s">
        <v>336</v>
      </c>
      <c r="D2885" s="52">
        <v>46064.705555555556</v>
      </c>
      <c r="E2885" s="52">
        <v>46064.705555555556</v>
      </c>
      <c r="F2885" s="52">
        <v>46064.706250000003</v>
      </c>
      <c r="G2885" s="53">
        <v>4.9768518518518521E-4</v>
      </c>
      <c r="H2885" s="1" t="s">
        <v>257</v>
      </c>
      <c r="J2885" s="1" t="s">
        <v>371</v>
      </c>
      <c r="K2885" s="1" t="s">
        <v>653</v>
      </c>
      <c r="L2885" s="1" t="s">
        <v>1545</v>
      </c>
    </row>
    <row r="2886" spans="2:12">
      <c r="B2886" s="1" t="s">
        <v>667</v>
      </c>
      <c r="C2886" s="1" t="s">
        <v>336</v>
      </c>
      <c r="D2886" s="52">
        <v>46064.688194444447</v>
      </c>
      <c r="E2886" s="52">
        <v>46064.688194444447</v>
      </c>
      <c r="F2886" s="52">
        <v>46064.695833333331</v>
      </c>
      <c r="G2886" s="53">
        <v>7.2453703703703708E-3</v>
      </c>
      <c r="H2886" s="1" t="s">
        <v>257</v>
      </c>
      <c r="J2886" s="1" t="s">
        <v>371</v>
      </c>
      <c r="K2886" s="1" t="s">
        <v>653</v>
      </c>
      <c r="L2886" s="1" t="s">
        <v>1546</v>
      </c>
    </row>
    <row r="2887" spans="2:12">
      <c r="B2887" s="1" t="s">
        <v>667</v>
      </c>
      <c r="C2887" s="1" t="s">
        <v>336</v>
      </c>
      <c r="D2887" s="52">
        <v>46064.672222222223</v>
      </c>
      <c r="E2887" s="52">
        <v>46064.672222222223</v>
      </c>
      <c r="F2887" s="52">
        <v>46064.679166666669</v>
      </c>
      <c r="G2887" s="53">
        <v>7.1643518518518514E-3</v>
      </c>
      <c r="H2887" s="1" t="s">
        <v>257</v>
      </c>
      <c r="J2887" s="1" t="s">
        <v>371</v>
      </c>
      <c r="K2887" s="1" t="s">
        <v>653</v>
      </c>
      <c r="L2887" s="1" t="s">
        <v>1547</v>
      </c>
    </row>
    <row r="2888" spans="2:12">
      <c r="B2888" s="1" t="s">
        <v>667</v>
      </c>
      <c r="C2888" s="1" t="s">
        <v>336</v>
      </c>
      <c r="D2888" s="52">
        <v>46064.659722222219</v>
      </c>
      <c r="E2888" s="52">
        <v>46064.659722222219</v>
      </c>
      <c r="F2888" s="52">
        <v>46064.660416666666</v>
      </c>
      <c r="G2888" s="53">
        <v>5.3240740740740744E-4</v>
      </c>
      <c r="H2888" s="1" t="s">
        <v>257</v>
      </c>
      <c r="J2888" s="1" t="s">
        <v>371</v>
      </c>
      <c r="K2888" s="1" t="s">
        <v>653</v>
      </c>
      <c r="L2888" s="1" t="s">
        <v>1548</v>
      </c>
    </row>
    <row r="2889" spans="2:12">
      <c r="B2889" s="1" t="s">
        <v>667</v>
      </c>
      <c r="C2889" s="1" t="s">
        <v>336</v>
      </c>
      <c r="D2889" s="52">
        <v>46064.650694444441</v>
      </c>
      <c r="E2889" s="52">
        <v>46064.650694444441</v>
      </c>
      <c r="F2889" s="52">
        <v>46064.651388888888</v>
      </c>
      <c r="G2889" s="53">
        <v>5.2083333333333333E-4</v>
      </c>
      <c r="H2889" s="1" t="s">
        <v>257</v>
      </c>
      <c r="J2889" s="1" t="s">
        <v>371</v>
      </c>
      <c r="K2889" s="1" t="s">
        <v>653</v>
      </c>
      <c r="L2889" s="1" t="s">
        <v>1549</v>
      </c>
    </row>
    <row r="2890" spans="2:12">
      <c r="B2890" s="1" t="s">
        <v>667</v>
      </c>
      <c r="C2890" s="1" t="s">
        <v>336</v>
      </c>
      <c r="D2890" s="52">
        <v>46064.626388888886</v>
      </c>
      <c r="E2890" s="52">
        <v>46064.626388888886</v>
      </c>
      <c r="F2890" s="52">
        <v>46064.627083333333</v>
      </c>
      <c r="G2890" s="53">
        <v>5.0925925925925921E-4</v>
      </c>
      <c r="H2890" s="1" t="s">
        <v>257</v>
      </c>
      <c r="J2890" s="1" t="s">
        <v>371</v>
      </c>
      <c r="K2890" s="1" t="s">
        <v>653</v>
      </c>
      <c r="L2890" s="1" t="s">
        <v>1550</v>
      </c>
    </row>
    <row r="2891" spans="2:12">
      <c r="B2891" s="1" t="s">
        <v>667</v>
      </c>
      <c r="C2891" s="1" t="s">
        <v>336</v>
      </c>
      <c r="D2891" s="52">
        <v>46064.605555555558</v>
      </c>
      <c r="E2891" s="52">
        <v>46064.605555555558</v>
      </c>
      <c r="F2891" s="52">
        <v>46064.606249999997</v>
      </c>
      <c r="G2891" s="53">
        <v>8.4490740740740739E-4</v>
      </c>
      <c r="H2891" s="1" t="s">
        <v>257</v>
      </c>
      <c r="J2891" s="1" t="s">
        <v>371</v>
      </c>
      <c r="K2891" s="1" t="s">
        <v>653</v>
      </c>
      <c r="L2891" s="1" t="s">
        <v>1551</v>
      </c>
    </row>
    <row r="2892" spans="2:12">
      <c r="B2892" s="1" t="s">
        <v>667</v>
      </c>
      <c r="C2892" s="1" t="s">
        <v>336</v>
      </c>
      <c r="D2892" s="52">
        <v>46064.587500000001</v>
      </c>
      <c r="E2892" s="52">
        <v>46064.587500000001</v>
      </c>
      <c r="F2892" s="52">
        <v>46064.587500000001</v>
      </c>
      <c r="G2892" s="53">
        <v>5.4398148148148144E-4</v>
      </c>
      <c r="H2892" s="1" t="s">
        <v>257</v>
      </c>
      <c r="J2892" s="1" t="s">
        <v>371</v>
      </c>
      <c r="K2892" s="1" t="s">
        <v>653</v>
      </c>
      <c r="L2892" s="1" t="s">
        <v>1552</v>
      </c>
    </row>
    <row r="2893" spans="2:12">
      <c r="B2893" s="1" t="s">
        <v>667</v>
      </c>
      <c r="C2893" s="1" t="s">
        <v>336</v>
      </c>
      <c r="D2893" s="52">
        <v>46064.576388888891</v>
      </c>
      <c r="E2893" s="52">
        <v>46064.576388888891</v>
      </c>
      <c r="F2893" s="52">
        <v>46064.57708333333</v>
      </c>
      <c r="G2893" s="53">
        <v>5.6712962962962967E-4</v>
      </c>
      <c r="H2893" s="1" t="s">
        <v>257</v>
      </c>
      <c r="J2893" s="1" t="s">
        <v>371</v>
      </c>
      <c r="K2893" s="1" t="s">
        <v>653</v>
      </c>
      <c r="L2893" s="1" t="s">
        <v>1553</v>
      </c>
    </row>
    <row r="2894" spans="2:12">
      <c r="B2894" s="1" t="s">
        <v>667</v>
      </c>
      <c r="C2894" s="1" t="s">
        <v>336</v>
      </c>
      <c r="D2894" s="52">
        <v>46064.5625</v>
      </c>
      <c r="E2894" s="52">
        <v>46064.5625</v>
      </c>
      <c r="F2894" s="52">
        <v>46064.5625</v>
      </c>
      <c r="G2894" s="53">
        <v>5.2083333333333333E-4</v>
      </c>
      <c r="H2894" s="1" t="s">
        <v>257</v>
      </c>
      <c r="J2894" s="1" t="s">
        <v>371</v>
      </c>
      <c r="K2894" s="1" t="s">
        <v>653</v>
      </c>
      <c r="L2894" s="1" t="s">
        <v>1554</v>
      </c>
    </row>
    <row r="2895" spans="2:12">
      <c r="B2895" s="1" t="s">
        <v>667</v>
      </c>
      <c r="C2895" s="1" t="s">
        <v>336</v>
      </c>
      <c r="D2895" s="52">
        <v>46064.553472222222</v>
      </c>
      <c r="E2895" s="52">
        <v>46064.553472222222</v>
      </c>
      <c r="F2895" s="52">
        <v>46064.553472222222</v>
      </c>
      <c r="G2895" s="53">
        <v>5.0925925925925921E-4</v>
      </c>
      <c r="H2895" s="1" t="s">
        <v>257</v>
      </c>
      <c r="J2895" s="1" t="s">
        <v>371</v>
      </c>
      <c r="K2895" s="1" t="s">
        <v>653</v>
      </c>
      <c r="L2895" s="1" t="s">
        <v>1555</v>
      </c>
    </row>
    <row r="2896" spans="2:12">
      <c r="B2896" s="1" t="s">
        <v>667</v>
      </c>
      <c r="C2896" s="1" t="s">
        <v>336</v>
      </c>
      <c r="D2896" s="52">
        <v>46064.534722222219</v>
      </c>
      <c r="E2896" s="52">
        <v>46064.534722222219</v>
      </c>
      <c r="F2896" s="52">
        <v>46064.535416666666</v>
      </c>
      <c r="G2896" s="53">
        <v>5.4398148148148144E-4</v>
      </c>
      <c r="H2896" s="1" t="s">
        <v>257</v>
      </c>
      <c r="J2896" s="1" t="s">
        <v>371</v>
      </c>
      <c r="K2896" s="1" t="s">
        <v>653</v>
      </c>
      <c r="L2896" s="1" t="s">
        <v>1556</v>
      </c>
    </row>
    <row r="2897" spans="2:12">
      <c r="B2897" s="1" t="s">
        <v>667</v>
      </c>
      <c r="C2897" s="1" t="s">
        <v>336</v>
      </c>
      <c r="D2897" s="52">
        <v>46064.525000000001</v>
      </c>
      <c r="E2897" s="52">
        <v>46064.525000000001</v>
      </c>
      <c r="F2897" s="52">
        <v>46064.525694444441</v>
      </c>
      <c r="G2897" s="53">
        <v>7.8703703703703705E-4</v>
      </c>
      <c r="H2897" s="1" t="s">
        <v>257</v>
      </c>
      <c r="J2897" s="1" t="s">
        <v>371</v>
      </c>
      <c r="K2897" s="1" t="s">
        <v>653</v>
      </c>
      <c r="L2897" s="1" t="s">
        <v>1557</v>
      </c>
    </row>
    <row r="2898" spans="2:12">
      <c r="B2898" s="1" t="s">
        <v>667</v>
      </c>
      <c r="C2898" s="1" t="s">
        <v>336</v>
      </c>
      <c r="D2898" s="52">
        <v>46064.515972222223</v>
      </c>
      <c r="E2898" s="52">
        <v>46064.515972222223</v>
      </c>
      <c r="F2898" s="52">
        <v>46064.517361111109</v>
      </c>
      <c r="G2898" s="53">
        <v>1.0069444444444444E-3</v>
      </c>
      <c r="H2898" s="1" t="s">
        <v>257</v>
      </c>
      <c r="J2898" s="1" t="s">
        <v>371</v>
      </c>
      <c r="K2898" s="1" t="s">
        <v>653</v>
      </c>
      <c r="L2898" s="1" t="s">
        <v>1558</v>
      </c>
    </row>
    <row r="2899" spans="2:12">
      <c r="B2899" s="1" t="s">
        <v>667</v>
      </c>
      <c r="C2899" s="1" t="s">
        <v>336</v>
      </c>
      <c r="D2899" s="52">
        <v>46064.509027777778</v>
      </c>
      <c r="E2899" s="52">
        <v>46064.509027777778</v>
      </c>
      <c r="F2899" s="52">
        <v>46064.509027777778</v>
      </c>
      <c r="G2899" s="53">
        <v>5.0925925925925921E-4</v>
      </c>
      <c r="H2899" s="1" t="s">
        <v>257</v>
      </c>
      <c r="J2899" s="1" t="s">
        <v>371</v>
      </c>
      <c r="K2899" s="1" t="s">
        <v>653</v>
      </c>
      <c r="L2899" s="1" t="s">
        <v>1559</v>
      </c>
    </row>
    <row r="2900" spans="2:12">
      <c r="B2900" s="1" t="s">
        <v>667</v>
      </c>
      <c r="C2900" s="1" t="s">
        <v>336</v>
      </c>
      <c r="D2900" s="52">
        <v>46064.49722222222</v>
      </c>
      <c r="E2900" s="52">
        <v>46064.49722222222</v>
      </c>
      <c r="F2900" s="52">
        <v>46064.497916666667</v>
      </c>
      <c r="G2900" s="53">
        <v>5.3240740740740744E-4</v>
      </c>
      <c r="H2900" s="1" t="s">
        <v>257</v>
      </c>
      <c r="J2900" s="1" t="s">
        <v>371</v>
      </c>
      <c r="K2900" s="1" t="s">
        <v>653</v>
      </c>
      <c r="L2900" s="1" t="s">
        <v>1560</v>
      </c>
    </row>
    <row r="2901" spans="2:12">
      <c r="B2901" s="1" t="s">
        <v>667</v>
      </c>
      <c r="C2901" s="1" t="s">
        <v>336</v>
      </c>
      <c r="D2901" s="52">
        <v>46064.488888888889</v>
      </c>
      <c r="E2901" s="52">
        <v>46064.488888888889</v>
      </c>
      <c r="F2901" s="52">
        <v>46064.488888888889</v>
      </c>
      <c r="G2901" s="53">
        <v>5.2083333333333333E-4</v>
      </c>
      <c r="H2901" s="1" t="s">
        <v>257</v>
      </c>
      <c r="J2901" s="1" t="s">
        <v>371</v>
      </c>
      <c r="K2901" s="1" t="s">
        <v>653</v>
      </c>
      <c r="L2901" s="1" t="s">
        <v>1561</v>
      </c>
    </row>
    <row r="2902" spans="2:12">
      <c r="B2902" s="1" t="s">
        <v>667</v>
      </c>
      <c r="C2902" s="1" t="s">
        <v>336</v>
      </c>
      <c r="D2902" s="52">
        <v>46064.470138888886</v>
      </c>
      <c r="E2902" s="52">
        <v>46064.470138888886</v>
      </c>
      <c r="F2902" s="52">
        <v>46064.470833333333</v>
      </c>
      <c r="G2902" s="53">
        <v>5.4398148148148144E-4</v>
      </c>
      <c r="H2902" s="1" t="s">
        <v>257</v>
      </c>
      <c r="J2902" s="1" t="s">
        <v>371</v>
      </c>
      <c r="K2902" s="1" t="s">
        <v>653</v>
      </c>
      <c r="L2902" s="1" t="s">
        <v>1562</v>
      </c>
    </row>
    <row r="2903" spans="2:12">
      <c r="B2903" s="1" t="s">
        <v>667</v>
      </c>
      <c r="C2903" s="1" t="s">
        <v>336</v>
      </c>
      <c r="D2903" s="52">
        <v>46064.459722222222</v>
      </c>
      <c r="E2903" s="52">
        <v>46064.459722222222</v>
      </c>
      <c r="F2903" s="52">
        <v>46064.460416666669</v>
      </c>
      <c r="G2903" s="53">
        <v>5.4398148148148144E-4</v>
      </c>
      <c r="H2903" s="1" t="s">
        <v>257</v>
      </c>
      <c r="J2903" s="1" t="s">
        <v>371</v>
      </c>
      <c r="K2903" s="1" t="s">
        <v>653</v>
      </c>
      <c r="L2903" s="1" t="s">
        <v>1563</v>
      </c>
    </row>
    <row r="2904" spans="2:12">
      <c r="B2904" s="1" t="s">
        <v>667</v>
      </c>
      <c r="C2904" s="1" t="s">
        <v>336</v>
      </c>
      <c r="D2904" s="52">
        <v>46064.450694444444</v>
      </c>
      <c r="E2904" s="52">
        <v>46064.450694444444</v>
      </c>
      <c r="F2904" s="52">
        <v>46064.450694444444</v>
      </c>
      <c r="G2904" s="53">
        <v>5.2083333333333333E-4</v>
      </c>
      <c r="H2904" s="1" t="s">
        <v>257</v>
      </c>
      <c r="J2904" s="1" t="s">
        <v>371</v>
      </c>
      <c r="K2904" s="1" t="s">
        <v>653</v>
      </c>
      <c r="L2904" s="1" t="s">
        <v>1564</v>
      </c>
    </row>
    <row r="2905" spans="2:12">
      <c r="B2905" s="1" t="s">
        <v>667</v>
      </c>
      <c r="C2905" s="1" t="s">
        <v>336</v>
      </c>
      <c r="D2905" s="52">
        <v>46064.441666666666</v>
      </c>
      <c r="E2905" s="52">
        <v>46064.441666666666</v>
      </c>
      <c r="F2905" s="52">
        <v>46064.442361111112</v>
      </c>
      <c r="G2905" s="53">
        <v>5.2083333333333333E-4</v>
      </c>
      <c r="H2905" s="1" t="s">
        <v>257</v>
      </c>
      <c r="J2905" s="1" t="s">
        <v>371</v>
      </c>
      <c r="K2905" s="1" t="s">
        <v>653</v>
      </c>
      <c r="L2905" s="1" t="s">
        <v>1565</v>
      </c>
    </row>
    <row r="2906" spans="2:12">
      <c r="B2906" s="1" t="s">
        <v>667</v>
      </c>
      <c r="C2906" s="1" t="s">
        <v>336</v>
      </c>
      <c r="D2906" s="52">
        <v>46064.426388888889</v>
      </c>
      <c r="E2906" s="52">
        <v>46064.426388888889</v>
      </c>
      <c r="F2906" s="52">
        <v>46064.426388888889</v>
      </c>
      <c r="G2906" s="53">
        <v>5.0925925925925921E-4</v>
      </c>
      <c r="H2906" s="1" t="s">
        <v>257</v>
      </c>
      <c r="J2906" s="1" t="s">
        <v>371</v>
      </c>
      <c r="K2906" s="1" t="s">
        <v>653</v>
      </c>
      <c r="L2906" s="1" t="s">
        <v>1566</v>
      </c>
    </row>
    <row r="2907" spans="2:12">
      <c r="B2907" s="1" t="s">
        <v>667</v>
      </c>
      <c r="C2907" s="1" t="s">
        <v>336</v>
      </c>
      <c r="D2907" s="52">
        <v>46064.418055555558</v>
      </c>
      <c r="E2907" s="52">
        <v>46064.418055555558</v>
      </c>
      <c r="F2907" s="52">
        <v>46064.418749999997</v>
      </c>
      <c r="G2907" s="53">
        <v>5.0925925925925921E-4</v>
      </c>
      <c r="H2907" s="1" t="s">
        <v>257</v>
      </c>
      <c r="J2907" s="1" t="s">
        <v>371</v>
      </c>
      <c r="K2907" s="1" t="s">
        <v>653</v>
      </c>
      <c r="L2907" s="1" t="s">
        <v>1567</v>
      </c>
    </row>
    <row r="2908" spans="2:12">
      <c r="B2908" s="1" t="s">
        <v>667</v>
      </c>
      <c r="C2908" s="1" t="s">
        <v>336</v>
      </c>
      <c r="D2908" s="52">
        <v>46064.40902777778</v>
      </c>
      <c r="E2908" s="52">
        <v>46064.40902777778</v>
      </c>
      <c r="F2908" s="52">
        <v>46064.409722222219</v>
      </c>
      <c r="G2908" s="53">
        <v>5.4398148148148144E-4</v>
      </c>
      <c r="H2908" s="1" t="s">
        <v>257</v>
      </c>
      <c r="J2908" s="1" t="s">
        <v>371</v>
      </c>
      <c r="K2908" s="1" t="s">
        <v>653</v>
      </c>
      <c r="L2908" s="1" t="s">
        <v>1568</v>
      </c>
    </row>
    <row r="2909" spans="2:12">
      <c r="B2909" s="1" t="s">
        <v>667</v>
      </c>
      <c r="C2909" s="1" t="s">
        <v>336</v>
      </c>
      <c r="D2909" s="52">
        <v>46064.395833333336</v>
      </c>
      <c r="E2909" s="52">
        <v>46064.395833333336</v>
      </c>
      <c r="F2909" s="52">
        <v>46064.396527777775</v>
      </c>
      <c r="G2909" s="53">
        <v>5.2083333333333333E-4</v>
      </c>
      <c r="H2909" s="1" t="s">
        <v>257</v>
      </c>
      <c r="J2909" s="1" t="s">
        <v>371</v>
      </c>
      <c r="K2909" s="1" t="s">
        <v>653</v>
      </c>
      <c r="L2909" s="1" t="s">
        <v>1569</v>
      </c>
    </row>
    <row r="2910" spans="2:12">
      <c r="B2910" s="1" t="s">
        <v>667</v>
      </c>
      <c r="C2910" s="1" t="s">
        <v>336</v>
      </c>
      <c r="D2910" s="52">
        <v>46064.387499999997</v>
      </c>
      <c r="E2910" s="52">
        <v>46064.387499999997</v>
      </c>
      <c r="F2910" s="52">
        <v>46064.388194444444</v>
      </c>
      <c r="G2910" s="53">
        <v>5.2083333333333333E-4</v>
      </c>
      <c r="H2910" s="1" t="s">
        <v>257</v>
      </c>
      <c r="J2910" s="1" t="s">
        <v>371</v>
      </c>
      <c r="K2910" s="1" t="s">
        <v>653</v>
      </c>
      <c r="L2910" s="1" t="s">
        <v>1570</v>
      </c>
    </row>
    <row r="2911" spans="2:12">
      <c r="B2911" s="1" t="s">
        <v>667</v>
      </c>
      <c r="C2911" s="1" t="s">
        <v>336</v>
      </c>
      <c r="D2911" s="52">
        <v>46064.37777777778</v>
      </c>
      <c r="E2911" s="52">
        <v>46064.37777777778</v>
      </c>
      <c r="F2911" s="52">
        <v>46064.378472222219</v>
      </c>
      <c r="G2911" s="53">
        <v>5.0925925925925921E-4</v>
      </c>
      <c r="H2911" s="1" t="s">
        <v>257</v>
      </c>
      <c r="J2911" s="1" t="s">
        <v>371</v>
      </c>
      <c r="K2911" s="1" t="s">
        <v>653</v>
      </c>
      <c r="L2911" s="1" t="s">
        <v>1571</v>
      </c>
    </row>
    <row r="2912" spans="2:12">
      <c r="B2912" s="1" t="s">
        <v>667</v>
      </c>
      <c r="C2912" s="1" t="s">
        <v>336</v>
      </c>
      <c r="D2912" s="52">
        <v>46064.368055555555</v>
      </c>
      <c r="E2912" s="52">
        <v>46064.368055555555</v>
      </c>
      <c r="F2912" s="52">
        <v>46064.368750000001</v>
      </c>
      <c r="G2912" s="53">
        <v>5.2083333333333333E-4</v>
      </c>
      <c r="H2912" s="1" t="s">
        <v>257</v>
      </c>
      <c r="J2912" s="1" t="s">
        <v>371</v>
      </c>
      <c r="K2912" s="1" t="s">
        <v>653</v>
      </c>
      <c r="L2912" s="1" t="s">
        <v>1572</v>
      </c>
    </row>
    <row r="2913" spans="2:12">
      <c r="B2913" s="1" t="s">
        <v>667</v>
      </c>
      <c r="C2913" s="1" t="s">
        <v>336</v>
      </c>
      <c r="D2913" s="52">
        <v>46064.35833333333</v>
      </c>
      <c r="E2913" s="52">
        <v>46064.35833333333</v>
      </c>
      <c r="F2913" s="52">
        <v>46064.359027777777</v>
      </c>
      <c r="G2913" s="53">
        <v>5.3240740740740744E-4</v>
      </c>
      <c r="H2913" s="1" t="s">
        <v>257</v>
      </c>
      <c r="J2913" s="1" t="s">
        <v>371</v>
      </c>
      <c r="K2913" s="1" t="s">
        <v>653</v>
      </c>
      <c r="L2913" s="1" t="s">
        <v>1573</v>
      </c>
    </row>
    <row r="2914" spans="2:12">
      <c r="B2914" s="1" t="s">
        <v>667</v>
      </c>
      <c r="C2914" s="1" t="s">
        <v>336</v>
      </c>
      <c r="D2914" s="52">
        <v>46064.334027777775</v>
      </c>
      <c r="E2914" s="52">
        <v>46064.334027777775</v>
      </c>
      <c r="F2914" s="52">
        <v>46064.334722222222</v>
      </c>
      <c r="G2914" s="53">
        <v>5.3240740740740744E-4</v>
      </c>
      <c r="H2914" s="1" t="s">
        <v>257</v>
      </c>
      <c r="J2914" s="1" t="s">
        <v>371</v>
      </c>
      <c r="K2914" s="1" t="s">
        <v>653</v>
      </c>
      <c r="L2914" s="1" t="s">
        <v>1574</v>
      </c>
    </row>
    <row r="2915" spans="2:12">
      <c r="B2915" s="1" t="s">
        <v>667</v>
      </c>
      <c r="C2915" s="1" t="s">
        <v>336</v>
      </c>
      <c r="D2915" s="52">
        <v>46064.282638888886</v>
      </c>
      <c r="E2915" s="52">
        <v>46064.282638888886</v>
      </c>
      <c r="F2915" s="52">
        <v>46064.287499999999</v>
      </c>
      <c r="G2915" s="53">
        <v>4.5601851851851853E-3</v>
      </c>
      <c r="H2915" s="1" t="s">
        <v>257</v>
      </c>
      <c r="J2915" s="1" t="s">
        <v>371</v>
      </c>
      <c r="K2915" s="1" t="s">
        <v>653</v>
      </c>
      <c r="L2915" s="1" t="s">
        <v>1575</v>
      </c>
    </row>
    <row r="2916" spans="2:12">
      <c r="B2916" s="1" t="s">
        <v>667</v>
      </c>
      <c r="C2916" s="1" t="s">
        <v>336</v>
      </c>
      <c r="D2916" s="52">
        <v>46064.244444444441</v>
      </c>
      <c r="E2916" s="52">
        <v>46064.244444444441</v>
      </c>
      <c r="F2916" s="52">
        <v>46064.279861111114</v>
      </c>
      <c r="G2916" s="53">
        <v>3.5300925925925923E-2</v>
      </c>
      <c r="H2916" s="1" t="s">
        <v>257</v>
      </c>
      <c r="J2916" s="1" t="s">
        <v>371</v>
      </c>
      <c r="K2916" s="1" t="s">
        <v>653</v>
      </c>
      <c r="L2916" s="1" t="s">
        <v>1576</v>
      </c>
    </row>
    <row r="2917" spans="2:12">
      <c r="B2917" s="1" t="s">
        <v>667</v>
      </c>
      <c r="C2917" s="1" t="s">
        <v>336</v>
      </c>
      <c r="D2917" s="52">
        <v>46064.244444444441</v>
      </c>
      <c r="E2917" s="52">
        <v>46064.244444444441</v>
      </c>
      <c r="F2917" s="52">
        <v>46064.279861111114</v>
      </c>
      <c r="G2917" s="53">
        <v>3.5405092592592592E-2</v>
      </c>
      <c r="H2917" s="1" t="s">
        <v>257</v>
      </c>
      <c r="J2917" s="1" t="s">
        <v>371</v>
      </c>
      <c r="K2917" s="1" t="s">
        <v>653</v>
      </c>
      <c r="L2917" s="1" t="s">
        <v>1577</v>
      </c>
    </row>
    <row r="2918" spans="2:12">
      <c r="B2918" s="1" t="s">
        <v>667</v>
      </c>
      <c r="C2918" s="1" t="s">
        <v>336</v>
      </c>
      <c r="D2918" s="52">
        <v>46063.76458333333</v>
      </c>
      <c r="E2918" s="52">
        <v>46063.76458333333</v>
      </c>
      <c r="F2918" s="52">
        <v>46063.769444444442</v>
      </c>
      <c r="G2918" s="53">
        <v>4.6412037037037038E-3</v>
      </c>
      <c r="H2918" s="1" t="s">
        <v>257</v>
      </c>
      <c r="J2918" s="1" t="s">
        <v>371</v>
      </c>
      <c r="K2918" s="1" t="s">
        <v>653</v>
      </c>
      <c r="L2918" s="1" t="s">
        <v>1578</v>
      </c>
    </row>
    <row r="2919" spans="2:12">
      <c r="B2919" s="1" t="s">
        <v>667</v>
      </c>
      <c r="C2919" s="1" t="s">
        <v>336</v>
      </c>
      <c r="D2919" s="52">
        <v>46063.763888888891</v>
      </c>
      <c r="E2919" s="52">
        <v>46063.763888888891</v>
      </c>
      <c r="F2919" s="52">
        <v>46063.76458333333</v>
      </c>
      <c r="G2919" s="53">
        <v>5.0925925925925921E-4</v>
      </c>
      <c r="H2919" s="1" t="s">
        <v>257</v>
      </c>
      <c r="J2919" s="1" t="s">
        <v>371</v>
      </c>
      <c r="K2919" s="1" t="s">
        <v>653</v>
      </c>
      <c r="L2919" s="1" t="s">
        <v>1579</v>
      </c>
    </row>
    <row r="2920" spans="2:12">
      <c r="B2920" s="1" t="s">
        <v>667</v>
      </c>
      <c r="C2920" s="1" t="s">
        <v>336</v>
      </c>
      <c r="D2920" s="52">
        <v>46063.762499999997</v>
      </c>
      <c r="E2920" s="52">
        <v>46063.762499999997</v>
      </c>
      <c r="F2920" s="52">
        <v>46063.762499999997</v>
      </c>
      <c r="G2920" s="53">
        <v>5.3240740740740744E-4</v>
      </c>
      <c r="H2920" s="1" t="s">
        <v>257</v>
      </c>
      <c r="J2920" s="1" t="s">
        <v>371</v>
      </c>
      <c r="K2920" s="1" t="s">
        <v>653</v>
      </c>
      <c r="L2920" s="1" t="s">
        <v>1580</v>
      </c>
    </row>
    <row r="2921" spans="2:12">
      <c r="B2921" s="1" t="s">
        <v>667</v>
      </c>
      <c r="C2921" s="1" t="s">
        <v>336</v>
      </c>
      <c r="D2921" s="52">
        <v>46063.745833333334</v>
      </c>
      <c r="E2921" s="52">
        <v>46063.745833333334</v>
      </c>
      <c r="F2921" s="52">
        <v>46063.746527777781</v>
      </c>
      <c r="G2921" s="53">
        <v>5.2083333333333333E-4</v>
      </c>
      <c r="H2921" s="1" t="s">
        <v>257</v>
      </c>
      <c r="J2921" s="1" t="s">
        <v>371</v>
      </c>
      <c r="K2921" s="1" t="s">
        <v>653</v>
      </c>
      <c r="L2921" s="1" t="s">
        <v>1581</v>
      </c>
    </row>
    <row r="2922" spans="2:12">
      <c r="B2922" s="1" t="s">
        <v>667</v>
      </c>
      <c r="C2922" s="1" t="s">
        <v>336</v>
      </c>
      <c r="D2922" s="52">
        <v>46063.707638888889</v>
      </c>
      <c r="E2922" s="52">
        <v>46063.707638888889</v>
      </c>
      <c r="F2922" s="52">
        <v>46063.707638888889</v>
      </c>
      <c r="G2922" s="53">
        <v>5.2083333333333333E-4</v>
      </c>
      <c r="H2922" s="1" t="s">
        <v>257</v>
      </c>
      <c r="J2922" s="1" t="s">
        <v>371</v>
      </c>
      <c r="K2922" s="1" t="s">
        <v>653</v>
      </c>
      <c r="L2922" s="1" t="s">
        <v>1582</v>
      </c>
    </row>
    <row r="2923" spans="2:12">
      <c r="B2923" s="1" t="s">
        <v>667</v>
      </c>
      <c r="C2923" s="1" t="s">
        <v>336</v>
      </c>
      <c r="D2923" s="52">
        <v>46063.695138888892</v>
      </c>
      <c r="E2923" s="52">
        <v>46063.695138888892</v>
      </c>
      <c r="F2923" s="52">
        <v>46063.695833333331</v>
      </c>
      <c r="G2923" s="53">
        <v>5.2083333333333333E-4</v>
      </c>
      <c r="H2923" s="1" t="s">
        <v>257</v>
      </c>
      <c r="J2923" s="1" t="s">
        <v>371</v>
      </c>
      <c r="K2923" s="1" t="s">
        <v>653</v>
      </c>
      <c r="L2923" s="1" t="s">
        <v>1583</v>
      </c>
    </row>
    <row r="2924" spans="2:12">
      <c r="B2924" s="1" t="s">
        <v>667</v>
      </c>
      <c r="C2924" s="1" t="s">
        <v>336</v>
      </c>
      <c r="D2924" s="52">
        <v>46063.688888888886</v>
      </c>
      <c r="E2924" s="52">
        <v>46063.688888888886</v>
      </c>
      <c r="F2924" s="52">
        <v>46063.689583333333</v>
      </c>
      <c r="G2924" s="53">
        <v>5.2083333333333333E-4</v>
      </c>
      <c r="H2924" s="1" t="s">
        <v>257</v>
      </c>
      <c r="J2924" s="1" t="s">
        <v>371</v>
      </c>
      <c r="K2924" s="1" t="s">
        <v>653</v>
      </c>
      <c r="L2924" s="1" t="s">
        <v>1584</v>
      </c>
    </row>
    <row r="2925" spans="2:12">
      <c r="B2925" s="1" t="s">
        <v>667</v>
      </c>
      <c r="C2925" s="1" t="s">
        <v>336</v>
      </c>
      <c r="D2925" s="52">
        <v>46063.611805555556</v>
      </c>
      <c r="E2925" s="52">
        <v>46063.611805555556</v>
      </c>
      <c r="F2925" s="52">
        <v>46063.612500000003</v>
      </c>
      <c r="G2925" s="53">
        <v>5.2083333333333333E-4</v>
      </c>
      <c r="H2925" s="1" t="s">
        <v>257</v>
      </c>
      <c r="J2925" s="1" t="s">
        <v>371</v>
      </c>
      <c r="K2925" s="1" t="s">
        <v>653</v>
      </c>
      <c r="L2925" s="1" t="s">
        <v>1585</v>
      </c>
    </row>
    <row r="2926" spans="2:12">
      <c r="B2926" s="1" t="s">
        <v>667</v>
      </c>
      <c r="C2926" s="1" t="s">
        <v>336</v>
      </c>
      <c r="D2926" s="52">
        <v>46063.600694444445</v>
      </c>
      <c r="E2926" s="52">
        <v>46063.600694444445</v>
      </c>
      <c r="F2926" s="52">
        <v>46063.601388888892</v>
      </c>
      <c r="G2926" s="53">
        <v>5.0925925925925921E-4</v>
      </c>
      <c r="H2926" s="1" t="s">
        <v>257</v>
      </c>
      <c r="J2926" s="1" t="s">
        <v>371</v>
      </c>
      <c r="K2926" s="1" t="s">
        <v>653</v>
      </c>
      <c r="L2926" s="1" t="s">
        <v>1586</v>
      </c>
    </row>
    <row r="2927" spans="2:12">
      <c r="B2927" s="1" t="s">
        <v>667</v>
      </c>
      <c r="C2927" s="1" t="s">
        <v>336</v>
      </c>
      <c r="D2927" s="52">
        <v>46063.585416666669</v>
      </c>
      <c r="E2927" s="52">
        <v>46063.585416666669</v>
      </c>
      <c r="F2927" s="52">
        <v>46063.586111111108</v>
      </c>
      <c r="G2927" s="53">
        <v>5.2083333333333333E-4</v>
      </c>
      <c r="H2927" s="1" t="s">
        <v>257</v>
      </c>
      <c r="J2927" s="1" t="s">
        <v>371</v>
      </c>
      <c r="K2927" s="1" t="s">
        <v>653</v>
      </c>
      <c r="L2927" s="1" t="s">
        <v>1587</v>
      </c>
    </row>
    <row r="2928" spans="2:12">
      <c r="B2928" s="1" t="s">
        <v>667</v>
      </c>
      <c r="C2928" s="1" t="s">
        <v>336</v>
      </c>
      <c r="D2928" s="52">
        <v>46063.566666666666</v>
      </c>
      <c r="E2928" s="52">
        <v>46063.566666666666</v>
      </c>
      <c r="F2928" s="52">
        <v>46063.567361111112</v>
      </c>
      <c r="G2928" s="53">
        <v>5.0925925925925921E-4</v>
      </c>
      <c r="H2928" s="1" t="s">
        <v>257</v>
      </c>
      <c r="J2928" s="1" t="s">
        <v>371</v>
      </c>
      <c r="K2928" s="1" t="s">
        <v>653</v>
      </c>
      <c r="L2928" s="1" t="s">
        <v>1588</v>
      </c>
    </row>
    <row r="2929" spans="2:12">
      <c r="B2929" s="1" t="s">
        <v>667</v>
      </c>
      <c r="C2929" s="1" t="s">
        <v>336</v>
      </c>
      <c r="D2929" s="52">
        <v>46063.550694444442</v>
      </c>
      <c r="E2929" s="52">
        <v>46063.550694444442</v>
      </c>
      <c r="F2929" s="52">
        <v>46063.551388888889</v>
      </c>
      <c r="G2929" s="53">
        <v>5.0925925925925921E-4</v>
      </c>
      <c r="H2929" s="1" t="s">
        <v>257</v>
      </c>
      <c r="J2929" s="1" t="s">
        <v>371</v>
      </c>
      <c r="K2929" s="1" t="s">
        <v>653</v>
      </c>
      <c r="L2929" s="1" t="s">
        <v>1589</v>
      </c>
    </row>
    <row r="2930" spans="2:12">
      <c r="B2930" s="1" t="s">
        <v>667</v>
      </c>
      <c r="C2930" s="1" t="s">
        <v>336</v>
      </c>
      <c r="D2930" s="52">
        <v>46063.535416666666</v>
      </c>
      <c r="E2930" s="52">
        <v>46063.535416666666</v>
      </c>
      <c r="F2930" s="52">
        <v>46063.536111111112</v>
      </c>
      <c r="G2930" s="53">
        <v>5.0925925925925921E-4</v>
      </c>
      <c r="H2930" s="1" t="s">
        <v>257</v>
      </c>
      <c r="J2930" s="1" t="s">
        <v>371</v>
      </c>
      <c r="K2930" s="1" t="s">
        <v>653</v>
      </c>
      <c r="L2930" s="1" t="s">
        <v>1590</v>
      </c>
    </row>
    <row r="2931" spans="2:12">
      <c r="B2931" s="1" t="s">
        <v>667</v>
      </c>
      <c r="C2931" s="1" t="s">
        <v>336</v>
      </c>
      <c r="D2931" s="52">
        <v>46063.527083333334</v>
      </c>
      <c r="E2931" s="52">
        <v>46063.527083333334</v>
      </c>
      <c r="F2931" s="52">
        <v>46063.527777777781</v>
      </c>
      <c r="G2931" s="53">
        <v>5.0925925925925921E-4</v>
      </c>
      <c r="H2931" s="1" t="s">
        <v>257</v>
      </c>
      <c r="J2931" s="1" t="s">
        <v>371</v>
      </c>
      <c r="K2931" s="1" t="s">
        <v>653</v>
      </c>
      <c r="L2931" s="1" t="s">
        <v>1591</v>
      </c>
    </row>
    <row r="2932" spans="2:12">
      <c r="B2932" s="1" t="s">
        <v>667</v>
      </c>
      <c r="C2932" s="1" t="s">
        <v>336</v>
      </c>
      <c r="D2932" s="52">
        <v>46063.501388888886</v>
      </c>
      <c r="E2932" s="52">
        <v>46063.501388888886</v>
      </c>
      <c r="F2932" s="52">
        <v>46063.502083333333</v>
      </c>
      <c r="G2932" s="53">
        <v>5.2083333333333333E-4</v>
      </c>
      <c r="H2932" s="1" t="s">
        <v>257</v>
      </c>
      <c r="J2932" s="1" t="s">
        <v>371</v>
      </c>
      <c r="K2932" s="1" t="s">
        <v>653</v>
      </c>
      <c r="L2932" s="1" t="s">
        <v>1592</v>
      </c>
    </row>
    <row r="2933" spans="2:12">
      <c r="B2933" s="1" t="s">
        <v>667</v>
      </c>
      <c r="C2933" s="1" t="s">
        <v>336</v>
      </c>
      <c r="D2933" s="52">
        <v>46063.490277777775</v>
      </c>
      <c r="E2933" s="52">
        <v>46063.490277777775</v>
      </c>
      <c r="F2933" s="52">
        <v>46063.490277777775</v>
      </c>
      <c r="G2933" s="53">
        <v>5.0925925925925921E-4</v>
      </c>
      <c r="H2933" s="1" t="s">
        <v>257</v>
      </c>
      <c r="J2933" s="1" t="s">
        <v>371</v>
      </c>
      <c r="K2933" s="1" t="s">
        <v>653</v>
      </c>
      <c r="L2933" s="1" t="s">
        <v>1593</v>
      </c>
    </row>
    <row r="2934" spans="2:12">
      <c r="B2934" s="1" t="s">
        <v>667</v>
      </c>
      <c r="C2934" s="1" t="s">
        <v>336</v>
      </c>
      <c r="D2934" s="52">
        <v>46063.461111111108</v>
      </c>
      <c r="E2934" s="52">
        <v>46063.461111111108</v>
      </c>
      <c r="F2934" s="52">
        <v>46063.461805555555</v>
      </c>
      <c r="G2934" s="53">
        <v>5.4398148148148144E-4</v>
      </c>
      <c r="H2934" s="1" t="s">
        <v>257</v>
      </c>
      <c r="J2934" s="1" t="s">
        <v>371</v>
      </c>
      <c r="K2934" s="1" t="s">
        <v>653</v>
      </c>
      <c r="L2934" s="1" t="s">
        <v>1594</v>
      </c>
    </row>
    <row r="2935" spans="2:12">
      <c r="B2935" s="1" t="s">
        <v>667</v>
      </c>
      <c r="C2935" s="1" t="s">
        <v>336</v>
      </c>
      <c r="D2935" s="52">
        <v>46063.452777777777</v>
      </c>
      <c r="E2935" s="52">
        <v>46063.452777777777</v>
      </c>
      <c r="F2935" s="52">
        <v>46063.453472222223</v>
      </c>
      <c r="G2935" s="53">
        <v>5.3240740740740744E-4</v>
      </c>
      <c r="H2935" s="1" t="s">
        <v>257</v>
      </c>
      <c r="J2935" s="1" t="s">
        <v>371</v>
      </c>
      <c r="K2935" s="1" t="s">
        <v>653</v>
      </c>
      <c r="L2935" s="1" t="s">
        <v>1595</v>
      </c>
    </row>
    <row r="2936" spans="2:12">
      <c r="B2936" s="1" t="s">
        <v>667</v>
      </c>
      <c r="C2936" s="1" t="s">
        <v>336</v>
      </c>
      <c r="D2936" s="52">
        <v>46063.436111111114</v>
      </c>
      <c r="E2936" s="52">
        <v>46063.436111111114</v>
      </c>
      <c r="F2936" s="52">
        <v>46063.436805555553</v>
      </c>
      <c r="G2936" s="53">
        <v>5.4398148148148144E-4</v>
      </c>
      <c r="H2936" s="1" t="s">
        <v>257</v>
      </c>
      <c r="J2936" s="1" t="s">
        <v>371</v>
      </c>
      <c r="K2936" s="1" t="s">
        <v>653</v>
      </c>
      <c r="L2936" s="1" t="s">
        <v>1596</v>
      </c>
    </row>
    <row r="2937" spans="2:12">
      <c r="B2937" s="1" t="s">
        <v>667</v>
      </c>
      <c r="C2937" s="1" t="s">
        <v>336</v>
      </c>
      <c r="D2937" s="52">
        <v>46063.32708333333</v>
      </c>
      <c r="E2937" s="52">
        <v>46063.32708333333</v>
      </c>
      <c r="F2937" s="52">
        <v>46063.331944444442</v>
      </c>
      <c r="G2937" s="53">
        <v>4.6643518518518518E-3</v>
      </c>
      <c r="H2937" s="1" t="s">
        <v>257</v>
      </c>
      <c r="J2937" s="1" t="s">
        <v>371</v>
      </c>
      <c r="K2937" s="1" t="s">
        <v>653</v>
      </c>
      <c r="L2937" s="1" t="s">
        <v>1597</v>
      </c>
    </row>
    <row r="2938" spans="2:12">
      <c r="B2938" s="1" t="s">
        <v>667</v>
      </c>
      <c r="C2938" s="1" t="s">
        <v>336</v>
      </c>
      <c r="D2938" s="52">
        <v>46063.316666666666</v>
      </c>
      <c r="E2938" s="52">
        <v>46063.316666666666</v>
      </c>
      <c r="F2938" s="52">
        <v>46063.321527777778</v>
      </c>
      <c r="G2938" s="53">
        <v>4.6412037037037038E-3</v>
      </c>
      <c r="H2938" s="1" t="s">
        <v>257</v>
      </c>
      <c r="J2938" s="1" t="s">
        <v>371</v>
      </c>
      <c r="K2938" s="1" t="s">
        <v>653</v>
      </c>
      <c r="L2938" s="1" t="s">
        <v>1598</v>
      </c>
    </row>
    <row r="2939" spans="2:12">
      <c r="B2939" s="1" t="s">
        <v>667</v>
      </c>
      <c r="C2939" s="1" t="s">
        <v>336</v>
      </c>
      <c r="D2939" s="52">
        <v>46063.311805555553</v>
      </c>
      <c r="E2939" s="52">
        <v>46063.311805555553</v>
      </c>
      <c r="F2939" s="52">
        <v>46063.316666666666</v>
      </c>
      <c r="G2939" s="53">
        <v>4.6412037037037038E-3</v>
      </c>
      <c r="H2939" s="1" t="s">
        <v>257</v>
      </c>
      <c r="J2939" s="1" t="s">
        <v>371</v>
      </c>
      <c r="K2939" s="1" t="s">
        <v>653</v>
      </c>
      <c r="L2939" s="1" t="s">
        <v>1599</v>
      </c>
    </row>
    <row r="2940" spans="2:12">
      <c r="B2940" s="1" t="s">
        <v>667</v>
      </c>
      <c r="C2940" s="1" t="s">
        <v>336</v>
      </c>
      <c r="D2940" s="52">
        <v>46063.311111111114</v>
      </c>
      <c r="E2940" s="52">
        <v>46063.311111111114</v>
      </c>
      <c r="F2940" s="52">
        <v>46063.311805555553</v>
      </c>
      <c r="G2940" s="53">
        <v>4.9768518518518521E-4</v>
      </c>
      <c r="H2940" s="1" t="s">
        <v>257</v>
      </c>
      <c r="J2940" s="1" t="s">
        <v>371</v>
      </c>
      <c r="K2940" s="1" t="s">
        <v>653</v>
      </c>
      <c r="L2940" s="1" t="s">
        <v>1600</v>
      </c>
    </row>
    <row r="2941" spans="2:12">
      <c r="B2941" s="1" t="s">
        <v>667</v>
      </c>
      <c r="C2941" s="1" t="s">
        <v>336</v>
      </c>
      <c r="D2941" s="52">
        <v>46063.310416666667</v>
      </c>
      <c r="E2941" s="52">
        <v>46063.310416666667</v>
      </c>
      <c r="F2941" s="52">
        <v>46063.311111111114</v>
      </c>
      <c r="G2941" s="53">
        <v>4.9768518518518521E-4</v>
      </c>
      <c r="H2941" s="1" t="s">
        <v>257</v>
      </c>
      <c r="J2941" s="1" t="s">
        <v>371</v>
      </c>
      <c r="K2941" s="1" t="s">
        <v>653</v>
      </c>
      <c r="L2941" s="1" t="s">
        <v>1601</v>
      </c>
    </row>
    <row r="2942" spans="2:12">
      <c r="B2942" s="1" t="s">
        <v>667</v>
      </c>
      <c r="C2942" s="1" t="s">
        <v>336</v>
      </c>
      <c r="D2942" s="52">
        <v>46063.30972222222</v>
      </c>
      <c r="E2942" s="52">
        <v>46063.30972222222</v>
      </c>
      <c r="F2942" s="52">
        <v>46063.310416666667</v>
      </c>
      <c r="G2942" s="53">
        <v>4.9768518518518521E-4</v>
      </c>
      <c r="H2942" s="1" t="s">
        <v>257</v>
      </c>
      <c r="J2942" s="1" t="s">
        <v>371</v>
      </c>
      <c r="K2942" s="1" t="s">
        <v>653</v>
      </c>
      <c r="L2942" s="1" t="s">
        <v>1602</v>
      </c>
    </row>
    <row r="2943" spans="2:12">
      <c r="B2943" s="1" t="s">
        <v>667</v>
      </c>
      <c r="C2943" s="1" t="s">
        <v>336</v>
      </c>
      <c r="D2943" s="52">
        <v>46063.309027777781</v>
      </c>
      <c r="E2943" s="52">
        <v>46063.309027777781</v>
      </c>
      <c r="F2943" s="52">
        <v>46063.30972222222</v>
      </c>
      <c r="G2943" s="53">
        <v>4.9768518518518521E-4</v>
      </c>
      <c r="H2943" s="1" t="s">
        <v>257</v>
      </c>
      <c r="J2943" s="1" t="s">
        <v>371</v>
      </c>
      <c r="K2943" s="1" t="s">
        <v>653</v>
      </c>
      <c r="L2943" s="1" t="s">
        <v>1603</v>
      </c>
    </row>
    <row r="2944" spans="2:12">
      <c r="B2944" s="1" t="s">
        <v>667</v>
      </c>
      <c r="C2944" s="1" t="s">
        <v>336</v>
      </c>
      <c r="D2944" s="52">
        <v>46063.308333333334</v>
      </c>
      <c r="E2944" s="52">
        <v>46063.308333333334</v>
      </c>
      <c r="F2944" s="52">
        <v>46063.309027777781</v>
      </c>
      <c r="G2944" s="53">
        <v>4.9768518518518521E-4</v>
      </c>
      <c r="H2944" s="1" t="s">
        <v>257</v>
      </c>
      <c r="J2944" s="1" t="s">
        <v>371</v>
      </c>
      <c r="K2944" s="1" t="s">
        <v>653</v>
      </c>
      <c r="L2944" s="1" t="s">
        <v>1604</v>
      </c>
    </row>
    <row r="2945" spans="2:12">
      <c r="B2945" s="1" t="s">
        <v>667</v>
      </c>
      <c r="C2945" s="1" t="s">
        <v>336</v>
      </c>
      <c r="D2945" s="52">
        <v>46063.307638888888</v>
      </c>
      <c r="E2945" s="52">
        <v>46063.307638888888</v>
      </c>
      <c r="F2945" s="52">
        <v>46063.308333333334</v>
      </c>
      <c r="G2945" s="53">
        <v>5.2083333333333333E-4</v>
      </c>
      <c r="H2945" s="1" t="s">
        <v>257</v>
      </c>
      <c r="J2945" s="1" t="s">
        <v>371</v>
      </c>
      <c r="K2945" s="1" t="s">
        <v>653</v>
      </c>
      <c r="L2945" s="1" t="s">
        <v>1605</v>
      </c>
    </row>
    <row r="2946" spans="2:12">
      <c r="B2946" s="1" t="s">
        <v>667</v>
      </c>
      <c r="C2946" s="1" t="s">
        <v>336</v>
      </c>
      <c r="D2946" s="52">
        <v>46063.306944444441</v>
      </c>
      <c r="E2946" s="52">
        <v>46063.306944444441</v>
      </c>
      <c r="F2946" s="52">
        <v>46063.307638888888</v>
      </c>
      <c r="G2946" s="53">
        <v>4.861111111111111E-4</v>
      </c>
      <c r="H2946" s="1" t="s">
        <v>257</v>
      </c>
      <c r="J2946" s="1" t="s">
        <v>371</v>
      </c>
      <c r="K2946" s="1" t="s">
        <v>653</v>
      </c>
      <c r="L2946" s="1" t="s">
        <v>1606</v>
      </c>
    </row>
    <row r="2947" spans="2:12">
      <c r="B2947" s="1" t="s">
        <v>667</v>
      </c>
      <c r="C2947" s="1" t="s">
        <v>336</v>
      </c>
      <c r="D2947" s="52">
        <v>46063.306250000001</v>
      </c>
      <c r="E2947" s="52">
        <v>46063.306250000001</v>
      </c>
      <c r="F2947" s="52">
        <v>46063.306944444441</v>
      </c>
      <c r="G2947" s="53">
        <v>5.2083333333333333E-4</v>
      </c>
      <c r="H2947" s="1" t="s">
        <v>257</v>
      </c>
      <c r="J2947" s="1" t="s">
        <v>371</v>
      </c>
      <c r="K2947" s="1" t="s">
        <v>653</v>
      </c>
      <c r="L2947" s="1" t="s">
        <v>1607</v>
      </c>
    </row>
    <row r="2948" spans="2:12">
      <c r="B2948" s="1" t="s">
        <v>667</v>
      </c>
      <c r="C2948" s="1" t="s">
        <v>336</v>
      </c>
      <c r="D2948" s="52">
        <v>46063.305555555555</v>
      </c>
      <c r="E2948" s="52">
        <v>46063.305555555555</v>
      </c>
      <c r="F2948" s="52">
        <v>46063.306250000001</v>
      </c>
      <c r="G2948" s="53">
        <v>4.861111111111111E-4</v>
      </c>
      <c r="H2948" s="1" t="s">
        <v>257</v>
      </c>
      <c r="J2948" s="1" t="s">
        <v>371</v>
      </c>
      <c r="K2948" s="1" t="s">
        <v>653</v>
      </c>
      <c r="L2948" s="1" t="s">
        <v>1608</v>
      </c>
    </row>
    <row r="2949" spans="2:12">
      <c r="B2949" s="1" t="s">
        <v>667</v>
      </c>
      <c r="C2949" s="1" t="s">
        <v>336</v>
      </c>
      <c r="D2949" s="52">
        <v>46063.304861111108</v>
      </c>
      <c r="E2949" s="52">
        <v>46063.304861111108</v>
      </c>
      <c r="F2949" s="52">
        <v>46063.305555555555</v>
      </c>
      <c r="G2949" s="53">
        <v>5.7870370370370367E-4</v>
      </c>
      <c r="H2949" s="1" t="s">
        <v>257</v>
      </c>
      <c r="J2949" s="1" t="s">
        <v>371</v>
      </c>
      <c r="K2949" s="1" t="s">
        <v>653</v>
      </c>
      <c r="L2949" s="1" t="s">
        <v>1609</v>
      </c>
    </row>
    <row r="2950" spans="2:12">
      <c r="B2950" s="1" t="s">
        <v>667</v>
      </c>
      <c r="C2950" s="1" t="s">
        <v>336</v>
      </c>
      <c r="D2950" s="52">
        <v>46063.304166666669</v>
      </c>
      <c r="E2950" s="52">
        <v>46063.304166666669</v>
      </c>
      <c r="F2950" s="52">
        <v>46063.304861111108</v>
      </c>
      <c r="G2950" s="53">
        <v>4.861111111111111E-4</v>
      </c>
      <c r="H2950" s="1" t="s">
        <v>257</v>
      </c>
      <c r="J2950" s="1" t="s">
        <v>371</v>
      </c>
      <c r="K2950" s="1" t="s">
        <v>653</v>
      </c>
      <c r="L2950" s="1" t="s">
        <v>1610</v>
      </c>
    </row>
    <row r="2951" spans="2:12">
      <c r="B2951" s="1" t="s">
        <v>667</v>
      </c>
      <c r="C2951" s="1" t="s">
        <v>336</v>
      </c>
      <c r="D2951" s="52">
        <v>46063.304166666669</v>
      </c>
      <c r="E2951" s="52">
        <v>46063.304166666669</v>
      </c>
      <c r="F2951" s="52">
        <v>46063.304166666669</v>
      </c>
      <c r="G2951" s="53">
        <v>4.861111111111111E-4</v>
      </c>
      <c r="H2951" s="1" t="s">
        <v>257</v>
      </c>
      <c r="J2951" s="1" t="s">
        <v>371</v>
      </c>
      <c r="K2951" s="1" t="s">
        <v>653</v>
      </c>
      <c r="L2951" s="1" t="s">
        <v>1611</v>
      </c>
    </row>
    <row r="2952" spans="2:12">
      <c r="B2952" s="1" t="s">
        <v>667</v>
      </c>
      <c r="C2952" s="1" t="s">
        <v>336</v>
      </c>
      <c r="D2952" s="52">
        <v>46063.303472222222</v>
      </c>
      <c r="E2952" s="52">
        <v>46063.303472222222</v>
      </c>
      <c r="F2952" s="52">
        <v>46063.303472222222</v>
      </c>
      <c r="G2952" s="53">
        <v>4.9768518518518521E-4</v>
      </c>
      <c r="H2952" s="1" t="s">
        <v>257</v>
      </c>
      <c r="J2952" s="1" t="s">
        <v>371</v>
      </c>
      <c r="K2952" s="1" t="s">
        <v>653</v>
      </c>
      <c r="L2952" s="1" t="s">
        <v>1612</v>
      </c>
    </row>
    <row r="2953" spans="2:12">
      <c r="B2953" s="1" t="s">
        <v>667</v>
      </c>
      <c r="C2953" s="1" t="s">
        <v>336</v>
      </c>
      <c r="D2953" s="52">
        <v>46063.302777777775</v>
      </c>
      <c r="E2953" s="52">
        <v>46063.302777777775</v>
      </c>
      <c r="F2953" s="52">
        <v>46063.302777777775</v>
      </c>
      <c r="G2953" s="53">
        <v>5.0925925925925921E-4</v>
      </c>
      <c r="H2953" s="1" t="s">
        <v>257</v>
      </c>
      <c r="J2953" s="1" t="s">
        <v>371</v>
      </c>
      <c r="K2953" s="1" t="s">
        <v>653</v>
      </c>
      <c r="L2953" s="1" t="s">
        <v>1613</v>
      </c>
    </row>
    <row r="2954" spans="2:12">
      <c r="B2954" s="1" t="s">
        <v>667</v>
      </c>
      <c r="C2954" s="1" t="s">
        <v>336</v>
      </c>
      <c r="D2954" s="52">
        <v>46063.302083333336</v>
      </c>
      <c r="E2954" s="52">
        <v>46063.302083333336</v>
      </c>
      <c r="F2954" s="52">
        <v>46063.302083333336</v>
      </c>
      <c r="G2954" s="53">
        <v>4.861111111111111E-4</v>
      </c>
      <c r="H2954" s="1" t="s">
        <v>257</v>
      </c>
      <c r="J2954" s="1" t="s">
        <v>371</v>
      </c>
      <c r="K2954" s="1" t="s">
        <v>653</v>
      </c>
      <c r="L2954" s="1" t="s">
        <v>1614</v>
      </c>
    </row>
    <row r="2955" spans="2:12">
      <c r="B2955" s="1" t="s">
        <v>667</v>
      </c>
      <c r="C2955" s="1" t="s">
        <v>336</v>
      </c>
      <c r="D2955" s="52">
        <v>46063.301388888889</v>
      </c>
      <c r="E2955" s="52">
        <v>46063.301388888889</v>
      </c>
      <c r="F2955" s="52">
        <v>46063.301388888889</v>
      </c>
      <c r="G2955" s="53">
        <v>4.7453703703703704E-4</v>
      </c>
      <c r="H2955" s="1" t="s">
        <v>257</v>
      </c>
      <c r="J2955" s="1" t="s">
        <v>371</v>
      </c>
      <c r="K2955" s="1" t="s">
        <v>653</v>
      </c>
      <c r="L2955" s="1" t="s">
        <v>1615</v>
      </c>
    </row>
    <row r="2956" spans="2:12">
      <c r="B2956" s="1" t="s">
        <v>667</v>
      </c>
      <c r="C2956" s="1" t="s">
        <v>336</v>
      </c>
      <c r="D2956" s="52">
        <v>46063.300694444442</v>
      </c>
      <c r="E2956" s="52">
        <v>46063.300694444442</v>
      </c>
      <c r="F2956" s="52">
        <v>46063.300694444442</v>
      </c>
      <c r="G2956" s="53">
        <v>4.861111111111111E-4</v>
      </c>
      <c r="H2956" s="1" t="s">
        <v>257</v>
      </c>
      <c r="J2956" s="1" t="s">
        <v>371</v>
      </c>
      <c r="K2956" s="1" t="s">
        <v>653</v>
      </c>
      <c r="L2956" s="1" t="s">
        <v>1616</v>
      </c>
    </row>
    <row r="2957" spans="2:12">
      <c r="B2957" s="1" t="s">
        <v>667</v>
      </c>
      <c r="C2957" s="1" t="s">
        <v>336</v>
      </c>
      <c r="D2957" s="52">
        <v>46063.29583333333</v>
      </c>
      <c r="E2957" s="52">
        <v>46063.29583333333</v>
      </c>
      <c r="F2957" s="52">
        <v>46063.3</v>
      </c>
      <c r="G2957" s="53">
        <v>4.6759259259259263E-3</v>
      </c>
      <c r="H2957" s="1" t="s">
        <v>257</v>
      </c>
      <c r="J2957" s="1" t="s">
        <v>371</v>
      </c>
      <c r="K2957" s="1" t="s">
        <v>653</v>
      </c>
      <c r="L2957" s="1" t="s">
        <v>1617</v>
      </c>
    </row>
    <row r="2958" spans="2:12">
      <c r="B2958" s="1" t="s">
        <v>667</v>
      </c>
      <c r="C2958" s="1" t="s">
        <v>336</v>
      </c>
      <c r="D2958" s="52">
        <v>46063.243055555555</v>
      </c>
      <c r="E2958" s="52">
        <v>46063.243055555555</v>
      </c>
      <c r="F2958" s="52">
        <v>46063.253472222219</v>
      </c>
      <c r="G2958" s="53">
        <v>1.0046296296296296E-2</v>
      </c>
      <c r="H2958" s="1" t="s">
        <v>257</v>
      </c>
      <c r="J2958" s="1" t="s">
        <v>371</v>
      </c>
      <c r="K2958" s="1" t="s">
        <v>653</v>
      </c>
      <c r="L2958" s="1" t="s">
        <v>1618</v>
      </c>
    </row>
    <row r="2959" spans="2:12">
      <c r="B2959" s="1" t="s">
        <v>667</v>
      </c>
      <c r="C2959" s="1" t="s">
        <v>336</v>
      </c>
      <c r="D2959" s="52">
        <v>46063.243055555555</v>
      </c>
      <c r="E2959" s="52">
        <v>46063.243055555555</v>
      </c>
      <c r="F2959" s="52">
        <v>46063.253472222219</v>
      </c>
      <c r="G2959" s="53">
        <v>1.0428240740740741E-2</v>
      </c>
      <c r="H2959" s="1" t="s">
        <v>257</v>
      </c>
      <c r="J2959" s="1" t="s">
        <v>371</v>
      </c>
      <c r="K2959" s="1" t="s">
        <v>653</v>
      </c>
      <c r="L2959" s="1" t="s">
        <v>1619</v>
      </c>
    </row>
    <row r="2960" spans="2:12">
      <c r="B2960" s="1" t="s">
        <v>667</v>
      </c>
      <c r="C2960" s="1" t="s">
        <v>336</v>
      </c>
      <c r="D2960" s="52">
        <v>46062.785416666666</v>
      </c>
      <c r="E2960" s="52">
        <v>46062.785416666666</v>
      </c>
      <c r="F2960" s="52">
        <v>46062.787499999999</v>
      </c>
      <c r="G2960" s="53">
        <v>2.1064814814814813E-3</v>
      </c>
      <c r="H2960" s="1" t="s">
        <v>257</v>
      </c>
      <c r="J2960" s="1" t="s">
        <v>371</v>
      </c>
      <c r="K2960" s="1" t="s">
        <v>653</v>
      </c>
      <c r="L2960" s="1" t="s">
        <v>1620</v>
      </c>
    </row>
    <row r="2961" spans="2:12">
      <c r="B2961" s="1" t="s">
        <v>667</v>
      </c>
      <c r="C2961" s="1" t="s">
        <v>336</v>
      </c>
      <c r="D2961" s="52">
        <v>46062.76666666667</v>
      </c>
      <c r="E2961" s="52">
        <v>46062.76666666667</v>
      </c>
      <c r="F2961" s="52">
        <v>46062.787499999999</v>
      </c>
      <c r="G2961" s="53">
        <v>2.0902777777777777E-2</v>
      </c>
      <c r="H2961" s="1" t="s">
        <v>257</v>
      </c>
      <c r="J2961" s="1" t="s">
        <v>371</v>
      </c>
      <c r="K2961" s="1" t="s">
        <v>653</v>
      </c>
      <c r="L2961" s="1" t="s">
        <v>1621</v>
      </c>
    </row>
    <row r="2962" spans="2:12">
      <c r="B2962" s="1" t="s">
        <v>667</v>
      </c>
      <c r="C2962" s="1" t="s">
        <v>336</v>
      </c>
      <c r="D2962" s="52">
        <v>46062.765972222223</v>
      </c>
      <c r="E2962" s="52">
        <v>46062.765972222223</v>
      </c>
      <c r="F2962" s="52">
        <v>46062.76666666667</v>
      </c>
      <c r="G2962" s="53">
        <v>6.2500000000000001E-4</v>
      </c>
      <c r="H2962" s="1" t="s">
        <v>257</v>
      </c>
      <c r="J2962" s="1" t="s">
        <v>371</v>
      </c>
      <c r="K2962" s="1" t="s">
        <v>653</v>
      </c>
      <c r="L2962" s="1" t="s">
        <v>1622</v>
      </c>
    </row>
    <row r="2963" spans="2:12">
      <c r="B2963" s="1" t="s">
        <v>667</v>
      </c>
      <c r="C2963" s="1" t="s">
        <v>336</v>
      </c>
      <c r="D2963" s="52">
        <v>46062.765277777777</v>
      </c>
      <c r="E2963" s="52">
        <v>46062.765277777777</v>
      </c>
      <c r="F2963" s="52">
        <v>46062.765972222223</v>
      </c>
      <c r="G2963" s="53">
        <v>6.4814814814814813E-4</v>
      </c>
      <c r="H2963" s="1" t="s">
        <v>257</v>
      </c>
      <c r="J2963" s="1" t="s">
        <v>371</v>
      </c>
      <c r="K2963" s="1" t="s">
        <v>653</v>
      </c>
      <c r="L2963" s="1" t="s">
        <v>1623</v>
      </c>
    </row>
    <row r="2964" spans="2:12">
      <c r="B2964" s="1" t="s">
        <v>667</v>
      </c>
      <c r="C2964" s="1" t="s">
        <v>336</v>
      </c>
      <c r="D2964" s="52">
        <v>46062.763888888891</v>
      </c>
      <c r="E2964" s="52">
        <v>46062.763888888891</v>
      </c>
      <c r="F2964" s="52">
        <v>46062.763888888891</v>
      </c>
      <c r="G2964" s="53">
        <v>6.018518518518519E-4</v>
      </c>
      <c r="H2964" s="1" t="s">
        <v>257</v>
      </c>
      <c r="J2964" s="1" t="s">
        <v>371</v>
      </c>
      <c r="K2964" s="1" t="s">
        <v>653</v>
      </c>
      <c r="L2964" s="1" t="s">
        <v>1624</v>
      </c>
    </row>
    <row r="2965" spans="2:12">
      <c r="B2965" s="1" t="s">
        <v>667</v>
      </c>
      <c r="C2965" s="1" t="s">
        <v>336</v>
      </c>
      <c r="D2965" s="52">
        <v>46062.729861111111</v>
      </c>
      <c r="E2965" s="52">
        <v>46062.729861111111</v>
      </c>
      <c r="F2965" s="52">
        <v>46062.734722222223</v>
      </c>
      <c r="G2965" s="53">
        <v>4.5833333333333334E-3</v>
      </c>
      <c r="H2965" s="1" t="s">
        <v>257</v>
      </c>
      <c r="J2965" s="1" t="s">
        <v>371</v>
      </c>
      <c r="K2965" s="1" t="s">
        <v>653</v>
      </c>
      <c r="L2965" s="1" t="s">
        <v>1625</v>
      </c>
    </row>
    <row r="2966" spans="2:12">
      <c r="B2966" s="1" t="s">
        <v>667</v>
      </c>
      <c r="C2966" s="1" t="s">
        <v>336</v>
      </c>
      <c r="D2966" s="52">
        <v>46062.713888888888</v>
      </c>
      <c r="E2966" s="52">
        <v>46062.713888888888</v>
      </c>
      <c r="F2966" s="52">
        <v>46062.729166666664</v>
      </c>
      <c r="G2966" s="53">
        <v>1.5509259259259259E-2</v>
      </c>
      <c r="H2966" s="1" t="s">
        <v>257</v>
      </c>
      <c r="J2966" s="1" t="s">
        <v>371</v>
      </c>
      <c r="K2966" s="1" t="s">
        <v>653</v>
      </c>
      <c r="L2966" s="1" t="s">
        <v>1626</v>
      </c>
    </row>
    <row r="2967" spans="2:12">
      <c r="B2967" s="1" t="s">
        <v>667</v>
      </c>
      <c r="C2967" s="1" t="s">
        <v>336</v>
      </c>
      <c r="D2967" s="52">
        <v>46062.708333333336</v>
      </c>
      <c r="E2967" s="52">
        <v>46062.708333333336</v>
      </c>
      <c r="F2967" s="52">
        <v>46062.708333333336</v>
      </c>
      <c r="G2967" s="53">
        <v>5.2083333333333333E-4</v>
      </c>
      <c r="H2967" s="1" t="s">
        <v>257</v>
      </c>
      <c r="J2967" s="1" t="s">
        <v>371</v>
      </c>
      <c r="K2967" s="1" t="s">
        <v>653</v>
      </c>
      <c r="L2967" s="1" t="s">
        <v>1627</v>
      </c>
    </row>
    <row r="2968" spans="2:12">
      <c r="B2968" s="1" t="s">
        <v>667</v>
      </c>
      <c r="C2968" s="1" t="s">
        <v>336</v>
      </c>
      <c r="D2968" s="52">
        <v>46062.685416666667</v>
      </c>
      <c r="E2968" s="52">
        <v>46062.685416666667</v>
      </c>
      <c r="F2968" s="52">
        <v>46062.686111111114</v>
      </c>
      <c r="G2968" s="53">
        <v>5.5555555555555556E-4</v>
      </c>
      <c r="H2968" s="1" t="s">
        <v>257</v>
      </c>
      <c r="J2968" s="1" t="s">
        <v>371</v>
      </c>
      <c r="K2968" s="1" t="s">
        <v>653</v>
      </c>
      <c r="L2968" s="1" t="s">
        <v>1628</v>
      </c>
    </row>
    <row r="2969" spans="2:12">
      <c r="B2969" s="1" t="s">
        <v>667</v>
      </c>
      <c r="C2969" s="1" t="s">
        <v>336</v>
      </c>
      <c r="D2969" s="52">
        <v>46062.67083333333</v>
      </c>
      <c r="E2969" s="52">
        <v>46062.67083333333</v>
      </c>
      <c r="F2969" s="52">
        <v>46062.671527777777</v>
      </c>
      <c r="G2969" s="53">
        <v>5.4398148148148144E-4</v>
      </c>
      <c r="H2969" s="1" t="s">
        <v>257</v>
      </c>
      <c r="J2969" s="1" t="s">
        <v>371</v>
      </c>
      <c r="K2969" s="1" t="s">
        <v>653</v>
      </c>
      <c r="L2969" s="1" t="s">
        <v>1629</v>
      </c>
    </row>
    <row r="2970" spans="2:12">
      <c r="B2970" s="1" t="s">
        <v>667</v>
      </c>
      <c r="C2970" s="1" t="s">
        <v>336</v>
      </c>
      <c r="D2970" s="52">
        <v>46062.654166666667</v>
      </c>
      <c r="E2970" s="52">
        <v>46062.654166666667</v>
      </c>
      <c r="F2970" s="52">
        <v>46062.654861111114</v>
      </c>
      <c r="G2970" s="53">
        <v>5.5555555555555556E-4</v>
      </c>
      <c r="H2970" s="1" t="s">
        <v>257</v>
      </c>
      <c r="J2970" s="1" t="s">
        <v>371</v>
      </c>
      <c r="K2970" s="1" t="s">
        <v>653</v>
      </c>
      <c r="L2970" s="1" t="s">
        <v>1630</v>
      </c>
    </row>
    <row r="2971" spans="2:12">
      <c r="B2971" s="1" t="s">
        <v>667</v>
      </c>
      <c r="C2971" s="1" t="s">
        <v>336</v>
      </c>
      <c r="D2971" s="52">
        <v>46062.644444444442</v>
      </c>
      <c r="E2971" s="52">
        <v>46062.644444444442</v>
      </c>
      <c r="F2971" s="52">
        <v>46062.644444444442</v>
      </c>
      <c r="G2971" s="53">
        <v>5.2083333333333333E-4</v>
      </c>
      <c r="H2971" s="1" t="s">
        <v>257</v>
      </c>
      <c r="J2971" s="1" t="s">
        <v>371</v>
      </c>
      <c r="K2971" s="1" t="s">
        <v>653</v>
      </c>
      <c r="L2971" s="1" t="s">
        <v>1631</v>
      </c>
    </row>
    <row r="2972" spans="2:12">
      <c r="B2972" s="1" t="s">
        <v>667</v>
      </c>
      <c r="C2972" s="1" t="s">
        <v>336</v>
      </c>
      <c r="D2972" s="52">
        <v>46062.632638888892</v>
      </c>
      <c r="E2972" s="52">
        <v>46062.632638888892</v>
      </c>
      <c r="F2972" s="52">
        <v>46062.633333333331</v>
      </c>
      <c r="G2972" s="53">
        <v>5.2083333333333333E-4</v>
      </c>
      <c r="H2972" s="1" t="s">
        <v>257</v>
      </c>
      <c r="J2972" s="1" t="s">
        <v>371</v>
      </c>
      <c r="K2972" s="1" t="s">
        <v>653</v>
      </c>
      <c r="L2972" s="1" t="s">
        <v>1632</v>
      </c>
    </row>
    <row r="2973" spans="2:12">
      <c r="B2973" s="1" t="s">
        <v>667</v>
      </c>
      <c r="C2973" s="1" t="s">
        <v>336</v>
      </c>
      <c r="D2973" s="52">
        <v>46062.59375</v>
      </c>
      <c r="E2973" s="52">
        <v>46062.59375</v>
      </c>
      <c r="F2973" s="52">
        <v>46062.594444444447</v>
      </c>
      <c r="G2973" s="53">
        <v>5.4398148148148144E-4</v>
      </c>
      <c r="H2973" s="1" t="s">
        <v>257</v>
      </c>
      <c r="J2973" s="1" t="s">
        <v>371</v>
      </c>
      <c r="K2973" s="1" t="s">
        <v>653</v>
      </c>
      <c r="L2973" s="1" t="s">
        <v>1633</v>
      </c>
    </row>
    <row r="2974" spans="2:12">
      <c r="B2974" s="1" t="s">
        <v>667</v>
      </c>
      <c r="C2974" s="1" t="s">
        <v>336</v>
      </c>
      <c r="D2974" s="52">
        <v>46062.580555555556</v>
      </c>
      <c r="E2974" s="52">
        <v>46062.580555555556</v>
      </c>
      <c r="F2974" s="52">
        <v>46062.580555555556</v>
      </c>
      <c r="G2974" s="53">
        <v>5.0925925925925921E-4</v>
      </c>
      <c r="H2974" s="1" t="s">
        <v>257</v>
      </c>
      <c r="J2974" s="1" t="s">
        <v>371</v>
      </c>
      <c r="K2974" s="1" t="s">
        <v>653</v>
      </c>
      <c r="L2974" s="1" t="s">
        <v>1634</v>
      </c>
    </row>
    <row r="2975" spans="2:12">
      <c r="B2975" s="1" t="s">
        <v>667</v>
      </c>
      <c r="C2975" s="1" t="s">
        <v>336</v>
      </c>
      <c r="D2975" s="52">
        <v>46062.55972222222</v>
      </c>
      <c r="E2975" s="52">
        <v>46062.55972222222</v>
      </c>
      <c r="F2975" s="52">
        <v>46062.561111111114</v>
      </c>
      <c r="G2975" s="53">
        <v>1.0879629629629629E-3</v>
      </c>
      <c r="H2975" s="1" t="s">
        <v>257</v>
      </c>
      <c r="J2975" s="1" t="s">
        <v>371</v>
      </c>
      <c r="K2975" s="1" t="s">
        <v>653</v>
      </c>
      <c r="L2975" s="1" t="s">
        <v>1635</v>
      </c>
    </row>
    <row r="2976" spans="2:12">
      <c r="B2976" s="1" t="s">
        <v>667</v>
      </c>
      <c r="C2976" s="1" t="s">
        <v>336</v>
      </c>
      <c r="D2976" s="52">
        <v>46062.55</v>
      </c>
      <c r="E2976" s="52">
        <v>46062.55</v>
      </c>
      <c r="F2976" s="52">
        <v>46062.550694444442</v>
      </c>
      <c r="G2976" s="53">
        <v>5.4398148148148144E-4</v>
      </c>
      <c r="H2976" s="1" t="s">
        <v>257</v>
      </c>
      <c r="J2976" s="1" t="s">
        <v>371</v>
      </c>
      <c r="K2976" s="1" t="s">
        <v>653</v>
      </c>
      <c r="L2976" s="1" t="s">
        <v>1636</v>
      </c>
    </row>
    <row r="2977" spans="2:12">
      <c r="B2977" s="1" t="s">
        <v>667</v>
      </c>
      <c r="C2977" s="1" t="s">
        <v>336</v>
      </c>
      <c r="D2977" s="52">
        <v>46062.542361111111</v>
      </c>
      <c r="E2977" s="52">
        <v>46062.542361111111</v>
      </c>
      <c r="F2977" s="52">
        <v>46062.542361111111</v>
      </c>
      <c r="G2977" s="53">
        <v>5.7870370370370367E-4</v>
      </c>
      <c r="H2977" s="1" t="s">
        <v>257</v>
      </c>
      <c r="J2977" s="1" t="s">
        <v>371</v>
      </c>
      <c r="K2977" s="1" t="s">
        <v>653</v>
      </c>
      <c r="L2977" s="1" t="s">
        <v>1637</v>
      </c>
    </row>
    <row r="2978" spans="2:12">
      <c r="B2978" s="1" t="s">
        <v>667</v>
      </c>
      <c r="C2978" s="1" t="s">
        <v>336</v>
      </c>
      <c r="D2978" s="52">
        <v>46062.535416666666</v>
      </c>
      <c r="E2978" s="52">
        <v>46062.535416666666</v>
      </c>
      <c r="F2978" s="52">
        <v>46062.535416666666</v>
      </c>
      <c r="G2978" s="53">
        <v>4.9768518518518521E-4</v>
      </c>
      <c r="H2978" s="1" t="s">
        <v>257</v>
      </c>
      <c r="J2978" s="1" t="s">
        <v>371</v>
      </c>
      <c r="K2978" s="1" t="s">
        <v>653</v>
      </c>
      <c r="L2978" s="1" t="s">
        <v>1638</v>
      </c>
    </row>
    <row r="2979" spans="2:12">
      <c r="B2979" s="1" t="s">
        <v>667</v>
      </c>
      <c r="C2979" s="1" t="s">
        <v>336</v>
      </c>
      <c r="D2979" s="52">
        <v>46062.51458333333</v>
      </c>
      <c r="E2979" s="52">
        <v>46062.51458333333</v>
      </c>
      <c r="F2979" s="52">
        <v>46062.515277777777</v>
      </c>
      <c r="G2979" s="53">
        <v>5.2083333333333333E-4</v>
      </c>
      <c r="H2979" s="1" t="s">
        <v>257</v>
      </c>
      <c r="J2979" s="1" t="s">
        <v>371</v>
      </c>
      <c r="K2979" s="1" t="s">
        <v>653</v>
      </c>
      <c r="L2979" s="1" t="s">
        <v>1639</v>
      </c>
    </row>
    <row r="2980" spans="2:12">
      <c r="B2980" s="1" t="s">
        <v>667</v>
      </c>
      <c r="C2980" s="1" t="s">
        <v>336</v>
      </c>
      <c r="D2980" s="52">
        <v>46062.49722222222</v>
      </c>
      <c r="E2980" s="52">
        <v>46062.49722222222</v>
      </c>
      <c r="F2980" s="52">
        <v>46062.497916666667</v>
      </c>
      <c r="G2980" s="53">
        <v>5.4398148148148144E-4</v>
      </c>
      <c r="H2980" s="1" t="s">
        <v>257</v>
      </c>
      <c r="J2980" s="1" t="s">
        <v>371</v>
      </c>
      <c r="K2980" s="1" t="s">
        <v>653</v>
      </c>
      <c r="L2980" s="1" t="s">
        <v>1640</v>
      </c>
    </row>
    <row r="2981" spans="2:12">
      <c r="B2981" s="1" t="s">
        <v>667</v>
      </c>
      <c r="C2981" s="1" t="s">
        <v>336</v>
      </c>
      <c r="D2981" s="52">
        <v>46062.470138888886</v>
      </c>
      <c r="E2981" s="52">
        <v>46062.470138888886</v>
      </c>
      <c r="F2981" s="52">
        <v>46062.470833333333</v>
      </c>
      <c r="G2981" s="53">
        <v>1.0648148148148149E-3</v>
      </c>
      <c r="H2981" s="1" t="s">
        <v>257</v>
      </c>
      <c r="J2981" s="1" t="s">
        <v>371</v>
      </c>
      <c r="K2981" s="1" t="s">
        <v>653</v>
      </c>
      <c r="L2981" s="1" t="s">
        <v>1641</v>
      </c>
    </row>
    <row r="2982" spans="2:12">
      <c r="B2982" s="1" t="s">
        <v>667</v>
      </c>
      <c r="C2982" s="1" t="s">
        <v>336</v>
      </c>
      <c r="D2982" s="52">
        <v>46062.461805555555</v>
      </c>
      <c r="E2982" s="52">
        <v>46062.461805555555</v>
      </c>
      <c r="F2982" s="52">
        <v>46062.462500000001</v>
      </c>
      <c r="G2982" s="53">
        <v>5.4398148148148144E-4</v>
      </c>
      <c r="H2982" s="1" t="s">
        <v>257</v>
      </c>
      <c r="J2982" s="1" t="s">
        <v>371</v>
      </c>
      <c r="K2982" s="1" t="s">
        <v>653</v>
      </c>
      <c r="L2982" s="1" t="s">
        <v>1642</v>
      </c>
    </row>
    <row r="2983" spans="2:12">
      <c r="B2983" s="1" t="s">
        <v>667</v>
      </c>
      <c r="C2983" s="1" t="s">
        <v>336</v>
      </c>
      <c r="D2983" s="52">
        <v>46062.454861111109</v>
      </c>
      <c r="E2983" s="52">
        <v>46062.454861111109</v>
      </c>
      <c r="F2983" s="52">
        <v>46062.455555555556</v>
      </c>
      <c r="G2983" s="53">
        <v>5.0925925925925921E-4</v>
      </c>
      <c r="H2983" s="1" t="s">
        <v>257</v>
      </c>
      <c r="J2983" s="1" t="s">
        <v>371</v>
      </c>
      <c r="K2983" s="1" t="s">
        <v>653</v>
      </c>
      <c r="L2983" s="1" t="s">
        <v>1643</v>
      </c>
    </row>
    <row r="2984" spans="2:12">
      <c r="B2984" s="1" t="s">
        <v>667</v>
      </c>
      <c r="C2984" s="1" t="s">
        <v>336</v>
      </c>
      <c r="D2984" s="52">
        <v>46062.449305555558</v>
      </c>
      <c r="E2984" s="52">
        <v>46062.449305555558</v>
      </c>
      <c r="F2984" s="52">
        <v>46062.45</v>
      </c>
      <c r="G2984" s="53">
        <v>5.4398148148148144E-4</v>
      </c>
      <c r="H2984" s="1" t="s">
        <v>257</v>
      </c>
      <c r="J2984" s="1" t="s">
        <v>371</v>
      </c>
      <c r="K2984" s="1" t="s">
        <v>653</v>
      </c>
      <c r="L2984" s="1" t="s">
        <v>1644</v>
      </c>
    </row>
    <row r="2985" spans="2:12">
      <c r="B2985" s="1" t="s">
        <v>667</v>
      </c>
      <c r="C2985" s="1" t="s">
        <v>336</v>
      </c>
      <c r="D2985" s="52">
        <v>46062.443749999999</v>
      </c>
      <c r="E2985" s="52">
        <v>46062.443749999999</v>
      </c>
      <c r="F2985" s="52">
        <v>46062.444444444445</v>
      </c>
      <c r="G2985" s="53">
        <v>5.4398148148148144E-4</v>
      </c>
      <c r="H2985" s="1" t="s">
        <v>257</v>
      </c>
      <c r="J2985" s="1" t="s">
        <v>371</v>
      </c>
      <c r="K2985" s="1" t="s">
        <v>653</v>
      </c>
      <c r="L2985" s="1" t="s">
        <v>1645</v>
      </c>
    </row>
    <row r="2986" spans="2:12">
      <c r="B2986" s="1" t="s">
        <v>667</v>
      </c>
      <c r="C2986" s="1" t="s">
        <v>336</v>
      </c>
      <c r="D2986" s="52">
        <v>46062.409722222219</v>
      </c>
      <c r="E2986" s="52">
        <v>46062.409722222219</v>
      </c>
      <c r="F2986" s="52">
        <v>46062.413888888892</v>
      </c>
      <c r="G2986" s="53">
        <v>4.6180555555555558E-3</v>
      </c>
      <c r="H2986" s="1" t="s">
        <v>257</v>
      </c>
      <c r="J2986" s="1" t="s">
        <v>371</v>
      </c>
      <c r="K2986" s="1" t="s">
        <v>653</v>
      </c>
      <c r="L2986" s="1" t="s">
        <v>1646</v>
      </c>
    </row>
    <row r="2987" spans="2:12">
      <c r="B2987" s="1" t="s">
        <v>667</v>
      </c>
      <c r="C2987" s="1" t="s">
        <v>336</v>
      </c>
      <c r="D2987" s="52">
        <v>46062.400000000001</v>
      </c>
      <c r="E2987" s="52">
        <v>46062.400000000001</v>
      </c>
      <c r="F2987" s="52">
        <v>46062.400000000001</v>
      </c>
      <c r="G2987" s="53">
        <v>5.2083333333333333E-4</v>
      </c>
      <c r="H2987" s="1" t="s">
        <v>257</v>
      </c>
      <c r="J2987" s="1" t="s">
        <v>371</v>
      </c>
      <c r="K2987" s="1" t="s">
        <v>653</v>
      </c>
      <c r="L2987" s="1" t="s">
        <v>1647</v>
      </c>
    </row>
    <row r="2988" spans="2:12">
      <c r="B2988" s="1" t="s">
        <v>667</v>
      </c>
      <c r="C2988" s="1" t="s">
        <v>336</v>
      </c>
      <c r="D2988" s="52">
        <v>46062.397916666669</v>
      </c>
      <c r="E2988" s="52">
        <v>46062.397916666669</v>
      </c>
      <c r="F2988" s="52">
        <v>46062.398611111108</v>
      </c>
      <c r="G2988" s="53">
        <v>6.134259259259259E-4</v>
      </c>
      <c r="H2988" s="1" t="s">
        <v>257</v>
      </c>
      <c r="J2988" s="1" t="s">
        <v>371</v>
      </c>
      <c r="K2988" s="1" t="s">
        <v>653</v>
      </c>
      <c r="L2988" s="1" t="s">
        <v>1648</v>
      </c>
    </row>
    <row r="2989" spans="2:12">
      <c r="B2989" s="1" t="s">
        <v>667</v>
      </c>
      <c r="C2989" s="1" t="s">
        <v>336</v>
      </c>
      <c r="D2989" s="52">
        <v>46062.397222222222</v>
      </c>
      <c r="E2989" s="52">
        <v>46062.397222222222</v>
      </c>
      <c r="F2989" s="52">
        <v>46062.397916666669</v>
      </c>
      <c r="G2989" s="53">
        <v>6.2500000000000001E-4</v>
      </c>
      <c r="H2989" s="1" t="s">
        <v>257</v>
      </c>
      <c r="J2989" s="1" t="s">
        <v>371</v>
      </c>
      <c r="K2989" s="1" t="s">
        <v>653</v>
      </c>
      <c r="L2989" s="1" t="s">
        <v>1649</v>
      </c>
    </row>
    <row r="2990" spans="2:12">
      <c r="B2990" s="1" t="s">
        <v>667</v>
      </c>
      <c r="C2990" s="1" t="s">
        <v>336</v>
      </c>
      <c r="D2990" s="52">
        <v>46062.390277777777</v>
      </c>
      <c r="E2990" s="52">
        <v>46062.390277777777</v>
      </c>
      <c r="F2990" s="52">
        <v>46062.390277777777</v>
      </c>
      <c r="G2990" s="53">
        <v>5.2083333333333333E-4</v>
      </c>
      <c r="H2990" s="1" t="s">
        <v>257</v>
      </c>
      <c r="J2990" s="1" t="s">
        <v>371</v>
      </c>
      <c r="K2990" s="1" t="s">
        <v>653</v>
      </c>
      <c r="L2990" s="1" t="s">
        <v>1650</v>
      </c>
    </row>
    <row r="2991" spans="2:12">
      <c r="B2991" s="1" t="s">
        <v>667</v>
      </c>
      <c r="C2991" s="1" t="s">
        <v>336</v>
      </c>
      <c r="D2991" s="52">
        <v>46062.386111111111</v>
      </c>
      <c r="E2991" s="52">
        <v>46062.386111111111</v>
      </c>
      <c r="F2991" s="52">
        <v>46062.387499999997</v>
      </c>
      <c r="G2991" s="53">
        <v>1.0879629629629629E-3</v>
      </c>
      <c r="H2991" s="1" t="s">
        <v>257</v>
      </c>
      <c r="J2991" s="1" t="s">
        <v>371</v>
      </c>
      <c r="K2991" s="1" t="s">
        <v>653</v>
      </c>
      <c r="L2991" s="1" t="s">
        <v>1651</v>
      </c>
    </row>
    <row r="2992" spans="2:12">
      <c r="B2992" s="1" t="s">
        <v>667</v>
      </c>
      <c r="C2992" s="1" t="s">
        <v>336</v>
      </c>
      <c r="D2992" s="52">
        <v>46062.382638888892</v>
      </c>
      <c r="E2992" s="52">
        <v>46062.382638888892</v>
      </c>
      <c r="F2992" s="52">
        <v>46062.386111111111</v>
      </c>
      <c r="G2992" s="53">
        <v>4.0509259259259257E-3</v>
      </c>
      <c r="H2992" s="1" t="s">
        <v>257</v>
      </c>
      <c r="J2992" s="1" t="s">
        <v>371</v>
      </c>
      <c r="K2992" s="1" t="s">
        <v>653</v>
      </c>
      <c r="L2992" s="1" t="s">
        <v>1652</v>
      </c>
    </row>
    <row r="2993" spans="2:12">
      <c r="B2993" s="1" t="s">
        <v>667</v>
      </c>
      <c r="C2993" s="1" t="s">
        <v>336</v>
      </c>
      <c r="D2993" s="52">
        <v>46062.356249999997</v>
      </c>
      <c r="E2993" s="52">
        <v>46062.356249999997</v>
      </c>
      <c r="F2993" s="52">
        <v>46062.356944444444</v>
      </c>
      <c r="G2993" s="53">
        <v>5.4398148148148144E-4</v>
      </c>
      <c r="H2993" s="1" t="s">
        <v>257</v>
      </c>
      <c r="J2993" s="1" t="s">
        <v>371</v>
      </c>
      <c r="K2993" s="1" t="s">
        <v>653</v>
      </c>
      <c r="L2993" s="1" t="s">
        <v>1653</v>
      </c>
    </row>
    <row r="2994" spans="2:12">
      <c r="B2994" s="1" t="s">
        <v>667</v>
      </c>
      <c r="C2994" s="1" t="s">
        <v>336</v>
      </c>
      <c r="D2994" s="52">
        <v>46062.243750000001</v>
      </c>
      <c r="E2994" s="52">
        <v>46062.243750000001</v>
      </c>
      <c r="F2994" s="52">
        <v>46062.288194444445</v>
      </c>
      <c r="G2994" s="53">
        <v>4.4444444444444446E-2</v>
      </c>
      <c r="H2994" s="1" t="s">
        <v>257</v>
      </c>
      <c r="J2994" s="1" t="s">
        <v>371</v>
      </c>
      <c r="K2994" s="1" t="s">
        <v>653</v>
      </c>
      <c r="L2994" s="1" t="s">
        <v>1654</v>
      </c>
    </row>
    <row r="2995" spans="2:12">
      <c r="B2995" s="1" t="s">
        <v>667</v>
      </c>
      <c r="C2995" s="1" t="s">
        <v>336</v>
      </c>
      <c r="D2995" s="52">
        <v>46061.786111111112</v>
      </c>
      <c r="E2995" s="52">
        <v>46061.786111111112</v>
      </c>
      <c r="F2995" s="52">
        <v>46061.788194444445</v>
      </c>
      <c r="G2995" s="53">
        <v>2.0717592592592593E-3</v>
      </c>
      <c r="H2995" s="1" t="s">
        <v>257</v>
      </c>
      <c r="J2995" s="1" t="s">
        <v>371</v>
      </c>
      <c r="K2995" s="1" t="s">
        <v>653</v>
      </c>
      <c r="L2995" s="1" t="s">
        <v>1655</v>
      </c>
    </row>
    <row r="2996" spans="2:12">
      <c r="B2996" s="1" t="s">
        <v>667</v>
      </c>
      <c r="C2996" s="1" t="s">
        <v>336</v>
      </c>
      <c r="D2996" s="52">
        <v>46061.759027777778</v>
      </c>
      <c r="E2996" s="52">
        <v>46061.759027777778</v>
      </c>
      <c r="F2996" s="52">
        <v>46061.788194444445</v>
      </c>
      <c r="G2996" s="53">
        <v>2.9548611111111112E-2</v>
      </c>
      <c r="H2996" s="1" t="s">
        <v>257</v>
      </c>
      <c r="J2996" s="1" t="s">
        <v>371</v>
      </c>
      <c r="K2996" s="1" t="s">
        <v>653</v>
      </c>
      <c r="L2996" s="1" t="s">
        <v>1656</v>
      </c>
    </row>
    <row r="2997" spans="2:12">
      <c r="B2997" s="1" t="s">
        <v>667</v>
      </c>
      <c r="C2997" s="1" t="s">
        <v>336</v>
      </c>
      <c r="D2997" s="52">
        <v>46061.759027777778</v>
      </c>
      <c r="E2997" s="52">
        <v>46061.759027777778</v>
      </c>
      <c r="F2997" s="52">
        <v>46061.776388888888</v>
      </c>
      <c r="G2997" s="53">
        <v>1.7384259259259259E-2</v>
      </c>
      <c r="H2997" s="1" t="s">
        <v>257</v>
      </c>
      <c r="J2997" s="1" t="s">
        <v>371</v>
      </c>
      <c r="K2997" s="1" t="s">
        <v>653</v>
      </c>
      <c r="L2997" s="1" t="s">
        <v>1657</v>
      </c>
    </row>
    <row r="2998" spans="2:12">
      <c r="B2998" s="1" t="s">
        <v>667</v>
      </c>
      <c r="C2998" s="1" t="s">
        <v>336</v>
      </c>
      <c r="D2998" s="52">
        <v>46061.758333333331</v>
      </c>
      <c r="E2998" s="52">
        <v>46061.758333333331</v>
      </c>
      <c r="F2998" s="52">
        <v>46061.759027777778</v>
      </c>
      <c r="G2998" s="53">
        <v>6.018518518518519E-4</v>
      </c>
      <c r="H2998" s="1" t="s">
        <v>257</v>
      </c>
      <c r="J2998" s="1" t="s">
        <v>371</v>
      </c>
      <c r="K2998" s="1" t="s">
        <v>653</v>
      </c>
      <c r="L2998" s="1" t="s">
        <v>1658</v>
      </c>
    </row>
    <row r="2999" spans="2:12">
      <c r="B2999" s="1" t="s">
        <v>667</v>
      </c>
      <c r="C2999" s="1" t="s">
        <v>336</v>
      </c>
      <c r="D2999" s="52">
        <v>46061.757638888892</v>
      </c>
      <c r="E2999" s="52">
        <v>46061.757638888892</v>
      </c>
      <c r="F2999" s="52">
        <v>46061.757638888892</v>
      </c>
      <c r="G2999" s="53">
        <v>6.018518518518519E-4</v>
      </c>
      <c r="H2999" s="1" t="s">
        <v>257</v>
      </c>
      <c r="J2999" s="1" t="s">
        <v>371</v>
      </c>
      <c r="K2999" s="1" t="s">
        <v>653</v>
      </c>
      <c r="L2999" s="1" t="s">
        <v>1659</v>
      </c>
    </row>
    <row r="3000" spans="2:12">
      <c r="B3000" s="1" t="s">
        <v>667</v>
      </c>
      <c r="C3000" s="1" t="s">
        <v>336</v>
      </c>
      <c r="D3000" s="52">
        <v>46061.756944444445</v>
      </c>
      <c r="E3000" s="52">
        <v>46061.756944444445</v>
      </c>
      <c r="F3000" s="52">
        <v>46061.756944444445</v>
      </c>
      <c r="G3000" s="53">
        <v>6.018518518518519E-4</v>
      </c>
      <c r="H3000" s="1" t="s">
        <v>257</v>
      </c>
      <c r="J3000" s="1" t="s">
        <v>371</v>
      </c>
      <c r="K3000" s="1" t="s">
        <v>653</v>
      </c>
      <c r="L3000" s="1" t="s">
        <v>1660</v>
      </c>
    </row>
    <row r="3001" spans="2:12">
      <c r="B3001" s="1" t="s">
        <v>667</v>
      </c>
      <c r="C3001" s="1" t="s">
        <v>336</v>
      </c>
      <c r="D3001" s="52">
        <v>46061.755555555559</v>
      </c>
      <c r="E3001" s="52">
        <v>46061.755555555559</v>
      </c>
      <c r="F3001" s="52">
        <v>46061.756249999999</v>
      </c>
      <c r="G3001" s="53">
        <v>6.018518518518519E-4</v>
      </c>
      <c r="H3001" s="1" t="s">
        <v>257</v>
      </c>
      <c r="J3001" s="1" t="s">
        <v>371</v>
      </c>
      <c r="K3001" s="1" t="s">
        <v>653</v>
      </c>
      <c r="L3001" s="1" t="s">
        <v>1661</v>
      </c>
    </row>
    <row r="3002" spans="2:12">
      <c r="B3002" s="1" t="s">
        <v>667</v>
      </c>
      <c r="C3002" s="1" t="s">
        <v>336</v>
      </c>
      <c r="D3002" s="52">
        <v>46061.754861111112</v>
      </c>
      <c r="E3002" s="52">
        <v>46061.754861111112</v>
      </c>
      <c r="F3002" s="52">
        <v>46061.755555555559</v>
      </c>
      <c r="G3002" s="53">
        <v>6.134259259259259E-4</v>
      </c>
      <c r="H3002" s="1" t="s">
        <v>257</v>
      </c>
      <c r="J3002" s="1" t="s">
        <v>371</v>
      </c>
      <c r="K3002" s="1" t="s">
        <v>653</v>
      </c>
      <c r="L3002" s="1" t="s">
        <v>1662</v>
      </c>
    </row>
    <row r="3003" spans="2:12">
      <c r="B3003" s="1" t="s">
        <v>667</v>
      </c>
      <c r="C3003" s="1" t="s">
        <v>336</v>
      </c>
      <c r="D3003" s="52">
        <v>46061.754166666666</v>
      </c>
      <c r="E3003" s="52">
        <v>46061.754166666666</v>
      </c>
      <c r="F3003" s="52">
        <v>46061.754861111112</v>
      </c>
      <c r="G3003" s="53">
        <v>6.018518518518519E-4</v>
      </c>
      <c r="H3003" s="1" t="s">
        <v>257</v>
      </c>
      <c r="J3003" s="1" t="s">
        <v>371</v>
      </c>
      <c r="K3003" s="1" t="s">
        <v>653</v>
      </c>
      <c r="L3003" s="1" t="s">
        <v>1663</v>
      </c>
    </row>
    <row r="3004" spans="2:12">
      <c r="B3004" s="1" t="s">
        <v>667</v>
      </c>
      <c r="C3004" s="1" t="s">
        <v>336</v>
      </c>
      <c r="D3004" s="52">
        <v>46061.75277777778</v>
      </c>
      <c r="E3004" s="52">
        <v>46061.75277777778</v>
      </c>
      <c r="F3004" s="52">
        <v>46061.753472222219</v>
      </c>
      <c r="G3004" s="53">
        <v>5.6712962962962967E-4</v>
      </c>
      <c r="H3004" s="1" t="s">
        <v>257</v>
      </c>
      <c r="J3004" s="1" t="s">
        <v>371</v>
      </c>
      <c r="K3004" s="1" t="s">
        <v>653</v>
      </c>
      <c r="L3004" s="1" t="s">
        <v>1664</v>
      </c>
    </row>
    <row r="3005" spans="2:12">
      <c r="B3005" s="1" t="s">
        <v>667</v>
      </c>
      <c r="C3005" s="1" t="s">
        <v>336</v>
      </c>
      <c r="D3005" s="52">
        <v>46061.703472222223</v>
      </c>
      <c r="E3005" s="52">
        <v>46061.703472222223</v>
      </c>
      <c r="F3005" s="52">
        <v>46061.712500000001</v>
      </c>
      <c r="G3005" s="53">
        <v>9.1550925925925931E-3</v>
      </c>
      <c r="H3005" s="1" t="s">
        <v>257</v>
      </c>
      <c r="J3005" s="1" t="s">
        <v>371</v>
      </c>
      <c r="K3005" s="1" t="s">
        <v>653</v>
      </c>
      <c r="L3005" s="1" t="s">
        <v>1665</v>
      </c>
    </row>
    <row r="3006" spans="2:12">
      <c r="B3006" s="1" t="s">
        <v>667</v>
      </c>
      <c r="C3006" s="1" t="s">
        <v>336</v>
      </c>
      <c r="D3006" s="52">
        <v>46061.702777777777</v>
      </c>
      <c r="E3006" s="52">
        <v>46061.702777777777</v>
      </c>
      <c r="F3006" s="52">
        <v>46061.703472222223</v>
      </c>
      <c r="G3006" s="53">
        <v>5.4398148148148144E-4</v>
      </c>
      <c r="H3006" s="1" t="s">
        <v>257</v>
      </c>
      <c r="J3006" s="1" t="s">
        <v>371</v>
      </c>
      <c r="K3006" s="1" t="s">
        <v>653</v>
      </c>
      <c r="L3006" s="1" t="s">
        <v>1666</v>
      </c>
    </row>
    <row r="3007" spans="2:12">
      <c r="B3007" s="1" t="s">
        <v>667</v>
      </c>
      <c r="C3007" s="1" t="s">
        <v>336</v>
      </c>
      <c r="D3007" s="52">
        <v>46061.70208333333</v>
      </c>
      <c r="E3007" s="52">
        <v>46061.70208333333</v>
      </c>
      <c r="F3007" s="52">
        <v>46061.702777777777</v>
      </c>
      <c r="G3007" s="53">
        <v>5.4398148148148144E-4</v>
      </c>
      <c r="H3007" s="1" t="s">
        <v>257</v>
      </c>
      <c r="J3007" s="1" t="s">
        <v>371</v>
      </c>
      <c r="K3007" s="1" t="s">
        <v>653</v>
      </c>
      <c r="L3007" s="1" t="s">
        <v>1667</v>
      </c>
    </row>
    <row r="3008" spans="2:12">
      <c r="B3008" s="1" t="s">
        <v>667</v>
      </c>
      <c r="C3008" s="1" t="s">
        <v>336</v>
      </c>
      <c r="D3008" s="52">
        <v>46061.701388888891</v>
      </c>
      <c r="E3008" s="52">
        <v>46061.701388888891</v>
      </c>
      <c r="F3008" s="52">
        <v>46061.70208333333</v>
      </c>
      <c r="G3008" s="53">
        <v>5.6712962962962967E-4</v>
      </c>
      <c r="H3008" s="1" t="s">
        <v>257</v>
      </c>
      <c r="J3008" s="1" t="s">
        <v>371</v>
      </c>
      <c r="K3008" s="1" t="s">
        <v>653</v>
      </c>
      <c r="L3008" s="1" t="s">
        <v>1668</v>
      </c>
    </row>
    <row r="3009" spans="2:12">
      <c r="B3009" s="1" t="s">
        <v>667</v>
      </c>
      <c r="C3009" s="1" t="s">
        <v>336</v>
      </c>
      <c r="D3009" s="52">
        <v>46061.700694444444</v>
      </c>
      <c r="E3009" s="52">
        <v>46061.700694444444</v>
      </c>
      <c r="F3009" s="52">
        <v>46061.701388888891</v>
      </c>
      <c r="G3009" s="53">
        <v>5.4398148148148144E-4</v>
      </c>
      <c r="H3009" s="1" t="s">
        <v>257</v>
      </c>
      <c r="J3009" s="1" t="s">
        <v>371</v>
      </c>
      <c r="K3009" s="1" t="s">
        <v>653</v>
      </c>
      <c r="L3009" s="1" t="s">
        <v>1669</v>
      </c>
    </row>
    <row r="3010" spans="2:12">
      <c r="B3010" s="1" t="s">
        <v>667</v>
      </c>
      <c r="C3010" s="1" t="s">
        <v>336</v>
      </c>
      <c r="D3010" s="52">
        <v>46061.7</v>
      </c>
      <c r="E3010" s="52">
        <v>46061.7</v>
      </c>
      <c r="F3010" s="52">
        <v>46061.700694444444</v>
      </c>
      <c r="G3010" s="53">
        <v>5.5555555555555556E-4</v>
      </c>
      <c r="H3010" s="1" t="s">
        <v>257</v>
      </c>
      <c r="J3010" s="1" t="s">
        <v>371</v>
      </c>
      <c r="K3010" s="1" t="s">
        <v>653</v>
      </c>
      <c r="L3010" s="1" t="s">
        <v>1670</v>
      </c>
    </row>
    <row r="3011" spans="2:12">
      <c r="B3011" s="1" t="s">
        <v>667</v>
      </c>
      <c r="C3011" s="1" t="s">
        <v>336</v>
      </c>
      <c r="D3011" s="52">
        <v>46061.699305555558</v>
      </c>
      <c r="E3011" s="52">
        <v>46061.699305555558</v>
      </c>
      <c r="F3011" s="52">
        <v>46061.7</v>
      </c>
      <c r="G3011" s="53">
        <v>7.407407407407407E-4</v>
      </c>
      <c r="H3011" s="1" t="s">
        <v>257</v>
      </c>
      <c r="J3011" s="1" t="s">
        <v>371</v>
      </c>
      <c r="K3011" s="1" t="s">
        <v>653</v>
      </c>
      <c r="L3011" s="1" t="s">
        <v>1671</v>
      </c>
    </row>
    <row r="3012" spans="2:12">
      <c r="B3012" s="1" t="s">
        <v>667</v>
      </c>
      <c r="C3012" s="1" t="s">
        <v>336</v>
      </c>
      <c r="D3012" s="52">
        <v>46061.698611111111</v>
      </c>
      <c r="E3012" s="52">
        <v>46061.698611111111</v>
      </c>
      <c r="F3012" s="52">
        <v>46061.698611111111</v>
      </c>
      <c r="G3012" s="53">
        <v>5.4398148148148144E-4</v>
      </c>
      <c r="H3012" s="1" t="s">
        <v>257</v>
      </c>
      <c r="J3012" s="1" t="s">
        <v>371</v>
      </c>
      <c r="K3012" s="1" t="s">
        <v>653</v>
      </c>
      <c r="L3012" s="1" t="s">
        <v>1672</v>
      </c>
    </row>
    <row r="3013" spans="2:12">
      <c r="B3013" s="1" t="s">
        <v>667</v>
      </c>
      <c r="C3013" s="1" t="s">
        <v>336</v>
      </c>
      <c r="D3013" s="52">
        <v>46061.615277777775</v>
      </c>
      <c r="E3013" s="52">
        <v>46061.615277777775</v>
      </c>
      <c r="F3013" s="52">
        <v>46061.615972222222</v>
      </c>
      <c r="G3013" s="53">
        <v>4.9768518518518521E-4</v>
      </c>
      <c r="H3013" s="1" t="s">
        <v>257</v>
      </c>
      <c r="J3013" s="1" t="s">
        <v>371</v>
      </c>
      <c r="K3013" s="1" t="s">
        <v>653</v>
      </c>
      <c r="L3013" s="1" t="s">
        <v>1673</v>
      </c>
    </row>
    <row r="3014" spans="2:12">
      <c r="B3014" s="1" t="s">
        <v>667</v>
      </c>
      <c r="C3014" s="1" t="s">
        <v>336</v>
      </c>
      <c r="D3014" s="52">
        <v>46061.603472222225</v>
      </c>
      <c r="E3014" s="52">
        <v>46061.603472222225</v>
      </c>
      <c r="F3014" s="52">
        <v>46061.603472222225</v>
      </c>
      <c r="G3014" s="53">
        <v>5.5555555555555556E-4</v>
      </c>
      <c r="H3014" s="1" t="s">
        <v>257</v>
      </c>
      <c r="J3014" s="1" t="s">
        <v>371</v>
      </c>
      <c r="K3014" s="1" t="s">
        <v>653</v>
      </c>
      <c r="L3014" s="1" t="s">
        <v>1674</v>
      </c>
    </row>
    <row r="3015" spans="2:12">
      <c r="B3015" s="1" t="s">
        <v>667</v>
      </c>
      <c r="C3015" s="1" t="s">
        <v>336</v>
      </c>
      <c r="D3015" s="52">
        <v>46061.584722222222</v>
      </c>
      <c r="E3015" s="52">
        <v>46061.584722222222</v>
      </c>
      <c r="F3015" s="52">
        <v>46061.585416666669</v>
      </c>
      <c r="G3015" s="53">
        <v>5.5555555555555556E-4</v>
      </c>
      <c r="H3015" s="1" t="s">
        <v>257</v>
      </c>
      <c r="J3015" s="1" t="s">
        <v>371</v>
      </c>
      <c r="K3015" s="1" t="s">
        <v>653</v>
      </c>
      <c r="L3015" s="1" t="s">
        <v>1675</v>
      </c>
    </row>
    <row r="3016" spans="2:12">
      <c r="B3016" s="1" t="s">
        <v>667</v>
      </c>
      <c r="C3016" s="1" t="s">
        <v>336</v>
      </c>
      <c r="D3016" s="52">
        <v>46061.575694444444</v>
      </c>
      <c r="E3016" s="52">
        <v>46061.575694444444</v>
      </c>
      <c r="F3016" s="52">
        <v>46061.576388888891</v>
      </c>
      <c r="G3016" s="53">
        <v>5.0925925925925921E-4</v>
      </c>
      <c r="H3016" s="1" t="s">
        <v>257</v>
      </c>
      <c r="J3016" s="1" t="s">
        <v>371</v>
      </c>
      <c r="K3016" s="1" t="s">
        <v>653</v>
      </c>
      <c r="L3016" s="1" t="s">
        <v>1676</v>
      </c>
    </row>
    <row r="3017" spans="2:12">
      <c r="B3017" s="1" t="s">
        <v>667</v>
      </c>
      <c r="C3017" s="1" t="s">
        <v>336</v>
      </c>
      <c r="D3017" s="52">
        <v>46061.546527777777</v>
      </c>
      <c r="E3017" s="52">
        <v>46061.546527777777</v>
      </c>
      <c r="F3017" s="52">
        <v>46061.547222222223</v>
      </c>
      <c r="G3017" s="53">
        <v>5.2083333333333333E-4</v>
      </c>
      <c r="H3017" s="1" t="s">
        <v>257</v>
      </c>
      <c r="J3017" s="1" t="s">
        <v>371</v>
      </c>
      <c r="K3017" s="1" t="s">
        <v>653</v>
      </c>
      <c r="L3017" s="1" t="s">
        <v>1677</v>
      </c>
    </row>
    <row r="3018" spans="2:12">
      <c r="B3018" s="1" t="s">
        <v>667</v>
      </c>
      <c r="C3018" s="1" t="s">
        <v>336</v>
      </c>
      <c r="D3018" s="52">
        <v>46061.515972222223</v>
      </c>
      <c r="E3018" s="52">
        <v>46061.515972222223</v>
      </c>
      <c r="F3018" s="52">
        <v>46061.517361111109</v>
      </c>
      <c r="G3018" s="53">
        <v>1.1342592592592593E-3</v>
      </c>
      <c r="H3018" s="1" t="s">
        <v>257</v>
      </c>
      <c r="J3018" s="1" t="s">
        <v>371</v>
      </c>
      <c r="K3018" s="1" t="s">
        <v>653</v>
      </c>
      <c r="L3018" s="1" t="s">
        <v>1678</v>
      </c>
    </row>
    <row r="3019" spans="2:12">
      <c r="B3019" s="1" t="s">
        <v>667</v>
      </c>
      <c r="C3019" s="1" t="s">
        <v>336</v>
      </c>
      <c r="D3019" s="52">
        <v>46061.495138888888</v>
      </c>
      <c r="E3019" s="52">
        <v>46061.495138888888</v>
      </c>
      <c r="F3019" s="52">
        <v>46061.495833333334</v>
      </c>
      <c r="G3019" s="53">
        <v>5.4398148148148144E-4</v>
      </c>
      <c r="H3019" s="1" t="s">
        <v>257</v>
      </c>
      <c r="J3019" s="1" t="s">
        <v>371</v>
      </c>
      <c r="K3019" s="1" t="s">
        <v>653</v>
      </c>
      <c r="L3019" s="1" t="s">
        <v>1679</v>
      </c>
    </row>
    <row r="3020" spans="2:12">
      <c r="B3020" s="1" t="s">
        <v>667</v>
      </c>
      <c r="C3020" s="1" t="s">
        <v>336</v>
      </c>
      <c r="D3020" s="52">
        <v>46061.480555555558</v>
      </c>
      <c r="E3020" s="52">
        <v>46061.480555555558</v>
      </c>
      <c r="F3020" s="52">
        <v>46061.481944444444</v>
      </c>
      <c r="G3020" s="53">
        <v>1.238425925925926E-3</v>
      </c>
      <c r="H3020" s="1" t="s">
        <v>257</v>
      </c>
      <c r="J3020" s="1" t="s">
        <v>371</v>
      </c>
      <c r="K3020" s="1" t="s">
        <v>653</v>
      </c>
      <c r="L3020" s="1" t="s">
        <v>1680</v>
      </c>
    </row>
    <row r="3021" spans="2:12">
      <c r="B3021" s="1" t="s">
        <v>667</v>
      </c>
      <c r="C3021" s="1" t="s">
        <v>336</v>
      </c>
      <c r="D3021" s="52">
        <v>46061.477083333331</v>
      </c>
      <c r="E3021" s="52">
        <v>46061.477083333331</v>
      </c>
      <c r="F3021" s="52">
        <v>46061.477083333331</v>
      </c>
      <c r="G3021" s="53">
        <v>5.2083333333333333E-4</v>
      </c>
      <c r="H3021" s="1" t="s">
        <v>257</v>
      </c>
      <c r="J3021" s="1" t="s">
        <v>371</v>
      </c>
      <c r="K3021" s="1" t="s">
        <v>653</v>
      </c>
      <c r="L3021" s="1" t="s">
        <v>1681</v>
      </c>
    </row>
    <row r="3022" spans="2:12">
      <c r="B3022" s="1" t="s">
        <v>667</v>
      </c>
      <c r="C3022" s="1" t="s">
        <v>336</v>
      </c>
      <c r="D3022" s="52">
        <v>46061.463194444441</v>
      </c>
      <c r="E3022" s="52">
        <v>46061.463194444441</v>
      </c>
      <c r="F3022" s="52">
        <v>46061.463888888888</v>
      </c>
      <c r="G3022" s="53">
        <v>5.4398148148148144E-4</v>
      </c>
      <c r="H3022" s="1" t="s">
        <v>257</v>
      </c>
      <c r="J3022" s="1" t="s">
        <v>371</v>
      </c>
      <c r="K3022" s="1" t="s">
        <v>653</v>
      </c>
      <c r="L3022" s="1" t="s">
        <v>1682</v>
      </c>
    </row>
    <row r="3023" spans="2:12">
      <c r="B3023" s="1" t="s">
        <v>667</v>
      </c>
      <c r="C3023" s="1" t="s">
        <v>336</v>
      </c>
      <c r="D3023" s="52">
        <v>46061.445138888892</v>
      </c>
      <c r="E3023" s="52">
        <v>46061.445138888892</v>
      </c>
      <c r="F3023" s="52">
        <v>46061.445138888892</v>
      </c>
      <c r="G3023" s="53">
        <v>5.4398148148148144E-4</v>
      </c>
      <c r="H3023" s="1" t="s">
        <v>257</v>
      </c>
      <c r="J3023" s="1" t="s">
        <v>371</v>
      </c>
      <c r="K3023" s="1" t="s">
        <v>653</v>
      </c>
      <c r="L3023" s="1" t="s">
        <v>1683</v>
      </c>
    </row>
    <row r="3024" spans="2:12">
      <c r="B3024" s="1" t="s">
        <v>667</v>
      </c>
      <c r="C3024" s="1" t="s">
        <v>336</v>
      </c>
      <c r="D3024" s="52">
        <v>46061.433333333334</v>
      </c>
      <c r="E3024" s="52">
        <v>46061.433333333334</v>
      </c>
      <c r="F3024" s="52">
        <v>46061.434027777781</v>
      </c>
      <c r="G3024" s="53">
        <v>5.2083333333333333E-4</v>
      </c>
      <c r="H3024" s="1" t="s">
        <v>257</v>
      </c>
      <c r="J3024" s="1" t="s">
        <v>371</v>
      </c>
      <c r="K3024" s="1" t="s">
        <v>653</v>
      </c>
      <c r="L3024" s="1" t="s">
        <v>1684</v>
      </c>
    </row>
    <row r="3025" spans="2:12">
      <c r="B3025" s="1" t="s">
        <v>667</v>
      </c>
      <c r="C3025" s="1" t="s">
        <v>336</v>
      </c>
      <c r="D3025" s="52">
        <v>46061.417361111111</v>
      </c>
      <c r="E3025" s="52">
        <v>46061.417361111111</v>
      </c>
      <c r="F3025" s="52">
        <v>46061.418055555558</v>
      </c>
      <c r="G3025" s="53">
        <v>4.9768518518518521E-4</v>
      </c>
      <c r="H3025" s="1" t="s">
        <v>257</v>
      </c>
      <c r="J3025" s="1" t="s">
        <v>371</v>
      </c>
      <c r="K3025" s="1" t="s">
        <v>653</v>
      </c>
      <c r="L3025" s="1" t="s">
        <v>1685</v>
      </c>
    </row>
    <row r="3026" spans="2:12">
      <c r="B3026" s="1" t="s">
        <v>667</v>
      </c>
      <c r="C3026" s="1" t="s">
        <v>336</v>
      </c>
      <c r="D3026" s="52">
        <v>46061.410416666666</v>
      </c>
      <c r="E3026" s="52">
        <v>46061.410416666666</v>
      </c>
      <c r="F3026" s="52">
        <v>46061.410416666666</v>
      </c>
      <c r="G3026" s="53">
        <v>5.0925925925925921E-4</v>
      </c>
      <c r="H3026" s="1" t="s">
        <v>257</v>
      </c>
      <c r="J3026" s="1" t="s">
        <v>371</v>
      </c>
      <c r="K3026" s="1" t="s">
        <v>653</v>
      </c>
      <c r="L3026" s="1" t="s">
        <v>1686</v>
      </c>
    </row>
    <row r="3027" spans="2:12">
      <c r="B3027" s="1" t="s">
        <v>667</v>
      </c>
      <c r="C3027" s="1" t="s">
        <v>336</v>
      </c>
      <c r="D3027" s="52">
        <v>46061.37222222222</v>
      </c>
      <c r="E3027" s="52">
        <v>46061.37222222222</v>
      </c>
      <c r="F3027" s="52">
        <v>46061.372916666667</v>
      </c>
      <c r="G3027" s="53">
        <v>5.4398148148148144E-4</v>
      </c>
      <c r="H3027" s="1" t="s">
        <v>257</v>
      </c>
      <c r="J3027" s="1" t="s">
        <v>371</v>
      </c>
      <c r="K3027" s="1" t="s">
        <v>653</v>
      </c>
      <c r="L3027" s="1" t="s">
        <v>1687</v>
      </c>
    </row>
    <row r="3028" spans="2:12">
      <c r="B3028" s="1" t="s">
        <v>667</v>
      </c>
      <c r="C3028" s="1" t="s">
        <v>336</v>
      </c>
      <c r="D3028" s="52">
        <v>46061.361111111109</v>
      </c>
      <c r="E3028" s="52">
        <v>46061.361111111109</v>
      </c>
      <c r="F3028" s="52">
        <v>46061.361111111109</v>
      </c>
      <c r="G3028" s="53">
        <v>5.2083333333333333E-4</v>
      </c>
      <c r="H3028" s="1" t="s">
        <v>257</v>
      </c>
      <c r="J3028" s="1" t="s">
        <v>371</v>
      </c>
      <c r="K3028" s="1" t="s">
        <v>653</v>
      </c>
      <c r="L3028" s="1" t="s">
        <v>1688</v>
      </c>
    </row>
    <row r="3029" spans="2:12">
      <c r="B3029" s="1" t="s">
        <v>667</v>
      </c>
      <c r="C3029" s="1" t="s">
        <v>336</v>
      </c>
      <c r="D3029" s="52">
        <v>46061.348611111112</v>
      </c>
      <c r="E3029" s="52">
        <v>46061.348611111112</v>
      </c>
      <c r="F3029" s="52">
        <v>46061.349305555559</v>
      </c>
      <c r="G3029" s="53">
        <v>5.0925925925925921E-4</v>
      </c>
      <c r="H3029" s="1" t="s">
        <v>257</v>
      </c>
      <c r="J3029" s="1" t="s">
        <v>371</v>
      </c>
      <c r="K3029" s="1" t="s">
        <v>653</v>
      </c>
      <c r="L3029" s="1" t="s">
        <v>1689</v>
      </c>
    </row>
    <row r="3030" spans="2:12">
      <c r="B3030" s="1" t="s">
        <v>667</v>
      </c>
      <c r="C3030" s="1" t="s">
        <v>336</v>
      </c>
      <c r="D3030" s="52">
        <v>46061.337500000001</v>
      </c>
      <c r="E3030" s="52">
        <v>46061.337500000001</v>
      </c>
      <c r="F3030" s="52">
        <v>46061.338194444441</v>
      </c>
      <c r="G3030" s="53">
        <v>5.2083333333333333E-4</v>
      </c>
      <c r="H3030" s="1" t="s">
        <v>257</v>
      </c>
      <c r="J3030" s="1" t="s">
        <v>371</v>
      </c>
      <c r="K3030" s="1" t="s">
        <v>653</v>
      </c>
      <c r="L3030" s="1" t="s">
        <v>1690</v>
      </c>
    </row>
    <row r="3031" spans="2:12">
      <c r="B3031" s="1" t="s">
        <v>667</v>
      </c>
      <c r="C3031" s="1" t="s">
        <v>336</v>
      </c>
      <c r="D3031" s="52">
        <v>46061.240277777775</v>
      </c>
      <c r="E3031" s="52">
        <v>46061.240277777775</v>
      </c>
      <c r="F3031" s="52">
        <v>46061.270833333336</v>
      </c>
      <c r="G3031" s="53">
        <v>3.0266203703703705E-2</v>
      </c>
      <c r="H3031" s="1" t="s">
        <v>257</v>
      </c>
      <c r="J3031" s="1" t="s">
        <v>371</v>
      </c>
      <c r="K3031" s="1" t="s">
        <v>653</v>
      </c>
      <c r="L3031" s="1" t="s">
        <v>1691</v>
      </c>
    </row>
    <row r="3032" spans="2:12">
      <c r="B3032" s="1" t="s">
        <v>667</v>
      </c>
      <c r="C3032" s="1" t="s">
        <v>336</v>
      </c>
      <c r="D3032" s="52">
        <v>46061.240277777775</v>
      </c>
      <c r="E3032" s="52">
        <v>46061.240277777775</v>
      </c>
      <c r="F3032" s="52">
        <v>46061.270833333336</v>
      </c>
      <c r="G3032" s="53">
        <v>3.0659722222222224E-2</v>
      </c>
      <c r="H3032" s="1" t="s">
        <v>257</v>
      </c>
      <c r="J3032" s="1" t="s">
        <v>371</v>
      </c>
      <c r="K3032" s="1" t="s">
        <v>653</v>
      </c>
      <c r="L3032" s="1" t="s">
        <v>1692</v>
      </c>
    </row>
    <row r="3033" spans="2:12">
      <c r="B3033" s="1" t="s">
        <v>667</v>
      </c>
      <c r="C3033" s="1" t="s">
        <v>336</v>
      </c>
      <c r="D3033" s="52">
        <v>46060.748611111114</v>
      </c>
      <c r="E3033" s="52">
        <v>46060.748611111114</v>
      </c>
      <c r="F3033" s="52">
        <v>46060.788194444445</v>
      </c>
      <c r="G3033" s="53">
        <v>3.9537037037037037E-2</v>
      </c>
      <c r="H3033" s="1" t="s">
        <v>257</v>
      </c>
      <c r="J3033" s="1" t="s">
        <v>371</v>
      </c>
      <c r="K3033" s="1" t="s">
        <v>653</v>
      </c>
      <c r="L3033" s="1" t="s">
        <v>1693</v>
      </c>
    </row>
    <row r="3034" spans="2:12">
      <c r="B3034" s="1" t="s">
        <v>667</v>
      </c>
      <c r="C3034" s="1" t="s">
        <v>336</v>
      </c>
      <c r="D3034" s="52">
        <v>46060.74722222222</v>
      </c>
      <c r="E3034" s="52">
        <v>46060.74722222222</v>
      </c>
      <c r="F3034" s="52">
        <v>46060.747916666667</v>
      </c>
      <c r="G3034" s="53">
        <v>5.0925925925925921E-4</v>
      </c>
      <c r="H3034" s="1" t="s">
        <v>257</v>
      </c>
      <c r="J3034" s="1" t="s">
        <v>371</v>
      </c>
      <c r="K3034" s="1" t="s">
        <v>653</v>
      </c>
      <c r="L3034" s="1" t="s">
        <v>1694</v>
      </c>
    </row>
    <row r="3035" spans="2:12">
      <c r="B3035" s="1" t="s">
        <v>667</v>
      </c>
      <c r="C3035" s="1" t="s">
        <v>336</v>
      </c>
      <c r="D3035" s="52">
        <v>46060.625694444447</v>
      </c>
      <c r="E3035" s="52">
        <v>46060.625694444447</v>
      </c>
      <c r="F3035" s="52">
        <v>46060.626388888886</v>
      </c>
      <c r="G3035" s="53">
        <v>4.9768518518518521E-4</v>
      </c>
      <c r="H3035" s="1" t="s">
        <v>257</v>
      </c>
      <c r="J3035" s="1" t="s">
        <v>371</v>
      </c>
      <c r="K3035" s="1" t="s">
        <v>653</v>
      </c>
      <c r="L3035" s="1" t="s">
        <v>1695</v>
      </c>
    </row>
    <row r="3036" spans="2:12">
      <c r="B3036" s="1" t="s">
        <v>667</v>
      </c>
      <c r="C3036" s="1" t="s">
        <v>336</v>
      </c>
      <c r="D3036" s="52">
        <v>46060.601388888892</v>
      </c>
      <c r="E3036" s="52">
        <v>46060.601388888892</v>
      </c>
      <c r="F3036" s="52">
        <v>46060.602083333331</v>
      </c>
      <c r="G3036" s="53">
        <v>5.2083333333333333E-4</v>
      </c>
      <c r="H3036" s="1" t="s">
        <v>257</v>
      </c>
      <c r="J3036" s="1" t="s">
        <v>371</v>
      </c>
      <c r="K3036" s="1" t="s">
        <v>653</v>
      </c>
      <c r="L3036" s="1" t="s">
        <v>1696</v>
      </c>
    </row>
    <row r="3037" spans="2:12">
      <c r="B3037" s="1" t="s">
        <v>667</v>
      </c>
      <c r="C3037" s="1" t="s">
        <v>336</v>
      </c>
      <c r="D3037" s="52">
        <v>46060.576388888891</v>
      </c>
      <c r="E3037" s="52">
        <v>46060.576388888891</v>
      </c>
      <c r="F3037" s="52">
        <v>46060.57708333333</v>
      </c>
      <c r="G3037" s="53">
        <v>5.2083333333333333E-4</v>
      </c>
      <c r="H3037" s="1" t="s">
        <v>257</v>
      </c>
      <c r="J3037" s="1" t="s">
        <v>371</v>
      </c>
      <c r="K3037" s="1" t="s">
        <v>653</v>
      </c>
      <c r="L3037" s="1" t="s">
        <v>1697</v>
      </c>
    </row>
    <row r="3038" spans="2:12">
      <c r="B3038" s="1" t="s">
        <v>667</v>
      </c>
      <c r="C3038" s="1" t="s">
        <v>336</v>
      </c>
      <c r="D3038" s="52">
        <v>46060.565972222219</v>
      </c>
      <c r="E3038" s="52">
        <v>46060.565972222219</v>
      </c>
      <c r="F3038" s="52">
        <v>46060.565972222219</v>
      </c>
      <c r="G3038" s="53">
        <v>5.2083333333333333E-4</v>
      </c>
      <c r="H3038" s="1" t="s">
        <v>257</v>
      </c>
      <c r="J3038" s="1" t="s">
        <v>371</v>
      </c>
      <c r="K3038" s="1" t="s">
        <v>653</v>
      </c>
      <c r="L3038" s="1" t="s">
        <v>1698</v>
      </c>
    </row>
    <row r="3039" spans="2:12">
      <c r="B3039" s="1" t="s">
        <v>667</v>
      </c>
      <c r="C3039" s="1" t="s">
        <v>336</v>
      </c>
      <c r="D3039" s="52">
        <v>46060.549305555556</v>
      </c>
      <c r="E3039" s="52">
        <v>46060.549305555556</v>
      </c>
      <c r="F3039" s="52">
        <v>46060.549305555556</v>
      </c>
      <c r="G3039" s="53">
        <v>5.4398148148148144E-4</v>
      </c>
      <c r="H3039" s="1" t="s">
        <v>257</v>
      </c>
      <c r="J3039" s="1" t="s">
        <v>371</v>
      </c>
      <c r="K3039" s="1" t="s">
        <v>653</v>
      </c>
      <c r="L3039" s="1" t="s">
        <v>1699</v>
      </c>
    </row>
    <row r="3040" spans="2:12">
      <c r="B3040" s="1" t="s">
        <v>667</v>
      </c>
      <c r="C3040" s="1" t="s">
        <v>336</v>
      </c>
      <c r="D3040" s="52">
        <v>46060.535416666666</v>
      </c>
      <c r="E3040" s="52">
        <v>46060.535416666666</v>
      </c>
      <c r="F3040" s="52">
        <v>46060.538194444445</v>
      </c>
      <c r="G3040" s="53">
        <v>2.673611111111111E-3</v>
      </c>
      <c r="H3040" s="1" t="s">
        <v>257</v>
      </c>
      <c r="J3040" s="1" t="s">
        <v>371</v>
      </c>
      <c r="K3040" s="1" t="s">
        <v>653</v>
      </c>
      <c r="L3040" s="1" t="s">
        <v>1700</v>
      </c>
    </row>
    <row r="3041" spans="2:12">
      <c r="B3041" s="1" t="s">
        <v>667</v>
      </c>
      <c r="C3041" s="1" t="s">
        <v>336</v>
      </c>
      <c r="D3041" s="52">
        <v>46060.521527777775</v>
      </c>
      <c r="E3041" s="52">
        <v>46060.521527777775</v>
      </c>
      <c r="F3041" s="52">
        <v>46060.522222222222</v>
      </c>
      <c r="G3041" s="53">
        <v>9.7222222222222219E-4</v>
      </c>
      <c r="H3041" s="1" t="s">
        <v>257</v>
      </c>
      <c r="J3041" s="1" t="s">
        <v>371</v>
      </c>
      <c r="K3041" s="1" t="s">
        <v>653</v>
      </c>
      <c r="L3041" s="1" t="s">
        <v>1701</v>
      </c>
    </row>
    <row r="3042" spans="2:12">
      <c r="B3042" s="1" t="s">
        <v>667</v>
      </c>
      <c r="C3042" s="1" t="s">
        <v>336</v>
      </c>
      <c r="D3042" s="52">
        <v>46060.519444444442</v>
      </c>
      <c r="E3042" s="52">
        <v>46060.519444444442</v>
      </c>
      <c r="F3042" s="52">
        <v>46060.520138888889</v>
      </c>
      <c r="G3042" s="53">
        <v>5.4398148148148144E-4</v>
      </c>
      <c r="H3042" s="1" t="s">
        <v>257</v>
      </c>
      <c r="J3042" s="1" t="s">
        <v>371</v>
      </c>
      <c r="K3042" s="1" t="s">
        <v>653</v>
      </c>
      <c r="L3042" s="1" t="s">
        <v>1702</v>
      </c>
    </row>
    <row r="3043" spans="2:12">
      <c r="B3043" s="1" t="s">
        <v>667</v>
      </c>
      <c r="C3043" s="1" t="s">
        <v>336</v>
      </c>
      <c r="D3043" s="52">
        <v>46060.501388888886</v>
      </c>
      <c r="E3043" s="52">
        <v>46060.501388888886</v>
      </c>
      <c r="F3043" s="52">
        <v>46060.502083333333</v>
      </c>
      <c r="G3043" s="53">
        <v>5.4398148148148144E-4</v>
      </c>
      <c r="H3043" s="1" t="s">
        <v>257</v>
      </c>
      <c r="J3043" s="1" t="s">
        <v>371</v>
      </c>
      <c r="K3043" s="1" t="s">
        <v>653</v>
      </c>
      <c r="L3043" s="1" t="s">
        <v>1703</v>
      </c>
    </row>
    <row r="3044" spans="2:12">
      <c r="B3044" s="1" t="s">
        <v>667</v>
      </c>
      <c r="C3044" s="1" t="s">
        <v>336</v>
      </c>
      <c r="D3044" s="52">
        <v>46060.488888888889</v>
      </c>
      <c r="E3044" s="52">
        <v>46060.488888888889</v>
      </c>
      <c r="F3044" s="52">
        <v>46060.489583333336</v>
      </c>
      <c r="G3044" s="53">
        <v>5.4398148148148144E-4</v>
      </c>
      <c r="H3044" s="1" t="s">
        <v>257</v>
      </c>
      <c r="J3044" s="1" t="s">
        <v>371</v>
      </c>
      <c r="K3044" s="1" t="s">
        <v>653</v>
      </c>
      <c r="L3044" s="1" t="s">
        <v>1704</v>
      </c>
    </row>
    <row r="3045" spans="2:12">
      <c r="B3045" s="1" t="s">
        <v>667</v>
      </c>
      <c r="C3045" s="1" t="s">
        <v>336</v>
      </c>
      <c r="D3045" s="52">
        <v>46060.476388888892</v>
      </c>
      <c r="E3045" s="52">
        <v>46060.476388888892</v>
      </c>
      <c r="F3045" s="52">
        <v>46060.477083333331</v>
      </c>
      <c r="G3045" s="53">
        <v>5.4398148148148144E-4</v>
      </c>
      <c r="H3045" s="1" t="s">
        <v>257</v>
      </c>
      <c r="J3045" s="1" t="s">
        <v>371</v>
      </c>
      <c r="K3045" s="1" t="s">
        <v>653</v>
      </c>
      <c r="L3045" s="1" t="s">
        <v>1705</v>
      </c>
    </row>
    <row r="3046" spans="2:12">
      <c r="B3046" s="1" t="s">
        <v>667</v>
      </c>
      <c r="C3046" s="1" t="s">
        <v>336</v>
      </c>
      <c r="D3046" s="52">
        <v>46060.463194444441</v>
      </c>
      <c r="E3046" s="52">
        <v>46060.463194444441</v>
      </c>
      <c r="F3046" s="52">
        <v>46060.463888888888</v>
      </c>
      <c r="G3046" s="53">
        <v>5.4398148148148144E-4</v>
      </c>
      <c r="H3046" s="1" t="s">
        <v>257</v>
      </c>
      <c r="J3046" s="1" t="s">
        <v>371</v>
      </c>
      <c r="K3046" s="1" t="s">
        <v>653</v>
      </c>
      <c r="L3046" s="1" t="s">
        <v>1706</v>
      </c>
    </row>
    <row r="3047" spans="2:12">
      <c r="B3047" s="1" t="s">
        <v>667</v>
      </c>
      <c r="C3047" s="1" t="s">
        <v>336</v>
      </c>
      <c r="D3047" s="52">
        <v>46060.45</v>
      </c>
      <c r="E3047" s="52">
        <v>46060.45</v>
      </c>
      <c r="F3047" s="52">
        <v>46060.450694444444</v>
      </c>
      <c r="G3047" s="53">
        <v>7.6388888888888893E-4</v>
      </c>
      <c r="H3047" s="1" t="s">
        <v>257</v>
      </c>
      <c r="J3047" s="1" t="s">
        <v>371</v>
      </c>
      <c r="K3047" s="1" t="s">
        <v>653</v>
      </c>
      <c r="L3047" s="1" t="s">
        <v>1707</v>
      </c>
    </row>
    <row r="3048" spans="2:12">
      <c r="B3048" s="1" t="s">
        <v>667</v>
      </c>
      <c r="C3048" s="1" t="s">
        <v>336</v>
      </c>
      <c r="D3048" s="52">
        <v>46060.440972222219</v>
      </c>
      <c r="E3048" s="52">
        <v>46060.440972222219</v>
      </c>
      <c r="F3048" s="52">
        <v>46060.441666666666</v>
      </c>
      <c r="G3048" s="53">
        <v>5.4398148148148144E-4</v>
      </c>
      <c r="H3048" s="1" t="s">
        <v>257</v>
      </c>
      <c r="J3048" s="1" t="s">
        <v>371</v>
      </c>
      <c r="K3048" s="1" t="s">
        <v>653</v>
      </c>
      <c r="L3048" s="1" t="s">
        <v>1708</v>
      </c>
    </row>
    <row r="3049" spans="2:12">
      <c r="B3049" s="1" t="s">
        <v>667</v>
      </c>
      <c r="C3049" s="1" t="s">
        <v>336</v>
      </c>
      <c r="D3049" s="52">
        <v>46060.426388888889</v>
      </c>
      <c r="E3049" s="52">
        <v>46060.426388888889</v>
      </c>
      <c r="F3049" s="52">
        <v>46060.427083333336</v>
      </c>
      <c r="G3049" s="53">
        <v>5.3240740740740744E-4</v>
      </c>
      <c r="H3049" s="1" t="s">
        <v>257</v>
      </c>
      <c r="J3049" s="1" t="s">
        <v>371</v>
      </c>
      <c r="K3049" s="1" t="s">
        <v>653</v>
      </c>
      <c r="L3049" s="1" t="s">
        <v>1709</v>
      </c>
    </row>
    <row r="3050" spans="2:12">
      <c r="B3050" s="1" t="s">
        <v>667</v>
      </c>
      <c r="C3050" s="1" t="s">
        <v>336</v>
      </c>
      <c r="D3050" s="52">
        <v>46060.415277777778</v>
      </c>
      <c r="E3050" s="52">
        <v>46060.415277777778</v>
      </c>
      <c r="F3050" s="52">
        <v>46060.415972222225</v>
      </c>
      <c r="G3050" s="53">
        <v>1.1342592592592593E-3</v>
      </c>
      <c r="H3050" s="1" t="s">
        <v>257</v>
      </c>
      <c r="J3050" s="1" t="s">
        <v>371</v>
      </c>
      <c r="K3050" s="1" t="s">
        <v>653</v>
      </c>
      <c r="L3050" s="1" t="s">
        <v>1710</v>
      </c>
    </row>
    <row r="3051" spans="2:12">
      <c r="B3051" s="1" t="s">
        <v>667</v>
      </c>
      <c r="C3051" s="1" t="s">
        <v>336</v>
      </c>
      <c r="D3051" s="52">
        <v>46060.399305555555</v>
      </c>
      <c r="E3051" s="52">
        <v>46060.399305555555</v>
      </c>
      <c r="F3051" s="52">
        <v>46060.401388888888</v>
      </c>
      <c r="G3051" s="53">
        <v>2.3032407407407407E-3</v>
      </c>
      <c r="H3051" s="1" t="s">
        <v>257</v>
      </c>
      <c r="J3051" s="1" t="s">
        <v>371</v>
      </c>
      <c r="K3051" s="1" t="s">
        <v>653</v>
      </c>
      <c r="L3051" s="1" t="s">
        <v>1711</v>
      </c>
    </row>
    <row r="3052" spans="2:12">
      <c r="B3052" s="1" t="s">
        <v>667</v>
      </c>
      <c r="C3052" s="1" t="s">
        <v>336</v>
      </c>
      <c r="D3052" s="52">
        <v>46060.375</v>
      </c>
      <c r="E3052" s="52">
        <v>46060.375</v>
      </c>
      <c r="F3052" s="52">
        <v>46060.375694444447</v>
      </c>
      <c r="G3052" s="53">
        <v>9.7222222222222219E-4</v>
      </c>
      <c r="H3052" s="1" t="s">
        <v>257</v>
      </c>
      <c r="J3052" s="1" t="s">
        <v>371</v>
      </c>
      <c r="K3052" s="1" t="s">
        <v>653</v>
      </c>
      <c r="L3052" s="1" t="s">
        <v>1712</v>
      </c>
    </row>
    <row r="3053" spans="2:12">
      <c r="B3053" s="1" t="s">
        <v>667</v>
      </c>
      <c r="C3053" s="1" t="s">
        <v>336</v>
      </c>
      <c r="D3053" s="52">
        <v>46060.373611111114</v>
      </c>
      <c r="E3053" s="52">
        <v>46060.373611111114</v>
      </c>
      <c r="F3053" s="52">
        <v>46060.374305555553</v>
      </c>
      <c r="G3053" s="53">
        <v>8.564814814814815E-4</v>
      </c>
      <c r="H3053" s="1" t="s">
        <v>257</v>
      </c>
      <c r="J3053" s="1" t="s">
        <v>371</v>
      </c>
      <c r="K3053" s="1" t="s">
        <v>653</v>
      </c>
      <c r="L3053" s="1" t="s">
        <v>1713</v>
      </c>
    </row>
    <row r="3054" spans="2:12">
      <c r="B3054" s="1" t="s">
        <v>667</v>
      </c>
      <c r="C3054" s="1" t="s">
        <v>336</v>
      </c>
      <c r="D3054" s="52">
        <v>46060.364583333336</v>
      </c>
      <c r="E3054" s="52">
        <v>46060.364583333336</v>
      </c>
      <c r="F3054" s="52">
        <v>46060.365277777775</v>
      </c>
      <c r="G3054" s="53">
        <v>5.5555555555555556E-4</v>
      </c>
      <c r="H3054" s="1" t="s">
        <v>257</v>
      </c>
      <c r="J3054" s="1" t="s">
        <v>371</v>
      </c>
      <c r="K3054" s="1" t="s">
        <v>653</v>
      </c>
      <c r="L3054" s="1" t="s">
        <v>1714</v>
      </c>
    </row>
    <row r="3055" spans="2:12">
      <c r="B3055" s="1" t="s">
        <v>667</v>
      </c>
      <c r="C3055" s="1" t="s">
        <v>336</v>
      </c>
      <c r="D3055" s="52">
        <v>46060.344444444447</v>
      </c>
      <c r="E3055" s="52">
        <v>46060.344444444447</v>
      </c>
      <c r="F3055" s="52">
        <v>46060.344444444447</v>
      </c>
      <c r="G3055" s="53">
        <v>5.4398148148148144E-4</v>
      </c>
      <c r="H3055" s="1" t="s">
        <v>257</v>
      </c>
      <c r="J3055" s="1" t="s">
        <v>371</v>
      </c>
      <c r="K3055" s="1" t="s">
        <v>653</v>
      </c>
      <c r="L3055" s="1" t="s">
        <v>1715</v>
      </c>
    </row>
    <row r="3056" spans="2:12">
      <c r="B3056" s="1" t="s">
        <v>667</v>
      </c>
      <c r="C3056" s="1" t="s">
        <v>336</v>
      </c>
      <c r="D3056" s="52">
        <v>46060.328472222223</v>
      </c>
      <c r="E3056" s="52">
        <v>46060.328472222223</v>
      </c>
      <c r="F3056" s="52">
        <v>46060.32916666667</v>
      </c>
      <c r="G3056" s="53">
        <v>5.4398148148148144E-4</v>
      </c>
      <c r="H3056" s="1" t="s">
        <v>257</v>
      </c>
      <c r="J3056" s="1" t="s">
        <v>371</v>
      </c>
      <c r="K3056" s="1" t="s">
        <v>653</v>
      </c>
      <c r="L3056" s="1" t="s">
        <v>1716</v>
      </c>
    </row>
    <row r="3057" spans="2:12">
      <c r="B3057" s="1" t="s">
        <v>667</v>
      </c>
      <c r="C3057" s="1" t="s">
        <v>336</v>
      </c>
      <c r="D3057" s="52">
        <v>46060.313888888886</v>
      </c>
      <c r="E3057" s="52">
        <v>46060.313888888886</v>
      </c>
      <c r="F3057" s="52">
        <v>46060.314583333333</v>
      </c>
      <c r="G3057" s="53">
        <v>5.2083333333333333E-4</v>
      </c>
      <c r="H3057" s="1" t="s">
        <v>257</v>
      </c>
      <c r="J3057" s="1" t="s">
        <v>371</v>
      </c>
      <c r="K3057" s="1" t="s">
        <v>653</v>
      </c>
      <c r="L3057" s="1" t="s">
        <v>1717</v>
      </c>
    </row>
    <row r="3058" spans="2:12">
      <c r="B3058" s="1" t="s">
        <v>667</v>
      </c>
      <c r="C3058" s="1" t="s">
        <v>336</v>
      </c>
      <c r="D3058" s="52">
        <v>46060.306944444441</v>
      </c>
      <c r="E3058" s="52">
        <v>46060.306944444441</v>
      </c>
      <c r="F3058" s="52">
        <v>46060.307638888888</v>
      </c>
      <c r="G3058" s="53">
        <v>5.7870370370370367E-4</v>
      </c>
      <c r="H3058" s="1" t="s">
        <v>257</v>
      </c>
      <c r="J3058" s="1" t="s">
        <v>371</v>
      </c>
      <c r="K3058" s="1" t="s">
        <v>653</v>
      </c>
      <c r="L3058" s="1" t="s">
        <v>1718</v>
      </c>
    </row>
    <row r="3059" spans="2:12">
      <c r="B3059" s="1" t="s">
        <v>667</v>
      </c>
      <c r="C3059" s="1" t="s">
        <v>336</v>
      </c>
      <c r="D3059" s="52">
        <v>46060.302083333336</v>
      </c>
      <c r="E3059" s="52">
        <v>46060.302083333336</v>
      </c>
      <c r="F3059" s="52">
        <v>46060.302777777775</v>
      </c>
      <c r="G3059" s="53">
        <v>7.6388888888888893E-4</v>
      </c>
      <c r="H3059" s="1" t="s">
        <v>257</v>
      </c>
      <c r="J3059" s="1" t="s">
        <v>371</v>
      </c>
      <c r="K3059" s="1" t="s">
        <v>653</v>
      </c>
      <c r="L3059" s="1" t="s">
        <v>1719</v>
      </c>
    </row>
    <row r="3060" spans="2:12">
      <c r="B3060" s="1" t="s">
        <v>667</v>
      </c>
      <c r="C3060" s="1" t="s">
        <v>336</v>
      </c>
      <c r="D3060" s="52">
        <v>46060.293055555558</v>
      </c>
      <c r="E3060" s="52">
        <v>46060.293055555558</v>
      </c>
      <c r="F3060" s="52">
        <v>46060.293749999997</v>
      </c>
      <c r="G3060" s="53">
        <v>7.1759259259259259E-4</v>
      </c>
      <c r="H3060" s="1" t="s">
        <v>257</v>
      </c>
      <c r="J3060" s="1" t="s">
        <v>371</v>
      </c>
      <c r="K3060" s="1" t="s">
        <v>653</v>
      </c>
      <c r="L3060" s="1" t="s">
        <v>1720</v>
      </c>
    </row>
    <row r="3061" spans="2:12">
      <c r="B3061" s="1" t="s">
        <v>667</v>
      </c>
      <c r="C3061" s="1" t="s">
        <v>336</v>
      </c>
      <c r="D3061" s="52">
        <v>46060.285416666666</v>
      </c>
      <c r="E3061" s="52">
        <v>46060.285416666666</v>
      </c>
      <c r="F3061" s="52">
        <v>46060.285416666666</v>
      </c>
      <c r="G3061" s="53">
        <v>5.6712962962962967E-4</v>
      </c>
      <c r="H3061" s="1" t="s">
        <v>257</v>
      </c>
      <c r="J3061" s="1" t="s">
        <v>371</v>
      </c>
      <c r="K3061" s="1" t="s">
        <v>653</v>
      </c>
      <c r="L3061" s="1" t="s">
        <v>1721</v>
      </c>
    </row>
    <row r="3062" spans="2:12">
      <c r="B3062" s="1" t="s">
        <v>667</v>
      </c>
      <c r="C3062" s="1" t="s">
        <v>336</v>
      </c>
      <c r="D3062" s="52">
        <v>46060.23541666667</v>
      </c>
      <c r="E3062" s="52">
        <v>46060.23541666667</v>
      </c>
      <c r="F3062" s="52">
        <v>46060.262499999997</v>
      </c>
      <c r="G3062" s="53">
        <v>2.7337962962962963E-2</v>
      </c>
      <c r="H3062" s="1" t="s">
        <v>257</v>
      </c>
      <c r="J3062" s="1" t="s">
        <v>371</v>
      </c>
      <c r="K3062" s="1" t="s">
        <v>653</v>
      </c>
      <c r="L3062" s="1" t="s">
        <v>1722</v>
      </c>
    </row>
    <row r="3063" spans="2:12">
      <c r="B3063" s="1" t="s">
        <v>667</v>
      </c>
      <c r="C3063" s="1" t="s">
        <v>336</v>
      </c>
      <c r="D3063" s="52">
        <v>46060.234722222223</v>
      </c>
      <c r="E3063" s="52">
        <v>46060.234722222223</v>
      </c>
      <c r="F3063" s="52">
        <v>46060.262499999997</v>
      </c>
      <c r="G3063" s="53">
        <v>2.7731481481481482E-2</v>
      </c>
      <c r="H3063" s="1" t="s">
        <v>257</v>
      </c>
      <c r="J3063" s="1" t="s">
        <v>371</v>
      </c>
      <c r="K3063" s="1" t="s">
        <v>653</v>
      </c>
      <c r="L3063" s="1" t="s">
        <v>1723</v>
      </c>
    </row>
    <row r="3064" spans="2:12">
      <c r="B3064" s="1" t="s">
        <v>667</v>
      </c>
      <c r="C3064" s="1" t="s">
        <v>336</v>
      </c>
      <c r="D3064" s="52">
        <v>46059.760416666664</v>
      </c>
      <c r="E3064" s="52">
        <v>46059.760416666664</v>
      </c>
      <c r="F3064" s="52">
        <v>46059.761805555558</v>
      </c>
      <c r="G3064" s="53">
        <v>1.5046296296296296E-3</v>
      </c>
      <c r="H3064" s="1" t="s">
        <v>257</v>
      </c>
      <c r="J3064" s="1" t="s">
        <v>371</v>
      </c>
      <c r="K3064" s="1" t="s">
        <v>653</v>
      </c>
      <c r="L3064" s="1" t="s">
        <v>1724</v>
      </c>
    </row>
    <row r="3065" spans="2:12">
      <c r="B3065" s="1" t="s">
        <v>667</v>
      </c>
      <c r="C3065" s="1" t="s">
        <v>336</v>
      </c>
      <c r="D3065" s="52">
        <v>46059.702777777777</v>
      </c>
      <c r="E3065" s="52">
        <v>46059.702777777777</v>
      </c>
      <c r="F3065" s="52">
        <v>46059.70416666667</v>
      </c>
      <c r="G3065" s="53">
        <v>1.4004629629629629E-3</v>
      </c>
      <c r="H3065" s="1" t="s">
        <v>257</v>
      </c>
      <c r="J3065" s="1" t="s">
        <v>371</v>
      </c>
      <c r="K3065" s="1" t="s">
        <v>653</v>
      </c>
      <c r="L3065" s="1" t="s">
        <v>1725</v>
      </c>
    </row>
    <row r="3066" spans="2:12">
      <c r="B3066" s="1" t="s">
        <v>667</v>
      </c>
      <c r="C3066" s="1" t="s">
        <v>336</v>
      </c>
      <c r="D3066" s="52">
        <v>46059.686111111114</v>
      </c>
      <c r="E3066" s="52">
        <v>46059.686111111114</v>
      </c>
      <c r="F3066" s="52">
        <v>46059.686805555553</v>
      </c>
      <c r="G3066" s="53">
        <v>5.4398148148148144E-4</v>
      </c>
      <c r="H3066" s="1" t="s">
        <v>257</v>
      </c>
      <c r="J3066" s="1" t="s">
        <v>371</v>
      </c>
      <c r="K3066" s="1" t="s">
        <v>653</v>
      </c>
      <c r="L3066" s="1" t="s">
        <v>1726</v>
      </c>
    </row>
    <row r="3067" spans="2:12">
      <c r="B3067" s="1" t="s">
        <v>667</v>
      </c>
      <c r="C3067" s="1" t="s">
        <v>336</v>
      </c>
      <c r="D3067" s="52">
        <v>46059.674305555556</v>
      </c>
      <c r="E3067" s="52">
        <v>46059.674305555556</v>
      </c>
      <c r="F3067" s="52">
        <v>46059.675000000003</v>
      </c>
      <c r="G3067" s="53">
        <v>5.3240740740740744E-4</v>
      </c>
      <c r="H3067" s="1" t="s">
        <v>257</v>
      </c>
      <c r="J3067" s="1" t="s">
        <v>371</v>
      </c>
      <c r="K3067" s="1" t="s">
        <v>653</v>
      </c>
      <c r="L3067" s="1" t="s">
        <v>1727</v>
      </c>
    </row>
    <row r="3068" spans="2:12">
      <c r="B3068" s="1" t="s">
        <v>667</v>
      </c>
      <c r="C3068" s="1" t="s">
        <v>336</v>
      </c>
      <c r="D3068" s="52">
        <v>46059.652083333334</v>
      </c>
      <c r="E3068" s="52">
        <v>46059.652083333334</v>
      </c>
      <c r="F3068" s="52">
        <v>46059.652777777781</v>
      </c>
      <c r="G3068" s="53">
        <v>5.4398148148148144E-4</v>
      </c>
      <c r="H3068" s="1" t="s">
        <v>257</v>
      </c>
      <c r="J3068" s="1" t="s">
        <v>371</v>
      </c>
      <c r="K3068" s="1" t="s">
        <v>653</v>
      </c>
      <c r="L3068" s="1" t="s">
        <v>1728</v>
      </c>
    </row>
    <row r="3069" spans="2:12">
      <c r="B3069" s="1" t="s">
        <v>667</v>
      </c>
      <c r="C3069" s="1" t="s">
        <v>336</v>
      </c>
      <c r="D3069" s="52">
        <v>46059.638888888891</v>
      </c>
      <c r="E3069" s="52">
        <v>46059.638888888891</v>
      </c>
      <c r="F3069" s="52">
        <v>46059.638888888891</v>
      </c>
      <c r="G3069" s="53">
        <v>5.4398148148148144E-4</v>
      </c>
      <c r="H3069" s="1" t="s">
        <v>257</v>
      </c>
      <c r="J3069" s="1" t="s">
        <v>371</v>
      </c>
      <c r="K3069" s="1" t="s">
        <v>653</v>
      </c>
      <c r="L3069" s="1" t="s">
        <v>1729</v>
      </c>
    </row>
    <row r="3070" spans="2:12">
      <c r="B3070" s="1" t="s">
        <v>667</v>
      </c>
      <c r="C3070" s="1" t="s">
        <v>336</v>
      </c>
      <c r="D3070" s="52">
        <v>46059.623611111114</v>
      </c>
      <c r="E3070" s="52">
        <v>46059.623611111114</v>
      </c>
      <c r="F3070" s="52">
        <v>46059.623611111114</v>
      </c>
      <c r="G3070" s="53">
        <v>5.5555555555555556E-4</v>
      </c>
      <c r="H3070" s="1" t="s">
        <v>257</v>
      </c>
      <c r="J3070" s="1" t="s">
        <v>371</v>
      </c>
      <c r="K3070" s="1" t="s">
        <v>653</v>
      </c>
      <c r="L3070" s="1" t="s">
        <v>1730</v>
      </c>
    </row>
    <row r="3071" spans="2:12">
      <c r="B3071" s="1" t="s">
        <v>667</v>
      </c>
      <c r="C3071" s="1" t="s">
        <v>336</v>
      </c>
      <c r="D3071" s="52">
        <v>46059.611805555556</v>
      </c>
      <c r="E3071" s="52">
        <v>46059.611805555556</v>
      </c>
      <c r="F3071" s="52">
        <v>46059.612500000003</v>
      </c>
      <c r="G3071" s="53">
        <v>5.4398148148148144E-4</v>
      </c>
      <c r="H3071" s="1" t="s">
        <v>257</v>
      </c>
      <c r="J3071" s="1" t="s">
        <v>371</v>
      </c>
      <c r="K3071" s="1" t="s">
        <v>653</v>
      </c>
      <c r="L3071" s="1" t="s">
        <v>1731</v>
      </c>
    </row>
    <row r="3072" spans="2:12">
      <c r="B3072" s="1" t="s">
        <v>667</v>
      </c>
      <c r="C3072" s="1" t="s">
        <v>336</v>
      </c>
      <c r="D3072" s="52">
        <v>46059.594444444447</v>
      </c>
      <c r="E3072" s="52">
        <v>46059.594444444447</v>
      </c>
      <c r="F3072" s="52">
        <v>46059.595138888886</v>
      </c>
      <c r="G3072" s="53">
        <v>5.3240740740740744E-4</v>
      </c>
      <c r="H3072" s="1" t="s">
        <v>257</v>
      </c>
      <c r="J3072" s="1" t="s">
        <v>371</v>
      </c>
      <c r="K3072" s="1" t="s">
        <v>653</v>
      </c>
      <c r="L3072" s="1" t="s">
        <v>1732</v>
      </c>
    </row>
    <row r="3073" spans="2:12">
      <c r="B3073" s="1" t="s">
        <v>667</v>
      </c>
      <c r="C3073" s="1" t="s">
        <v>336</v>
      </c>
      <c r="D3073" s="52">
        <v>46059.581944444442</v>
      </c>
      <c r="E3073" s="52">
        <v>46059.581944444442</v>
      </c>
      <c r="F3073" s="52">
        <v>46059.582638888889</v>
      </c>
      <c r="G3073" s="53">
        <v>5.4398148148148144E-4</v>
      </c>
      <c r="H3073" s="1" t="s">
        <v>257</v>
      </c>
      <c r="J3073" s="1" t="s">
        <v>371</v>
      </c>
      <c r="K3073" s="1" t="s">
        <v>653</v>
      </c>
      <c r="L3073" s="1" t="s">
        <v>1733</v>
      </c>
    </row>
    <row r="3074" spans="2:12">
      <c r="B3074" s="1" t="s">
        <v>667</v>
      </c>
      <c r="C3074" s="1" t="s">
        <v>336</v>
      </c>
      <c r="D3074" s="52">
        <v>46059.572916666664</v>
      </c>
      <c r="E3074" s="52">
        <v>46059.572916666664</v>
      </c>
      <c r="F3074" s="52">
        <v>46059.573611111111</v>
      </c>
      <c r="G3074" s="53">
        <v>5.4398148148148144E-4</v>
      </c>
      <c r="H3074" s="1" t="s">
        <v>257</v>
      </c>
      <c r="J3074" s="1" t="s">
        <v>371</v>
      </c>
      <c r="K3074" s="1" t="s">
        <v>653</v>
      </c>
      <c r="L3074" s="1" t="s">
        <v>1734</v>
      </c>
    </row>
    <row r="3075" spans="2:12">
      <c r="B3075" s="1" t="s">
        <v>667</v>
      </c>
      <c r="C3075" s="1" t="s">
        <v>336</v>
      </c>
      <c r="D3075" s="52">
        <v>46059.563888888886</v>
      </c>
      <c r="E3075" s="52">
        <v>46059.563888888886</v>
      </c>
      <c r="F3075" s="52">
        <v>46059.564583333333</v>
      </c>
      <c r="G3075" s="53">
        <v>5.4398148148148144E-4</v>
      </c>
      <c r="H3075" s="1" t="s">
        <v>257</v>
      </c>
      <c r="J3075" s="1" t="s">
        <v>371</v>
      </c>
      <c r="K3075" s="1" t="s">
        <v>653</v>
      </c>
      <c r="L3075" s="1" t="s">
        <v>1735</v>
      </c>
    </row>
    <row r="3076" spans="2:12">
      <c r="B3076" s="1" t="s">
        <v>667</v>
      </c>
      <c r="C3076" s="1" t="s">
        <v>336</v>
      </c>
      <c r="D3076" s="52">
        <v>46059.538194444445</v>
      </c>
      <c r="E3076" s="52">
        <v>46059.538194444445</v>
      </c>
      <c r="F3076" s="52">
        <v>46059.538888888892</v>
      </c>
      <c r="G3076" s="53">
        <v>6.018518518518519E-4</v>
      </c>
      <c r="H3076" s="1" t="s">
        <v>257</v>
      </c>
      <c r="J3076" s="1" t="s">
        <v>371</v>
      </c>
      <c r="K3076" s="1" t="s">
        <v>653</v>
      </c>
      <c r="L3076" s="1" t="s">
        <v>1736</v>
      </c>
    </row>
    <row r="3077" spans="2:12">
      <c r="B3077" s="1" t="s">
        <v>667</v>
      </c>
      <c r="C3077" s="1" t="s">
        <v>336</v>
      </c>
      <c r="D3077" s="52">
        <v>46059.523611111108</v>
      </c>
      <c r="E3077" s="52">
        <v>46059.523611111108</v>
      </c>
      <c r="F3077" s="52">
        <v>46059.523611111108</v>
      </c>
      <c r="G3077" s="53">
        <v>6.3657407407407413E-4</v>
      </c>
      <c r="H3077" s="1" t="s">
        <v>257</v>
      </c>
      <c r="J3077" s="1" t="s">
        <v>371</v>
      </c>
      <c r="K3077" s="1" t="s">
        <v>653</v>
      </c>
      <c r="L3077" s="1" t="s">
        <v>1737</v>
      </c>
    </row>
    <row r="3078" spans="2:12">
      <c r="B3078" s="1" t="s">
        <v>667</v>
      </c>
      <c r="C3078" s="1" t="s">
        <v>336</v>
      </c>
      <c r="D3078" s="52">
        <v>46059.513888888891</v>
      </c>
      <c r="E3078" s="52">
        <v>46059.513888888891</v>
      </c>
      <c r="F3078" s="52">
        <v>46059.51458333333</v>
      </c>
      <c r="G3078" s="53">
        <v>5.5555555555555556E-4</v>
      </c>
      <c r="H3078" s="1" t="s">
        <v>257</v>
      </c>
      <c r="J3078" s="1" t="s">
        <v>371</v>
      </c>
      <c r="K3078" s="1" t="s">
        <v>653</v>
      </c>
      <c r="L3078" s="1" t="s">
        <v>1738</v>
      </c>
    </row>
    <row r="3079" spans="2:12">
      <c r="B3079" s="1" t="s">
        <v>667</v>
      </c>
      <c r="C3079" s="1" t="s">
        <v>336</v>
      </c>
      <c r="D3079" s="52">
        <v>46059.50277777778</v>
      </c>
      <c r="E3079" s="52">
        <v>46059.50277777778</v>
      </c>
      <c r="F3079" s="52">
        <v>46059.50277777778</v>
      </c>
      <c r="G3079" s="53">
        <v>5.4398148148148144E-4</v>
      </c>
      <c r="H3079" s="1" t="s">
        <v>257</v>
      </c>
      <c r="J3079" s="1" t="s">
        <v>371</v>
      </c>
      <c r="K3079" s="1" t="s">
        <v>653</v>
      </c>
      <c r="L3079" s="1" t="s">
        <v>1739</v>
      </c>
    </row>
    <row r="3080" spans="2:12">
      <c r="B3080" s="1" t="s">
        <v>667</v>
      </c>
      <c r="C3080" s="1" t="s">
        <v>336</v>
      </c>
      <c r="D3080" s="52">
        <v>46059.492361111108</v>
      </c>
      <c r="E3080" s="52">
        <v>46059.492361111108</v>
      </c>
      <c r="F3080" s="52">
        <v>46059.493055555555</v>
      </c>
      <c r="G3080" s="53">
        <v>5.4398148148148144E-4</v>
      </c>
      <c r="H3080" s="1" t="s">
        <v>257</v>
      </c>
      <c r="J3080" s="1" t="s">
        <v>371</v>
      </c>
      <c r="K3080" s="1" t="s">
        <v>653</v>
      </c>
      <c r="L3080" s="1" t="s">
        <v>1740</v>
      </c>
    </row>
    <row r="3081" spans="2:12">
      <c r="B3081" s="1" t="s">
        <v>667</v>
      </c>
      <c r="C3081" s="1" t="s">
        <v>336</v>
      </c>
      <c r="D3081" s="52">
        <v>46059.467361111114</v>
      </c>
      <c r="E3081" s="52">
        <v>46059.467361111114</v>
      </c>
      <c r="F3081" s="52">
        <v>46059.467361111114</v>
      </c>
      <c r="G3081" s="53">
        <v>5.6712962962962967E-4</v>
      </c>
      <c r="H3081" s="1" t="s">
        <v>257</v>
      </c>
      <c r="J3081" s="1" t="s">
        <v>371</v>
      </c>
      <c r="K3081" s="1" t="s">
        <v>653</v>
      </c>
      <c r="L3081" s="1" t="s">
        <v>1741</v>
      </c>
    </row>
    <row r="3082" spans="2:12">
      <c r="B3082" s="1" t="s">
        <v>667</v>
      </c>
      <c r="C3082" s="1" t="s">
        <v>336</v>
      </c>
      <c r="D3082" s="52">
        <v>46059.444444444445</v>
      </c>
      <c r="E3082" s="52">
        <v>46059.444444444445</v>
      </c>
      <c r="F3082" s="52">
        <v>46059.447222222225</v>
      </c>
      <c r="G3082" s="53">
        <v>2.8124999999999999E-3</v>
      </c>
      <c r="H3082" s="1" t="s">
        <v>257</v>
      </c>
      <c r="J3082" s="1" t="s">
        <v>371</v>
      </c>
      <c r="K3082" s="1" t="s">
        <v>653</v>
      </c>
      <c r="L3082" s="1" t="s">
        <v>1742</v>
      </c>
    </row>
    <row r="3083" spans="2:12">
      <c r="B3083" s="1" t="s">
        <v>667</v>
      </c>
      <c r="C3083" s="1" t="s">
        <v>336</v>
      </c>
      <c r="D3083" s="52">
        <v>46059.443055555559</v>
      </c>
      <c r="E3083" s="52">
        <v>46059.443055555559</v>
      </c>
      <c r="F3083" s="52">
        <v>46059.443749999999</v>
      </c>
      <c r="G3083" s="53">
        <v>7.9861111111111116E-4</v>
      </c>
      <c r="H3083" s="1" t="s">
        <v>257</v>
      </c>
      <c r="J3083" s="1" t="s">
        <v>371</v>
      </c>
      <c r="K3083" s="1" t="s">
        <v>653</v>
      </c>
      <c r="L3083" s="1" t="s">
        <v>1743</v>
      </c>
    </row>
    <row r="3084" spans="2:12">
      <c r="B3084" s="1" t="s">
        <v>667</v>
      </c>
      <c r="C3084" s="1" t="s">
        <v>336</v>
      </c>
      <c r="D3084" s="52">
        <v>46059.43472222222</v>
      </c>
      <c r="E3084" s="52">
        <v>46059.43472222222</v>
      </c>
      <c r="F3084" s="52">
        <v>46059.435416666667</v>
      </c>
      <c r="G3084" s="53">
        <v>6.134259259259259E-4</v>
      </c>
      <c r="H3084" s="1" t="s">
        <v>257</v>
      </c>
      <c r="J3084" s="1" t="s">
        <v>371</v>
      </c>
      <c r="K3084" s="1" t="s">
        <v>653</v>
      </c>
      <c r="L3084" s="1" t="s">
        <v>1744</v>
      </c>
    </row>
    <row r="3085" spans="2:12">
      <c r="B3085" s="1" t="s">
        <v>667</v>
      </c>
      <c r="C3085" s="1" t="s">
        <v>336</v>
      </c>
      <c r="D3085" s="52">
        <v>46059.428472222222</v>
      </c>
      <c r="E3085" s="52">
        <v>46059.428472222222</v>
      </c>
      <c r="F3085" s="52">
        <v>46059.429861111108</v>
      </c>
      <c r="G3085" s="53">
        <v>1.25E-3</v>
      </c>
      <c r="H3085" s="1" t="s">
        <v>257</v>
      </c>
      <c r="J3085" s="1" t="s">
        <v>371</v>
      </c>
      <c r="K3085" s="1" t="s">
        <v>653</v>
      </c>
      <c r="L3085" s="1" t="s">
        <v>1745</v>
      </c>
    </row>
    <row r="3086" spans="2:12">
      <c r="B3086" s="1" t="s">
        <v>667</v>
      </c>
      <c r="C3086" s="1" t="s">
        <v>336</v>
      </c>
      <c r="D3086" s="52">
        <v>46059.425694444442</v>
      </c>
      <c r="E3086" s="52">
        <v>46059.425694444442</v>
      </c>
      <c r="F3086" s="52">
        <v>46059.426388888889</v>
      </c>
      <c r="G3086" s="53">
        <v>5.6712962962962967E-4</v>
      </c>
      <c r="H3086" s="1" t="s">
        <v>257</v>
      </c>
      <c r="J3086" s="1" t="s">
        <v>371</v>
      </c>
      <c r="K3086" s="1" t="s">
        <v>653</v>
      </c>
      <c r="L3086" s="1" t="s">
        <v>1746</v>
      </c>
    </row>
    <row r="3087" spans="2:12">
      <c r="B3087" s="1" t="s">
        <v>667</v>
      </c>
      <c r="C3087" s="1" t="s">
        <v>336</v>
      </c>
      <c r="D3087" s="52">
        <v>46059.417361111111</v>
      </c>
      <c r="E3087" s="52">
        <v>46059.417361111111</v>
      </c>
      <c r="F3087" s="52">
        <v>46059.418055555558</v>
      </c>
      <c r="G3087" s="53">
        <v>5.4398148148148144E-4</v>
      </c>
      <c r="H3087" s="1" t="s">
        <v>257</v>
      </c>
      <c r="J3087" s="1" t="s">
        <v>371</v>
      </c>
      <c r="K3087" s="1" t="s">
        <v>653</v>
      </c>
      <c r="L3087" s="1" t="s">
        <v>1747</v>
      </c>
    </row>
    <row r="3088" spans="2:12">
      <c r="B3088" s="1" t="s">
        <v>667</v>
      </c>
      <c r="C3088" s="1" t="s">
        <v>336</v>
      </c>
      <c r="D3088" s="52">
        <v>46059.408333333333</v>
      </c>
      <c r="E3088" s="52">
        <v>46059.408333333333</v>
      </c>
      <c r="F3088" s="52">
        <v>46059.410416666666</v>
      </c>
      <c r="G3088" s="53">
        <v>2.1180555555555558E-3</v>
      </c>
      <c r="H3088" s="1" t="s">
        <v>257</v>
      </c>
      <c r="J3088" s="1" t="s">
        <v>371</v>
      </c>
      <c r="K3088" s="1" t="s">
        <v>653</v>
      </c>
      <c r="L3088" s="1" t="s">
        <v>1748</v>
      </c>
    </row>
    <row r="3089" spans="2:12">
      <c r="B3089" s="1" t="s">
        <v>667</v>
      </c>
      <c r="C3089" s="1" t="s">
        <v>336</v>
      </c>
      <c r="D3089" s="52">
        <v>46059.395833333336</v>
      </c>
      <c r="E3089" s="52">
        <v>46059.395833333336</v>
      </c>
      <c r="F3089" s="52">
        <v>46059.396527777775</v>
      </c>
      <c r="G3089" s="53">
        <v>6.8287037037037036E-4</v>
      </c>
      <c r="H3089" s="1" t="s">
        <v>257</v>
      </c>
      <c r="J3089" s="1" t="s">
        <v>371</v>
      </c>
      <c r="K3089" s="1" t="s">
        <v>653</v>
      </c>
      <c r="L3089" s="1" t="s">
        <v>1749</v>
      </c>
    </row>
    <row r="3090" spans="2:12">
      <c r="B3090" s="1" t="s">
        <v>667</v>
      </c>
      <c r="C3090" s="1" t="s">
        <v>336</v>
      </c>
      <c r="D3090" s="52">
        <v>46059.381944444445</v>
      </c>
      <c r="E3090" s="52">
        <v>46059.381944444445</v>
      </c>
      <c r="F3090" s="52">
        <v>46059.382638888892</v>
      </c>
      <c r="G3090" s="53">
        <v>5.2083333333333333E-4</v>
      </c>
      <c r="H3090" s="1" t="s">
        <v>257</v>
      </c>
      <c r="J3090" s="1" t="s">
        <v>371</v>
      </c>
      <c r="K3090" s="1" t="s">
        <v>653</v>
      </c>
      <c r="L3090" s="1" t="s">
        <v>1750</v>
      </c>
    </row>
    <row r="3091" spans="2:12">
      <c r="B3091" s="1" t="s">
        <v>667</v>
      </c>
      <c r="C3091" s="1" t="s">
        <v>336</v>
      </c>
      <c r="D3091" s="52">
        <v>46059.359722222223</v>
      </c>
      <c r="E3091" s="52">
        <v>46059.359722222223</v>
      </c>
      <c r="F3091" s="52">
        <v>46059.361805555556</v>
      </c>
      <c r="G3091" s="53">
        <v>1.6435185185185185E-3</v>
      </c>
      <c r="H3091" s="1" t="s">
        <v>257</v>
      </c>
      <c r="J3091" s="1" t="s">
        <v>371</v>
      </c>
      <c r="K3091" s="1" t="s">
        <v>653</v>
      </c>
      <c r="L3091" s="1" t="s">
        <v>1751</v>
      </c>
    </row>
    <row r="3092" spans="2:12">
      <c r="B3092" s="1" t="s">
        <v>667</v>
      </c>
      <c r="C3092" s="1" t="s">
        <v>336</v>
      </c>
      <c r="D3092" s="52">
        <v>46059.356249999997</v>
      </c>
      <c r="E3092" s="52">
        <v>46059.356249999997</v>
      </c>
      <c r="F3092" s="52">
        <v>46059.356944444444</v>
      </c>
      <c r="G3092" s="53">
        <v>1.1458333333333333E-3</v>
      </c>
      <c r="H3092" s="1" t="s">
        <v>257</v>
      </c>
      <c r="J3092" s="1" t="s">
        <v>371</v>
      </c>
      <c r="K3092" s="1" t="s">
        <v>653</v>
      </c>
      <c r="L3092" s="1" t="s">
        <v>1752</v>
      </c>
    </row>
    <row r="3093" spans="2:12">
      <c r="B3093" s="1" t="s">
        <v>667</v>
      </c>
      <c r="C3093" s="1" t="s">
        <v>336</v>
      </c>
      <c r="D3093" s="52">
        <v>46059.326388888891</v>
      </c>
      <c r="E3093" s="52">
        <v>46059.326388888891</v>
      </c>
      <c r="F3093" s="52">
        <v>46059.326388888891</v>
      </c>
      <c r="G3093" s="53">
        <v>5.4398148148148144E-4</v>
      </c>
      <c r="H3093" s="1" t="s">
        <v>257</v>
      </c>
      <c r="J3093" s="1" t="s">
        <v>371</v>
      </c>
      <c r="K3093" s="1" t="s">
        <v>653</v>
      </c>
      <c r="L3093" s="1" t="s">
        <v>1753</v>
      </c>
    </row>
    <row r="3094" spans="2:12">
      <c r="B3094" s="1" t="s">
        <v>667</v>
      </c>
      <c r="C3094" s="1" t="s">
        <v>336</v>
      </c>
      <c r="D3094" s="52">
        <v>46059.311111111114</v>
      </c>
      <c r="E3094" s="52">
        <v>46059.311111111114</v>
      </c>
      <c r="F3094" s="52">
        <v>46059.3125</v>
      </c>
      <c r="G3094" s="53">
        <v>1.0995370370370371E-3</v>
      </c>
      <c r="H3094" s="1" t="s">
        <v>257</v>
      </c>
      <c r="J3094" s="1" t="s">
        <v>371</v>
      </c>
      <c r="K3094" s="1" t="s">
        <v>653</v>
      </c>
      <c r="L3094" s="1" t="s">
        <v>1754</v>
      </c>
    </row>
    <row r="3095" spans="2:12">
      <c r="B3095" s="1" t="s">
        <v>667</v>
      </c>
      <c r="C3095" s="1" t="s">
        <v>336</v>
      </c>
      <c r="D3095" s="52">
        <v>46059.301388888889</v>
      </c>
      <c r="E3095" s="52">
        <v>46059.301388888889</v>
      </c>
      <c r="F3095" s="52">
        <v>46059.302083333336</v>
      </c>
      <c r="G3095" s="53">
        <v>5.2083333333333333E-4</v>
      </c>
      <c r="H3095" s="1" t="s">
        <v>257</v>
      </c>
      <c r="J3095" s="1" t="s">
        <v>371</v>
      </c>
      <c r="K3095" s="1" t="s">
        <v>653</v>
      </c>
      <c r="L3095" s="1" t="s">
        <v>1755</v>
      </c>
    </row>
    <row r="3096" spans="2:12">
      <c r="B3096" s="1" t="s">
        <v>667</v>
      </c>
      <c r="C3096" s="1" t="s">
        <v>336</v>
      </c>
      <c r="D3096" s="52">
        <v>46059.294444444444</v>
      </c>
      <c r="E3096" s="52">
        <v>46059.294444444444</v>
      </c>
      <c r="F3096" s="52">
        <v>46059.295138888891</v>
      </c>
      <c r="G3096" s="53">
        <v>5.4398148148148144E-4</v>
      </c>
      <c r="H3096" s="1" t="s">
        <v>257</v>
      </c>
      <c r="J3096" s="1" t="s">
        <v>371</v>
      </c>
      <c r="K3096" s="1" t="s">
        <v>653</v>
      </c>
      <c r="L3096" s="1" t="s">
        <v>1756</v>
      </c>
    </row>
    <row r="3097" spans="2:12">
      <c r="B3097" s="1" t="s">
        <v>667</v>
      </c>
      <c r="C3097" s="1" t="s">
        <v>336</v>
      </c>
      <c r="D3097" s="52">
        <v>46059.286111111112</v>
      </c>
      <c r="E3097" s="52">
        <v>46059.286111111112</v>
      </c>
      <c r="F3097" s="52">
        <v>46059.286805555559</v>
      </c>
      <c r="G3097" s="53">
        <v>7.1759259259259259E-4</v>
      </c>
      <c r="H3097" s="1" t="s">
        <v>257</v>
      </c>
      <c r="J3097" s="1" t="s">
        <v>371</v>
      </c>
      <c r="K3097" s="1" t="s">
        <v>653</v>
      </c>
      <c r="L3097" s="1" t="s">
        <v>1757</v>
      </c>
    </row>
    <row r="3098" spans="2:12">
      <c r="B3098" s="1" t="s">
        <v>667</v>
      </c>
      <c r="C3098" s="1" t="s">
        <v>336</v>
      </c>
      <c r="D3098" s="52">
        <v>46059.27847222222</v>
      </c>
      <c r="E3098" s="52">
        <v>46059.27847222222</v>
      </c>
      <c r="F3098" s="52">
        <v>46059.279166666667</v>
      </c>
      <c r="G3098" s="53">
        <v>4.9768518518518521E-4</v>
      </c>
      <c r="H3098" s="1" t="s">
        <v>257</v>
      </c>
      <c r="J3098" s="1" t="s">
        <v>371</v>
      </c>
      <c r="K3098" s="1" t="s">
        <v>653</v>
      </c>
      <c r="L3098" s="1" t="s">
        <v>1758</v>
      </c>
    </row>
    <row r="3099" spans="2:12">
      <c r="B3099" s="1" t="s">
        <v>667</v>
      </c>
      <c r="C3099" s="1" t="s">
        <v>336</v>
      </c>
      <c r="D3099" s="52">
        <v>46059.236111111109</v>
      </c>
      <c r="E3099" s="52">
        <v>46059.236111111109</v>
      </c>
      <c r="F3099" s="52">
        <v>46059.263888888891</v>
      </c>
      <c r="G3099" s="53">
        <v>2.7731481481481482E-2</v>
      </c>
      <c r="H3099" s="1" t="s">
        <v>257</v>
      </c>
      <c r="J3099" s="1" t="s">
        <v>371</v>
      </c>
      <c r="K3099" s="1" t="s">
        <v>653</v>
      </c>
      <c r="L3099" s="1" t="s">
        <v>1759</v>
      </c>
    </row>
    <row r="3100" spans="2:12">
      <c r="B3100" s="1" t="s">
        <v>667</v>
      </c>
      <c r="C3100" s="1" t="s">
        <v>336</v>
      </c>
      <c r="D3100" s="52">
        <v>46059.236111111109</v>
      </c>
      <c r="E3100" s="52">
        <v>46059.236111111109</v>
      </c>
      <c r="F3100" s="52">
        <v>46059.263888888891</v>
      </c>
      <c r="G3100" s="53">
        <v>2.8113425925925927E-2</v>
      </c>
      <c r="H3100" s="1" t="s">
        <v>257</v>
      </c>
      <c r="J3100" s="1" t="s">
        <v>371</v>
      </c>
      <c r="K3100" s="1" t="s">
        <v>653</v>
      </c>
      <c r="L3100" s="1" t="s">
        <v>1760</v>
      </c>
    </row>
    <row r="3101" spans="2:12">
      <c r="B3101" s="1" t="s">
        <v>667</v>
      </c>
      <c r="C3101" s="1" t="s">
        <v>336</v>
      </c>
      <c r="D3101" s="52">
        <v>46058.771527777775</v>
      </c>
      <c r="E3101" s="52">
        <v>46058.771527777775</v>
      </c>
      <c r="F3101" s="52">
        <v>46058.792361111111</v>
      </c>
      <c r="G3101" s="53">
        <v>2.1157407407407406E-2</v>
      </c>
      <c r="H3101" s="1" t="s">
        <v>257</v>
      </c>
      <c r="J3101" s="1" t="s">
        <v>371</v>
      </c>
      <c r="K3101" s="1" t="s">
        <v>653</v>
      </c>
      <c r="L3101" s="1" t="s">
        <v>1761</v>
      </c>
    </row>
    <row r="3102" spans="2:12">
      <c r="B3102" s="1" t="s">
        <v>667</v>
      </c>
      <c r="C3102" s="1" t="s">
        <v>336</v>
      </c>
      <c r="D3102" s="52">
        <v>46058.770138888889</v>
      </c>
      <c r="E3102" s="52">
        <v>46058.770138888889</v>
      </c>
      <c r="F3102" s="52">
        <v>46058.770833333336</v>
      </c>
      <c r="G3102" s="53">
        <v>5.3240740740740744E-4</v>
      </c>
      <c r="H3102" s="1" t="s">
        <v>257</v>
      </c>
      <c r="J3102" s="1" t="s">
        <v>371</v>
      </c>
      <c r="K3102" s="1" t="s">
        <v>653</v>
      </c>
      <c r="L3102" s="1" t="s">
        <v>1762</v>
      </c>
    </row>
    <row r="3103" spans="2:12">
      <c r="B3103" s="1" t="s">
        <v>667</v>
      </c>
      <c r="C3103" s="1" t="s">
        <v>336</v>
      </c>
      <c r="D3103" s="52">
        <v>46058.738888888889</v>
      </c>
      <c r="E3103" s="52">
        <v>46058.738888888889</v>
      </c>
      <c r="F3103" s="52">
        <v>46058.739583333336</v>
      </c>
      <c r="G3103" s="53">
        <v>5.3240740740740744E-4</v>
      </c>
      <c r="H3103" s="1" t="s">
        <v>257</v>
      </c>
      <c r="J3103" s="1" t="s">
        <v>371</v>
      </c>
      <c r="K3103" s="1" t="s">
        <v>653</v>
      </c>
      <c r="L3103" s="1" t="s">
        <v>1763</v>
      </c>
    </row>
    <row r="3104" spans="2:12">
      <c r="B3104" s="1" t="s">
        <v>667</v>
      </c>
      <c r="C3104" s="1" t="s">
        <v>336</v>
      </c>
      <c r="D3104" s="52">
        <v>46058.724305555559</v>
      </c>
      <c r="E3104" s="52">
        <v>46058.724305555559</v>
      </c>
      <c r="F3104" s="52">
        <v>46058.724999999999</v>
      </c>
      <c r="G3104" s="53">
        <v>5.4398148148148144E-4</v>
      </c>
      <c r="H3104" s="1" t="s">
        <v>257</v>
      </c>
      <c r="J3104" s="1" t="s">
        <v>371</v>
      </c>
      <c r="K3104" s="1" t="s">
        <v>653</v>
      </c>
      <c r="L3104" s="1" t="s">
        <v>1764</v>
      </c>
    </row>
    <row r="3105" spans="2:12">
      <c r="B3105" s="1" t="s">
        <v>667</v>
      </c>
      <c r="C3105" s="1" t="s">
        <v>336</v>
      </c>
      <c r="D3105" s="52">
        <v>46058.715277777781</v>
      </c>
      <c r="E3105" s="52">
        <v>46058.715277777781</v>
      </c>
      <c r="F3105" s="52">
        <v>46058.71597222222</v>
      </c>
      <c r="G3105" s="53">
        <v>5.0925925925925921E-4</v>
      </c>
      <c r="H3105" s="1" t="s">
        <v>257</v>
      </c>
      <c r="J3105" s="1" t="s">
        <v>371</v>
      </c>
      <c r="K3105" s="1" t="s">
        <v>653</v>
      </c>
      <c r="L3105" s="1" t="s">
        <v>1765</v>
      </c>
    </row>
    <row r="3106" spans="2:12">
      <c r="B3106" s="1" t="s">
        <v>667</v>
      </c>
      <c r="C3106" s="1" t="s">
        <v>336</v>
      </c>
      <c r="D3106" s="52">
        <v>46058.708333333336</v>
      </c>
      <c r="E3106" s="52">
        <v>46058.708333333336</v>
      </c>
      <c r="F3106" s="52">
        <v>46058.709027777775</v>
      </c>
      <c r="G3106" s="53">
        <v>5.4398148148148144E-4</v>
      </c>
      <c r="H3106" s="1" t="s">
        <v>257</v>
      </c>
      <c r="J3106" s="1" t="s">
        <v>371</v>
      </c>
      <c r="K3106" s="1" t="s">
        <v>653</v>
      </c>
      <c r="L3106" s="1" t="s">
        <v>1766</v>
      </c>
    </row>
    <row r="3107" spans="2:12">
      <c r="B3107" s="1" t="s">
        <v>667</v>
      </c>
      <c r="C3107" s="1" t="s">
        <v>336</v>
      </c>
      <c r="D3107" s="52">
        <v>46058.665972222225</v>
      </c>
      <c r="E3107" s="52">
        <v>46058.665972222225</v>
      </c>
      <c r="F3107" s="52">
        <v>46058.666666666664</v>
      </c>
      <c r="G3107" s="53">
        <v>4.9768518518518521E-4</v>
      </c>
      <c r="H3107" s="1" t="s">
        <v>257</v>
      </c>
      <c r="J3107" s="1" t="s">
        <v>371</v>
      </c>
      <c r="K3107" s="1" t="s">
        <v>653</v>
      </c>
      <c r="L3107" s="1" t="s">
        <v>1767</v>
      </c>
    </row>
    <row r="3108" spans="2:12">
      <c r="B3108" s="1" t="s">
        <v>667</v>
      </c>
      <c r="C3108" s="1" t="s">
        <v>336</v>
      </c>
      <c r="D3108" s="52">
        <v>46058.593055555553</v>
      </c>
      <c r="E3108" s="52">
        <v>46058.593055555553</v>
      </c>
      <c r="F3108" s="52">
        <v>46058.59375</v>
      </c>
      <c r="G3108" s="53">
        <v>5.2083333333333333E-4</v>
      </c>
      <c r="H3108" s="1" t="s">
        <v>257</v>
      </c>
      <c r="J3108" s="1" t="s">
        <v>371</v>
      </c>
      <c r="K3108" s="1" t="s">
        <v>653</v>
      </c>
      <c r="L3108" s="1" t="s">
        <v>1768</v>
      </c>
    </row>
    <row r="3109" spans="2:12">
      <c r="B3109" s="1" t="s">
        <v>667</v>
      </c>
      <c r="C3109" s="1" t="s">
        <v>336</v>
      </c>
      <c r="D3109" s="52">
        <v>46058.584027777775</v>
      </c>
      <c r="E3109" s="52">
        <v>46058.584027777775</v>
      </c>
      <c r="F3109" s="52">
        <v>46058.584027777775</v>
      </c>
      <c r="G3109" s="53">
        <v>5.2083333333333333E-4</v>
      </c>
      <c r="H3109" s="1" t="s">
        <v>257</v>
      </c>
      <c r="J3109" s="1" t="s">
        <v>371</v>
      </c>
      <c r="K3109" s="1" t="s">
        <v>653</v>
      </c>
      <c r="L3109" s="1" t="s">
        <v>1769</v>
      </c>
    </row>
    <row r="3110" spans="2:12">
      <c r="B3110" s="1" t="s">
        <v>667</v>
      </c>
      <c r="C3110" s="1" t="s">
        <v>336</v>
      </c>
      <c r="D3110" s="52">
        <v>46058.575694444444</v>
      </c>
      <c r="E3110" s="52">
        <v>46058.575694444444</v>
      </c>
      <c r="F3110" s="52">
        <v>46058.576388888891</v>
      </c>
      <c r="G3110" s="53">
        <v>5.4398148148148144E-4</v>
      </c>
      <c r="H3110" s="1" t="s">
        <v>257</v>
      </c>
      <c r="J3110" s="1" t="s">
        <v>371</v>
      </c>
      <c r="K3110" s="1" t="s">
        <v>653</v>
      </c>
      <c r="L3110" s="1" t="s">
        <v>1770</v>
      </c>
    </row>
    <row r="3111" spans="2:12">
      <c r="B3111" s="1" t="s">
        <v>667</v>
      </c>
      <c r="C3111" s="1" t="s">
        <v>336</v>
      </c>
      <c r="D3111" s="52">
        <v>46058.545138888891</v>
      </c>
      <c r="E3111" s="52">
        <v>46058.545138888891</v>
      </c>
      <c r="F3111" s="52">
        <v>46058.54583333333</v>
      </c>
      <c r="G3111" s="53">
        <v>5.5555555555555556E-4</v>
      </c>
      <c r="H3111" s="1" t="s">
        <v>257</v>
      </c>
      <c r="J3111" s="1" t="s">
        <v>371</v>
      </c>
      <c r="K3111" s="1" t="s">
        <v>653</v>
      </c>
      <c r="L3111" s="1" t="s">
        <v>1771</v>
      </c>
    </row>
    <row r="3112" spans="2:12">
      <c r="B3112" s="1" t="s">
        <v>667</v>
      </c>
      <c r="C3112" s="1" t="s">
        <v>336</v>
      </c>
      <c r="D3112" s="52">
        <v>46058.529861111114</v>
      </c>
      <c r="E3112" s="52">
        <v>46058.529861111114</v>
      </c>
      <c r="F3112" s="52">
        <v>46058.530555555553</v>
      </c>
      <c r="G3112" s="53">
        <v>5.4398148148148144E-4</v>
      </c>
      <c r="H3112" s="1" t="s">
        <v>257</v>
      </c>
      <c r="J3112" s="1" t="s">
        <v>371</v>
      </c>
      <c r="K3112" s="1" t="s">
        <v>653</v>
      </c>
      <c r="L3112" s="1" t="s">
        <v>1772</v>
      </c>
    </row>
    <row r="3113" spans="2:12">
      <c r="B3113" s="1" t="s">
        <v>667</v>
      </c>
      <c r="C3113" s="1" t="s">
        <v>336</v>
      </c>
      <c r="D3113" s="52">
        <v>46058.515972222223</v>
      </c>
      <c r="E3113" s="52">
        <v>46058.515972222223</v>
      </c>
      <c r="F3113" s="52">
        <v>46058.515972222223</v>
      </c>
      <c r="G3113" s="53">
        <v>5.5555555555555556E-4</v>
      </c>
      <c r="H3113" s="1" t="s">
        <v>257</v>
      </c>
      <c r="J3113" s="1" t="s">
        <v>371</v>
      </c>
      <c r="K3113" s="1" t="s">
        <v>653</v>
      </c>
      <c r="L3113" s="1" t="s">
        <v>1773</v>
      </c>
    </row>
    <row r="3114" spans="2:12">
      <c r="B3114" s="1" t="s">
        <v>667</v>
      </c>
      <c r="C3114" s="1" t="s">
        <v>336</v>
      </c>
      <c r="D3114" s="52">
        <v>46058.502083333333</v>
      </c>
      <c r="E3114" s="52">
        <v>46058.502083333333</v>
      </c>
      <c r="F3114" s="52">
        <v>46058.50277777778</v>
      </c>
      <c r="G3114" s="53">
        <v>5.2083333333333333E-4</v>
      </c>
      <c r="H3114" s="1" t="s">
        <v>257</v>
      </c>
      <c r="J3114" s="1" t="s">
        <v>371</v>
      </c>
      <c r="K3114" s="1" t="s">
        <v>653</v>
      </c>
      <c r="L3114" s="1" t="s">
        <v>1774</v>
      </c>
    </row>
    <row r="3115" spans="2:12">
      <c r="B3115" s="1" t="s">
        <v>667</v>
      </c>
      <c r="C3115" s="1" t="s">
        <v>336</v>
      </c>
      <c r="D3115" s="52">
        <v>46058.492361111108</v>
      </c>
      <c r="E3115" s="52">
        <v>46058.492361111108</v>
      </c>
      <c r="F3115" s="52">
        <v>46058.493055555555</v>
      </c>
      <c r="G3115" s="53">
        <v>5.2083333333333333E-4</v>
      </c>
      <c r="H3115" s="1" t="s">
        <v>257</v>
      </c>
      <c r="J3115" s="1" t="s">
        <v>371</v>
      </c>
      <c r="K3115" s="1" t="s">
        <v>653</v>
      </c>
      <c r="L3115" s="1" t="s">
        <v>1775</v>
      </c>
    </row>
    <row r="3116" spans="2:12">
      <c r="B3116" s="1" t="s">
        <v>667</v>
      </c>
      <c r="C3116" s="1" t="s">
        <v>336</v>
      </c>
      <c r="D3116" s="52">
        <v>46058.48333333333</v>
      </c>
      <c r="E3116" s="52">
        <v>46058.48333333333</v>
      </c>
      <c r="F3116" s="52">
        <v>46058.48333333333</v>
      </c>
      <c r="G3116" s="53">
        <v>4.9768518518518521E-4</v>
      </c>
      <c r="H3116" s="1" t="s">
        <v>257</v>
      </c>
      <c r="J3116" s="1" t="s">
        <v>371</v>
      </c>
      <c r="K3116" s="1" t="s">
        <v>653</v>
      </c>
      <c r="L3116" s="1" t="s">
        <v>1776</v>
      </c>
    </row>
    <row r="3117" spans="2:12">
      <c r="B3117" s="1" t="s">
        <v>667</v>
      </c>
      <c r="C3117" s="1" t="s">
        <v>336</v>
      </c>
      <c r="D3117" s="52">
        <v>46058.469444444447</v>
      </c>
      <c r="E3117" s="52">
        <v>46058.469444444447</v>
      </c>
      <c r="F3117" s="52">
        <v>46058.470138888886</v>
      </c>
      <c r="G3117" s="53">
        <v>5.2083333333333333E-4</v>
      </c>
      <c r="H3117" s="1" t="s">
        <v>257</v>
      </c>
      <c r="J3117" s="1" t="s">
        <v>371</v>
      </c>
      <c r="K3117" s="1" t="s">
        <v>653</v>
      </c>
      <c r="L3117" s="1" t="s">
        <v>1777</v>
      </c>
    </row>
    <row r="3118" spans="2:12">
      <c r="B3118" s="1" t="s">
        <v>667</v>
      </c>
      <c r="C3118" s="1" t="s">
        <v>336</v>
      </c>
      <c r="D3118" s="52">
        <v>46058.457638888889</v>
      </c>
      <c r="E3118" s="52">
        <v>46058.457638888889</v>
      </c>
      <c r="F3118" s="52">
        <v>46058.458333333336</v>
      </c>
      <c r="G3118" s="53">
        <v>5.0925925925925921E-4</v>
      </c>
      <c r="H3118" s="1" t="s">
        <v>257</v>
      </c>
      <c r="J3118" s="1" t="s">
        <v>371</v>
      </c>
      <c r="K3118" s="1" t="s">
        <v>653</v>
      </c>
      <c r="L3118" s="1" t="s">
        <v>1778</v>
      </c>
    </row>
    <row r="3119" spans="2:12">
      <c r="B3119" s="1" t="s">
        <v>667</v>
      </c>
      <c r="C3119" s="1" t="s">
        <v>336</v>
      </c>
      <c r="D3119" s="52">
        <v>46058.446527777778</v>
      </c>
      <c r="E3119" s="52">
        <v>46058.446527777778</v>
      </c>
      <c r="F3119" s="52">
        <v>46058.447222222225</v>
      </c>
      <c r="G3119" s="53">
        <v>5.2083333333333333E-4</v>
      </c>
      <c r="H3119" s="1" t="s">
        <v>257</v>
      </c>
      <c r="J3119" s="1" t="s">
        <v>371</v>
      </c>
      <c r="K3119" s="1" t="s">
        <v>653</v>
      </c>
      <c r="L3119" s="1" t="s">
        <v>1779</v>
      </c>
    </row>
    <row r="3120" spans="2:12">
      <c r="B3120" s="1" t="s">
        <v>667</v>
      </c>
      <c r="C3120" s="1" t="s">
        <v>336</v>
      </c>
      <c r="D3120" s="52">
        <v>46058.436111111114</v>
      </c>
      <c r="E3120" s="52">
        <v>46058.436111111114</v>
      </c>
      <c r="F3120" s="52">
        <v>46058.436805555553</v>
      </c>
      <c r="G3120" s="53">
        <v>5.2083333333333333E-4</v>
      </c>
      <c r="H3120" s="1" t="s">
        <v>257</v>
      </c>
      <c r="J3120" s="1" t="s">
        <v>371</v>
      </c>
      <c r="K3120" s="1" t="s">
        <v>653</v>
      </c>
      <c r="L3120" s="1" t="s">
        <v>1780</v>
      </c>
    </row>
    <row r="3121" spans="2:12">
      <c r="B3121" s="1" t="s">
        <v>667</v>
      </c>
      <c r="C3121" s="1" t="s">
        <v>336</v>
      </c>
      <c r="D3121" s="52">
        <v>46058.427777777775</v>
      </c>
      <c r="E3121" s="52">
        <v>46058.427777777775</v>
      </c>
      <c r="F3121" s="52">
        <v>46058.428472222222</v>
      </c>
      <c r="G3121" s="53">
        <v>5.2083333333333333E-4</v>
      </c>
      <c r="H3121" s="1" t="s">
        <v>257</v>
      </c>
      <c r="J3121" s="1" t="s">
        <v>371</v>
      </c>
      <c r="K3121" s="1" t="s">
        <v>653</v>
      </c>
      <c r="L3121" s="1" t="s">
        <v>1781</v>
      </c>
    </row>
    <row r="3122" spans="2:12">
      <c r="B3122" s="1" t="s">
        <v>667</v>
      </c>
      <c r="C3122" s="1" t="s">
        <v>336</v>
      </c>
      <c r="D3122" s="52">
        <v>46058.408333333333</v>
      </c>
      <c r="E3122" s="52">
        <v>46058.408333333333</v>
      </c>
      <c r="F3122" s="52">
        <v>46058.40902777778</v>
      </c>
      <c r="G3122" s="53">
        <v>5.3240740740740744E-4</v>
      </c>
      <c r="H3122" s="1" t="s">
        <v>257</v>
      </c>
      <c r="J3122" s="1" t="s">
        <v>371</v>
      </c>
      <c r="K3122" s="1" t="s">
        <v>653</v>
      </c>
      <c r="L3122" s="1" t="s">
        <v>1782</v>
      </c>
    </row>
    <row r="3123" spans="2:12">
      <c r="B3123" s="1" t="s">
        <v>667</v>
      </c>
      <c r="C3123" s="1" t="s">
        <v>336</v>
      </c>
      <c r="D3123" s="52">
        <v>46058.393750000003</v>
      </c>
      <c r="E3123" s="52">
        <v>46058.393750000003</v>
      </c>
      <c r="F3123" s="52">
        <v>46058.394444444442</v>
      </c>
      <c r="G3123" s="53">
        <v>5.4398148148148144E-4</v>
      </c>
      <c r="H3123" s="1" t="s">
        <v>257</v>
      </c>
      <c r="J3123" s="1" t="s">
        <v>371</v>
      </c>
      <c r="K3123" s="1" t="s">
        <v>653</v>
      </c>
      <c r="L3123" s="1" t="s">
        <v>1783</v>
      </c>
    </row>
    <row r="3124" spans="2:12">
      <c r="B3124" s="1" t="s">
        <v>667</v>
      </c>
      <c r="C3124" s="1" t="s">
        <v>336</v>
      </c>
      <c r="D3124" s="52">
        <v>46058.386111111111</v>
      </c>
      <c r="E3124" s="52">
        <v>46058.386111111111</v>
      </c>
      <c r="F3124" s="52">
        <v>46058.386111111111</v>
      </c>
      <c r="G3124" s="53">
        <v>5.5555555555555556E-4</v>
      </c>
      <c r="H3124" s="1" t="s">
        <v>257</v>
      </c>
      <c r="J3124" s="1" t="s">
        <v>371</v>
      </c>
      <c r="K3124" s="1" t="s">
        <v>653</v>
      </c>
      <c r="L3124" s="1" t="s">
        <v>1784</v>
      </c>
    </row>
    <row r="3125" spans="2:12">
      <c r="B3125" s="1" t="s">
        <v>667</v>
      </c>
      <c r="C3125" s="1" t="s">
        <v>336</v>
      </c>
      <c r="D3125" s="52">
        <v>46058.373611111114</v>
      </c>
      <c r="E3125" s="52">
        <v>46058.373611111114</v>
      </c>
      <c r="F3125" s="52">
        <v>46058.374305555553</v>
      </c>
      <c r="G3125" s="53">
        <v>5.0925925925925921E-4</v>
      </c>
      <c r="H3125" s="1" t="s">
        <v>257</v>
      </c>
      <c r="J3125" s="1" t="s">
        <v>371</v>
      </c>
      <c r="K3125" s="1" t="s">
        <v>653</v>
      </c>
      <c r="L3125" s="1" t="s">
        <v>1785</v>
      </c>
    </row>
    <row r="3126" spans="2:12">
      <c r="B3126" s="1" t="s">
        <v>667</v>
      </c>
      <c r="C3126" s="1" t="s">
        <v>336</v>
      </c>
      <c r="D3126" s="52">
        <v>46058.361805555556</v>
      </c>
      <c r="E3126" s="52">
        <v>46058.361805555556</v>
      </c>
      <c r="F3126" s="52">
        <v>46058.362500000003</v>
      </c>
      <c r="G3126" s="53">
        <v>5.2083333333333333E-4</v>
      </c>
      <c r="H3126" s="1" t="s">
        <v>257</v>
      </c>
      <c r="J3126" s="1" t="s">
        <v>371</v>
      </c>
      <c r="K3126" s="1" t="s">
        <v>653</v>
      </c>
      <c r="L3126" s="1" t="s">
        <v>1786</v>
      </c>
    </row>
    <row r="3127" spans="2:12">
      <c r="B3127" s="1" t="s">
        <v>667</v>
      </c>
      <c r="C3127" s="1" t="s">
        <v>336</v>
      </c>
      <c r="D3127" s="52">
        <v>46058.340277777781</v>
      </c>
      <c r="E3127" s="52">
        <v>46058.340277777781</v>
      </c>
      <c r="F3127" s="52">
        <v>46058.34097222222</v>
      </c>
      <c r="G3127" s="53">
        <v>5.4398148148148144E-4</v>
      </c>
      <c r="H3127" s="1" t="s">
        <v>257</v>
      </c>
      <c r="J3127" s="1" t="s">
        <v>371</v>
      </c>
      <c r="K3127" s="1" t="s">
        <v>653</v>
      </c>
      <c r="L3127" s="1" t="s">
        <v>1787</v>
      </c>
    </row>
    <row r="3128" spans="2:12">
      <c r="B3128" s="1" t="s">
        <v>667</v>
      </c>
      <c r="C3128" s="1" t="s">
        <v>336</v>
      </c>
      <c r="D3128" s="52">
        <v>46058.298611111109</v>
      </c>
      <c r="E3128" s="52">
        <v>46058.298611111109</v>
      </c>
      <c r="F3128" s="52">
        <v>46058.298611111109</v>
      </c>
      <c r="G3128" s="53">
        <v>5.9027777777777778E-4</v>
      </c>
      <c r="H3128" s="1" t="s">
        <v>257</v>
      </c>
      <c r="J3128" s="1" t="s">
        <v>371</v>
      </c>
      <c r="K3128" s="1" t="s">
        <v>653</v>
      </c>
      <c r="L3128" s="1" t="s">
        <v>1788</v>
      </c>
    </row>
    <row r="3129" spans="2:12">
      <c r="B3129" s="1" t="s">
        <v>667</v>
      </c>
      <c r="C3129" s="1" t="s">
        <v>336</v>
      </c>
      <c r="D3129" s="52">
        <v>46058.29583333333</v>
      </c>
      <c r="E3129" s="52">
        <v>46058.29583333333</v>
      </c>
      <c r="F3129" s="52">
        <v>46058.296527777777</v>
      </c>
      <c r="G3129" s="53">
        <v>6.134259259259259E-4</v>
      </c>
      <c r="H3129" s="1" t="s">
        <v>257</v>
      </c>
      <c r="J3129" s="1" t="s">
        <v>371</v>
      </c>
      <c r="K3129" s="1" t="s">
        <v>653</v>
      </c>
      <c r="L3129" s="1" t="s">
        <v>1789</v>
      </c>
    </row>
    <row r="3130" spans="2:12">
      <c r="B3130" s="1" t="s">
        <v>667</v>
      </c>
      <c r="C3130" s="1" t="s">
        <v>336</v>
      </c>
      <c r="D3130" s="52">
        <v>46058.287499999999</v>
      </c>
      <c r="E3130" s="52">
        <v>46058.287499999999</v>
      </c>
      <c r="F3130" s="52">
        <v>46058.288194444445</v>
      </c>
      <c r="G3130" s="53">
        <v>1.1458333333333333E-3</v>
      </c>
      <c r="H3130" s="1" t="s">
        <v>257</v>
      </c>
      <c r="J3130" s="1" t="s">
        <v>371</v>
      </c>
      <c r="K3130" s="1" t="s">
        <v>653</v>
      </c>
      <c r="L3130" s="1" t="s">
        <v>1790</v>
      </c>
    </row>
    <row r="3131" spans="2:12">
      <c r="B3131" s="1" t="s">
        <v>667</v>
      </c>
      <c r="C3131" s="1" t="s">
        <v>336</v>
      </c>
      <c r="D3131" s="52">
        <v>46058.283333333333</v>
      </c>
      <c r="E3131" s="52">
        <v>46058.283333333333</v>
      </c>
      <c r="F3131" s="52">
        <v>46058.28402777778</v>
      </c>
      <c r="G3131" s="53">
        <v>5.3240740740740744E-4</v>
      </c>
      <c r="H3131" s="1" t="s">
        <v>257</v>
      </c>
      <c r="J3131" s="1" t="s">
        <v>371</v>
      </c>
      <c r="K3131" s="1" t="s">
        <v>653</v>
      </c>
      <c r="L3131" s="1" t="s">
        <v>1791</v>
      </c>
    </row>
    <row r="3132" spans="2:12">
      <c r="B3132" s="1" t="s">
        <v>667</v>
      </c>
      <c r="C3132" s="1" t="s">
        <v>336</v>
      </c>
      <c r="D3132" s="52">
        <v>46058.242361111108</v>
      </c>
      <c r="E3132" s="52">
        <v>46058.242361111108</v>
      </c>
      <c r="F3132" s="52">
        <v>46058.275694444441</v>
      </c>
      <c r="G3132" s="53">
        <v>3.3287037037037039E-2</v>
      </c>
      <c r="H3132" s="1" t="s">
        <v>257</v>
      </c>
      <c r="J3132" s="1" t="s">
        <v>371</v>
      </c>
      <c r="K3132" s="1" t="s">
        <v>653</v>
      </c>
      <c r="L3132" s="1" t="s">
        <v>1792</v>
      </c>
    </row>
    <row r="3133" spans="2:12">
      <c r="B3133" s="1" t="s">
        <v>667</v>
      </c>
      <c r="C3133" s="1" t="s">
        <v>336</v>
      </c>
      <c r="D3133" s="52">
        <v>46058.241666666669</v>
      </c>
      <c r="E3133" s="52">
        <v>46058.241666666669</v>
      </c>
      <c r="F3133" s="52">
        <v>46058.275694444441</v>
      </c>
      <c r="G3133" s="53">
        <v>3.3680555555555554E-2</v>
      </c>
      <c r="H3133" s="1" t="s">
        <v>257</v>
      </c>
      <c r="J3133" s="1" t="s">
        <v>371</v>
      </c>
      <c r="K3133" s="1" t="s">
        <v>653</v>
      </c>
      <c r="L3133" s="1" t="s">
        <v>1793</v>
      </c>
    </row>
    <row r="3134" spans="2:12">
      <c r="B3134" s="1" t="s">
        <v>667</v>
      </c>
      <c r="C3134" s="1" t="s">
        <v>336</v>
      </c>
      <c r="D3134" s="52">
        <v>46057.768055555556</v>
      </c>
      <c r="E3134" s="52">
        <v>46057.768055555556</v>
      </c>
      <c r="F3134" s="52">
        <v>46057.771527777775</v>
      </c>
      <c r="G3134" s="53">
        <v>3.2175925925925926E-3</v>
      </c>
      <c r="H3134" s="1" t="s">
        <v>257</v>
      </c>
      <c r="J3134" s="1" t="s">
        <v>371</v>
      </c>
      <c r="K3134" s="1" t="s">
        <v>653</v>
      </c>
      <c r="L3134" s="1" t="s">
        <v>1794</v>
      </c>
    </row>
    <row r="3135" spans="2:12">
      <c r="B3135" s="1" t="s">
        <v>667</v>
      </c>
      <c r="C3135" s="1" t="s">
        <v>336</v>
      </c>
      <c r="D3135" s="52">
        <v>46057.703472222223</v>
      </c>
      <c r="E3135" s="52">
        <v>46057.703472222223</v>
      </c>
      <c r="F3135" s="52">
        <v>46057.70416666667</v>
      </c>
      <c r="G3135" s="53">
        <v>5.2083333333333333E-4</v>
      </c>
      <c r="H3135" s="1" t="s">
        <v>257</v>
      </c>
      <c r="J3135" s="1" t="s">
        <v>371</v>
      </c>
      <c r="K3135" s="1" t="s">
        <v>653</v>
      </c>
      <c r="L3135" s="1" t="s">
        <v>1795</v>
      </c>
    </row>
    <row r="3136" spans="2:12">
      <c r="B3136" s="1" t="s">
        <v>667</v>
      </c>
      <c r="C3136" s="1" t="s">
        <v>336</v>
      </c>
      <c r="D3136" s="52">
        <v>46057.659722222219</v>
      </c>
      <c r="E3136" s="52">
        <v>46057.659722222219</v>
      </c>
      <c r="F3136" s="52">
        <v>46057.660416666666</v>
      </c>
      <c r="G3136" s="53">
        <v>5.0925925925925921E-4</v>
      </c>
      <c r="H3136" s="1" t="s">
        <v>257</v>
      </c>
      <c r="J3136" s="1" t="s">
        <v>371</v>
      </c>
      <c r="K3136" s="1" t="s">
        <v>653</v>
      </c>
      <c r="L3136" s="1" t="s">
        <v>1796</v>
      </c>
    </row>
    <row r="3137" spans="2:12">
      <c r="B3137" s="1" t="s">
        <v>667</v>
      </c>
      <c r="C3137" s="1" t="s">
        <v>336</v>
      </c>
      <c r="D3137" s="52">
        <v>46057.646527777775</v>
      </c>
      <c r="E3137" s="52">
        <v>46057.646527777775</v>
      </c>
      <c r="F3137" s="52">
        <v>46057.647222222222</v>
      </c>
      <c r="G3137" s="53">
        <v>8.2175925925925927E-4</v>
      </c>
      <c r="H3137" s="1" t="s">
        <v>257</v>
      </c>
      <c r="J3137" s="1" t="s">
        <v>371</v>
      </c>
      <c r="K3137" s="1" t="s">
        <v>653</v>
      </c>
      <c r="L3137" s="1" t="s">
        <v>1797</v>
      </c>
    </row>
    <row r="3138" spans="2:12">
      <c r="B3138" s="1" t="s">
        <v>667</v>
      </c>
      <c r="C3138" s="1" t="s">
        <v>336</v>
      </c>
      <c r="D3138" s="52">
        <v>46057.640972222223</v>
      </c>
      <c r="E3138" s="52">
        <v>46057.640972222223</v>
      </c>
      <c r="F3138" s="52">
        <v>46057.640972222223</v>
      </c>
      <c r="G3138" s="53">
        <v>5.3240740740740744E-4</v>
      </c>
      <c r="H3138" s="1" t="s">
        <v>257</v>
      </c>
      <c r="J3138" s="1" t="s">
        <v>371</v>
      </c>
      <c r="K3138" s="1" t="s">
        <v>653</v>
      </c>
      <c r="L3138" s="1" t="s">
        <v>1798</v>
      </c>
    </row>
    <row r="3139" spans="2:12">
      <c r="B3139" s="1" t="s">
        <v>667</v>
      </c>
      <c r="C3139" s="1" t="s">
        <v>336</v>
      </c>
      <c r="D3139" s="52">
        <v>46057.622916666667</v>
      </c>
      <c r="E3139" s="52">
        <v>46057.622916666667</v>
      </c>
      <c r="F3139" s="52">
        <v>46057.622916666667</v>
      </c>
      <c r="G3139" s="53">
        <v>5.0925925925925921E-4</v>
      </c>
      <c r="H3139" s="1" t="s">
        <v>257</v>
      </c>
      <c r="J3139" s="1" t="s">
        <v>371</v>
      </c>
      <c r="K3139" s="1" t="s">
        <v>653</v>
      </c>
      <c r="L3139" s="1" t="s">
        <v>1799</v>
      </c>
    </row>
    <row r="3140" spans="2:12">
      <c r="B3140" s="1" t="s">
        <v>667</v>
      </c>
      <c r="C3140" s="1" t="s">
        <v>336</v>
      </c>
      <c r="D3140" s="52">
        <v>46057.613194444442</v>
      </c>
      <c r="E3140" s="52">
        <v>46057.613194444442</v>
      </c>
      <c r="F3140" s="52">
        <v>46057.613194444442</v>
      </c>
      <c r="G3140" s="53">
        <v>5.4398148148148144E-4</v>
      </c>
      <c r="H3140" s="1" t="s">
        <v>257</v>
      </c>
      <c r="J3140" s="1" t="s">
        <v>371</v>
      </c>
      <c r="K3140" s="1" t="s">
        <v>653</v>
      </c>
      <c r="L3140" s="1" t="s">
        <v>1800</v>
      </c>
    </row>
    <row r="3141" spans="2:12">
      <c r="B3141" s="1" t="s">
        <v>667</v>
      </c>
      <c r="C3141" s="1" t="s">
        <v>336</v>
      </c>
      <c r="D3141" s="52">
        <v>46057.599999999999</v>
      </c>
      <c r="E3141" s="52">
        <v>46057.599999999999</v>
      </c>
      <c r="F3141" s="52">
        <v>46057.599999999999</v>
      </c>
      <c r="G3141" s="53">
        <v>5.4398148148148144E-4</v>
      </c>
      <c r="H3141" s="1" t="s">
        <v>257</v>
      </c>
      <c r="J3141" s="1" t="s">
        <v>371</v>
      </c>
      <c r="K3141" s="1" t="s">
        <v>653</v>
      </c>
      <c r="L3141" s="1" t="s">
        <v>1801</v>
      </c>
    </row>
    <row r="3142" spans="2:12">
      <c r="B3142" s="1" t="s">
        <v>667</v>
      </c>
      <c r="C3142" s="1" t="s">
        <v>336</v>
      </c>
      <c r="D3142" s="52">
        <v>46057.589583333334</v>
      </c>
      <c r="E3142" s="52">
        <v>46057.589583333334</v>
      </c>
      <c r="F3142" s="52">
        <v>46057.589583333334</v>
      </c>
      <c r="G3142" s="53">
        <v>5.4398148148148144E-4</v>
      </c>
      <c r="H3142" s="1" t="s">
        <v>257</v>
      </c>
      <c r="J3142" s="1" t="s">
        <v>371</v>
      </c>
      <c r="K3142" s="1" t="s">
        <v>653</v>
      </c>
      <c r="L3142" s="1" t="s">
        <v>1802</v>
      </c>
    </row>
    <row r="3143" spans="2:12">
      <c r="B3143" s="1" t="s">
        <v>667</v>
      </c>
      <c r="C3143" s="1" t="s">
        <v>336</v>
      </c>
      <c r="D3143" s="52">
        <v>46057.581250000003</v>
      </c>
      <c r="E3143" s="52">
        <v>46057.581250000003</v>
      </c>
      <c r="F3143" s="52">
        <v>46057.581944444442</v>
      </c>
      <c r="G3143" s="53">
        <v>4.9768518518518521E-4</v>
      </c>
      <c r="H3143" s="1" t="s">
        <v>257</v>
      </c>
      <c r="J3143" s="1" t="s">
        <v>371</v>
      </c>
      <c r="K3143" s="1" t="s">
        <v>653</v>
      </c>
      <c r="L3143" s="1" t="s">
        <v>1803</v>
      </c>
    </row>
    <row r="3144" spans="2:12">
      <c r="B3144" s="1" t="s">
        <v>667</v>
      </c>
      <c r="C3144" s="1" t="s">
        <v>336</v>
      </c>
      <c r="D3144" s="52">
        <v>46057.565972222219</v>
      </c>
      <c r="E3144" s="52">
        <v>46057.565972222219</v>
      </c>
      <c r="F3144" s="52">
        <v>46057.567361111112</v>
      </c>
      <c r="G3144" s="53">
        <v>1.1458333333333333E-3</v>
      </c>
      <c r="H3144" s="1" t="s">
        <v>257</v>
      </c>
      <c r="J3144" s="1" t="s">
        <v>371</v>
      </c>
      <c r="K3144" s="1" t="s">
        <v>653</v>
      </c>
      <c r="L3144" s="1" t="s">
        <v>1804</v>
      </c>
    </row>
    <row r="3145" spans="2:12">
      <c r="B3145" s="1" t="s">
        <v>667</v>
      </c>
      <c r="C3145" s="1" t="s">
        <v>336</v>
      </c>
      <c r="D3145" s="52">
        <v>46057.556944444441</v>
      </c>
      <c r="E3145" s="52">
        <v>46057.556944444441</v>
      </c>
      <c r="F3145" s="52">
        <v>46057.557638888888</v>
      </c>
      <c r="G3145" s="53">
        <v>5.4398148148148144E-4</v>
      </c>
      <c r="H3145" s="1" t="s">
        <v>257</v>
      </c>
      <c r="J3145" s="1" t="s">
        <v>371</v>
      </c>
      <c r="K3145" s="1" t="s">
        <v>653</v>
      </c>
      <c r="L3145" s="1" t="s">
        <v>1805</v>
      </c>
    </row>
    <row r="3146" spans="2:12">
      <c r="B3146" s="1" t="s">
        <v>667</v>
      </c>
      <c r="C3146" s="1" t="s">
        <v>336</v>
      </c>
      <c r="D3146" s="52">
        <v>46057.546527777777</v>
      </c>
      <c r="E3146" s="52">
        <v>46057.546527777777</v>
      </c>
      <c r="F3146" s="52">
        <v>46057.547222222223</v>
      </c>
      <c r="G3146" s="53">
        <v>5.6712962962962967E-4</v>
      </c>
      <c r="H3146" s="1" t="s">
        <v>257</v>
      </c>
      <c r="J3146" s="1" t="s">
        <v>371</v>
      </c>
      <c r="K3146" s="1" t="s">
        <v>653</v>
      </c>
      <c r="L3146" s="1" t="s">
        <v>1806</v>
      </c>
    </row>
    <row r="3147" spans="2:12">
      <c r="B3147" s="1" t="s">
        <v>667</v>
      </c>
      <c r="C3147" s="1" t="s">
        <v>336</v>
      </c>
      <c r="D3147" s="52">
        <v>46057.53125</v>
      </c>
      <c r="E3147" s="52">
        <v>46057.53125</v>
      </c>
      <c r="F3147" s="52">
        <v>46057.531944444447</v>
      </c>
      <c r="G3147" s="53">
        <v>5.7870370370370367E-4</v>
      </c>
      <c r="H3147" s="1" t="s">
        <v>257</v>
      </c>
      <c r="J3147" s="1" t="s">
        <v>371</v>
      </c>
      <c r="K3147" s="1" t="s">
        <v>653</v>
      </c>
      <c r="L3147" s="1" t="s">
        <v>1807</v>
      </c>
    </row>
    <row r="3148" spans="2:12">
      <c r="B3148" s="1" t="s">
        <v>667</v>
      </c>
      <c r="C3148" s="1" t="s">
        <v>336</v>
      </c>
      <c r="D3148" s="52">
        <v>46057.520138888889</v>
      </c>
      <c r="E3148" s="52">
        <v>46057.520138888889</v>
      </c>
      <c r="F3148" s="52">
        <v>46057.520833333336</v>
      </c>
      <c r="G3148" s="53">
        <v>5.4398148148148144E-4</v>
      </c>
      <c r="H3148" s="1" t="s">
        <v>257</v>
      </c>
      <c r="J3148" s="1" t="s">
        <v>371</v>
      </c>
      <c r="K3148" s="1" t="s">
        <v>653</v>
      </c>
      <c r="L3148" s="1" t="s">
        <v>1808</v>
      </c>
    </row>
    <row r="3149" spans="2:12">
      <c r="B3149" s="1" t="s">
        <v>667</v>
      </c>
      <c r="C3149" s="1" t="s">
        <v>336</v>
      </c>
      <c r="D3149" s="52">
        <v>46057.509027777778</v>
      </c>
      <c r="E3149" s="52">
        <v>46057.509027777778</v>
      </c>
      <c r="F3149" s="52">
        <v>46057.509027777778</v>
      </c>
      <c r="G3149" s="53">
        <v>5.0925925925925921E-4</v>
      </c>
      <c r="H3149" s="1" t="s">
        <v>257</v>
      </c>
      <c r="J3149" s="1" t="s">
        <v>371</v>
      </c>
      <c r="K3149" s="1" t="s">
        <v>653</v>
      </c>
      <c r="L3149" s="1" t="s">
        <v>1809</v>
      </c>
    </row>
    <row r="3150" spans="2:12">
      <c r="B3150" s="1" t="s">
        <v>667</v>
      </c>
      <c r="C3150" s="1" t="s">
        <v>336</v>
      </c>
      <c r="D3150" s="52">
        <v>46057.499305555553</v>
      </c>
      <c r="E3150" s="52">
        <v>46057.499305555553</v>
      </c>
      <c r="F3150" s="52">
        <v>46057.499305555553</v>
      </c>
      <c r="G3150" s="53">
        <v>5.2083333333333333E-4</v>
      </c>
      <c r="H3150" s="1" t="s">
        <v>257</v>
      </c>
      <c r="J3150" s="1" t="s">
        <v>371</v>
      </c>
      <c r="K3150" s="1" t="s">
        <v>653</v>
      </c>
      <c r="L3150" s="1" t="s">
        <v>1810</v>
      </c>
    </row>
    <row r="3151" spans="2:12">
      <c r="B3151" s="1" t="s">
        <v>667</v>
      </c>
      <c r="C3151" s="1" t="s">
        <v>336</v>
      </c>
      <c r="D3151" s="52">
        <v>46057.486111111109</v>
      </c>
      <c r="E3151" s="52">
        <v>46057.486111111109</v>
      </c>
      <c r="F3151" s="52">
        <v>46057.486805555556</v>
      </c>
      <c r="G3151" s="53">
        <v>5.0925925925925921E-4</v>
      </c>
      <c r="H3151" s="1" t="s">
        <v>257</v>
      </c>
      <c r="J3151" s="1" t="s">
        <v>371</v>
      </c>
      <c r="K3151" s="1" t="s">
        <v>653</v>
      </c>
      <c r="L3151" s="1" t="s">
        <v>1811</v>
      </c>
    </row>
    <row r="3152" spans="2:12">
      <c r="B3152" s="1" t="s">
        <v>667</v>
      </c>
      <c r="C3152" s="1" t="s">
        <v>336</v>
      </c>
      <c r="D3152" s="52">
        <v>46057.478472222225</v>
      </c>
      <c r="E3152" s="52">
        <v>46057.478472222225</v>
      </c>
      <c r="F3152" s="52">
        <v>46057.479166666664</v>
      </c>
      <c r="G3152" s="53">
        <v>5.0925925925925921E-4</v>
      </c>
      <c r="H3152" s="1" t="s">
        <v>257</v>
      </c>
      <c r="J3152" s="1" t="s">
        <v>371</v>
      </c>
      <c r="K3152" s="1" t="s">
        <v>653</v>
      </c>
      <c r="L3152" s="1" t="s">
        <v>1812</v>
      </c>
    </row>
    <row r="3153" spans="2:12">
      <c r="B3153" s="1" t="s">
        <v>667</v>
      </c>
      <c r="C3153" s="1" t="s">
        <v>336</v>
      </c>
      <c r="D3153" s="52">
        <v>46057.469444444447</v>
      </c>
      <c r="E3153" s="52">
        <v>46057.469444444447</v>
      </c>
      <c r="F3153" s="52">
        <v>46057.470138888886</v>
      </c>
      <c r="G3153" s="53">
        <v>5.2083333333333333E-4</v>
      </c>
      <c r="H3153" s="1" t="s">
        <v>257</v>
      </c>
      <c r="J3153" s="1" t="s">
        <v>371</v>
      </c>
      <c r="K3153" s="1" t="s">
        <v>653</v>
      </c>
      <c r="L3153" s="1" t="s">
        <v>1813</v>
      </c>
    </row>
    <row r="3154" spans="2:12">
      <c r="B3154" s="1" t="s">
        <v>667</v>
      </c>
      <c r="C3154" s="1" t="s">
        <v>336</v>
      </c>
      <c r="D3154" s="52">
        <v>46057.45416666667</v>
      </c>
      <c r="E3154" s="52">
        <v>46057.45416666667</v>
      </c>
      <c r="F3154" s="52">
        <v>46057.45416666667</v>
      </c>
      <c r="G3154" s="53">
        <v>5.0925925925925921E-4</v>
      </c>
      <c r="H3154" s="1" t="s">
        <v>257</v>
      </c>
      <c r="J3154" s="1" t="s">
        <v>371</v>
      </c>
      <c r="K3154" s="1" t="s">
        <v>653</v>
      </c>
      <c r="L3154" s="1" t="s">
        <v>1814</v>
      </c>
    </row>
    <row r="3155" spans="2:12">
      <c r="B3155" s="1" t="s">
        <v>667</v>
      </c>
      <c r="C3155" s="1" t="s">
        <v>336</v>
      </c>
      <c r="D3155" s="52">
        <v>46057.433333333334</v>
      </c>
      <c r="E3155" s="52">
        <v>46057.433333333334</v>
      </c>
      <c r="F3155" s="52">
        <v>46057.434027777781</v>
      </c>
      <c r="G3155" s="53">
        <v>5.0925925925925921E-4</v>
      </c>
      <c r="H3155" s="1" t="s">
        <v>257</v>
      </c>
      <c r="J3155" s="1" t="s">
        <v>371</v>
      </c>
      <c r="K3155" s="1" t="s">
        <v>653</v>
      </c>
      <c r="L3155" s="1" t="s">
        <v>1815</v>
      </c>
    </row>
    <row r="3156" spans="2:12">
      <c r="B3156" s="1" t="s">
        <v>667</v>
      </c>
      <c r="C3156" s="1" t="s">
        <v>336</v>
      </c>
      <c r="D3156" s="52">
        <v>46057.426388888889</v>
      </c>
      <c r="E3156" s="52">
        <v>46057.426388888889</v>
      </c>
      <c r="F3156" s="52">
        <v>46057.426388888889</v>
      </c>
      <c r="G3156" s="53">
        <v>5.2083333333333333E-4</v>
      </c>
      <c r="H3156" s="1" t="s">
        <v>257</v>
      </c>
      <c r="J3156" s="1" t="s">
        <v>371</v>
      </c>
      <c r="K3156" s="1" t="s">
        <v>653</v>
      </c>
      <c r="L3156" s="1" t="s">
        <v>1816</v>
      </c>
    </row>
    <row r="3157" spans="2:12">
      <c r="B3157" s="1" t="s">
        <v>667</v>
      </c>
      <c r="C3157" s="1" t="s">
        <v>336</v>
      </c>
      <c r="D3157" s="52">
        <v>46057.418749999997</v>
      </c>
      <c r="E3157" s="52">
        <v>46057.418749999997</v>
      </c>
      <c r="F3157" s="52">
        <v>46057.419444444444</v>
      </c>
      <c r="G3157" s="53">
        <v>5.2083333333333333E-4</v>
      </c>
      <c r="H3157" s="1" t="s">
        <v>257</v>
      </c>
      <c r="J3157" s="1" t="s">
        <v>371</v>
      </c>
      <c r="K3157" s="1" t="s">
        <v>653</v>
      </c>
      <c r="L3157" s="1" t="s">
        <v>1817</v>
      </c>
    </row>
    <row r="3158" spans="2:12">
      <c r="B3158" s="1" t="s">
        <v>667</v>
      </c>
      <c r="C3158" s="1" t="s">
        <v>336</v>
      </c>
      <c r="D3158" s="52">
        <v>46057.410416666666</v>
      </c>
      <c r="E3158" s="52">
        <v>46057.410416666666</v>
      </c>
      <c r="F3158" s="52">
        <v>46057.411111111112</v>
      </c>
      <c r="G3158" s="53">
        <v>5.0925925925925921E-4</v>
      </c>
      <c r="H3158" s="1" t="s">
        <v>257</v>
      </c>
      <c r="J3158" s="1" t="s">
        <v>371</v>
      </c>
      <c r="K3158" s="1" t="s">
        <v>653</v>
      </c>
      <c r="L3158" s="1" t="s">
        <v>1818</v>
      </c>
    </row>
    <row r="3159" spans="2:12">
      <c r="B3159" s="1" t="s">
        <v>667</v>
      </c>
      <c r="C3159" s="1" t="s">
        <v>336</v>
      </c>
      <c r="D3159" s="52">
        <v>46057.402083333334</v>
      </c>
      <c r="E3159" s="52">
        <v>46057.402083333334</v>
      </c>
      <c r="F3159" s="52">
        <v>46057.402083333334</v>
      </c>
      <c r="G3159" s="53">
        <v>5.0925925925925921E-4</v>
      </c>
      <c r="H3159" s="1" t="s">
        <v>257</v>
      </c>
      <c r="J3159" s="1" t="s">
        <v>371</v>
      </c>
      <c r="K3159" s="1" t="s">
        <v>653</v>
      </c>
      <c r="L3159" s="1" t="s">
        <v>1819</v>
      </c>
    </row>
    <row r="3160" spans="2:12">
      <c r="B3160" s="1" t="s">
        <v>667</v>
      </c>
      <c r="C3160" s="1" t="s">
        <v>336</v>
      </c>
      <c r="D3160" s="52">
        <v>46057.382638888892</v>
      </c>
      <c r="E3160" s="52">
        <v>46057.382638888892</v>
      </c>
      <c r="F3160" s="52">
        <v>46057.383333333331</v>
      </c>
      <c r="G3160" s="53">
        <v>5.2083333333333333E-4</v>
      </c>
      <c r="H3160" s="1" t="s">
        <v>257</v>
      </c>
      <c r="J3160" s="1" t="s">
        <v>371</v>
      </c>
      <c r="K3160" s="1" t="s">
        <v>653</v>
      </c>
      <c r="L3160" s="1" t="s">
        <v>1820</v>
      </c>
    </row>
    <row r="3161" spans="2:12">
      <c r="B3161" s="1" t="s">
        <v>667</v>
      </c>
      <c r="C3161" s="1" t="s">
        <v>336</v>
      </c>
      <c r="D3161" s="52">
        <v>46057.370833333334</v>
      </c>
      <c r="E3161" s="52">
        <v>46057.370833333334</v>
      </c>
      <c r="F3161" s="52">
        <v>46057.370833333334</v>
      </c>
      <c r="G3161" s="53">
        <v>5.4398148148148144E-4</v>
      </c>
      <c r="H3161" s="1" t="s">
        <v>257</v>
      </c>
      <c r="J3161" s="1" t="s">
        <v>371</v>
      </c>
      <c r="K3161" s="1" t="s">
        <v>653</v>
      </c>
      <c r="L3161" s="1" t="s">
        <v>1821</v>
      </c>
    </row>
    <row r="3162" spans="2:12">
      <c r="B3162" s="1" t="s">
        <v>667</v>
      </c>
      <c r="C3162" s="1" t="s">
        <v>336</v>
      </c>
      <c r="D3162" s="52">
        <v>46057.313888888886</v>
      </c>
      <c r="E3162" s="52">
        <v>46057.313888888886</v>
      </c>
      <c r="F3162" s="52">
        <v>46057.314583333333</v>
      </c>
      <c r="G3162" s="53">
        <v>5.4398148148148144E-4</v>
      </c>
      <c r="H3162" s="1" t="s">
        <v>257</v>
      </c>
      <c r="J3162" s="1" t="s">
        <v>371</v>
      </c>
      <c r="K3162" s="1" t="s">
        <v>653</v>
      </c>
      <c r="L3162" s="1" t="s">
        <v>1822</v>
      </c>
    </row>
    <row r="3163" spans="2:12">
      <c r="B3163" s="1" t="s">
        <v>667</v>
      </c>
      <c r="C3163" s="1" t="s">
        <v>336</v>
      </c>
      <c r="D3163" s="52">
        <v>46057.263194444444</v>
      </c>
      <c r="E3163" s="52">
        <v>46057.263194444444</v>
      </c>
      <c r="F3163" s="52">
        <v>46057.263888888891</v>
      </c>
      <c r="G3163" s="53">
        <v>5.7870370370370367E-4</v>
      </c>
      <c r="H3163" s="1" t="s">
        <v>257</v>
      </c>
      <c r="J3163" s="1" t="s">
        <v>371</v>
      </c>
      <c r="K3163" s="1" t="s">
        <v>653</v>
      </c>
      <c r="L3163" s="1" t="s">
        <v>1823</v>
      </c>
    </row>
    <row r="3164" spans="2:12">
      <c r="B3164" s="1" t="s">
        <v>667</v>
      </c>
      <c r="C3164" s="1" t="s">
        <v>336</v>
      </c>
      <c r="D3164" s="52">
        <v>46057.239583333336</v>
      </c>
      <c r="E3164" s="52">
        <v>46057.239583333336</v>
      </c>
      <c r="F3164" s="52">
        <v>46057.263194444444</v>
      </c>
      <c r="G3164" s="53">
        <v>2.3425925925925926E-2</v>
      </c>
      <c r="H3164" s="1" t="s">
        <v>257</v>
      </c>
      <c r="J3164" s="1" t="s">
        <v>371</v>
      </c>
      <c r="K3164" s="1" t="s">
        <v>653</v>
      </c>
      <c r="L3164" s="1" t="s">
        <v>1824</v>
      </c>
    </row>
    <row r="3165" spans="2:12">
      <c r="B3165" s="1" t="s">
        <v>667</v>
      </c>
      <c r="C3165" s="1" t="s">
        <v>336</v>
      </c>
      <c r="D3165" s="52">
        <v>46057.238888888889</v>
      </c>
      <c r="E3165" s="52">
        <v>46057.238888888889</v>
      </c>
      <c r="F3165" s="52">
        <v>46057.263194444444</v>
      </c>
      <c r="G3165" s="53">
        <v>2.3796296296296298E-2</v>
      </c>
      <c r="H3165" s="1" t="s">
        <v>257</v>
      </c>
      <c r="J3165" s="1" t="s">
        <v>371</v>
      </c>
      <c r="K3165" s="1" t="s">
        <v>653</v>
      </c>
      <c r="L3165" s="1" t="s">
        <v>1825</v>
      </c>
    </row>
    <row r="3166" spans="2:12">
      <c r="B3166" s="1" t="s">
        <v>667</v>
      </c>
      <c r="C3166" s="1" t="s">
        <v>336</v>
      </c>
      <c r="D3166" s="52">
        <v>46056.726388888892</v>
      </c>
      <c r="E3166" s="52">
        <v>46056.726388888892</v>
      </c>
      <c r="F3166" s="52">
        <v>46056.787499999999</v>
      </c>
      <c r="G3166" s="53">
        <v>6.0775462962962962E-2</v>
      </c>
      <c r="H3166" s="1" t="s">
        <v>257</v>
      </c>
      <c r="J3166" s="1" t="s">
        <v>371</v>
      </c>
      <c r="K3166" s="1" t="s">
        <v>653</v>
      </c>
      <c r="L3166" s="1" t="s">
        <v>1826</v>
      </c>
    </row>
    <row r="3167" spans="2:12">
      <c r="B3167" s="1" t="s">
        <v>667</v>
      </c>
      <c r="C3167" s="1" t="s">
        <v>336</v>
      </c>
      <c r="D3167" s="52">
        <v>46056.725694444445</v>
      </c>
      <c r="E3167" s="52">
        <v>46056.725694444445</v>
      </c>
      <c r="F3167" s="52">
        <v>46056.726388888892</v>
      </c>
      <c r="G3167" s="53">
        <v>4.861111111111111E-4</v>
      </c>
      <c r="H3167" s="1" t="s">
        <v>257</v>
      </c>
      <c r="J3167" s="1" t="s">
        <v>371</v>
      </c>
      <c r="K3167" s="1" t="s">
        <v>653</v>
      </c>
      <c r="L3167" s="1" t="s">
        <v>1827</v>
      </c>
    </row>
    <row r="3168" spans="2:12">
      <c r="B3168" s="1" t="s">
        <v>667</v>
      </c>
      <c r="C3168" s="1" t="s">
        <v>336</v>
      </c>
      <c r="D3168" s="52">
        <v>46056.720833333333</v>
      </c>
      <c r="E3168" s="52">
        <v>46056.720833333333</v>
      </c>
      <c r="F3168" s="52">
        <v>46056.725694444445</v>
      </c>
      <c r="G3168" s="53">
        <v>4.5601851851851853E-3</v>
      </c>
      <c r="H3168" s="1" t="s">
        <v>257</v>
      </c>
      <c r="J3168" s="1" t="s">
        <v>371</v>
      </c>
      <c r="K3168" s="1" t="s">
        <v>653</v>
      </c>
      <c r="L3168" s="1" t="s">
        <v>1828</v>
      </c>
    </row>
    <row r="3169" spans="2:12">
      <c r="B3169" s="1" t="s">
        <v>667</v>
      </c>
      <c r="C3169" s="1" t="s">
        <v>336</v>
      </c>
      <c r="D3169" s="52">
        <v>46056.669444444444</v>
      </c>
      <c r="E3169" s="52">
        <v>46056.669444444444</v>
      </c>
      <c r="F3169" s="52">
        <v>46056.677777777775</v>
      </c>
      <c r="G3169" s="53">
        <v>7.9861111111111105E-3</v>
      </c>
      <c r="H3169" s="1" t="s">
        <v>257</v>
      </c>
      <c r="J3169" s="1" t="s">
        <v>371</v>
      </c>
      <c r="K3169" s="1" t="s">
        <v>653</v>
      </c>
      <c r="L3169" s="1" t="s">
        <v>1829</v>
      </c>
    </row>
    <row r="3170" spans="2:12">
      <c r="B3170" s="1" t="s">
        <v>667</v>
      </c>
      <c r="C3170" s="1" t="s">
        <v>336</v>
      </c>
      <c r="D3170" s="52">
        <v>46056.65</v>
      </c>
      <c r="E3170" s="52">
        <v>46056.65</v>
      </c>
      <c r="F3170" s="52">
        <v>46056.65</v>
      </c>
      <c r="G3170" s="53">
        <v>5.4398148148148144E-4</v>
      </c>
      <c r="H3170" s="1" t="s">
        <v>257</v>
      </c>
      <c r="J3170" s="1" t="s">
        <v>371</v>
      </c>
      <c r="K3170" s="1" t="s">
        <v>653</v>
      </c>
      <c r="L3170" s="1" t="s">
        <v>1830</v>
      </c>
    </row>
    <row r="3171" spans="2:12">
      <c r="B3171" s="1" t="s">
        <v>667</v>
      </c>
      <c r="C3171" s="1" t="s">
        <v>336</v>
      </c>
      <c r="D3171" s="52">
        <v>46056.629861111112</v>
      </c>
      <c r="E3171" s="52">
        <v>46056.629861111112</v>
      </c>
      <c r="F3171" s="52">
        <v>46056.630555555559</v>
      </c>
      <c r="G3171" s="53">
        <v>5.4398148148148144E-4</v>
      </c>
      <c r="H3171" s="1" t="s">
        <v>257</v>
      </c>
      <c r="J3171" s="1" t="s">
        <v>371</v>
      </c>
      <c r="K3171" s="1" t="s">
        <v>653</v>
      </c>
      <c r="L3171" s="1" t="s">
        <v>1831</v>
      </c>
    </row>
    <row r="3172" spans="2:12">
      <c r="B3172" s="1" t="s">
        <v>667</v>
      </c>
      <c r="C3172" s="1" t="s">
        <v>336</v>
      </c>
      <c r="D3172" s="52">
        <v>46056.622916666667</v>
      </c>
      <c r="E3172" s="52">
        <v>46056.622916666667</v>
      </c>
      <c r="F3172" s="52">
        <v>46056.622916666667</v>
      </c>
      <c r="G3172" s="53">
        <v>5.0925925925925921E-4</v>
      </c>
      <c r="H3172" s="1" t="s">
        <v>257</v>
      </c>
      <c r="J3172" s="1" t="s">
        <v>371</v>
      </c>
      <c r="K3172" s="1" t="s">
        <v>653</v>
      </c>
      <c r="L3172" s="1" t="s">
        <v>1832</v>
      </c>
    </row>
    <row r="3173" spans="2:12">
      <c r="B3173" s="1" t="s">
        <v>667</v>
      </c>
      <c r="C3173" s="1" t="s">
        <v>336</v>
      </c>
      <c r="D3173" s="52">
        <v>46056.602777777778</v>
      </c>
      <c r="E3173" s="52">
        <v>46056.602777777778</v>
      </c>
      <c r="F3173" s="52">
        <v>46056.603472222225</v>
      </c>
      <c r="G3173" s="53">
        <v>5.2083333333333333E-4</v>
      </c>
      <c r="H3173" s="1" t="s">
        <v>257</v>
      </c>
      <c r="J3173" s="1" t="s">
        <v>371</v>
      </c>
      <c r="K3173" s="1" t="s">
        <v>653</v>
      </c>
      <c r="L3173" s="1" t="s">
        <v>1833</v>
      </c>
    </row>
    <row r="3174" spans="2:12">
      <c r="B3174" s="1" t="s">
        <v>667</v>
      </c>
      <c r="C3174" s="1" t="s">
        <v>336</v>
      </c>
      <c r="D3174" s="52">
        <v>46056.576388888891</v>
      </c>
      <c r="E3174" s="52">
        <v>46056.576388888891</v>
      </c>
      <c r="F3174" s="52">
        <v>46056.577777777777</v>
      </c>
      <c r="G3174" s="53">
        <v>1.0879629629629629E-3</v>
      </c>
      <c r="H3174" s="1" t="s">
        <v>257</v>
      </c>
      <c r="J3174" s="1" t="s">
        <v>371</v>
      </c>
      <c r="K3174" s="1" t="s">
        <v>653</v>
      </c>
      <c r="L3174" s="1" t="s">
        <v>1834</v>
      </c>
    </row>
    <row r="3175" spans="2:12">
      <c r="B3175" s="1" t="s">
        <v>667</v>
      </c>
      <c r="C3175" s="1" t="s">
        <v>336</v>
      </c>
      <c r="D3175" s="52">
        <v>46056.570833333331</v>
      </c>
      <c r="E3175" s="52">
        <v>46056.570833333331</v>
      </c>
      <c r="F3175" s="52">
        <v>46056.571527777778</v>
      </c>
      <c r="G3175" s="53">
        <v>5.3240740740740744E-4</v>
      </c>
      <c r="H3175" s="1" t="s">
        <v>257</v>
      </c>
      <c r="J3175" s="1" t="s">
        <v>371</v>
      </c>
      <c r="K3175" s="1" t="s">
        <v>653</v>
      </c>
      <c r="L3175" s="1" t="s">
        <v>1835</v>
      </c>
    </row>
    <row r="3176" spans="2:12">
      <c r="B3176" s="1" t="s">
        <v>667</v>
      </c>
      <c r="C3176" s="1" t="s">
        <v>336</v>
      </c>
      <c r="D3176" s="52">
        <v>46056.553472222222</v>
      </c>
      <c r="E3176" s="52">
        <v>46056.553472222222</v>
      </c>
      <c r="F3176" s="52">
        <v>46056.555555555555</v>
      </c>
      <c r="G3176" s="53">
        <v>2.488425925925926E-3</v>
      </c>
      <c r="H3176" s="1" t="s">
        <v>257</v>
      </c>
      <c r="J3176" s="1" t="s">
        <v>371</v>
      </c>
      <c r="K3176" s="1" t="s">
        <v>653</v>
      </c>
      <c r="L3176" s="1" t="s">
        <v>1836</v>
      </c>
    </row>
    <row r="3177" spans="2:12">
      <c r="B3177" s="1" t="s">
        <v>667</v>
      </c>
      <c r="C3177" s="1" t="s">
        <v>336</v>
      </c>
      <c r="D3177" s="52">
        <v>46056.537499999999</v>
      </c>
      <c r="E3177" s="52">
        <v>46056.537499999999</v>
      </c>
      <c r="F3177" s="52">
        <v>46056.538194444445</v>
      </c>
      <c r="G3177" s="53">
        <v>1.1805555555555556E-3</v>
      </c>
      <c r="H3177" s="1" t="s">
        <v>257</v>
      </c>
      <c r="J3177" s="1" t="s">
        <v>371</v>
      </c>
      <c r="K3177" s="1" t="s">
        <v>653</v>
      </c>
      <c r="L3177" s="1" t="s">
        <v>1837</v>
      </c>
    </row>
    <row r="3178" spans="2:12">
      <c r="B3178" s="1" t="s">
        <v>667</v>
      </c>
      <c r="C3178" s="1" t="s">
        <v>336</v>
      </c>
      <c r="D3178" s="52">
        <v>46056.527777777781</v>
      </c>
      <c r="E3178" s="52">
        <v>46056.527777777781</v>
      </c>
      <c r="F3178" s="52">
        <v>46056.52847222222</v>
      </c>
      <c r="G3178" s="53">
        <v>5.6712962962962967E-4</v>
      </c>
      <c r="H3178" s="1" t="s">
        <v>257</v>
      </c>
      <c r="J3178" s="1" t="s">
        <v>371</v>
      </c>
      <c r="K3178" s="1" t="s">
        <v>653</v>
      </c>
      <c r="L3178" s="1" t="s">
        <v>1838</v>
      </c>
    </row>
    <row r="3179" spans="2:12">
      <c r="B3179" s="1" t="s">
        <v>667</v>
      </c>
      <c r="C3179" s="1" t="s">
        <v>336</v>
      </c>
      <c r="D3179" s="52">
        <v>46056.522222222222</v>
      </c>
      <c r="E3179" s="52">
        <v>46056.522222222222</v>
      </c>
      <c r="F3179" s="52">
        <v>46056.522916666669</v>
      </c>
      <c r="G3179" s="53">
        <v>5.2083333333333333E-4</v>
      </c>
      <c r="H3179" s="1" t="s">
        <v>257</v>
      </c>
      <c r="J3179" s="1" t="s">
        <v>371</v>
      </c>
      <c r="K3179" s="1" t="s">
        <v>653</v>
      </c>
      <c r="L3179" s="1" t="s">
        <v>1839</v>
      </c>
    </row>
    <row r="3180" spans="2:12">
      <c r="B3180" s="1" t="s">
        <v>667</v>
      </c>
      <c r="C3180" s="1" t="s">
        <v>336</v>
      </c>
      <c r="D3180" s="52">
        <v>46056.513194444444</v>
      </c>
      <c r="E3180" s="52">
        <v>46056.513194444444</v>
      </c>
      <c r="F3180" s="52">
        <v>46056.513888888891</v>
      </c>
      <c r="G3180" s="53">
        <v>5.0925925925925921E-4</v>
      </c>
      <c r="H3180" s="1" t="s">
        <v>257</v>
      </c>
      <c r="J3180" s="1" t="s">
        <v>371</v>
      </c>
      <c r="K3180" s="1" t="s">
        <v>653</v>
      </c>
      <c r="L3180" s="1" t="s">
        <v>1840</v>
      </c>
    </row>
    <row r="3181" spans="2:12">
      <c r="B3181" s="1" t="s">
        <v>667</v>
      </c>
      <c r="C3181" s="1" t="s">
        <v>336</v>
      </c>
      <c r="D3181" s="52">
        <v>46056.502083333333</v>
      </c>
      <c r="E3181" s="52">
        <v>46056.502083333333</v>
      </c>
      <c r="F3181" s="52">
        <v>46056.502083333333</v>
      </c>
      <c r="G3181" s="53">
        <v>5.2083333333333333E-4</v>
      </c>
      <c r="H3181" s="1" t="s">
        <v>257</v>
      </c>
      <c r="J3181" s="1" t="s">
        <v>371</v>
      </c>
      <c r="K3181" s="1" t="s">
        <v>653</v>
      </c>
      <c r="L3181" s="1" t="s">
        <v>1841</v>
      </c>
    </row>
    <row r="3182" spans="2:12">
      <c r="B3182" s="1" t="s">
        <v>667</v>
      </c>
      <c r="C3182" s="1" t="s">
        <v>336</v>
      </c>
      <c r="D3182" s="52">
        <v>46056.486111111109</v>
      </c>
      <c r="E3182" s="52">
        <v>46056.486111111109</v>
      </c>
      <c r="F3182" s="52">
        <v>46056.486111111109</v>
      </c>
      <c r="G3182" s="53">
        <v>5.2083333333333333E-4</v>
      </c>
      <c r="H3182" s="1" t="s">
        <v>257</v>
      </c>
      <c r="J3182" s="1" t="s">
        <v>371</v>
      </c>
      <c r="K3182" s="1" t="s">
        <v>653</v>
      </c>
      <c r="L3182" s="1" t="s">
        <v>1842</v>
      </c>
    </row>
    <row r="3183" spans="2:12">
      <c r="B3183" s="1" t="s">
        <v>667</v>
      </c>
      <c r="C3183" s="1" t="s">
        <v>336</v>
      </c>
      <c r="D3183" s="52">
        <v>46056.474999999999</v>
      </c>
      <c r="E3183" s="52">
        <v>46056.474999999999</v>
      </c>
      <c r="F3183" s="52">
        <v>46056.475694444445</v>
      </c>
      <c r="G3183" s="53">
        <v>5.2083333333333333E-4</v>
      </c>
      <c r="H3183" s="1" t="s">
        <v>257</v>
      </c>
      <c r="J3183" s="1" t="s">
        <v>371</v>
      </c>
      <c r="K3183" s="1" t="s">
        <v>653</v>
      </c>
      <c r="L3183" s="1" t="s">
        <v>1843</v>
      </c>
    </row>
    <row r="3184" spans="2:12">
      <c r="B3184" s="1" t="s">
        <v>667</v>
      </c>
      <c r="C3184" s="1" t="s">
        <v>336</v>
      </c>
      <c r="D3184" s="52">
        <v>46056.466666666667</v>
      </c>
      <c r="E3184" s="52">
        <v>46056.466666666667</v>
      </c>
      <c r="F3184" s="52">
        <v>46056.467361111114</v>
      </c>
      <c r="G3184" s="53">
        <v>5.2083333333333333E-4</v>
      </c>
      <c r="H3184" s="1" t="s">
        <v>257</v>
      </c>
      <c r="J3184" s="1" t="s">
        <v>371</v>
      </c>
      <c r="K3184" s="1" t="s">
        <v>653</v>
      </c>
      <c r="L3184" s="1" t="s">
        <v>1844</v>
      </c>
    </row>
    <row r="3185" spans="2:12">
      <c r="B3185" s="1" t="s">
        <v>667</v>
      </c>
      <c r="C3185" s="1" t="s">
        <v>336</v>
      </c>
      <c r="D3185" s="52">
        <v>46056.457638888889</v>
      </c>
      <c r="E3185" s="52">
        <v>46056.457638888889</v>
      </c>
      <c r="F3185" s="52">
        <v>46056.458333333336</v>
      </c>
      <c r="G3185" s="53">
        <v>5.0925925925925921E-4</v>
      </c>
      <c r="H3185" s="1" t="s">
        <v>257</v>
      </c>
      <c r="J3185" s="1" t="s">
        <v>371</v>
      </c>
      <c r="K3185" s="1" t="s">
        <v>653</v>
      </c>
      <c r="L3185" s="1" t="s">
        <v>1845</v>
      </c>
    </row>
    <row r="3186" spans="2:12">
      <c r="B3186" s="1" t="s">
        <v>667</v>
      </c>
      <c r="C3186" s="1" t="s">
        <v>336</v>
      </c>
      <c r="D3186" s="52">
        <v>46056.447916666664</v>
      </c>
      <c r="E3186" s="52">
        <v>46056.447916666664</v>
      </c>
      <c r="F3186" s="52">
        <v>46056.448611111111</v>
      </c>
      <c r="G3186" s="53">
        <v>5.2083333333333333E-4</v>
      </c>
      <c r="H3186" s="1" t="s">
        <v>257</v>
      </c>
      <c r="J3186" s="1" t="s">
        <v>371</v>
      </c>
      <c r="K3186" s="1" t="s">
        <v>653</v>
      </c>
      <c r="L3186" s="1" t="s">
        <v>1846</v>
      </c>
    </row>
    <row r="3187" spans="2:12">
      <c r="B3187" s="1" t="s">
        <v>667</v>
      </c>
      <c r="C3187" s="1" t="s">
        <v>336</v>
      </c>
      <c r="D3187" s="52">
        <v>46056.431944444441</v>
      </c>
      <c r="E3187" s="52">
        <v>46056.431944444441</v>
      </c>
      <c r="F3187" s="52">
        <v>46056.432638888888</v>
      </c>
      <c r="G3187" s="53">
        <v>5.0925925925925921E-4</v>
      </c>
      <c r="H3187" s="1" t="s">
        <v>257</v>
      </c>
      <c r="J3187" s="1" t="s">
        <v>371</v>
      </c>
      <c r="K3187" s="1" t="s">
        <v>653</v>
      </c>
      <c r="L3187" s="1" t="s">
        <v>1847</v>
      </c>
    </row>
    <row r="3188" spans="2:12">
      <c r="B3188" s="1" t="s">
        <v>667</v>
      </c>
      <c r="C3188" s="1" t="s">
        <v>336</v>
      </c>
      <c r="D3188" s="52">
        <v>46056.42291666667</v>
      </c>
      <c r="E3188" s="52">
        <v>46056.42291666667</v>
      </c>
      <c r="F3188" s="52">
        <v>46056.423611111109</v>
      </c>
      <c r="G3188" s="53">
        <v>5.0925925925925921E-4</v>
      </c>
      <c r="H3188" s="1" t="s">
        <v>257</v>
      </c>
      <c r="J3188" s="1" t="s">
        <v>371</v>
      </c>
      <c r="K3188" s="1" t="s">
        <v>653</v>
      </c>
      <c r="L3188" s="1" t="s">
        <v>1848</v>
      </c>
    </row>
    <row r="3189" spans="2:12">
      <c r="B3189" s="1" t="s">
        <v>667</v>
      </c>
      <c r="C3189" s="1" t="s">
        <v>336</v>
      </c>
      <c r="D3189" s="52">
        <v>46056.413888888892</v>
      </c>
      <c r="E3189" s="52">
        <v>46056.413888888892</v>
      </c>
      <c r="F3189" s="52">
        <v>46056.413888888892</v>
      </c>
      <c r="G3189" s="53">
        <v>5.2083333333333333E-4</v>
      </c>
      <c r="H3189" s="1" t="s">
        <v>257</v>
      </c>
      <c r="J3189" s="1" t="s">
        <v>371</v>
      </c>
      <c r="K3189" s="1" t="s">
        <v>653</v>
      </c>
      <c r="L3189" s="1" t="s">
        <v>1849</v>
      </c>
    </row>
    <row r="3190" spans="2:12">
      <c r="B3190" s="1" t="s">
        <v>667</v>
      </c>
      <c r="C3190" s="1" t="s">
        <v>336</v>
      </c>
      <c r="D3190" s="52">
        <v>46056.402777777781</v>
      </c>
      <c r="E3190" s="52">
        <v>46056.402777777781</v>
      </c>
      <c r="F3190" s="52">
        <v>46056.40347222222</v>
      </c>
      <c r="G3190" s="53">
        <v>5.0925925925925921E-4</v>
      </c>
      <c r="H3190" s="1" t="s">
        <v>257</v>
      </c>
      <c r="J3190" s="1" t="s">
        <v>371</v>
      </c>
      <c r="K3190" s="1" t="s">
        <v>653</v>
      </c>
      <c r="L3190" s="1" t="s">
        <v>1850</v>
      </c>
    </row>
    <row r="3191" spans="2:12">
      <c r="B3191" s="1" t="s">
        <v>667</v>
      </c>
      <c r="C3191" s="1" t="s">
        <v>336</v>
      </c>
      <c r="D3191" s="52">
        <v>46056.390972222223</v>
      </c>
      <c r="E3191" s="52">
        <v>46056.390972222223</v>
      </c>
      <c r="F3191" s="52">
        <v>46056.39166666667</v>
      </c>
      <c r="G3191" s="53">
        <v>4.9768518518518521E-4</v>
      </c>
      <c r="H3191" s="1" t="s">
        <v>257</v>
      </c>
      <c r="J3191" s="1" t="s">
        <v>371</v>
      </c>
      <c r="K3191" s="1" t="s">
        <v>653</v>
      </c>
      <c r="L3191" s="1" t="s">
        <v>1851</v>
      </c>
    </row>
    <row r="3192" spans="2:12">
      <c r="B3192" s="1" t="s">
        <v>667</v>
      </c>
      <c r="C3192" s="1" t="s">
        <v>336</v>
      </c>
      <c r="D3192" s="52">
        <v>46056.377083333333</v>
      </c>
      <c r="E3192" s="52">
        <v>46056.377083333333</v>
      </c>
      <c r="F3192" s="52">
        <v>46056.37777777778</v>
      </c>
      <c r="G3192" s="53">
        <v>5.2083333333333333E-4</v>
      </c>
      <c r="H3192" s="1" t="s">
        <v>257</v>
      </c>
      <c r="J3192" s="1" t="s">
        <v>371</v>
      </c>
      <c r="K3192" s="1" t="s">
        <v>653</v>
      </c>
      <c r="L3192" s="1" t="s">
        <v>1852</v>
      </c>
    </row>
    <row r="3193" spans="2:12">
      <c r="B3193" s="1" t="s">
        <v>667</v>
      </c>
      <c r="C3193" s="1" t="s">
        <v>336</v>
      </c>
      <c r="D3193" s="52">
        <v>46056.369444444441</v>
      </c>
      <c r="E3193" s="52">
        <v>46056.369444444441</v>
      </c>
      <c r="F3193" s="52">
        <v>46056.369444444441</v>
      </c>
      <c r="G3193" s="53">
        <v>5.0925925925925921E-4</v>
      </c>
      <c r="H3193" s="1" t="s">
        <v>257</v>
      </c>
      <c r="J3193" s="1" t="s">
        <v>371</v>
      </c>
      <c r="K3193" s="1" t="s">
        <v>653</v>
      </c>
      <c r="L3193" s="1" t="s">
        <v>1853</v>
      </c>
    </row>
    <row r="3194" spans="2:12">
      <c r="B3194" s="1" t="s">
        <v>667</v>
      </c>
      <c r="C3194" s="1" t="s">
        <v>336</v>
      </c>
      <c r="D3194" s="52">
        <v>46056.35833333333</v>
      </c>
      <c r="E3194" s="52">
        <v>46056.35833333333</v>
      </c>
      <c r="F3194" s="52">
        <v>46056.359027777777</v>
      </c>
      <c r="G3194" s="53">
        <v>4.9768518518518521E-4</v>
      </c>
      <c r="H3194" s="1" t="s">
        <v>257</v>
      </c>
      <c r="J3194" s="1" t="s">
        <v>371</v>
      </c>
      <c r="K3194" s="1" t="s">
        <v>653</v>
      </c>
      <c r="L3194" s="1" t="s">
        <v>1854</v>
      </c>
    </row>
    <row r="3195" spans="2:12">
      <c r="B3195" s="1" t="s">
        <v>667</v>
      </c>
      <c r="C3195" s="1" t="s">
        <v>336</v>
      </c>
      <c r="D3195" s="52">
        <v>46056.347222222219</v>
      </c>
      <c r="E3195" s="52">
        <v>46056.347222222219</v>
      </c>
      <c r="F3195" s="52">
        <v>46056.347916666666</v>
      </c>
      <c r="G3195" s="53">
        <v>5.4398148148148144E-4</v>
      </c>
      <c r="H3195" s="1" t="s">
        <v>257</v>
      </c>
      <c r="J3195" s="1" t="s">
        <v>371</v>
      </c>
      <c r="K3195" s="1" t="s">
        <v>653</v>
      </c>
      <c r="L3195" s="1" t="s">
        <v>1855</v>
      </c>
    </row>
    <row r="3196" spans="2:12">
      <c r="B3196" s="1" t="s">
        <v>667</v>
      </c>
      <c r="C3196" s="1" t="s">
        <v>336</v>
      </c>
      <c r="D3196" s="52">
        <v>46056.27847222222</v>
      </c>
      <c r="E3196" s="52">
        <v>46056.27847222222</v>
      </c>
      <c r="F3196" s="52">
        <v>46056.279166666667</v>
      </c>
      <c r="G3196" s="53">
        <v>5.0925925925925921E-4</v>
      </c>
      <c r="H3196" s="1" t="s">
        <v>257</v>
      </c>
      <c r="J3196" s="1" t="s">
        <v>371</v>
      </c>
      <c r="K3196" s="1" t="s">
        <v>653</v>
      </c>
      <c r="L3196" s="1" t="s">
        <v>1856</v>
      </c>
    </row>
    <row r="3197" spans="2:12">
      <c r="B3197" s="1" t="s">
        <v>667</v>
      </c>
      <c r="C3197" s="1" t="s">
        <v>336</v>
      </c>
      <c r="D3197" s="52">
        <v>46056.275000000001</v>
      </c>
      <c r="E3197" s="52">
        <v>46056.275000000001</v>
      </c>
      <c r="F3197" s="52">
        <v>46056.275000000001</v>
      </c>
      <c r="G3197" s="53">
        <v>5.3240740740740744E-4</v>
      </c>
      <c r="H3197" s="1" t="s">
        <v>257</v>
      </c>
      <c r="J3197" s="1" t="s">
        <v>371</v>
      </c>
      <c r="K3197" s="1" t="s">
        <v>653</v>
      </c>
      <c r="L3197" s="1" t="s">
        <v>1857</v>
      </c>
    </row>
    <row r="3198" spans="2:12">
      <c r="B3198" s="1" t="s">
        <v>667</v>
      </c>
      <c r="C3198" s="1" t="s">
        <v>336</v>
      </c>
      <c r="D3198" s="52">
        <v>46056.239583333336</v>
      </c>
      <c r="E3198" s="52">
        <v>46056.239583333336</v>
      </c>
      <c r="F3198" s="52">
        <v>46056.274305555555</v>
      </c>
      <c r="G3198" s="53">
        <v>3.4444444444444444E-2</v>
      </c>
      <c r="H3198" s="1" t="s">
        <v>257</v>
      </c>
      <c r="J3198" s="1" t="s">
        <v>371</v>
      </c>
      <c r="K3198" s="1" t="s">
        <v>653</v>
      </c>
      <c r="L3198" s="1" t="s">
        <v>1858</v>
      </c>
    </row>
    <row r="3199" spans="2:12">
      <c r="B3199" s="1" t="s">
        <v>667</v>
      </c>
      <c r="C3199" s="1" t="s">
        <v>336</v>
      </c>
      <c r="D3199" s="52">
        <v>46056.239583333336</v>
      </c>
      <c r="E3199" s="52">
        <v>46056.239583333336</v>
      </c>
      <c r="F3199" s="52">
        <v>46056.274305555555</v>
      </c>
      <c r="G3199" s="53">
        <v>3.4837962962962966E-2</v>
      </c>
      <c r="H3199" s="1" t="s">
        <v>257</v>
      </c>
      <c r="J3199" s="1" t="s">
        <v>371</v>
      </c>
      <c r="K3199" s="1" t="s">
        <v>653</v>
      </c>
      <c r="L3199" s="1" t="s">
        <v>1859</v>
      </c>
    </row>
    <row r="3200" spans="2:12">
      <c r="B3200" s="1" t="s">
        <v>667</v>
      </c>
      <c r="C3200" s="1" t="s">
        <v>336</v>
      </c>
      <c r="D3200" s="52">
        <v>46055.788194444445</v>
      </c>
      <c r="E3200" s="52">
        <v>46055.788194444445</v>
      </c>
      <c r="F3200" s="52">
        <v>46055.790277777778</v>
      </c>
      <c r="G3200" s="53">
        <v>1.7824074074074075E-3</v>
      </c>
      <c r="H3200" s="1" t="s">
        <v>257</v>
      </c>
      <c r="J3200" s="1" t="s">
        <v>371</v>
      </c>
      <c r="K3200" s="1" t="s">
        <v>653</v>
      </c>
      <c r="L3200" s="1" t="s">
        <v>1860</v>
      </c>
    </row>
    <row r="3201" spans="2:12">
      <c r="B3201" s="1" t="s">
        <v>667</v>
      </c>
      <c r="C3201" s="1" t="s">
        <v>336</v>
      </c>
      <c r="D3201" s="52">
        <v>46055.768750000003</v>
      </c>
      <c r="E3201" s="52">
        <v>46055.768750000003</v>
      </c>
      <c r="F3201" s="52">
        <v>46055.790277777778</v>
      </c>
      <c r="G3201" s="53">
        <v>2.1412037037037038E-2</v>
      </c>
      <c r="H3201" s="1" t="s">
        <v>257</v>
      </c>
      <c r="J3201" s="1" t="s">
        <v>371</v>
      </c>
      <c r="K3201" s="1" t="s">
        <v>653</v>
      </c>
      <c r="L3201" s="1" t="s">
        <v>1861</v>
      </c>
    </row>
    <row r="3202" spans="2:12">
      <c r="B3202" s="1" t="s">
        <v>667</v>
      </c>
      <c r="C3202" s="1" t="s">
        <v>336</v>
      </c>
      <c r="D3202" s="52">
        <v>46055.768055555556</v>
      </c>
      <c r="E3202" s="52">
        <v>46055.768055555556</v>
      </c>
      <c r="F3202" s="52">
        <v>46055.768750000003</v>
      </c>
      <c r="G3202" s="53">
        <v>5.5555555555555556E-4</v>
      </c>
      <c r="H3202" s="1" t="s">
        <v>257</v>
      </c>
      <c r="J3202" s="1" t="s">
        <v>371</v>
      </c>
      <c r="K3202" s="1" t="s">
        <v>653</v>
      </c>
      <c r="L3202" s="1" t="s">
        <v>1862</v>
      </c>
    </row>
    <row r="3203" spans="2:12">
      <c r="B3203" s="1" t="s">
        <v>667</v>
      </c>
      <c r="C3203" s="1" t="s">
        <v>336</v>
      </c>
      <c r="D3203" s="52">
        <v>46055.767361111109</v>
      </c>
      <c r="E3203" s="52">
        <v>46055.767361111109</v>
      </c>
      <c r="F3203" s="52">
        <v>46055.767361111109</v>
      </c>
      <c r="G3203" s="53">
        <v>5.2083333333333333E-4</v>
      </c>
      <c r="H3203" s="1" t="s">
        <v>257</v>
      </c>
      <c r="J3203" s="1" t="s">
        <v>371</v>
      </c>
      <c r="K3203" s="1" t="s">
        <v>653</v>
      </c>
      <c r="L3203" s="1" t="s">
        <v>1863</v>
      </c>
    </row>
    <row r="3204" spans="2:12">
      <c r="B3204" s="1" t="s">
        <v>667</v>
      </c>
      <c r="C3204" s="1" t="s">
        <v>336</v>
      </c>
      <c r="D3204" s="52">
        <v>46055.765277777777</v>
      </c>
      <c r="E3204" s="52">
        <v>46055.765277777777</v>
      </c>
      <c r="F3204" s="52">
        <v>46055.76666666667</v>
      </c>
      <c r="G3204" s="53">
        <v>1.0763888888888889E-3</v>
      </c>
      <c r="H3204" s="1" t="s">
        <v>257</v>
      </c>
      <c r="J3204" s="1" t="s">
        <v>371</v>
      </c>
      <c r="K3204" s="1" t="s">
        <v>653</v>
      </c>
      <c r="L3204" s="1" t="s">
        <v>1864</v>
      </c>
    </row>
    <row r="3205" spans="2:12">
      <c r="B3205" s="1" t="s">
        <v>667</v>
      </c>
      <c r="C3205" s="1" t="s">
        <v>336</v>
      </c>
      <c r="D3205" s="52">
        <v>46055.716666666667</v>
      </c>
      <c r="E3205" s="52">
        <v>46055.716666666667</v>
      </c>
      <c r="F3205" s="52">
        <v>46055.717361111114</v>
      </c>
      <c r="G3205" s="53">
        <v>5.4398148148148144E-4</v>
      </c>
      <c r="H3205" s="1" t="s">
        <v>257</v>
      </c>
      <c r="J3205" s="1" t="s">
        <v>371</v>
      </c>
      <c r="K3205" s="1" t="s">
        <v>653</v>
      </c>
      <c r="L3205" s="1" t="s">
        <v>1865</v>
      </c>
    </row>
    <row r="3206" spans="2:12">
      <c r="B3206" s="1" t="s">
        <v>667</v>
      </c>
      <c r="C3206" s="1" t="s">
        <v>336</v>
      </c>
      <c r="D3206" s="52">
        <v>46055.709722222222</v>
      </c>
      <c r="E3206" s="52">
        <v>46055.709722222222</v>
      </c>
      <c r="F3206" s="52">
        <v>46055.710416666669</v>
      </c>
      <c r="G3206" s="53">
        <v>4.9768518518518521E-4</v>
      </c>
      <c r="H3206" s="1" t="s">
        <v>257</v>
      </c>
      <c r="J3206" s="1" t="s">
        <v>371</v>
      </c>
      <c r="K3206" s="1" t="s">
        <v>653</v>
      </c>
      <c r="L3206" s="1" t="s">
        <v>1866</v>
      </c>
    </row>
    <row r="3207" spans="2:12">
      <c r="B3207" s="1" t="s">
        <v>667</v>
      </c>
      <c r="C3207" s="1" t="s">
        <v>336</v>
      </c>
      <c r="D3207" s="52">
        <v>46055.697916666664</v>
      </c>
      <c r="E3207" s="52">
        <v>46055.697916666664</v>
      </c>
      <c r="F3207" s="52">
        <v>46055.698611111111</v>
      </c>
      <c r="G3207" s="53">
        <v>5.4398148148148144E-4</v>
      </c>
      <c r="H3207" s="1" t="s">
        <v>257</v>
      </c>
      <c r="J3207" s="1" t="s">
        <v>371</v>
      </c>
      <c r="K3207" s="1" t="s">
        <v>653</v>
      </c>
      <c r="L3207" s="1" t="s">
        <v>1867</v>
      </c>
    </row>
    <row r="3208" spans="2:12">
      <c r="B3208" s="1" t="s">
        <v>667</v>
      </c>
      <c r="C3208" s="1" t="s">
        <v>336</v>
      </c>
      <c r="D3208" s="52">
        <v>46055.679861111108</v>
      </c>
      <c r="E3208" s="52">
        <v>46055.679861111108</v>
      </c>
      <c r="F3208" s="52">
        <v>46055.681250000001</v>
      </c>
      <c r="G3208" s="53">
        <v>1.1111111111111111E-3</v>
      </c>
      <c r="H3208" s="1" t="s">
        <v>257</v>
      </c>
      <c r="J3208" s="1" t="s">
        <v>371</v>
      </c>
      <c r="K3208" s="1" t="s">
        <v>653</v>
      </c>
      <c r="L3208" s="1" t="s">
        <v>1868</v>
      </c>
    </row>
    <row r="3209" spans="2:12">
      <c r="B3209" s="1" t="s">
        <v>667</v>
      </c>
      <c r="C3209" s="1" t="s">
        <v>336</v>
      </c>
      <c r="D3209" s="52">
        <v>46055.663888888892</v>
      </c>
      <c r="E3209" s="52">
        <v>46055.663888888892</v>
      </c>
      <c r="F3209" s="52">
        <v>46055.664583333331</v>
      </c>
      <c r="G3209" s="53">
        <v>5.2083333333333333E-4</v>
      </c>
      <c r="H3209" s="1" t="s">
        <v>257</v>
      </c>
      <c r="J3209" s="1" t="s">
        <v>371</v>
      </c>
      <c r="K3209" s="1" t="s">
        <v>653</v>
      </c>
      <c r="L3209" s="1" t="s">
        <v>1869</v>
      </c>
    </row>
    <row r="3210" spans="2:12">
      <c r="B3210" s="1" t="s">
        <v>667</v>
      </c>
      <c r="C3210" s="1" t="s">
        <v>336</v>
      </c>
      <c r="D3210" s="52">
        <v>46055.65625</v>
      </c>
      <c r="E3210" s="52">
        <v>46055.65625</v>
      </c>
      <c r="F3210" s="52">
        <v>46055.656944444447</v>
      </c>
      <c r="G3210" s="53">
        <v>5.0925925925925921E-4</v>
      </c>
      <c r="H3210" s="1" t="s">
        <v>257</v>
      </c>
      <c r="J3210" s="1" t="s">
        <v>371</v>
      </c>
      <c r="K3210" s="1" t="s">
        <v>653</v>
      </c>
      <c r="L3210" s="1" t="s">
        <v>1870</v>
      </c>
    </row>
    <row r="3211" spans="2:12">
      <c r="B3211" s="1" t="s">
        <v>667</v>
      </c>
      <c r="C3211" s="1" t="s">
        <v>336</v>
      </c>
      <c r="D3211" s="52">
        <v>46055.63958333333</v>
      </c>
      <c r="E3211" s="52">
        <v>46055.63958333333</v>
      </c>
      <c r="F3211" s="52">
        <v>46055.63958333333</v>
      </c>
      <c r="G3211" s="53">
        <v>5.2083333333333333E-4</v>
      </c>
      <c r="H3211" s="1" t="s">
        <v>257</v>
      </c>
      <c r="J3211" s="1" t="s">
        <v>371</v>
      </c>
      <c r="K3211" s="1" t="s">
        <v>653</v>
      </c>
      <c r="L3211" s="1" t="s">
        <v>1871</v>
      </c>
    </row>
    <row r="3212" spans="2:12">
      <c r="B3212" s="1" t="s">
        <v>667</v>
      </c>
      <c r="C3212" s="1" t="s">
        <v>336</v>
      </c>
      <c r="D3212" s="52">
        <v>46055.625694444447</v>
      </c>
      <c r="E3212" s="52">
        <v>46055.625694444447</v>
      </c>
      <c r="F3212" s="52">
        <v>46055.626388888886</v>
      </c>
      <c r="G3212" s="53">
        <v>5.2083333333333333E-4</v>
      </c>
      <c r="H3212" s="1" t="s">
        <v>257</v>
      </c>
      <c r="J3212" s="1" t="s">
        <v>371</v>
      </c>
      <c r="K3212" s="1" t="s">
        <v>653</v>
      </c>
      <c r="L3212" s="1" t="s">
        <v>1872</v>
      </c>
    </row>
    <row r="3213" spans="2:12">
      <c r="B3213" s="1" t="s">
        <v>667</v>
      </c>
      <c r="C3213" s="1" t="s">
        <v>336</v>
      </c>
      <c r="D3213" s="52">
        <v>46055.595833333333</v>
      </c>
      <c r="E3213" s="52">
        <v>46055.595833333333</v>
      </c>
      <c r="F3213" s="52">
        <v>46055.59652777778</v>
      </c>
      <c r="G3213" s="53">
        <v>5.4398148148148144E-4</v>
      </c>
      <c r="H3213" s="1" t="s">
        <v>257</v>
      </c>
      <c r="J3213" s="1" t="s">
        <v>371</v>
      </c>
      <c r="K3213" s="1" t="s">
        <v>653</v>
      </c>
      <c r="L3213" s="1" t="s">
        <v>1873</v>
      </c>
    </row>
    <row r="3214" spans="2:12">
      <c r="B3214" s="1" t="s">
        <v>667</v>
      </c>
      <c r="C3214" s="1" t="s">
        <v>336</v>
      </c>
      <c r="D3214" s="52">
        <v>46055.576388888891</v>
      </c>
      <c r="E3214" s="52">
        <v>46055.576388888891</v>
      </c>
      <c r="F3214" s="52">
        <v>46055.576388888891</v>
      </c>
      <c r="G3214" s="53">
        <v>5.4398148148148144E-4</v>
      </c>
      <c r="H3214" s="1" t="s">
        <v>257</v>
      </c>
      <c r="J3214" s="1" t="s">
        <v>371</v>
      </c>
      <c r="K3214" s="1" t="s">
        <v>653</v>
      </c>
      <c r="L3214" s="1" t="s">
        <v>1874</v>
      </c>
    </row>
    <row r="3215" spans="2:12">
      <c r="B3215" s="1" t="s">
        <v>667</v>
      </c>
      <c r="C3215" s="1" t="s">
        <v>336</v>
      </c>
      <c r="D3215" s="52">
        <v>46055.56527777778</v>
      </c>
      <c r="E3215" s="52">
        <v>46055.56527777778</v>
      </c>
      <c r="F3215" s="52">
        <v>46055.565972222219</v>
      </c>
      <c r="G3215" s="53">
        <v>5.2083333333333333E-4</v>
      </c>
      <c r="H3215" s="1" t="s">
        <v>257</v>
      </c>
      <c r="J3215" s="1" t="s">
        <v>371</v>
      </c>
      <c r="K3215" s="1" t="s">
        <v>653</v>
      </c>
      <c r="L3215" s="1" t="s">
        <v>1875</v>
      </c>
    </row>
    <row r="3216" spans="2:12">
      <c r="B3216" s="1" t="s">
        <v>667</v>
      </c>
      <c r="C3216" s="1" t="s">
        <v>336</v>
      </c>
      <c r="D3216" s="52">
        <v>46055.558333333334</v>
      </c>
      <c r="E3216" s="52">
        <v>46055.558333333334</v>
      </c>
      <c r="F3216" s="52">
        <v>46055.559027777781</v>
      </c>
      <c r="G3216" s="53">
        <v>6.134259259259259E-4</v>
      </c>
      <c r="H3216" s="1" t="s">
        <v>257</v>
      </c>
      <c r="J3216" s="1" t="s">
        <v>371</v>
      </c>
      <c r="K3216" s="1" t="s">
        <v>653</v>
      </c>
      <c r="L3216" s="1" t="s">
        <v>1876</v>
      </c>
    </row>
    <row r="3217" spans="2:12">
      <c r="B3217" s="1" t="s">
        <v>667</v>
      </c>
      <c r="C3217" s="1" t="s">
        <v>336</v>
      </c>
      <c r="D3217" s="52">
        <v>46055.552083333336</v>
      </c>
      <c r="E3217" s="52">
        <v>46055.552083333336</v>
      </c>
      <c r="F3217" s="52">
        <v>46055.552777777775</v>
      </c>
      <c r="G3217" s="53">
        <v>5.2083333333333333E-4</v>
      </c>
      <c r="H3217" s="1" t="s">
        <v>257</v>
      </c>
      <c r="J3217" s="1" t="s">
        <v>371</v>
      </c>
      <c r="K3217" s="1" t="s">
        <v>653</v>
      </c>
      <c r="L3217" s="1" t="s">
        <v>1877</v>
      </c>
    </row>
    <row r="3218" spans="2:12">
      <c r="B3218" s="1" t="s">
        <v>667</v>
      </c>
      <c r="C3218" s="1" t="s">
        <v>336</v>
      </c>
      <c r="D3218" s="52">
        <v>46055.536111111112</v>
      </c>
      <c r="E3218" s="52">
        <v>46055.536111111112</v>
      </c>
      <c r="F3218" s="52">
        <v>46055.536805555559</v>
      </c>
      <c r="G3218" s="53">
        <v>6.5972222222222224E-4</v>
      </c>
      <c r="H3218" s="1" t="s">
        <v>257</v>
      </c>
      <c r="J3218" s="1" t="s">
        <v>371</v>
      </c>
      <c r="K3218" s="1" t="s">
        <v>653</v>
      </c>
      <c r="L3218" s="1" t="s">
        <v>1878</v>
      </c>
    </row>
    <row r="3219" spans="2:12">
      <c r="B3219" s="1" t="s">
        <v>667</v>
      </c>
      <c r="C3219" s="1" t="s">
        <v>336</v>
      </c>
      <c r="D3219" s="52">
        <v>46055.52847222222</v>
      </c>
      <c r="E3219" s="52">
        <v>46055.52847222222</v>
      </c>
      <c r="F3219" s="52">
        <v>46055.529166666667</v>
      </c>
      <c r="G3219" s="53">
        <v>6.9444444444444447E-4</v>
      </c>
      <c r="H3219" s="1" t="s">
        <v>257</v>
      </c>
      <c r="J3219" s="1" t="s">
        <v>371</v>
      </c>
      <c r="K3219" s="1" t="s">
        <v>653</v>
      </c>
      <c r="L3219" s="1" t="s">
        <v>1879</v>
      </c>
    </row>
    <row r="3220" spans="2:12">
      <c r="B3220" s="1" t="s">
        <v>667</v>
      </c>
      <c r="C3220" s="1" t="s">
        <v>336</v>
      </c>
      <c r="D3220" s="52">
        <v>46055.513888888891</v>
      </c>
      <c r="E3220" s="52">
        <v>46055.513888888891</v>
      </c>
      <c r="F3220" s="52">
        <v>46055.51458333333</v>
      </c>
      <c r="G3220" s="53">
        <v>5.4398148148148144E-4</v>
      </c>
      <c r="H3220" s="1" t="s">
        <v>257</v>
      </c>
      <c r="J3220" s="1" t="s">
        <v>371</v>
      </c>
      <c r="K3220" s="1" t="s">
        <v>653</v>
      </c>
      <c r="L3220" s="1" t="s">
        <v>1880</v>
      </c>
    </row>
    <row r="3221" spans="2:12">
      <c r="B3221" s="1" t="s">
        <v>667</v>
      </c>
      <c r="C3221" s="1" t="s">
        <v>336</v>
      </c>
      <c r="D3221" s="52">
        <v>46055.513888888891</v>
      </c>
      <c r="E3221" s="52">
        <v>46055.513888888891</v>
      </c>
      <c r="F3221" s="52">
        <v>46055.513888888891</v>
      </c>
      <c r="G3221" s="53">
        <v>5.7870370370370373E-5</v>
      </c>
      <c r="H3221" s="1" t="s">
        <v>257</v>
      </c>
      <c r="J3221" s="1" t="s">
        <v>371</v>
      </c>
      <c r="K3221" s="1" t="s">
        <v>653</v>
      </c>
      <c r="L3221" s="1" t="s">
        <v>1881</v>
      </c>
    </row>
    <row r="3222" spans="2:12">
      <c r="B3222" s="1" t="s">
        <v>667</v>
      </c>
      <c r="C3222" s="1" t="s">
        <v>336</v>
      </c>
      <c r="D3222" s="52">
        <v>46055.503472222219</v>
      </c>
      <c r="E3222" s="52">
        <v>46055.503472222219</v>
      </c>
      <c r="F3222" s="52">
        <v>46055.503472222219</v>
      </c>
      <c r="G3222" s="53">
        <v>5.2083333333333333E-4</v>
      </c>
      <c r="H3222" s="1" t="s">
        <v>257</v>
      </c>
      <c r="J3222" s="1" t="s">
        <v>371</v>
      </c>
      <c r="K3222" s="1" t="s">
        <v>653</v>
      </c>
      <c r="L3222" s="1" t="s">
        <v>1882</v>
      </c>
    </row>
    <row r="3223" spans="2:12">
      <c r="B3223" s="1" t="s">
        <v>667</v>
      </c>
      <c r="C3223" s="1" t="s">
        <v>336</v>
      </c>
      <c r="D3223" s="52">
        <v>46055.489583333336</v>
      </c>
      <c r="E3223" s="52">
        <v>46055.489583333336</v>
      </c>
      <c r="F3223" s="52">
        <v>46055.489583333336</v>
      </c>
      <c r="G3223" s="53">
        <v>5.5555555555555556E-4</v>
      </c>
      <c r="H3223" s="1" t="s">
        <v>257</v>
      </c>
      <c r="J3223" s="1" t="s">
        <v>371</v>
      </c>
      <c r="K3223" s="1" t="s">
        <v>653</v>
      </c>
      <c r="L3223" s="1" t="s">
        <v>1883</v>
      </c>
    </row>
    <row r="3224" spans="2:12">
      <c r="B3224" s="1" t="s">
        <v>667</v>
      </c>
      <c r="C3224" s="1" t="s">
        <v>336</v>
      </c>
      <c r="D3224" s="52">
        <v>46055.472916666666</v>
      </c>
      <c r="E3224" s="52">
        <v>46055.472916666666</v>
      </c>
      <c r="F3224" s="52">
        <v>46055.473611111112</v>
      </c>
      <c r="G3224" s="53">
        <v>5.2083333333333333E-4</v>
      </c>
      <c r="H3224" s="1" t="s">
        <v>257</v>
      </c>
      <c r="J3224" s="1" t="s">
        <v>371</v>
      </c>
      <c r="K3224" s="1" t="s">
        <v>653</v>
      </c>
      <c r="L3224" s="1" t="s">
        <v>1884</v>
      </c>
    </row>
    <row r="3225" spans="2:12">
      <c r="B3225" s="1" t="s">
        <v>667</v>
      </c>
      <c r="C3225" s="1" t="s">
        <v>336</v>
      </c>
      <c r="D3225" s="52">
        <v>46055.466666666667</v>
      </c>
      <c r="E3225" s="52">
        <v>46055.466666666667</v>
      </c>
      <c r="F3225" s="52">
        <v>46055.466666666667</v>
      </c>
      <c r="G3225" s="53">
        <v>5.4398148148148144E-4</v>
      </c>
      <c r="H3225" s="1" t="s">
        <v>257</v>
      </c>
      <c r="J3225" s="1" t="s">
        <v>371</v>
      </c>
      <c r="K3225" s="1" t="s">
        <v>653</v>
      </c>
      <c r="L3225" s="1" t="s">
        <v>1885</v>
      </c>
    </row>
    <row r="3226" spans="2:12">
      <c r="B3226" s="1" t="s">
        <v>667</v>
      </c>
      <c r="C3226" s="1" t="s">
        <v>336</v>
      </c>
      <c r="D3226" s="52">
        <v>46055.442361111112</v>
      </c>
      <c r="E3226" s="52">
        <v>46055.442361111112</v>
      </c>
      <c r="F3226" s="52">
        <v>46055.442361111112</v>
      </c>
      <c r="G3226" s="53">
        <v>5.5555555555555556E-4</v>
      </c>
      <c r="H3226" s="1" t="s">
        <v>257</v>
      </c>
      <c r="J3226" s="1" t="s">
        <v>371</v>
      </c>
      <c r="K3226" s="1" t="s">
        <v>653</v>
      </c>
      <c r="L3226" s="1" t="s">
        <v>1886</v>
      </c>
    </row>
    <row r="3227" spans="2:12">
      <c r="B3227" s="1" t="s">
        <v>667</v>
      </c>
      <c r="C3227" s="1" t="s">
        <v>336</v>
      </c>
      <c r="D3227" s="52">
        <v>46055.436805555553</v>
      </c>
      <c r="E3227" s="52">
        <v>46055.436805555553</v>
      </c>
      <c r="F3227" s="52">
        <v>46055.4375</v>
      </c>
      <c r="G3227" s="53">
        <v>5.6712962962962967E-4</v>
      </c>
      <c r="H3227" s="1" t="s">
        <v>257</v>
      </c>
      <c r="J3227" s="1" t="s">
        <v>371</v>
      </c>
      <c r="K3227" s="1" t="s">
        <v>653</v>
      </c>
      <c r="L3227" s="1" t="s">
        <v>1887</v>
      </c>
    </row>
    <row r="3228" spans="2:12">
      <c r="B3228" s="1" t="s">
        <v>667</v>
      </c>
      <c r="C3228" s="1" t="s">
        <v>336</v>
      </c>
      <c r="D3228" s="52">
        <v>46055.400694444441</v>
      </c>
      <c r="E3228" s="52">
        <v>46055.400694444441</v>
      </c>
      <c r="F3228" s="52">
        <v>46055.401388888888</v>
      </c>
      <c r="G3228" s="53">
        <v>5.4398148148148144E-4</v>
      </c>
      <c r="H3228" s="1" t="s">
        <v>257</v>
      </c>
      <c r="J3228" s="1" t="s">
        <v>371</v>
      </c>
      <c r="K3228" s="1" t="s">
        <v>653</v>
      </c>
      <c r="L3228" s="1" t="s">
        <v>1888</v>
      </c>
    </row>
    <row r="3229" spans="2:12">
      <c r="B3229" s="1" t="s">
        <v>667</v>
      </c>
      <c r="C3229" s="1" t="s">
        <v>336</v>
      </c>
      <c r="D3229" s="52">
        <v>46055.394444444442</v>
      </c>
      <c r="E3229" s="52">
        <v>46055.394444444442</v>
      </c>
      <c r="F3229" s="52">
        <v>46055.394444444442</v>
      </c>
      <c r="G3229" s="53">
        <v>6.134259259259259E-4</v>
      </c>
      <c r="H3229" s="1" t="s">
        <v>257</v>
      </c>
      <c r="J3229" s="1" t="s">
        <v>371</v>
      </c>
      <c r="K3229" s="1" t="s">
        <v>653</v>
      </c>
      <c r="L3229" s="1" t="s">
        <v>1889</v>
      </c>
    </row>
    <row r="3230" spans="2:12">
      <c r="B3230" s="1" t="s">
        <v>667</v>
      </c>
      <c r="C3230" s="1" t="s">
        <v>336</v>
      </c>
      <c r="D3230" s="52">
        <v>46055.351388888892</v>
      </c>
      <c r="E3230" s="52">
        <v>46055.351388888892</v>
      </c>
      <c r="F3230" s="52">
        <v>46055.352083333331</v>
      </c>
      <c r="G3230" s="53">
        <v>4.861111111111111E-4</v>
      </c>
      <c r="H3230" s="1" t="s">
        <v>257</v>
      </c>
      <c r="J3230" s="1" t="s">
        <v>371</v>
      </c>
      <c r="K3230" s="1" t="s">
        <v>653</v>
      </c>
      <c r="L3230" s="1" t="s">
        <v>1890</v>
      </c>
    </row>
    <row r="3231" spans="2:12">
      <c r="B3231" s="1" t="s">
        <v>667</v>
      </c>
      <c r="C3231" s="1" t="s">
        <v>336</v>
      </c>
      <c r="D3231" s="52">
        <v>46055.350694444445</v>
      </c>
      <c r="E3231" s="52">
        <v>46055.350694444445</v>
      </c>
      <c r="F3231" s="52">
        <v>46055.351388888892</v>
      </c>
      <c r="G3231" s="53">
        <v>4.861111111111111E-4</v>
      </c>
      <c r="H3231" s="1" t="s">
        <v>257</v>
      </c>
      <c r="J3231" s="1" t="s">
        <v>371</v>
      </c>
      <c r="K3231" s="1" t="s">
        <v>653</v>
      </c>
      <c r="L3231" s="1" t="s">
        <v>1891</v>
      </c>
    </row>
    <row r="3232" spans="2:12">
      <c r="B3232" s="1" t="s">
        <v>667</v>
      </c>
      <c r="C3232" s="1" t="s">
        <v>336</v>
      </c>
      <c r="D3232" s="52">
        <v>46055.35</v>
      </c>
      <c r="E3232" s="52">
        <v>46055.35</v>
      </c>
      <c r="F3232" s="52">
        <v>46055.350694444445</v>
      </c>
      <c r="G3232" s="53">
        <v>5.0925925925925921E-4</v>
      </c>
      <c r="H3232" s="1" t="s">
        <v>257</v>
      </c>
      <c r="J3232" s="1" t="s">
        <v>371</v>
      </c>
      <c r="K3232" s="1" t="s">
        <v>653</v>
      </c>
      <c r="L3232" s="1" t="s">
        <v>1892</v>
      </c>
    </row>
    <row r="3233" spans="2:12">
      <c r="B3233" s="1" t="s">
        <v>667</v>
      </c>
      <c r="C3233" s="1" t="s">
        <v>336</v>
      </c>
      <c r="D3233" s="52">
        <v>46055.345138888886</v>
      </c>
      <c r="E3233" s="52">
        <v>46055.345138888886</v>
      </c>
      <c r="F3233" s="52">
        <v>46055.345138888886</v>
      </c>
      <c r="G3233" s="53">
        <v>5.2083333333333333E-4</v>
      </c>
      <c r="H3233" s="1" t="s">
        <v>257</v>
      </c>
      <c r="J3233" s="1" t="s">
        <v>371</v>
      </c>
      <c r="K3233" s="1" t="s">
        <v>653</v>
      </c>
      <c r="L3233" s="1" t="s">
        <v>1893</v>
      </c>
    </row>
    <row r="3234" spans="2:12">
      <c r="B3234" s="1" t="s">
        <v>667</v>
      </c>
      <c r="C3234" s="1" t="s">
        <v>336</v>
      </c>
      <c r="D3234" s="52">
        <v>46055.334722222222</v>
      </c>
      <c r="E3234" s="52">
        <v>46055.334722222222</v>
      </c>
      <c r="F3234" s="52">
        <v>46055.339583333334</v>
      </c>
      <c r="G3234" s="53">
        <v>4.6759259259259263E-3</v>
      </c>
      <c r="H3234" s="1" t="s">
        <v>257</v>
      </c>
      <c r="J3234" s="1" t="s">
        <v>371</v>
      </c>
      <c r="K3234" s="1" t="s">
        <v>653</v>
      </c>
      <c r="L3234" s="1" t="s">
        <v>1894</v>
      </c>
    </row>
    <row r="3235" spans="2:12">
      <c r="B3235" s="1" t="s">
        <v>667</v>
      </c>
      <c r="C3235" s="1" t="s">
        <v>336</v>
      </c>
      <c r="D3235" s="52">
        <v>46055.326388888891</v>
      </c>
      <c r="E3235" s="52">
        <v>46055.326388888891</v>
      </c>
      <c r="F3235" s="52">
        <v>46055.330555555556</v>
      </c>
      <c r="G3235" s="53">
        <v>4.5601851851851853E-3</v>
      </c>
      <c r="H3235" s="1" t="s">
        <v>257</v>
      </c>
      <c r="J3235" s="1" t="s">
        <v>371</v>
      </c>
      <c r="K3235" s="1" t="s">
        <v>653</v>
      </c>
      <c r="L3235" s="1" t="s">
        <v>1895</v>
      </c>
    </row>
    <row r="3236" spans="2:12">
      <c r="B3236" s="1" t="s">
        <v>667</v>
      </c>
      <c r="C3236" s="1" t="s">
        <v>336</v>
      </c>
      <c r="D3236" s="52">
        <v>46055.239583333336</v>
      </c>
      <c r="E3236" s="52">
        <v>46055.239583333336</v>
      </c>
      <c r="F3236" s="52">
        <v>46055.315972222219</v>
      </c>
      <c r="G3236" s="53">
        <v>7.6423611111111109E-2</v>
      </c>
      <c r="H3236" s="1" t="s">
        <v>257</v>
      </c>
      <c r="J3236" s="1" t="s">
        <v>371</v>
      </c>
      <c r="K3236" s="1" t="s">
        <v>653</v>
      </c>
      <c r="L3236" s="1" t="s">
        <v>1896</v>
      </c>
    </row>
    <row r="3237" spans="2:12">
      <c r="B3237" s="1" t="s">
        <v>667</v>
      </c>
      <c r="C3237" s="1" t="s">
        <v>336</v>
      </c>
      <c r="D3237" s="52">
        <v>46055.238888888889</v>
      </c>
      <c r="E3237" s="52">
        <v>46055.238888888889</v>
      </c>
      <c r="F3237" s="52">
        <v>46055.315972222219</v>
      </c>
      <c r="G3237" s="53">
        <v>7.6817129629629624E-2</v>
      </c>
      <c r="H3237" s="1" t="s">
        <v>257</v>
      </c>
      <c r="J3237" s="1" t="s">
        <v>371</v>
      </c>
      <c r="K3237" s="1" t="s">
        <v>653</v>
      </c>
      <c r="L3237" s="1" t="s">
        <v>1897</v>
      </c>
    </row>
    <row r="3238" spans="2:12">
      <c r="B3238" s="1" t="s">
        <v>667</v>
      </c>
      <c r="C3238" s="1" t="s">
        <v>336</v>
      </c>
      <c r="D3238" s="52">
        <v>46054.763194444444</v>
      </c>
      <c r="E3238" s="52">
        <v>46054.763194444444</v>
      </c>
      <c r="F3238" s="52">
        <v>46054.789583333331</v>
      </c>
      <c r="G3238" s="53">
        <v>2.6689814814814816E-2</v>
      </c>
      <c r="H3238" s="1" t="s">
        <v>257</v>
      </c>
      <c r="J3238" s="1" t="s">
        <v>371</v>
      </c>
      <c r="K3238" s="1" t="s">
        <v>653</v>
      </c>
      <c r="L3238" s="1" t="s">
        <v>1898</v>
      </c>
    </row>
    <row r="3239" spans="2:12">
      <c r="B3239" s="1" t="s">
        <v>667</v>
      </c>
      <c r="C3239" s="1" t="s">
        <v>336</v>
      </c>
      <c r="D3239" s="52">
        <v>46054.761111111111</v>
      </c>
      <c r="E3239" s="52">
        <v>46054.761111111111</v>
      </c>
      <c r="F3239" s="52">
        <v>46054.761805555558</v>
      </c>
      <c r="G3239" s="53">
        <v>5.2083333333333333E-4</v>
      </c>
      <c r="H3239" s="1" t="s">
        <v>257</v>
      </c>
      <c r="J3239" s="1" t="s">
        <v>371</v>
      </c>
      <c r="K3239" s="1" t="s">
        <v>653</v>
      </c>
      <c r="L3239" s="1" t="s">
        <v>1899</v>
      </c>
    </row>
    <row r="3240" spans="2:12">
      <c r="B3240" s="1" t="s">
        <v>667</v>
      </c>
      <c r="C3240" s="1" t="s">
        <v>336</v>
      </c>
      <c r="D3240" s="52">
        <v>46054.737500000003</v>
      </c>
      <c r="E3240" s="52">
        <v>46054.737500000003</v>
      </c>
      <c r="F3240" s="52">
        <v>46054.738194444442</v>
      </c>
      <c r="G3240" s="53">
        <v>5.2083333333333333E-4</v>
      </c>
      <c r="H3240" s="1" t="s">
        <v>257</v>
      </c>
      <c r="J3240" s="1" t="s">
        <v>371</v>
      </c>
      <c r="K3240" s="1" t="s">
        <v>653</v>
      </c>
      <c r="L3240" s="1" t="s">
        <v>1900</v>
      </c>
    </row>
    <row r="3241" spans="2:12">
      <c r="B3241" s="1" t="s">
        <v>667</v>
      </c>
      <c r="C3241" s="1" t="s">
        <v>336</v>
      </c>
      <c r="D3241" s="52">
        <v>46054.729166666664</v>
      </c>
      <c r="E3241" s="52">
        <v>46054.729166666664</v>
      </c>
      <c r="F3241" s="52">
        <v>46054.729166666664</v>
      </c>
      <c r="G3241" s="53">
        <v>5.2083333333333333E-4</v>
      </c>
      <c r="H3241" s="1" t="s">
        <v>257</v>
      </c>
      <c r="J3241" s="1" t="s">
        <v>371</v>
      </c>
      <c r="K3241" s="1" t="s">
        <v>653</v>
      </c>
      <c r="L3241" s="1" t="s">
        <v>1901</v>
      </c>
    </row>
    <row r="3242" spans="2:12">
      <c r="B3242" s="1" t="s">
        <v>667</v>
      </c>
      <c r="C3242" s="1" t="s">
        <v>336</v>
      </c>
      <c r="D3242" s="52">
        <v>46054.69027777778</v>
      </c>
      <c r="E3242" s="52">
        <v>46054.69027777778</v>
      </c>
      <c r="F3242" s="52">
        <v>46054.690972222219</v>
      </c>
      <c r="G3242" s="53">
        <v>6.018518518518519E-4</v>
      </c>
      <c r="H3242" s="1" t="s">
        <v>257</v>
      </c>
      <c r="J3242" s="1" t="s">
        <v>371</v>
      </c>
      <c r="K3242" s="1" t="s">
        <v>653</v>
      </c>
      <c r="L3242" s="1" t="s">
        <v>1902</v>
      </c>
    </row>
    <row r="3243" spans="2:12">
      <c r="B3243" s="1" t="s">
        <v>667</v>
      </c>
      <c r="C3243" s="1" t="s">
        <v>336</v>
      </c>
      <c r="D3243" s="52">
        <v>46054.68472222222</v>
      </c>
      <c r="E3243" s="52">
        <v>46054.68472222222</v>
      </c>
      <c r="F3243" s="52">
        <v>46054.685416666667</v>
      </c>
      <c r="G3243" s="53">
        <v>5.2083333333333333E-4</v>
      </c>
      <c r="H3243" s="1" t="s">
        <v>257</v>
      </c>
      <c r="J3243" s="1" t="s">
        <v>371</v>
      </c>
      <c r="K3243" s="1" t="s">
        <v>653</v>
      </c>
      <c r="L3243" s="1" t="s">
        <v>1903</v>
      </c>
    </row>
    <row r="3244" spans="2:12">
      <c r="B3244" s="1" t="s">
        <v>667</v>
      </c>
      <c r="C3244" s="1" t="s">
        <v>336</v>
      </c>
      <c r="D3244" s="52">
        <v>46054.674305555556</v>
      </c>
      <c r="E3244" s="52">
        <v>46054.674305555556</v>
      </c>
      <c r="F3244" s="52">
        <v>46054.674305555556</v>
      </c>
      <c r="G3244" s="53">
        <v>5.2083333333333333E-4</v>
      </c>
      <c r="H3244" s="1" t="s">
        <v>257</v>
      </c>
      <c r="J3244" s="1" t="s">
        <v>371</v>
      </c>
      <c r="K3244" s="1" t="s">
        <v>653</v>
      </c>
      <c r="L3244" s="1" t="s">
        <v>1904</v>
      </c>
    </row>
    <row r="3245" spans="2:12">
      <c r="B3245" s="1" t="s">
        <v>667</v>
      </c>
      <c r="C3245" s="1" t="s">
        <v>336</v>
      </c>
      <c r="D3245" s="52">
        <v>46054.657638888886</v>
      </c>
      <c r="E3245" s="52">
        <v>46054.657638888886</v>
      </c>
      <c r="F3245" s="52">
        <v>46054.658333333333</v>
      </c>
      <c r="G3245" s="53">
        <v>5.0925925925925921E-4</v>
      </c>
      <c r="H3245" s="1" t="s">
        <v>257</v>
      </c>
      <c r="J3245" s="1" t="s">
        <v>371</v>
      </c>
      <c r="K3245" s="1" t="s">
        <v>653</v>
      </c>
      <c r="L3245" s="1" t="s">
        <v>1905</v>
      </c>
    </row>
    <row r="3246" spans="2:12">
      <c r="B3246" s="1" t="s">
        <v>667</v>
      </c>
      <c r="C3246" s="1" t="s">
        <v>336</v>
      </c>
      <c r="D3246" s="52">
        <v>46054.635416666664</v>
      </c>
      <c r="E3246" s="52">
        <v>46054.635416666664</v>
      </c>
      <c r="F3246" s="52">
        <v>46054.635416666664</v>
      </c>
      <c r="G3246" s="53">
        <v>5.0925925925925921E-4</v>
      </c>
      <c r="H3246" s="1" t="s">
        <v>257</v>
      </c>
      <c r="J3246" s="1" t="s">
        <v>371</v>
      </c>
      <c r="K3246" s="1" t="s">
        <v>653</v>
      </c>
      <c r="L3246" s="1" t="s">
        <v>1906</v>
      </c>
    </row>
    <row r="3247" spans="2:12">
      <c r="B3247" s="1" t="s">
        <v>667</v>
      </c>
      <c r="C3247" s="1" t="s">
        <v>336</v>
      </c>
      <c r="D3247" s="52">
        <v>46054.624305555553</v>
      </c>
      <c r="E3247" s="52">
        <v>46054.624305555553</v>
      </c>
      <c r="F3247" s="52">
        <v>46054.625</v>
      </c>
      <c r="G3247" s="53">
        <v>4.9768518518518521E-4</v>
      </c>
      <c r="H3247" s="1" t="s">
        <v>257</v>
      </c>
      <c r="J3247" s="1" t="s">
        <v>371</v>
      </c>
      <c r="K3247" s="1" t="s">
        <v>653</v>
      </c>
      <c r="L3247" s="1" t="s">
        <v>1907</v>
      </c>
    </row>
    <row r="3248" spans="2:12">
      <c r="B3248" s="1" t="s">
        <v>667</v>
      </c>
      <c r="C3248" s="1" t="s">
        <v>336</v>
      </c>
      <c r="D3248" s="52">
        <v>46054.603472222225</v>
      </c>
      <c r="E3248" s="52">
        <v>46054.603472222225</v>
      </c>
      <c r="F3248" s="52">
        <v>46054.604166666664</v>
      </c>
      <c r="G3248" s="53">
        <v>5.3240740740740744E-4</v>
      </c>
      <c r="H3248" s="1" t="s">
        <v>257</v>
      </c>
      <c r="J3248" s="1" t="s">
        <v>371</v>
      </c>
      <c r="K3248" s="1" t="s">
        <v>653</v>
      </c>
      <c r="L3248" s="1" t="s">
        <v>1908</v>
      </c>
    </row>
    <row r="3249" spans="2:12">
      <c r="B3249" s="1" t="s">
        <v>667</v>
      </c>
      <c r="C3249" s="1" t="s">
        <v>336</v>
      </c>
      <c r="D3249" s="52">
        <v>46054.59375</v>
      </c>
      <c r="E3249" s="52">
        <v>46054.59375</v>
      </c>
      <c r="F3249" s="52">
        <v>46054.594444444447</v>
      </c>
      <c r="G3249" s="53">
        <v>5.4398148148148144E-4</v>
      </c>
      <c r="H3249" s="1" t="s">
        <v>257</v>
      </c>
      <c r="J3249" s="1" t="s">
        <v>371</v>
      </c>
      <c r="K3249" s="1" t="s">
        <v>653</v>
      </c>
      <c r="L3249" s="1" t="s">
        <v>1909</v>
      </c>
    </row>
    <row r="3250" spans="2:12">
      <c r="B3250" s="1" t="s">
        <v>667</v>
      </c>
      <c r="C3250" s="1" t="s">
        <v>336</v>
      </c>
      <c r="D3250" s="52">
        <v>46054.585416666669</v>
      </c>
      <c r="E3250" s="52">
        <v>46054.585416666669</v>
      </c>
      <c r="F3250" s="52">
        <v>46054.586111111108</v>
      </c>
      <c r="G3250" s="53">
        <v>4.9768518518518521E-4</v>
      </c>
      <c r="H3250" s="1" t="s">
        <v>257</v>
      </c>
      <c r="J3250" s="1" t="s">
        <v>371</v>
      </c>
      <c r="K3250" s="1" t="s">
        <v>653</v>
      </c>
      <c r="L3250" s="1" t="s">
        <v>1910</v>
      </c>
    </row>
    <row r="3251" spans="2:12">
      <c r="B3251" s="1" t="s">
        <v>667</v>
      </c>
      <c r="C3251" s="1" t="s">
        <v>336</v>
      </c>
      <c r="D3251" s="52">
        <v>46054.539583333331</v>
      </c>
      <c r="E3251" s="52">
        <v>46054.539583333331</v>
      </c>
      <c r="F3251" s="52">
        <v>46054.540277777778</v>
      </c>
      <c r="G3251" s="53">
        <v>5.0925925925925921E-4</v>
      </c>
      <c r="H3251" s="1" t="s">
        <v>257</v>
      </c>
      <c r="J3251" s="1" t="s">
        <v>371</v>
      </c>
      <c r="K3251" s="1" t="s">
        <v>653</v>
      </c>
      <c r="L3251" s="1" t="s">
        <v>1911</v>
      </c>
    </row>
    <row r="3252" spans="2:12">
      <c r="B3252" s="1" t="s">
        <v>667</v>
      </c>
      <c r="C3252" s="1" t="s">
        <v>336</v>
      </c>
      <c r="D3252" s="52">
        <v>46054.53402777778</v>
      </c>
      <c r="E3252" s="52">
        <v>46054.53402777778</v>
      </c>
      <c r="F3252" s="52">
        <v>46054.534722222219</v>
      </c>
      <c r="G3252" s="53">
        <v>5.0925925925925921E-4</v>
      </c>
      <c r="H3252" s="1" t="s">
        <v>257</v>
      </c>
      <c r="J3252" s="1" t="s">
        <v>371</v>
      </c>
      <c r="K3252" s="1" t="s">
        <v>653</v>
      </c>
      <c r="L3252" s="1" t="s">
        <v>1912</v>
      </c>
    </row>
    <row r="3253" spans="2:12">
      <c r="B3253" s="1" t="s">
        <v>667</v>
      </c>
      <c r="C3253" s="1" t="s">
        <v>336</v>
      </c>
      <c r="D3253" s="52">
        <v>46054.518750000003</v>
      </c>
      <c r="E3253" s="52">
        <v>46054.518750000003</v>
      </c>
      <c r="F3253" s="52">
        <v>46054.519444444442</v>
      </c>
      <c r="G3253" s="53">
        <v>6.4814814814814813E-4</v>
      </c>
      <c r="H3253" s="1" t="s">
        <v>257</v>
      </c>
      <c r="J3253" s="1" t="s">
        <v>371</v>
      </c>
      <c r="K3253" s="1" t="s">
        <v>653</v>
      </c>
      <c r="L3253" s="1" t="s">
        <v>1913</v>
      </c>
    </row>
    <row r="3254" spans="2:12">
      <c r="B3254" s="1" t="s">
        <v>667</v>
      </c>
      <c r="C3254" s="1" t="s">
        <v>336</v>
      </c>
      <c r="D3254" s="52">
        <v>46054.508333333331</v>
      </c>
      <c r="E3254" s="52">
        <v>46054.508333333331</v>
      </c>
      <c r="F3254" s="52">
        <v>46054.509027777778</v>
      </c>
      <c r="G3254" s="53">
        <v>5.4398148148148144E-4</v>
      </c>
      <c r="H3254" s="1" t="s">
        <v>257</v>
      </c>
      <c r="J3254" s="1" t="s">
        <v>371</v>
      </c>
      <c r="K3254" s="1" t="s">
        <v>653</v>
      </c>
      <c r="L3254" s="1" t="s">
        <v>1914</v>
      </c>
    </row>
    <row r="3255" spans="2:12">
      <c r="B3255" s="1" t="s">
        <v>667</v>
      </c>
      <c r="C3255" s="1" t="s">
        <v>336</v>
      </c>
      <c r="D3255" s="52">
        <v>46054.498611111114</v>
      </c>
      <c r="E3255" s="52">
        <v>46054.498611111114</v>
      </c>
      <c r="F3255" s="52">
        <v>46054.499305555553</v>
      </c>
      <c r="G3255" s="53">
        <v>5.2083333333333333E-4</v>
      </c>
      <c r="H3255" s="1" t="s">
        <v>257</v>
      </c>
      <c r="J3255" s="1" t="s">
        <v>371</v>
      </c>
      <c r="K3255" s="1" t="s">
        <v>653</v>
      </c>
      <c r="L3255" s="1" t="s">
        <v>1915</v>
      </c>
    </row>
    <row r="3256" spans="2:12">
      <c r="B3256" s="1" t="s">
        <v>667</v>
      </c>
      <c r="C3256" s="1" t="s">
        <v>336</v>
      </c>
      <c r="D3256" s="52">
        <v>46054.490277777775</v>
      </c>
      <c r="E3256" s="52">
        <v>46054.490277777775</v>
      </c>
      <c r="F3256" s="52">
        <v>46054.490277777775</v>
      </c>
      <c r="G3256" s="53">
        <v>5.0925925925925921E-4</v>
      </c>
      <c r="H3256" s="1" t="s">
        <v>257</v>
      </c>
      <c r="J3256" s="1" t="s">
        <v>371</v>
      </c>
      <c r="K3256" s="1" t="s">
        <v>653</v>
      </c>
      <c r="L3256" s="1" t="s">
        <v>1916</v>
      </c>
    </row>
    <row r="3257" spans="2:12">
      <c r="B3257" s="1" t="s">
        <v>667</v>
      </c>
      <c r="C3257" s="1" t="s">
        <v>336</v>
      </c>
      <c r="D3257" s="52">
        <v>46054.484027777777</v>
      </c>
      <c r="E3257" s="52">
        <v>46054.484027777777</v>
      </c>
      <c r="F3257" s="52">
        <v>46054.484722222223</v>
      </c>
      <c r="G3257" s="53">
        <v>5.4398148148148144E-4</v>
      </c>
      <c r="H3257" s="1" t="s">
        <v>257</v>
      </c>
      <c r="J3257" s="1" t="s">
        <v>371</v>
      </c>
      <c r="K3257" s="1" t="s">
        <v>653</v>
      </c>
      <c r="L3257" s="1" t="s">
        <v>1917</v>
      </c>
    </row>
    <row r="3258" spans="2:12">
      <c r="B3258" s="1" t="s">
        <v>667</v>
      </c>
      <c r="C3258" s="1" t="s">
        <v>336</v>
      </c>
      <c r="D3258" s="52">
        <v>46054.470138888886</v>
      </c>
      <c r="E3258" s="52">
        <v>46054.470138888886</v>
      </c>
      <c r="F3258" s="52">
        <v>46054.470138888886</v>
      </c>
      <c r="G3258" s="53">
        <v>5.0925925925925921E-4</v>
      </c>
      <c r="H3258" s="1" t="s">
        <v>257</v>
      </c>
      <c r="J3258" s="1" t="s">
        <v>371</v>
      </c>
      <c r="K3258" s="1" t="s">
        <v>653</v>
      </c>
      <c r="L3258" s="1" t="s">
        <v>1918</v>
      </c>
    </row>
    <row r="3259" spans="2:12">
      <c r="B3259" s="1" t="s">
        <v>667</v>
      </c>
      <c r="C3259" s="1" t="s">
        <v>336</v>
      </c>
      <c r="D3259" s="52">
        <v>46054.461111111108</v>
      </c>
      <c r="E3259" s="52">
        <v>46054.461111111108</v>
      </c>
      <c r="F3259" s="52">
        <v>46054.461805555555</v>
      </c>
      <c r="G3259" s="53">
        <v>5.4398148148148144E-4</v>
      </c>
      <c r="H3259" s="1" t="s">
        <v>257</v>
      </c>
      <c r="J3259" s="1" t="s">
        <v>371</v>
      </c>
      <c r="K3259" s="1" t="s">
        <v>653</v>
      </c>
      <c r="L3259" s="1" t="s">
        <v>1919</v>
      </c>
    </row>
    <row r="3260" spans="2:12">
      <c r="B3260" s="1" t="s">
        <v>667</v>
      </c>
      <c r="C3260" s="1" t="s">
        <v>336</v>
      </c>
      <c r="D3260" s="52">
        <v>46054.452777777777</v>
      </c>
      <c r="E3260" s="52">
        <v>46054.452777777777</v>
      </c>
      <c r="F3260" s="52">
        <v>46054.453472222223</v>
      </c>
      <c r="G3260" s="53">
        <v>5.2083333333333333E-4</v>
      </c>
      <c r="H3260" s="1" t="s">
        <v>257</v>
      </c>
      <c r="J3260" s="1" t="s">
        <v>371</v>
      </c>
      <c r="K3260" s="1" t="s">
        <v>653</v>
      </c>
      <c r="L3260" s="1" t="s">
        <v>1920</v>
      </c>
    </row>
    <row r="3261" spans="2:12">
      <c r="B3261" s="1" t="s">
        <v>667</v>
      </c>
      <c r="C3261" s="1" t="s">
        <v>336</v>
      </c>
      <c r="D3261" s="52">
        <v>46054.446527777778</v>
      </c>
      <c r="E3261" s="52">
        <v>46054.446527777778</v>
      </c>
      <c r="F3261" s="52">
        <v>46054.446527777778</v>
      </c>
      <c r="G3261" s="53">
        <v>5.2083333333333333E-4</v>
      </c>
      <c r="H3261" s="1" t="s">
        <v>257</v>
      </c>
      <c r="J3261" s="1" t="s">
        <v>371</v>
      </c>
      <c r="K3261" s="1" t="s">
        <v>653</v>
      </c>
      <c r="L3261" s="1" t="s">
        <v>1921</v>
      </c>
    </row>
    <row r="3262" spans="2:12">
      <c r="B3262" s="1" t="s">
        <v>667</v>
      </c>
      <c r="C3262" s="1" t="s">
        <v>336</v>
      </c>
      <c r="D3262" s="52">
        <v>46054.432638888888</v>
      </c>
      <c r="E3262" s="52">
        <v>46054.432638888888</v>
      </c>
      <c r="F3262" s="52">
        <v>46054.433333333334</v>
      </c>
      <c r="G3262" s="53">
        <v>5.4398148148148144E-4</v>
      </c>
      <c r="H3262" s="1" t="s">
        <v>257</v>
      </c>
      <c r="J3262" s="1" t="s">
        <v>371</v>
      </c>
      <c r="K3262" s="1" t="s">
        <v>653</v>
      </c>
      <c r="L3262" s="1" t="s">
        <v>1922</v>
      </c>
    </row>
    <row r="3263" spans="2:12">
      <c r="B3263" s="1" t="s">
        <v>667</v>
      </c>
      <c r="C3263" s="1" t="s">
        <v>336</v>
      </c>
      <c r="D3263" s="52">
        <v>46054.42291666667</v>
      </c>
      <c r="E3263" s="52">
        <v>46054.42291666667</v>
      </c>
      <c r="F3263" s="52">
        <v>46054.423611111109</v>
      </c>
      <c r="G3263" s="53">
        <v>5.2083333333333333E-4</v>
      </c>
      <c r="H3263" s="1" t="s">
        <v>257</v>
      </c>
      <c r="J3263" s="1" t="s">
        <v>371</v>
      </c>
      <c r="K3263" s="1" t="s">
        <v>653</v>
      </c>
      <c r="L3263" s="1" t="s">
        <v>1923</v>
      </c>
    </row>
    <row r="3264" spans="2:12">
      <c r="B3264" s="1" t="s">
        <v>667</v>
      </c>
      <c r="C3264" s="1" t="s">
        <v>336</v>
      </c>
      <c r="D3264" s="52">
        <v>46054.415972222225</v>
      </c>
      <c r="E3264" s="52">
        <v>46054.415972222225</v>
      </c>
      <c r="F3264" s="52">
        <v>46054.415972222225</v>
      </c>
      <c r="G3264" s="53">
        <v>4.9768518518518521E-4</v>
      </c>
      <c r="H3264" s="1" t="s">
        <v>257</v>
      </c>
      <c r="J3264" s="1" t="s">
        <v>371</v>
      </c>
      <c r="K3264" s="1" t="s">
        <v>653</v>
      </c>
      <c r="L3264" s="1" t="s">
        <v>1924</v>
      </c>
    </row>
    <row r="3265" spans="2:12">
      <c r="B3265" s="1" t="s">
        <v>667</v>
      </c>
      <c r="C3265" s="1" t="s">
        <v>336</v>
      </c>
      <c r="D3265" s="52">
        <v>46054.402083333334</v>
      </c>
      <c r="E3265" s="52">
        <v>46054.402083333334</v>
      </c>
      <c r="F3265" s="52">
        <v>46054.402777777781</v>
      </c>
      <c r="G3265" s="53">
        <v>5.2083333333333333E-4</v>
      </c>
      <c r="H3265" s="1" t="s">
        <v>257</v>
      </c>
      <c r="J3265" s="1" t="s">
        <v>371</v>
      </c>
      <c r="K3265" s="1" t="s">
        <v>653</v>
      </c>
      <c r="L3265" s="1" t="s">
        <v>1925</v>
      </c>
    </row>
    <row r="3266" spans="2:12">
      <c r="B3266" s="1" t="s">
        <v>667</v>
      </c>
      <c r="C3266" s="1" t="s">
        <v>336</v>
      </c>
      <c r="D3266" s="52">
        <v>46054.395833333336</v>
      </c>
      <c r="E3266" s="52">
        <v>46054.395833333336</v>
      </c>
      <c r="F3266" s="52">
        <v>46054.396527777775</v>
      </c>
      <c r="G3266" s="53">
        <v>5.4398148148148144E-4</v>
      </c>
      <c r="H3266" s="1" t="s">
        <v>257</v>
      </c>
      <c r="J3266" s="1" t="s">
        <v>371</v>
      </c>
      <c r="K3266" s="1" t="s">
        <v>653</v>
      </c>
      <c r="L3266" s="1" t="s">
        <v>1926</v>
      </c>
    </row>
    <row r="3267" spans="2:12">
      <c r="B3267" s="1" t="s">
        <v>667</v>
      </c>
      <c r="C3267" s="1" t="s">
        <v>336</v>
      </c>
      <c r="D3267" s="52">
        <v>46054.383333333331</v>
      </c>
      <c r="E3267" s="52">
        <v>46054.383333333331</v>
      </c>
      <c r="F3267" s="52">
        <v>46054.383333333331</v>
      </c>
      <c r="G3267" s="53">
        <v>5.3240740740740744E-4</v>
      </c>
      <c r="H3267" s="1" t="s">
        <v>257</v>
      </c>
      <c r="J3267" s="1" t="s">
        <v>371</v>
      </c>
      <c r="K3267" s="1" t="s">
        <v>653</v>
      </c>
      <c r="L3267" s="1" t="s">
        <v>1927</v>
      </c>
    </row>
    <row r="3268" spans="2:12">
      <c r="B3268" s="1" t="s">
        <v>667</v>
      </c>
      <c r="C3268" s="1" t="s">
        <v>336</v>
      </c>
      <c r="D3268" s="52">
        <v>46054.370833333334</v>
      </c>
      <c r="E3268" s="52">
        <v>46054.370833333334</v>
      </c>
      <c r="F3268" s="52">
        <v>46054.371527777781</v>
      </c>
      <c r="G3268" s="53">
        <v>5.0925925925925921E-4</v>
      </c>
      <c r="H3268" s="1" t="s">
        <v>257</v>
      </c>
      <c r="J3268" s="1" t="s">
        <v>371</v>
      </c>
      <c r="K3268" s="1" t="s">
        <v>653</v>
      </c>
      <c r="L3268" s="1" t="s">
        <v>1928</v>
      </c>
    </row>
    <row r="3269" spans="2:12">
      <c r="B3269" s="1" t="s">
        <v>667</v>
      </c>
      <c r="C3269" s="1" t="s">
        <v>336</v>
      </c>
      <c r="D3269" s="52">
        <v>46054.359722222223</v>
      </c>
      <c r="E3269" s="52">
        <v>46054.359722222223</v>
      </c>
      <c r="F3269" s="52">
        <v>46054.36041666667</v>
      </c>
      <c r="G3269" s="53">
        <v>4.9768518518518521E-4</v>
      </c>
      <c r="H3269" s="1" t="s">
        <v>257</v>
      </c>
      <c r="J3269" s="1" t="s">
        <v>371</v>
      </c>
      <c r="K3269" s="1" t="s">
        <v>653</v>
      </c>
      <c r="L3269" s="1" t="s">
        <v>1929</v>
      </c>
    </row>
    <row r="3270" spans="2:12">
      <c r="B3270" s="1" t="s">
        <v>667</v>
      </c>
      <c r="C3270" s="1" t="s">
        <v>336</v>
      </c>
      <c r="D3270" s="52">
        <v>46054.354166666664</v>
      </c>
      <c r="E3270" s="52">
        <v>46054.354166666664</v>
      </c>
      <c r="F3270" s="52">
        <v>46054.354861111111</v>
      </c>
      <c r="G3270" s="53">
        <v>5.0925925925925921E-4</v>
      </c>
      <c r="H3270" s="1" t="s">
        <v>257</v>
      </c>
      <c r="J3270" s="1" t="s">
        <v>371</v>
      </c>
      <c r="K3270" s="1" t="s">
        <v>653</v>
      </c>
      <c r="L3270" s="1" t="s">
        <v>1930</v>
      </c>
    </row>
    <row r="3271" spans="2:12">
      <c r="B3271" s="1" t="s">
        <v>667</v>
      </c>
      <c r="C3271" s="1" t="s">
        <v>336</v>
      </c>
      <c r="D3271" s="52">
        <v>46054.345138888886</v>
      </c>
      <c r="E3271" s="52">
        <v>46054.345138888886</v>
      </c>
      <c r="F3271" s="52">
        <v>46054.345833333333</v>
      </c>
      <c r="G3271" s="53">
        <v>5.0925925925925921E-4</v>
      </c>
      <c r="H3271" s="1" t="s">
        <v>257</v>
      </c>
      <c r="J3271" s="1" t="s">
        <v>371</v>
      </c>
      <c r="K3271" s="1" t="s">
        <v>653</v>
      </c>
      <c r="L3271" s="1" t="s">
        <v>1931</v>
      </c>
    </row>
    <row r="3272" spans="2:12">
      <c r="B3272" s="1" t="s">
        <v>667</v>
      </c>
      <c r="C3272" s="1" t="s">
        <v>336</v>
      </c>
      <c r="D3272" s="52">
        <v>46054.333333333336</v>
      </c>
      <c r="E3272" s="52">
        <v>46054.333333333336</v>
      </c>
      <c r="F3272" s="52">
        <v>46054.334027777775</v>
      </c>
      <c r="G3272" s="53">
        <v>5.4398148148148144E-4</v>
      </c>
      <c r="H3272" s="1" t="s">
        <v>257</v>
      </c>
      <c r="J3272" s="1" t="s">
        <v>371</v>
      </c>
      <c r="K3272" s="1" t="s">
        <v>653</v>
      </c>
      <c r="L3272" s="1" t="s">
        <v>1932</v>
      </c>
    </row>
    <row r="3273" spans="2:12">
      <c r="B3273" s="1" t="s">
        <v>667</v>
      </c>
      <c r="C3273" s="1" t="s">
        <v>336</v>
      </c>
      <c r="D3273" s="52">
        <v>46054.282638888886</v>
      </c>
      <c r="E3273" s="52">
        <v>46054.282638888886</v>
      </c>
      <c r="F3273" s="52">
        <v>46054.283333333333</v>
      </c>
      <c r="G3273" s="53">
        <v>5.2083333333333333E-4</v>
      </c>
      <c r="H3273" s="1" t="s">
        <v>257</v>
      </c>
      <c r="J3273" s="1" t="s">
        <v>371</v>
      </c>
      <c r="K3273" s="1" t="s">
        <v>653</v>
      </c>
      <c r="L3273" s="1" t="s">
        <v>1933</v>
      </c>
    </row>
    <row r="3274" spans="2:12">
      <c r="B3274" s="1" t="s">
        <v>667</v>
      </c>
      <c r="C3274" s="1" t="s">
        <v>336</v>
      </c>
      <c r="D3274" s="52">
        <v>46054.261111111111</v>
      </c>
      <c r="E3274" s="52">
        <v>46054.261111111111</v>
      </c>
      <c r="F3274" s="52">
        <v>46054.261805555558</v>
      </c>
      <c r="G3274" s="53">
        <v>5.2083333333333333E-4</v>
      </c>
      <c r="H3274" s="1" t="s">
        <v>257</v>
      </c>
      <c r="J3274" s="1" t="s">
        <v>371</v>
      </c>
      <c r="K3274" s="1" t="s">
        <v>653</v>
      </c>
      <c r="L3274" s="1" t="s">
        <v>1934</v>
      </c>
    </row>
    <row r="3275" spans="2:12">
      <c r="B3275" s="1" t="s">
        <v>667</v>
      </c>
      <c r="C3275" s="1" t="s">
        <v>336</v>
      </c>
      <c r="D3275" s="52">
        <v>46054.23541666667</v>
      </c>
      <c r="E3275" s="52">
        <v>46054.23541666667</v>
      </c>
      <c r="F3275" s="52">
        <v>46054.257638888892</v>
      </c>
      <c r="G3275" s="53">
        <v>2.2314814814814815E-2</v>
      </c>
      <c r="H3275" s="1" t="s">
        <v>257</v>
      </c>
      <c r="J3275" s="1" t="s">
        <v>371</v>
      </c>
      <c r="K3275" s="1" t="s">
        <v>653</v>
      </c>
      <c r="L3275" s="1" t="s">
        <v>1935</v>
      </c>
    </row>
    <row r="3276" spans="2:12">
      <c r="B3276" s="1" t="s">
        <v>667</v>
      </c>
      <c r="C3276" s="1" t="s">
        <v>336</v>
      </c>
      <c r="D3276" s="52">
        <v>46054.23541666667</v>
      </c>
      <c r="E3276" s="52">
        <v>46054.23541666667</v>
      </c>
      <c r="F3276" s="52">
        <v>46054.257638888892</v>
      </c>
      <c r="G3276" s="53">
        <v>2.2685185185185187E-2</v>
      </c>
      <c r="H3276" s="1" t="s">
        <v>257</v>
      </c>
      <c r="J3276" s="1" t="s">
        <v>371</v>
      </c>
      <c r="K3276" s="1" t="s">
        <v>653</v>
      </c>
      <c r="L3276" s="1" t="s">
        <v>1936</v>
      </c>
    </row>
    <row r="3277" spans="2:12">
      <c r="B3277" s="1" t="s">
        <v>385</v>
      </c>
      <c r="C3277" s="1" t="s">
        <v>386</v>
      </c>
      <c r="D3277" s="52">
        <v>46077.661111111112</v>
      </c>
      <c r="E3277" s="52">
        <v>46077.661111111112</v>
      </c>
      <c r="F3277" s="52">
        <v>46077.661805555559</v>
      </c>
      <c r="G3277" s="53">
        <v>1.0995370370370371E-3</v>
      </c>
      <c r="H3277" s="1" t="s">
        <v>257</v>
      </c>
      <c r="J3277" s="1" t="s">
        <v>371</v>
      </c>
      <c r="K3277" s="1" t="s">
        <v>653</v>
      </c>
      <c r="L3277" s="1" t="s">
        <v>1937</v>
      </c>
    </row>
    <row r="3278" spans="2:12">
      <c r="B3278" s="1" t="s">
        <v>385</v>
      </c>
      <c r="C3278" s="1" t="s">
        <v>1938</v>
      </c>
      <c r="D3278" s="52">
        <v>46069.606249999997</v>
      </c>
      <c r="E3278" s="52">
        <v>46069.606249999997</v>
      </c>
      <c r="F3278" s="52">
        <v>46069.60833333333</v>
      </c>
      <c r="G3278" s="53">
        <v>2.0949074074074073E-3</v>
      </c>
      <c r="H3278" s="1" t="s">
        <v>257</v>
      </c>
      <c r="J3278" s="1" t="s">
        <v>371</v>
      </c>
      <c r="K3278" s="1" t="s">
        <v>653</v>
      </c>
      <c r="L3278" s="1" t="s">
        <v>1937</v>
      </c>
    </row>
    <row r="3279" spans="2:12">
      <c r="B3279" s="1" t="s">
        <v>385</v>
      </c>
      <c r="C3279" s="1" t="s">
        <v>1939</v>
      </c>
      <c r="D3279" s="52">
        <v>46069.606249999997</v>
      </c>
      <c r="E3279" s="52">
        <v>46069.606249999997</v>
      </c>
      <c r="F3279" s="52">
        <v>46069.60833333333</v>
      </c>
      <c r="G3279" s="53">
        <v>2.0833333333333333E-3</v>
      </c>
      <c r="H3279" s="1" t="s">
        <v>257</v>
      </c>
      <c r="J3279" s="1" t="s">
        <v>371</v>
      </c>
      <c r="K3279" s="1" t="s">
        <v>653</v>
      </c>
      <c r="L3279" s="1" t="s">
        <v>1937</v>
      </c>
    </row>
    <row r="3280" spans="2:12">
      <c r="B3280" s="1" t="s">
        <v>385</v>
      </c>
      <c r="C3280" s="1" t="s">
        <v>1938</v>
      </c>
      <c r="D3280" s="52">
        <v>46069.594444444447</v>
      </c>
      <c r="E3280" s="52">
        <v>46069.594444444447</v>
      </c>
      <c r="F3280" s="52">
        <v>46069.59652777778</v>
      </c>
      <c r="G3280" s="53">
        <v>2.0833333333333333E-3</v>
      </c>
      <c r="H3280" s="1" t="s">
        <v>257</v>
      </c>
      <c r="J3280" s="1" t="s">
        <v>371</v>
      </c>
      <c r="K3280" s="1" t="s">
        <v>653</v>
      </c>
      <c r="L3280" s="1" t="s">
        <v>1937</v>
      </c>
    </row>
    <row r="3281" spans="2:12">
      <c r="B3281" s="1" t="s">
        <v>385</v>
      </c>
      <c r="C3281" s="1" t="s">
        <v>1940</v>
      </c>
      <c r="D3281" s="52">
        <v>46069.588194444441</v>
      </c>
      <c r="E3281" s="52">
        <v>46069.588194444441</v>
      </c>
      <c r="F3281" s="52">
        <v>46069.590277777781</v>
      </c>
      <c r="G3281" s="53">
        <v>2.0717592592592593E-3</v>
      </c>
      <c r="H3281" s="1" t="s">
        <v>257</v>
      </c>
      <c r="J3281" s="1" t="s">
        <v>371</v>
      </c>
      <c r="K3281" s="1" t="s">
        <v>653</v>
      </c>
      <c r="L3281" s="1" t="s">
        <v>1937</v>
      </c>
    </row>
    <row r="3282" spans="2:12">
      <c r="B3282" s="1" t="s">
        <v>385</v>
      </c>
      <c r="C3282" s="1" t="s">
        <v>1941</v>
      </c>
      <c r="D3282" s="52">
        <v>46069.588194444441</v>
      </c>
      <c r="E3282" s="52">
        <v>46069.588194444441</v>
      </c>
      <c r="F3282" s="52">
        <v>46069.589583333334</v>
      </c>
      <c r="G3282" s="53">
        <v>2.0717592592592593E-3</v>
      </c>
      <c r="H3282" s="1" t="s">
        <v>257</v>
      </c>
      <c r="J3282" s="1" t="s">
        <v>371</v>
      </c>
      <c r="K3282" s="1" t="s">
        <v>653</v>
      </c>
      <c r="L3282" s="1" t="s">
        <v>1937</v>
      </c>
    </row>
    <row r="3283" spans="2:12">
      <c r="B3283" s="1" t="s">
        <v>385</v>
      </c>
      <c r="C3283" s="1" t="s">
        <v>1938</v>
      </c>
      <c r="D3283" s="52">
        <v>46069.587500000001</v>
      </c>
      <c r="E3283" s="52">
        <v>46069.587500000001</v>
      </c>
      <c r="F3283" s="52">
        <v>46069.589583333334</v>
      </c>
      <c r="G3283" s="53">
        <v>2.0717592592592593E-3</v>
      </c>
      <c r="H3283" s="1" t="s">
        <v>257</v>
      </c>
      <c r="J3283" s="1" t="s">
        <v>371</v>
      </c>
      <c r="K3283" s="1" t="s">
        <v>653</v>
      </c>
      <c r="L3283" s="1" t="s">
        <v>1937</v>
      </c>
    </row>
    <row r="3284" spans="2:12">
      <c r="B3284" s="1" t="s">
        <v>385</v>
      </c>
      <c r="C3284" s="1" t="s">
        <v>1942</v>
      </c>
      <c r="D3284" s="52">
        <v>46069.584027777775</v>
      </c>
      <c r="E3284" s="52">
        <v>46069.584027777775</v>
      </c>
      <c r="F3284" s="52">
        <v>46069.586111111108</v>
      </c>
      <c r="G3284" s="53">
        <v>2.1296296296296298E-3</v>
      </c>
      <c r="H3284" s="1" t="s">
        <v>257</v>
      </c>
      <c r="J3284" s="1" t="s">
        <v>371</v>
      </c>
      <c r="K3284" s="1" t="s">
        <v>653</v>
      </c>
      <c r="L3284" s="1" t="s">
        <v>1937</v>
      </c>
    </row>
    <row r="3285" spans="2:12">
      <c r="B3285" s="1" t="s">
        <v>385</v>
      </c>
      <c r="C3285" s="1" t="s">
        <v>1943</v>
      </c>
      <c r="D3285" s="52">
        <v>46069.584027777775</v>
      </c>
      <c r="E3285" s="52">
        <v>46069.584027777775</v>
      </c>
      <c r="F3285" s="52">
        <v>46069.586111111108</v>
      </c>
      <c r="G3285" s="53">
        <v>2.1064814814814813E-3</v>
      </c>
      <c r="H3285" s="1" t="s">
        <v>257</v>
      </c>
      <c r="J3285" s="1" t="s">
        <v>371</v>
      </c>
      <c r="K3285" s="1" t="s">
        <v>653</v>
      </c>
      <c r="L3285" s="1" t="s">
        <v>1937</v>
      </c>
    </row>
    <row r="3286" spans="2:12">
      <c r="B3286" s="1" t="s">
        <v>385</v>
      </c>
      <c r="C3286" s="1" t="s">
        <v>1943</v>
      </c>
      <c r="D3286" s="52">
        <v>46069.544444444444</v>
      </c>
      <c r="E3286" s="52">
        <v>46069.544444444444</v>
      </c>
      <c r="F3286" s="52">
        <v>46069.546527777777</v>
      </c>
      <c r="G3286" s="53">
        <v>2.0717592592592593E-3</v>
      </c>
      <c r="H3286" s="1" t="s">
        <v>257</v>
      </c>
      <c r="J3286" s="1" t="s">
        <v>371</v>
      </c>
      <c r="K3286" s="1" t="s">
        <v>653</v>
      </c>
      <c r="L3286" s="1" t="s">
        <v>1937</v>
      </c>
    </row>
    <row r="3287" spans="2:12">
      <c r="B3287" s="1" t="s">
        <v>385</v>
      </c>
      <c r="C3287" s="1" t="s">
        <v>1942</v>
      </c>
      <c r="D3287" s="52">
        <v>46069.543749999997</v>
      </c>
      <c r="E3287" s="52">
        <v>46069.543749999997</v>
      </c>
      <c r="F3287" s="52">
        <v>46069.54583333333</v>
      </c>
      <c r="G3287" s="53">
        <v>2.1296296296296298E-3</v>
      </c>
      <c r="H3287" s="1" t="s">
        <v>257</v>
      </c>
      <c r="J3287" s="1" t="s">
        <v>371</v>
      </c>
      <c r="K3287" s="1" t="s">
        <v>653</v>
      </c>
      <c r="L3287" s="1" t="s">
        <v>1937</v>
      </c>
    </row>
    <row r="3288" spans="2:12">
      <c r="B3288" s="1" t="s">
        <v>385</v>
      </c>
      <c r="C3288" s="1" t="s">
        <v>1939</v>
      </c>
      <c r="D3288" s="52">
        <v>46069.527083333334</v>
      </c>
      <c r="E3288" s="52">
        <v>46069.527083333334</v>
      </c>
      <c r="F3288" s="52">
        <v>46069.529166666667</v>
      </c>
      <c r="G3288" s="53">
        <v>2.0949074074074073E-3</v>
      </c>
      <c r="H3288" s="1" t="s">
        <v>257</v>
      </c>
      <c r="J3288" s="1" t="s">
        <v>371</v>
      </c>
      <c r="K3288" s="1" t="s">
        <v>653</v>
      </c>
      <c r="L3288" s="1" t="s">
        <v>1937</v>
      </c>
    </row>
    <row r="3289" spans="2:12">
      <c r="B3289" s="1" t="s">
        <v>385</v>
      </c>
      <c r="C3289" s="1" t="s">
        <v>1942</v>
      </c>
      <c r="D3289" s="52">
        <v>46069.518055555556</v>
      </c>
      <c r="E3289" s="52">
        <v>46069.518055555556</v>
      </c>
      <c r="F3289" s="52">
        <v>46069.520138888889</v>
      </c>
      <c r="G3289" s="53">
        <v>2.0717592592592593E-3</v>
      </c>
      <c r="H3289" s="1" t="s">
        <v>257</v>
      </c>
      <c r="J3289" s="1" t="s">
        <v>371</v>
      </c>
      <c r="K3289" s="1" t="s">
        <v>653</v>
      </c>
      <c r="L3289" s="1" t="s">
        <v>1937</v>
      </c>
    </row>
    <row r="3290" spans="2:12">
      <c r="B3290" s="1" t="s">
        <v>385</v>
      </c>
      <c r="C3290" s="1" t="s">
        <v>1942</v>
      </c>
      <c r="D3290" s="52">
        <v>46069.509027777778</v>
      </c>
      <c r="E3290" s="52">
        <v>46069.509027777778</v>
      </c>
      <c r="F3290" s="52">
        <v>46069.511111111111</v>
      </c>
      <c r="G3290" s="53">
        <v>2.0717592592592593E-3</v>
      </c>
      <c r="H3290" s="1" t="s">
        <v>257</v>
      </c>
      <c r="J3290" s="1" t="s">
        <v>371</v>
      </c>
      <c r="K3290" s="1" t="s">
        <v>653</v>
      </c>
      <c r="L3290" s="1" t="s">
        <v>1937</v>
      </c>
    </row>
    <row r="3291" spans="2:12">
      <c r="B3291" s="1" t="s">
        <v>385</v>
      </c>
      <c r="C3291" s="1" t="s">
        <v>1939</v>
      </c>
      <c r="D3291" s="52">
        <v>46068.464583333334</v>
      </c>
      <c r="E3291" s="52">
        <v>46068.464583333334</v>
      </c>
      <c r="F3291" s="52">
        <v>46068.466666666667</v>
      </c>
      <c r="G3291" s="53">
        <v>2.0833333333333333E-3</v>
      </c>
      <c r="H3291" s="1" t="s">
        <v>257</v>
      </c>
      <c r="J3291" s="1" t="s">
        <v>371</v>
      </c>
      <c r="K3291" s="1" t="s">
        <v>653</v>
      </c>
      <c r="L3291" s="1" t="s">
        <v>1937</v>
      </c>
    </row>
    <row r="3292" spans="2:12">
      <c r="B3292" s="1" t="s">
        <v>385</v>
      </c>
      <c r="C3292" s="1" t="s">
        <v>386</v>
      </c>
      <c r="D3292" s="52">
        <v>46057.585416666669</v>
      </c>
      <c r="E3292" s="52">
        <v>46057.585416666669</v>
      </c>
      <c r="F3292" s="52">
        <v>46057.587500000001</v>
      </c>
      <c r="G3292" s="53">
        <v>2.1064814814814813E-3</v>
      </c>
      <c r="H3292" s="1" t="s">
        <v>257</v>
      </c>
      <c r="J3292" s="1" t="s">
        <v>371</v>
      </c>
      <c r="K3292" s="1" t="s">
        <v>653</v>
      </c>
      <c r="L3292" s="1" t="s">
        <v>1937</v>
      </c>
    </row>
    <row r="3293" spans="2:12">
      <c r="B3293" s="1" t="s">
        <v>385</v>
      </c>
      <c r="C3293" s="1" t="s">
        <v>386</v>
      </c>
      <c r="D3293" s="52">
        <v>46055.496527777781</v>
      </c>
      <c r="E3293" s="52">
        <v>46055.496527777781</v>
      </c>
      <c r="F3293" s="52">
        <v>46055.498611111114</v>
      </c>
      <c r="G3293" s="53">
        <v>2.0949074074074073E-3</v>
      </c>
      <c r="H3293" s="1" t="s">
        <v>257</v>
      </c>
      <c r="J3293" s="1" t="s">
        <v>371</v>
      </c>
      <c r="K3293" s="1" t="s">
        <v>653</v>
      </c>
      <c r="L3293" s="1" t="s">
        <v>1937</v>
      </c>
    </row>
    <row r="3294" spans="2:12">
      <c r="B3294" s="1" t="s">
        <v>358</v>
      </c>
      <c r="C3294" s="1" t="s">
        <v>553</v>
      </c>
      <c r="D3294" s="52">
        <v>46078.49722222222</v>
      </c>
      <c r="E3294" s="52">
        <v>46078.49722222222</v>
      </c>
      <c r="F3294" s="52">
        <v>46078.499305555553</v>
      </c>
      <c r="G3294" s="53">
        <v>2.1064814814814813E-3</v>
      </c>
      <c r="H3294" s="1" t="s">
        <v>257</v>
      </c>
      <c r="J3294" s="1" t="s">
        <v>371</v>
      </c>
      <c r="K3294" s="1" t="s">
        <v>653</v>
      </c>
      <c r="L3294" s="1" t="s">
        <v>1937</v>
      </c>
    </row>
    <row r="3295" spans="2:12">
      <c r="B3295" s="1" t="s">
        <v>358</v>
      </c>
      <c r="C3295" s="1" t="s">
        <v>554</v>
      </c>
      <c r="D3295" s="52">
        <v>46075.263194444444</v>
      </c>
      <c r="E3295" s="52">
        <v>46075.263194444444</v>
      </c>
      <c r="F3295" s="52">
        <v>46075.265277777777</v>
      </c>
      <c r="G3295" s="53">
        <v>2.0023148148148148E-3</v>
      </c>
      <c r="H3295" s="1" t="s">
        <v>257</v>
      </c>
      <c r="J3295" s="1" t="s">
        <v>371</v>
      </c>
      <c r="K3295" s="1" t="s">
        <v>653</v>
      </c>
      <c r="L3295" s="1" t="s">
        <v>1944</v>
      </c>
    </row>
    <row r="3296" spans="2:12">
      <c r="B3296" s="1" t="s">
        <v>358</v>
      </c>
      <c r="C3296" s="1" t="s">
        <v>554</v>
      </c>
      <c r="D3296" s="52">
        <v>46074.333333333336</v>
      </c>
      <c r="E3296" s="52">
        <v>46074.333333333336</v>
      </c>
      <c r="F3296" s="52">
        <v>46074.334722222222</v>
      </c>
      <c r="G3296" s="53">
        <v>2.0370370370370369E-3</v>
      </c>
      <c r="H3296" s="1" t="s">
        <v>257</v>
      </c>
      <c r="J3296" s="1" t="s">
        <v>371</v>
      </c>
      <c r="K3296" s="1" t="s">
        <v>653</v>
      </c>
      <c r="L3296" s="1" t="s">
        <v>1944</v>
      </c>
    </row>
    <row r="3297" spans="2:12">
      <c r="B3297" s="1" t="s">
        <v>358</v>
      </c>
      <c r="C3297" s="1" t="s">
        <v>554</v>
      </c>
      <c r="D3297" s="52">
        <v>46074.292361111111</v>
      </c>
      <c r="E3297" s="52">
        <v>46074.292361111111</v>
      </c>
      <c r="F3297" s="52">
        <v>46074.294444444444</v>
      </c>
      <c r="G3297" s="53">
        <v>1.9907407407407408E-3</v>
      </c>
      <c r="H3297" s="1" t="s">
        <v>257</v>
      </c>
      <c r="J3297" s="1" t="s">
        <v>371</v>
      </c>
      <c r="K3297" s="1" t="s">
        <v>653</v>
      </c>
      <c r="L3297" s="1" t="s">
        <v>1944</v>
      </c>
    </row>
    <row r="3298" spans="2:12">
      <c r="B3298" s="1" t="s">
        <v>358</v>
      </c>
      <c r="C3298" s="1" t="s">
        <v>554</v>
      </c>
      <c r="D3298" s="52">
        <v>46072.256944444445</v>
      </c>
      <c r="E3298" s="52">
        <v>46072.256944444445</v>
      </c>
      <c r="F3298" s="52">
        <v>46072.259027777778</v>
      </c>
      <c r="G3298" s="53">
        <v>2.0370370370370369E-3</v>
      </c>
      <c r="H3298" s="1" t="s">
        <v>257</v>
      </c>
      <c r="J3298" s="1" t="s">
        <v>371</v>
      </c>
      <c r="K3298" s="1" t="s">
        <v>653</v>
      </c>
      <c r="L3298" s="1" t="s">
        <v>1944</v>
      </c>
    </row>
    <row r="3299" spans="2:12">
      <c r="B3299" s="1" t="s">
        <v>358</v>
      </c>
      <c r="C3299" s="1" t="s">
        <v>554</v>
      </c>
      <c r="D3299" s="52">
        <v>46071.783333333333</v>
      </c>
      <c r="E3299" s="52">
        <v>46071.783333333333</v>
      </c>
      <c r="F3299" s="52">
        <v>46071.785416666666</v>
      </c>
      <c r="G3299" s="53">
        <v>2.0949074074074073E-3</v>
      </c>
      <c r="H3299" s="1" t="s">
        <v>257</v>
      </c>
      <c r="J3299" s="1" t="s">
        <v>371</v>
      </c>
      <c r="K3299" s="1" t="s">
        <v>653</v>
      </c>
      <c r="L3299" s="1" t="s">
        <v>1944</v>
      </c>
    </row>
    <row r="3300" spans="2:12">
      <c r="B3300" s="1" t="s">
        <v>358</v>
      </c>
      <c r="C3300" s="1" t="s">
        <v>554</v>
      </c>
      <c r="D3300" s="52">
        <v>46067.256249999999</v>
      </c>
      <c r="E3300" s="52">
        <v>46067.256249999999</v>
      </c>
      <c r="F3300" s="52">
        <v>46067.258333333331</v>
      </c>
      <c r="G3300" s="53">
        <v>2.0254629629629629E-3</v>
      </c>
      <c r="H3300" s="1" t="s">
        <v>257</v>
      </c>
      <c r="J3300" s="1" t="s">
        <v>371</v>
      </c>
      <c r="K3300" s="1" t="s">
        <v>653</v>
      </c>
      <c r="L3300" s="1" t="s">
        <v>1944</v>
      </c>
    </row>
    <row r="3301" spans="2:12">
      <c r="B3301" s="1" t="s">
        <v>358</v>
      </c>
      <c r="C3301" s="1" t="s">
        <v>554</v>
      </c>
      <c r="D3301" s="52">
        <v>46065.782638888886</v>
      </c>
      <c r="E3301" s="52">
        <v>46065.782638888886</v>
      </c>
      <c r="F3301" s="52">
        <v>46065.78402777778</v>
      </c>
      <c r="G3301" s="53">
        <v>2.0254629629629629E-3</v>
      </c>
      <c r="H3301" s="1" t="s">
        <v>257</v>
      </c>
      <c r="J3301" s="1" t="s">
        <v>371</v>
      </c>
      <c r="K3301" s="1" t="s">
        <v>653</v>
      </c>
      <c r="L3301" s="1" t="s">
        <v>1944</v>
      </c>
    </row>
    <row r="3302" spans="2:12">
      <c r="B3302" s="1" t="s">
        <v>358</v>
      </c>
      <c r="C3302" s="1" t="s">
        <v>554</v>
      </c>
      <c r="D3302" s="52">
        <v>46062.779166666667</v>
      </c>
      <c r="E3302" s="52">
        <v>46062.779166666667</v>
      </c>
      <c r="F3302" s="52">
        <v>46062.78125</v>
      </c>
      <c r="G3302" s="53">
        <v>2.0254629629629629E-3</v>
      </c>
      <c r="H3302" s="1" t="s">
        <v>257</v>
      </c>
      <c r="J3302" s="1" t="s">
        <v>371</v>
      </c>
      <c r="K3302" s="1" t="s">
        <v>653</v>
      </c>
      <c r="L3302" s="1" t="s">
        <v>1944</v>
      </c>
    </row>
    <row r="3303" spans="2:12">
      <c r="B3303" s="1" t="s">
        <v>358</v>
      </c>
      <c r="C3303" s="1" t="s">
        <v>553</v>
      </c>
      <c r="D3303" s="52">
        <v>46061.421527777777</v>
      </c>
      <c r="E3303" s="52">
        <v>46061.421527777777</v>
      </c>
      <c r="F3303" s="52">
        <v>46061.423611111109</v>
      </c>
      <c r="G3303" s="53">
        <v>2.1180555555555558E-3</v>
      </c>
      <c r="H3303" s="1" t="s">
        <v>257</v>
      </c>
      <c r="J3303" s="1" t="s">
        <v>371</v>
      </c>
      <c r="K3303" s="1" t="s">
        <v>653</v>
      </c>
      <c r="L3303" s="1" t="s">
        <v>1937</v>
      </c>
    </row>
    <row r="3304" spans="2:12">
      <c r="B3304" s="1" t="s">
        <v>358</v>
      </c>
      <c r="C3304" s="1" t="s">
        <v>554</v>
      </c>
      <c r="D3304" s="52">
        <v>46059.787499999999</v>
      </c>
      <c r="E3304" s="52">
        <v>46059.787499999999</v>
      </c>
      <c r="F3304" s="52">
        <v>46059.789583333331</v>
      </c>
      <c r="G3304" s="53">
        <v>2.0254629629629629E-3</v>
      </c>
      <c r="H3304" s="1" t="s">
        <v>257</v>
      </c>
      <c r="J3304" s="1" t="s">
        <v>371</v>
      </c>
      <c r="K3304" s="1" t="s">
        <v>653</v>
      </c>
      <c r="L3304" s="1" t="s">
        <v>1944</v>
      </c>
    </row>
    <row r="3305" spans="2:12">
      <c r="B3305" s="1" t="s">
        <v>358</v>
      </c>
      <c r="C3305" s="1" t="s">
        <v>554</v>
      </c>
      <c r="D3305" s="52">
        <v>46059.261805555558</v>
      </c>
      <c r="E3305" s="52">
        <v>46059.261805555558</v>
      </c>
      <c r="F3305" s="52">
        <v>46059.263888888891</v>
      </c>
      <c r="G3305" s="53">
        <v>2.0833333333333333E-3</v>
      </c>
      <c r="H3305" s="1" t="s">
        <v>257</v>
      </c>
      <c r="J3305" s="1" t="s">
        <v>371</v>
      </c>
      <c r="K3305" s="1" t="s">
        <v>653</v>
      </c>
      <c r="L3305" s="1" t="s">
        <v>1944</v>
      </c>
    </row>
    <row r="3306" spans="2:12">
      <c r="B3306" s="1" t="s">
        <v>358</v>
      </c>
      <c r="C3306" s="1" t="s">
        <v>554</v>
      </c>
      <c r="D3306" s="52">
        <v>46056.788194444445</v>
      </c>
      <c r="E3306" s="52">
        <v>46056.788194444445</v>
      </c>
      <c r="F3306" s="52">
        <v>46056.790277777778</v>
      </c>
      <c r="G3306" s="53">
        <v>2.0833333333333333E-3</v>
      </c>
      <c r="H3306" s="1" t="s">
        <v>257</v>
      </c>
      <c r="J3306" s="1" t="s">
        <v>371</v>
      </c>
      <c r="K3306" s="1" t="s">
        <v>653</v>
      </c>
      <c r="L3306" s="1" t="s">
        <v>1944</v>
      </c>
    </row>
    <row r="3307" spans="2:12">
      <c r="B3307" s="1" t="s">
        <v>358</v>
      </c>
      <c r="C3307" s="1" t="s">
        <v>554</v>
      </c>
      <c r="D3307" s="52">
        <v>46056.261805555558</v>
      </c>
      <c r="E3307" s="52">
        <v>46056.261805555558</v>
      </c>
      <c r="F3307" s="52">
        <v>46056.263888888891</v>
      </c>
      <c r="G3307" s="53">
        <v>2.0370370370370369E-3</v>
      </c>
      <c r="H3307" s="1" t="s">
        <v>257</v>
      </c>
      <c r="J3307" s="1" t="s">
        <v>371</v>
      </c>
      <c r="K3307" s="1" t="s">
        <v>653</v>
      </c>
      <c r="L3307" s="1" t="s">
        <v>1944</v>
      </c>
    </row>
    <row r="3308" spans="2:12">
      <c r="B3308" s="1" t="s">
        <v>358</v>
      </c>
      <c r="C3308" s="1" t="s">
        <v>554</v>
      </c>
      <c r="D3308" s="52">
        <v>46054.786805555559</v>
      </c>
      <c r="E3308" s="52">
        <v>46054.786805555559</v>
      </c>
      <c r="F3308" s="52">
        <v>46054.788888888892</v>
      </c>
      <c r="G3308" s="53">
        <v>2.0949074074074073E-3</v>
      </c>
      <c r="H3308" s="1" t="s">
        <v>257</v>
      </c>
      <c r="J3308" s="1" t="s">
        <v>371</v>
      </c>
      <c r="K3308" s="1" t="s">
        <v>653</v>
      </c>
      <c r="L3308" s="1" t="s">
        <v>1944</v>
      </c>
    </row>
    <row r="3309" spans="2:12">
      <c r="B3309" s="1" t="s">
        <v>736</v>
      </c>
      <c r="C3309" s="1" t="s">
        <v>307</v>
      </c>
      <c r="D3309" s="52">
        <v>46072.774305555555</v>
      </c>
      <c r="E3309" s="52">
        <v>46072.774340277778</v>
      </c>
      <c r="F3309" s="52">
        <v>46072.774305555555</v>
      </c>
      <c r="G3309" s="53">
        <v>6.9444444444444444E-5</v>
      </c>
      <c r="H3309" s="1" t="s">
        <v>257</v>
      </c>
      <c r="J3309" s="1" t="s">
        <v>258</v>
      </c>
      <c r="K3309" s="1" t="s">
        <v>658</v>
      </c>
      <c r="L3309" s="1" t="s">
        <v>1945</v>
      </c>
    </row>
    <row r="3310" spans="2:12">
      <c r="B3310" s="1" t="s">
        <v>736</v>
      </c>
      <c r="C3310" s="1" t="s">
        <v>256</v>
      </c>
      <c r="D3310" s="52">
        <v>46072.774305555555</v>
      </c>
      <c r="E3310" s="52">
        <v>46072.774340277778</v>
      </c>
      <c r="F3310" s="52">
        <v>46072.774305555555</v>
      </c>
      <c r="G3310" s="53">
        <v>6.9444444444444444E-5</v>
      </c>
      <c r="H3310" s="1" t="s">
        <v>257</v>
      </c>
      <c r="J3310" s="1" t="s">
        <v>258</v>
      </c>
      <c r="K3310" s="1" t="s">
        <v>658</v>
      </c>
      <c r="L3310" s="1" t="s">
        <v>1945</v>
      </c>
    </row>
    <row r="3311" spans="2:12">
      <c r="B3311" s="1" t="s">
        <v>736</v>
      </c>
      <c r="C3311" s="1" t="s">
        <v>390</v>
      </c>
      <c r="D3311" s="52">
        <v>46072.774305555555</v>
      </c>
      <c r="E3311" s="52">
        <v>46072.774340277778</v>
      </c>
      <c r="F3311" s="52">
        <v>46072.774305555555</v>
      </c>
      <c r="G3311" s="53">
        <v>6.9444444444444444E-5</v>
      </c>
      <c r="H3311" s="1" t="s">
        <v>257</v>
      </c>
      <c r="J3311" s="1" t="s">
        <v>258</v>
      </c>
      <c r="K3311" s="1" t="s">
        <v>658</v>
      </c>
      <c r="L3311" s="1" t="s">
        <v>1945</v>
      </c>
    </row>
    <row r="3312" spans="2:12">
      <c r="B3312" s="1" t="s">
        <v>736</v>
      </c>
      <c r="C3312" s="1" t="s">
        <v>264</v>
      </c>
      <c r="D3312" s="52">
        <v>46072.774305555555</v>
      </c>
      <c r="E3312" s="52">
        <v>46072.774340277778</v>
      </c>
      <c r="F3312" s="52">
        <v>46072.774305555555</v>
      </c>
      <c r="G3312" s="53">
        <v>8.1018518518518516E-5</v>
      </c>
      <c r="H3312" s="1" t="s">
        <v>257</v>
      </c>
      <c r="J3312" s="1" t="s">
        <v>258</v>
      </c>
      <c r="K3312" s="1" t="s">
        <v>658</v>
      </c>
      <c r="L3312" s="1" t="s">
        <v>1945</v>
      </c>
    </row>
    <row r="3313" spans="2:12">
      <c r="B3313" s="1" t="s">
        <v>736</v>
      </c>
      <c r="C3313" s="1" t="s">
        <v>263</v>
      </c>
      <c r="D3313" s="52">
        <v>46072.774305555555</v>
      </c>
      <c r="E3313" s="52">
        <v>46072.774340277778</v>
      </c>
      <c r="F3313" s="52">
        <v>46072.774305555555</v>
      </c>
      <c r="G3313" s="53">
        <v>8.1018518518518516E-5</v>
      </c>
      <c r="H3313" s="1" t="s">
        <v>257</v>
      </c>
      <c r="J3313" s="1" t="s">
        <v>258</v>
      </c>
      <c r="K3313" s="1" t="s">
        <v>658</v>
      </c>
      <c r="L3313" s="1" t="s">
        <v>1945</v>
      </c>
    </row>
    <row r="3314" spans="2:12">
      <c r="B3314" s="1" t="s">
        <v>729</v>
      </c>
      <c r="C3314" s="1" t="s">
        <v>1946</v>
      </c>
      <c r="D3314" s="52">
        <v>46072.774305555555</v>
      </c>
      <c r="E3314" s="52">
        <v>46072.774340277778</v>
      </c>
      <c r="F3314" s="52">
        <v>46072.774305555555</v>
      </c>
      <c r="G3314" s="53">
        <v>6.9444444444444444E-5</v>
      </c>
      <c r="H3314" s="1" t="s">
        <v>257</v>
      </c>
      <c r="J3314" s="1" t="s">
        <v>258</v>
      </c>
      <c r="K3314" s="1" t="s">
        <v>658</v>
      </c>
      <c r="L3314" s="1" t="s">
        <v>1945</v>
      </c>
    </row>
    <row r="3315" spans="2:12">
      <c r="B3315" s="1" t="s">
        <v>729</v>
      </c>
      <c r="C3315" s="1" t="s">
        <v>1947</v>
      </c>
      <c r="D3315" s="52">
        <v>46072.774305555555</v>
      </c>
      <c r="E3315" s="52">
        <v>46072.774340277778</v>
      </c>
      <c r="F3315" s="52">
        <v>46072.774305555555</v>
      </c>
      <c r="G3315" s="53">
        <v>8.1018518518518516E-5</v>
      </c>
      <c r="H3315" s="1" t="s">
        <v>257</v>
      </c>
      <c r="J3315" s="1" t="s">
        <v>258</v>
      </c>
      <c r="K3315" s="1" t="s">
        <v>658</v>
      </c>
      <c r="L3315" s="1" t="s">
        <v>1945</v>
      </c>
    </row>
    <row r="3316" spans="2:12">
      <c r="B3316" s="1" t="s">
        <v>729</v>
      </c>
      <c r="C3316" s="1" t="s">
        <v>1948</v>
      </c>
      <c r="D3316" s="52">
        <v>46072.774305555555</v>
      </c>
      <c r="E3316" s="52">
        <v>46072.774340277778</v>
      </c>
      <c r="F3316" s="52">
        <v>46072.774305555555</v>
      </c>
      <c r="G3316" s="53">
        <v>8.1018518518518516E-5</v>
      </c>
      <c r="H3316" s="1" t="s">
        <v>257</v>
      </c>
      <c r="J3316" s="1" t="s">
        <v>258</v>
      </c>
      <c r="K3316" s="1" t="s">
        <v>658</v>
      </c>
      <c r="L3316" s="1" t="s">
        <v>1945</v>
      </c>
    </row>
    <row r="3317" spans="2:12">
      <c r="B3317" s="1" t="s">
        <v>729</v>
      </c>
      <c r="C3317" s="1" t="s">
        <v>1949</v>
      </c>
      <c r="D3317" s="52">
        <v>46072.774305555555</v>
      </c>
      <c r="E3317" s="52">
        <v>46072.774328703701</v>
      </c>
      <c r="F3317" s="52">
        <v>46072.774305555555</v>
      </c>
      <c r="G3317" s="53">
        <v>8.1018518518518516E-5</v>
      </c>
      <c r="H3317" s="1" t="s">
        <v>257</v>
      </c>
      <c r="J3317" s="1" t="s">
        <v>258</v>
      </c>
      <c r="K3317" s="1" t="s">
        <v>658</v>
      </c>
      <c r="L3317" s="1" t="s">
        <v>1945</v>
      </c>
    </row>
    <row r="3318" spans="2:12">
      <c r="B3318" s="1" t="s">
        <v>729</v>
      </c>
      <c r="C3318" s="1" t="s">
        <v>1950</v>
      </c>
      <c r="D3318" s="52">
        <v>46072.774305555555</v>
      </c>
      <c r="E3318" s="52">
        <v>46072.774328703701</v>
      </c>
      <c r="F3318" s="52">
        <v>46072.774305555555</v>
      </c>
      <c r="G3318" s="53">
        <v>6.9444444444444444E-5</v>
      </c>
      <c r="H3318" s="1" t="s">
        <v>257</v>
      </c>
      <c r="J3318" s="1" t="s">
        <v>258</v>
      </c>
      <c r="K3318" s="1" t="s">
        <v>658</v>
      </c>
      <c r="L3318" s="1" t="s">
        <v>1945</v>
      </c>
    </row>
    <row r="3319" spans="2:12">
      <c r="B3319" s="1" t="s">
        <v>667</v>
      </c>
      <c r="C3319" s="1" t="s">
        <v>737</v>
      </c>
      <c r="D3319" s="52">
        <v>46072.774305555555</v>
      </c>
      <c r="E3319" s="52">
        <v>46072.774317129632</v>
      </c>
      <c r="F3319" s="52">
        <v>46072.774305555555</v>
      </c>
      <c r="G3319" s="53">
        <v>8.1018518518518516E-5</v>
      </c>
      <c r="H3319" s="1" t="s">
        <v>257</v>
      </c>
      <c r="J3319" s="1" t="s">
        <v>258</v>
      </c>
      <c r="K3319" s="1" t="s">
        <v>658</v>
      </c>
      <c r="L3319" s="1" t="s">
        <v>1945</v>
      </c>
    </row>
    <row r="3320" spans="2:12">
      <c r="B3320" s="1" t="s">
        <v>667</v>
      </c>
      <c r="C3320" s="1" t="s">
        <v>263</v>
      </c>
      <c r="D3320" s="52">
        <v>46072.774305555555</v>
      </c>
      <c r="E3320" s="52">
        <v>46072.774317129632</v>
      </c>
      <c r="F3320" s="52">
        <v>46072.774305555555</v>
      </c>
      <c r="G3320" s="53">
        <v>8.1018518518518516E-5</v>
      </c>
      <c r="H3320" s="1" t="s">
        <v>257</v>
      </c>
      <c r="J3320" s="1" t="s">
        <v>258</v>
      </c>
      <c r="K3320" s="1" t="s">
        <v>658</v>
      </c>
      <c r="L3320" s="1" t="s">
        <v>1945</v>
      </c>
    </row>
    <row r="3321" spans="2:12">
      <c r="B3321" s="1" t="s">
        <v>667</v>
      </c>
      <c r="C3321" s="1" t="s">
        <v>247</v>
      </c>
      <c r="D3321" s="52">
        <v>46072.774305555555</v>
      </c>
      <c r="E3321" s="52">
        <v>46072.774317129632</v>
      </c>
      <c r="F3321" s="52">
        <v>46072.774305555555</v>
      </c>
      <c r="G3321" s="53">
        <v>8.1018518518518516E-5</v>
      </c>
      <c r="H3321" s="1" t="s">
        <v>257</v>
      </c>
      <c r="J3321" s="1" t="s">
        <v>258</v>
      </c>
      <c r="K3321" s="1" t="s">
        <v>658</v>
      </c>
      <c r="L3321" s="1" t="s">
        <v>1945</v>
      </c>
    </row>
    <row r="3322" spans="2:12">
      <c r="B3322" s="1" t="s">
        <v>340</v>
      </c>
      <c r="C3322" s="1" t="s">
        <v>247</v>
      </c>
      <c r="D3322" s="52">
        <v>46072.774293981478</v>
      </c>
      <c r="E3322" s="52">
        <v>46072.774293981478</v>
      </c>
      <c r="F3322" s="52">
        <v>46072.774375000001</v>
      </c>
      <c r="G3322" s="53">
        <v>8.1018518518518516E-5</v>
      </c>
      <c r="H3322" s="1" t="s">
        <v>257</v>
      </c>
      <c r="J3322" s="1" t="s">
        <v>258</v>
      </c>
      <c r="K3322" s="1" t="s">
        <v>658</v>
      </c>
      <c r="L3322" s="1" t="s">
        <v>1951</v>
      </c>
    </row>
    <row r="3323" spans="2:12">
      <c r="B3323" s="1" t="s">
        <v>340</v>
      </c>
      <c r="C3323" s="1" t="s">
        <v>264</v>
      </c>
      <c r="D3323" s="52">
        <v>46069.389490740738</v>
      </c>
      <c r="E3323" s="52">
        <v>46069.389490740738</v>
      </c>
      <c r="F3323" s="52">
        <v>46069.411493055559</v>
      </c>
      <c r="G3323" s="53">
        <v>2.2002314814814815E-2</v>
      </c>
      <c r="H3323" s="1" t="s">
        <v>257</v>
      </c>
      <c r="J3323" s="1" t="s">
        <v>258</v>
      </c>
      <c r="K3323" s="1" t="s">
        <v>658</v>
      </c>
      <c r="L3323" s="1" t="s">
        <v>1951</v>
      </c>
    </row>
    <row r="3324" spans="2:12">
      <c r="B3324" s="1" t="s">
        <v>340</v>
      </c>
      <c r="C3324" s="1" t="s">
        <v>256</v>
      </c>
      <c r="D3324" s="52">
        <v>46069.389479166668</v>
      </c>
      <c r="E3324" s="52">
        <v>46069.389479166668</v>
      </c>
      <c r="F3324" s="52">
        <v>46069.411493055559</v>
      </c>
      <c r="G3324" s="53">
        <v>2.2013888888888888E-2</v>
      </c>
      <c r="H3324" s="1" t="s">
        <v>257</v>
      </c>
      <c r="J3324" s="1" t="s">
        <v>258</v>
      </c>
      <c r="K3324" s="1" t="s">
        <v>658</v>
      </c>
      <c r="L3324" s="1" t="s">
        <v>1951</v>
      </c>
    </row>
    <row r="3325" spans="2:12">
      <c r="B3325" s="1" t="s">
        <v>340</v>
      </c>
      <c r="C3325" s="1" t="s">
        <v>247</v>
      </c>
      <c r="D3325" s="52">
        <v>46069.389479166668</v>
      </c>
      <c r="E3325" s="52">
        <v>46069.389479166668</v>
      </c>
      <c r="F3325" s="52">
        <v>46069.411493055559</v>
      </c>
      <c r="G3325" s="53">
        <v>2.2013888888888888E-2</v>
      </c>
      <c r="H3325" s="1" t="s">
        <v>257</v>
      </c>
      <c r="J3325" s="1" t="s">
        <v>258</v>
      </c>
      <c r="K3325" s="1" t="s">
        <v>658</v>
      </c>
      <c r="L3325" s="1" t="s">
        <v>1951</v>
      </c>
    </row>
    <row r="3326" spans="2:12">
      <c r="B3326" s="1" t="s">
        <v>340</v>
      </c>
      <c r="C3326" s="1" t="s">
        <v>264</v>
      </c>
      <c r="D3326" s="52">
        <v>46069.387025462966</v>
      </c>
      <c r="E3326" s="52">
        <v>46069.387025462966</v>
      </c>
      <c r="F3326" s="52">
        <v>46069.389421296299</v>
      </c>
      <c r="G3326" s="53">
        <v>2.3958333333333331E-3</v>
      </c>
      <c r="H3326" s="1" t="s">
        <v>257</v>
      </c>
      <c r="J3326" s="1" t="s">
        <v>258</v>
      </c>
      <c r="K3326" s="1" t="s">
        <v>658</v>
      </c>
      <c r="L3326" s="1" t="s">
        <v>1951</v>
      </c>
    </row>
    <row r="3327" spans="2:12">
      <c r="B3327" s="1" t="s">
        <v>340</v>
      </c>
      <c r="C3327" s="1" t="s">
        <v>256</v>
      </c>
      <c r="D3327" s="52">
        <v>46069.387025462966</v>
      </c>
      <c r="E3327" s="52">
        <v>46069.387025462966</v>
      </c>
      <c r="F3327" s="52">
        <v>46069.389421296299</v>
      </c>
      <c r="G3327" s="53">
        <v>2.3958333333333331E-3</v>
      </c>
      <c r="H3327" s="1" t="s">
        <v>257</v>
      </c>
      <c r="J3327" s="1" t="s">
        <v>258</v>
      </c>
      <c r="K3327" s="1" t="s">
        <v>658</v>
      </c>
      <c r="L3327" s="1" t="s">
        <v>1951</v>
      </c>
    </row>
    <row r="3328" spans="2:12">
      <c r="B3328" s="1" t="s">
        <v>340</v>
      </c>
      <c r="C3328" s="1" t="s">
        <v>247</v>
      </c>
      <c r="D3328" s="52">
        <v>46069.387013888889</v>
      </c>
      <c r="E3328" s="52">
        <v>46069.387013888889</v>
      </c>
      <c r="F3328" s="52">
        <v>46069.389409722222</v>
      </c>
      <c r="G3328" s="53">
        <v>2.3958333333333331E-3</v>
      </c>
      <c r="H3328" s="1" t="s">
        <v>257</v>
      </c>
      <c r="J3328" s="1" t="s">
        <v>258</v>
      </c>
      <c r="K3328" s="1" t="s">
        <v>658</v>
      </c>
      <c r="L3328" s="1" t="s">
        <v>1951</v>
      </c>
    </row>
    <row r="3329" spans="2:12">
      <c r="B3329" s="1" t="s">
        <v>340</v>
      </c>
      <c r="C3329" s="1" t="s">
        <v>264</v>
      </c>
      <c r="D3329" s="52">
        <v>46069.386666666665</v>
      </c>
      <c r="E3329" s="52">
        <v>46069.386666666665</v>
      </c>
      <c r="F3329" s="52">
        <v>46069.386956018519</v>
      </c>
      <c r="G3329" s="53">
        <v>2.8935185185185184E-4</v>
      </c>
      <c r="H3329" s="1" t="s">
        <v>257</v>
      </c>
      <c r="J3329" s="1" t="s">
        <v>258</v>
      </c>
      <c r="K3329" s="1" t="s">
        <v>658</v>
      </c>
      <c r="L3329" s="1" t="s">
        <v>1951</v>
      </c>
    </row>
    <row r="3330" spans="2:12">
      <c r="B3330" s="1" t="s">
        <v>340</v>
      </c>
      <c r="C3330" s="1" t="s">
        <v>256</v>
      </c>
      <c r="D3330" s="52">
        <v>46069.386666666665</v>
      </c>
      <c r="E3330" s="52">
        <v>46069.386666666665</v>
      </c>
      <c r="F3330" s="52">
        <v>46069.386956018519</v>
      </c>
      <c r="G3330" s="53">
        <v>2.8935185185185184E-4</v>
      </c>
      <c r="H3330" s="1" t="s">
        <v>257</v>
      </c>
      <c r="J3330" s="1" t="s">
        <v>258</v>
      </c>
      <c r="K3330" s="1" t="s">
        <v>658</v>
      </c>
      <c r="L3330" s="1" t="s">
        <v>1951</v>
      </c>
    </row>
    <row r="3331" spans="2:12">
      <c r="B3331" s="1" t="s">
        <v>340</v>
      </c>
      <c r="C3331" s="1" t="s">
        <v>247</v>
      </c>
      <c r="D3331" s="52">
        <v>46069.386666666665</v>
      </c>
      <c r="E3331" s="52">
        <v>46069.386666666665</v>
      </c>
      <c r="F3331" s="52">
        <v>46069.386956018519</v>
      </c>
      <c r="G3331" s="53">
        <v>2.8935185185185184E-4</v>
      </c>
      <c r="H3331" s="1" t="s">
        <v>257</v>
      </c>
      <c r="J3331" s="1" t="s">
        <v>258</v>
      </c>
      <c r="K3331" s="1" t="s">
        <v>658</v>
      </c>
      <c r="L3331" s="1" t="s">
        <v>1951</v>
      </c>
    </row>
    <row r="3332" spans="2:12">
      <c r="B3332" s="1" t="s">
        <v>340</v>
      </c>
      <c r="C3332" s="1" t="s">
        <v>264</v>
      </c>
      <c r="D3332" s="52">
        <v>46069.386435185188</v>
      </c>
      <c r="E3332" s="52">
        <v>46069.386435185188</v>
      </c>
      <c r="F3332" s="52">
        <v>46069.386608796296</v>
      </c>
      <c r="G3332" s="53">
        <v>1.7361111111111112E-4</v>
      </c>
      <c r="H3332" s="1" t="s">
        <v>257</v>
      </c>
      <c r="J3332" s="1" t="s">
        <v>258</v>
      </c>
      <c r="K3332" s="1" t="s">
        <v>658</v>
      </c>
      <c r="L3332" s="1" t="s">
        <v>1951</v>
      </c>
    </row>
    <row r="3333" spans="2:12">
      <c r="B3333" s="1" t="s">
        <v>340</v>
      </c>
      <c r="C3333" s="1" t="s">
        <v>256</v>
      </c>
      <c r="D3333" s="52">
        <v>46069.386435185188</v>
      </c>
      <c r="E3333" s="52">
        <v>46069.386435185188</v>
      </c>
      <c r="F3333" s="52">
        <v>46069.386597222219</v>
      </c>
      <c r="G3333" s="53">
        <v>1.6203703703703703E-4</v>
      </c>
      <c r="H3333" s="1" t="s">
        <v>257</v>
      </c>
      <c r="J3333" s="1" t="s">
        <v>258</v>
      </c>
      <c r="K3333" s="1" t="s">
        <v>658</v>
      </c>
      <c r="L3333" s="1" t="s">
        <v>1951</v>
      </c>
    </row>
    <row r="3334" spans="2:12">
      <c r="B3334" s="1" t="s">
        <v>340</v>
      </c>
      <c r="C3334" s="1" t="s">
        <v>247</v>
      </c>
      <c r="D3334" s="52">
        <v>46069.386435185188</v>
      </c>
      <c r="E3334" s="52">
        <v>46069.386435185188</v>
      </c>
      <c r="F3334" s="52">
        <v>46069.386597222219</v>
      </c>
      <c r="G3334" s="53">
        <v>1.6203703703703703E-4</v>
      </c>
      <c r="H3334" s="1" t="s">
        <v>257</v>
      </c>
      <c r="J3334" s="1" t="s">
        <v>258</v>
      </c>
      <c r="K3334" s="1" t="s">
        <v>658</v>
      </c>
      <c r="L3334" s="1" t="s">
        <v>1951</v>
      </c>
    </row>
    <row r="3335" spans="2:12">
      <c r="B3335" s="1" t="s">
        <v>340</v>
      </c>
      <c r="C3335" s="1" t="s">
        <v>264</v>
      </c>
      <c r="D3335" s="52">
        <v>46067.709791666668</v>
      </c>
      <c r="E3335" s="52">
        <v>46067.709791666668</v>
      </c>
      <c r="F3335" s="52">
        <v>46067.709965277776</v>
      </c>
      <c r="G3335" s="53">
        <v>1.7361111111111112E-4</v>
      </c>
      <c r="H3335" s="1" t="s">
        <v>257</v>
      </c>
      <c r="J3335" s="1" t="s">
        <v>258</v>
      </c>
      <c r="K3335" s="1" t="s">
        <v>658</v>
      </c>
      <c r="L3335" s="1" t="s">
        <v>1951</v>
      </c>
    </row>
    <row r="3336" spans="2:12">
      <c r="B3336" s="1" t="s">
        <v>340</v>
      </c>
      <c r="C3336" s="1" t="s">
        <v>256</v>
      </c>
      <c r="D3336" s="52">
        <v>46067.709791666668</v>
      </c>
      <c r="E3336" s="52">
        <v>46067.709791666668</v>
      </c>
      <c r="F3336" s="52">
        <v>46067.709965277776</v>
      </c>
      <c r="G3336" s="53">
        <v>1.7361111111111112E-4</v>
      </c>
      <c r="H3336" s="1" t="s">
        <v>257</v>
      </c>
      <c r="J3336" s="1" t="s">
        <v>258</v>
      </c>
      <c r="K3336" s="1" t="s">
        <v>658</v>
      </c>
      <c r="L3336" s="1" t="s">
        <v>1951</v>
      </c>
    </row>
    <row r="3337" spans="2:12">
      <c r="B3337" s="1" t="s">
        <v>340</v>
      </c>
      <c r="C3337" s="1" t="s">
        <v>247</v>
      </c>
      <c r="D3337" s="52">
        <v>46067.709780092591</v>
      </c>
      <c r="E3337" s="52">
        <v>46067.709780092591</v>
      </c>
      <c r="F3337" s="52">
        <v>46067.709953703707</v>
      </c>
      <c r="G3337" s="53">
        <v>1.7361111111111112E-4</v>
      </c>
      <c r="H3337" s="1" t="s">
        <v>257</v>
      </c>
      <c r="J3337" s="1" t="s">
        <v>258</v>
      </c>
      <c r="K3337" s="1" t="s">
        <v>658</v>
      </c>
      <c r="L3337" s="1" t="s">
        <v>1951</v>
      </c>
    </row>
    <row r="3338" spans="2:12">
      <c r="B3338" s="1" t="s">
        <v>340</v>
      </c>
      <c r="C3338" s="1" t="s">
        <v>247</v>
      </c>
      <c r="D3338" s="52">
        <v>46066.664699074077</v>
      </c>
      <c r="E3338" s="52">
        <v>46066.664699074077</v>
      </c>
      <c r="F3338" s="52">
        <v>46066.665347222224</v>
      </c>
      <c r="G3338" s="53">
        <v>6.4814814814814813E-4</v>
      </c>
      <c r="H3338" s="1" t="s">
        <v>257</v>
      </c>
      <c r="J3338" s="1" t="s">
        <v>371</v>
      </c>
      <c r="K3338" s="1" t="s">
        <v>653</v>
      </c>
      <c r="L3338" s="1" t="s">
        <v>1952</v>
      </c>
    </row>
    <row r="3339" spans="2:12">
      <c r="B3339" s="1" t="s">
        <v>340</v>
      </c>
      <c r="C3339" s="1" t="s">
        <v>247</v>
      </c>
      <c r="D3339" s="52">
        <v>46065.47896990741</v>
      </c>
      <c r="E3339" s="52">
        <v>46065.47896990741</v>
      </c>
      <c r="F3339" s="52">
        <v>46065.480104166665</v>
      </c>
      <c r="G3339" s="53">
        <v>1.1342592592592593E-3</v>
      </c>
      <c r="H3339" s="1" t="s">
        <v>257</v>
      </c>
      <c r="J3339" s="1" t="s">
        <v>258</v>
      </c>
      <c r="K3339" s="1" t="s">
        <v>658</v>
      </c>
      <c r="L3339" s="1" t="s">
        <v>1951</v>
      </c>
    </row>
    <row r="3340" spans="2:12">
      <c r="B3340" s="1" t="s">
        <v>340</v>
      </c>
      <c r="C3340" s="1" t="s">
        <v>247</v>
      </c>
      <c r="D3340" s="52">
        <v>46059.605393518519</v>
      </c>
      <c r="E3340" s="52">
        <v>46059.605393518519</v>
      </c>
      <c r="F3340" s="52">
        <v>46059.606041666666</v>
      </c>
      <c r="G3340" s="53">
        <v>6.4814814814814813E-4</v>
      </c>
      <c r="H3340" s="1" t="s">
        <v>257</v>
      </c>
      <c r="J3340" s="1" t="s">
        <v>371</v>
      </c>
      <c r="K3340" s="1" t="s">
        <v>653</v>
      </c>
      <c r="L3340" s="1" t="s">
        <v>1952</v>
      </c>
    </row>
    <row r="3341" spans="2:12">
      <c r="B3341" s="1" t="s">
        <v>340</v>
      </c>
      <c r="C3341" s="1" t="s">
        <v>256</v>
      </c>
      <c r="D3341" s="52">
        <v>46057.244016203702</v>
      </c>
      <c r="E3341" s="52">
        <v>46057.244016203702</v>
      </c>
      <c r="F3341" s="52">
        <v>46057.244189814817</v>
      </c>
      <c r="G3341" s="53">
        <v>1.7361111111111112E-4</v>
      </c>
      <c r="H3341" s="1" t="s">
        <v>257</v>
      </c>
      <c r="J3341" s="1" t="s">
        <v>258</v>
      </c>
      <c r="K3341" s="1" t="s">
        <v>658</v>
      </c>
      <c r="L3341" s="1" t="s">
        <v>1951</v>
      </c>
    </row>
    <row r="3342" spans="2:12">
      <c r="B3342" s="1" t="s">
        <v>340</v>
      </c>
      <c r="C3342" s="1" t="s">
        <v>264</v>
      </c>
      <c r="D3342" s="52">
        <v>46057.244004629632</v>
      </c>
      <c r="E3342" s="52">
        <v>46057.244004629632</v>
      </c>
      <c r="F3342" s="52">
        <v>46057.244201388887</v>
      </c>
      <c r="G3342" s="53">
        <v>1.9675925925925926E-4</v>
      </c>
      <c r="H3342" s="1" t="s">
        <v>257</v>
      </c>
      <c r="J3342" s="1" t="s">
        <v>258</v>
      </c>
      <c r="K3342" s="1" t="s">
        <v>658</v>
      </c>
      <c r="L3342" s="1" t="s">
        <v>1951</v>
      </c>
    </row>
    <row r="3343" spans="2:12">
      <c r="B3343" s="1" t="s">
        <v>340</v>
      </c>
      <c r="C3343" s="1" t="s">
        <v>247</v>
      </c>
      <c r="D3343" s="52">
        <v>46057.244004629632</v>
      </c>
      <c r="E3343" s="52">
        <v>46057.244004629632</v>
      </c>
      <c r="F3343" s="52">
        <v>46057.24417824074</v>
      </c>
      <c r="G3343" s="53">
        <v>1.7361111111111112E-4</v>
      </c>
      <c r="H3343" s="1" t="s">
        <v>257</v>
      </c>
      <c r="J3343" s="1" t="s">
        <v>258</v>
      </c>
      <c r="K3343" s="1" t="s">
        <v>658</v>
      </c>
      <c r="L3343" s="1" t="s">
        <v>1951</v>
      </c>
    </row>
  </sheetData>
  <autoFilter ref="A1:Q1575" xr:uid="{EA8888B3-0791-4637-B681-517321FB3D7B}">
    <sortState xmlns:xlrd2="http://schemas.microsoft.com/office/spreadsheetml/2017/richdata2" ref="A2:Q1575">
      <sortCondition ref="D1:D1575"/>
    </sortState>
  </autoFilter>
  <conditionalFormatting sqref="P1">
    <cfRule type="duplicateValues" dxfId="13" priority="2"/>
    <cfRule type="duplicateValues" dxfId="12" priority="3"/>
  </conditionalFormatting>
  <conditionalFormatting sqref="P1558:P1048576 P1">
    <cfRule type="duplicateValues" dxfId="11" priority="1"/>
  </conditionalFormatting>
  <conditionalFormatting sqref="P2:P1557">
    <cfRule type="duplicateValues" dxfId="10" priority="4"/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46A1D2A-A9C3-45E5-A1D5-B715A860E241}">
          <x14:formula1>
            <xm:f>REF!$D$2:$D$13</xm:f>
          </x14:formula1>
          <xm:sqref>K1291:K1298 J2:J1407</xm:sqref>
        </x14:dataValidation>
        <x14:dataValidation type="list" allowBlank="1" showInputMessage="1" showErrorMessage="1" xr:uid="{1B120299-CB20-4D5E-94DD-78999E66FC57}">
          <x14:formula1>
            <xm:f>REF!$B$2:$B$7</xm:f>
          </x14:formula1>
          <xm:sqref>H2:H1407</xm:sqref>
        </x14:dataValidation>
        <x14:dataValidation type="list" allowBlank="1" showInputMessage="1" showErrorMessage="1" xr:uid="{021D5AF4-579D-4445-8F67-632D78DA5FA8}">
          <x14:formula1>
            <xm:f>REF!$C$2:$C$6</xm:f>
          </x14:formula1>
          <xm:sqref>I658:I661 I856:I870 I885:I1289 I1291:I1407 I2:I630</xm:sqref>
        </x14:dataValidation>
        <x14:dataValidation type="list" allowBlank="1" showInputMessage="1" showErrorMessage="1" xr:uid="{3EA75581-2155-4BAC-9159-7E150135E41A}">
          <x14:formula1>
            <xm:f>REF!$F$2:$F$16</xm:f>
          </x14:formula1>
          <xm:sqref>M2:M1407</xm:sqref>
        </x14:dataValidation>
        <x14:dataValidation type="list" allowBlank="1" showInputMessage="1" showErrorMessage="1" xr:uid="{5155735F-CAB6-4027-BF3A-E8E10BE5DF72}">
          <x14:formula1>
            <xm:f>REF!$A$2:$A$13</xm:f>
          </x14:formula1>
          <xm:sqref>O851:O855 N1497 N1508:N1509 N1514 N2:N1407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88B3-0791-4637-B681-517321FB3D7B}">
  <dimension ref="A1:R1575"/>
  <sheetViews>
    <sheetView workbookViewId="0">
      <pane xSplit="2" topLeftCell="N119" activePane="topRight" state="frozen"/>
      <selection pane="topRight" activeCell="O150" sqref="O150"/>
    </sheetView>
  </sheetViews>
  <sheetFormatPr defaultRowHeight="15"/>
  <cols>
    <col min="1" max="1" width="17.42578125" style="2" hidden="1" customWidth="1"/>
    <col min="2" max="2" width="32.140625" style="1" customWidth="1"/>
    <col min="3" max="3" width="29.42578125" style="1" customWidth="1"/>
    <col min="4" max="4" width="22.5703125" style="52" customWidth="1"/>
    <col min="5" max="6" width="19.5703125" style="52" bestFit="1" customWidth="1"/>
    <col min="7" max="7" width="23.42578125" style="53" customWidth="1"/>
    <col min="8" max="8" width="15.7109375" style="1" customWidth="1"/>
    <col min="9" max="9" width="17" style="1" customWidth="1"/>
    <col min="10" max="10" width="14" style="1" customWidth="1"/>
    <col min="11" max="11" width="15.7109375" style="1" bestFit="1" customWidth="1"/>
    <col min="12" max="12" width="142" style="1" customWidth="1"/>
    <col min="13" max="13" width="18.28515625" style="1" bestFit="1" customWidth="1"/>
    <col min="14" max="14" width="36.5703125" style="1" customWidth="1"/>
    <col min="15" max="15" width="184" style="1" customWidth="1"/>
    <col min="16" max="16" width="90.7109375" style="1" bestFit="1" customWidth="1"/>
    <col min="17" max="17" width="16" style="1" bestFit="1" customWidth="1"/>
  </cols>
  <sheetData>
    <row r="1" spans="1:17">
      <c r="A1" s="5" t="s">
        <v>1</v>
      </c>
      <c r="B1" s="50" t="s">
        <v>230</v>
      </c>
      <c r="C1" s="50" t="s">
        <v>231</v>
      </c>
      <c r="D1" s="6" t="s">
        <v>232</v>
      </c>
      <c r="E1" s="6" t="s">
        <v>233</v>
      </c>
      <c r="F1" s="6" t="s">
        <v>234</v>
      </c>
      <c r="G1" s="51" t="s">
        <v>235</v>
      </c>
      <c r="H1" s="50" t="s">
        <v>236</v>
      </c>
      <c r="I1" s="50" t="s">
        <v>237</v>
      </c>
      <c r="J1" s="50" t="s">
        <v>238</v>
      </c>
      <c r="K1" s="50" t="s">
        <v>239</v>
      </c>
      <c r="L1" s="50" t="s">
        <v>240</v>
      </c>
      <c r="M1" s="50" t="s">
        <v>241</v>
      </c>
      <c r="N1" s="50" t="s">
        <v>242</v>
      </c>
      <c r="O1" s="50" t="s">
        <v>243</v>
      </c>
      <c r="P1" s="50" t="s">
        <v>244</v>
      </c>
      <c r="Q1" s="50" t="s">
        <v>245</v>
      </c>
    </row>
    <row r="2" spans="1:17">
      <c r="B2" s="1" t="s">
        <v>487</v>
      </c>
      <c r="C2" s="1" t="s">
        <v>377</v>
      </c>
      <c r="D2" s="52">
        <v>46023.087500000001</v>
      </c>
      <c r="E2" s="52">
        <v>46023.087500000001</v>
      </c>
      <c r="F2" s="52">
        <v>46023.901388888888</v>
      </c>
      <c r="G2" s="53">
        <f>F2-E2</f>
        <v>0.81388888888614019</v>
      </c>
      <c r="H2" s="1" t="s">
        <v>257</v>
      </c>
      <c r="J2" s="1" t="s">
        <v>258</v>
      </c>
      <c r="K2" s="1" t="str">
        <f>_xlfn.XLOOKUP(J2,REF!$D$2:$D$12,REF!$E$2:$E$12)</f>
        <v>Rede</v>
      </c>
      <c r="L2" s="1" t="s">
        <v>259</v>
      </c>
      <c r="M2" s="1" t="s">
        <v>260</v>
      </c>
      <c r="N2" s="1" t="s">
        <v>261</v>
      </c>
      <c r="O2" s="1" t="s">
        <v>626</v>
      </c>
      <c r="P2" s="1" t="str">
        <f>_xlfn.CONCAT(B2,C2,D2,E2,F2)</f>
        <v>BC Caiaponia2.1215KTL-H3(MBUS-12)46023,087546023,087546023,9013888889</v>
      </c>
      <c r="Q2" s="1" t="str">
        <f>_xlfn.CONCAT(H2,I2,J2)</f>
        <v>DAURDE</v>
      </c>
    </row>
    <row r="3" spans="1:17">
      <c r="B3" s="1" t="s">
        <v>487</v>
      </c>
      <c r="C3" s="1" t="s">
        <v>378</v>
      </c>
      <c r="D3" s="52">
        <v>46023.087500000001</v>
      </c>
      <c r="E3" s="52">
        <v>46023.087500000001</v>
      </c>
      <c r="F3" s="52">
        <v>46023.901388888888</v>
      </c>
      <c r="G3" s="53">
        <f>F3-E3</f>
        <v>0.81388888888614019</v>
      </c>
      <c r="H3" s="1" t="s">
        <v>257</v>
      </c>
      <c r="J3" s="1" t="s">
        <v>258</v>
      </c>
      <c r="K3" s="1" t="str">
        <f>_xlfn.XLOOKUP(J3,REF!$D$2:$D$12,REF!$E$2:$E$12)</f>
        <v>Rede</v>
      </c>
      <c r="L3" s="1" t="s">
        <v>259</v>
      </c>
      <c r="M3" s="1" t="s">
        <v>260</v>
      </c>
      <c r="N3" s="1" t="s">
        <v>261</v>
      </c>
      <c r="O3" s="1" t="s">
        <v>626</v>
      </c>
      <c r="P3" s="1" t="str">
        <f>_xlfn.CONCAT(B3,C3,D3,E3,F3)</f>
        <v>BC Caiaponia2.1215KTL-H3(MBUS-13)46023,087546023,087546023,9013888889</v>
      </c>
      <c r="Q3" s="1" t="str">
        <f>_xlfn.CONCAT(H3,I3,J3)</f>
        <v>DAURDE</v>
      </c>
    </row>
    <row r="4" spans="1:17">
      <c r="B4" s="1" t="s">
        <v>487</v>
      </c>
      <c r="C4" s="1" t="s">
        <v>382</v>
      </c>
      <c r="D4" s="52">
        <v>46023.087500000001</v>
      </c>
      <c r="E4" s="52">
        <v>46023.087500000001</v>
      </c>
      <c r="F4" s="52">
        <v>46023.901388888888</v>
      </c>
      <c r="G4" s="53">
        <f>F4-E4</f>
        <v>0.81388888888614019</v>
      </c>
      <c r="H4" s="1" t="s">
        <v>257</v>
      </c>
      <c r="J4" s="1" t="s">
        <v>258</v>
      </c>
      <c r="K4" s="1" t="str">
        <f>_xlfn.XLOOKUP(J4,REF!$D$2:$D$12,REF!$E$2:$E$12)</f>
        <v>Rede</v>
      </c>
      <c r="L4" s="1" t="s">
        <v>259</v>
      </c>
      <c r="M4" s="1" t="s">
        <v>260</v>
      </c>
      <c r="N4" s="1" t="s">
        <v>261</v>
      </c>
      <c r="O4" s="1" t="s">
        <v>626</v>
      </c>
      <c r="P4" s="1" t="str">
        <f>_xlfn.CONCAT(B4,C4,D4,E4,F4)</f>
        <v>BC Caiaponia2.1215KTL-H3(MBUS-14)46023,087546023,087546023,9013888889</v>
      </c>
      <c r="Q4" s="1" t="str">
        <f>_xlfn.CONCAT(H4,I4,J4)</f>
        <v>DAURDE</v>
      </c>
    </row>
    <row r="5" spans="1:17">
      <c r="B5" s="1" t="s">
        <v>487</v>
      </c>
      <c r="C5" s="1" t="s">
        <v>380</v>
      </c>
      <c r="D5" s="52">
        <v>46023.087500000001</v>
      </c>
      <c r="E5" s="52">
        <v>46023.087500000001</v>
      </c>
      <c r="F5" s="52">
        <v>46023.901388888888</v>
      </c>
      <c r="G5" s="53">
        <f>F5-E5</f>
        <v>0.81388888888614019</v>
      </c>
      <c r="H5" s="1" t="s">
        <v>257</v>
      </c>
      <c r="J5" s="1" t="s">
        <v>258</v>
      </c>
      <c r="K5" s="1" t="str">
        <f>_xlfn.XLOOKUP(J5,REF!$D$2:$D$12,REF!$E$2:$E$12)</f>
        <v>Rede</v>
      </c>
      <c r="L5" s="1" t="s">
        <v>259</v>
      </c>
      <c r="M5" s="1" t="s">
        <v>260</v>
      </c>
      <c r="N5" s="1" t="s">
        <v>261</v>
      </c>
      <c r="O5" s="1" t="s">
        <v>626</v>
      </c>
      <c r="P5" s="1" t="str">
        <f>_xlfn.CONCAT(B5,C5,D5,E5,F5)</f>
        <v>BC Caiaponia2.1215KTL-H3(MBUS-15)46023,087546023,087546023,9013888889</v>
      </c>
      <c r="Q5" s="1" t="str">
        <f>_xlfn.CONCAT(H5,I5,J5)</f>
        <v>DAURDE</v>
      </c>
    </row>
    <row r="6" spans="1:17">
      <c r="B6" s="1" t="s">
        <v>487</v>
      </c>
      <c r="C6" s="1" t="s">
        <v>379</v>
      </c>
      <c r="D6" s="52">
        <v>46023.087500000001</v>
      </c>
      <c r="E6" s="52">
        <v>46023.087500000001</v>
      </c>
      <c r="F6" s="52">
        <v>46023.901388888888</v>
      </c>
      <c r="G6" s="53">
        <f>F6-E6</f>
        <v>0.81388888888614019</v>
      </c>
      <c r="H6" s="1" t="s">
        <v>257</v>
      </c>
      <c r="J6" s="1" t="s">
        <v>258</v>
      </c>
      <c r="K6" s="1" t="str">
        <f>_xlfn.XLOOKUP(J6,REF!$D$2:$D$12,REF!$E$2:$E$12)</f>
        <v>Rede</v>
      </c>
      <c r="L6" s="1" t="s">
        <v>259</v>
      </c>
      <c r="M6" s="1" t="s">
        <v>260</v>
      </c>
      <c r="N6" s="1" t="s">
        <v>261</v>
      </c>
      <c r="O6" s="1" t="s">
        <v>626</v>
      </c>
      <c r="P6" s="1" t="str">
        <f>_xlfn.CONCAT(B6,C6,D6,E6,F6)</f>
        <v>BC Caiaponia2.1215KTL-H3(MBUS-16)46023,087546023,087546023,9013888889</v>
      </c>
      <c r="Q6" s="1" t="str">
        <f>_xlfn.CONCAT(H6,I6,J6)</f>
        <v>DAURDE</v>
      </c>
    </row>
    <row r="7" spans="1:17">
      <c r="B7" s="1" t="s">
        <v>583</v>
      </c>
      <c r="C7" s="1" t="s">
        <v>377</v>
      </c>
      <c r="D7" s="52">
        <v>46023.087500000001</v>
      </c>
      <c r="E7" s="52">
        <v>46023.087500000001</v>
      </c>
      <c r="F7" s="52">
        <v>46023.901388888888</v>
      </c>
      <c r="G7" s="53">
        <f>F7-E7</f>
        <v>0.81388888888614019</v>
      </c>
      <c r="H7" s="1" t="s">
        <v>257</v>
      </c>
      <c r="J7" s="1" t="s">
        <v>258</v>
      </c>
      <c r="K7" s="1" t="str">
        <f>_xlfn.XLOOKUP(J7,REF!$D$2:$D$12,REF!$E$2:$E$12)</f>
        <v>Rede</v>
      </c>
      <c r="L7" s="1" t="s">
        <v>259</v>
      </c>
      <c r="M7" s="1" t="s">
        <v>260</v>
      </c>
      <c r="N7" s="1" t="s">
        <v>261</v>
      </c>
      <c r="O7" s="1" t="s">
        <v>626</v>
      </c>
      <c r="P7" s="1" t="str">
        <f>_xlfn.CONCAT(B7,C7,D7,E7,F7)</f>
        <v>BC Caiaponia2.2215KTL-H3(MBUS-12)46023,087546023,087546023,9013888889</v>
      </c>
      <c r="Q7" s="1" t="str">
        <f>_xlfn.CONCAT(H7,I7,J7)</f>
        <v>DAURDE</v>
      </c>
    </row>
    <row r="8" spans="1:17">
      <c r="B8" s="1" t="s">
        <v>583</v>
      </c>
      <c r="C8" s="1" t="s">
        <v>378</v>
      </c>
      <c r="D8" s="52">
        <v>46023.087500000001</v>
      </c>
      <c r="E8" s="52">
        <v>46023.087500000001</v>
      </c>
      <c r="F8" s="52">
        <v>46023.901388888888</v>
      </c>
      <c r="G8" s="53">
        <f>F8-E8</f>
        <v>0.81388888888614019</v>
      </c>
      <c r="H8" s="1" t="s">
        <v>257</v>
      </c>
      <c r="J8" s="1" t="s">
        <v>258</v>
      </c>
      <c r="K8" s="1" t="str">
        <f>_xlfn.XLOOKUP(J8,REF!$D$2:$D$12,REF!$E$2:$E$12)</f>
        <v>Rede</v>
      </c>
      <c r="L8" s="1" t="s">
        <v>259</v>
      </c>
      <c r="M8" s="1" t="s">
        <v>260</v>
      </c>
      <c r="N8" s="1" t="s">
        <v>261</v>
      </c>
      <c r="O8" s="1" t="s">
        <v>626</v>
      </c>
      <c r="P8" s="1" t="str">
        <f>_xlfn.CONCAT(B8,C8,D8,E8,F8)</f>
        <v>BC Caiaponia2.2215KTL-H3(MBUS-13)46023,087546023,087546023,9013888889</v>
      </c>
      <c r="Q8" s="1" t="str">
        <f>_xlfn.CONCAT(H8,I8,J8)</f>
        <v>DAURDE</v>
      </c>
    </row>
    <row r="9" spans="1:17">
      <c r="B9" s="1" t="s">
        <v>583</v>
      </c>
      <c r="C9" s="1" t="s">
        <v>382</v>
      </c>
      <c r="D9" s="52">
        <v>46023.087500000001</v>
      </c>
      <c r="E9" s="52">
        <v>46023.087500000001</v>
      </c>
      <c r="F9" s="52">
        <v>46023.901388888888</v>
      </c>
      <c r="G9" s="53">
        <f>F9-E9</f>
        <v>0.81388888888614019</v>
      </c>
      <c r="H9" s="1" t="s">
        <v>257</v>
      </c>
      <c r="J9" s="1" t="s">
        <v>258</v>
      </c>
      <c r="K9" s="1" t="str">
        <f>_xlfn.XLOOKUP(J9,REF!$D$2:$D$12,REF!$E$2:$E$12)</f>
        <v>Rede</v>
      </c>
      <c r="L9" s="1" t="s">
        <v>259</v>
      </c>
      <c r="M9" s="1" t="s">
        <v>260</v>
      </c>
      <c r="N9" s="1" t="s">
        <v>261</v>
      </c>
      <c r="O9" s="1" t="s">
        <v>626</v>
      </c>
      <c r="P9" s="1" t="str">
        <f>_xlfn.CONCAT(B9,C9,D9,E9,F9)</f>
        <v>BC Caiaponia2.2215KTL-H3(MBUS-14)46023,087546023,087546023,9013888889</v>
      </c>
      <c r="Q9" s="1" t="str">
        <f>_xlfn.CONCAT(H9,I9,J9)</f>
        <v>DAURDE</v>
      </c>
    </row>
    <row r="10" spans="1:17">
      <c r="B10" s="1" t="s">
        <v>583</v>
      </c>
      <c r="C10" s="1" t="s">
        <v>380</v>
      </c>
      <c r="D10" s="52">
        <v>46023.087500000001</v>
      </c>
      <c r="E10" s="52">
        <v>46023.087500000001</v>
      </c>
      <c r="F10" s="52">
        <v>46023.901388888888</v>
      </c>
      <c r="G10" s="53">
        <f>F10-E10</f>
        <v>0.81388888888614019</v>
      </c>
      <c r="H10" s="1" t="s">
        <v>257</v>
      </c>
      <c r="J10" s="1" t="s">
        <v>258</v>
      </c>
      <c r="K10" s="1" t="str">
        <f>_xlfn.XLOOKUP(J10,REF!$D$2:$D$12,REF!$E$2:$E$12)</f>
        <v>Rede</v>
      </c>
      <c r="L10" s="1" t="s">
        <v>259</v>
      </c>
      <c r="M10" s="1" t="s">
        <v>260</v>
      </c>
      <c r="N10" s="1" t="s">
        <v>261</v>
      </c>
      <c r="O10" s="1" t="s">
        <v>626</v>
      </c>
      <c r="P10" s="1" t="str">
        <f>_xlfn.CONCAT(B10,C10,D10,E10,F10)</f>
        <v>BC Caiaponia2.2215KTL-H3(MBUS-15)46023,087546023,087546023,9013888889</v>
      </c>
      <c r="Q10" s="1" t="str">
        <f>_xlfn.CONCAT(H10,I10,J10)</f>
        <v>DAURDE</v>
      </c>
    </row>
    <row r="11" spans="1:17">
      <c r="B11" s="1" t="s">
        <v>583</v>
      </c>
      <c r="C11" s="1" t="s">
        <v>379</v>
      </c>
      <c r="D11" s="52">
        <v>46023.087500000001</v>
      </c>
      <c r="E11" s="52">
        <v>46023.087500000001</v>
      </c>
      <c r="F11" s="52">
        <v>46023.901388888888</v>
      </c>
      <c r="G11" s="53">
        <f>F11-E11</f>
        <v>0.81388888888614019</v>
      </c>
      <c r="H11" s="1" t="s">
        <v>257</v>
      </c>
      <c r="J11" s="1" t="s">
        <v>258</v>
      </c>
      <c r="K11" s="1" t="str">
        <f>_xlfn.XLOOKUP(J11,REF!$D$2:$D$12,REF!$E$2:$E$12)</f>
        <v>Rede</v>
      </c>
      <c r="L11" s="1" t="s">
        <v>259</v>
      </c>
      <c r="M11" s="1" t="s">
        <v>260</v>
      </c>
      <c r="N11" s="1" t="s">
        <v>261</v>
      </c>
      <c r="O11" s="1" t="s">
        <v>626</v>
      </c>
      <c r="P11" s="1" t="str">
        <f>_xlfn.CONCAT(B11,C11,D11,E11,F11)</f>
        <v>BC Caiaponia2.2215KTL-H3(MBUS-16)46023,087546023,087546023,9013888889</v>
      </c>
      <c r="Q11" s="1" t="str">
        <f>_xlfn.CONCAT(H11,I11,J11)</f>
        <v>DAURDE</v>
      </c>
    </row>
    <row r="12" spans="1:17">
      <c r="B12" s="1" t="s">
        <v>584</v>
      </c>
      <c r="C12" s="1" t="s">
        <v>377</v>
      </c>
      <c r="D12" s="52">
        <v>46023.087500000001</v>
      </c>
      <c r="E12" s="52">
        <v>46023.087500000001</v>
      </c>
      <c r="F12" s="52">
        <v>46023.901388888888</v>
      </c>
      <c r="G12" s="53">
        <f>F12-E12</f>
        <v>0.81388888888614019</v>
      </c>
      <c r="H12" s="1" t="s">
        <v>257</v>
      </c>
      <c r="J12" s="1" t="s">
        <v>258</v>
      </c>
      <c r="K12" s="1" t="str">
        <f>_xlfn.XLOOKUP(J12,REF!$D$2:$D$12,REF!$E$2:$E$12)</f>
        <v>Rede</v>
      </c>
      <c r="L12" s="1" t="s">
        <v>259</v>
      </c>
      <c r="M12" s="1" t="s">
        <v>260</v>
      </c>
      <c r="N12" s="1" t="s">
        <v>261</v>
      </c>
      <c r="O12" s="1" t="s">
        <v>626</v>
      </c>
      <c r="P12" s="1" t="str">
        <f>_xlfn.CONCAT(B12,C12,D12,E12,F12)</f>
        <v>BC Caiaponia2.3215KTL-H3(MBUS-12)46023,087546023,087546023,9013888889</v>
      </c>
      <c r="Q12" s="1" t="str">
        <f>_xlfn.CONCAT(H12,I12,J12)</f>
        <v>DAURDE</v>
      </c>
    </row>
    <row r="13" spans="1:17">
      <c r="B13" s="1" t="s">
        <v>584</v>
      </c>
      <c r="C13" s="1" t="s">
        <v>378</v>
      </c>
      <c r="D13" s="52">
        <v>46023.087500000001</v>
      </c>
      <c r="E13" s="52">
        <v>46023.087500000001</v>
      </c>
      <c r="F13" s="52">
        <v>46023.901388888888</v>
      </c>
      <c r="G13" s="53">
        <f>F13-E13</f>
        <v>0.81388888888614019</v>
      </c>
      <c r="H13" s="1" t="s">
        <v>257</v>
      </c>
      <c r="J13" s="1" t="s">
        <v>258</v>
      </c>
      <c r="K13" s="1" t="str">
        <f>_xlfn.XLOOKUP(J13,REF!$D$2:$D$12,REF!$E$2:$E$12)</f>
        <v>Rede</v>
      </c>
      <c r="L13" s="1" t="s">
        <v>259</v>
      </c>
      <c r="M13" s="1" t="s">
        <v>260</v>
      </c>
      <c r="N13" s="1" t="s">
        <v>261</v>
      </c>
      <c r="O13" s="1" t="s">
        <v>626</v>
      </c>
      <c r="P13" s="1" t="str">
        <f>_xlfn.CONCAT(B13,C13,D13,E13,F13)</f>
        <v>BC Caiaponia2.3215KTL-H3(MBUS-13)46023,087546023,087546023,9013888889</v>
      </c>
      <c r="Q13" s="1" t="str">
        <f>_xlfn.CONCAT(H13,I13,J13)</f>
        <v>DAURDE</v>
      </c>
    </row>
    <row r="14" spans="1:17">
      <c r="B14" s="1" t="s">
        <v>584</v>
      </c>
      <c r="C14" s="1" t="s">
        <v>382</v>
      </c>
      <c r="D14" s="52">
        <v>46023.087500000001</v>
      </c>
      <c r="E14" s="52">
        <v>46023.087500000001</v>
      </c>
      <c r="F14" s="52">
        <v>46023.901388888888</v>
      </c>
      <c r="G14" s="53">
        <f>F14-E14</f>
        <v>0.81388888888614019</v>
      </c>
      <c r="H14" s="1" t="s">
        <v>257</v>
      </c>
      <c r="J14" s="1" t="s">
        <v>258</v>
      </c>
      <c r="K14" s="1" t="str">
        <f>_xlfn.XLOOKUP(J14,REF!$D$2:$D$12,REF!$E$2:$E$12)</f>
        <v>Rede</v>
      </c>
      <c r="L14" s="1" t="s">
        <v>259</v>
      </c>
      <c r="M14" s="1" t="s">
        <v>260</v>
      </c>
      <c r="N14" s="1" t="s">
        <v>261</v>
      </c>
      <c r="O14" s="1" t="s">
        <v>626</v>
      </c>
      <c r="P14" s="1" t="str">
        <f>_xlfn.CONCAT(B14,C14,D14,E14,F14)</f>
        <v>BC Caiaponia2.3215KTL-H3(MBUS-14)46023,087546023,087546023,9013888889</v>
      </c>
      <c r="Q14" s="1" t="str">
        <f>_xlfn.CONCAT(H14,I14,J14)</f>
        <v>DAURDE</v>
      </c>
    </row>
    <row r="15" spans="1:17">
      <c r="B15" s="1" t="s">
        <v>584</v>
      </c>
      <c r="C15" s="1" t="s">
        <v>380</v>
      </c>
      <c r="D15" s="52">
        <v>46023.087500000001</v>
      </c>
      <c r="E15" s="52">
        <v>46023.087500000001</v>
      </c>
      <c r="F15" s="52">
        <v>46023.901388888888</v>
      </c>
      <c r="G15" s="53">
        <f>F15-E15</f>
        <v>0.81388888888614019</v>
      </c>
      <c r="H15" s="1" t="s">
        <v>257</v>
      </c>
      <c r="J15" s="1" t="s">
        <v>258</v>
      </c>
      <c r="K15" s="1" t="str">
        <f>_xlfn.XLOOKUP(J15,REF!$D$2:$D$12,REF!$E$2:$E$12)</f>
        <v>Rede</v>
      </c>
      <c r="L15" s="1" t="s">
        <v>259</v>
      </c>
      <c r="M15" s="1" t="s">
        <v>260</v>
      </c>
      <c r="N15" s="1" t="s">
        <v>261</v>
      </c>
      <c r="O15" s="1" t="s">
        <v>626</v>
      </c>
      <c r="P15" s="1" t="str">
        <f>_xlfn.CONCAT(B15,C15,D15,E15,F15)</f>
        <v>BC Caiaponia2.3215KTL-H3(MBUS-15)46023,087546023,087546023,9013888889</v>
      </c>
      <c r="Q15" s="1" t="str">
        <f>_xlfn.CONCAT(H15,I15,J15)</f>
        <v>DAURDE</v>
      </c>
    </row>
    <row r="16" spans="1:17">
      <c r="B16" s="1" t="s">
        <v>584</v>
      </c>
      <c r="C16" s="1" t="s">
        <v>379</v>
      </c>
      <c r="D16" s="52">
        <v>46023.087500000001</v>
      </c>
      <c r="E16" s="52">
        <v>46023.087500000001</v>
      </c>
      <c r="F16" s="52">
        <v>46023.901388888888</v>
      </c>
      <c r="G16" s="53">
        <f>F16-E16</f>
        <v>0.81388888888614019</v>
      </c>
      <c r="H16" s="1" t="s">
        <v>257</v>
      </c>
      <c r="J16" s="1" t="s">
        <v>258</v>
      </c>
      <c r="K16" s="1" t="str">
        <f>_xlfn.XLOOKUP(J16,REF!$D$2:$D$12,REF!$E$2:$E$12)</f>
        <v>Rede</v>
      </c>
      <c r="L16" s="1" t="s">
        <v>259</v>
      </c>
      <c r="M16" s="1" t="s">
        <v>260</v>
      </c>
      <c r="N16" s="1" t="s">
        <v>261</v>
      </c>
      <c r="O16" s="1" t="s">
        <v>626</v>
      </c>
      <c r="P16" s="1" t="str">
        <f>_xlfn.CONCAT(B16,C16,D16,E16,F16)</f>
        <v>BC Caiaponia2.3215KTL-H3(MBUS-16)46023,087546023,087546023,9013888889</v>
      </c>
      <c r="Q16" s="1" t="str">
        <f>_xlfn.CONCAT(H16,I16,J16)</f>
        <v>DAURDE</v>
      </c>
    </row>
    <row r="17" spans="2:17">
      <c r="B17" s="1" t="s">
        <v>327</v>
      </c>
      <c r="C17" s="1" t="s">
        <v>247</v>
      </c>
      <c r="D17" s="52">
        <v>46023.26458333333</v>
      </c>
      <c r="E17" s="52">
        <v>46023.26458333333</v>
      </c>
      <c r="F17" s="52">
        <v>46023.368055555555</v>
      </c>
      <c r="G17" s="53">
        <f>F17-E17</f>
        <v>0.10347222222480923</v>
      </c>
      <c r="H17" s="1" t="s">
        <v>257</v>
      </c>
      <c r="J17" s="1" t="s">
        <v>258</v>
      </c>
      <c r="K17" s="1" t="s">
        <v>658</v>
      </c>
      <c r="L17" s="1" t="s">
        <v>541</v>
      </c>
      <c r="M17" s="1" t="s">
        <v>260</v>
      </c>
      <c r="N17" s="1" t="s">
        <v>357</v>
      </c>
      <c r="O17" s="1" t="s">
        <v>632</v>
      </c>
      <c r="P17" s="1" t="str">
        <f>_xlfn.CONCAT(B17,C17,D17,E17,F17)</f>
        <v>BC Aracu5.1Inverter(MBUS-1)46023,264583333346023,264583333346023,3680555556</v>
      </c>
      <c r="Q17" s="1" t="str">
        <f>_xlfn.CONCAT(H17,I17,J17)</f>
        <v>DAURDE</v>
      </c>
    </row>
    <row r="18" spans="2:17">
      <c r="B18" s="1" t="s">
        <v>246</v>
      </c>
      <c r="C18" s="1" t="s">
        <v>247</v>
      </c>
      <c r="D18" s="52">
        <v>46023.26458333333</v>
      </c>
      <c r="E18" s="52">
        <v>46023.26458333333</v>
      </c>
      <c r="F18" s="52">
        <v>46023.368055555555</v>
      </c>
      <c r="G18" s="53">
        <f>F18-E18</f>
        <v>0.10347222222480923</v>
      </c>
      <c r="H18" s="1" t="s">
        <v>257</v>
      </c>
      <c r="J18" s="1" t="s">
        <v>258</v>
      </c>
      <c r="K18" s="1" t="s">
        <v>658</v>
      </c>
      <c r="L18" s="1" t="s">
        <v>541</v>
      </c>
      <c r="M18" s="1" t="s">
        <v>260</v>
      </c>
      <c r="N18" s="1" t="s">
        <v>357</v>
      </c>
      <c r="O18" s="1" t="s">
        <v>632</v>
      </c>
      <c r="P18" s="1" t="str">
        <f>_xlfn.CONCAT(B18,C18,D18,E18,F18)</f>
        <v>BC Aracu5.2Inverter(MBUS-1)46023,264583333346023,264583333346023,3680555556</v>
      </c>
      <c r="Q18" s="1" t="str">
        <f>_xlfn.CONCAT(H18,I18,J18)</f>
        <v>DAURDE</v>
      </c>
    </row>
    <row r="19" spans="2:17">
      <c r="B19" s="1" t="s">
        <v>328</v>
      </c>
      <c r="C19" s="1" t="s">
        <v>247</v>
      </c>
      <c r="D19" s="52">
        <v>46023.26458333333</v>
      </c>
      <c r="E19" s="52">
        <v>46023.26458333333</v>
      </c>
      <c r="F19" s="52">
        <v>46023.368055555555</v>
      </c>
      <c r="G19" s="53">
        <f>F19-E19</f>
        <v>0.10347222222480923</v>
      </c>
      <c r="H19" s="1" t="s">
        <v>257</v>
      </c>
      <c r="J19" s="1" t="s">
        <v>258</v>
      </c>
      <c r="K19" s="1" t="s">
        <v>658</v>
      </c>
      <c r="L19" s="1" t="s">
        <v>541</v>
      </c>
      <c r="M19" s="1" t="s">
        <v>260</v>
      </c>
      <c r="N19" s="1" t="s">
        <v>357</v>
      </c>
      <c r="O19" s="1" t="s">
        <v>632</v>
      </c>
      <c r="P19" s="1" t="str">
        <f>_xlfn.CONCAT(B19,C19,D19,E19,F19)</f>
        <v>BC Aracu5.3Inverter(MBUS-1)46023,264583333346023,264583333346023,3680555556</v>
      </c>
      <c r="Q19" s="1" t="str">
        <f>_xlfn.CONCAT(H19,I19,J19)</f>
        <v>DAURDE</v>
      </c>
    </row>
    <row r="20" spans="2:17">
      <c r="B20" s="1" t="s">
        <v>329</v>
      </c>
      <c r="C20" s="1" t="s">
        <v>247</v>
      </c>
      <c r="D20" s="52">
        <v>46023.26458333333</v>
      </c>
      <c r="E20" s="52">
        <v>46023.26458333333</v>
      </c>
      <c r="F20" s="52">
        <v>46023.368055555555</v>
      </c>
      <c r="G20" s="53">
        <f>F20-E20</f>
        <v>0.10347222222480923</v>
      </c>
      <c r="H20" s="1" t="s">
        <v>257</v>
      </c>
      <c r="J20" s="1" t="s">
        <v>258</v>
      </c>
      <c r="K20" s="1" t="s">
        <v>658</v>
      </c>
      <c r="L20" s="1" t="s">
        <v>541</v>
      </c>
      <c r="M20" s="1" t="s">
        <v>260</v>
      </c>
      <c r="N20" s="1" t="s">
        <v>357</v>
      </c>
      <c r="O20" s="1" t="s">
        <v>632</v>
      </c>
      <c r="P20" s="1" t="str">
        <f>_xlfn.CONCAT(B20,C20,D20,E20,F20)</f>
        <v>BC Aracu5.4Inverter(MBUS-1)46023,264583333346023,264583333346023,3680555556</v>
      </c>
      <c r="Q20" s="1" t="str">
        <f>_xlfn.CONCAT(H20,I20,J20)</f>
        <v>DAURDE</v>
      </c>
    </row>
    <row r="21" spans="2:17">
      <c r="B21" s="1" t="s">
        <v>330</v>
      </c>
      <c r="C21" s="1" t="s">
        <v>247</v>
      </c>
      <c r="D21" s="52">
        <v>46023.26458333333</v>
      </c>
      <c r="E21" s="52">
        <v>46023.26458333333</v>
      </c>
      <c r="F21" s="52">
        <v>46023.368055555555</v>
      </c>
      <c r="G21" s="53">
        <f>F21-E21</f>
        <v>0.10347222222480923</v>
      </c>
      <c r="H21" s="1" t="s">
        <v>257</v>
      </c>
      <c r="J21" s="1" t="s">
        <v>258</v>
      </c>
      <c r="K21" s="1" t="s">
        <v>658</v>
      </c>
      <c r="L21" s="1" t="s">
        <v>541</v>
      </c>
      <c r="M21" s="1" t="s">
        <v>260</v>
      </c>
      <c r="N21" s="1" t="s">
        <v>357</v>
      </c>
      <c r="O21" s="1" t="s">
        <v>632</v>
      </c>
      <c r="P21" s="1" t="str">
        <f>_xlfn.CONCAT(B21,C21,D21,E21,F21)</f>
        <v>BC Aracu5.5Inverter(MBUS-1)46023,264583333346023,264583333346023,3680555556</v>
      </c>
      <c r="Q21" s="1" t="str">
        <f>_xlfn.CONCAT(H21,I21,J21)</f>
        <v>DAURDE</v>
      </c>
    </row>
    <row r="22" spans="2:17">
      <c r="B22" s="1" t="s">
        <v>585</v>
      </c>
      <c r="C22" s="1" t="s">
        <v>586</v>
      </c>
      <c r="D22" s="52">
        <v>46023.270138888889</v>
      </c>
      <c r="E22" s="52">
        <v>46023.270138888889</v>
      </c>
      <c r="F22" s="52">
        <v>46023.277777777781</v>
      </c>
      <c r="G22" s="53">
        <f>F22-E22</f>
        <v>7.6388888919609599E-3</v>
      </c>
      <c r="H22" s="1" t="s">
        <v>257</v>
      </c>
      <c r="J22" s="1" t="s">
        <v>258</v>
      </c>
      <c r="K22" s="1" t="s">
        <v>658</v>
      </c>
      <c r="L22" s="1" t="s">
        <v>538</v>
      </c>
      <c r="M22" s="1" t="s">
        <v>260</v>
      </c>
      <c r="N22" s="1" t="s">
        <v>357</v>
      </c>
      <c r="O22" s="1" t="s">
        <v>632</v>
      </c>
      <c r="P22" s="1" t="str">
        <f>_xlfn.CONCAT(B22,C22,D22,E22,F22)</f>
        <v>BC Rio Monte1Inverter3546023,270138888946023,270138888946023,2777777778</v>
      </c>
      <c r="Q22" s="1" t="str">
        <f>_xlfn.CONCAT(H22,I22,J22)</f>
        <v>DAURDE</v>
      </c>
    </row>
    <row r="23" spans="2:17">
      <c r="B23" s="1" t="s">
        <v>585</v>
      </c>
      <c r="C23" s="1" t="s">
        <v>588</v>
      </c>
      <c r="D23" s="52">
        <v>46023.270138888889</v>
      </c>
      <c r="E23" s="52">
        <v>46023.270138888889</v>
      </c>
      <c r="F23" s="52">
        <v>46023.277777777781</v>
      </c>
      <c r="G23" s="53">
        <f>F23-E23</f>
        <v>7.6388888919609599E-3</v>
      </c>
      <c r="H23" s="1" t="s">
        <v>257</v>
      </c>
      <c r="J23" s="1" t="s">
        <v>258</v>
      </c>
      <c r="K23" s="1" t="s">
        <v>658</v>
      </c>
      <c r="L23" s="1" t="s">
        <v>538</v>
      </c>
      <c r="M23" s="1" t="s">
        <v>260</v>
      </c>
      <c r="N23" s="1" t="s">
        <v>357</v>
      </c>
      <c r="O23" s="1" t="s">
        <v>632</v>
      </c>
      <c r="P23" s="1" t="str">
        <f>_xlfn.CONCAT(B23,C23,D23,E23,F23)</f>
        <v>BC Rio Monte1Inverter4046023,270138888946023,270138888946023,2777777778</v>
      </c>
      <c r="Q23" s="1" t="str">
        <f>_xlfn.CONCAT(H23,I23,J23)</f>
        <v>DAURDE</v>
      </c>
    </row>
    <row r="24" spans="2:17">
      <c r="B24" s="1" t="s">
        <v>585</v>
      </c>
      <c r="C24" s="1" t="s">
        <v>589</v>
      </c>
      <c r="D24" s="52">
        <v>46023.270138888889</v>
      </c>
      <c r="E24" s="52">
        <v>46023.270138888889</v>
      </c>
      <c r="F24" s="52">
        <v>46023.277777777781</v>
      </c>
      <c r="G24" s="53">
        <f>F24-E24</f>
        <v>7.6388888919609599E-3</v>
      </c>
      <c r="H24" s="1" t="s">
        <v>257</v>
      </c>
      <c r="J24" s="1" t="s">
        <v>258</v>
      </c>
      <c r="K24" s="1" t="s">
        <v>658</v>
      </c>
      <c r="L24" s="1" t="s">
        <v>538</v>
      </c>
      <c r="M24" s="1" t="s">
        <v>260</v>
      </c>
      <c r="N24" s="1" t="s">
        <v>357</v>
      </c>
      <c r="O24" s="1" t="s">
        <v>632</v>
      </c>
      <c r="P24" s="1" t="str">
        <f>_xlfn.CONCAT(B24,C24,D24,E24,F24)</f>
        <v>BC Rio Monte1Inverter4246023,270138888946023,270138888946023,2777777778</v>
      </c>
      <c r="Q24" s="1" t="str">
        <f>_xlfn.CONCAT(H24,I24,J24)</f>
        <v>DAURDE</v>
      </c>
    </row>
    <row r="25" spans="2:17">
      <c r="B25" s="1" t="s">
        <v>585</v>
      </c>
      <c r="C25" s="1" t="s">
        <v>590</v>
      </c>
      <c r="D25" s="52">
        <v>46023.270138888889</v>
      </c>
      <c r="E25" s="52">
        <v>46023.270138888889</v>
      </c>
      <c r="F25" s="52">
        <v>46023.277777777781</v>
      </c>
      <c r="G25" s="53">
        <f>F25-E25</f>
        <v>7.6388888919609599E-3</v>
      </c>
      <c r="H25" s="1" t="s">
        <v>257</v>
      </c>
      <c r="J25" s="1" t="s">
        <v>258</v>
      </c>
      <c r="K25" s="1" t="s">
        <v>658</v>
      </c>
      <c r="L25" s="1" t="s">
        <v>538</v>
      </c>
      <c r="M25" s="1" t="s">
        <v>260</v>
      </c>
      <c r="N25" s="1" t="s">
        <v>357</v>
      </c>
      <c r="O25" s="1" t="s">
        <v>632</v>
      </c>
      <c r="P25" s="1" t="str">
        <f>_xlfn.CONCAT(B25,C25,D25,E25,F25)</f>
        <v>BC Rio Monte1Inverter4146023,270138888946023,270138888946023,2777777778</v>
      </c>
      <c r="Q25" s="1" t="str">
        <f>_xlfn.CONCAT(H25,I25,J25)</f>
        <v>DAURDE</v>
      </c>
    </row>
    <row r="26" spans="2:17">
      <c r="B26" s="1" t="s">
        <v>585</v>
      </c>
      <c r="C26" s="1" t="s">
        <v>591</v>
      </c>
      <c r="D26" s="52">
        <v>46023.270138888889</v>
      </c>
      <c r="E26" s="52">
        <v>46023.270138888889</v>
      </c>
      <c r="F26" s="52">
        <v>46023.277777777781</v>
      </c>
      <c r="G26" s="53">
        <f>F26-E26</f>
        <v>7.6388888919609599E-3</v>
      </c>
      <c r="H26" s="1" t="s">
        <v>257</v>
      </c>
      <c r="J26" s="1" t="s">
        <v>258</v>
      </c>
      <c r="K26" s="1" t="s">
        <v>658</v>
      </c>
      <c r="L26" s="1" t="s">
        <v>538</v>
      </c>
      <c r="M26" s="1" t="s">
        <v>260</v>
      </c>
      <c r="N26" s="1" t="s">
        <v>357</v>
      </c>
      <c r="O26" s="1" t="s">
        <v>632</v>
      </c>
      <c r="P26" s="1" t="str">
        <f>_xlfn.CONCAT(B26,C26,D26,E26,F26)</f>
        <v>BC Rio Monte1Inverter4446023,270138888946023,270138888946023,2777777778</v>
      </c>
      <c r="Q26" s="1" t="str">
        <f>_xlfn.CONCAT(H26,I26,J26)</f>
        <v>DAURDE</v>
      </c>
    </row>
    <row r="27" spans="2:17">
      <c r="B27" s="1" t="s">
        <v>585</v>
      </c>
      <c r="C27" s="1" t="s">
        <v>592</v>
      </c>
      <c r="D27" s="52">
        <v>46023.270138888889</v>
      </c>
      <c r="E27" s="52">
        <v>46023.270138888889</v>
      </c>
      <c r="F27" s="52">
        <v>46023.277777777781</v>
      </c>
      <c r="G27" s="53">
        <f>F27-E27</f>
        <v>7.6388888919609599E-3</v>
      </c>
      <c r="H27" s="1" t="s">
        <v>257</v>
      </c>
      <c r="J27" s="1" t="s">
        <v>258</v>
      </c>
      <c r="K27" s="1" t="s">
        <v>658</v>
      </c>
      <c r="L27" s="1" t="s">
        <v>538</v>
      </c>
      <c r="M27" s="1" t="s">
        <v>260</v>
      </c>
      <c r="N27" s="1" t="s">
        <v>357</v>
      </c>
      <c r="O27" s="1" t="s">
        <v>632</v>
      </c>
      <c r="P27" s="1" t="str">
        <f>_xlfn.CONCAT(B27,C27,D27,E27,F27)</f>
        <v>BC Rio Monte1Inverter4346023,270138888946023,270138888946023,2777777778</v>
      </c>
      <c r="Q27" s="1" t="str">
        <f>_xlfn.CONCAT(H27,I27,J27)</f>
        <v>DAURDE</v>
      </c>
    </row>
    <row r="28" spans="2:17">
      <c r="B28" s="1" t="s">
        <v>585</v>
      </c>
      <c r="C28" s="1" t="s">
        <v>593</v>
      </c>
      <c r="D28" s="52">
        <v>46023.270138888889</v>
      </c>
      <c r="E28" s="52">
        <v>46023.270138888889</v>
      </c>
      <c r="F28" s="52">
        <v>46023.277777777781</v>
      </c>
      <c r="G28" s="53">
        <f>F28-E28</f>
        <v>7.6388888919609599E-3</v>
      </c>
      <c r="H28" s="1" t="s">
        <v>257</v>
      </c>
      <c r="J28" s="1" t="s">
        <v>258</v>
      </c>
      <c r="K28" s="1" t="s">
        <v>658</v>
      </c>
      <c r="L28" s="1" t="s">
        <v>538</v>
      </c>
      <c r="M28" s="1" t="s">
        <v>260</v>
      </c>
      <c r="N28" s="1" t="s">
        <v>357</v>
      </c>
      <c r="O28" s="1" t="s">
        <v>632</v>
      </c>
      <c r="P28" s="1" t="str">
        <f>_xlfn.CONCAT(B28,C28,D28,E28,F28)</f>
        <v>BC Rio Monte1Inverter4546023,270138888946023,270138888946023,2777777778</v>
      </c>
      <c r="Q28" s="1" t="str">
        <f>_xlfn.CONCAT(H28,I28,J28)</f>
        <v>DAURDE</v>
      </c>
    </row>
    <row r="29" spans="2:17">
      <c r="B29" s="66" t="s">
        <v>642</v>
      </c>
      <c r="C29" s="1" t="s">
        <v>643</v>
      </c>
      <c r="D29" s="52">
        <v>46023.283333333333</v>
      </c>
      <c r="E29" s="52">
        <v>46023.283333333333</v>
      </c>
      <c r="F29" s="52">
        <v>46023.364583333336</v>
      </c>
      <c r="G29" s="53">
        <f>F29-E29</f>
        <v>8.1250000002910383E-2</v>
      </c>
      <c r="H29" s="1" t="s">
        <v>268</v>
      </c>
      <c r="I29" s="1" t="s">
        <v>269</v>
      </c>
      <c r="J29" s="1" t="s">
        <v>319</v>
      </c>
      <c r="K29" s="1" t="s">
        <v>652</v>
      </c>
      <c r="L29" s="1" t="s">
        <v>644</v>
      </c>
      <c r="M29" s="1" t="s">
        <v>289</v>
      </c>
      <c r="N29" s="1" t="s">
        <v>253</v>
      </c>
      <c r="O29" s="1" t="s">
        <v>645</v>
      </c>
      <c r="P29" s="1" t="str">
        <f>_xlfn.CONCAT(B29,C29,D29,E29,F29)</f>
        <v>BC Rio Bonito2INV-00146023,283333333346023,283333333346023,3645833333</v>
      </c>
      <c r="Q29" s="1" t="str">
        <f>_xlfn.CONCAT(H29,I29,J29)</f>
        <v>LIGRFOCOM</v>
      </c>
    </row>
    <row r="30" spans="2:17">
      <c r="B30" s="66" t="s">
        <v>642</v>
      </c>
      <c r="C30" s="1" t="s">
        <v>646</v>
      </c>
      <c r="D30" s="52">
        <v>46023.283333333333</v>
      </c>
      <c r="E30" s="52">
        <v>46023.283333333333</v>
      </c>
      <c r="F30" s="52">
        <v>46023.364583333336</v>
      </c>
      <c r="G30" s="53">
        <f>F30-E30</f>
        <v>8.1250000002910383E-2</v>
      </c>
      <c r="H30" s="1" t="s">
        <v>268</v>
      </c>
      <c r="I30" s="1" t="s">
        <v>269</v>
      </c>
      <c r="J30" s="1" t="s">
        <v>319</v>
      </c>
      <c r="K30" s="1" t="s">
        <v>652</v>
      </c>
      <c r="L30" s="1" t="s">
        <v>644</v>
      </c>
      <c r="M30" s="1" t="s">
        <v>289</v>
      </c>
      <c r="N30" s="1" t="s">
        <v>253</v>
      </c>
      <c r="O30" s="1" t="s">
        <v>645</v>
      </c>
      <c r="P30" s="1" t="str">
        <f>_xlfn.CONCAT(B30,C30,D30,E30,F30)</f>
        <v>BC Rio Bonito2INV-00246023,283333333346023,283333333346023,3645833333</v>
      </c>
      <c r="Q30" s="1" t="str">
        <f>_xlfn.CONCAT(H30,I30,J30)</f>
        <v>LIGRFOCOM</v>
      </c>
    </row>
    <row r="31" spans="2:17">
      <c r="B31" s="66" t="s">
        <v>642</v>
      </c>
      <c r="C31" s="1" t="s">
        <v>647</v>
      </c>
      <c r="D31" s="52">
        <v>46023.283333333333</v>
      </c>
      <c r="E31" s="52">
        <v>46023.283333333333</v>
      </c>
      <c r="F31" s="52">
        <v>46023.364583333336</v>
      </c>
      <c r="G31" s="53">
        <f>F31-E31</f>
        <v>8.1250000002910383E-2</v>
      </c>
      <c r="H31" s="1" t="s">
        <v>268</v>
      </c>
      <c r="I31" s="1" t="s">
        <v>269</v>
      </c>
      <c r="J31" s="1" t="s">
        <v>319</v>
      </c>
      <c r="K31" s="1" t="s">
        <v>652</v>
      </c>
      <c r="L31" s="1" t="s">
        <v>644</v>
      </c>
      <c r="M31" s="1" t="s">
        <v>289</v>
      </c>
      <c r="N31" s="1" t="s">
        <v>253</v>
      </c>
      <c r="O31" s="1" t="s">
        <v>645</v>
      </c>
      <c r="P31" s="1" t="str">
        <f>_xlfn.CONCAT(B31,C31,D31,E31,F31)</f>
        <v>BC Rio Bonito2INV-00346023,283333333346023,283333333346023,3645833333</v>
      </c>
      <c r="Q31" s="1" t="str">
        <f>_xlfn.CONCAT(H31,I31,J31)</f>
        <v>LIGRFOCOM</v>
      </c>
    </row>
    <row r="32" spans="2:17">
      <c r="B32" s="66" t="s">
        <v>642</v>
      </c>
      <c r="C32" s="1" t="s">
        <v>648</v>
      </c>
      <c r="D32" s="52">
        <v>46023.283333333333</v>
      </c>
      <c r="E32" s="52">
        <v>46023.283333333333</v>
      </c>
      <c r="F32" s="52">
        <v>46023.364583333336</v>
      </c>
      <c r="G32" s="53">
        <f>F32-E32</f>
        <v>8.1250000002910383E-2</v>
      </c>
      <c r="H32" s="1" t="s">
        <v>268</v>
      </c>
      <c r="I32" s="1" t="s">
        <v>269</v>
      </c>
      <c r="J32" s="1" t="s">
        <v>319</v>
      </c>
      <c r="K32" s="1" t="s">
        <v>652</v>
      </c>
      <c r="L32" s="1" t="s">
        <v>644</v>
      </c>
      <c r="M32" s="1" t="s">
        <v>289</v>
      </c>
      <c r="N32" s="1" t="s">
        <v>253</v>
      </c>
      <c r="O32" s="1" t="s">
        <v>645</v>
      </c>
      <c r="P32" s="1" t="str">
        <f>_xlfn.CONCAT(B32,C32,D32,E32,F32)</f>
        <v>BC Rio Bonito2INV-00446023,283333333346023,283333333346023,3645833333</v>
      </c>
      <c r="Q32" s="1" t="str">
        <f>_xlfn.CONCAT(H32,I32,J32)</f>
        <v>LIGRFOCOM</v>
      </c>
    </row>
    <row r="33" spans="2:17">
      <c r="B33" s="1" t="s">
        <v>456</v>
      </c>
      <c r="C33" s="1" t="s">
        <v>457</v>
      </c>
      <c r="D33" s="52">
        <v>46023.287499999999</v>
      </c>
      <c r="E33" s="52">
        <v>46023.287499999999</v>
      </c>
      <c r="F33" s="52">
        <v>46023.901388888888</v>
      </c>
      <c r="G33" s="53">
        <f>F33-E33</f>
        <v>0.61388888888905058</v>
      </c>
      <c r="H33" s="1" t="s">
        <v>257</v>
      </c>
      <c r="J33" s="1" t="s">
        <v>258</v>
      </c>
      <c r="K33" s="1" t="str">
        <f>_xlfn.XLOOKUP(J33,REF!$D$2:$D$12,REF!$E$2:$E$12)</f>
        <v>Rede</v>
      </c>
      <c r="L33" s="1" t="s">
        <v>259</v>
      </c>
      <c r="M33" s="1" t="s">
        <v>260</v>
      </c>
      <c r="N33" s="1" t="s">
        <v>261</v>
      </c>
      <c r="O33" s="1" t="s">
        <v>626</v>
      </c>
      <c r="P33" s="1" t="str">
        <f>_xlfn.CONCAT(B33,C33,D33,E33,F33)</f>
        <v>BC Caiaponia1SG60KTL(COM1-001)_001_00746023,287546023,287546023,9013888889</v>
      </c>
      <c r="Q33" s="1" t="str">
        <f>_xlfn.CONCAT(H33,I33,J33)</f>
        <v>DAURDE</v>
      </c>
    </row>
    <row r="34" spans="2:17">
      <c r="B34" s="1" t="s">
        <v>456</v>
      </c>
      <c r="C34" s="1" t="s">
        <v>459</v>
      </c>
      <c r="D34" s="52">
        <v>46023.287499999999</v>
      </c>
      <c r="E34" s="52">
        <v>46023.287499999999</v>
      </c>
      <c r="F34" s="52">
        <v>46023.901388888888</v>
      </c>
      <c r="G34" s="53">
        <f>F34-E34</f>
        <v>0.61388888888905058</v>
      </c>
      <c r="H34" s="1" t="s">
        <v>257</v>
      </c>
      <c r="J34" s="1" t="s">
        <v>258</v>
      </c>
      <c r="K34" s="1" t="str">
        <f>_xlfn.XLOOKUP(J34,REF!$D$2:$D$12,REF!$E$2:$E$12)</f>
        <v>Rede</v>
      </c>
      <c r="L34" s="1" t="s">
        <v>259</v>
      </c>
      <c r="M34" s="1" t="s">
        <v>260</v>
      </c>
      <c r="N34" s="1" t="s">
        <v>261</v>
      </c>
      <c r="O34" s="1" t="s">
        <v>626</v>
      </c>
      <c r="P34" s="1" t="str">
        <f>_xlfn.CONCAT(B34,C34,D34,E34,F34)</f>
        <v>BC Caiaponia1SG60KTL(COM1-002)_001_01046023,287546023,287546023,9013888889</v>
      </c>
      <c r="Q34" s="1" t="str">
        <f>_xlfn.CONCAT(H34,I34,J34)</f>
        <v>DAURDE</v>
      </c>
    </row>
    <row r="35" spans="2:17">
      <c r="B35" s="1" t="s">
        <v>456</v>
      </c>
      <c r="C35" s="1" t="s">
        <v>460</v>
      </c>
      <c r="D35" s="52">
        <v>46023.287499999999</v>
      </c>
      <c r="E35" s="52">
        <v>46023.287499999999</v>
      </c>
      <c r="F35" s="52">
        <v>46023.901388888888</v>
      </c>
      <c r="G35" s="53">
        <f>F35-E35</f>
        <v>0.61388888888905058</v>
      </c>
      <c r="H35" s="1" t="s">
        <v>257</v>
      </c>
      <c r="J35" s="1" t="s">
        <v>258</v>
      </c>
      <c r="K35" s="1" t="str">
        <f>_xlfn.XLOOKUP(J35,REF!$D$2:$D$12,REF!$E$2:$E$12)</f>
        <v>Rede</v>
      </c>
      <c r="L35" s="1" t="s">
        <v>259</v>
      </c>
      <c r="M35" s="1" t="s">
        <v>260</v>
      </c>
      <c r="N35" s="1" t="s">
        <v>261</v>
      </c>
      <c r="O35" s="1" t="s">
        <v>626</v>
      </c>
      <c r="P35" s="1" t="str">
        <f>_xlfn.CONCAT(B35,C35,D35,E35,F35)</f>
        <v>BC Caiaponia1SG60KTL(COM1-003)_001_01146023,287546023,287546023,9013888889</v>
      </c>
      <c r="Q35" s="1" t="str">
        <f>_xlfn.CONCAT(H35,I35,J35)</f>
        <v>DAURDE</v>
      </c>
    </row>
    <row r="36" spans="2:17">
      <c r="B36" s="1" t="s">
        <v>456</v>
      </c>
      <c r="C36" s="1" t="s">
        <v>461</v>
      </c>
      <c r="D36" s="52">
        <v>46023.287499999999</v>
      </c>
      <c r="E36" s="52">
        <v>46023.287499999999</v>
      </c>
      <c r="F36" s="52">
        <v>46023.901388888888</v>
      </c>
      <c r="G36" s="53">
        <f>F36-E36</f>
        <v>0.61388888888905058</v>
      </c>
      <c r="H36" s="1" t="s">
        <v>257</v>
      </c>
      <c r="J36" s="1" t="s">
        <v>258</v>
      </c>
      <c r="K36" s="1" t="str">
        <f>_xlfn.XLOOKUP(J36,REF!$D$2:$D$12,REF!$E$2:$E$12)</f>
        <v>Rede</v>
      </c>
      <c r="L36" s="1" t="s">
        <v>259</v>
      </c>
      <c r="M36" s="1" t="s">
        <v>260</v>
      </c>
      <c r="N36" s="1" t="s">
        <v>261</v>
      </c>
      <c r="O36" s="1" t="s">
        <v>626</v>
      </c>
      <c r="P36" s="1" t="str">
        <f>_xlfn.CONCAT(B36,C36,D36,E36,F36)</f>
        <v>BC Caiaponia1SG60KTL(COM1-004)_001_01446023,287546023,287546023,9013888889</v>
      </c>
      <c r="Q36" s="1" t="str">
        <f>_xlfn.CONCAT(H36,I36,J36)</f>
        <v>DAURDE</v>
      </c>
    </row>
    <row r="37" spans="2:17">
      <c r="B37" s="1" t="s">
        <v>456</v>
      </c>
      <c r="C37" s="1" t="s">
        <v>462</v>
      </c>
      <c r="D37" s="52">
        <v>46023.287499999999</v>
      </c>
      <c r="E37" s="52">
        <v>46023.287499999999</v>
      </c>
      <c r="F37" s="52">
        <v>46023.901388888888</v>
      </c>
      <c r="G37" s="53">
        <f>F37-E37</f>
        <v>0.61388888888905058</v>
      </c>
      <c r="H37" s="1" t="s">
        <v>257</v>
      </c>
      <c r="J37" s="1" t="s">
        <v>258</v>
      </c>
      <c r="K37" s="1" t="str">
        <f>_xlfn.XLOOKUP(J37,REF!$D$2:$D$12,REF!$E$2:$E$12)</f>
        <v>Rede</v>
      </c>
      <c r="L37" s="1" t="s">
        <v>259</v>
      </c>
      <c r="M37" s="1" t="s">
        <v>260</v>
      </c>
      <c r="N37" s="1" t="s">
        <v>261</v>
      </c>
      <c r="O37" s="1" t="s">
        <v>626</v>
      </c>
      <c r="P37" s="1" t="str">
        <f>_xlfn.CONCAT(B37,C37,D37,E37,F37)</f>
        <v>BC Caiaponia1SG60KTL(COM1-005)_001_01746023,287546023,287546023,9013888889</v>
      </c>
      <c r="Q37" s="1" t="str">
        <f>_xlfn.CONCAT(H37,I37,J37)</f>
        <v>DAURDE</v>
      </c>
    </row>
    <row r="38" spans="2:17">
      <c r="B38" s="1" t="s">
        <v>456</v>
      </c>
      <c r="C38" s="1" t="s">
        <v>463</v>
      </c>
      <c r="D38" s="52">
        <v>46023.287499999999</v>
      </c>
      <c r="E38" s="52">
        <v>46023.287499999999</v>
      </c>
      <c r="F38" s="52">
        <v>46023.901388888888</v>
      </c>
      <c r="G38" s="53">
        <f>F38-E38</f>
        <v>0.61388888888905058</v>
      </c>
      <c r="H38" s="1" t="s">
        <v>257</v>
      </c>
      <c r="J38" s="1" t="s">
        <v>258</v>
      </c>
      <c r="K38" s="1" t="str">
        <f>_xlfn.XLOOKUP(J38,REF!$D$2:$D$12,REF!$E$2:$E$12)</f>
        <v>Rede</v>
      </c>
      <c r="L38" s="1" t="s">
        <v>259</v>
      </c>
      <c r="M38" s="1" t="s">
        <v>260</v>
      </c>
      <c r="N38" s="1" t="s">
        <v>261</v>
      </c>
      <c r="O38" s="1" t="s">
        <v>626</v>
      </c>
      <c r="P38" s="1" t="str">
        <f>_xlfn.CONCAT(B38,C38,D38,E38,F38)</f>
        <v>BC Caiaponia1SG60KTL(COM1-006)_001_01646023,287546023,287546023,9013888889</v>
      </c>
      <c r="Q38" s="1" t="str">
        <f>_xlfn.CONCAT(H38,I38,J38)</f>
        <v>DAURDE</v>
      </c>
    </row>
    <row r="39" spans="2:17">
      <c r="B39" s="1" t="s">
        <v>456</v>
      </c>
      <c r="C39" s="1" t="s">
        <v>464</v>
      </c>
      <c r="D39" s="52">
        <v>46023.287499999999</v>
      </c>
      <c r="E39" s="52">
        <v>46023.287499999999</v>
      </c>
      <c r="F39" s="52">
        <v>46023.901388888888</v>
      </c>
      <c r="G39" s="53">
        <f>F39-E39</f>
        <v>0.61388888888905058</v>
      </c>
      <c r="H39" s="1" t="s">
        <v>257</v>
      </c>
      <c r="J39" s="1" t="s">
        <v>258</v>
      </c>
      <c r="K39" s="1" t="str">
        <f>_xlfn.XLOOKUP(J39,REF!$D$2:$D$12,REF!$E$2:$E$12)</f>
        <v>Rede</v>
      </c>
      <c r="L39" s="1" t="s">
        <v>259</v>
      </c>
      <c r="M39" s="1" t="s">
        <v>260</v>
      </c>
      <c r="N39" s="1" t="s">
        <v>261</v>
      </c>
      <c r="O39" s="1" t="s">
        <v>626</v>
      </c>
      <c r="P39" s="1" t="str">
        <f>_xlfn.CONCAT(B39,C39,D39,E39,F39)</f>
        <v>BC Caiaponia1SG60KTL(COM1-007)_001_01346023,287546023,287546023,9013888889</v>
      </c>
      <c r="Q39" s="1" t="str">
        <f>_xlfn.CONCAT(H39,I39,J39)</f>
        <v>DAURDE</v>
      </c>
    </row>
    <row r="40" spans="2:17">
      <c r="B40" s="1" t="s">
        <v>456</v>
      </c>
      <c r="C40" s="1" t="s">
        <v>465</v>
      </c>
      <c r="D40" s="52">
        <v>46023.287499999999</v>
      </c>
      <c r="E40" s="52">
        <v>46023.287499999999</v>
      </c>
      <c r="F40" s="52">
        <v>46023.901388888888</v>
      </c>
      <c r="G40" s="53">
        <f>F40-E40</f>
        <v>0.61388888888905058</v>
      </c>
      <c r="H40" s="1" t="s">
        <v>257</v>
      </c>
      <c r="J40" s="1" t="s">
        <v>258</v>
      </c>
      <c r="K40" s="1" t="str">
        <f>_xlfn.XLOOKUP(J40,REF!$D$2:$D$12,REF!$E$2:$E$12)</f>
        <v>Rede</v>
      </c>
      <c r="L40" s="1" t="s">
        <v>259</v>
      </c>
      <c r="M40" s="1" t="s">
        <v>260</v>
      </c>
      <c r="N40" s="1" t="s">
        <v>261</v>
      </c>
      <c r="O40" s="1" t="s">
        <v>626</v>
      </c>
      <c r="P40" s="1" t="str">
        <f>_xlfn.CONCAT(B40,C40,D40,E40,F40)</f>
        <v>BC Caiaponia1SG60KTL(COM1-008)_001_00146023,287546023,287546023,9013888889</v>
      </c>
      <c r="Q40" s="1" t="str">
        <f>_xlfn.CONCAT(H40,I40,J40)</f>
        <v>DAURDE</v>
      </c>
    </row>
    <row r="41" spans="2:17">
      <c r="B41" s="1" t="s">
        <v>456</v>
      </c>
      <c r="C41" s="1" t="s">
        <v>466</v>
      </c>
      <c r="D41" s="52">
        <v>46023.287499999999</v>
      </c>
      <c r="E41" s="52">
        <v>46023.287499999999</v>
      </c>
      <c r="F41" s="52">
        <v>46023.901388888888</v>
      </c>
      <c r="G41" s="53">
        <f>F41-E41</f>
        <v>0.61388888888905058</v>
      </c>
      <c r="H41" s="1" t="s">
        <v>257</v>
      </c>
      <c r="J41" s="1" t="s">
        <v>258</v>
      </c>
      <c r="K41" s="1" t="str">
        <f>_xlfn.XLOOKUP(J41,REF!$D$2:$D$12,REF!$E$2:$E$12)</f>
        <v>Rede</v>
      </c>
      <c r="L41" s="1" t="s">
        <v>259</v>
      </c>
      <c r="M41" s="1" t="s">
        <v>260</v>
      </c>
      <c r="N41" s="1" t="s">
        <v>261</v>
      </c>
      <c r="O41" s="1" t="s">
        <v>626</v>
      </c>
      <c r="P41" s="1" t="str">
        <f>_xlfn.CONCAT(B41,C41,D41,E41,F41)</f>
        <v>BC Caiaponia1SG60KTL(COM1-009)46023,287546023,287546023,9013888889</v>
      </c>
      <c r="Q41" s="1" t="str">
        <f>_xlfn.CONCAT(H41,I41,J41)</f>
        <v>DAURDE</v>
      </c>
    </row>
    <row r="42" spans="2:17">
      <c r="B42" s="1" t="s">
        <v>456</v>
      </c>
      <c r="C42" s="1" t="s">
        <v>467</v>
      </c>
      <c r="D42" s="52">
        <v>46023.287499999999</v>
      </c>
      <c r="E42" s="52">
        <v>46023.287499999999</v>
      </c>
      <c r="F42" s="52">
        <v>46023.901388888888</v>
      </c>
      <c r="G42" s="53">
        <f>F42-E42</f>
        <v>0.61388888888905058</v>
      </c>
      <c r="H42" s="1" t="s">
        <v>257</v>
      </c>
      <c r="J42" s="1" t="s">
        <v>258</v>
      </c>
      <c r="K42" s="1" t="str">
        <f>_xlfn.XLOOKUP(J42,REF!$D$2:$D$12,REF!$E$2:$E$12)</f>
        <v>Rede</v>
      </c>
      <c r="L42" s="1" t="s">
        <v>259</v>
      </c>
      <c r="M42" s="1" t="s">
        <v>260</v>
      </c>
      <c r="N42" s="1" t="s">
        <v>261</v>
      </c>
      <c r="O42" s="1" t="s">
        <v>626</v>
      </c>
      <c r="P42" s="1" t="str">
        <f>_xlfn.CONCAT(B42,C42,D42,E42,F42)</f>
        <v>BC Caiaponia1SG60KTL(COM1-010)46023,287546023,287546023,9013888889</v>
      </c>
      <c r="Q42" s="1" t="str">
        <f>_xlfn.CONCAT(H42,I42,J42)</f>
        <v>DAURDE</v>
      </c>
    </row>
    <row r="43" spans="2:17">
      <c r="B43" s="1" t="s">
        <v>456</v>
      </c>
      <c r="C43" s="1" t="s">
        <v>468</v>
      </c>
      <c r="D43" s="52">
        <v>46023.287499999999</v>
      </c>
      <c r="E43" s="52">
        <v>46023.287499999999</v>
      </c>
      <c r="F43" s="52">
        <v>46023.901388888888</v>
      </c>
      <c r="G43" s="53">
        <f>F43-E43</f>
        <v>0.61388888888905058</v>
      </c>
      <c r="H43" s="1" t="s">
        <v>257</v>
      </c>
      <c r="J43" s="1" t="s">
        <v>258</v>
      </c>
      <c r="K43" s="1" t="str">
        <f>_xlfn.XLOOKUP(J43,REF!$D$2:$D$12,REF!$E$2:$E$12)</f>
        <v>Rede</v>
      </c>
      <c r="L43" s="1" t="s">
        <v>259</v>
      </c>
      <c r="M43" s="1" t="s">
        <v>260</v>
      </c>
      <c r="N43" s="1" t="s">
        <v>261</v>
      </c>
      <c r="O43" s="1" t="s">
        <v>626</v>
      </c>
      <c r="P43" s="1" t="str">
        <f>_xlfn.CONCAT(B43,C43,D43,E43,F43)</f>
        <v>BC Caiaponia1SG60KTL(COM1-011)46023,287546023,287546023,9013888889</v>
      </c>
      <c r="Q43" s="1" t="str">
        <f>_xlfn.CONCAT(H43,I43,J43)</f>
        <v>DAURDE</v>
      </c>
    </row>
    <row r="44" spans="2:17">
      <c r="B44" s="1" t="s">
        <v>456</v>
      </c>
      <c r="C44" s="1" t="s">
        <v>469</v>
      </c>
      <c r="D44" s="52">
        <v>46023.287499999999</v>
      </c>
      <c r="E44" s="52">
        <v>46023.287499999999</v>
      </c>
      <c r="F44" s="52">
        <v>46023.901388888888</v>
      </c>
      <c r="G44" s="53">
        <f>F44-E44</f>
        <v>0.61388888888905058</v>
      </c>
      <c r="H44" s="1" t="s">
        <v>257</v>
      </c>
      <c r="J44" s="1" t="s">
        <v>258</v>
      </c>
      <c r="K44" s="1" t="str">
        <f>_xlfn.XLOOKUP(J44,REF!$D$2:$D$12,REF!$E$2:$E$12)</f>
        <v>Rede</v>
      </c>
      <c r="L44" s="1" t="s">
        <v>259</v>
      </c>
      <c r="M44" s="1" t="s">
        <v>260</v>
      </c>
      <c r="N44" s="1" t="s">
        <v>261</v>
      </c>
      <c r="O44" s="1" t="s">
        <v>626</v>
      </c>
      <c r="P44" s="1" t="str">
        <f>_xlfn.CONCAT(B44,C44,D44,E44,F44)</f>
        <v>BC Caiaponia1SG60KTL(COM1-012)46023,287546023,287546023,9013888889</v>
      </c>
      <c r="Q44" s="1" t="str">
        <f>_xlfn.CONCAT(H44,I44,J44)</f>
        <v>DAURDE</v>
      </c>
    </row>
    <row r="45" spans="2:17">
      <c r="B45" s="1" t="s">
        <v>456</v>
      </c>
      <c r="C45" s="1" t="s">
        <v>470</v>
      </c>
      <c r="D45" s="52">
        <v>46023.287499999999</v>
      </c>
      <c r="E45" s="52">
        <v>46023.287499999999</v>
      </c>
      <c r="F45" s="52">
        <v>46023.901388888888</v>
      </c>
      <c r="G45" s="53">
        <f>F45-E45</f>
        <v>0.61388888888905058</v>
      </c>
      <c r="H45" s="1" t="s">
        <v>257</v>
      </c>
      <c r="J45" s="1" t="s">
        <v>258</v>
      </c>
      <c r="K45" s="1" t="str">
        <f>_xlfn.XLOOKUP(J45,REF!$D$2:$D$12,REF!$E$2:$E$12)</f>
        <v>Rede</v>
      </c>
      <c r="L45" s="1" t="s">
        <v>259</v>
      </c>
      <c r="M45" s="1" t="s">
        <v>260</v>
      </c>
      <c r="N45" s="1" t="s">
        <v>261</v>
      </c>
      <c r="O45" s="1" t="s">
        <v>626</v>
      </c>
      <c r="P45" s="1" t="str">
        <f>_xlfn.CONCAT(B45,C45,D45,E45,F45)</f>
        <v>BC Caiaponia1SG60KTL(COM1-013)46023,287546023,287546023,9013888889</v>
      </c>
      <c r="Q45" s="1" t="str">
        <f>_xlfn.CONCAT(H45,I45,J45)</f>
        <v>DAURDE</v>
      </c>
    </row>
    <row r="46" spans="2:17">
      <c r="B46" s="1" t="s">
        <v>456</v>
      </c>
      <c r="C46" s="1" t="s">
        <v>471</v>
      </c>
      <c r="D46" s="52">
        <v>46023.287499999999</v>
      </c>
      <c r="E46" s="52">
        <v>46023.287499999999</v>
      </c>
      <c r="F46" s="52">
        <v>46023.901388888888</v>
      </c>
      <c r="G46" s="53">
        <f>F46-E46</f>
        <v>0.61388888888905058</v>
      </c>
      <c r="H46" s="1" t="s">
        <v>257</v>
      </c>
      <c r="J46" s="1" t="s">
        <v>258</v>
      </c>
      <c r="K46" s="1" t="str">
        <f>_xlfn.XLOOKUP(J46,REF!$D$2:$D$12,REF!$E$2:$E$12)</f>
        <v>Rede</v>
      </c>
      <c r="L46" s="1" t="s">
        <v>259</v>
      </c>
      <c r="M46" s="1" t="s">
        <v>260</v>
      </c>
      <c r="N46" s="1" t="s">
        <v>261</v>
      </c>
      <c r="O46" s="1" t="s">
        <v>626</v>
      </c>
      <c r="P46" s="1" t="str">
        <f>_xlfn.CONCAT(B46,C46,D46,E46,F46)</f>
        <v>BC Caiaponia1SG60KTL(COM1-014)46023,287546023,287546023,9013888889</v>
      </c>
      <c r="Q46" s="1" t="str">
        <f>_xlfn.CONCAT(H46,I46,J46)</f>
        <v>DAURDE</v>
      </c>
    </row>
    <row r="47" spans="2:17">
      <c r="B47" s="1" t="s">
        <v>456</v>
      </c>
      <c r="C47" s="1" t="s">
        <v>472</v>
      </c>
      <c r="D47" s="52">
        <v>46023.287499999999</v>
      </c>
      <c r="E47" s="52">
        <v>46023.287499999999</v>
      </c>
      <c r="F47" s="52">
        <v>46023.901388888888</v>
      </c>
      <c r="G47" s="53">
        <f>F47-E47</f>
        <v>0.61388888888905058</v>
      </c>
      <c r="H47" s="1" t="s">
        <v>257</v>
      </c>
      <c r="J47" s="1" t="s">
        <v>258</v>
      </c>
      <c r="K47" s="1" t="str">
        <f>_xlfn.XLOOKUP(J47,REF!$D$2:$D$12,REF!$E$2:$E$12)</f>
        <v>Rede</v>
      </c>
      <c r="L47" s="1" t="s">
        <v>259</v>
      </c>
      <c r="M47" s="1" t="s">
        <v>260</v>
      </c>
      <c r="N47" s="1" t="s">
        <v>261</v>
      </c>
      <c r="O47" s="1" t="s">
        <v>626</v>
      </c>
      <c r="P47" s="1" t="str">
        <f>_xlfn.CONCAT(B47,C47,D47,E47,F47)</f>
        <v>BC Caiaponia1SG60KTL(COM1-015)46023,287546023,287546023,9013888889</v>
      </c>
      <c r="Q47" s="1" t="str">
        <f>_xlfn.CONCAT(H47,I47,J47)</f>
        <v>DAURDE</v>
      </c>
    </row>
    <row r="48" spans="2:17">
      <c r="B48" s="1" t="s">
        <v>456</v>
      </c>
      <c r="C48" s="1" t="s">
        <v>473</v>
      </c>
      <c r="D48" s="52">
        <v>46023.287499999999</v>
      </c>
      <c r="E48" s="52">
        <v>46023.287499999999</v>
      </c>
      <c r="F48" s="52">
        <v>46023.901388888888</v>
      </c>
      <c r="G48" s="53">
        <f>F48-E48</f>
        <v>0.61388888888905058</v>
      </c>
      <c r="H48" s="1" t="s">
        <v>257</v>
      </c>
      <c r="J48" s="1" t="s">
        <v>258</v>
      </c>
      <c r="K48" s="1" t="str">
        <f>_xlfn.XLOOKUP(J48,REF!$D$2:$D$12,REF!$E$2:$E$12)</f>
        <v>Rede</v>
      </c>
      <c r="L48" s="1" t="s">
        <v>259</v>
      </c>
      <c r="M48" s="1" t="s">
        <v>260</v>
      </c>
      <c r="N48" s="1" t="s">
        <v>261</v>
      </c>
      <c r="O48" s="1" t="s">
        <v>626</v>
      </c>
      <c r="P48" s="1" t="str">
        <f>_xlfn.CONCAT(B48,C48,D48,E48,F48)</f>
        <v>BC Caiaponia1SG60KTL(COM3-016)_001_00946023,287546023,287546023,9013888889</v>
      </c>
      <c r="Q48" s="1" t="str">
        <f>_xlfn.CONCAT(H48,I48,J48)</f>
        <v>DAURDE</v>
      </c>
    </row>
    <row r="49" spans="2:17">
      <c r="B49" s="1" t="s">
        <v>456</v>
      </c>
      <c r="C49" s="1" t="s">
        <v>474</v>
      </c>
      <c r="D49" s="52">
        <v>46023.287499999999</v>
      </c>
      <c r="E49" s="52">
        <v>46023.287499999999</v>
      </c>
      <c r="F49" s="52">
        <v>46023.901388888888</v>
      </c>
      <c r="G49" s="53">
        <f>F49-E49</f>
        <v>0.61388888888905058</v>
      </c>
      <c r="H49" s="1" t="s">
        <v>257</v>
      </c>
      <c r="J49" s="1" t="s">
        <v>258</v>
      </c>
      <c r="K49" s="1" t="str">
        <f>_xlfn.XLOOKUP(J49,REF!$D$2:$D$12,REF!$E$2:$E$12)</f>
        <v>Rede</v>
      </c>
      <c r="L49" s="1" t="s">
        <v>259</v>
      </c>
      <c r="M49" s="1" t="s">
        <v>260</v>
      </c>
      <c r="N49" s="1" t="s">
        <v>261</v>
      </c>
      <c r="O49" s="1" t="s">
        <v>626</v>
      </c>
      <c r="P49" s="1" t="str">
        <f>_xlfn.CONCAT(B49,C49,D49,E49,F49)</f>
        <v>BC Caiaponia1SG60KTL(COM3-017)_001_01246023,287546023,287546023,9013888889</v>
      </c>
      <c r="Q49" s="1" t="str">
        <f>_xlfn.CONCAT(H49,I49,J49)</f>
        <v>DAURDE</v>
      </c>
    </row>
    <row r="50" spans="2:17">
      <c r="B50" s="1" t="s">
        <v>456</v>
      </c>
      <c r="C50" s="1" t="s">
        <v>475</v>
      </c>
      <c r="D50" s="52">
        <v>46023.287499999999</v>
      </c>
      <c r="E50" s="52">
        <v>46023.287499999999</v>
      </c>
      <c r="F50" s="52">
        <v>46023.901388888888</v>
      </c>
      <c r="G50" s="53">
        <f>F50-E50</f>
        <v>0.61388888888905058</v>
      </c>
      <c r="H50" s="1" t="s">
        <v>257</v>
      </c>
      <c r="J50" s="1" t="s">
        <v>258</v>
      </c>
      <c r="K50" s="1" t="str">
        <f>_xlfn.XLOOKUP(J50,REF!$D$2:$D$12,REF!$E$2:$E$12)</f>
        <v>Rede</v>
      </c>
      <c r="L50" s="1" t="s">
        <v>259</v>
      </c>
      <c r="M50" s="1" t="s">
        <v>260</v>
      </c>
      <c r="N50" s="1" t="s">
        <v>261</v>
      </c>
      <c r="O50" s="1" t="s">
        <v>626</v>
      </c>
      <c r="P50" s="1" t="str">
        <f>_xlfn.CONCAT(B50,C50,D50,E50,F50)</f>
        <v>BC Caiaponia1SG60KTL(COM3-018)_001_00846023,287546023,287546023,9013888889</v>
      </c>
      <c r="Q50" s="1" t="str">
        <f>_xlfn.CONCAT(H50,I50,J50)</f>
        <v>DAURDE</v>
      </c>
    </row>
    <row r="51" spans="2:17">
      <c r="B51" s="1" t="s">
        <v>456</v>
      </c>
      <c r="C51" s="1" t="s">
        <v>476</v>
      </c>
      <c r="D51" s="52">
        <v>46023.287499999999</v>
      </c>
      <c r="E51" s="52">
        <v>46023.287499999999</v>
      </c>
      <c r="F51" s="52">
        <v>46023.901388888888</v>
      </c>
      <c r="G51" s="53">
        <f>F51-E51</f>
        <v>0.61388888888905058</v>
      </c>
      <c r="H51" s="1" t="s">
        <v>257</v>
      </c>
      <c r="J51" s="1" t="s">
        <v>258</v>
      </c>
      <c r="K51" s="1" t="str">
        <f>_xlfn.XLOOKUP(J51,REF!$D$2:$D$12,REF!$E$2:$E$12)</f>
        <v>Rede</v>
      </c>
      <c r="L51" s="1" t="s">
        <v>259</v>
      </c>
      <c r="M51" s="1" t="s">
        <v>260</v>
      </c>
      <c r="N51" s="1" t="s">
        <v>261</v>
      </c>
      <c r="O51" s="1" t="s">
        <v>626</v>
      </c>
      <c r="P51" s="1" t="str">
        <f>_xlfn.CONCAT(B51,C51,D51,E51,F51)</f>
        <v>BC Caiaponia1SG60KTL(COM3-019)_001_01946023,287546023,287546023,9013888889</v>
      </c>
      <c r="Q51" s="1" t="str">
        <f>_xlfn.CONCAT(H51,I51,J51)</f>
        <v>DAURDE</v>
      </c>
    </row>
    <row r="52" spans="2:17">
      <c r="B52" s="1" t="s">
        <v>456</v>
      </c>
      <c r="C52" s="1" t="s">
        <v>477</v>
      </c>
      <c r="D52" s="52">
        <v>46023.287499999999</v>
      </c>
      <c r="E52" s="52">
        <v>46023.287499999999</v>
      </c>
      <c r="F52" s="52">
        <v>46023.901388888888</v>
      </c>
      <c r="G52" s="53">
        <f>F52-E52</f>
        <v>0.61388888888905058</v>
      </c>
      <c r="H52" s="1" t="s">
        <v>257</v>
      </c>
      <c r="J52" s="1" t="s">
        <v>258</v>
      </c>
      <c r="K52" s="1" t="str">
        <f>_xlfn.XLOOKUP(J52,REF!$D$2:$D$12,REF!$E$2:$E$12)</f>
        <v>Rede</v>
      </c>
      <c r="L52" s="1" t="s">
        <v>259</v>
      </c>
      <c r="M52" s="1" t="s">
        <v>260</v>
      </c>
      <c r="N52" s="1" t="s">
        <v>261</v>
      </c>
      <c r="O52" s="1" t="s">
        <v>626</v>
      </c>
      <c r="P52" s="1" t="str">
        <f>_xlfn.CONCAT(B52,C52,D52,E52,F52)</f>
        <v>BC Caiaponia1SG60KTL(COM3-020)_001_02046023,287546023,287546023,9013888889</v>
      </c>
      <c r="Q52" s="1" t="str">
        <f>_xlfn.CONCAT(H52,I52,J52)</f>
        <v>DAURDE</v>
      </c>
    </row>
    <row r="53" spans="2:17">
      <c r="B53" s="1" t="s">
        <v>456</v>
      </c>
      <c r="C53" s="1" t="s">
        <v>478</v>
      </c>
      <c r="D53" s="52">
        <v>46023.287499999999</v>
      </c>
      <c r="E53" s="52">
        <v>46023.287499999999</v>
      </c>
      <c r="F53" s="52">
        <v>46023.901388888888</v>
      </c>
      <c r="G53" s="53">
        <f>F53-E53</f>
        <v>0.61388888888905058</v>
      </c>
      <c r="H53" s="1" t="s">
        <v>257</v>
      </c>
      <c r="J53" s="1" t="s">
        <v>258</v>
      </c>
      <c r="K53" s="1" t="str">
        <f>_xlfn.XLOOKUP(J53,REF!$D$2:$D$12,REF!$E$2:$E$12)</f>
        <v>Rede</v>
      </c>
      <c r="L53" s="1" t="s">
        <v>259</v>
      </c>
      <c r="M53" s="1" t="s">
        <v>260</v>
      </c>
      <c r="N53" s="1" t="s">
        <v>261</v>
      </c>
      <c r="O53" s="1" t="s">
        <v>626</v>
      </c>
      <c r="P53" s="1" t="str">
        <f>_xlfn.CONCAT(B53,C53,D53,E53,F53)</f>
        <v>BC Caiaponia1SG60KTL(COM2-026)46023,287546023,287546023,9013888889</v>
      </c>
      <c r="Q53" s="1" t="str">
        <f>_xlfn.CONCAT(H53,I53,J53)</f>
        <v>DAURDE</v>
      </c>
    </row>
    <row r="54" spans="2:17">
      <c r="B54" s="1" t="s">
        <v>456</v>
      </c>
      <c r="C54" s="1" t="s">
        <v>479</v>
      </c>
      <c r="D54" s="52">
        <v>46023.287499999999</v>
      </c>
      <c r="E54" s="52">
        <v>46023.287499999999</v>
      </c>
      <c r="F54" s="52">
        <v>46023.901388888888</v>
      </c>
      <c r="G54" s="53">
        <f>F54-E54</f>
        <v>0.61388888888905058</v>
      </c>
      <c r="H54" s="1" t="s">
        <v>257</v>
      </c>
      <c r="J54" s="1" t="s">
        <v>258</v>
      </c>
      <c r="K54" s="1" t="str">
        <f>_xlfn.XLOOKUP(J54,REF!$D$2:$D$12,REF!$E$2:$E$12)</f>
        <v>Rede</v>
      </c>
      <c r="L54" s="1" t="s">
        <v>259</v>
      </c>
      <c r="M54" s="1" t="s">
        <v>260</v>
      </c>
      <c r="N54" s="1" t="s">
        <v>261</v>
      </c>
      <c r="O54" s="1" t="s">
        <v>626</v>
      </c>
      <c r="P54" s="1" t="str">
        <f>_xlfn.CONCAT(B54,C54,D54,E54,F54)</f>
        <v>BC Caiaponia1SG60KTL(COM2-027)46023,287546023,287546023,9013888889</v>
      </c>
      <c r="Q54" s="1" t="str">
        <f>_xlfn.CONCAT(H54,I54,J54)</f>
        <v>DAURDE</v>
      </c>
    </row>
    <row r="55" spans="2:17">
      <c r="B55" s="1" t="s">
        <v>456</v>
      </c>
      <c r="C55" s="1" t="s">
        <v>480</v>
      </c>
      <c r="D55" s="52">
        <v>46023.287499999999</v>
      </c>
      <c r="E55" s="52">
        <v>46023.287499999999</v>
      </c>
      <c r="F55" s="52">
        <v>46023.901388888888</v>
      </c>
      <c r="G55" s="53">
        <f>F55-E55</f>
        <v>0.61388888888905058</v>
      </c>
      <c r="H55" s="1" t="s">
        <v>257</v>
      </c>
      <c r="J55" s="1" t="s">
        <v>258</v>
      </c>
      <c r="K55" s="1" t="str">
        <f>_xlfn.XLOOKUP(J55,REF!$D$2:$D$12,REF!$E$2:$E$12)</f>
        <v>Rede</v>
      </c>
      <c r="L55" s="1" t="s">
        <v>259</v>
      </c>
      <c r="M55" s="1" t="s">
        <v>260</v>
      </c>
      <c r="N55" s="1" t="s">
        <v>261</v>
      </c>
      <c r="O55" s="1" t="s">
        <v>626</v>
      </c>
      <c r="P55" s="1" t="str">
        <f>_xlfn.CONCAT(B55,C55,D55,E55,F55)</f>
        <v>BC Caiaponia1SG60KTL(COM2-028)46023,287546023,287546023,9013888889</v>
      </c>
      <c r="Q55" s="1" t="str">
        <f>_xlfn.CONCAT(H55,I55,J55)</f>
        <v>DAURDE</v>
      </c>
    </row>
    <row r="56" spans="2:17">
      <c r="B56" s="1" t="s">
        <v>456</v>
      </c>
      <c r="C56" s="1" t="s">
        <v>481</v>
      </c>
      <c r="D56" s="52">
        <v>46023.287499999999</v>
      </c>
      <c r="E56" s="52">
        <v>46023.287499999999</v>
      </c>
      <c r="F56" s="52">
        <v>46023.901388888888</v>
      </c>
      <c r="G56" s="53">
        <f>F56-E56</f>
        <v>0.61388888888905058</v>
      </c>
      <c r="H56" s="1" t="s">
        <v>257</v>
      </c>
      <c r="J56" s="1" t="s">
        <v>258</v>
      </c>
      <c r="K56" s="1" t="str">
        <f>_xlfn.XLOOKUP(J56,REF!$D$2:$D$12,REF!$E$2:$E$12)</f>
        <v>Rede</v>
      </c>
      <c r="L56" s="1" t="s">
        <v>259</v>
      </c>
      <c r="M56" s="1" t="s">
        <v>260</v>
      </c>
      <c r="N56" s="1" t="s">
        <v>261</v>
      </c>
      <c r="O56" s="1" t="s">
        <v>626</v>
      </c>
      <c r="P56" s="1" t="str">
        <f>_xlfn.CONCAT(B56,C56,D56,E56,F56)</f>
        <v>BC Caiaponia1SG60KTL(COM2-029)46023,287546023,287546023,9013888889</v>
      </c>
      <c r="Q56" s="1" t="str">
        <f>_xlfn.CONCAT(H56,I56,J56)</f>
        <v>DAURDE</v>
      </c>
    </row>
    <row r="57" spans="2:17">
      <c r="B57" s="1" t="s">
        <v>456</v>
      </c>
      <c r="C57" s="1" t="s">
        <v>482</v>
      </c>
      <c r="D57" s="52">
        <v>46023.287499999999</v>
      </c>
      <c r="E57" s="52">
        <v>46023.287499999999</v>
      </c>
      <c r="F57" s="52">
        <v>46023.901388888888</v>
      </c>
      <c r="G57" s="53">
        <f>F57-E57</f>
        <v>0.61388888888905058</v>
      </c>
      <c r="H57" s="1" t="s">
        <v>257</v>
      </c>
      <c r="J57" s="1" t="s">
        <v>258</v>
      </c>
      <c r="K57" s="1" t="str">
        <f>_xlfn.XLOOKUP(J57,REF!$D$2:$D$12,REF!$E$2:$E$12)</f>
        <v>Rede</v>
      </c>
      <c r="L57" s="1" t="s">
        <v>259</v>
      </c>
      <c r="M57" s="1" t="s">
        <v>260</v>
      </c>
      <c r="N57" s="1" t="s">
        <v>261</v>
      </c>
      <c r="O57" s="1" t="s">
        <v>626</v>
      </c>
      <c r="P57" s="1" t="str">
        <f>_xlfn.CONCAT(B57,C57,D57,E57,F57)</f>
        <v>BC Caiaponia1SG50CX(COM1-021)46023,287546023,287546023,9013888889</v>
      </c>
      <c r="Q57" s="1" t="str">
        <f>_xlfn.CONCAT(H57,I57,J57)</f>
        <v>DAURDE</v>
      </c>
    </row>
    <row r="58" spans="2:17">
      <c r="B58" s="1" t="s">
        <v>456</v>
      </c>
      <c r="C58" s="1" t="s">
        <v>483</v>
      </c>
      <c r="D58" s="52">
        <v>46023.287499999999</v>
      </c>
      <c r="E58" s="52">
        <v>46023.287499999999</v>
      </c>
      <c r="F58" s="52">
        <v>46023.901388888888</v>
      </c>
      <c r="G58" s="53">
        <f>F58-E58</f>
        <v>0.61388888888905058</v>
      </c>
      <c r="H58" s="1" t="s">
        <v>257</v>
      </c>
      <c r="J58" s="1" t="s">
        <v>258</v>
      </c>
      <c r="K58" s="1" t="str">
        <f>_xlfn.XLOOKUP(J58,REF!$D$2:$D$12,REF!$E$2:$E$12)</f>
        <v>Rede</v>
      </c>
      <c r="L58" s="1" t="s">
        <v>259</v>
      </c>
      <c r="M58" s="1" t="s">
        <v>260</v>
      </c>
      <c r="N58" s="1" t="s">
        <v>261</v>
      </c>
      <c r="O58" s="1" t="s">
        <v>626</v>
      </c>
      <c r="P58" s="1" t="str">
        <f>_xlfn.CONCAT(B58,C58,D58,E58,F58)</f>
        <v>BC Caiaponia1SG50CX(COM1-022)46023,287546023,287546023,9013888889</v>
      </c>
      <c r="Q58" s="1" t="str">
        <f>_xlfn.CONCAT(H58,I58,J58)</f>
        <v>DAURDE</v>
      </c>
    </row>
    <row r="59" spans="2:17">
      <c r="B59" s="1" t="s">
        <v>456</v>
      </c>
      <c r="C59" s="1" t="s">
        <v>484</v>
      </c>
      <c r="D59" s="52">
        <v>46023.287499999999</v>
      </c>
      <c r="E59" s="52">
        <v>46023.287499999999</v>
      </c>
      <c r="F59" s="52">
        <v>46023.901388888888</v>
      </c>
      <c r="G59" s="53">
        <f>F59-E59</f>
        <v>0.61388888888905058</v>
      </c>
      <c r="H59" s="1" t="s">
        <v>257</v>
      </c>
      <c r="J59" s="1" t="s">
        <v>258</v>
      </c>
      <c r="K59" s="1" t="str">
        <f>_xlfn.XLOOKUP(J59,REF!$D$2:$D$12,REF!$E$2:$E$12)</f>
        <v>Rede</v>
      </c>
      <c r="L59" s="1" t="s">
        <v>259</v>
      </c>
      <c r="M59" s="1" t="s">
        <v>260</v>
      </c>
      <c r="N59" s="1" t="s">
        <v>261</v>
      </c>
      <c r="O59" s="1" t="s">
        <v>626</v>
      </c>
      <c r="P59" s="1" t="str">
        <f>_xlfn.CONCAT(B59,C59,D59,E59,F59)</f>
        <v>BC Caiaponia1SG50CX(COM1-023)46023,287546023,287546023,9013888889</v>
      </c>
      <c r="Q59" s="1" t="str">
        <f>_xlfn.CONCAT(H59,I59,J59)</f>
        <v>DAURDE</v>
      </c>
    </row>
    <row r="60" spans="2:17">
      <c r="B60" s="1" t="s">
        <v>456</v>
      </c>
      <c r="C60" s="1" t="s">
        <v>485</v>
      </c>
      <c r="D60" s="52">
        <v>46023.287499999999</v>
      </c>
      <c r="E60" s="52">
        <v>46023.287499999999</v>
      </c>
      <c r="F60" s="52">
        <v>46023.901388888888</v>
      </c>
      <c r="G60" s="53">
        <f>F60-E60</f>
        <v>0.61388888888905058</v>
      </c>
      <c r="H60" s="1" t="s">
        <v>257</v>
      </c>
      <c r="J60" s="1" t="s">
        <v>258</v>
      </c>
      <c r="K60" s="1" t="str">
        <f>_xlfn.XLOOKUP(J60,REF!$D$2:$D$12,REF!$E$2:$E$12)</f>
        <v>Rede</v>
      </c>
      <c r="L60" s="1" t="s">
        <v>259</v>
      </c>
      <c r="M60" s="1" t="s">
        <v>260</v>
      </c>
      <c r="N60" s="1" t="s">
        <v>261</v>
      </c>
      <c r="O60" s="1" t="s">
        <v>626</v>
      </c>
      <c r="P60" s="1" t="str">
        <f>_xlfn.CONCAT(B60,C60,D60,E60,F60)</f>
        <v>BC Caiaponia1SG50CX(COM1-024)46023,287546023,287546023,9013888889</v>
      </c>
      <c r="Q60" s="1" t="str">
        <f>_xlfn.CONCAT(H60,I60,J60)</f>
        <v>DAURDE</v>
      </c>
    </row>
    <row r="61" spans="2:17">
      <c r="B61" s="1" t="s">
        <v>456</v>
      </c>
      <c r="C61" s="1" t="s">
        <v>486</v>
      </c>
      <c r="D61" s="52">
        <v>46023.287499999999</v>
      </c>
      <c r="E61" s="52">
        <v>46023.287499999999</v>
      </c>
      <c r="F61" s="52">
        <v>46023.901388888888</v>
      </c>
      <c r="G61" s="53">
        <f>F61-E61</f>
        <v>0.61388888888905058</v>
      </c>
      <c r="H61" s="1" t="s">
        <v>257</v>
      </c>
      <c r="J61" s="1" t="s">
        <v>258</v>
      </c>
      <c r="K61" s="1" t="str">
        <f>_xlfn.XLOOKUP(J61,REF!$D$2:$D$12,REF!$E$2:$E$12)</f>
        <v>Rede</v>
      </c>
      <c r="L61" s="1" t="s">
        <v>259</v>
      </c>
      <c r="M61" s="1" t="s">
        <v>260</v>
      </c>
      <c r="N61" s="1" t="s">
        <v>261</v>
      </c>
      <c r="O61" s="1" t="s">
        <v>626</v>
      </c>
      <c r="P61" s="1" t="str">
        <f>_xlfn.CONCAT(B61,C61,D61,E61,F61)</f>
        <v>BC Caiaponia1SG50CX(COM1-025)46023,287546023,287546023,9013888889</v>
      </c>
      <c r="Q61" s="1" t="str">
        <f>_xlfn.CONCAT(H61,I61,J61)</f>
        <v>DAURDE</v>
      </c>
    </row>
    <row r="62" spans="2:17">
      <c r="B62" s="1" t="s">
        <v>368</v>
      </c>
      <c r="C62" s="1" t="s">
        <v>256</v>
      </c>
      <c r="D62" s="52">
        <v>46023.320833333331</v>
      </c>
      <c r="E62" s="52">
        <v>46023.320833333331</v>
      </c>
      <c r="F62" s="52">
        <v>46028.520833333336</v>
      </c>
      <c r="G62" s="53">
        <f>F62-E62</f>
        <v>5.2000000000043656</v>
      </c>
      <c r="H62" s="1" t="s">
        <v>257</v>
      </c>
      <c r="J62" s="1" t="s">
        <v>258</v>
      </c>
      <c r="K62" s="1" t="s">
        <v>658</v>
      </c>
      <c r="L62" s="1" t="s">
        <v>1953</v>
      </c>
      <c r="M62" s="1" t="s">
        <v>260</v>
      </c>
      <c r="N62" s="1" t="s">
        <v>357</v>
      </c>
      <c r="O62" s="1" t="s">
        <v>632</v>
      </c>
      <c r="P62" s="1" t="str">
        <f>_xlfn.CONCAT(B62,C62,D62,E62,F62)</f>
        <v>BC Ibiuna 1.1Inverter(MBUS-12)46023,320833333346023,320833333346028,5208333333</v>
      </c>
      <c r="Q62" s="1" t="str">
        <f>_xlfn.CONCAT(H62,I62,J62)</f>
        <v>DAURDE</v>
      </c>
    </row>
    <row r="63" spans="2:17">
      <c r="B63" s="1" t="s">
        <v>368</v>
      </c>
      <c r="C63" s="1" t="s">
        <v>264</v>
      </c>
      <c r="D63" s="52">
        <v>46023.320833333331</v>
      </c>
      <c r="E63" s="52">
        <v>46023.320833333331</v>
      </c>
      <c r="F63" s="52">
        <v>46028.520833333336</v>
      </c>
      <c r="G63" s="53">
        <f>F63-E63</f>
        <v>5.2000000000043656</v>
      </c>
      <c r="H63" s="1" t="s">
        <v>257</v>
      </c>
      <c r="J63" s="1" t="s">
        <v>258</v>
      </c>
      <c r="K63" s="1" t="s">
        <v>658</v>
      </c>
      <c r="L63" s="1" t="s">
        <v>1953</v>
      </c>
      <c r="M63" s="1" t="s">
        <v>260</v>
      </c>
      <c r="N63" s="1" t="s">
        <v>357</v>
      </c>
      <c r="O63" s="1" t="s">
        <v>632</v>
      </c>
      <c r="P63" s="1" t="str">
        <f>_xlfn.CONCAT(B63,C63,D63,E63,F63)</f>
        <v>BC Ibiuna 1.1Inverter(MBUS-13)46023,320833333346023,320833333346028,5208333333</v>
      </c>
      <c r="Q63" s="1" t="str">
        <f>_xlfn.CONCAT(H63,I63,J63)</f>
        <v>DAURDE</v>
      </c>
    </row>
    <row r="64" spans="2:17">
      <c r="B64" s="1" t="s">
        <v>368</v>
      </c>
      <c r="C64" s="1" t="s">
        <v>263</v>
      </c>
      <c r="D64" s="52">
        <v>46023.320833333331</v>
      </c>
      <c r="E64" s="52">
        <v>46023.320833333331</v>
      </c>
      <c r="F64" s="52">
        <v>46028.520833333336</v>
      </c>
      <c r="G64" s="53">
        <f>F64-E64</f>
        <v>5.2000000000043656</v>
      </c>
      <c r="H64" s="1" t="s">
        <v>257</v>
      </c>
      <c r="J64" s="1" t="s">
        <v>258</v>
      </c>
      <c r="K64" s="1" t="s">
        <v>658</v>
      </c>
      <c r="L64" s="1" t="s">
        <v>1953</v>
      </c>
      <c r="M64" s="1" t="s">
        <v>260</v>
      </c>
      <c r="N64" s="1" t="s">
        <v>357</v>
      </c>
      <c r="O64" s="1" t="s">
        <v>632</v>
      </c>
      <c r="P64" s="1" t="str">
        <f>_xlfn.CONCAT(B64,C64,D64,E64,F64)</f>
        <v>BC Ibiuna 1.1Inverter(MBUS-14)46023,320833333346023,320833333346028,5208333333</v>
      </c>
      <c r="Q64" s="1" t="str">
        <f>_xlfn.CONCAT(H64,I64,J64)</f>
        <v>DAURDE</v>
      </c>
    </row>
    <row r="65" spans="1:17">
      <c r="B65" s="1" t="s">
        <v>368</v>
      </c>
      <c r="C65" s="1" t="s">
        <v>307</v>
      </c>
      <c r="D65" s="52">
        <v>46023.320833333331</v>
      </c>
      <c r="E65" s="52">
        <v>46023.320833333331</v>
      </c>
      <c r="F65" s="52">
        <v>46028.520833333336</v>
      </c>
      <c r="G65" s="53">
        <f>F65-E65</f>
        <v>5.2000000000043656</v>
      </c>
      <c r="H65" s="1" t="s">
        <v>257</v>
      </c>
      <c r="J65" s="1" t="s">
        <v>258</v>
      </c>
      <c r="K65" s="1" t="s">
        <v>658</v>
      </c>
      <c r="L65" s="1" t="s">
        <v>1953</v>
      </c>
      <c r="M65" s="1" t="s">
        <v>260</v>
      </c>
      <c r="N65" s="1" t="s">
        <v>357</v>
      </c>
      <c r="O65" s="1" t="s">
        <v>632</v>
      </c>
      <c r="P65" s="1" t="str">
        <f>_xlfn.CONCAT(B65,C65,D65,E65,F65)</f>
        <v>BC Ibiuna 1.1Inverter(MBUS-15)46023,320833333346023,320833333346028,5208333333</v>
      </c>
      <c r="Q65" s="1" t="str">
        <f>_xlfn.CONCAT(H65,I65,J65)</f>
        <v>DAURDE</v>
      </c>
    </row>
    <row r="66" spans="1:17">
      <c r="B66" s="1" t="s">
        <v>370</v>
      </c>
      <c r="C66" s="1" t="s">
        <v>256</v>
      </c>
      <c r="D66" s="52">
        <v>46023.320833333331</v>
      </c>
      <c r="E66" s="52">
        <v>46023.320833333331</v>
      </c>
      <c r="F66" s="52">
        <v>46028.520833333336</v>
      </c>
      <c r="G66" s="53">
        <f>F66-E66</f>
        <v>5.2000000000043656</v>
      </c>
      <c r="H66" s="1" t="s">
        <v>257</v>
      </c>
      <c r="J66" s="1" t="s">
        <v>258</v>
      </c>
      <c r="K66" s="1" t="s">
        <v>658</v>
      </c>
      <c r="L66" s="1" t="s">
        <v>1954</v>
      </c>
      <c r="M66" s="1" t="s">
        <v>260</v>
      </c>
      <c r="N66" s="1" t="s">
        <v>357</v>
      </c>
      <c r="O66" s="1" t="s">
        <v>632</v>
      </c>
      <c r="P66" s="1" t="str">
        <f>_xlfn.CONCAT(B66,C66,D66,E66,F66)</f>
        <v>BC Ibiuna 1.2Inverter(MBUS-12)46023,320833333346023,320833333346028,5208333333</v>
      </c>
      <c r="Q66" s="1" t="str">
        <f>_xlfn.CONCAT(H66,I66,J66)</f>
        <v>DAURDE</v>
      </c>
    </row>
    <row r="67" spans="1:17">
      <c r="B67" s="1" t="s">
        <v>370</v>
      </c>
      <c r="C67" s="1" t="s">
        <v>264</v>
      </c>
      <c r="D67" s="52">
        <v>46023.320833333331</v>
      </c>
      <c r="E67" s="52">
        <v>46023.320833333331</v>
      </c>
      <c r="F67" s="52">
        <v>46028.520833333336</v>
      </c>
      <c r="G67" s="53">
        <f>F67-E67</f>
        <v>5.2000000000043656</v>
      </c>
      <c r="H67" s="1" t="s">
        <v>257</v>
      </c>
      <c r="J67" s="1" t="s">
        <v>258</v>
      </c>
      <c r="K67" s="1" t="s">
        <v>658</v>
      </c>
      <c r="L67" s="1" t="s">
        <v>1954</v>
      </c>
      <c r="M67" s="1" t="s">
        <v>260</v>
      </c>
      <c r="N67" s="1" t="s">
        <v>357</v>
      </c>
      <c r="O67" s="1" t="s">
        <v>632</v>
      </c>
      <c r="P67" s="1" t="str">
        <f>_xlfn.CONCAT(B67,C67,D67,E67,F67)</f>
        <v>BC Ibiuna 1.2Inverter(MBUS-13)46023,320833333346023,320833333346028,5208333333</v>
      </c>
      <c r="Q67" s="1" t="str">
        <f>_xlfn.CONCAT(H67,I67,J67)</f>
        <v>DAURDE</v>
      </c>
    </row>
    <row r="68" spans="1:17">
      <c r="B68" s="1" t="s">
        <v>370</v>
      </c>
      <c r="C68" s="1" t="s">
        <v>263</v>
      </c>
      <c r="D68" s="52">
        <v>46023.320833333331</v>
      </c>
      <c r="E68" s="52">
        <v>46023.320833333331</v>
      </c>
      <c r="F68" s="52">
        <v>46028.520833333336</v>
      </c>
      <c r="G68" s="53">
        <f>F68-E68</f>
        <v>5.2000000000043656</v>
      </c>
      <c r="H68" s="1" t="s">
        <v>257</v>
      </c>
      <c r="J68" s="1" t="s">
        <v>258</v>
      </c>
      <c r="K68" s="1" t="s">
        <v>658</v>
      </c>
      <c r="L68" s="1" t="s">
        <v>1954</v>
      </c>
      <c r="M68" s="1" t="s">
        <v>260</v>
      </c>
      <c r="N68" s="1" t="s">
        <v>357</v>
      </c>
      <c r="O68" s="1" t="s">
        <v>632</v>
      </c>
      <c r="P68" s="1" t="str">
        <f>_xlfn.CONCAT(B68,C68,D68,E68,F68)</f>
        <v>BC Ibiuna 1.2Inverter(MBUS-14)46023,320833333346023,320833333346028,5208333333</v>
      </c>
      <c r="Q68" s="1" t="str">
        <f>_xlfn.CONCAT(H68,I68,J68)</f>
        <v>DAURDE</v>
      </c>
    </row>
    <row r="69" spans="1:17">
      <c r="B69" s="1" t="s">
        <v>370</v>
      </c>
      <c r="C69" s="1" t="s">
        <v>307</v>
      </c>
      <c r="D69" s="52">
        <v>46023.320833333331</v>
      </c>
      <c r="E69" s="52">
        <v>46023.320833333331</v>
      </c>
      <c r="F69" s="52">
        <v>46028.520833333336</v>
      </c>
      <c r="G69" s="53">
        <f>F69-E69</f>
        <v>5.2000000000043656</v>
      </c>
      <c r="H69" s="1" t="s">
        <v>257</v>
      </c>
      <c r="J69" s="1" t="s">
        <v>258</v>
      </c>
      <c r="K69" s="1" t="s">
        <v>658</v>
      </c>
      <c r="L69" s="1" t="s">
        <v>1954</v>
      </c>
      <c r="M69" s="1" t="s">
        <v>260</v>
      </c>
      <c r="N69" s="1" t="s">
        <v>357</v>
      </c>
      <c r="O69" s="1" t="s">
        <v>632</v>
      </c>
      <c r="P69" s="1" t="str">
        <f>_xlfn.CONCAT(B69,C69,D69,E69,F69)</f>
        <v>BC Ibiuna 1.2Inverter(MBUS-15)46023,320833333346023,320833333346028,5208333333</v>
      </c>
      <c r="Q69" s="1" t="str">
        <f>_xlfn.CONCAT(H69,I69,J69)</f>
        <v>DAURDE</v>
      </c>
    </row>
    <row r="70" spans="1:17" s="75" customFormat="1">
      <c r="A70" s="2"/>
      <c r="B70" s="66" t="s">
        <v>612</v>
      </c>
      <c r="C70" s="66" t="s">
        <v>613</v>
      </c>
      <c r="D70" s="73">
        <v>46023.359027777777</v>
      </c>
      <c r="E70" s="73">
        <v>46023.359027777777</v>
      </c>
      <c r="F70" s="73">
        <v>46036.479166666664</v>
      </c>
      <c r="G70" s="74">
        <f>F70-E70</f>
        <v>13.120138888887595</v>
      </c>
      <c r="H70" s="66" t="s">
        <v>257</v>
      </c>
      <c r="I70" s="66"/>
      <c r="J70" s="66" t="s">
        <v>371</v>
      </c>
      <c r="K70" s="66" t="s">
        <v>653</v>
      </c>
      <c r="L70" s="66" t="s">
        <v>614</v>
      </c>
      <c r="M70" s="66" t="s">
        <v>252</v>
      </c>
      <c r="N70" s="66" t="s">
        <v>253</v>
      </c>
      <c r="O70" s="66" t="s">
        <v>632</v>
      </c>
      <c r="P70" s="66" t="str">
        <f>_xlfn.CONCAT(B70,C70,D70,E70,F70)</f>
        <v>BC Vazante 1.1Inverter1346023,359027777846023,359027777846036,4791666667</v>
      </c>
      <c r="Q70" s="66" t="str">
        <f>_xlfn.CONCAT(H70,I70,J70)</f>
        <v>DAUINV</v>
      </c>
    </row>
    <row r="71" spans="1:17">
      <c r="B71" s="1" t="s">
        <v>805</v>
      </c>
      <c r="C71" s="1" t="s">
        <v>264</v>
      </c>
      <c r="D71" s="52">
        <v>46023.425694444442</v>
      </c>
      <c r="E71" s="52">
        <v>46023.425694444442</v>
      </c>
      <c r="F71" s="52">
        <v>46024.395833333336</v>
      </c>
      <c r="G71" s="53">
        <f>F71-E71</f>
        <v>0.97013888889341615</v>
      </c>
      <c r="H71" s="1" t="s">
        <v>257</v>
      </c>
      <c r="J71" s="1" t="s">
        <v>258</v>
      </c>
      <c r="K71" s="1" t="s">
        <v>658</v>
      </c>
      <c r="L71" s="1" t="s">
        <v>1955</v>
      </c>
      <c r="M71" s="1" t="s">
        <v>260</v>
      </c>
      <c r="N71" s="1" t="s">
        <v>357</v>
      </c>
      <c r="O71" s="1" t="s">
        <v>632</v>
      </c>
      <c r="P71" s="1" t="str">
        <f>_xlfn.CONCAT(B71,C71,D71,E71,F71)</f>
        <v>BC Formoso1.2Inverter(MBUS-13)46023,425694444446023,425694444446024,3958333333</v>
      </c>
      <c r="Q71" s="1" t="str">
        <f>_xlfn.CONCAT(H71,I71,J71)</f>
        <v>DAURDE</v>
      </c>
    </row>
    <row r="72" spans="1:17">
      <c r="B72" s="1" t="s">
        <v>805</v>
      </c>
      <c r="C72" s="1" t="s">
        <v>256</v>
      </c>
      <c r="D72" s="52">
        <v>46023.425694444442</v>
      </c>
      <c r="E72" s="52">
        <v>46023.425694444442</v>
      </c>
      <c r="F72" s="52">
        <v>46024.395833333336</v>
      </c>
      <c r="G72" s="53">
        <f>F72-E72</f>
        <v>0.97013888889341615</v>
      </c>
      <c r="H72" s="1" t="s">
        <v>257</v>
      </c>
      <c r="J72" s="1" t="s">
        <v>258</v>
      </c>
      <c r="K72" s="1" t="s">
        <v>658</v>
      </c>
      <c r="L72" s="1" t="s">
        <v>1955</v>
      </c>
      <c r="M72" s="1" t="s">
        <v>260</v>
      </c>
      <c r="N72" s="1" t="s">
        <v>357</v>
      </c>
      <c r="O72" s="1" t="s">
        <v>632</v>
      </c>
      <c r="P72" s="1" t="str">
        <f>_xlfn.CONCAT(B72,C72,D72,E72,F72)</f>
        <v>BC Formoso1.2Inverter(MBUS-12)46023,425694444446023,425694444446024,3958333333</v>
      </c>
      <c r="Q72" s="1" t="str">
        <f>_xlfn.CONCAT(H72,I72,J72)</f>
        <v>DAURDE</v>
      </c>
    </row>
    <row r="73" spans="1:17">
      <c r="B73" s="1" t="s">
        <v>805</v>
      </c>
      <c r="C73" s="1" t="s">
        <v>307</v>
      </c>
      <c r="D73" s="52">
        <v>46023.425694444442</v>
      </c>
      <c r="E73" s="52">
        <v>46023.425694444442</v>
      </c>
      <c r="F73" s="52">
        <v>46024.395833333336</v>
      </c>
      <c r="G73" s="53">
        <f>F73-E73</f>
        <v>0.97013888889341615</v>
      </c>
      <c r="H73" s="1" t="s">
        <v>257</v>
      </c>
      <c r="J73" s="1" t="s">
        <v>258</v>
      </c>
      <c r="K73" s="1" t="s">
        <v>658</v>
      </c>
      <c r="L73" s="1" t="s">
        <v>1955</v>
      </c>
      <c r="M73" s="1" t="s">
        <v>260</v>
      </c>
      <c r="N73" s="1" t="s">
        <v>357</v>
      </c>
      <c r="O73" s="1" t="s">
        <v>632</v>
      </c>
      <c r="P73" s="1" t="str">
        <f>_xlfn.CONCAT(B73,C73,D73,E73,F73)</f>
        <v>BC Formoso1.2Inverter(MBUS-15)46023,425694444446023,425694444446024,3958333333</v>
      </c>
      <c r="Q73" s="1" t="str">
        <f>_xlfn.CONCAT(H73,I73,J73)</f>
        <v>DAURDE</v>
      </c>
    </row>
    <row r="74" spans="1:17">
      <c r="B74" s="1" t="s">
        <v>805</v>
      </c>
      <c r="C74" s="1" t="s">
        <v>263</v>
      </c>
      <c r="D74" s="52">
        <v>46023.425694444442</v>
      </c>
      <c r="E74" s="52">
        <v>46023.425694444442</v>
      </c>
      <c r="F74" s="52">
        <v>46024.395833333336</v>
      </c>
      <c r="G74" s="53">
        <f>F74-E74</f>
        <v>0.97013888889341615</v>
      </c>
      <c r="H74" s="1" t="s">
        <v>257</v>
      </c>
      <c r="J74" s="1" t="s">
        <v>258</v>
      </c>
      <c r="K74" s="1" t="s">
        <v>658</v>
      </c>
      <c r="L74" s="1" t="s">
        <v>1955</v>
      </c>
      <c r="M74" s="1" t="s">
        <v>260</v>
      </c>
      <c r="N74" s="1" t="s">
        <v>357</v>
      </c>
      <c r="O74" s="1" t="s">
        <v>632</v>
      </c>
      <c r="P74" s="1" t="str">
        <f>_xlfn.CONCAT(B74,C74,D74,E74,F74)</f>
        <v>BC Formoso1.2Inverter(MBUS-14)46023,425694444446023,425694444446024,3958333333</v>
      </c>
      <c r="Q74" s="1" t="str">
        <f>_xlfn.CONCAT(H74,I74,J74)</f>
        <v>DAURDE</v>
      </c>
    </row>
    <row r="75" spans="1:17">
      <c r="B75" s="1" t="s">
        <v>255</v>
      </c>
      <c r="C75" s="1" t="s">
        <v>256</v>
      </c>
      <c r="D75" s="52">
        <v>46023.425694444442</v>
      </c>
      <c r="E75" s="52">
        <v>46023.425694444442</v>
      </c>
      <c r="F75" s="52">
        <v>46024.395833333336</v>
      </c>
      <c r="G75" s="53">
        <f>F75-E75</f>
        <v>0.97013888889341615</v>
      </c>
      <c r="H75" s="1" t="s">
        <v>257</v>
      </c>
      <c r="J75" s="1" t="s">
        <v>258</v>
      </c>
      <c r="K75" s="1" t="s">
        <v>658</v>
      </c>
      <c r="L75" s="1" t="s">
        <v>1955</v>
      </c>
      <c r="M75" s="1" t="s">
        <v>260</v>
      </c>
      <c r="N75" s="1" t="s">
        <v>357</v>
      </c>
      <c r="O75" s="1" t="s">
        <v>632</v>
      </c>
      <c r="P75" s="1" t="str">
        <f>_xlfn.CONCAT(B75,C75,D75,E75,F75)</f>
        <v>BC Formoso2.1Inverter(MBUS-12)46023,425694444446023,425694444446024,3958333333</v>
      </c>
      <c r="Q75" s="1" t="str">
        <f>_xlfn.CONCAT(H75,I75,J75)</f>
        <v>DAURDE</v>
      </c>
    </row>
    <row r="76" spans="1:17">
      <c r="B76" s="1" t="s">
        <v>255</v>
      </c>
      <c r="C76" s="1" t="s">
        <v>263</v>
      </c>
      <c r="D76" s="52">
        <v>46023.425694444442</v>
      </c>
      <c r="E76" s="52">
        <v>46023.425694444442</v>
      </c>
      <c r="F76" s="52">
        <v>46024.395833333336</v>
      </c>
      <c r="G76" s="53">
        <f>F76-E76</f>
        <v>0.97013888889341615</v>
      </c>
      <c r="H76" s="1" t="s">
        <v>257</v>
      </c>
      <c r="J76" s="1" t="s">
        <v>258</v>
      </c>
      <c r="K76" s="1" t="s">
        <v>658</v>
      </c>
      <c r="L76" s="1" t="s">
        <v>1955</v>
      </c>
      <c r="M76" s="1" t="s">
        <v>260</v>
      </c>
      <c r="N76" s="1" t="s">
        <v>357</v>
      </c>
      <c r="O76" s="1" t="s">
        <v>632</v>
      </c>
      <c r="P76" s="1" t="str">
        <f>_xlfn.CONCAT(B76,C76,D76,E76,F76)</f>
        <v>BC Formoso2.1Inverter(MBUS-14)46023,425694444446023,425694444446024,3958333333</v>
      </c>
      <c r="Q76" s="1" t="str">
        <f>_xlfn.CONCAT(H76,I76,J76)</f>
        <v>DAURDE</v>
      </c>
    </row>
    <row r="77" spans="1:17">
      <c r="B77" s="1" t="s">
        <v>255</v>
      </c>
      <c r="C77" s="1" t="s">
        <v>264</v>
      </c>
      <c r="D77" s="52">
        <v>46023.425694444442</v>
      </c>
      <c r="E77" s="52">
        <v>46023.425694444442</v>
      </c>
      <c r="F77" s="52">
        <v>46024.395833333336</v>
      </c>
      <c r="G77" s="53">
        <f>F77-E77</f>
        <v>0.97013888889341615</v>
      </c>
      <c r="H77" s="1" t="s">
        <v>257</v>
      </c>
      <c r="J77" s="1" t="s">
        <v>258</v>
      </c>
      <c r="K77" s="1" t="s">
        <v>658</v>
      </c>
      <c r="L77" s="1" t="s">
        <v>1955</v>
      </c>
      <c r="M77" s="1" t="s">
        <v>260</v>
      </c>
      <c r="N77" s="1" t="s">
        <v>357</v>
      </c>
      <c r="O77" s="1" t="s">
        <v>632</v>
      </c>
      <c r="P77" s="1" t="str">
        <f>_xlfn.CONCAT(B77,C77,D77,E77,F77)</f>
        <v>BC Formoso2.1Inverter(MBUS-13)46023,425694444446023,425694444446024,3958333333</v>
      </c>
      <c r="Q77" s="1" t="str">
        <f>_xlfn.CONCAT(H77,I77,J77)</f>
        <v>DAURDE</v>
      </c>
    </row>
    <row r="78" spans="1:17">
      <c r="B78" s="1" t="s">
        <v>255</v>
      </c>
      <c r="C78" s="1" t="s">
        <v>247</v>
      </c>
      <c r="D78" s="52">
        <v>46023.425694444442</v>
      </c>
      <c r="E78" s="52">
        <v>46023.425694444442</v>
      </c>
      <c r="F78" s="52">
        <v>46024.395833333336</v>
      </c>
      <c r="G78" s="53">
        <f>F78-E78</f>
        <v>0.97013888889341615</v>
      </c>
      <c r="H78" s="1" t="s">
        <v>257</v>
      </c>
      <c r="J78" s="1" t="s">
        <v>258</v>
      </c>
      <c r="K78" s="1" t="s">
        <v>658</v>
      </c>
      <c r="L78" s="1" t="s">
        <v>1955</v>
      </c>
      <c r="M78" s="1" t="s">
        <v>260</v>
      </c>
      <c r="N78" s="1" t="s">
        <v>357</v>
      </c>
      <c r="O78" s="1" t="s">
        <v>632</v>
      </c>
      <c r="P78" s="1" t="str">
        <f>_xlfn.CONCAT(B78,C78,D78,E78,F78)</f>
        <v>BC Formoso2.1Inverter(MBUS-1)46023,425694444446023,425694444446024,3958333333</v>
      </c>
      <c r="Q78" s="1" t="str">
        <f>_xlfn.CONCAT(H78,I78,J78)</f>
        <v>DAURDE</v>
      </c>
    </row>
    <row r="79" spans="1:17">
      <c r="B79" s="1" t="s">
        <v>265</v>
      </c>
      <c r="C79" s="1" t="s">
        <v>263</v>
      </c>
      <c r="D79" s="52">
        <v>46023.425694444442</v>
      </c>
      <c r="E79" s="52">
        <v>46023.425694444442</v>
      </c>
      <c r="F79" s="52">
        <v>46024.395833333336</v>
      </c>
      <c r="G79" s="53">
        <f>F79-E79</f>
        <v>0.97013888889341615</v>
      </c>
      <c r="H79" s="1" t="s">
        <v>257</v>
      </c>
      <c r="J79" s="1" t="s">
        <v>258</v>
      </c>
      <c r="K79" s="1" t="s">
        <v>658</v>
      </c>
      <c r="L79" s="1" t="s">
        <v>1955</v>
      </c>
      <c r="M79" s="1" t="s">
        <v>260</v>
      </c>
      <c r="N79" s="1" t="s">
        <v>357</v>
      </c>
      <c r="O79" s="1" t="s">
        <v>632</v>
      </c>
      <c r="P79" s="1" t="str">
        <f>_xlfn.CONCAT(B79,C79,D79,E79,F79)</f>
        <v>BC Formoso2.2Inverter(MBUS-14)46023,425694444446023,425694444446024,3958333333</v>
      </c>
      <c r="Q79" s="1" t="str">
        <f>_xlfn.CONCAT(H79,I79,J79)</f>
        <v>DAURDE</v>
      </c>
    </row>
    <row r="80" spans="1:17">
      <c r="B80" s="1" t="s">
        <v>265</v>
      </c>
      <c r="C80" s="1" t="s">
        <v>264</v>
      </c>
      <c r="D80" s="52">
        <v>46023.425694444442</v>
      </c>
      <c r="E80" s="52">
        <v>46023.425694444442</v>
      </c>
      <c r="F80" s="52">
        <v>46024.395833333336</v>
      </c>
      <c r="G80" s="53">
        <f>F80-E80</f>
        <v>0.97013888889341615</v>
      </c>
      <c r="H80" s="1" t="s">
        <v>257</v>
      </c>
      <c r="J80" s="1" t="s">
        <v>258</v>
      </c>
      <c r="K80" s="1" t="s">
        <v>658</v>
      </c>
      <c r="L80" s="1" t="s">
        <v>1955</v>
      </c>
      <c r="M80" s="1" t="s">
        <v>260</v>
      </c>
      <c r="N80" s="1" t="s">
        <v>357</v>
      </c>
      <c r="O80" s="1" t="s">
        <v>632</v>
      </c>
      <c r="P80" s="1" t="str">
        <f>_xlfn.CONCAT(B80,C80,D80,E80,F80)</f>
        <v>BC Formoso2.2Inverter(MBUS-13)46023,425694444446023,425694444446024,3958333333</v>
      </c>
      <c r="Q80" s="1" t="str">
        <f>_xlfn.CONCAT(H80,I80,J80)</f>
        <v>DAURDE</v>
      </c>
    </row>
    <row r="81" spans="2:17">
      <c r="B81" s="1" t="s">
        <v>265</v>
      </c>
      <c r="C81" s="1" t="s">
        <v>256</v>
      </c>
      <c r="D81" s="52">
        <v>46023.425694444442</v>
      </c>
      <c r="E81" s="52">
        <v>46023.425694444442</v>
      </c>
      <c r="F81" s="52">
        <v>46024.395833333336</v>
      </c>
      <c r="G81" s="53">
        <f>F81-E81</f>
        <v>0.97013888889341615</v>
      </c>
      <c r="H81" s="1" t="s">
        <v>257</v>
      </c>
      <c r="J81" s="1" t="s">
        <v>258</v>
      </c>
      <c r="K81" s="1" t="s">
        <v>658</v>
      </c>
      <c r="L81" s="1" t="s">
        <v>1955</v>
      </c>
      <c r="M81" s="1" t="s">
        <v>260</v>
      </c>
      <c r="N81" s="1" t="s">
        <v>357</v>
      </c>
      <c r="O81" s="1" t="s">
        <v>632</v>
      </c>
      <c r="P81" s="1" t="str">
        <f>_xlfn.CONCAT(B81,C81,D81,E81,F81)</f>
        <v>BC Formoso2.2Inverter(MBUS-12)46023,425694444446023,425694444446024,3958333333</v>
      </c>
      <c r="Q81" s="1" t="str">
        <f>_xlfn.CONCAT(H81,I81,J81)</f>
        <v>DAURDE</v>
      </c>
    </row>
    <row r="82" spans="2:17">
      <c r="B82" s="1" t="s">
        <v>265</v>
      </c>
      <c r="C82" s="1" t="s">
        <v>247</v>
      </c>
      <c r="D82" s="52">
        <v>46023.425694444442</v>
      </c>
      <c r="E82" s="52">
        <v>46023.425694444442</v>
      </c>
      <c r="F82" s="52">
        <v>46024.395833333336</v>
      </c>
      <c r="G82" s="53">
        <f>F82-E82</f>
        <v>0.97013888889341615</v>
      </c>
      <c r="H82" s="1" t="s">
        <v>257</v>
      </c>
      <c r="J82" s="1" t="s">
        <v>258</v>
      </c>
      <c r="K82" s="1" t="s">
        <v>658</v>
      </c>
      <c r="L82" s="1" t="s">
        <v>1955</v>
      </c>
      <c r="M82" s="1" t="s">
        <v>260</v>
      </c>
      <c r="N82" s="1" t="s">
        <v>357</v>
      </c>
      <c r="O82" s="1" t="s">
        <v>632</v>
      </c>
      <c r="P82" s="1" t="str">
        <f>_xlfn.CONCAT(B82,C82,D82,E82,F82)</f>
        <v>BC Formoso2.2Inverter(MBUS-1)46023,425694444446023,425694444446024,3958333333</v>
      </c>
      <c r="Q82" s="1" t="str">
        <f>_xlfn.CONCAT(H82,I82,J82)</f>
        <v>DAURDE</v>
      </c>
    </row>
    <row r="83" spans="2:17">
      <c r="B83" s="1" t="s">
        <v>355</v>
      </c>
      <c r="C83" s="1" t="s">
        <v>264</v>
      </c>
      <c r="D83" s="52">
        <v>46023.425694444442</v>
      </c>
      <c r="E83" s="52">
        <v>46023.425694444442</v>
      </c>
      <c r="F83" s="52">
        <v>46024.395833333336</v>
      </c>
      <c r="G83" s="53">
        <f>F83-E83</f>
        <v>0.97013888889341615</v>
      </c>
      <c r="H83" s="1" t="s">
        <v>257</v>
      </c>
      <c r="J83" s="1" t="s">
        <v>258</v>
      </c>
      <c r="K83" s="1" t="s">
        <v>658</v>
      </c>
      <c r="L83" s="1" t="s">
        <v>1955</v>
      </c>
      <c r="M83" s="1" t="s">
        <v>260</v>
      </c>
      <c r="N83" s="1" t="s">
        <v>357</v>
      </c>
      <c r="O83" s="1" t="s">
        <v>632</v>
      </c>
      <c r="P83" s="1" t="str">
        <f>_xlfn.CONCAT(B83,C83,D83,E83,F83)</f>
        <v>BC Formoso2.3Inverter(MBUS-13)46023,425694444446023,425694444446024,3958333333</v>
      </c>
      <c r="Q83" s="1" t="str">
        <f>_xlfn.CONCAT(H83,I83,J83)</f>
        <v>DAURDE</v>
      </c>
    </row>
    <row r="84" spans="2:17">
      <c r="B84" s="1" t="s">
        <v>355</v>
      </c>
      <c r="C84" s="1" t="s">
        <v>256</v>
      </c>
      <c r="D84" s="52">
        <v>46023.425694444442</v>
      </c>
      <c r="E84" s="52">
        <v>46023.425694444442</v>
      </c>
      <c r="F84" s="52">
        <v>46024.395833333336</v>
      </c>
      <c r="G84" s="53">
        <f>F84-E84</f>
        <v>0.97013888889341615</v>
      </c>
      <c r="H84" s="1" t="s">
        <v>257</v>
      </c>
      <c r="J84" s="1" t="s">
        <v>258</v>
      </c>
      <c r="K84" s="1" t="s">
        <v>658</v>
      </c>
      <c r="L84" s="1" t="s">
        <v>1955</v>
      </c>
      <c r="M84" s="1" t="s">
        <v>260</v>
      </c>
      <c r="N84" s="1" t="s">
        <v>357</v>
      </c>
      <c r="O84" s="1" t="s">
        <v>632</v>
      </c>
      <c r="P84" s="1" t="str">
        <f>_xlfn.CONCAT(B84,C84,D84,E84,F84)</f>
        <v>BC Formoso2.3Inverter(MBUS-12)46023,425694444446023,425694444446024,3958333333</v>
      </c>
      <c r="Q84" s="1" t="str">
        <f>_xlfn.CONCAT(H84,I84,J84)</f>
        <v>DAURDE</v>
      </c>
    </row>
    <row r="85" spans="2:17">
      <c r="B85" s="1" t="s">
        <v>385</v>
      </c>
      <c r="C85" s="1" t="s">
        <v>386</v>
      </c>
      <c r="D85" s="52">
        <v>46023.517361111109</v>
      </c>
      <c r="E85" s="52">
        <v>46023.517361111109</v>
      </c>
      <c r="F85" s="52">
        <v>46023.572916666664</v>
      </c>
      <c r="G85" s="53">
        <f>F85-E85</f>
        <v>5.5555555554747116E-2</v>
      </c>
      <c r="H85" s="1" t="s">
        <v>257</v>
      </c>
      <c r="J85" s="1" t="s">
        <v>258</v>
      </c>
      <c r="K85" s="1" t="s">
        <v>658</v>
      </c>
      <c r="L85" s="1" t="s">
        <v>538</v>
      </c>
      <c r="M85" s="1" t="s">
        <v>260</v>
      </c>
      <c r="N85" s="1" t="s">
        <v>357</v>
      </c>
      <c r="O85" s="1" t="s">
        <v>632</v>
      </c>
      <c r="P85" s="1" t="str">
        <f>_xlfn.CONCAT(B85,C85,D86,E85,F85)</f>
        <v>BC Vazante1.3Inversor 146023,517361111146023,517361111146023,5729166667</v>
      </c>
      <c r="Q85" s="1" t="str">
        <f>_xlfn.CONCAT(H85,I85,J85)</f>
        <v>DAURDE</v>
      </c>
    </row>
    <row r="86" spans="2:17">
      <c r="B86" s="1" t="s">
        <v>385</v>
      </c>
      <c r="C86" s="1" t="s">
        <v>777</v>
      </c>
      <c r="D86" s="52">
        <v>46023.517361111109</v>
      </c>
      <c r="E86" s="52">
        <v>46023.517361111109</v>
      </c>
      <c r="F86" s="52">
        <v>46023.572916666664</v>
      </c>
      <c r="G86" s="53">
        <f>F86-E86</f>
        <v>5.5555555554747116E-2</v>
      </c>
      <c r="H86" s="1" t="s">
        <v>257</v>
      </c>
      <c r="J86" s="1" t="s">
        <v>258</v>
      </c>
      <c r="K86" s="1" t="s">
        <v>658</v>
      </c>
      <c r="L86" s="1" t="s">
        <v>538</v>
      </c>
      <c r="M86" s="1" t="s">
        <v>260</v>
      </c>
      <c r="N86" s="1" t="s">
        <v>357</v>
      </c>
      <c r="O86" s="1" t="s">
        <v>632</v>
      </c>
      <c r="P86" s="1" t="str">
        <f>_xlfn.CONCAT(B86,C86,D87,E86,F86)</f>
        <v>BC Vazante1.3Inversor 246023,517361111146023,517361111146023,5729166667</v>
      </c>
      <c r="Q86" s="1" t="str">
        <f>_xlfn.CONCAT(H86,I86,J86)</f>
        <v>DAURDE</v>
      </c>
    </row>
    <row r="87" spans="2:17">
      <c r="B87" s="1" t="s">
        <v>385</v>
      </c>
      <c r="C87" s="1" t="s">
        <v>778</v>
      </c>
      <c r="D87" s="52">
        <v>46023.517361111109</v>
      </c>
      <c r="E87" s="52">
        <v>46023.517361111109</v>
      </c>
      <c r="F87" s="52">
        <v>46023.572916666664</v>
      </c>
      <c r="G87" s="53">
        <f>F87-E87</f>
        <v>5.5555555554747116E-2</v>
      </c>
      <c r="H87" s="1" t="s">
        <v>257</v>
      </c>
      <c r="J87" s="1" t="s">
        <v>258</v>
      </c>
      <c r="K87" s="1" t="s">
        <v>658</v>
      </c>
      <c r="L87" s="1" t="s">
        <v>538</v>
      </c>
      <c r="M87" s="1" t="s">
        <v>260</v>
      </c>
      <c r="N87" s="1" t="s">
        <v>357</v>
      </c>
      <c r="O87" s="1" t="s">
        <v>632</v>
      </c>
      <c r="P87" s="1" t="str">
        <f>_xlfn.CONCAT(B87,C87,D88,E87,F87)</f>
        <v>BC Vazante1.3Inversor 346023,517361111146023,517361111146023,5729166667</v>
      </c>
      <c r="Q87" s="1" t="str">
        <f>_xlfn.CONCAT(H87,I87,J87)</f>
        <v>DAURDE</v>
      </c>
    </row>
    <row r="88" spans="2:17">
      <c r="B88" s="1" t="s">
        <v>385</v>
      </c>
      <c r="C88" s="1" t="s">
        <v>779</v>
      </c>
      <c r="D88" s="52">
        <v>46023.517361111109</v>
      </c>
      <c r="E88" s="52">
        <v>46023.517361111109</v>
      </c>
      <c r="F88" s="52">
        <v>46023.572916666664</v>
      </c>
      <c r="G88" s="53">
        <f>F88-E88</f>
        <v>5.5555555554747116E-2</v>
      </c>
      <c r="H88" s="1" t="s">
        <v>257</v>
      </c>
      <c r="J88" s="1" t="s">
        <v>258</v>
      </c>
      <c r="K88" s="1" t="s">
        <v>658</v>
      </c>
      <c r="L88" s="1" t="s">
        <v>538</v>
      </c>
      <c r="M88" s="1" t="s">
        <v>260</v>
      </c>
      <c r="N88" s="1" t="s">
        <v>357</v>
      </c>
      <c r="O88" s="1" t="s">
        <v>632</v>
      </c>
      <c r="P88" s="1" t="str">
        <f>_xlfn.CONCAT(B88,C88,D89,E88,F88)</f>
        <v>BC Vazante1.3Inversor 446023,517361111146023,517361111146023,5729166667</v>
      </c>
      <c r="Q88" s="1" t="str">
        <f>_xlfn.CONCAT(H88,I88,J88)</f>
        <v>DAURDE</v>
      </c>
    </row>
    <row r="89" spans="2:17">
      <c r="B89" s="1" t="s">
        <v>385</v>
      </c>
      <c r="C89" s="1" t="s">
        <v>780</v>
      </c>
      <c r="D89" s="52">
        <v>46023.517361111109</v>
      </c>
      <c r="E89" s="52">
        <v>46023.517361111109</v>
      </c>
      <c r="F89" s="52">
        <v>46023.572916666664</v>
      </c>
      <c r="G89" s="53">
        <f>F89-E89</f>
        <v>5.5555555554747116E-2</v>
      </c>
      <c r="H89" s="1" t="s">
        <v>257</v>
      </c>
      <c r="J89" s="1" t="s">
        <v>258</v>
      </c>
      <c r="K89" s="1" t="s">
        <v>658</v>
      </c>
      <c r="L89" s="1" t="s">
        <v>538</v>
      </c>
      <c r="M89" s="1" t="s">
        <v>260</v>
      </c>
      <c r="N89" s="1" t="s">
        <v>357</v>
      </c>
      <c r="O89" s="1" t="s">
        <v>632</v>
      </c>
      <c r="P89" s="1" t="str">
        <f>_xlfn.CONCAT(B89,C89,D90,E89,F89)</f>
        <v>BC Vazante1.3Inversor 546023,517361111146023,517361111146023,5729166667</v>
      </c>
      <c r="Q89" s="1" t="str">
        <f>_xlfn.CONCAT(H89,I89,J89)</f>
        <v>DAURDE</v>
      </c>
    </row>
    <row r="90" spans="2:17">
      <c r="B90" s="1" t="s">
        <v>385</v>
      </c>
      <c r="C90" s="1" t="s">
        <v>781</v>
      </c>
      <c r="D90" s="52">
        <v>46023.517361111109</v>
      </c>
      <c r="E90" s="52">
        <v>46023.517361111109</v>
      </c>
      <c r="F90" s="52">
        <v>46023.572916666664</v>
      </c>
      <c r="G90" s="53">
        <f>F90-E90</f>
        <v>5.5555555554747116E-2</v>
      </c>
      <c r="H90" s="1" t="s">
        <v>257</v>
      </c>
      <c r="J90" s="1" t="s">
        <v>258</v>
      </c>
      <c r="K90" s="1" t="s">
        <v>658</v>
      </c>
      <c r="L90" s="1" t="s">
        <v>538</v>
      </c>
      <c r="M90" s="1" t="s">
        <v>260</v>
      </c>
      <c r="N90" s="1" t="s">
        <v>357</v>
      </c>
      <c r="O90" s="1" t="s">
        <v>632</v>
      </c>
      <c r="P90" s="1" t="str">
        <f>_xlfn.CONCAT(B90,C90,D91,E90,F90)</f>
        <v>BC Vazante1.3Inversor 646023,517361111146023,517361111146023,5729166667</v>
      </c>
      <c r="Q90" s="1" t="str">
        <f>_xlfn.CONCAT(H90,I90,J90)</f>
        <v>DAURDE</v>
      </c>
    </row>
    <row r="91" spans="2:17">
      <c r="B91" s="1" t="s">
        <v>385</v>
      </c>
      <c r="C91" s="1" t="s">
        <v>782</v>
      </c>
      <c r="D91" s="52">
        <v>46023.517361111109</v>
      </c>
      <c r="E91" s="52">
        <v>46023.517361111109</v>
      </c>
      <c r="F91" s="52">
        <v>46023.572916666664</v>
      </c>
      <c r="G91" s="53">
        <f>F91-E91</f>
        <v>5.5555555554747116E-2</v>
      </c>
      <c r="H91" s="1" t="s">
        <v>257</v>
      </c>
      <c r="J91" s="1" t="s">
        <v>258</v>
      </c>
      <c r="K91" s="1" t="s">
        <v>658</v>
      </c>
      <c r="L91" s="1" t="s">
        <v>538</v>
      </c>
      <c r="M91" s="1" t="s">
        <v>260</v>
      </c>
      <c r="N91" s="1" t="s">
        <v>357</v>
      </c>
      <c r="O91" s="1" t="s">
        <v>632</v>
      </c>
      <c r="P91" s="1" t="str">
        <f>_xlfn.CONCAT(B91,C91,D92,E91,F91)</f>
        <v>BC Vazante1.3Inversor 746023,517361111146023,517361111146023,5729166667</v>
      </c>
      <c r="Q91" s="1" t="str">
        <f>_xlfn.CONCAT(H91,I91,J91)</f>
        <v>DAURDE</v>
      </c>
    </row>
    <row r="92" spans="2:17">
      <c r="B92" s="1" t="s">
        <v>385</v>
      </c>
      <c r="C92" s="1" t="s">
        <v>783</v>
      </c>
      <c r="D92" s="52">
        <v>46023.517361111109</v>
      </c>
      <c r="E92" s="52">
        <v>46023.517361111109</v>
      </c>
      <c r="F92" s="52">
        <v>46023.572916666664</v>
      </c>
      <c r="G92" s="53">
        <f>F92-E92</f>
        <v>5.5555555554747116E-2</v>
      </c>
      <c r="H92" s="1" t="s">
        <v>257</v>
      </c>
      <c r="J92" s="1" t="s">
        <v>258</v>
      </c>
      <c r="K92" s="1" t="s">
        <v>658</v>
      </c>
      <c r="L92" s="1" t="s">
        <v>538</v>
      </c>
      <c r="M92" s="1" t="s">
        <v>260</v>
      </c>
      <c r="N92" s="1" t="s">
        <v>357</v>
      </c>
      <c r="O92" s="1" t="s">
        <v>632</v>
      </c>
      <c r="P92" s="1" t="str">
        <f>_xlfn.CONCAT(B92,C92,D93,E92,F92)</f>
        <v>BC Vazante1.3Inversor 846023,517361111146023,517361111146023,5729166667</v>
      </c>
      <c r="Q92" s="1" t="str">
        <f>_xlfn.CONCAT(H92,I92,J92)</f>
        <v>DAURDE</v>
      </c>
    </row>
    <row r="93" spans="2:17">
      <c r="B93" s="1" t="s">
        <v>385</v>
      </c>
      <c r="C93" s="1" t="s">
        <v>784</v>
      </c>
      <c r="D93" s="52">
        <v>46023.517361111109</v>
      </c>
      <c r="E93" s="52">
        <v>46023.517361111109</v>
      </c>
      <c r="F93" s="52">
        <v>46023.572916666664</v>
      </c>
      <c r="G93" s="53">
        <f>F93-E93</f>
        <v>5.5555555554747116E-2</v>
      </c>
      <c r="H93" s="1" t="s">
        <v>257</v>
      </c>
      <c r="J93" s="1" t="s">
        <v>258</v>
      </c>
      <c r="K93" s="1" t="s">
        <v>658</v>
      </c>
      <c r="L93" s="1" t="s">
        <v>538</v>
      </c>
      <c r="M93" s="1" t="s">
        <v>260</v>
      </c>
      <c r="N93" s="1" t="s">
        <v>357</v>
      </c>
      <c r="O93" s="1" t="s">
        <v>632</v>
      </c>
      <c r="P93" s="1" t="str">
        <f>_xlfn.CONCAT(B93,C93,D94,E93,F93)</f>
        <v>BC Vazante1.3Inversor 946024,256944444446023,517361111146023,5729166667</v>
      </c>
      <c r="Q93" s="1" t="str">
        <f>_xlfn.CONCAT(H93,I93,J93)</f>
        <v>DAURDE</v>
      </c>
    </row>
    <row r="94" spans="2:17">
      <c r="B94" s="1" t="s">
        <v>487</v>
      </c>
      <c r="C94" s="1" t="s">
        <v>377</v>
      </c>
      <c r="D94" s="52">
        <v>46024.256944444445</v>
      </c>
      <c r="E94" s="52">
        <v>46024.256944444445</v>
      </c>
      <c r="F94" s="52">
        <v>46024.316666666666</v>
      </c>
      <c r="G94" s="53">
        <f>+F94-E94</f>
        <v>5.9722222220443655E-2</v>
      </c>
      <c r="H94" s="1" t="s">
        <v>268</v>
      </c>
      <c r="I94" s="1" t="s">
        <v>269</v>
      </c>
      <c r="J94" s="1" t="s">
        <v>319</v>
      </c>
      <c r="K94" s="1" t="s">
        <v>652</v>
      </c>
      <c r="L94" s="1" t="s">
        <v>604</v>
      </c>
      <c r="M94" s="1" t="s">
        <v>289</v>
      </c>
      <c r="N94" s="1" t="s">
        <v>253</v>
      </c>
      <c r="O94" s="1" t="s">
        <v>1956</v>
      </c>
      <c r="P94" s="1" t="str">
        <f>_xlfn.CONCAT(B94,C94,D94,E94,F94)</f>
        <v>BC Caiaponia2.1215KTL-H3(MBUS-12)46024,256944444446024,256944444446024,3166666667</v>
      </c>
      <c r="Q94" s="1" t="str">
        <f>_xlfn.CONCAT(H94,I94,J94)</f>
        <v>LIGRFOCOM</v>
      </c>
    </row>
    <row r="95" spans="2:17">
      <c r="B95" s="1" t="s">
        <v>487</v>
      </c>
      <c r="C95" s="1" t="s">
        <v>378</v>
      </c>
      <c r="D95" s="52">
        <v>46024.256944444445</v>
      </c>
      <c r="E95" s="52">
        <v>46024.256944444445</v>
      </c>
      <c r="F95" s="52">
        <v>46024.316666666666</v>
      </c>
      <c r="G95" s="53">
        <f>F95-E95</f>
        <v>5.9722222220443655E-2</v>
      </c>
      <c r="H95" s="1" t="s">
        <v>268</v>
      </c>
      <c r="I95" s="1" t="s">
        <v>269</v>
      </c>
      <c r="J95" s="1" t="s">
        <v>319</v>
      </c>
      <c r="K95" s="1" t="s">
        <v>652</v>
      </c>
      <c r="L95" s="1" t="s">
        <v>604</v>
      </c>
      <c r="M95" s="1" t="s">
        <v>289</v>
      </c>
      <c r="N95" s="1" t="s">
        <v>253</v>
      </c>
      <c r="O95" s="1" t="s">
        <v>1956</v>
      </c>
      <c r="P95" s="1" t="str">
        <f>_xlfn.CONCAT(B95,C95,D95,E95,F95)</f>
        <v>BC Caiaponia2.1215KTL-H3(MBUS-13)46024,256944444446024,256944444446024,3166666667</v>
      </c>
      <c r="Q95" s="1" t="str">
        <f>_xlfn.CONCAT(H95,I95,J95)</f>
        <v>LIGRFOCOM</v>
      </c>
    </row>
    <row r="96" spans="2:17">
      <c r="B96" s="1" t="s">
        <v>487</v>
      </c>
      <c r="C96" s="1" t="s">
        <v>382</v>
      </c>
      <c r="D96" s="52">
        <v>46024.256944444445</v>
      </c>
      <c r="E96" s="52">
        <v>46024.256944444445</v>
      </c>
      <c r="F96" s="52">
        <v>46024.316666666666</v>
      </c>
      <c r="G96" s="53">
        <f>F94-E94</f>
        <v>5.9722222220443655E-2</v>
      </c>
      <c r="H96" s="1" t="s">
        <v>268</v>
      </c>
      <c r="I96" s="1" t="s">
        <v>269</v>
      </c>
      <c r="J96" s="1" t="s">
        <v>319</v>
      </c>
      <c r="K96" s="1" t="s">
        <v>652</v>
      </c>
      <c r="L96" s="1" t="s">
        <v>604</v>
      </c>
      <c r="M96" s="1" t="s">
        <v>289</v>
      </c>
      <c r="N96" s="1" t="s">
        <v>253</v>
      </c>
      <c r="O96" s="1" t="s">
        <v>1956</v>
      </c>
      <c r="P96" s="1" t="str">
        <f>_xlfn.CONCAT(B96,C96,D96,E96,F96)</f>
        <v>BC Caiaponia2.1215KTL-H3(MBUS-14)46024,256944444446024,256944444446024,3166666667</v>
      </c>
      <c r="Q96" s="1" t="str">
        <f>_xlfn.CONCAT(H96,I96,J96)</f>
        <v>LIGRFOCOM</v>
      </c>
    </row>
    <row r="97" spans="2:17">
      <c r="B97" s="1" t="s">
        <v>487</v>
      </c>
      <c r="C97" s="1" t="s">
        <v>380</v>
      </c>
      <c r="D97" s="52">
        <v>46024.256944444445</v>
      </c>
      <c r="E97" s="52">
        <v>46024.256944444445</v>
      </c>
      <c r="F97" s="52">
        <v>46024.316666666666</v>
      </c>
      <c r="G97" s="53">
        <f>F97-E97</f>
        <v>5.9722222220443655E-2</v>
      </c>
      <c r="H97" s="1" t="s">
        <v>268</v>
      </c>
      <c r="I97" s="1" t="s">
        <v>269</v>
      </c>
      <c r="J97" s="1" t="s">
        <v>319</v>
      </c>
      <c r="K97" s="1" t="s">
        <v>652</v>
      </c>
      <c r="L97" s="1" t="s">
        <v>604</v>
      </c>
      <c r="M97" s="1" t="s">
        <v>289</v>
      </c>
      <c r="N97" s="1" t="s">
        <v>253</v>
      </c>
      <c r="O97" s="1" t="s">
        <v>1956</v>
      </c>
      <c r="P97" s="1" t="str">
        <f>_xlfn.CONCAT(B97,C97,D97,E97,F97)</f>
        <v>BC Caiaponia2.1215KTL-H3(MBUS-15)46024,256944444446024,256944444446024,3166666667</v>
      </c>
      <c r="Q97" s="1" t="str">
        <f>_xlfn.CONCAT(H97,I97,J97)</f>
        <v>LIGRFOCOM</v>
      </c>
    </row>
    <row r="98" spans="2:17">
      <c r="B98" s="1" t="s">
        <v>487</v>
      </c>
      <c r="C98" s="1" t="s">
        <v>379</v>
      </c>
      <c r="D98" s="52">
        <v>46024.256944444445</v>
      </c>
      <c r="E98" s="52">
        <v>46024.256944444445</v>
      </c>
      <c r="F98" s="52">
        <v>46024.316666666666</v>
      </c>
      <c r="G98" s="53">
        <f>F98-E98</f>
        <v>5.9722222220443655E-2</v>
      </c>
      <c r="H98" s="1" t="s">
        <v>268</v>
      </c>
      <c r="I98" s="1" t="s">
        <v>269</v>
      </c>
      <c r="J98" s="1" t="s">
        <v>319</v>
      </c>
      <c r="K98" s="1" t="s">
        <v>652</v>
      </c>
      <c r="L98" s="1" t="s">
        <v>604</v>
      </c>
      <c r="M98" s="1" t="s">
        <v>289</v>
      </c>
      <c r="N98" s="1" t="s">
        <v>253</v>
      </c>
      <c r="O98" s="1" t="s">
        <v>1956</v>
      </c>
      <c r="P98" s="1" t="str">
        <f>_xlfn.CONCAT(B98,C98,D98,E98,F98)</f>
        <v>BC Caiaponia2.1215KTL-H3(MBUS-16)46024,256944444446024,256944444446024,3166666667</v>
      </c>
      <c r="Q98" s="1" t="str">
        <f>_xlfn.CONCAT(H98,I98,J98)</f>
        <v>LIGRFOCOM</v>
      </c>
    </row>
    <row r="99" spans="2:17">
      <c r="B99" s="1" t="s">
        <v>583</v>
      </c>
      <c r="C99" s="1" t="s">
        <v>377</v>
      </c>
      <c r="D99" s="52">
        <v>46024.256944444445</v>
      </c>
      <c r="E99" s="52">
        <v>46024.256944444445</v>
      </c>
      <c r="F99" s="52">
        <v>46024.316666666666</v>
      </c>
      <c r="G99" s="53">
        <f>F99-E99</f>
        <v>5.9722222220443655E-2</v>
      </c>
      <c r="H99" s="1" t="s">
        <v>268</v>
      </c>
      <c r="I99" s="1" t="s">
        <v>269</v>
      </c>
      <c r="J99" s="1" t="s">
        <v>319</v>
      </c>
      <c r="K99" s="1" t="s">
        <v>652</v>
      </c>
      <c r="L99" s="1" t="s">
        <v>604</v>
      </c>
      <c r="M99" s="1" t="s">
        <v>289</v>
      </c>
      <c r="N99" s="1" t="s">
        <v>253</v>
      </c>
      <c r="O99" s="1" t="s">
        <v>1956</v>
      </c>
      <c r="P99" s="1" t="str">
        <f>_xlfn.CONCAT(B99,C99,D99,E99,F99)</f>
        <v>BC Caiaponia2.2215KTL-H3(MBUS-12)46024,256944444446024,256944444446024,3166666667</v>
      </c>
      <c r="Q99" s="1" t="str">
        <f>_xlfn.CONCAT(H99,I99,J99)</f>
        <v>LIGRFOCOM</v>
      </c>
    </row>
    <row r="100" spans="2:17">
      <c r="B100" s="1" t="s">
        <v>583</v>
      </c>
      <c r="C100" s="1" t="s">
        <v>378</v>
      </c>
      <c r="D100" s="52">
        <v>46024.256944444445</v>
      </c>
      <c r="E100" s="52">
        <v>46024.256944444445</v>
      </c>
      <c r="F100" s="52">
        <v>46024.316666666666</v>
      </c>
      <c r="G100" s="53">
        <f>F100-E100</f>
        <v>5.9722222220443655E-2</v>
      </c>
      <c r="H100" s="1" t="s">
        <v>268</v>
      </c>
      <c r="I100" s="1" t="s">
        <v>269</v>
      </c>
      <c r="J100" s="1" t="s">
        <v>319</v>
      </c>
      <c r="K100" s="1" t="s">
        <v>652</v>
      </c>
      <c r="L100" s="1" t="s">
        <v>604</v>
      </c>
      <c r="M100" s="1" t="s">
        <v>289</v>
      </c>
      <c r="N100" s="1" t="s">
        <v>253</v>
      </c>
      <c r="O100" s="1" t="s">
        <v>1956</v>
      </c>
      <c r="P100" s="1" t="str">
        <f>_xlfn.CONCAT(B100,C100,D100,E100,F100)</f>
        <v>BC Caiaponia2.2215KTL-H3(MBUS-13)46024,256944444446024,256944444446024,3166666667</v>
      </c>
      <c r="Q100" s="1" t="str">
        <f>_xlfn.CONCAT(H100,I100,J100)</f>
        <v>LIGRFOCOM</v>
      </c>
    </row>
    <row r="101" spans="2:17">
      <c r="B101" s="1" t="s">
        <v>583</v>
      </c>
      <c r="C101" s="1" t="s">
        <v>382</v>
      </c>
      <c r="D101" s="52">
        <v>46024.256944444445</v>
      </c>
      <c r="E101" s="52">
        <v>46024.256944444445</v>
      </c>
      <c r="F101" s="52">
        <v>46024.316666666666</v>
      </c>
      <c r="G101" s="53">
        <f>F101-E101</f>
        <v>5.9722222220443655E-2</v>
      </c>
      <c r="H101" s="1" t="s">
        <v>268</v>
      </c>
      <c r="I101" s="1" t="s">
        <v>269</v>
      </c>
      <c r="J101" s="1" t="s">
        <v>319</v>
      </c>
      <c r="K101" s="1" t="s">
        <v>652</v>
      </c>
      <c r="L101" s="1" t="s">
        <v>604</v>
      </c>
      <c r="M101" s="1" t="s">
        <v>289</v>
      </c>
      <c r="N101" s="1" t="s">
        <v>253</v>
      </c>
      <c r="O101" s="1" t="s">
        <v>1956</v>
      </c>
      <c r="P101" s="1" t="str">
        <f>_xlfn.CONCAT(B101,C101,D101,E101,F101)</f>
        <v>BC Caiaponia2.2215KTL-H3(MBUS-14)46024,256944444446024,256944444446024,3166666667</v>
      </c>
      <c r="Q101" s="1" t="str">
        <f>_xlfn.CONCAT(H101,I101,J101)</f>
        <v>LIGRFOCOM</v>
      </c>
    </row>
    <row r="102" spans="2:17">
      <c r="B102" s="1" t="s">
        <v>583</v>
      </c>
      <c r="C102" s="1" t="s">
        <v>380</v>
      </c>
      <c r="D102" s="52">
        <v>46024.256944444445</v>
      </c>
      <c r="E102" s="52">
        <v>46024.256944444445</v>
      </c>
      <c r="F102" s="52">
        <v>46024.316666666666</v>
      </c>
      <c r="G102" s="53">
        <f>F102-E102</f>
        <v>5.9722222220443655E-2</v>
      </c>
      <c r="H102" s="1" t="s">
        <v>268</v>
      </c>
      <c r="I102" s="1" t="s">
        <v>269</v>
      </c>
      <c r="J102" s="1" t="s">
        <v>319</v>
      </c>
      <c r="K102" s="1" t="s">
        <v>652</v>
      </c>
      <c r="L102" s="1" t="s">
        <v>604</v>
      </c>
      <c r="M102" s="1" t="s">
        <v>289</v>
      </c>
      <c r="N102" s="1" t="s">
        <v>253</v>
      </c>
      <c r="O102" s="1" t="s">
        <v>1956</v>
      </c>
      <c r="P102" s="1" t="str">
        <f>_xlfn.CONCAT(B102,C102,D102,E102,F102)</f>
        <v>BC Caiaponia2.2215KTL-H3(MBUS-15)46024,256944444446024,256944444446024,3166666667</v>
      </c>
      <c r="Q102" s="1" t="str">
        <f>_xlfn.CONCAT(H102,I102,J102)</f>
        <v>LIGRFOCOM</v>
      </c>
    </row>
    <row r="103" spans="2:17">
      <c r="B103" s="1" t="s">
        <v>583</v>
      </c>
      <c r="C103" s="1" t="s">
        <v>379</v>
      </c>
      <c r="D103" s="52">
        <v>46024.256944444445</v>
      </c>
      <c r="E103" s="52">
        <v>46024.256944444445</v>
      </c>
      <c r="F103" s="52">
        <v>46024.316666666666</v>
      </c>
      <c r="G103" s="53">
        <f>F103-E103</f>
        <v>5.9722222220443655E-2</v>
      </c>
      <c r="H103" s="1" t="s">
        <v>268</v>
      </c>
      <c r="I103" s="1" t="s">
        <v>269</v>
      </c>
      <c r="J103" s="1" t="s">
        <v>319</v>
      </c>
      <c r="K103" s="1" t="s">
        <v>652</v>
      </c>
      <c r="L103" s="1" t="s">
        <v>604</v>
      </c>
      <c r="M103" s="1" t="s">
        <v>289</v>
      </c>
      <c r="N103" s="1" t="s">
        <v>253</v>
      </c>
      <c r="O103" s="1" t="s">
        <v>1956</v>
      </c>
      <c r="P103" s="1" t="str">
        <f>_xlfn.CONCAT(B103,C103,D103,E103,F103)</f>
        <v>BC Caiaponia2.2215KTL-H3(MBUS-16)46024,256944444446024,256944444446024,3166666667</v>
      </c>
      <c r="Q103" s="1" t="str">
        <f>_xlfn.CONCAT(H103,I103,J103)</f>
        <v>LIGRFOCOM</v>
      </c>
    </row>
    <row r="104" spans="2:17">
      <c r="B104" s="1" t="s">
        <v>584</v>
      </c>
      <c r="C104" s="1" t="s">
        <v>377</v>
      </c>
      <c r="D104" s="52">
        <v>46024.256944444445</v>
      </c>
      <c r="E104" s="52">
        <v>46024.256944444445</v>
      </c>
      <c r="F104" s="52">
        <v>46024.316666666666</v>
      </c>
      <c r="G104" s="53">
        <f>F104-E104</f>
        <v>5.9722222220443655E-2</v>
      </c>
      <c r="H104" s="1" t="s">
        <v>268</v>
      </c>
      <c r="I104" s="1" t="s">
        <v>269</v>
      </c>
      <c r="J104" s="1" t="s">
        <v>319</v>
      </c>
      <c r="K104" s="1" t="s">
        <v>652</v>
      </c>
      <c r="L104" s="1" t="s">
        <v>604</v>
      </c>
      <c r="M104" s="1" t="s">
        <v>289</v>
      </c>
      <c r="N104" s="1" t="s">
        <v>253</v>
      </c>
      <c r="O104" s="1" t="s">
        <v>1956</v>
      </c>
      <c r="P104" s="1" t="str">
        <f>_xlfn.CONCAT(B104,C104,D104,E104,F104)</f>
        <v>BC Caiaponia2.3215KTL-H3(MBUS-12)46024,256944444446024,256944444446024,3166666667</v>
      </c>
      <c r="Q104" s="1" t="str">
        <f>_xlfn.CONCAT(H104,I104,J104)</f>
        <v>LIGRFOCOM</v>
      </c>
    </row>
    <row r="105" spans="2:17">
      <c r="B105" s="1" t="s">
        <v>584</v>
      </c>
      <c r="C105" s="1" t="s">
        <v>378</v>
      </c>
      <c r="D105" s="52">
        <v>46024.256944444445</v>
      </c>
      <c r="E105" s="52">
        <v>46024.256944444445</v>
      </c>
      <c r="F105" s="52">
        <v>46024.316666666666</v>
      </c>
      <c r="G105" s="53">
        <f>F105-E105</f>
        <v>5.9722222220443655E-2</v>
      </c>
      <c r="H105" s="1" t="s">
        <v>268</v>
      </c>
      <c r="I105" s="1" t="s">
        <v>269</v>
      </c>
      <c r="J105" s="1" t="s">
        <v>319</v>
      </c>
      <c r="K105" s="1" t="s">
        <v>652</v>
      </c>
      <c r="L105" s="1" t="s">
        <v>604</v>
      </c>
      <c r="M105" s="1" t="s">
        <v>289</v>
      </c>
      <c r="N105" s="1" t="s">
        <v>253</v>
      </c>
      <c r="O105" s="1" t="s">
        <v>1956</v>
      </c>
      <c r="P105" s="1" t="str">
        <f>_xlfn.CONCAT(B105,C105,D105,E105,F105)</f>
        <v>BC Caiaponia2.3215KTL-H3(MBUS-13)46024,256944444446024,256944444446024,3166666667</v>
      </c>
      <c r="Q105" s="1" t="str">
        <f>_xlfn.CONCAT(H105,I105,J105)</f>
        <v>LIGRFOCOM</v>
      </c>
    </row>
    <row r="106" spans="2:17">
      <c r="B106" s="1" t="s">
        <v>584</v>
      </c>
      <c r="C106" s="1" t="s">
        <v>382</v>
      </c>
      <c r="D106" s="52">
        <v>46024.256944444445</v>
      </c>
      <c r="E106" s="52">
        <v>46024.256944444445</v>
      </c>
      <c r="F106" s="52">
        <v>46024.316666666666</v>
      </c>
      <c r="G106" s="53">
        <f>F106-E106</f>
        <v>5.9722222220443655E-2</v>
      </c>
      <c r="H106" s="1" t="s">
        <v>268</v>
      </c>
      <c r="I106" s="1" t="s">
        <v>269</v>
      </c>
      <c r="J106" s="1" t="s">
        <v>319</v>
      </c>
      <c r="K106" s="1" t="s">
        <v>652</v>
      </c>
      <c r="L106" s="1" t="s">
        <v>604</v>
      </c>
      <c r="M106" s="1" t="s">
        <v>289</v>
      </c>
      <c r="N106" s="1" t="s">
        <v>253</v>
      </c>
      <c r="O106" s="1" t="s">
        <v>1956</v>
      </c>
      <c r="P106" s="1" t="str">
        <f>_xlfn.CONCAT(B106,C106,D106,E106,F106)</f>
        <v>BC Caiaponia2.3215KTL-H3(MBUS-14)46024,256944444446024,256944444446024,3166666667</v>
      </c>
      <c r="Q106" s="1" t="str">
        <f>_xlfn.CONCAT(H106,I106,J106)</f>
        <v>LIGRFOCOM</v>
      </c>
    </row>
    <row r="107" spans="2:17">
      <c r="B107" s="1" t="s">
        <v>584</v>
      </c>
      <c r="C107" s="1" t="s">
        <v>380</v>
      </c>
      <c r="D107" s="52">
        <v>46024.256944444445</v>
      </c>
      <c r="E107" s="52">
        <v>46024.256944444445</v>
      </c>
      <c r="F107" s="52">
        <v>46024.316666666666</v>
      </c>
      <c r="G107" s="53">
        <f>F107-E107</f>
        <v>5.9722222220443655E-2</v>
      </c>
      <c r="H107" s="1" t="s">
        <v>268</v>
      </c>
      <c r="I107" s="1" t="s">
        <v>269</v>
      </c>
      <c r="J107" s="1" t="s">
        <v>319</v>
      </c>
      <c r="K107" s="1" t="s">
        <v>652</v>
      </c>
      <c r="L107" s="1" t="s">
        <v>604</v>
      </c>
      <c r="M107" s="1" t="s">
        <v>289</v>
      </c>
      <c r="N107" s="1" t="s">
        <v>253</v>
      </c>
      <c r="O107" s="1" t="s">
        <v>1956</v>
      </c>
      <c r="P107" s="1" t="str">
        <f>_xlfn.CONCAT(B107,C107,D107,E107,F107)</f>
        <v>BC Caiaponia2.3215KTL-H3(MBUS-15)46024,256944444446024,256944444446024,3166666667</v>
      </c>
      <c r="Q107" s="1" t="str">
        <f>_xlfn.CONCAT(H107,I107,J107)</f>
        <v>LIGRFOCOM</v>
      </c>
    </row>
    <row r="108" spans="2:17">
      <c r="B108" s="1" t="s">
        <v>584</v>
      </c>
      <c r="C108" s="1" t="s">
        <v>379</v>
      </c>
      <c r="D108" s="52">
        <v>46024.256944444445</v>
      </c>
      <c r="E108" s="52">
        <v>46024.256944444445</v>
      </c>
      <c r="F108" s="52">
        <v>46024.316666666666</v>
      </c>
      <c r="G108" s="53">
        <f>F108-E108</f>
        <v>5.9722222220443655E-2</v>
      </c>
      <c r="H108" s="1" t="s">
        <v>268</v>
      </c>
      <c r="I108" s="1" t="s">
        <v>269</v>
      </c>
      <c r="J108" s="1" t="s">
        <v>319</v>
      </c>
      <c r="K108" s="1" t="s">
        <v>652</v>
      </c>
      <c r="L108" s="1" t="s">
        <v>604</v>
      </c>
      <c r="M108" s="1" t="s">
        <v>289</v>
      </c>
      <c r="N108" s="1" t="s">
        <v>253</v>
      </c>
      <c r="O108" s="1" t="s">
        <v>1956</v>
      </c>
      <c r="P108" s="1" t="str">
        <f>_xlfn.CONCAT(B108,C108,D108,E108,F108)</f>
        <v>BC Caiaponia2.3215KTL-H3(MBUS-16)46024,256944444446024,256944444446024,3166666667</v>
      </c>
      <c r="Q108" s="1" t="str">
        <f>_xlfn.CONCAT(H108,I108,J108)</f>
        <v>LIGRFOCOM</v>
      </c>
    </row>
    <row r="109" spans="2:17">
      <c r="B109" s="1" t="s">
        <v>529</v>
      </c>
      <c r="C109" s="1" t="s">
        <v>530</v>
      </c>
      <c r="D109" s="52">
        <v>46024.371527777781</v>
      </c>
      <c r="E109" s="52">
        <v>46024.371527777781</v>
      </c>
      <c r="F109" s="52">
        <v>46024.42291666667</v>
      </c>
      <c r="G109" s="53">
        <f>F109-E109</f>
        <v>5.1388888889050577E-2</v>
      </c>
      <c r="H109" s="1" t="s">
        <v>257</v>
      </c>
      <c r="J109" s="1" t="s">
        <v>371</v>
      </c>
      <c r="K109" s="1" t="s">
        <v>653</v>
      </c>
      <c r="L109" s="1" t="s">
        <v>1957</v>
      </c>
      <c r="M109" s="1" t="s">
        <v>252</v>
      </c>
      <c r="N109" s="1" t="s">
        <v>253</v>
      </c>
      <c r="O109" s="1" t="s">
        <v>1958</v>
      </c>
      <c r="P109" s="1" t="str">
        <f>_xlfn.CONCAT(B109,C109,D109,E109,F109)</f>
        <v>BC Barra1Inverter__546024,371527777846024,371527777846024,4229166667</v>
      </c>
      <c r="Q109" s="1" t="str">
        <f>_xlfn.CONCAT(H109,I109,J109)</f>
        <v>DAUINV</v>
      </c>
    </row>
    <row r="110" spans="2:17">
      <c r="B110" s="1" t="s">
        <v>355</v>
      </c>
      <c r="C110" s="1" t="s">
        <v>264</v>
      </c>
      <c r="D110" s="52">
        <v>46024.444444444445</v>
      </c>
      <c r="E110" s="52">
        <v>46024.444444444445</v>
      </c>
      <c r="F110" s="52">
        <v>46024.666666666664</v>
      </c>
      <c r="G110" s="53">
        <f>F110-E110</f>
        <v>0.22222222221898846</v>
      </c>
      <c r="H110" s="1" t="s">
        <v>257</v>
      </c>
      <c r="J110" s="1" t="s">
        <v>258</v>
      </c>
      <c r="K110" s="1" t="s">
        <v>658</v>
      </c>
      <c r="L110" s="1" t="s">
        <v>1959</v>
      </c>
      <c r="M110" s="1" t="s">
        <v>260</v>
      </c>
      <c r="N110" s="1" t="s">
        <v>357</v>
      </c>
      <c r="O110" s="1" t="s">
        <v>626</v>
      </c>
      <c r="P110" s="1" t="str">
        <f>_xlfn.CONCAT(B110,C110,D110,E110,F110)</f>
        <v>BC Formoso2.3Inverter(MBUS-13)46024,444444444446024,444444444446024,6666666667</v>
      </c>
      <c r="Q110" s="1" t="str">
        <f>_xlfn.CONCAT(H110,I110,J110)</f>
        <v>DAURDE</v>
      </c>
    </row>
    <row r="111" spans="2:17">
      <c r="B111" s="1" t="s">
        <v>355</v>
      </c>
      <c r="C111" s="1" t="s">
        <v>256</v>
      </c>
      <c r="D111" s="52">
        <v>46024.444444444445</v>
      </c>
      <c r="E111" s="52">
        <v>46024.444444444445</v>
      </c>
      <c r="F111" s="52">
        <v>46024.666666666664</v>
      </c>
      <c r="G111" s="53">
        <f>F111-E111</f>
        <v>0.22222222221898846</v>
      </c>
      <c r="H111" s="1" t="s">
        <v>257</v>
      </c>
      <c r="J111" s="1" t="s">
        <v>258</v>
      </c>
      <c r="K111" s="1" t="s">
        <v>658</v>
      </c>
      <c r="L111" s="1" t="s">
        <v>1959</v>
      </c>
      <c r="M111" s="1" t="s">
        <v>260</v>
      </c>
      <c r="N111" s="1" t="s">
        <v>357</v>
      </c>
      <c r="O111" s="1" t="s">
        <v>626</v>
      </c>
      <c r="P111" s="1" t="str">
        <f>_xlfn.CONCAT(B111,C111,D111,E111,F111)</f>
        <v>BC Formoso2.3Inverter(MBUS-12)46024,444444444446024,444444444446024,6666666667</v>
      </c>
      <c r="Q111" s="1" t="str">
        <f>_xlfn.CONCAT(H111,I111,J111)</f>
        <v>DAURDE</v>
      </c>
    </row>
    <row r="112" spans="2:17">
      <c r="B112" s="1" t="s">
        <v>305</v>
      </c>
      <c r="C112" s="1" t="s">
        <v>256</v>
      </c>
      <c r="D112" s="52">
        <v>46024.673611111109</v>
      </c>
      <c r="E112" s="52">
        <v>46024.673611111109</v>
      </c>
      <c r="F112" s="52">
        <v>46024.706944444442</v>
      </c>
      <c r="G112" s="53">
        <f>F112-E112</f>
        <v>3.3333333332848269E-2</v>
      </c>
      <c r="H112" s="1" t="s">
        <v>257</v>
      </c>
      <c r="J112" s="1" t="s">
        <v>258</v>
      </c>
      <c r="K112" s="1" t="s">
        <v>658</v>
      </c>
      <c r="L112" s="65" t="s">
        <v>1960</v>
      </c>
      <c r="M112" s="1" t="s">
        <v>260</v>
      </c>
      <c r="N112" s="1" t="s">
        <v>357</v>
      </c>
      <c r="O112" s="1" t="s">
        <v>1961</v>
      </c>
      <c r="P112" s="1" t="str">
        <f>_xlfn.CONCAT(B112,C112,D112,E112,F112)</f>
        <v>ARAGUATINS 1.1Inverter(MBUS-12)46024,673611111146024,673611111146024,7069444444</v>
      </c>
      <c r="Q112" s="1" t="str">
        <f>_xlfn.CONCAT(H112,I112,J112)</f>
        <v>DAURDE</v>
      </c>
    </row>
    <row r="113" spans="2:17">
      <c r="B113" s="1" t="s">
        <v>305</v>
      </c>
      <c r="C113" s="1" t="s">
        <v>264</v>
      </c>
      <c r="D113" s="52">
        <v>46024.673611111109</v>
      </c>
      <c r="E113" s="52">
        <v>46024.673611111109</v>
      </c>
      <c r="F113" s="52">
        <v>46024.706944444442</v>
      </c>
      <c r="G113" s="53">
        <f>F113-E113</f>
        <v>3.3333333332848269E-2</v>
      </c>
      <c r="H113" s="1" t="s">
        <v>257</v>
      </c>
      <c r="J113" s="1" t="s">
        <v>258</v>
      </c>
      <c r="K113" s="1" t="s">
        <v>658</v>
      </c>
      <c r="L113" s="65" t="s">
        <v>1960</v>
      </c>
      <c r="M113" s="1" t="s">
        <v>260</v>
      </c>
      <c r="N113" s="1" t="s">
        <v>357</v>
      </c>
      <c r="O113" s="1" t="s">
        <v>1961</v>
      </c>
      <c r="P113" s="1" t="str">
        <f>_xlfn.CONCAT(B113,C113,D113,E113,F113)</f>
        <v>ARAGUATINS 1.1Inverter(MBUS-13)46024,673611111146024,673611111146024,7069444444</v>
      </c>
      <c r="Q113" s="1" t="str">
        <f>_xlfn.CONCAT(H113,I113,J113)</f>
        <v>DAURDE</v>
      </c>
    </row>
    <row r="114" spans="2:17">
      <c r="B114" s="1" t="s">
        <v>305</v>
      </c>
      <c r="C114" s="1" t="s">
        <v>263</v>
      </c>
      <c r="D114" s="52">
        <v>46024.673611111109</v>
      </c>
      <c r="E114" s="52">
        <v>46024.673611111109</v>
      </c>
      <c r="F114" s="52">
        <v>46024.706944444442</v>
      </c>
      <c r="G114" s="53">
        <f>F114-E114</f>
        <v>3.3333333332848269E-2</v>
      </c>
      <c r="H114" s="1" t="s">
        <v>257</v>
      </c>
      <c r="J114" s="1" t="s">
        <v>258</v>
      </c>
      <c r="K114" s="1" t="s">
        <v>658</v>
      </c>
      <c r="L114" s="65" t="s">
        <v>1960</v>
      </c>
      <c r="M114" s="1" t="s">
        <v>260</v>
      </c>
      <c r="N114" s="1" t="s">
        <v>357</v>
      </c>
      <c r="O114" s="1" t="s">
        <v>1961</v>
      </c>
      <c r="P114" s="1" t="str">
        <f>_xlfn.CONCAT(B114,C114,D114,E114,F114)</f>
        <v>ARAGUATINS 1.1Inverter(MBUS-14)46024,673611111146024,673611111146024,7069444444</v>
      </c>
      <c r="Q114" s="1" t="str">
        <f>_xlfn.CONCAT(H114,I114,J114)</f>
        <v>DAURDE</v>
      </c>
    </row>
    <row r="115" spans="2:17">
      <c r="B115" s="1" t="s">
        <v>305</v>
      </c>
      <c r="C115" s="1" t="s">
        <v>307</v>
      </c>
      <c r="D115" s="52">
        <v>46024.673611111109</v>
      </c>
      <c r="E115" s="52">
        <v>46024.673611111109</v>
      </c>
      <c r="F115" s="52">
        <v>46024.706944444442</v>
      </c>
      <c r="G115" s="53">
        <f>F115-E115</f>
        <v>3.3333333332848269E-2</v>
      </c>
      <c r="H115" s="1" t="s">
        <v>257</v>
      </c>
      <c r="J115" s="1" t="s">
        <v>258</v>
      </c>
      <c r="K115" s="1" t="s">
        <v>658</v>
      </c>
      <c r="L115" s="65" t="s">
        <v>1960</v>
      </c>
      <c r="M115" s="1" t="s">
        <v>260</v>
      </c>
      <c r="N115" s="1" t="s">
        <v>357</v>
      </c>
      <c r="O115" s="1" t="s">
        <v>1961</v>
      </c>
      <c r="P115" s="1" t="str">
        <f>_xlfn.CONCAT(B115,C115,D115,E115,F115)</f>
        <v>ARAGUATINS 1.1Inverter(MBUS-15)46024,673611111146024,673611111146024,7069444444</v>
      </c>
      <c r="Q115" s="1" t="str">
        <f>_xlfn.CONCAT(H115,I115,J115)</f>
        <v>DAURDE</v>
      </c>
    </row>
    <row r="116" spans="2:17">
      <c r="B116" s="1" t="s">
        <v>308</v>
      </c>
      <c r="C116" s="1" t="s">
        <v>256</v>
      </c>
      <c r="D116" s="52">
        <v>46024.673611111109</v>
      </c>
      <c r="E116" s="52">
        <v>46024.673611111109</v>
      </c>
      <c r="F116" s="52">
        <v>46024.706944444442</v>
      </c>
      <c r="G116" s="53">
        <f>F116-E116</f>
        <v>3.3333333332848269E-2</v>
      </c>
      <c r="H116" s="1" t="s">
        <v>257</v>
      </c>
      <c r="J116" s="1" t="s">
        <v>258</v>
      </c>
      <c r="K116" s="1" t="s">
        <v>658</v>
      </c>
      <c r="L116" s="65" t="s">
        <v>1960</v>
      </c>
      <c r="M116" s="1" t="s">
        <v>260</v>
      </c>
      <c r="N116" s="1" t="s">
        <v>357</v>
      </c>
      <c r="O116" s="1" t="s">
        <v>1961</v>
      </c>
      <c r="P116" s="1" t="str">
        <f>_xlfn.CONCAT(B116,C116,D116,E116,F116)</f>
        <v>ARAGUATINS 1.2Inverter(MBUS-12)46024,673611111146024,673611111146024,7069444444</v>
      </c>
      <c r="Q116" s="1" t="str">
        <f>_xlfn.CONCAT(H116,I116,J116)</f>
        <v>DAURDE</v>
      </c>
    </row>
    <row r="117" spans="2:17">
      <c r="B117" s="1" t="s">
        <v>308</v>
      </c>
      <c r="C117" s="1" t="s">
        <v>264</v>
      </c>
      <c r="D117" s="52">
        <v>46024.673611111109</v>
      </c>
      <c r="E117" s="52">
        <v>46024.673611111109</v>
      </c>
      <c r="F117" s="52">
        <v>46024.706944444442</v>
      </c>
      <c r="G117" s="53">
        <f>F117-E117</f>
        <v>3.3333333332848269E-2</v>
      </c>
      <c r="H117" s="1" t="s">
        <v>257</v>
      </c>
      <c r="J117" s="1" t="s">
        <v>258</v>
      </c>
      <c r="K117" s="1" t="s">
        <v>658</v>
      </c>
      <c r="L117" s="65" t="s">
        <v>1960</v>
      </c>
      <c r="M117" s="1" t="s">
        <v>260</v>
      </c>
      <c r="N117" s="1" t="s">
        <v>357</v>
      </c>
      <c r="O117" s="1" t="s">
        <v>1961</v>
      </c>
      <c r="P117" s="1" t="str">
        <f>_xlfn.CONCAT(B117,C117,D117,E117,F117)</f>
        <v>ARAGUATINS 1.2Inverter(MBUS-13)46024,673611111146024,673611111146024,7069444444</v>
      </c>
      <c r="Q117" s="1" t="str">
        <f>_xlfn.CONCAT(H117,I117,J117)</f>
        <v>DAURDE</v>
      </c>
    </row>
    <row r="118" spans="2:17">
      <c r="B118" s="1" t="s">
        <v>308</v>
      </c>
      <c r="C118" s="1" t="s">
        <v>263</v>
      </c>
      <c r="D118" s="52">
        <v>46024.673611111109</v>
      </c>
      <c r="E118" s="52">
        <v>46024.673611111109</v>
      </c>
      <c r="F118" s="52">
        <v>46024.706944444442</v>
      </c>
      <c r="G118" s="53">
        <f>F118-E118</f>
        <v>3.3333333332848269E-2</v>
      </c>
      <c r="H118" s="1" t="s">
        <v>257</v>
      </c>
      <c r="J118" s="1" t="s">
        <v>258</v>
      </c>
      <c r="K118" s="1" t="s">
        <v>658</v>
      </c>
      <c r="L118" s="65" t="s">
        <v>1960</v>
      </c>
      <c r="M118" s="1" t="s">
        <v>260</v>
      </c>
      <c r="N118" s="1" t="s">
        <v>357</v>
      </c>
      <c r="O118" s="1" t="s">
        <v>1961</v>
      </c>
      <c r="P118" s="1" t="str">
        <f>_xlfn.CONCAT(B118,C118,D118,E118,F118)</f>
        <v>ARAGUATINS 1.2Inverter(MBUS-14)46024,673611111146024,673611111146024,7069444444</v>
      </c>
      <c r="Q118" s="1" t="str">
        <f>_xlfn.CONCAT(H118,I118,J118)</f>
        <v>DAURDE</v>
      </c>
    </row>
    <row r="119" spans="2:17">
      <c r="B119" s="1" t="s">
        <v>308</v>
      </c>
      <c r="C119" s="1" t="s">
        <v>307</v>
      </c>
      <c r="D119" s="52">
        <v>46024.673611111109</v>
      </c>
      <c r="E119" s="52">
        <v>46024.673611111109</v>
      </c>
      <c r="F119" s="52">
        <v>46024.706944444442</v>
      </c>
      <c r="G119" s="53">
        <f>F119-E119</f>
        <v>3.3333333332848269E-2</v>
      </c>
      <c r="H119" s="1" t="s">
        <v>257</v>
      </c>
      <c r="J119" s="1" t="s">
        <v>258</v>
      </c>
      <c r="K119" s="1" t="s">
        <v>658</v>
      </c>
      <c r="L119" s="65" t="s">
        <v>1960</v>
      </c>
      <c r="M119" s="1" t="s">
        <v>260</v>
      </c>
      <c r="N119" s="1" t="s">
        <v>357</v>
      </c>
      <c r="O119" s="1" t="s">
        <v>1961</v>
      </c>
      <c r="P119" s="1" t="str">
        <f>_xlfn.CONCAT(B119,C119,D119,E119,F119)</f>
        <v>ARAGUATINS 1.2Inverter(MBUS-15)46024,673611111146024,673611111146024,7069444444</v>
      </c>
      <c r="Q119" s="1" t="str">
        <f>_xlfn.CONCAT(H119,I119,J119)</f>
        <v>DAURDE</v>
      </c>
    </row>
    <row r="120" spans="2:17">
      <c r="B120" s="1" t="s">
        <v>309</v>
      </c>
      <c r="C120" s="1" t="s">
        <v>310</v>
      </c>
      <c r="D120" s="52">
        <v>46024.673611111109</v>
      </c>
      <c r="E120" s="52">
        <v>46024.673611111109</v>
      </c>
      <c r="F120" s="52">
        <v>46024.706944444442</v>
      </c>
      <c r="G120" s="53">
        <f>F120-E120</f>
        <v>3.3333333332848269E-2</v>
      </c>
      <c r="H120" s="1" t="s">
        <v>257</v>
      </c>
      <c r="J120" s="1" t="s">
        <v>258</v>
      </c>
      <c r="K120" s="1" t="s">
        <v>658</v>
      </c>
      <c r="L120" s="65" t="s">
        <v>1960</v>
      </c>
      <c r="M120" s="1" t="s">
        <v>260</v>
      </c>
      <c r="N120" s="1" t="s">
        <v>357</v>
      </c>
      <c r="O120" s="1" t="s">
        <v>1961</v>
      </c>
      <c r="P120" s="1" t="str">
        <f>_xlfn.CONCAT(B120,C120,D120,E120,F120)</f>
        <v>ARAGUATINS 1.3Inverter(MBUS-20)46024,673611111146024,673611111146024,7069444444</v>
      </c>
      <c r="Q120" s="1" t="str">
        <f>_xlfn.CONCAT(H120,I120,J120)</f>
        <v>DAURDE</v>
      </c>
    </row>
    <row r="121" spans="2:17">
      <c r="B121" s="1" t="s">
        <v>309</v>
      </c>
      <c r="C121" s="1" t="s">
        <v>247</v>
      </c>
      <c r="D121" s="52">
        <v>46024.673611111109</v>
      </c>
      <c r="E121" s="52">
        <v>46024.673611111109</v>
      </c>
      <c r="F121" s="52">
        <v>46024.706944444442</v>
      </c>
      <c r="G121" s="53">
        <f>F121-E121</f>
        <v>3.3333333332848269E-2</v>
      </c>
      <c r="H121" s="1" t="s">
        <v>257</v>
      </c>
      <c r="J121" s="1" t="s">
        <v>258</v>
      </c>
      <c r="K121" s="1" t="s">
        <v>658</v>
      </c>
      <c r="L121" s="65" t="s">
        <v>1960</v>
      </c>
      <c r="M121" s="1" t="s">
        <v>260</v>
      </c>
      <c r="N121" s="1" t="s">
        <v>357</v>
      </c>
      <c r="O121" s="1" t="s">
        <v>1961</v>
      </c>
      <c r="P121" s="1" t="str">
        <f>_xlfn.CONCAT(B121,C121,D121,E121,F121)</f>
        <v>ARAGUATINS 1.3Inverter(MBUS-1)46024,673611111146024,673611111146024,7069444444</v>
      </c>
      <c r="Q121" s="1" t="str">
        <f>_xlfn.CONCAT(H121,I121,J121)</f>
        <v>DAURDE</v>
      </c>
    </row>
    <row r="122" spans="2:17">
      <c r="B122" s="1" t="s">
        <v>391</v>
      </c>
      <c r="C122" s="1" t="s">
        <v>392</v>
      </c>
      <c r="D122" s="52">
        <v>46025.354166666664</v>
      </c>
      <c r="E122" s="52">
        <v>46025.354166666664</v>
      </c>
      <c r="F122" s="52">
        <v>46025.423611111109</v>
      </c>
      <c r="G122" s="53">
        <f>F122-E122</f>
        <v>6.9444444445252884E-2</v>
      </c>
      <c r="H122" s="1" t="s">
        <v>257</v>
      </c>
      <c r="J122" s="1" t="s">
        <v>258</v>
      </c>
      <c r="K122" s="1" t="s">
        <v>658</v>
      </c>
      <c r="L122" s="1" t="s">
        <v>1962</v>
      </c>
      <c r="M122" s="1" t="s">
        <v>260</v>
      </c>
      <c r="N122" s="1" t="s">
        <v>357</v>
      </c>
      <c r="O122" s="1" t="s">
        <v>632</v>
      </c>
      <c r="P122" s="1" t="str">
        <f>_xlfn.CONCAT(B122,C122,D122,E122,F122)</f>
        <v>BC Camarao1.4INV-6T22A904138146025,354166666746025,354166666746025,4236111111</v>
      </c>
      <c r="Q122" s="1" t="str">
        <f>_xlfn.CONCAT(H122,I122,J122)</f>
        <v>DAURDE</v>
      </c>
    </row>
    <row r="123" spans="2:17">
      <c r="B123" s="1" t="s">
        <v>391</v>
      </c>
      <c r="C123" s="1" t="s">
        <v>382</v>
      </c>
      <c r="D123" s="52">
        <v>46025.354166666664</v>
      </c>
      <c r="E123" s="52">
        <v>46025.354166666664</v>
      </c>
      <c r="F123" s="52">
        <v>46025.423611111109</v>
      </c>
      <c r="G123" s="53">
        <f>F123-E123</f>
        <v>6.9444444445252884E-2</v>
      </c>
      <c r="H123" s="1" t="s">
        <v>257</v>
      </c>
      <c r="J123" s="1" t="s">
        <v>258</v>
      </c>
      <c r="K123" s="1" t="s">
        <v>658</v>
      </c>
      <c r="L123" s="1" t="s">
        <v>1962</v>
      </c>
      <c r="M123" s="1" t="s">
        <v>260</v>
      </c>
      <c r="N123" s="1" t="s">
        <v>357</v>
      </c>
      <c r="O123" s="1" t="s">
        <v>632</v>
      </c>
      <c r="P123" s="1" t="str">
        <f>_xlfn.CONCAT(B123,C123,D123,E123,F123)</f>
        <v>BC Camarao1.4215KTL-H3(MBUS-14)46025,354166666746025,354166666746025,4236111111</v>
      </c>
      <c r="Q123" s="1" t="str">
        <f>_xlfn.CONCAT(H123,I123,J123)</f>
        <v>DAURDE</v>
      </c>
    </row>
    <row r="124" spans="2:17">
      <c r="B124" s="1" t="s">
        <v>391</v>
      </c>
      <c r="C124" s="1" t="s">
        <v>378</v>
      </c>
      <c r="D124" s="52">
        <v>46025.354166666664</v>
      </c>
      <c r="E124" s="52">
        <v>46025.354166666664</v>
      </c>
      <c r="F124" s="52">
        <v>46025.423611111109</v>
      </c>
      <c r="G124" s="53">
        <f>F124-E124</f>
        <v>6.9444444445252884E-2</v>
      </c>
      <c r="H124" s="1" t="s">
        <v>257</v>
      </c>
      <c r="J124" s="1" t="s">
        <v>258</v>
      </c>
      <c r="K124" s="1" t="s">
        <v>658</v>
      </c>
      <c r="L124" s="1" t="s">
        <v>1962</v>
      </c>
      <c r="M124" s="1" t="s">
        <v>260</v>
      </c>
      <c r="N124" s="1" t="s">
        <v>357</v>
      </c>
      <c r="O124" s="1" t="s">
        <v>632</v>
      </c>
      <c r="P124" s="1" t="str">
        <f>_xlfn.CONCAT(B124,C124,D124,E124,F124)</f>
        <v>BC Camarao1.4215KTL-H3(MBUS-13)46025,354166666746025,354166666746025,4236111111</v>
      </c>
      <c r="Q124" s="1" t="str">
        <f>_xlfn.CONCAT(H124,I124,J124)</f>
        <v>DAURDE</v>
      </c>
    </row>
    <row r="125" spans="2:17">
      <c r="B125" s="1" t="s">
        <v>391</v>
      </c>
      <c r="C125" s="1" t="s">
        <v>379</v>
      </c>
      <c r="D125" s="52">
        <v>46025.354166666664</v>
      </c>
      <c r="E125" s="52">
        <v>46025.354166666664</v>
      </c>
      <c r="F125" s="52">
        <v>46025.423611111109</v>
      </c>
      <c r="G125" s="53">
        <f>F125-E125</f>
        <v>6.9444444445252884E-2</v>
      </c>
      <c r="H125" s="1" t="s">
        <v>257</v>
      </c>
      <c r="J125" s="1" t="s">
        <v>258</v>
      </c>
      <c r="K125" s="1" t="s">
        <v>658</v>
      </c>
      <c r="L125" s="1" t="s">
        <v>1962</v>
      </c>
      <c r="M125" s="1" t="s">
        <v>260</v>
      </c>
      <c r="N125" s="1" t="s">
        <v>357</v>
      </c>
      <c r="O125" s="1" t="s">
        <v>632</v>
      </c>
      <c r="P125" s="1" t="str">
        <f>_xlfn.CONCAT(B125,C125,D125,E125,F125)</f>
        <v>BC Camarao1.4215KTL-H3(MBUS-16)46025,354166666746025,354166666746025,4236111111</v>
      </c>
      <c r="Q125" s="1" t="str">
        <f>_xlfn.CONCAT(H125,I125,J125)</f>
        <v>DAURDE</v>
      </c>
    </row>
    <row r="126" spans="2:17">
      <c r="B126" s="1" t="s">
        <v>391</v>
      </c>
      <c r="C126" s="1" t="s">
        <v>380</v>
      </c>
      <c r="D126" s="52">
        <v>46025.354166666664</v>
      </c>
      <c r="E126" s="52">
        <v>46025.354166666664</v>
      </c>
      <c r="F126" s="52">
        <v>46025.423611111109</v>
      </c>
      <c r="G126" s="53">
        <f>F126-E126</f>
        <v>6.9444444445252884E-2</v>
      </c>
      <c r="H126" s="1" t="s">
        <v>257</v>
      </c>
      <c r="J126" s="1" t="s">
        <v>258</v>
      </c>
      <c r="K126" s="1" t="s">
        <v>658</v>
      </c>
      <c r="L126" s="1" t="s">
        <v>1962</v>
      </c>
      <c r="M126" s="1" t="s">
        <v>260</v>
      </c>
      <c r="N126" s="1" t="s">
        <v>357</v>
      </c>
      <c r="O126" s="1" t="s">
        <v>632</v>
      </c>
      <c r="P126" s="1" t="str">
        <f>_xlfn.CONCAT(B126,C126,D126,E126,F126)</f>
        <v>BC Camarao1.4215KTL-H3(MBUS-15)46025,354166666746025,354166666746025,4236111111</v>
      </c>
      <c r="Q126" s="1" t="str">
        <f>_xlfn.CONCAT(H126,I126,J126)</f>
        <v>DAURDE</v>
      </c>
    </row>
    <row r="127" spans="2:17">
      <c r="B127" s="1" t="s">
        <v>311</v>
      </c>
      <c r="C127" s="1" t="s">
        <v>256</v>
      </c>
      <c r="D127" s="52">
        <v>46025.556250000001</v>
      </c>
      <c r="E127" s="52">
        <v>46025.556250000001</v>
      </c>
      <c r="F127" s="52">
        <v>46025.601388888892</v>
      </c>
      <c r="G127" s="53">
        <f>F127-E127</f>
        <v>4.5138888890505768E-2</v>
      </c>
      <c r="H127" s="1" t="s">
        <v>257</v>
      </c>
      <c r="J127" s="1" t="s">
        <v>258</v>
      </c>
      <c r="K127" s="1" t="s">
        <v>658</v>
      </c>
      <c r="L127" s="1" t="s">
        <v>1963</v>
      </c>
      <c r="M127" s="1" t="s">
        <v>260</v>
      </c>
      <c r="N127" s="1" t="s">
        <v>357</v>
      </c>
      <c r="O127" s="1" t="s">
        <v>632</v>
      </c>
      <c r="P127" s="1" t="str">
        <f>_xlfn.CONCAT(B127,C127,D127,E127,F127)</f>
        <v>ARAGUATINS 2.1Inverter(MBUS-12)46025,5562546025,5562546025,6013888889</v>
      </c>
      <c r="Q127" s="1" t="str">
        <f>_xlfn.CONCAT(H127,I127,J127)</f>
        <v>DAURDE</v>
      </c>
    </row>
    <row r="128" spans="2:17">
      <c r="B128" s="1" t="s">
        <v>311</v>
      </c>
      <c r="C128" s="1" t="s">
        <v>307</v>
      </c>
      <c r="D128" s="52">
        <v>46025.556250000001</v>
      </c>
      <c r="E128" s="52">
        <v>46025.556250000001</v>
      </c>
      <c r="F128" s="52">
        <v>46025.601388888892</v>
      </c>
      <c r="G128" s="53">
        <f>F128-E128</f>
        <v>4.5138888890505768E-2</v>
      </c>
      <c r="H128" s="1" t="s">
        <v>257</v>
      </c>
      <c r="J128" s="1" t="s">
        <v>258</v>
      </c>
      <c r="K128" s="1" t="s">
        <v>658</v>
      </c>
      <c r="L128" s="1" t="s">
        <v>1963</v>
      </c>
      <c r="M128" s="1" t="s">
        <v>260</v>
      </c>
      <c r="N128" s="1" t="s">
        <v>357</v>
      </c>
      <c r="O128" s="1" t="s">
        <v>632</v>
      </c>
      <c r="P128" s="1" t="str">
        <f>_xlfn.CONCAT(B128,C128,D128,E128,F128)</f>
        <v>ARAGUATINS 2.1Inverter(MBUS-15)46025,5562546025,5562546025,6013888889</v>
      </c>
      <c r="Q128" s="1" t="str">
        <f>_xlfn.CONCAT(H128,I128,J128)</f>
        <v>DAURDE</v>
      </c>
    </row>
    <row r="129" spans="2:17">
      <c r="B129" s="1" t="s">
        <v>311</v>
      </c>
      <c r="C129" s="1" t="s">
        <v>263</v>
      </c>
      <c r="D129" s="52">
        <v>46025.556250000001</v>
      </c>
      <c r="E129" s="52">
        <v>46025.556250000001</v>
      </c>
      <c r="F129" s="52">
        <v>46025.601388888892</v>
      </c>
      <c r="G129" s="53">
        <f>F129-E129</f>
        <v>4.5138888890505768E-2</v>
      </c>
      <c r="H129" s="1" t="s">
        <v>257</v>
      </c>
      <c r="J129" s="1" t="s">
        <v>258</v>
      </c>
      <c r="K129" s="1" t="s">
        <v>658</v>
      </c>
      <c r="L129" s="1" t="s">
        <v>1963</v>
      </c>
      <c r="M129" s="1" t="s">
        <v>260</v>
      </c>
      <c r="N129" s="1" t="s">
        <v>357</v>
      </c>
      <c r="O129" s="1" t="s">
        <v>632</v>
      </c>
      <c r="P129" s="1" t="str">
        <f>_xlfn.CONCAT(B129,C129,D129,E129,F129)</f>
        <v>ARAGUATINS 2.1Inverter(MBUS-14)46025,5562546025,5562546025,6013888889</v>
      </c>
      <c r="Q129" s="1" t="str">
        <f>_xlfn.CONCAT(H129,I129,J129)</f>
        <v>DAURDE</v>
      </c>
    </row>
    <row r="130" spans="2:17">
      <c r="B130" s="1" t="s">
        <v>311</v>
      </c>
      <c r="C130" s="1" t="s">
        <v>247</v>
      </c>
      <c r="D130" s="52">
        <v>46025.556250000001</v>
      </c>
      <c r="E130" s="52">
        <v>46025.556250000001</v>
      </c>
      <c r="F130" s="52">
        <v>46025.601388888892</v>
      </c>
      <c r="G130" s="53">
        <f>F130-E130</f>
        <v>4.5138888890505768E-2</v>
      </c>
      <c r="H130" s="1" t="s">
        <v>257</v>
      </c>
      <c r="J130" s="1" t="s">
        <v>258</v>
      </c>
      <c r="K130" s="1" t="s">
        <v>658</v>
      </c>
      <c r="L130" s="1" t="s">
        <v>1963</v>
      </c>
      <c r="M130" s="1" t="s">
        <v>260</v>
      </c>
      <c r="N130" s="1" t="s">
        <v>357</v>
      </c>
      <c r="O130" s="1" t="s">
        <v>632</v>
      </c>
      <c r="P130" s="1" t="str">
        <f>_xlfn.CONCAT(B130,C130,D130,E130,F130)</f>
        <v>ARAGUATINS 2.1Inverter(MBUS-1)46025,5562546025,5562546025,6013888889</v>
      </c>
      <c r="Q130" s="1" t="str">
        <f>_xlfn.CONCAT(H130,I130,J130)</f>
        <v>DAURDE</v>
      </c>
    </row>
    <row r="131" spans="2:17">
      <c r="B131" s="1" t="s">
        <v>327</v>
      </c>
      <c r="C131" s="1" t="s">
        <v>247</v>
      </c>
      <c r="D131" s="52">
        <v>46026.260416666664</v>
      </c>
      <c r="E131" s="52">
        <v>46026.260416666664</v>
      </c>
      <c r="F131" s="52">
        <v>46026.271527777775</v>
      </c>
      <c r="G131" s="53">
        <f>F131-E131</f>
        <v>1.1111111110949423E-2</v>
      </c>
      <c r="H131" s="1" t="s">
        <v>257</v>
      </c>
      <c r="J131" s="1" t="s">
        <v>258</v>
      </c>
      <c r="K131" s="1" t="s">
        <v>658</v>
      </c>
      <c r="L131" s="1" t="s">
        <v>541</v>
      </c>
      <c r="M131" s="1" t="s">
        <v>260</v>
      </c>
      <c r="N131" s="1" t="s">
        <v>357</v>
      </c>
      <c r="O131" s="1" t="s">
        <v>632</v>
      </c>
      <c r="P131" s="1" t="str">
        <f>_xlfn.CONCAT(B131,C131,D131,E131,F131)</f>
        <v>BC Aracu5.1Inverter(MBUS-1)46026,260416666746026,260416666746026,2715277778</v>
      </c>
      <c r="Q131" s="1" t="str">
        <f>_xlfn.CONCAT(H131,I131,J131)</f>
        <v>DAURDE</v>
      </c>
    </row>
    <row r="132" spans="2:17">
      <c r="B132" s="1" t="s">
        <v>246</v>
      </c>
      <c r="C132" s="1" t="s">
        <v>247</v>
      </c>
      <c r="D132" s="52">
        <v>46026.260416666664</v>
      </c>
      <c r="E132" s="52">
        <v>46026.260416666664</v>
      </c>
      <c r="F132" s="52">
        <v>46026.271527777775</v>
      </c>
      <c r="G132" s="53">
        <f>F132-E132</f>
        <v>1.1111111110949423E-2</v>
      </c>
      <c r="H132" s="1" t="s">
        <v>257</v>
      </c>
      <c r="J132" s="1" t="s">
        <v>258</v>
      </c>
      <c r="K132" s="1" t="s">
        <v>658</v>
      </c>
      <c r="L132" s="1" t="s">
        <v>541</v>
      </c>
      <c r="M132" s="1" t="s">
        <v>260</v>
      </c>
      <c r="N132" s="1" t="s">
        <v>357</v>
      </c>
      <c r="O132" s="1" t="s">
        <v>632</v>
      </c>
      <c r="P132" s="1" t="str">
        <f>_xlfn.CONCAT(B132,C132,D132,E132,F132)</f>
        <v>BC Aracu5.2Inverter(MBUS-1)46026,260416666746026,260416666746026,2715277778</v>
      </c>
      <c r="Q132" s="1" t="str">
        <f>_xlfn.CONCAT(H132,I132,J132)</f>
        <v>DAURDE</v>
      </c>
    </row>
    <row r="133" spans="2:17">
      <c r="B133" s="1" t="s">
        <v>328</v>
      </c>
      <c r="C133" s="1" t="s">
        <v>247</v>
      </c>
      <c r="D133" s="52">
        <v>46026.260416666664</v>
      </c>
      <c r="E133" s="52">
        <v>46026.260416666664</v>
      </c>
      <c r="F133" s="52">
        <v>46026.271527777775</v>
      </c>
      <c r="G133" s="53">
        <f>F133-E133</f>
        <v>1.1111111110949423E-2</v>
      </c>
      <c r="H133" s="1" t="s">
        <v>257</v>
      </c>
      <c r="J133" s="1" t="s">
        <v>258</v>
      </c>
      <c r="K133" s="1" t="s">
        <v>658</v>
      </c>
      <c r="L133" s="1" t="s">
        <v>541</v>
      </c>
      <c r="M133" s="1" t="s">
        <v>260</v>
      </c>
      <c r="N133" s="1" t="s">
        <v>357</v>
      </c>
      <c r="O133" s="1" t="s">
        <v>632</v>
      </c>
      <c r="P133" s="1" t="str">
        <f>_xlfn.CONCAT(B133,C133,D133,E133,F133)</f>
        <v>BC Aracu5.3Inverter(MBUS-1)46026,260416666746026,260416666746026,2715277778</v>
      </c>
      <c r="Q133" s="1" t="str">
        <f>_xlfn.CONCAT(H133,I133,J133)</f>
        <v>DAURDE</v>
      </c>
    </row>
    <row r="134" spans="2:17">
      <c r="B134" s="1" t="s">
        <v>329</v>
      </c>
      <c r="C134" s="1" t="s">
        <v>247</v>
      </c>
      <c r="D134" s="52">
        <v>46026.260416666664</v>
      </c>
      <c r="E134" s="52">
        <v>46026.260416666664</v>
      </c>
      <c r="F134" s="52">
        <v>46026.271527777775</v>
      </c>
      <c r="G134" s="53">
        <f>F134-E134</f>
        <v>1.1111111110949423E-2</v>
      </c>
      <c r="H134" s="1" t="s">
        <v>257</v>
      </c>
      <c r="J134" s="1" t="s">
        <v>258</v>
      </c>
      <c r="K134" s="1" t="s">
        <v>658</v>
      </c>
      <c r="L134" s="1" t="s">
        <v>541</v>
      </c>
      <c r="M134" s="1" t="s">
        <v>260</v>
      </c>
      <c r="N134" s="1" t="s">
        <v>357</v>
      </c>
      <c r="O134" s="1" t="s">
        <v>632</v>
      </c>
      <c r="P134" s="1" t="str">
        <f>_xlfn.CONCAT(B134,C134,D134,E134,F134)</f>
        <v>BC Aracu5.4Inverter(MBUS-1)46026,260416666746026,260416666746026,2715277778</v>
      </c>
      <c r="Q134" s="1" t="str">
        <f>_xlfn.CONCAT(H134,I134,J134)</f>
        <v>DAURDE</v>
      </c>
    </row>
    <row r="135" spans="2:17">
      <c r="B135" s="1" t="s">
        <v>330</v>
      </c>
      <c r="C135" s="1" t="s">
        <v>247</v>
      </c>
      <c r="D135" s="52">
        <v>46026.260416666664</v>
      </c>
      <c r="E135" s="52">
        <v>46026.260416666664</v>
      </c>
      <c r="F135" s="52">
        <v>46026.271527777775</v>
      </c>
      <c r="G135" s="53">
        <f>F135-E135</f>
        <v>1.1111111110949423E-2</v>
      </c>
      <c r="H135" s="1" t="s">
        <v>257</v>
      </c>
      <c r="J135" s="1" t="s">
        <v>258</v>
      </c>
      <c r="K135" s="1" t="s">
        <v>658</v>
      </c>
      <c r="L135" s="1" t="s">
        <v>541</v>
      </c>
      <c r="M135" s="1" t="s">
        <v>260</v>
      </c>
      <c r="N135" s="1" t="s">
        <v>357</v>
      </c>
      <c r="O135" s="1" t="s">
        <v>632</v>
      </c>
      <c r="P135" s="1" t="str">
        <f>_xlfn.CONCAT(B135,C135,D135,E135,F135)</f>
        <v>BC Aracu5.5Inverter(MBUS-1)46026,260416666746026,260416666746026,2715277778</v>
      </c>
      <c r="Q135" s="1" t="str">
        <f>_xlfn.CONCAT(H135,I135,J135)</f>
        <v>DAURDE</v>
      </c>
    </row>
    <row r="136" spans="2:17">
      <c r="B136" s="1" t="s">
        <v>265</v>
      </c>
      <c r="C136" s="1" t="s">
        <v>263</v>
      </c>
      <c r="D136" s="52">
        <v>46026.267361111109</v>
      </c>
      <c r="E136" s="52">
        <v>46026.267361111109</v>
      </c>
      <c r="F136" s="52">
        <v>46027.305555555555</v>
      </c>
      <c r="G136" s="53">
        <f>F136-E136</f>
        <v>1.0381944444452529</v>
      </c>
      <c r="H136" s="1" t="s">
        <v>268</v>
      </c>
      <c r="I136" s="1" t="s">
        <v>269</v>
      </c>
      <c r="J136" s="1" t="s">
        <v>270</v>
      </c>
      <c r="K136" s="1" t="str">
        <f>_xlfn.XLOOKUP(J136,REF!D:D,REF!E:E)</f>
        <v>Internet</v>
      </c>
      <c r="L136" s="1" t="s">
        <v>1964</v>
      </c>
      <c r="M136" s="1" t="s">
        <v>272</v>
      </c>
      <c r="N136" s="1" t="s">
        <v>253</v>
      </c>
      <c r="O136" s="1" t="s">
        <v>697</v>
      </c>
      <c r="P136" s="1" t="str">
        <f>_xlfn.CONCAT(B136,C136,D136,E136,F136)</f>
        <v>BC Formoso2.2Inverter(MBUS-14)46026,267361111146026,267361111146027,3055555556</v>
      </c>
      <c r="Q136" s="1" t="str">
        <f>_xlfn.CONCAT(H136,I136,J136)</f>
        <v>LIGRFOINT</v>
      </c>
    </row>
    <row r="137" spans="2:17">
      <c r="B137" s="1" t="s">
        <v>265</v>
      </c>
      <c r="C137" s="1" t="s">
        <v>264</v>
      </c>
      <c r="D137" s="52">
        <v>46026.267361111109</v>
      </c>
      <c r="E137" s="52">
        <v>46026.267361111109</v>
      </c>
      <c r="F137" s="52">
        <v>46027.305555555555</v>
      </c>
      <c r="G137" s="53">
        <f>F137-E137</f>
        <v>1.0381944444452529</v>
      </c>
      <c r="H137" s="1" t="s">
        <v>268</v>
      </c>
      <c r="I137" s="1" t="s">
        <v>269</v>
      </c>
      <c r="J137" s="1" t="s">
        <v>270</v>
      </c>
      <c r="K137" s="1" t="str">
        <f>_xlfn.XLOOKUP(J137,REF!D:D,REF!E:E)</f>
        <v>Internet</v>
      </c>
      <c r="L137" s="1" t="s">
        <v>1964</v>
      </c>
      <c r="M137" s="1" t="s">
        <v>272</v>
      </c>
      <c r="N137" s="1" t="s">
        <v>253</v>
      </c>
      <c r="O137" s="1" t="s">
        <v>697</v>
      </c>
      <c r="P137" s="1" t="str">
        <f>_xlfn.CONCAT(B137,C137,D137,E137,F137)</f>
        <v>BC Formoso2.2Inverter(MBUS-13)46026,267361111146026,267361111146027,3055555556</v>
      </c>
      <c r="Q137" s="1" t="str">
        <f>_xlfn.CONCAT(H137,I137,J137)</f>
        <v>LIGRFOINT</v>
      </c>
    </row>
    <row r="138" spans="2:17">
      <c r="B138" s="1" t="s">
        <v>265</v>
      </c>
      <c r="C138" s="1" t="s">
        <v>256</v>
      </c>
      <c r="D138" s="52">
        <v>46026.267361111109</v>
      </c>
      <c r="E138" s="52">
        <v>46026.267361111109</v>
      </c>
      <c r="F138" s="52">
        <v>46027.305555555555</v>
      </c>
      <c r="G138" s="53">
        <f>F138-E138</f>
        <v>1.0381944444452529</v>
      </c>
      <c r="H138" s="1" t="s">
        <v>268</v>
      </c>
      <c r="I138" s="1" t="s">
        <v>269</v>
      </c>
      <c r="J138" s="1" t="s">
        <v>270</v>
      </c>
      <c r="K138" s="1" t="str">
        <f>_xlfn.XLOOKUP(J138,REF!D:D,REF!E:E)</f>
        <v>Internet</v>
      </c>
      <c r="L138" s="1" t="s">
        <v>1964</v>
      </c>
      <c r="M138" s="1" t="s">
        <v>272</v>
      </c>
      <c r="N138" s="1" t="s">
        <v>253</v>
      </c>
      <c r="O138" s="1" t="s">
        <v>697</v>
      </c>
      <c r="P138" s="1" t="str">
        <f>_xlfn.CONCAT(B138,C138,D138,E138,F138)</f>
        <v>BC Formoso2.2Inverter(MBUS-12)46026,267361111146026,267361111146027,3055555556</v>
      </c>
      <c r="Q138" s="1" t="str">
        <f>_xlfn.CONCAT(H138,I138,J138)</f>
        <v>LIGRFOINT</v>
      </c>
    </row>
    <row r="139" spans="2:17">
      <c r="B139" s="1" t="s">
        <v>265</v>
      </c>
      <c r="C139" s="1" t="s">
        <v>247</v>
      </c>
      <c r="D139" s="52">
        <v>46026.267361111109</v>
      </c>
      <c r="E139" s="52">
        <v>46026.267361111109</v>
      </c>
      <c r="F139" s="52">
        <v>46027.305555555555</v>
      </c>
      <c r="G139" s="53">
        <f>F139-E139</f>
        <v>1.0381944444452529</v>
      </c>
      <c r="H139" s="1" t="s">
        <v>268</v>
      </c>
      <c r="I139" s="1" t="s">
        <v>269</v>
      </c>
      <c r="J139" s="1" t="s">
        <v>270</v>
      </c>
      <c r="K139" s="1" t="str">
        <f>_xlfn.XLOOKUP(J139,REF!D:D,REF!E:E)</f>
        <v>Internet</v>
      </c>
      <c r="L139" s="1" t="s">
        <v>1964</v>
      </c>
      <c r="M139" s="1" t="s">
        <v>272</v>
      </c>
      <c r="N139" s="1" t="s">
        <v>253</v>
      </c>
      <c r="O139" s="1" t="s">
        <v>697</v>
      </c>
      <c r="P139" s="1" t="str">
        <f>_xlfn.CONCAT(B139,C139,D139,E139,F139)</f>
        <v>BC Formoso2.2Inverter(MBUS-1)46026,267361111146026,267361111146027,3055555556</v>
      </c>
      <c r="Q139" s="1" t="str">
        <f>_xlfn.CONCAT(H139,I139,J139)</f>
        <v>LIGRFOINT</v>
      </c>
    </row>
    <row r="140" spans="2:17">
      <c r="B140" s="1" t="s">
        <v>311</v>
      </c>
      <c r="C140" s="1" t="s">
        <v>256</v>
      </c>
      <c r="D140" s="52">
        <v>46026.4375</v>
      </c>
      <c r="E140" s="52">
        <v>46026.4375</v>
      </c>
      <c r="F140" s="52">
        <v>46026.472916666666</v>
      </c>
      <c r="G140" s="53">
        <f>F140-E140</f>
        <v>3.5416666665696539E-2</v>
      </c>
      <c r="H140" s="1" t="s">
        <v>257</v>
      </c>
      <c r="J140" s="1" t="s">
        <v>258</v>
      </c>
      <c r="K140" s="1" t="s">
        <v>658</v>
      </c>
      <c r="L140" s="1" t="s">
        <v>1963</v>
      </c>
      <c r="M140" s="1" t="s">
        <v>260</v>
      </c>
      <c r="N140" s="1" t="s">
        <v>357</v>
      </c>
      <c r="O140" s="1" t="s">
        <v>632</v>
      </c>
      <c r="P140" s="1" t="str">
        <f>_xlfn.CONCAT(B140,C140,D140,E140,F140)</f>
        <v>ARAGUATINS 2.1Inverter(MBUS-12)46026,437546026,437546026,4729166667</v>
      </c>
      <c r="Q140" s="1" t="str">
        <f>_xlfn.CONCAT(H140,I140,J140)</f>
        <v>DAURDE</v>
      </c>
    </row>
    <row r="141" spans="2:17">
      <c r="B141" s="1" t="s">
        <v>311</v>
      </c>
      <c r="C141" s="1" t="s">
        <v>307</v>
      </c>
      <c r="D141" s="52">
        <v>46026.4375</v>
      </c>
      <c r="E141" s="52">
        <v>46026.4375</v>
      </c>
      <c r="F141" s="52">
        <v>46026.472916666666</v>
      </c>
      <c r="G141" s="53">
        <f>F141-E141</f>
        <v>3.5416666665696539E-2</v>
      </c>
      <c r="H141" s="1" t="s">
        <v>257</v>
      </c>
      <c r="J141" s="1" t="s">
        <v>258</v>
      </c>
      <c r="K141" s="1" t="s">
        <v>658</v>
      </c>
      <c r="L141" s="1" t="s">
        <v>1963</v>
      </c>
      <c r="M141" s="1" t="s">
        <v>260</v>
      </c>
      <c r="N141" s="1" t="s">
        <v>357</v>
      </c>
      <c r="O141" s="1" t="s">
        <v>632</v>
      </c>
      <c r="P141" s="1" t="str">
        <f>_xlfn.CONCAT(B141,C141,D141,E141,F141)</f>
        <v>ARAGUATINS 2.1Inverter(MBUS-15)46026,437546026,437546026,4729166667</v>
      </c>
      <c r="Q141" s="1" t="str">
        <f>_xlfn.CONCAT(H141,I141,J141)</f>
        <v>DAURDE</v>
      </c>
    </row>
    <row r="142" spans="2:17">
      <c r="B142" s="1" t="s">
        <v>311</v>
      </c>
      <c r="C142" s="1" t="s">
        <v>263</v>
      </c>
      <c r="D142" s="52">
        <v>46026.4375</v>
      </c>
      <c r="E142" s="52">
        <v>46026.4375</v>
      </c>
      <c r="F142" s="52">
        <v>46026.472916666666</v>
      </c>
      <c r="G142" s="53">
        <f>F142-E142</f>
        <v>3.5416666665696539E-2</v>
      </c>
      <c r="H142" s="1" t="s">
        <v>257</v>
      </c>
      <c r="J142" s="1" t="s">
        <v>258</v>
      </c>
      <c r="K142" s="1" t="s">
        <v>658</v>
      </c>
      <c r="L142" s="1" t="s">
        <v>1963</v>
      </c>
      <c r="M142" s="1" t="s">
        <v>260</v>
      </c>
      <c r="N142" s="1" t="s">
        <v>357</v>
      </c>
      <c r="O142" s="1" t="s">
        <v>632</v>
      </c>
      <c r="P142" s="1" t="str">
        <f>_xlfn.CONCAT(B142,C142,D142,E142,F142)</f>
        <v>ARAGUATINS 2.1Inverter(MBUS-14)46026,437546026,437546026,4729166667</v>
      </c>
      <c r="Q142" s="1" t="str">
        <f>_xlfn.CONCAT(H142,I142,J142)</f>
        <v>DAURDE</v>
      </c>
    </row>
    <row r="143" spans="2:17">
      <c r="B143" s="1" t="s">
        <v>311</v>
      </c>
      <c r="C143" s="1" t="s">
        <v>247</v>
      </c>
      <c r="D143" s="52">
        <v>46026.4375</v>
      </c>
      <c r="E143" s="52">
        <v>46026.4375</v>
      </c>
      <c r="F143" s="52">
        <v>46026.472916666666</v>
      </c>
      <c r="G143" s="53">
        <f>F143-E143</f>
        <v>3.5416666665696539E-2</v>
      </c>
      <c r="H143" s="1" t="s">
        <v>257</v>
      </c>
      <c r="J143" s="1" t="s">
        <v>258</v>
      </c>
      <c r="K143" s="1" t="s">
        <v>658</v>
      </c>
      <c r="L143" s="1" t="s">
        <v>1963</v>
      </c>
      <c r="M143" s="1" t="s">
        <v>260</v>
      </c>
      <c r="N143" s="1" t="s">
        <v>357</v>
      </c>
      <c r="O143" s="1" t="s">
        <v>632</v>
      </c>
      <c r="P143" s="1" t="str">
        <f>_xlfn.CONCAT(B143,C143,D143,E143,F143)</f>
        <v>ARAGUATINS 2.1Inverter(MBUS-1)46026,437546026,437546026,4729166667</v>
      </c>
      <c r="Q143" s="1" t="str">
        <f>_xlfn.CONCAT(H143,I143,J143)</f>
        <v>DAURDE</v>
      </c>
    </row>
    <row r="144" spans="2:17">
      <c r="B144" s="1" t="s">
        <v>358</v>
      </c>
      <c r="C144" s="1" t="s">
        <v>359</v>
      </c>
      <c r="D144" s="52">
        <v>46026.576388888891</v>
      </c>
      <c r="E144" s="52">
        <v>46026.576388888891</v>
      </c>
      <c r="F144" s="52">
        <v>46026.71875</v>
      </c>
      <c r="G144" s="53">
        <f>F144-E144</f>
        <v>0.14236111110949423</v>
      </c>
      <c r="H144" s="1" t="s">
        <v>257</v>
      </c>
      <c r="J144" s="1" t="s">
        <v>371</v>
      </c>
      <c r="K144" s="1" t="s">
        <v>653</v>
      </c>
      <c r="L144" s="1" t="s">
        <v>1965</v>
      </c>
      <c r="M144" s="1" t="s">
        <v>252</v>
      </c>
      <c r="N144" s="1" t="s">
        <v>253</v>
      </c>
      <c r="O144" s="1" t="s">
        <v>693</v>
      </c>
      <c r="P144" s="1" t="str">
        <f>_xlfn.CONCAT(B144,C144,D144,E144,F144)</f>
        <v>BC Aracu2araçu 2.1 inversor 146026,576388888946026,576388888946026,71875</v>
      </c>
      <c r="Q144" s="1" t="str">
        <f>_xlfn.CONCAT(H144,I144,J144)</f>
        <v>DAUINV</v>
      </c>
    </row>
    <row r="145" spans="2:17">
      <c r="B145" s="1" t="s">
        <v>327</v>
      </c>
      <c r="C145" s="1" t="s">
        <v>247</v>
      </c>
      <c r="D145" s="52">
        <v>46027.355555555558</v>
      </c>
      <c r="E145" s="52">
        <v>46027.355555555558</v>
      </c>
      <c r="F145" s="52">
        <v>46027.363888888889</v>
      </c>
      <c r="G145" s="53">
        <f>F145-E145</f>
        <v>8.333333331393078E-3</v>
      </c>
      <c r="H145" s="1" t="s">
        <v>257</v>
      </c>
      <c r="J145" s="1" t="s">
        <v>258</v>
      </c>
      <c r="K145" s="1" t="str">
        <f>_xlfn.XLOOKUP(J145,REF!$D$2:$D$12,REF!$E$2:$E$12)</f>
        <v>Rede</v>
      </c>
      <c r="L145" s="1" t="s">
        <v>541</v>
      </c>
      <c r="M145" s="1" t="s">
        <v>260</v>
      </c>
      <c r="N145" s="1" t="s">
        <v>357</v>
      </c>
      <c r="O145" s="1" t="s">
        <v>632</v>
      </c>
      <c r="P145" s="1" t="str">
        <f>_xlfn.CONCAT(B145,C145,D145,E145,F145)</f>
        <v>BC Aracu5.1Inverter(MBUS-1)46027,355555555646027,355555555646027,3638888889</v>
      </c>
      <c r="Q145" s="1" t="str">
        <f>_xlfn.CONCAT(H145,I145,J145)</f>
        <v>DAURDE</v>
      </c>
    </row>
    <row r="146" spans="2:17">
      <c r="B146" s="1" t="s">
        <v>246</v>
      </c>
      <c r="C146" s="1" t="s">
        <v>247</v>
      </c>
      <c r="D146" s="52">
        <v>46027.355555555558</v>
      </c>
      <c r="E146" s="52">
        <v>46027.355555555558</v>
      </c>
      <c r="F146" s="52">
        <v>46027.363888888889</v>
      </c>
      <c r="G146" s="53">
        <f>F146-E146</f>
        <v>8.333333331393078E-3</v>
      </c>
      <c r="H146" s="1" t="s">
        <v>257</v>
      </c>
      <c r="J146" s="1" t="s">
        <v>258</v>
      </c>
      <c r="K146" s="1" t="str">
        <f>_xlfn.XLOOKUP(J146,REF!$D$2:$D$12,REF!$E$2:$E$12)</f>
        <v>Rede</v>
      </c>
      <c r="L146" s="1" t="s">
        <v>541</v>
      </c>
      <c r="M146" s="1" t="s">
        <v>260</v>
      </c>
      <c r="N146" s="1" t="s">
        <v>357</v>
      </c>
      <c r="O146" s="1" t="s">
        <v>632</v>
      </c>
      <c r="P146" s="1" t="str">
        <f>_xlfn.CONCAT(B146,C146,D146,E146,F146)</f>
        <v>BC Aracu5.2Inverter(MBUS-1)46027,355555555646027,355555555646027,3638888889</v>
      </c>
      <c r="Q146" s="1" t="str">
        <f>_xlfn.CONCAT(H146,I146,J146)</f>
        <v>DAURDE</v>
      </c>
    </row>
    <row r="147" spans="2:17">
      <c r="B147" s="1" t="s">
        <v>328</v>
      </c>
      <c r="C147" s="1" t="s">
        <v>247</v>
      </c>
      <c r="D147" s="52">
        <v>46027.355555555558</v>
      </c>
      <c r="E147" s="52">
        <v>46027.355555555558</v>
      </c>
      <c r="F147" s="52">
        <v>46027.363888888889</v>
      </c>
      <c r="G147" s="53">
        <f>F147-E147</f>
        <v>8.333333331393078E-3</v>
      </c>
      <c r="H147" s="1" t="s">
        <v>257</v>
      </c>
      <c r="J147" s="1" t="s">
        <v>258</v>
      </c>
      <c r="K147" s="1" t="str">
        <f>_xlfn.XLOOKUP(J147,REF!$D$2:$D$12,REF!$E$2:$E$12)</f>
        <v>Rede</v>
      </c>
      <c r="L147" s="1" t="s">
        <v>541</v>
      </c>
      <c r="M147" s="1" t="s">
        <v>260</v>
      </c>
      <c r="N147" s="1" t="s">
        <v>357</v>
      </c>
      <c r="O147" s="1" t="s">
        <v>632</v>
      </c>
      <c r="P147" s="1" t="str">
        <f>_xlfn.CONCAT(B147,C147,D147,E147,F147)</f>
        <v>BC Aracu5.3Inverter(MBUS-1)46027,355555555646027,355555555646027,3638888889</v>
      </c>
      <c r="Q147" s="1" t="str">
        <f>_xlfn.CONCAT(H147,I147,J147)</f>
        <v>DAURDE</v>
      </c>
    </row>
    <row r="148" spans="2:17">
      <c r="B148" s="1" t="s">
        <v>329</v>
      </c>
      <c r="C148" s="1" t="s">
        <v>247</v>
      </c>
      <c r="D148" s="52">
        <v>46027.355555555558</v>
      </c>
      <c r="E148" s="52">
        <v>46027.355555555558</v>
      </c>
      <c r="F148" s="52">
        <v>46027.363888888889</v>
      </c>
      <c r="G148" s="53">
        <f>F148-E148</f>
        <v>8.333333331393078E-3</v>
      </c>
      <c r="H148" s="1" t="s">
        <v>257</v>
      </c>
      <c r="J148" s="1" t="s">
        <v>258</v>
      </c>
      <c r="K148" s="1" t="str">
        <f>_xlfn.XLOOKUP(J148,REF!$D$2:$D$12,REF!$E$2:$E$12)</f>
        <v>Rede</v>
      </c>
      <c r="L148" s="1" t="s">
        <v>541</v>
      </c>
      <c r="M148" s="1" t="s">
        <v>260</v>
      </c>
      <c r="N148" s="1" t="s">
        <v>357</v>
      </c>
      <c r="O148" s="1" t="s">
        <v>632</v>
      </c>
      <c r="P148" s="1" t="str">
        <f>_xlfn.CONCAT(B148,C148,D148,E148,F148)</f>
        <v>BC Aracu5.4Inverter(MBUS-1)46027,355555555646027,355555555646027,3638888889</v>
      </c>
      <c r="Q148" s="1" t="str">
        <f>_xlfn.CONCAT(H148,I148,J148)</f>
        <v>DAURDE</v>
      </c>
    </row>
    <row r="149" spans="2:17">
      <c r="B149" s="1" t="s">
        <v>330</v>
      </c>
      <c r="C149" s="1" t="s">
        <v>247</v>
      </c>
      <c r="D149" s="52">
        <v>46027.355555555558</v>
      </c>
      <c r="E149" s="52">
        <v>46027.355555555558</v>
      </c>
      <c r="F149" s="52">
        <v>46027.363888888889</v>
      </c>
      <c r="G149" s="53">
        <f>F149-E149</f>
        <v>8.333333331393078E-3</v>
      </c>
      <c r="H149" s="1" t="s">
        <v>257</v>
      </c>
      <c r="J149" s="1" t="s">
        <v>258</v>
      </c>
      <c r="K149" s="1" t="str">
        <f>_xlfn.XLOOKUP(J149,REF!$D$2:$D$12,REF!$E$2:$E$12)</f>
        <v>Rede</v>
      </c>
      <c r="L149" s="1" t="s">
        <v>541</v>
      </c>
      <c r="M149" s="1" t="s">
        <v>260</v>
      </c>
      <c r="N149" s="1" t="s">
        <v>357</v>
      </c>
      <c r="O149" s="1" t="s">
        <v>632</v>
      </c>
      <c r="P149" s="1" t="str">
        <f>_xlfn.CONCAT(B149,C149,D149,E149,F149)</f>
        <v>BC Aracu5.5Inverter(MBUS-1)46027,355555555646027,355555555646027,3638888889</v>
      </c>
      <c r="Q149" s="1" t="str">
        <f>_xlfn.CONCAT(H149,I149,J149)</f>
        <v>DAURDE</v>
      </c>
    </row>
    <row r="150" spans="2:17">
      <c r="B150" s="1" t="s">
        <v>246</v>
      </c>
      <c r="C150" s="1" t="s">
        <v>247</v>
      </c>
      <c r="D150" s="52">
        <v>46027.385416666664</v>
      </c>
      <c r="E150" s="52">
        <v>46027.385416666664</v>
      </c>
      <c r="F150" s="52">
        <v>46053.999988425923</v>
      </c>
      <c r="G150" s="53">
        <f>F150-E150</f>
        <v>26.614571759258979</v>
      </c>
      <c r="H150" s="1" t="s">
        <v>248</v>
      </c>
      <c r="J150" s="1" t="s">
        <v>249</v>
      </c>
      <c r="K150" s="1" t="s">
        <v>250</v>
      </c>
      <c r="L150" s="1" t="s">
        <v>251</v>
      </c>
      <c r="M150" s="1" t="s">
        <v>1966</v>
      </c>
      <c r="N150" s="1" t="s">
        <v>661</v>
      </c>
      <c r="O150" s="1" t="s">
        <v>1967</v>
      </c>
      <c r="P150" s="1" t="str">
        <f>_xlfn.CONCAT(B150,C150,D150,E150,F150)</f>
        <v>BC Aracu5.2Inverter(MBUS-1)46027,385416666746027,385416666746053,9999884259</v>
      </c>
      <c r="Q150" s="1" t="str">
        <f>_xlfn.CONCAT(H150,I150,J150)</f>
        <v>DEMTRF</v>
      </c>
    </row>
    <row r="151" spans="2:17">
      <c r="B151" s="1" t="s">
        <v>311</v>
      </c>
      <c r="C151" s="1" t="s">
        <v>256</v>
      </c>
      <c r="D151" s="52">
        <v>46028.118055555555</v>
      </c>
      <c r="E151" s="52">
        <v>46028.118055555555</v>
      </c>
      <c r="F151" s="52">
        <v>46028.320138888892</v>
      </c>
      <c r="G151" s="53">
        <f>F151-E151</f>
        <v>0.20208333333721384</v>
      </c>
      <c r="H151" s="1" t="s">
        <v>257</v>
      </c>
      <c r="J151" s="1" t="s">
        <v>258</v>
      </c>
      <c r="K151" s="1" t="s">
        <v>658</v>
      </c>
      <c r="L151" s="1" t="s">
        <v>1968</v>
      </c>
      <c r="M151" s="1" t="s">
        <v>260</v>
      </c>
      <c r="N151" s="1" t="s">
        <v>357</v>
      </c>
      <c r="O151" s="1" t="s">
        <v>632</v>
      </c>
      <c r="P151" s="1" t="str">
        <f>_xlfn.CONCAT(B151,C151,D151,E151,F151)</f>
        <v>ARAGUATINS 2.1Inverter(MBUS-12)46028,118055555646028,118055555646028,3201388889</v>
      </c>
      <c r="Q151" s="1" t="str">
        <f>_xlfn.CONCAT(H151,I151,J151)</f>
        <v>DAURDE</v>
      </c>
    </row>
    <row r="152" spans="2:17">
      <c r="B152" s="1" t="s">
        <v>311</v>
      </c>
      <c r="C152" s="1" t="s">
        <v>307</v>
      </c>
      <c r="D152" s="52">
        <v>46028.118055555555</v>
      </c>
      <c r="E152" s="52">
        <v>46028.118055555555</v>
      </c>
      <c r="F152" s="52">
        <v>46028.320138888892</v>
      </c>
      <c r="G152" s="53">
        <f>F152-E152</f>
        <v>0.20208333333721384</v>
      </c>
      <c r="H152" s="1" t="s">
        <v>257</v>
      </c>
      <c r="J152" s="1" t="s">
        <v>258</v>
      </c>
      <c r="K152" s="1" t="s">
        <v>658</v>
      </c>
      <c r="L152" s="1" t="s">
        <v>1968</v>
      </c>
      <c r="M152" s="1" t="s">
        <v>260</v>
      </c>
      <c r="N152" s="1" t="s">
        <v>357</v>
      </c>
      <c r="O152" s="1" t="s">
        <v>632</v>
      </c>
      <c r="P152" s="1" t="str">
        <f>_xlfn.CONCAT(B152,C152,D152,E152,F152)</f>
        <v>ARAGUATINS 2.1Inverter(MBUS-15)46028,118055555646028,118055555646028,3201388889</v>
      </c>
      <c r="Q152" s="1" t="str">
        <f>_xlfn.CONCAT(H152,I152,J152)</f>
        <v>DAURDE</v>
      </c>
    </row>
    <row r="153" spans="2:17">
      <c r="B153" s="1" t="s">
        <v>311</v>
      </c>
      <c r="C153" s="1" t="s">
        <v>263</v>
      </c>
      <c r="D153" s="52">
        <v>46028.118055555555</v>
      </c>
      <c r="E153" s="52">
        <v>46028.118055555555</v>
      </c>
      <c r="F153" s="52">
        <v>46028.320138888892</v>
      </c>
      <c r="G153" s="53">
        <f>F153-E153</f>
        <v>0.20208333333721384</v>
      </c>
      <c r="H153" s="1" t="s">
        <v>257</v>
      </c>
      <c r="J153" s="1" t="s">
        <v>258</v>
      </c>
      <c r="K153" s="1" t="s">
        <v>658</v>
      </c>
      <c r="L153" s="1" t="s">
        <v>1968</v>
      </c>
      <c r="M153" s="1" t="s">
        <v>260</v>
      </c>
      <c r="N153" s="1" t="s">
        <v>357</v>
      </c>
      <c r="O153" s="1" t="s">
        <v>632</v>
      </c>
      <c r="P153" s="1" t="str">
        <f>_xlfn.CONCAT(B153,C153,D153,E153,F153)</f>
        <v>ARAGUATINS 2.1Inverter(MBUS-14)46028,118055555646028,118055555646028,3201388889</v>
      </c>
      <c r="Q153" s="1" t="str">
        <f>_xlfn.CONCAT(H153,I153,J153)</f>
        <v>DAURDE</v>
      </c>
    </row>
    <row r="154" spans="2:17">
      <c r="B154" s="1" t="s">
        <v>311</v>
      </c>
      <c r="C154" s="1" t="s">
        <v>247</v>
      </c>
      <c r="D154" s="52">
        <v>46028.118055555555</v>
      </c>
      <c r="E154" s="52">
        <v>46028.118055555555</v>
      </c>
      <c r="F154" s="52">
        <v>46028.320138888892</v>
      </c>
      <c r="G154" s="53">
        <f>F154-E154</f>
        <v>0.20208333333721384</v>
      </c>
      <c r="H154" s="1" t="s">
        <v>257</v>
      </c>
      <c r="J154" s="1" t="s">
        <v>258</v>
      </c>
      <c r="K154" s="1" t="s">
        <v>658</v>
      </c>
      <c r="L154" s="1" t="s">
        <v>1968</v>
      </c>
      <c r="M154" s="1" t="s">
        <v>260</v>
      </c>
      <c r="N154" s="1" t="s">
        <v>357</v>
      </c>
      <c r="O154" s="1" t="s">
        <v>632</v>
      </c>
      <c r="P154" s="1" t="str">
        <f>_xlfn.CONCAT(B154,C154,D154,E154,F154)</f>
        <v>ARAGUATINS 2.1Inverter(MBUS-1)46028,118055555646028,118055555646028,3201388889</v>
      </c>
      <c r="Q154" s="1" t="str">
        <f>_xlfn.CONCAT(H154,I154,J154)</f>
        <v>DAURDE</v>
      </c>
    </row>
    <row r="155" spans="2:17">
      <c r="B155" s="1" t="s">
        <v>358</v>
      </c>
      <c r="C155" s="1" t="s">
        <v>359</v>
      </c>
      <c r="D155" s="52">
        <v>46028.552083333336</v>
      </c>
      <c r="E155" s="52">
        <v>46028.552083333336</v>
      </c>
      <c r="F155" s="52">
        <v>46028.680555555555</v>
      </c>
      <c r="G155" s="53">
        <f>+F155-E155</f>
        <v>0.12847222221898846</v>
      </c>
      <c r="H155" s="1" t="s">
        <v>677</v>
      </c>
      <c r="J155" s="1" t="s">
        <v>371</v>
      </c>
      <c r="K155" s="1" t="str">
        <f>_xlfn.XLOOKUP(J155,REF!$D$2:$D$12,REF!$E$2:$E$12)</f>
        <v>Inversor</v>
      </c>
      <c r="L155" s="1" t="s">
        <v>1969</v>
      </c>
      <c r="M155" s="1" t="s">
        <v>663</v>
      </c>
      <c r="N155" s="1" t="s">
        <v>672</v>
      </c>
      <c r="O155" s="1" t="s">
        <v>1970</v>
      </c>
      <c r="P155" s="1" t="str">
        <f>_xlfn.CONCAT(B155,C155,D155,E155,F155)</f>
        <v>BC Aracu2araçu 2.1 inversor 146028,552083333346028,552083333346028,6805555556</v>
      </c>
      <c r="Q155" s="1" t="str">
        <f>_xlfn.CONCAT(H155,I155,J155)</f>
        <v>DPRINV</v>
      </c>
    </row>
    <row r="156" spans="2:17">
      <c r="B156" s="1" t="s">
        <v>358</v>
      </c>
      <c r="C156" s="1" t="s">
        <v>559</v>
      </c>
      <c r="D156" s="52">
        <v>46028.576388888891</v>
      </c>
      <c r="E156" s="52">
        <v>46028.576388888891</v>
      </c>
      <c r="F156" s="52">
        <v>46028.597222222219</v>
      </c>
      <c r="G156" s="53">
        <f>F156-E156</f>
        <v>2.0833333328482695E-2</v>
      </c>
      <c r="H156" s="1" t="s">
        <v>677</v>
      </c>
      <c r="J156" s="1" t="s">
        <v>371</v>
      </c>
      <c r="K156" s="1" t="str">
        <f>_xlfn.XLOOKUP(J156,REF!$D$2:$D$12,REF!$E$2:$E$12)</f>
        <v>Inversor</v>
      </c>
      <c r="L156" s="1" t="s">
        <v>1969</v>
      </c>
      <c r="M156" s="1" t="s">
        <v>663</v>
      </c>
      <c r="N156" s="1" t="s">
        <v>672</v>
      </c>
      <c r="O156" s="1" t="s">
        <v>1970</v>
      </c>
      <c r="P156" s="1" t="str">
        <f>_xlfn.CONCAT(B156,C156,D156,E156,F156)</f>
        <v>BC Aracu2araçu 2.3 inversor 246028,576388888946028,576388888946028,5972222222</v>
      </c>
      <c r="Q156" s="1" t="str">
        <f>_xlfn.CONCAT(H156,I156,J156)</f>
        <v>DPRINV</v>
      </c>
    </row>
    <row r="157" spans="2:17" ht="30.75">
      <c r="B157" s="1" t="s">
        <v>358</v>
      </c>
      <c r="C157" s="1" t="s">
        <v>359</v>
      </c>
      <c r="D157" s="52">
        <v>46028.625</v>
      </c>
      <c r="E157" s="52">
        <v>46028.625</v>
      </c>
      <c r="F157" s="52">
        <v>46028.667361111111</v>
      </c>
      <c r="G157" s="53">
        <f>F157-E157</f>
        <v>4.2361111110949423E-2</v>
      </c>
      <c r="H157" s="1" t="s">
        <v>677</v>
      </c>
      <c r="J157" s="1" t="s">
        <v>371</v>
      </c>
      <c r="K157" s="1" t="str">
        <f>_xlfn.XLOOKUP(J157,REF!$D$2:$D$12,REF!$E$2:$E$12)</f>
        <v>Inversor</v>
      </c>
      <c r="L157" s="1" t="s">
        <v>1971</v>
      </c>
      <c r="M157" s="1" t="s">
        <v>663</v>
      </c>
      <c r="N157" s="1" t="s">
        <v>672</v>
      </c>
      <c r="O157" s="72" t="s">
        <v>690</v>
      </c>
      <c r="P157" s="1" t="str">
        <f>_xlfn.CONCAT(B157,C157,D157,E157,F157)</f>
        <v>BC Aracu2araçu 2.1 inversor 146028,62546028,62546028,6673611111</v>
      </c>
      <c r="Q157" s="1" t="str">
        <f>_xlfn.CONCAT(H157,I157,J157)</f>
        <v>DPRINV</v>
      </c>
    </row>
    <row r="158" spans="2:17" ht="30.75">
      <c r="B158" s="1" t="s">
        <v>358</v>
      </c>
      <c r="C158" s="1" t="s">
        <v>551</v>
      </c>
      <c r="D158" s="52">
        <v>46028.625</v>
      </c>
      <c r="E158" s="52">
        <v>46028.625</v>
      </c>
      <c r="F158" s="52">
        <v>46028.667361111111</v>
      </c>
      <c r="G158" s="53">
        <f>F158-E158</f>
        <v>4.2361111110949423E-2</v>
      </c>
      <c r="H158" s="1" t="s">
        <v>677</v>
      </c>
      <c r="J158" s="1" t="s">
        <v>371</v>
      </c>
      <c r="K158" s="1" t="str">
        <f>_xlfn.XLOOKUP(J158,REF!$D$2:$D$12,REF!$E$2:$E$12)</f>
        <v>Inversor</v>
      </c>
      <c r="L158" s="1" t="s">
        <v>1971</v>
      </c>
      <c r="M158" s="1" t="s">
        <v>663</v>
      </c>
      <c r="N158" s="1" t="s">
        <v>672</v>
      </c>
      <c r="O158" s="72" t="s">
        <v>690</v>
      </c>
      <c r="P158" s="1" t="str">
        <f>_xlfn.CONCAT(B158,C158,D158,E158,F158)</f>
        <v>BC Aracu2araçu 2.1 inversor 246028,62546028,62546028,6673611111</v>
      </c>
      <c r="Q158" s="1" t="str">
        <f>_xlfn.CONCAT(H158,I158,J158)</f>
        <v>DPRINV</v>
      </c>
    </row>
    <row r="159" spans="2:17" ht="30.75">
      <c r="B159" s="1" t="s">
        <v>358</v>
      </c>
      <c r="C159" s="1" t="s">
        <v>552</v>
      </c>
      <c r="D159" s="52">
        <v>46028.625</v>
      </c>
      <c r="E159" s="52">
        <v>46028.625</v>
      </c>
      <c r="F159" s="52">
        <v>46028.667361111111</v>
      </c>
      <c r="G159" s="53">
        <f>F159-E159</f>
        <v>4.2361111110949423E-2</v>
      </c>
      <c r="H159" s="1" t="s">
        <v>677</v>
      </c>
      <c r="J159" s="1" t="s">
        <v>371</v>
      </c>
      <c r="K159" s="1" t="str">
        <f>_xlfn.XLOOKUP(J159,REF!$D$2:$D$12,REF!$E$2:$E$12)</f>
        <v>Inversor</v>
      </c>
      <c r="L159" s="1" t="s">
        <v>1971</v>
      </c>
      <c r="M159" s="1" t="s">
        <v>663</v>
      </c>
      <c r="N159" s="1" t="s">
        <v>672</v>
      </c>
      <c r="O159" s="72" t="s">
        <v>690</v>
      </c>
      <c r="P159" s="1" t="str">
        <f>_xlfn.CONCAT(B159,C159,D159,E159,F159)</f>
        <v>BC Aracu2araçu 2.1 inversor 346028,62546028,62546028,6673611111</v>
      </c>
      <c r="Q159" s="1" t="str">
        <f>_xlfn.CONCAT(H159,I159,J159)</f>
        <v>DPRINV</v>
      </c>
    </row>
    <row r="160" spans="2:17" ht="30.75">
      <c r="B160" s="1" t="s">
        <v>358</v>
      </c>
      <c r="C160" s="1" t="s">
        <v>553</v>
      </c>
      <c r="D160" s="52">
        <v>46028.625</v>
      </c>
      <c r="E160" s="52">
        <v>46028.625</v>
      </c>
      <c r="F160" s="52">
        <v>46028.667361111111</v>
      </c>
      <c r="G160" s="53">
        <f>F160-E160</f>
        <v>4.2361111110949423E-2</v>
      </c>
      <c r="H160" s="1" t="s">
        <v>677</v>
      </c>
      <c r="J160" s="1" t="s">
        <v>371</v>
      </c>
      <c r="K160" s="1" t="str">
        <f>_xlfn.XLOOKUP(J160,REF!$D$2:$D$12,REF!$E$2:$E$12)</f>
        <v>Inversor</v>
      </c>
      <c r="L160" s="1" t="s">
        <v>1971</v>
      </c>
      <c r="M160" s="1" t="s">
        <v>663</v>
      </c>
      <c r="N160" s="1" t="s">
        <v>672</v>
      </c>
      <c r="O160" s="72" t="s">
        <v>690</v>
      </c>
      <c r="P160" s="1" t="str">
        <f>_xlfn.CONCAT(B160,C160,D160,E160,F160)</f>
        <v>BC Aracu2araçu 2.2 inversor 146028,62546028,62546028,6673611111</v>
      </c>
      <c r="Q160" s="1" t="str">
        <f>_xlfn.CONCAT(H160,I160,J160)</f>
        <v>DPRINV</v>
      </c>
    </row>
    <row r="161" spans="2:17" ht="30.75">
      <c r="B161" s="1" t="s">
        <v>358</v>
      </c>
      <c r="C161" s="1" t="s">
        <v>554</v>
      </c>
      <c r="D161" s="52">
        <v>46028.625</v>
      </c>
      <c r="E161" s="52">
        <v>46028.625</v>
      </c>
      <c r="F161" s="52">
        <v>46028.667361111111</v>
      </c>
      <c r="G161" s="53">
        <f>F161-E161</f>
        <v>4.2361111110949423E-2</v>
      </c>
      <c r="H161" s="1" t="s">
        <v>677</v>
      </c>
      <c r="J161" s="1" t="s">
        <v>371</v>
      </c>
      <c r="K161" s="1" t="str">
        <f>_xlfn.XLOOKUP(J161,REF!$D$2:$D$12,REF!$E$2:$E$12)</f>
        <v>Inversor</v>
      </c>
      <c r="L161" s="1" t="s">
        <v>1971</v>
      </c>
      <c r="M161" s="1" t="s">
        <v>663</v>
      </c>
      <c r="N161" s="1" t="s">
        <v>672</v>
      </c>
      <c r="O161" s="72" t="s">
        <v>690</v>
      </c>
      <c r="P161" s="1" t="str">
        <f>_xlfn.CONCAT(B161,C161,D161,E161,F161)</f>
        <v>BC Aracu2araçu 2.2 inversor 246028,62546028,62546028,6673611111</v>
      </c>
      <c r="Q161" s="1" t="str">
        <f>_xlfn.CONCAT(H161,I161,J161)</f>
        <v>DPRINV</v>
      </c>
    </row>
    <row r="162" spans="2:17" ht="30.75">
      <c r="B162" s="1" t="s">
        <v>358</v>
      </c>
      <c r="C162" s="1" t="s">
        <v>555</v>
      </c>
      <c r="D162" s="52">
        <v>46028.625</v>
      </c>
      <c r="E162" s="52">
        <v>46028.625</v>
      </c>
      <c r="F162" s="52">
        <v>46028.667361111111</v>
      </c>
      <c r="G162" s="53">
        <f>F162-E162</f>
        <v>4.2361111110949423E-2</v>
      </c>
      <c r="H162" s="1" t="s">
        <v>677</v>
      </c>
      <c r="J162" s="1" t="s">
        <v>371</v>
      </c>
      <c r="K162" s="1" t="str">
        <f>_xlfn.XLOOKUP(J162,REF!$D$2:$D$12,REF!$E$2:$E$12)</f>
        <v>Inversor</v>
      </c>
      <c r="L162" s="1" t="s">
        <v>1971</v>
      </c>
      <c r="M162" s="1" t="s">
        <v>663</v>
      </c>
      <c r="N162" s="1" t="s">
        <v>672</v>
      </c>
      <c r="O162" s="72" t="s">
        <v>690</v>
      </c>
      <c r="P162" s="1" t="str">
        <f>_xlfn.CONCAT(B162,C162,D162,E162,F162)</f>
        <v>BC Aracu2araçu 2.2 inversor 346028,62546028,62546028,6673611111</v>
      </c>
      <c r="Q162" s="1" t="str">
        <f>_xlfn.CONCAT(H162,I162,J162)</f>
        <v>DPRINV</v>
      </c>
    </row>
    <row r="163" spans="2:17" ht="30.75">
      <c r="B163" s="1" t="s">
        <v>358</v>
      </c>
      <c r="C163" s="1" t="s">
        <v>556</v>
      </c>
      <c r="D163" s="52">
        <v>46028.625</v>
      </c>
      <c r="E163" s="52">
        <v>46028.625</v>
      </c>
      <c r="F163" s="52">
        <v>46028.667361111111</v>
      </c>
      <c r="G163" s="53">
        <f>F163-E163</f>
        <v>4.2361111110949423E-2</v>
      </c>
      <c r="H163" s="1" t="s">
        <v>677</v>
      </c>
      <c r="J163" s="1" t="s">
        <v>371</v>
      </c>
      <c r="K163" s="1" t="str">
        <f>_xlfn.XLOOKUP(J163,REF!$D$2:$D$12,REF!$E$2:$E$12)</f>
        <v>Inversor</v>
      </c>
      <c r="L163" s="1" t="s">
        <v>1971</v>
      </c>
      <c r="M163" s="1" t="s">
        <v>663</v>
      </c>
      <c r="N163" s="1" t="s">
        <v>672</v>
      </c>
      <c r="O163" s="72" t="s">
        <v>690</v>
      </c>
      <c r="P163" s="1" t="str">
        <f>_xlfn.CONCAT(B163,C163,D163,E163,F163)</f>
        <v>BC Aracu2Inverter8346028,62546028,62546028,6673611111</v>
      </c>
      <c r="Q163" s="1" t="str">
        <f>_xlfn.CONCAT(H163,I163,J163)</f>
        <v>DPRINV</v>
      </c>
    </row>
    <row r="164" spans="2:17" ht="30.75">
      <c r="B164" s="1" t="s">
        <v>358</v>
      </c>
      <c r="C164" s="1" t="s">
        <v>557</v>
      </c>
      <c r="D164" s="52">
        <v>46028.625</v>
      </c>
      <c r="E164" s="52">
        <v>46028.625</v>
      </c>
      <c r="F164" s="52">
        <v>46028.667361111111</v>
      </c>
      <c r="G164" s="53">
        <f>F164-E164</f>
        <v>4.2361111110949423E-2</v>
      </c>
      <c r="H164" s="1" t="s">
        <v>677</v>
      </c>
      <c r="J164" s="1" t="s">
        <v>371</v>
      </c>
      <c r="K164" s="1" t="str">
        <f>_xlfn.XLOOKUP(J164,REF!$D$2:$D$12,REF!$E$2:$E$12)</f>
        <v>Inversor</v>
      </c>
      <c r="L164" s="1" t="s">
        <v>1971</v>
      </c>
      <c r="M164" s="1" t="s">
        <v>663</v>
      </c>
      <c r="N164" s="1" t="s">
        <v>672</v>
      </c>
      <c r="O164" s="72" t="s">
        <v>690</v>
      </c>
      <c r="P164" s="1" t="str">
        <f>_xlfn.CONCAT(B164,C164,D164,E164,F164)</f>
        <v>BC Aracu2araçu 2.3 inversor 546028,62546028,62546028,6673611111</v>
      </c>
      <c r="Q164" s="1" t="str">
        <f>_xlfn.CONCAT(H164,I164,J164)</f>
        <v>DPRINV</v>
      </c>
    </row>
    <row r="165" spans="2:17" ht="30.75">
      <c r="B165" s="1" t="s">
        <v>358</v>
      </c>
      <c r="C165" s="1" t="s">
        <v>558</v>
      </c>
      <c r="D165" s="52">
        <v>46028.625</v>
      </c>
      <c r="E165" s="52">
        <v>46028.625</v>
      </c>
      <c r="F165" s="52">
        <v>46028.667361111111</v>
      </c>
      <c r="G165" s="53">
        <f>F165-E165</f>
        <v>4.2361111110949423E-2</v>
      </c>
      <c r="H165" s="1" t="s">
        <v>677</v>
      </c>
      <c r="J165" s="1" t="s">
        <v>371</v>
      </c>
      <c r="K165" s="1" t="str">
        <f>_xlfn.XLOOKUP(J165,REF!$D$2:$D$12,REF!$E$2:$E$12)</f>
        <v>Inversor</v>
      </c>
      <c r="L165" s="1" t="s">
        <v>1971</v>
      </c>
      <c r="M165" s="1" t="s">
        <v>663</v>
      </c>
      <c r="N165" s="1" t="s">
        <v>672</v>
      </c>
      <c r="O165" s="72" t="s">
        <v>690</v>
      </c>
      <c r="P165" s="1" t="str">
        <f>_xlfn.CONCAT(B165,C165,D165,E165,F165)</f>
        <v>BC Aracu2araçu 2.3 inversor 146028,62546028,62546028,6673611111</v>
      </c>
      <c r="Q165" s="1" t="str">
        <f>_xlfn.CONCAT(H165,I165,J165)</f>
        <v>DPRINV</v>
      </c>
    </row>
    <row r="166" spans="2:17" ht="30.75">
      <c r="B166" s="1" t="s">
        <v>358</v>
      </c>
      <c r="C166" s="1" t="s">
        <v>559</v>
      </c>
      <c r="D166" s="52">
        <v>46028.625</v>
      </c>
      <c r="E166" s="52">
        <v>46028.625</v>
      </c>
      <c r="F166" s="52">
        <v>46028.667361111111</v>
      </c>
      <c r="G166" s="53">
        <f>F166-E166</f>
        <v>4.2361111110949423E-2</v>
      </c>
      <c r="H166" s="1" t="s">
        <v>677</v>
      </c>
      <c r="J166" s="1" t="s">
        <v>371</v>
      </c>
      <c r="K166" s="1" t="str">
        <f>_xlfn.XLOOKUP(J166,REF!$D$2:$D$12,REF!$E$2:$E$12)</f>
        <v>Inversor</v>
      </c>
      <c r="L166" s="1" t="s">
        <v>1971</v>
      </c>
      <c r="M166" s="1" t="s">
        <v>663</v>
      </c>
      <c r="N166" s="1" t="s">
        <v>672</v>
      </c>
      <c r="O166" s="72" t="s">
        <v>690</v>
      </c>
      <c r="P166" s="1" t="str">
        <f>_xlfn.CONCAT(B166,C166,D166,E166,F166)</f>
        <v>BC Aracu2araçu 2.3 inversor 246028,62546028,62546028,6673611111</v>
      </c>
      <c r="Q166" s="1" t="str">
        <f>_xlfn.CONCAT(H166,I166,J166)</f>
        <v>DPRINV</v>
      </c>
    </row>
    <row r="167" spans="2:17" ht="30.75">
      <c r="B167" s="1" t="s">
        <v>358</v>
      </c>
      <c r="C167" s="1" t="s">
        <v>560</v>
      </c>
      <c r="D167" s="52">
        <v>46028.625</v>
      </c>
      <c r="E167" s="52">
        <v>46028.625</v>
      </c>
      <c r="F167" s="52">
        <v>46028.667361111111</v>
      </c>
      <c r="G167" s="53">
        <f>F167-E167</f>
        <v>4.2361111110949423E-2</v>
      </c>
      <c r="H167" s="1" t="s">
        <v>677</v>
      </c>
      <c r="J167" s="1" t="s">
        <v>371</v>
      </c>
      <c r="K167" s="1" t="str">
        <f>_xlfn.XLOOKUP(J167,REF!$D$2:$D$12,REF!$E$2:$E$12)</f>
        <v>Inversor</v>
      </c>
      <c r="L167" s="1" t="s">
        <v>1971</v>
      </c>
      <c r="M167" s="1" t="s">
        <v>663</v>
      </c>
      <c r="N167" s="1" t="s">
        <v>672</v>
      </c>
      <c r="O167" s="72" t="s">
        <v>690</v>
      </c>
      <c r="P167" s="1" t="str">
        <f>_xlfn.CONCAT(B167,C167,D167,E167,F167)</f>
        <v>BC Aracu2araçu 2.3 inversor 446028,62546028,62546028,6673611111</v>
      </c>
      <c r="Q167" s="1" t="str">
        <f>_xlfn.CONCAT(H167,I167,J167)</f>
        <v>DPRINV</v>
      </c>
    </row>
    <row r="168" spans="2:17" ht="30.75">
      <c r="B168" s="1" t="s">
        <v>358</v>
      </c>
      <c r="C168" s="1" t="s">
        <v>561</v>
      </c>
      <c r="D168" s="52">
        <v>46028.625</v>
      </c>
      <c r="E168" s="52">
        <v>46028.625</v>
      </c>
      <c r="F168" s="52">
        <v>46028.667361111111</v>
      </c>
      <c r="G168" s="53">
        <f>F168-E168</f>
        <v>4.2361111110949423E-2</v>
      </c>
      <c r="H168" s="1" t="s">
        <v>677</v>
      </c>
      <c r="J168" s="1" t="s">
        <v>371</v>
      </c>
      <c r="K168" s="1" t="str">
        <f>_xlfn.XLOOKUP(J168,REF!$D$2:$D$12,REF!$E$2:$E$12)</f>
        <v>Inversor</v>
      </c>
      <c r="L168" s="1" t="s">
        <v>1971</v>
      </c>
      <c r="M168" s="1" t="s">
        <v>663</v>
      </c>
      <c r="N168" s="1" t="s">
        <v>672</v>
      </c>
      <c r="O168" s="72" t="s">
        <v>690</v>
      </c>
      <c r="P168" s="1" t="str">
        <f>_xlfn.CONCAT(B168,C168,D168,E168,F168)</f>
        <v>BC Aracu2araçu 2.3 inversor 346028,62546028,62546028,6673611111</v>
      </c>
      <c r="Q168" s="1" t="str">
        <f>_xlfn.CONCAT(H168,I168,J168)</f>
        <v>DPRINV</v>
      </c>
    </row>
    <row r="169" spans="2:17" ht="30.75">
      <c r="B169" s="1" t="s">
        <v>358</v>
      </c>
      <c r="C169" s="1" t="s">
        <v>562</v>
      </c>
      <c r="D169" s="52">
        <v>46028.625</v>
      </c>
      <c r="E169" s="52">
        <v>46028.625</v>
      </c>
      <c r="F169" s="52">
        <v>46028.667361111111</v>
      </c>
      <c r="G169" s="53">
        <f>F169-E169</f>
        <v>4.2361111110949423E-2</v>
      </c>
      <c r="H169" s="1" t="s">
        <v>677</v>
      </c>
      <c r="J169" s="1" t="s">
        <v>371</v>
      </c>
      <c r="K169" s="1" t="str">
        <f>_xlfn.XLOOKUP(J169,REF!$D$2:$D$12,REF!$E$2:$E$12)</f>
        <v>Inversor</v>
      </c>
      <c r="L169" s="1" t="s">
        <v>1971</v>
      </c>
      <c r="M169" s="1" t="s">
        <v>663</v>
      </c>
      <c r="N169" s="1" t="s">
        <v>672</v>
      </c>
      <c r="O169" s="72" t="s">
        <v>690</v>
      </c>
      <c r="P169" s="1" t="str">
        <f>_xlfn.CONCAT(B169,C169,D169,E169,F169)</f>
        <v>BC Aracu2araçu 2.4 inversor 346028,62546028,62546028,6673611111</v>
      </c>
      <c r="Q169" s="1" t="str">
        <f>_xlfn.CONCAT(H169,I169,J169)</f>
        <v>DPRINV</v>
      </c>
    </row>
    <row r="170" spans="2:17" ht="30.75">
      <c r="B170" s="1" t="s">
        <v>358</v>
      </c>
      <c r="C170" s="1" t="s">
        <v>563</v>
      </c>
      <c r="D170" s="52">
        <v>46028.625</v>
      </c>
      <c r="E170" s="52">
        <v>46028.625</v>
      </c>
      <c r="F170" s="52">
        <v>46028.667361111111</v>
      </c>
      <c r="G170" s="53">
        <f>F170-E170</f>
        <v>4.2361111110949423E-2</v>
      </c>
      <c r="H170" s="1" t="s">
        <v>677</v>
      </c>
      <c r="J170" s="1" t="s">
        <v>371</v>
      </c>
      <c r="K170" s="1" t="str">
        <f>_xlfn.XLOOKUP(J170,REF!$D$2:$D$12,REF!$E$2:$E$12)</f>
        <v>Inversor</v>
      </c>
      <c r="L170" s="1" t="s">
        <v>1971</v>
      </c>
      <c r="M170" s="1" t="s">
        <v>663</v>
      </c>
      <c r="N170" s="1" t="s">
        <v>672</v>
      </c>
      <c r="O170" s="72" t="s">
        <v>690</v>
      </c>
      <c r="P170" s="1" t="str">
        <f>_xlfn.CONCAT(B170,C170,D170,E170,F170)</f>
        <v>BC Aracu2araçu 2.4 inversor 146028,62546028,62546028,6673611111</v>
      </c>
      <c r="Q170" s="1" t="str">
        <f>_xlfn.CONCAT(H170,I170,J170)</f>
        <v>DPRINV</v>
      </c>
    </row>
    <row r="171" spans="2:17" ht="30.75">
      <c r="B171" s="1" t="s">
        <v>358</v>
      </c>
      <c r="C171" s="1" t="s">
        <v>564</v>
      </c>
      <c r="D171" s="52">
        <v>46028.625</v>
      </c>
      <c r="E171" s="52">
        <v>46028.625</v>
      </c>
      <c r="F171" s="52">
        <v>46028.667361111111</v>
      </c>
      <c r="G171" s="53">
        <f>F171-E171</f>
        <v>4.2361111110949423E-2</v>
      </c>
      <c r="H171" s="1" t="s">
        <v>677</v>
      </c>
      <c r="J171" s="1" t="s">
        <v>371</v>
      </c>
      <c r="K171" s="1" t="str">
        <f>_xlfn.XLOOKUP(J171,REF!$D$2:$D$12,REF!$E$2:$E$12)</f>
        <v>Inversor</v>
      </c>
      <c r="L171" s="1" t="s">
        <v>1971</v>
      </c>
      <c r="M171" s="1" t="s">
        <v>663</v>
      </c>
      <c r="N171" s="1" t="s">
        <v>672</v>
      </c>
      <c r="O171" s="72" t="s">
        <v>690</v>
      </c>
      <c r="P171" s="1" t="str">
        <f>_xlfn.CONCAT(B171,C171,D171,E171,F171)</f>
        <v>BC Aracu2araçu 2.4 inversor 646028,62546028,62546028,6673611111</v>
      </c>
      <c r="Q171" s="1" t="str">
        <f>_xlfn.CONCAT(H171,I171,J171)</f>
        <v>DPRINV</v>
      </c>
    </row>
    <row r="172" spans="2:17" ht="30.75">
      <c r="B172" s="1" t="s">
        <v>358</v>
      </c>
      <c r="C172" s="1" t="s">
        <v>565</v>
      </c>
      <c r="D172" s="52">
        <v>46028.625</v>
      </c>
      <c r="E172" s="52">
        <v>46028.625</v>
      </c>
      <c r="F172" s="52">
        <v>46028.667361111111</v>
      </c>
      <c r="G172" s="53">
        <f>F172-E172</f>
        <v>4.2361111110949423E-2</v>
      </c>
      <c r="H172" s="1" t="s">
        <v>677</v>
      </c>
      <c r="J172" s="1" t="s">
        <v>371</v>
      </c>
      <c r="K172" s="1" t="str">
        <f>_xlfn.XLOOKUP(J172,REF!$D$2:$D$12,REF!$E$2:$E$12)</f>
        <v>Inversor</v>
      </c>
      <c r="L172" s="1" t="s">
        <v>1971</v>
      </c>
      <c r="M172" s="1" t="s">
        <v>663</v>
      </c>
      <c r="N172" s="1" t="s">
        <v>672</v>
      </c>
      <c r="O172" s="72" t="s">
        <v>690</v>
      </c>
      <c r="P172" s="1" t="str">
        <f>_xlfn.CONCAT(B172,C172,D172,E172,F172)</f>
        <v>BC Aracu2araçu 2.4 inversor 446028,62546028,62546028,6673611111</v>
      </c>
      <c r="Q172" s="1" t="str">
        <f>_xlfn.CONCAT(H172,I172,J172)</f>
        <v>DPRINV</v>
      </c>
    </row>
    <row r="173" spans="2:17" ht="30.75">
      <c r="B173" s="1" t="s">
        <v>358</v>
      </c>
      <c r="C173" s="1" t="s">
        <v>566</v>
      </c>
      <c r="D173" s="52">
        <v>46028.625</v>
      </c>
      <c r="E173" s="52">
        <v>46028.625</v>
      </c>
      <c r="F173" s="52">
        <v>46028.667361111111</v>
      </c>
      <c r="G173" s="53">
        <f>F173-E173</f>
        <v>4.2361111110949423E-2</v>
      </c>
      <c r="H173" s="1" t="s">
        <v>677</v>
      </c>
      <c r="J173" s="1" t="s">
        <v>371</v>
      </c>
      <c r="K173" s="1" t="str">
        <f>_xlfn.XLOOKUP(J173,REF!$D$2:$D$12,REF!$E$2:$E$12)</f>
        <v>Inversor</v>
      </c>
      <c r="L173" s="1" t="s">
        <v>1971</v>
      </c>
      <c r="M173" s="1" t="s">
        <v>663</v>
      </c>
      <c r="N173" s="1" t="s">
        <v>672</v>
      </c>
      <c r="O173" s="72" t="s">
        <v>690</v>
      </c>
      <c r="P173" s="1" t="str">
        <f>_xlfn.CONCAT(B173,C173,D173,E173,F173)</f>
        <v>BC Aracu2araçu 2.4 inversor 246028,62546028,62546028,6673611111</v>
      </c>
      <c r="Q173" s="1" t="str">
        <f>_xlfn.CONCAT(H173,I173,J173)</f>
        <v>DPRINV</v>
      </c>
    </row>
    <row r="174" spans="2:17" ht="30.75">
      <c r="B174" s="1" t="s">
        <v>358</v>
      </c>
      <c r="C174" s="1" t="s">
        <v>567</v>
      </c>
      <c r="D174" s="52">
        <v>46028.625</v>
      </c>
      <c r="E174" s="52">
        <v>46028.625</v>
      </c>
      <c r="F174" s="52">
        <v>46028.667361111111</v>
      </c>
      <c r="G174" s="53">
        <f>F174-E174</f>
        <v>4.2361111110949423E-2</v>
      </c>
      <c r="H174" s="1" t="s">
        <v>677</v>
      </c>
      <c r="J174" s="1" t="s">
        <v>371</v>
      </c>
      <c r="K174" s="1" t="str">
        <f>_xlfn.XLOOKUP(J174,REF!$D$2:$D$12,REF!$E$2:$E$12)</f>
        <v>Inversor</v>
      </c>
      <c r="L174" s="1" t="s">
        <v>1971</v>
      </c>
      <c r="M174" s="1" t="s">
        <v>663</v>
      </c>
      <c r="N174" s="1" t="s">
        <v>672</v>
      </c>
      <c r="O174" s="72" t="s">
        <v>690</v>
      </c>
      <c r="P174" s="1" t="str">
        <f>_xlfn.CONCAT(B174,C174,D174,E174,F174)</f>
        <v>BC Aracu2araçu 2.4 inversor 546028,62546028,62546028,6673611111</v>
      </c>
      <c r="Q174" s="1" t="str">
        <f>_xlfn.CONCAT(H174,I174,J174)</f>
        <v>DPRINV</v>
      </c>
    </row>
    <row r="175" spans="2:17">
      <c r="B175" s="1" t="s">
        <v>327</v>
      </c>
      <c r="C175" s="1" t="s">
        <v>247</v>
      </c>
      <c r="D175" s="52">
        <v>46029.427083333336</v>
      </c>
      <c r="E175" s="52">
        <v>46029.427083333336</v>
      </c>
      <c r="F175" s="52">
        <v>46029.436111111114</v>
      </c>
      <c r="G175" s="53">
        <f>F175-E175</f>
        <v>9.0277777781011537E-3</v>
      </c>
      <c r="H175" s="1" t="s">
        <v>257</v>
      </c>
      <c r="J175" s="1" t="s">
        <v>258</v>
      </c>
      <c r="K175" s="1" t="str">
        <f>_xlfn.XLOOKUP(J175,REF!$D$2:$D$12,REF!$E$2:$E$12)</f>
        <v>Rede</v>
      </c>
      <c r="L175" s="1" t="s">
        <v>541</v>
      </c>
      <c r="M175" s="1" t="s">
        <v>260</v>
      </c>
      <c r="N175" s="1" t="s">
        <v>357</v>
      </c>
      <c r="O175" s="1" t="s">
        <v>632</v>
      </c>
      <c r="P175" s="1" t="str">
        <f>_xlfn.CONCAT(B175,C175,D175,E175,F175)</f>
        <v>BC Aracu5.1Inverter(MBUS-1)46029,427083333346029,427083333346029,4361111111</v>
      </c>
      <c r="Q175" s="1" t="str">
        <f>_xlfn.CONCAT(H175,I175,J175)</f>
        <v>DAURDE</v>
      </c>
    </row>
    <row r="176" spans="2:17">
      <c r="B176" s="1" t="s">
        <v>246</v>
      </c>
      <c r="C176" s="1" t="s">
        <v>247</v>
      </c>
      <c r="D176" s="52">
        <v>46029.427083333336</v>
      </c>
      <c r="E176" s="52">
        <v>46029.427083333336</v>
      </c>
      <c r="F176" s="52">
        <v>46029.436111111114</v>
      </c>
      <c r="G176" s="53">
        <f>F176-E176</f>
        <v>9.0277777781011537E-3</v>
      </c>
      <c r="H176" s="1" t="s">
        <v>257</v>
      </c>
      <c r="J176" s="1" t="s">
        <v>258</v>
      </c>
      <c r="K176" s="1" t="str">
        <f>_xlfn.XLOOKUP(J176,REF!$D$2:$D$12,REF!$E$2:$E$12)</f>
        <v>Rede</v>
      </c>
      <c r="L176" s="1" t="s">
        <v>541</v>
      </c>
      <c r="M176" s="1" t="s">
        <v>260</v>
      </c>
      <c r="N176" s="1" t="s">
        <v>357</v>
      </c>
      <c r="O176" s="1" t="s">
        <v>632</v>
      </c>
      <c r="P176" s="1" t="str">
        <f>_xlfn.CONCAT(B176,C176,D176,E176,F176)</f>
        <v>BC Aracu5.2Inverter(MBUS-1)46029,427083333346029,427083333346029,4361111111</v>
      </c>
      <c r="Q176" s="1" t="str">
        <f>_xlfn.CONCAT(H176,I176,J176)</f>
        <v>DAURDE</v>
      </c>
    </row>
    <row r="177" spans="2:17">
      <c r="B177" s="1" t="s">
        <v>328</v>
      </c>
      <c r="C177" s="1" t="s">
        <v>247</v>
      </c>
      <c r="D177" s="52">
        <v>46029.427083333336</v>
      </c>
      <c r="E177" s="52">
        <v>46029.427083333336</v>
      </c>
      <c r="F177" s="52">
        <v>46029.436111111114</v>
      </c>
      <c r="G177" s="53">
        <f>F177-E177</f>
        <v>9.0277777781011537E-3</v>
      </c>
      <c r="H177" s="1" t="s">
        <v>257</v>
      </c>
      <c r="J177" s="1" t="s">
        <v>258</v>
      </c>
      <c r="K177" s="1" t="str">
        <f>_xlfn.XLOOKUP(J177,REF!$D$2:$D$12,REF!$E$2:$E$12)</f>
        <v>Rede</v>
      </c>
      <c r="L177" s="1" t="s">
        <v>541</v>
      </c>
      <c r="M177" s="1" t="s">
        <v>260</v>
      </c>
      <c r="N177" s="1" t="s">
        <v>357</v>
      </c>
      <c r="O177" s="1" t="s">
        <v>632</v>
      </c>
      <c r="P177" s="1" t="str">
        <f>_xlfn.CONCAT(B177,C177,D177,E177,F177)</f>
        <v>BC Aracu5.3Inverter(MBUS-1)46029,427083333346029,427083333346029,4361111111</v>
      </c>
      <c r="Q177" s="1" t="str">
        <f>_xlfn.CONCAT(H177,I177,J177)</f>
        <v>DAURDE</v>
      </c>
    </row>
    <row r="178" spans="2:17">
      <c r="B178" s="1" t="s">
        <v>329</v>
      </c>
      <c r="C178" s="1" t="s">
        <v>247</v>
      </c>
      <c r="D178" s="52">
        <v>46029.427083333336</v>
      </c>
      <c r="E178" s="52">
        <v>46029.427083333336</v>
      </c>
      <c r="F178" s="52">
        <v>46029.436111111114</v>
      </c>
      <c r="G178" s="53">
        <f>F178-E178</f>
        <v>9.0277777781011537E-3</v>
      </c>
      <c r="H178" s="1" t="s">
        <v>257</v>
      </c>
      <c r="J178" s="1" t="s">
        <v>258</v>
      </c>
      <c r="K178" s="1" t="str">
        <f>_xlfn.XLOOKUP(J178,REF!$D$2:$D$12,REF!$E$2:$E$12)</f>
        <v>Rede</v>
      </c>
      <c r="L178" s="1" t="s">
        <v>541</v>
      </c>
      <c r="M178" s="1" t="s">
        <v>260</v>
      </c>
      <c r="N178" s="1" t="s">
        <v>357</v>
      </c>
      <c r="O178" s="1" t="s">
        <v>632</v>
      </c>
      <c r="P178" s="1" t="str">
        <f>_xlfn.CONCAT(B178,C178,D178,E178,F178)</f>
        <v>BC Aracu5.4Inverter(MBUS-1)46029,427083333346029,427083333346029,4361111111</v>
      </c>
      <c r="Q178" s="1" t="str">
        <f>_xlfn.CONCAT(H178,I178,J178)</f>
        <v>DAURDE</v>
      </c>
    </row>
    <row r="179" spans="2:17">
      <c r="B179" s="1" t="s">
        <v>330</v>
      </c>
      <c r="C179" s="1" t="s">
        <v>247</v>
      </c>
      <c r="D179" s="52">
        <v>46029.427083333336</v>
      </c>
      <c r="E179" s="52">
        <v>46029.427083333336</v>
      </c>
      <c r="F179" s="52">
        <v>46029.436111111114</v>
      </c>
      <c r="G179" s="53">
        <f>F179-E179</f>
        <v>9.0277777781011537E-3</v>
      </c>
      <c r="H179" s="1" t="s">
        <v>257</v>
      </c>
      <c r="J179" s="1" t="s">
        <v>258</v>
      </c>
      <c r="K179" s="1" t="str">
        <f>_xlfn.XLOOKUP(J179,REF!$D$2:$D$12,REF!$E$2:$E$12)</f>
        <v>Rede</v>
      </c>
      <c r="L179" s="1" t="s">
        <v>541</v>
      </c>
      <c r="M179" s="1" t="s">
        <v>260</v>
      </c>
      <c r="N179" s="1" t="s">
        <v>357</v>
      </c>
      <c r="O179" s="1" t="s">
        <v>632</v>
      </c>
      <c r="P179" s="1" t="str">
        <f>_xlfn.CONCAT(B179,C179,D179,E179,F179)</f>
        <v>BC Aracu5.5Inverter(MBUS-1)46029,427083333346029,427083333346029,4361111111</v>
      </c>
      <c r="Q179" s="1" t="str">
        <f>_xlfn.CONCAT(H179,I179,J179)</f>
        <v>DAURDE</v>
      </c>
    </row>
    <row r="180" spans="2:17">
      <c r="B180" s="1" t="s">
        <v>368</v>
      </c>
      <c r="C180" s="1" t="s">
        <v>256</v>
      </c>
      <c r="D180" s="52">
        <v>46029.673611111109</v>
      </c>
      <c r="E180" s="52">
        <v>46029.673611111109</v>
      </c>
      <c r="F180" s="52">
        <v>46030.416666666664</v>
      </c>
      <c r="G180" s="53">
        <f>F180-E180</f>
        <v>0.74305555555474712</v>
      </c>
      <c r="H180" s="1" t="s">
        <v>257</v>
      </c>
      <c r="J180" s="1" t="s">
        <v>258</v>
      </c>
      <c r="K180" s="1" t="s">
        <v>658</v>
      </c>
      <c r="L180" s="1" t="s">
        <v>1972</v>
      </c>
      <c r="M180" s="1" t="s">
        <v>260</v>
      </c>
      <c r="N180" s="1" t="s">
        <v>357</v>
      </c>
      <c r="O180" s="1" t="s">
        <v>632</v>
      </c>
      <c r="P180" s="1" t="str">
        <f>_xlfn.CONCAT(B180,C180,D180,E180,F180)</f>
        <v>BC Ibiuna 1.1Inverter(MBUS-12)46029,673611111146029,673611111146030,4166666667</v>
      </c>
      <c r="Q180" s="1" t="str">
        <f>_xlfn.CONCAT(H180,I180,J180)</f>
        <v>DAURDE</v>
      </c>
    </row>
    <row r="181" spans="2:17">
      <c r="B181" s="1" t="s">
        <v>368</v>
      </c>
      <c r="C181" s="1" t="s">
        <v>264</v>
      </c>
      <c r="D181" s="52">
        <v>46029.673611111109</v>
      </c>
      <c r="E181" s="52">
        <v>46029.673611111109</v>
      </c>
      <c r="F181" s="52">
        <v>46030.416666666664</v>
      </c>
      <c r="G181" s="53">
        <f>F181-E181</f>
        <v>0.74305555555474712</v>
      </c>
      <c r="H181" s="1" t="s">
        <v>257</v>
      </c>
      <c r="J181" s="1" t="s">
        <v>258</v>
      </c>
      <c r="K181" s="1" t="s">
        <v>658</v>
      </c>
      <c r="L181" s="1" t="s">
        <v>1972</v>
      </c>
      <c r="M181" s="1" t="s">
        <v>260</v>
      </c>
      <c r="N181" s="1" t="s">
        <v>357</v>
      </c>
      <c r="O181" s="1" t="s">
        <v>632</v>
      </c>
      <c r="P181" s="1" t="str">
        <f>_xlfn.CONCAT(B181,C181,D181,E181,F181)</f>
        <v>BC Ibiuna 1.1Inverter(MBUS-13)46029,673611111146029,673611111146030,4166666667</v>
      </c>
      <c r="Q181" s="1" t="str">
        <f>_xlfn.CONCAT(H181,I181,J181)</f>
        <v>DAURDE</v>
      </c>
    </row>
    <row r="182" spans="2:17">
      <c r="B182" s="1" t="s">
        <v>368</v>
      </c>
      <c r="C182" s="1" t="s">
        <v>263</v>
      </c>
      <c r="D182" s="52">
        <v>46029.673611111109</v>
      </c>
      <c r="E182" s="52">
        <v>46029.673611111109</v>
      </c>
      <c r="F182" s="52">
        <v>46030.416666666664</v>
      </c>
      <c r="G182" s="53">
        <f>F182-E182</f>
        <v>0.74305555555474712</v>
      </c>
      <c r="H182" s="1" t="s">
        <v>257</v>
      </c>
      <c r="J182" s="1" t="s">
        <v>258</v>
      </c>
      <c r="K182" s="1" t="s">
        <v>658</v>
      </c>
      <c r="L182" s="1" t="s">
        <v>1972</v>
      </c>
      <c r="M182" s="1" t="s">
        <v>260</v>
      </c>
      <c r="N182" s="1" t="s">
        <v>357</v>
      </c>
      <c r="O182" s="1" t="s">
        <v>632</v>
      </c>
      <c r="P182" s="1" t="str">
        <f>_xlfn.CONCAT(B182,C182,D182,E182,F182)</f>
        <v>BC Ibiuna 1.1Inverter(MBUS-14)46029,673611111146029,673611111146030,4166666667</v>
      </c>
      <c r="Q182" s="1" t="str">
        <f>_xlfn.CONCAT(H182,I182,J182)</f>
        <v>DAURDE</v>
      </c>
    </row>
    <row r="183" spans="2:17">
      <c r="B183" s="1" t="s">
        <v>368</v>
      </c>
      <c r="C183" s="1" t="s">
        <v>307</v>
      </c>
      <c r="D183" s="52">
        <v>46029.673611111109</v>
      </c>
      <c r="E183" s="52">
        <v>46029.673611111109</v>
      </c>
      <c r="F183" s="52">
        <v>46030.416666666664</v>
      </c>
      <c r="G183" s="53">
        <f>F183-E183</f>
        <v>0.74305555555474712</v>
      </c>
      <c r="H183" s="1" t="s">
        <v>257</v>
      </c>
      <c r="J183" s="1" t="s">
        <v>258</v>
      </c>
      <c r="K183" s="1" t="s">
        <v>658</v>
      </c>
      <c r="L183" s="1" t="s">
        <v>1972</v>
      </c>
      <c r="M183" s="1" t="s">
        <v>260</v>
      </c>
      <c r="N183" s="1" t="s">
        <v>357</v>
      </c>
      <c r="O183" s="1" t="s">
        <v>632</v>
      </c>
      <c r="P183" s="1" t="str">
        <f>_xlfn.CONCAT(B183,C183,D183,E183,F183)</f>
        <v>BC Ibiuna 1.1Inverter(MBUS-15)46029,673611111146029,673611111146030,4166666667</v>
      </c>
      <c r="Q183" s="1" t="str">
        <f>_xlfn.CONCAT(H183,I183,J183)</f>
        <v>DAURDE</v>
      </c>
    </row>
    <row r="184" spans="2:17">
      <c r="B184" s="1" t="s">
        <v>370</v>
      </c>
      <c r="C184" s="1" t="s">
        <v>256</v>
      </c>
      <c r="D184" s="52">
        <v>46029.673611111109</v>
      </c>
      <c r="E184" s="52">
        <v>46029.673611111109</v>
      </c>
      <c r="F184" s="52">
        <v>46030.416666666664</v>
      </c>
      <c r="G184" s="53">
        <f>F184-E184</f>
        <v>0.74305555555474712</v>
      </c>
      <c r="H184" s="1" t="s">
        <v>257</v>
      </c>
      <c r="J184" s="1" t="s">
        <v>258</v>
      </c>
      <c r="K184" s="1" t="s">
        <v>658</v>
      </c>
      <c r="L184" s="1" t="s">
        <v>1973</v>
      </c>
      <c r="M184" s="1" t="s">
        <v>260</v>
      </c>
      <c r="N184" s="1" t="s">
        <v>357</v>
      </c>
      <c r="O184" s="1" t="s">
        <v>632</v>
      </c>
      <c r="P184" s="1" t="str">
        <f>_xlfn.CONCAT(B184,C184,D184,E184,F184)</f>
        <v>BC Ibiuna 1.2Inverter(MBUS-12)46029,673611111146029,673611111146030,4166666667</v>
      </c>
      <c r="Q184" s="1" t="str">
        <f>_xlfn.CONCAT(H184,I184,J184)</f>
        <v>DAURDE</v>
      </c>
    </row>
    <row r="185" spans="2:17">
      <c r="B185" s="1" t="s">
        <v>370</v>
      </c>
      <c r="C185" s="1" t="s">
        <v>264</v>
      </c>
      <c r="D185" s="52">
        <v>46029.673611111109</v>
      </c>
      <c r="E185" s="52">
        <v>46029.673611111109</v>
      </c>
      <c r="F185" s="52">
        <v>46030.416666666664</v>
      </c>
      <c r="G185" s="53">
        <f>F185-E185</f>
        <v>0.74305555555474712</v>
      </c>
      <c r="H185" s="1" t="s">
        <v>257</v>
      </c>
      <c r="J185" s="1" t="s">
        <v>258</v>
      </c>
      <c r="K185" s="1" t="s">
        <v>658</v>
      </c>
      <c r="L185" s="1" t="s">
        <v>1973</v>
      </c>
      <c r="M185" s="1" t="s">
        <v>260</v>
      </c>
      <c r="N185" s="1" t="s">
        <v>357</v>
      </c>
      <c r="O185" s="1" t="s">
        <v>632</v>
      </c>
      <c r="P185" s="1" t="str">
        <f>_xlfn.CONCAT(B185,C185,D185,E185,F185)</f>
        <v>BC Ibiuna 1.2Inverter(MBUS-13)46029,673611111146029,673611111146030,4166666667</v>
      </c>
      <c r="Q185" s="1" t="str">
        <f>_xlfn.CONCAT(H185,I185,J185)</f>
        <v>DAURDE</v>
      </c>
    </row>
    <row r="186" spans="2:17">
      <c r="B186" s="1" t="s">
        <v>370</v>
      </c>
      <c r="C186" s="1" t="s">
        <v>263</v>
      </c>
      <c r="D186" s="52">
        <v>46029.673611111109</v>
      </c>
      <c r="E186" s="52">
        <v>46029.673611111109</v>
      </c>
      <c r="F186" s="52">
        <v>46030.416666666664</v>
      </c>
      <c r="G186" s="53">
        <f>F186-E186</f>
        <v>0.74305555555474712</v>
      </c>
      <c r="H186" s="1" t="s">
        <v>257</v>
      </c>
      <c r="J186" s="1" t="s">
        <v>258</v>
      </c>
      <c r="K186" s="1" t="s">
        <v>658</v>
      </c>
      <c r="L186" s="1" t="s">
        <v>1973</v>
      </c>
      <c r="M186" s="1" t="s">
        <v>260</v>
      </c>
      <c r="N186" s="1" t="s">
        <v>357</v>
      </c>
      <c r="O186" s="1" t="s">
        <v>632</v>
      </c>
      <c r="P186" s="1" t="str">
        <f>_xlfn.CONCAT(B186,C186,D186,E186,F186)</f>
        <v>BC Ibiuna 1.2Inverter(MBUS-14)46029,673611111146029,673611111146030,4166666667</v>
      </c>
      <c r="Q186" s="1" t="str">
        <f>_xlfn.CONCAT(H186,I186,J186)</f>
        <v>DAURDE</v>
      </c>
    </row>
    <row r="187" spans="2:17">
      <c r="B187" s="1" t="s">
        <v>370</v>
      </c>
      <c r="C187" s="1" t="s">
        <v>307</v>
      </c>
      <c r="D187" s="52">
        <v>46029.673611111109</v>
      </c>
      <c r="E187" s="52">
        <v>46029.673611111109</v>
      </c>
      <c r="F187" s="52">
        <v>46030.416666666664</v>
      </c>
      <c r="G187" s="53">
        <f>F187-E187</f>
        <v>0.74305555555474712</v>
      </c>
      <c r="H187" s="1" t="s">
        <v>257</v>
      </c>
      <c r="J187" s="1" t="s">
        <v>258</v>
      </c>
      <c r="K187" s="1" t="s">
        <v>658</v>
      </c>
      <c r="L187" s="1" t="s">
        <v>1973</v>
      </c>
      <c r="M187" s="1" t="s">
        <v>260</v>
      </c>
      <c r="N187" s="1" t="s">
        <v>357</v>
      </c>
      <c r="O187" s="1" t="s">
        <v>632</v>
      </c>
      <c r="P187" s="1" t="str">
        <f>_xlfn.CONCAT(B187,C187,D187,E187,F187)</f>
        <v>BC Ibiuna 1.2Inverter(MBUS-15)46029,673611111146029,673611111146030,4166666667</v>
      </c>
      <c r="Q187" s="1" t="str">
        <f>_xlfn.CONCAT(H187,I187,J187)</f>
        <v>DAURDE</v>
      </c>
    </row>
    <row r="188" spans="2:17">
      <c r="B188" s="1" t="s">
        <v>331</v>
      </c>
      <c r="C188" s="1" t="s">
        <v>332</v>
      </c>
      <c r="D188" s="52">
        <v>46029.709027777775</v>
      </c>
      <c r="E188" s="52">
        <v>46029.709027777775</v>
      </c>
      <c r="F188" s="52">
        <v>46029.770833333336</v>
      </c>
      <c r="G188" s="53">
        <f>F188-E188</f>
        <v>6.1805555560567882E-2</v>
      </c>
      <c r="H188" s="1" t="s">
        <v>268</v>
      </c>
      <c r="I188" s="1" t="s">
        <v>269</v>
      </c>
      <c r="J188" s="1" t="s">
        <v>319</v>
      </c>
      <c r="K188" s="1" t="str">
        <f>_xlfn.XLOOKUP(J188,REF!$D$2:$D$12,REF!$E$2:$E$12)</f>
        <v>Comunicação</v>
      </c>
      <c r="L188" s="1" t="s">
        <v>1974</v>
      </c>
      <c r="M188" s="1" t="s">
        <v>663</v>
      </c>
      <c r="N188" s="1" t="s">
        <v>253</v>
      </c>
      <c r="O188" s="1" t="s">
        <v>692</v>
      </c>
      <c r="P188" s="1" t="str">
        <f>_xlfn.CONCAT(B188,C188,D189,E188,F188)</f>
        <v>BC Varjao2.1215KTL-H0(MBUS-12)46029,709027777846029,709027777846029,7708333333</v>
      </c>
      <c r="Q188" s="1" t="str">
        <f>_xlfn.CONCAT(H188,I188,J188)</f>
        <v>LIGRFOCOM</v>
      </c>
    </row>
    <row r="189" spans="2:17">
      <c r="B189" s="1" t="s">
        <v>331</v>
      </c>
      <c r="C189" s="1" t="s">
        <v>335</v>
      </c>
      <c r="D189" s="52">
        <v>46029.709027777775</v>
      </c>
      <c r="E189" s="52">
        <v>46029.709027777775</v>
      </c>
      <c r="F189" s="52">
        <v>46029.770833333336</v>
      </c>
      <c r="G189" s="53">
        <f>F189-E189</f>
        <v>6.1805555560567882E-2</v>
      </c>
      <c r="H189" s="1" t="s">
        <v>268</v>
      </c>
      <c r="I189" s="1" t="s">
        <v>269</v>
      </c>
      <c r="J189" s="1" t="s">
        <v>319</v>
      </c>
      <c r="K189" s="1" t="str">
        <f>_xlfn.XLOOKUP(J189,REF!$D$2:$D$12,REF!$E$2:$E$12)</f>
        <v>Comunicação</v>
      </c>
      <c r="L189" s="1" t="s">
        <v>1974</v>
      </c>
      <c r="M189" s="1" t="s">
        <v>663</v>
      </c>
      <c r="N189" s="1" t="s">
        <v>253</v>
      </c>
      <c r="O189" s="1" t="s">
        <v>692</v>
      </c>
      <c r="P189" s="1" t="str">
        <f>_xlfn.CONCAT(B189,C189,D190,E189,F189)</f>
        <v>BC Varjao2.1215KTL-H0(MBUS-13)46029,709027777846029,709027777846029,7708333333</v>
      </c>
      <c r="Q189" s="1" t="str">
        <f>_xlfn.CONCAT(H189,I189,J189)</f>
        <v>LIGRFOCOM</v>
      </c>
    </row>
    <row r="190" spans="2:17">
      <c r="B190" s="1" t="s">
        <v>331</v>
      </c>
      <c r="C190" s="1" t="s">
        <v>336</v>
      </c>
      <c r="D190" s="52">
        <v>46029.709027777775</v>
      </c>
      <c r="E190" s="52">
        <v>46029.709027777775</v>
      </c>
      <c r="F190" s="52">
        <v>46029.770833333336</v>
      </c>
      <c r="G190" s="53">
        <f>F190-E190</f>
        <v>6.1805555560567882E-2</v>
      </c>
      <c r="H190" s="1" t="s">
        <v>268</v>
      </c>
      <c r="I190" s="1" t="s">
        <v>269</v>
      </c>
      <c r="J190" s="1" t="s">
        <v>319</v>
      </c>
      <c r="K190" s="1" t="str">
        <f>_xlfn.XLOOKUP(J190,REF!$D$2:$D$12,REF!$E$2:$E$12)</f>
        <v>Comunicação</v>
      </c>
      <c r="L190" s="1" t="s">
        <v>1974</v>
      </c>
      <c r="M190" s="1" t="s">
        <v>663</v>
      </c>
      <c r="N190" s="1" t="s">
        <v>253</v>
      </c>
      <c r="O190" s="1" t="s">
        <v>692</v>
      </c>
      <c r="P190" s="1" t="str">
        <f>_xlfn.CONCAT(B190,C190,D191,E190,F190)</f>
        <v>BC Varjao2.1215KTL-H0(MBUS-14)46029,709027777846029,709027777846029,7708333333</v>
      </c>
      <c r="Q190" s="1" t="str">
        <f>_xlfn.CONCAT(H190,I190,J190)</f>
        <v>LIGRFOCOM</v>
      </c>
    </row>
    <row r="191" spans="2:17">
      <c r="B191" s="1" t="s">
        <v>331</v>
      </c>
      <c r="C191" s="1" t="s">
        <v>337</v>
      </c>
      <c r="D191" s="52">
        <v>46029.709027777775</v>
      </c>
      <c r="E191" s="52">
        <v>46029.709027777775</v>
      </c>
      <c r="F191" s="52">
        <v>46029.770833333336</v>
      </c>
      <c r="G191" s="53">
        <f>F191-E191</f>
        <v>6.1805555560567882E-2</v>
      </c>
      <c r="H191" s="1" t="s">
        <v>268</v>
      </c>
      <c r="I191" s="1" t="s">
        <v>269</v>
      </c>
      <c r="J191" s="1" t="s">
        <v>319</v>
      </c>
      <c r="K191" s="1" t="str">
        <f>_xlfn.XLOOKUP(J191,REF!$D$2:$D$12,REF!$E$2:$E$12)</f>
        <v>Comunicação</v>
      </c>
      <c r="L191" s="1" t="s">
        <v>1974</v>
      </c>
      <c r="M191" s="1" t="s">
        <v>663</v>
      </c>
      <c r="N191" s="1" t="s">
        <v>253</v>
      </c>
      <c r="O191" s="1" t="s">
        <v>692</v>
      </c>
      <c r="P191" s="1" t="str">
        <f>_xlfn.CONCAT(B191,C191,D192,E191,F191)</f>
        <v>BC Varjao2.1215KTL-H0(MBUS-15)46029,709027777846029,709027777846029,7708333333</v>
      </c>
      <c r="Q191" s="1" t="str">
        <f>_xlfn.CONCAT(H191,I191,J191)</f>
        <v>LIGRFOCOM</v>
      </c>
    </row>
    <row r="192" spans="2:17">
      <c r="B192" s="1" t="s">
        <v>331</v>
      </c>
      <c r="C192" s="1" t="s">
        <v>338</v>
      </c>
      <c r="D192" s="52">
        <v>46029.709027777775</v>
      </c>
      <c r="E192" s="52">
        <v>46029.709027777775</v>
      </c>
      <c r="F192" s="52">
        <v>46029.770833333336</v>
      </c>
      <c r="G192" s="53">
        <f>F192-E192</f>
        <v>6.1805555560567882E-2</v>
      </c>
      <c r="H192" s="1" t="s">
        <v>268</v>
      </c>
      <c r="I192" s="1" t="s">
        <v>269</v>
      </c>
      <c r="J192" s="1" t="s">
        <v>319</v>
      </c>
      <c r="K192" s="1" t="str">
        <f>_xlfn.XLOOKUP(J192,REF!$D$2:$D$12,REF!$E$2:$E$12)</f>
        <v>Comunicação</v>
      </c>
      <c r="L192" s="1" t="s">
        <v>1974</v>
      </c>
      <c r="M192" s="1" t="s">
        <v>663</v>
      </c>
      <c r="N192" s="1" t="s">
        <v>253</v>
      </c>
      <c r="O192" s="1" t="s">
        <v>692</v>
      </c>
      <c r="P192" s="1" t="str">
        <f>_xlfn.CONCAT(B192,C192,D193,E192,F192)</f>
        <v>BC Varjao2.1215KTL-H0(MBUS-16)46029,709027777846029,709027777846029,7708333333</v>
      </c>
      <c r="Q192" s="1" t="str">
        <f>_xlfn.CONCAT(H192,I192,J192)</f>
        <v>LIGRFOCOM</v>
      </c>
    </row>
    <row r="193" spans="2:17">
      <c r="B193" s="1" t="s">
        <v>339</v>
      </c>
      <c r="C193" s="1" t="s">
        <v>335</v>
      </c>
      <c r="D193" s="52">
        <v>46029.709027777775</v>
      </c>
      <c r="E193" s="52">
        <v>46029.709027777775</v>
      </c>
      <c r="F193" s="52">
        <v>46029.770833333336</v>
      </c>
      <c r="G193" s="53">
        <f>F193-E193</f>
        <v>6.1805555560567882E-2</v>
      </c>
      <c r="H193" s="1" t="s">
        <v>268</v>
      </c>
      <c r="I193" s="1" t="s">
        <v>269</v>
      </c>
      <c r="J193" s="1" t="s">
        <v>319</v>
      </c>
      <c r="K193" s="1" t="str">
        <f>_xlfn.XLOOKUP(J193,REF!$D$2:$D$12,REF!$E$2:$E$12)</f>
        <v>Comunicação</v>
      </c>
      <c r="L193" s="1" t="s">
        <v>1974</v>
      </c>
      <c r="M193" s="1" t="s">
        <v>663</v>
      </c>
      <c r="N193" s="1" t="s">
        <v>253</v>
      </c>
      <c r="O193" s="1" t="s">
        <v>692</v>
      </c>
      <c r="P193" s="1" t="str">
        <f>_xlfn.CONCAT(B193,C193,D194,E193,F193)</f>
        <v>BC Varjao2.2215KTL-H0(MBUS-13)46029,709027777846029,709027777846029,7708333333</v>
      </c>
      <c r="Q193" s="1" t="str">
        <f>_xlfn.CONCAT(H193,I193,J193)</f>
        <v>LIGRFOCOM</v>
      </c>
    </row>
    <row r="194" spans="2:17">
      <c r="B194" s="1" t="s">
        <v>339</v>
      </c>
      <c r="C194" s="1" t="s">
        <v>336</v>
      </c>
      <c r="D194" s="52">
        <v>46029.709027777775</v>
      </c>
      <c r="E194" s="52">
        <v>46029.709027777775</v>
      </c>
      <c r="F194" s="52">
        <v>46029.770833333336</v>
      </c>
      <c r="G194" s="53">
        <f>F194-E194</f>
        <v>6.1805555560567882E-2</v>
      </c>
      <c r="H194" s="1" t="s">
        <v>268</v>
      </c>
      <c r="I194" s="1" t="s">
        <v>269</v>
      </c>
      <c r="J194" s="1" t="s">
        <v>319</v>
      </c>
      <c r="K194" s="1" t="str">
        <f>_xlfn.XLOOKUP(J194,REF!$D$2:$D$12,REF!$E$2:$E$12)</f>
        <v>Comunicação</v>
      </c>
      <c r="L194" s="1" t="s">
        <v>1974</v>
      </c>
      <c r="M194" s="1" t="s">
        <v>663</v>
      </c>
      <c r="N194" s="1" t="s">
        <v>253</v>
      </c>
      <c r="O194" s="1" t="s">
        <v>692</v>
      </c>
      <c r="P194" s="1" t="str">
        <f>_xlfn.CONCAT(B194,C194,D195,E194,F194)</f>
        <v>BC Varjao2.2215KTL-H0(MBUS-14)46029,709027777846029,709027777846029,7708333333</v>
      </c>
      <c r="Q194" s="1" t="str">
        <f>_xlfn.CONCAT(H194,I194,J194)</f>
        <v>LIGRFOCOM</v>
      </c>
    </row>
    <row r="195" spans="2:17">
      <c r="B195" s="1" t="s">
        <v>339</v>
      </c>
      <c r="C195" s="1" t="s">
        <v>337</v>
      </c>
      <c r="D195" s="52">
        <v>46029.709027777775</v>
      </c>
      <c r="E195" s="52">
        <v>46029.709027777775</v>
      </c>
      <c r="F195" s="52">
        <v>46029.770833333336</v>
      </c>
      <c r="G195" s="53">
        <f>F195-E195</f>
        <v>6.1805555560567882E-2</v>
      </c>
      <c r="H195" s="1" t="s">
        <v>268</v>
      </c>
      <c r="I195" s="1" t="s">
        <v>269</v>
      </c>
      <c r="J195" s="1" t="s">
        <v>319</v>
      </c>
      <c r="K195" s="1" t="str">
        <f>_xlfn.XLOOKUP(J195,REF!$D$2:$D$12,REF!$E$2:$E$12)</f>
        <v>Comunicação</v>
      </c>
      <c r="L195" s="1" t="s">
        <v>1974</v>
      </c>
      <c r="M195" s="1" t="s">
        <v>663</v>
      </c>
      <c r="N195" s="1" t="s">
        <v>253</v>
      </c>
      <c r="O195" s="1" t="s">
        <v>692</v>
      </c>
      <c r="P195" s="1" t="str">
        <f>_xlfn.CONCAT(B195,C195,D196,E195,F195)</f>
        <v>BC Varjao2.2215KTL-H0(MBUS-15)46029,709027777846029,709027777846029,7708333333</v>
      </c>
      <c r="Q195" s="1" t="str">
        <f>_xlfn.CONCAT(H195,I195,J195)</f>
        <v>LIGRFOCOM</v>
      </c>
    </row>
    <row r="196" spans="2:17">
      <c r="B196" s="1" t="s">
        <v>339</v>
      </c>
      <c r="C196" s="1" t="s">
        <v>338</v>
      </c>
      <c r="D196" s="52">
        <v>46029.709027777775</v>
      </c>
      <c r="E196" s="52">
        <v>46029.709027777775</v>
      </c>
      <c r="F196" s="52">
        <v>46029.770833333336</v>
      </c>
      <c r="G196" s="53">
        <f>F196-E196</f>
        <v>6.1805555560567882E-2</v>
      </c>
      <c r="H196" s="1" t="s">
        <v>268</v>
      </c>
      <c r="I196" s="1" t="s">
        <v>269</v>
      </c>
      <c r="J196" s="1" t="s">
        <v>319</v>
      </c>
      <c r="K196" s="1" t="str">
        <f>_xlfn.XLOOKUP(J196,REF!$D$2:$D$12,REF!$E$2:$E$12)</f>
        <v>Comunicação</v>
      </c>
      <c r="L196" s="1" t="s">
        <v>1974</v>
      </c>
      <c r="M196" s="1" t="s">
        <v>663</v>
      </c>
      <c r="N196" s="1" t="s">
        <v>253</v>
      </c>
      <c r="O196" s="1" t="s">
        <v>692</v>
      </c>
      <c r="P196" s="1" t="str">
        <f>_xlfn.CONCAT(B196,C196,D197,E196,F196)</f>
        <v>BC Varjao2.2215KTL-H0(MBUS-16)46029,709027777846029,709027777846029,7708333333</v>
      </c>
      <c r="Q196" s="1" t="str">
        <f>_xlfn.CONCAT(H196,I196,J196)</f>
        <v>LIGRFOCOM</v>
      </c>
    </row>
    <row r="197" spans="2:17">
      <c r="B197" s="1" t="s">
        <v>339</v>
      </c>
      <c r="C197" s="1" t="s">
        <v>332</v>
      </c>
      <c r="D197" s="52">
        <v>46029.709027777775</v>
      </c>
      <c r="E197" s="52">
        <v>46029.709027777775</v>
      </c>
      <c r="F197" s="52">
        <v>46029.770833333336</v>
      </c>
      <c r="G197" s="53">
        <f>F197-E197</f>
        <v>6.1805555560567882E-2</v>
      </c>
      <c r="H197" s="1" t="s">
        <v>268</v>
      </c>
      <c r="I197" s="1" t="s">
        <v>269</v>
      </c>
      <c r="J197" s="1" t="s">
        <v>319</v>
      </c>
      <c r="K197" s="1" t="str">
        <f>_xlfn.XLOOKUP(J197,REF!$D$2:$D$12,REF!$E$2:$E$12)</f>
        <v>Comunicação</v>
      </c>
      <c r="L197" s="1" t="s">
        <v>1974</v>
      </c>
      <c r="M197" s="1" t="s">
        <v>663</v>
      </c>
      <c r="N197" s="1" t="s">
        <v>253</v>
      </c>
      <c r="O197" s="1" t="s">
        <v>692</v>
      </c>
      <c r="P197" s="1" t="str">
        <f>_xlfn.CONCAT(B197,C197,D198,E197,F197)</f>
        <v>BC Varjao2.2215KTL-H0(MBUS-12)46029,709027777846029,709027777846029,7708333333</v>
      </c>
      <c r="Q197" s="1" t="str">
        <f>_xlfn.CONCAT(H197,I197,J197)</f>
        <v>LIGRFOCOM</v>
      </c>
    </row>
    <row r="198" spans="2:17">
      <c r="B198" s="1" t="s">
        <v>340</v>
      </c>
      <c r="C198" s="1" t="s">
        <v>341</v>
      </c>
      <c r="D198" s="52">
        <v>46029.709027777775</v>
      </c>
      <c r="E198" s="52">
        <v>46029.709027777775</v>
      </c>
      <c r="F198" s="52">
        <v>46029.770833333336</v>
      </c>
      <c r="G198" s="53">
        <f>F198-E198</f>
        <v>6.1805555560567882E-2</v>
      </c>
      <c r="H198" s="1" t="s">
        <v>268</v>
      </c>
      <c r="I198" s="1" t="s">
        <v>269</v>
      </c>
      <c r="J198" s="1" t="s">
        <v>319</v>
      </c>
      <c r="K198" s="1" t="str">
        <f>_xlfn.XLOOKUP(J198,REF!$D$2:$D$12,REF!$E$2:$E$12)</f>
        <v>Comunicação</v>
      </c>
      <c r="L198" s="1" t="s">
        <v>1974</v>
      </c>
      <c r="M198" s="1" t="s">
        <v>663</v>
      </c>
      <c r="N198" s="1" t="s">
        <v>253</v>
      </c>
      <c r="O198" s="1" t="s">
        <v>692</v>
      </c>
      <c r="P198" s="1" t="str">
        <f>_xlfn.CONCAT(B198,C198,D199,E198,F198)</f>
        <v>BC Varjao2.3100KTL-H1(MBUS-1)46029,709027777846029,709027777846029,7708333333</v>
      </c>
      <c r="Q198" s="1" t="str">
        <f>_xlfn.CONCAT(H198,I198,J198)</f>
        <v>LIGRFOCOM</v>
      </c>
    </row>
    <row r="199" spans="2:17">
      <c r="B199" s="1" t="s">
        <v>340</v>
      </c>
      <c r="C199" s="1" t="s">
        <v>335</v>
      </c>
      <c r="D199" s="52">
        <v>46029.709027777775</v>
      </c>
      <c r="E199" s="52">
        <v>46029.709027777775</v>
      </c>
      <c r="F199" s="52">
        <v>46029.770833333336</v>
      </c>
      <c r="G199" s="53">
        <f>F199-E199</f>
        <v>6.1805555560567882E-2</v>
      </c>
      <c r="H199" s="1" t="s">
        <v>268</v>
      </c>
      <c r="I199" s="1" t="s">
        <v>269</v>
      </c>
      <c r="J199" s="1" t="s">
        <v>319</v>
      </c>
      <c r="K199" s="1" t="str">
        <f>_xlfn.XLOOKUP(J199,REF!$D$2:$D$12,REF!$E$2:$E$12)</f>
        <v>Comunicação</v>
      </c>
      <c r="L199" s="1" t="s">
        <v>1974</v>
      </c>
      <c r="M199" s="1" t="s">
        <v>663</v>
      </c>
      <c r="N199" s="1" t="s">
        <v>253</v>
      </c>
      <c r="O199" s="1" t="s">
        <v>692</v>
      </c>
      <c r="P199" s="1" t="str">
        <f>_xlfn.CONCAT(B199,C199,D200,E199,F199)</f>
        <v>BC Varjao2.3215KTL-H0(MBUS-13)46029,709027777846029,709027777846029,7708333333</v>
      </c>
      <c r="Q199" s="1" t="str">
        <f>_xlfn.CONCAT(H199,I199,J199)</f>
        <v>LIGRFOCOM</v>
      </c>
    </row>
    <row r="200" spans="2:17">
      <c r="B200" s="1" t="s">
        <v>340</v>
      </c>
      <c r="C200" s="1" t="s">
        <v>332</v>
      </c>
      <c r="D200" s="52">
        <v>46029.709027777775</v>
      </c>
      <c r="E200" s="52">
        <v>46029.709027777775</v>
      </c>
      <c r="F200" s="52">
        <v>46029.770833333336</v>
      </c>
      <c r="G200" s="53">
        <f>F200-E200</f>
        <v>6.1805555560567882E-2</v>
      </c>
      <c r="H200" s="1" t="s">
        <v>268</v>
      </c>
      <c r="I200" s="1" t="s">
        <v>269</v>
      </c>
      <c r="J200" s="1" t="s">
        <v>319</v>
      </c>
      <c r="K200" s="1" t="str">
        <f>_xlfn.XLOOKUP(J200,REF!$D$2:$D$12,REF!$E$2:$E$12)</f>
        <v>Comunicação</v>
      </c>
      <c r="L200" s="1" t="s">
        <v>1974</v>
      </c>
      <c r="M200" s="1" t="s">
        <v>663</v>
      </c>
      <c r="N200" s="1" t="s">
        <v>253</v>
      </c>
      <c r="O200" s="1" t="s">
        <v>692</v>
      </c>
      <c r="P200" s="1" t="str">
        <f>_xlfn.CONCAT(B200,C200,D201,E200,F200)</f>
        <v>BC Varjao2.3215KTL-H0(MBUS-12)46030,017361111146029,709027777846029,7708333333</v>
      </c>
      <c r="Q200" s="1" t="str">
        <f>_xlfn.CONCAT(H200,I200,J200)</f>
        <v>LIGRFOCOM</v>
      </c>
    </row>
    <row r="201" spans="2:17">
      <c r="B201" s="1" t="s">
        <v>311</v>
      </c>
      <c r="C201" s="1" t="s">
        <v>256</v>
      </c>
      <c r="D201" s="52">
        <v>46030.017361111109</v>
      </c>
      <c r="E201" s="52">
        <v>46030.017361111109</v>
      </c>
      <c r="F201" s="52">
        <v>46030.316666666666</v>
      </c>
      <c r="G201" s="53">
        <f>F201-E201</f>
        <v>0.29930555555620231</v>
      </c>
      <c r="H201" s="1" t="s">
        <v>257</v>
      </c>
      <c r="J201" s="1" t="s">
        <v>258</v>
      </c>
      <c r="K201" s="1" t="s">
        <v>658</v>
      </c>
      <c r="L201" s="1" t="s">
        <v>1975</v>
      </c>
      <c r="M201" s="1" t="s">
        <v>260</v>
      </c>
      <c r="N201" s="1" t="s">
        <v>357</v>
      </c>
      <c r="O201" s="1" t="s">
        <v>632</v>
      </c>
      <c r="P201" s="1" t="str">
        <f>_xlfn.CONCAT(B201,C201,D201,E201,F201)</f>
        <v>ARAGUATINS 2.1Inverter(MBUS-12)46030,017361111146030,017361111146030,3166666667</v>
      </c>
      <c r="Q201" s="1" t="str">
        <f>_xlfn.CONCAT(H201,I201,J201)</f>
        <v>DAURDE</v>
      </c>
    </row>
    <row r="202" spans="2:17">
      <c r="B202" s="1" t="s">
        <v>311</v>
      </c>
      <c r="C202" s="1" t="s">
        <v>307</v>
      </c>
      <c r="D202" s="52">
        <v>46030.017361111109</v>
      </c>
      <c r="E202" s="52">
        <v>46030.017361111109</v>
      </c>
      <c r="F202" s="52">
        <v>46030.316666666666</v>
      </c>
      <c r="G202" s="53">
        <f>F202-E202</f>
        <v>0.29930555555620231</v>
      </c>
      <c r="H202" s="1" t="s">
        <v>257</v>
      </c>
      <c r="J202" s="1" t="s">
        <v>258</v>
      </c>
      <c r="K202" s="1" t="s">
        <v>658</v>
      </c>
      <c r="L202" s="1" t="s">
        <v>1975</v>
      </c>
      <c r="M202" s="1" t="s">
        <v>260</v>
      </c>
      <c r="N202" s="1" t="s">
        <v>357</v>
      </c>
      <c r="O202" s="1" t="s">
        <v>632</v>
      </c>
      <c r="P202" s="1" t="str">
        <f>_xlfn.CONCAT(B202,C202,D202,E202,F202)</f>
        <v>ARAGUATINS 2.1Inverter(MBUS-15)46030,017361111146030,017361111146030,3166666667</v>
      </c>
      <c r="Q202" s="1" t="str">
        <f>_xlfn.CONCAT(H202,I202,J202)</f>
        <v>DAURDE</v>
      </c>
    </row>
    <row r="203" spans="2:17">
      <c r="B203" s="1" t="s">
        <v>311</v>
      </c>
      <c r="C203" s="1" t="s">
        <v>263</v>
      </c>
      <c r="D203" s="52">
        <v>46030.017361111109</v>
      </c>
      <c r="E203" s="52">
        <v>46030.017361111109</v>
      </c>
      <c r="F203" s="52">
        <v>46030.316666666666</v>
      </c>
      <c r="G203" s="53">
        <f>F203-E203</f>
        <v>0.29930555555620231</v>
      </c>
      <c r="H203" s="1" t="s">
        <v>257</v>
      </c>
      <c r="J203" s="1" t="s">
        <v>258</v>
      </c>
      <c r="K203" s="1" t="s">
        <v>658</v>
      </c>
      <c r="L203" s="1" t="s">
        <v>1975</v>
      </c>
      <c r="M203" s="1" t="s">
        <v>260</v>
      </c>
      <c r="N203" s="1" t="s">
        <v>357</v>
      </c>
      <c r="O203" s="1" t="s">
        <v>632</v>
      </c>
      <c r="P203" s="1" t="str">
        <f>_xlfn.CONCAT(B203,C203,D203,E203,F203)</f>
        <v>ARAGUATINS 2.1Inverter(MBUS-14)46030,017361111146030,017361111146030,3166666667</v>
      </c>
      <c r="Q203" s="1" t="str">
        <f>_xlfn.CONCAT(H203,I203,J203)</f>
        <v>DAURDE</v>
      </c>
    </row>
    <row r="204" spans="2:17">
      <c r="B204" s="1" t="s">
        <v>311</v>
      </c>
      <c r="C204" s="1" t="s">
        <v>247</v>
      </c>
      <c r="D204" s="52">
        <v>46030.017361111109</v>
      </c>
      <c r="E204" s="52">
        <v>46030.017361111109</v>
      </c>
      <c r="F204" s="52">
        <v>46030.316666666666</v>
      </c>
      <c r="G204" s="53">
        <f>F204-E204</f>
        <v>0.29930555555620231</v>
      </c>
      <c r="H204" s="1" t="s">
        <v>257</v>
      </c>
      <c r="J204" s="1" t="s">
        <v>258</v>
      </c>
      <c r="K204" s="1" t="s">
        <v>658</v>
      </c>
      <c r="L204" s="1" t="s">
        <v>1975</v>
      </c>
      <c r="M204" s="1" t="s">
        <v>260</v>
      </c>
      <c r="N204" s="1" t="s">
        <v>357</v>
      </c>
      <c r="O204" s="1" t="s">
        <v>632</v>
      </c>
      <c r="P204" s="1" t="str">
        <f>_xlfn.CONCAT(B204,C204,D204,E204,F204)</f>
        <v>ARAGUATINS 2.1Inverter(MBUS-1)46030,017361111146030,017361111146030,3166666667</v>
      </c>
      <c r="Q204" s="1" t="str">
        <f>_xlfn.CONCAT(H204,I204,J204)</f>
        <v>DAURDE</v>
      </c>
    </row>
    <row r="205" spans="2:17">
      <c r="B205" s="1" t="s">
        <v>805</v>
      </c>
      <c r="C205" s="1" t="s">
        <v>264</v>
      </c>
      <c r="D205" s="52">
        <v>46030.027777777781</v>
      </c>
      <c r="E205" s="52">
        <v>46030.027777777781</v>
      </c>
      <c r="F205" s="52">
        <v>46030.303472222222</v>
      </c>
      <c r="G205" s="53">
        <f>F205-E205</f>
        <v>0.27569444444088731</v>
      </c>
      <c r="H205" s="1" t="s">
        <v>257</v>
      </c>
      <c r="J205" s="1" t="s">
        <v>258</v>
      </c>
      <c r="K205" s="1" t="s">
        <v>658</v>
      </c>
      <c r="L205" s="1" t="s">
        <v>1962</v>
      </c>
      <c r="M205" s="1" t="s">
        <v>260</v>
      </c>
      <c r="N205" s="1" t="s">
        <v>357</v>
      </c>
      <c r="O205" s="1" t="s">
        <v>632</v>
      </c>
      <c r="P205" s="1" t="str">
        <f>_xlfn.CONCAT(B205,C205,D205,E205,F205)</f>
        <v>BC Formoso1.2Inverter(MBUS-13)46030,027777777846030,027777777846030,3034722222</v>
      </c>
      <c r="Q205" s="1" t="str">
        <f>_xlfn.CONCAT(H205,I205,J205)</f>
        <v>DAURDE</v>
      </c>
    </row>
    <row r="206" spans="2:17">
      <c r="B206" s="1" t="s">
        <v>805</v>
      </c>
      <c r="C206" s="1" t="s">
        <v>256</v>
      </c>
      <c r="D206" s="52">
        <v>46030.027777777781</v>
      </c>
      <c r="E206" s="52">
        <v>46030.027777777781</v>
      </c>
      <c r="F206" s="52">
        <v>46030.303472222222</v>
      </c>
      <c r="G206" s="53">
        <f>F206-E206</f>
        <v>0.27569444444088731</v>
      </c>
      <c r="H206" s="1" t="s">
        <v>257</v>
      </c>
      <c r="J206" s="1" t="s">
        <v>258</v>
      </c>
      <c r="K206" s="1" t="s">
        <v>658</v>
      </c>
      <c r="L206" s="1" t="s">
        <v>1962</v>
      </c>
      <c r="M206" s="1" t="s">
        <v>260</v>
      </c>
      <c r="N206" s="1" t="s">
        <v>357</v>
      </c>
      <c r="O206" s="1" t="s">
        <v>632</v>
      </c>
      <c r="P206" s="1" t="str">
        <f>_xlfn.CONCAT(B206,C206,D206,E206,F206)</f>
        <v>BC Formoso1.2Inverter(MBUS-12)46030,027777777846030,027777777846030,3034722222</v>
      </c>
      <c r="Q206" s="1" t="str">
        <f>_xlfn.CONCAT(H206,I206,J206)</f>
        <v>DAURDE</v>
      </c>
    </row>
    <row r="207" spans="2:17">
      <c r="B207" s="1" t="s">
        <v>805</v>
      </c>
      <c r="C207" s="1" t="s">
        <v>307</v>
      </c>
      <c r="D207" s="52">
        <v>46030.027777777781</v>
      </c>
      <c r="E207" s="52">
        <v>46030.027777777781</v>
      </c>
      <c r="F207" s="52">
        <v>46030.303472222222</v>
      </c>
      <c r="G207" s="53">
        <f>F207-E207</f>
        <v>0.27569444444088731</v>
      </c>
      <c r="H207" s="1" t="s">
        <v>257</v>
      </c>
      <c r="J207" s="1" t="s">
        <v>258</v>
      </c>
      <c r="K207" s="1" t="s">
        <v>658</v>
      </c>
      <c r="L207" s="1" t="s">
        <v>1962</v>
      </c>
      <c r="M207" s="1" t="s">
        <v>260</v>
      </c>
      <c r="N207" s="1" t="s">
        <v>357</v>
      </c>
      <c r="O207" s="1" t="s">
        <v>632</v>
      </c>
      <c r="P207" s="1" t="str">
        <f>_xlfn.CONCAT(B207,C207,D207,E207,F207)</f>
        <v>BC Formoso1.2Inverter(MBUS-15)46030,027777777846030,027777777846030,3034722222</v>
      </c>
      <c r="Q207" s="1" t="str">
        <f>_xlfn.CONCAT(H207,I207,J207)</f>
        <v>DAURDE</v>
      </c>
    </row>
    <row r="208" spans="2:17">
      <c r="B208" s="1" t="s">
        <v>805</v>
      </c>
      <c r="C208" s="1" t="s">
        <v>263</v>
      </c>
      <c r="D208" s="52">
        <v>46030.027777777781</v>
      </c>
      <c r="E208" s="52">
        <v>46030.027777777781</v>
      </c>
      <c r="F208" s="52">
        <v>46030.303472222222</v>
      </c>
      <c r="G208" s="53">
        <f>F208-E208</f>
        <v>0.27569444444088731</v>
      </c>
      <c r="H208" s="1" t="s">
        <v>257</v>
      </c>
      <c r="J208" s="1" t="s">
        <v>258</v>
      </c>
      <c r="K208" s="1" t="s">
        <v>658</v>
      </c>
      <c r="L208" s="1" t="s">
        <v>1962</v>
      </c>
      <c r="M208" s="1" t="s">
        <v>260</v>
      </c>
      <c r="N208" s="1" t="s">
        <v>357</v>
      </c>
      <c r="O208" s="1" t="s">
        <v>632</v>
      </c>
      <c r="P208" s="1" t="str">
        <f>_xlfn.CONCAT(B208,C208,D208,E208,F208)</f>
        <v>BC Formoso1.2Inverter(MBUS-14)46030,027777777846030,027777777846030,3034722222</v>
      </c>
      <c r="Q208" s="1" t="str">
        <f>_xlfn.CONCAT(H208,I208,J208)</f>
        <v>DAURDE</v>
      </c>
    </row>
    <row r="209" spans="2:17">
      <c r="B209" s="1" t="s">
        <v>358</v>
      </c>
      <c r="C209" s="1" t="s">
        <v>556</v>
      </c>
      <c r="D209" s="52">
        <v>46030.458333333336</v>
      </c>
      <c r="E209" s="52">
        <v>46030.458333333336</v>
      </c>
      <c r="F209" s="52">
        <v>46030.472222222219</v>
      </c>
      <c r="G209" s="53">
        <f>F209-E209</f>
        <v>1.3888888883229811E-2</v>
      </c>
      <c r="H209" s="1" t="s">
        <v>257</v>
      </c>
      <c r="J209" s="1" t="s">
        <v>371</v>
      </c>
      <c r="K209" s="1" t="s">
        <v>653</v>
      </c>
      <c r="L209" s="1" t="s">
        <v>1976</v>
      </c>
      <c r="M209" s="1" t="s">
        <v>252</v>
      </c>
      <c r="N209" s="1" t="s">
        <v>253</v>
      </c>
      <c r="O209" s="1" t="s">
        <v>693</v>
      </c>
      <c r="P209" s="1" t="str">
        <f>_xlfn.CONCAT(B209,C209,D209,E209,F209)</f>
        <v>BC Aracu2Inverter8346030,458333333346030,458333333346030,4722222222</v>
      </c>
      <c r="Q209" s="1" t="str">
        <f>_xlfn.CONCAT(H209,I209,J209)</f>
        <v>DAUINV</v>
      </c>
    </row>
    <row r="210" spans="2:17">
      <c r="B210" s="1" t="s">
        <v>370</v>
      </c>
      <c r="C210" s="1" t="s">
        <v>256</v>
      </c>
      <c r="D210" s="52">
        <v>46030.541666666664</v>
      </c>
      <c r="E210" s="52">
        <v>46030.541666666664</v>
      </c>
      <c r="F210" s="52">
        <v>46030.548611111109</v>
      </c>
      <c r="G210" s="53">
        <f>F210-E210</f>
        <v>6.9444444452528842E-3</v>
      </c>
      <c r="H210" s="1" t="s">
        <v>257</v>
      </c>
      <c r="J210" s="1" t="s">
        <v>258</v>
      </c>
      <c r="K210" s="1" t="s">
        <v>658</v>
      </c>
      <c r="L210" s="1" t="s">
        <v>1973</v>
      </c>
      <c r="M210" s="1" t="s">
        <v>260</v>
      </c>
      <c r="N210" s="1" t="s">
        <v>357</v>
      </c>
      <c r="O210" s="1" t="s">
        <v>632</v>
      </c>
      <c r="P210" s="1" t="str">
        <f>_xlfn.CONCAT(B210,C210,D210,E210,F210)</f>
        <v>BC Ibiuna 1.2Inverter(MBUS-12)46030,541666666746030,541666666746030,5486111111</v>
      </c>
      <c r="Q210" s="1" t="str">
        <f>_xlfn.CONCAT(H210,I210,J210)</f>
        <v>DAURDE</v>
      </c>
    </row>
    <row r="211" spans="2:17">
      <c r="B211" s="1" t="s">
        <v>370</v>
      </c>
      <c r="C211" s="1" t="s">
        <v>264</v>
      </c>
      <c r="D211" s="52">
        <v>46030.541666666664</v>
      </c>
      <c r="E211" s="52">
        <v>46030.541666666664</v>
      </c>
      <c r="F211" s="52">
        <v>46030.548611111109</v>
      </c>
      <c r="G211" s="53">
        <f>F211-E211</f>
        <v>6.9444444452528842E-3</v>
      </c>
      <c r="H211" s="1" t="s">
        <v>257</v>
      </c>
      <c r="J211" s="1" t="s">
        <v>258</v>
      </c>
      <c r="K211" s="1" t="s">
        <v>658</v>
      </c>
      <c r="L211" s="1" t="s">
        <v>1973</v>
      </c>
      <c r="M211" s="1" t="s">
        <v>260</v>
      </c>
      <c r="N211" s="1" t="s">
        <v>357</v>
      </c>
      <c r="O211" s="1" t="s">
        <v>632</v>
      </c>
      <c r="P211" s="1" t="str">
        <f>_xlfn.CONCAT(B211,C211,D211,E211,F211)</f>
        <v>BC Ibiuna 1.2Inverter(MBUS-13)46030,541666666746030,541666666746030,5486111111</v>
      </c>
      <c r="Q211" s="1" t="str">
        <f>_xlfn.CONCAT(H211,I211,J211)</f>
        <v>DAURDE</v>
      </c>
    </row>
    <row r="212" spans="2:17">
      <c r="B212" s="1" t="s">
        <v>370</v>
      </c>
      <c r="C212" s="1" t="s">
        <v>263</v>
      </c>
      <c r="D212" s="52">
        <v>46030.541666666664</v>
      </c>
      <c r="E212" s="52">
        <v>46030.541666666664</v>
      </c>
      <c r="F212" s="52">
        <v>46030.548611111109</v>
      </c>
      <c r="G212" s="53">
        <f>F212-E212</f>
        <v>6.9444444452528842E-3</v>
      </c>
      <c r="H212" s="1" t="s">
        <v>257</v>
      </c>
      <c r="J212" s="1" t="s">
        <v>258</v>
      </c>
      <c r="K212" s="1" t="s">
        <v>658</v>
      </c>
      <c r="L212" s="1" t="s">
        <v>1973</v>
      </c>
      <c r="M212" s="1" t="s">
        <v>260</v>
      </c>
      <c r="N212" s="1" t="s">
        <v>357</v>
      </c>
      <c r="O212" s="1" t="s">
        <v>632</v>
      </c>
      <c r="P212" s="1" t="str">
        <f>_xlfn.CONCAT(B212,C212,D212,E212,F212)</f>
        <v>BC Ibiuna 1.2Inverter(MBUS-14)46030,541666666746030,541666666746030,5486111111</v>
      </c>
      <c r="Q212" s="1" t="str">
        <f>_xlfn.CONCAT(H212,I212,J212)</f>
        <v>DAURDE</v>
      </c>
    </row>
    <row r="213" spans="2:17">
      <c r="B213" s="1" t="s">
        <v>370</v>
      </c>
      <c r="C213" s="1" t="s">
        <v>307</v>
      </c>
      <c r="D213" s="52">
        <v>46030.541666666664</v>
      </c>
      <c r="E213" s="52">
        <v>46030.541666666664</v>
      </c>
      <c r="F213" s="52">
        <v>46030.548611111109</v>
      </c>
      <c r="G213" s="53">
        <f>F213-E213</f>
        <v>6.9444444452528842E-3</v>
      </c>
      <c r="H213" s="1" t="s">
        <v>257</v>
      </c>
      <c r="J213" s="1" t="s">
        <v>258</v>
      </c>
      <c r="K213" s="1" t="s">
        <v>658</v>
      </c>
      <c r="L213" s="1" t="s">
        <v>1973</v>
      </c>
      <c r="M213" s="1" t="s">
        <v>260</v>
      </c>
      <c r="N213" s="1" t="s">
        <v>357</v>
      </c>
      <c r="O213" s="1" t="s">
        <v>632</v>
      </c>
      <c r="P213" s="1" t="str">
        <f>_xlfn.CONCAT(B213,C213,D213,E213,F213)</f>
        <v>BC Ibiuna 1.2Inverter(MBUS-15)46030,541666666746030,541666666746030,5486111111</v>
      </c>
      <c r="Q213" s="1" t="str">
        <f>_xlfn.CONCAT(H213,I213,J213)</f>
        <v>DAURDE</v>
      </c>
    </row>
    <row r="214" spans="2:17">
      <c r="B214" s="1" t="s">
        <v>370</v>
      </c>
      <c r="C214" s="1" t="s">
        <v>256</v>
      </c>
      <c r="D214" s="52">
        <v>46030.604166666664</v>
      </c>
      <c r="E214" s="52">
        <v>46030.604166666664</v>
      </c>
      <c r="F214" s="52">
        <v>46030.666666666664</v>
      </c>
      <c r="G214" s="53">
        <f>F214-E214</f>
        <v>6.25E-2</v>
      </c>
      <c r="H214" s="1" t="s">
        <v>257</v>
      </c>
      <c r="J214" s="1" t="s">
        <v>258</v>
      </c>
      <c r="K214" s="1" t="s">
        <v>658</v>
      </c>
      <c r="L214" s="1" t="s">
        <v>1977</v>
      </c>
      <c r="M214" s="1" t="s">
        <v>260</v>
      </c>
      <c r="N214" s="1" t="s">
        <v>357</v>
      </c>
      <c r="O214" s="1" t="s">
        <v>632</v>
      </c>
      <c r="P214" s="1" t="str">
        <f>_xlfn.CONCAT(B214,C214,D214,E214,F214)</f>
        <v>BC Ibiuna 1.2Inverter(MBUS-12)46030,604166666746030,604166666746030,6666666667</v>
      </c>
      <c r="Q214" s="1" t="str">
        <f>_xlfn.CONCAT(H214,I214,J214)</f>
        <v>DAURDE</v>
      </c>
    </row>
    <row r="215" spans="2:17">
      <c r="B215" s="1" t="s">
        <v>370</v>
      </c>
      <c r="C215" s="1" t="s">
        <v>264</v>
      </c>
      <c r="D215" s="52">
        <v>46030.604166666664</v>
      </c>
      <c r="E215" s="52">
        <v>46030.604166666664</v>
      </c>
      <c r="F215" s="52">
        <v>46030.666666666664</v>
      </c>
      <c r="G215" s="53">
        <f>F215-E215</f>
        <v>6.25E-2</v>
      </c>
      <c r="H215" s="1" t="s">
        <v>257</v>
      </c>
      <c r="J215" s="1" t="s">
        <v>258</v>
      </c>
      <c r="K215" s="1" t="s">
        <v>658</v>
      </c>
      <c r="L215" s="1" t="s">
        <v>1977</v>
      </c>
      <c r="M215" s="1" t="s">
        <v>260</v>
      </c>
      <c r="N215" s="1" t="s">
        <v>357</v>
      </c>
      <c r="O215" s="1" t="s">
        <v>632</v>
      </c>
      <c r="P215" s="1" t="str">
        <f>_xlfn.CONCAT(B215,C215,D215,E215,F215)</f>
        <v>BC Ibiuna 1.2Inverter(MBUS-13)46030,604166666746030,604166666746030,6666666667</v>
      </c>
      <c r="Q215" s="1" t="str">
        <f>_xlfn.CONCAT(H215,I215,J215)</f>
        <v>DAURDE</v>
      </c>
    </row>
    <row r="216" spans="2:17">
      <c r="B216" s="1" t="s">
        <v>370</v>
      </c>
      <c r="C216" s="1" t="s">
        <v>263</v>
      </c>
      <c r="D216" s="52">
        <v>46030.604166666664</v>
      </c>
      <c r="E216" s="52">
        <v>46030.604166666664</v>
      </c>
      <c r="F216" s="52">
        <v>46030.666666666664</v>
      </c>
      <c r="G216" s="53">
        <f>F216-E216</f>
        <v>6.25E-2</v>
      </c>
      <c r="H216" s="1" t="s">
        <v>257</v>
      </c>
      <c r="J216" s="1" t="s">
        <v>258</v>
      </c>
      <c r="K216" s="1" t="s">
        <v>658</v>
      </c>
      <c r="L216" s="1" t="s">
        <v>1977</v>
      </c>
      <c r="M216" s="1" t="s">
        <v>260</v>
      </c>
      <c r="N216" s="1" t="s">
        <v>357</v>
      </c>
      <c r="O216" s="1" t="s">
        <v>632</v>
      </c>
      <c r="P216" s="1" t="str">
        <f>_xlfn.CONCAT(B216,C216,D216,E216,F216)</f>
        <v>BC Ibiuna 1.2Inverter(MBUS-14)46030,604166666746030,604166666746030,6666666667</v>
      </c>
      <c r="Q216" s="1" t="str">
        <f>_xlfn.CONCAT(H216,I216,J216)</f>
        <v>DAURDE</v>
      </c>
    </row>
    <row r="217" spans="2:17">
      <c r="B217" s="1" t="s">
        <v>370</v>
      </c>
      <c r="C217" s="1" t="s">
        <v>307</v>
      </c>
      <c r="D217" s="52">
        <v>46030.604166666664</v>
      </c>
      <c r="E217" s="52">
        <v>46030.604166666664</v>
      </c>
      <c r="F217" s="52">
        <v>46030.666666666664</v>
      </c>
      <c r="G217" s="53">
        <f>F217-E217</f>
        <v>6.25E-2</v>
      </c>
      <c r="H217" s="1" t="s">
        <v>257</v>
      </c>
      <c r="J217" s="1" t="s">
        <v>258</v>
      </c>
      <c r="K217" s="1" t="s">
        <v>658</v>
      </c>
      <c r="L217" s="1" t="s">
        <v>1977</v>
      </c>
      <c r="M217" s="1" t="s">
        <v>260</v>
      </c>
      <c r="N217" s="1" t="s">
        <v>357</v>
      </c>
      <c r="O217" s="1" t="s">
        <v>632</v>
      </c>
      <c r="P217" s="1" t="str">
        <f>_xlfn.CONCAT(B217,C217,D217,E217,F217)</f>
        <v>BC Ibiuna 1.2Inverter(MBUS-15)46030,604166666746030,604166666746030,6666666667</v>
      </c>
      <c r="Q217" s="1" t="str">
        <f>_xlfn.CONCAT(H217,I217,J217)</f>
        <v>DAURDE</v>
      </c>
    </row>
    <row r="218" spans="2:17">
      <c r="B218" s="1" t="s">
        <v>375</v>
      </c>
      <c r="C218" s="1" t="s">
        <v>247</v>
      </c>
      <c r="D218" s="52">
        <v>46030.715277777781</v>
      </c>
      <c r="E218" s="52">
        <v>46030.715277777781</v>
      </c>
      <c r="F218" s="52">
        <v>46030.785416666666</v>
      </c>
      <c r="G218" s="53">
        <f>F218-E218</f>
        <v>7.0138888884685002E-2</v>
      </c>
      <c r="H218" s="1" t="s">
        <v>257</v>
      </c>
      <c r="J218" s="1" t="s">
        <v>258</v>
      </c>
      <c r="K218" s="1" t="s">
        <v>658</v>
      </c>
      <c r="L218" s="1" t="s">
        <v>1962</v>
      </c>
      <c r="M218" s="1" t="s">
        <v>260</v>
      </c>
      <c r="N218" s="1" t="s">
        <v>357</v>
      </c>
      <c r="O218" s="1" t="s">
        <v>632</v>
      </c>
      <c r="P218" s="1" t="str">
        <f>_xlfn.CONCAT(B218,C218,D218,E218,F218)</f>
        <v>BC Camarao1.1Inverter(MBUS-1)46030,715277777846030,715277777846030,7854166667</v>
      </c>
      <c r="Q218" s="1" t="str">
        <f>_xlfn.CONCAT(H218,I218,J218)</f>
        <v>DAURDE</v>
      </c>
    </row>
    <row r="219" spans="2:17">
      <c r="B219" s="1" t="s">
        <v>375</v>
      </c>
      <c r="C219" s="1" t="s">
        <v>377</v>
      </c>
      <c r="D219" s="52">
        <v>46030.715277777781</v>
      </c>
      <c r="E219" s="52">
        <v>46030.715277777781</v>
      </c>
      <c r="F219" s="52">
        <v>46030.785416666666</v>
      </c>
      <c r="G219" s="53">
        <f>F219-E219</f>
        <v>7.0138888884685002E-2</v>
      </c>
      <c r="H219" s="1" t="s">
        <v>257</v>
      </c>
      <c r="J219" s="1" t="s">
        <v>258</v>
      </c>
      <c r="K219" s="1" t="s">
        <v>658</v>
      </c>
      <c r="L219" s="1" t="s">
        <v>1962</v>
      </c>
      <c r="M219" s="1" t="s">
        <v>260</v>
      </c>
      <c r="N219" s="1" t="s">
        <v>357</v>
      </c>
      <c r="O219" s="1" t="s">
        <v>632</v>
      </c>
      <c r="P219" s="1" t="str">
        <f>_xlfn.CONCAT(B219,C219,D219,E219,F219)</f>
        <v>BC Camarao1.1215KTL-H3(MBUS-12)46030,715277777846030,715277777846030,7854166667</v>
      </c>
      <c r="Q219" s="1" t="str">
        <f>_xlfn.CONCAT(H219,I219,J219)</f>
        <v>DAURDE</v>
      </c>
    </row>
    <row r="220" spans="2:17">
      <c r="B220" s="1" t="s">
        <v>375</v>
      </c>
      <c r="C220" s="1" t="s">
        <v>378</v>
      </c>
      <c r="D220" s="52">
        <v>46030.715277777781</v>
      </c>
      <c r="E220" s="52">
        <v>46030.715277777781</v>
      </c>
      <c r="F220" s="52">
        <v>46030.785416666666</v>
      </c>
      <c r="G220" s="53">
        <f>F220-E220</f>
        <v>7.0138888884685002E-2</v>
      </c>
      <c r="H220" s="1" t="s">
        <v>257</v>
      </c>
      <c r="J220" s="1" t="s">
        <v>258</v>
      </c>
      <c r="K220" s="1" t="s">
        <v>658</v>
      </c>
      <c r="L220" s="1" t="s">
        <v>1962</v>
      </c>
      <c r="M220" s="1" t="s">
        <v>260</v>
      </c>
      <c r="N220" s="1" t="s">
        <v>357</v>
      </c>
      <c r="O220" s="1" t="s">
        <v>632</v>
      </c>
      <c r="P220" s="1" t="str">
        <f>_xlfn.CONCAT(B220,C220,D220,E220,F220)</f>
        <v>BC Camarao1.1215KTL-H3(MBUS-13)46030,715277777846030,715277777846030,7854166667</v>
      </c>
      <c r="Q220" s="1" t="str">
        <f>_xlfn.CONCAT(H220,I220,J220)</f>
        <v>DAURDE</v>
      </c>
    </row>
    <row r="221" spans="2:17">
      <c r="B221" s="1" t="s">
        <v>375</v>
      </c>
      <c r="C221" s="1" t="s">
        <v>379</v>
      </c>
      <c r="D221" s="52">
        <v>46030.715277777781</v>
      </c>
      <c r="E221" s="52">
        <v>46030.715277777781</v>
      </c>
      <c r="F221" s="52">
        <v>46030.785416666666</v>
      </c>
      <c r="G221" s="53">
        <f>F221-E221</f>
        <v>7.0138888884685002E-2</v>
      </c>
      <c r="H221" s="1" t="s">
        <v>257</v>
      </c>
      <c r="J221" s="1" t="s">
        <v>258</v>
      </c>
      <c r="K221" s="1" t="s">
        <v>658</v>
      </c>
      <c r="L221" s="1" t="s">
        <v>1962</v>
      </c>
      <c r="M221" s="1" t="s">
        <v>260</v>
      </c>
      <c r="N221" s="1" t="s">
        <v>357</v>
      </c>
      <c r="O221" s="1" t="s">
        <v>632</v>
      </c>
      <c r="P221" s="1" t="str">
        <f>_xlfn.CONCAT(B221,C221,D221,E221,F221)</f>
        <v>BC Camarao1.1215KTL-H3(MBUS-16)46030,715277777846030,715277777846030,7854166667</v>
      </c>
      <c r="Q221" s="1" t="str">
        <f>_xlfn.CONCAT(H221,I221,J221)</f>
        <v>DAURDE</v>
      </c>
    </row>
    <row r="222" spans="2:17">
      <c r="B222" s="1" t="s">
        <v>375</v>
      </c>
      <c r="C222" s="1" t="s">
        <v>380</v>
      </c>
      <c r="D222" s="52">
        <v>46030.715277777781</v>
      </c>
      <c r="E222" s="52">
        <v>46030.715277777781</v>
      </c>
      <c r="F222" s="52">
        <v>46030.785416666666</v>
      </c>
      <c r="G222" s="53">
        <f>F222-E222</f>
        <v>7.0138888884685002E-2</v>
      </c>
      <c r="H222" s="1" t="s">
        <v>257</v>
      </c>
      <c r="J222" s="1" t="s">
        <v>258</v>
      </c>
      <c r="K222" s="1" t="s">
        <v>658</v>
      </c>
      <c r="L222" s="1" t="s">
        <v>1962</v>
      </c>
      <c r="M222" s="1" t="s">
        <v>260</v>
      </c>
      <c r="N222" s="1" t="s">
        <v>357</v>
      </c>
      <c r="O222" s="1" t="s">
        <v>632</v>
      </c>
      <c r="P222" s="1" t="str">
        <f>_xlfn.CONCAT(B222,C222,D222,E222,F222)</f>
        <v>BC Camarao1.1215KTL-H3(MBUS-15)46030,715277777846030,715277777846030,7854166667</v>
      </c>
      <c r="Q222" s="1" t="str">
        <f>_xlfn.CONCAT(H222,I222,J222)</f>
        <v>DAURDE</v>
      </c>
    </row>
    <row r="223" spans="2:17">
      <c r="B223" s="1" t="s">
        <v>387</v>
      </c>
      <c r="C223" s="1" t="s">
        <v>247</v>
      </c>
      <c r="D223" s="52">
        <v>46030.715277777781</v>
      </c>
      <c r="E223" s="52">
        <v>46030.715277777781</v>
      </c>
      <c r="F223" s="52">
        <v>46030.785416666666</v>
      </c>
      <c r="G223" s="53">
        <f>F223-E223</f>
        <v>7.0138888884685002E-2</v>
      </c>
      <c r="H223" s="1" t="s">
        <v>257</v>
      </c>
      <c r="J223" s="1" t="s">
        <v>258</v>
      </c>
      <c r="K223" s="1" t="s">
        <v>658</v>
      </c>
      <c r="L223" s="1" t="s">
        <v>1962</v>
      </c>
      <c r="M223" s="1" t="s">
        <v>260</v>
      </c>
      <c r="N223" s="1" t="s">
        <v>357</v>
      </c>
      <c r="O223" s="1" t="s">
        <v>632</v>
      </c>
      <c r="P223" s="1" t="str">
        <f>_xlfn.CONCAT(B223,C223,D223,E223,F223)</f>
        <v>BC Camarao1.2Inverter(MBUS-1)46030,715277777846030,715277777846030,7854166667</v>
      </c>
      <c r="Q223" s="1" t="str">
        <f>_xlfn.CONCAT(H223,I223,J223)</f>
        <v>DAURDE</v>
      </c>
    </row>
    <row r="224" spans="2:17">
      <c r="B224" s="1" t="s">
        <v>387</v>
      </c>
      <c r="C224" s="1" t="s">
        <v>388</v>
      </c>
      <c r="D224" s="52">
        <v>46030.715277777781</v>
      </c>
      <c r="E224" s="52">
        <v>46030.715277777781</v>
      </c>
      <c r="F224" s="52">
        <v>46030.785416666666</v>
      </c>
      <c r="G224" s="53">
        <f>F224-E224</f>
        <v>7.0138888884685002E-2</v>
      </c>
      <c r="H224" s="1" t="s">
        <v>257</v>
      </c>
      <c r="J224" s="1" t="s">
        <v>258</v>
      </c>
      <c r="K224" s="1" t="s">
        <v>658</v>
      </c>
      <c r="L224" s="1" t="s">
        <v>1962</v>
      </c>
      <c r="M224" s="1" t="s">
        <v>260</v>
      </c>
      <c r="N224" s="1" t="s">
        <v>357</v>
      </c>
      <c r="O224" s="1" t="s">
        <v>632</v>
      </c>
      <c r="P224" s="1" t="str">
        <f>_xlfn.CONCAT(B224,C224,D224,E224,F224)</f>
        <v>BC Camarao1.2Inv. 346030,715277777846030,715277777846030,7854166667</v>
      </c>
      <c r="Q224" s="1" t="str">
        <f>_xlfn.CONCAT(H224,I224,J224)</f>
        <v>DAURDE</v>
      </c>
    </row>
    <row r="225" spans="2:17">
      <c r="B225" s="1" t="s">
        <v>387</v>
      </c>
      <c r="C225" s="1" t="s">
        <v>389</v>
      </c>
      <c r="D225" s="52">
        <v>46030.715277777781</v>
      </c>
      <c r="E225" s="52">
        <v>46030.715277777781</v>
      </c>
      <c r="F225" s="52">
        <v>46030.785416666666</v>
      </c>
      <c r="G225" s="53">
        <f>F225-E225</f>
        <v>7.0138888884685002E-2</v>
      </c>
      <c r="H225" s="1" t="s">
        <v>257</v>
      </c>
      <c r="J225" s="1" t="s">
        <v>258</v>
      </c>
      <c r="K225" s="1" t="s">
        <v>658</v>
      </c>
      <c r="L225" s="1" t="s">
        <v>1962</v>
      </c>
      <c r="M225" s="1" t="s">
        <v>260</v>
      </c>
      <c r="N225" s="1" t="s">
        <v>357</v>
      </c>
      <c r="O225" s="1" t="s">
        <v>632</v>
      </c>
      <c r="P225" s="1" t="str">
        <f>_xlfn.CONCAT(B225,C225,D225,E225,F225)</f>
        <v>BC Camarao1.2Inv. 446030,715277777846030,715277777846030,7854166667</v>
      </c>
      <c r="Q225" s="1" t="str">
        <f>_xlfn.CONCAT(H225,I225,J225)</f>
        <v>DAURDE</v>
      </c>
    </row>
    <row r="226" spans="2:17">
      <c r="B226" s="1" t="s">
        <v>387</v>
      </c>
      <c r="C226" s="1" t="s">
        <v>390</v>
      </c>
      <c r="D226" s="52">
        <v>46030.715277777781</v>
      </c>
      <c r="E226" s="52">
        <v>46030.715277777781</v>
      </c>
      <c r="F226" s="52">
        <v>46030.785416666666</v>
      </c>
      <c r="G226" s="53">
        <f>F226-E226</f>
        <v>7.0138888884685002E-2</v>
      </c>
      <c r="H226" s="1" t="s">
        <v>257</v>
      </c>
      <c r="J226" s="1" t="s">
        <v>258</v>
      </c>
      <c r="K226" s="1" t="s">
        <v>658</v>
      </c>
      <c r="L226" s="1" t="s">
        <v>1962</v>
      </c>
      <c r="M226" s="1" t="s">
        <v>260</v>
      </c>
      <c r="N226" s="1" t="s">
        <v>357</v>
      </c>
      <c r="O226" s="1" t="s">
        <v>632</v>
      </c>
      <c r="P226" s="1" t="str">
        <f>_xlfn.CONCAT(B226,C226,D226,E226,F226)</f>
        <v>BC Camarao1.2Inverter(MBUS-16)46030,715277777846030,715277777846030,7854166667</v>
      </c>
      <c r="Q226" s="1" t="str">
        <f>_xlfn.CONCAT(H226,I226,J226)</f>
        <v>DAURDE</v>
      </c>
    </row>
    <row r="227" spans="2:17">
      <c r="B227" s="1" t="s">
        <v>387</v>
      </c>
      <c r="C227" s="1" t="s">
        <v>256</v>
      </c>
      <c r="D227" s="52">
        <v>46030.715277777781</v>
      </c>
      <c r="E227" s="52">
        <v>46030.715277777781</v>
      </c>
      <c r="F227" s="52">
        <v>46030.785416666666</v>
      </c>
      <c r="G227" s="53">
        <f>F227-E227</f>
        <v>7.0138888884685002E-2</v>
      </c>
      <c r="H227" s="1" t="s">
        <v>257</v>
      </c>
      <c r="J227" s="1" t="s">
        <v>258</v>
      </c>
      <c r="K227" s="1" t="s">
        <v>658</v>
      </c>
      <c r="L227" s="1" t="s">
        <v>1962</v>
      </c>
      <c r="M227" s="1" t="s">
        <v>260</v>
      </c>
      <c r="N227" s="1" t="s">
        <v>357</v>
      </c>
      <c r="O227" s="1" t="s">
        <v>632</v>
      </c>
      <c r="P227" s="1" t="str">
        <f>_xlfn.CONCAT(B227,C227,D227,E227,F227)</f>
        <v>BC Camarao1.2Inverter(MBUS-12)46030,715277777846030,715277777846030,7854166667</v>
      </c>
      <c r="Q227" s="1" t="str">
        <f>_xlfn.CONCAT(H227,I227,J227)</f>
        <v>DAURDE</v>
      </c>
    </row>
    <row r="228" spans="2:17">
      <c r="B228" s="1" t="s">
        <v>381</v>
      </c>
      <c r="C228" s="1" t="s">
        <v>379</v>
      </c>
      <c r="D228" s="52">
        <v>46030.715277777781</v>
      </c>
      <c r="E228" s="52">
        <v>46030.715277777781</v>
      </c>
      <c r="F228" s="52">
        <v>46030.785416666666</v>
      </c>
      <c r="G228" s="53">
        <f>F228-E228</f>
        <v>7.0138888884685002E-2</v>
      </c>
      <c r="H228" s="1" t="s">
        <v>257</v>
      </c>
      <c r="J228" s="1" t="s">
        <v>258</v>
      </c>
      <c r="K228" s="1" t="s">
        <v>658</v>
      </c>
      <c r="L228" s="1" t="s">
        <v>1962</v>
      </c>
      <c r="M228" s="1" t="s">
        <v>260</v>
      </c>
      <c r="N228" s="1" t="s">
        <v>357</v>
      </c>
      <c r="O228" s="1" t="s">
        <v>632</v>
      </c>
      <c r="P228" s="1" t="str">
        <f>_xlfn.CONCAT(B228,C228,D228,E228,F228)</f>
        <v>BC Camarao1.3215KTL-H3(MBUS-16)46030,715277777846030,715277777846030,7854166667</v>
      </c>
      <c r="Q228" s="1" t="str">
        <f>_xlfn.CONCAT(H228,I228,J228)</f>
        <v>DAURDE</v>
      </c>
    </row>
    <row r="229" spans="2:17">
      <c r="B229" s="1" t="s">
        <v>381</v>
      </c>
      <c r="C229" s="1" t="s">
        <v>382</v>
      </c>
      <c r="D229" s="52">
        <v>46030.715277777781</v>
      </c>
      <c r="E229" s="52">
        <v>46030.715277777781</v>
      </c>
      <c r="F229" s="52">
        <v>46030.785416666666</v>
      </c>
      <c r="G229" s="53">
        <f>F229-E229</f>
        <v>7.0138888884685002E-2</v>
      </c>
      <c r="H229" s="1" t="s">
        <v>257</v>
      </c>
      <c r="J229" s="1" t="s">
        <v>258</v>
      </c>
      <c r="K229" s="1" t="s">
        <v>658</v>
      </c>
      <c r="L229" s="1" t="s">
        <v>1962</v>
      </c>
      <c r="M229" s="1" t="s">
        <v>260</v>
      </c>
      <c r="N229" s="1" t="s">
        <v>357</v>
      </c>
      <c r="O229" s="1" t="s">
        <v>632</v>
      </c>
      <c r="P229" s="1" t="str">
        <f>_xlfn.CONCAT(B229,C229,D229,E229,F229)</f>
        <v>BC Camarao1.3215KTL-H3(MBUS-14)46030,715277777846030,715277777846030,7854166667</v>
      </c>
      <c r="Q229" s="1" t="str">
        <f>_xlfn.CONCAT(H229,I229,J229)</f>
        <v>DAURDE</v>
      </c>
    </row>
    <row r="230" spans="2:17">
      <c r="B230" s="1" t="s">
        <v>381</v>
      </c>
      <c r="C230" s="1" t="s">
        <v>380</v>
      </c>
      <c r="D230" s="52">
        <v>46030.715277777781</v>
      </c>
      <c r="E230" s="52">
        <v>46030.715277777781</v>
      </c>
      <c r="F230" s="52">
        <v>46030.785416666666</v>
      </c>
      <c r="G230" s="53">
        <f>F230-E230</f>
        <v>7.0138888884685002E-2</v>
      </c>
      <c r="H230" s="1" t="s">
        <v>257</v>
      </c>
      <c r="J230" s="1" t="s">
        <v>258</v>
      </c>
      <c r="K230" s="1" t="s">
        <v>658</v>
      </c>
      <c r="L230" s="1" t="s">
        <v>1962</v>
      </c>
      <c r="M230" s="1" t="s">
        <v>260</v>
      </c>
      <c r="N230" s="1" t="s">
        <v>357</v>
      </c>
      <c r="O230" s="1" t="s">
        <v>632</v>
      </c>
      <c r="P230" s="1" t="str">
        <f>_xlfn.CONCAT(B230,C230,D230,E230,F230)</f>
        <v>BC Camarao1.3215KTL-H3(MBUS-15)46030,715277777846030,715277777846030,7854166667</v>
      </c>
      <c r="Q230" s="1" t="str">
        <f>_xlfn.CONCAT(H230,I230,J230)</f>
        <v>DAURDE</v>
      </c>
    </row>
    <row r="231" spans="2:17">
      <c r="B231" s="1" t="s">
        <v>381</v>
      </c>
      <c r="C231" s="1" t="s">
        <v>377</v>
      </c>
      <c r="D231" s="52">
        <v>46030.715277777781</v>
      </c>
      <c r="E231" s="52">
        <v>46030.715277777781</v>
      </c>
      <c r="F231" s="52">
        <v>46030.785416666666</v>
      </c>
      <c r="G231" s="53">
        <f>F231-E231</f>
        <v>7.0138888884685002E-2</v>
      </c>
      <c r="H231" s="1" t="s">
        <v>257</v>
      </c>
      <c r="J231" s="1" t="s">
        <v>258</v>
      </c>
      <c r="K231" s="1" t="s">
        <v>658</v>
      </c>
      <c r="L231" s="1" t="s">
        <v>1962</v>
      </c>
      <c r="M231" s="1" t="s">
        <v>260</v>
      </c>
      <c r="N231" s="1" t="s">
        <v>357</v>
      </c>
      <c r="O231" s="1" t="s">
        <v>632</v>
      </c>
      <c r="P231" s="1" t="str">
        <f>_xlfn.CONCAT(B231,C231,D231,E231,F231)</f>
        <v>BC Camarao1.3215KTL-H3(MBUS-12)46030,715277777846030,715277777846030,7854166667</v>
      </c>
      <c r="Q231" s="1" t="str">
        <f>_xlfn.CONCAT(H231,I231,J231)</f>
        <v>DAURDE</v>
      </c>
    </row>
    <row r="232" spans="2:17">
      <c r="B232" s="1" t="s">
        <v>381</v>
      </c>
      <c r="C232" s="1" t="s">
        <v>378</v>
      </c>
      <c r="D232" s="52">
        <v>46030.715277777781</v>
      </c>
      <c r="E232" s="52">
        <v>46030.715277777781</v>
      </c>
      <c r="F232" s="52">
        <v>46030.785416666666</v>
      </c>
      <c r="G232" s="53">
        <f>F232-E232</f>
        <v>7.0138888884685002E-2</v>
      </c>
      <c r="H232" s="1" t="s">
        <v>257</v>
      </c>
      <c r="J232" s="1" t="s">
        <v>258</v>
      </c>
      <c r="K232" s="1" t="s">
        <v>658</v>
      </c>
      <c r="L232" s="1" t="s">
        <v>1962</v>
      </c>
      <c r="M232" s="1" t="s">
        <v>260</v>
      </c>
      <c r="N232" s="1" t="s">
        <v>357</v>
      </c>
      <c r="O232" s="1" t="s">
        <v>632</v>
      </c>
      <c r="P232" s="1" t="str">
        <f>_xlfn.CONCAT(B232,C232,D232,E232,F232)</f>
        <v>BC Camarao1.3215KTL-H3(MBUS-13)46030,715277777846030,715277777846030,7854166667</v>
      </c>
      <c r="Q232" s="1" t="str">
        <f>_xlfn.CONCAT(H232,I232,J232)</f>
        <v>DAURDE</v>
      </c>
    </row>
    <row r="233" spans="2:17">
      <c r="B233" s="1" t="s">
        <v>391</v>
      </c>
      <c r="C233" s="1" t="s">
        <v>392</v>
      </c>
      <c r="D233" s="52">
        <v>46030.715277777781</v>
      </c>
      <c r="E233" s="52">
        <v>46030.715277777781</v>
      </c>
      <c r="F233" s="52">
        <v>46030.785416666666</v>
      </c>
      <c r="G233" s="53">
        <f>F233-E233</f>
        <v>7.0138888884685002E-2</v>
      </c>
      <c r="H233" s="1" t="s">
        <v>257</v>
      </c>
      <c r="J233" s="1" t="s">
        <v>258</v>
      </c>
      <c r="K233" s="1" t="s">
        <v>658</v>
      </c>
      <c r="L233" s="1" t="s">
        <v>1962</v>
      </c>
      <c r="M233" s="1" t="s">
        <v>260</v>
      </c>
      <c r="N233" s="1" t="s">
        <v>357</v>
      </c>
      <c r="O233" s="1" t="s">
        <v>632</v>
      </c>
      <c r="P233" s="1" t="str">
        <f>_xlfn.CONCAT(B233,C233,D233,E233,F233)</f>
        <v>BC Camarao1.4INV-6T22A904138146030,715277777846030,715277777846030,7854166667</v>
      </c>
      <c r="Q233" s="1" t="str">
        <f>_xlfn.CONCAT(H233,I233,J233)</f>
        <v>DAURDE</v>
      </c>
    </row>
    <row r="234" spans="2:17">
      <c r="B234" s="1" t="s">
        <v>391</v>
      </c>
      <c r="C234" s="1" t="s">
        <v>382</v>
      </c>
      <c r="D234" s="52">
        <v>46030.715277777781</v>
      </c>
      <c r="E234" s="52">
        <v>46030.715277777781</v>
      </c>
      <c r="F234" s="52">
        <v>46030.785416666666</v>
      </c>
      <c r="G234" s="53">
        <f>F234-E234</f>
        <v>7.0138888884685002E-2</v>
      </c>
      <c r="H234" s="1" t="s">
        <v>257</v>
      </c>
      <c r="J234" s="1" t="s">
        <v>258</v>
      </c>
      <c r="K234" s="1" t="s">
        <v>658</v>
      </c>
      <c r="L234" s="1" t="s">
        <v>1962</v>
      </c>
      <c r="M234" s="1" t="s">
        <v>260</v>
      </c>
      <c r="N234" s="1" t="s">
        <v>357</v>
      </c>
      <c r="O234" s="1" t="s">
        <v>632</v>
      </c>
      <c r="P234" s="1" t="str">
        <f>_xlfn.CONCAT(B234,C234,D234,E234,F234)</f>
        <v>BC Camarao1.4215KTL-H3(MBUS-14)46030,715277777846030,715277777846030,7854166667</v>
      </c>
      <c r="Q234" s="1" t="str">
        <f>_xlfn.CONCAT(H234,I234,J234)</f>
        <v>DAURDE</v>
      </c>
    </row>
    <row r="235" spans="2:17">
      <c r="B235" s="1" t="s">
        <v>391</v>
      </c>
      <c r="C235" s="1" t="s">
        <v>378</v>
      </c>
      <c r="D235" s="52">
        <v>46030.715277777781</v>
      </c>
      <c r="E235" s="52">
        <v>46030.715277777781</v>
      </c>
      <c r="F235" s="52">
        <v>46030.785416666666</v>
      </c>
      <c r="G235" s="53">
        <f>F235-E235</f>
        <v>7.0138888884685002E-2</v>
      </c>
      <c r="H235" s="1" t="s">
        <v>257</v>
      </c>
      <c r="J235" s="1" t="s">
        <v>258</v>
      </c>
      <c r="K235" s="1" t="s">
        <v>658</v>
      </c>
      <c r="L235" s="1" t="s">
        <v>1962</v>
      </c>
      <c r="M235" s="1" t="s">
        <v>260</v>
      </c>
      <c r="N235" s="1" t="s">
        <v>357</v>
      </c>
      <c r="O235" s="1" t="s">
        <v>632</v>
      </c>
      <c r="P235" s="1" t="str">
        <f>_xlfn.CONCAT(B235,C235,D235,E235,F235)</f>
        <v>BC Camarao1.4215KTL-H3(MBUS-13)46030,715277777846030,715277777846030,7854166667</v>
      </c>
      <c r="Q235" s="1" t="str">
        <f>_xlfn.CONCAT(H235,I235,J235)</f>
        <v>DAURDE</v>
      </c>
    </row>
    <row r="236" spans="2:17">
      <c r="B236" s="1" t="s">
        <v>391</v>
      </c>
      <c r="C236" s="1" t="s">
        <v>379</v>
      </c>
      <c r="D236" s="52">
        <v>46030.715277777781</v>
      </c>
      <c r="E236" s="52">
        <v>46030.715277777781</v>
      </c>
      <c r="F236" s="52">
        <v>46030.785416666666</v>
      </c>
      <c r="G236" s="53">
        <f>F236-E236</f>
        <v>7.0138888884685002E-2</v>
      </c>
      <c r="H236" s="1" t="s">
        <v>257</v>
      </c>
      <c r="J236" s="1" t="s">
        <v>258</v>
      </c>
      <c r="K236" s="1" t="s">
        <v>658</v>
      </c>
      <c r="L236" s="1" t="s">
        <v>1962</v>
      </c>
      <c r="M236" s="1" t="s">
        <v>260</v>
      </c>
      <c r="N236" s="1" t="s">
        <v>357</v>
      </c>
      <c r="O236" s="1" t="s">
        <v>632</v>
      </c>
      <c r="P236" s="1" t="str">
        <f>_xlfn.CONCAT(B236,C236,D236,E236,F236)</f>
        <v>BC Camarao1.4215KTL-H3(MBUS-16)46030,715277777846030,715277777846030,7854166667</v>
      </c>
      <c r="Q236" s="1" t="str">
        <f>_xlfn.CONCAT(H236,I236,J236)</f>
        <v>DAURDE</v>
      </c>
    </row>
    <row r="237" spans="2:17">
      <c r="B237" s="1" t="s">
        <v>391</v>
      </c>
      <c r="C237" s="1" t="s">
        <v>380</v>
      </c>
      <c r="D237" s="52">
        <v>46030.715277777781</v>
      </c>
      <c r="E237" s="52">
        <v>46030.715277777781</v>
      </c>
      <c r="F237" s="52">
        <v>46030.785416666666</v>
      </c>
      <c r="G237" s="53">
        <f>F237-E237</f>
        <v>7.0138888884685002E-2</v>
      </c>
      <c r="H237" s="1" t="s">
        <v>257</v>
      </c>
      <c r="J237" s="1" t="s">
        <v>258</v>
      </c>
      <c r="K237" s="1" t="s">
        <v>658</v>
      </c>
      <c r="L237" s="1" t="s">
        <v>1962</v>
      </c>
      <c r="M237" s="1" t="s">
        <v>260</v>
      </c>
      <c r="N237" s="1" t="s">
        <v>357</v>
      </c>
      <c r="O237" s="1" t="s">
        <v>632</v>
      </c>
      <c r="P237" s="1" t="str">
        <f>_xlfn.CONCAT(B237,C237,D237,E237,F237)</f>
        <v>BC Camarao1.4215KTL-H3(MBUS-15)46030,715277777846030,715277777846030,7854166667</v>
      </c>
      <c r="Q237" s="1" t="str">
        <f>_xlfn.CONCAT(H237,I237,J237)</f>
        <v>DAURDE</v>
      </c>
    </row>
    <row r="238" spans="2:17">
      <c r="B238" s="1" t="s">
        <v>519</v>
      </c>
      <c r="C238" s="1" t="s">
        <v>380</v>
      </c>
      <c r="D238" s="52">
        <v>46030.715277777781</v>
      </c>
      <c r="E238" s="52">
        <v>46030.715277777781</v>
      </c>
      <c r="F238" s="52">
        <v>46030.785416666666</v>
      </c>
      <c r="G238" s="53">
        <f>F238-E238</f>
        <v>7.0138888884685002E-2</v>
      </c>
      <c r="H238" s="1" t="s">
        <v>257</v>
      </c>
      <c r="J238" s="1" t="s">
        <v>258</v>
      </c>
      <c r="K238" s="1" t="s">
        <v>658</v>
      </c>
      <c r="L238" s="1" t="s">
        <v>1962</v>
      </c>
      <c r="M238" s="1" t="s">
        <v>260</v>
      </c>
      <c r="N238" s="1" t="s">
        <v>357</v>
      </c>
      <c r="O238" s="1" t="s">
        <v>632</v>
      </c>
      <c r="P238" s="1" t="str">
        <f>_xlfn.CONCAT(B238,C238,D238,E238,F238)</f>
        <v>BC Camarao1.5215KTL-H3(MBUS-15)46030,715277777846030,715277777846030,7854166667</v>
      </c>
      <c r="Q238" s="1" t="str">
        <f>_xlfn.CONCAT(H238,I238,J238)</f>
        <v>DAURDE</v>
      </c>
    </row>
    <row r="239" spans="2:17">
      <c r="B239" s="1" t="s">
        <v>519</v>
      </c>
      <c r="C239" s="1" t="s">
        <v>378</v>
      </c>
      <c r="D239" s="52">
        <v>46030.715277777781</v>
      </c>
      <c r="E239" s="52">
        <v>46030.715277777781</v>
      </c>
      <c r="F239" s="52">
        <v>46030.785416666666</v>
      </c>
      <c r="G239" s="53">
        <f>F239-E239</f>
        <v>7.0138888884685002E-2</v>
      </c>
      <c r="H239" s="1" t="s">
        <v>257</v>
      </c>
      <c r="J239" s="1" t="s">
        <v>258</v>
      </c>
      <c r="K239" s="1" t="s">
        <v>658</v>
      </c>
      <c r="L239" s="1" t="s">
        <v>1962</v>
      </c>
      <c r="M239" s="1" t="s">
        <v>260</v>
      </c>
      <c r="N239" s="1" t="s">
        <v>357</v>
      </c>
      <c r="O239" s="1" t="s">
        <v>632</v>
      </c>
      <c r="P239" s="1" t="str">
        <f>_xlfn.CONCAT(B239,C239,D239,E239,F239)</f>
        <v>BC Camarao1.5215KTL-H3(MBUS-13)46030,715277777846030,715277777846030,7854166667</v>
      </c>
      <c r="Q239" s="1" t="str">
        <f>_xlfn.CONCAT(H239,I239,J239)</f>
        <v>DAURDE</v>
      </c>
    </row>
    <row r="240" spans="2:17">
      <c r="B240" s="1" t="s">
        <v>519</v>
      </c>
      <c r="C240" s="1" t="s">
        <v>377</v>
      </c>
      <c r="D240" s="52">
        <v>46030.715277777781</v>
      </c>
      <c r="E240" s="52">
        <v>46030.715277777781</v>
      </c>
      <c r="F240" s="52">
        <v>46030.785416666666</v>
      </c>
      <c r="G240" s="53">
        <f>F240-E240</f>
        <v>7.0138888884685002E-2</v>
      </c>
      <c r="H240" s="1" t="s">
        <v>257</v>
      </c>
      <c r="J240" s="1" t="s">
        <v>258</v>
      </c>
      <c r="K240" s="1" t="s">
        <v>658</v>
      </c>
      <c r="L240" s="1" t="s">
        <v>1962</v>
      </c>
      <c r="M240" s="1" t="s">
        <v>260</v>
      </c>
      <c r="N240" s="1" t="s">
        <v>357</v>
      </c>
      <c r="O240" s="1" t="s">
        <v>632</v>
      </c>
      <c r="P240" s="1" t="str">
        <f>_xlfn.CONCAT(B240,C240,D240,E240,F240)</f>
        <v>BC Camarao1.5215KTL-H3(MBUS-12)46030,715277777846030,715277777846030,7854166667</v>
      </c>
      <c r="Q240" s="1" t="str">
        <f>_xlfn.CONCAT(H240,I240,J240)</f>
        <v>DAURDE</v>
      </c>
    </row>
    <row r="241" spans="2:17">
      <c r="B241" s="1" t="s">
        <v>519</v>
      </c>
      <c r="C241" s="1" t="s">
        <v>520</v>
      </c>
      <c r="D241" s="52">
        <v>46030.715277777781</v>
      </c>
      <c r="E241" s="52">
        <v>46030.715277777781</v>
      </c>
      <c r="F241" s="52">
        <v>46030.785416666666</v>
      </c>
      <c r="G241" s="53">
        <f>F241-E241</f>
        <v>7.0138888884685002E-2</v>
      </c>
      <c r="H241" s="1" t="s">
        <v>257</v>
      </c>
      <c r="J241" s="1" t="s">
        <v>258</v>
      </c>
      <c r="K241" s="1" t="s">
        <v>658</v>
      </c>
      <c r="L241" s="1" t="s">
        <v>1962</v>
      </c>
      <c r="M241" s="1" t="s">
        <v>260</v>
      </c>
      <c r="N241" s="1" t="s">
        <v>357</v>
      </c>
      <c r="O241" s="1" t="s">
        <v>632</v>
      </c>
      <c r="P241" s="1" t="str">
        <f>_xlfn.CONCAT(B241,C241,D241,E241,F241)</f>
        <v>BC Camarao1.5215KTL-H3(MBUS-1)46030,715277777846030,715277777846030,7854166667</v>
      </c>
      <c r="Q241" s="1" t="str">
        <f>_xlfn.CONCAT(H241,I241,J241)</f>
        <v>DAURDE</v>
      </c>
    </row>
    <row r="242" spans="2:17">
      <c r="B242" s="1" t="s">
        <v>519</v>
      </c>
      <c r="C242" s="1" t="s">
        <v>382</v>
      </c>
      <c r="D242" s="52">
        <v>46030.715277777781</v>
      </c>
      <c r="E242" s="52">
        <v>46030.715277777781</v>
      </c>
      <c r="F242" s="52">
        <v>46030.785416666666</v>
      </c>
      <c r="G242" s="53">
        <f>F242-E242</f>
        <v>7.0138888884685002E-2</v>
      </c>
      <c r="H242" s="1" t="s">
        <v>257</v>
      </c>
      <c r="J242" s="1" t="s">
        <v>258</v>
      </c>
      <c r="K242" s="1" t="s">
        <v>658</v>
      </c>
      <c r="L242" s="1" t="s">
        <v>1962</v>
      </c>
      <c r="M242" s="1" t="s">
        <v>260</v>
      </c>
      <c r="N242" s="1" t="s">
        <v>357</v>
      </c>
      <c r="O242" s="1" t="s">
        <v>632</v>
      </c>
      <c r="P242" s="1" t="str">
        <f>_xlfn.CONCAT(B242,C242,D242,E242,F242)</f>
        <v>BC Camarao1.5215KTL-H3(MBUS-14)46030,715277777846030,715277777846030,7854166667</v>
      </c>
      <c r="Q242" s="1" t="str">
        <f>_xlfn.CONCAT(H242,I242,J242)</f>
        <v>DAURDE</v>
      </c>
    </row>
    <row r="243" spans="2:17">
      <c r="B243" s="1" t="s">
        <v>805</v>
      </c>
      <c r="C243" s="1" t="s">
        <v>264</v>
      </c>
      <c r="D243" s="52">
        <v>46030.725694444445</v>
      </c>
      <c r="E243" s="52">
        <v>46030.725694444445</v>
      </c>
      <c r="F243" s="52">
        <v>46031.319444444445</v>
      </c>
      <c r="G243" s="53">
        <f>F243-E243</f>
        <v>0.59375</v>
      </c>
      <c r="H243" s="1" t="s">
        <v>257</v>
      </c>
      <c r="J243" s="1" t="s">
        <v>258</v>
      </c>
      <c r="K243" s="1" t="s">
        <v>658</v>
      </c>
      <c r="L243" s="1" t="s">
        <v>703</v>
      </c>
      <c r="M243" s="1" t="s">
        <v>260</v>
      </c>
      <c r="N243" s="1" t="s">
        <v>357</v>
      </c>
      <c r="O243" s="1" t="s">
        <v>695</v>
      </c>
      <c r="P243" s="1" t="str">
        <f>_xlfn.CONCAT(B243,C243,D243,E243,F243)</f>
        <v>BC Formoso1.2Inverter(MBUS-13)46030,725694444446030,725694444446031,3194444444</v>
      </c>
      <c r="Q243" s="1" t="str">
        <f>_xlfn.CONCAT(H243,I243,J243)</f>
        <v>DAURDE</v>
      </c>
    </row>
    <row r="244" spans="2:17">
      <c r="B244" s="1" t="s">
        <v>805</v>
      </c>
      <c r="C244" s="1" t="s">
        <v>256</v>
      </c>
      <c r="D244" s="52">
        <v>46030.725694444445</v>
      </c>
      <c r="E244" s="52">
        <v>46030.725694444445</v>
      </c>
      <c r="F244" s="52">
        <v>46031.319444444445</v>
      </c>
      <c r="G244" s="53">
        <f>F244-E244</f>
        <v>0.59375</v>
      </c>
      <c r="H244" s="1" t="s">
        <v>257</v>
      </c>
      <c r="J244" s="1" t="s">
        <v>258</v>
      </c>
      <c r="K244" s="1" t="s">
        <v>658</v>
      </c>
      <c r="L244" s="1" t="s">
        <v>703</v>
      </c>
      <c r="M244" s="1" t="s">
        <v>260</v>
      </c>
      <c r="N244" s="1" t="s">
        <v>357</v>
      </c>
      <c r="O244" s="1" t="s">
        <v>695</v>
      </c>
      <c r="P244" s="1" t="str">
        <f>_xlfn.CONCAT(B244,C244,D244,E244,F244)</f>
        <v>BC Formoso1.2Inverter(MBUS-12)46030,725694444446030,725694444446031,3194444444</v>
      </c>
      <c r="Q244" s="1" t="str">
        <f>_xlfn.CONCAT(H244,I244,J244)</f>
        <v>DAURDE</v>
      </c>
    </row>
    <row r="245" spans="2:17">
      <c r="B245" s="1" t="s">
        <v>805</v>
      </c>
      <c r="C245" s="1" t="s">
        <v>307</v>
      </c>
      <c r="D245" s="52">
        <v>46030.725694444445</v>
      </c>
      <c r="E245" s="52">
        <v>46030.725694444445</v>
      </c>
      <c r="F245" s="52">
        <v>46031.319444444445</v>
      </c>
      <c r="G245" s="53">
        <f>F245-E245</f>
        <v>0.59375</v>
      </c>
      <c r="H245" s="1" t="s">
        <v>257</v>
      </c>
      <c r="J245" s="1" t="s">
        <v>258</v>
      </c>
      <c r="K245" s="1" t="s">
        <v>658</v>
      </c>
      <c r="L245" s="1" t="s">
        <v>703</v>
      </c>
      <c r="M245" s="1" t="s">
        <v>260</v>
      </c>
      <c r="N245" s="1" t="s">
        <v>357</v>
      </c>
      <c r="O245" s="1" t="s">
        <v>695</v>
      </c>
      <c r="P245" s="1" t="str">
        <f>_xlfn.CONCAT(B245,C245,D245,E245,F245)</f>
        <v>BC Formoso1.2Inverter(MBUS-15)46030,725694444446030,725694444446031,3194444444</v>
      </c>
      <c r="Q245" s="1" t="str">
        <f>_xlfn.CONCAT(H245,I245,J245)</f>
        <v>DAURDE</v>
      </c>
    </row>
    <row r="246" spans="2:17">
      <c r="B246" s="1" t="s">
        <v>805</v>
      </c>
      <c r="C246" s="1" t="s">
        <v>263</v>
      </c>
      <c r="D246" s="52">
        <v>46030.725694444445</v>
      </c>
      <c r="E246" s="52">
        <v>46030.725694444445</v>
      </c>
      <c r="F246" s="52">
        <v>46031.319444444445</v>
      </c>
      <c r="G246" s="53">
        <f>F246-E246</f>
        <v>0.59375</v>
      </c>
      <c r="H246" s="1" t="s">
        <v>257</v>
      </c>
      <c r="J246" s="1" t="s">
        <v>258</v>
      </c>
      <c r="K246" s="1" t="s">
        <v>658</v>
      </c>
      <c r="L246" s="1" t="s">
        <v>703</v>
      </c>
      <c r="M246" s="1" t="s">
        <v>260</v>
      </c>
      <c r="N246" s="1" t="s">
        <v>357</v>
      </c>
      <c r="O246" s="1" t="s">
        <v>695</v>
      </c>
      <c r="P246" s="1" t="str">
        <f>_xlfn.CONCAT(B246,C246,D246,E246,F246)</f>
        <v>BC Formoso1.2Inverter(MBUS-14)46030,725694444446030,725694444446031,3194444444</v>
      </c>
      <c r="Q246" s="1" t="str">
        <f>_xlfn.CONCAT(H246,I246,J246)</f>
        <v>DAURDE</v>
      </c>
    </row>
    <row r="247" spans="2:17">
      <c r="B247" s="1" t="s">
        <v>265</v>
      </c>
      <c r="C247" s="1" t="s">
        <v>263</v>
      </c>
      <c r="D247" s="52">
        <v>46030.725694444445</v>
      </c>
      <c r="E247" s="52">
        <v>46030.725694444445</v>
      </c>
      <c r="F247" s="52">
        <v>46031.319444444445</v>
      </c>
      <c r="G247" s="53">
        <f>F247-E247</f>
        <v>0.59375</v>
      </c>
      <c r="H247" s="1" t="s">
        <v>257</v>
      </c>
      <c r="J247" s="1" t="s">
        <v>258</v>
      </c>
      <c r="K247" s="1" t="s">
        <v>658</v>
      </c>
      <c r="L247" s="1" t="s">
        <v>703</v>
      </c>
      <c r="M247" s="1" t="s">
        <v>260</v>
      </c>
      <c r="N247" s="1" t="s">
        <v>357</v>
      </c>
      <c r="O247" s="1" t="s">
        <v>695</v>
      </c>
      <c r="P247" s="1" t="str">
        <f>_xlfn.CONCAT(B247,C247,D247,E247,F247)</f>
        <v>BC Formoso2.2Inverter(MBUS-14)46030,725694444446030,725694444446031,3194444444</v>
      </c>
      <c r="Q247" s="1" t="str">
        <f>_xlfn.CONCAT(H247,I247,J247)</f>
        <v>DAURDE</v>
      </c>
    </row>
    <row r="248" spans="2:17">
      <c r="B248" s="1" t="s">
        <v>265</v>
      </c>
      <c r="C248" s="1" t="s">
        <v>264</v>
      </c>
      <c r="D248" s="52">
        <v>46030.725694444445</v>
      </c>
      <c r="E248" s="52">
        <v>46030.725694444445</v>
      </c>
      <c r="F248" s="52">
        <v>46031.319444444445</v>
      </c>
      <c r="G248" s="53">
        <f>F248-E248</f>
        <v>0.59375</v>
      </c>
      <c r="H248" s="1" t="s">
        <v>257</v>
      </c>
      <c r="J248" s="1" t="s">
        <v>258</v>
      </c>
      <c r="K248" s="1" t="s">
        <v>658</v>
      </c>
      <c r="L248" s="1" t="s">
        <v>703</v>
      </c>
      <c r="M248" s="1" t="s">
        <v>260</v>
      </c>
      <c r="N248" s="1" t="s">
        <v>357</v>
      </c>
      <c r="O248" s="1" t="s">
        <v>695</v>
      </c>
      <c r="P248" s="1" t="str">
        <f>_xlfn.CONCAT(B248,C248,D248,E248,F248)</f>
        <v>BC Formoso2.2Inverter(MBUS-13)46030,725694444446030,725694444446031,3194444444</v>
      </c>
      <c r="Q248" s="1" t="str">
        <f>_xlfn.CONCAT(H248,I248,J248)</f>
        <v>DAURDE</v>
      </c>
    </row>
    <row r="249" spans="2:17">
      <c r="B249" s="1" t="s">
        <v>265</v>
      </c>
      <c r="C249" s="1" t="s">
        <v>256</v>
      </c>
      <c r="D249" s="52">
        <v>46030.725694444445</v>
      </c>
      <c r="E249" s="52">
        <v>46030.725694444445</v>
      </c>
      <c r="F249" s="52">
        <v>46031.319444444445</v>
      </c>
      <c r="G249" s="53">
        <f>F249-E249</f>
        <v>0.59375</v>
      </c>
      <c r="H249" s="1" t="s">
        <v>257</v>
      </c>
      <c r="J249" s="1" t="s">
        <v>258</v>
      </c>
      <c r="K249" s="1" t="s">
        <v>658</v>
      </c>
      <c r="L249" s="1" t="s">
        <v>703</v>
      </c>
      <c r="M249" s="1" t="s">
        <v>260</v>
      </c>
      <c r="N249" s="1" t="s">
        <v>357</v>
      </c>
      <c r="O249" s="1" t="s">
        <v>695</v>
      </c>
      <c r="P249" s="1" t="str">
        <f>_xlfn.CONCAT(B249,C249,D249,E249,F249)</f>
        <v>BC Formoso2.2Inverter(MBUS-12)46030,725694444446030,725694444446031,3194444444</v>
      </c>
      <c r="Q249" s="1" t="str">
        <f>_xlfn.CONCAT(H249,I249,J249)</f>
        <v>DAURDE</v>
      </c>
    </row>
    <row r="250" spans="2:17">
      <c r="B250" s="1" t="s">
        <v>265</v>
      </c>
      <c r="C250" s="1" t="s">
        <v>247</v>
      </c>
      <c r="D250" s="52">
        <v>46030.725694444445</v>
      </c>
      <c r="E250" s="52">
        <v>46030.725694444445</v>
      </c>
      <c r="F250" s="52">
        <v>46031.319444444445</v>
      </c>
      <c r="G250" s="53">
        <f>F250-E250</f>
        <v>0.59375</v>
      </c>
      <c r="H250" s="1" t="s">
        <v>257</v>
      </c>
      <c r="J250" s="1" t="s">
        <v>258</v>
      </c>
      <c r="K250" s="1" t="s">
        <v>658</v>
      </c>
      <c r="L250" s="1" t="s">
        <v>703</v>
      </c>
      <c r="M250" s="1" t="s">
        <v>260</v>
      </c>
      <c r="N250" s="1" t="s">
        <v>357</v>
      </c>
      <c r="O250" s="1" t="s">
        <v>695</v>
      </c>
      <c r="P250" s="1" t="str">
        <f>_xlfn.CONCAT(B250,C250,D250,E250,F250)</f>
        <v>BC Formoso2.2Inverter(MBUS-1)46030,725694444446030,725694444446031,3194444444</v>
      </c>
      <c r="Q250" s="1" t="str">
        <f>_xlfn.CONCAT(H250,I250,J250)</f>
        <v>DAURDE</v>
      </c>
    </row>
    <row r="251" spans="2:17">
      <c r="B251" s="66" t="s">
        <v>368</v>
      </c>
      <c r="C251" s="1" t="s">
        <v>256</v>
      </c>
      <c r="D251" s="52">
        <v>46030.743055555555</v>
      </c>
      <c r="E251" s="52">
        <v>46030.743055555555</v>
      </c>
      <c r="F251" s="52">
        <v>46031.354166666664</v>
      </c>
      <c r="G251" s="53">
        <f>F251-E251</f>
        <v>0.61111111110949423</v>
      </c>
      <c r="H251" s="1" t="s">
        <v>257</v>
      </c>
      <c r="J251" s="1" t="s">
        <v>258</v>
      </c>
      <c r="K251" s="1" t="s">
        <v>658</v>
      </c>
      <c r="L251" s="1" t="s">
        <v>691</v>
      </c>
      <c r="M251" s="1" t="s">
        <v>260</v>
      </c>
      <c r="N251" s="1" t="s">
        <v>357</v>
      </c>
      <c r="O251" s="77" t="s">
        <v>626</v>
      </c>
      <c r="P251" s="1" t="str">
        <f>_xlfn.CONCAT(B251,C251,D251,E251,F251)</f>
        <v>BC Ibiuna 1.1Inverter(MBUS-12)46030,743055555646030,743055555646031,3541666667</v>
      </c>
      <c r="Q251" s="1" t="str">
        <f>_xlfn.CONCAT(H251,I251,J251)</f>
        <v>DAURDE</v>
      </c>
    </row>
    <row r="252" spans="2:17">
      <c r="B252" s="66" t="s">
        <v>368</v>
      </c>
      <c r="C252" s="1" t="s">
        <v>264</v>
      </c>
      <c r="D252" s="52">
        <v>46030.743055555555</v>
      </c>
      <c r="E252" s="52">
        <v>46030.743055555555</v>
      </c>
      <c r="F252" s="52">
        <v>46031.354166666664</v>
      </c>
      <c r="G252" s="53">
        <f>F252-E252</f>
        <v>0.61111111110949423</v>
      </c>
      <c r="H252" s="1" t="s">
        <v>257</v>
      </c>
      <c r="J252" s="1" t="s">
        <v>258</v>
      </c>
      <c r="K252" s="1" t="s">
        <v>658</v>
      </c>
      <c r="L252" s="1" t="s">
        <v>691</v>
      </c>
      <c r="M252" s="1" t="s">
        <v>260</v>
      </c>
      <c r="N252" s="1" t="s">
        <v>357</v>
      </c>
      <c r="O252" s="77" t="s">
        <v>626</v>
      </c>
      <c r="P252" s="1" t="str">
        <f>_xlfn.CONCAT(B252,C252,D253,E252,F252)</f>
        <v>BC Ibiuna 1.1Inverter(MBUS-13)46030,743055555646030,743055555646031,3541666667</v>
      </c>
      <c r="Q252" s="1" t="str">
        <f>_xlfn.CONCAT(H252,I252,J252)</f>
        <v>DAURDE</v>
      </c>
    </row>
    <row r="253" spans="2:17">
      <c r="B253" s="66" t="s">
        <v>368</v>
      </c>
      <c r="C253" s="1" t="s">
        <v>263</v>
      </c>
      <c r="D253" s="52">
        <v>46030.743055555555</v>
      </c>
      <c r="E253" s="52">
        <v>46030.743055555555</v>
      </c>
      <c r="F253" s="52">
        <v>46031.354166666664</v>
      </c>
      <c r="G253" s="53">
        <f>F253-E253</f>
        <v>0.61111111110949423</v>
      </c>
      <c r="H253" s="1" t="s">
        <v>257</v>
      </c>
      <c r="J253" s="1" t="s">
        <v>258</v>
      </c>
      <c r="K253" s="1" t="s">
        <v>658</v>
      </c>
      <c r="L253" s="1" t="s">
        <v>691</v>
      </c>
      <c r="M253" s="1" t="s">
        <v>260</v>
      </c>
      <c r="N253" s="1" t="s">
        <v>357</v>
      </c>
      <c r="O253" s="77" t="s">
        <v>626</v>
      </c>
      <c r="P253" s="1" t="str">
        <f>_xlfn.CONCAT(B253,C253,D254,E253,F253)</f>
        <v>BC Ibiuna 1.1Inverter(MBUS-14)46030,743055555646030,743055555646031,3541666667</v>
      </c>
      <c r="Q253" s="1" t="str">
        <f>_xlfn.CONCAT(H253,I253,J253)</f>
        <v>DAURDE</v>
      </c>
    </row>
    <row r="254" spans="2:17">
      <c r="B254" s="66" t="s">
        <v>368</v>
      </c>
      <c r="C254" s="1" t="s">
        <v>307</v>
      </c>
      <c r="D254" s="52">
        <v>46030.743055555555</v>
      </c>
      <c r="E254" s="52">
        <v>46030.743055555555</v>
      </c>
      <c r="F254" s="52">
        <v>46031.354166666664</v>
      </c>
      <c r="G254" s="53">
        <f>F254-E254</f>
        <v>0.61111111110949423</v>
      </c>
      <c r="H254" s="1" t="s">
        <v>257</v>
      </c>
      <c r="J254" s="1" t="s">
        <v>258</v>
      </c>
      <c r="K254" s="1" t="s">
        <v>658</v>
      </c>
      <c r="L254" s="1" t="s">
        <v>691</v>
      </c>
      <c r="M254" s="1" t="s">
        <v>260</v>
      </c>
      <c r="N254" s="1" t="s">
        <v>357</v>
      </c>
      <c r="O254" s="77" t="s">
        <v>626</v>
      </c>
      <c r="P254" s="1" t="str">
        <f>_xlfn.CONCAT(B254,C254,D255,E254,F254)</f>
        <v>BC Ibiuna 1.1Inverter(MBUS-15)46030,743055555646030,743055555646031,3541666667</v>
      </c>
      <c r="Q254" s="1" t="str">
        <f>_xlfn.CONCAT(H254,I254,J254)</f>
        <v>DAURDE</v>
      </c>
    </row>
    <row r="255" spans="2:17">
      <c r="B255" s="66" t="s">
        <v>370</v>
      </c>
      <c r="C255" s="1" t="s">
        <v>256</v>
      </c>
      <c r="D255" s="52">
        <v>46030.743055555555</v>
      </c>
      <c r="E255" s="52">
        <v>46030.743055555555</v>
      </c>
      <c r="F255" s="52">
        <v>46031.354166666664</v>
      </c>
      <c r="G255" s="53">
        <f>F255-E255</f>
        <v>0.61111111110949423</v>
      </c>
      <c r="H255" s="1" t="s">
        <v>257</v>
      </c>
      <c r="J255" s="1" t="s">
        <v>258</v>
      </c>
      <c r="K255" s="1" t="s">
        <v>658</v>
      </c>
      <c r="L255" s="1" t="s">
        <v>691</v>
      </c>
      <c r="M255" s="1" t="s">
        <v>260</v>
      </c>
      <c r="N255" s="1" t="s">
        <v>357</v>
      </c>
      <c r="O255" s="77" t="s">
        <v>626</v>
      </c>
      <c r="P255" s="1" t="str">
        <f>_xlfn.CONCAT(B255,C255,D256,E255,F255)</f>
        <v>BC Ibiuna 1.2Inverter(MBUS-12)46030,743055555646030,743055555646031,3541666667</v>
      </c>
      <c r="Q255" s="1" t="str">
        <f>_xlfn.CONCAT(H255,I255,J255)</f>
        <v>DAURDE</v>
      </c>
    </row>
    <row r="256" spans="2:17">
      <c r="B256" s="66" t="s">
        <v>370</v>
      </c>
      <c r="C256" s="1" t="s">
        <v>264</v>
      </c>
      <c r="D256" s="52">
        <v>46030.743055555555</v>
      </c>
      <c r="E256" s="52">
        <v>46030.743055555555</v>
      </c>
      <c r="F256" s="52">
        <v>46031.354166666664</v>
      </c>
      <c r="G256" s="53">
        <f>F256-E256</f>
        <v>0.61111111110949423</v>
      </c>
      <c r="H256" s="1" t="s">
        <v>257</v>
      </c>
      <c r="J256" s="1" t="s">
        <v>258</v>
      </c>
      <c r="K256" s="1" t="s">
        <v>658</v>
      </c>
      <c r="L256" s="1" t="s">
        <v>691</v>
      </c>
      <c r="M256" s="1" t="s">
        <v>260</v>
      </c>
      <c r="N256" s="1" t="s">
        <v>357</v>
      </c>
      <c r="O256" s="77" t="s">
        <v>626</v>
      </c>
      <c r="P256" s="1" t="str">
        <f>_xlfn.CONCAT(B256,C256,D257,E256,F256)</f>
        <v>BC Ibiuna 1.2Inverter(MBUS-13)46030,743055555646030,743055555646031,3541666667</v>
      </c>
      <c r="Q256" s="1" t="str">
        <f>_xlfn.CONCAT(H256,I256,J256)</f>
        <v>DAURDE</v>
      </c>
    </row>
    <row r="257" spans="2:17">
      <c r="B257" s="66" t="s">
        <v>370</v>
      </c>
      <c r="C257" s="1" t="s">
        <v>263</v>
      </c>
      <c r="D257" s="52">
        <v>46030.743055555555</v>
      </c>
      <c r="E257" s="52">
        <v>46030.743055555555</v>
      </c>
      <c r="F257" s="52">
        <v>46031.354166666664</v>
      </c>
      <c r="G257" s="53">
        <f>F257-E257</f>
        <v>0.61111111110949423</v>
      </c>
      <c r="H257" s="1" t="s">
        <v>257</v>
      </c>
      <c r="J257" s="1" t="s">
        <v>258</v>
      </c>
      <c r="K257" s="1" t="s">
        <v>658</v>
      </c>
      <c r="L257" s="1" t="s">
        <v>691</v>
      </c>
      <c r="M257" s="1" t="s">
        <v>260</v>
      </c>
      <c r="N257" s="1" t="s">
        <v>357</v>
      </c>
      <c r="O257" s="77" t="s">
        <v>626</v>
      </c>
      <c r="P257" s="1" t="str">
        <f>_xlfn.CONCAT(B257,C257,D258,E257,F257)</f>
        <v>BC Ibiuna 1.2Inverter(MBUS-14)46030,743055555646030,743055555646031,3541666667</v>
      </c>
      <c r="Q257" s="1" t="str">
        <f>_xlfn.CONCAT(H257,I257,J257)</f>
        <v>DAURDE</v>
      </c>
    </row>
    <row r="258" spans="2:17">
      <c r="B258" s="66" t="s">
        <v>370</v>
      </c>
      <c r="C258" s="1" t="s">
        <v>307</v>
      </c>
      <c r="D258" s="52">
        <v>46030.743055555555</v>
      </c>
      <c r="E258" s="52">
        <v>46030.743055555555</v>
      </c>
      <c r="F258" s="52">
        <v>46031.354166666664</v>
      </c>
      <c r="G258" s="53">
        <f>F258-E258</f>
        <v>0.61111111110949423</v>
      </c>
      <c r="H258" s="1" t="s">
        <v>257</v>
      </c>
      <c r="J258" s="1" t="s">
        <v>258</v>
      </c>
      <c r="K258" s="1" t="s">
        <v>658</v>
      </c>
      <c r="L258" s="1" t="s">
        <v>691</v>
      </c>
      <c r="M258" s="1" t="s">
        <v>260</v>
      </c>
      <c r="N258" s="1" t="s">
        <v>357</v>
      </c>
      <c r="O258" s="77" t="s">
        <v>626</v>
      </c>
      <c r="P258" s="1" t="str">
        <f>_xlfn.CONCAT(B258,C258,D259,E258,F258)</f>
        <v>BC Ibiuna 1.2Inverter(MBUS-15)46031,184722222246030,743055555646031,3541666667</v>
      </c>
      <c r="Q258" s="1" t="str">
        <f>_xlfn.CONCAT(H258,I258,J258)</f>
        <v>DAURDE</v>
      </c>
    </row>
    <row r="259" spans="2:17">
      <c r="B259" s="1" t="s">
        <v>375</v>
      </c>
      <c r="C259" s="1" t="s">
        <v>247</v>
      </c>
      <c r="D259" s="52">
        <v>46031.18472222222</v>
      </c>
      <c r="E259" s="52">
        <v>46031.18472222222</v>
      </c>
      <c r="F259" s="52">
        <v>46031.340277777781</v>
      </c>
      <c r="G259" s="53">
        <f>F259-E259</f>
        <v>0.15555555556056788</v>
      </c>
      <c r="H259" s="1" t="s">
        <v>257</v>
      </c>
      <c r="J259" s="1" t="s">
        <v>258</v>
      </c>
      <c r="K259" s="1" t="s">
        <v>658</v>
      </c>
      <c r="L259" s="1" t="s">
        <v>1962</v>
      </c>
      <c r="M259" s="1" t="s">
        <v>260</v>
      </c>
      <c r="N259" s="1" t="s">
        <v>357</v>
      </c>
      <c r="O259" s="1" t="s">
        <v>632</v>
      </c>
      <c r="P259" s="1" t="str">
        <f>_xlfn.CONCAT(B259,C259,D259,E259,F259)</f>
        <v>BC Camarao1.1Inverter(MBUS-1)46031,184722222246031,184722222246031,3402777778</v>
      </c>
      <c r="Q259" s="1" t="str">
        <f>_xlfn.CONCAT(H259,I259,J259)</f>
        <v>DAURDE</v>
      </c>
    </row>
    <row r="260" spans="2:17">
      <c r="B260" s="1" t="s">
        <v>375</v>
      </c>
      <c r="C260" s="1" t="s">
        <v>377</v>
      </c>
      <c r="D260" s="52">
        <v>46031.18472222222</v>
      </c>
      <c r="E260" s="52">
        <v>46031.18472222222</v>
      </c>
      <c r="F260" s="52">
        <v>46031.340277777781</v>
      </c>
      <c r="G260" s="53">
        <f>F260-E260</f>
        <v>0.15555555556056788</v>
      </c>
      <c r="H260" s="1" t="s">
        <v>257</v>
      </c>
      <c r="J260" s="1" t="s">
        <v>258</v>
      </c>
      <c r="K260" s="1" t="s">
        <v>658</v>
      </c>
      <c r="L260" s="1" t="s">
        <v>1962</v>
      </c>
      <c r="M260" s="1" t="s">
        <v>260</v>
      </c>
      <c r="N260" s="1" t="s">
        <v>357</v>
      </c>
      <c r="O260" s="1" t="s">
        <v>632</v>
      </c>
      <c r="P260" s="1" t="str">
        <f>_xlfn.CONCAT(B260,C260,D260,E260,F260)</f>
        <v>BC Camarao1.1215KTL-H3(MBUS-12)46031,184722222246031,184722222246031,3402777778</v>
      </c>
      <c r="Q260" s="1" t="str">
        <f>_xlfn.CONCAT(H260,I260,J260)</f>
        <v>DAURDE</v>
      </c>
    </row>
    <row r="261" spans="2:17">
      <c r="B261" s="1" t="s">
        <v>375</v>
      </c>
      <c r="C261" s="1" t="s">
        <v>378</v>
      </c>
      <c r="D261" s="52">
        <v>46031.18472222222</v>
      </c>
      <c r="E261" s="52">
        <v>46031.18472222222</v>
      </c>
      <c r="F261" s="52">
        <v>46031.340277777781</v>
      </c>
      <c r="G261" s="53">
        <f>F261-E261</f>
        <v>0.15555555556056788</v>
      </c>
      <c r="H261" s="1" t="s">
        <v>257</v>
      </c>
      <c r="J261" s="1" t="s">
        <v>258</v>
      </c>
      <c r="K261" s="1" t="s">
        <v>658</v>
      </c>
      <c r="L261" s="1" t="s">
        <v>1962</v>
      </c>
      <c r="M261" s="1" t="s">
        <v>260</v>
      </c>
      <c r="N261" s="1" t="s">
        <v>357</v>
      </c>
      <c r="O261" s="1" t="s">
        <v>632</v>
      </c>
      <c r="P261" s="1" t="str">
        <f>_xlfn.CONCAT(B261,C261,D261,E261,F261)</f>
        <v>BC Camarao1.1215KTL-H3(MBUS-13)46031,184722222246031,184722222246031,3402777778</v>
      </c>
      <c r="Q261" s="1" t="str">
        <f>_xlfn.CONCAT(H261,I261,J261)</f>
        <v>DAURDE</v>
      </c>
    </row>
    <row r="262" spans="2:17">
      <c r="B262" s="1" t="s">
        <v>375</v>
      </c>
      <c r="C262" s="1" t="s">
        <v>379</v>
      </c>
      <c r="D262" s="52">
        <v>46031.18472222222</v>
      </c>
      <c r="E262" s="52">
        <v>46031.18472222222</v>
      </c>
      <c r="F262" s="52">
        <v>46031.340277777781</v>
      </c>
      <c r="G262" s="53">
        <f>F262-E262</f>
        <v>0.15555555556056788</v>
      </c>
      <c r="H262" s="1" t="s">
        <v>257</v>
      </c>
      <c r="J262" s="1" t="s">
        <v>258</v>
      </c>
      <c r="K262" s="1" t="s">
        <v>658</v>
      </c>
      <c r="L262" s="1" t="s">
        <v>1962</v>
      </c>
      <c r="M262" s="1" t="s">
        <v>260</v>
      </c>
      <c r="N262" s="1" t="s">
        <v>357</v>
      </c>
      <c r="O262" s="1" t="s">
        <v>632</v>
      </c>
      <c r="P262" s="1" t="str">
        <f>_xlfn.CONCAT(B262,C262,D262,E262,F262)</f>
        <v>BC Camarao1.1215KTL-H3(MBUS-16)46031,184722222246031,184722222246031,3402777778</v>
      </c>
      <c r="Q262" s="1" t="str">
        <f>_xlfn.CONCAT(H262,I262,J262)</f>
        <v>DAURDE</v>
      </c>
    </row>
    <row r="263" spans="2:17">
      <c r="B263" s="1" t="s">
        <v>375</v>
      </c>
      <c r="C263" s="1" t="s">
        <v>380</v>
      </c>
      <c r="D263" s="52">
        <v>46031.18472222222</v>
      </c>
      <c r="E263" s="52">
        <v>46031.18472222222</v>
      </c>
      <c r="F263" s="52">
        <v>46031.340277777781</v>
      </c>
      <c r="G263" s="53">
        <f>F263-E263</f>
        <v>0.15555555556056788</v>
      </c>
      <c r="H263" s="1" t="s">
        <v>257</v>
      </c>
      <c r="J263" s="1" t="s">
        <v>258</v>
      </c>
      <c r="K263" s="1" t="s">
        <v>658</v>
      </c>
      <c r="L263" s="1" t="s">
        <v>1962</v>
      </c>
      <c r="M263" s="1" t="s">
        <v>260</v>
      </c>
      <c r="N263" s="1" t="s">
        <v>357</v>
      </c>
      <c r="O263" s="1" t="s">
        <v>632</v>
      </c>
      <c r="P263" s="1" t="str">
        <f>_xlfn.CONCAT(B263,C263,D263,E263,F263)</f>
        <v>BC Camarao1.1215KTL-H3(MBUS-15)46031,184722222246031,184722222246031,3402777778</v>
      </c>
      <c r="Q263" s="1" t="str">
        <f>_xlfn.CONCAT(H263,I263,J263)</f>
        <v>DAURDE</v>
      </c>
    </row>
    <row r="264" spans="2:17">
      <c r="B264" s="1" t="s">
        <v>387</v>
      </c>
      <c r="C264" s="1" t="s">
        <v>247</v>
      </c>
      <c r="D264" s="52">
        <v>46031.18472222222</v>
      </c>
      <c r="E264" s="52">
        <v>46031.18472222222</v>
      </c>
      <c r="F264" s="52">
        <v>46031.340277777781</v>
      </c>
      <c r="G264" s="53">
        <f>F264-E264</f>
        <v>0.15555555556056788</v>
      </c>
      <c r="H264" s="1" t="s">
        <v>257</v>
      </c>
      <c r="J264" s="1" t="s">
        <v>258</v>
      </c>
      <c r="K264" s="1" t="s">
        <v>658</v>
      </c>
      <c r="L264" s="1" t="s">
        <v>1962</v>
      </c>
      <c r="M264" s="1" t="s">
        <v>260</v>
      </c>
      <c r="N264" s="1" t="s">
        <v>357</v>
      </c>
      <c r="O264" s="1" t="s">
        <v>632</v>
      </c>
      <c r="P264" s="1" t="str">
        <f>_xlfn.CONCAT(B264,C264,D264,E264,F264)</f>
        <v>BC Camarao1.2Inverter(MBUS-1)46031,184722222246031,184722222246031,3402777778</v>
      </c>
      <c r="Q264" s="1" t="str">
        <f>_xlfn.CONCAT(H264,I264,J264)</f>
        <v>DAURDE</v>
      </c>
    </row>
    <row r="265" spans="2:17">
      <c r="B265" s="1" t="s">
        <v>387</v>
      </c>
      <c r="C265" s="1" t="s">
        <v>388</v>
      </c>
      <c r="D265" s="52">
        <v>46031.18472222222</v>
      </c>
      <c r="E265" s="52">
        <v>46031.18472222222</v>
      </c>
      <c r="F265" s="52">
        <v>46031.340277777781</v>
      </c>
      <c r="G265" s="53">
        <f>F265-E265</f>
        <v>0.15555555556056788</v>
      </c>
      <c r="H265" s="1" t="s">
        <v>257</v>
      </c>
      <c r="J265" s="1" t="s">
        <v>258</v>
      </c>
      <c r="K265" s="1" t="s">
        <v>658</v>
      </c>
      <c r="L265" s="1" t="s">
        <v>1962</v>
      </c>
      <c r="M265" s="1" t="s">
        <v>260</v>
      </c>
      <c r="N265" s="1" t="s">
        <v>357</v>
      </c>
      <c r="O265" s="1" t="s">
        <v>632</v>
      </c>
      <c r="P265" s="1" t="str">
        <f>_xlfn.CONCAT(B265,C265,D265,E265,F265)</f>
        <v>BC Camarao1.2Inv. 346031,184722222246031,184722222246031,3402777778</v>
      </c>
      <c r="Q265" s="1" t="str">
        <f>_xlfn.CONCAT(H265,I265,J265)</f>
        <v>DAURDE</v>
      </c>
    </row>
    <row r="266" spans="2:17">
      <c r="B266" s="1" t="s">
        <v>387</v>
      </c>
      <c r="C266" s="1" t="s">
        <v>389</v>
      </c>
      <c r="D266" s="52">
        <v>46031.18472222222</v>
      </c>
      <c r="E266" s="52">
        <v>46031.18472222222</v>
      </c>
      <c r="F266" s="52">
        <v>46031.340277777781</v>
      </c>
      <c r="G266" s="53">
        <f>F266-E266</f>
        <v>0.15555555556056788</v>
      </c>
      <c r="H266" s="1" t="s">
        <v>257</v>
      </c>
      <c r="J266" s="1" t="s">
        <v>258</v>
      </c>
      <c r="K266" s="1" t="s">
        <v>658</v>
      </c>
      <c r="L266" s="1" t="s">
        <v>1962</v>
      </c>
      <c r="M266" s="1" t="s">
        <v>260</v>
      </c>
      <c r="N266" s="1" t="s">
        <v>357</v>
      </c>
      <c r="O266" s="1" t="s">
        <v>632</v>
      </c>
      <c r="P266" s="1" t="str">
        <f>_xlfn.CONCAT(B266,C266,D266,E266,F266)</f>
        <v>BC Camarao1.2Inv. 446031,184722222246031,184722222246031,3402777778</v>
      </c>
      <c r="Q266" s="1" t="str">
        <f>_xlfn.CONCAT(H266,I266,J266)</f>
        <v>DAURDE</v>
      </c>
    </row>
    <row r="267" spans="2:17">
      <c r="B267" s="1" t="s">
        <v>387</v>
      </c>
      <c r="C267" s="1" t="s">
        <v>390</v>
      </c>
      <c r="D267" s="52">
        <v>46031.18472222222</v>
      </c>
      <c r="E267" s="52">
        <v>46031.18472222222</v>
      </c>
      <c r="F267" s="52">
        <v>46031.340277777781</v>
      </c>
      <c r="G267" s="53">
        <f>F267-E267</f>
        <v>0.15555555556056788</v>
      </c>
      <c r="H267" s="1" t="s">
        <v>257</v>
      </c>
      <c r="J267" s="1" t="s">
        <v>258</v>
      </c>
      <c r="K267" s="1" t="s">
        <v>658</v>
      </c>
      <c r="L267" s="1" t="s">
        <v>1962</v>
      </c>
      <c r="M267" s="1" t="s">
        <v>260</v>
      </c>
      <c r="N267" s="1" t="s">
        <v>357</v>
      </c>
      <c r="O267" s="1" t="s">
        <v>632</v>
      </c>
      <c r="P267" s="1" t="str">
        <f>_xlfn.CONCAT(B267,C267,D267,E267,F267)</f>
        <v>BC Camarao1.2Inverter(MBUS-16)46031,184722222246031,184722222246031,3402777778</v>
      </c>
      <c r="Q267" s="1" t="str">
        <f>_xlfn.CONCAT(H267,I267,J267)</f>
        <v>DAURDE</v>
      </c>
    </row>
    <row r="268" spans="2:17">
      <c r="B268" s="1" t="s">
        <v>387</v>
      </c>
      <c r="C268" s="1" t="s">
        <v>256</v>
      </c>
      <c r="D268" s="52">
        <v>46031.18472222222</v>
      </c>
      <c r="E268" s="52">
        <v>46031.18472222222</v>
      </c>
      <c r="F268" s="52">
        <v>46031.340277777781</v>
      </c>
      <c r="G268" s="53">
        <f>F268-E268</f>
        <v>0.15555555556056788</v>
      </c>
      <c r="H268" s="1" t="s">
        <v>257</v>
      </c>
      <c r="J268" s="1" t="s">
        <v>258</v>
      </c>
      <c r="K268" s="1" t="s">
        <v>658</v>
      </c>
      <c r="L268" s="1" t="s">
        <v>1962</v>
      </c>
      <c r="M268" s="1" t="s">
        <v>260</v>
      </c>
      <c r="N268" s="1" t="s">
        <v>357</v>
      </c>
      <c r="O268" s="1" t="s">
        <v>632</v>
      </c>
      <c r="P268" s="1" t="str">
        <f>_xlfn.CONCAT(B268,C268,D268,E268,F268)</f>
        <v>BC Camarao1.2Inverter(MBUS-12)46031,184722222246031,184722222246031,3402777778</v>
      </c>
      <c r="Q268" s="1" t="str">
        <f>_xlfn.CONCAT(H268,I268,J268)</f>
        <v>DAURDE</v>
      </c>
    </row>
    <row r="269" spans="2:17">
      <c r="B269" s="1" t="s">
        <v>381</v>
      </c>
      <c r="C269" s="1" t="s">
        <v>379</v>
      </c>
      <c r="D269" s="52">
        <v>46031.18472222222</v>
      </c>
      <c r="E269" s="52">
        <v>46031.18472222222</v>
      </c>
      <c r="F269" s="52">
        <v>46031.340277777781</v>
      </c>
      <c r="G269" s="53">
        <f>F269-E269</f>
        <v>0.15555555556056788</v>
      </c>
      <c r="H269" s="1" t="s">
        <v>257</v>
      </c>
      <c r="J269" s="1" t="s">
        <v>258</v>
      </c>
      <c r="K269" s="1" t="s">
        <v>658</v>
      </c>
      <c r="L269" s="1" t="s">
        <v>1962</v>
      </c>
      <c r="M269" s="1" t="s">
        <v>260</v>
      </c>
      <c r="N269" s="1" t="s">
        <v>357</v>
      </c>
      <c r="O269" s="1" t="s">
        <v>632</v>
      </c>
      <c r="P269" s="1" t="str">
        <f>_xlfn.CONCAT(B269,C269,D269,E269,F269)</f>
        <v>BC Camarao1.3215KTL-H3(MBUS-16)46031,184722222246031,184722222246031,3402777778</v>
      </c>
      <c r="Q269" s="1" t="str">
        <f>_xlfn.CONCAT(H269,I269,J269)</f>
        <v>DAURDE</v>
      </c>
    </row>
    <row r="270" spans="2:17">
      <c r="B270" s="1" t="s">
        <v>381</v>
      </c>
      <c r="C270" s="1" t="s">
        <v>382</v>
      </c>
      <c r="D270" s="52">
        <v>46031.18472222222</v>
      </c>
      <c r="E270" s="52">
        <v>46031.18472222222</v>
      </c>
      <c r="F270" s="52">
        <v>46031.340277777781</v>
      </c>
      <c r="G270" s="53">
        <f>F270-E270</f>
        <v>0.15555555556056788</v>
      </c>
      <c r="H270" s="1" t="s">
        <v>257</v>
      </c>
      <c r="J270" s="1" t="s">
        <v>258</v>
      </c>
      <c r="K270" s="1" t="s">
        <v>658</v>
      </c>
      <c r="L270" s="1" t="s">
        <v>1962</v>
      </c>
      <c r="M270" s="1" t="s">
        <v>260</v>
      </c>
      <c r="N270" s="1" t="s">
        <v>357</v>
      </c>
      <c r="O270" s="1" t="s">
        <v>632</v>
      </c>
      <c r="P270" s="1" t="str">
        <f>_xlfn.CONCAT(B270,C270,D270,E270,F270)</f>
        <v>BC Camarao1.3215KTL-H3(MBUS-14)46031,184722222246031,184722222246031,3402777778</v>
      </c>
      <c r="Q270" s="1" t="str">
        <f>_xlfn.CONCAT(H270,I270,J270)</f>
        <v>DAURDE</v>
      </c>
    </row>
    <row r="271" spans="2:17">
      <c r="B271" s="1" t="s">
        <v>381</v>
      </c>
      <c r="C271" s="1" t="s">
        <v>380</v>
      </c>
      <c r="D271" s="52">
        <v>46031.18472222222</v>
      </c>
      <c r="E271" s="52">
        <v>46031.18472222222</v>
      </c>
      <c r="F271" s="52">
        <v>46031.340277777781</v>
      </c>
      <c r="G271" s="53">
        <f>F271-E271</f>
        <v>0.15555555556056788</v>
      </c>
      <c r="H271" s="1" t="s">
        <v>257</v>
      </c>
      <c r="J271" s="1" t="s">
        <v>258</v>
      </c>
      <c r="K271" s="1" t="s">
        <v>658</v>
      </c>
      <c r="L271" s="1" t="s">
        <v>1962</v>
      </c>
      <c r="M271" s="1" t="s">
        <v>260</v>
      </c>
      <c r="N271" s="1" t="s">
        <v>357</v>
      </c>
      <c r="O271" s="1" t="s">
        <v>632</v>
      </c>
      <c r="P271" s="1" t="str">
        <f>_xlfn.CONCAT(B271,C271,D271,E271,F271)</f>
        <v>BC Camarao1.3215KTL-H3(MBUS-15)46031,184722222246031,184722222246031,3402777778</v>
      </c>
      <c r="Q271" s="1" t="str">
        <f>_xlfn.CONCAT(H271,I271,J271)</f>
        <v>DAURDE</v>
      </c>
    </row>
    <row r="272" spans="2:17">
      <c r="B272" s="1" t="s">
        <v>381</v>
      </c>
      <c r="C272" s="1" t="s">
        <v>377</v>
      </c>
      <c r="D272" s="52">
        <v>46031.18472222222</v>
      </c>
      <c r="E272" s="52">
        <v>46031.18472222222</v>
      </c>
      <c r="F272" s="52">
        <v>46031.340277777781</v>
      </c>
      <c r="G272" s="53">
        <f>F272-E272</f>
        <v>0.15555555556056788</v>
      </c>
      <c r="H272" s="1" t="s">
        <v>257</v>
      </c>
      <c r="J272" s="1" t="s">
        <v>258</v>
      </c>
      <c r="K272" s="1" t="s">
        <v>658</v>
      </c>
      <c r="L272" s="1" t="s">
        <v>1962</v>
      </c>
      <c r="M272" s="1" t="s">
        <v>260</v>
      </c>
      <c r="N272" s="1" t="s">
        <v>357</v>
      </c>
      <c r="O272" s="1" t="s">
        <v>632</v>
      </c>
      <c r="P272" s="1" t="str">
        <f>_xlfn.CONCAT(B272,C272,D272,E272,F272)</f>
        <v>BC Camarao1.3215KTL-H3(MBUS-12)46031,184722222246031,184722222246031,3402777778</v>
      </c>
      <c r="Q272" s="1" t="str">
        <f>_xlfn.CONCAT(H272,I272,J272)</f>
        <v>DAURDE</v>
      </c>
    </row>
    <row r="273" spans="2:17">
      <c r="B273" s="1" t="s">
        <v>381</v>
      </c>
      <c r="C273" s="1" t="s">
        <v>378</v>
      </c>
      <c r="D273" s="52">
        <v>46031.18472222222</v>
      </c>
      <c r="E273" s="52">
        <v>46031.18472222222</v>
      </c>
      <c r="F273" s="52">
        <v>46031.340277777781</v>
      </c>
      <c r="G273" s="53">
        <f>F273-E273</f>
        <v>0.15555555556056788</v>
      </c>
      <c r="H273" s="1" t="s">
        <v>257</v>
      </c>
      <c r="J273" s="1" t="s">
        <v>258</v>
      </c>
      <c r="K273" s="1" t="s">
        <v>658</v>
      </c>
      <c r="L273" s="1" t="s">
        <v>1962</v>
      </c>
      <c r="M273" s="1" t="s">
        <v>260</v>
      </c>
      <c r="N273" s="1" t="s">
        <v>357</v>
      </c>
      <c r="O273" s="1" t="s">
        <v>632</v>
      </c>
      <c r="P273" s="1" t="str">
        <f>_xlfn.CONCAT(B273,C273,D273,E273,F273)</f>
        <v>BC Camarao1.3215KTL-H3(MBUS-13)46031,184722222246031,184722222246031,3402777778</v>
      </c>
      <c r="Q273" s="1" t="str">
        <f>_xlfn.CONCAT(H273,I273,J273)</f>
        <v>DAURDE</v>
      </c>
    </row>
    <row r="274" spans="2:17">
      <c r="B274" s="1" t="s">
        <v>519</v>
      </c>
      <c r="C274" s="1" t="s">
        <v>380</v>
      </c>
      <c r="D274" s="52">
        <v>46031.18472222222</v>
      </c>
      <c r="E274" s="52">
        <v>46031.18472222222</v>
      </c>
      <c r="F274" s="52">
        <v>46031.340277777781</v>
      </c>
      <c r="G274" s="53">
        <f>F274-E274</f>
        <v>0.15555555556056788</v>
      </c>
      <c r="H274" s="1" t="s">
        <v>257</v>
      </c>
      <c r="J274" s="1" t="s">
        <v>258</v>
      </c>
      <c r="K274" s="1" t="s">
        <v>658</v>
      </c>
      <c r="L274" s="1" t="s">
        <v>1962</v>
      </c>
      <c r="M274" s="1" t="s">
        <v>260</v>
      </c>
      <c r="N274" s="1" t="s">
        <v>357</v>
      </c>
      <c r="O274" s="1" t="s">
        <v>632</v>
      </c>
      <c r="P274" s="1" t="str">
        <f>_xlfn.CONCAT(B274,C274,D274,E274,F274)</f>
        <v>BC Camarao1.5215KTL-H3(MBUS-15)46031,184722222246031,184722222246031,3402777778</v>
      </c>
      <c r="Q274" s="1" t="str">
        <f>_xlfn.CONCAT(H274,I274,J274)</f>
        <v>DAURDE</v>
      </c>
    </row>
    <row r="275" spans="2:17">
      <c r="B275" s="1" t="s">
        <v>519</v>
      </c>
      <c r="C275" s="1" t="s">
        <v>378</v>
      </c>
      <c r="D275" s="52">
        <v>46031.18472222222</v>
      </c>
      <c r="E275" s="52">
        <v>46031.18472222222</v>
      </c>
      <c r="F275" s="52">
        <v>46031.340277777781</v>
      </c>
      <c r="G275" s="53">
        <f>F275-E275</f>
        <v>0.15555555556056788</v>
      </c>
      <c r="H275" s="1" t="s">
        <v>257</v>
      </c>
      <c r="J275" s="1" t="s">
        <v>258</v>
      </c>
      <c r="K275" s="1" t="s">
        <v>658</v>
      </c>
      <c r="L275" s="1" t="s">
        <v>1962</v>
      </c>
      <c r="M275" s="1" t="s">
        <v>260</v>
      </c>
      <c r="N275" s="1" t="s">
        <v>357</v>
      </c>
      <c r="O275" s="1" t="s">
        <v>632</v>
      </c>
      <c r="P275" s="1" t="str">
        <f>_xlfn.CONCAT(B275,C275,D275,E275,F275)</f>
        <v>BC Camarao1.5215KTL-H3(MBUS-13)46031,184722222246031,184722222246031,3402777778</v>
      </c>
      <c r="Q275" s="1" t="str">
        <f>_xlfn.CONCAT(H275,I275,J275)</f>
        <v>DAURDE</v>
      </c>
    </row>
    <row r="276" spans="2:17">
      <c r="B276" s="1" t="s">
        <v>519</v>
      </c>
      <c r="C276" s="1" t="s">
        <v>377</v>
      </c>
      <c r="D276" s="52">
        <v>46031.18472222222</v>
      </c>
      <c r="E276" s="52">
        <v>46031.18472222222</v>
      </c>
      <c r="F276" s="52">
        <v>46031.340277777781</v>
      </c>
      <c r="G276" s="53">
        <f>F276-E276</f>
        <v>0.15555555556056788</v>
      </c>
      <c r="H276" s="1" t="s">
        <v>257</v>
      </c>
      <c r="J276" s="1" t="s">
        <v>258</v>
      </c>
      <c r="K276" s="1" t="s">
        <v>658</v>
      </c>
      <c r="L276" s="1" t="s">
        <v>1962</v>
      </c>
      <c r="M276" s="1" t="s">
        <v>260</v>
      </c>
      <c r="N276" s="1" t="s">
        <v>357</v>
      </c>
      <c r="O276" s="1" t="s">
        <v>632</v>
      </c>
      <c r="P276" s="1" t="str">
        <f>_xlfn.CONCAT(B276,C276,D276,E276,F276)</f>
        <v>BC Camarao1.5215KTL-H3(MBUS-12)46031,184722222246031,184722222246031,3402777778</v>
      </c>
      <c r="Q276" s="1" t="str">
        <f>_xlfn.CONCAT(H276,I276,J276)</f>
        <v>DAURDE</v>
      </c>
    </row>
    <row r="277" spans="2:17">
      <c r="B277" s="1" t="s">
        <v>519</v>
      </c>
      <c r="C277" s="1" t="s">
        <v>520</v>
      </c>
      <c r="D277" s="52">
        <v>46031.18472222222</v>
      </c>
      <c r="E277" s="52">
        <v>46031.18472222222</v>
      </c>
      <c r="F277" s="52">
        <v>46031.340277777781</v>
      </c>
      <c r="G277" s="53">
        <f>F277-E277</f>
        <v>0.15555555556056788</v>
      </c>
      <c r="H277" s="1" t="s">
        <v>257</v>
      </c>
      <c r="J277" s="1" t="s">
        <v>258</v>
      </c>
      <c r="K277" s="1" t="s">
        <v>658</v>
      </c>
      <c r="L277" s="1" t="s">
        <v>1962</v>
      </c>
      <c r="M277" s="1" t="s">
        <v>260</v>
      </c>
      <c r="N277" s="1" t="s">
        <v>357</v>
      </c>
      <c r="O277" s="1" t="s">
        <v>632</v>
      </c>
      <c r="P277" s="1" t="str">
        <f>_xlfn.CONCAT(B277,C277,D277,E277,F277)</f>
        <v>BC Camarao1.5215KTL-H3(MBUS-1)46031,184722222246031,184722222246031,3402777778</v>
      </c>
      <c r="Q277" s="1" t="str">
        <f>_xlfn.CONCAT(H277,I277,J277)</f>
        <v>DAURDE</v>
      </c>
    </row>
    <row r="278" spans="2:17">
      <c r="B278" s="1" t="s">
        <v>519</v>
      </c>
      <c r="C278" s="1" t="s">
        <v>382</v>
      </c>
      <c r="D278" s="52">
        <v>46031.18472222222</v>
      </c>
      <c r="E278" s="52">
        <v>46031.18472222222</v>
      </c>
      <c r="F278" s="52">
        <v>46031.340277777781</v>
      </c>
      <c r="G278" s="53">
        <f>F278-E278</f>
        <v>0.15555555556056788</v>
      </c>
      <c r="H278" s="1" t="s">
        <v>257</v>
      </c>
      <c r="J278" s="1" t="s">
        <v>258</v>
      </c>
      <c r="K278" s="1" t="s">
        <v>658</v>
      </c>
      <c r="L278" s="1" t="s">
        <v>1962</v>
      </c>
      <c r="M278" s="1" t="s">
        <v>260</v>
      </c>
      <c r="N278" s="1" t="s">
        <v>357</v>
      </c>
      <c r="O278" s="1" t="s">
        <v>632</v>
      </c>
      <c r="P278" s="1" t="str">
        <f>_xlfn.CONCAT(B278,C278,D278,E278,F278)</f>
        <v>BC Camarao1.5215KTL-H3(MBUS-14)46031,184722222246031,184722222246031,3402777778</v>
      </c>
      <c r="Q278" s="1" t="str">
        <f>_xlfn.CONCAT(H278,I278,J278)</f>
        <v>DAURDE</v>
      </c>
    </row>
    <row r="279" spans="2:17">
      <c r="B279" s="1" t="s">
        <v>360</v>
      </c>
      <c r="C279" s="1" t="s">
        <v>720</v>
      </c>
      <c r="D279" s="52">
        <v>46031.447916666664</v>
      </c>
      <c r="E279" s="52">
        <v>46031.447916666664</v>
      </c>
      <c r="F279" s="52">
        <v>46032.423611111109</v>
      </c>
      <c r="G279" s="53">
        <f>F279-E279</f>
        <v>0.97569444444525288</v>
      </c>
      <c r="H279" s="1" t="s">
        <v>257</v>
      </c>
      <c r="J279" s="1" t="s">
        <v>1978</v>
      </c>
      <c r="K279" s="1" t="s">
        <v>1979</v>
      </c>
      <c r="L279" s="1" t="s">
        <v>1980</v>
      </c>
      <c r="M279" s="1" t="s">
        <v>663</v>
      </c>
      <c r="N279" s="1" t="s">
        <v>364</v>
      </c>
      <c r="O279" s="1" t="s">
        <v>696</v>
      </c>
      <c r="P279" s="1" t="str">
        <f>_xlfn.CONCAT(B279,C279,D279,E279,F279)</f>
        <v>BC Corumba1.1U01.I0146031,447916666746031,447916666746032,4236111111</v>
      </c>
      <c r="Q279" s="1" t="str">
        <f>_xlfn.CONCAT(H279,I279,J279)</f>
        <v>DAUPRT</v>
      </c>
    </row>
    <row r="280" spans="2:17">
      <c r="B280" s="1" t="s">
        <v>360</v>
      </c>
      <c r="C280" s="1" t="s">
        <v>721</v>
      </c>
      <c r="D280" s="52">
        <v>46031.447916666664</v>
      </c>
      <c r="E280" s="52">
        <v>46031.447916666664</v>
      </c>
      <c r="F280" s="52">
        <v>46032.423611111109</v>
      </c>
      <c r="G280" s="53">
        <f>F280-E280</f>
        <v>0.97569444444525288</v>
      </c>
      <c r="H280" s="1" t="s">
        <v>257</v>
      </c>
      <c r="J280" s="1" t="s">
        <v>1978</v>
      </c>
      <c r="K280" s="1" t="s">
        <v>1979</v>
      </c>
      <c r="L280" s="1" t="s">
        <v>1980</v>
      </c>
      <c r="M280" s="1" t="s">
        <v>663</v>
      </c>
      <c r="N280" s="1" t="s">
        <v>364</v>
      </c>
      <c r="O280" s="1" t="s">
        <v>696</v>
      </c>
      <c r="P280" s="1" t="str">
        <f>_xlfn.CONCAT(B280,C280,D280,E280,F280)</f>
        <v>BC Corumba1.1U01.I0246031,447916666746031,447916666746032,4236111111</v>
      </c>
      <c r="Q280" s="1" t="str">
        <f>_xlfn.CONCAT(H280,I280,J280)</f>
        <v>DAUPRT</v>
      </c>
    </row>
    <row r="281" spans="2:17">
      <c r="B281" s="1" t="s">
        <v>360</v>
      </c>
      <c r="C281" s="1" t="s">
        <v>722</v>
      </c>
      <c r="D281" s="52">
        <v>46031.447916666664</v>
      </c>
      <c r="E281" s="52">
        <v>46031.447916666664</v>
      </c>
      <c r="F281" s="52">
        <v>46032.423611111109</v>
      </c>
      <c r="G281" s="53">
        <f>F281-E281</f>
        <v>0.97569444444525288</v>
      </c>
      <c r="H281" s="1" t="s">
        <v>257</v>
      </c>
      <c r="J281" s="1" t="s">
        <v>1978</v>
      </c>
      <c r="K281" s="1" t="s">
        <v>1979</v>
      </c>
      <c r="L281" s="1" t="s">
        <v>1980</v>
      </c>
      <c r="M281" s="1" t="s">
        <v>663</v>
      </c>
      <c r="N281" s="1" t="s">
        <v>364</v>
      </c>
      <c r="O281" s="1" t="s">
        <v>696</v>
      </c>
      <c r="P281" s="1" t="str">
        <f>_xlfn.CONCAT(B281,C281,D281,E281,F281)</f>
        <v>BC Corumba1.1U01.I0346031,447916666746031,447916666746032,4236111111</v>
      </c>
      <c r="Q281" s="1" t="str">
        <f>_xlfn.CONCAT(H281,I281,J281)</f>
        <v>DAUPRT</v>
      </c>
    </row>
    <row r="282" spans="2:17">
      <c r="B282" s="1" t="s">
        <v>360</v>
      </c>
      <c r="C282" s="1" t="s">
        <v>361</v>
      </c>
      <c r="D282" s="52">
        <v>46031.447916666664</v>
      </c>
      <c r="E282" s="52">
        <v>46031.447916666664</v>
      </c>
      <c r="F282" s="52">
        <v>46032.423611111109</v>
      </c>
      <c r="G282" s="53">
        <f>F282-E282</f>
        <v>0.97569444444525288</v>
      </c>
      <c r="H282" s="1" t="s">
        <v>257</v>
      </c>
      <c r="J282" s="1" t="s">
        <v>1978</v>
      </c>
      <c r="K282" s="1" t="s">
        <v>1979</v>
      </c>
      <c r="L282" s="1" t="s">
        <v>1980</v>
      </c>
      <c r="M282" s="1" t="s">
        <v>663</v>
      </c>
      <c r="N282" s="1" t="s">
        <v>364</v>
      </c>
      <c r="O282" s="1" t="s">
        <v>696</v>
      </c>
      <c r="P282" s="1" t="str">
        <f>_xlfn.CONCAT(B282,C282,D282,E282,F282)</f>
        <v>BC Corumba1.1U01.I0446031,447916666746031,447916666746032,4236111111</v>
      </c>
      <c r="Q282" s="1" t="str">
        <f>_xlfn.CONCAT(H282,I282,J282)</f>
        <v>DAUPRT</v>
      </c>
    </row>
    <row r="283" spans="2:17">
      <c r="B283" s="1" t="s">
        <v>360</v>
      </c>
      <c r="C283" s="1" t="s">
        <v>366</v>
      </c>
      <c r="D283" s="52">
        <v>46031.447916666664</v>
      </c>
      <c r="E283" s="52">
        <v>46031.447916666664</v>
      </c>
      <c r="F283" s="52">
        <v>46032.423611111109</v>
      </c>
      <c r="G283" s="53">
        <f>F283-E283</f>
        <v>0.97569444444525288</v>
      </c>
      <c r="H283" s="1" t="s">
        <v>257</v>
      </c>
      <c r="J283" s="1" t="s">
        <v>1978</v>
      </c>
      <c r="K283" s="1" t="s">
        <v>1979</v>
      </c>
      <c r="L283" s="1" t="s">
        <v>1980</v>
      </c>
      <c r="M283" s="1" t="s">
        <v>663</v>
      </c>
      <c r="N283" s="1" t="s">
        <v>364</v>
      </c>
      <c r="O283" s="1" t="s">
        <v>696</v>
      </c>
      <c r="P283" s="1" t="str">
        <f>_xlfn.CONCAT(B283,C283,D283,E283,F283)</f>
        <v>BC Corumba1.1U01.I0546031,447916666746031,447916666746032,4236111111</v>
      </c>
      <c r="Q283" s="1" t="str">
        <f>_xlfn.CONCAT(H283,I283,J283)</f>
        <v>DAUPRT</v>
      </c>
    </row>
    <row r="284" spans="2:17">
      <c r="B284" s="1" t="s">
        <v>311</v>
      </c>
      <c r="C284" s="1" t="s">
        <v>256</v>
      </c>
      <c r="D284" s="52">
        <v>46031.465277777781</v>
      </c>
      <c r="E284" s="52">
        <v>46031.465277777781</v>
      </c>
      <c r="F284" s="52">
        <v>46032.332638888889</v>
      </c>
      <c r="G284" s="53">
        <f>F284-E284</f>
        <v>0.86736111110803904</v>
      </c>
      <c r="H284" s="1" t="s">
        <v>257</v>
      </c>
      <c r="J284" s="1" t="s">
        <v>258</v>
      </c>
      <c r="K284" s="1" t="s">
        <v>658</v>
      </c>
      <c r="L284" s="1" t="s">
        <v>1981</v>
      </c>
      <c r="M284" s="1" t="s">
        <v>260</v>
      </c>
      <c r="N284" s="1" t="s">
        <v>357</v>
      </c>
      <c r="O284" s="1" t="s">
        <v>632</v>
      </c>
      <c r="P284" s="1" t="str">
        <f>_xlfn.CONCAT(B284,C284,D284,E284,F284)</f>
        <v>ARAGUATINS 2.1Inverter(MBUS-12)46031,465277777846031,465277777846032,3326388889</v>
      </c>
      <c r="Q284" s="1" t="str">
        <f>_xlfn.CONCAT(H284,I284,J284)</f>
        <v>DAURDE</v>
      </c>
    </row>
    <row r="285" spans="2:17">
      <c r="B285" s="1" t="s">
        <v>311</v>
      </c>
      <c r="C285" s="1" t="s">
        <v>307</v>
      </c>
      <c r="D285" s="52">
        <v>46031.465277777781</v>
      </c>
      <c r="E285" s="52">
        <v>46031.465277777781</v>
      </c>
      <c r="F285" s="52">
        <v>46032.332638888889</v>
      </c>
      <c r="G285" s="53">
        <f>F285-E285</f>
        <v>0.86736111110803904</v>
      </c>
      <c r="H285" s="1" t="s">
        <v>257</v>
      </c>
      <c r="J285" s="1" t="s">
        <v>258</v>
      </c>
      <c r="K285" s="1" t="s">
        <v>658</v>
      </c>
      <c r="L285" s="1" t="s">
        <v>1981</v>
      </c>
      <c r="M285" s="1" t="s">
        <v>260</v>
      </c>
      <c r="N285" s="1" t="s">
        <v>357</v>
      </c>
      <c r="O285" s="1" t="s">
        <v>632</v>
      </c>
      <c r="P285" s="1" t="str">
        <f>_xlfn.CONCAT(B285,C285,D285,E285,F285)</f>
        <v>ARAGUATINS 2.1Inverter(MBUS-15)46031,465277777846031,465277777846032,3326388889</v>
      </c>
      <c r="Q285" s="1" t="str">
        <f>_xlfn.CONCAT(H285,I285,J285)</f>
        <v>DAURDE</v>
      </c>
    </row>
    <row r="286" spans="2:17">
      <c r="B286" s="1" t="s">
        <v>311</v>
      </c>
      <c r="C286" s="1" t="s">
        <v>263</v>
      </c>
      <c r="D286" s="52">
        <v>46031.465277777781</v>
      </c>
      <c r="E286" s="52">
        <v>46031.465277777781</v>
      </c>
      <c r="F286" s="52">
        <v>46032.332638888889</v>
      </c>
      <c r="G286" s="53">
        <f>F286-E286</f>
        <v>0.86736111110803904</v>
      </c>
      <c r="H286" s="1" t="s">
        <v>257</v>
      </c>
      <c r="J286" s="1" t="s">
        <v>258</v>
      </c>
      <c r="K286" s="1" t="s">
        <v>658</v>
      </c>
      <c r="L286" s="1" t="s">
        <v>1981</v>
      </c>
      <c r="M286" s="1" t="s">
        <v>260</v>
      </c>
      <c r="N286" s="1" t="s">
        <v>357</v>
      </c>
      <c r="O286" s="1" t="s">
        <v>632</v>
      </c>
      <c r="P286" s="1" t="str">
        <f>_xlfn.CONCAT(B286,C286,D286,E286,F286)</f>
        <v>ARAGUATINS 2.1Inverter(MBUS-14)46031,465277777846031,465277777846032,3326388889</v>
      </c>
      <c r="Q286" s="1" t="str">
        <f>_xlfn.CONCAT(H286,I286,J286)</f>
        <v>DAURDE</v>
      </c>
    </row>
    <row r="287" spans="2:17">
      <c r="B287" s="1" t="s">
        <v>311</v>
      </c>
      <c r="C287" s="1" t="s">
        <v>247</v>
      </c>
      <c r="D287" s="52">
        <v>46031.465277777781</v>
      </c>
      <c r="E287" s="52">
        <v>46031.465277777781</v>
      </c>
      <c r="F287" s="52">
        <v>46032.332638888889</v>
      </c>
      <c r="G287" s="53">
        <f>F287-E287</f>
        <v>0.86736111110803904</v>
      </c>
      <c r="H287" s="1" t="s">
        <v>257</v>
      </c>
      <c r="J287" s="1" t="s">
        <v>258</v>
      </c>
      <c r="K287" s="1" t="s">
        <v>658</v>
      </c>
      <c r="L287" s="1" t="s">
        <v>1981</v>
      </c>
      <c r="M287" s="1" t="s">
        <v>260</v>
      </c>
      <c r="N287" s="1" t="s">
        <v>357</v>
      </c>
      <c r="O287" s="1" t="s">
        <v>632</v>
      </c>
      <c r="P287" s="1" t="str">
        <f>_xlfn.CONCAT(B287,C287,D287,E287,F287)</f>
        <v>ARAGUATINS 2.1Inverter(MBUS-1)46031,465277777846031,465277777846032,3326388889</v>
      </c>
      <c r="Q287" s="1" t="str">
        <f>_xlfn.CONCAT(H287,I287,J287)</f>
        <v>DAURDE</v>
      </c>
    </row>
    <row r="288" spans="2:17">
      <c r="B288" s="1" t="s">
        <v>358</v>
      </c>
      <c r="C288" s="1" t="s">
        <v>267</v>
      </c>
      <c r="D288" s="52">
        <v>46031.497916666667</v>
      </c>
      <c r="E288" s="52">
        <v>46031.497916666667</v>
      </c>
      <c r="F288" s="52">
        <v>46031.506944444445</v>
      </c>
      <c r="G288" s="53">
        <f>F288-E288</f>
        <v>9.0277777781011537E-3</v>
      </c>
      <c r="H288" s="1" t="s">
        <v>257</v>
      </c>
      <c r="J288" s="1" t="s">
        <v>371</v>
      </c>
      <c r="K288" s="1" t="str">
        <f>_xlfn.XLOOKUP(J288,REF!$D$2:$D$12,REF!$E$2:$E$12)</f>
        <v>Inversor</v>
      </c>
      <c r="L288" s="1" t="s">
        <v>1965</v>
      </c>
      <c r="M288" s="1" t="s">
        <v>252</v>
      </c>
      <c r="N288" s="1" t="s">
        <v>253</v>
      </c>
      <c r="O288" s="1" t="s">
        <v>693</v>
      </c>
      <c r="P288" s="1" t="str">
        <f>_xlfn.CONCAT(B288,C288,D288,E288,F288)</f>
        <v>BC Aracu2SG60KTL46031,497916666746031,497916666746031,5069444444</v>
      </c>
      <c r="Q288" s="1" t="str">
        <f>_xlfn.CONCAT(H288,I288,J288)</f>
        <v>DAUINV</v>
      </c>
    </row>
    <row r="289" spans="2:17">
      <c r="B289" s="1" t="s">
        <v>358</v>
      </c>
      <c r="C289" s="1" t="s">
        <v>267</v>
      </c>
      <c r="D289" s="52">
        <v>46031.548611111109</v>
      </c>
      <c r="E289" s="52">
        <v>46031.548611111109</v>
      </c>
      <c r="F289" s="52">
        <v>46031.579861111109</v>
      </c>
      <c r="G289" s="53">
        <f>F289-E289</f>
        <v>3.125E-2</v>
      </c>
      <c r="H289" s="1" t="s">
        <v>257</v>
      </c>
      <c r="J289" s="1" t="s">
        <v>371</v>
      </c>
      <c r="K289" s="1" t="str">
        <f>_xlfn.XLOOKUP(J289,REF!$D$2:$D$12,REF!$E$2:$E$12)</f>
        <v>Inversor</v>
      </c>
      <c r="L289" s="1" t="s">
        <v>1965</v>
      </c>
      <c r="M289" s="1" t="s">
        <v>252</v>
      </c>
      <c r="N289" s="1" t="s">
        <v>253</v>
      </c>
      <c r="O289" s="1" t="s">
        <v>693</v>
      </c>
      <c r="P289" s="1" t="str">
        <f>_xlfn.CONCAT(B289,C289,D289,E289,F289)</f>
        <v>BC Aracu2SG60KTL46031,548611111146031,548611111146031,5798611111</v>
      </c>
      <c r="Q289" s="1" t="str">
        <f>_xlfn.CONCAT(H289,I289,J289)</f>
        <v>DAUINV</v>
      </c>
    </row>
    <row r="290" spans="2:17">
      <c r="B290" s="1" t="s">
        <v>327</v>
      </c>
      <c r="C290" s="1" t="s">
        <v>247</v>
      </c>
      <c r="D290" s="52">
        <v>46031.741666666669</v>
      </c>
      <c r="E290" s="52">
        <v>46031.741666666669</v>
      </c>
      <c r="F290" s="52">
        <v>46031.75277777778</v>
      </c>
      <c r="G290" s="53">
        <f>F290-E290</f>
        <v>1.1111111110949423E-2</v>
      </c>
      <c r="H290" s="1" t="s">
        <v>257</v>
      </c>
      <c r="J290" s="1" t="s">
        <v>258</v>
      </c>
      <c r="K290" s="1" t="str">
        <f>_xlfn.XLOOKUP(J290,REF!$D$2:$D$12,REF!$E$2:$E$12)</f>
        <v>Rede</v>
      </c>
      <c r="L290" s="1" t="s">
        <v>541</v>
      </c>
      <c r="M290" s="1" t="s">
        <v>260</v>
      </c>
      <c r="N290" s="1" t="s">
        <v>357</v>
      </c>
      <c r="O290" s="1" t="s">
        <v>632</v>
      </c>
      <c r="P290" s="1" t="str">
        <f>_xlfn.CONCAT(B290,C290,D290,E290,F290)</f>
        <v>BC Aracu5.1Inverter(MBUS-1)46031,741666666746031,741666666746031,7527777778</v>
      </c>
      <c r="Q290" s="1" t="str">
        <f>_xlfn.CONCAT(H290,I290,J290)</f>
        <v>DAURDE</v>
      </c>
    </row>
    <row r="291" spans="2:17">
      <c r="B291" s="1" t="s">
        <v>246</v>
      </c>
      <c r="C291" s="1" t="s">
        <v>247</v>
      </c>
      <c r="D291" s="52">
        <v>46031.741666666669</v>
      </c>
      <c r="E291" s="52">
        <v>46031.741666666669</v>
      </c>
      <c r="F291" s="52">
        <v>46031.75277777778</v>
      </c>
      <c r="G291" s="53">
        <f>F291-E291</f>
        <v>1.1111111110949423E-2</v>
      </c>
      <c r="H291" s="1" t="s">
        <v>257</v>
      </c>
      <c r="J291" s="1" t="s">
        <v>258</v>
      </c>
      <c r="K291" s="1" t="str">
        <f>_xlfn.XLOOKUP(J291,REF!$D$2:$D$12,REF!$E$2:$E$12)</f>
        <v>Rede</v>
      </c>
      <c r="L291" s="1" t="s">
        <v>541</v>
      </c>
      <c r="M291" s="1" t="s">
        <v>260</v>
      </c>
      <c r="N291" s="1" t="s">
        <v>357</v>
      </c>
      <c r="O291" s="1" t="s">
        <v>632</v>
      </c>
      <c r="P291" s="1" t="str">
        <f>_xlfn.CONCAT(B291,C291,D291,E291,F291)</f>
        <v>BC Aracu5.2Inverter(MBUS-1)46031,741666666746031,741666666746031,7527777778</v>
      </c>
      <c r="Q291" s="1" t="str">
        <f>_xlfn.CONCAT(H291,I291,J291)</f>
        <v>DAURDE</v>
      </c>
    </row>
    <row r="292" spans="2:17">
      <c r="B292" s="1" t="s">
        <v>328</v>
      </c>
      <c r="C292" s="1" t="s">
        <v>247</v>
      </c>
      <c r="D292" s="52">
        <v>46031.741666666669</v>
      </c>
      <c r="E292" s="52">
        <v>46031.741666666669</v>
      </c>
      <c r="F292" s="52">
        <v>46031.75277777778</v>
      </c>
      <c r="G292" s="53">
        <f>F292-E292</f>
        <v>1.1111111110949423E-2</v>
      </c>
      <c r="H292" s="1" t="s">
        <v>257</v>
      </c>
      <c r="J292" s="1" t="s">
        <v>258</v>
      </c>
      <c r="K292" s="1" t="str">
        <f>_xlfn.XLOOKUP(J292,REF!$D$2:$D$12,REF!$E$2:$E$12)</f>
        <v>Rede</v>
      </c>
      <c r="L292" s="1" t="s">
        <v>541</v>
      </c>
      <c r="M292" s="1" t="s">
        <v>260</v>
      </c>
      <c r="N292" s="1" t="s">
        <v>357</v>
      </c>
      <c r="O292" s="1" t="s">
        <v>632</v>
      </c>
      <c r="P292" s="1" t="str">
        <f>_xlfn.CONCAT(B292,C292,D292,E292,F292)</f>
        <v>BC Aracu5.3Inverter(MBUS-1)46031,741666666746031,741666666746031,7527777778</v>
      </c>
      <c r="Q292" s="1" t="str">
        <f>_xlfn.CONCAT(H292,I292,J292)</f>
        <v>DAURDE</v>
      </c>
    </row>
    <row r="293" spans="2:17">
      <c r="B293" s="1" t="s">
        <v>329</v>
      </c>
      <c r="C293" s="1" t="s">
        <v>247</v>
      </c>
      <c r="D293" s="52">
        <v>46031.741666666669</v>
      </c>
      <c r="E293" s="52">
        <v>46031.741666666669</v>
      </c>
      <c r="F293" s="52">
        <v>46031.75277777778</v>
      </c>
      <c r="G293" s="53">
        <f>F293-E293</f>
        <v>1.1111111110949423E-2</v>
      </c>
      <c r="H293" s="1" t="s">
        <v>257</v>
      </c>
      <c r="J293" s="1" t="s">
        <v>258</v>
      </c>
      <c r="K293" s="1" t="str">
        <f>_xlfn.XLOOKUP(J293,REF!$D$2:$D$12,REF!$E$2:$E$12)</f>
        <v>Rede</v>
      </c>
      <c r="L293" s="1" t="s">
        <v>541</v>
      </c>
      <c r="M293" s="1" t="s">
        <v>260</v>
      </c>
      <c r="N293" s="1" t="s">
        <v>357</v>
      </c>
      <c r="O293" s="1" t="s">
        <v>632</v>
      </c>
      <c r="P293" s="1" t="str">
        <f>_xlfn.CONCAT(B293,C293,D293,E293,F293)</f>
        <v>BC Aracu5.4Inverter(MBUS-1)46031,741666666746031,741666666746031,7527777778</v>
      </c>
      <c r="Q293" s="1" t="str">
        <f>_xlfn.CONCAT(H293,I293,J293)</f>
        <v>DAURDE</v>
      </c>
    </row>
    <row r="294" spans="2:17">
      <c r="B294" s="1" t="s">
        <v>330</v>
      </c>
      <c r="C294" s="1" t="s">
        <v>247</v>
      </c>
      <c r="D294" s="52">
        <v>46031.741666666669</v>
      </c>
      <c r="E294" s="52">
        <v>46031.741666666669</v>
      </c>
      <c r="F294" s="52">
        <v>46031.75277777778</v>
      </c>
      <c r="G294" s="53">
        <f>F294-E294</f>
        <v>1.1111111110949423E-2</v>
      </c>
      <c r="H294" s="1" t="s">
        <v>257</v>
      </c>
      <c r="J294" s="1" t="s">
        <v>258</v>
      </c>
      <c r="K294" s="1" t="str">
        <f>_xlfn.XLOOKUP(J294,REF!$D$2:$D$12,REF!$E$2:$E$12)</f>
        <v>Rede</v>
      </c>
      <c r="L294" s="1" t="s">
        <v>541</v>
      </c>
      <c r="M294" s="1" t="s">
        <v>260</v>
      </c>
      <c r="N294" s="1" t="s">
        <v>357</v>
      </c>
      <c r="O294" s="1" t="s">
        <v>632</v>
      </c>
      <c r="P294" s="1" t="str">
        <f>_xlfn.CONCAT(B294,C294,D294,E294,F294)</f>
        <v>BC Aracu5.5Inverter(MBUS-1)46031,741666666746031,741666666746031,7527777778</v>
      </c>
      <c r="Q294" s="1" t="str">
        <f>_xlfn.CONCAT(H294,I294,J294)</f>
        <v>DAURDE</v>
      </c>
    </row>
    <row r="295" spans="2:17">
      <c r="B295" s="1" t="s">
        <v>305</v>
      </c>
      <c r="C295" s="1" t="s">
        <v>256</v>
      </c>
      <c r="D295" s="52">
        <v>46031.875</v>
      </c>
      <c r="E295" s="52">
        <v>46031.875</v>
      </c>
      <c r="F295" s="52">
        <v>46031.927083333336</v>
      </c>
      <c r="G295" s="53">
        <f>F295-E295</f>
        <v>5.2083333335758653E-2</v>
      </c>
      <c r="H295" s="1" t="s">
        <v>257</v>
      </c>
      <c r="J295" s="1" t="s">
        <v>258</v>
      </c>
      <c r="K295" s="1" t="s">
        <v>658</v>
      </c>
      <c r="L295" s="1" t="s">
        <v>1982</v>
      </c>
      <c r="M295" s="1" t="s">
        <v>260</v>
      </c>
      <c r="N295" s="1" t="s">
        <v>357</v>
      </c>
      <c r="O295" s="1" t="s">
        <v>632</v>
      </c>
      <c r="P295" s="1" t="str">
        <f>_xlfn.CONCAT(B295,C295,D295,E295,F295)</f>
        <v>ARAGUATINS 1.1Inverter(MBUS-12)46031,87546031,87546031,9270833333</v>
      </c>
      <c r="Q295" s="1" t="str">
        <f>_xlfn.CONCAT(H295,I295,J295)</f>
        <v>DAURDE</v>
      </c>
    </row>
    <row r="296" spans="2:17">
      <c r="B296" s="1" t="s">
        <v>305</v>
      </c>
      <c r="C296" s="1" t="s">
        <v>264</v>
      </c>
      <c r="D296" s="52">
        <v>46031.875</v>
      </c>
      <c r="E296" s="52">
        <v>46031.875</v>
      </c>
      <c r="F296" s="52">
        <v>46031.927083333336</v>
      </c>
      <c r="G296" s="53">
        <f>F296-E296</f>
        <v>5.2083333335758653E-2</v>
      </c>
      <c r="H296" s="1" t="s">
        <v>257</v>
      </c>
      <c r="J296" s="1" t="s">
        <v>258</v>
      </c>
      <c r="K296" s="1" t="s">
        <v>658</v>
      </c>
      <c r="L296" s="1" t="s">
        <v>1982</v>
      </c>
      <c r="M296" s="1" t="s">
        <v>260</v>
      </c>
      <c r="N296" s="1" t="s">
        <v>357</v>
      </c>
      <c r="O296" s="1" t="s">
        <v>632</v>
      </c>
      <c r="P296" s="1" t="str">
        <f>_xlfn.CONCAT(B296,C296,D296,E296,F296)</f>
        <v>ARAGUATINS 1.1Inverter(MBUS-13)46031,87546031,87546031,9270833333</v>
      </c>
      <c r="Q296" s="1" t="str">
        <f>_xlfn.CONCAT(H296,I296,J296)</f>
        <v>DAURDE</v>
      </c>
    </row>
    <row r="297" spans="2:17">
      <c r="B297" s="1" t="s">
        <v>305</v>
      </c>
      <c r="C297" s="1" t="s">
        <v>263</v>
      </c>
      <c r="D297" s="52">
        <v>46031.875</v>
      </c>
      <c r="E297" s="52">
        <v>46031.875</v>
      </c>
      <c r="F297" s="52">
        <v>46031.927083333336</v>
      </c>
      <c r="G297" s="53">
        <f>F297-E297</f>
        <v>5.2083333335758653E-2</v>
      </c>
      <c r="H297" s="1" t="s">
        <v>257</v>
      </c>
      <c r="J297" s="1" t="s">
        <v>258</v>
      </c>
      <c r="K297" s="1" t="s">
        <v>658</v>
      </c>
      <c r="L297" s="1" t="s">
        <v>1982</v>
      </c>
      <c r="M297" s="1" t="s">
        <v>260</v>
      </c>
      <c r="N297" s="1" t="s">
        <v>357</v>
      </c>
      <c r="O297" s="1" t="s">
        <v>632</v>
      </c>
      <c r="P297" s="1" t="str">
        <f>_xlfn.CONCAT(B297,C297,D297,E297,F297)</f>
        <v>ARAGUATINS 1.1Inverter(MBUS-14)46031,87546031,87546031,9270833333</v>
      </c>
      <c r="Q297" s="1" t="str">
        <f>_xlfn.CONCAT(H297,I297,J297)</f>
        <v>DAURDE</v>
      </c>
    </row>
    <row r="298" spans="2:17">
      <c r="B298" s="1" t="s">
        <v>305</v>
      </c>
      <c r="C298" s="1" t="s">
        <v>307</v>
      </c>
      <c r="D298" s="52">
        <v>46031.875</v>
      </c>
      <c r="E298" s="52">
        <v>46031.875</v>
      </c>
      <c r="F298" s="52">
        <v>46031.927083333336</v>
      </c>
      <c r="G298" s="53">
        <f>F298-E298</f>
        <v>5.2083333335758653E-2</v>
      </c>
      <c r="H298" s="1" t="s">
        <v>257</v>
      </c>
      <c r="J298" s="1" t="s">
        <v>258</v>
      </c>
      <c r="K298" s="1" t="s">
        <v>658</v>
      </c>
      <c r="L298" s="1" t="s">
        <v>1982</v>
      </c>
      <c r="M298" s="1" t="s">
        <v>260</v>
      </c>
      <c r="N298" s="1" t="s">
        <v>357</v>
      </c>
      <c r="O298" s="1" t="s">
        <v>632</v>
      </c>
      <c r="P298" s="1" t="str">
        <f>_xlfn.CONCAT(B298,C298,D298,E298,F298)</f>
        <v>ARAGUATINS 1.1Inverter(MBUS-15)46031,87546031,87546031,9270833333</v>
      </c>
      <c r="Q298" s="1" t="str">
        <f>_xlfn.CONCAT(H298,I298,J298)</f>
        <v>DAURDE</v>
      </c>
    </row>
    <row r="299" spans="2:17">
      <c r="B299" s="1" t="s">
        <v>305</v>
      </c>
      <c r="C299" s="1" t="s">
        <v>256</v>
      </c>
      <c r="D299" s="52">
        <v>46032.034722222219</v>
      </c>
      <c r="E299" s="52">
        <v>46032.034722222219</v>
      </c>
      <c r="F299" s="52">
        <v>46032.332638888889</v>
      </c>
      <c r="G299" s="53">
        <f>F299-E299</f>
        <v>0.29791666667006211</v>
      </c>
      <c r="H299" s="1" t="s">
        <v>257</v>
      </c>
      <c r="J299" s="1" t="s">
        <v>258</v>
      </c>
      <c r="K299" s="1" t="s">
        <v>658</v>
      </c>
      <c r="L299" s="1" t="s">
        <v>1981</v>
      </c>
      <c r="M299" s="1" t="s">
        <v>260</v>
      </c>
      <c r="N299" s="1" t="s">
        <v>357</v>
      </c>
      <c r="O299" s="1" t="s">
        <v>632</v>
      </c>
      <c r="P299" s="1" t="str">
        <f>_xlfn.CONCAT(B299,C299,D299,E299,F299)</f>
        <v>ARAGUATINS 1.1Inverter(MBUS-12)46032,034722222246032,034722222246032,3326388889</v>
      </c>
      <c r="Q299" s="1" t="str">
        <f>_xlfn.CONCAT(H299,I299,J299)</f>
        <v>DAURDE</v>
      </c>
    </row>
    <row r="300" spans="2:17">
      <c r="B300" s="1" t="s">
        <v>305</v>
      </c>
      <c r="C300" s="1" t="s">
        <v>264</v>
      </c>
      <c r="D300" s="52">
        <v>46032.034722222219</v>
      </c>
      <c r="E300" s="52">
        <v>46032.034722222219</v>
      </c>
      <c r="F300" s="52">
        <v>46032.332638888889</v>
      </c>
      <c r="G300" s="53">
        <f>F300-E300</f>
        <v>0.29791666667006211</v>
      </c>
      <c r="H300" s="1" t="s">
        <v>257</v>
      </c>
      <c r="J300" s="1" t="s">
        <v>258</v>
      </c>
      <c r="K300" s="1" t="s">
        <v>658</v>
      </c>
      <c r="L300" s="1" t="s">
        <v>1981</v>
      </c>
      <c r="M300" s="1" t="s">
        <v>260</v>
      </c>
      <c r="N300" s="1" t="s">
        <v>357</v>
      </c>
      <c r="O300" s="1" t="s">
        <v>632</v>
      </c>
      <c r="P300" s="1" t="str">
        <f>_xlfn.CONCAT(B300,C300,D300,E300,F300)</f>
        <v>ARAGUATINS 1.1Inverter(MBUS-13)46032,034722222246032,034722222246032,3326388889</v>
      </c>
      <c r="Q300" s="1" t="str">
        <f>_xlfn.CONCAT(H300,I300,J300)</f>
        <v>DAURDE</v>
      </c>
    </row>
    <row r="301" spans="2:17">
      <c r="B301" s="1" t="s">
        <v>305</v>
      </c>
      <c r="C301" s="1" t="s">
        <v>263</v>
      </c>
      <c r="D301" s="52">
        <v>46032.034722222219</v>
      </c>
      <c r="E301" s="52">
        <v>46032.034722222219</v>
      </c>
      <c r="F301" s="52">
        <v>46032.332638888889</v>
      </c>
      <c r="G301" s="53">
        <f>F301-E301</f>
        <v>0.29791666667006211</v>
      </c>
      <c r="H301" s="1" t="s">
        <v>257</v>
      </c>
      <c r="J301" s="1" t="s">
        <v>258</v>
      </c>
      <c r="K301" s="1" t="s">
        <v>658</v>
      </c>
      <c r="L301" s="1" t="s">
        <v>1981</v>
      </c>
      <c r="M301" s="1" t="s">
        <v>260</v>
      </c>
      <c r="N301" s="1" t="s">
        <v>357</v>
      </c>
      <c r="O301" s="1" t="s">
        <v>632</v>
      </c>
      <c r="P301" s="1" t="str">
        <f>_xlfn.CONCAT(B301,C301,D301,E301,F301)</f>
        <v>ARAGUATINS 1.1Inverter(MBUS-14)46032,034722222246032,034722222246032,3326388889</v>
      </c>
      <c r="Q301" s="1" t="str">
        <f>_xlfn.CONCAT(H301,I301,J301)</f>
        <v>DAURDE</v>
      </c>
    </row>
    <row r="302" spans="2:17">
      <c r="B302" s="1" t="s">
        <v>305</v>
      </c>
      <c r="C302" s="1" t="s">
        <v>307</v>
      </c>
      <c r="D302" s="52">
        <v>46032.034722222219</v>
      </c>
      <c r="E302" s="52">
        <v>46032.034722222219</v>
      </c>
      <c r="F302" s="52">
        <v>46032.332638888889</v>
      </c>
      <c r="G302" s="53">
        <f>F302-E302</f>
        <v>0.29791666667006211</v>
      </c>
      <c r="H302" s="1" t="s">
        <v>257</v>
      </c>
      <c r="J302" s="1" t="s">
        <v>258</v>
      </c>
      <c r="K302" s="1" t="s">
        <v>658</v>
      </c>
      <c r="L302" s="1" t="s">
        <v>1981</v>
      </c>
      <c r="M302" s="1" t="s">
        <v>260</v>
      </c>
      <c r="N302" s="1" t="s">
        <v>357</v>
      </c>
      <c r="O302" s="1" t="s">
        <v>632</v>
      </c>
      <c r="P302" s="1" t="str">
        <f>_xlfn.CONCAT(B302,C302,D302,E302,F302)</f>
        <v>ARAGUATINS 1.1Inverter(MBUS-15)46032,034722222246032,034722222246032,3326388889</v>
      </c>
      <c r="Q302" s="1" t="str">
        <f>_xlfn.CONCAT(H302,I302,J302)</f>
        <v>DAURDE</v>
      </c>
    </row>
    <row r="303" spans="2:17">
      <c r="B303" s="1" t="s">
        <v>308</v>
      </c>
      <c r="C303" s="1" t="s">
        <v>256</v>
      </c>
      <c r="D303" s="52">
        <v>46032.034722222219</v>
      </c>
      <c r="E303" s="52">
        <v>46032.034722222219</v>
      </c>
      <c r="F303" s="52">
        <v>46032.332638888889</v>
      </c>
      <c r="G303" s="53">
        <f>F303-E303</f>
        <v>0.29791666667006211</v>
      </c>
      <c r="H303" s="1" t="s">
        <v>257</v>
      </c>
      <c r="J303" s="1" t="s">
        <v>258</v>
      </c>
      <c r="K303" s="1" t="s">
        <v>658</v>
      </c>
      <c r="L303" s="1" t="s">
        <v>1981</v>
      </c>
      <c r="M303" s="1" t="s">
        <v>260</v>
      </c>
      <c r="N303" s="1" t="s">
        <v>357</v>
      </c>
      <c r="O303" s="1" t="s">
        <v>632</v>
      </c>
      <c r="P303" s="1" t="str">
        <f>_xlfn.CONCAT(B303,C303,D303,E303,F303)</f>
        <v>ARAGUATINS 1.2Inverter(MBUS-12)46032,034722222246032,034722222246032,3326388889</v>
      </c>
      <c r="Q303" s="1" t="str">
        <f>_xlfn.CONCAT(H303,I303,J303)</f>
        <v>DAURDE</v>
      </c>
    </row>
    <row r="304" spans="2:17">
      <c r="B304" s="1" t="s">
        <v>308</v>
      </c>
      <c r="C304" s="1" t="s">
        <v>264</v>
      </c>
      <c r="D304" s="52">
        <v>46032.034722222219</v>
      </c>
      <c r="E304" s="52">
        <v>46032.034722222219</v>
      </c>
      <c r="F304" s="52">
        <v>46032.332638888889</v>
      </c>
      <c r="G304" s="53">
        <f>F304-E304</f>
        <v>0.29791666667006211</v>
      </c>
      <c r="H304" s="1" t="s">
        <v>257</v>
      </c>
      <c r="J304" s="1" t="s">
        <v>258</v>
      </c>
      <c r="K304" s="1" t="s">
        <v>658</v>
      </c>
      <c r="L304" s="1" t="s">
        <v>1981</v>
      </c>
      <c r="M304" s="1" t="s">
        <v>260</v>
      </c>
      <c r="N304" s="1" t="s">
        <v>357</v>
      </c>
      <c r="O304" s="1" t="s">
        <v>632</v>
      </c>
      <c r="P304" s="1" t="str">
        <f>_xlfn.CONCAT(B304,C304,D304,E304,F304)</f>
        <v>ARAGUATINS 1.2Inverter(MBUS-13)46032,034722222246032,034722222246032,3326388889</v>
      </c>
      <c r="Q304" s="1" t="str">
        <f>_xlfn.CONCAT(H304,I304,J304)</f>
        <v>DAURDE</v>
      </c>
    </row>
    <row r="305" spans="2:17">
      <c r="B305" s="1" t="s">
        <v>308</v>
      </c>
      <c r="C305" s="1" t="s">
        <v>263</v>
      </c>
      <c r="D305" s="52">
        <v>46032.034722222219</v>
      </c>
      <c r="E305" s="52">
        <v>46032.034722222219</v>
      </c>
      <c r="F305" s="52">
        <v>46032.332638888889</v>
      </c>
      <c r="G305" s="53">
        <f>F305-E305</f>
        <v>0.29791666667006211</v>
      </c>
      <c r="H305" s="1" t="s">
        <v>257</v>
      </c>
      <c r="J305" s="1" t="s">
        <v>258</v>
      </c>
      <c r="K305" s="1" t="s">
        <v>658</v>
      </c>
      <c r="L305" s="1" t="s">
        <v>1981</v>
      </c>
      <c r="M305" s="1" t="s">
        <v>260</v>
      </c>
      <c r="N305" s="1" t="s">
        <v>357</v>
      </c>
      <c r="O305" s="1" t="s">
        <v>632</v>
      </c>
      <c r="P305" s="1" t="str">
        <f>_xlfn.CONCAT(B305,C305,D305,E305,F305)</f>
        <v>ARAGUATINS 1.2Inverter(MBUS-14)46032,034722222246032,034722222246032,3326388889</v>
      </c>
      <c r="Q305" s="1" t="str">
        <f>_xlfn.CONCAT(H305,I305,J305)</f>
        <v>DAURDE</v>
      </c>
    </row>
    <row r="306" spans="2:17">
      <c r="B306" s="1" t="s">
        <v>308</v>
      </c>
      <c r="C306" s="1" t="s">
        <v>307</v>
      </c>
      <c r="D306" s="52">
        <v>46032.034722222219</v>
      </c>
      <c r="E306" s="52">
        <v>46032.034722222219</v>
      </c>
      <c r="F306" s="52">
        <v>46032.332638888889</v>
      </c>
      <c r="G306" s="53">
        <f>F306-E306</f>
        <v>0.29791666667006211</v>
      </c>
      <c r="H306" s="1" t="s">
        <v>257</v>
      </c>
      <c r="J306" s="1" t="s">
        <v>258</v>
      </c>
      <c r="K306" s="1" t="s">
        <v>658</v>
      </c>
      <c r="L306" s="1" t="s">
        <v>1981</v>
      </c>
      <c r="M306" s="1" t="s">
        <v>260</v>
      </c>
      <c r="N306" s="1" t="s">
        <v>357</v>
      </c>
      <c r="O306" s="1" t="s">
        <v>632</v>
      </c>
      <c r="P306" s="1" t="str">
        <f>_xlfn.CONCAT(B306,C306,D306,E306,F306)</f>
        <v>ARAGUATINS 1.2Inverter(MBUS-15)46032,034722222246032,034722222246032,3326388889</v>
      </c>
      <c r="Q306" s="1" t="str">
        <f>_xlfn.CONCAT(H306,I306,J306)</f>
        <v>DAURDE</v>
      </c>
    </row>
    <row r="307" spans="2:17">
      <c r="B307" s="1" t="s">
        <v>309</v>
      </c>
      <c r="C307" s="1" t="s">
        <v>310</v>
      </c>
      <c r="D307" s="52">
        <v>46032.034722222219</v>
      </c>
      <c r="E307" s="52">
        <v>46032.034722222219</v>
      </c>
      <c r="F307" s="52">
        <v>46032.332638888889</v>
      </c>
      <c r="G307" s="53">
        <f>F307-E307</f>
        <v>0.29791666667006211</v>
      </c>
      <c r="H307" s="1" t="s">
        <v>257</v>
      </c>
      <c r="J307" s="1" t="s">
        <v>258</v>
      </c>
      <c r="K307" s="1" t="s">
        <v>658</v>
      </c>
      <c r="L307" s="1" t="s">
        <v>1981</v>
      </c>
      <c r="M307" s="1" t="s">
        <v>260</v>
      </c>
      <c r="N307" s="1" t="s">
        <v>357</v>
      </c>
      <c r="O307" s="1" t="s">
        <v>632</v>
      </c>
      <c r="P307" s="1" t="str">
        <f>_xlfn.CONCAT(B307,C307,D307,E307,F307)</f>
        <v>ARAGUATINS 1.3Inverter(MBUS-20)46032,034722222246032,034722222246032,3326388889</v>
      </c>
      <c r="Q307" s="1" t="str">
        <f>_xlfn.CONCAT(H307,I307,J307)</f>
        <v>DAURDE</v>
      </c>
    </row>
    <row r="308" spans="2:17">
      <c r="B308" s="1" t="s">
        <v>309</v>
      </c>
      <c r="C308" s="1" t="s">
        <v>247</v>
      </c>
      <c r="D308" s="52">
        <v>46032.034722222219</v>
      </c>
      <c r="E308" s="52">
        <v>46032.034722222219</v>
      </c>
      <c r="F308" s="52">
        <v>46032.332638888889</v>
      </c>
      <c r="G308" s="53">
        <f>F308-E308</f>
        <v>0.29791666667006211</v>
      </c>
      <c r="H308" s="1" t="s">
        <v>257</v>
      </c>
      <c r="J308" s="1" t="s">
        <v>258</v>
      </c>
      <c r="K308" s="1" t="s">
        <v>658</v>
      </c>
      <c r="L308" s="1" t="s">
        <v>1981</v>
      </c>
      <c r="M308" s="1" t="s">
        <v>260</v>
      </c>
      <c r="N308" s="1" t="s">
        <v>357</v>
      </c>
      <c r="O308" s="1" t="s">
        <v>632</v>
      </c>
      <c r="P308" s="1" t="str">
        <f>_xlfn.CONCAT(B308,C308,D308,E308,F308)</f>
        <v>ARAGUATINS 1.3Inverter(MBUS-1)46032,034722222246032,034722222246032,3326388889</v>
      </c>
      <c r="Q308" s="1" t="str">
        <f>_xlfn.CONCAT(H308,I308,J308)</f>
        <v>DAURDE</v>
      </c>
    </row>
    <row r="309" spans="2:17">
      <c r="B309" s="1" t="s">
        <v>375</v>
      </c>
      <c r="C309" s="1" t="s">
        <v>247</v>
      </c>
      <c r="D309" s="52">
        <v>46032.152777777781</v>
      </c>
      <c r="E309" s="52">
        <v>46032.152777777781</v>
      </c>
      <c r="F309" s="52">
        <v>46032.324305555558</v>
      </c>
      <c r="G309" s="53">
        <f>F309-E309</f>
        <v>0.17152777777664596</v>
      </c>
      <c r="H309" s="1" t="s">
        <v>268</v>
      </c>
      <c r="I309" s="1" t="s">
        <v>269</v>
      </c>
      <c r="J309" s="1" t="s">
        <v>270</v>
      </c>
      <c r="K309" s="1" t="str">
        <f>_xlfn.XLOOKUP(J309,REF!D:D,REF!E:E)</f>
        <v>Internet</v>
      </c>
      <c r="L309" s="1" t="str">
        <f>_xlfn.XLOOKUP(K309,REF!E:E,REF!F:F)</f>
        <v>Falha Comunicação</v>
      </c>
      <c r="M309" s="1" t="s">
        <v>272</v>
      </c>
      <c r="N309" s="1" t="s">
        <v>253</v>
      </c>
      <c r="O309" s="1" t="s">
        <v>697</v>
      </c>
      <c r="P309" s="1" t="str">
        <f>_xlfn.CONCAT(B309,C309,D309,E309,F309)</f>
        <v>BC Camarao1.1Inverter(MBUS-1)46032,152777777846032,152777777846032,3243055556</v>
      </c>
      <c r="Q309" s="1" t="str">
        <f>_xlfn.CONCAT(H309,I309,J309)</f>
        <v>LIGRFOINT</v>
      </c>
    </row>
    <row r="310" spans="2:17">
      <c r="B310" s="1" t="s">
        <v>375</v>
      </c>
      <c r="C310" s="1" t="s">
        <v>377</v>
      </c>
      <c r="D310" s="52">
        <v>46032.152777777781</v>
      </c>
      <c r="E310" s="52">
        <v>46032.152777777781</v>
      </c>
      <c r="F310" s="52">
        <v>46032.324305555558</v>
      </c>
      <c r="G310" s="53">
        <f>F310-E310</f>
        <v>0.17152777777664596</v>
      </c>
      <c r="H310" s="1" t="s">
        <v>268</v>
      </c>
      <c r="I310" s="1" t="s">
        <v>269</v>
      </c>
      <c r="J310" s="1" t="s">
        <v>270</v>
      </c>
      <c r="K310" s="1" t="str">
        <f>_xlfn.XLOOKUP(J310,REF!D:D,REF!E:E)</f>
        <v>Internet</v>
      </c>
      <c r="L310" s="1" t="s">
        <v>715</v>
      </c>
      <c r="M310" s="1" t="s">
        <v>272</v>
      </c>
      <c r="N310" s="1" t="s">
        <v>253</v>
      </c>
      <c r="O310" s="1" t="s">
        <v>697</v>
      </c>
      <c r="P310" s="1" t="str">
        <f>_xlfn.CONCAT(B310,C310,D310,E310,F310)</f>
        <v>BC Camarao1.1215KTL-H3(MBUS-12)46032,152777777846032,152777777846032,3243055556</v>
      </c>
      <c r="Q310" s="1" t="str">
        <f>_xlfn.CONCAT(H310,I310,J310)</f>
        <v>LIGRFOINT</v>
      </c>
    </row>
    <row r="311" spans="2:17">
      <c r="B311" s="1" t="s">
        <v>375</v>
      </c>
      <c r="C311" s="1" t="s">
        <v>378</v>
      </c>
      <c r="D311" s="52">
        <v>46032.152777777781</v>
      </c>
      <c r="E311" s="52">
        <v>46032.152777777781</v>
      </c>
      <c r="F311" s="52">
        <v>46032.324305555558</v>
      </c>
      <c r="G311" s="53">
        <f>F311-E311</f>
        <v>0.17152777777664596</v>
      </c>
      <c r="H311" s="1" t="s">
        <v>268</v>
      </c>
      <c r="I311" s="1" t="s">
        <v>269</v>
      </c>
      <c r="J311" s="1" t="s">
        <v>270</v>
      </c>
      <c r="K311" s="1" t="str">
        <f>_xlfn.XLOOKUP(J311,REF!D:D,REF!E:E)</f>
        <v>Internet</v>
      </c>
      <c r="L311" s="1" t="s">
        <v>715</v>
      </c>
      <c r="M311" s="1" t="s">
        <v>272</v>
      </c>
      <c r="N311" s="1" t="s">
        <v>253</v>
      </c>
      <c r="O311" s="1" t="s">
        <v>697</v>
      </c>
      <c r="P311" s="1" t="str">
        <f>_xlfn.CONCAT(B311,C311,D311,E311,F311)</f>
        <v>BC Camarao1.1215KTL-H3(MBUS-13)46032,152777777846032,152777777846032,3243055556</v>
      </c>
      <c r="Q311" s="1" t="str">
        <f>_xlfn.CONCAT(H311,I311,J311)</f>
        <v>LIGRFOINT</v>
      </c>
    </row>
    <row r="312" spans="2:17">
      <c r="B312" s="1" t="s">
        <v>375</v>
      </c>
      <c r="C312" s="1" t="s">
        <v>379</v>
      </c>
      <c r="D312" s="52">
        <v>46032.152777777781</v>
      </c>
      <c r="E312" s="52">
        <v>46032.152777777781</v>
      </c>
      <c r="F312" s="52">
        <v>46032.324305555558</v>
      </c>
      <c r="G312" s="53">
        <f>F312-E312</f>
        <v>0.17152777777664596</v>
      </c>
      <c r="H312" s="1" t="s">
        <v>268</v>
      </c>
      <c r="I312" s="1" t="s">
        <v>269</v>
      </c>
      <c r="J312" s="1" t="s">
        <v>270</v>
      </c>
      <c r="K312" s="1" t="str">
        <f>_xlfn.XLOOKUP(J312,REF!D:D,REF!E:E)</f>
        <v>Internet</v>
      </c>
      <c r="L312" s="1" t="s">
        <v>715</v>
      </c>
      <c r="M312" s="1" t="s">
        <v>272</v>
      </c>
      <c r="N312" s="1" t="s">
        <v>253</v>
      </c>
      <c r="O312" s="1" t="s">
        <v>697</v>
      </c>
      <c r="P312" s="1" t="str">
        <f>_xlfn.CONCAT(B312,C312,D312,E312,F312)</f>
        <v>BC Camarao1.1215KTL-H3(MBUS-16)46032,152777777846032,152777777846032,3243055556</v>
      </c>
      <c r="Q312" s="1" t="str">
        <f>_xlfn.CONCAT(H312,I312,J312)</f>
        <v>LIGRFOINT</v>
      </c>
    </row>
    <row r="313" spans="2:17">
      <c r="B313" s="1" t="s">
        <v>375</v>
      </c>
      <c r="C313" s="1" t="s">
        <v>380</v>
      </c>
      <c r="D313" s="52">
        <v>46032.152777777781</v>
      </c>
      <c r="E313" s="52">
        <v>46032.152777777781</v>
      </c>
      <c r="F313" s="52">
        <v>46032.324305555558</v>
      </c>
      <c r="G313" s="53">
        <f>F313-E313</f>
        <v>0.17152777777664596</v>
      </c>
      <c r="H313" s="1" t="s">
        <v>268</v>
      </c>
      <c r="I313" s="1" t="s">
        <v>269</v>
      </c>
      <c r="J313" s="1" t="s">
        <v>270</v>
      </c>
      <c r="K313" s="1" t="str">
        <f>_xlfn.XLOOKUP(J313,REF!D:D,REF!E:E)</f>
        <v>Internet</v>
      </c>
      <c r="L313" s="1" t="s">
        <v>715</v>
      </c>
      <c r="M313" s="1" t="s">
        <v>272</v>
      </c>
      <c r="N313" s="1" t="s">
        <v>253</v>
      </c>
      <c r="O313" s="1" t="s">
        <v>697</v>
      </c>
      <c r="P313" s="1" t="str">
        <f>_xlfn.CONCAT(B313,C313,D313,E313,F313)</f>
        <v>BC Camarao1.1215KTL-H3(MBUS-15)46032,152777777846032,152777777846032,3243055556</v>
      </c>
      <c r="Q313" s="1" t="str">
        <f>_xlfn.CONCAT(H313,I313,J313)</f>
        <v>LIGRFOINT</v>
      </c>
    </row>
    <row r="314" spans="2:17">
      <c r="B314" s="1" t="s">
        <v>387</v>
      </c>
      <c r="C314" s="1" t="s">
        <v>247</v>
      </c>
      <c r="D314" s="52">
        <v>46032.152777777781</v>
      </c>
      <c r="E314" s="52">
        <v>46032.152777777781</v>
      </c>
      <c r="F314" s="52">
        <v>46032.324305555558</v>
      </c>
      <c r="G314" s="53">
        <f>F314-E314</f>
        <v>0.17152777777664596</v>
      </c>
      <c r="H314" s="1" t="s">
        <v>268</v>
      </c>
      <c r="I314" s="1" t="s">
        <v>269</v>
      </c>
      <c r="J314" s="1" t="s">
        <v>270</v>
      </c>
      <c r="K314" s="1" t="str">
        <f>_xlfn.XLOOKUP(J314,REF!D:D,REF!E:E)</f>
        <v>Internet</v>
      </c>
      <c r="L314" s="1" t="s">
        <v>715</v>
      </c>
      <c r="M314" s="1" t="s">
        <v>272</v>
      </c>
      <c r="N314" s="1" t="s">
        <v>253</v>
      </c>
      <c r="O314" s="1" t="s">
        <v>697</v>
      </c>
      <c r="P314" s="1" t="str">
        <f>_xlfn.CONCAT(B314,C314,D314,E314,F314)</f>
        <v>BC Camarao1.2Inverter(MBUS-1)46032,152777777846032,152777777846032,3243055556</v>
      </c>
      <c r="Q314" s="1" t="str">
        <f>_xlfn.CONCAT(H314,I314,J314)</f>
        <v>LIGRFOINT</v>
      </c>
    </row>
    <row r="315" spans="2:17">
      <c r="B315" s="1" t="s">
        <v>387</v>
      </c>
      <c r="C315" s="1" t="s">
        <v>388</v>
      </c>
      <c r="D315" s="52">
        <v>46032.152777777781</v>
      </c>
      <c r="E315" s="52">
        <v>46032.152777777781</v>
      </c>
      <c r="F315" s="52">
        <v>46032.324305555558</v>
      </c>
      <c r="G315" s="53">
        <f>F315-E315</f>
        <v>0.17152777777664596</v>
      </c>
      <c r="H315" s="1" t="s">
        <v>268</v>
      </c>
      <c r="I315" s="1" t="s">
        <v>269</v>
      </c>
      <c r="J315" s="1" t="s">
        <v>270</v>
      </c>
      <c r="K315" s="1" t="str">
        <f>_xlfn.XLOOKUP(J315,REF!D:D,REF!E:E)</f>
        <v>Internet</v>
      </c>
      <c r="L315" s="1" t="s">
        <v>715</v>
      </c>
      <c r="M315" s="1" t="s">
        <v>272</v>
      </c>
      <c r="N315" s="1" t="s">
        <v>253</v>
      </c>
      <c r="O315" s="1" t="s">
        <v>697</v>
      </c>
      <c r="P315" s="1" t="str">
        <f>_xlfn.CONCAT(B315,C315,D315,E315,F315)</f>
        <v>BC Camarao1.2Inv. 346032,152777777846032,152777777846032,3243055556</v>
      </c>
      <c r="Q315" s="1" t="str">
        <f>_xlfn.CONCAT(H315,I315,J315)</f>
        <v>LIGRFOINT</v>
      </c>
    </row>
    <row r="316" spans="2:17">
      <c r="B316" s="1" t="s">
        <v>387</v>
      </c>
      <c r="C316" s="1" t="s">
        <v>389</v>
      </c>
      <c r="D316" s="52">
        <v>46032.152777777781</v>
      </c>
      <c r="E316" s="52">
        <v>46032.152777777781</v>
      </c>
      <c r="F316" s="52">
        <v>46032.324305555558</v>
      </c>
      <c r="G316" s="53">
        <f>F316-E316</f>
        <v>0.17152777777664596</v>
      </c>
      <c r="H316" s="1" t="s">
        <v>268</v>
      </c>
      <c r="I316" s="1" t="s">
        <v>269</v>
      </c>
      <c r="J316" s="1" t="s">
        <v>270</v>
      </c>
      <c r="K316" s="1" t="str">
        <f>_xlfn.XLOOKUP(J316,REF!D:D,REF!E:E)</f>
        <v>Internet</v>
      </c>
      <c r="L316" s="1" t="s">
        <v>715</v>
      </c>
      <c r="M316" s="1" t="s">
        <v>272</v>
      </c>
      <c r="N316" s="1" t="s">
        <v>253</v>
      </c>
      <c r="O316" s="1" t="s">
        <v>697</v>
      </c>
      <c r="P316" s="1" t="str">
        <f>_xlfn.CONCAT(B316,C316,D316,E316,F316)</f>
        <v>BC Camarao1.2Inv. 446032,152777777846032,152777777846032,3243055556</v>
      </c>
      <c r="Q316" s="1" t="str">
        <f>_xlfn.CONCAT(H316,I316,J316)</f>
        <v>LIGRFOINT</v>
      </c>
    </row>
    <row r="317" spans="2:17">
      <c r="B317" s="1" t="s">
        <v>387</v>
      </c>
      <c r="C317" s="1" t="s">
        <v>390</v>
      </c>
      <c r="D317" s="52">
        <v>46032.152777777781</v>
      </c>
      <c r="E317" s="52">
        <v>46032.152777777781</v>
      </c>
      <c r="F317" s="52">
        <v>46032.324305555558</v>
      </c>
      <c r="G317" s="53">
        <f>F317-E317</f>
        <v>0.17152777777664596</v>
      </c>
      <c r="H317" s="1" t="s">
        <v>268</v>
      </c>
      <c r="I317" s="1" t="s">
        <v>269</v>
      </c>
      <c r="J317" s="1" t="s">
        <v>270</v>
      </c>
      <c r="K317" s="1" t="str">
        <f>_xlfn.XLOOKUP(J317,REF!D:D,REF!E:E)</f>
        <v>Internet</v>
      </c>
      <c r="L317" s="1" t="s">
        <v>715</v>
      </c>
      <c r="M317" s="1" t="s">
        <v>272</v>
      </c>
      <c r="N317" s="1" t="s">
        <v>253</v>
      </c>
      <c r="O317" s="1" t="s">
        <v>697</v>
      </c>
      <c r="P317" s="1" t="str">
        <f>_xlfn.CONCAT(B317,C317,D317,E317,F317)</f>
        <v>BC Camarao1.2Inverter(MBUS-16)46032,152777777846032,152777777846032,3243055556</v>
      </c>
      <c r="Q317" s="1" t="str">
        <f>_xlfn.CONCAT(H317,I317,J317)</f>
        <v>LIGRFOINT</v>
      </c>
    </row>
    <row r="318" spans="2:17">
      <c r="B318" s="1" t="s">
        <v>387</v>
      </c>
      <c r="C318" s="1" t="s">
        <v>256</v>
      </c>
      <c r="D318" s="52">
        <v>46032.152777777781</v>
      </c>
      <c r="E318" s="52">
        <v>46032.152777777781</v>
      </c>
      <c r="F318" s="52">
        <v>46032.324305555558</v>
      </c>
      <c r="G318" s="53">
        <f>F318-E318</f>
        <v>0.17152777777664596</v>
      </c>
      <c r="H318" s="1" t="s">
        <v>268</v>
      </c>
      <c r="I318" s="1" t="s">
        <v>269</v>
      </c>
      <c r="J318" s="1" t="s">
        <v>270</v>
      </c>
      <c r="K318" s="1" t="str">
        <f>_xlfn.XLOOKUP(J318,REF!D:D,REF!E:E)</f>
        <v>Internet</v>
      </c>
      <c r="L318" s="1" t="s">
        <v>715</v>
      </c>
      <c r="M318" s="1" t="s">
        <v>272</v>
      </c>
      <c r="N318" s="1" t="s">
        <v>253</v>
      </c>
      <c r="O318" s="1" t="s">
        <v>697</v>
      </c>
      <c r="P318" s="1" t="str">
        <f>_xlfn.CONCAT(B318,C318,D318,E318,F318)</f>
        <v>BC Camarao1.2Inverter(MBUS-12)46032,152777777846032,152777777846032,3243055556</v>
      </c>
      <c r="Q318" s="1" t="str">
        <f>_xlfn.CONCAT(H318,I318,J318)</f>
        <v>LIGRFOINT</v>
      </c>
    </row>
    <row r="319" spans="2:17">
      <c r="B319" s="1" t="s">
        <v>381</v>
      </c>
      <c r="C319" s="1" t="s">
        <v>379</v>
      </c>
      <c r="D319" s="52">
        <v>46032.152777777781</v>
      </c>
      <c r="E319" s="52">
        <v>46032.152777777781</v>
      </c>
      <c r="F319" s="52">
        <v>46032.324305555558</v>
      </c>
      <c r="G319" s="53">
        <f>F319-E319</f>
        <v>0.17152777777664596</v>
      </c>
      <c r="H319" s="1" t="s">
        <v>268</v>
      </c>
      <c r="I319" s="1" t="s">
        <v>269</v>
      </c>
      <c r="J319" s="1" t="s">
        <v>270</v>
      </c>
      <c r="K319" s="1" t="str">
        <f>_xlfn.XLOOKUP(J319,REF!D:D,REF!E:E)</f>
        <v>Internet</v>
      </c>
      <c r="L319" s="1" t="s">
        <v>715</v>
      </c>
      <c r="M319" s="1" t="s">
        <v>272</v>
      </c>
      <c r="N319" s="1" t="s">
        <v>253</v>
      </c>
      <c r="O319" s="1" t="s">
        <v>697</v>
      </c>
      <c r="P319" s="1" t="str">
        <f>_xlfn.CONCAT(B319,C319,D319,E319,F319)</f>
        <v>BC Camarao1.3215KTL-H3(MBUS-16)46032,152777777846032,152777777846032,3243055556</v>
      </c>
      <c r="Q319" s="1" t="str">
        <f>_xlfn.CONCAT(H319,I319,J319)</f>
        <v>LIGRFOINT</v>
      </c>
    </row>
    <row r="320" spans="2:17">
      <c r="B320" s="1" t="s">
        <v>381</v>
      </c>
      <c r="C320" s="1" t="s">
        <v>382</v>
      </c>
      <c r="D320" s="52">
        <v>46032.152777777781</v>
      </c>
      <c r="E320" s="52">
        <v>46032.152777777781</v>
      </c>
      <c r="F320" s="52">
        <v>46032.324305555558</v>
      </c>
      <c r="G320" s="53">
        <f>F320-E320</f>
        <v>0.17152777777664596</v>
      </c>
      <c r="H320" s="1" t="s">
        <v>268</v>
      </c>
      <c r="I320" s="1" t="s">
        <v>269</v>
      </c>
      <c r="J320" s="1" t="s">
        <v>270</v>
      </c>
      <c r="K320" s="1" t="str">
        <f>_xlfn.XLOOKUP(J320,REF!D:D,REF!E:E)</f>
        <v>Internet</v>
      </c>
      <c r="L320" s="1" t="s">
        <v>715</v>
      </c>
      <c r="M320" s="1" t="s">
        <v>272</v>
      </c>
      <c r="N320" s="1" t="s">
        <v>253</v>
      </c>
      <c r="O320" s="1" t="s">
        <v>697</v>
      </c>
      <c r="P320" s="1" t="str">
        <f>_xlfn.CONCAT(B320,C320,D320,E320,F320)</f>
        <v>BC Camarao1.3215KTL-H3(MBUS-14)46032,152777777846032,152777777846032,3243055556</v>
      </c>
      <c r="Q320" s="1" t="str">
        <f>_xlfn.CONCAT(H320,I320,J320)</f>
        <v>LIGRFOINT</v>
      </c>
    </row>
    <row r="321" spans="2:18">
      <c r="B321" s="1" t="s">
        <v>381</v>
      </c>
      <c r="C321" s="1" t="s">
        <v>380</v>
      </c>
      <c r="D321" s="52">
        <v>46032.152777777781</v>
      </c>
      <c r="E321" s="52">
        <v>46032.152777777781</v>
      </c>
      <c r="F321" s="52">
        <v>46032.324305555558</v>
      </c>
      <c r="G321" s="53">
        <f>F321-E321</f>
        <v>0.17152777777664596</v>
      </c>
      <c r="H321" s="1" t="s">
        <v>268</v>
      </c>
      <c r="I321" s="1" t="s">
        <v>269</v>
      </c>
      <c r="J321" s="1" t="s">
        <v>270</v>
      </c>
      <c r="K321" s="1" t="str">
        <f>_xlfn.XLOOKUP(J321,REF!D:D,REF!E:E)</f>
        <v>Internet</v>
      </c>
      <c r="L321" s="1" t="s">
        <v>715</v>
      </c>
      <c r="M321" s="1" t="s">
        <v>272</v>
      </c>
      <c r="N321" s="1" t="s">
        <v>253</v>
      </c>
      <c r="O321" s="1" t="s">
        <v>697</v>
      </c>
      <c r="P321" s="1" t="str">
        <f>_xlfn.CONCAT(B321,C321,D321,E321,F321)</f>
        <v>BC Camarao1.3215KTL-H3(MBUS-15)46032,152777777846032,152777777846032,3243055556</v>
      </c>
      <c r="Q321" s="1" t="str">
        <f>_xlfn.CONCAT(H321,I321,J321)</f>
        <v>LIGRFOINT</v>
      </c>
    </row>
    <row r="322" spans="2:18">
      <c r="B322" s="1" t="s">
        <v>381</v>
      </c>
      <c r="C322" s="1" t="s">
        <v>377</v>
      </c>
      <c r="D322" s="52">
        <v>46032.152777777781</v>
      </c>
      <c r="E322" s="52">
        <v>46032.152777777781</v>
      </c>
      <c r="F322" s="52">
        <v>46032.324305555558</v>
      </c>
      <c r="G322" s="53">
        <f>F322-E322</f>
        <v>0.17152777777664596</v>
      </c>
      <c r="H322" s="1" t="s">
        <v>268</v>
      </c>
      <c r="I322" s="1" t="s">
        <v>269</v>
      </c>
      <c r="J322" s="1" t="s">
        <v>270</v>
      </c>
      <c r="K322" s="1" t="str">
        <f>_xlfn.XLOOKUP(J322,REF!D:D,REF!E:E)</f>
        <v>Internet</v>
      </c>
      <c r="L322" s="1" t="s">
        <v>715</v>
      </c>
      <c r="M322" s="1" t="s">
        <v>272</v>
      </c>
      <c r="N322" s="1" t="s">
        <v>253</v>
      </c>
      <c r="O322" s="1" t="s">
        <v>697</v>
      </c>
      <c r="P322" s="1" t="str">
        <f>_xlfn.CONCAT(B322,C322,D322,E322,F322)</f>
        <v>BC Camarao1.3215KTL-H3(MBUS-12)46032,152777777846032,152777777846032,3243055556</v>
      </c>
      <c r="Q322" s="1" t="str">
        <f>_xlfn.CONCAT(H322,I322,J322)</f>
        <v>LIGRFOINT</v>
      </c>
    </row>
    <row r="323" spans="2:18">
      <c r="B323" s="1" t="s">
        <v>381</v>
      </c>
      <c r="C323" s="1" t="s">
        <v>378</v>
      </c>
      <c r="D323" s="52">
        <v>46032.152777777781</v>
      </c>
      <c r="E323" s="52">
        <v>46032.152777777781</v>
      </c>
      <c r="F323" s="52">
        <v>46032.324305555558</v>
      </c>
      <c r="G323" s="53">
        <f>F323-E323</f>
        <v>0.17152777777664596</v>
      </c>
      <c r="H323" s="1" t="s">
        <v>268</v>
      </c>
      <c r="I323" s="1" t="s">
        <v>269</v>
      </c>
      <c r="J323" s="1" t="s">
        <v>270</v>
      </c>
      <c r="K323" s="1" t="str">
        <f>_xlfn.XLOOKUP(J323,REF!D:D,REF!E:E)</f>
        <v>Internet</v>
      </c>
      <c r="L323" s="1" t="s">
        <v>715</v>
      </c>
      <c r="M323" s="1" t="s">
        <v>272</v>
      </c>
      <c r="N323" s="1" t="s">
        <v>253</v>
      </c>
      <c r="O323" s="1" t="s">
        <v>697</v>
      </c>
      <c r="P323" s="1" t="str">
        <f>_xlfn.CONCAT(B323,C323,D323,E323,F323)</f>
        <v>BC Camarao1.3215KTL-H3(MBUS-13)46032,152777777846032,152777777846032,3243055556</v>
      </c>
      <c r="Q323" s="1" t="str">
        <f>_xlfn.CONCAT(H323,I323,J323)</f>
        <v>LIGRFOINT</v>
      </c>
    </row>
    <row r="324" spans="2:18">
      <c r="B324" s="1" t="s">
        <v>391</v>
      </c>
      <c r="C324" s="1" t="s">
        <v>392</v>
      </c>
      <c r="D324" s="52">
        <v>46032.152777777781</v>
      </c>
      <c r="E324" s="52">
        <v>46032.152777777781</v>
      </c>
      <c r="F324" s="52">
        <v>46032.324305555558</v>
      </c>
      <c r="G324" s="53">
        <f>F324-E324</f>
        <v>0.17152777777664596</v>
      </c>
      <c r="H324" s="1" t="s">
        <v>268</v>
      </c>
      <c r="I324" s="1" t="s">
        <v>269</v>
      </c>
      <c r="J324" s="1" t="s">
        <v>270</v>
      </c>
      <c r="K324" s="1" t="str">
        <f>_xlfn.XLOOKUP(J324,REF!D:D,REF!E:E)</f>
        <v>Internet</v>
      </c>
      <c r="L324" s="1" t="s">
        <v>715</v>
      </c>
      <c r="M324" s="1" t="s">
        <v>272</v>
      </c>
      <c r="N324" s="1" t="s">
        <v>253</v>
      </c>
      <c r="O324" s="1" t="s">
        <v>697</v>
      </c>
      <c r="P324" s="1" t="str">
        <f>_xlfn.CONCAT(B324,C324,D324,E324,F324)</f>
        <v>BC Camarao1.4INV-6T22A904138146032,152777777846032,152777777846032,3243055556</v>
      </c>
      <c r="Q324" s="1" t="str">
        <f>_xlfn.CONCAT(H324,I324,J324)</f>
        <v>LIGRFOINT</v>
      </c>
      <c r="R324" s="1"/>
    </row>
    <row r="325" spans="2:18">
      <c r="B325" s="1" t="s">
        <v>391</v>
      </c>
      <c r="C325" s="1" t="s">
        <v>382</v>
      </c>
      <c r="D325" s="52">
        <v>46032.152777777781</v>
      </c>
      <c r="E325" s="52">
        <v>46032.152777777781</v>
      </c>
      <c r="F325" s="52">
        <v>46032.324305555558</v>
      </c>
      <c r="G325" s="53">
        <f>F325-E325</f>
        <v>0.17152777777664596</v>
      </c>
      <c r="H325" s="1" t="s">
        <v>268</v>
      </c>
      <c r="I325" s="1" t="s">
        <v>269</v>
      </c>
      <c r="J325" s="1" t="s">
        <v>270</v>
      </c>
      <c r="K325" s="1" t="str">
        <f>_xlfn.XLOOKUP(J325,REF!D:D,REF!E:E)</f>
        <v>Internet</v>
      </c>
      <c r="L325" s="1" t="s">
        <v>715</v>
      </c>
      <c r="M325" s="1" t="s">
        <v>272</v>
      </c>
      <c r="N325" s="1" t="s">
        <v>253</v>
      </c>
      <c r="O325" s="1" t="s">
        <v>697</v>
      </c>
      <c r="P325" s="1" t="str">
        <f>_xlfn.CONCAT(B325,C325,D325,E325,F325)</f>
        <v>BC Camarao1.4215KTL-H3(MBUS-14)46032,152777777846032,152777777846032,3243055556</v>
      </c>
      <c r="Q325" s="1" t="str">
        <f>_xlfn.CONCAT(H325,I325,J325)</f>
        <v>LIGRFOINT</v>
      </c>
    </row>
    <row r="326" spans="2:18">
      <c r="B326" s="1" t="s">
        <v>391</v>
      </c>
      <c r="C326" s="1" t="s">
        <v>378</v>
      </c>
      <c r="D326" s="52">
        <v>46032.152777777781</v>
      </c>
      <c r="E326" s="52">
        <v>46032.152777777781</v>
      </c>
      <c r="F326" s="52">
        <v>46032.324305555558</v>
      </c>
      <c r="G326" s="53">
        <f>F326-E326</f>
        <v>0.17152777777664596</v>
      </c>
      <c r="H326" s="1" t="s">
        <v>268</v>
      </c>
      <c r="I326" s="1" t="s">
        <v>269</v>
      </c>
      <c r="J326" s="1" t="s">
        <v>270</v>
      </c>
      <c r="K326" s="1" t="str">
        <f>_xlfn.XLOOKUP(J326,REF!D:D,REF!E:E)</f>
        <v>Internet</v>
      </c>
      <c r="L326" s="1" t="s">
        <v>715</v>
      </c>
      <c r="M326" s="1" t="s">
        <v>272</v>
      </c>
      <c r="N326" s="1" t="s">
        <v>253</v>
      </c>
      <c r="O326" s="1" t="s">
        <v>697</v>
      </c>
      <c r="P326" s="1" t="str">
        <f>_xlfn.CONCAT(B326,C326,D326,E326,F326)</f>
        <v>BC Camarao1.4215KTL-H3(MBUS-13)46032,152777777846032,152777777846032,3243055556</v>
      </c>
      <c r="Q326" s="1" t="str">
        <f>_xlfn.CONCAT(H326,I326,J326)</f>
        <v>LIGRFOINT</v>
      </c>
    </row>
    <row r="327" spans="2:18">
      <c r="B327" s="1" t="s">
        <v>391</v>
      </c>
      <c r="C327" s="1" t="s">
        <v>379</v>
      </c>
      <c r="D327" s="52">
        <v>46032.152777777781</v>
      </c>
      <c r="E327" s="52">
        <v>46032.152777777781</v>
      </c>
      <c r="F327" s="52">
        <v>46032.324305555558</v>
      </c>
      <c r="G327" s="53">
        <f>F327-E327</f>
        <v>0.17152777777664596</v>
      </c>
      <c r="H327" s="1" t="s">
        <v>268</v>
      </c>
      <c r="I327" s="1" t="s">
        <v>269</v>
      </c>
      <c r="J327" s="1" t="s">
        <v>270</v>
      </c>
      <c r="K327" s="1" t="str">
        <f>_xlfn.XLOOKUP(J327,REF!D:D,REF!E:E)</f>
        <v>Internet</v>
      </c>
      <c r="L327" s="1" t="s">
        <v>715</v>
      </c>
      <c r="M327" s="1" t="s">
        <v>272</v>
      </c>
      <c r="N327" s="1" t="s">
        <v>253</v>
      </c>
      <c r="O327" s="1" t="s">
        <v>697</v>
      </c>
      <c r="P327" s="1" t="str">
        <f>_xlfn.CONCAT(B327,C327,D327,E327,F327)</f>
        <v>BC Camarao1.4215KTL-H3(MBUS-16)46032,152777777846032,152777777846032,3243055556</v>
      </c>
      <c r="Q327" s="1" t="str">
        <f>_xlfn.CONCAT(H327,I327,J327)</f>
        <v>LIGRFOINT</v>
      </c>
    </row>
    <row r="328" spans="2:18">
      <c r="B328" s="1" t="s">
        <v>391</v>
      </c>
      <c r="C328" s="1" t="s">
        <v>380</v>
      </c>
      <c r="D328" s="52">
        <v>46032.152777777781</v>
      </c>
      <c r="E328" s="52">
        <v>46032.152777777781</v>
      </c>
      <c r="F328" s="52">
        <v>46032.324305555558</v>
      </c>
      <c r="G328" s="53">
        <f>F328-E328</f>
        <v>0.17152777777664596</v>
      </c>
      <c r="H328" s="1" t="s">
        <v>268</v>
      </c>
      <c r="I328" s="1" t="s">
        <v>269</v>
      </c>
      <c r="J328" s="1" t="s">
        <v>270</v>
      </c>
      <c r="K328" s="1" t="str">
        <f>_xlfn.XLOOKUP(J328,REF!D:D,REF!E:E)</f>
        <v>Internet</v>
      </c>
      <c r="L328" s="1" t="s">
        <v>715</v>
      </c>
      <c r="M328" s="1" t="s">
        <v>272</v>
      </c>
      <c r="N328" s="1" t="s">
        <v>253</v>
      </c>
      <c r="O328" s="1" t="s">
        <v>697</v>
      </c>
      <c r="P328" s="1" t="str">
        <f>_xlfn.CONCAT(B328,C328,D328,E328,F328)</f>
        <v>BC Camarao1.4215KTL-H3(MBUS-15)46032,152777777846032,152777777846032,3243055556</v>
      </c>
      <c r="Q328" s="1" t="str">
        <f>_xlfn.CONCAT(H328,I328,J328)</f>
        <v>LIGRFOINT</v>
      </c>
    </row>
    <row r="329" spans="2:18">
      <c r="B329" s="1" t="s">
        <v>519</v>
      </c>
      <c r="C329" s="1" t="s">
        <v>380</v>
      </c>
      <c r="D329" s="52">
        <v>46032.152777777781</v>
      </c>
      <c r="E329" s="52">
        <v>46032.152777777781</v>
      </c>
      <c r="F329" s="52">
        <v>46032.324305555558</v>
      </c>
      <c r="G329" s="53">
        <f>F329-E329</f>
        <v>0.17152777777664596</v>
      </c>
      <c r="H329" s="1" t="s">
        <v>268</v>
      </c>
      <c r="I329" s="1" t="s">
        <v>269</v>
      </c>
      <c r="J329" s="1" t="s">
        <v>270</v>
      </c>
      <c r="K329" s="1" t="str">
        <f>_xlfn.XLOOKUP(J329,REF!D:D,REF!E:E)</f>
        <v>Internet</v>
      </c>
      <c r="L329" s="1" t="s">
        <v>715</v>
      </c>
      <c r="M329" s="1" t="s">
        <v>272</v>
      </c>
      <c r="N329" s="1" t="s">
        <v>253</v>
      </c>
      <c r="O329" s="1" t="s">
        <v>697</v>
      </c>
      <c r="P329" s="1" t="str">
        <f>_xlfn.CONCAT(B329,C329,D329,E329,F329)</f>
        <v>BC Camarao1.5215KTL-H3(MBUS-15)46032,152777777846032,152777777846032,3243055556</v>
      </c>
      <c r="Q329" s="1" t="str">
        <f>_xlfn.CONCAT(H329,I329,J329)</f>
        <v>LIGRFOINT</v>
      </c>
    </row>
    <row r="330" spans="2:18">
      <c r="B330" s="1" t="s">
        <v>519</v>
      </c>
      <c r="C330" s="1" t="s">
        <v>378</v>
      </c>
      <c r="D330" s="52">
        <v>46032.152777777781</v>
      </c>
      <c r="E330" s="52">
        <v>46032.152777777781</v>
      </c>
      <c r="F330" s="52">
        <v>46032.324305555558</v>
      </c>
      <c r="G330" s="53">
        <f>F330-E330</f>
        <v>0.17152777777664596</v>
      </c>
      <c r="H330" s="1" t="s">
        <v>268</v>
      </c>
      <c r="I330" s="1" t="s">
        <v>269</v>
      </c>
      <c r="J330" s="1" t="s">
        <v>270</v>
      </c>
      <c r="K330" s="1" t="str">
        <f>_xlfn.XLOOKUP(J330,REF!D:D,REF!E:E)</f>
        <v>Internet</v>
      </c>
      <c r="L330" s="1" t="s">
        <v>715</v>
      </c>
      <c r="M330" s="1" t="s">
        <v>272</v>
      </c>
      <c r="N330" s="1" t="s">
        <v>253</v>
      </c>
      <c r="O330" s="1" t="s">
        <v>697</v>
      </c>
      <c r="P330" s="1" t="str">
        <f>_xlfn.CONCAT(B330,C330,D330,E330,F330)</f>
        <v>BC Camarao1.5215KTL-H3(MBUS-13)46032,152777777846032,152777777846032,3243055556</v>
      </c>
      <c r="Q330" s="1" t="str">
        <f>_xlfn.CONCAT(H330,I330,J330)</f>
        <v>LIGRFOINT</v>
      </c>
    </row>
    <row r="331" spans="2:18">
      <c r="B331" s="1" t="s">
        <v>519</v>
      </c>
      <c r="C331" s="1" t="s">
        <v>377</v>
      </c>
      <c r="D331" s="52">
        <v>46032.152777777781</v>
      </c>
      <c r="E331" s="52">
        <v>46032.152777777781</v>
      </c>
      <c r="F331" s="52">
        <v>46032.324305555558</v>
      </c>
      <c r="G331" s="53">
        <f>F331-E331</f>
        <v>0.17152777777664596</v>
      </c>
      <c r="H331" s="1" t="s">
        <v>268</v>
      </c>
      <c r="I331" s="1" t="s">
        <v>269</v>
      </c>
      <c r="J331" s="1" t="s">
        <v>270</v>
      </c>
      <c r="K331" s="1" t="str">
        <f>_xlfn.XLOOKUP(J331,REF!D:D,REF!E:E)</f>
        <v>Internet</v>
      </c>
      <c r="L331" s="1" t="s">
        <v>715</v>
      </c>
      <c r="M331" s="1" t="s">
        <v>272</v>
      </c>
      <c r="N331" s="1" t="s">
        <v>253</v>
      </c>
      <c r="O331" s="1" t="s">
        <v>697</v>
      </c>
      <c r="P331" s="1" t="str">
        <f>_xlfn.CONCAT(B331,C331,D331,E331,F331)</f>
        <v>BC Camarao1.5215KTL-H3(MBUS-12)46032,152777777846032,152777777846032,3243055556</v>
      </c>
      <c r="Q331" s="1" t="str">
        <f>_xlfn.CONCAT(H331,I331,J331)</f>
        <v>LIGRFOINT</v>
      </c>
    </row>
    <row r="332" spans="2:18">
      <c r="B332" s="1" t="s">
        <v>519</v>
      </c>
      <c r="C332" s="1" t="s">
        <v>520</v>
      </c>
      <c r="D332" s="52">
        <v>46032.152777777781</v>
      </c>
      <c r="E332" s="52">
        <v>46032.152777777781</v>
      </c>
      <c r="F332" s="52">
        <v>46032.324305555558</v>
      </c>
      <c r="G332" s="53">
        <f>F332-E332</f>
        <v>0.17152777777664596</v>
      </c>
      <c r="H332" s="1" t="s">
        <v>268</v>
      </c>
      <c r="I332" s="1" t="s">
        <v>269</v>
      </c>
      <c r="J332" s="1" t="s">
        <v>270</v>
      </c>
      <c r="K332" s="1" t="str">
        <f>_xlfn.XLOOKUP(J332,REF!D:D,REF!E:E)</f>
        <v>Internet</v>
      </c>
      <c r="L332" s="1" t="s">
        <v>715</v>
      </c>
      <c r="M332" s="1" t="s">
        <v>272</v>
      </c>
      <c r="N332" s="1" t="s">
        <v>253</v>
      </c>
      <c r="O332" s="1" t="s">
        <v>697</v>
      </c>
      <c r="P332" s="1" t="str">
        <f>_xlfn.CONCAT(B332,C332,D332,E332,F332)</f>
        <v>BC Camarao1.5215KTL-H3(MBUS-1)46032,152777777846032,152777777846032,3243055556</v>
      </c>
      <c r="Q332" s="1" t="str">
        <f>_xlfn.CONCAT(H332,I332,J332)</f>
        <v>LIGRFOINT</v>
      </c>
    </row>
    <row r="333" spans="2:18">
      <c r="B333" s="1" t="s">
        <v>519</v>
      </c>
      <c r="C333" s="1" t="s">
        <v>382</v>
      </c>
      <c r="D333" s="52">
        <v>46032.152777777781</v>
      </c>
      <c r="E333" s="52">
        <v>46032.152777777781</v>
      </c>
      <c r="F333" s="52">
        <v>46032.324305555558</v>
      </c>
      <c r="G333" s="53">
        <f>F333-E333</f>
        <v>0.17152777777664596</v>
      </c>
      <c r="H333" s="1" t="s">
        <v>268</v>
      </c>
      <c r="I333" s="1" t="s">
        <v>269</v>
      </c>
      <c r="J333" s="1" t="s">
        <v>270</v>
      </c>
      <c r="K333" s="1" t="str">
        <f>_xlfn.XLOOKUP(J333,REF!D:D,REF!E:E)</f>
        <v>Internet</v>
      </c>
      <c r="L333" s="1" t="s">
        <v>715</v>
      </c>
      <c r="M333" s="1" t="s">
        <v>272</v>
      </c>
      <c r="N333" s="1" t="s">
        <v>253</v>
      </c>
      <c r="O333" s="1" t="s">
        <v>697</v>
      </c>
      <c r="P333" s="1" t="str">
        <f>_xlfn.CONCAT(B333,C333,D333,E333,F333)</f>
        <v>BC Camarao1.5215KTL-H3(MBUS-14)46032,152777777846032,152777777846032,3243055556</v>
      </c>
      <c r="Q333" s="1" t="str">
        <f>_xlfn.CONCAT(H333,I333,J333)</f>
        <v>LIGRFOINT</v>
      </c>
    </row>
    <row r="334" spans="2:18">
      <c r="B334" s="1" t="s">
        <v>803</v>
      </c>
      <c r="C334" s="1" t="s">
        <v>264</v>
      </c>
      <c r="D334" s="52">
        <v>46032.152777777781</v>
      </c>
      <c r="E334" s="52">
        <v>46032.152777777781</v>
      </c>
      <c r="F334" s="52">
        <v>46034.413888888892</v>
      </c>
      <c r="G334" s="53">
        <f>F334-E334</f>
        <v>2.2611111111109494</v>
      </c>
      <c r="H334" s="1" t="s">
        <v>257</v>
      </c>
      <c r="J334" s="1" t="s">
        <v>258</v>
      </c>
      <c r="K334" s="1" t="s">
        <v>658</v>
      </c>
      <c r="L334" s="1" t="s">
        <v>703</v>
      </c>
      <c r="M334" s="1" t="s">
        <v>260</v>
      </c>
      <c r="N334" s="1" t="s">
        <v>357</v>
      </c>
      <c r="O334" s="1" t="s">
        <v>695</v>
      </c>
      <c r="P334" s="1" t="str">
        <f>_xlfn.CONCAT(B334,C334,D334,E334,F334)</f>
        <v>BC Formoso1.1Inverter(MBUS-13)46032,152777777846032,152777777846034,4138888889</v>
      </c>
      <c r="Q334" s="1" t="str">
        <f>_xlfn.CONCAT(H334,I334,J334)</f>
        <v>DAURDE</v>
      </c>
    </row>
    <row r="335" spans="2:18">
      <c r="B335" s="1" t="s">
        <v>803</v>
      </c>
      <c r="C335" s="1" t="s">
        <v>256</v>
      </c>
      <c r="D335" s="52">
        <v>46032.152777777781</v>
      </c>
      <c r="E335" s="52">
        <v>46032.152777777781</v>
      </c>
      <c r="F335" s="52">
        <v>46034.413888888892</v>
      </c>
      <c r="G335" s="53">
        <f>F335-E335</f>
        <v>2.2611111111109494</v>
      </c>
      <c r="H335" s="1" t="s">
        <v>257</v>
      </c>
      <c r="J335" s="1" t="s">
        <v>258</v>
      </c>
      <c r="K335" s="1" t="s">
        <v>658</v>
      </c>
      <c r="L335" s="1" t="s">
        <v>703</v>
      </c>
      <c r="M335" s="1" t="s">
        <v>260</v>
      </c>
      <c r="N335" s="1" t="s">
        <v>357</v>
      </c>
      <c r="O335" s="1" t="s">
        <v>695</v>
      </c>
      <c r="P335" s="1" t="str">
        <f>_xlfn.CONCAT(B335,C335,D335,E335,F335)</f>
        <v>BC Formoso1.1Inverter(MBUS-12)46032,152777777846032,152777777846034,4138888889</v>
      </c>
      <c r="Q335" s="1" t="str">
        <f>_xlfn.CONCAT(H335,I335,J335)</f>
        <v>DAURDE</v>
      </c>
    </row>
    <row r="336" spans="2:18">
      <c r="B336" s="1" t="s">
        <v>803</v>
      </c>
      <c r="C336" s="1" t="s">
        <v>307</v>
      </c>
      <c r="D336" s="52">
        <v>46032.152777777781</v>
      </c>
      <c r="E336" s="52">
        <v>46032.152777777781</v>
      </c>
      <c r="F336" s="52">
        <v>46034.413888888892</v>
      </c>
      <c r="G336" s="53">
        <f>F336-E336</f>
        <v>2.2611111111109494</v>
      </c>
      <c r="H336" s="1" t="s">
        <v>257</v>
      </c>
      <c r="J336" s="1" t="s">
        <v>258</v>
      </c>
      <c r="K336" s="1" t="s">
        <v>658</v>
      </c>
      <c r="L336" s="1" t="s">
        <v>703</v>
      </c>
      <c r="M336" s="1" t="s">
        <v>260</v>
      </c>
      <c r="N336" s="1" t="s">
        <v>357</v>
      </c>
      <c r="O336" s="1" t="s">
        <v>695</v>
      </c>
      <c r="P336" s="1" t="str">
        <f>_xlfn.CONCAT(B336,C336,D336,E336,F336)</f>
        <v>BC Formoso1.1Inverter(MBUS-15)46032,152777777846032,152777777846034,4138888889</v>
      </c>
      <c r="Q336" s="1" t="str">
        <f>_xlfn.CONCAT(H336,I336,J336)</f>
        <v>DAURDE</v>
      </c>
    </row>
    <row r="337" spans="2:17">
      <c r="B337" s="1" t="s">
        <v>803</v>
      </c>
      <c r="C337" s="1" t="s">
        <v>263</v>
      </c>
      <c r="D337" s="52">
        <v>46032.152777777781</v>
      </c>
      <c r="E337" s="52">
        <v>46032.152777777781</v>
      </c>
      <c r="F337" s="52">
        <v>46034.413888888892</v>
      </c>
      <c r="G337" s="53">
        <f>F337-E337</f>
        <v>2.2611111111109494</v>
      </c>
      <c r="H337" s="1" t="s">
        <v>257</v>
      </c>
      <c r="J337" s="1" t="s">
        <v>258</v>
      </c>
      <c r="K337" s="1" t="s">
        <v>658</v>
      </c>
      <c r="L337" s="1" t="s">
        <v>703</v>
      </c>
      <c r="M337" s="1" t="s">
        <v>260</v>
      </c>
      <c r="N337" s="1" t="s">
        <v>357</v>
      </c>
      <c r="O337" s="1" t="s">
        <v>695</v>
      </c>
      <c r="P337" s="1" t="str">
        <f>_xlfn.CONCAT(B337,C337,D337,E337,F337)</f>
        <v>BC Formoso1.1Inverter(MBUS-14)46032,152777777846032,152777777846034,4138888889</v>
      </c>
      <c r="Q337" s="1" t="str">
        <f>_xlfn.CONCAT(H337,I337,J337)</f>
        <v>DAURDE</v>
      </c>
    </row>
    <row r="338" spans="2:17">
      <c r="B338" s="1" t="s">
        <v>805</v>
      </c>
      <c r="C338" s="1" t="s">
        <v>264</v>
      </c>
      <c r="D338" s="52">
        <v>46032.152777777781</v>
      </c>
      <c r="E338" s="52">
        <v>46032.152777777781</v>
      </c>
      <c r="F338" s="52">
        <v>46034.413888888892</v>
      </c>
      <c r="G338" s="53">
        <f>F338-E338</f>
        <v>2.2611111111109494</v>
      </c>
      <c r="H338" s="1" t="s">
        <v>257</v>
      </c>
      <c r="J338" s="1" t="s">
        <v>258</v>
      </c>
      <c r="K338" s="1" t="s">
        <v>658</v>
      </c>
      <c r="L338" s="1" t="s">
        <v>703</v>
      </c>
      <c r="M338" s="1" t="s">
        <v>260</v>
      </c>
      <c r="N338" s="1" t="s">
        <v>357</v>
      </c>
      <c r="O338" s="1" t="s">
        <v>695</v>
      </c>
      <c r="P338" s="1" t="str">
        <f>_xlfn.CONCAT(B338,C338,D338,E338,F338)</f>
        <v>BC Formoso1.2Inverter(MBUS-13)46032,152777777846032,152777777846034,4138888889</v>
      </c>
      <c r="Q338" s="1" t="str">
        <f>_xlfn.CONCAT(H338,I338,J338)</f>
        <v>DAURDE</v>
      </c>
    </row>
    <row r="339" spans="2:17">
      <c r="B339" s="1" t="s">
        <v>805</v>
      </c>
      <c r="C339" s="1" t="s">
        <v>256</v>
      </c>
      <c r="D339" s="52">
        <v>46032.152777777781</v>
      </c>
      <c r="E339" s="52">
        <v>46032.152777777781</v>
      </c>
      <c r="F339" s="52">
        <v>46034.413888888892</v>
      </c>
      <c r="G339" s="53">
        <f>F339-E339</f>
        <v>2.2611111111109494</v>
      </c>
      <c r="H339" s="1" t="s">
        <v>257</v>
      </c>
      <c r="J339" s="1" t="s">
        <v>258</v>
      </c>
      <c r="K339" s="1" t="s">
        <v>658</v>
      </c>
      <c r="L339" s="1" t="s">
        <v>703</v>
      </c>
      <c r="M339" s="1" t="s">
        <v>260</v>
      </c>
      <c r="N339" s="1" t="s">
        <v>357</v>
      </c>
      <c r="O339" s="1" t="s">
        <v>695</v>
      </c>
      <c r="P339" s="1" t="str">
        <f>_xlfn.CONCAT(B339,C339,D339,E339,F339)</f>
        <v>BC Formoso1.2Inverter(MBUS-12)46032,152777777846032,152777777846034,4138888889</v>
      </c>
      <c r="Q339" s="1" t="str">
        <f>_xlfn.CONCAT(H339,I339,J339)</f>
        <v>DAURDE</v>
      </c>
    </row>
    <row r="340" spans="2:17">
      <c r="B340" s="1" t="s">
        <v>805</v>
      </c>
      <c r="C340" s="1" t="s">
        <v>307</v>
      </c>
      <c r="D340" s="52">
        <v>46032.152777777781</v>
      </c>
      <c r="E340" s="52">
        <v>46032.152777777781</v>
      </c>
      <c r="F340" s="52">
        <v>46034.413888888892</v>
      </c>
      <c r="G340" s="53">
        <f>F340-E340</f>
        <v>2.2611111111109494</v>
      </c>
      <c r="H340" s="1" t="s">
        <v>257</v>
      </c>
      <c r="J340" s="1" t="s">
        <v>258</v>
      </c>
      <c r="K340" s="1" t="s">
        <v>658</v>
      </c>
      <c r="L340" s="1" t="s">
        <v>703</v>
      </c>
      <c r="M340" s="1" t="s">
        <v>260</v>
      </c>
      <c r="N340" s="1" t="s">
        <v>357</v>
      </c>
      <c r="O340" s="1" t="s">
        <v>695</v>
      </c>
      <c r="P340" s="1" t="str">
        <f>_xlfn.CONCAT(B340,C340,D340,E340,F340)</f>
        <v>BC Formoso1.2Inverter(MBUS-15)46032,152777777846032,152777777846034,4138888889</v>
      </c>
      <c r="Q340" s="1" t="str">
        <f>_xlfn.CONCAT(H340,I340,J340)</f>
        <v>DAURDE</v>
      </c>
    </row>
    <row r="341" spans="2:17">
      <c r="B341" s="1" t="s">
        <v>805</v>
      </c>
      <c r="C341" s="1" t="s">
        <v>263</v>
      </c>
      <c r="D341" s="52">
        <v>46032.152777777781</v>
      </c>
      <c r="E341" s="52">
        <v>46032.152777777781</v>
      </c>
      <c r="F341" s="52">
        <v>46034.413888888892</v>
      </c>
      <c r="G341" s="53">
        <f>F341-E341</f>
        <v>2.2611111111109494</v>
      </c>
      <c r="H341" s="1" t="s">
        <v>257</v>
      </c>
      <c r="J341" s="1" t="s">
        <v>258</v>
      </c>
      <c r="K341" s="1" t="s">
        <v>658</v>
      </c>
      <c r="L341" s="1" t="s">
        <v>703</v>
      </c>
      <c r="M341" s="1" t="s">
        <v>260</v>
      </c>
      <c r="N341" s="1" t="s">
        <v>357</v>
      </c>
      <c r="O341" s="1" t="s">
        <v>695</v>
      </c>
      <c r="P341" s="1" t="str">
        <f>_xlfn.CONCAT(B341,C341,D341,E341,F341)</f>
        <v>BC Formoso1.2Inverter(MBUS-14)46032,152777777846032,152777777846034,4138888889</v>
      </c>
      <c r="Q341" s="1" t="str">
        <f>_xlfn.CONCAT(H341,I341,J341)</f>
        <v>DAURDE</v>
      </c>
    </row>
    <row r="342" spans="2:17">
      <c r="B342" s="1" t="s">
        <v>806</v>
      </c>
      <c r="C342" s="1" t="s">
        <v>264</v>
      </c>
      <c r="D342" s="52">
        <v>46032.152777777781</v>
      </c>
      <c r="E342" s="52">
        <v>46032.152777777781</v>
      </c>
      <c r="F342" s="52">
        <v>46034.413888888892</v>
      </c>
      <c r="G342" s="53">
        <f>F342-E342</f>
        <v>2.2611111111109494</v>
      </c>
      <c r="H342" s="1" t="s">
        <v>257</v>
      </c>
      <c r="J342" s="1" t="s">
        <v>258</v>
      </c>
      <c r="K342" s="1" t="s">
        <v>658</v>
      </c>
      <c r="L342" s="1" t="s">
        <v>703</v>
      </c>
      <c r="M342" s="1" t="s">
        <v>260</v>
      </c>
      <c r="N342" s="1" t="s">
        <v>357</v>
      </c>
      <c r="O342" s="1" t="s">
        <v>695</v>
      </c>
      <c r="P342" s="1" t="str">
        <f>_xlfn.CONCAT(B342,C342,D342,E342,F342)</f>
        <v>BC Formoso1.3Inverter(MBUS-13)46032,152777777846032,152777777846034,4138888889</v>
      </c>
      <c r="Q342" s="1" t="str">
        <f>_xlfn.CONCAT(H342,I342,J342)</f>
        <v>DAURDE</v>
      </c>
    </row>
    <row r="343" spans="2:17">
      <c r="B343" s="1" t="s">
        <v>806</v>
      </c>
      <c r="C343" s="1" t="s">
        <v>256</v>
      </c>
      <c r="D343" s="52">
        <v>46032.152777777781</v>
      </c>
      <c r="E343" s="52">
        <v>46032.152777777781</v>
      </c>
      <c r="F343" s="52">
        <v>46034.413888888892</v>
      </c>
      <c r="G343" s="53">
        <f>F343-E343</f>
        <v>2.2611111111109494</v>
      </c>
      <c r="H343" s="1" t="s">
        <v>257</v>
      </c>
      <c r="J343" s="1" t="s">
        <v>258</v>
      </c>
      <c r="K343" s="1" t="s">
        <v>658</v>
      </c>
      <c r="L343" s="1" t="s">
        <v>703</v>
      </c>
      <c r="M343" s="1" t="s">
        <v>260</v>
      </c>
      <c r="N343" s="1" t="s">
        <v>357</v>
      </c>
      <c r="O343" s="1" t="s">
        <v>695</v>
      </c>
      <c r="P343" s="1" t="str">
        <f>_xlfn.CONCAT(B343,C343,D343,E343,F343)</f>
        <v>BC Formoso1.3Inverter(MBUS-12)46032,152777777846032,152777777846034,4138888889</v>
      </c>
      <c r="Q343" s="1" t="str">
        <f>_xlfn.CONCAT(H343,I343,J343)</f>
        <v>DAURDE</v>
      </c>
    </row>
    <row r="344" spans="2:17">
      <c r="B344" s="1" t="s">
        <v>255</v>
      </c>
      <c r="C344" s="1" t="s">
        <v>256</v>
      </c>
      <c r="D344" s="52">
        <v>46032.152777777781</v>
      </c>
      <c r="E344" s="52">
        <v>46032.152777777781</v>
      </c>
      <c r="F344" s="52">
        <v>46034.413888888892</v>
      </c>
      <c r="G344" s="53">
        <f>F344-E344</f>
        <v>2.2611111111109494</v>
      </c>
      <c r="H344" s="1" t="s">
        <v>257</v>
      </c>
      <c r="J344" s="1" t="s">
        <v>258</v>
      </c>
      <c r="K344" s="1" t="s">
        <v>658</v>
      </c>
      <c r="L344" s="1" t="s">
        <v>703</v>
      </c>
      <c r="M344" s="1" t="s">
        <v>260</v>
      </c>
      <c r="N344" s="1" t="s">
        <v>357</v>
      </c>
      <c r="O344" s="1" t="s">
        <v>695</v>
      </c>
      <c r="P344" s="1" t="str">
        <f>_xlfn.CONCAT(B344,C344,D344,E344,F344)</f>
        <v>BC Formoso2.1Inverter(MBUS-12)46032,152777777846032,152777777846034,4138888889</v>
      </c>
      <c r="Q344" s="1" t="str">
        <f>_xlfn.CONCAT(H344,I344,J344)</f>
        <v>DAURDE</v>
      </c>
    </row>
    <row r="345" spans="2:17">
      <c r="B345" s="1" t="s">
        <v>255</v>
      </c>
      <c r="C345" s="1" t="s">
        <v>263</v>
      </c>
      <c r="D345" s="52">
        <v>46032.152777777781</v>
      </c>
      <c r="E345" s="52">
        <v>46032.152777777781</v>
      </c>
      <c r="F345" s="52">
        <v>46034.413888888892</v>
      </c>
      <c r="G345" s="53">
        <f>F345-E345</f>
        <v>2.2611111111109494</v>
      </c>
      <c r="H345" s="1" t="s">
        <v>257</v>
      </c>
      <c r="J345" s="1" t="s">
        <v>258</v>
      </c>
      <c r="K345" s="1" t="s">
        <v>658</v>
      </c>
      <c r="L345" s="1" t="s">
        <v>703</v>
      </c>
      <c r="M345" s="1" t="s">
        <v>260</v>
      </c>
      <c r="N345" s="1" t="s">
        <v>357</v>
      </c>
      <c r="O345" s="1" t="s">
        <v>695</v>
      </c>
      <c r="P345" s="1" t="str">
        <f>_xlfn.CONCAT(B345,C345,D345,E345,F345)</f>
        <v>BC Formoso2.1Inverter(MBUS-14)46032,152777777846032,152777777846034,4138888889</v>
      </c>
      <c r="Q345" s="1" t="str">
        <f>_xlfn.CONCAT(H345,I345,J345)</f>
        <v>DAURDE</v>
      </c>
    </row>
    <row r="346" spans="2:17">
      <c r="B346" s="1" t="s">
        <v>255</v>
      </c>
      <c r="C346" s="1" t="s">
        <v>264</v>
      </c>
      <c r="D346" s="52">
        <v>46032.152777777781</v>
      </c>
      <c r="E346" s="52">
        <v>46032.152777777781</v>
      </c>
      <c r="F346" s="52">
        <v>46034.413888888892</v>
      </c>
      <c r="G346" s="53">
        <f>F346-E346</f>
        <v>2.2611111111109494</v>
      </c>
      <c r="H346" s="1" t="s">
        <v>257</v>
      </c>
      <c r="J346" s="1" t="s">
        <v>258</v>
      </c>
      <c r="K346" s="1" t="s">
        <v>658</v>
      </c>
      <c r="L346" s="1" t="s">
        <v>703</v>
      </c>
      <c r="M346" s="1" t="s">
        <v>260</v>
      </c>
      <c r="N346" s="1" t="s">
        <v>357</v>
      </c>
      <c r="O346" s="1" t="s">
        <v>695</v>
      </c>
      <c r="P346" s="1" t="str">
        <f>_xlfn.CONCAT(B346,C346,D346,E346,F346)</f>
        <v>BC Formoso2.1Inverter(MBUS-13)46032,152777777846032,152777777846034,4138888889</v>
      </c>
      <c r="Q346" s="1" t="str">
        <f>_xlfn.CONCAT(H346,I346,J346)</f>
        <v>DAURDE</v>
      </c>
    </row>
    <row r="347" spans="2:17">
      <c r="B347" s="1" t="s">
        <v>255</v>
      </c>
      <c r="C347" s="1" t="s">
        <v>247</v>
      </c>
      <c r="D347" s="52">
        <v>46032.152777777781</v>
      </c>
      <c r="E347" s="52">
        <v>46032.152777777781</v>
      </c>
      <c r="F347" s="52">
        <v>46034.413888888892</v>
      </c>
      <c r="G347" s="53">
        <f>F347-E347</f>
        <v>2.2611111111109494</v>
      </c>
      <c r="H347" s="1" t="s">
        <v>257</v>
      </c>
      <c r="J347" s="1" t="s">
        <v>258</v>
      </c>
      <c r="K347" s="1" t="s">
        <v>658</v>
      </c>
      <c r="L347" s="1" t="s">
        <v>703</v>
      </c>
      <c r="M347" s="1" t="s">
        <v>260</v>
      </c>
      <c r="N347" s="1" t="s">
        <v>357</v>
      </c>
      <c r="O347" s="1" t="s">
        <v>695</v>
      </c>
      <c r="P347" s="1" t="str">
        <f>_xlfn.CONCAT(B347,C347,D347,E347,F347)</f>
        <v>BC Formoso2.1Inverter(MBUS-1)46032,152777777846032,152777777846034,4138888889</v>
      </c>
      <c r="Q347" s="1" t="str">
        <f>_xlfn.CONCAT(H347,I347,J347)</f>
        <v>DAURDE</v>
      </c>
    </row>
    <row r="348" spans="2:17">
      <c r="B348" s="1" t="s">
        <v>265</v>
      </c>
      <c r="C348" s="1" t="s">
        <v>263</v>
      </c>
      <c r="D348" s="52">
        <v>46032.152777777781</v>
      </c>
      <c r="E348" s="52">
        <v>46032.152777777781</v>
      </c>
      <c r="F348" s="52">
        <v>46034.413888888892</v>
      </c>
      <c r="G348" s="53">
        <f>F348-E348</f>
        <v>2.2611111111109494</v>
      </c>
      <c r="H348" s="1" t="s">
        <v>257</v>
      </c>
      <c r="J348" s="1" t="s">
        <v>258</v>
      </c>
      <c r="K348" s="1" t="s">
        <v>658</v>
      </c>
      <c r="L348" s="1" t="s">
        <v>703</v>
      </c>
      <c r="M348" s="1" t="s">
        <v>260</v>
      </c>
      <c r="N348" s="1" t="s">
        <v>357</v>
      </c>
      <c r="O348" s="1" t="s">
        <v>695</v>
      </c>
      <c r="P348" s="1" t="str">
        <f>_xlfn.CONCAT(B348,C348,D348,E348,F348)</f>
        <v>BC Formoso2.2Inverter(MBUS-14)46032,152777777846032,152777777846034,4138888889</v>
      </c>
      <c r="Q348" s="1" t="str">
        <f>_xlfn.CONCAT(H348,I348,J348)</f>
        <v>DAURDE</v>
      </c>
    </row>
    <row r="349" spans="2:17">
      <c r="B349" s="1" t="s">
        <v>265</v>
      </c>
      <c r="C349" s="1" t="s">
        <v>264</v>
      </c>
      <c r="D349" s="52">
        <v>46032.152777777781</v>
      </c>
      <c r="E349" s="52">
        <v>46032.152777777781</v>
      </c>
      <c r="F349" s="52">
        <v>46034.413888888892</v>
      </c>
      <c r="G349" s="53">
        <f>F349-E349</f>
        <v>2.2611111111109494</v>
      </c>
      <c r="H349" s="1" t="s">
        <v>257</v>
      </c>
      <c r="J349" s="1" t="s">
        <v>258</v>
      </c>
      <c r="K349" s="1" t="s">
        <v>658</v>
      </c>
      <c r="L349" s="1" t="s">
        <v>703</v>
      </c>
      <c r="M349" s="1" t="s">
        <v>260</v>
      </c>
      <c r="N349" s="1" t="s">
        <v>357</v>
      </c>
      <c r="O349" s="1" t="s">
        <v>695</v>
      </c>
      <c r="P349" s="1" t="str">
        <f>_xlfn.CONCAT(B349,C349,D349,E349,F349)</f>
        <v>BC Formoso2.2Inverter(MBUS-13)46032,152777777846032,152777777846034,4138888889</v>
      </c>
      <c r="Q349" s="1" t="str">
        <f>_xlfn.CONCAT(H349,I349,J349)</f>
        <v>DAURDE</v>
      </c>
    </row>
    <row r="350" spans="2:17">
      <c r="B350" s="1" t="s">
        <v>265</v>
      </c>
      <c r="C350" s="1" t="s">
        <v>256</v>
      </c>
      <c r="D350" s="52">
        <v>46032.152777777781</v>
      </c>
      <c r="E350" s="52">
        <v>46032.152777777781</v>
      </c>
      <c r="F350" s="52">
        <v>46034.413888888892</v>
      </c>
      <c r="G350" s="53">
        <f>F350-E350</f>
        <v>2.2611111111109494</v>
      </c>
      <c r="H350" s="1" t="s">
        <v>257</v>
      </c>
      <c r="J350" s="1" t="s">
        <v>258</v>
      </c>
      <c r="K350" s="1" t="s">
        <v>658</v>
      </c>
      <c r="L350" s="1" t="s">
        <v>703</v>
      </c>
      <c r="M350" s="1" t="s">
        <v>260</v>
      </c>
      <c r="N350" s="1" t="s">
        <v>357</v>
      </c>
      <c r="O350" s="1" t="s">
        <v>695</v>
      </c>
      <c r="P350" s="1" t="str">
        <f>_xlfn.CONCAT(B350,C350,D350,E350,F350)</f>
        <v>BC Formoso2.2Inverter(MBUS-12)46032,152777777846032,152777777846034,4138888889</v>
      </c>
      <c r="Q350" s="1" t="str">
        <f>_xlfn.CONCAT(H350,I350,J350)</f>
        <v>DAURDE</v>
      </c>
    </row>
    <row r="351" spans="2:17">
      <c r="B351" s="1" t="s">
        <v>265</v>
      </c>
      <c r="C351" s="1" t="s">
        <v>247</v>
      </c>
      <c r="D351" s="52">
        <v>46032.152777777781</v>
      </c>
      <c r="E351" s="52">
        <v>46032.152777777781</v>
      </c>
      <c r="F351" s="52">
        <v>46034.413888888892</v>
      </c>
      <c r="G351" s="53">
        <f>F351-E351</f>
        <v>2.2611111111109494</v>
      </c>
      <c r="H351" s="1" t="s">
        <v>257</v>
      </c>
      <c r="J351" s="1" t="s">
        <v>258</v>
      </c>
      <c r="K351" s="1" t="s">
        <v>658</v>
      </c>
      <c r="L351" s="1" t="s">
        <v>703</v>
      </c>
      <c r="M351" s="1" t="s">
        <v>260</v>
      </c>
      <c r="N351" s="1" t="s">
        <v>357</v>
      </c>
      <c r="O351" s="1" t="s">
        <v>695</v>
      </c>
      <c r="P351" s="1" t="str">
        <f>_xlfn.CONCAT(B351,C351,D351,E351,F351)</f>
        <v>BC Formoso2.2Inverter(MBUS-1)46032,152777777846032,152777777846034,4138888889</v>
      </c>
      <c r="Q351" s="1" t="str">
        <f>_xlfn.CONCAT(H351,I351,J351)</f>
        <v>DAURDE</v>
      </c>
    </row>
    <row r="352" spans="2:17">
      <c r="B352" s="1" t="s">
        <v>355</v>
      </c>
      <c r="C352" s="1" t="s">
        <v>264</v>
      </c>
      <c r="D352" s="52">
        <v>46032.152777777781</v>
      </c>
      <c r="E352" s="52">
        <v>46032.152777777781</v>
      </c>
      <c r="F352" s="52">
        <v>46034.413888888892</v>
      </c>
      <c r="G352" s="53">
        <f>F352-E352</f>
        <v>2.2611111111109494</v>
      </c>
      <c r="H352" s="1" t="s">
        <v>257</v>
      </c>
      <c r="J352" s="1" t="s">
        <v>258</v>
      </c>
      <c r="K352" s="1" t="s">
        <v>658</v>
      </c>
      <c r="L352" s="1" t="s">
        <v>703</v>
      </c>
      <c r="M352" s="1" t="s">
        <v>260</v>
      </c>
      <c r="N352" s="1" t="s">
        <v>357</v>
      </c>
      <c r="O352" s="1" t="s">
        <v>695</v>
      </c>
      <c r="P352" s="1" t="str">
        <f>_xlfn.CONCAT(B352,C352,D352,E352,F352)</f>
        <v>BC Formoso2.3Inverter(MBUS-13)46032,152777777846032,152777777846034,4138888889</v>
      </c>
      <c r="Q352" s="1" t="str">
        <f>_xlfn.CONCAT(H352,I352,J352)</f>
        <v>DAURDE</v>
      </c>
    </row>
    <row r="353" spans="2:17">
      <c r="B353" s="1" t="s">
        <v>355</v>
      </c>
      <c r="C353" s="1" t="s">
        <v>256</v>
      </c>
      <c r="D353" s="52">
        <v>46032.152777777781</v>
      </c>
      <c r="E353" s="52">
        <v>46032.152777777781</v>
      </c>
      <c r="F353" s="52">
        <v>46034.413888888892</v>
      </c>
      <c r="G353" s="53">
        <f>F353-E353</f>
        <v>2.2611111111109494</v>
      </c>
      <c r="H353" s="1" t="s">
        <v>257</v>
      </c>
      <c r="J353" s="1" t="s">
        <v>258</v>
      </c>
      <c r="K353" s="1" t="s">
        <v>658</v>
      </c>
      <c r="L353" s="1" t="s">
        <v>703</v>
      </c>
      <c r="M353" s="1" t="s">
        <v>260</v>
      </c>
      <c r="N353" s="1" t="s">
        <v>357</v>
      </c>
      <c r="O353" s="1" t="s">
        <v>695</v>
      </c>
      <c r="P353" s="1" t="str">
        <f>_xlfn.CONCAT(B353,C353,D353,E353,F353)</f>
        <v>BC Formoso2.3Inverter(MBUS-12)46032,152777777846032,152777777846034,4138888889</v>
      </c>
      <c r="Q353" s="1" t="str">
        <f>_xlfn.CONCAT(H353,I353,J353)</f>
        <v>DAURDE</v>
      </c>
    </row>
    <row r="354" spans="2:17">
      <c r="B354" s="1" t="s">
        <v>327</v>
      </c>
      <c r="C354" s="1" t="s">
        <v>247</v>
      </c>
      <c r="D354" s="52">
        <v>46032.408333333333</v>
      </c>
      <c r="E354" s="52">
        <v>46032.408333333333</v>
      </c>
      <c r="F354" s="52">
        <v>46032.518750000003</v>
      </c>
      <c r="G354" s="53">
        <f>F354-E354</f>
        <v>0.11041666667006211</v>
      </c>
      <c r="H354" s="1" t="s">
        <v>257</v>
      </c>
      <c r="J354" s="1" t="s">
        <v>258</v>
      </c>
      <c r="K354" s="1" t="str">
        <f>_xlfn.XLOOKUP(J354,REF!$D$2:$D$12,REF!$E$2:$E$12)</f>
        <v>Rede</v>
      </c>
      <c r="L354" s="1" t="s">
        <v>541</v>
      </c>
      <c r="M354" s="1" t="s">
        <v>260</v>
      </c>
      <c r="N354" s="1" t="s">
        <v>357</v>
      </c>
      <c r="O354" s="1" t="s">
        <v>632</v>
      </c>
      <c r="P354" s="1" t="str">
        <f>_xlfn.CONCAT(B354,C354,D354,E354,F354)</f>
        <v>BC Aracu5.1Inverter(MBUS-1)46032,408333333346032,408333333346032,51875</v>
      </c>
      <c r="Q354" s="1" t="str">
        <f>_xlfn.CONCAT(H354,I354,J354)</f>
        <v>DAURDE</v>
      </c>
    </row>
    <row r="355" spans="2:17">
      <c r="B355" s="1" t="s">
        <v>246</v>
      </c>
      <c r="C355" s="1" t="s">
        <v>247</v>
      </c>
      <c r="D355" s="52">
        <v>46032.408333333333</v>
      </c>
      <c r="E355" s="52">
        <v>46032.408333333333</v>
      </c>
      <c r="F355" s="52">
        <v>46032.518750000003</v>
      </c>
      <c r="G355" s="53">
        <f>F355-E355</f>
        <v>0.11041666667006211</v>
      </c>
      <c r="H355" s="1" t="s">
        <v>257</v>
      </c>
      <c r="J355" s="1" t="s">
        <v>258</v>
      </c>
      <c r="K355" s="1" t="str">
        <f>_xlfn.XLOOKUP(J355,REF!$D$2:$D$12,REF!$E$2:$E$12)</f>
        <v>Rede</v>
      </c>
      <c r="L355" s="1" t="s">
        <v>541</v>
      </c>
      <c r="M355" s="1" t="s">
        <v>260</v>
      </c>
      <c r="N355" s="1" t="s">
        <v>357</v>
      </c>
      <c r="O355" s="1" t="s">
        <v>632</v>
      </c>
      <c r="P355" s="1" t="str">
        <f>_xlfn.CONCAT(B355,C355,D355,E355,F355)</f>
        <v>BC Aracu5.2Inverter(MBUS-1)46032,408333333346032,408333333346032,51875</v>
      </c>
      <c r="Q355" s="1" t="str">
        <f>_xlfn.CONCAT(H355,I355,J355)</f>
        <v>DAURDE</v>
      </c>
    </row>
    <row r="356" spans="2:17">
      <c r="B356" s="1" t="s">
        <v>328</v>
      </c>
      <c r="C356" s="1" t="s">
        <v>247</v>
      </c>
      <c r="D356" s="52">
        <v>46032.408333333333</v>
      </c>
      <c r="E356" s="52">
        <v>46032.408333333333</v>
      </c>
      <c r="F356" s="52">
        <v>46032.518750000003</v>
      </c>
      <c r="G356" s="53">
        <f>F356-E356</f>
        <v>0.11041666667006211</v>
      </c>
      <c r="H356" s="1" t="s">
        <v>257</v>
      </c>
      <c r="J356" s="1" t="s">
        <v>258</v>
      </c>
      <c r="K356" s="1" t="str">
        <f>_xlfn.XLOOKUP(J356,REF!$D$2:$D$12,REF!$E$2:$E$12)</f>
        <v>Rede</v>
      </c>
      <c r="L356" s="1" t="s">
        <v>541</v>
      </c>
      <c r="M356" s="1" t="s">
        <v>260</v>
      </c>
      <c r="N356" s="1" t="s">
        <v>357</v>
      </c>
      <c r="O356" s="1" t="s">
        <v>632</v>
      </c>
      <c r="P356" s="1" t="str">
        <f>_xlfn.CONCAT(B356,C356,D356,E356,F356)</f>
        <v>BC Aracu5.3Inverter(MBUS-1)46032,408333333346032,408333333346032,51875</v>
      </c>
      <c r="Q356" s="1" t="str">
        <f>_xlfn.CONCAT(H356,I356,J356)</f>
        <v>DAURDE</v>
      </c>
    </row>
    <row r="357" spans="2:17">
      <c r="B357" s="1" t="s">
        <v>329</v>
      </c>
      <c r="C357" s="1" t="s">
        <v>247</v>
      </c>
      <c r="D357" s="52">
        <v>46032.408333333333</v>
      </c>
      <c r="E357" s="52">
        <v>46032.408333333333</v>
      </c>
      <c r="F357" s="52">
        <v>46032.518750000003</v>
      </c>
      <c r="G357" s="53">
        <f>F357-E357</f>
        <v>0.11041666667006211</v>
      </c>
      <c r="H357" s="1" t="s">
        <v>257</v>
      </c>
      <c r="J357" s="1" t="s">
        <v>258</v>
      </c>
      <c r="K357" s="1" t="str">
        <f>_xlfn.XLOOKUP(J357,REF!$D$2:$D$12,REF!$E$2:$E$12)</f>
        <v>Rede</v>
      </c>
      <c r="L357" s="1" t="s">
        <v>541</v>
      </c>
      <c r="M357" s="1" t="s">
        <v>260</v>
      </c>
      <c r="N357" s="1" t="s">
        <v>357</v>
      </c>
      <c r="O357" s="1" t="s">
        <v>632</v>
      </c>
      <c r="P357" s="1" t="str">
        <f>_xlfn.CONCAT(B357,C357,D357,E357,F357)</f>
        <v>BC Aracu5.4Inverter(MBUS-1)46032,408333333346032,408333333346032,51875</v>
      </c>
      <c r="Q357" s="1" t="str">
        <f>_xlfn.CONCAT(H357,I357,J357)</f>
        <v>DAURDE</v>
      </c>
    </row>
    <row r="358" spans="2:17">
      <c r="B358" s="1" t="s">
        <v>330</v>
      </c>
      <c r="C358" s="1" t="s">
        <v>247</v>
      </c>
      <c r="D358" s="52">
        <v>46032.408333333333</v>
      </c>
      <c r="E358" s="52">
        <v>46032.408333333333</v>
      </c>
      <c r="F358" s="52">
        <v>46032.518750000003</v>
      </c>
      <c r="G358" s="53">
        <f>F358-E358</f>
        <v>0.11041666667006211</v>
      </c>
      <c r="H358" s="1" t="s">
        <v>257</v>
      </c>
      <c r="J358" s="1" t="s">
        <v>258</v>
      </c>
      <c r="K358" s="1" t="str">
        <f>_xlfn.XLOOKUP(J358,REF!$D$2:$D$12,REF!$E$2:$E$12)</f>
        <v>Rede</v>
      </c>
      <c r="L358" s="1" t="s">
        <v>541</v>
      </c>
      <c r="M358" s="1" t="s">
        <v>260</v>
      </c>
      <c r="N358" s="1" t="s">
        <v>357</v>
      </c>
      <c r="O358" s="1" t="s">
        <v>632</v>
      </c>
      <c r="P358" s="1" t="str">
        <f>_xlfn.CONCAT(B358,C358,D358,E358,F358)</f>
        <v>BC Aracu5.5Inverter(MBUS-1)46032,408333333346032,408333333346032,51875</v>
      </c>
      <c r="Q358" s="1" t="str">
        <f>_xlfn.CONCAT(H358,I358,J358)</f>
        <v>DAURDE</v>
      </c>
    </row>
    <row r="359" spans="2:17">
      <c r="B359" s="1" t="s">
        <v>456</v>
      </c>
      <c r="C359" s="1" t="s">
        <v>466</v>
      </c>
      <c r="D359" s="52">
        <v>46032.611111111109</v>
      </c>
      <c r="E359" s="52">
        <v>46032.611111111109</v>
      </c>
      <c r="F359" s="52">
        <v>46033</v>
      </c>
      <c r="G359" s="53">
        <f>F359-E359</f>
        <v>0.38888888889050577</v>
      </c>
      <c r="H359" s="1" t="s">
        <v>257</v>
      </c>
      <c r="J359" s="1" t="s">
        <v>258</v>
      </c>
      <c r="K359" s="1" t="str">
        <f>_xlfn.XLOOKUP(J359,REF!$D$2:$D$12,REF!$E$2:$E$12)</f>
        <v>Rede</v>
      </c>
      <c r="L359" s="1" t="s">
        <v>259</v>
      </c>
      <c r="M359" s="1" t="s">
        <v>260</v>
      </c>
      <c r="N359" s="1" t="s">
        <v>261</v>
      </c>
      <c r="O359" s="1" t="s">
        <v>626</v>
      </c>
      <c r="P359" s="1" t="str">
        <f>_xlfn.CONCAT(B359,C359,D359,E359,F359)</f>
        <v>BC Caiaponia1SG60KTL(COM1-009)46032,611111111146032,611111111146033</v>
      </c>
      <c r="Q359" s="1" t="str">
        <f>_xlfn.CONCAT(H359,I359,J359)</f>
        <v>DAURDE</v>
      </c>
    </row>
    <row r="360" spans="2:17">
      <c r="B360" s="1" t="s">
        <v>456</v>
      </c>
      <c r="C360" s="1" t="s">
        <v>467</v>
      </c>
      <c r="D360" s="52">
        <v>46032.611111111109</v>
      </c>
      <c r="E360" s="52">
        <v>46032.611111111109</v>
      </c>
      <c r="F360" s="52">
        <v>46033</v>
      </c>
      <c r="G360" s="53">
        <f>F360-E360</f>
        <v>0.38888888889050577</v>
      </c>
      <c r="H360" s="1" t="s">
        <v>257</v>
      </c>
      <c r="J360" s="1" t="s">
        <v>258</v>
      </c>
      <c r="K360" s="1" t="str">
        <f>_xlfn.XLOOKUP(J360,REF!$D$2:$D$12,REF!$E$2:$E$12)</f>
        <v>Rede</v>
      </c>
      <c r="L360" s="1" t="s">
        <v>259</v>
      </c>
      <c r="M360" s="1" t="s">
        <v>260</v>
      </c>
      <c r="N360" s="1" t="s">
        <v>261</v>
      </c>
      <c r="O360" s="1" t="s">
        <v>626</v>
      </c>
      <c r="P360" s="1" t="str">
        <f>_xlfn.CONCAT(B360,C360,D360,E360,F360)</f>
        <v>BC Caiaponia1SG60KTL(COM1-010)46032,611111111146032,611111111146033</v>
      </c>
      <c r="Q360" s="1" t="str">
        <f>_xlfn.CONCAT(H360,I360,J360)</f>
        <v>DAURDE</v>
      </c>
    </row>
    <row r="361" spans="2:17">
      <c r="B361" s="1" t="s">
        <v>456</v>
      </c>
      <c r="C361" s="1" t="s">
        <v>468</v>
      </c>
      <c r="D361" s="52">
        <v>46032.611111111109</v>
      </c>
      <c r="E361" s="52">
        <v>46032.611111111109</v>
      </c>
      <c r="F361" s="52">
        <v>46033</v>
      </c>
      <c r="G361" s="53">
        <f>F361-E361</f>
        <v>0.38888888889050577</v>
      </c>
      <c r="H361" s="1" t="s">
        <v>257</v>
      </c>
      <c r="J361" s="1" t="s">
        <v>258</v>
      </c>
      <c r="K361" s="1" t="str">
        <f>_xlfn.XLOOKUP(J361,REF!$D$2:$D$12,REF!$E$2:$E$12)</f>
        <v>Rede</v>
      </c>
      <c r="L361" s="1" t="s">
        <v>259</v>
      </c>
      <c r="M361" s="1" t="s">
        <v>260</v>
      </c>
      <c r="N361" s="1" t="s">
        <v>261</v>
      </c>
      <c r="O361" s="1" t="s">
        <v>626</v>
      </c>
      <c r="P361" s="1" t="str">
        <f>_xlfn.CONCAT(B361,C361,D361,E361,F361)</f>
        <v>BC Caiaponia1SG60KTL(COM1-011)46032,611111111146032,611111111146033</v>
      </c>
      <c r="Q361" s="1" t="str">
        <f>_xlfn.CONCAT(H361,I361,J361)</f>
        <v>DAURDE</v>
      </c>
    </row>
    <row r="362" spans="2:17">
      <c r="B362" s="1" t="s">
        <v>456</v>
      </c>
      <c r="C362" s="1" t="s">
        <v>469</v>
      </c>
      <c r="D362" s="52">
        <v>46032.611111111109</v>
      </c>
      <c r="E362" s="52">
        <v>46032.611111111109</v>
      </c>
      <c r="F362" s="52">
        <v>46033</v>
      </c>
      <c r="G362" s="53">
        <f>F362-E362</f>
        <v>0.38888888889050577</v>
      </c>
      <c r="H362" s="1" t="s">
        <v>257</v>
      </c>
      <c r="J362" s="1" t="s">
        <v>258</v>
      </c>
      <c r="K362" s="1" t="str">
        <f>_xlfn.XLOOKUP(J362,REF!$D$2:$D$12,REF!$E$2:$E$12)</f>
        <v>Rede</v>
      </c>
      <c r="L362" s="1" t="s">
        <v>259</v>
      </c>
      <c r="M362" s="1" t="s">
        <v>260</v>
      </c>
      <c r="N362" s="1" t="s">
        <v>261</v>
      </c>
      <c r="O362" s="1" t="s">
        <v>626</v>
      </c>
      <c r="P362" s="1" t="str">
        <f>_xlfn.CONCAT(B362,C362,D362,E362,F362)</f>
        <v>BC Caiaponia1SG60KTL(COM1-012)46032,611111111146032,611111111146033</v>
      </c>
      <c r="Q362" s="1" t="str">
        <f>_xlfn.CONCAT(H362,I362,J362)</f>
        <v>DAURDE</v>
      </c>
    </row>
    <row r="363" spans="2:17">
      <c r="B363" s="1" t="s">
        <v>456</v>
      </c>
      <c r="C363" s="1" t="s">
        <v>470</v>
      </c>
      <c r="D363" s="52">
        <v>46032.611111111109</v>
      </c>
      <c r="E363" s="52">
        <v>46032.611111111109</v>
      </c>
      <c r="F363" s="52">
        <v>46033</v>
      </c>
      <c r="G363" s="53">
        <f>F363-E363</f>
        <v>0.38888888889050577</v>
      </c>
      <c r="H363" s="1" t="s">
        <v>257</v>
      </c>
      <c r="J363" s="1" t="s">
        <v>258</v>
      </c>
      <c r="K363" s="1" t="str">
        <f>_xlfn.XLOOKUP(J363,REF!$D$2:$D$12,REF!$E$2:$E$12)</f>
        <v>Rede</v>
      </c>
      <c r="L363" s="1" t="s">
        <v>259</v>
      </c>
      <c r="M363" s="1" t="s">
        <v>260</v>
      </c>
      <c r="N363" s="1" t="s">
        <v>261</v>
      </c>
      <c r="O363" s="1" t="s">
        <v>626</v>
      </c>
      <c r="P363" s="1" t="str">
        <f>_xlfn.CONCAT(B363,C363,D363,E363,F363)</f>
        <v>BC Caiaponia1SG60KTL(COM1-013)46032,611111111146032,611111111146033</v>
      </c>
      <c r="Q363" s="1" t="str">
        <f>_xlfn.CONCAT(H363,I363,J363)</f>
        <v>DAURDE</v>
      </c>
    </row>
    <row r="364" spans="2:17">
      <c r="B364" s="1" t="s">
        <v>456</v>
      </c>
      <c r="C364" s="1" t="s">
        <v>471</v>
      </c>
      <c r="D364" s="52">
        <v>46032.611111111109</v>
      </c>
      <c r="E364" s="52">
        <v>46032.611111111109</v>
      </c>
      <c r="F364" s="52">
        <v>46033</v>
      </c>
      <c r="G364" s="53">
        <f>F364-E364</f>
        <v>0.38888888889050577</v>
      </c>
      <c r="H364" s="1" t="s">
        <v>257</v>
      </c>
      <c r="J364" s="1" t="s">
        <v>258</v>
      </c>
      <c r="K364" s="1" t="str">
        <f>_xlfn.XLOOKUP(J364,REF!$D$2:$D$12,REF!$E$2:$E$12)</f>
        <v>Rede</v>
      </c>
      <c r="L364" s="1" t="s">
        <v>259</v>
      </c>
      <c r="M364" s="1" t="s">
        <v>260</v>
      </c>
      <c r="N364" s="1" t="s">
        <v>261</v>
      </c>
      <c r="O364" s="1" t="s">
        <v>626</v>
      </c>
      <c r="P364" s="1" t="str">
        <f>_xlfn.CONCAT(B364,C364,D364,E364,F364)</f>
        <v>BC Caiaponia1SG60KTL(COM1-014)46032,611111111146032,611111111146033</v>
      </c>
      <c r="Q364" s="1" t="str">
        <f>_xlfn.CONCAT(H364,I364,J364)</f>
        <v>DAURDE</v>
      </c>
    </row>
    <row r="365" spans="2:17">
      <c r="B365" s="1" t="s">
        <v>456</v>
      </c>
      <c r="C365" s="1" t="s">
        <v>472</v>
      </c>
      <c r="D365" s="52">
        <v>46032.611111111109</v>
      </c>
      <c r="E365" s="52">
        <v>46032.611111111109</v>
      </c>
      <c r="F365" s="52">
        <v>46033</v>
      </c>
      <c r="G365" s="53">
        <f>F365-E365</f>
        <v>0.38888888889050577</v>
      </c>
      <c r="H365" s="1" t="s">
        <v>257</v>
      </c>
      <c r="J365" s="1" t="s">
        <v>258</v>
      </c>
      <c r="K365" s="1" t="str">
        <f>_xlfn.XLOOKUP(J365,REF!$D$2:$D$12,REF!$E$2:$E$12)</f>
        <v>Rede</v>
      </c>
      <c r="L365" s="1" t="s">
        <v>259</v>
      </c>
      <c r="M365" s="1" t="s">
        <v>260</v>
      </c>
      <c r="N365" s="1" t="s">
        <v>261</v>
      </c>
      <c r="O365" s="1" t="s">
        <v>626</v>
      </c>
      <c r="P365" s="1" t="str">
        <f>_xlfn.CONCAT(B365,C365,D365,E365,F365)</f>
        <v>BC Caiaponia1SG60KTL(COM1-015)46032,611111111146032,611111111146033</v>
      </c>
      <c r="Q365" s="1" t="str">
        <f>_xlfn.CONCAT(H365,I365,J365)</f>
        <v>DAURDE</v>
      </c>
    </row>
    <row r="366" spans="2:17">
      <c r="B366" s="1" t="s">
        <v>529</v>
      </c>
      <c r="C366" s="1" t="s">
        <v>530</v>
      </c>
      <c r="D366" s="52">
        <v>46032.727083333331</v>
      </c>
      <c r="E366" s="52">
        <v>46032.727083333331</v>
      </c>
      <c r="F366" s="52">
        <v>46033.329861111109</v>
      </c>
      <c r="G366" s="53">
        <f>F366-E366</f>
        <v>0.60277777777810115</v>
      </c>
      <c r="H366" s="1" t="s">
        <v>257</v>
      </c>
      <c r="J366" s="1" t="s">
        <v>258</v>
      </c>
      <c r="K366" s="1" t="s">
        <v>658</v>
      </c>
      <c r="L366" s="1" t="s">
        <v>1959</v>
      </c>
      <c r="M366" s="1" t="s">
        <v>260</v>
      </c>
      <c r="N366" s="1" t="s">
        <v>357</v>
      </c>
      <c r="O366" s="1" t="s">
        <v>632</v>
      </c>
      <c r="P366" s="1" t="str">
        <f>_xlfn.CONCAT(B366,C366,D366,E366,F366)</f>
        <v>BC Barra1Inverter__546032,727083333346032,727083333346033,3298611111</v>
      </c>
      <c r="Q366" s="1" t="str">
        <f>_xlfn.CONCAT(H366,I366,J366)</f>
        <v>DAURDE</v>
      </c>
    </row>
    <row r="367" spans="2:17">
      <c r="B367" s="1" t="s">
        <v>529</v>
      </c>
      <c r="C367" s="1" t="s">
        <v>876</v>
      </c>
      <c r="D367" s="52">
        <v>46032.727083333331</v>
      </c>
      <c r="E367" s="52">
        <v>46032.727083333331</v>
      </c>
      <c r="F367" s="52">
        <v>46033.329861111109</v>
      </c>
      <c r="G367" s="53">
        <f>F367-E367</f>
        <v>0.60277777777810115</v>
      </c>
      <c r="H367" s="1" t="s">
        <v>257</v>
      </c>
      <c r="J367" s="1" t="s">
        <v>258</v>
      </c>
      <c r="K367" s="1" t="s">
        <v>658</v>
      </c>
      <c r="L367" s="1" t="s">
        <v>1959</v>
      </c>
      <c r="M367" s="1" t="s">
        <v>260</v>
      </c>
      <c r="N367" s="1" t="s">
        <v>357</v>
      </c>
      <c r="O367" s="1" t="s">
        <v>632</v>
      </c>
      <c r="P367" s="1" t="str">
        <f>_xlfn.CONCAT(B367,C367,D367,E367,F367)</f>
        <v>BC Barra1Inverter__146032,727083333346032,727083333346033,3298611111</v>
      </c>
      <c r="Q367" s="1" t="str">
        <f>_xlfn.CONCAT(H367,I367,J367)</f>
        <v>DAURDE</v>
      </c>
    </row>
    <row r="368" spans="2:17">
      <c r="B368" s="66" t="s">
        <v>368</v>
      </c>
      <c r="C368" s="1" t="s">
        <v>256</v>
      </c>
      <c r="D368" s="52">
        <v>46033.40625</v>
      </c>
      <c r="E368" s="52">
        <v>46033.40625</v>
      </c>
      <c r="F368" s="52">
        <v>46035.239583333336</v>
      </c>
      <c r="G368" s="53">
        <f>F368-E368</f>
        <v>1.8333333333357587</v>
      </c>
      <c r="H368" s="1" t="s">
        <v>677</v>
      </c>
      <c r="J368" s="1" t="s">
        <v>1978</v>
      </c>
      <c r="K368" s="1" t="str">
        <f>_xlfn.XLOOKUP(J368,REF!$D$2:$D$12,REF!$E$2:$E$12)</f>
        <v>Relé de proteção</v>
      </c>
      <c r="L368" s="1" t="s">
        <v>1983</v>
      </c>
      <c r="M368" s="1" t="s">
        <v>663</v>
      </c>
      <c r="N368" s="1" t="s">
        <v>364</v>
      </c>
      <c r="O368" s="1" t="s">
        <v>706</v>
      </c>
      <c r="P368" s="1" t="str">
        <f>_xlfn.CONCAT(B368,C368,D369,E368,F368)</f>
        <v>BC Ibiuna 1.1Inverter(MBUS-12)46033,4062546033,4062546035,2395833333</v>
      </c>
      <c r="Q368" s="1" t="str">
        <f>_xlfn.CONCAT(H368,I368,J368)</f>
        <v>DPRPRT</v>
      </c>
    </row>
    <row r="369" spans="2:17">
      <c r="B369" s="66" t="s">
        <v>368</v>
      </c>
      <c r="C369" s="1" t="s">
        <v>264</v>
      </c>
      <c r="D369" s="52">
        <v>46033.40625</v>
      </c>
      <c r="E369" s="52">
        <v>46033.40625</v>
      </c>
      <c r="F369" s="52">
        <v>46035.239583333336</v>
      </c>
      <c r="G369" s="53">
        <f>F369-E369</f>
        <v>1.8333333333357587</v>
      </c>
      <c r="H369" s="1" t="s">
        <v>677</v>
      </c>
      <c r="J369" s="1" t="s">
        <v>1978</v>
      </c>
      <c r="K369" s="1" t="str">
        <f>_xlfn.XLOOKUP(J369,REF!$D$2:$D$12,REF!$E$2:$E$12)</f>
        <v>Relé de proteção</v>
      </c>
      <c r="L369" s="1" t="s">
        <v>1983</v>
      </c>
      <c r="M369" s="1" t="s">
        <v>663</v>
      </c>
      <c r="N369" s="1" t="s">
        <v>364</v>
      </c>
      <c r="O369" s="1" t="s">
        <v>706</v>
      </c>
      <c r="P369" s="1" t="str">
        <f>_xlfn.CONCAT(B369,C369,D370,E369,F369)</f>
        <v>BC Ibiuna 1.1Inverter(MBUS-13)46033,4062546033,4062546035,2395833333</v>
      </c>
      <c r="Q369" s="1" t="str">
        <f>_xlfn.CONCAT(H369,I369,J369)</f>
        <v>DPRPRT</v>
      </c>
    </row>
    <row r="370" spans="2:17">
      <c r="B370" s="66" t="s">
        <v>368</v>
      </c>
      <c r="C370" s="1" t="s">
        <v>263</v>
      </c>
      <c r="D370" s="52">
        <v>46033.40625</v>
      </c>
      <c r="E370" s="52">
        <v>46033.40625</v>
      </c>
      <c r="F370" s="52">
        <v>46035.239583333336</v>
      </c>
      <c r="G370" s="53">
        <f>F370-E370</f>
        <v>1.8333333333357587</v>
      </c>
      <c r="H370" s="1" t="s">
        <v>677</v>
      </c>
      <c r="J370" s="1" t="s">
        <v>1978</v>
      </c>
      <c r="K370" s="1" t="str">
        <f>_xlfn.XLOOKUP(J370,REF!$D$2:$D$12,REF!$E$2:$E$12)</f>
        <v>Relé de proteção</v>
      </c>
      <c r="L370" s="1" t="s">
        <v>1983</v>
      </c>
      <c r="M370" s="1" t="s">
        <v>663</v>
      </c>
      <c r="N370" s="1" t="s">
        <v>364</v>
      </c>
      <c r="O370" s="1" t="s">
        <v>706</v>
      </c>
      <c r="P370" s="1" t="str">
        <f>_xlfn.CONCAT(B370,C370,D371,E370,F370)</f>
        <v>BC Ibiuna 1.1Inverter(MBUS-14)46033,4062546033,4062546035,2395833333</v>
      </c>
      <c r="Q370" s="1" t="str">
        <f>_xlfn.CONCAT(H370,I370,J370)</f>
        <v>DPRPRT</v>
      </c>
    </row>
    <row r="371" spans="2:17">
      <c r="B371" s="66" t="s">
        <v>368</v>
      </c>
      <c r="C371" s="1" t="s">
        <v>307</v>
      </c>
      <c r="D371" s="52">
        <v>46033.40625</v>
      </c>
      <c r="E371" s="52">
        <v>46033.40625</v>
      </c>
      <c r="F371" s="52">
        <v>46035.239583333336</v>
      </c>
      <c r="G371" s="53">
        <f>F371-E371</f>
        <v>1.8333333333357587</v>
      </c>
      <c r="H371" s="1" t="s">
        <v>677</v>
      </c>
      <c r="J371" s="1" t="s">
        <v>1978</v>
      </c>
      <c r="K371" s="1" t="str">
        <f>_xlfn.XLOOKUP(J371,REF!$D$2:$D$12,REF!$E$2:$E$12)</f>
        <v>Relé de proteção</v>
      </c>
      <c r="L371" s="1" t="s">
        <v>1983</v>
      </c>
      <c r="M371" s="1" t="s">
        <v>663</v>
      </c>
      <c r="N371" s="1" t="s">
        <v>364</v>
      </c>
      <c r="O371" s="1" t="s">
        <v>706</v>
      </c>
      <c r="P371" s="1" t="str">
        <f>_xlfn.CONCAT(B371,C371,D372,E371,F371)</f>
        <v>BC Ibiuna 1.1Inverter(MBUS-15)46033,4062546033,4062546035,2395833333</v>
      </c>
      <c r="Q371" s="1" t="str">
        <f>_xlfn.CONCAT(H371,I371,J371)</f>
        <v>DPRPRT</v>
      </c>
    </row>
    <row r="372" spans="2:17">
      <c r="B372" s="66" t="s">
        <v>370</v>
      </c>
      <c r="C372" s="1" t="s">
        <v>256</v>
      </c>
      <c r="D372" s="52">
        <v>46033.40625</v>
      </c>
      <c r="E372" s="52">
        <v>46033.40625</v>
      </c>
      <c r="F372" s="52">
        <v>46035.239583333336</v>
      </c>
      <c r="G372" s="53">
        <f>F372-E372</f>
        <v>1.8333333333357587</v>
      </c>
      <c r="H372" s="1" t="s">
        <v>677</v>
      </c>
      <c r="J372" s="1" t="s">
        <v>1978</v>
      </c>
      <c r="K372" s="1" t="str">
        <f>_xlfn.XLOOKUP(J372,REF!$D$2:$D$12,REF!$E$2:$E$12)</f>
        <v>Relé de proteção</v>
      </c>
      <c r="L372" s="1" t="s">
        <v>1983</v>
      </c>
      <c r="M372" s="1" t="s">
        <v>663</v>
      </c>
      <c r="N372" s="1" t="s">
        <v>364</v>
      </c>
      <c r="O372" s="1" t="s">
        <v>706</v>
      </c>
      <c r="P372" s="1" t="str">
        <f>_xlfn.CONCAT(B372,C372,D373,E372,F372)</f>
        <v>BC Ibiuna 1.2Inverter(MBUS-12)46033,4062546033,4062546035,2395833333</v>
      </c>
      <c r="Q372" s="1" t="str">
        <f>_xlfn.CONCAT(H372,I372,J372)</f>
        <v>DPRPRT</v>
      </c>
    </row>
    <row r="373" spans="2:17">
      <c r="B373" s="66" t="s">
        <v>370</v>
      </c>
      <c r="C373" s="1" t="s">
        <v>264</v>
      </c>
      <c r="D373" s="52">
        <v>46033.40625</v>
      </c>
      <c r="E373" s="52">
        <v>46033.40625</v>
      </c>
      <c r="F373" s="52">
        <v>46035.239583333336</v>
      </c>
      <c r="G373" s="53">
        <f>F373-E373</f>
        <v>1.8333333333357587</v>
      </c>
      <c r="H373" s="1" t="s">
        <v>677</v>
      </c>
      <c r="J373" s="1" t="s">
        <v>1978</v>
      </c>
      <c r="K373" s="1" t="str">
        <f>_xlfn.XLOOKUP(J373,REF!$D$2:$D$12,REF!$E$2:$E$12)</f>
        <v>Relé de proteção</v>
      </c>
      <c r="L373" s="1" t="s">
        <v>1983</v>
      </c>
      <c r="M373" s="1" t="s">
        <v>663</v>
      </c>
      <c r="N373" s="1" t="s">
        <v>364</v>
      </c>
      <c r="O373" s="1" t="s">
        <v>706</v>
      </c>
      <c r="P373" s="1" t="str">
        <f>_xlfn.CONCAT(B373,C373,D374,E373,F373)</f>
        <v>BC Ibiuna 1.2Inverter(MBUS-13)46033,4062546033,4062546035,2395833333</v>
      </c>
      <c r="Q373" s="1" t="str">
        <f>_xlfn.CONCAT(H373,I373,J373)</f>
        <v>DPRPRT</v>
      </c>
    </row>
    <row r="374" spans="2:17">
      <c r="B374" s="66" t="s">
        <v>370</v>
      </c>
      <c r="C374" s="1" t="s">
        <v>263</v>
      </c>
      <c r="D374" s="52">
        <v>46033.40625</v>
      </c>
      <c r="E374" s="52">
        <v>46033.40625</v>
      </c>
      <c r="F374" s="52">
        <v>46035.239583333336</v>
      </c>
      <c r="G374" s="53">
        <f>F374-E374</f>
        <v>1.8333333333357587</v>
      </c>
      <c r="H374" s="1" t="s">
        <v>677</v>
      </c>
      <c r="J374" s="1" t="s">
        <v>1978</v>
      </c>
      <c r="K374" s="1" t="str">
        <f>_xlfn.XLOOKUP(J374,REF!$D$2:$D$12,REF!$E$2:$E$12)</f>
        <v>Relé de proteção</v>
      </c>
      <c r="L374" s="1" t="s">
        <v>1983</v>
      </c>
      <c r="M374" s="1" t="s">
        <v>663</v>
      </c>
      <c r="N374" s="1" t="s">
        <v>364</v>
      </c>
      <c r="O374" s="1" t="s">
        <v>706</v>
      </c>
      <c r="P374" s="1" t="str">
        <f>_xlfn.CONCAT(B374,C374,D375,E374,F374)</f>
        <v>BC Ibiuna 1.2Inverter(MBUS-14)46033,4062546033,4062546035,2395833333</v>
      </c>
      <c r="Q374" s="1" t="str">
        <f>_xlfn.CONCAT(H374,I374,J374)</f>
        <v>DPRPRT</v>
      </c>
    </row>
    <row r="375" spans="2:17">
      <c r="B375" s="66" t="s">
        <v>370</v>
      </c>
      <c r="C375" s="1" t="s">
        <v>307</v>
      </c>
      <c r="D375" s="52">
        <v>46033.40625</v>
      </c>
      <c r="E375" s="52">
        <v>46033.40625</v>
      </c>
      <c r="F375" s="52">
        <v>46035.239583333336</v>
      </c>
      <c r="G375" s="53">
        <f>F375-E375</f>
        <v>1.8333333333357587</v>
      </c>
      <c r="H375" s="1" t="s">
        <v>677</v>
      </c>
      <c r="J375" s="1" t="s">
        <v>1978</v>
      </c>
      <c r="K375" s="1" t="str">
        <f>_xlfn.XLOOKUP(J375,REF!$D$2:$D$12,REF!$E$2:$E$12)</f>
        <v>Relé de proteção</v>
      </c>
      <c r="L375" s="1" t="s">
        <v>1983</v>
      </c>
      <c r="M375" s="1" t="s">
        <v>663</v>
      </c>
      <c r="N375" s="1" t="s">
        <v>364</v>
      </c>
      <c r="O375" s="1" t="s">
        <v>706</v>
      </c>
      <c r="P375" s="1" t="str">
        <f>_xlfn.CONCAT(B375,C375,D376,E375,F375)</f>
        <v>BC Ibiuna 1.2Inverter(MBUS-15)46033,506944444446033,4062546035,2395833333</v>
      </c>
      <c r="Q375" s="1" t="str">
        <f>_xlfn.CONCAT(H375,I375,J375)</f>
        <v>DPRPRT</v>
      </c>
    </row>
    <row r="376" spans="2:17">
      <c r="B376" s="1" t="s">
        <v>328</v>
      </c>
      <c r="C376" s="1" t="s">
        <v>247</v>
      </c>
      <c r="D376" s="52">
        <v>46033.506944444445</v>
      </c>
      <c r="E376" s="52">
        <v>46033.506944444445</v>
      </c>
      <c r="F376" s="52">
        <v>46035.496527777781</v>
      </c>
      <c r="G376" s="53">
        <f>F376-E376</f>
        <v>1.9895833333357587</v>
      </c>
      <c r="H376" s="1" t="s">
        <v>268</v>
      </c>
      <c r="I376" s="1" t="s">
        <v>269</v>
      </c>
      <c r="J376" s="1" t="s">
        <v>319</v>
      </c>
      <c r="K376" s="1" t="str">
        <f>_xlfn.XLOOKUP(J376,REF!$D$2:$D$12,REF!$E$2:$E$12)</f>
        <v>Comunicação</v>
      </c>
      <c r="L376" s="1" t="s">
        <v>1984</v>
      </c>
      <c r="M376" s="1" t="s">
        <v>289</v>
      </c>
      <c r="N376" s="1" t="s">
        <v>253</v>
      </c>
      <c r="O376" s="1" t="s">
        <v>707</v>
      </c>
      <c r="P376" s="1" t="str">
        <f>_xlfn.CONCAT(B376,C376,D376,E376,F376)</f>
        <v>BC Aracu5.3Inverter(MBUS-1)46033,506944444446033,506944444446035,4965277778</v>
      </c>
      <c r="Q376" s="1" t="str">
        <f>_xlfn.CONCAT(H376,I376,J376)</f>
        <v>LIGRFOCOM</v>
      </c>
    </row>
    <row r="377" spans="2:17">
      <c r="B377" s="1" t="s">
        <v>387</v>
      </c>
      <c r="C377" s="1" t="s">
        <v>247</v>
      </c>
      <c r="D377" s="52">
        <v>46033.513888888891</v>
      </c>
      <c r="E377" s="52">
        <v>46033.513888888891</v>
      </c>
      <c r="F377" s="52">
        <v>46033.5625</v>
      </c>
      <c r="G377" s="53">
        <f>F377-E377</f>
        <v>4.8611111109494232E-2</v>
      </c>
      <c r="H377" s="1" t="s">
        <v>257</v>
      </c>
      <c r="J377" s="1" t="s">
        <v>258</v>
      </c>
      <c r="K377" s="1" t="s">
        <v>658</v>
      </c>
      <c r="L377" s="1" t="s">
        <v>1985</v>
      </c>
      <c r="M377" s="1" t="s">
        <v>260</v>
      </c>
      <c r="N377" s="1" t="s">
        <v>261</v>
      </c>
      <c r="O377" s="1" t="s">
        <v>632</v>
      </c>
      <c r="P377" s="1" t="str">
        <f>_xlfn.CONCAT(B377,C377,D377,E377,F377)</f>
        <v>BC Camarao1.2Inverter(MBUS-1)46033,513888888946033,513888888946033,5625</v>
      </c>
      <c r="Q377" s="1" t="str">
        <f>_xlfn.CONCAT(H377,I377,J377)</f>
        <v>DAURDE</v>
      </c>
    </row>
    <row r="378" spans="2:17">
      <c r="B378" s="1" t="s">
        <v>387</v>
      </c>
      <c r="C378" s="1" t="s">
        <v>388</v>
      </c>
      <c r="D378" s="52">
        <v>46033.513888888891</v>
      </c>
      <c r="E378" s="52">
        <v>46033.513888888891</v>
      </c>
      <c r="F378" s="52">
        <v>46033.5625</v>
      </c>
      <c r="G378" s="53">
        <f>F378-E378</f>
        <v>4.8611111109494232E-2</v>
      </c>
      <c r="H378" s="1" t="s">
        <v>257</v>
      </c>
      <c r="J378" s="1" t="s">
        <v>258</v>
      </c>
      <c r="K378" s="1" t="s">
        <v>658</v>
      </c>
      <c r="L378" s="1" t="s">
        <v>1985</v>
      </c>
      <c r="M378" s="1" t="s">
        <v>260</v>
      </c>
      <c r="N378" s="1" t="s">
        <v>261</v>
      </c>
      <c r="O378" s="1" t="s">
        <v>632</v>
      </c>
      <c r="P378" s="1" t="str">
        <f>_xlfn.CONCAT(B378,C378,D378,E378,F378)</f>
        <v>BC Camarao1.2Inv. 346033,513888888946033,513888888946033,5625</v>
      </c>
      <c r="Q378" s="1" t="str">
        <f>_xlfn.CONCAT(H378,I378,J378)</f>
        <v>DAURDE</v>
      </c>
    </row>
    <row r="379" spans="2:17">
      <c r="B379" s="1" t="s">
        <v>387</v>
      </c>
      <c r="C379" s="1" t="s">
        <v>389</v>
      </c>
      <c r="D379" s="52">
        <v>46033.513888888891</v>
      </c>
      <c r="E379" s="52">
        <v>46033.513888888891</v>
      </c>
      <c r="F379" s="52">
        <v>46033.5625</v>
      </c>
      <c r="G379" s="53">
        <f>F379-E379</f>
        <v>4.8611111109494232E-2</v>
      </c>
      <c r="H379" s="1" t="s">
        <v>257</v>
      </c>
      <c r="J379" s="1" t="s">
        <v>258</v>
      </c>
      <c r="K379" s="1" t="s">
        <v>658</v>
      </c>
      <c r="L379" s="1" t="s">
        <v>1985</v>
      </c>
      <c r="M379" s="1" t="s">
        <v>260</v>
      </c>
      <c r="N379" s="1" t="s">
        <v>261</v>
      </c>
      <c r="O379" s="1" t="s">
        <v>632</v>
      </c>
      <c r="P379" s="1" t="str">
        <f>_xlfn.CONCAT(B379,C379,D379,E379,F379)</f>
        <v>BC Camarao1.2Inv. 446033,513888888946033,513888888946033,5625</v>
      </c>
      <c r="Q379" s="1" t="str">
        <f>_xlfn.CONCAT(H379,I379,J379)</f>
        <v>DAURDE</v>
      </c>
    </row>
    <row r="380" spans="2:17">
      <c r="B380" s="1" t="s">
        <v>387</v>
      </c>
      <c r="C380" s="1" t="s">
        <v>390</v>
      </c>
      <c r="D380" s="52">
        <v>46033.513888888891</v>
      </c>
      <c r="E380" s="52">
        <v>46033.513888888891</v>
      </c>
      <c r="F380" s="52">
        <v>46033.5625</v>
      </c>
      <c r="G380" s="53">
        <f>F380-E380</f>
        <v>4.8611111109494232E-2</v>
      </c>
      <c r="H380" s="1" t="s">
        <v>257</v>
      </c>
      <c r="J380" s="1" t="s">
        <v>258</v>
      </c>
      <c r="K380" s="1" t="s">
        <v>658</v>
      </c>
      <c r="L380" s="1" t="s">
        <v>1985</v>
      </c>
      <c r="M380" s="1" t="s">
        <v>260</v>
      </c>
      <c r="N380" s="1" t="s">
        <v>261</v>
      </c>
      <c r="O380" s="1" t="s">
        <v>632</v>
      </c>
      <c r="P380" s="1" t="str">
        <f>_xlfn.CONCAT(B380,C380,D380,E380,F380)</f>
        <v>BC Camarao1.2Inverter(MBUS-16)46033,513888888946033,513888888946033,5625</v>
      </c>
      <c r="Q380" s="1" t="str">
        <f>_xlfn.CONCAT(H380,I380,J380)</f>
        <v>DAURDE</v>
      </c>
    </row>
    <row r="381" spans="2:17">
      <c r="B381" s="1" t="s">
        <v>387</v>
      </c>
      <c r="C381" s="1" t="s">
        <v>256</v>
      </c>
      <c r="D381" s="52">
        <v>46033.513888888891</v>
      </c>
      <c r="E381" s="52">
        <v>46033.513888888891</v>
      </c>
      <c r="F381" s="52">
        <v>46033.5625</v>
      </c>
      <c r="G381" s="53">
        <f>F381-E381</f>
        <v>4.8611111109494232E-2</v>
      </c>
      <c r="H381" s="1" t="s">
        <v>257</v>
      </c>
      <c r="J381" s="1" t="s">
        <v>258</v>
      </c>
      <c r="K381" s="1" t="s">
        <v>658</v>
      </c>
      <c r="L381" s="1" t="s">
        <v>1985</v>
      </c>
      <c r="M381" s="1" t="s">
        <v>260</v>
      </c>
      <c r="N381" s="1" t="s">
        <v>261</v>
      </c>
      <c r="O381" s="1" t="s">
        <v>632</v>
      </c>
      <c r="P381" s="1" t="str">
        <f>_xlfn.CONCAT(B381,C381,D381,E381,F381)</f>
        <v>BC Camarao1.2Inverter(MBUS-12)46033,513888888946033,513888888946033,5625</v>
      </c>
      <c r="Q381" s="1" t="str">
        <f>_xlfn.CONCAT(H381,I381,J381)</f>
        <v>DAURDE</v>
      </c>
    </row>
    <row r="382" spans="2:17">
      <c r="B382" s="1" t="s">
        <v>358</v>
      </c>
      <c r="C382" s="1" t="s">
        <v>564</v>
      </c>
      <c r="D382" s="52">
        <v>46033.582638888889</v>
      </c>
      <c r="E382" s="52">
        <v>46033.582638888889</v>
      </c>
      <c r="F382" s="52">
        <v>46035.79583333333</v>
      </c>
      <c r="G382" s="53">
        <f>F382-E382</f>
        <v>2.2131944444408873</v>
      </c>
      <c r="H382" s="1" t="s">
        <v>257</v>
      </c>
      <c r="J382" s="1" t="s">
        <v>371</v>
      </c>
      <c r="K382" s="1" t="str">
        <f>_xlfn.XLOOKUP(J382,REF!$D$2:$D$12,REF!$E$2:$E$12)</f>
        <v>Inversor</v>
      </c>
      <c r="L382" s="1" t="s">
        <v>1986</v>
      </c>
      <c r="M382" s="1" t="s">
        <v>663</v>
      </c>
      <c r="N382" s="1" t="s">
        <v>364</v>
      </c>
      <c r="O382" s="1" t="s">
        <v>708</v>
      </c>
      <c r="P382" s="1" t="str">
        <f>_xlfn.CONCAT(B382,C382,D382,E382,F382)</f>
        <v>BC Aracu2araçu 2.4 inversor 646033,582638888946033,582638888946035,7958333333</v>
      </c>
      <c r="Q382" s="1" t="str">
        <f>_xlfn.CONCAT(H382,I382,J382)</f>
        <v>DAUINV</v>
      </c>
    </row>
    <row r="383" spans="2:17">
      <c r="B383" s="1" t="s">
        <v>305</v>
      </c>
      <c r="C383" s="1" t="s">
        <v>256</v>
      </c>
      <c r="D383" s="52">
        <v>46033.788194444445</v>
      </c>
      <c r="E383" s="52">
        <v>46033.788194444445</v>
      </c>
      <c r="F383" s="52">
        <v>46034.347222222219</v>
      </c>
      <c r="G383" s="53">
        <f>F383-E383</f>
        <v>0.55902777777373558</v>
      </c>
      <c r="H383" s="1" t="s">
        <v>257</v>
      </c>
      <c r="J383" s="1" t="s">
        <v>258</v>
      </c>
      <c r="K383" s="1" t="s">
        <v>658</v>
      </c>
      <c r="L383" s="1" t="s">
        <v>1963</v>
      </c>
      <c r="M383" s="1" t="s">
        <v>260</v>
      </c>
      <c r="N383" s="1" t="s">
        <v>357</v>
      </c>
      <c r="O383" s="1" t="s">
        <v>632</v>
      </c>
      <c r="P383" s="1" t="str">
        <f>_xlfn.CONCAT(B383,C383,D383,E383,F383)</f>
        <v>ARAGUATINS 1.1Inverter(MBUS-12)46033,788194444446033,788194444446034,3472222222</v>
      </c>
      <c r="Q383" s="1" t="str">
        <f>_xlfn.CONCAT(H383,I383,J383)</f>
        <v>DAURDE</v>
      </c>
    </row>
    <row r="384" spans="2:17">
      <c r="B384" s="1" t="s">
        <v>305</v>
      </c>
      <c r="C384" s="1" t="s">
        <v>264</v>
      </c>
      <c r="D384" s="52">
        <v>46033.788194444445</v>
      </c>
      <c r="E384" s="52">
        <v>46033.788194444445</v>
      </c>
      <c r="F384" s="52">
        <v>46034.347222222219</v>
      </c>
      <c r="G384" s="53">
        <f>F384-E384</f>
        <v>0.55902777777373558</v>
      </c>
      <c r="H384" s="1" t="s">
        <v>257</v>
      </c>
      <c r="J384" s="1" t="s">
        <v>258</v>
      </c>
      <c r="K384" s="1" t="s">
        <v>658</v>
      </c>
      <c r="L384" s="1" t="s">
        <v>1963</v>
      </c>
      <c r="M384" s="1" t="s">
        <v>260</v>
      </c>
      <c r="N384" s="1" t="s">
        <v>357</v>
      </c>
      <c r="O384" s="1" t="s">
        <v>632</v>
      </c>
      <c r="P384" s="1" t="str">
        <f>_xlfn.CONCAT(B384,C384,D384,E384,F384)</f>
        <v>ARAGUATINS 1.1Inverter(MBUS-13)46033,788194444446033,788194444446034,3472222222</v>
      </c>
      <c r="Q384" s="1" t="str">
        <f>_xlfn.CONCAT(H384,I384,J384)</f>
        <v>DAURDE</v>
      </c>
    </row>
    <row r="385" spans="2:17">
      <c r="B385" s="1" t="s">
        <v>305</v>
      </c>
      <c r="C385" s="1" t="s">
        <v>263</v>
      </c>
      <c r="D385" s="52">
        <v>46033.788194444445</v>
      </c>
      <c r="E385" s="52">
        <v>46033.788194444445</v>
      </c>
      <c r="F385" s="52">
        <v>46034.347222222219</v>
      </c>
      <c r="G385" s="53">
        <f>F385-E385</f>
        <v>0.55902777777373558</v>
      </c>
      <c r="H385" s="1" t="s">
        <v>257</v>
      </c>
      <c r="J385" s="1" t="s">
        <v>258</v>
      </c>
      <c r="K385" s="1" t="s">
        <v>658</v>
      </c>
      <c r="L385" s="1" t="s">
        <v>1963</v>
      </c>
      <c r="M385" s="1" t="s">
        <v>260</v>
      </c>
      <c r="N385" s="1" t="s">
        <v>357</v>
      </c>
      <c r="O385" s="1" t="s">
        <v>632</v>
      </c>
      <c r="P385" s="1" t="str">
        <f>_xlfn.CONCAT(B385,C385,D385,E385,F385)</f>
        <v>ARAGUATINS 1.1Inverter(MBUS-14)46033,788194444446033,788194444446034,3472222222</v>
      </c>
      <c r="Q385" s="1" t="str">
        <f>_xlfn.CONCAT(H385,I385,J385)</f>
        <v>DAURDE</v>
      </c>
    </row>
    <row r="386" spans="2:17">
      <c r="B386" s="1" t="s">
        <v>305</v>
      </c>
      <c r="C386" s="1" t="s">
        <v>307</v>
      </c>
      <c r="D386" s="52">
        <v>46033.788194444445</v>
      </c>
      <c r="E386" s="52">
        <v>46033.788194444445</v>
      </c>
      <c r="F386" s="52">
        <v>46034.347222222219</v>
      </c>
      <c r="G386" s="53">
        <f>F386-E386</f>
        <v>0.55902777777373558</v>
      </c>
      <c r="H386" s="1" t="s">
        <v>257</v>
      </c>
      <c r="J386" s="1" t="s">
        <v>258</v>
      </c>
      <c r="K386" s="1" t="s">
        <v>658</v>
      </c>
      <c r="L386" s="1" t="s">
        <v>1963</v>
      </c>
      <c r="M386" s="1" t="s">
        <v>260</v>
      </c>
      <c r="N386" s="1" t="s">
        <v>357</v>
      </c>
      <c r="O386" s="1" t="s">
        <v>632</v>
      </c>
      <c r="P386" s="1" t="str">
        <f>_xlfn.CONCAT(B386,C386,D386,E386,F386)</f>
        <v>ARAGUATINS 1.1Inverter(MBUS-15)46033,788194444446033,788194444446034,3472222222</v>
      </c>
      <c r="Q386" s="1" t="str">
        <f>_xlfn.CONCAT(H386,I386,J386)</f>
        <v>DAURDE</v>
      </c>
    </row>
    <row r="387" spans="2:17">
      <c r="B387" s="1" t="s">
        <v>308</v>
      </c>
      <c r="C387" s="1" t="s">
        <v>256</v>
      </c>
      <c r="D387" s="52">
        <v>46033.788194444445</v>
      </c>
      <c r="E387" s="52">
        <v>46033.788194444445</v>
      </c>
      <c r="F387" s="52">
        <v>46034.347222222219</v>
      </c>
      <c r="G387" s="53">
        <f>F387-E387</f>
        <v>0.55902777777373558</v>
      </c>
      <c r="H387" s="1" t="s">
        <v>257</v>
      </c>
      <c r="J387" s="1" t="s">
        <v>258</v>
      </c>
      <c r="K387" s="1" t="s">
        <v>658</v>
      </c>
      <c r="L387" s="1" t="s">
        <v>1963</v>
      </c>
      <c r="M387" s="1" t="s">
        <v>260</v>
      </c>
      <c r="N387" s="1" t="s">
        <v>357</v>
      </c>
      <c r="O387" s="1" t="s">
        <v>632</v>
      </c>
      <c r="P387" s="1" t="str">
        <f>_xlfn.CONCAT(B387,C387,D387,E387,F387)</f>
        <v>ARAGUATINS 1.2Inverter(MBUS-12)46033,788194444446033,788194444446034,3472222222</v>
      </c>
      <c r="Q387" s="1" t="str">
        <f>_xlfn.CONCAT(H387,I387,J387)</f>
        <v>DAURDE</v>
      </c>
    </row>
    <row r="388" spans="2:17">
      <c r="B388" s="1" t="s">
        <v>308</v>
      </c>
      <c r="C388" s="1" t="s">
        <v>264</v>
      </c>
      <c r="D388" s="52">
        <v>46033.788194444445</v>
      </c>
      <c r="E388" s="52">
        <v>46033.788194444445</v>
      </c>
      <c r="F388" s="52">
        <v>46034.347222222219</v>
      </c>
      <c r="G388" s="53">
        <f>F388-E388</f>
        <v>0.55902777777373558</v>
      </c>
      <c r="H388" s="1" t="s">
        <v>257</v>
      </c>
      <c r="J388" s="1" t="s">
        <v>258</v>
      </c>
      <c r="K388" s="1" t="s">
        <v>658</v>
      </c>
      <c r="L388" s="1" t="s">
        <v>1963</v>
      </c>
      <c r="M388" s="1" t="s">
        <v>260</v>
      </c>
      <c r="N388" s="1" t="s">
        <v>357</v>
      </c>
      <c r="O388" s="1" t="s">
        <v>632</v>
      </c>
      <c r="P388" s="1" t="str">
        <f>_xlfn.CONCAT(B388,C388,D388,E388,F388)</f>
        <v>ARAGUATINS 1.2Inverter(MBUS-13)46033,788194444446033,788194444446034,3472222222</v>
      </c>
      <c r="Q388" s="1" t="str">
        <f>_xlfn.CONCAT(H388,I388,J388)</f>
        <v>DAURDE</v>
      </c>
    </row>
    <row r="389" spans="2:17">
      <c r="B389" s="1" t="s">
        <v>308</v>
      </c>
      <c r="C389" s="1" t="s">
        <v>263</v>
      </c>
      <c r="D389" s="52">
        <v>46033.788194444445</v>
      </c>
      <c r="E389" s="52">
        <v>46033.788194444445</v>
      </c>
      <c r="F389" s="52">
        <v>46034.347222222219</v>
      </c>
      <c r="G389" s="53">
        <f>F389-E389</f>
        <v>0.55902777777373558</v>
      </c>
      <c r="H389" s="1" t="s">
        <v>257</v>
      </c>
      <c r="J389" s="1" t="s">
        <v>258</v>
      </c>
      <c r="K389" s="1" t="s">
        <v>658</v>
      </c>
      <c r="L389" s="1" t="s">
        <v>1963</v>
      </c>
      <c r="M389" s="1" t="s">
        <v>260</v>
      </c>
      <c r="N389" s="1" t="s">
        <v>357</v>
      </c>
      <c r="O389" s="1" t="s">
        <v>632</v>
      </c>
      <c r="P389" s="1" t="str">
        <f>_xlfn.CONCAT(B389,C389,D389,E389,F389)</f>
        <v>ARAGUATINS 1.2Inverter(MBUS-14)46033,788194444446033,788194444446034,3472222222</v>
      </c>
      <c r="Q389" s="1" t="str">
        <f>_xlfn.CONCAT(H389,I389,J389)</f>
        <v>DAURDE</v>
      </c>
    </row>
    <row r="390" spans="2:17">
      <c r="B390" s="1" t="s">
        <v>308</v>
      </c>
      <c r="C390" s="1" t="s">
        <v>307</v>
      </c>
      <c r="D390" s="52">
        <v>46033.788194444445</v>
      </c>
      <c r="E390" s="52">
        <v>46033.788194444445</v>
      </c>
      <c r="F390" s="52">
        <v>46034.347222222219</v>
      </c>
      <c r="G390" s="53">
        <f>F390-E390</f>
        <v>0.55902777777373558</v>
      </c>
      <c r="H390" s="1" t="s">
        <v>257</v>
      </c>
      <c r="J390" s="1" t="s">
        <v>258</v>
      </c>
      <c r="K390" s="1" t="s">
        <v>658</v>
      </c>
      <c r="L390" s="1" t="s">
        <v>1963</v>
      </c>
      <c r="M390" s="1" t="s">
        <v>260</v>
      </c>
      <c r="N390" s="1" t="s">
        <v>357</v>
      </c>
      <c r="O390" s="1" t="s">
        <v>632</v>
      </c>
      <c r="P390" s="1" t="str">
        <f>_xlfn.CONCAT(B390,C390,D390,E390,F390)</f>
        <v>ARAGUATINS 1.2Inverter(MBUS-15)46033,788194444446033,788194444446034,3472222222</v>
      </c>
      <c r="Q390" s="1" t="str">
        <f>_xlfn.CONCAT(H390,I390,J390)</f>
        <v>DAURDE</v>
      </c>
    </row>
    <row r="391" spans="2:17">
      <c r="B391" s="1" t="s">
        <v>309</v>
      </c>
      <c r="C391" s="1" t="s">
        <v>310</v>
      </c>
      <c r="D391" s="52">
        <v>46033.788194444445</v>
      </c>
      <c r="E391" s="52">
        <v>46033.788194444445</v>
      </c>
      <c r="F391" s="52">
        <v>46034.347222222219</v>
      </c>
      <c r="G391" s="53">
        <f>F391-E391</f>
        <v>0.55902777777373558</v>
      </c>
      <c r="H391" s="1" t="s">
        <v>257</v>
      </c>
      <c r="J391" s="1" t="s">
        <v>258</v>
      </c>
      <c r="K391" s="1" t="s">
        <v>658</v>
      </c>
      <c r="L391" s="1" t="s">
        <v>1963</v>
      </c>
      <c r="M391" s="1" t="s">
        <v>260</v>
      </c>
      <c r="N391" s="1" t="s">
        <v>357</v>
      </c>
      <c r="O391" s="1" t="s">
        <v>632</v>
      </c>
      <c r="P391" s="1" t="str">
        <f>_xlfn.CONCAT(B391,C391,D391,E391,F391)</f>
        <v>ARAGUATINS 1.3Inverter(MBUS-20)46033,788194444446033,788194444446034,3472222222</v>
      </c>
      <c r="Q391" s="1" t="str">
        <f>_xlfn.CONCAT(H391,I391,J391)</f>
        <v>DAURDE</v>
      </c>
    </row>
    <row r="392" spans="2:17">
      <c r="B392" s="1" t="s">
        <v>309</v>
      </c>
      <c r="C392" s="1" t="s">
        <v>247</v>
      </c>
      <c r="D392" s="52">
        <v>46033.788194444445</v>
      </c>
      <c r="E392" s="52">
        <v>46033.788194444445</v>
      </c>
      <c r="F392" s="52">
        <v>46034.347222222219</v>
      </c>
      <c r="G392" s="53">
        <f>F392-E392</f>
        <v>0.55902777777373558</v>
      </c>
      <c r="H392" s="1" t="s">
        <v>257</v>
      </c>
      <c r="J392" s="1" t="s">
        <v>258</v>
      </c>
      <c r="K392" s="1" t="s">
        <v>658</v>
      </c>
      <c r="L392" s="1" t="s">
        <v>1963</v>
      </c>
      <c r="M392" s="1" t="s">
        <v>260</v>
      </c>
      <c r="N392" s="1" t="s">
        <v>357</v>
      </c>
      <c r="O392" s="1" t="s">
        <v>632</v>
      </c>
      <c r="P392" s="1" t="str">
        <f>_xlfn.CONCAT(B392,C392,D392,E392,F392)</f>
        <v>ARAGUATINS 1.3Inverter(MBUS-1)46033,788194444446033,788194444446034,3472222222</v>
      </c>
      <c r="Q392" s="1" t="str">
        <f>_xlfn.CONCAT(H392,I392,J392)</f>
        <v>DAURDE</v>
      </c>
    </row>
    <row r="393" spans="2:17">
      <c r="B393" s="1" t="s">
        <v>311</v>
      </c>
      <c r="C393" s="1" t="s">
        <v>256</v>
      </c>
      <c r="D393" s="52">
        <v>46033.788194444445</v>
      </c>
      <c r="E393" s="52">
        <v>46033.788194444445</v>
      </c>
      <c r="F393" s="52">
        <v>46034.347222222219</v>
      </c>
      <c r="G393" s="53">
        <f>F393-E393</f>
        <v>0.55902777777373558</v>
      </c>
      <c r="H393" s="1" t="s">
        <v>257</v>
      </c>
      <c r="J393" s="1" t="s">
        <v>258</v>
      </c>
      <c r="K393" s="1" t="s">
        <v>658</v>
      </c>
      <c r="L393" s="1" t="s">
        <v>1963</v>
      </c>
      <c r="M393" s="1" t="s">
        <v>260</v>
      </c>
      <c r="N393" s="1" t="s">
        <v>357</v>
      </c>
      <c r="O393" s="1" t="s">
        <v>632</v>
      </c>
      <c r="P393" s="1" t="str">
        <f>_xlfn.CONCAT(B393,C393,D393,E393,F393)</f>
        <v>ARAGUATINS 2.1Inverter(MBUS-12)46033,788194444446033,788194444446034,3472222222</v>
      </c>
      <c r="Q393" s="1" t="str">
        <f>_xlfn.CONCAT(H393,I393,J393)</f>
        <v>DAURDE</v>
      </c>
    </row>
    <row r="394" spans="2:17">
      <c r="B394" s="1" t="s">
        <v>311</v>
      </c>
      <c r="C394" s="1" t="s">
        <v>307</v>
      </c>
      <c r="D394" s="52">
        <v>46033.788194444445</v>
      </c>
      <c r="E394" s="52">
        <v>46033.788194444445</v>
      </c>
      <c r="F394" s="52">
        <v>46034.347222222219</v>
      </c>
      <c r="G394" s="53">
        <f>F394-E394</f>
        <v>0.55902777777373558</v>
      </c>
      <c r="H394" s="1" t="s">
        <v>257</v>
      </c>
      <c r="J394" s="1" t="s">
        <v>258</v>
      </c>
      <c r="K394" s="1" t="s">
        <v>658</v>
      </c>
      <c r="L394" s="1" t="s">
        <v>1963</v>
      </c>
      <c r="M394" s="1" t="s">
        <v>260</v>
      </c>
      <c r="N394" s="1" t="s">
        <v>357</v>
      </c>
      <c r="O394" s="1" t="s">
        <v>632</v>
      </c>
      <c r="P394" s="1" t="str">
        <f>_xlfn.CONCAT(B394,C394,D394,E394,F394)</f>
        <v>ARAGUATINS 2.1Inverter(MBUS-15)46033,788194444446033,788194444446034,3472222222</v>
      </c>
      <c r="Q394" s="1" t="str">
        <f>_xlfn.CONCAT(H394,I394,J394)</f>
        <v>DAURDE</v>
      </c>
    </row>
    <row r="395" spans="2:17">
      <c r="B395" s="1" t="s">
        <v>311</v>
      </c>
      <c r="C395" s="1" t="s">
        <v>263</v>
      </c>
      <c r="D395" s="52">
        <v>46033.788194444445</v>
      </c>
      <c r="E395" s="52">
        <v>46033.788194444445</v>
      </c>
      <c r="F395" s="52">
        <v>46034.347222222219</v>
      </c>
      <c r="G395" s="53">
        <f>F395-E395</f>
        <v>0.55902777777373558</v>
      </c>
      <c r="H395" s="1" t="s">
        <v>257</v>
      </c>
      <c r="J395" s="1" t="s">
        <v>258</v>
      </c>
      <c r="K395" s="1" t="s">
        <v>658</v>
      </c>
      <c r="L395" s="1" t="s">
        <v>1963</v>
      </c>
      <c r="M395" s="1" t="s">
        <v>260</v>
      </c>
      <c r="N395" s="1" t="s">
        <v>357</v>
      </c>
      <c r="O395" s="1" t="s">
        <v>632</v>
      </c>
      <c r="P395" s="1" t="str">
        <f>_xlfn.CONCAT(B395,C395,D395,E395,F395)</f>
        <v>ARAGUATINS 2.1Inverter(MBUS-14)46033,788194444446033,788194444446034,3472222222</v>
      </c>
      <c r="Q395" s="1" t="str">
        <f>_xlfn.CONCAT(H395,I395,J395)</f>
        <v>DAURDE</v>
      </c>
    </row>
    <row r="396" spans="2:17">
      <c r="B396" s="1" t="s">
        <v>311</v>
      </c>
      <c r="C396" s="1" t="s">
        <v>247</v>
      </c>
      <c r="D396" s="52">
        <v>46033.788194444445</v>
      </c>
      <c r="E396" s="52">
        <v>46033.788194444445</v>
      </c>
      <c r="F396" s="52">
        <v>46034.347222222219</v>
      </c>
      <c r="G396" s="53">
        <f>F396-E396</f>
        <v>0.55902777777373558</v>
      </c>
      <c r="H396" s="1" t="s">
        <v>257</v>
      </c>
      <c r="J396" s="1" t="s">
        <v>258</v>
      </c>
      <c r="K396" s="1" t="s">
        <v>658</v>
      </c>
      <c r="L396" s="1" t="s">
        <v>1963</v>
      </c>
      <c r="M396" s="1" t="s">
        <v>260</v>
      </c>
      <c r="N396" s="1" t="s">
        <v>357</v>
      </c>
      <c r="O396" s="1" t="s">
        <v>632</v>
      </c>
      <c r="P396" s="1" t="str">
        <f>_xlfn.CONCAT(B396,C396,D396,E396,F396)</f>
        <v>ARAGUATINS 2.1Inverter(MBUS-1)46033,788194444446033,788194444446034,3472222222</v>
      </c>
      <c r="Q396" s="1" t="str">
        <f>_xlfn.CONCAT(H396,I396,J396)</f>
        <v>DAURDE</v>
      </c>
    </row>
    <row r="397" spans="2:17">
      <c r="B397" s="1" t="s">
        <v>312</v>
      </c>
      <c r="C397" s="1" t="s">
        <v>307</v>
      </c>
      <c r="D397" s="52">
        <v>46033.788194444445</v>
      </c>
      <c r="E397" s="52">
        <v>46033.788194444445</v>
      </c>
      <c r="F397" s="52">
        <v>46034.347222222219</v>
      </c>
      <c r="G397" s="53">
        <f>F397-E397</f>
        <v>0.55902777777373558</v>
      </c>
      <c r="H397" s="1" t="s">
        <v>257</v>
      </c>
      <c r="J397" s="1" t="s">
        <v>258</v>
      </c>
      <c r="K397" s="1" t="s">
        <v>658</v>
      </c>
      <c r="L397" s="1" t="s">
        <v>1963</v>
      </c>
      <c r="M397" s="1" t="s">
        <v>260</v>
      </c>
      <c r="N397" s="1" t="s">
        <v>357</v>
      </c>
      <c r="O397" s="1" t="s">
        <v>632</v>
      </c>
      <c r="P397" s="1" t="str">
        <f>_xlfn.CONCAT(B397,C397,D397,E397,F397)</f>
        <v>ARAGUATINS 2.2Inverter(MBUS-15)46033,788194444446033,788194444446034,3472222222</v>
      </c>
      <c r="Q397" s="1" t="str">
        <f>_xlfn.CONCAT(H397,I397,J397)</f>
        <v>DAURDE</v>
      </c>
    </row>
    <row r="398" spans="2:17">
      <c r="B398" s="1" t="s">
        <v>312</v>
      </c>
      <c r="C398" s="1" t="s">
        <v>264</v>
      </c>
      <c r="D398" s="52">
        <v>46033.788194444445</v>
      </c>
      <c r="E398" s="52">
        <v>46033.788194444445</v>
      </c>
      <c r="F398" s="52">
        <v>46034.347222222219</v>
      </c>
      <c r="G398" s="53">
        <f>F398-E398</f>
        <v>0.55902777777373558</v>
      </c>
      <c r="H398" s="1" t="s">
        <v>257</v>
      </c>
      <c r="J398" s="1" t="s">
        <v>258</v>
      </c>
      <c r="K398" s="1" t="s">
        <v>658</v>
      </c>
      <c r="L398" s="1" t="s">
        <v>1963</v>
      </c>
      <c r="M398" s="1" t="s">
        <v>260</v>
      </c>
      <c r="N398" s="1" t="s">
        <v>357</v>
      </c>
      <c r="O398" s="1" t="s">
        <v>632</v>
      </c>
      <c r="P398" s="1" t="str">
        <f>_xlfn.CONCAT(B398,C398,D398,E398,F398)</f>
        <v>ARAGUATINS 2.2Inverter(MBUS-13)46033,788194444446033,788194444446034,3472222222</v>
      </c>
      <c r="Q398" s="1" t="str">
        <f>_xlfn.CONCAT(H398,I398,J398)</f>
        <v>DAURDE</v>
      </c>
    </row>
    <row r="399" spans="2:17">
      <c r="B399" s="1" t="s">
        <v>312</v>
      </c>
      <c r="C399" s="1" t="s">
        <v>263</v>
      </c>
      <c r="D399" s="52">
        <v>46033.788194444445</v>
      </c>
      <c r="E399" s="52">
        <v>46033.788194444445</v>
      </c>
      <c r="F399" s="52">
        <v>46034.347222222219</v>
      </c>
      <c r="G399" s="53">
        <f>F399-E399</f>
        <v>0.55902777777373558</v>
      </c>
      <c r="H399" s="1" t="s">
        <v>257</v>
      </c>
      <c r="J399" s="1" t="s">
        <v>258</v>
      </c>
      <c r="K399" s="1" t="s">
        <v>658</v>
      </c>
      <c r="L399" s="1" t="s">
        <v>1963</v>
      </c>
      <c r="M399" s="1" t="s">
        <v>260</v>
      </c>
      <c r="N399" s="1" t="s">
        <v>357</v>
      </c>
      <c r="O399" s="1" t="s">
        <v>632</v>
      </c>
      <c r="P399" s="1" t="str">
        <f>_xlfn.CONCAT(B399,C399,D399,E399,F399)</f>
        <v>ARAGUATINS 2.2Inverter(MBUS-14)46033,788194444446033,788194444446034,3472222222</v>
      </c>
      <c r="Q399" s="1" t="str">
        <f>_xlfn.CONCAT(H399,I399,J399)</f>
        <v>DAURDE</v>
      </c>
    </row>
    <row r="400" spans="2:17">
      <c r="B400" s="1" t="s">
        <v>312</v>
      </c>
      <c r="C400" s="1" t="s">
        <v>256</v>
      </c>
      <c r="D400" s="52">
        <v>46033.788194444445</v>
      </c>
      <c r="E400" s="52">
        <v>46033.788194444445</v>
      </c>
      <c r="F400" s="52">
        <v>46034.347222222219</v>
      </c>
      <c r="G400" s="53">
        <f>F400-E400</f>
        <v>0.55902777777373558</v>
      </c>
      <c r="H400" s="1" t="s">
        <v>257</v>
      </c>
      <c r="J400" s="1" t="s">
        <v>258</v>
      </c>
      <c r="K400" s="1" t="s">
        <v>658</v>
      </c>
      <c r="L400" s="1" t="s">
        <v>1963</v>
      </c>
      <c r="M400" s="1" t="s">
        <v>260</v>
      </c>
      <c r="N400" s="1" t="s">
        <v>357</v>
      </c>
      <c r="O400" s="1" t="s">
        <v>632</v>
      </c>
      <c r="P400" s="1" t="str">
        <f>_xlfn.CONCAT(B400,C400,D400,E400,F400)</f>
        <v>ARAGUATINS 2.2Inverter(MBUS-12)46033,788194444446033,788194444446034,3472222222</v>
      </c>
      <c r="Q400" s="1" t="str">
        <f>_xlfn.CONCAT(H400,I400,J400)</f>
        <v>DAURDE</v>
      </c>
    </row>
    <row r="401" spans="2:17">
      <c r="B401" s="1" t="s">
        <v>313</v>
      </c>
      <c r="C401" s="1" t="s">
        <v>256</v>
      </c>
      <c r="D401" s="52">
        <v>46033.788194444445</v>
      </c>
      <c r="E401" s="52">
        <v>46033.788194444445</v>
      </c>
      <c r="F401" s="52">
        <v>46034.347222222219</v>
      </c>
      <c r="G401" s="53">
        <f>F401-E401</f>
        <v>0.55902777777373558</v>
      </c>
      <c r="H401" s="1" t="s">
        <v>257</v>
      </c>
      <c r="J401" s="1" t="s">
        <v>258</v>
      </c>
      <c r="K401" s="1" t="s">
        <v>658</v>
      </c>
      <c r="L401" s="1" t="s">
        <v>1963</v>
      </c>
      <c r="M401" s="1" t="s">
        <v>260</v>
      </c>
      <c r="N401" s="1" t="s">
        <v>357</v>
      </c>
      <c r="O401" s="1" t="s">
        <v>632</v>
      </c>
      <c r="P401" s="1" t="str">
        <f>_xlfn.CONCAT(B401,C401,D401,E401,F401)</f>
        <v>ARAGUATINS 2.3Inverter(MBUS-12)46033,788194444446033,788194444446034,3472222222</v>
      </c>
      <c r="Q401" s="1" t="str">
        <f>_xlfn.CONCAT(H401,I401,J401)</f>
        <v>DAURDE</v>
      </c>
    </row>
    <row r="402" spans="2:17">
      <c r="B402" s="1" t="s">
        <v>313</v>
      </c>
      <c r="C402" s="1" t="s">
        <v>264</v>
      </c>
      <c r="D402" s="52">
        <v>46033.788194444445</v>
      </c>
      <c r="E402" s="52">
        <v>46033.788194444445</v>
      </c>
      <c r="F402" s="52">
        <v>46034.347222222219</v>
      </c>
      <c r="G402" s="53">
        <f>F402-E402</f>
        <v>0.55902777777373558</v>
      </c>
      <c r="H402" s="1" t="s">
        <v>257</v>
      </c>
      <c r="J402" s="1" t="s">
        <v>258</v>
      </c>
      <c r="K402" s="1" t="s">
        <v>658</v>
      </c>
      <c r="L402" s="1" t="s">
        <v>1963</v>
      </c>
      <c r="M402" s="1" t="s">
        <v>260</v>
      </c>
      <c r="N402" s="1" t="s">
        <v>357</v>
      </c>
      <c r="O402" s="1" t="s">
        <v>632</v>
      </c>
      <c r="P402" s="1" t="str">
        <f>_xlfn.CONCAT(B402,C402,D402,E402,F402)</f>
        <v>ARAGUATINS 2.3Inverter(MBUS-13)46033,788194444446033,788194444446034,3472222222</v>
      </c>
      <c r="Q402" s="1" t="str">
        <f>_xlfn.CONCAT(H402,I402,J402)</f>
        <v>DAURDE</v>
      </c>
    </row>
    <row r="403" spans="2:17">
      <c r="B403" s="1" t="s">
        <v>327</v>
      </c>
      <c r="C403" s="1" t="s">
        <v>247</v>
      </c>
      <c r="D403" s="52">
        <v>46034.118055555555</v>
      </c>
      <c r="E403" s="52">
        <v>46034.118055555555</v>
      </c>
      <c r="F403" s="52">
        <v>46034.293749999997</v>
      </c>
      <c r="G403" s="53">
        <f>F403-E403</f>
        <v>0.1756944444423425</v>
      </c>
      <c r="H403" s="1" t="s">
        <v>257</v>
      </c>
      <c r="J403" s="1" t="s">
        <v>258</v>
      </c>
      <c r="K403" s="1" t="s">
        <v>658</v>
      </c>
      <c r="L403" s="1" t="s">
        <v>541</v>
      </c>
      <c r="M403" s="1" t="s">
        <v>260</v>
      </c>
      <c r="N403" s="1" t="s">
        <v>357</v>
      </c>
      <c r="O403" s="1" t="s">
        <v>632</v>
      </c>
      <c r="P403" s="1" t="str">
        <f>_xlfn.CONCAT(B403,C403,D403,E403,F403)</f>
        <v>BC Aracu5.1Inverter(MBUS-1)46034,118055555646034,118055555646034,29375</v>
      </c>
      <c r="Q403" s="1" t="str">
        <f>_xlfn.CONCAT(H403,I403,J403)</f>
        <v>DAURDE</v>
      </c>
    </row>
    <row r="404" spans="2:17">
      <c r="B404" s="1" t="s">
        <v>246</v>
      </c>
      <c r="C404" s="1" t="s">
        <v>247</v>
      </c>
      <c r="D404" s="52">
        <v>46034.118055555555</v>
      </c>
      <c r="E404" s="52">
        <v>46034.118055555555</v>
      </c>
      <c r="F404" s="52">
        <v>46034.293749999997</v>
      </c>
      <c r="G404" s="53">
        <f>F404-E404</f>
        <v>0.1756944444423425</v>
      </c>
      <c r="H404" s="1" t="s">
        <v>257</v>
      </c>
      <c r="J404" s="1" t="s">
        <v>258</v>
      </c>
      <c r="K404" s="1" t="s">
        <v>658</v>
      </c>
      <c r="L404" s="1" t="s">
        <v>541</v>
      </c>
      <c r="M404" s="1" t="s">
        <v>260</v>
      </c>
      <c r="N404" s="1" t="s">
        <v>357</v>
      </c>
      <c r="O404" s="1" t="s">
        <v>632</v>
      </c>
      <c r="P404" s="1" t="str">
        <f>_xlfn.CONCAT(B404,C404,D404,E404,F404)</f>
        <v>BC Aracu5.2Inverter(MBUS-1)46034,118055555646034,118055555646034,29375</v>
      </c>
      <c r="Q404" s="1" t="str">
        <f>_xlfn.CONCAT(H404,I404,J404)</f>
        <v>DAURDE</v>
      </c>
    </row>
    <row r="405" spans="2:17">
      <c r="B405" s="1" t="s">
        <v>328</v>
      </c>
      <c r="C405" s="1" t="s">
        <v>247</v>
      </c>
      <c r="D405" s="52">
        <v>46034.118055555555</v>
      </c>
      <c r="E405" s="52">
        <v>46034.118055555555</v>
      </c>
      <c r="F405" s="52">
        <v>46034.293749999997</v>
      </c>
      <c r="G405" s="53">
        <f>F405-E405</f>
        <v>0.1756944444423425</v>
      </c>
      <c r="H405" s="1" t="s">
        <v>257</v>
      </c>
      <c r="J405" s="1" t="s">
        <v>258</v>
      </c>
      <c r="K405" s="1" t="s">
        <v>658</v>
      </c>
      <c r="L405" s="1" t="s">
        <v>541</v>
      </c>
      <c r="M405" s="1" t="s">
        <v>260</v>
      </c>
      <c r="N405" s="1" t="s">
        <v>357</v>
      </c>
      <c r="O405" s="1" t="s">
        <v>632</v>
      </c>
      <c r="P405" s="1" t="str">
        <f>_xlfn.CONCAT(B405,C405,D405,E405,F405)</f>
        <v>BC Aracu5.3Inverter(MBUS-1)46034,118055555646034,118055555646034,29375</v>
      </c>
      <c r="Q405" s="1" t="str">
        <f>_xlfn.CONCAT(H405,I405,J405)</f>
        <v>DAURDE</v>
      </c>
    </row>
    <row r="406" spans="2:17">
      <c r="B406" s="1" t="s">
        <v>329</v>
      </c>
      <c r="C406" s="1" t="s">
        <v>247</v>
      </c>
      <c r="D406" s="52">
        <v>46034.118055555555</v>
      </c>
      <c r="E406" s="52">
        <v>46034.118055555555</v>
      </c>
      <c r="F406" s="52">
        <v>46034.293749999997</v>
      </c>
      <c r="G406" s="53">
        <f>F406-E406</f>
        <v>0.1756944444423425</v>
      </c>
      <c r="H406" s="1" t="s">
        <v>257</v>
      </c>
      <c r="J406" s="1" t="s">
        <v>258</v>
      </c>
      <c r="K406" s="1" t="s">
        <v>658</v>
      </c>
      <c r="L406" s="1" t="s">
        <v>541</v>
      </c>
      <c r="M406" s="1" t="s">
        <v>260</v>
      </c>
      <c r="N406" s="1" t="s">
        <v>357</v>
      </c>
      <c r="O406" s="1" t="s">
        <v>632</v>
      </c>
      <c r="P406" s="1" t="str">
        <f>_xlfn.CONCAT(B406,C406,D406,E406,F406)</f>
        <v>BC Aracu5.4Inverter(MBUS-1)46034,118055555646034,118055555646034,29375</v>
      </c>
      <c r="Q406" s="1" t="str">
        <f>_xlfn.CONCAT(H406,I406,J406)</f>
        <v>DAURDE</v>
      </c>
    </row>
    <row r="407" spans="2:17">
      <c r="B407" s="1" t="s">
        <v>330</v>
      </c>
      <c r="C407" s="1" t="s">
        <v>247</v>
      </c>
      <c r="D407" s="52">
        <v>46034.118055555555</v>
      </c>
      <c r="E407" s="52">
        <v>46034.118055555555</v>
      </c>
      <c r="F407" s="52">
        <v>46034.293749999997</v>
      </c>
      <c r="G407" s="53">
        <f>F407-E407</f>
        <v>0.1756944444423425</v>
      </c>
      <c r="H407" s="1" t="s">
        <v>257</v>
      </c>
      <c r="J407" s="1" t="s">
        <v>258</v>
      </c>
      <c r="K407" s="1" t="s">
        <v>658</v>
      </c>
      <c r="L407" s="1" t="s">
        <v>541</v>
      </c>
      <c r="M407" s="1" t="s">
        <v>260</v>
      </c>
      <c r="N407" s="1" t="s">
        <v>357</v>
      </c>
      <c r="O407" s="1" t="s">
        <v>632</v>
      </c>
      <c r="P407" s="1" t="str">
        <f>_xlfn.CONCAT(B407,C407,D407,E407,F407)</f>
        <v>BC Aracu5.5Inverter(MBUS-1)46034,118055555646034,118055555646034,29375</v>
      </c>
      <c r="Q407" s="1" t="str">
        <f>_xlfn.CONCAT(H407,I407,J407)</f>
        <v>DAURDE</v>
      </c>
    </row>
    <row r="408" spans="2:17">
      <c r="B408" s="1" t="s">
        <v>305</v>
      </c>
      <c r="C408" s="1" t="s">
        <v>256</v>
      </c>
      <c r="D408" s="52">
        <v>46034.395833333336</v>
      </c>
      <c r="E408" s="52">
        <v>46034.395833333336</v>
      </c>
      <c r="F408" s="52">
        <v>46035.340277777781</v>
      </c>
      <c r="G408" s="53">
        <f>F408-E408</f>
        <v>0.94444444444525288</v>
      </c>
      <c r="H408" s="1" t="s">
        <v>257</v>
      </c>
      <c r="J408" s="1" t="s">
        <v>258</v>
      </c>
      <c r="K408" s="1" t="s">
        <v>658</v>
      </c>
      <c r="L408" s="1" t="s">
        <v>1987</v>
      </c>
      <c r="M408" s="1" t="s">
        <v>260</v>
      </c>
      <c r="N408" s="1" t="s">
        <v>357</v>
      </c>
      <c r="O408" s="1" t="s">
        <v>632</v>
      </c>
      <c r="P408" s="1" t="str">
        <f>_xlfn.CONCAT(B408,C408,D408,E408,F408)</f>
        <v>ARAGUATINS 1.1Inverter(MBUS-12)46034,395833333346034,395833333346035,3402777778</v>
      </c>
      <c r="Q408" s="1" t="str">
        <f>_xlfn.CONCAT(H408,I408,J408)</f>
        <v>DAURDE</v>
      </c>
    </row>
    <row r="409" spans="2:17">
      <c r="B409" s="1" t="s">
        <v>305</v>
      </c>
      <c r="C409" s="1" t="s">
        <v>264</v>
      </c>
      <c r="D409" s="52">
        <v>46034.395833333336</v>
      </c>
      <c r="E409" s="52">
        <v>46034.395833333336</v>
      </c>
      <c r="F409" s="52">
        <v>46035.340277777781</v>
      </c>
      <c r="G409" s="53">
        <f>F409-E409</f>
        <v>0.94444444444525288</v>
      </c>
      <c r="H409" s="1" t="s">
        <v>257</v>
      </c>
      <c r="J409" s="1" t="s">
        <v>258</v>
      </c>
      <c r="K409" s="1" t="s">
        <v>658</v>
      </c>
      <c r="L409" s="1" t="s">
        <v>1987</v>
      </c>
      <c r="M409" s="1" t="s">
        <v>260</v>
      </c>
      <c r="N409" s="1" t="s">
        <v>357</v>
      </c>
      <c r="O409" s="1" t="s">
        <v>632</v>
      </c>
      <c r="P409" s="1" t="str">
        <f>_xlfn.CONCAT(B409,C409,D409,E409,F409)</f>
        <v>ARAGUATINS 1.1Inverter(MBUS-13)46034,395833333346034,395833333346035,3402777778</v>
      </c>
      <c r="Q409" s="1" t="str">
        <f>_xlfn.CONCAT(H409,I409,J409)</f>
        <v>DAURDE</v>
      </c>
    </row>
    <row r="410" spans="2:17">
      <c r="B410" s="1" t="s">
        <v>305</v>
      </c>
      <c r="C410" s="1" t="s">
        <v>263</v>
      </c>
      <c r="D410" s="52">
        <v>46034.395833333336</v>
      </c>
      <c r="E410" s="52">
        <v>46034.395833333336</v>
      </c>
      <c r="F410" s="52">
        <v>46035.340277777781</v>
      </c>
      <c r="G410" s="53">
        <f>F410-E410</f>
        <v>0.94444444444525288</v>
      </c>
      <c r="H410" s="1" t="s">
        <v>257</v>
      </c>
      <c r="J410" s="1" t="s">
        <v>258</v>
      </c>
      <c r="K410" s="1" t="s">
        <v>658</v>
      </c>
      <c r="L410" s="1" t="s">
        <v>1987</v>
      </c>
      <c r="M410" s="1" t="s">
        <v>260</v>
      </c>
      <c r="N410" s="1" t="s">
        <v>357</v>
      </c>
      <c r="O410" s="1" t="s">
        <v>632</v>
      </c>
      <c r="P410" s="1" t="str">
        <f>_xlfn.CONCAT(B410,C410,D410,E410,F410)</f>
        <v>ARAGUATINS 1.1Inverter(MBUS-14)46034,395833333346034,395833333346035,3402777778</v>
      </c>
      <c r="Q410" s="1" t="str">
        <f>_xlfn.CONCAT(H410,I410,J410)</f>
        <v>DAURDE</v>
      </c>
    </row>
    <row r="411" spans="2:17">
      <c r="B411" s="1" t="s">
        <v>305</v>
      </c>
      <c r="C411" s="1" t="s">
        <v>307</v>
      </c>
      <c r="D411" s="52">
        <v>46034.395833333336</v>
      </c>
      <c r="E411" s="52">
        <v>46034.395833333336</v>
      </c>
      <c r="F411" s="52">
        <v>46035.340277777781</v>
      </c>
      <c r="G411" s="53">
        <f>F411-E411</f>
        <v>0.94444444444525288</v>
      </c>
      <c r="H411" s="1" t="s">
        <v>257</v>
      </c>
      <c r="J411" s="1" t="s">
        <v>258</v>
      </c>
      <c r="K411" s="1" t="s">
        <v>658</v>
      </c>
      <c r="L411" s="1" t="s">
        <v>1987</v>
      </c>
      <c r="M411" s="1" t="s">
        <v>260</v>
      </c>
      <c r="N411" s="1" t="s">
        <v>357</v>
      </c>
      <c r="O411" s="1" t="s">
        <v>632</v>
      </c>
      <c r="P411" s="1" t="str">
        <f>_xlfn.CONCAT(B411,C411,D411,E411,F411)</f>
        <v>ARAGUATINS 1.1Inverter(MBUS-15)46034,395833333346034,395833333346035,3402777778</v>
      </c>
      <c r="Q411" s="1" t="str">
        <f>_xlfn.CONCAT(H411,I411,J411)</f>
        <v>DAURDE</v>
      </c>
    </row>
    <row r="412" spans="2:17">
      <c r="B412" s="1" t="s">
        <v>308</v>
      </c>
      <c r="C412" s="1" t="s">
        <v>256</v>
      </c>
      <c r="D412" s="52">
        <v>46034.395833333336</v>
      </c>
      <c r="E412" s="52">
        <v>46034.395833333336</v>
      </c>
      <c r="F412" s="52">
        <v>46035.340277777781</v>
      </c>
      <c r="G412" s="53">
        <f>F412-E412</f>
        <v>0.94444444444525288</v>
      </c>
      <c r="H412" s="1" t="s">
        <v>257</v>
      </c>
      <c r="J412" s="1" t="s">
        <v>258</v>
      </c>
      <c r="K412" s="1" t="s">
        <v>658</v>
      </c>
      <c r="L412" s="1" t="s">
        <v>1987</v>
      </c>
      <c r="M412" s="1" t="s">
        <v>260</v>
      </c>
      <c r="N412" s="1" t="s">
        <v>357</v>
      </c>
      <c r="O412" s="1" t="s">
        <v>632</v>
      </c>
      <c r="P412" s="1" t="str">
        <f>_xlfn.CONCAT(B412,C412,D412,E412,F412)</f>
        <v>ARAGUATINS 1.2Inverter(MBUS-12)46034,395833333346034,395833333346035,3402777778</v>
      </c>
      <c r="Q412" s="1" t="str">
        <f>_xlfn.CONCAT(H412,I412,J412)</f>
        <v>DAURDE</v>
      </c>
    </row>
    <row r="413" spans="2:17">
      <c r="B413" s="1" t="s">
        <v>308</v>
      </c>
      <c r="C413" s="1" t="s">
        <v>264</v>
      </c>
      <c r="D413" s="52">
        <v>46034.395833333336</v>
      </c>
      <c r="E413" s="52">
        <v>46034.395833333336</v>
      </c>
      <c r="F413" s="52">
        <v>46035.340277777781</v>
      </c>
      <c r="G413" s="53">
        <f>F413-E413</f>
        <v>0.94444444444525288</v>
      </c>
      <c r="H413" s="1" t="s">
        <v>257</v>
      </c>
      <c r="J413" s="1" t="s">
        <v>258</v>
      </c>
      <c r="K413" s="1" t="s">
        <v>658</v>
      </c>
      <c r="L413" s="1" t="s">
        <v>1987</v>
      </c>
      <c r="M413" s="1" t="s">
        <v>260</v>
      </c>
      <c r="N413" s="1" t="s">
        <v>357</v>
      </c>
      <c r="O413" s="1" t="s">
        <v>632</v>
      </c>
      <c r="P413" s="1" t="str">
        <f>_xlfn.CONCAT(B413,C413,D413,E413,F413)</f>
        <v>ARAGUATINS 1.2Inverter(MBUS-13)46034,395833333346034,395833333346035,3402777778</v>
      </c>
      <c r="Q413" s="1" t="str">
        <f>_xlfn.CONCAT(H413,I413,J413)</f>
        <v>DAURDE</v>
      </c>
    </row>
    <row r="414" spans="2:17">
      <c r="B414" s="1" t="s">
        <v>308</v>
      </c>
      <c r="C414" s="1" t="s">
        <v>263</v>
      </c>
      <c r="D414" s="52">
        <v>46034.395833333336</v>
      </c>
      <c r="E414" s="52">
        <v>46034.395833333336</v>
      </c>
      <c r="F414" s="52">
        <v>46035.340277777781</v>
      </c>
      <c r="G414" s="53">
        <f>F414-E414</f>
        <v>0.94444444444525288</v>
      </c>
      <c r="H414" s="1" t="s">
        <v>257</v>
      </c>
      <c r="J414" s="1" t="s">
        <v>258</v>
      </c>
      <c r="K414" s="1" t="s">
        <v>658</v>
      </c>
      <c r="L414" s="1" t="s">
        <v>1987</v>
      </c>
      <c r="M414" s="1" t="s">
        <v>260</v>
      </c>
      <c r="N414" s="1" t="s">
        <v>357</v>
      </c>
      <c r="O414" s="1" t="s">
        <v>632</v>
      </c>
      <c r="P414" s="1" t="str">
        <f>_xlfn.CONCAT(B414,C414,D414,E414,F414)</f>
        <v>ARAGUATINS 1.2Inverter(MBUS-14)46034,395833333346034,395833333346035,3402777778</v>
      </c>
      <c r="Q414" s="1" t="str">
        <f>_xlfn.CONCAT(H414,I414,J414)</f>
        <v>DAURDE</v>
      </c>
    </row>
    <row r="415" spans="2:17">
      <c r="B415" s="1" t="s">
        <v>308</v>
      </c>
      <c r="C415" s="1" t="s">
        <v>307</v>
      </c>
      <c r="D415" s="52">
        <v>46034.395833333336</v>
      </c>
      <c r="E415" s="52">
        <v>46034.395833333336</v>
      </c>
      <c r="F415" s="52">
        <v>46035.340277777781</v>
      </c>
      <c r="G415" s="53">
        <f>F415-E415</f>
        <v>0.94444444444525288</v>
      </c>
      <c r="H415" s="1" t="s">
        <v>257</v>
      </c>
      <c r="J415" s="1" t="s">
        <v>258</v>
      </c>
      <c r="K415" s="1" t="s">
        <v>658</v>
      </c>
      <c r="L415" s="1" t="s">
        <v>1987</v>
      </c>
      <c r="M415" s="1" t="s">
        <v>260</v>
      </c>
      <c r="N415" s="1" t="s">
        <v>357</v>
      </c>
      <c r="O415" s="1" t="s">
        <v>632</v>
      </c>
      <c r="P415" s="1" t="str">
        <f>_xlfn.CONCAT(B415,C415,D415,E415,F415)</f>
        <v>ARAGUATINS 1.2Inverter(MBUS-15)46034,395833333346034,395833333346035,3402777778</v>
      </c>
      <c r="Q415" s="1" t="str">
        <f>_xlfn.CONCAT(H415,I415,J415)</f>
        <v>DAURDE</v>
      </c>
    </row>
    <row r="416" spans="2:17">
      <c r="B416" s="1" t="s">
        <v>309</v>
      </c>
      <c r="C416" s="1" t="s">
        <v>310</v>
      </c>
      <c r="D416" s="52">
        <v>46034.395833333336</v>
      </c>
      <c r="E416" s="52">
        <v>46034.395833333336</v>
      </c>
      <c r="F416" s="52">
        <v>46035.340277777781</v>
      </c>
      <c r="G416" s="53">
        <f>F416-E416</f>
        <v>0.94444444444525288</v>
      </c>
      <c r="H416" s="1" t="s">
        <v>257</v>
      </c>
      <c r="J416" s="1" t="s">
        <v>258</v>
      </c>
      <c r="K416" s="1" t="s">
        <v>658</v>
      </c>
      <c r="L416" s="1" t="s">
        <v>1987</v>
      </c>
      <c r="M416" s="1" t="s">
        <v>260</v>
      </c>
      <c r="N416" s="1" t="s">
        <v>357</v>
      </c>
      <c r="O416" s="1" t="s">
        <v>632</v>
      </c>
      <c r="P416" s="1" t="str">
        <f>_xlfn.CONCAT(B416,C416,D416,E416,F416)</f>
        <v>ARAGUATINS 1.3Inverter(MBUS-20)46034,395833333346034,395833333346035,3402777778</v>
      </c>
      <c r="Q416" s="1" t="str">
        <f>_xlfn.CONCAT(H416,I416,J416)</f>
        <v>DAURDE</v>
      </c>
    </row>
    <row r="417" spans="2:17">
      <c r="B417" s="1" t="s">
        <v>309</v>
      </c>
      <c r="C417" s="1" t="s">
        <v>247</v>
      </c>
      <c r="D417" s="52">
        <v>46034.395833333336</v>
      </c>
      <c r="E417" s="52">
        <v>46034.395833333336</v>
      </c>
      <c r="F417" s="52">
        <v>46035.340277777781</v>
      </c>
      <c r="G417" s="53">
        <f>F417-E417</f>
        <v>0.94444444444525288</v>
      </c>
      <c r="H417" s="1" t="s">
        <v>257</v>
      </c>
      <c r="J417" s="1" t="s">
        <v>258</v>
      </c>
      <c r="K417" s="1" t="s">
        <v>658</v>
      </c>
      <c r="L417" s="1" t="s">
        <v>1987</v>
      </c>
      <c r="M417" s="1" t="s">
        <v>260</v>
      </c>
      <c r="N417" s="1" t="s">
        <v>357</v>
      </c>
      <c r="O417" s="1" t="s">
        <v>632</v>
      </c>
      <c r="P417" s="1" t="str">
        <f>_xlfn.CONCAT(B417,C417,D417,E417,F417)</f>
        <v>ARAGUATINS 1.3Inverter(MBUS-1)46034,395833333346034,395833333346035,3402777778</v>
      </c>
      <c r="Q417" s="1" t="str">
        <f>_xlfn.CONCAT(H417,I417,J417)</f>
        <v>DAURDE</v>
      </c>
    </row>
    <row r="418" spans="2:17">
      <c r="B418" s="1" t="s">
        <v>311</v>
      </c>
      <c r="C418" s="1" t="s">
        <v>256</v>
      </c>
      <c r="D418" s="52">
        <v>46034.395833333336</v>
      </c>
      <c r="E418" s="52">
        <v>46034.395833333336</v>
      </c>
      <c r="F418" s="52">
        <v>46035.340277777781</v>
      </c>
      <c r="G418" s="53">
        <f>F418-E418</f>
        <v>0.94444444444525288</v>
      </c>
      <c r="H418" s="1" t="s">
        <v>257</v>
      </c>
      <c r="J418" s="1" t="s">
        <v>258</v>
      </c>
      <c r="K418" s="1" t="s">
        <v>658</v>
      </c>
      <c r="L418" s="1" t="s">
        <v>1987</v>
      </c>
      <c r="M418" s="1" t="s">
        <v>260</v>
      </c>
      <c r="N418" s="1" t="s">
        <v>357</v>
      </c>
      <c r="O418" s="1" t="s">
        <v>632</v>
      </c>
      <c r="P418" s="1" t="str">
        <f>_xlfn.CONCAT(B418,C418,D418,E418,F418)</f>
        <v>ARAGUATINS 2.1Inverter(MBUS-12)46034,395833333346034,395833333346035,3402777778</v>
      </c>
      <c r="Q418" s="1" t="str">
        <f>_xlfn.CONCAT(H418,I418,J418)</f>
        <v>DAURDE</v>
      </c>
    </row>
    <row r="419" spans="2:17">
      <c r="B419" s="1" t="s">
        <v>311</v>
      </c>
      <c r="C419" s="1" t="s">
        <v>307</v>
      </c>
      <c r="D419" s="52">
        <v>46034.395833333336</v>
      </c>
      <c r="E419" s="52">
        <v>46034.395833333336</v>
      </c>
      <c r="F419" s="52">
        <v>46035.340277777781</v>
      </c>
      <c r="G419" s="53">
        <f>F419-E419</f>
        <v>0.94444444444525288</v>
      </c>
      <c r="H419" s="1" t="s">
        <v>257</v>
      </c>
      <c r="J419" s="1" t="s">
        <v>258</v>
      </c>
      <c r="K419" s="1" t="s">
        <v>658</v>
      </c>
      <c r="L419" s="1" t="s">
        <v>1987</v>
      </c>
      <c r="M419" s="1" t="s">
        <v>260</v>
      </c>
      <c r="N419" s="1" t="s">
        <v>357</v>
      </c>
      <c r="O419" s="1" t="s">
        <v>632</v>
      </c>
      <c r="P419" s="1" t="str">
        <f>_xlfn.CONCAT(B419,C419,D419,E419,F419)</f>
        <v>ARAGUATINS 2.1Inverter(MBUS-15)46034,395833333346034,395833333346035,3402777778</v>
      </c>
      <c r="Q419" s="1" t="str">
        <f>_xlfn.CONCAT(H419,I419,J419)</f>
        <v>DAURDE</v>
      </c>
    </row>
    <row r="420" spans="2:17">
      <c r="B420" s="1" t="s">
        <v>311</v>
      </c>
      <c r="C420" s="1" t="s">
        <v>263</v>
      </c>
      <c r="D420" s="52">
        <v>46034.395833333336</v>
      </c>
      <c r="E420" s="52">
        <v>46034.395833333336</v>
      </c>
      <c r="F420" s="52">
        <v>46035.340277777781</v>
      </c>
      <c r="G420" s="53">
        <f>F420-E420</f>
        <v>0.94444444444525288</v>
      </c>
      <c r="H420" s="1" t="s">
        <v>257</v>
      </c>
      <c r="J420" s="1" t="s">
        <v>258</v>
      </c>
      <c r="K420" s="1" t="s">
        <v>658</v>
      </c>
      <c r="L420" s="1" t="s">
        <v>1987</v>
      </c>
      <c r="M420" s="1" t="s">
        <v>260</v>
      </c>
      <c r="N420" s="1" t="s">
        <v>357</v>
      </c>
      <c r="O420" s="1" t="s">
        <v>632</v>
      </c>
      <c r="P420" s="1" t="str">
        <f>_xlfn.CONCAT(B420,C420,D420,E420,F420)</f>
        <v>ARAGUATINS 2.1Inverter(MBUS-14)46034,395833333346034,395833333346035,3402777778</v>
      </c>
      <c r="Q420" s="1" t="str">
        <f>_xlfn.CONCAT(H420,I420,J420)</f>
        <v>DAURDE</v>
      </c>
    </row>
    <row r="421" spans="2:17">
      <c r="B421" s="1" t="s">
        <v>311</v>
      </c>
      <c r="C421" s="1" t="s">
        <v>247</v>
      </c>
      <c r="D421" s="52">
        <v>46034.395833333336</v>
      </c>
      <c r="E421" s="52">
        <v>46034.395833333336</v>
      </c>
      <c r="F421" s="52">
        <v>46035.340277777781</v>
      </c>
      <c r="G421" s="53">
        <f>F421-E421</f>
        <v>0.94444444444525288</v>
      </c>
      <c r="H421" s="1" t="s">
        <v>257</v>
      </c>
      <c r="J421" s="1" t="s">
        <v>258</v>
      </c>
      <c r="K421" s="1" t="s">
        <v>658</v>
      </c>
      <c r="L421" s="1" t="s">
        <v>1987</v>
      </c>
      <c r="M421" s="1" t="s">
        <v>260</v>
      </c>
      <c r="N421" s="1" t="s">
        <v>357</v>
      </c>
      <c r="O421" s="1" t="s">
        <v>632</v>
      </c>
      <c r="P421" s="1" t="str">
        <f>_xlfn.CONCAT(B421,C421,D421,E421,F421)</f>
        <v>ARAGUATINS 2.1Inverter(MBUS-1)46034,395833333346034,395833333346035,3402777778</v>
      </c>
      <c r="Q421" s="1" t="str">
        <f>_xlfn.CONCAT(H421,I421,J421)</f>
        <v>DAURDE</v>
      </c>
    </row>
    <row r="422" spans="2:17">
      <c r="B422" s="1" t="s">
        <v>312</v>
      </c>
      <c r="C422" s="1" t="s">
        <v>307</v>
      </c>
      <c r="D422" s="52">
        <v>46034.395833333336</v>
      </c>
      <c r="E422" s="52">
        <v>46034.395833333336</v>
      </c>
      <c r="F422" s="52">
        <v>46035.340277777781</v>
      </c>
      <c r="G422" s="53">
        <f>F422-E422</f>
        <v>0.94444444444525288</v>
      </c>
      <c r="H422" s="1" t="s">
        <v>257</v>
      </c>
      <c r="J422" s="1" t="s">
        <v>258</v>
      </c>
      <c r="K422" s="1" t="s">
        <v>658</v>
      </c>
      <c r="L422" s="1" t="s">
        <v>1987</v>
      </c>
      <c r="M422" s="1" t="s">
        <v>260</v>
      </c>
      <c r="N422" s="1" t="s">
        <v>357</v>
      </c>
      <c r="O422" s="1" t="s">
        <v>632</v>
      </c>
      <c r="P422" s="1" t="str">
        <f>_xlfn.CONCAT(B422,C422,D422,E422,F422)</f>
        <v>ARAGUATINS 2.2Inverter(MBUS-15)46034,395833333346034,395833333346035,3402777778</v>
      </c>
      <c r="Q422" s="1" t="str">
        <f>_xlfn.CONCAT(H422,I422,J422)</f>
        <v>DAURDE</v>
      </c>
    </row>
    <row r="423" spans="2:17">
      <c r="B423" s="1" t="s">
        <v>312</v>
      </c>
      <c r="C423" s="1" t="s">
        <v>264</v>
      </c>
      <c r="D423" s="52">
        <v>46034.395833333336</v>
      </c>
      <c r="E423" s="52">
        <v>46034.395833333336</v>
      </c>
      <c r="F423" s="52">
        <v>46035.340277777781</v>
      </c>
      <c r="G423" s="53">
        <f>F423-E423</f>
        <v>0.94444444444525288</v>
      </c>
      <c r="H423" s="1" t="s">
        <v>257</v>
      </c>
      <c r="J423" s="1" t="s">
        <v>258</v>
      </c>
      <c r="K423" s="1" t="s">
        <v>658</v>
      </c>
      <c r="L423" s="1" t="s">
        <v>1987</v>
      </c>
      <c r="M423" s="1" t="s">
        <v>260</v>
      </c>
      <c r="N423" s="1" t="s">
        <v>357</v>
      </c>
      <c r="O423" s="1" t="s">
        <v>632</v>
      </c>
      <c r="P423" s="1" t="str">
        <f>_xlfn.CONCAT(B423,C423,D423,E423,F423)</f>
        <v>ARAGUATINS 2.2Inverter(MBUS-13)46034,395833333346034,395833333346035,3402777778</v>
      </c>
      <c r="Q423" s="1" t="str">
        <f>_xlfn.CONCAT(H423,I423,J423)</f>
        <v>DAURDE</v>
      </c>
    </row>
    <row r="424" spans="2:17">
      <c r="B424" s="1" t="s">
        <v>312</v>
      </c>
      <c r="C424" s="1" t="s">
        <v>263</v>
      </c>
      <c r="D424" s="52">
        <v>46034.395833333336</v>
      </c>
      <c r="E424" s="52">
        <v>46034.395833333336</v>
      </c>
      <c r="F424" s="52">
        <v>46035.340277777781</v>
      </c>
      <c r="G424" s="53">
        <f>F424-E424</f>
        <v>0.94444444444525288</v>
      </c>
      <c r="H424" s="1" t="s">
        <v>257</v>
      </c>
      <c r="J424" s="1" t="s">
        <v>258</v>
      </c>
      <c r="K424" s="1" t="s">
        <v>658</v>
      </c>
      <c r="L424" s="1" t="s">
        <v>1987</v>
      </c>
      <c r="M424" s="1" t="s">
        <v>260</v>
      </c>
      <c r="N424" s="1" t="s">
        <v>357</v>
      </c>
      <c r="O424" s="1" t="s">
        <v>632</v>
      </c>
      <c r="P424" s="1" t="str">
        <f>_xlfn.CONCAT(B424,C424,D424,E424,F424)</f>
        <v>ARAGUATINS 2.2Inverter(MBUS-14)46034,395833333346034,395833333346035,3402777778</v>
      </c>
      <c r="Q424" s="1" t="str">
        <f>_xlfn.CONCAT(H424,I424,J424)</f>
        <v>DAURDE</v>
      </c>
    </row>
    <row r="425" spans="2:17">
      <c r="B425" s="1" t="s">
        <v>312</v>
      </c>
      <c r="C425" s="1" t="s">
        <v>256</v>
      </c>
      <c r="D425" s="52">
        <v>46034.395833333336</v>
      </c>
      <c r="E425" s="52">
        <v>46034.395833333336</v>
      </c>
      <c r="F425" s="52">
        <v>46035.340277777781</v>
      </c>
      <c r="G425" s="53">
        <f>F425-E425</f>
        <v>0.94444444444525288</v>
      </c>
      <c r="H425" s="1" t="s">
        <v>257</v>
      </c>
      <c r="J425" s="1" t="s">
        <v>258</v>
      </c>
      <c r="K425" s="1" t="s">
        <v>658</v>
      </c>
      <c r="L425" s="1" t="s">
        <v>1987</v>
      </c>
      <c r="M425" s="1" t="s">
        <v>260</v>
      </c>
      <c r="N425" s="1" t="s">
        <v>357</v>
      </c>
      <c r="O425" s="1" t="s">
        <v>632</v>
      </c>
      <c r="P425" s="1" t="str">
        <f>_xlfn.CONCAT(B425,C425,D425,E425,F425)</f>
        <v>ARAGUATINS 2.2Inverter(MBUS-12)46034,395833333346034,395833333346035,3402777778</v>
      </c>
      <c r="Q425" s="1" t="str">
        <f>_xlfn.CONCAT(H425,I425,J425)</f>
        <v>DAURDE</v>
      </c>
    </row>
    <row r="426" spans="2:17">
      <c r="B426" s="1" t="s">
        <v>313</v>
      </c>
      <c r="C426" s="1" t="s">
        <v>256</v>
      </c>
      <c r="D426" s="52">
        <v>46034.395833333336</v>
      </c>
      <c r="E426" s="52">
        <v>46034.395833333336</v>
      </c>
      <c r="F426" s="52">
        <v>46035.340277777781</v>
      </c>
      <c r="G426" s="53">
        <f>F426-E426</f>
        <v>0.94444444444525288</v>
      </c>
      <c r="H426" s="1" t="s">
        <v>257</v>
      </c>
      <c r="J426" s="1" t="s">
        <v>258</v>
      </c>
      <c r="K426" s="1" t="s">
        <v>658</v>
      </c>
      <c r="L426" s="1" t="s">
        <v>1987</v>
      </c>
      <c r="M426" s="1" t="s">
        <v>260</v>
      </c>
      <c r="N426" s="1" t="s">
        <v>357</v>
      </c>
      <c r="O426" s="1" t="s">
        <v>632</v>
      </c>
      <c r="P426" s="1" t="str">
        <f>_xlfn.CONCAT(B426,C426,D426,E426,F426)</f>
        <v>ARAGUATINS 2.3Inverter(MBUS-12)46034,395833333346034,395833333346035,3402777778</v>
      </c>
      <c r="Q426" s="1" t="str">
        <f>_xlfn.CONCAT(H426,I426,J426)</f>
        <v>DAURDE</v>
      </c>
    </row>
    <row r="427" spans="2:17">
      <c r="B427" s="1" t="s">
        <v>313</v>
      </c>
      <c r="C427" s="1" t="s">
        <v>264</v>
      </c>
      <c r="D427" s="52">
        <v>46034.395833333336</v>
      </c>
      <c r="E427" s="52">
        <v>46034.395833333336</v>
      </c>
      <c r="F427" s="52">
        <v>46035.340277777781</v>
      </c>
      <c r="G427" s="53">
        <f>F427-E427</f>
        <v>0.94444444444525288</v>
      </c>
      <c r="H427" s="1" t="s">
        <v>257</v>
      </c>
      <c r="J427" s="1" t="s">
        <v>258</v>
      </c>
      <c r="K427" s="1" t="s">
        <v>658</v>
      </c>
      <c r="L427" s="1" t="s">
        <v>1987</v>
      </c>
      <c r="M427" s="1" t="s">
        <v>260</v>
      </c>
      <c r="N427" s="1" t="s">
        <v>357</v>
      </c>
      <c r="O427" s="1" t="s">
        <v>632</v>
      </c>
      <c r="P427" s="1" t="str">
        <f>_xlfn.CONCAT(B427,C427,D427,E427,F427)</f>
        <v>ARAGUATINS 2.3Inverter(MBUS-13)46034,395833333346034,395833333346035,3402777778</v>
      </c>
      <c r="Q427" s="1" t="str">
        <f>_xlfn.CONCAT(H427,I427,J427)</f>
        <v>DAURDE</v>
      </c>
    </row>
    <row r="428" spans="2:17">
      <c r="B428" s="1" t="s">
        <v>442</v>
      </c>
      <c r="C428" s="1" t="s">
        <v>264</v>
      </c>
      <c r="D428" s="52">
        <v>46034.541666666664</v>
      </c>
      <c r="E428" s="52">
        <v>46034.541666666664</v>
      </c>
      <c r="F428" s="52">
        <v>46034.572916666664</v>
      </c>
      <c r="G428" s="53">
        <f>F428-E428</f>
        <v>3.125E-2</v>
      </c>
      <c r="H428" s="1" t="s">
        <v>268</v>
      </c>
      <c r="I428" s="1" t="s">
        <v>269</v>
      </c>
      <c r="J428" s="1" t="s">
        <v>319</v>
      </c>
      <c r="K428" s="1" t="str">
        <f>_xlfn.XLOOKUP(J428,REF!$D$2:$D$12,REF!$E$2:$E$12)</f>
        <v>Comunicação</v>
      </c>
      <c r="L428" s="1" t="s">
        <v>1988</v>
      </c>
      <c r="M428" s="1" t="s">
        <v>289</v>
      </c>
      <c r="N428" s="1" t="s">
        <v>253</v>
      </c>
      <c r="O428" s="1" t="s">
        <v>712</v>
      </c>
      <c r="P428" s="1" t="str">
        <f>_xlfn.CONCAT(B428,C428,D429,E428,F428)</f>
        <v>BC Lencois PaulistaInverter(MBUS-13)46034,541666666746034,541666666746034,5729166667</v>
      </c>
      <c r="Q428" s="1" t="str">
        <f>_xlfn.CONCAT(H428,I428,J428)</f>
        <v>LIGRFOCOM</v>
      </c>
    </row>
    <row r="429" spans="2:17">
      <c r="B429" s="1" t="s">
        <v>442</v>
      </c>
      <c r="C429" s="1" t="s">
        <v>263</v>
      </c>
      <c r="D429" s="52">
        <v>46034.541666666664</v>
      </c>
      <c r="E429" s="52">
        <v>46034.541666666664</v>
      </c>
      <c r="F429" s="52">
        <v>46034.572916666664</v>
      </c>
      <c r="G429" s="53">
        <f>F429-E429</f>
        <v>3.125E-2</v>
      </c>
      <c r="H429" s="1" t="s">
        <v>268</v>
      </c>
      <c r="I429" s="1" t="s">
        <v>269</v>
      </c>
      <c r="J429" s="1" t="s">
        <v>319</v>
      </c>
      <c r="K429" s="1" t="str">
        <f>_xlfn.XLOOKUP(J429,REF!$D$2:$D$12,REF!$E$2:$E$12)</f>
        <v>Comunicação</v>
      </c>
      <c r="L429" s="1" t="s">
        <v>1988</v>
      </c>
      <c r="M429" s="1" t="s">
        <v>289</v>
      </c>
      <c r="N429" s="1" t="s">
        <v>253</v>
      </c>
      <c r="O429" s="1" t="s">
        <v>712</v>
      </c>
      <c r="P429" s="1" t="str">
        <f>_xlfn.CONCAT(B429,C429,D430,E429,F429)</f>
        <v>BC Lencois PaulistaInverter(MBUS-14)46034,541666666746034,541666666746034,5729166667</v>
      </c>
      <c r="Q429" s="1" t="str">
        <f>_xlfn.CONCAT(H429,I429,J429)</f>
        <v>LIGRFOCOM</v>
      </c>
    </row>
    <row r="430" spans="2:17">
      <c r="B430" s="1" t="s">
        <v>442</v>
      </c>
      <c r="C430" s="1" t="s">
        <v>256</v>
      </c>
      <c r="D430" s="52">
        <v>46034.541666666664</v>
      </c>
      <c r="E430" s="52">
        <v>46034.541666666664</v>
      </c>
      <c r="F430" s="52">
        <v>46034.572916666664</v>
      </c>
      <c r="G430" s="53">
        <f>F430-E430</f>
        <v>3.125E-2</v>
      </c>
      <c r="H430" s="1" t="s">
        <v>268</v>
      </c>
      <c r="I430" s="1" t="s">
        <v>269</v>
      </c>
      <c r="J430" s="1" t="s">
        <v>319</v>
      </c>
      <c r="K430" s="1" t="str">
        <f>_xlfn.XLOOKUP(J430,REF!$D$2:$D$12,REF!$E$2:$E$12)</f>
        <v>Comunicação</v>
      </c>
      <c r="L430" s="1" t="s">
        <v>1988</v>
      </c>
      <c r="M430" s="1" t="s">
        <v>289</v>
      </c>
      <c r="N430" s="1" t="s">
        <v>253</v>
      </c>
      <c r="O430" s="1" t="s">
        <v>712</v>
      </c>
      <c r="P430" s="1" t="str">
        <f>_xlfn.CONCAT(B430,C430,D431,E430,F430)</f>
        <v>BC Lencois PaulistaInverter(MBUS-12)46034,541666666746034,541666666746034,5729166667</v>
      </c>
      <c r="Q430" s="1" t="str">
        <f>_xlfn.CONCAT(H430,I430,J430)</f>
        <v>LIGRFOCOM</v>
      </c>
    </row>
    <row r="431" spans="2:17">
      <c r="B431" s="1" t="s">
        <v>442</v>
      </c>
      <c r="C431" s="1" t="s">
        <v>307</v>
      </c>
      <c r="D431" s="52">
        <v>46034.541666666664</v>
      </c>
      <c r="E431" s="52">
        <v>46034.541666666664</v>
      </c>
      <c r="F431" s="52">
        <v>46034.572916666664</v>
      </c>
      <c r="G431" s="53">
        <f>F431-E431</f>
        <v>3.125E-2</v>
      </c>
      <c r="H431" s="1" t="s">
        <v>268</v>
      </c>
      <c r="I431" s="1" t="s">
        <v>269</v>
      </c>
      <c r="J431" s="1" t="s">
        <v>319</v>
      </c>
      <c r="K431" s="1" t="str">
        <f>_xlfn.XLOOKUP(J431,REF!$D$2:$D$12,REF!$E$2:$E$12)</f>
        <v>Comunicação</v>
      </c>
      <c r="L431" s="1" t="s">
        <v>1988</v>
      </c>
      <c r="M431" s="1" t="s">
        <v>289</v>
      </c>
      <c r="N431" s="1" t="s">
        <v>253</v>
      </c>
      <c r="O431" s="1" t="s">
        <v>712</v>
      </c>
      <c r="P431" s="1" t="str">
        <f>_xlfn.CONCAT(B431,C431,D432,E431,F431)</f>
        <v>BC Lencois PaulistaInverter(MBUS-15)46034,603472222246034,541666666746034,5729166667</v>
      </c>
      <c r="Q431" s="1" t="str">
        <f>_xlfn.CONCAT(H431,I431,J431)</f>
        <v>LIGRFOCOM</v>
      </c>
    </row>
    <row r="432" spans="2:17">
      <c r="B432" s="1" t="s">
        <v>358</v>
      </c>
      <c r="C432" s="1" t="s">
        <v>359</v>
      </c>
      <c r="D432" s="52">
        <v>46034.603472222225</v>
      </c>
      <c r="E432" s="52">
        <v>46034.603472222225</v>
      </c>
      <c r="F432" s="52">
        <v>46036.670138888891</v>
      </c>
      <c r="G432" s="53">
        <f>F432-E432</f>
        <v>2.0666666666656965</v>
      </c>
      <c r="H432" s="1" t="s">
        <v>268</v>
      </c>
      <c r="I432" s="1" t="s">
        <v>269</v>
      </c>
      <c r="J432" s="1" t="s">
        <v>319</v>
      </c>
      <c r="K432" s="1" t="str">
        <f>_xlfn.XLOOKUP(J432,REF!$D$2:$D$12,REF!$E$2:$E$12)</f>
        <v>Comunicação</v>
      </c>
      <c r="L432" s="1" t="s">
        <v>1984</v>
      </c>
      <c r="M432" s="1" t="s">
        <v>289</v>
      </c>
      <c r="N432" s="1" t="s">
        <v>253</v>
      </c>
      <c r="O432" s="1" t="s">
        <v>714</v>
      </c>
      <c r="P432" s="1" t="str">
        <f>_xlfn.CONCAT(B432,C432,D432,E432,F432)</f>
        <v>BC Aracu2araçu 2.1 inversor 146034,603472222246034,603472222246036,6701388889</v>
      </c>
      <c r="Q432" s="1" t="str">
        <f>_xlfn.CONCAT(H432,I432,J432)</f>
        <v>LIGRFOCOM</v>
      </c>
    </row>
    <row r="433" spans="2:17">
      <c r="B433" s="1" t="s">
        <v>358</v>
      </c>
      <c r="C433" s="1" t="s">
        <v>551</v>
      </c>
      <c r="D433" s="52">
        <v>46034.603472222225</v>
      </c>
      <c r="E433" s="52">
        <v>46034.603472222225</v>
      </c>
      <c r="F433" s="52">
        <v>46036.670138888891</v>
      </c>
      <c r="G433" s="53">
        <f>F433-E433</f>
        <v>2.0666666666656965</v>
      </c>
      <c r="H433" s="1" t="s">
        <v>268</v>
      </c>
      <c r="I433" s="1" t="s">
        <v>269</v>
      </c>
      <c r="J433" s="1" t="s">
        <v>319</v>
      </c>
      <c r="K433" s="1" t="str">
        <f>_xlfn.XLOOKUP(J433,REF!$D$2:$D$12,REF!$E$2:$E$12)</f>
        <v>Comunicação</v>
      </c>
      <c r="L433" s="1" t="s">
        <v>1984</v>
      </c>
      <c r="M433" s="1" t="s">
        <v>289</v>
      </c>
      <c r="N433" s="1" t="s">
        <v>253</v>
      </c>
      <c r="O433" s="1" t="s">
        <v>714</v>
      </c>
      <c r="P433" s="1" t="str">
        <f>_xlfn.CONCAT(B433,C433,D433,E433,F433)</f>
        <v>BC Aracu2araçu 2.1 inversor 246034,603472222246034,603472222246036,6701388889</v>
      </c>
      <c r="Q433" s="1" t="str">
        <f>_xlfn.CONCAT(H433,I433,J433)</f>
        <v>LIGRFOCOM</v>
      </c>
    </row>
    <row r="434" spans="2:17">
      <c r="B434" s="1" t="s">
        <v>358</v>
      </c>
      <c r="C434" s="1" t="s">
        <v>552</v>
      </c>
      <c r="D434" s="52">
        <v>46034.603472222225</v>
      </c>
      <c r="E434" s="52">
        <v>46034.603472222225</v>
      </c>
      <c r="F434" s="52">
        <v>46036.670138888891</v>
      </c>
      <c r="G434" s="53">
        <f>F434-E434</f>
        <v>2.0666666666656965</v>
      </c>
      <c r="H434" s="1" t="s">
        <v>268</v>
      </c>
      <c r="I434" s="1" t="s">
        <v>269</v>
      </c>
      <c r="J434" s="1" t="s">
        <v>319</v>
      </c>
      <c r="K434" s="1" t="str">
        <f>_xlfn.XLOOKUP(J434,REF!$D$2:$D$12,REF!$E$2:$E$12)</f>
        <v>Comunicação</v>
      </c>
      <c r="L434" s="1" t="s">
        <v>1984</v>
      </c>
      <c r="M434" s="1" t="s">
        <v>289</v>
      </c>
      <c r="N434" s="1" t="s">
        <v>253</v>
      </c>
      <c r="O434" s="1" t="s">
        <v>714</v>
      </c>
      <c r="P434" s="1" t="str">
        <f>_xlfn.CONCAT(B434,C434,D434,E434,F434)</f>
        <v>BC Aracu2araçu 2.1 inversor 346034,603472222246034,603472222246036,6701388889</v>
      </c>
      <c r="Q434" s="1" t="str">
        <f>_xlfn.CONCAT(H434,I434,J434)</f>
        <v>LIGRFOCOM</v>
      </c>
    </row>
    <row r="435" spans="2:17">
      <c r="B435" s="1" t="s">
        <v>358</v>
      </c>
      <c r="C435" s="1" t="s">
        <v>553</v>
      </c>
      <c r="D435" s="52">
        <v>46034.603472222225</v>
      </c>
      <c r="E435" s="52">
        <v>46034.603472222225</v>
      </c>
      <c r="F435" s="52">
        <v>46036.670138888891</v>
      </c>
      <c r="G435" s="53">
        <f>F435-E435</f>
        <v>2.0666666666656965</v>
      </c>
      <c r="H435" s="1" t="s">
        <v>268</v>
      </c>
      <c r="I435" s="1" t="s">
        <v>269</v>
      </c>
      <c r="J435" s="1" t="s">
        <v>319</v>
      </c>
      <c r="K435" s="1" t="str">
        <f>_xlfn.XLOOKUP(J435,REF!$D$2:$D$12,REF!$E$2:$E$12)</f>
        <v>Comunicação</v>
      </c>
      <c r="L435" s="1" t="s">
        <v>1984</v>
      </c>
      <c r="M435" s="1" t="s">
        <v>289</v>
      </c>
      <c r="N435" s="1" t="s">
        <v>253</v>
      </c>
      <c r="O435" s="1" t="s">
        <v>714</v>
      </c>
      <c r="P435" s="1" t="str">
        <f>_xlfn.CONCAT(B435,C435,D435,E435,F435)</f>
        <v>BC Aracu2araçu 2.2 inversor 146034,603472222246034,603472222246036,6701388889</v>
      </c>
      <c r="Q435" s="1" t="str">
        <f>_xlfn.CONCAT(H435,I435,J435)</f>
        <v>LIGRFOCOM</v>
      </c>
    </row>
    <row r="436" spans="2:17">
      <c r="B436" s="1" t="s">
        <v>358</v>
      </c>
      <c r="C436" s="1" t="s">
        <v>554</v>
      </c>
      <c r="D436" s="52">
        <v>46034.603472222225</v>
      </c>
      <c r="E436" s="52">
        <v>46034.603472222225</v>
      </c>
      <c r="F436" s="52">
        <v>46036.670138888891</v>
      </c>
      <c r="G436" s="53">
        <f>F436-E436</f>
        <v>2.0666666666656965</v>
      </c>
      <c r="H436" s="1" t="s">
        <v>268</v>
      </c>
      <c r="I436" s="1" t="s">
        <v>269</v>
      </c>
      <c r="J436" s="1" t="s">
        <v>319</v>
      </c>
      <c r="K436" s="1" t="str">
        <f>_xlfn.XLOOKUP(J436,REF!$D$2:$D$12,REF!$E$2:$E$12)</f>
        <v>Comunicação</v>
      </c>
      <c r="L436" s="1" t="s">
        <v>1984</v>
      </c>
      <c r="M436" s="1" t="s">
        <v>289</v>
      </c>
      <c r="N436" s="1" t="s">
        <v>253</v>
      </c>
      <c r="O436" s="1" t="s">
        <v>714</v>
      </c>
      <c r="P436" s="1" t="str">
        <f>_xlfn.CONCAT(B436,C436,D436,E436,F436)</f>
        <v>BC Aracu2araçu 2.2 inversor 246034,603472222246034,603472222246036,6701388889</v>
      </c>
      <c r="Q436" s="1" t="str">
        <f>_xlfn.CONCAT(H436,I436,J436)</f>
        <v>LIGRFOCOM</v>
      </c>
    </row>
    <row r="437" spans="2:17">
      <c r="B437" s="1" t="s">
        <v>358</v>
      </c>
      <c r="C437" s="1" t="s">
        <v>555</v>
      </c>
      <c r="D437" s="52">
        <v>46034.603472222225</v>
      </c>
      <c r="E437" s="52">
        <v>46034.603472222225</v>
      </c>
      <c r="F437" s="52">
        <v>46036.670138888891</v>
      </c>
      <c r="G437" s="53">
        <f>F437-E437</f>
        <v>2.0666666666656965</v>
      </c>
      <c r="H437" s="1" t="s">
        <v>268</v>
      </c>
      <c r="I437" s="1" t="s">
        <v>269</v>
      </c>
      <c r="J437" s="1" t="s">
        <v>319</v>
      </c>
      <c r="K437" s="1" t="str">
        <f>_xlfn.XLOOKUP(J437,REF!$D$2:$D$12,REF!$E$2:$E$12)</f>
        <v>Comunicação</v>
      </c>
      <c r="L437" s="1" t="s">
        <v>1984</v>
      </c>
      <c r="M437" s="1" t="s">
        <v>289</v>
      </c>
      <c r="N437" s="1" t="s">
        <v>253</v>
      </c>
      <c r="O437" s="1" t="s">
        <v>714</v>
      </c>
      <c r="P437" s="1" t="str">
        <f>_xlfn.CONCAT(B437,C437,D437,E437,F437)</f>
        <v>BC Aracu2araçu 2.2 inversor 346034,603472222246034,603472222246036,6701388889</v>
      </c>
      <c r="Q437" s="1" t="str">
        <f>_xlfn.CONCAT(H437,I437,J437)</f>
        <v>LIGRFOCOM</v>
      </c>
    </row>
    <row r="438" spans="2:17">
      <c r="B438" s="1" t="s">
        <v>358</v>
      </c>
      <c r="C438" s="1" t="s">
        <v>556</v>
      </c>
      <c r="D438" s="52">
        <v>46034.603472222225</v>
      </c>
      <c r="E438" s="52">
        <v>46034.603472222225</v>
      </c>
      <c r="F438" s="52">
        <v>46036.670138888891</v>
      </c>
      <c r="G438" s="53">
        <f>F438-E438</f>
        <v>2.0666666666656965</v>
      </c>
      <c r="H438" s="1" t="s">
        <v>268</v>
      </c>
      <c r="I438" s="1" t="s">
        <v>269</v>
      </c>
      <c r="J438" s="1" t="s">
        <v>319</v>
      </c>
      <c r="K438" s="1" t="str">
        <f>_xlfn.XLOOKUP(J438,REF!$D$2:$D$12,REF!$E$2:$E$12)</f>
        <v>Comunicação</v>
      </c>
      <c r="L438" s="1" t="s">
        <v>1984</v>
      </c>
      <c r="M438" s="1" t="s">
        <v>289</v>
      </c>
      <c r="N438" s="1" t="s">
        <v>253</v>
      </c>
      <c r="O438" s="1" t="s">
        <v>714</v>
      </c>
      <c r="P438" s="1" t="str">
        <f>_xlfn.CONCAT(B438,C438,D438,E438,F438)</f>
        <v>BC Aracu2Inverter8346034,603472222246034,603472222246036,6701388889</v>
      </c>
      <c r="Q438" s="1" t="str">
        <f>_xlfn.CONCAT(H438,I438,J438)</f>
        <v>LIGRFOCOM</v>
      </c>
    </row>
    <row r="439" spans="2:17">
      <c r="B439" s="1" t="s">
        <v>358</v>
      </c>
      <c r="C439" s="1" t="s">
        <v>557</v>
      </c>
      <c r="D439" s="52">
        <v>46034.603472222225</v>
      </c>
      <c r="E439" s="52">
        <v>46034.603472222225</v>
      </c>
      <c r="F439" s="52">
        <v>46036.670138888891</v>
      </c>
      <c r="G439" s="53">
        <f>F439-E439</f>
        <v>2.0666666666656965</v>
      </c>
      <c r="H439" s="1" t="s">
        <v>268</v>
      </c>
      <c r="I439" s="1" t="s">
        <v>269</v>
      </c>
      <c r="J439" s="1" t="s">
        <v>319</v>
      </c>
      <c r="K439" s="1" t="str">
        <f>_xlfn.XLOOKUP(J439,REF!$D$2:$D$12,REF!$E$2:$E$12)</f>
        <v>Comunicação</v>
      </c>
      <c r="L439" s="1" t="s">
        <v>1984</v>
      </c>
      <c r="M439" s="1" t="s">
        <v>289</v>
      </c>
      <c r="N439" s="1" t="s">
        <v>253</v>
      </c>
      <c r="O439" s="1" t="s">
        <v>714</v>
      </c>
      <c r="P439" s="1" t="str">
        <f>_xlfn.CONCAT(B439,C439,D439,E439,F439)</f>
        <v>BC Aracu2araçu 2.3 inversor 546034,603472222246034,603472222246036,6701388889</v>
      </c>
      <c r="Q439" s="1" t="str">
        <f>_xlfn.CONCAT(H439,I439,J439)</f>
        <v>LIGRFOCOM</v>
      </c>
    </row>
    <row r="440" spans="2:17">
      <c r="B440" s="1" t="s">
        <v>358</v>
      </c>
      <c r="C440" s="1" t="s">
        <v>558</v>
      </c>
      <c r="D440" s="52">
        <v>46034.603472222225</v>
      </c>
      <c r="E440" s="52">
        <v>46034.603472222225</v>
      </c>
      <c r="F440" s="52">
        <v>46036.670138888891</v>
      </c>
      <c r="G440" s="53">
        <f>F440-E440</f>
        <v>2.0666666666656965</v>
      </c>
      <c r="H440" s="1" t="s">
        <v>268</v>
      </c>
      <c r="I440" s="1" t="s">
        <v>269</v>
      </c>
      <c r="J440" s="1" t="s">
        <v>319</v>
      </c>
      <c r="K440" s="1" t="str">
        <f>_xlfn.XLOOKUP(J440,REF!$D$2:$D$12,REF!$E$2:$E$12)</f>
        <v>Comunicação</v>
      </c>
      <c r="L440" s="1" t="s">
        <v>1984</v>
      </c>
      <c r="M440" s="1" t="s">
        <v>289</v>
      </c>
      <c r="N440" s="1" t="s">
        <v>253</v>
      </c>
      <c r="O440" s="1" t="s">
        <v>714</v>
      </c>
      <c r="P440" s="1" t="str">
        <f>_xlfn.CONCAT(B440,C440,D440,E440,F440)</f>
        <v>BC Aracu2araçu 2.3 inversor 146034,603472222246034,603472222246036,6701388889</v>
      </c>
      <c r="Q440" s="1" t="str">
        <f>_xlfn.CONCAT(H440,I440,J440)</f>
        <v>LIGRFOCOM</v>
      </c>
    </row>
    <row r="441" spans="2:17">
      <c r="B441" s="1" t="s">
        <v>358</v>
      </c>
      <c r="C441" s="1" t="s">
        <v>559</v>
      </c>
      <c r="D441" s="52">
        <v>46034.603472222225</v>
      </c>
      <c r="E441" s="52">
        <v>46034.603472222225</v>
      </c>
      <c r="F441" s="52">
        <v>46036.670138888891</v>
      </c>
      <c r="G441" s="53">
        <f>F441-E441</f>
        <v>2.0666666666656965</v>
      </c>
      <c r="H441" s="1" t="s">
        <v>268</v>
      </c>
      <c r="I441" s="1" t="s">
        <v>269</v>
      </c>
      <c r="J441" s="1" t="s">
        <v>319</v>
      </c>
      <c r="K441" s="1" t="str">
        <f>_xlfn.XLOOKUP(J441,REF!$D$2:$D$12,REF!$E$2:$E$12)</f>
        <v>Comunicação</v>
      </c>
      <c r="L441" s="1" t="s">
        <v>1984</v>
      </c>
      <c r="M441" s="1" t="s">
        <v>289</v>
      </c>
      <c r="N441" s="1" t="s">
        <v>253</v>
      </c>
      <c r="O441" s="1" t="s">
        <v>714</v>
      </c>
      <c r="P441" s="1" t="str">
        <f>_xlfn.CONCAT(B441,C441,D441,E441,F441)</f>
        <v>BC Aracu2araçu 2.3 inversor 246034,603472222246034,603472222246036,6701388889</v>
      </c>
      <c r="Q441" s="1" t="str">
        <f>_xlfn.CONCAT(H441,I441,J441)</f>
        <v>LIGRFOCOM</v>
      </c>
    </row>
    <row r="442" spans="2:17">
      <c r="B442" s="1" t="s">
        <v>358</v>
      </c>
      <c r="C442" s="1" t="s">
        <v>560</v>
      </c>
      <c r="D442" s="52">
        <v>46034.603472222225</v>
      </c>
      <c r="E442" s="52">
        <v>46034.603472222225</v>
      </c>
      <c r="F442" s="52">
        <v>46036.670138888891</v>
      </c>
      <c r="G442" s="53">
        <f>F442-E442</f>
        <v>2.0666666666656965</v>
      </c>
      <c r="H442" s="1" t="s">
        <v>268</v>
      </c>
      <c r="I442" s="1" t="s">
        <v>269</v>
      </c>
      <c r="J442" s="1" t="s">
        <v>319</v>
      </c>
      <c r="K442" s="1" t="str">
        <f>_xlfn.XLOOKUP(J442,REF!$D$2:$D$12,REF!$E$2:$E$12)</f>
        <v>Comunicação</v>
      </c>
      <c r="L442" s="1" t="s">
        <v>1984</v>
      </c>
      <c r="M442" s="1" t="s">
        <v>289</v>
      </c>
      <c r="N442" s="1" t="s">
        <v>253</v>
      </c>
      <c r="O442" s="1" t="s">
        <v>714</v>
      </c>
      <c r="P442" s="1" t="str">
        <f>_xlfn.CONCAT(B442,C442,D442,E442,F442)</f>
        <v>BC Aracu2araçu 2.3 inversor 446034,603472222246034,603472222246036,6701388889</v>
      </c>
      <c r="Q442" s="1" t="str">
        <f>_xlfn.CONCAT(H442,I442,J442)</f>
        <v>LIGRFOCOM</v>
      </c>
    </row>
    <row r="443" spans="2:17">
      <c r="B443" s="1" t="s">
        <v>358</v>
      </c>
      <c r="C443" s="1" t="s">
        <v>561</v>
      </c>
      <c r="D443" s="52">
        <v>46034.603472222225</v>
      </c>
      <c r="E443" s="52">
        <v>46034.603472222225</v>
      </c>
      <c r="F443" s="52">
        <v>46036.670138888891</v>
      </c>
      <c r="G443" s="53">
        <f>F443-E443</f>
        <v>2.0666666666656965</v>
      </c>
      <c r="H443" s="1" t="s">
        <v>268</v>
      </c>
      <c r="I443" s="1" t="s">
        <v>269</v>
      </c>
      <c r="J443" s="1" t="s">
        <v>319</v>
      </c>
      <c r="K443" s="1" t="str">
        <f>_xlfn.XLOOKUP(J443,REF!$D$2:$D$12,REF!$E$2:$E$12)</f>
        <v>Comunicação</v>
      </c>
      <c r="L443" s="1" t="s">
        <v>1984</v>
      </c>
      <c r="M443" s="1" t="s">
        <v>289</v>
      </c>
      <c r="N443" s="1" t="s">
        <v>253</v>
      </c>
      <c r="O443" s="1" t="s">
        <v>714</v>
      </c>
      <c r="P443" s="1" t="str">
        <f>_xlfn.CONCAT(B443,C443,D443,E443,F443)</f>
        <v>BC Aracu2araçu 2.3 inversor 346034,603472222246034,603472222246036,6701388889</v>
      </c>
      <c r="Q443" s="1" t="str">
        <f>_xlfn.CONCAT(H443,I443,J443)</f>
        <v>LIGRFOCOM</v>
      </c>
    </row>
    <row r="444" spans="2:17">
      <c r="B444" s="1" t="s">
        <v>358</v>
      </c>
      <c r="C444" s="1" t="s">
        <v>562</v>
      </c>
      <c r="D444" s="52">
        <v>46034.603472222225</v>
      </c>
      <c r="E444" s="52">
        <v>46034.603472222225</v>
      </c>
      <c r="F444" s="52">
        <v>46036.670138888891</v>
      </c>
      <c r="G444" s="53">
        <f>F444-E444</f>
        <v>2.0666666666656965</v>
      </c>
      <c r="H444" s="1" t="s">
        <v>268</v>
      </c>
      <c r="I444" s="1" t="s">
        <v>269</v>
      </c>
      <c r="J444" s="1" t="s">
        <v>319</v>
      </c>
      <c r="K444" s="1" t="str">
        <f>_xlfn.XLOOKUP(J444,REF!$D$2:$D$12,REF!$E$2:$E$12)</f>
        <v>Comunicação</v>
      </c>
      <c r="L444" s="1" t="s">
        <v>1984</v>
      </c>
      <c r="M444" s="1" t="s">
        <v>289</v>
      </c>
      <c r="N444" s="1" t="s">
        <v>253</v>
      </c>
      <c r="O444" s="1" t="s">
        <v>714</v>
      </c>
      <c r="P444" s="1" t="str">
        <f>_xlfn.CONCAT(B444,C444,D444,E444,F444)</f>
        <v>BC Aracu2araçu 2.4 inversor 346034,603472222246034,603472222246036,6701388889</v>
      </c>
      <c r="Q444" s="1" t="str">
        <f>_xlfn.CONCAT(H444,I444,J444)</f>
        <v>LIGRFOCOM</v>
      </c>
    </row>
    <row r="445" spans="2:17">
      <c r="B445" s="1" t="s">
        <v>358</v>
      </c>
      <c r="C445" s="1" t="s">
        <v>563</v>
      </c>
      <c r="D445" s="52">
        <v>46034.603472222225</v>
      </c>
      <c r="E445" s="52">
        <v>46034.603472222225</v>
      </c>
      <c r="F445" s="52">
        <v>46036.670138888891</v>
      </c>
      <c r="G445" s="53">
        <f>F445-E445</f>
        <v>2.0666666666656965</v>
      </c>
      <c r="H445" s="1" t="s">
        <v>268</v>
      </c>
      <c r="I445" s="1" t="s">
        <v>269</v>
      </c>
      <c r="J445" s="1" t="s">
        <v>319</v>
      </c>
      <c r="K445" s="1" t="str">
        <f>_xlfn.XLOOKUP(J445,REF!$D$2:$D$12,REF!$E$2:$E$12)</f>
        <v>Comunicação</v>
      </c>
      <c r="L445" s="1" t="s">
        <v>1984</v>
      </c>
      <c r="M445" s="1" t="s">
        <v>289</v>
      </c>
      <c r="N445" s="1" t="s">
        <v>253</v>
      </c>
      <c r="O445" s="1" t="s">
        <v>714</v>
      </c>
      <c r="P445" s="1" t="str">
        <f>_xlfn.CONCAT(B445,C445,D445,E445,F445)</f>
        <v>BC Aracu2araçu 2.4 inversor 146034,603472222246034,603472222246036,6701388889</v>
      </c>
      <c r="Q445" s="1" t="str">
        <f>_xlfn.CONCAT(H445,I445,J445)</f>
        <v>LIGRFOCOM</v>
      </c>
    </row>
    <row r="446" spans="2:17">
      <c r="B446" s="1" t="s">
        <v>358</v>
      </c>
      <c r="C446" s="1" t="s">
        <v>564</v>
      </c>
      <c r="D446" s="52">
        <v>46034.603472222225</v>
      </c>
      <c r="E446" s="52">
        <v>46034.603472222225</v>
      </c>
      <c r="F446" s="52">
        <v>46036.670138888891</v>
      </c>
      <c r="G446" s="53">
        <f>F446-E446</f>
        <v>2.0666666666656965</v>
      </c>
      <c r="H446" s="1" t="s">
        <v>268</v>
      </c>
      <c r="I446" s="1" t="s">
        <v>269</v>
      </c>
      <c r="J446" s="1" t="s">
        <v>319</v>
      </c>
      <c r="K446" s="1" t="str">
        <f>_xlfn.XLOOKUP(J446,REF!$D$2:$D$12,REF!$E$2:$E$12)</f>
        <v>Comunicação</v>
      </c>
      <c r="L446" s="1" t="s">
        <v>1984</v>
      </c>
      <c r="M446" s="1" t="s">
        <v>289</v>
      </c>
      <c r="N446" s="1" t="s">
        <v>253</v>
      </c>
      <c r="O446" s="1" t="s">
        <v>714</v>
      </c>
      <c r="P446" s="1" t="str">
        <f>_xlfn.CONCAT(B446,C446,D446,E446,F446)</f>
        <v>BC Aracu2araçu 2.4 inversor 646034,603472222246034,603472222246036,6701388889</v>
      </c>
      <c r="Q446" s="1" t="str">
        <f>_xlfn.CONCAT(H446,I446,J446)</f>
        <v>LIGRFOCOM</v>
      </c>
    </row>
    <row r="447" spans="2:17">
      <c r="B447" s="1" t="s">
        <v>358</v>
      </c>
      <c r="C447" s="1" t="s">
        <v>565</v>
      </c>
      <c r="D447" s="52">
        <v>46034.603472222225</v>
      </c>
      <c r="E447" s="52">
        <v>46034.603472222225</v>
      </c>
      <c r="F447" s="52">
        <v>46036.670138888891</v>
      </c>
      <c r="G447" s="53">
        <f>F447-E447</f>
        <v>2.0666666666656965</v>
      </c>
      <c r="H447" s="1" t="s">
        <v>268</v>
      </c>
      <c r="I447" s="1" t="s">
        <v>269</v>
      </c>
      <c r="J447" s="1" t="s">
        <v>319</v>
      </c>
      <c r="K447" s="1" t="str">
        <f>_xlfn.XLOOKUP(J447,REF!$D$2:$D$12,REF!$E$2:$E$12)</f>
        <v>Comunicação</v>
      </c>
      <c r="L447" s="1" t="s">
        <v>1984</v>
      </c>
      <c r="M447" s="1" t="s">
        <v>289</v>
      </c>
      <c r="N447" s="1" t="s">
        <v>253</v>
      </c>
      <c r="O447" s="1" t="s">
        <v>714</v>
      </c>
      <c r="P447" s="1" t="str">
        <f>_xlfn.CONCAT(B447,C447,D447,E447,F447)</f>
        <v>BC Aracu2araçu 2.4 inversor 446034,603472222246034,603472222246036,6701388889</v>
      </c>
      <c r="Q447" s="1" t="str">
        <f>_xlfn.CONCAT(H447,I447,J447)</f>
        <v>LIGRFOCOM</v>
      </c>
    </row>
    <row r="448" spans="2:17">
      <c r="B448" s="1" t="s">
        <v>358</v>
      </c>
      <c r="C448" s="1" t="s">
        <v>566</v>
      </c>
      <c r="D448" s="52">
        <v>46034.603472222225</v>
      </c>
      <c r="E448" s="52">
        <v>46034.603472222225</v>
      </c>
      <c r="F448" s="52">
        <v>46036.670138888891</v>
      </c>
      <c r="G448" s="53">
        <f>F448-E448</f>
        <v>2.0666666666656965</v>
      </c>
      <c r="H448" s="1" t="s">
        <v>268</v>
      </c>
      <c r="I448" s="1" t="s">
        <v>269</v>
      </c>
      <c r="J448" s="1" t="s">
        <v>319</v>
      </c>
      <c r="K448" s="1" t="str">
        <f>_xlfn.XLOOKUP(J448,REF!$D$2:$D$12,REF!$E$2:$E$12)</f>
        <v>Comunicação</v>
      </c>
      <c r="L448" s="1" t="s">
        <v>1984</v>
      </c>
      <c r="M448" s="1" t="s">
        <v>289</v>
      </c>
      <c r="N448" s="1" t="s">
        <v>253</v>
      </c>
      <c r="O448" s="1" t="s">
        <v>714</v>
      </c>
      <c r="P448" s="1" t="str">
        <f>_xlfn.CONCAT(B448,C448,D448,E448,F448)</f>
        <v>BC Aracu2araçu 2.4 inversor 246034,603472222246034,603472222246036,6701388889</v>
      </c>
      <c r="Q448" s="1" t="str">
        <f>_xlfn.CONCAT(H448,I448,J448)</f>
        <v>LIGRFOCOM</v>
      </c>
    </row>
    <row r="449" spans="2:17">
      <c r="B449" s="1" t="s">
        <v>358</v>
      </c>
      <c r="C449" s="1" t="s">
        <v>567</v>
      </c>
      <c r="D449" s="52">
        <v>46034.603472222225</v>
      </c>
      <c r="E449" s="52">
        <v>46034.603472222225</v>
      </c>
      <c r="F449" s="52">
        <v>46036.670138888891</v>
      </c>
      <c r="G449" s="53">
        <f>F449-E449</f>
        <v>2.0666666666656965</v>
      </c>
      <c r="H449" s="1" t="s">
        <v>268</v>
      </c>
      <c r="I449" s="1" t="s">
        <v>269</v>
      </c>
      <c r="J449" s="1" t="s">
        <v>319</v>
      </c>
      <c r="K449" s="1" t="str">
        <f>_xlfn.XLOOKUP(J449,REF!$D$2:$D$12,REF!$E$2:$E$12)</f>
        <v>Comunicação</v>
      </c>
      <c r="L449" s="1" t="s">
        <v>1984</v>
      </c>
      <c r="M449" s="1" t="s">
        <v>289</v>
      </c>
      <c r="N449" s="1" t="s">
        <v>253</v>
      </c>
      <c r="O449" s="1" t="s">
        <v>714</v>
      </c>
      <c r="P449" s="1" t="str">
        <f>_xlfn.CONCAT(B449,C449,D449,E449,F449)</f>
        <v>BC Aracu2araçu 2.4 inversor 546034,603472222246034,603472222246036,6701388889</v>
      </c>
      <c r="Q449" s="1" t="str">
        <f>_xlfn.CONCAT(H449,I449,J449)</f>
        <v>LIGRFOCOM</v>
      </c>
    </row>
    <row r="450" spans="2:17">
      <c r="B450" s="1" t="s">
        <v>442</v>
      </c>
      <c r="C450" s="1" t="s">
        <v>264</v>
      </c>
      <c r="D450" s="52">
        <v>46034.708333333336</v>
      </c>
      <c r="E450" s="52">
        <v>46034.708333333336</v>
      </c>
      <c r="F450" s="52">
        <v>46034.729166666664</v>
      </c>
      <c r="G450" s="53">
        <f>F450-E450</f>
        <v>2.0833333328482695E-2</v>
      </c>
      <c r="H450" s="1" t="s">
        <v>257</v>
      </c>
      <c r="J450" s="1" t="s">
        <v>258</v>
      </c>
      <c r="K450" s="1" t="s">
        <v>658</v>
      </c>
      <c r="L450" s="1" t="s">
        <v>1989</v>
      </c>
      <c r="M450" s="1" t="s">
        <v>260</v>
      </c>
      <c r="N450" s="1" t="s">
        <v>357</v>
      </c>
      <c r="O450" s="1" t="s">
        <v>632</v>
      </c>
      <c r="P450" s="1" t="str">
        <f>_xlfn.CONCAT(B450,C450,D451,E450,F450)</f>
        <v>BC Lencois PaulistaInverter(MBUS-13)46034,708333333346034,708333333346034,7291666667</v>
      </c>
      <c r="Q450" s="1" t="str">
        <f>_xlfn.CONCAT(H450,I450,J450)</f>
        <v>DAURDE</v>
      </c>
    </row>
    <row r="451" spans="2:17">
      <c r="B451" s="1" t="s">
        <v>442</v>
      </c>
      <c r="C451" s="1" t="s">
        <v>263</v>
      </c>
      <c r="D451" s="52">
        <v>46034.708333333336</v>
      </c>
      <c r="E451" s="52">
        <v>46034.708333333336</v>
      </c>
      <c r="F451" s="52">
        <v>46034.729166666664</v>
      </c>
      <c r="G451" s="53">
        <f>F451-E451</f>
        <v>2.0833333328482695E-2</v>
      </c>
      <c r="H451" s="1" t="s">
        <v>257</v>
      </c>
      <c r="J451" s="1" t="s">
        <v>258</v>
      </c>
      <c r="K451" s="1" t="s">
        <v>658</v>
      </c>
      <c r="L451" s="1" t="s">
        <v>1989</v>
      </c>
      <c r="M451" s="1" t="s">
        <v>260</v>
      </c>
      <c r="N451" s="1" t="s">
        <v>357</v>
      </c>
      <c r="O451" s="1" t="s">
        <v>632</v>
      </c>
      <c r="P451" s="1" t="str">
        <f>_xlfn.CONCAT(B451,C451,D452,E451,F451)</f>
        <v>BC Lencois PaulistaInverter(MBUS-14)46034,708333333346034,708333333346034,7291666667</v>
      </c>
      <c r="Q451" s="1" t="str">
        <f>_xlfn.CONCAT(H451,I451,J451)</f>
        <v>DAURDE</v>
      </c>
    </row>
    <row r="452" spans="2:17">
      <c r="B452" s="1" t="s">
        <v>442</v>
      </c>
      <c r="C452" s="1" t="s">
        <v>256</v>
      </c>
      <c r="D452" s="52">
        <v>46034.708333333336</v>
      </c>
      <c r="E452" s="52">
        <v>46034.708333333336</v>
      </c>
      <c r="F452" s="52">
        <v>46034.729166666664</v>
      </c>
      <c r="G452" s="53">
        <f>F452-E452</f>
        <v>2.0833333328482695E-2</v>
      </c>
      <c r="H452" s="1" t="s">
        <v>257</v>
      </c>
      <c r="J452" s="1" t="s">
        <v>258</v>
      </c>
      <c r="K452" s="1" t="s">
        <v>658</v>
      </c>
      <c r="L452" s="1" t="s">
        <v>1989</v>
      </c>
      <c r="M452" s="1" t="s">
        <v>260</v>
      </c>
      <c r="N452" s="1" t="s">
        <v>357</v>
      </c>
      <c r="O452" s="1" t="s">
        <v>632</v>
      </c>
      <c r="P452" s="1" t="str">
        <f>_xlfn.CONCAT(B452,C452,D453,E452,F452)</f>
        <v>BC Lencois PaulistaInverter(MBUS-12)46034,708333333346034,708333333346034,7291666667</v>
      </c>
      <c r="Q452" s="1" t="str">
        <f>_xlfn.CONCAT(H452,I452,J452)</f>
        <v>DAURDE</v>
      </c>
    </row>
    <row r="453" spans="2:17">
      <c r="B453" s="1" t="s">
        <v>442</v>
      </c>
      <c r="C453" s="1" t="s">
        <v>307</v>
      </c>
      <c r="D453" s="52">
        <v>46034.708333333336</v>
      </c>
      <c r="E453" s="52">
        <v>46034.708333333336</v>
      </c>
      <c r="F453" s="52">
        <v>46034.729166666664</v>
      </c>
      <c r="G453" s="53">
        <f>F453-E453</f>
        <v>2.0833333328482695E-2</v>
      </c>
      <c r="H453" s="1" t="s">
        <v>257</v>
      </c>
      <c r="J453" s="1" t="s">
        <v>258</v>
      </c>
      <c r="K453" s="1" t="s">
        <v>658</v>
      </c>
      <c r="L453" s="1" t="s">
        <v>1989</v>
      </c>
      <c r="M453" s="1" t="s">
        <v>260</v>
      </c>
      <c r="N453" s="1" t="s">
        <v>357</v>
      </c>
      <c r="O453" s="1" t="s">
        <v>632</v>
      </c>
      <c r="P453" s="1" t="str">
        <f>_xlfn.CONCAT(B453,C453,D454,E453,F453)</f>
        <v>BC Lencois PaulistaInverter(MBUS-15)46035,165277777846034,708333333346034,7291666667</v>
      </c>
      <c r="Q453" s="1" t="str">
        <f>_xlfn.CONCAT(H453,I453,J453)</f>
        <v>DAURDE</v>
      </c>
    </row>
    <row r="454" spans="2:17" ht="60.75">
      <c r="B454" s="66" t="s">
        <v>729</v>
      </c>
      <c r="C454" s="1" t="s">
        <v>730</v>
      </c>
      <c r="D454" s="52">
        <v>46035.165277777778</v>
      </c>
      <c r="E454" s="52">
        <v>46035.165277777778</v>
      </c>
      <c r="F454" s="52">
        <v>46038.46875</v>
      </c>
      <c r="G454" s="53">
        <f>F454-E454</f>
        <v>3.3034722222218988</v>
      </c>
      <c r="H454" s="1" t="s">
        <v>257</v>
      </c>
      <c r="J454" s="1" t="s">
        <v>258</v>
      </c>
      <c r="K454" s="1" t="s">
        <v>658</v>
      </c>
      <c r="L454" s="1" t="s">
        <v>538</v>
      </c>
      <c r="M454" s="1" t="s">
        <v>260</v>
      </c>
      <c r="N454" s="1" t="s">
        <v>357</v>
      </c>
      <c r="O454" s="72" t="s">
        <v>718</v>
      </c>
      <c r="P454" s="1" t="str">
        <f>_xlfn.CONCAT(B454,C454,D455,E454,F454)</f>
        <v>BC Varjao1.1UFV 1 - INV 146035,165277777846035,165277777846038,46875</v>
      </c>
      <c r="Q454" s="1" t="str">
        <f>_xlfn.CONCAT(H454,I454,J454)</f>
        <v>DAURDE</v>
      </c>
    </row>
    <row r="455" spans="2:17" ht="60.75">
      <c r="B455" s="66" t="s">
        <v>729</v>
      </c>
      <c r="C455" s="1" t="s">
        <v>732</v>
      </c>
      <c r="D455" s="52">
        <v>46035.165277777778</v>
      </c>
      <c r="E455" s="52">
        <v>46035.165277777778</v>
      </c>
      <c r="F455" s="52">
        <v>46038.46875</v>
      </c>
      <c r="G455" s="53">
        <f>F455-E455</f>
        <v>3.3034722222218988</v>
      </c>
      <c r="H455" s="1" t="s">
        <v>257</v>
      </c>
      <c r="J455" s="1" t="s">
        <v>258</v>
      </c>
      <c r="K455" s="1" t="s">
        <v>658</v>
      </c>
      <c r="L455" s="1" t="s">
        <v>538</v>
      </c>
      <c r="M455" s="1" t="s">
        <v>260</v>
      </c>
      <c r="N455" s="1" t="s">
        <v>357</v>
      </c>
      <c r="O455" s="72" t="s">
        <v>718</v>
      </c>
      <c r="P455" s="1" t="str">
        <f>_xlfn.CONCAT(B455,C455,D456,E455,F455)</f>
        <v>BC Varjao1.1UFV 1 - INV 546035,165277777846035,165277777846038,46875</v>
      </c>
      <c r="Q455" s="1" t="str">
        <f>_xlfn.CONCAT(H455,I455,J455)</f>
        <v>DAURDE</v>
      </c>
    </row>
    <row r="456" spans="2:17" ht="60.75">
      <c r="B456" s="66" t="s">
        <v>729</v>
      </c>
      <c r="C456" s="1" t="s">
        <v>733</v>
      </c>
      <c r="D456" s="52">
        <v>46035.165277777778</v>
      </c>
      <c r="E456" s="52">
        <v>46035.165277777778</v>
      </c>
      <c r="F456" s="52">
        <v>46038.46875</v>
      </c>
      <c r="G456" s="53">
        <f>F456-E456</f>
        <v>3.3034722222218988</v>
      </c>
      <c r="H456" s="1" t="s">
        <v>257</v>
      </c>
      <c r="J456" s="1" t="s">
        <v>258</v>
      </c>
      <c r="K456" s="1" t="s">
        <v>658</v>
      </c>
      <c r="L456" s="1" t="s">
        <v>538</v>
      </c>
      <c r="M456" s="1" t="s">
        <v>260</v>
      </c>
      <c r="N456" s="1" t="s">
        <v>357</v>
      </c>
      <c r="O456" s="72" t="s">
        <v>718</v>
      </c>
      <c r="P456" s="1" t="str">
        <f>_xlfn.CONCAT(B456,C456,D457,E456,F456)</f>
        <v>BC Varjao1.1UFV 1 - INV 446035,165277777846035,165277777846038,46875</v>
      </c>
      <c r="Q456" s="1" t="str">
        <f>_xlfn.CONCAT(H456,I456,J456)</f>
        <v>DAURDE</v>
      </c>
    </row>
    <row r="457" spans="2:17" ht="60.75">
      <c r="B457" s="66" t="s">
        <v>729</v>
      </c>
      <c r="C457" s="1" t="s">
        <v>734</v>
      </c>
      <c r="D457" s="52">
        <v>46035.165277777778</v>
      </c>
      <c r="E457" s="52">
        <v>46035.165277777778</v>
      </c>
      <c r="F457" s="52">
        <v>46038.46875</v>
      </c>
      <c r="G457" s="53">
        <f>F457-E457</f>
        <v>3.3034722222218988</v>
      </c>
      <c r="H457" s="1" t="s">
        <v>257</v>
      </c>
      <c r="J457" s="1" t="s">
        <v>258</v>
      </c>
      <c r="K457" s="1" t="s">
        <v>658</v>
      </c>
      <c r="L457" s="1" t="s">
        <v>538</v>
      </c>
      <c r="M457" s="1" t="s">
        <v>260</v>
      </c>
      <c r="N457" s="1" t="s">
        <v>357</v>
      </c>
      <c r="O457" s="72" t="s">
        <v>718</v>
      </c>
      <c r="P457" s="1" t="str">
        <f>_xlfn.CONCAT(B457,C457,D458,E457,F457)</f>
        <v>BC Varjao1.1UFV 1 - INV 346035,165277777846035,165277777846038,46875</v>
      </c>
      <c r="Q457" s="1" t="str">
        <f>_xlfn.CONCAT(H457,I457,J457)</f>
        <v>DAURDE</v>
      </c>
    </row>
    <row r="458" spans="2:17" ht="60.75">
      <c r="B458" s="66" t="s">
        <v>729</v>
      </c>
      <c r="C458" s="1" t="s">
        <v>735</v>
      </c>
      <c r="D458" s="52">
        <v>46035.165277777778</v>
      </c>
      <c r="E458" s="52">
        <v>46035.165277777778</v>
      </c>
      <c r="F458" s="52">
        <v>46038.46875</v>
      </c>
      <c r="G458" s="53">
        <f>F458-E458</f>
        <v>3.3034722222218988</v>
      </c>
      <c r="H458" s="1" t="s">
        <v>257</v>
      </c>
      <c r="J458" s="1" t="s">
        <v>258</v>
      </c>
      <c r="K458" s="1" t="s">
        <v>658</v>
      </c>
      <c r="L458" s="1" t="s">
        <v>538</v>
      </c>
      <c r="M458" s="1" t="s">
        <v>260</v>
      </c>
      <c r="N458" s="1" t="s">
        <v>357</v>
      </c>
      <c r="O458" s="72" t="s">
        <v>718</v>
      </c>
      <c r="P458" s="1" t="str">
        <f>_xlfn.CONCAT(B458,C458,D459,E458,F458)</f>
        <v>BC Varjao1.1UFV 1 - INV 246035,279861111146035,165277777846038,46875</v>
      </c>
      <c r="Q458" s="1" t="str">
        <f>_xlfn.CONCAT(H458,I458,J458)</f>
        <v>DAURDE</v>
      </c>
    </row>
    <row r="459" spans="2:17">
      <c r="B459" s="1" t="s">
        <v>698</v>
      </c>
      <c r="C459" s="1" t="s">
        <v>263</v>
      </c>
      <c r="D459" s="52">
        <v>46035.279861111114</v>
      </c>
      <c r="E459" s="52">
        <v>46035.279861111114</v>
      </c>
      <c r="F459" s="52">
        <v>46035.377083333333</v>
      </c>
      <c r="G459" s="53">
        <f>F459-E459</f>
        <v>9.7222222218988463E-2</v>
      </c>
      <c r="H459" s="1" t="s">
        <v>257</v>
      </c>
      <c r="J459" s="1" t="s">
        <v>258</v>
      </c>
      <c r="K459" s="1" t="s">
        <v>658</v>
      </c>
      <c r="L459" s="1" t="s">
        <v>1990</v>
      </c>
      <c r="M459" s="1" t="s">
        <v>260</v>
      </c>
      <c r="N459" s="1" t="s">
        <v>357</v>
      </c>
      <c r="O459" s="1" t="s">
        <v>632</v>
      </c>
      <c r="P459" s="1" t="str">
        <f>_xlfn.CONCAT(B459,C459,D459,E459,F459)</f>
        <v>BC Turvania1.1Inverter(MBUS-14)46035,279861111146035,279861111146035,3770833333</v>
      </c>
      <c r="Q459" s="1" t="str">
        <f>_xlfn.CONCAT(H459,I459,J459)</f>
        <v>DAURDE</v>
      </c>
    </row>
    <row r="460" spans="2:17">
      <c r="B460" s="1" t="s">
        <v>698</v>
      </c>
      <c r="C460" s="1" t="s">
        <v>307</v>
      </c>
      <c r="D460" s="52">
        <v>46035.279861111114</v>
      </c>
      <c r="E460" s="52">
        <v>46035.279861111114</v>
      </c>
      <c r="F460" s="52">
        <v>46035.377083333333</v>
      </c>
      <c r="G460" s="53">
        <f>F460-E460</f>
        <v>9.7222222218988463E-2</v>
      </c>
      <c r="H460" s="1" t="s">
        <v>257</v>
      </c>
      <c r="J460" s="1" t="s">
        <v>258</v>
      </c>
      <c r="K460" s="1" t="s">
        <v>658</v>
      </c>
      <c r="L460" s="1" t="s">
        <v>1990</v>
      </c>
      <c r="M460" s="1" t="s">
        <v>260</v>
      </c>
      <c r="N460" s="1" t="s">
        <v>357</v>
      </c>
      <c r="O460" s="1" t="s">
        <v>632</v>
      </c>
      <c r="P460" s="1" t="str">
        <f>_xlfn.CONCAT(B460,C460,D460,E460,F460)</f>
        <v>BC Turvania1.1Inverter(MBUS-15)46035,279861111146035,279861111146035,3770833333</v>
      </c>
      <c r="Q460" s="1" t="str">
        <f>_xlfn.CONCAT(H460,I460,J460)</f>
        <v>DAURDE</v>
      </c>
    </row>
    <row r="461" spans="2:17">
      <c r="B461" s="1" t="s">
        <v>698</v>
      </c>
      <c r="C461" s="1" t="s">
        <v>256</v>
      </c>
      <c r="D461" s="52">
        <v>46035.279861111114</v>
      </c>
      <c r="E461" s="52">
        <v>46035.279861111114</v>
      </c>
      <c r="F461" s="52">
        <v>46035.377083333333</v>
      </c>
      <c r="G461" s="53">
        <f>F461-E461</f>
        <v>9.7222222218988463E-2</v>
      </c>
      <c r="H461" s="1" t="s">
        <v>257</v>
      </c>
      <c r="J461" s="1" t="s">
        <v>258</v>
      </c>
      <c r="K461" s="1" t="s">
        <v>658</v>
      </c>
      <c r="L461" s="1" t="s">
        <v>1990</v>
      </c>
      <c r="M461" s="1" t="s">
        <v>260</v>
      </c>
      <c r="N461" s="1" t="s">
        <v>357</v>
      </c>
      <c r="O461" s="1" t="s">
        <v>632</v>
      </c>
      <c r="P461" s="1" t="str">
        <f>_xlfn.CONCAT(B461,C461,D461,E461,F461)</f>
        <v>BC Turvania1.1Inverter(MBUS-12)46035,279861111146035,279861111146035,3770833333</v>
      </c>
      <c r="Q461" s="1" t="str">
        <f>_xlfn.CONCAT(H461,I461,J461)</f>
        <v>DAURDE</v>
      </c>
    </row>
    <row r="462" spans="2:17">
      <c r="B462" s="1" t="s">
        <v>698</v>
      </c>
      <c r="C462" s="1" t="s">
        <v>264</v>
      </c>
      <c r="D462" s="52">
        <v>46035.279861111114</v>
      </c>
      <c r="E462" s="52">
        <v>46035.279861111114</v>
      </c>
      <c r="F462" s="52">
        <v>46035.377083333333</v>
      </c>
      <c r="G462" s="53">
        <f>F462-E462</f>
        <v>9.7222222218988463E-2</v>
      </c>
      <c r="H462" s="1" t="s">
        <v>257</v>
      </c>
      <c r="J462" s="1" t="s">
        <v>258</v>
      </c>
      <c r="K462" s="1" t="s">
        <v>658</v>
      </c>
      <c r="L462" s="1" t="s">
        <v>1990</v>
      </c>
      <c r="M462" s="1" t="s">
        <v>260</v>
      </c>
      <c r="N462" s="1" t="s">
        <v>357</v>
      </c>
      <c r="O462" s="1" t="s">
        <v>632</v>
      </c>
      <c r="P462" s="1" t="str">
        <f>_xlfn.CONCAT(B462,C462,D462,E462,F462)</f>
        <v>BC Turvania1.1Inverter(MBUS-13)46035,279861111146035,279861111146035,3770833333</v>
      </c>
      <c r="Q462" s="1" t="str">
        <f>_xlfn.CONCAT(H462,I462,J462)</f>
        <v>DAURDE</v>
      </c>
    </row>
    <row r="463" spans="2:17">
      <c r="B463" s="1" t="s">
        <v>700</v>
      </c>
      <c r="C463" s="1" t="s">
        <v>263</v>
      </c>
      <c r="D463" s="52">
        <v>46035.279861111114</v>
      </c>
      <c r="E463" s="52">
        <v>46035.279861111114</v>
      </c>
      <c r="F463" s="52">
        <v>46035.377083333333</v>
      </c>
      <c r="G463" s="53">
        <f>F463-E463</f>
        <v>9.7222222218988463E-2</v>
      </c>
      <c r="H463" s="1" t="s">
        <v>257</v>
      </c>
      <c r="J463" s="1" t="s">
        <v>258</v>
      </c>
      <c r="K463" s="1" t="s">
        <v>658</v>
      </c>
      <c r="L463" s="1" t="s">
        <v>1990</v>
      </c>
      <c r="M463" s="1" t="s">
        <v>260</v>
      </c>
      <c r="N463" s="1" t="s">
        <v>357</v>
      </c>
      <c r="O463" s="1" t="s">
        <v>632</v>
      </c>
      <c r="P463" s="1" t="str">
        <f>_xlfn.CONCAT(B463,C463,D463,E463,F463)</f>
        <v>BC Turvania1.2Inverter(MBUS-14)46035,279861111146035,279861111146035,3770833333</v>
      </c>
      <c r="Q463" s="1" t="str">
        <f>_xlfn.CONCAT(H463,I463,J463)</f>
        <v>DAURDE</v>
      </c>
    </row>
    <row r="464" spans="2:17">
      <c r="B464" s="1" t="s">
        <v>700</v>
      </c>
      <c r="C464" s="1" t="s">
        <v>264</v>
      </c>
      <c r="D464" s="52">
        <v>46035.279861111114</v>
      </c>
      <c r="E464" s="52">
        <v>46035.279861111114</v>
      </c>
      <c r="F464" s="52">
        <v>46035.377083333333</v>
      </c>
      <c r="G464" s="53">
        <f>F464-E464</f>
        <v>9.7222222218988463E-2</v>
      </c>
      <c r="H464" s="1" t="s">
        <v>257</v>
      </c>
      <c r="J464" s="1" t="s">
        <v>258</v>
      </c>
      <c r="K464" s="1" t="s">
        <v>658</v>
      </c>
      <c r="L464" s="1" t="s">
        <v>1990</v>
      </c>
      <c r="M464" s="1" t="s">
        <v>260</v>
      </c>
      <c r="N464" s="1" t="s">
        <v>357</v>
      </c>
      <c r="O464" s="1" t="s">
        <v>632</v>
      </c>
      <c r="P464" s="1" t="str">
        <f>_xlfn.CONCAT(B464,C464,D464,E464,F464)</f>
        <v>BC Turvania1.2Inverter(MBUS-13)46035,279861111146035,279861111146035,3770833333</v>
      </c>
      <c r="Q464" s="1" t="str">
        <f>_xlfn.CONCAT(H464,I464,J464)</f>
        <v>DAURDE</v>
      </c>
    </row>
    <row r="465" spans="2:17">
      <c r="B465" s="1" t="s">
        <v>700</v>
      </c>
      <c r="C465" s="1" t="s">
        <v>256</v>
      </c>
      <c r="D465" s="52">
        <v>46035.279861111114</v>
      </c>
      <c r="E465" s="52">
        <v>46035.279861111114</v>
      </c>
      <c r="F465" s="52">
        <v>46035.377083333333</v>
      </c>
      <c r="G465" s="53">
        <f>F465-E465</f>
        <v>9.7222222218988463E-2</v>
      </c>
      <c r="H465" s="1" t="s">
        <v>257</v>
      </c>
      <c r="J465" s="1" t="s">
        <v>258</v>
      </c>
      <c r="K465" s="1" t="s">
        <v>658</v>
      </c>
      <c r="L465" s="1" t="s">
        <v>1990</v>
      </c>
      <c r="M465" s="1" t="s">
        <v>260</v>
      </c>
      <c r="N465" s="1" t="s">
        <v>357</v>
      </c>
      <c r="O465" s="1" t="s">
        <v>632</v>
      </c>
      <c r="P465" s="1" t="str">
        <f>_xlfn.CONCAT(B465,C465,D465,E465,F465)</f>
        <v>BC Turvania1.2Inverter(MBUS-12)46035,279861111146035,279861111146035,3770833333</v>
      </c>
      <c r="Q465" s="1" t="str">
        <f>_xlfn.CONCAT(H465,I465,J465)</f>
        <v>DAURDE</v>
      </c>
    </row>
    <row r="466" spans="2:17">
      <c r="B466" s="1" t="s">
        <v>700</v>
      </c>
      <c r="C466" s="1" t="s">
        <v>307</v>
      </c>
      <c r="D466" s="52">
        <v>46035.279861111114</v>
      </c>
      <c r="E466" s="52">
        <v>46035.279861111114</v>
      </c>
      <c r="F466" s="52">
        <v>46035.377083333333</v>
      </c>
      <c r="G466" s="53">
        <f>F466-E466</f>
        <v>9.7222222218988463E-2</v>
      </c>
      <c r="H466" s="1" t="s">
        <v>257</v>
      </c>
      <c r="J466" s="1" t="s">
        <v>258</v>
      </c>
      <c r="K466" s="1" t="s">
        <v>658</v>
      </c>
      <c r="L466" s="1" t="s">
        <v>1990</v>
      </c>
      <c r="M466" s="1" t="s">
        <v>260</v>
      </c>
      <c r="N466" s="1" t="s">
        <v>357</v>
      </c>
      <c r="O466" s="1" t="s">
        <v>632</v>
      </c>
      <c r="P466" s="1" t="str">
        <f>_xlfn.CONCAT(B466,C466,D466,E466,F466)</f>
        <v>BC Turvania1.2Inverter(MBUS-15)46035,279861111146035,279861111146035,3770833333</v>
      </c>
      <c r="Q466" s="1" t="str">
        <f>_xlfn.CONCAT(H466,I466,J466)</f>
        <v>DAURDE</v>
      </c>
    </row>
    <row r="467" spans="2:17">
      <c r="B467" s="1" t="s">
        <v>314</v>
      </c>
      <c r="C467" s="1" t="s">
        <v>264</v>
      </c>
      <c r="D467" s="52">
        <v>46035.279861111114</v>
      </c>
      <c r="E467" s="52">
        <v>46035.279861111114</v>
      </c>
      <c r="F467" s="52">
        <v>46035.377083333333</v>
      </c>
      <c r="G467" s="53">
        <f>F467-E467</f>
        <v>9.7222222218988463E-2</v>
      </c>
      <c r="H467" s="1" t="s">
        <v>257</v>
      </c>
      <c r="J467" s="1" t="s">
        <v>258</v>
      </c>
      <c r="K467" s="1" t="s">
        <v>658</v>
      </c>
      <c r="L467" s="1" t="s">
        <v>1990</v>
      </c>
      <c r="M467" s="1" t="s">
        <v>260</v>
      </c>
      <c r="N467" s="1" t="s">
        <v>357</v>
      </c>
      <c r="O467" s="1" t="s">
        <v>632</v>
      </c>
      <c r="P467" s="1" t="str">
        <f>_xlfn.CONCAT(B467,C467,D467,E467,F467)</f>
        <v>BC Turvania1.3Inverter(MBUS-13)46035,279861111146035,279861111146035,3770833333</v>
      </c>
      <c r="Q467" s="1" t="str">
        <f>_xlfn.CONCAT(H467,I467,J467)</f>
        <v>DAURDE</v>
      </c>
    </row>
    <row r="468" spans="2:17">
      <c r="B468" s="1" t="s">
        <v>314</v>
      </c>
      <c r="C468" s="1" t="s">
        <v>263</v>
      </c>
      <c r="D468" s="52">
        <v>46035.279861111114</v>
      </c>
      <c r="E468" s="52">
        <v>46035.279861111114</v>
      </c>
      <c r="F468" s="52">
        <v>46035.377083333333</v>
      </c>
      <c r="G468" s="53">
        <f>F468-E468</f>
        <v>9.7222222218988463E-2</v>
      </c>
      <c r="H468" s="1" t="s">
        <v>257</v>
      </c>
      <c r="J468" s="1" t="s">
        <v>258</v>
      </c>
      <c r="K468" s="1" t="s">
        <v>658</v>
      </c>
      <c r="L468" s="1" t="s">
        <v>1990</v>
      </c>
      <c r="M468" s="1" t="s">
        <v>260</v>
      </c>
      <c r="N468" s="1" t="s">
        <v>357</v>
      </c>
      <c r="O468" s="1" t="s">
        <v>632</v>
      </c>
      <c r="P468" s="1" t="str">
        <f>_xlfn.CONCAT(B468,C468,D468,E468,F468)</f>
        <v>BC Turvania1.3Inverter(MBUS-14)46035,279861111146035,279861111146035,3770833333</v>
      </c>
      <c r="Q468" s="1" t="str">
        <f>_xlfn.CONCAT(H468,I468,J468)</f>
        <v>DAURDE</v>
      </c>
    </row>
    <row r="469" spans="2:17">
      <c r="B469" s="1" t="s">
        <v>314</v>
      </c>
      <c r="C469" s="1" t="s">
        <v>307</v>
      </c>
      <c r="D469" s="52">
        <v>46035.279861111114</v>
      </c>
      <c r="E469" s="52">
        <v>46035.279861111114</v>
      </c>
      <c r="F469" s="52">
        <v>46035.377083333333</v>
      </c>
      <c r="G469" s="53">
        <f>F469-E469</f>
        <v>9.7222222218988463E-2</v>
      </c>
      <c r="H469" s="1" t="s">
        <v>257</v>
      </c>
      <c r="J469" s="1" t="s">
        <v>258</v>
      </c>
      <c r="K469" s="1" t="s">
        <v>658</v>
      </c>
      <c r="L469" s="1" t="s">
        <v>1990</v>
      </c>
      <c r="M469" s="1" t="s">
        <v>260</v>
      </c>
      <c r="N469" s="1" t="s">
        <v>357</v>
      </c>
      <c r="O469" s="1" t="s">
        <v>632</v>
      </c>
      <c r="P469" s="1" t="str">
        <f>_xlfn.CONCAT(B469,C469,D469,E469,F469)</f>
        <v>BC Turvania1.3Inverter(MBUS-15)46035,279861111146035,279861111146035,3770833333</v>
      </c>
      <c r="Q469" s="1" t="str">
        <f>_xlfn.CONCAT(H469,I469,J469)</f>
        <v>DAURDE</v>
      </c>
    </row>
    <row r="470" spans="2:17">
      <c r="B470" s="1" t="s">
        <v>314</v>
      </c>
      <c r="C470" s="1" t="s">
        <v>247</v>
      </c>
      <c r="D470" s="52">
        <v>46035.279861111114</v>
      </c>
      <c r="E470" s="52">
        <v>46035.279861111114</v>
      </c>
      <c r="F470" s="52">
        <v>46035.377083333333</v>
      </c>
      <c r="G470" s="53">
        <f>F470-E470</f>
        <v>9.7222222218988463E-2</v>
      </c>
      <c r="H470" s="1" t="s">
        <v>257</v>
      </c>
      <c r="J470" s="1" t="s">
        <v>258</v>
      </c>
      <c r="K470" s="1" t="s">
        <v>658</v>
      </c>
      <c r="L470" s="1" t="s">
        <v>1990</v>
      </c>
      <c r="M470" s="1" t="s">
        <v>260</v>
      </c>
      <c r="N470" s="1" t="s">
        <v>357</v>
      </c>
      <c r="O470" s="1" t="s">
        <v>632</v>
      </c>
      <c r="P470" s="1" t="str">
        <f>_xlfn.CONCAT(B470,C470,D470,E470,F470)</f>
        <v>BC Turvania1.3Inverter(MBUS-1)46035,279861111146035,279861111146035,3770833333</v>
      </c>
      <c r="Q470" s="1" t="str">
        <f>_xlfn.CONCAT(H470,I470,J470)</f>
        <v>DAURDE</v>
      </c>
    </row>
    <row r="471" spans="2:17">
      <c r="B471" s="1" t="s">
        <v>701</v>
      </c>
      <c r="C471" s="1" t="s">
        <v>263</v>
      </c>
      <c r="D471" s="52">
        <v>46035.279861111114</v>
      </c>
      <c r="E471" s="52">
        <v>46035.279861111114</v>
      </c>
      <c r="F471" s="52">
        <v>46035.377083333333</v>
      </c>
      <c r="G471" s="53">
        <f>F471-E471</f>
        <v>9.7222222218988463E-2</v>
      </c>
      <c r="H471" s="1" t="s">
        <v>257</v>
      </c>
      <c r="J471" s="1" t="s">
        <v>258</v>
      </c>
      <c r="K471" s="1" t="s">
        <v>658</v>
      </c>
      <c r="L471" s="1" t="s">
        <v>1990</v>
      </c>
      <c r="M471" s="1" t="s">
        <v>260</v>
      </c>
      <c r="N471" s="1" t="s">
        <v>357</v>
      </c>
      <c r="O471" s="1" t="s">
        <v>632</v>
      </c>
      <c r="P471" s="1" t="str">
        <f>_xlfn.CONCAT(B471,C471,D471,E471,F471)</f>
        <v>BC Turvania1.4Inverter(MBUS-14)46035,279861111146035,279861111146035,3770833333</v>
      </c>
      <c r="Q471" s="1" t="str">
        <f>_xlfn.CONCAT(H471,I471,J471)</f>
        <v>DAURDE</v>
      </c>
    </row>
    <row r="472" spans="2:17">
      <c r="B472" s="1" t="s">
        <v>701</v>
      </c>
      <c r="C472" s="1" t="s">
        <v>307</v>
      </c>
      <c r="D472" s="52">
        <v>46035.279861111114</v>
      </c>
      <c r="E472" s="52">
        <v>46035.279861111114</v>
      </c>
      <c r="F472" s="52">
        <v>46035.377083333333</v>
      </c>
      <c r="G472" s="53">
        <f>F472-E472</f>
        <v>9.7222222218988463E-2</v>
      </c>
      <c r="H472" s="1" t="s">
        <v>257</v>
      </c>
      <c r="J472" s="1" t="s">
        <v>258</v>
      </c>
      <c r="K472" s="1" t="s">
        <v>658</v>
      </c>
      <c r="L472" s="1" t="s">
        <v>1990</v>
      </c>
      <c r="M472" s="1" t="s">
        <v>260</v>
      </c>
      <c r="N472" s="1" t="s">
        <v>357</v>
      </c>
      <c r="O472" s="1" t="s">
        <v>632</v>
      </c>
      <c r="P472" s="1" t="str">
        <f>_xlfn.CONCAT(B472,C472,D472,E472,F472)</f>
        <v>BC Turvania1.4Inverter(MBUS-15)46035,279861111146035,279861111146035,3770833333</v>
      </c>
      <c r="Q472" s="1" t="str">
        <f>_xlfn.CONCAT(H472,I472,J472)</f>
        <v>DAURDE</v>
      </c>
    </row>
    <row r="473" spans="2:17">
      <c r="B473" s="1" t="s">
        <v>701</v>
      </c>
      <c r="C473" s="1" t="s">
        <v>264</v>
      </c>
      <c r="D473" s="52">
        <v>46035.279861111114</v>
      </c>
      <c r="E473" s="52">
        <v>46035.279861111114</v>
      </c>
      <c r="F473" s="52">
        <v>46035.377083333333</v>
      </c>
      <c r="G473" s="53">
        <f>F473-E473</f>
        <v>9.7222222218988463E-2</v>
      </c>
      <c r="H473" s="1" t="s">
        <v>257</v>
      </c>
      <c r="J473" s="1" t="s">
        <v>258</v>
      </c>
      <c r="K473" s="1" t="s">
        <v>658</v>
      </c>
      <c r="L473" s="1" t="s">
        <v>1990</v>
      </c>
      <c r="M473" s="1" t="s">
        <v>260</v>
      </c>
      <c r="N473" s="1" t="s">
        <v>357</v>
      </c>
      <c r="O473" s="1" t="s">
        <v>632</v>
      </c>
      <c r="P473" s="1" t="str">
        <f>_xlfn.CONCAT(B473,C473,D473,E473,F473)</f>
        <v>BC Turvania1.4Inverter(MBUS-13)46035,279861111146035,279861111146035,3770833333</v>
      </c>
      <c r="Q473" s="1" t="str">
        <f>_xlfn.CONCAT(H473,I473,J473)</f>
        <v>DAURDE</v>
      </c>
    </row>
    <row r="474" spans="2:17">
      <c r="B474" s="1" t="s">
        <v>701</v>
      </c>
      <c r="C474" s="1" t="s">
        <v>256</v>
      </c>
      <c r="D474" s="52">
        <v>46035.279861111114</v>
      </c>
      <c r="E474" s="52">
        <v>46035.279861111114</v>
      </c>
      <c r="F474" s="52">
        <v>46035.377083333333</v>
      </c>
      <c r="G474" s="53">
        <f>F474-E474</f>
        <v>9.7222222218988463E-2</v>
      </c>
      <c r="H474" s="1" t="s">
        <v>257</v>
      </c>
      <c r="J474" s="1" t="s">
        <v>258</v>
      </c>
      <c r="K474" s="1" t="s">
        <v>658</v>
      </c>
      <c r="L474" s="1" t="s">
        <v>1990</v>
      </c>
      <c r="M474" s="1" t="s">
        <v>260</v>
      </c>
      <c r="N474" s="1" t="s">
        <v>357</v>
      </c>
      <c r="O474" s="1" t="s">
        <v>632</v>
      </c>
      <c r="P474" s="1" t="str">
        <f>_xlfn.CONCAT(B474,C474,D474,E474,F474)</f>
        <v>BC Turvania1.4Inverter(MBUS-12)46035,279861111146035,279861111146035,3770833333</v>
      </c>
      <c r="Q474" s="1" t="str">
        <f>_xlfn.CONCAT(H474,I474,J474)</f>
        <v>DAURDE</v>
      </c>
    </row>
    <row r="475" spans="2:17">
      <c r="B475" s="1" t="s">
        <v>702</v>
      </c>
      <c r="C475" s="1" t="s">
        <v>264</v>
      </c>
      <c r="D475" s="52">
        <v>46035.279861111114</v>
      </c>
      <c r="E475" s="52">
        <v>46035.279861111114</v>
      </c>
      <c r="F475" s="52">
        <v>46035.377083333333</v>
      </c>
      <c r="G475" s="53">
        <f>F475-E475</f>
        <v>9.7222222218988463E-2</v>
      </c>
      <c r="H475" s="1" t="s">
        <v>257</v>
      </c>
      <c r="J475" s="1" t="s">
        <v>258</v>
      </c>
      <c r="K475" s="1" t="s">
        <v>658</v>
      </c>
      <c r="L475" s="1" t="s">
        <v>1990</v>
      </c>
      <c r="M475" s="1" t="s">
        <v>260</v>
      </c>
      <c r="N475" s="1" t="s">
        <v>357</v>
      </c>
      <c r="O475" s="1" t="s">
        <v>632</v>
      </c>
      <c r="P475" s="1" t="str">
        <f>_xlfn.CONCAT(B475,C475,D475,E475,F475)</f>
        <v>BC Turvania1.5Inverter(MBUS-13)46035,279861111146035,279861111146035,3770833333</v>
      </c>
      <c r="Q475" s="1" t="str">
        <f>_xlfn.CONCAT(H475,I475,J475)</f>
        <v>DAURDE</v>
      </c>
    </row>
    <row r="476" spans="2:17">
      <c r="B476" s="1" t="s">
        <v>702</v>
      </c>
      <c r="C476" s="1" t="s">
        <v>256</v>
      </c>
      <c r="D476" s="52">
        <v>46035.279861111114</v>
      </c>
      <c r="E476" s="52">
        <v>46035.279861111114</v>
      </c>
      <c r="F476" s="52">
        <v>46035.377083333333</v>
      </c>
      <c r="G476" s="53">
        <f>F476-E476</f>
        <v>9.7222222218988463E-2</v>
      </c>
      <c r="H476" s="1" t="s">
        <v>257</v>
      </c>
      <c r="J476" s="1" t="s">
        <v>258</v>
      </c>
      <c r="K476" s="1" t="s">
        <v>658</v>
      </c>
      <c r="L476" s="1" t="s">
        <v>1990</v>
      </c>
      <c r="M476" s="1" t="s">
        <v>260</v>
      </c>
      <c r="N476" s="1" t="s">
        <v>357</v>
      </c>
      <c r="O476" s="1" t="s">
        <v>632</v>
      </c>
      <c r="P476" s="1" t="str">
        <f>_xlfn.CONCAT(B476,C476,D476,E476,F476)</f>
        <v>BC Turvania1.5Inverter(MBUS-12)46035,279861111146035,279861111146035,3770833333</v>
      </c>
      <c r="Q476" s="1" t="str">
        <f>_xlfn.CONCAT(H476,I476,J476)</f>
        <v>DAURDE</v>
      </c>
    </row>
    <row r="477" spans="2:17">
      <c r="B477" s="1" t="s">
        <v>702</v>
      </c>
      <c r="C477" s="1" t="s">
        <v>263</v>
      </c>
      <c r="D477" s="52">
        <v>46035.279861111114</v>
      </c>
      <c r="E477" s="52">
        <v>46035.279861111114</v>
      </c>
      <c r="F477" s="52">
        <v>46035.377083333333</v>
      </c>
      <c r="G477" s="53">
        <f>F477-E477</f>
        <v>9.7222222218988463E-2</v>
      </c>
      <c r="H477" s="1" t="s">
        <v>257</v>
      </c>
      <c r="J477" s="1" t="s">
        <v>258</v>
      </c>
      <c r="K477" s="1" t="s">
        <v>658</v>
      </c>
      <c r="L477" s="1" t="s">
        <v>1990</v>
      </c>
      <c r="M477" s="1" t="s">
        <v>260</v>
      </c>
      <c r="N477" s="1" t="s">
        <v>357</v>
      </c>
      <c r="O477" s="1" t="s">
        <v>632</v>
      </c>
      <c r="P477" s="1" t="str">
        <f>_xlfn.CONCAT(B477,C477,D477,E477,F477)</f>
        <v>BC Turvania1.5Inverter(MBUS-14)46035,279861111146035,279861111146035,3770833333</v>
      </c>
      <c r="Q477" s="1" t="str">
        <f>_xlfn.CONCAT(H477,I477,J477)</f>
        <v>DAURDE</v>
      </c>
    </row>
    <row r="478" spans="2:17">
      <c r="B478" s="1" t="s">
        <v>702</v>
      </c>
      <c r="C478" s="1" t="s">
        <v>247</v>
      </c>
      <c r="D478" s="52">
        <v>46035.279861111114</v>
      </c>
      <c r="E478" s="52">
        <v>46035.279861111114</v>
      </c>
      <c r="F478" s="52">
        <v>46035.377083333333</v>
      </c>
      <c r="G478" s="53">
        <f>F478-E478</f>
        <v>9.7222222218988463E-2</v>
      </c>
      <c r="H478" s="1" t="s">
        <v>257</v>
      </c>
      <c r="J478" s="1" t="s">
        <v>258</v>
      </c>
      <c r="K478" s="1" t="s">
        <v>658</v>
      </c>
      <c r="L478" s="1" t="s">
        <v>1990</v>
      </c>
      <c r="M478" s="1" t="s">
        <v>260</v>
      </c>
      <c r="N478" s="1" t="s">
        <v>357</v>
      </c>
      <c r="O478" s="1" t="s">
        <v>632</v>
      </c>
      <c r="P478" s="1" t="str">
        <f>_xlfn.CONCAT(B478,C478,D478,E478,F478)</f>
        <v>BC Turvania1.5Inverter(MBUS-1)46035,279861111146035,279861111146035,3770833333</v>
      </c>
      <c r="Q478" s="1" t="str">
        <f>_xlfn.CONCAT(H478,I478,J478)</f>
        <v>DAURDE</v>
      </c>
    </row>
    <row r="479" spans="2:17">
      <c r="B479" s="1" t="s">
        <v>375</v>
      </c>
      <c r="C479" s="1" t="s">
        <v>247</v>
      </c>
      <c r="D479" s="52">
        <v>46035.285416666666</v>
      </c>
      <c r="E479" s="52">
        <v>46035.285416666666</v>
      </c>
      <c r="F479" s="52">
        <v>46035.34375</v>
      </c>
      <c r="G479" s="53">
        <f>F479-E479</f>
        <v>5.8333333334303461E-2</v>
      </c>
      <c r="H479" s="1" t="s">
        <v>257</v>
      </c>
      <c r="J479" s="1" t="s">
        <v>258</v>
      </c>
      <c r="K479" s="1" t="s">
        <v>658</v>
      </c>
      <c r="L479" s="1" t="s">
        <v>1962</v>
      </c>
      <c r="M479" s="1" t="s">
        <v>260</v>
      </c>
      <c r="N479" s="1" t="s">
        <v>357</v>
      </c>
      <c r="O479" s="1" t="s">
        <v>632</v>
      </c>
      <c r="P479" s="1" t="str">
        <f>_xlfn.CONCAT(B479,C479,D479,E479,F479)</f>
        <v>BC Camarao1.1Inverter(MBUS-1)46035,285416666746035,285416666746035,34375</v>
      </c>
      <c r="Q479" s="1" t="str">
        <f>_xlfn.CONCAT(H479,I479,J479)</f>
        <v>DAURDE</v>
      </c>
    </row>
    <row r="480" spans="2:17">
      <c r="B480" s="1" t="s">
        <v>375</v>
      </c>
      <c r="C480" s="1" t="s">
        <v>377</v>
      </c>
      <c r="D480" s="52">
        <v>46035.285416666666</v>
      </c>
      <c r="E480" s="52">
        <v>46035.285416666666</v>
      </c>
      <c r="F480" s="52">
        <v>46035.34375</v>
      </c>
      <c r="G480" s="53">
        <f>F480-E480</f>
        <v>5.8333333334303461E-2</v>
      </c>
      <c r="H480" s="1" t="s">
        <v>257</v>
      </c>
      <c r="J480" s="1" t="s">
        <v>258</v>
      </c>
      <c r="K480" s="1" t="s">
        <v>658</v>
      </c>
      <c r="L480" s="1" t="s">
        <v>1962</v>
      </c>
      <c r="M480" s="1" t="s">
        <v>260</v>
      </c>
      <c r="N480" s="1" t="s">
        <v>357</v>
      </c>
      <c r="O480" s="1" t="s">
        <v>632</v>
      </c>
      <c r="P480" s="1" t="str">
        <f>_xlfn.CONCAT(B480,C480,D480,E480,F480)</f>
        <v>BC Camarao1.1215KTL-H3(MBUS-12)46035,285416666746035,285416666746035,34375</v>
      </c>
      <c r="Q480" s="1" t="str">
        <f>_xlfn.CONCAT(H480,I480,J480)</f>
        <v>DAURDE</v>
      </c>
    </row>
    <row r="481" spans="2:17">
      <c r="B481" s="1" t="s">
        <v>375</v>
      </c>
      <c r="C481" s="1" t="s">
        <v>378</v>
      </c>
      <c r="D481" s="52">
        <v>46035.285416666666</v>
      </c>
      <c r="E481" s="52">
        <v>46035.285416666666</v>
      </c>
      <c r="F481" s="52">
        <v>46035.34375</v>
      </c>
      <c r="G481" s="53">
        <f>F481-E481</f>
        <v>5.8333333334303461E-2</v>
      </c>
      <c r="H481" s="1" t="s">
        <v>257</v>
      </c>
      <c r="J481" s="1" t="s">
        <v>258</v>
      </c>
      <c r="K481" s="1" t="s">
        <v>658</v>
      </c>
      <c r="L481" s="1" t="s">
        <v>1962</v>
      </c>
      <c r="M481" s="1" t="s">
        <v>260</v>
      </c>
      <c r="N481" s="1" t="s">
        <v>357</v>
      </c>
      <c r="O481" s="1" t="s">
        <v>632</v>
      </c>
      <c r="P481" s="1" t="str">
        <f>_xlfn.CONCAT(B481,C481,D481,E481,F481)</f>
        <v>BC Camarao1.1215KTL-H3(MBUS-13)46035,285416666746035,285416666746035,34375</v>
      </c>
      <c r="Q481" s="1" t="str">
        <f>_xlfn.CONCAT(H481,I481,J481)</f>
        <v>DAURDE</v>
      </c>
    </row>
    <row r="482" spans="2:17">
      <c r="B482" s="1" t="s">
        <v>375</v>
      </c>
      <c r="C482" s="1" t="s">
        <v>379</v>
      </c>
      <c r="D482" s="52">
        <v>46035.285416666666</v>
      </c>
      <c r="E482" s="52">
        <v>46035.285416666666</v>
      </c>
      <c r="F482" s="52">
        <v>46035.34375</v>
      </c>
      <c r="G482" s="53">
        <f>F482-E482</f>
        <v>5.8333333334303461E-2</v>
      </c>
      <c r="H482" s="1" t="s">
        <v>257</v>
      </c>
      <c r="J482" s="1" t="s">
        <v>258</v>
      </c>
      <c r="K482" s="1" t="s">
        <v>658</v>
      </c>
      <c r="L482" s="1" t="s">
        <v>1962</v>
      </c>
      <c r="M482" s="1" t="s">
        <v>260</v>
      </c>
      <c r="N482" s="1" t="s">
        <v>357</v>
      </c>
      <c r="O482" s="1" t="s">
        <v>632</v>
      </c>
      <c r="P482" s="1" t="str">
        <f>_xlfn.CONCAT(B482,C482,D482,E482,F482)</f>
        <v>BC Camarao1.1215KTL-H3(MBUS-16)46035,285416666746035,285416666746035,34375</v>
      </c>
      <c r="Q482" s="1" t="str">
        <f>_xlfn.CONCAT(H482,I482,J482)</f>
        <v>DAURDE</v>
      </c>
    </row>
    <row r="483" spans="2:17">
      <c r="B483" s="1" t="s">
        <v>375</v>
      </c>
      <c r="C483" s="1" t="s">
        <v>380</v>
      </c>
      <c r="D483" s="52">
        <v>46035.285416666666</v>
      </c>
      <c r="E483" s="52">
        <v>46035.285416666666</v>
      </c>
      <c r="F483" s="52">
        <v>46035.34375</v>
      </c>
      <c r="G483" s="53">
        <f>F483-E483</f>
        <v>5.8333333334303461E-2</v>
      </c>
      <c r="H483" s="1" t="s">
        <v>257</v>
      </c>
      <c r="J483" s="1" t="s">
        <v>258</v>
      </c>
      <c r="K483" s="1" t="s">
        <v>658</v>
      </c>
      <c r="L483" s="1" t="s">
        <v>1962</v>
      </c>
      <c r="M483" s="1" t="s">
        <v>260</v>
      </c>
      <c r="N483" s="1" t="s">
        <v>357</v>
      </c>
      <c r="O483" s="1" t="s">
        <v>632</v>
      </c>
      <c r="P483" s="1" t="str">
        <f>_xlfn.CONCAT(B483,C483,D483,E483,F483)</f>
        <v>BC Camarao1.1215KTL-H3(MBUS-15)46035,285416666746035,285416666746035,34375</v>
      </c>
      <c r="Q483" s="1" t="str">
        <f>_xlfn.CONCAT(H483,I483,J483)</f>
        <v>DAURDE</v>
      </c>
    </row>
    <row r="484" spans="2:17">
      <c r="B484" s="1" t="s">
        <v>387</v>
      </c>
      <c r="C484" s="1" t="s">
        <v>247</v>
      </c>
      <c r="D484" s="52">
        <v>46035.285416666666</v>
      </c>
      <c r="E484" s="52">
        <v>46035.285416666666</v>
      </c>
      <c r="F484" s="52">
        <v>46035.34375</v>
      </c>
      <c r="G484" s="53">
        <f>F484-E484</f>
        <v>5.8333333334303461E-2</v>
      </c>
      <c r="H484" s="1" t="s">
        <v>257</v>
      </c>
      <c r="J484" s="1" t="s">
        <v>258</v>
      </c>
      <c r="K484" s="1" t="s">
        <v>658</v>
      </c>
      <c r="L484" s="1" t="s">
        <v>1962</v>
      </c>
      <c r="M484" s="1" t="s">
        <v>260</v>
      </c>
      <c r="N484" s="1" t="s">
        <v>357</v>
      </c>
      <c r="O484" s="1" t="s">
        <v>632</v>
      </c>
      <c r="P484" s="1" t="str">
        <f>_xlfn.CONCAT(B484,C484,D484,E484,F484)</f>
        <v>BC Camarao1.2Inverter(MBUS-1)46035,285416666746035,285416666746035,34375</v>
      </c>
      <c r="Q484" s="1" t="str">
        <f>_xlfn.CONCAT(H484,I484,J484)</f>
        <v>DAURDE</v>
      </c>
    </row>
    <row r="485" spans="2:17">
      <c r="B485" s="1" t="s">
        <v>387</v>
      </c>
      <c r="C485" s="1" t="s">
        <v>388</v>
      </c>
      <c r="D485" s="52">
        <v>46035.285416666666</v>
      </c>
      <c r="E485" s="52">
        <v>46035.285416666666</v>
      </c>
      <c r="F485" s="52">
        <v>46035.34375</v>
      </c>
      <c r="G485" s="53">
        <f>F485-E485</f>
        <v>5.8333333334303461E-2</v>
      </c>
      <c r="H485" s="1" t="s">
        <v>257</v>
      </c>
      <c r="J485" s="1" t="s">
        <v>258</v>
      </c>
      <c r="K485" s="1" t="s">
        <v>658</v>
      </c>
      <c r="L485" s="1" t="s">
        <v>1962</v>
      </c>
      <c r="M485" s="1" t="s">
        <v>260</v>
      </c>
      <c r="N485" s="1" t="s">
        <v>357</v>
      </c>
      <c r="O485" s="1" t="s">
        <v>632</v>
      </c>
      <c r="P485" s="1" t="str">
        <f>_xlfn.CONCAT(B485,C485,D485,E485,F485)</f>
        <v>BC Camarao1.2Inv. 346035,285416666746035,285416666746035,34375</v>
      </c>
      <c r="Q485" s="1" t="str">
        <f>_xlfn.CONCAT(H485,I485,J485)</f>
        <v>DAURDE</v>
      </c>
    </row>
    <row r="486" spans="2:17">
      <c r="B486" s="1" t="s">
        <v>387</v>
      </c>
      <c r="C486" s="1" t="s">
        <v>389</v>
      </c>
      <c r="D486" s="52">
        <v>46035.285416666666</v>
      </c>
      <c r="E486" s="52">
        <v>46035.285416666666</v>
      </c>
      <c r="F486" s="52">
        <v>46035.34375</v>
      </c>
      <c r="G486" s="53">
        <f>F486-E486</f>
        <v>5.8333333334303461E-2</v>
      </c>
      <c r="H486" s="1" t="s">
        <v>257</v>
      </c>
      <c r="J486" s="1" t="s">
        <v>258</v>
      </c>
      <c r="K486" s="1" t="s">
        <v>658</v>
      </c>
      <c r="L486" s="1" t="s">
        <v>1962</v>
      </c>
      <c r="M486" s="1" t="s">
        <v>260</v>
      </c>
      <c r="N486" s="1" t="s">
        <v>357</v>
      </c>
      <c r="O486" s="1" t="s">
        <v>632</v>
      </c>
      <c r="P486" s="1" t="str">
        <f>_xlfn.CONCAT(B486,C486,D486,E486,F486)</f>
        <v>BC Camarao1.2Inv. 446035,285416666746035,285416666746035,34375</v>
      </c>
      <c r="Q486" s="1" t="str">
        <f>_xlfn.CONCAT(H486,I486,J486)</f>
        <v>DAURDE</v>
      </c>
    </row>
    <row r="487" spans="2:17">
      <c r="B487" s="1" t="s">
        <v>387</v>
      </c>
      <c r="C487" s="1" t="s">
        <v>390</v>
      </c>
      <c r="D487" s="52">
        <v>46035.285416666666</v>
      </c>
      <c r="E487" s="52">
        <v>46035.285416666666</v>
      </c>
      <c r="F487" s="52">
        <v>46035.34375</v>
      </c>
      <c r="G487" s="53">
        <f>F487-E487</f>
        <v>5.8333333334303461E-2</v>
      </c>
      <c r="H487" s="1" t="s">
        <v>257</v>
      </c>
      <c r="J487" s="1" t="s">
        <v>258</v>
      </c>
      <c r="K487" s="1" t="s">
        <v>658</v>
      </c>
      <c r="L487" s="1" t="s">
        <v>1962</v>
      </c>
      <c r="M487" s="1" t="s">
        <v>260</v>
      </c>
      <c r="N487" s="1" t="s">
        <v>357</v>
      </c>
      <c r="O487" s="1" t="s">
        <v>632</v>
      </c>
      <c r="P487" s="1" t="str">
        <f>_xlfn.CONCAT(B487,C487,D487,E487,F487)</f>
        <v>BC Camarao1.2Inverter(MBUS-16)46035,285416666746035,285416666746035,34375</v>
      </c>
      <c r="Q487" s="1" t="str">
        <f>_xlfn.CONCAT(H487,I487,J487)</f>
        <v>DAURDE</v>
      </c>
    </row>
    <row r="488" spans="2:17">
      <c r="B488" s="1" t="s">
        <v>387</v>
      </c>
      <c r="C488" s="1" t="s">
        <v>256</v>
      </c>
      <c r="D488" s="52">
        <v>46035.285416666666</v>
      </c>
      <c r="E488" s="52">
        <v>46035.285416666666</v>
      </c>
      <c r="F488" s="52">
        <v>46035.34375</v>
      </c>
      <c r="G488" s="53">
        <f>F488-E488</f>
        <v>5.8333333334303461E-2</v>
      </c>
      <c r="H488" s="1" t="s">
        <v>257</v>
      </c>
      <c r="J488" s="1" t="s">
        <v>258</v>
      </c>
      <c r="K488" s="1" t="s">
        <v>658</v>
      </c>
      <c r="L488" s="1" t="s">
        <v>1962</v>
      </c>
      <c r="M488" s="1" t="s">
        <v>260</v>
      </c>
      <c r="N488" s="1" t="s">
        <v>357</v>
      </c>
      <c r="O488" s="1" t="s">
        <v>632</v>
      </c>
      <c r="P488" s="1" t="str">
        <f>_xlfn.CONCAT(B488,C488,D488,E488,F488)</f>
        <v>BC Camarao1.2Inverter(MBUS-12)46035,285416666746035,285416666746035,34375</v>
      </c>
      <c r="Q488" s="1" t="str">
        <f>_xlfn.CONCAT(H488,I488,J488)</f>
        <v>DAURDE</v>
      </c>
    </row>
    <row r="489" spans="2:17">
      <c r="B489" s="1" t="s">
        <v>381</v>
      </c>
      <c r="C489" s="1" t="s">
        <v>379</v>
      </c>
      <c r="D489" s="52">
        <v>46035.285416666666</v>
      </c>
      <c r="E489" s="52">
        <v>46035.285416666666</v>
      </c>
      <c r="F489" s="52">
        <v>46035.34375</v>
      </c>
      <c r="G489" s="53">
        <f>F489-E489</f>
        <v>5.8333333334303461E-2</v>
      </c>
      <c r="H489" s="1" t="s">
        <v>257</v>
      </c>
      <c r="J489" s="1" t="s">
        <v>258</v>
      </c>
      <c r="K489" s="1" t="s">
        <v>658</v>
      </c>
      <c r="L489" s="1" t="s">
        <v>1962</v>
      </c>
      <c r="M489" s="1" t="s">
        <v>260</v>
      </c>
      <c r="N489" s="1" t="s">
        <v>357</v>
      </c>
      <c r="O489" s="1" t="s">
        <v>632</v>
      </c>
      <c r="P489" s="1" t="str">
        <f>_xlfn.CONCAT(B489,C489,D489,E489,F489)</f>
        <v>BC Camarao1.3215KTL-H3(MBUS-16)46035,285416666746035,285416666746035,34375</v>
      </c>
      <c r="Q489" s="1" t="str">
        <f>_xlfn.CONCAT(H489,I489,J489)</f>
        <v>DAURDE</v>
      </c>
    </row>
    <row r="490" spans="2:17">
      <c r="B490" s="1" t="s">
        <v>381</v>
      </c>
      <c r="C490" s="1" t="s">
        <v>382</v>
      </c>
      <c r="D490" s="52">
        <v>46035.285416666666</v>
      </c>
      <c r="E490" s="52">
        <v>46035.285416666666</v>
      </c>
      <c r="F490" s="52">
        <v>46035.34375</v>
      </c>
      <c r="G490" s="53">
        <f>F490-E490</f>
        <v>5.8333333334303461E-2</v>
      </c>
      <c r="H490" s="1" t="s">
        <v>257</v>
      </c>
      <c r="J490" s="1" t="s">
        <v>258</v>
      </c>
      <c r="K490" s="1" t="s">
        <v>658</v>
      </c>
      <c r="L490" s="1" t="s">
        <v>1962</v>
      </c>
      <c r="M490" s="1" t="s">
        <v>260</v>
      </c>
      <c r="N490" s="1" t="s">
        <v>357</v>
      </c>
      <c r="O490" s="1" t="s">
        <v>632</v>
      </c>
      <c r="P490" s="1" t="str">
        <f>_xlfn.CONCAT(B490,C490,D490,E490,F490)</f>
        <v>BC Camarao1.3215KTL-H3(MBUS-14)46035,285416666746035,285416666746035,34375</v>
      </c>
      <c r="Q490" s="1" t="str">
        <f>_xlfn.CONCAT(H490,I490,J490)</f>
        <v>DAURDE</v>
      </c>
    </row>
    <row r="491" spans="2:17">
      <c r="B491" s="1" t="s">
        <v>381</v>
      </c>
      <c r="C491" s="1" t="s">
        <v>380</v>
      </c>
      <c r="D491" s="52">
        <v>46035.285416666666</v>
      </c>
      <c r="E491" s="52">
        <v>46035.285416666666</v>
      </c>
      <c r="F491" s="52">
        <v>46035.34375</v>
      </c>
      <c r="G491" s="53">
        <f>F491-E491</f>
        <v>5.8333333334303461E-2</v>
      </c>
      <c r="H491" s="1" t="s">
        <v>257</v>
      </c>
      <c r="J491" s="1" t="s">
        <v>258</v>
      </c>
      <c r="K491" s="1" t="s">
        <v>658</v>
      </c>
      <c r="L491" s="1" t="s">
        <v>1962</v>
      </c>
      <c r="M491" s="1" t="s">
        <v>260</v>
      </c>
      <c r="N491" s="1" t="s">
        <v>357</v>
      </c>
      <c r="O491" s="1" t="s">
        <v>632</v>
      </c>
      <c r="P491" s="1" t="str">
        <f>_xlfn.CONCAT(B491,C491,D491,E491,F491)</f>
        <v>BC Camarao1.3215KTL-H3(MBUS-15)46035,285416666746035,285416666746035,34375</v>
      </c>
      <c r="Q491" s="1" t="str">
        <f>_xlfn.CONCAT(H491,I491,J491)</f>
        <v>DAURDE</v>
      </c>
    </row>
    <row r="492" spans="2:17">
      <c r="B492" s="1" t="s">
        <v>381</v>
      </c>
      <c r="C492" s="1" t="s">
        <v>377</v>
      </c>
      <c r="D492" s="52">
        <v>46035.285416666666</v>
      </c>
      <c r="E492" s="52">
        <v>46035.285416666666</v>
      </c>
      <c r="F492" s="52">
        <v>46035.34375</v>
      </c>
      <c r="G492" s="53">
        <f>F492-E492</f>
        <v>5.8333333334303461E-2</v>
      </c>
      <c r="H492" s="1" t="s">
        <v>257</v>
      </c>
      <c r="J492" s="1" t="s">
        <v>258</v>
      </c>
      <c r="K492" s="1" t="s">
        <v>658</v>
      </c>
      <c r="L492" s="1" t="s">
        <v>1962</v>
      </c>
      <c r="M492" s="1" t="s">
        <v>260</v>
      </c>
      <c r="N492" s="1" t="s">
        <v>357</v>
      </c>
      <c r="O492" s="1" t="s">
        <v>632</v>
      </c>
      <c r="P492" s="1" t="str">
        <f>_xlfn.CONCAT(B492,C492,D492,E492,F492)</f>
        <v>BC Camarao1.3215KTL-H3(MBUS-12)46035,285416666746035,285416666746035,34375</v>
      </c>
      <c r="Q492" s="1" t="str">
        <f>_xlfn.CONCAT(H492,I492,J492)</f>
        <v>DAURDE</v>
      </c>
    </row>
    <row r="493" spans="2:17">
      <c r="B493" s="1" t="s">
        <v>381</v>
      </c>
      <c r="C493" s="1" t="s">
        <v>378</v>
      </c>
      <c r="D493" s="52">
        <v>46035.285416666666</v>
      </c>
      <c r="E493" s="52">
        <v>46035.285416666666</v>
      </c>
      <c r="F493" s="52">
        <v>46035.34375</v>
      </c>
      <c r="G493" s="53">
        <f>F493-E493</f>
        <v>5.8333333334303461E-2</v>
      </c>
      <c r="H493" s="1" t="s">
        <v>257</v>
      </c>
      <c r="J493" s="1" t="s">
        <v>258</v>
      </c>
      <c r="K493" s="1" t="s">
        <v>658</v>
      </c>
      <c r="L493" s="1" t="s">
        <v>1962</v>
      </c>
      <c r="M493" s="1" t="s">
        <v>260</v>
      </c>
      <c r="N493" s="1" t="s">
        <v>357</v>
      </c>
      <c r="O493" s="1" t="s">
        <v>632</v>
      </c>
      <c r="P493" s="1" t="str">
        <f>_xlfn.CONCAT(B493,C493,D493,E493,F493)</f>
        <v>BC Camarao1.3215KTL-H3(MBUS-13)46035,285416666746035,285416666746035,34375</v>
      </c>
      <c r="Q493" s="1" t="str">
        <f>_xlfn.CONCAT(H493,I493,J493)</f>
        <v>DAURDE</v>
      </c>
    </row>
    <row r="494" spans="2:17">
      <c r="B494" s="1" t="s">
        <v>391</v>
      </c>
      <c r="C494" s="1" t="s">
        <v>392</v>
      </c>
      <c r="D494" s="52">
        <v>46035.285416666666</v>
      </c>
      <c r="E494" s="52">
        <v>46035.285416666666</v>
      </c>
      <c r="F494" s="52">
        <v>46035.34375</v>
      </c>
      <c r="G494" s="53">
        <f>F494-E494</f>
        <v>5.8333333334303461E-2</v>
      </c>
      <c r="H494" s="1" t="s">
        <v>257</v>
      </c>
      <c r="J494" s="1" t="s">
        <v>258</v>
      </c>
      <c r="K494" s="1" t="s">
        <v>658</v>
      </c>
      <c r="L494" s="1" t="s">
        <v>1962</v>
      </c>
      <c r="M494" s="1" t="s">
        <v>260</v>
      </c>
      <c r="N494" s="1" t="s">
        <v>357</v>
      </c>
      <c r="O494" s="1" t="s">
        <v>632</v>
      </c>
      <c r="P494" s="1" t="str">
        <f>_xlfn.CONCAT(B494,C494,D494,E494,F494)</f>
        <v>BC Camarao1.4INV-6T22A904138146035,285416666746035,285416666746035,34375</v>
      </c>
      <c r="Q494" s="1" t="str">
        <f>_xlfn.CONCAT(H494,I494,J494)</f>
        <v>DAURDE</v>
      </c>
    </row>
    <row r="495" spans="2:17">
      <c r="B495" s="1" t="s">
        <v>391</v>
      </c>
      <c r="C495" s="1" t="s">
        <v>382</v>
      </c>
      <c r="D495" s="52">
        <v>46035.285416666666</v>
      </c>
      <c r="E495" s="52">
        <v>46035.285416666666</v>
      </c>
      <c r="F495" s="52">
        <v>46035.34375</v>
      </c>
      <c r="G495" s="53">
        <f>F495-E495</f>
        <v>5.8333333334303461E-2</v>
      </c>
      <c r="H495" s="1" t="s">
        <v>257</v>
      </c>
      <c r="J495" s="1" t="s">
        <v>258</v>
      </c>
      <c r="K495" s="1" t="s">
        <v>658</v>
      </c>
      <c r="L495" s="1" t="s">
        <v>1962</v>
      </c>
      <c r="M495" s="1" t="s">
        <v>260</v>
      </c>
      <c r="N495" s="1" t="s">
        <v>357</v>
      </c>
      <c r="O495" s="1" t="s">
        <v>632</v>
      </c>
      <c r="P495" s="1" t="str">
        <f>_xlfn.CONCAT(B495,C495,D495,E495,F495)</f>
        <v>BC Camarao1.4215KTL-H3(MBUS-14)46035,285416666746035,285416666746035,34375</v>
      </c>
      <c r="Q495" s="1" t="str">
        <f>_xlfn.CONCAT(H495,I495,J495)</f>
        <v>DAURDE</v>
      </c>
    </row>
    <row r="496" spans="2:17">
      <c r="B496" s="1" t="s">
        <v>391</v>
      </c>
      <c r="C496" s="1" t="s">
        <v>378</v>
      </c>
      <c r="D496" s="52">
        <v>46035.285416666666</v>
      </c>
      <c r="E496" s="52">
        <v>46035.285416666666</v>
      </c>
      <c r="F496" s="52">
        <v>46035.34375</v>
      </c>
      <c r="G496" s="53">
        <f>F496-E496</f>
        <v>5.8333333334303461E-2</v>
      </c>
      <c r="H496" s="1" t="s">
        <v>257</v>
      </c>
      <c r="J496" s="1" t="s">
        <v>258</v>
      </c>
      <c r="K496" s="1" t="s">
        <v>658</v>
      </c>
      <c r="L496" s="1" t="s">
        <v>1962</v>
      </c>
      <c r="M496" s="1" t="s">
        <v>260</v>
      </c>
      <c r="N496" s="1" t="s">
        <v>357</v>
      </c>
      <c r="O496" s="1" t="s">
        <v>632</v>
      </c>
      <c r="P496" s="1" t="str">
        <f>_xlfn.CONCAT(B496,C496,D496,E496,F496)</f>
        <v>BC Camarao1.4215KTL-H3(MBUS-13)46035,285416666746035,285416666746035,34375</v>
      </c>
      <c r="Q496" s="1" t="str">
        <f>_xlfn.CONCAT(H496,I496,J496)</f>
        <v>DAURDE</v>
      </c>
    </row>
    <row r="497" spans="2:17">
      <c r="B497" s="1" t="s">
        <v>391</v>
      </c>
      <c r="C497" s="1" t="s">
        <v>379</v>
      </c>
      <c r="D497" s="52">
        <v>46035.285416666666</v>
      </c>
      <c r="E497" s="52">
        <v>46035.285416666666</v>
      </c>
      <c r="F497" s="52">
        <v>46035.34375</v>
      </c>
      <c r="G497" s="53">
        <f>F497-E497</f>
        <v>5.8333333334303461E-2</v>
      </c>
      <c r="H497" s="1" t="s">
        <v>257</v>
      </c>
      <c r="J497" s="1" t="s">
        <v>258</v>
      </c>
      <c r="K497" s="1" t="s">
        <v>658</v>
      </c>
      <c r="L497" s="1" t="s">
        <v>1962</v>
      </c>
      <c r="M497" s="1" t="s">
        <v>260</v>
      </c>
      <c r="N497" s="1" t="s">
        <v>357</v>
      </c>
      <c r="O497" s="1" t="s">
        <v>632</v>
      </c>
      <c r="P497" s="1" t="str">
        <f>_xlfn.CONCAT(B497,C497,D497,E497,F497)</f>
        <v>BC Camarao1.4215KTL-H3(MBUS-16)46035,285416666746035,285416666746035,34375</v>
      </c>
      <c r="Q497" s="1" t="str">
        <f>_xlfn.CONCAT(H497,I497,J497)</f>
        <v>DAURDE</v>
      </c>
    </row>
    <row r="498" spans="2:17">
      <c r="B498" s="1" t="s">
        <v>391</v>
      </c>
      <c r="C498" s="1" t="s">
        <v>380</v>
      </c>
      <c r="D498" s="52">
        <v>46035.285416666666</v>
      </c>
      <c r="E498" s="52">
        <v>46035.285416666666</v>
      </c>
      <c r="F498" s="52">
        <v>46035.34375</v>
      </c>
      <c r="G498" s="53">
        <f>F498-E498</f>
        <v>5.8333333334303461E-2</v>
      </c>
      <c r="H498" s="1" t="s">
        <v>257</v>
      </c>
      <c r="J498" s="1" t="s">
        <v>258</v>
      </c>
      <c r="K498" s="1" t="s">
        <v>658</v>
      </c>
      <c r="L498" s="1" t="s">
        <v>1962</v>
      </c>
      <c r="M498" s="1" t="s">
        <v>260</v>
      </c>
      <c r="N498" s="1" t="s">
        <v>357</v>
      </c>
      <c r="O498" s="1" t="s">
        <v>632</v>
      </c>
      <c r="P498" s="1" t="str">
        <f>_xlfn.CONCAT(B498,C498,D498,E498,F498)</f>
        <v>BC Camarao1.4215KTL-H3(MBUS-15)46035,285416666746035,285416666746035,34375</v>
      </c>
      <c r="Q498" s="1" t="str">
        <f>_xlfn.CONCAT(H498,I498,J498)</f>
        <v>DAURDE</v>
      </c>
    </row>
    <row r="499" spans="2:17">
      <c r="B499" s="1" t="s">
        <v>519</v>
      </c>
      <c r="C499" s="1" t="s">
        <v>380</v>
      </c>
      <c r="D499" s="52">
        <v>46035.285416666666</v>
      </c>
      <c r="E499" s="52">
        <v>46035.285416666666</v>
      </c>
      <c r="F499" s="52">
        <v>46035.34375</v>
      </c>
      <c r="G499" s="53">
        <f>F499-E499</f>
        <v>5.8333333334303461E-2</v>
      </c>
      <c r="H499" s="1" t="s">
        <v>257</v>
      </c>
      <c r="J499" s="1" t="s">
        <v>258</v>
      </c>
      <c r="K499" s="1" t="s">
        <v>658</v>
      </c>
      <c r="L499" s="1" t="s">
        <v>1962</v>
      </c>
      <c r="M499" s="1" t="s">
        <v>260</v>
      </c>
      <c r="N499" s="1" t="s">
        <v>357</v>
      </c>
      <c r="O499" s="1" t="s">
        <v>632</v>
      </c>
      <c r="P499" s="1" t="str">
        <f>_xlfn.CONCAT(B499,C499,D499,E499,F499)</f>
        <v>BC Camarao1.5215KTL-H3(MBUS-15)46035,285416666746035,285416666746035,34375</v>
      </c>
      <c r="Q499" s="1" t="str">
        <f>_xlfn.CONCAT(H499,I499,J499)</f>
        <v>DAURDE</v>
      </c>
    </row>
    <row r="500" spans="2:17">
      <c r="B500" s="1" t="s">
        <v>519</v>
      </c>
      <c r="C500" s="1" t="s">
        <v>378</v>
      </c>
      <c r="D500" s="52">
        <v>46035.285416666666</v>
      </c>
      <c r="E500" s="52">
        <v>46035.285416666666</v>
      </c>
      <c r="F500" s="52">
        <v>46035.34375</v>
      </c>
      <c r="G500" s="53">
        <f>F500-E500</f>
        <v>5.8333333334303461E-2</v>
      </c>
      <c r="H500" s="1" t="s">
        <v>257</v>
      </c>
      <c r="J500" s="1" t="s">
        <v>258</v>
      </c>
      <c r="K500" s="1" t="s">
        <v>658</v>
      </c>
      <c r="L500" s="1" t="s">
        <v>1962</v>
      </c>
      <c r="M500" s="1" t="s">
        <v>260</v>
      </c>
      <c r="N500" s="1" t="s">
        <v>357</v>
      </c>
      <c r="O500" s="1" t="s">
        <v>632</v>
      </c>
      <c r="P500" s="1" t="str">
        <f>_xlfn.CONCAT(B500,C500,D500,E500,F500)</f>
        <v>BC Camarao1.5215KTL-H3(MBUS-13)46035,285416666746035,285416666746035,34375</v>
      </c>
      <c r="Q500" s="1" t="str">
        <f>_xlfn.CONCAT(H500,I500,J500)</f>
        <v>DAURDE</v>
      </c>
    </row>
    <row r="501" spans="2:17">
      <c r="B501" s="1" t="s">
        <v>519</v>
      </c>
      <c r="C501" s="1" t="s">
        <v>377</v>
      </c>
      <c r="D501" s="52">
        <v>46035.285416666666</v>
      </c>
      <c r="E501" s="52">
        <v>46035.285416666666</v>
      </c>
      <c r="F501" s="52">
        <v>46035.34375</v>
      </c>
      <c r="G501" s="53">
        <f>F501-E501</f>
        <v>5.8333333334303461E-2</v>
      </c>
      <c r="H501" s="1" t="s">
        <v>257</v>
      </c>
      <c r="J501" s="1" t="s">
        <v>258</v>
      </c>
      <c r="K501" s="1" t="s">
        <v>658</v>
      </c>
      <c r="L501" s="1" t="s">
        <v>1962</v>
      </c>
      <c r="M501" s="1" t="s">
        <v>260</v>
      </c>
      <c r="N501" s="1" t="s">
        <v>357</v>
      </c>
      <c r="O501" s="1" t="s">
        <v>632</v>
      </c>
      <c r="P501" s="1" t="str">
        <f>_xlfn.CONCAT(B501,C501,D501,E501,F501)</f>
        <v>BC Camarao1.5215KTL-H3(MBUS-12)46035,285416666746035,285416666746035,34375</v>
      </c>
      <c r="Q501" s="1" t="str">
        <f>_xlfn.CONCAT(H501,I501,J501)</f>
        <v>DAURDE</v>
      </c>
    </row>
    <row r="502" spans="2:17">
      <c r="B502" s="1" t="s">
        <v>519</v>
      </c>
      <c r="C502" s="1" t="s">
        <v>520</v>
      </c>
      <c r="D502" s="52">
        <v>46035.285416666666</v>
      </c>
      <c r="E502" s="52">
        <v>46035.285416666666</v>
      </c>
      <c r="F502" s="52">
        <v>46035.34375</v>
      </c>
      <c r="G502" s="53">
        <f>F502-E502</f>
        <v>5.8333333334303461E-2</v>
      </c>
      <c r="H502" s="1" t="s">
        <v>257</v>
      </c>
      <c r="J502" s="1" t="s">
        <v>258</v>
      </c>
      <c r="K502" s="1" t="s">
        <v>658</v>
      </c>
      <c r="L502" s="1" t="s">
        <v>1962</v>
      </c>
      <c r="M502" s="1" t="s">
        <v>260</v>
      </c>
      <c r="N502" s="1" t="s">
        <v>357</v>
      </c>
      <c r="O502" s="1" t="s">
        <v>632</v>
      </c>
      <c r="P502" s="1" t="str">
        <f>_xlfn.CONCAT(B502,C502,D502,E502,F502)</f>
        <v>BC Camarao1.5215KTL-H3(MBUS-1)46035,285416666746035,285416666746035,34375</v>
      </c>
      <c r="Q502" s="1" t="str">
        <f>_xlfn.CONCAT(H502,I502,J502)</f>
        <v>DAURDE</v>
      </c>
    </row>
    <row r="503" spans="2:17">
      <c r="B503" s="1" t="s">
        <v>519</v>
      </c>
      <c r="C503" s="1" t="s">
        <v>382</v>
      </c>
      <c r="D503" s="52">
        <v>46035.285416666666</v>
      </c>
      <c r="E503" s="52">
        <v>46035.285416666666</v>
      </c>
      <c r="F503" s="52">
        <v>46035.34375</v>
      </c>
      <c r="G503" s="53">
        <f>F503-E503</f>
        <v>5.8333333334303461E-2</v>
      </c>
      <c r="H503" s="1" t="s">
        <v>257</v>
      </c>
      <c r="J503" s="1" t="s">
        <v>258</v>
      </c>
      <c r="K503" s="1" t="s">
        <v>658</v>
      </c>
      <c r="L503" s="1" t="s">
        <v>1962</v>
      </c>
      <c r="M503" s="1" t="s">
        <v>260</v>
      </c>
      <c r="N503" s="1" t="s">
        <v>357</v>
      </c>
      <c r="O503" s="1" t="s">
        <v>632</v>
      </c>
      <c r="P503" s="1" t="str">
        <f>_xlfn.CONCAT(B503,C503,D503,E503,F503)</f>
        <v>BC Camarao1.5215KTL-H3(MBUS-14)46035,285416666746035,285416666746035,34375</v>
      </c>
      <c r="Q503" s="1" t="str">
        <f>_xlfn.CONCAT(H503,I503,J503)</f>
        <v>DAURDE</v>
      </c>
    </row>
    <row r="504" spans="2:17">
      <c r="B504" s="1" t="s">
        <v>255</v>
      </c>
      <c r="C504" s="1" t="s">
        <v>263</v>
      </c>
      <c r="D504" s="52">
        <v>46035.296527777777</v>
      </c>
      <c r="E504" s="52">
        <v>46035.296527777777</v>
      </c>
      <c r="F504" s="52">
        <v>46036.444444444445</v>
      </c>
      <c r="G504" s="53">
        <f>F504-E504</f>
        <v>1.1479166666686069</v>
      </c>
      <c r="H504" s="1" t="s">
        <v>257</v>
      </c>
      <c r="J504" s="1" t="s">
        <v>371</v>
      </c>
      <c r="K504" s="1" t="s">
        <v>653</v>
      </c>
      <c r="L504" s="1" t="s">
        <v>1991</v>
      </c>
      <c r="M504" s="1" t="s">
        <v>252</v>
      </c>
      <c r="N504" s="1" t="s">
        <v>253</v>
      </c>
      <c r="O504" s="1" t="s">
        <v>723</v>
      </c>
      <c r="P504" s="1" t="str">
        <f>_xlfn.CONCAT(B504,C504,D504,E504,F504)</f>
        <v>BC Formoso2.1Inverter(MBUS-14)46035,296527777846035,296527777846036,4444444444</v>
      </c>
      <c r="Q504" s="1" t="str">
        <f>_xlfn.CONCAT(H504,I504,J504)</f>
        <v>DAUINV</v>
      </c>
    </row>
    <row r="505" spans="2:17">
      <c r="B505" s="1" t="s">
        <v>375</v>
      </c>
      <c r="C505" s="1" t="s">
        <v>247</v>
      </c>
      <c r="D505" s="52">
        <v>46035.395833333336</v>
      </c>
      <c r="E505" s="52">
        <v>46035.395833333336</v>
      </c>
      <c r="F505" s="52">
        <v>46035.465277777781</v>
      </c>
      <c r="G505" s="53">
        <f>F505-E505</f>
        <v>6.9444444445252884E-2</v>
      </c>
      <c r="H505" s="1" t="s">
        <v>257</v>
      </c>
      <c r="J505" s="1" t="s">
        <v>258</v>
      </c>
      <c r="K505" s="1" t="s">
        <v>658</v>
      </c>
      <c r="L505" s="1" t="s">
        <v>1962</v>
      </c>
      <c r="M505" s="1" t="s">
        <v>260</v>
      </c>
      <c r="N505" s="1" t="s">
        <v>357</v>
      </c>
      <c r="O505" s="1" t="s">
        <v>632</v>
      </c>
      <c r="P505" s="1" t="str">
        <f>_xlfn.CONCAT(B505,C505,D505,E505,F505)</f>
        <v>BC Camarao1.1Inverter(MBUS-1)46035,395833333346035,395833333346035,4652777778</v>
      </c>
      <c r="Q505" s="1" t="str">
        <f>_xlfn.CONCAT(H505,I505,J505)</f>
        <v>DAURDE</v>
      </c>
    </row>
    <row r="506" spans="2:17">
      <c r="B506" s="1" t="s">
        <v>375</v>
      </c>
      <c r="C506" s="1" t="s">
        <v>377</v>
      </c>
      <c r="D506" s="52">
        <v>46035.395833333336</v>
      </c>
      <c r="E506" s="52">
        <v>46035.395833333336</v>
      </c>
      <c r="F506" s="52">
        <v>46035.465277777781</v>
      </c>
      <c r="G506" s="53">
        <f>F506-E506</f>
        <v>6.9444444445252884E-2</v>
      </c>
      <c r="H506" s="1" t="s">
        <v>257</v>
      </c>
      <c r="J506" s="1" t="s">
        <v>258</v>
      </c>
      <c r="K506" s="1" t="s">
        <v>658</v>
      </c>
      <c r="L506" s="1" t="s">
        <v>1962</v>
      </c>
      <c r="M506" s="1" t="s">
        <v>260</v>
      </c>
      <c r="N506" s="1" t="s">
        <v>357</v>
      </c>
      <c r="O506" s="1" t="s">
        <v>632</v>
      </c>
      <c r="P506" s="1" t="str">
        <f>_xlfn.CONCAT(B506,C506,D506,E506,F506)</f>
        <v>BC Camarao1.1215KTL-H3(MBUS-12)46035,395833333346035,395833333346035,4652777778</v>
      </c>
      <c r="Q506" s="1" t="str">
        <f>_xlfn.CONCAT(H506,I506,J506)</f>
        <v>DAURDE</v>
      </c>
    </row>
    <row r="507" spans="2:17">
      <c r="B507" s="1" t="s">
        <v>375</v>
      </c>
      <c r="C507" s="1" t="s">
        <v>378</v>
      </c>
      <c r="D507" s="52">
        <v>46035.395833333336</v>
      </c>
      <c r="E507" s="52">
        <v>46035.395833333336</v>
      </c>
      <c r="F507" s="52">
        <v>46035.465277777781</v>
      </c>
      <c r="G507" s="53">
        <f>F507-E507</f>
        <v>6.9444444445252884E-2</v>
      </c>
      <c r="H507" s="1" t="s">
        <v>257</v>
      </c>
      <c r="J507" s="1" t="s">
        <v>258</v>
      </c>
      <c r="K507" s="1" t="s">
        <v>658</v>
      </c>
      <c r="L507" s="1" t="s">
        <v>1962</v>
      </c>
      <c r="M507" s="1" t="s">
        <v>260</v>
      </c>
      <c r="N507" s="1" t="s">
        <v>357</v>
      </c>
      <c r="O507" s="1" t="s">
        <v>632</v>
      </c>
      <c r="P507" s="1" t="str">
        <f>_xlfn.CONCAT(B507,C507,D507,E507,F507)</f>
        <v>BC Camarao1.1215KTL-H3(MBUS-13)46035,395833333346035,395833333346035,4652777778</v>
      </c>
      <c r="Q507" s="1" t="str">
        <f>_xlfn.CONCAT(H507,I507,J507)</f>
        <v>DAURDE</v>
      </c>
    </row>
    <row r="508" spans="2:17">
      <c r="B508" s="1" t="s">
        <v>375</v>
      </c>
      <c r="C508" s="1" t="s">
        <v>379</v>
      </c>
      <c r="D508" s="52">
        <v>46035.395833333336</v>
      </c>
      <c r="E508" s="52">
        <v>46035.395833333336</v>
      </c>
      <c r="F508" s="52">
        <v>46035.465277777781</v>
      </c>
      <c r="G508" s="53">
        <f>F508-E508</f>
        <v>6.9444444445252884E-2</v>
      </c>
      <c r="H508" s="1" t="s">
        <v>257</v>
      </c>
      <c r="J508" s="1" t="s">
        <v>258</v>
      </c>
      <c r="K508" s="1" t="s">
        <v>658</v>
      </c>
      <c r="L508" s="1" t="s">
        <v>1962</v>
      </c>
      <c r="M508" s="1" t="s">
        <v>260</v>
      </c>
      <c r="N508" s="1" t="s">
        <v>357</v>
      </c>
      <c r="O508" s="1" t="s">
        <v>632</v>
      </c>
      <c r="P508" s="1" t="str">
        <f>_xlfn.CONCAT(B508,C508,D508,E508,F508)</f>
        <v>BC Camarao1.1215KTL-H3(MBUS-16)46035,395833333346035,395833333346035,4652777778</v>
      </c>
      <c r="Q508" s="1" t="str">
        <f>_xlfn.CONCAT(H508,I508,J508)</f>
        <v>DAURDE</v>
      </c>
    </row>
    <row r="509" spans="2:17">
      <c r="B509" s="1" t="s">
        <v>375</v>
      </c>
      <c r="C509" s="1" t="s">
        <v>380</v>
      </c>
      <c r="D509" s="52">
        <v>46035.395833333336</v>
      </c>
      <c r="E509" s="52">
        <v>46035.395833333336</v>
      </c>
      <c r="F509" s="52">
        <v>46035.465277777781</v>
      </c>
      <c r="G509" s="53">
        <f>F509-E509</f>
        <v>6.9444444445252884E-2</v>
      </c>
      <c r="H509" s="1" t="s">
        <v>257</v>
      </c>
      <c r="J509" s="1" t="s">
        <v>258</v>
      </c>
      <c r="K509" s="1" t="s">
        <v>658</v>
      </c>
      <c r="L509" s="1" t="s">
        <v>1962</v>
      </c>
      <c r="M509" s="1" t="s">
        <v>260</v>
      </c>
      <c r="N509" s="1" t="s">
        <v>357</v>
      </c>
      <c r="O509" s="1" t="s">
        <v>632</v>
      </c>
      <c r="P509" s="1" t="str">
        <f>_xlfn.CONCAT(B509,C509,D509,E509,F509)</f>
        <v>BC Camarao1.1215KTL-H3(MBUS-15)46035,395833333346035,395833333346035,4652777778</v>
      </c>
      <c r="Q509" s="1" t="str">
        <f>_xlfn.CONCAT(H509,I509,J509)</f>
        <v>DAURDE</v>
      </c>
    </row>
    <row r="510" spans="2:17">
      <c r="B510" s="1" t="s">
        <v>387</v>
      </c>
      <c r="C510" s="1" t="s">
        <v>247</v>
      </c>
      <c r="D510" s="52">
        <v>46035.395833333336</v>
      </c>
      <c r="E510" s="52">
        <v>46035.395833333336</v>
      </c>
      <c r="F510" s="52">
        <v>46035.465277777781</v>
      </c>
      <c r="G510" s="53">
        <f>F510-E510</f>
        <v>6.9444444445252884E-2</v>
      </c>
      <c r="H510" s="1" t="s">
        <v>257</v>
      </c>
      <c r="J510" s="1" t="s">
        <v>258</v>
      </c>
      <c r="K510" s="1" t="s">
        <v>658</v>
      </c>
      <c r="L510" s="1" t="s">
        <v>1962</v>
      </c>
      <c r="M510" s="1" t="s">
        <v>260</v>
      </c>
      <c r="N510" s="1" t="s">
        <v>357</v>
      </c>
      <c r="O510" s="1" t="s">
        <v>632</v>
      </c>
      <c r="P510" s="1" t="str">
        <f>_xlfn.CONCAT(B510,C510,D510,E510,F510)</f>
        <v>BC Camarao1.2Inverter(MBUS-1)46035,395833333346035,395833333346035,4652777778</v>
      </c>
      <c r="Q510" s="1" t="str">
        <f>_xlfn.CONCAT(H510,I510,J510)</f>
        <v>DAURDE</v>
      </c>
    </row>
    <row r="511" spans="2:17">
      <c r="B511" s="1" t="s">
        <v>387</v>
      </c>
      <c r="C511" s="1" t="s">
        <v>388</v>
      </c>
      <c r="D511" s="52">
        <v>46035.395833333336</v>
      </c>
      <c r="E511" s="52">
        <v>46035.395833333336</v>
      </c>
      <c r="F511" s="52">
        <v>46035.465277777781</v>
      </c>
      <c r="G511" s="53">
        <f>F511-E511</f>
        <v>6.9444444445252884E-2</v>
      </c>
      <c r="H511" s="1" t="s">
        <v>257</v>
      </c>
      <c r="J511" s="1" t="s">
        <v>258</v>
      </c>
      <c r="K511" s="1" t="s">
        <v>658</v>
      </c>
      <c r="L511" s="1" t="s">
        <v>1962</v>
      </c>
      <c r="M511" s="1" t="s">
        <v>260</v>
      </c>
      <c r="N511" s="1" t="s">
        <v>357</v>
      </c>
      <c r="O511" s="1" t="s">
        <v>632</v>
      </c>
      <c r="P511" s="1" t="str">
        <f>_xlfn.CONCAT(B511,C511,D511,E511,F511)</f>
        <v>BC Camarao1.2Inv. 346035,395833333346035,395833333346035,4652777778</v>
      </c>
      <c r="Q511" s="1" t="str">
        <f>_xlfn.CONCAT(H511,I511,J511)</f>
        <v>DAURDE</v>
      </c>
    </row>
    <row r="512" spans="2:17">
      <c r="B512" s="1" t="s">
        <v>387</v>
      </c>
      <c r="C512" s="1" t="s">
        <v>389</v>
      </c>
      <c r="D512" s="52">
        <v>46035.395833333336</v>
      </c>
      <c r="E512" s="52">
        <v>46035.395833333336</v>
      </c>
      <c r="F512" s="52">
        <v>46035.465277777781</v>
      </c>
      <c r="G512" s="53">
        <f>F512-E512</f>
        <v>6.9444444445252884E-2</v>
      </c>
      <c r="H512" s="1" t="s">
        <v>257</v>
      </c>
      <c r="J512" s="1" t="s">
        <v>258</v>
      </c>
      <c r="K512" s="1" t="s">
        <v>658</v>
      </c>
      <c r="L512" s="1" t="s">
        <v>1962</v>
      </c>
      <c r="M512" s="1" t="s">
        <v>260</v>
      </c>
      <c r="N512" s="1" t="s">
        <v>357</v>
      </c>
      <c r="O512" s="1" t="s">
        <v>632</v>
      </c>
      <c r="P512" s="1" t="str">
        <f>_xlfn.CONCAT(B512,C512,D512,E512,F512)</f>
        <v>BC Camarao1.2Inv. 446035,395833333346035,395833333346035,4652777778</v>
      </c>
      <c r="Q512" s="1" t="str">
        <f>_xlfn.CONCAT(H512,I512,J512)</f>
        <v>DAURDE</v>
      </c>
    </row>
    <row r="513" spans="2:17">
      <c r="B513" s="1" t="s">
        <v>387</v>
      </c>
      <c r="C513" s="1" t="s">
        <v>390</v>
      </c>
      <c r="D513" s="52">
        <v>46035.395833333336</v>
      </c>
      <c r="E513" s="52">
        <v>46035.395833333336</v>
      </c>
      <c r="F513" s="52">
        <v>46035.465277777781</v>
      </c>
      <c r="G513" s="53">
        <f>F513-E513</f>
        <v>6.9444444445252884E-2</v>
      </c>
      <c r="H513" s="1" t="s">
        <v>257</v>
      </c>
      <c r="J513" s="1" t="s">
        <v>258</v>
      </c>
      <c r="K513" s="1" t="s">
        <v>658</v>
      </c>
      <c r="L513" s="1" t="s">
        <v>1962</v>
      </c>
      <c r="M513" s="1" t="s">
        <v>260</v>
      </c>
      <c r="N513" s="1" t="s">
        <v>357</v>
      </c>
      <c r="O513" s="1" t="s">
        <v>632</v>
      </c>
      <c r="P513" s="1" t="str">
        <f>_xlfn.CONCAT(B513,C513,D513,E513,F513)</f>
        <v>BC Camarao1.2Inverter(MBUS-16)46035,395833333346035,395833333346035,4652777778</v>
      </c>
      <c r="Q513" s="1" t="str">
        <f>_xlfn.CONCAT(H513,I513,J513)</f>
        <v>DAURDE</v>
      </c>
    </row>
    <row r="514" spans="2:17">
      <c r="B514" s="1" t="s">
        <v>387</v>
      </c>
      <c r="C514" s="1" t="s">
        <v>256</v>
      </c>
      <c r="D514" s="52">
        <v>46035.395833333336</v>
      </c>
      <c r="E514" s="52">
        <v>46035.395833333336</v>
      </c>
      <c r="F514" s="52">
        <v>46035.465277777781</v>
      </c>
      <c r="G514" s="53">
        <f>F514-E514</f>
        <v>6.9444444445252884E-2</v>
      </c>
      <c r="H514" s="1" t="s">
        <v>257</v>
      </c>
      <c r="J514" s="1" t="s">
        <v>258</v>
      </c>
      <c r="K514" s="1" t="s">
        <v>658</v>
      </c>
      <c r="L514" s="1" t="s">
        <v>1962</v>
      </c>
      <c r="M514" s="1" t="s">
        <v>260</v>
      </c>
      <c r="N514" s="1" t="s">
        <v>357</v>
      </c>
      <c r="O514" s="1" t="s">
        <v>632</v>
      </c>
      <c r="P514" s="1" t="str">
        <f>_xlfn.CONCAT(B514,C514,D514,E514,F514)</f>
        <v>BC Camarao1.2Inverter(MBUS-12)46035,395833333346035,395833333346035,4652777778</v>
      </c>
      <c r="Q514" s="1" t="str">
        <f>_xlfn.CONCAT(H514,I514,J514)</f>
        <v>DAURDE</v>
      </c>
    </row>
    <row r="515" spans="2:17">
      <c r="B515" s="1" t="s">
        <v>381</v>
      </c>
      <c r="C515" s="1" t="s">
        <v>379</v>
      </c>
      <c r="D515" s="52">
        <v>46035.395833333336</v>
      </c>
      <c r="E515" s="52">
        <v>46035.395833333336</v>
      </c>
      <c r="F515" s="52">
        <v>46035.465277777781</v>
      </c>
      <c r="G515" s="53">
        <f>F515-E515</f>
        <v>6.9444444445252884E-2</v>
      </c>
      <c r="H515" s="1" t="s">
        <v>257</v>
      </c>
      <c r="J515" s="1" t="s">
        <v>258</v>
      </c>
      <c r="K515" s="1" t="s">
        <v>658</v>
      </c>
      <c r="L515" s="1" t="s">
        <v>1962</v>
      </c>
      <c r="M515" s="1" t="s">
        <v>260</v>
      </c>
      <c r="N515" s="1" t="s">
        <v>357</v>
      </c>
      <c r="O515" s="1" t="s">
        <v>632</v>
      </c>
      <c r="P515" s="1" t="str">
        <f>_xlfn.CONCAT(B515,C515,D515,E515,F515)</f>
        <v>BC Camarao1.3215KTL-H3(MBUS-16)46035,395833333346035,395833333346035,4652777778</v>
      </c>
      <c r="Q515" s="1" t="str">
        <f>_xlfn.CONCAT(H515,I515,J515)</f>
        <v>DAURDE</v>
      </c>
    </row>
    <row r="516" spans="2:17">
      <c r="B516" s="1" t="s">
        <v>381</v>
      </c>
      <c r="C516" s="1" t="s">
        <v>382</v>
      </c>
      <c r="D516" s="52">
        <v>46035.395833333336</v>
      </c>
      <c r="E516" s="52">
        <v>46035.395833333336</v>
      </c>
      <c r="F516" s="52">
        <v>46035.465277777781</v>
      </c>
      <c r="G516" s="53">
        <f>F516-E516</f>
        <v>6.9444444445252884E-2</v>
      </c>
      <c r="H516" s="1" t="s">
        <v>257</v>
      </c>
      <c r="J516" s="1" t="s">
        <v>258</v>
      </c>
      <c r="K516" s="1" t="s">
        <v>658</v>
      </c>
      <c r="L516" s="1" t="s">
        <v>1962</v>
      </c>
      <c r="M516" s="1" t="s">
        <v>260</v>
      </c>
      <c r="N516" s="1" t="s">
        <v>357</v>
      </c>
      <c r="O516" s="1" t="s">
        <v>632</v>
      </c>
      <c r="P516" s="1" t="str">
        <f>_xlfn.CONCAT(B516,C516,D516,E516,F516)</f>
        <v>BC Camarao1.3215KTL-H3(MBUS-14)46035,395833333346035,395833333346035,4652777778</v>
      </c>
      <c r="Q516" s="1" t="str">
        <f>_xlfn.CONCAT(H516,I516,J516)</f>
        <v>DAURDE</v>
      </c>
    </row>
    <row r="517" spans="2:17">
      <c r="B517" s="1" t="s">
        <v>381</v>
      </c>
      <c r="C517" s="1" t="s">
        <v>380</v>
      </c>
      <c r="D517" s="52">
        <v>46035.395833333336</v>
      </c>
      <c r="E517" s="52">
        <v>46035.395833333336</v>
      </c>
      <c r="F517" s="52">
        <v>46035.465277777781</v>
      </c>
      <c r="G517" s="53">
        <f>F517-E517</f>
        <v>6.9444444445252884E-2</v>
      </c>
      <c r="H517" s="1" t="s">
        <v>257</v>
      </c>
      <c r="J517" s="1" t="s">
        <v>258</v>
      </c>
      <c r="K517" s="1" t="s">
        <v>658</v>
      </c>
      <c r="L517" s="1" t="s">
        <v>1962</v>
      </c>
      <c r="M517" s="1" t="s">
        <v>260</v>
      </c>
      <c r="N517" s="1" t="s">
        <v>357</v>
      </c>
      <c r="O517" s="1" t="s">
        <v>632</v>
      </c>
      <c r="P517" s="1" t="str">
        <f>_xlfn.CONCAT(B517,C517,D517,E517,F517)</f>
        <v>BC Camarao1.3215KTL-H3(MBUS-15)46035,395833333346035,395833333346035,4652777778</v>
      </c>
      <c r="Q517" s="1" t="str">
        <f>_xlfn.CONCAT(H517,I517,J517)</f>
        <v>DAURDE</v>
      </c>
    </row>
    <row r="518" spans="2:17">
      <c r="B518" s="1" t="s">
        <v>381</v>
      </c>
      <c r="C518" s="1" t="s">
        <v>377</v>
      </c>
      <c r="D518" s="52">
        <v>46035.395833333336</v>
      </c>
      <c r="E518" s="52">
        <v>46035.395833333336</v>
      </c>
      <c r="F518" s="52">
        <v>46035.465277777781</v>
      </c>
      <c r="G518" s="53">
        <f>F518-E518</f>
        <v>6.9444444445252884E-2</v>
      </c>
      <c r="H518" s="1" t="s">
        <v>257</v>
      </c>
      <c r="J518" s="1" t="s">
        <v>258</v>
      </c>
      <c r="K518" s="1" t="s">
        <v>658</v>
      </c>
      <c r="L518" s="1" t="s">
        <v>1962</v>
      </c>
      <c r="M518" s="1" t="s">
        <v>260</v>
      </c>
      <c r="N518" s="1" t="s">
        <v>357</v>
      </c>
      <c r="O518" s="1" t="s">
        <v>632</v>
      </c>
      <c r="P518" s="1" t="str">
        <f>_xlfn.CONCAT(B518,C518,D518,E518,F518)</f>
        <v>BC Camarao1.3215KTL-H3(MBUS-12)46035,395833333346035,395833333346035,4652777778</v>
      </c>
      <c r="Q518" s="1" t="str">
        <f>_xlfn.CONCAT(H518,I518,J518)</f>
        <v>DAURDE</v>
      </c>
    </row>
    <row r="519" spans="2:17">
      <c r="B519" s="1" t="s">
        <v>381</v>
      </c>
      <c r="C519" s="1" t="s">
        <v>378</v>
      </c>
      <c r="D519" s="52">
        <v>46035.395833333336</v>
      </c>
      <c r="E519" s="52">
        <v>46035.395833333336</v>
      </c>
      <c r="F519" s="52">
        <v>46035.465277777781</v>
      </c>
      <c r="G519" s="53">
        <f>F519-E519</f>
        <v>6.9444444445252884E-2</v>
      </c>
      <c r="H519" s="1" t="s">
        <v>257</v>
      </c>
      <c r="J519" s="1" t="s">
        <v>258</v>
      </c>
      <c r="K519" s="1" t="s">
        <v>658</v>
      </c>
      <c r="L519" s="1" t="s">
        <v>1962</v>
      </c>
      <c r="M519" s="1" t="s">
        <v>260</v>
      </c>
      <c r="N519" s="1" t="s">
        <v>357</v>
      </c>
      <c r="O519" s="1" t="s">
        <v>632</v>
      </c>
      <c r="P519" s="1" t="str">
        <f>_xlfn.CONCAT(B519,C519,D519,E519,F519)</f>
        <v>BC Camarao1.3215KTL-H3(MBUS-13)46035,395833333346035,395833333346035,4652777778</v>
      </c>
      <c r="Q519" s="1" t="str">
        <f>_xlfn.CONCAT(H519,I519,J519)</f>
        <v>DAURDE</v>
      </c>
    </row>
    <row r="520" spans="2:17">
      <c r="B520" s="1" t="s">
        <v>391</v>
      </c>
      <c r="C520" s="1" t="s">
        <v>392</v>
      </c>
      <c r="D520" s="52">
        <v>46035.395833333336</v>
      </c>
      <c r="E520" s="52">
        <v>46035.395833333336</v>
      </c>
      <c r="F520" s="52">
        <v>46035.465277777781</v>
      </c>
      <c r="G520" s="53">
        <f>F520-E520</f>
        <v>6.9444444445252884E-2</v>
      </c>
      <c r="H520" s="1" t="s">
        <v>257</v>
      </c>
      <c r="J520" s="1" t="s">
        <v>258</v>
      </c>
      <c r="K520" s="1" t="s">
        <v>658</v>
      </c>
      <c r="L520" s="1" t="s">
        <v>1962</v>
      </c>
      <c r="M520" s="1" t="s">
        <v>260</v>
      </c>
      <c r="N520" s="1" t="s">
        <v>357</v>
      </c>
      <c r="O520" s="1" t="s">
        <v>632</v>
      </c>
      <c r="P520" s="1" t="str">
        <f>_xlfn.CONCAT(B520,C520,D520,E520,F520)</f>
        <v>BC Camarao1.4INV-6T22A904138146035,395833333346035,395833333346035,4652777778</v>
      </c>
      <c r="Q520" s="1" t="str">
        <f>_xlfn.CONCAT(H520,I520,J520)</f>
        <v>DAURDE</v>
      </c>
    </row>
    <row r="521" spans="2:17">
      <c r="B521" s="1" t="s">
        <v>391</v>
      </c>
      <c r="C521" s="1" t="s">
        <v>382</v>
      </c>
      <c r="D521" s="52">
        <v>46035.395833333336</v>
      </c>
      <c r="E521" s="52">
        <v>46035.395833333336</v>
      </c>
      <c r="F521" s="52">
        <v>46035.465277777781</v>
      </c>
      <c r="G521" s="53">
        <f>F521-E521</f>
        <v>6.9444444445252884E-2</v>
      </c>
      <c r="H521" s="1" t="s">
        <v>257</v>
      </c>
      <c r="J521" s="1" t="s">
        <v>258</v>
      </c>
      <c r="K521" s="1" t="s">
        <v>658</v>
      </c>
      <c r="L521" s="1" t="s">
        <v>1962</v>
      </c>
      <c r="M521" s="1" t="s">
        <v>260</v>
      </c>
      <c r="N521" s="1" t="s">
        <v>357</v>
      </c>
      <c r="O521" s="1" t="s">
        <v>632</v>
      </c>
      <c r="P521" s="1" t="str">
        <f>_xlfn.CONCAT(B521,C521,D521,E521,F521)</f>
        <v>BC Camarao1.4215KTL-H3(MBUS-14)46035,395833333346035,395833333346035,4652777778</v>
      </c>
      <c r="Q521" s="1" t="str">
        <f>_xlfn.CONCAT(H521,I521,J521)</f>
        <v>DAURDE</v>
      </c>
    </row>
    <row r="522" spans="2:17">
      <c r="B522" s="1" t="s">
        <v>391</v>
      </c>
      <c r="C522" s="1" t="s">
        <v>378</v>
      </c>
      <c r="D522" s="52">
        <v>46035.395833333336</v>
      </c>
      <c r="E522" s="52">
        <v>46035.395833333336</v>
      </c>
      <c r="F522" s="52">
        <v>46035.465277777781</v>
      </c>
      <c r="G522" s="53">
        <f>F522-E522</f>
        <v>6.9444444445252884E-2</v>
      </c>
      <c r="H522" s="1" t="s">
        <v>257</v>
      </c>
      <c r="J522" s="1" t="s">
        <v>258</v>
      </c>
      <c r="K522" s="1" t="s">
        <v>658</v>
      </c>
      <c r="L522" s="1" t="s">
        <v>1962</v>
      </c>
      <c r="M522" s="1" t="s">
        <v>260</v>
      </c>
      <c r="N522" s="1" t="s">
        <v>357</v>
      </c>
      <c r="O522" s="1" t="s">
        <v>632</v>
      </c>
      <c r="P522" s="1" t="str">
        <f>_xlfn.CONCAT(B522,C522,D522,E522,F522)</f>
        <v>BC Camarao1.4215KTL-H3(MBUS-13)46035,395833333346035,395833333346035,4652777778</v>
      </c>
      <c r="Q522" s="1" t="str">
        <f>_xlfn.CONCAT(H522,I522,J522)</f>
        <v>DAURDE</v>
      </c>
    </row>
    <row r="523" spans="2:17">
      <c r="B523" s="1" t="s">
        <v>391</v>
      </c>
      <c r="C523" s="1" t="s">
        <v>379</v>
      </c>
      <c r="D523" s="52">
        <v>46035.395833333336</v>
      </c>
      <c r="E523" s="52">
        <v>46035.395833333336</v>
      </c>
      <c r="F523" s="52">
        <v>46035.465277777781</v>
      </c>
      <c r="G523" s="53">
        <f>F523-E523</f>
        <v>6.9444444445252884E-2</v>
      </c>
      <c r="H523" s="1" t="s">
        <v>257</v>
      </c>
      <c r="J523" s="1" t="s">
        <v>258</v>
      </c>
      <c r="K523" s="1" t="s">
        <v>658</v>
      </c>
      <c r="L523" s="1" t="s">
        <v>1962</v>
      </c>
      <c r="M523" s="1" t="s">
        <v>260</v>
      </c>
      <c r="N523" s="1" t="s">
        <v>357</v>
      </c>
      <c r="O523" s="1" t="s">
        <v>632</v>
      </c>
      <c r="P523" s="1" t="str">
        <f>_xlfn.CONCAT(B523,C523,D523,E523,F523)</f>
        <v>BC Camarao1.4215KTL-H3(MBUS-16)46035,395833333346035,395833333346035,4652777778</v>
      </c>
      <c r="Q523" s="1" t="str">
        <f>_xlfn.CONCAT(H523,I523,J523)</f>
        <v>DAURDE</v>
      </c>
    </row>
    <row r="524" spans="2:17">
      <c r="B524" s="1" t="s">
        <v>391</v>
      </c>
      <c r="C524" s="1" t="s">
        <v>380</v>
      </c>
      <c r="D524" s="52">
        <v>46035.395833333336</v>
      </c>
      <c r="E524" s="52">
        <v>46035.395833333336</v>
      </c>
      <c r="F524" s="52">
        <v>46035.465277777781</v>
      </c>
      <c r="G524" s="53">
        <f>F524-E524</f>
        <v>6.9444444445252884E-2</v>
      </c>
      <c r="H524" s="1" t="s">
        <v>257</v>
      </c>
      <c r="J524" s="1" t="s">
        <v>258</v>
      </c>
      <c r="K524" s="1" t="s">
        <v>658</v>
      </c>
      <c r="L524" s="1" t="s">
        <v>1962</v>
      </c>
      <c r="M524" s="1" t="s">
        <v>260</v>
      </c>
      <c r="N524" s="1" t="s">
        <v>357</v>
      </c>
      <c r="O524" s="1" t="s">
        <v>632</v>
      </c>
      <c r="P524" s="1" t="str">
        <f>_xlfn.CONCAT(B524,C524,D524,E524,F524)</f>
        <v>BC Camarao1.4215KTL-H3(MBUS-15)46035,395833333346035,395833333346035,4652777778</v>
      </c>
      <c r="Q524" s="1" t="str">
        <f>_xlfn.CONCAT(H524,I524,J524)</f>
        <v>DAURDE</v>
      </c>
    </row>
    <row r="525" spans="2:17">
      <c r="B525" s="1" t="s">
        <v>519</v>
      </c>
      <c r="C525" s="1" t="s">
        <v>380</v>
      </c>
      <c r="D525" s="52">
        <v>46035.395833333336</v>
      </c>
      <c r="E525" s="52">
        <v>46035.395833333336</v>
      </c>
      <c r="F525" s="52">
        <v>46035.465277777781</v>
      </c>
      <c r="G525" s="53">
        <f>F525-E525</f>
        <v>6.9444444445252884E-2</v>
      </c>
      <c r="H525" s="1" t="s">
        <v>257</v>
      </c>
      <c r="J525" s="1" t="s">
        <v>258</v>
      </c>
      <c r="K525" s="1" t="s">
        <v>658</v>
      </c>
      <c r="L525" s="1" t="s">
        <v>1962</v>
      </c>
      <c r="M525" s="1" t="s">
        <v>260</v>
      </c>
      <c r="N525" s="1" t="s">
        <v>357</v>
      </c>
      <c r="O525" s="1" t="s">
        <v>632</v>
      </c>
      <c r="P525" s="1" t="str">
        <f>_xlfn.CONCAT(B525,C525,D525,E525,F525)</f>
        <v>BC Camarao1.5215KTL-H3(MBUS-15)46035,395833333346035,395833333346035,4652777778</v>
      </c>
      <c r="Q525" s="1" t="str">
        <f>_xlfn.CONCAT(H525,I525,J525)</f>
        <v>DAURDE</v>
      </c>
    </row>
    <row r="526" spans="2:17">
      <c r="B526" s="1" t="s">
        <v>519</v>
      </c>
      <c r="C526" s="1" t="s">
        <v>378</v>
      </c>
      <c r="D526" s="52">
        <v>46035.395833333336</v>
      </c>
      <c r="E526" s="52">
        <v>46035.395833333336</v>
      </c>
      <c r="F526" s="52">
        <v>46035.465277777781</v>
      </c>
      <c r="G526" s="53">
        <f>F526-E526</f>
        <v>6.9444444445252884E-2</v>
      </c>
      <c r="H526" s="1" t="s">
        <v>257</v>
      </c>
      <c r="J526" s="1" t="s">
        <v>258</v>
      </c>
      <c r="K526" s="1" t="s">
        <v>658</v>
      </c>
      <c r="L526" s="1" t="s">
        <v>1962</v>
      </c>
      <c r="M526" s="1" t="s">
        <v>260</v>
      </c>
      <c r="N526" s="1" t="s">
        <v>357</v>
      </c>
      <c r="O526" s="1" t="s">
        <v>632</v>
      </c>
      <c r="P526" s="1" t="str">
        <f>_xlfn.CONCAT(B526,C526,D526,E526,F526)</f>
        <v>BC Camarao1.5215KTL-H3(MBUS-13)46035,395833333346035,395833333346035,4652777778</v>
      </c>
      <c r="Q526" s="1" t="str">
        <f>_xlfn.CONCAT(H526,I526,J526)</f>
        <v>DAURDE</v>
      </c>
    </row>
    <row r="527" spans="2:17">
      <c r="B527" s="1" t="s">
        <v>519</v>
      </c>
      <c r="C527" s="1" t="s">
        <v>377</v>
      </c>
      <c r="D527" s="52">
        <v>46035.395833333336</v>
      </c>
      <c r="E527" s="52">
        <v>46035.395833333336</v>
      </c>
      <c r="F527" s="52">
        <v>46035.465277777781</v>
      </c>
      <c r="G527" s="53">
        <f>F527-E527</f>
        <v>6.9444444445252884E-2</v>
      </c>
      <c r="H527" s="1" t="s">
        <v>257</v>
      </c>
      <c r="J527" s="1" t="s">
        <v>258</v>
      </c>
      <c r="K527" s="1" t="s">
        <v>658</v>
      </c>
      <c r="L527" s="1" t="s">
        <v>1962</v>
      </c>
      <c r="M527" s="1" t="s">
        <v>260</v>
      </c>
      <c r="N527" s="1" t="s">
        <v>357</v>
      </c>
      <c r="O527" s="1" t="s">
        <v>632</v>
      </c>
      <c r="P527" s="1" t="str">
        <f>_xlfn.CONCAT(B527,C527,D527,E527,F527)</f>
        <v>BC Camarao1.5215KTL-H3(MBUS-12)46035,395833333346035,395833333346035,4652777778</v>
      </c>
      <c r="Q527" s="1" t="str">
        <f>_xlfn.CONCAT(H527,I527,J527)</f>
        <v>DAURDE</v>
      </c>
    </row>
    <row r="528" spans="2:17">
      <c r="B528" s="1" t="s">
        <v>519</v>
      </c>
      <c r="C528" s="1" t="s">
        <v>520</v>
      </c>
      <c r="D528" s="52">
        <v>46035.395833333336</v>
      </c>
      <c r="E528" s="52">
        <v>46035.395833333336</v>
      </c>
      <c r="F528" s="52">
        <v>46035.465277777781</v>
      </c>
      <c r="G528" s="53">
        <f>F528-E528</f>
        <v>6.9444444445252884E-2</v>
      </c>
      <c r="H528" s="1" t="s">
        <v>257</v>
      </c>
      <c r="J528" s="1" t="s">
        <v>258</v>
      </c>
      <c r="K528" s="1" t="s">
        <v>658</v>
      </c>
      <c r="L528" s="1" t="s">
        <v>1962</v>
      </c>
      <c r="M528" s="1" t="s">
        <v>260</v>
      </c>
      <c r="N528" s="1" t="s">
        <v>357</v>
      </c>
      <c r="O528" s="1" t="s">
        <v>632</v>
      </c>
      <c r="P528" s="1" t="str">
        <f>_xlfn.CONCAT(B528,C528,D528,E528,F528)</f>
        <v>BC Camarao1.5215KTL-H3(MBUS-1)46035,395833333346035,395833333346035,4652777778</v>
      </c>
      <c r="Q528" s="1" t="str">
        <f>_xlfn.CONCAT(H528,I528,J528)</f>
        <v>DAURDE</v>
      </c>
    </row>
    <row r="529" spans="2:17">
      <c r="B529" s="1" t="s">
        <v>519</v>
      </c>
      <c r="C529" s="1" t="s">
        <v>382</v>
      </c>
      <c r="D529" s="52">
        <v>46035.395833333336</v>
      </c>
      <c r="E529" s="52">
        <v>46035.395833333336</v>
      </c>
      <c r="F529" s="52">
        <v>46035.465277777781</v>
      </c>
      <c r="G529" s="53">
        <f>F529-E529</f>
        <v>6.9444444445252884E-2</v>
      </c>
      <c r="H529" s="1" t="s">
        <v>257</v>
      </c>
      <c r="J529" s="1" t="s">
        <v>258</v>
      </c>
      <c r="K529" s="1" t="s">
        <v>658</v>
      </c>
      <c r="L529" s="1" t="s">
        <v>1962</v>
      </c>
      <c r="M529" s="1" t="s">
        <v>260</v>
      </c>
      <c r="N529" s="1" t="s">
        <v>357</v>
      </c>
      <c r="O529" s="1" t="s">
        <v>632</v>
      </c>
      <c r="P529" s="1" t="str">
        <f>_xlfn.CONCAT(B529,C529,D529,E529,F529)</f>
        <v>BC Camarao1.5215KTL-H3(MBUS-14)46035,395833333346035,395833333346035,4652777778</v>
      </c>
      <c r="Q529" s="1" t="str">
        <f>_xlfn.CONCAT(H529,I529,J529)</f>
        <v>DAURDE</v>
      </c>
    </row>
    <row r="530" spans="2:17">
      <c r="B530" s="1" t="s">
        <v>327</v>
      </c>
      <c r="C530" s="1" t="s">
        <v>247</v>
      </c>
      <c r="D530" s="52">
        <v>46035.720138888886</v>
      </c>
      <c r="E530" s="52">
        <v>46035.720138888886</v>
      </c>
      <c r="F530" s="52">
        <v>46035.754861111112</v>
      </c>
      <c r="G530" s="53">
        <f>F530-E530</f>
        <v>3.4722222226264421E-2</v>
      </c>
      <c r="H530" s="1" t="s">
        <v>257</v>
      </c>
      <c r="J530" s="1" t="s">
        <v>258</v>
      </c>
      <c r="K530" s="1" t="s">
        <v>658</v>
      </c>
      <c r="L530" s="1" t="s">
        <v>541</v>
      </c>
      <c r="M530" s="1" t="s">
        <v>260</v>
      </c>
      <c r="N530" s="1" t="s">
        <v>357</v>
      </c>
      <c r="O530" s="1" t="s">
        <v>632</v>
      </c>
      <c r="P530" s="1" t="str">
        <f>_xlfn.CONCAT(B530,C530,D530,E530,F530)</f>
        <v>BC Aracu5.1Inverter(MBUS-1)46035,720138888946035,720138888946035,7548611111</v>
      </c>
      <c r="Q530" s="1" t="str">
        <f>_xlfn.CONCAT(H530,I530,J530)</f>
        <v>DAURDE</v>
      </c>
    </row>
    <row r="531" spans="2:17">
      <c r="B531" s="1" t="s">
        <v>246</v>
      </c>
      <c r="C531" s="1" t="s">
        <v>247</v>
      </c>
      <c r="D531" s="52">
        <v>46035.720138888886</v>
      </c>
      <c r="E531" s="52">
        <v>46035.720138888886</v>
      </c>
      <c r="F531" s="52">
        <v>46035.754861111112</v>
      </c>
      <c r="G531" s="53">
        <f>F531-E531</f>
        <v>3.4722222226264421E-2</v>
      </c>
      <c r="H531" s="1" t="s">
        <v>257</v>
      </c>
      <c r="J531" s="1" t="s">
        <v>258</v>
      </c>
      <c r="K531" s="1" t="s">
        <v>658</v>
      </c>
      <c r="L531" s="1" t="s">
        <v>541</v>
      </c>
      <c r="M531" s="1" t="s">
        <v>260</v>
      </c>
      <c r="N531" s="1" t="s">
        <v>357</v>
      </c>
      <c r="O531" s="1" t="s">
        <v>632</v>
      </c>
      <c r="P531" s="1" t="str">
        <f>_xlfn.CONCAT(B531,C531,D531,E531,F531)</f>
        <v>BC Aracu5.2Inverter(MBUS-1)46035,720138888946035,720138888946035,7548611111</v>
      </c>
      <c r="Q531" s="1" t="str">
        <f>_xlfn.CONCAT(H531,I531,J531)</f>
        <v>DAURDE</v>
      </c>
    </row>
    <row r="532" spans="2:17">
      <c r="B532" s="1" t="s">
        <v>328</v>
      </c>
      <c r="C532" s="1" t="s">
        <v>247</v>
      </c>
      <c r="D532" s="52">
        <v>46035.720138888886</v>
      </c>
      <c r="E532" s="52">
        <v>46035.720138888886</v>
      </c>
      <c r="F532" s="52">
        <v>46035.754861111112</v>
      </c>
      <c r="G532" s="53">
        <f>F532-E532</f>
        <v>3.4722222226264421E-2</v>
      </c>
      <c r="H532" s="1" t="s">
        <v>257</v>
      </c>
      <c r="J532" s="1" t="s">
        <v>258</v>
      </c>
      <c r="K532" s="1" t="s">
        <v>658</v>
      </c>
      <c r="L532" s="1" t="s">
        <v>541</v>
      </c>
      <c r="M532" s="1" t="s">
        <v>260</v>
      </c>
      <c r="N532" s="1" t="s">
        <v>357</v>
      </c>
      <c r="O532" s="1" t="s">
        <v>632</v>
      </c>
      <c r="P532" s="1" t="str">
        <f>_xlfn.CONCAT(B532,C532,D532,E532,F532)</f>
        <v>BC Aracu5.3Inverter(MBUS-1)46035,720138888946035,720138888946035,7548611111</v>
      </c>
      <c r="Q532" s="1" t="str">
        <f>_xlfn.CONCAT(H532,I532,J532)</f>
        <v>DAURDE</v>
      </c>
    </row>
    <row r="533" spans="2:17">
      <c r="B533" s="1" t="s">
        <v>329</v>
      </c>
      <c r="C533" s="1" t="s">
        <v>247</v>
      </c>
      <c r="D533" s="52">
        <v>46035.720138888886</v>
      </c>
      <c r="E533" s="52">
        <v>46035.720138888886</v>
      </c>
      <c r="F533" s="52">
        <v>46035.754861111112</v>
      </c>
      <c r="G533" s="53">
        <f>F533-E533</f>
        <v>3.4722222226264421E-2</v>
      </c>
      <c r="H533" s="1" t="s">
        <v>257</v>
      </c>
      <c r="J533" s="1" t="s">
        <v>258</v>
      </c>
      <c r="K533" s="1" t="s">
        <v>658</v>
      </c>
      <c r="L533" s="1" t="s">
        <v>541</v>
      </c>
      <c r="M533" s="1" t="s">
        <v>260</v>
      </c>
      <c r="N533" s="1" t="s">
        <v>357</v>
      </c>
      <c r="O533" s="1" t="s">
        <v>632</v>
      </c>
      <c r="P533" s="1" t="str">
        <f>_xlfn.CONCAT(B533,C533,D533,E533,F533)</f>
        <v>BC Aracu5.4Inverter(MBUS-1)46035,720138888946035,720138888946035,7548611111</v>
      </c>
      <c r="Q533" s="1" t="str">
        <f>_xlfn.CONCAT(H533,I533,J533)</f>
        <v>DAURDE</v>
      </c>
    </row>
    <row r="534" spans="2:17">
      <c r="B534" s="1" t="s">
        <v>330</v>
      </c>
      <c r="C534" s="1" t="s">
        <v>247</v>
      </c>
      <c r="D534" s="52">
        <v>46035.720138888886</v>
      </c>
      <c r="E534" s="52">
        <v>46035.720138888886</v>
      </c>
      <c r="F534" s="52">
        <v>46035.754861111112</v>
      </c>
      <c r="G534" s="53">
        <f>F534-E534</f>
        <v>3.4722222226264421E-2</v>
      </c>
      <c r="H534" s="1" t="s">
        <v>257</v>
      </c>
      <c r="J534" s="1" t="s">
        <v>258</v>
      </c>
      <c r="K534" s="1" t="s">
        <v>658</v>
      </c>
      <c r="L534" s="1" t="s">
        <v>541</v>
      </c>
      <c r="M534" s="1" t="s">
        <v>260</v>
      </c>
      <c r="N534" s="1" t="s">
        <v>357</v>
      </c>
      <c r="O534" s="1" t="s">
        <v>632</v>
      </c>
      <c r="P534" s="1" t="str">
        <f>_xlfn.CONCAT(B534,C534,D534,E534,F534)</f>
        <v>BC Aracu5.5Inverter(MBUS-1)46035,720138888946035,720138888946035,7548611111</v>
      </c>
      <c r="Q534" s="1" t="str">
        <f>_xlfn.CONCAT(H534,I534,J534)</f>
        <v>DAURDE</v>
      </c>
    </row>
    <row r="535" spans="2:17">
      <c r="B535" s="1" t="s">
        <v>375</v>
      </c>
      <c r="C535" s="1" t="s">
        <v>247</v>
      </c>
      <c r="D535" s="52">
        <v>46036.020833333336</v>
      </c>
      <c r="E535" s="52">
        <v>46036.020833333336</v>
      </c>
      <c r="F535" s="52">
        <v>46036.07916666667</v>
      </c>
      <c r="G535" s="53">
        <f>F535-E535</f>
        <v>5.8333333334303461E-2</v>
      </c>
      <c r="H535" s="1" t="s">
        <v>257</v>
      </c>
      <c r="J535" s="1" t="s">
        <v>258</v>
      </c>
      <c r="K535" s="1" t="s">
        <v>658</v>
      </c>
      <c r="L535" s="1" t="s">
        <v>1962</v>
      </c>
      <c r="M535" s="1" t="s">
        <v>260</v>
      </c>
      <c r="N535" s="1" t="s">
        <v>357</v>
      </c>
      <c r="O535" s="1" t="s">
        <v>632</v>
      </c>
      <c r="P535" s="1" t="str">
        <f>_xlfn.CONCAT(B535,C535,D535,E535,F535)</f>
        <v>BC Camarao1.1Inverter(MBUS-1)46036,020833333346036,020833333346036,0791666667</v>
      </c>
      <c r="Q535" s="1" t="str">
        <f>_xlfn.CONCAT(H535,I535,J535)</f>
        <v>DAURDE</v>
      </c>
    </row>
    <row r="536" spans="2:17">
      <c r="B536" s="1" t="s">
        <v>375</v>
      </c>
      <c r="C536" s="1" t="s">
        <v>377</v>
      </c>
      <c r="D536" s="52">
        <v>46036.020833333336</v>
      </c>
      <c r="E536" s="52">
        <v>46036.020833333336</v>
      </c>
      <c r="F536" s="52">
        <v>46036.07916666667</v>
      </c>
      <c r="G536" s="53">
        <f>F536-E536</f>
        <v>5.8333333334303461E-2</v>
      </c>
      <c r="H536" s="1" t="s">
        <v>257</v>
      </c>
      <c r="J536" s="1" t="s">
        <v>258</v>
      </c>
      <c r="K536" s="1" t="s">
        <v>658</v>
      </c>
      <c r="L536" s="1" t="s">
        <v>1962</v>
      </c>
      <c r="M536" s="1" t="s">
        <v>260</v>
      </c>
      <c r="N536" s="1" t="s">
        <v>357</v>
      </c>
      <c r="O536" s="1" t="s">
        <v>632</v>
      </c>
      <c r="P536" s="1" t="str">
        <f>_xlfn.CONCAT(B536,C536,D536,E536,F536)</f>
        <v>BC Camarao1.1215KTL-H3(MBUS-12)46036,020833333346036,020833333346036,0791666667</v>
      </c>
      <c r="Q536" s="1" t="str">
        <f>_xlfn.CONCAT(H536,I536,J536)</f>
        <v>DAURDE</v>
      </c>
    </row>
    <row r="537" spans="2:17">
      <c r="B537" s="1" t="s">
        <v>375</v>
      </c>
      <c r="C537" s="1" t="s">
        <v>378</v>
      </c>
      <c r="D537" s="52">
        <v>46036.020833333336</v>
      </c>
      <c r="E537" s="52">
        <v>46036.020833333336</v>
      </c>
      <c r="F537" s="52">
        <v>46036.07916666667</v>
      </c>
      <c r="G537" s="53">
        <f>F537-E537</f>
        <v>5.8333333334303461E-2</v>
      </c>
      <c r="H537" s="1" t="s">
        <v>257</v>
      </c>
      <c r="J537" s="1" t="s">
        <v>258</v>
      </c>
      <c r="K537" s="1" t="s">
        <v>658</v>
      </c>
      <c r="L537" s="1" t="s">
        <v>1962</v>
      </c>
      <c r="M537" s="1" t="s">
        <v>260</v>
      </c>
      <c r="N537" s="1" t="s">
        <v>357</v>
      </c>
      <c r="O537" s="1" t="s">
        <v>632</v>
      </c>
      <c r="P537" s="1" t="str">
        <f>_xlfn.CONCAT(B537,C537,D537,E537,F537)</f>
        <v>BC Camarao1.1215KTL-H3(MBUS-13)46036,020833333346036,020833333346036,0791666667</v>
      </c>
      <c r="Q537" s="1" t="str">
        <f>_xlfn.CONCAT(H537,I537,J537)</f>
        <v>DAURDE</v>
      </c>
    </row>
    <row r="538" spans="2:17">
      <c r="B538" s="1" t="s">
        <v>375</v>
      </c>
      <c r="C538" s="1" t="s">
        <v>379</v>
      </c>
      <c r="D538" s="52">
        <v>46036.020833333336</v>
      </c>
      <c r="E538" s="52">
        <v>46036.020833333336</v>
      </c>
      <c r="F538" s="52">
        <v>46036.07916666667</v>
      </c>
      <c r="G538" s="53">
        <f>F538-E538</f>
        <v>5.8333333334303461E-2</v>
      </c>
      <c r="H538" s="1" t="s">
        <v>257</v>
      </c>
      <c r="J538" s="1" t="s">
        <v>258</v>
      </c>
      <c r="K538" s="1" t="s">
        <v>658</v>
      </c>
      <c r="L538" s="1" t="s">
        <v>1962</v>
      </c>
      <c r="M538" s="1" t="s">
        <v>260</v>
      </c>
      <c r="N538" s="1" t="s">
        <v>357</v>
      </c>
      <c r="O538" s="1" t="s">
        <v>632</v>
      </c>
      <c r="P538" s="1" t="str">
        <f>_xlfn.CONCAT(B538,C538,D538,E538,F538)</f>
        <v>BC Camarao1.1215KTL-H3(MBUS-16)46036,020833333346036,020833333346036,0791666667</v>
      </c>
      <c r="Q538" s="1" t="str">
        <f>_xlfn.CONCAT(H538,I538,J538)</f>
        <v>DAURDE</v>
      </c>
    </row>
    <row r="539" spans="2:17">
      <c r="B539" s="1" t="s">
        <v>375</v>
      </c>
      <c r="C539" s="1" t="s">
        <v>380</v>
      </c>
      <c r="D539" s="52">
        <v>46036.020833333336</v>
      </c>
      <c r="E539" s="52">
        <v>46036.020833333336</v>
      </c>
      <c r="F539" s="52">
        <v>46036.07916666667</v>
      </c>
      <c r="G539" s="53">
        <f>F539-E539</f>
        <v>5.8333333334303461E-2</v>
      </c>
      <c r="H539" s="1" t="s">
        <v>257</v>
      </c>
      <c r="J539" s="1" t="s">
        <v>258</v>
      </c>
      <c r="K539" s="1" t="s">
        <v>658</v>
      </c>
      <c r="L539" s="1" t="s">
        <v>1962</v>
      </c>
      <c r="M539" s="1" t="s">
        <v>260</v>
      </c>
      <c r="N539" s="1" t="s">
        <v>357</v>
      </c>
      <c r="O539" s="1" t="s">
        <v>632</v>
      </c>
      <c r="P539" s="1" t="str">
        <f>_xlfn.CONCAT(B539,C539,D539,E539,F539)</f>
        <v>BC Camarao1.1215KTL-H3(MBUS-15)46036,020833333346036,020833333346036,0791666667</v>
      </c>
      <c r="Q539" s="1" t="str">
        <f>_xlfn.CONCAT(H539,I539,J539)</f>
        <v>DAURDE</v>
      </c>
    </row>
    <row r="540" spans="2:17">
      <c r="B540" s="1" t="s">
        <v>387</v>
      </c>
      <c r="C540" s="1" t="s">
        <v>247</v>
      </c>
      <c r="D540" s="52">
        <v>46036.020833333336</v>
      </c>
      <c r="E540" s="52">
        <v>46036.020833333336</v>
      </c>
      <c r="F540" s="52">
        <v>46036.07916666667</v>
      </c>
      <c r="G540" s="53">
        <f>F540-E540</f>
        <v>5.8333333334303461E-2</v>
      </c>
      <c r="H540" s="1" t="s">
        <v>257</v>
      </c>
      <c r="J540" s="1" t="s">
        <v>258</v>
      </c>
      <c r="K540" s="1" t="s">
        <v>658</v>
      </c>
      <c r="L540" s="1" t="s">
        <v>1962</v>
      </c>
      <c r="M540" s="1" t="s">
        <v>260</v>
      </c>
      <c r="N540" s="1" t="s">
        <v>357</v>
      </c>
      <c r="O540" s="1" t="s">
        <v>632</v>
      </c>
      <c r="P540" s="1" t="str">
        <f>_xlfn.CONCAT(B540,C540,D540,E540,F540)</f>
        <v>BC Camarao1.2Inverter(MBUS-1)46036,020833333346036,020833333346036,0791666667</v>
      </c>
      <c r="Q540" s="1" t="str">
        <f>_xlfn.CONCAT(H540,I540,J540)</f>
        <v>DAURDE</v>
      </c>
    </row>
    <row r="541" spans="2:17">
      <c r="B541" s="1" t="s">
        <v>387</v>
      </c>
      <c r="C541" s="1" t="s">
        <v>388</v>
      </c>
      <c r="D541" s="52">
        <v>46036.020833333336</v>
      </c>
      <c r="E541" s="52">
        <v>46036.020833333336</v>
      </c>
      <c r="F541" s="52">
        <v>46036.07916666667</v>
      </c>
      <c r="G541" s="53">
        <f>F541-E541</f>
        <v>5.8333333334303461E-2</v>
      </c>
      <c r="H541" s="1" t="s">
        <v>257</v>
      </c>
      <c r="J541" s="1" t="s">
        <v>258</v>
      </c>
      <c r="K541" s="1" t="s">
        <v>658</v>
      </c>
      <c r="L541" s="1" t="s">
        <v>1962</v>
      </c>
      <c r="M541" s="1" t="s">
        <v>260</v>
      </c>
      <c r="N541" s="1" t="s">
        <v>357</v>
      </c>
      <c r="O541" s="1" t="s">
        <v>632</v>
      </c>
      <c r="P541" s="1" t="str">
        <f>_xlfn.CONCAT(B541,C541,D541,E541,F541)</f>
        <v>BC Camarao1.2Inv. 346036,020833333346036,020833333346036,0791666667</v>
      </c>
      <c r="Q541" s="1" t="str">
        <f>_xlfn.CONCAT(H541,I541,J541)</f>
        <v>DAURDE</v>
      </c>
    </row>
    <row r="542" spans="2:17">
      <c r="B542" s="1" t="s">
        <v>387</v>
      </c>
      <c r="C542" s="1" t="s">
        <v>389</v>
      </c>
      <c r="D542" s="52">
        <v>46036.020833333336</v>
      </c>
      <c r="E542" s="52">
        <v>46036.020833333336</v>
      </c>
      <c r="F542" s="52">
        <v>46036.07916666667</v>
      </c>
      <c r="G542" s="53">
        <f>F542-E542</f>
        <v>5.8333333334303461E-2</v>
      </c>
      <c r="H542" s="1" t="s">
        <v>257</v>
      </c>
      <c r="J542" s="1" t="s">
        <v>258</v>
      </c>
      <c r="K542" s="1" t="s">
        <v>658</v>
      </c>
      <c r="L542" s="1" t="s">
        <v>1962</v>
      </c>
      <c r="M542" s="1" t="s">
        <v>260</v>
      </c>
      <c r="N542" s="1" t="s">
        <v>357</v>
      </c>
      <c r="O542" s="1" t="s">
        <v>632</v>
      </c>
      <c r="P542" s="1" t="str">
        <f>_xlfn.CONCAT(B542,C542,D542,E542,F542)</f>
        <v>BC Camarao1.2Inv. 446036,020833333346036,020833333346036,0791666667</v>
      </c>
      <c r="Q542" s="1" t="str">
        <f>_xlfn.CONCAT(H542,I542,J542)</f>
        <v>DAURDE</v>
      </c>
    </row>
    <row r="543" spans="2:17">
      <c r="B543" s="1" t="s">
        <v>387</v>
      </c>
      <c r="C543" s="1" t="s">
        <v>390</v>
      </c>
      <c r="D543" s="52">
        <v>46036.020833333336</v>
      </c>
      <c r="E543" s="52">
        <v>46036.020833333336</v>
      </c>
      <c r="F543" s="52">
        <v>46036.07916666667</v>
      </c>
      <c r="G543" s="53">
        <f>F543-E543</f>
        <v>5.8333333334303461E-2</v>
      </c>
      <c r="H543" s="1" t="s">
        <v>257</v>
      </c>
      <c r="J543" s="1" t="s">
        <v>258</v>
      </c>
      <c r="K543" s="1" t="s">
        <v>658</v>
      </c>
      <c r="L543" s="1" t="s">
        <v>1962</v>
      </c>
      <c r="M543" s="1" t="s">
        <v>260</v>
      </c>
      <c r="N543" s="1" t="s">
        <v>357</v>
      </c>
      <c r="O543" s="1" t="s">
        <v>632</v>
      </c>
      <c r="P543" s="1" t="str">
        <f>_xlfn.CONCAT(B543,C543,D543,E543,F543)</f>
        <v>BC Camarao1.2Inverter(MBUS-16)46036,020833333346036,020833333346036,0791666667</v>
      </c>
      <c r="Q543" s="1" t="str">
        <f>_xlfn.CONCAT(H543,I543,J543)</f>
        <v>DAURDE</v>
      </c>
    </row>
    <row r="544" spans="2:17">
      <c r="B544" s="1" t="s">
        <v>387</v>
      </c>
      <c r="C544" s="1" t="s">
        <v>256</v>
      </c>
      <c r="D544" s="52">
        <v>46036.020833333336</v>
      </c>
      <c r="E544" s="52">
        <v>46036.020833333336</v>
      </c>
      <c r="F544" s="52">
        <v>46036.07916666667</v>
      </c>
      <c r="G544" s="53">
        <f>F544-E544</f>
        <v>5.8333333334303461E-2</v>
      </c>
      <c r="H544" s="1" t="s">
        <v>257</v>
      </c>
      <c r="J544" s="1" t="s">
        <v>258</v>
      </c>
      <c r="K544" s="1" t="s">
        <v>658</v>
      </c>
      <c r="L544" s="1" t="s">
        <v>1962</v>
      </c>
      <c r="M544" s="1" t="s">
        <v>260</v>
      </c>
      <c r="N544" s="1" t="s">
        <v>357</v>
      </c>
      <c r="O544" s="1" t="s">
        <v>632</v>
      </c>
      <c r="P544" s="1" t="str">
        <f>_xlfn.CONCAT(B544,C544,D544,E544,F544)</f>
        <v>BC Camarao1.2Inverter(MBUS-12)46036,020833333346036,020833333346036,0791666667</v>
      </c>
      <c r="Q544" s="1" t="str">
        <f>_xlfn.CONCAT(H544,I544,J544)</f>
        <v>DAURDE</v>
      </c>
    </row>
    <row r="545" spans="2:17">
      <c r="B545" s="1" t="s">
        <v>381</v>
      </c>
      <c r="C545" s="1" t="s">
        <v>379</v>
      </c>
      <c r="D545" s="52">
        <v>46036.020833333336</v>
      </c>
      <c r="E545" s="52">
        <v>46036.020833333336</v>
      </c>
      <c r="F545" s="52">
        <v>46036.07916666667</v>
      </c>
      <c r="G545" s="53">
        <f>F545-E545</f>
        <v>5.8333333334303461E-2</v>
      </c>
      <c r="H545" s="1" t="s">
        <v>257</v>
      </c>
      <c r="J545" s="1" t="s">
        <v>258</v>
      </c>
      <c r="K545" s="1" t="s">
        <v>658</v>
      </c>
      <c r="L545" s="1" t="s">
        <v>1962</v>
      </c>
      <c r="M545" s="1" t="s">
        <v>260</v>
      </c>
      <c r="N545" s="1" t="s">
        <v>357</v>
      </c>
      <c r="O545" s="1" t="s">
        <v>632</v>
      </c>
      <c r="P545" s="1" t="str">
        <f>_xlfn.CONCAT(B545,C545,D545,E545,F545)</f>
        <v>BC Camarao1.3215KTL-H3(MBUS-16)46036,020833333346036,020833333346036,0791666667</v>
      </c>
      <c r="Q545" s="1" t="str">
        <f>_xlfn.CONCAT(H545,I545,J545)</f>
        <v>DAURDE</v>
      </c>
    </row>
    <row r="546" spans="2:17">
      <c r="B546" s="1" t="s">
        <v>381</v>
      </c>
      <c r="C546" s="1" t="s">
        <v>382</v>
      </c>
      <c r="D546" s="52">
        <v>46036.020833333336</v>
      </c>
      <c r="E546" s="52">
        <v>46036.020833333336</v>
      </c>
      <c r="F546" s="52">
        <v>46036.07916666667</v>
      </c>
      <c r="G546" s="53">
        <f>F546-E546</f>
        <v>5.8333333334303461E-2</v>
      </c>
      <c r="H546" s="1" t="s">
        <v>257</v>
      </c>
      <c r="J546" s="1" t="s">
        <v>258</v>
      </c>
      <c r="K546" s="1" t="s">
        <v>658</v>
      </c>
      <c r="L546" s="1" t="s">
        <v>1962</v>
      </c>
      <c r="M546" s="1" t="s">
        <v>260</v>
      </c>
      <c r="N546" s="1" t="s">
        <v>357</v>
      </c>
      <c r="O546" s="1" t="s">
        <v>632</v>
      </c>
      <c r="P546" s="1" t="str">
        <f>_xlfn.CONCAT(B546,C546,D546,E546,F546)</f>
        <v>BC Camarao1.3215KTL-H3(MBUS-14)46036,020833333346036,020833333346036,0791666667</v>
      </c>
      <c r="Q546" s="1" t="str">
        <f>_xlfn.CONCAT(H546,I546,J546)</f>
        <v>DAURDE</v>
      </c>
    </row>
    <row r="547" spans="2:17">
      <c r="B547" s="1" t="s">
        <v>381</v>
      </c>
      <c r="C547" s="1" t="s">
        <v>380</v>
      </c>
      <c r="D547" s="52">
        <v>46036.020833333336</v>
      </c>
      <c r="E547" s="52">
        <v>46036.020833333336</v>
      </c>
      <c r="F547" s="52">
        <v>46036.07916666667</v>
      </c>
      <c r="G547" s="53">
        <f>F547-E547</f>
        <v>5.8333333334303461E-2</v>
      </c>
      <c r="H547" s="1" t="s">
        <v>257</v>
      </c>
      <c r="J547" s="1" t="s">
        <v>258</v>
      </c>
      <c r="K547" s="1" t="s">
        <v>658</v>
      </c>
      <c r="L547" s="1" t="s">
        <v>1962</v>
      </c>
      <c r="M547" s="1" t="s">
        <v>260</v>
      </c>
      <c r="N547" s="1" t="s">
        <v>357</v>
      </c>
      <c r="O547" s="1" t="s">
        <v>632</v>
      </c>
      <c r="P547" s="1" t="str">
        <f>_xlfn.CONCAT(B547,C547,D547,E547,F547)</f>
        <v>BC Camarao1.3215KTL-H3(MBUS-15)46036,020833333346036,020833333346036,0791666667</v>
      </c>
      <c r="Q547" s="1" t="str">
        <f>_xlfn.CONCAT(H547,I547,J547)</f>
        <v>DAURDE</v>
      </c>
    </row>
    <row r="548" spans="2:17">
      <c r="B548" s="1" t="s">
        <v>381</v>
      </c>
      <c r="C548" s="1" t="s">
        <v>377</v>
      </c>
      <c r="D548" s="52">
        <v>46036.020833333336</v>
      </c>
      <c r="E548" s="52">
        <v>46036.020833333336</v>
      </c>
      <c r="F548" s="52">
        <v>46036.07916666667</v>
      </c>
      <c r="G548" s="53">
        <f>F548-E548</f>
        <v>5.8333333334303461E-2</v>
      </c>
      <c r="H548" s="1" t="s">
        <v>257</v>
      </c>
      <c r="J548" s="1" t="s">
        <v>258</v>
      </c>
      <c r="K548" s="1" t="s">
        <v>658</v>
      </c>
      <c r="L548" s="1" t="s">
        <v>1962</v>
      </c>
      <c r="M548" s="1" t="s">
        <v>260</v>
      </c>
      <c r="N548" s="1" t="s">
        <v>357</v>
      </c>
      <c r="O548" s="1" t="s">
        <v>632</v>
      </c>
      <c r="P548" s="1" t="str">
        <f>_xlfn.CONCAT(B548,C548,D548,E548,F548)</f>
        <v>BC Camarao1.3215KTL-H3(MBUS-12)46036,020833333346036,020833333346036,0791666667</v>
      </c>
      <c r="Q548" s="1" t="str">
        <f>_xlfn.CONCAT(H548,I548,J548)</f>
        <v>DAURDE</v>
      </c>
    </row>
    <row r="549" spans="2:17">
      <c r="B549" s="1" t="s">
        <v>381</v>
      </c>
      <c r="C549" s="1" t="s">
        <v>378</v>
      </c>
      <c r="D549" s="52">
        <v>46036.020833333336</v>
      </c>
      <c r="E549" s="52">
        <v>46036.020833333336</v>
      </c>
      <c r="F549" s="52">
        <v>46036.07916666667</v>
      </c>
      <c r="G549" s="53">
        <f>F549-E549</f>
        <v>5.8333333334303461E-2</v>
      </c>
      <c r="H549" s="1" t="s">
        <v>257</v>
      </c>
      <c r="J549" s="1" t="s">
        <v>258</v>
      </c>
      <c r="K549" s="1" t="s">
        <v>658</v>
      </c>
      <c r="L549" s="1" t="s">
        <v>1962</v>
      </c>
      <c r="M549" s="1" t="s">
        <v>260</v>
      </c>
      <c r="N549" s="1" t="s">
        <v>357</v>
      </c>
      <c r="O549" s="1" t="s">
        <v>632</v>
      </c>
      <c r="P549" s="1" t="str">
        <f>_xlfn.CONCAT(B549,C549,D549,E549,F549)</f>
        <v>BC Camarao1.3215KTL-H3(MBUS-13)46036,020833333346036,020833333346036,0791666667</v>
      </c>
      <c r="Q549" s="1" t="str">
        <f>_xlfn.CONCAT(H549,I549,J549)</f>
        <v>DAURDE</v>
      </c>
    </row>
    <row r="550" spans="2:17">
      <c r="B550" s="1" t="s">
        <v>391</v>
      </c>
      <c r="C550" s="1" t="s">
        <v>392</v>
      </c>
      <c r="D550" s="52">
        <v>46036.020833333336</v>
      </c>
      <c r="E550" s="52">
        <v>46036.020833333336</v>
      </c>
      <c r="F550" s="52">
        <v>46036.07916666667</v>
      </c>
      <c r="G550" s="53">
        <f>F550-E550</f>
        <v>5.8333333334303461E-2</v>
      </c>
      <c r="H550" s="1" t="s">
        <v>257</v>
      </c>
      <c r="J550" s="1" t="s">
        <v>258</v>
      </c>
      <c r="K550" s="1" t="s">
        <v>658</v>
      </c>
      <c r="L550" s="1" t="s">
        <v>1962</v>
      </c>
      <c r="M550" s="1" t="s">
        <v>260</v>
      </c>
      <c r="N550" s="1" t="s">
        <v>357</v>
      </c>
      <c r="O550" s="1" t="s">
        <v>632</v>
      </c>
      <c r="P550" s="1" t="str">
        <f>_xlfn.CONCAT(B550,C550,D550,E550,F550)</f>
        <v>BC Camarao1.4INV-6T22A904138146036,020833333346036,020833333346036,0791666667</v>
      </c>
      <c r="Q550" s="1" t="str">
        <f>_xlfn.CONCAT(H550,I550,J550)</f>
        <v>DAURDE</v>
      </c>
    </row>
    <row r="551" spans="2:17">
      <c r="B551" s="1" t="s">
        <v>391</v>
      </c>
      <c r="C551" s="1" t="s">
        <v>382</v>
      </c>
      <c r="D551" s="52">
        <v>46036.020833333336</v>
      </c>
      <c r="E551" s="52">
        <v>46036.020833333336</v>
      </c>
      <c r="F551" s="52">
        <v>46036.07916666667</v>
      </c>
      <c r="G551" s="53">
        <f>F551-E551</f>
        <v>5.8333333334303461E-2</v>
      </c>
      <c r="H551" s="1" t="s">
        <v>257</v>
      </c>
      <c r="J551" s="1" t="s">
        <v>258</v>
      </c>
      <c r="K551" s="1" t="s">
        <v>658</v>
      </c>
      <c r="L551" s="1" t="s">
        <v>1962</v>
      </c>
      <c r="M551" s="1" t="s">
        <v>260</v>
      </c>
      <c r="N551" s="1" t="s">
        <v>357</v>
      </c>
      <c r="O551" s="1" t="s">
        <v>632</v>
      </c>
      <c r="P551" s="1" t="str">
        <f>_xlfn.CONCAT(B551,C551,D551,E551,F551)</f>
        <v>BC Camarao1.4215KTL-H3(MBUS-14)46036,020833333346036,020833333346036,0791666667</v>
      </c>
      <c r="Q551" s="1" t="str">
        <f>_xlfn.CONCAT(H551,I551,J551)</f>
        <v>DAURDE</v>
      </c>
    </row>
    <row r="552" spans="2:17">
      <c r="B552" s="1" t="s">
        <v>391</v>
      </c>
      <c r="C552" s="1" t="s">
        <v>378</v>
      </c>
      <c r="D552" s="52">
        <v>46036.020833333336</v>
      </c>
      <c r="E552" s="52">
        <v>46036.020833333336</v>
      </c>
      <c r="F552" s="52">
        <v>46036.07916666667</v>
      </c>
      <c r="G552" s="53">
        <f>F552-E552</f>
        <v>5.8333333334303461E-2</v>
      </c>
      <c r="H552" s="1" t="s">
        <v>257</v>
      </c>
      <c r="J552" s="1" t="s">
        <v>258</v>
      </c>
      <c r="K552" s="1" t="s">
        <v>658</v>
      </c>
      <c r="L552" s="1" t="s">
        <v>1962</v>
      </c>
      <c r="M552" s="1" t="s">
        <v>260</v>
      </c>
      <c r="N552" s="1" t="s">
        <v>357</v>
      </c>
      <c r="O552" s="1" t="s">
        <v>632</v>
      </c>
      <c r="P552" s="1" t="str">
        <f>_xlfn.CONCAT(B552,C552,D552,E552,F552)</f>
        <v>BC Camarao1.4215KTL-H3(MBUS-13)46036,020833333346036,020833333346036,0791666667</v>
      </c>
      <c r="Q552" s="1" t="str">
        <f>_xlfn.CONCAT(H552,I552,J552)</f>
        <v>DAURDE</v>
      </c>
    </row>
    <row r="553" spans="2:17">
      <c r="B553" s="1" t="s">
        <v>391</v>
      </c>
      <c r="C553" s="1" t="s">
        <v>379</v>
      </c>
      <c r="D553" s="52">
        <v>46036.020833333336</v>
      </c>
      <c r="E553" s="52">
        <v>46036.020833333336</v>
      </c>
      <c r="F553" s="52">
        <v>46036.07916666667</v>
      </c>
      <c r="G553" s="53">
        <f>F553-E553</f>
        <v>5.8333333334303461E-2</v>
      </c>
      <c r="H553" s="1" t="s">
        <v>257</v>
      </c>
      <c r="J553" s="1" t="s">
        <v>258</v>
      </c>
      <c r="K553" s="1" t="s">
        <v>658</v>
      </c>
      <c r="L553" s="1" t="s">
        <v>1962</v>
      </c>
      <c r="M553" s="1" t="s">
        <v>260</v>
      </c>
      <c r="N553" s="1" t="s">
        <v>357</v>
      </c>
      <c r="O553" s="1" t="s">
        <v>632</v>
      </c>
      <c r="P553" s="1" t="str">
        <f>_xlfn.CONCAT(B553,C553,D553,E553,F553)</f>
        <v>BC Camarao1.4215KTL-H3(MBUS-16)46036,020833333346036,020833333346036,0791666667</v>
      </c>
      <c r="Q553" s="1" t="str">
        <f>_xlfn.CONCAT(H553,I553,J553)</f>
        <v>DAURDE</v>
      </c>
    </row>
    <row r="554" spans="2:17">
      <c r="B554" s="1" t="s">
        <v>391</v>
      </c>
      <c r="C554" s="1" t="s">
        <v>380</v>
      </c>
      <c r="D554" s="52">
        <v>46036.020833333336</v>
      </c>
      <c r="E554" s="52">
        <v>46036.020833333336</v>
      </c>
      <c r="F554" s="52">
        <v>46036.07916666667</v>
      </c>
      <c r="G554" s="53">
        <f>F554-E554</f>
        <v>5.8333333334303461E-2</v>
      </c>
      <c r="H554" s="1" t="s">
        <v>257</v>
      </c>
      <c r="J554" s="1" t="s">
        <v>258</v>
      </c>
      <c r="K554" s="1" t="s">
        <v>658</v>
      </c>
      <c r="L554" s="1" t="s">
        <v>1962</v>
      </c>
      <c r="M554" s="1" t="s">
        <v>260</v>
      </c>
      <c r="N554" s="1" t="s">
        <v>357</v>
      </c>
      <c r="O554" s="1" t="s">
        <v>632</v>
      </c>
      <c r="P554" s="1" t="str">
        <f>_xlfn.CONCAT(B554,C554,D554,E554,F554)</f>
        <v>BC Camarao1.4215KTL-H3(MBUS-15)46036,020833333346036,020833333346036,0791666667</v>
      </c>
      <c r="Q554" s="1" t="str">
        <f>_xlfn.CONCAT(H554,I554,J554)</f>
        <v>DAURDE</v>
      </c>
    </row>
    <row r="555" spans="2:17">
      <c r="B555" s="1" t="s">
        <v>519</v>
      </c>
      <c r="C555" s="1" t="s">
        <v>380</v>
      </c>
      <c r="D555" s="52">
        <v>46036.020833333336</v>
      </c>
      <c r="E555" s="52">
        <v>46036.020833333336</v>
      </c>
      <c r="F555" s="52">
        <v>46036.07916666667</v>
      </c>
      <c r="G555" s="53">
        <f>F555-E555</f>
        <v>5.8333333334303461E-2</v>
      </c>
      <c r="H555" s="1" t="s">
        <v>257</v>
      </c>
      <c r="J555" s="1" t="s">
        <v>258</v>
      </c>
      <c r="K555" s="1" t="s">
        <v>658</v>
      </c>
      <c r="L555" s="1" t="s">
        <v>1962</v>
      </c>
      <c r="M555" s="1" t="s">
        <v>260</v>
      </c>
      <c r="N555" s="1" t="s">
        <v>357</v>
      </c>
      <c r="O555" s="1" t="s">
        <v>632</v>
      </c>
      <c r="P555" s="1" t="str">
        <f>_xlfn.CONCAT(B555,C555,D555,E555,F555)</f>
        <v>BC Camarao1.5215KTL-H3(MBUS-15)46036,020833333346036,020833333346036,0791666667</v>
      </c>
      <c r="Q555" s="1" t="str">
        <f>_xlfn.CONCAT(H555,I555,J555)</f>
        <v>DAURDE</v>
      </c>
    </row>
    <row r="556" spans="2:17">
      <c r="B556" s="1" t="s">
        <v>519</v>
      </c>
      <c r="C556" s="1" t="s">
        <v>378</v>
      </c>
      <c r="D556" s="52">
        <v>46036.020833333336</v>
      </c>
      <c r="E556" s="52">
        <v>46036.020833333336</v>
      </c>
      <c r="F556" s="52">
        <v>46036.07916666667</v>
      </c>
      <c r="G556" s="53">
        <f>F556-E556</f>
        <v>5.8333333334303461E-2</v>
      </c>
      <c r="H556" s="1" t="s">
        <v>257</v>
      </c>
      <c r="J556" s="1" t="s">
        <v>258</v>
      </c>
      <c r="K556" s="1" t="s">
        <v>658</v>
      </c>
      <c r="L556" s="1" t="s">
        <v>1962</v>
      </c>
      <c r="M556" s="1" t="s">
        <v>260</v>
      </c>
      <c r="N556" s="1" t="s">
        <v>357</v>
      </c>
      <c r="O556" s="1" t="s">
        <v>632</v>
      </c>
      <c r="P556" s="1" t="str">
        <f>_xlfn.CONCAT(B556,C556,D556,E556,F556)</f>
        <v>BC Camarao1.5215KTL-H3(MBUS-13)46036,020833333346036,020833333346036,0791666667</v>
      </c>
      <c r="Q556" s="1" t="str">
        <f>_xlfn.CONCAT(H556,I556,J556)</f>
        <v>DAURDE</v>
      </c>
    </row>
    <row r="557" spans="2:17">
      <c r="B557" s="1" t="s">
        <v>519</v>
      </c>
      <c r="C557" s="1" t="s">
        <v>377</v>
      </c>
      <c r="D557" s="52">
        <v>46036.020833333336</v>
      </c>
      <c r="E557" s="52">
        <v>46036.020833333336</v>
      </c>
      <c r="F557" s="52">
        <v>46036.07916666667</v>
      </c>
      <c r="G557" s="53">
        <f>F557-E557</f>
        <v>5.8333333334303461E-2</v>
      </c>
      <c r="H557" s="1" t="s">
        <v>257</v>
      </c>
      <c r="J557" s="1" t="s">
        <v>258</v>
      </c>
      <c r="K557" s="1" t="s">
        <v>658</v>
      </c>
      <c r="L557" s="1" t="s">
        <v>1962</v>
      </c>
      <c r="M557" s="1" t="s">
        <v>260</v>
      </c>
      <c r="N557" s="1" t="s">
        <v>357</v>
      </c>
      <c r="O557" s="1" t="s">
        <v>632</v>
      </c>
      <c r="P557" s="1" t="str">
        <f>_xlfn.CONCAT(B557,C557,D557,E557,F557)</f>
        <v>BC Camarao1.5215KTL-H3(MBUS-12)46036,020833333346036,020833333346036,0791666667</v>
      </c>
      <c r="Q557" s="1" t="str">
        <f>_xlfn.CONCAT(H557,I557,J557)</f>
        <v>DAURDE</v>
      </c>
    </row>
    <row r="558" spans="2:17">
      <c r="B558" s="1" t="s">
        <v>519</v>
      </c>
      <c r="C558" s="1" t="s">
        <v>520</v>
      </c>
      <c r="D558" s="52">
        <v>46036.020833333336</v>
      </c>
      <c r="E558" s="52">
        <v>46036.020833333336</v>
      </c>
      <c r="F558" s="52">
        <v>46036.07916666667</v>
      </c>
      <c r="G558" s="53">
        <f>F558-E558</f>
        <v>5.8333333334303461E-2</v>
      </c>
      <c r="H558" s="1" t="s">
        <v>257</v>
      </c>
      <c r="J558" s="1" t="s">
        <v>258</v>
      </c>
      <c r="K558" s="1" t="s">
        <v>658</v>
      </c>
      <c r="L558" s="1" t="s">
        <v>1962</v>
      </c>
      <c r="M558" s="1" t="s">
        <v>260</v>
      </c>
      <c r="N558" s="1" t="s">
        <v>357</v>
      </c>
      <c r="O558" s="1" t="s">
        <v>632</v>
      </c>
      <c r="P558" s="1" t="str">
        <f>_xlfn.CONCAT(B558,C558,D558,E558,F558)</f>
        <v>BC Camarao1.5215KTL-H3(MBUS-1)46036,020833333346036,020833333346036,0791666667</v>
      </c>
      <c r="Q558" s="1" t="str">
        <f>_xlfn.CONCAT(H558,I558,J558)</f>
        <v>DAURDE</v>
      </c>
    </row>
    <row r="559" spans="2:17">
      <c r="B559" s="1" t="s">
        <v>519</v>
      </c>
      <c r="C559" s="1" t="s">
        <v>382</v>
      </c>
      <c r="D559" s="52">
        <v>46036.020833333336</v>
      </c>
      <c r="E559" s="52">
        <v>46036.020833333336</v>
      </c>
      <c r="F559" s="52">
        <v>46036.07916666667</v>
      </c>
      <c r="G559" s="53">
        <f>F559-E559</f>
        <v>5.8333333334303461E-2</v>
      </c>
      <c r="H559" s="1" t="s">
        <v>257</v>
      </c>
      <c r="J559" s="1" t="s">
        <v>258</v>
      </c>
      <c r="K559" s="1" t="s">
        <v>658</v>
      </c>
      <c r="L559" s="1" t="s">
        <v>1962</v>
      </c>
      <c r="M559" s="1" t="s">
        <v>260</v>
      </c>
      <c r="N559" s="1" t="s">
        <v>357</v>
      </c>
      <c r="O559" s="1" t="s">
        <v>632</v>
      </c>
      <c r="P559" s="1" t="str">
        <f>_xlfn.CONCAT(B559,C559,D559,E559,F559)</f>
        <v>BC Camarao1.5215KTL-H3(MBUS-14)46036,020833333346036,020833333346036,0791666667</v>
      </c>
      <c r="Q559" s="1" t="str">
        <f>_xlfn.CONCAT(H559,I559,J559)</f>
        <v>DAURDE</v>
      </c>
    </row>
    <row r="560" spans="2:17">
      <c r="B560" s="1" t="s">
        <v>698</v>
      </c>
      <c r="C560" s="1" t="s">
        <v>263</v>
      </c>
      <c r="D560" s="52">
        <v>46036.25</v>
      </c>
      <c r="E560" s="52">
        <v>46036.25</v>
      </c>
      <c r="F560" s="52">
        <v>46036.3</v>
      </c>
      <c r="G560" s="53">
        <f>F560-E560</f>
        <v>5.0000000002910383E-2</v>
      </c>
      <c r="H560" s="1" t="s">
        <v>257</v>
      </c>
      <c r="J560" s="1" t="s">
        <v>258</v>
      </c>
      <c r="K560" s="1" t="s">
        <v>658</v>
      </c>
      <c r="L560" s="1" t="s">
        <v>1990</v>
      </c>
      <c r="M560" s="1" t="s">
        <v>260</v>
      </c>
      <c r="N560" s="1" t="s">
        <v>357</v>
      </c>
      <c r="O560" s="1" t="s">
        <v>632</v>
      </c>
      <c r="P560" s="1" t="str">
        <f>_xlfn.CONCAT(B560,C560,D561,E560,F560)</f>
        <v>BC Turvania1.1Inverter(MBUS-14)46036,2546036,2546036,3</v>
      </c>
      <c r="Q560" s="1" t="str">
        <f>_xlfn.CONCAT(H560,I560,J560)</f>
        <v>DAURDE</v>
      </c>
    </row>
    <row r="561" spans="2:17">
      <c r="B561" s="1" t="s">
        <v>698</v>
      </c>
      <c r="C561" s="1" t="s">
        <v>307</v>
      </c>
      <c r="D561" s="52">
        <v>46036.25</v>
      </c>
      <c r="E561" s="52">
        <v>46036.25</v>
      </c>
      <c r="F561" s="52">
        <v>46036.3</v>
      </c>
      <c r="G561" s="53">
        <f>F561-E561</f>
        <v>5.0000000002910383E-2</v>
      </c>
      <c r="H561" s="1" t="s">
        <v>257</v>
      </c>
      <c r="J561" s="1" t="s">
        <v>258</v>
      </c>
      <c r="K561" s="1" t="s">
        <v>658</v>
      </c>
      <c r="L561" s="1" t="s">
        <v>1990</v>
      </c>
      <c r="M561" s="1" t="s">
        <v>260</v>
      </c>
      <c r="N561" s="1" t="s">
        <v>357</v>
      </c>
      <c r="O561" s="1" t="s">
        <v>632</v>
      </c>
      <c r="P561" s="1" t="str">
        <f>_xlfn.CONCAT(B561,C561,D561,E561,F561)</f>
        <v>BC Turvania1.1Inverter(MBUS-15)46036,2546036,2546036,3</v>
      </c>
      <c r="Q561" s="1" t="str">
        <f>_xlfn.CONCAT(H561,I561,J561)</f>
        <v>DAURDE</v>
      </c>
    </row>
    <row r="562" spans="2:17">
      <c r="B562" s="1" t="s">
        <v>698</v>
      </c>
      <c r="C562" s="1" t="s">
        <v>256</v>
      </c>
      <c r="D562" s="52">
        <v>46036.25</v>
      </c>
      <c r="E562" s="52">
        <v>46036.25</v>
      </c>
      <c r="F562" s="52">
        <v>46036.3</v>
      </c>
      <c r="G562" s="53">
        <f>F562-E562</f>
        <v>5.0000000002910383E-2</v>
      </c>
      <c r="H562" s="1" t="s">
        <v>257</v>
      </c>
      <c r="J562" s="1" t="s">
        <v>258</v>
      </c>
      <c r="K562" s="1" t="s">
        <v>658</v>
      </c>
      <c r="L562" s="1" t="s">
        <v>1990</v>
      </c>
      <c r="M562" s="1" t="s">
        <v>260</v>
      </c>
      <c r="N562" s="1" t="s">
        <v>357</v>
      </c>
      <c r="O562" s="1" t="s">
        <v>632</v>
      </c>
      <c r="P562" s="1" t="str">
        <f>_xlfn.CONCAT(B562,C562,D562,E562,F562)</f>
        <v>BC Turvania1.1Inverter(MBUS-12)46036,2546036,2546036,3</v>
      </c>
      <c r="Q562" s="1" t="str">
        <f>_xlfn.CONCAT(H562,I562,J562)</f>
        <v>DAURDE</v>
      </c>
    </row>
    <row r="563" spans="2:17">
      <c r="B563" s="1" t="s">
        <v>698</v>
      </c>
      <c r="C563" s="1" t="s">
        <v>264</v>
      </c>
      <c r="D563" s="52">
        <v>46036.25</v>
      </c>
      <c r="E563" s="52">
        <v>46036.25</v>
      </c>
      <c r="F563" s="52">
        <v>46036.3</v>
      </c>
      <c r="G563" s="53">
        <f>F563-E563</f>
        <v>5.0000000002910383E-2</v>
      </c>
      <c r="H563" s="1" t="s">
        <v>257</v>
      </c>
      <c r="J563" s="1" t="s">
        <v>258</v>
      </c>
      <c r="K563" s="1" t="s">
        <v>658</v>
      </c>
      <c r="L563" s="1" t="s">
        <v>1990</v>
      </c>
      <c r="M563" s="1" t="s">
        <v>260</v>
      </c>
      <c r="N563" s="1" t="s">
        <v>357</v>
      </c>
      <c r="O563" s="1" t="s">
        <v>632</v>
      </c>
      <c r="P563" s="1" t="str">
        <f>_xlfn.CONCAT(B563,C563,D563,E563,F563)</f>
        <v>BC Turvania1.1Inverter(MBUS-13)46036,2546036,2546036,3</v>
      </c>
      <c r="Q563" s="1" t="str">
        <f>_xlfn.CONCAT(H563,I563,J563)</f>
        <v>DAURDE</v>
      </c>
    </row>
    <row r="564" spans="2:17">
      <c r="B564" s="1" t="s">
        <v>700</v>
      </c>
      <c r="C564" s="1" t="s">
        <v>263</v>
      </c>
      <c r="D564" s="52">
        <v>46036.25</v>
      </c>
      <c r="E564" s="52">
        <v>46036.25</v>
      </c>
      <c r="F564" s="52">
        <v>46036.3</v>
      </c>
      <c r="G564" s="53">
        <f>F564-E564</f>
        <v>5.0000000002910383E-2</v>
      </c>
      <c r="H564" s="1" t="s">
        <v>257</v>
      </c>
      <c r="J564" s="1" t="s">
        <v>258</v>
      </c>
      <c r="K564" s="1" t="s">
        <v>658</v>
      </c>
      <c r="L564" s="1" t="s">
        <v>1990</v>
      </c>
      <c r="M564" s="1" t="s">
        <v>260</v>
      </c>
      <c r="N564" s="1" t="s">
        <v>357</v>
      </c>
      <c r="O564" s="1" t="s">
        <v>632</v>
      </c>
      <c r="P564" s="1" t="str">
        <f>_xlfn.CONCAT(B564,C564,D564,E564,F564)</f>
        <v>BC Turvania1.2Inverter(MBUS-14)46036,2546036,2546036,3</v>
      </c>
      <c r="Q564" s="1" t="str">
        <f>_xlfn.CONCAT(H564,I564,J564)</f>
        <v>DAURDE</v>
      </c>
    </row>
    <row r="565" spans="2:17">
      <c r="B565" s="1" t="s">
        <v>700</v>
      </c>
      <c r="C565" s="1" t="s">
        <v>264</v>
      </c>
      <c r="D565" s="52">
        <v>46036.25</v>
      </c>
      <c r="E565" s="52">
        <v>46036.25</v>
      </c>
      <c r="F565" s="52">
        <v>46036.3</v>
      </c>
      <c r="G565" s="53">
        <f>F565-E565</f>
        <v>5.0000000002910383E-2</v>
      </c>
      <c r="H565" s="1" t="s">
        <v>257</v>
      </c>
      <c r="J565" s="1" t="s">
        <v>258</v>
      </c>
      <c r="K565" s="1" t="s">
        <v>658</v>
      </c>
      <c r="L565" s="1" t="s">
        <v>1990</v>
      </c>
      <c r="M565" s="1" t="s">
        <v>260</v>
      </c>
      <c r="N565" s="1" t="s">
        <v>357</v>
      </c>
      <c r="O565" s="1" t="s">
        <v>632</v>
      </c>
      <c r="P565" s="1" t="str">
        <f>_xlfn.CONCAT(B565,C565,D565,E565,F565)</f>
        <v>BC Turvania1.2Inverter(MBUS-13)46036,2546036,2546036,3</v>
      </c>
      <c r="Q565" s="1" t="str">
        <f>_xlfn.CONCAT(H565,I565,J565)</f>
        <v>DAURDE</v>
      </c>
    </row>
    <row r="566" spans="2:17">
      <c r="B566" s="1" t="s">
        <v>700</v>
      </c>
      <c r="C566" s="1" t="s">
        <v>256</v>
      </c>
      <c r="D566" s="52">
        <v>46036.25</v>
      </c>
      <c r="E566" s="52">
        <v>46036.25</v>
      </c>
      <c r="F566" s="52">
        <v>46036.3</v>
      </c>
      <c r="G566" s="53">
        <f>F566-E566</f>
        <v>5.0000000002910383E-2</v>
      </c>
      <c r="H566" s="1" t="s">
        <v>257</v>
      </c>
      <c r="J566" s="1" t="s">
        <v>258</v>
      </c>
      <c r="K566" s="1" t="s">
        <v>658</v>
      </c>
      <c r="L566" s="1" t="s">
        <v>1990</v>
      </c>
      <c r="M566" s="1" t="s">
        <v>260</v>
      </c>
      <c r="N566" s="1" t="s">
        <v>357</v>
      </c>
      <c r="O566" s="1" t="s">
        <v>632</v>
      </c>
      <c r="P566" s="1" t="str">
        <f>_xlfn.CONCAT(B566,C566,D566,E566,F566)</f>
        <v>BC Turvania1.2Inverter(MBUS-12)46036,2546036,2546036,3</v>
      </c>
      <c r="Q566" s="1" t="str">
        <f>_xlfn.CONCAT(H566,I566,J566)</f>
        <v>DAURDE</v>
      </c>
    </row>
    <row r="567" spans="2:17">
      <c r="B567" s="1" t="s">
        <v>700</v>
      </c>
      <c r="C567" s="1" t="s">
        <v>307</v>
      </c>
      <c r="D567" s="52">
        <v>46036.25</v>
      </c>
      <c r="E567" s="52">
        <v>46036.25</v>
      </c>
      <c r="F567" s="52">
        <v>46036.3</v>
      </c>
      <c r="G567" s="53">
        <f>F567-E567</f>
        <v>5.0000000002910383E-2</v>
      </c>
      <c r="H567" s="1" t="s">
        <v>257</v>
      </c>
      <c r="J567" s="1" t="s">
        <v>258</v>
      </c>
      <c r="K567" s="1" t="s">
        <v>658</v>
      </c>
      <c r="L567" s="1" t="s">
        <v>1990</v>
      </c>
      <c r="M567" s="1" t="s">
        <v>260</v>
      </c>
      <c r="N567" s="1" t="s">
        <v>357</v>
      </c>
      <c r="O567" s="1" t="s">
        <v>632</v>
      </c>
      <c r="P567" s="1" t="str">
        <f>_xlfn.CONCAT(B567,C567,D567,E567,F567)</f>
        <v>BC Turvania1.2Inverter(MBUS-15)46036,2546036,2546036,3</v>
      </c>
      <c r="Q567" s="1" t="str">
        <f>_xlfn.CONCAT(H567,I567,J567)</f>
        <v>DAURDE</v>
      </c>
    </row>
    <row r="568" spans="2:17">
      <c r="B568" s="1" t="s">
        <v>314</v>
      </c>
      <c r="C568" s="1" t="s">
        <v>264</v>
      </c>
      <c r="D568" s="52">
        <v>46036.25</v>
      </c>
      <c r="E568" s="52">
        <v>46036.25</v>
      </c>
      <c r="F568" s="52">
        <v>46036.3</v>
      </c>
      <c r="G568" s="53">
        <f>F568-E568</f>
        <v>5.0000000002910383E-2</v>
      </c>
      <c r="H568" s="1" t="s">
        <v>257</v>
      </c>
      <c r="J568" s="1" t="s">
        <v>258</v>
      </c>
      <c r="K568" s="1" t="s">
        <v>658</v>
      </c>
      <c r="L568" s="1" t="s">
        <v>1990</v>
      </c>
      <c r="M568" s="1" t="s">
        <v>260</v>
      </c>
      <c r="N568" s="1" t="s">
        <v>357</v>
      </c>
      <c r="O568" s="1" t="s">
        <v>632</v>
      </c>
      <c r="P568" s="1" t="str">
        <f>_xlfn.CONCAT(B568,C568,D568,E568,F568)</f>
        <v>BC Turvania1.3Inverter(MBUS-13)46036,2546036,2546036,3</v>
      </c>
      <c r="Q568" s="1" t="str">
        <f>_xlfn.CONCAT(H568,I568,J568)</f>
        <v>DAURDE</v>
      </c>
    </row>
    <row r="569" spans="2:17">
      <c r="B569" s="1" t="s">
        <v>314</v>
      </c>
      <c r="C569" s="1" t="s">
        <v>263</v>
      </c>
      <c r="D569" s="52">
        <v>46036.25</v>
      </c>
      <c r="E569" s="52">
        <v>46036.25</v>
      </c>
      <c r="F569" s="52">
        <v>46036.3</v>
      </c>
      <c r="G569" s="53">
        <f>F569-E569</f>
        <v>5.0000000002910383E-2</v>
      </c>
      <c r="H569" s="1" t="s">
        <v>257</v>
      </c>
      <c r="J569" s="1" t="s">
        <v>258</v>
      </c>
      <c r="K569" s="1" t="s">
        <v>658</v>
      </c>
      <c r="L569" s="1" t="s">
        <v>1990</v>
      </c>
      <c r="M569" s="1" t="s">
        <v>260</v>
      </c>
      <c r="N569" s="1" t="s">
        <v>357</v>
      </c>
      <c r="O569" s="1" t="s">
        <v>632</v>
      </c>
      <c r="P569" s="1" t="str">
        <f>_xlfn.CONCAT(B569,C569,D569,E569,F569)</f>
        <v>BC Turvania1.3Inverter(MBUS-14)46036,2546036,2546036,3</v>
      </c>
      <c r="Q569" s="1" t="str">
        <f>_xlfn.CONCAT(H569,I569,J569)</f>
        <v>DAURDE</v>
      </c>
    </row>
    <row r="570" spans="2:17">
      <c r="B570" s="1" t="s">
        <v>314</v>
      </c>
      <c r="C570" s="1" t="s">
        <v>307</v>
      </c>
      <c r="D570" s="52">
        <v>46036.25</v>
      </c>
      <c r="E570" s="52">
        <v>46036.25</v>
      </c>
      <c r="F570" s="52">
        <v>46036.3</v>
      </c>
      <c r="G570" s="53">
        <f>F570-E570</f>
        <v>5.0000000002910383E-2</v>
      </c>
      <c r="H570" s="1" t="s">
        <v>257</v>
      </c>
      <c r="J570" s="1" t="s">
        <v>258</v>
      </c>
      <c r="K570" s="1" t="s">
        <v>658</v>
      </c>
      <c r="L570" s="1" t="s">
        <v>1990</v>
      </c>
      <c r="M570" s="1" t="s">
        <v>260</v>
      </c>
      <c r="N570" s="1" t="s">
        <v>357</v>
      </c>
      <c r="O570" s="1" t="s">
        <v>632</v>
      </c>
      <c r="P570" s="1" t="str">
        <f>_xlfn.CONCAT(B570,C570,D570,E570,F570)</f>
        <v>BC Turvania1.3Inverter(MBUS-15)46036,2546036,2546036,3</v>
      </c>
      <c r="Q570" s="1" t="str">
        <f>_xlfn.CONCAT(H570,I570,J570)</f>
        <v>DAURDE</v>
      </c>
    </row>
    <row r="571" spans="2:17">
      <c r="B571" s="1" t="s">
        <v>314</v>
      </c>
      <c r="C571" s="1" t="s">
        <v>247</v>
      </c>
      <c r="D571" s="52">
        <v>46036.25</v>
      </c>
      <c r="E571" s="52">
        <v>46036.25</v>
      </c>
      <c r="F571" s="52">
        <v>46036.3</v>
      </c>
      <c r="G571" s="53">
        <f>F571-E571</f>
        <v>5.0000000002910383E-2</v>
      </c>
      <c r="H571" s="1" t="s">
        <v>257</v>
      </c>
      <c r="J571" s="1" t="s">
        <v>258</v>
      </c>
      <c r="K571" s="1" t="s">
        <v>658</v>
      </c>
      <c r="L571" s="1" t="s">
        <v>1990</v>
      </c>
      <c r="M571" s="1" t="s">
        <v>260</v>
      </c>
      <c r="N571" s="1" t="s">
        <v>357</v>
      </c>
      <c r="O571" s="1" t="s">
        <v>632</v>
      </c>
      <c r="P571" s="1" t="str">
        <f>_xlfn.CONCAT(B571,C571,D571,E571,F571)</f>
        <v>BC Turvania1.3Inverter(MBUS-1)46036,2546036,2546036,3</v>
      </c>
      <c r="Q571" s="1" t="str">
        <f>_xlfn.CONCAT(H571,I571,J571)</f>
        <v>DAURDE</v>
      </c>
    </row>
    <row r="572" spans="2:17">
      <c r="B572" s="1" t="s">
        <v>701</v>
      </c>
      <c r="C572" s="1" t="s">
        <v>263</v>
      </c>
      <c r="D572" s="52">
        <v>46036.25</v>
      </c>
      <c r="E572" s="52">
        <v>46036.25</v>
      </c>
      <c r="F572" s="52">
        <v>46036.3</v>
      </c>
      <c r="G572" s="53">
        <f>F572-E572</f>
        <v>5.0000000002910383E-2</v>
      </c>
      <c r="H572" s="1" t="s">
        <v>257</v>
      </c>
      <c r="J572" s="1" t="s">
        <v>258</v>
      </c>
      <c r="K572" s="1" t="s">
        <v>658</v>
      </c>
      <c r="L572" s="1" t="s">
        <v>1990</v>
      </c>
      <c r="M572" s="1" t="s">
        <v>260</v>
      </c>
      <c r="N572" s="1" t="s">
        <v>357</v>
      </c>
      <c r="O572" s="1" t="s">
        <v>632</v>
      </c>
      <c r="P572" s="1" t="str">
        <f>_xlfn.CONCAT(B572,C572,D572,E572,F572)</f>
        <v>BC Turvania1.4Inverter(MBUS-14)46036,2546036,2546036,3</v>
      </c>
      <c r="Q572" s="1" t="str">
        <f>_xlfn.CONCAT(H572,I572,J572)</f>
        <v>DAURDE</v>
      </c>
    </row>
    <row r="573" spans="2:17">
      <c r="B573" s="1" t="s">
        <v>701</v>
      </c>
      <c r="C573" s="1" t="s">
        <v>307</v>
      </c>
      <c r="D573" s="52">
        <v>46036.25</v>
      </c>
      <c r="E573" s="52">
        <v>46036.25</v>
      </c>
      <c r="F573" s="52">
        <v>46036.3</v>
      </c>
      <c r="G573" s="53">
        <f>F573-E573</f>
        <v>5.0000000002910383E-2</v>
      </c>
      <c r="H573" s="1" t="s">
        <v>257</v>
      </c>
      <c r="J573" s="1" t="s">
        <v>258</v>
      </c>
      <c r="K573" s="1" t="s">
        <v>658</v>
      </c>
      <c r="L573" s="1" t="s">
        <v>1990</v>
      </c>
      <c r="M573" s="1" t="s">
        <v>260</v>
      </c>
      <c r="N573" s="1" t="s">
        <v>357</v>
      </c>
      <c r="O573" s="1" t="s">
        <v>632</v>
      </c>
      <c r="P573" s="1" t="str">
        <f>_xlfn.CONCAT(B573,C573,D573,E573,F573)</f>
        <v>BC Turvania1.4Inverter(MBUS-15)46036,2546036,2546036,3</v>
      </c>
      <c r="Q573" s="1" t="str">
        <f>_xlfn.CONCAT(H573,I573,J573)</f>
        <v>DAURDE</v>
      </c>
    </row>
    <row r="574" spans="2:17">
      <c r="B574" s="1" t="s">
        <v>701</v>
      </c>
      <c r="C574" s="1" t="s">
        <v>264</v>
      </c>
      <c r="D574" s="52">
        <v>46036.25</v>
      </c>
      <c r="E574" s="52">
        <v>46036.25</v>
      </c>
      <c r="F574" s="52">
        <v>46036.3</v>
      </c>
      <c r="G574" s="53">
        <f>F574-E574</f>
        <v>5.0000000002910383E-2</v>
      </c>
      <c r="H574" s="1" t="s">
        <v>257</v>
      </c>
      <c r="J574" s="1" t="s">
        <v>258</v>
      </c>
      <c r="K574" s="1" t="s">
        <v>658</v>
      </c>
      <c r="L574" s="1" t="s">
        <v>1990</v>
      </c>
      <c r="M574" s="1" t="s">
        <v>260</v>
      </c>
      <c r="N574" s="1" t="s">
        <v>357</v>
      </c>
      <c r="O574" s="1" t="s">
        <v>632</v>
      </c>
      <c r="P574" s="1" t="str">
        <f>_xlfn.CONCAT(B574,C574,D574,E574,F574)</f>
        <v>BC Turvania1.4Inverter(MBUS-13)46036,2546036,2546036,3</v>
      </c>
      <c r="Q574" s="1" t="str">
        <f>_xlfn.CONCAT(H574,I574,J574)</f>
        <v>DAURDE</v>
      </c>
    </row>
    <row r="575" spans="2:17">
      <c r="B575" s="1" t="s">
        <v>701</v>
      </c>
      <c r="C575" s="1" t="s">
        <v>256</v>
      </c>
      <c r="D575" s="52">
        <v>46036.25</v>
      </c>
      <c r="E575" s="52">
        <v>46036.25</v>
      </c>
      <c r="F575" s="52">
        <v>46036.3</v>
      </c>
      <c r="G575" s="53">
        <f>F575-E575</f>
        <v>5.0000000002910383E-2</v>
      </c>
      <c r="H575" s="1" t="s">
        <v>257</v>
      </c>
      <c r="J575" s="1" t="s">
        <v>258</v>
      </c>
      <c r="K575" s="1" t="s">
        <v>658</v>
      </c>
      <c r="L575" s="1" t="s">
        <v>1990</v>
      </c>
      <c r="M575" s="1" t="s">
        <v>260</v>
      </c>
      <c r="N575" s="1" t="s">
        <v>357</v>
      </c>
      <c r="O575" s="1" t="s">
        <v>632</v>
      </c>
      <c r="P575" s="1" t="str">
        <f>_xlfn.CONCAT(B575,C575,D575,E575,F575)</f>
        <v>BC Turvania1.4Inverter(MBUS-12)46036,2546036,2546036,3</v>
      </c>
      <c r="Q575" s="1" t="str">
        <f>_xlfn.CONCAT(H575,I575,J575)</f>
        <v>DAURDE</v>
      </c>
    </row>
    <row r="576" spans="2:17">
      <c r="B576" s="1" t="s">
        <v>702</v>
      </c>
      <c r="C576" s="1" t="s">
        <v>264</v>
      </c>
      <c r="D576" s="52">
        <v>46036.25</v>
      </c>
      <c r="E576" s="52">
        <v>46036.25</v>
      </c>
      <c r="F576" s="52">
        <v>46036.3</v>
      </c>
      <c r="G576" s="53">
        <f>F576-E576</f>
        <v>5.0000000002910383E-2</v>
      </c>
      <c r="H576" s="1" t="s">
        <v>257</v>
      </c>
      <c r="J576" s="1" t="s">
        <v>258</v>
      </c>
      <c r="K576" s="1" t="s">
        <v>658</v>
      </c>
      <c r="L576" s="1" t="s">
        <v>1990</v>
      </c>
      <c r="M576" s="1" t="s">
        <v>260</v>
      </c>
      <c r="N576" s="1" t="s">
        <v>357</v>
      </c>
      <c r="O576" s="1" t="s">
        <v>632</v>
      </c>
      <c r="P576" s="1" t="str">
        <f>_xlfn.CONCAT(B576,C576,D576,E576,F576)</f>
        <v>BC Turvania1.5Inverter(MBUS-13)46036,2546036,2546036,3</v>
      </c>
      <c r="Q576" s="1" t="str">
        <f>_xlfn.CONCAT(H576,I576,J576)</f>
        <v>DAURDE</v>
      </c>
    </row>
    <row r="577" spans="1:17">
      <c r="B577" s="1" t="s">
        <v>702</v>
      </c>
      <c r="C577" s="1" t="s">
        <v>256</v>
      </c>
      <c r="D577" s="52">
        <v>46036.25</v>
      </c>
      <c r="E577" s="52">
        <v>46036.25</v>
      </c>
      <c r="F577" s="52">
        <v>46036.3</v>
      </c>
      <c r="G577" s="53">
        <f>F577-E577</f>
        <v>5.0000000002910383E-2</v>
      </c>
      <c r="H577" s="1" t="s">
        <v>257</v>
      </c>
      <c r="J577" s="1" t="s">
        <v>258</v>
      </c>
      <c r="K577" s="1" t="s">
        <v>658</v>
      </c>
      <c r="L577" s="1" t="s">
        <v>1990</v>
      </c>
      <c r="M577" s="1" t="s">
        <v>260</v>
      </c>
      <c r="N577" s="1" t="s">
        <v>357</v>
      </c>
      <c r="O577" s="1" t="s">
        <v>632</v>
      </c>
      <c r="P577" s="1" t="str">
        <f>_xlfn.CONCAT(B577,C577,D577,E577,F577)</f>
        <v>BC Turvania1.5Inverter(MBUS-12)46036,2546036,2546036,3</v>
      </c>
      <c r="Q577" s="1" t="str">
        <f>_xlfn.CONCAT(H577,I577,J577)</f>
        <v>DAURDE</v>
      </c>
    </row>
    <row r="578" spans="1:17">
      <c r="B578" s="1" t="s">
        <v>702</v>
      </c>
      <c r="C578" s="1" t="s">
        <v>263</v>
      </c>
      <c r="D578" s="52">
        <v>46036.25</v>
      </c>
      <c r="E578" s="52">
        <v>46036.25</v>
      </c>
      <c r="F578" s="52">
        <v>46036.3</v>
      </c>
      <c r="G578" s="53">
        <f>F578-E578</f>
        <v>5.0000000002910383E-2</v>
      </c>
      <c r="H578" s="1" t="s">
        <v>257</v>
      </c>
      <c r="J578" s="1" t="s">
        <v>258</v>
      </c>
      <c r="K578" s="1" t="s">
        <v>658</v>
      </c>
      <c r="L578" s="1" t="s">
        <v>1990</v>
      </c>
      <c r="M578" s="1" t="s">
        <v>260</v>
      </c>
      <c r="N578" s="1" t="s">
        <v>357</v>
      </c>
      <c r="O578" s="1" t="s">
        <v>632</v>
      </c>
      <c r="P578" s="1" t="str">
        <f>_xlfn.CONCAT(B578,C578,D578,E578,F578)</f>
        <v>BC Turvania1.5Inverter(MBUS-14)46036,2546036,2546036,3</v>
      </c>
      <c r="Q578" s="1" t="str">
        <f>_xlfn.CONCAT(H578,I578,J578)</f>
        <v>DAURDE</v>
      </c>
    </row>
    <row r="579" spans="1:17">
      <c r="B579" s="1" t="s">
        <v>702</v>
      </c>
      <c r="C579" s="1" t="s">
        <v>247</v>
      </c>
      <c r="D579" s="52">
        <v>46036.25</v>
      </c>
      <c r="E579" s="52">
        <v>46036.25</v>
      </c>
      <c r="F579" s="52">
        <v>46036.3</v>
      </c>
      <c r="G579" s="53">
        <f>F579-E579</f>
        <v>5.0000000002910383E-2</v>
      </c>
      <c r="H579" s="1" t="s">
        <v>257</v>
      </c>
      <c r="J579" s="1" t="s">
        <v>258</v>
      </c>
      <c r="K579" s="1" t="s">
        <v>658</v>
      </c>
      <c r="L579" s="1" t="s">
        <v>1990</v>
      </c>
      <c r="M579" s="1" t="s">
        <v>260</v>
      </c>
      <c r="N579" s="1" t="s">
        <v>357</v>
      </c>
      <c r="O579" s="1" t="s">
        <v>632</v>
      </c>
      <c r="P579" s="1" t="str">
        <f>_xlfn.CONCAT(B579,C579,D579,E579,F579)</f>
        <v>BC Turvania1.5Inverter(MBUS-1)46036,2546036,2546036,3</v>
      </c>
      <c r="Q579" s="1" t="str">
        <f>_xlfn.CONCAT(H579,I579,J579)</f>
        <v>DAURDE</v>
      </c>
    </row>
    <row r="580" spans="1:17" s="75" customFormat="1" ht="76.5">
      <c r="A580" s="2"/>
      <c r="B580" s="66" t="s">
        <v>442</v>
      </c>
      <c r="C580" s="66" t="s">
        <v>263</v>
      </c>
      <c r="D580" s="73">
        <v>46036.291666666664</v>
      </c>
      <c r="E580" s="73">
        <v>46036.291666666664</v>
      </c>
      <c r="F580" s="73">
        <v>46049.40625</v>
      </c>
      <c r="G580" s="74">
        <f>F580-E580</f>
        <v>13.114583333335759</v>
      </c>
      <c r="H580" s="66" t="s">
        <v>248</v>
      </c>
      <c r="I580" s="66"/>
      <c r="J580" s="66" t="s">
        <v>230</v>
      </c>
      <c r="K580" s="66" t="s">
        <v>230</v>
      </c>
      <c r="L580" s="66" t="s">
        <v>1992</v>
      </c>
      <c r="M580" s="66" t="s">
        <v>363</v>
      </c>
      <c r="N580" s="66" t="s">
        <v>364</v>
      </c>
      <c r="O580" s="76" t="s">
        <v>741</v>
      </c>
      <c r="P580" s="66" t="str">
        <f>_xlfn.CONCAT(B580,C580,D581,E580,F580)</f>
        <v>BC Lencois PaulistaInverter(MBUS-14)46036,638888888946036,291666666746049,40625</v>
      </c>
      <c r="Q580" s="66" t="str">
        <f>_xlfn.CONCAT(H580,I580,J580)</f>
        <v>DEMUFV</v>
      </c>
    </row>
    <row r="581" spans="1:17" s="75" customFormat="1">
      <c r="A581" s="2"/>
      <c r="B581" s="1" t="s">
        <v>360</v>
      </c>
      <c r="C581" s="1" t="s">
        <v>720</v>
      </c>
      <c r="D581" s="52">
        <v>46036.638888888891</v>
      </c>
      <c r="E581" s="52">
        <v>46036.638888888891</v>
      </c>
      <c r="F581" s="52">
        <v>46036.715277777781</v>
      </c>
      <c r="G581" s="53">
        <f>F581-E581</f>
        <v>7.6388888890505768E-2</v>
      </c>
      <c r="H581" s="1" t="s">
        <v>268</v>
      </c>
      <c r="I581" s="1" t="s">
        <v>269</v>
      </c>
      <c r="J581" s="1" t="s">
        <v>319</v>
      </c>
      <c r="K581" s="1" t="str">
        <f>_xlfn.XLOOKUP(J581,REF!$D$2:$D$12,REF!$E$2:$E$12)</f>
        <v>Comunicação</v>
      </c>
      <c r="L581" s="1" t="s">
        <v>1993</v>
      </c>
      <c r="M581" s="1" t="s">
        <v>289</v>
      </c>
      <c r="N581" s="1" t="s">
        <v>253</v>
      </c>
      <c r="O581" s="1" t="s">
        <v>742</v>
      </c>
      <c r="P581" s="1" t="str">
        <f>_xlfn.CONCAT(B581,C581,D581,E581,F581)</f>
        <v>BC Corumba1.1U01.I0146036,638888888946036,638888888946036,7152777778</v>
      </c>
      <c r="Q581" s="1" t="str">
        <f>_xlfn.CONCAT(H581,I581,J581)</f>
        <v>LIGRFOCOM</v>
      </c>
    </row>
    <row r="582" spans="1:17" s="75" customFormat="1">
      <c r="A582" s="2"/>
      <c r="B582" s="1" t="s">
        <v>360</v>
      </c>
      <c r="C582" s="1" t="s">
        <v>721</v>
      </c>
      <c r="D582" s="52">
        <v>46036.638888888891</v>
      </c>
      <c r="E582" s="52">
        <v>46036.638888888891</v>
      </c>
      <c r="F582" s="52">
        <v>46036.715277777781</v>
      </c>
      <c r="G582" s="53">
        <f>F582-E582</f>
        <v>7.6388888890505768E-2</v>
      </c>
      <c r="H582" s="1" t="s">
        <v>268</v>
      </c>
      <c r="I582" s="1" t="s">
        <v>269</v>
      </c>
      <c r="J582" s="1" t="s">
        <v>319</v>
      </c>
      <c r="K582" s="1" t="str">
        <f>_xlfn.XLOOKUP(J582,REF!$D$2:$D$12,REF!$E$2:$E$12)</f>
        <v>Comunicação</v>
      </c>
      <c r="L582" s="1" t="s">
        <v>1993</v>
      </c>
      <c r="M582" s="1" t="s">
        <v>289</v>
      </c>
      <c r="N582" s="1" t="s">
        <v>253</v>
      </c>
      <c r="O582" s="1" t="s">
        <v>742</v>
      </c>
      <c r="P582" s="1" t="str">
        <f>_xlfn.CONCAT(B582,C582,D582,E582,F582)</f>
        <v>BC Corumba1.1U01.I0246036,638888888946036,638888888946036,7152777778</v>
      </c>
      <c r="Q582" s="1" t="str">
        <f>_xlfn.CONCAT(H582,I582,J582)</f>
        <v>LIGRFOCOM</v>
      </c>
    </row>
    <row r="583" spans="1:17" s="75" customFormat="1">
      <c r="A583" s="2"/>
      <c r="B583" s="1" t="s">
        <v>360</v>
      </c>
      <c r="C583" s="1" t="s">
        <v>722</v>
      </c>
      <c r="D583" s="52">
        <v>46036.638888888891</v>
      </c>
      <c r="E583" s="52">
        <v>46036.638888888891</v>
      </c>
      <c r="F583" s="52">
        <v>46036.715277777781</v>
      </c>
      <c r="G583" s="53">
        <f>F583-E583</f>
        <v>7.6388888890505768E-2</v>
      </c>
      <c r="H583" s="1" t="s">
        <v>268</v>
      </c>
      <c r="I583" s="1" t="s">
        <v>269</v>
      </c>
      <c r="J583" s="1" t="s">
        <v>319</v>
      </c>
      <c r="K583" s="1" t="str">
        <f>_xlfn.XLOOKUP(J583,REF!$D$2:$D$12,REF!$E$2:$E$12)</f>
        <v>Comunicação</v>
      </c>
      <c r="L583" s="1" t="s">
        <v>1993</v>
      </c>
      <c r="M583" s="1" t="s">
        <v>289</v>
      </c>
      <c r="N583" s="1" t="s">
        <v>253</v>
      </c>
      <c r="O583" s="1" t="s">
        <v>742</v>
      </c>
      <c r="P583" s="1" t="str">
        <f>_xlfn.CONCAT(B583,C583,D583,E583,F583)</f>
        <v>BC Corumba1.1U01.I0346036,638888888946036,638888888946036,7152777778</v>
      </c>
      <c r="Q583" s="1" t="str">
        <f>_xlfn.CONCAT(H583,I583,J583)</f>
        <v>LIGRFOCOM</v>
      </c>
    </row>
    <row r="584" spans="1:17">
      <c r="B584" s="1" t="s">
        <v>360</v>
      </c>
      <c r="C584" s="1" t="s">
        <v>361</v>
      </c>
      <c r="D584" s="52">
        <v>46036.638888888891</v>
      </c>
      <c r="E584" s="52">
        <v>46036.638888888891</v>
      </c>
      <c r="F584" s="52">
        <v>46036.715277777781</v>
      </c>
      <c r="G584" s="53">
        <f>F584-E584</f>
        <v>7.6388888890505768E-2</v>
      </c>
      <c r="H584" s="1" t="s">
        <v>268</v>
      </c>
      <c r="I584" s="1" t="s">
        <v>269</v>
      </c>
      <c r="J584" s="1" t="s">
        <v>319</v>
      </c>
      <c r="K584" s="1" t="str">
        <f>_xlfn.XLOOKUP(J584,REF!$D$2:$D$12,REF!$E$2:$E$12)</f>
        <v>Comunicação</v>
      </c>
      <c r="L584" s="1" t="s">
        <v>1993</v>
      </c>
      <c r="M584" s="1" t="s">
        <v>289</v>
      </c>
      <c r="N584" s="1" t="s">
        <v>253</v>
      </c>
      <c r="O584" s="1" t="s">
        <v>742</v>
      </c>
      <c r="P584" s="1" t="str">
        <f>_xlfn.CONCAT(B584,C584,D584,E584,F584)</f>
        <v>BC Corumba1.1U01.I0446036,638888888946036,638888888946036,7152777778</v>
      </c>
      <c r="Q584" s="1" t="str">
        <f>_xlfn.CONCAT(H584,I584,J584)</f>
        <v>LIGRFOCOM</v>
      </c>
    </row>
    <row r="585" spans="1:17">
      <c r="B585" s="1" t="s">
        <v>360</v>
      </c>
      <c r="C585" s="1" t="s">
        <v>366</v>
      </c>
      <c r="D585" s="52">
        <v>46036.638888888891</v>
      </c>
      <c r="E585" s="52">
        <v>46036.638888888891</v>
      </c>
      <c r="F585" s="52">
        <v>46036.715277777781</v>
      </c>
      <c r="G585" s="53">
        <f>F585-E585</f>
        <v>7.6388888890505768E-2</v>
      </c>
      <c r="H585" s="1" t="s">
        <v>268</v>
      </c>
      <c r="I585" s="1" t="s">
        <v>269</v>
      </c>
      <c r="J585" s="1" t="s">
        <v>319</v>
      </c>
      <c r="K585" s="1" t="str">
        <f>_xlfn.XLOOKUP(J585,REF!$D$2:$D$12,REF!$E$2:$E$12)</f>
        <v>Comunicação</v>
      </c>
      <c r="L585" s="1" t="s">
        <v>1993</v>
      </c>
      <c r="M585" s="1" t="s">
        <v>289</v>
      </c>
      <c r="N585" s="1" t="s">
        <v>253</v>
      </c>
      <c r="O585" s="1" t="s">
        <v>742</v>
      </c>
      <c r="P585" s="1" t="str">
        <f>_xlfn.CONCAT(B585,C585,D585,E585,F585)</f>
        <v>BC Corumba1.1U01.I0546036,638888888946036,638888888946036,7152777778</v>
      </c>
      <c r="Q585" s="1" t="str">
        <f>_xlfn.CONCAT(H585,I585,J585)</f>
        <v>LIGRFOCOM</v>
      </c>
    </row>
    <row r="586" spans="1:17">
      <c r="B586" s="1" t="s">
        <v>367</v>
      </c>
      <c r="C586" s="1" t="s">
        <v>287</v>
      </c>
      <c r="D586" s="52">
        <v>46036.638888888891</v>
      </c>
      <c r="E586" s="52">
        <v>46036.638888888891</v>
      </c>
      <c r="F586" s="52">
        <v>46036.715277777781</v>
      </c>
      <c r="G586" s="53">
        <f>F586-E586</f>
        <v>7.6388888890505768E-2</v>
      </c>
      <c r="H586" s="1" t="s">
        <v>268</v>
      </c>
      <c r="I586" s="1" t="s">
        <v>269</v>
      </c>
      <c r="J586" s="1" t="s">
        <v>319</v>
      </c>
      <c r="K586" s="1" t="str">
        <f>_xlfn.XLOOKUP(J586,REF!$D$2:$D$12,REF!$E$2:$E$12)</f>
        <v>Comunicação</v>
      </c>
      <c r="L586" s="1" t="s">
        <v>1993</v>
      </c>
      <c r="M586" s="1" t="s">
        <v>289</v>
      </c>
      <c r="N586" s="1" t="s">
        <v>253</v>
      </c>
      <c r="O586" s="1" t="s">
        <v>742</v>
      </c>
      <c r="P586" s="1" t="str">
        <f>_xlfn.CONCAT(B586,C586,D586,E586,F586)</f>
        <v>BC Corumba1.2U02.I0146036,638888888946036,638888888946036,7152777778</v>
      </c>
      <c r="Q586" s="1" t="str">
        <f>_xlfn.CONCAT(H586,I586,J586)</f>
        <v>LIGRFOCOM</v>
      </c>
    </row>
    <row r="587" spans="1:17">
      <c r="B587" s="1" t="s">
        <v>367</v>
      </c>
      <c r="C587" s="1" t="s">
        <v>292</v>
      </c>
      <c r="D587" s="52">
        <v>46036.638888888891</v>
      </c>
      <c r="E587" s="52">
        <v>46036.638888888891</v>
      </c>
      <c r="F587" s="52">
        <v>46036.715277777781</v>
      </c>
      <c r="G587" s="53">
        <f>F587-E587</f>
        <v>7.6388888890505768E-2</v>
      </c>
      <c r="H587" s="1" t="s">
        <v>268</v>
      </c>
      <c r="I587" s="1" t="s">
        <v>269</v>
      </c>
      <c r="J587" s="1" t="s">
        <v>319</v>
      </c>
      <c r="K587" s="1" t="str">
        <f>_xlfn.XLOOKUP(J587,REF!$D$2:$D$12,REF!$E$2:$E$12)</f>
        <v>Comunicação</v>
      </c>
      <c r="L587" s="1" t="s">
        <v>1993</v>
      </c>
      <c r="M587" s="1" t="s">
        <v>289</v>
      </c>
      <c r="N587" s="1" t="s">
        <v>253</v>
      </c>
      <c r="O587" s="1" t="s">
        <v>742</v>
      </c>
      <c r="P587" s="1" t="str">
        <f>_xlfn.CONCAT(B587,C587,D587,E587,F587)</f>
        <v>BC Corumba1.2U02.I0246036,638888888946036,638888888946036,7152777778</v>
      </c>
      <c r="Q587" s="1" t="str">
        <f>_xlfn.CONCAT(H587,I587,J587)</f>
        <v>LIGRFOCOM</v>
      </c>
    </row>
    <row r="588" spans="1:17">
      <c r="B588" s="1" t="s">
        <v>367</v>
      </c>
      <c r="C588" s="1" t="s">
        <v>293</v>
      </c>
      <c r="D588" s="52">
        <v>46036.638888888891</v>
      </c>
      <c r="E588" s="52">
        <v>46036.638888888891</v>
      </c>
      <c r="F588" s="52">
        <v>46036.715277777781</v>
      </c>
      <c r="G588" s="53">
        <f>F588-E588</f>
        <v>7.6388888890505768E-2</v>
      </c>
      <c r="H588" s="1" t="s">
        <v>268</v>
      </c>
      <c r="I588" s="1" t="s">
        <v>269</v>
      </c>
      <c r="J588" s="1" t="s">
        <v>319</v>
      </c>
      <c r="K588" s="1" t="str">
        <f>_xlfn.XLOOKUP(J588,REF!$D$2:$D$12,REF!$E$2:$E$12)</f>
        <v>Comunicação</v>
      </c>
      <c r="L588" s="1" t="s">
        <v>1993</v>
      </c>
      <c r="M588" s="1" t="s">
        <v>289</v>
      </c>
      <c r="N588" s="1" t="s">
        <v>253</v>
      </c>
      <c r="O588" s="1" t="s">
        <v>742</v>
      </c>
      <c r="P588" s="1" t="str">
        <f>_xlfn.CONCAT(B588,C588,D588,E588,F588)</f>
        <v>BC Corumba1.2U02.I0346036,638888888946036,638888888946036,7152777778</v>
      </c>
      <c r="Q588" s="1" t="str">
        <f>_xlfn.CONCAT(H588,I588,J588)</f>
        <v>LIGRFOCOM</v>
      </c>
    </row>
    <row r="589" spans="1:17">
      <c r="B589" s="1" t="s">
        <v>367</v>
      </c>
      <c r="C589" s="1" t="s">
        <v>294</v>
      </c>
      <c r="D589" s="52">
        <v>46036.638888888891</v>
      </c>
      <c r="E589" s="52">
        <v>46036.638888888891</v>
      </c>
      <c r="F589" s="52">
        <v>46036.715277777781</v>
      </c>
      <c r="G589" s="53">
        <f>F589-E589</f>
        <v>7.6388888890505768E-2</v>
      </c>
      <c r="H589" s="1" t="s">
        <v>268</v>
      </c>
      <c r="I589" s="1" t="s">
        <v>269</v>
      </c>
      <c r="J589" s="1" t="s">
        <v>319</v>
      </c>
      <c r="K589" s="1" t="str">
        <f>_xlfn.XLOOKUP(J589,REF!$D$2:$D$12,REF!$E$2:$E$12)</f>
        <v>Comunicação</v>
      </c>
      <c r="L589" s="1" t="s">
        <v>1993</v>
      </c>
      <c r="M589" s="1" t="s">
        <v>289</v>
      </c>
      <c r="N589" s="1" t="s">
        <v>253</v>
      </c>
      <c r="O589" s="1" t="s">
        <v>742</v>
      </c>
      <c r="P589" s="1" t="str">
        <f>_xlfn.CONCAT(B589,C589,D589,E589,F589)</f>
        <v>BC Corumba1.2U02.I0446036,638888888946036,638888888946036,7152777778</v>
      </c>
      <c r="Q589" s="1" t="str">
        <f>_xlfn.CONCAT(H589,I589,J589)</f>
        <v>LIGRFOCOM</v>
      </c>
    </row>
    <row r="590" spans="1:17">
      <c r="B590" s="1" t="s">
        <v>367</v>
      </c>
      <c r="C590" s="1" t="s">
        <v>295</v>
      </c>
      <c r="D590" s="52">
        <v>46036.638888888891</v>
      </c>
      <c r="E590" s="52">
        <v>46036.638888888891</v>
      </c>
      <c r="F590" s="52">
        <v>46036.715277777781</v>
      </c>
      <c r="G590" s="53">
        <f>F590-E590</f>
        <v>7.6388888890505768E-2</v>
      </c>
      <c r="H590" s="1" t="s">
        <v>268</v>
      </c>
      <c r="I590" s="1" t="s">
        <v>269</v>
      </c>
      <c r="J590" s="1" t="s">
        <v>319</v>
      </c>
      <c r="K590" s="1" t="str">
        <f>_xlfn.XLOOKUP(J590,REF!$D$2:$D$12,REF!$E$2:$E$12)</f>
        <v>Comunicação</v>
      </c>
      <c r="L590" s="1" t="s">
        <v>1993</v>
      </c>
      <c r="M590" s="1" t="s">
        <v>289</v>
      </c>
      <c r="N590" s="1" t="s">
        <v>253</v>
      </c>
      <c r="O590" s="1" t="s">
        <v>742</v>
      </c>
      <c r="P590" s="1" t="str">
        <f>_xlfn.CONCAT(B590,C590,D590,E590,F590)</f>
        <v>BC Corumba1.2U02.I0546036,638888888946036,638888888946036,7152777778</v>
      </c>
      <c r="Q590" s="1" t="str">
        <f>_xlfn.CONCAT(H590,I590,J590)</f>
        <v>LIGRFOCOM</v>
      </c>
    </row>
    <row r="591" spans="1:17">
      <c r="B591" s="1" t="s">
        <v>724</v>
      </c>
      <c r="C591" s="1" t="s">
        <v>608</v>
      </c>
      <c r="D591" s="52">
        <v>46036.638888888891</v>
      </c>
      <c r="E591" s="52">
        <v>46036.638888888891</v>
      </c>
      <c r="F591" s="52">
        <v>46036.715277777781</v>
      </c>
      <c r="G591" s="53">
        <f>F591-E591</f>
        <v>7.6388888890505768E-2</v>
      </c>
      <c r="H591" s="1" t="s">
        <v>268</v>
      </c>
      <c r="I591" s="1" t="s">
        <v>269</v>
      </c>
      <c r="J591" s="1" t="s">
        <v>319</v>
      </c>
      <c r="K591" s="1" t="str">
        <f>_xlfn.XLOOKUP(J591,REF!$D$2:$D$12,REF!$E$2:$E$12)</f>
        <v>Comunicação</v>
      </c>
      <c r="L591" s="1" t="s">
        <v>1993</v>
      </c>
      <c r="M591" s="1" t="s">
        <v>289</v>
      </c>
      <c r="N591" s="1" t="s">
        <v>253</v>
      </c>
      <c r="O591" s="1" t="s">
        <v>742</v>
      </c>
      <c r="P591" s="1" t="str">
        <f>_xlfn.CONCAT(B591,C591,D591,E591,F591)</f>
        <v>BC Corumba1.3U03.I0146036,638888888946036,638888888946036,7152777778</v>
      </c>
      <c r="Q591" s="1" t="str">
        <f>_xlfn.CONCAT(H591,I591,J591)</f>
        <v>LIGRFOCOM</v>
      </c>
    </row>
    <row r="592" spans="1:17">
      <c r="B592" s="1" t="s">
        <v>724</v>
      </c>
      <c r="C592" s="1" t="s">
        <v>611</v>
      </c>
      <c r="D592" s="52">
        <v>46036.638888888891</v>
      </c>
      <c r="E592" s="52">
        <v>46036.638888888891</v>
      </c>
      <c r="F592" s="52">
        <v>46036.715277777781</v>
      </c>
      <c r="G592" s="53">
        <f>F592-E592</f>
        <v>7.6388888890505768E-2</v>
      </c>
      <c r="H592" s="1" t="s">
        <v>268</v>
      </c>
      <c r="I592" s="1" t="s">
        <v>269</v>
      </c>
      <c r="J592" s="1" t="s">
        <v>319</v>
      </c>
      <c r="K592" s="1" t="str">
        <f>_xlfn.XLOOKUP(J592,REF!$D$2:$D$12,REF!$E$2:$E$12)</f>
        <v>Comunicação</v>
      </c>
      <c r="L592" s="1" t="s">
        <v>1993</v>
      </c>
      <c r="M592" s="1" t="s">
        <v>289</v>
      </c>
      <c r="N592" s="1" t="s">
        <v>253</v>
      </c>
      <c r="O592" s="1" t="s">
        <v>742</v>
      </c>
      <c r="P592" s="1" t="str">
        <f>_xlfn.CONCAT(B592,C592,D592,E592,F592)</f>
        <v>BC Corumba1.3U03.I0246036,638888888946036,638888888946036,7152777778</v>
      </c>
      <c r="Q592" s="1" t="str">
        <f>_xlfn.CONCAT(H592,I592,J592)</f>
        <v>LIGRFOCOM</v>
      </c>
    </row>
    <row r="593" spans="2:17">
      <c r="B593" s="1" t="s">
        <v>724</v>
      </c>
      <c r="C593" s="1" t="s">
        <v>536</v>
      </c>
      <c r="D593" s="52">
        <v>46036.638888888891</v>
      </c>
      <c r="E593" s="52">
        <v>46036.638888888891</v>
      </c>
      <c r="F593" s="52">
        <v>46036.715277777781</v>
      </c>
      <c r="G593" s="53">
        <f>F593-E593</f>
        <v>7.6388888890505768E-2</v>
      </c>
      <c r="H593" s="1" t="s">
        <v>268</v>
      </c>
      <c r="I593" s="1" t="s">
        <v>269</v>
      </c>
      <c r="J593" s="1" t="s">
        <v>319</v>
      </c>
      <c r="K593" s="1" t="str">
        <f>_xlfn.XLOOKUP(J593,REF!$D$2:$D$12,REF!$E$2:$E$12)</f>
        <v>Comunicação</v>
      </c>
      <c r="L593" s="1" t="s">
        <v>1993</v>
      </c>
      <c r="M593" s="1" t="s">
        <v>289</v>
      </c>
      <c r="N593" s="1" t="s">
        <v>253</v>
      </c>
      <c r="O593" s="1" t="s">
        <v>742</v>
      </c>
      <c r="P593" s="1" t="str">
        <f>_xlfn.CONCAT(B593,C593,D593,E593,F593)</f>
        <v>BC Corumba1.3U03.I0346036,638888888946036,638888888946036,7152777778</v>
      </c>
      <c r="Q593" s="1" t="str">
        <f>_xlfn.CONCAT(H593,I593,J593)</f>
        <v>LIGRFOCOM</v>
      </c>
    </row>
    <row r="594" spans="2:17">
      <c r="B594" s="1" t="s">
        <v>725</v>
      </c>
      <c r="C594" s="1" t="s">
        <v>263</v>
      </c>
      <c r="D594" s="52">
        <v>46036.638888888891</v>
      </c>
      <c r="E594" s="52">
        <v>46036.638888888891</v>
      </c>
      <c r="F594" s="52">
        <v>46036.715277777781</v>
      </c>
      <c r="G594" s="53">
        <f>F594-E594</f>
        <v>7.6388888890505768E-2</v>
      </c>
      <c r="H594" s="1" t="s">
        <v>268</v>
      </c>
      <c r="I594" s="1" t="s">
        <v>269</v>
      </c>
      <c r="J594" s="1" t="s">
        <v>319</v>
      </c>
      <c r="K594" s="1" t="str">
        <f>_xlfn.XLOOKUP(J594,REF!$D$2:$D$12,REF!$E$2:$E$12)</f>
        <v>Comunicação</v>
      </c>
      <c r="L594" s="1" t="s">
        <v>1993</v>
      </c>
      <c r="M594" s="1" t="s">
        <v>289</v>
      </c>
      <c r="N594" s="1" t="s">
        <v>253</v>
      </c>
      <c r="O594" s="1" t="s">
        <v>742</v>
      </c>
      <c r="P594" s="1" t="str">
        <f>_xlfn.CONCAT(B594,C594,D594,E594,F594)</f>
        <v>BC Corumba2.1Inverter(MBUS-14)46036,638888888946036,638888888946036,7152777778</v>
      </c>
      <c r="Q594" s="1" t="str">
        <f>_xlfn.CONCAT(H594,I594,J594)</f>
        <v>LIGRFOCOM</v>
      </c>
    </row>
    <row r="595" spans="2:17">
      <c r="B595" s="1" t="s">
        <v>725</v>
      </c>
      <c r="C595" s="1" t="s">
        <v>307</v>
      </c>
      <c r="D595" s="52">
        <v>46036.638888888891</v>
      </c>
      <c r="E595" s="52">
        <v>46036.638888888891</v>
      </c>
      <c r="F595" s="52">
        <v>46036.715277777781</v>
      </c>
      <c r="G595" s="53">
        <f>F595-E595</f>
        <v>7.6388888890505768E-2</v>
      </c>
      <c r="H595" s="1" t="s">
        <v>268</v>
      </c>
      <c r="I595" s="1" t="s">
        <v>269</v>
      </c>
      <c r="J595" s="1" t="s">
        <v>319</v>
      </c>
      <c r="K595" s="1" t="str">
        <f>_xlfn.XLOOKUP(J595,REF!$D$2:$D$12,REF!$E$2:$E$12)</f>
        <v>Comunicação</v>
      </c>
      <c r="L595" s="1" t="s">
        <v>1993</v>
      </c>
      <c r="M595" s="1" t="s">
        <v>289</v>
      </c>
      <c r="N595" s="1" t="s">
        <v>253</v>
      </c>
      <c r="O595" s="1" t="s">
        <v>742</v>
      </c>
      <c r="P595" s="1" t="str">
        <f>_xlfn.CONCAT(B595,C595,D595,E595,F595)</f>
        <v>BC Corumba2.1Inverter(MBUS-15)46036,638888888946036,638888888946036,7152777778</v>
      </c>
      <c r="Q595" s="1" t="str">
        <f>_xlfn.CONCAT(H595,I595,J595)</f>
        <v>LIGRFOCOM</v>
      </c>
    </row>
    <row r="596" spans="2:17">
      <c r="B596" s="1" t="s">
        <v>725</v>
      </c>
      <c r="C596" s="1" t="s">
        <v>390</v>
      </c>
      <c r="D596" s="52">
        <v>46036.638888888891</v>
      </c>
      <c r="E596" s="52">
        <v>46036.638888888891</v>
      </c>
      <c r="F596" s="52">
        <v>46036.715277777781</v>
      </c>
      <c r="G596" s="53">
        <f>F596-E596</f>
        <v>7.6388888890505768E-2</v>
      </c>
      <c r="H596" s="1" t="s">
        <v>268</v>
      </c>
      <c r="I596" s="1" t="s">
        <v>269</v>
      </c>
      <c r="J596" s="1" t="s">
        <v>319</v>
      </c>
      <c r="K596" s="1" t="str">
        <f>_xlfn.XLOOKUP(J596,REF!$D$2:$D$12,REF!$E$2:$E$12)</f>
        <v>Comunicação</v>
      </c>
      <c r="L596" s="1" t="s">
        <v>1993</v>
      </c>
      <c r="M596" s="1" t="s">
        <v>289</v>
      </c>
      <c r="N596" s="1" t="s">
        <v>253</v>
      </c>
      <c r="O596" s="1" t="s">
        <v>742</v>
      </c>
      <c r="P596" s="1" t="str">
        <f>_xlfn.CONCAT(B596,C596,D596,E596,F596)</f>
        <v>BC Corumba2.1Inverter(MBUS-16)46036,638888888946036,638888888946036,7152777778</v>
      </c>
      <c r="Q596" s="1" t="str">
        <f>_xlfn.CONCAT(H596,I596,J596)</f>
        <v>LIGRFOCOM</v>
      </c>
    </row>
    <row r="597" spans="2:17">
      <c r="B597" s="1" t="s">
        <v>725</v>
      </c>
      <c r="C597" s="1" t="s">
        <v>726</v>
      </c>
      <c r="D597" s="52">
        <v>46036.638888888891</v>
      </c>
      <c r="E597" s="52">
        <v>46036.638888888891</v>
      </c>
      <c r="F597" s="52">
        <v>46036.715277777781</v>
      </c>
      <c r="G597" s="53">
        <f>F597-E597</f>
        <v>7.6388888890505768E-2</v>
      </c>
      <c r="H597" s="1" t="s">
        <v>268</v>
      </c>
      <c r="I597" s="1" t="s">
        <v>269</v>
      </c>
      <c r="J597" s="1" t="s">
        <v>319</v>
      </c>
      <c r="K597" s="1" t="str">
        <f>_xlfn.XLOOKUP(J597,REF!$D$2:$D$12,REF!$E$2:$E$12)</f>
        <v>Comunicação</v>
      </c>
      <c r="L597" s="1" t="s">
        <v>1993</v>
      </c>
      <c r="M597" s="1" t="s">
        <v>289</v>
      </c>
      <c r="N597" s="1" t="s">
        <v>253</v>
      </c>
      <c r="O597" s="1" t="s">
        <v>742</v>
      </c>
      <c r="P597" s="1" t="str">
        <f>_xlfn.CONCAT(B597,C597,D597,E597,F597)</f>
        <v>BC Corumba2.1U01. I0146036,638888888946036,638888888946036,7152777778</v>
      </c>
      <c r="Q597" s="1" t="str">
        <f>_xlfn.CONCAT(H597,I597,J597)</f>
        <v>LIGRFOCOM</v>
      </c>
    </row>
    <row r="598" spans="2:17">
      <c r="B598" s="1" t="s">
        <v>725</v>
      </c>
      <c r="C598" s="1" t="s">
        <v>727</v>
      </c>
      <c r="D598" s="52">
        <v>46036.638888888891</v>
      </c>
      <c r="E598" s="52">
        <v>46036.638888888891</v>
      </c>
      <c r="F598" s="52">
        <v>46036.715277777781</v>
      </c>
      <c r="G598" s="53">
        <f>F598-E598</f>
        <v>7.6388888890505768E-2</v>
      </c>
      <c r="H598" s="1" t="s">
        <v>268</v>
      </c>
      <c r="I598" s="1" t="s">
        <v>269</v>
      </c>
      <c r="J598" s="1" t="s">
        <v>319</v>
      </c>
      <c r="K598" s="1" t="str">
        <f>_xlfn.XLOOKUP(J598,REF!$D$2:$D$12,REF!$E$2:$E$12)</f>
        <v>Comunicação</v>
      </c>
      <c r="L598" s="1" t="s">
        <v>1993</v>
      </c>
      <c r="M598" s="1" t="s">
        <v>289</v>
      </c>
      <c r="N598" s="1" t="s">
        <v>253</v>
      </c>
      <c r="O598" s="1" t="s">
        <v>742</v>
      </c>
      <c r="P598" s="1" t="str">
        <f>_xlfn.CONCAT(B598,C598,D598,E598,F598)</f>
        <v>BC Corumba2.1U01. I0246036,638888888946036,638888888946036,7152777778</v>
      </c>
      <c r="Q598" s="1" t="str">
        <f>_xlfn.CONCAT(H598,I598,J598)</f>
        <v>LIGRFOCOM</v>
      </c>
    </row>
    <row r="599" spans="2:17">
      <c r="B599" s="1" t="s">
        <v>286</v>
      </c>
      <c r="C599" s="1" t="s">
        <v>287</v>
      </c>
      <c r="D599" s="52">
        <v>46036.638888888891</v>
      </c>
      <c r="E599" s="52">
        <v>46036.638888888891</v>
      </c>
      <c r="F599" s="52">
        <v>46036.715277777781</v>
      </c>
      <c r="G599" s="53">
        <f>F599-E599</f>
        <v>7.6388888890505768E-2</v>
      </c>
      <c r="H599" s="1" t="s">
        <v>268</v>
      </c>
      <c r="I599" s="1" t="s">
        <v>269</v>
      </c>
      <c r="J599" s="1" t="s">
        <v>319</v>
      </c>
      <c r="K599" s="1" t="str">
        <f>_xlfn.XLOOKUP(J599,REF!$D$2:$D$12,REF!$E$2:$E$12)</f>
        <v>Comunicação</v>
      </c>
      <c r="L599" s="1" t="s">
        <v>1993</v>
      </c>
      <c r="M599" s="1" t="s">
        <v>289</v>
      </c>
      <c r="N599" s="1" t="s">
        <v>253</v>
      </c>
      <c r="O599" s="1" t="s">
        <v>742</v>
      </c>
      <c r="P599" s="1" t="str">
        <f>_xlfn.CONCAT(B599,C599,D599,E599,F599)</f>
        <v>BC Corumba2.2U02.I0146036,638888888946036,638888888946036,7152777778</v>
      </c>
      <c r="Q599" s="1" t="str">
        <f>_xlfn.CONCAT(H599,I599,J599)</f>
        <v>LIGRFOCOM</v>
      </c>
    </row>
    <row r="600" spans="2:17">
      <c r="B600" s="1" t="s">
        <v>286</v>
      </c>
      <c r="C600" s="1" t="s">
        <v>292</v>
      </c>
      <c r="D600" s="52">
        <v>46036.638888888891</v>
      </c>
      <c r="E600" s="52">
        <v>46036.638888888891</v>
      </c>
      <c r="F600" s="52">
        <v>46036.715277777781</v>
      </c>
      <c r="G600" s="53">
        <f>F600-E600</f>
        <v>7.6388888890505768E-2</v>
      </c>
      <c r="H600" s="1" t="s">
        <v>268</v>
      </c>
      <c r="I600" s="1" t="s">
        <v>269</v>
      </c>
      <c r="J600" s="1" t="s">
        <v>319</v>
      </c>
      <c r="K600" s="1" t="str">
        <f>_xlfn.XLOOKUP(J600,REF!$D$2:$D$12,REF!$E$2:$E$12)</f>
        <v>Comunicação</v>
      </c>
      <c r="L600" s="1" t="s">
        <v>1993</v>
      </c>
      <c r="M600" s="1" t="s">
        <v>289</v>
      </c>
      <c r="N600" s="1" t="s">
        <v>253</v>
      </c>
      <c r="O600" s="1" t="s">
        <v>742</v>
      </c>
      <c r="P600" s="1" t="str">
        <f>_xlfn.CONCAT(B600,C600,D600,E600,F600)</f>
        <v>BC Corumba2.2U02.I0246036,638888888946036,638888888946036,7152777778</v>
      </c>
      <c r="Q600" s="1" t="str">
        <f>_xlfn.CONCAT(H600,I600,J600)</f>
        <v>LIGRFOCOM</v>
      </c>
    </row>
    <row r="601" spans="2:17">
      <c r="B601" s="1" t="s">
        <v>286</v>
      </c>
      <c r="C601" s="1" t="s">
        <v>293</v>
      </c>
      <c r="D601" s="52">
        <v>46036.638888888891</v>
      </c>
      <c r="E601" s="52">
        <v>46036.638888888891</v>
      </c>
      <c r="F601" s="52">
        <v>46036.715277777781</v>
      </c>
      <c r="G601" s="53">
        <f>F601-E601</f>
        <v>7.6388888890505768E-2</v>
      </c>
      <c r="H601" s="1" t="s">
        <v>268</v>
      </c>
      <c r="I601" s="1" t="s">
        <v>269</v>
      </c>
      <c r="J601" s="1" t="s">
        <v>319</v>
      </c>
      <c r="K601" s="1" t="str">
        <f>_xlfn.XLOOKUP(J601,REF!$D$2:$D$12,REF!$E$2:$E$12)</f>
        <v>Comunicação</v>
      </c>
      <c r="L601" s="1" t="s">
        <v>1993</v>
      </c>
      <c r="M601" s="1" t="s">
        <v>289</v>
      </c>
      <c r="N601" s="1" t="s">
        <v>253</v>
      </c>
      <c r="O601" s="1" t="s">
        <v>742</v>
      </c>
      <c r="P601" s="1" t="str">
        <f>_xlfn.CONCAT(B601,C601,D601,E601,F601)</f>
        <v>BC Corumba2.2U02.I0346036,638888888946036,638888888946036,7152777778</v>
      </c>
      <c r="Q601" s="1" t="str">
        <f>_xlfn.CONCAT(H601,I601,J601)</f>
        <v>LIGRFOCOM</v>
      </c>
    </row>
    <row r="602" spans="2:17">
      <c r="B602" s="1" t="s">
        <v>286</v>
      </c>
      <c r="C602" s="1" t="s">
        <v>294</v>
      </c>
      <c r="D602" s="52">
        <v>46036.638888888891</v>
      </c>
      <c r="E602" s="52">
        <v>46036.638888888891</v>
      </c>
      <c r="F602" s="52">
        <v>46036.715277777781</v>
      </c>
      <c r="G602" s="53">
        <f>F602-E602</f>
        <v>7.6388888890505768E-2</v>
      </c>
      <c r="H602" s="1" t="s">
        <v>268</v>
      </c>
      <c r="I602" s="1" t="s">
        <v>269</v>
      </c>
      <c r="J602" s="1" t="s">
        <v>319</v>
      </c>
      <c r="K602" s="1" t="str">
        <f>_xlfn.XLOOKUP(J602,REF!$D$2:$D$12,REF!$E$2:$E$12)</f>
        <v>Comunicação</v>
      </c>
      <c r="L602" s="1" t="s">
        <v>1993</v>
      </c>
      <c r="M602" s="1" t="s">
        <v>289</v>
      </c>
      <c r="N602" s="1" t="s">
        <v>253</v>
      </c>
      <c r="O602" s="1" t="s">
        <v>742</v>
      </c>
      <c r="P602" s="1" t="str">
        <f>_xlfn.CONCAT(B602,C602,D602,E602,F602)</f>
        <v>BC Corumba2.2U02.I0446036,638888888946036,638888888946036,7152777778</v>
      </c>
      <c r="Q602" s="1" t="str">
        <f>_xlfn.CONCAT(H602,I602,J602)</f>
        <v>LIGRFOCOM</v>
      </c>
    </row>
    <row r="603" spans="2:17">
      <c r="B603" s="1" t="s">
        <v>286</v>
      </c>
      <c r="C603" s="1" t="s">
        <v>295</v>
      </c>
      <c r="D603" s="52">
        <v>46036.638888888891</v>
      </c>
      <c r="E603" s="52">
        <v>46036.638888888891</v>
      </c>
      <c r="F603" s="52">
        <v>46036.715277777781</v>
      </c>
      <c r="G603" s="53">
        <f>F603-E603</f>
        <v>7.6388888890505768E-2</v>
      </c>
      <c r="H603" s="1" t="s">
        <v>268</v>
      </c>
      <c r="I603" s="1" t="s">
        <v>269</v>
      </c>
      <c r="J603" s="1" t="s">
        <v>319</v>
      </c>
      <c r="K603" s="1" t="str">
        <f>_xlfn.XLOOKUP(J603,REF!$D$2:$D$12,REF!$E$2:$E$12)</f>
        <v>Comunicação</v>
      </c>
      <c r="L603" s="1" t="s">
        <v>1993</v>
      </c>
      <c r="M603" s="1" t="s">
        <v>289</v>
      </c>
      <c r="N603" s="1" t="s">
        <v>253</v>
      </c>
      <c r="O603" s="1" t="s">
        <v>742</v>
      </c>
      <c r="P603" s="1" t="str">
        <f>_xlfn.CONCAT(B603,C603,D603,E603,F603)</f>
        <v>BC Corumba2.2U02.I0546036,638888888946036,638888888946036,7152777778</v>
      </c>
      <c r="Q603" s="1" t="str">
        <f>_xlfn.CONCAT(H603,I603,J603)</f>
        <v>LIGRFOCOM</v>
      </c>
    </row>
    <row r="604" spans="2:17">
      <c r="B604" s="1" t="s">
        <v>535</v>
      </c>
      <c r="C604" s="1" t="s">
        <v>608</v>
      </c>
      <c r="D604" s="52">
        <v>46036.638888888891</v>
      </c>
      <c r="E604" s="52">
        <v>46036.638888888891</v>
      </c>
      <c r="F604" s="52">
        <v>46036.715277777781</v>
      </c>
      <c r="G604" s="53">
        <f>F604-E604</f>
        <v>7.6388888890505768E-2</v>
      </c>
      <c r="H604" s="1" t="s">
        <v>268</v>
      </c>
      <c r="I604" s="1" t="s">
        <v>269</v>
      </c>
      <c r="J604" s="1" t="s">
        <v>319</v>
      </c>
      <c r="K604" s="1" t="str">
        <f>_xlfn.XLOOKUP(J604,REF!$D$2:$D$12,REF!$E$2:$E$12)</f>
        <v>Comunicação</v>
      </c>
      <c r="L604" s="1" t="s">
        <v>1993</v>
      </c>
      <c r="M604" s="1" t="s">
        <v>289</v>
      </c>
      <c r="N604" s="1" t="s">
        <v>253</v>
      </c>
      <c r="O604" s="1" t="s">
        <v>742</v>
      </c>
      <c r="P604" s="1" t="str">
        <f>_xlfn.CONCAT(B604,C604,D604,E604,F604)</f>
        <v>BC Corumba2.3U03.I0146036,638888888946036,638888888946036,7152777778</v>
      </c>
      <c r="Q604" s="1" t="str">
        <f>_xlfn.CONCAT(H604,I604,J604)</f>
        <v>LIGRFOCOM</v>
      </c>
    </row>
    <row r="605" spans="2:17">
      <c r="B605" s="1" t="s">
        <v>535</v>
      </c>
      <c r="C605" s="1" t="s">
        <v>611</v>
      </c>
      <c r="D605" s="52">
        <v>46036.638888888891</v>
      </c>
      <c r="E605" s="52">
        <v>46036.638888888891</v>
      </c>
      <c r="F605" s="52">
        <v>46036.715277777781</v>
      </c>
      <c r="G605" s="53">
        <f>F605-E605</f>
        <v>7.6388888890505768E-2</v>
      </c>
      <c r="H605" s="1" t="s">
        <v>268</v>
      </c>
      <c r="I605" s="1" t="s">
        <v>269</v>
      </c>
      <c r="J605" s="1" t="s">
        <v>319</v>
      </c>
      <c r="K605" s="1" t="str">
        <f>_xlfn.XLOOKUP(J605,REF!$D$2:$D$12,REF!$E$2:$E$12)</f>
        <v>Comunicação</v>
      </c>
      <c r="L605" s="1" t="s">
        <v>1993</v>
      </c>
      <c r="M605" s="1" t="s">
        <v>289</v>
      </c>
      <c r="N605" s="1" t="s">
        <v>253</v>
      </c>
      <c r="O605" s="1" t="s">
        <v>742</v>
      </c>
      <c r="P605" s="1" t="str">
        <f>_xlfn.CONCAT(B605,C605,D605,E605,F605)</f>
        <v>BC Corumba2.3U03.I0246036,638888888946036,638888888946036,7152777778</v>
      </c>
      <c r="Q605" s="1" t="str">
        <f>_xlfn.CONCAT(H605,I605,J605)</f>
        <v>LIGRFOCOM</v>
      </c>
    </row>
    <row r="606" spans="2:17">
      <c r="B606" s="1" t="s">
        <v>535</v>
      </c>
      <c r="C606" s="1" t="s">
        <v>536</v>
      </c>
      <c r="D606" s="52">
        <v>46036.638888888891</v>
      </c>
      <c r="E606" s="52">
        <v>46036.638888888891</v>
      </c>
      <c r="F606" s="52">
        <v>46036.715277777781</v>
      </c>
      <c r="G606" s="53">
        <f>F606-E606</f>
        <v>7.6388888890505768E-2</v>
      </c>
      <c r="H606" s="1" t="s">
        <v>268</v>
      </c>
      <c r="I606" s="1" t="s">
        <v>269</v>
      </c>
      <c r="J606" s="1" t="s">
        <v>319</v>
      </c>
      <c r="K606" s="1" t="str">
        <f>_xlfn.XLOOKUP(J606,REF!$D$2:$D$12,REF!$E$2:$E$12)</f>
        <v>Comunicação</v>
      </c>
      <c r="L606" s="1" t="s">
        <v>1993</v>
      </c>
      <c r="M606" s="1" t="s">
        <v>289</v>
      </c>
      <c r="N606" s="1" t="s">
        <v>253</v>
      </c>
      <c r="O606" s="1" t="s">
        <v>742</v>
      </c>
      <c r="P606" s="1" t="str">
        <f>_xlfn.CONCAT(B606,C606,D606,E606,F606)</f>
        <v>BC Corumba2.3U03.I0346036,638888888946036,638888888946036,7152777778</v>
      </c>
      <c r="Q606" s="1" t="str">
        <f>_xlfn.CONCAT(H606,I606,J606)</f>
        <v>LIGRFOCOM</v>
      </c>
    </row>
    <row r="607" spans="2:17">
      <c r="B607" s="1" t="s">
        <v>305</v>
      </c>
      <c r="C607" s="1" t="s">
        <v>256</v>
      </c>
      <c r="D607" s="52">
        <v>46036.676388888889</v>
      </c>
      <c r="E607" s="52">
        <v>46036.676388888889</v>
      </c>
      <c r="F607" s="52">
        <v>46036.715277777781</v>
      </c>
      <c r="G607" s="53">
        <f>F607-E607</f>
        <v>3.888888889196096E-2</v>
      </c>
      <c r="H607" s="1" t="s">
        <v>257</v>
      </c>
      <c r="J607" s="1" t="s">
        <v>258</v>
      </c>
      <c r="K607" s="1" t="s">
        <v>658</v>
      </c>
      <c r="L607" s="65" t="s">
        <v>1960</v>
      </c>
      <c r="M607" s="1" t="s">
        <v>260</v>
      </c>
      <c r="N607" s="1" t="s">
        <v>357</v>
      </c>
      <c r="O607" s="1" t="s">
        <v>632</v>
      </c>
      <c r="P607" s="1" t="str">
        <f>_xlfn.CONCAT(B607,C607,D607,E607,F607)</f>
        <v>ARAGUATINS 1.1Inverter(MBUS-12)46036,676388888946036,676388888946036,7152777778</v>
      </c>
      <c r="Q607" s="1" t="str">
        <f>_xlfn.CONCAT(H607,I607,J607)</f>
        <v>DAURDE</v>
      </c>
    </row>
    <row r="608" spans="2:17">
      <c r="B608" s="1" t="s">
        <v>305</v>
      </c>
      <c r="C608" s="1" t="s">
        <v>264</v>
      </c>
      <c r="D608" s="52">
        <v>46036.676388888889</v>
      </c>
      <c r="E608" s="52">
        <v>46036.676388888889</v>
      </c>
      <c r="F608" s="52">
        <v>46036.715277777781</v>
      </c>
      <c r="G608" s="53">
        <f>F608-E608</f>
        <v>3.888888889196096E-2</v>
      </c>
      <c r="H608" s="1" t="s">
        <v>257</v>
      </c>
      <c r="J608" s="1" t="s">
        <v>258</v>
      </c>
      <c r="K608" s="1" t="s">
        <v>658</v>
      </c>
      <c r="L608" s="65" t="s">
        <v>1960</v>
      </c>
      <c r="M608" s="1" t="s">
        <v>260</v>
      </c>
      <c r="N608" s="1" t="s">
        <v>357</v>
      </c>
      <c r="O608" s="1" t="s">
        <v>632</v>
      </c>
      <c r="P608" s="1" t="str">
        <f>_xlfn.CONCAT(B608,C608,D608,E608,F608)</f>
        <v>ARAGUATINS 1.1Inverter(MBUS-13)46036,676388888946036,676388888946036,7152777778</v>
      </c>
      <c r="Q608" s="1" t="str">
        <f>_xlfn.CONCAT(H608,I608,J608)</f>
        <v>DAURDE</v>
      </c>
    </row>
    <row r="609" spans="2:17">
      <c r="B609" s="1" t="s">
        <v>305</v>
      </c>
      <c r="C609" s="1" t="s">
        <v>263</v>
      </c>
      <c r="D609" s="52">
        <v>46036.676388888889</v>
      </c>
      <c r="E609" s="52">
        <v>46036.676388888889</v>
      </c>
      <c r="F609" s="52">
        <v>46036.715277777781</v>
      </c>
      <c r="G609" s="53">
        <f>F609-E609</f>
        <v>3.888888889196096E-2</v>
      </c>
      <c r="H609" s="1" t="s">
        <v>257</v>
      </c>
      <c r="J609" s="1" t="s">
        <v>258</v>
      </c>
      <c r="K609" s="1" t="s">
        <v>658</v>
      </c>
      <c r="L609" s="65" t="s">
        <v>1960</v>
      </c>
      <c r="M609" s="1" t="s">
        <v>260</v>
      </c>
      <c r="N609" s="1" t="s">
        <v>357</v>
      </c>
      <c r="O609" s="1" t="s">
        <v>632</v>
      </c>
      <c r="P609" s="1" t="str">
        <f>_xlfn.CONCAT(B609,C609,D609,E609,F609)</f>
        <v>ARAGUATINS 1.1Inverter(MBUS-14)46036,676388888946036,676388888946036,7152777778</v>
      </c>
      <c r="Q609" s="1" t="str">
        <f>_xlfn.CONCAT(H609,I609,J609)</f>
        <v>DAURDE</v>
      </c>
    </row>
    <row r="610" spans="2:17">
      <c r="B610" s="1" t="s">
        <v>305</v>
      </c>
      <c r="C610" s="1" t="s">
        <v>307</v>
      </c>
      <c r="D610" s="52">
        <v>46036.676388888889</v>
      </c>
      <c r="E610" s="52">
        <v>46036.676388888889</v>
      </c>
      <c r="F610" s="52">
        <v>46036.715277777781</v>
      </c>
      <c r="G610" s="53">
        <f>F610-E610</f>
        <v>3.888888889196096E-2</v>
      </c>
      <c r="H610" s="1" t="s">
        <v>257</v>
      </c>
      <c r="J610" s="1" t="s">
        <v>258</v>
      </c>
      <c r="K610" s="1" t="s">
        <v>658</v>
      </c>
      <c r="L610" s="65" t="s">
        <v>1960</v>
      </c>
      <c r="M610" s="1" t="s">
        <v>260</v>
      </c>
      <c r="N610" s="1" t="s">
        <v>357</v>
      </c>
      <c r="O610" s="1" t="s">
        <v>632</v>
      </c>
      <c r="P610" s="1" t="str">
        <f>_xlfn.CONCAT(B610,C610,D610,E610,F610)</f>
        <v>ARAGUATINS 1.1Inverter(MBUS-15)46036,676388888946036,676388888946036,7152777778</v>
      </c>
      <c r="Q610" s="1" t="str">
        <f>_xlfn.CONCAT(H610,I610,J610)</f>
        <v>DAURDE</v>
      </c>
    </row>
    <row r="611" spans="2:17">
      <c r="B611" s="1" t="s">
        <v>803</v>
      </c>
      <c r="C611" s="1" t="s">
        <v>264</v>
      </c>
      <c r="D611" s="52">
        <v>46036.719444444447</v>
      </c>
      <c r="E611" s="52">
        <v>46036.719444444447</v>
      </c>
      <c r="F611" s="52">
        <v>46036.818055555559</v>
      </c>
      <c r="G611" s="53">
        <f>F611-E611</f>
        <v>9.8611111112404615E-2</v>
      </c>
      <c r="H611" s="1" t="s">
        <v>268</v>
      </c>
      <c r="I611" s="1" t="s">
        <v>269</v>
      </c>
      <c r="J611" s="1" t="s">
        <v>270</v>
      </c>
      <c r="K611" s="1" t="str">
        <f>_xlfn.XLOOKUP(J611,REF!D:D,REF!E:E)</f>
        <v>Internet</v>
      </c>
      <c r="L611" s="1" t="s">
        <v>1964</v>
      </c>
      <c r="M611" s="1" t="s">
        <v>272</v>
      </c>
      <c r="N611" s="1" t="s">
        <v>273</v>
      </c>
      <c r="O611" s="1" t="s">
        <v>744</v>
      </c>
      <c r="P611" s="1" t="str">
        <f>_xlfn.CONCAT(B611,C611,D611,E611,F611)</f>
        <v>BC Formoso1.1Inverter(MBUS-13)46036,719444444446036,719444444446036,8180555556</v>
      </c>
      <c r="Q611" s="1" t="str">
        <f>_xlfn.CONCAT(H611,I611,J611)</f>
        <v>LIGRFOINT</v>
      </c>
    </row>
    <row r="612" spans="2:17">
      <c r="B612" s="1" t="s">
        <v>803</v>
      </c>
      <c r="C612" s="1" t="s">
        <v>256</v>
      </c>
      <c r="D612" s="52">
        <v>46036.719444444447</v>
      </c>
      <c r="E612" s="52">
        <v>46036.719444444447</v>
      </c>
      <c r="F612" s="52">
        <v>46036.818055555559</v>
      </c>
      <c r="G612" s="53">
        <f>F612-E612</f>
        <v>9.8611111112404615E-2</v>
      </c>
      <c r="H612" s="1" t="s">
        <v>268</v>
      </c>
      <c r="I612" s="1" t="s">
        <v>269</v>
      </c>
      <c r="J612" s="1" t="s">
        <v>270</v>
      </c>
      <c r="K612" s="1" t="str">
        <f>_xlfn.XLOOKUP(J612,REF!D:D,REF!E:E)</f>
        <v>Internet</v>
      </c>
      <c r="L612" s="1" t="s">
        <v>1964</v>
      </c>
      <c r="M612" s="1" t="s">
        <v>272</v>
      </c>
      <c r="N612" s="1" t="s">
        <v>273</v>
      </c>
      <c r="O612" s="1" t="s">
        <v>744</v>
      </c>
      <c r="P612" s="1" t="str">
        <f>_xlfn.CONCAT(B612,C612,D612,E612,F612)</f>
        <v>BC Formoso1.1Inverter(MBUS-12)46036,719444444446036,719444444446036,8180555556</v>
      </c>
      <c r="Q612" s="1" t="str">
        <f>_xlfn.CONCAT(H612,I612,J612)</f>
        <v>LIGRFOINT</v>
      </c>
    </row>
    <row r="613" spans="2:17">
      <c r="B613" s="1" t="s">
        <v>803</v>
      </c>
      <c r="C613" s="1" t="s">
        <v>307</v>
      </c>
      <c r="D613" s="52">
        <v>46036.719444444447</v>
      </c>
      <c r="E613" s="52">
        <v>46036.719444444447</v>
      </c>
      <c r="F613" s="52">
        <v>46036.818055555559</v>
      </c>
      <c r="G613" s="53">
        <f>F613-E613</f>
        <v>9.8611111112404615E-2</v>
      </c>
      <c r="H613" s="1" t="s">
        <v>268</v>
      </c>
      <c r="I613" s="1" t="s">
        <v>269</v>
      </c>
      <c r="J613" s="1" t="s">
        <v>270</v>
      </c>
      <c r="K613" s="1" t="str">
        <f>_xlfn.XLOOKUP(J613,REF!D:D,REF!E:E)</f>
        <v>Internet</v>
      </c>
      <c r="L613" s="1" t="s">
        <v>1964</v>
      </c>
      <c r="M613" s="1" t="s">
        <v>272</v>
      </c>
      <c r="N613" s="1" t="s">
        <v>273</v>
      </c>
      <c r="O613" s="1" t="s">
        <v>744</v>
      </c>
      <c r="P613" s="1" t="str">
        <f>_xlfn.CONCAT(B613,C613,D613,E613,F613)</f>
        <v>BC Formoso1.1Inverter(MBUS-15)46036,719444444446036,719444444446036,8180555556</v>
      </c>
      <c r="Q613" s="1" t="str">
        <f>_xlfn.CONCAT(H613,I613,J613)</f>
        <v>LIGRFOINT</v>
      </c>
    </row>
    <row r="614" spans="2:17">
      <c r="B614" s="1" t="s">
        <v>803</v>
      </c>
      <c r="C614" s="1" t="s">
        <v>263</v>
      </c>
      <c r="D614" s="52">
        <v>46036.719444444447</v>
      </c>
      <c r="E614" s="52">
        <v>46036.719444444447</v>
      </c>
      <c r="F614" s="52">
        <v>46036.818055555559</v>
      </c>
      <c r="G614" s="53">
        <f>F614-E614</f>
        <v>9.8611111112404615E-2</v>
      </c>
      <c r="H614" s="1" t="s">
        <v>268</v>
      </c>
      <c r="I614" s="1" t="s">
        <v>269</v>
      </c>
      <c r="J614" s="1" t="s">
        <v>270</v>
      </c>
      <c r="K614" s="1" t="str">
        <f>_xlfn.XLOOKUP(J614,REF!D:D,REF!E:E)</f>
        <v>Internet</v>
      </c>
      <c r="L614" s="1" t="s">
        <v>1964</v>
      </c>
      <c r="M614" s="1" t="s">
        <v>272</v>
      </c>
      <c r="N614" s="1" t="s">
        <v>273</v>
      </c>
      <c r="O614" s="1" t="s">
        <v>744</v>
      </c>
      <c r="P614" s="1" t="str">
        <f>_xlfn.CONCAT(B614,C614,D614,E614,F614)</f>
        <v>BC Formoso1.1Inverter(MBUS-14)46036,719444444446036,719444444446036,8180555556</v>
      </c>
      <c r="Q614" s="1" t="str">
        <f>_xlfn.CONCAT(H614,I614,J614)</f>
        <v>LIGRFOINT</v>
      </c>
    </row>
    <row r="615" spans="2:17">
      <c r="B615" s="1" t="s">
        <v>805</v>
      </c>
      <c r="C615" s="1" t="s">
        <v>264</v>
      </c>
      <c r="D615" s="52">
        <v>46036.719444444447</v>
      </c>
      <c r="E615" s="52">
        <v>46036.719444444447</v>
      </c>
      <c r="F615" s="52">
        <v>46036.818055555559</v>
      </c>
      <c r="G615" s="53">
        <f>F615-E615</f>
        <v>9.8611111112404615E-2</v>
      </c>
      <c r="H615" s="1" t="s">
        <v>268</v>
      </c>
      <c r="I615" s="1" t="s">
        <v>269</v>
      </c>
      <c r="J615" s="1" t="s">
        <v>270</v>
      </c>
      <c r="K615" s="1" t="str">
        <f>_xlfn.XLOOKUP(J615,REF!D:D,REF!E:E)</f>
        <v>Internet</v>
      </c>
      <c r="L615" s="1" t="s">
        <v>1964</v>
      </c>
      <c r="M615" s="1" t="s">
        <v>272</v>
      </c>
      <c r="N615" s="1" t="s">
        <v>273</v>
      </c>
      <c r="O615" s="1" t="s">
        <v>744</v>
      </c>
      <c r="P615" s="1" t="str">
        <f>_xlfn.CONCAT(B615,C615,D615,E615,F615)</f>
        <v>BC Formoso1.2Inverter(MBUS-13)46036,719444444446036,719444444446036,8180555556</v>
      </c>
      <c r="Q615" s="1" t="str">
        <f>_xlfn.CONCAT(H615,I615,J615)</f>
        <v>LIGRFOINT</v>
      </c>
    </row>
    <row r="616" spans="2:17">
      <c r="B616" s="1" t="s">
        <v>805</v>
      </c>
      <c r="C616" s="1" t="s">
        <v>256</v>
      </c>
      <c r="D616" s="52">
        <v>46036.719444444447</v>
      </c>
      <c r="E616" s="52">
        <v>46036.719444444447</v>
      </c>
      <c r="F616" s="52">
        <v>46036.818055555559</v>
      </c>
      <c r="G616" s="53">
        <f>F616-E616</f>
        <v>9.8611111112404615E-2</v>
      </c>
      <c r="H616" s="1" t="s">
        <v>268</v>
      </c>
      <c r="I616" s="1" t="s">
        <v>269</v>
      </c>
      <c r="J616" s="1" t="s">
        <v>270</v>
      </c>
      <c r="K616" s="1" t="str">
        <f>_xlfn.XLOOKUP(J616,REF!D:D,REF!E:E)</f>
        <v>Internet</v>
      </c>
      <c r="L616" s="1" t="s">
        <v>1964</v>
      </c>
      <c r="M616" s="1" t="s">
        <v>272</v>
      </c>
      <c r="N616" s="1" t="s">
        <v>273</v>
      </c>
      <c r="O616" s="1" t="s">
        <v>744</v>
      </c>
      <c r="P616" s="1" t="str">
        <f>_xlfn.CONCAT(B616,C616,D616,E616,F616)</f>
        <v>BC Formoso1.2Inverter(MBUS-12)46036,719444444446036,719444444446036,8180555556</v>
      </c>
      <c r="Q616" s="1" t="str">
        <f>_xlfn.CONCAT(H616,I616,J616)</f>
        <v>LIGRFOINT</v>
      </c>
    </row>
    <row r="617" spans="2:17">
      <c r="B617" s="1" t="s">
        <v>805</v>
      </c>
      <c r="C617" s="1" t="s">
        <v>307</v>
      </c>
      <c r="D617" s="52">
        <v>46036.719444444447</v>
      </c>
      <c r="E617" s="52">
        <v>46036.719444444447</v>
      </c>
      <c r="F617" s="52">
        <v>46036.818055555559</v>
      </c>
      <c r="G617" s="53">
        <f>F617-E617</f>
        <v>9.8611111112404615E-2</v>
      </c>
      <c r="H617" s="1" t="s">
        <v>268</v>
      </c>
      <c r="I617" s="1" t="s">
        <v>269</v>
      </c>
      <c r="J617" s="1" t="s">
        <v>270</v>
      </c>
      <c r="K617" s="1" t="str">
        <f>_xlfn.XLOOKUP(J617,REF!D:D,REF!E:E)</f>
        <v>Internet</v>
      </c>
      <c r="L617" s="1" t="s">
        <v>1964</v>
      </c>
      <c r="M617" s="1" t="s">
        <v>272</v>
      </c>
      <c r="N617" s="1" t="s">
        <v>273</v>
      </c>
      <c r="O617" s="1" t="s">
        <v>744</v>
      </c>
      <c r="P617" s="1" t="str">
        <f>_xlfn.CONCAT(B617,C617,D617,E617,F617)</f>
        <v>BC Formoso1.2Inverter(MBUS-15)46036,719444444446036,719444444446036,8180555556</v>
      </c>
      <c r="Q617" s="1" t="str">
        <f>_xlfn.CONCAT(H617,I617,J617)</f>
        <v>LIGRFOINT</v>
      </c>
    </row>
    <row r="618" spans="2:17">
      <c r="B618" s="1" t="s">
        <v>805</v>
      </c>
      <c r="C618" s="1" t="s">
        <v>263</v>
      </c>
      <c r="D618" s="52">
        <v>46036.719444444447</v>
      </c>
      <c r="E618" s="52">
        <v>46036.719444444447</v>
      </c>
      <c r="F618" s="52">
        <v>46036.818055555559</v>
      </c>
      <c r="G618" s="53">
        <f>F618-E618</f>
        <v>9.8611111112404615E-2</v>
      </c>
      <c r="H618" s="1" t="s">
        <v>268</v>
      </c>
      <c r="I618" s="1" t="s">
        <v>269</v>
      </c>
      <c r="J618" s="1" t="s">
        <v>270</v>
      </c>
      <c r="K618" s="1" t="str">
        <f>_xlfn.XLOOKUP(J618,REF!D:D,REF!E:E)</f>
        <v>Internet</v>
      </c>
      <c r="L618" s="1" t="s">
        <v>1964</v>
      </c>
      <c r="M618" s="1" t="s">
        <v>272</v>
      </c>
      <c r="N618" s="1" t="s">
        <v>273</v>
      </c>
      <c r="O618" s="1" t="s">
        <v>744</v>
      </c>
      <c r="P618" s="1" t="str">
        <f>_xlfn.CONCAT(B618,C618,D618,E618,F618)</f>
        <v>BC Formoso1.2Inverter(MBUS-14)46036,719444444446036,719444444446036,8180555556</v>
      </c>
      <c r="Q618" s="1" t="str">
        <f>_xlfn.CONCAT(H618,I618,J618)</f>
        <v>LIGRFOINT</v>
      </c>
    </row>
    <row r="619" spans="2:17">
      <c r="B619" s="1" t="s">
        <v>806</v>
      </c>
      <c r="C619" s="1" t="s">
        <v>264</v>
      </c>
      <c r="D619" s="52">
        <v>46036.719444444447</v>
      </c>
      <c r="E619" s="52">
        <v>46036.719444444447</v>
      </c>
      <c r="F619" s="52">
        <v>46036.818055555559</v>
      </c>
      <c r="G619" s="53">
        <f>F619-E619</f>
        <v>9.8611111112404615E-2</v>
      </c>
      <c r="H619" s="1" t="s">
        <v>268</v>
      </c>
      <c r="I619" s="1" t="s">
        <v>269</v>
      </c>
      <c r="J619" s="1" t="s">
        <v>270</v>
      </c>
      <c r="K619" s="1" t="str">
        <f>_xlfn.XLOOKUP(J619,REF!D:D,REF!E:E)</f>
        <v>Internet</v>
      </c>
      <c r="L619" s="1" t="s">
        <v>1964</v>
      </c>
      <c r="M619" s="1" t="s">
        <v>272</v>
      </c>
      <c r="N619" s="1" t="s">
        <v>273</v>
      </c>
      <c r="O619" s="1" t="s">
        <v>744</v>
      </c>
      <c r="P619" s="1" t="str">
        <f>_xlfn.CONCAT(B619,C619,D619,E619,F619)</f>
        <v>BC Formoso1.3Inverter(MBUS-13)46036,719444444446036,719444444446036,8180555556</v>
      </c>
      <c r="Q619" s="1" t="str">
        <f>_xlfn.CONCAT(H619,I619,J619)</f>
        <v>LIGRFOINT</v>
      </c>
    </row>
    <row r="620" spans="2:17">
      <c r="B620" s="1" t="s">
        <v>806</v>
      </c>
      <c r="C620" s="1" t="s">
        <v>256</v>
      </c>
      <c r="D620" s="52">
        <v>46036.719444444447</v>
      </c>
      <c r="E620" s="52">
        <v>46036.719444444447</v>
      </c>
      <c r="F620" s="52">
        <v>46036.818055555559</v>
      </c>
      <c r="G620" s="53">
        <f>F620-E620</f>
        <v>9.8611111112404615E-2</v>
      </c>
      <c r="H620" s="1" t="s">
        <v>268</v>
      </c>
      <c r="I620" s="1" t="s">
        <v>269</v>
      </c>
      <c r="J620" s="1" t="s">
        <v>270</v>
      </c>
      <c r="K620" s="1" t="str">
        <f>_xlfn.XLOOKUP(J620,REF!D:D,REF!E:E)</f>
        <v>Internet</v>
      </c>
      <c r="L620" s="1" t="s">
        <v>1964</v>
      </c>
      <c r="M620" s="1" t="s">
        <v>272</v>
      </c>
      <c r="N620" s="1" t="s">
        <v>273</v>
      </c>
      <c r="O620" s="1" t="s">
        <v>744</v>
      </c>
      <c r="P620" s="1" t="str">
        <f>_xlfn.CONCAT(B620,C620,D620,E620,F620)</f>
        <v>BC Formoso1.3Inverter(MBUS-12)46036,719444444446036,719444444446036,8180555556</v>
      </c>
      <c r="Q620" s="1" t="str">
        <f>_xlfn.CONCAT(H620,I620,J620)</f>
        <v>LIGRFOINT</v>
      </c>
    </row>
    <row r="621" spans="2:17">
      <c r="B621" s="1" t="s">
        <v>255</v>
      </c>
      <c r="C621" s="1" t="s">
        <v>256</v>
      </c>
      <c r="D621" s="52">
        <v>46036.719444444447</v>
      </c>
      <c r="E621" s="52">
        <v>46036.719444444447</v>
      </c>
      <c r="F621" s="52">
        <v>46036.818055555559</v>
      </c>
      <c r="G621" s="53">
        <f>F621-E621</f>
        <v>9.8611111112404615E-2</v>
      </c>
      <c r="H621" s="1" t="s">
        <v>268</v>
      </c>
      <c r="I621" s="1" t="s">
        <v>269</v>
      </c>
      <c r="J621" s="1" t="s">
        <v>270</v>
      </c>
      <c r="K621" s="1" t="str">
        <f>_xlfn.XLOOKUP(J621,REF!D:D,REF!E:E)</f>
        <v>Internet</v>
      </c>
      <c r="L621" s="1" t="s">
        <v>1964</v>
      </c>
      <c r="M621" s="1" t="s">
        <v>272</v>
      </c>
      <c r="N621" s="1" t="s">
        <v>273</v>
      </c>
      <c r="O621" s="1" t="s">
        <v>744</v>
      </c>
      <c r="P621" s="1" t="str">
        <f>_xlfn.CONCAT(B621,C621,D621,E621,F621)</f>
        <v>BC Formoso2.1Inverter(MBUS-12)46036,719444444446036,719444444446036,8180555556</v>
      </c>
      <c r="Q621" s="1" t="str">
        <f>_xlfn.CONCAT(H621,I621,J621)</f>
        <v>LIGRFOINT</v>
      </c>
    </row>
    <row r="622" spans="2:17">
      <c r="B622" s="1" t="s">
        <v>255</v>
      </c>
      <c r="C622" s="1" t="s">
        <v>263</v>
      </c>
      <c r="D622" s="52">
        <v>46036.719444444447</v>
      </c>
      <c r="E622" s="52">
        <v>46036.719444444447</v>
      </c>
      <c r="F622" s="52">
        <v>46036.818055555559</v>
      </c>
      <c r="G622" s="53">
        <f>F622-E622</f>
        <v>9.8611111112404615E-2</v>
      </c>
      <c r="H622" s="1" t="s">
        <v>268</v>
      </c>
      <c r="I622" s="1" t="s">
        <v>269</v>
      </c>
      <c r="J622" s="1" t="s">
        <v>270</v>
      </c>
      <c r="K622" s="1" t="str">
        <f>_xlfn.XLOOKUP(J622,REF!D:D,REF!E:E)</f>
        <v>Internet</v>
      </c>
      <c r="L622" s="1" t="s">
        <v>1964</v>
      </c>
      <c r="M622" s="1" t="s">
        <v>272</v>
      </c>
      <c r="N622" s="1" t="s">
        <v>273</v>
      </c>
      <c r="O622" s="1" t="s">
        <v>744</v>
      </c>
      <c r="P622" s="1" t="str">
        <f>_xlfn.CONCAT(B622,C622,D622,E622,F622)</f>
        <v>BC Formoso2.1Inverter(MBUS-14)46036,719444444446036,719444444446036,8180555556</v>
      </c>
      <c r="Q622" s="1" t="str">
        <f>_xlfn.CONCAT(H622,I622,J622)</f>
        <v>LIGRFOINT</v>
      </c>
    </row>
    <row r="623" spans="2:17">
      <c r="B623" s="1" t="s">
        <v>255</v>
      </c>
      <c r="C623" s="1" t="s">
        <v>264</v>
      </c>
      <c r="D623" s="52">
        <v>46036.719444444447</v>
      </c>
      <c r="E623" s="52">
        <v>46036.719444444447</v>
      </c>
      <c r="F623" s="52">
        <v>46036.818055555559</v>
      </c>
      <c r="G623" s="53">
        <f>F623-E623</f>
        <v>9.8611111112404615E-2</v>
      </c>
      <c r="H623" s="1" t="s">
        <v>268</v>
      </c>
      <c r="I623" s="1" t="s">
        <v>269</v>
      </c>
      <c r="J623" s="1" t="s">
        <v>270</v>
      </c>
      <c r="K623" s="1" t="str">
        <f>_xlfn.XLOOKUP(J623,REF!D:D,REF!E:E)</f>
        <v>Internet</v>
      </c>
      <c r="L623" s="1" t="s">
        <v>1964</v>
      </c>
      <c r="M623" s="1" t="s">
        <v>272</v>
      </c>
      <c r="N623" s="1" t="s">
        <v>273</v>
      </c>
      <c r="O623" s="1" t="s">
        <v>744</v>
      </c>
      <c r="P623" s="1" t="str">
        <f>_xlfn.CONCAT(B623,C623,D623,E623,F623)</f>
        <v>BC Formoso2.1Inverter(MBUS-13)46036,719444444446036,719444444446036,8180555556</v>
      </c>
      <c r="Q623" s="1" t="str">
        <f>_xlfn.CONCAT(H623,I623,J623)</f>
        <v>LIGRFOINT</v>
      </c>
    </row>
    <row r="624" spans="2:17">
      <c r="B624" s="1" t="s">
        <v>255</v>
      </c>
      <c r="C624" s="1" t="s">
        <v>247</v>
      </c>
      <c r="D624" s="52">
        <v>46036.719444444447</v>
      </c>
      <c r="E624" s="52">
        <v>46036.719444444447</v>
      </c>
      <c r="F624" s="52">
        <v>46036.818055555559</v>
      </c>
      <c r="G624" s="53">
        <f>F624-E624</f>
        <v>9.8611111112404615E-2</v>
      </c>
      <c r="H624" s="1" t="s">
        <v>268</v>
      </c>
      <c r="I624" s="1" t="s">
        <v>269</v>
      </c>
      <c r="J624" s="1" t="s">
        <v>270</v>
      </c>
      <c r="K624" s="1" t="str">
        <f>_xlfn.XLOOKUP(J624,REF!D:D,REF!E:E)</f>
        <v>Internet</v>
      </c>
      <c r="L624" s="1" t="s">
        <v>1964</v>
      </c>
      <c r="M624" s="1" t="s">
        <v>272</v>
      </c>
      <c r="N624" s="1" t="s">
        <v>273</v>
      </c>
      <c r="O624" s="1" t="s">
        <v>744</v>
      </c>
      <c r="P624" s="1" t="str">
        <f>_xlfn.CONCAT(B624,C624,D624,E624,F624)</f>
        <v>BC Formoso2.1Inverter(MBUS-1)46036,719444444446036,719444444446036,8180555556</v>
      </c>
      <c r="Q624" s="1" t="str">
        <f>_xlfn.CONCAT(H624,I624,J624)</f>
        <v>LIGRFOINT</v>
      </c>
    </row>
    <row r="625" spans="2:17">
      <c r="B625" s="1" t="s">
        <v>265</v>
      </c>
      <c r="C625" s="1" t="s">
        <v>263</v>
      </c>
      <c r="D625" s="52">
        <v>46036.719444444447</v>
      </c>
      <c r="E625" s="52">
        <v>46036.719444444447</v>
      </c>
      <c r="F625" s="52">
        <v>46036.818055555559</v>
      </c>
      <c r="G625" s="53">
        <f>F625-E625</f>
        <v>9.8611111112404615E-2</v>
      </c>
      <c r="H625" s="1" t="s">
        <v>268</v>
      </c>
      <c r="I625" s="1" t="s">
        <v>269</v>
      </c>
      <c r="J625" s="1" t="s">
        <v>270</v>
      </c>
      <c r="K625" s="1" t="str">
        <f>_xlfn.XLOOKUP(J625,REF!D:D,REF!E:E)</f>
        <v>Internet</v>
      </c>
      <c r="L625" s="1" t="s">
        <v>1964</v>
      </c>
      <c r="M625" s="1" t="s">
        <v>272</v>
      </c>
      <c r="N625" s="1" t="s">
        <v>273</v>
      </c>
      <c r="O625" s="1" t="s">
        <v>744</v>
      </c>
      <c r="P625" s="1" t="str">
        <f>_xlfn.CONCAT(B625,C625,D625,E625,F625)</f>
        <v>BC Formoso2.2Inverter(MBUS-14)46036,719444444446036,719444444446036,8180555556</v>
      </c>
      <c r="Q625" s="1" t="str">
        <f>_xlfn.CONCAT(H625,I625,J625)</f>
        <v>LIGRFOINT</v>
      </c>
    </row>
    <row r="626" spans="2:17">
      <c r="B626" s="1" t="s">
        <v>265</v>
      </c>
      <c r="C626" s="1" t="s">
        <v>264</v>
      </c>
      <c r="D626" s="52">
        <v>46036.719444444447</v>
      </c>
      <c r="E626" s="52">
        <v>46036.719444444447</v>
      </c>
      <c r="F626" s="52">
        <v>46036.818055555559</v>
      </c>
      <c r="G626" s="53">
        <f>F626-E626</f>
        <v>9.8611111112404615E-2</v>
      </c>
      <c r="H626" s="1" t="s">
        <v>268</v>
      </c>
      <c r="I626" s="1" t="s">
        <v>269</v>
      </c>
      <c r="J626" s="1" t="s">
        <v>270</v>
      </c>
      <c r="K626" s="1" t="str">
        <f>_xlfn.XLOOKUP(J626,REF!D:D,REF!E:E)</f>
        <v>Internet</v>
      </c>
      <c r="L626" s="1" t="s">
        <v>1964</v>
      </c>
      <c r="M626" s="1" t="s">
        <v>272</v>
      </c>
      <c r="N626" s="1" t="s">
        <v>273</v>
      </c>
      <c r="O626" s="1" t="s">
        <v>744</v>
      </c>
      <c r="P626" s="1" t="str">
        <f>_xlfn.CONCAT(B626,C626,D626,E626,F626)</f>
        <v>BC Formoso2.2Inverter(MBUS-13)46036,719444444446036,719444444446036,8180555556</v>
      </c>
      <c r="Q626" s="1" t="str">
        <f>_xlfn.CONCAT(H626,I626,J626)</f>
        <v>LIGRFOINT</v>
      </c>
    </row>
    <row r="627" spans="2:17">
      <c r="B627" s="1" t="s">
        <v>265</v>
      </c>
      <c r="C627" s="1" t="s">
        <v>256</v>
      </c>
      <c r="D627" s="52">
        <v>46036.719444444447</v>
      </c>
      <c r="E627" s="52">
        <v>46036.719444444447</v>
      </c>
      <c r="F627" s="52">
        <v>46036.818055555559</v>
      </c>
      <c r="G627" s="53">
        <f>F627-E627</f>
        <v>9.8611111112404615E-2</v>
      </c>
      <c r="H627" s="1" t="s">
        <v>268</v>
      </c>
      <c r="I627" s="1" t="s">
        <v>269</v>
      </c>
      <c r="J627" s="1" t="s">
        <v>270</v>
      </c>
      <c r="K627" s="1" t="str">
        <f>_xlfn.XLOOKUP(J627,REF!D:D,REF!E:E)</f>
        <v>Internet</v>
      </c>
      <c r="L627" s="1" t="s">
        <v>1964</v>
      </c>
      <c r="M627" s="1" t="s">
        <v>272</v>
      </c>
      <c r="N627" s="1" t="s">
        <v>273</v>
      </c>
      <c r="O627" s="1" t="s">
        <v>744</v>
      </c>
      <c r="P627" s="1" t="str">
        <f>_xlfn.CONCAT(B627,C627,D627,E627,F627)</f>
        <v>BC Formoso2.2Inverter(MBUS-12)46036,719444444446036,719444444446036,8180555556</v>
      </c>
      <c r="Q627" s="1" t="str">
        <f>_xlfn.CONCAT(H627,I627,J627)</f>
        <v>LIGRFOINT</v>
      </c>
    </row>
    <row r="628" spans="2:17">
      <c r="B628" s="1" t="s">
        <v>265</v>
      </c>
      <c r="C628" s="1" t="s">
        <v>247</v>
      </c>
      <c r="D628" s="52">
        <v>46036.719444444447</v>
      </c>
      <c r="E628" s="52">
        <v>46036.719444444447</v>
      </c>
      <c r="F628" s="52">
        <v>46036.818055555559</v>
      </c>
      <c r="G628" s="53">
        <f>F628-E628</f>
        <v>9.8611111112404615E-2</v>
      </c>
      <c r="H628" s="1" t="s">
        <v>268</v>
      </c>
      <c r="I628" s="1" t="s">
        <v>269</v>
      </c>
      <c r="J628" s="1" t="s">
        <v>270</v>
      </c>
      <c r="K628" s="1" t="str">
        <f>_xlfn.XLOOKUP(J628,REF!D:D,REF!E:E)</f>
        <v>Internet</v>
      </c>
      <c r="L628" s="1" t="s">
        <v>1964</v>
      </c>
      <c r="M628" s="1" t="s">
        <v>272</v>
      </c>
      <c r="N628" s="1" t="s">
        <v>273</v>
      </c>
      <c r="O628" s="1" t="s">
        <v>744</v>
      </c>
      <c r="P628" s="1" t="str">
        <f>_xlfn.CONCAT(B628,C628,D628,E628,F628)</f>
        <v>BC Formoso2.2Inverter(MBUS-1)46036,719444444446036,719444444446036,8180555556</v>
      </c>
      <c r="Q628" s="1" t="str">
        <f>_xlfn.CONCAT(H628,I628,J628)</f>
        <v>LIGRFOINT</v>
      </c>
    </row>
    <row r="629" spans="2:17">
      <c r="B629" s="1" t="s">
        <v>355</v>
      </c>
      <c r="C629" s="1" t="s">
        <v>264</v>
      </c>
      <c r="D629" s="52">
        <v>46036.719444444447</v>
      </c>
      <c r="E629" s="52">
        <v>46036.719444444447</v>
      </c>
      <c r="F629" s="52">
        <v>46036.818055555559</v>
      </c>
      <c r="G629" s="53">
        <f>F629-E629</f>
        <v>9.8611111112404615E-2</v>
      </c>
      <c r="H629" s="1" t="s">
        <v>268</v>
      </c>
      <c r="I629" s="1" t="s">
        <v>269</v>
      </c>
      <c r="J629" s="1" t="s">
        <v>270</v>
      </c>
      <c r="K629" s="1" t="str">
        <f>_xlfn.XLOOKUP(J629,REF!D:D,REF!E:E)</f>
        <v>Internet</v>
      </c>
      <c r="L629" s="1" t="s">
        <v>1964</v>
      </c>
      <c r="M629" s="1" t="s">
        <v>272</v>
      </c>
      <c r="N629" s="1" t="s">
        <v>273</v>
      </c>
      <c r="O629" s="1" t="s">
        <v>744</v>
      </c>
      <c r="P629" s="1" t="str">
        <f>_xlfn.CONCAT(B629,C629,D629,E629,F629)</f>
        <v>BC Formoso2.3Inverter(MBUS-13)46036,719444444446036,719444444446036,8180555556</v>
      </c>
      <c r="Q629" s="1" t="str">
        <f>_xlfn.CONCAT(H629,I629,J629)</f>
        <v>LIGRFOINT</v>
      </c>
    </row>
    <row r="630" spans="2:17">
      <c r="B630" s="1" t="s">
        <v>355</v>
      </c>
      <c r="C630" s="1" t="s">
        <v>256</v>
      </c>
      <c r="D630" s="52">
        <v>46036.719444444447</v>
      </c>
      <c r="E630" s="52">
        <v>46036.719444444447</v>
      </c>
      <c r="F630" s="52">
        <v>46036.818055555559</v>
      </c>
      <c r="G630" s="53">
        <f>F630-E630</f>
        <v>9.8611111112404615E-2</v>
      </c>
      <c r="H630" s="1" t="s">
        <v>268</v>
      </c>
      <c r="I630" s="1" t="s">
        <v>269</v>
      </c>
      <c r="J630" s="1" t="s">
        <v>319</v>
      </c>
      <c r="K630" s="1" t="str">
        <f>_xlfn.XLOOKUP(J630,REF!$D$2:$D$12,REF!$E$2:$E$12)</f>
        <v>Comunicação</v>
      </c>
      <c r="L630" s="1" t="s">
        <v>1964</v>
      </c>
      <c r="M630" s="1" t="s">
        <v>289</v>
      </c>
      <c r="N630" s="1" t="s">
        <v>253</v>
      </c>
      <c r="O630" s="1" t="s">
        <v>744</v>
      </c>
      <c r="P630" s="1" t="str">
        <f>_xlfn.CONCAT(B630,C630,D630,E630,F630)</f>
        <v>BC Formoso2.3Inverter(MBUS-12)46036,719444444446036,719444444446036,8180555556</v>
      </c>
      <c r="Q630" s="1" t="str">
        <f>_xlfn.CONCAT(H630,I630,J630)</f>
        <v>LIGRFOCOM</v>
      </c>
    </row>
    <row r="631" spans="2:17">
      <c r="B631" s="1" t="s">
        <v>698</v>
      </c>
      <c r="C631" s="1" t="s">
        <v>263</v>
      </c>
      <c r="D631" s="52">
        <v>46036.798611111109</v>
      </c>
      <c r="E631" s="52">
        <v>46036.798611111109</v>
      </c>
      <c r="F631" s="52">
        <v>46036.829861111109</v>
      </c>
      <c r="G631" s="53">
        <f>F631-E631</f>
        <v>3.125E-2</v>
      </c>
      <c r="H631" s="1" t="s">
        <v>257</v>
      </c>
      <c r="J631" s="1" t="s">
        <v>258</v>
      </c>
      <c r="K631" s="1" t="s">
        <v>658</v>
      </c>
      <c r="L631" s="1" t="s">
        <v>1990</v>
      </c>
      <c r="M631" s="1" t="s">
        <v>260</v>
      </c>
      <c r="N631" s="1" t="s">
        <v>357</v>
      </c>
      <c r="O631" s="1" t="s">
        <v>632</v>
      </c>
      <c r="P631" s="1" t="str">
        <f>_xlfn.CONCAT(B631,C631,D631,E631,F631)</f>
        <v>BC Turvania1.1Inverter(MBUS-14)46036,798611111146036,798611111146036,8298611111</v>
      </c>
      <c r="Q631" s="1" t="str">
        <f>_xlfn.CONCAT(H631,I631,J631)</f>
        <v>DAURDE</v>
      </c>
    </row>
    <row r="632" spans="2:17">
      <c r="B632" s="1" t="s">
        <v>698</v>
      </c>
      <c r="C632" s="1" t="s">
        <v>307</v>
      </c>
      <c r="D632" s="52">
        <v>46036.798611111109</v>
      </c>
      <c r="E632" s="52">
        <v>46036.798611111109</v>
      </c>
      <c r="F632" s="52">
        <v>46036.829861111109</v>
      </c>
      <c r="G632" s="53">
        <f>F632-E632</f>
        <v>3.125E-2</v>
      </c>
      <c r="H632" s="1" t="s">
        <v>257</v>
      </c>
      <c r="J632" s="1" t="s">
        <v>258</v>
      </c>
      <c r="K632" s="1" t="s">
        <v>658</v>
      </c>
      <c r="L632" s="1" t="s">
        <v>1990</v>
      </c>
      <c r="M632" s="1" t="s">
        <v>260</v>
      </c>
      <c r="N632" s="1" t="s">
        <v>357</v>
      </c>
      <c r="O632" s="1" t="s">
        <v>632</v>
      </c>
      <c r="P632" s="1" t="str">
        <f>_xlfn.CONCAT(B632,C632,D632,E632,F632)</f>
        <v>BC Turvania1.1Inverter(MBUS-15)46036,798611111146036,798611111146036,8298611111</v>
      </c>
      <c r="Q632" s="1" t="str">
        <f>_xlfn.CONCAT(H632,I632,J632)</f>
        <v>DAURDE</v>
      </c>
    </row>
    <row r="633" spans="2:17">
      <c r="B633" s="1" t="s">
        <v>698</v>
      </c>
      <c r="C633" s="1" t="s">
        <v>256</v>
      </c>
      <c r="D633" s="52">
        <v>46036.798611111109</v>
      </c>
      <c r="E633" s="52">
        <v>46036.798611111109</v>
      </c>
      <c r="F633" s="52">
        <v>46036.829861111109</v>
      </c>
      <c r="G633" s="53">
        <f>F633-E633</f>
        <v>3.125E-2</v>
      </c>
      <c r="H633" s="1" t="s">
        <v>257</v>
      </c>
      <c r="J633" s="1" t="s">
        <v>258</v>
      </c>
      <c r="K633" s="1" t="s">
        <v>658</v>
      </c>
      <c r="L633" s="1" t="s">
        <v>1990</v>
      </c>
      <c r="M633" s="1" t="s">
        <v>260</v>
      </c>
      <c r="N633" s="1" t="s">
        <v>357</v>
      </c>
      <c r="O633" s="1" t="s">
        <v>632</v>
      </c>
      <c r="P633" s="1" t="str">
        <f>_xlfn.CONCAT(B633,C633,D633,E633,F633)</f>
        <v>BC Turvania1.1Inverter(MBUS-12)46036,798611111146036,798611111146036,8298611111</v>
      </c>
      <c r="Q633" s="1" t="str">
        <f>_xlfn.CONCAT(H633,I633,J633)</f>
        <v>DAURDE</v>
      </c>
    </row>
    <row r="634" spans="2:17">
      <c r="B634" s="1" t="s">
        <v>698</v>
      </c>
      <c r="C634" s="1" t="s">
        <v>264</v>
      </c>
      <c r="D634" s="52">
        <v>46036.798611111109</v>
      </c>
      <c r="E634" s="52">
        <v>46036.798611111109</v>
      </c>
      <c r="F634" s="52">
        <v>46036.829861111109</v>
      </c>
      <c r="G634" s="53">
        <f>F634-E634</f>
        <v>3.125E-2</v>
      </c>
      <c r="H634" s="1" t="s">
        <v>257</v>
      </c>
      <c r="J634" s="1" t="s">
        <v>258</v>
      </c>
      <c r="K634" s="1" t="s">
        <v>658</v>
      </c>
      <c r="L634" s="1" t="s">
        <v>1990</v>
      </c>
      <c r="M634" s="1" t="s">
        <v>260</v>
      </c>
      <c r="N634" s="1" t="s">
        <v>357</v>
      </c>
      <c r="O634" s="1" t="s">
        <v>632</v>
      </c>
      <c r="P634" s="1" t="str">
        <f>_xlfn.CONCAT(B634,C634,D634,E634,F634)</f>
        <v>BC Turvania1.1Inverter(MBUS-13)46036,798611111146036,798611111146036,8298611111</v>
      </c>
      <c r="Q634" s="1" t="str">
        <f>_xlfn.CONCAT(H634,I634,J634)</f>
        <v>DAURDE</v>
      </c>
    </row>
    <row r="635" spans="2:17">
      <c r="B635" s="1" t="s">
        <v>700</v>
      </c>
      <c r="C635" s="1" t="s">
        <v>263</v>
      </c>
      <c r="D635" s="52">
        <v>46036.798611111109</v>
      </c>
      <c r="E635" s="52">
        <v>46036.798611111109</v>
      </c>
      <c r="F635" s="52">
        <v>46036.829861111109</v>
      </c>
      <c r="G635" s="53">
        <f>F635-E635</f>
        <v>3.125E-2</v>
      </c>
      <c r="H635" s="1" t="s">
        <v>257</v>
      </c>
      <c r="J635" s="1" t="s">
        <v>258</v>
      </c>
      <c r="K635" s="1" t="s">
        <v>658</v>
      </c>
      <c r="L635" s="1" t="s">
        <v>1990</v>
      </c>
      <c r="M635" s="1" t="s">
        <v>260</v>
      </c>
      <c r="N635" s="1" t="s">
        <v>357</v>
      </c>
      <c r="O635" s="1" t="s">
        <v>632</v>
      </c>
      <c r="P635" s="1" t="str">
        <f>_xlfn.CONCAT(B635,C635,D635,E635,F635)</f>
        <v>BC Turvania1.2Inverter(MBUS-14)46036,798611111146036,798611111146036,8298611111</v>
      </c>
      <c r="Q635" s="1" t="str">
        <f>_xlfn.CONCAT(H635,I635,J635)</f>
        <v>DAURDE</v>
      </c>
    </row>
    <row r="636" spans="2:17">
      <c r="B636" s="1" t="s">
        <v>700</v>
      </c>
      <c r="C636" s="1" t="s">
        <v>264</v>
      </c>
      <c r="D636" s="52">
        <v>46036.798611111109</v>
      </c>
      <c r="E636" s="52">
        <v>46036.798611111109</v>
      </c>
      <c r="F636" s="52">
        <v>46036.829861111109</v>
      </c>
      <c r="G636" s="53">
        <f>F636-E636</f>
        <v>3.125E-2</v>
      </c>
      <c r="H636" s="1" t="s">
        <v>257</v>
      </c>
      <c r="J636" s="1" t="s">
        <v>258</v>
      </c>
      <c r="K636" s="1" t="s">
        <v>658</v>
      </c>
      <c r="L636" s="1" t="s">
        <v>1990</v>
      </c>
      <c r="M636" s="1" t="s">
        <v>260</v>
      </c>
      <c r="N636" s="1" t="s">
        <v>357</v>
      </c>
      <c r="O636" s="1" t="s">
        <v>632</v>
      </c>
      <c r="P636" s="1" t="str">
        <f>_xlfn.CONCAT(B636,C636,D636,E636,F636)</f>
        <v>BC Turvania1.2Inverter(MBUS-13)46036,798611111146036,798611111146036,8298611111</v>
      </c>
      <c r="Q636" s="1" t="str">
        <f>_xlfn.CONCAT(H636,I636,J636)</f>
        <v>DAURDE</v>
      </c>
    </row>
    <row r="637" spans="2:17">
      <c r="B637" s="1" t="s">
        <v>700</v>
      </c>
      <c r="C637" s="1" t="s">
        <v>256</v>
      </c>
      <c r="D637" s="52">
        <v>46036.798611111109</v>
      </c>
      <c r="E637" s="52">
        <v>46036.798611111109</v>
      </c>
      <c r="F637" s="52">
        <v>46036.829861111109</v>
      </c>
      <c r="G637" s="53">
        <f>F637-E637</f>
        <v>3.125E-2</v>
      </c>
      <c r="H637" s="1" t="s">
        <v>257</v>
      </c>
      <c r="J637" s="1" t="s">
        <v>258</v>
      </c>
      <c r="K637" s="1" t="s">
        <v>658</v>
      </c>
      <c r="L637" s="1" t="s">
        <v>1990</v>
      </c>
      <c r="M637" s="1" t="s">
        <v>260</v>
      </c>
      <c r="N637" s="1" t="s">
        <v>357</v>
      </c>
      <c r="O637" s="1" t="s">
        <v>632</v>
      </c>
      <c r="P637" s="1" t="str">
        <f>_xlfn.CONCAT(B637,C637,D637,E637,F637)</f>
        <v>BC Turvania1.2Inverter(MBUS-12)46036,798611111146036,798611111146036,8298611111</v>
      </c>
      <c r="Q637" s="1" t="str">
        <f>_xlfn.CONCAT(H637,I637,J637)</f>
        <v>DAURDE</v>
      </c>
    </row>
    <row r="638" spans="2:17">
      <c r="B638" s="1" t="s">
        <v>700</v>
      </c>
      <c r="C638" s="1" t="s">
        <v>307</v>
      </c>
      <c r="D638" s="52">
        <v>46036.798611111109</v>
      </c>
      <c r="E638" s="52">
        <v>46036.798611111109</v>
      </c>
      <c r="F638" s="52">
        <v>46036.829861111109</v>
      </c>
      <c r="G638" s="53">
        <f>F638-E638</f>
        <v>3.125E-2</v>
      </c>
      <c r="H638" s="1" t="s">
        <v>257</v>
      </c>
      <c r="J638" s="1" t="s">
        <v>258</v>
      </c>
      <c r="K638" s="1" t="s">
        <v>658</v>
      </c>
      <c r="L638" s="1" t="s">
        <v>1990</v>
      </c>
      <c r="M638" s="1" t="s">
        <v>260</v>
      </c>
      <c r="N638" s="1" t="s">
        <v>357</v>
      </c>
      <c r="O638" s="1" t="s">
        <v>632</v>
      </c>
      <c r="P638" s="1" t="str">
        <f>_xlfn.CONCAT(B638,C638,D638,E638,F638)</f>
        <v>BC Turvania1.2Inverter(MBUS-15)46036,798611111146036,798611111146036,8298611111</v>
      </c>
      <c r="Q638" s="1" t="str">
        <f>_xlfn.CONCAT(H638,I638,J638)</f>
        <v>DAURDE</v>
      </c>
    </row>
    <row r="639" spans="2:17">
      <c r="B639" s="1" t="s">
        <v>314</v>
      </c>
      <c r="C639" s="1" t="s">
        <v>264</v>
      </c>
      <c r="D639" s="52">
        <v>46036.798611111109</v>
      </c>
      <c r="E639" s="52">
        <v>46036.798611111109</v>
      </c>
      <c r="F639" s="52">
        <v>46036.829861111109</v>
      </c>
      <c r="G639" s="53">
        <f>F639-E639</f>
        <v>3.125E-2</v>
      </c>
      <c r="H639" s="1" t="s">
        <v>257</v>
      </c>
      <c r="J639" s="1" t="s">
        <v>258</v>
      </c>
      <c r="K639" s="1" t="s">
        <v>658</v>
      </c>
      <c r="L639" s="1" t="s">
        <v>1990</v>
      </c>
      <c r="M639" s="1" t="s">
        <v>260</v>
      </c>
      <c r="N639" s="1" t="s">
        <v>357</v>
      </c>
      <c r="O639" s="1" t="s">
        <v>632</v>
      </c>
      <c r="P639" s="1" t="str">
        <f>_xlfn.CONCAT(B639,C639,D639,E639,F639)</f>
        <v>BC Turvania1.3Inverter(MBUS-13)46036,798611111146036,798611111146036,8298611111</v>
      </c>
      <c r="Q639" s="1" t="str">
        <f>_xlfn.CONCAT(H639,I639,J639)</f>
        <v>DAURDE</v>
      </c>
    </row>
    <row r="640" spans="2:17">
      <c r="B640" s="1" t="s">
        <v>314</v>
      </c>
      <c r="C640" s="1" t="s">
        <v>263</v>
      </c>
      <c r="D640" s="52">
        <v>46036.798611111109</v>
      </c>
      <c r="E640" s="52">
        <v>46036.798611111109</v>
      </c>
      <c r="F640" s="52">
        <v>46036.829861111109</v>
      </c>
      <c r="G640" s="53">
        <f>F640-E640</f>
        <v>3.125E-2</v>
      </c>
      <c r="H640" s="1" t="s">
        <v>257</v>
      </c>
      <c r="J640" s="1" t="s">
        <v>258</v>
      </c>
      <c r="K640" s="1" t="s">
        <v>658</v>
      </c>
      <c r="L640" s="1" t="s">
        <v>1990</v>
      </c>
      <c r="M640" s="1" t="s">
        <v>260</v>
      </c>
      <c r="N640" s="1" t="s">
        <v>357</v>
      </c>
      <c r="O640" s="1" t="s">
        <v>632</v>
      </c>
      <c r="P640" s="1" t="str">
        <f>_xlfn.CONCAT(B640,C640,D640,E640,F640)</f>
        <v>BC Turvania1.3Inverter(MBUS-14)46036,798611111146036,798611111146036,8298611111</v>
      </c>
      <c r="Q640" s="1" t="str">
        <f>_xlfn.CONCAT(H640,I640,J640)</f>
        <v>DAURDE</v>
      </c>
    </row>
    <row r="641" spans="2:17">
      <c r="B641" s="1" t="s">
        <v>314</v>
      </c>
      <c r="C641" s="1" t="s">
        <v>307</v>
      </c>
      <c r="D641" s="52">
        <v>46036.798611111109</v>
      </c>
      <c r="E641" s="52">
        <v>46036.798611111109</v>
      </c>
      <c r="F641" s="52">
        <v>46036.829861111109</v>
      </c>
      <c r="G641" s="53">
        <f>F641-E641</f>
        <v>3.125E-2</v>
      </c>
      <c r="H641" s="1" t="s">
        <v>257</v>
      </c>
      <c r="J641" s="1" t="s">
        <v>258</v>
      </c>
      <c r="K641" s="1" t="s">
        <v>658</v>
      </c>
      <c r="L641" s="1" t="s">
        <v>1990</v>
      </c>
      <c r="M641" s="1" t="s">
        <v>260</v>
      </c>
      <c r="N641" s="1" t="s">
        <v>357</v>
      </c>
      <c r="O641" s="1" t="s">
        <v>632</v>
      </c>
      <c r="P641" s="1" t="str">
        <f>_xlfn.CONCAT(B641,C641,D641,E641,F641)</f>
        <v>BC Turvania1.3Inverter(MBUS-15)46036,798611111146036,798611111146036,8298611111</v>
      </c>
      <c r="Q641" s="1" t="str">
        <f>_xlfn.CONCAT(H641,I641,J641)</f>
        <v>DAURDE</v>
      </c>
    </row>
    <row r="642" spans="2:17">
      <c r="B642" s="1" t="s">
        <v>314</v>
      </c>
      <c r="C642" s="1" t="s">
        <v>247</v>
      </c>
      <c r="D642" s="52">
        <v>46036.798611111109</v>
      </c>
      <c r="E642" s="52">
        <v>46036.798611111109</v>
      </c>
      <c r="F642" s="52">
        <v>46036.829861111109</v>
      </c>
      <c r="G642" s="53">
        <f>F642-E642</f>
        <v>3.125E-2</v>
      </c>
      <c r="H642" s="1" t="s">
        <v>257</v>
      </c>
      <c r="J642" s="1" t="s">
        <v>258</v>
      </c>
      <c r="K642" s="1" t="s">
        <v>658</v>
      </c>
      <c r="L642" s="1" t="s">
        <v>1990</v>
      </c>
      <c r="M642" s="1" t="s">
        <v>260</v>
      </c>
      <c r="N642" s="1" t="s">
        <v>357</v>
      </c>
      <c r="O642" s="1" t="s">
        <v>632</v>
      </c>
      <c r="P642" s="1" t="str">
        <f>_xlfn.CONCAT(B642,C642,D642,E642,F642)</f>
        <v>BC Turvania1.3Inverter(MBUS-1)46036,798611111146036,798611111146036,8298611111</v>
      </c>
      <c r="Q642" s="1" t="str">
        <f>_xlfn.CONCAT(H642,I642,J642)</f>
        <v>DAURDE</v>
      </c>
    </row>
    <row r="643" spans="2:17">
      <c r="B643" s="1" t="s">
        <v>701</v>
      </c>
      <c r="C643" s="1" t="s">
        <v>263</v>
      </c>
      <c r="D643" s="52">
        <v>46036.798611111109</v>
      </c>
      <c r="E643" s="52">
        <v>46036.798611111109</v>
      </c>
      <c r="F643" s="52">
        <v>46036.829861111109</v>
      </c>
      <c r="G643" s="53">
        <f>F643-E643</f>
        <v>3.125E-2</v>
      </c>
      <c r="H643" s="1" t="s">
        <v>257</v>
      </c>
      <c r="J643" s="1" t="s">
        <v>258</v>
      </c>
      <c r="K643" s="1" t="s">
        <v>658</v>
      </c>
      <c r="L643" s="1" t="s">
        <v>1990</v>
      </c>
      <c r="M643" s="1" t="s">
        <v>260</v>
      </c>
      <c r="N643" s="1" t="s">
        <v>357</v>
      </c>
      <c r="O643" s="1" t="s">
        <v>632</v>
      </c>
      <c r="P643" s="1" t="str">
        <f>_xlfn.CONCAT(B643,C643,D643,E643,F643)</f>
        <v>BC Turvania1.4Inverter(MBUS-14)46036,798611111146036,798611111146036,8298611111</v>
      </c>
      <c r="Q643" s="1" t="str">
        <f>_xlfn.CONCAT(H643,I643,J643)</f>
        <v>DAURDE</v>
      </c>
    </row>
    <row r="644" spans="2:17">
      <c r="B644" s="1" t="s">
        <v>701</v>
      </c>
      <c r="C644" s="1" t="s">
        <v>307</v>
      </c>
      <c r="D644" s="52">
        <v>46036.798611111109</v>
      </c>
      <c r="E644" s="52">
        <v>46036.798611111109</v>
      </c>
      <c r="F644" s="52">
        <v>46036.829861111109</v>
      </c>
      <c r="G644" s="53">
        <f>F644-E644</f>
        <v>3.125E-2</v>
      </c>
      <c r="H644" s="1" t="s">
        <v>257</v>
      </c>
      <c r="J644" s="1" t="s">
        <v>258</v>
      </c>
      <c r="K644" s="1" t="s">
        <v>658</v>
      </c>
      <c r="L644" s="1" t="s">
        <v>1990</v>
      </c>
      <c r="M644" s="1" t="s">
        <v>260</v>
      </c>
      <c r="N644" s="1" t="s">
        <v>357</v>
      </c>
      <c r="O644" s="1" t="s">
        <v>632</v>
      </c>
      <c r="P644" s="1" t="str">
        <f>_xlfn.CONCAT(B644,C644,D644,E644,F644)</f>
        <v>BC Turvania1.4Inverter(MBUS-15)46036,798611111146036,798611111146036,8298611111</v>
      </c>
      <c r="Q644" s="1" t="str">
        <f>_xlfn.CONCAT(H644,I644,J644)</f>
        <v>DAURDE</v>
      </c>
    </row>
    <row r="645" spans="2:17">
      <c r="B645" s="1" t="s">
        <v>701</v>
      </c>
      <c r="C645" s="1" t="s">
        <v>264</v>
      </c>
      <c r="D645" s="52">
        <v>46036.798611111109</v>
      </c>
      <c r="E645" s="52">
        <v>46036.798611111109</v>
      </c>
      <c r="F645" s="52">
        <v>46036.829861111109</v>
      </c>
      <c r="G645" s="53">
        <f>F645-E645</f>
        <v>3.125E-2</v>
      </c>
      <c r="H645" s="1" t="s">
        <v>257</v>
      </c>
      <c r="J645" s="1" t="s">
        <v>258</v>
      </c>
      <c r="K645" s="1" t="s">
        <v>658</v>
      </c>
      <c r="L645" s="1" t="s">
        <v>1990</v>
      </c>
      <c r="M645" s="1" t="s">
        <v>260</v>
      </c>
      <c r="N645" s="1" t="s">
        <v>357</v>
      </c>
      <c r="O645" s="1" t="s">
        <v>632</v>
      </c>
      <c r="P645" s="1" t="str">
        <f>_xlfn.CONCAT(B645,C645,D645,E645,F645)</f>
        <v>BC Turvania1.4Inverter(MBUS-13)46036,798611111146036,798611111146036,8298611111</v>
      </c>
      <c r="Q645" s="1" t="str">
        <f>_xlfn.CONCAT(H645,I645,J645)</f>
        <v>DAURDE</v>
      </c>
    </row>
    <row r="646" spans="2:17">
      <c r="B646" s="1" t="s">
        <v>701</v>
      </c>
      <c r="C646" s="1" t="s">
        <v>256</v>
      </c>
      <c r="D646" s="52">
        <v>46036.798611111109</v>
      </c>
      <c r="E646" s="52">
        <v>46036.798611111109</v>
      </c>
      <c r="F646" s="52">
        <v>46036.829861111109</v>
      </c>
      <c r="G646" s="53">
        <f>F646-E646</f>
        <v>3.125E-2</v>
      </c>
      <c r="H646" s="1" t="s">
        <v>257</v>
      </c>
      <c r="J646" s="1" t="s">
        <v>258</v>
      </c>
      <c r="K646" s="1" t="s">
        <v>658</v>
      </c>
      <c r="L646" s="1" t="s">
        <v>1990</v>
      </c>
      <c r="M646" s="1" t="s">
        <v>260</v>
      </c>
      <c r="N646" s="1" t="s">
        <v>357</v>
      </c>
      <c r="O646" s="1" t="s">
        <v>632</v>
      </c>
      <c r="P646" s="1" t="str">
        <f>_xlfn.CONCAT(B646,C646,D646,E646,F646)</f>
        <v>BC Turvania1.4Inverter(MBUS-12)46036,798611111146036,798611111146036,8298611111</v>
      </c>
      <c r="Q646" s="1" t="str">
        <f>_xlfn.CONCAT(H646,I646,J646)</f>
        <v>DAURDE</v>
      </c>
    </row>
    <row r="647" spans="2:17">
      <c r="B647" s="1" t="s">
        <v>702</v>
      </c>
      <c r="C647" s="1" t="s">
        <v>264</v>
      </c>
      <c r="D647" s="52">
        <v>46036.798611111109</v>
      </c>
      <c r="E647" s="52">
        <v>46036.798611111109</v>
      </c>
      <c r="F647" s="52">
        <v>46036.829861111109</v>
      </c>
      <c r="G647" s="53">
        <f>F647-E647</f>
        <v>3.125E-2</v>
      </c>
      <c r="H647" s="1" t="s">
        <v>257</v>
      </c>
      <c r="J647" s="1" t="s">
        <v>258</v>
      </c>
      <c r="K647" s="1" t="s">
        <v>658</v>
      </c>
      <c r="L647" s="1" t="s">
        <v>1990</v>
      </c>
      <c r="M647" s="1" t="s">
        <v>260</v>
      </c>
      <c r="N647" s="1" t="s">
        <v>357</v>
      </c>
      <c r="O647" s="1" t="s">
        <v>632</v>
      </c>
      <c r="P647" s="1" t="str">
        <f>_xlfn.CONCAT(B647,C647,D647,E647,F647)</f>
        <v>BC Turvania1.5Inverter(MBUS-13)46036,798611111146036,798611111146036,8298611111</v>
      </c>
      <c r="Q647" s="1" t="str">
        <f>_xlfn.CONCAT(H647,I647,J647)</f>
        <v>DAURDE</v>
      </c>
    </row>
    <row r="648" spans="2:17">
      <c r="B648" s="1" t="s">
        <v>702</v>
      </c>
      <c r="C648" s="1" t="s">
        <v>256</v>
      </c>
      <c r="D648" s="52">
        <v>46036.798611111109</v>
      </c>
      <c r="E648" s="52">
        <v>46036.798611111109</v>
      </c>
      <c r="F648" s="52">
        <v>46036.829861111109</v>
      </c>
      <c r="G648" s="53">
        <f>F648-E648</f>
        <v>3.125E-2</v>
      </c>
      <c r="H648" s="1" t="s">
        <v>257</v>
      </c>
      <c r="J648" s="1" t="s">
        <v>258</v>
      </c>
      <c r="K648" s="1" t="s">
        <v>658</v>
      </c>
      <c r="L648" s="1" t="s">
        <v>1990</v>
      </c>
      <c r="M648" s="1" t="s">
        <v>260</v>
      </c>
      <c r="N648" s="1" t="s">
        <v>357</v>
      </c>
      <c r="O648" s="1" t="s">
        <v>632</v>
      </c>
      <c r="P648" s="1" t="str">
        <f>_xlfn.CONCAT(B648,C648,D648,E648,F648)</f>
        <v>BC Turvania1.5Inverter(MBUS-12)46036,798611111146036,798611111146036,8298611111</v>
      </c>
      <c r="Q648" s="1" t="str">
        <f>_xlfn.CONCAT(H648,I648,J648)</f>
        <v>DAURDE</v>
      </c>
    </row>
    <row r="649" spans="2:17">
      <c r="B649" s="1" t="s">
        <v>702</v>
      </c>
      <c r="C649" s="1" t="s">
        <v>263</v>
      </c>
      <c r="D649" s="52">
        <v>46036.798611111109</v>
      </c>
      <c r="E649" s="52">
        <v>46036.798611111109</v>
      </c>
      <c r="F649" s="52">
        <v>46036.829861111109</v>
      </c>
      <c r="G649" s="53">
        <f>F649-E649</f>
        <v>3.125E-2</v>
      </c>
      <c r="H649" s="1" t="s">
        <v>257</v>
      </c>
      <c r="J649" s="1" t="s">
        <v>258</v>
      </c>
      <c r="K649" s="1" t="s">
        <v>658</v>
      </c>
      <c r="L649" s="1" t="s">
        <v>1990</v>
      </c>
      <c r="M649" s="1" t="s">
        <v>260</v>
      </c>
      <c r="N649" s="1" t="s">
        <v>357</v>
      </c>
      <c r="O649" s="1" t="s">
        <v>632</v>
      </c>
      <c r="P649" s="1" t="str">
        <f>_xlfn.CONCAT(B649,C649,D649,E649,F649)</f>
        <v>BC Turvania1.5Inverter(MBUS-14)46036,798611111146036,798611111146036,8298611111</v>
      </c>
      <c r="Q649" s="1" t="str">
        <f>_xlfn.CONCAT(H649,I649,J649)</f>
        <v>DAURDE</v>
      </c>
    </row>
    <row r="650" spans="2:17">
      <c r="B650" s="1" t="s">
        <v>702</v>
      </c>
      <c r="C650" s="1" t="s">
        <v>247</v>
      </c>
      <c r="D650" s="52">
        <v>46036.798611111109</v>
      </c>
      <c r="E650" s="52">
        <v>46036.798611111109</v>
      </c>
      <c r="F650" s="52">
        <v>46036.829861111109</v>
      </c>
      <c r="G650" s="53">
        <f>F650-E650</f>
        <v>3.125E-2</v>
      </c>
      <c r="H650" s="1" t="s">
        <v>257</v>
      </c>
      <c r="J650" s="1" t="s">
        <v>258</v>
      </c>
      <c r="K650" s="1" t="s">
        <v>658</v>
      </c>
      <c r="L650" s="1" t="s">
        <v>1990</v>
      </c>
      <c r="M650" s="1" t="s">
        <v>260</v>
      </c>
      <c r="N650" s="1" t="s">
        <v>357</v>
      </c>
      <c r="O650" s="1" t="s">
        <v>632</v>
      </c>
      <c r="P650" s="1" t="str">
        <f>_xlfn.CONCAT(B650,C650,D650,E650,F650)</f>
        <v>BC Turvania1.5Inverter(MBUS-1)46036,798611111146036,798611111146036,8298611111</v>
      </c>
      <c r="Q650" s="1" t="str">
        <f>_xlfn.CONCAT(H650,I650,J650)</f>
        <v>DAURDE</v>
      </c>
    </row>
    <row r="651" spans="2:17">
      <c r="B651" s="1" t="s">
        <v>803</v>
      </c>
      <c r="C651" s="1" t="s">
        <v>264</v>
      </c>
      <c r="D651" s="52">
        <v>46037.206250000003</v>
      </c>
      <c r="E651" s="52">
        <v>46037.206250000003</v>
      </c>
      <c r="F651" s="52">
        <v>46037.326388888891</v>
      </c>
      <c r="G651" s="53">
        <f>F651-E651</f>
        <v>0.12013888888759539</v>
      </c>
      <c r="H651" s="1" t="s">
        <v>268</v>
      </c>
      <c r="I651" s="1" t="s">
        <v>269</v>
      </c>
      <c r="J651" s="1" t="s">
        <v>319</v>
      </c>
      <c r="K651" s="1" t="str">
        <f>_xlfn.XLOOKUP(J651,REF!$D$2:$D$12,REF!$E$2:$E$12)</f>
        <v>Comunicação</v>
      </c>
      <c r="L651" s="1" t="s">
        <v>1964</v>
      </c>
      <c r="M651" s="1" t="s">
        <v>289</v>
      </c>
      <c r="N651" s="1" t="s">
        <v>253</v>
      </c>
      <c r="O651" s="1" t="s">
        <v>751</v>
      </c>
      <c r="P651" s="1" t="str">
        <f>_xlfn.CONCAT(B651,C651,D651,E651,F651)</f>
        <v>BC Formoso1.1Inverter(MBUS-13)46037,2062546037,2062546037,3263888889</v>
      </c>
      <c r="Q651" s="1" t="str">
        <f>_xlfn.CONCAT(H651,I651,J651)</f>
        <v>LIGRFOCOM</v>
      </c>
    </row>
    <row r="652" spans="2:17">
      <c r="B652" s="1" t="s">
        <v>803</v>
      </c>
      <c r="C652" s="1" t="s">
        <v>256</v>
      </c>
      <c r="D652" s="52">
        <v>46037.206250000003</v>
      </c>
      <c r="E652" s="52">
        <v>46037.206250000003</v>
      </c>
      <c r="F652" s="52">
        <v>46037.326388888891</v>
      </c>
      <c r="G652" s="53">
        <f>F652-E652</f>
        <v>0.12013888888759539</v>
      </c>
      <c r="H652" s="1" t="s">
        <v>268</v>
      </c>
      <c r="I652" s="1" t="s">
        <v>269</v>
      </c>
      <c r="J652" s="1" t="s">
        <v>319</v>
      </c>
      <c r="K652" s="1" t="str">
        <f>_xlfn.XLOOKUP(J652,REF!$D$2:$D$12,REF!$E$2:$E$12)</f>
        <v>Comunicação</v>
      </c>
      <c r="L652" s="1" t="s">
        <v>1964</v>
      </c>
      <c r="M652" s="1" t="s">
        <v>289</v>
      </c>
      <c r="N652" s="1" t="s">
        <v>253</v>
      </c>
      <c r="O652" s="1" t="s">
        <v>751</v>
      </c>
      <c r="P652" s="1" t="str">
        <f>_xlfn.CONCAT(B652,C652,D652,E652,F652)</f>
        <v>BC Formoso1.1Inverter(MBUS-12)46037,2062546037,2062546037,3263888889</v>
      </c>
      <c r="Q652" s="1" t="str">
        <f>_xlfn.CONCAT(H652,I652,J652)</f>
        <v>LIGRFOCOM</v>
      </c>
    </row>
    <row r="653" spans="2:17">
      <c r="B653" s="1" t="s">
        <v>803</v>
      </c>
      <c r="C653" s="1" t="s">
        <v>307</v>
      </c>
      <c r="D653" s="52">
        <v>46037.206250000003</v>
      </c>
      <c r="E653" s="52">
        <v>46037.206250000003</v>
      </c>
      <c r="F653" s="52">
        <v>46037.326388888891</v>
      </c>
      <c r="G653" s="53">
        <f>F653-E653</f>
        <v>0.12013888888759539</v>
      </c>
      <c r="H653" s="1" t="s">
        <v>268</v>
      </c>
      <c r="I653" s="1" t="s">
        <v>269</v>
      </c>
      <c r="J653" s="1" t="s">
        <v>319</v>
      </c>
      <c r="K653" s="1" t="str">
        <f>_xlfn.XLOOKUP(J653,REF!$D$2:$D$12,REF!$E$2:$E$12)</f>
        <v>Comunicação</v>
      </c>
      <c r="L653" s="1" t="s">
        <v>1964</v>
      </c>
      <c r="M653" s="1" t="s">
        <v>289</v>
      </c>
      <c r="N653" s="1" t="s">
        <v>253</v>
      </c>
      <c r="O653" s="1" t="s">
        <v>751</v>
      </c>
      <c r="P653" s="1" t="str">
        <f>_xlfn.CONCAT(B653,C653,D653,E653,F653)</f>
        <v>BC Formoso1.1Inverter(MBUS-15)46037,2062546037,2062546037,3263888889</v>
      </c>
      <c r="Q653" s="1" t="str">
        <f>_xlfn.CONCAT(H653,I653,J653)</f>
        <v>LIGRFOCOM</v>
      </c>
    </row>
    <row r="654" spans="2:17">
      <c r="B654" s="1" t="s">
        <v>803</v>
      </c>
      <c r="C654" s="1" t="s">
        <v>263</v>
      </c>
      <c r="D654" s="52">
        <v>46037.206250000003</v>
      </c>
      <c r="E654" s="52">
        <v>46037.206250000003</v>
      </c>
      <c r="F654" s="52">
        <v>46037.326388888891</v>
      </c>
      <c r="G654" s="53">
        <f>F654-E654</f>
        <v>0.12013888888759539</v>
      </c>
      <c r="H654" s="1" t="s">
        <v>268</v>
      </c>
      <c r="I654" s="1" t="s">
        <v>269</v>
      </c>
      <c r="J654" s="1" t="s">
        <v>319</v>
      </c>
      <c r="K654" s="1" t="str">
        <f>_xlfn.XLOOKUP(J654,REF!$D$2:$D$12,REF!$E$2:$E$12)</f>
        <v>Comunicação</v>
      </c>
      <c r="L654" s="1" t="s">
        <v>1964</v>
      </c>
      <c r="M654" s="1" t="s">
        <v>289</v>
      </c>
      <c r="N654" s="1" t="s">
        <v>253</v>
      </c>
      <c r="O654" s="1" t="s">
        <v>751</v>
      </c>
      <c r="P654" s="1" t="str">
        <f>_xlfn.CONCAT(B654,C654,D654,E654,F654)</f>
        <v>BC Formoso1.1Inverter(MBUS-14)46037,2062546037,2062546037,3263888889</v>
      </c>
      <c r="Q654" s="1" t="str">
        <f>_xlfn.CONCAT(H654,I654,J654)</f>
        <v>LIGRFOCOM</v>
      </c>
    </row>
    <row r="655" spans="2:17">
      <c r="B655" s="1" t="s">
        <v>255</v>
      </c>
      <c r="C655" s="1" t="s">
        <v>256</v>
      </c>
      <c r="D655" s="52">
        <v>46037.206250000003</v>
      </c>
      <c r="E655" s="52">
        <v>46037.206250000003</v>
      </c>
      <c r="F655" s="52">
        <v>46037.326388888891</v>
      </c>
      <c r="G655" s="53">
        <f>F655-E655</f>
        <v>0.12013888888759539</v>
      </c>
      <c r="H655" s="1" t="s">
        <v>257</v>
      </c>
      <c r="J655" s="1" t="s">
        <v>258</v>
      </c>
      <c r="K655" s="1" t="s">
        <v>658</v>
      </c>
      <c r="L655" s="1" t="s">
        <v>1994</v>
      </c>
      <c r="M655" s="1" t="s">
        <v>260</v>
      </c>
      <c r="N655" s="1" t="s">
        <v>357</v>
      </c>
      <c r="O655" s="1" t="s">
        <v>632</v>
      </c>
      <c r="P655" s="1" t="str">
        <f>_xlfn.CONCAT(B655,C655,D655,E655,F655)</f>
        <v>BC Formoso2.1Inverter(MBUS-12)46037,2062546037,2062546037,3263888889</v>
      </c>
      <c r="Q655" s="1" t="str">
        <f>_xlfn.CONCAT(H655,I655,J655)</f>
        <v>DAURDE</v>
      </c>
    </row>
    <row r="656" spans="2:17">
      <c r="B656" s="1" t="s">
        <v>255</v>
      </c>
      <c r="C656" s="1" t="s">
        <v>263</v>
      </c>
      <c r="D656" s="52">
        <v>46037.206250000003</v>
      </c>
      <c r="E656" s="52">
        <v>46037.206250000003</v>
      </c>
      <c r="F656" s="52">
        <v>46037.326388888891</v>
      </c>
      <c r="G656" s="53">
        <f>F656-E656</f>
        <v>0.12013888888759539</v>
      </c>
      <c r="H656" s="1" t="s">
        <v>257</v>
      </c>
      <c r="J656" s="1" t="s">
        <v>258</v>
      </c>
      <c r="K656" s="1" t="s">
        <v>658</v>
      </c>
      <c r="L656" s="1" t="s">
        <v>1994</v>
      </c>
      <c r="M656" s="1" t="s">
        <v>260</v>
      </c>
      <c r="N656" s="1" t="s">
        <v>357</v>
      </c>
      <c r="O656" s="1" t="s">
        <v>632</v>
      </c>
      <c r="P656" s="1" t="str">
        <f>_xlfn.CONCAT(B656,C656,D656,E656,F656)</f>
        <v>BC Formoso2.1Inverter(MBUS-14)46037,2062546037,2062546037,3263888889</v>
      </c>
      <c r="Q656" s="1" t="str">
        <f>_xlfn.CONCAT(H656,I656,J656)</f>
        <v>DAURDE</v>
      </c>
    </row>
    <row r="657" spans="1:17">
      <c r="B657" s="1" t="s">
        <v>255</v>
      </c>
      <c r="C657" s="1" t="s">
        <v>264</v>
      </c>
      <c r="D657" s="52">
        <v>46037.206250000003</v>
      </c>
      <c r="E657" s="52">
        <v>46037.206250000003</v>
      </c>
      <c r="F657" s="52">
        <v>46037.326388888891</v>
      </c>
      <c r="G657" s="53">
        <f>F657-E657</f>
        <v>0.12013888888759539</v>
      </c>
      <c r="H657" s="1" t="s">
        <v>257</v>
      </c>
      <c r="J657" s="1" t="s">
        <v>258</v>
      </c>
      <c r="K657" s="1" t="s">
        <v>658</v>
      </c>
      <c r="L657" s="1" t="s">
        <v>1994</v>
      </c>
      <c r="M657" s="1" t="s">
        <v>260</v>
      </c>
      <c r="N657" s="1" t="s">
        <v>357</v>
      </c>
      <c r="O657" s="1" t="s">
        <v>632</v>
      </c>
      <c r="P657" s="1" t="str">
        <f>_xlfn.CONCAT(B657,C657,D657,E657,F657)</f>
        <v>BC Formoso2.1Inverter(MBUS-13)46037,2062546037,2062546037,3263888889</v>
      </c>
      <c r="Q657" s="1" t="str">
        <f>_xlfn.CONCAT(H657,I657,J657)</f>
        <v>DAURDE</v>
      </c>
    </row>
    <row r="658" spans="1:17">
      <c r="B658" s="1" t="s">
        <v>255</v>
      </c>
      <c r="C658" s="1" t="s">
        <v>247</v>
      </c>
      <c r="D658" s="52">
        <v>46037.206250000003</v>
      </c>
      <c r="E658" s="52">
        <v>46037.206250000003</v>
      </c>
      <c r="F658" s="52">
        <v>46037.326388888891</v>
      </c>
      <c r="G658" s="53">
        <f>F658-E658</f>
        <v>0.12013888888759539</v>
      </c>
      <c r="H658" s="1" t="s">
        <v>257</v>
      </c>
      <c r="J658" s="1" t="s">
        <v>258</v>
      </c>
      <c r="K658" s="1" t="s">
        <v>658</v>
      </c>
      <c r="L658" s="1" t="s">
        <v>1994</v>
      </c>
      <c r="M658" s="1" t="s">
        <v>260</v>
      </c>
      <c r="N658" s="1" t="s">
        <v>357</v>
      </c>
      <c r="O658" s="1" t="s">
        <v>632</v>
      </c>
      <c r="P658" s="1" t="str">
        <f>_xlfn.CONCAT(B658,C658,D658,E658,F658)</f>
        <v>BC Formoso2.1Inverter(MBUS-1)46037,2062546037,2062546037,3263888889</v>
      </c>
      <c r="Q658" s="1" t="str">
        <f>_xlfn.CONCAT(H658,I658,J658)</f>
        <v>DAURDE</v>
      </c>
    </row>
    <row r="659" spans="1:17">
      <c r="B659" s="66" t="s">
        <v>585</v>
      </c>
      <c r="C659" s="66" t="s">
        <v>598</v>
      </c>
      <c r="D659" s="73">
        <v>46037.302777777775</v>
      </c>
      <c r="E659" s="73">
        <v>46037.302777777775</v>
      </c>
      <c r="F659" s="73">
        <v>46037.354166666664</v>
      </c>
      <c r="G659" s="74">
        <f>F659-E659</f>
        <v>5.1388888889050577E-2</v>
      </c>
      <c r="H659" s="66" t="s">
        <v>677</v>
      </c>
      <c r="I659" s="66"/>
      <c r="J659" s="66" t="s">
        <v>371</v>
      </c>
      <c r="K659" s="66" t="s">
        <v>653</v>
      </c>
      <c r="L659" s="66" t="s">
        <v>1995</v>
      </c>
      <c r="M659" s="66" t="s">
        <v>252</v>
      </c>
      <c r="N659" s="66" t="s">
        <v>364</v>
      </c>
      <c r="O659" s="66" t="s">
        <v>752</v>
      </c>
      <c r="P659" s="66" t="str">
        <f>_xlfn.CONCAT(B659,C659,D660,E659,F659)</f>
        <v>BC Rio Monte1Inverter3646037,540972222246037,302777777846037,3541666667</v>
      </c>
      <c r="Q659" s="66" t="str">
        <f>_xlfn.CONCAT(H659,I659,J659)</f>
        <v>DPRINV</v>
      </c>
    </row>
    <row r="660" spans="1:17">
      <c r="B660" s="1" t="s">
        <v>327</v>
      </c>
      <c r="C660" s="1" t="s">
        <v>247</v>
      </c>
      <c r="D660" s="52">
        <v>46037.540972222225</v>
      </c>
      <c r="E660" s="52">
        <v>46037.540972222225</v>
      </c>
      <c r="F660" s="52">
        <v>46037.551388888889</v>
      </c>
      <c r="G660" s="53">
        <f>F660-E660</f>
        <v>1.0416666664241347E-2</v>
      </c>
      <c r="H660" s="1" t="s">
        <v>257</v>
      </c>
      <c r="J660" s="1" t="s">
        <v>258</v>
      </c>
      <c r="K660" s="1" t="s">
        <v>658</v>
      </c>
      <c r="L660" s="1" t="s">
        <v>541</v>
      </c>
      <c r="M660" s="1" t="s">
        <v>260</v>
      </c>
      <c r="N660" s="1" t="s">
        <v>357</v>
      </c>
      <c r="O660" s="1" t="s">
        <v>632</v>
      </c>
      <c r="P660" s="1" t="str">
        <f>_xlfn.CONCAT(B660,C660,D660,E660,F660)</f>
        <v>BC Aracu5.1Inverter(MBUS-1)46037,540972222246037,540972222246037,5513888889</v>
      </c>
      <c r="Q660" s="1" t="str">
        <f>_xlfn.CONCAT(H660,I660,J660)</f>
        <v>DAURDE</v>
      </c>
    </row>
    <row r="661" spans="1:17">
      <c r="B661" s="1" t="s">
        <v>246</v>
      </c>
      <c r="C661" s="1" t="s">
        <v>247</v>
      </c>
      <c r="D661" s="52">
        <v>46037.540972222225</v>
      </c>
      <c r="E661" s="52">
        <v>46037.540972222225</v>
      </c>
      <c r="F661" s="52">
        <v>46037.551388888889</v>
      </c>
      <c r="G661" s="53">
        <f>F661-E661</f>
        <v>1.0416666664241347E-2</v>
      </c>
      <c r="H661" s="1" t="s">
        <v>257</v>
      </c>
      <c r="J661" s="1" t="s">
        <v>258</v>
      </c>
      <c r="K661" s="1" t="s">
        <v>658</v>
      </c>
      <c r="L661" s="1" t="s">
        <v>541</v>
      </c>
      <c r="M661" s="1" t="s">
        <v>260</v>
      </c>
      <c r="N661" s="1" t="s">
        <v>357</v>
      </c>
      <c r="O661" s="1" t="s">
        <v>632</v>
      </c>
      <c r="P661" s="1" t="str">
        <f>_xlfn.CONCAT(B661,C661,D661,E661,F661)</f>
        <v>BC Aracu5.2Inverter(MBUS-1)46037,540972222246037,540972222246037,5513888889</v>
      </c>
      <c r="Q661" s="1" t="str">
        <f>_xlfn.CONCAT(H661,I661,J661)</f>
        <v>DAURDE</v>
      </c>
    </row>
    <row r="662" spans="1:17" s="75" customFormat="1">
      <c r="A662" s="2"/>
      <c r="B662" s="1" t="s">
        <v>328</v>
      </c>
      <c r="C662" s="1" t="s">
        <v>247</v>
      </c>
      <c r="D662" s="52">
        <v>46037.540972222225</v>
      </c>
      <c r="E662" s="52">
        <v>46037.540972222225</v>
      </c>
      <c r="F662" s="52">
        <v>46037.551388888889</v>
      </c>
      <c r="G662" s="53">
        <f>F662-E662</f>
        <v>1.0416666664241347E-2</v>
      </c>
      <c r="H662" s="1" t="s">
        <v>257</v>
      </c>
      <c r="I662" s="1"/>
      <c r="J662" s="1" t="s">
        <v>258</v>
      </c>
      <c r="K662" s="1" t="s">
        <v>658</v>
      </c>
      <c r="L662" s="1" t="s">
        <v>541</v>
      </c>
      <c r="M662" s="1" t="s">
        <v>260</v>
      </c>
      <c r="N662" s="1" t="s">
        <v>357</v>
      </c>
      <c r="O662" s="1" t="s">
        <v>632</v>
      </c>
      <c r="P662" s="1" t="str">
        <f>_xlfn.CONCAT(B662,C662,D662,E662,F662)</f>
        <v>BC Aracu5.3Inverter(MBUS-1)46037,540972222246037,540972222246037,5513888889</v>
      </c>
      <c r="Q662" s="1" t="str">
        <f>_xlfn.CONCAT(H662,I662,J662)</f>
        <v>DAURDE</v>
      </c>
    </row>
    <row r="663" spans="1:17">
      <c r="B663" s="1" t="s">
        <v>329</v>
      </c>
      <c r="C663" s="1" t="s">
        <v>247</v>
      </c>
      <c r="D663" s="52">
        <v>46037.540972222225</v>
      </c>
      <c r="E663" s="52">
        <v>46037.540972222225</v>
      </c>
      <c r="F663" s="52">
        <v>46037.551388888889</v>
      </c>
      <c r="G663" s="53">
        <f>F663-E663</f>
        <v>1.0416666664241347E-2</v>
      </c>
      <c r="H663" s="1" t="s">
        <v>257</v>
      </c>
      <c r="J663" s="1" t="s">
        <v>258</v>
      </c>
      <c r="K663" s="1" t="s">
        <v>658</v>
      </c>
      <c r="L663" s="1" t="s">
        <v>541</v>
      </c>
      <c r="M663" s="1" t="s">
        <v>260</v>
      </c>
      <c r="N663" s="1" t="s">
        <v>357</v>
      </c>
      <c r="O663" s="1" t="s">
        <v>632</v>
      </c>
      <c r="P663" s="1" t="str">
        <f>_xlfn.CONCAT(B663,C663,D663,E663,F663)</f>
        <v>BC Aracu5.4Inverter(MBUS-1)46037,540972222246037,540972222246037,5513888889</v>
      </c>
      <c r="Q663" s="1" t="str">
        <f>_xlfn.CONCAT(H663,I663,J663)</f>
        <v>DAURDE</v>
      </c>
    </row>
    <row r="664" spans="1:17">
      <c r="B664" s="1" t="s">
        <v>330</v>
      </c>
      <c r="C664" s="1" t="s">
        <v>247</v>
      </c>
      <c r="D664" s="52">
        <v>46037.540972222225</v>
      </c>
      <c r="E664" s="52">
        <v>46037.540972222225</v>
      </c>
      <c r="F664" s="52">
        <v>46037.551388888889</v>
      </c>
      <c r="G664" s="53">
        <f>F664-E664</f>
        <v>1.0416666664241347E-2</v>
      </c>
      <c r="H664" s="1" t="s">
        <v>257</v>
      </c>
      <c r="J664" s="1" t="s">
        <v>258</v>
      </c>
      <c r="K664" s="1" t="s">
        <v>658</v>
      </c>
      <c r="L664" s="1" t="s">
        <v>541</v>
      </c>
      <c r="M664" s="1" t="s">
        <v>260</v>
      </c>
      <c r="N664" s="1" t="s">
        <v>357</v>
      </c>
      <c r="O664" s="1" t="s">
        <v>632</v>
      </c>
      <c r="P664" s="1" t="str">
        <f>_xlfn.CONCAT(B664,C664,D664,E664,F664)</f>
        <v>BC Aracu5.5Inverter(MBUS-1)46037,540972222246037,540972222246037,5513888889</v>
      </c>
      <c r="Q664" s="1" t="str">
        <f>_xlfn.CONCAT(H664,I664,J664)</f>
        <v>DAURDE</v>
      </c>
    </row>
    <row r="665" spans="1:17">
      <c r="B665" s="1" t="s">
        <v>700</v>
      </c>
      <c r="C665" s="1" t="s">
        <v>263</v>
      </c>
      <c r="D665" s="52">
        <v>46037.552777777775</v>
      </c>
      <c r="E665" s="52">
        <v>46037.554166666669</v>
      </c>
      <c r="F665" s="52">
        <v>46037.625</v>
      </c>
      <c r="G665" s="53">
        <f>F665-E665</f>
        <v>7.0833333331393078E-2</v>
      </c>
      <c r="H665" s="1" t="s">
        <v>268</v>
      </c>
      <c r="I665" s="1" t="s">
        <v>269</v>
      </c>
      <c r="J665" s="1" t="s">
        <v>319</v>
      </c>
      <c r="K665" s="1" t="s">
        <v>652</v>
      </c>
      <c r="L665" s="1" t="s">
        <v>1996</v>
      </c>
      <c r="M665" s="1" t="s">
        <v>289</v>
      </c>
      <c r="N665" s="1" t="s">
        <v>253</v>
      </c>
      <c r="O665" s="1" t="s">
        <v>753</v>
      </c>
      <c r="P665" s="1" t="str">
        <f>_xlfn.CONCAT(B665,C665,D665,E665,F665)</f>
        <v>BC Turvania1.2Inverter(MBUS-14)46037,552777777846037,554166666746037,625</v>
      </c>
      <c r="Q665" s="1" t="str">
        <f>_xlfn.CONCAT(H665,I665,J665)</f>
        <v>LIGRFOCOM</v>
      </c>
    </row>
    <row r="666" spans="1:17">
      <c r="B666" s="1" t="s">
        <v>700</v>
      </c>
      <c r="C666" s="1" t="s">
        <v>264</v>
      </c>
      <c r="D666" s="52">
        <v>46037.552777777775</v>
      </c>
      <c r="E666" s="52">
        <v>46037.554166666669</v>
      </c>
      <c r="F666" s="52">
        <v>46037.625</v>
      </c>
      <c r="G666" s="53">
        <f>F666-E666</f>
        <v>7.0833333331393078E-2</v>
      </c>
      <c r="H666" s="1" t="s">
        <v>268</v>
      </c>
      <c r="I666" s="1" t="s">
        <v>269</v>
      </c>
      <c r="J666" s="1" t="s">
        <v>319</v>
      </c>
      <c r="K666" s="1" t="s">
        <v>652</v>
      </c>
      <c r="L666" s="1" t="s">
        <v>1996</v>
      </c>
      <c r="M666" s="1" t="s">
        <v>289</v>
      </c>
      <c r="N666" s="1" t="s">
        <v>253</v>
      </c>
      <c r="O666" s="1" t="s">
        <v>753</v>
      </c>
      <c r="P666" s="1" t="str">
        <f>_xlfn.CONCAT(B666,C666,D666,E666,F666)</f>
        <v>BC Turvania1.2Inverter(MBUS-13)46037,552777777846037,554166666746037,625</v>
      </c>
      <c r="Q666" s="1" t="str">
        <f>_xlfn.CONCAT(H666,I666,J666)</f>
        <v>LIGRFOCOM</v>
      </c>
    </row>
    <row r="667" spans="1:17">
      <c r="B667" s="1" t="s">
        <v>700</v>
      </c>
      <c r="C667" s="1" t="s">
        <v>256</v>
      </c>
      <c r="D667" s="52">
        <v>46037.552777777775</v>
      </c>
      <c r="E667" s="52">
        <v>46037.554166666669</v>
      </c>
      <c r="F667" s="52">
        <v>46037.625</v>
      </c>
      <c r="G667" s="53">
        <f>F667-E667</f>
        <v>7.0833333331393078E-2</v>
      </c>
      <c r="H667" s="1" t="s">
        <v>268</v>
      </c>
      <c r="I667" s="1" t="s">
        <v>269</v>
      </c>
      <c r="J667" s="1" t="s">
        <v>319</v>
      </c>
      <c r="K667" s="1" t="s">
        <v>652</v>
      </c>
      <c r="L667" s="1" t="s">
        <v>1996</v>
      </c>
      <c r="M667" s="1" t="s">
        <v>289</v>
      </c>
      <c r="N667" s="1" t="s">
        <v>253</v>
      </c>
      <c r="O667" s="1" t="s">
        <v>753</v>
      </c>
      <c r="P667" s="1" t="str">
        <f>_xlfn.CONCAT(B667,C667,D667,E667,F667)</f>
        <v>BC Turvania1.2Inverter(MBUS-12)46037,552777777846037,554166666746037,625</v>
      </c>
      <c r="Q667" s="1" t="str">
        <f>_xlfn.CONCAT(H667,I667,J667)</f>
        <v>LIGRFOCOM</v>
      </c>
    </row>
    <row r="668" spans="1:17">
      <c r="B668" s="1" t="s">
        <v>700</v>
      </c>
      <c r="C668" s="1" t="s">
        <v>307</v>
      </c>
      <c r="D668" s="52">
        <v>46037.552777777775</v>
      </c>
      <c r="E668" s="52">
        <v>46037.554166666669</v>
      </c>
      <c r="F668" s="52">
        <v>46037.625</v>
      </c>
      <c r="G668" s="53">
        <f>F668-E668</f>
        <v>7.0833333331393078E-2</v>
      </c>
      <c r="H668" s="1" t="s">
        <v>268</v>
      </c>
      <c r="I668" s="1" t="s">
        <v>269</v>
      </c>
      <c r="J668" s="1" t="s">
        <v>319</v>
      </c>
      <c r="K668" s="1" t="s">
        <v>652</v>
      </c>
      <c r="L668" s="1" t="s">
        <v>1996</v>
      </c>
      <c r="M668" s="1" t="s">
        <v>289</v>
      </c>
      <c r="N668" s="1" t="s">
        <v>253</v>
      </c>
      <c r="O668" s="1" t="s">
        <v>753</v>
      </c>
      <c r="P668" s="1" t="str">
        <f>_xlfn.CONCAT(B668,C668,D668,E668,F668)</f>
        <v>BC Turvania1.2Inverter(MBUS-15)46037,552777777846037,554166666746037,625</v>
      </c>
      <c r="Q668" s="1" t="str">
        <f>_xlfn.CONCAT(H668,I668,J668)</f>
        <v>LIGRFOCOM</v>
      </c>
    </row>
    <row r="669" spans="1:17">
      <c r="B669" s="1" t="s">
        <v>368</v>
      </c>
      <c r="C669" s="1" t="s">
        <v>256</v>
      </c>
      <c r="D669" s="52">
        <v>46037.604166666664</v>
      </c>
      <c r="E669" s="52">
        <v>46037.604166666664</v>
      </c>
      <c r="F669" s="52">
        <v>46037.618055555555</v>
      </c>
      <c r="G669" s="53">
        <f>F669-E669</f>
        <v>1.3888888890505768E-2</v>
      </c>
      <c r="H669" s="1" t="s">
        <v>257</v>
      </c>
      <c r="J669" s="1" t="s">
        <v>258</v>
      </c>
      <c r="K669" s="1" t="s">
        <v>658</v>
      </c>
      <c r="L669" s="1" t="s">
        <v>1997</v>
      </c>
      <c r="M669" s="1" t="s">
        <v>260</v>
      </c>
      <c r="N669" s="1" t="s">
        <v>357</v>
      </c>
      <c r="O669" s="1" t="s">
        <v>754</v>
      </c>
      <c r="P669" s="1" t="str">
        <f>_xlfn.CONCAT(B669,C669,D669,E669,F669)</f>
        <v>BC Ibiuna 1.1Inverter(MBUS-12)46037,604166666746037,604166666746037,6180555556</v>
      </c>
      <c r="Q669" s="1" t="str">
        <f>_xlfn.CONCAT(H669,I669,J669)</f>
        <v>DAURDE</v>
      </c>
    </row>
    <row r="670" spans="1:17">
      <c r="B670" s="1" t="s">
        <v>368</v>
      </c>
      <c r="C670" s="1" t="s">
        <v>264</v>
      </c>
      <c r="D670" s="52">
        <v>46037.604166666664</v>
      </c>
      <c r="E670" s="52">
        <v>46037.604166666664</v>
      </c>
      <c r="F670" s="52">
        <v>46037.618055555555</v>
      </c>
      <c r="G670" s="53">
        <f>F670-E670</f>
        <v>1.3888888890505768E-2</v>
      </c>
      <c r="H670" s="1" t="s">
        <v>257</v>
      </c>
      <c r="J670" s="1" t="s">
        <v>258</v>
      </c>
      <c r="K670" s="1" t="s">
        <v>658</v>
      </c>
      <c r="L670" s="1" t="s">
        <v>1997</v>
      </c>
      <c r="M670" s="1" t="s">
        <v>260</v>
      </c>
      <c r="N670" s="1" t="s">
        <v>357</v>
      </c>
      <c r="O670" s="1" t="s">
        <v>754</v>
      </c>
      <c r="P670" s="1" t="str">
        <f>_xlfn.CONCAT(B670,C670,D670,E670,F670)</f>
        <v>BC Ibiuna 1.1Inverter(MBUS-13)46037,604166666746037,604166666746037,6180555556</v>
      </c>
      <c r="Q670" s="1" t="str">
        <f>_xlfn.CONCAT(H670,I670,J670)</f>
        <v>DAURDE</v>
      </c>
    </row>
    <row r="671" spans="1:17">
      <c r="B671" s="1" t="s">
        <v>368</v>
      </c>
      <c r="C671" s="1" t="s">
        <v>263</v>
      </c>
      <c r="D671" s="52">
        <v>46037.604166666664</v>
      </c>
      <c r="E671" s="52">
        <v>46037.604166666664</v>
      </c>
      <c r="F671" s="52">
        <v>46037.618055555555</v>
      </c>
      <c r="G671" s="53">
        <f>F671-E671</f>
        <v>1.3888888890505768E-2</v>
      </c>
      <c r="H671" s="1" t="s">
        <v>257</v>
      </c>
      <c r="J671" s="1" t="s">
        <v>258</v>
      </c>
      <c r="K671" s="1" t="s">
        <v>658</v>
      </c>
      <c r="L671" s="1" t="s">
        <v>1997</v>
      </c>
      <c r="M671" s="1" t="s">
        <v>260</v>
      </c>
      <c r="N671" s="1" t="s">
        <v>357</v>
      </c>
      <c r="O671" s="1" t="s">
        <v>754</v>
      </c>
      <c r="P671" s="1" t="str">
        <f>_xlfn.CONCAT(B671,C671,D671,E671,F671)</f>
        <v>BC Ibiuna 1.1Inverter(MBUS-14)46037,604166666746037,604166666746037,6180555556</v>
      </c>
      <c r="Q671" s="1" t="str">
        <f>_xlfn.CONCAT(H671,I671,J671)</f>
        <v>DAURDE</v>
      </c>
    </row>
    <row r="672" spans="1:17">
      <c r="B672" s="1" t="s">
        <v>368</v>
      </c>
      <c r="C672" s="1" t="s">
        <v>307</v>
      </c>
      <c r="D672" s="52">
        <v>46037.604166666664</v>
      </c>
      <c r="E672" s="52">
        <v>46037.604166666664</v>
      </c>
      <c r="F672" s="52">
        <v>46037.618055555555</v>
      </c>
      <c r="G672" s="53">
        <f>F672-E672</f>
        <v>1.3888888890505768E-2</v>
      </c>
      <c r="H672" s="1" t="s">
        <v>257</v>
      </c>
      <c r="J672" s="1" t="s">
        <v>258</v>
      </c>
      <c r="K672" s="1" t="s">
        <v>658</v>
      </c>
      <c r="L672" s="1" t="s">
        <v>1997</v>
      </c>
      <c r="M672" s="1" t="s">
        <v>260</v>
      </c>
      <c r="N672" s="1" t="s">
        <v>357</v>
      </c>
      <c r="O672" s="1" t="s">
        <v>357</v>
      </c>
      <c r="P672" s="1" t="str">
        <f>_xlfn.CONCAT(B672,C672,D672,E672,F672)</f>
        <v>BC Ibiuna 1.1Inverter(MBUS-15)46037,604166666746037,604166666746037,6180555556</v>
      </c>
      <c r="Q672" s="1" t="str">
        <f>_xlfn.CONCAT(H672,I672,J672)</f>
        <v>DAURDE</v>
      </c>
    </row>
    <row r="673" spans="2:17">
      <c r="B673" s="1" t="s">
        <v>370</v>
      </c>
      <c r="C673" s="1" t="s">
        <v>256</v>
      </c>
      <c r="D673" s="52">
        <v>46037.604166666664</v>
      </c>
      <c r="E673" s="52">
        <v>46037.604166666664</v>
      </c>
      <c r="F673" s="52">
        <v>46037.618055555555</v>
      </c>
      <c r="G673" s="53">
        <f>F673-E673</f>
        <v>1.3888888890505768E-2</v>
      </c>
      <c r="H673" s="1" t="s">
        <v>257</v>
      </c>
      <c r="J673" s="1" t="s">
        <v>258</v>
      </c>
      <c r="K673" s="1" t="s">
        <v>658</v>
      </c>
      <c r="L673" s="1" t="s">
        <v>1997</v>
      </c>
      <c r="M673" s="1" t="s">
        <v>260</v>
      </c>
      <c r="N673" s="1" t="s">
        <v>357</v>
      </c>
      <c r="O673" s="1" t="s">
        <v>357</v>
      </c>
      <c r="P673" s="1" t="str">
        <f>_xlfn.CONCAT(B673,C673,D673,E673,F673)</f>
        <v>BC Ibiuna 1.2Inverter(MBUS-12)46037,604166666746037,604166666746037,6180555556</v>
      </c>
      <c r="Q673" s="1" t="str">
        <f>_xlfn.CONCAT(H673,I673,J673)</f>
        <v>DAURDE</v>
      </c>
    </row>
    <row r="674" spans="2:17">
      <c r="B674" s="1" t="s">
        <v>370</v>
      </c>
      <c r="C674" s="1" t="s">
        <v>264</v>
      </c>
      <c r="D674" s="52">
        <v>46037.604166666664</v>
      </c>
      <c r="E674" s="52">
        <v>46037.604166666664</v>
      </c>
      <c r="F674" s="52">
        <v>46037.618055555555</v>
      </c>
      <c r="G674" s="53">
        <f>F674-E674</f>
        <v>1.3888888890505768E-2</v>
      </c>
      <c r="H674" s="1" t="s">
        <v>257</v>
      </c>
      <c r="J674" s="1" t="s">
        <v>258</v>
      </c>
      <c r="K674" s="1" t="s">
        <v>658</v>
      </c>
      <c r="L674" s="1" t="s">
        <v>1997</v>
      </c>
      <c r="M674" s="1" t="s">
        <v>260</v>
      </c>
      <c r="N674" s="1" t="s">
        <v>357</v>
      </c>
      <c r="O674" s="1" t="s">
        <v>357</v>
      </c>
      <c r="P674" s="1" t="str">
        <f>_xlfn.CONCAT(B674,C674,D674,E674,F674)</f>
        <v>BC Ibiuna 1.2Inverter(MBUS-13)46037,604166666746037,604166666746037,6180555556</v>
      </c>
      <c r="Q674" s="1" t="str">
        <f>_xlfn.CONCAT(H674,I674,J674)</f>
        <v>DAURDE</v>
      </c>
    </row>
    <row r="675" spans="2:17">
      <c r="B675" s="1" t="s">
        <v>370</v>
      </c>
      <c r="C675" s="1" t="s">
        <v>263</v>
      </c>
      <c r="D675" s="52">
        <v>46037.604166666664</v>
      </c>
      <c r="E675" s="52">
        <v>46037.604166666664</v>
      </c>
      <c r="F675" s="52">
        <v>46037.618055555555</v>
      </c>
      <c r="G675" s="53">
        <f>F675-E675</f>
        <v>1.3888888890505768E-2</v>
      </c>
      <c r="H675" s="1" t="s">
        <v>257</v>
      </c>
      <c r="J675" s="1" t="s">
        <v>258</v>
      </c>
      <c r="K675" s="1" t="s">
        <v>658</v>
      </c>
      <c r="L675" s="1" t="s">
        <v>1997</v>
      </c>
      <c r="M675" s="1" t="s">
        <v>260</v>
      </c>
      <c r="N675" s="1" t="s">
        <v>357</v>
      </c>
      <c r="O675" s="1" t="s">
        <v>357</v>
      </c>
      <c r="P675" s="1" t="str">
        <f>_xlfn.CONCAT(B675,C675,D675,E675,F675)</f>
        <v>BC Ibiuna 1.2Inverter(MBUS-14)46037,604166666746037,604166666746037,6180555556</v>
      </c>
      <c r="Q675" s="1" t="str">
        <f>_xlfn.CONCAT(H675,I675,J675)</f>
        <v>DAURDE</v>
      </c>
    </row>
    <row r="676" spans="2:17">
      <c r="B676" s="1" t="s">
        <v>370</v>
      </c>
      <c r="C676" s="1" t="s">
        <v>307</v>
      </c>
      <c r="D676" s="52">
        <v>46037.604166666664</v>
      </c>
      <c r="E676" s="52">
        <v>46037.604166666664</v>
      </c>
      <c r="F676" s="52">
        <v>46037.618055555555</v>
      </c>
      <c r="G676" s="53">
        <f>F676-E676</f>
        <v>1.3888888890505768E-2</v>
      </c>
      <c r="H676" s="1" t="s">
        <v>257</v>
      </c>
      <c r="J676" s="1" t="s">
        <v>258</v>
      </c>
      <c r="K676" s="1" t="s">
        <v>658</v>
      </c>
      <c r="L676" s="1" t="s">
        <v>1997</v>
      </c>
      <c r="M676" s="1" t="s">
        <v>260</v>
      </c>
      <c r="N676" s="1" t="s">
        <v>261</v>
      </c>
      <c r="O676" s="1" t="s">
        <v>357</v>
      </c>
      <c r="P676" s="1" t="str">
        <f>_xlfn.CONCAT(B676,C676,D676,E676,F676)</f>
        <v>BC Ibiuna 1.2Inverter(MBUS-15)46037,604166666746037,604166666746037,6180555556</v>
      </c>
      <c r="Q676" s="1" t="str">
        <f>_xlfn.CONCAT(H676,I676,J676)</f>
        <v>DAURDE</v>
      </c>
    </row>
    <row r="677" spans="2:17">
      <c r="B677" s="1" t="s">
        <v>456</v>
      </c>
      <c r="C677" s="1" t="s">
        <v>457</v>
      </c>
      <c r="D677" s="52">
        <v>46037.657638888886</v>
      </c>
      <c r="E677" s="52">
        <v>46037.657638888886</v>
      </c>
      <c r="F677" s="52">
        <v>46037.719444444447</v>
      </c>
      <c r="G677" s="53">
        <f>F677-E677</f>
        <v>6.1805555560567882E-2</v>
      </c>
      <c r="H677" s="1" t="s">
        <v>257</v>
      </c>
      <c r="J677" s="1" t="s">
        <v>258</v>
      </c>
      <c r="K677" s="1" t="s">
        <v>658</v>
      </c>
      <c r="L677" s="1" t="s">
        <v>538</v>
      </c>
      <c r="M677" s="1" t="s">
        <v>260</v>
      </c>
      <c r="N677" s="1" t="s">
        <v>357</v>
      </c>
      <c r="O677" s="1" t="s">
        <v>632</v>
      </c>
      <c r="P677" s="1" t="str">
        <f>_xlfn.CONCAT(B677,C677,D677,E677,F677)</f>
        <v>BC Caiaponia1SG60KTL(COM1-001)_001_00746037,657638888946037,657638888946037,7194444444</v>
      </c>
      <c r="Q677" s="1" t="str">
        <f>_xlfn.CONCAT(H677,I677,J677)</f>
        <v>DAURDE</v>
      </c>
    </row>
    <row r="678" spans="2:17">
      <c r="B678" s="1" t="s">
        <v>456</v>
      </c>
      <c r="C678" s="1" t="s">
        <v>459</v>
      </c>
      <c r="D678" s="52">
        <v>46037.657638888886</v>
      </c>
      <c r="E678" s="52">
        <v>46037.657638888886</v>
      </c>
      <c r="F678" s="52">
        <v>46037.719444444447</v>
      </c>
      <c r="G678" s="53">
        <f>F678-E678</f>
        <v>6.1805555560567882E-2</v>
      </c>
      <c r="H678" s="1" t="s">
        <v>257</v>
      </c>
      <c r="J678" s="1" t="s">
        <v>258</v>
      </c>
      <c r="K678" s="1" t="s">
        <v>658</v>
      </c>
      <c r="L678" s="1" t="s">
        <v>538</v>
      </c>
      <c r="M678" s="1" t="s">
        <v>260</v>
      </c>
      <c r="N678" s="1" t="s">
        <v>357</v>
      </c>
      <c r="O678" s="1" t="s">
        <v>632</v>
      </c>
      <c r="P678" s="1" t="str">
        <f>_xlfn.CONCAT(B678,C678,D678,E678,F678)</f>
        <v>BC Caiaponia1SG60KTL(COM1-002)_001_01046037,657638888946037,657638888946037,7194444444</v>
      </c>
      <c r="Q678" s="1" t="str">
        <f>_xlfn.CONCAT(H678,I678,J678)</f>
        <v>DAURDE</v>
      </c>
    </row>
    <row r="679" spans="2:17">
      <c r="B679" s="1" t="s">
        <v>456</v>
      </c>
      <c r="C679" s="1" t="s">
        <v>460</v>
      </c>
      <c r="D679" s="52">
        <v>46037.657638888886</v>
      </c>
      <c r="E679" s="52">
        <v>46037.657638888886</v>
      </c>
      <c r="F679" s="52">
        <v>46037.719444444447</v>
      </c>
      <c r="G679" s="53">
        <f>F679-E679</f>
        <v>6.1805555560567882E-2</v>
      </c>
      <c r="H679" s="1" t="s">
        <v>257</v>
      </c>
      <c r="J679" s="1" t="s">
        <v>258</v>
      </c>
      <c r="K679" s="1" t="s">
        <v>658</v>
      </c>
      <c r="L679" s="1" t="s">
        <v>538</v>
      </c>
      <c r="M679" s="1" t="s">
        <v>260</v>
      </c>
      <c r="N679" s="1" t="s">
        <v>357</v>
      </c>
      <c r="O679" s="1" t="s">
        <v>632</v>
      </c>
      <c r="P679" s="1" t="str">
        <f>_xlfn.CONCAT(B679,C679,D679,E679,F679)</f>
        <v>BC Caiaponia1SG60KTL(COM1-003)_001_01146037,657638888946037,657638888946037,7194444444</v>
      </c>
      <c r="Q679" s="1" t="str">
        <f>_xlfn.CONCAT(H679,I679,J679)</f>
        <v>DAURDE</v>
      </c>
    </row>
    <row r="680" spans="2:17">
      <c r="B680" s="1" t="s">
        <v>456</v>
      </c>
      <c r="C680" s="1" t="s">
        <v>461</v>
      </c>
      <c r="D680" s="52">
        <v>46037.657638888886</v>
      </c>
      <c r="E680" s="52">
        <v>46037.657638888886</v>
      </c>
      <c r="F680" s="52">
        <v>46037.719444444447</v>
      </c>
      <c r="G680" s="53">
        <f>F680-E680</f>
        <v>6.1805555560567882E-2</v>
      </c>
      <c r="H680" s="1" t="s">
        <v>257</v>
      </c>
      <c r="J680" s="1" t="s">
        <v>258</v>
      </c>
      <c r="K680" s="1" t="s">
        <v>658</v>
      </c>
      <c r="L680" s="1" t="s">
        <v>538</v>
      </c>
      <c r="M680" s="1" t="s">
        <v>260</v>
      </c>
      <c r="N680" s="1" t="s">
        <v>357</v>
      </c>
      <c r="O680" s="1" t="s">
        <v>632</v>
      </c>
      <c r="P680" s="1" t="str">
        <f>_xlfn.CONCAT(B680,C680,D680,E680,F680)</f>
        <v>BC Caiaponia1SG60KTL(COM1-004)_001_01446037,657638888946037,657638888946037,7194444444</v>
      </c>
      <c r="Q680" s="1" t="str">
        <f>_xlfn.CONCAT(H680,I680,J680)</f>
        <v>DAURDE</v>
      </c>
    </row>
    <row r="681" spans="2:17">
      <c r="B681" s="1" t="s">
        <v>456</v>
      </c>
      <c r="C681" s="1" t="s">
        <v>462</v>
      </c>
      <c r="D681" s="52">
        <v>46037.657638888886</v>
      </c>
      <c r="E681" s="52">
        <v>46037.657638888886</v>
      </c>
      <c r="F681" s="52">
        <v>46037.719444444447</v>
      </c>
      <c r="G681" s="53">
        <f>F681-E681</f>
        <v>6.1805555560567882E-2</v>
      </c>
      <c r="H681" s="1" t="s">
        <v>257</v>
      </c>
      <c r="J681" s="1" t="s">
        <v>258</v>
      </c>
      <c r="K681" s="1" t="s">
        <v>658</v>
      </c>
      <c r="L681" s="1" t="s">
        <v>538</v>
      </c>
      <c r="M681" s="1" t="s">
        <v>260</v>
      </c>
      <c r="N681" s="1" t="s">
        <v>357</v>
      </c>
      <c r="O681" s="1" t="s">
        <v>632</v>
      </c>
      <c r="P681" s="1" t="str">
        <f>_xlfn.CONCAT(B681,C681,D681,E681,F681)</f>
        <v>BC Caiaponia1SG60KTL(COM1-005)_001_01746037,657638888946037,657638888946037,7194444444</v>
      </c>
      <c r="Q681" s="1" t="str">
        <f>_xlfn.CONCAT(H681,I681,J681)</f>
        <v>DAURDE</v>
      </c>
    </row>
    <row r="682" spans="2:17">
      <c r="B682" s="1" t="s">
        <v>456</v>
      </c>
      <c r="C682" s="1" t="s">
        <v>463</v>
      </c>
      <c r="D682" s="52">
        <v>46037.657638888886</v>
      </c>
      <c r="E682" s="52">
        <v>46037.657638888886</v>
      </c>
      <c r="F682" s="52">
        <v>46037.719444444447</v>
      </c>
      <c r="G682" s="53">
        <f>F682-E682</f>
        <v>6.1805555560567882E-2</v>
      </c>
      <c r="H682" s="1" t="s">
        <v>257</v>
      </c>
      <c r="J682" s="1" t="s">
        <v>258</v>
      </c>
      <c r="K682" s="1" t="s">
        <v>658</v>
      </c>
      <c r="L682" s="1" t="s">
        <v>538</v>
      </c>
      <c r="M682" s="1" t="s">
        <v>260</v>
      </c>
      <c r="N682" s="1" t="s">
        <v>357</v>
      </c>
      <c r="O682" s="1" t="s">
        <v>632</v>
      </c>
      <c r="P682" s="1" t="str">
        <f>_xlfn.CONCAT(B682,C682,D682,E682,F682)</f>
        <v>BC Caiaponia1SG60KTL(COM1-006)_001_01646037,657638888946037,657638888946037,7194444444</v>
      </c>
      <c r="Q682" s="1" t="str">
        <f>_xlfn.CONCAT(H682,I682,J682)</f>
        <v>DAURDE</v>
      </c>
    </row>
    <row r="683" spans="2:17">
      <c r="B683" s="1" t="s">
        <v>456</v>
      </c>
      <c r="C683" s="1" t="s">
        <v>464</v>
      </c>
      <c r="D683" s="52">
        <v>46037.657638888886</v>
      </c>
      <c r="E683" s="52">
        <v>46037.657638888886</v>
      </c>
      <c r="F683" s="52">
        <v>46037.719444444447</v>
      </c>
      <c r="G683" s="53">
        <f>F683-E683</f>
        <v>6.1805555560567882E-2</v>
      </c>
      <c r="H683" s="1" t="s">
        <v>257</v>
      </c>
      <c r="J683" s="1" t="s">
        <v>258</v>
      </c>
      <c r="K683" s="1" t="s">
        <v>658</v>
      </c>
      <c r="L683" s="1" t="s">
        <v>538</v>
      </c>
      <c r="M683" s="1" t="s">
        <v>260</v>
      </c>
      <c r="N683" s="1" t="s">
        <v>357</v>
      </c>
      <c r="O683" s="1" t="s">
        <v>632</v>
      </c>
      <c r="P683" s="1" t="str">
        <f>_xlfn.CONCAT(B683,C683,D683,E683,F683)</f>
        <v>BC Caiaponia1SG60KTL(COM1-007)_001_01346037,657638888946037,657638888946037,7194444444</v>
      </c>
      <c r="Q683" s="1" t="str">
        <f>_xlfn.CONCAT(H683,I683,J683)</f>
        <v>DAURDE</v>
      </c>
    </row>
    <row r="684" spans="2:17">
      <c r="B684" s="1" t="s">
        <v>456</v>
      </c>
      <c r="C684" s="1" t="s">
        <v>465</v>
      </c>
      <c r="D684" s="52">
        <v>46037.657638888886</v>
      </c>
      <c r="E684" s="52">
        <v>46037.657638888886</v>
      </c>
      <c r="F684" s="52">
        <v>46037.719444444447</v>
      </c>
      <c r="G684" s="53">
        <f>F684-E684</f>
        <v>6.1805555560567882E-2</v>
      </c>
      <c r="H684" s="1" t="s">
        <v>257</v>
      </c>
      <c r="J684" s="1" t="s">
        <v>258</v>
      </c>
      <c r="K684" s="1" t="s">
        <v>658</v>
      </c>
      <c r="L684" s="1" t="s">
        <v>538</v>
      </c>
      <c r="M684" s="1" t="s">
        <v>260</v>
      </c>
      <c r="N684" s="1" t="s">
        <v>357</v>
      </c>
      <c r="O684" s="1" t="s">
        <v>632</v>
      </c>
      <c r="P684" s="1" t="str">
        <f>_xlfn.CONCAT(B684,C684,D684,E684,F684)</f>
        <v>BC Caiaponia1SG60KTL(COM1-008)_001_00146037,657638888946037,657638888946037,7194444444</v>
      </c>
      <c r="Q684" s="1" t="str">
        <f>_xlfn.CONCAT(H684,I684,J684)</f>
        <v>DAURDE</v>
      </c>
    </row>
    <row r="685" spans="2:17">
      <c r="B685" s="1" t="s">
        <v>456</v>
      </c>
      <c r="C685" s="1" t="s">
        <v>466</v>
      </c>
      <c r="D685" s="52">
        <v>46037.657638888886</v>
      </c>
      <c r="E685" s="52">
        <v>46037.657638888886</v>
      </c>
      <c r="F685" s="52">
        <v>46037.719444444447</v>
      </c>
      <c r="G685" s="53">
        <f>F685-E685</f>
        <v>6.1805555560567882E-2</v>
      </c>
      <c r="H685" s="1" t="s">
        <v>257</v>
      </c>
      <c r="J685" s="1" t="s">
        <v>258</v>
      </c>
      <c r="K685" s="1" t="s">
        <v>658</v>
      </c>
      <c r="L685" s="1" t="s">
        <v>538</v>
      </c>
      <c r="M685" s="1" t="s">
        <v>260</v>
      </c>
      <c r="N685" s="1" t="s">
        <v>357</v>
      </c>
      <c r="O685" s="1" t="s">
        <v>632</v>
      </c>
      <c r="P685" s="1" t="str">
        <f>_xlfn.CONCAT(B685,C685,D685,E685,F685)</f>
        <v>BC Caiaponia1SG60KTL(COM1-009)46037,657638888946037,657638888946037,7194444444</v>
      </c>
      <c r="Q685" s="1" t="str">
        <f>_xlfn.CONCAT(H685,I685,J685)</f>
        <v>DAURDE</v>
      </c>
    </row>
    <row r="686" spans="2:17">
      <c r="B686" s="1" t="s">
        <v>456</v>
      </c>
      <c r="C686" s="1" t="s">
        <v>467</v>
      </c>
      <c r="D686" s="52">
        <v>46037.657638888886</v>
      </c>
      <c r="E686" s="52">
        <v>46037.657638888886</v>
      </c>
      <c r="F686" s="52">
        <v>46037.719444444447</v>
      </c>
      <c r="G686" s="53">
        <f>F686-E686</f>
        <v>6.1805555560567882E-2</v>
      </c>
      <c r="H686" s="1" t="s">
        <v>257</v>
      </c>
      <c r="J686" s="1" t="s">
        <v>258</v>
      </c>
      <c r="K686" s="1" t="s">
        <v>658</v>
      </c>
      <c r="L686" s="1" t="s">
        <v>538</v>
      </c>
      <c r="M686" s="1" t="s">
        <v>260</v>
      </c>
      <c r="N686" s="1" t="s">
        <v>357</v>
      </c>
      <c r="O686" s="1" t="s">
        <v>632</v>
      </c>
      <c r="P686" s="1" t="str">
        <f>_xlfn.CONCAT(B686,C686,D686,E686,F686)</f>
        <v>BC Caiaponia1SG60KTL(COM1-010)46037,657638888946037,657638888946037,7194444444</v>
      </c>
      <c r="Q686" s="1" t="str">
        <f>_xlfn.CONCAT(H686,I686,J686)</f>
        <v>DAURDE</v>
      </c>
    </row>
    <row r="687" spans="2:17">
      <c r="B687" s="1" t="s">
        <v>456</v>
      </c>
      <c r="C687" s="1" t="s">
        <v>468</v>
      </c>
      <c r="D687" s="52">
        <v>46037.657638888886</v>
      </c>
      <c r="E687" s="52">
        <v>46037.657638888886</v>
      </c>
      <c r="F687" s="52">
        <v>46037.719444444447</v>
      </c>
      <c r="G687" s="53">
        <f>F687-E687</f>
        <v>6.1805555560567882E-2</v>
      </c>
      <c r="H687" s="1" t="s">
        <v>257</v>
      </c>
      <c r="J687" s="1" t="s">
        <v>258</v>
      </c>
      <c r="K687" s="1" t="s">
        <v>658</v>
      </c>
      <c r="L687" s="1" t="s">
        <v>538</v>
      </c>
      <c r="M687" s="1" t="s">
        <v>260</v>
      </c>
      <c r="N687" s="1" t="s">
        <v>357</v>
      </c>
      <c r="O687" s="1" t="s">
        <v>632</v>
      </c>
      <c r="P687" s="1" t="str">
        <f>_xlfn.CONCAT(B687,C687,D687,E687,F687)</f>
        <v>BC Caiaponia1SG60KTL(COM1-011)46037,657638888946037,657638888946037,7194444444</v>
      </c>
      <c r="Q687" s="1" t="str">
        <f>_xlfn.CONCAT(H687,I687,J687)</f>
        <v>DAURDE</v>
      </c>
    </row>
    <row r="688" spans="2:17">
      <c r="B688" s="1" t="s">
        <v>456</v>
      </c>
      <c r="C688" s="1" t="s">
        <v>469</v>
      </c>
      <c r="D688" s="52">
        <v>46037.657638888886</v>
      </c>
      <c r="E688" s="52">
        <v>46037.657638888886</v>
      </c>
      <c r="F688" s="52">
        <v>46037.719444444447</v>
      </c>
      <c r="G688" s="53">
        <f>F688-E688</f>
        <v>6.1805555560567882E-2</v>
      </c>
      <c r="H688" s="1" t="s">
        <v>257</v>
      </c>
      <c r="J688" s="1" t="s">
        <v>258</v>
      </c>
      <c r="K688" s="1" t="s">
        <v>658</v>
      </c>
      <c r="L688" s="1" t="s">
        <v>538</v>
      </c>
      <c r="M688" s="1" t="s">
        <v>260</v>
      </c>
      <c r="N688" s="1" t="s">
        <v>357</v>
      </c>
      <c r="O688" s="1" t="s">
        <v>632</v>
      </c>
      <c r="P688" s="1" t="str">
        <f>_xlfn.CONCAT(B688,C688,D688,E688,F688)</f>
        <v>BC Caiaponia1SG60KTL(COM1-012)46037,657638888946037,657638888946037,7194444444</v>
      </c>
      <c r="Q688" s="1" t="str">
        <f>_xlfn.CONCAT(H688,I688,J688)</f>
        <v>DAURDE</v>
      </c>
    </row>
    <row r="689" spans="2:17">
      <c r="B689" s="1" t="s">
        <v>456</v>
      </c>
      <c r="C689" s="1" t="s">
        <v>470</v>
      </c>
      <c r="D689" s="52">
        <v>46037.657638888886</v>
      </c>
      <c r="E689" s="52">
        <v>46037.657638888886</v>
      </c>
      <c r="F689" s="52">
        <v>46037.719444444447</v>
      </c>
      <c r="G689" s="53">
        <f>F689-E689</f>
        <v>6.1805555560567882E-2</v>
      </c>
      <c r="H689" s="1" t="s">
        <v>257</v>
      </c>
      <c r="J689" s="1" t="s">
        <v>258</v>
      </c>
      <c r="K689" s="1" t="s">
        <v>658</v>
      </c>
      <c r="L689" s="1" t="s">
        <v>538</v>
      </c>
      <c r="M689" s="1" t="s">
        <v>260</v>
      </c>
      <c r="N689" s="1" t="s">
        <v>357</v>
      </c>
      <c r="O689" s="1" t="s">
        <v>632</v>
      </c>
      <c r="P689" s="1" t="str">
        <f>_xlfn.CONCAT(B689,C689,D689,E689,F689)</f>
        <v>BC Caiaponia1SG60KTL(COM1-013)46037,657638888946037,657638888946037,7194444444</v>
      </c>
      <c r="Q689" s="1" t="str">
        <f>_xlfn.CONCAT(H689,I689,J689)</f>
        <v>DAURDE</v>
      </c>
    </row>
    <row r="690" spans="2:17">
      <c r="B690" s="1" t="s">
        <v>456</v>
      </c>
      <c r="C690" s="1" t="s">
        <v>471</v>
      </c>
      <c r="D690" s="52">
        <v>46037.657638888886</v>
      </c>
      <c r="E690" s="52">
        <v>46037.657638888886</v>
      </c>
      <c r="F690" s="52">
        <v>46037.719444444447</v>
      </c>
      <c r="G690" s="53">
        <f>F690-E690</f>
        <v>6.1805555560567882E-2</v>
      </c>
      <c r="H690" s="1" t="s">
        <v>257</v>
      </c>
      <c r="J690" s="1" t="s">
        <v>258</v>
      </c>
      <c r="K690" s="1" t="s">
        <v>658</v>
      </c>
      <c r="L690" s="1" t="s">
        <v>538</v>
      </c>
      <c r="M690" s="1" t="s">
        <v>260</v>
      </c>
      <c r="N690" s="1" t="s">
        <v>357</v>
      </c>
      <c r="O690" s="1" t="s">
        <v>632</v>
      </c>
      <c r="P690" s="1" t="str">
        <f>_xlfn.CONCAT(B690,C690,D690,E690,F690)</f>
        <v>BC Caiaponia1SG60KTL(COM1-014)46037,657638888946037,657638888946037,7194444444</v>
      </c>
      <c r="Q690" s="1" t="str">
        <f>_xlfn.CONCAT(H690,I690,J690)</f>
        <v>DAURDE</v>
      </c>
    </row>
    <row r="691" spans="2:17">
      <c r="B691" s="1" t="s">
        <v>456</v>
      </c>
      <c r="C691" s="1" t="s">
        <v>472</v>
      </c>
      <c r="D691" s="52">
        <v>46037.657638888886</v>
      </c>
      <c r="E691" s="52">
        <v>46037.657638888886</v>
      </c>
      <c r="F691" s="52">
        <v>46037.719444444447</v>
      </c>
      <c r="G691" s="53">
        <f>F691-E691</f>
        <v>6.1805555560567882E-2</v>
      </c>
      <c r="H691" s="1" t="s">
        <v>257</v>
      </c>
      <c r="J691" s="1" t="s">
        <v>258</v>
      </c>
      <c r="K691" s="1" t="s">
        <v>658</v>
      </c>
      <c r="L691" s="1" t="s">
        <v>538</v>
      </c>
      <c r="M691" s="1" t="s">
        <v>260</v>
      </c>
      <c r="N691" s="1" t="s">
        <v>357</v>
      </c>
      <c r="O691" s="1" t="s">
        <v>632</v>
      </c>
      <c r="P691" s="1" t="str">
        <f>_xlfn.CONCAT(B691,C691,D691,E691,F691)</f>
        <v>BC Caiaponia1SG60KTL(COM1-015)46037,657638888946037,657638888946037,7194444444</v>
      </c>
      <c r="Q691" s="1" t="str">
        <f>_xlfn.CONCAT(H691,I691,J691)</f>
        <v>DAURDE</v>
      </c>
    </row>
    <row r="692" spans="2:17">
      <c r="B692" s="1" t="s">
        <v>456</v>
      </c>
      <c r="C692" s="1" t="s">
        <v>473</v>
      </c>
      <c r="D692" s="52">
        <v>46037.657638888886</v>
      </c>
      <c r="E692" s="52">
        <v>46037.657638888886</v>
      </c>
      <c r="F692" s="52">
        <v>46037.719444444447</v>
      </c>
      <c r="G692" s="53">
        <f>F692-E692</f>
        <v>6.1805555560567882E-2</v>
      </c>
      <c r="H692" s="1" t="s">
        <v>257</v>
      </c>
      <c r="J692" s="1" t="s">
        <v>258</v>
      </c>
      <c r="K692" s="1" t="s">
        <v>658</v>
      </c>
      <c r="L692" s="1" t="s">
        <v>538</v>
      </c>
      <c r="M692" s="1" t="s">
        <v>260</v>
      </c>
      <c r="N692" s="1" t="s">
        <v>357</v>
      </c>
      <c r="O692" s="1" t="s">
        <v>632</v>
      </c>
      <c r="P692" s="1" t="str">
        <f>_xlfn.CONCAT(B692,C692,D692,E692,F692)</f>
        <v>BC Caiaponia1SG60KTL(COM3-016)_001_00946037,657638888946037,657638888946037,7194444444</v>
      </c>
      <c r="Q692" s="1" t="str">
        <f>_xlfn.CONCAT(H692,I692,J692)</f>
        <v>DAURDE</v>
      </c>
    </row>
    <row r="693" spans="2:17">
      <c r="B693" s="1" t="s">
        <v>456</v>
      </c>
      <c r="C693" s="1" t="s">
        <v>474</v>
      </c>
      <c r="D693" s="52">
        <v>46037.657638888886</v>
      </c>
      <c r="E693" s="52">
        <v>46037.657638888886</v>
      </c>
      <c r="F693" s="52">
        <v>46037.719444444447</v>
      </c>
      <c r="G693" s="53">
        <f>F693-E693</f>
        <v>6.1805555560567882E-2</v>
      </c>
      <c r="H693" s="1" t="s">
        <v>257</v>
      </c>
      <c r="J693" s="1" t="s">
        <v>258</v>
      </c>
      <c r="K693" s="1" t="s">
        <v>658</v>
      </c>
      <c r="L693" s="1" t="s">
        <v>538</v>
      </c>
      <c r="M693" s="1" t="s">
        <v>260</v>
      </c>
      <c r="N693" s="1" t="s">
        <v>357</v>
      </c>
      <c r="O693" s="1" t="s">
        <v>632</v>
      </c>
      <c r="P693" s="1" t="str">
        <f>_xlfn.CONCAT(B693,C693,D693,E693,F693)</f>
        <v>BC Caiaponia1SG60KTL(COM3-017)_001_01246037,657638888946037,657638888946037,7194444444</v>
      </c>
      <c r="Q693" s="1" t="str">
        <f>_xlfn.CONCAT(H693,I693,J693)</f>
        <v>DAURDE</v>
      </c>
    </row>
    <row r="694" spans="2:17">
      <c r="B694" s="1" t="s">
        <v>456</v>
      </c>
      <c r="C694" s="1" t="s">
        <v>475</v>
      </c>
      <c r="D694" s="52">
        <v>46037.657638888886</v>
      </c>
      <c r="E694" s="52">
        <v>46037.657638888886</v>
      </c>
      <c r="F694" s="52">
        <v>46037.719444444447</v>
      </c>
      <c r="G694" s="53">
        <f>F694-E694</f>
        <v>6.1805555560567882E-2</v>
      </c>
      <c r="H694" s="1" t="s">
        <v>257</v>
      </c>
      <c r="J694" s="1" t="s">
        <v>258</v>
      </c>
      <c r="K694" s="1" t="s">
        <v>658</v>
      </c>
      <c r="L694" s="1" t="s">
        <v>538</v>
      </c>
      <c r="M694" s="1" t="s">
        <v>260</v>
      </c>
      <c r="N694" s="1" t="s">
        <v>357</v>
      </c>
      <c r="O694" s="1" t="s">
        <v>632</v>
      </c>
      <c r="P694" s="1" t="str">
        <f>_xlfn.CONCAT(B694,C694,D694,E694,F694)</f>
        <v>BC Caiaponia1SG60KTL(COM3-018)_001_00846037,657638888946037,657638888946037,7194444444</v>
      </c>
      <c r="Q694" s="1" t="str">
        <f>_xlfn.CONCAT(H694,I694,J694)</f>
        <v>DAURDE</v>
      </c>
    </row>
    <row r="695" spans="2:17">
      <c r="B695" s="1" t="s">
        <v>456</v>
      </c>
      <c r="C695" s="1" t="s">
        <v>476</v>
      </c>
      <c r="D695" s="52">
        <v>46037.657638888886</v>
      </c>
      <c r="E695" s="52">
        <v>46037.657638888886</v>
      </c>
      <c r="F695" s="52">
        <v>46037.719444444447</v>
      </c>
      <c r="G695" s="53">
        <f>F695-E695</f>
        <v>6.1805555560567882E-2</v>
      </c>
      <c r="H695" s="1" t="s">
        <v>257</v>
      </c>
      <c r="J695" s="1" t="s">
        <v>258</v>
      </c>
      <c r="K695" s="1" t="s">
        <v>658</v>
      </c>
      <c r="L695" s="1" t="s">
        <v>538</v>
      </c>
      <c r="M695" s="1" t="s">
        <v>260</v>
      </c>
      <c r="N695" s="1" t="s">
        <v>357</v>
      </c>
      <c r="O695" s="1" t="s">
        <v>632</v>
      </c>
      <c r="P695" s="1" t="str">
        <f>_xlfn.CONCAT(B695,C695,D695,E695,F695)</f>
        <v>BC Caiaponia1SG60KTL(COM3-019)_001_01946037,657638888946037,657638888946037,7194444444</v>
      </c>
      <c r="Q695" s="1" t="str">
        <f>_xlfn.CONCAT(H695,I695,J695)</f>
        <v>DAURDE</v>
      </c>
    </row>
    <row r="696" spans="2:17">
      <c r="B696" s="1" t="s">
        <v>456</v>
      </c>
      <c r="C696" s="1" t="s">
        <v>477</v>
      </c>
      <c r="D696" s="52">
        <v>46037.657638888886</v>
      </c>
      <c r="E696" s="52">
        <v>46037.657638888886</v>
      </c>
      <c r="F696" s="52">
        <v>46037.719444444447</v>
      </c>
      <c r="G696" s="53">
        <f>F696-E696</f>
        <v>6.1805555560567882E-2</v>
      </c>
      <c r="H696" s="1" t="s">
        <v>257</v>
      </c>
      <c r="J696" s="1" t="s">
        <v>258</v>
      </c>
      <c r="K696" s="1" t="s">
        <v>658</v>
      </c>
      <c r="L696" s="1" t="s">
        <v>538</v>
      </c>
      <c r="M696" s="1" t="s">
        <v>260</v>
      </c>
      <c r="N696" s="1" t="s">
        <v>357</v>
      </c>
      <c r="O696" s="1" t="s">
        <v>632</v>
      </c>
      <c r="P696" s="1" t="str">
        <f>_xlfn.CONCAT(B696,C696,D696,E696,F696)</f>
        <v>BC Caiaponia1SG60KTL(COM3-020)_001_02046037,657638888946037,657638888946037,7194444444</v>
      </c>
      <c r="Q696" s="1" t="str">
        <f>_xlfn.CONCAT(H696,I696,J696)</f>
        <v>DAURDE</v>
      </c>
    </row>
    <row r="697" spans="2:17">
      <c r="B697" s="1" t="s">
        <v>456</v>
      </c>
      <c r="C697" s="1" t="s">
        <v>478</v>
      </c>
      <c r="D697" s="52">
        <v>46037.657638888886</v>
      </c>
      <c r="E697" s="52">
        <v>46037.657638888886</v>
      </c>
      <c r="F697" s="52">
        <v>46037.719444444447</v>
      </c>
      <c r="G697" s="53">
        <f>F697-E697</f>
        <v>6.1805555560567882E-2</v>
      </c>
      <c r="H697" s="1" t="s">
        <v>257</v>
      </c>
      <c r="J697" s="1" t="s">
        <v>258</v>
      </c>
      <c r="K697" s="1" t="s">
        <v>658</v>
      </c>
      <c r="L697" s="1" t="s">
        <v>538</v>
      </c>
      <c r="M697" s="1" t="s">
        <v>260</v>
      </c>
      <c r="N697" s="1" t="s">
        <v>357</v>
      </c>
      <c r="O697" s="1" t="s">
        <v>632</v>
      </c>
      <c r="P697" s="1" t="str">
        <f>_xlfn.CONCAT(B697,C697,D697,E697,F697)</f>
        <v>BC Caiaponia1SG60KTL(COM2-026)46037,657638888946037,657638888946037,7194444444</v>
      </c>
      <c r="Q697" s="1" t="str">
        <f>_xlfn.CONCAT(H697,I697,J697)</f>
        <v>DAURDE</v>
      </c>
    </row>
    <row r="698" spans="2:17">
      <c r="B698" s="1" t="s">
        <v>456</v>
      </c>
      <c r="C698" s="1" t="s">
        <v>479</v>
      </c>
      <c r="D698" s="52">
        <v>46037.657638888886</v>
      </c>
      <c r="E698" s="52">
        <v>46037.657638888886</v>
      </c>
      <c r="F698" s="52">
        <v>46037.719444444447</v>
      </c>
      <c r="G698" s="53">
        <f>F698-E698</f>
        <v>6.1805555560567882E-2</v>
      </c>
      <c r="H698" s="1" t="s">
        <v>257</v>
      </c>
      <c r="J698" s="1" t="s">
        <v>258</v>
      </c>
      <c r="K698" s="1" t="s">
        <v>658</v>
      </c>
      <c r="L698" s="1" t="s">
        <v>538</v>
      </c>
      <c r="M698" s="1" t="s">
        <v>260</v>
      </c>
      <c r="N698" s="1" t="s">
        <v>357</v>
      </c>
      <c r="O698" s="1" t="s">
        <v>632</v>
      </c>
      <c r="P698" s="1" t="str">
        <f>_xlfn.CONCAT(B698,C698,D698,E698,F698)</f>
        <v>BC Caiaponia1SG60KTL(COM2-027)46037,657638888946037,657638888946037,7194444444</v>
      </c>
      <c r="Q698" s="1" t="str">
        <f>_xlfn.CONCAT(H698,I698,J698)</f>
        <v>DAURDE</v>
      </c>
    </row>
    <row r="699" spans="2:17">
      <c r="B699" s="1" t="s">
        <v>456</v>
      </c>
      <c r="C699" s="1" t="s">
        <v>480</v>
      </c>
      <c r="D699" s="52">
        <v>46037.657638888886</v>
      </c>
      <c r="E699" s="52">
        <v>46037.657638888886</v>
      </c>
      <c r="F699" s="52">
        <v>46037.719444444447</v>
      </c>
      <c r="G699" s="53">
        <f>F699-E699</f>
        <v>6.1805555560567882E-2</v>
      </c>
      <c r="H699" s="1" t="s">
        <v>257</v>
      </c>
      <c r="J699" s="1" t="s">
        <v>258</v>
      </c>
      <c r="K699" s="1" t="s">
        <v>658</v>
      </c>
      <c r="L699" s="1" t="s">
        <v>538</v>
      </c>
      <c r="M699" s="1" t="s">
        <v>260</v>
      </c>
      <c r="N699" s="1" t="s">
        <v>357</v>
      </c>
      <c r="O699" s="1" t="s">
        <v>632</v>
      </c>
      <c r="P699" s="1" t="str">
        <f>_xlfn.CONCAT(B699,C699,D699,E699,F699)</f>
        <v>BC Caiaponia1SG60KTL(COM2-028)46037,657638888946037,657638888946037,7194444444</v>
      </c>
      <c r="Q699" s="1" t="str">
        <f>_xlfn.CONCAT(H699,I699,J699)</f>
        <v>DAURDE</v>
      </c>
    </row>
    <row r="700" spans="2:17">
      <c r="B700" s="1" t="s">
        <v>456</v>
      </c>
      <c r="C700" s="1" t="s">
        <v>481</v>
      </c>
      <c r="D700" s="52">
        <v>46037.657638888886</v>
      </c>
      <c r="E700" s="52">
        <v>46037.657638888886</v>
      </c>
      <c r="F700" s="52">
        <v>46037.719444444447</v>
      </c>
      <c r="G700" s="53">
        <f>F700-E700</f>
        <v>6.1805555560567882E-2</v>
      </c>
      <c r="H700" s="1" t="s">
        <v>257</v>
      </c>
      <c r="J700" s="1" t="s">
        <v>258</v>
      </c>
      <c r="K700" s="1" t="s">
        <v>658</v>
      </c>
      <c r="L700" s="1" t="s">
        <v>538</v>
      </c>
      <c r="M700" s="1" t="s">
        <v>260</v>
      </c>
      <c r="N700" s="1" t="s">
        <v>357</v>
      </c>
      <c r="O700" s="1" t="s">
        <v>632</v>
      </c>
      <c r="P700" s="1" t="str">
        <f>_xlfn.CONCAT(B700,C700,D700,E700,F700)</f>
        <v>BC Caiaponia1SG60KTL(COM2-029)46037,657638888946037,657638888946037,7194444444</v>
      </c>
      <c r="Q700" s="1" t="str">
        <f>_xlfn.CONCAT(H700,I700,J700)</f>
        <v>DAURDE</v>
      </c>
    </row>
    <row r="701" spans="2:17">
      <c r="B701" s="1" t="s">
        <v>456</v>
      </c>
      <c r="C701" s="1" t="s">
        <v>482</v>
      </c>
      <c r="D701" s="52">
        <v>46037.657638888886</v>
      </c>
      <c r="E701" s="52">
        <v>46037.657638888886</v>
      </c>
      <c r="F701" s="52">
        <v>46037.719444444447</v>
      </c>
      <c r="G701" s="53">
        <f>F701-E701</f>
        <v>6.1805555560567882E-2</v>
      </c>
      <c r="H701" s="1" t="s">
        <v>257</v>
      </c>
      <c r="J701" s="1" t="s">
        <v>258</v>
      </c>
      <c r="K701" s="1" t="s">
        <v>658</v>
      </c>
      <c r="L701" s="1" t="s">
        <v>538</v>
      </c>
      <c r="M701" s="1" t="s">
        <v>260</v>
      </c>
      <c r="N701" s="1" t="s">
        <v>357</v>
      </c>
      <c r="O701" s="1" t="s">
        <v>632</v>
      </c>
      <c r="P701" s="1" t="str">
        <f>_xlfn.CONCAT(B701,C701,D701,E701,F701)</f>
        <v>BC Caiaponia1SG50CX(COM1-021)46037,657638888946037,657638888946037,7194444444</v>
      </c>
      <c r="Q701" s="1" t="str">
        <f>_xlfn.CONCAT(H701,I701,J701)</f>
        <v>DAURDE</v>
      </c>
    </row>
    <row r="702" spans="2:17">
      <c r="B702" s="1" t="s">
        <v>456</v>
      </c>
      <c r="C702" s="1" t="s">
        <v>483</v>
      </c>
      <c r="D702" s="52">
        <v>46037.657638888886</v>
      </c>
      <c r="E702" s="52">
        <v>46037.657638888886</v>
      </c>
      <c r="F702" s="52">
        <v>46037.719444444447</v>
      </c>
      <c r="G702" s="53">
        <f>F702-E702</f>
        <v>6.1805555560567882E-2</v>
      </c>
      <c r="H702" s="1" t="s">
        <v>257</v>
      </c>
      <c r="J702" s="1" t="s">
        <v>258</v>
      </c>
      <c r="K702" s="1" t="s">
        <v>658</v>
      </c>
      <c r="L702" s="1" t="s">
        <v>538</v>
      </c>
      <c r="M702" s="1" t="s">
        <v>260</v>
      </c>
      <c r="N702" s="1" t="s">
        <v>357</v>
      </c>
      <c r="O702" s="1" t="s">
        <v>632</v>
      </c>
      <c r="P702" s="1" t="str">
        <f>_xlfn.CONCAT(B702,C702,D702,E702,F702)</f>
        <v>BC Caiaponia1SG50CX(COM1-022)46037,657638888946037,657638888946037,7194444444</v>
      </c>
      <c r="Q702" s="1" t="str">
        <f>_xlfn.CONCAT(H702,I702,J702)</f>
        <v>DAURDE</v>
      </c>
    </row>
    <row r="703" spans="2:17">
      <c r="B703" s="1" t="s">
        <v>456</v>
      </c>
      <c r="C703" s="1" t="s">
        <v>484</v>
      </c>
      <c r="D703" s="52">
        <v>46037.657638888886</v>
      </c>
      <c r="E703" s="52">
        <v>46037.657638888886</v>
      </c>
      <c r="F703" s="52">
        <v>46037.719444444447</v>
      </c>
      <c r="G703" s="53">
        <f>F703-E703</f>
        <v>6.1805555560567882E-2</v>
      </c>
      <c r="H703" s="1" t="s">
        <v>257</v>
      </c>
      <c r="J703" s="1" t="s">
        <v>258</v>
      </c>
      <c r="K703" s="1" t="s">
        <v>658</v>
      </c>
      <c r="L703" s="1" t="s">
        <v>538</v>
      </c>
      <c r="M703" s="1" t="s">
        <v>260</v>
      </c>
      <c r="N703" s="1" t="s">
        <v>357</v>
      </c>
      <c r="O703" s="1" t="s">
        <v>632</v>
      </c>
      <c r="P703" s="1" t="str">
        <f>_xlfn.CONCAT(B703,C703,D703,E703,F703)</f>
        <v>BC Caiaponia1SG50CX(COM1-023)46037,657638888946037,657638888946037,7194444444</v>
      </c>
      <c r="Q703" s="1" t="str">
        <f>_xlfn.CONCAT(H703,I703,J703)</f>
        <v>DAURDE</v>
      </c>
    </row>
    <row r="704" spans="2:17">
      <c r="B704" s="1" t="s">
        <v>456</v>
      </c>
      <c r="C704" s="1" t="s">
        <v>485</v>
      </c>
      <c r="D704" s="52">
        <v>46037.657638888886</v>
      </c>
      <c r="E704" s="52">
        <v>46037.657638888886</v>
      </c>
      <c r="F704" s="52">
        <v>46037.719444444447</v>
      </c>
      <c r="G704" s="53">
        <f>F704-E704</f>
        <v>6.1805555560567882E-2</v>
      </c>
      <c r="H704" s="1" t="s">
        <v>257</v>
      </c>
      <c r="J704" s="1" t="s">
        <v>258</v>
      </c>
      <c r="K704" s="1" t="s">
        <v>658</v>
      </c>
      <c r="L704" s="1" t="s">
        <v>538</v>
      </c>
      <c r="M704" s="1" t="s">
        <v>260</v>
      </c>
      <c r="N704" s="1" t="s">
        <v>357</v>
      </c>
      <c r="O704" s="1" t="s">
        <v>632</v>
      </c>
      <c r="P704" s="1" t="str">
        <f>_xlfn.CONCAT(B704,C704,D704,E704,F704)</f>
        <v>BC Caiaponia1SG50CX(COM1-024)46037,657638888946037,657638888946037,7194444444</v>
      </c>
      <c r="Q704" s="1" t="str">
        <f>_xlfn.CONCAT(H704,I704,J704)</f>
        <v>DAURDE</v>
      </c>
    </row>
    <row r="705" spans="2:17">
      <c r="B705" s="1" t="s">
        <v>456</v>
      </c>
      <c r="C705" s="1" t="s">
        <v>486</v>
      </c>
      <c r="D705" s="52">
        <v>46037.657638888886</v>
      </c>
      <c r="E705" s="52">
        <v>46037.657638888886</v>
      </c>
      <c r="F705" s="52">
        <v>46037.719444444447</v>
      </c>
      <c r="G705" s="53">
        <f>F705-E705</f>
        <v>6.1805555560567882E-2</v>
      </c>
      <c r="H705" s="1" t="s">
        <v>257</v>
      </c>
      <c r="J705" s="1" t="s">
        <v>258</v>
      </c>
      <c r="K705" s="1" t="s">
        <v>658</v>
      </c>
      <c r="L705" s="1" t="s">
        <v>538</v>
      </c>
      <c r="M705" s="1" t="s">
        <v>260</v>
      </c>
      <c r="N705" s="1" t="s">
        <v>357</v>
      </c>
      <c r="O705" s="1" t="s">
        <v>632</v>
      </c>
      <c r="P705" s="1" t="str">
        <f>_xlfn.CONCAT(B705,C705,D705,E705,F705)</f>
        <v>BC Caiaponia1SG50CX(COM1-025)46037,657638888946037,657638888946037,7194444444</v>
      </c>
      <c r="Q705" s="1" t="str">
        <f>_xlfn.CONCAT(H705,I705,J705)</f>
        <v>DAURDE</v>
      </c>
    </row>
    <row r="706" spans="2:17">
      <c r="B706" s="1" t="s">
        <v>487</v>
      </c>
      <c r="C706" s="1" t="s">
        <v>377</v>
      </c>
      <c r="D706" s="52">
        <v>46037.657638888886</v>
      </c>
      <c r="E706" s="52">
        <v>46037.657638888886</v>
      </c>
      <c r="F706" s="52">
        <v>46037.719444444447</v>
      </c>
      <c r="G706" s="53">
        <f>F706-E706</f>
        <v>6.1805555560567882E-2</v>
      </c>
      <c r="H706" s="1" t="s">
        <v>257</v>
      </c>
      <c r="J706" s="1" t="s">
        <v>258</v>
      </c>
      <c r="K706" s="1" t="s">
        <v>658</v>
      </c>
      <c r="L706" s="1" t="s">
        <v>538</v>
      </c>
      <c r="M706" s="1" t="s">
        <v>260</v>
      </c>
      <c r="N706" s="1" t="s">
        <v>357</v>
      </c>
      <c r="O706" s="1" t="s">
        <v>632</v>
      </c>
      <c r="P706" s="1" t="str">
        <f>_xlfn.CONCAT(B706,C706,D706,E706,F706)</f>
        <v>BC Caiaponia2.1215KTL-H3(MBUS-12)46037,657638888946037,657638888946037,7194444444</v>
      </c>
      <c r="Q706" s="1" t="str">
        <f>_xlfn.CONCAT(H706,I706,J706)</f>
        <v>DAURDE</v>
      </c>
    </row>
    <row r="707" spans="2:17">
      <c r="B707" s="1" t="s">
        <v>487</v>
      </c>
      <c r="C707" s="1" t="s">
        <v>378</v>
      </c>
      <c r="D707" s="52">
        <v>46037.657638888886</v>
      </c>
      <c r="E707" s="52">
        <v>46037.657638888886</v>
      </c>
      <c r="F707" s="52">
        <v>46037.719444444447</v>
      </c>
      <c r="G707" s="53">
        <f>F707-E707</f>
        <v>6.1805555560567882E-2</v>
      </c>
      <c r="H707" s="1" t="s">
        <v>257</v>
      </c>
      <c r="J707" s="1" t="s">
        <v>258</v>
      </c>
      <c r="K707" s="1" t="s">
        <v>658</v>
      </c>
      <c r="L707" s="1" t="s">
        <v>538</v>
      </c>
      <c r="M707" s="1" t="s">
        <v>260</v>
      </c>
      <c r="N707" s="1" t="s">
        <v>357</v>
      </c>
      <c r="O707" s="1" t="s">
        <v>632</v>
      </c>
      <c r="P707" s="1" t="str">
        <f>_xlfn.CONCAT(B707,C707,D707,E707,F707)</f>
        <v>BC Caiaponia2.1215KTL-H3(MBUS-13)46037,657638888946037,657638888946037,7194444444</v>
      </c>
      <c r="Q707" s="1" t="str">
        <f>_xlfn.CONCAT(H707,I707,J707)</f>
        <v>DAURDE</v>
      </c>
    </row>
    <row r="708" spans="2:17">
      <c r="B708" s="1" t="s">
        <v>487</v>
      </c>
      <c r="C708" s="1" t="s">
        <v>382</v>
      </c>
      <c r="D708" s="52">
        <v>46037.657638888886</v>
      </c>
      <c r="E708" s="52">
        <v>46037.657638888886</v>
      </c>
      <c r="F708" s="52">
        <v>46037.719444444447</v>
      </c>
      <c r="G708" s="53">
        <f>F708-E708</f>
        <v>6.1805555560567882E-2</v>
      </c>
      <c r="H708" s="1" t="s">
        <v>257</v>
      </c>
      <c r="J708" s="1" t="s">
        <v>258</v>
      </c>
      <c r="K708" s="1" t="s">
        <v>658</v>
      </c>
      <c r="L708" s="1" t="s">
        <v>538</v>
      </c>
      <c r="M708" s="1" t="s">
        <v>260</v>
      </c>
      <c r="N708" s="1" t="s">
        <v>357</v>
      </c>
      <c r="O708" s="1" t="s">
        <v>632</v>
      </c>
      <c r="P708" s="1" t="str">
        <f>_xlfn.CONCAT(B708,C708,D708,E708,F708)</f>
        <v>BC Caiaponia2.1215KTL-H3(MBUS-14)46037,657638888946037,657638888946037,7194444444</v>
      </c>
      <c r="Q708" s="1" t="str">
        <f>_xlfn.CONCAT(H708,I708,J708)</f>
        <v>DAURDE</v>
      </c>
    </row>
    <row r="709" spans="2:17">
      <c r="B709" s="1" t="s">
        <v>487</v>
      </c>
      <c r="C709" s="1" t="s">
        <v>380</v>
      </c>
      <c r="D709" s="52">
        <v>46037.657638888886</v>
      </c>
      <c r="E709" s="52">
        <v>46037.657638888886</v>
      </c>
      <c r="F709" s="52">
        <v>46037.719444444447</v>
      </c>
      <c r="G709" s="53">
        <f>F709-E709</f>
        <v>6.1805555560567882E-2</v>
      </c>
      <c r="H709" s="1" t="s">
        <v>257</v>
      </c>
      <c r="J709" s="1" t="s">
        <v>258</v>
      </c>
      <c r="K709" s="1" t="s">
        <v>658</v>
      </c>
      <c r="L709" s="1" t="s">
        <v>538</v>
      </c>
      <c r="M709" s="1" t="s">
        <v>260</v>
      </c>
      <c r="N709" s="1" t="s">
        <v>357</v>
      </c>
      <c r="O709" s="1" t="s">
        <v>632</v>
      </c>
      <c r="P709" s="1" t="str">
        <f>_xlfn.CONCAT(B709,C709,D709,E709,F709)</f>
        <v>BC Caiaponia2.1215KTL-H3(MBUS-15)46037,657638888946037,657638888946037,7194444444</v>
      </c>
      <c r="Q709" s="1" t="str">
        <f>_xlfn.CONCAT(H709,I709,J709)</f>
        <v>DAURDE</v>
      </c>
    </row>
    <row r="710" spans="2:17">
      <c r="B710" s="1" t="s">
        <v>487</v>
      </c>
      <c r="C710" s="1" t="s">
        <v>379</v>
      </c>
      <c r="D710" s="52">
        <v>46037.657638888886</v>
      </c>
      <c r="E710" s="52">
        <v>46037.657638888886</v>
      </c>
      <c r="F710" s="52">
        <v>46037.719444444447</v>
      </c>
      <c r="G710" s="53">
        <f>F710-E710</f>
        <v>6.1805555560567882E-2</v>
      </c>
      <c r="H710" s="1" t="s">
        <v>257</v>
      </c>
      <c r="J710" s="1" t="s">
        <v>258</v>
      </c>
      <c r="K710" s="1" t="s">
        <v>658</v>
      </c>
      <c r="L710" s="1" t="s">
        <v>538</v>
      </c>
      <c r="M710" s="1" t="s">
        <v>260</v>
      </c>
      <c r="N710" s="1" t="s">
        <v>357</v>
      </c>
      <c r="O710" s="1" t="s">
        <v>632</v>
      </c>
      <c r="P710" s="1" t="str">
        <f>_xlfn.CONCAT(B710,C710,D710,E710,F710)</f>
        <v>BC Caiaponia2.1215KTL-H3(MBUS-16)46037,657638888946037,657638888946037,7194444444</v>
      </c>
      <c r="Q710" s="1" t="str">
        <f>_xlfn.CONCAT(H710,I710,J710)</f>
        <v>DAURDE</v>
      </c>
    </row>
    <row r="711" spans="2:17">
      <c r="B711" s="1" t="s">
        <v>583</v>
      </c>
      <c r="C711" s="1" t="s">
        <v>377</v>
      </c>
      <c r="D711" s="52">
        <v>46037.657638888886</v>
      </c>
      <c r="E711" s="52">
        <v>46037.657638888886</v>
      </c>
      <c r="F711" s="52">
        <v>46037.719444444447</v>
      </c>
      <c r="G711" s="53">
        <f>F711-E711</f>
        <v>6.1805555560567882E-2</v>
      </c>
      <c r="H711" s="1" t="s">
        <v>257</v>
      </c>
      <c r="J711" s="1" t="s">
        <v>258</v>
      </c>
      <c r="K711" s="1" t="s">
        <v>658</v>
      </c>
      <c r="L711" s="1" t="s">
        <v>538</v>
      </c>
      <c r="M711" s="1" t="s">
        <v>260</v>
      </c>
      <c r="N711" s="1" t="s">
        <v>357</v>
      </c>
      <c r="O711" s="1" t="s">
        <v>632</v>
      </c>
      <c r="P711" s="1" t="str">
        <f>_xlfn.CONCAT(B711,C711,D711,E711,F711)</f>
        <v>BC Caiaponia2.2215KTL-H3(MBUS-12)46037,657638888946037,657638888946037,7194444444</v>
      </c>
      <c r="Q711" s="1" t="str">
        <f>_xlfn.CONCAT(H711,I711,J711)</f>
        <v>DAURDE</v>
      </c>
    </row>
    <row r="712" spans="2:17">
      <c r="B712" s="1" t="s">
        <v>583</v>
      </c>
      <c r="C712" s="1" t="s">
        <v>378</v>
      </c>
      <c r="D712" s="52">
        <v>46037.657638888886</v>
      </c>
      <c r="E712" s="52">
        <v>46037.657638888886</v>
      </c>
      <c r="F712" s="52">
        <v>46037.719444444447</v>
      </c>
      <c r="G712" s="53">
        <f>F712-E712</f>
        <v>6.1805555560567882E-2</v>
      </c>
      <c r="H712" s="1" t="s">
        <v>257</v>
      </c>
      <c r="J712" s="1" t="s">
        <v>258</v>
      </c>
      <c r="K712" s="1" t="s">
        <v>658</v>
      </c>
      <c r="L712" s="1" t="s">
        <v>538</v>
      </c>
      <c r="M712" s="1" t="s">
        <v>260</v>
      </c>
      <c r="N712" s="1" t="s">
        <v>357</v>
      </c>
      <c r="O712" s="1" t="s">
        <v>632</v>
      </c>
      <c r="P712" s="1" t="str">
        <f>_xlfn.CONCAT(B712,C712,D712,E712,F712)</f>
        <v>BC Caiaponia2.2215KTL-H3(MBUS-13)46037,657638888946037,657638888946037,7194444444</v>
      </c>
      <c r="Q712" s="1" t="str">
        <f>_xlfn.CONCAT(H712,I712,J712)</f>
        <v>DAURDE</v>
      </c>
    </row>
    <row r="713" spans="2:17">
      <c r="B713" s="1" t="s">
        <v>583</v>
      </c>
      <c r="C713" s="1" t="s">
        <v>382</v>
      </c>
      <c r="D713" s="52">
        <v>46037.657638888886</v>
      </c>
      <c r="E713" s="52">
        <v>46037.657638888886</v>
      </c>
      <c r="F713" s="52">
        <v>46037.719444444447</v>
      </c>
      <c r="G713" s="53">
        <f>F713-E713</f>
        <v>6.1805555560567882E-2</v>
      </c>
      <c r="H713" s="1" t="s">
        <v>257</v>
      </c>
      <c r="J713" s="1" t="s">
        <v>258</v>
      </c>
      <c r="K713" s="1" t="s">
        <v>658</v>
      </c>
      <c r="L713" s="1" t="s">
        <v>538</v>
      </c>
      <c r="M713" s="1" t="s">
        <v>260</v>
      </c>
      <c r="N713" s="1" t="s">
        <v>357</v>
      </c>
      <c r="O713" s="1" t="s">
        <v>632</v>
      </c>
      <c r="P713" s="1" t="str">
        <f>_xlfn.CONCAT(B713,C713,D713,E713,F713)</f>
        <v>BC Caiaponia2.2215KTL-H3(MBUS-14)46037,657638888946037,657638888946037,7194444444</v>
      </c>
      <c r="Q713" s="1" t="str">
        <f>_xlfn.CONCAT(H713,I713,J713)</f>
        <v>DAURDE</v>
      </c>
    </row>
    <row r="714" spans="2:17">
      <c r="B714" s="1" t="s">
        <v>583</v>
      </c>
      <c r="C714" s="1" t="s">
        <v>380</v>
      </c>
      <c r="D714" s="52">
        <v>46037.657638888886</v>
      </c>
      <c r="E714" s="52">
        <v>46037.657638888886</v>
      </c>
      <c r="F714" s="52">
        <v>46037.719444444447</v>
      </c>
      <c r="G714" s="53">
        <f>F714-E714</f>
        <v>6.1805555560567882E-2</v>
      </c>
      <c r="H714" s="1" t="s">
        <v>257</v>
      </c>
      <c r="J714" s="1" t="s">
        <v>258</v>
      </c>
      <c r="K714" s="1" t="s">
        <v>658</v>
      </c>
      <c r="L714" s="1" t="s">
        <v>538</v>
      </c>
      <c r="M714" s="1" t="s">
        <v>260</v>
      </c>
      <c r="N714" s="1" t="s">
        <v>357</v>
      </c>
      <c r="O714" s="1" t="s">
        <v>632</v>
      </c>
      <c r="P714" s="1" t="str">
        <f>_xlfn.CONCAT(B714,C714,D714,E714,F714)</f>
        <v>BC Caiaponia2.2215KTL-H3(MBUS-15)46037,657638888946037,657638888946037,7194444444</v>
      </c>
      <c r="Q714" s="1" t="str">
        <f>_xlfn.CONCAT(H714,I714,J714)</f>
        <v>DAURDE</v>
      </c>
    </row>
    <row r="715" spans="2:17">
      <c r="B715" s="1" t="s">
        <v>583</v>
      </c>
      <c r="C715" s="1" t="s">
        <v>379</v>
      </c>
      <c r="D715" s="52">
        <v>46037.657638888886</v>
      </c>
      <c r="E715" s="52">
        <v>46037.657638888886</v>
      </c>
      <c r="F715" s="52">
        <v>46037.719444444447</v>
      </c>
      <c r="G715" s="53">
        <f>F715-E715</f>
        <v>6.1805555560567882E-2</v>
      </c>
      <c r="H715" s="1" t="s">
        <v>257</v>
      </c>
      <c r="J715" s="1" t="s">
        <v>258</v>
      </c>
      <c r="K715" s="1" t="s">
        <v>658</v>
      </c>
      <c r="L715" s="1" t="s">
        <v>538</v>
      </c>
      <c r="M715" s="1" t="s">
        <v>260</v>
      </c>
      <c r="N715" s="1" t="s">
        <v>357</v>
      </c>
      <c r="O715" s="1" t="s">
        <v>632</v>
      </c>
      <c r="P715" s="1" t="str">
        <f>_xlfn.CONCAT(B715,C715,D715,E715,F715)</f>
        <v>BC Caiaponia2.2215KTL-H3(MBUS-16)46037,657638888946037,657638888946037,7194444444</v>
      </c>
      <c r="Q715" s="1" t="str">
        <f>_xlfn.CONCAT(H715,I715,J715)</f>
        <v>DAURDE</v>
      </c>
    </row>
    <row r="716" spans="2:17">
      <c r="B716" s="1" t="s">
        <v>584</v>
      </c>
      <c r="C716" s="1" t="s">
        <v>377</v>
      </c>
      <c r="D716" s="52">
        <v>46037.657638888886</v>
      </c>
      <c r="E716" s="52">
        <v>46037.657638888886</v>
      </c>
      <c r="F716" s="52">
        <v>46037.719444444447</v>
      </c>
      <c r="G716" s="53">
        <f>F716-E716</f>
        <v>6.1805555560567882E-2</v>
      </c>
      <c r="H716" s="1" t="s">
        <v>257</v>
      </c>
      <c r="J716" s="1" t="s">
        <v>258</v>
      </c>
      <c r="K716" s="1" t="s">
        <v>658</v>
      </c>
      <c r="L716" s="1" t="s">
        <v>538</v>
      </c>
      <c r="M716" s="1" t="s">
        <v>260</v>
      </c>
      <c r="N716" s="1" t="s">
        <v>357</v>
      </c>
      <c r="O716" s="1" t="s">
        <v>632</v>
      </c>
      <c r="P716" s="1" t="str">
        <f>_xlfn.CONCAT(B716,C716,D716,E716,F716)</f>
        <v>BC Caiaponia2.3215KTL-H3(MBUS-12)46037,657638888946037,657638888946037,7194444444</v>
      </c>
      <c r="Q716" s="1" t="str">
        <f>_xlfn.CONCAT(H716,I716,J716)</f>
        <v>DAURDE</v>
      </c>
    </row>
    <row r="717" spans="2:17">
      <c r="B717" s="1" t="s">
        <v>584</v>
      </c>
      <c r="C717" s="1" t="s">
        <v>378</v>
      </c>
      <c r="D717" s="52">
        <v>46037.657638888886</v>
      </c>
      <c r="E717" s="52">
        <v>46037.657638888886</v>
      </c>
      <c r="F717" s="52">
        <v>46037.719444444447</v>
      </c>
      <c r="G717" s="53">
        <f>F717-E717</f>
        <v>6.1805555560567882E-2</v>
      </c>
      <c r="H717" s="1" t="s">
        <v>257</v>
      </c>
      <c r="J717" s="1" t="s">
        <v>258</v>
      </c>
      <c r="K717" s="1" t="s">
        <v>658</v>
      </c>
      <c r="L717" s="1" t="s">
        <v>538</v>
      </c>
      <c r="M717" s="1" t="s">
        <v>260</v>
      </c>
      <c r="N717" s="1" t="s">
        <v>357</v>
      </c>
      <c r="O717" s="1" t="s">
        <v>632</v>
      </c>
      <c r="P717" s="1" t="str">
        <f>_xlfn.CONCAT(B717,C717,D717,E717,F717)</f>
        <v>BC Caiaponia2.3215KTL-H3(MBUS-13)46037,657638888946037,657638888946037,7194444444</v>
      </c>
      <c r="Q717" s="1" t="str">
        <f>_xlfn.CONCAT(H717,I717,J717)</f>
        <v>DAURDE</v>
      </c>
    </row>
    <row r="718" spans="2:17">
      <c r="B718" s="1" t="s">
        <v>584</v>
      </c>
      <c r="C718" s="1" t="s">
        <v>382</v>
      </c>
      <c r="D718" s="52">
        <v>46037.657638888886</v>
      </c>
      <c r="E718" s="52">
        <v>46037.657638888886</v>
      </c>
      <c r="F718" s="52">
        <v>46037.719444444447</v>
      </c>
      <c r="G718" s="53">
        <f>F718-E718</f>
        <v>6.1805555560567882E-2</v>
      </c>
      <c r="H718" s="1" t="s">
        <v>257</v>
      </c>
      <c r="J718" s="1" t="s">
        <v>258</v>
      </c>
      <c r="K718" s="1" t="s">
        <v>658</v>
      </c>
      <c r="L718" s="1" t="s">
        <v>538</v>
      </c>
      <c r="M718" s="1" t="s">
        <v>260</v>
      </c>
      <c r="N718" s="1" t="s">
        <v>357</v>
      </c>
      <c r="O718" s="1" t="s">
        <v>632</v>
      </c>
      <c r="P718" s="1" t="str">
        <f>_xlfn.CONCAT(B718,C718,D718,E718,F718)</f>
        <v>BC Caiaponia2.3215KTL-H3(MBUS-14)46037,657638888946037,657638888946037,7194444444</v>
      </c>
      <c r="Q718" s="1" t="str">
        <f>_xlfn.CONCAT(H718,I718,J718)</f>
        <v>DAURDE</v>
      </c>
    </row>
    <row r="719" spans="2:17">
      <c r="B719" s="1" t="s">
        <v>584</v>
      </c>
      <c r="C719" s="1" t="s">
        <v>380</v>
      </c>
      <c r="D719" s="52">
        <v>46037.657638888886</v>
      </c>
      <c r="E719" s="52">
        <v>46037.657638888886</v>
      </c>
      <c r="F719" s="52">
        <v>46037.719444444447</v>
      </c>
      <c r="G719" s="53">
        <f>F719-E719</f>
        <v>6.1805555560567882E-2</v>
      </c>
      <c r="H719" s="1" t="s">
        <v>257</v>
      </c>
      <c r="J719" s="1" t="s">
        <v>258</v>
      </c>
      <c r="K719" s="1" t="s">
        <v>658</v>
      </c>
      <c r="L719" s="1" t="s">
        <v>538</v>
      </c>
      <c r="M719" s="1" t="s">
        <v>260</v>
      </c>
      <c r="N719" s="1" t="s">
        <v>357</v>
      </c>
      <c r="O719" s="1" t="s">
        <v>632</v>
      </c>
      <c r="P719" s="1" t="str">
        <f>_xlfn.CONCAT(B719,C719,D719,E719,F719)</f>
        <v>BC Caiaponia2.3215KTL-H3(MBUS-15)46037,657638888946037,657638888946037,7194444444</v>
      </c>
      <c r="Q719" s="1" t="str">
        <f>_xlfn.CONCAT(H719,I719,J719)</f>
        <v>DAURDE</v>
      </c>
    </row>
    <row r="720" spans="2:17">
      <c r="B720" s="1" t="s">
        <v>584</v>
      </c>
      <c r="C720" s="1" t="s">
        <v>379</v>
      </c>
      <c r="D720" s="52">
        <v>46037.657638888886</v>
      </c>
      <c r="E720" s="52">
        <v>46037.657638888886</v>
      </c>
      <c r="F720" s="52">
        <v>46037.719444444447</v>
      </c>
      <c r="G720" s="53">
        <f>F720-E720</f>
        <v>6.1805555560567882E-2</v>
      </c>
      <c r="H720" s="1" t="s">
        <v>257</v>
      </c>
      <c r="J720" s="1" t="s">
        <v>258</v>
      </c>
      <c r="K720" s="1" t="s">
        <v>658</v>
      </c>
      <c r="L720" s="1" t="s">
        <v>538</v>
      </c>
      <c r="M720" s="1" t="s">
        <v>260</v>
      </c>
      <c r="N720" s="1" t="s">
        <v>357</v>
      </c>
      <c r="O720" s="1" t="s">
        <v>632</v>
      </c>
      <c r="P720" s="1" t="str">
        <f>_xlfn.CONCAT(B720,C720,D720,E720,F720)</f>
        <v>BC Caiaponia2.3215KTL-H3(MBUS-16)46037,657638888946037,657638888946037,7194444444</v>
      </c>
      <c r="Q720" s="1" t="str">
        <f>_xlfn.CONCAT(H720,I720,J720)</f>
        <v>DAURDE</v>
      </c>
    </row>
    <row r="721" spans="2:17">
      <c r="B721" s="1" t="s">
        <v>368</v>
      </c>
      <c r="C721" s="1" t="s">
        <v>256</v>
      </c>
      <c r="D721" s="52">
        <v>46037.666666666664</v>
      </c>
      <c r="E721" s="52">
        <v>46037.666666666664</v>
      </c>
      <c r="F721" s="52">
        <v>46038.375</v>
      </c>
      <c r="G721" s="53">
        <f>F721-E721</f>
        <v>0.70833333333575865</v>
      </c>
      <c r="H721" s="1" t="s">
        <v>677</v>
      </c>
      <c r="J721" s="1" t="s">
        <v>230</v>
      </c>
      <c r="K721" s="1" t="s">
        <v>230</v>
      </c>
      <c r="L721" s="1" t="s">
        <v>1998</v>
      </c>
      <c r="M721" s="1" t="s">
        <v>663</v>
      </c>
      <c r="N721" s="1" t="s">
        <v>788</v>
      </c>
      <c r="O721" s="1" t="s">
        <v>789</v>
      </c>
      <c r="P721" s="1" t="str">
        <f>_xlfn.CONCAT(B721,C721,D721,E721,F721)</f>
        <v>BC Ibiuna 1.1Inverter(MBUS-12)46037,666666666746037,666666666746038,375</v>
      </c>
      <c r="Q721" s="1" t="str">
        <f>_xlfn.CONCAT(H721,I721,J721)</f>
        <v>DPRUFV</v>
      </c>
    </row>
    <row r="722" spans="2:17">
      <c r="B722" s="1" t="s">
        <v>368</v>
      </c>
      <c r="C722" s="1" t="s">
        <v>264</v>
      </c>
      <c r="D722" s="52">
        <v>46037.666666666664</v>
      </c>
      <c r="E722" s="52">
        <v>46037.666666666664</v>
      </c>
      <c r="F722" s="52">
        <v>46038.375</v>
      </c>
      <c r="G722" s="53">
        <f>F722-E722</f>
        <v>0.70833333333575865</v>
      </c>
      <c r="H722" s="1" t="s">
        <v>677</v>
      </c>
      <c r="J722" s="1" t="s">
        <v>230</v>
      </c>
      <c r="K722" s="1" t="s">
        <v>230</v>
      </c>
      <c r="L722" s="1" t="s">
        <v>1998</v>
      </c>
      <c r="M722" s="1" t="s">
        <v>663</v>
      </c>
      <c r="N722" s="1" t="s">
        <v>788</v>
      </c>
      <c r="O722" s="1" t="s">
        <v>789</v>
      </c>
      <c r="P722" s="1" t="str">
        <f>_xlfn.CONCAT(B722,C722,D722,E722,F722)</f>
        <v>BC Ibiuna 1.1Inverter(MBUS-13)46037,666666666746037,666666666746038,375</v>
      </c>
      <c r="Q722" s="1" t="str">
        <f>_xlfn.CONCAT(H722,I722,J722)</f>
        <v>DPRUFV</v>
      </c>
    </row>
    <row r="723" spans="2:17">
      <c r="B723" s="1" t="s">
        <v>368</v>
      </c>
      <c r="C723" s="1" t="s">
        <v>263</v>
      </c>
      <c r="D723" s="52">
        <v>46037.666666666664</v>
      </c>
      <c r="E723" s="52">
        <v>46037.666666666664</v>
      </c>
      <c r="F723" s="52">
        <v>46038.375</v>
      </c>
      <c r="G723" s="53">
        <f>F723-E723</f>
        <v>0.70833333333575865</v>
      </c>
      <c r="H723" s="1" t="s">
        <v>677</v>
      </c>
      <c r="J723" s="1" t="s">
        <v>230</v>
      </c>
      <c r="K723" s="1" t="s">
        <v>230</v>
      </c>
      <c r="L723" s="1" t="s">
        <v>1998</v>
      </c>
      <c r="M723" s="1" t="s">
        <v>663</v>
      </c>
      <c r="N723" s="1" t="s">
        <v>788</v>
      </c>
      <c r="O723" s="1" t="s">
        <v>789</v>
      </c>
      <c r="P723" s="1" t="str">
        <f>_xlfn.CONCAT(B723,C723,D723,E723,F723)</f>
        <v>BC Ibiuna 1.1Inverter(MBUS-14)46037,666666666746037,666666666746038,375</v>
      </c>
      <c r="Q723" s="1" t="str">
        <f>_xlfn.CONCAT(H723,I723,J723)</f>
        <v>DPRUFV</v>
      </c>
    </row>
    <row r="724" spans="2:17">
      <c r="B724" s="1" t="s">
        <v>368</v>
      </c>
      <c r="C724" s="1" t="s">
        <v>307</v>
      </c>
      <c r="D724" s="52">
        <v>46037.666666666664</v>
      </c>
      <c r="E724" s="52">
        <v>46037.666666666664</v>
      </c>
      <c r="F724" s="52">
        <v>46038.375</v>
      </c>
      <c r="G724" s="53">
        <f>F724-E724</f>
        <v>0.70833333333575865</v>
      </c>
      <c r="H724" s="1" t="s">
        <v>677</v>
      </c>
      <c r="J724" s="1" t="s">
        <v>230</v>
      </c>
      <c r="K724" s="1" t="s">
        <v>230</v>
      </c>
      <c r="L724" s="1" t="s">
        <v>1998</v>
      </c>
      <c r="M724" s="1" t="s">
        <v>663</v>
      </c>
      <c r="N724" s="1" t="s">
        <v>788</v>
      </c>
      <c r="O724" s="1" t="s">
        <v>789</v>
      </c>
      <c r="P724" s="1" t="str">
        <f>_xlfn.CONCAT(B724,C724,D724,E724,F724)</f>
        <v>BC Ibiuna 1.1Inverter(MBUS-15)46037,666666666746037,666666666746038,375</v>
      </c>
      <c r="Q724" s="1" t="str">
        <f>_xlfn.CONCAT(H724,I724,J724)</f>
        <v>DPRUFV</v>
      </c>
    </row>
    <row r="725" spans="2:17">
      <c r="B725" s="1" t="s">
        <v>370</v>
      </c>
      <c r="C725" s="1" t="s">
        <v>256</v>
      </c>
      <c r="D725" s="52">
        <v>46037.666666666664</v>
      </c>
      <c r="E725" s="52">
        <v>46037.666666666664</v>
      </c>
      <c r="F725" s="52">
        <v>46038.375</v>
      </c>
      <c r="G725" s="53">
        <f>F725-E725</f>
        <v>0.70833333333575865</v>
      </c>
      <c r="H725" s="1" t="s">
        <v>677</v>
      </c>
      <c r="J725" s="1" t="s">
        <v>230</v>
      </c>
      <c r="K725" s="1" t="s">
        <v>230</v>
      </c>
      <c r="L725" s="1" t="s">
        <v>1998</v>
      </c>
      <c r="M725" s="1" t="s">
        <v>663</v>
      </c>
      <c r="N725" s="1" t="s">
        <v>788</v>
      </c>
      <c r="O725" s="1" t="s">
        <v>789</v>
      </c>
      <c r="P725" s="1" t="str">
        <f>_xlfn.CONCAT(B725,C725,D725,E725,F725)</f>
        <v>BC Ibiuna 1.2Inverter(MBUS-12)46037,666666666746037,666666666746038,375</v>
      </c>
      <c r="Q725" s="1" t="str">
        <f>_xlfn.CONCAT(H725,I725,J725)</f>
        <v>DPRUFV</v>
      </c>
    </row>
    <row r="726" spans="2:17">
      <c r="B726" s="1" t="s">
        <v>370</v>
      </c>
      <c r="C726" s="1" t="s">
        <v>264</v>
      </c>
      <c r="D726" s="52">
        <v>46037.666666666664</v>
      </c>
      <c r="E726" s="52">
        <v>46037.666666666664</v>
      </c>
      <c r="F726" s="52">
        <v>46038.375</v>
      </c>
      <c r="G726" s="53">
        <f>F726-E726</f>
        <v>0.70833333333575865</v>
      </c>
      <c r="H726" s="1" t="s">
        <v>677</v>
      </c>
      <c r="J726" s="1" t="s">
        <v>230</v>
      </c>
      <c r="K726" s="1" t="s">
        <v>230</v>
      </c>
      <c r="L726" s="1" t="s">
        <v>1998</v>
      </c>
      <c r="M726" s="1" t="s">
        <v>663</v>
      </c>
      <c r="N726" s="1" t="s">
        <v>788</v>
      </c>
      <c r="O726" s="1" t="s">
        <v>789</v>
      </c>
      <c r="P726" s="1" t="str">
        <f>_xlfn.CONCAT(B726,C726,D726,E726,F726)</f>
        <v>BC Ibiuna 1.2Inverter(MBUS-13)46037,666666666746037,666666666746038,375</v>
      </c>
      <c r="Q726" s="1" t="str">
        <f>_xlfn.CONCAT(H726,I726,J726)</f>
        <v>DPRUFV</v>
      </c>
    </row>
    <row r="727" spans="2:17">
      <c r="B727" s="1" t="s">
        <v>370</v>
      </c>
      <c r="C727" s="1" t="s">
        <v>263</v>
      </c>
      <c r="D727" s="52">
        <v>46037.666666666664</v>
      </c>
      <c r="E727" s="52">
        <v>46037.666666666664</v>
      </c>
      <c r="F727" s="52">
        <v>46038.375</v>
      </c>
      <c r="G727" s="53">
        <f>F727-E727</f>
        <v>0.70833333333575865</v>
      </c>
      <c r="H727" s="1" t="s">
        <v>677</v>
      </c>
      <c r="J727" s="1" t="s">
        <v>230</v>
      </c>
      <c r="K727" s="1" t="s">
        <v>230</v>
      </c>
      <c r="L727" s="1" t="s">
        <v>1998</v>
      </c>
      <c r="M727" s="1" t="s">
        <v>663</v>
      </c>
      <c r="N727" s="1" t="s">
        <v>788</v>
      </c>
      <c r="O727" s="1" t="s">
        <v>789</v>
      </c>
      <c r="P727" s="1" t="str">
        <f>_xlfn.CONCAT(B727,C727,D727,E727,F727)</f>
        <v>BC Ibiuna 1.2Inverter(MBUS-14)46037,666666666746037,666666666746038,375</v>
      </c>
      <c r="Q727" s="1" t="str">
        <f>_xlfn.CONCAT(H727,I727,J727)</f>
        <v>DPRUFV</v>
      </c>
    </row>
    <row r="728" spans="2:17">
      <c r="B728" s="1" t="s">
        <v>370</v>
      </c>
      <c r="C728" s="1" t="s">
        <v>307</v>
      </c>
      <c r="D728" s="52">
        <v>46037.666666666664</v>
      </c>
      <c r="E728" s="52">
        <v>46037.666666666664</v>
      </c>
      <c r="F728" s="52">
        <v>46038.375</v>
      </c>
      <c r="G728" s="53">
        <f>F728-E728</f>
        <v>0.70833333333575865</v>
      </c>
      <c r="H728" s="1" t="s">
        <v>677</v>
      </c>
      <c r="J728" s="1" t="s">
        <v>230</v>
      </c>
      <c r="K728" s="1" t="s">
        <v>230</v>
      </c>
      <c r="L728" s="1" t="s">
        <v>1998</v>
      </c>
      <c r="M728" s="1" t="s">
        <v>663</v>
      </c>
      <c r="N728" s="1" t="s">
        <v>788</v>
      </c>
      <c r="O728" s="1" t="s">
        <v>789</v>
      </c>
      <c r="P728" s="1" t="str">
        <f>_xlfn.CONCAT(B728,C728,D728,E728,F728)</f>
        <v>BC Ibiuna 1.2Inverter(MBUS-15)46037,666666666746037,666666666746038,375</v>
      </c>
      <c r="Q728" s="1" t="str">
        <f>_xlfn.CONCAT(H728,I728,J728)</f>
        <v>DPRUFV</v>
      </c>
    </row>
    <row r="729" spans="2:17">
      <c r="B729" s="1" t="s">
        <v>700</v>
      </c>
      <c r="C729" s="1" t="s">
        <v>263</v>
      </c>
      <c r="D729" s="52">
        <v>46038.284722222219</v>
      </c>
      <c r="E729" s="52">
        <v>46038.284722222219</v>
      </c>
      <c r="F729" s="52">
        <v>46038.390972222223</v>
      </c>
      <c r="G729" s="53">
        <f>F729-E729</f>
        <v>0.10625000000436557</v>
      </c>
      <c r="H729" s="1" t="s">
        <v>268</v>
      </c>
      <c r="I729" s="1" t="s">
        <v>269</v>
      </c>
      <c r="J729" s="1" t="s">
        <v>319</v>
      </c>
      <c r="K729" s="1" t="s">
        <v>652</v>
      </c>
      <c r="L729" s="1" t="s">
        <v>1996</v>
      </c>
      <c r="M729" s="1" t="s">
        <v>289</v>
      </c>
      <c r="N729" s="1" t="s">
        <v>253</v>
      </c>
      <c r="O729" s="1" t="s">
        <v>753</v>
      </c>
      <c r="P729" s="1" t="str">
        <f>_xlfn.CONCAT(B729,C729,D729,E729,F729)</f>
        <v>BC Turvania1.2Inverter(MBUS-14)46038,284722222246038,284722222246038,3909722222</v>
      </c>
      <c r="Q729" s="1" t="str">
        <f>_xlfn.CONCAT(H729,I729,J729)</f>
        <v>LIGRFOCOM</v>
      </c>
    </row>
    <row r="730" spans="2:17">
      <c r="B730" s="1" t="s">
        <v>700</v>
      </c>
      <c r="C730" s="1" t="s">
        <v>264</v>
      </c>
      <c r="D730" s="52">
        <v>46038.284722222219</v>
      </c>
      <c r="E730" s="52">
        <v>46038.284722222219</v>
      </c>
      <c r="F730" s="52">
        <v>46038.390972222223</v>
      </c>
      <c r="G730" s="53">
        <f>F730-E730</f>
        <v>0.10625000000436557</v>
      </c>
      <c r="H730" s="1" t="s">
        <v>268</v>
      </c>
      <c r="I730" s="1" t="s">
        <v>269</v>
      </c>
      <c r="J730" s="1" t="s">
        <v>319</v>
      </c>
      <c r="K730" s="1" t="s">
        <v>652</v>
      </c>
      <c r="L730" s="1" t="s">
        <v>1996</v>
      </c>
      <c r="M730" s="1" t="s">
        <v>289</v>
      </c>
      <c r="N730" s="1" t="s">
        <v>253</v>
      </c>
      <c r="O730" s="1" t="s">
        <v>753</v>
      </c>
      <c r="P730" s="1" t="str">
        <f>_xlfn.CONCAT(B730,C730,D730,E730,F730)</f>
        <v>BC Turvania1.2Inverter(MBUS-13)46038,284722222246038,284722222246038,3909722222</v>
      </c>
      <c r="Q730" s="1" t="str">
        <f>_xlfn.CONCAT(H730,I730,J730)</f>
        <v>LIGRFOCOM</v>
      </c>
    </row>
    <row r="731" spans="2:17">
      <c r="B731" s="1" t="s">
        <v>700</v>
      </c>
      <c r="C731" s="1" t="s">
        <v>256</v>
      </c>
      <c r="D731" s="52">
        <v>46038.284722222219</v>
      </c>
      <c r="E731" s="52">
        <v>46038.284722222219</v>
      </c>
      <c r="F731" s="52">
        <v>46038.390972222223</v>
      </c>
      <c r="G731" s="53">
        <f>F731-E731</f>
        <v>0.10625000000436557</v>
      </c>
      <c r="H731" s="1" t="s">
        <v>268</v>
      </c>
      <c r="I731" s="1" t="s">
        <v>269</v>
      </c>
      <c r="J731" s="1" t="s">
        <v>319</v>
      </c>
      <c r="K731" s="1" t="s">
        <v>652</v>
      </c>
      <c r="L731" s="1" t="s">
        <v>1996</v>
      </c>
      <c r="M731" s="1" t="s">
        <v>289</v>
      </c>
      <c r="N731" s="1" t="s">
        <v>253</v>
      </c>
      <c r="O731" s="1" t="s">
        <v>753</v>
      </c>
      <c r="P731" s="1" t="str">
        <f>_xlfn.CONCAT(B731,C731,D731,E731,F731)</f>
        <v>BC Turvania1.2Inverter(MBUS-12)46038,284722222246038,284722222246038,3909722222</v>
      </c>
      <c r="Q731" s="1" t="str">
        <f>_xlfn.CONCAT(H731,I731,J731)</f>
        <v>LIGRFOCOM</v>
      </c>
    </row>
    <row r="732" spans="2:17">
      <c r="B732" s="1" t="s">
        <v>700</v>
      </c>
      <c r="C732" s="1" t="s">
        <v>307</v>
      </c>
      <c r="D732" s="52">
        <v>46038.284722222219</v>
      </c>
      <c r="E732" s="52">
        <v>46038.284722222219</v>
      </c>
      <c r="F732" s="52">
        <v>46038.390972222223</v>
      </c>
      <c r="G732" s="53">
        <f>F732-E732</f>
        <v>0.10625000000436557</v>
      </c>
      <c r="H732" s="1" t="s">
        <v>268</v>
      </c>
      <c r="I732" s="1" t="s">
        <v>269</v>
      </c>
      <c r="J732" s="1" t="s">
        <v>319</v>
      </c>
      <c r="K732" s="1" t="s">
        <v>652</v>
      </c>
      <c r="L732" s="1" t="s">
        <v>1996</v>
      </c>
      <c r="M732" s="1" t="s">
        <v>289</v>
      </c>
      <c r="N732" s="1" t="s">
        <v>253</v>
      </c>
      <c r="O732" s="1" t="s">
        <v>753</v>
      </c>
      <c r="P732" s="1" t="str">
        <f>_xlfn.CONCAT(B732,C732,D732,E732,F732)</f>
        <v>BC Turvania1.2Inverter(MBUS-15)46038,284722222246038,284722222246038,3909722222</v>
      </c>
      <c r="Q732" s="1" t="str">
        <f>_xlfn.CONCAT(H732,I732,J732)</f>
        <v>LIGRFOCOM</v>
      </c>
    </row>
    <row r="733" spans="2:17">
      <c r="B733" s="1" t="s">
        <v>358</v>
      </c>
      <c r="C733" s="1" t="s">
        <v>359</v>
      </c>
      <c r="D733" s="52">
        <v>46038.405601851853</v>
      </c>
      <c r="E733" s="52">
        <v>46038.405601851853</v>
      </c>
      <c r="F733" s="52">
        <v>46041.440162037034</v>
      </c>
      <c r="G733" s="53">
        <f>F733-E733</f>
        <v>3.0345601851804531</v>
      </c>
      <c r="H733" s="1" t="s">
        <v>268</v>
      </c>
      <c r="I733" s="1" t="s">
        <v>269</v>
      </c>
      <c r="J733" s="1" t="s">
        <v>319</v>
      </c>
      <c r="K733" s="1" t="s">
        <v>652</v>
      </c>
      <c r="L733" s="72" t="s">
        <v>1999</v>
      </c>
      <c r="M733" s="1" t="s">
        <v>289</v>
      </c>
      <c r="N733" s="1" t="s">
        <v>253</v>
      </c>
      <c r="O733" s="1" t="s">
        <v>792</v>
      </c>
    </row>
    <row r="734" spans="2:17">
      <c r="B734" s="1" t="s">
        <v>358</v>
      </c>
      <c r="C734" s="1" t="s">
        <v>551</v>
      </c>
      <c r="D734" s="52">
        <v>46038.405601851853</v>
      </c>
      <c r="E734" s="52">
        <v>46038.405601851853</v>
      </c>
      <c r="F734" s="52">
        <v>46041.440162037034</v>
      </c>
      <c r="G734" s="53">
        <f>F734-E734</f>
        <v>3.0345601851804531</v>
      </c>
      <c r="H734" s="1" t="s">
        <v>268</v>
      </c>
      <c r="I734" s="1" t="s">
        <v>269</v>
      </c>
      <c r="J734" s="1" t="s">
        <v>319</v>
      </c>
      <c r="K734" s="1" t="s">
        <v>652</v>
      </c>
      <c r="L734" s="72" t="s">
        <v>1999</v>
      </c>
      <c r="M734" s="1" t="s">
        <v>289</v>
      </c>
      <c r="N734" s="1" t="s">
        <v>253</v>
      </c>
      <c r="O734" s="1" t="s">
        <v>792</v>
      </c>
    </row>
    <row r="735" spans="2:17">
      <c r="B735" s="1" t="s">
        <v>358</v>
      </c>
      <c r="C735" s="1" t="s">
        <v>552</v>
      </c>
      <c r="D735" s="52">
        <v>46038.405601851853</v>
      </c>
      <c r="E735" s="52">
        <v>46038.405601851853</v>
      </c>
      <c r="F735" s="52">
        <v>46041.440162037034</v>
      </c>
      <c r="G735" s="53">
        <f>F735-E735</f>
        <v>3.0345601851804531</v>
      </c>
      <c r="H735" s="1" t="s">
        <v>268</v>
      </c>
      <c r="I735" s="1" t="s">
        <v>269</v>
      </c>
      <c r="J735" s="1" t="s">
        <v>319</v>
      </c>
      <c r="K735" s="1" t="s">
        <v>652</v>
      </c>
      <c r="L735" s="72" t="s">
        <v>1999</v>
      </c>
      <c r="M735" s="1" t="s">
        <v>289</v>
      </c>
      <c r="N735" s="1" t="s">
        <v>253</v>
      </c>
      <c r="O735" s="1" t="s">
        <v>792</v>
      </c>
    </row>
    <row r="736" spans="2:17">
      <c r="B736" s="1" t="s">
        <v>358</v>
      </c>
      <c r="C736" s="1" t="s">
        <v>553</v>
      </c>
      <c r="D736" s="52">
        <v>46038.405601851853</v>
      </c>
      <c r="E736" s="52">
        <v>46038.405601851853</v>
      </c>
      <c r="F736" s="52">
        <v>46041.440162037034</v>
      </c>
      <c r="G736" s="53">
        <f>F736-E736</f>
        <v>3.0345601851804531</v>
      </c>
      <c r="H736" s="1" t="s">
        <v>268</v>
      </c>
      <c r="I736" s="1" t="s">
        <v>269</v>
      </c>
      <c r="J736" s="1" t="s">
        <v>319</v>
      </c>
      <c r="K736" s="1" t="s">
        <v>652</v>
      </c>
      <c r="L736" s="72" t="s">
        <v>1999</v>
      </c>
      <c r="M736" s="1" t="s">
        <v>289</v>
      </c>
      <c r="N736" s="1" t="s">
        <v>253</v>
      </c>
      <c r="O736" s="1" t="s">
        <v>792</v>
      </c>
    </row>
    <row r="737" spans="2:17">
      <c r="B737" s="1" t="s">
        <v>358</v>
      </c>
      <c r="C737" s="1" t="s">
        <v>554</v>
      </c>
      <c r="D737" s="52">
        <v>46038.405601851853</v>
      </c>
      <c r="E737" s="52">
        <v>46038.405601851853</v>
      </c>
      <c r="F737" s="52">
        <v>46041.440162037034</v>
      </c>
      <c r="G737" s="53">
        <f>F737-E737</f>
        <v>3.0345601851804531</v>
      </c>
      <c r="H737" s="1" t="s">
        <v>268</v>
      </c>
      <c r="I737" s="1" t="s">
        <v>269</v>
      </c>
      <c r="J737" s="1" t="s">
        <v>319</v>
      </c>
      <c r="K737" s="1" t="s">
        <v>652</v>
      </c>
      <c r="L737" s="72" t="s">
        <v>1999</v>
      </c>
      <c r="M737" s="1" t="s">
        <v>289</v>
      </c>
      <c r="N737" s="1" t="s">
        <v>253</v>
      </c>
      <c r="O737" s="1" t="s">
        <v>792</v>
      </c>
    </row>
    <row r="738" spans="2:17">
      <c r="B738" s="1" t="s">
        <v>358</v>
      </c>
      <c r="C738" s="1" t="s">
        <v>555</v>
      </c>
      <c r="D738" s="52">
        <v>46038.405601851853</v>
      </c>
      <c r="E738" s="52">
        <v>46038.405601851853</v>
      </c>
      <c r="F738" s="52">
        <v>46041.440162037034</v>
      </c>
      <c r="G738" s="53">
        <f>F738-E738</f>
        <v>3.0345601851804531</v>
      </c>
      <c r="H738" s="1" t="s">
        <v>268</v>
      </c>
      <c r="I738" s="1" t="s">
        <v>269</v>
      </c>
      <c r="J738" s="1" t="s">
        <v>319</v>
      </c>
      <c r="K738" s="1" t="s">
        <v>652</v>
      </c>
      <c r="L738" s="72" t="s">
        <v>1999</v>
      </c>
      <c r="M738" s="1" t="s">
        <v>289</v>
      </c>
      <c r="N738" s="1" t="s">
        <v>253</v>
      </c>
      <c r="O738" s="1" t="s">
        <v>792</v>
      </c>
    </row>
    <row r="739" spans="2:17">
      <c r="B739" s="1" t="s">
        <v>358</v>
      </c>
      <c r="C739" s="1" t="s">
        <v>556</v>
      </c>
      <c r="D739" s="52">
        <v>46038.405601851853</v>
      </c>
      <c r="E739" s="52">
        <v>46038.405601851853</v>
      </c>
      <c r="F739" s="52">
        <v>46041.440162037034</v>
      </c>
      <c r="G739" s="53">
        <f>F739-E739</f>
        <v>3.0345601851804531</v>
      </c>
      <c r="H739" s="1" t="s">
        <v>268</v>
      </c>
      <c r="I739" s="1" t="s">
        <v>269</v>
      </c>
      <c r="J739" s="1" t="s">
        <v>319</v>
      </c>
      <c r="K739" s="1" t="s">
        <v>652</v>
      </c>
      <c r="L739" s="72" t="s">
        <v>1999</v>
      </c>
      <c r="M739" s="1" t="s">
        <v>289</v>
      </c>
      <c r="N739" s="1" t="s">
        <v>253</v>
      </c>
      <c r="O739" s="1" t="s">
        <v>792</v>
      </c>
    </row>
    <row r="740" spans="2:17">
      <c r="B740" s="1" t="s">
        <v>358</v>
      </c>
      <c r="C740" s="1" t="s">
        <v>557</v>
      </c>
      <c r="D740" s="52">
        <v>46038.405601851853</v>
      </c>
      <c r="E740" s="52">
        <v>46038.405601851853</v>
      </c>
      <c r="F740" s="52">
        <v>46041.440162037034</v>
      </c>
      <c r="G740" s="53">
        <f>F740-E740</f>
        <v>3.0345601851804531</v>
      </c>
      <c r="H740" s="1" t="s">
        <v>268</v>
      </c>
      <c r="I740" s="1" t="s">
        <v>269</v>
      </c>
      <c r="J740" s="1" t="s">
        <v>319</v>
      </c>
      <c r="K740" s="1" t="s">
        <v>652</v>
      </c>
      <c r="L740" s="72" t="s">
        <v>1999</v>
      </c>
      <c r="M740" s="1" t="s">
        <v>289</v>
      </c>
      <c r="N740" s="1" t="s">
        <v>253</v>
      </c>
      <c r="O740" s="1" t="s">
        <v>792</v>
      </c>
    </row>
    <row r="741" spans="2:17">
      <c r="B741" s="1" t="s">
        <v>358</v>
      </c>
      <c r="C741" s="1" t="s">
        <v>558</v>
      </c>
      <c r="D741" s="52">
        <v>46038.405601851853</v>
      </c>
      <c r="E741" s="52">
        <v>46038.405601851853</v>
      </c>
      <c r="F741" s="52">
        <v>46041.440162037034</v>
      </c>
      <c r="G741" s="53">
        <f>F741-E741</f>
        <v>3.0345601851804531</v>
      </c>
      <c r="H741" s="1" t="s">
        <v>268</v>
      </c>
      <c r="I741" s="1" t="s">
        <v>269</v>
      </c>
      <c r="J741" s="1" t="s">
        <v>319</v>
      </c>
      <c r="K741" s="1" t="s">
        <v>652</v>
      </c>
      <c r="L741" s="72" t="s">
        <v>1999</v>
      </c>
      <c r="M741" s="1" t="s">
        <v>289</v>
      </c>
      <c r="N741" s="1" t="s">
        <v>253</v>
      </c>
      <c r="O741" s="1" t="s">
        <v>792</v>
      </c>
    </row>
    <row r="742" spans="2:17">
      <c r="B742" s="1" t="s">
        <v>358</v>
      </c>
      <c r="C742" s="1" t="s">
        <v>559</v>
      </c>
      <c r="D742" s="52">
        <v>46038.405601851853</v>
      </c>
      <c r="E742" s="52">
        <v>46038.405601851853</v>
      </c>
      <c r="F742" s="52">
        <v>46041.440162037034</v>
      </c>
      <c r="G742" s="53">
        <f>F742-E742</f>
        <v>3.0345601851804531</v>
      </c>
      <c r="H742" s="1" t="s">
        <v>268</v>
      </c>
      <c r="I742" s="1" t="s">
        <v>269</v>
      </c>
      <c r="J742" s="1" t="s">
        <v>319</v>
      </c>
      <c r="K742" s="1" t="s">
        <v>652</v>
      </c>
      <c r="L742" s="72" t="s">
        <v>1999</v>
      </c>
      <c r="M742" s="1" t="s">
        <v>289</v>
      </c>
      <c r="N742" s="1" t="s">
        <v>253</v>
      </c>
      <c r="O742" s="1" t="s">
        <v>792</v>
      </c>
    </row>
    <row r="743" spans="2:17">
      <c r="B743" s="1" t="s">
        <v>358</v>
      </c>
      <c r="C743" s="1" t="s">
        <v>560</v>
      </c>
      <c r="D743" s="52">
        <v>46038.405601851853</v>
      </c>
      <c r="E743" s="52">
        <v>46038.405601851853</v>
      </c>
      <c r="F743" s="52">
        <v>46041.440162037034</v>
      </c>
      <c r="G743" s="53">
        <f>F743-E743</f>
        <v>3.0345601851804531</v>
      </c>
      <c r="H743" s="1" t="s">
        <v>268</v>
      </c>
      <c r="I743" s="1" t="s">
        <v>269</v>
      </c>
      <c r="J743" s="1" t="s">
        <v>319</v>
      </c>
      <c r="K743" s="1" t="s">
        <v>652</v>
      </c>
      <c r="L743" s="72" t="s">
        <v>1999</v>
      </c>
      <c r="M743" s="1" t="s">
        <v>289</v>
      </c>
      <c r="N743" s="1" t="s">
        <v>253</v>
      </c>
      <c r="O743" s="1" t="s">
        <v>792</v>
      </c>
    </row>
    <row r="744" spans="2:17">
      <c r="B744" s="1" t="s">
        <v>358</v>
      </c>
      <c r="C744" s="1" t="s">
        <v>561</v>
      </c>
      <c r="D744" s="52">
        <v>46038.405601851853</v>
      </c>
      <c r="E744" s="52">
        <v>46038.405601851853</v>
      </c>
      <c r="F744" s="52">
        <v>46041.440162037034</v>
      </c>
      <c r="G744" s="53">
        <f>F744-E744</f>
        <v>3.0345601851804531</v>
      </c>
      <c r="H744" s="1" t="s">
        <v>268</v>
      </c>
      <c r="I744" s="1" t="s">
        <v>269</v>
      </c>
      <c r="J744" s="1" t="s">
        <v>319</v>
      </c>
      <c r="K744" s="1" t="s">
        <v>652</v>
      </c>
      <c r="L744" s="72" t="s">
        <v>1999</v>
      </c>
      <c r="M744" s="1" t="s">
        <v>289</v>
      </c>
      <c r="N744" s="1" t="s">
        <v>253</v>
      </c>
      <c r="O744" s="1" t="s">
        <v>792</v>
      </c>
    </row>
    <row r="745" spans="2:17">
      <c r="B745" s="1" t="s">
        <v>358</v>
      </c>
      <c r="C745" s="1" t="s">
        <v>562</v>
      </c>
      <c r="D745" s="52">
        <v>46038.405601851853</v>
      </c>
      <c r="E745" s="52">
        <v>46038.405601851853</v>
      </c>
      <c r="F745" s="52">
        <v>46041.440162037034</v>
      </c>
      <c r="G745" s="53">
        <f>F745-E745</f>
        <v>3.0345601851804531</v>
      </c>
      <c r="H745" s="1" t="s">
        <v>268</v>
      </c>
      <c r="I745" s="1" t="s">
        <v>269</v>
      </c>
      <c r="J745" s="1" t="s">
        <v>319</v>
      </c>
      <c r="K745" s="1" t="s">
        <v>652</v>
      </c>
      <c r="L745" s="72" t="s">
        <v>1999</v>
      </c>
      <c r="M745" s="1" t="s">
        <v>289</v>
      </c>
      <c r="N745" s="1" t="s">
        <v>253</v>
      </c>
      <c r="O745" s="1" t="s">
        <v>792</v>
      </c>
    </row>
    <row r="746" spans="2:17">
      <c r="B746" s="1" t="s">
        <v>358</v>
      </c>
      <c r="C746" s="1" t="s">
        <v>563</v>
      </c>
      <c r="D746" s="52">
        <v>46038.405601851853</v>
      </c>
      <c r="E746" s="52">
        <v>46038.405601851853</v>
      </c>
      <c r="F746" s="52">
        <v>46041.440162037034</v>
      </c>
      <c r="G746" s="53">
        <f>F746-E746</f>
        <v>3.0345601851804531</v>
      </c>
      <c r="H746" s="1" t="s">
        <v>268</v>
      </c>
      <c r="I746" s="1" t="s">
        <v>269</v>
      </c>
      <c r="J746" s="1" t="s">
        <v>319</v>
      </c>
      <c r="K746" s="1" t="s">
        <v>652</v>
      </c>
      <c r="L746" s="72" t="s">
        <v>1999</v>
      </c>
      <c r="M746" s="1" t="s">
        <v>289</v>
      </c>
      <c r="N746" s="1" t="s">
        <v>253</v>
      </c>
      <c r="O746" s="1" t="s">
        <v>792</v>
      </c>
    </row>
    <row r="747" spans="2:17">
      <c r="B747" s="1" t="s">
        <v>358</v>
      </c>
      <c r="C747" s="1" t="s">
        <v>564</v>
      </c>
      <c r="D747" s="52">
        <v>46038.405601851853</v>
      </c>
      <c r="E747" s="52">
        <v>46038.405601851853</v>
      </c>
      <c r="F747" s="52">
        <v>46041.440162037034</v>
      </c>
      <c r="G747" s="53">
        <f>F747-E747</f>
        <v>3.0345601851804531</v>
      </c>
      <c r="H747" s="1" t="s">
        <v>268</v>
      </c>
      <c r="I747" s="1" t="s">
        <v>269</v>
      </c>
      <c r="J747" s="1" t="s">
        <v>319</v>
      </c>
      <c r="K747" s="1" t="s">
        <v>652</v>
      </c>
      <c r="L747" s="72" t="s">
        <v>1999</v>
      </c>
      <c r="M747" s="1" t="s">
        <v>289</v>
      </c>
      <c r="N747" s="1" t="s">
        <v>253</v>
      </c>
      <c r="O747" s="1" t="s">
        <v>792</v>
      </c>
    </row>
    <row r="748" spans="2:17">
      <c r="B748" s="1" t="s">
        <v>358</v>
      </c>
      <c r="C748" s="1" t="s">
        <v>565</v>
      </c>
      <c r="D748" s="52">
        <v>46038.405601851853</v>
      </c>
      <c r="E748" s="52">
        <v>46038.405601851853</v>
      </c>
      <c r="F748" s="52">
        <v>46041.440162037034</v>
      </c>
      <c r="G748" s="53">
        <f>F748-E748</f>
        <v>3.0345601851804531</v>
      </c>
      <c r="H748" s="1" t="s">
        <v>268</v>
      </c>
      <c r="I748" s="1" t="s">
        <v>269</v>
      </c>
      <c r="J748" s="1" t="s">
        <v>319</v>
      </c>
      <c r="K748" s="1" t="s">
        <v>652</v>
      </c>
      <c r="L748" s="72" t="s">
        <v>1999</v>
      </c>
      <c r="M748" s="1" t="s">
        <v>289</v>
      </c>
      <c r="N748" s="1" t="s">
        <v>253</v>
      </c>
      <c r="O748" s="1" t="s">
        <v>792</v>
      </c>
    </row>
    <row r="749" spans="2:17">
      <c r="B749" s="1" t="s">
        <v>358</v>
      </c>
      <c r="C749" s="1" t="s">
        <v>566</v>
      </c>
      <c r="D749" s="52">
        <v>46038.405601851853</v>
      </c>
      <c r="E749" s="52">
        <v>46038.405601851853</v>
      </c>
      <c r="F749" s="52">
        <v>46041.440162037034</v>
      </c>
      <c r="G749" s="53">
        <f>F749-E749</f>
        <v>3.0345601851804531</v>
      </c>
      <c r="H749" s="1" t="s">
        <v>268</v>
      </c>
      <c r="I749" s="1" t="s">
        <v>269</v>
      </c>
      <c r="J749" s="1" t="s">
        <v>319</v>
      </c>
      <c r="K749" s="1" t="s">
        <v>652</v>
      </c>
      <c r="L749" s="72" t="s">
        <v>1999</v>
      </c>
      <c r="M749" s="1" t="s">
        <v>289</v>
      </c>
      <c r="N749" s="1" t="s">
        <v>253</v>
      </c>
      <c r="O749" s="1" t="s">
        <v>792</v>
      </c>
    </row>
    <row r="750" spans="2:17">
      <c r="B750" s="1" t="s">
        <v>358</v>
      </c>
      <c r="C750" s="1" t="s">
        <v>567</v>
      </c>
      <c r="D750" s="52">
        <v>46038.405601851853</v>
      </c>
      <c r="E750" s="52">
        <v>46038.405601851853</v>
      </c>
      <c r="F750" s="52">
        <v>46041.440162037034</v>
      </c>
      <c r="G750" s="53">
        <f>F750-E750</f>
        <v>3.0345601851804531</v>
      </c>
      <c r="H750" s="1" t="s">
        <v>268</v>
      </c>
      <c r="I750" s="1" t="s">
        <v>269</v>
      </c>
      <c r="J750" s="1" t="s">
        <v>319</v>
      </c>
      <c r="K750" s="1" t="s">
        <v>652</v>
      </c>
      <c r="L750" s="72" t="s">
        <v>1999</v>
      </c>
      <c r="M750" s="1" t="s">
        <v>289</v>
      </c>
      <c r="N750" s="1" t="s">
        <v>253</v>
      </c>
      <c r="O750" s="1" t="s">
        <v>792</v>
      </c>
    </row>
    <row r="751" spans="2:17">
      <c r="B751" s="1" t="s">
        <v>368</v>
      </c>
      <c r="C751" s="1" t="s">
        <v>264</v>
      </c>
      <c r="D751" s="52">
        <v>46038.463888888888</v>
      </c>
      <c r="E751" s="52">
        <v>46038.463888888888</v>
      </c>
      <c r="F751" s="52">
        <v>46038.513194444444</v>
      </c>
      <c r="G751" s="53">
        <f>F751-E751</f>
        <v>4.9305555556202307E-2</v>
      </c>
      <c r="H751" s="1" t="s">
        <v>677</v>
      </c>
      <c r="J751" s="1" t="s">
        <v>230</v>
      </c>
      <c r="K751" s="1" t="s">
        <v>230</v>
      </c>
      <c r="L751" s="1" t="s">
        <v>2000</v>
      </c>
      <c r="M751" s="1" t="s">
        <v>663</v>
      </c>
      <c r="N751" s="1" t="s">
        <v>788</v>
      </c>
      <c r="O751" s="1" t="s">
        <v>789</v>
      </c>
      <c r="P751" s="1" t="str">
        <f>_xlfn.CONCAT(B751,C751,D751,E751,F751)</f>
        <v>BC Ibiuna 1.1Inverter(MBUS-13)46038,463888888946038,463888888946038,5131944444</v>
      </c>
      <c r="Q751" s="1" t="str">
        <f>_xlfn.CONCAT(H751,I751,J751)</f>
        <v>DPRUFV</v>
      </c>
    </row>
    <row r="752" spans="2:17">
      <c r="B752" s="1" t="s">
        <v>368</v>
      </c>
      <c r="C752" s="1" t="s">
        <v>263</v>
      </c>
      <c r="D752" s="52">
        <v>46038.463888888888</v>
      </c>
      <c r="E752" s="52">
        <v>46038.463888888888</v>
      </c>
      <c r="F752" s="52">
        <v>46038.513194444444</v>
      </c>
      <c r="G752" s="53">
        <f>F752-E752</f>
        <v>4.9305555556202307E-2</v>
      </c>
      <c r="H752" s="1" t="s">
        <v>677</v>
      </c>
      <c r="J752" s="1" t="s">
        <v>230</v>
      </c>
      <c r="K752" s="1" t="s">
        <v>230</v>
      </c>
      <c r="L752" s="1" t="s">
        <v>2000</v>
      </c>
      <c r="M752" s="1" t="s">
        <v>663</v>
      </c>
      <c r="N752" s="1" t="s">
        <v>788</v>
      </c>
      <c r="O752" s="1" t="s">
        <v>789</v>
      </c>
      <c r="P752" s="1" t="str">
        <f>_xlfn.CONCAT(B752,C752,D752,E752,F752)</f>
        <v>BC Ibiuna 1.1Inverter(MBUS-14)46038,463888888946038,463888888946038,5131944444</v>
      </c>
      <c r="Q752" s="1" t="str">
        <f>_xlfn.CONCAT(H752,I752,J752)</f>
        <v>DPRUFV</v>
      </c>
    </row>
    <row r="753" spans="2:17">
      <c r="B753" s="1" t="s">
        <v>368</v>
      </c>
      <c r="C753" s="1" t="s">
        <v>307</v>
      </c>
      <c r="D753" s="52">
        <v>46038.463888888888</v>
      </c>
      <c r="E753" s="52">
        <v>46038.463888888888</v>
      </c>
      <c r="F753" s="52">
        <v>46038.513194444444</v>
      </c>
      <c r="G753" s="53">
        <f>F753-E753</f>
        <v>4.9305555556202307E-2</v>
      </c>
      <c r="H753" s="1" t="s">
        <v>677</v>
      </c>
      <c r="J753" s="1" t="s">
        <v>230</v>
      </c>
      <c r="K753" s="1" t="s">
        <v>230</v>
      </c>
      <c r="L753" s="1" t="s">
        <v>2000</v>
      </c>
      <c r="M753" s="1" t="s">
        <v>663</v>
      </c>
      <c r="N753" s="1" t="s">
        <v>788</v>
      </c>
      <c r="O753" s="1" t="s">
        <v>789</v>
      </c>
      <c r="P753" s="1" t="str">
        <f>_xlfn.CONCAT(B753,C753,D753,E753,F753)</f>
        <v>BC Ibiuna 1.1Inverter(MBUS-15)46038,463888888946038,463888888946038,5131944444</v>
      </c>
      <c r="Q753" s="1" t="str">
        <f>_xlfn.CONCAT(H753,I753,J753)</f>
        <v>DPRUFV</v>
      </c>
    </row>
    <row r="754" spans="2:17">
      <c r="B754" s="1" t="s">
        <v>370</v>
      </c>
      <c r="C754" s="1" t="s">
        <v>256</v>
      </c>
      <c r="D754" s="52">
        <v>46038.463888888888</v>
      </c>
      <c r="E754" s="52">
        <v>46038.463888888888</v>
      </c>
      <c r="F754" s="52">
        <v>46038.513194444444</v>
      </c>
      <c r="G754" s="53">
        <f>F754-E754</f>
        <v>4.9305555556202307E-2</v>
      </c>
      <c r="H754" s="1" t="s">
        <v>677</v>
      </c>
      <c r="J754" s="1" t="s">
        <v>230</v>
      </c>
      <c r="K754" s="1" t="s">
        <v>230</v>
      </c>
      <c r="L754" s="1" t="s">
        <v>2000</v>
      </c>
      <c r="M754" s="1" t="s">
        <v>663</v>
      </c>
      <c r="N754" s="1" t="s">
        <v>788</v>
      </c>
      <c r="O754" s="1" t="s">
        <v>789</v>
      </c>
      <c r="P754" s="1" t="str">
        <f>_xlfn.CONCAT(B754,C754,D754,E754,F754)</f>
        <v>BC Ibiuna 1.2Inverter(MBUS-12)46038,463888888946038,463888888946038,5131944444</v>
      </c>
      <c r="Q754" s="1" t="str">
        <f>_xlfn.CONCAT(H754,I754,J754)</f>
        <v>DPRUFV</v>
      </c>
    </row>
    <row r="755" spans="2:17">
      <c r="B755" s="1" t="s">
        <v>370</v>
      </c>
      <c r="C755" s="1" t="s">
        <v>264</v>
      </c>
      <c r="D755" s="52">
        <v>46038.463888888888</v>
      </c>
      <c r="E755" s="52">
        <v>46038.463888888888</v>
      </c>
      <c r="F755" s="52">
        <v>46038.513194444444</v>
      </c>
      <c r="G755" s="53">
        <f>F755-E755</f>
        <v>4.9305555556202307E-2</v>
      </c>
      <c r="H755" s="1" t="s">
        <v>677</v>
      </c>
      <c r="J755" s="1" t="s">
        <v>230</v>
      </c>
      <c r="K755" s="1" t="s">
        <v>230</v>
      </c>
      <c r="L755" s="1" t="s">
        <v>2000</v>
      </c>
      <c r="M755" s="1" t="s">
        <v>663</v>
      </c>
      <c r="N755" s="1" t="s">
        <v>788</v>
      </c>
      <c r="O755" s="1" t="s">
        <v>789</v>
      </c>
      <c r="P755" s="1" t="str">
        <f>_xlfn.CONCAT(B755,C755,D755,E755,F755)</f>
        <v>BC Ibiuna 1.2Inverter(MBUS-13)46038,463888888946038,463888888946038,5131944444</v>
      </c>
      <c r="Q755" s="1" t="str">
        <f>_xlfn.CONCAT(H755,I755,J755)</f>
        <v>DPRUFV</v>
      </c>
    </row>
    <row r="756" spans="2:17">
      <c r="B756" s="1" t="s">
        <v>370</v>
      </c>
      <c r="C756" s="1" t="s">
        <v>263</v>
      </c>
      <c r="D756" s="52">
        <v>46038.463888888888</v>
      </c>
      <c r="E756" s="52">
        <v>46038.463888888888</v>
      </c>
      <c r="F756" s="52">
        <v>46038.513194444444</v>
      </c>
      <c r="G756" s="53">
        <f>F756-E756</f>
        <v>4.9305555556202307E-2</v>
      </c>
      <c r="H756" s="1" t="s">
        <v>677</v>
      </c>
      <c r="J756" s="1" t="s">
        <v>230</v>
      </c>
      <c r="K756" s="1" t="s">
        <v>230</v>
      </c>
      <c r="L756" s="1" t="s">
        <v>2000</v>
      </c>
      <c r="M756" s="1" t="s">
        <v>663</v>
      </c>
      <c r="N756" s="1" t="s">
        <v>788</v>
      </c>
      <c r="O756" s="1" t="s">
        <v>789</v>
      </c>
      <c r="P756" s="1" t="str">
        <f>_xlfn.CONCAT(B756,C756,D756,E756,F756)</f>
        <v>BC Ibiuna 1.2Inverter(MBUS-14)46038,463888888946038,463888888946038,5131944444</v>
      </c>
      <c r="Q756" s="1" t="str">
        <f>_xlfn.CONCAT(H756,I756,J756)</f>
        <v>DPRUFV</v>
      </c>
    </row>
    <row r="757" spans="2:17">
      <c r="B757" s="1" t="s">
        <v>370</v>
      </c>
      <c r="C757" s="1" t="s">
        <v>307</v>
      </c>
      <c r="D757" s="52">
        <v>46038.463888888888</v>
      </c>
      <c r="E757" s="52">
        <v>46038.463888888888</v>
      </c>
      <c r="F757" s="52">
        <v>46038.513194444444</v>
      </c>
      <c r="G757" s="53">
        <f>F757-E757</f>
        <v>4.9305555556202307E-2</v>
      </c>
      <c r="H757" s="1" t="s">
        <v>677</v>
      </c>
      <c r="J757" s="1" t="s">
        <v>230</v>
      </c>
      <c r="K757" s="1" t="s">
        <v>230</v>
      </c>
      <c r="L757" s="1" t="s">
        <v>2000</v>
      </c>
      <c r="M757" s="1" t="s">
        <v>663</v>
      </c>
      <c r="N757" s="1" t="s">
        <v>788</v>
      </c>
      <c r="O757" s="1" t="s">
        <v>789</v>
      </c>
      <c r="P757" s="1" t="str">
        <f>_xlfn.CONCAT(B757,C757,D757,E757,F757)</f>
        <v>BC Ibiuna 1.2Inverter(MBUS-15)46038,463888888946038,463888888946038,5131944444</v>
      </c>
      <c r="Q757" s="1" t="str">
        <f>_xlfn.CONCAT(H757,I757,J757)</f>
        <v>DPRUFV</v>
      </c>
    </row>
    <row r="758" spans="2:17">
      <c r="B758" s="1" t="s">
        <v>736</v>
      </c>
      <c r="C758" s="1" t="s">
        <v>337</v>
      </c>
      <c r="D758" s="52">
        <v>46038.503472222219</v>
      </c>
      <c r="E758" s="52">
        <v>46038.503472222219</v>
      </c>
      <c r="F758" s="52">
        <v>46038.545138888891</v>
      </c>
      <c r="G758" s="53">
        <f>F758-E758</f>
        <v>4.1666666671517305E-2</v>
      </c>
      <c r="H758" s="1" t="s">
        <v>257</v>
      </c>
      <c r="J758" s="1" t="s">
        <v>371</v>
      </c>
      <c r="K758" s="1" t="s">
        <v>653</v>
      </c>
      <c r="L758" s="1" t="s">
        <v>2001</v>
      </c>
      <c r="M758" s="1" t="s">
        <v>252</v>
      </c>
      <c r="N758" s="1" t="s">
        <v>253</v>
      </c>
      <c r="O758" s="1" t="s">
        <v>794</v>
      </c>
      <c r="P758" s="1" t="str">
        <f>_xlfn.CONCAT(B758,C758,D758,E758,F758)</f>
        <v>BC Varjao1.2215KTL-H0(MBUS-15)46038,503472222246038,503472222246038,5451388889</v>
      </c>
      <c r="Q758" s="1" t="str">
        <f>_xlfn.CONCAT(H758,I758,J758)</f>
        <v>DAUINV</v>
      </c>
    </row>
    <row r="759" spans="2:17">
      <c r="B759" s="1" t="s">
        <v>736</v>
      </c>
      <c r="C759" s="1" t="s">
        <v>335</v>
      </c>
      <c r="D759" s="52">
        <v>46038.503472222219</v>
      </c>
      <c r="E759" s="52">
        <v>46038.503472222219</v>
      </c>
      <c r="F759" s="52">
        <v>46038.545138888891</v>
      </c>
      <c r="G759" s="53">
        <f>F759-E759</f>
        <v>4.1666666671517305E-2</v>
      </c>
      <c r="H759" s="1" t="s">
        <v>257</v>
      </c>
      <c r="J759" s="1" t="s">
        <v>371</v>
      </c>
      <c r="K759" s="1" t="s">
        <v>653</v>
      </c>
      <c r="L759" s="1" t="s">
        <v>2001</v>
      </c>
      <c r="M759" s="1" t="s">
        <v>252</v>
      </c>
      <c r="N759" s="1" t="s">
        <v>253</v>
      </c>
      <c r="O759" s="1" t="s">
        <v>794</v>
      </c>
      <c r="P759" s="1" t="str">
        <f>_xlfn.CONCAT(B759,C759,D759,E759,F759)</f>
        <v>BC Varjao1.2215KTL-H0(MBUS-13)46038,503472222246038,503472222246038,5451388889</v>
      </c>
      <c r="Q759" s="1" t="str">
        <f>_xlfn.CONCAT(H759,I759,J759)</f>
        <v>DAUINV</v>
      </c>
    </row>
    <row r="760" spans="2:17">
      <c r="B760" s="1" t="s">
        <v>736</v>
      </c>
      <c r="C760" s="1" t="s">
        <v>338</v>
      </c>
      <c r="D760" s="52">
        <v>46038.568749999999</v>
      </c>
      <c r="E760" s="52">
        <v>46038.568749999999</v>
      </c>
      <c r="F760" s="52">
        <v>46038.652777777781</v>
      </c>
      <c r="G760" s="53">
        <f>F760-E760</f>
        <v>8.4027777782466728E-2</v>
      </c>
      <c r="H760" s="1" t="s">
        <v>257</v>
      </c>
      <c r="J760" s="1" t="s">
        <v>371</v>
      </c>
      <c r="K760" s="1" t="s">
        <v>653</v>
      </c>
      <c r="L760" s="1" t="s">
        <v>2001</v>
      </c>
      <c r="M760" s="1" t="s">
        <v>252</v>
      </c>
      <c r="N760" s="1" t="s">
        <v>253</v>
      </c>
      <c r="O760" s="1" t="s">
        <v>794</v>
      </c>
      <c r="P760" s="1" t="str">
        <f>_xlfn.CONCAT(B760,C760,D760,E760,F760)</f>
        <v>BC Varjao1.2215KTL-H0(MBUS-16)46038,5687546038,5687546038,6527777778</v>
      </c>
      <c r="Q760" s="1" t="str">
        <f>_xlfn.CONCAT(H760,I760,J760)</f>
        <v>DAUINV</v>
      </c>
    </row>
    <row r="761" spans="2:17">
      <c r="B761" s="1" t="s">
        <v>456</v>
      </c>
      <c r="C761" s="1" t="s">
        <v>457</v>
      </c>
      <c r="D761" s="52">
        <v>46038.722222222219</v>
      </c>
      <c r="E761" s="52">
        <v>46038.722222222219</v>
      </c>
      <c r="F761" s="52">
        <v>46038.78402777778</v>
      </c>
      <c r="G761" s="53">
        <f>F761-E761</f>
        <v>6.1805555560567882E-2</v>
      </c>
      <c r="H761" s="1" t="s">
        <v>257</v>
      </c>
      <c r="J761" s="1" t="s">
        <v>258</v>
      </c>
      <c r="K761" s="1" t="s">
        <v>658</v>
      </c>
      <c r="L761" s="1" t="s">
        <v>538</v>
      </c>
      <c r="M761" s="1" t="s">
        <v>260</v>
      </c>
      <c r="N761" s="1" t="s">
        <v>357</v>
      </c>
      <c r="O761" s="1" t="s">
        <v>632</v>
      </c>
      <c r="P761" s="1" t="str">
        <f>_xlfn.CONCAT(B761,C761,D761,E761,F761)</f>
        <v>BC Caiaponia1SG60KTL(COM1-001)_001_00746038,722222222246038,722222222246038,7840277778</v>
      </c>
      <c r="Q761" s="1" t="str">
        <f>_xlfn.CONCAT(H761,I761,J761)</f>
        <v>DAURDE</v>
      </c>
    </row>
    <row r="762" spans="2:17">
      <c r="B762" s="1" t="s">
        <v>456</v>
      </c>
      <c r="C762" s="1" t="s">
        <v>459</v>
      </c>
      <c r="D762" s="52">
        <v>46038.722222222219</v>
      </c>
      <c r="E762" s="52">
        <v>46038.722222222219</v>
      </c>
      <c r="F762" s="52">
        <v>46038.78402777778</v>
      </c>
      <c r="G762" s="53">
        <f>F762-E762</f>
        <v>6.1805555560567882E-2</v>
      </c>
      <c r="H762" s="1" t="s">
        <v>257</v>
      </c>
      <c r="J762" s="1" t="s">
        <v>258</v>
      </c>
      <c r="K762" s="1" t="s">
        <v>658</v>
      </c>
      <c r="L762" s="1" t="s">
        <v>538</v>
      </c>
      <c r="M762" s="1" t="s">
        <v>260</v>
      </c>
      <c r="N762" s="1" t="s">
        <v>357</v>
      </c>
      <c r="O762" s="1" t="s">
        <v>632</v>
      </c>
      <c r="P762" s="1" t="str">
        <f>_xlfn.CONCAT(B762,C762,D762,E762,F762)</f>
        <v>BC Caiaponia1SG60KTL(COM1-002)_001_01046038,722222222246038,722222222246038,7840277778</v>
      </c>
      <c r="Q762" s="1" t="str">
        <f>_xlfn.CONCAT(H762,I762,J762)</f>
        <v>DAURDE</v>
      </c>
    </row>
    <row r="763" spans="2:17">
      <c r="B763" s="1" t="s">
        <v>456</v>
      </c>
      <c r="C763" s="1" t="s">
        <v>460</v>
      </c>
      <c r="D763" s="52">
        <v>46038.722222222219</v>
      </c>
      <c r="E763" s="52">
        <v>46038.722222222219</v>
      </c>
      <c r="F763" s="52">
        <v>46038.78402777778</v>
      </c>
      <c r="G763" s="53">
        <f>F763-E763</f>
        <v>6.1805555560567882E-2</v>
      </c>
      <c r="H763" s="1" t="s">
        <v>257</v>
      </c>
      <c r="J763" s="1" t="s">
        <v>258</v>
      </c>
      <c r="K763" s="1" t="s">
        <v>658</v>
      </c>
      <c r="L763" s="1" t="s">
        <v>538</v>
      </c>
      <c r="M763" s="1" t="s">
        <v>260</v>
      </c>
      <c r="N763" s="1" t="s">
        <v>357</v>
      </c>
      <c r="O763" s="1" t="s">
        <v>632</v>
      </c>
      <c r="P763" s="1" t="str">
        <f>_xlfn.CONCAT(B763,C763,D763,E763,F763)</f>
        <v>BC Caiaponia1SG60KTL(COM1-003)_001_01146038,722222222246038,722222222246038,7840277778</v>
      </c>
      <c r="Q763" s="1" t="str">
        <f>_xlfn.CONCAT(H763,I763,J763)</f>
        <v>DAURDE</v>
      </c>
    </row>
    <row r="764" spans="2:17">
      <c r="B764" s="1" t="s">
        <v>456</v>
      </c>
      <c r="C764" s="1" t="s">
        <v>461</v>
      </c>
      <c r="D764" s="52">
        <v>46038.722222222219</v>
      </c>
      <c r="E764" s="52">
        <v>46038.722222222219</v>
      </c>
      <c r="F764" s="52">
        <v>46038.78402777778</v>
      </c>
      <c r="G764" s="53">
        <f>F764-E764</f>
        <v>6.1805555560567882E-2</v>
      </c>
      <c r="H764" s="1" t="s">
        <v>257</v>
      </c>
      <c r="J764" s="1" t="s">
        <v>258</v>
      </c>
      <c r="K764" s="1" t="s">
        <v>658</v>
      </c>
      <c r="L764" s="1" t="s">
        <v>538</v>
      </c>
      <c r="M764" s="1" t="s">
        <v>260</v>
      </c>
      <c r="N764" s="1" t="s">
        <v>357</v>
      </c>
      <c r="O764" s="1" t="s">
        <v>632</v>
      </c>
      <c r="P764" s="1" t="str">
        <f>_xlfn.CONCAT(B764,C764,D764,E764,F764)</f>
        <v>BC Caiaponia1SG60KTL(COM1-004)_001_01446038,722222222246038,722222222246038,7840277778</v>
      </c>
      <c r="Q764" s="1" t="str">
        <f>_xlfn.CONCAT(H764,I764,J764)</f>
        <v>DAURDE</v>
      </c>
    </row>
    <row r="765" spans="2:17">
      <c r="B765" s="1" t="s">
        <v>456</v>
      </c>
      <c r="C765" s="1" t="s">
        <v>462</v>
      </c>
      <c r="D765" s="52">
        <v>46038.722222222219</v>
      </c>
      <c r="E765" s="52">
        <v>46038.722222222219</v>
      </c>
      <c r="F765" s="52">
        <v>46038.78402777778</v>
      </c>
      <c r="G765" s="53">
        <f>F765-E765</f>
        <v>6.1805555560567882E-2</v>
      </c>
      <c r="H765" s="1" t="s">
        <v>257</v>
      </c>
      <c r="J765" s="1" t="s">
        <v>258</v>
      </c>
      <c r="K765" s="1" t="s">
        <v>658</v>
      </c>
      <c r="L765" s="1" t="s">
        <v>538</v>
      </c>
      <c r="M765" s="1" t="s">
        <v>260</v>
      </c>
      <c r="N765" s="1" t="s">
        <v>357</v>
      </c>
      <c r="O765" s="1" t="s">
        <v>632</v>
      </c>
      <c r="P765" s="1" t="str">
        <f>_xlfn.CONCAT(B765,C765,D765,E765,F765)</f>
        <v>BC Caiaponia1SG60KTL(COM1-005)_001_01746038,722222222246038,722222222246038,7840277778</v>
      </c>
      <c r="Q765" s="1" t="str">
        <f>_xlfn.CONCAT(H765,I765,J765)</f>
        <v>DAURDE</v>
      </c>
    </row>
    <row r="766" spans="2:17">
      <c r="B766" s="1" t="s">
        <v>456</v>
      </c>
      <c r="C766" s="1" t="s">
        <v>463</v>
      </c>
      <c r="D766" s="52">
        <v>46038.722222222219</v>
      </c>
      <c r="E766" s="52">
        <v>46038.722222222219</v>
      </c>
      <c r="F766" s="52">
        <v>46038.78402777778</v>
      </c>
      <c r="G766" s="53">
        <f>F766-E766</f>
        <v>6.1805555560567882E-2</v>
      </c>
      <c r="H766" s="1" t="s">
        <v>257</v>
      </c>
      <c r="J766" s="1" t="s">
        <v>258</v>
      </c>
      <c r="K766" s="1" t="s">
        <v>658</v>
      </c>
      <c r="L766" s="1" t="s">
        <v>538</v>
      </c>
      <c r="M766" s="1" t="s">
        <v>260</v>
      </c>
      <c r="N766" s="1" t="s">
        <v>357</v>
      </c>
      <c r="O766" s="1" t="s">
        <v>632</v>
      </c>
      <c r="P766" s="1" t="str">
        <f>_xlfn.CONCAT(B766,C766,D766,E766,F766)</f>
        <v>BC Caiaponia1SG60KTL(COM1-006)_001_01646038,722222222246038,722222222246038,7840277778</v>
      </c>
      <c r="Q766" s="1" t="str">
        <f>_xlfn.CONCAT(H766,I766,J766)</f>
        <v>DAURDE</v>
      </c>
    </row>
    <row r="767" spans="2:17">
      <c r="B767" s="1" t="s">
        <v>456</v>
      </c>
      <c r="C767" s="1" t="s">
        <v>464</v>
      </c>
      <c r="D767" s="52">
        <v>46038.722222222219</v>
      </c>
      <c r="E767" s="52">
        <v>46038.722222222219</v>
      </c>
      <c r="F767" s="52">
        <v>46038.78402777778</v>
      </c>
      <c r="G767" s="53">
        <f>F767-E767</f>
        <v>6.1805555560567882E-2</v>
      </c>
      <c r="H767" s="1" t="s">
        <v>257</v>
      </c>
      <c r="J767" s="1" t="s">
        <v>258</v>
      </c>
      <c r="K767" s="1" t="s">
        <v>658</v>
      </c>
      <c r="L767" s="1" t="s">
        <v>538</v>
      </c>
      <c r="M767" s="1" t="s">
        <v>260</v>
      </c>
      <c r="N767" s="1" t="s">
        <v>357</v>
      </c>
      <c r="O767" s="1" t="s">
        <v>632</v>
      </c>
      <c r="P767" s="1" t="str">
        <f>_xlfn.CONCAT(B767,C767,D767,E767,F767)</f>
        <v>BC Caiaponia1SG60KTL(COM1-007)_001_01346038,722222222246038,722222222246038,7840277778</v>
      </c>
      <c r="Q767" s="1" t="str">
        <f>_xlfn.CONCAT(H767,I767,J767)</f>
        <v>DAURDE</v>
      </c>
    </row>
    <row r="768" spans="2:17">
      <c r="B768" s="1" t="s">
        <v>456</v>
      </c>
      <c r="C768" s="1" t="s">
        <v>465</v>
      </c>
      <c r="D768" s="52">
        <v>46038.722222222219</v>
      </c>
      <c r="E768" s="52">
        <v>46038.722222222219</v>
      </c>
      <c r="F768" s="52">
        <v>46038.78402777778</v>
      </c>
      <c r="G768" s="53">
        <f>F768-E768</f>
        <v>6.1805555560567882E-2</v>
      </c>
      <c r="H768" s="1" t="s">
        <v>257</v>
      </c>
      <c r="J768" s="1" t="s">
        <v>258</v>
      </c>
      <c r="K768" s="1" t="s">
        <v>658</v>
      </c>
      <c r="L768" s="1" t="s">
        <v>538</v>
      </c>
      <c r="M768" s="1" t="s">
        <v>260</v>
      </c>
      <c r="N768" s="1" t="s">
        <v>357</v>
      </c>
      <c r="O768" s="1" t="s">
        <v>632</v>
      </c>
      <c r="P768" s="1" t="str">
        <f>_xlfn.CONCAT(B768,C768,D768,E768,F768)</f>
        <v>BC Caiaponia1SG60KTL(COM1-008)_001_00146038,722222222246038,722222222246038,7840277778</v>
      </c>
      <c r="Q768" s="1" t="str">
        <f>_xlfn.CONCAT(H768,I768,J768)</f>
        <v>DAURDE</v>
      </c>
    </row>
    <row r="769" spans="2:17">
      <c r="B769" s="1" t="s">
        <v>456</v>
      </c>
      <c r="C769" s="1" t="s">
        <v>466</v>
      </c>
      <c r="D769" s="52">
        <v>46038.722222222219</v>
      </c>
      <c r="E769" s="52">
        <v>46038.722222222219</v>
      </c>
      <c r="F769" s="52">
        <v>46038.78402777778</v>
      </c>
      <c r="G769" s="53">
        <f>F769-E769</f>
        <v>6.1805555560567882E-2</v>
      </c>
      <c r="H769" s="1" t="s">
        <v>257</v>
      </c>
      <c r="J769" s="1" t="s">
        <v>258</v>
      </c>
      <c r="K769" s="1" t="s">
        <v>658</v>
      </c>
      <c r="L769" s="1" t="s">
        <v>538</v>
      </c>
      <c r="M769" s="1" t="s">
        <v>260</v>
      </c>
      <c r="N769" s="1" t="s">
        <v>357</v>
      </c>
      <c r="O769" s="1" t="s">
        <v>632</v>
      </c>
      <c r="P769" s="1" t="str">
        <f>_xlfn.CONCAT(B769,C769,D769,E769,F769)</f>
        <v>BC Caiaponia1SG60KTL(COM1-009)46038,722222222246038,722222222246038,7840277778</v>
      </c>
      <c r="Q769" s="1" t="str">
        <f>_xlfn.CONCAT(H769,I769,J769)</f>
        <v>DAURDE</v>
      </c>
    </row>
    <row r="770" spans="2:17">
      <c r="B770" s="1" t="s">
        <v>456</v>
      </c>
      <c r="C770" s="1" t="s">
        <v>467</v>
      </c>
      <c r="D770" s="52">
        <v>46038.722222222219</v>
      </c>
      <c r="E770" s="52">
        <v>46038.722222222219</v>
      </c>
      <c r="F770" s="52">
        <v>46038.78402777778</v>
      </c>
      <c r="G770" s="53">
        <f>F770-E770</f>
        <v>6.1805555560567882E-2</v>
      </c>
      <c r="H770" s="1" t="s">
        <v>257</v>
      </c>
      <c r="J770" s="1" t="s">
        <v>258</v>
      </c>
      <c r="K770" s="1" t="s">
        <v>658</v>
      </c>
      <c r="L770" s="1" t="s">
        <v>538</v>
      </c>
      <c r="M770" s="1" t="s">
        <v>260</v>
      </c>
      <c r="N770" s="1" t="s">
        <v>357</v>
      </c>
      <c r="O770" s="1" t="s">
        <v>632</v>
      </c>
      <c r="P770" s="1" t="str">
        <f>_xlfn.CONCAT(B770,C770,D770,E770,F770)</f>
        <v>BC Caiaponia1SG60KTL(COM1-010)46038,722222222246038,722222222246038,7840277778</v>
      </c>
      <c r="Q770" s="1" t="str">
        <f>_xlfn.CONCAT(H770,I770,J770)</f>
        <v>DAURDE</v>
      </c>
    </row>
    <row r="771" spans="2:17">
      <c r="B771" s="1" t="s">
        <v>456</v>
      </c>
      <c r="C771" s="1" t="s">
        <v>468</v>
      </c>
      <c r="D771" s="52">
        <v>46038.722222222219</v>
      </c>
      <c r="E771" s="52">
        <v>46038.722222222219</v>
      </c>
      <c r="F771" s="52">
        <v>46038.78402777778</v>
      </c>
      <c r="G771" s="53">
        <f>F771-E771</f>
        <v>6.1805555560567882E-2</v>
      </c>
      <c r="H771" s="1" t="s">
        <v>257</v>
      </c>
      <c r="J771" s="1" t="s">
        <v>258</v>
      </c>
      <c r="K771" s="1" t="s">
        <v>658</v>
      </c>
      <c r="L771" s="1" t="s">
        <v>538</v>
      </c>
      <c r="M771" s="1" t="s">
        <v>260</v>
      </c>
      <c r="N771" s="1" t="s">
        <v>357</v>
      </c>
      <c r="O771" s="1" t="s">
        <v>632</v>
      </c>
      <c r="P771" s="1" t="str">
        <f>_xlfn.CONCAT(B771,C771,D771,E771,F771)</f>
        <v>BC Caiaponia1SG60KTL(COM1-011)46038,722222222246038,722222222246038,7840277778</v>
      </c>
      <c r="Q771" s="1" t="str">
        <f>_xlfn.CONCAT(H771,I771,J771)</f>
        <v>DAURDE</v>
      </c>
    </row>
    <row r="772" spans="2:17">
      <c r="B772" s="1" t="s">
        <v>456</v>
      </c>
      <c r="C772" s="1" t="s">
        <v>469</v>
      </c>
      <c r="D772" s="52">
        <v>46038.722222222219</v>
      </c>
      <c r="E772" s="52">
        <v>46038.722222222219</v>
      </c>
      <c r="F772" s="52">
        <v>46038.78402777778</v>
      </c>
      <c r="G772" s="53">
        <f>F772-E772</f>
        <v>6.1805555560567882E-2</v>
      </c>
      <c r="H772" s="1" t="s">
        <v>257</v>
      </c>
      <c r="J772" s="1" t="s">
        <v>258</v>
      </c>
      <c r="K772" s="1" t="s">
        <v>658</v>
      </c>
      <c r="L772" s="1" t="s">
        <v>538</v>
      </c>
      <c r="M772" s="1" t="s">
        <v>260</v>
      </c>
      <c r="N772" s="1" t="s">
        <v>357</v>
      </c>
      <c r="O772" s="1" t="s">
        <v>632</v>
      </c>
      <c r="P772" s="1" t="str">
        <f>_xlfn.CONCAT(B772,C772,D772,E772,F772)</f>
        <v>BC Caiaponia1SG60KTL(COM1-012)46038,722222222246038,722222222246038,7840277778</v>
      </c>
      <c r="Q772" s="1" t="str">
        <f>_xlfn.CONCAT(H772,I772,J772)</f>
        <v>DAURDE</v>
      </c>
    </row>
    <row r="773" spans="2:17">
      <c r="B773" s="1" t="s">
        <v>456</v>
      </c>
      <c r="C773" s="1" t="s">
        <v>470</v>
      </c>
      <c r="D773" s="52">
        <v>46038.722222222219</v>
      </c>
      <c r="E773" s="52">
        <v>46038.722222222219</v>
      </c>
      <c r="F773" s="52">
        <v>46038.78402777778</v>
      </c>
      <c r="G773" s="53">
        <f>F773-E773</f>
        <v>6.1805555560567882E-2</v>
      </c>
      <c r="H773" s="1" t="s">
        <v>257</v>
      </c>
      <c r="J773" s="1" t="s">
        <v>258</v>
      </c>
      <c r="K773" s="1" t="s">
        <v>658</v>
      </c>
      <c r="L773" s="1" t="s">
        <v>538</v>
      </c>
      <c r="M773" s="1" t="s">
        <v>260</v>
      </c>
      <c r="N773" s="1" t="s">
        <v>357</v>
      </c>
      <c r="O773" s="1" t="s">
        <v>632</v>
      </c>
      <c r="P773" s="1" t="str">
        <f>_xlfn.CONCAT(B773,C773,D773,E773,F773)</f>
        <v>BC Caiaponia1SG60KTL(COM1-013)46038,722222222246038,722222222246038,7840277778</v>
      </c>
      <c r="Q773" s="1" t="str">
        <f>_xlfn.CONCAT(H773,I773,J773)</f>
        <v>DAURDE</v>
      </c>
    </row>
    <row r="774" spans="2:17">
      <c r="B774" s="1" t="s">
        <v>456</v>
      </c>
      <c r="C774" s="1" t="s">
        <v>471</v>
      </c>
      <c r="D774" s="52">
        <v>46038.722222222219</v>
      </c>
      <c r="E774" s="52">
        <v>46038.722222222219</v>
      </c>
      <c r="F774" s="52">
        <v>46038.78402777778</v>
      </c>
      <c r="G774" s="53">
        <f>F774-E774</f>
        <v>6.1805555560567882E-2</v>
      </c>
      <c r="H774" s="1" t="s">
        <v>257</v>
      </c>
      <c r="J774" s="1" t="s">
        <v>258</v>
      </c>
      <c r="K774" s="1" t="s">
        <v>658</v>
      </c>
      <c r="L774" s="1" t="s">
        <v>538</v>
      </c>
      <c r="M774" s="1" t="s">
        <v>260</v>
      </c>
      <c r="N774" s="1" t="s">
        <v>357</v>
      </c>
      <c r="O774" s="1" t="s">
        <v>632</v>
      </c>
      <c r="P774" s="1" t="str">
        <f>_xlfn.CONCAT(B774,C774,D774,E774,F774)</f>
        <v>BC Caiaponia1SG60KTL(COM1-014)46038,722222222246038,722222222246038,7840277778</v>
      </c>
      <c r="Q774" s="1" t="str">
        <f>_xlfn.CONCAT(H774,I774,J774)</f>
        <v>DAURDE</v>
      </c>
    </row>
    <row r="775" spans="2:17">
      <c r="B775" s="1" t="s">
        <v>456</v>
      </c>
      <c r="C775" s="1" t="s">
        <v>472</v>
      </c>
      <c r="D775" s="52">
        <v>46038.722222222219</v>
      </c>
      <c r="E775" s="52">
        <v>46038.722222222219</v>
      </c>
      <c r="F775" s="52">
        <v>46038.78402777778</v>
      </c>
      <c r="G775" s="53">
        <f>F775-E775</f>
        <v>6.1805555560567882E-2</v>
      </c>
      <c r="H775" s="1" t="s">
        <v>257</v>
      </c>
      <c r="J775" s="1" t="s">
        <v>258</v>
      </c>
      <c r="K775" s="1" t="s">
        <v>658</v>
      </c>
      <c r="L775" s="1" t="s">
        <v>538</v>
      </c>
      <c r="M775" s="1" t="s">
        <v>260</v>
      </c>
      <c r="N775" s="1" t="s">
        <v>357</v>
      </c>
      <c r="O775" s="1" t="s">
        <v>632</v>
      </c>
      <c r="P775" s="1" t="str">
        <f>_xlfn.CONCAT(B775,C775,D775,E775,F775)</f>
        <v>BC Caiaponia1SG60KTL(COM1-015)46038,722222222246038,722222222246038,7840277778</v>
      </c>
      <c r="Q775" s="1" t="str">
        <f>_xlfn.CONCAT(H775,I775,J775)</f>
        <v>DAURDE</v>
      </c>
    </row>
    <row r="776" spans="2:17">
      <c r="B776" s="1" t="s">
        <v>456</v>
      </c>
      <c r="C776" s="1" t="s">
        <v>473</v>
      </c>
      <c r="D776" s="52">
        <v>46038.722222222219</v>
      </c>
      <c r="E776" s="52">
        <v>46038.722222222219</v>
      </c>
      <c r="F776" s="52">
        <v>46038.78402777778</v>
      </c>
      <c r="G776" s="53">
        <f>F776-E776</f>
        <v>6.1805555560567882E-2</v>
      </c>
      <c r="H776" s="1" t="s">
        <v>257</v>
      </c>
      <c r="J776" s="1" t="s">
        <v>258</v>
      </c>
      <c r="K776" s="1" t="s">
        <v>658</v>
      </c>
      <c r="L776" s="1" t="s">
        <v>538</v>
      </c>
      <c r="M776" s="1" t="s">
        <v>260</v>
      </c>
      <c r="N776" s="1" t="s">
        <v>357</v>
      </c>
      <c r="O776" s="1" t="s">
        <v>632</v>
      </c>
      <c r="P776" s="1" t="str">
        <f>_xlfn.CONCAT(B776,C776,D776,E776,F776)</f>
        <v>BC Caiaponia1SG60KTL(COM3-016)_001_00946038,722222222246038,722222222246038,7840277778</v>
      </c>
      <c r="Q776" s="1" t="str">
        <f>_xlfn.CONCAT(H776,I776,J776)</f>
        <v>DAURDE</v>
      </c>
    </row>
    <row r="777" spans="2:17">
      <c r="B777" s="1" t="s">
        <v>456</v>
      </c>
      <c r="C777" s="1" t="s">
        <v>474</v>
      </c>
      <c r="D777" s="52">
        <v>46038.722222222219</v>
      </c>
      <c r="E777" s="52">
        <v>46038.722222222219</v>
      </c>
      <c r="F777" s="52">
        <v>46038.78402777778</v>
      </c>
      <c r="G777" s="53">
        <f>F777-E777</f>
        <v>6.1805555560567882E-2</v>
      </c>
      <c r="H777" s="1" t="s">
        <v>257</v>
      </c>
      <c r="J777" s="1" t="s">
        <v>258</v>
      </c>
      <c r="K777" s="1" t="s">
        <v>658</v>
      </c>
      <c r="L777" s="1" t="s">
        <v>538</v>
      </c>
      <c r="M777" s="1" t="s">
        <v>260</v>
      </c>
      <c r="N777" s="1" t="s">
        <v>357</v>
      </c>
      <c r="O777" s="1" t="s">
        <v>632</v>
      </c>
      <c r="P777" s="1" t="str">
        <f>_xlfn.CONCAT(B777,C777,D777,E777,F777)</f>
        <v>BC Caiaponia1SG60KTL(COM3-017)_001_01246038,722222222246038,722222222246038,7840277778</v>
      </c>
      <c r="Q777" s="1" t="str">
        <f>_xlfn.CONCAT(H777,I777,J777)</f>
        <v>DAURDE</v>
      </c>
    </row>
    <row r="778" spans="2:17">
      <c r="B778" s="1" t="s">
        <v>456</v>
      </c>
      <c r="C778" s="1" t="s">
        <v>475</v>
      </c>
      <c r="D778" s="52">
        <v>46038.722222222219</v>
      </c>
      <c r="E778" s="52">
        <v>46038.722222222219</v>
      </c>
      <c r="F778" s="52">
        <v>46038.78402777778</v>
      </c>
      <c r="G778" s="53">
        <f>F778-E778</f>
        <v>6.1805555560567882E-2</v>
      </c>
      <c r="H778" s="1" t="s">
        <v>257</v>
      </c>
      <c r="J778" s="1" t="s">
        <v>258</v>
      </c>
      <c r="K778" s="1" t="s">
        <v>658</v>
      </c>
      <c r="L778" s="1" t="s">
        <v>538</v>
      </c>
      <c r="M778" s="1" t="s">
        <v>260</v>
      </c>
      <c r="N778" s="1" t="s">
        <v>357</v>
      </c>
      <c r="O778" s="1" t="s">
        <v>632</v>
      </c>
      <c r="P778" s="1" t="str">
        <f>_xlfn.CONCAT(B778,C778,D778,E778,F778)</f>
        <v>BC Caiaponia1SG60KTL(COM3-018)_001_00846038,722222222246038,722222222246038,7840277778</v>
      </c>
      <c r="Q778" s="1" t="str">
        <f>_xlfn.CONCAT(H778,I778,J778)</f>
        <v>DAURDE</v>
      </c>
    </row>
    <row r="779" spans="2:17">
      <c r="B779" s="1" t="s">
        <v>456</v>
      </c>
      <c r="C779" s="1" t="s">
        <v>476</v>
      </c>
      <c r="D779" s="52">
        <v>46038.722222222219</v>
      </c>
      <c r="E779" s="52">
        <v>46038.722222222219</v>
      </c>
      <c r="F779" s="52">
        <v>46038.78402777778</v>
      </c>
      <c r="G779" s="53">
        <f>F779-E779</f>
        <v>6.1805555560567882E-2</v>
      </c>
      <c r="H779" s="1" t="s">
        <v>257</v>
      </c>
      <c r="J779" s="1" t="s">
        <v>258</v>
      </c>
      <c r="K779" s="1" t="s">
        <v>658</v>
      </c>
      <c r="L779" s="1" t="s">
        <v>538</v>
      </c>
      <c r="M779" s="1" t="s">
        <v>260</v>
      </c>
      <c r="N779" s="1" t="s">
        <v>357</v>
      </c>
      <c r="O779" s="1" t="s">
        <v>632</v>
      </c>
      <c r="P779" s="1" t="str">
        <f>_xlfn.CONCAT(B779,C779,D779,E779,F779)</f>
        <v>BC Caiaponia1SG60KTL(COM3-019)_001_01946038,722222222246038,722222222246038,7840277778</v>
      </c>
      <c r="Q779" s="1" t="str">
        <f>_xlfn.CONCAT(H779,I779,J779)</f>
        <v>DAURDE</v>
      </c>
    </row>
    <row r="780" spans="2:17">
      <c r="B780" s="1" t="s">
        <v>456</v>
      </c>
      <c r="C780" s="1" t="s">
        <v>477</v>
      </c>
      <c r="D780" s="52">
        <v>46038.722222222219</v>
      </c>
      <c r="E780" s="52">
        <v>46038.722222222219</v>
      </c>
      <c r="F780" s="52">
        <v>46038.78402777778</v>
      </c>
      <c r="G780" s="53">
        <f>F780-E780</f>
        <v>6.1805555560567882E-2</v>
      </c>
      <c r="H780" s="1" t="s">
        <v>257</v>
      </c>
      <c r="J780" s="1" t="s">
        <v>258</v>
      </c>
      <c r="K780" s="1" t="s">
        <v>658</v>
      </c>
      <c r="L780" s="1" t="s">
        <v>538</v>
      </c>
      <c r="M780" s="1" t="s">
        <v>260</v>
      </c>
      <c r="N780" s="1" t="s">
        <v>357</v>
      </c>
      <c r="O780" s="1" t="s">
        <v>632</v>
      </c>
      <c r="P780" s="1" t="str">
        <f>_xlfn.CONCAT(B780,C780,D780,E780,F780)</f>
        <v>BC Caiaponia1SG60KTL(COM3-020)_001_02046038,722222222246038,722222222246038,7840277778</v>
      </c>
      <c r="Q780" s="1" t="str">
        <f>_xlfn.CONCAT(H780,I780,J780)</f>
        <v>DAURDE</v>
      </c>
    </row>
    <row r="781" spans="2:17">
      <c r="B781" s="1" t="s">
        <v>456</v>
      </c>
      <c r="C781" s="1" t="s">
        <v>478</v>
      </c>
      <c r="D781" s="52">
        <v>46038.722222222219</v>
      </c>
      <c r="E781" s="52">
        <v>46038.722222222219</v>
      </c>
      <c r="F781" s="52">
        <v>46038.78402777778</v>
      </c>
      <c r="G781" s="53">
        <f>F781-E781</f>
        <v>6.1805555560567882E-2</v>
      </c>
      <c r="H781" s="1" t="s">
        <v>257</v>
      </c>
      <c r="J781" s="1" t="s">
        <v>258</v>
      </c>
      <c r="K781" s="1" t="s">
        <v>658</v>
      </c>
      <c r="L781" s="1" t="s">
        <v>538</v>
      </c>
      <c r="M781" s="1" t="s">
        <v>260</v>
      </c>
      <c r="N781" s="1" t="s">
        <v>357</v>
      </c>
      <c r="O781" s="1" t="s">
        <v>632</v>
      </c>
      <c r="P781" s="1" t="str">
        <f>_xlfn.CONCAT(B781,C781,D781,E781,F781)</f>
        <v>BC Caiaponia1SG60KTL(COM2-026)46038,722222222246038,722222222246038,7840277778</v>
      </c>
      <c r="Q781" s="1" t="str">
        <f>_xlfn.CONCAT(H781,I781,J781)</f>
        <v>DAURDE</v>
      </c>
    </row>
    <row r="782" spans="2:17">
      <c r="B782" s="1" t="s">
        <v>456</v>
      </c>
      <c r="C782" s="1" t="s">
        <v>479</v>
      </c>
      <c r="D782" s="52">
        <v>46038.722222222219</v>
      </c>
      <c r="E782" s="52">
        <v>46038.722222222219</v>
      </c>
      <c r="F782" s="52">
        <v>46038.78402777778</v>
      </c>
      <c r="G782" s="53">
        <f>F782-E782</f>
        <v>6.1805555560567882E-2</v>
      </c>
      <c r="H782" s="1" t="s">
        <v>257</v>
      </c>
      <c r="J782" s="1" t="s">
        <v>258</v>
      </c>
      <c r="K782" s="1" t="s">
        <v>658</v>
      </c>
      <c r="L782" s="1" t="s">
        <v>538</v>
      </c>
      <c r="M782" s="1" t="s">
        <v>260</v>
      </c>
      <c r="N782" s="1" t="s">
        <v>357</v>
      </c>
      <c r="O782" s="1" t="s">
        <v>632</v>
      </c>
      <c r="P782" s="1" t="str">
        <f>_xlfn.CONCAT(B782,C782,D782,E782,F782)</f>
        <v>BC Caiaponia1SG60KTL(COM2-027)46038,722222222246038,722222222246038,7840277778</v>
      </c>
      <c r="Q782" s="1" t="str">
        <f>_xlfn.CONCAT(H782,I782,J782)</f>
        <v>DAURDE</v>
      </c>
    </row>
    <row r="783" spans="2:17">
      <c r="B783" s="1" t="s">
        <v>456</v>
      </c>
      <c r="C783" s="1" t="s">
        <v>480</v>
      </c>
      <c r="D783" s="52">
        <v>46038.722222222219</v>
      </c>
      <c r="E783" s="52">
        <v>46038.722222222219</v>
      </c>
      <c r="F783" s="52">
        <v>46038.78402777778</v>
      </c>
      <c r="G783" s="53">
        <f>F783-E783</f>
        <v>6.1805555560567882E-2</v>
      </c>
      <c r="H783" s="1" t="s">
        <v>257</v>
      </c>
      <c r="J783" s="1" t="s">
        <v>258</v>
      </c>
      <c r="K783" s="1" t="s">
        <v>658</v>
      </c>
      <c r="L783" s="1" t="s">
        <v>538</v>
      </c>
      <c r="M783" s="1" t="s">
        <v>260</v>
      </c>
      <c r="N783" s="1" t="s">
        <v>357</v>
      </c>
      <c r="O783" s="1" t="s">
        <v>632</v>
      </c>
      <c r="P783" s="1" t="str">
        <f>_xlfn.CONCAT(B783,C783,D783,E783,F783)</f>
        <v>BC Caiaponia1SG60KTL(COM2-028)46038,722222222246038,722222222246038,7840277778</v>
      </c>
      <c r="Q783" s="1" t="str">
        <f>_xlfn.CONCAT(H783,I783,J783)</f>
        <v>DAURDE</v>
      </c>
    </row>
    <row r="784" spans="2:17">
      <c r="B784" s="1" t="s">
        <v>456</v>
      </c>
      <c r="C784" s="1" t="s">
        <v>481</v>
      </c>
      <c r="D784" s="52">
        <v>46038.722222222219</v>
      </c>
      <c r="E784" s="52">
        <v>46038.722222222219</v>
      </c>
      <c r="F784" s="52">
        <v>46038.78402777778</v>
      </c>
      <c r="G784" s="53">
        <f>F784-E784</f>
        <v>6.1805555560567882E-2</v>
      </c>
      <c r="H784" s="1" t="s">
        <v>257</v>
      </c>
      <c r="J784" s="1" t="s">
        <v>258</v>
      </c>
      <c r="K784" s="1" t="s">
        <v>658</v>
      </c>
      <c r="L784" s="1" t="s">
        <v>538</v>
      </c>
      <c r="M784" s="1" t="s">
        <v>260</v>
      </c>
      <c r="N784" s="1" t="s">
        <v>357</v>
      </c>
      <c r="O784" s="1" t="s">
        <v>632</v>
      </c>
      <c r="P784" s="1" t="str">
        <f>_xlfn.CONCAT(B784,C784,D784,E784,F784)</f>
        <v>BC Caiaponia1SG60KTL(COM2-029)46038,722222222246038,722222222246038,7840277778</v>
      </c>
      <c r="Q784" s="1" t="str">
        <f>_xlfn.CONCAT(H784,I784,J784)</f>
        <v>DAURDE</v>
      </c>
    </row>
    <row r="785" spans="2:17">
      <c r="B785" s="1" t="s">
        <v>456</v>
      </c>
      <c r="C785" s="1" t="s">
        <v>482</v>
      </c>
      <c r="D785" s="52">
        <v>46038.722222222219</v>
      </c>
      <c r="E785" s="52">
        <v>46038.722222222219</v>
      </c>
      <c r="F785" s="52">
        <v>46038.78402777778</v>
      </c>
      <c r="G785" s="53">
        <f>F785-E785</f>
        <v>6.1805555560567882E-2</v>
      </c>
      <c r="H785" s="1" t="s">
        <v>257</v>
      </c>
      <c r="J785" s="1" t="s">
        <v>258</v>
      </c>
      <c r="K785" s="1" t="s">
        <v>658</v>
      </c>
      <c r="L785" s="1" t="s">
        <v>538</v>
      </c>
      <c r="M785" s="1" t="s">
        <v>260</v>
      </c>
      <c r="N785" s="1" t="s">
        <v>357</v>
      </c>
      <c r="O785" s="1" t="s">
        <v>632</v>
      </c>
      <c r="P785" s="1" t="str">
        <f>_xlfn.CONCAT(B785,C785,D785,E785,F785)</f>
        <v>BC Caiaponia1SG50CX(COM1-021)46038,722222222246038,722222222246038,7840277778</v>
      </c>
      <c r="Q785" s="1" t="str">
        <f>_xlfn.CONCAT(H785,I785,J785)</f>
        <v>DAURDE</v>
      </c>
    </row>
    <row r="786" spans="2:17">
      <c r="B786" s="1" t="s">
        <v>456</v>
      </c>
      <c r="C786" s="1" t="s">
        <v>483</v>
      </c>
      <c r="D786" s="52">
        <v>46038.722222222219</v>
      </c>
      <c r="E786" s="52">
        <v>46038.722222222219</v>
      </c>
      <c r="F786" s="52">
        <v>46038.78402777778</v>
      </c>
      <c r="G786" s="53">
        <f>F786-E786</f>
        <v>6.1805555560567882E-2</v>
      </c>
      <c r="H786" s="1" t="s">
        <v>257</v>
      </c>
      <c r="J786" s="1" t="s">
        <v>258</v>
      </c>
      <c r="K786" s="1" t="s">
        <v>658</v>
      </c>
      <c r="L786" s="1" t="s">
        <v>538</v>
      </c>
      <c r="M786" s="1" t="s">
        <v>260</v>
      </c>
      <c r="N786" s="1" t="s">
        <v>357</v>
      </c>
      <c r="O786" s="1" t="s">
        <v>632</v>
      </c>
      <c r="P786" s="1" t="str">
        <f>_xlfn.CONCAT(B786,C786,D786,E786,F786)</f>
        <v>BC Caiaponia1SG50CX(COM1-022)46038,722222222246038,722222222246038,7840277778</v>
      </c>
      <c r="Q786" s="1" t="str">
        <f>_xlfn.CONCAT(H786,I786,J786)</f>
        <v>DAURDE</v>
      </c>
    </row>
    <row r="787" spans="2:17">
      <c r="B787" s="1" t="s">
        <v>456</v>
      </c>
      <c r="C787" s="1" t="s">
        <v>484</v>
      </c>
      <c r="D787" s="52">
        <v>46038.722222222219</v>
      </c>
      <c r="E787" s="52">
        <v>46038.722222222219</v>
      </c>
      <c r="F787" s="52">
        <v>46038.78402777778</v>
      </c>
      <c r="G787" s="53">
        <f>F787-E787</f>
        <v>6.1805555560567882E-2</v>
      </c>
      <c r="H787" s="1" t="s">
        <v>257</v>
      </c>
      <c r="J787" s="1" t="s">
        <v>258</v>
      </c>
      <c r="K787" s="1" t="s">
        <v>658</v>
      </c>
      <c r="L787" s="1" t="s">
        <v>538</v>
      </c>
      <c r="M787" s="1" t="s">
        <v>260</v>
      </c>
      <c r="N787" s="1" t="s">
        <v>357</v>
      </c>
      <c r="O787" s="1" t="s">
        <v>632</v>
      </c>
      <c r="P787" s="1" t="str">
        <f>_xlfn.CONCAT(B787,C787,D787,E787,F787)</f>
        <v>BC Caiaponia1SG50CX(COM1-023)46038,722222222246038,722222222246038,7840277778</v>
      </c>
      <c r="Q787" s="1" t="str">
        <f>_xlfn.CONCAT(H787,I787,J787)</f>
        <v>DAURDE</v>
      </c>
    </row>
    <row r="788" spans="2:17">
      <c r="B788" s="1" t="s">
        <v>456</v>
      </c>
      <c r="C788" s="1" t="s">
        <v>485</v>
      </c>
      <c r="D788" s="52">
        <v>46038.722222222219</v>
      </c>
      <c r="E788" s="52">
        <v>46038.722222222219</v>
      </c>
      <c r="F788" s="52">
        <v>46038.78402777778</v>
      </c>
      <c r="G788" s="53">
        <f>F788-E788</f>
        <v>6.1805555560567882E-2</v>
      </c>
      <c r="H788" s="1" t="s">
        <v>257</v>
      </c>
      <c r="J788" s="1" t="s">
        <v>258</v>
      </c>
      <c r="K788" s="1" t="s">
        <v>658</v>
      </c>
      <c r="L788" s="1" t="s">
        <v>538</v>
      </c>
      <c r="M788" s="1" t="s">
        <v>260</v>
      </c>
      <c r="N788" s="1" t="s">
        <v>357</v>
      </c>
      <c r="O788" s="1" t="s">
        <v>632</v>
      </c>
      <c r="P788" s="1" t="str">
        <f>_xlfn.CONCAT(B788,C788,D788,E788,F788)</f>
        <v>BC Caiaponia1SG50CX(COM1-024)46038,722222222246038,722222222246038,7840277778</v>
      </c>
      <c r="Q788" s="1" t="str">
        <f>_xlfn.CONCAT(H788,I788,J788)</f>
        <v>DAURDE</v>
      </c>
    </row>
    <row r="789" spans="2:17">
      <c r="B789" s="1" t="s">
        <v>456</v>
      </c>
      <c r="C789" s="1" t="s">
        <v>486</v>
      </c>
      <c r="D789" s="52">
        <v>46038.722222222219</v>
      </c>
      <c r="E789" s="52">
        <v>46038.722222222219</v>
      </c>
      <c r="F789" s="52">
        <v>46038.78402777778</v>
      </c>
      <c r="G789" s="53">
        <f>F789-E789</f>
        <v>6.1805555560567882E-2</v>
      </c>
      <c r="H789" s="1" t="s">
        <v>257</v>
      </c>
      <c r="J789" s="1" t="s">
        <v>258</v>
      </c>
      <c r="K789" s="1" t="s">
        <v>658</v>
      </c>
      <c r="L789" s="1" t="s">
        <v>538</v>
      </c>
      <c r="M789" s="1" t="s">
        <v>260</v>
      </c>
      <c r="N789" s="1" t="s">
        <v>357</v>
      </c>
      <c r="O789" s="1" t="s">
        <v>632</v>
      </c>
      <c r="P789" s="1" t="str">
        <f>_xlfn.CONCAT(B789,C789,D789,E789,F789)</f>
        <v>BC Caiaponia1SG50CX(COM1-025)46038,722222222246038,722222222246038,7840277778</v>
      </c>
      <c r="Q789" s="1" t="str">
        <f>_xlfn.CONCAT(H789,I789,J789)</f>
        <v>DAURDE</v>
      </c>
    </row>
    <row r="790" spans="2:17">
      <c r="B790" s="1" t="s">
        <v>487</v>
      </c>
      <c r="C790" s="1" t="s">
        <v>377</v>
      </c>
      <c r="D790" s="52">
        <v>46038.722222222219</v>
      </c>
      <c r="E790" s="52">
        <v>46038.722222222219</v>
      </c>
      <c r="F790" s="52">
        <v>46038.78402777778</v>
      </c>
      <c r="G790" s="53">
        <f>F790-E790</f>
        <v>6.1805555560567882E-2</v>
      </c>
      <c r="H790" s="1" t="s">
        <v>257</v>
      </c>
      <c r="J790" s="1" t="s">
        <v>258</v>
      </c>
      <c r="K790" s="1" t="s">
        <v>658</v>
      </c>
      <c r="L790" s="1" t="s">
        <v>538</v>
      </c>
      <c r="M790" s="1" t="s">
        <v>260</v>
      </c>
      <c r="N790" s="1" t="s">
        <v>357</v>
      </c>
      <c r="O790" s="1" t="s">
        <v>632</v>
      </c>
      <c r="P790" s="1" t="str">
        <f>_xlfn.CONCAT(B790,C790,D790,E790,F790)</f>
        <v>BC Caiaponia2.1215KTL-H3(MBUS-12)46038,722222222246038,722222222246038,7840277778</v>
      </c>
      <c r="Q790" s="1" t="str">
        <f>_xlfn.CONCAT(H790,I790,J790)</f>
        <v>DAURDE</v>
      </c>
    </row>
    <row r="791" spans="2:17">
      <c r="B791" s="1" t="s">
        <v>487</v>
      </c>
      <c r="C791" s="1" t="s">
        <v>378</v>
      </c>
      <c r="D791" s="52">
        <v>46038.722222222219</v>
      </c>
      <c r="E791" s="52">
        <v>46038.722222222219</v>
      </c>
      <c r="F791" s="52">
        <v>46038.78402777778</v>
      </c>
      <c r="G791" s="53">
        <f>F791-E791</f>
        <v>6.1805555560567882E-2</v>
      </c>
      <c r="H791" s="1" t="s">
        <v>257</v>
      </c>
      <c r="J791" s="1" t="s">
        <v>258</v>
      </c>
      <c r="K791" s="1" t="s">
        <v>658</v>
      </c>
      <c r="L791" s="1" t="s">
        <v>538</v>
      </c>
      <c r="M791" s="1" t="s">
        <v>260</v>
      </c>
      <c r="N791" s="1" t="s">
        <v>357</v>
      </c>
      <c r="O791" s="1" t="s">
        <v>632</v>
      </c>
      <c r="P791" s="1" t="str">
        <f>_xlfn.CONCAT(B791,C791,D791,E791,F791)</f>
        <v>BC Caiaponia2.1215KTL-H3(MBUS-13)46038,722222222246038,722222222246038,7840277778</v>
      </c>
      <c r="Q791" s="1" t="str">
        <f>_xlfn.CONCAT(H791,I791,J791)</f>
        <v>DAURDE</v>
      </c>
    </row>
    <row r="792" spans="2:17">
      <c r="B792" s="1" t="s">
        <v>487</v>
      </c>
      <c r="C792" s="1" t="s">
        <v>382</v>
      </c>
      <c r="D792" s="52">
        <v>46038.722222222219</v>
      </c>
      <c r="E792" s="52">
        <v>46038.722222222219</v>
      </c>
      <c r="F792" s="52">
        <v>46038.78402777778</v>
      </c>
      <c r="G792" s="53">
        <f>F792-E792</f>
        <v>6.1805555560567882E-2</v>
      </c>
      <c r="H792" s="1" t="s">
        <v>257</v>
      </c>
      <c r="J792" s="1" t="s">
        <v>258</v>
      </c>
      <c r="K792" s="1" t="s">
        <v>658</v>
      </c>
      <c r="L792" s="1" t="s">
        <v>538</v>
      </c>
      <c r="M792" s="1" t="s">
        <v>260</v>
      </c>
      <c r="N792" s="1" t="s">
        <v>357</v>
      </c>
      <c r="O792" s="1" t="s">
        <v>632</v>
      </c>
      <c r="P792" s="1" t="str">
        <f>_xlfn.CONCAT(B792,C792,D792,E792,F792)</f>
        <v>BC Caiaponia2.1215KTL-H3(MBUS-14)46038,722222222246038,722222222246038,7840277778</v>
      </c>
      <c r="Q792" s="1" t="str">
        <f>_xlfn.CONCAT(H792,I792,J792)</f>
        <v>DAURDE</v>
      </c>
    </row>
    <row r="793" spans="2:17">
      <c r="B793" s="1" t="s">
        <v>487</v>
      </c>
      <c r="C793" s="1" t="s">
        <v>380</v>
      </c>
      <c r="D793" s="52">
        <v>46038.722222222219</v>
      </c>
      <c r="E793" s="52">
        <v>46038.722222222219</v>
      </c>
      <c r="F793" s="52">
        <v>46038.78402777778</v>
      </c>
      <c r="G793" s="53">
        <f>F793-E793</f>
        <v>6.1805555560567882E-2</v>
      </c>
      <c r="H793" s="1" t="s">
        <v>257</v>
      </c>
      <c r="J793" s="1" t="s">
        <v>258</v>
      </c>
      <c r="K793" s="1" t="s">
        <v>658</v>
      </c>
      <c r="L793" s="1" t="s">
        <v>538</v>
      </c>
      <c r="M793" s="1" t="s">
        <v>260</v>
      </c>
      <c r="N793" s="1" t="s">
        <v>357</v>
      </c>
      <c r="O793" s="1" t="s">
        <v>632</v>
      </c>
      <c r="P793" s="1" t="str">
        <f>_xlfn.CONCAT(B793,C793,D793,E793,F793)</f>
        <v>BC Caiaponia2.1215KTL-H3(MBUS-15)46038,722222222246038,722222222246038,7840277778</v>
      </c>
      <c r="Q793" s="1" t="str">
        <f>_xlfn.CONCAT(H793,I793,J793)</f>
        <v>DAURDE</v>
      </c>
    </row>
    <row r="794" spans="2:17">
      <c r="B794" s="1" t="s">
        <v>487</v>
      </c>
      <c r="C794" s="1" t="s">
        <v>379</v>
      </c>
      <c r="D794" s="52">
        <v>46038.722222222219</v>
      </c>
      <c r="E794" s="52">
        <v>46038.722222222219</v>
      </c>
      <c r="F794" s="52">
        <v>46038.78402777778</v>
      </c>
      <c r="G794" s="53">
        <f>F794-E794</f>
        <v>6.1805555560567882E-2</v>
      </c>
      <c r="H794" s="1" t="s">
        <v>257</v>
      </c>
      <c r="J794" s="1" t="s">
        <v>258</v>
      </c>
      <c r="K794" s="1" t="s">
        <v>658</v>
      </c>
      <c r="L794" s="1" t="s">
        <v>538</v>
      </c>
      <c r="M794" s="1" t="s">
        <v>260</v>
      </c>
      <c r="N794" s="1" t="s">
        <v>357</v>
      </c>
      <c r="O794" s="1" t="s">
        <v>632</v>
      </c>
      <c r="P794" s="1" t="str">
        <f>_xlfn.CONCAT(B794,C794,D794,E794,F794)</f>
        <v>BC Caiaponia2.1215KTL-H3(MBUS-16)46038,722222222246038,722222222246038,7840277778</v>
      </c>
      <c r="Q794" s="1" t="str">
        <f>_xlfn.CONCAT(H794,I794,J794)</f>
        <v>DAURDE</v>
      </c>
    </row>
    <row r="795" spans="2:17">
      <c r="B795" s="1" t="s">
        <v>583</v>
      </c>
      <c r="C795" s="1" t="s">
        <v>377</v>
      </c>
      <c r="D795" s="52">
        <v>46038.722222222219</v>
      </c>
      <c r="E795" s="52">
        <v>46038.722222222219</v>
      </c>
      <c r="F795" s="52">
        <v>46038.78402777778</v>
      </c>
      <c r="G795" s="53">
        <f>F795-E795</f>
        <v>6.1805555560567882E-2</v>
      </c>
      <c r="H795" s="1" t="s">
        <v>257</v>
      </c>
      <c r="J795" s="1" t="s">
        <v>258</v>
      </c>
      <c r="K795" s="1" t="s">
        <v>658</v>
      </c>
      <c r="L795" s="1" t="s">
        <v>538</v>
      </c>
      <c r="M795" s="1" t="s">
        <v>260</v>
      </c>
      <c r="N795" s="1" t="s">
        <v>357</v>
      </c>
      <c r="O795" s="1" t="s">
        <v>632</v>
      </c>
      <c r="P795" s="1" t="str">
        <f>_xlfn.CONCAT(B795,C795,D795,E795,F795)</f>
        <v>BC Caiaponia2.2215KTL-H3(MBUS-12)46038,722222222246038,722222222246038,7840277778</v>
      </c>
      <c r="Q795" s="1" t="str">
        <f>_xlfn.CONCAT(H795,I795,J795)</f>
        <v>DAURDE</v>
      </c>
    </row>
    <row r="796" spans="2:17">
      <c r="B796" s="1" t="s">
        <v>583</v>
      </c>
      <c r="C796" s="1" t="s">
        <v>378</v>
      </c>
      <c r="D796" s="52">
        <v>46038.722222222219</v>
      </c>
      <c r="E796" s="52">
        <v>46038.722222222219</v>
      </c>
      <c r="F796" s="52">
        <v>46038.78402777778</v>
      </c>
      <c r="G796" s="53">
        <f>F796-E796</f>
        <v>6.1805555560567882E-2</v>
      </c>
      <c r="H796" s="1" t="s">
        <v>257</v>
      </c>
      <c r="J796" s="1" t="s">
        <v>258</v>
      </c>
      <c r="K796" s="1" t="s">
        <v>658</v>
      </c>
      <c r="L796" s="1" t="s">
        <v>538</v>
      </c>
      <c r="M796" s="1" t="s">
        <v>260</v>
      </c>
      <c r="N796" s="1" t="s">
        <v>357</v>
      </c>
      <c r="O796" s="1" t="s">
        <v>632</v>
      </c>
      <c r="P796" s="1" t="str">
        <f>_xlfn.CONCAT(B796,C796,D796,E796,F796)</f>
        <v>BC Caiaponia2.2215KTL-H3(MBUS-13)46038,722222222246038,722222222246038,7840277778</v>
      </c>
      <c r="Q796" s="1" t="str">
        <f>_xlfn.CONCAT(H796,I796,J796)</f>
        <v>DAURDE</v>
      </c>
    </row>
    <row r="797" spans="2:17">
      <c r="B797" s="1" t="s">
        <v>583</v>
      </c>
      <c r="C797" s="1" t="s">
        <v>382</v>
      </c>
      <c r="D797" s="52">
        <v>46038.722222222219</v>
      </c>
      <c r="E797" s="52">
        <v>46038.722222222219</v>
      </c>
      <c r="F797" s="52">
        <v>46038.78402777778</v>
      </c>
      <c r="G797" s="53">
        <f>F797-E797</f>
        <v>6.1805555560567882E-2</v>
      </c>
      <c r="H797" s="1" t="s">
        <v>257</v>
      </c>
      <c r="J797" s="1" t="s">
        <v>258</v>
      </c>
      <c r="K797" s="1" t="s">
        <v>658</v>
      </c>
      <c r="L797" s="1" t="s">
        <v>538</v>
      </c>
      <c r="M797" s="1" t="s">
        <v>260</v>
      </c>
      <c r="N797" s="1" t="s">
        <v>357</v>
      </c>
      <c r="O797" s="1" t="s">
        <v>632</v>
      </c>
      <c r="P797" s="1" t="str">
        <f>_xlfn.CONCAT(B797,C797,D797,E797,F797)</f>
        <v>BC Caiaponia2.2215KTL-H3(MBUS-14)46038,722222222246038,722222222246038,7840277778</v>
      </c>
      <c r="Q797" s="1" t="str">
        <f>_xlfn.CONCAT(H797,I797,J797)</f>
        <v>DAURDE</v>
      </c>
    </row>
    <row r="798" spans="2:17">
      <c r="B798" s="1" t="s">
        <v>583</v>
      </c>
      <c r="C798" s="1" t="s">
        <v>380</v>
      </c>
      <c r="D798" s="52">
        <v>46038.722222222219</v>
      </c>
      <c r="E798" s="52">
        <v>46038.722222222219</v>
      </c>
      <c r="F798" s="52">
        <v>46038.78402777778</v>
      </c>
      <c r="G798" s="53">
        <f>F798-E798</f>
        <v>6.1805555560567882E-2</v>
      </c>
      <c r="H798" s="1" t="s">
        <v>257</v>
      </c>
      <c r="J798" s="1" t="s">
        <v>258</v>
      </c>
      <c r="K798" s="1" t="s">
        <v>658</v>
      </c>
      <c r="L798" s="1" t="s">
        <v>538</v>
      </c>
      <c r="M798" s="1" t="s">
        <v>260</v>
      </c>
      <c r="N798" s="1" t="s">
        <v>357</v>
      </c>
      <c r="O798" s="1" t="s">
        <v>632</v>
      </c>
      <c r="P798" s="1" t="str">
        <f>_xlfn.CONCAT(B798,C798,D798,E798,F798)</f>
        <v>BC Caiaponia2.2215KTL-H3(MBUS-15)46038,722222222246038,722222222246038,7840277778</v>
      </c>
      <c r="Q798" s="1" t="str">
        <f>_xlfn.CONCAT(H798,I798,J798)</f>
        <v>DAURDE</v>
      </c>
    </row>
    <row r="799" spans="2:17">
      <c r="B799" s="1" t="s">
        <v>583</v>
      </c>
      <c r="C799" s="1" t="s">
        <v>379</v>
      </c>
      <c r="D799" s="52">
        <v>46038.722222222219</v>
      </c>
      <c r="E799" s="52">
        <v>46038.722222222219</v>
      </c>
      <c r="F799" s="52">
        <v>46038.78402777778</v>
      </c>
      <c r="G799" s="53">
        <f>F799-E799</f>
        <v>6.1805555560567882E-2</v>
      </c>
      <c r="H799" s="1" t="s">
        <v>257</v>
      </c>
      <c r="J799" s="1" t="s">
        <v>258</v>
      </c>
      <c r="K799" s="1" t="s">
        <v>658</v>
      </c>
      <c r="L799" s="1" t="s">
        <v>538</v>
      </c>
      <c r="M799" s="1" t="s">
        <v>260</v>
      </c>
      <c r="N799" s="1" t="s">
        <v>357</v>
      </c>
      <c r="O799" s="1" t="s">
        <v>632</v>
      </c>
      <c r="P799" s="1" t="str">
        <f>_xlfn.CONCAT(B799,C799,D799,E799,F799)</f>
        <v>BC Caiaponia2.2215KTL-H3(MBUS-16)46038,722222222246038,722222222246038,7840277778</v>
      </c>
      <c r="Q799" s="1" t="str">
        <f>_xlfn.CONCAT(H799,I799,J799)</f>
        <v>DAURDE</v>
      </c>
    </row>
    <row r="800" spans="2:17">
      <c r="B800" s="1" t="s">
        <v>584</v>
      </c>
      <c r="C800" s="1" t="s">
        <v>377</v>
      </c>
      <c r="D800" s="52">
        <v>46038.722222222219</v>
      </c>
      <c r="E800" s="52">
        <v>46038.722222222219</v>
      </c>
      <c r="F800" s="52">
        <v>46038.78402777778</v>
      </c>
      <c r="G800" s="53">
        <f>F800-E800</f>
        <v>6.1805555560567882E-2</v>
      </c>
      <c r="H800" s="1" t="s">
        <v>257</v>
      </c>
      <c r="J800" s="1" t="s">
        <v>258</v>
      </c>
      <c r="K800" s="1" t="s">
        <v>658</v>
      </c>
      <c r="L800" s="1" t="s">
        <v>538</v>
      </c>
      <c r="M800" s="1" t="s">
        <v>260</v>
      </c>
      <c r="N800" s="1" t="s">
        <v>357</v>
      </c>
      <c r="O800" s="1" t="s">
        <v>632</v>
      </c>
      <c r="P800" s="1" t="str">
        <f>_xlfn.CONCAT(B800,C800,D800,E800,F800)</f>
        <v>BC Caiaponia2.3215KTL-H3(MBUS-12)46038,722222222246038,722222222246038,7840277778</v>
      </c>
      <c r="Q800" s="1" t="str">
        <f>_xlfn.CONCAT(H800,I800,J800)</f>
        <v>DAURDE</v>
      </c>
    </row>
    <row r="801" spans="2:17">
      <c r="B801" s="1" t="s">
        <v>584</v>
      </c>
      <c r="C801" s="1" t="s">
        <v>378</v>
      </c>
      <c r="D801" s="52">
        <v>46038.722222222219</v>
      </c>
      <c r="E801" s="52">
        <v>46038.722222222219</v>
      </c>
      <c r="F801" s="52">
        <v>46038.78402777778</v>
      </c>
      <c r="G801" s="53">
        <f>F801-E801</f>
        <v>6.1805555560567882E-2</v>
      </c>
      <c r="H801" s="1" t="s">
        <v>257</v>
      </c>
      <c r="J801" s="1" t="s">
        <v>258</v>
      </c>
      <c r="K801" s="1" t="s">
        <v>658</v>
      </c>
      <c r="L801" s="1" t="s">
        <v>538</v>
      </c>
      <c r="M801" s="1" t="s">
        <v>260</v>
      </c>
      <c r="N801" s="1" t="s">
        <v>357</v>
      </c>
      <c r="O801" s="1" t="s">
        <v>632</v>
      </c>
      <c r="P801" s="1" t="str">
        <f>_xlfn.CONCAT(B801,C801,D801,E801,F801)</f>
        <v>BC Caiaponia2.3215KTL-H3(MBUS-13)46038,722222222246038,722222222246038,7840277778</v>
      </c>
      <c r="Q801" s="1" t="str">
        <f>_xlfn.CONCAT(H801,I801,J801)</f>
        <v>DAURDE</v>
      </c>
    </row>
    <row r="802" spans="2:17">
      <c r="B802" s="1" t="s">
        <v>584</v>
      </c>
      <c r="C802" s="1" t="s">
        <v>382</v>
      </c>
      <c r="D802" s="52">
        <v>46038.722222222219</v>
      </c>
      <c r="E802" s="52">
        <v>46038.722222222219</v>
      </c>
      <c r="F802" s="52">
        <v>46038.78402777778</v>
      </c>
      <c r="G802" s="53">
        <f>F802-E802</f>
        <v>6.1805555560567882E-2</v>
      </c>
      <c r="H802" s="1" t="s">
        <v>257</v>
      </c>
      <c r="J802" s="1" t="s">
        <v>258</v>
      </c>
      <c r="K802" s="1" t="s">
        <v>658</v>
      </c>
      <c r="L802" s="1" t="s">
        <v>538</v>
      </c>
      <c r="M802" s="1" t="s">
        <v>260</v>
      </c>
      <c r="N802" s="1" t="s">
        <v>357</v>
      </c>
      <c r="O802" s="1" t="s">
        <v>632</v>
      </c>
      <c r="P802" s="1" t="str">
        <f>_xlfn.CONCAT(B802,C802,D802,E802,F802)</f>
        <v>BC Caiaponia2.3215KTL-H3(MBUS-14)46038,722222222246038,722222222246038,7840277778</v>
      </c>
      <c r="Q802" s="1" t="str">
        <f>_xlfn.CONCAT(H802,I802,J802)</f>
        <v>DAURDE</v>
      </c>
    </row>
    <row r="803" spans="2:17">
      <c r="B803" s="1" t="s">
        <v>584</v>
      </c>
      <c r="C803" s="1" t="s">
        <v>380</v>
      </c>
      <c r="D803" s="52">
        <v>46038.722222222219</v>
      </c>
      <c r="E803" s="52">
        <v>46038.722222222219</v>
      </c>
      <c r="F803" s="52">
        <v>46038.78402777778</v>
      </c>
      <c r="G803" s="53">
        <f>F803-E803</f>
        <v>6.1805555560567882E-2</v>
      </c>
      <c r="H803" s="1" t="s">
        <v>257</v>
      </c>
      <c r="J803" s="1" t="s">
        <v>258</v>
      </c>
      <c r="K803" s="1" t="s">
        <v>658</v>
      </c>
      <c r="L803" s="1" t="s">
        <v>538</v>
      </c>
      <c r="M803" s="1" t="s">
        <v>260</v>
      </c>
      <c r="N803" s="1" t="s">
        <v>357</v>
      </c>
      <c r="O803" s="1" t="s">
        <v>632</v>
      </c>
      <c r="P803" s="1" t="str">
        <f>_xlfn.CONCAT(B803,C803,D803,E803,F803)</f>
        <v>BC Caiaponia2.3215KTL-H3(MBUS-15)46038,722222222246038,722222222246038,7840277778</v>
      </c>
      <c r="Q803" s="1" t="str">
        <f>_xlfn.CONCAT(H803,I803,J803)</f>
        <v>DAURDE</v>
      </c>
    </row>
    <row r="804" spans="2:17">
      <c r="B804" s="1" t="s">
        <v>584</v>
      </c>
      <c r="C804" s="1" t="s">
        <v>379</v>
      </c>
      <c r="D804" s="52">
        <v>46038.722222222219</v>
      </c>
      <c r="E804" s="52">
        <v>46038.722222222219</v>
      </c>
      <c r="F804" s="52">
        <v>46038.78402777778</v>
      </c>
      <c r="G804" s="53">
        <f>F804-E804</f>
        <v>6.1805555560567882E-2</v>
      </c>
      <c r="H804" s="1" t="s">
        <v>257</v>
      </c>
      <c r="J804" s="1" t="s">
        <v>258</v>
      </c>
      <c r="K804" s="1" t="s">
        <v>658</v>
      </c>
      <c r="L804" s="1" t="s">
        <v>538</v>
      </c>
      <c r="M804" s="1" t="s">
        <v>260</v>
      </c>
      <c r="N804" s="1" t="s">
        <v>357</v>
      </c>
      <c r="O804" s="1" t="s">
        <v>632</v>
      </c>
      <c r="P804" s="1" t="str">
        <f>_xlfn.CONCAT(B804,C804,D804,E804,F804)</f>
        <v>BC Caiaponia2.3215KTL-H3(MBUS-16)46038,722222222246038,722222222246038,7840277778</v>
      </c>
      <c r="Q804" s="1" t="str">
        <f>_xlfn.CONCAT(H804,I804,J804)</f>
        <v>DAURDE</v>
      </c>
    </row>
    <row r="805" spans="2:17">
      <c r="B805" s="1" t="s">
        <v>456</v>
      </c>
      <c r="C805" s="1" t="s">
        <v>457</v>
      </c>
      <c r="D805" s="52">
        <v>46039.420138888891</v>
      </c>
      <c r="E805" s="52">
        <v>46039.420138888891</v>
      </c>
      <c r="F805" s="52">
        <v>46039.475694444445</v>
      </c>
      <c r="G805" s="53">
        <f>F805-E805</f>
        <v>5.5555555554747116E-2</v>
      </c>
      <c r="H805" s="1" t="s">
        <v>257</v>
      </c>
      <c r="J805" s="1" t="s">
        <v>258</v>
      </c>
      <c r="K805" s="1" t="s">
        <v>658</v>
      </c>
      <c r="L805" s="1" t="s">
        <v>538</v>
      </c>
      <c r="M805" s="1" t="s">
        <v>260</v>
      </c>
      <c r="N805" s="1" t="s">
        <v>357</v>
      </c>
      <c r="O805" s="1" t="s">
        <v>632</v>
      </c>
      <c r="P805" s="1" t="str">
        <f>_xlfn.CONCAT(B805,C805,D805,E805,F805)</f>
        <v>BC Caiaponia1SG60KTL(COM1-001)_001_00746039,420138888946039,420138888946039,4756944444</v>
      </c>
      <c r="Q805" s="1" t="str">
        <f>_xlfn.CONCAT(H805,I805,J805)</f>
        <v>DAURDE</v>
      </c>
    </row>
    <row r="806" spans="2:17">
      <c r="B806" s="1" t="s">
        <v>456</v>
      </c>
      <c r="C806" s="1" t="s">
        <v>459</v>
      </c>
      <c r="D806" s="52">
        <v>46039.420138888891</v>
      </c>
      <c r="E806" s="52">
        <v>46039.420138888891</v>
      </c>
      <c r="F806" s="52">
        <v>46039.475694444445</v>
      </c>
      <c r="G806" s="53">
        <f>F806-E806</f>
        <v>5.5555555554747116E-2</v>
      </c>
      <c r="H806" s="1" t="s">
        <v>257</v>
      </c>
      <c r="J806" s="1" t="s">
        <v>258</v>
      </c>
      <c r="K806" s="1" t="s">
        <v>658</v>
      </c>
      <c r="L806" s="1" t="s">
        <v>538</v>
      </c>
      <c r="M806" s="1" t="s">
        <v>260</v>
      </c>
      <c r="N806" s="1" t="s">
        <v>357</v>
      </c>
      <c r="O806" s="1" t="s">
        <v>632</v>
      </c>
      <c r="P806" s="1" t="str">
        <f>_xlfn.CONCAT(B806,C806,D806,E806,F806)</f>
        <v>BC Caiaponia1SG60KTL(COM1-002)_001_01046039,420138888946039,420138888946039,4756944444</v>
      </c>
      <c r="Q806" s="1" t="str">
        <f>_xlfn.CONCAT(H806,I806,J806)</f>
        <v>DAURDE</v>
      </c>
    </row>
    <row r="807" spans="2:17">
      <c r="B807" s="1" t="s">
        <v>456</v>
      </c>
      <c r="C807" s="1" t="s">
        <v>460</v>
      </c>
      <c r="D807" s="52">
        <v>46039.420138888891</v>
      </c>
      <c r="E807" s="52">
        <v>46039.420138888891</v>
      </c>
      <c r="F807" s="52">
        <v>46039.475694444445</v>
      </c>
      <c r="G807" s="53">
        <f>F807-E807</f>
        <v>5.5555555554747116E-2</v>
      </c>
      <c r="H807" s="1" t="s">
        <v>257</v>
      </c>
      <c r="J807" s="1" t="s">
        <v>258</v>
      </c>
      <c r="K807" s="1" t="s">
        <v>658</v>
      </c>
      <c r="L807" s="1" t="s">
        <v>538</v>
      </c>
      <c r="M807" s="1" t="s">
        <v>260</v>
      </c>
      <c r="N807" s="1" t="s">
        <v>357</v>
      </c>
      <c r="O807" s="1" t="s">
        <v>632</v>
      </c>
      <c r="P807" s="1" t="str">
        <f>_xlfn.CONCAT(B807,C807,D807,E807,F807)</f>
        <v>BC Caiaponia1SG60KTL(COM1-003)_001_01146039,420138888946039,420138888946039,4756944444</v>
      </c>
      <c r="Q807" s="1" t="str">
        <f>_xlfn.CONCAT(H807,I807,J807)</f>
        <v>DAURDE</v>
      </c>
    </row>
    <row r="808" spans="2:17">
      <c r="B808" s="1" t="s">
        <v>456</v>
      </c>
      <c r="C808" s="1" t="s">
        <v>461</v>
      </c>
      <c r="D808" s="52">
        <v>46039.420138888891</v>
      </c>
      <c r="E808" s="52">
        <v>46039.420138888891</v>
      </c>
      <c r="F808" s="52">
        <v>46039.475694444445</v>
      </c>
      <c r="G808" s="53">
        <f>F808-E808</f>
        <v>5.5555555554747116E-2</v>
      </c>
      <c r="H808" s="1" t="s">
        <v>257</v>
      </c>
      <c r="J808" s="1" t="s">
        <v>258</v>
      </c>
      <c r="K808" s="1" t="s">
        <v>658</v>
      </c>
      <c r="L808" s="1" t="s">
        <v>538</v>
      </c>
      <c r="M808" s="1" t="s">
        <v>260</v>
      </c>
      <c r="N808" s="1" t="s">
        <v>357</v>
      </c>
      <c r="O808" s="1" t="s">
        <v>632</v>
      </c>
      <c r="P808" s="1" t="str">
        <f>_xlfn.CONCAT(B808,C808,D808,E808,F808)</f>
        <v>BC Caiaponia1SG60KTL(COM1-004)_001_01446039,420138888946039,420138888946039,4756944444</v>
      </c>
      <c r="Q808" s="1" t="str">
        <f>_xlfn.CONCAT(H808,I808,J808)</f>
        <v>DAURDE</v>
      </c>
    </row>
    <row r="809" spans="2:17">
      <c r="B809" s="1" t="s">
        <v>456</v>
      </c>
      <c r="C809" s="1" t="s">
        <v>462</v>
      </c>
      <c r="D809" s="52">
        <v>46039.420138888891</v>
      </c>
      <c r="E809" s="52">
        <v>46039.420138888891</v>
      </c>
      <c r="F809" s="52">
        <v>46039.475694444445</v>
      </c>
      <c r="G809" s="53">
        <f>F809-E809</f>
        <v>5.5555555554747116E-2</v>
      </c>
      <c r="H809" s="1" t="s">
        <v>257</v>
      </c>
      <c r="J809" s="1" t="s">
        <v>258</v>
      </c>
      <c r="K809" s="1" t="s">
        <v>658</v>
      </c>
      <c r="L809" s="1" t="s">
        <v>538</v>
      </c>
      <c r="M809" s="1" t="s">
        <v>260</v>
      </c>
      <c r="N809" s="1" t="s">
        <v>357</v>
      </c>
      <c r="O809" s="1" t="s">
        <v>632</v>
      </c>
      <c r="P809" s="1" t="str">
        <f>_xlfn.CONCAT(B809,C809,D809,E809,F809)</f>
        <v>BC Caiaponia1SG60KTL(COM1-005)_001_01746039,420138888946039,420138888946039,4756944444</v>
      </c>
      <c r="Q809" s="1" t="str">
        <f>_xlfn.CONCAT(H809,I809,J809)</f>
        <v>DAURDE</v>
      </c>
    </row>
    <row r="810" spans="2:17">
      <c r="B810" s="1" t="s">
        <v>456</v>
      </c>
      <c r="C810" s="1" t="s">
        <v>463</v>
      </c>
      <c r="D810" s="52">
        <v>46039.420138888891</v>
      </c>
      <c r="E810" s="52">
        <v>46039.420138888891</v>
      </c>
      <c r="F810" s="52">
        <v>46039.475694444445</v>
      </c>
      <c r="G810" s="53">
        <f>F810-E810</f>
        <v>5.5555555554747116E-2</v>
      </c>
      <c r="H810" s="1" t="s">
        <v>257</v>
      </c>
      <c r="J810" s="1" t="s">
        <v>258</v>
      </c>
      <c r="K810" s="1" t="s">
        <v>658</v>
      </c>
      <c r="L810" s="1" t="s">
        <v>538</v>
      </c>
      <c r="M810" s="1" t="s">
        <v>260</v>
      </c>
      <c r="N810" s="1" t="s">
        <v>357</v>
      </c>
      <c r="O810" s="1" t="s">
        <v>632</v>
      </c>
      <c r="P810" s="1" t="str">
        <f>_xlfn.CONCAT(B810,C810,D810,E810,F810)</f>
        <v>BC Caiaponia1SG60KTL(COM1-006)_001_01646039,420138888946039,420138888946039,4756944444</v>
      </c>
      <c r="Q810" s="1" t="str">
        <f>_xlfn.CONCAT(H810,I810,J810)</f>
        <v>DAURDE</v>
      </c>
    </row>
    <row r="811" spans="2:17">
      <c r="B811" s="1" t="s">
        <v>456</v>
      </c>
      <c r="C811" s="1" t="s">
        <v>464</v>
      </c>
      <c r="D811" s="52">
        <v>46039.420138888891</v>
      </c>
      <c r="E811" s="52">
        <v>46039.420138888891</v>
      </c>
      <c r="F811" s="52">
        <v>46039.475694444445</v>
      </c>
      <c r="G811" s="53">
        <f>F811-E811</f>
        <v>5.5555555554747116E-2</v>
      </c>
      <c r="H811" s="1" t="s">
        <v>257</v>
      </c>
      <c r="J811" s="1" t="s">
        <v>258</v>
      </c>
      <c r="K811" s="1" t="s">
        <v>658</v>
      </c>
      <c r="L811" s="1" t="s">
        <v>538</v>
      </c>
      <c r="M811" s="1" t="s">
        <v>260</v>
      </c>
      <c r="N811" s="1" t="s">
        <v>357</v>
      </c>
      <c r="O811" s="1" t="s">
        <v>632</v>
      </c>
      <c r="P811" s="1" t="str">
        <f>_xlfn.CONCAT(B811,C811,D811,E811,F811)</f>
        <v>BC Caiaponia1SG60KTL(COM1-007)_001_01346039,420138888946039,420138888946039,4756944444</v>
      </c>
      <c r="Q811" s="1" t="str">
        <f>_xlfn.CONCAT(H811,I811,J811)</f>
        <v>DAURDE</v>
      </c>
    </row>
    <row r="812" spans="2:17">
      <c r="B812" s="1" t="s">
        <v>456</v>
      </c>
      <c r="C812" s="1" t="s">
        <v>465</v>
      </c>
      <c r="D812" s="52">
        <v>46039.420138888891</v>
      </c>
      <c r="E812" s="52">
        <v>46039.420138888891</v>
      </c>
      <c r="F812" s="52">
        <v>46039.475694444445</v>
      </c>
      <c r="G812" s="53">
        <f>F812-E812</f>
        <v>5.5555555554747116E-2</v>
      </c>
      <c r="H812" s="1" t="s">
        <v>257</v>
      </c>
      <c r="J812" s="1" t="s">
        <v>258</v>
      </c>
      <c r="K812" s="1" t="s">
        <v>658</v>
      </c>
      <c r="L812" s="1" t="s">
        <v>538</v>
      </c>
      <c r="M812" s="1" t="s">
        <v>260</v>
      </c>
      <c r="N812" s="1" t="s">
        <v>357</v>
      </c>
      <c r="O812" s="1" t="s">
        <v>632</v>
      </c>
      <c r="P812" s="1" t="str">
        <f>_xlfn.CONCAT(B812,C812,D812,E812,F812)</f>
        <v>BC Caiaponia1SG60KTL(COM1-008)_001_00146039,420138888946039,420138888946039,4756944444</v>
      </c>
      <c r="Q812" s="1" t="str">
        <f>_xlfn.CONCAT(H812,I812,J812)</f>
        <v>DAURDE</v>
      </c>
    </row>
    <row r="813" spans="2:17">
      <c r="B813" s="1" t="s">
        <v>456</v>
      </c>
      <c r="C813" s="1" t="s">
        <v>466</v>
      </c>
      <c r="D813" s="52">
        <v>46039.420138888891</v>
      </c>
      <c r="E813" s="52">
        <v>46039.420138888891</v>
      </c>
      <c r="F813" s="52">
        <v>46039.475694444445</v>
      </c>
      <c r="G813" s="53">
        <f>F813-E813</f>
        <v>5.5555555554747116E-2</v>
      </c>
      <c r="H813" s="1" t="s">
        <v>257</v>
      </c>
      <c r="J813" s="1" t="s">
        <v>258</v>
      </c>
      <c r="K813" s="1" t="s">
        <v>658</v>
      </c>
      <c r="L813" s="1" t="s">
        <v>538</v>
      </c>
      <c r="M813" s="1" t="s">
        <v>260</v>
      </c>
      <c r="N813" s="1" t="s">
        <v>357</v>
      </c>
      <c r="O813" s="1" t="s">
        <v>632</v>
      </c>
      <c r="P813" s="1" t="str">
        <f>_xlfn.CONCAT(B813,C813,D813,E813,F813)</f>
        <v>BC Caiaponia1SG60KTL(COM1-009)46039,420138888946039,420138888946039,4756944444</v>
      </c>
      <c r="Q813" s="1" t="str">
        <f>_xlfn.CONCAT(H813,I813,J813)</f>
        <v>DAURDE</v>
      </c>
    </row>
    <row r="814" spans="2:17">
      <c r="B814" s="1" t="s">
        <v>456</v>
      </c>
      <c r="C814" s="1" t="s">
        <v>467</v>
      </c>
      <c r="D814" s="52">
        <v>46039.420138888891</v>
      </c>
      <c r="E814" s="52">
        <v>46039.420138888891</v>
      </c>
      <c r="F814" s="52">
        <v>46039.475694444445</v>
      </c>
      <c r="G814" s="53">
        <f>F814-E814</f>
        <v>5.5555555554747116E-2</v>
      </c>
      <c r="H814" s="1" t="s">
        <v>257</v>
      </c>
      <c r="J814" s="1" t="s">
        <v>258</v>
      </c>
      <c r="K814" s="1" t="s">
        <v>658</v>
      </c>
      <c r="L814" s="1" t="s">
        <v>538</v>
      </c>
      <c r="M814" s="1" t="s">
        <v>260</v>
      </c>
      <c r="N814" s="1" t="s">
        <v>357</v>
      </c>
      <c r="O814" s="1" t="s">
        <v>632</v>
      </c>
      <c r="P814" s="1" t="str">
        <f>_xlfn.CONCAT(B814,C814,D814,E814,F814)</f>
        <v>BC Caiaponia1SG60KTL(COM1-010)46039,420138888946039,420138888946039,4756944444</v>
      </c>
      <c r="Q814" s="1" t="str">
        <f>_xlfn.CONCAT(H814,I814,J814)</f>
        <v>DAURDE</v>
      </c>
    </row>
    <row r="815" spans="2:17">
      <c r="B815" s="1" t="s">
        <v>456</v>
      </c>
      <c r="C815" s="1" t="s">
        <v>468</v>
      </c>
      <c r="D815" s="52">
        <v>46039.420138888891</v>
      </c>
      <c r="E815" s="52">
        <v>46039.420138888891</v>
      </c>
      <c r="F815" s="52">
        <v>46039.475694444445</v>
      </c>
      <c r="G815" s="53">
        <f>F815-E815</f>
        <v>5.5555555554747116E-2</v>
      </c>
      <c r="H815" s="1" t="s">
        <v>257</v>
      </c>
      <c r="J815" s="1" t="s">
        <v>258</v>
      </c>
      <c r="K815" s="1" t="s">
        <v>658</v>
      </c>
      <c r="L815" s="1" t="s">
        <v>538</v>
      </c>
      <c r="M815" s="1" t="s">
        <v>260</v>
      </c>
      <c r="N815" s="1" t="s">
        <v>357</v>
      </c>
      <c r="O815" s="1" t="s">
        <v>632</v>
      </c>
      <c r="P815" s="1" t="str">
        <f>_xlfn.CONCAT(B815,C815,D815,E815,F815)</f>
        <v>BC Caiaponia1SG60KTL(COM1-011)46039,420138888946039,420138888946039,4756944444</v>
      </c>
      <c r="Q815" s="1" t="str">
        <f>_xlfn.CONCAT(H815,I815,J815)</f>
        <v>DAURDE</v>
      </c>
    </row>
    <row r="816" spans="2:17">
      <c r="B816" s="1" t="s">
        <v>456</v>
      </c>
      <c r="C816" s="1" t="s">
        <v>469</v>
      </c>
      <c r="D816" s="52">
        <v>46039.420138888891</v>
      </c>
      <c r="E816" s="52">
        <v>46039.420138888891</v>
      </c>
      <c r="F816" s="52">
        <v>46039.475694444445</v>
      </c>
      <c r="G816" s="53">
        <f>F816-E816</f>
        <v>5.5555555554747116E-2</v>
      </c>
      <c r="H816" s="1" t="s">
        <v>257</v>
      </c>
      <c r="J816" s="1" t="s">
        <v>258</v>
      </c>
      <c r="K816" s="1" t="s">
        <v>658</v>
      </c>
      <c r="L816" s="1" t="s">
        <v>538</v>
      </c>
      <c r="M816" s="1" t="s">
        <v>260</v>
      </c>
      <c r="N816" s="1" t="s">
        <v>357</v>
      </c>
      <c r="O816" s="1" t="s">
        <v>632</v>
      </c>
      <c r="P816" s="1" t="str">
        <f>_xlfn.CONCAT(B816,C816,D816,E816,F816)</f>
        <v>BC Caiaponia1SG60KTL(COM1-012)46039,420138888946039,420138888946039,4756944444</v>
      </c>
      <c r="Q816" s="1" t="str">
        <f>_xlfn.CONCAT(H816,I816,J816)</f>
        <v>DAURDE</v>
      </c>
    </row>
    <row r="817" spans="2:17">
      <c r="B817" s="1" t="s">
        <v>456</v>
      </c>
      <c r="C817" s="1" t="s">
        <v>470</v>
      </c>
      <c r="D817" s="52">
        <v>46039.420138888891</v>
      </c>
      <c r="E817" s="52">
        <v>46039.420138888891</v>
      </c>
      <c r="F817" s="52">
        <v>46039.475694444445</v>
      </c>
      <c r="G817" s="53">
        <f>F817-E817</f>
        <v>5.5555555554747116E-2</v>
      </c>
      <c r="H817" s="1" t="s">
        <v>257</v>
      </c>
      <c r="J817" s="1" t="s">
        <v>258</v>
      </c>
      <c r="K817" s="1" t="s">
        <v>658</v>
      </c>
      <c r="L817" s="1" t="s">
        <v>538</v>
      </c>
      <c r="M817" s="1" t="s">
        <v>260</v>
      </c>
      <c r="N817" s="1" t="s">
        <v>357</v>
      </c>
      <c r="O817" s="1" t="s">
        <v>632</v>
      </c>
      <c r="P817" s="1" t="str">
        <f>_xlfn.CONCAT(B817,C817,D817,E817,F817)</f>
        <v>BC Caiaponia1SG60KTL(COM1-013)46039,420138888946039,420138888946039,4756944444</v>
      </c>
      <c r="Q817" s="1" t="str">
        <f>_xlfn.CONCAT(H817,I817,J817)</f>
        <v>DAURDE</v>
      </c>
    </row>
    <row r="818" spans="2:17">
      <c r="B818" s="1" t="s">
        <v>456</v>
      </c>
      <c r="C818" s="1" t="s">
        <v>471</v>
      </c>
      <c r="D818" s="52">
        <v>46039.420138888891</v>
      </c>
      <c r="E818" s="52">
        <v>46039.420138888891</v>
      </c>
      <c r="F818" s="52">
        <v>46039.475694444445</v>
      </c>
      <c r="G818" s="53">
        <f>F818-E818</f>
        <v>5.5555555554747116E-2</v>
      </c>
      <c r="H818" s="1" t="s">
        <v>257</v>
      </c>
      <c r="J818" s="1" t="s">
        <v>258</v>
      </c>
      <c r="K818" s="1" t="s">
        <v>658</v>
      </c>
      <c r="L818" s="1" t="s">
        <v>538</v>
      </c>
      <c r="M818" s="1" t="s">
        <v>260</v>
      </c>
      <c r="N818" s="1" t="s">
        <v>357</v>
      </c>
      <c r="O818" s="1" t="s">
        <v>632</v>
      </c>
      <c r="P818" s="1" t="str">
        <f>_xlfn.CONCAT(B818,C818,D818,E818,F818)</f>
        <v>BC Caiaponia1SG60KTL(COM1-014)46039,420138888946039,420138888946039,4756944444</v>
      </c>
      <c r="Q818" s="1" t="str">
        <f>_xlfn.CONCAT(H818,I818,J818)</f>
        <v>DAURDE</v>
      </c>
    </row>
    <row r="819" spans="2:17">
      <c r="B819" s="1" t="s">
        <v>456</v>
      </c>
      <c r="C819" s="1" t="s">
        <v>472</v>
      </c>
      <c r="D819" s="52">
        <v>46039.420138888891</v>
      </c>
      <c r="E819" s="52">
        <v>46039.420138888891</v>
      </c>
      <c r="F819" s="52">
        <v>46039.475694444445</v>
      </c>
      <c r="G819" s="53">
        <f>F819-E819</f>
        <v>5.5555555554747116E-2</v>
      </c>
      <c r="H819" s="1" t="s">
        <v>257</v>
      </c>
      <c r="J819" s="1" t="s">
        <v>258</v>
      </c>
      <c r="K819" s="1" t="s">
        <v>658</v>
      </c>
      <c r="L819" s="1" t="s">
        <v>538</v>
      </c>
      <c r="M819" s="1" t="s">
        <v>260</v>
      </c>
      <c r="N819" s="1" t="s">
        <v>357</v>
      </c>
      <c r="O819" s="1" t="s">
        <v>632</v>
      </c>
      <c r="P819" s="1" t="str">
        <f>_xlfn.CONCAT(B819,C819,D819,E819,F819)</f>
        <v>BC Caiaponia1SG60KTL(COM1-015)46039,420138888946039,420138888946039,4756944444</v>
      </c>
      <c r="Q819" s="1" t="str">
        <f>_xlfn.CONCAT(H819,I819,J819)</f>
        <v>DAURDE</v>
      </c>
    </row>
    <row r="820" spans="2:17">
      <c r="B820" s="1" t="s">
        <v>456</v>
      </c>
      <c r="C820" s="1" t="s">
        <v>473</v>
      </c>
      <c r="D820" s="52">
        <v>46039.420138888891</v>
      </c>
      <c r="E820" s="52">
        <v>46039.420138888891</v>
      </c>
      <c r="F820" s="52">
        <v>46039.475694444445</v>
      </c>
      <c r="G820" s="53">
        <f>F820-E820</f>
        <v>5.5555555554747116E-2</v>
      </c>
      <c r="H820" s="1" t="s">
        <v>257</v>
      </c>
      <c r="J820" s="1" t="s">
        <v>258</v>
      </c>
      <c r="K820" s="1" t="s">
        <v>658</v>
      </c>
      <c r="L820" s="1" t="s">
        <v>538</v>
      </c>
      <c r="M820" s="1" t="s">
        <v>260</v>
      </c>
      <c r="N820" s="1" t="s">
        <v>357</v>
      </c>
      <c r="O820" s="1" t="s">
        <v>632</v>
      </c>
      <c r="P820" s="1" t="str">
        <f>_xlfn.CONCAT(B820,C820,D820,E820,F820)</f>
        <v>BC Caiaponia1SG60KTL(COM3-016)_001_00946039,420138888946039,420138888946039,4756944444</v>
      </c>
      <c r="Q820" s="1" t="str">
        <f>_xlfn.CONCAT(H820,I820,J820)</f>
        <v>DAURDE</v>
      </c>
    </row>
    <row r="821" spans="2:17">
      <c r="B821" s="1" t="s">
        <v>456</v>
      </c>
      <c r="C821" s="1" t="s">
        <v>474</v>
      </c>
      <c r="D821" s="52">
        <v>46039.420138888891</v>
      </c>
      <c r="E821" s="52">
        <v>46039.420138888891</v>
      </c>
      <c r="F821" s="52">
        <v>46039.475694444445</v>
      </c>
      <c r="G821" s="53">
        <f>F821-E821</f>
        <v>5.5555555554747116E-2</v>
      </c>
      <c r="H821" s="1" t="s">
        <v>257</v>
      </c>
      <c r="J821" s="1" t="s">
        <v>258</v>
      </c>
      <c r="K821" s="1" t="s">
        <v>658</v>
      </c>
      <c r="L821" s="1" t="s">
        <v>538</v>
      </c>
      <c r="M821" s="1" t="s">
        <v>260</v>
      </c>
      <c r="N821" s="1" t="s">
        <v>357</v>
      </c>
      <c r="O821" s="1" t="s">
        <v>632</v>
      </c>
      <c r="P821" s="1" t="str">
        <f>_xlfn.CONCAT(B821,C821,D821,E821,F821)</f>
        <v>BC Caiaponia1SG60KTL(COM3-017)_001_01246039,420138888946039,420138888946039,4756944444</v>
      </c>
      <c r="Q821" s="1" t="str">
        <f>_xlfn.CONCAT(H821,I821,J821)</f>
        <v>DAURDE</v>
      </c>
    </row>
    <row r="822" spans="2:17">
      <c r="B822" s="1" t="s">
        <v>456</v>
      </c>
      <c r="C822" s="1" t="s">
        <v>475</v>
      </c>
      <c r="D822" s="52">
        <v>46039.420138888891</v>
      </c>
      <c r="E822" s="52">
        <v>46039.420138888891</v>
      </c>
      <c r="F822" s="52">
        <v>46039.475694444445</v>
      </c>
      <c r="G822" s="53">
        <f>F822-E822</f>
        <v>5.5555555554747116E-2</v>
      </c>
      <c r="H822" s="1" t="s">
        <v>257</v>
      </c>
      <c r="J822" s="1" t="s">
        <v>258</v>
      </c>
      <c r="K822" s="1" t="s">
        <v>658</v>
      </c>
      <c r="L822" s="1" t="s">
        <v>538</v>
      </c>
      <c r="M822" s="1" t="s">
        <v>260</v>
      </c>
      <c r="N822" s="1" t="s">
        <v>357</v>
      </c>
      <c r="O822" s="1" t="s">
        <v>632</v>
      </c>
      <c r="P822" s="1" t="str">
        <f>_xlfn.CONCAT(B822,C822,D822,E822,F822)</f>
        <v>BC Caiaponia1SG60KTL(COM3-018)_001_00846039,420138888946039,420138888946039,4756944444</v>
      </c>
      <c r="Q822" s="1" t="str">
        <f>_xlfn.CONCAT(H822,I822,J822)</f>
        <v>DAURDE</v>
      </c>
    </row>
    <row r="823" spans="2:17">
      <c r="B823" s="1" t="s">
        <v>456</v>
      </c>
      <c r="C823" s="1" t="s">
        <v>476</v>
      </c>
      <c r="D823" s="52">
        <v>46039.420138888891</v>
      </c>
      <c r="E823" s="52">
        <v>46039.420138888891</v>
      </c>
      <c r="F823" s="52">
        <v>46039.475694444445</v>
      </c>
      <c r="G823" s="53">
        <f>F823-E823</f>
        <v>5.5555555554747116E-2</v>
      </c>
      <c r="H823" s="1" t="s">
        <v>257</v>
      </c>
      <c r="J823" s="1" t="s">
        <v>258</v>
      </c>
      <c r="K823" s="1" t="s">
        <v>658</v>
      </c>
      <c r="L823" s="1" t="s">
        <v>538</v>
      </c>
      <c r="M823" s="1" t="s">
        <v>260</v>
      </c>
      <c r="N823" s="1" t="s">
        <v>357</v>
      </c>
      <c r="O823" s="1" t="s">
        <v>632</v>
      </c>
      <c r="P823" s="1" t="str">
        <f>_xlfn.CONCAT(B823,C823,D823,E823,F823)</f>
        <v>BC Caiaponia1SG60KTL(COM3-019)_001_01946039,420138888946039,420138888946039,4756944444</v>
      </c>
      <c r="Q823" s="1" t="str">
        <f>_xlfn.CONCAT(H823,I823,J823)</f>
        <v>DAURDE</v>
      </c>
    </row>
    <row r="824" spans="2:17">
      <c r="B824" s="1" t="s">
        <v>456</v>
      </c>
      <c r="C824" s="1" t="s">
        <v>477</v>
      </c>
      <c r="D824" s="52">
        <v>46039.420138888891</v>
      </c>
      <c r="E824" s="52">
        <v>46039.420138888891</v>
      </c>
      <c r="F824" s="52">
        <v>46039.475694444445</v>
      </c>
      <c r="G824" s="53">
        <f>F824-E824</f>
        <v>5.5555555554747116E-2</v>
      </c>
      <c r="H824" s="1" t="s">
        <v>257</v>
      </c>
      <c r="J824" s="1" t="s">
        <v>258</v>
      </c>
      <c r="K824" s="1" t="s">
        <v>658</v>
      </c>
      <c r="L824" s="1" t="s">
        <v>538</v>
      </c>
      <c r="M824" s="1" t="s">
        <v>260</v>
      </c>
      <c r="N824" s="1" t="s">
        <v>357</v>
      </c>
      <c r="O824" s="1" t="s">
        <v>632</v>
      </c>
      <c r="P824" s="1" t="str">
        <f>_xlfn.CONCAT(B824,C824,D824,E824,F824)</f>
        <v>BC Caiaponia1SG60KTL(COM3-020)_001_02046039,420138888946039,420138888946039,4756944444</v>
      </c>
      <c r="Q824" s="1" t="str">
        <f>_xlfn.CONCAT(H824,I824,J824)</f>
        <v>DAURDE</v>
      </c>
    </row>
    <row r="825" spans="2:17">
      <c r="B825" s="1" t="s">
        <v>456</v>
      </c>
      <c r="C825" s="1" t="s">
        <v>478</v>
      </c>
      <c r="D825" s="52">
        <v>46039.420138888891</v>
      </c>
      <c r="E825" s="52">
        <v>46039.420138888891</v>
      </c>
      <c r="F825" s="52">
        <v>46039.475694444445</v>
      </c>
      <c r="G825" s="53">
        <f>F825-E825</f>
        <v>5.5555555554747116E-2</v>
      </c>
      <c r="H825" s="1" t="s">
        <v>257</v>
      </c>
      <c r="J825" s="1" t="s">
        <v>258</v>
      </c>
      <c r="K825" s="1" t="s">
        <v>658</v>
      </c>
      <c r="L825" s="1" t="s">
        <v>538</v>
      </c>
      <c r="M825" s="1" t="s">
        <v>260</v>
      </c>
      <c r="N825" s="1" t="s">
        <v>357</v>
      </c>
      <c r="O825" s="1" t="s">
        <v>632</v>
      </c>
      <c r="P825" s="1" t="str">
        <f>_xlfn.CONCAT(B825,C825,D825,E825,F825)</f>
        <v>BC Caiaponia1SG60KTL(COM2-026)46039,420138888946039,420138888946039,4756944444</v>
      </c>
      <c r="Q825" s="1" t="str">
        <f>_xlfn.CONCAT(H825,I825,J825)</f>
        <v>DAURDE</v>
      </c>
    </row>
    <row r="826" spans="2:17">
      <c r="B826" s="1" t="s">
        <v>456</v>
      </c>
      <c r="C826" s="1" t="s">
        <v>479</v>
      </c>
      <c r="D826" s="52">
        <v>46039.420138888891</v>
      </c>
      <c r="E826" s="52">
        <v>46039.420138888891</v>
      </c>
      <c r="F826" s="52">
        <v>46039.475694444445</v>
      </c>
      <c r="G826" s="53">
        <f>F826-E826</f>
        <v>5.5555555554747116E-2</v>
      </c>
      <c r="H826" s="1" t="s">
        <v>257</v>
      </c>
      <c r="J826" s="1" t="s">
        <v>258</v>
      </c>
      <c r="K826" s="1" t="s">
        <v>658</v>
      </c>
      <c r="L826" s="1" t="s">
        <v>538</v>
      </c>
      <c r="M826" s="1" t="s">
        <v>260</v>
      </c>
      <c r="N826" s="1" t="s">
        <v>357</v>
      </c>
      <c r="O826" s="1" t="s">
        <v>632</v>
      </c>
      <c r="P826" s="1" t="str">
        <f>_xlfn.CONCAT(B826,C826,D826,E826,F826)</f>
        <v>BC Caiaponia1SG60KTL(COM2-027)46039,420138888946039,420138888946039,4756944444</v>
      </c>
      <c r="Q826" s="1" t="str">
        <f>_xlfn.CONCAT(H826,I826,J826)</f>
        <v>DAURDE</v>
      </c>
    </row>
    <row r="827" spans="2:17">
      <c r="B827" s="1" t="s">
        <v>456</v>
      </c>
      <c r="C827" s="1" t="s">
        <v>480</v>
      </c>
      <c r="D827" s="52">
        <v>46039.420138888891</v>
      </c>
      <c r="E827" s="52">
        <v>46039.420138888891</v>
      </c>
      <c r="F827" s="52">
        <v>46039.475694444445</v>
      </c>
      <c r="G827" s="53">
        <f>F827-E827</f>
        <v>5.5555555554747116E-2</v>
      </c>
      <c r="H827" s="1" t="s">
        <v>257</v>
      </c>
      <c r="J827" s="1" t="s">
        <v>258</v>
      </c>
      <c r="K827" s="1" t="s">
        <v>658</v>
      </c>
      <c r="L827" s="1" t="s">
        <v>538</v>
      </c>
      <c r="M827" s="1" t="s">
        <v>260</v>
      </c>
      <c r="N827" s="1" t="s">
        <v>357</v>
      </c>
      <c r="O827" s="1" t="s">
        <v>632</v>
      </c>
      <c r="P827" s="1" t="str">
        <f>_xlfn.CONCAT(B827,C827,D827,E827,F827)</f>
        <v>BC Caiaponia1SG60KTL(COM2-028)46039,420138888946039,420138888946039,4756944444</v>
      </c>
      <c r="Q827" s="1" t="str">
        <f>_xlfn.CONCAT(H827,I827,J827)</f>
        <v>DAURDE</v>
      </c>
    </row>
    <row r="828" spans="2:17">
      <c r="B828" s="1" t="s">
        <v>456</v>
      </c>
      <c r="C828" s="1" t="s">
        <v>481</v>
      </c>
      <c r="D828" s="52">
        <v>46039.420138888891</v>
      </c>
      <c r="E828" s="52">
        <v>46039.420138888891</v>
      </c>
      <c r="F828" s="52">
        <v>46039.475694444445</v>
      </c>
      <c r="G828" s="53">
        <f>F828-E828</f>
        <v>5.5555555554747116E-2</v>
      </c>
      <c r="H828" s="1" t="s">
        <v>257</v>
      </c>
      <c r="J828" s="1" t="s">
        <v>258</v>
      </c>
      <c r="K828" s="1" t="s">
        <v>658</v>
      </c>
      <c r="L828" s="1" t="s">
        <v>538</v>
      </c>
      <c r="M828" s="1" t="s">
        <v>260</v>
      </c>
      <c r="N828" s="1" t="s">
        <v>357</v>
      </c>
      <c r="O828" s="1" t="s">
        <v>632</v>
      </c>
      <c r="P828" s="1" t="str">
        <f>_xlfn.CONCAT(B828,C828,D828,E828,F828)</f>
        <v>BC Caiaponia1SG60KTL(COM2-029)46039,420138888946039,420138888946039,4756944444</v>
      </c>
      <c r="Q828" s="1" t="str">
        <f>_xlfn.CONCAT(H828,I828,J828)</f>
        <v>DAURDE</v>
      </c>
    </row>
    <row r="829" spans="2:17">
      <c r="B829" s="1" t="s">
        <v>456</v>
      </c>
      <c r="C829" s="1" t="s">
        <v>482</v>
      </c>
      <c r="D829" s="52">
        <v>46039.420138888891</v>
      </c>
      <c r="E829" s="52">
        <v>46039.420138888891</v>
      </c>
      <c r="F829" s="52">
        <v>46039.475694444445</v>
      </c>
      <c r="G829" s="53">
        <f>F829-E829</f>
        <v>5.5555555554747116E-2</v>
      </c>
      <c r="H829" s="1" t="s">
        <v>257</v>
      </c>
      <c r="J829" s="1" t="s">
        <v>258</v>
      </c>
      <c r="K829" s="1" t="s">
        <v>658</v>
      </c>
      <c r="L829" s="1" t="s">
        <v>538</v>
      </c>
      <c r="M829" s="1" t="s">
        <v>260</v>
      </c>
      <c r="N829" s="1" t="s">
        <v>357</v>
      </c>
      <c r="O829" s="1" t="s">
        <v>632</v>
      </c>
      <c r="P829" s="1" t="str">
        <f>_xlfn.CONCAT(B829,C829,D829,E829,F829)</f>
        <v>BC Caiaponia1SG50CX(COM1-021)46039,420138888946039,420138888946039,4756944444</v>
      </c>
      <c r="Q829" s="1" t="str">
        <f>_xlfn.CONCAT(H829,I829,J829)</f>
        <v>DAURDE</v>
      </c>
    </row>
    <row r="830" spans="2:17">
      <c r="B830" s="1" t="s">
        <v>456</v>
      </c>
      <c r="C830" s="1" t="s">
        <v>483</v>
      </c>
      <c r="D830" s="52">
        <v>46039.420138888891</v>
      </c>
      <c r="E830" s="52">
        <v>46039.420138888891</v>
      </c>
      <c r="F830" s="52">
        <v>46039.475694444445</v>
      </c>
      <c r="G830" s="53">
        <f>F830-E830</f>
        <v>5.5555555554747116E-2</v>
      </c>
      <c r="H830" s="1" t="s">
        <v>257</v>
      </c>
      <c r="J830" s="1" t="s">
        <v>258</v>
      </c>
      <c r="K830" s="1" t="s">
        <v>658</v>
      </c>
      <c r="L830" s="1" t="s">
        <v>538</v>
      </c>
      <c r="M830" s="1" t="s">
        <v>260</v>
      </c>
      <c r="N830" s="1" t="s">
        <v>357</v>
      </c>
      <c r="O830" s="1" t="s">
        <v>632</v>
      </c>
      <c r="P830" s="1" t="str">
        <f>_xlfn.CONCAT(B830,C830,D830,E830,F830)</f>
        <v>BC Caiaponia1SG50CX(COM1-022)46039,420138888946039,420138888946039,4756944444</v>
      </c>
      <c r="Q830" s="1" t="str">
        <f>_xlfn.CONCAT(H830,I830,J830)</f>
        <v>DAURDE</v>
      </c>
    </row>
    <row r="831" spans="2:17">
      <c r="B831" s="1" t="s">
        <v>456</v>
      </c>
      <c r="C831" s="1" t="s">
        <v>484</v>
      </c>
      <c r="D831" s="52">
        <v>46039.420138888891</v>
      </c>
      <c r="E831" s="52">
        <v>46039.420138888891</v>
      </c>
      <c r="F831" s="52">
        <v>46039.475694444445</v>
      </c>
      <c r="G831" s="53">
        <f>F831-E831</f>
        <v>5.5555555554747116E-2</v>
      </c>
      <c r="H831" s="1" t="s">
        <v>257</v>
      </c>
      <c r="J831" s="1" t="s">
        <v>258</v>
      </c>
      <c r="K831" s="1" t="s">
        <v>658</v>
      </c>
      <c r="L831" s="1" t="s">
        <v>538</v>
      </c>
      <c r="M831" s="1" t="s">
        <v>260</v>
      </c>
      <c r="N831" s="1" t="s">
        <v>357</v>
      </c>
      <c r="O831" s="1" t="s">
        <v>632</v>
      </c>
      <c r="P831" s="1" t="str">
        <f>_xlfn.CONCAT(B831,C831,D831,E831,F831)</f>
        <v>BC Caiaponia1SG50CX(COM1-023)46039,420138888946039,420138888946039,4756944444</v>
      </c>
      <c r="Q831" s="1" t="str">
        <f>_xlfn.CONCAT(H831,I831,J831)</f>
        <v>DAURDE</v>
      </c>
    </row>
    <row r="832" spans="2:17">
      <c r="B832" s="1" t="s">
        <v>456</v>
      </c>
      <c r="C832" s="1" t="s">
        <v>485</v>
      </c>
      <c r="D832" s="52">
        <v>46039.420138888891</v>
      </c>
      <c r="E832" s="52">
        <v>46039.420138888891</v>
      </c>
      <c r="F832" s="52">
        <v>46039.475694444445</v>
      </c>
      <c r="G832" s="53">
        <f>F832-E832</f>
        <v>5.5555555554747116E-2</v>
      </c>
      <c r="H832" s="1" t="s">
        <v>257</v>
      </c>
      <c r="J832" s="1" t="s">
        <v>258</v>
      </c>
      <c r="K832" s="1" t="s">
        <v>658</v>
      </c>
      <c r="L832" s="1" t="s">
        <v>538</v>
      </c>
      <c r="M832" s="1" t="s">
        <v>260</v>
      </c>
      <c r="N832" s="1" t="s">
        <v>357</v>
      </c>
      <c r="O832" s="1" t="s">
        <v>632</v>
      </c>
      <c r="P832" s="1" t="str">
        <f>_xlfn.CONCAT(B832,C832,D832,E832,F832)</f>
        <v>BC Caiaponia1SG50CX(COM1-024)46039,420138888946039,420138888946039,4756944444</v>
      </c>
      <c r="Q832" s="1" t="str">
        <f>_xlfn.CONCAT(H832,I832,J832)</f>
        <v>DAURDE</v>
      </c>
    </row>
    <row r="833" spans="2:17">
      <c r="B833" s="1" t="s">
        <v>456</v>
      </c>
      <c r="C833" s="1" t="s">
        <v>486</v>
      </c>
      <c r="D833" s="52">
        <v>46039.420138888891</v>
      </c>
      <c r="E833" s="52">
        <v>46039.420138888891</v>
      </c>
      <c r="F833" s="52">
        <v>46039.475694444445</v>
      </c>
      <c r="G833" s="53">
        <f>F833-E833</f>
        <v>5.5555555554747116E-2</v>
      </c>
      <c r="H833" s="1" t="s">
        <v>257</v>
      </c>
      <c r="J833" s="1" t="s">
        <v>258</v>
      </c>
      <c r="K833" s="1" t="s">
        <v>658</v>
      </c>
      <c r="L833" s="1" t="s">
        <v>538</v>
      </c>
      <c r="M833" s="1" t="s">
        <v>260</v>
      </c>
      <c r="N833" s="1" t="s">
        <v>357</v>
      </c>
      <c r="O833" s="1" t="s">
        <v>632</v>
      </c>
      <c r="P833" s="1" t="str">
        <f>_xlfn.CONCAT(B833,C833,D833,E833,F833)</f>
        <v>BC Caiaponia1SG50CX(COM1-025)46039,420138888946039,420138888946039,4756944444</v>
      </c>
      <c r="Q833" s="1" t="str">
        <f>_xlfn.CONCAT(H833,I833,J833)</f>
        <v>DAURDE</v>
      </c>
    </row>
    <row r="834" spans="2:17">
      <c r="B834" s="1" t="s">
        <v>487</v>
      </c>
      <c r="C834" s="1" t="s">
        <v>377</v>
      </c>
      <c r="D834" s="52">
        <v>46039.420138888891</v>
      </c>
      <c r="E834" s="52">
        <v>46039.420138888891</v>
      </c>
      <c r="F834" s="52">
        <v>46039.475694444445</v>
      </c>
      <c r="G834" s="53">
        <f>F834-E834</f>
        <v>5.5555555554747116E-2</v>
      </c>
      <c r="H834" s="1" t="s">
        <v>257</v>
      </c>
      <c r="J834" s="1" t="s">
        <v>258</v>
      </c>
      <c r="K834" s="1" t="s">
        <v>658</v>
      </c>
      <c r="L834" s="1" t="s">
        <v>538</v>
      </c>
      <c r="M834" s="1" t="s">
        <v>260</v>
      </c>
      <c r="N834" s="1" t="s">
        <v>357</v>
      </c>
      <c r="O834" s="1" t="s">
        <v>632</v>
      </c>
      <c r="P834" s="1" t="str">
        <f>_xlfn.CONCAT(B834,C834,D834,E834,F834)</f>
        <v>BC Caiaponia2.1215KTL-H3(MBUS-12)46039,420138888946039,420138888946039,4756944444</v>
      </c>
      <c r="Q834" s="1" t="str">
        <f>_xlfn.CONCAT(H834,I834,J834)</f>
        <v>DAURDE</v>
      </c>
    </row>
    <row r="835" spans="2:17">
      <c r="B835" s="1" t="s">
        <v>487</v>
      </c>
      <c r="C835" s="1" t="s">
        <v>378</v>
      </c>
      <c r="D835" s="52">
        <v>46039.420138888891</v>
      </c>
      <c r="E835" s="52">
        <v>46039.420138888891</v>
      </c>
      <c r="F835" s="52">
        <v>46039.475694444445</v>
      </c>
      <c r="G835" s="53">
        <f>F835-E835</f>
        <v>5.5555555554747116E-2</v>
      </c>
      <c r="H835" s="1" t="s">
        <v>257</v>
      </c>
      <c r="J835" s="1" t="s">
        <v>258</v>
      </c>
      <c r="K835" s="1" t="s">
        <v>658</v>
      </c>
      <c r="L835" s="1" t="s">
        <v>538</v>
      </c>
      <c r="M835" s="1" t="s">
        <v>260</v>
      </c>
      <c r="N835" s="1" t="s">
        <v>357</v>
      </c>
      <c r="O835" s="1" t="s">
        <v>632</v>
      </c>
      <c r="P835" s="1" t="str">
        <f>_xlfn.CONCAT(B835,C835,D835,E835,F835)</f>
        <v>BC Caiaponia2.1215KTL-H3(MBUS-13)46039,420138888946039,420138888946039,4756944444</v>
      </c>
      <c r="Q835" s="1" t="str">
        <f>_xlfn.CONCAT(H835,I835,J835)</f>
        <v>DAURDE</v>
      </c>
    </row>
    <row r="836" spans="2:17">
      <c r="B836" s="1" t="s">
        <v>487</v>
      </c>
      <c r="C836" s="1" t="s">
        <v>382</v>
      </c>
      <c r="D836" s="52">
        <v>46039.420138888891</v>
      </c>
      <c r="E836" s="52">
        <v>46039.420138888891</v>
      </c>
      <c r="F836" s="52">
        <v>46039.475694444445</v>
      </c>
      <c r="G836" s="53">
        <f>F836-E836</f>
        <v>5.5555555554747116E-2</v>
      </c>
      <c r="H836" s="1" t="s">
        <v>257</v>
      </c>
      <c r="J836" s="1" t="s">
        <v>258</v>
      </c>
      <c r="K836" s="1" t="s">
        <v>658</v>
      </c>
      <c r="L836" s="1" t="s">
        <v>538</v>
      </c>
      <c r="M836" s="1" t="s">
        <v>260</v>
      </c>
      <c r="N836" s="1" t="s">
        <v>357</v>
      </c>
      <c r="O836" s="1" t="s">
        <v>632</v>
      </c>
      <c r="P836" s="1" t="str">
        <f>_xlfn.CONCAT(B836,C836,D836,E836,F836)</f>
        <v>BC Caiaponia2.1215KTL-H3(MBUS-14)46039,420138888946039,420138888946039,4756944444</v>
      </c>
      <c r="Q836" s="1" t="str">
        <f>_xlfn.CONCAT(H836,I836,J836)</f>
        <v>DAURDE</v>
      </c>
    </row>
    <row r="837" spans="2:17">
      <c r="B837" s="1" t="s">
        <v>487</v>
      </c>
      <c r="C837" s="1" t="s">
        <v>380</v>
      </c>
      <c r="D837" s="52">
        <v>46039.420138888891</v>
      </c>
      <c r="E837" s="52">
        <v>46039.420138888891</v>
      </c>
      <c r="F837" s="52">
        <v>46039.475694444445</v>
      </c>
      <c r="G837" s="53">
        <f>F837-E837</f>
        <v>5.5555555554747116E-2</v>
      </c>
      <c r="H837" s="1" t="s">
        <v>257</v>
      </c>
      <c r="J837" s="1" t="s">
        <v>258</v>
      </c>
      <c r="K837" s="1" t="s">
        <v>658</v>
      </c>
      <c r="L837" s="1" t="s">
        <v>538</v>
      </c>
      <c r="M837" s="1" t="s">
        <v>260</v>
      </c>
      <c r="N837" s="1" t="s">
        <v>357</v>
      </c>
      <c r="O837" s="1" t="s">
        <v>632</v>
      </c>
      <c r="P837" s="1" t="str">
        <f>_xlfn.CONCAT(B837,C837,D837,E837,F837)</f>
        <v>BC Caiaponia2.1215KTL-H3(MBUS-15)46039,420138888946039,420138888946039,4756944444</v>
      </c>
      <c r="Q837" s="1" t="str">
        <f>_xlfn.CONCAT(H837,I837,J837)</f>
        <v>DAURDE</v>
      </c>
    </row>
    <row r="838" spans="2:17">
      <c r="B838" s="1" t="s">
        <v>487</v>
      </c>
      <c r="C838" s="1" t="s">
        <v>379</v>
      </c>
      <c r="D838" s="52">
        <v>46039.420138888891</v>
      </c>
      <c r="E838" s="52">
        <v>46039.420138888891</v>
      </c>
      <c r="F838" s="52">
        <v>46039.475694444445</v>
      </c>
      <c r="G838" s="53">
        <f>F838-E838</f>
        <v>5.5555555554747116E-2</v>
      </c>
      <c r="H838" s="1" t="s">
        <v>257</v>
      </c>
      <c r="J838" s="1" t="s">
        <v>258</v>
      </c>
      <c r="K838" s="1" t="s">
        <v>658</v>
      </c>
      <c r="L838" s="1" t="s">
        <v>538</v>
      </c>
      <c r="M838" s="1" t="s">
        <v>260</v>
      </c>
      <c r="N838" s="1" t="s">
        <v>357</v>
      </c>
      <c r="O838" s="1" t="s">
        <v>632</v>
      </c>
      <c r="P838" s="1" t="str">
        <f>_xlfn.CONCAT(B838,C838,D838,E838,F838)</f>
        <v>BC Caiaponia2.1215KTL-H3(MBUS-16)46039,420138888946039,420138888946039,4756944444</v>
      </c>
      <c r="Q838" s="1" t="str">
        <f>_xlfn.CONCAT(H838,I838,J838)</f>
        <v>DAURDE</v>
      </c>
    </row>
    <row r="839" spans="2:17">
      <c r="B839" s="1" t="s">
        <v>583</v>
      </c>
      <c r="C839" s="1" t="s">
        <v>377</v>
      </c>
      <c r="D839" s="52">
        <v>46039.420138888891</v>
      </c>
      <c r="E839" s="52">
        <v>46039.420138888891</v>
      </c>
      <c r="F839" s="52">
        <v>46039.475694444445</v>
      </c>
      <c r="G839" s="53">
        <f>F839-E839</f>
        <v>5.5555555554747116E-2</v>
      </c>
      <c r="H839" s="1" t="s">
        <v>257</v>
      </c>
      <c r="J839" s="1" t="s">
        <v>258</v>
      </c>
      <c r="K839" s="1" t="s">
        <v>658</v>
      </c>
      <c r="L839" s="1" t="s">
        <v>538</v>
      </c>
      <c r="M839" s="1" t="s">
        <v>260</v>
      </c>
      <c r="N839" s="1" t="s">
        <v>357</v>
      </c>
      <c r="O839" s="1" t="s">
        <v>632</v>
      </c>
      <c r="P839" s="1" t="str">
        <f>_xlfn.CONCAT(B839,C839,D839,E839,F839)</f>
        <v>BC Caiaponia2.2215KTL-H3(MBUS-12)46039,420138888946039,420138888946039,4756944444</v>
      </c>
      <c r="Q839" s="1" t="str">
        <f>_xlfn.CONCAT(H839,I839,J839)</f>
        <v>DAURDE</v>
      </c>
    </row>
    <row r="840" spans="2:17">
      <c r="B840" s="1" t="s">
        <v>583</v>
      </c>
      <c r="C840" s="1" t="s">
        <v>378</v>
      </c>
      <c r="D840" s="52">
        <v>46039.420138888891</v>
      </c>
      <c r="E840" s="52">
        <v>46039.420138888891</v>
      </c>
      <c r="F840" s="52">
        <v>46039.475694444445</v>
      </c>
      <c r="G840" s="53">
        <f>F840-E840</f>
        <v>5.5555555554747116E-2</v>
      </c>
      <c r="H840" s="1" t="s">
        <v>257</v>
      </c>
      <c r="J840" s="1" t="s">
        <v>258</v>
      </c>
      <c r="K840" s="1" t="s">
        <v>658</v>
      </c>
      <c r="L840" s="1" t="s">
        <v>538</v>
      </c>
      <c r="M840" s="1" t="s">
        <v>260</v>
      </c>
      <c r="N840" s="1" t="s">
        <v>357</v>
      </c>
      <c r="O840" s="1" t="s">
        <v>632</v>
      </c>
      <c r="P840" s="1" t="str">
        <f>_xlfn.CONCAT(B840,C840,D840,E840,F840)</f>
        <v>BC Caiaponia2.2215KTL-H3(MBUS-13)46039,420138888946039,420138888946039,4756944444</v>
      </c>
      <c r="Q840" s="1" t="str">
        <f>_xlfn.CONCAT(H840,I840,J840)</f>
        <v>DAURDE</v>
      </c>
    </row>
    <row r="841" spans="2:17">
      <c r="B841" s="1" t="s">
        <v>583</v>
      </c>
      <c r="C841" s="1" t="s">
        <v>382</v>
      </c>
      <c r="D841" s="52">
        <v>46039.420138888891</v>
      </c>
      <c r="E841" s="52">
        <v>46039.420138888891</v>
      </c>
      <c r="F841" s="52">
        <v>46039.475694444445</v>
      </c>
      <c r="G841" s="53">
        <f>F841-E841</f>
        <v>5.5555555554747116E-2</v>
      </c>
      <c r="H841" s="1" t="s">
        <v>257</v>
      </c>
      <c r="J841" s="1" t="s">
        <v>258</v>
      </c>
      <c r="K841" s="1" t="s">
        <v>658</v>
      </c>
      <c r="L841" s="1" t="s">
        <v>538</v>
      </c>
      <c r="M841" s="1" t="s">
        <v>260</v>
      </c>
      <c r="N841" s="1" t="s">
        <v>357</v>
      </c>
      <c r="O841" s="1" t="s">
        <v>632</v>
      </c>
      <c r="P841" s="1" t="str">
        <f>_xlfn.CONCAT(B841,C841,D841,E841,F841)</f>
        <v>BC Caiaponia2.2215KTL-H3(MBUS-14)46039,420138888946039,420138888946039,4756944444</v>
      </c>
      <c r="Q841" s="1" t="str">
        <f>_xlfn.CONCAT(H841,I841,J841)</f>
        <v>DAURDE</v>
      </c>
    </row>
    <row r="842" spans="2:17">
      <c r="B842" s="1" t="s">
        <v>583</v>
      </c>
      <c r="C842" s="1" t="s">
        <v>380</v>
      </c>
      <c r="D842" s="52">
        <v>46039.420138888891</v>
      </c>
      <c r="E842" s="52">
        <v>46039.420138888891</v>
      </c>
      <c r="F842" s="52">
        <v>46039.475694444445</v>
      </c>
      <c r="G842" s="53">
        <f>F842-E842</f>
        <v>5.5555555554747116E-2</v>
      </c>
      <c r="H842" s="1" t="s">
        <v>257</v>
      </c>
      <c r="J842" s="1" t="s">
        <v>258</v>
      </c>
      <c r="K842" s="1" t="s">
        <v>658</v>
      </c>
      <c r="L842" s="1" t="s">
        <v>538</v>
      </c>
      <c r="M842" s="1" t="s">
        <v>260</v>
      </c>
      <c r="N842" s="1" t="s">
        <v>357</v>
      </c>
      <c r="O842" s="1" t="s">
        <v>632</v>
      </c>
      <c r="P842" s="1" t="str">
        <f>_xlfn.CONCAT(B842,C842,D842,E842,F842)</f>
        <v>BC Caiaponia2.2215KTL-H3(MBUS-15)46039,420138888946039,420138888946039,4756944444</v>
      </c>
      <c r="Q842" s="1" t="str">
        <f>_xlfn.CONCAT(H842,I842,J842)</f>
        <v>DAURDE</v>
      </c>
    </row>
    <row r="843" spans="2:17">
      <c r="B843" s="1" t="s">
        <v>583</v>
      </c>
      <c r="C843" s="1" t="s">
        <v>379</v>
      </c>
      <c r="D843" s="52">
        <v>46039.420138888891</v>
      </c>
      <c r="E843" s="52">
        <v>46039.420138888891</v>
      </c>
      <c r="F843" s="52">
        <v>46039.475694444445</v>
      </c>
      <c r="G843" s="53">
        <f>F843-E843</f>
        <v>5.5555555554747116E-2</v>
      </c>
      <c r="H843" s="1" t="s">
        <v>257</v>
      </c>
      <c r="J843" s="1" t="s">
        <v>258</v>
      </c>
      <c r="K843" s="1" t="s">
        <v>658</v>
      </c>
      <c r="L843" s="1" t="s">
        <v>538</v>
      </c>
      <c r="M843" s="1" t="s">
        <v>260</v>
      </c>
      <c r="N843" s="1" t="s">
        <v>357</v>
      </c>
      <c r="O843" s="1" t="s">
        <v>632</v>
      </c>
      <c r="P843" s="1" t="str">
        <f>_xlfn.CONCAT(B843,C843,D843,E843,F843)</f>
        <v>BC Caiaponia2.2215KTL-H3(MBUS-16)46039,420138888946039,420138888946039,4756944444</v>
      </c>
      <c r="Q843" s="1" t="str">
        <f>_xlfn.CONCAT(H843,I843,J843)</f>
        <v>DAURDE</v>
      </c>
    </row>
    <row r="844" spans="2:17">
      <c r="B844" s="1" t="s">
        <v>584</v>
      </c>
      <c r="C844" s="1" t="s">
        <v>377</v>
      </c>
      <c r="D844" s="52">
        <v>46039.420138888891</v>
      </c>
      <c r="E844" s="52">
        <v>46039.420138888891</v>
      </c>
      <c r="F844" s="52">
        <v>46039.475694444445</v>
      </c>
      <c r="G844" s="53">
        <f>F844-E844</f>
        <v>5.5555555554747116E-2</v>
      </c>
      <c r="H844" s="1" t="s">
        <v>257</v>
      </c>
      <c r="J844" s="1" t="s">
        <v>258</v>
      </c>
      <c r="K844" s="1" t="s">
        <v>658</v>
      </c>
      <c r="L844" s="1" t="s">
        <v>538</v>
      </c>
      <c r="M844" s="1" t="s">
        <v>260</v>
      </c>
      <c r="N844" s="1" t="s">
        <v>357</v>
      </c>
      <c r="O844" s="1" t="s">
        <v>632</v>
      </c>
      <c r="P844" s="1" t="str">
        <f>_xlfn.CONCAT(B844,C844,D844,E844,F844)</f>
        <v>BC Caiaponia2.3215KTL-H3(MBUS-12)46039,420138888946039,420138888946039,4756944444</v>
      </c>
      <c r="Q844" s="1" t="str">
        <f>_xlfn.CONCAT(H844,I844,J844)</f>
        <v>DAURDE</v>
      </c>
    </row>
    <row r="845" spans="2:17">
      <c r="B845" s="1" t="s">
        <v>584</v>
      </c>
      <c r="C845" s="1" t="s">
        <v>378</v>
      </c>
      <c r="D845" s="52">
        <v>46039.420138888891</v>
      </c>
      <c r="E845" s="52">
        <v>46039.420138888891</v>
      </c>
      <c r="F845" s="52">
        <v>46039.475694444445</v>
      </c>
      <c r="G845" s="53">
        <f>F845-E845</f>
        <v>5.5555555554747116E-2</v>
      </c>
      <c r="H845" s="1" t="s">
        <v>257</v>
      </c>
      <c r="J845" s="1" t="s">
        <v>258</v>
      </c>
      <c r="K845" s="1" t="s">
        <v>658</v>
      </c>
      <c r="L845" s="1" t="s">
        <v>538</v>
      </c>
      <c r="M845" s="1" t="s">
        <v>260</v>
      </c>
      <c r="N845" s="1" t="s">
        <v>357</v>
      </c>
      <c r="O845" s="1" t="s">
        <v>632</v>
      </c>
      <c r="P845" s="1" t="str">
        <f>_xlfn.CONCAT(B845,C845,D845,E845,F845)</f>
        <v>BC Caiaponia2.3215KTL-H3(MBUS-13)46039,420138888946039,420138888946039,4756944444</v>
      </c>
      <c r="Q845" s="1" t="str">
        <f>_xlfn.CONCAT(H845,I845,J845)</f>
        <v>DAURDE</v>
      </c>
    </row>
    <row r="846" spans="2:17">
      <c r="B846" s="1" t="s">
        <v>584</v>
      </c>
      <c r="C846" s="1" t="s">
        <v>382</v>
      </c>
      <c r="D846" s="52">
        <v>46039.420138888891</v>
      </c>
      <c r="E846" s="52">
        <v>46039.420138888891</v>
      </c>
      <c r="F846" s="52">
        <v>46039.475694444445</v>
      </c>
      <c r="G846" s="53">
        <f>F846-E846</f>
        <v>5.5555555554747116E-2</v>
      </c>
      <c r="H846" s="1" t="s">
        <v>257</v>
      </c>
      <c r="J846" s="1" t="s">
        <v>258</v>
      </c>
      <c r="K846" s="1" t="s">
        <v>658</v>
      </c>
      <c r="L846" s="1" t="s">
        <v>538</v>
      </c>
      <c r="M846" s="1" t="s">
        <v>260</v>
      </c>
      <c r="N846" s="1" t="s">
        <v>357</v>
      </c>
      <c r="O846" s="1" t="s">
        <v>632</v>
      </c>
      <c r="P846" s="1" t="str">
        <f>_xlfn.CONCAT(B846,C846,D846,E846,F846)</f>
        <v>BC Caiaponia2.3215KTL-H3(MBUS-14)46039,420138888946039,420138888946039,4756944444</v>
      </c>
      <c r="Q846" s="1" t="str">
        <f>_xlfn.CONCAT(H846,I846,J846)</f>
        <v>DAURDE</v>
      </c>
    </row>
    <row r="847" spans="2:17">
      <c r="B847" s="1" t="s">
        <v>584</v>
      </c>
      <c r="C847" s="1" t="s">
        <v>380</v>
      </c>
      <c r="D847" s="52">
        <v>46039.420138888891</v>
      </c>
      <c r="E847" s="52">
        <v>46039.420138888891</v>
      </c>
      <c r="F847" s="52">
        <v>46039.475694444445</v>
      </c>
      <c r="G847" s="53">
        <f>F847-E847</f>
        <v>5.5555555554747116E-2</v>
      </c>
      <c r="H847" s="1" t="s">
        <v>257</v>
      </c>
      <c r="J847" s="1" t="s">
        <v>258</v>
      </c>
      <c r="K847" s="1" t="s">
        <v>658</v>
      </c>
      <c r="L847" s="1" t="s">
        <v>538</v>
      </c>
      <c r="M847" s="1" t="s">
        <v>260</v>
      </c>
      <c r="N847" s="1" t="s">
        <v>357</v>
      </c>
      <c r="O847" s="1" t="s">
        <v>632</v>
      </c>
      <c r="P847" s="1" t="str">
        <f>_xlfn.CONCAT(B847,C847,D847,E847,F847)</f>
        <v>BC Caiaponia2.3215KTL-H3(MBUS-15)46039,420138888946039,420138888946039,4756944444</v>
      </c>
      <c r="Q847" s="1" t="str">
        <f>_xlfn.CONCAT(H847,I847,J847)</f>
        <v>DAURDE</v>
      </c>
    </row>
    <row r="848" spans="2:17">
      <c r="B848" s="1" t="s">
        <v>584</v>
      </c>
      <c r="C848" s="1" t="s">
        <v>379</v>
      </c>
      <c r="D848" s="52">
        <v>46039.420138888891</v>
      </c>
      <c r="E848" s="52">
        <v>46039.420138888891</v>
      </c>
      <c r="F848" s="52">
        <v>46039.475694444445</v>
      </c>
      <c r="G848" s="53">
        <f>F848-E848</f>
        <v>5.5555555554747116E-2</v>
      </c>
      <c r="H848" s="1" t="s">
        <v>257</v>
      </c>
      <c r="J848" s="1" t="s">
        <v>258</v>
      </c>
      <c r="K848" s="1" t="s">
        <v>658</v>
      </c>
      <c r="L848" s="1" t="s">
        <v>538</v>
      </c>
      <c r="M848" s="1" t="s">
        <v>260</v>
      </c>
      <c r="N848" s="1" t="s">
        <v>357</v>
      </c>
      <c r="O848" s="1" t="s">
        <v>632</v>
      </c>
      <c r="P848" s="1" t="str">
        <f>_xlfn.CONCAT(B848,C848,D848,E848,F848)</f>
        <v>BC Caiaponia2.3215KTL-H3(MBUS-16)46039,420138888946039,420138888946039,4756944444</v>
      </c>
      <c r="Q848" s="1" t="str">
        <f>_xlfn.CONCAT(H848,I848,J848)</f>
        <v>DAURDE</v>
      </c>
    </row>
    <row r="849" spans="2:17">
      <c r="B849" s="1" t="s">
        <v>368</v>
      </c>
      <c r="C849" s="1" t="s">
        <v>264</v>
      </c>
      <c r="D849" s="52">
        <v>46039.493055555555</v>
      </c>
      <c r="E849" s="52">
        <v>46039.493055555555</v>
      </c>
      <c r="F849" s="52">
        <v>46039.540972222225</v>
      </c>
      <c r="G849" s="53">
        <f>F849-E849</f>
        <v>4.7916666670062114E-2</v>
      </c>
      <c r="H849" s="1" t="s">
        <v>257</v>
      </c>
      <c r="J849" s="1" t="s">
        <v>258</v>
      </c>
      <c r="K849" s="1" t="s">
        <v>658</v>
      </c>
      <c r="L849" s="1" t="s">
        <v>2002</v>
      </c>
      <c r="M849" s="1" t="s">
        <v>260</v>
      </c>
      <c r="N849" s="1" t="s">
        <v>357</v>
      </c>
      <c r="O849" s="1" t="s">
        <v>809</v>
      </c>
      <c r="P849" s="1" t="str">
        <f>_xlfn.CONCAT(B849,C849,D849,E849,F849)</f>
        <v>BC Ibiuna 1.1Inverter(MBUS-13)46039,493055555646039,493055555646039,5409722222</v>
      </c>
      <c r="Q849" s="1" t="str">
        <f>_xlfn.CONCAT(H849,I849,J849)</f>
        <v>DAURDE</v>
      </c>
    </row>
    <row r="850" spans="2:17">
      <c r="B850" s="1" t="s">
        <v>368</v>
      </c>
      <c r="C850" s="1" t="s">
        <v>263</v>
      </c>
      <c r="D850" s="52">
        <v>46039.493055555555</v>
      </c>
      <c r="E850" s="52">
        <v>46039.493055555555</v>
      </c>
      <c r="F850" s="52">
        <v>46039.540972222225</v>
      </c>
      <c r="G850" s="53">
        <f>F850-E850</f>
        <v>4.7916666670062114E-2</v>
      </c>
      <c r="H850" s="1" t="s">
        <v>257</v>
      </c>
      <c r="J850" s="1" t="s">
        <v>258</v>
      </c>
      <c r="K850" s="1" t="s">
        <v>658</v>
      </c>
      <c r="L850" s="1" t="s">
        <v>2002</v>
      </c>
      <c r="M850" s="1" t="s">
        <v>260</v>
      </c>
      <c r="N850" s="1" t="s">
        <v>357</v>
      </c>
      <c r="O850" s="1" t="s">
        <v>809</v>
      </c>
      <c r="P850" s="1" t="str">
        <f>_xlfn.CONCAT(B850,C850,D850,E850,F850)</f>
        <v>BC Ibiuna 1.1Inverter(MBUS-14)46039,493055555646039,493055555646039,5409722222</v>
      </c>
      <c r="Q850" s="1" t="str">
        <f>_xlfn.CONCAT(H850,I850,J850)</f>
        <v>DAURDE</v>
      </c>
    </row>
    <row r="851" spans="2:17">
      <c r="B851" s="1" t="s">
        <v>368</v>
      </c>
      <c r="C851" s="1" t="s">
        <v>307</v>
      </c>
      <c r="D851" s="52">
        <v>46039.493055555555</v>
      </c>
      <c r="E851" s="52">
        <v>46039.493055555555</v>
      </c>
      <c r="F851" s="52">
        <v>46039.540972222225</v>
      </c>
      <c r="G851" s="53">
        <f>F851-E851</f>
        <v>4.7916666670062114E-2</v>
      </c>
      <c r="H851" s="1" t="s">
        <v>257</v>
      </c>
      <c r="J851" s="1" t="s">
        <v>258</v>
      </c>
      <c r="K851" s="1" t="s">
        <v>658</v>
      </c>
      <c r="L851" s="1" t="s">
        <v>2002</v>
      </c>
      <c r="M851" s="1" t="s">
        <v>260</v>
      </c>
      <c r="N851" s="1" t="s">
        <v>357</v>
      </c>
      <c r="O851" s="1" t="s">
        <v>809</v>
      </c>
      <c r="P851" s="1" t="str">
        <f>_xlfn.CONCAT(B851,C851,D851,E851,F851)</f>
        <v>BC Ibiuna 1.1Inverter(MBUS-15)46039,493055555646039,493055555646039,5409722222</v>
      </c>
      <c r="Q851" s="1" t="str">
        <f>_xlfn.CONCAT(H851,I851,J851)</f>
        <v>DAURDE</v>
      </c>
    </row>
    <row r="852" spans="2:17">
      <c r="B852" s="1" t="s">
        <v>370</v>
      </c>
      <c r="C852" s="1" t="s">
        <v>256</v>
      </c>
      <c r="D852" s="52">
        <v>46039.493055555555</v>
      </c>
      <c r="E852" s="52">
        <v>46039.493055555555</v>
      </c>
      <c r="F852" s="52">
        <v>46039.540972222225</v>
      </c>
      <c r="G852" s="53">
        <f>F852-E852</f>
        <v>4.7916666670062114E-2</v>
      </c>
      <c r="H852" s="1" t="s">
        <v>257</v>
      </c>
      <c r="J852" s="1" t="s">
        <v>258</v>
      </c>
      <c r="K852" s="1" t="s">
        <v>658</v>
      </c>
      <c r="L852" s="1" t="s">
        <v>2002</v>
      </c>
      <c r="M852" s="1" t="s">
        <v>260</v>
      </c>
      <c r="N852" s="1" t="s">
        <v>357</v>
      </c>
      <c r="O852" s="1" t="s">
        <v>809</v>
      </c>
      <c r="P852" s="1" t="str">
        <f>_xlfn.CONCAT(B852,C852,D852,E852,F852)</f>
        <v>BC Ibiuna 1.2Inverter(MBUS-12)46039,493055555646039,493055555646039,5409722222</v>
      </c>
      <c r="Q852" s="1" t="str">
        <f>_xlfn.CONCAT(H852,I852,J852)</f>
        <v>DAURDE</v>
      </c>
    </row>
    <row r="853" spans="2:17">
      <c r="B853" s="1" t="s">
        <v>370</v>
      </c>
      <c r="C853" s="1" t="s">
        <v>264</v>
      </c>
      <c r="D853" s="52">
        <v>46039.493055555555</v>
      </c>
      <c r="E853" s="52">
        <v>46039.493055555555</v>
      </c>
      <c r="F853" s="52">
        <v>46039.540972222225</v>
      </c>
      <c r="G853" s="53">
        <f>F853-E853</f>
        <v>4.7916666670062114E-2</v>
      </c>
      <c r="H853" s="1" t="s">
        <v>257</v>
      </c>
      <c r="J853" s="1" t="s">
        <v>258</v>
      </c>
      <c r="K853" s="1" t="s">
        <v>658</v>
      </c>
      <c r="L853" s="1" t="s">
        <v>2002</v>
      </c>
      <c r="M853" s="1" t="s">
        <v>260</v>
      </c>
      <c r="N853" s="1" t="s">
        <v>357</v>
      </c>
      <c r="O853" s="1" t="s">
        <v>809</v>
      </c>
      <c r="P853" s="1" t="str">
        <f>_xlfn.CONCAT(B853,C853,D853,E853,F853)</f>
        <v>BC Ibiuna 1.2Inverter(MBUS-13)46039,493055555646039,493055555646039,5409722222</v>
      </c>
      <c r="Q853" s="1" t="str">
        <f>_xlfn.CONCAT(H853,I853,J853)</f>
        <v>DAURDE</v>
      </c>
    </row>
    <row r="854" spans="2:17">
      <c r="B854" s="1" t="s">
        <v>370</v>
      </c>
      <c r="C854" s="1" t="s">
        <v>263</v>
      </c>
      <c r="D854" s="52">
        <v>46039.493055555555</v>
      </c>
      <c r="E854" s="52">
        <v>46039.493055555555</v>
      </c>
      <c r="F854" s="52">
        <v>46039.540972222225</v>
      </c>
      <c r="G854" s="53">
        <f>F854-E854</f>
        <v>4.7916666670062114E-2</v>
      </c>
      <c r="H854" s="1" t="s">
        <v>257</v>
      </c>
      <c r="J854" s="1" t="s">
        <v>258</v>
      </c>
      <c r="K854" s="1" t="s">
        <v>658</v>
      </c>
      <c r="L854" s="1" t="s">
        <v>2002</v>
      </c>
      <c r="M854" s="1" t="s">
        <v>260</v>
      </c>
      <c r="N854" s="1" t="s">
        <v>357</v>
      </c>
      <c r="O854" s="1" t="s">
        <v>809</v>
      </c>
      <c r="P854" s="1" t="str">
        <f>_xlfn.CONCAT(B854,C854,D854,E854,F854)</f>
        <v>BC Ibiuna 1.2Inverter(MBUS-14)46039,493055555646039,493055555646039,5409722222</v>
      </c>
      <c r="Q854" s="1" t="str">
        <f>_xlfn.CONCAT(H854,I854,J854)</f>
        <v>DAURDE</v>
      </c>
    </row>
    <row r="855" spans="2:17">
      <c r="B855" s="1" t="s">
        <v>370</v>
      </c>
      <c r="C855" s="1" t="s">
        <v>307</v>
      </c>
      <c r="D855" s="52">
        <v>46039.493055555555</v>
      </c>
      <c r="E855" s="52">
        <v>46039.493055555555</v>
      </c>
      <c r="F855" s="52">
        <v>46039.540972222225</v>
      </c>
      <c r="G855" s="53">
        <f>F855-E855</f>
        <v>4.7916666670062114E-2</v>
      </c>
      <c r="H855" s="1" t="s">
        <v>257</v>
      </c>
      <c r="J855" s="1" t="s">
        <v>258</v>
      </c>
      <c r="K855" s="1" t="s">
        <v>658</v>
      </c>
      <c r="L855" s="1" t="s">
        <v>2002</v>
      </c>
      <c r="M855" s="1" t="s">
        <v>260</v>
      </c>
      <c r="N855" s="1" t="s">
        <v>357</v>
      </c>
      <c r="O855" s="1" t="s">
        <v>809</v>
      </c>
      <c r="P855" s="1" t="str">
        <f>_xlfn.CONCAT(B855,C855,D855,E855,F855)</f>
        <v>BC Ibiuna 1.2Inverter(MBUS-15)46039,493055555646039,493055555646039,5409722222</v>
      </c>
      <c r="Q855" s="1" t="str">
        <f>_xlfn.CONCAT(H855,I855,J855)</f>
        <v>DAURDE</v>
      </c>
    </row>
    <row r="856" spans="2:17">
      <c r="B856" s="1" t="s">
        <v>327</v>
      </c>
      <c r="C856" s="1" t="s">
        <v>247</v>
      </c>
      <c r="D856" s="52">
        <v>46039.496527777781</v>
      </c>
      <c r="E856" s="52">
        <v>46039.496527777781</v>
      </c>
      <c r="F856" s="52">
        <v>46039.575694444444</v>
      </c>
      <c r="G856" s="53">
        <f>F856-E856</f>
        <v>7.9166666662786156E-2</v>
      </c>
      <c r="H856" s="1" t="s">
        <v>257</v>
      </c>
      <c r="J856" s="1" t="s">
        <v>258</v>
      </c>
      <c r="K856" s="1" t="s">
        <v>658</v>
      </c>
      <c r="L856" s="1" t="s">
        <v>541</v>
      </c>
      <c r="M856" s="1" t="s">
        <v>260</v>
      </c>
      <c r="N856" s="1" t="s">
        <v>357</v>
      </c>
      <c r="O856" s="1" t="s">
        <v>632</v>
      </c>
      <c r="P856" s="1" t="str">
        <f>_xlfn.CONCAT(B856,C856,D856,E856,F856)</f>
        <v>BC Aracu5.1Inverter(MBUS-1)46039,496527777846039,496527777846039,5756944444</v>
      </c>
      <c r="Q856" s="1" t="str">
        <f>_xlfn.CONCAT(H856,I856,J856)</f>
        <v>DAURDE</v>
      </c>
    </row>
    <row r="857" spans="2:17">
      <c r="B857" s="1" t="s">
        <v>246</v>
      </c>
      <c r="C857" s="1" t="s">
        <v>247</v>
      </c>
      <c r="D857" s="52">
        <v>46039.496527777781</v>
      </c>
      <c r="E857" s="52">
        <v>46039.496527777781</v>
      </c>
      <c r="F857" s="52">
        <v>46039.575694444444</v>
      </c>
      <c r="G857" s="53">
        <f>F857-E857</f>
        <v>7.9166666662786156E-2</v>
      </c>
      <c r="H857" s="1" t="s">
        <v>257</v>
      </c>
      <c r="J857" s="1" t="s">
        <v>258</v>
      </c>
      <c r="K857" s="1" t="s">
        <v>658</v>
      </c>
      <c r="L857" s="1" t="s">
        <v>541</v>
      </c>
      <c r="M857" s="1" t="s">
        <v>260</v>
      </c>
      <c r="N857" s="1" t="s">
        <v>357</v>
      </c>
      <c r="O857" s="1" t="s">
        <v>632</v>
      </c>
      <c r="P857" s="1" t="str">
        <f>_xlfn.CONCAT(B857,C857,D857,E857,F857)</f>
        <v>BC Aracu5.2Inverter(MBUS-1)46039,496527777846039,496527777846039,5756944444</v>
      </c>
      <c r="Q857" s="1" t="str">
        <f>_xlfn.CONCAT(H857,I857,J857)</f>
        <v>DAURDE</v>
      </c>
    </row>
    <row r="858" spans="2:17">
      <c r="B858" s="1" t="s">
        <v>328</v>
      </c>
      <c r="C858" s="1" t="s">
        <v>247</v>
      </c>
      <c r="D858" s="52">
        <v>46039.496527777781</v>
      </c>
      <c r="E858" s="52">
        <v>46039.496527777781</v>
      </c>
      <c r="F858" s="52">
        <v>46039.575694444444</v>
      </c>
      <c r="G858" s="53">
        <f>F858-E858</f>
        <v>7.9166666662786156E-2</v>
      </c>
      <c r="H858" s="1" t="s">
        <v>257</v>
      </c>
      <c r="J858" s="1" t="s">
        <v>258</v>
      </c>
      <c r="K858" s="1" t="s">
        <v>658</v>
      </c>
      <c r="L858" s="1" t="s">
        <v>541</v>
      </c>
      <c r="M858" s="1" t="s">
        <v>260</v>
      </c>
      <c r="N858" s="1" t="s">
        <v>357</v>
      </c>
      <c r="O858" s="1" t="s">
        <v>632</v>
      </c>
      <c r="P858" s="1" t="str">
        <f>_xlfn.CONCAT(B858,C858,D858,E858,F858)</f>
        <v>BC Aracu5.3Inverter(MBUS-1)46039,496527777846039,496527777846039,5756944444</v>
      </c>
      <c r="Q858" s="1" t="str">
        <f>_xlfn.CONCAT(H858,I858,J858)</f>
        <v>DAURDE</v>
      </c>
    </row>
    <row r="859" spans="2:17">
      <c r="B859" s="1" t="s">
        <v>329</v>
      </c>
      <c r="C859" s="1" t="s">
        <v>247</v>
      </c>
      <c r="D859" s="52">
        <v>46039.496527777781</v>
      </c>
      <c r="E859" s="52">
        <v>46039.496527777781</v>
      </c>
      <c r="F859" s="52">
        <v>46039.575694444444</v>
      </c>
      <c r="G859" s="53">
        <f>F859-E859</f>
        <v>7.9166666662786156E-2</v>
      </c>
      <c r="H859" s="1" t="s">
        <v>257</v>
      </c>
      <c r="J859" s="1" t="s">
        <v>258</v>
      </c>
      <c r="K859" s="1" t="s">
        <v>658</v>
      </c>
      <c r="L859" s="1" t="s">
        <v>541</v>
      </c>
      <c r="M859" s="1" t="s">
        <v>260</v>
      </c>
      <c r="N859" s="1" t="s">
        <v>357</v>
      </c>
      <c r="O859" s="1" t="s">
        <v>632</v>
      </c>
      <c r="P859" s="1" t="str">
        <f>_xlfn.CONCAT(B859,C859,D859,E859,F859)</f>
        <v>BC Aracu5.4Inverter(MBUS-1)46039,496527777846039,496527777846039,5756944444</v>
      </c>
      <c r="Q859" s="1" t="str">
        <f>_xlfn.CONCAT(H859,I859,J859)</f>
        <v>DAURDE</v>
      </c>
    </row>
    <row r="860" spans="2:17">
      <c r="B860" s="1" t="s">
        <v>330</v>
      </c>
      <c r="C860" s="1" t="s">
        <v>247</v>
      </c>
      <c r="D860" s="52">
        <v>46039.496527777781</v>
      </c>
      <c r="E860" s="52">
        <v>46039.496527777781</v>
      </c>
      <c r="F860" s="52">
        <v>46039.575694444444</v>
      </c>
      <c r="G860" s="53">
        <f>F860-E860</f>
        <v>7.9166666662786156E-2</v>
      </c>
      <c r="H860" s="1" t="s">
        <v>257</v>
      </c>
      <c r="J860" s="1" t="s">
        <v>258</v>
      </c>
      <c r="K860" s="1" t="s">
        <v>658</v>
      </c>
      <c r="L860" s="1" t="s">
        <v>541</v>
      </c>
      <c r="M860" s="1" t="s">
        <v>260</v>
      </c>
      <c r="N860" s="1" t="s">
        <v>357</v>
      </c>
      <c r="O860" s="1" t="s">
        <v>632</v>
      </c>
      <c r="P860" s="1" t="str">
        <f>_xlfn.CONCAT(B860,C860,D860,E860,F860)</f>
        <v>BC Aracu5.5Inverter(MBUS-1)46039,496527777846039,496527777846039,5756944444</v>
      </c>
      <c r="Q860" s="1" t="str">
        <f>_xlfn.CONCAT(H860,I860,J860)</f>
        <v>DAURDE</v>
      </c>
    </row>
    <row r="861" spans="2:17">
      <c r="B861" s="1" t="s">
        <v>393</v>
      </c>
      <c r="C861" s="1" t="s">
        <v>394</v>
      </c>
      <c r="D861" s="52">
        <v>46039.579861111109</v>
      </c>
      <c r="E861" s="52">
        <v>46039.579861111109</v>
      </c>
      <c r="F861" s="52">
        <v>46039.65347222222</v>
      </c>
      <c r="G861" s="53">
        <f>F861-E861</f>
        <v>7.3611111110949423E-2</v>
      </c>
      <c r="H861" s="1" t="s">
        <v>257</v>
      </c>
      <c r="J861" s="1" t="s">
        <v>258</v>
      </c>
      <c r="K861" s="1" t="s">
        <v>658</v>
      </c>
      <c r="L861" s="1" t="s">
        <v>2003</v>
      </c>
      <c r="M861" s="1" t="s">
        <v>260</v>
      </c>
      <c r="N861" s="1" t="s">
        <v>357</v>
      </c>
      <c r="O861" s="1" t="s">
        <v>809</v>
      </c>
      <c r="P861" s="1" t="str">
        <f>_xlfn.CONCAT(B861,C861,D861,E861,F861)</f>
        <v>BC ParanoaSG60KTL(COM1-014)_001_01346039,579861111146039,579861111146039,6534722222</v>
      </c>
      <c r="Q861" s="1" t="str">
        <f>_xlfn.CONCAT(H861,I861,J861)</f>
        <v>DAURDE</v>
      </c>
    </row>
    <row r="862" spans="2:17">
      <c r="B862" s="1" t="s">
        <v>393</v>
      </c>
      <c r="C862" s="1" t="s">
        <v>395</v>
      </c>
      <c r="D862" s="52">
        <v>46039.579861111109</v>
      </c>
      <c r="E862" s="52">
        <v>46039.579861111109</v>
      </c>
      <c r="F862" s="52">
        <v>46039.65347222222</v>
      </c>
      <c r="G862" s="53">
        <f>F862-E862</f>
        <v>7.3611111110949423E-2</v>
      </c>
      <c r="H862" s="1" t="s">
        <v>257</v>
      </c>
      <c r="J862" s="1" t="s">
        <v>258</v>
      </c>
      <c r="K862" s="1" t="s">
        <v>658</v>
      </c>
      <c r="L862" s="1" t="s">
        <v>2003</v>
      </c>
      <c r="M862" s="1" t="s">
        <v>260</v>
      </c>
      <c r="N862" s="1" t="s">
        <v>357</v>
      </c>
      <c r="O862" s="1" t="s">
        <v>809</v>
      </c>
      <c r="P862" s="1" t="str">
        <f>_xlfn.CONCAT(B862,C862,D862,E862,F862)</f>
        <v>BC ParanoaSG60KTL(COM1-013)_001_01046039,579861111146039,579861111146039,6534722222</v>
      </c>
      <c r="Q862" s="1" t="str">
        <f>_xlfn.CONCAT(H862,I862,J862)</f>
        <v>DAURDE</v>
      </c>
    </row>
    <row r="863" spans="2:17">
      <c r="B863" s="1" t="s">
        <v>393</v>
      </c>
      <c r="C863" s="1" t="s">
        <v>396</v>
      </c>
      <c r="D863" s="52">
        <v>46039.579861111109</v>
      </c>
      <c r="E863" s="52">
        <v>46039.579861111109</v>
      </c>
      <c r="F863" s="52">
        <v>46039.65347222222</v>
      </c>
      <c r="G863" s="53">
        <f>F863-E863</f>
        <v>7.3611111110949423E-2</v>
      </c>
      <c r="H863" s="1" t="s">
        <v>257</v>
      </c>
      <c r="J863" s="1" t="s">
        <v>258</v>
      </c>
      <c r="K863" s="1" t="s">
        <v>658</v>
      </c>
      <c r="L863" s="1" t="s">
        <v>2003</v>
      </c>
      <c r="M863" s="1" t="s">
        <v>260</v>
      </c>
      <c r="N863" s="1" t="s">
        <v>357</v>
      </c>
      <c r="O863" s="1" t="s">
        <v>809</v>
      </c>
      <c r="P863" s="1" t="str">
        <f>_xlfn.CONCAT(B863,C863,D863,E863,F863)</f>
        <v>BC ParanoaSG60KTL(COM1-012)_001_01146039,579861111146039,579861111146039,6534722222</v>
      </c>
      <c r="Q863" s="1" t="str">
        <f>_xlfn.CONCAT(H863,I863,J863)</f>
        <v>DAURDE</v>
      </c>
    </row>
    <row r="864" spans="2:17">
      <c r="B864" s="1" t="s">
        <v>393</v>
      </c>
      <c r="C864" s="1" t="s">
        <v>397</v>
      </c>
      <c r="D864" s="52">
        <v>46039.579861111109</v>
      </c>
      <c r="E864" s="52">
        <v>46039.579861111109</v>
      </c>
      <c r="F864" s="52">
        <v>46039.65347222222</v>
      </c>
      <c r="G864" s="53">
        <f>F864-E864</f>
        <v>7.3611111110949423E-2</v>
      </c>
      <c r="H864" s="1" t="s">
        <v>257</v>
      </c>
      <c r="J864" s="1" t="s">
        <v>258</v>
      </c>
      <c r="K864" s="1" t="s">
        <v>658</v>
      </c>
      <c r="L864" s="1" t="s">
        <v>2003</v>
      </c>
      <c r="M864" s="1" t="s">
        <v>260</v>
      </c>
      <c r="N864" s="1" t="s">
        <v>357</v>
      </c>
      <c r="O864" s="1" t="s">
        <v>809</v>
      </c>
      <c r="P864" s="1" t="str">
        <f>_xlfn.CONCAT(B864,C864,D864,E864,F864)</f>
        <v>BC ParanoaSG60KTL(COM1-011)_001_00546039,579861111146039,579861111146039,6534722222</v>
      </c>
      <c r="Q864" s="1" t="str">
        <f>_xlfn.CONCAT(H864,I864,J864)</f>
        <v>DAURDE</v>
      </c>
    </row>
    <row r="865" spans="2:17">
      <c r="B865" s="1" t="s">
        <v>393</v>
      </c>
      <c r="C865" s="1" t="s">
        <v>398</v>
      </c>
      <c r="D865" s="52">
        <v>46039.579861111109</v>
      </c>
      <c r="E865" s="52">
        <v>46039.579861111109</v>
      </c>
      <c r="F865" s="52">
        <v>46039.65347222222</v>
      </c>
      <c r="G865" s="53">
        <f>F865-E865</f>
        <v>7.3611111110949423E-2</v>
      </c>
      <c r="H865" s="1" t="s">
        <v>257</v>
      </c>
      <c r="J865" s="1" t="s">
        <v>258</v>
      </c>
      <c r="K865" s="1" t="s">
        <v>658</v>
      </c>
      <c r="L865" s="1" t="s">
        <v>2003</v>
      </c>
      <c r="M865" s="1" t="s">
        <v>260</v>
      </c>
      <c r="N865" s="1" t="s">
        <v>357</v>
      </c>
      <c r="O865" s="1" t="s">
        <v>809</v>
      </c>
      <c r="P865" s="1" t="str">
        <f>_xlfn.CONCAT(B865,C865,D865,E865,F865)</f>
        <v>BC ParanoaSG60KTL(COM1-010)_001_00346039,579861111146039,579861111146039,6534722222</v>
      </c>
      <c r="Q865" s="1" t="str">
        <f>_xlfn.CONCAT(H865,I865,J865)</f>
        <v>DAURDE</v>
      </c>
    </row>
    <row r="866" spans="2:17">
      <c r="B866" s="1" t="s">
        <v>393</v>
      </c>
      <c r="C866" s="1" t="s">
        <v>399</v>
      </c>
      <c r="D866" s="52">
        <v>46039.579861111109</v>
      </c>
      <c r="E866" s="52">
        <v>46039.579861111109</v>
      </c>
      <c r="F866" s="52">
        <v>46039.65347222222</v>
      </c>
      <c r="G866" s="53">
        <f>F866-E866</f>
        <v>7.3611111110949423E-2</v>
      </c>
      <c r="H866" s="1" t="s">
        <v>257</v>
      </c>
      <c r="J866" s="1" t="s">
        <v>258</v>
      </c>
      <c r="K866" s="1" t="s">
        <v>658</v>
      </c>
      <c r="L866" s="1" t="s">
        <v>2003</v>
      </c>
      <c r="M866" s="1" t="s">
        <v>260</v>
      </c>
      <c r="N866" s="1" t="s">
        <v>357</v>
      </c>
      <c r="O866" s="1" t="s">
        <v>809</v>
      </c>
      <c r="P866" s="1" t="str">
        <f>_xlfn.CONCAT(B866,C866,D866,E866,F866)</f>
        <v>BC ParanoaSG60KTL(COM1-018)_001_01246039,579861111146039,579861111146039,6534722222</v>
      </c>
      <c r="Q866" s="1" t="str">
        <f>_xlfn.CONCAT(H866,I866,J866)</f>
        <v>DAURDE</v>
      </c>
    </row>
    <row r="867" spans="2:17">
      <c r="B867" s="1" t="s">
        <v>393</v>
      </c>
      <c r="C867" s="1" t="s">
        <v>400</v>
      </c>
      <c r="D867" s="52">
        <v>46039.579861111109</v>
      </c>
      <c r="E867" s="52">
        <v>46039.579861111109</v>
      </c>
      <c r="F867" s="52">
        <v>46039.65347222222</v>
      </c>
      <c r="G867" s="53">
        <f>F867-E867</f>
        <v>7.3611111110949423E-2</v>
      </c>
      <c r="H867" s="1" t="s">
        <v>257</v>
      </c>
      <c r="J867" s="1" t="s">
        <v>258</v>
      </c>
      <c r="K867" s="1" t="s">
        <v>658</v>
      </c>
      <c r="L867" s="1" t="s">
        <v>2003</v>
      </c>
      <c r="M867" s="1" t="s">
        <v>260</v>
      </c>
      <c r="N867" s="1" t="s">
        <v>357</v>
      </c>
      <c r="O867" s="1" t="s">
        <v>809</v>
      </c>
      <c r="P867" s="1" t="str">
        <f>_xlfn.CONCAT(B867,C867,D867,E867,F867)</f>
        <v>BC ParanoaSG60KTL(COM1-017)_001_00746039,579861111146039,579861111146039,6534722222</v>
      </c>
      <c r="Q867" s="1" t="str">
        <f>_xlfn.CONCAT(H867,I867,J867)</f>
        <v>DAURDE</v>
      </c>
    </row>
    <row r="868" spans="2:17">
      <c r="B868" s="1" t="s">
        <v>393</v>
      </c>
      <c r="C868" s="1" t="s">
        <v>401</v>
      </c>
      <c r="D868" s="52">
        <v>46039.579861111109</v>
      </c>
      <c r="E868" s="52">
        <v>46039.579861111109</v>
      </c>
      <c r="F868" s="52">
        <v>46039.65347222222</v>
      </c>
      <c r="G868" s="53">
        <f>F868-E868</f>
        <v>7.3611111110949423E-2</v>
      </c>
      <c r="H868" s="1" t="s">
        <v>257</v>
      </c>
      <c r="J868" s="1" t="s">
        <v>258</v>
      </c>
      <c r="K868" s="1" t="s">
        <v>658</v>
      </c>
      <c r="L868" s="1" t="s">
        <v>2003</v>
      </c>
      <c r="M868" s="1" t="s">
        <v>260</v>
      </c>
      <c r="N868" s="1" t="s">
        <v>357</v>
      </c>
      <c r="O868" s="1" t="s">
        <v>809</v>
      </c>
      <c r="P868" s="1" t="str">
        <f>_xlfn.CONCAT(B868,C868,D868,E868,F868)</f>
        <v>BC ParanoaSG60KTL(COM1-016)_001_00646039,579861111146039,579861111146039,6534722222</v>
      </c>
      <c r="Q868" s="1" t="str">
        <f>_xlfn.CONCAT(H868,I868,J868)</f>
        <v>DAURDE</v>
      </c>
    </row>
    <row r="869" spans="2:17">
      <c r="B869" s="1" t="s">
        <v>393</v>
      </c>
      <c r="C869" s="1" t="s">
        <v>402</v>
      </c>
      <c r="D869" s="52">
        <v>46039.579861111109</v>
      </c>
      <c r="E869" s="52">
        <v>46039.579861111109</v>
      </c>
      <c r="F869" s="52">
        <v>46039.65347222222</v>
      </c>
      <c r="G869" s="53">
        <f>F869-E869</f>
        <v>7.3611111110949423E-2</v>
      </c>
      <c r="H869" s="1" t="s">
        <v>257</v>
      </c>
      <c r="J869" s="1" t="s">
        <v>258</v>
      </c>
      <c r="K869" s="1" t="s">
        <v>658</v>
      </c>
      <c r="L869" s="1" t="s">
        <v>2003</v>
      </c>
      <c r="M869" s="1" t="s">
        <v>260</v>
      </c>
      <c r="N869" s="1" t="s">
        <v>357</v>
      </c>
      <c r="O869" s="1" t="s">
        <v>809</v>
      </c>
      <c r="P869" s="1" t="str">
        <f>_xlfn.CONCAT(B869,C869,D869,E869,F869)</f>
        <v>BC ParanoaSG50CX(COM2-015)_001_01746039,579861111146039,579861111146039,6534722222</v>
      </c>
      <c r="Q869" s="1" t="str">
        <f>_xlfn.CONCAT(H869,I869,J869)</f>
        <v>DAURDE</v>
      </c>
    </row>
    <row r="870" spans="2:17">
      <c r="B870" s="1" t="s">
        <v>393</v>
      </c>
      <c r="C870" s="1" t="s">
        <v>403</v>
      </c>
      <c r="D870" s="52">
        <v>46039.579861111109</v>
      </c>
      <c r="E870" s="52">
        <v>46039.579861111109</v>
      </c>
      <c r="F870" s="52">
        <v>46039.65347222222</v>
      </c>
      <c r="G870" s="53">
        <f>F870-E870</f>
        <v>7.3611111110949423E-2</v>
      </c>
      <c r="H870" s="1" t="s">
        <v>257</v>
      </c>
      <c r="J870" s="1" t="s">
        <v>258</v>
      </c>
      <c r="K870" s="1" t="s">
        <v>658</v>
      </c>
      <c r="L870" s="1" t="s">
        <v>2003</v>
      </c>
      <c r="M870" s="1" t="s">
        <v>260</v>
      </c>
      <c r="N870" s="1" t="s">
        <v>357</v>
      </c>
      <c r="O870" s="1" t="s">
        <v>809</v>
      </c>
      <c r="P870" s="1" t="str">
        <f>_xlfn.CONCAT(B870,C870,D870,E870,F870)</f>
        <v>BC ParanoaSG60KTL(COM1-009)_001_00246039,579861111146039,579861111146039,6534722222</v>
      </c>
      <c r="Q870" s="1" t="str">
        <f>_xlfn.CONCAT(H870,I870,J870)</f>
        <v>DAURDE</v>
      </c>
    </row>
    <row r="871" spans="2:17">
      <c r="B871" s="1" t="s">
        <v>393</v>
      </c>
      <c r="C871" s="1" t="s">
        <v>404</v>
      </c>
      <c r="D871" s="52">
        <v>46039.579861111109</v>
      </c>
      <c r="E871" s="52">
        <v>46039.579861111109</v>
      </c>
      <c r="F871" s="52">
        <v>46039.65347222222</v>
      </c>
      <c r="G871" s="53">
        <f>F871-E871</f>
        <v>7.3611111110949423E-2</v>
      </c>
      <c r="H871" s="1" t="s">
        <v>257</v>
      </c>
      <c r="J871" s="1" t="s">
        <v>258</v>
      </c>
      <c r="K871" s="1" t="s">
        <v>658</v>
      </c>
      <c r="L871" s="1" t="s">
        <v>2003</v>
      </c>
      <c r="M871" s="1" t="s">
        <v>260</v>
      </c>
      <c r="N871" s="1" t="s">
        <v>357</v>
      </c>
      <c r="O871" s="1" t="s">
        <v>809</v>
      </c>
      <c r="P871" s="1" t="str">
        <f>_xlfn.CONCAT(B871,C871,D871,E871,F871)</f>
        <v>BC ParanoaSG60KTL(COM1-008)_001_00946039,579861111146039,579861111146039,6534722222</v>
      </c>
      <c r="Q871" s="1" t="str">
        <f>_xlfn.CONCAT(H871,I871,J871)</f>
        <v>DAURDE</v>
      </c>
    </row>
    <row r="872" spans="2:17">
      <c r="B872" s="1" t="s">
        <v>393</v>
      </c>
      <c r="C872" s="1" t="s">
        <v>405</v>
      </c>
      <c r="D872" s="52">
        <v>46039.579861111109</v>
      </c>
      <c r="E872" s="52">
        <v>46039.579861111109</v>
      </c>
      <c r="F872" s="52">
        <v>46039.65347222222</v>
      </c>
      <c r="G872" s="53">
        <f>F872-E872</f>
        <v>7.3611111110949423E-2</v>
      </c>
      <c r="H872" s="1" t="s">
        <v>257</v>
      </c>
      <c r="J872" s="1" t="s">
        <v>258</v>
      </c>
      <c r="K872" s="1" t="s">
        <v>658</v>
      </c>
      <c r="L872" s="1" t="s">
        <v>2003</v>
      </c>
      <c r="M872" s="1" t="s">
        <v>260</v>
      </c>
      <c r="N872" s="1" t="s">
        <v>357</v>
      </c>
      <c r="O872" s="1" t="s">
        <v>809</v>
      </c>
      <c r="P872" s="1" t="str">
        <f>_xlfn.CONCAT(B872,C872,D872,E872,F872)</f>
        <v>BC ParanoaSG60KTL(COM1-007)_001_00446039,579861111146039,579861111146039,6534722222</v>
      </c>
      <c r="Q872" s="1" t="str">
        <f>_xlfn.CONCAT(H872,I872,J872)</f>
        <v>DAURDE</v>
      </c>
    </row>
    <row r="873" spans="2:17">
      <c r="B873" s="1" t="s">
        <v>393</v>
      </c>
      <c r="C873" s="1" t="s">
        <v>406</v>
      </c>
      <c r="D873" s="52">
        <v>46039.579861111109</v>
      </c>
      <c r="E873" s="52">
        <v>46039.579861111109</v>
      </c>
      <c r="F873" s="52">
        <v>46039.65347222222</v>
      </c>
      <c r="G873" s="53">
        <f>F873-E873</f>
        <v>7.3611111110949423E-2</v>
      </c>
      <c r="H873" s="1" t="s">
        <v>257</v>
      </c>
      <c r="J873" s="1" t="s">
        <v>258</v>
      </c>
      <c r="K873" s="1" t="s">
        <v>658</v>
      </c>
      <c r="L873" s="1" t="s">
        <v>2003</v>
      </c>
      <c r="M873" s="1" t="s">
        <v>260</v>
      </c>
      <c r="N873" s="1" t="s">
        <v>357</v>
      </c>
      <c r="O873" s="1" t="s">
        <v>809</v>
      </c>
      <c r="P873" s="1" t="str">
        <f>_xlfn.CONCAT(B873,C873,D873,E873,F873)</f>
        <v>BC ParanoaSG60KTL(COM1-006)_001_01446039,579861111146039,579861111146039,6534722222</v>
      </c>
      <c r="Q873" s="1" t="str">
        <f>_xlfn.CONCAT(H873,I873,J873)</f>
        <v>DAURDE</v>
      </c>
    </row>
    <row r="874" spans="2:17">
      <c r="B874" s="1" t="s">
        <v>393</v>
      </c>
      <c r="C874" s="1" t="s">
        <v>407</v>
      </c>
      <c r="D874" s="52">
        <v>46039.579861111109</v>
      </c>
      <c r="E874" s="52">
        <v>46039.579861111109</v>
      </c>
      <c r="F874" s="52">
        <v>46039.65347222222</v>
      </c>
      <c r="G874" s="53">
        <f>F874-E874</f>
        <v>7.3611111110949423E-2</v>
      </c>
      <c r="H874" s="1" t="s">
        <v>257</v>
      </c>
      <c r="J874" s="1" t="s">
        <v>258</v>
      </c>
      <c r="K874" s="1" t="s">
        <v>658</v>
      </c>
      <c r="L874" s="1" t="s">
        <v>2003</v>
      </c>
      <c r="M874" s="1" t="s">
        <v>260</v>
      </c>
      <c r="N874" s="1" t="s">
        <v>357</v>
      </c>
      <c r="O874" s="1" t="s">
        <v>809</v>
      </c>
      <c r="P874" s="1" t="str">
        <f>_xlfn.CONCAT(B874,C874,D874,E874,F874)</f>
        <v>BC ParanoaSG40CX(COM2-005)_001_01546039,579861111146039,579861111146039,6534722222</v>
      </c>
      <c r="Q874" s="1" t="str">
        <f>_xlfn.CONCAT(H874,I874,J874)</f>
        <v>DAURDE</v>
      </c>
    </row>
    <row r="875" spans="2:17">
      <c r="B875" s="1" t="s">
        <v>393</v>
      </c>
      <c r="C875" s="1" t="s">
        <v>408</v>
      </c>
      <c r="D875" s="52">
        <v>46039.579861111109</v>
      </c>
      <c r="E875" s="52">
        <v>46039.579861111109</v>
      </c>
      <c r="F875" s="52">
        <v>46039.65347222222</v>
      </c>
      <c r="G875" s="53">
        <f>F875-E875</f>
        <v>7.3611111110949423E-2</v>
      </c>
      <c r="H875" s="1" t="s">
        <v>257</v>
      </c>
      <c r="J875" s="1" t="s">
        <v>258</v>
      </c>
      <c r="K875" s="1" t="s">
        <v>658</v>
      </c>
      <c r="L875" s="1" t="s">
        <v>2003</v>
      </c>
      <c r="M875" s="1" t="s">
        <v>260</v>
      </c>
      <c r="N875" s="1" t="s">
        <v>357</v>
      </c>
      <c r="O875" s="1" t="s">
        <v>809</v>
      </c>
      <c r="P875" s="1" t="str">
        <f>_xlfn.CONCAT(B875,C875,D875,E875,F875)</f>
        <v>BC ParanoaSG60KTL(COM1-019)_002_00746039,579861111146039,579861111146039,6534722222</v>
      </c>
      <c r="Q875" s="1" t="str">
        <f>_xlfn.CONCAT(H875,I875,J875)</f>
        <v>DAURDE</v>
      </c>
    </row>
    <row r="876" spans="2:17">
      <c r="B876" s="1" t="s">
        <v>393</v>
      </c>
      <c r="C876" s="1" t="s">
        <v>409</v>
      </c>
      <c r="D876" s="52">
        <v>46039.579861111109</v>
      </c>
      <c r="E876" s="52">
        <v>46039.579861111109</v>
      </c>
      <c r="F876" s="52">
        <v>46039.65347222222</v>
      </c>
      <c r="G876" s="53">
        <f>F876-E876</f>
        <v>7.3611111110949423E-2</v>
      </c>
      <c r="H876" s="1" t="s">
        <v>257</v>
      </c>
      <c r="J876" s="1" t="s">
        <v>258</v>
      </c>
      <c r="K876" s="1" t="s">
        <v>658</v>
      </c>
      <c r="L876" s="1" t="s">
        <v>2003</v>
      </c>
      <c r="M876" s="1" t="s">
        <v>260</v>
      </c>
      <c r="N876" s="1" t="s">
        <v>357</v>
      </c>
      <c r="O876" s="1" t="s">
        <v>809</v>
      </c>
      <c r="P876" s="1" t="str">
        <f>_xlfn.CONCAT(B876,C876,D876,E876,F876)</f>
        <v>BC ParanoaSG60KTL(COM1-020)_002_01146039,579861111146039,579861111146039,6534722222</v>
      </c>
      <c r="Q876" s="1" t="str">
        <f>_xlfn.CONCAT(H876,I876,J876)</f>
        <v>DAURDE</v>
      </c>
    </row>
    <row r="877" spans="2:17">
      <c r="B877" s="1" t="s">
        <v>393</v>
      </c>
      <c r="C877" s="1" t="s">
        <v>410</v>
      </c>
      <c r="D877" s="52">
        <v>46039.579861111109</v>
      </c>
      <c r="E877" s="52">
        <v>46039.579861111109</v>
      </c>
      <c r="F877" s="52">
        <v>46039.65347222222</v>
      </c>
      <c r="G877" s="53">
        <f>F877-E877</f>
        <v>7.3611111110949423E-2</v>
      </c>
      <c r="H877" s="1" t="s">
        <v>257</v>
      </c>
      <c r="J877" s="1" t="s">
        <v>258</v>
      </c>
      <c r="K877" s="1" t="s">
        <v>658</v>
      </c>
      <c r="L877" s="1" t="s">
        <v>2003</v>
      </c>
      <c r="M877" s="1" t="s">
        <v>260</v>
      </c>
      <c r="N877" s="1" t="s">
        <v>357</v>
      </c>
      <c r="O877" s="1" t="s">
        <v>809</v>
      </c>
      <c r="P877" s="1" t="str">
        <f>_xlfn.CONCAT(B877,C877,D877,E877,F877)</f>
        <v>BC ParanoaSG60KTL(COM1-021)_002_01746039,579861111146039,579861111146039,6534722222</v>
      </c>
      <c r="Q877" s="1" t="str">
        <f>_xlfn.CONCAT(H877,I877,J877)</f>
        <v>DAURDE</v>
      </c>
    </row>
    <row r="878" spans="2:17">
      <c r="B878" s="1" t="s">
        <v>393</v>
      </c>
      <c r="C878" s="1" t="s">
        <v>411</v>
      </c>
      <c r="D878" s="52">
        <v>46039.579861111109</v>
      </c>
      <c r="E878" s="52">
        <v>46039.579861111109</v>
      </c>
      <c r="F878" s="52">
        <v>46039.65347222222</v>
      </c>
      <c r="G878" s="53">
        <f>F878-E878</f>
        <v>7.3611111110949423E-2</v>
      </c>
      <c r="H878" s="1" t="s">
        <v>257</v>
      </c>
      <c r="J878" s="1" t="s">
        <v>258</v>
      </c>
      <c r="K878" s="1" t="s">
        <v>658</v>
      </c>
      <c r="L878" s="1" t="s">
        <v>2003</v>
      </c>
      <c r="M878" s="1" t="s">
        <v>260</v>
      </c>
      <c r="N878" s="1" t="s">
        <v>357</v>
      </c>
      <c r="O878" s="1" t="s">
        <v>809</v>
      </c>
      <c r="P878" s="1" t="str">
        <f>_xlfn.CONCAT(B878,C878,D878,E878,F878)</f>
        <v>BC ParanoaSG60KTL(COM1-022)_002_02046039,579861111146039,579861111146039,6534722222</v>
      </c>
      <c r="Q878" s="1" t="str">
        <f>_xlfn.CONCAT(H878,I878,J878)</f>
        <v>DAURDE</v>
      </c>
    </row>
    <row r="879" spans="2:17">
      <c r="B879" s="1" t="s">
        <v>393</v>
      </c>
      <c r="C879" s="1" t="s">
        <v>412</v>
      </c>
      <c r="D879" s="52">
        <v>46039.579861111109</v>
      </c>
      <c r="E879" s="52">
        <v>46039.579861111109</v>
      </c>
      <c r="F879" s="52">
        <v>46039.65347222222</v>
      </c>
      <c r="G879" s="53">
        <f>F879-E879</f>
        <v>7.3611111110949423E-2</v>
      </c>
      <c r="H879" s="1" t="s">
        <v>257</v>
      </c>
      <c r="J879" s="1" t="s">
        <v>258</v>
      </c>
      <c r="K879" s="1" t="s">
        <v>658</v>
      </c>
      <c r="L879" s="1" t="s">
        <v>2003</v>
      </c>
      <c r="M879" s="1" t="s">
        <v>260</v>
      </c>
      <c r="N879" s="1" t="s">
        <v>357</v>
      </c>
      <c r="O879" s="1" t="s">
        <v>809</v>
      </c>
      <c r="P879" s="1" t="str">
        <f>_xlfn.CONCAT(B879,C879,D879,E879,F879)</f>
        <v>BC ParanoaSG40CX(COM2-023)_002_02446039,579861111146039,579861111146039,6534722222</v>
      </c>
      <c r="Q879" s="1" t="str">
        <f>_xlfn.CONCAT(H879,I879,J879)</f>
        <v>DAURDE</v>
      </c>
    </row>
    <row r="880" spans="2:17">
      <c r="B880" s="1" t="s">
        <v>393</v>
      </c>
      <c r="C880" s="1" t="s">
        <v>413</v>
      </c>
      <c r="D880" s="52">
        <v>46039.579861111109</v>
      </c>
      <c r="E880" s="52">
        <v>46039.579861111109</v>
      </c>
      <c r="F880" s="52">
        <v>46039.65347222222</v>
      </c>
      <c r="G880" s="53">
        <f>F880-E880</f>
        <v>7.3611111110949423E-2</v>
      </c>
      <c r="H880" s="1" t="s">
        <v>257</v>
      </c>
      <c r="J880" s="1" t="s">
        <v>258</v>
      </c>
      <c r="K880" s="1" t="s">
        <v>658</v>
      </c>
      <c r="L880" s="1" t="s">
        <v>2003</v>
      </c>
      <c r="M880" s="1" t="s">
        <v>260</v>
      </c>
      <c r="N880" s="1" t="s">
        <v>357</v>
      </c>
      <c r="O880" s="1" t="s">
        <v>809</v>
      </c>
      <c r="P880" s="1" t="str">
        <f>_xlfn.CONCAT(B880,C880,D880,E880,F880)</f>
        <v>BC ParanoaSG40CX(COM2-024)_002_02246039,579861111146039,579861111146039,6534722222</v>
      </c>
      <c r="Q880" s="1" t="str">
        <f>_xlfn.CONCAT(H880,I880,J880)</f>
        <v>DAURDE</v>
      </c>
    </row>
    <row r="881" spans="2:17">
      <c r="B881" s="1" t="s">
        <v>393</v>
      </c>
      <c r="C881" s="1" t="s">
        <v>414</v>
      </c>
      <c r="D881" s="52">
        <v>46039.579861111109</v>
      </c>
      <c r="E881" s="52">
        <v>46039.579861111109</v>
      </c>
      <c r="F881" s="52">
        <v>46039.65347222222</v>
      </c>
      <c r="G881" s="53">
        <f>F881-E881</f>
        <v>7.3611111110949423E-2</v>
      </c>
      <c r="H881" s="1" t="s">
        <v>257</v>
      </c>
      <c r="J881" s="1" t="s">
        <v>258</v>
      </c>
      <c r="K881" s="1" t="s">
        <v>658</v>
      </c>
      <c r="L881" s="1" t="s">
        <v>2003</v>
      </c>
      <c r="M881" s="1" t="s">
        <v>260</v>
      </c>
      <c r="N881" s="1" t="s">
        <v>357</v>
      </c>
      <c r="O881" s="1" t="s">
        <v>809</v>
      </c>
      <c r="P881" s="1" t="str">
        <f>_xlfn.CONCAT(B881,C881,D881,E881,F881)</f>
        <v>BC ParanoaSG60KTL(COM1-007)_002_01346039,579861111146039,579861111146039,6534722222</v>
      </c>
      <c r="Q881" s="1" t="str">
        <f>_xlfn.CONCAT(H881,I881,J881)</f>
        <v>DAURDE</v>
      </c>
    </row>
    <row r="882" spans="2:17">
      <c r="B882" s="1" t="s">
        <v>393</v>
      </c>
      <c r="C882" s="1" t="s">
        <v>415</v>
      </c>
      <c r="D882" s="52">
        <v>46039.579861111109</v>
      </c>
      <c r="E882" s="52">
        <v>46039.579861111109</v>
      </c>
      <c r="F882" s="52">
        <v>46039.65347222222</v>
      </c>
      <c r="G882" s="53">
        <f>F882-E882</f>
        <v>7.3611111110949423E-2</v>
      </c>
      <c r="H882" s="1" t="s">
        <v>257</v>
      </c>
      <c r="J882" s="1" t="s">
        <v>258</v>
      </c>
      <c r="K882" s="1" t="s">
        <v>658</v>
      </c>
      <c r="L882" s="1" t="s">
        <v>2003</v>
      </c>
      <c r="M882" s="1" t="s">
        <v>260</v>
      </c>
      <c r="N882" s="1" t="s">
        <v>357</v>
      </c>
      <c r="O882" s="1" t="s">
        <v>809</v>
      </c>
      <c r="P882" s="1" t="str">
        <f>_xlfn.CONCAT(B882,C882,D882,E882,F882)</f>
        <v>BC ParanoaSG60KTL(COM1-008)_002_00246039,579861111146039,579861111146039,6534722222</v>
      </c>
      <c r="Q882" s="1" t="str">
        <f>_xlfn.CONCAT(H882,I882,J882)</f>
        <v>DAURDE</v>
      </c>
    </row>
    <row r="883" spans="2:17">
      <c r="B883" s="1" t="s">
        <v>393</v>
      </c>
      <c r="C883" s="1" t="s">
        <v>416</v>
      </c>
      <c r="D883" s="52">
        <v>46039.579861111109</v>
      </c>
      <c r="E883" s="52">
        <v>46039.579861111109</v>
      </c>
      <c r="F883" s="52">
        <v>46039.65347222222</v>
      </c>
      <c r="G883" s="53">
        <f>F883-E883</f>
        <v>7.3611111110949423E-2</v>
      </c>
      <c r="H883" s="1" t="s">
        <v>257</v>
      </c>
      <c r="J883" s="1" t="s">
        <v>258</v>
      </c>
      <c r="K883" s="1" t="s">
        <v>658</v>
      </c>
      <c r="L883" s="1" t="s">
        <v>2003</v>
      </c>
      <c r="M883" s="1" t="s">
        <v>260</v>
      </c>
      <c r="N883" s="1" t="s">
        <v>357</v>
      </c>
      <c r="O883" s="1" t="s">
        <v>809</v>
      </c>
      <c r="P883" s="1" t="str">
        <f>_xlfn.CONCAT(B883,C883,D883,E883,F883)</f>
        <v>BC ParanoaSG60KTL(COM1-009)_002_00846039,579861111146039,579861111146039,6534722222</v>
      </c>
      <c r="Q883" s="1" t="str">
        <f>_xlfn.CONCAT(H883,I883,J883)</f>
        <v>DAURDE</v>
      </c>
    </row>
    <row r="884" spans="2:17">
      <c r="B884" s="1" t="s">
        <v>393</v>
      </c>
      <c r="C884" s="1" t="s">
        <v>417</v>
      </c>
      <c r="D884" s="52">
        <v>46039.579861111109</v>
      </c>
      <c r="E884" s="52">
        <v>46039.579861111109</v>
      </c>
      <c r="F884" s="52">
        <v>46039.65347222222</v>
      </c>
      <c r="G884" s="53">
        <f>F884-E884</f>
        <v>7.3611111110949423E-2</v>
      </c>
      <c r="H884" s="1" t="s">
        <v>257</v>
      </c>
      <c r="J884" s="1" t="s">
        <v>258</v>
      </c>
      <c r="K884" s="1" t="s">
        <v>658</v>
      </c>
      <c r="L884" s="1" t="s">
        <v>2003</v>
      </c>
      <c r="M884" s="1" t="s">
        <v>260</v>
      </c>
      <c r="N884" s="1" t="s">
        <v>357</v>
      </c>
      <c r="O884" s="1" t="s">
        <v>809</v>
      </c>
      <c r="P884" s="1" t="str">
        <f>_xlfn.CONCAT(B884,C884,D884,E884,F884)</f>
        <v>BC ParanoaSG60KTL(COM1-010)_002_00346039,579861111146039,579861111146039,6534722222</v>
      </c>
      <c r="Q884" s="1" t="str">
        <f>_xlfn.CONCAT(H884,I884,J884)</f>
        <v>DAURDE</v>
      </c>
    </row>
    <row r="885" spans="2:17">
      <c r="B885" s="1" t="s">
        <v>393</v>
      </c>
      <c r="C885" s="1" t="s">
        <v>418</v>
      </c>
      <c r="D885" s="52">
        <v>46039.579861111109</v>
      </c>
      <c r="E885" s="52">
        <v>46039.579861111109</v>
      </c>
      <c r="F885" s="52">
        <v>46039.65347222222</v>
      </c>
      <c r="G885" s="53">
        <f>F885-E885</f>
        <v>7.3611111110949423E-2</v>
      </c>
      <c r="H885" s="1" t="s">
        <v>257</v>
      </c>
      <c r="J885" s="1" t="s">
        <v>258</v>
      </c>
      <c r="K885" s="1" t="s">
        <v>658</v>
      </c>
      <c r="L885" s="1" t="s">
        <v>2003</v>
      </c>
      <c r="M885" s="1" t="s">
        <v>260</v>
      </c>
      <c r="N885" s="1" t="s">
        <v>357</v>
      </c>
      <c r="O885" s="1" t="s">
        <v>809</v>
      </c>
      <c r="P885" s="1" t="str">
        <f>_xlfn.CONCAT(B885,C885,D885,E885,F885)</f>
        <v>BC ParanoaSG60KTL(COM1-011)_002_01046039,579861111146039,579861111146039,6534722222</v>
      </c>
      <c r="Q885" s="1" t="str">
        <f>_xlfn.CONCAT(H885,I885,J885)</f>
        <v>DAURDE</v>
      </c>
    </row>
    <row r="886" spans="2:17">
      <c r="B886" s="1" t="s">
        <v>393</v>
      </c>
      <c r="C886" s="1" t="s">
        <v>419</v>
      </c>
      <c r="D886" s="52">
        <v>46039.579861111109</v>
      </c>
      <c r="E886" s="52">
        <v>46039.579861111109</v>
      </c>
      <c r="F886" s="52">
        <v>46039.65347222222</v>
      </c>
      <c r="G886" s="53">
        <f>F886-E886</f>
        <v>7.3611111110949423E-2</v>
      </c>
      <c r="H886" s="1" t="s">
        <v>257</v>
      </c>
      <c r="J886" s="1" t="s">
        <v>258</v>
      </c>
      <c r="K886" s="1" t="s">
        <v>658</v>
      </c>
      <c r="L886" s="1" t="s">
        <v>2003</v>
      </c>
      <c r="M886" s="1" t="s">
        <v>260</v>
      </c>
      <c r="N886" s="1" t="s">
        <v>357</v>
      </c>
      <c r="O886" s="1" t="s">
        <v>809</v>
      </c>
      <c r="P886" s="1" t="str">
        <f>_xlfn.CONCAT(B886,C886,D886,E886,F886)</f>
        <v>BC ParanoaSG60KTL(COM1-012)_002_00546039,579861111146039,579861111146039,6534722222</v>
      </c>
      <c r="Q886" s="1" t="str">
        <f>_xlfn.CONCAT(H886,I886,J886)</f>
        <v>DAURDE</v>
      </c>
    </row>
    <row r="887" spans="2:17">
      <c r="B887" s="1" t="s">
        <v>393</v>
      </c>
      <c r="C887" s="1" t="s">
        <v>420</v>
      </c>
      <c r="D887" s="52">
        <v>46039.579861111109</v>
      </c>
      <c r="E887" s="52">
        <v>46039.579861111109</v>
      </c>
      <c r="F887" s="52">
        <v>46039.65347222222</v>
      </c>
      <c r="G887" s="53">
        <f>F887-E887</f>
        <v>7.3611111110949423E-2</v>
      </c>
      <c r="H887" s="1" t="s">
        <v>257</v>
      </c>
      <c r="J887" s="1" t="s">
        <v>258</v>
      </c>
      <c r="K887" s="1" t="s">
        <v>658</v>
      </c>
      <c r="L887" s="1" t="s">
        <v>2003</v>
      </c>
      <c r="M887" s="1" t="s">
        <v>260</v>
      </c>
      <c r="N887" s="1" t="s">
        <v>357</v>
      </c>
      <c r="O887" s="1" t="s">
        <v>809</v>
      </c>
      <c r="P887" s="1" t="str">
        <f>_xlfn.CONCAT(B887,C887,D887,E887,F887)</f>
        <v>BC ParanoaSG60KTL(COM1-001)_002_00646039,579861111146039,579861111146039,6534722222</v>
      </c>
      <c r="Q887" s="1" t="str">
        <f>_xlfn.CONCAT(H887,I887,J887)</f>
        <v>DAURDE</v>
      </c>
    </row>
    <row r="888" spans="2:17">
      <c r="B888" s="1" t="s">
        <v>393</v>
      </c>
      <c r="C888" s="1" t="s">
        <v>421</v>
      </c>
      <c r="D888" s="52">
        <v>46039.579861111109</v>
      </c>
      <c r="E888" s="52">
        <v>46039.579861111109</v>
      </c>
      <c r="F888" s="52">
        <v>46039.65347222222</v>
      </c>
      <c r="G888" s="53">
        <f>F888-E888</f>
        <v>7.3611111110949423E-2</v>
      </c>
      <c r="H888" s="1" t="s">
        <v>257</v>
      </c>
      <c r="J888" s="1" t="s">
        <v>258</v>
      </c>
      <c r="K888" s="1" t="s">
        <v>658</v>
      </c>
      <c r="L888" s="1" t="s">
        <v>2003</v>
      </c>
      <c r="M888" s="1" t="s">
        <v>260</v>
      </c>
      <c r="N888" s="1" t="s">
        <v>357</v>
      </c>
      <c r="O888" s="1" t="s">
        <v>809</v>
      </c>
      <c r="P888" s="1" t="str">
        <f>_xlfn.CONCAT(B888,C888,D888,E888,F888)</f>
        <v>BC ParanoaSG60KTL(COM1-002)_002_01646039,579861111146039,579861111146039,6534722222</v>
      </c>
      <c r="Q888" s="1" t="str">
        <f>_xlfn.CONCAT(H888,I888,J888)</f>
        <v>DAURDE</v>
      </c>
    </row>
    <row r="889" spans="2:17">
      <c r="B889" s="1" t="s">
        <v>393</v>
      </c>
      <c r="C889" s="1" t="s">
        <v>422</v>
      </c>
      <c r="D889" s="52">
        <v>46039.579861111109</v>
      </c>
      <c r="E889" s="52">
        <v>46039.579861111109</v>
      </c>
      <c r="F889" s="52">
        <v>46039.65347222222</v>
      </c>
      <c r="G889" s="53">
        <f>F889-E889</f>
        <v>7.3611111110949423E-2</v>
      </c>
      <c r="H889" s="1" t="s">
        <v>257</v>
      </c>
      <c r="J889" s="1" t="s">
        <v>258</v>
      </c>
      <c r="K889" s="1" t="s">
        <v>658</v>
      </c>
      <c r="L889" s="1" t="s">
        <v>2003</v>
      </c>
      <c r="M889" s="1" t="s">
        <v>260</v>
      </c>
      <c r="N889" s="1" t="s">
        <v>357</v>
      </c>
      <c r="O889" s="1" t="s">
        <v>809</v>
      </c>
      <c r="P889" s="1" t="str">
        <f>_xlfn.CONCAT(B889,C889,D889,E889,F889)</f>
        <v>BC ParanoaSG50CX(COM2-003)_002_02146039,579861111146039,579861111146039,6534722222</v>
      </c>
      <c r="Q889" s="1" t="str">
        <f>_xlfn.CONCAT(H889,I889,J889)</f>
        <v>DAURDE</v>
      </c>
    </row>
    <row r="890" spans="2:17">
      <c r="B890" s="1" t="s">
        <v>393</v>
      </c>
      <c r="C890" s="1" t="s">
        <v>423</v>
      </c>
      <c r="D890" s="52">
        <v>46039.579861111109</v>
      </c>
      <c r="E890" s="52">
        <v>46039.579861111109</v>
      </c>
      <c r="F890" s="52">
        <v>46039.65347222222</v>
      </c>
      <c r="G890" s="53">
        <f>F890-E890</f>
        <v>7.3611111110949423E-2</v>
      </c>
      <c r="H890" s="1" t="s">
        <v>257</v>
      </c>
      <c r="J890" s="1" t="s">
        <v>258</v>
      </c>
      <c r="K890" s="1" t="s">
        <v>658</v>
      </c>
      <c r="L890" s="1" t="s">
        <v>2003</v>
      </c>
      <c r="M890" s="1" t="s">
        <v>260</v>
      </c>
      <c r="N890" s="1" t="s">
        <v>357</v>
      </c>
      <c r="O890" s="1" t="s">
        <v>809</v>
      </c>
      <c r="P890" s="1" t="str">
        <f>_xlfn.CONCAT(B890,C890,D890,E890,F890)</f>
        <v>BC ParanoaSG50CX(COM2-004)_002_02346039,579861111146039,579861111146039,6534722222</v>
      </c>
      <c r="Q890" s="1" t="str">
        <f>_xlfn.CONCAT(H890,I890,J890)</f>
        <v>DAURDE</v>
      </c>
    </row>
    <row r="891" spans="2:17">
      <c r="B891" s="1" t="s">
        <v>393</v>
      </c>
      <c r="C891" s="1" t="s">
        <v>424</v>
      </c>
      <c r="D891" s="52">
        <v>46039.579861111109</v>
      </c>
      <c r="E891" s="52">
        <v>46039.579861111109</v>
      </c>
      <c r="F891" s="52">
        <v>46039.65347222222</v>
      </c>
      <c r="G891" s="53">
        <f>F891-E891</f>
        <v>7.3611111110949423E-2</v>
      </c>
      <c r="H891" s="1" t="s">
        <v>257</v>
      </c>
      <c r="J891" s="1" t="s">
        <v>258</v>
      </c>
      <c r="K891" s="1" t="s">
        <v>658</v>
      </c>
      <c r="L891" s="1" t="s">
        <v>2003</v>
      </c>
      <c r="M891" s="1" t="s">
        <v>260</v>
      </c>
      <c r="N891" s="1" t="s">
        <v>357</v>
      </c>
      <c r="O891" s="1" t="s">
        <v>809</v>
      </c>
      <c r="P891" s="1" t="str">
        <f>_xlfn.CONCAT(B891,C891,D891,E891,F891)</f>
        <v>BC ParanoaSG60KTL(COM1-005)_002_00946039,579861111146039,579861111146039,6534722222</v>
      </c>
      <c r="Q891" s="1" t="str">
        <f>_xlfn.CONCAT(H891,I891,J891)</f>
        <v>DAURDE</v>
      </c>
    </row>
    <row r="892" spans="2:17">
      <c r="B892" s="1" t="s">
        <v>393</v>
      </c>
      <c r="C892" s="1" t="s">
        <v>425</v>
      </c>
      <c r="D892" s="52">
        <v>46039.579861111109</v>
      </c>
      <c r="E892" s="52">
        <v>46039.579861111109</v>
      </c>
      <c r="F892" s="52">
        <v>46039.65347222222</v>
      </c>
      <c r="G892" s="53">
        <f>F892-E892</f>
        <v>7.3611111110949423E-2</v>
      </c>
      <c r="H892" s="1" t="s">
        <v>257</v>
      </c>
      <c r="J892" s="1" t="s">
        <v>258</v>
      </c>
      <c r="K892" s="1" t="s">
        <v>658</v>
      </c>
      <c r="L892" s="1" t="s">
        <v>2003</v>
      </c>
      <c r="M892" s="1" t="s">
        <v>260</v>
      </c>
      <c r="N892" s="1" t="s">
        <v>357</v>
      </c>
      <c r="O892" s="1" t="s">
        <v>809</v>
      </c>
      <c r="P892" s="1" t="str">
        <f>_xlfn.CONCAT(B892,C892,D892,E892,F892)</f>
        <v>BC ParanoaSG60KTL(COM1-006)_002_00146039,579861111146039,579861111146039,6534722222</v>
      </c>
      <c r="Q892" s="1" t="str">
        <f>_xlfn.CONCAT(H892,I892,J892)</f>
        <v>DAURDE</v>
      </c>
    </row>
    <row r="893" spans="2:17">
      <c r="B893" s="1" t="s">
        <v>393</v>
      </c>
      <c r="C893" s="1" t="s">
        <v>426</v>
      </c>
      <c r="D893" s="52">
        <v>46039.579861111109</v>
      </c>
      <c r="E893" s="52">
        <v>46039.579861111109</v>
      </c>
      <c r="F893" s="52">
        <v>46039.65347222222</v>
      </c>
      <c r="G893" s="53">
        <f>F893-E893</f>
        <v>7.3611111110949423E-2</v>
      </c>
      <c r="H893" s="1" t="s">
        <v>257</v>
      </c>
      <c r="J893" s="1" t="s">
        <v>258</v>
      </c>
      <c r="K893" s="1" t="s">
        <v>658</v>
      </c>
      <c r="L893" s="1" t="s">
        <v>2003</v>
      </c>
      <c r="M893" s="1" t="s">
        <v>260</v>
      </c>
      <c r="N893" s="1" t="s">
        <v>357</v>
      </c>
      <c r="O893" s="1" t="s">
        <v>809</v>
      </c>
      <c r="P893" s="1" t="str">
        <f>_xlfn.CONCAT(B893,C893,D893,E893,F893)</f>
        <v>BC ParanoaSG60KTL(COM1-013)_002_00446039,579861111146039,579861111146039,6534722222</v>
      </c>
      <c r="Q893" s="1" t="str">
        <f>_xlfn.CONCAT(H893,I893,J893)</f>
        <v>DAURDE</v>
      </c>
    </row>
    <row r="894" spans="2:17">
      <c r="B894" s="1" t="s">
        <v>393</v>
      </c>
      <c r="C894" s="1" t="s">
        <v>427</v>
      </c>
      <c r="D894" s="52">
        <v>46039.579861111109</v>
      </c>
      <c r="E894" s="52">
        <v>46039.579861111109</v>
      </c>
      <c r="F894" s="52">
        <v>46039.65347222222</v>
      </c>
      <c r="G894" s="53">
        <f>F894-E894</f>
        <v>7.3611111110949423E-2</v>
      </c>
      <c r="H894" s="1" t="s">
        <v>257</v>
      </c>
      <c r="J894" s="1" t="s">
        <v>258</v>
      </c>
      <c r="K894" s="1" t="s">
        <v>658</v>
      </c>
      <c r="L894" s="1" t="s">
        <v>2003</v>
      </c>
      <c r="M894" s="1" t="s">
        <v>260</v>
      </c>
      <c r="N894" s="1" t="s">
        <v>357</v>
      </c>
      <c r="O894" s="1" t="s">
        <v>809</v>
      </c>
      <c r="P894" s="1" t="str">
        <f>_xlfn.CONCAT(B894,C894,D894,E894,F894)</f>
        <v>BC ParanoaSG60KTL(COM1-014)_002_01946039,579861111146039,579861111146039,6534722222</v>
      </c>
      <c r="Q894" s="1" t="str">
        <f>_xlfn.CONCAT(H894,I894,J894)</f>
        <v>DAURDE</v>
      </c>
    </row>
    <row r="895" spans="2:17">
      <c r="B895" s="1" t="s">
        <v>393</v>
      </c>
      <c r="C895" s="1" t="s">
        <v>428</v>
      </c>
      <c r="D895" s="52">
        <v>46039.579861111109</v>
      </c>
      <c r="E895" s="52">
        <v>46039.579861111109</v>
      </c>
      <c r="F895" s="52">
        <v>46039.65347222222</v>
      </c>
      <c r="G895" s="53">
        <f>F895-E895</f>
        <v>7.3611111110949423E-2</v>
      </c>
      <c r="H895" s="1" t="s">
        <v>257</v>
      </c>
      <c r="J895" s="1" t="s">
        <v>258</v>
      </c>
      <c r="K895" s="1" t="s">
        <v>658</v>
      </c>
      <c r="L895" s="1" t="s">
        <v>2003</v>
      </c>
      <c r="M895" s="1" t="s">
        <v>260</v>
      </c>
      <c r="N895" s="1" t="s">
        <v>357</v>
      </c>
      <c r="O895" s="1" t="s">
        <v>809</v>
      </c>
      <c r="P895" s="1" t="str">
        <f>_xlfn.CONCAT(B895,C895,D895,E895,F895)</f>
        <v>BC ParanoaSG60KTL(COM1-015)_002_01846039,579861111146039,579861111146039,6534722222</v>
      </c>
      <c r="Q895" s="1" t="str">
        <f>_xlfn.CONCAT(H895,I895,J895)</f>
        <v>DAURDE</v>
      </c>
    </row>
    <row r="896" spans="2:17">
      <c r="B896" s="1" t="s">
        <v>393</v>
      </c>
      <c r="C896" s="1" t="s">
        <v>429</v>
      </c>
      <c r="D896" s="52">
        <v>46039.579861111109</v>
      </c>
      <c r="E896" s="52">
        <v>46039.579861111109</v>
      </c>
      <c r="F896" s="52">
        <v>46039.65347222222</v>
      </c>
      <c r="G896" s="53">
        <f>F896-E896</f>
        <v>7.3611111110949423E-2</v>
      </c>
      <c r="H896" s="1" t="s">
        <v>257</v>
      </c>
      <c r="J896" s="1" t="s">
        <v>258</v>
      </c>
      <c r="K896" s="1" t="s">
        <v>658</v>
      </c>
      <c r="L896" s="1" t="s">
        <v>2003</v>
      </c>
      <c r="M896" s="1" t="s">
        <v>260</v>
      </c>
      <c r="N896" s="1" t="s">
        <v>357</v>
      </c>
      <c r="O896" s="1" t="s">
        <v>809</v>
      </c>
      <c r="P896" s="1" t="str">
        <f>_xlfn.CONCAT(B896,C896,D896,E896,F896)</f>
        <v>BC ParanoaSG60KTL(COM1-016)_002_01446039,579861111146039,579861111146039,6534722222</v>
      </c>
      <c r="Q896" s="1" t="str">
        <f>_xlfn.CONCAT(H896,I896,J896)</f>
        <v>DAURDE</v>
      </c>
    </row>
    <row r="897" spans="2:17">
      <c r="B897" s="1" t="s">
        <v>393</v>
      </c>
      <c r="C897" s="1" t="s">
        <v>430</v>
      </c>
      <c r="D897" s="52">
        <v>46039.579861111109</v>
      </c>
      <c r="E897" s="52">
        <v>46039.579861111109</v>
      </c>
      <c r="F897" s="52">
        <v>46039.65347222222</v>
      </c>
      <c r="G897" s="53">
        <f>F897-E897</f>
        <v>7.3611111110949423E-2</v>
      </c>
      <c r="H897" s="1" t="s">
        <v>257</v>
      </c>
      <c r="J897" s="1" t="s">
        <v>258</v>
      </c>
      <c r="K897" s="1" t="s">
        <v>658</v>
      </c>
      <c r="L897" s="1" t="s">
        <v>2003</v>
      </c>
      <c r="M897" s="1" t="s">
        <v>260</v>
      </c>
      <c r="N897" s="1" t="s">
        <v>357</v>
      </c>
      <c r="O897" s="1" t="s">
        <v>809</v>
      </c>
      <c r="P897" s="1" t="str">
        <f>_xlfn.CONCAT(B897,C897,D897,E897,F897)</f>
        <v>BC ParanoaSG60KTL(COM1-017)_002_01546039,579861111146039,579861111146039,6534722222</v>
      </c>
      <c r="Q897" s="1" t="str">
        <f>_xlfn.CONCAT(H897,I897,J897)</f>
        <v>DAURDE</v>
      </c>
    </row>
    <row r="898" spans="2:17">
      <c r="B898" s="1" t="s">
        <v>393</v>
      </c>
      <c r="C898" s="1" t="s">
        <v>431</v>
      </c>
      <c r="D898" s="52">
        <v>46039.579861111109</v>
      </c>
      <c r="E898" s="52">
        <v>46039.579861111109</v>
      </c>
      <c r="F898" s="52">
        <v>46039.65347222222</v>
      </c>
      <c r="G898" s="53">
        <f>F898-E898</f>
        <v>7.3611111110949423E-2</v>
      </c>
      <c r="H898" s="1" t="s">
        <v>257</v>
      </c>
      <c r="J898" s="1" t="s">
        <v>258</v>
      </c>
      <c r="K898" s="1" t="s">
        <v>658</v>
      </c>
      <c r="L898" s="1" t="s">
        <v>2003</v>
      </c>
      <c r="M898" s="1" t="s">
        <v>260</v>
      </c>
      <c r="N898" s="1" t="s">
        <v>357</v>
      </c>
      <c r="O898" s="1" t="s">
        <v>809</v>
      </c>
      <c r="P898" s="1" t="str">
        <f>_xlfn.CONCAT(B898,C898,D898,E898,F898)</f>
        <v>BC ParanoaSG60KTL(COM1-018)_002_01246039,579861111146039,579861111146039,6534722222</v>
      </c>
      <c r="Q898" s="1" t="str">
        <f>_xlfn.CONCAT(H898,I898,J898)</f>
        <v>DAURDE</v>
      </c>
    </row>
    <row r="899" spans="2:17">
      <c r="B899" s="1" t="s">
        <v>393</v>
      </c>
      <c r="C899" s="1" t="s">
        <v>432</v>
      </c>
      <c r="D899" s="52">
        <v>46039.579861111109</v>
      </c>
      <c r="E899" s="52">
        <v>46039.579861111109</v>
      </c>
      <c r="F899" s="52">
        <v>46039.65347222222</v>
      </c>
      <c r="G899" s="53">
        <f>F899-E899</f>
        <v>7.3611111110949423E-2</v>
      </c>
      <c r="H899" s="1" t="s">
        <v>257</v>
      </c>
      <c r="J899" s="1" t="s">
        <v>258</v>
      </c>
      <c r="K899" s="1" t="s">
        <v>658</v>
      </c>
      <c r="L899" s="1" t="s">
        <v>2003</v>
      </c>
      <c r="M899" s="1" t="s">
        <v>260</v>
      </c>
      <c r="N899" s="1" t="s">
        <v>357</v>
      </c>
      <c r="O899" s="1" t="s">
        <v>809</v>
      </c>
      <c r="P899" s="1" t="str">
        <f>_xlfn.CONCAT(B899,C899,D899,E899,F899)</f>
        <v>BC ParanoaSG50CX(COM2-004)_001_01846039,579861111146039,579861111146039,6534722222</v>
      </c>
      <c r="Q899" s="1" t="str">
        <f>_xlfn.CONCAT(H899,I899,J899)</f>
        <v>DAURDE</v>
      </c>
    </row>
    <row r="900" spans="2:17">
      <c r="B900" s="1" t="s">
        <v>393</v>
      </c>
      <c r="C900" s="1" t="s">
        <v>433</v>
      </c>
      <c r="D900" s="52">
        <v>46039.579861111109</v>
      </c>
      <c r="E900" s="52">
        <v>46039.579861111109</v>
      </c>
      <c r="F900" s="52">
        <v>46039.65347222222</v>
      </c>
      <c r="G900" s="53">
        <f>F900-E900</f>
        <v>7.3611111110949423E-2</v>
      </c>
      <c r="H900" s="1" t="s">
        <v>257</v>
      </c>
      <c r="J900" s="1" t="s">
        <v>258</v>
      </c>
      <c r="K900" s="1" t="s">
        <v>658</v>
      </c>
      <c r="L900" s="1" t="s">
        <v>2003</v>
      </c>
      <c r="M900" s="1" t="s">
        <v>260</v>
      </c>
      <c r="N900" s="1" t="s">
        <v>357</v>
      </c>
      <c r="O900" s="1" t="s">
        <v>809</v>
      </c>
      <c r="P900" s="1" t="str">
        <f>_xlfn.CONCAT(B900,C900,D900,E900,F900)</f>
        <v>BC ParanoaSG50CX(COM2-003)_001_01646039,579861111146039,579861111146039,6534722222</v>
      </c>
      <c r="Q900" s="1" t="str">
        <f>_xlfn.CONCAT(H900,I900,J900)</f>
        <v>DAURDE</v>
      </c>
    </row>
    <row r="901" spans="2:17">
      <c r="B901" s="1" t="s">
        <v>393</v>
      </c>
      <c r="C901" s="1" t="s">
        <v>434</v>
      </c>
      <c r="D901" s="52">
        <v>46039.579861111109</v>
      </c>
      <c r="E901" s="52">
        <v>46039.579861111109</v>
      </c>
      <c r="F901" s="52">
        <v>46039.65347222222</v>
      </c>
      <c r="G901" s="53">
        <f>F901-E901</f>
        <v>7.3611111110949423E-2</v>
      </c>
      <c r="H901" s="1" t="s">
        <v>257</v>
      </c>
      <c r="J901" s="1" t="s">
        <v>258</v>
      </c>
      <c r="K901" s="1" t="s">
        <v>658</v>
      </c>
      <c r="L901" s="1" t="s">
        <v>2003</v>
      </c>
      <c r="M901" s="1" t="s">
        <v>260</v>
      </c>
      <c r="N901" s="1" t="s">
        <v>357</v>
      </c>
      <c r="O901" s="1" t="s">
        <v>809</v>
      </c>
      <c r="P901" s="1" t="str">
        <f>_xlfn.CONCAT(B901,C901,D901,E901,F901)</f>
        <v>BC ParanoaSG60KTL(COM1-002)_001_00846039,579861111146039,579861111146039,6534722222</v>
      </c>
      <c r="Q901" s="1" t="str">
        <f>_xlfn.CONCAT(H901,I901,J901)</f>
        <v>DAURDE</v>
      </c>
    </row>
    <row r="902" spans="2:17">
      <c r="B902" s="1" t="s">
        <v>456</v>
      </c>
      <c r="C902" s="1" t="s">
        <v>457</v>
      </c>
      <c r="D902" s="52">
        <v>46039.597222222219</v>
      </c>
      <c r="E902" s="52">
        <v>46039.597222222219</v>
      </c>
      <c r="F902" s="52">
        <v>46039.65902777778</v>
      </c>
      <c r="G902" s="53">
        <f>F902-E902</f>
        <v>6.1805555560567882E-2</v>
      </c>
      <c r="H902" s="1" t="s">
        <v>257</v>
      </c>
      <c r="J902" s="1" t="s">
        <v>258</v>
      </c>
      <c r="K902" s="1" t="s">
        <v>658</v>
      </c>
      <c r="L902" s="1" t="s">
        <v>538</v>
      </c>
      <c r="M902" s="1" t="s">
        <v>260</v>
      </c>
      <c r="N902" s="1" t="s">
        <v>357</v>
      </c>
      <c r="O902" s="1" t="s">
        <v>632</v>
      </c>
      <c r="P902" s="1" t="str">
        <f>_xlfn.CONCAT(B902,C902,D902,E902,F902)</f>
        <v>BC Caiaponia1SG60KTL(COM1-001)_001_00746039,597222222246039,597222222246039,6590277778</v>
      </c>
      <c r="Q902" s="1" t="str">
        <f>_xlfn.CONCAT(H902,I902,J902)</f>
        <v>DAURDE</v>
      </c>
    </row>
    <row r="903" spans="2:17">
      <c r="B903" s="1" t="s">
        <v>456</v>
      </c>
      <c r="C903" s="1" t="s">
        <v>459</v>
      </c>
      <c r="D903" s="52">
        <v>46039.597222222219</v>
      </c>
      <c r="E903" s="52">
        <v>46039.597222222219</v>
      </c>
      <c r="F903" s="52">
        <v>46039.65902777778</v>
      </c>
      <c r="G903" s="53">
        <f>F903-E903</f>
        <v>6.1805555560567882E-2</v>
      </c>
      <c r="H903" s="1" t="s">
        <v>257</v>
      </c>
      <c r="J903" s="1" t="s">
        <v>258</v>
      </c>
      <c r="K903" s="1" t="s">
        <v>658</v>
      </c>
      <c r="L903" s="1" t="s">
        <v>538</v>
      </c>
      <c r="M903" s="1" t="s">
        <v>260</v>
      </c>
      <c r="N903" s="1" t="s">
        <v>357</v>
      </c>
      <c r="O903" s="1" t="s">
        <v>632</v>
      </c>
      <c r="P903" s="1" t="str">
        <f>_xlfn.CONCAT(B903,C903,D903,E903,F903)</f>
        <v>BC Caiaponia1SG60KTL(COM1-002)_001_01046039,597222222246039,597222222246039,6590277778</v>
      </c>
      <c r="Q903" s="1" t="str">
        <f>_xlfn.CONCAT(H903,I903,J903)</f>
        <v>DAURDE</v>
      </c>
    </row>
    <row r="904" spans="2:17">
      <c r="B904" s="1" t="s">
        <v>456</v>
      </c>
      <c r="C904" s="1" t="s">
        <v>460</v>
      </c>
      <c r="D904" s="52">
        <v>46039.597222222219</v>
      </c>
      <c r="E904" s="52">
        <v>46039.597222222219</v>
      </c>
      <c r="F904" s="52">
        <v>46039.65902777778</v>
      </c>
      <c r="G904" s="53">
        <f>F904-E904</f>
        <v>6.1805555560567882E-2</v>
      </c>
      <c r="H904" s="1" t="s">
        <v>257</v>
      </c>
      <c r="J904" s="1" t="s">
        <v>258</v>
      </c>
      <c r="K904" s="1" t="s">
        <v>658</v>
      </c>
      <c r="L904" s="1" t="s">
        <v>538</v>
      </c>
      <c r="M904" s="1" t="s">
        <v>260</v>
      </c>
      <c r="N904" s="1" t="s">
        <v>357</v>
      </c>
      <c r="O904" s="1" t="s">
        <v>632</v>
      </c>
      <c r="P904" s="1" t="str">
        <f>_xlfn.CONCAT(B904,C904,D904,E904,F904)</f>
        <v>BC Caiaponia1SG60KTL(COM1-003)_001_01146039,597222222246039,597222222246039,6590277778</v>
      </c>
      <c r="Q904" s="1" t="str">
        <f>_xlfn.CONCAT(H904,I904,J904)</f>
        <v>DAURDE</v>
      </c>
    </row>
    <row r="905" spans="2:17">
      <c r="B905" s="1" t="s">
        <v>456</v>
      </c>
      <c r="C905" s="1" t="s">
        <v>461</v>
      </c>
      <c r="D905" s="52">
        <v>46039.597222222219</v>
      </c>
      <c r="E905" s="52">
        <v>46039.597222222219</v>
      </c>
      <c r="F905" s="52">
        <v>46039.65902777778</v>
      </c>
      <c r="G905" s="53">
        <f>F905-E905</f>
        <v>6.1805555560567882E-2</v>
      </c>
      <c r="H905" s="1" t="s">
        <v>257</v>
      </c>
      <c r="J905" s="1" t="s">
        <v>258</v>
      </c>
      <c r="K905" s="1" t="s">
        <v>658</v>
      </c>
      <c r="L905" s="1" t="s">
        <v>538</v>
      </c>
      <c r="M905" s="1" t="s">
        <v>260</v>
      </c>
      <c r="N905" s="1" t="s">
        <v>357</v>
      </c>
      <c r="O905" s="1" t="s">
        <v>632</v>
      </c>
      <c r="P905" s="1" t="str">
        <f>_xlfn.CONCAT(B905,C905,D905,E905,F905)</f>
        <v>BC Caiaponia1SG60KTL(COM1-004)_001_01446039,597222222246039,597222222246039,6590277778</v>
      </c>
      <c r="Q905" s="1" t="str">
        <f>_xlfn.CONCAT(H905,I905,J905)</f>
        <v>DAURDE</v>
      </c>
    </row>
    <row r="906" spans="2:17">
      <c r="B906" s="1" t="s">
        <v>456</v>
      </c>
      <c r="C906" s="1" t="s">
        <v>462</v>
      </c>
      <c r="D906" s="52">
        <v>46039.597222222219</v>
      </c>
      <c r="E906" s="52">
        <v>46039.597222222219</v>
      </c>
      <c r="F906" s="52">
        <v>46039.65902777778</v>
      </c>
      <c r="G906" s="53">
        <f>F906-E906</f>
        <v>6.1805555560567882E-2</v>
      </c>
      <c r="H906" s="1" t="s">
        <v>257</v>
      </c>
      <c r="J906" s="1" t="s">
        <v>258</v>
      </c>
      <c r="K906" s="1" t="s">
        <v>658</v>
      </c>
      <c r="L906" s="1" t="s">
        <v>538</v>
      </c>
      <c r="M906" s="1" t="s">
        <v>260</v>
      </c>
      <c r="N906" s="1" t="s">
        <v>357</v>
      </c>
      <c r="O906" s="1" t="s">
        <v>632</v>
      </c>
      <c r="P906" s="1" t="str">
        <f>_xlfn.CONCAT(B906,C906,D906,E906,F906)</f>
        <v>BC Caiaponia1SG60KTL(COM1-005)_001_01746039,597222222246039,597222222246039,6590277778</v>
      </c>
      <c r="Q906" s="1" t="str">
        <f>_xlfn.CONCAT(H906,I906,J906)</f>
        <v>DAURDE</v>
      </c>
    </row>
    <row r="907" spans="2:17">
      <c r="B907" s="1" t="s">
        <v>456</v>
      </c>
      <c r="C907" s="1" t="s">
        <v>463</v>
      </c>
      <c r="D907" s="52">
        <v>46039.597222222219</v>
      </c>
      <c r="E907" s="52">
        <v>46039.597222222219</v>
      </c>
      <c r="F907" s="52">
        <v>46039.65902777778</v>
      </c>
      <c r="G907" s="53">
        <f>F907-E907</f>
        <v>6.1805555560567882E-2</v>
      </c>
      <c r="H907" s="1" t="s">
        <v>257</v>
      </c>
      <c r="J907" s="1" t="s">
        <v>258</v>
      </c>
      <c r="K907" s="1" t="s">
        <v>658</v>
      </c>
      <c r="L907" s="1" t="s">
        <v>538</v>
      </c>
      <c r="M907" s="1" t="s">
        <v>260</v>
      </c>
      <c r="N907" s="1" t="s">
        <v>357</v>
      </c>
      <c r="O907" s="1" t="s">
        <v>632</v>
      </c>
      <c r="P907" s="1" t="str">
        <f>_xlfn.CONCAT(B907,C907,D907,E907,F907)</f>
        <v>BC Caiaponia1SG60KTL(COM1-006)_001_01646039,597222222246039,597222222246039,6590277778</v>
      </c>
      <c r="Q907" s="1" t="str">
        <f>_xlfn.CONCAT(H907,I907,J907)</f>
        <v>DAURDE</v>
      </c>
    </row>
    <row r="908" spans="2:17">
      <c r="B908" s="1" t="s">
        <v>456</v>
      </c>
      <c r="C908" s="1" t="s">
        <v>464</v>
      </c>
      <c r="D908" s="52">
        <v>46039.597222222219</v>
      </c>
      <c r="E908" s="52">
        <v>46039.597222222219</v>
      </c>
      <c r="F908" s="52">
        <v>46039.65902777778</v>
      </c>
      <c r="G908" s="53">
        <f>F908-E908</f>
        <v>6.1805555560567882E-2</v>
      </c>
      <c r="H908" s="1" t="s">
        <v>257</v>
      </c>
      <c r="J908" s="1" t="s">
        <v>258</v>
      </c>
      <c r="K908" s="1" t="s">
        <v>658</v>
      </c>
      <c r="L908" s="1" t="s">
        <v>538</v>
      </c>
      <c r="M908" s="1" t="s">
        <v>260</v>
      </c>
      <c r="N908" s="1" t="s">
        <v>357</v>
      </c>
      <c r="O908" s="1" t="s">
        <v>632</v>
      </c>
      <c r="P908" s="1" t="str">
        <f>_xlfn.CONCAT(B908,C908,D908,E908,F908)</f>
        <v>BC Caiaponia1SG60KTL(COM1-007)_001_01346039,597222222246039,597222222246039,6590277778</v>
      </c>
      <c r="Q908" s="1" t="str">
        <f>_xlfn.CONCAT(H908,I908,J908)</f>
        <v>DAURDE</v>
      </c>
    </row>
    <row r="909" spans="2:17">
      <c r="B909" s="1" t="s">
        <v>456</v>
      </c>
      <c r="C909" s="1" t="s">
        <v>465</v>
      </c>
      <c r="D909" s="52">
        <v>46039.597222222219</v>
      </c>
      <c r="E909" s="52">
        <v>46039.597222222219</v>
      </c>
      <c r="F909" s="52">
        <v>46039.65902777778</v>
      </c>
      <c r="G909" s="53">
        <f>F909-E909</f>
        <v>6.1805555560567882E-2</v>
      </c>
      <c r="H909" s="1" t="s">
        <v>257</v>
      </c>
      <c r="J909" s="1" t="s">
        <v>258</v>
      </c>
      <c r="K909" s="1" t="s">
        <v>658</v>
      </c>
      <c r="L909" s="1" t="s">
        <v>538</v>
      </c>
      <c r="M909" s="1" t="s">
        <v>260</v>
      </c>
      <c r="N909" s="1" t="s">
        <v>357</v>
      </c>
      <c r="O909" s="1" t="s">
        <v>632</v>
      </c>
      <c r="P909" s="1" t="str">
        <f>_xlfn.CONCAT(B909,C909,D909,E909,F909)</f>
        <v>BC Caiaponia1SG60KTL(COM1-008)_001_00146039,597222222246039,597222222246039,6590277778</v>
      </c>
      <c r="Q909" s="1" t="str">
        <f>_xlfn.CONCAT(H909,I909,J909)</f>
        <v>DAURDE</v>
      </c>
    </row>
    <row r="910" spans="2:17">
      <c r="B910" s="1" t="s">
        <v>456</v>
      </c>
      <c r="C910" s="1" t="s">
        <v>466</v>
      </c>
      <c r="D910" s="52">
        <v>46039.597222222219</v>
      </c>
      <c r="E910" s="52">
        <v>46039.597222222219</v>
      </c>
      <c r="F910" s="52">
        <v>46039.65902777778</v>
      </c>
      <c r="G910" s="53">
        <f>F910-E910</f>
        <v>6.1805555560567882E-2</v>
      </c>
      <c r="H910" s="1" t="s">
        <v>257</v>
      </c>
      <c r="J910" s="1" t="s">
        <v>258</v>
      </c>
      <c r="K910" s="1" t="s">
        <v>658</v>
      </c>
      <c r="L910" s="1" t="s">
        <v>538</v>
      </c>
      <c r="M910" s="1" t="s">
        <v>260</v>
      </c>
      <c r="N910" s="1" t="s">
        <v>357</v>
      </c>
      <c r="O910" s="1" t="s">
        <v>632</v>
      </c>
      <c r="P910" s="1" t="str">
        <f>_xlfn.CONCAT(B910,C910,D910,E910,F910)</f>
        <v>BC Caiaponia1SG60KTL(COM1-009)46039,597222222246039,597222222246039,6590277778</v>
      </c>
      <c r="Q910" s="1" t="str">
        <f>_xlfn.CONCAT(H910,I910,J910)</f>
        <v>DAURDE</v>
      </c>
    </row>
    <row r="911" spans="2:17">
      <c r="B911" s="1" t="s">
        <v>456</v>
      </c>
      <c r="C911" s="1" t="s">
        <v>467</v>
      </c>
      <c r="D911" s="52">
        <v>46039.597222222219</v>
      </c>
      <c r="E911" s="52">
        <v>46039.597222222219</v>
      </c>
      <c r="F911" s="52">
        <v>46039.65902777778</v>
      </c>
      <c r="G911" s="53">
        <f>F911-E911</f>
        <v>6.1805555560567882E-2</v>
      </c>
      <c r="H911" s="1" t="s">
        <v>257</v>
      </c>
      <c r="J911" s="1" t="s">
        <v>258</v>
      </c>
      <c r="K911" s="1" t="s">
        <v>658</v>
      </c>
      <c r="L911" s="1" t="s">
        <v>538</v>
      </c>
      <c r="M911" s="1" t="s">
        <v>260</v>
      </c>
      <c r="N911" s="1" t="s">
        <v>357</v>
      </c>
      <c r="O911" s="1" t="s">
        <v>632</v>
      </c>
      <c r="P911" s="1" t="str">
        <f>_xlfn.CONCAT(B911,C911,D911,E911,F911)</f>
        <v>BC Caiaponia1SG60KTL(COM1-010)46039,597222222246039,597222222246039,6590277778</v>
      </c>
      <c r="Q911" s="1" t="str">
        <f>_xlfn.CONCAT(H911,I911,J911)</f>
        <v>DAURDE</v>
      </c>
    </row>
    <row r="912" spans="2:17">
      <c r="B912" s="1" t="s">
        <v>456</v>
      </c>
      <c r="C912" s="1" t="s">
        <v>468</v>
      </c>
      <c r="D912" s="52">
        <v>46039.597222222219</v>
      </c>
      <c r="E912" s="52">
        <v>46039.597222222219</v>
      </c>
      <c r="F912" s="52">
        <v>46039.65902777778</v>
      </c>
      <c r="G912" s="53">
        <f>F912-E912</f>
        <v>6.1805555560567882E-2</v>
      </c>
      <c r="H912" s="1" t="s">
        <v>257</v>
      </c>
      <c r="J912" s="1" t="s">
        <v>258</v>
      </c>
      <c r="K912" s="1" t="s">
        <v>658</v>
      </c>
      <c r="L912" s="1" t="s">
        <v>538</v>
      </c>
      <c r="M912" s="1" t="s">
        <v>260</v>
      </c>
      <c r="N912" s="1" t="s">
        <v>357</v>
      </c>
      <c r="O912" s="1" t="s">
        <v>632</v>
      </c>
      <c r="P912" s="1" t="str">
        <f>_xlfn.CONCAT(B912,C912,D912,E912,F912)</f>
        <v>BC Caiaponia1SG60KTL(COM1-011)46039,597222222246039,597222222246039,6590277778</v>
      </c>
      <c r="Q912" s="1" t="str">
        <f>_xlfn.CONCAT(H912,I912,J912)</f>
        <v>DAURDE</v>
      </c>
    </row>
    <row r="913" spans="2:17">
      <c r="B913" s="1" t="s">
        <v>456</v>
      </c>
      <c r="C913" s="1" t="s">
        <v>469</v>
      </c>
      <c r="D913" s="52">
        <v>46039.597222222219</v>
      </c>
      <c r="E913" s="52">
        <v>46039.597222222219</v>
      </c>
      <c r="F913" s="52">
        <v>46039.65902777778</v>
      </c>
      <c r="G913" s="53">
        <f>F913-E913</f>
        <v>6.1805555560567882E-2</v>
      </c>
      <c r="H913" s="1" t="s">
        <v>257</v>
      </c>
      <c r="J913" s="1" t="s">
        <v>258</v>
      </c>
      <c r="K913" s="1" t="s">
        <v>658</v>
      </c>
      <c r="L913" s="1" t="s">
        <v>538</v>
      </c>
      <c r="M913" s="1" t="s">
        <v>260</v>
      </c>
      <c r="N913" s="1" t="s">
        <v>357</v>
      </c>
      <c r="O913" s="1" t="s">
        <v>632</v>
      </c>
      <c r="P913" s="1" t="str">
        <f>_xlfn.CONCAT(B913,C913,D913,E913,F913)</f>
        <v>BC Caiaponia1SG60KTL(COM1-012)46039,597222222246039,597222222246039,6590277778</v>
      </c>
      <c r="Q913" s="1" t="str">
        <f>_xlfn.CONCAT(H913,I913,J913)</f>
        <v>DAURDE</v>
      </c>
    </row>
    <row r="914" spans="2:17">
      <c r="B914" s="1" t="s">
        <v>456</v>
      </c>
      <c r="C914" s="1" t="s">
        <v>470</v>
      </c>
      <c r="D914" s="52">
        <v>46039.597222222219</v>
      </c>
      <c r="E914" s="52">
        <v>46039.597222222219</v>
      </c>
      <c r="F914" s="52">
        <v>46039.65902777778</v>
      </c>
      <c r="G914" s="53">
        <f>F914-E914</f>
        <v>6.1805555560567882E-2</v>
      </c>
      <c r="H914" s="1" t="s">
        <v>257</v>
      </c>
      <c r="J914" s="1" t="s">
        <v>258</v>
      </c>
      <c r="K914" s="1" t="s">
        <v>658</v>
      </c>
      <c r="L914" s="1" t="s">
        <v>538</v>
      </c>
      <c r="M914" s="1" t="s">
        <v>260</v>
      </c>
      <c r="N914" s="1" t="s">
        <v>357</v>
      </c>
      <c r="O914" s="1" t="s">
        <v>632</v>
      </c>
      <c r="P914" s="1" t="str">
        <f>_xlfn.CONCAT(B914,C914,D914,E914,F914)</f>
        <v>BC Caiaponia1SG60KTL(COM1-013)46039,597222222246039,597222222246039,6590277778</v>
      </c>
      <c r="Q914" s="1" t="str">
        <f>_xlfn.CONCAT(H914,I914,J914)</f>
        <v>DAURDE</v>
      </c>
    </row>
    <row r="915" spans="2:17">
      <c r="B915" s="1" t="s">
        <v>456</v>
      </c>
      <c r="C915" s="1" t="s">
        <v>471</v>
      </c>
      <c r="D915" s="52">
        <v>46039.597222222219</v>
      </c>
      <c r="E915" s="52">
        <v>46039.597222222219</v>
      </c>
      <c r="F915" s="52">
        <v>46039.65902777778</v>
      </c>
      <c r="G915" s="53">
        <f>F915-E915</f>
        <v>6.1805555560567882E-2</v>
      </c>
      <c r="H915" s="1" t="s">
        <v>257</v>
      </c>
      <c r="J915" s="1" t="s">
        <v>258</v>
      </c>
      <c r="K915" s="1" t="s">
        <v>658</v>
      </c>
      <c r="L915" s="1" t="s">
        <v>538</v>
      </c>
      <c r="M915" s="1" t="s">
        <v>260</v>
      </c>
      <c r="N915" s="1" t="s">
        <v>357</v>
      </c>
      <c r="O915" s="1" t="s">
        <v>632</v>
      </c>
      <c r="P915" s="1" t="str">
        <f>_xlfn.CONCAT(B915,C915,D915,E915,F915)</f>
        <v>BC Caiaponia1SG60KTL(COM1-014)46039,597222222246039,597222222246039,6590277778</v>
      </c>
      <c r="Q915" s="1" t="str">
        <f>_xlfn.CONCAT(H915,I915,J915)</f>
        <v>DAURDE</v>
      </c>
    </row>
    <row r="916" spans="2:17">
      <c r="B916" s="1" t="s">
        <v>456</v>
      </c>
      <c r="C916" s="1" t="s">
        <v>472</v>
      </c>
      <c r="D916" s="52">
        <v>46039.597222222219</v>
      </c>
      <c r="E916" s="52">
        <v>46039.597222222219</v>
      </c>
      <c r="F916" s="52">
        <v>46039.65902777778</v>
      </c>
      <c r="G916" s="53">
        <f>F916-E916</f>
        <v>6.1805555560567882E-2</v>
      </c>
      <c r="H916" s="1" t="s">
        <v>257</v>
      </c>
      <c r="J916" s="1" t="s">
        <v>258</v>
      </c>
      <c r="K916" s="1" t="s">
        <v>658</v>
      </c>
      <c r="L916" s="1" t="s">
        <v>538</v>
      </c>
      <c r="M916" s="1" t="s">
        <v>260</v>
      </c>
      <c r="N916" s="1" t="s">
        <v>357</v>
      </c>
      <c r="O916" s="1" t="s">
        <v>632</v>
      </c>
      <c r="P916" s="1" t="str">
        <f>_xlfn.CONCAT(B916,C916,D916,E916,F916)</f>
        <v>BC Caiaponia1SG60KTL(COM1-015)46039,597222222246039,597222222246039,6590277778</v>
      </c>
      <c r="Q916" s="1" t="str">
        <f>_xlfn.CONCAT(H916,I916,J916)</f>
        <v>DAURDE</v>
      </c>
    </row>
    <row r="917" spans="2:17">
      <c r="B917" s="1" t="s">
        <v>456</v>
      </c>
      <c r="C917" s="1" t="s">
        <v>473</v>
      </c>
      <c r="D917" s="52">
        <v>46039.597222222219</v>
      </c>
      <c r="E917" s="52">
        <v>46039.597222222219</v>
      </c>
      <c r="F917" s="52">
        <v>46039.65902777778</v>
      </c>
      <c r="G917" s="53">
        <f>F917-E917</f>
        <v>6.1805555560567882E-2</v>
      </c>
      <c r="H917" s="1" t="s">
        <v>257</v>
      </c>
      <c r="J917" s="1" t="s">
        <v>258</v>
      </c>
      <c r="K917" s="1" t="s">
        <v>658</v>
      </c>
      <c r="L917" s="1" t="s">
        <v>538</v>
      </c>
      <c r="M917" s="1" t="s">
        <v>260</v>
      </c>
      <c r="N917" s="1" t="s">
        <v>357</v>
      </c>
      <c r="O917" s="1" t="s">
        <v>632</v>
      </c>
      <c r="P917" s="1" t="str">
        <f>_xlfn.CONCAT(B917,C917,D917,E917,F917)</f>
        <v>BC Caiaponia1SG60KTL(COM3-016)_001_00946039,597222222246039,597222222246039,6590277778</v>
      </c>
      <c r="Q917" s="1" t="str">
        <f>_xlfn.CONCAT(H917,I917,J917)</f>
        <v>DAURDE</v>
      </c>
    </row>
    <row r="918" spans="2:17">
      <c r="B918" s="1" t="s">
        <v>456</v>
      </c>
      <c r="C918" s="1" t="s">
        <v>474</v>
      </c>
      <c r="D918" s="52">
        <v>46039.597222222219</v>
      </c>
      <c r="E918" s="52">
        <v>46039.597222222219</v>
      </c>
      <c r="F918" s="52">
        <v>46039.65902777778</v>
      </c>
      <c r="G918" s="53">
        <f>F918-E918</f>
        <v>6.1805555560567882E-2</v>
      </c>
      <c r="H918" s="1" t="s">
        <v>257</v>
      </c>
      <c r="J918" s="1" t="s">
        <v>258</v>
      </c>
      <c r="K918" s="1" t="s">
        <v>658</v>
      </c>
      <c r="L918" s="1" t="s">
        <v>538</v>
      </c>
      <c r="M918" s="1" t="s">
        <v>260</v>
      </c>
      <c r="N918" s="1" t="s">
        <v>357</v>
      </c>
      <c r="O918" s="1" t="s">
        <v>632</v>
      </c>
      <c r="P918" s="1" t="str">
        <f>_xlfn.CONCAT(B918,C918,D918,E918,F918)</f>
        <v>BC Caiaponia1SG60KTL(COM3-017)_001_01246039,597222222246039,597222222246039,6590277778</v>
      </c>
      <c r="Q918" s="1" t="str">
        <f>_xlfn.CONCAT(H918,I918,J918)</f>
        <v>DAURDE</v>
      </c>
    </row>
    <row r="919" spans="2:17">
      <c r="B919" s="1" t="s">
        <v>456</v>
      </c>
      <c r="C919" s="1" t="s">
        <v>475</v>
      </c>
      <c r="D919" s="52">
        <v>46039.597222222219</v>
      </c>
      <c r="E919" s="52">
        <v>46039.597222222219</v>
      </c>
      <c r="F919" s="52">
        <v>46039.65902777778</v>
      </c>
      <c r="G919" s="53">
        <f>F919-E919</f>
        <v>6.1805555560567882E-2</v>
      </c>
      <c r="H919" s="1" t="s">
        <v>257</v>
      </c>
      <c r="J919" s="1" t="s">
        <v>258</v>
      </c>
      <c r="K919" s="1" t="s">
        <v>658</v>
      </c>
      <c r="L919" s="1" t="s">
        <v>538</v>
      </c>
      <c r="M919" s="1" t="s">
        <v>260</v>
      </c>
      <c r="N919" s="1" t="s">
        <v>357</v>
      </c>
      <c r="O919" s="1" t="s">
        <v>632</v>
      </c>
      <c r="P919" s="1" t="str">
        <f>_xlfn.CONCAT(B919,C919,D919,E919,F919)</f>
        <v>BC Caiaponia1SG60KTL(COM3-018)_001_00846039,597222222246039,597222222246039,6590277778</v>
      </c>
      <c r="Q919" s="1" t="str">
        <f>_xlfn.CONCAT(H919,I919,J919)</f>
        <v>DAURDE</v>
      </c>
    </row>
    <row r="920" spans="2:17">
      <c r="B920" s="1" t="s">
        <v>456</v>
      </c>
      <c r="C920" s="1" t="s">
        <v>476</v>
      </c>
      <c r="D920" s="52">
        <v>46039.597222222219</v>
      </c>
      <c r="E920" s="52">
        <v>46039.597222222219</v>
      </c>
      <c r="F920" s="52">
        <v>46039.65902777778</v>
      </c>
      <c r="G920" s="53">
        <f>F920-E920</f>
        <v>6.1805555560567882E-2</v>
      </c>
      <c r="H920" s="1" t="s">
        <v>257</v>
      </c>
      <c r="J920" s="1" t="s">
        <v>258</v>
      </c>
      <c r="K920" s="1" t="s">
        <v>658</v>
      </c>
      <c r="L920" s="1" t="s">
        <v>538</v>
      </c>
      <c r="M920" s="1" t="s">
        <v>260</v>
      </c>
      <c r="N920" s="1" t="s">
        <v>357</v>
      </c>
      <c r="O920" s="1" t="s">
        <v>632</v>
      </c>
      <c r="P920" s="1" t="str">
        <f>_xlfn.CONCAT(B920,C920,D920,E920,F920)</f>
        <v>BC Caiaponia1SG60KTL(COM3-019)_001_01946039,597222222246039,597222222246039,6590277778</v>
      </c>
      <c r="Q920" s="1" t="str">
        <f>_xlfn.CONCAT(H920,I920,J920)</f>
        <v>DAURDE</v>
      </c>
    </row>
    <row r="921" spans="2:17">
      <c r="B921" s="1" t="s">
        <v>456</v>
      </c>
      <c r="C921" s="1" t="s">
        <v>477</v>
      </c>
      <c r="D921" s="52">
        <v>46039.597222222219</v>
      </c>
      <c r="E921" s="52">
        <v>46039.597222222219</v>
      </c>
      <c r="F921" s="52">
        <v>46039.65902777778</v>
      </c>
      <c r="G921" s="53">
        <f>F921-E921</f>
        <v>6.1805555560567882E-2</v>
      </c>
      <c r="H921" s="1" t="s">
        <v>257</v>
      </c>
      <c r="J921" s="1" t="s">
        <v>258</v>
      </c>
      <c r="K921" s="1" t="s">
        <v>658</v>
      </c>
      <c r="L921" s="1" t="s">
        <v>538</v>
      </c>
      <c r="M921" s="1" t="s">
        <v>260</v>
      </c>
      <c r="N921" s="1" t="s">
        <v>357</v>
      </c>
      <c r="O921" s="1" t="s">
        <v>632</v>
      </c>
      <c r="P921" s="1" t="str">
        <f>_xlfn.CONCAT(B921,C921,D921,E921,F921)</f>
        <v>BC Caiaponia1SG60KTL(COM3-020)_001_02046039,597222222246039,597222222246039,6590277778</v>
      </c>
      <c r="Q921" s="1" t="str">
        <f>_xlfn.CONCAT(H921,I921,J921)</f>
        <v>DAURDE</v>
      </c>
    </row>
    <row r="922" spans="2:17">
      <c r="B922" s="1" t="s">
        <v>456</v>
      </c>
      <c r="C922" s="1" t="s">
        <v>478</v>
      </c>
      <c r="D922" s="52">
        <v>46039.597222222219</v>
      </c>
      <c r="E922" s="52">
        <v>46039.597222222219</v>
      </c>
      <c r="F922" s="52">
        <v>46039.65902777778</v>
      </c>
      <c r="G922" s="53">
        <f>F922-E922</f>
        <v>6.1805555560567882E-2</v>
      </c>
      <c r="H922" s="1" t="s">
        <v>257</v>
      </c>
      <c r="J922" s="1" t="s">
        <v>258</v>
      </c>
      <c r="K922" s="1" t="s">
        <v>658</v>
      </c>
      <c r="L922" s="1" t="s">
        <v>538</v>
      </c>
      <c r="M922" s="1" t="s">
        <v>260</v>
      </c>
      <c r="N922" s="1" t="s">
        <v>357</v>
      </c>
      <c r="O922" s="1" t="s">
        <v>632</v>
      </c>
      <c r="P922" s="1" t="str">
        <f>_xlfn.CONCAT(B922,C922,D922,E922,F922)</f>
        <v>BC Caiaponia1SG60KTL(COM2-026)46039,597222222246039,597222222246039,6590277778</v>
      </c>
      <c r="Q922" s="1" t="str">
        <f>_xlfn.CONCAT(H922,I922,J922)</f>
        <v>DAURDE</v>
      </c>
    </row>
    <row r="923" spans="2:17">
      <c r="B923" s="1" t="s">
        <v>456</v>
      </c>
      <c r="C923" s="1" t="s">
        <v>479</v>
      </c>
      <c r="D923" s="52">
        <v>46039.597222222219</v>
      </c>
      <c r="E923" s="52">
        <v>46039.597222222219</v>
      </c>
      <c r="F923" s="52">
        <v>46039.65902777778</v>
      </c>
      <c r="G923" s="53">
        <f>F923-E923</f>
        <v>6.1805555560567882E-2</v>
      </c>
      <c r="H923" s="1" t="s">
        <v>257</v>
      </c>
      <c r="J923" s="1" t="s">
        <v>258</v>
      </c>
      <c r="K923" s="1" t="s">
        <v>658</v>
      </c>
      <c r="L923" s="1" t="s">
        <v>538</v>
      </c>
      <c r="M923" s="1" t="s">
        <v>260</v>
      </c>
      <c r="N923" s="1" t="s">
        <v>357</v>
      </c>
      <c r="O923" s="1" t="s">
        <v>632</v>
      </c>
      <c r="P923" s="1" t="str">
        <f>_xlfn.CONCAT(B923,C923,D923,E923,F923)</f>
        <v>BC Caiaponia1SG60KTL(COM2-027)46039,597222222246039,597222222246039,6590277778</v>
      </c>
      <c r="Q923" s="1" t="str">
        <f>_xlfn.CONCAT(H923,I923,J923)</f>
        <v>DAURDE</v>
      </c>
    </row>
    <row r="924" spans="2:17">
      <c r="B924" s="1" t="s">
        <v>456</v>
      </c>
      <c r="C924" s="1" t="s">
        <v>480</v>
      </c>
      <c r="D924" s="52">
        <v>46039.597222222219</v>
      </c>
      <c r="E924" s="52">
        <v>46039.597222222219</v>
      </c>
      <c r="F924" s="52">
        <v>46039.65902777778</v>
      </c>
      <c r="G924" s="53">
        <f>F924-E924</f>
        <v>6.1805555560567882E-2</v>
      </c>
      <c r="H924" s="1" t="s">
        <v>257</v>
      </c>
      <c r="J924" s="1" t="s">
        <v>258</v>
      </c>
      <c r="K924" s="1" t="s">
        <v>658</v>
      </c>
      <c r="L924" s="1" t="s">
        <v>538</v>
      </c>
      <c r="M924" s="1" t="s">
        <v>260</v>
      </c>
      <c r="N924" s="1" t="s">
        <v>357</v>
      </c>
      <c r="O924" s="1" t="s">
        <v>632</v>
      </c>
      <c r="P924" s="1" t="str">
        <f>_xlfn.CONCAT(B924,C924,D924,E924,F924)</f>
        <v>BC Caiaponia1SG60KTL(COM2-028)46039,597222222246039,597222222246039,6590277778</v>
      </c>
      <c r="Q924" s="1" t="str">
        <f>_xlfn.CONCAT(H924,I924,J924)</f>
        <v>DAURDE</v>
      </c>
    </row>
    <row r="925" spans="2:17">
      <c r="B925" s="1" t="s">
        <v>456</v>
      </c>
      <c r="C925" s="1" t="s">
        <v>481</v>
      </c>
      <c r="D925" s="52">
        <v>46039.597222222219</v>
      </c>
      <c r="E925" s="52">
        <v>46039.597222222219</v>
      </c>
      <c r="F925" s="52">
        <v>46039.65902777778</v>
      </c>
      <c r="G925" s="53">
        <f>F925-E925</f>
        <v>6.1805555560567882E-2</v>
      </c>
      <c r="H925" s="1" t="s">
        <v>257</v>
      </c>
      <c r="J925" s="1" t="s">
        <v>258</v>
      </c>
      <c r="K925" s="1" t="s">
        <v>658</v>
      </c>
      <c r="L925" s="1" t="s">
        <v>538</v>
      </c>
      <c r="M925" s="1" t="s">
        <v>260</v>
      </c>
      <c r="N925" s="1" t="s">
        <v>357</v>
      </c>
      <c r="O925" s="1" t="s">
        <v>632</v>
      </c>
      <c r="P925" s="1" t="str">
        <f>_xlfn.CONCAT(B925,C925,D925,E925,F925)</f>
        <v>BC Caiaponia1SG60KTL(COM2-029)46039,597222222246039,597222222246039,6590277778</v>
      </c>
      <c r="Q925" s="1" t="str">
        <f>_xlfn.CONCAT(H925,I925,J925)</f>
        <v>DAURDE</v>
      </c>
    </row>
    <row r="926" spans="2:17">
      <c r="B926" s="1" t="s">
        <v>456</v>
      </c>
      <c r="C926" s="1" t="s">
        <v>482</v>
      </c>
      <c r="D926" s="52">
        <v>46039.597222222219</v>
      </c>
      <c r="E926" s="52">
        <v>46039.597222222219</v>
      </c>
      <c r="F926" s="52">
        <v>46039.65902777778</v>
      </c>
      <c r="G926" s="53">
        <f>F926-E926</f>
        <v>6.1805555560567882E-2</v>
      </c>
      <c r="H926" s="1" t="s">
        <v>257</v>
      </c>
      <c r="J926" s="1" t="s">
        <v>258</v>
      </c>
      <c r="K926" s="1" t="s">
        <v>658</v>
      </c>
      <c r="L926" s="1" t="s">
        <v>538</v>
      </c>
      <c r="M926" s="1" t="s">
        <v>260</v>
      </c>
      <c r="N926" s="1" t="s">
        <v>357</v>
      </c>
      <c r="O926" s="1" t="s">
        <v>632</v>
      </c>
      <c r="P926" s="1" t="str">
        <f>_xlfn.CONCAT(B926,C926,D926,E926,F926)</f>
        <v>BC Caiaponia1SG50CX(COM1-021)46039,597222222246039,597222222246039,6590277778</v>
      </c>
      <c r="Q926" s="1" t="str">
        <f>_xlfn.CONCAT(H926,I926,J926)</f>
        <v>DAURDE</v>
      </c>
    </row>
    <row r="927" spans="2:17">
      <c r="B927" s="1" t="s">
        <v>456</v>
      </c>
      <c r="C927" s="1" t="s">
        <v>483</v>
      </c>
      <c r="D927" s="52">
        <v>46039.597222222219</v>
      </c>
      <c r="E927" s="52">
        <v>46039.597222222219</v>
      </c>
      <c r="F927" s="52">
        <v>46039.65902777778</v>
      </c>
      <c r="G927" s="53">
        <f>F927-E927</f>
        <v>6.1805555560567882E-2</v>
      </c>
      <c r="H927" s="1" t="s">
        <v>257</v>
      </c>
      <c r="J927" s="1" t="s">
        <v>258</v>
      </c>
      <c r="K927" s="1" t="s">
        <v>658</v>
      </c>
      <c r="L927" s="1" t="s">
        <v>538</v>
      </c>
      <c r="M927" s="1" t="s">
        <v>260</v>
      </c>
      <c r="N927" s="1" t="s">
        <v>357</v>
      </c>
      <c r="O927" s="1" t="s">
        <v>632</v>
      </c>
      <c r="P927" s="1" t="str">
        <f>_xlfn.CONCAT(B927,C927,D927,E927,F927)</f>
        <v>BC Caiaponia1SG50CX(COM1-022)46039,597222222246039,597222222246039,6590277778</v>
      </c>
      <c r="Q927" s="1" t="str">
        <f>_xlfn.CONCAT(H927,I927,J927)</f>
        <v>DAURDE</v>
      </c>
    </row>
    <row r="928" spans="2:17">
      <c r="B928" s="1" t="s">
        <v>456</v>
      </c>
      <c r="C928" s="1" t="s">
        <v>484</v>
      </c>
      <c r="D928" s="52">
        <v>46039.597222222219</v>
      </c>
      <c r="E928" s="52">
        <v>46039.597222222219</v>
      </c>
      <c r="F928" s="52">
        <v>46039.65902777778</v>
      </c>
      <c r="G928" s="53">
        <f>F928-E928</f>
        <v>6.1805555560567882E-2</v>
      </c>
      <c r="H928" s="1" t="s">
        <v>257</v>
      </c>
      <c r="J928" s="1" t="s">
        <v>258</v>
      </c>
      <c r="K928" s="1" t="s">
        <v>658</v>
      </c>
      <c r="L928" s="1" t="s">
        <v>538</v>
      </c>
      <c r="M928" s="1" t="s">
        <v>260</v>
      </c>
      <c r="N928" s="1" t="s">
        <v>357</v>
      </c>
      <c r="O928" s="1" t="s">
        <v>632</v>
      </c>
      <c r="P928" s="1" t="str">
        <f>_xlfn.CONCAT(B928,C928,D928,E928,F928)</f>
        <v>BC Caiaponia1SG50CX(COM1-023)46039,597222222246039,597222222246039,6590277778</v>
      </c>
      <c r="Q928" s="1" t="str">
        <f>_xlfn.CONCAT(H928,I928,J928)</f>
        <v>DAURDE</v>
      </c>
    </row>
    <row r="929" spans="2:17">
      <c r="B929" s="1" t="s">
        <v>456</v>
      </c>
      <c r="C929" s="1" t="s">
        <v>485</v>
      </c>
      <c r="D929" s="52">
        <v>46039.597222222219</v>
      </c>
      <c r="E929" s="52">
        <v>46039.597222222219</v>
      </c>
      <c r="F929" s="52">
        <v>46039.65902777778</v>
      </c>
      <c r="G929" s="53">
        <f>F929-E929</f>
        <v>6.1805555560567882E-2</v>
      </c>
      <c r="H929" s="1" t="s">
        <v>257</v>
      </c>
      <c r="J929" s="1" t="s">
        <v>258</v>
      </c>
      <c r="K929" s="1" t="s">
        <v>658</v>
      </c>
      <c r="L929" s="1" t="s">
        <v>538</v>
      </c>
      <c r="M929" s="1" t="s">
        <v>260</v>
      </c>
      <c r="N929" s="1" t="s">
        <v>357</v>
      </c>
      <c r="O929" s="1" t="s">
        <v>632</v>
      </c>
      <c r="P929" s="1" t="str">
        <f>_xlfn.CONCAT(B929,C929,D929,E929,F929)</f>
        <v>BC Caiaponia1SG50CX(COM1-024)46039,597222222246039,597222222246039,6590277778</v>
      </c>
      <c r="Q929" s="1" t="str">
        <f>_xlfn.CONCAT(H929,I929,J929)</f>
        <v>DAURDE</v>
      </c>
    </row>
    <row r="930" spans="2:17">
      <c r="B930" s="1" t="s">
        <v>456</v>
      </c>
      <c r="C930" s="1" t="s">
        <v>486</v>
      </c>
      <c r="D930" s="52">
        <v>46039.597222222219</v>
      </c>
      <c r="E930" s="52">
        <v>46039.597222222219</v>
      </c>
      <c r="F930" s="52">
        <v>46039.65902777778</v>
      </c>
      <c r="G930" s="53">
        <f>F930-E930</f>
        <v>6.1805555560567882E-2</v>
      </c>
      <c r="H930" s="1" t="s">
        <v>257</v>
      </c>
      <c r="J930" s="1" t="s">
        <v>258</v>
      </c>
      <c r="K930" s="1" t="s">
        <v>658</v>
      </c>
      <c r="L930" s="1" t="s">
        <v>538</v>
      </c>
      <c r="M930" s="1" t="s">
        <v>260</v>
      </c>
      <c r="N930" s="1" t="s">
        <v>357</v>
      </c>
      <c r="O930" s="1" t="s">
        <v>632</v>
      </c>
      <c r="P930" s="1" t="str">
        <f>_xlfn.CONCAT(B930,C930,D930,E930,F930)</f>
        <v>BC Caiaponia1SG50CX(COM1-025)46039,597222222246039,597222222246039,6590277778</v>
      </c>
      <c r="Q930" s="1" t="str">
        <f>_xlfn.CONCAT(H930,I930,J930)</f>
        <v>DAURDE</v>
      </c>
    </row>
    <row r="931" spans="2:17">
      <c r="B931" s="1" t="s">
        <v>487</v>
      </c>
      <c r="C931" s="1" t="s">
        <v>377</v>
      </c>
      <c r="D931" s="52">
        <v>46039.597222222219</v>
      </c>
      <c r="E931" s="52">
        <v>46039.597222222219</v>
      </c>
      <c r="F931" s="52">
        <v>46039.65902777778</v>
      </c>
      <c r="G931" s="53">
        <f>F931-E931</f>
        <v>6.1805555560567882E-2</v>
      </c>
      <c r="H931" s="1" t="s">
        <v>257</v>
      </c>
      <c r="J931" s="1" t="s">
        <v>258</v>
      </c>
      <c r="K931" s="1" t="s">
        <v>658</v>
      </c>
      <c r="L931" s="1" t="s">
        <v>538</v>
      </c>
      <c r="M931" s="1" t="s">
        <v>260</v>
      </c>
      <c r="N931" s="1" t="s">
        <v>357</v>
      </c>
      <c r="O931" s="1" t="s">
        <v>632</v>
      </c>
      <c r="P931" s="1" t="str">
        <f>_xlfn.CONCAT(B931,C931,D931,E931,F931)</f>
        <v>BC Caiaponia2.1215KTL-H3(MBUS-12)46039,597222222246039,597222222246039,6590277778</v>
      </c>
      <c r="Q931" s="1" t="str">
        <f>_xlfn.CONCAT(H931,I931,J931)</f>
        <v>DAURDE</v>
      </c>
    </row>
    <row r="932" spans="2:17">
      <c r="B932" s="1" t="s">
        <v>487</v>
      </c>
      <c r="C932" s="1" t="s">
        <v>378</v>
      </c>
      <c r="D932" s="52">
        <v>46039.597222222219</v>
      </c>
      <c r="E932" s="52">
        <v>46039.597222222219</v>
      </c>
      <c r="F932" s="52">
        <v>46039.65902777778</v>
      </c>
      <c r="G932" s="53">
        <f>F932-E932</f>
        <v>6.1805555560567882E-2</v>
      </c>
      <c r="H932" s="1" t="s">
        <v>257</v>
      </c>
      <c r="J932" s="1" t="s">
        <v>258</v>
      </c>
      <c r="K932" s="1" t="s">
        <v>658</v>
      </c>
      <c r="L932" s="1" t="s">
        <v>538</v>
      </c>
      <c r="M932" s="1" t="s">
        <v>260</v>
      </c>
      <c r="N932" s="1" t="s">
        <v>357</v>
      </c>
      <c r="O932" s="1" t="s">
        <v>632</v>
      </c>
      <c r="P932" s="1" t="str">
        <f>_xlfn.CONCAT(B932,C932,D932,E932,F932)</f>
        <v>BC Caiaponia2.1215KTL-H3(MBUS-13)46039,597222222246039,597222222246039,6590277778</v>
      </c>
      <c r="Q932" s="1" t="str">
        <f>_xlfn.CONCAT(H932,I932,J932)</f>
        <v>DAURDE</v>
      </c>
    </row>
    <row r="933" spans="2:17">
      <c r="B933" s="1" t="s">
        <v>487</v>
      </c>
      <c r="C933" s="1" t="s">
        <v>382</v>
      </c>
      <c r="D933" s="52">
        <v>46039.597222222219</v>
      </c>
      <c r="E933" s="52">
        <v>46039.597222222219</v>
      </c>
      <c r="F933" s="52">
        <v>46039.65902777778</v>
      </c>
      <c r="G933" s="53">
        <f>F933-E933</f>
        <v>6.1805555560567882E-2</v>
      </c>
      <c r="H933" s="1" t="s">
        <v>257</v>
      </c>
      <c r="J933" s="1" t="s">
        <v>258</v>
      </c>
      <c r="K933" s="1" t="s">
        <v>658</v>
      </c>
      <c r="L933" s="1" t="s">
        <v>538</v>
      </c>
      <c r="M933" s="1" t="s">
        <v>260</v>
      </c>
      <c r="N933" s="1" t="s">
        <v>357</v>
      </c>
      <c r="O933" s="1" t="s">
        <v>632</v>
      </c>
      <c r="P933" s="1" t="str">
        <f>_xlfn.CONCAT(B933,C933,D933,E933,F933)</f>
        <v>BC Caiaponia2.1215KTL-H3(MBUS-14)46039,597222222246039,597222222246039,6590277778</v>
      </c>
      <c r="Q933" s="1" t="str">
        <f>_xlfn.CONCAT(H933,I933,J933)</f>
        <v>DAURDE</v>
      </c>
    </row>
    <row r="934" spans="2:17">
      <c r="B934" s="1" t="s">
        <v>487</v>
      </c>
      <c r="C934" s="1" t="s">
        <v>380</v>
      </c>
      <c r="D934" s="52">
        <v>46039.597222222219</v>
      </c>
      <c r="E934" s="52">
        <v>46039.597222222219</v>
      </c>
      <c r="F934" s="52">
        <v>46039.65902777778</v>
      </c>
      <c r="G934" s="53">
        <f>F934-E934</f>
        <v>6.1805555560567882E-2</v>
      </c>
      <c r="H934" s="1" t="s">
        <v>257</v>
      </c>
      <c r="J934" s="1" t="s">
        <v>258</v>
      </c>
      <c r="K934" s="1" t="s">
        <v>658</v>
      </c>
      <c r="L934" s="1" t="s">
        <v>538</v>
      </c>
      <c r="M934" s="1" t="s">
        <v>260</v>
      </c>
      <c r="N934" s="1" t="s">
        <v>357</v>
      </c>
      <c r="O934" s="1" t="s">
        <v>632</v>
      </c>
      <c r="P934" s="1" t="str">
        <f>_xlfn.CONCAT(B934,C934,D934,E934,F934)</f>
        <v>BC Caiaponia2.1215KTL-H3(MBUS-15)46039,597222222246039,597222222246039,6590277778</v>
      </c>
      <c r="Q934" s="1" t="str">
        <f>_xlfn.CONCAT(H934,I934,J934)</f>
        <v>DAURDE</v>
      </c>
    </row>
    <row r="935" spans="2:17">
      <c r="B935" s="1" t="s">
        <v>487</v>
      </c>
      <c r="C935" s="1" t="s">
        <v>379</v>
      </c>
      <c r="D935" s="52">
        <v>46039.597222222219</v>
      </c>
      <c r="E935" s="52">
        <v>46039.597222222219</v>
      </c>
      <c r="F935" s="52">
        <v>46039.65902777778</v>
      </c>
      <c r="G935" s="53">
        <f>F935-E935</f>
        <v>6.1805555560567882E-2</v>
      </c>
      <c r="H935" s="1" t="s">
        <v>257</v>
      </c>
      <c r="J935" s="1" t="s">
        <v>258</v>
      </c>
      <c r="K935" s="1" t="s">
        <v>658</v>
      </c>
      <c r="L935" s="1" t="s">
        <v>538</v>
      </c>
      <c r="M935" s="1" t="s">
        <v>260</v>
      </c>
      <c r="N935" s="1" t="s">
        <v>357</v>
      </c>
      <c r="O935" s="1" t="s">
        <v>632</v>
      </c>
      <c r="P935" s="1" t="str">
        <f>_xlfn.CONCAT(B935,C935,D935,E935,F935)</f>
        <v>BC Caiaponia2.1215KTL-H3(MBUS-16)46039,597222222246039,597222222246039,6590277778</v>
      </c>
      <c r="Q935" s="1" t="str">
        <f>_xlfn.CONCAT(H935,I935,J935)</f>
        <v>DAURDE</v>
      </c>
    </row>
    <row r="936" spans="2:17">
      <c r="B936" s="1" t="s">
        <v>583</v>
      </c>
      <c r="C936" s="1" t="s">
        <v>377</v>
      </c>
      <c r="D936" s="52">
        <v>46039.597222222219</v>
      </c>
      <c r="E936" s="52">
        <v>46039.597222222219</v>
      </c>
      <c r="F936" s="52">
        <v>46039.65902777778</v>
      </c>
      <c r="G936" s="53">
        <f>F936-E936</f>
        <v>6.1805555560567882E-2</v>
      </c>
      <c r="H936" s="1" t="s">
        <v>257</v>
      </c>
      <c r="J936" s="1" t="s">
        <v>258</v>
      </c>
      <c r="K936" s="1" t="s">
        <v>658</v>
      </c>
      <c r="L936" s="1" t="s">
        <v>538</v>
      </c>
      <c r="M936" s="1" t="s">
        <v>260</v>
      </c>
      <c r="N936" s="1" t="s">
        <v>357</v>
      </c>
      <c r="O936" s="1" t="s">
        <v>632</v>
      </c>
      <c r="P936" s="1" t="str">
        <f>_xlfn.CONCAT(B936,C936,D936,E936,F936)</f>
        <v>BC Caiaponia2.2215KTL-H3(MBUS-12)46039,597222222246039,597222222246039,6590277778</v>
      </c>
      <c r="Q936" s="1" t="str">
        <f>_xlfn.CONCAT(H936,I936,J936)</f>
        <v>DAURDE</v>
      </c>
    </row>
    <row r="937" spans="2:17">
      <c r="B937" s="1" t="s">
        <v>583</v>
      </c>
      <c r="C937" s="1" t="s">
        <v>378</v>
      </c>
      <c r="D937" s="52">
        <v>46039.597222222219</v>
      </c>
      <c r="E937" s="52">
        <v>46039.597222222219</v>
      </c>
      <c r="F937" s="52">
        <v>46039.65902777778</v>
      </c>
      <c r="G937" s="53">
        <f>F937-E937</f>
        <v>6.1805555560567882E-2</v>
      </c>
      <c r="H937" s="1" t="s">
        <v>257</v>
      </c>
      <c r="J937" s="1" t="s">
        <v>258</v>
      </c>
      <c r="K937" s="1" t="s">
        <v>658</v>
      </c>
      <c r="L937" s="1" t="s">
        <v>538</v>
      </c>
      <c r="M937" s="1" t="s">
        <v>260</v>
      </c>
      <c r="N937" s="1" t="s">
        <v>357</v>
      </c>
      <c r="O937" s="1" t="s">
        <v>632</v>
      </c>
      <c r="P937" s="1" t="str">
        <f>_xlfn.CONCAT(B937,C937,D937,E937,F937)</f>
        <v>BC Caiaponia2.2215KTL-H3(MBUS-13)46039,597222222246039,597222222246039,6590277778</v>
      </c>
      <c r="Q937" s="1" t="str">
        <f>_xlfn.CONCAT(H937,I937,J937)</f>
        <v>DAURDE</v>
      </c>
    </row>
    <row r="938" spans="2:17">
      <c r="B938" s="1" t="s">
        <v>583</v>
      </c>
      <c r="C938" s="1" t="s">
        <v>382</v>
      </c>
      <c r="D938" s="52">
        <v>46039.597222222219</v>
      </c>
      <c r="E938" s="52">
        <v>46039.597222222219</v>
      </c>
      <c r="F938" s="52">
        <v>46039.65902777778</v>
      </c>
      <c r="G938" s="53">
        <f>F938-E938</f>
        <v>6.1805555560567882E-2</v>
      </c>
      <c r="H938" s="1" t="s">
        <v>257</v>
      </c>
      <c r="J938" s="1" t="s">
        <v>258</v>
      </c>
      <c r="K938" s="1" t="s">
        <v>658</v>
      </c>
      <c r="L938" s="1" t="s">
        <v>538</v>
      </c>
      <c r="M938" s="1" t="s">
        <v>260</v>
      </c>
      <c r="N938" s="1" t="s">
        <v>357</v>
      </c>
      <c r="O938" s="1" t="s">
        <v>632</v>
      </c>
      <c r="P938" s="1" t="str">
        <f>_xlfn.CONCAT(B938,C938,D938,E938,F938)</f>
        <v>BC Caiaponia2.2215KTL-H3(MBUS-14)46039,597222222246039,597222222246039,6590277778</v>
      </c>
      <c r="Q938" s="1" t="str">
        <f>_xlfn.CONCAT(H938,I938,J938)</f>
        <v>DAURDE</v>
      </c>
    </row>
    <row r="939" spans="2:17">
      <c r="B939" s="1" t="s">
        <v>583</v>
      </c>
      <c r="C939" s="1" t="s">
        <v>380</v>
      </c>
      <c r="D939" s="52">
        <v>46039.597222222219</v>
      </c>
      <c r="E939" s="52">
        <v>46039.597222222219</v>
      </c>
      <c r="F939" s="52">
        <v>46039.65902777778</v>
      </c>
      <c r="G939" s="53">
        <f>F939-E939</f>
        <v>6.1805555560567882E-2</v>
      </c>
      <c r="H939" s="1" t="s">
        <v>257</v>
      </c>
      <c r="J939" s="1" t="s">
        <v>258</v>
      </c>
      <c r="K939" s="1" t="s">
        <v>658</v>
      </c>
      <c r="L939" s="1" t="s">
        <v>538</v>
      </c>
      <c r="M939" s="1" t="s">
        <v>260</v>
      </c>
      <c r="N939" s="1" t="s">
        <v>357</v>
      </c>
      <c r="O939" s="1" t="s">
        <v>632</v>
      </c>
      <c r="P939" s="1" t="str">
        <f>_xlfn.CONCAT(B939,C939,D939,E939,F939)</f>
        <v>BC Caiaponia2.2215KTL-H3(MBUS-15)46039,597222222246039,597222222246039,6590277778</v>
      </c>
      <c r="Q939" s="1" t="str">
        <f>_xlfn.CONCAT(H939,I939,J939)</f>
        <v>DAURDE</v>
      </c>
    </row>
    <row r="940" spans="2:17">
      <c r="B940" s="1" t="s">
        <v>583</v>
      </c>
      <c r="C940" s="1" t="s">
        <v>379</v>
      </c>
      <c r="D940" s="52">
        <v>46039.597222222219</v>
      </c>
      <c r="E940" s="52">
        <v>46039.597222222219</v>
      </c>
      <c r="F940" s="52">
        <v>46039.65902777778</v>
      </c>
      <c r="G940" s="53">
        <f>F940-E940</f>
        <v>6.1805555560567882E-2</v>
      </c>
      <c r="H940" s="1" t="s">
        <v>257</v>
      </c>
      <c r="J940" s="1" t="s">
        <v>258</v>
      </c>
      <c r="K940" s="1" t="s">
        <v>658</v>
      </c>
      <c r="L940" s="1" t="s">
        <v>538</v>
      </c>
      <c r="M940" s="1" t="s">
        <v>260</v>
      </c>
      <c r="N940" s="1" t="s">
        <v>357</v>
      </c>
      <c r="O940" s="1" t="s">
        <v>632</v>
      </c>
      <c r="P940" s="1" t="str">
        <f>_xlfn.CONCAT(B940,C940,D940,E940,F940)</f>
        <v>BC Caiaponia2.2215KTL-H3(MBUS-16)46039,597222222246039,597222222246039,6590277778</v>
      </c>
      <c r="Q940" s="1" t="str">
        <f>_xlfn.CONCAT(H940,I940,J940)</f>
        <v>DAURDE</v>
      </c>
    </row>
    <row r="941" spans="2:17">
      <c r="B941" s="1" t="s">
        <v>584</v>
      </c>
      <c r="C941" s="1" t="s">
        <v>377</v>
      </c>
      <c r="D941" s="52">
        <v>46039.597222222219</v>
      </c>
      <c r="E941" s="52">
        <v>46039.597222222219</v>
      </c>
      <c r="F941" s="52">
        <v>46039.65902777778</v>
      </c>
      <c r="G941" s="53">
        <f>F941-E941</f>
        <v>6.1805555560567882E-2</v>
      </c>
      <c r="H941" s="1" t="s">
        <v>257</v>
      </c>
      <c r="J941" s="1" t="s">
        <v>258</v>
      </c>
      <c r="K941" s="1" t="s">
        <v>658</v>
      </c>
      <c r="L941" s="1" t="s">
        <v>538</v>
      </c>
      <c r="M941" s="1" t="s">
        <v>260</v>
      </c>
      <c r="N941" s="1" t="s">
        <v>357</v>
      </c>
      <c r="O941" s="1" t="s">
        <v>632</v>
      </c>
      <c r="P941" s="1" t="str">
        <f>_xlfn.CONCAT(B941,C941,D941,E941,F941)</f>
        <v>BC Caiaponia2.3215KTL-H3(MBUS-12)46039,597222222246039,597222222246039,6590277778</v>
      </c>
      <c r="Q941" s="1" t="str">
        <f>_xlfn.CONCAT(H941,I941,J941)</f>
        <v>DAURDE</v>
      </c>
    </row>
    <row r="942" spans="2:17">
      <c r="B942" s="1" t="s">
        <v>584</v>
      </c>
      <c r="C942" s="1" t="s">
        <v>378</v>
      </c>
      <c r="D942" s="52">
        <v>46039.597222222219</v>
      </c>
      <c r="E942" s="52">
        <v>46039.597222222219</v>
      </c>
      <c r="F942" s="52">
        <v>46039.65902777778</v>
      </c>
      <c r="G942" s="53">
        <f>F942-E942</f>
        <v>6.1805555560567882E-2</v>
      </c>
      <c r="H942" s="1" t="s">
        <v>257</v>
      </c>
      <c r="J942" s="1" t="s">
        <v>258</v>
      </c>
      <c r="K942" s="1" t="s">
        <v>658</v>
      </c>
      <c r="L942" s="1" t="s">
        <v>538</v>
      </c>
      <c r="M942" s="1" t="s">
        <v>260</v>
      </c>
      <c r="N942" s="1" t="s">
        <v>357</v>
      </c>
      <c r="O942" s="1" t="s">
        <v>632</v>
      </c>
      <c r="P942" s="1" t="str">
        <f>_xlfn.CONCAT(B942,C942,D942,E942,F942)</f>
        <v>BC Caiaponia2.3215KTL-H3(MBUS-13)46039,597222222246039,597222222246039,6590277778</v>
      </c>
      <c r="Q942" s="1" t="str">
        <f>_xlfn.CONCAT(H942,I942,J942)</f>
        <v>DAURDE</v>
      </c>
    </row>
    <row r="943" spans="2:17">
      <c r="B943" s="1" t="s">
        <v>584</v>
      </c>
      <c r="C943" s="1" t="s">
        <v>382</v>
      </c>
      <c r="D943" s="52">
        <v>46039.597222222219</v>
      </c>
      <c r="E943" s="52">
        <v>46039.597222222219</v>
      </c>
      <c r="F943" s="52">
        <v>46039.65902777778</v>
      </c>
      <c r="G943" s="53">
        <f>F943-E943</f>
        <v>6.1805555560567882E-2</v>
      </c>
      <c r="H943" s="1" t="s">
        <v>257</v>
      </c>
      <c r="J943" s="1" t="s">
        <v>258</v>
      </c>
      <c r="K943" s="1" t="s">
        <v>658</v>
      </c>
      <c r="L943" s="1" t="s">
        <v>538</v>
      </c>
      <c r="M943" s="1" t="s">
        <v>260</v>
      </c>
      <c r="N943" s="1" t="s">
        <v>357</v>
      </c>
      <c r="O943" s="1" t="s">
        <v>632</v>
      </c>
      <c r="P943" s="1" t="str">
        <f>_xlfn.CONCAT(B943,C943,D943,E943,F943)</f>
        <v>BC Caiaponia2.3215KTL-H3(MBUS-14)46039,597222222246039,597222222246039,6590277778</v>
      </c>
      <c r="Q943" s="1" t="str">
        <f>_xlfn.CONCAT(H943,I943,J943)</f>
        <v>DAURDE</v>
      </c>
    </row>
    <row r="944" spans="2:17">
      <c r="B944" s="1" t="s">
        <v>584</v>
      </c>
      <c r="C944" s="1" t="s">
        <v>380</v>
      </c>
      <c r="D944" s="52">
        <v>46039.597222222219</v>
      </c>
      <c r="E944" s="52">
        <v>46039.597222222219</v>
      </c>
      <c r="F944" s="52">
        <v>46039.65902777778</v>
      </c>
      <c r="G944" s="53">
        <f>F944-E944</f>
        <v>6.1805555560567882E-2</v>
      </c>
      <c r="H944" s="1" t="s">
        <v>257</v>
      </c>
      <c r="J944" s="1" t="s">
        <v>258</v>
      </c>
      <c r="K944" s="1" t="s">
        <v>658</v>
      </c>
      <c r="L944" s="1" t="s">
        <v>538</v>
      </c>
      <c r="M944" s="1" t="s">
        <v>260</v>
      </c>
      <c r="N944" s="1" t="s">
        <v>357</v>
      </c>
      <c r="O944" s="1" t="s">
        <v>632</v>
      </c>
      <c r="P944" s="1" t="str">
        <f>_xlfn.CONCAT(B944,C944,D944,E944,F944)</f>
        <v>BC Caiaponia2.3215KTL-H3(MBUS-15)46039,597222222246039,597222222246039,6590277778</v>
      </c>
      <c r="Q944" s="1" t="str">
        <f>_xlfn.CONCAT(H944,I944,J944)</f>
        <v>DAURDE</v>
      </c>
    </row>
    <row r="945" spans="2:17">
      <c r="B945" s="1" t="s">
        <v>584</v>
      </c>
      <c r="C945" s="1" t="s">
        <v>379</v>
      </c>
      <c r="D945" s="52">
        <v>46039.597222222219</v>
      </c>
      <c r="E945" s="52">
        <v>46039.597222222219</v>
      </c>
      <c r="F945" s="52">
        <v>46039.65902777778</v>
      </c>
      <c r="G945" s="53">
        <f>F945-E945</f>
        <v>6.1805555560567882E-2</v>
      </c>
      <c r="H945" s="1" t="s">
        <v>257</v>
      </c>
      <c r="J945" s="1" t="s">
        <v>258</v>
      </c>
      <c r="K945" s="1" t="s">
        <v>658</v>
      </c>
      <c r="L945" s="1" t="s">
        <v>538</v>
      </c>
      <c r="M945" s="1" t="s">
        <v>260</v>
      </c>
      <c r="N945" s="1" t="s">
        <v>357</v>
      </c>
      <c r="O945" s="1" t="s">
        <v>632</v>
      </c>
      <c r="P945" s="1" t="str">
        <f>_xlfn.CONCAT(B945,C945,D945,E945,F945)</f>
        <v>BC Caiaponia2.3215KTL-H3(MBUS-16)46039,597222222246039,597222222246039,6590277778</v>
      </c>
      <c r="Q945" s="1" t="str">
        <f>_xlfn.CONCAT(H945,I945,J945)</f>
        <v>DAURDE</v>
      </c>
    </row>
    <row r="946" spans="2:17">
      <c r="B946" s="1" t="s">
        <v>368</v>
      </c>
      <c r="C946" s="1" t="s">
        <v>264</v>
      </c>
      <c r="D946" s="52">
        <v>46040.572916666664</v>
      </c>
      <c r="E946" s="52">
        <v>46040.572916666664</v>
      </c>
      <c r="F946" s="52">
        <v>46040.618055555555</v>
      </c>
      <c r="G946" s="53">
        <f>F946-E946</f>
        <v>4.5138888890505768E-2</v>
      </c>
      <c r="H946" s="1" t="s">
        <v>257</v>
      </c>
      <c r="J946" s="1" t="s">
        <v>258</v>
      </c>
      <c r="K946" s="1" t="s">
        <v>658</v>
      </c>
      <c r="L946" s="1" t="s">
        <v>2002</v>
      </c>
      <c r="M946" s="1" t="s">
        <v>260</v>
      </c>
      <c r="N946" s="1" t="s">
        <v>357</v>
      </c>
      <c r="O946" s="1" t="s">
        <v>809</v>
      </c>
      <c r="P946" s="1" t="str">
        <f>_xlfn.CONCAT(B946,C946,D946,E946,F946)</f>
        <v>BC Ibiuna 1.1Inverter(MBUS-13)46040,572916666746040,572916666746040,6180555556</v>
      </c>
      <c r="Q946" s="1" t="str">
        <f>_xlfn.CONCAT(H946,I946,J946)</f>
        <v>DAURDE</v>
      </c>
    </row>
    <row r="947" spans="2:17">
      <c r="B947" s="1" t="s">
        <v>368</v>
      </c>
      <c r="C947" s="1" t="s">
        <v>263</v>
      </c>
      <c r="D947" s="52">
        <v>46040.572916666664</v>
      </c>
      <c r="E947" s="52">
        <v>46040.572916666664</v>
      </c>
      <c r="F947" s="52">
        <v>46040.618055555555</v>
      </c>
      <c r="G947" s="53">
        <f>F947-E947</f>
        <v>4.5138888890505768E-2</v>
      </c>
      <c r="H947" s="1" t="s">
        <v>257</v>
      </c>
      <c r="J947" s="1" t="s">
        <v>258</v>
      </c>
      <c r="K947" s="1" t="s">
        <v>658</v>
      </c>
      <c r="L947" s="1" t="s">
        <v>2002</v>
      </c>
      <c r="M947" s="1" t="s">
        <v>260</v>
      </c>
      <c r="N947" s="1" t="s">
        <v>357</v>
      </c>
      <c r="O947" s="1" t="s">
        <v>809</v>
      </c>
      <c r="P947" s="1" t="str">
        <f>_xlfn.CONCAT(B947,C947,D947,E947,F947)</f>
        <v>BC Ibiuna 1.1Inverter(MBUS-14)46040,572916666746040,572916666746040,6180555556</v>
      </c>
      <c r="Q947" s="1" t="str">
        <f>_xlfn.CONCAT(H947,I947,J947)</f>
        <v>DAURDE</v>
      </c>
    </row>
    <row r="948" spans="2:17">
      <c r="B948" s="1" t="s">
        <v>368</v>
      </c>
      <c r="C948" s="1" t="s">
        <v>307</v>
      </c>
      <c r="D948" s="52">
        <v>46040.572916666664</v>
      </c>
      <c r="E948" s="52">
        <v>46040.572916666664</v>
      </c>
      <c r="F948" s="52">
        <v>46040.618055555555</v>
      </c>
      <c r="G948" s="53">
        <f>F948-E948</f>
        <v>4.5138888890505768E-2</v>
      </c>
      <c r="H948" s="1" t="s">
        <v>257</v>
      </c>
      <c r="J948" s="1" t="s">
        <v>258</v>
      </c>
      <c r="K948" s="1" t="s">
        <v>658</v>
      </c>
      <c r="L948" s="1" t="s">
        <v>2002</v>
      </c>
      <c r="M948" s="1" t="s">
        <v>260</v>
      </c>
      <c r="N948" s="1" t="s">
        <v>357</v>
      </c>
      <c r="O948" s="1" t="s">
        <v>809</v>
      </c>
      <c r="P948" s="1" t="str">
        <f>_xlfn.CONCAT(B948,C948,D948,E948,F948)</f>
        <v>BC Ibiuna 1.1Inverter(MBUS-15)46040,572916666746040,572916666746040,6180555556</v>
      </c>
      <c r="Q948" s="1" t="str">
        <f>_xlfn.CONCAT(H948,I948,J948)</f>
        <v>DAURDE</v>
      </c>
    </row>
    <row r="949" spans="2:17">
      <c r="B949" s="1" t="s">
        <v>370</v>
      </c>
      <c r="C949" s="1" t="s">
        <v>256</v>
      </c>
      <c r="D949" s="52">
        <v>46040.572916666664</v>
      </c>
      <c r="E949" s="52">
        <v>46040.572916666664</v>
      </c>
      <c r="F949" s="52">
        <v>46040.618055555555</v>
      </c>
      <c r="G949" s="53">
        <f>F949-E949</f>
        <v>4.5138888890505768E-2</v>
      </c>
      <c r="H949" s="1" t="s">
        <v>257</v>
      </c>
      <c r="J949" s="1" t="s">
        <v>258</v>
      </c>
      <c r="K949" s="1" t="s">
        <v>658</v>
      </c>
      <c r="L949" s="1" t="s">
        <v>2002</v>
      </c>
      <c r="M949" s="1" t="s">
        <v>260</v>
      </c>
      <c r="N949" s="1" t="s">
        <v>357</v>
      </c>
      <c r="O949" s="1" t="s">
        <v>809</v>
      </c>
      <c r="P949" s="1" t="str">
        <f>_xlfn.CONCAT(B949,C949,D949,E949,F949)</f>
        <v>BC Ibiuna 1.2Inverter(MBUS-12)46040,572916666746040,572916666746040,6180555556</v>
      </c>
      <c r="Q949" s="1" t="str">
        <f>_xlfn.CONCAT(H949,I949,J949)</f>
        <v>DAURDE</v>
      </c>
    </row>
    <row r="950" spans="2:17">
      <c r="B950" s="1" t="s">
        <v>370</v>
      </c>
      <c r="C950" s="1" t="s">
        <v>264</v>
      </c>
      <c r="D950" s="52">
        <v>46040.572916666664</v>
      </c>
      <c r="E950" s="52">
        <v>46040.572916666664</v>
      </c>
      <c r="F950" s="52">
        <v>46040.618055555555</v>
      </c>
      <c r="G950" s="53">
        <f>F950-E950</f>
        <v>4.5138888890505768E-2</v>
      </c>
      <c r="H950" s="1" t="s">
        <v>257</v>
      </c>
      <c r="J950" s="1" t="s">
        <v>258</v>
      </c>
      <c r="K950" s="1" t="s">
        <v>658</v>
      </c>
      <c r="L950" s="1" t="s">
        <v>2002</v>
      </c>
      <c r="M950" s="1" t="s">
        <v>260</v>
      </c>
      <c r="N950" s="1" t="s">
        <v>357</v>
      </c>
      <c r="O950" s="1" t="s">
        <v>809</v>
      </c>
      <c r="P950" s="1" t="str">
        <f>_xlfn.CONCAT(B950,C950,D950,E950,F950)</f>
        <v>BC Ibiuna 1.2Inverter(MBUS-13)46040,572916666746040,572916666746040,6180555556</v>
      </c>
      <c r="Q950" s="1" t="str">
        <f>_xlfn.CONCAT(H950,I950,J950)</f>
        <v>DAURDE</v>
      </c>
    </row>
    <row r="951" spans="2:17">
      <c r="B951" s="1" t="s">
        <v>370</v>
      </c>
      <c r="C951" s="1" t="s">
        <v>263</v>
      </c>
      <c r="D951" s="52">
        <v>46040.572916666664</v>
      </c>
      <c r="E951" s="52">
        <v>46040.572916666664</v>
      </c>
      <c r="F951" s="52">
        <v>46040.618055555555</v>
      </c>
      <c r="G951" s="53">
        <f>F951-E951</f>
        <v>4.5138888890505768E-2</v>
      </c>
      <c r="H951" s="1" t="s">
        <v>257</v>
      </c>
      <c r="J951" s="1" t="s">
        <v>258</v>
      </c>
      <c r="K951" s="1" t="s">
        <v>658</v>
      </c>
      <c r="L951" s="1" t="s">
        <v>2002</v>
      </c>
      <c r="M951" s="1" t="s">
        <v>260</v>
      </c>
      <c r="N951" s="1" t="s">
        <v>357</v>
      </c>
      <c r="O951" s="1" t="s">
        <v>809</v>
      </c>
      <c r="P951" s="1" t="str">
        <f>_xlfn.CONCAT(B951,C951,D951,E951,F951)</f>
        <v>BC Ibiuna 1.2Inverter(MBUS-14)46040,572916666746040,572916666746040,6180555556</v>
      </c>
      <c r="Q951" s="1" t="str">
        <f>_xlfn.CONCAT(H951,I951,J951)</f>
        <v>DAURDE</v>
      </c>
    </row>
    <row r="952" spans="2:17">
      <c r="B952" s="1" t="s">
        <v>370</v>
      </c>
      <c r="C952" s="1" t="s">
        <v>307</v>
      </c>
      <c r="D952" s="52">
        <v>46040.572916666664</v>
      </c>
      <c r="E952" s="52">
        <v>46040.572916666664</v>
      </c>
      <c r="F952" s="52">
        <v>46040.618055555555</v>
      </c>
      <c r="G952" s="53">
        <f>F952-E952</f>
        <v>4.5138888890505768E-2</v>
      </c>
      <c r="H952" s="1" t="s">
        <v>257</v>
      </c>
      <c r="J952" s="1" t="s">
        <v>258</v>
      </c>
      <c r="K952" s="1" t="s">
        <v>658</v>
      </c>
      <c r="L952" s="1" t="s">
        <v>2002</v>
      </c>
      <c r="M952" s="1" t="s">
        <v>260</v>
      </c>
      <c r="N952" s="1" t="s">
        <v>357</v>
      </c>
      <c r="O952" s="1" t="s">
        <v>809</v>
      </c>
      <c r="P952" s="1" t="str">
        <f>_xlfn.CONCAT(B952,C952,D952,E952,F952)</f>
        <v>BC Ibiuna 1.2Inverter(MBUS-15)46040,572916666746040,572916666746040,6180555556</v>
      </c>
      <c r="Q952" s="1" t="str">
        <f>_xlfn.CONCAT(H952,I952,J952)</f>
        <v>DAURDE</v>
      </c>
    </row>
    <row r="953" spans="2:17">
      <c r="B953" s="1" t="s">
        <v>368</v>
      </c>
      <c r="C953" s="1" t="s">
        <v>264</v>
      </c>
      <c r="D953" s="52">
        <v>46040.669444444444</v>
      </c>
      <c r="E953" s="52">
        <v>46040.669444444444</v>
      </c>
      <c r="F953" s="52">
        <v>46040.724999999999</v>
      </c>
      <c r="G953" s="53">
        <f>F953-E953</f>
        <v>5.5555555554747116E-2</v>
      </c>
      <c r="H953" s="1" t="s">
        <v>257</v>
      </c>
      <c r="J953" s="1" t="s">
        <v>258</v>
      </c>
      <c r="K953" s="1" t="s">
        <v>658</v>
      </c>
      <c r="L953" s="1" t="s">
        <v>2002</v>
      </c>
      <c r="M953" s="1" t="s">
        <v>260</v>
      </c>
      <c r="N953" s="1" t="s">
        <v>357</v>
      </c>
      <c r="O953" s="1" t="s">
        <v>809</v>
      </c>
      <c r="P953" s="1" t="str">
        <f>_xlfn.CONCAT(B953,C953,D953,E953,F953)</f>
        <v>BC Ibiuna 1.1Inverter(MBUS-13)46040,669444444446040,669444444446040,725</v>
      </c>
      <c r="Q953" s="1" t="str">
        <f>_xlfn.CONCAT(H953,I953,J953)</f>
        <v>DAURDE</v>
      </c>
    </row>
    <row r="954" spans="2:17">
      <c r="B954" s="1" t="s">
        <v>368</v>
      </c>
      <c r="C954" s="1" t="s">
        <v>263</v>
      </c>
      <c r="D954" s="52">
        <v>46040.669444444444</v>
      </c>
      <c r="E954" s="52">
        <v>46040.669444444444</v>
      </c>
      <c r="F954" s="52">
        <v>46040.724999999999</v>
      </c>
      <c r="G954" s="53">
        <f>F954-E954</f>
        <v>5.5555555554747116E-2</v>
      </c>
      <c r="H954" s="1" t="s">
        <v>257</v>
      </c>
      <c r="J954" s="1" t="s">
        <v>258</v>
      </c>
      <c r="K954" s="1" t="s">
        <v>658</v>
      </c>
      <c r="L954" s="1" t="s">
        <v>2002</v>
      </c>
      <c r="M954" s="1" t="s">
        <v>260</v>
      </c>
      <c r="N954" s="1" t="s">
        <v>357</v>
      </c>
      <c r="O954" s="1" t="s">
        <v>809</v>
      </c>
      <c r="P954" s="1" t="str">
        <f>_xlfn.CONCAT(B954,C954,D954,E954,F954)</f>
        <v>BC Ibiuna 1.1Inverter(MBUS-14)46040,669444444446040,669444444446040,725</v>
      </c>
      <c r="Q954" s="1" t="str">
        <f>_xlfn.CONCAT(H954,I954,J954)</f>
        <v>DAURDE</v>
      </c>
    </row>
    <row r="955" spans="2:17">
      <c r="B955" s="1" t="s">
        <v>368</v>
      </c>
      <c r="C955" s="1" t="s">
        <v>307</v>
      </c>
      <c r="D955" s="52">
        <v>46040.669444444444</v>
      </c>
      <c r="E955" s="52">
        <v>46040.669444444444</v>
      </c>
      <c r="F955" s="52">
        <v>46040.724999999999</v>
      </c>
      <c r="G955" s="53">
        <f>F955-E955</f>
        <v>5.5555555554747116E-2</v>
      </c>
      <c r="H955" s="1" t="s">
        <v>257</v>
      </c>
      <c r="J955" s="1" t="s">
        <v>258</v>
      </c>
      <c r="K955" s="1" t="s">
        <v>658</v>
      </c>
      <c r="L955" s="1" t="s">
        <v>2002</v>
      </c>
      <c r="M955" s="1" t="s">
        <v>260</v>
      </c>
      <c r="N955" s="1" t="s">
        <v>357</v>
      </c>
      <c r="O955" s="1" t="s">
        <v>809</v>
      </c>
      <c r="P955" s="1" t="str">
        <f>_xlfn.CONCAT(B955,C955,D955,E955,F955)</f>
        <v>BC Ibiuna 1.1Inverter(MBUS-15)46040,669444444446040,669444444446040,725</v>
      </c>
      <c r="Q955" s="1" t="str">
        <f>_xlfn.CONCAT(H955,I955,J955)</f>
        <v>DAURDE</v>
      </c>
    </row>
    <row r="956" spans="2:17">
      <c r="B956" s="1" t="s">
        <v>370</v>
      </c>
      <c r="C956" s="1" t="s">
        <v>256</v>
      </c>
      <c r="D956" s="52">
        <v>46040.669444444444</v>
      </c>
      <c r="E956" s="52">
        <v>46040.669444444444</v>
      </c>
      <c r="F956" s="52">
        <v>46040.724999999999</v>
      </c>
      <c r="G956" s="53">
        <f>F956-E956</f>
        <v>5.5555555554747116E-2</v>
      </c>
      <c r="H956" s="1" t="s">
        <v>257</v>
      </c>
      <c r="J956" s="1" t="s">
        <v>258</v>
      </c>
      <c r="K956" s="1" t="s">
        <v>658</v>
      </c>
      <c r="L956" s="1" t="s">
        <v>2002</v>
      </c>
      <c r="M956" s="1" t="s">
        <v>260</v>
      </c>
      <c r="N956" s="1" t="s">
        <v>357</v>
      </c>
      <c r="O956" s="1" t="s">
        <v>809</v>
      </c>
      <c r="P956" s="1" t="str">
        <f>_xlfn.CONCAT(B956,C956,D956,E956,F956)</f>
        <v>BC Ibiuna 1.2Inverter(MBUS-12)46040,669444444446040,669444444446040,725</v>
      </c>
      <c r="Q956" s="1" t="str">
        <f>_xlfn.CONCAT(H956,I956,J956)</f>
        <v>DAURDE</v>
      </c>
    </row>
    <row r="957" spans="2:17">
      <c r="B957" s="1" t="s">
        <v>370</v>
      </c>
      <c r="C957" s="1" t="s">
        <v>264</v>
      </c>
      <c r="D957" s="52">
        <v>46040.669444444444</v>
      </c>
      <c r="E957" s="52">
        <v>46040.669444444444</v>
      </c>
      <c r="F957" s="52">
        <v>46040.724999999999</v>
      </c>
      <c r="G957" s="53">
        <f>F957-E957</f>
        <v>5.5555555554747116E-2</v>
      </c>
      <c r="H957" s="1" t="s">
        <v>257</v>
      </c>
      <c r="J957" s="1" t="s">
        <v>258</v>
      </c>
      <c r="K957" s="1" t="s">
        <v>658</v>
      </c>
      <c r="L957" s="1" t="s">
        <v>2002</v>
      </c>
      <c r="M957" s="1" t="s">
        <v>260</v>
      </c>
      <c r="N957" s="1" t="s">
        <v>357</v>
      </c>
      <c r="O957" s="1" t="s">
        <v>809</v>
      </c>
      <c r="P957" s="1" t="str">
        <f>_xlfn.CONCAT(B957,C957,D957,E957,F957)</f>
        <v>BC Ibiuna 1.2Inverter(MBUS-13)46040,669444444446040,669444444446040,725</v>
      </c>
      <c r="Q957" s="1" t="str">
        <f>_xlfn.CONCAT(H957,I957,J957)</f>
        <v>DAURDE</v>
      </c>
    </row>
    <row r="958" spans="2:17">
      <c r="B958" s="1" t="s">
        <v>370</v>
      </c>
      <c r="C958" s="1" t="s">
        <v>263</v>
      </c>
      <c r="D958" s="52">
        <v>46040.669444444444</v>
      </c>
      <c r="E958" s="52">
        <v>46040.669444444444</v>
      </c>
      <c r="F958" s="52">
        <v>46040.724999999999</v>
      </c>
      <c r="G958" s="53">
        <f>F958-E958</f>
        <v>5.5555555554747116E-2</v>
      </c>
      <c r="H958" s="1" t="s">
        <v>257</v>
      </c>
      <c r="J958" s="1" t="s">
        <v>258</v>
      </c>
      <c r="K958" s="1" t="s">
        <v>658</v>
      </c>
      <c r="L958" s="1" t="s">
        <v>2002</v>
      </c>
      <c r="M958" s="1" t="s">
        <v>260</v>
      </c>
      <c r="N958" s="1" t="s">
        <v>357</v>
      </c>
      <c r="O958" s="1" t="s">
        <v>809</v>
      </c>
      <c r="P958" s="1" t="str">
        <f>_xlfn.CONCAT(B958,C958,D958,E958,F958)</f>
        <v>BC Ibiuna 1.2Inverter(MBUS-14)46040,669444444446040,669444444446040,725</v>
      </c>
      <c r="Q958" s="1" t="str">
        <f>_xlfn.CONCAT(H958,I958,J958)</f>
        <v>DAURDE</v>
      </c>
    </row>
    <row r="959" spans="2:17">
      <c r="B959" s="1" t="s">
        <v>370</v>
      </c>
      <c r="C959" s="1" t="s">
        <v>307</v>
      </c>
      <c r="D959" s="52">
        <v>46040.669444444444</v>
      </c>
      <c r="E959" s="52">
        <v>46040.669444444444</v>
      </c>
      <c r="F959" s="52">
        <v>46040.724999999999</v>
      </c>
      <c r="G959" s="53">
        <f>F959-E959</f>
        <v>5.5555555554747116E-2</v>
      </c>
      <c r="H959" s="1" t="s">
        <v>257</v>
      </c>
      <c r="J959" s="1" t="s">
        <v>258</v>
      </c>
      <c r="K959" s="1" t="s">
        <v>658</v>
      </c>
      <c r="L959" s="1" t="s">
        <v>2002</v>
      </c>
      <c r="M959" s="1" t="s">
        <v>260</v>
      </c>
      <c r="N959" s="1" t="s">
        <v>357</v>
      </c>
      <c r="O959" s="1" t="s">
        <v>809</v>
      </c>
      <c r="P959" s="1" t="str">
        <f>_xlfn.CONCAT(B959,C959,D959,E959,F959)</f>
        <v>BC Ibiuna 1.2Inverter(MBUS-15)46040,669444444446040,669444444446040,725</v>
      </c>
      <c r="Q959" s="1" t="str">
        <f>_xlfn.CONCAT(H959,I959,J959)</f>
        <v>DAURDE</v>
      </c>
    </row>
    <row r="960" spans="2:17">
      <c r="B960" s="66" t="s">
        <v>442</v>
      </c>
      <c r="C960" s="66" t="s">
        <v>264</v>
      </c>
      <c r="D960" s="73">
        <v>46041.395833333336</v>
      </c>
      <c r="E960" s="73">
        <v>46041.395833333336</v>
      </c>
      <c r="F960" s="73">
        <v>46042.555555555555</v>
      </c>
      <c r="G960" s="74">
        <f>F960-E960</f>
        <v>1.1597222222189885</v>
      </c>
      <c r="H960" s="66" t="s">
        <v>677</v>
      </c>
      <c r="I960" s="66"/>
      <c r="J960" s="66" t="s">
        <v>230</v>
      </c>
      <c r="K960" s="66" t="s">
        <v>230</v>
      </c>
      <c r="L960" s="66" t="s">
        <v>2004</v>
      </c>
      <c r="M960" s="66" t="s">
        <v>363</v>
      </c>
      <c r="N960" s="66" t="s">
        <v>364</v>
      </c>
      <c r="O960" s="66" t="s">
        <v>822</v>
      </c>
      <c r="P960" s="66"/>
      <c r="Q960" s="66"/>
    </row>
    <row r="961" spans="2:17">
      <c r="B961" s="66" t="s">
        <v>442</v>
      </c>
      <c r="C961" s="66" t="s">
        <v>256</v>
      </c>
      <c r="D961" s="73">
        <v>46041.395833333336</v>
      </c>
      <c r="E961" s="73">
        <v>46041.395833333336</v>
      </c>
      <c r="F961" s="73">
        <v>46044.673611111109</v>
      </c>
      <c r="G961" s="74">
        <f>F961-E961</f>
        <v>3.2777777777737356</v>
      </c>
      <c r="H961" s="66" t="s">
        <v>677</v>
      </c>
      <c r="I961" s="66"/>
      <c r="J961" s="66" t="s">
        <v>230</v>
      </c>
      <c r="K961" s="66" t="s">
        <v>230</v>
      </c>
      <c r="L961" s="66" t="s">
        <v>2005</v>
      </c>
      <c r="M961" s="66" t="s">
        <v>363</v>
      </c>
      <c r="N961" s="66" t="s">
        <v>364</v>
      </c>
      <c r="O961" s="66" t="s">
        <v>822</v>
      </c>
      <c r="P961" s="66"/>
      <c r="Q961" s="66"/>
    </row>
    <row r="962" spans="2:17">
      <c r="B962" s="66" t="s">
        <v>442</v>
      </c>
      <c r="C962" s="66" t="s">
        <v>307</v>
      </c>
      <c r="D962" s="73">
        <v>46041.395833333336</v>
      </c>
      <c r="E962" s="73">
        <v>46041.395833333336</v>
      </c>
      <c r="F962" s="73">
        <v>46053.999988425923</v>
      </c>
      <c r="G962" s="74">
        <f>F962-E962</f>
        <v>12.604155092587462</v>
      </c>
      <c r="H962" s="66" t="s">
        <v>677</v>
      </c>
      <c r="I962" s="66"/>
      <c r="J962" s="66" t="s">
        <v>371</v>
      </c>
      <c r="K962" s="66" t="s">
        <v>653</v>
      </c>
      <c r="L962" s="66" t="s">
        <v>2006</v>
      </c>
      <c r="M962" s="66" t="s">
        <v>252</v>
      </c>
      <c r="N962" s="66" t="s">
        <v>661</v>
      </c>
      <c r="O962" s="66" t="s">
        <v>824</v>
      </c>
      <c r="P962" s="66"/>
      <c r="Q962" s="1" t="str">
        <f>_xlfn.CONCAT(H962,I962,J962)</f>
        <v>DPRINV</v>
      </c>
    </row>
    <row r="963" spans="2:17">
      <c r="B963" s="1" t="s">
        <v>255</v>
      </c>
      <c r="C963" s="1" t="s">
        <v>263</v>
      </c>
      <c r="D963" s="52">
        <v>46041.459722222222</v>
      </c>
      <c r="E963" s="52">
        <v>46041.459722222222</v>
      </c>
      <c r="F963" s="52">
        <v>46041.46875</v>
      </c>
      <c r="G963" s="53">
        <f>F963-E963</f>
        <v>9.0277777781011537E-3</v>
      </c>
      <c r="H963" s="1" t="s">
        <v>677</v>
      </c>
      <c r="J963" s="1" t="s">
        <v>371</v>
      </c>
      <c r="K963" s="1" t="s">
        <v>653</v>
      </c>
      <c r="L963" s="1" t="s">
        <v>2007</v>
      </c>
      <c r="M963" s="1" t="s">
        <v>252</v>
      </c>
      <c r="N963" s="1" t="s">
        <v>253</v>
      </c>
      <c r="O963" s="1" t="s">
        <v>825</v>
      </c>
      <c r="P963" s="1" t="str">
        <f>_xlfn.CONCAT(B963,C963,D963,E963,F963)</f>
        <v>BC Formoso2.1Inverter(MBUS-14)46041,459722222246041,459722222246041,46875</v>
      </c>
      <c r="Q963" s="1" t="str">
        <f>_xlfn.CONCAT(H963,I963,J963)</f>
        <v>DPRINV</v>
      </c>
    </row>
    <row r="964" spans="2:17">
      <c r="B964" s="1" t="s">
        <v>327</v>
      </c>
      <c r="C964" s="1" t="s">
        <v>247</v>
      </c>
      <c r="D964" s="52">
        <v>46041.545138888891</v>
      </c>
      <c r="E964" s="52">
        <v>46041.545138888891</v>
      </c>
      <c r="F964" s="52">
        <v>46041.550694444442</v>
      </c>
      <c r="G964" s="53">
        <f>F964-E964</f>
        <v>5.5555555518367328E-3</v>
      </c>
      <c r="H964" s="1" t="s">
        <v>257</v>
      </c>
      <c r="J964" s="1" t="s">
        <v>258</v>
      </c>
      <c r="K964" s="1" t="s">
        <v>658</v>
      </c>
      <c r="L964" s="1" t="s">
        <v>541</v>
      </c>
      <c r="M964" s="1" t="s">
        <v>260</v>
      </c>
      <c r="N964" s="1" t="s">
        <v>261</v>
      </c>
      <c r="O964" s="1" t="s">
        <v>826</v>
      </c>
      <c r="P964" s="1" t="str">
        <f>_xlfn.CONCAT(B964,C964,D964,E964,F964)</f>
        <v>BC Aracu5.1Inverter(MBUS-1)46041,545138888946041,545138888946041,5506944444</v>
      </c>
      <c r="Q964" s="1" t="str">
        <f>_xlfn.CONCAT(H964,I964,J964)</f>
        <v>DAURDE</v>
      </c>
    </row>
    <row r="965" spans="2:17">
      <c r="B965" s="1" t="s">
        <v>246</v>
      </c>
      <c r="C965" s="1" t="s">
        <v>247</v>
      </c>
      <c r="D965" s="52">
        <v>46041.545138888891</v>
      </c>
      <c r="E965" s="52">
        <v>46041.545138888891</v>
      </c>
      <c r="F965" s="52">
        <v>46041.550694444442</v>
      </c>
      <c r="G965" s="53">
        <f>F965-E965</f>
        <v>5.5555555518367328E-3</v>
      </c>
      <c r="H965" s="1" t="s">
        <v>257</v>
      </c>
      <c r="J965" s="1" t="s">
        <v>258</v>
      </c>
      <c r="K965" s="1" t="s">
        <v>658</v>
      </c>
      <c r="L965" s="1" t="s">
        <v>541</v>
      </c>
      <c r="M965" s="1" t="s">
        <v>260</v>
      </c>
      <c r="N965" s="1" t="s">
        <v>261</v>
      </c>
      <c r="O965" s="1" t="s">
        <v>826</v>
      </c>
      <c r="P965" s="1" t="str">
        <f>_xlfn.CONCAT(B965,C965,D965,E965,F965)</f>
        <v>BC Aracu5.2Inverter(MBUS-1)46041,545138888946041,545138888946041,5506944444</v>
      </c>
      <c r="Q965" s="1" t="str">
        <f>_xlfn.CONCAT(H965,I965,J965)</f>
        <v>DAURDE</v>
      </c>
    </row>
    <row r="966" spans="2:17">
      <c r="B966" s="1" t="s">
        <v>328</v>
      </c>
      <c r="C966" s="1" t="s">
        <v>247</v>
      </c>
      <c r="D966" s="52">
        <v>46041.545138888891</v>
      </c>
      <c r="E966" s="52">
        <v>46041.545138888891</v>
      </c>
      <c r="F966" s="52">
        <v>46041.550694444442</v>
      </c>
      <c r="G966" s="53">
        <f>F966-E966</f>
        <v>5.5555555518367328E-3</v>
      </c>
      <c r="H966" s="1" t="s">
        <v>257</v>
      </c>
      <c r="J966" s="1" t="s">
        <v>258</v>
      </c>
      <c r="K966" s="1" t="s">
        <v>658</v>
      </c>
      <c r="L966" s="1" t="s">
        <v>541</v>
      </c>
      <c r="M966" s="1" t="s">
        <v>260</v>
      </c>
      <c r="N966" s="1" t="s">
        <v>261</v>
      </c>
      <c r="O966" s="1" t="s">
        <v>826</v>
      </c>
      <c r="P966" s="1" t="str">
        <f>_xlfn.CONCAT(B966,C966,D966,E966,F966)</f>
        <v>BC Aracu5.3Inverter(MBUS-1)46041,545138888946041,545138888946041,5506944444</v>
      </c>
      <c r="Q966" s="1" t="str">
        <f>_xlfn.CONCAT(H966,I966,J966)</f>
        <v>DAURDE</v>
      </c>
    </row>
    <row r="967" spans="2:17">
      <c r="B967" s="1" t="s">
        <v>329</v>
      </c>
      <c r="C967" s="1" t="s">
        <v>247</v>
      </c>
      <c r="D967" s="52">
        <v>46041.545138888891</v>
      </c>
      <c r="E967" s="52">
        <v>46041.545138888891</v>
      </c>
      <c r="F967" s="52">
        <v>46041.550694444442</v>
      </c>
      <c r="G967" s="53">
        <f>F967-E967</f>
        <v>5.5555555518367328E-3</v>
      </c>
      <c r="H967" s="1" t="s">
        <v>257</v>
      </c>
      <c r="J967" s="1" t="s">
        <v>258</v>
      </c>
      <c r="K967" s="1" t="s">
        <v>658</v>
      </c>
      <c r="L967" s="1" t="s">
        <v>541</v>
      </c>
      <c r="M967" s="1" t="s">
        <v>260</v>
      </c>
      <c r="N967" s="1" t="s">
        <v>261</v>
      </c>
      <c r="O967" s="1" t="s">
        <v>826</v>
      </c>
      <c r="P967" s="1" t="str">
        <f>_xlfn.CONCAT(B967,C967,D967,E967,F967)</f>
        <v>BC Aracu5.4Inverter(MBUS-1)46041,545138888946041,545138888946041,5506944444</v>
      </c>
      <c r="Q967" s="1" t="str">
        <f>_xlfn.CONCAT(H967,I967,J967)</f>
        <v>DAURDE</v>
      </c>
    </row>
    <row r="968" spans="2:17">
      <c r="B968" s="1" t="s">
        <v>330</v>
      </c>
      <c r="C968" s="1" t="s">
        <v>247</v>
      </c>
      <c r="D968" s="52">
        <v>46041.545138888891</v>
      </c>
      <c r="E968" s="52">
        <v>46041.545138888891</v>
      </c>
      <c r="F968" s="52">
        <v>46041.550694444442</v>
      </c>
      <c r="G968" s="53">
        <f>F968-E968</f>
        <v>5.5555555518367328E-3</v>
      </c>
      <c r="H968" s="1" t="s">
        <v>257</v>
      </c>
      <c r="J968" s="1" t="s">
        <v>258</v>
      </c>
      <c r="K968" s="1" t="s">
        <v>658</v>
      </c>
      <c r="L968" s="1" t="s">
        <v>541</v>
      </c>
      <c r="M968" s="1" t="s">
        <v>260</v>
      </c>
      <c r="N968" s="1" t="s">
        <v>261</v>
      </c>
      <c r="O968" s="1" t="s">
        <v>826</v>
      </c>
      <c r="P968" s="1" t="str">
        <f>_xlfn.CONCAT(B968,C968,D968,E968,F968)</f>
        <v>BC Aracu5.5Inverter(MBUS-1)46041,545138888946041,545138888946041,5506944444</v>
      </c>
      <c r="Q968" s="1" t="str">
        <f>_xlfn.CONCAT(H968,I968,J968)</f>
        <v>DAURDE</v>
      </c>
    </row>
    <row r="969" spans="2:17">
      <c r="B969" s="1" t="s">
        <v>331</v>
      </c>
      <c r="C969" s="1" t="s">
        <v>332</v>
      </c>
      <c r="D969" s="52">
        <v>46041.703472222223</v>
      </c>
      <c r="E969" s="52">
        <v>46041.703472222223</v>
      </c>
      <c r="F969" s="52">
        <v>46041.708333333336</v>
      </c>
      <c r="G969" s="53">
        <f>F969-E969</f>
        <v>4.8611111124046147E-3</v>
      </c>
      <c r="H969" s="1" t="s">
        <v>268</v>
      </c>
      <c r="I969" s="1" t="s">
        <v>269</v>
      </c>
      <c r="J969" s="1" t="s">
        <v>319</v>
      </c>
      <c r="K969" s="1" t="s">
        <v>652</v>
      </c>
      <c r="L969" s="1" t="s">
        <v>2008</v>
      </c>
      <c r="M969" s="1" t="s">
        <v>289</v>
      </c>
      <c r="N969" s="1" t="s">
        <v>253</v>
      </c>
      <c r="O969" s="1" t="s">
        <v>827</v>
      </c>
      <c r="P969" s="1" t="str">
        <f>_xlfn.CONCAT(B969,C969,D969,E969,F969)</f>
        <v>BC Varjao2.1215KTL-H0(MBUS-12)46041,703472222246041,703472222246041,7083333333</v>
      </c>
      <c r="Q969" s="1" t="str">
        <f>_xlfn.CONCAT(H969,I969,J969)</f>
        <v>LIGRFOCOM</v>
      </c>
    </row>
    <row r="970" spans="2:17">
      <c r="B970" s="1" t="s">
        <v>331</v>
      </c>
      <c r="C970" s="1" t="s">
        <v>335</v>
      </c>
      <c r="D970" s="52">
        <v>46041.703472222223</v>
      </c>
      <c r="E970" s="52">
        <v>46041.703472222223</v>
      </c>
      <c r="F970" s="52">
        <v>46041.708333333336</v>
      </c>
      <c r="G970" s="53">
        <f>F970-E970</f>
        <v>4.8611111124046147E-3</v>
      </c>
      <c r="H970" s="1" t="s">
        <v>268</v>
      </c>
      <c r="I970" s="1" t="s">
        <v>269</v>
      </c>
      <c r="J970" s="1" t="s">
        <v>319</v>
      </c>
      <c r="K970" s="1" t="s">
        <v>652</v>
      </c>
      <c r="L970" s="1" t="s">
        <v>2008</v>
      </c>
      <c r="M970" s="1" t="s">
        <v>289</v>
      </c>
      <c r="N970" s="1" t="s">
        <v>253</v>
      </c>
      <c r="O970" s="1" t="s">
        <v>827</v>
      </c>
      <c r="P970" s="1" t="str">
        <f>_xlfn.CONCAT(B970,C970,D970,E970,F970)</f>
        <v>BC Varjao2.1215KTL-H0(MBUS-13)46041,703472222246041,703472222246041,7083333333</v>
      </c>
      <c r="Q970" s="1" t="str">
        <f>_xlfn.CONCAT(H970,I970,J970)</f>
        <v>LIGRFOCOM</v>
      </c>
    </row>
    <row r="971" spans="2:17">
      <c r="B971" s="1" t="s">
        <v>331</v>
      </c>
      <c r="C971" s="1" t="s">
        <v>336</v>
      </c>
      <c r="D971" s="52">
        <v>46041.703472222223</v>
      </c>
      <c r="E971" s="52">
        <v>46041.703472222223</v>
      </c>
      <c r="F971" s="52">
        <v>46041.708333333336</v>
      </c>
      <c r="G971" s="53">
        <f>F971-E971</f>
        <v>4.8611111124046147E-3</v>
      </c>
      <c r="H971" s="1" t="s">
        <v>268</v>
      </c>
      <c r="I971" s="1" t="s">
        <v>269</v>
      </c>
      <c r="J971" s="1" t="s">
        <v>319</v>
      </c>
      <c r="K971" s="1" t="s">
        <v>652</v>
      </c>
      <c r="L971" s="1" t="s">
        <v>2008</v>
      </c>
      <c r="M971" s="1" t="s">
        <v>289</v>
      </c>
      <c r="N971" s="1" t="s">
        <v>253</v>
      </c>
      <c r="O971" s="1" t="s">
        <v>827</v>
      </c>
      <c r="P971" s="1" t="str">
        <f>_xlfn.CONCAT(B971,C971,D971,E971,F971)</f>
        <v>BC Varjao2.1215KTL-H0(MBUS-14)46041,703472222246041,703472222246041,7083333333</v>
      </c>
      <c r="Q971" s="1" t="str">
        <f>_xlfn.CONCAT(H971,I971,J971)</f>
        <v>LIGRFOCOM</v>
      </c>
    </row>
    <row r="972" spans="2:17">
      <c r="B972" s="1" t="s">
        <v>331</v>
      </c>
      <c r="C972" s="1" t="s">
        <v>337</v>
      </c>
      <c r="D972" s="52">
        <v>46041.703472222223</v>
      </c>
      <c r="E972" s="52">
        <v>46041.703472222223</v>
      </c>
      <c r="F972" s="52">
        <v>46041.708333333336</v>
      </c>
      <c r="G972" s="53">
        <f>F972-E972</f>
        <v>4.8611111124046147E-3</v>
      </c>
      <c r="H972" s="1" t="s">
        <v>268</v>
      </c>
      <c r="I972" s="1" t="s">
        <v>269</v>
      </c>
      <c r="J972" s="1" t="s">
        <v>319</v>
      </c>
      <c r="K972" s="1" t="s">
        <v>652</v>
      </c>
      <c r="L972" s="1" t="s">
        <v>2008</v>
      </c>
      <c r="M972" s="1" t="s">
        <v>289</v>
      </c>
      <c r="N972" s="1" t="s">
        <v>253</v>
      </c>
      <c r="O972" s="1" t="s">
        <v>827</v>
      </c>
      <c r="P972" s="1" t="str">
        <f>_xlfn.CONCAT(B972,C972,D972,E972,F972)</f>
        <v>BC Varjao2.1215KTL-H0(MBUS-15)46041,703472222246041,703472222246041,7083333333</v>
      </c>
      <c r="Q972" s="1" t="str">
        <f>_xlfn.CONCAT(H972,I972,J972)</f>
        <v>LIGRFOCOM</v>
      </c>
    </row>
    <row r="973" spans="2:17">
      <c r="B973" s="1" t="s">
        <v>331</v>
      </c>
      <c r="C973" s="1" t="s">
        <v>338</v>
      </c>
      <c r="D973" s="52">
        <v>46041.703472222223</v>
      </c>
      <c r="E973" s="52">
        <v>46041.703472222223</v>
      </c>
      <c r="F973" s="52">
        <v>46041.708333333336</v>
      </c>
      <c r="G973" s="53">
        <f>F973-E973</f>
        <v>4.8611111124046147E-3</v>
      </c>
      <c r="H973" s="1" t="s">
        <v>268</v>
      </c>
      <c r="I973" s="1" t="s">
        <v>269</v>
      </c>
      <c r="J973" s="1" t="s">
        <v>319</v>
      </c>
      <c r="K973" s="1" t="s">
        <v>652</v>
      </c>
      <c r="L973" s="1" t="s">
        <v>2008</v>
      </c>
      <c r="M973" s="1" t="s">
        <v>289</v>
      </c>
      <c r="N973" s="1" t="s">
        <v>253</v>
      </c>
      <c r="O973" s="1" t="s">
        <v>827</v>
      </c>
      <c r="P973" s="1" t="str">
        <f>_xlfn.CONCAT(B973,C973,D973,E973,F973)</f>
        <v>BC Varjao2.1215KTL-H0(MBUS-16)46041,703472222246041,703472222246041,7083333333</v>
      </c>
      <c r="Q973" s="1" t="str">
        <f>_xlfn.CONCAT(H973,I973,J973)</f>
        <v>LIGRFOCOM</v>
      </c>
    </row>
    <row r="974" spans="2:17">
      <c r="B974" s="1" t="s">
        <v>339</v>
      </c>
      <c r="C974" s="1" t="s">
        <v>335</v>
      </c>
      <c r="D974" s="52">
        <v>46041.703472222223</v>
      </c>
      <c r="E974" s="52">
        <v>46041.703472222223</v>
      </c>
      <c r="F974" s="52">
        <v>46041.708333333336</v>
      </c>
      <c r="G974" s="53">
        <f>F974-E974</f>
        <v>4.8611111124046147E-3</v>
      </c>
      <c r="H974" s="1" t="s">
        <v>268</v>
      </c>
      <c r="I974" s="1" t="s">
        <v>269</v>
      </c>
      <c r="J974" s="1" t="s">
        <v>319</v>
      </c>
      <c r="K974" s="1" t="s">
        <v>652</v>
      </c>
      <c r="L974" s="1" t="s">
        <v>2008</v>
      </c>
      <c r="M974" s="1" t="s">
        <v>289</v>
      </c>
      <c r="N974" s="1" t="s">
        <v>253</v>
      </c>
      <c r="O974" s="1" t="s">
        <v>827</v>
      </c>
      <c r="P974" s="1" t="str">
        <f>_xlfn.CONCAT(B974,C974,D974,E974,F974)</f>
        <v>BC Varjao2.2215KTL-H0(MBUS-13)46041,703472222246041,703472222246041,7083333333</v>
      </c>
      <c r="Q974" s="1" t="str">
        <f>_xlfn.CONCAT(H974,I974,J974)</f>
        <v>LIGRFOCOM</v>
      </c>
    </row>
    <row r="975" spans="2:17">
      <c r="B975" s="1" t="s">
        <v>339</v>
      </c>
      <c r="C975" s="1" t="s">
        <v>336</v>
      </c>
      <c r="D975" s="52">
        <v>46041.703472222223</v>
      </c>
      <c r="E975" s="52">
        <v>46041.703472222223</v>
      </c>
      <c r="F975" s="52">
        <v>46041.708333333336</v>
      </c>
      <c r="G975" s="53">
        <f>F975-E975</f>
        <v>4.8611111124046147E-3</v>
      </c>
      <c r="H975" s="1" t="s">
        <v>268</v>
      </c>
      <c r="I975" s="1" t="s">
        <v>269</v>
      </c>
      <c r="J975" s="1" t="s">
        <v>319</v>
      </c>
      <c r="K975" s="1" t="s">
        <v>652</v>
      </c>
      <c r="L975" s="1" t="s">
        <v>2008</v>
      </c>
      <c r="M975" s="1" t="s">
        <v>289</v>
      </c>
      <c r="N975" s="1" t="s">
        <v>253</v>
      </c>
      <c r="O975" s="1" t="s">
        <v>827</v>
      </c>
      <c r="P975" s="1" t="str">
        <f>_xlfn.CONCAT(B975,C975,D975,E975,F975)</f>
        <v>BC Varjao2.2215KTL-H0(MBUS-14)46041,703472222246041,703472222246041,7083333333</v>
      </c>
      <c r="Q975" s="1" t="str">
        <f>_xlfn.CONCAT(H975,I975,J975)</f>
        <v>LIGRFOCOM</v>
      </c>
    </row>
    <row r="976" spans="2:17">
      <c r="B976" s="1" t="s">
        <v>339</v>
      </c>
      <c r="C976" s="1" t="s">
        <v>337</v>
      </c>
      <c r="D976" s="52">
        <v>46041.703472222223</v>
      </c>
      <c r="E976" s="52">
        <v>46041.703472222223</v>
      </c>
      <c r="F976" s="52">
        <v>46041.708333333336</v>
      </c>
      <c r="G976" s="53">
        <f>F976-E976</f>
        <v>4.8611111124046147E-3</v>
      </c>
      <c r="H976" s="1" t="s">
        <v>268</v>
      </c>
      <c r="I976" s="1" t="s">
        <v>269</v>
      </c>
      <c r="J976" s="1" t="s">
        <v>319</v>
      </c>
      <c r="K976" s="1" t="s">
        <v>652</v>
      </c>
      <c r="L976" s="1" t="s">
        <v>2008</v>
      </c>
      <c r="M976" s="1" t="s">
        <v>289</v>
      </c>
      <c r="N976" s="1" t="s">
        <v>253</v>
      </c>
      <c r="O976" s="1" t="s">
        <v>827</v>
      </c>
      <c r="P976" s="1" t="str">
        <f>_xlfn.CONCAT(B976,C976,D976,E976,F976)</f>
        <v>BC Varjao2.2215KTL-H0(MBUS-15)46041,703472222246041,703472222246041,7083333333</v>
      </c>
      <c r="Q976" s="1" t="str">
        <f>_xlfn.CONCAT(H976,I976,J976)</f>
        <v>LIGRFOCOM</v>
      </c>
    </row>
    <row r="977" spans="2:17">
      <c r="B977" s="1" t="s">
        <v>339</v>
      </c>
      <c r="C977" s="1" t="s">
        <v>338</v>
      </c>
      <c r="D977" s="52">
        <v>46041.703472222223</v>
      </c>
      <c r="E977" s="52">
        <v>46041.703472222223</v>
      </c>
      <c r="F977" s="52">
        <v>46041.708333333336</v>
      </c>
      <c r="G977" s="53">
        <f>F977-E977</f>
        <v>4.8611111124046147E-3</v>
      </c>
      <c r="H977" s="1" t="s">
        <v>268</v>
      </c>
      <c r="I977" s="1" t="s">
        <v>269</v>
      </c>
      <c r="J977" s="1" t="s">
        <v>319</v>
      </c>
      <c r="K977" s="1" t="s">
        <v>652</v>
      </c>
      <c r="L977" s="1" t="s">
        <v>2008</v>
      </c>
      <c r="M977" s="1" t="s">
        <v>289</v>
      </c>
      <c r="N977" s="1" t="s">
        <v>253</v>
      </c>
      <c r="O977" s="1" t="s">
        <v>827</v>
      </c>
      <c r="P977" s="1" t="str">
        <f>_xlfn.CONCAT(B977,C977,D977,E977,F977)</f>
        <v>BC Varjao2.2215KTL-H0(MBUS-16)46041,703472222246041,703472222246041,7083333333</v>
      </c>
      <c r="Q977" s="1" t="str">
        <f>_xlfn.CONCAT(H977,I977,J977)</f>
        <v>LIGRFOCOM</v>
      </c>
    </row>
    <row r="978" spans="2:17">
      <c r="B978" s="1" t="s">
        <v>339</v>
      </c>
      <c r="C978" s="1" t="s">
        <v>332</v>
      </c>
      <c r="D978" s="52">
        <v>46041.703472222223</v>
      </c>
      <c r="E978" s="52">
        <v>46041.703472222223</v>
      </c>
      <c r="F978" s="52">
        <v>46041.708333333336</v>
      </c>
      <c r="G978" s="53">
        <f>F978-E978</f>
        <v>4.8611111124046147E-3</v>
      </c>
      <c r="H978" s="1" t="s">
        <v>268</v>
      </c>
      <c r="I978" s="1" t="s">
        <v>269</v>
      </c>
      <c r="J978" s="1" t="s">
        <v>319</v>
      </c>
      <c r="K978" s="1" t="s">
        <v>652</v>
      </c>
      <c r="L978" s="1" t="s">
        <v>2008</v>
      </c>
      <c r="M978" s="1" t="s">
        <v>289</v>
      </c>
      <c r="N978" s="1" t="s">
        <v>253</v>
      </c>
      <c r="O978" s="1" t="s">
        <v>827</v>
      </c>
      <c r="P978" s="1" t="str">
        <f>_xlfn.CONCAT(B978,C978,D978,E978,F978)</f>
        <v>BC Varjao2.2215KTL-H0(MBUS-12)46041,703472222246041,703472222246041,7083333333</v>
      </c>
      <c r="Q978" s="1" t="str">
        <f>_xlfn.CONCAT(H978,I978,J978)</f>
        <v>LIGRFOCOM</v>
      </c>
    </row>
    <row r="979" spans="2:17">
      <c r="B979" s="1" t="s">
        <v>321</v>
      </c>
      <c r="C979" s="1" t="s">
        <v>322</v>
      </c>
      <c r="D979" s="52">
        <v>46042.017361111109</v>
      </c>
      <c r="E979" s="52">
        <v>46042.017361111109</v>
      </c>
      <c r="F979" s="52">
        <v>46042.263194444444</v>
      </c>
      <c r="G979" s="53">
        <f>F979-E979</f>
        <v>0.24583333333430346</v>
      </c>
      <c r="H979" s="1" t="s">
        <v>257</v>
      </c>
      <c r="J979" s="1" t="s">
        <v>258</v>
      </c>
      <c r="K979" s="1" t="s">
        <v>658</v>
      </c>
      <c r="L979" s="1" t="s">
        <v>541</v>
      </c>
      <c r="M979" s="1" t="s">
        <v>260</v>
      </c>
      <c r="N979" s="1" t="s">
        <v>261</v>
      </c>
      <c r="O979" s="1" t="s">
        <v>826</v>
      </c>
      <c r="P979" s="1" t="str">
        <f>_xlfn.CONCAT(B979,C979,D979,E979,F979)</f>
        <v>BC Aracu4SG75CX(COM1-018)_001_01846042,017361111146042,017361111146042,2631944444</v>
      </c>
      <c r="Q979" s="1" t="str">
        <f>_xlfn.CONCAT(H979,I979,J979)</f>
        <v>DAURDE</v>
      </c>
    </row>
    <row r="980" spans="2:17">
      <c r="B980" s="1" t="s">
        <v>321</v>
      </c>
      <c r="C980" s="1" t="s">
        <v>324</v>
      </c>
      <c r="D980" s="52">
        <v>46042.017361111109</v>
      </c>
      <c r="E980" s="52">
        <v>46042.017361111109</v>
      </c>
      <c r="F980" s="52">
        <v>46042.263194444444</v>
      </c>
      <c r="G980" s="53">
        <f>F980-E980</f>
        <v>0.24583333333430346</v>
      </c>
      <c r="H980" s="1" t="s">
        <v>257</v>
      </c>
      <c r="J980" s="1" t="s">
        <v>258</v>
      </c>
      <c r="K980" s="1" t="s">
        <v>658</v>
      </c>
      <c r="L980" s="1" t="s">
        <v>541</v>
      </c>
      <c r="M980" s="1" t="s">
        <v>260</v>
      </c>
      <c r="N980" s="1" t="s">
        <v>261</v>
      </c>
      <c r="O980" s="1" t="s">
        <v>826</v>
      </c>
      <c r="P980" s="1" t="str">
        <f>_xlfn.CONCAT(B980,C980,D980,E980,F980)</f>
        <v>BC Aracu4SG75CX(COM1-019)_001_01946042,017361111146042,017361111146042,2631944444</v>
      </c>
      <c r="Q980" s="1" t="str">
        <f>_xlfn.CONCAT(H980,I980,J980)</f>
        <v>DAURDE</v>
      </c>
    </row>
    <row r="981" spans="2:17">
      <c r="B981" s="1" t="s">
        <v>321</v>
      </c>
      <c r="C981" s="1" t="s">
        <v>325</v>
      </c>
      <c r="D981" s="52">
        <v>46042.017361111109</v>
      </c>
      <c r="E981" s="52">
        <v>46042.017361111109</v>
      </c>
      <c r="F981" s="52">
        <v>46042.263194444444</v>
      </c>
      <c r="G981" s="53">
        <f>F981-E981</f>
        <v>0.24583333333430346</v>
      </c>
      <c r="H981" s="1" t="s">
        <v>257</v>
      </c>
      <c r="J981" s="1" t="s">
        <v>258</v>
      </c>
      <c r="K981" s="1" t="s">
        <v>658</v>
      </c>
      <c r="L981" s="1" t="s">
        <v>541</v>
      </c>
      <c r="M981" s="1" t="s">
        <v>260</v>
      </c>
      <c r="N981" s="1" t="s">
        <v>261</v>
      </c>
      <c r="O981" s="1" t="s">
        <v>826</v>
      </c>
      <c r="P981" s="1" t="str">
        <f>_xlfn.CONCAT(B981,C981,D981,E981,F981)</f>
        <v>BC Aracu4SG75CX(COM1-020)_001_02046042,017361111146042,017361111146042,2631944444</v>
      </c>
      <c r="Q981" s="1" t="str">
        <f>_xlfn.CONCAT(H981,I981,J981)</f>
        <v>DAURDE</v>
      </c>
    </row>
    <row r="982" spans="2:17">
      <c r="B982" s="1" t="s">
        <v>321</v>
      </c>
      <c r="C982" s="1" t="s">
        <v>326</v>
      </c>
      <c r="D982" s="52">
        <v>46042.017361111109</v>
      </c>
      <c r="E982" s="52">
        <v>46042.017361111109</v>
      </c>
      <c r="F982" s="52">
        <v>46042.263194444444</v>
      </c>
      <c r="G982" s="53">
        <f>F982-E982</f>
        <v>0.24583333333430346</v>
      </c>
      <c r="H982" s="1" t="s">
        <v>257</v>
      </c>
      <c r="J982" s="1" t="s">
        <v>258</v>
      </c>
      <c r="K982" s="1" t="s">
        <v>658</v>
      </c>
      <c r="L982" s="1" t="s">
        <v>541</v>
      </c>
      <c r="M982" s="1" t="s">
        <v>260</v>
      </c>
      <c r="N982" s="1" t="s">
        <v>261</v>
      </c>
      <c r="O982" s="1" t="s">
        <v>826</v>
      </c>
      <c r="P982" s="1" t="str">
        <f>_xlfn.CONCAT(B982,C982,D982,E982,F982)</f>
        <v>BC Aracu4SG75CX(COM1-021)_001_02146042,017361111146042,017361111146042,2631944444</v>
      </c>
      <c r="Q982" s="1" t="str">
        <f>_xlfn.CONCAT(H982,I982,J982)</f>
        <v>DAURDE</v>
      </c>
    </row>
    <row r="983" spans="2:17">
      <c r="B983" s="1" t="s">
        <v>327</v>
      </c>
      <c r="C983" s="1" t="s">
        <v>247</v>
      </c>
      <c r="D983" s="52">
        <v>46042.017361111109</v>
      </c>
      <c r="E983" s="52">
        <v>46042.017361111109</v>
      </c>
      <c r="F983" s="52">
        <v>46042.263194444444</v>
      </c>
      <c r="G983" s="53">
        <f>F983-E983</f>
        <v>0.24583333333430346</v>
      </c>
      <c r="H983" s="1" t="s">
        <v>257</v>
      </c>
      <c r="J983" s="1" t="s">
        <v>258</v>
      </c>
      <c r="K983" s="1" t="s">
        <v>658</v>
      </c>
      <c r="L983" s="1" t="s">
        <v>541</v>
      </c>
      <c r="M983" s="1" t="s">
        <v>260</v>
      </c>
      <c r="N983" s="1" t="s">
        <v>261</v>
      </c>
      <c r="O983" s="1" t="s">
        <v>826</v>
      </c>
      <c r="P983" s="1" t="str">
        <f>_xlfn.CONCAT(B983,C983,D983,E983,F983)</f>
        <v>BC Aracu5.1Inverter(MBUS-1)46042,017361111146042,017361111146042,2631944444</v>
      </c>
      <c r="Q983" s="1" t="str">
        <f>_xlfn.CONCAT(H983,I983,J983)</f>
        <v>DAURDE</v>
      </c>
    </row>
    <row r="984" spans="2:17">
      <c r="B984" s="1" t="s">
        <v>246</v>
      </c>
      <c r="C984" s="1" t="s">
        <v>247</v>
      </c>
      <c r="D984" s="52">
        <v>46042.017361111109</v>
      </c>
      <c r="E984" s="52">
        <v>46042.017361111109</v>
      </c>
      <c r="F984" s="52">
        <v>46042.263194444444</v>
      </c>
      <c r="G984" s="53">
        <f>F984-E984</f>
        <v>0.24583333333430346</v>
      </c>
      <c r="H984" s="1" t="s">
        <v>257</v>
      </c>
      <c r="J984" s="1" t="s">
        <v>258</v>
      </c>
      <c r="K984" s="1" t="s">
        <v>658</v>
      </c>
      <c r="L984" s="1" t="s">
        <v>541</v>
      </c>
      <c r="M984" s="1" t="s">
        <v>260</v>
      </c>
      <c r="N984" s="1" t="s">
        <v>261</v>
      </c>
      <c r="O984" s="1" t="s">
        <v>826</v>
      </c>
      <c r="P984" s="1" t="str">
        <f>_xlfn.CONCAT(B984,C984,D984,E984,F984)</f>
        <v>BC Aracu5.2Inverter(MBUS-1)46042,017361111146042,017361111146042,2631944444</v>
      </c>
      <c r="Q984" s="1" t="str">
        <f>_xlfn.CONCAT(H984,I984,J984)</f>
        <v>DAURDE</v>
      </c>
    </row>
    <row r="985" spans="2:17">
      <c r="B985" s="1" t="s">
        <v>328</v>
      </c>
      <c r="C985" s="1" t="s">
        <v>247</v>
      </c>
      <c r="D985" s="52">
        <v>46042.017361111109</v>
      </c>
      <c r="E985" s="52">
        <v>46042.017361111109</v>
      </c>
      <c r="F985" s="52">
        <v>46042.263194444444</v>
      </c>
      <c r="G985" s="53">
        <f>F985-E985</f>
        <v>0.24583333333430346</v>
      </c>
      <c r="H985" s="1" t="s">
        <v>257</v>
      </c>
      <c r="J985" s="1" t="s">
        <v>258</v>
      </c>
      <c r="K985" s="1" t="s">
        <v>658</v>
      </c>
      <c r="L985" s="1" t="s">
        <v>541</v>
      </c>
      <c r="M985" s="1" t="s">
        <v>260</v>
      </c>
      <c r="N985" s="1" t="s">
        <v>261</v>
      </c>
      <c r="O985" s="1" t="s">
        <v>826</v>
      </c>
      <c r="P985" s="1" t="str">
        <f>_xlfn.CONCAT(B985,C985,D985,E985,F985)</f>
        <v>BC Aracu5.3Inverter(MBUS-1)46042,017361111146042,017361111146042,2631944444</v>
      </c>
      <c r="Q985" s="1" t="str">
        <f>_xlfn.CONCAT(H985,I985,J985)</f>
        <v>DAURDE</v>
      </c>
    </row>
    <row r="986" spans="2:17">
      <c r="B986" s="1" t="s">
        <v>329</v>
      </c>
      <c r="C986" s="1" t="s">
        <v>247</v>
      </c>
      <c r="D986" s="52">
        <v>46042.017361111109</v>
      </c>
      <c r="E986" s="52">
        <v>46042.017361111109</v>
      </c>
      <c r="F986" s="52">
        <v>46042.263194444444</v>
      </c>
      <c r="G986" s="53">
        <f>F986-E986</f>
        <v>0.24583333333430346</v>
      </c>
      <c r="H986" s="1" t="s">
        <v>257</v>
      </c>
      <c r="J986" s="1" t="s">
        <v>258</v>
      </c>
      <c r="K986" s="1" t="s">
        <v>658</v>
      </c>
      <c r="L986" s="1" t="s">
        <v>541</v>
      </c>
      <c r="M986" s="1" t="s">
        <v>260</v>
      </c>
      <c r="N986" s="1" t="s">
        <v>261</v>
      </c>
      <c r="O986" s="1" t="s">
        <v>826</v>
      </c>
      <c r="P986" s="1" t="str">
        <f>_xlfn.CONCAT(B986,C986,D986,E986,F986)</f>
        <v>BC Aracu5.4Inverter(MBUS-1)46042,017361111146042,017361111146042,2631944444</v>
      </c>
      <c r="Q986" s="1" t="str">
        <f>_xlfn.CONCAT(H986,I986,J986)</f>
        <v>DAURDE</v>
      </c>
    </row>
    <row r="987" spans="2:17">
      <c r="B987" s="1" t="s">
        <v>330</v>
      </c>
      <c r="C987" s="1" t="s">
        <v>247</v>
      </c>
      <c r="D987" s="52">
        <v>46042.017361111109</v>
      </c>
      <c r="E987" s="52">
        <v>46042.017361111109</v>
      </c>
      <c r="F987" s="52">
        <v>46042.263194444444</v>
      </c>
      <c r="G987" s="53">
        <f>F987-E987</f>
        <v>0.24583333333430346</v>
      </c>
      <c r="H987" s="1" t="s">
        <v>257</v>
      </c>
      <c r="J987" s="1" t="s">
        <v>258</v>
      </c>
      <c r="K987" s="1" t="s">
        <v>658</v>
      </c>
      <c r="L987" s="1" t="s">
        <v>541</v>
      </c>
      <c r="M987" s="1" t="s">
        <v>260</v>
      </c>
      <c r="N987" s="1" t="s">
        <v>261</v>
      </c>
      <c r="O987" s="1" t="s">
        <v>826</v>
      </c>
      <c r="P987" s="1" t="str">
        <f>_xlfn.CONCAT(B987,C987,D987,E987,F987)</f>
        <v>BC Aracu5.5Inverter(MBUS-1)46042,017361111146042,017361111146042,2631944444</v>
      </c>
      <c r="Q987" s="1" t="str">
        <f>_xlfn.CONCAT(H987,I987,J987)</f>
        <v>DAURDE</v>
      </c>
    </row>
    <row r="988" spans="2:17">
      <c r="B988" s="1" t="s">
        <v>368</v>
      </c>
      <c r="C988" s="1" t="s">
        <v>256</v>
      </c>
      <c r="D988" s="52">
        <v>46042.149305555555</v>
      </c>
      <c r="E988" s="52">
        <v>46042.149305555555</v>
      </c>
      <c r="F988" s="52">
        <v>46042.289583333331</v>
      </c>
      <c r="G988" s="53">
        <f>F988-E988</f>
        <v>0.14027777777664596</v>
      </c>
      <c r="H988" s="1" t="s">
        <v>257</v>
      </c>
      <c r="J988" s="1" t="s">
        <v>258</v>
      </c>
      <c r="K988" s="1" t="s">
        <v>658</v>
      </c>
      <c r="L988" s="1" t="s">
        <v>1955</v>
      </c>
      <c r="M988" s="1" t="s">
        <v>260</v>
      </c>
      <c r="N988" s="1" t="s">
        <v>261</v>
      </c>
      <c r="O988" s="1" t="s">
        <v>826</v>
      </c>
      <c r="P988" s="1" t="str">
        <f>_xlfn.CONCAT(B988,C988,D988,E988,F988)</f>
        <v>BC Ibiuna 1.1Inverter(MBUS-12)46042,149305555646042,149305555646042,2895833333</v>
      </c>
      <c r="Q988" s="1" t="str">
        <f>_xlfn.CONCAT(H988,I988,J988)</f>
        <v>DAURDE</v>
      </c>
    </row>
    <row r="989" spans="2:17">
      <c r="B989" s="1" t="s">
        <v>368</v>
      </c>
      <c r="C989" s="1" t="s">
        <v>264</v>
      </c>
      <c r="D989" s="52">
        <v>46042.149305555555</v>
      </c>
      <c r="E989" s="52">
        <v>46042.149305555555</v>
      </c>
      <c r="F989" s="52">
        <v>46042.289583333331</v>
      </c>
      <c r="G989" s="53">
        <f>F989-E989</f>
        <v>0.14027777777664596</v>
      </c>
      <c r="H989" s="1" t="s">
        <v>257</v>
      </c>
      <c r="J989" s="1" t="s">
        <v>258</v>
      </c>
      <c r="K989" s="1" t="s">
        <v>658</v>
      </c>
      <c r="L989" s="1" t="s">
        <v>1955</v>
      </c>
      <c r="M989" s="1" t="s">
        <v>260</v>
      </c>
      <c r="N989" s="1" t="s">
        <v>261</v>
      </c>
      <c r="O989" s="1" t="s">
        <v>826</v>
      </c>
      <c r="P989" s="1" t="str">
        <f>_xlfn.CONCAT(B989,C989,D989,E989,F989)</f>
        <v>BC Ibiuna 1.1Inverter(MBUS-13)46042,149305555646042,149305555646042,2895833333</v>
      </c>
      <c r="Q989" s="1" t="str">
        <f>_xlfn.CONCAT(H989,I989,J989)</f>
        <v>DAURDE</v>
      </c>
    </row>
    <row r="990" spans="2:17">
      <c r="B990" s="1" t="s">
        <v>368</v>
      </c>
      <c r="C990" s="1" t="s">
        <v>263</v>
      </c>
      <c r="D990" s="52">
        <v>46042.149305555555</v>
      </c>
      <c r="E990" s="52">
        <v>46042.149305555555</v>
      </c>
      <c r="F990" s="52">
        <v>46042.289583333331</v>
      </c>
      <c r="G990" s="53">
        <f>F990-E990</f>
        <v>0.14027777777664596</v>
      </c>
      <c r="H990" s="1" t="s">
        <v>257</v>
      </c>
      <c r="J990" s="1" t="s">
        <v>258</v>
      </c>
      <c r="K990" s="1" t="s">
        <v>658</v>
      </c>
      <c r="L990" s="1" t="s">
        <v>1955</v>
      </c>
      <c r="M990" s="1" t="s">
        <v>260</v>
      </c>
      <c r="N990" s="1" t="s">
        <v>261</v>
      </c>
      <c r="O990" s="1" t="s">
        <v>826</v>
      </c>
      <c r="P990" s="1" t="str">
        <f>_xlfn.CONCAT(B990,C990,D990,E990,F990)</f>
        <v>BC Ibiuna 1.1Inverter(MBUS-14)46042,149305555646042,149305555646042,2895833333</v>
      </c>
      <c r="Q990" s="1" t="str">
        <f>_xlfn.CONCAT(H990,I990,J990)</f>
        <v>DAURDE</v>
      </c>
    </row>
    <row r="991" spans="2:17">
      <c r="B991" s="1" t="s">
        <v>368</v>
      </c>
      <c r="C991" s="1" t="s">
        <v>307</v>
      </c>
      <c r="D991" s="52">
        <v>46042.149305555555</v>
      </c>
      <c r="E991" s="52">
        <v>46042.149305555555</v>
      </c>
      <c r="F991" s="52">
        <v>46042.289583333331</v>
      </c>
      <c r="G991" s="53">
        <f>F991-E991</f>
        <v>0.14027777777664596</v>
      </c>
      <c r="H991" s="1" t="s">
        <v>257</v>
      </c>
      <c r="J991" s="1" t="s">
        <v>258</v>
      </c>
      <c r="K991" s="1" t="s">
        <v>658</v>
      </c>
      <c r="L991" s="1" t="s">
        <v>1955</v>
      </c>
      <c r="M991" s="1" t="s">
        <v>260</v>
      </c>
      <c r="N991" s="1" t="s">
        <v>261</v>
      </c>
      <c r="O991" s="1" t="s">
        <v>826</v>
      </c>
      <c r="P991" s="1" t="str">
        <f>_xlfn.CONCAT(B991,C991,D991,E991,F991)</f>
        <v>BC Ibiuna 1.1Inverter(MBUS-15)46042,149305555646042,149305555646042,2895833333</v>
      </c>
      <c r="Q991" s="1" t="str">
        <f>_xlfn.CONCAT(H991,I991,J991)</f>
        <v>DAURDE</v>
      </c>
    </row>
    <row r="992" spans="2:17">
      <c r="B992" s="1" t="s">
        <v>265</v>
      </c>
      <c r="C992" s="1" t="s">
        <v>263</v>
      </c>
      <c r="D992" s="52">
        <v>46042.284722222219</v>
      </c>
      <c r="E992" s="52">
        <v>46042.284722222219</v>
      </c>
      <c r="F992" s="52">
        <v>46042.416666666664</v>
      </c>
      <c r="G992" s="53">
        <f>F992-E992</f>
        <v>0.13194444444525288</v>
      </c>
      <c r="H992" s="1" t="s">
        <v>677</v>
      </c>
      <c r="J992" s="1" t="s">
        <v>371</v>
      </c>
      <c r="K992" s="1" t="s">
        <v>653</v>
      </c>
      <c r="L992" s="1" t="s">
        <v>2009</v>
      </c>
      <c r="M992" s="1" t="s">
        <v>252</v>
      </c>
      <c r="N992" s="1" t="s">
        <v>253</v>
      </c>
      <c r="O992" s="1" t="s">
        <v>829</v>
      </c>
      <c r="P992" s="1" t="str">
        <f>_xlfn.CONCAT(B992,C992,D992,E992,F992)</f>
        <v>BC Formoso2.2Inverter(MBUS-14)46042,284722222246042,284722222246042,4166666667</v>
      </c>
      <c r="Q992" s="1" t="str">
        <f>_xlfn.CONCAT(H992,I992,J992)</f>
        <v>DPRINV</v>
      </c>
    </row>
    <row r="993" spans="2:17">
      <c r="B993" s="1" t="s">
        <v>327</v>
      </c>
      <c r="C993" s="1" t="s">
        <v>247</v>
      </c>
      <c r="D993" s="52">
        <v>46042.46875</v>
      </c>
      <c r="E993" s="52">
        <v>46042.46875</v>
      </c>
      <c r="F993" s="52">
        <v>46042.487500000003</v>
      </c>
      <c r="G993" s="53">
        <f>F993-E993</f>
        <v>1.8750000002910383E-2</v>
      </c>
      <c r="H993" s="1" t="s">
        <v>257</v>
      </c>
      <c r="J993" s="1" t="s">
        <v>258</v>
      </c>
      <c r="K993" s="1" t="s">
        <v>658</v>
      </c>
      <c r="L993" s="1" t="s">
        <v>541</v>
      </c>
      <c r="M993" s="1" t="s">
        <v>260</v>
      </c>
      <c r="N993" s="1" t="s">
        <v>261</v>
      </c>
      <c r="O993" s="1" t="s">
        <v>826</v>
      </c>
      <c r="P993" s="1" t="str">
        <f>_xlfn.CONCAT(B993,C993,D993,E993,F993)</f>
        <v>BC Aracu5.1Inverter(MBUS-1)46042,4687546042,4687546042,4875</v>
      </c>
      <c r="Q993" s="1" t="str">
        <f>_xlfn.CONCAT(H993,I993,J993)</f>
        <v>DAURDE</v>
      </c>
    </row>
    <row r="994" spans="2:17">
      <c r="B994" s="1" t="s">
        <v>246</v>
      </c>
      <c r="C994" s="1" t="s">
        <v>247</v>
      </c>
      <c r="D994" s="52">
        <v>46042.46875</v>
      </c>
      <c r="E994" s="52">
        <v>46042.46875</v>
      </c>
      <c r="F994" s="52">
        <v>46042.487500000003</v>
      </c>
      <c r="G994" s="53">
        <f>F994-E994</f>
        <v>1.8750000002910383E-2</v>
      </c>
      <c r="H994" s="1" t="s">
        <v>257</v>
      </c>
      <c r="J994" s="1" t="s">
        <v>258</v>
      </c>
      <c r="K994" s="1" t="s">
        <v>658</v>
      </c>
      <c r="L994" s="1" t="s">
        <v>541</v>
      </c>
      <c r="M994" s="1" t="s">
        <v>260</v>
      </c>
      <c r="N994" s="1" t="s">
        <v>261</v>
      </c>
      <c r="O994" s="1" t="s">
        <v>826</v>
      </c>
      <c r="P994" s="1" t="str">
        <f>_xlfn.CONCAT(B994,C994,D994,E994,F994)</f>
        <v>BC Aracu5.2Inverter(MBUS-1)46042,4687546042,4687546042,4875</v>
      </c>
      <c r="Q994" s="1" t="str">
        <f>_xlfn.CONCAT(H994,I994,J994)</f>
        <v>DAURDE</v>
      </c>
    </row>
    <row r="995" spans="2:17">
      <c r="B995" s="1" t="s">
        <v>328</v>
      </c>
      <c r="C995" s="1" t="s">
        <v>247</v>
      </c>
      <c r="D995" s="52">
        <v>46042.46875</v>
      </c>
      <c r="E995" s="52">
        <v>46042.46875</v>
      </c>
      <c r="F995" s="52">
        <v>46042.487500000003</v>
      </c>
      <c r="G995" s="53">
        <f>F995-E995</f>
        <v>1.8750000002910383E-2</v>
      </c>
      <c r="H995" s="1" t="s">
        <v>257</v>
      </c>
      <c r="J995" s="1" t="s">
        <v>258</v>
      </c>
      <c r="K995" s="1" t="s">
        <v>658</v>
      </c>
      <c r="L995" s="1" t="s">
        <v>541</v>
      </c>
      <c r="M995" s="1" t="s">
        <v>260</v>
      </c>
      <c r="N995" s="1" t="s">
        <v>261</v>
      </c>
      <c r="O995" s="1" t="s">
        <v>826</v>
      </c>
      <c r="P995" s="1" t="str">
        <f>_xlfn.CONCAT(B995,C995,D995,E995,F995)</f>
        <v>BC Aracu5.3Inverter(MBUS-1)46042,4687546042,4687546042,4875</v>
      </c>
      <c r="Q995" s="1" t="str">
        <f>_xlfn.CONCAT(H995,I995,J995)</f>
        <v>DAURDE</v>
      </c>
    </row>
    <row r="996" spans="2:17">
      <c r="B996" s="1" t="s">
        <v>329</v>
      </c>
      <c r="C996" s="1" t="s">
        <v>247</v>
      </c>
      <c r="D996" s="52">
        <v>46042.46875</v>
      </c>
      <c r="E996" s="52">
        <v>46042.46875</v>
      </c>
      <c r="F996" s="52">
        <v>46042.487500000003</v>
      </c>
      <c r="G996" s="53">
        <f>F996-E996</f>
        <v>1.8750000002910383E-2</v>
      </c>
      <c r="H996" s="1" t="s">
        <v>257</v>
      </c>
      <c r="J996" s="1" t="s">
        <v>258</v>
      </c>
      <c r="K996" s="1" t="s">
        <v>658</v>
      </c>
      <c r="L996" s="1" t="s">
        <v>541</v>
      </c>
      <c r="M996" s="1" t="s">
        <v>260</v>
      </c>
      <c r="N996" s="1" t="s">
        <v>261</v>
      </c>
      <c r="O996" s="1" t="s">
        <v>826</v>
      </c>
      <c r="P996" s="1" t="str">
        <f>_xlfn.CONCAT(B996,C996,D996,E996,F996)</f>
        <v>BC Aracu5.4Inverter(MBUS-1)46042,4687546042,4687546042,4875</v>
      </c>
      <c r="Q996" s="1" t="str">
        <f>_xlfn.CONCAT(H996,I996,J996)</f>
        <v>DAURDE</v>
      </c>
    </row>
    <row r="997" spans="2:17">
      <c r="B997" s="1" t="s">
        <v>330</v>
      </c>
      <c r="C997" s="1" t="s">
        <v>247</v>
      </c>
      <c r="D997" s="52">
        <v>46042.46875</v>
      </c>
      <c r="E997" s="52">
        <v>46042.46875</v>
      </c>
      <c r="F997" s="52">
        <v>46042.487500000003</v>
      </c>
      <c r="G997" s="53">
        <f>F997-E997</f>
        <v>1.8750000002910383E-2</v>
      </c>
      <c r="H997" s="1" t="s">
        <v>257</v>
      </c>
      <c r="J997" s="1" t="s">
        <v>258</v>
      </c>
      <c r="K997" s="1" t="s">
        <v>658</v>
      </c>
      <c r="L997" s="1" t="s">
        <v>541</v>
      </c>
      <c r="M997" s="1" t="s">
        <v>260</v>
      </c>
      <c r="N997" s="1" t="s">
        <v>261</v>
      </c>
      <c r="O997" s="1" t="s">
        <v>826</v>
      </c>
      <c r="P997" s="1" t="str">
        <f>_xlfn.CONCAT(B997,C997,D997,E997,F997)</f>
        <v>BC Aracu5.5Inverter(MBUS-1)46042,4687546042,4687546042,4875</v>
      </c>
      <c r="Q997" s="1" t="str">
        <f>_xlfn.CONCAT(H997,I997,J997)</f>
        <v>DAURDE</v>
      </c>
    </row>
    <row r="998" spans="2:17">
      <c r="B998" s="1" t="s">
        <v>255</v>
      </c>
      <c r="C998" s="1" t="s">
        <v>256</v>
      </c>
      <c r="D998" s="52">
        <v>46042.518055555556</v>
      </c>
      <c r="E998" s="52">
        <v>46042.518055555556</v>
      </c>
      <c r="F998" s="52">
        <v>46042.527777777781</v>
      </c>
      <c r="G998" s="53">
        <f>F998-E998</f>
        <v>9.7222222248092294E-3</v>
      </c>
      <c r="H998" s="1" t="s">
        <v>257</v>
      </c>
      <c r="J998" s="1" t="s">
        <v>258</v>
      </c>
      <c r="K998" s="1" t="s">
        <v>658</v>
      </c>
      <c r="L998" s="1" t="s">
        <v>538</v>
      </c>
      <c r="M998" s="1" t="s">
        <v>260</v>
      </c>
      <c r="N998" s="1" t="s">
        <v>261</v>
      </c>
      <c r="O998" s="1" t="s">
        <v>826</v>
      </c>
      <c r="P998" s="1" t="str">
        <f>_xlfn.CONCAT(B998,C998,D998,E998,F998)</f>
        <v>BC Formoso2.1Inverter(MBUS-12)46042,518055555646042,518055555646042,5277777778</v>
      </c>
      <c r="Q998" s="1" t="str">
        <f>_xlfn.CONCAT(H998,I998,J998)</f>
        <v>DAURDE</v>
      </c>
    </row>
    <row r="999" spans="2:17">
      <c r="B999" s="1" t="s">
        <v>255</v>
      </c>
      <c r="C999" s="1" t="s">
        <v>263</v>
      </c>
      <c r="D999" s="52">
        <v>46042.518055555556</v>
      </c>
      <c r="E999" s="52">
        <v>46042.518055555556</v>
      </c>
      <c r="F999" s="52">
        <v>46042.527777777781</v>
      </c>
      <c r="G999" s="53">
        <f>F999-E999</f>
        <v>9.7222222248092294E-3</v>
      </c>
      <c r="H999" s="1" t="s">
        <v>257</v>
      </c>
      <c r="J999" s="1" t="s">
        <v>258</v>
      </c>
      <c r="K999" s="1" t="s">
        <v>658</v>
      </c>
      <c r="L999" s="1" t="s">
        <v>538</v>
      </c>
      <c r="M999" s="1" t="s">
        <v>260</v>
      </c>
      <c r="N999" s="1" t="s">
        <v>261</v>
      </c>
      <c r="O999" s="1" t="s">
        <v>826</v>
      </c>
      <c r="P999" s="1" t="str">
        <f>_xlfn.CONCAT(B999,C999,D999,E999,F999)</f>
        <v>BC Formoso2.1Inverter(MBUS-14)46042,518055555646042,518055555646042,5277777778</v>
      </c>
      <c r="Q999" s="1" t="str">
        <f>_xlfn.CONCAT(H999,I999,J999)</f>
        <v>DAURDE</v>
      </c>
    </row>
    <row r="1000" spans="2:17">
      <c r="B1000" s="1" t="s">
        <v>255</v>
      </c>
      <c r="C1000" s="1" t="s">
        <v>264</v>
      </c>
      <c r="D1000" s="52">
        <v>46042.518055555556</v>
      </c>
      <c r="E1000" s="52">
        <v>46042.518055555556</v>
      </c>
      <c r="F1000" s="52">
        <v>46042.527777777781</v>
      </c>
      <c r="G1000" s="53">
        <f>F1000-E1000</f>
        <v>9.7222222248092294E-3</v>
      </c>
      <c r="H1000" s="1" t="s">
        <v>257</v>
      </c>
      <c r="J1000" s="1" t="s">
        <v>258</v>
      </c>
      <c r="K1000" s="1" t="s">
        <v>658</v>
      </c>
      <c r="L1000" s="1" t="s">
        <v>538</v>
      </c>
      <c r="M1000" s="1" t="s">
        <v>260</v>
      </c>
      <c r="N1000" s="1" t="s">
        <v>261</v>
      </c>
      <c r="O1000" s="1" t="s">
        <v>826</v>
      </c>
      <c r="P1000" s="1" t="str">
        <f>_xlfn.CONCAT(B1000,C1000,D1000,E1000,F1000)</f>
        <v>BC Formoso2.1Inverter(MBUS-13)46042,518055555646042,518055555646042,5277777778</v>
      </c>
      <c r="Q1000" s="1" t="str">
        <f>_xlfn.CONCAT(H1000,I1000,J1000)</f>
        <v>DAURDE</v>
      </c>
    </row>
    <row r="1001" spans="2:17">
      <c r="B1001" s="1" t="s">
        <v>255</v>
      </c>
      <c r="C1001" s="1" t="s">
        <v>247</v>
      </c>
      <c r="D1001" s="52">
        <v>46042.518055555556</v>
      </c>
      <c r="E1001" s="52">
        <v>46042.518055555556</v>
      </c>
      <c r="F1001" s="52">
        <v>46042.527777777781</v>
      </c>
      <c r="G1001" s="53">
        <f>F1001-E1001</f>
        <v>9.7222222248092294E-3</v>
      </c>
      <c r="H1001" s="1" t="s">
        <v>257</v>
      </c>
      <c r="J1001" s="1" t="s">
        <v>258</v>
      </c>
      <c r="K1001" s="1" t="s">
        <v>658</v>
      </c>
      <c r="L1001" s="1" t="s">
        <v>538</v>
      </c>
      <c r="M1001" s="1" t="s">
        <v>260</v>
      </c>
      <c r="N1001" s="1" t="s">
        <v>261</v>
      </c>
      <c r="O1001" s="1" t="s">
        <v>826</v>
      </c>
      <c r="P1001" s="1" t="str">
        <f>_xlfn.CONCAT(B1001,C1001,D1001,E1001,F1001)</f>
        <v>BC Formoso2.1Inverter(MBUS-1)46042,518055555646042,518055555646042,5277777778</v>
      </c>
      <c r="Q1001" s="1" t="str">
        <f>_xlfn.CONCAT(H1001,I1001,J1001)</f>
        <v>DAURDE</v>
      </c>
    </row>
    <row r="1002" spans="2:17">
      <c r="B1002" s="1" t="s">
        <v>355</v>
      </c>
      <c r="C1002" s="1" t="s">
        <v>264</v>
      </c>
      <c r="D1002" s="52">
        <v>46042.518055555556</v>
      </c>
      <c r="E1002" s="52">
        <v>46042.518055555556</v>
      </c>
      <c r="F1002" s="52">
        <v>46042.527777777781</v>
      </c>
      <c r="G1002" s="53">
        <f>F1002-E1002</f>
        <v>9.7222222248092294E-3</v>
      </c>
      <c r="H1002" s="1" t="s">
        <v>257</v>
      </c>
      <c r="J1002" s="1" t="s">
        <v>258</v>
      </c>
      <c r="K1002" s="1" t="s">
        <v>658</v>
      </c>
      <c r="L1002" s="1" t="s">
        <v>538</v>
      </c>
      <c r="M1002" s="1" t="s">
        <v>260</v>
      </c>
      <c r="N1002" s="1" t="s">
        <v>261</v>
      </c>
      <c r="O1002" s="1" t="s">
        <v>826</v>
      </c>
      <c r="P1002" s="1" t="str">
        <f>_xlfn.CONCAT(B1002,C1002,D1002,E1002,F1002)</f>
        <v>BC Formoso2.3Inverter(MBUS-13)46042,518055555646042,518055555646042,5277777778</v>
      </c>
      <c r="Q1002" s="1" t="str">
        <f>_xlfn.CONCAT(H1002,I1002,J1002)</f>
        <v>DAURDE</v>
      </c>
    </row>
    <row r="1003" spans="2:17">
      <c r="B1003" s="1" t="s">
        <v>355</v>
      </c>
      <c r="C1003" s="1" t="s">
        <v>256</v>
      </c>
      <c r="D1003" s="52">
        <v>46042.518055555556</v>
      </c>
      <c r="E1003" s="52">
        <v>46042.518055555556</v>
      </c>
      <c r="F1003" s="52">
        <v>46042.527777777781</v>
      </c>
      <c r="G1003" s="53">
        <f>F1003-E1003</f>
        <v>9.7222222248092294E-3</v>
      </c>
      <c r="H1003" s="1" t="s">
        <v>257</v>
      </c>
      <c r="J1003" s="1" t="s">
        <v>258</v>
      </c>
      <c r="K1003" s="1" t="s">
        <v>658</v>
      </c>
      <c r="L1003" s="1" t="s">
        <v>538</v>
      </c>
      <c r="M1003" s="1" t="s">
        <v>260</v>
      </c>
      <c r="N1003" s="1" t="s">
        <v>261</v>
      </c>
      <c r="O1003" s="1" t="s">
        <v>826</v>
      </c>
      <c r="P1003" s="1" t="str">
        <f>_xlfn.CONCAT(B1003,C1003,D1003,E1003,F1003)</f>
        <v>BC Formoso2.3Inverter(MBUS-12)46042,518055555646042,518055555646042,5277777778</v>
      </c>
      <c r="Q1003" s="1" t="str">
        <f>_xlfn.CONCAT(H1003,I1003,J1003)</f>
        <v>DAURDE</v>
      </c>
    </row>
    <row r="1004" spans="2:17" ht="45.75">
      <c r="B1004" s="1" t="s">
        <v>305</v>
      </c>
      <c r="C1004" s="1" t="s">
        <v>256</v>
      </c>
      <c r="D1004" s="52">
        <v>46042.536111111112</v>
      </c>
      <c r="E1004" s="52">
        <v>46042.536111111112</v>
      </c>
      <c r="F1004" s="52">
        <v>46042.631944444445</v>
      </c>
      <c r="G1004" s="53">
        <f>F1004-E1004</f>
        <v>9.5833333332848269E-2</v>
      </c>
      <c r="H1004" s="1" t="s">
        <v>257</v>
      </c>
      <c r="J1004" s="1" t="s">
        <v>258</v>
      </c>
      <c r="K1004" s="1" t="s">
        <v>658</v>
      </c>
      <c r="L1004" s="1" t="s">
        <v>2010</v>
      </c>
      <c r="M1004" s="1" t="s">
        <v>260</v>
      </c>
      <c r="N1004" s="1" t="s">
        <v>261</v>
      </c>
      <c r="O1004" s="72" t="s">
        <v>831</v>
      </c>
      <c r="P1004" s="1" t="str">
        <f>_xlfn.CONCAT(B1004,C1004,D1004,E1004,F1004)</f>
        <v>ARAGUATINS 1.1Inverter(MBUS-12)46042,536111111146042,536111111146042,6319444444</v>
      </c>
      <c r="Q1004" s="1" t="str">
        <f>_xlfn.CONCAT(H1004,I1004,J1004)</f>
        <v>DAURDE</v>
      </c>
    </row>
    <row r="1005" spans="2:17" ht="45.75">
      <c r="B1005" s="1" t="s">
        <v>305</v>
      </c>
      <c r="C1005" s="1" t="s">
        <v>264</v>
      </c>
      <c r="D1005" s="52">
        <v>46042.536111111112</v>
      </c>
      <c r="E1005" s="52">
        <v>46042.536111111112</v>
      </c>
      <c r="F1005" s="52">
        <v>46042.631944444445</v>
      </c>
      <c r="G1005" s="53">
        <f>F1005-E1005</f>
        <v>9.5833333332848269E-2</v>
      </c>
      <c r="H1005" s="1" t="s">
        <v>257</v>
      </c>
      <c r="J1005" s="1" t="s">
        <v>258</v>
      </c>
      <c r="K1005" s="1" t="s">
        <v>658</v>
      </c>
      <c r="L1005" s="1" t="s">
        <v>2010</v>
      </c>
      <c r="M1005" s="1" t="s">
        <v>260</v>
      </c>
      <c r="N1005" s="1" t="s">
        <v>261</v>
      </c>
      <c r="O1005" s="72" t="s">
        <v>831</v>
      </c>
      <c r="P1005" s="1" t="str">
        <f>_xlfn.CONCAT(B1005,C1005,D1005,E1005,F1005)</f>
        <v>ARAGUATINS 1.1Inverter(MBUS-13)46042,536111111146042,536111111146042,6319444444</v>
      </c>
      <c r="Q1005" s="1" t="str">
        <f>_xlfn.CONCAT(H1005,I1005,J1005)</f>
        <v>DAURDE</v>
      </c>
    </row>
    <row r="1006" spans="2:17" ht="45.75">
      <c r="B1006" s="1" t="s">
        <v>305</v>
      </c>
      <c r="C1006" s="1" t="s">
        <v>263</v>
      </c>
      <c r="D1006" s="52">
        <v>46042.536111111112</v>
      </c>
      <c r="E1006" s="52">
        <v>46042.536111111112</v>
      </c>
      <c r="F1006" s="52">
        <v>46042.631944444445</v>
      </c>
      <c r="G1006" s="53">
        <f>F1006-E1006</f>
        <v>9.5833333332848269E-2</v>
      </c>
      <c r="H1006" s="1" t="s">
        <v>257</v>
      </c>
      <c r="J1006" s="1" t="s">
        <v>258</v>
      </c>
      <c r="K1006" s="1" t="s">
        <v>658</v>
      </c>
      <c r="L1006" s="1" t="s">
        <v>2010</v>
      </c>
      <c r="M1006" s="1" t="s">
        <v>260</v>
      </c>
      <c r="N1006" s="1" t="s">
        <v>261</v>
      </c>
      <c r="O1006" s="72" t="s">
        <v>831</v>
      </c>
      <c r="P1006" s="1" t="str">
        <f>_xlfn.CONCAT(B1006,C1006,D1006,E1006,F1006)</f>
        <v>ARAGUATINS 1.1Inverter(MBUS-14)46042,536111111146042,536111111146042,6319444444</v>
      </c>
      <c r="Q1006" s="1" t="str">
        <f>_xlfn.CONCAT(H1006,I1006,J1006)</f>
        <v>DAURDE</v>
      </c>
    </row>
    <row r="1007" spans="2:17" ht="45.75">
      <c r="B1007" s="1" t="s">
        <v>305</v>
      </c>
      <c r="C1007" s="1" t="s">
        <v>307</v>
      </c>
      <c r="D1007" s="52">
        <v>46042.536111111112</v>
      </c>
      <c r="E1007" s="52">
        <v>46042.536111111112</v>
      </c>
      <c r="F1007" s="52">
        <v>46042.631944444445</v>
      </c>
      <c r="G1007" s="53">
        <f>F1007-E1007</f>
        <v>9.5833333332848269E-2</v>
      </c>
      <c r="H1007" s="1" t="s">
        <v>257</v>
      </c>
      <c r="J1007" s="1" t="s">
        <v>258</v>
      </c>
      <c r="K1007" s="1" t="s">
        <v>658</v>
      </c>
      <c r="L1007" s="1" t="s">
        <v>2010</v>
      </c>
      <c r="M1007" s="1" t="s">
        <v>260</v>
      </c>
      <c r="N1007" s="1" t="s">
        <v>261</v>
      </c>
      <c r="O1007" s="72" t="s">
        <v>831</v>
      </c>
      <c r="P1007" s="1" t="str">
        <f>_xlfn.CONCAT(B1007,C1007,D1007,E1007,F1007)</f>
        <v>ARAGUATINS 1.1Inverter(MBUS-15)46042,536111111146042,536111111146042,6319444444</v>
      </c>
      <c r="Q1007" s="1" t="str">
        <f>_xlfn.CONCAT(H1007,I1007,J1007)</f>
        <v>DAURDE</v>
      </c>
    </row>
    <row r="1008" spans="2:17" ht="45.75">
      <c r="B1008" s="1" t="s">
        <v>308</v>
      </c>
      <c r="C1008" s="1" t="s">
        <v>256</v>
      </c>
      <c r="D1008" s="52">
        <v>46042.536111111112</v>
      </c>
      <c r="E1008" s="52">
        <v>46042.536111111112</v>
      </c>
      <c r="F1008" s="52">
        <v>46042.631944444445</v>
      </c>
      <c r="G1008" s="53">
        <f>F1008-E1008</f>
        <v>9.5833333332848269E-2</v>
      </c>
      <c r="H1008" s="1" t="s">
        <v>257</v>
      </c>
      <c r="J1008" s="1" t="s">
        <v>258</v>
      </c>
      <c r="K1008" s="1" t="s">
        <v>658</v>
      </c>
      <c r="L1008" s="1" t="s">
        <v>2010</v>
      </c>
      <c r="M1008" s="1" t="s">
        <v>260</v>
      </c>
      <c r="N1008" s="1" t="s">
        <v>261</v>
      </c>
      <c r="O1008" s="72" t="s">
        <v>831</v>
      </c>
      <c r="P1008" s="1" t="str">
        <f>_xlfn.CONCAT(B1008,C1008,D1008,E1008,F1008)</f>
        <v>ARAGUATINS 1.2Inverter(MBUS-12)46042,536111111146042,536111111146042,6319444444</v>
      </c>
      <c r="Q1008" s="1" t="str">
        <f>_xlfn.CONCAT(H1008,I1008,J1008)</f>
        <v>DAURDE</v>
      </c>
    </row>
    <row r="1009" spans="2:17" ht="45.75">
      <c r="B1009" s="1" t="s">
        <v>308</v>
      </c>
      <c r="C1009" s="1" t="s">
        <v>264</v>
      </c>
      <c r="D1009" s="52">
        <v>46042.536111111112</v>
      </c>
      <c r="E1009" s="52">
        <v>46042.536111111112</v>
      </c>
      <c r="F1009" s="52">
        <v>46042.631944444445</v>
      </c>
      <c r="G1009" s="53">
        <f>F1009-E1009</f>
        <v>9.5833333332848269E-2</v>
      </c>
      <c r="H1009" s="1" t="s">
        <v>257</v>
      </c>
      <c r="J1009" s="1" t="s">
        <v>258</v>
      </c>
      <c r="K1009" s="1" t="s">
        <v>658</v>
      </c>
      <c r="L1009" s="1" t="s">
        <v>2010</v>
      </c>
      <c r="M1009" s="1" t="s">
        <v>260</v>
      </c>
      <c r="N1009" s="1" t="s">
        <v>261</v>
      </c>
      <c r="O1009" s="72" t="s">
        <v>831</v>
      </c>
      <c r="P1009" s="1" t="str">
        <f>_xlfn.CONCAT(B1009,C1009,D1009,E1009,F1009)</f>
        <v>ARAGUATINS 1.2Inverter(MBUS-13)46042,536111111146042,536111111146042,6319444444</v>
      </c>
      <c r="Q1009" s="1" t="str">
        <f>_xlfn.CONCAT(H1009,I1009,J1009)</f>
        <v>DAURDE</v>
      </c>
    </row>
    <row r="1010" spans="2:17" ht="45.75">
      <c r="B1010" s="1" t="s">
        <v>308</v>
      </c>
      <c r="C1010" s="1" t="s">
        <v>263</v>
      </c>
      <c r="D1010" s="52">
        <v>46042.536111111112</v>
      </c>
      <c r="E1010" s="52">
        <v>46042.536111111112</v>
      </c>
      <c r="F1010" s="52">
        <v>46042.631944444445</v>
      </c>
      <c r="G1010" s="53">
        <f>F1010-E1010</f>
        <v>9.5833333332848269E-2</v>
      </c>
      <c r="H1010" s="1" t="s">
        <v>257</v>
      </c>
      <c r="J1010" s="1" t="s">
        <v>258</v>
      </c>
      <c r="K1010" s="1" t="s">
        <v>658</v>
      </c>
      <c r="L1010" s="1" t="s">
        <v>2010</v>
      </c>
      <c r="M1010" s="1" t="s">
        <v>260</v>
      </c>
      <c r="N1010" s="1" t="s">
        <v>261</v>
      </c>
      <c r="O1010" s="72" t="s">
        <v>831</v>
      </c>
      <c r="P1010" s="1" t="str">
        <f>_xlfn.CONCAT(B1010,C1010,D1010,E1010,F1010)</f>
        <v>ARAGUATINS 1.2Inverter(MBUS-14)46042,536111111146042,536111111146042,6319444444</v>
      </c>
      <c r="Q1010" s="1" t="str">
        <f>_xlfn.CONCAT(H1010,I1010,J1010)</f>
        <v>DAURDE</v>
      </c>
    </row>
    <row r="1011" spans="2:17" ht="45.75">
      <c r="B1011" s="1" t="s">
        <v>308</v>
      </c>
      <c r="C1011" s="1" t="s">
        <v>307</v>
      </c>
      <c r="D1011" s="52">
        <v>46042.536111111112</v>
      </c>
      <c r="E1011" s="52">
        <v>46042.536111111112</v>
      </c>
      <c r="F1011" s="52">
        <v>46042.631944444445</v>
      </c>
      <c r="G1011" s="53">
        <f>F1011-E1011</f>
        <v>9.5833333332848269E-2</v>
      </c>
      <c r="H1011" s="1" t="s">
        <v>257</v>
      </c>
      <c r="J1011" s="1" t="s">
        <v>258</v>
      </c>
      <c r="K1011" s="1" t="s">
        <v>658</v>
      </c>
      <c r="L1011" s="1" t="s">
        <v>2010</v>
      </c>
      <c r="M1011" s="1" t="s">
        <v>260</v>
      </c>
      <c r="N1011" s="1" t="s">
        <v>261</v>
      </c>
      <c r="O1011" s="72" t="s">
        <v>831</v>
      </c>
      <c r="P1011" s="1" t="str">
        <f>_xlfn.CONCAT(B1011,C1011,D1011,E1011,F1011)</f>
        <v>ARAGUATINS 1.2Inverter(MBUS-15)46042,536111111146042,536111111146042,6319444444</v>
      </c>
      <c r="Q1011" s="1" t="str">
        <f>_xlfn.CONCAT(H1011,I1011,J1011)</f>
        <v>DAURDE</v>
      </c>
    </row>
    <row r="1012" spans="2:17" ht="45.75">
      <c r="B1012" s="1" t="s">
        <v>309</v>
      </c>
      <c r="C1012" s="1" t="s">
        <v>310</v>
      </c>
      <c r="D1012" s="52">
        <v>46042.536111111112</v>
      </c>
      <c r="E1012" s="52">
        <v>46042.536111111112</v>
      </c>
      <c r="F1012" s="52">
        <v>46042.631944444445</v>
      </c>
      <c r="G1012" s="53">
        <f>F1012-E1012</f>
        <v>9.5833333332848269E-2</v>
      </c>
      <c r="H1012" s="1" t="s">
        <v>257</v>
      </c>
      <c r="J1012" s="1" t="s">
        <v>258</v>
      </c>
      <c r="K1012" s="1" t="s">
        <v>658</v>
      </c>
      <c r="L1012" s="1" t="s">
        <v>2010</v>
      </c>
      <c r="M1012" s="1" t="s">
        <v>260</v>
      </c>
      <c r="N1012" s="1" t="s">
        <v>261</v>
      </c>
      <c r="O1012" s="72" t="s">
        <v>831</v>
      </c>
      <c r="P1012" s="1" t="str">
        <f>_xlfn.CONCAT(B1012,C1012,D1012,E1012,F1012)</f>
        <v>ARAGUATINS 1.3Inverter(MBUS-20)46042,536111111146042,536111111146042,6319444444</v>
      </c>
      <c r="Q1012" s="1" t="str">
        <f>_xlfn.CONCAT(H1012,I1012,J1012)</f>
        <v>DAURDE</v>
      </c>
    </row>
    <row r="1013" spans="2:17" ht="45.75">
      <c r="B1013" s="1" t="s">
        <v>309</v>
      </c>
      <c r="C1013" s="1" t="s">
        <v>247</v>
      </c>
      <c r="D1013" s="52">
        <v>46042.536111111112</v>
      </c>
      <c r="E1013" s="52">
        <v>46042.536111111112</v>
      </c>
      <c r="F1013" s="52">
        <v>46042.631944444445</v>
      </c>
      <c r="G1013" s="53">
        <f>F1013-E1013</f>
        <v>9.5833333332848269E-2</v>
      </c>
      <c r="H1013" s="1" t="s">
        <v>257</v>
      </c>
      <c r="J1013" s="1" t="s">
        <v>258</v>
      </c>
      <c r="K1013" s="1" t="s">
        <v>658</v>
      </c>
      <c r="L1013" s="1" t="s">
        <v>2010</v>
      </c>
      <c r="M1013" s="1" t="s">
        <v>260</v>
      </c>
      <c r="N1013" s="1" t="s">
        <v>261</v>
      </c>
      <c r="O1013" s="72" t="s">
        <v>831</v>
      </c>
      <c r="P1013" s="1" t="str">
        <f>_xlfn.CONCAT(B1013,C1013,D1013,E1013,F1013)</f>
        <v>ARAGUATINS 1.3Inverter(MBUS-1)46042,536111111146042,536111111146042,6319444444</v>
      </c>
      <c r="Q1013" s="1" t="str">
        <f>_xlfn.CONCAT(H1013,I1013,J1013)</f>
        <v>DAURDE</v>
      </c>
    </row>
    <row r="1014" spans="2:17" ht="45.75">
      <c r="B1014" s="1" t="s">
        <v>311</v>
      </c>
      <c r="C1014" s="1" t="s">
        <v>256</v>
      </c>
      <c r="D1014" s="52">
        <v>46042.536111111112</v>
      </c>
      <c r="E1014" s="52">
        <v>46042.536111111112</v>
      </c>
      <c r="F1014" s="52">
        <v>46042.631944444445</v>
      </c>
      <c r="G1014" s="53">
        <f>F1014-E1014</f>
        <v>9.5833333332848269E-2</v>
      </c>
      <c r="H1014" s="1" t="s">
        <v>257</v>
      </c>
      <c r="J1014" s="1" t="s">
        <v>258</v>
      </c>
      <c r="K1014" s="1" t="s">
        <v>658</v>
      </c>
      <c r="L1014" s="1" t="s">
        <v>2010</v>
      </c>
      <c r="M1014" s="1" t="s">
        <v>260</v>
      </c>
      <c r="N1014" s="1" t="s">
        <v>261</v>
      </c>
      <c r="O1014" s="72" t="s">
        <v>831</v>
      </c>
      <c r="P1014" s="1" t="str">
        <f>_xlfn.CONCAT(B1014,C1014,D1014,E1014,F1014)</f>
        <v>ARAGUATINS 2.1Inverter(MBUS-12)46042,536111111146042,536111111146042,6319444444</v>
      </c>
      <c r="Q1014" s="1" t="str">
        <f>_xlfn.CONCAT(H1014,I1014,J1014)</f>
        <v>DAURDE</v>
      </c>
    </row>
    <row r="1015" spans="2:17" ht="45.75">
      <c r="B1015" s="1" t="s">
        <v>311</v>
      </c>
      <c r="C1015" s="1" t="s">
        <v>307</v>
      </c>
      <c r="D1015" s="52">
        <v>46042.536111111112</v>
      </c>
      <c r="E1015" s="52">
        <v>46042.536111111112</v>
      </c>
      <c r="F1015" s="52">
        <v>46042.631944444445</v>
      </c>
      <c r="G1015" s="53">
        <f>F1015-E1015</f>
        <v>9.5833333332848269E-2</v>
      </c>
      <c r="H1015" s="1" t="s">
        <v>257</v>
      </c>
      <c r="J1015" s="1" t="s">
        <v>258</v>
      </c>
      <c r="K1015" s="1" t="s">
        <v>658</v>
      </c>
      <c r="L1015" s="1" t="s">
        <v>2010</v>
      </c>
      <c r="M1015" s="1" t="s">
        <v>260</v>
      </c>
      <c r="N1015" s="1" t="s">
        <v>261</v>
      </c>
      <c r="O1015" s="72" t="s">
        <v>831</v>
      </c>
      <c r="P1015" s="1" t="str">
        <f>_xlfn.CONCAT(B1015,C1015,D1015,E1015,F1015)</f>
        <v>ARAGUATINS 2.1Inverter(MBUS-15)46042,536111111146042,536111111146042,6319444444</v>
      </c>
      <c r="Q1015" s="1" t="str">
        <f>_xlfn.CONCAT(H1015,I1015,J1015)</f>
        <v>DAURDE</v>
      </c>
    </row>
    <row r="1016" spans="2:17" ht="45.75">
      <c r="B1016" s="1" t="s">
        <v>311</v>
      </c>
      <c r="C1016" s="1" t="s">
        <v>263</v>
      </c>
      <c r="D1016" s="52">
        <v>46042.536111111112</v>
      </c>
      <c r="E1016" s="52">
        <v>46042.536111111112</v>
      </c>
      <c r="F1016" s="52">
        <v>46042.631944444445</v>
      </c>
      <c r="G1016" s="53">
        <f>F1016-E1016</f>
        <v>9.5833333332848269E-2</v>
      </c>
      <c r="H1016" s="1" t="s">
        <v>257</v>
      </c>
      <c r="J1016" s="1" t="s">
        <v>258</v>
      </c>
      <c r="K1016" s="1" t="s">
        <v>658</v>
      </c>
      <c r="L1016" s="1" t="s">
        <v>2010</v>
      </c>
      <c r="M1016" s="1" t="s">
        <v>260</v>
      </c>
      <c r="N1016" s="1" t="s">
        <v>261</v>
      </c>
      <c r="O1016" s="72" t="s">
        <v>831</v>
      </c>
      <c r="P1016" s="1" t="str">
        <f>_xlfn.CONCAT(B1016,C1016,D1016,E1016,F1016)</f>
        <v>ARAGUATINS 2.1Inverter(MBUS-14)46042,536111111146042,536111111146042,6319444444</v>
      </c>
      <c r="Q1016" s="1" t="str">
        <f>_xlfn.CONCAT(H1016,I1016,J1016)</f>
        <v>DAURDE</v>
      </c>
    </row>
    <row r="1017" spans="2:17" ht="45.75">
      <c r="B1017" s="1" t="s">
        <v>311</v>
      </c>
      <c r="C1017" s="1" t="s">
        <v>247</v>
      </c>
      <c r="D1017" s="52">
        <v>46042.536111111112</v>
      </c>
      <c r="E1017" s="52">
        <v>46042.536111111112</v>
      </c>
      <c r="F1017" s="52">
        <v>46042.631944444445</v>
      </c>
      <c r="G1017" s="53">
        <f>F1017-E1017</f>
        <v>9.5833333332848269E-2</v>
      </c>
      <c r="H1017" s="1" t="s">
        <v>257</v>
      </c>
      <c r="J1017" s="1" t="s">
        <v>258</v>
      </c>
      <c r="K1017" s="1" t="s">
        <v>658</v>
      </c>
      <c r="L1017" s="1" t="s">
        <v>2010</v>
      </c>
      <c r="M1017" s="1" t="s">
        <v>260</v>
      </c>
      <c r="N1017" s="1" t="s">
        <v>261</v>
      </c>
      <c r="O1017" s="72" t="s">
        <v>831</v>
      </c>
      <c r="P1017" s="1" t="str">
        <f>_xlfn.CONCAT(B1017,C1017,D1017,E1017,F1017)</f>
        <v>ARAGUATINS 2.1Inverter(MBUS-1)46042,536111111146042,536111111146042,6319444444</v>
      </c>
      <c r="Q1017" s="1" t="str">
        <f>_xlfn.CONCAT(H1017,I1017,J1017)</f>
        <v>DAURDE</v>
      </c>
    </row>
    <row r="1018" spans="2:17" ht="45.75">
      <c r="B1018" s="1" t="s">
        <v>312</v>
      </c>
      <c r="C1018" s="1" t="s">
        <v>307</v>
      </c>
      <c r="D1018" s="52">
        <v>46042.536111111112</v>
      </c>
      <c r="E1018" s="52">
        <v>46042.536111111112</v>
      </c>
      <c r="F1018" s="52">
        <v>46042.631944444445</v>
      </c>
      <c r="G1018" s="53">
        <f>F1018-E1018</f>
        <v>9.5833333332848269E-2</v>
      </c>
      <c r="H1018" s="1" t="s">
        <v>257</v>
      </c>
      <c r="J1018" s="1" t="s">
        <v>258</v>
      </c>
      <c r="K1018" s="1" t="s">
        <v>658</v>
      </c>
      <c r="L1018" s="1" t="s">
        <v>2010</v>
      </c>
      <c r="M1018" s="1" t="s">
        <v>260</v>
      </c>
      <c r="N1018" s="1" t="s">
        <v>261</v>
      </c>
      <c r="O1018" s="72" t="s">
        <v>831</v>
      </c>
      <c r="P1018" s="1" t="str">
        <f>_xlfn.CONCAT(B1018,C1018,D1018,E1018,F1018)</f>
        <v>ARAGUATINS 2.2Inverter(MBUS-15)46042,536111111146042,536111111146042,6319444444</v>
      </c>
      <c r="Q1018" s="1" t="str">
        <f>_xlfn.CONCAT(H1018,I1018,J1018)</f>
        <v>DAURDE</v>
      </c>
    </row>
    <row r="1019" spans="2:17" ht="45.75">
      <c r="B1019" s="1" t="s">
        <v>312</v>
      </c>
      <c r="C1019" s="1" t="s">
        <v>264</v>
      </c>
      <c r="D1019" s="52">
        <v>46042.536111111112</v>
      </c>
      <c r="E1019" s="52">
        <v>46042.536111111112</v>
      </c>
      <c r="F1019" s="52">
        <v>46042.631944444445</v>
      </c>
      <c r="G1019" s="53">
        <f>F1019-E1019</f>
        <v>9.5833333332848269E-2</v>
      </c>
      <c r="H1019" s="1" t="s">
        <v>257</v>
      </c>
      <c r="J1019" s="1" t="s">
        <v>258</v>
      </c>
      <c r="K1019" s="1" t="s">
        <v>658</v>
      </c>
      <c r="L1019" s="1" t="s">
        <v>2010</v>
      </c>
      <c r="M1019" s="1" t="s">
        <v>260</v>
      </c>
      <c r="N1019" s="1" t="s">
        <v>261</v>
      </c>
      <c r="O1019" s="72" t="s">
        <v>831</v>
      </c>
      <c r="P1019" s="1" t="str">
        <f>_xlfn.CONCAT(B1019,C1019,D1019,E1019,F1019)</f>
        <v>ARAGUATINS 2.2Inverter(MBUS-13)46042,536111111146042,536111111146042,6319444444</v>
      </c>
      <c r="Q1019" s="1" t="str">
        <f>_xlfn.CONCAT(H1019,I1019,J1019)</f>
        <v>DAURDE</v>
      </c>
    </row>
    <row r="1020" spans="2:17" ht="45.75">
      <c r="B1020" s="1" t="s">
        <v>312</v>
      </c>
      <c r="C1020" s="1" t="s">
        <v>263</v>
      </c>
      <c r="D1020" s="52">
        <v>46042.536111111112</v>
      </c>
      <c r="E1020" s="52">
        <v>46042.536111111112</v>
      </c>
      <c r="F1020" s="52">
        <v>46042.631944444445</v>
      </c>
      <c r="G1020" s="53">
        <f>F1020-E1020</f>
        <v>9.5833333332848269E-2</v>
      </c>
      <c r="H1020" s="1" t="s">
        <v>257</v>
      </c>
      <c r="J1020" s="1" t="s">
        <v>258</v>
      </c>
      <c r="K1020" s="1" t="s">
        <v>658</v>
      </c>
      <c r="L1020" s="1" t="s">
        <v>2010</v>
      </c>
      <c r="M1020" s="1" t="s">
        <v>260</v>
      </c>
      <c r="N1020" s="1" t="s">
        <v>261</v>
      </c>
      <c r="O1020" s="72" t="s">
        <v>831</v>
      </c>
      <c r="P1020" s="1" t="str">
        <f>_xlfn.CONCAT(B1020,C1020,D1020,E1020,F1020)</f>
        <v>ARAGUATINS 2.2Inverter(MBUS-14)46042,536111111146042,536111111146042,6319444444</v>
      </c>
      <c r="Q1020" s="1" t="str">
        <f>_xlfn.CONCAT(H1020,I1020,J1020)</f>
        <v>DAURDE</v>
      </c>
    </row>
    <row r="1021" spans="2:17" ht="45.75">
      <c r="B1021" s="1" t="s">
        <v>312</v>
      </c>
      <c r="C1021" s="1" t="s">
        <v>256</v>
      </c>
      <c r="D1021" s="52">
        <v>46042.536111111112</v>
      </c>
      <c r="E1021" s="52">
        <v>46042.536111111112</v>
      </c>
      <c r="F1021" s="52">
        <v>46042.631944444445</v>
      </c>
      <c r="G1021" s="53">
        <f>F1021-E1021</f>
        <v>9.5833333332848269E-2</v>
      </c>
      <c r="H1021" s="1" t="s">
        <v>257</v>
      </c>
      <c r="J1021" s="1" t="s">
        <v>258</v>
      </c>
      <c r="K1021" s="1" t="s">
        <v>658</v>
      </c>
      <c r="L1021" s="1" t="s">
        <v>2010</v>
      </c>
      <c r="M1021" s="1" t="s">
        <v>260</v>
      </c>
      <c r="N1021" s="1" t="s">
        <v>261</v>
      </c>
      <c r="O1021" s="72" t="s">
        <v>831</v>
      </c>
      <c r="P1021" s="1" t="str">
        <f>_xlfn.CONCAT(B1021,C1021,D1021,E1021,F1021)</f>
        <v>ARAGUATINS 2.2Inverter(MBUS-12)46042,536111111146042,536111111146042,6319444444</v>
      </c>
      <c r="Q1021" s="1" t="str">
        <f>_xlfn.CONCAT(H1021,I1021,J1021)</f>
        <v>DAURDE</v>
      </c>
    </row>
    <row r="1022" spans="2:17" ht="45.75">
      <c r="B1022" s="1" t="s">
        <v>313</v>
      </c>
      <c r="C1022" s="1" t="s">
        <v>256</v>
      </c>
      <c r="D1022" s="52">
        <v>46042.536111111112</v>
      </c>
      <c r="E1022" s="52">
        <v>46042.536111111112</v>
      </c>
      <c r="F1022" s="52">
        <v>46042.631944444445</v>
      </c>
      <c r="G1022" s="53">
        <f>F1022-E1022</f>
        <v>9.5833333332848269E-2</v>
      </c>
      <c r="H1022" s="1" t="s">
        <v>257</v>
      </c>
      <c r="J1022" s="1" t="s">
        <v>258</v>
      </c>
      <c r="K1022" s="1" t="s">
        <v>658</v>
      </c>
      <c r="L1022" s="1" t="s">
        <v>2010</v>
      </c>
      <c r="M1022" s="1" t="s">
        <v>260</v>
      </c>
      <c r="N1022" s="1" t="s">
        <v>261</v>
      </c>
      <c r="O1022" s="72" t="s">
        <v>831</v>
      </c>
      <c r="P1022" s="1" t="str">
        <f>_xlfn.CONCAT(B1022,C1022,D1022,E1022,F1022)</f>
        <v>ARAGUATINS 2.3Inverter(MBUS-12)46042,536111111146042,536111111146042,6319444444</v>
      </c>
      <c r="Q1022" s="1" t="str">
        <f>_xlfn.CONCAT(H1022,I1022,J1022)</f>
        <v>DAURDE</v>
      </c>
    </row>
    <row r="1023" spans="2:17" ht="45.75">
      <c r="B1023" s="1" t="s">
        <v>313</v>
      </c>
      <c r="C1023" s="1" t="s">
        <v>264</v>
      </c>
      <c r="D1023" s="52">
        <v>46042.536111111112</v>
      </c>
      <c r="E1023" s="52">
        <v>46042.536111111112</v>
      </c>
      <c r="F1023" s="52">
        <v>46042.631944444445</v>
      </c>
      <c r="G1023" s="53">
        <f>F1023-E1023</f>
        <v>9.5833333332848269E-2</v>
      </c>
      <c r="H1023" s="1" t="s">
        <v>257</v>
      </c>
      <c r="J1023" s="1" t="s">
        <v>258</v>
      </c>
      <c r="K1023" s="1" t="s">
        <v>658</v>
      </c>
      <c r="L1023" s="1" t="s">
        <v>2010</v>
      </c>
      <c r="M1023" s="1" t="s">
        <v>260</v>
      </c>
      <c r="N1023" s="1" t="s">
        <v>261</v>
      </c>
      <c r="O1023" s="72" t="s">
        <v>831</v>
      </c>
      <c r="P1023" s="1" t="str">
        <f>_xlfn.CONCAT(B1023,C1023,D1023,E1023,F1023)</f>
        <v>ARAGUATINS 2.3Inverter(MBUS-13)46042,536111111146042,536111111146042,6319444444</v>
      </c>
      <c r="Q1023" s="1" t="str">
        <f>_xlfn.CONCAT(H1023,I1023,J1023)</f>
        <v>DAURDE</v>
      </c>
    </row>
    <row r="1024" spans="2:17">
      <c r="B1024" s="1" t="s">
        <v>456</v>
      </c>
      <c r="C1024" s="1" t="s">
        <v>457</v>
      </c>
      <c r="D1024" s="52">
        <v>46043.135416666664</v>
      </c>
      <c r="E1024" s="52">
        <v>46043.135416666664</v>
      </c>
      <c r="F1024" s="52">
        <v>46043.305555555555</v>
      </c>
      <c r="G1024" s="53">
        <f>F1024-E1024</f>
        <v>0.17013888889050577</v>
      </c>
      <c r="H1024" s="1" t="s">
        <v>268</v>
      </c>
      <c r="I1024" s="1" t="s">
        <v>269</v>
      </c>
      <c r="J1024" s="1" t="s">
        <v>319</v>
      </c>
      <c r="K1024" s="1" t="s">
        <v>652</v>
      </c>
      <c r="L1024" s="1" t="s">
        <v>2011</v>
      </c>
      <c r="M1024" s="1" t="s">
        <v>289</v>
      </c>
      <c r="N1024" s="1" t="s">
        <v>253</v>
      </c>
      <c r="O1024" s="1" t="s">
        <v>835</v>
      </c>
      <c r="P1024" s="1" t="str">
        <f>_xlfn.CONCAT(B1024,C1024,D1024,E1024,F1024)</f>
        <v>BC Caiaponia1SG60KTL(COM1-001)_001_00746043,135416666746043,135416666746043,3055555556</v>
      </c>
      <c r="Q1024" s="1" t="str">
        <f>_xlfn.CONCAT(H1024,I1024,J1024)</f>
        <v>LIGRFOCOM</v>
      </c>
    </row>
    <row r="1025" spans="2:17">
      <c r="B1025" s="1" t="s">
        <v>456</v>
      </c>
      <c r="C1025" s="1" t="s">
        <v>459</v>
      </c>
      <c r="D1025" s="52">
        <v>46043.135416666664</v>
      </c>
      <c r="E1025" s="52">
        <v>46043.135416666664</v>
      </c>
      <c r="F1025" s="52">
        <v>46043.305555555555</v>
      </c>
      <c r="G1025" s="53">
        <f>F1025-E1025</f>
        <v>0.17013888889050577</v>
      </c>
      <c r="H1025" s="1" t="s">
        <v>268</v>
      </c>
      <c r="I1025" s="1" t="s">
        <v>269</v>
      </c>
      <c r="J1025" s="1" t="s">
        <v>319</v>
      </c>
      <c r="K1025" s="1" t="s">
        <v>652</v>
      </c>
      <c r="L1025" s="1" t="s">
        <v>2011</v>
      </c>
      <c r="M1025" s="1" t="s">
        <v>289</v>
      </c>
      <c r="N1025" s="1" t="s">
        <v>253</v>
      </c>
      <c r="O1025" s="1" t="s">
        <v>835</v>
      </c>
      <c r="P1025" s="1" t="str">
        <f>_xlfn.CONCAT(B1025,C1025,D1025,E1025,F1025)</f>
        <v>BC Caiaponia1SG60KTL(COM1-002)_001_01046043,135416666746043,135416666746043,3055555556</v>
      </c>
      <c r="Q1025" s="1" t="str">
        <f>_xlfn.CONCAT(H1025,I1025,J1025)</f>
        <v>LIGRFOCOM</v>
      </c>
    </row>
    <row r="1026" spans="2:17">
      <c r="B1026" s="1" t="s">
        <v>456</v>
      </c>
      <c r="C1026" s="1" t="s">
        <v>460</v>
      </c>
      <c r="D1026" s="52">
        <v>46043.135416666664</v>
      </c>
      <c r="E1026" s="52">
        <v>46043.135416666664</v>
      </c>
      <c r="F1026" s="52">
        <v>46043.305555555555</v>
      </c>
      <c r="G1026" s="53">
        <f>F1026-E1026</f>
        <v>0.17013888889050577</v>
      </c>
      <c r="H1026" s="1" t="s">
        <v>268</v>
      </c>
      <c r="I1026" s="1" t="s">
        <v>269</v>
      </c>
      <c r="J1026" s="1" t="s">
        <v>319</v>
      </c>
      <c r="K1026" s="1" t="s">
        <v>652</v>
      </c>
      <c r="L1026" s="1" t="s">
        <v>2011</v>
      </c>
      <c r="M1026" s="1" t="s">
        <v>289</v>
      </c>
      <c r="N1026" s="1" t="s">
        <v>253</v>
      </c>
      <c r="O1026" s="1" t="s">
        <v>835</v>
      </c>
      <c r="P1026" s="1" t="str">
        <f>_xlfn.CONCAT(B1026,C1026,D1026,E1026,F1026)</f>
        <v>BC Caiaponia1SG60KTL(COM1-003)_001_01146043,135416666746043,135416666746043,3055555556</v>
      </c>
      <c r="Q1026" s="1" t="str">
        <f>_xlfn.CONCAT(H1026,I1026,J1026)</f>
        <v>LIGRFOCOM</v>
      </c>
    </row>
    <row r="1027" spans="2:17">
      <c r="B1027" s="1" t="s">
        <v>456</v>
      </c>
      <c r="C1027" s="1" t="s">
        <v>461</v>
      </c>
      <c r="D1027" s="52">
        <v>46043.135416666664</v>
      </c>
      <c r="E1027" s="52">
        <v>46043.135416666664</v>
      </c>
      <c r="F1027" s="52">
        <v>46043.305555555555</v>
      </c>
      <c r="G1027" s="53">
        <f>F1027-E1027</f>
        <v>0.17013888889050577</v>
      </c>
      <c r="H1027" s="1" t="s">
        <v>268</v>
      </c>
      <c r="I1027" s="1" t="s">
        <v>269</v>
      </c>
      <c r="J1027" s="1" t="s">
        <v>319</v>
      </c>
      <c r="K1027" s="1" t="s">
        <v>652</v>
      </c>
      <c r="L1027" s="1" t="s">
        <v>2011</v>
      </c>
      <c r="M1027" s="1" t="s">
        <v>289</v>
      </c>
      <c r="N1027" s="1" t="s">
        <v>253</v>
      </c>
      <c r="O1027" s="1" t="s">
        <v>835</v>
      </c>
      <c r="P1027" s="1" t="str">
        <f>_xlfn.CONCAT(B1027,C1027,D1027,E1027,F1027)</f>
        <v>BC Caiaponia1SG60KTL(COM1-004)_001_01446043,135416666746043,135416666746043,3055555556</v>
      </c>
      <c r="Q1027" s="1" t="str">
        <f>_xlfn.CONCAT(H1027,I1027,J1027)</f>
        <v>LIGRFOCOM</v>
      </c>
    </row>
    <row r="1028" spans="2:17">
      <c r="B1028" s="1" t="s">
        <v>456</v>
      </c>
      <c r="C1028" s="1" t="s">
        <v>462</v>
      </c>
      <c r="D1028" s="52">
        <v>46043.135416666664</v>
      </c>
      <c r="E1028" s="52">
        <v>46043.135416666664</v>
      </c>
      <c r="F1028" s="52">
        <v>46043.305555555555</v>
      </c>
      <c r="G1028" s="53">
        <f>F1028-E1028</f>
        <v>0.17013888889050577</v>
      </c>
      <c r="H1028" s="1" t="s">
        <v>268</v>
      </c>
      <c r="I1028" s="1" t="s">
        <v>269</v>
      </c>
      <c r="J1028" s="1" t="s">
        <v>319</v>
      </c>
      <c r="K1028" s="1" t="s">
        <v>652</v>
      </c>
      <c r="L1028" s="1" t="s">
        <v>2011</v>
      </c>
      <c r="M1028" s="1" t="s">
        <v>289</v>
      </c>
      <c r="N1028" s="1" t="s">
        <v>253</v>
      </c>
      <c r="O1028" s="1" t="s">
        <v>835</v>
      </c>
      <c r="P1028" s="1" t="str">
        <f>_xlfn.CONCAT(B1028,C1028,D1028,E1028,F1028)</f>
        <v>BC Caiaponia1SG60KTL(COM1-005)_001_01746043,135416666746043,135416666746043,3055555556</v>
      </c>
      <c r="Q1028" s="1" t="str">
        <f>_xlfn.CONCAT(H1028,I1028,J1028)</f>
        <v>LIGRFOCOM</v>
      </c>
    </row>
    <row r="1029" spans="2:17">
      <c r="B1029" s="1" t="s">
        <v>456</v>
      </c>
      <c r="C1029" s="1" t="s">
        <v>463</v>
      </c>
      <c r="D1029" s="52">
        <v>46043.135416666664</v>
      </c>
      <c r="E1029" s="52">
        <v>46043.135416666664</v>
      </c>
      <c r="F1029" s="52">
        <v>46043.305555555555</v>
      </c>
      <c r="G1029" s="53">
        <f>F1029-E1029</f>
        <v>0.17013888889050577</v>
      </c>
      <c r="H1029" s="1" t="s">
        <v>268</v>
      </c>
      <c r="I1029" s="1" t="s">
        <v>269</v>
      </c>
      <c r="J1029" s="1" t="s">
        <v>319</v>
      </c>
      <c r="K1029" s="1" t="s">
        <v>652</v>
      </c>
      <c r="L1029" s="1" t="s">
        <v>2011</v>
      </c>
      <c r="M1029" s="1" t="s">
        <v>289</v>
      </c>
      <c r="N1029" s="1" t="s">
        <v>253</v>
      </c>
      <c r="O1029" s="1" t="s">
        <v>835</v>
      </c>
      <c r="P1029" s="1" t="str">
        <f>_xlfn.CONCAT(B1029,C1029,D1029,E1029,F1029)</f>
        <v>BC Caiaponia1SG60KTL(COM1-006)_001_01646043,135416666746043,135416666746043,3055555556</v>
      </c>
      <c r="Q1029" s="1" t="str">
        <f>_xlfn.CONCAT(H1029,I1029,J1029)</f>
        <v>LIGRFOCOM</v>
      </c>
    </row>
    <row r="1030" spans="2:17">
      <c r="B1030" s="1" t="s">
        <v>456</v>
      </c>
      <c r="C1030" s="1" t="s">
        <v>464</v>
      </c>
      <c r="D1030" s="52">
        <v>46043.135416666664</v>
      </c>
      <c r="E1030" s="52">
        <v>46043.135416666664</v>
      </c>
      <c r="F1030" s="52">
        <v>46043.305555555555</v>
      </c>
      <c r="G1030" s="53">
        <f>F1030-E1030</f>
        <v>0.17013888889050577</v>
      </c>
      <c r="H1030" s="1" t="s">
        <v>268</v>
      </c>
      <c r="I1030" s="1" t="s">
        <v>269</v>
      </c>
      <c r="J1030" s="1" t="s">
        <v>319</v>
      </c>
      <c r="K1030" s="1" t="s">
        <v>652</v>
      </c>
      <c r="L1030" s="1" t="s">
        <v>2011</v>
      </c>
      <c r="M1030" s="1" t="s">
        <v>289</v>
      </c>
      <c r="N1030" s="1" t="s">
        <v>253</v>
      </c>
      <c r="O1030" s="1" t="s">
        <v>835</v>
      </c>
      <c r="P1030" s="1" t="str">
        <f>_xlfn.CONCAT(B1030,C1030,D1030,E1030,F1030)</f>
        <v>BC Caiaponia1SG60KTL(COM1-007)_001_01346043,135416666746043,135416666746043,3055555556</v>
      </c>
      <c r="Q1030" s="1" t="str">
        <f>_xlfn.CONCAT(H1030,I1030,J1030)</f>
        <v>LIGRFOCOM</v>
      </c>
    </row>
    <row r="1031" spans="2:17">
      <c r="B1031" s="1" t="s">
        <v>456</v>
      </c>
      <c r="C1031" s="1" t="s">
        <v>465</v>
      </c>
      <c r="D1031" s="52">
        <v>46043.135416666664</v>
      </c>
      <c r="E1031" s="52">
        <v>46043.135416666664</v>
      </c>
      <c r="F1031" s="52">
        <v>46043.305555555555</v>
      </c>
      <c r="G1031" s="53">
        <f>F1031-E1031</f>
        <v>0.17013888889050577</v>
      </c>
      <c r="H1031" s="1" t="s">
        <v>268</v>
      </c>
      <c r="I1031" s="1" t="s">
        <v>269</v>
      </c>
      <c r="J1031" s="1" t="s">
        <v>319</v>
      </c>
      <c r="K1031" s="1" t="s">
        <v>652</v>
      </c>
      <c r="L1031" s="1" t="s">
        <v>2011</v>
      </c>
      <c r="M1031" s="1" t="s">
        <v>289</v>
      </c>
      <c r="N1031" s="1" t="s">
        <v>253</v>
      </c>
      <c r="O1031" s="1" t="s">
        <v>835</v>
      </c>
      <c r="P1031" s="1" t="str">
        <f>_xlfn.CONCAT(B1031,C1031,D1031,E1031,F1031)</f>
        <v>BC Caiaponia1SG60KTL(COM1-008)_001_00146043,135416666746043,135416666746043,3055555556</v>
      </c>
      <c r="Q1031" s="1" t="str">
        <f>_xlfn.CONCAT(H1031,I1031,J1031)</f>
        <v>LIGRFOCOM</v>
      </c>
    </row>
    <row r="1032" spans="2:17">
      <c r="B1032" s="1" t="s">
        <v>456</v>
      </c>
      <c r="C1032" s="1" t="s">
        <v>466</v>
      </c>
      <c r="D1032" s="52">
        <v>46043.135416666664</v>
      </c>
      <c r="E1032" s="52">
        <v>46043.135416666664</v>
      </c>
      <c r="F1032" s="52">
        <v>46043.305555555555</v>
      </c>
      <c r="G1032" s="53">
        <f>F1032-E1032</f>
        <v>0.17013888889050577</v>
      </c>
      <c r="H1032" s="1" t="s">
        <v>268</v>
      </c>
      <c r="I1032" s="1" t="s">
        <v>269</v>
      </c>
      <c r="J1032" s="1" t="s">
        <v>319</v>
      </c>
      <c r="K1032" s="1" t="s">
        <v>652</v>
      </c>
      <c r="L1032" s="1" t="s">
        <v>2011</v>
      </c>
      <c r="M1032" s="1" t="s">
        <v>289</v>
      </c>
      <c r="N1032" s="1" t="s">
        <v>253</v>
      </c>
      <c r="O1032" s="1" t="s">
        <v>835</v>
      </c>
      <c r="P1032" s="1" t="str">
        <f>_xlfn.CONCAT(B1032,C1032,D1032,E1032,F1032)</f>
        <v>BC Caiaponia1SG60KTL(COM1-009)46043,135416666746043,135416666746043,3055555556</v>
      </c>
      <c r="Q1032" s="1" t="str">
        <f>_xlfn.CONCAT(H1032,I1032,J1032)</f>
        <v>LIGRFOCOM</v>
      </c>
    </row>
    <row r="1033" spans="2:17">
      <c r="B1033" s="1" t="s">
        <v>456</v>
      </c>
      <c r="C1033" s="1" t="s">
        <v>467</v>
      </c>
      <c r="D1033" s="52">
        <v>46043.135416666664</v>
      </c>
      <c r="E1033" s="52">
        <v>46043.135416666664</v>
      </c>
      <c r="F1033" s="52">
        <v>46043.305555555555</v>
      </c>
      <c r="G1033" s="53">
        <f>F1033-E1033</f>
        <v>0.17013888889050577</v>
      </c>
      <c r="H1033" s="1" t="s">
        <v>268</v>
      </c>
      <c r="I1033" s="1" t="s">
        <v>269</v>
      </c>
      <c r="J1033" s="1" t="s">
        <v>319</v>
      </c>
      <c r="K1033" s="1" t="s">
        <v>652</v>
      </c>
      <c r="L1033" s="1" t="s">
        <v>2011</v>
      </c>
      <c r="M1033" s="1" t="s">
        <v>289</v>
      </c>
      <c r="N1033" s="1" t="s">
        <v>253</v>
      </c>
      <c r="O1033" s="1" t="s">
        <v>835</v>
      </c>
      <c r="P1033" s="1" t="str">
        <f>_xlfn.CONCAT(B1033,C1033,D1033,E1033,F1033)</f>
        <v>BC Caiaponia1SG60KTL(COM1-010)46043,135416666746043,135416666746043,3055555556</v>
      </c>
      <c r="Q1033" s="1" t="str">
        <f>_xlfn.CONCAT(H1033,I1033,J1033)</f>
        <v>LIGRFOCOM</v>
      </c>
    </row>
    <row r="1034" spans="2:17">
      <c r="B1034" s="1" t="s">
        <v>456</v>
      </c>
      <c r="C1034" s="1" t="s">
        <v>468</v>
      </c>
      <c r="D1034" s="52">
        <v>46043.135416666664</v>
      </c>
      <c r="E1034" s="52">
        <v>46043.135416666664</v>
      </c>
      <c r="F1034" s="52">
        <v>46043.305555555555</v>
      </c>
      <c r="G1034" s="53">
        <f>F1034-E1034</f>
        <v>0.17013888889050577</v>
      </c>
      <c r="H1034" s="1" t="s">
        <v>268</v>
      </c>
      <c r="I1034" s="1" t="s">
        <v>269</v>
      </c>
      <c r="J1034" s="1" t="s">
        <v>319</v>
      </c>
      <c r="K1034" s="1" t="s">
        <v>652</v>
      </c>
      <c r="L1034" s="1" t="s">
        <v>2011</v>
      </c>
      <c r="M1034" s="1" t="s">
        <v>289</v>
      </c>
      <c r="N1034" s="1" t="s">
        <v>253</v>
      </c>
      <c r="O1034" s="1" t="s">
        <v>835</v>
      </c>
      <c r="P1034" s="1" t="str">
        <f>_xlfn.CONCAT(B1034,C1034,D1034,E1034,F1034)</f>
        <v>BC Caiaponia1SG60KTL(COM1-011)46043,135416666746043,135416666746043,3055555556</v>
      </c>
      <c r="Q1034" s="1" t="str">
        <f>_xlfn.CONCAT(H1034,I1034,J1034)</f>
        <v>LIGRFOCOM</v>
      </c>
    </row>
    <row r="1035" spans="2:17">
      <c r="B1035" s="1" t="s">
        <v>456</v>
      </c>
      <c r="C1035" s="1" t="s">
        <v>469</v>
      </c>
      <c r="D1035" s="52">
        <v>46043.135416666664</v>
      </c>
      <c r="E1035" s="52">
        <v>46043.135416666664</v>
      </c>
      <c r="F1035" s="52">
        <v>46043.305555555555</v>
      </c>
      <c r="G1035" s="53">
        <f>F1035-E1035</f>
        <v>0.17013888889050577</v>
      </c>
      <c r="H1035" s="1" t="s">
        <v>268</v>
      </c>
      <c r="I1035" s="1" t="s">
        <v>269</v>
      </c>
      <c r="J1035" s="1" t="s">
        <v>319</v>
      </c>
      <c r="K1035" s="1" t="s">
        <v>652</v>
      </c>
      <c r="L1035" s="1" t="s">
        <v>2011</v>
      </c>
      <c r="M1035" s="1" t="s">
        <v>289</v>
      </c>
      <c r="N1035" s="1" t="s">
        <v>253</v>
      </c>
      <c r="O1035" s="1" t="s">
        <v>835</v>
      </c>
      <c r="P1035" s="1" t="str">
        <f>_xlfn.CONCAT(B1035,C1035,D1035,E1035,F1035)</f>
        <v>BC Caiaponia1SG60KTL(COM1-012)46043,135416666746043,135416666746043,3055555556</v>
      </c>
      <c r="Q1035" s="1" t="str">
        <f>_xlfn.CONCAT(H1035,I1035,J1035)</f>
        <v>LIGRFOCOM</v>
      </c>
    </row>
    <row r="1036" spans="2:17">
      <c r="B1036" s="1" t="s">
        <v>456</v>
      </c>
      <c r="C1036" s="1" t="s">
        <v>470</v>
      </c>
      <c r="D1036" s="52">
        <v>46043.135416666664</v>
      </c>
      <c r="E1036" s="52">
        <v>46043.135416666664</v>
      </c>
      <c r="F1036" s="52">
        <v>46043.305555555555</v>
      </c>
      <c r="G1036" s="53">
        <f>F1036-E1036</f>
        <v>0.17013888889050577</v>
      </c>
      <c r="H1036" s="1" t="s">
        <v>268</v>
      </c>
      <c r="I1036" s="1" t="s">
        <v>269</v>
      </c>
      <c r="J1036" s="1" t="s">
        <v>319</v>
      </c>
      <c r="K1036" s="1" t="s">
        <v>652</v>
      </c>
      <c r="L1036" s="1" t="s">
        <v>2011</v>
      </c>
      <c r="M1036" s="1" t="s">
        <v>289</v>
      </c>
      <c r="N1036" s="1" t="s">
        <v>253</v>
      </c>
      <c r="O1036" s="1" t="s">
        <v>835</v>
      </c>
      <c r="P1036" s="1" t="str">
        <f>_xlfn.CONCAT(B1036,C1036,D1036,E1036,F1036)</f>
        <v>BC Caiaponia1SG60KTL(COM1-013)46043,135416666746043,135416666746043,3055555556</v>
      </c>
      <c r="Q1036" s="1" t="str">
        <f>_xlfn.CONCAT(H1036,I1036,J1036)</f>
        <v>LIGRFOCOM</v>
      </c>
    </row>
    <row r="1037" spans="2:17">
      <c r="B1037" s="1" t="s">
        <v>456</v>
      </c>
      <c r="C1037" s="1" t="s">
        <v>471</v>
      </c>
      <c r="D1037" s="52">
        <v>46043.135416666664</v>
      </c>
      <c r="E1037" s="52">
        <v>46043.135416666664</v>
      </c>
      <c r="F1037" s="52">
        <v>46043.305555555555</v>
      </c>
      <c r="G1037" s="53">
        <f>F1037-E1037</f>
        <v>0.17013888889050577</v>
      </c>
      <c r="H1037" s="1" t="s">
        <v>268</v>
      </c>
      <c r="I1037" s="1" t="s">
        <v>269</v>
      </c>
      <c r="J1037" s="1" t="s">
        <v>319</v>
      </c>
      <c r="K1037" s="1" t="s">
        <v>652</v>
      </c>
      <c r="L1037" s="1" t="s">
        <v>2011</v>
      </c>
      <c r="M1037" s="1" t="s">
        <v>289</v>
      </c>
      <c r="N1037" s="1" t="s">
        <v>253</v>
      </c>
      <c r="O1037" s="1" t="s">
        <v>835</v>
      </c>
      <c r="P1037" s="1" t="str">
        <f>_xlfn.CONCAT(B1037,C1037,D1037,E1037,F1037)</f>
        <v>BC Caiaponia1SG60KTL(COM1-014)46043,135416666746043,135416666746043,3055555556</v>
      </c>
      <c r="Q1037" s="1" t="str">
        <f>_xlfn.CONCAT(H1037,I1037,J1037)</f>
        <v>LIGRFOCOM</v>
      </c>
    </row>
    <row r="1038" spans="2:17">
      <c r="B1038" s="1" t="s">
        <v>456</v>
      </c>
      <c r="C1038" s="1" t="s">
        <v>472</v>
      </c>
      <c r="D1038" s="52">
        <v>46043.135416666664</v>
      </c>
      <c r="E1038" s="52">
        <v>46043.135416666664</v>
      </c>
      <c r="F1038" s="52">
        <v>46043.305555555555</v>
      </c>
      <c r="G1038" s="53">
        <f>F1038-E1038</f>
        <v>0.17013888889050577</v>
      </c>
      <c r="H1038" s="1" t="s">
        <v>268</v>
      </c>
      <c r="I1038" s="1" t="s">
        <v>269</v>
      </c>
      <c r="J1038" s="1" t="s">
        <v>319</v>
      </c>
      <c r="K1038" s="1" t="s">
        <v>652</v>
      </c>
      <c r="L1038" s="1" t="s">
        <v>2011</v>
      </c>
      <c r="M1038" s="1" t="s">
        <v>289</v>
      </c>
      <c r="N1038" s="1" t="s">
        <v>253</v>
      </c>
      <c r="O1038" s="1" t="s">
        <v>835</v>
      </c>
      <c r="P1038" s="1" t="str">
        <f>_xlfn.CONCAT(B1038,C1038,D1038,E1038,F1038)</f>
        <v>BC Caiaponia1SG60KTL(COM1-015)46043,135416666746043,135416666746043,3055555556</v>
      </c>
      <c r="Q1038" s="1" t="str">
        <f>_xlfn.CONCAT(H1038,I1038,J1038)</f>
        <v>LIGRFOCOM</v>
      </c>
    </row>
    <row r="1039" spans="2:17">
      <c r="B1039" s="1" t="s">
        <v>456</v>
      </c>
      <c r="C1039" s="1" t="s">
        <v>473</v>
      </c>
      <c r="D1039" s="52">
        <v>46043.135416666664</v>
      </c>
      <c r="E1039" s="52">
        <v>46043.135416666664</v>
      </c>
      <c r="F1039" s="52">
        <v>46043.305555555555</v>
      </c>
      <c r="G1039" s="53">
        <f>F1039-E1039</f>
        <v>0.17013888889050577</v>
      </c>
      <c r="H1039" s="1" t="s">
        <v>268</v>
      </c>
      <c r="I1039" s="1" t="s">
        <v>269</v>
      </c>
      <c r="J1039" s="1" t="s">
        <v>319</v>
      </c>
      <c r="K1039" s="1" t="s">
        <v>652</v>
      </c>
      <c r="L1039" s="1" t="s">
        <v>2011</v>
      </c>
      <c r="M1039" s="1" t="s">
        <v>289</v>
      </c>
      <c r="N1039" s="1" t="s">
        <v>253</v>
      </c>
      <c r="O1039" s="1" t="s">
        <v>835</v>
      </c>
      <c r="P1039" s="1" t="str">
        <f>_xlfn.CONCAT(B1039,C1039,D1039,E1039,F1039)</f>
        <v>BC Caiaponia1SG60KTL(COM3-016)_001_00946043,135416666746043,135416666746043,3055555556</v>
      </c>
      <c r="Q1039" s="1" t="str">
        <f>_xlfn.CONCAT(H1039,I1039,J1039)</f>
        <v>LIGRFOCOM</v>
      </c>
    </row>
    <row r="1040" spans="2:17">
      <c r="B1040" s="1" t="s">
        <v>456</v>
      </c>
      <c r="C1040" s="1" t="s">
        <v>474</v>
      </c>
      <c r="D1040" s="52">
        <v>46043.135416666664</v>
      </c>
      <c r="E1040" s="52">
        <v>46043.135416666664</v>
      </c>
      <c r="F1040" s="52">
        <v>46043.305555555555</v>
      </c>
      <c r="G1040" s="53">
        <f>F1040-E1040</f>
        <v>0.17013888889050577</v>
      </c>
      <c r="H1040" s="1" t="s">
        <v>268</v>
      </c>
      <c r="I1040" s="1" t="s">
        <v>269</v>
      </c>
      <c r="J1040" s="1" t="s">
        <v>319</v>
      </c>
      <c r="K1040" s="1" t="s">
        <v>652</v>
      </c>
      <c r="L1040" s="1" t="s">
        <v>2011</v>
      </c>
      <c r="M1040" s="1" t="s">
        <v>289</v>
      </c>
      <c r="N1040" s="1" t="s">
        <v>253</v>
      </c>
      <c r="O1040" s="1" t="s">
        <v>835</v>
      </c>
      <c r="P1040" s="1" t="str">
        <f>_xlfn.CONCAT(B1040,C1040,D1040,E1040,F1040)</f>
        <v>BC Caiaponia1SG60KTL(COM3-017)_001_01246043,135416666746043,135416666746043,3055555556</v>
      </c>
      <c r="Q1040" s="1" t="str">
        <f>_xlfn.CONCAT(H1040,I1040,J1040)</f>
        <v>LIGRFOCOM</v>
      </c>
    </row>
    <row r="1041" spans="2:17">
      <c r="B1041" s="1" t="s">
        <v>456</v>
      </c>
      <c r="C1041" s="1" t="s">
        <v>475</v>
      </c>
      <c r="D1041" s="52">
        <v>46043.135416666664</v>
      </c>
      <c r="E1041" s="52">
        <v>46043.135416666664</v>
      </c>
      <c r="F1041" s="52">
        <v>46043.305555555555</v>
      </c>
      <c r="G1041" s="53">
        <f>F1041-E1041</f>
        <v>0.17013888889050577</v>
      </c>
      <c r="H1041" s="1" t="s">
        <v>268</v>
      </c>
      <c r="I1041" s="1" t="s">
        <v>269</v>
      </c>
      <c r="J1041" s="1" t="s">
        <v>319</v>
      </c>
      <c r="K1041" s="1" t="s">
        <v>652</v>
      </c>
      <c r="L1041" s="1" t="s">
        <v>2011</v>
      </c>
      <c r="M1041" s="1" t="s">
        <v>289</v>
      </c>
      <c r="N1041" s="1" t="s">
        <v>253</v>
      </c>
      <c r="O1041" s="1" t="s">
        <v>835</v>
      </c>
      <c r="P1041" s="1" t="str">
        <f>_xlfn.CONCAT(B1041,C1041,D1041,E1041,F1041)</f>
        <v>BC Caiaponia1SG60KTL(COM3-018)_001_00846043,135416666746043,135416666746043,3055555556</v>
      </c>
      <c r="Q1041" s="1" t="str">
        <f>_xlfn.CONCAT(H1041,I1041,J1041)</f>
        <v>LIGRFOCOM</v>
      </c>
    </row>
    <row r="1042" spans="2:17">
      <c r="B1042" s="1" t="s">
        <v>456</v>
      </c>
      <c r="C1042" s="1" t="s">
        <v>476</v>
      </c>
      <c r="D1042" s="52">
        <v>46043.135416666664</v>
      </c>
      <c r="E1042" s="52">
        <v>46043.135416666664</v>
      </c>
      <c r="F1042" s="52">
        <v>46043.305555555555</v>
      </c>
      <c r="G1042" s="53">
        <f>F1042-E1042</f>
        <v>0.17013888889050577</v>
      </c>
      <c r="H1042" s="1" t="s">
        <v>268</v>
      </c>
      <c r="I1042" s="1" t="s">
        <v>269</v>
      </c>
      <c r="J1042" s="1" t="s">
        <v>319</v>
      </c>
      <c r="K1042" s="1" t="s">
        <v>652</v>
      </c>
      <c r="L1042" s="1" t="s">
        <v>2011</v>
      </c>
      <c r="M1042" s="1" t="s">
        <v>289</v>
      </c>
      <c r="N1042" s="1" t="s">
        <v>253</v>
      </c>
      <c r="O1042" s="1" t="s">
        <v>835</v>
      </c>
      <c r="P1042" s="1" t="str">
        <f>_xlfn.CONCAT(B1042,C1042,D1042,E1042,F1042)</f>
        <v>BC Caiaponia1SG60KTL(COM3-019)_001_01946043,135416666746043,135416666746043,3055555556</v>
      </c>
      <c r="Q1042" s="1" t="str">
        <f>_xlfn.CONCAT(H1042,I1042,J1042)</f>
        <v>LIGRFOCOM</v>
      </c>
    </row>
    <row r="1043" spans="2:17">
      <c r="B1043" s="1" t="s">
        <v>456</v>
      </c>
      <c r="C1043" s="1" t="s">
        <v>477</v>
      </c>
      <c r="D1043" s="52">
        <v>46043.135416666664</v>
      </c>
      <c r="E1043" s="52">
        <v>46043.135416666664</v>
      </c>
      <c r="F1043" s="52">
        <v>46043.305555555555</v>
      </c>
      <c r="G1043" s="53">
        <f>F1043-E1043</f>
        <v>0.17013888889050577</v>
      </c>
      <c r="H1043" s="1" t="s">
        <v>268</v>
      </c>
      <c r="I1043" s="1" t="s">
        <v>269</v>
      </c>
      <c r="J1043" s="1" t="s">
        <v>319</v>
      </c>
      <c r="K1043" s="1" t="s">
        <v>652</v>
      </c>
      <c r="L1043" s="1" t="s">
        <v>2011</v>
      </c>
      <c r="M1043" s="1" t="s">
        <v>289</v>
      </c>
      <c r="N1043" s="1" t="s">
        <v>253</v>
      </c>
      <c r="O1043" s="1" t="s">
        <v>835</v>
      </c>
      <c r="P1043" s="1" t="str">
        <f>_xlfn.CONCAT(B1043,C1043,D1043,E1043,F1043)</f>
        <v>BC Caiaponia1SG60KTL(COM3-020)_001_02046043,135416666746043,135416666746043,3055555556</v>
      </c>
      <c r="Q1043" s="1" t="str">
        <f>_xlfn.CONCAT(H1043,I1043,J1043)</f>
        <v>LIGRFOCOM</v>
      </c>
    </row>
    <row r="1044" spans="2:17">
      <c r="B1044" s="1" t="s">
        <v>456</v>
      </c>
      <c r="C1044" s="1" t="s">
        <v>478</v>
      </c>
      <c r="D1044" s="52">
        <v>46043.135416666664</v>
      </c>
      <c r="E1044" s="52">
        <v>46043.135416666664</v>
      </c>
      <c r="F1044" s="52">
        <v>46043.305555555555</v>
      </c>
      <c r="G1044" s="53">
        <f>F1044-E1044</f>
        <v>0.17013888889050577</v>
      </c>
      <c r="H1044" s="1" t="s">
        <v>268</v>
      </c>
      <c r="I1044" s="1" t="s">
        <v>269</v>
      </c>
      <c r="J1044" s="1" t="s">
        <v>319</v>
      </c>
      <c r="K1044" s="1" t="s">
        <v>652</v>
      </c>
      <c r="L1044" s="1" t="s">
        <v>2011</v>
      </c>
      <c r="M1044" s="1" t="s">
        <v>289</v>
      </c>
      <c r="N1044" s="1" t="s">
        <v>253</v>
      </c>
      <c r="O1044" s="1" t="s">
        <v>835</v>
      </c>
      <c r="P1044" s="1" t="str">
        <f>_xlfn.CONCAT(B1044,C1044,D1044,E1044,F1044)</f>
        <v>BC Caiaponia1SG60KTL(COM2-026)46043,135416666746043,135416666746043,3055555556</v>
      </c>
      <c r="Q1044" s="1" t="str">
        <f>_xlfn.CONCAT(H1044,I1044,J1044)</f>
        <v>LIGRFOCOM</v>
      </c>
    </row>
    <row r="1045" spans="2:17">
      <c r="B1045" s="1" t="s">
        <v>456</v>
      </c>
      <c r="C1045" s="1" t="s">
        <v>479</v>
      </c>
      <c r="D1045" s="52">
        <v>46043.135416666664</v>
      </c>
      <c r="E1045" s="52">
        <v>46043.135416666664</v>
      </c>
      <c r="F1045" s="52">
        <v>46043.305555555555</v>
      </c>
      <c r="G1045" s="53">
        <f>F1045-E1045</f>
        <v>0.17013888889050577</v>
      </c>
      <c r="H1045" s="1" t="s">
        <v>268</v>
      </c>
      <c r="I1045" s="1" t="s">
        <v>269</v>
      </c>
      <c r="J1045" s="1" t="s">
        <v>319</v>
      </c>
      <c r="K1045" s="1" t="s">
        <v>652</v>
      </c>
      <c r="L1045" s="1" t="s">
        <v>2011</v>
      </c>
      <c r="M1045" s="1" t="s">
        <v>289</v>
      </c>
      <c r="N1045" s="1" t="s">
        <v>253</v>
      </c>
      <c r="O1045" s="1" t="s">
        <v>835</v>
      </c>
      <c r="P1045" s="1" t="str">
        <f>_xlfn.CONCAT(B1045,C1045,D1045,E1045,F1045)</f>
        <v>BC Caiaponia1SG60KTL(COM2-027)46043,135416666746043,135416666746043,3055555556</v>
      </c>
      <c r="Q1045" s="1" t="str">
        <f>_xlfn.CONCAT(H1045,I1045,J1045)</f>
        <v>LIGRFOCOM</v>
      </c>
    </row>
    <row r="1046" spans="2:17">
      <c r="B1046" s="1" t="s">
        <v>456</v>
      </c>
      <c r="C1046" s="1" t="s">
        <v>480</v>
      </c>
      <c r="D1046" s="52">
        <v>46043.135416666664</v>
      </c>
      <c r="E1046" s="52">
        <v>46043.135416666664</v>
      </c>
      <c r="F1046" s="52">
        <v>46043.305555555555</v>
      </c>
      <c r="G1046" s="53">
        <f>F1046-E1046</f>
        <v>0.17013888889050577</v>
      </c>
      <c r="H1046" s="1" t="s">
        <v>268</v>
      </c>
      <c r="I1046" s="1" t="s">
        <v>269</v>
      </c>
      <c r="J1046" s="1" t="s">
        <v>319</v>
      </c>
      <c r="K1046" s="1" t="s">
        <v>652</v>
      </c>
      <c r="L1046" s="1" t="s">
        <v>2011</v>
      </c>
      <c r="M1046" s="1" t="s">
        <v>289</v>
      </c>
      <c r="N1046" s="1" t="s">
        <v>253</v>
      </c>
      <c r="O1046" s="1" t="s">
        <v>835</v>
      </c>
      <c r="P1046" s="1" t="str">
        <f>_xlfn.CONCAT(B1046,C1046,D1046,E1046,F1046)</f>
        <v>BC Caiaponia1SG60KTL(COM2-028)46043,135416666746043,135416666746043,3055555556</v>
      </c>
      <c r="Q1046" s="1" t="str">
        <f>_xlfn.CONCAT(H1046,I1046,J1046)</f>
        <v>LIGRFOCOM</v>
      </c>
    </row>
    <row r="1047" spans="2:17">
      <c r="B1047" s="1" t="s">
        <v>456</v>
      </c>
      <c r="C1047" s="1" t="s">
        <v>481</v>
      </c>
      <c r="D1047" s="52">
        <v>46043.135416666664</v>
      </c>
      <c r="E1047" s="52">
        <v>46043.135416666664</v>
      </c>
      <c r="F1047" s="52">
        <v>46043.305555555555</v>
      </c>
      <c r="G1047" s="53">
        <f>F1047-E1047</f>
        <v>0.17013888889050577</v>
      </c>
      <c r="H1047" s="1" t="s">
        <v>268</v>
      </c>
      <c r="I1047" s="1" t="s">
        <v>269</v>
      </c>
      <c r="J1047" s="1" t="s">
        <v>319</v>
      </c>
      <c r="K1047" s="1" t="s">
        <v>652</v>
      </c>
      <c r="L1047" s="1" t="s">
        <v>2011</v>
      </c>
      <c r="M1047" s="1" t="s">
        <v>289</v>
      </c>
      <c r="N1047" s="1" t="s">
        <v>253</v>
      </c>
      <c r="O1047" s="1" t="s">
        <v>835</v>
      </c>
      <c r="P1047" s="1" t="str">
        <f>_xlfn.CONCAT(B1047,C1047,D1047,E1047,F1047)</f>
        <v>BC Caiaponia1SG60KTL(COM2-029)46043,135416666746043,135416666746043,3055555556</v>
      </c>
      <c r="Q1047" s="1" t="str">
        <f>_xlfn.CONCAT(H1047,I1047,J1047)</f>
        <v>LIGRFOCOM</v>
      </c>
    </row>
    <row r="1048" spans="2:17">
      <c r="B1048" s="1" t="s">
        <v>456</v>
      </c>
      <c r="C1048" s="1" t="s">
        <v>482</v>
      </c>
      <c r="D1048" s="52">
        <v>46043.135416666664</v>
      </c>
      <c r="E1048" s="52">
        <v>46043.135416666664</v>
      </c>
      <c r="F1048" s="52">
        <v>46043.305555555555</v>
      </c>
      <c r="G1048" s="53">
        <f>F1048-E1048</f>
        <v>0.17013888889050577</v>
      </c>
      <c r="H1048" s="1" t="s">
        <v>268</v>
      </c>
      <c r="I1048" s="1" t="s">
        <v>269</v>
      </c>
      <c r="J1048" s="1" t="s">
        <v>319</v>
      </c>
      <c r="K1048" s="1" t="s">
        <v>652</v>
      </c>
      <c r="L1048" s="1" t="s">
        <v>2011</v>
      </c>
      <c r="M1048" s="1" t="s">
        <v>289</v>
      </c>
      <c r="N1048" s="1" t="s">
        <v>253</v>
      </c>
      <c r="O1048" s="1" t="s">
        <v>835</v>
      </c>
      <c r="P1048" s="1" t="str">
        <f>_xlfn.CONCAT(B1048,C1048,D1048,E1048,F1048)</f>
        <v>BC Caiaponia1SG50CX(COM1-021)46043,135416666746043,135416666746043,3055555556</v>
      </c>
      <c r="Q1048" s="1" t="str">
        <f>_xlfn.CONCAT(H1048,I1048,J1048)</f>
        <v>LIGRFOCOM</v>
      </c>
    </row>
    <row r="1049" spans="2:17">
      <c r="B1049" s="1" t="s">
        <v>456</v>
      </c>
      <c r="C1049" s="1" t="s">
        <v>483</v>
      </c>
      <c r="D1049" s="52">
        <v>46043.135416666664</v>
      </c>
      <c r="E1049" s="52">
        <v>46043.135416666664</v>
      </c>
      <c r="F1049" s="52">
        <v>46043.305555555555</v>
      </c>
      <c r="G1049" s="53">
        <f>F1049-E1049</f>
        <v>0.17013888889050577</v>
      </c>
      <c r="H1049" s="1" t="s">
        <v>268</v>
      </c>
      <c r="I1049" s="1" t="s">
        <v>269</v>
      </c>
      <c r="J1049" s="1" t="s">
        <v>319</v>
      </c>
      <c r="K1049" s="1" t="s">
        <v>652</v>
      </c>
      <c r="L1049" s="1" t="s">
        <v>2011</v>
      </c>
      <c r="M1049" s="1" t="s">
        <v>289</v>
      </c>
      <c r="N1049" s="1" t="s">
        <v>253</v>
      </c>
      <c r="O1049" s="1" t="s">
        <v>835</v>
      </c>
      <c r="P1049" s="1" t="str">
        <f>_xlfn.CONCAT(B1049,C1049,D1049,E1049,F1049)</f>
        <v>BC Caiaponia1SG50CX(COM1-022)46043,135416666746043,135416666746043,3055555556</v>
      </c>
      <c r="Q1049" s="1" t="str">
        <f>_xlfn.CONCAT(H1049,I1049,J1049)</f>
        <v>LIGRFOCOM</v>
      </c>
    </row>
    <row r="1050" spans="2:17">
      <c r="B1050" s="1" t="s">
        <v>456</v>
      </c>
      <c r="C1050" s="1" t="s">
        <v>484</v>
      </c>
      <c r="D1050" s="52">
        <v>46043.135416666664</v>
      </c>
      <c r="E1050" s="52">
        <v>46043.135416666664</v>
      </c>
      <c r="F1050" s="52">
        <v>46043.305555555555</v>
      </c>
      <c r="G1050" s="53">
        <f>F1050-E1050</f>
        <v>0.17013888889050577</v>
      </c>
      <c r="H1050" s="1" t="s">
        <v>268</v>
      </c>
      <c r="I1050" s="1" t="s">
        <v>269</v>
      </c>
      <c r="J1050" s="1" t="s">
        <v>319</v>
      </c>
      <c r="K1050" s="1" t="s">
        <v>652</v>
      </c>
      <c r="L1050" s="1" t="s">
        <v>2011</v>
      </c>
      <c r="M1050" s="1" t="s">
        <v>289</v>
      </c>
      <c r="N1050" s="1" t="s">
        <v>253</v>
      </c>
      <c r="O1050" s="1" t="s">
        <v>835</v>
      </c>
      <c r="P1050" s="1" t="str">
        <f>_xlfn.CONCAT(B1050,C1050,D1050,E1050,F1050)</f>
        <v>BC Caiaponia1SG50CX(COM1-023)46043,135416666746043,135416666746043,3055555556</v>
      </c>
      <c r="Q1050" s="1" t="str">
        <f>_xlfn.CONCAT(H1050,I1050,J1050)</f>
        <v>LIGRFOCOM</v>
      </c>
    </row>
    <row r="1051" spans="2:17">
      <c r="B1051" s="1" t="s">
        <v>456</v>
      </c>
      <c r="C1051" s="1" t="s">
        <v>485</v>
      </c>
      <c r="D1051" s="52">
        <v>46043.135416666664</v>
      </c>
      <c r="E1051" s="52">
        <v>46043.135416666664</v>
      </c>
      <c r="F1051" s="52">
        <v>46043.305555555555</v>
      </c>
      <c r="G1051" s="53">
        <f>F1051-E1051</f>
        <v>0.17013888889050577</v>
      </c>
      <c r="H1051" s="1" t="s">
        <v>268</v>
      </c>
      <c r="I1051" s="1" t="s">
        <v>269</v>
      </c>
      <c r="J1051" s="1" t="s">
        <v>319</v>
      </c>
      <c r="K1051" s="1" t="s">
        <v>652</v>
      </c>
      <c r="L1051" s="1" t="s">
        <v>2011</v>
      </c>
      <c r="M1051" s="1" t="s">
        <v>289</v>
      </c>
      <c r="N1051" s="1" t="s">
        <v>253</v>
      </c>
      <c r="O1051" s="1" t="s">
        <v>835</v>
      </c>
      <c r="P1051" s="1" t="str">
        <f>_xlfn.CONCAT(B1051,C1051,D1051,E1051,F1051)</f>
        <v>BC Caiaponia1SG50CX(COM1-024)46043,135416666746043,135416666746043,3055555556</v>
      </c>
      <c r="Q1051" s="1" t="str">
        <f>_xlfn.CONCAT(H1051,I1051,J1051)</f>
        <v>LIGRFOCOM</v>
      </c>
    </row>
    <row r="1052" spans="2:17">
      <c r="B1052" s="1" t="s">
        <v>456</v>
      </c>
      <c r="C1052" s="1" t="s">
        <v>486</v>
      </c>
      <c r="D1052" s="52">
        <v>46043.135416666664</v>
      </c>
      <c r="E1052" s="52">
        <v>46043.135416666664</v>
      </c>
      <c r="F1052" s="52">
        <v>46043.305555555555</v>
      </c>
      <c r="G1052" s="53">
        <f>F1052-E1052</f>
        <v>0.17013888889050577</v>
      </c>
      <c r="H1052" s="1" t="s">
        <v>268</v>
      </c>
      <c r="I1052" s="1" t="s">
        <v>269</v>
      </c>
      <c r="J1052" s="1" t="s">
        <v>319</v>
      </c>
      <c r="K1052" s="1" t="s">
        <v>652</v>
      </c>
      <c r="L1052" s="1" t="s">
        <v>2011</v>
      </c>
      <c r="M1052" s="1" t="s">
        <v>289</v>
      </c>
      <c r="N1052" s="1" t="s">
        <v>253</v>
      </c>
      <c r="O1052" s="1" t="s">
        <v>835</v>
      </c>
      <c r="P1052" s="1" t="str">
        <f>_xlfn.CONCAT(B1052,C1052,D1052,E1052,F1052)</f>
        <v>BC Caiaponia1SG50CX(COM1-025)46043,135416666746043,135416666746043,3055555556</v>
      </c>
      <c r="Q1052" s="1" t="str">
        <f>_xlfn.CONCAT(H1052,I1052,J1052)</f>
        <v>LIGRFOCOM</v>
      </c>
    </row>
    <row r="1053" spans="2:17">
      <c r="B1053" s="1" t="s">
        <v>358</v>
      </c>
      <c r="C1053" s="1" t="s">
        <v>560</v>
      </c>
      <c r="D1053" s="52">
        <v>46043.694444444445</v>
      </c>
      <c r="E1053" s="52">
        <v>46043.694444444445</v>
      </c>
      <c r="F1053" s="52">
        <v>46043.711111111108</v>
      </c>
      <c r="G1053" s="53">
        <f>F1053-E1053</f>
        <v>1.6666666662786156E-2</v>
      </c>
      <c r="H1053" s="1" t="s">
        <v>257</v>
      </c>
      <c r="J1053" s="1" t="s">
        <v>258</v>
      </c>
      <c r="K1053" s="1" t="s">
        <v>658</v>
      </c>
      <c r="L1053" s="1" t="s">
        <v>2012</v>
      </c>
      <c r="M1053" s="1" t="s">
        <v>252</v>
      </c>
      <c r="N1053" s="1" t="s">
        <v>253</v>
      </c>
      <c r="O1053" s="1" t="s">
        <v>836</v>
      </c>
      <c r="P1053" s="1" t="str">
        <f>_xlfn.CONCAT(B1053,C1053,D1053,E1053,F1053)</f>
        <v>BC Aracu2araçu 2.3 inversor 446043,694444444446043,694444444446043,7111111111</v>
      </c>
      <c r="Q1053" s="1" t="str">
        <f>_xlfn.CONCAT(H1053,I1053,J1053)</f>
        <v>DAURDE</v>
      </c>
    </row>
    <row r="1054" spans="2:17">
      <c r="B1054" s="1" t="s">
        <v>803</v>
      </c>
      <c r="C1054" s="1" t="s">
        <v>264</v>
      </c>
      <c r="D1054" s="52">
        <v>46044.548611111109</v>
      </c>
      <c r="E1054" s="52">
        <v>46044.548611111109</v>
      </c>
      <c r="F1054" s="52">
        <v>46044.5625</v>
      </c>
      <c r="G1054" s="53">
        <f>F1054-E1054</f>
        <v>1.3888888890505768E-2</v>
      </c>
      <c r="H1054" s="1" t="s">
        <v>268</v>
      </c>
      <c r="I1054" s="1" t="s">
        <v>269</v>
      </c>
      <c r="J1054" s="1" t="s">
        <v>319</v>
      </c>
      <c r="K1054" s="1" t="s">
        <v>652</v>
      </c>
      <c r="L1054" s="1" t="s">
        <v>2013</v>
      </c>
      <c r="M1054" s="1" t="s">
        <v>289</v>
      </c>
      <c r="N1054" s="1" t="s">
        <v>290</v>
      </c>
      <c r="O1054" s="1" t="s">
        <v>837</v>
      </c>
      <c r="P1054" s="1" t="str">
        <f>_xlfn.CONCAT(B1054,C1054,D1054,E1054,F1054)</f>
        <v>BC Formoso1.1Inverter(MBUS-13)46044,548611111146044,548611111146044,5625</v>
      </c>
      <c r="Q1054" s="1" t="str">
        <f>_xlfn.CONCAT(H1054,I1054,J1054)</f>
        <v>LIGRFOCOM</v>
      </c>
    </row>
    <row r="1055" spans="2:17">
      <c r="B1055" s="1" t="s">
        <v>803</v>
      </c>
      <c r="C1055" s="1" t="s">
        <v>256</v>
      </c>
      <c r="D1055" s="52">
        <v>46044.548611111109</v>
      </c>
      <c r="E1055" s="52">
        <v>46044.548611111109</v>
      </c>
      <c r="F1055" s="52">
        <v>46044.5625</v>
      </c>
      <c r="G1055" s="53">
        <f>F1055-E1055</f>
        <v>1.3888888890505768E-2</v>
      </c>
      <c r="H1055" s="1" t="s">
        <v>268</v>
      </c>
      <c r="I1055" s="1" t="s">
        <v>269</v>
      </c>
      <c r="J1055" s="1" t="s">
        <v>319</v>
      </c>
      <c r="K1055" s="1" t="s">
        <v>652</v>
      </c>
      <c r="L1055" s="1" t="s">
        <v>2013</v>
      </c>
      <c r="M1055" s="1" t="s">
        <v>289</v>
      </c>
      <c r="N1055" s="1" t="s">
        <v>290</v>
      </c>
      <c r="O1055" s="1" t="s">
        <v>837</v>
      </c>
      <c r="P1055" s="1" t="str">
        <f>_xlfn.CONCAT(B1055,C1055,D1055,E1055,F1055)</f>
        <v>BC Formoso1.1Inverter(MBUS-12)46044,548611111146044,548611111146044,5625</v>
      </c>
      <c r="Q1055" s="1" t="str">
        <f>_xlfn.CONCAT(H1055,I1055,J1055)</f>
        <v>LIGRFOCOM</v>
      </c>
    </row>
    <row r="1056" spans="2:17">
      <c r="B1056" s="1" t="s">
        <v>803</v>
      </c>
      <c r="C1056" s="1" t="s">
        <v>307</v>
      </c>
      <c r="D1056" s="52">
        <v>46044.548611111109</v>
      </c>
      <c r="E1056" s="52">
        <v>46044.548611111109</v>
      </c>
      <c r="F1056" s="52">
        <v>46044.5625</v>
      </c>
      <c r="G1056" s="53">
        <f>F1056-E1056</f>
        <v>1.3888888890505768E-2</v>
      </c>
      <c r="H1056" s="1" t="s">
        <v>268</v>
      </c>
      <c r="I1056" s="1" t="s">
        <v>269</v>
      </c>
      <c r="J1056" s="1" t="s">
        <v>319</v>
      </c>
      <c r="K1056" s="1" t="s">
        <v>652</v>
      </c>
      <c r="L1056" s="1" t="s">
        <v>2013</v>
      </c>
      <c r="M1056" s="1" t="s">
        <v>289</v>
      </c>
      <c r="N1056" s="1" t="s">
        <v>290</v>
      </c>
      <c r="O1056" s="1" t="s">
        <v>837</v>
      </c>
      <c r="P1056" s="1" t="str">
        <f>_xlfn.CONCAT(B1056,C1056,D1056,E1056,F1056)</f>
        <v>BC Formoso1.1Inverter(MBUS-15)46044,548611111146044,548611111146044,5625</v>
      </c>
      <c r="Q1056" s="1" t="str">
        <f>_xlfn.CONCAT(H1056,I1056,J1056)</f>
        <v>LIGRFOCOM</v>
      </c>
    </row>
    <row r="1057" spans="2:17">
      <c r="B1057" s="1" t="s">
        <v>803</v>
      </c>
      <c r="C1057" s="1" t="s">
        <v>263</v>
      </c>
      <c r="D1057" s="52">
        <v>46044.548611111109</v>
      </c>
      <c r="E1057" s="52">
        <v>46044.548611111109</v>
      </c>
      <c r="F1057" s="52">
        <v>46044.5625</v>
      </c>
      <c r="G1057" s="53">
        <f>F1057-E1057</f>
        <v>1.3888888890505768E-2</v>
      </c>
      <c r="H1057" s="1" t="s">
        <v>268</v>
      </c>
      <c r="I1057" s="1" t="s">
        <v>269</v>
      </c>
      <c r="J1057" s="1" t="s">
        <v>319</v>
      </c>
      <c r="K1057" s="1" t="s">
        <v>652</v>
      </c>
      <c r="L1057" s="1" t="s">
        <v>2013</v>
      </c>
      <c r="M1057" s="1" t="s">
        <v>289</v>
      </c>
      <c r="N1057" s="1" t="s">
        <v>290</v>
      </c>
      <c r="O1057" s="1" t="s">
        <v>837</v>
      </c>
      <c r="P1057" s="1" t="str">
        <f>_xlfn.CONCAT(B1057,C1057,D1057,E1057,F1057)</f>
        <v>BC Formoso1.1Inverter(MBUS-14)46044,548611111146044,548611111146044,5625</v>
      </c>
      <c r="Q1057" s="1" t="str">
        <f>_xlfn.CONCAT(H1057,I1057,J1057)</f>
        <v>LIGRFOCOM</v>
      </c>
    </row>
    <row r="1058" spans="2:17">
      <c r="B1058" s="1" t="s">
        <v>328</v>
      </c>
      <c r="C1058" s="1" t="s">
        <v>247</v>
      </c>
      <c r="D1058" s="52">
        <v>46045.25</v>
      </c>
      <c r="E1058" s="52">
        <v>46045.25</v>
      </c>
      <c r="F1058" s="52">
        <v>46045.4375</v>
      </c>
      <c r="G1058" s="53">
        <f>F1058-E1058</f>
        <v>0.1875</v>
      </c>
      <c r="H1058" s="1" t="s">
        <v>257</v>
      </c>
      <c r="J1058" s="1" t="s">
        <v>371</v>
      </c>
      <c r="K1058" s="1" t="s">
        <v>653</v>
      </c>
      <c r="L1058" s="1" t="s">
        <v>2012</v>
      </c>
      <c r="M1058" s="1" t="s">
        <v>272</v>
      </c>
      <c r="N1058" s="1" t="s">
        <v>253</v>
      </c>
      <c r="O1058" s="1" t="s">
        <v>838</v>
      </c>
      <c r="P1058" s="1" t="str">
        <f>_xlfn.CONCAT(B1058,C1058,D1058,E1058,F1058)</f>
        <v>BC Aracu5.3Inverter(MBUS-1)46045,2546045,2546045,4375</v>
      </c>
      <c r="Q1058" s="1" t="str">
        <f>_xlfn.CONCAT(H1058,I1058,J1058)</f>
        <v>DAUINV</v>
      </c>
    </row>
    <row r="1059" spans="2:17">
      <c r="B1059" s="1" t="s">
        <v>41</v>
      </c>
      <c r="C1059" s="1" t="s">
        <v>267</v>
      </c>
      <c r="D1059" s="52">
        <v>46045.425000000003</v>
      </c>
      <c r="E1059" s="52">
        <v>46045.425000000003</v>
      </c>
      <c r="F1059" s="52">
        <v>46045.631944444445</v>
      </c>
      <c r="G1059" s="53">
        <f>F1059-E1059</f>
        <v>0.2069444444423425</v>
      </c>
      <c r="H1059" s="1" t="s">
        <v>677</v>
      </c>
      <c r="J1059" s="1" t="s">
        <v>230</v>
      </c>
      <c r="K1059" s="1" t="s">
        <v>230</v>
      </c>
      <c r="L1059" s="1" t="s">
        <v>2014</v>
      </c>
      <c r="M1059" s="1" t="s">
        <v>663</v>
      </c>
      <c r="N1059" s="1" t="s">
        <v>672</v>
      </c>
      <c r="O1059" s="1" t="s">
        <v>533</v>
      </c>
      <c r="P1059" s="1" t="str">
        <f>_xlfn.CONCAT(B1059,C1059,D1059,E1059,F1059)</f>
        <v>BC Bom SucessoSG60KTL46045,42546045,42546045,6319444444</v>
      </c>
      <c r="Q1059" s="1" t="str">
        <f>_xlfn.CONCAT(H1059,I1059,J1059)</f>
        <v>DPRUFV</v>
      </c>
    </row>
    <row r="1060" spans="2:17">
      <c r="B1060" s="1" t="s">
        <v>41</v>
      </c>
      <c r="C1060" s="1" t="s">
        <v>275</v>
      </c>
      <c r="D1060" s="52">
        <v>46045.425000000003</v>
      </c>
      <c r="E1060" s="52">
        <v>46045.425000000003</v>
      </c>
      <c r="F1060" s="52">
        <v>46045.631944444445</v>
      </c>
      <c r="G1060" s="53">
        <f>F1060-E1060</f>
        <v>0.2069444444423425</v>
      </c>
      <c r="H1060" s="1" t="s">
        <v>677</v>
      </c>
      <c r="J1060" s="1" t="s">
        <v>230</v>
      </c>
      <c r="K1060" s="1" t="s">
        <v>230</v>
      </c>
      <c r="L1060" s="1" t="s">
        <v>2014</v>
      </c>
      <c r="M1060" s="1" t="s">
        <v>663</v>
      </c>
      <c r="N1060" s="1" t="s">
        <v>672</v>
      </c>
      <c r="O1060" s="1" t="s">
        <v>533</v>
      </c>
      <c r="P1060" s="1" t="str">
        <f>_xlfn.CONCAT(B1060,C1060,D1060,E1060,F1060)</f>
        <v>BC Bom SucessoI46045,42546045,42546045,6319444444</v>
      </c>
      <c r="Q1060" s="1" t="str">
        <f>_xlfn.CONCAT(H1060,I1060,J1060)</f>
        <v>DPRUFV</v>
      </c>
    </row>
    <row r="1061" spans="2:17">
      <c r="B1061" s="1" t="s">
        <v>41</v>
      </c>
      <c r="C1061" s="1" t="s">
        <v>276</v>
      </c>
      <c r="D1061" s="52">
        <v>46045.425000000003</v>
      </c>
      <c r="E1061" s="52">
        <v>46045.425000000003</v>
      </c>
      <c r="F1061" s="52">
        <v>46045.631944444445</v>
      </c>
      <c r="G1061" s="53">
        <f>F1061-E1061</f>
        <v>0.2069444444423425</v>
      </c>
      <c r="H1061" s="1" t="s">
        <v>677</v>
      </c>
      <c r="J1061" s="1" t="s">
        <v>230</v>
      </c>
      <c r="K1061" s="1" t="s">
        <v>230</v>
      </c>
      <c r="L1061" s="1" t="s">
        <v>2014</v>
      </c>
      <c r="M1061" s="1" t="s">
        <v>663</v>
      </c>
      <c r="N1061" s="1" t="s">
        <v>672</v>
      </c>
      <c r="O1061" s="1" t="s">
        <v>533</v>
      </c>
      <c r="P1061" s="1" t="str">
        <f>_xlfn.CONCAT(B1061,C1061,D1061,E1061,F1061)</f>
        <v>BC Bom SucessoG46045,42546045,42546045,6319444444</v>
      </c>
      <c r="Q1061" s="1" t="str">
        <f>_xlfn.CONCAT(H1061,I1061,J1061)</f>
        <v>DPRUFV</v>
      </c>
    </row>
    <row r="1062" spans="2:17">
      <c r="B1062" s="1" t="s">
        <v>41</v>
      </c>
      <c r="C1062" s="1" t="s">
        <v>277</v>
      </c>
      <c r="D1062" s="52">
        <v>46045.425000000003</v>
      </c>
      <c r="E1062" s="52">
        <v>46045.425000000003</v>
      </c>
      <c r="F1062" s="52">
        <v>46045.631944444445</v>
      </c>
      <c r="G1062" s="53">
        <f>F1062-E1062</f>
        <v>0.2069444444423425</v>
      </c>
      <c r="H1062" s="1" t="s">
        <v>677</v>
      </c>
      <c r="J1062" s="1" t="s">
        <v>230</v>
      </c>
      <c r="K1062" s="1" t="s">
        <v>230</v>
      </c>
      <c r="L1062" s="1" t="s">
        <v>2014</v>
      </c>
      <c r="M1062" s="1" t="s">
        <v>663</v>
      </c>
      <c r="N1062" s="1" t="s">
        <v>672</v>
      </c>
      <c r="O1062" s="1" t="s">
        <v>533</v>
      </c>
      <c r="P1062" s="1" t="str">
        <f>_xlfn.CONCAT(B1062,C1062,D1062,E1062,F1062)</f>
        <v>BC Bom SucessoK46045,42546045,42546045,6319444444</v>
      </c>
      <c r="Q1062" s="1" t="str">
        <f>_xlfn.CONCAT(H1062,I1062,J1062)</f>
        <v>DPRUFV</v>
      </c>
    </row>
    <row r="1063" spans="2:17">
      <c r="B1063" s="1" t="s">
        <v>41</v>
      </c>
      <c r="C1063" s="1" t="s">
        <v>278</v>
      </c>
      <c r="D1063" s="52">
        <v>46045.425000000003</v>
      </c>
      <c r="E1063" s="52">
        <v>46045.425000000003</v>
      </c>
      <c r="F1063" s="52">
        <v>46045.631944444445</v>
      </c>
      <c r="G1063" s="53">
        <f>F1063-E1063</f>
        <v>0.2069444444423425</v>
      </c>
      <c r="H1063" s="1" t="s">
        <v>677</v>
      </c>
      <c r="J1063" s="1" t="s">
        <v>230</v>
      </c>
      <c r="K1063" s="1" t="s">
        <v>230</v>
      </c>
      <c r="L1063" s="1" t="s">
        <v>2014</v>
      </c>
      <c r="M1063" s="1" t="s">
        <v>663</v>
      </c>
      <c r="N1063" s="1" t="s">
        <v>672</v>
      </c>
      <c r="O1063" s="1" t="s">
        <v>533</v>
      </c>
      <c r="P1063" s="1" t="str">
        <f>_xlfn.CONCAT(B1063,C1063,D1063,E1063,F1063)</f>
        <v>BC Bom SucessoH46045,42546045,42546045,6319444444</v>
      </c>
      <c r="Q1063" s="1" t="str">
        <f>_xlfn.CONCAT(H1063,I1063,J1063)</f>
        <v>DPRUFV</v>
      </c>
    </row>
    <row r="1064" spans="2:17">
      <c r="B1064" s="1" t="s">
        <v>41</v>
      </c>
      <c r="C1064" s="1" t="s">
        <v>279</v>
      </c>
      <c r="D1064" s="52">
        <v>46045.425000000003</v>
      </c>
      <c r="E1064" s="52">
        <v>46045.425000000003</v>
      </c>
      <c r="F1064" s="52">
        <v>46045.631944444445</v>
      </c>
      <c r="G1064" s="53">
        <f>F1064-E1064</f>
        <v>0.2069444444423425</v>
      </c>
      <c r="H1064" s="1" t="s">
        <v>677</v>
      </c>
      <c r="J1064" s="1" t="s">
        <v>230</v>
      </c>
      <c r="K1064" s="1" t="s">
        <v>230</v>
      </c>
      <c r="L1064" s="1" t="s">
        <v>2014</v>
      </c>
      <c r="M1064" s="1" t="s">
        <v>663</v>
      </c>
      <c r="N1064" s="1" t="s">
        <v>672</v>
      </c>
      <c r="O1064" s="1" t="s">
        <v>533</v>
      </c>
      <c r="P1064" s="1" t="str">
        <f>_xlfn.CONCAT(B1064,C1064,D1064,E1064,F1064)</f>
        <v>BC Bom SucessoF46045,42546045,42546045,6319444444</v>
      </c>
      <c r="Q1064" s="1" t="str">
        <f>_xlfn.CONCAT(H1064,I1064,J1064)</f>
        <v>DPRUFV</v>
      </c>
    </row>
    <row r="1065" spans="2:17">
      <c r="B1065" s="1" t="s">
        <v>41</v>
      </c>
      <c r="C1065" s="1" t="s">
        <v>280</v>
      </c>
      <c r="D1065" s="52">
        <v>46045.425000000003</v>
      </c>
      <c r="E1065" s="52">
        <v>46045.425000000003</v>
      </c>
      <c r="F1065" s="52">
        <v>46045.631944444445</v>
      </c>
      <c r="G1065" s="53">
        <f>F1065-E1065</f>
        <v>0.2069444444423425</v>
      </c>
      <c r="H1065" s="1" t="s">
        <v>677</v>
      </c>
      <c r="J1065" s="1" t="s">
        <v>230</v>
      </c>
      <c r="K1065" s="1" t="s">
        <v>230</v>
      </c>
      <c r="L1065" s="1" t="s">
        <v>2014</v>
      </c>
      <c r="M1065" s="1" t="s">
        <v>663</v>
      </c>
      <c r="N1065" s="1" t="s">
        <v>672</v>
      </c>
      <c r="O1065" s="1" t="s">
        <v>533</v>
      </c>
      <c r="P1065" s="1" t="str">
        <f>_xlfn.CONCAT(B1065,C1065,D1065,E1065,F1065)</f>
        <v>BC Bom SucessoD46045,42546045,42546045,6319444444</v>
      </c>
      <c r="Q1065" s="1" t="str">
        <f>_xlfn.CONCAT(H1065,I1065,J1065)</f>
        <v>DPRUFV</v>
      </c>
    </row>
    <row r="1066" spans="2:17">
      <c r="B1066" s="1" t="s">
        <v>41</v>
      </c>
      <c r="C1066" s="1" t="s">
        <v>281</v>
      </c>
      <c r="D1066" s="52">
        <v>46045.425000000003</v>
      </c>
      <c r="E1066" s="52">
        <v>46045.425000000003</v>
      </c>
      <c r="F1066" s="52">
        <v>46045.631944444445</v>
      </c>
      <c r="G1066" s="53">
        <f>F1066-E1066</f>
        <v>0.2069444444423425</v>
      </c>
      <c r="H1066" s="1" t="s">
        <v>677</v>
      </c>
      <c r="J1066" s="1" t="s">
        <v>230</v>
      </c>
      <c r="K1066" s="1" t="s">
        <v>230</v>
      </c>
      <c r="L1066" s="1" t="s">
        <v>2014</v>
      </c>
      <c r="M1066" s="1" t="s">
        <v>663</v>
      </c>
      <c r="N1066" s="1" t="s">
        <v>672</v>
      </c>
      <c r="O1066" s="1" t="s">
        <v>533</v>
      </c>
      <c r="P1066" s="1" t="str">
        <f>_xlfn.CONCAT(B1066,C1066,D1066,E1066,F1066)</f>
        <v>BC Bom SucessoE46045,42546045,42546045,6319444444</v>
      </c>
      <c r="Q1066" s="1" t="str">
        <f>_xlfn.CONCAT(H1066,I1066,J1066)</f>
        <v>DPRUFV</v>
      </c>
    </row>
    <row r="1067" spans="2:17">
      <c r="B1067" s="1" t="s">
        <v>41</v>
      </c>
      <c r="C1067" s="1" t="s">
        <v>282</v>
      </c>
      <c r="D1067" s="52">
        <v>46045.425000000003</v>
      </c>
      <c r="E1067" s="52">
        <v>46045.425000000003</v>
      </c>
      <c r="F1067" s="52">
        <v>46045.631944444445</v>
      </c>
      <c r="G1067" s="53">
        <f>F1067-E1067</f>
        <v>0.2069444444423425</v>
      </c>
      <c r="H1067" s="1" t="s">
        <v>677</v>
      </c>
      <c r="J1067" s="1" t="s">
        <v>230</v>
      </c>
      <c r="K1067" s="1" t="s">
        <v>230</v>
      </c>
      <c r="L1067" s="1" t="s">
        <v>2014</v>
      </c>
      <c r="M1067" s="1" t="s">
        <v>663</v>
      </c>
      <c r="N1067" s="1" t="s">
        <v>672</v>
      </c>
      <c r="O1067" s="1" t="s">
        <v>533</v>
      </c>
      <c r="P1067" s="1" t="str">
        <f>_xlfn.CONCAT(B1067,C1067,D1067,E1067,F1067)</f>
        <v>BC Bom SucessoC46045,42546045,42546045,6319444444</v>
      </c>
      <c r="Q1067" s="1" t="str">
        <f>_xlfn.CONCAT(H1067,I1067,J1067)</f>
        <v>DPRUFV</v>
      </c>
    </row>
    <row r="1068" spans="2:17">
      <c r="B1068" s="1" t="s">
        <v>41</v>
      </c>
      <c r="C1068" s="1" t="s">
        <v>283</v>
      </c>
      <c r="D1068" s="52">
        <v>46045.425000000003</v>
      </c>
      <c r="E1068" s="52">
        <v>46045.425000000003</v>
      </c>
      <c r="F1068" s="52">
        <v>46045.631944444445</v>
      </c>
      <c r="G1068" s="53">
        <f>F1068-E1068</f>
        <v>0.2069444444423425</v>
      </c>
      <c r="H1068" s="1" t="s">
        <v>677</v>
      </c>
      <c r="J1068" s="1" t="s">
        <v>230</v>
      </c>
      <c r="K1068" s="1" t="s">
        <v>230</v>
      </c>
      <c r="L1068" s="1" t="s">
        <v>2014</v>
      </c>
      <c r="M1068" s="1" t="s">
        <v>663</v>
      </c>
      <c r="N1068" s="1" t="s">
        <v>672</v>
      </c>
      <c r="O1068" s="1" t="s">
        <v>533</v>
      </c>
      <c r="P1068" s="1" t="str">
        <f>_xlfn.CONCAT(B1068,C1068,D1068,E1068,F1068)</f>
        <v>BC Bom SucessoB46045,42546045,42546045,6319444444</v>
      </c>
      <c r="Q1068" s="1" t="str">
        <f>_xlfn.CONCAT(H1068,I1068,J1068)</f>
        <v>DPRUFV</v>
      </c>
    </row>
    <row r="1069" spans="2:17">
      <c r="B1069" s="1" t="s">
        <v>41</v>
      </c>
      <c r="C1069" s="1" t="s">
        <v>284</v>
      </c>
      <c r="D1069" s="52">
        <v>46045.425000000003</v>
      </c>
      <c r="E1069" s="52">
        <v>46045.425000000003</v>
      </c>
      <c r="F1069" s="52">
        <v>46045.631944444445</v>
      </c>
      <c r="G1069" s="53">
        <f>F1069-E1069</f>
        <v>0.2069444444423425</v>
      </c>
      <c r="H1069" s="1" t="s">
        <v>677</v>
      </c>
      <c r="J1069" s="1" t="s">
        <v>230</v>
      </c>
      <c r="K1069" s="1" t="s">
        <v>230</v>
      </c>
      <c r="L1069" s="1" t="s">
        <v>2014</v>
      </c>
      <c r="M1069" s="1" t="s">
        <v>663</v>
      </c>
      <c r="N1069" s="1" t="s">
        <v>672</v>
      </c>
      <c r="O1069" s="1" t="s">
        <v>533</v>
      </c>
      <c r="P1069" s="1" t="str">
        <f>_xlfn.CONCAT(B1069,C1069,D1069,E1069,F1069)</f>
        <v>BC Bom SucessoA46045,42546045,42546045,6319444444</v>
      </c>
      <c r="Q1069" s="1" t="str">
        <f>_xlfn.CONCAT(H1069,I1069,J1069)</f>
        <v>DPRUFV</v>
      </c>
    </row>
    <row r="1070" spans="2:17">
      <c r="B1070" s="1" t="s">
        <v>41</v>
      </c>
      <c r="C1070" s="1" t="s">
        <v>285</v>
      </c>
      <c r="D1070" s="52">
        <v>46045.425000000003</v>
      </c>
      <c r="E1070" s="52">
        <v>46045.425000000003</v>
      </c>
      <c r="F1070" s="52">
        <v>46045.631944444445</v>
      </c>
      <c r="G1070" s="53">
        <f>F1070-E1070</f>
        <v>0.2069444444423425</v>
      </c>
      <c r="H1070" s="1" t="s">
        <v>677</v>
      </c>
      <c r="J1070" s="1" t="s">
        <v>230</v>
      </c>
      <c r="K1070" s="1" t="s">
        <v>230</v>
      </c>
      <c r="L1070" s="1" t="s">
        <v>2014</v>
      </c>
      <c r="M1070" s="1" t="s">
        <v>663</v>
      </c>
      <c r="N1070" s="1" t="s">
        <v>672</v>
      </c>
      <c r="O1070" s="1" t="s">
        <v>533</v>
      </c>
      <c r="P1070" s="1" t="str">
        <f>_xlfn.CONCAT(B1070,C1070,D1070,E1070,F1070)</f>
        <v>BC Bom SucessoJ46045,42546045,42546045,6319444444</v>
      </c>
      <c r="Q1070" s="1" t="str">
        <f>_xlfn.CONCAT(H1070,I1070,J1070)</f>
        <v>DPRUFV</v>
      </c>
    </row>
    <row r="1071" spans="2:17">
      <c r="B1071" s="1" t="s">
        <v>327</v>
      </c>
      <c r="C1071" s="1" t="s">
        <v>247</v>
      </c>
      <c r="D1071" s="52">
        <v>46045.539583333331</v>
      </c>
      <c r="E1071" s="52">
        <v>46045.539583333331</v>
      </c>
      <c r="F1071" s="52">
        <v>46045.549305555556</v>
      </c>
      <c r="G1071" s="53">
        <f>F1071-E1071</f>
        <v>9.7222222248092294E-3</v>
      </c>
      <c r="H1071" s="1" t="s">
        <v>257</v>
      </c>
      <c r="J1071" s="1" t="s">
        <v>258</v>
      </c>
      <c r="K1071" s="1" t="s">
        <v>658</v>
      </c>
      <c r="L1071" s="1" t="s">
        <v>541</v>
      </c>
      <c r="M1071" s="1" t="s">
        <v>260</v>
      </c>
      <c r="N1071" s="1" t="s">
        <v>261</v>
      </c>
      <c r="O1071" s="1" t="s">
        <v>533</v>
      </c>
      <c r="P1071" s="1" t="str">
        <f>_xlfn.CONCAT(B1071,C1071,D1071,E1071,F1071)</f>
        <v>BC Aracu5.1Inverter(MBUS-1)46045,539583333346045,539583333346045,5493055556</v>
      </c>
      <c r="Q1071" s="1" t="str">
        <f>_xlfn.CONCAT(H1071,I1071,J1071)</f>
        <v>DAURDE</v>
      </c>
    </row>
    <row r="1072" spans="2:17">
      <c r="B1072" s="1" t="s">
        <v>246</v>
      </c>
      <c r="C1072" s="1" t="s">
        <v>247</v>
      </c>
      <c r="D1072" s="52">
        <v>46045.539583333331</v>
      </c>
      <c r="E1072" s="52">
        <v>46045.539583333331</v>
      </c>
      <c r="F1072" s="52">
        <v>46045.549305555556</v>
      </c>
      <c r="G1072" s="53">
        <f>F1072-E1072</f>
        <v>9.7222222248092294E-3</v>
      </c>
      <c r="H1072" s="1" t="s">
        <v>257</v>
      </c>
      <c r="J1072" s="1" t="s">
        <v>258</v>
      </c>
      <c r="K1072" s="1" t="s">
        <v>658</v>
      </c>
      <c r="L1072" s="1" t="s">
        <v>541</v>
      </c>
      <c r="M1072" s="1" t="s">
        <v>260</v>
      </c>
      <c r="N1072" s="1" t="s">
        <v>261</v>
      </c>
      <c r="O1072" s="1" t="s">
        <v>533</v>
      </c>
      <c r="P1072" s="1" t="str">
        <f>_xlfn.CONCAT(B1072,C1072,D1072,E1072,F1072)</f>
        <v>BC Aracu5.2Inverter(MBUS-1)46045,539583333346045,539583333346045,5493055556</v>
      </c>
      <c r="Q1072" s="1" t="str">
        <f>_xlfn.CONCAT(H1072,I1072,J1072)</f>
        <v>DAURDE</v>
      </c>
    </row>
    <row r="1073" spans="2:17">
      <c r="B1073" s="1" t="s">
        <v>328</v>
      </c>
      <c r="C1073" s="1" t="s">
        <v>247</v>
      </c>
      <c r="D1073" s="52">
        <v>46045.539583333331</v>
      </c>
      <c r="E1073" s="52">
        <v>46045.539583333331</v>
      </c>
      <c r="F1073" s="52">
        <v>46045.549305555556</v>
      </c>
      <c r="G1073" s="53">
        <f>F1073-E1073</f>
        <v>9.7222222248092294E-3</v>
      </c>
      <c r="H1073" s="1" t="s">
        <v>257</v>
      </c>
      <c r="J1073" s="1" t="s">
        <v>258</v>
      </c>
      <c r="K1073" s="1" t="s">
        <v>658</v>
      </c>
      <c r="L1073" s="1" t="s">
        <v>541</v>
      </c>
      <c r="M1073" s="1" t="s">
        <v>260</v>
      </c>
      <c r="N1073" s="1" t="s">
        <v>261</v>
      </c>
      <c r="O1073" s="1" t="s">
        <v>533</v>
      </c>
      <c r="P1073" s="1" t="str">
        <f>_xlfn.CONCAT(B1073,C1073,D1073,E1073,F1073)</f>
        <v>BC Aracu5.3Inverter(MBUS-1)46045,539583333346045,539583333346045,5493055556</v>
      </c>
      <c r="Q1073" s="1" t="str">
        <f>_xlfn.CONCAT(H1073,I1073,J1073)</f>
        <v>DAURDE</v>
      </c>
    </row>
    <row r="1074" spans="2:17">
      <c r="B1074" s="1" t="s">
        <v>329</v>
      </c>
      <c r="C1074" s="1" t="s">
        <v>247</v>
      </c>
      <c r="D1074" s="52">
        <v>46045.539583333331</v>
      </c>
      <c r="E1074" s="52">
        <v>46045.539583333331</v>
      </c>
      <c r="F1074" s="52">
        <v>46045.549305555556</v>
      </c>
      <c r="G1074" s="53">
        <f>F1074-E1074</f>
        <v>9.7222222248092294E-3</v>
      </c>
      <c r="H1074" s="1" t="s">
        <v>257</v>
      </c>
      <c r="J1074" s="1" t="s">
        <v>258</v>
      </c>
      <c r="K1074" s="1" t="s">
        <v>658</v>
      </c>
      <c r="L1074" s="1" t="s">
        <v>541</v>
      </c>
      <c r="M1074" s="1" t="s">
        <v>260</v>
      </c>
      <c r="N1074" s="1" t="s">
        <v>261</v>
      </c>
      <c r="O1074" s="1" t="s">
        <v>533</v>
      </c>
      <c r="P1074" s="1" t="str">
        <f>_xlfn.CONCAT(B1074,C1074,D1074,E1074,F1074)</f>
        <v>BC Aracu5.4Inverter(MBUS-1)46045,539583333346045,539583333346045,5493055556</v>
      </c>
      <c r="Q1074" s="1" t="str">
        <f>_xlfn.CONCAT(H1074,I1074,J1074)</f>
        <v>DAURDE</v>
      </c>
    </row>
    <row r="1075" spans="2:17">
      <c r="B1075" s="1" t="s">
        <v>330</v>
      </c>
      <c r="C1075" s="1" t="s">
        <v>247</v>
      </c>
      <c r="D1075" s="52">
        <v>46045.539583333331</v>
      </c>
      <c r="E1075" s="52">
        <v>46045.539583333331</v>
      </c>
      <c r="F1075" s="52">
        <v>46045.549305555556</v>
      </c>
      <c r="G1075" s="53">
        <f>F1075-E1075</f>
        <v>9.7222222248092294E-3</v>
      </c>
      <c r="H1075" s="1" t="s">
        <v>257</v>
      </c>
      <c r="J1075" s="1" t="s">
        <v>258</v>
      </c>
      <c r="K1075" s="1" t="s">
        <v>658</v>
      </c>
      <c r="L1075" s="1" t="s">
        <v>541</v>
      </c>
      <c r="M1075" s="1" t="s">
        <v>260</v>
      </c>
      <c r="N1075" s="1" t="s">
        <v>261</v>
      </c>
      <c r="O1075" s="1" t="s">
        <v>533</v>
      </c>
      <c r="P1075" s="1" t="str">
        <f>_xlfn.CONCAT(B1075,C1075,D1075,E1075,F1075)</f>
        <v>BC Aracu5.5Inverter(MBUS-1)46045,539583333346045,539583333346045,5493055556</v>
      </c>
      <c r="Q1075" s="1" t="str">
        <f>_xlfn.CONCAT(H1075,I1075,J1075)</f>
        <v>DAURDE</v>
      </c>
    </row>
    <row r="1076" spans="2:17">
      <c r="B1076" s="1" t="s">
        <v>360</v>
      </c>
      <c r="C1076" s="1" t="s">
        <v>720</v>
      </c>
      <c r="D1076" s="52">
        <v>46046.163194444445</v>
      </c>
      <c r="E1076" s="52">
        <v>46046.163194444445</v>
      </c>
      <c r="F1076" s="52">
        <v>46046.777777777781</v>
      </c>
      <c r="G1076" s="53">
        <f>F1076-E1076</f>
        <v>0.61458333333575865</v>
      </c>
      <c r="H1076" s="1" t="s">
        <v>257</v>
      </c>
      <c r="J1076" s="1" t="s">
        <v>258</v>
      </c>
      <c r="K1076" s="1" t="s">
        <v>658</v>
      </c>
      <c r="L1076" s="1" t="s">
        <v>2015</v>
      </c>
      <c r="M1076" s="1" t="s">
        <v>260</v>
      </c>
      <c r="N1076" s="1" t="s">
        <v>261</v>
      </c>
      <c r="O1076" s="1" t="s">
        <v>534</v>
      </c>
      <c r="P1076" s="1" t="str">
        <f>_xlfn.CONCAT(B1076,C1076,D1076,E1076,F1076)</f>
        <v>BC Corumba1.1U01.I0146046,163194444446046,163194444446046,7777777778</v>
      </c>
      <c r="Q1076" s="1" t="str">
        <f>_xlfn.CONCAT(H1076,I1076,J1076)</f>
        <v>DAURDE</v>
      </c>
    </row>
    <row r="1077" spans="2:17">
      <c r="B1077" s="1" t="s">
        <v>360</v>
      </c>
      <c r="C1077" s="1" t="s">
        <v>721</v>
      </c>
      <c r="D1077" s="52">
        <v>46046.163194444445</v>
      </c>
      <c r="E1077" s="52">
        <v>46046.163194444445</v>
      </c>
      <c r="F1077" s="52">
        <v>46046.777777777781</v>
      </c>
      <c r="G1077" s="53">
        <f>F1077-E1077</f>
        <v>0.61458333333575865</v>
      </c>
      <c r="H1077" s="1" t="s">
        <v>257</v>
      </c>
      <c r="J1077" s="1" t="s">
        <v>258</v>
      </c>
      <c r="K1077" s="1" t="s">
        <v>658</v>
      </c>
      <c r="L1077" s="1" t="s">
        <v>2015</v>
      </c>
      <c r="M1077" s="1" t="s">
        <v>260</v>
      </c>
      <c r="N1077" s="1" t="s">
        <v>261</v>
      </c>
      <c r="O1077" s="1" t="s">
        <v>534</v>
      </c>
      <c r="P1077" s="1" t="str">
        <f>_xlfn.CONCAT(B1077,C1077,D1077,E1077,F1077)</f>
        <v>BC Corumba1.1U01.I0246046,163194444446046,163194444446046,7777777778</v>
      </c>
      <c r="Q1077" s="1" t="str">
        <f>_xlfn.CONCAT(H1077,I1077,J1077)</f>
        <v>DAURDE</v>
      </c>
    </row>
    <row r="1078" spans="2:17">
      <c r="B1078" s="1" t="s">
        <v>360</v>
      </c>
      <c r="C1078" s="1" t="s">
        <v>722</v>
      </c>
      <c r="D1078" s="52">
        <v>46046.163194444445</v>
      </c>
      <c r="E1078" s="52">
        <v>46046.163194444445</v>
      </c>
      <c r="F1078" s="52">
        <v>46046.777777777781</v>
      </c>
      <c r="G1078" s="53">
        <f>F1078-E1078</f>
        <v>0.61458333333575865</v>
      </c>
      <c r="H1078" s="1" t="s">
        <v>257</v>
      </c>
      <c r="J1078" s="1" t="s">
        <v>258</v>
      </c>
      <c r="K1078" s="1" t="s">
        <v>658</v>
      </c>
      <c r="L1078" s="1" t="s">
        <v>2015</v>
      </c>
      <c r="M1078" s="1" t="s">
        <v>260</v>
      </c>
      <c r="N1078" s="1" t="s">
        <v>261</v>
      </c>
      <c r="O1078" s="1" t="s">
        <v>534</v>
      </c>
      <c r="P1078" s="1" t="str">
        <f>_xlfn.CONCAT(B1078,C1078,D1078,E1078,F1078)</f>
        <v>BC Corumba1.1U01.I0346046,163194444446046,163194444446046,7777777778</v>
      </c>
      <c r="Q1078" s="1" t="str">
        <f>_xlfn.CONCAT(H1078,I1078,J1078)</f>
        <v>DAURDE</v>
      </c>
    </row>
    <row r="1079" spans="2:17">
      <c r="B1079" s="1" t="s">
        <v>360</v>
      </c>
      <c r="C1079" s="1" t="s">
        <v>361</v>
      </c>
      <c r="D1079" s="52">
        <v>46046.163194444445</v>
      </c>
      <c r="E1079" s="52">
        <v>46046.163194444445</v>
      </c>
      <c r="F1079" s="52">
        <v>46046.777777777781</v>
      </c>
      <c r="G1079" s="53">
        <f>F1079-E1079</f>
        <v>0.61458333333575865</v>
      </c>
      <c r="H1079" s="1" t="s">
        <v>257</v>
      </c>
      <c r="J1079" s="1" t="s">
        <v>258</v>
      </c>
      <c r="K1079" s="1" t="s">
        <v>658</v>
      </c>
      <c r="L1079" s="1" t="s">
        <v>2015</v>
      </c>
      <c r="M1079" s="1" t="s">
        <v>260</v>
      </c>
      <c r="N1079" s="1" t="s">
        <v>261</v>
      </c>
      <c r="O1079" s="1" t="s">
        <v>534</v>
      </c>
      <c r="P1079" s="1" t="str">
        <f>_xlfn.CONCAT(B1079,C1079,D1079,E1079,F1079)</f>
        <v>BC Corumba1.1U01.I0446046,163194444446046,163194444446046,7777777778</v>
      </c>
      <c r="Q1079" s="1" t="str">
        <f>_xlfn.CONCAT(H1079,I1079,J1079)</f>
        <v>DAURDE</v>
      </c>
    </row>
    <row r="1080" spans="2:17">
      <c r="B1080" s="1" t="s">
        <v>360</v>
      </c>
      <c r="C1080" s="1" t="s">
        <v>366</v>
      </c>
      <c r="D1080" s="52">
        <v>46046.163194444445</v>
      </c>
      <c r="E1080" s="52">
        <v>46046.163194444445</v>
      </c>
      <c r="F1080" s="52">
        <v>46046.777777777781</v>
      </c>
      <c r="G1080" s="53">
        <f>F1080-E1080</f>
        <v>0.61458333333575865</v>
      </c>
      <c r="H1080" s="1" t="s">
        <v>257</v>
      </c>
      <c r="J1080" s="1" t="s">
        <v>258</v>
      </c>
      <c r="K1080" s="1" t="s">
        <v>658</v>
      </c>
      <c r="L1080" s="1" t="s">
        <v>2015</v>
      </c>
      <c r="M1080" s="1" t="s">
        <v>260</v>
      </c>
      <c r="N1080" s="1" t="s">
        <v>261</v>
      </c>
      <c r="O1080" s="1" t="s">
        <v>534</v>
      </c>
      <c r="P1080" s="1" t="str">
        <f>_xlfn.CONCAT(B1080,C1080,D1080,E1080,F1080)</f>
        <v>BC Corumba1.1U01.I0546046,163194444446046,163194444446046,7777777778</v>
      </c>
      <c r="Q1080" s="1" t="str">
        <f>_xlfn.CONCAT(H1080,I1080,J1080)</f>
        <v>DAURDE</v>
      </c>
    </row>
    <row r="1081" spans="2:17">
      <c r="B1081" s="1" t="s">
        <v>367</v>
      </c>
      <c r="C1081" s="1" t="s">
        <v>287</v>
      </c>
      <c r="D1081" s="52">
        <v>46046.163194444445</v>
      </c>
      <c r="E1081" s="52">
        <v>46046.163194444445</v>
      </c>
      <c r="F1081" s="52">
        <v>46046.777777777781</v>
      </c>
      <c r="G1081" s="53">
        <f>F1081-E1081</f>
        <v>0.61458333333575865</v>
      </c>
      <c r="H1081" s="1" t="s">
        <v>257</v>
      </c>
      <c r="J1081" s="1" t="s">
        <v>258</v>
      </c>
      <c r="K1081" s="1" t="s">
        <v>658</v>
      </c>
      <c r="L1081" s="1" t="s">
        <v>2015</v>
      </c>
      <c r="M1081" s="1" t="s">
        <v>260</v>
      </c>
      <c r="N1081" s="1" t="s">
        <v>261</v>
      </c>
      <c r="O1081" s="1" t="s">
        <v>534</v>
      </c>
      <c r="P1081" s="1" t="str">
        <f>_xlfn.CONCAT(B1081,C1081,D1081,E1081,F1081)</f>
        <v>BC Corumba1.2U02.I0146046,163194444446046,163194444446046,7777777778</v>
      </c>
      <c r="Q1081" s="1" t="str">
        <f>_xlfn.CONCAT(H1081,I1081,J1081)</f>
        <v>DAURDE</v>
      </c>
    </row>
    <row r="1082" spans="2:17">
      <c r="B1082" s="1" t="s">
        <v>367</v>
      </c>
      <c r="C1082" s="1" t="s">
        <v>292</v>
      </c>
      <c r="D1082" s="52">
        <v>46046.163194444445</v>
      </c>
      <c r="E1082" s="52">
        <v>46046.163194444445</v>
      </c>
      <c r="F1082" s="52">
        <v>46046.777777777781</v>
      </c>
      <c r="G1082" s="53">
        <f>F1082-E1082</f>
        <v>0.61458333333575865</v>
      </c>
      <c r="H1082" s="1" t="s">
        <v>257</v>
      </c>
      <c r="J1082" s="1" t="s">
        <v>258</v>
      </c>
      <c r="K1082" s="1" t="s">
        <v>658</v>
      </c>
      <c r="L1082" s="1" t="s">
        <v>2015</v>
      </c>
      <c r="M1082" s="1" t="s">
        <v>260</v>
      </c>
      <c r="N1082" s="1" t="s">
        <v>261</v>
      </c>
      <c r="O1082" s="1" t="s">
        <v>534</v>
      </c>
      <c r="P1082" s="1" t="str">
        <f>_xlfn.CONCAT(B1082,C1082,D1082,E1082,F1082)</f>
        <v>BC Corumba1.2U02.I0246046,163194444446046,163194444446046,7777777778</v>
      </c>
      <c r="Q1082" s="1" t="str">
        <f>_xlfn.CONCAT(H1082,I1082,J1082)</f>
        <v>DAURDE</v>
      </c>
    </row>
    <row r="1083" spans="2:17">
      <c r="B1083" s="1" t="s">
        <v>367</v>
      </c>
      <c r="C1083" s="1" t="s">
        <v>293</v>
      </c>
      <c r="D1083" s="52">
        <v>46046.163194444445</v>
      </c>
      <c r="E1083" s="52">
        <v>46046.163194444445</v>
      </c>
      <c r="F1083" s="52">
        <v>46046.777777777781</v>
      </c>
      <c r="G1083" s="53">
        <f>F1083-E1083</f>
        <v>0.61458333333575865</v>
      </c>
      <c r="H1083" s="1" t="s">
        <v>257</v>
      </c>
      <c r="J1083" s="1" t="s">
        <v>258</v>
      </c>
      <c r="K1083" s="1" t="s">
        <v>658</v>
      </c>
      <c r="L1083" s="1" t="s">
        <v>2015</v>
      </c>
      <c r="M1083" s="1" t="s">
        <v>260</v>
      </c>
      <c r="N1083" s="1" t="s">
        <v>261</v>
      </c>
      <c r="O1083" s="1" t="s">
        <v>534</v>
      </c>
      <c r="P1083" s="1" t="str">
        <f>_xlfn.CONCAT(B1083,C1083,D1083,E1083,F1083)</f>
        <v>BC Corumba1.2U02.I0346046,163194444446046,163194444446046,7777777778</v>
      </c>
      <c r="Q1083" s="1" t="str">
        <f>_xlfn.CONCAT(H1083,I1083,J1083)</f>
        <v>DAURDE</v>
      </c>
    </row>
    <row r="1084" spans="2:17">
      <c r="B1084" s="1" t="s">
        <v>367</v>
      </c>
      <c r="C1084" s="1" t="s">
        <v>294</v>
      </c>
      <c r="D1084" s="52">
        <v>46046.163194444445</v>
      </c>
      <c r="E1084" s="52">
        <v>46046.163194444445</v>
      </c>
      <c r="F1084" s="52">
        <v>46046.777777777781</v>
      </c>
      <c r="G1084" s="53">
        <f>F1084-E1084</f>
        <v>0.61458333333575865</v>
      </c>
      <c r="H1084" s="1" t="s">
        <v>257</v>
      </c>
      <c r="J1084" s="1" t="s">
        <v>258</v>
      </c>
      <c r="K1084" s="1" t="s">
        <v>658</v>
      </c>
      <c r="L1084" s="1" t="s">
        <v>2015</v>
      </c>
      <c r="M1084" s="1" t="s">
        <v>260</v>
      </c>
      <c r="N1084" s="1" t="s">
        <v>261</v>
      </c>
      <c r="O1084" s="1" t="s">
        <v>534</v>
      </c>
      <c r="P1084" s="1" t="str">
        <f>_xlfn.CONCAT(B1084,C1084,D1084,E1084,F1084)</f>
        <v>BC Corumba1.2U02.I0446046,163194444446046,163194444446046,7777777778</v>
      </c>
      <c r="Q1084" s="1" t="str">
        <f>_xlfn.CONCAT(H1084,I1084,J1084)</f>
        <v>DAURDE</v>
      </c>
    </row>
    <row r="1085" spans="2:17">
      <c r="B1085" s="1" t="s">
        <v>367</v>
      </c>
      <c r="C1085" s="1" t="s">
        <v>295</v>
      </c>
      <c r="D1085" s="52">
        <v>46046.163194444445</v>
      </c>
      <c r="E1085" s="52">
        <v>46046.163194444445</v>
      </c>
      <c r="F1085" s="52">
        <v>46046.777777777781</v>
      </c>
      <c r="G1085" s="53">
        <f>F1085-E1085</f>
        <v>0.61458333333575865</v>
      </c>
      <c r="H1085" s="1" t="s">
        <v>257</v>
      </c>
      <c r="J1085" s="1" t="s">
        <v>258</v>
      </c>
      <c r="K1085" s="1" t="s">
        <v>658</v>
      </c>
      <c r="L1085" s="1" t="s">
        <v>2015</v>
      </c>
      <c r="M1085" s="1" t="s">
        <v>260</v>
      </c>
      <c r="N1085" s="1" t="s">
        <v>261</v>
      </c>
      <c r="O1085" s="1" t="s">
        <v>534</v>
      </c>
      <c r="P1085" s="1" t="str">
        <f>_xlfn.CONCAT(B1085,C1085,D1085,E1085,F1085)</f>
        <v>BC Corumba1.2U02.I0546046,163194444446046,163194444446046,7777777778</v>
      </c>
      <c r="Q1085" s="1" t="str">
        <f>_xlfn.CONCAT(H1085,I1085,J1085)</f>
        <v>DAURDE</v>
      </c>
    </row>
    <row r="1086" spans="2:17">
      <c r="B1086" s="1" t="s">
        <v>724</v>
      </c>
      <c r="C1086" s="1" t="s">
        <v>608</v>
      </c>
      <c r="D1086" s="52">
        <v>46046.163194444445</v>
      </c>
      <c r="E1086" s="52">
        <v>46046.163194444445</v>
      </c>
      <c r="F1086" s="52">
        <v>46046.777777777781</v>
      </c>
      <c r="G1086" s="53">
        <f>F1086-E1086</f>
        <v>0.61458333333575865</v>
      </c>
      <c r="H1086" s="1" t="s">
        <v>257</v>
      </c>
      <c r="J1086" s="1" t="s">
        <v>258</v>
      </c>
      <c r="K1086" s="1" t="s">
        <v>658</v>
      </c>
      <c r="L1086" s="1" t="s">
        <v>2015</v>
      </c>
      <c r="M1086" s="1" t="s">
        <v>260</v>
      </c>
      <c r="N1086" s="1" t="s">
        <v>261</v>
      </c>
      <c r="O1086" s="1" t="s">
        <v>534</v>
      </c>
      <c r="P1086" s="1" t="str">
        <f>_xlfn.CONCAT(B1086,C1086,D1086,E1086,F1086)</f>
        <v>BC Corumba1.3U03.I0146046,163194444446046,163194444446046,7777777778</v>
      </c>
      <c r="Q1086" s="1" t="str">
        <f>_xlfn.CONCAT(H1086,I1086,J1086)</f>
        <v>DAURDE</v>
      </c>
    </row>
    <row r="1087" spans="2:17">
      <c r="B1087" s="1" t="s">
        <v>724</v>
      </c>
      <c r="C1087" s="1" t="s">
        <v>611</v>
      </c>
      <c r="D1087" s="52">
        <v>46046.163194444445</v>
      </c>
      <c r="E1087" s="52">
        <v>46046.163194444445</v>
      </c>
      <c r="F1087" s="52">
        <v>46046.777777777781</v>
      </c>
      <c r="G1087" s="53">
        <f>F1087-E1087</f>
        <v>0.61458333333575865</v>
      </c>
      <c r="H1087" s="1" t="s">
        <v>257</v>
      </c>
      <c r="J1087" s="1" t="s">
        <v>258</v>
      </c>
      <c r="K1087" s="1" t="s">
        <v>658</v>
      </c>
      <c r="L1087" s="1" t="s">
        <v>2015</v>
      </c>
      <c r="M1087" s="1" t="s">
        <v>260</v>
      </c>
      <c r="N1087" s="1" t="s">
        <v>261</v>
      </c>
      <c r="O1087" s="1" t="s">
        <v>534</v>
      </c>
      <c r="P1087" s="1" t="str">
        <f>_xlfn.CONCAT(B1087,C1087,D1087,E1087,F1087)</f>
        <v>BC Corumba1.3U03.I0246046,163194444446046,163194444446046,7777777778</v>
      </c>
      <c r="Q1087" s="1" t="str">
        <f>_xlfn.CONCAT(H1087,I1087,J1087)</f>
        <v>DAURDE</v>
      </c>
    </row>
    <row r="1088" spans="2:17">
      <c r="B1088" s="1" t="s">
        <v>724</v>
      </c>
      <c r="C1088" s="1" t="s">
        <v>536</v>
      </c>
      <c r="D1088" s="52">
        <v>46046.163194444445</v>
      </c>
      <c r="E1088" s="52">
        <v>46046.163194444445</v>
      </c>
      <c r="F1088" s="52">
        <v>46046.777777777781</v>
      </c>
      <c r="G1088" s="53">
        <f>F1088-E1088</f>
        <v>0.61458333333575865</v>
      </c>
      <c r="H1088" s="1" t="s">
        <v>257</v>
      </c>
      <c r="J1088" s="1" t="s">
        <v>258</v>
      </c>
      <c r="K1088" s="1" t="s">
        <v>658</v>
      </c>
      <c r="L1088" s="1" t="s">
        <v>2015</v>
      </c>
      <c r="M1088" s="1" t="s">
        <v>260</v>
      </c>
      <c r="N1088" s="1" t="s">
        <v>261</v>
      </c>
      <c r="O1088" s="1" t="s">
        <v>534</v>
      </c>
      <c r="P1088" s="1" t="str">
        <f>_xlfn.CONCAT(B1088,C1088,D1088,E1088,F1088)</f>
        <v>BC Corumba1.3U03.I0346046,163194444446046,163194444446046,7777777778</v>
      </c>
      <c r="Q1088" s="1" t="str">
        <f>_xlfn.CONCAT(H1088,I1088,J1088)</f>
        <v>DAURDE</v>
      </c>
    </row>
    <row r="1089" spans="2:17">
      <c r="B1089" s="1" t="s">
        <v>725</v>
      </c>
      <c r="C1089" s="1" t="s">
        <v>263</v>
      </c>
      <c r="D1089" s="52">
        <v>46046.163194444445</v>
      </c>
      <c r="E1089" s="52">
        <v>46046.163194444445</v>
      </c>
      <c r="F1089" s="52">
        <v>46046.777777777781</v>
      </c>
      <c r="G1089" s="53">
        <f>F1089-E1089</f>
        <v>0.61458333333575865</v>
      </c>
      <c r="H1089" s="1" t="s">
        <v>257</v>
      </c>
      <c r="J1089" s="1" t="s">
        <v>258</v>
      </c>
      <c r="K1089" s="1" t="s">
        <v>658</v>
      </c>
      <c r="L1089" s="1" t="s">
        <v>2015</v>
      </c>
      <c r="M1089" s="1" t="s">
        <v>260</v>
      </c>
      <c r="N1089" s="1" t="s">
        <v>261</v>
      </c>
      <c r="O1089" s="1" t="s">
        <v>534</v>
      </c>
      <c r="P1089" s="1" t="str">
        <f>_xlfn.CONCAT(B1089,C1089,D1089,E1089,F1089)</f>
        <v>BC Corumba2.1Inverter(MBUS-14)46046,163194444446046,163194444446046,7777777778</v>
      </c>
      <c r="Q1089" s="1" t="str">
        <f>_xlfn.CONCAT(H1089,I1089,J1089)</f>
        <v>DAURDE</v>
      </c>
    </row>
    <row r="1090" spans="2:17">
      <c r="B1090" s="1" t="s">
        <v>725</v>
      </c>
      <c r="C1090" s="1" t="s">
        <v>307</v>
      </c>
      <c r="D1090" s="52">
        <v>46046.163194444445</v>
      </c>
      <c r="E1090" s="52">
        <v>46046.163194444445</v>
      </c>
      <c r="F1090" s="52">
        <v>46046.777777777781</v>
      </c>
      <c r="G1090" s="53">
        <f>F1090-E1090</f>
        <v>0.61458333333575865</v>
      </c>
      <c r="H1090" s="1" t="s">
        <v>257</v>
      </c>
      <c r="J1090" s="1" t="s">
        <v>258</v>
      </c>
      <c r="K1090" s="1" t="s">
        <v>658</v>
      </c>
      <c r="L1090" s="1" t="s">
        <v>2015</v>
      </c>
      <c r="M1090" s="1" t="s">
        <v>260</v>
      </c>
      <c r="N1090" s="1" t="s">
        <v>261</v>
      </c>
      <c r="O1090" s="1" t="s">
        <v>534</v>
      </c>
      <c r="P1090" s="1" t="str">
        <f>_xlfn.CONCAT(B1090,C1090,D1090,E1090,F1090)</f>
        <v>BC Corumba2.1Inverter(MBUS-15)46046,163194444446046,163194444446046,7777777778</v>
      </c>
      <c r="Q1090" s="1" t="str">
        <f>_xlfn.CONCAT(H1090,I1090,J1090)</f>
        <v>DAURDE</v>
      </c>
    </row>
    <row r="1091" spans="2:17">
      <c r="B1091" s="1" t="s">
        <v>725</v>
      </c>
      <c r="C1091" s="1" t="s">
        <v>390</v>
      </c>
      <c r="D1091" s="52">
        <v>46046.163194444445</v>
      </c>
      <c r="E1091" s="52">
        <v>46046.163194444445</v>
      </c>
      <c r="F1091" s="52">
        <v>46046.777777777781</v>
      </c>
      <c r="G1091" s="53">
        <f>F1091-E1091</f>
        <v>0.61458333333575865</v>
      </c>
      <c r="H1091" s="1" t="s">
        <v>257</v>
      </c>
      <c r="J1091" s="1" t="s">
        <v>258</v>
      </c>
      <c r="K1091" s="1" t="s">
        <v>658</v>
      </c>
      <c r="L1091" s="1" t="s">
        <v>2015</v>
      </c>
      <c r="M1091" s="1" t="s">
        <v>260</v>
      </c>
      <c r="N1091" s="1" t="s">
        <v>261</v>
      </c>
      <c r="O1091" s="1" t="s">
        <v>534</v>
      </c>
      <c r="P1091" s="1" t="str">
        <f>_xlfn.CONCAT(B1091,C1091,D1091,E1091,F1091)</f>
        <v>BC Corumba2.1Inverter(MBUS-16)46046,163194444446046,163194444446046,7777777778</v>
      </c>
      <c r="Q1091" s="1" t="str">
        <f>_xlfn.CONCAT(H1091,I1091,J1091)</f>
        <v>DAURDE</v>
      </c>
    </row>
    <row r="1092" spans="2:17">
      <c r="B1092" s="1" t="s">
        <v>725</v>
      </c>
      <c r="C1092" s="1" t="s">
        <v>726</v>
      </c>
      <c r="D1092" s="52">
        <v>46046.163194444445</v>
      </c>
      <c r="E1092" s="52">
        <v>46046.163194444445</v>
      </c>
      <c r="F1092" s="52">
        <v>46046.777777777781</v>
      </c>
      <c r="G1092" s="53">
        <f>F1092-E1092</f>
        <v>0.61458333333575865</v>
      </c>
      <c r="H1092" s="1" t="s">
        <v>257</v>
      </c>
      <c r="J1092" s="1" t="s">
        <v>258</v>
      </c>
      <c r="K1092" s="1" t="s">
        <v>658</v>
      </c>
      <c r="L1092" s="1" t="s">
        <v>2015</v>
      </c>
      <c r="M1092" s="1" t="s">
        <v>260</v>
      </c>
      <c r="N1092" s="1" t="s">
        <v>261</v>
      </c>
      <c r="O1092" s="1" t="s">
        <v>534</v>
      </c>
      <c r="P1092" s="1" t="str">
        <f>_xlfn.CONCAT(B1092,C1092,D1092,E1092,F1092)</f>
        <v>BC Corumba2.1U01. I0146046,163194444446046,163194444446046,7777777778</v>
      </c>
      <c r="Q1092" s="1" t="str">
        <f>_xlfn.CONCAT(H1092,I1092,J1092)</f>
        <v>DAURDE</v>
      </c>
    </row>
    <row r="1093" spans="2:17">
      <c r="B1093" s="1" t="s">
        <v>725</v>
      </c>
      <c r="C1093" s="1" t="s">
        <v>727</v>
      </c>
      <c r="D1093" s="52">
        <v>46046.163194444445</v>
      </c>
      <c r="E1093" s="52">
        <v>46046.163194444445</v>
      </c>
      <c r="F1093" s="52">
        <v>46046.777777777781</v>
      </c>
      <c r="G1093" s="53">
        <f>F1093-E1093</f>
        <v>0.61458333333575865</v>
      </c>
      <c r="H1093" s="1" t="s">
        <v>257</v>
      </c>
      <c r="J1093" s="1" t="s">
        <v>258</v>
      </c>
      <c r="K1093" s="1" t="s">
        <v>658</v>
      </c>
      <c r="L1093" s="1" t="s">
        <v>2015</v>
      </c>
      <c r="M1093" s="1" t="s">
        <v>260</v>
      </c>
      <c r="N1093" s="1" t="s">
        <v>261</v>
      </c>
      <c r="O1093" s="1" t="s">
        <v>534</v>
      </c>
      <c r="P1093" s="1" t="str">
        <f>_xlfn.CONCAT(B1093,C1093,D1093,E1093,F1093)</f>
        <v>BC Corumba2.1U01. I0246046,163194444446046,163194444446046,7777777778</v>
      </c>
      <c r="Q1093" s="1" t="str">
        <f>_xlfn.CONCAT(H1093,I1093,J1093)</f>
        <v>DAURDE</v>
      </c>
    </row>
    <row r="1094" spans="2:17">
      <c r="B1094" s="1" t="s">
        <v>286</v>
      </c>
      <c r="C1094" s="1" t="s">
        <v>287</v>
      </c>
      <c r="D1094" s="52">
        <v>46046.163194444445</v>
      </c>
      <c r="E1094" s="52">
        <v>46046.163194444445</v>
      </c>
      <c r="F1094" s="52">
        <v>46046.777777777781</v>
      </c>
      <c r="G1094" s="53">
        <f>F1094-E1094</f>
        <v>0.61458333333575865</v>
      </c>
      <c r="H1094" s="1" t="s">
        <v>257</v>
      </c>
      <c r="J1094" s="1" t="s">
        <v>258</v>
      </c>
      <c r="K1094" s="1" t="s">
        <v>658</v>
      </c>
      <c r="L1094" s="1" t="s">
        <v>2015</v>
      </c>
      <c r="M1094" s="1" t="s">
        <v>260</v>
      </c>
      <c r="N1094" s="1" t="s">
        <v>261</v>
      </c>
      <c r="O1094" s="1" t="s">
        <v>534</v>
      </c>
      <c r="P1094" s="1" t="str">
        <f>_xlfn.CONCAT(B1094,C1094,D1094,E1094,F1094)</f>
        <v>BC Corumba2.2U02.I0146046,163194444446046,163194444446046,7777777778</v>
      </c>
      <c r="Q1094" s="1" t="str">
        <f>_xlfn.CONCAT(H1094,I1094,J1094)</f>
        <v>DAURDE</v>
      </c>
    </row>
    <row r="1095" spans="2:17">
      <c r="B1095" s="1" t="s">
        <v>286</v>
      </c>
      <c r="C1095" s="1" t="s">
        <v>292</v>
      </c>
      <c r="D1095" s="52">
        <v>46046.163194444445</v>
      </c>
      <c r="E1095" s="52">
        <v>46046.163194444445</v>
      </c>
      <c r="F1095" s="52">
        <v>46046.777777777781</v>
      </c>
      <c r="G1095" s="53">
        <f>F1095-E1095</f>
        <v>0.61458333333575865</v>
      </c>
      <c r="H1095" s="1" t="s">
        <v>257</v>
      </c>
      <c r="J1095" s="1" t="s">
        <v>258</v>
      </c>
      <c r="K1095" s="1" t="s">
        <v>658</v>
      </c>
      <c r="L1095" s="1" t="s">
        <v>2015</v>
      </c>
      <c r="M1095" s="1" t="s">
        <v>260</v>
      </c>
      <c r="N1095" s="1" t="s">
        <v>261</v>
      </c>
      <c r="O1095" s="1" t="s">
        <v>534</v>
      </c>
      <c r="P1095" s="1" t="str">
        <f>_xlfn.CONCAT(B1095,C1095,D1095,E1095,F1095)</f>
        <v>BC Corumba2.2U02.I0246046,163194444446046,163194444446046,7777777778</v>
      </c>
      <c r="Q1095" s="1" t="str">
        <f>_xlfn.CONCAT(H1095,I1095,J1095)</f>
        <v>DAURDE</v>
      </c>
    </row>
    <row r="1096" spans="2:17">
      <c r="B1096" s="1" t="s">
        <v>286</v>
      </c>
      <c r="C1096" s="1" t="s">
        <v>293</v>
      </c>
      <c r="D1096" s="52">
        <v>46046.163194444445</v>
      </c>
      <c r="E1096" s="52">
        <v>46046.163194444445</v>
      </c>
      <c r="F1096" s="52">
        <v>46046.777777777781</v>
      </c>
      <c r="G1096" s="53">
        <f>F1096-E1096</f>
        <v>0.61458333333575865</v>
      </c>
      <c r="H1096" s="1" t="s">
        <v>257</v>
      </c>
      <c r="J1096" s="1" t="s">
        <v>258</v>
      </c>
      <c r="K1096" s="1" t="s">
        <v>658</v>
      </c>
      <c r="L1096" s="1" t="s">
        <v>2015</v>
      </c>
      <c r="M1096" s="1" t="s">
        <v>260</v>
      </c>
      <c r="N1096" s="1" t="s">
        <v>261</v>
      </c>
      <c r="O1096" s="1" t="s">
        <v>534</v>
      </c>
      <c r="P1096" s="1" t="str">
        <f>_xlfn.CONCAT(B1096,C1096,D1096,E1096,F1096)</f>
        <v>BC Corumba2.2U02.I0346046,163194444446046,163194444446046,7777777778</v>
      </c>
      <c r="Q1096" s="1" t="str">
        <f>_xlfn.CONCAT(H1096,I1096,J1096)</f>
        <v>DAURDE</v>
      </c>
    </row>
    <row r="1097" spans="2:17">
      <c r="B1097" s="1" t="s">
        <v>286</v>
      </c>
      <c r="C1097" s="1" t="s">
        <v>294</v>
      </c>
      <c r="D1097" s="52">
        <v>46046.163194444445</v>
      </c>
      <c r="E1097" s="52">
        <v>46046.163194444445</v>
      </c>
      <c r="F1097" s="52">
        <v>46046.777777777781</v>
      </c>
      <c r="G1097" s="53">
        <f>F1097-E1097</f>
        <v>0.61458333333575865</v>
      </c>
      <c r="H1097" s="1" t="s">
        <v>257</v>
      </c>
      <c r="J1097" s="1" t="s">
        <v>258</v>
      </c>
      <c r="K1097" s="1" t="s">
        <v>658</v>
      </c>
      <c r="L1097" s="1" t="s">
        <v>2015</v>
      </c>
      <c r="M1097" s="1" t="s">
        <v>260</v>
      </c>
      <c r="N1097" s="1" t="s">
        <v>261</v>
      </c>
      <c r="O1097" s="1" t="s">
        <v>534</v>
      </c>
      <c r="P1097" s="1" t="str">
        <f>_xlfn.CONCAT(B1097,C1097,D1097,E1097,F1097)</f>
        <v>BC Corumba2.2U02.I0446046,163194444446046,163194444446046,7777777778</v>
      </c>
      <c r="Q1097" s="1" t="str">
        <f>_xlfn.CONCAT(H1097,I1097,J1097)</f>
        <v>DAURDE</v>
      </c>
    </row>
    <row r="1098" spans="2:17">
      <c r="B1098" s="1" t="s">
        <v>286</v>
      </c>
      <c r="C1098" s="1" t="s">
        <v>295</v>
      </c>
      <c r="D1098" s="52">
        <v>46046.163194444445</v>
      </c>
      <c r="E1098" s="52">
        <v>46046.163194444445</v>
      </c>
      <c r="F1098" s="52">
        <v>46046.777777777781</v>
      </c>
      <c r="G1098" s="53">
        <f>F1098-E1098</f>
        <v>0.61458333333575865</v>
      </c>
      <c r="H1098" s="1" t="s">
        <v>257</v>
      </c>
      <c r="J1098" s="1" t="s">
        <v>258</v>
      </c>
      <c r="K1098" s="1" t="s">
        <v>658</v>
      </c>
      <c r="L1098" s="1" t="s">
        <v>2015</v>
      </c>
      <c r="M1098" s="1" t="s">
        <v>260</v>
      </c>
      <c r="N1098" s="1" t="s">
        <v>261</v>
      </c>
      <c r="O1098" s="1" t="s">
        <v>534</v>
      </c>
      <c r="P1098" s="1" t="str">
        <f>_xlfn.CONCAT(B1098,C1098,D1098,E1098,F1098)</f>
        <v>BC Corumba2.2U02.I0546046,163194444446046,163194444446046,7777777778</v>
      </c>
      <c r="Q1098" s="1" t="str">
        <f>_xlfn.CONCAT(H1098,I1098,J1098)</f>
        <v>DAURDE</v>
      </c>
    </row>
    <row r="1099" spans="2:17">
      <c r="B1099" s="1" t="s">
        <v>535</v>
      </c>
      <c r="C1099" s="1" t="s">
        <v>608</v>
      </c>
      <c r="D1099" s="52">
        <v>46046.163194444445</v>
      </c>
      <c r="E1099" s="52">
        <v>46046.163194444445</v>
      </c>
      <c r="F1099" s="52">
        <v>46046.777777777781</v>
      </c>
      <c r="G1099" s="53">
        <f>F1099-E1099</f>
        <v>0.61458333333575865</v>
      </c>
      <c r="H1099" s="1" t="s">
        <v>257</v>
      </c>
      <c r="J1099" s="1" t="s">
        <v>258</v>
      </c>
      <c r="K1099" s="1" t="s">
        <v>658</v>
      </c>
      <c r="L1099" s="1" t="s">
        <v>2015</v>
      </c>
      <c r="M1099" s="1" t="s">
        <v>260</v>
      </c>
      <c r="N1099" s="1" t="s">
        <v>261</v>
      </c>
      <c r="O1099" s="1" t="s">
        <v>534</v>
      </c>
      <c r="P1099" s="1" t="str">
        <f>_xlfn.CONCAT(B1099,C1099,D1099,E1099,F1099)</f>
        <v>BC Corumba2.3U03.I0146046,163194444446046,163194444446046,7777777778</v>
      </c>
      <c r="Q1099" s="1" t="str">
        <f>_xlfn.CONCAT(H1099,I1099,J1099)</f>
        <v>DAURDE</v>
      </c>
    </row>
    <row r="1100" spans="2:17">
      <c r="B1100" s="1" t="s">
        <v>535</v>
      </c>
      <c r="C1100" s="1" t="s">
        <v>611</v>
      </c>
      <c r="D1100" s="52">
        <v>46046.163194444445</v>
      </c>
      <c r="E1100" s="52">
        <v>46046.163194444445</v>
      </c>
      <c r="F1100" s="52">
        <v>46046.777777777781</v>
      </c>
      <c r="G1100" s="53">
        <f>F1100-E1100</f>
        <v>0.61458333333575865</v>
      </c>
      <c r="H1100" s="1" t="s">
        <v>257</v>
      </c>
      <c r="J1100" s="1" t="s">
        <v>258</v>
      </c>
      <c r="K1100" s="1" t="s">
        <v>658</v>
      </c>
      <c r="L1100" s="1" t="s">
        <v>2015</v>
      </c>
      <c r="M1100" s="1" t="s">
        <v>260</v>
      </c>
      <c r="N1100" s="1" t="s">
        <v>261</v>
      </c>
      <c r="O1100" s="1" t="s">
        <v>534</v>
      </c>
      <c r="P1100" s="1" t="str">
        <f>_xlfn.CONCAT(B1100,C1100,D1100,E1100,F1100)</f>
        <v>BC Corumba2.3U03.I0246046,163194444446046,163194444446046,7777777778</v>
      </c>
      <c r="Q1100" s="1" t="str">
        <f>_xlfn.CONCAT(H1100,I1100,J1100)</f>
        <v>DAURDE</v>
      </c>
    </row>
    <row r="1101" spans="2:17">
      <c r="B1101" s="1" t="s">
        <v>535</v>
      </c>
      <c r="C1101" s="1" t="s">
        <v>536</v>
      </c>
      <c r="D1101" s="52">
        <v>46046.163194444445</v>
      </c>
      <c r="E1101" s="52">
        <v>46046.163194444445</v>
      </c>
      <c r="F1101" s="52">
        <v>46046.777777777781</v>
      </c>
      <c r="G1101" s="53">
        <f>F1101-E1101</f>
        <v>0.61458333333575865</v>
      </c>
      <c r="H1101" s="1" t="s">
        <v>257</v>
      </c>
      <c r="J1101" s="1" t="s">
        <v>258</v>
      </c>
      <c r="K1101" s="1" t="s">
        <v>658</v>
      </c>
      <c r="L1101" s="1" t="s">
        <v>2015</v>
      </c>
      <c r="M1101" s="1" t="s">
        <v>260</v>
      </c>
      <c r="N1101" s="1" t="s">
        <v>261</v>
      </c>
      <c r="O1101" s="1" t="s">
        <v>534</v>
      </c>
      <c r="P1101" s="1" t="str">
        <f>_xlfn.CONCAT(B1101,C1101,D1101,E1101,F1101)</f>
        <v>BC Corumba2.3U03.I0346046,163194444446046,163194444446046,7777777778</v>
      </c>
      <c r="Q1101" s="1" t="str">
        <f>_xlfn.CONCAT(H1101,I1101,J1101)</f>
        <v>DAURDE</v>
      </c>
    </row>
    <row r="1102" spans="2:17">
      <c r="B1102" s="1" t="s">
        <v>393</v>
      </c>
      <c r="C1102" s="1" t="s">
        <v>401</v>
      </c>
      <c r="D1102" s="52">
        <v>46046.260416666664</v>
      </c>
      <c r="E1102" s="52">
        <v>46046.260416666664</v>
      </c>
      <c r="F1102" s="52">
        <v>46046.277777777781</v>
      </c>
      <c r="G1102" s="53">
        <f>F1102-E1102</f>
        <v>1.7361111116770189E-2</v>
      </c>
      <c r="H1102" s="1" t="s">
        <v>257</v>
      </c>
      <c r="J1102" s="1" t="s">
        <v>258</v>
      </c>
      <c r="K1102" s="1" t="s">
        <v>658</v>
      </c>
      <c r="L1102" s="1" t="s">
        <v>538</v>
      </c>
      <c r="M1102" s="1" t="s">
        <v>260</v>
      </c>
      <c r="N1102" s="1" t="s">
        <v>261</v>
      </c>
      <c r="O1102" s="1" t="s">
        <v>537</v>
      </c>
      <c r="P1102" s="1" t="str">
        <f>_xlfn.CONCAT(B1102,C1102,D1102,E1102,F1102)</f>
        <v>BC ParanoaSG60KTL(COM1-016)_001_00646046,260416666746046,260416666746046,2777777778</v>
      </c>
      <c r="Q1102" s="1" t="str">
        <f>_xlfn.CONCAT(H1102,I1102,J1102)</f>
        <v>DAURDE</v>
      </c>
    </row>
    <row r="1103" spans="2:17">
      <c r="B1103" s="1" t="s">
        <v>393</v>
      </c>
      <c r="C1103" s="1" t="s">
        <v>406</v>
      </c>
      <c r="D1103" s="52">
        <v>46046.260416666664</v>
      </c>
      <c r="E1103" s="52">
        <v>46046.260416666664</v>
      </c>
      <c r="F1103" s="52">
        <v>46046.277777777781</v>
      </c>
      <c r="G1103" s="53">
        <f>F1103-E1103</f>
        <v>1.7361111116770189E-2</v>
      </c>
      <c r="H1103" s="1" t="s">
        <v>257</v>
      </c>
      <c r="J1103" s="1" t="s">
        <v>258</v>
      </c>
      <c r="K1103" s="1" t="s">
        <v>658</v>
      </c>
      <c r="L1103" s="1" t="s">
        <v>538</v>
      </c>
      <c r="M1103" s="1" t="s">
        <v>260</v>
      </c>
      <c r="N1103" s="1" t="s">
        <v>261</v>
      </c>
      <c r="O1103" s="1" t="s">
        <v>537</v>
      </c>
      <c r="P1103" s="1" t="str">
        <f>_xlfn.CONCAT(B1103,C1103,D1103,E1103,F1103)</f>
        <v>BC ParanoaSG60KTL(COM1-006)_001_01446046,260416666746046,260416666746046,2777777778</v>
      </c>
      <c r="Q1103" s="1" t="str">
        <f>_xlfn.CONCAT(H1103,I1103,J1103)</f>
        <v>DAURDE</v>
      </c>
    </row>
    <row r="1104" spans="2:17">
      <c r="B1104" s="1" t="s">
        <v>393</v>
      </c>
      <c r="C1104" s="1" t="s">
        <v>410</v>
      </c>
      <c r="D1104" s="52">
        <v>46046.260416666664</v>
      </c>
      <c r="E1104" s="52">
        <v>46046.260416666664</v>
      </c>
      <c r="F1104" s="52">
        <v>46046.277777777781</v>
      </c>
      <c r="G1104" s="53">
        <f>F1104-E1104</f>
        <v>1.7361111116770189E-2</v>
      </c>
      <c r="H1104" s="1" t="s">
        <v>257</v>
      </c>
      <c r="J1104" s="1" t="s">
        <v>258</v>
      </c>
      <c r="K1104" s="1" t="s">
        <v>658</v>
      </c>
      <c r="L1104" s="1" t="s">
        <v>538</v>
      </c>
      <c r="M1104" s="1" t="s">
        <v>260</v>
      </c>
      <c r="N1104" s="1" t="s">
        <v>261</v>
      </c>
      <c r="O1104" s="1" t="s">
        <v>537</v>
      </c>
      <c r="P1104" s="1" t="str">
        <f>_xlfn.CONCAT(B1104,C1104,D1104,E1104,F1104)</f>
        <v>BC ParanoaSG60KTL(COM1-021)_002_01746046,260416666746046,260416666746046,2777777778</v>
      </c>
      <c r="Q1104" s="1" t="str">
        <f>_xlfn.CONCAT(H1104,I1104,J1104)</f>
        <v>DAURDE</v>
      </c>
    </row>
    <row r="1105" spans="2:17">
      <c r="B1105" s="1" t="s">
        <v>328</v>
      </c>
      <c r="C1105" s="1" t="s">
        <v>247</v>
      </c>
      <c r="D1105" s="52">
        <v>46046.270833333336</v>
      </c>
      <c r="E1105" s="52">
        <v>46046.270833333336</v>
      </c>
      <c r="F1105" s="52">
        <v>46046.708333333336</v>
      </c>
      <c r="G1105" s="53">
        <f>F1105-E1105</f>
        <v>0.4375</v>
      </c>
      <c r="H1105" s="1" t="s">
        <v>268</v>
      </c>
      <c r="I1105" s="1" t="s">
        <v>269</v>
      </c>
      <c r="J1105" s="1" t="s">
        <v>319</v>
      </c>
      <c r="K1105" s="1" t="s">
        <v>652</v>
      </c>
      <c r="L1105" s="1" t="s">
        <v>539</v>
      </c>
      <c r="M1105" s="1" t="s">
        <v>289</v>
      </c>
      <c r="N1105" s="1" t="s">
        <v>290</v>
      </c>
      <c r="O1105" s="1" t="s">
        <v>540</v>
      </c>
      <c r="P1105" s="1" t="str">
        <f>_xlfn.CONCAT(B1105,C1105,D1105,E1105,F1105)</f>
        <v>BC Aracu5.3Inverter(MBUS-1)46046,270833333346046,270833333346046,7083333333</v>
      </c>
      <c r="Q1105" s="1" t="str">
        <f>_xlfn.CONCAT(H1105,I1105,J1105)</f>
        <v>LIGRFOCOM</v>
      </c>
    </row>
    <row r="1106" spans="2:17">
      <c r="B1106" s="1" t="s">
        <v>321</v>
      </c>
      <c r="C1106" s="1" t="s">
        <v>322</v>
      </c>
      <c r="D1106" s="52">
        <v>46046.340277777781</v>
      </c>
      <c r="E1106" s="52">
        <v>46046.340277777781</v>
      </c>
      <c r="F1106" s="52">
        <v>46046.611111111109</v>
      </c>
      <c r="G1106" s="53">
        <f>F1106-E1106</f>
        <v>0.27083333332848269</v>
      </c>
      <c r="H1106" s="1" t="s">
        <v>257</v>
      </c>
      <c r="J1106" s="1" t="s">
        <v>258</v>
      </c>
      <c r="K1106" s="1" t="s">
        <v>658</v>
      </c>
      <c r="L1106" s="1" t="s">
        <v>541</v>
      </c>
      <c r="M1106" s="1" t="s">
        <v>260</v>
      </c>
      <c r="N1106" s="1" t="s">
        <v>261</v>
      </c>
      <c r="O1106" s="1" t="s">
        <v>542</v>
      </c>
      <c r="P1106" s="1" t="str">
        <f>_xlfn.CONCAT(B1106,C1106,D1106,E1106,F1106)</f>
        <v>BC Aracu4SG75CX(COM1-018)_001_01846046,340277777846046,340277777846046,6111111111</v>
      </c>
      <c r="Q1106" s="1" t="str">
        <f>_xlfn.CONCAT(H1106,I1106,J1106)</f>
        <v>DAURDE</v>
      </c>
    </row>
    <row r="1107" spans="2:17">
      <c r="B1107" s="1" t="s">
        <v>321</v>
      </c>
      <c r="C1107" s="1" t="s">
        <v>324</v>
      </c>
      <c r="D1107" s="52">
        <v>46046.340277777781</v>
      </c>
      <c r="E1107" s="52">
        <v>46046.340277777781</v>
      </c>
      <c r="F1107" s="52">
        <v>46046.611111111109</v>
      </c>
      <c r="G1107" s="53">
        <f>F1107-E1107</f>
        <v>0.27083333332848269</v>
      </c>
      <c r="H1107" s="1" t="s">
        <v>257</v>
      </c>
      <c r="J1107" s="1" t="s">
        <v>258</v>
      </c>
      <c r="K1107" s="1" t="s">
        <v>658</v>
      </c>
      <c r="L1107" s="1" t="s">
        <v>541</v>
      </c>
      <c r="M1107" s="1" t="s">
        <v>260</v>
      </c>
      <c r="N1107" s="1" t="s">
        <v>261</v>
      </c>
      <c r="O1107" s="1" t="s">
        <v>542</v>
      </c>
      <c r="P1107" s="1" t="str">
        <f>_xlfn.CONCAT(B1107,C1107,D1107,E1107,F1107)</f>
        <v>BC Aracu4SG75CX(COM1-019)_001_01946046,340277777846046,340277777846046,6111111111</v>
      </c>
      <c r="Q1107" s="1" t="str">
        <f>_xlfn.CONCAT(H1107,I1107,J1107)</f>
        <v>DAURDE</v>
      </c>
    </row>
    <row r="1108" spans="2:17">
      <c r="B1108" s="1" t="s">
        <v>321</v>
      </c>
      <c r="C1108" s="1" t="s">
        <v>325</v>
      </c>
      <c r="D1108" s="52">
        <v>46046.340277777781</v>
      </c>
      <c r="E1108" s="52">
        <v>46046.340277777781</v>
      </c>
      <c r="F1108" s="52">
        <v>46046.611111111109</v>
      </c>
      <c r="G1108" s="53">
        <f>F1108-E1108</f>
        <v>0.27083333332848269</v>
      </c>
      <c r="H1108" s="1" t="s">
        <v>257</v>
      </c>
      <c r="J1108" s="1" t="s">
        <v>258</v>
      </c>
      <c r="K1108" s="1" t="s">
        <v>658</v>
      </c>
      <c r="L1108" s="1" t="s">
        <v>541</v>
      </c>
      <c r="M1108" s="1" t="s">
        <v>260</v>
      </c>
      <c r="N1108" s="1" t="s">
        <v>261</v>
      </c>
      <c r="O1108" s="1" t="s">
        <v>542</v>
      </c>
      <c r="P1108" s="1" t="str">
        <f>_xlfn.CONCAT(B1108,C1108,D1108,E1108,F1108)</f>
        <v>BC Aracu4SG75CX(COM1-020)_001_02046046,340277777846046,340277777846046,6111111111</v>
      </c>
      <c r="Q1108" s="1" t="str">
        <f>_xlfn.CONCAT(H1108,I1108,J1108)</f>
        <v>DAURDE</v>
      </c>
    </row>
    <row r="1109" spans="2:17">
      <c r="B1109" s="1" t="s">
        <v>321</v>
      </c>
      <c r="C1109" s="1" t="s">
        <v>326</v>
      </c>
      <c r="D1109" s="52">
        <v>46046.340277777781</v>
      </c>
      <c r="E1109" s="52">
        <v>46046.340277777781</v>
      </c>
      <c r="F1109" s="52">
        <v>46046.611111111109</v>
      </c>
      <c r="G1109" s="53">
        <f>F1109-E1109</f>
        <v>0.27083333332848269</v>
      </c>
      <c r="H1109" s="1" t="s">
        <v>257</v>
      </c>
      <c r="J1109" s="1" t="s">
        <v>258</v>
      </c>
      <c r="K1109" s="1" t="s">
        <v>658</v>
      </c>
      <c r="L1109" s="1" t="s">
        <v>541</v>
      </c>
      <c r="M1109" s="1" t="s">
        <v>260</v>
      </c>
      <c r="N1109" s="1" t="s">
        <v>261</v>
      </c>
      <c r="O1109" s="1" t="s">
        <v>542</v>
      </c>
      <c r="P1109" s="1" t="str">
        <f>_xlfn.CONCAT(B1109,C1109,D1109,E1109,F1109)</f>
        <v>BC Aracu4SG75CX(COM1-021)_001_02146046,340277777846046,340277777846046,6111111111</v>
      </c>
      <c r="Q1109" s="1" t="str">
        <f>_xlfn.CONCAT(H1109,I1109,J1109)</f>
        <v>DAURDE</v>
      </c>
    </row>
    <row r="1110" spans="2:17">
      <c r="B1110" s="1" t="s">
        <v>543</v>
      </c>
      <c r="C1110" s="1" t="s">
        <v>544</v>
      </c>
      <c r="D1110" s="52">
        <v>46046.340277777781</v>
      </c>
      <c r="E1110" s="52">
        <v>46046.340277777781</v>
      </c>
      <c r="F1110" s="52">
        <v>46046.611111111109</v>
      </c>
      <c r="G1110" s="53">
        <f>F1110-E1110</f>
        <v>0.27083333332848269</v>
      </c>
      <c r="H1110" s="1" t="s">
        <v>257</v>
      </c>
      <c r="J1110" s="1" t="s">
        <v>258</v>
      </c>
      <c r="K1110" s="1" t="s">
        <v>658</v>
      </c>
      <c r="L1110" s="1" t="s">
        <v>541</v>
      </c>
      <c r="M1110" s="1" t="s">
        <v>260</v>
      </c>
      <c r="N1110" s="1" t="s">
        <v>261</v>
      </c>
      <c r="O1110" s="1" t="s">
        <v>542</v>
      </c>
      <c r="P1110" s="1" t="str">
        <f>_xlfn.CONCAT(B1110,C1110,D1110,E1110,F1110)</f>
        <v>BC Aracu1Inverter7146046,340277777846046,340277777846046,6111111111</v>
      </c>
      <c r="Q1110" s="1" t="str">
        <f>_xlfn.CONCAT(H1110,I1110,J1110)</f>
        <v>DAURDE</v>
      </c>
    </row>
    <row r="1111" spans="2:17">
      <c r="B1111" s="1" t="s">
        <v>543</v>
      </c>
      <c r="C1111" s="1" t="s">
        <v>545</v>
      </c>
      <c r="D1111" s="52">
        <v>46046.340277777781</v>
      </c>
      <c r="E1111" s="52">
        <v>46046.340277777781</v>
      </c>
      <c r="F1111" s="52">
        <v>46046.611111111109</v>
      </c>
      <c r="G1111" s="53">
        <f>F1111-E1111</f>
        <v>0.27083333332848269</v>
      </c>
      <c r="H1111" s="1" t="s">
        <v>257</v>
      </c>
      <c r="J1111" s="1" t="s">
        <v>258</v>
      </c>
      <c r="K1111" s="1" t="s">
        <v>658</v>
      </c>
      <c r="L1111" s="1" t="s">
        <v>541</v>
      </c>
      <c r="M1111" s="1" t="s">
        <v>260</v>
      </c>
      <c r="N1111" s="1" t="s">
        <v>261</v>
      </c>
      <c r="O1111" s="1" t="s">
        <v>542</v>
      </c>
      <c r="P1111" s="1" t="str">
        <f>_xlfn.CONCAT(B1111,C1111,D1111,E1111,F1111)</f>
        <v>BC Aracu1Inverter7246046,340277777846046,340277777846046,6111111111</v>
      </c>
      <c r="Q1111" s="1" t="str">
        <f>_xlfn.CONCAT(H1111,I1111,J1111)</f>
        <v>DAURDE</v>
      </c>
    </row>
    <row r="1112" spans="2:17">
      <c r="B1112" s="1" t="s">
        <v>543</v>
      </c>
      <c r="C1112" s="1" t="s">
        <v>546</v>
      </c>
      <c r="D1112" s="52">
        <v>46046.340277777781</v>
      </c>
      <c r="E1112" s="52">
        <v>46046.340277777781</v>
      </c>
      <c r="F1112" s="52">
        <v>46046.611111111109</v>
      </c>
      <c r="G1112" s="53">
        <f>F1112-E1112</f>
        <v>0.27083333332848269</v>
      </c>
      <c r="H1112" s="1" t="s">
        <v>257</v>
      </c>
      <c r="J1112" s="1" t="s">
        <v>258</v>
      </c>
      <c r="K1112" s="1" t="s">
        <v>658</v>
      </c>
      <c r="L1112" s="1" t="s">
        <v>541</v>
      </c>
      <c r="M1112" s="1" t="s">
        <v>260</v>
      </c>
      <c r="N1112" s="1" t="s">
        <v>261</v>
      </c>
      <c r="O1112" s="1" t="s">
        <v>542</v>
      </c>
      <c r="P1112" s="1" t="str">
        <f>_xlfn.CONCAT(B1112,C1112,D1112,E1112,F1112)</f>
        <v>BC Aracu1Inverter7346046,340277777846046,340277777846046,6111111111</v>
      </c>
      <c r="Q1112" s="1" t="str">
        <f>_xlfn.CONCAT(H1112,I1112,J1112)</f>
        <v>DAURDE</v>
      </c>
    </row>
    <row r="1113" spans="2:17">
      <c r="B1113" s="1" t="s">
        <v>543</v>
      </c>
      <c r="C1113" s="1" t="s">
        <v>547</v>
      </c>
      <c r="D1113" s="52">
        <v>46046.340277777781</v>
      </c>
      <c r="E1113" s="52">
        <v>46046.340277777781</v>
      </c>
      <c r="F1113" s="52">
        <v>46046.611111111109</v>
      </c>
      <c r="G1113" s="53">
        <f>F1113-E1113</f>
        <v>0.27083333332848269</v>
      </c>
      <c r="H1113" s="1" t="s">
        <v>257</v>
      </c>
      <c r="J1113" s="1" t="s">
        <v>258</v>
      </c>
      <c r="K1113" s="1" t="s">
        <v>658</v>
      </c>
      <c r="L1113" s="1" t="s">
        <v>541</v>
      </c>
      <c r="M1113" s="1" t="s">
        <v>260</v>
      </c>
      <c r="N1113" s="1" t="s">
        <v>261</v>
      </c>
      <c r="O1113" s="1" t="s">
        <v>542</v>
      </c>
      <c r="P1113" s="1" t="str">
        <f>_xlfn.CONCAT(B1113,C1113,D1113,E1113,F1113)</f>
        <v>BC Aracu1Inverter7446046,340277777846046,340277777846046,6111111111</v>
      </c>
      <c r="Q1113" s="1" t="str">
        <f>_xlfn.CONCAT(H1113,I1113,J1113)</f>
        <v>DAURDE</v>
      </c>
    </row>
    <row r="1114" spans="2:17">
      <c r="B1114" s="1" t="s">
        <v>543</v>
      </c>
      <c r="C1114" s="1" t="s">
        <v>548</v>
      </c>
      <c r="D1114" s="52">
        <v>46046.340277777781</v>
      </c>
      <c r="E1114" s="52">
        <v>46046.340277777781</v>
      </c>
      <c r="F1114" s="52">
        <v>46046.611111111109</v>
      </c>
      <c r="G1114" s="53">
        <f>F1114-E1114</f>
        <v>0.27083333332848269</v>
      </c>
      <c r="H1114" s="1" t="s">
        <v>257</v>
      </c>
      <c r="J1114" s="1" t="s">
        <v>258</v>
      </c>
      <c r="K1114" s="1" t="s">
        <v>658</v>
      </c>
      <c r="L1114" s="1" t="s">
        <v>541</v>
      </c>
      <c r="M1114" s="1" t="s">
        <v>260</v>
      </c>
      <c r="N1114" s="1" t="s">
        <v>261</v>
      </c>
      <c r="O1114" s="1" t="s">
        <v>542</v>
      </c>
      <c r="P1114" s="1" t="str">
        <f>_xlfn.CONCAT(B1114,C1114,D1114,E1114,F1114)</f>
        <v>BC Aracu1Inverter7546046,340277777846046,340277777846046,6111111111</v>
      </c>
      <c r="Q1114" s="1" t="str">
        <f>_xlfn.CONCAT(H1114,I1114,J1114)</f>
        <v>DAURDE</v>
      </c>
    </row>
    <row r="1115" spans="2:17">
      <c r="B1115" s="1" t="s">
        <v>543</v>
      </c>
      <c r="C1115" s="1" t="s">
        <v>549</v>
      </c>
      <c r="D1115" s="52">
        <v>46046.340277777781</v>
      </c>
      <c r="E1115" s="52">
        <v>46046.340277777781</v>
      </c>
      <c r="F1115" s="52">
        <v>46046.611111111109</v>
      </c>
      <c r="G1115" s="53">
        <f>F1115-E1115</f>
        <v>0.27083333332848269</v>
      </c>
      <c r="H1115" s="1" t="s">
        <v>257</v>
      </c>
      <c r="J1115" s="1" t="s">
        <v>258</v>
      </c>
      <c r="K1115" s="1" t="s">
        <v>658</v>
      </c>
      <c r="L1115" s="1" t="s">
        <v>541</v>
      </c>
      <c r="M1115" s="1" t="s">
        <v>260</v>
      </c>
      <c r="N1115" s="1" t="s">
        <v>261</v>
      </c>
      <c r="O1115" s="1" t="s">
        <v>542</v>
      </c>
      <c r="P1115" s="1" t="str">
        <f>_xlfn.CONCAT(B1115,C1115,D1115,E1115,F1115)</f>
        <v>BC Aracu1Inverter7646046,340277777846046,340277777846046,6111111111</v>
      </c>
      <c r="Q1115" s="1" t="str">
        <f>_xlfn.CONCAT(H1115,I1115,J1115)</f>
        <v>DAURDE</v>
      </c>
    </row>
    <row r="1116" spans="2:17">
      <c r="B1116" s="1" t="s">
        <v>543</v>
      </c>
      <c r="C1116" s="1" t="s">
        <v>550</v>
      </c>
      <c r="D1116" s="52">
        <v>46046.340277777781</v>
      </c>
      <c r="E1116" s="52">
        <v>46046.340277777781</v>
      </c>
      <c r="F1116" s="52">
        <v>46046.611111111109</v>
      </c>
      <c r="G1116" s="53">
        <f>F1116-E1116</f>
        <v>0.27083333332848269</v>
      </c>
      <c r="H1116" s="1" t="s">
        <v>257</v>
      </c>
      <c r="J1116" s="1" t="s">
        <v>258</v>
      </c>
      <c r="K1116" s="1" t="s">
        <v>658</v>
      </c>
      <c r="L1116" s="1" t="s">
        <v>541</v>
      </c>
      <c r="M1116" s="1" t="s">
        <v>260</v>
      </c>
      <c r="N1116" s="1" t="s">
        <v>261</v>
      </c>
      <c r="O1116" s="1" t="s">
        <v>542</v>
      </c>
      <c r="P1116" s="1" t="str">
        <f>_xlfn.CONCAT(B1116,C1116,D1116,E1116,F1116)</f>
        <v>BC Aracu1Inverter7746046,340277777846046,340277777846046,6111111111</v>
      </c>
      <c r="Q1116" s="1" t="str">
        <f>_xlfn.CONCAT(H1116,I1116,J1116)</f>
        <v>DAURDE</v>
      </c>
    </row>
    <row r="1117" spans="2:17">
      <c r="B1117" s="1" t="s">
        <v>358</v>
      </c>
      <c r="C1117" s="1" t="s">
        <v>359</v>
      </c>
      <c r="D1117" s="52">
        <v>46046.340277777781</v>
      </c>
      <c r="E1117" s="52">
        <v>46046.340277777781</v>
      </c>
      <c r="F1117" s="52">
        <v>46046.611111111109</v>
      </c>
      <c r="G1117" s="53">
        <f>F1117-E1117</f>
        <v>0.27083333332848269</v>
      </c>
      <c r="H1117" s="1" t="s">
        <v>257</v>
      </c>
      <c r="J1117" s="1" t="s">
        <v>258</v>
      </c>
      <c r="K1117" s="1" t="s">
        <v>658</v>
      </c>
      <c r="L1117" s="1" t="s">
        <v>541</v>
      </c>
      <c r="M1117" s="1" t="s">
        <v>260</v>
      </c>
      <c r="N1117" s="1" t="s">
        <v>261</v>
      </c>
      <c r="O1117" s="1" t="s">
        <v>542</v>
      </c>
      <c r="P1117" s="1" t="str">
        <f>_xlfn.CONCAT(B1117,C1117,D1117,E1117,F1117)</f>
        <v>BC Aracu2araçu 2.1 inversor 146046,340277777846046,340277777846046,6111111111</v>
      </c>
      <c r="Q1117" s="1" t="str">
        <f>_xlfn.CONCAT(H1117,I1117,J1117)</f>
        <v>DAURDE</v>
      </c>
    </row>
    <row r="1118" spans="2:17">
      <c r="B1118" s="1" t="s">
        <v>358</v>
      </c>
      <c r="C1118" s="1" t="s">
        <v>551</v>
      </c>
      <c r="D1118" s="52">
        <v>46046.340277777781</v>
      </c>
      <c r="E1118" s="52">
        <v>46046.340277777781</v>
      </c>
      <c r="F1118" s="52">
        <v>46046.611111111109</v>
      </c>
      <c r="G1118" s="53">
        <f>F1118-E1118</f>
        <v>0.27083333332848269</v>
      </c>
      <c r="H1118" s="1" t="s">
        <v>257</v>
      </c>
      <c r="J1118" s="1" t="s">
        <v>258</v>
      </c>
      <c r="K1118" s="1" t="s">
        <v>658</v>
      </c>
      <c r="L1118" s="1" t="s">
        <v>541</v>
      </c>
      <c r="M1118" s="1" t="s">
        <v>260</v>
      </c>
      <c r="N1118" s="1" t="s">
        <v>261</v>
      </c>
      <c r="O1118" s="1" t="s">
        <v>542</v>
      </c>
      <c r="P1118" s="1" t="str">
        <f>_xlfn.CONCAT(B1118,C1118,D1118,E1118,F1118)</f>
        <v>BC Aracu2araçu 2.1 inversor 246046,340277777846046,340277777846046,6111111111</v>
      </c>
      <c r="Q1118" s="1" t="str">
        <f>_xlfn.CONCAT(H1118,I1118,J1118)</f>
        <v>DAURDE</v>
      </c>
    </row>
    <row r="1119" spans="2:17">
      <c r="B1119" s="1" t="s">
        <v>358</v>
      </c>
      <c r="C1119" s="1" t="s">
        <v>552</v>
      </c>
      <c r="D1119" s="52">
        <v>46046.340277777781</v>
      </c>
      <c r="E1119" s="52">
        <v>46046.340277777781</v>
      </c>
      <c r="F1119" s="52">
        <v>46046.611111111109</v>
      </c>
      <c r="G1119" s="53">
        <f>F1119-E1119</f>
        <v>0.27083333332848269</v>
      </c>
      <c r="H1119" s="1" t="s">
        <v>257</v>
      </c>
      <c r="J1119" s="1" t="s">
        <v>258</v>
      </c>
      <c r="K1119" s="1" t="s">
        <v>658</v>
      </c>
      <c r="L1119" s="1" t="s">
        <v>541</v>
      </c>
      <c r="M1119" s="1" t="s">
        <v>260</v>
      </c>
      <c r="N1119" s="1" t="s">
        <v>261</v>
      </c>
      <c r="O1119" s="1" t="s">
        <v>542</v>
      </c>
      <c r="P1119" s="1" t="str">
        <f>_xlfn.CONCAT(B1119,C1119,D1119,E1119,F1119)</f>
        <v>BC Aracu2araçu 2.1 inversor 346046,340277777846046,340277777846046,6111111111</v>
      </c>
      <c r="Q1119" s="1" t="str">
        <f>_xlfn.CONCAT(H1119,I1119,J1119)</f>
        <v>DAURDE</v>
      </c>
    </row>
    <row r="1120" spans="2:17">
      <c r="B1120" s="1" t="s">
        <v>358</v>
      </c>
      <c r="C1120" s="1" t="s">
        <v>553</v>
      </c>
      <c r="D1120" s="52">
        <v>46046.340277777781</v>
      </c>
      <c r="E1120" s="52">
        <v>46046.340277777781</v>
      </c>
      <c r="F1120" s="52">
        <v>46046.611111111109</v>
      </c>
      <c r="G1120" s="53">
        <f>F1120-E1120</f>
        <v>0.27083333332848269</v>
      </c>
      <c r="H1120" s="1" t="s">
        <v>257</v>
      </c>
      <c r="J1120" s="1" t="s">
        <v>258</v>
      </c>
      <c r="K1120" s="1" t="s">
        <v>658</v>
      </c>
      <c r="L1120" s="1" t="s">
        <v>541</v>
      </c>
      <c r="M1120" s="1" t="s">
        <v>260</v>
      </c>
      <c r="N1120" s="1" t="s">
        <v>261</v>
      </c>
      <c r="O1120" s="1" t="s">
        <v>542</v>
      </c>
      <c r="P1120" s="1" t="str">
        <f>_xlfn.CONCAT(B1120,C1120,D1120,E1120,F1120)</f>
        <v>BC Aracu2araçu 2.2 inversor 146046,340277777846046,340277777846046,6111111111</v>
      </c>
      <c r="Q1120" s="1" t="str">
        <f>_xlfn.CONCAT(H1120,I1120,J1120)</f>
        <v>DAURDE</v>
      </c>
    </row>
    <row r="1121" spans="2:17">
      <c r="B1121" s="1" t="s">
        <v>358</v>
      </c>
      <c r="C1121" s="1" t="s">
        <v>554</v>
      </c>
      <c r="D1121" s="52">
        <v>46046.340277777781</v>
      </c>
      <c r="E1121" s="52">
        <v>46046.340277777781</v>
      </c>
      <c r="F1121" s="52">
        <v>46046.611111111109</v>
      </c>
      <c r="G1121" s="53">
        <f>F1121-E1121</f>
        <v>0.27083333332848269</v>
      </c>
      <c r="H1121" s="1" t="s">
        <v>257</v>
      </c>
      <c r="J1121" s="1" t="s">
        <v>258</v>
      </c>
      <c r="K1121" s="1" t="s">
        <v>658</v>
      </c>
      <c r="L1121" s="1" t="s">
        <v>541</v>
      </c>
      <c r="M1121" s="1" t="s">
        <v>260</v>
      </c>
      <c r="N1121" s="1" t="s">
        <v>261</v>
      </c>
      <c r="O1121" s="1" t="s">
        <v>542</v>
      </c>
      <c r="P1121" s="1" t="str">
        <f>_xlfn.CONCAT(B1121,C1121,D1121,E1121,F1121)</f>
        <v>BC Aracu2araçu 2.2 inversor 246046,340277777846046,340277777846046,6111111111</v>
      </c>
      <c r="Q1121" s="1" t="str">
        <f>_xlfn.CONCAT(H1121,I1121,J1121)</f>
        <v>DAURDE</v>
      </c>
    </row>
    <row r="1122" spans="2:17">
      <c r="B1122" s="1" t="s">
        <v>358</v>
      </c>
      <c r="C1122" s="1" t="s">
        <v>555</v>
      </c>
      <c r="D1122" s="52">
        <v>46046.340277777781</v>
      </c>
      <c r="E1122" s="52">
        <v>46046.340277777781</v>
      </c>
      <c r="F1122" s="52">
        <v>46046.611111111109</v>
      </c>
      <c r="G1122" s="53">
        <f>F1122-E1122</f>
        <v>0.27083333332848269</v>
      </c>
      <c r="H1122" s="1" t="s">
        <v>257</v>
      </c>
      <c r="J1122" s="1" t="s">
        <v>258</v>
      </c>
      <c r="K1122" s="1" t="s">
        <v>658</v>
      </c>
      <c r="L1122" s="1" t="s">
        <v>541</v>
      </c>
      <c r="M1122" s="1" t="s">
        <v>260</v>
      </c>
      <c r="N1122" s="1" t="s">
        <v>261</v>
      </c>
      <c r="O1122" s="1" t="s">
        <v>542</v>
      </c>
      <c r="P1122" s="1" t="str">
        <f>_xlfn.CONCAT(B1122,C1122,D1122,E1122,F1122)</f>
        <v>BC Aracu2araçu 2.2 inversor 346046,340277777846046,340277777846046,6111111111</v>
      </c>
      <c r="Q1122" s="1" t="str">
        <f>_xlfn.CONCAT(H1122,I1122,J1122)</f>
        <v>DAURDE</v>
      </c>
    </row>
    <row r="1123" spans="2:17">
      <c r="B1123" s="1" t="s">
        <v>358</v>
      </c>
      <c r="C1123" s="1" t="s">
        <v>556</v>
      </c>
      <c r="D1123" s="52">
        <v>46046.340277777781</v>
      </c>
      <c r="E1123" s="52">
        <v>46046.340277777781</v>
      </c>
      <c r="F1123" s="52">
        <v>46046.611111111109</v>
      </c>
      <c r="G1123" s="53">
        <f>F1123-E1123</f>
        <v>0.27083333332848269</v>
      </c>
      <c r="H1123" s="1" t="s">
        <v>257</v>
      </c>
      <c r="J1123" s="1" t="s">
        <v>258</v>
      </c>
      <c r="K1123" s="1" t="s">
        <v>658</v>
      </c>
      <c r="L1123" s="1" t="s">
        <v>541</v>
      </c>
      <c r="M1123" s="1" t="s">
        <v>260</v>
      </c>
      <c r="N1123" s="1" t="s">
        <v>261</v>
      </c>
      <c r="O1123" s="1" t="s">
        <v>542</v>
      </c>
      <c r="P1123" s="1" t="str">
        <f>_xlfn.CONCAT(B1123,C1123,D1123,E1123,F1123)</f>
        <v>BC Aracu2Inverter8346046,340277777846046,340277777846046,6111111111</v>
      </c>
      <c r="Q1123" s="1" t="str">
        <f>_xlfn.CONCAT(H1123,I1123,J1123)</f>
        <v>DAURDE</v>
      </c>
    </row>
    <row r="1124" spans="2:17">
      <c r="B1124" s="1" t="s">
        <v>358</v>
      </c>
      <c r="C1124" s="1" t="s">
        <v>557</v>
      </c>
      <c r="D1124" s="52">
        <v>46046.340277777781</v>
      </c>
      <c r="E1124" s="52">
        <v>46046.340277777781</v>
      </c>
      <c r="F1124" s="52">
        <v>46046.611111111109</v>
      </c>
      <c r="G1124" s="53">
        <f>F1124-E1124</f>
        <v>0.27083333332848269</v>
      </c>
      <c r="H1124" s="1" t="s">
        <v>257</v>
      </c>
      <c r="J1124" s="1" t="s">
        <v>258</v>
      </c>
      <c r="K1124" s="1" t="s">
        <v>658</v>
      </c>
      <c r="L1124" s="1" t="s">
        <v>541</v>
      </c>
      <c r="M1124" s="1" t="s">
        <v>260</v>
      </c>
      <c r="N1124" s="1" t="s">
        <v>261</v>
      </c>
      <c r="O1124" s="1" t="s">
        <v>542</v>
      </c>
      <c r="P1124" s="1" t="str">
        <f>_xlfn.CONCAT(B1124,C1124,D1124,E1124,F1124)</f>
        <v>BC Aracu2araçu 2.3 inversor 546046,340277777846046,340277777846046,6111111111</v>
      </c>
      <c r="Q1124" s="1" t="str">
        <f>_xlfn.CONCAT(H1124,I1124,J1124)</f>
        <v>DAURDE</v>
      </c>
    </row>
    <row r="1125" spans="2:17">
      <c r="B1125" s="1" t="s">
        <v>358</v>
      </c>
      <c r="C1125" s="1" t="s">
        <v>558</v>
      </c>
      <c r="D1125" s="52">
        <v>46046.340277777781</v>
      </c>
      <c r="E1125" s="52">
        <v>46046.340277777781</v>
      </c>
      <c r="F1125" s="52">
        <v>46046.611111111109</v>
      </c>
      <c r="G1125" s="53">
        <f>F1125-E1125</f>
        <v>0.27083333332848269</v>
      </c>
      <c r="H1125" s="1" t="s">
        <v>257</v>
      </c>
      <c r="J1125" s="1" t="s">
        <v>258</v>
      </c>
      <c r="K1125" s="1" t="s">
        <v>658</v>
      </c>
      <c r="L1125" s="1" t="s">
        <v>541</v>
      </c>
      <c r="M1125" s="1" t="s">
        <v>260</v>
      </c>
      <c r="N1125" s="1" t="s">
        <v>261</v>
      </c>
      <c r="O1125" s="1" t="s">
        <v>542</v>
      </c>
      <c r="P1125" s="1" t="str">
        <f>_xlfn.CONCAT(B1125,C1125,D1125,E1125,F1125)</f>
        <v>BC Aracu2araçu 2.3 inversor 146046,340277777846046,340277777846046,6111111111</v>
      </c>
      <c r="Q1125" s="1" t="str">
        <f>_xlfn.CONCAT(H1125,I1125,J1125)</f>
        <v>DAURDE</v>
      </c>
    </row>
    <row r="1126" spans="2:17">
      <c r="B1126" s="1" t="s">
        <v>358</v>
      </c>
      <c r="C1126" s="1" t="s">
        <v>559</v>
      </c>
      <c r="D1126" s="52">
        <v>46046.340277777781</v>
      </c>
      <c r="E1126" s="52">
        <v>46046.340277777781</v>
      </c>
      <c r="F1126" s="52">
        <v>46046.611111111109</v>
      </c>
      <c r="G1126" s="53">
        <f>F1126-E1126</f>
        <v>0.27083333332848269</v>
      </c>
      <c r="H1126" s="1" t="s">
        <v>257</v>
      </c>
      <c r="J1126" s="1" t="s">
        <v>258</v>
      </c>
      <c r="K1126" s="1" t="s">
        <v>658</v>
      </c>
      <c r="L1126" s="1" t="s">
        <v>541</v>
      </c>
      <c r="M1126" s="1" t="s">
        <v>260</v>
      </c>
      <c r="N1126" s="1" t="s">
        <v>261</v>
      </c>
      <c r="O1126" s="1" t="s">
        <v>542</v>
      </c>
      <c r="P1126" s="1" t="str">
        <f>_xlfn.CONCAT(B1126,C1126,D1126,E1126,F1126)</f>
        <v>BC Aracu2araçu 2.3 inversor 246046,340277777846046,340277777846046,6111111111</v>
      </c>
      <c r="Q1126" s="1" t="str">
        <f>_xlfn.CONCAT(H1126,I1126,J1126)</f>
        <v>DAURDE</v>
      </c>
    </row>
    <row r="1127" spans="2:17">
      <c r="B1127" s="1" t="s">
        <v>358</v>
      </c>
      <c r="C1127" s="1" t="s">
        <v>560</v>
      </c>
      <c r="D1127" s="52">
        <v>46046.340277777781</v>
      </c>
      <c r="E1127" s="52">
        <v>46046.340277777781</v>
      </c>
      <c r="F1127" s="52">
        <v>46046.611111111109</v>
      </c>
      <c r="G1127" s="53">
        <f>F1127-E1127</f>
        <v>0.27083333332848269</v>
      </c>
      <c r="H1127" s="1" t="s">
        <v>257</v>
      </c>
      <c r="J1127" s="1" t="s">
        <v>258</v>
      </c>
      <c r="K1127" s="1" t="s">
        <v>658</v>
      </c>
      <c r="L1127" s="1" t="s">
        <v>541</v>
      </c>
      <c r="M1127" s="1" t="s">
        <v>260</v>
      </c>
      <c r="N1127" s="1" t="s">
        <v>261</v>
      </c>
      <c r="O1127" s="1" t="s">
        <v>542</v>
      </c>
      <c r="P1127" s="1" t="str">
        <f>_xlfn.CONCAT(B1127,C1127,D1127,E1127,F1127)</f>
        <v>BC Aracu2araçu 2.3 inversor 446046,340277777846046,340277777846046,6111111111</v>
      </c>
      <c r="Q1127" s="1" t="str">
        <f>_xlfn.CONCAT(H1127,I1127,J1127)</f>
        <v>DAURDE</v>
      </c>
    </row>
    <row r="1128" spans="2:17">
      <c r="B1128" s="1" t="s">
        <v>358</v>
      </c>
      <c r="C1128" s="1" t="s">
        <v>561</v>
      </c>
      <c r="D1128" s="52">
        <v>46046.340277777781</v>
      </c>
      <c r="E1128" s="52">
        <v>46046.340277777781</v>
      </c>
      <c r="F1128" s="52">
        <v>46046.611111111109</v>
      </c>
      <c r="G1128" s="53">
        <f>F1128-E1128</f>
        <v>0.27083333332848269</v>
      </c>
      <c r="H1128" s="1" t="s">
        <v>257</v>
      </c>
      <c r="J1128" s="1" t="s">
        <v>258</v>
      </c>
      <c r="K1128" s="1" t="s">
        <v>658</v>
      </c>
      <c r="L1128" s="1" t="s">
        <v>541</v>
      </c>
      <c r="M1128" s="1" t="s">
        <v>260</v>
      </c>
      <c r="N1128" s="1" t="s">
        <v>261</v>
      </c>
      <c r="O1128" s="1" t="s">
        <v>542</v>
      </c>
      <c r="P1128" s="1" t="str">
        <f>_xlfn.CONCAT(B1128,C1128,D1128,E1128,F1128)</f>
        <v>BC Aracu2araçu 2.3 inversor 346046,340277777846046,340277777846046,6111111111</v>
      </c>
      <c r="Q1128" s="1" t="str">
        <f>_xlfn.CONCAT(H1128,I1128,J1128)</f>
        <v>DAURDE</v>
      </c>
    </row>
    <row r="1129" spans="2:17">
      <c r="B1129" s="1" t="s">
        <v>358</v>
      </c>
      <c r="C1129" s="1" t="s">
        <v>562</v>
      </c>
      <c r="D1129" s="52">
        <v>46046.340277777781</v>
      </c>
      <c r="E1129" s="52">
        <v>46046.340277777781</v>
      </c>
      <c r="F1129" s="52">
        <v>46046.611111111109</v>
      </c>
      <c r="G1129" s="53">
        <f>F1129-E1129</f>
        <v>0.27083333332848269</v>
      </c>
      <c r="H1129" s="1" t="s">
        <v>257</v>
      </c>
      <c r="J1129" s="1" t="s">
        <v>258</v>
      </c>
      <c r="K1129" s="1" t="s">
        <v>658</v>
      </c>
      <c r="L1129" s="1" t="s">
        <v>541</v>
      </c>
      <c r="M1129" s="1" t="s">
        <v>260</v>
      </c>
      <c r="N1129" s="1" t="s">
        <v>261</v>
      </c>
      <c r="O1129" s="1" t="s">
        <v>542</v>
      </c>
      <c r="P1129" s="1" t="str">
        <f>_xlfn.CONCAT(B1129,C1129,D1129,E1129,F1129)</f>
        <v>BC Aracu2araçu 2.4 inversor 346046,340277777846046,340277777846046,6111111111</v>
      </c>
      <c r="Q1129" s="1" t="str">
        <f>_xlfn.CONCAT(H1129,I1129,J1129)</f>
        <v>DAURDE</v>
      </c>
    </row>
    <row r="1130" spans="2:17">
      <c r="B1130" s="1" t="s">
        <v>358</v>
      </c>
      <c r="C1130" s="1" t="s">
        <v>563</v>
      </c>
      <c r="D1130" s="52">
        <v>46046.340277777781</v>
      </c>
      <c r="E1130" s="52">
        <v>46046.340277777781</v>
      </c>
      <c r="F1130" s="52">
        <v>46046.611111111109</v>
      </c>
      <c r="G1130" s="53">
        <f>F1130-E1130</f>
        <v>0.27083333332848269</v>
      </c>
      <c r="H1130" s="1" t="s">
        <v>257</v>
      </c>
      <c r="J1130" s="1" t="s">
        <v>258</v>
      </c>
      <c r="K1130" s="1" t="s">
        <v>658</v>
      </c>
      <c r="L1130" s="1" t="s">
        <v>541</v>
      </c>
      <c r="M1130" s="1" t="s">
        <v>260</v>
      </c>
      <c r="N1130" s="1" t="s">
        <v>261</v>
      </c>
      <c r="O1130" s="1" t="s">
        <v>542</v>
      </c>
      <c r="P1130" s="1" t="str">
        <f>_xlfn.CONCAT(B1130,C1130,D1130,E1130,F1130)</f>
        <v>BC Aracu2araçu 2.4 inversor 146046,340277777846046,340277777846046,6111111111</v>
      </c>
      <c r="Q1130" s="1" t="str">
        <f>_xlfn.CONCAT(H1130,I1130,J1130)</f>
        <v>DAURDE</v>
      </c>
    </row>
    <row r="1131" spans="2:17">
      <c r="B1131" s="1" t="s">
        <v>358</v>
      </c>
      <c r="C1131" s="1" t="s">
        <v>564</v>
      </c>
      <c r="D1131" s="52">
        <v>46046.340277777781</v>
      </c>
      <c r="E1131" s="52">
        <v>46046.340277777781</v>
      </c>
      <c r="F1131" s="52">
        <v>46046.611111111109</v>
      </c>
      <c r="G1131" s="53">
        <f>F1131-E1131</f>
        <v>0.27083333332848269</v>
      </c>
      <c r="H1131" s="1" t="s">
        <v>257</v>
      </c>
      <c r="J1131" s="1" t="s">
        <v>258</v>
      </c>
      <c r="K1131" s="1" t="s">
        <v>658</v>
      </c>
      <c r="L1131" s="1" t="s">
        <v>541</v>
      </c>
      <c r="M1131" s="1" t="s">
        <v>260</v>
      </c>
      <c r="N1131" s="1" t="s">
        <v>261</v>
      </c>
      <c r="O1131" s="1" t="s">
        <v>542</v>
      </c>
      <c r="P1131" s="1" t="str">
        <f>_xlfn.CONCAT(B1131,C1131,D1131,E1131,F1131)</f>
        <v>BC Aracu2araçu 2.4 inversor 646046,340277777846046,340277777846046,6111111111</v>
      </c>
      <c r="Q1131" s="1" t="str">
        <f>_xlfn.CONCAT(H1131,I1131,J1131)</f>
        <v>DAURDE</v>
      </c>
    </row>
    <row r="1132" spans="2:17">
      <c r="B1132" s="1" t="s">
        <v>358</v>
      </c>
      <c r="C1132" s="1" t="s">
        <v>565</v>
      </c>
      <c r="D1132" s="52">
        <v>46046.340277777781</v>
      </c>
      <c r="E1132" s="52">
        <v>46046.340277777781</v>
      </c>
      <c r="F1132" s="52">
        <v>46046.611111111109</v>
      </c>
      <c r="G1132" s="53">
        <f>F1132-E1132</f>
        <v>0.27083333332848269</v>
      </c>
      <c r="H1132" s="1" t="s">
        <v>257</v>
      </c>
      <c r="J1132" s="1" t="s">
        <v>258</v>
      </c>
      <c r="K1132" s="1" t="s">
        <v>658</v>
      </c>
      <c r="L1132" s="1" t="s">
        <v>541</v>
      </c>
      <c r="M1132" s="1" t="s">
        <v>260</v>
      </c>
      <c r="N1132" s="1" t="s">
        <v>261</v>
      </c>
      <c r="O1132" s="1" t="s">
        <v>542</v>
      </c>
      <c r="P1132" s="1" t="str">
        <f>_xlfn.CONCAT(B1132,C1132,D1132,E1132,F1132)</f>
        <v>BC Aracu2araçu 2.4 inversor 446046,340277777846046,340277777846046,6111111111</v>
      </c>
      <c r="Q1132" s="1" t="str">
        <f>_xlfn.CONCAT(H1132,I1132,J1132)</f>
        <v>DAURDE</v>
      </c>
    </row>
    <row r="1133" spans="2:17">
      <c r="B1133" s="1" t="s">
        <v>358</v>
      </c>
      <c r="C1133" s="1" t="s">
        <v>566</v>
      </c>
      <c r="D1133" s="52">
        <v>46046.340277777781</v>
      </c>
      <c r="E1133" s="52">
        <v>46046.340277777781</v>
      </c>
      <c r="F1133" s="52">
        <v>46046.611111111109</v>
      </c>
      <c r="G1133" s="53">
        <f>F1133-E1133</f>
        <v>0.27083333332848269</v>
      </c>
      <c r="H1133" s="1" t="s">
        <v>257</v>
      </c>
      <c r="J1133" s="1" t="s">
        <v>258</v>
      </c>
      <c r="K1133" s="1" t="s">
        <v>658</v>
      </c>
      <c r="L1133" s="1" t="s">
        <v>541</v>
      </c>
      <c r="M1133" s="1" t="s">
        <v>260</v>
      </c>
      <c r="N1133" s="1" t="s">
        <v>261</v>
      </c>
      <c r="O1133" s="1" t="s">
        <v>542</v>
      </c>
      <c r="P1133" s="1" t="str">
        <f>_xlfn.CONCAT(B1133,C1133,D1133,E1133,F1133)</f>
        <v>BC Aracu2araçu 2.4 inversor 246046,340277777846046,340277777846046,6111111111</v>
      </c>
      <c r="Q1133" s="1" t="str">
        <f>_xlfn.CONCAT(H1133,I1133,J1133)</f>
        <v>DAURDE</v>
      </c>
    </row>
    <row r="1134" spans="2:17">
      <c r="B1134" s="1" t="s">
        <v>358</v>
      </c>
      <c r="C1134" s="1" t="s">
        <v>567</v>
      </c>
      <c r="D1134" s="52">
        <v>46046.340277777781</v>
      </c>
      <c r="E1134" s="52">
        <v>46046.340277777781</v>
      </c>
      <c r="F1134" s="52">
        <v>46046.611111111109</v>
      </c>
      <c r="G1134" s="53">
        <f>F1134-E1134</f>
        <v>0.27083333332848269</v>
      </c>
      <c r="H1134" s="1" t="s">
        <v>257</v>
      </c>
      <c r="J1134" s="1" t="s">
        <v>258</v>
      </c>
      <c r="K1134" s="1" t="s">
        <v>658</v>
      </c>
      <c r="L1134" s="1" t="s">
        <v>541</v>
      </c>
      <c r="M1134" s="1" t="s">
        <v>260</v>
      </c>
      <c r="N1134" s="1" t="s">
        <v>261</v>
      </c>
      <c r="O1134" s="1" t="s">
        <v>542</v>
      </c>
      <c r="P1134" s="1" t="str">
        <f>_xlfn.CONCAT(B1134,C1134,D1134,E1134,F1134)</f>
        <v>BC Aracu2araçu 2.4 inversor 546046,340277777846046,340277777846046,6111111111</v>
      </c>
      <c r="Q1134" s="1" t="str">
        <f>_xlfn.CONCAT(H1134,I1134,J1134)</f>
        <v>DAURDE</v>
      </c>
    </row>
    <row r="1135" spans="2:17">
      <c r="B1135" s="1" t="s">
        <v>568</v>
      </c>
      <c r="C1135" s="1" t="s">
        <v>569</v>
      </c>
      <c r="D1135" s="52">
        <v>46046.340277777781</v>
      </c>
      <c r="E1135" s="52">
        <v>46046.340277777781</v>
      </c>
      <c r="F1135" s="52">
        <v>46046.611111111109</v>
      </c>
      <c r="G1135" s="53">
        <f>F1135-E1135</f>
        <v>0.27083333332848269</v>
      </c>
      <c r="H1135" s="1" t="s">
        <v>257</v>
      </c>
      <c r="J1135" s="1" t="s">
        <v>258</v>
      </c>
      <c r="K1135" s="1" t="s">
        <v>658</v>
      </c>
      <c r="L1135" s="1" t="s">
        <v>541</v>
      </c>
      <c r="M1135" s="1" t="s">
        <v>260</v>
      </c>
      <c r="N1135" s="1" t="s">
        <v>261</v>
      </c>
      <c r="O1135" s="1" t="s">
        <v>542</v>
      </c>
      <c r="P1135" s="1" t="str">
        <f>_xlfn.CONCAT(B1135,C1135,D1135,E1135,F1135)</f>
        <v>BC Aracu3Inverter446046,340277777846046,340277777846046,6111111111</v>
      </c>
      <c r="Q1135" s="1" t="str">
        <f>_xlfn.CONCAT(H1135,I1135,J1135)</f>
        <v>DAURDE</v>
      </c>
    </row>
    <row r="1136" spans="2:17">
      <c r="B1136" s="1" t="s">
        <v>568</v>
      </c>
      <c r="C1136" s="1" t="s">
        <v>570</v>
      </c>
      <c r="D1136" s="52">
        <v>46046.340277777781</v>
      </c>
      <c r="E1136" s="52">
        <v>46046.340277777781</v>
      </c>
      <c r="F1136" s="52">
        <v>46046.611111111109</v>
      </c>
      <c r="G1136" s="53">
        <f>F1136-E1136</f>
        <v>0.27083333332848269</v>
      </c>
      <c r="H1136" s="1" t="s">
        <v>257</v>
      </c>
      <c r="J1136" s="1" t="s">
        <v>258</v>
      </c>
      <c r="K1136" s="1" t="s">
        <v>658</v>
      </c>
      <c r="L1136" s="1" t="s">
        <v>541</v>
      </c>
      <c r="M1136" s="1" t="s">
        <v>260</v>
      </c>
      <c r="N1136" s="1" t="s">
        <v>261</v>
      </c>
      <c r="O1136" s="1" t="s">
        <v>542</v>
      </c>
      <c r="P1136" s="1" t="str">
        <f>_xlfn.CONCAT(B1136,C1136,D1136,E1136,F1136)</f>
        <v>BC Aracu3Inverter346046,340277777846046,340277777846046,6111111111</v>
      </c>
      <c r="Q1136" s="1" t="str">
        <f>_xlfn.CONCAT(H1136,I1136,J1136)</f>
        <v>DAURDE</v>
      </c>
    </row>
    <row r="1137" spans="2:17">
      <c r="B1137" s="1" t="s">
        <v>568</v>
      </c>
      <c r="C1137" s="1" t="s">
        <v>571</v>
      </c>
      <c r="D1137" s="52">
        <v>46046.340277777781</v>
      </c>
      <c r="E1137" s="52">
        <v>46046.340277777781</v>
      </c>
      <c r="F1137" s="52">
        <v>46046.611111111109</v>
      </c>
      <c r="G1137" s="53">
        <f>F1137-E1137</f>
        <v>0.27083333332848269</v>
      </c>
      <c r="H1137" s="1" t="s">
        <v>257</v>
      </c>
      <c r="J1137" s="1" t="s">
        <v>258</v>
      </c>
      <c r="K1137" s="1" t="s">
        <v>658</v>
      </c>
      <c r="L1137" s="1" t="s">
        <v>541</v>
      </c>
      <c r="M1137" s="1" t="s">
        <v>260</v>
      </c>
      <c r="N1137" s="1" t="s">
        <v>261</v>
      </c>
      <c r="O1137" s="1" t="s">
        <v>542</v>
      </c>
      <c r="P1137" s="1" t="str">
        <f>_xlfn.CONCAT(B1137,C1137,D1137,E1137,F1137)</f>
        <v>BC Aracu3Inverter146046,340277777846046,340277777846046,6111111111</v>
      </c>
      <c r="Q1137" s="1" t="str">
        <f>_xlfn.CONCAT(H1137,I1137,J1137)</f>
        <v>DAURDE</v>
      </c>
    </row>
    <row r="1138" spans="2:17">
      <c r="B1138" s="1" t="s">
        <v>568</v>
      </c>
      <c r="C1138" s="1" t="s">
        <v>572</v>
      </c>
      <c r="D1138" s="52">
        <v>46046.340277777781</v>
      </c>
      <c r="E1138" s="52">
        <v>46046.340277777781</v>
      </c>
      <c r="F1138" s="52">
        <v>46046.611111111109</v>
      </c>
      <c r="G1138" s="53">
        <f>F1138-E1138</f>
        <v>0.27083333332848269</v>
      </c>
      <c r="H1138" s="1" t="s">
        <v>257</v>
      </c>
      <c r="J1138" s="1" t="s">
        <v>258</v>
      </c>
      <c r="K1138" s="1" t="s">
        <v>658</v>
      </c>
      <c r="L1138" s="1" t="s">
        <v>541</v>
      </c>
      <c r="M1138" s="1" t="s">
        <v>260</v>
      </c>
      <c r="N1138" s="1" t="s">
        <v>261</v>
      </c>
      <c r="O1138" s="1" t="s">
        <v>542</v>
      </c>
      <c r="P1138" s="1" t="str">
        <f>_xlfn.CONCAT(B1138,C1138,D1138,E1138,F1138)</f>
        <v>BC Aracu3Inverter246046,340277777846046,340277777846046,6111111111</v>
      </c>
      <c r="Q1138" s="1" t="str">
        <f>_xlfn.CONCAT(H1138,I1138,J1138)</f>
        <v>DAURDE</v>
      </c>
    </row>
    <row r="1139" spans="2:17">
      <c r="B1139" s="1" t="s">
        <v>327</v>
      </c>
      <c r="C1139" s="1" t="s">
        <v>247</v>
      </c>
      <c r="D1139" s="52">
        <v>46046.340277777781</v>
      </c>
      <c r="E1139" s="52">
        <v>46046.340277777781</v>
      </c>
      <c r="F1139" s="52">
        <v>46046.611111111109</v>
      </c>
      <c r="G1139" s="53">
        <f>F1139-E1139</f>
        <v>0.27083333332848269</v>
      </c>
      <c r="H1139" s="1" t="s">
        <v>257</v>
      </c>
      <c r="J1139" s="1" t="s">
        <v>258</v>
      </c>
      <c r="K1139" s="1" t="s">
        <v>658</v>
      </c>
      <c r="L1139" s="1" t="s">
        <v>541</v>
      </c>
      <c r="M1139" s="1" t="s">
        <v>260</v>
      </c>
      <c r="N1139" s="1" t="s">
        <v>261</v>
      </c>
      <c r="O1139" s="1" t="s">
        <v>542</v>
      </c>
      <c r="P1139" s="1" t="str">
        <f>_xlfn.CONCAT(B1139,C1139,D1139,E1139,F1139)</f>
        <v>BC Aracu5.1Inverter(MBUS-1)46046,340277777846046,340277777846046,6111111111</v>
      </c>
      <c r="Q1139" s="1" t="str">
        <f>_xlfn.CONCAT(H1139,I1139,J1139)</f>
        <v>DAURDE</v>
      </c>
    </row>
    <row r="1140" spans="2:17">
      <c r="B1140" s="1" t="s">
        <v>246</v>
      </c>
      <c r="C1140" s="1" t="s">
        <v>247</v>
      </c>
      <c r="D1140" s="52">
        <v>46046.340277777781</v>
      </c>
      <c r="E1140" s="52">
        <v>46046.340277777781</v>
      </c>
      <c r="F1140" s="52">
        <v>46046.611111111109</v>
      </c>
      <c r="G1140" s="53">
        <f>F1140-E1140</f>
        <v>0.27083333332848269</v>
      </c>
      <c r="H1140" s="1" t="s">
        <v>257</v>
      </c>
      <c r="J1140" s="1" t="s">
        <v>258</v>
      </c>
      <c r="K1140" s="1" t="s">
        <v>658</v>
      </c>
      <c r="L1140" s="1" t="s">
        <v>541</v>
      </c>
      <c r="M1140" s="1" t="s">
        <v>260</v>
      </c>
      <c r="N1140" s="1" t="s">
        <v>261</v>
      </c>
      <c r="O1140" s="1" t="s">
        <v>542</v>
      </c>
      <c r="P1140" s="1" t="str">
        <f>_xlfn.CONCAT(B1140,C1140,D1140,E1140,F1140)</f>
        <v>BC Aracu5.2Inverter(MBUS-1)46046,340277777846046,340277777846046,6111111111</v>
      </c>
      <c r="Q1140" s="1" t="str">
        <f>_xlfn.CONCAT(H1140,I1140,J1140)</f>
        <v>DAURDE</v>
      </c>
    </row>
    <row r="1141" spans="2:17">
      <c r="B1141" s="1" t="s">
        <v>328</v>
      </c>
      <c r="C1141" s="1" t="s">
        <v>247</v>
      </c>
      <c r="D1141" s="52">
        <v>46046.340277777781</v>
      </c>
      <c r="E1141" s="52">
        <v>46046.340277777781</v>
      </c>
      <c r="F1141" s="52">
        <v>46046.611111111109</v>
      </c>
      <c r="G1141" s="53">
        <f>F1141-E1141</f>
        <v>0.27083333332848269</v>
      </c>
      <c r="H1141" s="1" t="s">
        <v>257</v>
      </c>
      <c r="J1141" s="1" t="s">
        <v>258</v>
      </c>
      <c r="K1141" s="1" t="s">
        <v>658</v>
      </c>
      <c r="L1141" s="1" t="s">
        <v>541</v>
      </c>
      <c r="M1141" s="1" t="s">
        <v>260</v>
      </c>
      <c r="N1141" s="1" t="s">
        <v>261</v>
      </c>
      <c r="O1141" s="1" t="s">
        <v>542</v>
      </c>
      <c r="P1141" s="1" t="str">
        <f>_xlfn.CONCAT(B1141,C1141,D1141,E1141,F1141)</f>
        <v>BC Aracu5.3Inverter(MBUS-1)46046,340277777846046,340277777846046,6111111111</v>
      </c>
      <c r="Q1141" s="1" t="str">
        <f>_xlfn.CONCAT(H1141,I1141,J1141)</f>
        <v>DAURDE</v>
      </c>
    </row>
    <row r="1142" spans="2:17">
      <c r="B1142" s="1" t="s">
        <v>329</v>
      </c>
      <c r="C1142" s="1" t="s">
        <v>247</v>
      </c>
      <c r="D1142" s="52">
        <v>46046.340277777781</v>
      </c>
      <c r="E1142" s="52">
        <v>46046.340277777781</v>
      </c>
      <c r="F1142" s="52">
        <v>46046.611111111109</v>
      </c>
      <c r="G1142" s="53">
        <f>F1142-E1142</f>
        <v>0.27083333332848269</v>
      </c>
      <c r="H1142" s="1" t="s">
        <v>257</v>
      </c>
      <c r="J1142" s="1" t="s">
        <v>258</v>
      </c>
      <c r="K1142" s="1" t="s">
        <v>658</v>
      </c>
      <c r="L1142" s="1" t="s">
        <v>541</v>
      </c>
      <c r="M1142" s="1" t="s">
        <v>260</v>
      </c>
      <c r="N1142" s="1" t="s">
        <v>261</v>
      </c>
      <c r="O1142" s="1" t="s">
        <v>542</v>
      </c>
      <c r="P1142" s="1" t="str">
        <f>_xlfn.CONCAT(B1142,C1142,D1142,E1142,F1142)</f>
        <v>BC Aracu5.4Inverter(MBUS-1)46046,340277777846046,340277777846046,6111111111</v>
      </c>
      <c r="Q1142" s="1" t="str">
        <f>_xlfn.CONCAT(H1142,I1142,J1142)</f>
        <v>DAURDE</v>
      </c>
    </row>
    <row r="1143" spans="2:17">
      <c r="B1143" s="1" t="s">
        <v>330</v>
      </c>
      <c r="C1143" s="1" t="s">
        <v>247</v>
      </c>
      <c r="D1143" s="52">
        <v>46046.340277777781</v>
      </c>
      <c r="E1143" s="52">
        <v>46046.340277777781</v>
      </c>
      <c r="F1143" s="52">
        <v>46046.611111111109</v>
      </c>
      <c r="G1143" s="53">
        <f>F1143-E1143</f>
        <v>0.27083333332848269</v>
      </c>
      <c r="H1143" s="1" t="s">
        <v>257</v>
      </c>
      <c r="J1143" s="1" t="s">
        <v>258</v>
      </c>
      <c r="K1143" s="1" t="s">
        <v>658</v>
      </c>
      <c r="L1143" s="1" t="s">
        <v>541</v>
      </c>
      <c r="M1143" s="1" t="s">
        <v>260</v>
      </c>
      <c r="N1143" s="1" t="s">
        <v>261</v>
      </c>
      <c r="O1143" s="1" t="s">
        <v>542</v>
      </c>
      <c r="P1143" s="1" t="str">
        <f>_xlfn.CONCAT(B1143,C1143,D1143,E1143,F1143)</f>
        <v>BC Aracu5.5Inverter(MBUS-1)46046,340277777846046,340277777846046,6111111111</v>
      </c>
      <c r="Q1143" s="1" t="str">
        <f>_xlfn.CONCAT(H1143,I1143,J1143)</f>
        <v>DAURDE</v>
      </c>
    </row>
    <row r="1144" spans="2:17">
      <c r="B1144" s="1" t="s">
        <v>573</v>
      </c>
      <c r="C1144" s="1" t="s">
        <v>574</v>
      </c>
      <c r="D1144" s="52">
        <v>46046.659722222219</v>
      </c>
      <c r="E1144" s="52">
        <v>46046.659722222219</v>
      </c>
      <c r="F1144" s="52">
        <v>46053.999988425923</v>
      </c>
      <c r="G1144" s="53">
        <f>F1144-E1144</f>
        <v>7.3402662037042319</v>
      </c>
      <c r="H1144" s="1" t="s">
        <v>268</v>
      </c>
      <c r="I1144" s="1" t="s">
        <v>269</v>
      </c>
      <c r="J1144" s="1" t="s">
        <v>319</v>
      </c>
      <c r="K1144" s="1" t="s">
        <v>652</v>
      </c>
      <c r="L1144" s="1" t="s">
        <v>575</v>
      </c>
      <c r="M1144" s="1" t="s">
        <v>289</v>
      </c>
      <c r="N1144" s="1" t="s">
        <v>253</v>
      </c>
      <c r="O1144" s="1" t="s">
        <v>576</v>
      </c>
      <c r="P1144" s="1" t="str">
        <f>_xlfn.CONCAT(B1144,C1144,D1144,E1144,F1144)</f>
        <v>BC Vazante2.3Inverter(MBUS-11)46046,659722222246046,659722222246053,9999884259</v>
      </c>
      <c r="Q1144" s="1" t="str">
        <f>_xlfn.CONCAT(H1144,I1144,J1144)</f>
        <v>LIGRFOCOM</v>
      </c>
    </row>
    <row r="1145" spans="2:17">
      <c r="B1145" s="1" t="s">
        <v>573</v>
      </c>
      <c r="C1145" s="1" t="s">
        <v>256</v>
      </c>
      <c r="D1145" s="52">
        <v>46046.659722222219</v>
      </c>
      <c r="E1145" s="52">
        <v>46046.659722222219</v>
      </c>
      <c r="F1145" s="52">
        <v>46053.999988425923</v>
      </c>
      <c r="G1145" s="53">
        <f>F1145-E1145</f>
        <v>7.3402662037042319</v>
      </c>
      <c r="H1145" s="1" t="s">
        <v>268</v>
      </c>
      <c r="I1145" s="1" t="s">
        <v>269</v>
      </c>
      <c r="J1145" s="1" t="s">
        <v>319</v>
      </c>
      <c r="K1145" s="1" t="s">
        <v>652</v>
      </c>
      <c r="L1145" s="1" t="s">
        <v>575</v>
      </c>
      <c r="M1145" s="1" t="s">
        <v>289</v>
      </c>
      <c r="N1145" s="1" t="s">
        <v>253</v>
      </c>
      <c r="O1145" s="1" t="s">
        <v>576</v>
      </c>
      <c r="P1145" s="1" t="str">
        <f>_xlfn.CONCAT(B1145,C1145,D1145,E1145,F1145)</f>
        <v>BC Vazante2.3Inverter(MBUS-12)46046,659722222246046,659722222246053,9999884259</v>
      </c>
      <c r="Q1145" s="1" t="str">
        <f>_xlfn.CONCAT(H1145,I1145,J1145)</f>
        <v>LIGRFOCOM</v>
      </c>
    </row>
    <row r="1146" spans="2:17">
      <c r="B1146" s="1" t="s">
        <v>573</v>
      </c>
      <c r="C1146" s="1" t="s">
        <v>264</v>
      </c>
      <c r="D1146" s="52">
        <v>46046.659722222219</v>
      </c>
      <c r="E1146" s="52">
        <v>46046.659722222219</v>
      </c>
      <c r="F1146" s="52">
        <v>46053.999988425923</v>
      </c>
      <c r="G1146" s="53">
        <f>F1146-E1146</f>
        <v>7.3402662037042319</v>
      </c>
      <c r="H1146" s="1" t="s">
        <v>268</v>
      </c>
      <c r="I1146" s="1" t="s">
        <v>269</v>
      </c>
      <c r="J1146" s="1" t="s">
        <v>319</v>
      </c>
      <c r="K1146" s="1" t="s">
        <v>652</v>
      </c>
      <c r="L1146" s="1" t="s">
        <v>575</v>
      </c>
      <c r="M1146" s="1" t="s">
        <v>289</v>
      </c>
      <c r="N1146" s="1" t="s">
        <v>253</v>
      </c>
      <c r="O1146" s="1" t="s">
        <v>576</v>
      </c>
      <c r="P1146" s="1" t="str">
        <f>_xlfn.CONCAT(B1146,C1146,D1146,E1146,F1146)</f>
        <v>BC Vazante2.3Inverter(MBUS-13)46046,659722222246046,659722222246053,9999884259</v>
      </c>
      <c r="Q1146" s="1" t="str">
        <f>_xlfn.CONCAT(H1146,I1146,J1146)</f>
        <v>LIGRFOCOM</v>
      </c>
    </row>
    <row r="1147" spans="2:17">
      <c r="B1147" s="1" t="s">
        <v>305</v>
      </c>
      <c r="C1147" s="1" t="s">
        <v>256</v>
      </c>
      <c r="D1147" s="52">
        <v>46046.739583333336</v>
      </c>
      <c r="E1147" s="52">
        <v>46046.739583333336</v>
      </c>
      <c r="F1147" s="52">
        <v>46046.833333333336</v>
      </c>
      <c r="G1147" s="53">
        <f>F1147-E1147</f>
        <v>9.375E-2</v>
      </c>
      <c r="H1147" s="1" t="s">
        <v>257</v>
      </c>
      <c r="J1147" s="1" t="s">
        <v>258</v>
      </c>
      <c r="K1147" s="1" t="s">
        <v>658</v>
      </c>
      <c r="L1147" s="1" t="s">
        <v>577</v>
      </c>
      <c r="M1147" s="1" t="s">
        <v>260</v>
      </c>
      <c r="N1147" s="1" t="s">
        <v>261</v>
      </c>
      <c r="O1147" s="1" t="s">
        <v>578</v>
      </c>
      <c r="P1147" s="1" t="str">
        <f>_xlfn.CONCAT(B1147,C1147,D1147,E1147,F1147)</f>
        <v>ARAGUATINS 1.1Inverter(MBUS-12)46046,739583333346046,739583333346046,8333333333</v>
      </c>
      <c r="Q1147" s="1" t="str">
        <f>_xlfn.CONCAT(H1147,I1147,J1147)</f>
        <v>DAURDE</v>
      </c>
    </row>
    <row r="1148" spans="2:17">
      <c r="B1148" s="1" t="s">
        <v>305</v>
      </c>
      <c r="C1148" s="1" t="s">
        <v>264</v>
      </c>
      <c r="D1148" s="52">
        <v>46046.739583333336</v>
      </c>
      <c r="E1148" s="52">
        <v>46046.739583333336</v>
      </c>
      <c r="F1148" s="52">
        <v>46046.833333333336</v>
      </c>
      <c r="G1148" s="53">
        <f>F1148-E1148</f>
        <v>9.375E-2</v>
      </c>
      <c r="H1148" s="1" t="s">
        <v>257</v>
      </c>
      <c r="J1148" s="1" t="s">
        <v>258</v>
      </c>
      <c r="K1148" s="1" t="s">
        <v>658</v>
      </c>
      <c r="L1148" s="1" t="s">
        <v>577</v>
      </c>
      <c r="M1148" s="1" t="s">
        <v>260</v>
      </c>
      <c r="N1148" s="1" t="s">
        <v>261</v>
      </c>
      <c r="O1148" s="1" t="s">
        <v>578</v>
      </c>
      <c r="P1148" s="1" t="str">
        <f>_xlfn.CONCAT(B1148,C1148,D1148,E1148,F1148)</f>
        <v>ARAGUATINS 1.1Inverter(MBUS-13)46046,739583333346046,739583333346046,8333333333</v>
      </c>
      <c r="Q1148" s="1" t="str">
        <f>_xlfn.CONCAT(H1148,I1148,J1148)</f>
        <v>DAURDE</v>
      </c>
    </row>
    <row r="1149" spans="2:17">
      <c r="B1149" s="1" t="s">
        <v>305</v>
      </c>
      <c r="C1149" s="1" t="s">
        <v>263</v>
      </c>
      <c r="D1149" s="52">
        <v>46046.739583333336</v>
      </c>
      <c r="E1149" s="52">
        <v>46046.739583333336</v>
      </c>
      <c r="F1149" s="52">
        <v>46046.833333333336</v>
      </c>
      <c r="G1149" s="53">
        <f>F1149-E1149</f>
        <v>9.375E-2</v>
      </c>
      <c r="H1149" s="1" t="s">
        <v>257</v>
      </c>
      <c r="J1149" s="1" t="s">
        <v>258</v>
      </c>
      <c r="K1149" s="1" t="s">
        <v>658</v>
      </c>
      <c r="L1149" s="1" t="s">
        <v>577</v>
      </c>
      <c r="M1149" s="1" t="s">
        <v>260</v>
      </c>
      <c r="N1149" s="1" t="s">
        <v>261</v>
      </c>
      <c r="O1149" s="1" t="s">
        <v>578</v>
      </c>
      <c r="P1149" s="1" t="str">
        <f>_xlfn.CONCAT(B1149,C1149,D1149,E1149,F1149)</f>
        <v>ARAGUATINS 1.1Inverter(MBUS-14)46046,739583333346046,739583333346046,8333333333</v>
      </c>
      <c r="Q1149" s="1" t="str">
        <f>_xlfn.CONCAT(H1149,I1149,J1149)</f>
        <v>DAURDE</v>
      </c>
    </row>
    <row r="1150" spans="2:17">
      <c r="B1150" s="1" t="s">
        <v>305</v>
      </c>
      <c r="C1150" s="1" t="s">
        <v>307</v>
      </c>
      <c r="D1150" s="52">
        <v>46046.739583333336</v>
      </c>
      <c r="E1150" s="52">
        <v>46046.739583333336</v>
      </c>
      <c r="F1150" s="52">
        <v>46046.833333333336</v>
      </c>
      <c r="G1150" s="53">
        <f>F1150-E1150</f>
        <v>9.375E-2</v>
      </c>
      <c r="H1150" s="1" t="s">
        <v>257</v>
      </c>
      <c r="J1150" s="1" t="s">
        <v>258</v>
      </c>
      <c r="K1150" s="1" t="s">
        <v>658</v>
      </c>
      <c r="L1150" s="1" t="s">
        <v>577</v>
      </c>
      <c r="M1150" s="1" t="s">
        <v>260</v>
      </c>
      <c r="N1150" s="1" t="s">
        <v>261</v>
      </c>
      <c r="O1150" s="1" t="s">
        <v>578</v>
      </c>
      <c r="P1150" s="1" t="str">
        <f>_xlfn.CONCAT(B1150,C1150,D1150,E1150,F1150)</f>
        <v>ARAGUATINS 1.1Inverter(MBUS-15)46046,739583333346046,739583333346046,8333333333</v>
      </c>
      <c r="Q1150" s="1" t="str">
        <f>_xlfn.CONCAT(H1150,I1150,J1150)</f>
        <v>DAURDE</v>
      </c>
    </row>
    <row r="1151" spans="2:17">
      <c r="B1151" s="1" t="s">
        <v>308</v>
      </c>
      <c r="C1151" s="1" t="s">
        <v>256</v>
      </c>
      <c r="D1151" s="52">
        <v>46046.739583333336</v>
      </c>
      <c r="E1151" s="52">
        <v>46046.739583333336</v>
      </c>
      <c r="F1151" s="52">
        <v>46046.833333333336</v>
      </c>
      <c r="G1151" s="53">
        <f>F1151-E1151</f>
        <v>9.375E-2</v>
      </c>
      <c r="H1151" s="1" t="s">
        <v>257</v>
      </c>
      <c r="J1151" s="1" t="s">
        <v>258</v>
      </c>
      <c r="K1151" s="1" t="s">
        <v>658</v>
      </c>
      <c r="L1151" s="1" t="s">
        <v>577</v>
      </c>
      <c r="M1151" s="1" t="s">
        <v>260</v>
      </c>
      <c r="N1151" s="1" t="s">
        <v>261</v>
      </c>
      <c r="O1151" s="1" t="s">
        <v>578</v>
      </c>
      <c r="P1151" s="1" t="str">
        <f>_xlfn.CONCAT(B1151,C1151,D1151,E1151,F1151)</f>
        <v>ARAGUATINS 1.2Inverter(MBUS-12)46046,739583333346046,739583333346046,8333333333</v>
      </c>
      <c r="Q1151" s="1" t="str">
        <f>_xlfn.CONCAT(H1151,I1151,J1151)</f>
        <v>DAURDE</v>
      </c>
    </row>
    <row r="1152" spans="2:17">
      <c r="B1152" s="1" t="s">
        <v>308</v>
      </c>
      <c r="C1152" s="1" t="s">
        <v>264</v>
      </c>
      <c r="D1152" s="52">
        <v>46046.739583333336</v>
      </c>
      <c r="E1152" s="52">
        <v>46046.739583333336</v>
      </c>
      <c r="F1152" s="52">
        <v>46046.833333333336</v>
      </c>
      <c r="G1152" s="53">
        <f>F1152-E1152</f>
        <v>9.375E-2</v>
      </c>
      <c r="H1152" s="1" t="s">
        <v>257</v>
      </c>
      <c r="J1152" s="1" t="s">
        <v>258</v>
      </c>
      <c r="K1152" s="1" t="s">
        <v>658</v>
      </c>
      <c r="L1152" s="1" t="s">
        <v>577</v>
      </c>
      <c r="M1152" s="1" t="s">
        <v>260</v>
      </c>
      <c r="N1152" s="1" t="s">
        <v>261</v>
      </c>
      <c r="O1152" s="1" t="s">
        <v>578</v>
      </c>
      <c r="P1152" s="1" t="str">
        <f>_xlfn.CONCAT(B1152,C1152,D1152,E1152,F1152)</f>
        <v>ARAGUATINS 1.2Inverter(MBUS-13)46046,739583333346046,739583333346046,8333333333</v>
      </c>
      <c r="Q1152" s="1" t="str">
        <f>_xlfn.CONCAT(H1152,I1152,J1152)</f>
        <v>DAURDE</v>
      </c>
    </row>
    <row r="1153" spans="2:17">
      <c r="B1153" s="1" t="s">
        <v>308</v>
      </c>
      <c r="C1153" s="1" t="s">
        <v>263</v>
      </c>
      <c r="D1153" s="52">
        <v>46046.739583333336</v>
      </c>
      <c r="E1153" s="52">
        <v>46046.739583333336</v>
      </c>
      <c r="F1153" s="52">
        <v>46046.833333333336</v>
      </c>
      <c r="G1153" s="53">
        <f>F1153-E1153</f>
        <v>9.375E-2</v>
      </c>
      <c r="H1153" s="1" t="s">
        <v>257</v>
      </c>
      <c r="J1153" s="1" t="s">
        <v>258</v>
      </c>
      <c r="K1153" s="1" t="s">
        <v>658</v>
      </c>
      <c r="L1153" s="1" t="s">
        <v>577</v>
      </c>
      <c r="M1153" s="1" t="s">
        <v>260</v>
      </c>
      <c r="N1153" s="1" t="s">
        <v>261</v>
      </c>
      <c r="O1153" s="1" t="s">
        <v>578</v>
      </c>
      <c r="P1153" s="1" t="str">
        <f>_xlfn.CONCAT(B1153,C1153,D1153,E1153,F1153)</f>
        <v>ARAGUATINS 1.2Inverter(MBUS-14)46046,739583333346046,739583333346046,8333333333</v>
      </c>
      <c r="Q1153" s="1" t="str">
        <f>_xlfn.CONCAT(H1153,I1153,J1153)</f>
        <v>DAURDE</v>
      </c>
    </row>
    <row r="1154" spans="2:17">
      <c r="B1154" s="1" t="s">
        <v>308</v>
      </c>
      <c r="C1154" s="1" t="s">
        <v>307</v>
      </c>
      <c r="D1154" s="52">
        <v>46046.739583333336</v>
      </c>
      <c r="E1154" s="52">
        <v>46046.739583333336</v>
      </c>
      <c r="F1154" s="52">
        <v>46046.833333333336</v>
      </c>
      <c r="G1154" s="53">
        <f>F1154-E1154</f>
        <v>9.375E-2</v>
      </c>
      <c r="H1154" s="1" t="s">
        <v>257</v>
      </c>
      <c r="J1154" s="1" t="s">
        <v>258</v>
      </c>
      <c r="K1154" s="1" t="s">
        <v>658</v>
      </c>
      <c r="L1154" s="1" t="s">
        <v>577</v>
      </c>
      <c r="M1154" s="1" t="s">
        <v>260</v>
      </c>
      <c r="N1154" s="1" t="s">
        <v>261</v>
      </c>
      <c r="O1154" s="1" t="s">
        <v>578</v>
      </c>
      <c r="P1154" s="1" t="str">
        <f>_xlfn.CONCAT(B1154,C1154,D1154,E1154,F1154)</f>
        <v>ARAGUATINS 1.2Inverter(MBUS-15)46046,739583333346046,739583333346046,8333333333</v>
      </c>
      <c r="Q1154" s="1" t="str">
        <f>_xlfn.CONCAT(H1154,I1154,J1154)</f>
        <v>DAURDE</v>
      </c>
    </row>
    <row r="1155" spans="2:17">
      <c r="B1155" s="1" t="s">
        <v>309</v>
      </c>
      <c r="C1155" s="1" t="s">
        <v>310</v>
      </c>
      <c r="D1155" s="52">
        <v>46046.739583333336</v>
      </c>
      <c r="E1155" s="52">
        <v>46046.739583333336</v>
      </c>
      <c r="F1155" s="52">
        <v>46046.833333333336</v>
      </c>
      <c r="G1155" s="53">
        <f>F1155-E1155</f>
        <v>9.375E-2</v>
      </c>
      <c r="H1155" s="1" t="s">
        <v>257</v>
      </c>
      <c r="J1155" s="1" t="s">
        <v>258</v>
      </c>
      <c r="K1155" s="1" t="s">
        <v>658</v>
      </c>
      <c r="L1155" s="1" t="s">
        <v>577</v>
      </c>
      <c r="M1155" s="1" t="s">
        <v>260</v>
      </c>
      <c r="N1155" s="1" t="s">
        <v>261</v>
      </c>
      <c r="O1155" s="1" t="s">
        <v>578</v>
      </c>
      <c r="P1155" s="1" t="str">
        <f>_xlfn.CONCAT(B1155,C1155,D1155,E1155,F1155)</f>
        <v>ARAGUATINS 1.3Inverter(MBUS-20)46046,739583333346046,739583333346046,8333333333</v>
      </c>
      <c r="Q1155" s="1" t="str">
        <f>_xlfn.CONCAT(H1155,I1155,J1155)</f>
        <v>DAURDE</v>
      </c>
    </row>
    <row r="1156" spans="2:17">
      <c r="B1156" s="1" t="s">
        <v>309</v>
      </c>
      <c r="C1156" s="1" t="s">
        <v>247</v>
      </c>
      <c r="D1156" s="52">
        <v>46046.739583333336</v>
      </c>
      <c r="E1156" s="52">
        <v>46046.739583333336</v>
      </c>
      <c r="F1156" s="52">
        <v>46046.833333333336</v>
      </c>
      <c r="G1156" s="53">
        <f>F1156-E1156</f>
        <v>9.375E-2</v>
      </c>
      <c r="H1156" s="1" t="s">
        <v>257</v>
      </c>
      <c r="J1156" s="1" t="s">
        <v>258</v>
      </c>
      <c r="K1156" s="1" t="s">
        <v>658</v>
      </c>
      <c r="L1156" s="1" t="s">
        <v>577</v>
      </c>
      <c r="M1156" s="1" t="s">
        <v>260</v>
      </c>
      <c r="N1156" s="1" t="s">
        <v>261</v>
      </c>
      <c r="O1156" s="1" t="s">
        <v>578</v>
      </c>
      <c r="P1156" s="1" t="str">
        <f>_xlfn.CONCAT(B1156,C1156,D1156,E1156,F1156)</f>
        <v>ARAGUATINS 1.3Inverter(MBUS-1)46046,739583333346046,739583333346046,8333333333</v>
      </c>
      <c r="Q1156" s="1" t="str">
        <f>_xlfn.CONCAT(H1156,I1156,J1156)</f>
        <v>DAURDE</v>
      </c>
    </row>
    <row r="1157" spans="2:17">
      <c r="B1157" s="1" t="s">
        <v>311</v>
      </c>
      <c r="C1157" s="1" t="s">
        <v>256</v>
      </c>
      <c r="D1157" s="52">
        <v>46046.739583333336</v>
      </c>
      <c r="E1157" s="52">
        <v>46046.739583333336</v>
      </c>
      <c r="F1157" s="52">
        <v>46046.833333333336</v>
      </c>
      <c r="G1157" s="53">
        <f>F1157-E1157</f>
        <v>9.375E-2</v>
      </c>
      <c r="H1157" s="1" t="s">
        <v>257</v>
      </c>
      <c r="J1157" s="1" t="s">
        <v>258</v>
      </c>
      <c r="K1157" s="1" t="s">
        <v>658</v>
      </c>
      <c r="L1157" s="1" t="s">
        <v>577</v>
      </c>
      <c r="M1157" s="1" t="s">
        <v>260</v>
      </c>
      <c r="N1157" s="1" t="s">
        <v>261</v>
      </c>
      <c r="O1157" s="1" t="s">
        <v>578</v>
      </c>
      <c r="P1157" s="1" t="str">
        <f>_xlfn.CONCAT(B1157,C1157,D1157,E1157,F1157)</f>
        <v>ARAGUATINS 2.1Inverter(MBUS-12)46046,739583333346046,739583333346046,8333333333</v>
      </c>
      <c r="Q1157" s="1" t="str">
        <f>_xlfn.CONCAT(H1157,I1157,J1157)</f>
        <v>DAURDE</v>
      </c>
    </row>
    <row r="1158" spans="2:17">
      <c r="B1158" s="1" t="s">
        <v>311</v>
      </c>
      <c r="C1158" s="1" t="s">
        <v>307</v>
      </c>
      <c r="D1158" s="52">
        <v>46046.739583333336</v>
      </c>
      <c r="E1158" s="52">
        <v>46046.739583333336</v>
      </c>
      <c r="F1158" s="52">
        <v>46046.833333333336</v>
      </c>
      <c r="G1158" s="53">
        <f>F1158-E1158</f>
        <v>9.375E-2</v>
      </c>
      <c r="H1158" s="1" t="s">
        <v>257</v>
      </c>
      <c r="J1158" s="1" t="s">
        <v>258</v>
      </c>
      <c r="K1158" s="1" t="s">
        <v>658</v>
      </c>
      <c r="L1158" s="1" t="s">
        <v>577</v>
      </c>
      <c r="M1158" s="1" t="s">
        <v>260</v>
      </c>
      <c r="N1158" s="1" t="s">
        <v>261</v>
      </c>
      <c r="O1158" s="1" t="s">
        <v>578</v>
      </c>
      <c r="P1158" s="1" t="str">
        <f>_xlfn.CONCAT(B1158,C1158,D1158,E1158,F1158)</f>
        <v>ARAGUATINS 2.1Inverter(MBUS-15)46046,739583333346046,739583333346046,8333333333</v>
      </c>
      <c r="Q1158" s="1" t="str">
        <f>_xlfn.CONCAT(H1158,I1158,J1158)</f>
        <v>DAURDE</v>
      </c>
    </row>
    <row r="1159" spans="2:17">
      <c r="B1159" s="1" t="s">
        <v>311</v>
      </c>
      <c r="C1159" s="1" t="s">
        <v>263</v>
      </c>
      <c r="D1159" s="52">
        <v>46046.739583333336</v>
      </c>
      <c r="E1159" s="52">
        <v>46046.739583333336</v>
      </c>
      <c r="F1159" s="52">
        <v>46046.833333333336</v>
      </c>
      <c r="G1159" s="53">
        <f>F1159-E1159</f>
        <v>9.375E-2</v>
      </c>
      <c r="H1159" s="1" t="s">
        <v>257</v>
      </c>
      <c r="J1159" s="1" t="s">
        <v>258</v>
      </c>
      <c r="K1159" s="1" t="s">
        <v>658</v>
      </c>
      <c r="L1159" s="1" t="s">
        <v>577</v>
      </c>
      <c r="M1159" s="1" t="s">
        <v>260</v>
      </c>
      <c r="N1159" s="1" t="s">
        <v>261</v>
      </c>
      <c r="O1159" s="1" t="s">
        <v>578</v>
      </c>
      <c r="P1159" s="1" t="str">
        <f>_xlfn.CONCAT(B1159,C1159,D1159,E1159,F1159)</f>
        <v>ARAGUATINS 2.1Inverter(MBUS-14)46046,739583333346046,739583333346046,8333333333</v>
      </c>
      <c r="Q1159" s="1" t="str">
        <f>_xlfn.CONCAT(H1159,I1159,J1159)</f>
        <v>DAURDE</v>
      </c>
    </row>
    <row r="1160" spans="2:17">
      <c r="B1160" s="1" t="s">
        <v>311</v>
      </c>
      <c r="C1160" s="1" t="s">
        <v>247</v>
      </c>
      <c r="D1160" s="52">
        <v>46046.739583333336</v>
      </c>
      <c r="E1160" s="52">
        <v>46046.739583333336</v>
      </c>
      <c r="F1160" s="52">
        <v>46046.833333333336</v>
      </c>
      <c r="G1160" s="53">
        <f>F1160-E1160</f>
        <v>9.375E-2</v>
      </c>
      <c r="H1160" s="1" t="s">
        <v>257</v>
      </c>
      <c r="J1160" s="1" t="s">
        <v>258</v>
      </c>
      <c r="K1160" s="1" t="s">
        <v>658</v>
      </c>
      <c r="L1160" s="1" t="s">
        <v>577</v>
      </c>
      <c r="M1160" s="1" t="s">
        <v>260</v>
      </c>
      <c r="N1160" s="1" t="s">
        <v>261</v>
      </c>
      <c r="O1160" s="1" t="s">
        <v>578</v>
      </c>
      <c r="P1160" s="1" t="str">
        <f>_xlfn.CONCAT(B1160,C1160,D1160,E1160,F1160)</f>
        <v>ARAGUATINS 2.1Inverter(MBUS-1)46046,739583333346046,739583333346046,8333333333</v>
      </c>
      <c r="Q1160" s="1" t="str">
        <f>_xlfn.CONCAT(H1160,I1160,J1160)</f>
        <v>DAURDE</v>
      </c>
    </row>
    <row r="1161" spans="2:17">
      <c r="B1161" s="1" t="s">
        <v>312</v>
      </c>
      <c r="C1161" s="1" t="s">
        <v>307</v>
      </c>
      <c r="D1161" s="52">
        <v>46046.739583333336</v>
      </c>
      <c r="E1161" s="52">
        <v>46046.739583333336</v>
      </c>
      <c r="F1161" s="52">
        <v>46046.833333333336</v>
      </c>
      <c r="G1161" s="53">
        <f>F1161-E1161</f>
        <v>9.375E-2</v>
      </c>
      <c r="H1161" s="1" t="s">
        <v>257</v>
      </c>
      <c r="J1161" s="1" t="s">
        <v>258</v>
      </c>
      <c r="K1161" s="1" t="s">
        <v>658</v>
      </c>
      <c r="L1161" s="1" t="s">
        <v>577</v>
      </c>
      <c r="M1161" s="1" t="s">
        <v>260</v>
      </c>
      <c r="N1161" s="1" t="s">
        <v>261</v>
      </c>
      <c r="O1161" s="1" t="s">
        <v>578</v>
      </c>
      <c r="P1161" s="1" t="str">
        <f>_xlfn.CONCAT(B1161,C1161,D1161,E1161,F1161)</f>
        <v>ARAGUATINS 2.2Inverter(MBUS-15)46046,739583333346046,739583333346046,8333333333</v>
      </c>
      <c r="Q1161" s="1" t="str">
        <f>_xlfn.CONCAT(H1161,I1161,J1161)</f>
        <v>DAURDE</v>
      </c>
    </row>
    <row r="1162" spans="2:17">
      <c r="B1162" s="1" t="s">
        <v>312</v>
      </c>
      <c r="C1162" s="1" t="s">
        <v>264</v>
      </c>
      <c r="D1162" s="52">
        <v>46046.739583333336</v>
      </c>
      <c r="E1162" s="52">
        <v>46046.739583333336</v>
      </c>
      <c r="F1162" s="52">
        <v>46046.833333333336</v>
      </c>
      <c r="G1162" s="53">
        <f>F1162-E1162</f>
        <v>9.375E-2</v>
      </c>
      <c r="H1162" s="1" t="s">
        <v>257</v>
      </c>
      <c r="J1162" s="1" t="s">
        <v>258</v>
      </c>
      <c r="K1162" s="1" t="s">
        <v>658</v>
      </c>
      <c r="L1162" s="1" t="s">
        <v>577</v>
      </c>
      <c r="M1162" s="1" t="s">
        <v>260</v>
      </c>
      <c r="N1162" s="1" t="s">
        <v>261</v>
      </c>
      <c r="O1162" s="1" t="s">
        <v>578</v>
      </c>
      <c r="P1162" s="1" t="str">
        <f>_xlfn.CONCAT(B1162,C1162,D1162,E1162,F1162)</f>
        <v>ARAGUATINS 2.2Inverter(MBUS-13)46046,739583333346046,739583333346046,8333333333</v>
      </c>
      <c r="Q1162" s="1" t="str">
        <f>_xlfn.CONCAT(H1162,I1162,J1162)</f>
        <v>DAURDE</v>
      </c>
    </row>
    <row r="1163" spans="2:17">
      <c r="B1163" s="1" t="s">
        <v>312</v>
      </c>
      <c r="C1163" s="1" t="s">
        <v>263</v>
      </c>
      <c r="D1163" s="52">
        <v>46046.739583333336</v>
      </c>
      <c r="E1163" s="52">
        <v>46046.739583333336</v>
      </c>
      <c r="F1163" s="52">
        <v>46046.833333333336</v>
      </c>
      <c r="G1163" s="53">
        <f>F1163-E1163</f>
        <v>9.375E-2</v>
      </c>
      <c r="H1163" s="1" t="s">
        <v>257</v>
      </c>
      <c r="J1163" s="1" t="s">
        <v>258</v>
      </c>
      <c r="K1163" s="1" t="s">
        <v>658</v>
      </c>
      <c r="L1163" s="1" t="s">
        <v>577</v>
      </c>
      <c r="M1163" s="1" t="s">
        <v>260</v>
      </c>
      <c r="N1163" s="1" t="s">
        <v>261</v>
      </c>
      <c r="O1163" s="1" t="s">
        <v>578</v>
      </c>
      <c r="P1163" s="1" t="str">
        <f>_xlfn.CONCAT(B1163,C1163,D1163,E1163,F1163)</f>
        <v>ARAGUATINS 2.2Inverter(MBUS-14)46046,739583333346046,739583333346046,8333333333</v>
      </c>
      <c r="Q1163" s="1" t="str">
        <f>_xlfn.CONCAT(H1163,I1163,J1163)</f>
        <v>DAURDE</v>
      </c>
    </row>
    <row r="1164" spans="2:17">
      <c r="B1164" s="1" t="s">
        <v>312</v>
      </c>
      <c r="C1164" s="1" t="s">
        <v>256</v>
      </c>
      <c r="D1164" s="52">
        <v>46046.739583333336</v>
      </c>
      <c r="E1164" s="52">
        <v>46046.739583333336</v>
      </c>
      <c r="F1164" s="52">
        <v>46046.833333333336</v>
      </c>
      <c r="G1164" s="53">
        <f>F1164-E1164</f>
        <v>9.375E-2</v>
      </c>
      <c r="H1164" s="1" t="s">
        <v>257</v>
      </c>
      <c r="J1164" s="1" t="s">
        <v>258</v>
      </c>
      <c r="K1164" s="1" t="s">
        <v>658</v>
      </c>
      <c r="L1164" s="1" t="s">
        <v>577</v>
      </c>
      <c r="M1164" s="1" t="s">
        <v>260</v>
      </c>
      <c r="N1164" s="1" t="s">
        <v>261</v>
      </c>
      <c r="O1164" s="1" t="s">
        <v>578</v>
      </c>
      <c r="P1164" s="1" t="str">
        <f>_xlfn.CONCAT(B1164,C1164,D1164,E1164,F1164)</f>
        <v>ARAGUATINS 2.2Inverter(MBUS-12)46046,739583333346046,739583333346046,8333333333</v>
      </c>
      <c r="Q1164" s="1" t="str">
        <f>_xlfn.CONCAT(H1164,I1164,J1164)</f>
        <v>DAURDE</v>
      </c>
    </row>
    <row r="1165" spans="2:17">
      <c r="B1165" s="1" t="s">
        <v>313</v>
      </c>
      <c r="C1165" s="1" t="s">
        <v>256</v>
      </c>
      <c r="D1165" s="52">
        <v>46046.739583333336</v>
      </c>
      <c r="E1165" s="52">
        <v>46046.739583333336</v>
      </c>
      <c r="F1165" s="52">
        <v>46046.833333333336</v>
      </c>
      <c r="G1165" s="53">
        <f>F1165-E1165</f>
        <v>9.375E-2</v>
      </c>
      <c r="H1165" s="1" t="s">
        <v>257</v>
      </c>
      <c r="J1165" s="1" t="s">
        <v>258</v>
      </c>
      <c r="K1165" s="1" t="s">
        <v>658</v>
      </c>
      <c r="L1165" s="1" t="s">
        <v>577</v>
      </c>
      <c r="M1165" s="1" t="s">
        <v>260</v>
      </c>
      <c r="N1165" s="1" t="s">
        <v>261</v>
      </c>
      <c r="O1165" s="1" t="s">
        <v>578</v>
      </c>
      <c r="P1165" s="1" t="str">
        <f>_xlfn.CONCAT(B1165,C1165,D1165,E1165,F1165)</f>
        <v>ARAGUATINS 2.3Inverter(MBUS-12)46046,739583333346046,739583333346046,8333333333</v>
      </c>
      <c r="Q1165" s="1" t="str">
        <f>_xlfn.CONCAT(H1165,I1165,J1165)</f>
        <v>DAURDE</v>
      </c>
    </row>
    <row r="1166" spans="2:17">
      <c r="B1166" s="1" t="s">
        <v>313</v>
      </c>
      <c r="C1166" s="1" t="s">
        <v>264</v>
      </c>
      <c r="D1166" s="52">
        <v>46046.739583333336</v>
      </c>
      <c r="E1166" s="52">
        <v>46046.739583333336</v>
      </c>
      <c r="F1166" s="52">
        <v>46046.833333333336</v>
      </c>
      <c r="G1166" s="53">
        <f>F1166-E1166</f>
        <v>9.375E-2</v>
      </c>
      <c r="H1166" s="1" t="s">
        <v>257</v>
      </c>
      <c r="J1166" s="1" t="s">
        <v>258</v>
      </c>
      <c r="K1166" s="1" t="s">
        <v>658</v>
      </c>
      <c r="L1166" s="1" t="s">
        <v>577</v>
      </c>
      <c r="M1166" s="1" t="s">
        <v>260</v>
      </c>
      <c r="N1166" s="1" t="s">
        <v>261</v>
      </c>
      <c r="O1166" s="1" t="s">
        <v>578</v>
      </c>
      <c r="P1166" s="1" t="str">
        <f>_xlfn.CONCAT(B1166,C1166,D1166,E1166,F1166)</f>
        <v>ARAGUATINS 2.3Inverter(MBUS-13)46046,739583333346046,739583333346046,8333333333</v>
      </c>
      <c r="Q1166" s="1" t="str">
        <f>_xlfn.CONCAT(H1166,I1166,J1166)</f>
        <v>DAURDE</v>
      </c>
    </row>
    <row r="1167" spans="2:17">
      <c r="B1167" s="1" t="s">
        <v>456</v>
      </c>
      <c r="C1167" s="1" t="s">
        <v>457</v>
      </c>
      <c r="D1167" s="52">
        <v>46047.253472222219</v>
      </c>
      <c r="E1167" s="52">
        <v>46047.253472222219</v>
      </c>
      <c r="F1167" s="52">
        <v>46047.42083333333</v>
      </c>
      <c r="G1167" s="53">
        <f>F1167-E1167</f>
        <v>0.16736111111094942</v>
      </c>
      <c r="H1167" s="1" t="s">
        <v>257</v>
      </c>
      <c r="J1167" s="1" t="s">
        <v>258</v>
      </c>
      <c r="K1167" s="1" t="s">
        <v>658</v>
      </c>
      <c r="L1167" s="1" t="s">
        <v>538</v>
      </c>
      <c r="M1167" s="1" t="s">
        <v>260</v>
      </c>
      <c r="N1167" s="1" t="s">
        <v>261</v>
      </c>
      <c r="O1167" s="1" t="s">
        <v>579</v>
      </c>
      <c r="P1167" s="1" t="str">
        <f>_xlfn.CONCAT(B1167,C1167,D1167,E1167,F1167)</f>
        <v>BC Caiaponia1SG60KTL(COM1-001)_001_00746047,253472222246047,253472222246047,4208333333</v>
      </c>
      <c r="Q1167" s="1" t="str">
        <f>_xlfn.CONCAT(H1167,I1167,J1167)</f>
        <v>DAURDE</v>
      </c>
    </row>
    <row r="1168" spans="2:17">
      <c r="B1168" s="1" t="s">
        <v>456</v>
      </c>
      <c r="C1168" s="1" t="s">
        <v>459</v>
      </c>
      <c r="D1168" s="52">
        <v>46047.253472222219</v>
      </c>
      <c r="E1168" s="52">
        <v>46047.253472222219</v>
      </c>
      <c r="F1168" s="52">
        <v>46047.42083333333</v>
      </c>
      <c r="G1168" s="53">
        <f>F1168-E1168</f>
        <v>0.16736111111094942</v>
      </c>
      <c r="H1168" s="1" t="s">
        <v>257</v>
      </c>
      <c r="J1168" s="1" t="s">
        <v>258</v>
      </c>
      <c r="K1168" s="1" t="s">
        <v>658</v>
      </c>
      <c r="L1168" s="1" t="s">
        <v>538</v>
      </c>
      <c r="M1168" s="1" t="s">
        <v>260</v>
      </c>
      <c r="N1168" s="1" t="s">
        <v>261</v>
      </c>
      <c r="O1168" s="1" t="s">
        <v>579</v>
      </c>
      <c r="P1168" s="1" t="str">
        <f>_xlfn.CONCAT(B1168,C1168,D1168,E1168,F1168)</f>
        <v>BC Caiaponia1SG60KTL(COM1-002)_001_01046047,253472222246047,253472222246047,4208333333</v>
      </c>
      <c r="Q1168" s="1" t="str">
        <f>_xlfn.CONCAT(H1168,I1168,J1168)</f>
        <v>DAURDE</v>
      </c>
    </row>
    <row r="1169" spans="2:17">
      <c r="B1169" s="1" t="s">
        <v>456</v>
      </c>
      <c r="C1169" s="1" t="s">
        <v>460</v>
      </c>
      <c r="D1169" s="52">
        <v>46047.253472222219</v>
      </c>
      <c r="E1169" s="52">
        <v>46047.253472222219</v>
      </c>
      <c r="F1169" s="52">
        <v>46047.42083333333</v>
      </c>
      <c r="G1169" s="53">
        <f>F1169-E1169</f>
        <v>0.16736111111094942</v>
      </c>
      <c r="H1169" s="1" t="s">
        <v>257</v>
      </c>
      <c r="J1169" s="1" t="s">
        <v>258</v>
      </c>
      <c r="K1169" s="1" t="s">
        <v>658</v>
      </c>
      <c r="L1169" s="1" t="s">
        <v>538</v>
      </c>
      <c r="M1169" s="1" t="s">
        <v>260</v>
      </c>
      <c r="N1169" s="1" t="s">
        <v>261</v>
      </c>
      <c r="O1169" s="1" t="s">
        <v>579</v>
      </c>
      <c r="P1169" s="1" t="str">
        <f>_xlfn.CONCAT(B1169,C1169,D1169,E1169,F1169)</f>
        <v>BC Caiaponia1SG60KTL(COM1-003)_001_01146047,253472222246047,253472222246047,4208333333</v>
      </c>
      <c r="Q1169" s="1" t="str">
        <f>_xlfn.CONCAT(H1169,I1169,J1169)</f>
        <v>DAURDE</v>
      </c>
    </row>
    <row r="1170" spans="2:17">
      <c r="B1170" s="1" t="s">
        <v>456</v>
      </c>
      <c r="C1170" s="1" t="s">
        <v>461</v>
      </c>
      <c r="D1170" s="52">
        <v>46047.253472222219</v>
      </c>
      <c r="E1170" s="52">
        <v>46047.253472222219</v>
      </c>
      <c r="F1170" s="52">
        <v>46047.42083333333</v>
      </c>
      <c r="G1170" s="53">
        <f>F1170-E1170</f>
        <v>0.16736111111094942</v>
      </c>
      <c r="H1170" s="1" t="s">
        <v>257</v>
      </c>
      <c r="J1170" s="1" t="s">
        <v>258</v>
      </c>
      <c r="K1170" s="1" t="s">
        <v>658</v>
      </c>
      <c r="L1170" s="1" t="s">
        <v>538</v>
      </c>
      <c r="M1170" s="1" t="s">
        <v>260</v>
      </c>
      <c r="N1170" s="1" t="s">
        <v>261</v>
      </c>
      <c r="O1170" s="1" t="s">
        <v>579</v>
      </c>
      <c r="P1170" s="1" t="str">
        <f>_xlfn.CONCAT(B1170,C1170,D1170,E1170,F1170)</f>
        <v>BC Caiaponia1SG60KTL(COM1-004)_001_01446047,253472222246047,253472222246047,4208333333</v>
      </c>
      <c r="Q1170" s="1" t="str">
        <f>_xlfn.CONCAT(H1170,I1170,J1170)</f>
        <v>DAURDE</v>
      </c>
    </row>
    <row r="1171" spans="2:17">
      <c r="B1171" s="1" t="s">
        <v>456</v>
      </c>
      <c r="C1171" s="1" t="s">
        <v>462</v>
      </c>
      <c r="D1171" s="52">
        <v>46047.253472222219</v>
      </c>
      <c r="E1171" s="52">
        <v>46047.253472222219</v>
      </c>
      <c r="F1171" s="52">
        <v>46047.42083333333</v>
      </c>
      <c r="G1171" s="53">
        <f>F1171-E1171</f>
        <v>0.16736111111094942</v>
      </c>
      <c r="H1171" s="1" t="s">
        <v>257</v>
      </c>
      <c r="J1171" s="1" t="s">
        <v>258</v>
      </c>
      <c r="K1171" s="1" t="s">
        <v>658</v>
      </c>
      <c r="L1171" s="1" t="s">
        <v>538</v>
      </c>
      <c r="M1171" s="1" t="s">
        <v>260</v>
      </c>
      <c r="N1171" s="1" t="s">
        <v>261</v>
      </c>
      <c r="O1171" s="1" t="s">
        <v>579</v>
      </c>
      <c r="P1171" s="1" t="str">
        <f>_xlfn.CONCAT(B1171,C1171,D1171,E1171,F1171)</f>
        <v>BC Caiaponia1SG60KTL(COM1-005)_001_01746047,253472222246047,253472222246047,4208333333</v>
      </c>
      <c r="Q1171" s="1" t="str">
        <f>_xlfn.CONCAT(H1171,I1171,J1171)</f>
        <v>DAURDE</v>
      </c>
    </row>
    <row r="1172" spans="2:17">
      <c r="B1172" s="1" t="s">
        <v>456</v>
      </c>
      <c r="C1172" s="1" t="s">
        <v>463</v>
      </c>
      <c r="D1172" s="52">
        <v>46047.253472222219</v>
      </c>
      <c r="E1172" s="52">
        <v>46047.253472222219</v>
      </c>
      <c r="F1172" s="52">
        <v>46047.42083333333</v>
      </c>
      <c r="G1172" s="53">
        <f>F1172-E1172</f>
        <v>0.16736111111094942</v>
      </c>
      <c r="H1172" s="1" t="s">
        <v>257</v>
      </c>
      <c r="J1172" s="1" t="s">
        <v>258</v>
      </c>
      <c r="K1172" s="1" t="s">
        <v>658</v>
      </c>
      <c r="L1172" s="1" t="s">
        <v>538</v>
      </c>
      <c r="M1172" s="1" t="s">
        <v>260</v>
      </c>
      <c r="N1172" s="1" t="s">
        <v>261</v>
      </c>
      <c r="O1172" s="1" t="s">
        <v>579</v>
      </c>
      <c r="P1172" s="1" t="str">
        <f>_xlfn.CONCAT(B1172,C1172,D1172,E1172,F1172)</f>
        <v>BC Caiaponia1SG60KTL(COM1-006)_001_01646047,253472222246047,253472222246047,4208333333</v>
      </c>
      <c r="Q1172" s="1" t="str">
        <f>_xlfn.CONCAT(H1172,I1172,J1172)</f>
        <v>DAURDE</v>
      </c>
    </row>
    <row r="1173" spans="2:17">
      <c r="B1173" s="1" t="s">
        <v>456</v>
      </c>
      <c r="C1173" s="1" t="s">
        <v>464</v>
      </c>
      <c r="D1173" s="52">
        <v>46047.253472222219</v>
      </c>
      <c r="E1173" s="52">
        <v>46047.253472222219</v>
      </c>
      <c r="F1173" s="52">
        <v>46047.42083333333</v>
      </c>
      <c r="G1173" s="53">
        <f>F1173-E1173</f>
        <v>0.16736111111094942</v>
      </c>
      <c r="H1173" s="1" t="s">
        <v>257</v>
      </c>
      <c r="J1173" s="1" t="s">
        <v>258</v>
      </c>
      <c r="K1173" s="1" t="s">
        <v>658</v>
      </c>
      <c r="L1173" s="1" t="s">
        <v>538</v>
      </c>
      <c r="M1173" s="1" t="s">
        <v>260</v>
      </c>
      <c r="N1173" s="1" t="s">
        <v>261</v>
      </c>
      <c r="O1173" s="1" t="s">
        <v>579</v>
      </c>
      <c r="P1173" s="1" t="str">
        <f>_xlfn.CONCAT(B1173,C1173,D1173,E1173,F1173)</f>
        <v>BC Caiaponia1SG60KTL(COM1-007)_001_01346047,253472222246047,253472222246047,4208333333</v>
      </c>
      <c r="Q1173" s="1" t="str">
        <f>_xlfn.CONCAT(H1173,I1173,J1173)</f>
        <v>DAURDE</v>
      </c>
    </row>
    <row r="1174" spans="2:17">
      <c r="B1174" s="1" t="s">
        <v>456</v>
      </c>
      <c r="C1174" s="1" t="s">
        <v>465</v>
      </c>
      <c r="D1174" s="52">
        <v>46047.253472222219</v>
      </c>
      <c r="E1174" s="52">
        <v>46047.253472222219</v>
      </c>
      <c r="F1174" s="52">
        <v>46047.42083333333</v>
      </c>
      <c r="G1174" s="53">
        <f>F1174-E1174</f>
        <v>0.16736111111094942</v>
      </c>
      <c r="H1174" s="1" t="s">
        <v>257</v>
      </c>
      <c r="J1174" s="1" t="s">
        <v>258</v>
      </c>
      <c r="K1174" s="1" t="s">
        <v>658</v>
      </c>
      <c r="L1174" s="1" t="s">
        <v>538</v>
      </c>
      <c r="M1174" s="1" t="s">
        <v>260</v>
      </c>
      <c r="N1174" s="1" t="s">
        <v>261</v>
      </c>
      <c r="O1174" s="1" t="s">
        <v>579</v>
      </c>
      <c r="P1174" s="1" t="str">
        <f>_xlfn.CONCAT(B1174,C1174,D1174,E1174,F1174)</f>
        <v>BC Caiaponia1SG60KTL(COM1-008)_001_00146047,253472222246047,253472222246047,4208333333</v>
      </c>
      <c r="Q1174" s="1" t="str">
        <f>_xlfn.CONCAT(H1174,I1174,J1174)</f>
        <v>DAURDE</v>
      </c>
    </row>
    <row r="1175" spans="2:17">
      <c r="B1175" s="1" t="s">
        <v>456</v>
      </c>
      <c r="C1175" s="1" t="s">
        <v>466</v>
      </c>
      <c r="D1175" s="52">
        <v>46047.253472222219</v>
      </c>
      <c r="E1175" s="52">
        <v>46047.253472222219</v>
      </c>
      <c r="F1175" s="52">
        <v>46047.42083333333</v>
      </c>
      <c r="G1175" s="53">
        <f>F1175-E1175</f>
        <v>0.16736111111094942</v>
      </c>
      <c r="H1175" s="1" t="s">
        <v>257</v>
      </c>
      <c r="J1175" s="1" t="s">
        <v>258</v>
      </c>
      <c r="K1175" s="1" t="s">
        <v>658</v>
      </c>
      <c r="L1175" s="1" t="s">
        <v>538</v>
      </c>
      <c r="M1175" s="1" t="s">
        <v>260</v>
      </c>
      <c r="N1175" s="1" t="s">
        <v>261</v>
      </c>
      <c r="O1175" s="1" t="s">
        <v>579</v>
      </c>
      <c r="P1175" s="1" t="str">
        <f>_xlfn.CONCAT(B1175,C1175,D1175,E1175,F1175)</f>
        <v>BC Caiaponia1SG60KTL(COM1-009)46047,253472222246047,253472222246047,4208333333</v>
      </c>
      <c r="Q1175" s="1" t="str">
        <f>_xlfn.CONCAT(H1175,I1175,J1175)</f>
        <v>DAURDE</v>
      </c>
    </row>
    <row r="1176" spans="2:17">
      <c r="B1176" s="1" t="s">
        <v>456</v>
      </c>
      <c r="C1176" s="1" t="s">
        <v>467</v>
      </c>
      <c r="D1176" s="52">
        <v>46047.253472222219</v>
      </c>
      <c r="E1176" s="52">
        <v>46047.253472222219</v>
      </c>
      <c r="F1176" s="52">
        <v>46047.42083333333</v>
      </c>
      <c r="G1176" s="53">
        <f>F1176-E1176</f>
        <v>0.16736111111094942</v>
      </c>
      <c r="H1176" s="1" t="s">
        <v>257</v>
      </c>
      <c r="J1176" s="1" t="s">
        <v>258</v>
      </c>
      <c r="K1176" s="1" t="s">
        <v>658</v>
      </c>
      <c r="L1176" s="1" t="s">
        <v>538</v>
      </c>
      <c r="M1176" s="1" t="s">
        <v>260</v>
      </c>
      <c r="N1176" s="1" t="s">
        <v>261</v>
      </c>
      <c r="O1176" s="1" t="s">
        <v>579</v>
      </c>
      <c r="P1176" s="1" t="str">
        <f>_xlfn.CONCAT(B1176,C1176,D1176,E1176,F1176)</f>
        <v>BC Caiaponia1SG60KTL(COM1-010)46047,253472222246047,253472222246047,4208333333</v>
      </c>
      <c r="Q1176" s="1" t="str">
        <f>_xlfn.CONCAT(H1176,I1176,J1176)</f>
        <v>DAURDE</v>
      </c>
    </row>
    <row r="1177" spans="2:17">
      <c r="B1177" s="1" t="s">
        <v>456</v>
      </c>
      <c r="C1177" s="1" t="s">
        <v>468</v>
      </c>
      <c r="D1177" s="52">
        <v>46047.253472222219</v>
      </c>
      <c r="E1177" s="52">
        <v>46047.253472222219</v>
      </c>
      <c r="F1177" s="52">
        <v>46047.42083333333</v>
      </c>
      <c r="G1177" s="53">
        <f>F1177-E1177</f>
        <v>0.16736111111094942</v>
      </c>
      <c r="H1177" s="1" t="s">
        <v>257</v>
      </c>
      <c r="J1177" s="1" t="s">
        <v>258</v>
      </c>
      <c r="K1177" s="1" t="s">
        <v>658</v>
      </c>
      <c r="L1177" s="1" t="s">
        <v>538</v>
      </c>
      <c r="M1177" s="1" t="s">
        <v>260</v>
      </c>
      <c r="N1177" s="1" t="s">
        <v>261</v>
      </c>
      <c r="O1177" s="1" t="s">
        <v>579</v>
      </c>
      <c r="P1177" s="1" t="str">
        <f>_xlfn.CONCAT(B1177,C1177,D1177,E1177,F1177)</f>
        <v>BC Caiaponia1SG60KTL(COM1-011)46047,253472222246047,253472222246047,4208333333</v>
      </c>
      <c r="Q1177" s="1" t="str">
        <f>_xlfn.CONCAT(H1177,I1177,J1177)</f>
        <v>DAURDE</v>
      </c>
    </row>
    <row r="1178" spans="2:17">
      <c r="B1178" s="1" t="s">
        <v>456</v>
      </c>
      <c r="C1178" s="1" t="s">
        <v>469</v>
      </c>
      <c r="D1178" s="52">
        <v>46047.253472222219</v>
      </c>
      <c r="E1178" s="52">
        <v>46047.253472222219</v>
      </c>
      <c r="F1178" s="52">
        <v>46047.42083333333</v>
      </c>
      <c r="G1178" s="53">
        <f>F1178-E1178</f>
        <v>0.16736111111094942</v>
      </c>
      <c r="H1178" s="1" t="s">
        <v>257</v>
      </c>
      <c r="J1178" s="1" t="s">
        <v>258</v>
      </c>
      <c r="K1178" s="1" t="s">
        <v>658</v>
      </c>
      <c r="L1178" s="1" t="s">
        <v>538</v>
      </c>
      <c r="M1178" s="1" t="s">
        <v>260</v>
      </c>
      <c r="N1178" s="1" t="s">
        <v>261</v>
      </c>
      <c r="O1178" s="1" t="s">
        <v>579</v>
      </c>
      <c r="P1178" s="1" t="str">
        <f>_xlfn.CONCAT(B1178,C1178,D1178,E1178,F1178)</f>
        <v>BC Caiaponia1SG60KTL(COM1-012)46047,253472222246047,253472222246047,4208333333</v>
      </c>
      <c r="Q1178" s="1" t="str">
        <f>_xlfn.CONCAT(H1178,I1178,J1178)</f>
        <v>DAURDE</v>
      </c>
    </row>
    <row r="1179" spans="2:17">
      <c r="B1179" s="1" t="s">
        <v>456</v>
      </c>
      <c r="C1179" s="1" t="s">
        <v>470</v>
      </c>
      <c r="D1179" s="52">
        <v>46047.253472222219</v>
      </c>
      <c r="E1179" s="52">
        <v>46047.253472222219</v>
      </c>
      <c r="F1179" s="52">
        <v>46047.42083333333</v>
      </c>
      <c r="G1179" s="53">
        <f>F1179-E1179</f>
        <v>0.16736111111094942</v>
      </c>
      <c r="H1179" s="1" t="s">
        <v>257</v>
      </c>
      <c r="J1179" s="1" t="s">
        <v>258</v>
      </c>
      <c r="K1179" s="1" t="s">
        <v>658</v>
      </c>
      <c r="L1179" s="1" t="s">
        <v>538</v>
      </c>
      <c r="M1179" s="1" t="s">
        <v>260</v>
      </c>
      <c r="N1179" s="1" t="s">
        <v>261</v>
      </c>
      <c r="O1179" s="1" t="s">
        <v>579</v>
      </c>
      <c r="P1179" s="1" t="str">
        <f>_xlfn.CONCAT(B1179,C1179,D1179,E1179,F1179)</f>
        <v>BC Caiaponia1SG60KTL(COM1-013)46047,253472222246047,253472222246047,4208333333</v>
      </c>
      <c r="Q1179" s="1" t="str">
        <f>_xlfn.CONCAT(H1179,I1179,J1179)</f>
        <v>DAURDE</v>
      </c>
    </row>
    <row r="1180" spans="2:17">
      <c r="B1180" s="1" t="s">
        <v>456</v>
      </c>
      <c r="C1180" s="1" t="s">
        <v>471</v>
      </c>
      <c r="D1180" s="52">
        <v>46047.253472222219</v>
      </c>
      <c r="E1180" s="52">
        <v>46047.253472222219</v>
      </c>
      <c r="F1180" s="52">
        <v>46047.42083333333</v>
      </c>
      <c r="G1180" s="53">
        <f>F1180-E1180</f>
        <v>0.16736111111094942</v>
      </c>
      <c r="H1180" s="1" t="s">
        <v>257</v>
      </c>
      <c r="J1180" s="1" t="s">
        <v>258</v>
      </c>
      <c r="K1180" s="1" t="s">
        <v>658</v>
      </c>
      <c r="L1180" s="1" t="s">
        <v>538</v>
      </c>
      <c r="M1180" s="1" t="s">
        <v>260</v>
      </c>
      <c r="N1180" s="1" t="s">
        <v>261</v>
      </c>
      <c r="O1180" s="1" t="s">
        <v>579</v>
      </c>
      <c r="P1180" s="1" t="str">
        <f>_xlfn.CONCAT(B1180,C1180,D1180,E1180,F1180)</f>
        <v>BC Caiaponia1SG60KTL(COM1-014)46047,253472222246047,253472222246047,4208333333</v>
      </c>
      <c r="Q1180" s="1" t="str">
        <f>_xlfn.CONCAT(H1180,I1180,J1180)</f>
        <v>DAURDE</v>
      </c>
    </row>
    <row r="1181" spans="2:17">
      <c r="B1181" s="1" t="s">
        <v>456</v>
      </c>
      <c r="C1181" s="1" t="s">
        <v>472</v>
      </c>
      <c r="D1181" s="52">
        <v>46047.253472222219</v>
      </c>
      <c r="E1181" s="52">
        <v>46047.253472222219</v>
      </c>
      <c r="F1181" s="52">
        <v>46047.42083333333</v>
      </c>
      <c r="G1181" s="53">
        <f>F1181-E1181</f>
        <v>0.16736111111094942</v>
      </c>
      <c r="H1181" s="1" t="s">
        <v>257</v>
      </c>
      <c r="J1181" s="1" t="s">
        <v>258</v>
      </c>
      <c r="K1181" s="1" t="s">
        <v>658</v>
      </c>
      <c r="L1181" s="1" t="s">
        <v>538</v>
      </c>
      <c r="M1181" s="1" t="s">
        <v>260</v>
      </c>
      <c r="N1181" s="1" t="s">
        <v>261</v>
      </c>
      <c r="O1181" s="1" t="s">
        <v>579</v>
      </c>
      <c r="P1181" s="1" t="str">
        <f>_xlfn.CONCAT(B1181,C1181,D1181,E1181,F1181)</f>
        <v>BC Caiaponia1SG60KTL(COM1-015)46047,253472222246047,253472222246047,4208333333</v>
      </c>
      <c r="Q1181" s="1" t="str">
        <f>_xlfn.CONCAT(H1181,I1181,J1181)</f>
        <v>DAURDE</v>
      </c>
    </row>
    <row r="1182" spans="2:17">
      <c r="B1182" s="1" t="s">
        <v>456</v>
      </c>
      <c r="C1182" s="1" t="s">
        <v>473</v>
      </c>
      <c r="D1182" s="52">
        <v>46047.253472222219</v>
      </c>
      <c r="E1182" s="52">
        <v>46047.253472222219</v>
      </c>
      <c r="F1182" s="52">
        <v>46047.42083333333</v>
      </c>
      <c r="G1182" s="53">
        <f>F1182-E1182</f>
        <v>0.16736111111094942</v>
      </c>
      <c r="H1182" s="1" t="s">
        <v>257</v>
      </c>
      <c r="J1182" s="1" t="s">
        <v>258</v>
      </c>
      <c r="K1182" s="1" t="s">
        <v>658</v>
      </c>
      <c r="L1182" s="1" t="s">
        <v>538</v>
      </c>
      <c r="M1182" s="1" t="s">
        <v>260</v>
      </c>
      <c r="N1182" s="1" t="s">
        <v>261</v>
      </c>
      <c r="O1182" s="1" t="s">
        <v>579</v>
      </c>
      <c r="P1182" s="1" t="str">
        <f>_xlfn.CONCAT(B1182,C1182,D1182,E1182,F1182)</f>
        <v>BC Caiaponia1SG60KTL(COM3-016)_001_00946047,253472222246047,253472222246047,4208333333</v>
      </c>
      <c r="Q1182" s="1" t="str">
        <f>_xlfn.CONCAT(H1182,I1182,J1182)</f>
        <v>DAURDE</v>
      </c>
    </row>
    <row r="1183" spans="2:17">
      <c r="B1183" s="1" t="s">
        <v>456</v>
      </c>
      <c r="C1183" s="1" t="s">
        <v>474</v>
      </c>
      <c r="D1183" s="52">
        <v>46047.253472222219</v>
      </c>
      <c r="E1183" s="52">
        <v>46047.253472222219</v>
      </c>
      <c r="F1183" s="52">
        <v>46047.42083333333</v>
      </c>
      <c r="G1183" s="53">
        <f>F1183-E1183</f>
        <v>0.16736111111094942</v>
      </c>
      <c r="H1183" s="1" t="s">
        <v>257</v>
      </c>
      <c r="J1183" s="1" t="s">
        <v>258</v>
      </c>
      <c r="K1183" s="1" t="s">
        <v>658</v>
      </c>
      <c r="L1183" s="1" t="s">
        <v>538</v>
      </c>
      <c r="M1183" s="1" t="s">
        <v>260</v>
      </c>
      <c r="N1183" s="1" t="s">
        <v>261</v>
      </c>
      <c r="O1183" s="1" t="s">
        <v>579</v>
      </c>
      <c r="P1183" s="1" t="str">
        <f>_xlfn.CONCAT(B1183,C1183,D1183,E1183,F1183)</f>
        <v>BC Caiaponia1SG60KTL(COM3-017)_001_01246047,253472222246047,253472222246047,4208333333</v>
      </c>
      <c r="Q1183" s="1" t="str">
        <f>_xlfn.CONCAT(H1183,I1183,J1183)</f>
        <v>DAURDE</v>
      </c>
    </row>
    <row r="1184" spans="2:17">
      <c r="B1184" s="1" t="s">
        <v>456</v>
      </c>
      <c r="C1184" s="1" t="s">
        <v>475</v>
      </c>
      <c r="D1184" s="52">
        <v>46047.253472222219</v>
      </c>
      <c r="E1184" s="52">
        <v>46047.253472222219</v>
      </c>
      <c r="F1184" s="52">
        <v>46047.42083333333</v>
      </c>
      <c r="G1184" s="53">
        <f>F1184-E1184</f>
        <v>0.16736111111094942</v>
      </c>
      <c r="H1184" s="1" t="s">
        <v>257</v>
      </c>
      <c r="J1184" s="1" t="s">
        <v>258</v>
      </c>
      <c r="K1184" s="1" t="s">
        <v>658</v>
      </c>
      <c r="L1184" s="1" t="s">
        <v>538</v>
      </c>
      <c r="M1184" s="1" t="s">
        <v>260</v>
      </c>
      <c r="N1184" s="1" t="s">
        <v>261</v>
      </c>
      <c r="O1184" s="1" t="s">
        <v>579</v>
      </c>
      <c r="P1184" s="1" t="str">
        <f>_xlfn.CONCAT(B1184,C1184,D1184,E1184,F1184)</f>
        <v>BC Caiaponia1SG60KTL(COM3-018)_001_00846047,253472222246047,253472222246047,4208333333</v>
      </c>
      <c r="Q1184" s="1" t="str">
        <f>_xlfn.CONCAT(H1184,I1184,J1184)</f>
        <v>DAURDE</v>
      </c>
    </row>
    <row r="1185" spans="2:17">
      <c r="B1185" s="1" t="s">
        <v>456</v>
      </c>
      <c r="C1185" s="1" t="s">
        <v>476</v>
      </c>
      <c r="D1185" s="52">
        <v>46047.253472222219</v>
      </c>
      <c r="E1185" s="52">
        <v>46047.253472222219</v>
      </c>
      <c r="F1185" s="52">
        <v>46047.42083333333</v>
      </c>
      <c r="G1185" s="53">
        <f>F1185-E1185</f>
        <v>0.16736111111094942</v>
      </c>
      <c r="H1185" s="1" t="s">
        <v>257</v>
      </c>
      <c r="J1185" s="1" t="s">
        <v>258</v>
      </c>
      <c r="K1185" s="1" t="s">
        <v>658</v>
      </c>
      <c r="L1185" s="1" t="s">
        <v>538</v>
      </c>
      <c r="M1185" s="1" t="s">
        <v>260</v>
      </c>
      <c r="N1185" s="1" t="s">
        <v>261</v>
      </c>
      <c r="O1185" s="1" t="s">
        <v>579</v>
      </c>
      <c r="P1185" s="1" t="str">
        <f>_xlfn.CONCAT(B1185,C1185,D1185,E1185,F1185)</f>
        <v>BC Caiaponia1SG60KTL(COM3-019)_001_01946047,253472222246047,253472222246047,4208333333</v>
      </c>
      <c r="Q1185" s="1" t="str">
        <f>_xlfn.CONCAT(H1185,I1185,J1185)</f>
        <v>DAURDE</v>
      </c>
    </row>
    <row r="1186" spans="2:17">
      <c r="B1186" s="1" t="s">
        <v>456</v>
      </c>
      <c r="C1186" s="1" t="s">
        <v>477</v>
      </c>
      <c r="D1186" s="52">
        <v>46047.253472222219</v>
      </c>
      <c r="E1186" s="52">
        <v>46047.253472222219</v>
      </c>
      <c r="F1186" s="52">
        <v>46047.42083333333</v>
      </c>
      <c r="G1186" s="53">
        <f>F1186-E1186</f>
        <v>0.16736111111094942</v>
      </c>
      <c r="H1186" s="1" t="s">
        <v>257</v>
      </c>
      <c r="J1186" s="1" t="s">
        <v>258</v>
      </c>
      <c r="K1186" s="1" t="s">
        <v>658</v>
      </c>
      <c r="L1186" s="1" t="s">
        <v>538</v>
      </c>
      <c r="M1186" s="1" t="s">
        <v>260</v>
      </c>
      <c r="N1186" s="1" t="s">
        <v>261</v>
      </c>
      <c r="O1186" s="1" t="s">
        <v>579</v>
      </c>
      <c r="P1186" s="1" t="str">
        <f>_xlfn.CONCAT(B1186,C1186,D1186,E1186,F1186)</f>
        <v>BC Caiaponia1SG60KTL(COM3-020)_001_02046047,253472222246047,253472222246047,4208333333</v>
      </c>
      <c r="Q1186" s="1" t="str">
        <f>_xlfn.CONCAT(H1186,I1186,J1186)</f>
        <v>DAURDE</v>
      </c>
    </row>
    <row r="1187" spans="2:17">
      <c r="B1187" s="1" t="s">
        <v>456</v>
      </c>
      <c r="C1187" s="1" t="s">
        <v>478</v>
      </c>
      <c r="D1187" s="52">
        <v>46047.253472222219</v>
      </c>
      <c r="E1187" s="52">
        <v>46047.253472222219</v>
      </c>
      <c r="F1187" s="52">
        <v>46047.42083333333</v>
      </c>
      <c r="G1187" s="53">
        <f>F1187-E1187</f>
        <v>0.16736111111094942</v>
      </c>
      <c r="H1187" s="1" t="s">
        <v>257</v>
      </c>
      <c r="J1187" s="1" t="s">
        <v>258</v>
      </c>
      <c r="K1187" s="1" t="s">
        <v>658</v>
      </c>
      <c r="L1187" s="1" t="s">
        <v>538</v>
      </c>
      <c r="M1187" s="1" t="s">
        <v>260</v>
      </c>
      <c r="N1187" s="1" t="s">
        <v>261</v>
      </c>
      <c r="O1187" s="1" t="s">
        <v>579</v>
      </c>
      <c r="P1187" s="1" t="str">
        <f>_xlfn.CONCAT(B1187,C1187,D1187,E1187,F1187)</f>
        <v>BC Caiaponia1SG60KTL(COM2-026)46047,253472222246047,253472222246047,4208333333</v>
      </c>
      <c r="Q1187" s="1" t="str">
        <f>_xlfn.CONCAT(H1187,I1187,J1187)</f>
        <v>DAURDE</v>
      </c>
    </row>
    <row r="1188" spans="2:17">
      <c r="B1188" s="1" t="s">
        <v>456</v>
      </c>
      <c r="C1188" s="1" t="s">
        <v>479</v>
      </c>
      <c r="D1188" s="52">
        <v>46047.253472222219</v>
      </c>
      <c r="E1188" s="52">
        <v>46047.253472222219</v>
      </c>
      <c r="F1188" s="52">
        <v>46047.42083333333</v>
      </c>
      <c r="G1188" s="53">
        <f>F1188-E1188</f>
        <v>0.16736111111094942</v>
      </c>
      <c r="H1188" s="1" t="s">
        <v>257</v>
      </c>
      <c r="J1188" s="1" t="s">
        <v>258</v>
      </c>
      <c r="K1188" s="1" t="s">
        <v>658</v>
      </c>
      <c r="L1188" s="1" t="s">
        <v>538</v>
      </c>
      <c r="M1188" s="1" t="s">
        <v>260</v>
      </c>
      <c r="N1188" s="1" t="s">
        <v>261</v>
      </c>
      <c r="O1188" s="1" t="s">
        <v>579</v>
      </c>
      <c r="P1188" s="1" t="str">
        <f>_xlfn.CONCAT(B1188,C1188,D1188,E1188,F1188)</f>
        <v>BC Caiaponia1SG60KTL(COM2-027)46047,253472222246047,253472222246047,4208333333</v>
      </c>
      <c r="Q1188" s="1" t="str">
        <f>_xlfn.CONCAT(H1188,I1188,J1188)</f>
        <v>DAURDE</v>
      </c>
    </row>
    <row r="1189" spans="2:17">
      <c r="B1189" s="1" t="s">
        <v>456</v>
      </c>
      <c r="C1189" s="1" t="s">
        <v>480</v>
      </c>
      <c r="D1189" s="52">
        <v>46047.253472222219</v>
      </c>
      <c r="E1189" s="52">
        <v>46047.253472222219</v>
      </c>
      <c r="F1189" s="52">
        <v>46047.42083333333</v>
      </c>
      <c r="G1189" s="53">
        <f>F1189-E1189</f>
        <v>0.16736111111094942</v>
      </c>
      <c r="H1189" s="1" t="s">
        <v>257</v>
      </c>
      <c r="J1189" s="1" t="s">
        <v>258</v>
      </c>
      <c r="K1189" s="1" t="s">
        <v>658</v>
      </c>
      <c r="L1189" s="1" t="s">
        <v>538</v>
      </c>
      <c r="M1189" s="1" t="s">
        <v>260</v>
      </c>
      <c r="N1189" s="1" t="s">
        <v>261</v>
      </c>
      <c r="O1189" s="1" t="s">
        <v>579</v>
      </c>
      <c r="P1189" s="1" t="str">
        <f>_xlfn.CONCAT(B1189,C1189,D1189,E1189,F1189)</f>
        <v>BC Caiaponia1SG60KTL(COM2-028)46047,253472222246047,253472222246047,4208333333</v>
      </c>
      <c r="Q1189" s="1" t="str">
        <f>_xlfn.CONCAT(H1189,I1189,J1189)</f>
        <v>DAURDE</v>
      </c>
    </row>
    <row r="1190" spans="2:17">
      <c r="B1190" s="1" t="s">
        <v>456</v>
      </c>
      <c r="C1190" s="1" t="s">
        <v>481</v>
      </c>
      <c r="D1190" s="52">
        <v>46047.253472222219</v>
      </c>
      <c r="E1190" s="52">
        <v>46047.253472222219</v>
      </c>
      <c r="F1190" s="52">
        <v>46047.42083333333</v>
      </c>
      <c r="G1190" s="53">
        <f>F1190-E1190</f>
        <v>0.16736111111094942</v>
      </c>
      <c r="H1190" s="1" t="s">
        <v>257</v>
      </c>
      <c r="J1190" s="1" t="s">
        <v>258</v>
      </c>
      <c r="K1190" s="1" t="s">
        <v>658</v>
      </c>
      <c r="L1190" s="1" t="s">
        <v>538</v>
      </c>
      <c r="M1190" s="1" t="s">
        <v>260</v>
      </c>
      <c r="N1190" s="1" t="s">
        <v>261</v>
      </c>
      <c r="O1190" s="1" t="s">
        <v>579</v>
      </c>
      <c r="P1190" s="1" t="str">
        <f>_xlfn.CONCAT(B1190,C1190,D1190,E1190,F1190)</f>
        <v>BC Caiaponia1SG60KTL(COM2-029)46047,253472222246047,253472222246047,4208333333</v>
      </c>
      <c r="Q1190" s="1" t="str">
        <f>_xlfn.CONCAT(H1190,I1190,J1190)</f>
        <v>DAURDE</v>
      </c>
    </row>
    <row r="1191" spans="2:17">
      <c r="B1191" s="1" t="s">
        <v>456</v>
      </c>
      <c r="C1191" s="1" t="s">
        <v>482</v>
      </c>
      <c r="D1191" s="52">
        <v>46047.253472222219</v>
      </c>
      <c r="E1191" s="52">
        <v>46047.253472222219</v>
      </c>
      <c r="F1191" s="52">
        <v>46047.42083333333</v>
      </c>
      <c r="G1191" s="53">
        <f>F1191-E1191</f>
        <v>0.16736111111094942</v>
      </c>
      <c r="H1191" s="1" t="s">
        <v>257</v>
      </c>
      <c r="J1191" s="1" t="s">
        <v>258</v>
      </c>
      <c r="K1191" s="1" t="s">
        <v>658</v>
      </c>
      <c r="L1191" s="1" t="s">
        <v>538</v>
      </c>
      <c r="M1191" s="1" t="s">
        <v>260</v>
      </c>
      <c r="N1191" s="1" t="s">
        <v>261</v>
      </c>
      <c r="O1191" s="1" t="s">
        <v>579</v>
      </c>
      <c r="P1191" s="1" t="str">
        <f>_xlfn.CONCAT(B1191,C1191,D1191,E1191,F1191)</f>
        <v>BC Caiaponia1SG50CX(COM1-021)46047,253472222246047,253472222246047,4208333333</v>
      </c>
      <c r="Q1191" s="1" t="str">
        <f>_xlfn.CONCAT(H1191,I1191,J1191)</f>
        <v>DAURDE</v>
      </c>
    </row>
    <row r="1192" spans="2:17">
      <c r="B1192" s="1" t="s">
        <v>456</v>
      </c>
      <c r="C1192" s="1" t="s">
        <v>483</v>
      </c>
      <c r="D1192" s="52">
        <v>46047.253472222219</v>
      </c>
      <c r="E1192" s="52">
        <v>46047.253472222219</v>
      </c>
      <c r="F1192" s="52">
        <v>46047.42083333333</v>
      </c>
      <c r="G1192" s="53">
        <f>F1192-E1192</f>
        <v>0.16736111111094942</v>
      </c>
      <c r="H1192" s="1" t="s">
        <v>257</v>
      </c>
      <c r="J1192" s="1" t="s">
        <v>258</v>
      </c>
      <c r="K1192" s="1" t="s">
        <v>658</v>
      </c>
      <c r="L1192" s="1" t="s">
        <v>538</v>
      </c>
      <c r="M1192" s="1" t="s">
        <v>260</v>
      </c>
      <c r="N1192" s="1" t="s">
        <v>261</v>
      </c>
      <c r="O1192" s="1" t="s">
        <v>579</v>
      </c>
      <c r="P1192" s="1" t="str">
        <f>_xlfn.CONCAT(B1192,C1192,D1192,E1192,F1192)</f>
        <v>BC Caiaponia1SG50CX(COM1-022)46047,253472222246047,253472222246047,4208333333</v>
      </c>
      <c r="Q1192" s="1" t="str">
        <f>_xlfn.CONCAT(H1192,I1192,J1192)</f>
        <v>DAURDE</v>
      </c>
    </row>
    <row r="1193" spans="2:17">
      <c r="B1193" s="1" t="s">
        <v>456</v>
      </c>
      <c r="C1193" s="1" t="s">
        <v>484</v>
      </c>
      <c r="D1193" s="52">
        <v>46047.253472222219</v>
      </c>
      <c r="E1193" s="52">
        <v>46047.253472222219</v>
      </c>
      <c r="F1193" s="52">
        <v>46047.42083333333</v>
      </c>
      <c r="G1193" s="53">
        <f>F1193-E1193</f>
        <v>0.16736111111094942</v>
      </c>
      <c r="H1193" s="1" t="s">
        <v>257</v>
      </c>
      <c r="J1193" s="1" t="s">
        <v>258</v>
      </c>
      <c r="K1193" s="1" t="s">
        <v>658</v>
      </c>
      <c r="L1193" s="1" t="s">
        <v>538</v>
      </c>
      <c r="M1193" s="1" t="s">
        <v>260</v>
      </c>
      <c r="N1193" s="1" t="s">
        <v>261</v>
      </c>
      <c r="O1193" s="1" t="s">
        <v>579</v>
      </c>
      <c r="P1193" s="1" t="str">
        <f>_xlfn.CONCAT(B1193,C1193,D1193,E1193,F1193)</f>
        <v>BC Caiaponia1SG50CX(COM1-023)46047,253472222246047,253472222246047,4208333333</v>
      </c>
      <c r="Q1193" s="1" t="str">
        <f>_xlfn.CONCAT(H1193,I1193,J1193)</f>
        <v>DAURDE</v>
      </c>
    </row>
    <row r="1194" spans="2:17">
      <c r="B1194" s="1" t="s">
        <v>456</v>
      </c>
      <c r="C1194" s="1" t="s">
        <v>485</v>
      </c>
      <c r="D1194" s="52">
        <v>46047.253472222219</v>
      </c>
      <c r="E1194" s="52">
        <v>46047.253472222219</v>
      </c>
      <c r="F1194" s="52">
        <v>46047.42083333333</v>
      </c>
      <c r="G1194" s="53">
        <f>F1194-E1194</f>
        <v>0.16736111111094942</v>
      </c>
      <c r="H1194" s="1" t="s">
        <v>257</v>
      </c>
      <c r="J1194" s="1" t="s">
        <v>258</v>
      </c>
      <c r="K1194" s="1" t="s">
        <v>658</v>
      </c>
      <c r="L1194" s="1" t="s">
        <v>538</v>
      </c>
      <c r="M1194" s="1" t="s">
        <v>260</v>
      </c>
      <c r="N1194" s="1" t="s">
        <v>261</v>
      </c>
      <c r="O1194" s="1" t="s">
        <v>579</v>
      </c>
      <c r="P1194" s="1" t="str">
        <f>_xlfn.CONCAT(B1194,C1194,D1194,E1194,F1194)</f>
        <v>BC Caiaponia1SG50CX(COM1-024)46047,253472222246047,253472222246047,4208333333</v>
      </c>
      <c r="Q1194" s="1" t="str">
        <f>_xlfn.CONCAT(H1194,I1194,J1194)</f>
        <v>DAURDE</v>
      </c>
    </row>
    <row r="1195" spans="2:17">
      <c r="B1195" s="1" t="s">
        <v>456</v>
      </c>
      <c r="C1195" s="1" t="s">
        <v>486</v>
      </c>
      <c r="D1195" s="52">
        <v>46047.253472222219</v>
      </c>
      <c r="E1195" s="52">
        <v>46047.253472222219</v>
      </c>
      <c r="F1195" s="52">
        <v>46047.42083333333</v>
      </c>
      <c r="G1195" s="53">
        <f>F1195-E1195</f>
        <v>0.16736111111094942</v>
      </c>
      <c r="H1195" s="1" t="s">
        <v>257</v>
      </c>
      <c r="J1195" s="1" t="s">
        <v>258</v>
      </c>
      <c r="K1195" s="1" t="s">
        <v>658</v>
      </c>
      <c r="L1195" s="1" t="s">
        <v>538</v>
      </c>
      <c r="M1195" s="1" t="s">
        <v>260</v>
      </c>
      <c r="N1195" s="1" t="s">
        <v>261</v>
      </c>
      <c r="O1195" s="1" t="s">
        <v>579</v>
      </c>
      <c r="P1195" s="1" t="str">
        <f>_xlfn.CONCAT(B1195,C1195,D1195,E1195,F1195)</f>
        <v>BC Caiaponia1SG50CX(COM1-025)46047,253472222246047,253472222246047,4208333333</v>
      </c>
      <c r="Q1195" s="1" t="str">
        <f>_xlfn.CONCAT(H1195,I1195,J1195)</f>
        <v>DAURDE</v>
      </c>
    </row>
    <row r="1196" spans="2:17">
      <c r="B1196" s="1" t="s">
        <v>327</v>
      </c>
      <c r="C1196" s="1" t="s">
        <v>247</v>
      </c>
      <c r="D1196" s="52">
        <v>46047.259722222225</v>
      </c>
      <c r="E1196" s="52">
        <v>46047.259722222225</v>
      </c>
      <c r="F1196" s="52">
        <v>46047.263888888891</v>
      </c>
      <c r="G1196" s="53">
        <f>F1196-E1196</f>
        <v>4.166666665696539E-3</v>
      </c>
      <c r="H1196" s="1" t="s">
        <v>257</v>
      </c>
      <c r="J1196" s="1" t="s">
        <v>258</v>
      </c>
      <c r="K1196" s="1" t="s">
        <v>658</v>
      </c>
      <c r="L1196" s="1" t="s">
        <v>541</v>
      </c>
      <c r="M1196" s="1" t="s">
        <v>260</v>
      </c>
      <c r="N1196" s="1" t="s">
        <v>261</v>
      </c>
      <c r="O1196" s="1" t="s">
        <v>580</v>
      </c>
      <c r="P1196" s="1" t="str">
        <f>_xlfn.CONCAT(B1196,C1196,D1196,E1196,F1196)</f>
        <v>BC Aracu5.1Inverter(MBUS-1)46047,259722222246047,259722222246047,2638888889</v>
      </c>
      <c r="Q1196" s="1" t="str">
        <f>_xlfn.CONCAT(H1196,I1196,J1196)</f>
        <v>DAURDE</v>
      </c>
    </row>
    <row r="1197" spans="2:17">
      <c r="B1197" s="1" t="s">
        <v>329</v>
      </c>
      <c r="C1197" s="1" t="s">
        <v>247</v>
      </c>
      <c r="D1197" s="52">
        <v>46047.259722222225</v>
      </c>
      <c r="E1197" s="52">
        <v>46047.259722222225</v>
      </c>
      <c r="F1197" s="52">
        <v>46047.263888888891</v>
      </c>
      <c r="G1197" s="53">
        <f>F1197-E1197</f>
        <v>4.166666665696539E-3</v>
      </c>
      <c r="H1197" s="1" t="s">
        <v>257</v>
      </c>
      <c r="J1197" s="1" t="s">
        <v>258</v>
      </c>
      <c r="K1197" s="1" t="s">
        <v>658</v>
      </c>
      <c r="L1197" s="1" t="s">
        <v>541</v>
      </c>
      <c r="M1197" s="1" t="s">
        <v>260</v>
      </c>
      <c r="N1197" s="1" t="s">
        <v>261</v>
      </c>
      <c r="O1197" s="1" t="s">
        <v>580</v>
      </c>
      <c r="P1197" s="1" t="str">
        <f>_xlfn.CONCAT(B1197,C1197,D1197,E1197,F1197)</f>
        <v>BC Aracu5.4Inverter(MBUS-1)46047,259722222246047,259722222246047,2638888889</v>
      </c>
      <c r="Q1197" s="1" t="str">
        <f>_xlfn.CONCAT(H1197,I1197,J1197)</f>
        <v>DAURDE</v>
      </c>
    </row>
    <row r="1198" spans="2:17">
      <c r="B1198" s="1" t="s">
        <v>330</v>
      </c>
      <c r="C1198" s="1" t="s">
        <v>247</v>
      </c>
      <c r="D1198" s="52">
        <v>46047.259722222225</v>
      </c>
      <c r="E1198" s="52">
        <v>46047.259722222225</v>
      </c>
      <c r="F1198" s="52">
        <v>46047.263888888891</v>
      </c>
      <c r="G1198" s="53">
        <f>F1198-E1198</f>
        <v>4.166666665696539E-3</v>
      </c>
      <c r="H1198" s="1" t="s">
        <v>257</v>
      </c>
      <c r="J1198" s="1" t="s">
        <v>258</v>
      </c>
      <c r="K1198" s="1" t="s">
        <v>658</v>
      </c>
      <c r="L1198" s="1" t="s">
        <v>581</v>
      </c>
      <c r="M1198" s="1" t="s">
        <v>260</v>
      </c>
      <c r="N1198" s="1" t="s">
        <v>261</v>
      </c>
      <c r="O1198" s="1" t="s">
        <v>580</v>
      </c>
      <c r="P1198" s="1" t="str">
        <f>_xlfn.CONCAT(B1198,C1198,D1198,E1198,F1198)</f>
        <v>BC Aracu5.5Inverter(MBUS-1)46047,259722222246047,259722222246047,2638888889</v>
      </c>
      <c r="Q1198" s="1" t="str">
        <f>_xlfn.CONCAT(H1198,I1198,J1198)</f>
        <v>DAURDE</v>
      </c>
    </row>
    <row r="1199" spans="2:17">
      <c r="B1199" s="1" t="s">
        <v>255</v>
      </c>
      <c r="C1199" s="1" t="s">
        <v>256</v>
      </c>
      <c r="D1199" s="52">
        <v>46047.277083333334</v>
      </c>
      <c r="E1199" s="52">
        <v>46047.277083333334</v>
      </c>
      <c r="F1199" s="52">
        <v>46047.338888888888</v>
      </c>
      <c r="G1199" s="53">
        <f>F1199-E1199</f>
        <v>6.1805555553291924E-2</v>
      </c>
      <c r="H1199" s="1" t="s">
        <v>257</v>
      </c>
      <c r="J1199" s="1" t="s">
        <v>258</v>
      </c>
      <c r="K1199" s="1" t="s">
        <v>658</v>
      </c>
      <c r="L1199" s="1" t="s">
        <v>581</v>
      </c>
      <c r="M1199" s="1" t="s">
        <v>260</v>
      </c>
      <c r="N1199" s="1" t="s">
        <v>261</v>
      </c>
      <c r="O1199" s="1" t="s">
        <v>580</v>
      </c>
      <c r="P1199" s="1" t="str">
        <f>_xlfn.CONCAT(B1199,C1199,D1199,E1199,F1199)</f>
        <v>BC Formoso2.1Inverter(MBUS-12)46047,277083333346047,277083333346047,3388888889</v>
      </c>
      <c r="Q1199" s="1" t="str">
        <f>_xlfn.CONCAT(H1199,I1199,J1199)</f>
        <v>DAURDE</v>
      </c>
    </row>
    <row r="1200" spans="2:17">
      <c r="B1200" s="1" t="s">
        <v>255</v>
      </c>
      <c r="C1200" s="1" t="s">
        <v>263</v>
      </c>
      <c r="D1200" s="52">
        <v>46047.277083333334</v>
      </c>
      <c r="E1200" s="52">
        <v>46047.277083333334</v>
      </c>
      <c r="F1200" s="52">
        <v>46047.338888888888</v>
      </c>
      <c r="G1200" s="53">
        <f>F1200-E1200</f>
        <v>6.1805555553291924E-2</v>
      </c>
      <c r="H1200" s="1" t="s">
        <v>257</v>
      </c>
      <c r="J1200" s="1" t="s">
        <v>258</v>
      </c>
      <c r="K1200" s="1" t="s">
        <v>658</v>
      </c>
      <c r="L1200" s="1" t="s">
        <v>581</v>
      </c>
      <c r="M1200" s="1" t="s">
        <v>260</v>
      </c>
      <c r="N1200" s="1" t="s">
        <v>261</v>
      </c>
      <c r="O1200" s="1" t="s">
        <v>580</v>
      </c>
      <c r="P1200" s="1" t="str">
        <f>_xlfn.CONCAT(B1200,C1200,D1200,E1200,F1200)</f>
        <v>BC Formoso2.1Inverter(MBUS-14)46047,277083333346047,277083333346047,3388888889</v>
      </c>
      <c r="Q1200" s="1" t="str">
        <f>_xlfn.CONCAT(H1200,I1200,J1200)</f>
        <v>DAURDE</v>
      </c>
    </row>
    <row r="1201" spans="2:17">
      <c r="B1201" s="1" t="s">
        <v>255</v>
      </c>
      <c r="C1201" s="1" t="s">
        <v>264</v>
      </c>
      <c r="D1201" s="52">
        <v>46047.277083333334</v>
      </c>
      <c r="E1201" s="52">
        <v>46047.277083333334</v>
      </c>
      <c r="F1201" s="52">
        <v>46047.338888888888</v>
      </c>
      <c r="G1201" s="53">
        <f>F1201-E1201</f>
        <v>6.1805555553291924E-2</v>
      </c>
      <c r="H1201" s="1" t="s">
        <v>257</v>
      </c>
      <c r="J1201" s="1" t="s">
        <v>258</v>
      </c>
      <c r="K1201" s="1" t="s">
        <v>658</v>
      </c>
      <c r="L1201" s="1" t="s">
        <v>581</v>
      </c>
      <c r="M1201" s="1" t="s">
        <v>260</v>
      </c>
      <c r="N1201" s="1" t="s">
        <v>261</v>
      </c>
      <c r="O1201" s="1" t="s">
        <v>580</v>
      </c>
      <c r="P1201" s="1" t="str">
        <f>_xlfn.CONCAT(B1201,C1201,D1201,E1201,F1201)</f>
        <v>BC Formoso2.1Inverter(MBUS-13)46047,277083333346047,277083333346047,3388888889</v>
      </c>
      <c r="Q1201" s="1" t="str">
        <f>_xlfn.CONCAT(H1201,I1201,J1201)</f>
        <v>DAURDE</v>
      </c>
    </row>
    <row r="1202" spans="2:17">
      <c r="B1202" s="1" t="s">
        <v>255</v>
      </c>
      <c r="C1202" s="1" t="s">
        <v>247</v>
      </c>
      <c r="D1202" s="52">
        <v>46047.277083333334</v>
      </c>
      <c r="E1202" s="52">
        <v>46047.277083333334</v>
      </c>
      <c r="F1202" s="52">
        <v>46047.338888888888</v>
      </c>
      <c r="G1202" s="53">
        <f>F1202-E1202</f>
        <v>6.1805555553291924E-2</v>
      </c>
      <c r="H1202" s="1" t="s">
        <v>257</v>
      </c>
      <c r="J1202" s="1" t="s">
        <v>258</v>
      </c>
      <c r="K1202" s="1" t="s">
        <v>658</v>
      </c>
      <c r="L1202" s="1" t="s">
        <v>581</v>
      </c>
      <c r="M1202" s="1" t="s">
        <v>260</v>
      </c>
      <c r="N1202" s="1" t="s">
        <v>261</v>
      </c>
      <c r="O1202" s="1" t="s">
        <v>580</v>
      </c>
      <c r="P1202" s="1" t="str">
        <f>_xlfn.CONCAT(B1202,C1202,D1202,E1202,F1202)</f>
        <v>BC Formoso2.1Inverter(MBUS-1)46047,277083333346047,277083333346047,3388888889</v>
      </c>
      <c r="Q1202" s="1" t="str">
        <f>_xlfn.CONCAT(H1202,I1202,J1202)</f>
        <v>DAURDE</v>
      </c>
    </row>
    <row r="1203" spans="2:17">
      <c r="B1203" s="1" t="s">
        <v>355</v>
      </c>
      <c r="C1203" s="1" t="s">
        <v>264</v>
      </c>
      <c r="D1203" s="52">
        <v>46047.277083333334</v>
      </c>
      <c r="E1203" s="52">
        <v>46047.277083333334</v>
      </c>
      <c r="F1203" s="52">
        <v>46047.338888888888</v>
      </c>
      <c r="G1203" s="53">
        <f>F1203-E1203</f>
        <v>6.1805555553291924E-2</v>
      </c>
      <c r="H1203" s="1" t="s">
        <v>257</v>
      </c>
      <c r="J1203" s="1" t="s">
        <v>258</v>
      </c>
      <c r="K1203" s="1" t="s">
        <v>658</v>
      </c>
      <c r="L1203" s="1" t="s">
        <v>581</v>
      </c>
      <c r="M1203" s="1" t="s">
        <v>260</v>
      </c>
      <c r="N1203" s="1" t="s">
        <v>261</v>
      </c>
      <c r="O1203" s="1" t="s">
        <v>580</v>
      </c>
      <c r="P1203" s="1" t="str">
        <f>_xlfn.CONCAT(B1203,C1203,D1203,E1203,F1203)</f>
        <v>BC Formoso2.3Inverter(MBUS-13)46047,277083333346047,277083333346047,3388888889</v>
      </c>
      <c r="Q1203" s="1" t="str">
        <f>_xlfn.CONCAT(H1203,I1203,J1203)</f>
        <v>DAURDE</v>
      </c>
    </row>
    <row r="1204" spans="2:17">
      <c r="B1204" s="1" t="s">
        <v>355</v>
      </c>
      <c r="C1204" s="1" t="s">
        <v>256</v>
      </c>
      <c r="D1204" s="52">
        <v>46047.277083333334</v>
      </c>
      <c r="E1204" s="52">
        <v>46047.277083333334</v>
      </c>
      <c r="F1204" s="52">
        <v>46047.338888888888</v>
      </c>
      <c r="G1204" s="53">
        <f>F1204-E1204</f>
        <v>6.1805555553291924E-2</v>
      </c>
      <c r="H1204" s="1" t="s">
        <v>257</v>
      </c>
      <c r="J1204" s="1" t="s">
        <v>258</v>
      </c>
      <c r="K1204" s="1" t="s">
        <v>658</v>
      </c>
      <c r="L1204" s="1" t="s">
        <v>581</v>
      </c>
      <c r="M1204" s="1" t="s">
        <v>260</v>
      </c>
      <c r="N1204" s="1" t="s">
        <v>261</v>
      </c>
      <c r="O1204" s="1" t="s">
        <v>580</v>
      </c>
      <c r="P1204" s="1" t="str">
        <f>_xlfn.CONCAT(B1204,C1204,D1204,E1204,F1204)</f>
        <v>BC Formoso2.3Inverter(MBUS-12)46047,277083333346047,277083333346047,3388888889</v>
      </c>
      <c r="Q1204" s="1" t="str">
        <f>_xlfn.CONCAT(H1204,I1204,J1204)</f>
        <v>DAURDE</v>
      </c>
    </row>
    <row r="1205" spans="2:17">
      <c r="B1205" s="1" t="s">
        <v>368</v>
      </c>
      <c r="C1205" s="1" t="s">
        <v>256</v>
      </c>
      <c r="D1205" s="52">
        <v>46047.677083333336</v>
      </c>
      <c r="E1205" s="52">
        <v>46047.677083333336</v>
      </c>
      <c r="F1205" s="52">
        <v>46047.705555555556</v>
      </c>
      <c r="G1205" s="53">
        <f>F1205-E1205</f>
        <v>2.8472222220443655E-2</v>
      </c>
      <c r="H1205" s="1" t="s">
        <v>257</v>
      </c>
      <c r="J1205" s="1" t="s">
        <v>258</v>
      </c>
      <c r="K1205" s="1" t="s">
        <v>658</v>
      </c>
      <c r="L1205" s="1" t="s">
        <v>582</v>
      </c>
      <c r="M1205" s="1" t="s">
        <v>260</v>
      </c>
      <c r="N1205" s="1" t="s">
        <v>261</v>
      </c>
      <c r="O1205" s="1" t="s">
        <v>579</v>
      </c>
      <c r="P1205" s="1" t="str">
        <f>_xlfn.CONCAT(B1205,C1205,D1205,E1205,F1205)</f>
        <v>BC Ibiuna 1.1Inverter(MBUS-12)46047,677083333346047,677083333346047,7055555556</v>
      </c>
      <c r="Q1205" s="1" t="str">
        <f>_xlfn.CONCAT(H1205,I1205,J1205)</f>
        <v>DAURDE</v>
      </c>
    </row>
    <row r="1206" spans="2:17">
      <c r="B1206" s="1" t="s">
        <v>368</v>
      </c>
      <c r="C1206" s="1" t="s">
        <v>264</v>
      </c>
      <c r="D1206" s="52">
        <v>46047.677083333336</v>
      </c>
      <c r="E1206" s="52">
        <v>46047.677083333336</v>
      </c>
      <c r="F1206" s="52">
        <v>46047.705555555556</v>
      </c>
      <c r="G1206" s="53">
        <f>F1206-E1206</f>
        <v>2.8472222220443655E-2</v>
      </c>
      <c r="H1206" s="1" t="s">
        <v>257</v>
      </c>
      <c r="J1206" s="1" t="s">
        <v>258</v>
      </c>
      <c r="K1206" s="1" t="s">
        <v>658</v>
      </c>
      <c r="L1206" s="1" t="s">
        <v>582</v>
      </c>
      <c r="M1206" s="1" t="s">
        <v>260</v>
      </c>
      <c r="N1206" s="1" t="s">
        <v>261</v>
      </c>
      <c r="O1206" s="1" t="s">
        <v>579</v>
      </c>
      <c r="P1206" s="1" t="str">
        <f>_xlfn.CONCAT(B1206,C1206,D1206,E1206,F1206)</f>
        <v>BC Ibiuna 1.1Inverter(MBUS-13)46047,677083333346047,677083333346047,7055555556</v>
      </c>
      <c r="Q1206" s="1" t="str">
        <f>_xlfn.CONCAT(H1206,I1206,J1206)</f>
        <v>DAURDE</v>
      </c>
    </row>
    <row r="1207" spans="2:17">
      <c r="B1207" s="1" t="s">
        <v>368</v>
      </c>
      <c r="C1207" s="1" t="s">
        <v>263</v>
      </c>
      <c r="D1207" s="52">
        <v>46047.677083333336</v>
      </c>
      <c r="E1207" s="52">
        <v>46047.677083333336</v>
      </c>
      <c r="F1207" s="52">
        <v>46047.705555555556</v>
      </c>
      <c r="G1207" s="53">
        <f>F1207-E1207</f>
        <v>2.8472222220443655E-2</v>
      </c>
      <c r="H1207" s="1" t="s">
        <v>257</v>
      </c>
      <c r="J1207" s="1" t="s">
        <v>258</v>
      </c>
      <c r="K1207" s="1" t="s">
        <v>658</v>
      </c>
      <c r="L1207" s="1" t="s">
        <v>582</v>
      </c>
      <c r="M1207" s="1" t="s">
        <v>260</v>
      </c>
      <c r="N1207" s="1" t="s">
        <v>261</v>
      </c>
      <c r="O1207" s="1" t="s">
        <v>579</v>
      </c>
      <c r="P1207" s="1" t="str">
        <f>_xlfn.CONCAT(B1207,C1207,D1207,E1207,F1207)</f>
        <v>BC Ibiuna 1.1Inverter(MBUS-14)46047,677083333346047,677083333346047,7055555556</v>
      </c>
      <c r="Q1207" s="1" t="str">
        <f>_xlfn.CONCAT(H1207,I1207,J1207)</f>
        <v>DAURDE</v>
      </c>
    </row>
    <row r="1208" spans="2:17">
      <c r="B1208" s="1" t="s">
        <v>368</v>
      </c>
      <c r="C1208" s="1" t="s">
        <v>307</v>
      </c>
      <c r="D1208" s="52">
        <v>46047.677083333336</v>
      </c>
      <c r="E1208" s="52">
        <v>46047.677083333336</v>
      </c>
      <c r="F1208" s="52">
        <v>46047.705555555556</v>
      </c>
      <c r="G1208" s="53">
        <f>F1208-E1208</f>
        <v>2.8472222220443655E-2</v>
      </c>
      <c r="H1208" s="1" t="s">
        <v>257</v>
      </c>
      <c r="J1208" s="1" t="s">
        <v>258</v>
      </c>
      <c r="K1208" s="1" t="s">
        <v>658</v>
      </c>
      <c r="L1208" s="1" t="s">
        <v>582</v>
      </c>
      <c r="M1208" s="1" t="s">
        <v>260</v>
      </c>
      <c r="N1208" s="1" t="s">
        <v>261</v>
      </c>
      <c r="O1208" s="1" t="s">
        <v>579</v>
      </c>
      <c r="P1208" s="1" t="str">
        <f>_xlfn.CONCAT(B1208,C1208,D1208,E1208,F1208)</f>
        <v>BC Ibiuna 1.1Inverter(MBUS-15)46047,677083333346047,677083333346047,7055555556</v>
      </c>
      <c r="Q1208" s="1" t="str">
        <f>_xlfn.CONCAT(H1208,I1208,J1208)</f>
        <v>DAURDE</v>
      </c>
    </row>
    <row r="1209" spans="2:17">
      <c r="B1209" s="1" t="s">
        <v>370</v>
      </c>
      <c r="C1209" s="1" t="s">
        <v>256</v>
      </c>
      <c r="D1209" s="52">
        <v>46047.677083333336</v>
      </c>
      <c r="E1209" s="52">
        <v>46047.677083333336</v>
      </c>
      <c r="F1209" s="52">
        <v>46047.705555555556</v>
      </c>
      <c r="G1209" s="53">
        <f>F1209-E1209</f>
        <v>2.8472222220443655E-2</v>
      </c>
      <c r="H1209" s="1" t="s">
        <v>257</v>
      </c>
      <c r="J1209" s="1" t="s">
        <v>258</v>
      </c>
      <c r="K1209" s="1" t="s">
        <v>658</v>
      </c>
      <c r="L1209" s="1" t="s">
        <v>582</v>
      </c>
      <c r="M1209" s="1" t="s">
        <v>260</v>
      </c>
      <c r="N1209" s="1" t="s">
        <v>261</v>
      </c>
      <c r="O1209" s="1" t="s">
        <v>579</v>
      </c>
      <c r="P1209" s="1" t="str">
        <f>_xlfn.CONCAT(B1209,C1209,D1209,E1209,F1209)</f>
        <v>BC Ibiuna 1.2Inverter(MBUS-12)46047,677083333346047,677083333346047,7055555556</v>
      </c>
      <c r="Q1209" s="1" t="str">
        <f>_xlfn.CONCAT(H1209,I1209,J1209)</f>
        <v>DAURDE</v>
      </c>
    </row>
    <row r="1210" spans="2:17">
      <c r="B1210" s="1" t="s">
        <v>370</v>
      </c>
      <c r="C1210" s="1" t="s">
        <v>264</v>
      </c>
      <c r="D1210" s="52">
        <v>46047.677083333336</v>
      </c>
      <c r="E1210" s="52">
        <v>46047.677083333336</v>
      </c>
      <c r="F1210" s="52">
        <v>46047.705555555556</v>
      </c>
      <c r="G1210" s="53">
        <f>F1210-E1210</f>
        <v>2.8472222220443655E-2</v>
      </c>
      <c r="H1210" s="1" t="s">
        <v>257</v>
      </c>
      <c r="J1210" s="1" t="s">
        <v>258</v>
      </c>
      <c r="K1210" s="1" t="s">
        <v>658</v>
      </c>
      <c r="L1210" s="1" t="s">
        <v>582</v>
      </c>
      <c r="M1210" s="1" t="s">
        <v>260</v>
      </c>
      <c r="N1210" s="1" t="s">
        <v>261</v>
      </c>
      <c r="O1210" s="1" t="s">
        <v>579</v>
      </c>
      <c r="P1210" s="1" t="str">
        <f>_xlfn.CONCAT(B1210,C1210,D1210,E1210,F1210)</f>
        <v>BC Ibiuna 1.2Inverter(MBUS-13)46047,677083333346047,677083333346047,7055555556</v>
      </c>
      <c r="Q1210" s="1" t="str">
        <f>_xlfn.CONCAT(H1210,I1210,J1210)</f>
        <v>DAURDE</v>
      </c>
    </row>
    <row r="1211" spans="2:17">
      <c r="B1211" s="1" t="s">
        <v>370</v>
      </c>
      <c r="C1211" s="1" t="s">
        <v>263</v>
      </c>
      <c r="D1211" s="52">
        <v>46047.677083333336</v>
      </c>
      <c r="E1211" s="52">
        <v>46047.677083333336</v>
      </c>
      <c r="F1211" s="52">
        <v>46047.705555555556</v>
      </c>
      <c r="G1211" s="53">
        <f>F1211-E1211</f>
        <v>2.8472222220443655E-2</v>
      </c>
      <c r="H1211" s="1" t="s">
        <v>257</v>
      </c>
      <c r="J1211" s="1" t="s">
        <v>258</v>
      </c>
      <c r="K1211" s="1" t="s">
        <v>658</v>
      </c>
      <c r="L1211" s="1" t="s">
        <v>582</v>
      </c>
      <c r="M1211" s="1" t="s">
        <v>260</v>
      </c>
      <c r="N1211" s="1" t="s">
        <v>261</v>
      </c>
      <c r="O1211" s="1" t="s">
        <v>579</v>
      </c>
      <c r="P1211" s="1" t="str">
        <f>_xlfn.CONCAT(B1211,C1211,D1211,E1211,F1211)</f>
        <v>BC Ibiuna 1.2Inverter(MBUS-14)46047,677083333346047,677083333346047,7055555556</v>
      </c>
      <c r="Q1211" s="1" t="str">
        <f>_xlfn.CONCAT(H1211,I1211,J1211)</f>
        <v>DAURDE</v>
      </c>
    </row>
    <row r="1212" spans="2:17">
      <c r="B1212" s="1" t="s">
        <v>370</v>
      </c>
      <c r="C1212" s="1" t="s">
        <v>307</v>
      </c>
      <c r="D1212" s="52">
        <v>46047.677083333336</v>
      </c>
      <c r="E1212" s="52">
        <v>46047.677083333336</v>
      </c>
      <c r="F1212" s="52">
        <v>46047.705555555556</v>
      </c>
      <c r="G1212" s="53">
        <f>F1212-E1212</f>
        <v>2.8472222220443655E-2</v>
      </c>
      <c r="H1212" s="1" t="s">
        <v>257</v>
      </c>
      <c r="J1212" s="1" t="s">
        <v>258</v>
      </c>
      <c r="K1212" s="1" t="s">
        <v>658</v>
      </c>
      <c r="L1212" s="1" t="s">
        <v>582</v>
      </c>
      <c r="M1212" s="1" t="s">
        <v>260</v>
      </c>
      <c r="N1212" s="1" t="s">
        <v>261</v>
      </c>
      <c r="O1212" s="1" t="s">
        <v>579</v>
      </c>
      <c r="P1212" s="1" t="str">
        <f>_xlfn.CONCAT(B1212,C1212,D1212,E1212,F1212)</f>
        <v>BC Ibiuna 1.2Inverter(MBUS-15)46047,677083333346047,677083333346047,7055555556</v>
      </c>
      <c r="Q1212" s="1" t="str">
        <f>_xlfn.CONCAT(H1212,I1212,J1212)</f>
        <v>DAURDE</v>
      </c>
    </row>
    <row r="1213" spans="2:17">
      <c r="B1213" s="1" t="s">
        <v>456</v>
      </c>
      <c r="C1213" s="1" t="s">
        <v>457</v>
      </c>
      <c r="D1213" s="52">
        <v>46047.861111111109</v>
      </c>
      <c r="E1213" s="52">
        <v>46047.861111111109</v>
      </c>
      <c r="F1213" s="52">
        <v>46047.916666666664</v>
      </c>
      <c r="G1213" s="53">
        <f>F1213-E1213</f>
        <v>5.5555555554747116E-2</v>
      </c>
      <c r="H1213" s="1" t="s">
        <v>257</v>
      </c>
      <c r="J1213" s="1" t="s">
        <v>258</v>
      </c>
      <c r="K1213" s="1" t="s">
        <v>658</v>
      </c>
      <c r="L1213" s="1" t="s">
        <v>538</v>
      </c>
      <c r="M1213" s="1" t="s">
        <v>260</v>
      </c>
      <c r="N1213" s="1" t="s">
        <v>261</v>
      </c>
      <c r="O1213" s="1" t="s">
        <v>579</v>
      </c>
      <c r="P1213" s="1" t="str">
        <f>_xlfn.CONCAT(B1213,C1213,D1213,E1213,F1213)</f>
        <v>BC Caiaponia1SG60KTL(COM1-001)_001_00746047,861111111146047,861111111146047,9166666667</v>
      </c>
      <c r="Q1213" s="1" t="str">
        <f>_xlfn.CONCAT(H1213,I1213,J1213)</f>
        <v>DAURDE</v>
      </c>
    </row>
    <row r="1214" spans="2:17">
      <c r="B1214" s="1" t="s">
        <v>456</v>
      </c>
      <c r="C1214" s="1" t="s">
        <v>459</v>
      </c>
      <c r="D1214" s="52">
        <v>46047.861111111109</v>
      </c>
      <c r="E1214" s="52">
        <v>46047.861111111109</v>
      </c>
      <c r="F1214" s="52">
        <v>46047.916666666664</v>
      </c>
      <c r="G1214" s="53">
        <f>F1214-E1214</f>
        <v>5.5555555554747116E-2</v>
      </c>
      <c r="H1214" s="1" t="s">
        <v>257</v>
      </c>
      <c r="J1214" s="1" t="s">
        <v>258</v>
      </c>
      <c r="K1214" s="1" t="s">
        <v>658</v>
      </c>
      <c r="L1214" s="1" t="s">
        <v>538</v>
      </c>
      <c r="M1214" s="1" t="s">
        <v>260</v>
      </c>
      <c r="N1214" s="1" t="s">
        <v>261</v>
      </c>
      <c r="O1214" s="1" t="s">
        <v>579</v>
      </c>
      <c r="P1214" s="1" t="str">
        <f>_xlfn.CONCAT(B1214,C1214,D1214,E1214,F1214)</f>
        <v>BC Caiaponia1SG60KTL(COM1-002)_001_01046047,861111111146047,861111111146047,9166666667</v>
      </c>
      <c r="Q1214" s="1" t="str">
        <f>_xlfn.CONCAT(H1214,I1214,J1214)</f>
        <v>DAURDE</v>
      </c>
    </row>
    <row r="1215" spans="2:17">
      <c r="B1215" s="1" t="s">
        <v>456</v>
      </c>
      <c r="C1215" s="1" t="s">
        <v>460</v>
      </c>
      <c r="D1215" s="52">
        <v>46047.861111111109</v>
      </c>
      <c r="E1215" s="52">
        <v>46047.861111111109</v>
      </c>
      <c r="F1215" s="52">
        <v>46047.916666666664</v>
      </c>
      <c r="G1215" s="53">
        <f>F1215-E1215</f>
        <v>5.5555555554747116E-2</v>
      </c>
      <c r="H1215" s="1" t="s">
        <v>257</v>
      </c>
      <c r="J1215" s="1" t="s">
        <v>258</v>
      </c>
      <c r="K1215" s="1" t="s">
        <v>658</v>
      </c>
      <c r="L1215" s="1" t="s">
        <v>538</v>
      </c>
      <c r="M1215" s="1" t="s">
        <v>260</v>
      </c>
      <c r="N1215" s="1" t="s">
        <v>261</v>
      </c>
      <c r="O1215" s="1" t="s">
        <v>579</v>
      </c>
      <c r="P1215" s="1" t="str">
        <f>_xlfn.CONCAT(B1215,C1215,D1215,E1215,F1215)</f>
        <v>BC Caiaponia1SG60KTL(COM1-003)_001_01146047,861111111146047,861111111146047,9166666667</v>
      </c>
      <c r="Q1215" s="1" t="str">
        <f>_xlfn.CONCAT(H1215,I1215,J1215)</f>
        <v>DAURDE</v>
      </c>
    </row>
    <row r="1216" spans="2:17">
      <c r="B1216" s="1" t="s">
        <v>456</v>
      </c>
      <c r="C1216" s="1" t="s">
        <v>461</v>
      </c>
      <c r="D1216" s="52">
        <v>46047.861111111109</v>
      </c>
      <c r="E1216" s="52">
        <v>46047.861111111109</v>
      </c>
      <c r="F1216" s="52">
        <v>46047.916666666664</v>
      </c>
      <c r="G1216" s="53">
        <f>F1216-E1216</f>
        <v>5.5555555554747116E-2</v>
      </c>
      <c r="H1216" s="1" t="s">
        <v>257</v>
      </c>
      <c r="J1216" s="1" t="s">
        <v>258</v>
      </c>
      <c r="K1216" s="1" t="s">
        <v>658</v>
      </c>
      <c r="L1216" s="1" t="s">
        <v>538</v>
      </c>
      <c r="M1216" s="1" t="s">
        <v>260</v>
      </c>
      <c r="N1216" s="1" t="s">
        <v>261</v>
      </c>
      <c r="O1216" s="1" t="s">
        <v>579</v>
      </c>
      <c r="P1216" s="1" t="str">
        <f>_xlfn.CONCAT(B1216,C1216,D1216,E1216,F1216)</f>
        <v>BC Caiaponia1SG60KTL(COM1-004)_001_01446047,861111111146047,861111111146047,9166666667</v>
      </c>
      <c r="Q1216" s="1" t="str">
        <f>_xlfn.CONCAT(H1216,I1216,J1216)</f>
        <v>DAURDE</v>
      </c>
    </row>
    <row r="1217" spans="2:17">
      <c r="B1217" s="1" t="s">
        <v>456</v>
      </c>
      <c r="C1217" s="1" t="s">
        <v>462</v>
      </c>
      <c r="D1217" s="52">
        <v>46047.861111111109</v>
      </c>
      <c r="E1217" s="52">
        <v>46047.861111111109</v>
      </c>
      <c r="F1217" s="52">
        <v>46047.916666666664</v>
      </c>
      <c r="G1217" s="53">
        <f>F1217-E1217</f>
        <v>5.5555555554747116E-2</v>
      </c>
      <c r="H1217" s="1" t="s">
        <v>257</v>
      </c>
      <c r="J1217" s="1" t="s">
        <v>258</v>
      </c>
      <c r="K1217" s="1" t="s">
        <v>658</v>
      </c>
      <c r="L1217" s="1" t="s">
        <v>538</v>
      </c>
      <c r="M1217" s="1" t="s">
        <v>260</v>
      </c>
      <c r="N1217" s="1" t="s">
        <v>261</v>
      </c>
      <c r="O1217" s="1" t="s">
        <v>579</v>
      </c>
      <c r="P1217" s="1" t="str">
        <f>_xlfn.CONCAT(B1217,C1217,D1217,E1217,F1217)</f>
        <v>BC Caiaponia1SG60KTL(COM1-005)_001_01746047,861111111146047,861111111146047,9166666667</v>
      </c>
      <c r="Q1217" s="1" t="str">
        <f>_xlfn.CONCAT(H1217,I1217,J1217)</f>
        <v>DAURDE</v>
      </c>
    </row>
    <row r="1218" spans="2:17">
      <c r="B1218" s="1" t="s">
        <v>456</v>
      </c>
      <c r="C1218" s="1" t="s">
        <v>463</v>
      </c>
      <c r="D1218" s="52">
        <v>46047.861111111109</v>
      </c>
      <c r="E1218" s="52">
        <v>46047.861111111109</v>
      </c>
      <c r="F1218" s="52">
        <v>46047.916666666664</v>
      </c>
      <c r="G1218" s="53">
        <f>F1218-E1218</f>
        <v>5.5555555554747116E-2</v>
      </c>
      <c r="H1218" s="1" t="s">
        <v>257</v>
      </c>
      <c r="J1218" s="1" t="s">
        <v>258</v>
      </c>
      <c r="K1218" s="1" t="s">
        <v>658</v>
      </c>
      <c r="L1218" s="1" t="s">
        <v>538</v>
      </c>
      <c r="M1218" s="1" t="s">
        <v>260</v>
      </c>
      <c r="N1218" s="1" t="s">
        <v>261</v>
      </c>
      <c r="O1218" s="1" t="s">
        <v>579</v>
      </c>
      <c r="P1218" s="1" t="str">
        <f>_xlfn.CONCAT(B1218,C1218,D1218,E1218,F1218)</f>
        <v>BC Caiaponia1SG60KTL(COM1-006)_001_01646047,861111111146047,861111111146047,9166666667</v>
      </c>
      <c r="Q1218" s="1" t="str">
        <f>_xlfn.CONCAT(H1218,I1218,J1218)</f>
        <v>DAURDE</v>
      </c>
    </row>
    <row r="1219" spans="2:17">
      <c r="B1219" s="1" t="s">
        <v>456</v>
      </c>
      <c r="C1219" s="1" t="s">
        <v>464</v>
      </c>
      <c r="D1219" s="52">
        <v>46047.861111111109</v>
      </c>
      <c r="E1219" s="52">
        <v>46047.861111111109</v>
      </c>
      <c r="F1219" s="52">
        <v>46047.916666666664</v>
      </c>
      <c r="G1219" s="53">
        <f>F1219-E1219</f>
        <v>5.5555555554747116E-2</v>
      </c>
      <c r="H1219" s="1" t="s">
        <v>257</v>
      </c>
      <c r="J1219" s="1" t="s">
        <v>258</v>
      </c>
      <c r="K1219" s="1" t="s">
        <v>658</v>
      </c>
      <c r="L1219" s="1" t="s">
        <v>538</v>
      </c>
      <c r="M1219" s="1" t="s">
        <v>260</v>
      </c>
      <c r="N1219" s="1" t="s">
        <v>261</v>
      </c>
      <c r="O1219" s="1" t="s">
        <v>579</v>
      </c>
      <c r="P1219" s="1" t="str">
        <f>_xlfn.CONCAT(B1219,C1219,D1219,E1219,F1219)</f>
        <v>BC Caiaponia1SG60KTL(COM1-007)_001_01346047,861111111146047,861111111146047,9166666667</v>
      </c>
      <c r="Q1219" s="1" t="str">
        <f>_xlfn.CONCAT(H1219,I1219,J1219)</f>
        <v>DAURDE</v>
      </c>
    </row>
    <row r="1220" spans="2:17">
      <c r="B1220" s="1" t="s">
        <v>456</v>
      </c>
      <c r="C1220" s="1" t="s">
        <v>465</v>
      </c>
      <c r="D1220" s="52">
        <v>46047.861111111109</v>
      </c>
      <c r="E1220" s="52">
        <v>46047.861111111109</v>
      </c>
      <c r="F1220" s="52">
        <v>46047.916666666664</v>
      </c>
      <c r="G1220" s="53">
        <f>F1220-E1220</f>
        <v>5.5555555554747116E-2</v>
      </c>
      <c r="H1220" s="1" t="s">
        <v>257</v>
      </c>
      <c r="J1220" s="1" t="s">
        <v>258</v>
      </c>
      <c r="K1220" s="1" t="s">
        <v>658</v>
      </c>
      <c r="L1220" s="1" t="s">
        <v>538</v>
      </c>
      <c r="M1220" s="1" t="s">
        <v>260</v>
      </c>
      <c r="N1220" s="1" t="s">
        <v>261</v>
      </c>
      <c r="O1220" s="1" t="s">
        <v>579</v>
      </c>
      <c r="P1220" s="1" t="str">
        <f>_xlfn.CONCAT(B1220,C1220,D1220,E1220,F1220)</f>
        <v>BC Caiaponia1SG60KTL(COM1-008)_001_00146047,861111111146047,861111111146047,9166666667</v>
      </c>
      <c r="Q1220" s="1" t="str">
        <f>_xlfn.CONCAT(H1220,I1220,J1220)</f>
        <v>DAURDE</v>
      </c>
    </row>
    <row r="1221" spans="2:17">
      <c r="B1221" s="1" t="s">
        <v>456</v>
      </c>
      <c r="C1221" s="1" t="s">
        <v>466</v>
      </c>
      <c r="D1221" s="52">
        <v>46047.861111111109</v>
      </c>
      <c r="E1221" s="52">
        <v>46047.861111111109</v>
      </c>
      <c r="F1221" s="52">
        <v>46047.916666666664</v>
      </c>
      <c r="G1221" s="53">
        <f>F1221-E1221</f>
        <v>5.5555555554747116E-2</v>
      </c>
      <c r="H1221" s="1" t="s">
        <v>257</v>
      </c>
      <c r="J1221" s="1" t="s">
        <v>258</v>
      </c>
      <c r="K1221" s="1" t="s">
        <v>658</v>
      </c>
      <c r="L1221" s="1" t="s">
        <v>538</v>
      </c>
      <c r="M1221" s="1" t="s">
        <v>260</v>
      </c>
      <c r="N1221" s="1" t="s">
        <v>261</v>
      </c>
      <c r="O1221" s="1" t="s">
        <v>579</v>
      </c>
      <c r="P1221" s="1" t="str">
        <f>_xlfn.CONCAT(B1221,C1221,D1221,E1221,F1221)</f>
        <v>BC Caiaponia1SG60KTL(COM1-009)46047,861111111146047,861111111146047,9166666667</v>
      </c>
      <c r="Q1221" s="1" t="str">
        <f>_xlfn.CONCAT(H1221,I1221,J1221)</f>
        <v>DAURDE</v>
      </c>
    </row>
    <row r="1222" spans="2:17">
      <c r="B1222" s="1" t="s">
        <v>456</v>
      </c>
      <c r="C1222" s="1" t="s">
        <v>467</v>
      </c>
      <c r="D1222" s="52">
        <v>46047.861111111109</v>
      </c>
      <c r="E1222" s="52">
        <v>46047.861111111109</v>
      </c>
      <c r="F1222" s="52">
        <v>46047.916666666664</v>
      </c>
      <c r="G1222" s="53">
        <f>F1222-E1222</f>
        <v>5.5555555554747116E-2</v>
      </c>
      <c r="H1222" s="1" t="s">
        <v>257</v>
      </c>
      <c r="J1222" s="1" t="s">
        <v>258</v>
      </c>
      <c r="K1222" s="1" t="s">
        <v>658</v>
      </c>
      <c r="L1222" s="1" t="s">
        <v>538</v>
      </c>
      <c r="M1222" s="1" t="s">
        <v>260</v>
      </c>
      <c r="N1222" s="1" t="s">
        <v>261</v>
      </c>
      <c r="O1222" s="1" t="s">
        <v>579</v>
      </c>
      <c r="P1222" s="1" t="str">
        <f>_xlfn.CONCAT(B1222,C1222,D1222,E1222,F1222)</f>
        <v>BC Caiaponia1SG60KTL(COM1-010)46047,861111111146047,861111111146047,9166666667</v>
      </c>
      <c r="Q1222" s="1" t="str">
        <f>_xlfn.CONCAT(H1222,I1222,J1222)</f>
        <v>DAURDE</v>
      </c>
    </row>
    <row r="1223" spans="2:17">
      <c r="B1223" s="1" t="s">
        <v>456</v>
      </c>
      <c r="C1223" s="1" t="s">
        <v>468</v>
      </c>
      <c r="D1223" s="52">
        <v>46047.861111111109</v>
      </c>
      <c r="E1223" s="52">
        <v>46047.861111111109</v>
      </c>
      <c r="F1223" s="52">
        <v>46047.916666666664</v>
      </c>
      <c r="G1223" s="53">
        <f>F1223-E1223</f>
        <v>5.5555555554747116E-2</v>
      </c>
      <c r="H1223" s="1" t="s">
        <v>257</v>
      </c>
      <c r="J1223" s="1" t="s">
        <v>258</v>
      </c>
      <c r="K1223" s="1" t="s">
        <v>658</v>
      </c>
      <c r="L1223" s="1" t="s">
        <v>538</v>
      </c>
      <c r="M1223" s="1" t="s">
        <v>260</v>
      </c>
      <c r="N1223" s="1" t="s">
        <v>261</v>
      </c>
      <c r="O1223" s="1" t="s">
        <v>579</v>
      </c>
      <c r="P1223" s="1" t="str">
        <f>_xlfn.CONCAT(B1223,C1223,D1223,E1223,F1223)</f>
        <v>BC Caiaponia1SG60KTL(COM1-011)46047,861111111146047,861111111146047,9166666667</v>
      </c>
      <c r="Q1223" s="1" t="str">
        <f>_xlfn.CONCAT(H1223,I1223,J1223)</f>
        <v>DAURDE</v>
      </c>
    </row>
    <row r="1224" spans="2:17">
      <c r="B1224" s="1" t="s">
        <v>456</v>
      </c>
      <c r="C1224" s="1" t="s">
        <v>469</v>
      </c>
      <c r="D1224" s="52">
        <v>46047.861111111109</v>
      </c>
      <c r="E1224" s="52">
        <v>46047.861111111109</v>
      </c>
      <c r="F1224" s="52">
        <v>46047.916666666664</v>
      </c>
      <c r="G1224" s="53">
        <f>F1224-E1224</f>
        <v>5.5555555554747116E-2</v>
      </c>
      <c r="H1224" s="1" t="s">
        <v>257</v>
      </c>
      <c r="J1224" s="1" t="s">
        <v>258</v>
      </c>
      <c r="K1224" s="1" t="s">
        <v>658</v>
      </c>
      <c r="L1224" s="1" t="s">
        <v>538</v>
      </c>
      <c r="M1224" s="1" t="s">
        <v>260</v>
      </c>
      <c r="N1224" s="1" t="s">
        <v>261</v>
      </c>
      <c r="O1224" s="1" t="s">
        <v>579</v>
      </c>
      <c r="P1224" s="1" t="str">
        <f>_xlfn.CONCAT(B1224,C1224,D1224,E1224,F1224)</f>
        <v>BC Caiaponia1SG60KTL(COM1-012)46047,861111111146047,861111111146047,9166666667</v>
      </c>
      <c r="Q1224" s="1" t="str">
        <f>_xlfn.CONCAT(H1224,I1224,J1224)</f>
        <v>DAURDE</v>
      </c>
    </row>
    <row r="1225" spans="2:17">
      <c r="B1225" s="1" t="s">
        <v>456</v>
      </c>
      <c r="C1225" s="1" t="s">
        <v>470</v>
      </c>
      <c r="D1225" s="52">
        <v>46047.861111111109</v>
      </c>
      <c r="E1225" s="52">
        <v>46047.861111111109</v>
      </c>
      <c r="F1225" s="52">
        <v>46047.916666666664</v>
      </c>
      <c r="G1225" s="53">
        <f>F1225-E1225</f>
        <v>5.5555555554747116E-2</v>
      </c>
      <c r="H1225" s="1" t="s">
        <v>257</v>
      </c>
      <c r="J1225" s="1" t="s">
        <v>258</v>
      </c>
      <c r="K1225" s="1" t="s">
        <v>658</v>
      </c>
      <c r="L1225" s="1" t="s">
        <v>538</v>
      </c>
      <c r="M1225" s="1" t="s">
        <v>260</v>
      </c>
      <c r="N1225" s="1" t="s">
        <v>261</v>
      </c>
      <c r="O1225" s="1" t="s">
        <v>579</v>
      </c>
      <c r="P1225" s="1" t="str">
        <f>_xlfn.CONCAT(B1225,C1225,D1225,E1225,F1225)</f>
        <v>BC Caiaponia1SG60KTL(COM1-013)46047,861111111146047,861111111146047,9166666667</v>
      </c>
      <c r="Q1225" s="1" t="str">
        <f>_xlfn.CONCAT(H1225,I1225,J1225)</f>
        <v>DAURDE</v>
      </c>
    </row>
    <row r="1226" spans="2:17">
      <c r="B1226" s="1" t="s">
        <v>456</v>
      </c>
      <c r="C1226" s="1" t="s">
        <v>471</v>
      </c>
      <c r="D1226" s="52">
        <v>46047.861111111109</v>
      </c>
      <c r="E1226" s="52">
        <v>46047.861111111109</v>
      </c>
      <c r="F1226" s="52">
        <v>46047.916666666664</v>
      </c>
      <c r="G1226" s="53">
        <f>F1226-E1226</f>
        <v>5.5555555554747116E-2</v>
      </c>
      <c r="H1226" s="1" t="s">
        <v>257</v>
      </c>
      <c r="J1226" s="1" t="s">
        <v>258</v>
      </c>
      <c r="K1226" s="1" t="s">
        <v>658</v>
      </c>
      <c r="L1226" s="1" t="s">
        <v>538</v>
      </c>
      <c r="M1226" s="1" t="s">
        <v>260</v>
      </c>
      <c r="N1226" s="1" t="s">
        <v>261</v>
      </c>
      <c r="O1226" s="1" t="s">
        <v>579</v>
      </c>
      <c r="P1226" s="1" t="str">
        <f>_xlfn.CONCAT(B1226,C1226,D1226,E1226,F1226)</f>
        <v>BC Caiaponia1SG60KTL(COM1-014)46047,861111111146047,861111111146047,9166666667</v>
      </c>
      <c r="Q1226" s="1" t="str">
        <f>_xlfn.CONCAT(H1226,I1226,J1226)</f>
        <v>DAURDE</v>
      </c>
    </row>
    <row r="1227" spans="2:17">
      <c r="B1227" s="1" t="s">
        <v>456</v>
      </c>
      <c r="C1227" s="1" t="s">
        <v>472</v>
      </c>
      <c r="D1227" s="52">
        <v>46047.861111111109</v>
      </c>
      <c r="E1227" s="52">
        <v>46047.861111111109</v>
      </c>
      <c r="F1227" s="52">
        <v>46047.916666666664</v>
      </c>
      <c r="G1227" s="53">
        <f>F1227-E1227</f>
        <v>5.5555555554747116E-2</v>
      </c>
      <c r="H1227" s="1" t="s">
        <v>257</v>
      </c>
      <c r="J1227" s="1" t="s">
        <v>258</v>
      </c>
      <c r="K1227" s="1" t="s">
        <v>658</v>
      </c>
      <c r="L1227" s="1" t="s">
        <v>538</v>
      </c>
      <c r="M1227" s="1" t="s">
        <v>260</v>
      </c>
      <c r="N1227" s="1" t="s">
        <v>261</v>
      </c>
      <c r="O1227" s="1" t="s">
        <v>579</v>
      </c>
      <c r="P1227" s="1" t="str">
        <f>_xlfn.CONCAT(B1227,C1227,D1227,E1227,F1227)</f>
        <v>BC Caiaponia1SG60KTL(COM1-015)46047,861111111146047,861111111146047,9166666667</v>
      </c>
      <c r="Q1227" s="1" t="str">
        <f>_xlfn.CONCAT(H1227,I1227,J1227)</f>
        <v>DAURDE</v>
      </c>
    </row>
    <row r="1228" spans="2:17">
      <c r="B1228" s="1" t="s">
        <v>456</v>
      </c>
      <c r="C1228" s="1" t="s">
        <v>473</v>
      </c>
      <c r="D1228" s="52">
        <v>46047.861111111109</v>
      </c>
      <c r="E1228" s="52">
        <v>46047.861111111109</v>
      </c>
      <c r="F1228" s="52">
        <v>46047.916666666664</v>
      </c>
      <c r="G1228" s="53">
        <f>F1228-E1228</f>
        <v>5.5555555554747116E-2</v>
      </c>
      <c r="H1228" s="1" t="s">
        <v>257</v>
      </c>
      <c r="J1228" s="1" t="s">
        <v>258</v>
      </c>
      <c r="K1228" s="1" t="s">
        <v>658</v>
      </c>
      <c r="L1228" s="1" t="s">
        <v>538</v>
      </c>
      <c r="M1228" s="1" t="s">
        <v>260</v>
      </c>
      <c r="N1228" s="1" t="s">
        <v>261</v>
      </c>
      <c r="O1228" s="1" t="s">
        <v>579</v>
      </c>
      <c r="P1228" s="1" t="str">
        <f>_xlfn.CONCAT(B1228,C1228,D1228,E1228,F1228)</f>
        <v>BC Caiaponia1SG60KTL(COM3-016)_001_00946047,861111111146047,861111111146047,9166666667</v>
      </c>
      <c r="Q1228" s="1" t="str">
        <f>_xlfn.CONCAT(H1228,I1228,J1228)</f>
        <v>DAURDE</v>
      </c>
    </row>
    <row r="1229" spans="2:17">
      <c r="B1229" s="1" t="s">
        <v>456</v>
      </c>
      <c r="C1229" s="1" t="s">
        <v>474</v>
      </c>
      <c r="D1229" s="52">
        <v>46047.861111111109</v>
      </c>
      <c r="E1229" s="52">
        <v>46047.861111111109</v>
      </c>
      <c r="F1229" s="52">
        <v>46047.916666666664</v>
      </c>
      <c r="G1229" s="53">
        <f>F1229-E1229</f>
        <v>5.5555555554747116E-2</v>
      </c>
      <c r="H1229" s="1" t="s">
        <v>257</v>
      </c>
      <c r="J1229" s="1" t="s">
        <v>258</v>
      </c>
      <c r="K1229" s="1" t="s">
        <v>658</v>
      </c>
      <c r="L1229" s="1" t="s">
        <v>538</v>
      </c>
      <c r="M1229" s="1" t="s">
        <v>260</v>
      </c>
      <c r="N1229" s="1" t="s">
        <v>261</v>
      </c>
      <c r="O1229" s="1" t="s">
        <v>579</v>
      </c>
      <c r="P1229" s="1" t="str">
        <f>_xlfn.CONCAT(B1229,C1229,D1229,E1229,F1229)</f>
        <v>BC Caiaponia1SG60KTL(COM3-017)_001_01246047,861111111146047,861111111146047,9166666667</v>
      </c>
      <c r="Q1229" s="1" t="str">
        <f>_xlfn.CONCAT(H1229,I1229,J1229)</f>
        <v>DAURDE</v>
      </c>
    </row>
    <row r="1230" spans="2:17">
      <c r="B1230" s="1" t="s">
        <v>456</v>
      </c>
      <c r="C1230" s="1" t="s">
        <v>475</v>
      </c>
      <c r="D1230" s="52">
        <v>46047.861111111109</v>
      </c>
      <c r="E1230" s="52">
        <v>46047.861111111109</v>
      </c>
      <c r="F1230" s="52">
        <v>46047.916666666664</v>
      </c>
      <c r="G1230" s="53">
        <f>F1230-E1230</f>
        <v>5.5555555554747116E-2</v>
      </c>
      <c r="H1230" s="1" t="s">
        <v>257</v>
      </c>
      <c r="J1230" s="1" t="s">
        <v>258</v>
      </c>
      <c r="K1230" s="1" t="s">
        <v>658</v>
      </c>
      <c r="L1230" s="1" t="s">
        <v>538</v>
      </c>
      <c r="M1230" s="1" t="s">
        <v>260</v>
      </c>
      <c r="N1230" s="1" t="s">
        <v>261</v>
      </c>
      <c r="O1230" s="1" t="s">
        <v>579</v>
      </c>
      <c r="P1230" s="1" t="str">
        <f>_xlfn.CONCAT(B1230,C1230,D1230,E1230,F1230)</f>
        <v>BC Caiaponia1SG60KTL(COM3-018)_001_00846047,861111111146047,861111111146047,9166666667</v>
      </c>
      <c r="Q1230" s="1" t="str">
        <f>_xlfn.CONCAT(H1230,I1230,J1230)</f>
        <v>DAURDE</v>
      </c>
    </row>
    <row r="1231" spans="2:17">
      <c r="B1231" s="1" t="s">
        <v>456</v>
      </c>
      <c r="C1231" s="1" t="s">
        <v>476</v>
      </c>
      <c r="D1231" s="52">
        <v>46047.861111111109</v>
      </c>
      <c r="E1231" s="52">
        <v>46047.861111111109</v>
      </c>
      <c r="F1231" s="52">
        <v>46047.916666666664</v>
      </c>
      <c r="G1231" s="53">
        <f>F1231-E1231</f>
        <v>5.5555555554747116E-2</v>
      </c>
      <c r="H1231" s="1" t="s">
        <v>257</v>
      </c>
      <c r="J1231" s="1" t="s">
        <v>258</v>
      </c>
      <c r="K1231" s="1" t="s">
        <v>658</v>
      </c>
      <c r="L1231" s="1" t="s">
        <v>538</v>
      </c>
      <c r="M1231" s="1" t="s">
        <v>260</v>
      </c>
      <c r="N1231" s="1" t="s">
        <v>261</v>
      </c>
      <c r="O1231" s="1" t="s">
        <v>579</v>
      </c>
      <c r="P1231" s="1" t="str">
        <f>_xlfn.CONCAT(B1231,C1231,D1231,E1231,F1231)</f>
        <v>BC Caiaponia1SG60KTL(COM3-019)_001_01946047,861111111146047,861111111146047,9166666667</v>
      </c>
      <c r="Q1231" s="1" t="str">
        <f>_xlfn.CONCAT(H1231,I1231,J1231)</f>
        <v>DAURDE</v>
      </c>
    </row>
    <row r="1232" spans="2:17">
      <c r="B1232" s="1" t="s">
        <v>456</v>
      </c>
      <c r="C1232" s="1" t="s">
        <v>477</v>
      </c>
      <c r="D1232" s="52">
        <v>46047.861111111109</v>
      </c>
      <c r="E1232" s="52">
        <v>46047.861111111109</v>
      </c>
      <c r="F1232" s="52">
        <v>46047.916666666664</v>
      </c>
      <c r="G1232" s="53">
        <f>F1232-E1232</f>
        <v>5.5555555554747116E-2</v>
      </c>
      <c r="H1232" s="1" t="s">
        <v>257</v>
      </c>
      <c r="J1232" s="1" t="s">
        <v>258</v>
      </c>
      <c r="K1232" s="1" t="s">
        <v>658</v>
      </c>
      <c r="L1232" s="1" t="s">
        <v>538</v>
      </c>
      <c r="M1232" s="1" t="s">
        <v>260</v>
      </c>
      <c r="N1232" s="1" t="s">
        <v>261</v>
      </c>
      <c r="O1232" s="1" t="s">
        <v>579</v>
      </c>
      <c r="P1232" s="1" t="str">
        <f>_xlfn.CONCAT(B1232,C1232,D1232,E1232,F1232)</f>
        <v>BC Caiaponia1SG60KTL(COM3-020)_001_02046047,861111111146047,861111111146047,9166666667</v>
      </c>
      <c r="Q1232" s="1" t="str">
        <f>_xlfn.CONCAT(H1232,I1232,J1232)</f>
        <v>DAURDE</v>
      </c>
    </row>
    <row r="1233" spans="2:17">
      <c r="B1233" s="1" t="s">
        <v>456</v>
      </c>
      <c r="C1233" s="1" t="s">
        <v>478</v>
      </c>
      <c r="D1233" s="52">
        <v>46047.861111111109</v>
      </c>
      <c r="E1233" s="52">
        <v>46047.861111111109</v>
      </c>
      <c r="F1233" s="52">
        <v>46047.916666666664</v>
      </c>
      <c r="G1233" s="53">
        <f>F1233-E1233</f>
        <v>5.5555555554747116E-2</v>
      </c>
      <c r="H1233" s="1" t="s">
        <v>257</v>
      </c>
      <c r="J1233" s="1" t="s">
        <v>258</v>
      </c>
      <c r="K1233" s="1" t="s">
        <v>658</v>
      </c>
      <c r="L1233" s="1" t="s">
        <v>538</v>
      </c>
      <c r="M1233" s="1" t="s">
        <v>260</v>
      </c>
      <c r="N1233" s="1" t="s">
        <v>261</v>
      </c>
      <c r="O1233" s="1" t="s">
        <v>579</v>
      </c>
      <c r="P1233" s="1" t="str">
        <f>_xlfn.CONCAT(B1233,C1233,D1233,E1233,F1233)</f>
        <v>BC Caiaponia1SG60KTL(COM2-026)46047,861111111146047,861111111146047,9166666667</v>
      </c>
      <c r="Q1233" s="1" t="str">
        <f>_xlfn.CONCAT(H1233,I1233,J1233)</f>
        <v>DAURDE</v>
      </c>
    </row>
    <row r="1234" spans="2:17">
      <c r="B1234" s="1" t="s">
        <v>456</v>
      </c>
      <c r="C1234" s="1" t="s">
        <v>479</v>
      </c>
      <c r="D1234" s="52">
        <v>46047.861111111109</v>
      </c>
      <c r="E1234" s="52">
        <v>46047.861111111109</v>
      </c>
      <c r="F1234" s="52">
        <v>46047.916666666664</v>
      </c>
      <c r="G1234" s="53">
        <f>F1234-E1234</f>
        <v>5.5555555554747116E-2</v>
      </c>
      <c r="H1234" s="1" t="s">
        <v>257</v>
      </c>
      <c r="J1234" s="1" t="s">
        <v>258</v>
      </c>
      <c r="K1234" s="1" t="s">
        <v>658</v>
      </c>
      <c r="L1234" s="1" t="s">
        <v>538</v>
      </c>
      <c r="M1234" s="1" t="s">
        <v>260</v>
      </c>
      <c r="N1234" s="1" t="s">
        <v>261</v>
      </c>
      <c r="O1234" s="1" t="s">
        <v>579</v>
      </c>
      <c r="P1234" s="1" t="str">
        <f>_xlfn.CONCAT(B1234,C1234,D1234,E1234,F1234)</f>
        <v>BC Caiaponia1SG60KTL(COM2-027)46047,861111111146047,861111111146047,9166666667</v>
      </c>
      <c r="Q1234" s="1" t="str">
        <f>_xlfn.CONCAT(H1234,I1234,J1234)</f>
        <v>DAURDE</v>
      </c>
    </row>
    <row r="1235" spans="2:17">
      <c r="B1235" s="1" t="s">
        <v>456</v>
      </c>
      <c r="C1235" s="1" t="s">
        <v>480</v>
      </c>
      <c r="D1235" s="52">
        <v>46047.861111111109</v>
      </c>
      <c r="E1235" s="52">
        <v>46047.861111111109</v>
      </c>
      <c r="F1235" s="52">
        <v>46047.916666666664</v>
      </c>
      <c r="G1235" s="53">
        <f>F1235-E1235</f>
        <v>5.5555555554747116E-2</v>
      </c>
      <c r="H1235" s="1" t="s">
        <v>257</v>
      </c>
      <c r="J1235" s="1" t="s">
        <v>258</v>
      </c>
      <c r="K1235" s="1" t="s">
        <v>658</v>
      </c>
      <c r="L1235" s="1" t="s">
        <v>538</v>
      </c>
      <c r="M1235" s="1" t="s">
        <v>260</v>
      </c>
      <c r="N1235" s="1" t="s">
        <v>261</v>
      </c>
      <c r="O1235" s="1" t="s">
        <v>579</v>
      </c>
      <c r="P1235" s="1" t="str">
        <f>_xlfn.CONCAT(B1235,C1235,D1235,E1235,F1235)</f>
        <v>BC Caiaponia1SG60KTL(COM2-028)46047,861111111146047,861111111146047,9166666667</v>
      </c>
      <c r="Q1235" s="1" t="str">
        <f>_xlfn.CONCAT(H1235,I1235,J1235)</f>
        <v>DAURDE</v>
      </c>
    </row>
    <row r="1236" spans="2:17">
      <c r="B1236" s="1" t="s">
        <v>456</v>
      </c>
      <c r="C1236" s="1" t="s">
        <v>481</v>
      </c>
      <c r="D1236" s="52">
        <v>46047.861111111109</v>
      </c>
      <c r="E1236" s="52">
        <v>46047.861111111109</v>
      </c>
      <c r="F1236" s="52">
        <v>46047.916666666664</v>
      </c>
      <c r="G1236" s="53">
        <f>F1236-E1236</f>
        <v>5.5555555554747116E-2</v>
      </c>
      <c r="H1236" s="1" t="s">
        <v>257</v>
      </c>
      <c r="J1236" s="1" t="s">
        <v>258</v>
      </c>
      <c r="K1236" s="1" t="s">
        <v>658</v>
      </c>
      <c r="L1236" s="1" t="s">
        <v>538</v>
      </c>
      <c r="M1236" s="1" t="s">
        <v>260</v>
      </c>
      <c r="N1236" s="1" t="s">
        <v>261</v>
      </c>
      <c r="O1236" s="1" t="s">
        <v>579</v>
      </c>
      <c r="P1236" s="1" t="str">
        <f>_xlfn.CONCAT(B1236,C1236,D1236,E1236,F1236)</f>
        <v>BC Caiaponia1SG60KTL(COM2-029)46047,861111111146047,861111111146047,9166666667</v>
      </c>
      <c r="Q1236" s="1" t="str">
        <f>_xlfn.CONCAT(H1236,I1236,J1236)</f>
        <v>DAURDE</v>
      </c>
    </row>
    <row r="1237" spans="2:17">
      <c r="B1237" s="1" t="s">
        <v>456</v>
      </c>
      <c r="C1237" s="1" t="s">
        <v>482</v>
      </c>
      <c r="D1237" s="52">
        <v>46047.861111111109</v>
      </c>
      <c r="E1237" s="52">
        <v>46047.861111111109</v>
      </c>
      <c r="F1237" s="52">
        <v>46047.916666666664</v>
      </c>
      <c r="G1237" s="53">
        <f>F1237-E1237</f>
        <v>5.5555555554747116E-2</v>
      </c>
      <c r="H1237" s="1" t="s">
        <v>257</v>
      </c>
      <c r="J1237" s="1" t="s">
        <v>258</v>
      </c>
      <c r="K1237" s="1" t="s">
        <v>658</v>
      </c>
      <c r="L1237" s="1" t="s">
        <v>538</v>
      </c>
      <c r="M1237" s="1" t="s">
        <v>260</v>
      </c>
      <c r="N1237" s="1" t="s">
        <v>261</v>
      </c>
      <c r="O1237" s="1" t="s">
        <v>579</v>
      </c>
      <c r="P1237" s="1" t="str">
        <f>_xlfn.CONCAT(B1237,C1237,D1237,E1237,F1237)</f>
        <v>BC Caiaponia1SG50CX(COM1-021)46047,861111111146047,861111111146047,9166666667</v>
      </c>
      <c r="Q1237" s="1" t="str">
        <f>_xlfn.CONCAT(H1237,I1237,J1237)</f>
        <v>DAURDE</v>
      </c>
    </row>
    <row r="1238" spans="2:17">
      <c r="B1238" s="1" t="s">
        <v>456</v>
      </c>
      <c r="C1238" s="1" t="s">
        <v>483</v>
      </c>
      <c r="D1238" s="52">
        <v>46047.861111111109</v>
      </c>
      <c r="E1238" s="52">
        <v>46047.861111111109</v>
      </c>
      <c r="F1238" s="52">
        <v>46047.916666666664</v>
      </c>
      <c r="G1238" s="53">
        <f>F1238-E1238</f>
        <v>5.5555555554747116E-2</v>
      </c>
      <c r="H1238" s="1" t="s">
        <v>257</v>
      </c>
      <c r="J1238" s="1" t="s">
        <v>258</v>
      </c>
      <c r="K1238" s="1" t="s">
        <v>658</v>
      </c>
      <c r="L1238" s="1" t="s">
        <v>538</v>
      </c>
      <c r="M1238" s="1" t="s">
        <v>260</v>
      </c>
      <c r="N1238" s="1" t="s">
        <v>261</v>
      </c>
      <c r="O1238" s="1" t="s">
        <v>579</v>
      </c>
      <c r="P1238" s="1" t="str">
        <f>_xlfn.CONCAT(B1238,C1238,D1238,E1238,F1238)</f>
        <v>BC Caiaponia1SG50CX(COM1-022)46047,861111111146047,861111111146047,9166666667</v>
      </c>
      <c r="Q1238" s="1" t="str">
        <f>_xlfn.CONCAT(H1238,I1238,J1238)</f>
        <v>DAURDE</v>
      </c>
    </row>
    <row r="1239" spans="2:17">
      <c r="B1239" s="1" t="s">
        <v>456</v>
      </c>
      <c r="C1239" s="1" t="s">
        <v>484</v>
      </c>
      <c r="D1239" s="52">
        <v>46047.861111111109</v>
      </c>
      <c r="E1239" s="52">
        <v>46047.861111111109</v>
      </c>
      <c r="F1239" s="52">
        <v>46047.916666666664</v>
      </c>
      <c r="G1239" s="53">
        <f>F1239-E1239</f>
        <v>5.5555555554747116E-2</v>
      </c>
      <c r="H1239" s="1" t="s">
        <v>257</v>
      </c>
      <c r="J1239" s="1" t="s">
        <v>258</v>
      </c>
      <c r="K1239" s="1" t="s">
        <v>658</v>
      </c>
      <c r="L1239" s="1" t="s">
        <v>538</v>
      </c>
      <c r="M1239" s="1" t="s">
        <v>260</v>
      </c>
      <c r="N1239" s="1" t="s">
        <v>261</v>
      </c>
      <c r="O1239" s="1" t="s">
        <v>579</v>
      </c>
      <c r="P1239" s="1" t="str">
        <f>_xlfn.CONCAT(B1239,C1239,D1239,E1239,F1239)</f>
        <v>BC Caiaponia1SG50CX(COM1-023)46047,861111111146047,861111111146047,9166666667</v>
      </c>
      <c r="Q1239" s="1" t="str">
        <f>_xlfn.CONCAT(H1239,I1239,J1239)</f>
        <v>DAURDE</v>
      </c>
    </row>
    <row r="1240" spans="2:17">
      <c r="B1240" s="1" t="s">
        <v>456</v>
      </c>
      <c r="C1240" s="1" t="s">
        <v>485</v>
      </c>
      <c r="D1240" s="52">
        <v>46047.861111111109</v>
      </c>
      <c r="E1240" s="52">
        <v>46047.861111111109</v>
      </c>
      <c r="F1240" s="52">
        <v>46047.916666666664</v>
      </c>
      <c r="G1240" s="53">
        <f>F1240-E1240</f>
        <v>5.5555555554747116E-2</v>
      </c>
      <c r="H1240" s="1" t="s">
        <v>257</v>
      </c>
      <c r="J1240" s="1" t="s">
        <v>258</v>
      </c>
      <c r="K1240" s="1" t="s">
        <v>658</v>
      </c>
      <c r="L1240" s="1" t="s">
        <v>538</v>
      </c>
      <c r="M1240" s="1" t="s">
        <v>260</v>
      </c>
      <c r="N1240" s="1" t="s">
        <v>261</v>
      </c>
      <c r="O1240" s="1" t="s">
        <v>579</v>
      </c>
      <c r="P1240" s="1" t="str">
        <f>_xlfn.CONCAT(B1240,C1240,D1240,E1240,F1240)</f>
        <v>BC Caiaponia1SG50CX(COM1-024)46047,861111111146047,861111111146047,9166666667</v>
      </c>
      <c r="Q1240" s="1" t="str">
        <f>_xlfn.CONCAT(H1240,I1240,J1240)</f>
        <v>DAURDE</v>
      </c>
    </row>
    <row r="1241" spans="2:17">
      <c r="B1241" s="1" t="s">
        <v>456</v>
      </c>
      <c r="C1241" s="1" t="s">
        <v>486</v>
      </c>
      <c r="D1241" s="52">
        <v>46047.861111111109</v>
      </c>
      <c r="E1241" s="52">
        <v>46047.861111111109</v>
      </c>
      <c r="F1241" s="52">
        <v>46047.916666666664</v>
      </c>
      <c r="G1241" s="53">
        <f>F1241-E1241</f>
        <v>5.5555555554747116E-2</v>
      </c>
      <c r="H1241" s="1" t="s">
        <v>257</v>
      </c>
      <c r="J1241" s="1" t="s">
        <v>258</v>
      </c>
      <c r="K1241" s="1" t="s">
        <v>658</v>
      </c>
      <c r="L1241" s="1" t="s">
        <v>538</v>
      </c>
      <c r="M1241" s="1" t="s">
        <v>260</v>
      </c>
      <c r="N1241" s="1" t="s">
        <v>261</v>
      </c>
      <c r="O1241" s="1" t="s">
        <v>579</v>
      </c>
      <c r="P1241" s="1" t="str">
        <f>_xlfn.CONCAT(B1241,C1241,D1241,E1241,F1241)</f>
        <v>BC Caiaponia1SG50CX(COM1-025)46047,861111111146047,861111111146047,9166666667</v>
      </c>
      <c r="Q1241" s="1" t="str">
        <f>_xlfn.CONCAT(H1241,I1241,J1241)</f>
        <v>DAURDE</v>
      </c>
    </row>
    <row r="1242" spans="2:17">
      <c r="B1242" s="1" t="s">
        <v>487</v>
      </c>
      <c r="C1242" s="1" t="s">
        <v>377</v>
      </c>
      <c r="D1242" s="52">
        <v>46047.861111111109</v>
      </c>
      <c r="E1242" s="52">
        <v>46047.861111111109</v>
      </c>
      <c r="F1242" s="52">
        <v>46047.916666666664</v>
      </c>
      <c r="G1242" s="53">
        <f>F1242-E1242</f>
        <v>5.5555555554747116E-2</v>
      </c>
      <c r="H1242" s="1" t="s">
        <v>257</v>
      </c>
      <c r="J1242" s="1" t="s">
        <v>258</v>
      </c>
      <c r="K1242" s="1" t="s">
        <v>658</v>
      </c>
      <c r="L1242" s="1" t="s">
        <v>538</v>
      </c>
      <c r="M1242" s="1" t="s">
        <v>260</v>
      </c>
      <c r="N1242" s="1" t="s">
        <v>261</v>
      </c>
      <c r="O1242" s="1" t="s">
        <v>579</v>
      </c>
      <c r="P1242" s="1" t="str">
        <f>_xlfn.CONCAT(B1242,C1242,D1242,E1242,F1242)</f>
        <v>BC Caiaponia2.1215KTL-H3(MBUS-12)46047,861111111146047,861111111146047,9166666667</v>
      </c>
      <c r="Q1242" s="1" t="str">
        <f>_xlfn.CONCAT(H1242,I1242,J1242)</f>
        <v>DAURDE</v>
      </c>
    </row>
    <row r="1243" spans="2:17">
      <c r="B1243" s="1" t="s">
        <v>487</v>
      </c>
      <c r="C1243" s="1" t="s">
        <v>378</v>
      </c>
      <c r="D1243" s="52">
        <v>46047.861111111109</v>
      </c>
      <c r="E1243" s="52">
        <v>46047.861111111109</v>
      </c>
      <c r="F1243" s="52">
        <v>46047.916666666664</v>
      </c>
      <c r="G1243" s="53">
        <f>F1243-E1243</f>
        <v>5.5555555554747116E-2</v>
      </c>
      <c r="H1243" s="1" t="s">
        <v>257</v>
      </c>
      <c r="J1243" s="1" t="s">
        <v>258</v>
      </c>
      <c r="K1243" s="1" t="s">
        <v>658</v>
      </c>
      <c r="L1243" s="1" t="s">
        <v>538</v>
      </c>
      <c r="M1243" s="1" t="s">
        <v>260</v>
      </c>
      <c r="N1243" s="1" t="s">
        <v>261</v>
      </c>
      <c r="O1243" s="1" t="s">
        <v>579</v>
      </c>
      <c r="P1243" s="1" t="str">
        <f>_xlfn.CONCAT(B1243,C1243,D1243,E1243,F1243)</f>
        <v>BC Caiaponia2.1215KTL-H3(MBUS-13)46047,861111111146047,861111111146047,9166666667</v>
      </c>
      <c r="Q1243" s="1" t="str">
        <f>_xlfn.CONCAT(H1243,I1243,J1243)</f>
        <v>DAURDE</v>
      </c>
    </row>
    <row r="1244" spans="2:17">
      <c r="B1244" s="1" t="s">
        <v>487</v>
      </c>
      <c r="C1244" s="1" t="s">
        <v>382</v>
      </c>
      <c r="D1244" s="52">
        <v>46047.861111111109</v>
      </c>
      <c r="E1244" s="52">
        <v>46047.861111111109</v>
      </c>
      <c r="F1244" s="52">
        <v>46047.916666666664</v>
      </c>
      <c r="G1244" s="53">
        <f>F1244-E1244</f>
        <v>5.5555555554747116E-2</v>
      </c>
      <c r="H1244" s="1" t="s">
        <v>257</v>
      </c>
      <c r="J1244" s="1" t="s">
        <v>258</v>
      </c>
      <c r="K1244" s="1" t="s">
        <v>658</v>
      </c>
      <c r="L1244" s="1" t="s">
        <v>538</v>
      </c>
      <c r="M1244" s="1" t="s">
        <v>260</v>
      </c>
      <c r="N1244" s="1" t="s">
        <v>261</v>
      </c>
      <c r="O1244" s="1" t="s">
        <v>579</v>
      </c>
      <c r="P1244" s="1" t="str">
        <f>_xlfn.CONCAT(B1244,C1244,D1244,E1244,F1244)</f>
        <v>BC Caiaponia2.1215KTL-H3(MBUS-14)46047,861111111146047,861111111146047,9166666667</v>
      </c>
      <c r="Q1244" s="1" t="str">
        <f>_xlfn.CONCAT(H1244,I1244,J1244)</f>
        <v>DAURDE</v>
      </c>
    </row>
    <row r="1245" spans="2:17">
      <c r="B1245" s="1" t="s">
        <v>487</v>
      </c>
      <c r="C1245" s="1" t="s">
        <v>380</v>
      </c>
      <c r="D1245" s="52">
        <v>46047.861111111109</v>
      </c>
      <c r="E1245" s="52">
        <v>46047.861111111109</v>
      </c>
      <c r="F1245" s="52">
        <v>46047.916666666664</v>
      </c>
      <c r="G1245" s="53">
        <f>F1245-E1245</f>
        <v>5.5555555554747116E-2</v>
      </c>
      <c r="H1245" s="1" t="s">
        <v>257</v>
      </c>
      <c r="J1245" s="1" t="s">
        <v>258</v>
      </c>
      <c r="K1245" s="1" t="s">
        <v>658</v>
      </c>
      <c r="L1245" s="1" t="s">
        <v>538</v>
      </c>
      <c r="M1245" s="1" t="s">
        <v>260</v>
      </c>
      <c r="N1245" s="1" t="s">
        <v>261</v>
      </c>
      <c r="O1245" s="1" t="s">
        <v>579</v>
      </c>
      <c r="P1245" s="1" t="str">
        <f>_xlfn.CONCAT(B1245,C1245,D1245,E1245,F1245)</f>
        <v>BC Caiaponia2.1215KTL-H3(MBUS-15)46047,861111111146047,861111111146047,9166666667</v>
      </c>
      <c r="Q1245" s="1" t="str">
        <f>_xlfn.CONCAT(H1245,I1245,J1245)</f>
        <v>DAURDE</v>
      </c>
    </row>
    <row r="1246" spans="2:17">
      <c r="B1246" s="1" t="s">
        <v>487</v>
      </c>
      <c r="C1246" s="1" t="s">
        <v>379</v>
      </c>
      <c r="D1246" s="52">
        <v>46047.861111111109</v>
      </c>
      <c r="E1246" s="52">
        <v>46047.861111111109</v>
      </c>
      <c r="F1246" s="52">
        <v>46047.916666666664</v>
      </c>
      <c r="G1246" s="53">
        <f>F1246-E1246</f>
        <v>5.5555555554747116E-2</v>
      </c>
      <c r="H1246" s="1" t="s">
        <v>257</v>
      </c>
      <c r="J1246" s="1" t="s">
        <v>258</v>
      </c>
      <c r="K1246" s="1" t="s">
        <v>658</v>
      </c>
      <c r="L1246" s="1" t="s">
        <v>538</v>
      </c>
      <c r="M1246" s="1" t="s">
        <v>260</v>
      </c>
      <c r="N1246" s="1" t="s">
        <v>261</v>
      </c>
      <c r="O1246" s="1" t="s">
        <v>579</v>
      </c>
      <c r="P1246" s="1" t="str">
        <f>_xlfn.CONCAT(B1246,C1246,D1246,E1246,F1246)</f>
        <v>BC Caiaponia2.1215KTL-H3(MBUS-16)46047,861111111146047,861111111146047,9166666667</v>
      </c>
      <c r="Q1246" s="1" t="str">
        <f>_xlfn.CONCAT(H1246,I1246,J1246)</f>
        <v>DAURDE</v>
      </c>
    </row>
    <row r="1247" spans="2:17">
      <c r="B1247" s="1" t="s">
        <v>583</v>
      </c>
      <c r="C1247" s="1" t="s">
        <v>377</v>
      </c>
      <c r="D1247" s="52">
        <v>46047.861111111109</v>
      </c>
      <c r="E1247" s="52">
        <v>46047.861111111109</v>
      </c>
      <c r="F1247" s="52">
        <v>46047.916666666664</v>
      </c>
      <c r="G1247" s="53">
        <f>F1247-E1247</f>
        <v>5.5555555554747116E-2</v>
      </c>
      <c r="H1247" s="1" t="s">
        <v>257</v>
      </c>
      <c r="J1247" s="1" t="s">
        <v>258</v>
      </c>
      <c r="K1247" s="1" t="s">
        <v>658</v>
      </c>
      <c r="L1247" s="1" t="s">
        <v>538</v>
      </c>
      <c r="M1247" s="1" t="s">
        <v>260</v>
      </c>
      <c r="N1247" s="1" t="s">
        <v>261</v>
      </c>
      <c r="O1247" s="1" t="s">
        <v>579</v>
      </c>
      <c r="P1247" s="1" t="str">
        <f>_xlfn.CONCAT(B1247,C1247,D1247,E1247,F1247)</f>
        <v>BC Caiaponia2.2215KTL-H3(MBUS-12)46047,861111111146047,861111111146047,9166666667</v>
      </c>
      <c r="Q1247" s="1" t="str">
        <f>_xlfn.CONCAT(H1247,I1247,J1247)</f>
        <v>DAURDE</v>
      </c>
    </row>
    <row r="1248" spans="2:17">
      <c r="B1248" s="1" t="s">
        <v>583</v>
      </c>
      <c r="C1248" s="1" t="s">
        <v>378</v>
      </c>
      <c r="D1248" s="52">
        <v>46047.861111111109</v>
      </c>
      <c r="E1248" s="52">
        <v>46047.861111111109</v>
      </c>
      <c r="F1248" s="52">
        <v>46047.916666666664</v>
      </c>
      <c r="G1248" s="53">
        <f>F1248-E1248</f>
        <v>5.5555555554747116E-2</v>
      </c>
      <c r="H1248" s="1" t="s">
        <v>257</v>
      </c>
      <c r="J1248" s="1" t="s">
        <v>258</v>
      </c>
      <c r="K1248" s="1" t="s">
        <v>658</v>
      </c>
      <c r="L1248" s="1" t="s">
        <v>538</v>
      </c>
      <c r="M1248" s="1" t="s">
        <v>260</v>
      </c>
      <c r="N1248" s="1" t="s">
        <v>261</v>
      </c>
      <c r="O1248" s="1" t="s">
        <v>579</v>
      </c>
      <c r="P1248" s="1" t="str">
        <f>_xlfn.CONCAT(B1248,C1248,D1248,E1248,F1248)</f>
        <v>BC Caiaponia2.2215KTL-H3(MBUS-13)46047,861111111146047,861111111146047,9166666667</v>
      </c>
      <c r="Q1248" s="1" t="str">
        <f>_xlfn.CONCAT(H1248,I1248,J1248)</f>
        <v>DAURDE</v>
      </c>
    </row>
    <row r="1249" spans="2:17">
      <c r="B1249" s="1" t="s">
        <v>583</v>
      </c>
      <c r="C1249" s="1" t="s">
        <v>382</v>
      </c>
      <c r="D1249" s="52">
        <v>46047.861111111109</v>
      </c>
      <c r="E1249" s="52">
        <v>46047.861111111109</v>
      </c>
      <c r="F1249" s="52">
        <v>46047.916666666664</v>
      </c>
      <c r="G1249" s="53">
        <f>F1249-E1249</f>
        <v>5.5555555554747116E-2</v>
      </c>
      <c r="H1249" s="1" t="s">
        <v>257</v>
      </c>
      <c r="J1249" s="1" t="s">
        <v>258</v>
      </c>
      <c r="K1249" s="1" t="s">
        <v>658</v>
      </c>
      <c r="L1249" s="1" t="s">
        <v>538</v>
      </c>
      <c r="M1249" s="1" t="s">
        <v>260</v>
      </c>
      <c r="N1249" s="1" t="s">
        <v>261</v>
      </c>
      <c r="O1249" s="1" t="s">
        <v>579</v>
      </c>
      <c r="P1249" s="1" t="str">
        <f>_xlfn.CONCAT(B1249,C1249,D1249,E1249,F1249)</f>
        <v>BC Caiaponia2.2215KTL-H3(MBUS-14)46047,861111111146047,861111111146047,9166666667</v>
      </c>
      <c r="Q1249" s="1" t="str">
        <f>_xlfn.CONCAT(H1249,I1249,J1249)</f>
        <v>DAURDE</v>
      </c>
    </row>
    <row r="1250" spans="2:17">
      <c r="B1250" s="1" t="s">
        <v>583</v>
      </c>
      <c r="C1250" s="1" t="s">
        <v>380</v>
      </c>
      <c r="D1250" s="52">
        <v>46047.861111111109</v>
      </c>
      <c r="E1250" s="52">
        <v>46047.861111111109</v>
      </c>
      <c r="F1250" s="52">
        <v>46047.916666666664</v>
      </c>
      <c r="G1250" s="53">
        <f>F1250-E1250</f>
        <v>5.5555555554747116E-2</v>
      </c>
      <c r="H1250" s="1" t="s">
        <v>257</v>
      </c>
      <c r="J1250" s="1" t="s">
        <v>258</v>
      </c>
      <c r="K1250" s="1" t="s">
        <v>658</v>
      </c>
      <c r="L1250" s="1" t="s">
        <v>538</v>
      </c>
      <c r="M1250" s="1" t="s">
        <v>260</v>
      </c>
      <c r="N1250" s="1" t="s">
        <v>261</v>
      </c>
      <c r="O1250" s="1" t="s">
        <v>579</v>
      </c>
      <c r="P1250" s="1" t="str">
        <f>_xlfn.CONCAT(B1250,C1250,D1250,E1250,F1250)</f>
        <v>BC Caiaponia2.2215KTL-H3(MBUS-15)46047,861111111146047,861111111146047,9166666667</v>
      </c>
      <c r="Q1250" s="1" t="str">
        <f>_xlfn.CONCAT(H1250,I1250,J1250)</f>
        <v>DAURDE</v>
      </c>
    </row>
    <row r="1251" spans="2:17">
      <c r="B1251" s="1" t="s">
        <v>583</v>
      </c>
      <c r="C1251" s="1" t="s">
        <v>379</v>
      </c>
      <c r="D1251" s="52">
        <v>46047.861111111109</v>
      </c>
      <c r="E1251" s="52">
        <v>46047.861111111109</v>
      </c>
      <c r="F1251" s="52">
        <v>46047.916666666664</v>
      </c>
      <c r="G1251" s="53">
        <f>F1251-E1251</f>
        <v>5.5555555554747116E-2</v>
      </c>
      <c r="H1251" s="1" t="s">
        <v>257</v>
      </c>
      <c r="J1251" s="1" t="s">
        <v>258</v>
      </c>
      <c r="K1251" s="1" t="s">
        <v>658</v>
      </c>
      <c r="L1251" s="1" t="s">
        <v>538</v>
      </c>
      <c r="M1251" s="1" t="s">
        <v>260</v>
      </c>
      <c r="N1251" s="1" t="s">
        <v>261</v>
      </c>
      <c r="O1251" s="1" t="s">
        <v>579</v>
      </c>
      <c r="P1251" s="1" t="str">
        <f>_xlfn.CONCAT(B1251,C1251,D1251,E1251,F1251)</f>
        <v>BC Caiaponia2.2215KTL-H3(MBUS-16)46047,861111111146047,861111111146047,9166666667</v>
      </c>
      <c r="Q1251" s="1" t="str">
        <f>_xlfn.CONCAT(H1251,I1251,J1251)</f>
        <v>DAURDE</v>
      </c>
    </row>
    <row r="1252" spans="2:17">
      <c r="B1252" s="1" t="s">
        <v>584</v>
      </c>
      <c r="C1252" s="1" t="s">
        <v>377</v>
      </c>
      <c r="D1252" s="52">
        <v>46047.861111111109</v>
      </c>
      <c r="E1252" s="52">
        <v>46047.861111111109</v>
      </c>
      <c r="F1252" s="52">
        <v>46047.916666666664</v>
      </c>
      <c r="G1252" s="53">
        <f>F1252-E1252</f>
        <v>5.5555555554747116E-2</v>
      </c>
      <c r="H1252" s="1" t="s">
        <v>257</v>
      </c>
      <c r="J1252" s="1" t="s">
        <v>258</v>
      </c>
      <c r="K1252" s="1" t="s">
        <v>658</v>
      </c>
      <c r="L1252" s="1" t="s">
        <v>538</v>
      </c>
      <c r="M1252" s="1" t="s">
        <v>260</v>
      </c>
      <c r="N1252" s="1" t="s">
        <v>261</v>
      </c>
      <c r="O1252" s="1" t="s">
        <v>579</v>
      </c>
      <c r="P1252" s="1" t="str">
        <f>_xlfn.CONCAT(B1252,C1252,D1252,E1252,F1252)</f>
        <v>BC Caiaponia2.3215KTL-H3(MBUS-12)46047,861111111146047,861111111146047,9166666667</v>
      </c>
      <c r="Q1252" s="1" t="str">
        <f>_xlfn.CONCAT(H1252,I1252,J1252)</f>
        <v>DAURDE</v>
      </c>
    </row>
    <row r="1253" spans="2:17">
      <c r="B1253" s="1" t="s">
        <v>584</v>
      </c>
      <c r="C1253" s="1" t="s">
        <v>378</v>
      </c>
      <c r="D1253" s="52">
        <v>46047.861111111109</v>
      </c>
      <c r="E1253" s="52">
        <v>46047.861111111109</v>
      </c>
      <c r="F1253" s="52">
        <v>46047.916666666664</v>
      </c>
      <c r="G1253" s="53">
        <f>F1253-E1253</f>
        <v>5.5555555554747116E-2</v>
      </c>
      <c r="H1253" s="1" t="s">
        <v>257</v>
      </c>
      <c r="J1253" s="1" t="s">
        <v>258</v>
      </c>
      <c r="K1253" s="1" t="s">
        <v>658</v>
      </c>
      <c r="L1253" s="1" t="s">
        <v>538</v>
      </c>
      <c r="M1253" s="1" t="s">
        <v>260</v>
      </c>
      <c r="N1253" s="1" t="s">
        <v>261</v>
      </c>
      <c r="O1253" s="1" t="s">
        <v>579</v>
      </c>
      <c r="P1253" s="1" t="str">
        <f>_xlfn.CONCAT(B1253,C1253,D1253,E1253,F1253)</f>
        <v>BC Caiaponia2.3215KTL-H3(MBUS-13)46047,861111111146047,861111111146047,9166666667</v>
      </c>
      <c r="Q1253" s="1" t="str">
        <f>_xlfn.CONCAT(H1253,I1253,J1253)</f>
        <v>DAURDE</v>
      </c>
    </row>
    <row r="1254" spans="2:17">
      <c r="B1254" s="1" t="s">
        <v>584</v>
      </c>
      <c r="C1254" s="1" t="s">
        <v>382</v>
      </c>
      <c r="D1254" s="52">
        <v>46047.861111111109</v>
      </c>
      <c r="E1254" s="52">
        <v>46047.861111111109</v>
      </c>
      <c r="F1254" s="52">
        <v>46047.916666666664</v>
      </c>
      <c r="G1254" s="53">
        <f>F1254-E1254</f>
        <v>5.5555555554747116E-2</v>
      </c>
      <c r="H1254" s="1" t="s">
        <v>257</v>
      </c>
      <c r="J1254" s="1" t="s">
        <v>258</v>
      </c>
      <c r="K1254" s="1" t="s">
        <v>658</v>
      </c>
      <c r="L1254" s="1" t="s">
        <v>538</v>
      </c>
      <c r="M1254" s="1" t="s">
        <v>260</v>
      </c>
      <c r="N1254" s="1" t="s">
        <v>261</v>
      </c>
      <c r="O1254" s="1" t="s">
        <v>579</v>
      </c>
      <c r="P1254" s="1" t="str">
        <f>_xlfn.CONCAT(B1254,C1254,D1254,E1254,F1254)</f>
        <v>BC Caiaponia2.3215KTL-H3(MBUS-14)46047,861111111146047,861111111146047,9166666667</v>
      </c>
      <c r="Q1254" s="1" t="str">
        <f>_xlfn.CONCAT(H1254,I1254,J1254)</f>
        <v>DAURDE</v>
      </c>
    </row>
    <row r="1255" spans="2:17">
      <c r="B1255" s="1" t="s">
        <v>584</v>
      </c>
      <c r="C1255" s="1" t="s">
        <v>380</v>
      </c>
      <c r="D1255" s="52">
        <v>46047.861111111109</v>
      </c>
      <c r="E1255" s="52">
        <v>46047.861111111109</v>
      </c>
      <c r="F1255" s="52">
        <v>46047.916666666664</v>
      </c>
      <c r="G1255" s="53">
        <f>F1255-E1255</f>
        <v>5.5555555554747116E-2</v>
      </c>
      <c r="H1255" s="1" t="s">
        <v>257</v>
      </c>
      <c r="J1255" s="1" t="s">
        <v>258</v>
      </c>
      <c r="K1255" s="1" t="s">
        <v>658</v>
      </c>
      <c r="L1255" s="1" t="s">
        <v>538</v>
      </c>
      <c r="M1255" s="1" t="s">
        <v>260</v>
      </c>
      <c r="N1255" s="1" t="s">
        <v>261</v>
      </c>
      <c r="O1255" s="1" t="s">
        <v>579</v>
      </c>
      <c r="P1255" s="1" t="str">
        <f>_xlfn.CONCAT(B1255,C1255,D1255,E1255,F1255)</f>
        <v>BC Caiaponia2.3215KTL-H3(MBUS-15)46047,861111111146047,861111111146047,9166666667</v>
      </c>
      <c r="Q1255" s="1" t="str">
        <f>_xlfn.CONCAT(H1255,I1255,J1255)</f>
        <v>DAURDE</v>
      </c>
    </row>
    <row r="1256" spans="2:17">
      <c r="B1256" s="1" t="s">
        <v>584</v>
      </c>
      <c r="C1256" s="1" t="s">
        <v>379</v>
      </c>
      <c r="D1256" s="52">
        <v>46047.861111111109</v>
      </c>
      <c r="E1256" s="52">
        <v>46047.861111111109</v>
      </c>
      <c r="F1256" s="52">
        <v>46047.916666666664</v>
      </c>
      <c r="G1256" s="53">
        <f>F1256-E1256</f>
        <v>5.5555555554747116E-2</v>
      </c>
      <c r="H1256" s="1" t="s">
        <v>257</v>
      </c>
      <c r="J1256" s="1" t="s">
        <v>258</v>
      </c>
      <c r="K1256" s="1" t="s">
        <v>658</v>
      </c>
      <c r="L1256" s="1" t="s">
        <v>538</v>
      </c>
      <c r="M1256" s="1" t="s">
        <v>260</v>
      </c>
      <c r="N1256" s="1" t="s">
        <v>261</v>
      </c>
      <c r="O1256" s="1" t="s">
        <v>579</v>
      </c>
      <c r="P1256" s="1" t="str">
        <f>_xlfn.CONCAT(B1256,C1256,D1256,E1256,F1256)</f>
        <v>BC Caiaponia2.3215KTL-H3(MBUS-16)46047,861111111146047,861111111146047,9166666667</v>
      </c>
      <c r="Q1256" s="1" t="str">
        <f>_xlfn.CONCAT(H1256,I1256,J1256)</f>
        <v>DAURDE</v>
      </c>
    </row>
    <row r="1257" spans="2:17">
      <c r="B1257" s="1" t="s">
        <v>585</v>
      </c>
      <c r="C1257" s="1" t="s">
        <v>586</v>
      </c>
      <c r="D1257" s="52">
        <v>46048.267361111109</v>
      </c>
      <c r="E1257" s="52">
        <v>46048.267361111109</v>
      </c>
      <c r="F1257" s="52">
        <v>46048.298611111109</v>
      </c>
      <c r="G1257" s="53">
        <f>F1257-E1257</f>
        <v>3.125E-2</v>
      </c>
      <c r="H1257" s="1" t="s">
        <v>257</v>
      </c>
      <c r="J1257" s="1" t="s">
        <v>258</v>
      </c>
      <c r="K1257" s="1" t="s">
        <v>658</v>
      </c>
      <c r="L1257" s="1" t="s">
        <v>538</v>
      </c>
      <c r="M1257" s="1" t="s">
        <v>260</v>
      </c>
      <c r="N1257" s="1" t="s">
        <v>261</v>
      </c>
      <c r="O1257" s="1" t="s">
        <v>587</v>
      </c>
      <c r="P1257" s="1" t="str">
        <f>_xlfn.CONCAT(B1257,C1257,D1257,E1257,F1257)</f>
        <v>BC Rio Monte1Inverter3546048,267361111146048,267361111146048,2986111111</v>
      </c>
      <c r="Q1257" s="1" t="str">
        <f>_xlfn.CONCAT(H1257,I1257,J1257)</f>
        <v>DAURDE</v>
      </c>
    </row>
    <row r="1258" spans="2:17">
      <c r="B1258" s="1" t="s">
        <v>585</v>
      </c>
      <c r="C1258" s="1" t="s">
        <v>588</v>
      </c>
      <c r="D1258" s="52">
        <v>46048.267361111109</v>
      </c>
      <c r="E1258" s="52">
        <v>46048.267361111109</v>
      </c>
      <c r="F1258" s="52">
        <v>46048.298611111109</v>
      </c>
      <c r="G1258" s="53">
        <f>F1258-E1258</f>
        <v>3.125E-2</v>
      </c>
      <c r="H1258" s="1" t="s">
        <v>257</v>
      </c>
      <c r="J1258" s="1" t="s">
        <v>258</v>
      </c>
      <c r="K1258" s="1" t="s">
        <v>658</v>
      </c>
      <c r="L1258" s="1" t="s">
        <v>538</v>
      </c>
      <c r="M1258" s="1" t="s">
        <v>260</v>
      </c>
      <c r="N1258" s="1" t="s">
        <v>261</v>
      </c>
      <c r="O1258" s="1" t="s">
        <v>587</v>
      </c>
      <c r="P1258" s="1" t="str">
        <f>_xlfn.CONCAT(B1258,C1258,D1258,E1258,F1258)</f>
        <v>BC Rio Monte1Inverter4046048,267361111146048,267361111146048,2986111111</v>
      </c>
      <c r="Q1258" s="1" t="str">
        <f>_xlfn.CONCAT(H1258,I1258,J1258)</f>
        <v>DAURDE</v>
      </c>
    </row>
    <row r="1259" spans="2:17">
      <c r="B1259" s="1" t="s">
        <v>585</v>
      </c>
      <c r="C1259" s="1" t="s">
        <v>589</v>
      </c>
      <c r="D1259" s="52">
        <v>46048.267361111109</v>
      </c>
      <c r="E1259" s="52">
        <v>46048.267361111109</v>
      </c>
      <c r="F1259" s="52">
        <v>46048.298611111109</v>
      </c>
      <c r="G1259" s="53">
        <f>F1259-E1259</f>
        <v>3.125E-2</v>
      </c>
      <c r="H1259" s="1" t="s">
        <v>257</v>
      </c>
      <c r="J1259" s="1" t="s">
        <v>258</v>
      </c>
      <c r="K1259" s="1" t="s">
        <v>658</v>
      </c>
      <c r="L1259" s="1" t="s">
        <v>538</v>
      </c>
      <c r="M1259" s="1" t="s">
        <v>260</v>
      </c>
      <c r="N1259" s="1" t="s">
        <v>261</v>
      </c>
      <c r="O1259" s="1" t="s">
        <v>587</v>
      </c>
      <c r="P1259" s="1" t="str">
        <f>_xlfn.CONCAT(B1259,C1259,D1259,E1259,F1259)</f>
        <v>BC Rio Monte1Inverter4246048,267361111146048,267361111146048,2986111111</v>
      </c>
      <c r="Q1259" s="1" t="str">
        <f>_xlfn.CONCAT(H1259,I1259,J1259)</f>
        <v>DAURDE</v>
      </c>
    </row>
    <row r="1260" spans="2:17">
      <c r="B1260" s="1" t="s">
        <v>585</v>
      </c>
      <c r="C1260" s="1" t="s">
        <v>590</v>
      </c>
      <c r="D1260" s="52">
        <v>46048.267361111109</v>
      </c>
      <c r="E1260" s="52">
        <v>46048.267361111109</v>
      </c>
      <c r="F1260" s="52">
        <v>46048.298611111109</v>
      </c>
      <c r="G1260" s="53">
        <f>F1260-E1260</f>
        <v>3.125E-2</v>
      </c>
      <c r="H1260" s="1" t="s">
        <v>257</v>
      </c>
      <c r="J1260" s="1" t="s">
        <v>258</v>
      </c>
      <c r="K1260" s="1" t="s">
        <v>658</v>
      </c>
      <c r="L1260" s="1" t="s">
        <v>538</v>
      </c>
      <c r="M1260" s="1" t="s">
        <v>260</v>
      </c>
      <c r="N1260" s="1" t="s">
        <v>261</v>
      </c>
      <c r="O1260" s="1" t="s">
        <v>587</v>
      </c>
      <c r="P1260" s="1" t="str">
        <f>_xlfn.CONCAT(B1260,C1260,D1260,E1260,F1260)</f>
        <v>BC Rio Monte1Inverter4146048,267361111146048,267361111146048,2986111111</v>
      </c>
      <c r="Q1260" s="1" t="str">
        <f>_xlfn.CONCAT(H1260,I1260,J1260)</f>
        <v>DAURDE</v>
      </c>
    </row>
    <row r="1261" spans="2:17">
      <c r="B1261" s="1" t="s">
        <v>585</v>
      </c>
      <c r="C1261" s="1" t="s">
        <v>591</v>
      </c>
      <c r="D1261" s="52">
        <v>46048.267361111109</v>
      </c>
      <c r="E1261" s="52">
        <v>46048.267361111109</v>
      </c>
      <c r="F1261" s="52">
        <v>46048.298611111109</v>
      </c>
      <c r="G1261" s="53">
        <f>F1261-E1261</f>
        <v>3.125E-2</v>
      </c>
      <c r="H1261" s="1" t="s">
        <v>257</v>
      </c>
      <c r="J1261" s="1" t="s">
        <v>258</v>
      </c>
      <c r="K1261" s="1" t="s">
        <v>658</v>
      </c>
      <c r="L1261" s="1" t="s">
        <v>538</v>
      </c>
      <c r="M1261" s="1" t="s">
        <v>260</v>
      </c>
      <c r="N1261" s="1" t="s">
        <v>261</v>
      </c>
      <c r="O1261" s="1" t="s">
        <v>587</v>
      </c>
      <c r="P1261" s="1" t="str">
        <f>_xlfn.CONCAT(B1261,C1261,D1261,E1261,F1261)</f>
        <v>BC Rio Monte1Inverter4446048,267361111146048,267361111146048,2986111111</v>
      </c>
      <c r="Q1261" s="1" t="str">
        <f>_xlfn.CONCAT(H1261,I1261,J1261)</f>
        <v>DAURDE</v>
      </c>
    </row>
    <row r="1262" spans="2:17">
      <c r="B1262" s="1" t="s">
        <v>585</v>
      </c>
      <c r="C1262" s="1" t="s">
        <v>592</v>
      </c>
      <c r="D1262" s="52">
        <v>46048.267361111109</v>
      </c>
      <c r="E1262" s="52">
        <v>46048.267361111109</v>
      </c>
      <c r="F1262" s="52">
        <v>46048.298611111109</v>
      </c>
      <c r="G1262" s="53">
        <f>F1262-E1262</f>
        <v>3.125E-2</v>
      </c>
      <c r="H1262" s="1" t="s">
        <v>257</v>
      </c>
      <c r="J1262" s="1" t="s">
        <v>258</v>
      </c>
      <c r="K1262" s="1" t="s">
        <v>658</v>
      </c>
      <c r="L1262" s="1" t="s">
        <v>538</v>
      </c>
      <c r="M1262" s="1" t="s">
        <v>260</v>
      </c>
      <c r="N1262" s="1" t="s">
        <v>261</v>
      </c>
      <c r="O1262" s="1" t="s">
        <v>587</v>
      </c>
      <c r="P1262" s="1" t="str">
        <f>_xlfn.CONCAT(B1262,C1262,D1262,E1262,F1262)</f>
        <v>BC Rio Monte1Inverter4346048,267361111146048,267361111146048,2986111111</v>
      </c>
      <c r="Q1262" s="1" t="str">
        <f>_xlfn.CONCAT(H1262,I1262,J1262)</f>
        <v>DAURDE</v>
      </c>
    </row>
    <row r="1263" spans="2:17">
      <c r="B1263" s="1" t="s">
        <v>585</v>
      </c>
      <c r="C1263" s="1" t="s">
        <v>593</v>
      </c>
      <c r="D1263" s="52">
        <v>46048.267361111109</v>
      </c>
      <c r="E1263" s="52">
        <v>46048.267361111109</v>
      </c>
      <c r="F1263" s="52">
        <v>46048.298611111109</v>
      </c>
      <c r="G1263" s="53">
        <f>F1263-E1263</f>
        <v>3.125E-2</v>
      </c>
      <c r="H1263" s="1" t="s">
        <v>257</v>
      </c>
      <c r="J1263" s="1" t="s">
        <v>258</v>
      </c>
      <c r="K1263" s="1" t="s">
        <v>658</v>
      </c>
      <c r="L1263" s="1" t="s">
        <v>538</v>
      </c>
      <c r="M1263" s="1" t="s">
        <v>260</v>
      </c>
      <c r="N1263" s="1" t="s">
        <v>261</v>
      </c>
      <c r="O1263" s="1" t="s">
        <v>587</v>
      </c>
      <c r="P1263" s="1" t="str">
        <f>_xlfn.CONCAT(B1263,C1263,D1263,E1263,F1263)</f>
        <v>BC Rio Monte1Inverter4546048,267361111146048,267361111146048,2986111111</v>
      </c>
      <c r="Q1263" s="1" t="str">
        <f>_xlfn.CONCAT(H1263,I1263,J1263)</f>
        <v>DAURDE</v>
      </c>
    </row>
    <row r="1264" spans="2:17">
      <c r="B1264" s="1" t="s">
        <v>585</v>
      </c>
      <c r="C1264" s="1" t="s">
        <v>594</v>
      </c>
      <c r="D1264" s="52">
        <v>46048.267361111109</v>
      </c>
      <c r="E1264" s="52">
        <v>46048.267361111109</v>
      </c>
      <c r="F1264" s="52">
        <v>46048.298611111109</v>
      </c>
      <c r="G1264" s="53">
        <f>F1264-E1264</f>
        <v>3.125E-2</v>
      </c>
      <c r="H1264" s="1" t="s">
        <v>257</v>
      </c>
      <c r="J1264" s="1" t="s">
        <v>258</v>
      </c>
      <c r="K1264" s="1" t="s">
        <v>658</v>
      </c>
      <c r="L1264" s="1" t="s">
        <v>538</v>
      </c>
      <c r="M1264" s="1" t="s">
        <v>260</v>
      </c>
      <c r="N1264" s="1" t="s">
        <v>261</v>
      </c>
      <c r="O1264" s="1" t="s">
        <v>587</v>
      </c>
      <c r="P1264" s="1" t="str">
        <f>_xlfn.CONCAT(B1264,C1264,D1264,E1264,F1264)</f>
        <v>BC Rio Monte1Inverter3446048,267361111146048,267361111146048,2986111111</v>
      </c>
      <c r="Q1264" s="1" t="str">
        <f>_xlfn.CONCAT(H1264,I1264,J1264)</f>
        <v>DAURDE</v>
      </c>
    </row>
    <row r="1265" spans="1:17">
      <c r="B1265" s="1" t="s">
        <v>585</v>
      </c>
      <c r="C1265" s="1" t="s">
        <v>595</v>
      </c>
      <c r="D1265" s="52">
        <v>46048.267361111109</v>
      </c>
      <c r="E1265" s="52">
        <v>46048.267361111109</v>
      </c>
      <c r="F1265" s="52">
        <v>46048.298611111109</v>
      </c>
      <c r="G1265" s="53">
        <f>F1265-E1265</f>
        <v>3.125E-2</v>
      </c>
      <c r="H1265" s="1" t="s">
        <v>257</v>
      </c>
      <c r="J1265" s="1" t="s">
        <v>258</v>
      </c>
      <c r="K1265" s="1" t="s">
        <v>658</v>
      </c>
      <c r="L1265" s="1" t="s">
        <v>538</v>
      </c>
      <c r="M1265" s="1" t="s">
        <v>260</v>
      </c>
      <c r="N1265" s="1" t="s">
        <v>261</v>
      </c>
      <c r="O1265" s="1" t="s">
        <v>587</v>
      </c>
      <c r="P1265" s="1" t="str">
        <f>_xlfn.CONCAT(B1265,C1265,D1265,E1265,F1265)</f>
        <v>BC Rio Monte1Inverter3746048,267361111146048,267361111146048,2986111111</v>
      </c>
      <c r="Q1265" s="1" t="str">
        <f>_xlfn.CONCAT(H1265,I1265,J1265)</f>
        <v>DAURDE</v>
      </c>
    </row>
    <row r="1266" spans="1:17">
      <c r="B1266" s="1" t="s">
        <v>585</v>
      </c>
      <c r="C1266" s="1" t="s">
        <v>596</v>
      </c>
      <c r="D1266" s="52">
        <v>46048.267361111109</v>
      </c>
      <c r="E1266" s="52">
        <v>46048.267361111109</v>
      </c>
      <c r="F1266" s="52">
        <v>46048.298611111109</v>
      </c>
      <c r="G1266" s="53">
        <f>F1266-E1266</f>
        <v>3.125E-2</v>
      </c>
      <c r="H1266" s="1" t="s">
        <v>257</v>
      </c>
      <c r="J1266" s="1" t="s">
        <v>258</v>
      </c>
      <c r="K1266" s="1" t="s">
        <v>658</v>
      </c>
      <c r="L1266" s="1" t="s">
        <v>538</v>
      </c>
      <c r="M1266" s="1" t="s">
        <v>260</v>
      </c>
      <c r="N1266" s="1" t="s">
        <v>261</v>
      </c>
      <c r="O1266" s="1" t="s">
        <v>587</v>
      </c>
      <c r="P1266" s="1" t="str">
        <f>_xlfn.CONCAT(B1266,C1266,D1266,E1266,F1266)</f>
        <v>BC Rio Monte1Inverter3346048,267361111146048,267361111146048,2986111111</v>
      </c>
      <c r="Q1266" s="1" t="str">
        <f>_xlfn.CONCAT(H1266,I1266,J1266)</f>
        <v>DAURDE</v>
      </c>
    </row>
    <row r="1267" spans="1:17">
      <c r="B1267" s="1" t="s">
        <v>585</v>
      </c>
      <c r="C1267" s="1" t="s">
        <v>597</v>
      </c>
      <c r="D1267" s="52">
        <v>46048.267361111109</v>
      </c>
      <c r="E1267" s="52">
        <v>46048.267361111109</v>
      </c>
      <c r="F1267" s="52">
        <v>46048.298611111109</v>
      </c>
      <c r="G1267" s="53">
        <f>F1267-E1267</f>
        <v>3.125E-2</v>
      </c>
      <c r="H1267" s="1" t="s">
        <v>257</v>
      </c>
      <c r="J1267" s="1" t="s">
        <v>258</v>
      </c>
      <c r="K1267" s="1" t="s">
        <v>658</v>
      </c>
      <c r="L1267" s="1" t="s">
        <v>538</v>
      </c>
      <c r="M1267" s="1" t="s">
        <v>260</v>
      </c>
      <c r="N1267" s="1" t="s">
        <v>261</v>
      </c>
      <c r="O1267" s="1" t="s">
        <v>587</v>
      </c>
      <c r="P1267" s="1" t="str">
        <f>_xlfn.CONCAT(B1267,C1267,D1267,E1267,F1267)</f>
        <v>BC Rio Monte1Inverter2946048,267361111146048,267361111146048,2986111111</v>
      </c>
      <c r="Q1267" s="1" t="str">
        <f>_xlfn.CONCAT(H1267,I1267,J1267)</f>
        <v>DAURDE</v>
      </c>
    </row>
    <row r="1268" spans="1:17" s="75" customFormat="1">
      <c r="A1268" s="2"/>
      <c r="B1268" s="1" t="s">
        <v>585</v>
      </c>
      <c r="C1268" s="1" t="s">
        <v>598</v>
      </c>
      <c r="D1268" s="52">
        <v>46048.267361111109</v>
      </c>
      <c r="E1268" s="52">
        <v>46048.267361111109</v>
      </c>
      <c r="F1268" s="52">
        <v>46048.298611111109</v>
      </c>
      <c r="G1268" s="53">
        <f>F1268-E1268</f>
        <v>3.125E-2</v>
      </c>
      <c r="H1268" s="1" t="s">
        <v>257</v>
      </c>
      <c r="I1268" s="1"/>
      <c r="J1268" s="1" t="s">
        <v>258</v>
      </c>
      <c r="K1268" s="1" t="s">
        <v>658</v>
      </c>
      <c r="L1268" s="1" t="s">
        <v>538</v>
      </c>
      <c r="M1268" s="1" t="s">
        <v>260</v>
      </c>
      <c r="N1268" s="1" t="s">
        <v>261</v>
      </c>
      <c r="O1268" s="1" t="s">
        <v>587</v>
      </c>
      <c r="P1268" s="1" t="str">
        <f>_xlfn.CONCAT(B1268,C1268,D1268,E1268,F1268)</f>
        <v>BC Rio Monte1Inverter3646048,267361111146048,267361111146048,2986111111</v>
      </c>
      <c r="Q1268" s="1" t="str">
        <f>_xlfn.CONCAT(H1268,I1268,J1268)</f>
        <v>DAURDE</v>
      </c>
    </row>
    <row r="1269" spans="1:17">
      <c r="B1269" s="1" t="s">
        <v>585</v>
      </c>
      <c r="C1269" s="1" t="s">
        <v>599</v>
      </c>
      <c r="D1269" s="52">
        <v>46048.267361111109</v>
      </c>
      <c r="E1269" s="52">
        <v>46048.267361111109</v>
      </c>
      <c r="F1269" s="52">
        <v>46048.298611111109</v>
      </c>
      <c r="G1269" s="53">
        <f>F1269-E1269</f>
        <v>3.125E-2</v>
      </c>
      <c r="H1269" s="1" t="s">
        <v>257</v>
      </c>
      <c r="J1269" s="1" t="s">
        <v>258</v>
      </c>
      <c r="K1269" s="1" t="s">
        <v>658</v>
      </c>
      <c r="L1269" s="1" t="s">
        <v>538</v>
      </c>
      <c r="M1269" s="1" t="s">
        <v>260</v>
      </c>
      <c r="N1269" s="1" t="s">
        <v>261</v>
      </c>
      <c r="O1269" s="1" t="s">
        <v>587</v>
      </c>
      <c r="P1269" s="1" t="str">
        <f>_xlfn.CONCAT(B1269,C1269,D1269,E1269,F1269)</f>
        <v>BC Rio Monte1Inverter3946048,267361111146048,267361111146048,2986111111</v>
      </c>
      <c r="Q1269" s="1" t="str">
        <f>_xlfn.CONCAT(H1269,I1269,J1269)</f>
        <v>DAURDE</v>
      </c>
    </row>
    <row r="1270" spans="1:17">
      <c r="B1270" s="1" t="s">
        <v>585</v>
      </c>
      <c r="C1270" s="1" t="s">
        <v>600</v>
      </c>
      <c r="D1270" s="52">
        <v>46048.267361111109</v>
      </c>
      <c r="E1270" s="52">
        <v>46048.267361111109</v>
      </c>
      <c r="F1270" s="52">
        <v>46048.298611111109</v>
      </c>
      <c r="G1270" s="53">
        <f>F1270-E1270</f>
        <v>3.125E-2</v>
      </c>
      <c r="H1270" s="1" t="s">
        <v>257</v>
      </c>
      <c r="J1270" s="1" t="s">
        <v>258</v>
      </c>
      <c r="K1270" s="1" t="s">
        <v>658</v>
      </c>
      <c r="L1270" s="1" t="s">
        <v>538</v>
      </c>
      <c r="M1270" s="1" t="s">
        <v>260</v>
      </c>
      <c r="N1270" s="1" t="s">
        <v>261</v>
      </c>
      <c r="O1270" s="1" t="s">
        <v>587</v>
      </c>
      <c r="P1270" s="1" t="str">
        <f>_xlfn.CONCAT(B1270,C1270,D1270,E1270,F1270)</f>
        <v>BC Rio Monte1Inverter3146048,267361111146048,267361111146048,2986111111</v>
      </c>
      <c r="Q1270" s="1" t="str">
        <f>_xlfn.CONCAT(H1270,I1270,J1270)</f>
        <v>DAURDE</v>
      </c>
    </row>
    <row r="1271" spans="1:17">
      <c r="B1271" s="1" t="s">
        <v>585</v>
      </c>
      <c r="C1271" s="1" t="s">
        <v>601</v>
      </c>
      <c r="D1271" s="52">
        <v>46048.267361111109</v>
      </c>
      <c r="E1271" s="52">
        <v>46048.267361111109</v>
      </c>
      <c r="F1271" s="52">
        <v>46048.298611111109</v>
      </c>
      <c r="G1271" s="53">
        <f>F1271-E1271</f>
        <v>3.125E-2</v>
      </c>
      <c r="H1271" s="1" t="s">
        <v>257</v>
      </c>
      <c r="J1271" s="1" t="s">
        <v>258</v>
      </c>
      <c r="K1271" s="1" t="s">
        <v>658</v>
      </c>
      <c r="L1271" s="1" t="s">
        <v>538</v>
      </c>
      <c r="M1271" s="1" t="s">
        <v>260</v>
      </c>
      <c r="N1271" s="1" t="s">
        <v>261</v>
      </c>
      <c r="O1271" s="1" t="s">
        <v>587</v>
      </c>
      <c r="P1271" s="1" t="str">
        <f>_xlfn.CONCAT(B1271,C1271,D1271,E1271,F1271)</f>
        <v>BC Rio Monte1Inverter3046048,267361111146048,267361111146048,2986111111</v>
      </c>
      <c r="Q1271" s="1" t="str">
        <f>_xlfn.CONCAT(H1271,I1271,J1271)</f>
        <v>DAURDE</v>
      </c>
    </row>
    <row r="1272" spans="1:17">
      <c r="B1272" s="1" t="s">
        <v>585</v>
      </c>
      <c r="C1272" s="1" t="s">
        <v>602</v>
      </c>
      <c r="D1272" s="52">
        <v>46048.267361111109</v>
      </c>
      <c r="E1272" s="52">
        <v>46048.267361111109</v>
      </c>
      <c r="F1272" s="52">
        <v>46048.298611111109</v>
      </c>
      <c r="G1272" s="53">
        <f>F1272-E1272</f>
        <v>3.125E-2</v>
      </c>
      <c r="H1272" s="1" t="s">
        <v>257</v>
      </c>
      <c r="J1272" s="1" t="s">
        <v>258</v>
      </c>
      <c r="K1272" s="1" t="s">
        <v>658</v>
      </c>
      <c r="L1272" s="1" t="s">
        <v>538</v>
      </c>
      <c r="M1272" s="1" t="s">
        <v>260</v>
      </c>
      <c r="N1272" s="1" t="s">
        <v>261</v>
      </c>
      <c r="O1272" s="1" t="s">
        <v>587</v>
      </c>
      <c r="P1272" s="1" t="str">
        <f>_xlfn.CONCAT(B1272,C1272,D1272,E1272,F1272)</f>
        <v>BC Rio Monte1Inverter3846048,267361111146048,267361111146048,2986111111</v>
      </c>
      <c r="Q1272" s="1" t="str">
        <f>_xlfn.CONCAT(H1272,I1272,J1272)</f>
        <v>DAURDE</v>
      </c>
    </row>
    <row r="1273" spans="1:17">
      <c r="B1273" s="1" t="s">
        <v>585</v>
      </c>
      <c r="C1273" s="1" t="s">
        <v>603</v>
      </c>
      <c r="D1273" s="52">
        <v>46048.267361111109</v>
      </c>
      <c r="E1273" s="52">
        <v>46048.267361111109</v>
      </c>
      <c r="F1273" s="52">
        <v>46048.298611111109</v>
      </c>
      <c r="G1273" s="53">
        <f>F1273-E1273</f>
        <v>3.125E-2</v>
      </c>
      <c r="H1273" s="1" t="s">
        <v>257</v>
      </c>
      <c r="J1273" s="1" t="s">
        <v>258</v>
      </c>
      <c r="K1273" s="1" t="s">
        <v>658</v>
      </c>
      <c r="L1273" s="1" t="s">
        <v>538</v>
      </c>
      <c r="M1273" s="1" t="s">
        <v>260</v>
      </c>
      <c r="N1273" s="1" t="s">
        <v>261</v>
      </c>
      <c r="O1273" s="1" t="s">
        <v>587</v>
      </c>
      <c r="P1273" s="1" t="str">
        <f>_xlfn.CONCAT(B1273,C1273,D1273,E1273,F1273)</f>
        <v>BC Rio Monte1Inverter3246048,267361111146048,267361111146048,2986111111</v>
      </c>
      <c r="Q1273" s="1" t="str">
        <f>_xlfn.CONCAT(H1273,I1273,J1273)</f>
        <v>DAURDE</v>
      </c>
    </row>
    <row r="1274" spans="1:17">
      <c r="B1274" s="1" t="s">
        <v>286</v>
      </c>
      <c r="C1274" s="1" t="s">
        <v>287</v>
      </c>
      <c r="D1274" s="52">
        <v>46048.354166666664</v>
      </c>
      <c r="E1274" s="52">
        <v>46048.354166666664</v>
      </c>
      <c r="F1274" s="52">
        <v>46048.354861111111</v>
      </c>
      <c r="G1274" s="53">
        <f>F1274-E1274</f>
        <v>6.944444467080757E-4</v>
      </c>
      <c r="H1274" s="1" t="s">
        <v>268</v>
      </c>
      <c r="I1274" s="1" t="s">
        <v>269</v>
      </c>
      <c r="J1274" s="1" t="s">
        <v>319</v>
      </c>
      <c r="K1274" s="1" t="s">
        <v>652</v>
      </c>
      <c r="L1274" s="1" t="s">
        <v>604</v>
      </c>
      <c r="M1274" s="1" t="s">
        <v>289</v>
      </c>
      <c r="N1274" s="1" t="s">
        <v>253</v>
      </c>
      <c r="O1274" s="1" t="s">
        <v>605</v>
      </c>
      <c r="P1274" s="1" t="str">
        <f>_xlfn.CONCAT(B1274,C1274,D1274,E1274,F1274)</f>
        <v>BC Corumba2.2U02.I0146048,354166666746048,354166666746048,3548611111</v>
      </c>
      <c r="Q1274" s="1" t="str">
        <f>_xlfn.CONCAT(H1274,I1274,J1274)</f>
        <v>LIGRFOCOM</v>
      </c>
    </row>
    <row r="1275" spans="1:17">
      <c r="B1275" s="1" t="s">
        <v>286</v>
      </c>
      <c r="C1275" s="1" t="s">
        <v>292</v>
      </c>
      <c r="D1275" s="52">
        <v>46048.354166666664</v>
      </c>
      <c r="E1275" s="52">
        <v>46048.354166666664</v>
      </c>
      <c r="F1275" s="52">
        <v>46048.354861111111</v>
      </c>
      <c r="G1275" s="53">
        <f>F1275-E1275</f>
        <v>6.944444467080757E-4</v>
      </c>
      <c r="H1275" s="1" t="s">
        <v>268</v>
      </c>
      <c r="I1275" s="1" t="s">
        <v>269</v>
      </c>
      <c r="J1275" s="1" t="s">
        <v>319</v>
      </c>
      <c r="K1275" s="1" t="s">
        <v>652</v>
      </c>
      <c r="L1275" s="1" t="s">
        <v>604</v>
      </c>
      <c r="M1275" s="1" t="s">
        <v>289</v>
      </c>
      <c r="N1275" s="1" t="s">
        <v>253</v>
      </c>
      <c r="O1275" s="1" t="s">
        <v>605</v>
      </c>
      <c r="P1275" s="1" t="str">
        <f>_xlfn.CONCAT(B1275,C1275,D1275,E1275,F1275)</f>
        <v>BC Corumba2.2U02.I0246048,354166666746048,354166666746048,3548611111</v>
      </c>
      <c r="Q1275" s="1" t="str">
        <f>_xlfn.CONCAT(H1275,I1275,J1275)</f>
        <v>LIGRFOCOM</v>
      </c>
    </row>
    <row r="1276" spans="1:17">
      <c r="B1276" s="1" t="s">
        <v>286</v>
      </c>
      <c r="C1276" s="1" t="s">
        <v>293</v>
      </c>
      <c r="D1276" s="52">
        <v>46048.354166666664</v>
      </c>
      <c r="E1276" s="52">
        <v>46048.354166666664</v>
      </c>
      <c r="F1276" s="52">
        <v>46048.354861111111</v>
      </c>
      <c r="G1276" s="53">
        <f>F1276-E1276</f>
        <v>6.944444467080757E-4</v>
      </c>
      <c r="H1276" s="1" t="s">
        <v>268</v>
      </c>
      <c r="I1276" s="1" t="s">
        <v>269</v>
      </c>
      <c r="J1276" s="1" t="s">
        <v>319</v>
      </c>
      <c r="K1276" s="1" t="s">
        <v>652</v>
      </c>
      <c r="L1276" s="1" t="s">
        <v>604</v>
      </c>
      <c r="M1276" s="1" t="s">
        <v>289</v>
      </c>
      <c r="N1276" s="1" t="s">
        <v>253</v>
      </c>
      <c r="O1276" s="1" t="s">
        <v>605</v>
      </c>
      <c r="P1276" s="1" t="str">
        <f>_xlfn.CONCAT(B1276,C1276,D1276,E1276,F1276)</f>
        <v>BC Corumba2.2U02.I0346048,354166666746048,354166666746048,3548611111</v>
      </c>
      <c r="Q1276" s="1" t="str">
        <f>_xlfn.CONCAT(H1276,I1276,J1276)</f>
        <v>LIGRFOCOM</v>
      </c>
    </row>
    <row r="1277" spans="1:17">
      <c r="B1277" s="1" t="s">
        <v>286</v>
      </c>
      <c r="C1277" s="1" t="s">
        <v>294</v>
      </c>
      <c r="D1277" s="52">
        <v>46048.354166666664</v>
      </c>
      <c r="E1277" s="52">
        <v>46048.354166666664</v>
      </c>
      <c r="F1277" s="52">
        <v>46048.354861111111</v>
      </c>
      <c r="G1277" s="53">
        <f>F1277-E1277</f>
        <v>6.944444467080757E-4</v>
      </c>
      <c r="H1277" s="1" t="s">
        <v>268</v>
      </c>
      <c r="I1277" s="1" t="s">
        <v>269</v>
      </c>
      <c r="J1277" s="1" t="s">
        <v>319</v>
      </c>
      <c r="K1277" s="1" t="s">
        <v>652</v>
      </c>
      <c r="L1277" s="1" t="s">
        <v>604</v>
      </c>
      <c r="M1277" s="1" t="s">
        <v>289</v>
      </c>
      <c r="N1277" s="1" t="s">
        <v>253</v>
      </c>
      <c r="O1277" s="1" t="s">
        <v>605</v>
      </c>
      <c r="P1277" s="1" t="str">
        <f>_xlfn.CONCAT(B1277,C1277,D1277,E1277,F1277)</f>
        <v>BC Corumba2.2U02.I0446048,354166666746048,354166666746048,3548611111</v>
      </c>
      <c r="Q1277" s="1" t="str">
        <f>_xlfn.CONCAT(H1277,I1277,J1277)</f>
        <v>LIGRFOCOM</v>
      </c>
    </row>
    <row r="1278" spans="1:17">
      <c r="B1278" s="1" t="s">
        <v>286</v>
      </c>
      <c r="C1278" s="1" t="s">
        <v>295</v>
      </c>
      <c r="D1278" s="52">
        <v>46048.354166666664</v>
      </c>
      <c r="E1278" s="52">
        <v>46048.354166666664</v>
      </c>
      <c r="F1278" s="52">
        <v>46048.354861111111</v>
      </c>
      <c r="G1278" s="53">
        <f>F1278-E1278</f>
        <v>6.944444467080757E-4</v>
      </c>
      <c r="H1278" s="1" t="s">
        <v>268</v>
      </c>
      <c r="I1278" s="1" t="s">
        <v>269</v>
      </c>
      <c r="J1278" s="1" t="s">
        <v>319</v>
      </c>
      <c r="K1278" s="1" t="s">
        <v>652</v>
      </c>
      <c r="L1278" s="1" t="s">
        <v>604</v>
      </c>
      <c r="M1278" s="1" t="s">
        <v>289</v>
      </c>
      <c r="N1278" s="1" t="s">
        <v>253</v>
      </c>
      <c r="O1278" s="1" t="s">
        <v>605</v>
      </c>
      <c r="P1278" s="1" t="str">
        <f>_xlfn.CONCAT(B1278,C1278,D1278,E1278,F1278)</f>
        <v>BC Corumba2.2U02.I0546048,354166666746048,354166666746048,3548611111</v>
      </c>
      <c r="Q1278" s="1" t="str">
        <f>_xlfn.CONCAT(H1278,I1278,J1278)</f>
        <v>LIGRFOCOM</v>
      </c>
    </row>
    <row r="1279" spans="1:17">
      <c r="B1279" s="1" t="s">
        <v>255</v>
      </c>
      <c r="C1279" s="1" t="s">
        <v>256</v>
      </c>
      <c r="D1279" s="52">
        <v>46048.413194444445</v>
      </c>
      <c r="E1279" s="52">
        <v>46048.413194444445</v>
      </c>
      <c r="F1279" s="52">
        <v>46048.459027777775</v>
      </c>
      <c r="G1279" s="53">
        <f>F1279-E1279</f>
        <v>4.5833333329937886E-2</v>
      </c>
      <c r="H1279" s="1" t="s">
        <v>257</v>
      </c>
      <c r="J1279" s="1" t="s">
        <v>258</v>
      </c>
      <c r="K1279" s="1" t="s">
        <v>658</v>
      </c>
      <c r="L1279" s="1" t="s">
        <v>606</v>
      </c>
      <c r="M1279" s="1" t="s">
        <v>260</v>
      </c>
      <c r="N1279" s="1" t="s">
        <v>261</v>
      </c>
      <c r="O1279" s="1" t="s">
        <v>607</v>
      </c>
      <c r="P1279" s="1" t="str">
        <f>_xlfn.CONCAT(B1279,C1279,D1279,E1279,F1279)</f>
        <v>BC Formoso2.1Inverter(MBUS-12)46048,413194444446048,413194444446048,4590277778</v>
      </c>
      <c r="Q1279" s="1" t="str">
        <f>_xlfn.CONCAT(H1279,I1279,J1279)</f>
        <v>DAURDE</v>
      </c>
    </row>
    <row r="1280" spans="1:17">
      <c r="B1280" s="1" t="s">
        <v>255</v>
      </c>
      <c r="C1280" s="1" t="s">
        <v>263</v>
      </c>
      <c r="D1280" s="52">
        <v>46048.413194444445</v>
      </c>
      <c r="E1280" s="52">
        <v>46048.413194444445</v>
      </c>
      <c r="F1280" s="52">
        <v>46048.459027777775</v>
      </c>
      <c r="G1280" s="53">
        <f>F1280-E1280</f>
        <v>4.5833333329937886E-2</v>
      </c>
      <c r="H1280" s="1" t="s">
        <v>257</v>
      </c>
      <c r="J1280" s="1" t="s">
        <v>258</v>
      </c>
      <c r="K1280" s="1" t="s">
        <v>658</v>
      </c>
      <c r="L1280" s="1" t="s">
        <v>606</v>
      </c>
      <c r="M1280" s="1" t="s">
        <v>260</v>
      </c>
      <c r="N1280" s="1" t="s">
        <v>261</v>
      </c>
      <c r="O1280" s="1" t="s">
        <v>607</v>
      </c>
      <c r="P1280" s="1" t="str">
        <f>_xlfn.CONCAT(B1280,C1280,D1280,E1280,F1280)</f>
        <v>BC Formoso2.1Inverter(MBUS-14)46048,413194444446048,413194444446048,4590277778</v>
      </c>
      <c r="Q1280" s="1" t="str">
        <f>_xlfn.CONCAT(H1280,I1280,J1280)</f>
        <v>DAURDE</v>
      </c>
    </row>
    <row r="1281" spans="2:17">
      <c r="B1281" s="1" t="s">
        <v>255</v>
      </c>
      <c r="C1281" s="1" t="s">
        <v>264</v>
      </c>
      <c r="D1281" s="52">
        <v>46048.413194444445</v>
      </c>
      <c r="E1281" s="52">
        <v>46048.413194444445</v>
      </c>
      <c r="F1281" s="52">
        <v>46048.459027777775</v>
      </c>
      <c r="G1281" s="53">
        <f>F1281-E1281</f>
        <v>4.5833333329937886E-2</v>
      </c>
      <c r="H1281" s="1" t="s">
        <v>257</v>
      </c>
      <c r="J1281" s="1" t="s">
        <v>258</v>
      </c>
      <c r="K1281" s="1" t="s">
        <v>658</v>
      </c>
      <c r="L1281" s="1" t="s">
        <v>606</v>
      </c>
      <c r="M1281" s="1" t="s">
        <v>260</v>
      </c>
      <c r="N1281" s="1" t="s">
        <v>261</v>
      </c>
      <c r="O1281" s="1" t="s">
        <v>607</v>
      </c>
      <c r="P1281" s="1" t="str">
        <f>_xlfn.CONCAT(B1281,C1281,D1281,E1281,F1281)</f>
        <v>BC Formoso2.1Inverter(MBUS-13)46048,413194444446048,413194444446048,4590277778</v>
      </c>
      <c r="Q1281" s="1" t="str">
        <f>_xlfn.CONCAT(H1281,I1281,J1281)</f>
        <v>DAURDE</v>
      </c>
    </row>
    <row r="1282" spans="2:17">
      <c r="B1282" s="1" t="s">
        <v>255</v>
      </c>
      <c r="C1282" s="1" t="s">
        <v>247</v>
      </c>
      <c r="D1282" s="52">
        <v>46048.413194444445</v>
      </c>
      <c r="E1282" s="52">
        <v>46048.413194444445</v>
      </c>
      <c r="F1282" s="52">
        <v>46048.459027777775</v>
      </c>
      <c r="G1282" s="53">
        <f>F1282-E1282</f>
        <v>4.5833333329937886E-2</v>
      </c>
      <c r="H1282" s="1" t="s">
        <v>257</v>
      </c>
      <c r="J1282" s="1" t="s">
        <v>258</v>
      </c>
      <c r="K1282" s="1" t="s">
        <v>658</v>
      </c>
      <c r="L1282" s="1" t="s">
        <v>606</v>
      </c>
      <c r="M1282" s="1" t="s">
        <v>260</v>
      </c>
      <c r="N1282" s="1" t="s">
        <v>261</v>
      </c>
      <c r="O1282" s="1" t="s">
        <v>607</v>
      </c>
      <c r="P1282" s="1" t="str">
        <f>_xlfn.CONCAT(B1282,C1282,D1282,E1282,F1282)</f>
        <v>BC Formoso2.1Inverter(MBUS-1)46048,413194444446048,413194444446048,4590277778</v>
      </c>
      <c r="Q1282" s="1" t="str">
        <f>_xlfn.CONCAT(H1282,I1282,J1282)</f>
        <v>DAURDE</v>
      </c>
    </row>
    <row r="1283" spans="2:17">
      <c r="B1283" s="1" t="s">
        <v>535</v>
      </c>
      <c r="C1283" s="1" t="s">
        <v>608</v>
      </c>
      <c r="D1283" s="52">
        <v>46049.197916666664</v>
      </c>
      <c r="E1283" s="52">
        <v>46049.197916666664</v>
      </c>
      <c r="F1283" s="52">
        <v>46049.295138888891</v>
      </c>
      <c r="G1283" s="53">
        <f>F1283-E1283</f>
        <v>9.7222222226264421E-2</v>
      </c>
      <c r="H1283" s="1" t="s">
        <v>268</v>
      </c>
      <c r="I1283" s="1" t="s">
        <v>269</v>
      </c>
      <c r="J1283" s="1" t="s">
        <v>319</v>
      </c>
      <c r="K1283" s="1" t="s">
        <v>652</v>
      </c>
      <c r="L1283" s="1" t="s">
        <v>609</v>
      </c>
      <c r="M1283" s="1" t="s">
        <v>289</v>
      </c>
      <c r="N1283" s="1" t="s">
        <v>253</v>
      </c>
      <c r="O1283" s="1" t="s">
        <v>610</v>
      </c>
      <c r="P1283" s="1" t="str">
        <f>_xlfn.CONCAT(B1283,C1283,D1283,E1283,F1283)</f>
        <v>BC Corumba2.3U03.I0146049,197916666746049,197916666746049,2951388889</v>
      </c>
      <c r="Q1283" s="1" t="str">
        <f>_xlfn.CONCAT(H1283,I1283,J1283)</f>
        <v>LIGRFOCOM</v>
      </c>
    </row>
    <row r="1284" spans="2:17">
      <c r="B1284" s="1" t="s">
        <v>535</v>
      </c>
      <c r="C1284" s="1" t="s">
        <v>611</v>
      </c>
      <c r="D1284" s="52">
        <v>46049.197916666664</v>
      </c>
      <c r="E1284" s="52">
        <v>46049.197916666664</v>
      </c>
      <c r="F1284" s="52">
        <v>46049.295138888891</v>
      </c>
      <c r="G1284" s="53">
        <f>F1284-E1284</f>
        <v>9.7222222226264421E-2</v>
      </c>
      <c r="H1284" s="1" t="s">
        <v>268</v>
      </c>
      <c r="I1284" s="1" t="s">
        <v>269</v>
      </c>
      <c r="J1284" s="1" t="s">
        <v>319</v>
      </c>
      <c r="K1284" s="1" t="s">
        <v>652</v>
      </c>
      <c r="L1284" s="1" t="s">
        <v>609</v>
      </c>
      <c r="M1284" s="1" t="s">
        <v>289</v>
      </c>
      <c r="N1284" s="1" t="s">
        <v>253</v>
      </c>
      <c r="O1284" s="1" t="s">
        <v>610</v>
      </c>
      <c r="P1284" s="1" t="str">
        <f>_xlfn.CONCAT(B1284,C1284,D1284,E1284,F1284)</f>
        <v>BC Corumba2.3U03.I0246049,197916666746049,197916666746049,2951388889</v>
      </c>
      <c r="Q1284" s="1" t="str">
        <f>_xlfn.CONCAT(H1284,I1284,J1284)</f>
        <v>LIGRFOCOM</v>
      </c>
    </row>
    <row r="1285" spans="2:17">
      <c r="B1285" s="1" t="s">
        <v>535</v>
      </c>
      <c r="C1285" s="1" t="s">
        <v>536</v>
      </c>
      <c r="D1285" s="52">
        <v>46049.197916666664</v>
      </c>
      <c r="E1285" s="52">
        <v>46049.197916666664</v>
      </c>
      <c r="F1285" s="52">
        <v>46049.295138888891</v>
      </c>
      <c r="G1285" s="53">
        <f>F1285-E1285</f>
        <v>9.7222222226264421E-2</v>
      </c>
      <c r="H1285" s="1" t="s">
        <v>268</v>
      </c>
      <c r="I1285" s="1" t="s">
        <v>269</v>
      </c>
      <c r="J1285" s="1" t="s">
        <v>319</v>
      </c>
      <c r="K1285" s="1" t="s">
        <v>652</v>
      </c>
      <c r="L1285" s="1" t="s">
        <v>609</v>
      </c>
      <c r="M1285" s="1" t="s">
        <v>289</v>
      </c>
      <c r="N1285" s="1" t="s">
        <v>253</v>
      </c>
      <c r="O1285" s="1" t="s">
        <v>610</v>
      </c>
      <c r="P1285" s="1" t="str">
        <f>_xlfn.CONCAT(B1285,C1285,D1285,E1285,F1285)</f>
        <v>BC Corumba2.3U03.I0346049,197916666746049,197916666746049,2951388889</v>
      </c>
      <c r="Q1285" s="1" t="str">
        <f>_xlfn.CONCAT(H1285,I1285,J1285)</f>
        <v>LIGRFOCOM</v>
      </c>
    </row>
    <row r="1286" spans="2:17">
      <c r="B1286" s="66" t="s">
        <v>612</v>
      </c>
      <c r="C1286" s="66" t="s">
        <v>613</v>
      </c>
      <c r="D1286" s="73">
        <v>46049.357638888891</v>
      </c>
      <c r="E1286" s="73">
        <v>46049.357638888891</v>
      </c>
      <c r="F1286" s="73">
        <v>46049.395833333336</v>
      </c>
      <c r="G1286" s="74">
        <f>F1286-E1286</f>
        <v>3.8194444445252884E-2</v>
      </c>
      <c r="H1286" s="66" t="s">
        <v>257</v>
      </c>
      <c r="I1286" s="66"/>
      <c r="J1286" s="66" t="s">
        <v>371</v>
      </c>
      <c r="K1286" s="66" t="s">
        <v>653</v>
      </c>
      <c r="L1286" s="66" t="s">
        <v>614</v>
      </c>
      <c r="M1286" s="66" t="s">
        <v>252</v>
      </c>
      <c r="N1286" s="66" t="s">
        <v>253</v>
      </c>
      <c r="O1286" s="66" t="s">
        <v>615</v>
      </c>
      <c r="P1286" s="66" t="str">
        <f>_xlfn.CONCAT(B1286,C1286,D1286,E1286,F1286)</f>
        <v>BC Vazante 1.1Inverter1346049,357638888946049,357638888946049,3958333333</v>
      </c>
      <c r="Q1286" s="66" t="str">
        <f>_xlfn.CONCAT(H1286,I1286,J1286)</f>
        <v>DAUINV</v>
      </c>
    </row>
    <row r="1287" spans="2:17">
      <c r="B1287" s="1" t="s">
        <v>368</v>
      </c>
      <c r="C1287" s="1" t="s">
        <v>256</v>
      </c>
      <c r="D1287" s="52">
        <v>46049.486111111109</v>
      </c>
      <c r="E1287" s="52">
        <v>46049.486111111109</v>
      </c>
      <c r="F1287" s="52">
        <v>46049.800694444442</v>
      </c>
      <c r="G1287" s="53">
        <f>F1287-E1287</f>
        <v>0.31458333333284827</v>
      </c>
      <c r="H1287" s="1" t="s">
        <v>677</v>
      </c>
      <c r="J1287" s="1" t="s">
        <v>258</v>
      </c>
      <c r="K1287" s="1" t="str">
        <f>_xlfn.XLOOKUP(J1287,REF!D:D,REF!E:E)</f>
        <v>Rede</v>
      </c>
      <c r="L1287" s="1" t="s">
        <v>616</v>
      </c>
      <c r="M1287" s="1" t="s">
        <v>260</v>
      </c>
      <c r="N1287" s="1" t="s">
        <v>261</v>
      </c>
      <c r="O1287" s="1" t="s">
        <v>617</v>
      </c>
      <c r="P1287" s="1" t="str">
        <f>_xlfn.CONCAT(B1287,C1287,D1287,E1287,F1287)</f>
        <v>BC Ibiuna 1.1Inverter(MBUS-12)46049,486111111146049,486111111146049,8006944444</v>
      </c>
      <c r="Q1287" s="1" t="str">
        <f>_xlfn.CONCAT(H1287,I1287,J1287)</f>
        <v>DPRRDE</v>
      </c>
    </row>
    <row r="1288" spans="2:17">
      <c r="B1288" s="1" t="s">
        <v>368</v>
      </c>
      <c r="C1288" s="1" t="s">
        <v>264</v>
      </c>
      <c r="D1288" s="52">
        <v>46049.486111111109</v>
      </c>
      <c r="E1288" s="52">
        <v>46049.486111111109</v>
      </c>
      <c r="F1288" s="52">
        <v>46049.800694444442</v>
      </c>
      <c r="G1288" s="53">
        <f>F1288-E1288</f>
        <v>0.31458333333284827</v>
      </c>
      <c r="H1288" s="1" t="s">
        <v>677</v>
      </c>
      <c r="J1288" s="1" t="s">
        <v>258</v>
      </c>
      <c r="K1288" s="1" t="str">
        <f>_xlfn.XLOOKUP(J1288,REF!D:D,REF!E:E)</f>
        <v>Rede</v>
      </c>
      <c r="L1288" s="1" t="s">
        <v>616</v>
      </c>
      <c r="M1288" s="1" t="s">
        <v>260</v>
      </c>
      <c r="N1288" s="1" t="s">
        <v>261</v>
      </c>
      <c r="O1288" s="1" t="s">
        <v>617</v>
      </c>
      <c r="P1288" s="1" t="str">
        <f>_xlfn.CONCAT(B1288,C1288,D1288,E1288,F1288)</f>
        <v>BC Ibiuna 1.1Inverter(MBUS-13)46049,486111111146049,486111111146049,8006944444</v>
      </c>
      <c r="Q1288" s="1" t="str">
        <f>_xlfn.CONCAT(H1288,I1288,J1288)</f>
        <v>DPRRDE</v>
      </c>
    </row>
    <row r="1289" spans="2:17">
      <c r="B1289" s="1" t="s">
        <v>368</v>
      </c>
      <c r="C1289" s="1" t="s">
        <v>263</v>
      </c>
      <c r="D1289" s="52">
        <v>46049.486111111109</v>
      </c>
      <c r="E1289" s="52">
        <v>46049.486111111109</v>
      </c>
      <c r="F1289" s="52">
        <v>46049.800694444442</v>
      </c>
      <c r="G1289" s="53">
        <f>F1289-E1289</f>
        <v>0.31458333333284827</v>
      </c>
      <c r="H1289" s="1" t="s">
        <v>677</v>
      </c>
      <c r="J1289" s="1" t="s">
        <v>258</v>
      </c>
      <c r="K1289" s="1" t="str">
        <f>_xlfn.XLOOKUP(J1289,REF!D:D,REF!E:E)</f>
        <v>Rede</v>
      </c>
      <c r="L1289" s="1" t="s">
        <v>616</v>
      </c>
      <c r="M1289" s="1" t="s">
        <v>260</v>
      </c>
      <c r="N1289" s="1" t="s">
        <v>261</v>
      </c>
      <c r="O1289" s="1" t="s">
        <v>617</v>
      </c>
      <c r="P1289" s="1" t="str">
        <f>_xlfn.CONCAT(B1289,C1289,D1289,E1289,F1289)</f>
        <v>BC Ibiuna 1.1Inverter(MBUS-14)46049,486111111146049,486111111146049,8006944444</v>
      </c>
      <c r="Q1289" s="1" t="str">
        <f>_xlfn.CONCAT(H1289,I1289,J1289)</f>
        <v>DPRRDE</v>
      </c>
    </row>
    <row r="1290" spans="2:17">
      <c r="B1290" s="1" t="s">
        <v>368</v>
      </c>
      <c r="C1290" s="1" t="s">
        <v>307</v>
      </c>
      <c r="D1290" s="52">
        <v>46049.486111111109</v>
      </c>
      <c r="E1290" s="52">
        <v>46049.486111111109</v>
      </c>
      <c r="F1290" s="52">
        <v>46049.800694444442</v>
      </c>
      <c r="G1290" s="53">
        <f>F1290-E1290</f>
        <v>0.31458333333284827</v>
      </c>
      <c r="H1290" s="1" t="s">
        <v>677</v>
      </c>
      <c r="J1290" s="1" t="s">
        <v>258</v>
      </c>
      <c r="K1290" s="1" t="str">
        <f>_xlfn.XLOOKUP(J1290,REF!D:D,REF!E:E)</f>
        <v>Rede</v>
      </c>
      <c r="L1290" s="1" t="s">
        <v>616</v>
      </c>
      <c r="M1290" s="1" t="s">
        <v>260</v>
      </c>
      <c r="N1290" s="1" t="s">
        <v>261</v>
      </c>
      <c r="O1290" s="1" t="s">
        <v>617</v>
      </c>
      <c r="P1290" s="1" t="str">
        <f>_xlfn.CONCAT(B1290,C1290,D1290,E1290,F1290)</f>
        <v>BC Ibiuna 1.1Inverter(MBUS-15)46049,486111111146049,486111111146049,8006944444</v>
      </c>
      <c r="Q1290" s="1" t="str">
        <f>_xlfn.CONCAT(H1290,I1290,J1290)</f>
        <v>DPRRDE</v>
      </c>
    </row>
    <row r="1291" spans="2:17">
      <c r="B1291" s="1" t="s">
        <v>370</v>
      </c>
      <c r="C1291" s="1" t="s">
        <v>256</v>
      </c>
      <c r="D1291" s="52">
        <v>46049.486111111109</v>
      </c>
      <c r="E1291" s="52">
        <v>46049.486111111109</v>
      </c>
      <c r="F1291" s="52">
        <v>46049.800694444442</v>
      </c>
      <c r="G1291" s="53">
        <f>F1291-E1291</f>
        <v>0.31458333333284827</v>
      </c>
      <c r="H1291" s="1" t="s">
        <v>677</v>
      </c>
      <c r="J1291" s="1" t="s">
        <v>258</v>
      </c>
      <c r="K1291" s="1" t="str">
        <f>_xlfn.XLOOKUP(J1291,REF!D:D,REF!E:E)</f>
        <v>Rede</v>
      </c>
      <c r="L1291" s="1" t="s">
        <v>616</v>
      </c>
      <c r="M1291" s="1" t="s">
        <v>260</v>
      </c>
      <c r="N1291" s="1" t="s">
        <v>261</v>
      </c>
      <c r="O1291" s="1" t="s">
        <v>617</v>
      </c>
      <c r="P1291" s="1" t="str">
        <f>_xlfn.CONCAT(B1291,C1291,D1291,E1291,F1291)</f>
        <v>BC Ibiuna 1.2Inverter(MBUS-12)46049,486111111146049,486111111146049,8006944444</v>
      </c>
      <c r="Q1291" s="1" t="str">
        <f>_xlfn.CONCAT(H1291,I1291,J1291)</f>
        <v>DPRRDE</v>
      </c>
    </row>
    <row r="1292" spans="2:17">
      <c r="B1292" s="1" t="s">
        <v>370</v>
      </c>
      <c r="C1292" s="1" t="s">
        <v>264</v>
      </c>
      <c r="D1292" s="52">
        <v>46049.486111111109</v>
      </c>
      <c r="E1292" s="52">
        <v>46049.486111111109</v>
      </c>
      <c r="F1292" s="52">
        <v>46049.800694444442</v>
      </c>
      <c r="G1292" s="53">
        <f>F1292-E1292</f>
        <v>0.31458333333284827</v>
      </c>
      <c r="H1292" s="1" t="s">
        <v>677</v>
      </c>
      <c r="J1292" s="1" t="s">
        <v>258</v>
      </c>
      <c r="K1292" s="1" t="str">
        <f>_xlfn.XLOOKUP(J1292,REF!D:D,REF!E:E)</f>
        <v>Rede</v>
      </c>
      <c r="L1292" s="1" t="s">
        <v>616</v>
      </c>
      <c r="M1292" s="1" t="s">
        <v>260</v>
      </c>
      <c r="N1292" s="1" t="s">
        <v>261</v>
      </c>
      <c r="O1292" s="1" t="s">
        <v>617</v>
      </c>
      <c r="P1292" s="1" t="str">
        <f>_xlfn.CONCAT(B1292,C1292,D1292,E1292,F1292)</f>
        <v>BC Ibiuna 1.2Inverter(MBUS-13)46049,486111111146049,486111111146049,8006944444</v>
      </c>
      <c r="Q1292" s="1" t="str">
        <f>_xlfn.CONCAT(H1292,I1292,J1292)</f>
        <v>DPRRDE</v>
      </c>
    </row>
    <row r="1293" spans="2:17">
      <c r="B1293" s="1" t="s">
        <v>370</v>
      </c>
      <c r="C1293" s="1" t="s">
        <v>263</v>
      </c>
      <c r="D1293" s="52">
        <v>46049.486111111109</v>
      </c>
      <c r="E1293" s="52">
        <v>46049.486111111109</v>
      </c>
      <c r="F1293" s="52">
        <v>46049.800694444442</v>
      </c>
      <c r="G1293" s="53">
        <f>F1293-E1293</f>
        <v>0.31458333333284827</v>
      </c>
      <c r="H1293" s="1" t="s">
        <v>677</v>
      </c>
      <c r="J1293" s="1" t="s">
        <v>258</v>
      </c>
      <c r="K1293" s="1" t="str">
        <f>_xlfn.XLOOKUP(J1293,REF!D:D,REF!E:E)</f>
        <v>Rede</v>
      </c>
      <c r="L1293" s="1" t="s">
        <v>616</v>
      </c>
      <c r="M1293" s="1" t="s">
        <v>260</v>
      </c>
      <c r="N1293" s="1" t="s">
        <v>261</v>
      </c>
      <c r="O1293" s="1" t="s">
        <v>617</v>
      </c>
      <c r="P1293" s="1" t="str">
        <f>_xlfn.CONCAT(B1293,C1293,D1293,E1293,F1293)</f>
        <v>BC Ibiuna 1.2Inverter(MBUS-14)46049,486111111146049,486111111146049,8006944444</v>
      </c>
      <c r="Q1293" s="1" t="str">
        <f>_xlfn.CONCAT(H1293,I1293,J1293)</f>
        <v>DPRRDE</v>
      </c>
    </row>
    <row r="1294" spans="2:17">
      <c r="B1294" s="1" t="s">
        <v>370</v>
      </c>
      <c r="C1294" s="1" t="s">
        <v>307</v>
      </c>
      <c r="D1294" s="52">
        <v>46049.486111111109</v>
      </c>
      <c r="E1294" s="52">
        <v>46049.486111111109</v>
      </c>
      <c r="F1294" s="52">
        <v>46049.800694444442</v>
      </c>
      <c r="G1294" s="53">
        <f>F1294-E1294</f>
        <v>0.31458333333284827</v>
      </c>
      <c r="H1294" s="1" t="s">
        <v>677</v>
      </c>
      <c r="J1294" s="1" t="s">
        <v>258</v>
      </c>
      <c r="K1294" s="1" t="str">
        <f>_xlfn.XLOOKUP(J1294,REF!D:D,REF!E:E)</f>
        <v>Rede</v>
      </c>
      <c r="L1294" s="1" t="s">
        <v>616</v>
      </c>
      <c r="M1294" s="1" t="s">
        <v>260</v>
      </c>
      <c r="N1294" s="1" t="s">
        <v>261</v>
      </c>
      <c r="O1294" s="1" t="s">
        <v>617</v>
      </c>
      <c r="P1294" s="1" t="str">
        <f>_xlfn.CONCAT(B1294,C1294,D1294,E1294,F1294)</f>
        <v>BC Ibiuna 1.2Inverter(MBUS-15)46049,486111111146049,486111111146049,8006944444</v>
      </c>
      <c r="Q1294" s="1" t="str">
        <f>_xlfn.CONCAT(H1294,I1294,J1294)</f>
        <v>DPRRDE</v>
      </c>
    </row>
    <row r="1295" spans="2:17">
      <c r="B1295" s="1" t="s">
        <v>305</v>
      </c>
      <c r="C1295" s="1" t="s">
        <v>256</v>
      </c>
      <c r="D1295" s="52">
        <v>46049.506944444445</v>
      </c>
      <c r="E1295" s="52">
        <v>46049.506944444445</v>
      </c>
      <c r="F1295" s="52">
        <v>46049.552083333336</v>
      </c>
      <c r="G1295" s="53">
        <f>F1295-E1295</f>
        <v>4.5138888890505768E-2</v>
      </c>
      <c r="H1295" s="1" t="s">
        <v>268</v>
      </c>
      <c r="I1295" s="1" t="s">
        <v>269</v>
      </c>
      <c r="J1295" s="1" t="s">
        <v>319</v>
      </c>
      <c r="K1295" s="1" t="s">
        <v>652</v>
      </c>
      <c r="L1295" s="1" t="s">
        <v>604</v>
      </c>
      <c r="M1295" s="1" t="s">
        <v>289</v>
      </c>
      <c r="N1295" s="1" t="s">
        <v>253</v>
      </c>
      <c r="O1295" s="1" t="s">
        <v>618</v>
      </c>
      <c r="P1295" s="1" t="str">
        <f>_xlfn.CONCAT(B1295,C1295,D1295,E1295,F1295)</f>
        <v>ARAGUATINS 1.1Inverter(MBUS-12)46049,506944444446049,506944444446049,5520833333</v>
      </c>
      <c r="Q1295" s="1" t="str">
        <f>_xlfn.CONCAT(H1295,I1295,J1295)</f>
        <v>LIGRFOCOM</v>
      </c>
    </row>
    <row r="1296" spans="2:17">
      <c r="B1296" s="1" t="s">
        <v>305</v>
      </c>
      <c r="C1296" s="1" t="s">
        <v>264</v>
      </c>
      <c r="D1296" s="52">
        <v>46049.506944444445</v>
      </c>
      <c r="E1296" s="52">
        <v>46049.506944444445</v>
      </c>
      <c r="F1296" s="52">
        <v>46049.552083333336</v>
      </c>
      <c r="G1296" s="53">
        <f>F1296-E1296</f>
        <v>4.5138888890505768E-2</v>
      </c>
      <c r="H1296" s="1" t="s">
        <v>268</v>
      </c>
      <c r="I1296" s="1" t="s">
        <v>269</v>
      </c>
      <c r="J1296" s="1" t="s">
        <v>319</v>
      </c>
      <c r="K1296" s="1" t="s">
        <v>652</v>
      </c>
      <c r="L1296" s="1" t="s">
        <v>604</v>
      </c>
      <c r="M1296" s="1" t="s">
        <v>289</v>
      </c>
      <c r="N1296" s="1" t="s">
        <v>253</v>
      </c>
      <c r="O1296" s="1" t="s">
        <v>618</v>
      </c>
      <c r="P1296" s="1" t="str">
        <f>_xlfn.CONCAT(B1296,C1296,D1296,E1296,F1296)</f>
        <v>ARAGUATINS 1.1Inverter(MBUS-13)46049,506944444446049,506944444446049,5520833333</v>
      </c>
      <c r="Q1296" s="1" t="str">
        <f>_xlfn.CONCAT(H1296,I1296,J1296)</f>
        <v>LIGRFOCOM</v>
      </c>
    </row>
    <row r="1297" spans="2:17">
      <c r="B1297" s="1" t="s">
        <v>305</v>
      </c>
      <c r="C1297" s="1" t="s">
        <v>263</v>
      </c>
      <c r="D1297" s="52">
        <v>46049.506944444445</v>
      </c>
      <c r="E1297" s="52">
        <v>46049.506944444445</v>
      </c>
      <c r="F1297" s="52">
        <v>46049.552083333336</v>
      </c>
      <c r="G1297" s="53">
        <f>F1297-E1297</f>
        <v>4.5138888890505768E-2</v>
      </c>
      <c r="H1297" s="1" t="s">
        <v>268</v>
      </c>
      <c r="I1297" s="1" t="s">
        <v>269</v>
      </c>
      <c r="J1297" s="1" t="s">
        <v>319</v>
      </c>
      <c r="K1297" s="1" t="s">
        <v>652</v>
      </c>
      <c r="L1297" s="1" t="s">
        <v>604</v>
      </c>
      <c r="M1297" s="1" t="s">
        <v>289</v>
      </c>
      <c r="N1297" s="1" t="s">
        <v>253</v>
      </c>
      <c r="O1297" s="1" t="s">
        <v>618</v>
      </c>
      <c r="P1297" s="1" t="str">
        <f>_xlfn.CONCAT(B1297,C1297,D1297,E1297,F1297)</f>
        <v>ARAGUATINS 1.1Inverter(MBUS-14)46049,506944444446049,506944444446049,5520833333</v>
      </c>
      <c r="Q1297" s="1" t="str">
        <f>_xlfn.CONCAT(H1297,I1297,J1297)</f>
        <v>LIGRFOCOM</v>
      </c>
    </row>
    <row r="1298" spans="2:17">
      <c r="B1298" s="1" t="s">
        <v>305</v>
      </c>
      <c r="C1298" s="1" t="s">
        <v>307</v>
      </c>
      <c r="D1298" s="52">
        <v>46049.506944444445</v>
      </c>
      <c r="E1298" s="52">
        <v>46049.506944444445</v>
      </c>
      <c r="F1298" s="52">
        <v>46049.552083333336</v>
      </c>
      <c r="G1298" s="53">
        <f>F1298-E1298</f>
        <v>4.5138888890505768E-2</v>
      </c>
      <c r="H1298" s="1" t="s">
        <v>268</v>
      </c>
      <c r="I1298" s="1" t="s">
        <v>269</v>
      </c>
      <c r="J1298" s="1" t="s">
        <v>319</v>
      </c>
      <c r="K1298" s="1" t="s">
        <v>652</v>
      </c>
      <c r="L1298" s="1" t="s">
        <v>604</v>
      </c>
      <c r="M1298" s="1" t="s">
        <v>289</v>
      </c>
      <c r="N1298" s="1" t="s">
        <v>253</v>
      </c>
      <c r="O1298" s="1" t="s">
        <v>618</v>
      </c>
      <c r="P1298" s="1" t="str">
        <f>_xlfn.CONCAT(B1298,C1298,D1298,E1298,F1298)</f>
        <v>ARAGUATINS 1.1Inverter(MBUS-15)46049,506944444446049,506944444446049,5520833333</v>
      </c>
      <c r="Q1298" s="1" t="str">
        <f>_xlfn.CONCAT(H1298,I1298,J1298)</f>
        <v>LIGRFOCOM</v>
      </c>
    </row>
    <row r="1299" spans="2:17">
      <c r="B1299" s="1" t="s">
        <v>308</v>
      </c>
      <c r="C1299" s="1" t="s">
        <v>256</v>
      </c>
      <c r="D1299" s="52">
        <v>46049.506944444445</v>
      </c>
      <c r="E1299" s="52">
        <v>46049.506944444445</v>
      </c>
      <c r="F1299" s="52">
        <v>46049.552083333336</v>
      </c>
      <c r="G1299" s="53">
        <f>F1299-E1299</f>
        <v>4.5138888890505768E-2</v>
      </c>
      <c r="H1299" s="1" t="s">
        <v>268</v>
      </c>
      <c r="I1299" s="1" t="s">
        <v>269</v>
      </c>
      <c r="J1299" s="1" t="s">
        <v>319</v>
      </c>
      <c r="K1299" s="1" t="s">
        <v>652</v>
      </c>
      <c r="L1299" s="1" t="s">
        <v>604</v>
      </c>
      <c r="M1299" s="1" t="s">
        <v>289</v>
      </c>
      <c r="N1299" s="1" t="s">
        <v>253</v>
      </c>
      <c r="O1299" s="1" t="s">
        <v>618</v>
      </c>
      <c r="P1299" s="1" t="str">
        <f>_xlfn.CONCAT(B1299,C1299,D1299,E1299,F1299)</f>
        <v>ARAGUATINS 1.2Inverter(MBUS-12)46049,506944444446049,506944444446049,5520833333</v>
      </c>
      <c r="Q1299" s="1" t="str">
        <f>_xlfn.CONCAT(H1299,I1299,J1299)</f>
        <v>LIGRFOCOM</v>
      </c>
    </row>
    <row r="1300" spans="2:17">
      <c r="B1300" s="1" t="s">
        <v>308</v>
      </c>
      <c r="C1300" s="1" t="s">
        <v>264</v>
      </c>
      <c r="D1300" s="52">
        <v>46049.506944444445</v>
      </c>
      <c r="E1300" s="52">
        <v>46049.506944444445</v>
      </c>
      <c r="F1300" s="52">
        <v>46049.552083333336</v>
      </c>
      <c r="G1300" s="53">
        <f>F1300-E1300</f>
        <v>4.5138888890505768E-2</v>
      </c>
      <c r="H1300" s="1" t="s">
        <v>268</v>
      </c>
      <c r="I1300" s="1" t="s">
        <v>269</v>
      </c>
      <c r="J1300" s="1" t="s">
        <v>319</v>
      </c>
      <c r="K1300" s="1" t="s">
        <v>652</v>
      </c>
      <c r="L1300" s="1" t="s">
        <v>604</v>
      </c>
      <c r="M1300" s="1" t="s">
        <v>289</v>
      </c>
      <c r="N1300" s="1" t="s">
        <v>253</v>
      </c>
      <c r="O1300" s="1" t="s">
        <v>618</v>
      </c>
      <c r="P1300" s="1" t="str">
        <f>_xlfn.CONCAT(B1300,C1300,D1300,E1300,F1300)</f>
        <v>ARAGUATINS 1.2Inverter(MBUS-13)46049,506944444446049,506944444446049,5520833333</v>
      </c>
      <c r="Q1300" s="1" t="str">
        <f>_xlfn.CONCAT(H1300,I1300,J1300)</f>
        <v>LIGRFOCOM</v>
      </c>
    </row>
    <row r="1301" spans="2:17">
      <c r="B1301" s="1" t="s">
        <v>308</v>
      </c>
      <c r="C1301" s="1" t="s">
        <v>263</v>
      </c>
      <c r="D1301" s="52">
        <v>46049.506944444445</v>
      </c>
      <c r="E1301" s="52">
        <v>46049.506944444445</v>
      </c>
      <c r="F1301" s="52">
        <v>46049.552083333336</v>
      </c>
      <c r="G1301" s="53">
        <f>F1301-E1301</f>
        <v>4.5138888890505768E-2</v>
      </c>
      <c r="H1301" s="1" t="s">
        <v>268</v>
      </c>
      <c r="I1301" s="1" t="s">
        <v>269</v>
      </c>
      <c r="J1301" s="1" t="s">
        <v>319</v>
      </c>
      <c r="K1301" s="1" t="s">
        <v>652</v>
      </c>
      <c r="L1301" s="1" t="s">
        <v>604</v>
      </c>
      <c r="M1301" s="1" t="s">
        <v>289</v>
      </c>
      <c r="N1301" s="1" t="s">
        <v>253</v>
      </c>
      <c r="O1301" s="1" t="s">
        <v>618</v>
      </c>
      <c r="P1301" s="1" t="str">
        <f>_xlfn.CONCAT(B1301,C1301,D1301,E1301,F1301)</f>
        <v>ARAGUATINS 1.2Inverter(MBUS-14)46049,506944444446049,506944444446049,5520833333</v>
      </c>
      <c r="Q1301" s="1" t="str">
        <f>_xlfn.CONCAT(H1301,I1301,J1301)</f>
        <v>LIGRFOCOM</v>
      </c>
    </row>
    <row r="1302" spans="2:17">
      <c r="B1302" s="1" t="s">
        <v>308</v>
      </c>
      <c r="C1302" s="1" t="s">
        <v>307</v>
      </c>
      <c r="D1302" s="52">
        <v>46049.506944444445</v>
      </c>
      <c r="E1302" s="52">
        <v>46049.506944444445</v>
      </c>
      <c r="F1302" s="52">
        <v>46049.552083333336</v>
      </c>
      <c r="G1302" s="53">
        <f>F1302-E1302</f>
        <v>4.5138888890505768E-2</v>
      </c>
      <c r="H1302" s="1" t="s">
        <v>268</v>
      </c>
      <c r="I1302" s="1" t="s">
        <v>269</v>
      </c>
      <c r="J1302" s="1" t="s">
        <v>319</v>
      </c>
      <c r="K1302" s="1" t="s">
        <v>652</v>
      </c>
      <c r="L1302" s="1" t="s">
        <v>604</v>
      </c>
      <c r="M1302" s="1" t="s">
        <v>289</v>
      </c>
      <c r="N1302" s="1" t="s">
        <v>253</v>
      </c>
      <c r="O1302" s="1" t="s">
        <v>618</v>
      </c>
      <c r="P1302" s="1" t="str">
        <f>_xlfn.CONCAT(B1302,C1302,D1302,E1302,F1302)</f>
        <v>ARAGUATINS 1.2Inverter(MBUS-15)46049,506944444446049,506944444446049,5520833333</v>
      </c>
      <c r="Q1302" s="1" t="str">
        <f>_xlfn.CONCAT(H1302,I1302,J1302)</f>
        <v>LIGRFOCOM</v>
      </c>
    </row>
    <row r="1303" spans="2:17">
      <c r="B1303" s="1" t="s">
        <v>309</v>
      </c>
      <c r="C1303" s="1" t="s">
        <v>310</v>
      </c>
      <c r="D1303" s="52">
        <v>46049.506944444445</v>
      </c>
      <c r="E1303" s="52">
        <v>46049.506944444445</v>
      </c>
      <c r="F1303" s="52">
        <v>46049.552083333336</v>
      </c>
      <c r="G1303" s="53">
        <f>F1303-E1303</f>
        <v>4.5138888890505768E-2</v>
      </c>
      <c r="H1303" s="1" t="s">
        <v>268</v>
      </c>
      <c r="I1303" s="1" t="s">
        <v>269</v>
      </c>
      <c r="J1303" s="1" t="s">
        <v>319</v>
      </c>
      <c r="K1303" s="1" t="s">
        <v>652</v>
      </c>
      <c r="L1303" s="1" t="s">
        <v>604</v>
      </c>
      <c r="M1303" s="1" t="s">
        <v>289</v>
      </c>
      <c r="N1303" s="1" t="s">
        <v>253</v>
      </c>
      <c r="O1303" s="1" t="s">
        <v>618</v>
      </c>
      <c r="P1303" s="1" t="str">
        <f>_xlfn.CONCAT(B1303,C1303,D1303,E1303,F1303)</f>
        <v>ARAGUATINS 1.3Inverter(MBUS-20)46049,506944444446049,506944444446049,5520833333</v>
      </c>
      <c r="Q1303" s="1" t="str">
        <f>_xlfn.CONCAT(H1303,I1303,J1303)</f>
        <v>LIGRFOCOM</v>
      </c>
    </row>
    <row r="1304" spans="2:17">
      <c r="B1304" s="1" t="s">
        <v>309</v>
      </c>
      <c r="C1304" s="1" t="s">
        <v>247</v>
      </c>
      <c r="D1304" s="52">
        <v>46049.506944444445</v>
      </c>
      <c r="E1304" s="52">
        <v>46049.506944444445</v>
      </c>
      <c r="F1304" s="52">
        <v>46049.552083333336</v>
      </c>
      <c r="G1304" s="53">
        <f>F1304-E1304</f>
        <v>4.5138888890505768E-2</v>
      </c>
      <c r="H1304" s="1" t="s">
        <v>268</v>
      </c>
      <c r="I1304" s="1" t="s">
        <v>269</v>
      </c>
      <c r="J1304" s="1" t="s">
        <v>319</v>
      </c>
      <c r="K1304" s="1" t="s">
        <v>652</v>
      </c>
      <c r="L1304" s="1" t="s">
        <v>604</v>
      </c>
      <c r="M1304" s="1" t="s">
        <v>289</v>
      </c>
      <c r="N1304" s="1" t="s">
        <v>253</v>
      </c>
      <c r="O1304" s="1" t="s">
        <v>618</v>
      </c>
      <c r="P1304" s="1" t="str">
        <f>_xlfn.CONCAT(B1304,C1304,D1304,E1304,F1304)</f>
        <v>ARAGUATINS 1.3Inverter(MBUS-1)46049,506944444446049,506944444446049,5520833333</v>
      </c>
      <c r="Q1304" s="1" t="str">
        <f>_xlfn.CONCAT(H1304,I1304,J1304)</f>
        <v>LIGRFOCOM</v>
      </c>
    </row>
    <row r="1305" spans="2:17">
      <c r="B1305" s="1" t="s">
        <v>311</v>
      </c>
      <c r="C1305" s="1" t="s">
        <v>256</v>
      </c>
      <c r="D1305" s="52">
        <v>46049.506944444445</v>
      </c>
      <c r="E1305" s="52">
        <v>46049.506944444445</v>
      </c>
      <c r="F1305" s="52">
        <v>46049.552083333336</v>
      </c>
      <c r="G1305" s="53">
        <f>F1305-E1305</f>
        <v>4.5138888890505768E-2</v>
      </c>
      <c r="H1305" s="1" t="s">
        <v>268</v>
      </c>
      <c r="I1305" s="1" t="s">
        <v>269</v>
      </c>
      <c r="J1305" s="1" t="s">
        <v>319</v>
      </c>
      <c r="K1305" s="1" t="s">
        <v>652</v>
      </c>
      <c r="L1305" s="1" t="s">
        <v>604</v>
      </c>
      <c r="M1305" s="1" t="s">
        <v>289</v>
      </c>
      <c r="N1305" s="1" t="s">
        <v>253</v>
      </c>
      <c r="O1305" s="1" t="s">
        <v>618</v>
      </c>
      <c r="P1305" s="1" t="str">
        <f>_xlfn.CONCAT(B1305,C1305,D1305,E1305,F1305)</f>
        <v>ARAGUATINS 2.1Inverter(MBUS-12)46049,506944444446049,506944444446049,5520833333</v>
      </c>
      <c r="Q1305" s="1" t="str">
        <f>_xlfn.CONCAT(H1305,I1305,J1305)</f>
        <v>LIGRFOCOM</v>
      </c>
    </row>
    <row r="1306" spans="2:17">
      <c r="B1306" s="1" t="s">
        <v>311</v>
      </c>
      <c r="C1306" s="1" t="s">
        <v>307</v>
      </c>
      <c r="D1306" s="52">
        <v>46049.506944444445</v>
      </c>
      <c r="E1306" s="52">
        <v>46049.506944444445</v>
      </c>
      <c r="F1306" s="52">
        <v>46049.552083333336</v>
      </c>
      <c r="G1306" s="53">
        <f>F1306-E1306</f>
        <v>4.5138888890505768E-2</v>
      </c>
      <c r="H1306" s="1" t="s">
        <v>268</v>
      </c>
      <c r="I1306" s="1" t="s">
        <v>269</v>
      </c>
      <c r="J1306" s="1" t="s">
        <v>319</v>
      </c>
      <c r="K1306" s="1" t="s">
        <v>652</v>
      </c>
      <c r="L1306" s="1" t="s">
        <v>604</v>
      </c>
      <c r="M1306" s="1" t="s">
        <v>289</v>
      </c>
      <c r="N1306" s="1" t="s">
        <v>253</v>
      </c>
      <c r="O1306" s="1" t="s">
        <v>618</v>
      </c>
      <c r="P1306" s="1" t="str">
        <f>_xlfn.CONCAT(B1306,C1306,D1306,E1306,F1306)</f>
        <v>ARAGUATINS 2.1Inverter(MBUS-15)46049,506944444446049,506944444446049,5520833333</v>
      </c>
      <c r="Q1306" s="1" t="str">
        <f>_xlfn.CONCAT(H1306,I1306,J1306)</f>
        <v>LIGRFOCOM</v>
      </c>
    </row>
    <row r="1307" spans="2:17">
      <c r="B1307" s="1" t="s">
        <v>311</v>
      </c>
      <c r="C1307" s="1" t="s">
        <v>263</v>
      </c>
      <c r="D1307" s="52">
        <v>46049.506944444445</v>
      </c>
      <c r="E1307" s="52">
        <v>46049.506944444445</v>
      </c>
      <c r="F1307" s="52">
        <v>46049.552083333336</v>
      </c>
      <c r="G1307" s="53">
        <f>F1307-E1307</f>
        <v>4.5138888890505768E-2</v>
      </c>
      <c r="H1307" s="1" t="s">
        <v>268</v>
      </c>
      <c r="I1307" s="1" t="s">
        <v>269</v>
      </c>
      <c r="J1307" s="1" t="s">
        <v>319</v>
      </c>
      <c r="K1307" s="1" t="s">
        <v>652</v>
      </c>
      <c r="L1307" s="1" t="s">
        <v>604</v>
      </c>
      <c r="M1307" s="1" t="s">
        <v>289</v>
      </c>
      <c r="N1307" s="1" t="s">
        <v>253</v>
      </c>
      <c r="O1307" s="1" t="s">
        <v>618</v>
      </c>
      <c r="P1307" s="1" t="str">
        <f>_xlfn.CONCAT(B1307,C1307,D1307,E1307,F1307)</f>
        <v>ARAGUATINS 2.1Inverter(MBUS-14)46049,506944444446049,506944444446049,5520833333</v>
      </c>
      <c r="Q1307" s="1" t="str">
        <f>_xlfn.CONCAT(H1307,I1307,J1307)</f>
        <v>LIGRFOCOM</v>
      </c>
    </row>
    <row r="1308" spans="2:17">
      <c r="B1308" s="1" t="s">
        <v>311</v>
      </c>
      <c r="C1308" s="1" t="s">
        <v>247</v>
      </c>
      <c r="D1308" s="52">
        <v>46049.506944444445</v>
      </c>
      <c r="E1308" s="52">
        <v>46049.506944444445</v>
      </c>
      <c r="F1308" s="52">
        <v>46049.552083333336</v>
      </c>
      <c r="G1308" s="53">
        <f>F1308-E1308</f>
        <v>4.5138888890505768E-2</v>
      </c>
      <c r="H1308" s="1" t="s">
        <v>268</v>
      </c>
      <c r="I1308" s="1" t="s">
        <v>269</v>
      </c>
      <c r="J1308" s="1" t="s">
        <v>319</v>
      </c>
      <c r="K1308" s="1" t="s">
        <v>652</v>
      </c>
      <c r="L1308" s="1" t="s">
        <v>604</v>
      </c>
      <c r="M1308" s="1" t="s">
        <v>289</v>
      </c>
      <c r="N1308" s="1" t="s">
        <v>253</v>
      </c>
      <c r="O1308" s="1" t="s">
        <v>618</v>
      </c>
      <c r="P1308" s="1" t="str">
        <f>_xlfn.CONCAT(B1308,C1308,D1308,E1308,F1308)</f>
        <v>ARAGUATINS 2.1Inverter(MBUS-1)46049,506944444446049,506944444446049,5520833333</v>
      </c>
      <c r="Q1308" s="1" t="str">
        <f>_xlfn.CONCAT(H1308,I1308,J1308)</f>
        <v>LIGRFOCOM</v>
      </c>
    </row>
    <row r="1309" spans="2:17">
      <c r="B1309" s="1" t="s">
        <v>312</v>
      </c>
      <c r="C1309" s="1" t="s">
        <v>307</v>
      </c>
      <c r="D1309" s="52">
        <v>46049.506944444445</v>
      </c>
      <c r="E1309" s="52">
        <v>46049.506944444445</v>
      </c>
      <c r="F1309" s="52">
        <v>46049.552083333336</v>
      </c>
      <c r="G1309" s="53">
        <f>F1309-E1309</f>
        <v>4.5138888890505768E-2</v>
      </c>
      <c r="H1309" s="1" t="s">
        <v>268</v>
      </c>
      <c r="I1309" s="1" t="s">
        <v>269</v>
      </c>
      <c r="J1309" s="1" t="s">
        <v>319</v>
      </c>
      <c r="K1309" s="1" t="s">
        <v>652</v>
      </c>
      <c r="L1309" s="1" t="s">
        <v>604</v>
      </c>
      <c r="M1309" s="1" t="s">
        <v>289</v>
      </c>
      <c r="N1309" s="1" t="s">
        <v>253</v>
      </c>
      <c r="O1309" s="1" t="s">
        <v>618</v>
      </c>
      <c r="P1309" s="1" t="str">
        <f>_xlfn.CONCAT(B1309,C1309,D1309,E1309,F1309)</f>
        <v>ARAGUATINS 2.2Inverter(MBUS-15)46049,506944444446049,506944444446049,5520833333</v>
      </c>
      <c r="Q1309" s="1" t="str">
        <f>_xlfn.CONCAT(H1309,I1309,J1309)</f>
        <v>LIGRFOCOM</v>
      </c>
    </row>
    <row r="1310" spans="2:17">
      <c r="B1310" s="1" t="s">
        <v>312</v>
      </c>
      <c r="C1310" s="1" t="s">
        <v>264</v>
      </c>
      <c r="D1310" s="52">
        <v>46049.506944444445</v>
      </c>
      <c r="E1310" s="52">
        <v>46049.506944444445</v>
      </c>
      <c r="F1310" s="52">
        <v>46049.552083333336</v>
      </c>
      <c r="G1310" s="53">
        <f>F1310-E1310</f>
        <v>4.5138888890505768E-2</v>
      </c>
      <c r="H1310" s="1" t="s">
        <v>268</v>
      </c>
      <c r="I1310" s="1" t="s">
        <v>269</v>
      </c>
      <c r="J1310" s="1" t="s">
        <v>319</v>
      </c>
      <c r="K1310" s="1" t="s">
        <v>652</v>
      </c>
      <c r="L1310" s="1" t="s">
        <v>604</v>
      </c>
      <c r="M1310" s="1" t="s">
        <v>289</v>
      </c>
      <c r="N1310" s="1" t="s">
        <v>253</v>
      </c>
      <c r="O1310" s="1" t="s">
        <v>618</v>
      </c>
      <c r="P1310" s="1" t="str">
        <f>_xlfn.CONCAT(B1310,C1310,D1310,E1310,F1310)</f>
        <v>ARAGUATINS 2.2Inverter(MBUS-13)46049,506944444446049,506944444446049,5520833333</v>
      </c>
      <c r="Q1310" s="1" t="str">
        <f>_xlfn.CONCAT(H1310,I1310,J1310)</f>
        <v>LIGRFOCOM</v>
      </c>
    </row>
    <row r="1311" spans="2:17">
      <c r="B1311" s="1" t="s">
        <v>312</v>
      </c>
      <c r="C1311" s="1" t="s">
        <v>263</v>
      </c>
      <c r="D1311" s="52">
        <v>46049.506944444445</v>
      </c>
      <c r="E1311" s="52">
        <v>46049.506944444445</v>
      </c>
      <c r="F1311" s="52">
        <v>46049.552083333336</v>
      </c>
      <c r="G1311" s="53">
        <f>F1311-E1311</f>
        <v>4.5138888890505768E-2</v>
      </c>
      <c r="H1311" s="1" t="s">
        <v>268</v>
      </c>
      <c r="I1311" s="1" t="s">
        <v>269</v>
      </c>
      <c r="J1311" s="1" t="s">
        <v>319</v>
      </c>
      <c r="K1311" s="1" t="s">
        <v>652</v>
      </c>
      <c r="L1311" s="1" t="s">
        <v>604</v>
      </c>
      <c r="M1311" s="1" t="s">
        <v>289</v>
      </c>
      <c r="N1311" s="1" t="s">
        <v>253</v>
      </c>
      <c r="O1311" s="1" t="s">
        <v>618</v>
      </c>
      <c r="P1311" s="1" t="str">
        <f>_xlfn.CONCAT(B1311,C1311,D1311,E1311,F1311)</f>
        <v>ARAGUATINS 2.2Inverter(MBUS-14)46049,506944444446049,506944444446049,5520833333</v>
      </c>
      <c r="Q1311" s="1" t="str">
        <f>_xlfn.CONCAT(H1311,I1311,J1311)</f>
        <v>LIGRFOCOM</v>
      </c>
    </row>
    <row r="1312" spans="2:17">
      <c r="B1312" s="1" t="s">
        <v>312</v>
      </c>
      <c r="C1312" s="1" t="s">
        <v>256</v>
      </c>
      <c r="D1312" s="52">
        <v>46049.506944444445</v>
      </c>
      <c r="E1312" s="52">
        <v>46049.506944444445</v>
      </c>
      <c r="F1312" s="52">
        <v>46049.552083333336</v>
      </c>
      <c r="G1312" s="53">
        <f>F1312-E1312</f>
        <v>4.5138888890505768E-2</v>
      </c>
      <c r="H1312" s="1" t="s">
        <v>268</v>
      </c>
      <c r="I1312" s="1" t="s">
        <v>269</v>
      </c>
      <c r="J1312" s="1" t="s">
        <v>319</v>
      </c>
      <c r="K1312" s="1" t="s">
        <v>652</v>
      </c>
      <c r="L1312" s="1" t="s">
        <v>604</v>
      </c>
      <c r="M1312" s="1" t="s">
        <v>289</v>
      </c>
      <c r="N1312" s="1" t="s">
        <v>253</v>
      </c>
      <c r="O1312" s="1" t="s">
        <v>618</v>
      </c>
      <c r="P1312" s="1" t="str">
        <f>_xlfn.CONCAT(B1312,C1312,D1312,E1312,F1312)</f>
        <v>ARAGUATINS 2.2Inverter(MBUS-12)46049,506944444446049,506944444446049,5520833333</v>
      </c>
      <c r="Q1312" s="1" t="str">
        <f>_xlfn.CONCAT(H1312,I1312,J1312)</f>
        <v>LIGRFOCOM</v>
      </c>
    </row>
    <row r="1313" spans="2:17">
      <c r="B1313" s="1" t="s">
        <v>313</v>
      </c>
      <c r="C1313" s="1" t="s">
        <v>256</v>
      </c>
      <c r="D1313" s="52">
        <v>46049.506944444445</v>
      </c>
      <c r="E1313" s="52">
        <v>46049.506944444445</v>
      </c>
      <c r="F1313" s="52">
        <v>46049.552083333336</v>
      </c>
      <c r="G1313" s="53">
        <f>F1313-E1313</f>
        <v>4.5138888890505768E-2</v>
      </c>
      <c r="H1313" s="1" t="s">
        <v>268</v>
      </c>
      <c r="I1313" s="1" t="s">
        <v>269</v>
      </c>
      <c r="J1313" s="1" t="s">
        <v>319</v>
      </c>
      <c r="K1313" s="1" t="s">
        <v>652</v>
      </c>
      <c r="L1313" s="1" t="s">
        <v>604</v>
      </c>
      <c r="M1313" s="1" t="s">
        <v>289</v>
      </c>
      <c r="N1313" s="1" t="s">
        <v>253</v>
      </c>
      <c r="O1313" s="1" t="s">
        <v>618</v>
      </c>
      <c r="P1313" s="1" t="str">
        <f>_xlfn.CONCAT(B1313,C1313,D1313,E1313,F1313)</f>
        <v>ARAGUATINS 2.3Inverter(MBUS-12)46049,506944444446049,506944444446049,5520833333</v>
      </c>
      <c r="Q1313" s="1" t="str">
        <f>_xlfn.CONCAT(H1313,I1313,J1313)</f>
        <v>LIGRFOCOM</v>
      </c>
    </row>
    <row r="1314" spans="2:17">
      <c r="B1314" s="1" t="s">
        <v>313</v>
      </c>
      <c r="C1314" s="1" t="s">
        <v>264</v>
      </c>
      <c r="D1314" s="52">
        <v>46049.506944444445</v>
      </c>
      <c r="E1314" s="52">
        <v>46049.506944444445</v>
      </c>
      <c r="F1314" s="52">
        <v>46049.552083333336</v>
      </c>
      <c r="G1314" s="53">
        <f>F1314-E1314</f>
        <v>4.5138888890505768E-2</v>
      </c>
      <c r="H1314" s="1" t="s">
        <v>268</v>
      </c>
      <c r="I1314" s="1" t="s">
        <v>269</v>
      </c>
      <c r="J1314" s="1" t="s">
        <v>319</v>
      </c>
      <c r="K1314" s="1" t="s">
        <v>652</v>
      </c>
      <c r="L1314" s="1" t="s">
        <v>604</v>
      </c>
      <c r="M1314" s="1" t="s">
        <v>289</v>
      </c>
      <c r="N1314" s="1" t="s">
        <v>253</v>
      </c>
      <c r="O1314" s="1" t="s">
        <v>618</v>
      </c>
      <c r="P1314" s="1" t="str">
        <f>_xlfn.CONCAT(B1314,C1314,D1314,E1314,F1314)</f>
        <v>ARAGUATINS 2.3Inverter(MBUS-13)46049,506944444446049,506944444446049,5520833333</v>
      </c>
      <c r="Q1314" s="1" t="str">
        <f>_xlfn.CONCAT(H1314,I1314,J1314)</f>
        <v>LIGRFOCOM</v>
      </c>
    </row>
    <row r="1315" spans="2:17">
      <c r="B1315" s="1" t="s">
        <v>619</v>
      </c>
      <c r="C1315" s="1" t="s">
        <v>247</v>
      </c>
      <c r="D1315" s="52">
        <v>46049.513888888891</v>
      </c>
      <c r="E1315" s="52">
        <v>46049.513888888891</v>
      </c>
      <c r="F1315" s="59">
        <v>46053.999988425923</v>
      </c>
      <c r="G1315" s="53">
        <f>F1315-E1315</f>
        <v>4.4860995370327146</v>
      </c>
      <c r="H1315" s="1" t="s">
        <v>257</v>
      </c>
      <c r="J1315" s="1" t="s">
        <v>371</v>
      </c>
      <c r="K1315" s="1" t="s">
        <v>653</v>
      </c>
      <c r="L1315" s="1" t="s">
        <v>620</v>
      </c>
      <c r="M1315" s="1" t="s">
        <v>252</v>
      </c>
      <c r="N1315" s="1" t="s">
        <v>253</v>
      </c>
      <c r="O1315" s="72" t="s">
        <v>621</v>
      </c>
      <c r="P1315" s="1" t="str">
        <f>_xlfn.CONCAT(B1315,C1315,D1315,E1315,F1315)</f>
        <v>BC Vazante2.2Inverter(MBUS-1)46049,513888888946049,513888888946053,9999884259</v>
      </c>
      <c r="Q1315" s="1" t="str">
        <f>_xlfn.CONCAT(H1315,I1315,J1315)</f>
        <v>DAUINV</v>
      </c>
    </row>
    <row r="1316" spans="2:17">
      <c r="B1316" s="1" t="s">
        <v>612</v>
      </c>
      <c r="C1316" s="1" t="s">
        <v>622</v>
      </c>
      <c r="D1316" s="52">
        <v>46049.582638888889</v>
      </c>
      <c r="E1316" s="52">
        <v>46049.582638888889</v>
      </c>
      <c r="F1316" s="52">
        <v>46049.604166666664</v>
      </c>
      <c r="G1316" s="53">
        <f>F1316-E1316</f>
        <v>2.1527777775190771E-2</v>
      </c>
      <c r="H1316" s="1" t="s">
        <v>257</v>
      </c>
      <c r="J1316" s="1" t="s">
        <v>258</v>
      </c>
      <c r="K1316" s="1" t="s">
        <v>658</v>
      </c>
      <c r="L1316" s="1" t="s">
        <v>623</v>
      </c>
      <c r="M1316" s="1" t="s">
        <v>260</v>
      </c>
      <c r="N1316" s="1" t="s">
        <v>261</v>
      </c>
      <c r="O1316" s="1" t="s">
        <v>624</v>
      </c>
      <c r="P1316" s="1" t="str">
        <f>_xlfn.CONCAT(B1316,C1316,D1316,E1316,F1316)</f>
        <v>BC Vazante 1.1Inverter1246049,582638888946049,582638888946049,6041666667</v>
      </c>
      <c r="Q1316" s="1" t="str">
        <f>_xlfn.CONCAT(H1316,I1316,J1316)</f>
        <v>DAURDE</v>
      </c>
    </row>
    <row r="1317" spans="2:17">
      <c r="B1317" s="1" t="s">
        <v>456</v>
      </c>
      <c r="C1317" s="1" t="s">
        <v>457</v>
      </c>
      <c r="D1317" s="52">
        <v>46049.600694444445</v>
      </c>
      <c r="E1317" s="52">
        <v>46049.600694444445</v>
      </c>
      <c r="F1317" s="52">
        <v>46049.680555555555</v>
      </c>
      <c r="G1317" s="53">
        <f>F1317-E1317</f>
        <v>7.9861111109494232E-2</v>
      </c>
      <c r="H1317" s="1" t="s">
        <v>257</v>
      </c>
      <c r="J1317" s="1" t="s">
        <v>258</v>
      </c>
      <c r="K1317" s="1" t="s">
        <v>658</v>
      </c>
      <c r="L1317" s="1" t="s">
        <v>625</v>
      </c>
      <c r="M1317" s="1" t="s">
        <v>260</v>
      </c>
      <c r="N1317" s="1" t="s">
        <v>261</v>
      </c>
      <c r="O1317" s="1" t="s">
        <v>607</v>
      </c>
      <c r="P1317" s="1" t="str">
        <f>_xlfn.CONCAT(B1317,C1317,D1317,E1317,F1317)</f>
        <v>BC Caiaponia1SG60KTL(COM1-001)_001_00746049,600694444446049,600694444446049,6805555556</v>
      </c>
      <c r="Q1317" s="1" t="str">
        <f>_xlfn.CONCAT(H1317,I1317,J1317)</f>
        <v>DAURDE</v>
      </c>
    </row>
    <row r="1318" spans="2:17">
      <c r="B1318" s="1" t="s">
        <v>456</v>
      </c>
      <c r="C1318" s="1" t="s">
        <v>459</v>
      </c>
      <c r="D1318" s="52">
        <v>46049.600694444445</v>
      </c>
      <c r="E1318" s="52">
        <v>46049.600694444445</v>
      </c>
      <c r="F1318" s="52">
        <v>46049.680555555555</v>
      </c>
      <c r="G1318" s="53">
        <f>F1318-E1318</f>
        <v>7.9861111109494232E-2</v>
      </c>
      <c r="H1318" s="1" t="s">
        <v>257</v>
      </c>
      <c r="J1318" s="1" t="s">
        <v>258</v>
      </c>
      <c r="K1318" s="1" t="s">
        <v>658</v>
      </c>
      <c r="L1318" s="1" t="s">
        <v>625</v>
      </c>
      <c r="M1318" s="1" t="s">
        <v>260</v>
      </c>
      <c r="N1318" s="1" t="s">
        <v>261</v>
      </c>
      <c r="O1318" s="1" t="s">
        <v>607</v>
      </c>
      <c r="P1318" s="1" t="str">
        <f>_xlfn.CONCAT(B1318,C1318,D1318,E1318,F1318)</f>
        <v>BC Caiaponia1SG60KTL(COM1-002)_001_01046049,600694444446049,600694444446049,6805555556</v>
      </c>
      <c r="Q1318" s="1" t="str">
        <f>_xlfn.CONCAT(H1318,I1318,J1318)</f>
        <v>DAURDE</v>
      </c>
    </row>
    <row r="1319" spans="2:17">
      <c r="B1319" s="1" t="s">
        <v>456</v>
      </c>
      <c r="C1319" s="1" t="s">
        <v>460</v>
      </c>
      <c r="D1319" s="52">
        <v>46049.600694444445</v>
      </c>
      <c r="E1319" s="52">
        <v>46049.600694444445</v>
      </c>
      <c r="F1319" s="52">
        <v>46049.680555555555</v>
      </c>
      <c r="G1319" s="53">
        <f>F1319-E1319</f>
        <v>7.9861111109494232E-2</v>
      </c>
      <c r="H1319" s="1" t="s">
        <v>257</v>
      </c>
      <c r="J1319" s="1" t="s">
        <v>258</v>
      </c>
      <c r="K1319" s="1" t="s">
        <v>658</v>
      </c>
      <c r="L1319" s="1" t="s">
        <v>625</v>
      </c>
      <c r="M1319" s="1" t="s">
        <v>260</v>
      </c>
      <c r="N1319" s="1" t="s">
        <v>261</v>
      </c>
      <c r="O1319" s="1" t="s">
        <v>607</v>
      </c>
      <c r="P1319" s="1" t="str">
        <f>_xlfn.CONCAT(B1319,C1319,D1319,E1319,F1319)</f>
        <v>BC Caiaponia1SG60KTL(COM1-003)_001_01146049,600694444446049,600694444446049,6805555556</v>
      </c>
      <c r="Q1319" s="1" t="str">
        <f>_xlfn.CONCAT(H1319,I1319,J1319)</f>
        <v>DAURDE</v>
      </c>
    </row>
    <row r="1320" spans="2:17">
      <c r="B1320" s="1" t="s">
        <v>456</v>
      </c>
      <c r="C1320" s="1" t="s">
        <v>461</v>
      </c>
      <c r="D1320" s="52">
        <v>46049.600694444445</v>
      </c>
      <c r="E1320" s="52">
        <v>46049.600694444445</v>
      </c>
      <c r="F1320" s="52">
        <v>46049.680555555555</v>
      </c>
      <c r="G1320" s="53">
        <f>F1320-E1320</f>
        <v>7.9861111109494232E-2</v>
      </c>
      <c r="H1320" s="1" t="s">
        <v>257</v>
      </c>
      <c r="J1320" s="1" t="s">
        <v>258</v>
      </c>
      <c r="K1320" s="1" t="s">
        <v>658</v>
      </c>
      <c r="L1320" s="1" t="s">
        <v>625</v>
      </c>
      <c r="M1320" s="1" t="s">
        <v>260</v>
      </c>
      <c r="N1320" s="1" t="s">
        <v>261</v>
      </c>
      <c r="O1320" s="1" t="s">
        <v>607</v>
      </c>
      <c r="P1320" s="1" t="str">
        <f>_xlfn.CONCAT(B1320,C1320,D1320,E1320,F1320)</f>
        <v>BC Caiaponia1SG60KTL(COM1-004)_001_01446049,600694444446049,600694444446049,6805555556</v>
      </c>
      <c r="Q1320" s="1" t="str">
        <f>_xlfn.CONCAT(H1320,I1320,J1320)</f>
        <v>DAURDE</v>
      </c>
    </row>
    <row r="1321" spans="2:17">
      <c r="B1321" s="1" t="s">
        <v>456</v>
      </c>
      <c r="C1321" s="1" t="s">
        <v>462</v>
      </c>
      <c r="D1321" s="52">
        <v>46049.600694444445</v>
      </c>
      <c r="E1321" s="52">
        <v>46049.600694444445</v>
      </c>
      <c r="F1321" s="52">
        <v>46049.680555555555</v>
      </c>
      <c r="G1321" s="53">
        <f>F1321-E1321</f>
        <v>7.9861111109494232E-2</v>
      </c>
      <c r="H1321" s="1" t="s">
        <v>257</v>
      </c>
      <c r="J1321" s="1" t="s">
        <v>258</v>
      </c>
      <c r="K1321" s="1" t="s">
        <v>658</v>
      </c>
      <c r="L1321" s="1" t="s">
        <v>625</v>
      </c>
      <c r="M1321" s="1" t="s">
        <v>260</v>
      </c>
      <c r="N1321" s="1" t="s">
        <v>261</v>
      </c>
      <c r="O1321" s="1" t="s">
        <v>607</v>
      </c>
      <c r="P1321" s="1" t="str">
        <f>_xlfn.CONCAT(B1321,C1321,D1321,E1321,F1321)</f>
        <v>BC Caiaponia1SG60KTL(COM1-005)_001_01746049,600694444446049,600694444446049,6805555556</v>
      </c>
      <c r="Q1321" s="1" t="str">
        <f>_xlfn.CONCAT(H1321,I1321,J1321)</f>
        <v>DAURDE</v>
      </c>
    </row>
    <row r="1322" spans="2:17">
      <c r="B1322" s="1" t="s">
        <v>456</v>
      </c>
      <c r="C1322" s="1" t="s">
        <v>463</v>
      </c>
      <c r="D1322" s="52">
        <v>46049.600694444445</v>
      </c>
      <c r="E1322" s="52">
        <v>46049.600694444445</v>
      </c>
      <c r="F1322" s="52">
        <v>46049.680555555555</v>
      </c>
      <c r="G1322" s="53">
        <f>F1322-E1322</f>
        <v>7.9861111109494232E-2</v>
      </c>
      <c r="H1322" s="1" t="s">
        <v>257</v>
      </c>
      <c r="J1322" s="1" t="s">
        <v>258</v>
      </c>
      <c r="K1322" s="1" t="s">
        <v>658</v>
      </c>
      <c r="L1322" s="1" t="s">
        <v>625</v>
      </c>
      <c r="M1322" s="1" t="s">
        <v>260</v>
      </c>
      <c r="N1322" s="1" t="s">
        <v>261</v>
      </c>
      <c r="O1322" s="1" t="s">
        <v>607</v>
      </c>
      <c r="P1322" s="1" t="str">
        <f>_xlfn.CONCAT(B1322,C1322,D1322,E1322,F1322)</f>
        <v>BC Caiaponia1SG60KTL(COM1-006)_001_01646049,600694444446049,600694444446049,6805555556</v>
      </c>
      <c r="Q1322" s="1" t="str">
        <f>_xlfn.CONCAT(H1322,I1322,J1322)</f>
        <v>DAURDE</v>
      </c>
    </row>
    <row r="1323" spans="2:17">
      <c r="B1323" s="1" t="s">
        <v>456</v>
      </c>
      <c r="C1323" s="1" t="s">
        <v>464</v>
      </c>
      <c r="D1323" s="52">
        <v>46049.600694444445</v>
      </c>
      <c r="E1323" s="52">
        <v>46049.600694444445</v>
      </c>
      <c r="F1323" s="52">
        <v>46049.680555555555</v>
      </c>
      <c r="G1323" s="53">
        <f>F1323-E1323</f>
        <v>7.9861111109494232E-2</v>
      </c>
      <c r="H1323" s="1" t="s">
        <v>257</v>
      </c>
      <c r="J1323" s="1" t="s">
        <v>258</v>
      </c>
      <c r="K1323" s="1" t="s">
        <v>658</v>
      </c>
      <c r="L1323" s="1" t="s">
        <v>625</v>
      </c>
      <c r="M1323" s="1" t="s">
        <v>260</v>
      </c>
      <c r="N1323" s="1" t="s">
        <v>261</v>
      </c>
      <c r="O1323" s="1" t="s">
        <v>607</v>
      </c>
      <c r="P1323" s="1" t="str">
        <f>_xlfn.CONCAT(B1323,C1323,D1323,E1323,F1323)</f>
        <v>BC Caiaponia1SG60KTL(COM1-007)_001_01346049,600694444446049,600694444446049,6805555556</v>
      </c>
      <c r="Q1323" s="1" t="str">
        <f>_xlfn.CONCAT(H1323,I1323,J1323)</f>
        <v>DAURDE</v>
      </c>
    </row>
    <row r="1324" spans="2:17">
      <c r="B1324" s="1" t="s">
        <v>456</v>
      </c>
      <c r="C1324" s="1" t="s">
        <v>465</v>
      </c>
      <c r="D1324" s="52">
        <v>46049.600694444445</v>
      </c>
      <c r="E1324" s="52">
        <v>46049.600694444445</v>
      </c>
      <c r="F1324" s="52">
        <v>46049.680555555555</v>
      </c>
      <c r="G1324" s="53">
        <f>F1324-E1324</f>
        <v>7.9861111109494232E-2</v>
      </c>
      <c r="H1324" s="1" t="s">
        <v>257</v>
      </c>
      <c r="J1324" s="1" t="s">
        <v>258</v>
      </c>
      <c r="K1324" s="1" t="s">
        <v>658</v>
      </c>
      <c r="L1324" s="1" t="s">
        <v>625</v>
      </c>
      <c r="M1324" s="1" t="s">
        <v>260</v>
      </c>
      <c r="N1324" s="1" t="s">
        <v>261</v>
      </c>
      <c r="O1324" s="1" t="s">
        <v>607</v>
      </c>
      <c r="P1324" s="1" t="str">
        <f>_xlfn.CONCAT(B1324,C1324,D1324,E1324,F1324)</f>
        <v>BC Caiaponia1SG60KTL(COM1-008)_001_00146049,600694444446049,600694444446049,6805555556</v>
      </c>
      <c r="Q1324" s="1" t="str">
        <f>_xlfn.CONCAT(H1324,I1324,J1324)</f>
        <v>DAURDE</v>
      </c>
    </row>
    <row r="1325" spans="2:17">
      <c r="B1325" s="1" t="s">
        <v>456</v>
      </c>
      <c r="C1325" s="1" t="s">
        <v>466</v>
      </c>
      <c r="D1325" s="52">
        <v>46049.600694444445</v>
      </c>
      <c r="E1325" s="52">
        <v>46049.600694444445</v>
      </c>
      <c r="F1325" s="52">
        <v>46049.680555555555</v>
      </c>
      <c r="G1325" s="53">
        <f>F1325-E1325</f>
        <v>7.9861111109494232E-2</v>
      </c>
      <c r="H1325" s="1" t="s">
        <v>257</v>
      </c>
      <c r="J1325" s="1" t="s">
        <v>258</v>
      </c>
      <c r="K1325" s="1" t="s">
        <v>658</v>
      </c>
      <c r="L1325" s="1" t="s">
        <v>625</v>
      </c>
      <c r="M1325" s="1" t="s">
        <v>260</v>
      </c>
      <c r="N1325" s="1" t="s">
        <v>261</v>
      </c>
      <c r="O1325" s="1" t="s">
        <v>607</v>
      </c>
      <c r="P1325" s="1" t="str">
        <f>_xlfn.CONCAT(B1325,C1325,D1325,E1325,F1325)</f>
        <v>BC Caiaponia1SG60KTL(COM1-009)46049,600694444446049,600694444446049,6805555556</v>
      </c>
      <c r="Q1325" s="1" t="str">
        <f>_xlfn.CONCAT(H1325,I1325,J1325)</f>
        <v>DAURDE</v>
      </c>
    </row>
    <row r="1326" spans="2:17">
      <c r="B1326" s="1" t="s">
        <v>456</v>
      </c>
      <c r="C1326" s="1" t="s">
        <v>467</v>
      </c>
      <c r="D1326" s="52">
        <v>46049.600694444445</v>
      </c>
      <c r="E1326" s="52">
        <v>46049.600694444445</v>
      </c>
      <c r="F1326" s="52">
        <v>46049.680555555555</v>
      </c>
      <c r="G1326" s="53">
        <f>F1326-E1326</f>
        <v>7.9861111109494232E-2</v>
      </c>
      <c r="H1326" s="1" t="s">
        <v>257</v>
      </c>
      <c r="J1326" s="1" t="s">
        <v>258</v>
      </c>
      <c r="K1326" s="1" t="s">
        <v>658</v>
      </c>
      <c r="L1326" s="1" t="s">
        <v>625</v>
      </c>
      <c r="M1326" s="1" t="s">
        <v>260</v>
      </c>
      <c r="N1326" s="1" t="s">
        <v>261</v>
      </c>
      <c r="O1326" s="1" t="s">
        <v>607</v>
      </c>
      <c r="P1326" s="1" t="str">
        <f>_xlfn.CONCAT(B1326,C1326,D1326,E1326,F1326)</f>
        <v>BC Caiaponia1SG60KTL(COM1-010)46049,600694444446049,600694444446049,6805555556</v>
      </c>
      <c r="Q1326" s="1" t="str">
        <f>_xlfn.CONCAT(H1326,I1326,J1326)</f>
        <v>DAURDE</v>
      </c>
    </row>
    <row r="1327" spans="2:17">
      <c r="B1327" s="1" t="s">
        <v>456</v>
      </c>
      <c r="C1327" s="1" t="s">
        <v>468</v>
      </c>
      <c r="D1327" s="52">
        <v>46049.600694444445</v>
      </c>
      <c r="E1327" s="52">
        <v>46049.600694444445</v>
      </c>
      <c r="F1327" s="52">
        <v>46049.680555555555</v>
      </c>
      <c r="G1327" s="53">
        <f>F1327-E1327</f>
        <v>7.9861111109494232E-2</v>
      </c>
      <c r="H1327" s="1" t="s">
        <v>257</v>
      </c>
      <c r="J1327" s="1" t="s">
        <v>258</v>
      </c>
      <c r="K1327" s="1" t="s">
        <v>658</v>
      </c>
      <c r="L1327" s="1" t="s">
        <v>625</v>
      </c>
      <c r="M1327" s="1" t="s">
        <v>260</v>
      </c>
      <c r="N1327" s="1" t="s">
        <v>261</v>
      </c>
      <c r="O1327" s="1" t="s">
        <v>607</v>
      </c>
      <c r="P1327" s="1" t="str">
        <f>_xlfn.CONCAT(B1327,C1327,D1327,E1327,F1327)</f>
        <v>BC Caiaponia1SG60KTL(COM1-011)46049,600694444446049,600694444446049,6805555556</v>
      </c>
      <c r="Q1327" s="1" t="str">
        <f>_xlfn.CONCAT(H1327,I1327,J1327)</f>
        <v>DAURDE</v>
      </c>
    </row>
    <row r="1328" spans="2:17">
      <c r="B1328" s="1" t="s">
        <v>456</v>
      </c>
      <c r="C1328" s="1" t="s">
        <v>469</v>
      </c>
      <c r="D1328" s="52">
        <v>46049.600694444445</v>
      </c>
      <c r="E1328" s="52">
        <v>46049.600694444445</v>
      </c>
      <c r="F1328" s="52">
        <v>46049.680555555555</v>
      </c>
      <c r="G1328" s="53">
        <f>F1328-E1328</f>
        <v>7.9861111109494232E-2</v>
      </c>
      <c r="H1328" s="1" t="s">
        <v>257</v>
      </c>
      <c r="J1328" s="1" t="s">
        <v>258</v>
      </c>
      <c r="K1328" s="1" t="s">
        <v>658</v>
      </c>
      <c r="L1328" s="1" t="s">
        <v>625</v>
      </c>
      <c r="M1328" s="1" t="s">
        <v>260</v>
      </c>
      <c r="N1328" s="1" t="s">
        <v>261</v>
      </c>
      <c r="O1328" s="1" t="s">
        <v>607</v>
      </c>
      <c r="P1328" s="1" t="str">
        <f>_xlfn.CONCAT(B1328,C1328,D1328,E1328,F1328)</f>
        <v>BC Caiaponia1SG60KTL(COM1-012)46049,600694444446049,600694444446049,6805555556</v>
      </c>
      <c r="Q1328" s="1" t="str">
        <f>_xlfn.CONCAT(H1328,I1328,J1328)</f>
        <v>DAURDE</v>
      </c>
    </row>
    <row r="1329" spans="2:17">
      <c r="B1329" s="1" t="s">
        <v>456</v>
      </c>
      <c r="C1329" s="1" t="s">
        <v>470</v>
      </c>
      <c r="D1329" s="52">
        <v>46049.600694444445</v>
      </c>
      <c r="E1329" s="52">
        <v>46049.600694444445</v>
      </c>
      <c r="F1329" s="52">
        <v>46049.680555555555</v>
      </c>
      <c r="G1329" s="53">
        <f>F1329-E1329</f>
        <v>7.9861111109494232E-2</v>
      </c>
      <c r="H1329" s="1" t="s">
        <v>257</v>
      </c>
      <c r="J1329" s="1" t="s">
        <v>258</v>
      </c>
      <c r="K1329" s="1" t="s">
        <v>658</v>
      </c>
      <c r="L1329" s="1" t="s">
        <v>625</v>
      </c>
      <c r="M1329" s="1" t="s">
        <v>260</v>
      </c>
      <c r="N1329" s="1" t="s">
        <v>261</v>
      </c>
      <c r="O1329" s="1" t="s">
        <v>607</v>
      </c>
      <c r="P1329" s="1" t="str">
        <f>_xlfn.CONCAT(B1329,C1329,D1329,E1329,F1329)</f>
        <v>BC Caiaponia1SG60KTL(COM1-013)46049,600694444446049,600694444446049,6805555556</v>
      </c>
      <c r="Q1329" s="1" t="str">
        <f>_xlfn.CONCAT(H1329,I1329,J1329)</f>
        <v>DAURDE</v>
      </c>
    </row>
    <row r="1330" spans="2:17">
      <c r="B1330" s="1" t="s">
        <v>456</v>
      </c>
      <c r="C1330" s="1" t="s">
        <v>471</v>
      </c>
      <c r="D1330" s="52">
        <v>46049.600694444445</v>
      </c>
      <c r="E1330" s="52">
        <v>46049.600694444445</v>
      </c>
      <c r="F1330" s="52">
        <v>46049.680555555555</v>
      </c>
      <c r="G1330" s="53">
        <f>F1330-E1330</f>
        <v>7.9861111109494232E-2</v>
      </c>
      <c r="H1330" s="1" t="s">
        <v>257</v>
      </c>
      <c r="J1330" s="1" t="s">
        <v>258</v>
      </c>
      <c r="K1330" s="1" t="s">
        <v>658</v>
      </c>
      <c r="L1330" s="1" t="s">
        <v>625</v>
      </c>
      <c r="M1330" s="1" t="s">
        <v>260</v>
      </c>
      <c r="N1330" s="1" t="s">
        <v>261</v>
      </c>
      <c r="O1330" s="1" t="s">
        <v>607</v>
      </c>
      <c r="P1330" s="1" t="str">
        <f>_xlfn.CONCAT(B1330,C1330,D1330,E1330,F1330)</f>
        <v>BC Caiaponia1SG60KTL(COM1-014)46049,600694444446049,600694444446049,6805555556</v>
      </c>
      <c r="Q1330" s="1" t="str">
        <f>_xlfn.CONCAT(H1330,I1330,J1330)</f>
        <v>DAURDE</v>
      </c>
    </row>
    <row r="1331" spans="2:17">
      <c r="B1331" s="1" t="s">
        <v>456</v>
      </c>
      <c r="C1331" s="1" t="s">
        <v>472</v>
      </c>
      <c r="D1331" s="52">
        <v>46049.600694444445</v>
      </c>
      <c r="E1331" s="52">
        <v>46049.600694444445</v>
      </c>
      <c r="F1331" s="52">
        <v>46049.680555555555</v>
      </c>
      <c r="G1331" s="53">
        <f>F1331-E1331</f>
        <v>7.9861111109494232E-2</v>
      </c>
      <c r="H1331" s="1" t="s">
        <v>257</v>
      </c>
      <c r="J1331" s="1" t="s">
        <v>258</v>
      </c>
      <c r="K1331" s="1" t="s">
        <v>658</v>
      </c>
      <c r="L1331" s="1" t="s">
        <v>625</v>
      </c>
      <c r="M1331" s="1" t="s">
        <v>260</v>
      </c>
      <c r="N1331" s="1" t="s">
        <v>261</v>
      </c>
      <c r="O1331" s="1" t="s">
        <v>607</v>
      </c>
      <c r="P1331" s="1" t="str">
        <f>_xlfn.CONCAT(B1331,C1331,D1331,E1331,F1331)</f>
        <v>BC Caiaponia1SG60KTL(COM1-015)46049,600694444446049,600694444446049,6805555556</v>
      </c>
      <c r="Q1331" s="1" t="str">
        <f>_xlfn.CONCAT(H1331,I1331,J1331)</f>
        <v>DAURDE</v>
      </c>
    </row>
    <row r="1332" spans="2:17">
      <c r="B1332" s="1" t="s">
        <v>456</v>
      </c>
      <c r="C1332" s="1" t="s">
        <v>473</v>
      </c>
      <c r="D1332" s="52">
        <v>46049.600694444445</v>
      </c>
      <c r="E1332" s="52">
        <v>46049.600694444445</v>
      </c>
      <c r="F1332" s="52">
        <v>46049.680555555555</v>
      </c>
      <c r="G1332" s="53">
        <f>F1332-E1332</f>
        <v>7.9861111109494232E-2</v>
      </c>
      <c r="H1332" s="1" t="s">
        <v>257</v>
      </c>
      <c r="J1332" s="1" t="s">
        <v>258</v>
      </c>
      <c r="K1332" s="1" t="s">
        <v>658</v>
      </c>
      <c r="L1332" s="1" t="s">
        <v>625</v>
      </c>
      <c r="M1332" s="1" t="s">
        <v>260</v>
      </c>
      <c r="N1332" s="1" t="s">
        <v>261</v>
      </c>
      <c r="O1332" s="1" t="s">
        <v>607</v>
      </c>
      <c r="P1332" s="1" t="str">
        <f>_xlfn.CONCAT(B1332,C1332,D1332,E1332,F1332)</f>
        <v>BC Caiaponia1SG60KTL(COM3-016)_001_00946049,600694444446049,600694444446049,6805555556</v>
      </c>
      <c r="Q1332" s="1" t="str">
        <f>_xlfn.CONCAT(H1332,I1332,J1332)</f>
        <v>DAURDE</v>
      </c>
    </row>
    <row r="1333" spans="2:17">
      <c r="B1333" s="1" t="s">
        <v>456</v>
      </c>
      <c r="C1333" s="1" t="s">
        <v>474</v>
      </c>
      <c r="D1333" s="52">
        <v>46049.600694444445</v>
      </c>
      <c r="E1333" s="52">
        <v>46049.600694444445</v>
      </c>
      <c r="F1333" s="52">
        <v>46049.680555555555</v>
      </c>
      <c r="G1333" s="53">
        <f>F1333-E1333</f>
        <v>7.9861111109494232E-2</v>
      </c>
      <c r="H1333" s="1" t="s">
        <v>257</v>
      </c>
      <c r="J1333" s="1" t="s">
        <v>258</v>
      </c>
      <c r="K1333" s="1" t="s">
        <v>658</v>
      </c>
      <c r="L1333" s="1" t="s">
        <v>625</v>
      </c>
      <c r="M1333" s="1" t="s">
        <v>260</v>
      </c>
      <c r="N1333" s="1" t="s">
        <v>261</v>
      </c>
      <c r="O1333" s="1" t="s">
        <v>607</v>
      </c>
      <c r="P1333" s="1" t="str">
        <f>_xlfn.CONCAT(B1333,C1333,D1333,E1333,F1333)</f>
        <v>BC Caiaponia1SG60KTL(COM3-017)_001_01246049,600694444446049,600694444446049,6805555556</v>
      </c>
      <c r="Q1333" s="1" t="str">
        <f>_xlfn.CONCAT(H1333,I1333,J1333)</f>
        <v>DAURDE</v>
      </c>
    </row>
    <row r="1334" spans="2:17">
      <c r="B1334" s="1" t="s">
        <v>456</v>
      </c>
      <c r="C1334" s="1" t="s">
        <v>475</v>
      </c>
      <c r="D1334" s="52">
        <v>46049.600694444445</v>
      </c>
      <c r="E1334" s="52">
        <v>46049.600694444445</v>
      </c>
      <c r="F1334" s="52">
        <v>46049.680555555555</v>
      </c>
      <c r="G1334" s="53">
        <f>F1334-E1334</f>
        <v>7.9861111109494232E-2</v>
      </c>
      <c r="H1334" s="1" t="s">
        <v>257</v>
      </c>
      <c r="J1334" s="1" t="s">
        <v>258</v>
      </c>
      <c r="K1334" s="1" t="s">
        <v>658</v>
      </c>
      <c r="L1334" s="1" t="s">
        <v>625</v>
      </c>
      <c r="M1334" s="1" t="s">
        <v>260</v>
      </c>
      <c r="N1334" s="1" t="s">
        <v>261</v>
      </c>
      <c r="O1334" s="1" t="s">
        <v>607</v>
      </c>
      <c r="P1334" s="1" t="str">
        <f>_xlfn.CONCAT(B1334,C1334,D1334,E1334,F1334)</f>
        <v>BC Caiaponia1SG60KTL(COM3-018)_001_00846049,600694444446049,600694444446049,6805555556</v>
      </c>
      <c r="Q1334" s="1" t="str">
        <f>_xlfn.CONCAT(H1334,I1334,J1334)</f>
        <v>DAURDE</v>
      </c>
    </row>
    <row r="1335" spans="2:17">
      <c r="B1335" s="1" t="s">
        <v>456</v>
      </c>
      <c r="C1335" s="1" t="s">
        <v>476</v>
      </c>
      <c r="D1335" s="52">
        <v>46049.600694444445</v>
      </c>
      <c r="E1335" s="52">
        <v>46049.600694444445</v>
      </c>
      <c r="F1335" s="52">
        <v>46049.680555555555</v>
      </c>
      <c r="G1335" s="53">
        <f>F1335-E1335</f>
        <v>7.9861111109494232E-2</v>
      </c>
      <c r="H1335" s="1" t="s">
        <v>257</v>
      </c>
      <c r="J1335" s="1" t="s">
        <v>258</v>
      </c>
      <c r="K1335" s="1" t="s">
        <v>658</v>
      </c>
      <c r="L1335" s="1" t="s">
        <v>625</v>
      </c>
      <c r="M1335" s="1" t="s">
        <v>260</v>
      </c>
      <c r="N1335" s="1" t="s">
        <v>261</v>
      </c>
      <c r="O1335" s="1" t="s">
        <v>607</v>
      </c>
      <c r="P1335" s="1" t="str">
        <f>_xlfn.CONCAT(B1335,C1335,D1335,E1335,F1335)</f>
        <v>BC Caiaponia1SG60KTL(COM3-019)_001_01946049,600694444446049,600694444446049,6805555556</v>
      </c>
      <c r="Q1335" s="1" t="str">
        <f>_xlfn.CONCAT(H1335,I1335,J1335)</f>
        <v>DAURDE</v>
      </c>
    </row>
    <row r="1336" spans="2:17">
      <c r="B1336" s="1" t="s">
        <v>456</v>
      </c>
      <c r="C1336" s="1" t="s">
        <v>477</v>
      </c>
      <c r="D1336" s="52">
        <v>46049.600694444445</v>
      </c>
      <c r="E1336" s="52">
        <v>46049.600694444445</v>
      </c>
      <c r="F1336" s="52">
        <v>46049.680555555555</v>
      </c>
      <c r="G1336" s="53">
        <f>F1336-E1336</f>
        <v>7.9861111109494232E-2</v>
      </c>
      <c r="H1336" s="1" t="s">
        <v>257</v>
      </c>
      <c r="J1336" s="1" t="s">
        <v>258</v>
      </c>
      <c r="K1336" s="1" t="s">
        <v>658</v>
      </c>
      <c r="L1336" s="1" t="s">
        <v>625</v>
      </c>
      <c r="M1336" s="1" t="s">
        <v>260</v>
      </c>
      <c r="N1336" s="1" t="s">
        <v>261</v>
      </c>
      <c r="O1336" s="1" t="s">
        <v>607</v>
      </c>
      <c r="P1336" s="1" t="str">
        <f>_xlfn.CONCAT(B1336,C1336,D1336,E1336,F1336)</f>
        <v>BC Caiaponia1SG60KTL(COM3-020)_001_02046049,600694444446049,600694444446049,6805555556</v>
      </c>
      <c r="Q1336" s="1" t="str">
        <f>_xlfn.CONCAT(H1336,I1336,J1336)</f>
        <v>DAURDE</v>
      </c>
    </row>
    <row r="1337" spans="2:17">
      <c r="B1337" s="1" t="s">
        <v>456</v>
      </c>
      <c r="C1337" s="1" t="s">
        <v>478</v>
      </c>
      <c r="D1337" s="52">
        <v>46049.600694444445</v>
      </c>
      <c r="E1337" s="52">
        <v>46049.600694444445</v>
      </c>
      <c r="F1337" s="52">
        <v>46049.680555555555</v>
      </c>
      <c r="G1337" s="53">
        <f>F1337-E1337</f>
        <v>7.9861111109494232E-2</v>
      </c>
      <c r="H1337" s="1" t="s">
        <v>257</v>
      </c>
      <c r="J1337" s="1" t="s">
        <v>258</v>
      </c>
      <c r="K1337" s="1" t="s">
        <v>658</v>
      </c>
      <c r="L1337" s="1" t="s">
        <v>625</v>
      </c>
      <c r="M1337" s="1" t="s">
        <v>260</v>
      </c>
      <c r="N1337" s="1" t="s">
        <v>261</v>
      </c>
      <c r="O1337" s="1" t="s">
        <v>607</v>
      </c>
      <c r="P1337" s="1" t="str">
        <f>_xlfn.CONCAT(B1337,C1337,D1337,E1337,F1337)</f>
        <v>BC Caiaponia1SG60KTL(COM2-026)46049,600694444446049,600694444446049,6805555556</v>
      </c>
      <c r="Q1337" s="1" t="str">
        <f>_xlfn.CONCAT(H1337,I1337,J1337)</f>
        <v>DAURDE</v>
      </c>
    </row>
    <row r="1338" spans="2:17">
      <c r="B1338" s="1" t="s">
        <v>456</v>
      </c>
      <c r="C1338" s="1" t="s">
        <v>479</v>
      </c>
      <c r="D1338" s="52">
        <v>46049.600694444445</v>
      </c>
      <c r="E1338" s="52">
        <v>46049.600694444445</v>
      </c>
      <c r="F1338" s="52">
        <v>46049.680555555555</v>
      </c>
      <c r="G1338" s="53">
        <f>F1338-E1338</f>
        <v>7.9861111109494232E-2</v>
      </c>
      <c r="H1338" s="1" t="s">
        <v>257</v>
      </c>
      <c r="J1338" s="1" t="s">
        <v>258</v>
      </c>
      <c r="K1338" s="1" t="s">
        <v>658</v>
      </c>
      <c r="L1338" s="1" t="s">
        <v>625</v>
      </c>
      <c r="M1338" s="1" t="s">
        <v>260</v>
      </c>
      <c r="N1338" s="1" t="s">
        <v>261</v>
      </c>
      <c r="O1338" s="1" t="s">
        <v>607</v>
      </c>
      <c r="P1338" s="1" t="str">
        <f>_xlfn.CONCAT(B1338,C1338,D1338,E1338,F1338)</f>
        <v>BC Caiaponia1SG60KTL(COM2-027)46049,600694444446049,600694444446049,6805555556</v>
      </c>
      <c r="Q1338" s="1" t="str">
        <f>_xlfn.CONCAT(H1338,I1338,J1338)</f>
        <v>DAURDE</v>
      </c>
    </row>
    <row r="1339" spans="2:17">
      <c r="B1339" s="1" t="s">
        <v>456</v>
      </c>
      <c r="C1339" s="1" t="s">
        <v>480</v>
      </c>
      <c r="D1339" s="52">
        <v>46049.600694444445</v>
      </c>
      <c r="E1339" s="52">
        <v>46049.600694444445</v>
      </c>
      <c r="F1339" s="52">
        <v>46049.680555555555</v>
      </c>
      <c r="G1339" s="53">
        <f>F1339-E1339</f>
        <v>7.9861111109494232E-2</v>
      </c>
      <c r="H1339" s="1" t="s">
        <v>257</v>
      </c>
      <c r="J1339" s="1" t="s">
        <v>258</v>
      </c>
      <c r="K1339" s="1" t="s">
        <v>658</v>
      </c>
      <c r="L1339" s="1" t="s">
        <v>625</v>
      </c>
      <c r="M1339" s="1" t="s">
        <v>260</v>
      </c>
      <c r="N1339" s="1" t="s">
        <v>261</v>
      </c>
      <c r="O1339" s="1" t="s">
        <v>607</v>
      </c>
      <c r="P1339" s="1" t="str">
        <f>_xlfn.CONCAT(B1339,C1339,D1339,E1339,F1339)</f>
        <v>BC Caiaponia1SG60KTL(COM2-028)46049,600694444446049,600694444446049,6805555556</v>
      </c>
      <c r="Q1339" s="1" t="str">
        <f>_xlfn.CONCAT(H1339,I1339,J1339)</f>
        <v>DAURDE</v>
      </c>
    </row>
    <row r="1340" spans="2:17">
      <c r="B1340" s="1" t="s">
        <v>456</v>
      </c>
      <c r="C1340" s="1" t="s">
        <v>481</v>
      </c>
      <c r="D1340" s="52">
        <v>46049.600694444445</v>
      </c>
      <c r="E1340" s="52">
        <v>46049.600694444445</v>
      </c>
      <c r="F1340" s="52">
        <v>46049.680555555555</v>
      </c>
      <c r="G1340" s="53">
        <f>F1340-E1340</f>
        <v>7.9861111109494232E-2</v>
      </c>
      <c r="H1340" s="1" t="s">
        <v>257</v>
      </c>
      <c r="J1340" s="1" t="s">
        <v>258</v>
      </c>
      <c r="K1340" s="1" t="s">
        <v>658</v>
      </c>
      <c r="L1340" s="1" t="s">
        <v>625</v>
      </c>
      <c r="M1340" s="1" t="s">
        <v>260</v>
      </c>
      <c r="N1340" s="1" t="s">
        <v>261</v>
      </c>
      <c r="O1340" s="1" t="s">
        <v>607</v>
      </c>
      <c r="P1340" s="1" t="str">
        <f>_xlfn.CONCAT(B1340,C1340,D1340,E1340,F1340)</f>
        <v>BC Caiaponia1SG60KTL(COM2-029)46049,600694444446049,600694444446049,6805555556</v>
      </c>
      <c r="Q1340" s="1" t="str">
        <f>_xlfn.CONCAT(H1340,I1340,J1340)</f>
        <v>DAURDE</v>
      </c>
    </row>
    <row r="1341" spans="2:17">
      <c r="B1341" s="1" t="s">
        <v>456</v>
      </c>
      <c r="C1341" s="1" t="s">
        <v>482</v>
      </c>
      <c r="D1341" s="52">
        <v>46049.600694444445</v>
      </c>
      <c r="E1341" s="52">
        <v>46049.600694444445</v>
      </c>
      <c r="F1341" s="52">
        <v>46049.680555555555</v>
      </c>
      <c r="G1341" s="53">
        <f>F1341-E1341</f>
        <v>7.9861111109494232E-2</v>
      </c>
      <c r="H1341" s="1" t="s">
        <v>257</v>
      </c>
      <c r="J1341" s="1" t="s">
        <v>258</v>
      </c>
      <c r="K1341" s="1" t="s">
        <v>658</v>
      </c>
      <c r="L1341" s="1" t="s">
        <v>625</v>
      </c>
      <c r="M1341" s="1" t="s">
        <v>260</v>
      </c>
      <c r="N1341" s="1" t="s">
        <v>261</v>
      </c>
      <c r="O1341" s="1" t="s">
        <v>607</v>
      </c>
      <c r="P1341" s="1" t="str">
        <f>_xlfn.CONCAT(B1341,C1341,D1341,E1341,F1341)</f>
        <v>BC Caiaponia1SG50CX(COM1-021)46049,600694444446049,600694444446049,6805555556</v>
      </c>
      <c r="Q1341" s="1" t="str">
        <f>_xlfn.CONCAT(H1341,I1341,J1341)</f>
        <v>DAURDE</v>
      </c>
    </row>
    <row r="1342" spans="2:17">
      <c r="B1342" s="1" t="s">
        <v>456</v>
      </c>
      <c r="C1342" s="1" t="s">
        <v>483</v>
      </c>
      <c r="D1342" s="52">
        <v>46049.600694444445</v>
      </c>
      <c r="E1342" s="52">
        <v>46049.600694444445</v>
      </c>
      <c r="F1342" s="52">
        <v>46049.680555555555</v>
      </c>
      <c r="G1342" s="53">
        <f>F1342-E1342</f>
        <v>7.9861111109494232E-2</v>
      </c>
      <c r="H1342" s="1" t="s">
        <v>257</v>
      </c>
      <c r="J1342" s="1" t="s">
        <v>258</v>
      </c>
      <c r="K1342" s="1" t="s">
        <v>658</v>
      </c>
      <c r="L1342" s="1" t="s">
        <v>625</v>
      </c>
      <c r="M1342" s="1" t="s">
        <v>260</v>
      </c>
      <c r="N1342" s="1" t="s">
        <v>261</v>
      </c>
      <c r="O1342" s="1" t="s">
        <v>607</v>
      </c>
      <c r="P1342" s="1" t="str">
        <f>_xlfn.CONCAT(B1342,C1342,D1342,E1342,F1342)</f>
        <v>BC Caiaponia1SG50CX(COM1-022)46049,600694444446049,600694444446049,6805555556</v>
      </c>
      <c r="Q1342" s="1" t="str">
        <f>_xlfn.CONCAT(H1342,I1342,J1342)</f>
        <v>DAURDE</v>
      </c>
    </row>
    <row r="1343" spans="2:17">
      <c r="B1343" s="1" t="s">
        <v>456</v>
      </c>
      <c r="C1343" s="1" t="s">
        <v>484</v>
      </c>
      <c r="D1343" s="52">
        <v>46049.600694444445</v>
      </c>
      <c r="E1343" s="52">
        <v>46049.600694444445</v>
      </c>
      <c r="F1343" s="52">
        <v>46049.680555555555</v>
      </c>
      <c r="G1343" s="53">
        <f>F1343-E1343</f>
        <v>7.9861111109494232E-2</v>
      </c>
      <c r="H1343" s="1" t="s">
        <v>257</v>
      </c>
      <c r="J1343" s="1" t="s">
        <v>258</v>
      </c>
      <c r="K1343" s="1" t="s">
        <v>658</v>
      </c>
      <c r="L1343" s="1" t="s">
        <v>625</v>
      </c>
      <c r="M1343" s="1" t="s">
        <v>260</v>
      </c>
      <c r="N1343" s="1" t="s">
        <v>261</v>
      </c>
      <c r="O1343" s="1" t="s">
        <v>607</v>
      </c>
      <c r="P1343" s="1" t="str">
        <f>_xlfn.CONCAT(B1343,C1343,D1343,E1343,F1343)</f>
        <v>BC Caiaponia1SG50CX(COM1-023)46049,600694444446049,600694444446049,6805555556</v>
      </c>
      <c r="Q1343" s="1" t="str">
        <f>_xlfn.CONCAT(H1343,I1343,J1343)</f>
        <v>DAURDE</v>
      </c>
    </row>
    <row r="1344" spans="2:17">
      <c r="B1344" s="1" t="s">
        <v>456</v>
      </c>
      <c r="C1344" s="1" t="s">
        <v>485</v>
      </c>
      <c r="D1344" s="52">
        <v>46049.600694444445</v>
      </c>
      <c r="E1344" s="52">
        <v>46049.600694444445</v>
      </c>
      <c r="F1344" s="52">
        <v>46049.680555555555</v>
      </c>
      <c r="G1344" s="53">
        <f>F1344-E1344</f>
        <v>7.9861111109494232E-2</v>
      </c>
      <c r="H1344" s="1" t="s">
        <v>257</v>
      </c>
      <c r="J1344" s="1" t="s">
        <v>258</v>
      </c>
      <c r="K1344" s="1" t="s">
        <v>658</v>
      </c>
      <c r="L1344" s="1" t="s">
        <v>625</v>
      </c>
      <c r="M1344" s="1" t="s">
        <v>260</v>
      </c>
      <c r="N1344" s="1" t="s">
        <v>261</v>
      </c>
      <c r="O1344" s="1" t="s">
        <v>607</v>
      </c>
      <c r="P1344" s="1" t="str">
        <f>_xlfn.CONCAT(B1344,C1344,D1344,E1344,F1344)</f>
        <v>BC Caiaponia1SG50CX(COM1-024)46049,600694444446049,600694444446049,6805555556</v>
      </c>
      <c r="Q1344" s="1" t="str">
        <f>_xlfn.CONCAT(H1344,I1344,J1344)</f>
        <v>DAURDE</v>
      </c>
    </row>
    <row r="1345" spans="2:17">
      <c r="B1345" s="1" t="s">
        <v>456</v>
      </c>
      <c r="C1345" s="1" t="s">
        <v>486</v>
      </c>
      <c r="D1345" s="52">
        <v>46049.600694444445</v>
      </c>
      <c r="E1345" s="52">
        <v>46049.600694444445</v>
      </c>
      <c r="F1345" s="52">
        <v>46049.680555555555</v>
      </c>
      <c r="G1345" s="53">
        <f>F1345-E1345</f>
        <v>7.9861111109494232E-2</v>
      </c>
      <c r="H1345" s="1" t="s">
        <v>257</v>
      </c>
      <c r="J1345" s="1" t="s">
        <v>258</v>
      </c>
      <c r="K1345" s="1" t="s">
        <v>658</v>
      </c>
      <c r="L1345" s="1" t="s">
        <v>625</v>
      </c>
      <c r="M1345" s="1" t="s">
        <v>260</v>
      </c>
      <c r="N1345" s="1" t="s">
        <v>261</v>
      </c>
      <c r="O1345" s="1" t="s">
        <v>607</v>
      </c>
      <c r="P1345" s="1" t="str">
        <f>_xlfn.CONCAT(B1345,C1345,D1345,E1345,F1345)</f>
        <v>BC Caiaponia1SG50CX(COM1-025)46049,600694444446049,600694444446049,6805555556</v>
      </c>
      <c r="Q1345" s="1" t="str">
        <f>_xlfn.CONCAT(H1345,I1345,J1345)</f>
        <v>DAURDE</v>
      </c>
    </row>
    <row r="1346" spans="2:17">
      <c r="B1346" s="1" t="s">
        <v>487</v>
      </c>
      <c r="C1346" s="1" t="s">
        <v>377</v>
      </c>
      <c r="D1346" s="52">
        <v>46049.600694444445</v>
      </c>
      <c r="E1346" s="52">
        <v>46049.600694444445</v>
      </c>
      <c r="F1346" s="52">
        <v>46049.680555555555</v>
      </c>
      <c r="G1346" s="53">
        <f>F1346-E1346</f>
        <v>7.9861111109494232E-2</v>
      </c>
      <c r="H1346" s="1" t="s">
        <v>257</v>
      </c>
      <c r="J1346" s="1" t="s">
        <v>258</v>
      </c>
      <c r="K1346" s="1" t="s">
        <v>658</v>
      </c>
      <c r="L1346" s="1" t="s">
        <v>625</v>
      </c>
      <c r="M1346" s="1" t="s">
        <v>260</v>
      </c>
      <c r="N1346" s="1" t="s">
        <v>261</v>
      </c>
      <c r="O1346" s="1" t="s">
        <v>607</v>
      </c>
      <c r="P1346" s="1" t="str">
        <f>_xlfn.CONCAT(B1346,C1346,D1346,E1346,F1346)</f>
        <v>BC Caiaponia2.1215KTL-H3(MBUS-12)46049,600694444446049,600694444446049,6805555556</v>
      </c>
      <c r="Q1346" s="1" t="str">
        <f>_xlfn.CONCAT(H1346,I1346,J1346)</f>
        <v>DAURDE</v>
      </c>
    </row>
    <row r="1347" spans="2:17">
      <c r="B1347" s="1" t="s">
        <v>487</v>
      </c>
      <c r="C1347" s="1" t="s">
        <v>378</v>
      </c>
      <c r="D1347" s="52">
        <v>46049.600694444445</v>
      </c>
      <c r="E1347" s="52">
        <v>46049.600694444445</v>
      </c>
      <c r="F1347" s="52">
        <v>46049.680555555555</v>
      </c>
      <c r="G1347" s="53">
        <f>F1347-E1347</f>
        <v>7.9861111109494232E-2</v>
      </c>
      <c r="H1347" s="1" t="s">
        <v>257</v>
      </c>
      <c r="J1347" s="1" t="s">
        <v>258</v>
      </c>
      <c r="K1347" s="1" t="s">
        <v>658</v>
      </c>
      <c r="L1347" s="1" t="s">
        <v>625</v>
      </c>
      <c r="M1347" s="1" t="s">
        <v>260</v>
      </c>
      <c r="N1347" s="1" t="s">
        <v>261</v>
      </c>
      <c r="O1347" s="1" t="s">
        <v>607</v>
      </c>
      <c r="P1347" s="1" t="str">
        <f>_xlfn.CONCAT(B1347,C1347,D1347,E1347,F1347)</f>
        <v>BC Caiaponia2.1215KTL-H3(MBUS-13)46049,600694444446049,600694444446049,6805555556</v>
      </c>
      <c r="Q1347" s="1" t="str">
        <f>_xlfn.CONCAT(H1347,I1347,J1347)</f>
        <v>DAURDE</v>
      </c>
    </row>
    <row r="1348" spans="2:17">
      <c r="B1348" s="1" t="s">
        <v>487</v>
      </c>
      <c r="C1348" s="1" t="s">
        <v>382</v>
      </c>
      <c r="D1348" s="52">
        <v>46049.600694444445</v>
      </c>
      <c r="E1348" s="52">
        <v>46049.600694444445</v>
      </c>
      <c r="F1348" s="52">
        <v>46049.680555555555</v>
      </c>
      <c r="G1348" s="53">
        <f>F1348-E1348</f>
        <v>7.9861111109494232E-2</v>
      </c>
      <c r="H1348" s="1" t="s">
        <v>257</v>
      </c>
      <c r="J1348" s="1" t="s">
        <v>258</v>
      </c>
      <c r="K1348" s="1" t="s">
        <v>658</v>
      </c>
      <c r="L1348" s="1" t="s">
        <v>625</v>
      </c>
      <c r="M1348" s="1" t="s">
        <v>260</v>
      </c>
      <c r="N1348" s="1" t="s">
        <v>261</v>
      </c>
      <c r="O1348" s="1" t="s">
        <v>607</v>
      </c>
      <c r="P1348" s="1" t="str">
        <f>_xlfn.CONCAT(B1348,C1348,D1348,E1348,F1348)</f>
        <v>BC Caiaponia2.1215KTL-H3(MBUS-14)46049,600694444446049,600694444446049,6805555556</v>
      </c>
      <c r="Q1348" s="1" t="str">
        <f>_xlfn.CONCAT(H1348,I1348,J1348)</f>
        <v>DAURDE</v>
      </c>
    </row>
    <row r="1349" spans="2:17">
      <c r="B1349" s="1" t="s">
        <v>487</v>
      </c>
      <c r="C1349" s="1" t="s">
        <v>380</v>
      </c>
      <c r="D1349" s="52">
        <v>46049.600694444445</v>
      </c>
      <c r="E1349" s="52">
        <v>46049.600694444445</v>
      </c>
      <c r="F1349" s="52">
        <v>46049.680555555555</v>
      </c>
      <c r="G1349" s="53">
        <f>F1349-E1349</f>
        <v>7.9861111109494232E-2</v>
      </c>
      <c r="H1349" s="1" t="s">
        <v>257</v>
      </c>
      <c r="J1349" s="1" t="s">
        <v>258</v>
      </c>
      <c r="K1349" s="1" t="s">
        <v>658</v>
      </c>
      <c r="L1349" s="1" t="s">
        <v>625</v>
      </c>
      <c r="M1349" s="1" t="s">
        <v>260</v>
      </c>
      <c r="N1349" s="1" t="s">
        <v>261</v>
      </c>
      <c r="O1349" s="1" t="s">
        <v>607</v>
      </c>
      <c r="P1349" s="1" t="str">
        <f>_xlfn.CONCAT(B1349,C1349,D1349,E1349,F1349)</f>
        <v>BC Caiaponia2.1215KTL-H3(MBUS-15)46049,600694444446049,600694444446049,6805555556</v>
      </c>
      <c r="Q1349" s="1" t="str">
        <f>_xlfn.CONCAT(H1349,I1349,J1349)</f>
        <v>DAURDE</v>
      </c>
    </row>
    <row r="1350" spans="2:17">
      <c r="B1350" s="1" t="s">
        <v>487</v>
      </c>
      <c r="C1350" s="1" t="s">
        <v>379</v>
      </c>
      <c r="D1350" s="52">
        <v>46049.600694444445</v>
      </c>
      <c r="E1350" s="52">
        <v>46049.600694444445</v>
      </c>
      <c r="F1350" s="52">
        <v>46049.680555555555</v>
      </c>
      <c r="G1350" s="53">
        <f>F1350-E1350</f>
        <v>7.9861111109494232E-2</v>
      </c>
      <c r="H1350" s="1" t="s">
        <v>257</v>
      </c>
      <c r="J1350" s="1" t="s">
        <v>258</v>
      </c>
      <c r="K1350" s="1" t="s">
        <v>658</v>
      </c>
      <c r="L1350" s="1" t="s">
        <v>625</v>
      </c>
      <c r="M1350" s="1" t="s">
        <v>260</v>
      </c>
      <c r="N1350" s="1" t="s">
        <v>261</v>
      </c>
      <c r="O1350" s="1" t="s">
        <v>607</v>
      </c>
      <c r="P1350" s="1" t="str">
        <f>_xlfn.CONCAT(B1350,C1350,D1350,E1350,F1350)</f>
        <v>BC Caiaponia2.1215KTL-H3(MBUS-16)46049,600694444446049,600694444446049,6805555556</v>
      </c>
      <c r="Q1350" s="1" t="str">
        <f>_xlfn.CONCAT(H1350,I1350,J1350)</f>
        <v>DAURDE</v>
      </c>
    </row>
    <row r="1351" spans="2:17">
      <c r="B1351" s="1" t="s">
        <v>583</v>
      </c>
      <c r="C1351" s="1" t="s">
        <v>377</v>
      </c>
      <c r="D1351" s="52">
        <v>46049.600694444445</v>
      </c>
      <c r="E1351" s="52">
        <v>46049.600694444445</v>
      </c>
      <c r="F1351" s="52">
        <v>46049.680555555555</v>
      </c>
      <c r="G1351" s="53">
        <f>F1351-E1351</f>
        <v>7.9861111109494232E-2</v>
      </c>
      <c r="H1351" s="1" t="s">
        <v>257</v>
      </c>
      <c r="J1351" s="1" t="s">
        <v>258</v>
      </c>
      <c r="K1351" s="1" t="s">
        <v>658</v>
      </c>
      <c r="L1351" s="1" t="s">
        <v>625</v>
      </c>
      <c r="M1351" s="1" t="s">
        <v>260</v>
      </c>
      <c r="N1351" s="1" t="s">
        <v>261</v>
      </c>
      <c r="O1351" s="1" t="s">
        <v>607</v>
      </c>
      <c r="P1351" s="1" t="str">
        <f>_xlfn.CONCAT(B1351,C1351,D1351,E1351,F1351)</f>
        <v>BC Caiaponia2.2215KTL-H3(MBUS-12)46049,600694444446049,600694444446049,6805555556</v>
      </c>
      <c r="Q1351" s="1" t="str">
        <f>_xlfn.CONCAT(H1351,I1351,J1351)</f>
        <v>DAURDE</v>
      </c>
    </row>
    <row r="1352" spans="2:17">
      <c r="B1352" s="1" t="s">
        <v>583</v>
      </c>
      <c r="C1352" s="1" t="s">
        <v>378</v>
      </c>
      <c r="D1352" s="52">
        <v>46049.600694444445</v>
      </c>
      <c r="E1352" s="52">
        <v>46049.600694444445</v>
      </c>
      <c r="F1352" s="52">
        <v>46049.680555555555</v>
      </c>
      <c r="G1352" s="53">
        <f>F1352-E1352</f>
        <v>7.9861111109494232E-2</v>
      </c>
      <c r="H1352" s="1" t="s">
        <v>257</v>
      </c>
      <c r="J1352" s="1" t="s">
        <v>258</v>
      </c>
      <c r="K1352" s="1" t="s">
        <v>658</v>
      </c>
      <c r="L1352" s="1" t="s">
        <v>625</v>
      </c>
      <c r="M1352" s="1" t="s">
        <v>260</v>
      </c>
      <c r="N1352" s="1" t="s">
        <v>261</v>
      </c>
      <c r="O1352" s="1" t="s">
        <v>607</v>
      </c>
      <c r="P1352" s="1" t="str">
        <f>_xlfn.CONCAT(B1352,C1352,D1352,E1352,F1352)</f>
        <v>BC Caiaponia2.2215KTL-H3(MBUS-13)46049,600694444446049,600694444446049,6805555556</v>
      </c>
      <c r="Q1352" s="1" t="str">
        <f>_xlfn.CONCAT(H1352,I1352,J1352)</f>
        <v>DAURDE</v>
      </c>
    </row>
    <row r="1353" spans="2:17">
      <c r="B1353" s="1" t="s">
        <v>583</v>
      </c>
      <c r="C1353" s="1" t="s">
        <v>382</v>
      </c>
      <c r="D1353" s="52">
        <v>46049.600694444445</v>
      </c>
      <c r="E1353" s="52">
        <v>46049.600694444445</v>
      </c>
      <c r="F1353" s="52">
        <v>46049.680555555555</v>
      </c>
      <c r="G1353" s="53">
        <f>F1353-E1353</f>
        <v>7.9861111109494232E-2</v>
      </c>
      <c r="H1353" s="1" t="s">
        <v>257</v>
      </c>
      <c r="J1353" s="1" t="s">
        <v>258</v>
      </c>
      <c r="K1353" s="1" t="s">
        <v>658</v>
      </c>
      <c r="L1353" s="1" t="s">
        <v>625</v>
      </c>
      <c r="M1353" s="1" t="s">
        <v>260</v>
      </c>
      <c r="N1353" s="1" t="s">
        <v>261</v>
      </c>
      <c r="O1353" s="1" t="s">
        <v>607</v>
      </c>
      <c r="P1353" s="1" t="str">
        <f>_xlfn.CONCAT(B1353,C1353,D1353,E1353,F1353)</f>
        <v>BC Caiaponia2.2215KTL-H3(MBUS-14)46049,600694444446049,600694444446049,6805555556</v>
      </c>
      <c r="Q1353" s="1" t="str">
        <f>_xlfn.CONCAT(H1353,I1353,J1353)</f>
        <v>DAURDE</v>
      </c>
    </row>
    <row r="1354" spans="2:17">
      <c r="B1354" s="1" t="s">
        <v>583</v>
      </c>
      <c r="C1354" s="1" t="s">
        <v>380</v>
      </c>
      <c r="D1354" s="52">
        <v>46049.600694444445</v>
      </c>
      <c r="E1354" s="52">
        <v>46049.600694444445</v>
      </c>
      <c r="F1354" s="52">
        <v>46049.680555555555</v>
      </c>
      <c r="G1354" s="53">
        <f>F1354-E1354</f>
        <v>7.9861111109494232E-2</v>
      </c>
      <c r="H1354" s="1" t="s">
        <v>257</v>
      </c>
      <c r="J1354" s="1" t="s">
        <v>258</v>
      </c>
      <c r="K1354" s="1" t="s">
        <v>658</v>
      </c>
      <c r="L1354" s="1" t="s">
        <v>625</v>
      </c>
      <c r="M1354" s="1" t="s">
        <v>260</v>
      </c>
      <c r="N1354" s="1" t="s">
        <v>261</v>
      </c>
      <c r="O1354" s="1" t="s">
        <v>607</v>
      </c>
      <c r="P1354" s="1" t="str">
        <f>_xlfn.CONCAT(B1354,C1354,D1354,E1354,F1354)</f>
        <v>BC Caiaponia2.2215KTL-H3(MBUS-15)46049,600694444446049,600694444446049,6805555556</v>
      </c>
      <c r="Q1354" s="1" t="str">
        <f>_xlfn.CONCAT(H1354,I1354,J1354)</f>
        <v>DAURDE</v>
      </c>
    </row>
    <row r="1355" spans="2:17">
      <c r="B1355" s="1" t="s">
        <v>583</v>
      </c>
      <c r="C1355" s="1" t="s">
        <v>379</v>
      </c>
      <c r="D1355" s="52">
        <v>46049.600694444445</v>
      </c>
      <c r="E1355" s="52">
        <v>46049.600694444445</v>
      </c>
      <c r="F1355" s="52">
        <v>46049.680555555555</v>
      </c>
      <c r="G1355" s="53">
        <f>F1355-E1355</f>
        <v>7.9861111109494232E-2</v>
      </c>
      <c r="H1355" s="1" t="s">
        <v>257</v>
      </c>
      <c r="J1355" s="1" t="s">
        <v>258</v>
      </c>
      <c r="K1355" s="1" t="s">
        <v>658</v>
      </c>
      <c r="L1355" s="1" t="s">
        <v>625</v>
      </c>
      <c r="M1355" s="1" t="s">
        <v>260</v>
      </c>
      <c r="N1355" s="1" t="s">
        <v>261</v>
      </c>
      <c r="O1355" s="1" t="s">
        <v>607</v>
      </c>
      <c r="P1355" s="1" t="str">
        <f>_xlfn.CONCAT(B1355,C1355,D1355,E1355,F1355)</f>
        <v>BC Caiaponia2.2215KTL-H3(MBUS-16)46049,600694444446049,600694444446049,6805555556</v>
      </c>
      <c r="Q1355" s="1" t="str">
        <f>_xlfn.CONCAT(H1355,I1355,J1355)</f>
        <v>DAURDE</v>
      </c>
    </row>
    <row r="1356" spans="2:17">
      <c r="B1356" s="1" t="s">
        <v>584</v>
      </c>
      <c r="C1356" s="1" t="s">
        <v>377</v>
      </c>
      <c r="D1356" s="52">
        <v>46049.600694444445</v>
      </c>
      <c r="E1356" s="52">
        <v>46049.600694444445</v>
      </c>
      <c r="F1356" s="52">
        <v>46049.680555555555</v>
      </c>
      <c r="G1356" s="53">
        <f>F1356-E1356</f>
        <v>7.9861111109494232E-2</v>
      </c>
      <c r="H1356" s="1" t="s">
        <v>257</v>
      </c>
      <c r="J1356" s="1" t="s">
        <v>258</v>
      </c>
      <c r="K1356" s="1" t="s">
        <v>658</v>
      </c>
      <c r="L1356" s="1" t="s">
        <v>625</v>
      </c>
      <c r="M1356" s="1" t="s">
        <v>260</v>
      </c>
      <c r="N1356" s="1" t="s">
        <v>261</v>
      </c>
      <c r="O1356" s="1" t="s">
        <v>607</v>
      </c>
      <c r="P1356" s="1" t="str">
        <f>_xlfn.CONCAT(B1356,C1356,D1356,E1356,F1356)</f>
        <v>BC Caiaponia2.3215KTL-H3(MBUS-12)46049,600694444446049,600694444446049,6805555556</v>
      </c>
      <c r="Q1356" s="1" t="str">
        <f>_xlfn.CONCAT(H1356,I1356,J1356)</f>
        <v>DAURDE</v>
      </c>
    </row>
    <row r="1357" spans="2:17">
      <c r="B1357" s="1" t="s">
        <v>584</v>
      </c>
      <c r="C1357" s="1" t="s">
        <v>378</v>
      </c>
      <c r="D1357" s="52">
        <v>46049.600694444445</v>
      </c>
      <c r="E1357" s="52">
        <v>46049.600694444445</v>
      </c>
      <c r="F1357" s="52">
        <v>46049.680555555555</v>
      </c>
      <c r="G1357" s="53">
        <f>F1357-E1357</f>
        <v>7.9861111109494232E-2</v>
      </c>
      <c r="H1357" s="1" t="s">
        <v>257</v>
      </c>
      <c r="J1357" s="1" t="s">
        <v>258</v>
      </c>
      <c r="K1357" s="1" t="s">
        <v>658</v>
      </c>
      <c r="L1357" s="1" t="s">
        <v>625</v>
      </c>
      <c r="M1357" s="1" t="s">
        <v>260</v>
      </c>
      <c r="N1357" s="1" t="s">
        <v>261</v>
      </c>
      <c r="O1357" s="1" t="s">
        <v>607</v>
      </c>
      <c r="P1357" s="1" t="str">
        <f>_xlfn.CONCAT(B1357,C1357,D1357,E1357,F1357)</f>
        <v>BC Caiaponia2.3215KTL-H3(MBUS-13)46049,600694444446049,600694444446049,6805555556</v>
      </c>
      <c r="Q1357" s="1" t="str">
        <f>_xlfn.CONCAT(H1357,I1357,J1357)</f>
        <v>DAURDE</v>
      </c>
    </row>
    <row r="1358" spans="2:17">
      <c r="B1358" s="1" t="s">
        <v>584</v>
      </c>
      <c r="C1358" s="1" t="s">
        <v>382</v>
      </c>
      <c r="D1358" s="52">
        <v>46049.600694444445</v>
      </c>
      <c r="E1358" s="52">
        <v>46049.600694444445</v>
      </c>
      <c r="F1358" s="52">
        <v>46049.680555555555</v>
      </c>
      <c r="G1358" s="53">
        <f>F1358-E1358</f>
        <v>7.9861111109494232E-2</v>
      </c>
      <c r="H1358" s="1" t="s">
        <v>257</v>
      </c>
      <c r="J1358" s="1" t="s">
        <v>258</v>
      </c>
      <c r="K1358" s="1" t="s">
        <v>658</v>
      </c>
      <c r="L1358" s="1" t="s">
        <v>625</v>
      </c>
      <c r="M1358" s="1" t="s">
        <v>260</v>
      </c>
      <c r="N1358" s="1" t="s">
        <v>261</v>
      </c>
      <c r="O1358" s="1" t="s">
        <v>607</v>
      </c>
      <c r="P1358" s="1" t="str">
        <f>_xlfn.CONCAT(B1358,C1358,D1358,E1358,F1358)</f>
        <v>BC Caiaponia2.3215KTL-H3(MBUS-14)46049,600694444446049,600694444446049,6805555556</v>
      </c>
      <c r="Q1358" s="1" t="str">
        <f>_xlfn.CONCAT(H1358,I1358,J1358)</f>
        <v>DAURDE</v>
      </c>
    </row>
    <row r="1359" spans="2:17">
      <c r="B1359" s="1" t="s">
        <v>584</v>
      </c>
      <c r="C1359" s="1" t="s">
        <v>380</v>
      </c>
      <c r="D1359" s="52">
        <v>46049.600694444445</v>
      </c>
      <c r="E1359" s="52">
        <v>46049.600694444445</v>
      </c>
      <c r="F1359" s="52">
        <v>46049.680555555555</v>
      </c>
      <c r="G1359" s="53">
        <f>F1359-E1359</f>
        <v>7.9861111109494232E-2</v>
      </c>
      <c r="H1359" s="1" t="s">
        <v>257</v>
      </c>
      <c r="J1359" s="1" t="s">
        <v>258</v>
      </c>
      <c r="K1359" s="1" t="s">
        <v>658</v>
      </c>
      <c r="L1359" s="1" t="s">
        <v>625</v>
      </c>
      <c r="M1359" s="1" t="s">
        <v>260</v>
      </c>
      <c r="N1359" s="1" t="s">
        <v>261</v>
      </c>
      <c r="O1359" s="1" t="s">
        <v>607</v>
      </c>
      <c r="P1359" s="1" t="str">
        <f>_xlfn.CONCAT(B1359,C1359,D1359,E1359,F1359)</f>
        <v>BC Caiaponia2.3215KTL-H3(MBUS-15)46049,600694444446049,600694444446049,6805555556</v>
      </c>
      <c r="Q1359" s="1" t="str">
        <f>_xlfn.CONCAT(H1359,I1359,J1359)</f>
        <v>DAURDE</v>
      </c>
    </row>
    <row r="1360" spans="2:17">
      <c r="B1360" s="1" t="s">
        <v>584</v>
      </c>
      <c r="C1360" s="1" t="s">
        <v>379</v>
      </c>
      <c r="D1360" s="52">
        <v>46049.600694444445</v>
      </c>
      <c r="E1360" s="52">
        <v>46049.600694444445</v>
      </c>
      <c r="F1360" s="52">
        <v>46049.680555555555</v>
      </c>
      <c r="G1360" s="53">
        <f>F1360-E1360</f>
        <v>7.9861111109494232E-2</v>
      </c>
      <c r="H1360" s="1" t="s">
        <v>257</v>
      </c>
      <c r="J1360" s="1" t="s">
        <v>258</v>
      </c>
      <c r="K1360" s="1" t="s">
        <v>658</v>
      </c>
      <c r="L1360" s="1" t="s">
        <v>625</v>
      </c>
      <c r="M1360" s="1" t="s">
        <v>260</v>
      </c>
      <c r="N1360" s="1" t="s">
        <v>261</v>
      </c>
      <c r="O1360" s="1" t="s">
        <v>607</v>
      </c>
      <c r="P1360" s="1" t="str">
        <f>_xlfn.CONCAT(B1360,C1360,D1360,E1360,F1360)</f>
        <v>BC Caiaponia2.3215KTL-H3(MBUS-16)46049,600694444446049,600694444446049,6805555556</v>
      </c>
      <c r="Q1360" s="1" t="str">
        <f>_xlfn.CONCAT(H1360,I1360,J1360)</f>
        <v>DAURDE</v>
      </c>
    </row>
    <row r="1361" spans="2:17">
      <c r="B1361" s="66" t="s">
        <v>456</v>
      </c>
      <c r="C1361" s="1" t="s">
        <v>457</v>
      </c>
      <c r="D1361" s="52">
        <v>46049.600694444445</v>
      </c>
      <c r="E1361" s="52">
        <v>46049.600694444445</v>
      </c>
      <c r="F1361" s="52">
        <v>46049.680555555555</v>
      </c>
      <c r="G1361" s="53">
        <f>F1361-E1361</f>
        <v>7.9861111109494232E-2</v>
      </c>
      <c r="H1361" s="1" t="s">
        <v>257</v>
      </c>
      <c r="J1361" s="1" t="s">
        <v>258</v>
      </c>
      <c r="K1361" s="1" t="s">
        <v>658</v>
      </c>
      <c r="L1361" s="1" t="s">
        <v>259</v>
      </c>
      <c r="M1361" s="1" t="s">
        <v>260</v>
      </c>
      <c r="N1361" s="1" t="s">
        <v>261</v>
      </c>
      <c r="O1361" s="1" t="s">
        <v>626</v>
      </c>
      <c r="P1361" s="1" t="str">
        <f>_xlfn.CONCAT(B1361,C1361,D1361,E1361,F1361)</f>
        <v>BC Caiaponia1SG60KTL(COM1-001)_001_00746049,600694444446049,600694444446049,6805555556</v>
      </c>
      <c r="Q1361" s="1" t="str">
        <f>_xlfn.CONCAT(H1361,I1361,J1361)</f>
        <v>DAURDE</v>
      </c>
    </row>
    <row r="1362" spans="2:17">
      <c r="B1362" s="66" t="s">
        <v>456</v>
      </c>
      <c r="C1362" s="1" t="s">
        <v>459</v>
      </c>
      <c r="D1362" s="52">
        <v>46049.600694444445</v>
      </c>
      <c r="E1362" s="52">
        <v>46049.600694444445</v>
      </c>
      <c r="F1362" s="52">
        <v>46049.680555555555</v>
      </c>
      <c r="G1362" s="53">
        <f>F1362-E1362</f>
        <v>7.9861111109494232E-2</v>
      </c>
      <c r="H1362" s="1" t="s">
        <v>257</v>
      </c>
      <c r="J1362" s="1" t="s">
        <v>258</v>
      </c>
      <c r="K1362" s="1" t="s">
        <v>658</v>
      </c>
      <c r="L1362" s="1" t="s">
        <v>259</v>
      </c>
      <c r="M1362" s="1" t="s">
        <v>260</v>
      </c>
      <c r="N1362" s="1" t="s">
        <v>261</v>
      </c>
      <c r="O1362" s="1" t="s">
        <v>626</v>
      </c>
      <c r="P1362" s="1" t="str">
        <f>_xlfn.CONCAT(B1362,C1362,D1362,E1362,F1362)</f>
        <v>BC Caiaponia1SG60KTL(COM1-002)_001_01046049,600694444446049,600694444446049,6805555556</v>
      </c>
      <c r="Q1362" s="1" t="str">
        <f>_xlfn.CONCAT(H1362,I1362,J1362)</f>
        <v>DAURDE</v>
      </c>
    </row>
    <row r="1363" spans="2:17">
      <c r="B1363" s="1" t="s">
        <v>456</v>
      </c>
      <c r="C1363" s="1" t="s">
        <v>460</v>
      </c>
      <c r="D1363" s="52">
        <v>46049.600694444445</v>
      </c>
      <c r="E1363" s="52">
        <v>46049.600694444445</v>
      </c>
      <c r="F1363" s="52">
        <v>46049.680555497682</v>
      </c>
      <c r="G1363" s="53">
        <f>F1363-E1363</f>
        <v>7.9861053236527368E-2</v>
      </c>
      <c r="H1363" s="1" t="s">
        <v>257</v>
      </c>
      <c r="J1363" s="1" t="s">
        <v>258</v>
      </c>
      <c r="K1363" s="1" t="s">
        <v>658</v>
      </c>
      <c r="L1363" s="1" t="s">
        <v>259</v>
      </c>
      <c r="M1363" s="1" t="s">
        <v>260</v>
      </c>
      <c r="N1363" s="1" t="s">
        <v>261</v>
      </c>
      <c r="O1363" s="1" t="s">
        <v>626</v>
      </c>
      <c r="P1363" s="1" t="str">
        <f>_xlfn.CONCAT(B1363,C1363,D1363,E1363,F1363)</f>
        <v>BC Caiaponia1SG60KTL(COM1-003)_001_01146049,600694444446049,600694444446049,6805554977</v>
      </c>
      <c r="Q1363" s="1" t="str">
        <f>_xlfn.CONCAT(H1363,I1363,J1363)</f>
        <v>DAURDE</v>
      </c>
    </row>
    <row r="1364" spans="2:17">
      <c r="B1364" s="1" t="s">
        <v>456</v>
      </c>
      <c r="C1364" s="1" t="s">
        <v>461</v>
      </c>
      <c r="D1364" s="52">
        <v>46049.600694444445</v>
      </c>
      <c r="E1364" s="52">
        <v>46049.600694444445</v>
      </c>
      <c r="F1364" s="52">
        <v>46049.680555497682</v>
      </c>
      <c r="G1364" s="53">
        <f>F1364-E1364</f>
        <v>7.9861053236527368E-2</v>
      </c>
      <c r="H1364" s="1" t="s">
        <v>257</v>
      </c>
      <c r="J1364" s="1" t="s">
        <v>258</v>
      </c>
      <c r="K1364" s="1" t="s">
        <v>658</v>
      </c>
      <c r="L1364" s="1" t="s">
        <v>259</v>
      </c>
      <c r="M1364" s="1" t="s">
        <v>260</v>
      </c>
      <c r="N1364" s="1" t="s">
        <v>261</v>
      </c>
      <c r="O1364" s="1" t="s">
        <v>626</v>
      </c>
      <c r="P1364" s="1" t="str">
        <f>_xlfn.CONCAT(B1364,C1364,D1364,E1364,F1364)</f>
        <v>BC Caiaponia1SG60KTL(COM1-004)_001_01446049,600694444446049,600694444446049,6805554977</v>
      </c>
      <c r="Q1364" s="1" t="str">
        <f>_xlfn.CONCAT(H1364,I1364,J1364)</f>
        <v>DAURDE</v>
      </c>
    </row>
    <row r="1365" spans="2:17">
      <c r="B1365" s="1" t="s">
        <v>456</v>
      </c>
      <c r="C1365" s="1" t="s">
        <v>462</v>
      </c>
      <c r="D1365" s="52">
        <v>46049.600694444445</v>
      </c>
      <c r="E1365" s="52">
        <v>46049.600694444445</v>
      </c>
      <c r="F1365" s="52">
        <v>46049.680555497682</v>
      </c>
      <c r="G1365" s="53">
        <f>F1365-E1365</f>
        <v>7.9861053236527368E-2</v>
      </c>
      <c r="H1365" s="1" t="s">
        <v>257</v>
      </c>
      <c r="J1365" s="1" t="s">
        <v>258</v>
      </c>
      <c r="K1365" s="1" t="s">
        <v>658</v>
      </c>
      <c r="L1365" s="1" t="s">
        <v>259</v>
      </c>
      <c r="M1365" s="1" t="s">
        <v>260</v>
      </c>
      <c r="N1365" s="1" t="s">
        <v>261</v>
      </c>
      <c r="O1365" s="1" t="s">
        <v>626</v>
      </c>
      <c r="P1365" s="1" t="str">
        <f>_xlfn.CONCAT(B1365,C1365,D1365,E1365,F1365)</f>
        <v>BC Caiaponia1SG60KTL(COM1-005)_001_01746049,600694444446049,600694444446049,6805554977</v>
      </c>
      <c r="Q1365" s="1" t="str">
        <f>_xlfn.CONCAT(H1365,I1365,J1365)</f>
        <v>DAURDE</v>
      </c>
    </row>
    <row r="1366" spans="2:17">
      <c r="B1366" s="1" t="s">
        <v>456</v>
      </c>
      <c r="C1366" s="1" t="s">
        <v>463</v>
      </c>
      <c r="D1366" s="52">
        <v>46049.600694444445</v>
      </c>
      <c r="E1366" s="52">
        <v>46049.600694444445</v>
      </c>
      <c r="F1366" s="52">
        <v>46049.680555497682</v>
      </c>
      <c r="G1366" s="53">
        <f>F1366-E1366</f>
        <v>7.9861053236527368E-2</v>
      </c>
      <c r="H1366" s="1" t="s">
        <v>257</v>
      </c>
      <c r="J1366" s="1" t="s">
        <v>258</v>
      </c>
      <c r="K1366" s="1" t="s">
        <v>658</v>
      </c>
      <c r="L1366" s="1" t="s">
        <v>259</v>
      </c>
      <c r="M1366" s="1" t="s">
        <v>260</v>
      </c>
      <c r="N1366" s="1" t="s">
        <v>261</v>
      </c>
      <c r="O1366" s="1" t="s">
        <v>626</v>
      </c>
      <c r="P1366" s="1" t="str">
        <f>_xlfn.CONCAT(B1366,C1366,D1366,E1366,F1366)</f>
        <v>BC Caiaponia1SG60KTL(COM1-006)_001_01646049,600694444446049,600694444446049,6805554977</v>
      </c>
      <c r="Q1366" s="1" t="str">
        <f>_xlfn.CONCAT(H1366,I1366,J1366)</f>
        <v>DAURDE</v>
      </c>
    </row>
    <row r="1367" spans="2:17">
      <c r="B1367" s="1" t="s">
        <v>456</v>
      </c>
      <c r="C1367" s="1" t="s">
        <v>464</v>
      </c>
      <c r="D1367" s="52">
        <v>46049.600694444445</v>
      </c>
      <c r="E1367" s="52">
        <v>46049.600694444445</v>
      </c>
      <c r="F1367" s="52">
        <v>46049.680555497682</v>
      </c>
      <c r="G1367" s="53">
        <f>F1367-E1367</f>
        <v>7.9861053236527368E-2</v>
      </c>
      <c r="H1367" s="1" t="s">
        <v>257</v>
      </c>
      <c r="J1367" s="1" t="s">
        <v>258</v>
      </c>
      <c r="K1367" s="1" t="s">
        <v>658</v>
      </c>
      <c r="L1367" s="1" t="s">
        <v>259</v>
      </c>
      <c r="M1367" s="1" t="s">
        <v>260</v>
      </c>
      <c r="N1367" s="1" t="s">
        <v>261</v>
      </c>
      <c r="O1367" s="1" t="s">
        <v>626</v>
      </c>
      <c r="P1367" s="1" t="str">
        <f>_xlfn.CONCAT(B1367,C1367,D1367,E1367,F1367)</f>
        <v>BC Caiaponia1SG60KTL(COM1-007)_001_01346049,600694444446049,600694444446049,6805554977</v>
      </c>
      <c r="Q1367" s="1" t="str">
        <f>_xlfn.CONCAT(H1367,I1367,J1367)</f>
        <v>DAURDE</v>
      </c>
    </row>
    <row r="1368" spans="2:17">
      <c r="B1368" s="1" t="s">
        <v>456</v>
      </c>
      <c r="C1368" s="1" t="s">
        <v>465</v>
      </c>
      <c r="D1368" s="52">
        <v>46049.600694444445</v>
      </c>
      <c r="E1368" s="52">
        <v>46049.600694444445</v>
      </c>
      <c r="F1368" s="52">
        <v>46049.680555497682</v>
      </c>
      <c r="G1368" s="53">
        <f>F1368-E1368</f>
        <v>7.9861053236527368E-2</v>
      </c>
      <c r="H1368" s="1" t="s">
        <v>257</v>
      </c>
      <c r="J1368" s="1" t="s">
        <v>258</v>
      </c>
      <c r="K1368" s="1" t="s">
        <v>658</v>
      </c>
      <c r="L1368" s="1" t="s">
        <v>259</v>
      </c>
      <c r="M1368" s="1" t="s">
        <v>260</v>
      </c>
      <c r="N1368" s="1" t="s">
        <v>261</v>
      </c>
      <c r="O1368" s="1" t="s">
        <v>626</v>
      </c>
      <c r="P1368" s="1" t="str">
        <f>_xlfn.CONCAT(B1368,C1368,D1368,E1368,F1368)</f>
        <v>BC Caiaponia1SG60KTL(COM1-008)_001_00146049,600694444446049,600694444446049,6805554977</v>
      </c>
      <c r="Q1368" s="1" t="str">
        <f>_xlfn.CONCAT(H1368,I1368,J1368)</f>
        <v>DAURDE</v>
      </c>
    </row>
    <row r="1369" spans="2:17">
      <c r="B1369" s="1" t="s">
        <v>456</v>
      </c>
      <c r="C1369" s="1" t="s">
        <v>466</v>
      </c>
      <c r="D1369" s="52">
        <v>46049.600694444445</v>
      </c>
      <c r="E1369" s="52">
        <v>46049.600694444445</v>
      </c>
      <c r="F1369" s="52">
        <v>46049.680555497682</v>
      </c>
      <c r="G1369" s="53">
        <f>F1369-E1369</f>
        <v>7.9861053236527368E-2</v>
      </c>
      <c r="H1369" s="1" t="s">
        <v>257</v>
      </c>
      <c r="J1369" s="1" t="s">
        <v>258</v>
      </c>
      <c r="K1369" s="1" t="s">
        <v>658</v>
      </c>
      <c r="L1369" s="1" t="s">
        <v>259</v>
      </c>
      <c r="M1369" s="1" t="s">
        <v>260</v>
      </c>
      <c r="N1369" s="1" t="s">
        <v>261</v>
      </c>
      <c r="O1369" s="1" t="s">
        <v>626</v>
      </c>
      <c r="P1369" s="1" t="str">
        <f>_xlfn.CONCAT(B1369,C1369,D1369,E1369,F1369)</f>
        <v>BC Caiaponia1SG60KTL(COM1-009)46049,600694444446049,600694444446049,6805554977</v>
      </c>
      <c r="Q1369" s="1" t="str">
        <f>_xlfn.CONCAT(H1369,I1369,J1369)</f>
        <v>DAURDE</v>
      </c>
    </row>
    <row r="1370" spans="2:17">
      <c r="B1370" s="1" t="s">
        <v>456</v>
      </c>
      <c r="C1370" s="1" t="s">
        <v>467</v>
      </c>
      <c r="D1370" s="52">
        <v>46049.600694444445</v>
      </c>
      <c r="E1370" s="52">
        <v>46049.600694444445</v>
      </c>
      <c r="F1370" s="52">
        <v>46049.680555497682</v>
      </c>
      <c r="G1370" s="53">
        <f>F1370-E1370</f>
        <v>7.9861053236527368E-2</v>
      </c>
      <c r="H1370" s="1" t="s">
        <v>257</v>
      </c>
      <c r="J1370" s="1" t="s">
        <v>258</v>
      </c>
      <c r="K1370" s="1" t="s">
        <v>658</v>
      </c>
      <c r="L1370" s="1" t="s">
        <v>259</v>
      </c>
      <c r="M1370" s="1" t="s">
        <v>260</v>
      </c>
      <c r="N1370" s="1" t="s">
        <v>261</v>
      </c>
      <c r="O1370" s="1" t="s">
        <v>626</v>
      </c>
      <c r="P1370" s="1" t="str">
        <f>_xlfn.CONCAT(B1370,C1370,D1370,E1370,F1370)</f>
        <v>BC Caiaponia1SG60KTL(COM1-010)46049,600694444446049,600694444446049,6805554977</v>
      </c>
      <c r="Q1370" s="1" t="str">
        <f>_xlfn.CONCAT(H1370,I1370,J1370)</f>
        <v>DAURDE</v>
      </c>
    </row>
    <row r="1371" spans="2:17">
      <c r="B1371" s="1" t="s">
        <v>456</v>
      </c>
      <c r="C1371" s="1" t="s">
        <v>468</v>
      </c>
      <c r="D1371" s="52">
        <v>46049.600694444445</v>
      </c>
      <c r="E1371" s="52">
        <v>46049.600694444445</v>
      </c>
      <c r="F1371" s="52">
        <v>46049.680555497682</v>
      </c>
      <c r="G1371" s="53">
        <f>F1371-E1371</f>
        <v>7.9861053236527368E-2</v>
      </c>
      <c r="H1371" s="1" t="s">
        <v>257</v>
      </c>
      <c r="J1371" s="1" t="s">
        <v>258</v>
      </c>
      <c r="K1371" s="1" t="s">
        <v>658</v>
      </c>
      <c r="L1371" s="1" t="s">
        <v>259</v>
      </c>
      <c r="M1371" s="1" t="s">
        <v>260</v>
      </c>
      <c r="N1371" s="1" t="s">
        <v>261</v>
      </c>
      <c r="O1371" s="1" t="s">
        <v>626</v>
      </c>
      <c r="P1371" s="1" t="str">
        <f>_xlfn.CONCAT(B1371,C1371,D1371,E1371,F1371)</f>
        <v>BC Caiaponia1SG60KTL(COM1-011)46049,600694444446049,600694444446049,6805554977</v>
      </c>
      <c r="Q1371" s="1" t="str">
        <f>_xlfn.CONCAT(H1371,I1371,J1371)</f>
        <v>DAURDE</v>
      </c>
    </row>
    <row r="1372" spans="2:17">
      <c r="B1372" s="1" t="s">
        <v>456</v>
      </c>
      <c r="C1372" s="1" t="s">
        <v>469</v>
      </c>
      <c r="D1372" s="52">
        <v>46049.600694444445</v>
      </c>
      <c r="E1372" s="52">
        <v>46049.600694444445</v>
      </c>
      <c r="F1372" s="52">
        <v>46049.680555497682</v>
      </c>
      <c r="G1372" s="53">
        <f>F1372-E1372</f>
        <v>7.9861053236527368E-2</v>
      </c>
      <c r="H1372" s="1" t="s">
        <v>257</v>
      </c>
      <c r="J1372" s="1" t="s">
        <v>258</v>
      </c>
      <c r="K1372" s="1" t="s">
        <v>658</v>
      </c>
      <c r="L1372" s="1" t="s">
        <v>259</v>
      </c>
      <c r="M1372" s="1" t="s">
        <v>260</v>
      </c>
      <c r="N1372" s="1" t="s">
        <v>261</v>
      </c>
      <c r="O1372" s="1" t="s">
        <v>626</v>
      </c>
      <c r="P1372" s="1" t="str">
        <f>_xlfn.CONCAT(B1372,C1372,D1372,E1372,F1372)</f>
        <v>BC Caiaponia1SG60KTL(COM1-012)46049,600694444446049,600694444446049,6805554977</v>
      </c>
      <c r="Q1372" s="1" t="str">
        <f>_xlfn.CONCAT(H1372,I1372,J1372)</f>
        <v>DAURDE</v>
      </c>
    </row>
    <row r="1373" spans="2:17">
      <c r="B1373" s="1" t="s">
        <v>456</v>
      </c>
      <c r="C1373" s="1" t="s">
        <v>470</v>
      </c>
      <c r="D1373" s="52">
        <v>46049.600694444445</v>
      </c>
      <c r="E1373" s="52">
        <v>46049.600694444445</v>
      </c>
      <c r="F1373" s="52">
        <v>46049.680555497682</v>
      </c>
      <c r="G1373" s="53">
        <f>F1373-E1373</f>
        <v>7.9861053236527368E-2</v>
      </c>
      <c r="H1373" s="1" t="s">
        <v>257</v>
      </c>
      <c r="J1373" s="1" t="s">
        <v>258</v>
      </c>
      <c r="K1373" s="1" t="s">
        <v>658</v>
      </c>
      <c r="L1373" s="1" t="s">
        <v>259</v>
      </c>
      <c r="M1373" s="1" t="s">
        <v>260</v>
      </c>
      <c r="N1373" s="1" t="s">
        <v>261</v>
      </c>
      <c r="O1373" s="1" t="s">
        <v>626</v>
      </c>
      <c r="P1373" s="1" t="str">
        <f>_xlfn.CONCAT(B1373,C1373,D1373,E1373,F1373)</f>
        <v>BC Caiaponia1SG60KTL(COM1-013)46049,600694444446049,600694444446049,6805554977</v>
      </c>
      <c r="Q1373" s="1" t="str">
        <f>_xlfn.CONCAT(H1373,I1373,J1373)</f>
        <v>DAURDE</v>
      </c>
    </row>
    <row r="1374" spans="2:17">
      <c r="B1374" s="1" t="s">
        <v>456</v>
      </c>
      <c r="C1374" s="1" t="s">
        <v>471</v>
      </c>
      <c r="D1374" s="52">
        <v>46049.600694444445</v>
      </c>
      <c r="E1374" s="52">
        <v>46049.600694444445</v>
      </c>
      <c r="F1374" s="52">
        <v>46049.680555497682</v>
      </c>
      <c r="G1374" s="53">
        <f>F1374-E1374</f>
        <v>7.9861053236527368E-2</v>
      </c>
      <c r="H1374" s="1" t="s">
        <v>257</v>
      </c>
      <c r="J1374" s="1" t="s">
        <v>258</v>
      </c>
      <c r="K1374" s="1" t="s">
        <v>658</v>
      </c>
      <c r="L1374" s="1" t="s">
        <v>259</v>
      </c>
      <c r="M1374" s="1" t="s">
        <v>260</v>
      </c>
      <c r="N1374" s="1" t="s">
        <v>261</v>
      </c>
      <c r="O1374" s="1" t="s">
        <v>626</v>
      </c>
      <c r="P1374" s="1" t="str">
        <f>_xlfn.CONCAT(B1374,C1374,D1374,E1374,F1374)</f>
        <v>BC Caiaponia1SG60KTL(COM1-014)46049,600694444446049,600694444446049,6805554977</v>
      </c>
      <c r="Q1374" s="1" t="str">
        <f>_xlfn.CONCAT(H1374,I1374,J1374)</f>
        <v>DAURDE</v>
      </c>
    </row>
    <row r="1375" spans="2:17">
      <c r="B1375" s="1" t="s">
        <v>456</v>
      </c>
      <c r="C1375" s="1" t="s">
        <v>472</v>
      </c>
      <c r="D1375" s="52">
        <v>46049.600694444445</v>
      </c>
      <c r="E1375" s="52">
        <v>46049.600694444445</v>
      </c>
      <c r="F1375" s="52">
        <v>46049.680555497682</v>
      </c>
      <c r="G1375" s="53">
        <f>F1375-E1375</f>
        <v>7.9861053236527368E-2</v>
      </c>
      <c r="H1375" s="1" t="s">
        <v>257</v>
      </c>
      <c r="J1375" s="1" t="s">
        <v>258</v>
      </c>
      <c r="K1375" s="1" t="s">
        <v>658</v>
      </c>
      <c r="L1375" s="1" t="s">
        <v>259</v>
      </c>
      <c r="M1375" s="1" t="s">
        <v>260</v>
      </c>
      <c r="N1375" s="1" t="s">
        <v>261</v>
      </c>
      <c r="O1375" s="1" t="s">
        <v>626</v>
      </c>
      <c r="P1375" s="1" t="str">
        <f>_xlfn.CONCAT(B1375,C1375,D1375,E1375,F1375)</f>
        <v>BC Caiaponia1SG60KTL(COM1-015)46049,600694444446049,600694444446049,6805554977</v>
      </c>
      <c r="Q1375" s="1" t="str">
        <f>_xlfn.CONCAT(H1375,I1375,J1375)</f>
        <v>DAURDE</v>
      </c>
    </row>
    <row r="1376" spans="2:17">
      <c r="B1376" s="1" t="s">
        <v>456</v>
      </c>
      <c r="C1376" s="1" t="s">
        <v>473</v>
      </c>
      <c r="D1376" s="52">
        <v>46049.600694444445</v>
      </c>
      <c r="E1376" s="52">
        <v>46049.600694444445</v>
      </c>
      <c r="F1376" s="52">
        <v>46049.680555497682</v>
      </c>
      <c r="G1376" s="53">
        <f>F1376-E1376</f>
        <v>7.9861053236527368E-2</v>
      </c>
      <c r="H1376" s="1" t="s">
        <v>257</v>
      </c>
      <c r="J1376" s="1" t="s">
        <v>258</v>
      </c>
      <c r="K1376" s="1" t="s">
        <v>658</v>
      </c>
      <c r="L1376" s="1" t="s">
        <v>259</v>
      </c>
      <c r="M1376" s="1" t="s">
        <v>260</v>
      </c>
      <c r="N1376" s="1" t="s">
        <v>261</v>
      </c>
      <c r="O1376" s="1" t="s">
        <v>626</v>
      </c>
      <c r="P1376" s="1" t="str">
        <f>_xlfn.CONCAT(B1376,C1376,D1376,E1376,F1376)</f>
        <v>BC Caiaponia1SG60KTL(COM3-016)_001_00946049,600694444446049,600694444446049,6805554977</v>
      </c>
      <c r="Q1376" s="1" t="str">
        <f>_xlfn.CONCAT(H1376,I1376,J1376)</f>
        <v>DAURDE</v>
      </c>
    </row>
    <row r="1377" spans="2:17">
      <c r="B1377" s="1" t="s">
        <v>456</v>
      </c>
      <c r="C1377" s="1" t="s">
        <v>474</v>
      </c>
      <c r="D1377" s="52">
        <v>46049.600694444445</v>
      </c>
      <c r="E1377" s="52">
        <v>46049.600694444445</v>
      </c>
      <c r="F1377" s="52">
        <v>46049.680555497682</v>
      </c>
      <c r="G1377" s="53">
        <f>F1377-E1377</f>
        <v>7.9861053236527368E-2</v>
      </c>
      <c r="H1377" s="1" t="s">
        <v>257</v>
      </c>
      <c r="J1377" s="1" t="s">
        <v>258</v>
      </c>
      <c r="K1377" s="1" t="s">
        <v>658</v>
      </c>
      <c r="L1377" s="1" t="s">
        <v>259</v>
      </c>
      <c r="M1377" s="1" t="s">
        <v>260</v>
      </c>
      <c r="N1377" s="1" t="s">
        <v>261</v>
      </c>
      <c r="O1377" s="1" t="s">
        <v>626</v>
      </c>
      <c r="P1377" s="1" t="str">
        <f>_xlfn.CONCAT(B1377,C1377,D1377,E1377,F1377)</f>
        <v>BC Caiaponia1SG60KTL(COM3-017)_001_01246049,600694444446049,600694444446049,6805554977</v>
      </c>
      <c r="Q1377" s="1" t="str">
        <f>_xlfn.CONCAT(H1377,I1377,J1377)</f>
        <v>DAURDE</v>
      </c>
    </row>
    <row r="1378" spans="2:17">
      <c r="B1378" s="1" t="s">
        <v>456</v>
      </c>
      <c r="C1378" s="1" t="s">
        <v>475</v>
      </c>
      <c r="D1378" s="52">
        <v>46049.600694444445</v>
      </c>
      <c r="E1378" s="52">
        <v>46049.600694444445</v>
      </c>
      <c r="F1378" s="52">
        <v>46049.680555497682</v>
      </c>
      <c r="G1378" s="53">
        <f>F1378-E1378</f>
        <v>7.9861053236527368E-2</v>
      </c>
      <c r="H1378" s="1" t="s">
        <v>257</v>
      </c>
      <c r="J1378" s="1" t="s">
        <v>258</v>
      </c>
      <c r="K1378" s="1" t="s">
        <v>658</v>
      </c>
      <c r="L1378" s="1" t="s">
        <v>259</v>
      </c>
      <c r="M1378" s="1" t="s">
        <v>260</v>
      </c>
      <c r="N1378" s="1" t="s">
        <v>261</v>
      </c>
      <c r="O1378" s="1" t="s">
        <v>626</v>
      </c>
      <c r="P1378" s="1" t="str">
        <f>_xlfn.CONCAT(B1378,C1378,D1378,E1378,F1378)</f>
        <v>BC Caiaponia1SG60KTL(COM3-018)_001_00846049,600694444446049,600694444446049,6805554977</v>
      </c>
      <c r="Q1378" s="1" t="str">
        <f>_xlfn.CONCAT(H1378,I1378,J1378)</f>
        <v>DAURDE</v>
      </c>
    </row>
    <row r="1379" spans="2:17">
      <c r="B1379" s="1" t="s">
        <v>456</v>
      </c>
      <c r="C1379" s="1" t="s">
        <v>476</v>
      </c>
      <c r="D1379" s="52">
        <v>46049.600694444445</v>
      </c>
      <c r="E1379" s="52">
        <v>46049.600694444445</v>
      </c>
      <c r="F1379" s="52">
        <v>46049.680555497682</v>
      </c>
      <c r="G1379" s="53">
        <f>F1379-E1379</f>
        <v>7.9861053236527368E-2</v>
      </c>
      <c r="H1379" s="1" t="s">
        <v>257</v>
      </c>
      <c r="J1379" s="1" t="s">
        <v>258</v>
      </c>
      <c r="K1379" s="1" t="s">
        <v>658</v>
      </c>
      <c r="L1379" s="1" t="s">
        <v>259</v>
      </c>
      <c r="M1379" s="1" t="s">
        <v>260</v>
      </c>
      <c r="N1379" s="1" t="s">
        <v>261</v>
      </c>
      <c r="O1379" s="1" t="s">
        <v>626</v>
      </c>
      <c r="P1379" s="1" t="str">
        <f>_xlfn.CONCAT(B1379,C1379,D1379,E1379,F1379)</f>
        <v>BC Caiaponia1SG60KTL(COM3-019)_001_01946049,600694444446049,600694444446049,6805554977</v>
      </c>
      <c r="Q1379" s="1" t="str">
        <f>_xlfn.CONCAT(H1379,I1379,J1379)</f>
        <v>DAURDE</v>
      </c>
    </row>
    <row r="1380" spans="2:17">
      <c r="B1380" s="1" t="s">
        <v>456</v>
      </c>
      <c r="C1380" s="1" t="s">
        <v>477</v>
      </c>
      <c r="D1380" s="52">
        <v>46049.600694444445</v>
      </c>
      <c r="E1380" s="52">
        <v>46049.600694444445</v>
      </c>
      <c r="F1380" s="52">
        <v>46049.680555497682</v>
      </c>
      <c r="G1380" s="53">
        <f>F1380-E1380</f>
        <v>7.9861053236527368E-2</v>
      </c>
      <c r="H1380" s="1" t="s">
        <v>257</v>
      </c>
      <c r="J1380" s="1" t="s">
        <v>258</v>
      </c>
      <c r="K1380" s="1" t="s">
        <v>658</v>
      </c>
      <c r="L1380" s="1" t="s">
        <v>259</v>
      </c>
      <c r="M1380" s="1" t="s">
        <v>260</v>
      </c>
      <c r="N1380" s="1" t="s">
        <v>261</v>
      </c>
      <c r="O1380" s="1" t="s">
        <v>626</v>
      </c>
      <c r="P1380" s="1" t="str">
        <f>_xlfn.CONCAT(B1380,C1380,D1380,E1380,F1380)</f>
        <v>BC Caiaponia1SG60KTL(COM3-020)_001_02046049,600694444446049,600694444446049,6805554977</v>
      </c>
      <c r="Q1380" s="1" t="str">
        <f>_xlfn.CONCAT(H1380,I1380,J1380)</f>
        <v>DAURDE</v>
      </c>
    </row>
    <row r="1381" spans="2:17">
      <c r="B1381" s="1" t="s">
        <v>456</v>
      </c>
      <c r="C1381" s="1" t="s">
        <v>478</v>
      </c>
      <c r="D1381" s="52">
        <v>46049.600694444445</v>
      </c>
      <c r="E1381" s="52">
        <v>46049.600694444445</v>
      </c>
      <c r="F1381" s="52">
        <v>46049.680555497682</v>
      </c>
      <c r="G1381" s="53">
        <f>F1381-E1381</f>
        <v>7.9861053236527368E-2</v>
      </c>
      <c r="H1381" s="1" t="s">
        <v>257</v>
      </c>
      <c r="J1381" s="1" t="s">
        <v>258</v>
      </c>
      <c r="K1381" s="1" t="s">
        <v>658</v>
      </c>
      <c r="L1381" s="1" t="s">
        <v>259</v>
      </c>
      <c r="M1381" s="1" t="s">
        <v>260</v>
      </c>
      <c r="N1381" s="1" t="s">
        <v>261</v>
      </c>
      <c r="O1381" s="1" t="s">
        <v>626</v>
      </c>
      <c r="P1381" s="1" t="str">
        <f>_xlfn.CONCAT(B1381,C1381,D1381,E1381,F1381)</f>
        <v>BC Caiaponia1SG60KTL(COM2-026)46049,600694444446049,600694444446049,6805554977</v>
      </c>
      <c r="Q1381" s="1" t="str">
        <f>_xlfn.CONCAT(H1381,I1381,J1381)</f>
        <v>DAURDE</v>
      </c>
    </row>
    <row r="1382" spans="2:17">
      <c r="B1382" s="1" t="s">
        <v>456</v>
      </c>
      <c r="C1382" s="1" t="s">
        <v>479</v>
      </c>
      <c r="D1382" s="52">
        <v>46049.600694444445</v>
      </c>
      <c r="E1382" s="52">
        <v>46049.600694444445</v>
      </c>
      <c r="F1382" s="52">
        <v>46049.680555497682</v>
      </c>
      <c r="G1382" s="53">
        <f>F1382-E1382</f>
        <v>7.9861053236527368E-2</v>
      </c>
      <c r="H1382" s="1" t="s">
        <v>257</v>
      </c>
      <c r="J1382" s="1" t="s">
        <v>258</v>
      </c>
      <c r="K1382" s="1" t="s">
        <v>658</v>
      </c>
      <c r="L1382" s="1" t="s">
        <v>259</v>
      </c>
      <c r="M1382" s="1" t="s">
        <v>260</v>
      </c>
      <c r="N1382" s="1" t="s">
        <v>261</v>
      </c>
      <c r="O1382" s="1" t="s">
        <v>626</v>
      </c>
      <c r="P1382" s="1" t="str">
        <f>_xlfn.CONCAT(B1382,C1382,D1382,E1382,F1382)</f>
        <v>BC Caiaponia1SG60KTL(COM2-027)46049,600694444446049,600694444446049,6805554977</v>
      </c>
      <c r="Q1382" s="1" t="str">
        <f>_xlfn.CONCAT(H1382,I1382,J1382)</f>
        <v>DAURDE</v>
      </c>
    </row>
    <row r="1383" spans="2:17">
      <c r="B1383" s="1" t="s">
        <v>456</v>
      </c>
      <c r="C1383" s="1" t="s">
        <v>480</v>
      </c>
      <c r="D1383" s="52">
        <v>46049.600694444445</v>
      </c>
      <c r="E1383" s="52">
        <v>46049.600694444445</v>
      </c>
      <c r="F1383" s="52">
        <v>46049.680555497682</v>
      </c>
      <c r="G1383" s="53">
        <f>F1383-E1383</f>
        <v>7.9861053236527368E-2</v>
      </c>
      <c r="H1383" s="1" t="s">
        <v>257</v>
      </c>
      <c r="J1383" s="1" t="s">
        <v>258</v>
      </c>
      <c r="K1383" s="1" t="s">
        <v>658</v>
      </c>
      <c r="L1383" s="1" t="s">
        <v>259</v>
      </c>
      <c r="M1383" s="1" t="s">
        <v>260</v>
      </c>
      <c r="N1383" s="1" t="s">
        <v>261</v>
      </c>
      <c r="O1383" s="1" t="s">
        <v>626</v>
      </c>
      <c r="P1383" s="1" t="str">
        <f>_xlfn.CONCAT(B1383,C1383,D1383,E1383,F1383)</f>
        <v>BC Caiaponia1SG60KTL(COM2-028)46049,600694444446049,600694444446049,6805554977</v>
      </c>
      <c r="Q1383" s="1" t="str">
        <f>_xlfn.CONCAT(H1383,I1383,J1383)</f>
        <v>DAURDE</v>
      </c>
    </row>
    <row r="1384" spans="2:17">
      <c r="B1384" s="1" t="s">
        <v>456</v>
      </c>
      <c r="C1384" s="1" t="s">
        <v>481</v>
      </c>
      <c r="D1384" s="52">
        <v>46049.600694444445</v>
      </c>
      <c r="E1384" s="52">
        <v>46049.600694444445</v>
      </c>
      <c r="F1384" s="52">
        <v>46049.680555497682</v>
      </c>
      <c r="G1384" s="53">
        <f>F1384-E1384</f>
        <v>7.9861053236527368E-2</v>
      </c>
      <c r="H1384" s="1" t="s">
        <v>257</v>
      </c>
      <c r="J1384" s="1" t="s">
        <v>258</v>
      </c>
      <c r="K1384" s="1" t="s">
        <v>658</v>
      </c>
      <c r="L1384" s="1" t="s">
        <v>259</v>
      </c>
      <c r="M1384" s="1" t="s">
        <v>260</v>
      </c>
      <c r="N1384" s="1" t="s">
        <v>261</v>
      </c>
      <c r="O1384" s="1" t="s">
        <v>626</v>
      </c>
      <c r="P1384" s="1" t="str">
        <f>_xlfn.CONCAT(B1384,C1384,D1384,E1384,F1384)</f>
        <v>BC Caiaponia1SG60KTL(COM2-029)46049,600694444446049,600694444446049,6805554977</v>
      </c>
      <c r="Q1384" s="1" t="str">
        <f>_xlfn.CONCAT(H1384,I1384,J1384)</f>
        <v>DAURDE</v>
      </c>
    </row>
    <row r="1385" spans="2:17">
      <c r="B1385" s="1" t="s">
        <v>456</v>
      </c>
      <c r="C1385" s="1" t="s">
        <v>482</v>
      </c>
      <c r="D1385" s="52">
        <v>46049.600694444445</v>
      </c>
      <c r="E1385" s="52">
        <v>46049.600694444445</v>
      </c>
      <c r="F1385" s="52">
        <v>46049.680555497682</v>
      </c>
      <c r="G1385" s="53">
        <f>F1385-E1385</f>
        <v>7.9861053236527368E-2</v>
      </c>
      <c r="H1385" s="1" t="s">
        <v>257</v>
      </c>
      <c r="J1385" s="1" t="s">
        <v>258</v>
      </c>
      <c r="K1385" s="1" t="s">
        <v>658</v>
      </c>
      <c r="L1385" s="1" t="s">
        <v>259</v>
      </c>
      <c r="M1385" s="1" t="s">
        <v>260</v>
      </c>
      <c r="N1385" s="1" t="s">
        <v>261</v>
      </c>
      <c r="O1385" s="1" t="s">
        <v>626</v>
      </c>
      <c r="P1385" s="1" t="str">
        <f>_xlfn.CONCAT(B1385,C1385,D1385,E1385,F1385)</f>
        <v>BC Caiaponia1SG50CX(COM1-021)46049,600694444446049,600694444446049,6805554977</v>
      </c>
      <c r="Q1385" s="1" t="str">
        <f>_xlfn.CONCAT(H1385,I1385,J1385)</f>
        <v>DAURDE</v>
      </c>
    </row>
    <row r="1386" spans="2:17">
      <c r="B1386" s="1" t="s">
        <v>456</v>
      </c>
      <c r="C1386" s="1" t="s">
        <v>483</v>
      </c>
      <c r="D1386" s="52">
        <v>46049.600694444445</v>
      </c>
      <c r="E1386" s="52">
        <v>46049.600694444445</v>
      </c>
      <c r="F1386" s="52">
        <v>46049.680555497682</v>
      </c>
      <c r="G1386" s="53">
        <f>F1386-E1386</f>
        <v>7.9861053236527368E-2</v>
      </c>
      <c r="H1386" s="1" t="s">
        <v>257</v>
      </c>
      <c r="J1386" s="1" t="s">
        <v>258</v>
      </c>
      <c r="K1386" s="1" t="s">
        <v>658</v>
      </c>
      <c r="L1386" s="1" t="s">
        <v>259</v>
      </c>
      <c r="M1386" s="1" t="s">
        <v>260</v>
      </c>
      <c r="N1386" s="1" t="s">
        <v>261</v>
      </c>
      <c r="O1386" s="1" t="s">
        <v>626</v>
      </c>
      <c r="P1386" s="1" t="str">
        <f>_xlfn.CONCAT(B1386,C1386,D1386,E1386,F1386)</f>
        <v>BC Caiaponia1SG50CX(COM1-022)46049,600694444446049,600694444446049,6805554977</v>
      </c>
      <c r="Q1386" s="1" t="str">
        <f>_xlfn.CONCAT(H1386,I1386,J1386)</f>
        <v>DAURDE</v>
      </c>
    </row>
    <row r="1387" spans="2:17">
      <c r="B1387" s="1" t="s">
        <v>456</v>
      </c>
      <c r="C1387" s="1" t="s">
        <v>484</v>
      </c>
      <c r="D1387" s="52">
        <v>46049.600694444445</v>
      </c>
      <c r="E1387" s="52">
        <v>46049.600694444445</v>
      </c>
      <c r="F1387" s="52">
        <v>46049.680555497682</v>
      </c>
      <c r="G1387" s="53">
        <f>F1387-E1387</f>
        <v>7.9861053236527368E-2</v>
      </c>
      <c r="H1387" s="1" t="s">
        <v>257</v>
      </c>
      <c r="J1387" s="1" t="s">
        <v>258</v>
      </c>
      <c r="K1387" s="1" t="s">
        <v>658</v>
      </c>
      <c r="L1387" s="1" t="s">
        <v>259</v>
      </c>
      <c r="M1387" s="1" t="s">
        <v>260</v>
      </c>
      <c r="N1387" s="1" t="s">
        <v>261</v>
      </c>
      <c r="O1387" s="1" t="s">
        <v>626</v>
      </c>
      <c r="P1387" s="1" t="str">
        <f>_xlfn.CONCAT(B1387,C1387,D1387,E1387,F1387)</f>
        <v>BC Caiaponia1SG50CX(COM1-023)46049,600694444446049,600694444446049,6805554977</v>
      </c>
      <c r="Q1387" s="1" t="str">
        <f>_xlfn.CONCAT(H1387,I1387,J1387)</f>
        <v>DAURDE</v>
      </c>
    </row>
    <row r="1388" spans="2:17">
      <c r="B1388" s="1" t="s">
        <v>456</v>
      </c>
      <c r="C1388" s="1" t="s">
        <v>485</v>
      </c>
      <c r="D1388" s="52">
        <v>46049.600694444445</v>
      </c>
      <c r="E1388" s="52">
        <v>46049.600694444445</v>
      </c>
      <c r="F1388" s="52">
        <v>46049.680555497682</v>
      </c>
      <c r="G1388" s="53">
        <f>F1388-E1388</f>
        <v>7.9861053236527368E-2</v>
      </c>
      <c r="H1388" s="1" t="s">
        <v>257</v>
      </c>
      <c r="J1388" s="1" t="s">
        <v>258</v>
      </c>
      <c r="K1388" s="1" t="s">
        <v>658</v>
      </c>
      <c r="L1388" s="1" t="s">
        <v>259</v>
      </c>
      <c r="M1388" s="1" t="s">
        <v>260</v>
      </c>
      <c r="N1388" s="1" t="s">
        <v>261</v>
      </c>
      <c r="O1388" s="1" t="s">
        <v>626</v>
      </c>
      <c r="P1388" s="1" t="str">
        <f>_xlfn.CONCAT(B1388,C1388,D1388,E1388,F1388)</f>
        <v>BC Caiaponia1SG50CX(COM1-024)46049,600694444446049,600694444446049,6805554977</v>
      </c>
      <c r="Q1388" s="1" t="str">
        <f>_xlfn.CONCAT(H1388,I1388,J1388)</f>
        <v>DAURDE</v>
      </c>
    </row>
    <row r="1389" spans="2:17">
      <c r="B1389" s="1" t="s">
        <v>456</v>
      </c>
      <c r="C1389" s="1" t="s">
        <v>486</v>
      </c>
      <c r="D1389" s="52">
        <v>46049.600694444445</v>
      </c>
      <c r="E1389" s="52">
        <v>46049.600694444445</v>
      </c>
      <c r="F1389" s="52">
        <v>46049.680555497682</v>
      </c>
      <c r="G1389" s="53">
        <f>F1389-E1389</f>
        <v>7.9861053236527368E-2</v>
      </c>
      <c r="H1389" s="1" t="s">
        <v>257</v>
      </c>
      <c r="J1389" s="1" t="s">
        <v>258</v>
      </c>
      <c r="K1389" s="1" t="s">
        <v>658</v>
      </c>
      <c r="L1389" s="1" t="s">
        <v>259</v>
      </c>
      <c r="M1389" s="1" t="s">
        <v>260</v>
      </c>
      <c r="N1389" s="1" t="s">
        <v>261</v>
      </c>
      <c r="O1389" s="1" t="s">
        <v>626</v>
      </c>
      <c r="P1389" s="1" t="str">
        <f>_xlfn.CONCAT(B1389,C1389,D1389,E1389,F1389)</f>
        <v>BC Caiaponia1SG50CX(COM1-025)46049,600694444446049,600694444446049,6805554977</v>
      </c>
      <c r="Q1389" s="1" t="str">
        <f>_xlfn.CONCAT(H1389,I1389,J1389)</f>
        <v>DAURDE</v>
      </c>
    </row>
    <row r="1390" spans="2:17">
      <c r="B1390" s="1" t="s">
        <v>487</v>
      </c>
      <c r="C1390" s="1" t="s">
        <v>377</v>
      </c>
      <c r="D1390" s="52">
        <v>46049.600694444445</v>
      </c>
      <c r="E1390" s="52">
        <v>46049.600694444445</v>
      </c>
      <c r="F1390" s="52">
        <v>46049.680555497682</v>
      </c>
      <c r="G1390" s="53">
        <f>F1390-E1390</f>
        <v>7.9861053236527368E-2</v>
      </c>
      <c r="H1390" s="1" t="s">
        <v>257</v>
      </c>
      <c r="J1390" s="1" t="s">
        <v>258</v>
      </c>
      <c r="K1390" s="1" t="s">
        <v>658</v>
      </c>
      <c r="L1390" s="1" t="s">
        <v>259</v>
      </c>
      <c r="M1390" s="1" t="s">
        <v>260</v>
      </c>
      <c r="N1390" s="1" t="s">
        <v>261</v>
      </c>
      <c r="O1390" s="1" t="s">
        <v>626</v>
      </c>
      <c r="P1390" s="1" t="str">
        <f>_xlfn.CONCAT(B1390,C1390,D1390,E1390,F1390)</f>
        <v>BC Caiaponia2.1215KTL-H3(MBUS-12)46049,600694444446049,600694444446049,6805554977</v>
      </c>
      <c r="Q1390" s="1" t="str">
        <f>_xlfn.CONCAT(H1390,I1390,J1390)</f>
        <v>DAURDE</v>
      </c>
    </row>
    <row r="1391" spans="2:17">
      <c r="B1391" s="1" t="s">
        <v>487</v>
      </c>
      <c r="C1391" s="1" t="s">
        <v>378</v>
      </c>
      <c r="D1391" s="52">
        <v>46049.600694444445</v>
      </c>
      <c r="E1391" s="52">
        <v>46049.600694444445</v>
      </c>
      <c r="F1391" s="52">
        <v>46049.680555497682</v>
      </c>
      <c r="G1391" s="53">
        <f>F1391-E1391</f>
        <v>7.9861053236527368E-2</v>
      </c>
      <c r="H1391" s="1" t="s">
        <v>257</v>
      </c>
      <c r="J1391" s="1" t="s">
        <v>258</v>
      </c>
      <c r="K1391" s="1" t="s">
        <v>658</v>
      </c>
      <c r="L1391" s="1" t="s">
        <v>259</v>
      </c>
      <c r="M1391" s="1" t="s">
        <v>260</v>
      </c>
      <c r="N1391" s="1" t="s">
        <v>261</v>
      </c>
      <c r="O1391" s="1" t="s">
        <v>626</v>
      </c>
      <c r="P1391" s="1" t="str">
        <f>_xlfn.CONCAT(B1391,C1391,D1391,E1391,F1391)</f>
        <v>BC Caiaponia2.1215KTL-H3(MBUS-13)46049,600694444446049,600694444446049,6805554977</v>
      </c>
      <c r="Q1391" s="1" t="str">
        <f>_xlfn.CONCAT(H1391,I1391,J1391)</f>
        <v>DAURDE</v>
      </c>
    </row>
    <row r="1392" spans="2:17">
      <c r="B1392" s="1" t="s">
        <v>487</v>
      </c>
      <c r="C1392" s="1" t="s">
        <v>382</v>
      </c>
      <c r="D1392" s="52">
        <v>46049.600694444445</v>
      </c>
      <c r="E1392" s="52">
        <v>46049.600694444445</v>
      </c>
      <c r="F1392" s="52">
        <v>46049.680555497682</v>
      </c>
      <c r="G1392" s="53">
        <f>F1392-E1392</f>
        <v>7.9861053236527368E-2</v>
      </c>
      <c r="H1392" s="1" t="s">
        <v>257</v>
      </c>
      <c r="J1392" s="1" t="s">
        <v>258</v>
      </c>
      <c r="K1392" s="1" t="s">
        <v>658</v>
      </c>
      <c r="L1392" s="1" t="s">
        <v>259</v>
      </c>
      <c r="M1392" s="1" t="s">
        <v>260</v>
      </c>
      <c r="N1392" s="1" t="s">
        <v>261</v>
      </c>
      <c r="O1392" s="1" t="s">
        <v>626</v>
      </c>
      <c r="P1392" s="1" t="str">
        <f>_xlfn.CONCAT(B1392,C1392,D1392,E1392,F1392)</f>
        <v>BC Caiaponia2.1215KTL-H3(MBUS-14)46049,600694444446049,600694444446049,6805554977</v>
      </c>
      <c r="Q1392" s="1" t="str">
        <f>_xlfn.CONCAT(H1392,I1392,J1392)</f>
        <v>DAURDE</v>
      </c>
    </row>
    <row r="1393" spans="2:17">
      <c r="B1393" s="1" t="s">
        <v>487</v>
      </c>
      <c r="C1393" s="1" t="s">
        <v>380</v>
      </c>
      <c r="D1393" s="52">
        <v>46049.600694444445</v>
      </c>
      <c r="E1393" s="52">
        <v>46049.600694444445</v>
      </c>
      <c r="F1393" s="52">
        <v>46049.680555497682</v>
      </c>
      <c r="G1393" s="53">
        <f>F1393-E1393</f>
        <v>7.9861053236527368E-2</v>
      </c>
      <c r="H1393" s="1" t="s">
        <v>257</v>
      </c>
      <c r="J1393" s="1" t="s">
        <v>258</v>
      </c>
      <c r="K1393" s="1" t="s">
        <v>658</v>
      </c>
      <c r="L1393" s="1" t="s">
        <v>259</v>
      </c>
      <c r="M1393" s="1" t="s">
        <v>260</v>
      </c>
      <c r="N1393" s="1" t="s">
        <v>261</v>
      </c>
      <c r="O1393" s="1" t="s">
        <v>626</v>
      </c>
      <c r="P1393" s="1" t="str">
        <f>_xlfn.CONCAT(B1393,C1393,D1393,E1393,F1393)</f>
        <v>BC Caiaponia2.1215KTL-H3(MBUS-15)46049,600694444446049,600694444446049,6805554977</v>
      </c>
      <c r="Q1393" s="1" t="str">
        <f>_xlfn.CONCAT(H1393,I1393,J1393)</f>
        <v>DAURDE</v>
      </c>
    </row>
    <row r="1394" spans="2:17">
      <c r="B1394" s="1" t="s">
        <v>487</v>
      </c>
      <c r="C1394" s="1" t="s">
        <v>379</v>
      </c>
      <c r="D1394" s="52">
        <v>46049.600694444445</v>
      </c>
      <c r="E1394" s="52">
        <v>46049.600694444445</v>
      </c>
      <c r="F1394" s="52">
        <v>46049.680555497682</v>
      </c>
      <c r="G1394" s="53">
        <f>F1394-E1394</f>
        <v>7.9861053236527368E-2</v>
      </c>
      <c r="H1394" s="1" t="s">
        <v>257</v>
      </c>
      <c r="J1394" s="1" t="s">
        <v>258</v>
      </c>
      <c r="K1394" s="1" t="s">
        <v>658</v>
      </c>
      <c r="L1394" s="1" t="s">
        <v>259</v>
      </c>
      <c r="M1394" s="1" t="s">
        <v>260</v>
      </c>
      <c r="N1394" s="1" t="s">
        <v>261</v>
      </c>
      <c r="O1394" s="1" t="s">
        <v>626</v>
      </c>
      <c r="P1394" s="1" t="str">
        <f>_xlfn.CONCAT(B1394,C1394,D1394,E1394,F1394)</f>
        <v>BC Caiaponia2.1215KTL-H3(MBUS-16)46049,600694444446049,600694444446049,6805554977</v>
      </c>
      <c r="Q1394" s="1" t="str">
        <f>_xlfn.CONCAT(H1394,I1394,J1394)</f>
        <v>DAURDE</v>
      </c>
    </row>
    <row r="1395" spans="2:17">
      <c r="B1395" s="1" t="s">
        <v>583</v>
      </c>
      <c r="C1395" s="1" t="s">
        <v>377</v>
      </c>
      <c r="D1395" s="52">
        <v>46049.600694444445</v>
      </c>
      <c r="E1395" s="52">
        <v>46049.600694444445</v>
      </c>
      <c r="F1395" s="52">
        <v>46049.680555497682</v>
      </c>
      <c r="G1395" s="53">
        <f>F1395-E1395</f>
        <v>7.9861053236527368E-2</v>
      </c>
      <c r="H1395" s="1" t="s">
        <v>257</v>
      </c>
      <c r="J1395" s="1" t="s">
        <v>258</v>
      </c>
      <c r="K1395" s="1" t="s">
        <v>658</v>
      </c>
      <c r="L1395" s="1" t="s">
        <v>259</v>
      </c>
      <c r="M1395" s="1" t="s">
        <v>260</v>
      </c>
      <c r="N1395" s="1" t="s">
        <v>261</v>
      </c>
      <c r="O1395" s="1" t="s">
        <v>626</v>
      </c>
      <c r="P1395" s="1" t="str">
        <f>_xlfn.CONCAT(B1395,C1395,D1395,E1395,F1395)</f>
        <v>BC Caiaponia2.2215KTL-H3(MBUS-12)46049,600694444446049,600694444446049,6805554977</v>
      </c>
      <c r="Q1395" s="1" t="str">
        <f>_xlfn.CONCAT(H1395,I1395,J1395)</f>
        <v>DAURDE</v>
      </c>
    </row>
    <row r="1396" spans="2:17">
      <c r="B1396" s="1" t="s">
        <v>583</v>
      </c>
      <c r="C1396" s="1" t="s">
        <v>378</v>
      </c>
      <c r="D1396" s="52">
        <v>46049.600694444445</v>
      </c>
      <c r="E1396" s="52">
        <v>46049.600694444445</v>
      </c>
      <c r="F1396" s="52">
        <v>46049.680555497682</v>
      </c>
      <c r="G1396" s="53">
        <f>F1396-E1396</f>
        <v>7.9861053236527368E-2</v>
      </c>
      <c r="H1396" s="1" t="s">
        <v>257</v>
      </c>
      <c r="J1396" s="1" t="s">
        <v>258</v>
      </c>
      <c r="K1396" s="1" t="s">
        <v>658</v>
      </c>
      <c r="L1396" s="1" t="s">
        <v>259</v>
      </c>
      <c r="M1396" s="1" t="s">
        <v>260</v>
      </c>
      <c r="N1396" s="1" t="s">
        <v>261</v>
      </c>
      <c r="O1396" s="1" t="s">
        <v>626</v>
      </c>
      <c r="P1396" s="1" t="str">
        <f>_xlfn.CONCAT(B1396,C1396,D1396,E1396,F1396)</f>
        <v>BC Caiaponia2.2215KTL-H3(MBUS-13)46049,600694444446049,600694444446049,6805554977</v>
      </c>
      <c r="Q1396" s="1" t="str">
        <f>_xlfn.CONCAT(H1396,I1396,J1396)</f>
        <v>DAURDE</v>
      </c>
    </row>
    <row r="1397" spans="2:17">
      <c r="B1397" s="1" t="s">
        <v>583</v>
      </c>
      <c r="C1397" s="1" t="s">
        <v>382</v>
      </c>
      <c r="D1397" s="52">
        <v>46049.600694444445</v>
      </c>
      <c r="E1397" s="52">
        <v>46049.600694444445</v>
      </c>
      <c r="F1397" s="52">
        <v>46049.680555497682</v>
      </c>
      <c r="G1397" s="53">
        <f>F1397-E1397</f>
        <v>7.9861053236527368E-2</v>
      </c>
      <c r="H1397" s="1" t="s">
        <v>257</v>
      </c>
      <c r="J1397" s="1" t="s">
        <v>258</v>
      </c>
      <c r="K1397" s="1" t="s">
        <v>658</v>
      </c>
      <c r="L1397" s="1" t="s">
        <v>259</v>
      </c>
      <c r="M1397" s="1" t="s">
        <v>260</v>
      </c>
      <c r="N1397" s="1" t="s">
        <v>261</v>
      </c>
      <c r="O1397" s="1" t="s">
        <v>626</v>
      </c>
      <c r="P1397" s="1" t="str">
        <f>_xlfn.CONCAT(B1397,C1397,D1397,E1397,F1397)</f>
        <v>BC Caiaponia2.2215KTL-H3(MBUS-14)46049,600694444446049,600694444446049,6805554977</v>
      </c>
      <c r="Q1397" s="1" t="str">
        <f>_xlfn.CONCAT(H1397,I1397,J1397)</f>
        <v>DAURDE</v>
      </c>
    </row>
    <row r="1398" spans="2:17">
      <c r="B1398" s="1" t="s">
        <v>583</v>
      </c>
      <c r="C1398" s="1" t="s">
        <v>380</v>
      </c>
      <c r="D1398" s="52">
        <v>46049.600694444445</v>
      </c>
      <c r="E1398" s="52">
        <v>46049.600694444445</v>
      </c>
      <c r="F1398" s="52">
        <v>46049.680555497682</v>
      </c>
      <c r="G1398" s="53">
        <f>F1398-E1398</f>
        <v>7.9861053236527368E-2</v>
      </c>
      <c r="H1398" s="1" t="s">
        <v>257</v>
      </c>
      <c r="J1398" s="1" t="s">
        <v>258</v>
      </c>
      <c r="K1398" s="1" t="s">
        <v>658</v>
      </c>
      <c r="L1398" s="1" t="s">
        <v>259</v>
      </c>
      <c r="M1398" s="1" t="s">
        <v>260</v>
      </c>
      <c r="N1398" s="1" t="s">
        <v>261</v>
      </c>
      <c r="O1398" s="1" t="s">
        <v>626</v>
      </c>
      <c r="P1398" s="1" t="str">
        <f>_xlfn.CONCAT(B1398,C1398,D1398,E1398,F1398)</f>
        <v>BC Caiaponia2.2215KTL-H3(MBUS-15)46049,600694444446049,600694444446049,6805554977</v>
      </c>
      <c r="Q1398" s="1" t="str">
        <f>_xlfn.CONCAT(H1398,I1398,J1398)</f>
        <v>DAURDE</v>
      </c>
    </row>
    <row r="1399" spans="2:17">
      <c r="B1399" s="1" t="s">
        <v>583</v>
      </c>
      <c r="C1399" s="1" t="s">
        <v>379</v>
      </c>
      <c r="D1399" s="52">
        <v>46049.600694444445</v>
      </c>
      <c r="E1399" s="52">
        <v>46049.600694444445</v>
      </c>
      <c r="F1399" s="52">
        <v>46049.680555497682</v>
      </c>
      <c r="G1399" s="53">
        <f>F1399-E1399</f>
        <v>7.9861053236527368E-2</v>
      </c>
      <c r="H1399" s="1" t="s">
        <v>257</v>
      </c>
      <c r="J1399" s="1" t="s">
        <v>258</v>
      </c>
      <c r="K1399" s="1" t="s">
        <v>658</v>
      </c>
      <c r="L1399" s="1" t="s">
        <v>259</v>
      </c>
      <c r="M1399" s="1" t="s">
        <v>260</v>
      </c>
      <c r="N1399" s="1" t="s">
        <v>261</v>
      </c>
      <c r="O1399" s="1" t="s">
        <v>626</v>
      </c>
      <c r="P1399" s="1" t="str">
        <f>_xlfn.CONCAT(B1399,C1399,D1399,E1399,F1399)</f>
        <v>BC Caiaponia2.2215KTL-H3(MBUS-16)46049,600694444446049,600694444446049,6805554977</v>
      </c>
      <c r="Q1399" s="1" t="str">
        <f>_xlfn.CONCAT(H1399,I1399,J1399)</f>
        <v>DAURDE</v>
      </c>
    </row>
    <row r="1400" spans="2:17">
      <c r="B1400" s="1" t="s">
        <v>584</v>
      </c>
      <c r="C1400" s="1" t="s">
        <v>377</v>
      </c>
      <c r="D1400" s="52">
        <v>46049.600694444445</v>
      </c>
      <c r="E1400" s="52">
        <v>46049.600694444445</v>
      </c>
      <c r="F1400" s="52">
        <v>46049.680555497682</v>
      </c>
      <c r="G1400" s="53">
        <f>F1400-E1400</f>
        <v>7.9861053236527368E-2</v>
      </c>
      <c r="H1400" s="1" t="s">
        <v>257</v>
      </c>
      <c r="J1400" s="1" t="s">
        <v>258</v>
      </c>
      <c r="K1400" s="1" t="s">
        <v>658</v>
      </c>
      <c r="L1400" s="1" t="s">
        <v>259</v>
      </c>
      <c r="M1400" s="1" t="s">
        <v>260</v>
      </c>
      <c r="N1400" s="1" t="s">
        <v>261</v>
      </c>
      <c r="O1400" s="1" t="s">
        <v>626</v>
      </c>
      <c r="P1400" s="1" t="str">
        <f>_xlfn.CONCAT(B1400,C1400,D1400,E1400,F1400)</f>
        <v>BC Caiaponia2.3215KTL-H3(MBUS-12)46049,600694444446049,600694444446049,6805554977</v>
      </c>
      <c r="Q1400" s="1" t="str">
        <f>_xlfn.CONCAT(H1400,I1400,J1400)</f>
        <v>DAURDE</v>
      </c>
    </row>
    <row r="1401" spans="2:17">
      <c r="B1401" s="1" t="s">
        <v>584</v>
      </c>
      <c r="C1401" s="1" t="s">
        <v>378</v>
      </c>
      <c r="D1401" s="52">
        <v>46049.600694444445</v>
      </c>
      <c r="E1401" s="52">
        <v>46049.600694444445</v>
      </c>
      <c r="F1401" s="52">
        <v>46049.680555497682</v>
      </c>
      <c r="G1401" s="53">
        <f>F1401-E1401</f>
        <v>7.9861053236527368E-2</v>
      </c>
      <c r="H1401" s="1" t="s">
        <v>257</v>
      </c>
      <c r="J1401" s="1" t="s">
        <v>258</v>
      </c>
      <c r="K1401" s="1" t="s">
        <v>658</v>
      </c>
      <c r="L1401" s="1" t="s">
        <v>259</v>
      </c>
      <c r="M1401" s="1" t="s">
        <v>260</v>
      </c>
      <c r="N1401" s="1" t="s">
        <v>261</v>
      </c>
      <c r="O1401" s="1" t="s">
        <v>626</v>
      </c>
      <c r="P1401" s="1" t="str">
        <f>_xlfn.CONCAT(B1401,C1401,D1401,E1401,F1401)</f>
        <v>BC Caiaponia2.3215KTL-H3(MBUS-13)46049,600694444446049,600694444446049,6805554977</v>
      </c>
      <c r="Q1401" s="1" t="str">
        <f>_xlfn.CONCAT(H1401,I1401,J1401)</f>
        <v>DAURDE</v>
      </c>
    </row>
    <row r="1402" spans="2:17">
      <c r="B1402" s="1" t="s">
        <v>584</v>
      </c>
      <c r="C1402" s="1" t="s">
        <v>382</v>
      </c>
      <c r="D1402" s="52">
        <v>46049.600694444445</v>
      </c>
      <c r="E1402" s="52">
        <v>46049.600694444445</v>
      </c>
      <c r="F1402" s="52">
        <v>46049.680555497682</v>
      </c>
      <c r="G1402" s="53">
        <f>F1402-E1402</f>
        <v>7.9861053236527368E-2</v>
      </c>
      <c r="H1402" s="1" t="s">
        <v>257</v>
      </c>
      <c r="J1402" s="1" t="s">
        <v>258</v>
      </c>
      <c r="K1402" s="1" t="s">
        <v>658</v>
      </c>
      <c r="L1402" s="1" t="s">
        <v>259</v>
      </c>
      <c r="M1402" s="1" t="s">
        <v>260</v>
      </c>
      <c r="N1402" s="1" t="s">
        <v>261</v>
      </c>
      <c r="O1402" s="1" t="s">
        <v>626</v>
      </c>
      <c r="P1402" s="1" t="str">
        <f>_xlfn.CONCAT(B1402,C1402,D1402,E1402,F1402)</f>
        <v>BC Caiaponia2.3215KTL-H3(MBUS-14)46049,600694444446049,600694444446049,6805554977</v>
      </c>
      <c r="Q1402" s="1" t="str">
        <f>_xlfn.CONCAT(H1402,I1402,J1402)</f>
        <v>DAURDE</v>
      </c>
    </row>
    <row r="1403" spans="2:17">
      <c r="B1403" s="1" t="s">
        <v>584</v>
      </c>
      <c r="C1403" s="1" t="s">
        <v>380</v>
      </c>
      <c r="D1403" s="52">
        <v>46049.600694444445</v>
      </c>
      <c r="E1403" s="52">
        <v>46049.600694444445</v>
      </c>
      <c r="F1403" s="52">
        <v>46049.680555497682</v>
      </c>
      <c r="G1403" s="53">
        <f>F1403-E1403</f>
        <v>7.9861053236527368E-2</v>
      </c>
      <c r="H1403" s="1" t="s">
        <v>257</v>
      </c>
      <c r="J1403" s="1" t="s">
        <v>258</v>
      </c>
      <c r="K1403" s="1" t="s">
        <v>658</v>
      </c>
      <c r="L1403" s="1" t="s">
        <v>259</v>
      </c>
      <c r="M1403" s="1" t="s">
        <v>260</v>
      </c>
      <c r="N1403" s="1" t="s">
        <v>261</v>
      </c>
      <c r="O1403" s="1" t="s">
        <v>626</v>
      </c>
      <c r="P1403" s="1" t="str">
        <f>_xlfn.CONCAT(B1403,C1403,D1403,E1403,F1403)</f>
        <v>BC Caiaponia2.3215KTL-H3(MBUS-15)46049,600694444446049,600694444446049,6805554977</v>
      </c>
      <c r="Q1403" s="1" t="str">
        <f>_xlfn.CONCAT(H1403,I1403,J1403)</f>
        <v>DAURDE</v>
      </c>
    </row>
    <row r="1404" spans="2:17">
      <c r="B1404" s="1" t="s">
        <v>584</v>
      </c>
      <c r="C1404" s="1" t="s">
        <v>379</v>
      </c>
      <c r="D1404" s="52">
        <v>46049.600694444445</v>
      </c>
      <c r="E1404" s="52">
        <v>46049.600694444445</v>
      </c>
      <c r="F1404" s="52">
        <v>46049.680555497682</v>
      </c>
      <c r="G1404" s="53">
        <f>F1404-E1404</f>
        <v>7.9861053236527368E-2</v>
      </c>
      <c r="H1404" s="1" t="s">
        <v>257</v>
      </c>
      <c r="J1404" s="1" t="s">
        <v>258</v>
      </c>
      <c r="K1404" s="1" t="s">
        <v>658</v>
      </c>
      <c r="L1404" s="1" t="s">
        <v>259</v>
      </c>
      <c r="M1404" s="1" t="s">
        <v>260</v>
      </c>
      <c r="N1404" s="1" t="s">
        <v>261</v>
      </c>
      <c r="O1404" s="1" t="s">
        <v>626</v>
      </c>
      <c r="P1404" s="1" t="str">
        <f>_xlfn.CONCAT(B1404,C1404,D1404,E1404,F1404)</f>
        <v>BC Caiaponia2.3215KTL-H3(MBUS-16)46049,600694444446049,600694444446049,6805554977</v>
      </c>
      <c r="Q1404" s="1" t="str">
        <f>_xlfn.CONCAT(H1404,I1404,J1404)</f>
        <v>DAURDE</v>
      </c>
    </row>
    <row r="1405" spans="2:17">
      <c r="B1405" s="1" t="s">
        <v>327</v>
      </c>
      <c r="C1405" s="1" t="s">
        <v>247</v>
      </c>
      <c r="D1405" s="52">
        <v>46049.628472222219</v>
      </c>
      <c r="E1405" s="52">
        <v>46049.628472222219</v>
      </c>
      <c r="F1405" s="52">
        <v>46049.770138888889</v>
      </c>
      <c r="G1405" s="53">
        <f>F1405-E1405</f>
        <v>0.14166666667006211</v>
      </c>
      <c r="H1405" s="1" t="s">
        <v>257</v>
      </c>
      <c r="J1405" s="1" t="s">
        <v>258</v>
      </c>
      <c r="K1405" s="1" t="s">
        <v>658</v>
      </c>
      <c r="L1405" s="1" t="s">
        <v>627</v>
      </c>
      <c r="M1405" s="1" t="s">
        <v>260</v>
      </c>
      <c r="N1405" s="1" t="s">
        <v>261</v>
      </c>
      <c r="O1405" s="1" t="s">
        <v>607</v>
      </c>
      <c r="P1405" s="1" t="str">
        <f>_xlfn.CONCAT(B1405,C1405,D1405,E1405,F1405)</f>
        <v>BC Aracu5.1Inverter(MBUS-1)46049,628472222246049,628472222246049,7701388889</v>
      </c>
      <c r="Q1405" s="1" t="str">
        <f>_xlfn.CONCAT(H1405,I1405,J1405)</f>
        <v>DAURDE</v>
      </c>
    </row>
    <row r="1406" spans="2:17">
      <c r="B1406" s="1" t="s">
        <v>246</v>
      </c>
      <c r="C1406" s="1" t="s">
        <v>247</v>
      </c>
      <c r="D1406" s="52">
        <v>46049.628472222219</v>
      </c>
      <c r="E1406" s="52">
        <v>46049.628472222219</v>
      </c>
      <c r="F1406" s="52">
        <v>46049.770138888889</v>
      </c>
      <c r="G1406" s="53">
        <f>F1406-E1406</f>
        <v>0.14166666667006211</v>
      </c>
      <c r="H1406" s="1" t="s">
        <v>257</v>
      </c>
      <c r="J1406" s="1" t="s">
        <v>258</v>
      </c>
      <c r="K1406" s="1" t="s">
        <v>658</v>
      </c>
      <c r="L1406" s="1" t="s">
        <v>627</v>
      </c>
      <c r="M1406" s="1" t="s">
        <v>260</v>
      </c>
      <c r="N1406" s="1" t="s">
        <v>261</v>
      </c>
      <c r="O1406" s="1" t="s">
        <v>607</v>
      </c>
      <c r="P1406" s="1" t="str">
        <f>_xlfn.CONCAT(B1406,C1406,D1406,E1406,F1406)</f>
        <v>BC Aracu5.2Inverter(MBUS-1)46049,628472222246049,628472222246049,7701388889</v>
      </c>
      <c r="Q1406" s="1" t="str">
        <f>_xlfn.CONCAT(H1406,I1406,J1406)</f>
        <v>DAURDE</v>
      </c>
    </row>
    <row r="1407" spans="2:17">
      <c r="B1407" s="1" t="s">
        <v>328</v>
      </c>
      <c r="C1407" s="1" t="s">
        <v>247</v>
      </c>
      <c r="D1407" s="52">
        <v>46049.628472222219</v>
      </c>
      <c r="E1407" s="52">
        <v>46049.628472222219</v>
      </c>
      <c r="F1407" s="52">
        <v>46049.770138888889</v>
      </c>
      <c r="G1407" s="53">
        <f>F1407-E1407</f>
        <v>0.14166666667006211</v>
      </c>
      <c r="H1407" s="1" t="s">
        <v>257</v>
      </c>
      <c r="J1407" s="1" t="s">
        <v>258</v>
      </c>
      <c r="K1407" s="1" t="s">
        <v>658</v>
      </c>
      <c r="L1407" s="1" t="s">
        <v>627</v>
      </c>
      <c r="M1407" s="1" t="s">
        <v>260</v>
      </c>
      <c r="N1407" s="1" t="s">
        <v>261</v>
      </c>
      <c r="O1407" s="1" t="s">
        <v>607</v>
      </c>
      <c r="P1407" s="1" t="str">
        <f>_xlfn.CONCAT(B1407,C1407,D1407,E1407,F1407)</f>
        <v>BC Aracu5.3Inverter(MBUS-1)46049,628472222246049,628472222246049,7701388889</v>
      </c>
      <c r="Q1407" s="1" t="str">
        <f>_xlfn.CONCAT(H1407,I1407,J1407)</f>
        <v>DAURDE</v>
      </c>
    </row>
    <row r="1408" spans="2:17">
      <c r="B1408" s="1" t="s">
        <v>329</v>
      </c>
      <c r="C1408" s="1" t="s">
        <v>247</v>
      </c>
      <c r="D1408" s="52">
        <v>46049.628472222219</v>
      </c>
      <c r="E1408" s="52">
        <v>46049.628472222219</v>
      </c>
      <c r="F1408" s="52">
        <v>46049.770138888889</v>
      </c>
      <c r="G1408" s="53">
        <f>F1408-E1408</f>
        <v>0.14166666667006211</v>
      </c>
      <c r="H1408" s="1" t="s">
        <v>257</v>
      </c>
      <c r="J1408" s="1" t="s">
        <v>258</v>
      </c>
      <c r="K1408" s="1" t="s">
        <v>658</v>
      </c>
      <c r="L1408" s="1" t="s">
        <v>627</v>
      </c>
      <c r="M1408" s="1" t="s">
        <v>260</v>
      </c>
      <c r="N1408" s="1" t="s">
        <v>261</v>
      </c>
      <c r="O1408" s="1" t="s">
        <v>607</v>
      </c>
      <c r="P1408" s="1" t="str">
        <f>_xlfn.CONCAT(B1408,C1408,D1408,E1408,F1408)</f>
        <v>BC Aracu5.4Inverter(MBUS-1)46049,628472222246049,628472222246049,7701388889</v>
      </c>
      <c r="Q1408" s="1" t="str">
        <f>_xlfn.CONCAT(H1408,I1408,J1408)</f>
        <v>DAURDE</v>
      </c>
    </row>
    <row r="1409" spans="2:17">
      <c r="B1409" s="1" t="s">
        <v>330</v>
      </c>
      <c r="C1409" s="1" t="s">
        <v>247</v>
      </c>
      <c r="D1409" s="52">
        <v>46049.628472222219</v>
      </c>
      <c r="E1409" s="52">
        <v>46049.628472222219</v>
      </c>
      <c r="F1409" s="52">
        <v>46049.770138888889</v>
      </c>
      <c r="G1409" s="53">
        <f>F1409-E1409</f>
        <v>0.14166666667006211</v>
      </c>
      <c r="H1409" s="1" t="s">
        <v>257</v>
      </c>
      <c r="J1409" s="1" t="s">
        <v>258</v>
      </c>
      <c r="K1409" s="1" t="s">
        <v>658</v>
      </c>
      <c r="L1409" s="1" t="s">
        <v>627</v>
      </c>
      <c r="M1409" s="1" t="s">
        <v>260</v>
      </c>
      <c r="N1409" s="1" t="s">
        <v>261</v>
      </c>
      <c r="O1409" s="1" t="s">
        <v>607</v>
      </c>
      <c r="P1409" s="1" t="str">
        <f>_xlfn.CONCAT(B1409,C1409,D1409,E1409,F1409)</f>
        <v>BC Aracu5.5Inverter(MBUS-1)46049,628472222246049,628472222246049,7701388889</v>
      </c>
      <c r="Q1409" s="1" t="str">
        <f>_xlfn.CONCAT(H1409,I1409,J1409)</f>
        <v>DAURDE</v>
      </c>
    </row>
    <row r="1410" spans="2:17">
      <c r="B1410" s="1" t="s">
        <v>255</v>
      </c>
      <c r="C1410" s="1" t="s">
        <v>256</v>
      </c>
      <c r="D1410" s="52">
        <v>46049.840277777781</v>
      </c>
      <c r="E1410" s="52">
        <v>46049.840277777781</v>
      </c>
      <c r="F1410" s="52">
        <v>46049.9375</v>
      </c>
      <c r="G1410" s="53">
        <f>F1410-E1410</f>
        <v>9.7222222218988463E-2</v>
      </c>
      <c r="H1410" s="1" t="s">
        <v>257</v>
      </c>
      <c r="J1410" s="1" t="s">
        <v>258</v>
      </c>
      <c r="K1410" s="1" t="s">
        <v>658</v>
      </c>
      <c r="L1410" s="1" t="s">
        <v>628</v>
      </c>
      <c r="M1410" s="1" t="s">
        <v>260</v>
      </c>
      <c r="N1410" s="1" t="s">
        <v>261</v>
      </c>
      <c r="O1410" s="1" t="s">
        <v>607</v>
      </c>
      <c r="P1410" s="1" t="str">
        <f>_xlfn.CONCAT(B1410,C1410,D1410,E1410,F1410)</f>
        <v>BC Formoso2.1Inverter(MBUS-12)46049,840277777846049,840277777846049,9375</v>
      </c>
      <c r="Q1410" s="1" t="str">
        <f>_xlfn.CONCAT(H1410,I1410,J1410)</f>
        <v>DAURDE</v>
      </c>
    </row>
    <row r="1411" spans="2:17">
      <c r="B1411" s="1" t="s">
        <v>255</v>
      </c>
      <c r="C1411" s="1" t="s">
        <v>263</v>
      </c>
      <c r="D1411" s="52">
        <v>46049.840277777781</v>
      </c>
      <c r="E1411" s="52">
        <v>46049.840277777781</v>
      </c>
      <c r="F1411" s="52">
        <v>46049.9375</v>
      </c>
      <c r="G1411" s="53">
        <f>F1411-E1411</f>
        <v>9.7222222218988463E-2</v>
      </c>
      <c r="H1411" s="1" t="s">
        <v>257</v>
      </c>
      <c r="J1411" s="1" t="s">
        <v>258</v>
      </c>
      <c r="K1411" s="1" t="s">
        <v>658</v>
      </c>
      <c r="L1411" s="1" t="s">
        <v>628</v>
      </c>
      <c r="M1411" s="1" t="s">
        <v>260</v>
      </c>
      <c r="N1411" s="1" t="s">
        <v>261</v>
      </c>
      <c r="O1411" s="1" t="s">
        <v>607</v>
      </c>
      <c r="P1411" s="1" t="str">
        <f>_xlfn.CONCAT(B1411,C1411,D1411,E1411,F1411)</f>
        <v>BC Formoso2.1Inverter(MBUS-14)46049,840277777846049,840277777846049,9375</v>
      </c>
      <c r="Q1411" s="1" t="str">
        <f>_xlfn.CONCAT(H1411,I1411,J1411)</f>
        <v>DAURDE</v>
      </c>
    </row>
    <row r="1412" spans="2:17">
      <c r="B1412" s="1" t="s">
        <v>255</v>
      </c>
      <c r="C1412" s="1" t="s">
        <v>264</v>
      </c>
      <c r="D1412" s="52">
        <v>46049.840277777781</v>
      </c>
      <c r="E1412" s="52">
        <v>46049.840277777781</v>
      </c>
      <c r="F1412" s="52">
        <v>46049.9375</v>
      </c>
      <c r="G1412" s="53">
        <f>F1412-E1412</f>
        <v>9.7222222218988463E-2</v>
      </c>
      <c r="H1412" s="1" t="s">
        <v>257</v>
      </c>
      <c r="J1412" s="1" t="s">
        <v>258</v>
      </c>
      <c r="K1412" s="1" t="s">
        <v>658</v>
      </c>
      <c r="L1412" s="1" t="s">
        <v>628</v>
      </c>
      <c r="M1412" s="1" t="s">
        <v>260</v>
      </c>
      <c r="N1412" s="1" t="s">
        <v>261</v>
      </c>
      <c r="O1412" s="1" t="s">
        <v>607</v>
      </c>
      <c r="P1412" s="1" t="str">
        <f>_xlfn.CONCAT(B1412,C1412,D1412,E1412,F1412)</f>
        <v>BC Formoso2.1Inverter(MBUS-13)46049,840277777846049,840277777846049,9375</v>
      </c>
      <c r="Q1412" s="1" t="str">
        <f>_xlfn.CONCAT(H1412,I1412,J1412)</f>
        <v>DAURDE</v>
      </c>
    </row>
    <row r="1413" spans="2:17">
      <c r="B1413" s="1" t="s">
        <v>255</v>
      </c>
      <c r="C1413" s="1" t="s">
        <v>247</v>
      </c>
      <c r="D1413" s="52">
        <v>46049.840277777781</v>
      </c>
      <c r="E1413" s="52">
        <v>46049.840277777781</v>
      </c>
      <c r="F1413" s="52">
        <v>46049.9375</v>
      </c>
      <c r="G1413" s="53">
        <f>F1413-E1413</f>
        <v>9.7222222218988463E-2</v>
      </c>
      <c r="H1413" s="1" t="s">
        <v>257</v>
      </c>
      <c r="J1413" s="1" t="s">
        <v>258</v>
      </c>
      <c r="K1413" s="1" t="s">
        <v>658</v>
      </c>
      <c r="L1413" s="1" t="s">
        <v>628</v>
      </c>
      <c r="M1413" s="1" t="s">
        <v>260</v>
      </c>
      <c r="N1413" s="1" t="s">
        <v>261</v>
      </c>
      <c r="O1413" s="1" t="s">
        <v>607</v>
      </c>
      <c r="P1413" s="1" t="str">
        <f>_xlfn.CONCAT(B1413,C1413,D1413,E1413,F1413)</f>
        <v>BC Formoso2.1Inverter(MBUS-1)46049,840277777846049,840277777846049,9375</v>
      </c>
      <c r="Q1413" s="1" t="str">
        <f>_xlfn.CONCAT(H1413,I1413,J1413)</f>
        <v>DAURDE</v>
      </c>
    </row>
    <row r="1414" spans="2:17">
      <c r="B1414" s="1" t="s">
        <v>265</v>
      </c>
      <c r="C1414" s="1" t="s">
        <v>263</v>
      </c>
      <c r="D1414" s="52">
        <v>46049.840277777781</v>
      </c>
      <c r="E1414" s="52">
        <v>46049.840277777781</v>
      </c>
      <c r="F1414" s="52">
        <v>46049.9375</v>
      </c>
      <c r="G1414" s="53">
        <f>F1414-E1414</f>
        <v>9.7222222218988463E-2</v>
      </c>
      <c r="H1414" s="1" t="s">
        <v>257</v>
      </c>
      <c r="J1414" s="1" t="s">
        <v>258</v>
      </c>
      <c r="K1414" s="1" t="s">
        <v>658</v>
      </c>
      <c r="L1414" s="1" t="s">
        <v>628</v>
      </c>
      <c r="M1414" s="1" t="s">
        <v>260</v>
      </c>
      <c r="N1414" s="1" t="s">
        <v>261</v>
      </c>
      <c r="O1414" s="1" t="s">
        <v>607</v>
      </c>
      <c r="P1414" s="1" t="str">
        <f>_xlfn.CONCAT(B1414,C1414,D1414,E1414,F1414)</f>
        <v>BC Formoso2.2Inverter(MBUS-14)46049,840277777846049,840277777846049,9375</v>
      </c>
      <c r="Q1414" s="1" t="str">
        <f>_xlfn.CONCAT(H1414,I1414,J1414)</f>
        <v>DAURDE</v>
      </c>
    </row>
    <row r="1415" spans="2:17">
      <c r="B1415" s="1" t="s">
        <v>265</v>
      </c>
      <c r="C1415" s="1" t="s">
        <v>264</v>
      </c>
      <c r="D1415" s="52">
        <v>46049.840277777781</v>
      </c>
      <c r="E1415" s="52">
        <v>46049.840277777781</v>
      </c>
      <c r="F1415" s="52">
        <v>46049.9375</v>
      </c>
      <c r="G1415" s="53">
        <f>F1415-E1415</f>
        <v>9.7222222218988463E-2</v>
      </c>
      <c r="H1415" s="1" t="s">
        <v>257</v>
      </c>
      <c r="J1415" s="1" t="s">
        <v>258</v>
      </c>
      <c r="K1415" s="1" t="s">
        <v>658</v>
      </c>
      <c r="L1415" s="1" t="s">
        <v>628</v>
      </c>
      <c r="M1415" s="1" t="s">
        <v>260</v>
      </c>
      <c r="N1415" s="1" t="s">
        <v>261</v>
      </c>
      <c r="O1415" s="1" t="s">
        <v>607</v>
      </c>
      <c r="P1415" s="1" t="str">
        <f>_xlfn.CONCAT(B1415,C1415,D1415,E1415,F1415)</f>
        <v>BC Formoso2.2Inverter(MBUS-13)46049,840277777846049,840277777846049,9375</v>
      </c>
      <c r="Q1415" s="1" t="str">
        <f>_xlfn.CONCAT(H1415,I1415,J1415)</f>
        <v>DAURDE</v>
      </c>
    </row>
    <row r="1416" spans="2:17">
      <c r="B1416" s="1" t="s">
        <v>265</v>
      </c>
      <c r="C1416" s="1" t="s">
        <v>256</v>
      </c>
      <c r="D1416" s="52">
        <v>46049.840277777781</v>
      </c>
      <c r="E1416" s="52">
        <v>46049.840277777781</v>
      </c>
      <c r="F1416" s="52">
        <v>46049.9375</v>
      </c>
      <c r="G1416" s="53">
        <f>F1416-E1416</f>
        <v>9.7222222218988463E-2</v>
      </c>
      <c r="H1416" s="1" t="s">
        <v>257</v>
      </c>
      <c r="J1416" s="1" t="s">
        <v>258</v>
      </c>
      <c r="K1416" s="1" t="s">
        <v>658</v>
      </c>
      <c r="L1416" s="1" t="s">
        <v>628</v>
      </c>
      <c r="M1416" s="1" t="s">
        <v>260</v>
      </c>
      <c r="N1416" s="1" t="s">
        <v>261</v>
      </c>
      <c r="O1416" s="1" t="s">
        <v>607</v>
      </c>
      <c r="P1416" s="1" t="str">
        <f>_xlfn.CONCAT(B1416,C1416,D1416,E1416,F1416)</f>
        <v>BC Formoso2.2Inverter(MBUS-12)46049,840277777846049,840277777846049,9375</v>
      </c>
      <c r="Q1416" s="1" t="str">
        <f>_xlfn.CONCAT(H1416,I1416,J1416)</f>
        <v>DAURDE</v>
      </c>
    </row>
    <row r="1417" spans="2:17">
      <c r="B1417" s="1" t="s">
        <v>265</v>
      </c>
      <c r="C1417" s="1" t="s">
        <v>247</v>
      </c>
      <c r="D1417" s="52">
        <v>46049.840277777781</v>
      </c>
      <c r="E1417" s="52">
        <v>46049.840277777781</v>
      </c>
      <c r="F1417" s="52">
        <v>46049.9375</v>
      </c>
      <c r="G1417" s="53">
        <f>F1417-E1417</f>
        <v>9.7222222218988463E-2</v>
      </c>
      <c r="H1417" s="1" t="s">
        <v>257</v>
      </c>
      <c r="J1417" s="1" t="s">
        <v>258</v>
      </c>
      <c r="K1417" s="1" t="s">
        <v>658</v>
      </c>
      <c r="L1417" s="1" t="s">
        <v>628</v>
      </c>
      <c r="M1417" s="1" t="s">
        <v>260</v>
      </c>
      <c r="N1417" s="1" t="s">
        <v>261</v>
      </c>
      <c r="O1417" s="1" t="s">
        <v>607</v>
      </c>
      <c r="P1417" s="1" t="str">
        <f>_xlfn.CONCAT(B1417,C1417,D1417,E1417,F1417)</f>
        <v>BC Formoso2.2Inverter(MBUS-1)46049,840277777846049,840277777846049,9375</v>
      </c>
      <c r="Q1417" s="1" t="str">
        <f>_xlfn.CONCAT(H1417,I1417,J1417)</f>
        <v>DAURDE</v>
      </c>
    </row>
    <row r="1418" spans="2:17">
      <c r="B1418" s="1" t="s">
        <v>355</v>
      </c>
      <c r="C1418" s="1" t="s">
        <v>264</v>
      </c>
      <c r="D1418" s="52">
        <v>46049.840277777781</v>
      </c>
      <c r="E1418" s="52">
        <v>46049.840277777781</v>
      </c>
      <c r="F1418" s="52">
        <v>46049.9375</v>
      </c>
      <c r="G1418" s="53">
        <f>F1418-E1418</f>
        <v>9.7222222218988463E-2</v>
      </c>
      <c r="H1418" s="1" t="s">
        <v>257</v>
      </c>
      <c r="J1418" s="1" t="s">
        <v>258</v>
      </c>
      <c r="K1418" s="1" t="s">
        <v>658</v>
      </c>
      <c r="L1418" s="1" t="s">
        <v>628</v>
      </c>
      <c r="M1418" s="1" t="s">
        <v>260</v>
      </c>
      <c r="N1418" s="1" t="s">
        <v>261</v>
      </c>
      <c r="O1418" s="1" t="s">
        <v>607</v>
      </c>
      <c r="P1418" s="1" t="str">
        <f>_xlfn.CONCAT(B1418,C1418,D1418,E1418,F1418)</f>
        <v>BC Formoso2.3Inverter(MBUS-13)46049,840277777846049,840277777846049,9375</v>
      </c>
      <c r="Q1418" s="1" t="str">
        <f>_xlfn.CONCAT(H1418,I1418,J1418)</f>
        <v>DAURDE</v>
      </c>
    </row>
    <row r="1419" spans="2:17">
      <c r="B1419" s="1" t="s">
        <v>355</v>
      </c>
      <c r="C1419" s="1" t="s">
        <v>256</v>
      </c>
      <c r="D1419" s="52">
        <v>46049.840277777781</v>
      </c>
      <c r="E1419" s="52">
        <v>46049.840277777781</v>
      </c>
      <c r="F1419" s="52">
        <v>46049.9375</v>
      </c>
      <c r="G1419" s="53">
        <f>F1419-E1419</f>
        <v>9.7222222218988463E-2</v>
      </c>
      <c r="H1419" s="1" t="s">
        <v>257</v>
      </c>
      <c r="J1419" s="1" t="s">
        <v>258</v>
      </c>
      <c r="K1419" s="1" t="s">
        <v>658</v>
      </c>
      <c r="L1419" s="1" t="s">
        <v>628</v>
      </c>
      <c r="M1419" s="1" t="s">
        <v>260</v>
      </c>
      <c r="N1419" s="1" t="s">
        <v>261</v>
      </c>
      <c r="O1419" s="1" t="s">
        <v>607</v>
      </c>
      <c r="P1419" s="1" t="str">
        <f>_xlfn.CONCAT(B1419,C1419,D1419,E1419,F1419)</f>
        <v>BC Formoso2.3Inverter(MBUS-12)46049,840277777846049,840277777846049,9375</v>
      </c>
      <c r="Q1419" s="1" t="str">
        <f>_xlfn.CONCAT(H1419,I1419,J1419)</f>
        <v>DAURDE</v>
      </c>
    </row>
    <row r="1420" spans="2:17">
      <c r="B1420" s="1" t="s">
        <v>305</v>
      </c>
      <c r="C1420" s="1" t="s">
        <v>256</v>
      </c>
      <c r="D1420" s="52">
        <v>46049.9375</v>
      </c>
      <c r="E1420" s="52">
        <v>46049.9375</v>
      </c>
      <c r="F1420" s="52">
        <v>46050.332638888889</v>
      </c>
      <c r="G1420" s="53">
        <f>F1420-E1420</f>
        <v>0.39513888888905058</v>
      </c>
      <c r="H1420" s="1" t="s">
        <v>257</v>
      </c>
      <c r="J1420" s="1" t="s">
        <v>258</v>
      </c>
      <c r="K1420" s="1" t="s">
        <v>658</v>
      </c>
      <c r="L1420" s="1" t="s">
        <v>629</v>
      </c>
      <c r="M1420" s="1" t="s">
        <v>260</v>
      </c>
      <c r="N1420" s="1" t="s">
        <v>261</v>
      </c>
      <c r="O1420" s="1" t="s">
        <v>607</v>
      </c>
      <c r="P1420" s="1" t="str">
        <f>_xlfn.CONCAT(B1420,C1420,D1420,E1420,F1420)</f>
        <v>ARAGUATINS 1.1Inverter(MBUS-12)46049,937546049,937546050,3326388889</v>
      </c>
      <c r="Q1420" s="1" t="str">
        <f>_xlfn.CONCAT(H1420,I1420,J1420)</f>
        <v>DAURDE</v>
      </c>
    </row>
    <row r="1421" spans="2:17">
      <c r="B1421" s="1" t="s">
        <v>305</v>
      </c>
      <c r="C1421" s="1" t="s">
        <v>264</v>
      </c>
      <c r="D1421" s="52">
        <v>46049.9375</v>
      </c>
      <c r="E1421" s="52">
        <v>46049.9375</v>
      </c>
      <c r="F1421" s="52">
        <v>46050.332638888889</v>
      </c>
      <c r="G1421" s="53">
        <f>F1421-E1421</f>
        <v>0.39513888888905058</v>
      </c>
      <c r="H1421" s="1" t="s">
        <v>257</v>
      </c>
      <c r="J1421" s="1" t="s">
        <v>258</v>
      </c>
      <c r="K1421" s="1" t="s">
        <v>658</v>
      </c>
      <c r="L1421" s="1" t="s">
        <v>629</v>
      </c>
      <c r="M1421" s="1" t="s">
        <v>260</v>
      </c>
      <c r="N1421" s="1" t="s">
        <v>261</v>
      </c>
      <c r="O1421" s="1" t="s">
        <v>607</v>
      </c>
      <c r="P1421" s="1" t="str">
        <f>_xlfn.CONCAT(B1421,C1421,D1421,E1421,F1421)</f>
        <v>ARAGUATINS 1.1Inverter(MBUS-13)46049,937546049,937546050,3326388889</v>
      </c>
      <c r="Q1421" s="1" t="str">
        <f>_xlfn.CONCAT(H1421,I1421,J1421)</f>
        <v>DAURDE</v>
      </c>
    </row>
    <row r="1422" spans="2:17">
      <c r="B1422" s="1" t="s">
        <v>305</v>
      </c>
      <c r="C1422" s="1" t="s">
        <v>263</v>
      </c>
      <c r="D1422" s="52">
        <v>46049.9375</v>
      </c>
      <c r="E1422" s="52">
        <v>46049.9375</v>
      </c>
      <c r="F1422" s="52">
        <v>46050.332638888889</v>
      </c>
      <c r="G1422" s="53">
        <f>F1422-E1422</f>
        <v>0.39513888888905058</v>
      </c>
      <c r="H1422" s="1" t="s">
        <v>257</v>
      </c>
      <c r="J1422" s="1" t="s">
        <v>258</v>
      </c>
      <c r="K1422" s="1" t="s">
        <v>658</v>
      </c>
      <c r="L1422" s="1" t="s">
        <v>629</v>
      </c>
      <c r="M1422" s="1" t="s">
        <v>260</v>
      </c>
      <c r="N1422" s="1" t="s">
        <v>261</v>
      </c>
      <c r="O1422" s="1" t="s">
        <v>607</v>
      </c>
      <c r="P1422" s="1" t="str">
        <f>_xlfn.CONCAT(B1422,C1422,D1422,E1422,F1422)</f>
        <v>ARAGUATINS 1.1Inverter(MBUS-14)46049,937546049,937546050,3326388889</v>
      </c>
      <c r="Q1422" s="1" t="str">
        <f>_xlfn.CONCAT(H1422,I1422,J1422)</f>
        <v>DAURDE</v>
      </c>
    </row>
    <row r="1423" spans="2:17">
      <c r="B1423" s="1" t="s">
        <v>305</v>
      </c>
      <c r="C1423" s="1" t="s">
        <v>307</v>
      </c>
      <c r="D1423" s="52">
        <v>46049.9375</v>
      </c>
      <c r="E1423" s="52">
        <v>46049.9375</v>
      </c>
      <c r="F1423" s="52">
        <v>46050.332638888889</v>
      </c>
      <c r="G1423" s="53">
        <f>F1423-E1423</f>
        <v>0.39513888888905058</v>
      </c>
      <c r="H1423" s="1" t="s">
        <v>257</v>
      </c>
      <c r="J1423" s="1" t="s">
        <v>258</v>
      </c>
      <c r="K1423" s="1" t="s">
        <v>658</v>
      </c>
      <c r="L1423" s="1" t="s">
        <v>629</v>
      </c>
      <c r="M1423" s="1" t="s">
        <v>260</v>
      </c>
      <c r="N1423" s="1" t="s">
        <v>261</v>
      </c>
      <c r="O1423" s="1" t="s">
        <v>607</v>
      </c>
      <c r="P1423" s="1" t="str">
        <f>_xlfn.CONCAT(B1423,C1423,D1423,E1423,F1423)</f>
        <v>ARAGUATINS 1.1Inverter(MBUS-15)46049,937546049,937546050,3326388889</v>
      </c>
      <c r="Q1423" s="1" t="str">
        <f>_xlfn.CONCAT(H1423,I1423,J1423)</f>
        <v>DAURDE</v>
      </c>
    </row>
    <row r="1424" spans="2:17">
      <c r="B1424" s="1" t="s">
        <v>308</v>
      </c>
      <c r="C1424" s="1" t="s">
        <v>256</v>
      </c>
      <c r="D1424" s="52">
        <v>46049.9375</v>
      </c>
      <c r="E1424" s="52">
        <v>46049.9375</v>
      </c>
      <c r="F1424" s="52">
        <v>46050.332638888889</v>
      </c>
      <c r="G1424" s="53">
        <f>F1424-E1424</f>
        <v>0.39513888888905058</v>
      </c>
      <c r="H1424" s="1" t="s">
        <v>257</v>
      </c>
      <c r="J1424" s="1" t="s">
        <v>258</v>
      </c>
      <c r="K1424" s="1" t="s">
        <v>658</v>
      </c>
      <c r="L1424" s="1" t="s">
        <v>629</v>
      </c>
      <c r="M1424" s="1" t="s">
        <v>260</v>
      </c>
      <c r="N1424" s="1" t="s">
        <v>261</v>
      </c>
      <c r="O1424" s="1" t="s">
        <v>607</v>
      </c>
      <c r="P1424" s="1" t="str">
        <f>_xlfn.CONCAT(B1424,C1424,D1424,E1424,F1424)</f>
        <v>ARAGUATINS 1.2Inverter(MBUS-12)46049,937546049,937546050,3326388889</v>
      </c>
      <c r="Q1424" s="1" t="str">
        <f>_xlfn.CONCAT(H1424,I1424,J1424)</f>
        <v>DAURDE</v>
      </c>
    </row>
    <row r="1425" spans="2:17">
      <c r="B1425" s="1" t="s">
        <v>308</v>
      </c>
      <c r="C1425" s="1" t="s">
        <v>264</v>
      </c>
      <c r="D1425" s="52">
        <v>46049.9375</v>
      </c>
      <c r="E1425" s="52">
        <v>46049.9375</v>
      </c>
      <c r="F1425" s="52">
        <v>46050.332638888889</v>
      </c>
      <c r="G1425" s="53">
        <f>F1425-E1425</f>
        <v>0.39513888888905058</v>
      </c>
      <c r="H1425" s="1" t="s">
        <v>257</v>
      </c>
      <c r="J1425" s="1" t="s">
        <v>258</v>
      </c>
      <c r="K1425" s="1" t="s">
        <v>658</v>
      </c>
      <c r="L1425" s="1" t="s">
        <v>629</v>
      </c>
      <c r="M1425" s="1" t="s">
        <v>260</v>
      </c>
      <c r="N1425" s="1" t="s">
        <v>261</v>
      </c>
      <c r="O1425" s="1" t="s">
        <v>607</v>
      </c>
      <c r="P1425" s="1" t="str">
        <f>_xlfn.CONCAT(B1425,C1425,D1425,E1425,F1425)</f>
        <v>ARAGUATINS 1.2Inverter(MBUS-13)46049,937546049,937546050,3326388889</v>
      </c>
      <c r="Q1425" s="1" t="str">
        <f>_xlfn.CONCAT(H1425,I1425,J1425)</f>
        <v>DAURDE</v>
      </c>
    </row>
    <row r="1426" spans="2:17">
      <c r="B1426" s="1" t="s">
        <v>308</v>
      </c>
      <c r="C1426" s="1" t="s">
        <v>263</v>
      </c>
      <c r="D1426" s="52">
        <v>46049.9375</v>
      </c>
      <c r="E1426" s="52">
        <v>46049.9375</v>
      </c>
      <c r="F1426" s="52">
        <v>46050.332638888889</v>
      </c>
      <c r="G1426" s="53">
        <f>F1426-E1426</f>
        <v>0.39513888888905058</v>
      </c>
      <c r="H1426" s="1" t="s">
        <v>257</v>
      </c>
      <c r="J1426" s="1" t="s">
        <v>258</v>
      </c>
      <c r="K1426" s="1" t="s">
        <v>658</v>
      </c>
      <c r="L1426" s="1" t="s">
        <v>629</v>
      </c>
      <c r="M1426" s="1" t="s">
        <v>260</v>
      </c>
      <c r="N1426" s="1" t="s">
        <v>261</v>
      </c>
      <c r="O1426" s="1" t="s">
        <v>607</v>
      </c>
      <c r="P1426" s="1" t="str">
        <f>_xlfn.CONCAT(B1426,C1426,D1426,E1426,F1426)</f>
        <v>ARAGUATINS 1.2Inverter(MBUS-14)46049,937546049,937546050,3326388889</v>
      </c>
      <c r="Q1426" s="1" t="str">
        <f>_xlfn.CONCAT(H1426,I1426,J1426)</f>
        <v>DAURDE</v>
      </c>
    </row>
    <row r="1427" spans="2:17">
      <c r="B1427" s="1" t="s">
        <v>308</v>
      </c>
      <c r="C1427" s="1" t="s">
        <v>307</v>
      </c>
      <c r="D1427" s="52">
        <v>46049.9375</v>
      </c>
      <c r="E1427" s="52">
        <v>46049.9375</v>
      </c>
      <c r="F1427" s="52">
        <v>46050.332638888889</v>
      </c>
      <c r="G1427" s="53">
        <f>F1427-E1427</f>
        <v>0.39513888888905058</v>
      </c>
      <c r="H1427" s="1" t="s">
        <v>257</v>
      </c>
      <c r="J1427" s="1" t="s">
        <v>258</v>
      </c>
      <c r="K1427" s="1" t="s">
        <v>658</v>
      </c>
      <c r="L1427" s="1" t="s">
        <v>629</v>
      </c>
      <c r="M1427" s="1" t="s">
        <v>260</v>
      </c>
      <c r="N1427" s="1" t="s">
        <v>261</v>
      </c>
      <c r="O1427" s="1" t="s">
        <v>607</v>
      </c>
      <c r="P1427" s="1" t="str">
        <f>_xlfn.CONCAT(B1427,C1427,D1427,E1427,F1427)</f>
        <v>ARAGUATINS 1.2Inverter(MBUS-15)46049,937546049,937546050,3326388889</v>
      </c>
      <c r="Q1427" s="1" t="str">
        <f>_xlfn.CONCAT(H1427,I1427,J1427)</f>
        <v>DAURDE</v>
      </c>
    </row>
    <row r="1428" spans="2:17">
      <c r="B1428" s="1" t="s">
        <v>309</v>
      </c>
      <c r="C1428" s="1" t="s">
        <v>310</v>
      </c>
      <c r="D1428" s="52">
        <v>46049.9375</v>
      </c>
      <c r="E1428" s="52">
        <v>46049.9375</v>
      </c>
      <c r="F1428" s="52">
        <v>46050.332638888889</v>
      </c>
      <c r="G1428" s="53">
        <f>F1428-E1428</f>
        <v>0.39513888888905058</v>
      </c>
      <c r="H1428" s="1" t="s">
        <v>257</v>
      </c>
      <c r="J1428" s="1" t="s">
        <v>258</v>
      </c>
      <c r="K1428" s="1" t="s">
        <v>658</v>
      </c>
      <c r="L1428" s="1" t="s">
        <v>629</v>
      </c>
      <c r="M1428" s="1" t="s">
        <v>260</v>
      </c>
      <c r="N1428" s="1" t="s">
        <v>261</v>
      </c>
      <c r="O1428" s="1" t="s">
        <v>607</v>
      </c>
      <c r="P1428" s="1" t="str">
        <f>_xlfn.CONCAT(B1428,C1428,D1428,E1428,F1428)</f>
        <v>ARAGUATINS 1.3Inverter(MBUS-20)46049,937546049,937546050,3326388889</v>
      </c>
      <c r="Q1428" s="1" t="str">
        <f>_xlfn.CONCAT(H1428,I1428,J1428)</f>
        <v>DAURDE</v>
      </c>
    </row>
    <row r="1429" spans="2:17">
      <c r="B1429" s="1" t="s">
        <v>309</v>
      </c>
      <c r="C1429" s="1" t="s">
        <v>247</v>
      </c>
      <c r="D1429" s="52">
        <v>46049.9375</v>
      </c>
      <c r="E1429" s="52">
        <v>46049.9375</v>
      </c>
      <c r="F1429" s="52">
        <v>46050.332638888889</v>
      </c>
      <c r="G1429" s="53">
        <f>F1429-E1429</f>
        <v>0.39513888888905058</v>
      </c>
      <c r="H1429" s="1" t="s">
        <v>257</v>
      </c>
      <c r="J1429" s="1" t="s">
        <v>258</v>
      </c>
      <c r="K1429" s="1" t="s">
        <v>658</v>
      </c>
      <c r="L1429" s="1" t="s">
        <v>629</v>
      </c>
      <c r="M1429" s="1" t="s">
        <v>260</v>
      </c>
      <c r="N1429" s="1" t="s">
        <v>261</v>
      </c>
      <c r="O1429" s="1" t="s">
        <v>607</v>
      </c>
      <c r="P1429" s="1" t="str">
        <f>_xlfn.CONCAT(B1429,C1429,D1429,E1429,F1429)</f>
        <v>ARAGUATINS 1.3Inverter(MBUS-1)46049,937546049,937546050,3326388889</v>
      </c>
      <c r="Q1429" s="1" t="str">
        <f>_xlfn.CONCAT(H1429,I1429,J1429)</f>
        <v>DAURDE</v>
      </c>
    </row>
    <row r="1430" spans="2:17">
      <c r="B1430" s="1" t="s">
        <v>456</v>
      </c>
      <c r="C1430" s="1" t="s">
        <v>457</v>
      </c>
      <c r="D1430" s="52">
        <v>46049.965277777781</v>
      </c>
      <c r="E1430" s="52">
        <v>46049.965277777781</v>
      </c>
      <c r="F1430" s="52">
        <v>46050.331944444442</v>
      </c>
      <c r="G1430" s="53">
        <f>F1430-E1430</f>
        <v>0.36666666666133096</v>
      </c>
      <c r="H1430" s="1" t="s">
        <v>257</v>
      </c>
      <c r="J1430" s="1" t="s">
        <v>258</v>
      </c>
      <c r="K1430" s="1" t="s">
        <v>658</v>
      </c>
      <c r="L1430" s="1" t="s">
        <v>630</v>
      </c>
      <c r="M1430" s="1" t="s">
        <v>260</v>
      </c>
      <c r="N1430" s="1" t="s">
        <v>261</v>
      </c>
      <c r="O1430" s="1" t="s">
        <v>607</v>
      </c>
      <c r="P1430" s="1" t="str">
        <f>_xlfn.CONCAT(B1430,C1430,D1430,E1430,F1430)</f>
        <v>BC Caiaponia1SG60KTL(COM1-001)_001_00746049,965277777846049,965277777846050,3319444444</v>
      </c>
      <c r="Q1430" s="1" t="str">
        <f>_xlfn.CONCAT(H1430,I1430,J1430)</f>
        <v>DAURDE</v>
      </c>
    </row>
    <row r="1431" spans="2:17">
      <c r="B1431" s="1" t="s">
        <v>456</v>
      </c>
      <c r="C1431" s="1" t="s">
        <v>459</v>
      </c>
      <c r="D1431" s="52">
        <v>46049.965277777781</v>
      </c>
      <c r="E1431" s="52">
        <v>46049.965277777781</v>
      </c>
      <c r="F1431" s="52">
        <v>46050.331944444442</v>
      </c>
      <c r="G1431" s="53">
        <f>F1431-E1431</f>
        <v>0.36666666666133096</v>
      </c>
      <c r="H1431" s="1" t="s">
        <v>257</v>
      </c>
      <c r="J1431" s="1" t="s">
        <v>258</v>
      </c>
      <c r="K1431" s="1" t="s">
        <v>658</v>
      </c>
      <c r="L1431" s="1" t="s">
        <v>630</v>
      </c>
      <c r="M1431" s="1" t="s">
        <v>260</v>
      </c>
      <c r="N1431" s="1" t="s">
        <v>261</v>
      </c>
      <c r="O1431" s="1" t="s">
        <v>607</v>
      </c>
      <c r="P1431" s="1" t="str">
        <f>_xlfn.CONCAT(B1431,C1431,D1431,E1431,F1431)</f>
        <v>BC Caiaponia1SG60KTL(COM1-002)_001_01046049,965277777846049,965277777846050,3319444444</v>
      </c>
      <c r="Q1431" s="1" t="str">
        <f>_xlfn.CONCAT(H1431,I1431,J1431)</f>
        <v>DAURDE</v>
      </c>
    </row>
    <row r="1432" spans="2:17">
      <c r="B1432" s="1" t="s">
        <v>456</v>
      </c>
      <c r="C1432" s="1" t="s">
        <v>460</v>
      </c>
      <c r="D1432" s="52">
        <v>46049.965277777781</v>
      </c>
      <c r="E1432" s="52">
        <v>46049.965277777781</v>
      </c>
      <c r="F1432" s="52">
        <v>46050.331944444442</v>
      </c>
      <c r="G1432" s="53">
        <f>F1432-E1432</f>
        <v>0.36666666666133096</v>
      </c>
      <c r="H1432" s="1" t="s">
        <v>257</v>
      </c>
      <c r="J1432" s="1" t="s">
        <v>258</v>
      </c>
      <c r="K1432" s="1" t="s">
        <v>658</v>
      </c>
      <c r="L1432" s="1" t="s">
        <v>630</v>
      </c>
      <c r="M1432" s="1" t="s">
        <v>260</v>
      </c>
      <c r="N1432" s="1" t="s">
        <v>261</v>
      </c>
      <c r="O1432" s="1" t="s">
        <v>607</v>
      </c>
      <c r="P1432" s="1" t="str">
        <f>_xlfn.CONCAT(B1432,C1432,D1432,E1432,F1432)</f>
        <v>BC Caiaponia1SG60KTL(COM1-003)_001_01146049,965277777846049,965277777846050,3319444444</v>
      </c>
      <c r="Q1432" s="1" t="str">
        <f>_xlfn.CONCAT(H1432,I1432,J1432)</f>
        <v>DAURDE</v>
      </c>
    </row>
    <row r="1433" spans="2:17">
      <c r="B1433" s="1" t="s">
        <v>456</v>
      </c>
      <c r="C1433" s="1" t="s">
        <v>461</v>
      </c>
      <c r="D1433" s="52">
        <v>46049.965277777781</v>
      </c>
      <c r="E1433" s="52">
        <v>46049.965277777781</v>
      </c>
      <c r="F1433" s="52">
        <v>46050.331944444442</v>
      </c>
      <c r="G1433" s="53">
        <f>F1433-E1433</f>
        <v>0.36666666666133096</v>
      </c>
      <c r="H1433" s="1" t="s">
        <v>257</v>
      </c>
      <c r="J1433" s="1" t="s">
        <v>258</v>
      </c>
      <c r="K1433" s="1" t="s">
        <v>658</v>
      </c>
      <c r="L1433" s="1" t="s">
        <v>630</v>
      </c>
      <c r="M1433" s="1" t="s">
        <v>260</v>
      </c>
      <c r="N1433" s="1" t="s">
        <v>261</v>
      </c>
      <c r="O1433" s="1" t="s">
        <v>607</v>
      </c>
      <c r="P1433" s="1" t="str">
        <f>_xlfn.CONCAT(B1433,C1433,D1433,E1433,F1433)</f>
        <v>BC Caiaponia1SG60KTL(COM1-004)_001_01446049,965277777846049,965277777846050,3319444444</v>
      </c>
      <c r="Q1433" s="1" t="str">
        <f>_xlfn.CONCAT(H1433,I1433,J1433)</f>
        <v>DAURDE</v>
      </c>
    </row>
    <row r="1434" spans="2:17">
      <c r="B1434" s="1" t="s">
        <v>456</v>
      </c>
      <c r="C1434" s="1" t="s">
        <v>462</v>
      </c>
      <c r="D1434" s="52">
        <v>46049.965277777781</v>
      </c>
      <c r="E1434" s="52">
        <v>46049.965277777781</v>
      </c>
      <c r="F1434" s="52">
        <v>46050.331944444442</v>
      </c>
      <c r="G1434" s="53">
        <f>F1434-E1434</f>
        <v>0.36666666666133096</v>
      </c>
      <c r="H1434" s="1" t="s">
        <v>257</v>
      </c>
      <c r="J1434" s="1" t="s">
        <v>258</v>
      </c>
      <c r="K1434" s="1" t="s">
        <v>658</v>
      </c>
      <c r="L1434" s="1" t="s">
        <v>630</v>
      </c>
      <c r="M1434" s="1" t="s">
        <v>260</v>
      </c>
      <c r="N1434" s="1" t="s">
        <v>261</v>
      </c>
      <c r="O1434" s="1" t="s">
        <v>607</v>
      </c>
      <c r="P1434" s="1" t="str">
        <f>_xlfn.CONCAT(B1434,C1434,D1434,E1434,F1434)</f>
        <v>BC Caiaponia1SG60KTL(COM1-005)_001_01746049,965277777846049,965277777846050,3319444444</v>
      </c>
      <c r="Q1434" s="1" t="str">
        <f>_xlfn.CONCAT(H1434,I1434,J1434)</f>
        <v>DAURDE</v>
      </c>
    </row>
    <row r="1435" spans="2:17">
      <c r="B1435" s="1" t="s">
        <v>456</v>
      </c>
      <c r="C1435" s="1" t="s">
        <v>463</v>
      </c>
      <c r="D1435" s="52">
        <v>46049.965277777781</v>
      </c>
      <c r="E1435" s="52">
        <v>46049.965277777781</v>
      </c>
      <c r="F1435" s="52">
        <v>46050.331944444442</v>
      </c>
      <c r="G1435" s="53">
        <f>F1435-E1435</f>
        <v>0.36666666666133096</v>
      </c>
      <c r="H1435" s="1" t="s">
        <v>257</v>
      </c>
      <c r="J1435" s="1" t="s">
        <v>258</v>
      </c>
      <c r="K1435" s="1" t="s">
        <v>658</v>
      </c>
      <c r="L1435" s="1" t="s">
        <v>630</v>
      </c>
      <c r="M1435" s="1" t="s">
        <v>260</v>
      </c>
      <c r="N1435" s="1" t="s">
        <v>261</v>
      </c>
      <c r="O1435" s="1" t="s">
        <v>607</v>
      </c>
      <c r="P1435" s="1" t="str">
        <f>_xlfn.CONCAT(B1435,C1435,D1435,E1435,F1435)</f>
        <v>BC Caiaponia1SG60KTL(COM1-006)_001_01646049,965277777846049,965277777846050,3319444444</v>
      </c>
      <c r="Q1435" s="1" t="str">
        <f>_xlfn.CONCAT(H1435,I1435,J1435)</f>
        <v>DAURDE</v>
      </c>
    </row>
    <row r="1436" spans="2:17">
      <c r="B1436" s="1" t="s">
        <v>456</v>
      </c>
      <c r="C1436" s="1" t="s">
        <v>464</v>
      </c>
      <c r="D1436" s="52">
        <v>46049.965277777781</v>
      </c>
      <c r="E1436" s="52">
        <v>46049.965277777781</v>
      </c>
      <c r="F1436" s="52">
        <v>46050.331944444442</v>
      </c>
      <c r="G1436" s="53">
        <f>F1436-E1436</f>
        <v>0.36666666666133096</v>
      </c>
      <c r="H1436" s="1" t="s">
        <v>257</v>
      </c>
      <c r="J1436" s="1" t="s">
        <v>258</v>
      </c>
      <c r="K1436" s="1" t="s">
        <v>658</v>
      </c>
      <c r="L1436" s="1" t="s">
        <v>630</v>
      </c>
      <c r="M1436" s="1" t="s">
        <v>260</v>
      </c>
      <c r="N1436" s="1" t="s">
        <v>261</v>
      </c>
      <c r="O1436" s="1" t="s">
        <v>607</v>
      </c>
      <c r="P1436" s="1" t="str">
        <f>_xlfn.CONCAT(B1436,C1436,D1436,E1436,F1436)</f>
        <v>BC Caiaponia1SG60KTL(COM1-007)_001_01346049,965277777846049,965277777846050,3319444444</v>
      </c>
      <c r="Q1436" s="1" t="str">
        <f>_xlfn.CONCAT(H1436,I1436,J1436)</f>
        <v>DAURDE</v>
      </c>
    </row>
    <row r="1437" spans="2:17">
      <c r="B1437" s="1" t="s">
        <v>456</v>
      </c>
      <c r="C1437" s="1" t="s">
        <v>465</v>
      </c>
      <c r="D1437" s="52">
        <v>46049.965277777781</v>
      </c>
      <c r="E1437" s="52">
        <v>46049.965277777781</v>
      </c>
      <c r="F1437" s="52">
        <v>46050.331944444442</v>
      </c>
      <c r="G1437" s="53">
        <f>F1437-E1437</f>
        <v>0.36666666666133096</v>
      </c>
      <c r="H1437" s="1" t="s">
        <v>257</v>
      </c>
      <c r="J1437" s="1" t="s">
        <v>258</v>
      </c>
      <c r="K1437" s="1" t="s">
        <v>658</v>
      </c>
      <c r="L1437" s="1" t="s">
        <v>630</v>
      </c>
      <c r="M1437" s="1" t="s">
        <v>260</v>
      </c>
      <c r="N1437" s="1" t="s">
        <v>261</v>
      </c>
      <c r="O1437" s="1" t="s">
        <v>607</v>
      </c>
      <c r="P1437" s="1" t="str">
        <f>_xlfn.CONCAT(B1437,C1437,D1437,E1437,F1437)</f>
        <v>BC Caiaponia1SG60KTL(COM1-008)_001_00146049,965277777846049,965277777846050,3319444444</v>
      </c>
      <c r="Q1437" s="1" t="str">
        <f>_xlfn.CONCAT(H1437,I1437,J1437)</f>
        <v>DAURDE</v>
      </c>
    </row>
    <row r="1438" spans="2:17">
      <c r="B1438" s="1" t="s">
        <v>456</v>
      </c>
      <c r="C1438" s="1" t="s">
        <v>466</v>
      </c>
      <c r="D1438" s="52">
        <v>46049.965277777781</v>
      </c>
      <c r="E1438" s="52">
        <v>46049.965277777781</v>
      </c>
      <c r="F1438" s="52">
        <v>46050.331944444442</v>
      </c>
      <c r="G1438" s="53">
        <f>F1438-E1438</f>
        <v>0.36666666666133096</v>
      </c>
      <c r="H1438" s="1" t="s">
        <v>257</v>
      </c>
      <c r="J1438" s="1" t="s">
        <v>258</v>
      </c>
      <c r="K1438" s="1" t="s">
        <v>658</v>
      </c>
      <c r="L1438" s="1" t="s">
        <v>630</v>
      </c>
      <c r="M1438" s="1" t="s">
        <v>260</v>
      </c>
      <c r="N1438" s="1" t="s">
        <v>261</v>
      </c>
      <c r="O1438" s="1" t="s">
        <v>607</v>
      </c>
      <c r="P1438" s="1" t="str">
        <f>_xlfn.CONCAT(B1438,C1438,D1438,E1438,F1438)</f>
        <v>BC Caiaponia1SG60KTL(COM1-009)46049,965277777846049,965277777846050,3319444444</v>
      </c>
      <c r="Q1438" s="1" t="str">
        <f>_xlfn.CONCAT(H1438,I1438,J1438)</f>
        <v>DAURDE</v>
      </c>
    </row>
    <row r="1439" spans="2:17">
      <c r="B1439" s="1" t="s">
        <v>456</v>
      </c>
      <c r="C1439" s="1" t="s">
        <v>467</v>
      </c>
      <c r="D1439" s="52">
        <v>46049.965277777781</v>
      </c>
      <c r="E1439" s="52">
        <v>46049.965277777781</v>
      </c>
      <c r="F1439" s="52">
        <v>46050.331944444442</v>
      </c>
      <c r="G1439" s="53">
        <f>F1439-E1439</f>
        <v>0.36666666666133096</v>
      </c>
      <c r="H1439" s="1" t="s">
        <v>257</v>
      </c>
      <c r="J1439" s="1" t="s">
        <v>258</v>
      </c>
      <c r="K1439" s="1" t="s">
        <v>658</v>
      </c>
      <c r="L1439" s="1" t="s">
        <v>630</v>
      </c>
      <c r="M1439" s="1" t="s">
        <v>260</v>
      </c>
      <c r="N1439" s="1" t="s">
        <v>261</v>
      </c>
      <c r="O1439" s="1" t="s">
        <v>607</v>
      </c>
      <c r="P1439" s="1" t="str">
        <f>_xlfn.CONCAT(B1439,C1439,D1439,E1439,F1439)</f>
        <v>BC Caiaponia1SG60KTL(COM1-010)46049,965277777846049,965277777846050,3319444444</v>
      </c>
      <c r="Q1439" s="1" t="str">
        <f>_xlfn.CONCAT(H1439,I1439,J1439)</f>
        <v>DAURDE</v>
      </c>
    </row>
    <row r="1440" spans="2:17">
      <c r="B1440" s="1" t="s">
        <v>456</v>
      </c>
      <c r="C1440" s="1" t="s">
        <v>468</v>
      </c>
      <c r="D1440" s="52">
        <v>46049.965277777781</v>
      </c>
      <c r="E1440" s="52">
        <v>46049.965277777781</v>
      </c>
      <c r="F1440" s="52">
        <v>46050.331944444442</v>
      </c>
      <c r="G1440" s="53">
        <f>F1440-E1440</f>
        <v>0.36666666666133096</v>
      </c>
      <c r="H1440" s="1" t="s">
        <v>257</v>
      </c>
      <c r="J1440" s="1" t="s">
        <v>258</v>
      </c>
      <c r="K1440" s="1" t="s">
        <v>658</v>
      </c>
      <c r="L1440" s="1" t="s">
        <v>630</v>
      </c>
      <c r="M1440" s="1" t="s">
        <v>260</v>
      </c>
      <c r="N1440" s="1" t="s">
        <v>261</v>
      </c>
      <c r="O1440" s="1" t="s">
        <v>607</v>
      </c>
      <c r="P1440" s="1" t="str">
        <f>_xlfn.CONCAT(B1440,C1440,D1440,E1440,F1440)</f>
        <v>BC Caiaponia1SG60KTL(COM1-011)46049,965277777846049,965277777846050,3319444444</v>
      </c>
      <c r="Q1440" s="1" t="str">
        <f>_xlfn.CONCAT(H1440,I1440,J1440)</f>
        <v>DAURDE</v>
      </c>
    </row>
    <row r="1441" spans="2:17">
      <c r="B1441" s="1" t="s">
        <v>456</v>
      </c>
      <c r="C1441" s="1" t="s">
        <v>469</v>
      </c>
      <c r="D1441" s="52">
        <v>46049.965277777781</v>
      </c>
      <c r="E1441" s="52">
        <v>46049.965277777781</v>
      </c>
      <c r="F1441" s="52">
        <v>46050.331944444442</v>
      </c>
      <c r="G1441" s="53">
        <f>F1441-E1441</f>
        <v>0.36666666666133096</v>
      </c>
      <c r="H1441" s="1" t="s">
        <v>257</v>
      </c>
      <c r="J1441" s="1" t="s">
        <v>258</v>
      </c>
      <c r="K1441" s="1" t="s">
        <v>658</v>
      </c>
      <c r="L1441" s="1" t="s">
        <v>630</v>
      </c>
      <c r="M1441" s="1" t="s">
        <v>260</v>
      </c>
      <c r="N1441" s="1" t="s">
        <v>261</v>
      </c>
      <c r="O1441" s="1" t="s">
        <v>607</v>
      </c>
      <c r="P1441" s="1" t="str">
        <f>_xlfn.CONCAT(B1441,C1441,D1441,E1441,F1441)</f>
        <v>BC Caiaponia1SG60KTL(COM1-012)46049,965277777846049,965277777846050,3319444444</v>
      </c>
      <c r="Q1441" s="1" t="str">
        <f>_xlfn.CONCAT(H1441,I1441,J1441)</f>
        <v>DAURDE</v>
      </c>
    </row>
    <row r="1442" spans="2:17">
      <c r="B1442" s="1" t="s">
        <v>456</v>
      </c>
      <c r="C1442" s="1" t="s">
        <v>470</v>
      </c>
      <c r="D1442" s="52">
        <v>46049.965277777781</v>
      </c>
      <c r="E1442" s="52">
        <v>46049.965277777781</v>
      </c>
      <c r="F1442" s="52">
        <v>46050.331944444442</v>
      </c>
      <c r="G1442" s="53">
        <f>F1442-E1442</f>
        <v>0.36666666666133096</v>
      </c>
      <c r="H1442" s="1" t="s">
        <v>257</v>
      </c>
      <c r="J1442" s="1" t="s">
        <v>258</v>
      </c>
      <c r="K1442" s="1" t="s">
        <v>658</v>
      </c>
      <c r="L1442" s="1" t="s">
        <v>630</v>
      </c>
      <c r="M1442" s="1" t="s">
        <v>260</v>
      </c>
      <c r="N1442" s="1" t="s">
        <v>261</v>
      </c>
      <c r="O1442" s="1" t="s">
        <v>607</v>
      </c>
      <c r="P1442" s="1" t="str">
        <f>_xlfn.CONCAT(B1442,C1442,D1442,E1442,F1442)</f>
        <v>BC Caiaponia1SG60KTL(COM1-013)46049,965277777846049,965277777846050,3319444444</v>
      </c>
      <c r="Q1442" s="1" t="str">
        <f>_xlfn.CONCAT(H1442,I1442,J1442)</f>
        <v>DAURDE</v>
      </c>
    </row>
    <row r="1443" spans="2:17">
      <c r="B1443" s="1" t="s">
        <v>456</v>
      </c>
      <c r="C1443" s="1" t="s">
        <v>471</v>
      </c>
      <c r="D1443" s="52">
        <v>46049.965277777781</v>
      </c>
      <c r="E1443" s="52">
        <v>46049.965277777781</v>
      </c>
      <c r="F1443" s="52">
        <v>46050.331944444442</v>
      </c>
      <c r="G1443" s="53">
        <f>F1443-E1443</f>
        <v>0.36666666666133096</v>
      </c>
      <c r="H1443" s="1" t="s">
        <v>257</v>
      </c>
      <c r="J1443" s="1" t="s">
        <v>258</v>
      </c>
      <c r="K1443" s="1" t="s">
        <v>658</v>
      </c>
      <c r="L1443" s="1" t="s">
        <v>630</v>
      </c>
      <c r="M1443" s="1" t="s">
        <v>260</v>
      </c>
      <c r="N1443" s="1" t="s">
        <v>261</v>
      </c>
      <c r="O1443" s="1" t="s">
        <v>607</v>
      </c>
      <c r="P1443" s="1" t="str">
        <f>_xlfn.CONCAT(B1443,C1443,D1443,E1443,F1443)</f>
        <v>BC Caiaponia1SG60KTL(COM1-014)46049,965277777846049,965277777846050,3319444444</v>
      </c>
      <c r="Q1443" s="1" t="str">
        <f>_xlfn.CONCAT(H1443,I1443,J1443)</f>
        <v>DAURDE</v>
      </c>
    </row>
    <row r="1444" spans="2:17">
      <c r="B1444" s="1" t="s">
        <v>456</v>
      </c>
      <c r="C1444" s="1" t="s">
        <v>472</v>
      </c>
      <c r="D1444" s="52">
        <v>46049.965277777781</v>
      </c>
      <c r="E1444" s="52">
        <v>46049.965277777781</v>
      </c>
      <c r="F1444" s="52">
        <v>46050.331944444442</v>
      </c>
      <c r="G1444" s="53">
        <f>F1444-E1444</f>
        <v>0.36666666666133096</v>
      </c>
      <c r="H1444" s="1" t="s">
        <v>257</v>
      </c>
      <c r="J1444" s="1" t="s">
        <v>258</v>
      </c>
      <c r="K1444" s="1" t="s">
        <v>658</v>
      </c>
      <c r="L1444" s="1" t="s">
        <v>630</v>
      </c>
      <c r="M1444" s="1" t="s">
        <v>260</v>
      </c>
      <c r="N1444" s="1" t="s">
        <v>261</v>
      </c>
      <c r="O1444" s="1" t="s">
        <v>607</v>
      </c>
      <c r="P1444" s="1" t="str">
        <f>_xlfn.CONCAT(B1444,C1444,D1444,E1444,F1444)</f>
        <v>BC Caiaponia1SG60KTL(COM1-015)46049,965277777846049,965277777846050,3319444444</v>
      </c>
      <c r="Q1444" s="1" t="str">
        <f>_xlfn.CONCAT(H1444,I1444,J1444)</f>
        <v>DAURDE</v>
      </c>
    </row>
    <row r="1445" spans="2:17">
      <c r="B1445" s="1" t="s">
        <v>456</v>
      </c>
      <c r="C1445" s="1" t="s">
        <v>473</v>
      </c>
      <c r="D1445" s="52">
        <v>46049.965277777781</v>
      </c>
      <c r="E1445" s="52">
        <v>46049.965277777781</v>
      </c>
      <c r="F1445" s="52">
        <v>46050.331944444442</v>
      </c>
      <c r="G1445" s="53">
        <f>F1445-E1445</f>
        <v>0.36666666666133096</v>
      </c>
      <c r="H1445" s="1" t="s">
        <v>257</v>
      </c>
      <c r="J1445" s="1" t="s">
        <v>258</v>
      </c>
      <c r="K1445" s="1" t="s">
        <v>658</v>
      </c>
      <c r="L1445" s="1" t="s">
        <v>630</v>
      </c>
      <c r="M1445" s="1" t="s">
        <v>260</v>
      </c>
      <c r="N1445" s="1" t="s">
        <v>261</v>
      </c>
      <c r="O1445" s="1" t="s">
        <v>607</v>
      </c>
      <c r="P1445" s="1" t="str">
        <f>_xlfn.CONCAT(B1445,C1445,D1445,E1445,F1445)</f>
        <v>BC Caiaponia1SG60KTL(COM3-016)_001_00946049,965277777846049,965277777846050,3319444444</v>
      </c>
      <c r="Q1445" s="1" t="str">
        <f>_xlfn.CONCAT(H1445,I1445,J1445)</f>
        <v>DAURDE</v>
      </c>
    </row>
    <row r="1446" spans="2:17">
      <c r="B1446" s="1" t="s">
        <v>456</v>
      </c>
      <c r="C1446" s="1" t="s">
        <v>474</v>
      </c>
      <c r="D1446" s="52">
        <v>46049.965277777781</v>
      </c>
      <c r="E1446" s="52">
        <v>46049.965277777781</v>
      </c>
      <c r="F1446" s="52">
        <v>46050.331944444442</v>
      </c>
      <c r="G1446" s="53">
        <f>F1446-E1446</f>
        <v>0.36666666666133096</v>
      </c>
      <c r="H1446" s="1" t="s">
        <v>257</v>
      </c>
      <c r="J1446" s="1" t="s">
        <v>258</v>
      </c>
      <c r="K1446" s="1" t="s">
        <v>658</v>
      </c>
      <c r="L1446" s="1" t="s">
        <v>630</v>
      </c>
      <c r="M1446" s="1" t="s">
        <v>260</v>
      </c>
      <c r="N1446" s="1" t="s">
        <v>261</v>
      </c>
      <c r="O1446" s="1" t="s">
        <v>607</v>
      </c>
      <c r="P1446" s="1" t="str">
        <f>_xlfn.CONCAT(B1446,C1446,D1446,E1446,F1446)</f>
        <v>BC Caiaponia1SG60KTL(COM3-017)_001_01246049,965277777846049,965277777846050,3319444444</v>
      </c>
      <c r="Q1446" s="1" t="str">
        <f>_xlfn.CONCAT(H1446,I1446,J1446)</f>
        <v>DAURDE</v>
      </c>
    </row>
    <row r="1447" spans="2:17">
      <c r="B1447" s="1" t="s">
        <v>456</v>
      </c>
      <c r="C1447" s="1" t="s">
        <v>475</v>
      </c>
      <c r="D1447" s="52">
        <v>46049.965277777781</v>
      </c>
      <c r="E1447" s="52">
        <v>46049.965277777781</v>
      </c>
      <c r="F1447" s="52">
        <v>46050.331944444442</v>
      </c>
      <c r="G1447" s="53">
        <f>F1447-E1447</f>
        <v>0.36666666666133096</v>
      </c>
      <c r="H1447" s="1" t="s">
        <v>257</v>
      </c>
      <c r="J1447" s="1" t="s">
        <v>258</v>
      </c>
      <c r="K1447" s="1" t="s">
        <v>658</v>
      </c>
      <c r="L1447" s="1" t="s">
        <v>630</v>
      </c>
      <c r="M1447" s="1" t="s">
        <v>260</v>
      </c>
      <c r="N1447" s="1" t="s">
        <v>261</v>
      </c>
      <c r="O1447" s="1" t="s">
        <v>607</v>
      </c>
      <c r="P1447" s="1" t="str">
        <f>_xlfn.CONCAT(B1447,C1447,D1447,E1447,F1447)</f>
        <v>BC Caiaponia1SG60KTL(COM3-018)_001_00846049,965277777846049,965277777846050,3319444444</v>
      </c>
      <c r="Q1447" s="1" t="str">
        <f>_xlfn.CONCAT(H1447,I1447,J1447)</f>
        <v>DAURDE</v>
      </c>
    </row>
    <row r="1448" spans="2:17">
      <c r="B1448" s="1" t="s">
        <v>456</v>
      </c>
      <c r="C1448" s="1" t="s">
        <v>476</v>
      </c>
      <c r="D1448" s="52">
        <v>46049.965277777781</v>
      </c>
      <c r="E1448" s="52">
        <v>46049.965277777781</v>
      </c>
      <c r="F1448" s="52">
        <v>46050.331944444442</v>
      </c>
      <c r="G1448" s="53">
        <f>F1448-E1448</f>
        <v>0.36666666666133096</v>
      </c>
      <c r="H1448" s="1" t="s">
        <v>257</v>
      </c>
      <c r="J1448" s="1" t="s">
        <v>258</v>
      </c>
      <c r="K1448" s="1" t="s">
        <v>658</v>
      </c>
      <c r="L1448" s="1" t="s">
        <v>630</v>
      </c>
      <c r="M1448" s="1" t="s">
        <v>260</v>
      </c>
      <c r="N1448" s="1" t="s">
        <v>261</v>
      </c>
      <c r="O1448" s="1" t="s">
        <v>607</v>
      </c>
      <c r="P1448" s="1" t="str">
        <f>_xlfn.CONCAT(B1448,C1448,D1448,E1448,F1448)</f>
        <v>BC Caiaponia1SG60KTL(COM3-019)_001_01946049,965277777846049,965277777846050,3319444444</v>
      </c>
      <c r="Q1448" s="1" t="str">
        <f>_xlfn.CONCAT(H1448,I1448,J1448)</f>
        <v>DAURDE</v>
      </c>
    </row>
    <row r="1449" spans="2:17">
      <c r="B1449" s="1" t="s">
        <v>456</v>
      </c>
      <c r="C1449" s="1" t="s">
        <v>477</v>
      </c>
      <c r="D1449" s="52">
        <v>46049.965277777781</v>
      </c>
      <c r="E1449" s="52">
        <v>46049.965277777781</v>
      </c>
      <c r="F1449" s="52">
        <v>46050.331944444442</v>
      </c>
      <c r="G1449" s="53">
        <f>F1449-E1449</f>
        <v>0.36666666666133096</v>
      </c>
      <c r="H1449" s="1" t="s">
        <v>257</v>
      </c>
      <c r="J1449" s="1" t="s">
        <v>258</v>
      </c>
      <c r="K1449" s="1" t="s">
        <v>658</v>
      </c>
      <c r="L1449" s="1" t="s">
        <v>630</v>
      </c>
      <c r="M1449" s="1" t="s">
        <v>260</v>
      </c>
      <c r="N1449" s="1" t="s">
        <v>261</v>
      </c>
      <c r="O1449" s="1" t="s">
        <v>607</v>
      </c>
      <c r="P1449" s="1" t="str">
        <f>_xlfn.CONCAT(B1449,C1449,D1449,E1449,F1449)</f>
        <v>BC Caiaponia1SG60KTL(COM3-020)_001_02046049,965277777846049,965277777846050,3319444444</v>
      </c>
      <c r="Q1449" s="1" t="str">
        <f>_xlfn.CONCAT(H1449,I1449,J1449)</f>
        <v>DAURDE</v>
      </c>
    </row>
    <row r="1450" spans="2:17">
      <c r="B1450" s="1" t="s">
        <v>456</v>
      </c>
      <c r="C1450" s="1" t="s">
        <v>478</v>
      </c>
      <c r="D1450" s="52">
        <v>46049.965277777781</v>
      </c>
      <c r="E1450" s="52">
        <v>46049.965277777781</v>
      </c>
      <c r="F1450" s="52">
        <v>46050.331944444442</v>
      </c>
      <c r="G1450" s="53">
        <f>F1450-E1450</f>
        <v>0.36666666666133096</v>
      </c>
      <c r="H1450" s="1" t="s">
        <v>257</v>
      </c>
      <c r="J1450" s="1" t="s">
        <v>258</v>
      </c>
      <c r="K1450" s="1" t="s">
        <v>658</v>
      </c>
      <c r="L1450" s="1" t="s">
        <v>630</v>
      </c>
      <c r="M1450" s="1" t="s">
        <v>260</v>
      </c>
      <c r="N1450" s="1" t="s">
        <v>261</v>
      </c>
      <c r="O1450" s="1" t="s">
        <v>607</v>
      </c>
      <c r="P1450" s="1" t="str">
        <f>_xlfn.CONCAT(B1450,C1450,D1450,E1450,F1450)</f>
        <v>BC Caiaponia1SG60KTL(COM2-026)46049,965277777846049,965277777846050,3319444444</v>
      </c>
      <c r="Q1450" s="1" t="str">
        <f>_xlfn.CONCAT(H1450,I1450,J1450)</f>
        <v>DAURDE</v>
      </c>
    </row>
    <row r="1451" spans="2:17">
      <c r="B1451" s="1" t="s">
        <v>456</v>
      </c>
      <c r="C1451" s="1" t="s">
        <v>479</v>
      </c>
      <c r="D1451" s="52">
        <v>46049.965277777781</v>
      </c>
      <c r="E1451" s="52">
        <v>46049.965277777781</v>
      </c>
      <c r="F1451" s="52">
        <v>46050.331944444442</v>
      </c>
      <c r="G1451" s="53">
        <f>F1451-E1451</f>
        <v>0.36666666666133096</v>
      </c>
      <c r="H1451" s="1" t="s">
        <v>257</v>
      </c>
      <c r="J1451" s="1" t="s">
        <v>258</v>
      </c>
      <c r="K1451" s="1" t="s">
        <v>658</v>
      </c>
      <c r="L1451" s="1" t="s">
        <v>630</v>
      </c>
      <c r="M1451" s="1" t="s">
        <v>260</v>
      </c>
      <c r="N1451" s="1" t="s">
        <v>261</v>
      </c>
      <c r="O1451" s="1" t="s">
        <v>607</v>
      </c>
      <c r="P1451" s="1" t="str">
        <f>_xlfn.CONCAT(B1451,C1451,D1451,E1451,F1451)</f>
        <v>BC Caiaponia1SG60KTL(COM2-027)46049,965277777846049,965277777846050,3319444444</v>
      </c>
      <c r="Q1451" s="1" t="str">
        <f>_xlfn.CONCAT(H1451,I1451,J1451)</f>
        <v>DAURDE</v>
      </c>
    </row>
    <row r="1452" spans="2:17">
      <c r="B1452" s="1" t="s">
        <v>456</v>
      </c>
      <c r="C1452" s="1" t="s">
        <v>480</v>
      </c>
      <c r="D1452" s="52">
        <v>46049.965277777781</v>
      </c>
      <c r="E1452" s="52">
        <v>46049.965277777781</v>
      </c>
      <c r="F1452" s="52">
        <v>46050.331944444442</v>
      </c>
      <c r="G1452" s="53">
        <f>F1452-E1452</f>
        <v>0.36666666666133096</v>
      </c>
      <c r="H1452" s="1" t="s">
        <v>257</v>
      </c>
      <c r="J1452" s="1" t="s">
        <v>258</v>
      </c>
      <c r="K1452" s="1" t="s">
        <v>658</v>
      </c>
      <c r="L1452" s="1" t="s">
        <v>630</v>
      </c>
      <c r="M1452" s="1" t="s">
        <v>260</v>
      </c>
      <c r="N1452" s="1" t="s">
        <v>261</v>
      </c>
      <c r="O1452" s="1" t="s">
        <v>607</v>
      </c>
      <c r="P1452" s="1" t="str">
        <f>_xlfn.CONCAT(B1452,C1452,D1452,E1452,F1452)</f>
        <v>BC Caiaponia1SG60KTL(COM2-028)46049,965277777846049,965277777846050,3319444444</v>
      </c>
      <c r="Q1452" s="1" t="str">
        <f>_xlfn.CONCAT(H1452,I1452,J1452)</f>
        <v>DAURDE</v>
      </c>
    </row>
    <row r="1453" spans="2:17">
      <c r="B1453" s="1" t="s">
        <v>456</v>
      </c>
      <c r="C1453" s="1" t="s">
        <v>481</v>
      </c>
      <c r="D1453" s="52">
        <v>46049.965277777781</v>
      </c>
      <c r="E1453" s="52">
        <v>46049.965277777781</v>
      </c>
      <c r="F1453" s="52">
        <v>46050.331944444442</v>
      </c>
      <c r="G1453" s="53">
        <f>F1453-E1453</f>
        <v>0.36666666666133096</v>
      </c>
      <c r="H1453" s="1" t="s">
        <v>257</v>
      </c>
      <c r="J1453" s="1" t="s">
        <v>258</v>
      </c>
      <c r="K1453" s="1" t="s">
        <v>658</v>
      </c>
      <c r="L1453" s="1" t="s">
        <v>630</v>
      </c>
      <c r="M1453" s="1" t="s">
        <v>260</v>
      </c>
      <c r="N1453" s="1" t="s">
        <v>261</v>
      </c>
      <c r="O1453" s="1" t="s">
        <v>607</v>
      </c>
      <c r="P1453" s="1" t="str">
        <f>_xlfn.CONCAT(B1453,C1453,D1453,E1453,F1453)</f>
        <v>BC Caiaponia1SG60KTL(COM2-029)46049,965277777846049,965277777846050,3319444444</v>
      </c>
      <c r="Q1453" s="1" t="str">
        <f>_xlfn.CONCAT(H1453,I1453,J1453)</f>
        <v>DAURDE</v>
      </c>
    </row>
    <row r="1454" spans="2:17">
      <c r="B1454" s="1" t="s">
        <v>456</v>
      </c>
      <c r="C1454" s="1" t="s">
        <v>482</v>
      </c>
      <c r="D1454" s="52">
        <v>46049.965277777781</v>
      </c>
      <c r="E1454" s="52">
        <v>46049.965277777781</v>
      </c>
      <c r="F1454" s="52">
        <v>46050.331944444442</v>
      </c>
      <c r="G1454" s="53">
        <f>F1454-E1454</f>
        <v>0.36666666666133096</v>
      </c>
      <c r="H1454" s="1" t="s">
        <v>257</v>
      </c>
      <c r="J1454" s="1" t="s">
        <v>258</v>
      </c>
      <c r="K1454" s="1" t="s">
        <v>658</v>
      </c>
      <c r="L1454" s="1" t="s">
        <v>630</v>
      </c>
      <c r="M1454" s="1" t="s">
        <v>260</v>
      </c>
      <c r="N1454" s="1" t="s">
        <v>261</v>
      </c>
      <c r="O1454" s="1" t="s">
        <v>607</v>
      </c>
      <c r="P1454" s="1" t="str">
        <f>_xlfn.CONCAT(B1454,C1454,D1454,E1454,F1454)</f>
        <v>BC Caiaponia1SG50CX(COM1-021)46049,965277777846049,965277777846050,3319444444</v>
      </c>
      <c r="Q1454" s="1" t="str">
        <f>_xlfn.CONCAT(H1454,I1454,J1454)</f>
        <v>DAURDE</v>
      </c>
    </row>
    <row r="1455" spans="2:17">
      <c r="B1455" s="1" t="s">
        <v>456</v>
      </c>
      <c r="C1455" s="1" t="s">
        <v>483</v>
      </c>
      <c r="D1455" s="52">
        <v>46049.965277777781</v>
      </c>
      <c r="E1455" s="52">
        <v>46049.965277777781</v>
      </c>
      <c r="F1455" s="52">
        <v>46050.331944444442</v>
      </c>
      <c r="G1455" s="53">
        <f>F1455-E1455</f>
        <v>0.36666666666133096</v>
      </c>
      <c r="H1455" s="1" t="s">
        <v>257</v>
      </c>
      <c r="J1455" s="1" t="s">
        <v>258</v>
      </c>
      <c r="K1455" s="1" t="s">
        <v>658</v>
      </c>
      <c r="L1455" s="1" t="s">
        <v>630</v>
      </c>
      <c r="M1455" s="1" t="s">
        <v>260</v>
      </c>
      <c r="N1455" s="1" t="s">
        <v>261</v>
      </c>
      <c r="O1455" s="1" t="s">
        <v>607</v>
      </c>
      <c r="P1455" s="1" t="str">
        <f>_xlfn.CONCAT(B1455,C1455,D1455,E1455,F1455)</f>
        <v>BC Caiaponia1SG50CX(COM1-022)46049,965277777846049,965277777846050,3319444444</v>
      </c>
      <c r="Q1455" s="1" t="str">
        <f>_xlfn.CONCAT(H1455,I1455,J1455)</f>
        <v>DAURDE</v>
      </c>
    </row>
    <row r="1456" spans="2:17">
      <c r="B1456" s="1" t="s">
        <v>456</v>
      </c>
      <c r="C1456" s="1" t="s">
        <v>484</v>
      </c>
      <c r="D1456" s="52">
        <v>46049.965277777781</v>
      </c>
      <c r="E1456" s="52">
        <v>46049.965277777781</v>
      </c>
      <c r="F1456" s="52">
        <v>46050.331944444442</v>
      </c>
      <c r="G1456" s="53">
        <f>F1456-E1456</f>
        <v>0.36666666666133096</v>
      </c>
      <c r="H1456" s="1" t="s">
        <v>257</v>
      </c>
      <c r="J1456" s="1" t="s">
        <v>258</v>
      </c>
      <c r="K1456" s="1" t="s">
        <v>658</v>
      </c>
      <c r="L1456" s="1" t="s">
        <v>630</v>
      </c>
      <c r="M1456" s="1" t="s">
        <v>260</v>
      </c>
      <c r="N1456" s="1" t="s">
        <v>261</v>
      </c>
      <c r="O1456" s="1" t="s">
        <v>607</v>
      </c>
      <c r="P1456" s="1" t="str">
        <f>_xlfn.CONCAT(B1456,C1456,D1456,E1456,F1456)</f>
        <v>BC Caiaponia1SG50CX(COM1-023)46049,965277777846049,965277777846050,3319444444</v>
      </c>
      <c r="Q1456" s="1" t="str">
        <f>_xlfn.CONCAT(H1456,I1456,J1456)</f>
        <v>DAURDE</v>
      </c>
    </row>
    <row r="1457" spans="2:17">
      <c r="B1457" s="1" t="s">
        <v>456</v>
      </c>
      <c r="C1457" s="1" t="s">
        <v>485</v>
      </c>
      <c r="D1457" s="52">
        <v>46049.965277777781</v>
      </c>
      <c r="E1457" s="52">
        <v>46049.965277777781</v>
      </c>
      <c r="F1457" s="52">
        <v>46050.331944444442</v>
      </c>
      <c r="G1457" s="53">
        <f>F1457-E1457</f>
        <v>0.36666666666133096</v>
      </c>
      <c r="H1457" s="1" t="s">
        <v>257</v>
      </c>
      <c r="J1457" s="1" t="s">
        <v>258</v>
      </c>
      <c r="K1457" s="1" t="s">
        <v>658</v>
      </c>
      <c r="L1457" s="1" t="s">
        <v>630</v>
      </c>
      <c r="M1457" s="1" t="s">
        <v>260</v>
      </c>
      <c r="N1457" s="1" t="s">
        <v>261</v>
      </c>
      <c r="O1457" s="1" t="s">
        <v>607</v>
      </c>
      <c r="P1457" s="1" t="str">
        <f>_xlfn.CONCAT(B1457,C1457,D1457,E1457,F1457)</f>
        <v>BC Caiaponia1SG50CX(COM1-024)46049,965277777846049,965277777846050,3319444444</v>
      </c>
      <c r="Q1457" s="1" t="str">
        <f>_xlfn.CONCAT(H1457,I1457,J1457)</f>
        <v>DAURDE</v>
      </c>
    </row>
    <row r="1458" spans="2:17">
      <c r="B1458" s="1" t="s">
        <v>456</v>
      </c>
      <c r="C1458" s="1" t="s">
        <v>486</v>
      </c>
      <c r="D1458" s="52">
        <v>46049.965277777781</v>
      </c>
      <c r="E1458" s="52">
        <v>46049.965277777781</v>
      </c>
      <c r="F1458" s="52">
        <v>46050.331944444442</v>
      </c>
      <c r="G1458" s="53">
        <f>F1458-E1458</f>
        <v>0.36666666666133096</v>
      </c>
      <c r="H1458" s="1" t="s">
        <v>257</v>
      </c>
      <c r="J1458" s="1" t="s">
        <v>258</v>
      </c>
      <c r="K1458" s="1" t="s">
        <v>658</v>
      </c>
      <c r="L1458" s="1" t="s">
        <v>630</v>
      </c>
      <c r="M1458" s="1" t="s">
        <v>260</v>
      </c>
      <c r="N1458" s="1" t="s">
        <v>261</v>
      </c>
      <c r="O1458" s="1" t="s">
        <v>607</v>
      </c>
      <c r="P1458" s="1" t="str">
        <f>_xlfn.CONCAT(B1458,C1458,D1458,E1458,F1458)</f>
        <v>BC Caiaponia1SG50CX(COM1-025)46049,965277777846049,965277777846050,3319444444</v>
      </c>
      <c r="Q1458" s="1" t="str">
        <f>_xlfn.CONCAT(H1458,I1458,J1458)</f>
        <v>DAURDE</v>
      </c>
    </row>
    <row r="1459" spans="2:17">
      <c r="B1459" s="1" t="s">
        <v>487</v>
      </c>
      <c r="C1459" s="1" t="s">
        <v>377</v>
      </c>
      <c r="D1459" s="52">
        <v>46049.965277777781</v>
      </c>
      <c r="E1459" s="52">
        <v>46049.965277777781</v>
      </c>
      <c r="F1459" s="52">
        <v>46050.331944444442</v>
      </c>
      <c r="G1459" s="53">
        <f>F1459-E1459</f>
        <v>0.36666666666133096</v>
      </c>
      <c r="H1459" s="1" t="s">
        <v>257</v>
      </c>
      <c r="J1459" s="1" t="s">
        <v>258</v>
      </c>
      <c r="K1459" s="1" t="s">
        <v>658</v>
      </c>
      <c r="L1459" s="1" t="s">
        <v>630</v>
      </c>
      <c r="M1459" s="1" t="s">
        <v>260</v>
      </c>
      <c r="N1459" s="1" t="s">
        <v>261</v>
      </c>
      <c r="O1459" s="1" t="s">
        <v>607</v>
      </c>
      <c r="P1459" s="1" t="str">
        <f>_xlfn.CONCAT(B1459,C1459,D1459,E1459,F1459)</f>
        <v>BC Caiaponia2.1215KTL-H3(MBUS-12)46049,965277777846049,965277777846050,3319444444</v>
      </c>
      <c r="Q1459" s="1" t="str">
        <f>_xlfn.CONCAT(H1459,I1459,J1459)</f>
        <v>DAURDE</v>
      </c>
    </row>
    <row r="1460" spans="2:17">
      <c r="B1460" s="1" t="s">
        <v>487</v>
      </c>
      <c r="C1460" s="1" t="s">
        <v>378</v>
      </c>
      <c r="D1460" s="52">
        <v>46049.965277777781</v>
      </c>
      <c r="E1460" s="52">
        <v>46049.965277777781</v>
      </c>
      <c r="F1460" s="52">
        <v>46050.331944444442</v>
      </c>
      <c r="G1460" s="53">
        <f>F1460-E1460</f>
        <v>0.36666666666133096</v>
      </c>
      <c r="H1460" s="1" t="s">
        <v>257</v>
      </c>
      <c r="J1460" s="1" t="s">
        <v>258</v>
      </c>
      <c r="K1460" s="1" t="s">
        <v>658</v>
      </c>
      <c r="L1460" s="1" t="s">
        <v>630</v>
      </c>
      <c r="M1460" s="1" t="s">
        <v>260</v>
      </c>
      <c r="N1460" s="1" t="s">
        <v>261</v>
      </c>
      <c r="O1460" s="1" t="s">
        <v>607</v>
      </c>
      <c r="P1460" s="1" t="str">
        <f>_xlfn.CONCAT(B1460,C1460,D1460,E1460,F1460)</f>
        <v>BC Caiaponia2.1215KTL-H3(MBUS-13)46049,965277777846049,965277777846050,3319444444</v>
      </c>
      <c r="Q1460" s="1" t="str">
        <f>_xlfn.CONCAT(H1460,I1460,J1460)</f>
        <v>DAURDE</v>
      </c>
    </row>
    <row r="1461" spans="2:17">
      <c r="B1461" s="1" t="s">
        <v>487</v>
      </c>
      <c r="C1461" s="1" t="s">
        <v>382</v>
      </c>
      <c r="D1461" s="52">
        <v>46049.965277777781</v>
      </c>
      <c r="E1461" s="52">
        <v>46049.965277777781</v>
      </c>
      <c r="F1461" s="52">
        <v>46050.331944444442</v>
      </c>
      <c r="G1461" s="53">
        <f>F1461-E1461</f>
        <v>0.36666666666133096</v>
      </c>
      <c r="H1461" s="1" t="s">
        <v>257</v>
      </c>
      <c r="J1461" s="1" t="s">
        <v>258</v>
      </c>
      <c r="K1461" s="1" t="s">
        <v>658</v>
      </c>
      <c r="L1461" s="1" t="s">
        <v>630</v>
      </c>
      <c r="M1461" s="1" t="s">
        <v>260</v>
      </c>
      <c r="N1461" s="1" t="s">
        <v>261</v>
      </c>
      <c r="O1461" s="1" t="s">
        <v>607</v>
      </c>
      <c r="P1461" s="1" t="str">
        <f>_xlfn.CONCAT(B1461,C1461,D1461,E1461,F1461)</f>
        <v>BC Caiaponia2.1215KTL-H3(MBUS-14)46049,965277777846049,965277777846050,3319444444</v>
      </c>
      <c r="Q1461" s="1" t="str">
        <f>_xlfn.CONCAT(H1461,I1461,J1461)</f>
        <v>DAURDE</v>
      </c>
    </row>
    <row r="1462" spans="2:17">
      <c r="B1462" s="1" t="s">
        <v>487</v>
      </c>
      <c r="C1462" s="1" t="s">
        <v>380</v>
      </c>
      <c r="D1462" s="52">
        <v>46049.965277777781</v>
      </c>
      <c r="E1462" s="52">
        <v>46049.965277777781</v>
      </c>
      <c r="F1462" s="52">
        <v>46050.331944444442</v>
      </c>
      <c r="G1462" s="53">
        <f>F1462-E1462</f>
        <v>0.36666666666133096</v>
      </c>
      <c r="H1462" s="1" t="s">
        <v>257</v>
      </c>
      <c r="J1462" s="1" t="s">
        <v>258</v>
      </c>
      <c r="K1462" s="1" t="s">
        <v>658</v>
      </c>
      <c r="L1462" s="1" t="s">
        <v>630</v>
      </c>
      <c r="M1462" s="1" t="s">
        <v>260</v>
      </c>
      <c r="N1462" s="1" t="s">
        <v>261</v>
      </c>
      <c r="O1462" s="1" t="s">
        <v>607</v>
      </c>
      <c r="P1462" s="1" t="str">
        <f>_xlfn.CONCAT(B1462,C1462,D1462,E1462,F1462)</f>
        <v>BC Caiaponia2.1215KTL-H3(MBUS-15)46049,965277777846049,965277777846050,3319444444</v>
      </c>
      <c r="Q1462" s="1" t="str">
        <f>_xlfn.CONCAT(H1462,I1462,J1462)</f>
        <v>DAURDE</v>
      </c>
    </row>
    <row r="1463" spans="2:17">
      <c r="B1463" s="1" t="s">
        <v>487</v>
      </c>
      <c r="C1463" s="1" t="s">
        <v>379</v>
      </c>
      <c r="D1463" s="52">
        <v>46049.965277777781</v>
      </c>
      <c r="E1463" s="52">
        <v>46049.965277777781</v>
      </c>
      <c r="F1463" s="52">
        <v>46050.331944444442</v>
      </c>
      <c r="G1463" s="53">
        <f>F1463-E1463</f>
        <v>0.36666666666133096</v>
      </c>
      <c r="H1463" s="1" t="s">
        <v>257</v>
      </c>
      <c r="J1463" s="1" t="s">
        <v>258</v>
      </c>
      <c r="K1463" s="1" t="s">
        <v>658</v>
      </c>
      <c r="L1463" s="1" t="s">
        <v>630</v>
      </c>
      <c r="M1463" s="1" t="s">
        <v>260</v>
      </c>
      <c r="N1463" s="1" t="s">
        <v>261</v>
      </c>
      <c r="O1463" s="1" t="s">
        <v>607</v>
      </c>
      <c r="P1463" s="1" t="str">
        <f>_xlfn.CONCAT(B1463,C1463,D1463,E1463,F1463)</f>
        <v>BC Caiaponia2.1215KTL-H3(MBUS-16)46049,965277777846049,965277777846050,3319444444</v>
      </c>
      <c r="Q1463" s="1" t="str">
        <f>_xlfn.CONCAT(H1463,I1463,J1463)</f>
        <v>DAURDE</v>
      </c>
    </row>
    <row r="1464" spans="2:17">
      <c r="B1464" s="1" t="s">
        <v>583</v>
      </c>
      <c r="C1464" s="1" t="s">
        <v>377</v>
      </c>
      <c r="D1464" s="52">
        <v>46049.965277777781</v>
      </c>
      <c r="E1464" s="52">
        <v>46049.965277777781</v>
      </c>
      <c r="F1464" s="52">
        <v>46050.331944444442</v>
      </c>
      <c r="G1464" s="53">
        <f>F1464-E1464</f>
        <v>0.36666666666133096</v>
      </c>
      <c r="H1464" s="1" t="s">
        <v>257</v>
      </c>
      <c r="J1464" s="1" t="s">
        <v>258</v>
      </c>
      <c r="K1464" s="1" t="s">
        <v>658</v>
      </c>
      <c r="L1464" s="1" t="s">
        <v>630</v>
      </c>
      <c r="M1464" s="1" t="s">
        <v>260</v>
      </c>
      <c r="N1464" s="1" t="s">
        <v>261</v>
      </c>
      <c r="O1464" s="1" t="s">
        <v>607</v>
      </c>
      <c r="P1464" s="1" t="str">
        <f>_xlfn.CONCAT(B1464,C1464,D1464,E1464,F1464)</f>
        <v>BC Caiaponia2.2215KTL-H3(MBUS-12)46049,965277777846049,965277777846050,3319444444</v>
      </c>
      <c r="Q1464" s="1" t="str">
        <f>_xlfn.CONCAT(H1464,I1464,J1464)</f>
        <v>DAURDE</v>
      </c>
    </row>
    <row r="1465" spans="2:17">
      <c r="B1465" s="1" t="s">
        <v>583</v>
      </c>
      <c r="C1465" s="1" t="s">
        <v>378</v>
      </c>
      <c r="D1465" s="52">
        <v>46049.965277777781</v>
      </c>
      <c r="E1465" s="52">
        <v>46049.965277777781</v>
      </c>
      <c r="F1465" s="52">
        <v>46050.331944444442</v>
      </c>
      <c r="G1465" s="53">
        <f>F1465-E1465</f>
        <v>0.36666666666133096</v>
      </c>
      <c r="H1465" s="1" t="s">
        <v>257</v>
      </c>
      <c r="J1465" s="1" t="s">
        <v>258</v>
      </c>
      <c r="K1465" s="1" t="s">
        <v>658</v>
      </c>
      <c r="L1465" s="1" t="s">
        <v>630</v>
      </c>
      <c r="M1465" s="1" t="s">
        <v>260</v>
      </c>
      <c r="N1465" s="1" t="s">
        <v>261</v>
      </c>
      <c r="O1465" s="1" t="s">
        <v>607</v>
      </c>
      <c r="P1465" s="1" t="str">
        <f>_xlfn.CONCAT(B1465,C1465,D1465,E1465,F1465)</f>
        <v>BC Caiaponia2.2215KTL-H3(MBUS-13)46049,965277777846049,965277777846050,3319444444</v>
      </c>
      <c r="Q1465" s="1" t="str">
        <f>_xlfn.CONCAT(H1465,I1465,J1465)</f>
        <v>DAURDE</v>
      </c>
    </row>
    <row r="1466" spans="2:17">
      <c r="B1466" s="1" t="s">
        <v>583</v>
      </c>
      <c r="C1466" s="1" t="s">
        <v>382</v>
      </c>
      <c r="D1466" s="52">
        <v>46049.965277777781</v>
      </c>
      <c r="E1466" s="52">
        <v>46049.965277777781</v>
      </c>
      <c r="F1466" s="52">
        <v>46050.331944444442</v>
      </c>
      <c r="G1466" s="53">
        <f>F1466-E1466</f>
        <v>0.36666666666133096</v>
      </c>
      <c r="H1466" s="1" t="s">
        <v>257</v>
      </c>
      <c r="J1466" s="1" t="s">
        <v>258</v>
      </c>
      <c r="K1466" s="1" t="s">
        <v>658</v>
      </c>
      <c r="L1466" s="1" t="s">
        <v>630</v>
      </c>
      <c r="M1466" s="1" t="s">
        <v>260</v>
      </c>
      <c r="N1466" s="1" t="s">
        <v>261</v>
      </c>
      <c r="O1466" s="1" t="s">
        <v>607</v>
      </c>
      <c r="P1466" s="1" t="str">
        <f>_xlfn.CONCAT(B1466,C1466,D1466,E1466,F1466)</f>
        <v>BC Caiaponia2.2215KTL-H3(MBUS-14)46049,965277777846049,965277777846050,3319444444</v>
      </c>
      <c r="Q1466" s="1" t="str">
        <f>_xlfn.CONCAT(H1466,I1466,J1466)</f>
        <v>DAURDE</v>
      </c>
    </row>
    <row r="1467" spans="2:17">
      <c r="B1467" s="1" t="s">
        <v>583</v>
      </c>
      <c r="C1467" s="1" t="s">
        <v>380</v>
      </c>
      <c r="D1467" s="52">
        <v>46049.965277777781</v>
      </c>
      <c r="E1467" s="52">
        <v>46049.965277777781</v>
      </c>
      <c r="F1467" s="52">
        <v>46050.331944444442</v>
      </c>
      <c r="G1467" s="53">
        <f>F1467-E1467</f>
        <v>0.36666666666133096</v>
      </c>
      <c r="H1467" s="1" t="s">
        <v>257</v>
      </c>
      <c r="J1467" s="1" t="s">
        <v>258</v>
      </c>
      <c r="K1467" s="1" t="s">
        <v>658</v>
      </c>
      <c r="L1467" s="1" t="s">
        <v>630</v>
      </c>
      <c r="M1467" s="1" t="s">
        <v>260</v>
      </c>
      <c r="N1467" s="1" t="s">
        <v>261</v>
      </c>
      <c r="O1467" s="1" t="s">
        <v>607</v>
      </c>
      <c r="P1467" s="1" t="str">
        <f>_xlfn.CONCAT(B1467,C1467,D1467,E1467,F1467)</f>
        <v>BC Caiaponia2.2215KTL-H3(MBUS-15)46049,965277777846049,965277777846050,3319444444</v>
      </c>
      <c r="Q1467" s="1" t="str">
        <f>_xlfn.CONCAT(H1467,I1467,J1467)</f>
        <v>DAURDE</v>
      </c>
    </row>
    <row r="1468" spans="2:17">
      <c r="B1468" s="1" t="s">
        <v>583</v>
      </c>
      <c r="C1468" s="1" t="s">
        <v>379</v>
      </c>
      <c r="D1468" s="52">
        <v>46049.965277777781</v>
      </c>
      <c r="E1468" s="52">
        <v>46049.965277777781</v>
      </c>
      <c r="F1468" s="52">
        <v>46050.331944444442</v>
      </c>
      <c r="G1468" s="53">
        <f>F1468-E1468</f>
        <v>0.36666666666133096</v>
      </c>
      <c r="H1468" s="1" t="s">
        <v>257</v>
      </c>
      <c r="J1468" s="1" t="s">
        <v>258</v>
      </c>
      <c r="K1468" s="1" t="s">
        <v>658</v>
      </c>
      <c r="L1468" s="1" t="s">
        <v>630</v>
      </c>
      <c r="M1468" s="1" t="s">
        <v>260</v>
      </c>
      <c r="N1468" s="1" t="s">
        <v>261</v>
      </c>
      <c r="O1468" s="1" t="s">
        <v>607</v>
      </c>
      <c r="P1468" s="1" t="str">
        <f>_xlfn.CONCAT(B1468,C1468,D1468,E1468,F1468)</f>
        <v>BC Caiaponia2.2215KTL-H3(MBUS-16)46049,965277777846049,965277777846050,3319444444</v>
      </c>
      <c r="Q1468" s="1" t="str">
        <f>_xlfn.CONCAT(H1468,I1468,J1468)</f>
        <v>DAURDE</v>
      </c>
    </row>
    <row r="1469" spans="2:17">
      <c r="B1469" s="1" t="s">
        <v>584</v>
      </c>
      <c r="C1469" s="1" t="s">
        <v>377</v>
      </c>
      <c r="D1469" s="52">
        <v>46049.965277777781</v>
      </c>
      <c r="E1469" s="52">
        <v>46049.965277777781</v>
      </c>
      <c r="F1469" s="52">
        <v>46050.331944444442</v>
      </c>
      <c r="G1469" s="53">
        <f>F1469-E1469</f>
        <v>0.36666666666133096</v>
      </c>
      <c r="H1469" s="1" t="s">
        <v>257</v>
      </c>
      <c r="J1469" s="1" t="s">
        <v>258</v>
      </c>
      <c r="K1469" s="1" t="s">
        <v>658</v>
      </c>
      <c r="L1469" s="1" t="s">
        <v>630</v>
      </c>
      <c r="M1469" s="1" t="s">
        <v>260</v>
      </c>
      <c r="N1469" s="1" t="s">
        <v>261</v>
      </c>
      <c r="O1469" s="1" t="s">
        <v>607</v>
      </c>
      <c r="P1469" s="1" t="str">
        <f>_xlfn.CONCAT(B1469,C1469,D1469,E1469,F1469)</f>
        <v>BC Caiaponia2.3215KTL-H3(MBUS-12)46049,965277777846049,965277777846050,3319444444</v>
      </c>
      <c r="Q1469" s="1" t="str">
        <f>_xlfn.CONCAT(H1469,I1469,J1469)</f>
        <v>DAURDE</v>
      </c>
    </row>
    <row r="1470" spans="2:17">
      <c r="B1470" s="1" t="s">
        <v>584</v>
      </c>
      <c r="C1470" s="1" t="s">
        <v>378</v>
      </c>
      <c r="D1470" s="52">
        <v>46049.965277777781</v>
      </c>
      <c r="E1470" s="52">
        <v>46049.965277777781</v>
      </c>
      <c r="F1470" s="52">
        <v>46050.331944444442</v>
      </c>
      <c r="G1470" s="53">
        <f>F1470-E1470</f>
        <v>0.36666666666133096</v>
      </c>
      <c r="H1470" s="1" t="s">
        <v>257</v>
      </c>
      <c r="J1470" s="1" t="s">
        <v>258</v>
      </c>
      <c r="K1470" s="1" t="s">
        <v>658</v>
      </c>
      <c r="L1470" s="1" t="s">
        <v>630</v>
      </c>
      <c r="M1470" s="1" t="s">
        <v>260</v>
      </c>
      <c r="N1470" s="1" t="s">
        <v>261</v>
      </c>
      <c r="O1470" s="1" t="s">
        <v>607</v>
      </c>
      <c r="P1470" s="1" t="str">
        <f>_xlfn.CONCAT(B1470,C1470,D1470,E1470,F1470)</f>
        <v>BC Caiaponia2.3215KTL-H3(MBUS-13)46049,965277777846049,965277777846050,3319444444</v>
      </c>
      <c r="Q1470" s="1" t="str">
        <f>_xlfn.CONCAT(H1470,I1470,J1470)</f>
        <v>DAURDE</v>
      </c>
    </row>
    <row r="1471" spans="2:17">
      <c r="B1471" s="1" t="s">
        <v>584</v>
      </c>
      <c r="C1471" s="1" t="s">
        <v>382</v>
      </c>
      <c r="D1471" s="52">
        <v>46049.965277777781</v>
      </c>
      <c r="E1471" s="52">
        <v>46049.965277777781</v>
      </c>
      <c r="F1471" s="52">
        <v>46050.331944444442</v>
      </c>
      <c r="G1471" s="53">
        <f>F1471-E1471</f>
        <v>0.36666666666133096</v>
      </c>
      <c r="H1471" s="1" t="s">
        <v>257</v>
      </c>
      <c r="J1471" s="1" t="s">
        <v>258</v>
      </c>
      <c r="K1471" s="1" t="s">
        <v>658</v>
      </c>
      <c r="L1471" s="1" t="s">
        <v>630</v>
      </c>
      <c r="M1471" s="1" t="s">
        <v>260</v>
      </c>
      <c r="N1471" s="1" t="s">
        <v>261</v>
      </c>
      <c r="O1471" s="1" t="s">
        <v>607</v>
      </c>
      <c r="P1471" s="1" t="str">
        <f>_xlfn.CONCAT(B1471,C1471,D1471,E1471,F1471)</f>
        <v>BC Caiaponia2.3215KTL-H3(MBUS-14)46049,965277777846049,965277777846050,3319444444</v>
      </c>
      <c r="Q1471" s="1" t="str">
        <f>_xlfn.CONCAT(H1471,I1471,J1471)</f>
        <v>DAURDE</v>
      </c>
    </row>
    <row r="1472" spans="2:17">
      <c r="B1472" s="1" t="s">
        <v>584</v>
      </c>
      <c r="C1472" s="1" t="s">
        <v>380</v>
      </c>
      <c r="D1472" s="52">
        <v>46049.965277777781</v>
      </c>
      <c r="E1472" s="52">
        <v>46049.965277777781</v>
      </c>
      <c r="F1472" s="52">
        <v>46050.331944444442</v>
      </c>
      <c r="G1472" s="53">
        <f>F1472-E1472</f>
        <v>0.36666666666133096</v>
      </c>
      <c r="H1472" s="1" t="s">
        <v>257</v>
      </c>
      <c r="J1472" s="1" t="s">
        <v>258</v>
      </c>
      <c r="K1472" s="1" t="s">
        <v>658</v>
      </c>
      <c r="L1472" s="1" t="s">
        <v>630</v>
      </c>
      <c r="M1472" s="1" t="s">
        <v>260</v>
      </c>
      <c r="N1472" s="1" t="s">
        <v>261</v>
      </c>
      <c r="O1472" s="1" t="s">
        <v>607</v>
      </c>
      <c r="P1472" s="1" t="str">
        <f>_xlfn.CONCAT(B1472,C1472,D1472,E1472,F1472)</f>
        <v>BC Caiaponia2.3215KTL-H3(MBUS-15)46049,965277777846049,965277777846050,3319444444</v>
      </c>
      <c r="Q1472" s="1" t="str">
        <f>_xlfn.CONCAT(H1472,I1472,J1472)</f>
        <v>DAURDE</v>
      </c>
    </row>
    <row r="1473" spans="2:17">
      <c r="B1473" s="1" t="s">
        <v>584</v>
      </c>
      <c r="C1473" s="1" t="s">
        <v>379</v>
      </c>
      <c r="D1473" s="52">
        <v>46049.965277777781</v>
      </c>
      <c r="E1473" s="52">
        <v>46049.965277777781</v>
      </c>
      <c r="F1473" s="52">
        <v>46050.331944444442</v>
      </c>
      <c r="G1473" s="53">
        <f>F1473-E1473</f>
        <v>0.36666666666133096</v>
      </c>
      <c r="H1473" s="1" t="s">
        <v>257</v>
      </c>
      <c r="J1473" s="1" t="s">
        <v>258</v>
      </c>
      <c r="K1473" s="1" t="s">
        <v>658</v>
      </c>
      <c r="L1473" s="1" t="s">
        <v>630</v>
      </c>
      <c r="M1473" s="1" t="s">
        <v>260</v>
      </c>
      <c r="N1473" s="1" t="s">
        <v>261</v>
      </c>
      <c r="O1473" s="1" t="s">
        <v>607</v>
      </c>
      <c r="P1473" s="1" t="str">
        <f>_xlfn.CONCAT(B1473,C1473,D1473,E1473,F1473)</f>
        <v>BC Caiaponia2.3215KTL-H3(MBUS-16)46049,965277777846049,965277777846050,3319444444</v>
      </c>
      <c r="Q1473" s="1" t="str">
        <f>_xlfn.CONCAT(H1473,I1473,J1473)</f>
        <v>DAURDE</v>
      </c>
    </row>
    <row r="1474" spans="2:17">
      <c r="B1474" s="1" t="s">
        <v>286</v>
      </c>
      <c r="C1474" s="1" t="s">
        <v>287</v>
      </c>
      <c r="D1474" s="52">
        <v>46050.3125</v>
      </c>
      <c r="E1474" s="52">
        <v>46050.3125</v>
      </c>
      <c r="F1474" s="52">
        <v>46050.313194444447</v>
      </c>
      <c r="G1474" s="53">
        <f>F1474-E1474</f>
        <v>6.944444467080757E-4</v>
      </c>
      <c r="H1474" s="1" t="s">
        <v>268</v>
      </c>
      <c r="I1474" s="1" t="s">
        <v>269</v>
      </c>
      <c r="J1474" s="1" t="s">
        <v>319</v>
      </c>
      <c r="K1474" s="1" t="s">
        <v>652</v>
      </c>
      <c r="L1474" s="1" t="s">
        <v>604</v>
      </c>
      <c r="M1474" s="1" t="s">
        <v>289</v>
      </c>
      <c r="N1474" s="1" t="s">
        <v>631</v>
      </c>
      <c r="O1474" s="1" t="s">
        <v>631</v>
      </c>
      <c r="P1474" s="1" t="str">
        <f>_xlfn.CONCAT(B1474,C1474,D1474,E1474,F1474)</f>
        <v>BC Corumba2.2U02.I0146050,312546050,312546050,3131944444</v>
      </c>
      <c r="Q1474" s="1" t="str">
        <f>_xlfn.CONCAT(H1474,I1474,J1474)</f>
        <v>LIGRFOCOM</v>
      </c>
    </row>
    <row r="1475" spans="2:17">
      <c r="B1475" s="1" t="s">
        <v>286</v>
      </c>
      <c r="C1475" s="1" t="s">
        <v>292</v>
      </c>
      <c r="D1475" s="52">
        <v>46050.3125</v>
      </c>
      <c r="E1475" s="52">
        <v>46050.3125</v>
      </c>
      <c r="F1475" s="52">
        <v>46050.313194444447</v>
      </c>
      <c r="G1475" s="53">
        <f>F1475-E1475</f>
        <v>6.944444467080757E-4</v>
      </c>
      <c r="H1475" s="1" t="s">
        <v>268</v>
      </c>
      <c r="I1475" s="1" t="s">
        <v>269</v>
      </c>
      <c r="J1475" s="1" t="s">
        <v>319</v>
      </c>
      <c r="K1475" s="1" t="s">
        <v>652</v>
      </c>
      <c r="L1475" s="1" t="s">
        <v>604</v>
      </c>
      <c r="M1475" s="1" t="s">
        <v>289</v>
      </c>
      <c r="N1475" s="1" t="s">
        <v>631</v>
      </c>
      <c r="O1475" s="1" t="s">
        <v>631</v>
      </c>
      <c r="P1475" s="1" t="str">
        <f>_xlfn.CONCAT(B1475,C1475,D1475,E1475,F1475)</f>
        <v>BC Corumba2.2U02.I0246050,312546050,312546050,3131944444</v>
      </c>
      <c r="Q1475" s="1" t="str">
        <f>_xlfn.CONCAT(H1475,I1475,J1475)</f>
        <v>LIGRFOCOM</v>
      </c>
    </row>
    <row r="1476" spans="2:17">
      <c r="B1476" s="1" t="s">
        <v>286</v>
      </c>
      <c r="C1476" s="1" t="s">
        <v>293</v>
      </c>
      <c r="D1476" s="52">
        <v>46050.3125</v>
      </c>
      <c r="E1476" s="52">
        <v>46050.3125</v>
      </c>
      <c r="F1476" s="52">
        <v>46050.313194444447</v>
      </c>
      <c r="G1476" s="53">
        <f>F1476-E1476</f>
        <v>6.944444467080757E-4</v>
      </c>
      <c r="H1476" s="1" t="s">
        <v>268</v>
      </c>
      <c r="I1476" s="1" t="s">
        <v>269</v>
      </c>
      <c r="J1476" s="1" t="s">
        <v>319</v>
      </c>
      <c r="K1476" s="1" t="s">
        <v>652</v>
      </c>
      <c r="L1476" s="1" t="s">
        <v>604</v>
      </c>
      <c r="M1476" s="1" t="s">
        <v>289</v>
      </c>
      <c r="N1476" s="1" t="s">
        <v>631</v>
      </c>
      <c r="O1476" s="1" t="s">
        <v>631</v>
      </c>
      <c r="P1476" s="1" t="str">
        <f>_xlfn.CONCAT(B1476,C1476,D1476,E1476,F1476)</f>
        <v>BC Corumba2.2U02.I0346050,312546050,312546050,3131944444</v>
      </c>
      <c r="Q1476" s="1" t="str">
        <f>_xlfn.CONCAT(H1476,I1476,J1476)</f>
        <v>LIGRFOCOM</v>
      </c>
    </row>
    <row r="1477" spans="2:17">
      <c r="B1477" s="1" t="s">
        <v>286</v>
      </c>
      <c r="C1477" s="1" t="s">
        <v>294</v>
      </c>
      <c r="D1477" s="52">
        <v>46050.3125</v>
      </c>
      <c r="E1477" s="52">
        <v>46050.3125</v>
      </c>
      <c r="F1477" s="52">
        <v>46050.313194444447</v>
      </c>
      <c r="G1477" s="53">
        <f>F1477-E1477</f>
        <v>6.944444467080757E-4</v>
      </c>
      <c r="H1477" s="1" t="s">
        <v>268</v>
      </c>
      <c r="I1477" s="1" t="s">
        <v>269</v>
      </c>
      <c r="J1477" s="1" t="s">
        <v>319</v>
      </c>
      <c r="K1477" s="1" t="s">
        <v>652</v>
      </c>
      <c r="L1477" s="1" t="s">
        <v>604</v>
      </c>
      <c r="M1477" s="1" t="s">
        <v>289</v>
      </c>
      <c r="N1477" s="1" t="s">
        <v>631</v>
      </c>
      <c r="O1477" s="1" t="s">
        <v>631</v>
      </c>
      <c r="P1477" s="1" t="str">
        <f>_xlfn.CONCAT(B1477,C1477,D1477,E1477,F1477)</f>
        <v>BC Corumba2.2U02.I0446050,312546050,312546050,3131944444</v>
      </c>
      <c r="Q1477" s="1" t="str">
        <f>_xlfn.CONCAT(H1477,I1477,J1477)</f>
        <v>LIGRFOCOM</v>
      </c>
    </row>
    <row r="1478" spans="2:17">
      <c r="B1478" s="1" t="s">
        <v>286</v>
      </c>
      <c r="C1478" s="1" t="s">
        <v>295</v>
      </c>
      <c r="D1478" s="52">
        <v>46050.3125</v>
      </c>
      <c r="E1478" s="52">
        <v>46050.3125</v>
      </c>
      <c r="F1478" s="52">
        <v>46050.313194444447</v>
      </c>
      <c r="G1478" s="53">
        <f>F1478-E1478</f>
        <v>6.944444467080757E-4</v>
      </c>
      <c r="H1478" s="1" t="s">
        <v>268</v>
      </c>
      <c r="I1478" s="1" t="s">
        <v>269</v>
      </c>
      <c r="J1478" s="1" t="s">
        <v>319</v>
      </c>
      <c r="K1478" s="1" t="s">
        <v>652</v>
      </c>
      <c r="L1478" s="1" t="s">
        <v>604</v>
      </c>
      <c r="M1478" s="1" t="s">
        <v>289</v>
      </c>
      <c r="N1478" s="1" t="s">
        <v>631</v>
      </c>
      <c r="O1478" s="1" t="s">
        <v>631</v>
      </c>
      <c r="P1478" s="1" t="str">
        <f>_xlfn.CONCAT(B1478,C1478,D1478,E1478,F1478)</f>
        <v>BC Corumba2.2U02.I0546050,312546050,312546050,3131944444</v>
      </c>
      <c r="Q1478" s="1" t="str">
        <f>_xlfn.CONCAT(H1478,I1478,J1478)</f>
        <v>LIGRFOCOM</v>
      </c>
    </row>
    <row r="1479" spans="2:17">
      <c r="B1479" s="1" t="s">
        <v>328</v>
      </c>
      <c r="C1479" s="1" t="s">
        <v>247</v>
      </c>
      <c r="D1479" s="52">
        <v>46050.361111111109</v>
      </c>
      <c r="E1479" s="52">
        <v>46050.361111111109</v>
      </c>
      <c r="F1479" s="52">
        <v>46053.999988425923</v>
      </c>
      <c r="G1479" s="53">
        <f>F1479-E1479</f>
        <v>3.6388773148137261</v>
      </c>
      <c r="H1479" s="1" t="s">
        <v>268</v>
      </c>
      <c r="I1479" s="1" t="s">
        <v>269</v>
      </c>
      <c r="J1479" s="1" t="s">
        <v>319</v>
      </c>
      <c r="K1479" s="1" t="s">
        <v>652</v>
      </c>
      <c r="L1479" s="1" t="s">
        <v>604</v>
      </c>
      <c r="M1479" s="1" t="s">
        <v>289</v>
      </c>
      <c r="N1479" s="1" t="s">
        <v>631</v>
      </c>
      <c r="O1479" s="1" t="s">
        <v>631</v>
      </c>
      <c r="P1479" s="1" t="str">
        <f>_xlfn.CONCAT(B1479,C1479,D1479,E1479,F1479)</f>
        <v>BC Aracu5.3Inverter(MBUS-1)46050,361111111146050,361111111146053,9999884259</v>
      </c>
      <c r="Q1479" s="1" t="str">
        <f>_xlfn.CONCAT(H1479,I1479,J1479)</f>
        <v>LIGRFOCOM</v>
      </c>
    </row>
    <row r="1480" spans="2:17">
      <c r="B1480" s="1" t="s">
        <v>327</v>
      </c>
      <c r="C1480" s="1" t="s">
        <v>247</v>
      </c>
      <c r="D1480" s="52">
        <v>46050.950694444444</v>
      </c>
      <c r="E1480" s="52">
        <v>46050.950694444444</v>
      </c>
      <c r="F1480" s="52">
        <v>46051.309027777781</v>
      </c>
      <c r="G1480" s="53">
        <f>F1480-E1480</f>
        <v>0.35833333333721384</v>
      </c>
      <c r="H1480" s="1" t="s">
        <v>257</v>
      </c>
      <c r="J1480" s="1" t="s">
        <v>258</v>
      </c>
      <c r="K1480" s="1" t="s">
        <v>658</v>
      </c>
      <c r="L1480" s="1" t="s">
        <v>541</v>
      </c>
      <c r="M1480" s="1" t="s">
        <v>260</v>
      </c>
      <c r="N1480" s="1" t="s">
        <v>357</v>
      </c>
      <c r="O1480" s="1" t="s">
        <v>632</v>
      </c>
      <c r="P1480" s="1" t="str">
        <f>_xlfn.CONCAT(B1480,C1480,D1480,E1480,F1480)</f>
        <v>BC Aracu5.1Inverter(MBUS-1)46050,950694444446050,950694444446051,3090277778</v>
      </c>
      <c r="Q1480" s="1" t="str">
        <f>_xlfn.CONCAT(H1480,I1480,J1480)</f>
        <v>DAURDE</v>
      </c>
    </row>
    <row r="1481" spans="2:17">
      <c r="B1481" s="1" t="s">
        <v>328</v>
      </c>
      <c r="C1481" s="1" t="s">
        <v>247</v>
      </c>
      <c r="D1481" s="52">
        <v>46050.950694444444</v>
      </c>
      <c r="E1481" s="52">
        <v>46050.950694444444</v>
      </c>
      <c r="F1481" s="52">
        <v>46051.309027777781</v>
      </c>
      <c r="G1481" s="53">
        <f>F1481-E1481</f>
        <v>0.35833333333721384</v>
      </c>
      <c r="H1481" s="1" t="s">
        <v>257</v>
      </c>
      <c r="J1481" s="1" t="s">
        <v>258</v>
      </c>
      <c r="K1481" s="1" t="s">
        <v>658</v>
      </c>
      <c r="L1481" s="1" t="s">
        <v>541</v>
      </c>
      <c r="M1481" s="1" t="s">
        <v>260</v>
      </c>
      <c r="N1481" s="1" t="s">
        <v>357</v>
      </c>
      <c r="O1481" s="1" t="s">
        <v>632</v>
      </c>
      <c r="P1481" s="1" t="str">
        <f>_xlfn.CONCAT(B1481,C1481,D1481,E1481,F1481)</f>
        <v>BC Aracu5.3Inverter(MBUS-1)46050,950694444446050,950694444446051,3090277778</v>
      </c>
      <c r="Q1481" s="1" t="str">
        <f>_xlfn.CONCAT(H1481,I1481,J1481)</f>
        <v>DAURDE</v>
      </c>
    </row>
    <row r="1482" spans="2:17">
      <c r="B1482" s="1" t="s">
        <v>329</v>
      </c>
      <c r="C1482" s="1" t="s">
        <v>247</v>
      </c>
      <c r="D1482" s="52">
        <v>46050.950694444444</v>
      </c>
      <c r="E1482" s="52">
        <v>46050.950694444444</v>
      </c>
      <c r="F1482" s="52">
        <v>46051.309027777781</v>
      </c>
      <c r="G1482" s="53">
        <f>F1482-E1482</f>
        <v>0.35833333333721384</v>
      </c>
      <c r="H1482" s="1" t="s">
        <v>257</v>
      </c>
      <c r="J1482" s="1" t="s">
        <v>258</v>
      </c>
      <c r="K1482" s="1" t="s">
        <v>658</v>
      </c>
      <c r="L1482" s="1" t="s">
        <v>541</v>
      </c>
      <c r="M1482" s="1" t="s">
        <v>260</v>
      </c>
      <c r="N1482" s="1" t="s">
        <v>357</v>
      </c>
      <c r="O1482" s="1" t="s">
        <v>632</v>
      </c>
      <c r="P1482" s="1" t="str">
        <f>_xlfn.CONCAT(B1482,C1482,D1482,E1482,F1482)</f>
        <v>BC Aracu5.4Inverter(MBUS-1)46050,950694444446050,950694444446051,3090277778</v>
      </c>
      <c r="Q1482" s="1" t="str">
        <f>_xlfn.CONCAT(H1482,I1482,J1482)</f>
        <v>DAURDE</v>
      </c>
    </row>
    <row r="1483" spans="2:17">
      <c r="B1483" s="1" t="s">
        <v>330</v>
      </c>
      <c r="C1483" s="1" t="s">
        <v>247</v>
      </c>
      <c r="D1483" s="52">
        <v>46050.950694444444</v>
      </c>
      <c r="E1483" s="52">
        <v>46050.950694444444</v>
      </c>
      <c r="F1483" s="52">
        <v>46051.309027777781</v>
      </c>
      <c r="G1483" s="53">
        <f>F1483-E1483</f>
        <v>0.35833333333721384</v>
      </c>
      <c r="H1483" s="1" t="s">
        <v>257</v>
      </c>
      <c r="J1483" s="1" t="s">
        <v>258</v>
      </c>
      <c r="K1483" s="1" t="s">
        <v>658</v>
      </c>
      <c r="L1483" s="1" t="s">
        <v>541</v>
      </c>
      <c r="M1483" s="1" t="s">
        <v>260</v>
      </c>
      <c r="N1483" s="1" t="s">
        <v>357</v>
      </c>
      <c r="O1483" s="1" t="s">
        <v>632</v>
      </c>
      <c r="P1483" s="1" t="str">
        <f>_xlfn.CONCAT(B1483,C1483,D1483,E1483,F1483)</f>
        <v>BC Aracu5.5Inverter(MBUS-1)46050,950694444446050,950694444446051,3090277778</v>
      </c>
      <c r="Q1483" s="1" t="str">
        <f>_xlfn.CONCAT(H1483,I1483,J1483)</f>
        <v>DAURDE</v>
      </c>
    </row>
    <row r="1484" spans="2:17">
      <c r="B1484" s="1" t="s">
        <v>286</v>
      </c>
      <c r="C1484" s="1" t="s">
        <v>287</v>
      </c>
      <c r="D1484" s="52">
        <v>46051.46875</v>
      </c>
      <c r="E1484" s="52">
        <v>46051.46875</v>
      </c>
      <c r="F1484" s="52">
        <v>46051.470138888886</v>
      </c>
      <c r="G1484" s="53">
        <f>F1484-E1484</f>
        <v>1.3888888861401938E-3</v>
      </c>
      <c r="H1484" s="1" t="s">
        <v>268</v>
      </c>
      <c r="I1484" s="1" t="s">
        <v>269</v>
      </c>
      <c r="J1484" s="1" t="s">
        <v>319</v>
      </c>
      <c r="K1484" s="1" t="s">
        <v>652</v>
      </c>
      <c r="L1484" s="1" t="s">
        <v>604</v>
      </c>
      <c r="M1484" s="1" t="s">
        <v>289</v>
      </c>
      <c r="N1484" s="1" t="s">
        <v>631</v>
      </c>
      <c r="O1484" s="1" t="s">
        <v>631</v>
      </c>
      <c r="P1484" s="1" t="str">
        <f>_xlfn.CONCAT(B1484,C1484,D1484,E1484,F1484)</f>
        <v>BC Corumba2.2U02.I0146051,4687546051,4687546051,4701388889</v>
      </c>
      <c r="Q1484" s="1" t="str">
        <f>_xlfn.CONCAT(H1484,I1484,J1484)</f>
        <v>LIGRFOCOM</v>
      </c>
    </row>
    <row r="1485" spans="2:17">
      <c r="B1485" s="1" t="s">
        <v>286</v>
      </c>
      <c r="C1485" s="1" t="s">
        <v>292</v>
      </c>
      <c r="D1485" s="52">
        <v>46051.46875</v>
      </c>
      <c r="E1485" s="52">
        <v>46051.46875</v>
      </c>
      <c r="F1485" s="52">
        <v>46051.470138888886</v>
      </c>
      <c r="G1485" s="53">
        <f>F1485-E1485</f>
        <v>1.3888888861401938E-3</v>
      </c>
      <c r="H1485" s="1" t="s">
        <v>268</v>
      </c>
      <c r="I1485" s="1" t="s">
        <v>269</v>
      </c>
      <c r="J1485" s="1" t="s">
        <v>319</v>
      </c>
      <c r="K1485" s="1" t="s">
        <v>652</v>
      </c>
      <c r="L1485" s="1" t="s">
        <v>604</v>
      </c>
      <c r="M1485" s="1" t="s">
        <v>289</v>
      </c>
      <c r="N1485" s="1" t="s">
        <v>631</v>
      </c>
      <c r="O1485" s="1" t="s">
        <v>631</v>
      </c>
      <c r="P1485" s="1" t="str">
        <f>_xlfn.CONCAT(B1485,C1485,D1485,E1485,F1485)</f>
        <v>BC Corumba2.2U02.I0246051,4687546051,4687546051,4701388889</v>
      </c>
      <c r="Q1485" s="1" t="str">
        <f>_xlfn.CONCAT(H1485,I1485,J1485)</f>
        <v>LIGRFOCOM</v>
      </c>
    </row>
    <row r="1486" spans="2:17">
      <c r="B1486" s="1" t="s">
        <v>286</v>
      </c>
      <c r="C1486" s="1" t="s">
        <v>293</v>
      </c>
      <c r="D1486" s="52">
        <v>46051.46875</v>
      </c>
      <c r="E1486" s="52">
        <v>46051.46875</v>
      </c>
      <c r="F1486" s="52">
        <v>46051.470138888886</v>
      </c>
      <c r="G1486" s="53">
        <f>F1486-E1486</f>
        <v>1.3888888861401938E-3</v>
      </c>
      <c r="H1486" s="1" t="s">
        <v>268</v>
      </c>
      <c r="I1486" s="1" t="s">
        <v>269</v>
      </c>
      <c r="J1486" s="1" t="s">
        <v>319</v>
      </c>
      <c r="K1486" s="1" t="s">
        <v>652</v>
      </c>
      <c r="L1486" s="1" t="s">
        <v>604</v>
      </c>
      <c r="M1486" s="1" t="s">
        <v>289</v>
      </c>
      <c r="N1486" s="1" t="s">
        <v>631</v>
      </c>
      <c r="O1486" s="1" t="s">
        <v>631</v>
      </c>
      <c r="P1486" s="1" t="str">
        <f>_xlfn.CONCAT(B1486,C1486,D1486,E1486,F1486)</f>
        <v>BC Corumba2.2U02.I0346051,4687546051,4687546051,4701388889</v>
      </c>
      <c r="Q1486" s="1" t="str">
        <f>_xlfn.CONCAT(H1486,I1486,J1486)</f>
        <v>LIGRFOCOM</v>
      </c>
    </row>
    <row r="1487" spans="2:17">
      <c r="B1487" s="1" t="s">
        <v>286</v>
      </c>
      <c r="C1487" s="1" t="s">
        <v>294</v>
      </c>
      <c r="D1487" s="52">
        <v>46051.46875</v>
      </c>
      <c r="E1487" s="52">
        <v>46051.46875</v>
      </c>
      <c r="F1487" s="52">
        <v>46051.470138888886</v>
      </c>
      <c r="G1487" s="53">
        <f>F1487-E1487</f>
        <v>1.3888888861401938E-3</v>
      </c>
      <c r="H1487" s="1" t="s">
        <v>268</v>
      </c>
      <c r="I1487" s="1" t="s">
        <v>269</v>
      </c>
      <c r="J1487" s="1" t="s">
        <v>319</v>
      </c>
      <c r="K1487" s="1" t="s">
        <v>652</v>
      </c>
      <c r="L1487" s="1" t="s">
        <v>604</v>
      </c>
      <c r="M1487" s="1" t="s">
        <v>289</v>
      </c>
      <c r="N1487" s="1" t="s">
        <v>631</v>
      </c>
      <c r="O1487" s="1" t="s">
        <v>631</v>
      </c>
      <c r="P1487" s="1" t="str">
        <f>_xlfn.CONCAT(B1487,C1487,D1487,E1487,F1487)</f>
        <v>BC Corumba2.2U02.I0446051,4687546051,4687546051,4701388889</v>
      </c>
      <c r="Q1487" s="1" t="str">
        <f>_xlfn.CONCAT(H1487,I1487,J1487)</f>
        <v>LIGRFOCOM</v>
      </c>
    </row>
    <row r="1488" spans="2:17">
      <c r="B1488" s="1" t="s">
        <v>286</v>
      </c>
      <c r="C1488" s="1" t="s">
        <v>295</v>
      </c>
      <c r="D1488" s="52">
        <v>46051.46875</v>
      </c>
      <c r="E1488" s="52">
        <v>46051.46875</v>
      </c>
      <c r="F1488" s="52">
        <v>46051.470138888886</v>
      </c>
      <c r="G1488" s="53">
        <f>F1488-E1488</f>
        <v>1.3888888861401938E-3</v>
      </c>
      <c r="H1488" s="1" t="s">
        <v>268</v>
      </c>
      <c r="I1488" s="1" t="s">
        <v>269</v>
      </c>
      <c r="J1488" s="1" t="s">
        <v>319</v>
      </c>
      <c r="K1488" s="1" t="s">
        <v>652</v>
      </c>
      <c r="L1488" s="1" t="s">
        <v>604</v>
      </c>
      <c r="M1488" s="1" t="s">
        <v>289</v>
      </c>
      <c r="N1488" s="1" t="s">
        <v>631</v>
      </c>
      <c r="O1488" s="1" t="s">
        <v>631</v>
      </c>
      <c r="P1488" s="1" t="str">
        <f>_xlfn.CONCAT(B1488,C1488,D1488,E1488,F1488)</f>
        <v>BC Corumba2.2U02.I0546051,4687546051,4687546051,4701388889</v>
      </c>
      <c r="Q1488" s="1" t="str">
        <f>_xlfn.CONCAT(H1488,I1488,J1488)</f>
        <v>LIGRFOCOM</v>
      </c>
    </row>
    <row r="1489" spans="2:17">
      <c r="B1489" s="1" t="s">
        <v>327</v>
      </c>
      <c r="C1489" s="1" t="s">
        <v>247</v>
      </c>
      <c r="D1489" s="52">
        <v>46051.50277777778</v>
      </c>
      <c r="E1489" s="52">
        <v>46051.50277777778</v>
      </c>
      <c r="F1489" s="52">
        <v>46051.512499999997</v>
      </c>
      <c r="G1489" s="53">
        <f>F1489-E1489</f>
        <v>9.7222222175332718E-3</v>
      </c>
      <c r="H1489" s="1" t="s">
        <v>257</v>
      </c>
      <c r="J1489" s="1" t="s">
        <v>258</v>
      </c>
      <c r="K1489" s="1" t="s">
        <v>658</v>
      </c>
      <c r="L1489" s="1" t="s">
        <v>541</v>
      </c>
      <c r="M1489" s="1" t="s">
        <v>260</v>
      </c>
      <c r="N1489" s="1" t="s">
        <v>357</v>
      </c>
      <c r="O1489" s="1" t="s">
        <v>632</v>
      </c>
      <c r="P1489" s="1" t="str">
        <f>_xlfn.CONCAT(B1489,C1489,D1489,E1489,F1489)</f>
        <v>BC Aracu5.1Inverter(MBUS-1)46051,502777777846051,502777777846051,5125</v>
      </c>
      <c r="Q1489" s="1" t="str">
        <f>_xlfn.CONCAT(H1489,I1489,J1489)</f>
        <v>DAURDE</v>
      </c>
    </row>
    <row r="1490" spans="2:17">
      <c r="B1490" s="1" t="s">
        <v>328</v>
      </c>
      <c r="C1490" s="1" t="s">
        <v>247</v>
      </c>
      <c r="D1490" s="52">
        <v>46051.50277777778</v>
      </c>
      <c r="E1490" s="52">
        <v>46051.50277777778</v>
      </c>
      <c r="F1490" s="52">
        <v>46051.512499999997</v>
      </c>
      <c r="G1490" s="53">
        <f>F1490-E1490</f>
        <v>9.7222222175332718E-3</v>
      </c>
      <c r="H1490" s="1" t="s">
        <v>257</v>
      </c>
      <c r="J1490" s="1" t="s">
        <v>258</v>
      </c>
      <c r="K1490" s="1" t="s">
        <v>658</v>
      </c>
      <c r="L1490" s="1" t="s">
        <v>541</v>
      </c>
      <c r="M1490" s="1" t="s">
        <v>260</v>
      </c>
      <c r="N1490" s="1" t="s">
        <v>357</v>
      </c>
      <c r="O1490" s="1" t="s">
        <v>632</v>
      </c>
      <c r="P1490" s="1" t="str">
        <f>_xlfn.CONCAT(B1490,C1490,D1490,E1490,F1490)</f>
        <v>BC Aracu5.3Inverter(MBUS-1)46051,502777777846051,502777777846051,5125</v>
      </c>
      <c r="Q1490" s="1" t="str">
        <f>_xlfn.CONCAT(H1490,I1490,J1490)</f>
        <v>DAURDE</v>
      </c>
    </row>
    <row r="1491" spans="2:17">
      <c r="B1491" s="1" t="s">
        <v>329</v>
      </c>
      <c r="C1491" s="1" t="s">
        <v>247</v>
      </c>
      <c r="D1491" s="52">
        <v>46051.50277777778</v>
      </c>
      <c r="E1491" s="52">
        <v>46051.50277777778</v>
      </c>
      <c r="F1491" s="52">
        <v>46051.512499999997</v>
      </c>
      <c r="G1491" s="53">
        <f>F1491-E1491</f>
        <v>9.7222222175332718E-3</v>
      </c>
      <c r="H1491" s="1" t="s">
        <v>257</v>
      </c>
      <c r="J1491" s="1" t="s">
        <v>258</v>
      </c>
      <c r="K1491" s="1" t="s">
        <v>658</v>
      </c>
      <c r="L1491" s="1" t="s">
        <v>541</v>
      </c>
      <c r="M1491" s="1" t="s">
        <v>260</v>
      </c>
      <c r="N1491" s="1" t="s">
        <v>357</v>
      </c>
      <c r="O1491" s="1" t="s">
        <v>632</v>
      </c>
      <c r="P1491" s="1" t="str">
        <f>_xlfn.CONCAT(B1491,C1491,D1491,E1491,F1491)</f>
        <v>BC Aracu5.4Inverter(MBUS-1)46051,502777777846051,502777777846051,5125</v>
      </c>
      <c r="Q1491" s="1" t="str">
        <f>_xlfn.CONCAT(H1491,I1491,J1491)</f>
        <v>DAURDE</v>
      </c>
    </row>
    <row r="1492" spans="2:17">
      <c r="B1492" s="1" t="s">
        <v>330</v>
      </c>
      <c r="C1492" s="1" t="s">
        <v>247</v>
      </c>
      <c r="D1492" s="52">
        <v>46051.50277777778</v>
      </c>
      <c r="E1492" s="52">
        <v>46051.50277777778</v>
      </c>
      <c r="F1492" s="52">
        <v>46051.512499999997</v>
      </c>
      <c r="G1492" s="53">
        <f>F1492-E1492</f>
        <v>9.7222222175332718E-3</v>
      </c>
      <c r="H1492" s="1" t="s">
        <v>257</v>
      </c>
      <c r="J1492" s="1" t="s">
        <v>258</v>
      </c>
      <c r="K1492" s="1" t="s">
        <v>658</v>
      </c>
      <c r="L1492" s="1" t="s">
        <v>541</v>
      </c>
      <c r="M1492" s="1" t="s">
        <v>260</v>
      </c>
      <c r="N1492" s="1" t="s">
        <v>357</v>
      </c>
      <c r="O1492" s="1" t="s">
        <v>632</v>
      </c>
      <c r="P1492" s="1" t="str">
        <f>_xlfn.CONCAT(B1492,C1492,D1492,E1492,F1492)</f>
        <v>BC Aracu5.5Inverter(MBUS-1)46051,502777777846051,502777777846051,5125</v>
      </c>
      <c r="Q1492" s="1" t="str">
        <f>_xlfn.CONCAT(H1492,I1492,J1492)</f>
        <v>DAURDE</v>
      </c>
    </row>
    <row r="1493" spans="2:17">
      <c r="B1493" s="1" t="s">
        <v>331</v>
      </c>
      <c r="C1493" s="1" t="s">
        <v>332</v>
      </c>
      <c r="D1493" s="52">
        <v>46051.607638888891</v>
      </c>
      <c r="E1493" s="52">
        <v>46051.607638888891</v>
      </c>
      <c r="F1493" s="52">
        <v>46051.697916666664</v>
      </c>
      <c r="G1493" s="53">
        <f>F1493-E1493</f>
        <v>9.0277777773735579E-2</v>
      </c>
      <c r="H1493" s="1" t="s">
        <v>257</v>
      </c>
      <c r="J1493" s="1" t="s">
        <v>258</v>
      </c>
      <c r="K1493" s="1" t="s">
        <v>658</v>
      </c>
      <c r="L1493" s="1" t="s">
        <v>259</v>
      </c>
      <c r="M1493" s="1" t="s">
        <v>260</v>
      </c>
      <c r="N1493" s="1" t="s">
        <v>357</v>
      </c>
      <c r="O1493" s="1" t="s">
        <v>633</v>
      </c>
      <c r="P1493" s="1" t="str">
        <f>_xlfn.CONCAT(B1493,C1493,D1493,E1493,F1493)</f>
        <v>BC Varjao2.1215KTL-H0(MBUS-12)46051,607638888946051,607638888946051,6979166667</v>
      </c>
      <c r="Q1493" s="1" t="str">
        <f>_xlfn.CONCAT(H1493,I1493,J1493)</f>
        <v>DAURDE</v>
      </c>
    </row>
    <row r="1494" spans="2:17">
      <c r="B1494" s="1" t="s">
        <v>331</v>
      </c>
      <c r="C1494" s="1" t="s">
        <v>335</v>
      </c>
      <c r="D1494" s="52">
        <v>46051.607638888891</v>
      </c>
      <c r="E1494" s="52">
        <v>46051.607638888891</v>
      </c>
      <c r="F1494" s="52">
        <v>46051.697916666664</v>
      </c>
      <c r="G1494" s="53">
        <f>F1494-E1494</f>
        <v>9.0277777773735579E-2</v>
      </c>
      <c r="H1494" s="1" t="s">
        <v>257</v>
      </c>
      <c r="J1494" s="1" t="s">
        <v>258</v>
      </c>
      <c r="K1494" s="1" t="s">
        <v>658</v>
      </c>
      <c r="L1494" s="1" t="s">
        <v>259</v>
      </c>
      <c r="M1494" s="1" t="s">
        <v>260</v>
      </c>
      <c r="N1494" s="1" t="s">
        <v>357</v>
      </c>
      <c r="O1494" s="1" t="s">
        <v>633</v>
      </c>
      <c r="P1494" s="1" t="str">
        <f>_xlfn.CONCAT(B1494,C1494,D1494,E1494,F1494)</f>
        <v>BC Varjao2.1215KTL-H0(MBUS-13)46051,607638888946051,607638888946051,6979166667</v>
      </c>
      <c r="Q1494" s="1" t="str">
        <f>_xlfn.CONCAT(H1494,I1494,J1494)</f>
        <v>DAURDE</v>
      </c>
    </row>
    <row r="1495" spans="2:17">
      <c r="B1495" s="1" t="s">
        <v>331</v>
      </c>
      <c r="C1495" s="1" t="s">
        <v>336</v>
      </c>
      <c r="D1495" s="52">
        <v>46051.607638888891</v>
      </c>
      <c r="E1495" s="52">
        <v>46051.607638888891</v>
      </c>
      <c r="F1495" s="52">
        <v>46051.697916666664</v>
      </c>
      <c r="G1495" s="53">
        <f>F1495-E1495</f>
        <v>9.0277777773735579E-2</v>
      </c>
      <c r="H1495" s="1" t="s">
        <v>257</v>
      </c>
      <c r="J1495" s="1" t="s">
        <v>258</v>
      </c>
      <c r="K1495" s="1" t="s">
        <v>658</v>
      </c>
      <c r="L1495" s="1" t="s">
        <v>259</v>
      </c>
      <c r="M1495" s="1" t="s">
        <v>260</v>
      </c>
      <c r="N1495" s="1" t="s">
        <v>357</v>
      </c>
      <c r="O1495" s="1" t="s">
        <v>633</v>
      </c>
      <c r="P1495" s="1" t="str">
        <f>_xlfn.CONCAT(B1495,C1495,D1495,E1495,F1495)</f>
        <v>BC Varjao2.1215KTL-H0(MBUS-14)46051,607638888946051,607638888946051,6979166667</v>
      </c>
      <c r="Q1495" s="1" t="str">
        <f>_xlfn.CONCAT(H1495,I1495,J1495)</f>
        <v>DAURDE</v>
      </c>
    </row>
    <row r="1496" spans="2:17">
      <c r="B1496" s="1" t="s">
        <v>331</v>
      </c>
      <c r="C1496" s="1" t="s">
        <v>337</v>
      </c>
      <c r="D1496" s="52">
        <v>46051.607638888891</v>
      </c>
      <c r="E1496" s="52">
        <v>46051.607638888891</v>
      </c>
      <c r="F1496" s="52">
        <v>46051.697916666664</v>
      </c>
      <c r="G1496" s="53">
        <f>F1496-E1496</f>
        <v>9.0277777773735579E-2</v>
      </c>
      <c r="H1496" s="1" t="s">
        <v>257</v>
      </c>
      <c r="J1496" s="1" t="s">
        <v>258</v>
      </c>
      <c r="K1496" s="1" t="s">
        <v>658</v>
      </c>
      <c r="L1496" s="1" t="s">
        <v>259</v>
      </c>
      <c r="M1496" s="1" t="s">
        <v>260</v>
      </c>
      <c r="N1496" s="1" t="s">
        <v>357</v>
      </c>
      <c r="O1496" s="1" t="s">
        <v>633</v>
      </c>
      <c r="P1496" s="1" t="str">
        <f>_xlfn.CONCAT(B1496,C1496,D1496,E1496,F1496)</f>
        <v>BC Varjao2.1215KTL-H0(MBUS-15)46051,607638888946051,607638888946051,6979166667</v>
      </c>
      <c r="Q1496" s="1" t="str">
        <f>_xlfn.CONCAT(H1496,I1496,J1496)</f>
        <v>DAURDE</v>
      </c>
    </row>
    <row r="1497" spans="2:17">
      <c r="B1497" s="1" t="s">
        <v>331</v>
      </c>
      <c r="C1497" s="1" t="s">
        <v>338</v>
      </c>
      <c r="D1497" s="52">
        <v>46051.607638888891</v>
      </c>
      <c r="E1497" s="52">
        <v>46051.607638888891</v>
      </c>
      <c r="F1497" s="52">
        <v>46051.697916666664</v>
      </c>
      <c r="G1497" s="53">
        <f>F1497-E1497</f>
        <v>9.0277777773735579E-2</v>
      </c>
      <c r="H1497" s="1" t="s">
        <v>257</v>
      </c>
      <c r="J1497" s="1" t="s">
        <v>258</v>
      </c>
      <c r="K1497" s="1" t="s">
        <v>658</v>
      </c>
      <c r="L1497" s="1" t="s">
        <v>259</v>
      </c>
      <c r="M1497" s="1" t="s">
        <v>260</v>
      </c>
      <c r="N1497" s="1" t="s">
        <v>357</v>
      </c>
      <c r="O1497" s="1" t="s">
        <v>633</v>
      </c>
      <c r="P1497" s="1" t="str">
        <f>_xlfn.CONCAT(B1497,C1497,D1497,E1497,F1497)</f>
        <v>BC Varjao2.1215KTL-H0(MBUS-16)46051,607638888946051,607638888946051,6979166667</v>
      </c>
      <c r="Q1497" s="1" t="str">
        <f>_xlfn.CONCAT(H1497,I1497,J1497)</f>
        <v>DAURDE</v>
      </c>
    </row>
    <row r="1498" spans="2:17">
      <c r="B1498" s="1" t="s">
        <v>339</v>
      </c>
      <c r="C1498" s="1" t="s">
        <v>335</v>
      </c>
      <c r="D1498" s="52">
        <v>46051.607638888891</v>
      </c>
      <c r="E1498" s="52">
        <v>46051.607638888891</v>
      </c>
      <c r="F1498" s="52">
        <v>46051.697916666664</v>
      </c>
      <c r="G1498" s="53">
        <f>F1498-E1498</f>
        <v>9.0277777773735579E-2</v>
      </c>
      <c r="H1498" s="1" t="s">
        <v>257</v>
      </c>
      <c r="J1498" s="1" t="s">
        <v>258</v>
      </c>
      <c r="K1498" s="1" t="s">
        <v>658</v>
      </c>
      <c r="L1498" s="1" t="s">
        <v>259</v>
      </c>
      <c r="M1498" s="1" t="s">
        <v>260</v>
      </c>
      <c r="N1498" s="1" t="s">
        <v>357</v>
      </c>
      <c r="O1498" s="1" t="s">
        <v>633</v>
      </c>
      <c r="P1498" s="1" t="str">
        <f>_xlfn.CONCAT(B1498,C1498,D1498,E1498,F1498)</f>
        <v>BC Varjao2.2215KTL-H0(MBUS-13)46051,607638888946051,607638888946051,6979166667</v>
      </c>
      <c r="Q1498" s="1" t="str">
        <f>_xlfn.CONCAT(H1498,I1498,J1498)</f>
        <v>DAURDE</v>
      </c>
    </row>
    <row r="1499" spans="2:17">
      <c r="B1499" s="1" t="s">
        <v>339</v>
      </c>
      <c r="C1499" s="1" t="s">
        <v>336</v>
      </c>
      <c r="D1499" s="52">
        <v>46051.607638888891</v>
      </c>
      <c r="E1499" s="52">
        <v>46051.607638888891</v>
      </c>
      <c r="F1499" s="52">
        <v>46051.697916666664</v>
      </c>
      <c r="G1499" s="53">
        <f>F1499-E1499</f>
        <v>9.0277777773735579E-2</v>
      </c>
      <c r="H1499" s="1" t="s">
        <v>257</v>
      </c>
      <c r="J1499" s="1" t="s">
        <v>258</v>
      </c>
      <c r="K1499" s="1" t="s">
        <v>658</v>
      </c>
      <c r="L1499" s="1" t="s">
        <v>259</v>
      </c>
      <c r="M1499" s="1" t="s">
        <v>260</v>
      </c>
      <c r="N1499" s="1" t="s">
        <v>357</v>
      </c>
      <c r="O1499" s="1" t="s">
        <v>633</v>
      </c>
      <c r="P1499" s="1" t="str">
        <f>_xlfn.CONCAT(B1499,C1499,D1499,E1499,F1499)</f>
        <v>BC Varjao2.2215KTL-H0(MBUS-14)46051,607638888946051,607638888946051,6979166667</v>
      </c>
      <c r="Q1499" s="1" t="str">
        <f>_xlfn.CONCAT(H1499,I1499,J1499)</f>
        <v>DAURDE</v>
      </c>
    </row>
    <row r="1500" spans="2:17">
      <c r="B1500" s="1" t="s">
        <v>339</v>
      </c>
      <c r="C1500" s="1" t="s">
        <v>337</v>
      </c>
      <c r="D1500" s="52">
        <v>46051.607638888891</v>
      </c>
      <c r="E1500" s="52">
        <v>46051.607638888891</v>
      </c>
      <c r="F1500" s="52">
        <v>46051.697916666664</v>
      </c>
      <c r="G1500" s="53">
        <f>F1500-E1500</f>
        <v>9.0277777773735579E-2</v>
      </c>
      <c r="H1500" s="1" t="s">
        <v>257</v>
      </c>
      <c r="J1500" s="1" t="s">
        <v>258</v>
      </c>
      <c r="K1500" s="1" t="s">
        <v>658</v>
      </c>
      <c r="L1500" s="1" t="s">
        <v>259</v>
      </c>
      <c r="M1500" s="1" t="s">
        <v>260</v>
      </c>
      <c r="N1500" s="1" t="s">
        <v>357</v>
      </c>
      <c r="O1500" s="1" t="s">
        <v>633</v>
      </c>
      <c r="P1500" s="1" t="str">
        <f>_xlfn.CONCAT(B1500,C1500,D1500,E1500,F1500)</f>
        <v>BC Varjao2.2215KTL-H0(MBUS-15)46051,607638888946051,607638888946051,6979166667</v>
      </c>
      <c r="Q1500" s="1" t="str">
        <f>_xlfn.CONCAT(H1500,I1500,J1500)</f>
        <v>DAURDE</v>
      </c>
    </row>
    <row r="1501" spans="2:17">
      <c r="B1501" s="1" t="s">
        <v>339</v>
      </c>
      <c r="C1501" s="1" t="s">
        <v>338</v>
      </c>
      <c r="D1501" s="52">
        <v>46051.607638888891</v>
      </c>
      <c r="E1501" s="52">
        <v>46051.607638888891</v>
      </c>
      <c r="F1501" s="52">
        <v>46051.697916666664</v>
      </c>
      <c r="G1501" s="53">
        <f>F1501-E1501</f>
        <v>9.0277777773735579E-2</v>
      </c>
      <c r="H1501" s="1" t="s">
        <v>257</v>
      </c>
      <c r="J1501" s="1" t="s">
        <v>258</v>
      </c>
      <c r="K1501" s="1" t="s">
        <v>658</v>
      </c>
      <c r="L1501" s="1" t="s">
        <v>259</v>
      </c>
      <c r="M1501" s="1" t="s">
        <v>260</v>
      </c>
      <c r="N1501" s="1" t="s">
        <v>357</v>
      </c>
      <c r="O1501" s="1" t="s">
        <v>633</v>
      </c>
      <c r="P1501" s="1" t="str">
        <f>_xlfn.CONCAT(B1501,C1501,D1501,E1501,F1501)</f>
        <v>BC Varjao2.2215KTL-H0(MBUS-16)46051,607638888946051,607638888946051,6979166667</v>
      </c>
      <c r="Q1501" s="1" t="str">
        <f>_xlfn.CONCAT(H1501,I1501,J1501)</f>
        <v>DAURDE</v>
      </c>
    </row>
    <row r="1502" spans="2:17">
      <c r="B1502" s="1" t="s">
        <v>339</v>
      </c>
      <c r="C1502" s="1" t="s">
        <v>332</v>
      </c>
      <c r="D1502" s="52">
        <v>46051.607638888891</v>
      </c>
      <c r="E1502" s="52">
        <v>46051.607638888891</v>
      </c>
      <c r="F1502" s="52">
        <v>46051.697916666664</v>
      </c>
      <c r="G1502" s="53">
        <f>F1502-E1502</f>
        <v>9.0277777773735579E-2</v>
      </c>
      <c r="H1502" s="1" t="s">
        <v>257</v>
      </c>
      <c r="J1502" s="1" t="s">
        <v>258</v>
      </c>
      <c r="K1502" s="1" t="s">
        <v>658</v>
      </c>
      <c r="L1502" s="1" t="s">
        <v>259</v>
      </c>
      <c r="M1502" s="1" t="s">
        <v>260</v>
      </c>
      <c r="N1502" s="1" t="s">
        <v>357</v>
      </c>
      <c r="O1502" s="1" t="s">
        <v>633</v>
      </c>
      <c r="P1502" s="1" t="str">
        <f>_xlfn.CONCAT(B1502,C1502,D1502,E1502,F1502)</f>
        <v>BC Varjao2.2215KTL-H0(MBUS-12)46051,607638888946051,607638888946051,6979166667</v>
      </c>
      <c r="Q1502" s="1" t="str">
        <f>_xlfn.CONCAT(H1502,I1502,J1502)</f>
        <v>DAURDE</v>
      </c>
    </row>
    <row r="1503" spans="2:17">
      <c r="B1503" s="1" t="s">
        <v>340</v>
      </c>
      <c r="C1503" s="1" t="s">
        <v>341</v>
      </c>
      <c r="D1503" s="52">
        <v>46051.607638888891</v>
      </c>
      <c r="E1503" s="52">
        <v>46051.607638888891</v>
      </c>
      <c r="F1503" s="52">
        <v>46051.697916666664</v>
      </c>
      <c r="G1503" s="53">
        <f>F1503-E1503</f>
        <v>9.0277777773735579E-2</v>
      </c>
      <c r="H1503" s="1" t="s">
        <v>257</v>
      </c>
      <c r="J1503" s="1" t="s">
        <v>258</v>
      </c>
      <c r="K1503" s="1" t="s">
        <v>658</v>
      </c>
      <c r="L1503" s="1" t="s">
        <v>259</v>
      </c>
      <c r="M1503" s="1" t="s">
        <v>260</v>
      </c>
      <c r="N1503" s="1" t="s">
        <v>357</v>
      </c>
      <c r="O1503" s="1" t="s">
        <v>633</v>
      </c>
      <c r="P1503" s="1" t="str">
        <f>_xlfn.CONCAT(B1503,C1503,D1503,E1503,F1503)</f>
        <v>BC Varjao2.3100KTL-H1(MBUS-1)46051,607638888946051,607638888946051,6979166667</v>
      </c>
      <c r="Q1503" s="1" t="str">
        <f>_xlfn.CONCAT(H1503,I1503,J1503)</f>
        <v>DAURDE</v>
      </c>
    </row>
    <row r="1504" spans="2:17">
      <c r="B1504" s="1" t="s">
        <v>340</v>
      </c>
      <c r="C1504" s="1" t="s">
        <v>335</v>
      </c>
      <c r="D1504" s="52">
        <v>46051.607638888891</v>
      </c>
      <c r="E1504" s="52">
        <v>46051.607638888891</v>
      </c>
      <c r="F1504" s="52">
        <v>46051.697916666664</v>
      </c>
      <c r="G1504" s="53">
        <f>F1504-E1504</f>
        <v>9.0277777773735579E-2</v>
      </c>
      <c r="H1504" s="1" t="s">
        <v>257</v>
      </c>
      <c r="J1504" s="1" t="s">
        <v>258</v>
      </c>
      <c r="K1504" s="1" t="s">
        <v>658</v>
      </c>
      <c r="L1504" s="1" t="s">
        <v>259</v>
      </c>
      <c r="M1504" s="1" t="s">
        <v>260</v>
      </c>
      <c r="N1504" s="1" t="s">
        <v>357</v>
      </c>
      <c r="O1504" s="1" t="s">
        <v>633</v>
      </c>
      <c r="P1504" s="1" t="str">
        <f>_xlfn.CONCAT(B1504,C1504,D1504,E1504,F1504)</f>
        <v>BC Varjao2.3215KTL-H0(MBUS-13)46051,607638888946051,607638888946051,6979166667</v>
      </c>
      <c r="Q1504" s="1" t="str">
        <f>_xlfn.CONCAT(H1504,I1504,J1504)</f>
        <v>DAURDE</v>
      </c>
    </row>
    <row r="1505" spans="2:17">
      <c r="B1505" s="1" t="s">
        <v>340</v>
      </c>
      <c r="C1505" s="1" t="s">
        <v>332</v>
      </c>
      <c r="D1505" s="52">
        <v>46051.607638888891</v>
      </c>
      <c r="E1505" s="52">
        <v>46051.607638888891</v>
      </c>
      <c r="F1505" s="52">
        <v>46051.697916666664</v>
      </c>
      <c r="G1505" s="53">
        <f>F1505-E1505</f>
        <v>9.0277777773735579E-2</v>
      </c>
      <c r="H1505" s="1" t="s">
        <v>257</v>
      </c>
      <c r="J1505" s="1" t="s">
        <v>258</v>
      </c>
      <c r="K1505" s="1" t="s">
        <v>658</v>
      </c>
      <c r="L1505" s="1" t="s">
        <v>259</v>
      </c>
      <c r="M1505" s="1" t="s">
        <v>260</v>
      </c>
      <c r="N1505" s="1" t="s">
        <v>357</v>
      </c>
      <c r="O1505" s="1" t="s">
        <v>633</v>
      </c>
      <c r="P1505" s="1" t="str">
        <f>_xlfn.CONCAT(B1505,C1505,D1505,E1505,F1505)</f>
        <v>BC Varjao2.3215KTL-H0(MBUS-12)46051,607638888946051,607638888946051,6979166667</v>
      </c>
      <c r="Q1505" s="1" t="str">
        <f>_xlfn.CONCAT(H1505,I1505,J1505)</f>
        <v>DAURDE</v>
      </c>
    </row>
    <row r="1506" spans="2:17">
      <c r="B1506" s="1" t="s">
        <v>327</v>
      </c>
      <c r="C1506" s="1" t="s">
        <v>247</v>
      </c>
      <c r="D1506" s="52">
        <v>46051.805555555555</v>
      </c>
      <c r="E1506" s="52">
        <v>46051.805555555555</v>
      </c>
      <c r="F1506" s="52">
        <v>46052.300694444442</v>
      </c>
      <c r="G1506" s="53">
        <f>F1506-E1506</f>
        <v>0.49513888888759539</v>
      </c>
      <c r="H1506" s="1" t="s">
        <v>257</v>
      </c>
      <c r="J1506" s="1" t="s">
        <v>258</v>
      </c>
      <c r="K1506" s="1" t="s">
        <v>658</v>
      </c>
      <c r="L1506" s="1" t="s">
        <v>541</v>
      </c>
      <c r="M1506" s="1" t="s">
        <v>260</v>
      </c>
      <c r="N1506" s="1" t="s">
        <v>357</v>
      </c>
      <c r="O1506" s="1" t="s">
        <v>632</v>
      </c>
      <c r="P1506" s="1" t="str">
        <f>_xlfn.CONCAT(B1506,C1506,D1506,E1506,F1506)</f>
        <v>BC Aracu5.1Inverter(MBUS-1)46051,805555555646051,805555555646052,3006944444</v>
      </c>
      <c r="Q1506" s="1" t="str">
        <f>_xlfn.CONCAT(H1506,I1506,J1506)</f>
        <v>DAURDE</v>
      </c>
    </row>
    <row r="1507" spans="2:17">
      <c r="B1507" s="1" t="s">
        <v>328</v>
      </c>
      <c r="C1507" s="1" t="s">
        <v>247</v>
      </c>
      <c r="D1507" s="52">
        <v>46051.805555555555</v>
      </c>
      <c r="E1507" s="52">
        <v>46051.805555555555</v>
      </c>
      <c r="F1507" s="52">
        <v>46052.300694444442</v>
      </c>
      <c r="G1507" s="53">
        <f>F1507-E1507</f>
        <v>0.49513888888759539</v>
      </c>
      <c r="H1507" s="1" t="s">
        <v>257</v>
      </c>
      <c r="J1507" s="1" t="s">
        <v>258</v>
      </c>
      <c r="K1507" s="1" t="s">
        <v>658</v>
      </c>
      <c r="L1507" s="1" t="s">
        <v>541</v>
      </c>
      <c r="M1507" s="1" t="s">
        <v>260</v>
      </c>
      <c r="N1507" s="1" t="s">
        <v>357</v>
      </c>
      <c r="O1507" s="1" t="s">
        <v>632</v>
      </c>
      <c r="P1507" s="1" t="str">
        <f>_xlfn.CONCAT(B1507,C1507,D1507,E1507,F1507)</f>
        <v>BC Aracu5.3Inverter(MBUS-1)46051,805555555646051,805555555646052,3006944444</v>
      </c>
      <c r="Q1507" s="1" t="str">
        <f>_xlfn.CONCAT(H1507,I1507,J1507)</f>
        <v>DAURDE</v>
      </c>
    </row>
    <row r="1508" spans="2:17">
      <c r="B1508" s="1" t="s">
        <v>329</v>
      </c>
      <c r="C1508" s="1" t="s">
        <v>247</v>
      </c>
      <c r="D1508" s="52">
        <v>46051.805555555555</v>
      </c>
      <c r="E1508" s="52">
        <v>46051.805555555555</v>
      </c>
      <c r="F1508" s="52">
        <v>46052.300694444442</v>
      </c>
      <c r="G1508" s="53">
        <f>F1508-E1508</f>
        <v>0.49513888888759539</v>
      </c>
      <c r="H1508" s="1" t="s">
        <v>257</v>
      </c>
      <c r="J1508" s="1" t="s">
        <v>258</v>
      </c>
      <c r="K1508" s="1" t="s">
        <v>658</v>
      </c>
      <c r="L1508" s="1" t="s">
        <v>541</v>
      </c>
      <c r="M1508" s="1" t="s">
        <v>260</v>
      </c>
      <c r="N1508" s="1" t="s">
        <v>357</v>
      </c>
      <c r="O1508" s="1" t="s">
        <v>632</v>
      </c>
      <c r="P1508" s="1" t="str">
        <f>_xlfn.CONCAT(B1508,C1508,D1508,E1508,F1508)</f>
        <v>BC Aracu5.4Inverter(MBUS-1)46051,805555555646051,805555555646052,3006944444</v>
      </c>
      <c r="Q1508" s="1" t="str">
        <f>_xlfn.CONCAT(H1508,I1508,J1508)</f>
        <v>DAURDE</v>
      </c>
    </row>
    <row r="1509" spans="2:17">
      <c r="B1509" s="1" t="s">
        <v>330</v>
      </c>
      <c r="C1509" s="1" t="s">
        <v>247</v>
      </c>
      <c r="D1509" s="52">
        <v>46051.805555555555</v>
      </c>
      <c r="E1509" s="52">
        <v>46051.805555555555</v>
      </c>
      <c r="F1509" s="52">
        <v>46052.300694444442</v>
      </c>
      <c r="G1509" s="53">
        <f>F1509-E1509</f>
        <v>0.49513888888759539</v>
      </c>
      <c r="H1509" s="1" t="s">
        <v>257</v>
      </c>
      <c r="J1509" s="1" t="s">
        <v>258</v>
      </c>
      <c r="K1509" s="1" t="s">
        <v>658</v>
      </c>
      <c r="L1509" s="1" t="s">
        <v>541</v>
      </c>
      <c r="M1509" s="1" t="s">
        <v>260</v>
      </c>
      <c r="N1509" s="1" t="s">
        <v>357</v>
      </c>
      <c r="O1509" s="1" t="s">
        <v>632</v>
      </c>
      <c r="P1509" s="1" t="str">
        <f>_xlfn.CONCAT(B1509,C1509,D1509,E1509,F1509)</f>
        <v>BC Aracu5.5Inverter(MBUS-1)46051,805555555646051,805555555646052,3006944444</v>
      </c>
      <c r="Q1509" s="1" t="str">
        <f>_xlfn.CONCAT(H1509,I1509,J1509)</f>
        <v>DAURDE</v>
      </c>
    </row>
    <row r="1510" spans="2:17">
      <c r="B1510" s="1" t="s">
        <v>286</v>
      </c>
      <c r="C1510" s="1" t="s">
        <v>287</v>
      </c>
      <c r="D1510" s="52">
        <v>46052.413194444445</v>
      </c>
      <c r="E1510" s="52">
        <v>46052.413194444445</v>
      </c>
      <c r="F1510" s="52">
        <v>46052.413888888892</v>
      </c>
      <c r="G1510" s="53">
        <f>F1510-E1510</f>
        <v>6.944444467080757E-4</v>
      </c>
      <c r="H1510" s="1" t="s">
        <v>268</v>
      </c>
      <c r="I1510" s="1" t="s">
        <v>269</v>
      </c>
      <c r="J1510" s="1" t="s">
        <v>319</v>
      </c>
      <c r="K1510" s="1" t="s">
        <v>652</v>
      </c>
      <c r="L1510" s="1" t="s">
        <v>604</v>
      </c>
      <c r="M1510" s="1" t="s">
        <v>289</v>
      </c>
      <c r="N1510" s="1" t="s">
        <v>631</v>
      </c>
      <c r="O1510" s="1" t="s">
        <v>631</v>
      </c>
      <c r="P1510" s="1" t="str">
        <f>_xlfn.CONCAT(B1510,C1510,D1510,E1510,F1510)</f>
        <v>BC Corumba2.2U02.I0146052,413194444446052,413194444446052,4138888889</v>
      </c>
      <c r="Q1510" s="1" t="str">
        <f>_xlfn.CONCAT(H1510,I1510,J1510)</f>
        <v>LIGRFOCOM</v>
      </c>
    </row>
    <row r="1511" spans="2:17">
      <c r="B1511" s="1" t="s">
        <v>286</v>
      </c>
      <c r="C1511" s="1" t="s">
        <v>292</v>
      </c>
      <c r="D1511" s="52">
        <v>46052.413194444445</v>
      </c>
      <c r="E1511" s="52">
        <v>46052.413194444445</v>
      </c>
      <c r="F1511" s="52">
        <v>46052.413888888892</v>
      </c>
      <c r="G1511" s="53">
        <f>F1511-E1511</f>
        <v>6.944444467080757E-4</v>
      </c>
      <c r="H1511" s="1" t="s">
        <v>268</v>
      </c>
      <c r="I1511" s="1" t="s">
        <v>269</v>
      </c>
      <c r="J1511" s="1" t="s">
        <v>319</v>
      </c>
      <c r="K1511" s="1" t="s">
        <v>652</v>
      </c>
      <c r="L1511" s="1" t="s">
        <v>604</v>
      </c>
      <c r="M1511" s="1" t="s">
        <v>289</v>
      </c>
      <c r="N1511" s="1" t="s">
        <v>631</v>
      </c>
      <c r="O1511" s="1" t="s">
        <v>631</v>
      </c>
      <c r="P1511" s="1" t="str">
        <f>_xlfn.CONCAT(B1511,C1511,D1511,E1511,F1511)</f>
        <v>BC Corumba2.2U02.I0246052,413194444446052,413194444446052,4138888889</v>
      </c>
      <c r="Q1511" s="1" t="str">
        <f>_xlfn.CONCAT(H1511,I1511,J1511)</f>
        <v>LIGRFOCOM</v>
      </c>
    </row>
    <row r="1512" spans="2:17">
      <c r="B1512" s="1" t="s">
        <v>286</v>
      </c>
      <c r="C1512" s="1" t="s">
        <v>293</v>
      </c>
      <c r="D1512" s="52">
        <v>46052.413194444445</v>
      </c>
      <c r="E1512" s="52">
        <v>46052.413194444445</v>
      </c>
      <c r="F1512" s="52">
        <v>46052.413888888892</v>
      </c>
      <c r="G1512" s="53">
        <f>F1512-E1512</f>
        <v>6.944444467080757E-4</v>
      </c>
      <c r="H1512" s="1" t="s">
        <v>268</v>
      </c>
      <c r="I1512" s="1" t="s">
        <v>269</v>
      </c>
      <c r="J1512" s="1" t="s">
        <v>319</v>
      </c>
      <c r="K1512" s="1" t="s">
        <v>652</v>
      </c>
      <c r="L1512" s="1" t="s">
        <v>604</v>
      </c>
      <c r="M1512" s="1" t="s">
        <v>289</v>
      </c>
      <c r="N1512" s="1" t="s">
        <v>631</v>
      </c>
      <c r="O1512" s="1" t="s">
        <v>631</v>
      </c>
      <c r="P1512" s="1" t="str">
        <f>_xlfn.CONCAT(B1512,C1512,D1512,E1512,F1512)</f>
        <v>BC Corumba2.2U02.I0346052,413194444446052,413194444446052,4138888889</v>
      </c>
      <c r="Q1512" s="1" t="str">
        <f>_xlfn.CONCAT(H1512,I1512,J1512)</f>
        <v>LIGRFOCOM</v>
      </c>
    </row>
    <row r="1513" spans="2:17">
      <c r="B1513" s="1" t="s">
        <v>286</v>
      </c>
      <c r="C1513" s="1" t="s">
        <v>294</v>
      </c>
      <c r="D1513" s="52">
        <v>46052.413194444445</v>
      </c>
      <c r="E1513" s="52">
        <v>46052.413194444445</v>
      </c>
      <c r="F1513" s="52">
        <v>46052.413888888892</v>
      </c>
      <c r="G1513" s="53">
        <f>F1513-E1513</f>
        <v>6.944444467080757E-4</v>
      </c>
      <c r="H1513" s="1" t="s">
        <v>268</v>
      </c>
      <c r="I1513" s="1" t="s">
        <v>269</v>
      </c>
      <c r="J1513" s="1" t="s">
        <v>319</v>
      </c>
      <c r="K1513" s="1" t="s">
        <v>652</v>
      </c>
      <c r="L1513" s="1" t="s">
        <v>604</v>
      </c>
      <c r="M1513" s="1" t="s">
        <v>289</v>
      </c>
      <c r="N1513" s="1" t="s">
        <v>631</v>
      </c>
      <c r="O1513" s="1" t="s">
        <v>631</v>
      </c>
      <c r="P1513" s="1" t="str">
        <f>_xlfn.CONCAT(B1513,C1513,D1513,E1513,F1513)</f>
        <v>BC Corumba2.2U02.I0446052,413194444446052,413194444446052,4138888889</v>
      </c>
      <c r="Q1513" s="1" t="str">
        <f>_xlfn.CONCAT(H1513,I1513,J1513)</f>
        <v>LIGRFOCOM</v>
      </c>
    </row>
    <row r="1514" spans="2:17">
      <c r="B1514" s="1" t="s">
        <v>286</v>
      </c>
      <c r="C1514" s="1" t="s">
        <v>295</v>
      </c>
      <c r="D1514" s="52">
        <v>46052.413194444445</v>
      </c>
      <c r="E1514" s="52">
        <v>46052.413194444445</v>
      </c>
      <c r="F1514" s="52">
        <v>46052.413888888892</v>
      </c>
      <c r="G1514" s="53">
        <f>F1514-E1514</f>
        <v>6.944444467080757E-4</v>
      </c>
      <c r="H1514" s="1" t="s">
        <v>268</v>
      </c>
      <c r="I1514" s="1" t="s">
        <v>269</v>
      </c>
      <c r="J1514" s="1" t="s">
        <v>319</v>
      </c>
      <c r="K1514" s="1" t="s">
        <v>652</v>
      </c>
      <c r="L1514" s="1" t="s">
        <v>604</v>
      </c>
      <c r="M1514" s="1" t="s">
        <v>289</v>
      </c>
      <c r="N1514" s="1" t="s">
        <v>631</v>
      </c>
      <c r="O1514" s="1" t="s">
        <v>631</v>
      </c>
      <c r="P1514" s="1" t="str">
        <f>_xlfn.CONCAT(B1514,C1514,D1514,E1514,F1514)</f>
        <v>BC Corumba2.2U02.I0546052,413194444446052,413194444446052,4138888889</v>
      </c>
      <c r="Q1514" s="1" t="str">
        <f>_xlfn.CONCAT(H1514,I1514,J1514)</f>
        <v>LIGRFOCOM</v>
      </c>
    </row>
    <row r="1515" spans="2:17">
      <c r="B1515" s="1" t="s">
        <v>612</v>
      </c>
      <c r="C1515" s="1" t="s">
        <v>622</v>
      </c>
      <c r="D1515" s="52">
        <v>46052.554166666669</v>
      </c>
      <c r="E1515" s="52">
        <v>46052.554166666669</v>
      </c>
      <c r="F1515" s="52">
        <v>46052.569444444445</v>
      </c>
      <c r="G1515" s="53">
        <f>F1515-E1515</f>
        <v>1.5277777776645962E-2</v>
      </c>
      <c r="H1515" s="1" t="s">
        <v>257</v>
      </c>
      <c r="J1515" s="1" t="s">
        <v>371</v>
      </c>
      <c r="K1515" s="1" t="s">
        <v>653</v>
      </c>
      <c r="L1515" s="1" t="s">
        <v>634</v>
      </c>
      <c r="M1515" s="1" t="s">
        <v>252</v>
      </c>
      <c r="N1515" s="1" t="s">
        <v>253</v>
      </c>
      <c r="O1515" s="1" t="s">
        <v>632</v>
      </c>
      <c r="P1515" s="1" t="str">
        <f>_xlfn.CONCAT(B1515,C1515,D1515,E1515,F1515)</f>
        <v>BC Vazante 1.1Inverter1246052,554166666746052,554166666746052,5694444444</v>
      </c>
      <c r="Q1515" s="1" t="str">
        <f>_xlfn.CONCAT(H1515,I1515,J1515)</f>
        <v>DAUINV</v>
      </c>
    </row>
    <row r="1516" spans="2:17">
      <c r="B1516" s="1" t="s">
        <v>255</v>
      </c>
      <c r="C1516" s="1" t="s">
        <v>256</v>
      </c>
      <c r="D1516" s="52">
        <v>46052.767361111109</v>
      </c>
      <c r="E1516" s="52">
        <v>46052.767361111109</v>
      </c>
      <c r="F1516" s="52">
        <v>46053.305555555555</v>
      </c>
      <c r="G1516" s="53">
        <f>F1516-E1516</f>
        <v>0.53819444444525288</v>
      </c>
      <c r="H1516" s="1" t="s">
        <v>257</v>
      </c>
      <c r="J1516" s="1" t="s">
        <v>258</v>
      </c>
      <c r="K1516" s="1" t="s">
        <v>658</v>
      </c>
      <c r="L1516" s="1" t="s">
        <v>635</v>
      </c>
      <c r="M1516" s="1" t="s">
        <v>260</v>
      </c>
      <c r="N1516" s="1" t="s">
        <v>357</v>
      </c>
      <c r="O1516" s="1" t="s">
        <v>632</v>
      </c>
      <c r="P1516" s="1" t="str">
        <f>_xlfn.CONCAT(B1516,C1516,D1516,E1516,F1516)</f>
        <v>BC Formoso2.1Inverter(MBUS-12)46052,767361111146052,767361111146053,3055555556</v>
      </c>
      <c r="Q1516" s="1" t="str">
        <f>_xlfn.CONCAT(H1516,I1516,J1516)</f>
        <v>DAURDE</v>
      </c>
    </row>
    <row r="1517" spans="2:17">
      <c r="B1517" s="1" t="s">
        <v>255</v>
      </c>
      <c r="C1517" s="1" t="s">
        <v>263</v>
      </c>
      <c r="D1517" s="52">
        <v>46052.767361111109</v>
      </c>
      <c r="E1517" s="52">
        <v>46052.767361111109</v>
      </c>
      <c r="F1517" s="52">
        <v>46053.305555555555</v>
      </c>
      <c r="G1517" s="53">
        <f>F1517-E1517</f>
        <v>0.53819444444525288</v>
      </c>
      <c r="H1517" s="1" t="s">
        <v>257</v>
      </c>
      <c r="J1517" s="1" t="s">
        <v>258</v>
      </c>
      <c r="K1517" s="1" t="s">
        <v>658</v>
      </c>
      <c r="L1517" s="1" t="s">
        <v>635</v>
      </c>
      <c r="M1517" s="1" t="s">
        <v>260</v>
      </c>
      <c r="N1517" s="1" t="s">
        <v>357</v>
      </c>
      <c r="O1517" s="1" t="s">
        <v>632</v>
      </c>
      <c r="P1517" s="1" t="str">
        <f>_xlfn.CONCAT(B1517,C1517,D1517,E1517,F1517)</f>
        <v>BC Formoso2.1Inverter(MBUS-14)46052,767361111146052,767361111146053,3055555556</v>
      </c>
      <c r="Q1517" s="1" t="str">
        <f>_xlfn.CONCAT(H1517,I1517,J1517)</f>
        <v>DAURDE</v>
      </c>
    </row>
    <row r="1518" spans="2:17">
      <c r="B1518" s="1" t="s">
        <v>255</v>
      </c>
      <c r="C1518" s="1" t="s">
        <v>264</v>
      </c>
      <c r="D1518" s="52">
        <v>46052.767361111109</v>
      </c>
      <c r="E1518" s="52">
        <v>46052.767361111109</v>
      </c>
      <c r="F1518" s="52">
        <v>46053.305555555555</v>
      </c>
      <c r="G1518" s="53">
        <f>F1518-E1518</f>
        <v>0.53819444444525288</v>
      </c>
      <c r="H1518" s="1" t="s">
        <v>257</v>
      </c>
      <c r="J1518" s="1" t="s">
        <v>258</v>
      </c>
      <c r="K1518" s="1" t="s">
        <v>658</v>
      </c>
      <c r="L1518" s="1" t="s">
        <v>635</v>
      </c>
      <c r="M1518" s="1" t="s">
        <v>260</v>
      </c>
      <c r="N1518" s="1" t="s">
        <v>357</v>
      </c>
      <c r="O1518" s="1" t="s">
        <v>632</v>
      </c>
      <c r="P1518" s="1" t="str">
        <f>_xlfn.CONCAT(B1518,C1518,D1518,E1518,F1518)</f>
        <v>BC Formoso2.1Inverter(MBUS-13)46052,767361111146052,767361111146053,3055555556</v>
      </c>
      <c r="Q1518" s="1" t="str">
        <f>_xlfn.CONCAT(H1518,I1518,J1518)</f>
        <v>DAURDE</v>
      </c>
    </row>
    <row r="1519" spans="2:17">
      <c r="B1519" s="1" t="s">
        <v>255</v>
      </c>
      <c r="C1519" s="1" t="s">
        <v>247</v>
      </c>
      <c r="D1519" s="52">
        <v>46052.767361111109</v>
      </c>
      <c r="E1519" s="52">
        <v>46052.767361111109</v>
      </c>
      <c r="F1519" s="52">
        <v>46053.305555555555</v>
      </c>
      <c r="G1519" s="53">
        <f>F1519-E1519</f>
        <v>0.53819444444525288</v>
      </c>
      <c r="H1519" s="1" t="s">
        <v>257</v>
      </c>
      <c r="J1519" s="1" t="s">
        <v>258</v>
      </c>
      <c r="K1519" s="1" t="s">
        <v>658</v>
      </c>
      <c r="L1519" s="1" t="s">
        <v>635</v>
      </c>
      <c r="M1519" s="1" t="s">
        <v>260</v>
      </c>
      <c r="N1519" s="1" t="s">
        <v>357</v>
      </c>
      <c r="O1519" s="1" t="s">
        <v>632</v>
      </c>
      <c r="P1519" s="1" t="str">
        <f>_xlfn.CONCAT(B1519,C1519,D1519,E1519,F1519)</f>
        <v>BC Formoso2.1Inverter(MBUS-1)46052,767361111146052,767361111146053,3055555556</v>
      </c>
      <c r="Q1519" s="1" t="str">
        <f>_xlfn.CONCAT(H1519,I1519,J1519)</f>
        <v>DAURDE</v>
      </c>
    </row>
    <row r="1520" spans="2:17">
      <c r="B1520" s="1" t="s">
        <v>355</v>
      </c>
      <c r="C1520" s="1" t="s">
        <v>264</v>
      </c>
      <c r="D1520" s="52">
        <v>46052.767361111109</v>
      </c>
      <c r="E1520" s="52">
        <v>46052.767361111109</v>
      </c>
      <c r="F1520" s="52">
        <v>46053.305555555555</v>
      </c>
      <c r="G1520" s="53">
        <f>F1520-E1520</f>
        <v>0.53819444444525288</v>
      </c>
      <c r="H1520" s="1" t="s">
        <v>257</v>
      </c>
      <c r="J1520" s="1" t="s">
        <v>258</v>
      </c>
      <c r="K1520" s="1" t="s">
        <v>658</v>
      </c>
      <c r="L1520" s="1" t="s">
        <v>635</v>
      </c>
      <c r="M1520" s="1" t="s">
        <v>260</v>
      </c>
      <c r="N1520" s="1" t="s">
        <v>357</v>
      </c>
      <c r="O1520" s="1" t="s">
        <v>632</v>
      </c>
      <c r="P1520" s="1" t="str">
        <f>_xlfn.CONCAT(B1520,C1520,D1520,E1520,F1520)</f>
        <v>BC Formoso2.3Inverter(MBUS-13)46052,767361111146052,767361111146053,3055555556</v>
      </c>
      <c r="Q1520" s="1" t="str">
        <f>_xlfn.CONCAT(H1520,I1520,J1520)</f>
        <v>DAURDE</v>
      </c>
    </row>
    <row r="1521" spans="2:17">
      <c r="B1521" s="1" t="s">
        <v>355</v>
      </c>
      <c r="C1521" s="1" t="s">
        <v>256</v>
      </c>
      <c r="D1521" s="52">
        <v>46052.767361111109</v>
      </c>
      <c r="E1521" s="52">
        <v>46052.767361111109</v>
      </c>
      <c r="F1521" s="52">
        <v>46053.305555555555</v>
      </c>
      <c r="G1521" s="53">
        <f>F1521-E1521</f>
        <v>0.53819444444525288</v>
      </c>
      <c r="H1521" s="1" t="s">
        <v>257</v>
      </c>
      <c r="J1521" s="1" t="s">
        <v>258</v>
      </c>
      <c r="K1521" s="1" t="s">
        <v>658</v>
      </c>
      <c r="L1521" s="1" t="s">
        <v>635</v>
      </c>
      <c r="M1521" s="1" t="s">
        <v>260</v>
      </c>
      <c r="N1521" s="1" t="s">
        <v>357</v>
      </c>
      <c r="O1521" s="1" t="s">
        <v>632</v>
      </c>
      <c r="P1521" s="1" t="str">
        <f>_xlfn.CONCAT(B1521,C1521,D1521,E1521,F1521)</f>
        <v>BC Formoso2.3Inverter(MBUS-12)46052,767361111146052,767361111146053,3055555556</v>
      </c>
      <c r="Q1521" s="1" t="str">
        <f>_xlfn.CONCAT(H1521,I1521,J1521)</f>
        <v>DAURDE</v>
      </c>
    </row>
    <row r="1522" spans="2:17">
      <c r="B1522" s="1" t="s">
        <v>305</v>
      </c>
      <c r="C1522" s="1" t="s">
        <v>256</v>
      </c>
      <c r="D1522" s="52">
        <v>46053.282638888886</v>
      </c>
      <c r="E1522" s="52">
        <v>46053.282638888886</v>
      </c>
      <c r="F1522" s="52">
        <v>46053.350694444445</v>
      </c>
      <c r="G1522" s="53">
        <f>F1522-E1522</f>
        <v>6.805555555911269E-2</v>
      </c>
      <c r="H1522" s="1" t="s">
        <v>257</v>
      </c>
      <c r="J1522" s="1" t="s">
        <v>258</v>
      </c>
      <c r="K1522" s="1" t="s">
        <v>658</v>
      </c>
      <c r="L1522" s="1" t="s">
        <v>636</v>
      </c>
      <c r="M1522" s="1" t="s">
        <v>260</v>
      </c>
      <c r="N1522" s="1" t="s">
        <v>357</v>
      </c>
      <c r="O1522" s="1" t="s">
        <v>632</v>
      </c>
      <c r="P1522" s="1" t="str">
        <f>_xlfn.CONCAT(B1522,C1522,D1522,E1522,F1522)</f>
        <v>ARAGUATINS 1.1Inverter(MBUS-12)46053,282638888946053,282638888946053,3506944444</v>
      </c>
      <c r="Q1522" s="1" t="str">
        <f>_xlfn.CONCAT(H1522,I1522,J1522)</f>
        <v>DAURDE</v>
      </c>
    </row>
    <row r="1523" spans="2:17">
      <c r="B1523" s="1" t="s">
        <v>305</v>
      </c>
      <c r="C1523" s="1" t="s">
        <v>264</v>
      </c>
      <c r="D1523" s="52">
        <v>46053.282638888886</v>
      </c>
      <c r="E1523" s="52">
        <v>46053.282638888886</v>
      </c>
      <c r="F1523" s="52">
        <v>46053.350694444445</v>
      </c>
      <c r="G1523" s="53">
        <f>F1523-E1523</f>
        <v>6.805555555911269E-2</v>
      </c>
      <c r="H1523" s="1" t="s">
        <v>257</v>
      </c>
      <c r="J1523" s="1" t="s">
        <v>258</v>
      </c>
      <c r="K1523" s="1" t="s">
        <v>658</v>
      </c>
      <c r="L1523" s="1" t="s">
        <v>636</v>
      </c>
      <c r="M1523" s="1" t="s">
        <v>260</v>
      </c>
      <c r="N1523" s="1" t="s">
        <v>357</v>
      </c>
      <c r="O1523" s="1" t="s">
        <v>632</v>
      </c>
      <c r="P1523" s="1" t="str">
        <f>_xlfn.CONCAT(B1523,C1523,D1523,E1523,F1523)</f>
        <v>ARAGUATINS 1.1Inverter(MBUS-13)46053,282638888946053,282638888946053,3506944444</v>
      </c>
      <c r="Q1523" s="1" t="str">
        <f>_xlfn.CONCAT(H1523,I1523,J1523)</f>
        <v>DAURDE</v>
      </c>
    </row>
    <row r="1524" spans="2:17">
      <c r="B1524" s="1" t="s">
        <v>305</v>
      </c>
      <c r="C1524" s="1" t="s">
        <v>263</v>
      </c>
      <c r="D1524" s="52">
        <v>46053.282638888886</v>
      </c>
      <c r="E1524" s="52">
        <v>46053.282638888886</v>
      </c>
      <c r="F1524" s="52">
        <v>46053.350694444445</v>
      </c>
      <c r="G1524" s="53">
        <f>F1524-E1524</f>
        <v>6.805555555911269E-2</v>
      </c>
      <c r="H1524" s="1" t="s">
        <v>257</v>
      </c>
      <c r="J1524" s="1" t="s">
        <v>258</v>
      </c>
      <c r="K1524" s="1" t="s">
        <v>658</v>
      </c>
      <c r="L1524" s="1" t="s">
        <v>636</v>
      </c>
      <c r="M1524" s="1" t="s">
        <v>260</v>
      </c>
      <c r="N1524" s="1" t="s">
        <v>357</v>
      </c>
      <c r="O1524" s="1" t="s">
        <v>632</v>
      </c>
      <c r="P1524" s="1" t="str">
        <f>_xlfn.CONCAT(B1524,C1524,D1524,E1524,F1524)</f>
        <v>ARAGUATINS 1.1Inverter(MBUS-14)46053,282638888946053,282638888946053,3506944444</v>
      </c>
      <c r="Q1524" s="1" t="str">
        <f>_xlfn.CONCAT(H1524,I1524,J1524)</f>
        <v>DAURDE</v>
      </c>
    </row>
    <row r="1525" spans="2:17">
      <c r="B1525" s="1" t="s">
        <v>305</v>
      </c>
      <c r="C1525" s="1" t="s">
        <v>307</v>
      </c>
      <c r="D1525" s="52">
        <v>46053.282638888886</v>
      </c>
      <c r="E1525" s="52">
        <v>46053.282638888886</v>
      </c>
      <c r="F1525" s="52">
        <v>46053.350694444445</v>
      </c>
      <c r="G1525" s="53">
        <f>F1525-E1525</f>
        <v>6.805555555911269E-2</v>
      </c>
      <c r="H1525" s="1" t="s">
        <v>257</v>
      </c>
      <c r="J1525" s="1" t="s">
        <v>258</v>
      </c>
      <c r="K1525" s="1" t="s">
        <v>658</v>
      </c>
      <c r="L1525" s="1" t="s">
        <v>636</v>
      </c>
      <c r="M1525" s="1" t="s">
        <v>260</v>
      </c>
      <c r="N1525" s="1" t="s">
        <v>357</v>
      </c>
      <c r="O1525" s="1" t="s">
        <v>632</v>
      </c>
      <c r="P1525" s="1" t="str">
        <f>_xlfn.CONCAT(B1525,C1525,D1525,E1525,F1525)</f>
        <v>ARAGUATINS 1.1Inverter(MBUS-15)46053,282638888946053,282638888946053,3506944444</v>
      </c>
      <c r="Q1525" s="1" t="str">
        <f>_xlfn.CONCAT(H1525,I1525,J1525)</f>
        <v>DAURDE</v>
      </c>
    </row>
    <row r="1526" spans="2:17">
      <c r="B1526" s="1" t="s">
        <v>612</v>
      </c>
      <c r="C1526" s="1" t="s">
        <v>622</v>
      </c>
      <c r="D1526" s="52">
        <v>46053.392361111109</v>
      </c>
      <c r="E1526" s="52">
        <v>46053.392361111109</v>
      </c>
      <c r="F1526" s="52">
        <v>46053.423611111109</v>
      </c>
      <c r="G1526" s="53">
        <f>F1526-E1526</f>
        <v>3.125E-2</v>
      </c>
      <c r="H1526" s="1" t="s">
        <v>257</v>
      </c>
      <c r="J1526" s="1" t="s">
        <v>371</v>
      </c>
      <c r="K1526" s="1" t="s">
        <v>653</v>
      </c>
      <c r="L1526" s="1" t="s">
        <v>634</v>
      </c>
      <c r="M1526" s="1" t="s">
        <v>252</v>
      </c>
      <c r="N1526" s="1" t="s">
        <v>253</v>
      </c>
      <c r="O1526" s="1" t="s">
        <v>632</v>
      </c>
      <c r="P1526" s="1" t="str">
        <f>_xlfn.CONCAT(B1526,C1526,D1526,E1526,F1526)</f>
        <v>BC Vazante 1.1Inverter1246053,392361111146053,392361111146053,4236111111</v>
      </c>
      <c r="Q1526" s="1" t="str">
        <f>_xlfn.CONCAT(H1526,I1526,J1526)</f>
        <v>DAUINV</v>
      </c>
    </row>
    <row r="1527" spans="2:17">
      <c r="B1527" s="1" t="s">
        <v>314</v>
      </c>
      <c r="C1527" s="1" t="s">
        <v>264</v>
      </c>
      <c r="D1527" s="52">
        <v>46053.397222222222</v>
      </c>
      <c r="E1527" s="52">
        <v>46053.397222222222</v>
      </c>
      <c r="F1527" s="52">
        <v>46053.4375</v>
      </c>
      <c r="G1527" s="53">
        <f>F1527-E1527</f>
        <v>4.0277777778101154E-2</v>
      </c>
      <c r="H1527" s="1" t="s">
        <v>257</v>
      </c>
      <c r="J1527" s="1" t="s">
        <v>371</v>
      </c>
      <c r="K1527" s="1" t="s">
        <v>653</v>
      </c>
      <c r="L1527" s="1" t="s">
        <v>637</v>
      </c>
      <c r="M1527" s="1" t="s">
        <v>252</v>
      </c>
      <c r="N1527" s="1" t="s">
        <v>253</v>
      </c>
      <c r="O1527" s="1" t="s">
        <v>638</v>
      </c>
      <c r="P1527" s="1" t="str">
        <f>_xlfn.CONCAT(B1527,C1527,D1527,E1527,F1527)</f>
        <v>BC Turvania1.3Inverter(MBUS-13)46053,397222222246053,397222222246053,4375</v>
      </c>
      <c r="Q1527" s="1" t="str">
        <f>_xlfn.CONCAT(H1527,I1527,J1527)</f>
        <v>DAUINV</v>
      </c>
    </row>
    <row r="1528" spans="2:17">
      <c r="B1528" s="1" t="s">
        <v>311</v>
      </c>
      <c r="C1528" s="1" t="s">
        <v>256</v>
      </c>
      <c r="D1528" s="52">
        <v>46053.424305555556</v>
      </c>
      <c r="E1528" s="52">
        <v>46053.424305555556</v>
      </c>
      <c r="F1528" s="52">
        <v>46053.520833333336</v>
      </c>
      <c r="G1528" s="53">
        <f>F1528-E1528</f>
        <v>9.6527777779556345E-2</v>
      </c>
      <c r="H1528" s="1" t="s">
        <v>257</v>
      </c>
      <c r="J1528" s="1" t="s">
        <v>258</v>
      </c>
      <c r="K1528" s="1" t="s">
        <v>658</v>
      </c>
      <c r="L1528" s="1" t="s">
        <v>639</v>
      </c>
      <c r="M1528" s="1" t="s">
        <v>260</v>
      </c>
      <c r="N1528" s="1" t="s">
        <v>357</v>
      </c>
      <c r="O1528" s="1" t="s">
        <v>632</v>
      </c>
      <c r="P1528" s="1" t="str">
        <f>_xlfn.CONCAT(B1528,C1528,D1528,E1528,F1528)</f>
        <v>ARAGUATINS 2.1Inverter(MBUS-12)46053,424305555646053,424305555646053,5208333333</v>
      </c>
      <c r="Q1528" s="1" t="str">
        <f>_xlfn.CONCAT(H1528,I1528,J1528)</f>
        <v>DAURDE</v>
      </c>
    </row>
    <row r="1529" spans="2:17">
      <c r="B1529" s="1" t="s">
        <v>311</v>
      </c>
      <c r="C1529" s="1" t="s">
        <v>307</v>
      </c>
      <c r="D1529" s="52">
        <v>46053.424305555556</v>
      </c>
      <c r="E1529" s="52">
        <v>46053.424305555556</v>
      </c>
      <c r="F1529" s="52">
        <v>46053.520833333336</v>
      </c>
      <c r="G1529" s="53">
        <f>F1529-E1529</f>
        <v>9.6527777779556345E-2</v>
      </c>
      <c r="H1529" s="1" t="s">
        <v>257</v>
      </c>
      <c r="J1529" s="1" t="s">
        <v>258</v>
      </c>
      <c r="K1529" s="1" t="s">
        <v>658</v>
      </c>
      <c r="L1529" s="1" t="s">
        <v>639</v>
      </c>
      <c r="M1529" s="1" t="s">
        <v>260</v>
      </c>
      <c r="N1529" s="1" t="s">
        <v>357</v>
      </c>
      <c r="O1529" s="1" t="s">
        <v>632</v>
      </c>
      <c r="P1529" s="1" t="str">
        <f>_xlfn.CONCAT(B1529,C1529,D1529,E1529,F1529)</f>
        <v>ARAGUATINS 2.1Inverter(MBUS-15)46053,424305555646053,424305555646053,5208333333</v>
      </c>
      <c r="Q1529" s="1" t="str">
        <f>_xlfn.CONCAT(H1529,I1529,J1529)</f>
        <v>DAURDE</v>
      </c>
    </row>
    <row r="1530" spans="2:17">
      <c r="B1530" s="1" t="s">
        <v>311</v>
      </c>
      <c r="C1530" s="1" t="s">
        <v>263</v>
      </c>
      <c r="D1530" s="52">
        <v>46053.424305555556</v>
      </c>
      <c r="E1530" s="52">
        <v>46053.424305555556</v>
      </c>
      <c r="F1530" s="52">
        <v>46053.520833333336</v>
      </c>
      <c r="G1530" s="53">
        <f>F1530-E1530</f>
        <v>9.6527777779556345E-2</v>
      </c>
      <c r="H1530" s="1" t="s">
        <v>257</v>
      </c>
      <c r="J1530" s="1" t="s">
        <v>258</v>
      </c>
      <c r="K1530" s="1" t="s">
        <v>658</v>
      </c>
      <c r="L1530" s="1" t="s">
        <v>639</v>
      </c>
      <c r="M1530" s="1" t="s">
        <v>260</v>
      </c>
      <c r="N1530" s="1" t="s">
        <v>357</v>
      </c>
      <c r="O1530" s="1" t="s">
        <v>632</v>
      </c>
      <c r="P1530" s="1" t="str">
        <f>_xlfn.CONCAT(B1530,C1530,D1530,E1530,F1530)</f>
        <v>ARAGUATINS 2.1Inverter(MBUS-14)46053,424305555646053,424305555646053,5208333333</v>
      </c>
      <c r="Q1530" s="1" t="str">
        <f>_xlfn.CONCAT(H1530,I1530,J1530)</f>
        <v>DAURDE</v>
      </c>
    </row>
    <row r="1531" spans="2:17">
      <c r="B1531" s="1" t="s">
        <v>311</v>
      </c>
      <c r="C1531" s="1" t="s">
        <v>247</v>
      </c>
      <c r="D1531" s="52">
        <v>46053.424305555556</v>
      </c>
      <c r="E1531" s="52">
        <v>46053.424305555556</v>
      </c>
      <c r="F1531" s="52">
        <v>46053.520833333336</v>
      </c>
      <c r="G1531" s="53">
        <f>F1531-E1531</f>
        <v>9.6527777779556345E-2</v>
      </c>
      <c r="H1531" s="1" t="s">
        <v>257</v>
      </c>
      <c r="J1531" s="1" t="s">
        <v>258</v>
      </c>
      <c r="K1531" s="1" t="s">
        <v>658</v>
      </c>
      <c r="L1531" s="1" t="s">
        <v>639</v>
      </c>
      <c r="M1531" s="1" t="s">
        <v>260</v>
      </c>
      <c r="N1531" s="1" t="s">
        <v>357</v>
      </c>
      <c r="O1531" s="1" t="s">
        <v>632</v>
      </c>
      <c r="P1531" s="1" t="str">
        <f>_xlfn.CONCAT(B1531,C1531,D1531,E1531,F1531)</f>
        <v>ARAGUATINS 2.1Inverter(MBUS-1)46053,424305555646053,424305555646053,5208333333</v>
      </c>
      <c r="Q1531" s="1" t="str">
        <f>_xlfn.CONCAT(H1531,I1531,J1531)</f>
        <v>DAURDE</v>
      </c>
    </row>
    <row r="1532" spans="2:17">
      <c r="B1532" s="1" t="s">
        <v>612</v>
      </c>
      <c r="C1532" s="1" t="s">
        <v>622</v>
      </c>
      <c r="D1532" s="52">
        <v>46053.575694444444</v>
      </c>
      <c r="E1532" s="52">
        <v>46053.575694444444</v>
      </c>
      <c r="F1532" s="52">
        <v>46053.59375</v>
      </c>
      <c r="G1532" s="53">
        <f>F1532-E1532</f>
        <v>1.8055555556202307E-2</v>
      </c>
      <c r="H1532" s="1" t="s">
        <v>257</v>
      </c>
      <c r="J1532" s="1" t="s">
        <v>371</v>
      </c>
      <c r="K1532" s="1" t="s">
        <v>653</v>
      </c>
      <c r="L1532" s="1" t="s">
        <v>634</v>
      </c>
      <c r="M1532" s="1" t="s">
        <v>252</v>
      </c>
      <c r="N1532" s="1" t="s">
        <v>253</v>
      </c>
      <c r="O1532" s="1" t="s">
        <v>632</v>
      </c>
      <c r="P1532" s="1" t="str">
        <f>_xlfn.CONCAT(B1532,C1532,D1532,E1532,F1532)</f>
        <v>BC Vazante 1.1Inverter1246053,575694444446053,575694444446053,59375</v>
      </c>
      <c r="Q1532" s="1" t="str">
        <f>_xlfn.CONCAT(H1532,I1532,J1532)</f>
        <v>DAUINV</v>
      </c>
    </row>
    <row r="1533" spans="2:17">
      <c r="B1533" s="1" t="s">
        <v>327</v>
      </c>
      <c r="C1533" s="1" t="s">
        <v>247</v>
      </c>
      <c r="D1533" s="52">
        <v>46053.576388888891</v>
      </c>
      <c r="E1533" s="52">
        <v>46053.576388888891</v>
      </c>
      <c r="F1533" s="52">
        <v>46053.82708333333</v>
      </c>
      <c r="G1533" s="53">
        <f>F1533-E1533</f>
        <v>0.25069444443943212</v>
      </c>
      <c r="H1533" s="1" t="s">
        <v>257</v>
      </c>
      <c r="J1533" s="1" t="s">
        <v>258</v>
      </c>
      <c r="K1533" s="1" t="s">
        <v>658</v>
      </c>
      <c r="L1533" s="1" t="s">
        <v>640</v>
      </c>
      <c r="M1533" s="1" t="s">
        <v>260</v>
      </c>
      <c r="N1533" s="1" t="s">
        <v>357</v>
      </c>
      <c r="O1533" s="1" t="s">
        <v>632</v>
      </c>
      <c r="P1533" s="1" t="str">
        <f>_xlfn.CONCAT(B1533,C1533,D1533,E1533,F1533)</f>
        <v>BC Aracu5.1Inverter(MBUS-1)46053,576388888946053,576388888946053,8270833333</v>
      </c>
      <c r="Q1533" s="1" t="str">
        <f>_xlfn.CONCAT(H1533,I1533,J1533)</f>
        <v>DAURDE</v>
      </c>
    </row>
    <row r="1534" spans="2:17">
      <c r="B1534" s="1" t="s">
        <v>328</v>
      </c>
      <c r="C1534" s="1" t="s">
        <v>247</v>
      </c>
      <c r="D1534" s="52">
        <v>46053.576388888891</v>
      </c>
      <c r="E1534" s="52">
        <v>46053.576388888891</v>
      </c>
      <c r="F1534" s="52">
        <v>46053.82708333333</v>
      </c>
      <c r="G1534" s="53">
        <f>F1534-E1534</f>
        <v>0.25069444443943212</v>
      </c>
      <c r="H1534" s="1" t="s">
        <v>257</v>
      </c>
      <c r="J1534" s="1" t="s">
        <v>258</v>
      </c>
      <c r="K1534" s="1" t="s">
        <v>658</v>
      </c>
      <c r="L1534" s="1" t="s">
        <v>640</v>
      </c>
      <c r="M1534" s="1" t="s">
        <v>260</v>
      </c>
      <c r="N1534" s="1" t="s">
        <v>357</v>
      </c>
      <c r="O1534" s="1" t="s">
        <v>632</v>
      </c>
      <c r="P1534" s="1" t="str">
        <f>_xlfn.CONCAT(B1534,C1534,D1534,E1534,F1534)</f>
        <v>BC Aracu5.3Inverter(MBUS-1)46053,576388888946053,576388888946053,8270833333</v>
      </c>
      <c r="Q1534" s="1" t="str">
        <f>_xlfn.CONCAT(H1534,I1534,J1534)</f>
        <v>DAURDE</v>
      </c>
    </row>
    <row r="1535" spans="2:17">
      <c r="B1535" s="1" t="s">
        <v>329</v>
      </c>
      <c r="C1535" s="1" t="s">
        <v>247</v>
      </c>
      <c r="D1535" s="52">
        <v>46053.576388888891</v>
      </c>
      <c r="E1535" s="52">
        <v>46053.576388888891</v>
      </c>
      <c r="F1535" s="52">
        <v>46053.82708333333</v>
      </c>
      <c r="G1535" s="53">
        <f>F1535-E1535</f>
        <v>0.25069444443943212</v>
      </c>
      <c r="H1535" s="1" t="s">
        <v>257</v>
      </c>
      <c r="J1535" s="1" t="s">
        <v>258</v>
      </c>
      <c r="K1535" s="1" t="s">
        <v>658</v>
      </c>
      <c r="L1535" s="1" t="s">
        <v>640</v>
      </c>
      <c r="M1535" s="1" t="s">
        <v>260</v>
      </c>
      <c r="N1535" s="1" t="s">
        <v>357</v>
      </c>
      <c r="O1535" s="1" t="s">
        <v>632</v>
      </c>
      <c r="P1535" s="1" t="str">
        <f>_xlfn.CONCAT(B1535,C1535,D1535,E1535,F1535)</f>
        <v>BC Aracu5.4Inverter(MBUS-1)46053,576388888946053,576388888946053,8270833333</v>
      </c>
      <c r="Q1535" s="1" t="str">
        <f>_xlfn.CONCAT(H1535,I1535,J1535)</f>
        <v>DAURDE</v>
      </c>
    </row>
    <row r="1536" spans="2:17">
      <c r="B1536" s="1" t="s">
        <v>330</v>
      </c>
      <c r="C1536" s="1" t="s">
        <v>247</v>
      </c>
      <c r="D1536" s="52">
        <v>46053.576388888891</v>
      </c>
      <c r="E1536" s="52">
        <v>46053.576388888891</v>
      </c>
      <c r="F1536" s="52">
        <v>46053.82708333333</v>
      </c>
      <c r="G1536" s="53">
        <f>F1536-E1536</f>
        <v>0.25069444443943212</v>
      </c>
      <c r="H1536" s="1" t="s">
        <v>257</v>
      </c>
      <c r="J1536" s="1" t="s">
        <v>258</v>
      </c>
      <c r="K1536" s="1" t="s">
        <v>658</v>
      </c>
      <c r="L1536" s="1" t="s">
        <v>640</v>
      </c>
      <c r="M1536" s="1" t="s">
        <v>260</v>
      </c>
      <c r="N1536" s="1" t="s">
        <v>357</v>
      </c>
      <c r="O1536" s="1" t="s">
        <v>632</v>
      </c>
      <c r="P1536" s="1" t="str">
        <f>_xlfn.CONCAT(B1536,C1536,D1536,E1536,F1536)</f>
        <v>BC Aracu5.5Inverter(MBUS-1)46053,576388888946053,576388888946053,8270833333</v>
      </c>
      <c r="Q1536" s="1" t="str">
        <f>_xlfn.CONCAT(H1536,I1536,J1536)</f>
        <v>DAURDE</v>
      </c>
    </row>
    <row r="1537" spans="2:17">
      <c r="B1537" s="1" t="s">
        <v>368</v>
      </c>
      <c r="C1537" s="1" t="s">
        <v>256</v>
      </c>
      <c r="D1537" s="52">
        <v>46053.57708333333</v>
      </c>
      <c r="E1537" s="52">
        <v>46053.57708333333</v>
      </c>
      <c r="F1537" s="52">
        <v>46053.601388888892</v>
      </c>
      <c r="G1537" s="53">
        <f>F1537-E1537</f>
        <v>2.4305555562023073E-2</v>
      </c>
      <c r="H1537" s="1" t="s">
        <v>257</v>
      </c>
      <c r="J1537" s="1" t="s">
        <v>258</v>
      </c>
      <c r="K1537" s="1" t="s">
        <v>658</v>
      </c>
      <c r="L1537" s="1" t="s">
        <v>641</v>
      </c>
      <c r="M1537" s="1" t="s">
        <v>260</v>
      </c>
      <c r="N1537" s="1" t="s">
        <v>357</v>
      </c>
      <c r="O1537" s="1" t="s">
        <v>632</v>
      </c>
      <c r="P1537" s="1" t="str">
        <f>_xlfn.CONCAT(B1537,C1537,D1537,E1537,F1537)</f>
        <v>BC Ibiuna 1.1Inverter(MBUS-12)46053,577083333346053,577083333346053,6013888889</v>
      </c>
      <c r="Q1537" s="1" t="str">
        <f>_xlfn.CONCAT(H1537,I1537,J1537)</f>
        <v>DAURDE</v>
      </c>
    </row>
    <row r="1538" spans="2:17">
      <c r="B1538" s="1" t="s">
        <v>368</v>
      </c>
      <c r="C1538" s="1" t="s">
        <v>264</v>
      </c>
      <c r="D1538" s="52">
        <v>46053.57708333333</v>
      </c>
      <c r="E1538" s="52">
        <v>46053.57708333333</v>
      </c>
      <c r="F1538" s="52">
        <v>46053.601388888892</v>
      </c>
      <c r="G1538" s="53">
        <f>F1538-E1538</f>
        <v>2.4305555562023073E-2</v>
      </c>
      <c r="H1538" s="1" t="s">
        <v>257</v>
      </c>
      <c r="J1538" s="1" t="s">
        <v>258</v>
      </c>
      <c r="K1538" s="1" t="s">
        <v>658</v>
      </c>
      <c r="L1538" s="1" t="s">
        <v>641</v>
      </c>
      <c r="M1538" s="1" t="s">
        <v>260</v>
      </c>
      <c r="N1538" s="1" t="s">
        <v>357</v>
      </c>
      <c r="O1538" s="1" t="s">
        <v>632</v>
      </c>
      <c r="P1538" s="1" t="str">
        <f>_xlfn.CONCAT(B1538,C1538,D1538,E1538,F1538)</f>
        <v>BC Ibiuna 1.1Inverter(MBUS-13)46053,577083333346053,577083333346053,6013888889</v>
      </c>
      <c r="Q1538" s="1" t="str">
        <f>_xlfn.CONCAT(H1538,I1538,J1538)</f>
        <v>DAURDE</v>
      </c>
    </row>
    <row r="1539" spans="2:17">
      <c r="B1539" s="1" t="s">
        <v>368</v>
      </c>
      <c r="C1539" s="1" t="s">
        <v>263</v>
      </c>
      <c r="D1539" s="52">
        <v>46053.57708333333</v>
      </c>
      <c r="E1539" s="52">
        <v>46053.57708333333</v>
      </c>
      <c r="F1539" s="52">
        <v>46053.601388888892</v>
      </c>
      <c r="G1539" s="53">
        <f>F1539-E1539</f>
        <v>2.4305555562023073E-2</v>
      </c>
      <c r="H1539" s="1" t="s">
        <v>257</v>
      </c>
      <c r="J1539" s="1" t="s">
        <v>258</v>
      </c>
      <c r="K1539" s="1" t="s">
        <v>658</v>
      </c>
      <c r="L1539" s="1" t="s">
        <v>641</v>
      </c>
      <c r="M1539" s="1" t="s">
        <v>260</v>
      </c>
      <c r="N1539" s="1" t="s">
        <v>357</v>
      </c>
      <c r="O1539" s="1" t="s">
        <v>632</v>
      </c>
      <c r="P1539" s="1" t="str">
        <f>_xlfn.CONCAT(B1539,C1539,D1539,E1539,F1539)</f>
        <v>BC Ibiuna 1.1Inverter(MBUS-14)46053,577083333346053,577083333346053,6013888889</v>
      </c>
      <c r="Q1539" s="1" t="str">
        <f>_xlfn.CONCAT(H1539,I1539,J1539)</f>
        <v>DAURDE</v>
      </c>
    </row>
    <row r="1540" spans="2:17">
      <c r="B1540" s="1" t="s">
        <v>368</v>
      </c>
      <c r="C1540" s="1" t="s">
        <v>307</v>
      </c>
      <c r="D1540" s="52">
        <v>46053.57708333333</v>
      </c>
      <c r="E1540" s="52">
        <v>46053.57708333333</v>
      </c>
      <c r="F1540" s="52">
        <v>46053.601388888892</v>
      </c>
      <c r="G1540" s="53">
        <f>F1540-E1540</f>
        <v>2.4305555562023073E-2</v>
      </c>
      <c r="H1540" s="1" t="s">
        <v>257</v>
      </c>
      <c r="J1540" s="1" t="s">
        <v>258</v>
      </c>
      <c r="K1540" s="1" t="s">
        <v>658</v>
      </c>
      <c r="L1540" s="1" t="s">
        <v>641</v>
      </c>
      <c r="M1540" s="1" t="s">
        <v>260</v>
      </c>
      <c r="N1540" s="1" t="s">
        <v>357</v>
      </c>
      <c r="O1540" s="1" t="s">
        <v>632</v>
      </c>
      <c r="P1540" s="1" t="str">
        <f>_xlfn.CONCAT(B1540,C1540,D1540,E1540,F1540)</f>
        <v>BC Ibiuna 1.1Inverter(MBUS-15)46053,577083333346053,577083333346053,6013888889</v>
      </c>
      <c r="Q1540" s="1" t="str">
        <f>_xlfn.CONCAT(H1540,I1540,J1540)</f>
        <v>DAURDE</v>
      </c>
    </row>
    <row r="1541" spans="2:17">
      <c r="B1541" s="1" t="s">
        <v>370</v>
      </c>
      <c r="C1541" s="1" t="s">
        <v>256</v>
      </c>
      <c r="D1541" s="52">
        <v>46053.57708333333</v>
      </c>
      <c r="E1541" s="52">
        <v>46053.57708333333</v>
      </c>
      <c r="F1541" s="52">
        <v>46053.601388888892</v>
      </c>
      <c r="G1541" s="53">
        <f>F1541-E1541</f>
        <v>2.4305555562023073E-2</v>
      </c>
      <c r="H1541" s="1" t="s">
        <v>257</v>
      </c>
      <c r="J1541" s="1" t="s">
        <v>258</v>
      </c>
      <c r="K1541" s="1" t="s">
        <v>658</v>
      </c>
      <c r="L1541" s="1" t="s">
        <v>641</v>
      </c>
      <c r="M1541" s="1" t="s">
        <v>260</v>
      </c>
      <c r="N1541" s="1" t="s">
        <v>357</v>
      </c>
      <c r="O1541" s="1" t="s">
        <v>632</v>
      </c>
      <c r="P1541" s="1" t="str">
        <f>_xlfn.CONCAT(B1541,C1541,D1541,E1541,F1541)</f>
        <v>BC Ibiuna 1.2Inverter(MBUS-12)46053,577083333346053,577083333346053,6013888889</v>
      </c>
      <c r="Q1541" s="1" t="str">
        <f>_xlfn.CONCAT(H1541,I1541,J1541)</f>
        <v>DAURDE</v>
      </c>
    </row>
    <row r="1542" spans="2:17">
      <c r="B1542" s="1" t="s">
        <v>370</v>
      </c>
      <c r="C1542" s="1" t="s">
        <v>264</v>
      </c>
      <c r="D1542" s="52">
        <v>46053.57708333333</v>
      </c>
      <c r="E1542" s="52">
        <v>46053.57708333333</v>
      </c>
      <c r="F1542" s="52">
        <v>46053.601388888892</v>
      </c>
      <c r="G1542" s="53">
        <f>F1542-E1542</f>
        <v>2.4305555562023073E-2</v>
      </c>
      <c r="H1542" s="1" t="s">
        <v>257</v>
      </c>
      <c r="J1542" s="1" t="s">
        <v>258</v>
      </c>
      <c r="K1542" s="1" t="s">
        <v>658</v>
      </c>
      <c r="L1542" s="1" t="s">
        <v>641</v>
      </c>
      <c r="M1542" s="1" t="s">
        <v>260</v>
      </c>
      <c r="N1542" s="1" t="s">
        <v>357</v>
      </c>
      <c r="O1542" s="1" t="s">
        <v>632</v>
      </c>
      <c r="P1542" s="1" t="str">
        <f>_xlfn.CONCAT(B1542,C1542,D1542,E1542,F1542)</f>
        <v>BC Ibiuna 1.2Inverter(MBUS-13)46053,577083333346053,577083333346053,6013888889</v>
      </c>
      <c r="Q1542" s="1" t="str">
        <f>_xlfn.CONCAT(H1542,I1542,J1542)</f>
        <v>DAURDE</v>
      </c>
    </row>
    <row r="1543" spans="2:17">
      <c r="B1543" s="1" t="s">
        <v>370</v>
      </c>
      <c r="C1543" s="1" t="s">
        <v>263</v>
      </c>
      <c r="D1543" s="52">
        <v>46053.57708333333</v>
      </c>
      <c r="E1543" s="52">
        <v>46053.57708333333</v>
      </c>
      <c r="F1543" s="52">
        <v>46053.601388888892</v>
      </c>
      <c r="G1543" s="53">
        <f>F1543-E1543</f>
        <v>2.4305555562023073E-2</v>
      </c>
      <c r="H1543" s="1" t="s">
        <v>257</v>
      </c>
      <c r="J1543" s="1" t="s">
        <v>258</v>
      </c>
      <c r="K1543" s="1" t="s">
        <v>658</v>
      </c>
      <c r="L1543" s="1" t="s">
        <v>641</v>
      </c>
      <c r="M1543" s="1" t="s">
        <v>260</v>
      </c>
      <c r="N1543" s="1" t="s">
        <v>357</v>
      </c>
      <c r="O1543" s="1" t="s">
        <v>632</v>
      </c>
      <c r="P1543" s="1" t="str">
        <f>_xlfn.CONCAT(B1543,C1543,D1543,E1543,F1543)</f>
        <v>BC Ibiuna 1.2Inverter(MBUS-14)46053,577083333346053,577083333346053,6013888889</v>
      </c>
      <c r="Q1543" s="1" t="str">
        <f>_xlfn.CONCAT(H1543,I1543,J1543)</f>
        <v>DAURDE</v>
      </c>
    </row>
    <row r="1544" spans="2:17">
      <c r="B1544" s="1" t="s">
        <v>370</v>
      </c>
      <c r="C1544" s="1" t="s">
        <v>307</v>
      </c>
      <c r="D1544" s="52">
        <v>46053.57708333333</v>
      </c>
      <c r="E1544" s="52">
        <v>46053.57708333333</v>
      </c>
      <c r="F1544" s="52">
        <v>46053.601388888892</v>
      </c>
      <c r="G1544" s="53">
        <f>F1544-E1544</f>
        <v>2.4305555562023073E-2</v>
      </c>
      <c r="H1544" s="1" t="s">
        <v>257</v>
      </c>
      <c r="J1544" s="1" t="s">
        <v>258</v>
      </c>
      <c r="K1544" s="1" t="s">
        <v>658</v>
      </c>
      <c r="L1544" s="1" t="s">
        <v>641</v>
      </c>
      <c r="M1544" s="1" t="s">
        <v>260</v>
      </c>
      <c r="N1544" s="1" t="s">
        <v>357</v>
      </c>
      <c r="O1544" s="1" t="s">
        <v>632</v>
      </c>
      <c r="P1544" s="1" t="str">
        <f>_xlfn.CONCAT(B1544,C1544,D1544,E1544,F1544)</f>
        <v>BC Ibiuna 1.2Inverter(MBUS-15)46053,577083333346053,577083333346053,6013888889</v>
      </c>
      <c r="Q1544" s="1" t="str">
        <f>_xlfn.CONCAT(H1544,I1544,J1544)</f>
        <v>DAURDE</v>
      </c>
    </row>
    <row r="1545" spans="2:17">
      <c r="B1545" s="1" t="s">
        <v>642</v>
      </c>
      <c r="C1545" s="1" t="s">
        <v>643</v>
      </c>
      <c r="D1545" s="52">
        <v>46053.597916666666</v>
      </c>
      <c r="E1545" s="52">
        <v>46053.597916666666</v>
      </c>
      <c r="F1545" s="52">
        <v>46053.645833333336</v>
      </c>
      <c r="G1545" s="53">
        <f>F1545-E1545</f>
        <v>4.7916666670062114E-2</v>
      </c>
      <c r="H1545" s="1" t="s">
        <v>268</v>
      </c>
      <c r="I1545" s="1" t="s">
        <v>269</v>
      </c>
      <c r="J1545" s="1" t="s">
        <v>319</v>
      </c>
      <c r="K1545" s="1" t="s">
        <v>652</v>
      </c>
      <c r="L1545" s="1" t="s">
        <v>644</v>
      </c>
      <c r="M1545" s="1" t="s">
        <v>289</v>
      </c>
      <c r="N1545" s="1" t="s">
        <v>253</v>
      </c>
      <c r="O1545" s="1" t="s">
        <v>645</v>
      </c>
      <c r="P1545" s="1" t="str">
        <f>_xlfn.CONCAT(B1545,C1545,D1545,E1545,F1545)</f>
        <v>BC Rio Bonito2INV-00146053,597916666746053,597916666746053,6458333333</v>
      </c>
      <c r="Q1545" s="1" t="str">
        <f>_xlfn.CONCAT(H1545,I1545,J1545)</f>
        <v>LIGRFOCOM</v>
      </c>
    </row>
    <row r="1546" spans="2:17">
      <c r="B1546" s="1" t="s">
        <v>642</v>
      </c>
      <c r="C1546" s="1" t="s">
        <v>646</v>
      </c>
      <c r="D1546" s="52">
        <v>46053.597916666666</v>
      </c>
      <c r="E1546" s="52">
        <v>46053.597916666666</v>
      </c>
      <c r="F1546" s="52">
        <v>46053.645833333336</v>
      </c>
      <c r="G1546" s="53">
        <f>F1546-E1546</f>
        <v>4.7916666670062114E-2</v>
      </c>
      <c r="H1546" s="1" t="s">
        <v>268</v>
      </c>
      <c r="I1546" s="1" t="s">
        <v>269</v>
      </c>
      <c r="J1546" s="1" t="s">
        <v>319</v>
      </c>
      <c r="K1546" s="1" t="s">
        <v>652</v>
      </c>
      <c r="L1546" s="1" t="s">
        <v>644</v>
      </c>
      <c r="M1546" s="1" t="s">
        <v>289</v>
      </c>
      <c r="N1546" s="1" t="s">
        <v>253</v>
      </c>
      <c r="O1546" s="1" t="s">
        <v>645</v>
      </c>
      <c r="P1546" s="1" t="str">
        <f>_xlfn.CONCAT(B1546,C1546,D1546,E1546,F1546)</f>
        <v>BC Rio Bonito2INV-00246053,597916666746053,597916666746053,6458333333</v>
      </c>
      <c r="Q1546" s="1" t="str">
        <f>_xlfn.CONCAT(H1546,I1546,J1546)</f>
        <v>LIGRFOCOM</v>
      </c>
    </row>
    <row r="1547" spans="2:17">
      <c r="B1547" s="1" t="s">
        <v>642</v>
      </c>
      <c r="C1547" s="1" t="s">
        <v>647</v>
      </c>
      <c r="D1547" s="52">
        <v>46053.597916666666</v>
      </c>
      <c r="E1547" s="52">
        <v>46053.597916666666</v>
      </c>
      <c r="F1547" s="52">
        <v>46053.645833333336</v>
      </c>
      <c r="G1547" s="53">
        <f>F1547-E1547</f>
        <v>4.7916666670062114E-2</v>
      </c>
      <c r="H1547" s="1" t="s">
        <v>268</v>
      </c>
      <c r="I1547" s="1" t="s">
        <v>269</v>
      </c>
      <c r="J1547" s="1" t="s">
        <v>319</v>
      </c>
      <c r="K1547" s="1" t="s">
        <v>652</v>
      </c>
      <c r="L1547" s="1" t="s">
        <v>644</v>
      </c>
      <c r="M1547" s="1" t="s">
        <v>289</v>
      </c>
      <c r="N1547" s="1" t="s">
        <v>253</v>
      </c>
      <c r="O1547" s="1" t="s">
        <v>645</v>
      </c>
      <c r="P1547" s="1" t="str">
        <f>_xlfn.CONCAT(B1547,C1547,D1547,E1547,F1547)</f>
        <v>BC Rio Bonito2INV-00346053,597916666746053,597916666746053,6458333333</v>
      </c>
      <c r="Q1547" s="1" t="str">
        <f>_xlfn.CONCAT(H1547,I1547,J1547)</f>
        <v>LIGRFOCOM</v>
      </c>
    </row>
    <row r="1548" spans="2:17">
      <c r="B1548" s="1" t="s">
        <v>642</v>
      </c>
      <c r="C1548" s="1" t="s">
        <v>648</v>
      </c>
      <c r="D1548" s="52">
        <v>46053.597916666666</v>
      </c>
      <c r="E1548" s="52">
        <v>46053.597916666666</v>
      </c>
      <c r="F1548" s="52">
        <v>46053.645833333336</v>
      </c>
      <c r="G1548" s="53">
        <f>F1548-E1548</f>
        <v>4.7916666670062114E-2</v>
      </c>
      <c r="H1548" s="1" t="s">
        <v>268</v>
      </c>
      <c r="I1548" s="1" t="s">
        <v>269</v>
      </c>
      <c r="J1548" s="1" t="s">
        <v>319</v>
      </c>
      <c r="K1548" s="1" t="s">
        <v>652</v>
      </c>
      <c r="L1548" s="1" t="s">
        <v>644</v>
      </c>
      <c r="M1548" s="1" t="s">
        <v>289</v>
      </c>
      <c r="N1548" s="1" t="s">
        <v>253</v>
      </c>
      <c r="O1548" s="1" t="s">
        <v>645</v>
      </c>
      <c r="P1548" s="1" t="str">
        <f>_xlfn.CONCAT(B1548,C1548,D1548,E1548,F1548)</f>
        <v>BC Rio Bonito2INV-00446053,597916666746053,597916666746053,6458333333</v>
      </c>
      <c r="Q1548" s="1" t="str">
        <f>_xlfn.CONCAT(H1548,I1548,J1548)</f>
        <v>LIGRFOCOM</v>
      </c>
    </row>
    <row r="1549" spans="2:17">
      <c r="B1549" s="1" t="s">
        <v>495</v>
      </c>
      <c r="C1549" s="1" t="s">
        <v>496</v>
      </c>
      <c r="D1549" s="52">
        <v>46053.597916666666</v>
      </c>
      <c r="E1549" s="52">
        <v>46053.597916666666</v>
      </c>
      <c r="F1549" s="52">
        <v>46053.645833333336</v>
      </c>
      <c r="G1549" s="53">
        <f>F1549-E1549</f>
        <v>4.7916666670062114E-2</v>
      </c>
      <c r="H1549" s="1" t="s">
        <v>257</v>
      </c>
      <c r="J1549" s="1" t="s">
        <v>258</v>
      </c>
      <c r="K1549" s="1" t="s">
        <v>658</v>
      </c>
      <c r="L1549" s="1" t="s">
        <v>649</v>
      </c>
      <c r="M1549" s="1" t="s">
        <v>260</v>
      </c>
      <c r="N1549" s="1" t="s">
        <v>357</v>
      </c>
      <c r="O1549" s="1" t="s">
        <v>632</v>
      </c>
      <c r="P1549" s="1" t="str">
        <f>_xlfn.CONCAT(B1549,C1549,D1549,E1549,F1549)</f>
        <v>BC Rio Bonito1SG36KTL-M-17_001_01746053,597916666746053,597916666746053,6458333333</v>
      </c>
      <c r="Q1549" s="1" t="str">
        <f>_xlfn.CONCAT(H1549,I1549,J1549)</f>
        <v>DAURDE</v>
      </c>
    </row>
    <row r="1550" spans="2:17">
      <c r="B1550" s="1" t="s">
        <v>495</v>
      </c>
      <c r="C1550" s="1" t="s">
        <v>501</v>
      </c>
      <c r="D1550" s="52">
        <v>46053.597916666666</v>
      </c>
      <c r="E1550" s="52">
        <v>46053.597916666666</v>
      </c>
      <c r="F1550" s="52">
        <v>46053.645833333336</v>
      </c>
      <c r="G1550" s="53">
        <f>F1550-E1550</f>
        <v>4.7916666670062114E-2</v>
      </c>
      <c r="H1550" s="1" t="s">
        <v>257</v>
      </c>
      <c r="J1550" s="1" t="s">
        <v>258</v>
      </c>
      <c r="K1550" s="1" t="s">
        <v>658</v>
      </c>
      <c r="L1550" s="1" t="s">
        <v>649</v>
      </c>
      <c r="M1550" s="1" t="s">
        <v>260</v>
      </c>
      <c r="N1550" s="1" t="s">
        <v>357</v>
      </c>
      <c r="O1550" s="1" t="s">
        <v>632</v>
      </c>
      <c r="P1550" s="1" t="str">
        <f>_xlfn.CONCAT(B1550,C1550,D1550,E1550,F1550)</f>
        <v>BC Rio Bonito1SG60KTL-10_001_01046053,597916666746053,597916666746053,6458333333</v>
      </c>
      <c r="Q1550" s="1" t="str">
        <f>_xlfn.CONCAT(H1550,I1550,J1550)</f>
        <v>DAURDE</v>
      </c>
    </row>
    <row r="1551" spans="2:17">
      <c r="B1551" s="1" t="s">
        <v>495</v>
      </c>
      <c r="C1551" s="1" t="s">
        <v>502</v>
      </c>
      <c r="D1551" s="52">
        <v>46053.597916666666</v>
      </c>
      <c r="E1551" s="52">
        <v>46053.597916666666</v>
      </c>
      <c r="F1551" s="52">
        <v>46053.645833333336</v>
      </c>
      <c r="G1551" s="53">
        <f>F1551-E1551</f>
        <v>4.7916666670062114E-2</v>
      </c>
      <c r="H1551" s="1" t="s">
        <v>257</v>
      </c>
      <c r="J1551" s="1" t="s">
        <v>258</v>
      </c>
      <c r="K1551" s="1" t="s">
        <v>658</v>
      </c>
      <c r="L1551" s="1" t="s">
        <v>649</v>
      </c>
      <c r="M1551" s="1" t="s">
        <v>260</v>
      </c>
      <c r="N1551" s="1" t="s">
        <v>357</v>
      </c>
      <c r="O1551" s="1" t="s">
        <v>632</v>
      </c>
      <c r="P1551" s="1" t="str">
        <f>_xlfn.CONCAT(B1551,C1551,D1551,E1551,F1551)</f>
        <v>BC Rio Bonito1SG60KTL-11_001_01146053,597916666746053,597916666746053,6458333333</v>
      </c>
      <c r="Q1551" s="1" t="str">
        <f>_xlfn.CONCAT(H1551,I1551,J1551)</f>
        <v>DAURDE</v>
      </c>
    </row>
    <row r="1552" spans="2:17">
      <c r="B1552" s="1" t="s">
        <v>495</v>
      </c>
      <c r="C1552" s="1" t="s">
        <v>503</v>
      </c>
      <c r="D1552" s="52">
        <v>46053.597916666666</v>
      </c>
      <c r="E1552" s="52">
        <v>46053.597916666666</v>
      </c>
      <c r="F1552" s="52">
        <v>46053.645833333336</v>
      </c>
      <c r="G1552" s="53">
        <f>F1552-E1552</f>
        <v>4.7916666670062114E-2</v>
      </c>
      <c r="H1552" s="1" t="s">
        <v>257</v>
      </c>
      <c r="J1552" s="1" t="s">
        <v>258</v>
      </c>
      <c r="K1552" s="1" t="s">
        <v>658</v>
      </c>
      <c r="L1552" s="1" t="s">
        <v>649</v>
      </c>
      <c r="M1552" s="1" t="s">
        <v>260</v>
      </c>
      <c r="N1552" s="1" t="s">
        <v>357</v>
      </c>
      <c r="O1552" s="1" t="s">
        <v>632</v>
      </c>
      <c r="P1552" s="1" t="str">
        <f>_xlfn.CONCAT(B1552,C1552,D1552,E1552,F1552)</f>
        <v>BC Rio Bonito1SG60KTL-12_001_01246053,597916666746053,597916666746053,6458333333</v>
      </c>
      <c r="Q1552" s="1" t="str">
        <f>_xlfn.CONCAT(H1552,I1552,J1552)</f>
        <v>DAURDE</v>
      </c>
    </row>
    <row r="1553" spans="2:17">
      <c r="B1553" s="1" t="s">
        <v>495</v>
      </c>
      <c r="C1553" s="1" t="s">
        <v>504</v>
      </c>
      <c r="D1553" s="52">
        <v>46053.597916666666</v>
      </c>
      <c r="E1553" s="52">
        <v>46053.597916666666</v>
      </c>
      <c r="F1553" s="52">
        <v>46053.645833333336</v>
      </c>
      <c r="G1553" s="53">
        <f>F1553-E1553</f>
        <v>4.7916666670062114E-2</v>
      </c>
      <c r="H1553" s="1" t="s">
        <v>257</v>
      </c>
      <c r="J1553" s="1" t="s">
        <v>258</v>
      </c>
      <c r="K1553" s="1" t="s">
        <v>658</v>
      </c>
      <c r="L1553" s="1" t="s">
        <v>649</v>
      </c>
      <c r="M1553" s="1" t="s">
        <v>260</v>
      </c>
      <c r="N1553" s="1" t="s">
        <v>357</v>
      </c>
      <c r="O1553" s="1" t="s">
        <v>632</v>
      </c>
      <c r="P1553" s="1" t="str">
        <f>_xlfn.CONCAT(B1553,C1553,D1553,E1553,F1553)</f>
        <v>BC Rio Bonito1SG60KTL-13_001_01346053,597916666746053,597916666746053,6458333333</v>
      </c>
      <c r="Q1553" s="1" t="str">
        <f>_xlfn.CONCAT(H1553,I1553,J1553)</f>
        <v>DAURDE</v>
      </c>
    </row>
    <row r="1554" spans="2:17">
      <c r="B1554" s="1" t="s">
        <v>495</v>
      </c>
      <c r="C1554" s="1" t="s">
        <v>505</v>
      </c>
      <c r="D1554" s="52">
        <v>46053.597916666666</v>
      </c>
      <c r="E1554" s="52">
        <v>46053.597916666666</v>
      </c>
      <c r="F1554" s="52">
        <v>46053.645833333336</v>
      </c>
      <c r="G1554" s="53">
        <f>F1554-E1554</f>
        <v>4.7916666670062114E-2</v>
      </c>
      <c r="H1554" s="1" t="s">
        <v>257</v>
      </c>
      <c r="J1554" s="1" t="s">
        <v>258</v>
      </c>
      <c r="K1554" s="1" t="s">
        <v>658</v>
      </c>
      <c r="L1554" s="1" t="s">
        <v>649</v>
      </c>
      <c r="M1554" s="1" t="s">
        <v>260</v>
      </c>
      <c r="N1554" s="1" t="s">
        <v>357</v>
      </c>
      <c r="O1554" s="1" t="s">
        <v>632</v>
      </c>
      <c r="P1554" s="1" t="str">
        <f>_xlfn.CONCAT(B1554,C1554,D1554,E1554,F1554)</f>
        <v>BC Rio Bonito1SG60KTL-14_001_01446053,597916666746053,597916666746053,6458333333</v>
      </c>
      <c r="Q1554" s="1" t="str">
        <f>_xlfn.CONCAT(H1554,I1554,J1554)</f>
        <v>DAURDE</v>
      </c>
    </row>
    <row r="1555" spans="2:17">
      <c r="B1555" s="1" t="s">
        <v>495</v>
      </c>
      <c r="C1555" s="1" t="s">
        <v>506</v>
      </c>
      <c r="D1555" s="52">
        <v>46053.597916666666</v>
      </c>
      <c r="E1555" s="52">
        <v>46053.597916666666</v>
      </c>
      <c r="F1555" s="52">
        <v>46053.645833333336</v>
      </c>
      <c r="G1555" s="53">
        <f>F1555-E1555</f>
        <v>4.7916666670062114E-2</v>
      </c>
      <c r="H1555" s="1" t="s">
        <v>257</v>
      </c>
      <c r="J1555" s="1" t="s">
        <v>258</v>
      </c>
      <c r="K1555" s="1" t="s">
        <v>658</v>
      </c>
      <c r="L1555" s="1" t="s">
        <v>649</v>
      </c>
      <c r="M1555" s="1" t="s">
        <v>260</v>
      </c>
      <c r="N1555" s="1" t="s">
        <v>357</v>
      </c>
      <c r="O1555" s="1" t="s">
        <v>632</v>
      </c>
      <c r="P1555" s="1" t="str">
        <f>_xlfn.CONCAT(B1555,C1555,D1555,E1555,F1555)</f>
        <v>BC Rio Bonito1SG60KTL-15_001_01546053,597916666746053,597916666746053,6458333333</v>
      </c>
      <c r="Q1555" s="1" t="str">
        <f>_xlfn.CONCAT(H1555,I1555,J1555)</f>
        <v>DAURDE</v>
      </c>
    </row>
    <row r="1556" spans="2:17">
      <c r="B1556" s="1" t="s">
        <v>495</v>
      </c>
      <c r="C1556" s="1" t="s">
        <v>507</v>
      </c>
      <c r="D1556" s="52">
        <v>46053.597916666666</v>
      </c>
      <c r="E1556" s="52">
        <v>46053.597916666666</v>
      </c>
      <c r="F1556" s="52">
        <v>46053.645833333336</v>
      </c>
      <c r="G1556" s="53">
        <f>F1556-E1556</f>
        <v>4.7916666670062114E-2</v>
      </c>
      <c r="H1556" s="1" t="s">
        <v>257</v>
      </c>
      <c r="J1556" s="1" t="s">
        <v>258</v>
      </c>
      <c r="K1556" s="1" t="s">
        <v>658</v>
      </c>
      <c r="L1556" s="1" t="s">
        <v>649</v>
      </c>
      <c r="M1556" s="1" t="s">
        <v>260</v>
      </c>
      <c r="N1556" s="1" t="s">
        <v>357</v>
      </c>
      <c r="O1556" s="1" t="s">
        <v>632</v>
      </c>
      <c r="P1556" s="1" t="str">
        <f>_xlfn.CONCAT(B1556,C1556,D1556,E1556,F1556)</f>
        <v>BC Rio Bonito1SG60KTL-16_001_01646053,597916666746053,597916666746053,6458333333</v>
      </c>
      <c r="Q1556" s="1" t="str">
        <f>_xlfn.CONCAT(H1556,I1556,J1556)</f>
        <v>DAURDE</v>
      </c>
    </row>
    <row r="1557" spans="2:17">
      <c r="B1557" s="1" t="s">
        <v>495</v>
      </c>
      <c r="C1557" s="1" t="s">
        <v>508</v>
      </c>
      <c r="D1557" s="52">
        <v>46053.597916666666</v>
      </c>
      <c r="E1557" s="52">
        <v>46053.597916666666</v>
      </c>
      <c r="F1557" s="52">
        <v>46053.645833333336</v>
      </c>
      <c r="G1557" s="53">
        <f>F1557-E1557</f>
        <v>4.7916666670062114E-2</v>
      </c>
      <c r="H1557" s="1" t="s">
        <v>257</v>
      </c>
      <c r="J1557" s="1" t="s">
        <v>258</v>
      </c>
      <c r="K1557" s="1" t="s">
        <v>658</v>
      </c>
      <c r="L1557" s="1" t="s">
        <v>649</v>
      </c>
      <c r="M1557" s="1" t="s">
        <v>260</v>
      </c>
      <c r="N1557" s="1" t="s">
        <v>357</v>
      </c>
      <c r="O1557" s="1" t="s">
        <v>632</v>
      </c>
      <c r="P1557" s="1" t="str">
        <f>_xlfn.CONCAT(B1557,C1557,D1557,E1557,F1557)</f>
        <v>BC Rio Bonito1SG60KTL-1_001_00146053,597916666746053,597916666746053,6458333333</v>
      </c>
      <c r="Q1557" s="1" t="str">
        <f>_xlfn.CONCAT(H1557,I1557,J1557)</f>
        <v>DAURDE</v>
      </c>
    </row>
    <row r="1558" spans="2:17">
      <c r="B1558" s="1" t="s">
        <v>495</v>
      </c>
      <c r="C1558" s="1" t="s">
        <v>509</v>
      </c>
      <c r="D1558" s="52">
        <v>46053.597916666666</v>
      </c>
      <c r="E1558" s="52">
        <v>46053.597916666666</v>
      </c>
      <c r="F1558" s="52">
        <v>46053.645833333336</v>
      </c>
      <c r="G1558" s="53">
        <f>F1558-E1558</f>
        <v>4.7916666670062114E-2</v>
      </c>
      <c r="H1558" s="1" t="s">
        <v>257</v>
      </c>
      <c r="J1558" s="1" t="s">
        <v>258</v>
      </c>
      <c r="K1558" s="1" t="s">
        <v>658</v>
      </c>
      <c r="L1558" s="1" t="s">
        <v>649</v>
      </c>
      <c r="M1558" s="1" t="s">
        <v>260</v>
      </c>
      <c r="N1558" s="1" t="s">
        <v>357</v>
      </c>
      <c r="O1558" s="1" t="s">
        <v>632</v>
      </c>
      <c r="P1558" s="1" t="str">
        <f>_xlfn.CONCAT(B1558,C1558,D1558,E1558,F1558)</f>
        <v>BC Rio Bonito1SG60KTL-2_001_00246053,597916666746053,597916666746053,6458333333</v>
      </c>
      <c r="Q1558" s="1" t="str">
        <f>_xlfn.CONCAT(H1558,I1558,J1558)</f>
        <v>DAURDE</v>
      </c>
    </row>
    <row r="1559" spans="2:17">
      <c r="B1559" s="1" t="s">
        <v>495</v>
      </c>
      <c r="C1559" s="1" t="s">
        <v>510</v>
      </c>
      <c r="D1559" s="52">
        <v>46053.597916666666</v>
      </c>
      <c r="E1559" s="52">
        <v>46053.597916666666</v>
      </c>
      <c r="F1559" s="52">
        <v>46053.645833333336</v>
      </c>
      <c r="G1559" s="53">
        <f>F1559-E1559</f>
        <v>4.7916666670062114E-2</v>
      </c>
      <c r="H1559" s="1" t="s">
        <v>257</v>
      </c>
      <c r="J1559" s="1" t="s">
        <v>258</v>
      </c>
      <c r="K1559" s="1" t="s">
        <v>658</v>
      </c>
      <c r="L1559" s="1" t="s">
        <v>649</v>
      </c>
      <c r="M1559" s="1" t="s">
        <v>260</v>
      </c>
      <c r="N1559" s="1" t="s">
        <v>357</v>
      </c>
      <c r="O1559" s="1" t="s">
        <v>632</v>
      </c>
      <c r="P1559" s="1" t="str">
        <f>_xlfn.CONCAT(B1559,C1559,D1559,E1559,F1559)</f>
        <v>BC Rio Bonito1SG60KTL-3_001_00346053,597916666746053,597916666746053,6458333333</v>
      </c>
      <c r="Q1559" s="1" t="str">
        <f>_xlfn.CONCAT(H1559,I1559,J1559)</f>
        <v>DAURDE</v>
      </c>
    </row>
    <row r="1560" spans="2:17">
      <c r="B1560" s="1" t="s">
        <v>495</v>
      </c>
      <c r="C1560" s="1" t="s">
        <v>511</v>
      </c>
      <c r="D1560" s="52">
        <v>46053.597916666666</v>
      </c>
      <c r="E1560" s="52">
        <v>46053.597916666666</v>
      </c>
      <c r="F1560" s="52">
        <v>46053.645833333336</v>
      </c>
      <c r="G1560" s="53">
        <f>F1560-E1560</f>
        <v>4.7916666670062114E-2</v>
      </c>
      <c r="H1560" s="1" t="s">
        <v>257</v>
      </c>
      <c r="J1560" s="1" t="s">
        <v>258</v>
      </c>
      <c r="K1560" s="1" t="s">
        <v>658</v>
      </c>
      <c r="L1560" s="1" t="s">
        <v>649</v>
      </c>
      <c r="M1560" s="1" t="s">
        <v>260</v>
      </c>
      <c r="N1560" s="1" t="s">
        <v>357</v>
      </c>
      <c r="O1560" s="1" t="s">
        <v>632</v>
      </c>
      <c r="P1560" s="1" t="str">
        <f>_xlfn.CONCAT(B1560,C1560,D1560,E1560,F1560)</f>
        <v>BC Rio Bonito1SG60KTL-4_001_00446053,597916666746053,597916666746053,6458333333</v>
      </c>
      <c r="Q1560" s="1" t="str">
        <f>_xlfn.CONCAT(H1560,I1560,J1560)</f>
        <v>DAURDE</v>
      </c>
    </row>
    <row r="1561" spans="2:17">
      <c r="B1561" s="1" t="s">
        <v>495</v>
      </c>
      <c r="C1561" s="1" t="s">
        <v>512</v>
      </c>
      <c r="D1561" s="52">
        <v>46053.597916666666</v>
      </c>
      <c r="E1561" s="52">
        <v>46053.597916666666</v>
      </c>
      <c r="F1561" s="52">
        <v>46053.645833333336</v>
      </c>
      <c r="G1561" s="53">
        <f>F1561-E1561</f>
        <v>4.7916666670062114E-2</v>
      </c>
      <c r="H1561" s="1" t="s">
        <v>257</v>
      </c>
      <c r="J1561" s="1" t="s">
        <v>258</v>
      </c>
      <c r="K1561" s="1" t="s">
        <v>658</v>
      </c>
      <c r="L1561" s="1" t="s">
        <v>649</v>
      </c>
      <c r="M1561" s="1" t="s">
        <v>260</v>
      </c>
      <c r="N1561" s="1" t="s">
        <v>357</v>
      </c>
      <c r="O1561" s="1" t="s">
        <v>632</v>
      </c>
      <c r="P1561" s="1" t="str">
        <f>_xlfn.CONCAT(B1561,C1561,D1561,E1561,F1561)</f>
        <v>BC Rio Bonito1SG60KTL-5_001_00546053,597916666746053,597916666746053,6458333333</v>
      </c>
      <c r="Q1561" s="1" t="str">
        <f>_xlfn.CONCAT(H1561,I1561,J1561)</f>
        <v>DAURDE</v>
      </c>
    </row>
    <row r="1562" spans="2:17">
      <c r="B1562" s="1" t="s">
        <v>495</v>
      </c>
      <c r="C1562" s="1" t="s">
        <v>513</v>
      </c>
      <c r="D1562" s="52">
        <v>46053.597916666666</v>
      </c>
      <c r="E1562" s="52">
        <v>46053.597916666666</v>
      </c>
      <c r="F1562" s="52">
        <v>46053.645833333336</v>
      </c>
      <c r="G1562" s="53">
        <f>F1562-E1562</f>
        <v>4.7916666670062114E-2</v>
      </c>
      <c r="H1562" s="1" t="s">
        <v>257</v>
      </c>
      <c r="J1562" s="1" t="s">
        <v>258</v>
      </c>
      <c r="K1562" s="1" t="s">
        <v>658</v>
      </c>
      <c r="L1562" s="1" t="s">
        <v>649</v>
      </c>
      <c r="M1562" s="1" t="s">
        <v>260</v>
      </c>
      <c r="N1562" s="1" t="s">
        <v>357</v>
      </c>
      <c r="O1562" s="1" t="s">
        <v>632</v>
      </c>
      <c r="P1562" s="1" t="str">
        <f>_xlfn.CONCAT(B1562,C1562,D1562,E1562,F1562)</f>
        <v>BC Rio Bonito1SG60KTL-6_001_00646053,597916666746053,597916666746053,6458333333</v>
      </c>
      <c r="Q1562" s="1" t="str">
        <f>_xlfn.CONCAT(H1562,I1562,J1562)</f>
        <v>DAURDE</v>
      </c>
    </row>
    <row r="1563" spans="2:17">
      <c r="B1563" s="1" t="s">
        <v>495</v>
      </c>
      <c r="C1563" s="1" t="s">
        <v>514</v>
      </c>
      <c r="D1563" s="52">
        <v>46053.597916666666</v>
      </c>
      <c r="E1563" s="52">
        <v>46053.597916666666</v>
      </c>
      <c r="F1563" s="52">
        <v>46053.645833333336</v>
      </c>
      <c r="G1563" s="53">
        <f>F1563-E1563</f>
        <v>4.7916666670062114E-2</v>
      </c>
      <c r="H1563" s="1" t="s">
        <v>257</v>
      </c>
      <c r="J1563" s="1" t="s">
        <v>258</v>
      </c>
      <c r="K1563" s="1" t="s">
        <v>658</v>
      </c>
      <c r="L1563" s="1" t="s">
        <v>649</v>
      </c>
      <c r="M1563" s="1" t="s">
        <v>260</v>
      </c>
      <c r="N1563" s="1" t="s">
        <v>357</v>
      </c>
      <c r="O1563" s="1" t="s">
        <v>632</v>
      </c>
      <c r="P1563" s="1" t="str">
        <f>_xlfn.CONCAT(B1563,C1563,D1563,E1563,F1563)</f>
        <v>BC Rio Bonito1SG60KTL-7_001_00746053,597916666746053,597916666746053,6458333333</v>
      </c>
      <c r="Q1563" s="1" t="str">
        <f>_xlfn.CONCAT(H1563,I1563,J1563)</f>
        <v>DAURDE</v>
      </c>
    </row>
    <row r="1564" spans="2:17">
      <c r="B1564" s="1" t="s">
        <v>495</v>
      </c>
      <c r="C1564" s="1" t="s">
        <v>515</v>
      </c>
      <c r="D1564" s="52">
        <v>46053.597916666666</v>
      </c>
      <c r="E1564" s="52">
        <v>46053.597916666666</v>
      </c>
      <c r="F1564" s="52">
        <v>46053.645833333336</v>
      </c>
      <c r="G1564" s="53">
        <f>F1564-E1564</f>
        <v>4.7916666670062114E-2</v>
      </c>
      <c r="H1564" s="1" t="s">
        <v>257</v>
      </c>
      <c r="J1564" s="1" t="s">
        <v>258</v>
      </c>
      <c r="K1564" s="1" t="s">
        <v>658</v>
      </c>
      <c r="L1564" s="1" t="s">
        <v>649</v>
      </c>
      <c r="M1564" s="1" t="s">
        <v>260</v>
      </c>
      <c r="N1564" s="1" t="s">
        <v>357</v>
      </c>
      <c r="O1564" s="1" t="s">
        <v>632</v>
      </c>
      <c r="P1564" s="1" t="str">
        <f>_xlfn.CONCAT(B1564,C1564,D1564,E1564,F1564)</f>
        <v>BC Rio Bonito1SG60KTL-8_001_00846053,597916666746053,597916666746053,6458333333</v>
      </c>
      <c r="Q1564" s="1" t="str">
        <f>_xlfn.CONCAT(H1564,I1564,J1564)</f>
        <v>DAURDE</v>
      </c>
    </row>
    <row r="1565" spans="2:17">
      <c r="B1565" s="1" t="s">
        <v>495</v>
      </c>
      <c r="C1565" s="1" t="s">
        <v>516</v>
      </c>
      <c r="D1565" s="52">
        <v>46053.597916666666</v>
      </c>
      <c r="E1565" s="52">
        <v>46053.597916666666</v>
      </c>
      <c r="F1565" s="52">
        <v>46053.645833333336</v>
      </c>
      <c r="G1565" s="53">
        <f>F1565-E1565</f>
        <v>4.7916666670062114E-2</v>
      </c>
      <c r="H1565" s="1" t="s">
        <v>257</v>
      </c>
      <c r="J1565" s="1" t="s">
        <v>258</v>
      </c>
      <c r="K1565" s="1" t="s">
        <v>658</v>
      </c>
      <c r="L1565" s="1" t="s">
        <v>649</v>
      </c>
      <c r="M1565" s="1" t="s">
        <v>260</v>
      </c>
      <c r="N1565" s="1" t="s">
        <v>357</v>
      </c>
      <c r="O1565" s="1" t="s">
        <v>632</v>
      </c>
      <c r="P1565" s="1" t="str">
        <f>_xlfn.CONCAT(B1565,C1565,D1565,E1565,F1565)</f>
        <v>BC Rio Bonito1SG60KTL-9_001_00946053,597916666746053,597916666746053,6458333333</v>
      </c>
      <c r="Q1565" s="1" t="str">
        <f>_xlfn.CONCAT(H1565,I1565,J1565)</f>
        <v>DAURDE</v>
      </c>
    </row>
    <row r="1566" spans="2:17">
      <c r="B1566" s="1" t="s">
        <v>255</v>
      </c>
      <c r="C1566" s="1" t="s">
        <v>256</v>
      </c>
      <c r="D1566" s="52">
        <v>46053.895833333336</v>
      </c>
      <c r="E1566" s="52">
        <v>46053.895833333336</v>
      </c>
      <c r="F1566" s="52">
        <v>46054.447916666664</v>
      </c>
      <c r="G1566" s="53">
        <f>F1566-E1566</f>
        <v>0.55208333332848269</v>
      </c>
      <c r="H1566" s="1" t="s">
        <v>257</v>
      </c>
      <c r="J1566" s="1" t="s">
        <v>258</v>
      </c>
      <c r="K1566" s="1" t="s">
        <v>658</v>
      </c>
      <c r="L1566" s="1" t="s">
        <v>650</v>
      </c>
      <c r="M1566" s="1" t="s">
        <v>260</v>
      </c>
      <c r="N1566" s="1" t="s">
        <v>357</v>
      </c>
      <c r="O1566" s="1" t="s">
        <v>632</v>
      </c>
      <c r="P1566" s="1" t="str">
        <f>_xlfn.CONCAT(B1566,C1566,D1566,E1566,F1566)</f>
        <v>BC Formoso2.1Inverter(MBUS-12)46053,895833333346053,895833333346054,4479166667</v>
      </c>
      <c r="Q1566" s="1" t="str">
        <f>_xlfn.CONCAT(H1566,I1566,J1566)</f>
        <v>DAURDE</v>
      </c>
    </row>
    <row r="1567" spans="2:17">
      <c r="B1567" s="1" t="s">
        <v>255</v>
      </c>
      <c r="C1567" s="1" t="s">
        <v>263</v>
      </c>
      <c r="D1567" s="52">
        <v>46053.895833333336</v>
      </c>
      <c r="E1567" s="52">
        <v>46053.895833333336</v>
      </c>
      <c r="F1567" s="52">
        <v>46054.447916666664</v>
      </c>
      <c r="G1567" s="53">
        <f>F1567-E1567</f>
        <v>0.55208333332848269</v>
      </c>
      <c r="H1567" s="1" t="s">
        <v>257</v>
      </c>
      <c r="J1567" s="1" t="s">
        <v>258</v>
      </c>
      <c r="K1567" s="1" t="s">
        <v>658</v>
      </c>
      <c r="L1567" s="1" t="s">
        <v>650</v>
      </c>
      <c r="M1567" s="1" t="s">
        <v>260</v>
      </c>
      <c r="N1567" s="1" t="s">
        <v>357</v>
      </c>
      <c r="O1567" s="1" t="s">
        <v>632</v>
      </c>
      <c r="P1567" s="1" t="str">
        <f>_xlfn.CONCAT(B1567,C1567,D1567,E1567,F1567)</f>
        <v>BC Formoso2.1Inverter(MBUS-14)46053,895833333346053,895833333346054,4479166667</v>
      </c>
      <c r="Q1567" s="1" t="str">
        <f>_xlfn.CONCAT(H1567,I1567,J1567)</f>
        <v>DAURDE</v>
      </c>
    </row>
    <row r="1568" spans="2:17">
      <c r="B1568" s="1" t="s">
        <v>255</v>
      </c>
      <c r="C1568" s="1" t="s">
        <v>264</v>
      </c>
      <c r="D1568" s="52">
        <v>46053.895833333336</v>
      </c>
      <c r="E1568" s="52">
        <v>46053.895833333336</v>
      </c>
      <c r="F1568" s="52">
        <v>46054.447916666664</v>
      </c>
      <c r="G1568" s="53">
        <f>F1568-E1568</f>
        <v>0.55208333332848269</v>
      </c>
      <c r="H1568" s="1" t="s">
        <v>257</v>
      </c>
      <c r="J1568" s="1" t="s">
        <v>258</v>
      </c>
      <c r="K1568" s="1" t="s">
        <v>658</v>
      </c>
      <c r="L1568" s="1" t="s">
        <v>650</v>
      </c>
      <c r="M1568" s="1" t="s">
        <v>260</v>
      </c>
      <c r="N1568" s="1" t="s">
        <v>357</v>
      </c>
      <c r="O1568" s="1" t="s">
        <v>632</v>
      </c>
      <c r="P1568" s="1" t="str">
        <f>_xlfn.CONCAT(B1568,C1568,D1568,E1568,F1568)</f>
        <v>BC Formoso2.1Inverter(MBUS-13)46053,895833333346053,895833333346054,4479166667</v>
      </c>
      <c r="Q1568" s="1" t="str">
        <f>_xlfn.CONCAT(H1568,I1568,J1568)</f>
        <v>DAURDE</v>
      </c>
    </row>
    <row r="1569" spans="2:17">
      <c r="B1569" s="1" t="s">
        <v>255</v>
      </c>
      <c r="C1569" s="1" t="s">
        <v>247</v>
      </c>
      <c r="D1569" s="52">
        <v>46053.895833333336</v>
      </c>
      <c r="E1569" s="52">
        <v>46053.895833333336</v>
      </c>
      <c r="F1569" s="52">
        <v>46054.447916666664</v>
      </c>
      <c r="G1569" s="53">
        <f>F1569-E1569</f>
        <v>0.55208333332848269</v>
      </c>
      <c r="H1569" s="1" t="s">
        <v>257</v>
      </c>
      <c r="J1569" s="1" t="s">
        <v>258</v>
      </c>
      <c r="K1569" s="1" t="s">
        <v>658</v>
      </c>
      <c r="L1569" s="1" t="s">
        <v>650</v>
      </c>
      <c r="M1569" s="1" t="s">
        <v>260</v>
      </c>
      <c r="N1569" s="1" t="s">
        <v>357</v>
      </c>
      <c r="O1569" s="1" t="s">
        <v>632</v>
      </c>
      <c r="P1569" s="1" t="str">
        <f>_xlfn.CONCAT(B1569,C1569,D1569,E1569,F1569)</f>
        <v>BC Formoso2.1Inverter(MBUS-1)46053,895833333346053,895833333346054,4479166667</v>
      </c>
      <c r="Q1569" s="1" t="str">
        <f>_xlfn.CONCAT(H1569,I1569,J1569)</f>
        <v>DAURDE</v>
      </c>
    </row>
    <row r="1570" spans="2:17">
      <c r="B1570" s="1" t="s">
        <v>265</v>
      </c>
      <c r="C1570" s="1" t="s">
        <v>263</v>
      </c>
      <c r="D1570" s="52">
        <v>46053.895833333336</v>
      </c>
      <c r="E1570" s="52">
        <v>46053.895833333336</v>
      </c>
      <c r="F1570" s="52">
        <v>46054.447916666664</v>
      </c>
      <c r="G1570" s="53">
        <f>F1570-E1570</f>
        <v>0.55208333332848269</v>
      </c>
      <c r="H1570" s="1" t="s">
        <v>257</v>
      </c>
      <c r="J1570" s="1" t="s">
        <v>258</v>
      </c>
      <c r="K1570" s="1" t="s">
        <v>658</v>
      </c>
      <c r="L1570" s="1" t="s">
        <v>650</v>
      </c>
      <c r="M1570" s="1" t="s">
        <v>260</v>
      </c>
      <c r="N1570" s="1" t="s">
        <v>357</v>
      </c>
      <c r="O1570" s="1" t="s">
        <v>632</v>
      </c>
      <c r="P1570" s="1" t="str">
        <f>_xlfn.CONCAT(B1570,C1570,D1570,E1570,F1570)</f>
        <v>BC Formoso2.2Inverter(MBUS-14)46053,895833333346053,895833333346054,4479166667</v>
      </c>
      <c r="Q1570" s="1" t="str">
        <f>_xlfn.CONCAT(H1570,I1570,J1570)</f>
        <v>DAURDE</v>
      </c>
    </row>
    <row r="1571" spans="2:17">
      <c r="B1571" s="1" t="s">
        <v>265</v>
      </c>
      <c r="C1571" s="1" t="s">
        <v>264</v>
      </c>
      <c r="D1571" s="52">
        <v>46053.895833333336</v>
      </c>
      <c r="E1571" s="52">
        <v>46053.895833333336</v>
      </c>
      <c r="F1571" s="52">
        <v>46054.447916666664</v>
      </c>
      <c r="G1571" s="53">
        <f>F1571-E1571</f>
        <v>0.55208333332848269</v>
      </c>
      <c r="H1571" s="1" t="s">
        <v>257</v>
      </c>
      <c r="J1571" s="1" t="s">
        <v>258</v>
      </c>
      <c r="K1571" s="1" t="s">
        <v>658</v>
      </c>
      <c r="L1571" s="1" t="s">
        <v>650</v>
      </c>
      <c r="M1571" s="1" t="s">
        <v>260</v>
      </c>
      <c r="N1571" s="1" t="s">
        <v>357</v>
      </c>
      <c r="O1571" s="1" t="s">
        <v>632</v>
      </c>
      <c r="P1571" s="1" t="str">
        <f>_xlfn.CONCAT(B1571,C1571,D1571,E1571,F1571)</f>
        <v>BC Formoso2.2Inverter(MBUS-13)46053,895833333346053,895833333346054,4479166667</v>
      </c>
      <c r="Q1571" s="1" t="str">
        <f>_xlfn.CONCAT(H1571,I1571,J1571)</f>
        <v>DAURDE</v>
      </c>
    </row>
    <row r="1572" spans="2:17">
      <c r="B1572" s="1" t="s">
        <v>265</v>
      </c>
      <c r="C1572" s="1" t="s">
        <v>256</v>
      </c>
      <c r="D1572" s="52">
        <v>46053.895833333336</v>
      </c>
      <c r="E1572" s="52">
        <v>46053.895833333336</v>
      </c>
      <c r="F1572" s="52">
        <v>46054.447916666664</v>
      </c>
      <c r="G1572" s="53">
        <f>F1572-E1572</f>
        <v>0.55208333332848269</v>
      </c>
      <c r="H1572" s="1" t="s">
        <v>257</v>
      </c>
      <c r="J1572" s="1" t="s">
        <v>258</v>
      </c>
      <c r="K1572" s="1" t="s">
        <v>658</v>
      </c>
      <c r="L1572" s="1" t="s">
        <v>650</v>
      </c>
      <c r="M1572" s="1" t="s">
        <v>260</v>
      </c>
      <c r="N1572" s="1" t="s">
        <v>357</v>
      </c>
      <c r="O1572" s="1" t="s">
        <v>632</v>
      </c>
      <c r="P1572" s="1" t="str">
        <f>_xlfn.CONCAT(B1572,C1572,D1572,E1572,F1572)</f>
        <v>BC Formoso2.2Inverter(MBUS-12)46053,895833333346053,895833333346054,4479166667</v>
      </c>
      <c r="Q1572" s="1" t="str">
        <f>_xlfn.CONCAT(H1572,I1572,J1572)</f>
        <v>DAURDE</v>
      </c>
    </row>
    <row r="1573" spans="2:17">
      <c r="B1573" s="1" t="s">
        <v>265</v>
      </c>
      <c r="C1573" s="1" t="s">
        <v>247</v>
      </c>
      <c r="D1573" s="52">
        <v>46053.895833333336</v>
      </c>
      <c r="E1573" s="52">
        <v>46053.895833333336</v>
      </c>
      <c r="F1573" s="52">
        <v>46054.447916666664</v>
      </c>
      <c r="G1573" s="53">
        <f>F1573-E1573</f>
        <v>0.55208333332848269</v>
      </c>
      <c r="H1573" s="1" t="s">
        <v>257</v>
      </c>
      <c r="J1573" s="1" t="s">
        <v>258</v>
      </c>
      <c r="K1573" s="1" t="s">
        <v>658</v>
      </c>
      <c r="L1573" s="1" t="s">
        <v>650</v>
      </c>
      <c r="M1573" s="1" t="s">
        <v>260</v>
      </c>
      <c r="N1573" s="1" t="s">
        <v>357</v>
      </c>
      <c r="O1573" s="1" t="s">
        <v>632</v>
      </c>
      <c r="P1573" s="1" t="str">
        <f>_xlfn.CONCAT(B1573,C1573,D1573,E1573,F1573)</f>
        <v>BC Formoso2.2Inverter(MBUS-1)46053,895833333346053,895833333346054,4479166667</v>
      </c>
      <c r="Q1573" s="1" t="str">
        <f>_xlfn.CONCAT(H1573,I1573,J1573)</f>
        <v>DAURDE</v>
      </c>
    </row>
    <row r="1574" spans="2:17">
      <c r="B1574" s="1" t="s">
        <v>355</v>
      </c>
      <c r="C1574" s="1" t="s">
        <v>264</v>
      </c>
      <c r="D1574" s="52">
        <v>46053.895833333336</v>
      </c>
      <c r="E1574" s="52">
        <v>46053.895833333336</v>
      </c>
      <c r="F1574" s="52">
        <v>46054.447916666664</v>
      </c>
      <c r="G1574" s="53">
        <f>F1574-E1574</f>
        <v>0.55208333332848269</v>
      </c>
      <c r="H1574" s="1" t="s">
        <v>257</v>
      </c>
      <c r="J1574" s="1" t="s">
        <v>258</v>
      </c>
      <c r="K1574" s="1" t="s">
        <v>658</v>
      </c>
      <c r="L1574" s="1" t="s">
        <v>650</v>
      </c>
      <c r="M1574" s="1" t="s">
        <v>260</v>
      </c>
      <c r="N1574" s="1" t="s">
        <v>357</v>
      </c>
      <c r="O1574" s="1" t="s">
        <v>632</v>
      </c>
      <c r="P1574" s="1" t="str">
        <f>_xlfn.CONCAT(B1574,C1574,D1574,E1574,F1574)</f>
        <v>BC Formoso2.3Inverter(MBUS-13)46053,895833333346053,895833333346054,4479166667</v>
      </c>
      <c r="Q1574" s="1" t="str">
        <f>_xlfn.CONCAT(H1574,I1574,J1574)</f>
        <v>DAURDE</v>
      </c>
    </row>
    <row r="1575" spans="2:17">
      <c r="B1575" s="1" t="s">
        <v>355</v>
      </c>
      <c r="C1575" s="1" t="s">
        <v>256</v>
      </c>
      <c r="D1575" s="52">
        <v>46053.895833333336</v>
      </c>
      <c r="E1575" s="52">
        <v>46053.895833333336</v>
      </c>
      <c r="F1575" s="52">
        <v>46054.447916666664</v>
      </c>
      <c r="G1575" s="53">
        <f>F1575-E1575</f>
        <v>0.55208333332848269</v>
      </c>
      <c r="H1575" s="1" t="s">
        <v>257</v>
      </c>
      <c r="J1575" s="1" t="s">
        <v>258</v>
      </c>
      <c r="K1575" s="1" t="s">
        <v>658</v>
      </c>
      <c r="L1575" s="1" t="s">
        <v>650</v>
      </c>
      <c r="M1575" s="1" t="s">
        <v>260</v>
      </c>
      <c r="N1575" s="1" t="s">
        <v>357</v>
      </c>
      <c r="O1575" s="1" t="s">
        <v>632</v>
      </c>
      <c r="P1575" s="1" t="str">
        <f>_xlfn.CONCAT(B1575,C1575,D1575,E1575,F1575)</f>
        <v>BC Formoso2.3Inverter(MBUS-12)46053,895833333346053,895833333346054,4479166667</v>
      </c>
      <c r="Q1575" s="1" t="str">
        <f>_xlfn.CONCAT(H1575,I1575,J1575)</f>
        <v>DAURDE</v>
      </c>
    </row>
  </sheetData>
  <autoFilter ref="A1:Q1575" xr:uid="{EA8888B3-0791-4637-B681-517321FB3D7B}">
    <sortState xmlns:xlrd2="http://schemas.microsoft.com/office/spreadsheetml/2017/richdata2" ref="A2:Q1575">
      <sortCondition ref="D1:D1575"/>
    </sortState>
  </autoFilter>
  <conditionalFormatting sqref="P1">
    <cfRule type="duplicateValues" dxfId="9" priority="3"/>
    <cfRule type="duplicateValues" dxfId="8" priority="4"/>
  </conditionalFormatting>
  <conditionalFormatting sqref="P1558:P1048576 P1">
    <cfRule type="duplicateValues" dxfId="7" priority="2"/>
  </conditionalFormatting>
  <conditionalFormatting sqref="P2:P1557">
    <cfRule type="duplicateValues" dxfId="6" priority="18"/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759DE9D-1392-459A-86CB-3EB048DFAB2F}">
          <x14:formula1>
            <xm:f>REF!$A$2:$A$13</xm:f>
          </x14:formula1>
          <xm:sqref>N2:N67 O851:O855 N1497 N1508:N1509 N1514 N69:N1407</xm:sqref>
        </x14:dataValidation>
        <x14:dataValidation type="list" allowBlank="1" showInputMessage="1" showErrorMessage="1" xr:uid="{E27B4804-1A40-4603-93F3-919533BBFAD4}">
          <x14:formula1>
            <xm:f>REF!$F$2:$F$16</xm:f>
          </x14:formula1>
          <xm:sqref>M2:M67 M69:M1407</xm:sqref>
        </x14:dataValidation>
        <x14:dataValidation type="list" allowBlank="1" showInputMessage="1" showErrorMessage="1" xr:uid="{15AF66B1-2835-4850-8C37-867408220B15}">
          <x14:formula1>
            <xm:f>REF!$C$2:$C$6</xm:f>
          </x14:formula1>
          <xm:sqref>I2:I99 I658:I661 I856:I870 I885:I1289 I1291:I1407 I101:I630</xm:sqref>
        </x14:dataValidation>
        <x14:dataValidation type="list" allowBlank="1" showInputMessage="1" showErrorMessage="1" xr:uid="{C1770D5F-1D72-491B-9A16-A90EC287FE3D}">
          <x14:formula1>
            <xm:f>REF!$B$2:$B$7</xm:f>
          </x14:formula1>
          <xm:sqref>I100 H2:H1407</xm:sqref>
        </x14:dataValidation>
        <x14:dataValidation type="list" allowBlank="1" showInputMessage="1" showErrorMessage="1" xr:uid="{E8AF3371-2E47-4E75-AB98-1F5943CAD4CC}">
          <x14:formula1>
            <xm:f>REF!$D$2:$D$13</xm:f>
          </x14:formula1>
          <xm:sqref>K1291:K1298 J2:J1407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FAED-6AEA-4242-AA8A-BE32479215B2}">
  <dimension ref="A1:F16"/>
  <sheetViews>
    <sheetView workbookViewId="0">
      <selection activeCell="E14" sqref="E14"/>
    </sheetView>
  </sheetViews>
  <sheetFormatPr defaultRowHeight="15"/>
  <cols>
    <col min="1" max="1" width="29.5703125" bestFit="1" customWidth="1"/>
    <col min="2" max="2" width="14.28515625" customWidth="1"/>
    <col min="3" max="3" width="16.5703125" customWidth="1"/>
    <col min="5" max="5" width="18.7109375" customWidth="1"/>
    <col min="6" max="6" width="22" bestFit="1" customWidth="1"/>
  </cols>
  <sheetData>
    <row r="1" spans="1:6" ht="21.75">
      <c r="A1" s="27" t="s">
        <v>242</v>
      </c>
      <c r="B1" s="27" t="s">
        <v>2016</v>
      </c>
      <c r="C1" s="27" t="s">
        <v>2017</v>
      </c>
      <c r="D1" s="27" t="s">
        <v>2018</v>
      </c>
      <c r="E1" s="27" t="s">
        <v>2019</v>
      </c>
      <c r="F1" s="27" t="s">
        <v>2020</v>
      </c>
    </row>
    <row r="2" spans="1:6">
      <c r="A2" t="s">
        <v>253</v>
      </c>
      <c r="B2" t="s">
        <v>268</v>
      </c>
      <c r="C2" t="s">
        <v>2021</v>
      </c>
      <c r="D2" t="s">
        <v>371</v>
      </c>
      <c r="E2" t="s">
        <v>653</v>
      </c>
      <c r="F2" t="s">
        <v>2022</v>
      </c>
    </row>
    <row r="3" spans="1:6">
      <c r="A3" t="s">
        <v>2023</v>
      </c>
      <c r="B3" t="s">
        <v>248</v>
      </c>
      <c r="C3" t="s">
        <v>2024</v>
      </c>
      <c r="D3" t="s">
        <v>258</v>
      </c>
      <c r="E3" t="s">
        <v>658</v>
      </c>
      <c r="F3" t="s">
        <v>2025</v>
      </c>
    </row>
    <row r="4" spans="1:6">
      <c r="A4" t="s">
        <v>273</v>
      </c>
      <c r="B4" t="s">
        <v>797</v>
      </c>
      <c r="C4" t="s">
        <v>269</v>
      </c>
      <c r="D4" t="s">
        <v>319</v>
      </c>
      <c r="E4" t="s">
        <v>652</v>
      </c>
      <c r="F4" t="s">
        <v>2026</v>
      </c>
    </row>
    <row r="5" spans="1:6">
      <c r="A5" t="s">
        <v>261</v>
      </c>
      <c r="B5" t="s">
        <v>257</v>
      </c>
      <c r="C5" t="s">
        <v>2027</v>
      </c>
      <c r="D5" t="s">
        <v>497</v>
      </c>
      <c r="E5" t="s">
        <v>2028</v>
      </c>
      <c r="F5" t="s">
        <v>2029</v>
      </c>
    </row>
    <row r="6" spans="1:6">
      <c r="A6" t="s">
        <v>2030</v>
      </c>
      <c r="B6" t="s">
        <v>677</v>
      </c>
      <c r="D6" t="s">
        <v>2031</v>
      </c>
      <c r="E6" t="s">
        <v>2032</v>
      </c>
      <c r="F6" t="s">
        <v>272</v>
      </c>
    </row>
    <row r="7" spans="1:6">
      <c r="A7" t="s">
        <v>2033</v>
      </c>
      <c r="D7" t="s">
        <v>270</v>
      </c>
      <c r="E7" t="s">
        <v>674</v>
      </c>
      <c r="F7" t="s">
        <v>289</v>
      </c>
    </row>
    <row r="8" spans="1:6">
      <c r="A8" t="s">
        <v>290</v>
      </c>
      <c r="D8" t="s">
        <v>1978</v>
      </c>
      <c r="E8" t="s">
        <v>2034</v>
      </c>
      <c r="F8" t="s">
        <v>252</v>
      </c>
    </row>
    <row r="9" spans="1:6">
      <c r="A9" t="s">
        <v>2035</v>
      </c>
      <c r="D9" t="s">
        <v>249</v>
      </c>
      <c r="E9" t="s">
        <v>250</v>
      </c>
      <c r="F9" t="s">
        <v>260</v>
      </c>
    </row>
    <row r="10" spans="1:6">
      <c r="A10" t="s">
        <v>661</v>
      </c>
      <c r="D10" t="s">
        <v>230</v>
      </c>
      <c r="E10" t="s">
        <v>230</v>
      </c>
      <c r="F10" t="s">
        <v>2036</v>
      </c>
    </row>
    <row r="11" spans="1:6">
      <c r="A11" t="s">
        <v>364</v>
      </c>
      <c r="D11" t="s">
        <v>2037</v>
      </c>
      <c r="E11" t="s">
        <v>2038</v>
      </c>
      <c r="F11" t="s">
        <v>317</v>
      </c>
    </row>
    <row r="12" spans="1:6">
      <c r="A12" t="s">
        <v>788</v>
      </c>
      <c r="D12" t="s">
        <v>315</v>
      </c>
      <c r="E12" t="s">
        <v>656</v>
      </c>
      <c r="F12" t="s">
        <v>363</v>
      </c>
    </row>
    <row r="13" spans="1:6">
      <c r="A13" t="s">
        <v>672</v>
      </c>
      <c r="D13" t="s">
        <v>2039</v>
      </c>
      <c r="E13" t="s">
        <v>2040</v>
      </c>
      <c r="F13" t="s">
        <v>499</v>
      </c>
    </row>
    <row r="14" spans="1:6">
      <c r="F14" t="s">
        <v>2041</v>
      </c>
    </row>
    <row r="15" spans="1:6">
      <c r="F15" t="s">
        <v>663</v>
      </c>
    </row>
    <row r="16" spans="1:6">
      <c r="F16" t="s">
        <v>1966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8EAF-0605-4E1B-ACE9-A1CEDD6BBC65}">
  <sheetPr filterMode="1"/>
  <dimension ref="A1:Q1623"/>
  <sheetViews>
    <sheetView workbookViewId="0">
      <pane xSplit="2" topLeftCell="O909" activePane="topRight" state="frozen"/>
      <selection pane="topRight" activeCell="O909" sqref="L909:O909"/>
    </sheetView>
  </sheetViews>
  <sheetFormatPr defaultRowHeight="15"/>
  <cols>
    <col min="1" max="1" width="17.42578125" style="2" hidden="1" customWidth="1"/>
    <col min="2" max="2" width="32.140625" style="1" customWidth="1"/>
    <col min="3" max="3" width="30.7109375" style="1" customWidth="1"/>
    <col min="4" max="4" width="22.5703125" style="52" customWidth="1"/>
    <col min="5" max="6" width="19.5703125" style="52" bestFit="1" customWidth="1"/>
    <col min="7" max="7" width="13.7109375" style="53" customWidth="1"/>
    <col min="8" max="8" width="12.140625" style="1" customWidth="1"/>
    <col min="9" max="9" width="12" style="1" customWidth="1"/>
    <col min="10" max="10" width="11.7109375" style="1" bestFit="1" customWidth="1"/>
    <col min="11" max="11" width="15.7109375" style="1" bestFit="1" customWidth="1"/>
    <col min="12" max="12" width="142" style="1" customWidth="1"/>
    <col min="13" max="13" width="18.28515625" style="1" bestFit="1" customWidth="1"/>
    <col min="14" max="14" width="36.5703125" style="1" customWidth="1"/>
    <col min="15" max="15" width="184" style="1" customWidth="1"/>
    <col min="16" max="16" width="90.7109375" style="1" bestFit="1" customWidth="1"/>
    <col min="17" max="17" width="16" style="1" bestFit="1" customWidth="1"/>
  </cols>
  <sheetData>
    <row r="1" spans="1:17">
      <c r="A1" s="5" t="s">
        <v>1</v>
      </c>
      <c r="B1" s="50" t="s">
        <v>230</v>
      </c>
      <c r="C1" s="50" t="s">
        <v>231</v>
      </c>
      <c r="D1" s="6" t="s">
        <v>232</v>
      </c>
      <c r="E1" s="6" t="s">
        <v>233</v>
      </c>
      <c r="F1" s="6" t="s">
        <v>234</v>
      </c>
      <c r="G1" s="51" t="s">
        <v>235</v>
      </c>
      <c r="H1" s="50" t="s">
        <v>236</v>
      </c>
      <c r="I1" s="50" t="s">
        <v>237</v>
      </c>
      <c r="J1" s="50" t="s">
        <v>238</v>
      </c>
      <c r="K1" s="50" t="s">
        <v>239</v>
      </c>
      <c r="L1" s="50" t="s">
        <v>240</v>
      </c>
      <c r="M1" s="50" t="s">
        <v>241</v>
      </c>
      <c r="N1" s="50" t="s">
        <v>242</v>
      </c>
      <c r="O1" s="50" t="s">
        <v>243</v>
      </c>
      <c r="P1" s="50" t="s">
        <v>244</v>
      </c>
      <c r="Q1" s="50" t="s">
        <v>245</v>
      </c>
    </row>
    <row r="2" spans="1:17" hidden="1">
      <c r="B2" s="1" t="s">
        <v>331</v>
      </c>
      <c r="C2" s="1" t="s">
        <v>332</v>
      </c>
      <c r="D2" s="52">
        <v>45992.284722222219</v>
      </c>
      <c r="E2" s="52">
        <v>45992.284722222219</v>
      </c>
      <c r="F2" s="52">
        <v>46001.576388888891</v>
      </c>
      <c r="G2" s="53">
        <v>9.2916666666666661</v>
      </c>
      <c r="H2" s="1" t="s">
        <v>257</v>
      </c>
      <c r="J2" s="1" t="s">
        <v>371</v>
      </c>
      <c r="K2" s="1" t="s">
        <v>653</v>
      </c>
      <c r="L2" s="1" t="s">
        <v>2042</v>
      </c>
      <c r="M2" s="1" t="s">
        <v>252</v>
      </c>
      <c r="N2" s="1" t="s">
        <v>364</v>
      </c>
      <c r="O2" s="1" t="s">
        <v>2043</v>
      </c>
      <c r="P2" s="1" t="str">
        <f>_xlfn.CONCAT(B2,C2,D2,E2,F2)</f>
        <v>BC Varjao2.1215KTL-H0(MBUS-12)45992,284722222245992,284722222246001,5763888889</v>
      </c>
      <c r="Q2" s="1" t="str">
        <f>_xlfn.CONCAT(H2,I2,J2)</f>
        <v>DAUINV</v>
      </c>
    </row>
    <row r="3" spans="1:17">
      <c r="B3" s="1" t="s">
        <v>2044</v>
      </c>
      <c r="C3" s="1" t="s">
        <v>267</v>
      </c>
      <c r="D3" s="52">
        <v>45992.729166666664</v>
      </c>
      <c r="E3" s="52">
        <v>45992.729166666664</v>
      </c>
      <c r="F3" s="52">
        <v>45992.833333333336</v>
      </c>
      <c r="G3" s="54">
        <v>0.10416666666666667</v>
      </c>
      <c r="H3" s="1" t="s">
        <v>268</v>
      </c>
      <c r="I3" s="1" t="s">
        <v>269</v>
      </c>
      <c r="J3" s="1" t="s">
        <v>319</v>
      </c>
      <c r="K3" s="1" t="s">
        <v>652</v>
      </c>
      <c r="L3" s="1" t="s">
        <v>2045</v>
      </c>
      <c r="M3" s="1" t="s">
        <v>289</v>
      </c>
      <c r="N3" s="1" t="s">
        <v>253</v>
      </c>
      <c r="O3" s="1" t="s">
        <v>697</v>
      </c>
      <c r="P3" s="1" t="str">
        <f t="shared" ref="P3:P66" si="0">_xlfn.CONCAT(B3,C3,D3,E3,F3)</f>
        <v>BC BomSucessoSG60KTL45992,729166666745992,729166666745992,8333333333</v>
      </c>
      <c r="Q3" s="1" t="str">
        <f t="shared" ref="Q3:Q66" si="1">_xlfn.CONCAT(H3,I3,J3)</f>
        <v>LIGRFOCOM</v>
      </c>
    </row>
    <row r="4" spans="1:17">
      <c r="B4" s="1" t="s">
        <v>2044</v>
      </c>
      <c r="C4" s="1" t="s">
        <v>2046</v>
      </c>
      <c r="D4" s="52">
        <v>45992.729166666664</v>
      </c>
      <c r="E4" s="52">
        <v>45992.729166666664</v>
      </c>
      <c r="F4" s="52">
        <v>45992.833333333336</v>
      </c>
      <c r="G4" s="53">
        <v>0.10416666666666667</v>
      </c>
      <c r="H4" s="1" t="s">
        <v>268</v>
      </c>
      <c r="I4" s="1" t="s">
        <v>269</v>
      </c>
      <c r="J4" s="1" t="s">
        <v>319</v>
      </c>
      <c r="K4" s="1" t="s">
        <v>652</v>
      </c>
      <c r="L4" s="1" t="s">
        <v>2045</v>
      </c>
      <c r="M4" s="1" t="s">
        <v>289</v>
      </c>
      <c r="N4" s="1" t="s">
        <v>253</v>
      </c>
      <c r="O4" s="1" t="s">
        <v>697</v>
      </c>
      <c r="P4" s="1" t="str">
        <f t="shared" si="0"/>
        <v>BC BomSucessoABB_0145992,729166666745992,729166666745992,8333333333</v>
      </c>
      <c r="Q4" s="1" t="str">
        <f t="shared" si="1"/>
        <v>LIGRFOCOM</v>
      </c>
    </row>
    <row r="5" spans="1:17">
      <c r="B5" s="1" t="s">
        <v>2044</v>
      </c>
      <c r="C5" s="1" t="s">
        <v>2047</v>
      </c>
      <c r="D5" s="52">
        <v>45992.729166666664</v>
      </c>
      <c r="E5" s="52">
        <v>45992.729166666664</v>
      </c>
      <c r="F5" s="52">
        <v>45992.833333333336</v>
      </c>
      <c r="G5" s="53">
        <v>0.10416666666666667</v>
      </c>
      <c r="H5" s="1" t="s">
        <v>268</v>
      </c>
      <c r="I5" s="1" t="s">
        <v>269</v>
      </c>
      <c r="J5" s="1" t="s">
        <v>319</v>
      </c>
      <c r="K5" s="1" t="s">
        <v>652</v>
      </c>
      <c r="L5" s="1" t="s">
        <v>2045</v>
      </c>
      <c r="M5" s="1" t="s">
        <v>289</v>
      </c>
      <c r="N5" s="1" t="s">
        <v>253</v>
      </c>
      <c r="O5" s="1" t="s">
        <v>697</v>
      </c>
      <c r="P5" s="1" t="str">
        <f t="shared" si="0"/>
        <v>BC BomSucessoABB_0245992,729166666745992,729166666745992,8333333333</v>
      </c>
      <c r="Q5" s="1" t="str">
        <f t="shared" si="1"/>
        <v>LIGRFOCOM</v>
      </c>
    </row>
    <row r="6" spans="1:17">
      <c r="B6" s="1" t="s">
        <v>2044</v>
      </c>
      <c r="C6" s="1" t="s">
        <v>2048</v>
      </c>
      <c r="D6" s="52">
        <v>45992.729166666664</v>
      </c>
      <c r="E6" s="52">
        <v>45992.729166666664</v>
      </c>
      <c r="F6" s="52">
        <v>45992.833333333336</v>
      </c>
      <c r="G6" s="53">
        <v>0.10416666666666667</v>
      </c>
      <c r="H6" s="1" t="s">
        <v>268</v>
      </c>
      <c r="I6" s="1" t="s">
        <v>269</v>
      </c>
      <c r="J6" s="1" t="s">
        <v>319</v>
      </c>
      <c r="K6" s="1" t="s">
        <v>652</v>
      </c>
      <c r="L6" s="1" t="s">
        <v>2045</v>
      </c>
      <c r="M6" s="1" t="s">
        <v>289</v>
      </c>
      <c r="N6" s="1" t="s">
        <v>253</v>
      </c>
      <c r="O6" s="1" t="s">
        <v>697</v>
      </c>
      <c r="P6" s="1" t="str">
        <f t="shared" si="0"/>
        <v>BC BomSucessoABB_0345992,729166666745992,729166666745992,8333333333</v>
      </c>
      <c r="Q6" s="1" t="str">
        <f t="shared" si="1"/>
        <v>LIGRFOCOM</v>
      </c>
    </row>
    <row r="7" spans="1:17">
      <c r="B7" s="1" t="s">
        <v>2044</v>
      </c>
      <c r="C7" s="1" t="s">
        <v>2049</v>
      </c>
      <c r="D7" s="52">
        <v>45992.729166666664</v>
      </c>
      <c r="E7" s="52">
        <v>45992.729166666664</v>
      </c>
      <c r="F7" s="52">
        <v>45992.833333333336</v>
      </c>
      <c r="G7" s="53">
        <v>0.10416666666666667</v>
      </c>
      <c r="H7" s="1" t="s">
        <v>268</v>
      </c>
      <c r="I7" s="1" t="s">
        <v>269</v>
      </c>
      <c r="J7" s="1" t="s">
        <v>319</v>
      </c>
      <c r="K7" s="1" t="s">
        <v>652</v>
      </c>
      <c r="L7" s="1" t="s">
        <v>2045</v>
      </c>
      <c r="M7" s="1" t="s">
        <v>289</v>
      </c>
      <c r="N7" s="1" t="s">
        <v>253</v>
      </c>
      <c r="O7" s="1" t="s">
        <v>697</v>
      </c>
      <c r="P7" s="1" t="str">
        <f t="shared" si="0"/>
        <v>BC BomSucessoABB_0445992,729166666745992,729166666745992,8333333333</v>
      </c>
      <c r="Q7" s="1" t="str">
        <f t="shared" si="1"/>
        <v>LIGRFOCOM</v>
      </c>
    </row>
    <row r="8" spans="1:17">
      <c r="B8" s="1" t="s">
        <v>2044</v>
      </c>
      <c r="C8" s="1" t="s">
        <v>2050</v>
      </c>
      <c r="D8" s="52">
        <v>45992.729166666664</v>
      </c>
      <c r="E8" s="52">
        <v>45992.729166666664</v>
      </c>
      <c r="F8" s="52">
        <v>45992.833333333336</v>
      </c>
      <c r="G8" s="53">
        <v>0.10416666666666667</v>
      </c>
      <c r="H8" s="1" t="s">
        <v>268</v>
      </c>
      <c r="I8" s="1" t="s">
        <v>269</v>
      </c>
      <c r="J8" s="1" t="s">
        <v>319</v>
      </c>
      <c r="K8" s="1" t="s">
        <v>652</v>
      </c>
      <c r="L8" s="1" t="s">
        <v>2045</v>
      </c>
      <c r="M8" s="1" t="s">
        <v>289</v>
      </c>
      <c r="N8" s="1" t="s">
        <v>253</v>
      </c>
      <c r="O8" s="1" t="s">
        <v>697</v>
      </c>
      <c r="P8" s="1" t="str">
        <f t="shared" si="0"/>
        <v>BC BomSucessoABB_0545992,729166666745992,729166666745992,8333333333</v>
      </c>
      <c r="Q8" s="1" t="str">
        <f t="shared" si="1"/>
        <v>LIGRFOCOM</v>
      </c>
    </row>
    <row r="9" spans="1:17">
      <c r="B9" s="1" t="s">
        <v>2044</v>
      </c>
      <c r="C9" s="1" t="s">
        <v>2051</v>
      </c>
      <c r="D9" s="52">
        <v>45992.729166666664</v>
      </c>
      <c r="E9" s="52">
        <v>45992.729166666664</v>
      </c>
      <c r="F9" s="52">
        <v>45992.833333333336</v>
      </c>
      <c r="G9" s="53">
        <v>0.10416666666666667</v>
      </c>
      <c r="H9" s="1" t="s">
        <v>268</v>
      </c>
      <c r="I9" s="1" t="s">
        <v>269</v>
      </c>
      <c r="J9" s="1" t="s">
        <v>319</v>
      </c>
      <c r="K9" s="1" t="s">
        <v>652</v>
      </c>
      <c r="L9" s="1" t="s">
        <v>2045</v>
      </c>
      <c r="M9" s="1" t="s">
        <v>289</v>
      </c>
      <c r="N9" s="1" t="s">
        <v>253</v>
      </c>
      <c r="O9" s="1" t="s">
        <v>697</v>
      </c>
      <c r="P9" s="1" t="str">
        <f t="shared" si="0"/>
        <v>BC BomSucessoABB_0645992,729166666745992,729166666745992,8333333333</v>
      </c>
      <c r="Q9" s="1" t="str">
        <f t="shared" si="1"/>
        <v>LIGRFOCOM</v>
      </c>
    </row>
    <row r="10" spans="1:17">
      <c r="B10" s="1" t="s">
        <v>2044</v>
      </c>
      <c r="C10" s="1" t="s">
        <v>2052</v>
      </c>
      <c r="D10" s="52">
        <v>45992.729166666664</v>
      </c>
      <c r="E10" s="52">
        <v>45992.729166666664</v>
      </c>
      <c r="F10" s="52">
        <v>45992.833333333336</v>
      </c>
      <c r="G10" s="53">
        <v>0.10416666666666667</v>
      </c>
      <c r="H10" s="1" t="s">
        <v>268</v>
      </c>
      <c r="I10" s="1" t="s">
        <v>269</v>
      </c>
      <c r="J10" s="1" t="s">
        <v>319</v>
      </c>
      <c r="K10" s="1" t="s">
        <v>652</v>
      </c>
      <c r="L10" s="1" t="s">
        <v>2045</v>
      </c>
      <c r="M10" s="1" t="s">
        <v>289</v>
      </c>
      <c r="N10" s="1" t="s">
        <v>253</v>
      </c>
      <c r="O10" s="1" t="s">
        <v>697</v>
      </c>
      <c r="P10" s="1" t="str">
        <f t="shared" si="0"/>
        <v>BC BomSucessoABB_0745992,729166666745992,729166666745992,8333333333</v>
      </c>
      <c r="Q10" s="1" t="str">
        <f t="shared" si="1"/>
        <v>LIGRFOCOM</v>
      </c>
    </row>
    <row r="11" spans="1:17">
      <c r="B11" s="1" t="s">
        <v>2044</v>
      </c>
      <c r="C11" s="1" t="s">
        <v>2053</v>
      </c>
      <c r="D11" s="52">
        <v>45992.729166666664</v>
      </c>
      <c r="E11" s="52">
        <v>45992.729166666664</v>
      </c>
      <c r="F11" s="52">
        <v>45992.833333333336</v>
      </c>
      <c r="G11" s="53">
        <v>0.10416666666666667</v>
      </c>
      <c r="H11" s="1" t="s">
        <v>268</v>
      </c>
      <c r="I11" s="1" t="s">
        <v>269</v>
      </c>
      <c r="J11" s="1" t="s">
        <v>319</v>
      </c>
      <c r="K11" s="1" t="s">
        <v>652</v>
      </c>
      <c r="L11" s="1" t="s">
        <v>2045</v>
      </c>
      <c r="M11" s="1" t="s">
        <v>289</v>
      </c>
      <c r="N11" s="1" t="s">
        <v>253</v>
      </c>
      <c r="O11" s="1" t="s">
        <v>697</v>
      </c>
      <c r="P11" s="1" t="str">
        <f t="shared" si="0"/>
        <v>BC BomSucessoABB_0845992,729166666745992,729166666745992,8333333333</v>
      </c>
      <c r="Q11" s="1" t="str">
        <f t="shared" si="1"/>
        <v>LIGRFOCOM</v>
      </c>
    </row>
    <row r="12" spans="1:17">
      <c r="B12" s="1" t="s">
        <v>2044</v>
      </c>
      <c r="C12" s="1" t="s">
        <v>2054</v>
      </c>
      <c r="D12" s="52">
        <v>45992.729166666664</v>
      </c>
      <c r="E12" s="52">
        <v>45992.729166666664</v>
      </c>
      <c r="F12" s="52">
        <v>45992.833333333336</v>
      </c>
      <c r="G12" s="53">
        <v>0.10416666666666667</v>
      </c>
      <c r="H12" s="1" t="s">
        <v>268</v>
      </c>
      <c r="I12" s="1" t="s">
        <v>269</v>
      </c>
      <c r="J12" s="1" t="s">
        <v>319</v>
      </c>
      <c r="K12" s="1" t="s">
        <v>652</v>
      </c>
      <c r="L12" s="1" t="s">
        <v>2045</v>
      </c>
      <c r="M12" s="1" t="s">
        <v>289</v>
      </c>
      <c r="N12" s="1" t="s">
        <v>253</v>
      </c>
      <c r="O12" s="1" t="s">
        <v>697</v>
      </c>
      <c r="P12" s="1" t="str">
        <f t="shared" si="0"/>
        <v>BC BomSucessoABB_0945992,729166666745992,729166666745992,8333333333</v>
      </c>
      <c r="Q12" s="1" t="str">
        <f t="shared" si="1"/>
        <v>LIGRFOCOM</v>
      </c>
    </row>
    <row r="13" spans="1:17">
      <c r="B13" s="1" t="s">
        <v>2044</v>
      </c>
      <c r="C13" s="1" t="s">
        <v>2055</v>
      </c>
      <c r="D13" s="52">
        <v>45992.729166666664</v>
      </c>
      <c r="E13" s="52">
        <v>45992.729166666664</v>
      </c>
      <c r="F13" s="52">
        <v>45992.833333333336</v>
      </c>
      <c r="G13" s="53">
        <v>0.10416666666666667</v>
      </c>
      <c r="H13" s="1" t="s">
        <v>268</v>
      </c>
      <c r="I13" s="1" t="s">
        <v>269</v>
      </c>
      <c r="J13" s="1" t="s">
        <v>319</v>
      </c>
      <c r="K13" s="1" t="s">
        <v>652</v>
      </c>
      <c r="L13" s="1" t="s">
        <v>2045</v>
      </c>
      <c r="M13" s="1" t="s">
        <v>289</v>
      </c>
      <c r="N13" s="1" t="s">
        <v>253</v>
      </c>
      <c r="O13" s="1" t="s">
        <v>697</v>
      </c>
      <c r="P13" s="1" t="str">
        <f t="shared" si="0"/>
        <v>BC BomSucessoABB_1045992,729166666745992,729166666745992,8333333333</v>
      </c>
      <c r="Q13" s="1" t="str">
        <f t="shared" si="1"/>
        <v>LIGRFOCOM</v>
      </c>
    </row>
    <row r="14" spans="1:17">
      <c r="B14" s="1" t="s">
        <v>2044</v>
      </c>
      <c r="C14" s="1" t="s">
        <v>2056</v>
      </c>
      <c r="D14" s="52">
        <v>45992.729166666664</v>
      </c>
      <c r="E14" s="52">
        <v>45992.729166666664</v>
      </c>
      <c r="F14" s="52">
        <v>45992.833333333336</v>
      </c>
      <c r="G14" s="53">
        <v>0.10416666666666667</v>
      </c>
      <c r="H14" s="1" t="s">
        <v>268</v>
      </c>
      <c r="I14" s="1" t="s">
        <v>269</v>
      </c>
      <c r="J14" s="1" t="s">
        <v>319</v>
      </c>
      <c r="K14" s="1" t="s">
        <v>652</v>
      </c>
      <c r="L14" s="1" t="s">
        <v>2045</v>
      </c>
      <c r="M14" s="1" t="s">
        <v>289</v>
      </c>
      <c r="N14" s="1" t="s">
        <v>253</v>
      </c>
      <c r="O14" s="1" t="s">
        <v>697</v>
      </c>
      <c r="P14" s="1" t="str">
        <f t="shared" si="0"/>
        <v>BC BomSucessoABB_1145992,729166666745992,729166666745992,8333333333</v>
      </c>
      <c r="Q14" s="1" t="str">
        <f t="shared" si="1"/>
        <v>LIGRFOCOM</v>
      </c>
    </row>
    <row r="15" spans="1:17" hidden="1">
      <c r="B15" s="1" t="s">
        <v>375</v>
      </c>
      <c r="C15" s="1" t="s">
        <v>377</v>
      </c>
      <c r="D15" s="52">
        <v>45992.75</v>
      </c>
      <c r="E15" s="52">
        <v>45992.75</v>
      </c>
      <c r="F15" s="52">
        <v>45992.8125</v>
      </c>
      <c r="G15" s="53">
        <v>6.25E-2</v>
      </c>
      <c r="H15" s="1" t="s">
        <v>257</v>
      </c>
      <c r="J15" s="1" t="s">
        <v>258</v>
      </c>
      <c r="K15" s="1" t="s">
        <v>658</v>
      </c>
      <c r="L15" s="1" t="s">
        <v>2057</v>
      </c>
      <c r="M15" s="1" t="s">
        <v>260</v>
      </c>
      <c r="N15" s="1" t="s">
        <v>357</v>
      </c>
      <c r="O15" s="1" t="s">
        <v>2058</v>
      </c>
      <c r="P15" s="1" t="str">
        <f t="shared" si="0"/>
        <v>BC Camarao1.1215KTL-H3(MBUS-12)45992,7545992,7545992,8125</v>
      </c>
      <c r="Q15" s="1" t="str">
        <f t="shared" si="1"/>
        <v>DAURDE</v>
      </c>
    </row>
    <row r="16" spans="1:17" hidden="1">
      <c r="B16" s="1" t="s">
        <v>375</v>
      </c>
      <c r="C16" s="1" t="s">
        <v>378</v>
      </c>
      <c r="D16" s="52">
        <v>45992.75</v>
      </c>
      <c r="E16" s="52">
        <v>45992.75</v>
      </c>
      <c r="F16" s="52">
        <v>45992.8125</v>
      </c>
      <c r="G16" s="53">
        <v>6.25E-2</v>
      </c>
      <c r="H16" s="1" t="s">
        <v>257</v>
      </c>
      <c r="J16" s="1" t="s">
        <v>258</v>
      </c>
      <c r="K16" s="1" t="s">
        <v>658</v>
      </c>
      <c r="L16" s="1" t="s">
        <v>2057</v>
      </c>
      <c r="M16" s="1" t="s">
        <v>260</v>
      </c>
      <c r="N16" s="1" t="s">
        <v>357</v>
      </c>
      <c r="O16" s="1" t="s">
        <v>2058</v>
      </c>
      <c r="P16" s="1" t="str">
        <f t="shared" si="0"/>
        <v>BC Camarao1.1215KTL-H3(MBUS-13)45992,7545992,7545992,8125</v>
      </c>
      <c r="Q16" s="1" t="str">
        <f t="shared" si="1"/>
        <v>DAURDE</v>
      </c>
    </row>
    <row r="17" spans="2:17" hidden="1">
      <c r="B17" s="1" t="s">
        <v>375</v>
      </c>
      <c r="C17" s="1" t="s">
        <v>379</v>
      </c>
      <c r="D17" s="52">
        <v>45992.75</v>
      </c>
      <c r="E17" s="52">
        <v>45992.75</v>
      </c>
      <c r="F17" s="52">
        <v>45992.8125</v>
      </c>
      <c r="G17" s="53">
        <v>6.25E-2</v>
      </c>
      <c r="H17" s="1" t="s">
        <v>257</v>
      </c>
      <c r="J17" s="1" t="s">
        <v>258</v>
      </c>
      <c r="K17" s="1" t="s">
        <v>658</v>
      </c>
      <c r="L17" s="1" t="s">
        <v>2057</v>
      </c>
      <c r="M17" s="1" t="s">
        <v>260</v>
      </c>
      <c r="N17" s="1" t="s">
        <v>357</v>
      </c>
      <c r="O17" s="1" t="s">
        <v>2058</v>
      </c>
      <c r="P17" s="1" t="str">
        <f t="shared" si="0"/>
        <v>BC Camarao1.1215KTL-H3(MBUS-16)45992,7545992,7545992,8125</v>
      </c>
      <c r="Q17" s="1" t="str">
        <f t="shared" si="1"/>
        <v>DAURDE</v>
      </c>
    </row>
    <row r="18" spans="2:17" hidden="1">
      <c r="B18" s="1" t="s">
        <v>375</v>
      </c>
      <c r="C18" s="1" t="s">
        <v>380</v>
      </c>
      <c r="D18" s="52">
        <v>45992.75</v>
      </c>
      <c r="E18" s="52">
        <v>45992.75</v>
      </c>
      <c r="F18" s="52">
        <v>45992.8125</v>
      </c>
      <c r="G18" s="53">
        <v>6.25E-2</v>
      </c>
      <c r="H18" s="1" t="s">
        <v>257</v>
      </c>
      <c r="J18" s="1" t="s">
        <v>258</v>
      </c>
      <c r="K18" s="1" t="s">
        <v>658</v>
      </c>
      <c r="L18" s="1" t="s">
        <v>2057</v>
      </c>
      <c r="M18" s="1" t="s">
        <v>260</v>
      </c>
      <c r="N18" s="1" t="s">
        <v>357</v>
      </c>
      <c r="O18" s="1" t="s">
        <v>2058</v>
      </c>
      <c r="P18" s="1" t="str">
        <f t="shared" si="0"/>
        <v>BC Camarao1.1215KTL-H3(MBUS-15)45992,7545992,7545992,8125</v>
      </c>
      <c r="Q18" s="1" t="str">
        <f t="shared" si="1"/>
        <v>DAURDE</v>
      </c>
    </row>
    <row r="19" spans="2:17" hidden="1">
      <c r="B19" s="1" t="s">
        <v>387</v>
      </c>
      <c r="C19" s="1" t="s">
        <v>389</v>
      </c>
      <c r="D19" s="52">
        <v>45992.75</v>
      </c>
      <c r="E19" s="52">
        <v>45992.75</v>
      </c>
      <c r="F19" s="52">
        <v>45992.8125</v>
      </c>
      <c r="G19" s="53">
        <v>6.25E-2</v>
      </c>
      <c r="H19" s="1" t="s">
        <v>257</v>
      </c>
      <c r="J19" s="1" t="s">
        <v>258</v>
      </c>
      <c r="K19" s="1" t="s">
        <v>658</v>
      </c>
      <c r="L19" s="1" t="s">
        <v>2057</v>
      </c>
      <c r="M19" s="1" t="s">
        <v>260</v>
      </c>
      <c r="N19" s="1" t="s">
        <v>357</v>
      </c>
      <c r="O19" s="1" t="s">
        <v>2058</v>
      </c>
      <c r="P19" s="1" t="str">
        <f t="shared" si="0"/>
        <v>BC Camarao1.2Inv. 445992,7545992,7545992,8125</v>
      </c>
      <c r="Q19" s="1" t="str">
        <f t="shared" si="1"/>
        <v>DAURDE</v>
      </c>
    </row>
    <row r="20" spans="2:17" hidden="1">
      <c r="B20" s="1" t="s">
        <v>387</v>
      </c>
      <c r="C20" s="1" t="s">
        <v>390</v>
      </c>
      <c r="D20" s="52">
        <v>45992.75</v>
      </c>
      <c r="E20" s="52">
        <v>45992.75</v>
      </c>
      <c r="F20" s="52">
        <v>45992.8125</v>
      </c>
      <c r="G20" s="53">
        <v>6.25E-2</v>
      </c>
      <c r="H20" s="1" t="s">
        <v>257</v>
      </c>
      <c r="J20" s="1" t="s">
        <v>258</v>
      </c>
      <c r="K20" s="1" t="s">
        <v>658</v>
      </c>
      <c r="L20" s="1" t="s">
        <v>2057</v>
      </c>
      <c r="M20" s="1" t="s">
        <v>260</v>
      </c>
      <c r="N20" s="1" t="s">
        <v>357</v>
      </c>
      <c r="O20" s="1" t="s">
        <v>2058</v>
      </c>
      <c r="P20" s="1" t="str">
        <f t="shared" si="0"/>
        <v>BC Camarao1.2Inverter(MBUS-16)45992,7545992,7545992,8125</v>
      </c>
      <c r="Q20" s="1" t="str">
        <f t="shared" si="1"/>
        <v>DAURDE</v>
      </c>
    </row>
    <row r="21" spans="2:17" hidden="1">
      <c r="B21" s="1" t="s">
        <v>387</v>
      </c>
      <c r="C21" s="1" t="s">
        <v>256</v>
      </c>
      <c r="D21" s="52">
        <v>45992.75</v>
      </c>
      <c r="E21" s="52">
        <v>45992.75</v>
      </c>
      <c r="F21" s="52">
        <v>45992.8125</v>
      </c>
      <c r="G21" s="53">
        <v>6.25E-2</v>
      </c>
      <c r="H21" s="1" t="s">
        <v>257</v>
      </c>
      <c r="J21" s="1" t="s">
        <v>258</v>
      </c>
      <c r="K21" s="1" t="s">
        <v>658</v>
      </c>
      <c r="L21" s="1" t="s">
        <v>2057</v>
      </c>
      <c r="M21" s="1" t="s">
        <v>260</v>
      </c>
      <c r="N21" s="1" t="s">
        <v>357</v>
      </c>
      <c r="O21" s="1" t="s">
        <v>2058</v>
      </c>
      <c r="P21" s="1" t="str">
        <f t="shared" si="0"/>
        <v>BC Camarao1.2Inverter(MBUS-12)45992,7545992,7545992,8125</v>
      </c>
      <c r="Q21" s="1" t="str">
        <f t="shared" si="1"/>
        <v>DAURDE</v>
      </c>
    </row>
    <row r="22" spans="2:17" hidden="1">
      <c r="B22" s="1" t="s">
        <v>387</v>
      </c>
      <c r="C22" s="1" t="s">
        <v>388</v>
      </c>
      <c r="D22" s="52">
        <v>45992.75</v>
      </c>
      <c r="E22" s="52">
        <v>45992.75</v>
      </c>
      <c r="F22" s="52">
        <v>45992.8125</v>
      </c>
      <c r="G22" s="53">
        <v>6.25E-2</v>
      </c>
      <c r="H22" s="1" t="s">
        <v>257</v>
      </c>
      <c r="J22" s="1" t="s">
        <v>258</v>
      </c>
      <c r="K22" s="1" t="s">
        <v>658</v>
      </c>
      <c r="L22" s="1" t="s">
        <v>2057</v>
      </c>
      <c r="M22" s="1" t="s">
        <v>260</v>
      </c>
      <c r="N22" s="1" t="s">
        <v>357</v>
      </c>
      <c r="O22" s="1" t="s">
        <v>2058</v>
      </c>
      <c r="P22" s="1" t="str">
        <f t="shared" si="0"/>
        <v>BC Camarao1.2Inv. 345992,7545992,7545992,8125</v>
      </c>
      <c r="Q22" s="1" t="str">
        <f t="shared" si="1"/>
        <v>DAURDE</v>
      </c>
    </row>
    <row r="23" spans="2:17" hidden="1">
      <c r="B23" s="1" t="s">
        <v>387</v>
      </c>
      <c r="C23" s="1" t="s">
        <v>247</v>
      </c>
      <c r="D23" s="52">
        <v>45992.75</v>
      </c>
      <c r="E23" s="52">
        <v>45992.75</v>
      </c>
      <c r="F23" s="52">
        <v>45992.8125</v>
      </c>
      <c r="G23" s="53">
        <v>6.25E-2</v>
      </c>
      <c r="H23" s="1" t="s">
        <v>257</v>
      </c>
      <c r="J23" s="1" t="s">
        <v>258</v>
      </c>
      <c r="K23" s="1" t="s">
        <v>658</v>
      </c>
      <c r="L23" s="1" t="s">
        <v>2057</v>
      </c>
      <c r="M23" s="1" t="s">
        <v>260</v>
      </c>
      <c r="N23" s="1" t="s">
        <v>357</v>
      </c>
      <c r="O23" s="1" t="s">
        <v>2058</v>
      </c>
      <c r="P23" s="1" t="str">
        <f t="shared" si="0"/>
        <v>BC Camarao1.2Inverter(MBUS-1)45992,7545992,7545992,8125</v>
      </c>
      <c r="Q23" s="1" t="str">
        <f t="shared" si="1"/>
        <v>DAURDE</v>
      </c>
    </row>
    <row r="24" spans="2:17" hidden="1">
      <c r="B24" s="1" t="s">
        <v>381</v>
      </c>
      <c r="C24" s="1" t="s">
        <v>379</v>
      </c>
      <c r="D24" s="52">
        <v>45992.75</v>
      </c>
      <c r="E24" s="52">
        <v>45992.75</v>
      </c>
      <c r="F24" s="52">
        <v>45992.8125</v>
      </c>
      <c r="G24" s="53">
        <v>6.25E-2</v>
      </c>
      <c r="H24" s="1" t="s">
        <v>257</v>
      </c>
      <c r="J24" s="1" t="s">
        <v>258</v>
      </c>
      <c r="K24" s="1" t="s">
        <v>658</v>
      </c>
      <c r="L24" s="1" t="s">
        <v>2057</v>
      </c>
      <c r="M24" s="1" t="s">
        <v>260</v>
      </c>
      <c r="N24" s="1" t="s">
        <v>357</v>
      </c>
      <c r="O24" s="1" t="s">
        <v>2058</v>
      </c>
      <c r="P24" s="1" t="str">
        <f t="shared" si="0"/>
        <v>BC Camarao1.3215KTL-H3(MBUS-16)45992,7545992,7545992,8125</v>
      </c>
      <c r="Q24" s="1" t="str">
        <f t="shared" si="1"/>
        <v>DAURDE</v>
      </c>
    </row>
    <row r="25" spans="2:17" hidden="1">
      <c r="B25" s="1" t="s">
        <v>381</v>
      </c>
      <c r="C25" s="1" t="s">
        <v>382</v>
      </c>
      <c r="D25" s="52">
        <v>45992.75</v>
      </c>
      <c r="E25" s="52">
        <v>45992.75</v>
      </c>
      <c r="F25" s="52">
        <v>45992.8125</v>
      </c>
      <c r="G25" s="53">
        <v>6.25E-2</v>
      </c>
      <c r="H25" s="1" t="s">
        <v>257</v>
      </c>
      <c r="J25" s="1" t="s">
        <v>258</v>
      </c>
      <c r="K25" s="1" t="s">
        <v>658</v>
      </c>
      <c r="L25" s="1" t="s">
        <v>2057</v>
      </c>
      <c r="M25" s="1" t="s">
        <v>260</v>
      </c>
      <c r="N25" s="1" t="s">
        <v>357</v>
      </c>
      <c r="O25" s="1" t="s">
        <v>2058</v>
      </c>
      <c r="P25" s="1" t="str">
        <f t="shared" si="0"/>
        <v>BC Camarao1.3215KTL-H3(MBUS-14)45992,7545992,7545992,8125</v>
      </c>
      <c r="Q25" s="1" t="str">
        <f t="shared" si="1"/>
        <v>DAURDE</v>
      </c>
    </row>
    <row r="26" spans="2:17" hidden="1">
      <c r="B26" s="1" t="s">
        <v>381</v>
      </c>
      <c r="C26" s="1" t="s">
        <v>380</v>
      </c>
      <c r="D26" s="52">
        <v>45992.75</v>
      </c>
      <c r="E26" s="52">
        <v>45992.75</v>
      </c>
      <c r="F26" s="52">
        <v>45992.8125</v>
      </c>
      <c r="G26" s="53">
        <v>6.25E-2</v>
      </c>
      <c r="H26" s="1" t="s">
        <v>257</v>
      </c>
      <c r="J26" s="1" t="s">
        <v>258</v>
      </c>
      <c r="K26" s="1" t="s">
        <v>658</v>
      </c>
      <c r="L26" s="1" t="s">
        <v>2057</v>
      </c>
      <c r="M26" s="1" t="s">
        <v>260</v>
      </c>
      <c r="N26" s="1" t="s">
        <v>357</v>
      </c>
      <c r="O26" s="1" t="s">
        <v>2058</v>
      </c>
      <c r="P26" s="1" t="str">
        <f t="shared" si="0"/>
        <v>BC Camarao1.3215KTL-H3(MBUS-15)45992,7545992,7545992,8125</v>
      </c>
      <c r="Q26" s="1" t="str">
        <f t="shared" si="1"/>
        <v>DAURDE</v>
      </c>
    </row>
    <row r="27" spans="2:17" hidden="1">
      <c r="B27" s="1" t="s">
        <v>381</v>
      </c>
      <c r="C27" s="1" t="s">
        <v>377</v>
      </c>
      <c r="D27" s="52">
        <v>45992.75</v>
      </c>
      <c r="E27" s="52">
        <v>45992.75</v>
      </c>
      <c r="F27" s="52">
        <v>45992.8125</v>
      </c>
      <c r="G27" s="53">
        <v>6.25E-2</v>
      </c>
      <c r="H27" s="1" t="s">
        <v>257</v>
      </c>
      <c r="J27" s="1" t="s">
        <v>258</v>
      </c>
      <c r="K27" s="1" t="s">
        <v>658</v>
      </c>
      <c r="L27" s="1" t="s">
        <v>2057</v>
      </c>
      <c r="M27" s="1" t="s">
        <v>260</v>
      </c>
      <c r="N27" s="1" t="s">
        <v>357</v>
      </c>
      <c r="O27" s="1" t="s">
        <v>2058</v>
      </c>
      <c r="P27" s="1" t="str">
        <f t="shared" si="0"/>
        <v>BC Camarao1.3215KTL-H3(MBUS-12)45992,7545992,7545992,8125</v>
      </c>
      <c r="Q27" s="1" t="str">
        <f t="shared" si="1"/>
        <v>DAURDE</v>
      </c>
    </row>
    <row r="28" spans="2:17" hidden="1">
      <c r="B28" s="1" t="s">
        <v>381</v>
      </c>
      <c r="C28" s="1" t="s">
        <v>378</v>
      </c>
      <c r="D28" s="52">
        <v>45992.75</v>
      </c>
      <c r="E28" s="52">
        <v>45992.75</v>
      </c>
      <c r="F28" s="52">
        <v>45992.8125</v>
      </c>
      <c r="G28" s="53">
        <v>6.25E-2</v>
      </c>
      <c r="H28" s="1" t="s">
        <v>257</v>
      </c>
      <c r="J28" s="1" t="s">
        <v>258</v>
      </c>
      <c r="K28" s="1" t="s">
        <v>658</v>
      </c>
      <c r="L28" s="1" t="s">
        <v>2057</v>
      </c>
      <c r="M28" s="1" t="s">
        <v>260</v>
      </c>
      <c r="N28" s="1" t="s">
        <v>357</v>
      </c>
      <c r="O28" s="1" t="s">
        <v>2058</v>
      </c>
      <c r="P28" s="1" t="str">
        <f t="shared" si="0"/>
        <v>BC Camarao1.3215KTL-H3(MBUS-13)45992,7545992,7545992,8125</v>
      </c>
      <c r="Q28" s="1" t="str">
        <f t="shared" si="1"/>
        <v>DAURDE</v>
      </c>
    </row>
    <row r="29" spans="2:17" hidden="1">
      <c r="B29" s="1" t="s">
        <v>391</v>
      </c>
      <c r="C29" s="1" t="s">
        <v>2059</v>
      </c>
      <c r="D29" s="52">
        <v>45992.75</v>
      </c>
      <c r="E29" s="52">
        <v>45992.75</v>
      </c>
      <c r="F29" s="52">
        <v>45992.8125</v>
      </c>
      <c r="G29" s="53">
        <v>6.25E-2</v>
      </c>
      <c r="H29" s="1" t="s">
        <v>257</v>
      </c>
      <c r="J29" s="1" t="s">
        <v>258</v>
      </c>
      <c r="K29" s="1" t="s">
        <v>658</v>
      </c>
      <c r="L29" s="1" t="s">
        <v>2057</v>
      </c>
      <c r="M29" s="1" t="s">
        <v>260</v>
      </c>
      <c r="N29" s="1" t="s">
        <v>357</v>
      </c>
      <c r="O29" s="1" t="s">
        <v>2058</v>
      </c>
      <c r="P29" s="1" t="str">
        <f t="shared" si="0"/>
        <v>BC Camarao1.4inv. 145992,7545992,7545992,8125</v>
      </c>
      <c r="Q29" s="1" t="str">
        <f t="shared" si="1"/>
        <v>DAURDE</v>
      </c>
    </row>
    <row r="30" spans="2:17" hidden="1">
      <c r="B30" s="1" t="s">
        <v>391</v>
      </c>
      <c r="C30" s="1" t="s">
        <v>382</v>
      </c>
      <c r="D30" s="52">
        <v>45992.75</v>
      </c>
      <c r="E30" s="52">
        <v>45992.75</v>
      </c>
      <c r="F30" s="52">
        <v>45992.8125</v>
      </c>
      <c r="G30" s="53">
        <v>6.25E-2</v>
      </c>
      <c r="H30" s="1" t="s">
        <v>257</v>
      </c>
      <c r="J30" s="1" t="s">
        <v>258</v>
      </c>
      <c r="K30" s="1" t="s">
        <v>658</v>
      </c>
      <c r="L30" s="1" t="s">
        <v>2057</v>
      </c>
      <c r="M30" s="1" t="s">
        <v>260</v>
      </c>
      <c r="N30" s="1" t="s">
        <v>357</v>
      </c>
      <c r="O30" s="1" t="s">
        <v>2058</v>
      </c>
      <c r="P30" s="1" t="str">
        <f t="shared" si="0"/>
        <v>BC Camarao1.4215KTL-H3(MBUS-14)45992,7545992,7545992,8125</v>
      </c>
      <c r="Q30" s="1" t="str">
        <f t="shared" si="1"/>
        <v>DAURDE</v>
      </c>
    </row>
    <row r="31" spans="2:17" hidden="1">
      <c r="B31" s="1" t="s">
        <v>391</v>
      </c>
      <c r="C31" s="1" t="s">
        <v>378</v>
      </c>
      <c r="D31" s="52">
        <v>45992.75</v>
      </c>
      <c r="E31" s="52">
        <v>45992.75</v>
      </c>
      <c r="F31" s="52">
        <v>45992.8125</v>
      </c>
      <c r="G31" s="53">
        <v>6.25E-2</v>
      </c>
      <c r="H31" s="1" t="s">
        <v>257</v>
      </c>
      <c r="J31" s="1" t="s">
        <v>258</v>
      </c>
      <c r="K31" s="1" t="s">
        <v>658</v>
      </c>
      <c r="L31" s="1" t="s">
        <v>2057</v>
      </c>
      <c r="M31" s="1" t="s">
        <v>260</v>
      </c>
      <c r="N31" s="1" t="s">
        <v>357</v>
      </c>
      <c r="O31" s="1" t="s">
        <v>2058</v>
      </c>
      <c r="P31" s="1" t="str">
        <f t="shared" si="0"/>
        <v>BC Camarao1.4215KTL-H3(MBUS-13)45992,7545992,7545992,8125</v>
      </c>
      <c r="Q31" s="1" t="str">
        <f t="shared" si="1"/>
        <v>DAURDE</v>
      </c>
    </row>
    <row r="32" spans="2:17" hidden="1">
      <c r="B32" s="1" t="s">
        <v>391</v>
      </c>
      <c r="C32" s="1" t="s">
        <v>379</v>
      </c>
      <c r="D32" s="52">
        <v>45992.75</v>
      </c>
      <c r="E32" s="52">
        <v>45992.75</v>
      </c>
      <c r="F32" s="52">
        <v>45992.8125</v>
      </c>
      <c r="G32" s="53">
        <v>6.25E-2</v>
      </c>
      <c r="H32" s="1" t="s">
        <v>257</v>
      </c>
      <c r="J32" s="1" t="s">
        <v>258</v>
      </c>
      <c r="K32" s="1" t="s">
        <v>658</v>
      </c>
      <c r="L32" s="1" t="s">
        <v>2057</v>
      </c>
      <c r="M32" s="1" t="s">
        <v>260</v>
      </c>
      <c r="N32" s="1" t="s">
        <v>357</v>
      </c>
      <c r="O32" s="1" t="s">
        <v>2058</v>
      </c>
      <c r="P32" s="1" t="str">
        <f t="shared" si="0"/>
        <v>BC Camarao1.4215KTL-H3(MBUS-16)45992,7545992,7545992,8125</v>
      </c>
      <c r="Q32" s="1" t="str">
        <f t="shared" si="1"/>
        <v>DAURDE</v>
      </c>
    </row>
    <row r="33" spans="2:17" hidden="1">
      <c r="B33" s="1" t="s">
        <v>391</v>
      </c>
      <c r="C33" s="1" t="s">
        <v>380</v>
      </c>
      <c r="D33" s="52">
        <v>45992.75</v>
      </c>
      <c r="E33" s="52">
        <v>45992.75</v>
      </c>
      <c r="F33" s="52">
        <v>45992.8125</v>
      </c>
      <c r="G33" s="53">
        <v>6.25E-2</v>
      </c>
      <c r="H33" s="1" t="s">
        <v>257</v>
      </c>
      <c r="J33" s="1" t="s">
        <v>258</v>
      </c>
      <c r="K33" s="1" t="s">
        <v>658</v>
      </c>
      <c r="L33" s="1" t="s">
        <v>2057</v>
      </c>
      <c r="M33" s="1" t="s">
        <v>260</v>
      </c>
      <c r="N33" s="1" t="s">
        <v>357</v>
      </c>
      <c r="O33" s="1" t="s">
        <v>2058</v>
      </c>
      <c r="P33" s="1" t="str">
        <f t="shared" si="0"/>
        <v>BC Camarao1.4215KTL-H3(MBUS-15)45992,7545992,7545992,8125</v>
      </c>
      <c r="Q33" s="1" t="str">
        <f t="shared" si="1"/>
        <v>DAURDE</v>
      </c>
    </row>
    <row r="34" spans="2:17" hidden="1">
      <c r="B34" s="1" t="s">
        <v>519</v>
      </c>
      <c r="C34" s="1" t="s">
        <v>380</v>
      </c>
      <c r="D34" s="52">
        <v>45992.75</v>
      </c>
      <c r="E34" s="52">
        <v>45992.75</v>
      </c>
      <c r="F34" s="52">
        <v>45992.8125</v>
      </c>
      <c r="G34" s="53">
        <v>6.25E-2</v>
      </c>
      <c r="H34" s="1" t="s">
        <v>257</v>
      </c>
      <c r="J34" s="1" t="s">
        <v>258</v>
      </c>
      <c r="K34" s="1" t="s">
        <v>658</v>
      </c>
      <c r="L34" s="1" t="s">
        <v>2057</v>
      </c>
      <c r="M34" s="1" t="s">
        <v>260</v>
      </c>
      <c r="N34" s="1" t="s">
        <v>357</v>
      </c>
      <c r="O34" s="1" t="s">
        <v>2058</v>
      </c>
      <c r="P34" s="1" t="str">
        <f t="shared" si="0"/>
        <v>BC Camarao1.5215KTL-H3(MBUS-15)45992,7545992,7545992,8125</v>
      </c>
      <c r="Q34" s="1" t="str">
        <f t="shared" si="1"/>
        <v>DAURDE</v>
      </c>
    </row>
    <row r="35" spans="2:17" hidden="1">
      <c r="B35" s="1" t="s">
        <v>519</v>
      </c>
      <c r="C35" s="1" t="s">
        <v>247</v>
      </c>
      <c r="D35" s="52">
        <v>45992.75</v>
      </c>
      <c r="E35" s="52">
        <v>45992.75</v>
      </c>
      <c r="F35" s="52">
        <v>45992.8125</v>
      </c>
      <c r="G35" s="53">
        <v>6.25E-2</v>
      </c>
      <c r="H35" s="1" t="s">
        <v>257</v>
      </c>
      <c r="J35" s="1" t="s">
        <v>258</v>
      </c>
      <c r="K35" s="1" t="s">
        <v>658</v>
      </c>
      <c r="L35" s="1" t="s">
        <v>2057</v>
      </c>
      <c r="M35" s="1" t="s">
        <v>260</v>
      </c>
      <c r="N35" s="1" t="s">
        <v>357</v>
      </c>
      <c r="O35" s="1" t="s">
        <v>2058</v>
      </c>
      <c r="P35" s="1" t="str">
        <f t="shared" si="0"/>
        <v>BC Camarao1.5Inverter(MBUS-1)45992,7545992,7545992,8125</v>
      </c>
      <c r="Q35" s="1" t="str">
        <f t="shared" si="1"/>
        <v>DAURDE</v>
      </c>
    </row>
    <row r="36" spans="2:17" hidden="1">
      <c r="B36" s="1" t="s">
        <v>519</v>
      </c>
      <c r="C36" s="1" t="s">
        <v>378</v>
      </c>
      <c r="D36" s="52">
        <v>45992.75</v>
      </c>
      <c r="E36" s="52">
        <v>45992.75</v>
      </c>
      <c r="F36" s="52">
        <v>45992.8125</v>
      </c>
      <c r="G36" s="53">
        <v>6.25E-2</v>
      </c>
      <c r="H36" s="1" t="s">
        <v>257</v>
      </c>
      <c r="J36" s="1" t="s">
        <v>258</v>
      </c>
      <c r="K36" s="1" t="s">
        <v>658</v>
      </c>
      <c r="L36" s="1" t="s">
        <v>2057</v>
      </c>
      <c r="M36" s="1" t="s">
        <v>260</v>
      </c>
      <c r="N36" s="1" t="s">
        <v>357</v>
      </c>
      <c r="O36" s="1" t="s">
        <v>2058</v>
      </c>
      <c r="P36" s="1" t="str">
        <f t="shared" si="0"/>
        <v>BC Camarao1.5215KTL-H3(MBUS-13)45992,7545992,7545992,8125</v>
      </c>
      <c r="Q36" s="1" t="str">
        <f t="shared" si="1"/>
        <v>DAURDE</v>
      </c>
    </row>
    <row r="37" spans="2:17" hidden="1">
      <c r="B37" s="1" t="s">
        <v>519</v>
      </c>
      <c r="C37" s="1" t="s">
        <v>377</v>
      </c>
      <c r="D37" s="52">
        <v>45992.75</v>
      </c>
      <c r="E37" s="52">
        <v>45992.75</v>
      </c>
      <c r="F37" s="52">
        <v>45992.8125</v>
      </c>
      <c r="G37" s="53">
        <v>6.25E-2</v>
      </c>
      <c r="H37" s="1" t="s">
        <v>257</v>
      </c>
      <c r="J37" s="1" t="s">
        <v>258</v>
      </c>
      <c r="K37" s="1" t="s">
        <v>658</v>
      </c>
      <c r="L37" s="1" t="s">
        <v>2057</v>
      </c>
      <c r="M37" s="1" t="s">
        <v>260</v>
      </c>
      <c r="N37" s="1" t="s">
        <v>357</v>
      </c>
      <c r="O37" s="1" t="s">
        <v>2058</v>
      </c>
      <c r="P37" s="1" t="str">
        <f t="shared" si="0"/>
        <v>BC Camarao1.5215KTL-H3(MBUS-12)45992,7545992,7545992,8125</v>
      </c>
      <c r="Q37" s="1" t="str">
        <f t="shared" si="1"/>
        <v>DAURDE</v>
      </c>
    </row>
    <row r="38" spans="2:17" hidden="1">
      <c r="B38" s="1" t="s">
        <v>519</v>
      </c>
      <c r="C38" s="1" t="s">
        <v>263</v>
      </c>
      <c r="D38" s="52">
        <v>45992.75</v>
      </c>
      <c r="E38" s="52">
        <v>45992.75</v>
      </c>
      <c r="F38" s="52">
        <v>45992.8125</v>
      </c>
      <c r="G38" s="53">
        <v>6.25E-2</v>
      </c>
      <c r="H38" s="1" t="s">
        <v>257</v>
      </c>
      <c r="J38" s="1" t="s">
        <v>258</v>
      </c>
      <c r="K38" s="1" t="s">
        <v>658</v>
      </c>
      <c r="L38" s="1" t="s">
        <v>2057</v>
      </c>
      <c r="M38" s="1" t="s">
        <v>260</v>
      </c>
      <c r="N38" s="1" t="s">
        <v>357</v>
      </c>
      <c r="O38" s="1" t="s">
        <v>2058</v>
      </c>
      <c r="P38" s="1" t="str">
        <f t="shared" si="0"/>
        <v>BC Camarao1.5Inverter(MBUS-14)45992,7545992,7545992,8125</v>
      </c>
      <c r="Q38" s="1" t="str">
        <f t="shared" si="1"/>
        <v>DAURDE</v>
      </c>
    </row>
    <row r="39" spans="2:17" hidden="1">
      <c r="B39" s="1" t="s">
        <v>255</v>
      </c>
      <c r="C39" s="1" t="s">
        <v>256</v>
      </c>
      <c r="D39" s="52">
        <v>45993.24722222222</v>
      </c>
      <c r="E39" s="52">
        <v>45993.24722222222</v>
      </c>
      <c r="F39" s="52">
        <v>45993.308333333334</v>
      </c>
      <c r="G39" s="53">
        <v>6.1111111111111109E-2</v>
      </c>
      <c r="H39" s="1" t="s">
        <v>257</v>
      </c>
      <c r="J39" s="1" t="s">
        <v>258</v>
      </c>
      <c r="K39" s="1" t="s">
        <v>658</v>
      </c>
      <c r="L39" s="1" t="s">
        <v>2060</v>
      </c>
      <c r="M39" s="1" t="s">
        <v>260</v>
      </c>
      <c r="N39" s="1" t="s">
        <v>253</v>
      </c>
      <c r="O39" s="1" t="s">
        <v>2061</v>
      </c>
      <c r="P39" s="1" t="str">
        <f t="shared" si="0"/>
        <v>BC Formoso2.1Inverter(MBUS-12)45993,247222222245993,247222222245993,3083333333</v>
      </c>
      <c r="Q39" s="1" t="str">
        <f t="shared" si="1"/>
        <v>DAURDE</v>
      </c>
    </row>
    <row r="40" spans="2:17" hidden="1">
      <c r="B40" s="1" t="s">
        <v>255</v>
      </c>
      <c r="C40" s="1" t="s">
        <v>263</v>
      </c>
      <c r="D40" s="52">
        <v>45993.24722222222</v>
      </c>
      <c r="E40" s="52">
        <v>45993.24722222222</v>
      </c>
      <c r="F40" s="52">
        <v>45993.308333333334</v>
      </c>
      <c r="G40" s="53">
        <v>6.1111111111111109E-2</v>
      </c>
      <c r="H40" s="1" t="s">
        <v>257</v>
      </c>
      <c r="J40" s="1" t="s">
        <v>258</v>
      </c>
      <c r="K40" s="1" t="s">
        <v>658</v>
      </c>
      <c r="L40" s="1" t="s">
        <v>2060</v>
      </c>
      <c r="M40" s="1" t="s">
        <v>260</v>
      </c>
      <c r="N40" s="1" t="s">
        <v>253</v>
      </c>
      <c r="O40" s="1" t="s">
        <v>2061</v>
      </c>
      <c r="P40" s="1" t="str">
        <f t="shared" si="0"/>
        <v>BC Formoso2.1Inverter(MBUS-14)45993,247222222245993,247222222245993,3083333333</v>
      </c>
      <c r="Q40" s="1" t="str">
        <f t="shared" si="1"/>
        <v>DAURDE</v>
      </c>
    </row>
    <row r="41" spans="2:17" hidden="1">
      <c r="B41" s="1" t="s">
        <v>255</v>
      </c>
      <c r="C41" s="1" t="s">
        <v>264</v>
      </c>
      <c r="D41" s="52">
        <v>45993.24722222222</v>
      </c>
      <c r="E41" s="52">
        <v>45993.24722222222</v>
      </c>
      <c r="F41" s="52">
        <v>45993.308333333334</v>
      </c>
      <c r="G41" s="53">
        <v>6.1111111111111109E-2</v>
      </c>
      <c r="H41" s="1" t="s">
        <v>257</v>
      </c>
      <c r="J41" s="1" t="s">
        <v>258</v>
      </c>
      <c r="K41" s="1" t="s">
        <v>658</v>
      </c>
      <c r="L41" s="1" t="s">
        <v>2060</v>
      </c>
      <c r="M41" s="1" t="s">
        <v>260</v>
      </c>
      <c r="N41" s="1" t="s">
        <v>253</v>
      </c>
      <c r="O41" s="1" t="s">
        <v>2061</v>
      </c>
      <c r="P41" s="1" t="str">
        <f t="shared" si="0"/>
        <v>BC Formoso2.1Inverter(MBUS-13)45993,247222222245993,247222222245993,3083333333</v>
      </c>
      <c r="Q41" s="1" t="str">
        <f t="shared" si="1"/>
        <v>DAURDE</v>
      </c>
    </row>
    <row r="42" spans="2:17" hidden="1">
      <c r="B42" s="1" t="s">
        <v>255</v>
      </c>
      <c r="C42" s="1" t="s">
        <v>247</v>
      </c>
      <c r="D42" s="52">
        <v>45993.24722222222</v>
      </c>
      <c r="E42" s="52">
        <v>45993.24722222222</v>
      </c>
      <c r="F42" s="52">
        <v>45993.308333333334</v>
      </c>
      <c r="G42" s="53">
        <v>6.1111111111111109E-2</v>
      </c>
      <c r="H42" s="1" t="s">
        <v>257</v>
      </c>
      <c r="J42" s="1" t="s">
        <v>258</v>
      </c>
      <c r="K42" s="1" t="s">
        <v>658</v>
      </c>
      <c r="L42" s="1" t="s">
        <v>2060</v>
      </c>
      <c r="M42" s="1" t="s">
        <v>260</v>
      </c>
      <c r="N42" s="1" t="s">
        <v>253</v>
      </c>
      <c r="O42" s="1" t="s">
        <v>2061</v>
      </c>
      <c r="P42" s="1" t="str">
        <f t="shared" si="0"/>
        <v>BC Formoso2.1Inverter(MBUS-1)45993,247222222245993,247222222245993,3083333333</v>
      </c>
      <c r="Q42" s="1" t="str">
        <f t="shared" si="1"/>
        <v>DAURDE</v>
      </c>
    </row>
    <row r="43" spans="2:17" hidden="1">
      <c r="B43" s="1" t="s">
        <v>265</v>
      </c>
      <c r="C43" s="1" t="s">
        <v>263</v>
      </c>
      <c r="D43" s="52">
        <v>45993.24722222222</v>
      </c>
      <c r="E43" s="52">
        <v>45993.24722222222</v>
      </c>
      <c r="F43" s="52">
        <v>45993.308333333334</v>
      </c>
      <c r="G43" s="53">
        <v>6.1111111111111109E-2</v>
      </c>
      <c r="H43" s="1" t="s">
        <v>257</v>
      </c>
      <c r="J43" s="1" t="s">
        <v>258</v>
      </c>
      <c r="K43" s="1" t="s">
        <v>658</v>
      </c>
      <c r="L43" s="1" t="s">
        <v>2060</v>
      </c>
      <c r="M43" s="1" t="s">
        <v>260</v>
      </c>
      <c r="N43" s="1" t="s">
        <v>253</v>
      </c>
      <c r="O43" s="1" t="s">
        <v>2061</v>
      </c>
      <c r="P43" s="1" t="str">
        <f t="shared" si="0"/>
        <v>BC Formoso2.2Inverter(MBUS-14)45993,247222222245993,247222222245993,3083333333</v>
      </c>
      <c r="Q43" s="1" t="str">
        <f t="shared" si="1"/>
        <v>DAURDE</v>
      </c>
    </row>
    <row r="44" spans="2:17" hidden="1">
      <c r="B44" s="1" t="s">
        <v>265</v>
      </c>
      <c r="C44" s="1" t="s">
        <v>264</v>
      </c>
      <c r="D44" s="52">
        <v>45993.24722222222</v>
      </c>
      <c r="E44" s="52">
        <v>45993.24722222222</v>
      </c>
      <c r="F44" s="52">
        <v>45993.308333333334</v>
      </c>
      <c r="G44" s="53">
        <v>6.1111111111111109E-2</v>
      </c>
      <c r="H44" s="1" t="s">
        <v>257</v>
      </c>
      <c r="J44" s="1" t="s">
        <v>258</v>
      </c>
      <c r="K44" s="1" t="s">
        <v>658</v>
      </c>
      <c r="L44" s="1" t="s">
        <v>2060</v>
      </c>
      <c r="M44" s="1" t="s">
        <v>260</v>
      </c>
      <c r="N44" s="1" t="s">
        <v>253</v>
      </c>
      <c r="O44" s="1" t="s">
        <v>2061</v>
      </c>
      <c r="P44" s="1" t="str">
        <f t="shared" si="0"/>
        <v>BC Formoso2.2Inverter(MBUS-13)45993,247222222245993,247222222245993,3083333333</v>
      </c>
      <c r="Q44" s="1" t="str">
        <f t="shared" si="1"/>
        <v>DAURDE</v>
      </c>
    </row>
    <row r="45" spans="2:17" hidden="1">
      <c r="B45" s="1" t="s">
        <v>265</v>
      </c>
      <c r="C45" s="1" t="s">
        <v>256</v>
      </c>
      <c r="D45" s="52">
        <v>45993.24722222222</v>
      </c>
      <c r="E45" s="52">
        <v>45993.24722222222</v>
      </c>
      <c r="F45" s="52">
        <v>45993.308333333334</v>
      </c>
      <c r="G45" s="53">
        <v>6.1111111111111109E-2</v>
      </c>
      <c r="H45" s="1" t="s">
        <v>257</v>
      </c>
      <c r="J45" s="1" t="s">
        <v>258</v>
      </c>
      <c r="K45" s="1" t="s">
        <v>658</v>
      </c>
      <c r="L45" s="1" t="s">
        <v>2060</v>
      </c>
      <c r="M45" s="1" t="s">
        <v>260</v>
      </c>
      <c r="N45" s="1" t="s">
        <v>253</v>
      </c>
      <c r="O45" s="1" t="s">
        <v>2061</v>
      </c>
      <c r="P45" s="1" t="str">
        <f t="shared" si="0"/>
        <v>BC Formoso2.2Inverter(MBUS-12)45993,247222222245993,247222222245993,3083333333</v>
      </c>
      <c r="Q45" s="1" t="str">
        <f t="shared" si="1"/>
        <v>DAURDE</v>
      </c>
    </row>
    <row r="46" spans="2:17" hidden="1">
      <c r="B46" s="1" t="s">
        <v>265</v>
      </c>
      <c r="C46" s="1" t="s">
        <v>247</v>
      </c>
      <c r="D46" s="52">
        <v>45993.24722222222</v>
      </c>
      <c r="E46" s="52">
        <v>45993.24722222222</v>
      </c>
      <c r="F46" s="52">
        <v>45993.308333333334</v>
      </c>
      <c r="G46" s="53">
        <v>6.1111111111111109E-2</v>
      </c>
      <c r="H46" s="1" t="s">
        <v>257</v>
      </c>
      <c r="J46" s="1" t="s">
        <v>258</v>
      </c>
      <c r="K46" s="1" t="s">
        <v>658</v>
      </c>
      <c r="L46" s="1" t="s">
        <v>2060</v>
      </c>
      <c r="M46" s="1" t="s">
        <v>260</v>
      </c>
      <c r="N46" s="1" t="s">
        <v>253</v>
      </c>
      <c r="O46" s="1" t="s">
        <v>2061</v>
      </c>
      <c r="P46" s="1" t="str">
        <f t="shared" si="0"/>
        <v>BC Formoso2.2Inverter(MBUS-1)45993,247222222245993,247222222245993,3083333333</v>
      </c>
      <c r="Q46" s="1" t="str">
        <f t="shared" si="1"/>
        <v>DAURDE</v>
      </c>
    </row>
    <row r="47" spans="2:17" hidden="1">
      <c r="B47" s="1" t="s">
        <v>355</v>
      </c>
      <c r="C47" s="1" t="s">
        <v>264</v>
      </c>
      <c r="D47" s="52">
        <v>45993.24722222222</v>
      </c>
      <c r="E47" s="52">
        <v>45993.24722222222</v>
      </c>
      <c r="F47" s="52">
        <v>45993.308333333334</v>
      </c>
      <c r="G47" s="53">
        <v>6.1111111111111109E-2</v>
      </c>
      <c r="H47" s="1" t="s">
        <v>257</v>
      </c>
      <c r="J47" s="1" t="s">
        <v>258</v>
      </c>
      <c r="K47" s="1" t="s">
        <v>658</v>
      </c>
      <c r="L47" s="1" t="s">
        <v>2060</v>
      </c>
      <c r="M47" s="1" t="s">
        <v>260</v>
      </c>
      <c r="N47" s="1" t="s">
        <v>253</v>
      </c>
      <c r="O47" s="1" t="s">
        <v>2061</v>
      </c>
      <c r="P47" s="1" t="str">
        <f t="shared" si="0"/>
        <v>BC Formoso2.3Inverter(MBUS-13)45993,247222222245993,247222222245993,3083333333</v>
      </c>
      <c r="Q47" s="1" t="str">
        <f t="shared" si="1"/>
        <v>DAURDE</v>
      </c>
    </row>
    <row r="48" spans="2:17" hidden="1">
      <c r="B48" s="1" t="s">
        <v>355</v>
      </c>
      <c r="C48" s="1" t="s">
        <v>256</v>
      </c>
      <c r="D48" s="52">
        <v>45993.24722222222</v>
      </c>
      <c r="E48" s="52">
        <v>45993.24722222222</v>
      </c>
      <c r="F48" s="52">
        <v>45993.308333333334</v>
      </c>
      <c r="G48" s="53">
        <v>6.1111111111111109E-2</v>
      </c>
      <c r="H48" s="1" t="s">
        <v>257</v>
      </c>
      <c r="J48" s="1" t="s">
        <v>258</v>
      </c>
      <c r="K48" s="1" t="s">
        <v>658</v>
      </c>
      <c r="L48" s="1" t="s">
        <v>2060</v>
      </c>
      <c r="M48" s="1" t="s">
        <v>260</v>
      </c>
      <c r="N48" s="1" t="s">
        <v>253</v>
      </c>
      <c r="O48" s="1" t="s">
        <v>2061</v>
      </c>
      <c r="P48" s="1" t="str">
        <f t="shared" si="0"/>
        <v>BC Formoso2.3Inverter(MBUS-12)45993,247222222245993,247222222245993,3083333333</v>
      </c>
      <c r="Q48" s="1" t="str">
        <f t="shared" si="1"/>
        <v>DAURDE</v>
      </c>
    </row>
    <row r="49" spans="2:17" hidden="1">
      <c r="B49" s="1" t="s">
        <v>803</v>
      </c>
      <c r="C49" s="1" t="s">
        <v>264</v>
      </c>
      <c r="D49" s="52">
        <v>45993.24722222222</v>
      </c>
      <c r="E49" s="52">
        <v>45993.24722222222</v>
      </c>
      <c r="F49" s="52">
        <v>45993.308333333334</v>
      </c>
      <c r="G49" s="53">
        <v>6.1111111111111109E-2</v>
      </c>
      <c r="H49" s="1" t="s">
        <v>257</v>
      </c>
      <c r="J49" s="1" t="s">
        <v>258</v>
      </c>
      <c r="K49" s="1" t="s">
        <v>658</v>
      </c>
      <c r="L49" s="1" t="s">
        <v>2060</v>
      </c>
      <c r="M49" s="1" t="s">
        <v>260</v>
      </c>
      <c r="N49" s="1" t="s">
        <v>253</v>
      </c>
      <c r="O49" s="1" t="s">
        <v>2061</v>
      </c>
      <c r="P49" s="1" t="str">
        <f t="shared" si="0"/>
        <v>BC Formoso1.1Inverter(MBUS-13)45993,247222222245993,247222222245993,3083333333</v>
      </c>
      <c r="Q49" s="1" t="str">
        <f t="shared" si="1"/>
        <v>DAURDE</v>
      </c>
    </row>
    <row r="50" spans="2:17" hidden="1">
      <c r="B50" s="1" t="s">
        <v>803</v>
      </c>
      <c r="C50" s="1" t="s">
        <v>256</v>
      </c>
      <c r="D50" s="52">
        <v>45993.24722222222</v>
      </c>
      <c r="E50" s="52">
        <v>45993.24722222222</v>
      </c>
      <c r="F50" s="52">
        <v>45993.308333333334</v>
      </c>
      <c r="G50" s="53">
        <v>6.1111111111111109E-2</v>
      </c>
      <c r="H50" s="1" t="s">
        <v>257</v>
      </c>
      <c r="J50" s="1" t="s">
        <v>258</v>
      </c>
      <c r="K50" s="1" t="s">
        <v>658</v>
      </c>
      <c r="L50" s="1" t="s">
        <v>2060</v>
      </c>
      <c r="M50" s="1" t="s">
        <v>260</v>
      </c>
      <c r="N50" s="1" t="s">
        <v>253</v>
      </c>
      <c r="O50" s="1" t="s">
        <v>2061</v>
      </c>
      <c r="P50" s="1" t="str">
        <f t="shared" si="0"/>
        <v>BC Formoso1.1Inverter(MBUS-12)45993,247222222245993,247222222245993,3083333333</v>
      </c>
      <c r="Q50" s="1" t="str">
        <f t="shared" si="1"/>
        <v>DAURDE</v>
      </c>
    </row>
    <row r="51" spans="2:17" hidden="1">
      <c r="B51" s="1" t="s">
        <v>803</v>
      </c>
      <c r="C51" s="1" t="s">
        <v>307</v>
      </c>
      <c r="D51" s="52">
        <v>45993.24722222222</v>
      </c>
      <c r="E51" s="52">
        <v>45993.24722222222</v>
      </c>
      <c r="F51" s="52">
        <v>45993.308333333334</v>
      </c>
      <c r="G51" s="53">
        <v>6.1111111111111109E-2</v>
      </c>
      <c r="H51" s="1" t="s">
        <v>257</v>
      </c>
      <c r="J51" s="1" t="s">
        <v>258</v>
      </c>
      <c r="K51" s="1" t="s">
        <v>658</v>
      </c>
      <c r="L51" s="1" t="s">
        <v>2060</v>
      </c>
      <c r="M51" s="1" t="s">
        <v>260</v>
      </c>
      <c r="N51" s="1" t="s">
        <v>253</v>
      </c>
      <c r="O51" s="1" t="s">
        <v>2061</v>
      </c>
      <c r="P51" s="1" t="str">
        <f t="shared" si="0"/>
        <v>BC Formoso1.1Inverter(MBUS-15)45993,247222222245993,247222222245993,3083333333</v>
      </c>
      <c r="Q51" s="1" t="str">
        <f t="shared" si="1"/>
        <v>DAURDE</v>
      </c>
    </row>
    <row r="52" spans="2:17" hidden="1">
      <c r="B52" s="1" t="s">
        <v>803</v>
      </c>
      <c r="C52" s="1" t="s">
        <v>263</v>
      </c>
      <c r="D52" s="52">
        <v>45993.24722222222</v>
      </c>
      <c r="E52" s="52">
        <v>45993.24722222222</v>
      </c>
      <c r="F52" s="52">
        <v>45993.308333333334</v>
      </c>
      <c r="G52" s="53">
        <v>6.1111111111111109E-2</v>
      </c>
      <c r="H52" s="1" t="s">
        <v>257</v>
      </c>
      <c r="J52" s="1" t="s">
        <v>258</v>
      </c>
      <c r="K52" s="1" t="s">
        <v>658</v>
      </c>
      <c r="L52" s="1" t="s">
        <v>2060</v>
      </c>
      <c r="M52" s="1" t="s">
        <v>260</v>
      </c>
      <c r="N52" s="1" t="s">
        <v>253</v>
      </c>
      <c r="O52" s="1" t="s">
        <v>2061</v>
      </c>
      <c r="P52" s="1" t="str">
        <f t="shared" si="0"/>
        <v>BC Formoso1.1Inverter(MBUS-14)45993,247222222245993,247222222245993,3083333333</v>
      </c>
      <c r="Q52" s="1" t="str">
        <f t="shared" si="1"/>
        <v>DAURDE</v>
      </c>
    </row>
    <row r="53" spans="2:17" hidden="1">
      <c r="B53" s="1" t="s">
        <v>805</v>
      </c>
      <c r="C53" s="1" t="s">
        <v>264</v>
      </c>
      <c r="D53" s="52">
        <v>45993.24722222222</v>
      </c>
      <c r="E53" s="52">
        <v>45993.24722222222</v>
      </c>
      <c r="F53" s="52">
        <v>45993.308333333334</v>
      </c>
      <c r="G53" s="53">
        <v>6.1111111111111109E-2</v>
      </c>
      <c r="H53" s="1" t="s">
        <v>257</v>
      </c>
      <c r="J53" s="1" t="s">
        <v>258</v>
      </c>
      <c r="K53" s="1" t="s">
        <v>658</v>
      </c>
      <c r="L53" s="1" t="s">
        <v>2060</v>
      </c>
      <c r="M53" s="1" t="s">
        <v>260</v>
      </c>
      <c r="N53" s="1" t="s">
        <v>253</v>
      </c>
      <c r="O53" s="1" t="s">
        <v>2061</v>
      </c>
      <c r="P53" s="1" t="str">
        <f t="shared" si="0"/>
        <v>BC Formoso1.2Inverter(MBUS-13)45993,247222222245993,247222222245993,3083333333</v>
      </c>
      <c r="Q53" s="1" t="str">
        <f t="shared" si="1"/>
        <v>DAURDE</v>
      </c>
    </row>
    <row r="54" spans="2:17" hidden="1">
      <c r="B54" s="1" t="s">
        <v>805</v>
      </c>
      <c r="C54" s="1" t="s">
        <v>256</v>
      </c>
      <c r="D54" s="52">
        <v>45993.24722222222</v>
      </c>
      <c r="E54" s="52">
        <v>45993.24722222222</v>
      </c>
      <c r="F54" s="52">
        <v>45993.308333333334</v>
      </c>
      <c r="G54" s="53">
        <v>6.1111111111111109E-2</v>
      </c>
      <c r="H54" s="1" t="s">
        <v>257</v>
      </c>
      <c r="J54" s="1" t="s">
        <v>258</v>
      </c>
      <c r="K54" s="1" t="s">
        <v>658</v>
      </c>
      <c r="L54" s="1" t="s">
        <v>2060</v>
      </c>
      <c r="M54" s="1" t="s">
        <v>260</v>
      </c>
      <c r="N54" s="1" t="s">
        <v>253</v>
      </c>
      <c r="O54" s="1" t="s">
        <v>2061</v>
      </c>
      <c r="P54" s="1" t="str">
        <f t="shared" si="0"/>
        <v>BC Formoso1.2Inverter(MBUS-12)45993,247222222245993,247222222245993,3083333333</v>
      </c>
      <c r="Q54" s="1" t="str">
        <f t="shared" si="1"/>
        <v>DAURDE</v>
      </c>
    </row>
    <row r="55" spans="2:17" hidden="1">
      <c r="B55" s="1" t="s">
        <v>805</v>
      </c>
      <c r="C55" s="1" t="s">
        <v>307</v>
      </c>
      <c r="D55" s="52">
        <v>45993.24722222222</v>
      </c>
      <c r="E55" s="52">
        <v>45993.24722222222</v>
      </c>
      <c r="F55" s="52">
        <v>45993.308333333334</v>
      </c>
      <c r="G55" s="53">
        <v>6.1111111111111109E-2</v>
      </c>
      <c r="H55" s="1" t="s">
        <v>257</v>
      </c>
      <c r="J55" s="1" t="s">
        <v>258</v>
      </c>
      <c r="K55" s="1" t="s">
        <v>658</v>
      </c>
      <c r="L55" s="1" t="s">
        <v>2060</v>
      </c>
      <c r="M55" s="1" t="s">
        <v>260</v>
      </c>
      <c r="N55" s="1" t="s">
        <v>253</v>
      </c>
      <c r="O55" s="1" t="s">
        <v>2061</v>
      </c>
      <c r="P55" s="1" t="str">
        <f t="shared" si="0"/>
        <v>BC Formoso1.2Inverter(MBUS-15)45993,247222222245993,247222222245993,3083333333</v>
      </c>
      <c r="Q55" s="1" t="str">
        <f t="shared" si="1"/>
        <v>DAURDE</v>
      </c>
    </row>
    <row r="56" spans="2:17" hidden="1">
      <c r="B56" s="1" t="s">
        <v>805</v>
      </c>
      <c r="C56" s="1" t="s">
        <v>263</v>
      </c>
      <c r="D56" s="52">
        <v>45993.24722222222</v>
      </c>
      <c r="E56" s="52">
        <v>45993.24722222222</v>
      </c>
      <c r="F56" s="52">
        <v>45993.308333333334</v>
      </c>
      <c r="G56" s="53">
        <v>6.1111111111111109E-2</v>
      </c>
      <c r="H56" s="1" t="s">
        <v>257</v>
      </c>
      <c r="J56" s="1" t="s">
        <v>258</v>
      </c>
      <c r="K56" s="1" t="s">
        <v>658</v>
      </c>
      <c r="L56" s="1" t="s">
        <v>2060</v>
      </c>
      <c r="M56" s="1" t="s">
        <v>260</v>
      </c>
      <c r="N56" s="1" t="s">
        <v>253</v>
      </c>
      <c r="O56" s="1" t="s">
        <v>2061</v>
      </c>
      <c r="P56" s="1" t="str">
        <f t="shared" si="0"/>
        <v>BC Formoso1.2Inverter(MBUS-14)45993,247222222245993,247222222245993,3083333333</v>
      </c>
      <c r="Q56" s="1" t="str">
        <f t="shared" si="1"/>
        <v>DAURDE</v>
      </c>
    </row>
    <row r="57" spans="2:17" hidden="1">
      <c r="B57" s="1" t="s">
        <v>806</v>
      </c>
      <c r="C57" s="1" t="s">
        <v>264</v>
      </c>
      <c r="D57" s="52">
        <v>45993.24722222222</v>
      </c>
      <c r="E57" s="52">
        <v>45993.24722222222</v>
      </c>
      <c r="F57" s="52">
        <v>45993.308333333334</v>
      </c>
      <c r="G57" s="53">
        <v>6.1111111111111109E-2</v>
      </c>
      <c r="H57" s="1" t="s">
        <v>257</v>
      </c>
      <c r="J57" s="1" t="s">
        <v>258</v>
      </c>
      <c r="K57" s="1" t="s">
        <v>658</v>
      </c>
      <c r="L57" s="1" t="s">
        <v>2060</v>
      </c>
      <c r="M57" s="1" t="s">
        <v>260</v>
      </c>
      <c r="N57" s="1" t="s">
        <v>253</v>
      </c>
      <c r="O57" s="1" t="s">
        <v>2061</v>
      </c>
      <c r="P57" s="1" t="str">
        <f t="shared" si="0"/>
        <v>BC Formoso1.3Inverter(MBUS-13)45993,247222222245993,247222222245993,3083333333</v>
      </c>
      <c r="Q57" s="1" t="str">
        <f t="shared" si="1"/>
        <v>DAURDE</v>
      </c>
    </row>
    <row r="58" spans="2:17" hidden="1">
      <c r="B58" s="1" t="s">
        <v>806</v>
      </c>
      <c r="C58" s="1" t="s">
        <v>256</v>
      </c>
      <c r="D58" s="52">
        <v>45993.24722222222</v>
      </c>
      <c r="E58" s="52">
        <v>45993.24722222222</v>
      </c>
      <c r="F58" s="52">
        <v>45993.308333333334</v>
      </c>
      <c r="G58" s="53">
        <v>6.1111111111111109E-2</v>
      </c>
      <c r="H58" s="1" t="s">
        <v>257</v>
      </c>
      <c r="J58" s="1" t="s">
        <v>258</v>
      </c>
      <c r="K58" s="1" t="s">
        <v>658</v>
      </c>
      <c r="L58" s="1" t="s">
        <v>2060</v>
      </c>
      <c r="M58" s="1" t="s">
        <v>260</v>
      </c>
      <c r="N58" s="1" t="s">
        <v>253</v>
      </c>
      <c r="O58" s="1" t="s">
        <v>2061</v>
      </c>
      <c r="P58" s="1" t="str">
        <f t="shared" si="0"/>
        <v>BC Formoso1.3Inverter(MBUS-12)45993,247222222245993,247222222245993,3083333333</v>
      </c>
      <c r="Q58" s="1" t="str">
        <f t="shared" si="1"/>
        <v>DAURDE</v>
      </c>
    </row>
    <row r="59" spans="2:17" hidden="1">
      <c r="B59" s="1" t="s">
        <v>487</v>
      </c>
      <c r="C59" s="1" t="s">
        <v>377</v>
      </c>
      <c r="D59" s="52">
        <v>45993.28402777778</v>
      </c>
      <c r="E59" s="52">
        <v>45993.28402777778</v>
      </c>
      <c r="F59" s="52">
        <v>45993.335416666669</v>
      </c>
      <c r="G59" s="53">
        <f>F59-E59</f>
        <v>5.1388888889050577E-2</v>
      </c>
      <c r="H59" s="1" t="s">
        <v>257</v>
      </c>
      <c r="J59" s="1" t="s">
        <v>258</v>
      </c>
      <c r="K59" s="1" t="str">
        <f>_xlfn.XLOOKUP(J59,REF!$D$2:$D$12,REF!$E$2:$E$12)</f>
        <v>Rede</v>
      </c>
      <c r="L59" s="1" t="s">
        <v>2062</v>
      </c>
      <c r="M59" s="1" t="s">
        <v>260</v>
      </c>
      <c r="N59" s="1" t="s">
        <v>261</v>
      </c>
      <c r="O59" s="1" t="s">
        <v>632</v>
      </c>
      <c r="P59" s="1" t="str">
        <f t="shared" si="0"/>
        <v>BC Caiaponia2.1215KTL-H3(MBUS-12)45993,284027777845993,284027777845993,3354166667</v>
      </c>
      <c r="Q59" s="1" t="str">
        <f t="shared" si="1"/>
        <v>DAURDE</v>
      </c>
    </row>
    <row r="60" spans="2:17" hidden="1">
      <c r="B60" s="1" t="s">
        <v>487</v>
      </c>
      <c r="C60" s="1" t="s">
        <v>378</v>
      </c>
      <c r="D60" s="52">
        <v>45993.28402777778</v>
      </c>
      <c r="E60" s="52">
        <v>45993.28402777778</v>
      </c>
      <c r="F60" s="52">
        <v>45993.335416666669</v>
      </c>
      <c r="G60" s="53">
        <f t="shared" ref="G60:G123" si="2">F60-E60</f>
        <v>5.1388888889050577E-2</v>
      </c>
      <c r="H60" s="1" t="s">
        <v>257</v>
      </c>
      <c r="J60" s="1" t="s">
        <v>258</v>
      </c>
      <c r="K60" s="1" t="str">
        <f>_xlfn.XLOOKUP(J60,REF!$D$2:$D$12,REF!$E$2:$E$12)</f>
        <v>Rede</v>
      </c>
      <c r="L60" s="1" t="s">
        <v>2062</v>
      </c>
      <c r="M60" s="1" t="s">
        <v>260</v>
      </c>
      <c r="N60" s="1" t="s">
        <v>261</v>
      </c>
      <c r="O60" s="1" t="s">
        <v>632</v>
      </c>
      <c r="P60" s="1" t="str">
        <f t="shared" si="0"/>
        <v>BC Caiaponia2.1215KTL-H3(MBUS-13)45993,284027777845993,284027777845993,3354166667</v>
      </c>
      <c r="Q60" s="1" t="str">
        <f t="shared" si="1"/>
        <v>DAURDE</v>
      </c>
    </row>
    <row r="61" spans="2:17" hidden="1">
      <c r="B61" s="1" t="s">
        <v>487</v>
      </c>
      <c r="C61" s="1" t="s">
        <v>382</v>
      </c>
      <c r="D61" s="52">
        <v>45993.28402777778</v>
      </c>
      <c r="E61" s="52">
        <v>45993.28402777778</v>
      </c>
      <c r="F61" s="52">
        <v>45993.335416666669</v>
      </c>
      <c r="G61" s="53">
        <f t="shared" si="2"/>
        <v>5.1388888889050577E-2</v>
      </c>
      <c r="H61" s="1" t="s">
        <v>257</v>
      </c>
      <c r="J61" s="1" t="s">
        <v>258</v>
      </c>
      <c r="K61" s="1" t="str">
        <f>_xlfn.XLOOKUP(J61,REF!$D$2:$D$12,REF!$E$2:$E$12)</f>
        <v>Rede</v>
      </c>
      <c r="L61" s="1" t="s">
        <v>2062</v>
      </c>
      <c r="M61" s="1" t="s">
        <v>260</v>
      </c>
      <c r="N61" s="1" t="s">
        <v>261</v>
      </c>
      <c r="O61" s="1" t="s">
        <v>632</v>
      </c>
      <c r="P61" s="1" t="str">
        <f t="shared" si="0"/>
        <v>BC Caiaponia2.1215KTL-H3(MBUS-14)45993,284027777845993,284027777845993,3354166667</v>
      </c>
      <c r="Q61" s="1" t="str">
        <f t="shared" si="1"/>
        <v>DAURDE</v>
      </c>
    </row>
    <row r="62" spans="2:17" hidden="1">
      <c r="B62" s="1" t="s">
        <v>487</v>
      </c>
      <c r="C62" s="1" t="s">
        <v>380</v>
      </c>
      <c r="D62" s="52">
        <v>45993.28402777778</v>
      </c>
      <c r="E62" s="52">
        <v>45993.28402777778</v>
      </c>
      <c r="F62" s="52">
        <v>45993.335416666669</v>
      </c>
      <c r="G62" s="53">
        <f t="shared" si="2"/>
        <v>5.1388888889050577E-2</v>
      </c>
      <c r="H62" s="1" t="s">
        <v>257</v>
      </c>
      <c r="J62" s="1" t="s">
        <v>258</v>
      </c>
      <c r="K62" s="1" t="str">
        <f>_xlfn.XLOOKUP(J62,REF!$D$2:$D$12,REF!$E$2:$E$12)</f>
        <v>Rede</v>
      </c>
      <c r="L62" s="1" t="s">
        <v>2062</v>
      </c>
      <c r="M62" s="1" t="s">
        <v>260</v>
      </c>
      <c r="N62" s="1" t="s">
        <v>261</v>
      </c>
      <c r="O62" s="1" t="s">
        <v>632</v>
      </c>
      <c r="P62" s="1" t="str">
        <f t="shared" si="0"/>
        <v>BC Caiaponia2.1215KTL-H3(MBUS-15)45993,284027777845993,284027777845993,3354166667</v>
      </c>
      <c r="Q62" s="1" t="str">
        <f t="shared" si="1"/>
        <v>DAURDE</v>
      </c>
    </row>
    <row r="63" spans="2:17" hidden="1">
      <c r="B63" s="1" t="s">
        <v>487</v>
      </c>
      <c r="C63" s="1" t="s">
        <v>379</v>
      </c>
      <c r="D63" s="52">
        <v>45993.28402777778</v>
      </c>
      <c r="E63" s="52">
        <v>45993.28402777778</v>
      </c>
      <c r="F63" s="52">
        <v>45993.335416666669</v>
      </c>
      <c r="G63" s="53">
        <f t="shared" si="2"/>
        <v>5.1388888889050577E-2</v>
      </c>
      <c r="H63" s="1" t="s">
        <v>257</v>
      </c>
      <c r="J63" s="1" t="s">
        <v>258</v>
      </c>
      <c r="K63" s="1" t="str">
        <f>_xlfn.XLOOKUP(J63,REF!$D$2:$D$12,REF!$E$2:$E$12)</f>
        <v>Rede</v>
      </c>
      <c r="L63" s="1" t="s">
        <v>2062</v>
      </c>
      <c r="M63" s="1" t="s">
        <v>260</v>
      </c>
      <c r="N63" s="1" t="s">
        <v>261</v>
      </c>
      <c r="O63" s="1" t="s">
        <v>632</v>
      </c>
      <c r="P63" s="1" t="str">
        <f t="shared" si="0"/>
        <v>BC Caiaponia2.1215KTL-H3(MBUS-16)45993,284027777845993,284027777845993,3354166667</v>
      </c>
      <c r="Q63" s="1" t="str">
        <f t="shared" si="1"/>
        <v>DAURDE</v>
      </c>
    </row>
    <row r="64" spans="2:17" hidden="1">
      <c r="B64" s="1" t="s">
        <v>583</v>
      </c>
      <c r="C64" s="1" t="s">
        <v>377</v>
      </c>
      <c r="D64" s="52">
        <v>45993.28402777778</v>
      </c>
      <c r="E64" s="52">
        <v>45993.28402777778</v>
      </c>
      <c r="F64" s="52">
        <v>45993.335416666669</v>
      </c>
      <c r="G64" s="53">
        <f t="shared" si="2"/>
        <v>5.1388888889050577E-2</v>
      </c>
      <c r="H64" s="1" t="s">
        <v>257</v>
      </c>
      <c r="J64" s="1" t="s">
        <v>258</v>
      </c>
      <c r="K64" s="1" t="str">
        <f>_xlfn.XLOOKUP(J64,REF!$D$2:$D$12,REF!$E$2:$E$12)</f>
        <v>Rede</v>
      </c>
      <c r="L64" s="1" t="s">
        <v>2062</v>
      </c>
      <c r="M64" s="1" t="s">
        <v>260</v>
      </c>
      <c r="N64" s="1" t="s">
        <v>261</v>
      </c>
      <c r="O64" s="1" t="s">
        <v>632</v>
      </c>
      <c r="P64" s="1" t="str">
        <f t="shared" si="0"/>
        <v>BC Caiaponia2.2215KTL-H3(MBUS-12)45993,284027777845993,284027777845993,3354166667</v>
      </c>
      <c r="Q64" s="1" t="str">
        <f t="shared" si="1"/>
        <v>DAURDE</v>
      </c>
    </row>
    <row r="65" spans="2:17" hidden="1">
      <c r="B65" s="1" t="s">
        <v>583</v>
      </c>
      <c r="C65" s="1" t="s">
        <v>378</v>
      </c>
      <c r="D65" s="52">
        <v>45993.28402777778</v>
      </c>
      <c r="E65" s="52">
        <v>45993.28402777778</v>
      </c>
      <c r="F65" s="52">
        <v>45993.335416666669</v>
      </c>
      <c r="G65" s="53">
        <f t="shared" si="2"/>
        <v>5.1388888889050577E-2</v>
      </c>
      <c r="H65" s="1" t="s">
        <v>257</v>
      </c>
      <c r="J65" s="1" t="s">
        <v>258</v>
      </c>
      <c r="K65" s="1" t="str">
        <f>_xlfn.XLOOKUP(J65,REF!$D$2:$D$12,REF!$E$2:$E$12)</f>
        <v>Rede</v>
      </c>
      <c r="L65" s="1" t="s">
        <v>2062</v>
      </c>
      <c r="M65" s="1" t="s">
        <v>260</v>
      </c>
      <c r="N65" s="1" t="s">
        <v>261</v>
      </c>
      <c r="O65" s="1" t="s">
        <v>632</v>
      </c>
      <c r="P65" s="1" t="str">
        <f t="shared" si="0"/>
        <v>BC Caiaponia2.2215KTL-H3(MBUS-13)45993,284027777845993,284027777845993,3354166667</v>
      </c>
      <c r="Q65" s="1" t="str">
        <f t="shared" si="1"/>
        <v>DAURDE</v>
      </c>
    </row>
    <row r="66" spans="2:17" hidden="1">
      <c r="B66" s="1" t="s">
        <v>583</v>
      </c>
      <c r="C66" s="1" t="s">
        <v>382</v>
      </c>
      <c r="D66" s="52">
        <v>45993.28402777778</v>
      </c>
      <c r="E66" s="52">
        <v>45993.28402777778</v>
      </c>
      <c r="F66" s="52">
        <v>45993.335416666669</v>
      </c>
      <c r="G66" s="53">
        <f t="shared" si="2"/>
        <v>5.1388888889050577E-2</v>
      </c>
      <c r="H66" s="1" t="s">
        <v>257</v>
      </c>
      <c r="J66" s="1" t="s">
        <v>258</v>
      </c>
      <c r="K66" s="1" t="str">
        <f>_xlfn.XLOOKUP(J66,REF!$D$2:$D$12,REF!$E$2:$E$12)</f>
        <v>Rede</v>
      </c>
      <c r="L66" s="1" t="s">
        <v>2062</v>
      </c>
      <c r="M66" s="1" t="s">
        <v>260</v>
      </c>
      <c r="N66" s="1" t="s">
        <v>261</v>
      </c>
      <c r="O66" s="1" t="s">
        <v>632</v>
      </c>
      <c r="P66" s="1" t="str">
        <f t="shared" si="0"/>
        <v>BC Caiaponia2.2215KTL-H3(MBUS-14)45993,284027777845993,284027777845993,3354166667</v>
      </c>
      <c r="Q66" s="1" t="str">
        <f t="shared" si="1"/>
        <v>DAURDE</v>
      </c>
    </row>
    <row r="67" spans="2:17" hidden="1">
      <c r="B67" s="1" t="s">
        <v>583</v>
      </c>
      <c r="C67" s="1" t="s">
        <v>380</v>
      </c>
      <c r="D67" s="52">
        <v>45993.28402777778</v>
      </c>
      <c r="E67" s="52">
        <v>45993.28402777778</v>
      </c>
      <c r="F67" s="52">
        <v>45993.335416666669</v>
      </c>
      <c r="G67" s="53">
        <f t="shared" si="2"/>
        <v>5.1388888889050577E-2</v>
      </c>
      <c r="H67" s="1" t="s">
        <v>257</v>
      </c>
      <c r="J67" s="1" t="s">
        <v>258</v>
      </c>
      <c r="K67" s="1" t="str">
        <f>_xlfn.XLOOKUP(J67,REF!$D$2:$D$12,REF!$E$2:$E$12)</f>
        <v>Rede</v>
      </c>
      <c r="L67" s="1" t="s">
        <v>2062</v>
      </c>
      <c r="M67" s="1" t="s">
        <v>260</v>
      </c>
      <c r="N67" s="1" t="s">
        <v>261</v>
      </c>
      <c r="O67" s="1" t="s">
        <v>632</v>
      </c>
      <c r="P67" s="1" t="str">
        <f t="shared" ref="P67:P130" si="3">_xlfn.CONCAT(B67,C67,D67,E67,F67)</f>
        <v>BC Caiaponia2.2215KTL-H3(MBUS-15)45993,284027777845993,284027777845993,3354166667</v>
      </c>
      <c r="Q67" s="1" t="str">
        <f t="shared" ref="Q67:Q130" si="4">_xlfn.CONCAT(H67,I67,J67)</f>
        <v>DAURDE</v>
      </c>
    </row>
    <row r="68" spans="2:17" hidden="1">
      <c r="B68" s="1" t="s">
        <v>583</v>
      </c>
      <c r="C68" s="1" t="s">
        <v>379</v>
      </c>
      <c r="D68" s="52">
        <v>45993.28402777778</v>
      </c>
      <c r="E68" s="52">
        <v>45993.28402777778</v>
      </c>
      <c r="F68" s="52">
        <v>45993.335416666669</v>
      </c>
      <c r="G68" s="53">
        <f t="shared" si="2"/>
        <v>5.1388888889050577E-2</v>
      </c>
      <c r="H68" s="1" t="s">
        <v>257</v>
      </c>
      <c r="J68" s="1" t="s">
        <v>258</v>
      </c>
      <c r="K68" s="1" t="str">
        <f>_xlfn.XLOOKUP(J68,REF!$D$2:$D$12,REF!$E$2:$E$12)</f>
        <v>Rede</v>
      </c>
      <c r="L68" s="1" t="s">
        <v>2062</v>
      </c>
      <c r="M68" s="1" t="s">
        <v>260</v>
      </c>
      <c r="N68" s="1" t="s">
        <v>261</v>
      </c>
      <c r="O68" s="1" t="s">
        <v>632</v>
      </c>
      <c r="P68" s="1" t="str">
        <f t="shared" si="3"/>
        <v>BC Caiaponia2.2215KTL-H3(MBUS-16)45993,284027777845993,284027777845993,3354166667</v>
      </c>
      <c r="Q68" s="1" t="str">
        <f t="shared" si="4"/>
        <v>DAURDE</v>
      </c>
    </row>
    <row r="69" spans="2:17" hidden="1">
      <c r="B69" s="1" t="s">
        <v>584</v>
      </c>
      <c r="C69" s="1" t="s">
        <v>377</v>
      </c>
      <c r="D69" s="52">
        <v>45993.28402777778</v>
      </c>
      <c r="E69" s="52">
        <v>45993.28402777778</v>
      </c>
      <c r="F69" s="52">
        <v>45993.335416666669</v>
      </c>
      <c r="G69" s="53">
        <f t="shared" si="2"/>
        <v>5.1388888889050577E-2</v>
      </c>
      <c r="H69" s="1" t="s">
        <v>257</v>
      </c>
      <c r="J69" s="1" t="s">
        <v>258</v>
      </c>
      <c r="K69" s="1" t="str">
        <f>_xlfn.XLOOKUP(J69,REF!$D$2:$D$12,REF!$E$2:$E$12)</f>
        <v>Rede</v>
      </c>
      <c r="L69" s="1" t="s">
        <v>2062</v>
      </c>
      <c r="M69" s="1" t="s">
        <v>260</v>
      </c>
      <c r="N69" s="1" t="s">
        <v>261</v>
      </c>
      <c r="O69" s="1" t="s">
        <v>632</v>
      </c>
      <c r="P69" s="1" t="str">
        <f t="shared" si="3"/>
        <v>BC Caiaponia2.3215KTL-H3(MBUS-12)45993,284027777845993,284027777845993,3354166667</v>
      </c>
      <c r="Q69" s="1" t="str">
        <f t="shared" si="4"/>
        <v>DAURDE</v>
      </c>
    </row>
    <row r="70" spans="2:17" hidden="1">
      <c r="B70" s="1" t="s">
        <v>584</v>
      </c>
      <c r="C70" s="1" t="s">
        <v>378</v>
      </c>
      <c r="D70" s="52">
        <v>45993.28402777778</v>
      </c>
      <c r="E70" s="52">
        <v>45993.28402777778</v>
      </c>
      <c r="F70" s="52">
        <v>45993.335416666669</v>
      </c>
      <c r="G70" s="53">
        <f t="shared" si="2"/>
        <v>5.1388888889050577E-2</v>
      </c>
      <c r="H70" s="1" t="s">
        <v>257</v>
      </c>
      <c r="J70" s="1" t="s">
        <v>258</v>
      </c>
      <c r="K70" s="1" t="str">
        <f>_xlfn.XLOOKUP(J70,REF!$D$2:$D$12,REF!$E$2:$E$12)</f>
        <v>Rede</v>
      </c>
      <c r="L70" s="1" t="s">
        <v>2062</v>
      </c>
      <c r="M70" s="1" t="s">
        <v>260</v>
      </c>
      <c r="N70" s="1" t="s">
        <v>261</v>
      </c>
      <c r="O70" s="1" t="s">
        <v>632</v>
      </c>
      <c r="P70" s="1" t="str">
        <f t="shared" si="3"/>
        <v>BC Caiaponia2.3215KTL-H3(MBUS-13)45993,284027777845993,284027777845993,3354166667</v>
      </c>
      <c r="Q70" s="1" t="str">
        <f t="shared" si="4"/>
        <v>DAURDE</v>
      </c>
    </row>
    <row r="71" spans="2:17" hidden="1">
      <c r="B71" s="1" t="s">
        <v>584</v>
      </c>
      <c r="C71" s="1" t="s">
        <v>382</v>
      </c>
      <c r="D71" s="52">
        <v>45993.28402777778</v>
      </c>
      <c r="E71" s="52">
        <v>45993.28402777778</v>
      </c>
      <c r="F71" s="52">
        <v>45993.335416666669</v>
      </c>
      <c r="G71" s="53">
        <f t="shared" si="2"/>
        <v>5.1388888889050577E-2</v>
      </c>
      <c r="H71" s="1" t="s">
        <v>257</v>
      </c>
      <c r="J71" s="1" t="s">
        <v>258</v>
      </c>
      <c r="K71" s="1" t="str">
        <f>_xlfn.XLOOKUP(J71,REF!$D$2:$D$12,REF!$E$2:$E$12)</f>
        <v>Rede</v>
      </c>
      <c r="L71" s="1" t="s">
        <v>2062</v>
      </c>
      <c r="M71" s="1" t="s">
        <v>260</v>
      </c>
      <c r="N71" s="1" t="s">
        <v>261</v>
      </c>
      <c r="O71" s="1" t="s">
        <v>632</v>
      </c>
      <c r="P71" s="1" t="str">
        <f t="shared" si="3"/>
        <v>BC Caiaponia2.3215KTL-H3(MBUS-14)45993,284027777845993,284027777845993,3354166667</v>
      </c>
      <c r="Q71" s="1" t="str">
        <f t="shared" si="4"/>
        <v>DAURDE</v>
      </c>
    </row>
    <row r="72" spans="2:17" hidden="1">
      <c r="B72" s="1" t="s">
        <v>584</v>
      </c>
      <c r="C72" s="1" t="s">
        <v>380</v>
      </c>
      <c r="D72" s="52">
        <v>45993.28402777778</v>
      </c>
      <c r="E72" s="52">
        <v>45993.28402777778</v>
      </c>
      <c r="F72" s="52">
        <v>45993.335416666669</v>
      </c>
      <c r="G72" s="53">
        <f t="shared" si="2"/>
        <v>5.1388888889050577E-2</v>
      </c>
      <c r="H72" s="1" t="s">
        <v>257</v>
      </c>
      <c r="J72" s="1" t="s">
        <v>258</v>
      </c>
      <c r="K72" s="1" t="str">
        <f>_xlfn.XLOOKUP(J72,REF!$D$2:$D$12,REF!$E$2:$E$12)</f>
        <v>Rede</v>
      </c>
      <c r="L72" s="1" t="s">
        <v>2062</v>
      </c>
      <c r="M72" s="1" t="s">
        <v>260</v>
      </c>
      <c r="N72" s="1" t="s">
        <v>261</v>
      </c>
      <c r="O72" s="1" t="s">
        <v>632</v>
      </c>
      <c r="P72" s="1" t="str">
        <f t="shared" si="3"/>
        <v>BC Caiaponia2.3215KTL-H3(MBUS-15)45993,284027777845993,284027777845993,3354166667</v>
      </c>
      <c r="Q72" s="1" t="str">
        <f t="shared" si="4"/>
        <v>DAURDE</v>
      </c>
    </row>
    <row r="73" spans="2:17" hidden="1">
      <c r="B73" s="1" t="s">
        <v>584</v>
      </c>
      <c r="C73" s="1" t="s">
        <v>379</v>
      </c>
      <c r="D73" s="52">
        <v>45993.28402777778</v>
      </c>
      <c r="E73" s="52">
        <v>45993.28402777778</v>
      </c>
      <c r="F73" s="52">
        <v>45993.335416666669</v>
      </c>
      <c r="G73" s="53">
        <f t="shared" si="2"/>
        <v>5.1388888889050577E-2</v>
      </c>
      <c r="H73" s="1" t="s">
        <v>257</v>
      </c>
      <c r="J73" s="1" t="s">
        <v>258</v>
      </c>
      <c r="K73" s="1" t="str">
        <f>_xlfn.XLOOKUP(J73,REF!$D$2:$D$12,REF!$E$2:$E$12)</f>
        <v>Rede</v>
      </c>
      <c r="L73" s="1" t="s">
        <v>2062</v>
      </c>
      <c r="M73" s="1" t="s">
        <v>260</v>
      </c>
      <c r="N73" s="1" t="s">
        <v>261</v>
      </c>
      <c r="O73" s="1" t="s">
        <v>632</v>
      </c>
      <c r="P73" s="1" t="str">
        <f t="shared" si="3"/>
        <v>BC Caiaponia2.3215KTL-H3(MBUS-16)45993,284027777845993,284027777845993,3354166667</v>
      </c>
      <c r="Q73" s="1" t="str">
        <f t="shared" si="4"/>
        <v>DAURDE</v>
      </c>
    </row>
    <row r="74" spans="2:17" hidden="1">
      <c r="B74" s="1" t="s">
        <v>2063</v>
      </c>
      <c r="C74" s="1" t="s">
        <v>2064</v>
      </c>
      <c r="D74" s="52">
        <v>45993.3125</v>
      </c>
      <c r="E74" s="52">
        <v>45993.3125</v>
      </c>
      <c r="F74" s="52">
        <v>45993.756944444445</v>
      </c>
      <c r="G74" s="53">
        <f t="shared" si="2"/>
        <v>0.44444444444525288</v>
      </c>
      <c r="H74" s="1" t="s">
        <v>677</v>
      </c>
      <c r="J74" s="1" t="s">
        <v>249</v>
      </c>
      <c r="K74" s="1" t="str">
        <f>_xlfn.XLOOKUP(J74,REF!$D$2:$D$12,REF!$E$2:$E$12)</f>
        <v>Transformador</v>
      </c>
      <c r="L74" s="1" t="s">
        <v>2065</v>
      </c>
      <c r="M74" s="1" t="s">
        <v>663</v>
      </c>
      <c r="N74" s="1" t="s">
        <v>672</v>
      </c>
      <c r="O74" s="1" t="s">
        <v>2066</v>
      </c>
      <c r="P74" s="1" t="str">
        <f t="shared" si="3"/>
        <v>BC Vazante1.1Inverter0145993,312545993,312545993,7569444444</v>
      </c>
      <c r="Q74" s="1" t="str">
        <f t="shared" si="4"/>
        <v>DPRTRF</v>
      </c>
    </row>
    <row r="75" spans="2:17" hidden="1">
      <c r="B75" s="1" t="s">
        <v>2063</v>
      </c>
      <c r="C75" s="1" t="s">
        <v>2067</v>
      </c>
      <c r="D75" s="52">
        <v>45993.3125</v>
      </c>
      <c r="E75" s="52">
        <v>45993.3125</v>
      </c>
      <c r="F75" s="52">
        <v>45993.756944444445</v>
      </c>
      <c r="G75" s="53">
        <f t="shared" si="2"/>
        <v>0.44444444444525288</v>
      </c>
      <c r="H75" s="1" t="s">
        <v>677</v>
      </c>
      <c r="J75" s="1" t="s">
        <v>249</v>
      </c>
      <c r="K75" s="1" t="str">
        <f>_xlfn.XLOOKUP(J75,REF!$D$2:$D$12,REF!$E$2:$E$12)</f>
        <v>Transformador</v>
      </c>
      <c r="L75" s="1" t="s">
        <v>2065</v>
      </c>
      <c r="M75" s="1" t="s">
        <v>663</v>
      </c>
      <c r="N75" s="1" t="s">
        <v>672</v>
      </c>
      <c r="O75" s="1" t="s">
        <v>2066</v>
      </c>
      <c r="P75" s="1" t="str">
        <f t="shared" si="3"/>
        <v>BC Vazante1.1Inverter0245993,312545993,312545993,7569444444</v>
      </c>
      <c r="Q75" s="1" t="str">
        <f t="shared" si="4"/>
        <v>DPRTRF</v>
      </c>
    </row>
    <row r="76" spans="2:17" hidden="1">
      <c r="B76" s="1" t="s">
        <v>2063</v>
      </c>
      <c r="C76" s="1" t="s">
        <v>2068</v>
      </c>
      <c r="D76" s="52">
        <v>45993.3125</v>
      </c>
      <c r="E76" s="52">
        <v>45993.3125</v>
      </c>
      <c r="F76" s="52">
        <v>45993.756944444445</v>
      </c>
      <c r="G76" s="53">
        <f t="shared" si="2"/>
        <v>0.44444444444525288</v>
      </c>
      <c r="H76" s="1" t="s">
        <v>677</v>
      </c>
      <c r="J76" s="1" t="s">
        <v>249</v>
      </c>
      <c r="K76" s="1" t="str">
        <f>_xlfn.XLOOKUP(J76,REF!$D$2:$D$12,REF!$E$2:$E$12)</f>
        <v>Transformador</v>
      </c>
      <c r="L76" s="1" t="s">
        <v>2065</v>
      </c>
      <c r="M76" s="1" t="s">
        <v>663</v>
      </c>
      <c r="N76" s="1" t="s">
        <v>672</v>
      </c>
      <c r="O76" s="1" t="s">
        <v>2066</v>
      </c>
      <c r="P76" s="1" t="str">
        <f t="shared" si="3"/>
        <v>BC Vazante1.1Inverter0345993,312545993,312545993,7569444444</v>
      </c>
      <c r="Q76" s="1" t="str">
        <f t="shared" si="4"/>
        <v>DPRTRF</v>
      </c>
    </row>
    <row r="77" spans="2:17" hidden="1">
      <c r="B77" s="1" t="s">
        <v>2063</v>
      </c>
      <c r="C77" s="1" t="s">
        <v>2069</v>
      </c>
      <c r="D77" s="52">
        <v>45993.3125</v>
      </c>
      <c r="E77" s="52">
        <v>45993.3125</v>
      </c>
      <c r="F77" s="52">
        <v>45993.756944444445</v>
      </c>
      <c r="G77" s="53">
        <f t="shared" si="2"/>
        <v>0.44444444444525288</v>
      </c>
      <c r="H77" s="1" t="s">
        <v>677</v>
      </c>
      <c r="J77" s="1" t="s">
        <v>249</v>
      </c>
      <c r="K77" s="1" t="str">
        <f>_xlfn.XLOOKUP(J77,REF!$D$2:$D$12,REF!$E$2:$E$12)</f>
        <v>Transformador</v>
      </c>
      <c r="L77" s="1" t="s">
        <v>2065</v>
      </c>
      <c r="M77" s="1" t="s">
        <v>663</v>
      </c>
      <c r="N77" s="1" t="s">
        <v>672</v>
      </c>
      <c r="O77" s="1" t="s">
        <v>2066</v>
      </c>
      <c r="P77" s="1" t="str">
        <f t="shared" si="3"/>
        <v>BC Vazante1.1Inverter0445993,312545993,312545993,7569444444</v>
      </c>
      <c r="Q77" s="1" t="str">
        <f t="shared" si="4"/>
        <v>DPRTRF</v>
      </c>
    </row>
    <row r="78" spans="2:17" hidden="1">
      <c r="B78" s="1" t="s">
        <v>2063</v>
      </c>
      <c r="C78" s="1" t="s">
        <v>2070</v>
      </c>
      <c r="D78" s="52">
        <v>45993.3125</v>
      </c>
      <c r="E78" s="52">
        <v>45993.3125</v>
      </c>
      <c r="F78" s="52">
        <v>45993.756944444445</v>
      </c>
      <c r="G78" s="53">
        <f t="shared" si="2"/>
        <v>0.44444444444525288</v>
      </c>
      <c r="H78" s="1" t="s">
        <v>677</v>
      </c>
      <c r="J78" s="1" t="s">
        <v>249</v>
      </c>
      <c r="K78" s="1" t="str">
        <f>_xlfn.XLOOKUP(J78,REF!$D$2:$D$12,REF!$E$2:$E$12)</f>
        <v>Transformador</v>
      </c>
      <c r="L78" s="1" t="s">
        <v>2065</v>
      </c>
      <c r="M78" s="1" t="s">
        <v>663</v>
      </c>
      <c r="N78" s="1" t="s">
        <v>672</v>
      </c>
      <c r="O78" s="1" t="s">
        <v>2066</v>
      </c>
      <c r="P78" s="1" t="str">
        <f t="shared" si="3"/>
        <v>BC Vazante1.1Inverter0545993,312545993,312545993,7569444444</v>
      </c>
      <c r="Q78" s="1" t="str">
        <f t="shared" si="4"/>
        <v>DPRTRF</v>
      </c>
    </row>
    <row r="79" spans="2:17" hidden="1">
      <c r="B79" s="1" t="s">
        <v>2063</v>
      </c>
      <c r="C79" s="1" t="s">
        <v>2071</v>
      </c>
      <c r="D79" s="52">
        <v>45993.3125</v>
      </c>
      <c r="E79" s="52">
        <v>45993.3125</v>
      </c>
      <c r="F79" s="52">
        <v>45993.756944444445</v>
      </c>
      <c r="G79" s="53">
        <f t="shared" si="2"/>
        <v>0.44444444444525288</v>
      </c>
      <c r="H79" s="1" t="s">
        <v>677</v>
      </c>
      <c r="J79" s="1" t="s">
        <v>249</v>
      </c>
      <c r="K79" s="1" t="str">
        <f>_xlfn.XLOOKUP(J79,REF!$D$2:$D$12,REF!$E$2:$E$12)</f>
        <v>Transformador</v>
      </c>
      <c r="L79" s="1" t="s">
        <v>2065</v>
      </c>
      <c r="M79" s="1" t="s">
        <v>663</v>
      </c>
      <c r="N79" s="1" t="s">
        <v>672</v>
      </c>
      <c r="O79" s="1" t="s">
        <v>2066</v>
      </c>
      <c r="P79" s="1" t="str">
        <f t="shared" si="3"/>
        <v>BC Vazante1.1Inverter0645993,312545993,312545993,7569444444</v>
      </c>
      <c r="Q79" s="1" t="str">
        <f t="shared" si="4"/>
        <v>DPRTRF</v>
      </c>
    </row>
    <row r="80" spans="2:17" hidden="1">
      <c r="B80" s="1" t="s">
        <v>2063</v>
      </c>
      <c r="C80" s="1" t="s">
        <v>2072</v>
      </c>
      <c r="D80" s="52">
        <v>45993.3125</v>
      </c>
      <c r="E80" s="52">
        <v>45993.3125</v>
      </c>
      <c r="F80" s="52">
        <v>45993.756944444445</v>
      </c>
      <c r="G80" s="53">
        <f t="shared" si="2"/>
        <v>0.44444444444525288</v>
      </c>
      <c r="H80" s="1" t="s">
        <v>677</v>
      </c>
      <c r="J80" s="1" t="s">
        <v>249</v>
      </c>
      <c r="K80" s="1" t="str">
        <f>_xlfn.XLOOKUP(J80,REF!$D$2:$D$12,REF!$E$2:$E$12)</f>
        <v>Transformador</v>
      </c>
      <c r="L80" s="1" t="s">
        <v>2065</v>
      </c>
      <c r="M80" s="1" t="s">
        <v>663</v>
      </c>
      <c r="N80" s="1" t="s">
        <v>672</v>
      </c>
      <c r="O80" s="1" t="s">
        <v>2066</v>
      </c>
      <c r="P80" s="1" t="str">
        <f t="shared" si="3"/>
        <v>BC Vazante1.1Inverter0745993,312545993,312545993,7569444444</v>
      </c>
      <c r="Q80" s="1" t="str">
        <f t="shared" si="4"/>
        <v>DPRTRF</v>
      </c>
    </row>
    <row r="81" spans="2:17" hidden="1">
      <c r="B81" s="1" t="s">
        <v>2063</v>
      </c>
      <c r="C81" s="1" t="s">
        <v>2073</v>
      </c>
      <c r="D81" s="52">
        <v>45993.3125</v>
      </c>
      <c r="E81" s="52">
        <v>45993.3125</v>
      </c>
      <c r="F81" s="52">
        <v>45993.756944444445</v>
      </c>
      <c r="G81" s="53">
        <f t="shared" si="2"/>
        <v>0.44444444444525288</v>
      </c>
      <c r="H81" s="1" t="s">
        <v>677</v>
      </c>
      <c r="J81" s="1" t="s">
        <v>249</v>
      </c>
      <c r="K81" s="1" t="str">
        <f>_xlfn.XLOOKUP(J81,REF!$D$2:$D$12,REF!$E$2:$E$12)</f>
        <v>Transformador</v>
      </c>
      <c r="L81" s="1" t="s">
        <v>2065</v>
      </c>
      <c r="M81" s="1" t="s">
        <v>663</v>
      </c>
      <c r="N81" s="1" t="s">
        <v>672</v>
      </c>
      <c r="O81" s="1" t="s">
        <v>2066</v>
      </c>
      <c r="P81" s="1" t="str">
        <f t="shared" si="3"/>
        <v>BC Vazante1.1Inverter0845993,312545993,312545993,7569444444</v>
      </c>
      <c r="Q81" s="1" t="str">
        <f t="shared" si="4"/>
        <v>DPRTRF</v>
      </c>
    </row>
    <row r="82" spans="2:17" hidden="1">
      <c r="B82" s="1" t="s">
        <v>2063</v>
      </c>
      <c r="C82" s="1" t="s">
        <v>2074</v>
      </c>
      <c r="D82" s="52">
        <v>45993.3125</v>
      </c>
      <c r="E82" s="52">
        <v>45993.3125</v>
      </c>
      <c r="F82" s="52">
        <v>45993.756944444445</v>
      </c>
      <c r="G82" s="53">
        <f t="shared" si="2"/>
        <v>0.44444444444525288</v>
      </c>
      <c r="H82" s="1" t="s">
        <v>677</v>
      </c>
      <c r="J82" s="1" t="s">
        <v>249</v>
      </c>
      <c r="K82" s="1" t="str">
        <f>_xlfn.XLOOKUP(J82,REF!$D$2:$D$12,REF!$E$2:$E$12)</f>
        <v>Transformador</v>
      </c>
      <c r="L82" s="1" t="s">
        <v>2065</v>
      </c>
      <c r="M82" s="1" t="s">
        <v>663</v>
      </c>
      <c r="N82" s="1" t="s">
        <v>672</v>
      </c>
      <c r="O82" s="1" t="s">
        <v>2066</v>
      </c>
      <c r="P82" s="1" t="str">
        <f t="shared" si="3"/>
        <v>BC Vazante1.1Inverter0945993,312545993,312545993,7569444444</v>
      </c>
      <c r="Q82" s="1" t="str">
        <f t="shared" si="4"/>
        <v>DPRTRF</v>
      </c>
    </row>
    <row r="83" spans="2:17" hidden="1">
      <c r="B83" s="1" t="s">
        <v>2063</v>
      </c>
      <c r="C83" s="1" t="s">
        <v>2075</v>
      </c>
      <c r="D83" s="52">
        <v>45993.3125</v>
      </c>
      <c r="E83" s="52">
        <v>45993.3125</v>
      </c>
      <c r="F83" s="52">
        <v>45993.756944444445</v>
      </c>
      <c r="G83" s="53">
        <f t="shared" si="2"/>
        <v>0.44444444444525288</v>
      </c>
      <c r="H83" s="1" t="s">
        <v>677</v>
      </c>
      <c r="J83" s="1" t="s">
        <v>249</v>
      </c>
      <c r="K83" s="1" t="str">
        <f>_xlfn.XLOOKUP(J83,REF!$D$2:$D$12,REF!$E$2:$E$12)</f>
        <v>Transformador</v>
      </c>
      <c r="L83" s="1" t="s">
        <v>2065</v>
      </c>
      <c r="M83" s="1" t="s">
        <v>663</v>
      </c>
      <c r="N83" s="1" t="s">
        <v>672</v>
      </c>
      <c r="O83" s="1" t="s">
        <v>2066</v>
      </c>
      <c r="P83" s="1" t="str">
        <f t="shared" si="3"/>
        <v>BC Vazante1.1Inverter1045993,312545993,312545993,7569444444</v>
      </c>
      <c r="Q83" s="1" t="str">
        <f t="shared" si="4"/>
        <v>DPRTRF</v>
      </c>
    </row>
    <row r="84" spans="2:17" hidden="1">
      <c r="B84" s="1" t="s">
        <v>2063</v>
      </c>
      <c r="C84" s="1" t="s">
        <v>2076</v>
      </c>
      <c r="D84" s="52">
        <v>45993.3125</v>
      </c>
      <c r="E84" s="52">
        <v>45993.3125</v>
      </c>
      <c r="F84" s="52">
        <v>45993.756944444445</v>
      </c>
      <c r="G84" s="53">
        <f t="shared" si="2"/>
        <v>0.44444444444525288</v>
      </c>
      <c r="H84" s="1" t="s">
        <v>677</v>
      </c>
      <c r="J84" s="1" t="s">
        <v>249</v>
      </c>
      <c r="K84" s="1" t="str">
        <f>_xlfn.XLOOKUP(J84,REF!$D$2:$D$12,REF!$E$2:$E$12)</f>
        <v>Transformador</v>
      </c>
      <c r="L84" s="1" t="s">
        <v>2065</v>
      </c>
      <c r="M84" s="1" t="s">
        <v>663</v>
      </c>
      <c r="N84" s="1" t="s">
        <v>672</v>
      </c>
      <c r="O84" s="1" t="s">
        <v>2066</v>
      </c>
      <c r="P84" s="1" t="str">
        <f t="shared" si="3"/>
        <v>BC Vazante1.1Inverter1145993,312545993,312545993,7569444444</v>
      </c>
      <c r="Q84" s="1" t="str">
        <f t="shared" si="4"/>
        <v>DPRTRF</v>
      </c>
    </row>
    <row r="85" spans="2:17" hidden="1">
      <c r="B85" s="1" t="s">
        <v>2063</v>
      </c>
      <c r="C85" s="1" t="s">
        <v>622</v>
      </c>
      <c r="D85" s="52">
        <v>45993.3125</v>
      </c>
      <c r="E85" s="52">
        <v>45993.3125</v>
      </c>
      <c r="F85" s="52">
        <v>45993.756944444445</v>
      </c>
      <c r="G85" s="53">
        <f t="shared" si="2"/>
        <v>0.44444444444525288</v>
      </c>
      <c r="H85" s="1" t="s">
        <v>677</v>
      </c>
      <c r="J85" s="1" t="s">
        <v>249</v>
      </c>
      <c r="K85" s="1" t="str">
        <f>_xlfn.XLOOKUP(J85,REF!$D$2:$D$12,REF!$E$2:$E$12)</f>
        <v>Transformador</v>
      </c>
      <c r="L85" s="1" t="s">
        <v>2065</v>
      </c>
      <c r="M85" s="1" t="s">
        <v>663</v>
      </c>
      <c r="N85" s="1" t="s">
        <v>672</v>
      </c>
      <c r="O85" s="1" t="s">
        <v>2066</v>
      </c>
      <c r="P85" s="1" t="str">
        <f t="shared" si="3"/>
        <v>BC Vazante1.1Inverter1245993,312545993,312545993,7569444444</v>
      </c>
      <c r="Q85" s="1" t="str">
        <f t="shared" si="4"/>
        <v>DPRTRF</v>
      </c>
    </row>
    <row r="86" spans="2:17" hidden="1">
      <c r="B86" s="1" t="s">
        <v>2063</v>
      </c>
      <c r="C86" s="1" t="s">
        <v>613</v>
      </c>
      <c r="D86" s="52">
        <v>45993.3125</v>
      </c>
      <c r="E86" s="52">
        <v>45993.3125</v>
      </c>
      <c r="F86" s="52">
        <v>45993.756944444445</v>
      </c>
      <c r="G86" s="53">
        <f t="shared" si="2"/>
        <v>0.44444444444525288</v>
      </c>
      <c r="H86" s="1" t="s">
        <v>677</v>
      </c>
      <c r="J86" s="1" t="s">
        <v>249</v>
      </c>
      <c r="K86" s="1" t="str">
        <f>_xlfn.XLOOKUP(J86,REF!$D$2:$D$12,REF!$E$2:$E$12)</f>
        <v>Transformador</v>
      </c>
      <c r="L86" s="1" t="s">
        <v>2065</v>
      </c>
      <c r="M86" s="1" t="s">
        <v>663</v>
      </c>
      <c r="N86" s="1" t="s">
        <v>672</v>
      </c>
      <c r="O86" s="1" t="s">
        <v>2066</v>
      </c>
      <c r="P86" s="1" t="str">
        <f t="shared" si="3"/>
        <v>BC Vazante1.1Inverter1345993,312545993,312545993,7569444444</v>
      </c>
      <c r="Q86" s="1" t="str">
        <f t="shared" si="4"/>
        <v>DPRTRF</v>
      </c>
    </row>
    <row r="87" spans="2:17" hidden="1">
      <c r="B87" s="1" t="s">
        <v>2063</v>
      </c>
      <c r="C87" s="1" t="s">
        <v>2077</v>
      </c>
      <c r="D87" s="52">
        <v>45993.3125</v>
      </c>
      <c r="E87" s="52">
        <v>45993.3125</v>
      </c>
      <c r="F87" s="52">
        <v>45993.756944444445</v>
      </c>
      <c r="G87" s="53">
        <f t="shared" si="2"/>
        <v>0.44444444444525288</v>
      </c>
      <c r="H87" s="1" t="s">
        <v>677</v>
      </c>
      <c r="J87" s="1" t="s">
        <v>249</v>
      </c>
      <c r="K87" s="1" t="str">
        <f>_xlfn.XLOOKUP(J87,REF!$D$2:$D$12,REF!$E$2:$E$12)</f>
        <v>Transformador</v>
      </c>
      <c r="L87" s="1" t="s">
        <v>2065</v>
      </c>
      <c r="M87" s="1" t="s">
        <v>663</v>
      </c>
      <c r="N87" s="1" t="s">
        <v>672</v>
      </c>
      <c r="O87" s="1" t="s">
        <v>2066</v>
      </c>
      <c r="P87" s="1" t="str">
        <f t="shared" si="3"/>
        <v>BC Vazante1.1Inverter1445993,312545993,312545993,7569444444</v>
      </c>
      <c r="Q87" s="1" t="str">
        <f t="shared" si="4"/>
        <v>DPRTRF</v>
      </c>
    </row>
    <row r="88" spans="2:17" hidden="1">
      <c r="B88" s="1" t="s">
        <v>2063</v>
      </c>
      <c r="C88" s="1" t="s">
        <v>2078</v>
      </c>
      <c r="D88" s="52">
        <v>45993.3125</v>
      </c>
      <c r="E88" s="52">
        <v>45993.3125</v>
      </c>
      <c r="F88" s="52">
        <v>45993.756944444445</v>
      </c>
      <c r="G88" s="53">
        <f t="shared" si="2"/>
        <v>0.44444444444525288</v>
      </c>
      <c r="H88" s="1" t="s">
        <v>677</v>
      </c>
      <c r="J88" s="1" t="s">
        <v>249</v>
      </c>
      <c r="K88" s="1" t="str">
        <f>_xlfn.XLOOKUP(J88,REF!$D$2:$D$12,REF!$E$2:$E$12)</f>
        <v>Transformador</v>
      </c>
      <c r="L88" s="1" t="s">
        <v>2065</v>
      </c>
      <c r="M88" s="1" t="s">
        <v>663</v>
      </c>
      <c r="N88" s="1" t="s">
        <v>672</v>
      </c>
      <c r="O88" s="1" t="s">
        <v>2066</v>
      </c>
      <c r="P88" s="1" t="str">
        <f t="shared" si="3"/>
        <v>BC Vazante1.1Inverter1545993,312545993,312545993,7569444444</v>
      </c>
      <c r="Q88" s="1" t="str">
        <f t="shared" si="4"/>
        <v>DPRTRF</v>
      </c>
    </row>
    <row r="89" spans="2:17" hidden="1">
      <c r="B89" s="1" t="s">
        <v>2063</v>
      </c>
      <c r="C89" s="1" t="s">
        <v>2079</v>
      </c>
      <c r="D89" s="52">
        <v>45993.3125</v>
      </c>
      <c r="E89" s="52">
        <v>45993.3125</v>
      </c>
      <c r="F89" s="52">
        <v>45993.756944444445</v>
      </c>
      <c r="G89" s="53">
        <f t="shared" si="2"/>
        <v>0.44444444444525288</v>
      </c>
      <c r="H89" s="1" t="s">
        <v>677</v>
      </c>
      <c r="J89" s="1" t="s">
        <v>249</v>
      </c>
      <c r="K89" s="1" t="str">
        <f>_xlfn.XLOOKUP(J89,REF!$D$2:$D$12,REF!$E$2:$E$12)</f>
        <v>Transformador</v>
      </c>
      <c r="L89" s="1" t="s">
        <v>2065</v>
      </c>
      <c r="M89" s="1" t="s">
        <v>663</v>
      </c>
      <c r="N89" s="1" t="s">
        <v>672</v>
      </c>
      <c r="O89" s="1" t="s">
        <v>2066</v>
      </c>
      <c r="P89" s="1" t="str">
        <f t="shared" si="3"/>
        <v>BC Vazante1.1Inverter1645993,312545993,312545993,7569444444</v>
      </c>
      <c r="Q89" s="1" t="str">
        <f t="shared" si="4"/>
        <v>DPRTRF</v>
      </c>
    </row>
    <row r="90" spans="2:17" hidden="1">
      <c r="B90" s="1" t="s">
        <v>2063</v>
      </c>
      <c r="C90" s="1" t="s">
        <v>2080</v>
      </c>
      <c r="D90" s="52">
        <v>45993.3125</v>
      </c>
      <c r="E90" s="52">
        <v>45993.3125</v>
      </c>
      <c r="F90" s="52">
        <v>45993.756944444445</v>
      </c>
      <c r="G90" s="53">
        <f t="shared" si="2"/>
        <v>0.44444444444525288</v>
      </c>
      <c r="H90" s="1" t="s">
        <v>677</v>
      </c>
      <c r="J90" s="1" t="s">
        <v>249</v>
      </c>
      <c r="K90" s="1" t="str">
        <f>_xlfn.XLOOKUP(J90,REF!$D$2:$D$12,REF!$E$2:$E$12)</f>
        <v>Transformador</v>
      </c>
      <c r="L90" s="1" t="s">
        <v>2065</v>
      </c>
      <c r="M90" s="1" t="s">
        <v>663</v>
      </c>
      <c r="N90" s="1" t="s">
        <v>672</v>
      </c>
      <c r="O90" s="1" t="s">
        <v>2066</v>
      </c>
      <c r="P90" s="1" t="str">
        <f t="shared" si="3"/>
        <v>BC Vazante1.1Inverter1745993,312545993,312545993,7569444444</v>
      </c>
      <c r="Q90" s="1" t="str">
        <f t="shared" si="4"/>
        <v>DPRTRF</v>
      </c>
    </row>
    <row r="91" spans="2:17" hidden="1">
      <c r="B91" s="1" t="s">
        <v>785</v>
      </c>
      <c r="C91" s="1" t="s">
        <v>247</v>
      </c>
      <c r="D91" s="52">
        <v>45993.590277777781</v>
      </c>
      <c r="E91" s="52">
        <v>45993.590277777781</v>
      </c>
      <c r="F91" s="52">
        <v>45993.709027777775</v>
      </c>
      <c r="G91" s="53">
        <f t="shared" si="2"/>
        <v>0.11874999999417923</v>
      </c>
      <c r="H91" s="1" t="s">
        <v>677</v>
      </c>
      <c r="J91" s="1" t="s">
        <v>230</v>
      </c>
      <c r="K91" s="1" t="str">
        <f>_xlfn.XLOOKUP(J91,REF!$D$2:$D$12,REF!$E$2:$E$12)</f>
        <v>UFV</v>
      </c>
      <c r="L91" s="1" t="s">
        <v>2081</v>
      </c>
      <c r="M91" s="1" t="s">
        <v>663</v>
      </c>
      <c r="N91" s="1" t="s">
        <v>672</v>
      </c>
      <c r="O91" s="1" t="s">
        <v>2082</v>
      </c>
      <c r="P91" s="1" t="str">
        <f t="shared" si="3"/>
        <v>BC Vazante2.1Inverter(MBUS-1)45993,590277777845993,590277777845993,7090277778</v>
      </c>
      <c r="Q91" s="1" t="str">
        <f t="shared" si="4"/>
        <v>DPRUFV</v>
      </c>
    </row>
    <row r="92" spans="2:17" hidden="1">
      <c r="B92" s="1" t="s">
        <v>785</v>
      </c>
      <c r="C92" s="1" t="s">
        <v>790</v>
      </c>
      <c r="D92" s="52">
        <v>45993.590277777781</v>
      </c>
      <c r="E92" s="52">
        <v>45993.590277777781</v>
      </c>
      <c r="F92" s="52">
        <v>45993.709027777775</v>
      </c>
      <c r="G92" s="53">
        <f t="shared" si="2"/>
        <v>0.11874999999417923</v>
      </c>
      <c r="H92" s="1" t="s">
        <v>677</v>
      </c>
      <c r="J92" s="1" t="s">
        <v>230</v>
      </c>
      <c r="K92" s="1" t="str">
        <f>_xlfn.XLOOKUP(J92,REF!$D$2:$D$12,REF!$E$2:$E$12)</f>
        <v>UFV</v>
      </c>
      <c r="L92" s="1" t="s">
        <v>2081</v>
      </c>
      <c r="M92" s="1" t="s">
        <v>663</v>
      </c>
      <c r="N92" s="1" t="s">
        <v>672</v>
      </c>
      <c r="O92" s="1" t="s">
        <v>2082</v>
      </c>
      <c r="P92" s="1" t="str">
        <f t="shared" si="3"/>
        <v>BC Vazante2.1Inverter(MBUS-2)45993,590277777845993,590277777845993,7090277778</v>
      </c>
      <c r="Q92" s="1" t="str">
        <f t="shared" si="4"/>
        <v>DPRUFV</v>
      </c>
    </row>
    <row r="93" spans="2:17" hidden="1">
      <c r="B93" s="1" t="s">
        <v>785</v>
      </c>
      <c r="C93" s="1" t="s">
        <v>787</v>
      </c>
      <c r="D93" s="52">
        <v>45993.590277777781</v>
      </c>
      <c r="E93" s="52">
        <v>45993.590277777781</v>
      </c>
      <c r="F93" s="52">
        <v>45993.709027777775</v>
      </c>
      <c r="G93" s="53">
        <f t="shared" si="2"/>
        <v>0.11874999999417923</v>
      </c>
      <c r="H93" s="1" t="s">
        <v>677</v>
      </c>
      <c r="J93" s="1" t="s">
        <v>230</v>
      </c>
      <c r="K93" s="1" t="str">
        <f>_xlfn.XLOOKUP(J93,REF!$D$2:$D$12,REF!$E$2:$E$12)</f>
        <v>UFV</v>
      </c>
      <c r="L93" s="1" t="s">
        <v>2081</v>
      </c>
      <c r="M93" s="1" t="s">
        <v>663</v>
      </c>
      <c r="N93" s="1" t="s">
        <v>672</v>
      </c>
      <c r="O93" s="1" t="s">
        <v>2082</v>
      </c>
      <c r="P93" s="1" t="str">
        <f t="shared" si="3"/>
        <v>BC Vazante2.1Inverter(MBUS-4)45993,590277777845993,590277777845993,7090277778</v>
      </c>
      <c r="Q93" s="1" t="str">
        <f t="shared" si="4"/>
        <v>DPRUFV</v>
      </c>
    </row>
    <row r="94" spans="2:17" hidden="1">
      <c r="B94" s="1" t="s">
        <v>785</v>
      </c>
      <c r="C94" s="1" t="s">
        <v>786</v>
      </c>
      <c r="D94" s="52">
        <v>45993.590277777781</v>
      </c>
      <c r="E94" s="52">
        <v>45993.590277777781</v>
      </c>
      <c r="F94" s="52">
        <v>45993.709027777775</v>
      </c>
      <c r="G94" s="53">
        <f t="shared" si="2"/>
        <v>0.11874999999417923</v>
      </c>
      <c r="H94" s="1" t="s">
        <v>677</v>
      </c>
      <c r="J94" s="1" t="s">
        <v>230</v>
      </c>
      <c r="K94" s="1" t="str">
        <f>_xlfn.XLOOKUP(J94,REF!$D$2:$D$12,REF!$E$2:$E$12)</f>
        <v>UFV</v>
      </c>
      <c r="L94" s="1" t="s">
        <v>2081</v>
      </c>
      <c r="M94" s="1" t="s">
        <v>663</v>
      </c>
      <c r="N94" s="1" t="s">
        <v>672</v>
      </c>
      <c r="O94" s="1" t="s">
        <v>2082</v>
      </c>
      <c r="P94" s="1" t="str">
        <f t="shared" si="3"/>
        <v>BC Vazante2.1Inverter(MBUS-5)45993,590277777845993,590277777845993,7090277778</v>
      </c>
      <c r="Q94" s="1" t="str">
        <f t="shared" si="4"/>
        <v>DPRUFV</v>
      </c>
    </row>
    <row r="95" spans="2:17" hidden="1">
      <c r="B95" s="1" t="s">
        <v>785</v>
      </c>
      <c r="C95" s="1" t="s">
        <v>256</v>
      </c>
      <c r="D95" s="52">
        <v>45993.590277777781</v>
      </c>
      <c r="E95" s="52">
        <v>45993.590277777781</v>
      </c>
      <c r="F95" s="52">
        <v>45993.709027777775</v>
      </c>
      <c r="G95" s="53">
        <f t="shared" si="2"/>
        <v>0.11874999999417923</v>
      </c>
      <c r="H95" s="1" t="s">
        <v>677</v>
      </c>
      <c r="J95" s="1" t="s">
        <v>230</v>
      </c>
      <c r="K95" s="1" t="str">
        <f>_xlfn.XLOOKUP(J95,REF!$D$2:$D$12,REF!$E$2:$E$12)</f>
        <v>UFV</v>
      </c>
      <c r="L95" s="1" t="s">
        <v>2081</v>
      </c>
      <c r="M95" s="1" t="s">
        <v>663</v>
      </c>
      <c r="N95" s="1" t="s">
        <v>672</v>
      </c>
      <c r="O95" s="1" t="s">
        <v>2082</v>
      </c>
      <c r="P95" s="1" t="str">
        <f t="shared" si="3"/>
        <v>BC Vazante2.1Inverter(MBUS-12)45993,590277777845993,590277777845993,7090277778</v>
      </c>
      <c r="Q95" s="1" t="str">
        <f t="shared" si="4"/>
        <v>DPRUFV</v>
      </c>
    </row>
    <row r="96" spans="2:17" hidden="1">
      <c r="B96" s="1" t="s">
        <v>444</v>
      </c>
      <c r="C96" s="1" t="s">
        <v>256</v>
      </c>
      <c r="D96" s="52">
        <v>45993.604166666664</v>
      </c>
      <c r="E96" s="52">
        <v>45993.604166666664</v>
      </c>
      <c r="F96" s="52">
        <v>45993.694444444445</v>
      </c>
      <c r="G96" s="53">
        <f t="shared" si="2"/>
        <v>9.0277777781011537E-2</v>
      </c>
      <c r="H96" s="1" t="s">
        <v>677</v>
      </c>
      <c r="J96" s="1" t="s">
        <v>230</v>
      </c>
      <c r="K96" s="1" t="str">
        <f>_xlfn.XLOOKUP(J96,REF!$D$2:$D$12,REF!$E$2:$E$12)</f>
        <v>UFV</v>
      </c>
      <c r="L96" s="1" t="s">
        <v>2083</v>
      </c>
      <c r="M96" s="1" t="s">
        <v>663</v>
      </c>
      <c r="N96" s="1" t="s">
        <v>672</v>
      </c>
      <c r="O96" s="1" t="s">
        <v>2084</v>
      </c>
      <c r="P96" s="1" t="str">
        <f t="shared" si="3"/>
        <v>BC Clareira1.1Inverter(MBUS-12)45993,604166666745993,604166666745993,6944444444</v>
      </c>
      <c r="Q96" s="1" t="str">
        <f t="shared" si="4"/>
        <v>DPRUFV</v>
      </c>
    </row>
    <row r="97" spans="2:17" hidden="1">
      <c r="B97" s="1" t="s">
        <v>444</v>
      </c>
      <c r="C97" s="1" t="s">
        <v>264</v>
      </c>
      <c r="D97" s="52">
        <v>45993.604166666664</v>
      </c>
      <c r="E97" s="52">
        <v>45993.604166666664</v>
      </c>
      <c r="F97" s="52">
        <v>45993.694444444445</v>
      </c>
      <c r="G97" s="53">
        <f t="shared" si="2"/>
        <v>9.0277777781011537E-2</v>
      </c>
      <c r="H97" s="1" t="s">
        <v>677</v>
      </c>
      <c r="J97" s="1" t="s">
        <v>230</v>
      </c>
      <c r="K97" s="1" t="str">
        <f>_xlfn.XLOOKUP(J97,REF!$D$2:$D$12,REF!$E$2:$E$12)</f>
        <v>UFV</v>
      </c>
      <c r="L97" s="1" t="s">
        <v>2083</v>
      </c>
      <c r="M97" s="1" t="s">
        <v>663</v>
      </c>
      <c r="N97" s="1" t="s">
        <v>672</v>
      </c>
      <c r="O97" s="1" t="s">
        <v>2084</v>
      </c>
      <c r="P97" s="1" t="str">
        <f t="shared" si="3"/>
        <v>BC Clareira1.1Inverter(MBUS-13)45993,604166666745993,604166666745993,6944444444</v>
      </c>
      <c r="Q97" s="1" t="str">
        <f t="shared" si="4"/>
        <v>DPRUFV</v>
      </c>
    </row>
    <row r="98" spans="2:17" hidden="1">
      <c r="B98" s="1" t="s">
        <v>444</v>
      </c>
      <c r="C98" s="1" t="s">
        <v>2085</v>
      </c>
      <c r="D98" s="52">
        <v>45993.604166666664</v>
      </c>
      <c r="E98" s="52">
        <v>45993.604166666664</v>
      </c>
      <c r="F98" s="52">
        <v>45993.694444444445</v>
      </c>
      <c r="G98" s="53">
        <f t="shared" si="2"/>
        <v>9.0277777781011537E-2</v>
      </c>
      <c r="H98" s="1" t="s">
        <v>677</v>
      </c>
      <c r="J98" s="1" t="s">
        <v>230</v>
      </c>
      <c r="K98" s="1" t="str">
        <f>_xlfn.XLOOKUP(J98,REF!$D$2:$D$12,REF!$E$2:$E$12)</f>
        <v>UFV</v>
      </c>
      <c r="L98" s="1" t="s">
        <v>2083</v>
      </c>
      <c r="M98" s="1" t="s">
        <v>663</v>
      </c>
      <c r="N98" s="1" t="s">
        <v>672</v>
      </c>
      <c r="O98" s="1" t="s">
        <v>2084</v>
      </c>
      <c r="P98" s="1" t="str">
        <f t="shared" si="3"/>
        <v>BC Clareira1.1	Inverter(MBUS-14)45993,604166666745993,604166666745993,6944444444</v>
      </c>
      <c r="Q98" s="1" t="str">
        <f t="shared" si="4"/>
        <v>DPRUFV</v>
      </c>
    </row>
    <row r="99" spans="2:17" hidden="1">
      <c r="B99" s="1" t="s">
        <v>444</v>
      </c>
      <c r="C99" s="1" t="s">
        <v>2086</v>
      </c>
      <c r="D99" s="52">
        <v>45993.604166666664</v>
      </c>
      <c r="E99" s="52">
        <v>45993.604166666664</v>
      </c>
      <c r="F99" s="52">
        <v>45993.694444444445</v>
      </c>
      <c r="G99" s="53">
        <f t="shared" si="2"/>
        <v>9.0277777781011537E-2</v>
      </c>
      <c r="H99" s="1" t="s">
        <v>677</v>
      </c>
      <c r="J99" s="1" t="s">
        <v>230</v>
      </c>
      <c r="K99" s="1" t="str">
        <f>_xlfn.XLOOKUP(J99,REF!$D$2:$D$12,REF!$E$2:$E$12)</f>
        <v>UFV</v>
      </c>
      <c r="L99" s="1" t="s">
        <v>2083</v>
      </c>
      <c r="M99" s="1" t="s">
        <v>663</v>
      </c>
      <c r="N99" s="1" t="s">
        <v>672</v>
      </c>
      <c r="O99" s="1" t="s">
        <v>2084</v>
      </c>
      <c r="P99" s="1" t="str">
        <f t="shared" si="3"/>
        <v>BC Clareira1.1	Inverter(MBUS-15)45993,604166666745993,604166666745993,6944444444</v>
      </c>
      <c r="Q99" s="1" t="str">
        <f t="shared" si="4"/>
        <v>DPRUFV</v>
      </c>
    </row>
    <row r="100" spans="2:17" hidden="1">
      <c r="B100" s="1" t="s">
        <v>444</v>
      </c>
      <c r="C100" s="1" t="s">
        <v>390</v>
      </c>
      <c r="D100" s="52">
        <v>45993.604166666664</v>
      </c>
      <c r="E100" s="52">
        <v>45993.604166666664</v>
      </c>
      <c r="F100" s="52">
        <v>45993.694444444445</v>
      </c>
      <c r="G100" s="53">
        <f t="shared" si="2"/>
        <v>9.0277777781011537E-2</v>
      </c>
      <c r="H100" s="1" t="s">
        <v>677</v>
      </c>
      <c r="J100" s="1" t="s">
        <v>230</v>
      </c>
      <c r="K100" s="1" t="str">
        <f>_xlfn.XLOOKUP(J100,REF!$D$2:$D$12,REF!$E$2:$E$12)</f>
        <v>UFV</v>
      </c>
      <c r="L100" s="1" t="s">
        <v>2083</v>
      </c>
      <c r="M100" s="1" t="s">
        <v>663</v>
      </c>
      <c r="N100" s="1" t="s">
        <v>672</v>
      </c>
      <c r="O100" s="1" t="s">
        <v>2084</v>
      </c>
      <c r="P100" s="1" t="str">
        <f t="shared" si="3"/>
        <v>BC Clareira1.1Inverter(MBUS-16)45993,604166666745993,604166666745993,6944444444</v>
      </c>
      <c r="Q100" s="1" t="str">
        <f t="shared" si="4"/>
        <v>DPRUFV</v>
      </c>
    </row>
    <row r="101" spans="2:17" hidden="1">
      <c r="B101" s="1" t="s">
        <v>446</v>
      </c>
      <c r="C101" s="1" t="s">
        <v>2087</v>
      </c>
      <c r="D101" s="52">
        <v>45993.604166666664</v>
      </c>
      <c r="E101" s="52">
        <v>45993.604166666664</v>
      </c>
      <c r="F101" s="52">
        <v>45993.694444444445</v>
      </c>
      <c r="G101" s="53">
        <f t="shared" si="2"/>
        <v>9.0277777781011537E-2</v>
      </c>
      <c r="H101" s="1" t="s">
        <v>677</v>
      </c>
      <c r="J101" s="1" t="s">
        <v>230</v>
      </c>
      <c r="K101" s="1" t="str">
        <f>_xlfn.XLOOKUP(J101,REF!$D$2:$D$12,REF!$E$2:$E$12)</f>
        <v>UFV</v>
      </c>
      <c r="L101" s="1" t="s">
        <v>2083</v>
      </c>
      <c r="M101" s="1" t="s">
        <v>663</v>
      </c>
      <c r="N101" s="1" t="s">
        <v>672</v>
      </c>
      <c r="O101" s="1" t="s">
        <v>2084</v>
      </c>
      <c r="P101" s="1" t="str">
        <f t="shared" si="3"/>
        <v>BC Clareira1.2	215KTL-H3(MBUS-12)45993,604166666745993,604166666745993,6944444444</v>
      </c>
      <c r="Q101" s="1" t="str">
        <f t="shared" si="4"/>
        <v>DPRUFV</v>
      </c>
    </row>
    <row r="102" spans="2:17" hidden="1">
      <c r="B102" s="1" t="s">
        <v>446</v>
      </c>
      <c r="C102" s="1" t="s">
        <v>2088</v>
      </c>
      <c r="D102" s="52">
        <v>45993.604166666664</v>
      </c>
      <c r="E102" s="52">
        <v>45993.604166666664</v>
      </c>
      <c r="F102" s="52">
        <v>45993.694444444445</v>
      </c>
      <c r="G102" s="53">
        <f t="shared" si="2"/>
        <v>9.0277777781011537E-2</v>
      </c>
      <c r="H102" s="1" t="s">
        <v>677</v>
      </c>
      <c r="J102" s="1" t="s">
        <v>230</v>
      </c>
      <c r="K102" s="1" t="str">
        <f>_xlfn.XLOOKUP(J102,REF!$D$2:$D$12,REF!$E$2:$E$12)</f>
        <v>UFV</v>
      </c>
      <c r="L102" s="1" t="s">
        <v>2083</v>
      </c>
      <c r="M102" s="1" t="s">
        <v>663</v>
      </c>
      <c r="N102" s="1" t="s">
        <v>672</v>
      </c>
      <c r="O102" s="1" t="s">
        <v>2084</v>
      </c>
      <c r="P102" s="1" t="str">
        <f t="shared" si="3"/>
        <v>BC Clareira1.2	215KTL-H3(MBUS-13)45993,604166666745993,604166666745993,6944444444</v>
      </c>
      <c r="Q102" s="1" t="str">
        <f t="shared" si="4"/>
        <v>DPRUFV</v>
      </c>
    </row>
    <row r="103" spans="2:17" hidden="1">
      <c r="B103" s="1" t="s">
        <v>446</v>
      </c>
      <c r="C103" s="1" t="s">
        <v>447</v>
      </c>
      <c r="D103" s="52">
        <v>45993.604166666664</v>
      </c>
      <c r="E103" s="52">
        <v>45993.604166666664</v>
      </c>
      <c r="F103" s="52">
        <v>45993.694444444445</v>
      </c>
      <c r="G103" s="53">
        <f t="shared" si="2"/>
        <v>9.0277777781011537E-2</v>
      </c>
      <c r="H103" s="1" t="s">
        <v>677</v>
      </c>
      <c r="J103" s="1" t="s">
        <v>230</v>
      </c>
      <c r="K103" s="1" t="str">
        <f>_xlfn.XLOOKUP(J103,REF!$D$2:$D$12,REF!$E$2:$E$12)</f>
        <v>UFV</v>
      </c>
      <c r="L103" s="1" t="s">
        <v>2083</v>
      </c>
      <c r="M103" s="1" t="s">
        <v>663</v>
      </c>
      <c r="N103" s="1" t="s">
        <v>672</v>
      </c>
      <c r="O103" s="1" t="s">
        <v>2084</v>
      </c>
      <c r="P103" s="1" t="str">
        <f t="shared" si="3"/>
        <v>BC Clareira1.2100KTL-H1(MBUS-14)45993,604166666745993,604166666745993,6944444444</v>
      </c>
      <c r="Q103" s="1" t="str">
        <f t="shared" si="4"/>
        <v>DPRUFV</v>
      </c>
    </row>
    <row r="104" spans="2:17" hidden="1">
      <c r="B104" s="1" t="s">
        <v>585</v>
      </c>
      <c r="C104" s="1" t="s">
        <v>590</v>
      </c>
      <c r="D104" s="52">
        <v>45994.270833333336</v>
      </c>
      <c r="E104" s="52">
        <v>45994.270833333336</v>
      </c>
      <c r="F104" s="52">
        <v>45994.277777777781</v>
      </c>
      <c r="G104" s="53">
        <f t="shared" si="2"/>
        <v>6.9444444452528842E-3</v>
      </c>
      <c r="H104" s="1" t="s">
        <v>257</v>
      </c>
      <c r="J104" s="1" t="s">
        <v>258</v>
      </c>
      <c r="K104" s="1" t="str">
        <f>_xlfn.XLOOKUP(J104,REF!$D$2:$D$12,REF!$E$2:$E$12)</f>
        <v>Rede</v>
      </c>
      <c r="L104" s="1" t="s">
        <v>2089</v>
      </c>
      <c r="M104" s="1" t="s">
        <v>260</v>
      </c>
      <c r="N104" s="1" t="s">
        <v>261</v>
      </c>
      <c r="O104" s="1" t="s">
        <v>2090</v>
      </c>
      <c r="P104" s="1" t="str">
        <f t="shared" si="3"/>
        <v>BC Rio Monte1Inverter4145994,270833333345994,270833333345994,2777777778</v>
      </c>
      <c r="Q104" s="1" t="str">
        <f t="shared" si="4"/>
        <v>DAURDE</v>
      </c>
    </row>
    <row r="105" spans="2:17" hidden="1">
      <c r="B105" s="1" t="s">
        <v>585</v>
      </c>
      <c r="C105" s="1" t="s">
        <v>2091</v>
      </c>
      <c r="D105" s="52">
        <v>45994.270833333336</v>
      </c>
      <c r="E105" s="52">
        <v>45994.270833333336</v>
      </c>
      <c r="F105" s="52">
        <v>45994.277777777781</v>
      </c>
      <c r="G105" s="53">
        <f t="shared" si="2"/>
        <v>6.9444444452528842E-3</v>
      </c>
      <c r="H105" s="1" t="s">
        <v>257</v>
      </c>
      <c r="J105" s="1" t="s">
        <v>258</v>
      </c>
      <c r="K105" s="1" t="str">
        <f>_xlfn.XLOOKUP(J105,REF!$D$2:$D$12,REF!$E$2:$E$12)</f>
        <v>Rede</v>
      </c>
      <c r="L105" s="1" t="s">
        <v>2089</v>
      </c>
      <c r="M105" s="1" t="s">
        <v>260</v>
      </c>
      <c r="N105" s="1" t="s">
        <v>261</v>
      </c>
      <c r="O105" s="1" t="s">
        <v>2090</v>
      </c>
      <c r="P105" s="1" t="str">
        <f t="shared" si="3"/>
        <v>BC Rio Monte1Inverter4745994,270833333345994,270833333345994,2777777778</v>
      </c>
      <c r="Q105" s="1" t="str">
        <f t="shared" si="4"/>
        <v>DAURDE</v>
      </c>
    </row>
    <row r="106" spans="2:17" hidden="1">
      <c r="B106" s="1" t="s">
        <v>585</v>
      </c>
      <c r="C106" s="1" t="s">
        <v>586</v>
      </c>
      <c r="D106" s="52">
        <v>45994.270833333336</v>
      </c>
      <c r="E106" s="52">
        <v>45994.270833333336</v>
      </c>
      <c r="F106" s="52">
        <v>45994.277777777781</v>
      </c>
      <c r="G106" s="53">
        <f t="shared" si="2"/>
        <v>6.9444444452528842E-3</v>
      </c>
      <c r="H106" s="1" t="s">
        <v>257</v>
      </c>
      <c r="J106" s="1" t="s">
        <v>258</v>
      </c>
      <c r="K106" s="1" t="str">
        <f>_xlfn.XLOOKUP(J106,REF!$D$2:$D$12,REF!$E$2:$E$12)</f>
        <v>Rede</v>
      </c>
      <c r="L106" s="1" t="s">
        <v>2089</v>
      </c>
      <c r="M106" s="1" t="s">
        <v>260</v>
      </c>
      <c r="N106" s="1" t="s">
        <v>261</v>
      </c>
      <c r="O106" s="1" t="s">
        <v>2090</v>
      </c>
      <c r="P106" s="1" t="str">
        <f t="shared" si="3"/>
        <v>BC Rio Monte1Inverter3545994,270833333345994,270833333345994,2777777778</v>
      </c>
      <c r="Q106" s="1" t="str">
        <f t="shared" si="4"/>
        <v>DAURDE</v>
      </c>
    </row>
    <row r="107" spans="2:17" hidden="1">
      <c r="B107" s="1" t="s">
        <v>585</v>
      </c>
      <c r="C107" s="1" t="s">
        <v>598</v>
      </c>
      <c r="D107" s="52">
        <v>45994.270833333336</v>
      </c>
      <c r="E107" s="52">
        <v>45994.270833333336</v>
      </c>
      <c r="F107" s="52">
        <v>45994.277777777781</v>
      </c>
      <c r="G107" s="53">
        <f t="shared" si="2"/>
        <v>6.9444444452528842E-3</v>
      </c>
      <c r="H107" s="1" t="s">
        <v>257</v>
      </c>
      <c r="J107" s="1" t="s">
        <v>258</v>
      </c>
      <c r="K107" s="1" t="str">
        <f>_xlfn.XLOOKUP(J107,REF!$D$2:$D$12,REF!$E$2:$E$12)</f>
        <v>Rede</v>
      </c>
      <c r="L107" s="1" t="s">
        <v>2089</v>
      </c>
      <c r="M107" s="1" t="s">
        <v>260</v>
      </c>
      <c r="N107" s="1" t="s">
        <v>261</v>
      </c>
      <c r="O107" s="1" t="s">
        <v>2090</v>
      </c>
      <c r="P107" s="1" t="str">
        <f t="shared" si="3"/>
        <v>BC Rio Monte1Inverter3645994,270833333345994,270833333345994,2777777778</v>
      </c>
      <c r="Q107" s="1" t="str">
        <f t="shared" si="4"/>
        <v>DAURDE</v>
      </c>
    </row>
    <row r="108" spans="2:17" hidden="1">
      <c r="B108" s="1" t="s">
        <v>585</v>
      </c>
      <c r="C108" s="1" t="s">
        <v>600</v>
      </c>
      <c r="D108" s="52">
        <v>45994.270833333336</v>
      </c>
      <c r="E108" s="52">
        <v>45994.270833333336</v>
      </c>
      <c r="F108" s="52">
        <v>45994.277777777781</v>
      </c>
      <c r="G108" s="53">
        <f t="shared" si="2"/>
        <v>6.9444444452528842E-3</v>
      </c>
      <c r="H108" s="1" t="s">
        <v>257</v>
      </c>
      <c r="J108" s="1" t="s">
        <v>258</v>
      </c>
      <c r="K108" s="1" t="str">
        <f>_xlfn.XLOOKUP(J108,REF!$D$2:$D$12,REF!$E$2:$E$12)</f>
        <v>Rede</v>
      </c>
      <c r="L108" s="1" t="s">
        <v>2089</v>
      </c>
      <c r="M108" s="1" t="s">
        <v>260</v>
      </c>
      <c r="N108" s="1" t="s">
        <v>261</v>
      </c>
      <c r="O108" s="1" t="s">
        <v>2090</v>
      </c>
      <c r="P108" s="1" t="str">
        <f t="shared" si="3"/>
        <v>BC Rio Monte1Inverter3145994,270833333345994,270833333345994,2777777778</v>
      </c>
      <c r="Q108" s="1" t="str">
        <f t="shared" si="4"/>
        <v>DAURDE</v>
      </c>
    </row>
    <row r="109" spans="2:17" hidden="1">
      <c r="B109" s="1" t="s">
        <v>585</v>
      </c>
      <c r="C109" s="1" t="s">
        <v>596</v>
      </c>
      <c r="D109" s="52">
        <v>45994.270833333336</v>
      </c>
      <c r="E109" s="52">
        <v>45994.270833333336</v>
      </c>
      <c r="F109" s="52">
        <v>45994.277777777781</v>
      </c>
      <c r="G109" s="53">
        <f t="shared" si="2"/>
        <v>6.9444444452528842E-3</v>
      </c>
      <c r="H109" s="1" t="s">
        <v>257</v>
      </c>
      <c r="J109" s="1" t="s">
        <v>258</v>
      </c>
      <c r="K109" s="1" t="str">
        <f>_xlfn.XLOOKUP(J109,REF!$D$2:$D$12,REF!$E$2:$E$12)</f>
        <v>Rede</v>
      </c>
      <c r="L109" s="1" t="s">
        <v>2089</v>
      </c>
      <c r="M109" s="1" t="s">
        <v>260</v>
      </c>
      <c r="N109" s="1" t="s">
        <v>261</v>
      </c>
      <c r="O109" s="1" t="s">
        <v>2090</v>
      </c>
      <c r="P109" s="1" t="str">
        <f t="shared" si="3"/>
        <v>BC Rio Monte1Inverter3345994,270833333345994,270833333345994,2777777778</v>
      </c>
      <c r="Q109" s="1" t="str">
        <f t="shared" si="4"/>
        <v>DAURDE</v>
      </c>
    </row>
    <row r="110" spans="2:17" hidden="1">
      <c r="B110" s="1" t="s">
        <v>585</v>
      </c>
      <c r="C110" s="1" t="s">
        <v>599</v>
      </c>
      <c r="D110" s="52">
        <v>45994.270833333336</v>
      </c>
      <c r="E110" s="52">
        <v>45994.270833333336</v>
      </c>
      <c r="F110" s="52">
        <v>45994.277777777781</v>
      </c>
      <c r="G110" s="53">
        <f t="shared" si="2"/>
        <v>6.9444444452528842E-3</v>
      </c>
      <c r="H110" s="1" t="s">
        <v>257</v>
      </c>
      <c r="J110" s="1" t="s">
        <v>258</v>
      </c>
      <c r="K110" s="1" t="str">
        <f>_xlfn.XLOOKUP(J110,REF!$D$2:$D$12,REF!$E$2:$E$12)</f>
        <v>Rede</v>
      </c>
      <c r="L110" s="1" t="s">
        <v>2089</v>
      </c>
      <c r="M110" s="1" t="s">
        <v>260</v>
      </c>
      <c r="N110" s="1" t="s">
        <v>261</v>
      </c>
      <c r="O110" s="1" t="s">
        <v>2090</v>
      </c>
      <c r="P110" s="1" t="str">
        <f t="shared" si="3"/>
        <v>BC Rio Monte1Inverter3945994,270833333345994,270833333345994,2777777778</v>
      </c>
      <c r="Q110" s="1" t="str">
        <f t="shared" si="4"/>
        <v>DAURDE</v>
      </c>
    </row>
    <row r="111" spans="2:17" hidden="1">
      <c r="B111" s="1" t="s">
        <v>585</v>
      </c>
      <c r="C111" s="1" t="s">
        <v>603</v>
      </c>
      <c r="D111" s="52">
        <v>45994.270833333336</v>
      </c>
      <c r="E111" s="52">
        <v>45994.270833333336</v>
      </c>
      <c r="F111" s="52">
        <v>45994.277777777781</v>
      </c>
      <c r="G111" s="53">
        <f t="shared" si="2"/>
        <v>6.9444444452528842E-3</v>
      </c>
      <c r="H111" s="1" t="s">
        <v>257</v>
      </c>
      <c r="J111" s="1" t="s">
        <v>258</v>
      </c>
      <c r="K111" s="1" t="str">
        <f>_xlfn.XLOOKUP(J111,REF!$D$2:$D$12,REF!$E$2:$E$12)</f>
        <v>Rede</v>
      </c>
      <c r="L111" s="1" t="s">
        <v>2089</v>
      </c>
      <c r="M111" s="1" t="s">
        <v>260</v>
      </c>
      <c r="N111" s="1" t="s">
        <v>261</v>
      </c>
      <c r="O111" s="1" t="s">
        <v>2090</v>
      </c>
      <c r="P111" s="1" t="str">
        <f t="shared" si="3"/>
        <v>BC Rio Monte1Inverter3245994,270833333345994,270833333345994,2777777778</v>
      </c>
      <c r="Q111" s="1" t="str">
        <f t="shared" si="4"/>
        <v>DAURDE</v>
      </c>
    </row>
    <row r="112" spans="2:17" hidden="1">
      <c r="B112" s="1" t="s">
        <v>585</v>
      </c>
      <c r="C112" s="1" t="s">
        <v>588</v>
      </c>
      <c r="D112" s="52">
        <v>45994.270833333336</v>
      </c>
      <c r="E112" s="52">
        <v>45994.270833333336</v>
      </c>
      <c r="F112" s="52">
        <v>45994.277777777781</v>
      </c>
      <c r="G112" s="53">
        <f t="shared" si="2"/>
        <v>6.9444444452528842E-3</v>
      </c>
      <c r="H112" s="1" t="s">
        <v>257</v>
      </c>
      <c r="J112" s="1" t="s">
        <v>258</v>
      </c>
      <c r="K112" s="1" t="str">
        <f>_xlfn.XLOOKUP(J112,REF!$D$2:$D$12,REF!$E$2:$E$12)</f>
        <v>Rede</v>
      </c>
      <c r="L112" s="1" t="s">
        <v>2089</v>
      </c>
      <c r="M112" s="1" t="s">
        <v>260</v>
      </c>
      <c r="N112" s="1" t="s">
        <v>261</v>
      </c>
      <c r="O112" s="1" t="s">
        <v>2090</v>
      </c>
      <c r="P112" s="1" t="str">
        <f t="shared" si="3"/>
        <v>BC Rio Monte1Inverter4045994,270833333345994,270833333345994,2777777778</v>
      </c>
      <c r="Q112" s="1" t="str">
        <f t="shared" si="4"/>
        <v>DAURDE</v>
      </c>
    </row>
    <row r="113" spans="2:17" hidden="1">
      <c r="B113" s="1" t="s">
        <v>585</v>
      </c>
      <c r="C113" s="1" t="s">
        <v>594</v>
      </c>
      <c r="D113" s="52">
        <v>45994.270833333336</v>
      </c>
      <c r="E113" s="52">
        <v>45994.270833333336</v>
      </c>
      <c r="F113" s="52">
        <v>45994.277777777781</v>
      </c>
      <c r="G113" s="53">
        <f t="shared" si="2"/>
        <v>6.9444444452528842E-3</v>
      </c>
      <c r="H113" s="1" t="s">
        <v>257</v>
      </c>
      <c r="J113" s="1" t="s">
        <v>258</v>
      </c>
      <c r="K113" s="1" t="str">
        <f>_xlfn.XLOOKUP(J113,REF!$D$2:$D$12,REF!$E$2:$E$12)</f>
        <v>Rede</v>
      </c>
      <c r="L113" s="1" t="s">
        <v>2089</v>
      </c>
      <c r="M113" s="1" t="s">
        <v>260</v>
      </c>
      <c r="N113" s="1" t="s">
        <v>261</v>
      </c>
      <c r="O113" s="1" t="s">
        <v>2090</v>
      </c>
      <c r="P113" s="1" t="str">
        <f t="shared" si="3"/>
        <v>BC Rio Monte1Inverter3445994,270833333345994,270833333345994,2777777778</v>
      </c>
      <c r="Q113" s="1" t="str">
        <f t="shared" si="4"/>
        <v>DAURDE</v>
      </c>
    </row>
    <row r="114" spans="2:17" hidden="1">
      <c r="B114" s="1" t="s">
        <v>442</v>
      </c>
      <c r="C114" s="1" t="s">
        <v>256</v>
      </c>
      <c r="D114" s="52">
        <v>45994.298611111109</v>
      </c>
      <c r="E114" s="52">
        <v>45994.298611111109</v>
      </c>
      <c r="F114" s="52">
        <v>45994.3125</v>
      </c>
      <c r="G114" s="53">
        <f t="shared" si="2"/>
        <v>1.3888888890505768E-2</v>
      </c>
      <c r="H114" s="1" t="s">
        <v>257</v>
      </c>
      <c r="J114" s="1" t="s">
        <v>258</v>
      </c>
      <c r="K114" s="1" t="str">
        <f>_xlfn.XLOOKUP(J114,REF!$D$2:$D$12,REF!$E$2:$E$12)</f>
        <v>Rede</v>
      </c>
      <c r="L114" s="1" t="s">
        <v>2092</v>
      </c>
      <c r="M114" s="1" t="s">
        <v>260</v>
      </c>
      <c r="N114" s="1" t="s">
        <v>253</v>
      </c>
      <c r="O114" s="1" t="s">
        <v>2061</v>
      </c>
      <c r="P114" s="1" t="str">
        <f t="shared" si="3"/>
        <v>BC Lencois PaulistaInverter(MBUS-12)45994,298611111145994,298611111145994,3125</v>
      </c>
      <c r="Q114" s="1" t="str">
        <f t="shared" si="4"/>
        <v>DAURDE</v>
      </c>
    </row>
    <row r="115" spans="2:17" hidden="1">
      <c r="B115" s="1" t="s">
        <v>442</v>
      </c>
      <c r="C115" s="1" t="s">
        <v>264</v>
      </c>
      <c r="D115" s="52">
        <v>45994.298611111109</v>
      </c>
      <c r="E115" s="52">
        <v>45994.298611111109</v>
      </c>
      <c r="F115" s="52">
        <v>45994.3125</v>
      </c>
      <c r="G115" s="53">
        <f t="shared" si="2"/>
        <v>1.3888888890505768E-2</v>
      </c>
      <c r="H115" s="1" t="s">
        <v>257</v>
      </c>
      <c r="J115" s="1" t="s">
        <v>258</v>
      </c>
      <c r="K115" s="1" t="str">
        <f>_xlfn.XLOOKUP(J115,REF!$D$2:$D$12,REF!$E$2:$E$12)</f>
        <v>Rede</v>
      </c>
      <c r="L115" s="1" t="s">
        <v>2092</v>
      </c>
      <c r="M115" s="1" t="s">
        <v>260</v>
      </c>
      <c r="N115" s="1" t="s">
        <v>253</v>
      </c>
      <c r="O115" s="1" t="s">
        <v>2061</v>
      </c>
      <c r="P115" s="1" t="str">
        <f t="shared" si="3"/>
        <v>BC Lencois PaulistaInverter(MBUS-13)45994,298611111145994,298611111145994,3125</v>
      </c>
      <c r="Q115" s="1" t="str">
        <f t="shared" si="4"/>
        <v>DAURDE</v>
      </c>
    </row>
    <row r="116" spans="2:17" hidden="1">
      <c r="B116" s="1" t="s">
        <v>442</v>
      </c>
      <c r="C116" s="1" t="s">
        <v>263</v>
      </c>
      <c r="D116" s="52">
        <v>45994.298611111109</v>
      </c>
      <c r="E116" s="52">
        <v>45994.298611111109</v>
      </c>
      <c r="F116" s="52">
        <v>45994.3125</v>
      </c>
      <c r="G116" s="53">
        <f t="shared" si="2"/>
        <v>1.3888888890505768E-2</v>
      </c>
      <c r="H116" s="1" t="s">
        <v>257</v>
      </c>
      <c r="J116" s="1" t="s">
        <v>258</v>
      </c>
      <c r="K116" s="1" t="str">
        <f>_xlfn.XLOOKUP(J116,REF!$D$2:$D$12,REF!$E$2:$E$12)</f>
        <v>Rede</v>
      </c>
      <c r="L116" s="1" t="s">
        <v>2092</v>
      </c>
      <c r="M116" s="1" t="s">
        <v>260</v>
      </c>
      <c r="N116" s="1" t="s">
        <v>253</v>
      </c>
      <c r="O116" s="1" t="s">
        <v>2061</v>
      </c>
      <c r="P116" s="1" t="str">
        <f t="shared" si="3"/>
        <v>BC Lencois PaulistaInverter(MBUS-14)45994,298611111145994,298611111145994,3125</v>
      </c>
      <c r="Q116" s="1" t="str">
        <f t="shared" si="4"/>
        <v>DAURDE</v>
      </c>
    </row>
    <row r="117" spans="2:17" hidden="1">
      <c r="B117" s="1" t="s">
        <v>442</v>
      </c>
      <c r="C117" s="1" t="s">
        <v>307</v>
      </c>
      <c r="D117" s="52">
        <v>45994.298611111109</v>
      </c>
      <c r="E117" s="52">
        <v>45994.298611111109</v>
      </c>
      <c r="F117" s="52">
        <v>45994.3125</v>
      </c>
      <c r="G117" s="53">
        <f t="shared" si="2"/>
        <v>1.3888888890505768E-2</v>
      </c>
      <c r="H117" s="1" t="s">
        <v>257</v>
      </c>
      <c r="J117" s="1" t="s">
        <v>258</v>
      </c>
      <c r="K117" s="1" t="str">
        <f>_xlfn.XLOOKUP(J117,REF!$D$2:$D$12,REF!$E$2:$E$12)</f>
        <v>Rede</v>
      </c>
      <c r="L117" s="1" t="s">
        <v>2092</v>
      </c>
      <c r="M117" s="1" t="s">
        <v>260</v>
      </c>
      <c r="N117" s="1" t="s">
        <v>253</v>
      </c>
      <c r="O117" s="1" t="s">
        <v>2061</v>
      </c>
      <c r="P117" s="1" t="str">
        <f t="shared" si="3"/>
        <v>BC Lencois PaulistaInverter(MBUS-15)45994,298611111145994,298611111145994,3125</v>
      </c>
      <c r="Q117" s="1" t="str">
        <f t="shared" si="4"/>
        <v>DAURDE</v>
      </c>
    </row>
    <row r="118" spans="2:17" hidden="1">
      <c r="B118" s="1" t="s">
        <v>385</v>
      </c>
      <c r="C118" s="1" t="s">
        <v>386</v>
      </c>
      <c r="D118" s="52">
        <v>45994.302083333336</v>
      </c>
      <c r="E118" s="52">
        <v>45994.302083333336</v>
      </c>
      <c r="F118" s="52">
        <v>45994.481249999997</v>
      </c>
      <c r="G118" s="53">
        <f t="shared" si="2"/>
        <v>0.17916666666133096</v>
      </c>
      <c r="H118" s="1" t="s">
        <v>677</v>
      </c>
      <c r="J118" s="1" t="s">
        <v>249</v>
      </c>
      <c r="K118" s="1" t="str">
        <f>_xlfn.XLOOKUP(J118,REF!$D$2:$D$12,REF!$E$2:$E$12)</f>
        <v>Transformador</v>
      </c>
      <c r="L118" s="1" t="s">
        <v>2065</v>
      </c>
      <c r="M118" s="1" t="s">
        <v>663</v>
      </c>
      <c r="N118" s="1" t="s">
        <v>672</v>
      </c>
      <c r="O118" s="1" t="s">
        <v>2066</v>
      </c>
      <c r="P118" s="1" t="str">
        <f t="shared" si="3"/>
        <v>BC Vazante1.3Inversor 145994,302083333345994,302083333345994,48125</v>
      </c>
      <c r="Q118" s="1" t="str">
        <f t="shared" si="4"/>
        <v>DPRTRF</v>
      </c>
    </row>
    <row r="119" spans="2:17" hidden="1">
      <c r="B119" s="1" t="s">
        <v>385</v>
      </c>
      <c r="C119" s="1" t="s">
        <v>777</v>
      </c>
      <c r="D119" s="52">
        <v>45994.302083333336</v>
      </c>
      <c r="E119" s="52">
        <v>45994.302083333336</v>
      </c>
      <c r="F119" s="52">
        <v>45994.481249999997</v>
      </c>
      <c r="G119" s="53">
        <f t="shared" si="2"/>
        <v>0.17916666666133096</v>
      </c>
      <c r="H119" s="1" t="s">
        <v>677</v>
      </c>
      <c r="J119" s="1" t="s">
        <v>249</v>
      </c>
      <c r="K119" s="1" t="str">
        <f>_xlfn.XLOOKUP(J119,REF!$D$2:$D$12,REF!$E$2:$E$12)</f>
        <v>Transformador</v>
      </c>
      <c r="L119" s="1" t="s">
        <v>2065</v>
      </c>
      <c r="M119" s="1" t="s">
        <v>663</v>
      </c>
      <c r="N119" s="1" t="s">
        <v>672</v>
      </c>
      <c r="O119" s="1" t="s">
        <v>2066</v>
      </c>
      <c r="P119" s="1" t="str">
        <f t="shared" si="3"/>
        <v>BC Vazante1.3Inversor 245994,302083333345994,302083333345994,48125</v>
      </c>
      <c r="Q119" s="1" t="str">
        <f t="shared" si="4"/>
        <v>DPRTRF</v>
      </c>
    </row>
    <row r="120" spans="2:17" hidden="1">
      <c r="B120" s="1" t="s">
        <v>385</v>
      </c>
      <c r="C120" s="1" t="s">
        <v>778</v>
      </c>
      <c r="D120" s="52">
        <v>45994.302083333336</v>
      </c>
      <c r="E120" s="52">
        <v>45994.302083333336</v>
      </c>
      <c r="F120" s="52">
        <v>45994.481249999997</v>
      </c>
      <c r="G120" s="53">
        <f t="shared" si="2"/>
        <v>0.17916666666133096</v>
      </c>
      <c r="H120" s="1" t="s">
        <v>677</v>
      </c>
      <c r="J120" s="1" t="s">
        <v>249</v>
      </c>
      <c r="K120" s="1" t="str">
        <f>_xlfn.XLOOKUP(J120,REF!$D$2:$D$12,REF!$E$2:$E$12)</f>
        <v>Transformador</v>
      </c>
      <c r="L120" s="1" t="s">
        <v>2065</v>
      </c>
      <c r="M120" s="1" t="s">
        <v>663</v>
      </c>
      <c r="N120" s="1" t="s">
        <v>672</v>
      </c>
      <c r="O120" s="1" t="s">
        <v>2066</v>
      </c>
      <c r="P120" s="1" t="str">
        <f t="shared" si="3"/>
        <v>BC Vazante1.3Inversor 345994,302083333345994,302083333345994,48125</v>
      </c>
      <c r="Q120" s="1" t="str">
        <f t="shared" si="4"/>
        <v>DPRTRF</v>
      </c>
    </row>
    <row r="121" spans="2:17" hidden="1">
      <c r="B121" s="1" t="s">
        <v>385</v>
      </c>
      <c r="C121" s="1" t="s">
        <v>779</v>
      </c>
      <c r="D121" s="52">
        <v>45994.302083333336</v>
      </c>
      <c r="E121" s="52">
        <v>45994.302083333336</v>
      </c>
      <c r="F121" s="52">
        <v>45994.481249999997</v>
      </c>
      <c r="G121" s="53">
        <f t="shared" si="2"/>
        <v>0.17916666666133096</v>
      </c>
      <c r="H121" s="1" t="s">
        <v>677</v>
      </c>
      <c r="J121" s="1" t="s">
        <v>249</v>
      </c>
      <c r="K121" s="1" t="str">
        <f>_xlfn.XLOOKUP(J121,REF!$D$2:$D$12,REF!$E$2:$E$12)</f>
        <v>Transformador</v>
      </c>
      <c r="L121" s="1" t="s">
        <v>2065</v>
      </c>
      <c r="M121" s="1" t="s">
        <v>663</v>
      </c>
      <c r="N121" s="1" t="s">
        <v>672</v>
      </c>
      <c r="O121" s="1" t="s">
        <v>2066</v>
      </c>
      <c r="P121" s="1" t="str">
        <f t="shared" si="3"/>
        <v>BC Vazante1.3Inversor 445994,302083333345994,302083333345994,48125</v>
      </c>
      <c r="Q121" s="1" t="str">
        <f t="shared" si="4"/>
        <v>DPRTRF</v>
      </c>
    </row>
    <row r="122" spans="2:17" hidden="1">
      <c r="B122" s="1" t="s">
        <v>385</v>
      </c>
      <c r="C122" s="1" t="s">
        <v>780</v>
      </c>
      <c r="D122" s="52">
        <v>45994.302083333336</v>
      </c>
      <c r="E122" s="52">
        <v>45994.302083333336</v>
      </c>
      <c r="F122" s="52">
        <v>45994.481249999997</v>
      </c>
      <c r="G122" s="53">
        <f t="shared" si="2"/>
        <v>0.17916666666133096</v>
      </c>
      <c r="H122" s="1" t="s">
        <v>677</v>
      </c>
      <c r="J122" s="1" t="s">
        <v>249</v>
      </c>
      <c r="K122" s="1" t="str">
        <f>_xlfn.XLOOKUP(J122,REF!$D$2:$D$12,REF!$E$2:$E$12)</f>
        <v>Transformador</v>
      </c>
      <c r="L122" s="1" t="s">
        <v>2065</v>
      </c>
      <c r="M122" s="1" t="s">
        <v>663</v>
      </c>
      <c r="N122" s="1" t="s">
        <v>672</v>
      </c>
      <c r="O122" s="1" t="s">
        <v>2066</v>
      </c>
      <c r="P122" s="1" t="str">
        <f t="shared" si="3"/>
        <v>BC Vazante1.3Inversor 545994,302083333345994,302083333345994,48125</v>
      </c>
      <c r="Q122" s="1" t="str">
        <f t="shared" si="4"/>
        <v>DPRTRF</v>
      </c>
    </row>
    <row r="123" spans="2:17" hidden="1">
      <c r="B123" s="1" t="s">
        <v>385</v>
      </c>
      <c r="C123" s="1" t="s">
        <v>781</v>
      </c>
      <c r="D123" s="52">
        <v>45994.302083333336</v>
      </c>
      <c r="E123" s="52">
        <v>45994.302083333336</v>
      </c>
      <c r="F123" s="52">
        <v>45994.481249999997</v>
      </c>
      <c r="G123" s="53">
        <f t="shared" si="2"/>
        <v>0.17916666666133096</v>
      </c>
      <c r="H123" s="1" t="s">
        <v>677</v>
      </c>
      <c r="J123" s="1" t="s">
        <v>249</v>
      </c>
      <c r="K123" s="1" t="str">
        <f>_xlfn.XLOOKUP(J123,REF!$D$2:$D$12,REF!$E$2:$E$12)</f>
        <v>Transformador</v>
      </c>
      <c r="L123" s="1" t="s">
        <v>2065</v>
      </c>
      <c r="M123" s="1" t="s">
        <v>663</v>
      </c>
      <c r="N123" s="1" t="s">
        <v>672</v>
      </c>
      <c r="O123" s="1" t="s">
        <v>2066</v>
      </c>
      <c r="P123" s="1" t="str">
        <f t="shared" si="3"/>
        <v>BC Vazante1.3Inversor 645994,302083333345994,302083333345994,48125</v>
      </c>
      <c r="Q123" s="1" t="str">
        <f t="shared" si="4"/>
        <v>DPRTRF</v>
      </c>
    </row>
    <row r="124" spans="2:17" hidden="1">
      <c r="B124" s="1" t="s">
        <v>385</v>
      </c>
      <c r="C124" s="1" t="s">
        <v>782</v>
      </c>
      <c r="D124" s="52">
        <v>45994.302083333336</v>
      </c>
      <c r="E124" s="52">
        <v>45994.302083333336</v>
      </c>
      <c r="F124" s="52">
        <v>45994.481249999997</v>
      </c>
      <c r="G124" s="53">
        <f t="shared" ref="G124:G187" si="5">F124-E124</f>
        <v>0.17916666666133096</v>
      </c>
      <c r="H124" s="1" t="s">
        <v>677</v>
      </c>
      <c r="J124" s="1" t="s">
        <v>249</v>
      </c>
      <c r="K124" s="1" t="str">
        <f>_xlfn.XLOOKUP(J124,REF!$D$2:$D$12,REF!$E$2:$E$12)</f>
        <v>Transformador</v>
      </c>
      <c r="L124" s="1" t="s">
        <v>2065</v>
      </c>
      <c r="M124" s="1" t="s">
        <v>663</v>
      </c>
      <c r="N124" s="1" t="s">
        <v>672</v>
      </c>
      <c r="O124" s="1" t="s">
        <v>2066</v>
      </c>
      <c r="P124" s="1" t="str">
        <f t="shared" si="3"/>
        <v>BC Vazante1.3Inversor 745994,302083333345994,302083333345994,48125</v>
      </c>
      <c r="Q124" s="1" t="str">
        <f t="shared" si="4"/>
        <v>DPRTRF</v>
      </c>
    </row>
    <row r="125" spans="2:17" hidden="1">
      <c r="B125" s="1" t="s">
        <v>385</v>
      </c>
      <c r="C125" s="1" t="s">
        <v>783</v>
      </c>
      <c r="D125" s="52">
        <v>45994.302083333336</v>
      </c>
      <c r="E125" s="52">
        <v>45994.302083333336</v>
      </c>
      <c r="F125" s="52">
        <v>45994.481249999997</v>
      </c>
      <c r="G125" s="53">
        <f t="shared" si="5"/>
        <v>0.17916666666133096</v>
      </c>
      <c r="H125" s="1" t="s">
        <v>677</v>
      </c>
      <c r="J125" s="1" t="s">
        <v>249</v>
      </c>
      <c r="K125" s="1" t="str">
        <f>_xlfn.XLOOKUP(J125,REF!$D$2:$D$12,REF!$E$2:$E$12)</f>
        <v>Transformador</v>
      </c>
      <c r="L125" s="1" t="s">
        <v>2065</v>
      </c>
      <c r="M125" s="1" t="s">
        <v>663</v>
      </c>
      <c r="N125" s="1" t="s">
        <v>672</v>
      </c>
      <c r="O125" s="1" t="s">
        <v>2066</v>
      </c>
      <c r="P125" s="1" t="str">
        <f t="shared" si="3"/>
        <v>BC Vazante1.3Inversor 845994,302083333345994,302083333345994,48125</v>
      </c>
      <c r="Q125" s="1" t="str">
        <f t="shared" si="4"/>
        <v>DPRTRF</v>
      </c>
    </row>
    <row r="126" spans="2:17" hidden="1">
      <c r="B126" s="1" t="s">
        <v>385</v>
      </c>
      <c r="C126" s="1" t="s">
        <v>784</v>
      </c>
      <c r="D126" s="52">
        <v>45994.302083333336</v>
      </c>
      <c r="E126" s="52">
        <v>45994.302083333336</v>
      </c>
      <c r="F126" s="52">
        <v>45994.481249999997</v>
      </c>
      <c r="G126" s="53">
        <f t="shared" si="5"/>
        <v>0.17916666666133096</v>
      </c>
      <c r="H126" s="1" t="s">
        <v>677</v>
      </c>
      <c r="J126" s="1" t="s">
        <v>249</v>
      </c>
      <c r="K126" s="1" t="str">
        <f>_xlfn.XLOOKUP(J126,REF!$D$2:$D$12,REF!$E$2:$E$12)</f>
        <v>Transformador</v>
      </c>
      <c r="L126" s="1" t="s">
        <v>2065</v>
      </c>
      <c r="M126" s="1" t="s">
        <v>663</v>
      </c>
      <c r="N126" s="1" t="s">
        <v>672</v>
      </c>
      <c r="O126" s="1" t="s">
        <v>2066</v>
      </c>
      <c r="P126" s="1" t="str">
        <f t="shared" si="3"/>
        <v>BC Vazante1.3Inversor 945994,302083333345994,302083333345994,48125</v>
      </c>
      <c r="Q126" s="1" t="str">
        <f t="shared" si="4"/>
        <v>DPRTRF</v>
      </c>
    </row>
    <row r="127" spans="2:17" hidden="1">
      <c r="B127" s="28" t="s">
        <v>311</v>
      </c>
      <c r="C127" s="28" t="s">
        <v>264</v>
      </c>
      <c r="D127" s="55">
        <v>46012.583333333336</v>
      </c>
      <c r="E127" s="55">
        <v>46012.583333333336</v>
      </c>
      <c r="F127" s="55">
        <v>46012.659722222219</v>
      </c>
      <c r="G127" s="56">
        <f t="shared" si="5"/>
        <v>7.6388888883229811E-2</v>
      </c>
      <c r="H127" s="28" t="s">
        <v>257</v>
      </c>
      <c r="I127" s="28"/>
      <c r="J127" s="28" t="s">
        <v>258</v>
      </c>
      <c r="K127" s="28" t="s">
        <v>658</v>
      </c>
      <c r="L127" s="28" t="s">
        <v>2093</v>
      </c>
      <c r="M127" s="28" t="s">
        <v>260</v>
      </c>
      <c r="N127" s="28" t="s">
        <v>357</v>
      </c>
      <c r="O127" s="29" t="s">
        <v>2061</v>
      </c>
      <c r="P127" s="57" t="str">
        <f t="shared" si="3"/>
        <v>ARAGUATINS 2.1Inverter(MBUS-13)46012,583333333346012,583333333346012,6597222222</v>
      </c>
      <c r="Q127" s="57" t="str">
        <f t="shared" si="4"/>
        <v>DAURDE</v>
      </c>
    </row>
    <row r="128" spans="2:17" hidden="1">
      <c r="B128" s="28" t="s">
        <v>311</v>
      </c>
      <c r="C128" s="28" t="s">
        <v>256</v>
      </c>
      <c r="D128" s="55">
        <v>46012.583333333336</v>
      </c>
      <c r="E128" s="55">
        <v>46012.583333333336</v>
      </c>
      <c r="F128" s="55">
        <v>46012.659722222219</v>
      </c>
      <c r="G128" s="56">
        <f t="shared" si="5"/>
        <v>7.6388888883229811E-2</v>
      </c>
      <c r="H128" s="28" t="s">
        <v>257</v>
      </c>
      <c r="I128" s="28"/>
      <c r="J128" s="28" t="s">
        <v>258</v>
      </c>
      <c r="K128" s="28" t="s">
        <v>658</v>
      </c>
      <c r="L128" s="28" t="s">
        <v>2093</v>
      </c>
      <c r="M128" s="28" t="s">
        <v>260</v>
      </c>
      <c r="N128" s="28" t="s">
        <v>357</v>
      </c>
      <c r="O128" s="29" t="s">
        <v>2061</v>
      </c>
      <c r="P128" s="57" t="str">
        <f t="shared" si="3"/>
        <v>ARAGUATINS 2.1Inverter(MBUS-12)46012,583333333346012,583333333346012,6597222222</v>
      </c>
      <c r="Q128" s="57" t="str">
        <f t="shared" si="4"/>
        <v>DAURDE</v>
      </c>
    </row>
    <row r="129" spans="2:17" hidden="1">
      <c r="B129" s="28" t="s">
        <v>311</v>
      </c>
      <c r="C129" s="28" t="s">
        <v>307</v>
      </c>
      <c r="D129" s="55">
        <v>46012.583333333336</v>
      </c>
      <c r="E129" s="55">
        <v>46012.583333333336</v>
      </c>
      <c r="F129" s="55">
        <v>46012.659722222219</v>
      </c>
      <c r="G129" s="56">
        <f t="shared" si="5"/>
        <v>7.6388888883229811E-2</v>
      </c>
      <c r="H129" s="28" t="s">
        <v>257</v>
      </c>
      <c r="I129" s="28"/>
      <c r="J129" s="28" t="s">
        <v>258</v>
      </c>
      <c r="K129" s="28" t="s">
        <v>658</v>
      </c>
      <c r="L129" s="28" t="s">
        <v>2093</v>
      </c>
      <c r="M129" s="28" t="s">
        <v>260</v>
      </c>
      <c r="N129" s="28" t="s">
        <v>357</v>
      </c>
      <c r="O129" s="29" t="s">
        <v>2061</v>
      </c>
      <c r="P129" s="57" t="str">
        <f t="shared" si="3"/>
        <v>ARAGUATINS 2.1Inverter(MBUS-15)46012,583333333346012,583333333346012,6597222222</v>
      </c>
      <c r="Q129" s="57" t="str">
        <f t="shared" si="4"/>
        <v>DAURDE</v>
      </c>
    </row>
    <row r="130" spans="2:17" hidden="1">
      <c r="B130" s="28" t="s">
        <v>311</v>
      </c>
      <c r="C130" s="28" t="s">
        <v>263</v>
      </c>
      <c r="D130" s="55">
        <v>46012.583333333336</v>
      </c>
      <c r="E130" s="55">
        <v>46012.583333333336</v>
      </c>
      <c r="F130" s="55">
        <v>46012.659722222219</v>
      </c>
      <c r="G130" s="56">
        <f t="shared" si="5"/>
        <v>7.6388888883229811E-2</v>
      </c>
      <c r="H130" s="28" t="s">
        <v>257</v>
      </c>
      <c r="I130" s="28"/>
      <c r="J130" s="28" t="s">
        <v>258</v>
      </c>
      <c r="K130" s="28" t="s">
        <v>658</v>
      </c>
      <c r="L130" s="28" t="s">
        <v>2093</v>
      </c>
      <c r="M130" s="28" t="s">
        <v>260</v>
      </c>
      <c r="N130" s="28" t="s">
        <v>357</v>
      </c>
      <c r="O130" s="29" t="s">
        <v>2061</v>
      </c>
      <c r="P130" s="57" t="str">
        <f t="shared" si="3"/>
        <v>ARAGUATINS 2.1Inverter(MBUS-14)46012,583333333346012,583333333346012,6597222222</v>
      </c>
      <c r="Q130" s="57" t="str">
        <f t="shared" si="4"/>
        <v>DAURDE</v>
      </c>
    </row>
    <row r="131" spans="2:17" hidden="1">
      <c r="B131" s="28" t="s">
        <v>456</v>
      </c>
      <c r="C131" s="28" t="s">
        <v>457</v>
      </c>
      <c r="D131" s="55">
        <v>46012.520833333336</v>
      </c>
      <c r="E131" s="55">
        <v>46012.520833333336</v>
      </c>
      <c r="F131" s="55">
        <v>46012.584027777775</v>
      </c>
      <c r="G131" s="56">
        <f t="shared" si="5"/>
        <v>6.3194444439432118E-2</v>
      </c>
      <c r="H131" s="28" t="s">
        <v>257</v>
      </c>
      <c r="I131" s="28"/>
      <c r="J131" s="28" t="s">
        <v>258</v>
      </c>
      <c r="K131" s="28" t="s">
        <v>658</v>
      </c>
      <c r="L131" s="28" t="s">
        <v>2062</v>
      </c>
      <c r="M131" s="28" t="s">
        <v>260</v>
      </c>
      <c r="N131" s="28" t="s">
        <v>357</v>
      </c>
      <c r="O131" s="28" t="s">
        <v>632</v>
      </c>
      <c r="P131" s="57" t="str">
        <f t="shared" ref="P131:P194" si="6">_xlfn.CONCAT(B131,C131,D131,E131,F131)</f>
        <v>BC Caiaponia1SG60KTL(COM1-001)_001_00746012,520833333346012,520833333346012,5840277778</v>
      </c>
      <c r="Q131" s="57" t="str">
        <f t="shared" ref="Q131:Q194" si="7">_xlfn.CONCAT(H131,I131,J131)</f>
        <v>DAURDE</v>
      </c>
    </row>
    <row r="132" spans="2:17" hidden="1">
      <c r="B132" s="28" t="s">
        <v>456</v>
      </c>
      <c r="C132" s="28" t="s">
        <v>459</v>
      </c>
      <c r="D132" s="55">
        <v>46012.520833333336</v>
      </c>
      <c r="E132" s="55">
        <v>46012.520833333336</v>
      </c>
      <c r="F132" s="55">
        <v>46012.584027777775</v>
      </c>
      <c r="G132" s="56">
        <f t="shared" si="5"/>
        <v>6.3194444439432118E-2</v>
      </c>
      <c r="H132" s="28" t="s">
        <v>257</v>
      </c>
      <c r="I132" s="28"/>
      <c r="J132" s="28" t="s">
        <v>258</v>
      </c>
      <c r="K132" s="28" t="s">
        <v>658</v>
      </c>
      <c r="L132" s="28" t="s">
        <v>2062</v>
      </c>
      <c r="M132" s="28" t="s">
        <v>260</v>
      </c>
      <c r="N132" s="28" t="s">
        <v>357</v>
      </c>
      <c r="O132" s="28" t="s">
        <v>632</v>
      </c>
      <c r="P132" s="57" t="str">
        <f t="shared" si="6"/>
        <v>BC Caiaponia1SG60KTL(COM1-002)_001_01046012,520833333346012,520833333346012,5840277778</v>
      </c>
      <c r="Q132" s="57" t="str">
        <f t="shared" si="7"/>
        <v>DAURDE</v>
      </c>
    </row>
    <row r="133" spans="2:17" hidden="1">
      <c r="B133" s="28" t="s">
        <v>456</v>
      </c>
      <c r="C133" s="28" t="s">
        <v>460</v>
      </c>
      <c r="D133" s="55">
        <v>46012.520833333336</v>
      </c>
      <c r="E133" s="55">
        <v>46012.520833333336</v>
      </c>
      <c r="F133" s="55">
        <v>46012.584027777775</v>
      </c>
      <c r="G133" s="56">
        <f t="shared" si="5"/>
        <v>6.3194444439432118E-2</v>
      </c>
      <c r="H133" s="28" t="s">
        <v>257</v>
      </c>
      <c r="I133" s="28"/>
      <c r="J133" s="28" t="s">
        <v>258</v>
      </c>
      <c r="K133" s="28" t="s">
        <v>658</v>
      </c>
      <c r="L133" s="28" t="s">
        <v>2062</v>
      </c>
      <c r="M133" s="28" t="s">
        <v>260</v>
      </c>
      <c r="N133" s="28" t="s">
        <v>357</v>
      </c>
      <c r="O133" s="28" t="s">
        <v>632</v>
      </c>
      <c r="P133" s="57" t="str">
        <f t="shared" si="6"/>
        <v>BC Caiaponia1SG60KTL(COM1-003)_001_01146012,520833333346012,520833333346012,5840277778</v>
      </c>
      <c r="Q133" s="57" t="str">
        <f t="shared" si="7"/>
        <v>DAURDE</v>
      </c>
    </row>
    <row r="134" spans="2:17" hidden="1">
      <c r="B134" s="28" t="s">
        <v>456</v>
      </c>
      <c r="C134" s="28" t="s">
        <v>461</v>
      </c>
      <c r="D134" s="55">
        <v>46012.520833333336</v>
      </c>
      <c r="E134" s="55">
        <v>46012.520833333336</v>
      </c>
      <c r="F134" s="55">
        <v>46012.584027777775</v>
      </c>
      <c r="G134" s="56">
        <f t="shared" si="5"/>
        <v>6.3194444439432118E-2</v>
      </c>
      <c r="H134" s="28" t="s">
        <v>257</v>
      </c>
      <c r="I134" s="28"/>
      <c r="J134" s="28" t="s">
        <v>258</v>
      </c>
      <c r="K134" s="28" t="s">
        <v>658</v>
      </c>
      <c r="L134" s="28" t="s">
        <v>2062</v>
      </c>
      <c r="M134" s="28" t="s">
        <v>260</v>
      </c>
      <c r="N134" s="28" t="s">
        <v>357</v>
      </c>
      <c r="O134" s="28" t="s">
        <v>632</v>
      </c>
      <c r="P134" s="57" t="str">
        <f t="shared" si="6"/>
        <v>BC Caiaponia1SG60KTL(COM1-004)_001_01446012,520833333346012,520833333346012,5840277778</v>
      </c>
      <c r="Q134" s="57" t="str">
        <f t="shared" si="7"/>
        <v>DAURDE</v>
      </c>
    </row>
    <row r="135" spans="2:17" hidden="1">
      <c r="B135" s="28" t="s">
        <v>456</v>
      </c>
      <c r="C135" s="28" t="s">
        <v>462</v>
      </c>
      <c r="D135" s="55">
        <v>46012.520833333336</v>
      </c>
      <c r="E135" s="55">
        <v>46012.520833333336</v>
      </c>
      <c r="F135" s="55">
        <v>46012.584027777775</v>
      </c>
      <c r="G135" s="56">
        <f t="shared" si="5"/>
        <v>6.3194444439432118E-2</v>
      </c>
      <c r="H135" s="28" t="s">
        <v>257</v>
      </c>
      <c r="I135" s="28"/>
      <c r="J135" s="28" t="s">
        <v>258</v>
      </c>
      <c r="K135" s="28" t="s">
        <v>658</v>
      </c>
      <c r="L135" s="28" t="s">
        <v>2062</v>
      </c>
      <c r="M135" s="28" t="s">
        <v>260</v>
      </c>
      <c r="N135" s="28" t="s">
        <v>357</v>
      </c>
      <c r="O135" s="28" t="s">
        <v>632</v>
      </c>
      <c r="P135" s="57" t="str">
        <f t="shared" si="6"/>
        <v>BC Caiaponia1SG60KTL(COM1-005)_001_01746012,520833333346012,520833333346012,5840277778</v>
      </c>
      <c r="Q135" s="57" t="str">
        <f t="shared" si="7"/>
        <v>DAURDE</v>
      </c>
    </row>
    <row r="136" spans="2:17" hidden="1">
      <c r="B136" s="28" t="s">
        <v>456</v>
      </c>
      <c r="C136" s="28" t="s">
        <v>463</v>
      </c>
      <c r="D136" s="55">
        <v>46012.520833333336</v>
      </c>
      <c r="E136" s="55">
        <v>46012.520833333336</v>
      </c>
      <c r="F136" s="55">
        <v>46012.584027777775</v>
      </c>
      <c r="G136" s="56">
        <f t="shared" si="5"/>
        <v>6.3194444439432118E-2</v>
      </c>
      <c r="H136" s="28" t="s">
        <v>257</v>
      </c>
      <c r="I136" s="28"/>
      <c r="J136" s="28" t="s">
        <v>258</v>
      </c>
      <c r="K136" s="28" t="s">
        <v>658</v>
      </c>
      <c r="L136" s="28" t="s">
        <v>2062</v>
      </c>
      <c r="M136" s="28" t="s">
        <v>260</v>
      </c>
      <c r="N136" s="28" t="s">
        <v>357</v>
      </c>
      <c r="O136" s="28" t="s">
        <v>632</v>
      </c>
      <c r="P136" s="57" t="str">
        <f t="shared" si="6"/>
        <v>BC Caiaponia1SG60KTL(COM1-006)_001_01646012,520833333346012,520833333346012,5840277778</v>
      </c>
      <c r="Q136" s="57" t="str">
        <f t="shared" si="7"/>
        <v>DAURDE</v>
      </c>
    </row>
    <row r="137" spans="2:17" hidden="1">
      <c r="B137" s="28" t="s">
        <v>456</v>
      </c>
      <c r="C137" s="28" t="s">
        <v>464</v>
      </c>
      <c r="D137" s="55">
        <v>46012.520833333336</v>
      </c>
      <c r="E137" s="55">
        <v>46012.520833333336</v>
      </c>
      <c r="F137" s="55">
        <v>46012.584027777775</v>
      </c>
      <c r="G137" s="56">
        <f t="shared" si="5"/>
        <v>6.3194444439432118E-2</v>
      </c>
      <c r="H137" s="28" t="s">
        <v>257</v>
      </c>
      <c r="I137" s="28"/>
      <c r="J137" s="28" t="s">
        <v>258</v>
      </c>
      <c r="K137" s="28" t="s">
        <v>658</v>
      </c>
      <c r="L137" s="28" t="s">
        <v>2062</v>
      </c>
      <c r="M137" s="28" t="s">
        <v>260</v>
      </c>
      <c r="N137" s="28" t="s">
        <v>357</v>
      </c>
      <c r="O137" s="28" t="s">
        <v>632</v>
      </c>
      <c r="P137" s="57" t="str">
        <f t="shared" si="6"/>
        <v>BC Caiaponia1SG60KTL(COM1-007)_001_01346012,520833333346012,520833333346012,5840277778</v>
      </c>
      <c r="Q137" s="57" t="str">
        <f t="shared" si="7"/>
        <v>DAURDE</v>
      </c>
    </row>
    <row r="138" spans="2:17" hidden="1">
      <c r="B138" s="28" t="s">
        <v>456</v>
      </c>
      <c r="C138" s="28" t="s">
        <v>465</v>
      </c>
      <c r="D138" s="55">
        <v>46012.520833333336</v>
      </c>
      <c r="E138" s="55">
        <v>46012.520833333336</v>
      </c>
      <c r="F138" s="55">
        <v>46012.584027777775</v>
      </c>
      <c r="G138" s="56">
        <f t="shared" si="5"/>
        <v>6.3194444439432118E-2</v>
      </c>
      <c r="H138" s="28" t="s">
        <v>257</v>
      </c>
      <c r="I138" s="28"/>
      <c r="J138" s="28" t="s">
        <v>258</v>
      </c>
      <c r="K138" s="28" t="s">
        <v>658</v>
      </c>
      <c r="L138" s="28" t="s">
        <v>2062</v>
      </c>
      <c r="M138" s="28" t="s">
        <v>260</v>
      </c>
      <c r="N138" s="28" t="s">
        <v>357</v>
      </c>
      <c r="O138" s="28" t="s">
        <v>632</v>
      </c>
      <c r="P138" s="57" t="str">
        <f t="shared" si="6"/>
        <v>BC Caiaponia1SG60KTL(COM1-008)_001_00146012,520833333346012,520833333346012,5840277778</v>
      </c>
      <c r="Q138" s="57" t="str">
        <f t="shared" si="7"/>
        <v>DAURDE</v>
      </c>
    </row>
    <row r="139" spans="2:17" hidden="1">
      <c r="B139" s="28" t="s">
        <v>456</v>
      </c>
      <c r="C139" s="28" t="s">
        <v>466</v>
      </c>
      <c r="D139" s="55">
        <v>46012.520833333336</v>
      </c>
      <c r="E139" s="55">
        <v>46012.520833333336</v>
      </c>
      <c r="F139" s="55">
        <v>46012.584027777775</v>
      </c>
      <c r="G139" s="56">
        <f t="shared" si="5"/>
        <v>6.3194444439432118E-2</v>
      </c>
      <c r="H139" s="28" t="s">
        <v>257</v>
      </c>
      <c r="I139" s="28"/>
      <c r="J139" s="28" t="s">
        <v>258</v>
      </c>
      <c r="K139" s="28" t="s">
        <v>658</v>
      </c>
      <c r="L139" s="28" t="s">
        <v>2062</v>
      </c>
      <c r="M139" s="28" t="s">
        <v>260</v>
      </c>
      <c r="N139" s="28" t="s">
        <v>357</v>
      </c>
      <c r="O139" s="28" t="s">
        <v>632</v>
      </c>
      <c r="P139" s="57" t="str">
        <f t="shared" si="6"/>
        <v>BC Caiaponia1SG60KTL(COM1-009)46012,520833333346012,520833333346012,5840277778</v>
      </c>
      <c r="Q139" s="57" t="str">
        <f t="shared" si="7"/>
        <v>DAURDE</v>
      </c>
    </row>
    <row r="140" spans="2:17" hidden="1">
      <c r="B140" s="28" t="s">
        <v>456</v>
      </c>
      <c r="C140" s="28" t="s">
        <v>467</v>
      </c>
      <c r="D140" s="55">
        <v>46012.520833333336</v>
      </c>
      <c r="E140" s="55">
        <v>46012.520833333336</v>
      </c>
      <c r="F140" s="55">
        <v>46012.584027777775</v>
      </c>
      <c r="G140" s="56">
        <f t="shared" si="5"/>
        <v>6.3194444439432118E-2</v>
      </c>
      <c r="H140" s="28" t="s">
        <v>257</v>
      </c>
      <c r="I140" s="28"/>
      <c r="J140" s="28" t="s">
        <v>258</v>
      </c>
      <c r="K140" s="28" t="s">
        <v>658</v>
      </c>
      <c r="L140" s="28" t="s">
        <v>2062</v>
      </c>
      <c r="M140" s="28" t="s">
        <v>260</v>
      </c>
      <c r="N140" s="28" t="s">
        <v>357</v>
      </c>
      <c r="O140" s="28" t="s">
        <v>632</v>
      </c>
      <c r="P140" s="57" t="str">
        <f t="shared" si="6"/>
        <v>BC Caiaponia1SG60KTL(COM1-010)46012,520833333346012,520833333346012,5840277778</v>
      </c>
      <c r="Q140" s="57" t="str">
        <f t="shared" si="7"/>
        <v>DAURDE</v>
      </c>
    </row>
    <row r="141" spans="2:17" hidden="1">
      <c r="B141" s="28" t="s">
        <v>456</v>
      </c>
      <c r="C141" s="28" t="s">
        <v>468</v>
      </c>
      <c r="D141" s="55">
        <v>46012.520833333336</v>
      </c>
      <c r="E141" s="55">
        <v>46012.520833333336</v>
      </c>
      <c r="F141" s="55">
        <v>46012.584027777775</v>
      </c>
      <c r="G141" s="56">
        <f t="shared" si="5"/>
        <v>6.3194444439432118E-2</v>
      </c>
      <c r="H141" s="28" t="s">
        <v>257</v>
      </c>
      <c r="I141" s="28"/>
      <c r="J141" s="28" t="s">
        <v>258</v>
      </c>
      <c r="K141" s="28" t="s">
        <v>658</v>
      </c>
      <c r="L141" s="28" t="s">
        <v>2062</v>
      </c>
      <c r="M141" s="28" t="s">
        <v>260</v>
      </c>
      <c r="N141" s="28" t="s">
        <v>357</v>
      </c>
      <c r="O141" s="28" t="s">
        <v>632</v>
      </c>
      <c r="P141" s="57" t="str">
        <f t="shared" si="6"/>
        <v>BC Caiaponia1SG60KTL(COM1-011)46012,520833333346012,520833333346012,5840277778</v>
      </c>
      <c r="Q141" s="57" t="str">
        <f t="shared" si="7"/>
        <v>DAURDE</v>
      </c>
    </row>
    <row r="142" spans="2:17" hidden="1">
      <c r="B142" s="28" t="s">
        <v>456</v>
      </c>
      <c r="C142" s="28" t="s">
        <v>469</v>
      </c>
      <c r="D142" s="55">
        <v>46012.520833333336</v>
      </c>
      <c r="E142" s="55">
        <v>46012.520833333336</v>
      </c>
      <c r="F142" s="55">
        <v>46012.584027777775</v>
      </c>
      <c r="G142" s="56">
        <f t="shared" si="5"/>
        <v>6.3194444439432118E-2</v>
      </c>
      <c r="H142" s="28" t="s">
        <v>257</v>
      </c>
      <c r="I142" s="28"/>
      <c r="J142" s="28" t="s">
        <v>258</v>
      </c>
      <c r="K142" s="28" t="s">
        <v>658</v>
      </c>
      <c r="L142" s="28" t="s">
        <v>2062</v>
      </c>
      <c r="M142" s="28" t="s">
        <v>260</v>
      </c>
      <c r="N142" s="28" t="s">
        <v>357</v>
      </c>
      <c r="O142" s="28" t="s">
        <v>632</v>
      </c>
      <c r="P142" s="57" t="str">
        <f t="shared" si="6"/>
        <v>BC Caiaponia1SG60KTL(COM1-012)46012,520833333346012,520833333346012,5840277778</v>
      </c>
      <c r="Q142" s="57" t="str">
        <f t="shared" si="7"/>
        <v>DAURDE</v>
      </c>
    </row>
    <row r="143" spans="2:17" hidden="1">
      <c r="B143" s="28" t="s">
        <v>456</v>
      </c>
      <c r="C143" s="28" t="s">
        <v>470</v>
      </c>
      <c r="D143" s="55">
        <v>46012.520833333336</v>
      </c>
      <c r="E143" s="55">
        <v>46012.520833333336</v>
      </c>
      <c r="F143" s="55">
        <v>46012.584027777775</v>
      </c>
      <c r="G143" s="56">
        <f t="shared" si="5"/>
        <v>6.3194444439432118E-2</v>
      </c>
      <c r="H143" s="28" t="s">
        <v>257</v>
      </c>
      <c r="I143" s="28"/>
      <c r="J143" s="28" t="s">
        <v>258</v>
      </c>
      <c r="K143" s="28" t="s">
        <v>658</v>
      </c>
      <c r="L143" s="28" t="s">
        <v>2062</v>
      </c>
      <c r="M143" s="28" t="s">
        <v>260</v>
      </c>
      <c r="N143" s="28" t="s">
        <v>357</v>
      </c>
      <c r="O143" s="28" t="s">
        <v>632</v>
      </c>
      <c r="P143" s="57" t="str">
        <f t="shared" si="6"/>
        <v>BC Caiaponia1SG60KTL(COM1-013)46012,520833333346012,520833333346012,5840277778</v>
      </c>
      <c r="Q143" s="57" t="str">
        <f t="shared" si="7"/>
        <v>DAURDE</v>
      </c>
    </row>
    <row r="144" spans="2:17" hidden="1">
      <c r="B144" s="28" t="s">
        <v>456</v>
      </c>
      <c r="C144" s="28" t="s">
        <v>471</v>
      </c>
      <c r="D144" s="55">
        <v>46012.520833333336</v>
      </c>
      <c r="E144" s="55">
        <v>46012.520833333336</v>
      </c>
      <c r="F144" s="55">
        <v>46012.584027777775</v>
      </c>
      <c r="G144" s="56">
        <f t="shared" si="5"/>
        <v>6.3194444439432118E-2</v>
      </c>
      <c r="H144" s="28" t="s">
        <v>257</v>
      </c>
      <c r="I144" s="28"/>
      <c r="J144" s="28" t="s">
        <v>258</v>
      </c>
      <c r="K144" s="28" t="s">
        <v>658</v>
      </c>
      <c r="L144" s="28" t="s">
        <v>2062</v>
      </c>
      <c r="M144" s="28" t="s">
        <v>260</v>
      </c>
      <c r="N144" s="28" t="s">
        <v>357</v>
      </c>
      <c r="O144" s="28" t="s">
        <v>632</v>
      </c>
      <c r="P144" s="57" t="str">
        <f t="shared" si="6"/>
        <v>BC Caiaponia1SG60KTL(COM1-014)46012,520833333346012,520833333346012,5840277778</v>
      </c>
      <c r="Q144" s="57" t="str">
        <f t="shared" si="7"/>
        <v>DAURDE</v>
      </c>
    </row>
    <row r="145" spans="2:17" hidden="1">
      <c r="B145" s="28" t="s">
        <v>456</v>
      </c>
      <c r="C145" s="28" t="s">
        <v>472</v>
      </c>
      <c r="D145" s="55">
        <v>46012.520833333336</v>
      </c>
      <c r="E145" s="55">
        <v>46012.520833333336</v>
      </c>
      <c r="F145" s="55">
        <v>46012.584027777775</v>
      </c>
      <c r="G145" s="56">
        <f t="shared" si="5"/>
        <v>6.3194444439432118E-2</v>
      </c>
      <c r="H145" s="28" t="s">
        <v>257</v>
      </c>
      <c r="I145" s="28"/>
      <c r="J145" s="28" t="s">
        <v>258</v>
      </c>
      <c r="K145" s="28" t="s">
        <v>658</v>
      </c>
      <c r="L145" s="28" t="s">
        <v>2062</v>
      </c>
      <c r="M145" s="28" t="s">
        <v>260</v>
      </c>
      <c r="N145" s="28" t="s">
        <v>357</v>
      </c>
      <c r="O145" s="28" t="s">
        <v>632</v>
      </c>
      <c r="P145" s="57" t="str">
        <f t="shared" si="6"/>
        <v>BC Caiaponia1SG60KTL(COM1-015)46012,520833333346012,520833333346012,5840277778</v>
      </c>
      <c r="Q145" s="57" t="str">
        <f t="shared" si="7"/>
        <v>DAURDE</v>
      </c>
    </row>
    <row r="146" spans="2:17" hidden="1">
      <c r="B146" s="28" t="s">
        <v>456</v>
      </c>
      <c r="C146" s="28" t="s">
        <v>473</v>
      </c>
      <c r="D146" s="55">
        <v>46012.520833333336</v>
      </c>
      <c r="E146" s="55">
        <v>46012.520833333336</v>
      </c>
      <c r="F146" s="55">
        <v>46012.584027777775</v>
      </c>
      <c r="G146" s="56">
        <f t="shared" si="5"/>
        <v>6.3194444439432118E-2</v>
      </c>
      <c r="H146" s="28" t="s">
        <v>257</v>
      </c>
      <c r="I146" s="28"/>
      <c r="J146" s="28" t="s">
        <v>258</v>
      </c>
      <c r="K146" s="28" t="s">
        <v>658</v>
      </c>
      <c r="L146" s="28" t="s">
        <v>2062</v>
      </c>
      <c r="M146" s="28" t="s">
        <v>260</v>
      </c>
      <c r="N146" s="28" t="s">
        <v>357</v>
      </c>
      <c r="O146" s="28" t="s">
        <v>632</v>
      </c>
      <c r="P146" s="57" t="str">
        <f t="shared" si="6"/>
        <v>BC Caiaponia1SG60KTL(COM3-016)_001_00946012,520833333346012,520833333346012,5840277778</v>
      </c>
      <c r="Q146" s="57" t="str">
        <f t="shared" si="7"/>
        <v>DAURDE</v>
      </c>
    </row>
    <row r="147" spans="2:17" hidden="1">
      <c r="B147" s="28" t="s">
        <v>456</v>
      </c>
      <c r="C147" s="28" t="s">
        <v>474</v>
      </c>
      <c r="D147" s="55">
        <v>46012.520833333336</v>
      </c>
      <c r="E147" s="55">
        <v>46012.520833333336</v>
      </c>
      <c r="F147" s="55">
        <v>46012.584027777775</v>
      </c>
      <c r="G147" s="56">
        <f t="shared" si="5"/>
        <v>6.3194444439432118E-2</v>
      </c>
      <c r="H147" s="28" t="s">
        <v>257</v>
      </c>
      <c r="I147" s="28"/>
      <c r="J147" s="28" t="s">
        <v>258</v>
      </c>
      <c r="K147" s="28" t="s">
        <v>658</v>
      </c>
      <c r="L147" s="28" t="s">
        <v>2062</v>
      </c>
      <c r="M147" s="28" t="s">
        <v>260</v>
      </c>
      <c r="N147" s="28" t="s">
        <v>357</v>
      </c>
      <c r="O147" s="28" t="s">
        <v>632</v>
      </c>
      <c r="P147" s="57" t="str">
        <f t="shared" si="6"/>
        <v>BC Caiaponia1SG60KTL(COM3-017)_001_01246012,520833333346012,520833333346012,5840277778</v>
      </c>
      <c r="Q147" s="57" t="str">
        <f t="shared" si="7"/>
        <v>DAURDE</v>
      </c>
    </row>
    <row r="148" spans="2:17" hidden="1">
      <c r="B148" s="28" t="s">
        <v>456</v>
      </c>
      <c r="C148" s="28" t="s">
        <v>475</v>
      </c>
      <c r="D148" s="55">
        <v>46012.520833333336</v>
      </c>
      <c r="E148" s="55">
        <v>46012.520833333336</v>
      </c>
      <c r="F148" s="55">
        <v>46012.584027777775</v>
      </c>
      <c r="G148" s="56">
        <f t="shared" si="5"/>
        <v>6.3194444439432118E-2</v>
      </c>
      <c r="H148" s="28" t="s">
        <v>257</v>
      </c>
      <c r="I148" s="28"/>
      <c r="J148" s="28" t="s">
        <v>258</v>
      </c>
      <c r="K148" s="28" t="s">
        <v>658</v>
      </c>
      <c r="L148" s="28" t="s">
        <v>2062</v>
      </c>
      <c r="M148" s="28" t="s">
        <v>260</v>
      </c>
      <c r="N148" s="28" t="s">
        <v>357</v>
      </c>
      <c r="O148" s="28" t="s">
        <v>632</v>
      </c>
      <c r="P148" s="57" t="str">
        <f t="shared" si="6"/>
        <v>BC Caiaponia1SG60KTL(COM3-018)_001_00846012,520833333346012,520833333346012,5840277778</v>
      </c>
      <c r="Q148" s="57" t="str">
        <f t="shared" si="7"/>
        <v>DAURDE</v>
      </c>
    </row>
    <row r="149" spans="2:17" hidden="1">
      <c r="B149" s="28" t="s">
        <v>456</v>
      </c>
      <c r="C149" s="28" t="s">
        <v>476</v>
      </c>
      <c r="D149" s="55">
        <v>46012.520833333336</v>
      </c>
      <c r="E149" s="55">
        <v>46012.520833333336</v>
      </c>
      <c r="F149" s="55">
        <v>46012.584027777775</v>
      </c>
      <c r="G149" s="56">
        <f t="shared" si="5"/>
        <v>6.3194444439432118E-2</v>
      </c>
      <c r="H149" s="28" t="s">
        <v>257</v>
      </c>
      <c r="I149" s="28"/>
      <c r="J149" s="28" t="s">
        <v>258</v>
      </c>
      <c r="K149" s="28" t="s">
        <v>658</v>
      </c>
      <c r="L149" s="28" t="s">
        <v>2062</v>
      </c>
      <c r="M149" s="28" t="s">
        <v>260</v>
      </c>
      <c r="N149" s="28" t="s">
        <v>357</v>
      </c>
      <c r="O149" s="28" t="s">
        <v>632</v>
      </c>
      <c r="P149" s="57" t="str">
        <f t="shared" si="6"/>
        <v>BC Caiaponia1SG60KTL(COM3-019)_001_01946012,520833333346012,520833333346012,5840277778</v>
      </c>
      <c r="Q149" s="57" t="str">
        <f t="shared" si="7"/>
        <v>DAURDE</v>
      </c>
    </row>
    <row r="150" spans="2:17" hidden="1">
      <c r="B150" s="28" t="s">
        <v>456</v>
      </c>
      <c r="C150" s="28" t="s">
        <v>477</v>
      </c>
      <c r="D150" s="55">
        <v>46012.520833333336</v>
      </c>
      <c r="E150" s="55">
        <v>46012.520833333336</v>
      </c>
      <c r="F150" s="55">
        <v>46012.584027777775</v>
      </c>
      <c r="G150" s="56">
        <f t="shared" si="5"/>
        <v>6.3194444439432118E-2</v>
      </c>
      <c r="H150" s="28" t="s">
        <v>257</v>
      </c>
      <c r="I150" s="28"/>
      <c r="J150" s="28" t="s">
        <v>258</v>
      </c>
      <c r="K150" s="28" t="s">
        <v>658</v>
      </c>
      <c r="L150" s="28" t="s">
        <v>2062</v>
      </c>
      <c r="M150" s="28" t="s">
        <v>260</v>
      </c>
      <c r="N150" s="28" t="s">
        <v>357</v>
      </c>
      <c r="O150" s="28" t="s">
        <v>632</v>
      </c>
      <c r="P150" s="57" t="str">
        <f t="shared" si="6"/>
        <v>BC Caiaponia1SG60KTL(COM3-020)_001_02046012,520833333346012,520833333346012,5840277778</v>
      </c>
      <c r="Q150" s="57" t="str">
        <f t="shared" si="7"/>
        <v>DAURDE</v>
      </c>
    </row>
    <row r="151" spans="2:17" hidden="1">
      <c r="B151" s="28" t="s">
        <v>456</v>
      </c>
      <c r="C151" s="28" t="s">
        <v>478</v>
      </c>
      <c r="D151" s="55">
        <v>46012.520833333336</v>
      </c>
      <c r="E151" s="55">
        <v>46012.520833333336</v>
      </c>
      <c r="F151" s="55">
        <v>46012.584027777775</v>
      </c>
      <c r="G151" s="56">
        <f t="shared" si="5"/>
        <v>6.3194444439432118E-2</v>
      </c>
      <c r="H151" s="28" t="s">
        <v>257</v>
      </c>
      <c r="I151" s="28"/>
      <c r="J151" s="28" t="s">
        <v>258</v>
      </c>
      <c r="K151" s="28" t="s">
        <v>658</v>
      </c>
      <c r="L151" s="28" t="s">
        <v>2062</v>
      </c>
      <c r="M151" s="28" t="s">
        <v>260</v>
      </c>
      <c r="N151" s="28" t="s">
        <v>357</v>
      </c>
      <c r="O151" s="28" t="s">
        <v>632</v>
      </c>
      <c r="P151" s="57" t="str">
        <f t="shared" si="6"/>
        <v>BC Caiaponia1SG60KTL(COM2-026)46012,520833333346012,520833333346012,5840277778</v>
      </c>
      <c r="Q151" s="57" t="str">
        <f t="shared" si="7"/>
        <v>DAURDE</v>
      </c>
    </row>
    <row r="152" spans="2:17" hidden="1">
      <c r="B152" s="28" t="s">
        <v>456</v>
      </c>
      <c r="C152" s="28" t="s">
        <v>479</v>
      </c>
      <c r="D152" s="55">
        <v>46012.520833333336</v>
      </c>
      <c r="E152" s="55">
        <v>46012.520833333336</v>
      </c>
      <c r="F152" s="55">
        <v>46012.584027777775</v>
      </c>
      <c r="G152" s="56">
        <f t="shared" si="5"/>
        <v>6.3194444439432118E-2</v>
      </c>
      <c r="H152" s="28" t="s">
        <v>257</v>
      </c>
      <c r="I152" s="28"/>
      <c r="J152" s="28" t="s">
        <v>258</v>
      </c>
      <c r="K152" s="28" t="s">
        <v>658</v>
      </c>
      <c r="L152" s="28" t="s">
        <v>2062</v>
      </c>
      <c r="M152" s="28" t="s">
        <v>260</v>
      </c>
      <c r="N152" s="28" t="s">
        <v>357</v>
      </c>
      <c r="O152" s="28" t="s">
        <v>632</v>
      </c>
      <c r="P152" s="57" t="str">
        <f t="shared" si="6"/>
        <v>BC Caiaponia1SG60KTL(COM2-027)46012,520833333346012,520833333346012,5840277778</v>
      </c>
      <c r="Q152" s="57" t="str">
        <f t="shared" si="7"/>
        <v>DAURDE</v>
      </c>
    </row>
    <row r="153" spans="2:17" hidden="1">
      <c r="B153" s="28" t="s">
        <v>456</v>
      </c>
      <c r="C153" s="28" t="s">
        <v>480</v>
      </c>
      <c r="D153" s="55">
        <v>46012.520833333336</v>
      </c>
      <c r="E153" s="55">
        <v>46012.520833333336</v>
      </c>
      <c r="F153" s="55">
        <v>46012.584027777775</v>
      </c>
      <c r="G153" s="56">
        <f t="shared" si="5"/>
        <v>6.3194444439432118E-2</v>
      </c>
      <c r="H153" s="28" t="s">
        <v>257</v>
      </c>
      <c r="I153" s="28"/>
      <c r="J153" s="28" t="s">
        <v>258</v>
      </c>
      <c r="K153" s="28" t="s">
        <v>658</v>
      </c>
      <c r="L153" s="28" t="s">
        <v>2062</v>
      </c>
      <c r="M153" s="28" t="s">
        <v>260</v>
      </c>
      <c r="N153" s="28" t="s">
        <v>357</v>
      </c>
      <c r="O153" s="28" t="s">
        <v>632</v>
      </c>
      <c r="P153" s="57" t="str">
        <f t="shared" si="6"/>
        <v>BC Caiaponia1SG60KTL(COM2-028)46012,520833333346012,520833333346012,5840277778</v>
      </c>
      <c r="Q153" s="57" t="str">
        <f t="shared" si="7"/>
        <v>DAURDE</v>
      </c>
    </row>
    <row r="154" spans="2:17" hidden="1">
      <c r="B154" s="28" t="s">
        <v>456</v>
      </c>
      <c r="C154" s="28" t="s">
        <v>481</v>
      </c>
      <c r="D154" s="55">
        <v>46012.520833333336</v>
      </c>
      <c r="E154" s="55">
        <v>46012.520833333336</v>
      </c>
      <c r="F154" s="55">
        <v>46012.584027777775</v>
      </c>
      <c r="G154" s="56">
        <f t="shared" si="5"/>
        <v>6.3194444439432118E-2</v>
      </c>
      <c r="H154" s="28" t="s">
        <v>257</v>
      </c>
      <c r="I154" s="28"/>
      <c r="J154" s="28" t="s">
        <v>258</v>
      </c>
      <c r="K154" s="28" t="s">
        <v>658</v>
      </c>
      <c r="L154" s="28" t="s">
        <v>2062</v>
      </c>
      <c r="M154" s="28" t="s">
        <v>260</v>
      </c>
      <c r="N154" s="28" t="s">
        <v>357</v>
      </c>
      <c r="O154" s="28" t="s">
        <v>632</v>
      </c>
      <c r="P154" s="57" t="str">
        <f t="shared" si="6"/>
        <v>BC Caiaponia1SG60KTL(COM2-029)46012,520833333346012,520833333346012,5840277778</v>
      </c>
      <c r="Q154" s="57" t="str">
        <f t="shared" si="7"/>
        <v>DAURDE</v>
      </c>
    </row>
    <row r="155" spans="2:17" hidden="1">
      <c r="B155" s="28" t="s">
        <v>456</v>
      </c>
      <c r="C155" s="28" t="s">
        <v>482</v>
      </c>
      <c r="D155" s="55">
        <v>46012.520833333336</v>
      </c>
      <c r="E155" s="55">
        <v>46012.520833333336</v>
      </c>
      <c r="F155" s="55">
        <v>46012.584027777775</v>
      </c>
      <c r="G155" s="56">
        <f t="shared" si="5"/>
        <v>6.3194444439432118E-2</v>
      </c>
      <c r="H155" s="28" t="s">
        <v>257</v>
      </c>
      <c r="I155" s="28"/>
      <c r="J155" s="28" t="s">
        <v>258</v>
      </c>
      <c r="K155" s="28" t="s">
        <v>658</v>
      </c>
      <c r="L155" s="28" t="s">
        <v>2062</v>
      </c>
      <c r="M155" s="28" t="s">
        <v>260</v>
      </c>
      <c r="N155" s="28" t="s">
        <v>357</v>
      </c>
      <c r="O155" s="28" t="s">
        <v>632</v>
      </c>
      <c r="P155" s="57" t="str">
        <f t="shared" si="6"/>
        <v>BC Caiaponia1SG50CX(COM1-021)46012,520833333346012,520833333346012,5840277778</v>
      </c>
      <c r="Q155" s="57" t="str">
        <f t="shared" si="7"/>
        <v>DAURDE</v>
      </c>
    </row>
    <row r="156" spans="2:17" hidden="1">
      <c r="B156" s="28" t="s">
        <v>456</v>
      </c>
      <c r="C156" s="28" t="s">
        <v>483</v>
      </c>
      <c r="D156" s="55">
        <v>46012.520833333336</v>
      </c>
      <c r="E156" s="55">
        <v>46012.520833333336</v>
      </c>
      <c r="F156" s="55">
        <v>46012.584027777775</v>
      </c>
      <c r="G156" s="56">
        <f t="shared" si="5"/>
        <v>6.3194444439432118E-2</v>
      </c>
      <c r="H156" s="28" t="s">
        <v>257</v>
      </c>
      <c r="I156" s="28"/>
      <c r="J156" s="28" t="s">
        <v>258</v>
      </c>
      <c r="K156" s="28" t="s">
        <v>658</v>
      </c>
      <c r="L156" s="28" t="s">
        <v>2062</v>
      </c>
      <c r="M156" s="28" t="s">
        <v>260</v>
      </c>
      <c r="N156" s="28" t="s">
        <v>357</v>
      </c>
      <c r="O156" s="28" t="s">
        <v>632</v>
      </c>
      <c r="P156" s="57" t="str">
        <f t="shared" si="6"/>
        <v>BC Caiaponia1SG50CX(COM1-022)46012,520833333346012,520833333346012,5840277778</v>
      </c>
      <c r="Q156" s="57" t="str">
        <f t="shared" si="7"/>
        <v>DAURDE</v>
      </c>
    </row>
    <row r="157" spans="2:17" hidden="1">
      <c r="B157" s="28" t="s">
        <v>456</v>
      </c>
      <c r="C157" s="28" t="s">
        <v>484</v>
      </c>
      <c r="D157" s="55">
        <v>46012.520833333336</v>
      </c>
      <c r="E157" s="55">
        <v>46012.520833333336</v>
      </c>
      <c r="F157" s="55">
        <v>46012.584027777775</v>
      </c>
      <c r="G157" s="56">
        <f t="shared" si="5"/>
        <v>6.3194444439432118E-2</v>
      </c>
      <c r="H157" s="28" t="s">
        <v>257</v>
      </c>
      <c r="I157" s="28"/>
      <c r="J157" s="28" t="s">
        <v>258</v>
      </c>
      <c r="K157" s="28" t="s">
        <v>658</v>
      </c>
      <c r="L157" s="28" t="s">
        <v>2062</v>
      </c>
      <c r="M157" s="28" t="s">
        <v>260</v>
      </c>
      <c r="N157" s="28" t="s">
        <v>357</v>
      </c>
      <c r="O157" s="28" t="s">
        <v>632</v>
      </c>
      <c r="P157" s="57" t="str">
        <f t="shared" si="6"/>
        <v>BC Caiaponia1SG50CX(COM1-023)46012,520833333346012,520833333346012,5840277778</v>
      </c>
      <c r="Q157" s="57" t="str">
        <f t="shared" si="7"/>
        <v>DAURDE</v>
      </c>
    </row>
    <row r="158" spans="2:17" hidden="1">
      <c r="B158" s="28" t="s">
        <v>456</v>
      </c>
      <c r="C158" s="28" t="s">
        <v>485</v>
      </c>
      <c r="D158" s="55">
        <v>46012.520833333336</v>
      </c>
      <c r="E158" s="55">
        <v>46012.520833333336</v>
      </c>
      <c r="F158" s="55">
        <v>46012.584027777775</v>
      </c>
      <c r="G158" s="56">
        <f t="shared" si="5"/>
        <v>6.3194444439432118E-2</v>
      </c>
      <c r="H158" s="28" t="s">
        <v>257</v>
      </c>
      <c r="I158" s="28"/>
      <c r="J158" s="28" t="s">
        <v>258</v>
      </c>
      <c r="K158" s="28" t="s">
        <v>658</v>
      </c>
      <c r="L158" s="28" t="s">
        <v>2062</v>
      </c>
      <c r="M158" s="28" t="s">
        <v>260</v>
      </c>
      <c r="N158" s="28" t="s">
        <v>357</v>
      </c>
      <c r="O158" s="28" t="s">
        <v>632</v>
      </c>
      <c r="P158" s="57" t="str">
        <f t="shared" si="6"/>
        <v>BC Caiaponia1SG50CX(COM1-024)46012,520833333346012,520833333346012,5840277778</v>
      </c>
      <c r="Q158" s="57" t="str">
        <f t="shared" si="7"/>
        <v>DAURDE</v>
      </c>
    </row>
    <row r="159" spans="2:17" hidden="1">
      <c r="B159" s="28" t="s">
        <v>456</v>
      </c>
      <c r="C159" s="28" t="s">
        <v>486</v>
      </c>
      <c r="D159" s="55">
        <v>46012.520833333336</v>
      </c>
      <c r="E159" s="55">
        <v>46012.520833333336</v>
      </c>
      <c r="F159" s="55">
        <v>46012.584027777775</v>
      </c>
      <c r="G159" s="56">
        <f t="shared" si="5"/>
        <v>6.3194444439432118E-2</v>
      </c>
      <c r="H159" s="28" t="s">
        <v>257</v>
      </c>
      <c r="I159" s="28"/>
      <c r="J159" s="28" t="s">
        <v>258</v>
      </c>
      <c r="K159" s="28" t="s">
        <v>658</v>
      </c>
      <c r="L159" s="28" t="s">
        <v>2062</v>
      </c>
      <c r="M159" s="28" t="s">
        <v>260</v>
      </c>
      <c r="N159" s="28" t="s">
        <v>357</v>
      </c>
      <c r="O159" s="28" t="s">
        <v>632</v>
      </c>
      <c r="P159" s="57" t="str">
        <f t="shared" si="6"/>
        <v>BC Caiaponia1SG50CX(COM1-025)46012,520833333346012,520833333346012,5840277778</v>
      </c>
      <c r="Q159" s="57" t="str">
        <f t="shared" si="7"/>
        <v>DAURDE</v>
      </c>
    </row>
    <row r="160" spans="2:17" hidden="1">
      <c r="B160" s="28" t="s">
        <v>375</v>
      </c>
      <c r="C160" s="28" t="s">
        <v>247</v>
      </c>
      <c r="D160" s="55">
        <v>46011.166666666664</v>
      </c>
      <c r="E160" s="55">
        <v>46011.166666666664</v>
      </c>
      <c r="F160" s="55">
        <v>46011.350694444445</v>
      </c>
      <c r="G160" s="56">
        <f t="shared" si="5"/>
        <v>0.18402777778101154</v>
      </c>
      <c r="H160" s="28" t="s">
        <v>257</v>
      </c>
      <c r="I160" s="28"/>
      <c r="J160" s="28" t="s">
        <v>258</v>
      </c>
      <c r="K160" s="28" t="s">
        <v>658</v>
      </c>
      <c r="L160" s="28" t="s">
        <v>2094</v>
      </c>
      <c r="M160" s="28" t="s">
        <v>260</v>
      </c>
      <c r="N160" s="28" t="s">
        <v>357</v>
      </c>
      <c r="O160" s="28" t="s">
        <v>632</v>
      </c>
      <c r="P160" s="57" t="str">
        <f t="shared" si="6"/>
        <v>BC Camarao1.1Inverter(MBUS-1)46011,166666666746011,166666666746011,3506944444</v>
      </c>
      <c r="Q160" s="57" t="str">
        <f t="shared" si="7"/>
        <v>DAURDE</v>
      </c>
    </row>
    <row r="161" spans="2:17" hidden="1">
      <c r="B161" s="28" t="s">
        <v>375</v>
      </c>
      <c r="C161" s="28" t="s">
        <v>377</v>
      </c>
      <c r="D161" s="55">
        <v>46011.166666666664</v>
      </c>
      <c r="E161" s="55">
        <v>46011.166666666664</v>
      </c>
      <c r="F161" s="55">
        <v>46011.350694444445</v>
      </c>
      <c r="G161" s="56">
        <f t="shared" si="5"/>
        <v>0.18402777778101154</v>
      </c>
      <c r="H161" s="28" t="s">
        <v>257</v>
      </c>
      <c r="I161" s="28"/>
      <c r="J161" s="28" t="s">
        <v>258</v>
      </c>
      <c r="K161" s="28" t="s">
        <v>658</v>
      </c>
      <c r="L161" s="28" t="s">
        <v>2094</v>
      </c>
      <c r="M161" s="28" t="s">
        <v>260</v>
      </c>
      <c r="N161" s="28" t="s">
        <v>357</v>
      </c>
      <c r="O161" s="28" t="s">
        <v>632</v>
      </c>
      <c r="P161" s="57" t="str">
        <f t="shared" si="6"/>
        <v>BC Camarao1.1215KTL-H3(MBUS-12)46011,166666666746011,166666666746011,3506944444</v>
      </c>
      <c r="Q161" s="57" t="str">
        <f t="shared" si="7"/>
        <v>DAURDE</v>
      </c>
    </row>
    <row r="162" spans="2:17" hidden="1">
      <c r="B162" s="28" t="s">
        <v>375</v>
      </c>
      <c r="C162" s="28" t="s">
        <v>378</v>
      </c>
      <c r="D162" s="55">
        <v>46011.166666666664</v>
      </c>
      <c r="E162" s="55">
        <v>46011.166666666664</v>
      </c>
      <c r="F162" s="55">
        <v>46011.350694444445</v>
      </c>
      <c r="G162" s="56">
        <f t="shared" si="5"/>
        <v>0.18402777778101154</v>
      </c>
      <c r="H162" s="28" t="s">
        <v>257</v>
      </c>
      <c r="I162" s="28"/>
      <c r="J162" s="28" t="s">
        <v>258</v>
      </c>
      <c r="K162" s="28" t="s">
        <v>658</v>
      </c>
      <c r="L162" s="28" t="s">
        <v>2094</v>
      </c>
      <c r="M162" s="28" t="s">
        <v>260</v>
      </c>
      <c r="N162" s="28" t="s">
        <v>357</v>
      </c>
      <c r="O162" s="28" t="s">
        <v>632</v>
      </c>
      <c r="P162" s="57" t="str">
        <f t="shared" si="6"/>
        <v>BC Camarao1.1215KTL-H3(MBUS-13)46011,166666666746011,166666666746011,3506944444</v>
      </c>
      <c r="Q162" s="57" t="str">
        <f t="shared" si="7"/>
        <v>DAURDE</v>
      </c>
    </row>
    <row r="163" spans="2:17" hidden="1">
      <c r="B163" s="28" t="s">
        <v>375</v>
      </c>
      <c r="C163" s="28" t="s">
        <v>379</v>
      </c>
      <c r="D163" s="55">
        <v>46011.166666666664</v>
      </c>
      <c r="E163" s="55">
        <v>46011.166666666664</v>
      </c>
      <c r="F163" s="55">
        <v>46011.350694444445</v>
      </c>
      <c r="G163" s="56">
        <f t="shared" si="5"/>
        <v>0.18402777778101154</v>
      </c>
      <c r="H163" s="28" t="s">
        <v>257</v>
      </c>
      <c r="I163" s="28"/>
      <c r="J163" s="28" t="s">
        <v>258</v>
      </c>
      <c r="K163" s="28" t="s">
        <v>658</v>
      </c>
      <c r="L163" s="28" t="s">
        <v>2094</v>
      </c>
      <c r="M163" s="28" t="s">
        <v>260</v>
      </c>
      <c r="N163" s="28" t="s">
        <v>357</v>
      </c>
      <c r="O163" s="28" t="s">
        <v>632</v>
      </c>
      <c r="P163" s="57" t="str">
        <f t="shared" si="6"/>
        <v>BC Camarao1.1215KTL-H3(MBUS-16)46011,166666666746011,166666666746011,3506944444</v>
      </c>
      <c r="Q163" s="57" t="str">
        <f t="shared" si="7"/>
        <v>DAURDE</v>
      </c>
    </row>
    <row r="164" spans="2:17" hidden="1">
      <c r="B164" s="28" t="s">
        <v>375</v>
      </c>
      <c r="C164" s="28" t="s">
        <v>380</v>
      </c>
      <c r="D164" s="55">
        <v>46011.166666666664</v>
      </c>
      <c r="E164" s="55">
        <v>46011.166666666664</v>
      </c>
      <c r="F164" s="55">
        <v>46011.350694444445</v>
      </c>
      <c r="G164" s="56">
        <f t="shared" si="5"/>
        <v>0.18402777778101154</v>
      </c>
      <c r="H164" s="28" t="s">
        <v>257</v>
      </c>
      <c r="I164" s="28"/>
      <c r="J164" s="28" t="s">
        <v>258</v>
      </c>
      <c r="K164" s="28" t="s">
        <v>658</v>
      </c>
      <c r="L164" s="28" t="s">
        <v>2094</v>
      </c>
      <c r="M164" s="28" t="s">
        <v>260</v>
      </c>
      <c r="N164" s="28" t="s">
        <v>357</v>
      </c>
      <c r="O164" s="28" t="s">
        <v>632</v>
      </c>
      <c r="P164" s="57" t="str">
        <f t="shared" si="6"/>
        <v>BC Camarao1.1215KTL-H3(MBUS-15)46011,166666666746011,166666666746011,3506944444</v>
      </c>
      <c r="Q164" s="57" t="str">
        <f t="shared" si="7"/>
        <v>DAURDE</v>
      </c>
    </row>
    <row r="165" spans="2:17" hidden="1">
      <c r="B165" s="1" t="s">
        <v>619</v>
      </c>
      <c r="C165" s="1" t="s">
        <v>247</v>
      </c>
      <c r="D165" s="52">
        <v>45994.333333333336</v>
      </c>
      <c r="E165" s="52">
        <v>45994.333333333336</v>
      </c>
      <c r="F165" s="52">
        <v>45994.402777777781</v>
      </c>
      <c r="G165" s="53">
        <f t="shared" si="5"/>
        <v>6.9444444445252884E-2</v>
      </c>
      <c r="H165" s="1" t="s">
        <v>677</v>
      </c>
      <c r="J165" s="1" t="s">
        <v>230</v>
      </c>
      <c r="K165" s="1" t="s">
        <v>230</v>
      </c>
      <c r="L165" s="1" t="s">
        <v>2081</v>
      </c>
      <c r="M165" s="1" t="s">
        <v>663</v>
      </c>
      <c r="N165" s="1" t="s">
        <v>672</v>
      </c>
      <c r="O165" s="1" t="s">
        <v>2082</v>
      </c>
      <c r="P165" s="1" t="str">
        <f t="shared" si="6"/>
        <v>BC Vazante2.2Inverter(MBUS-1)45994,333333333345994,333333333345994,4027777778</v>
      </c>
      <c r="Q165" s="1" t="str">
        <f t="shared" si="7"/>
        <v>DPRUFV</v>
      </c>
    </row>
    <row r="166" spans="2:17" hidden="1">
      <c r="B166" s="1" t="s">
        <v>619</v>
      </c>
      <c r="C166" s="1" t="s">
        <v>757</v>
      </c>
      <c r="D166" s="52">
        <v>45994.333333333336</v>
      </c>
      <c r="E166" s="52">
        <v>45994.333333333336</v>
      </c>
      <c r="F166" s="52">
        <v>45994.402777777781</v>
      </c>
      <c r="G166" s="53">
        <f t="shared" si="5"/>
        <v>6.9444444445252884E-2</v>
      </c>
      <c r="H166" s="1" t="s">
        <v>677</v>
      </c>
      <c r="J166" s="1" t="s">
        <v>230</v>
      </c>
      <c r="K166" s="1" t="s">
        <v>230</v>
      </c>
      <c r="L166" s="1" t="s">
        <v>2081</v>
      </c>
      <c r="M166" s="1" t="s">
        <v>663</v>
      </c>
      <c r="N166" s="1" t="s">
        <v>672</v>
      </c>
      <c r="O166" s="1" t="s">
        <v>2082</v>
      </c>
      <c r="P166" s="1" t="str">
        <f t="shared" si="6"/>
        <v>BC Vazante2.2Inverter(MBUS-6)45994,333333333345994,333333333345994,4027777778</v>
      </c>
      <c r="Q166" s="1" t="str">
        <f t="shared" si="7"/>
        <v>DPRUFV</v>
      </c>
    </row>
    <row r="167" spans="2:17" hidden="1">
      <c r="B167" s="1" t="s">
        <v>619</v>
      </c>
      <c r="C167" s="1" t="s">
        <v>758</v>
      </c>
      <c r="D167" s="52">
        <v>45994.333333333336</v>
      </c>
      <c r="E167" s="52">
        <v>45994.333333333336</v>
      </c>
      <c r="F167" s="52">
        <v>45994.402777777781</v>
      </c>
      <c r="G167" s="53">
        <f t="shared" si="5"/>
        <v>6.9444444445252884E-2</v>
      </c>
      <c r="H167" s="1" t="s">
        <v>677</v>
      </c>
      <c r="J167" s="1" t="s">
        <v>230</v>
      </c>
      <c r="K167" s="1" t="s">
        <v>230</v>
      </c>
      <c r="L167" s="1" t="s">
        <v>2081</v>
      </c>
      <c r="M167" s="1" t="s">
        <v>663</v>
      </c>
      <c r="N167" s="1" t="s">
        <v>672</v>
      </c>
      <c r="O167" s="1" t="s">
        <v>2082</v>
      </c>
      <c r="P167" s="1" t="str">
        <f t="shared" si="6"/>
        <v>BC Vazante2.2Inverter(MBUS-7)45994,333333333345994,333333333345994,4027777778</v>
      </c>
      <c r="Q167" s="1" t="str">
        <f t="shared" si="7"/>
        <v>DPRUFV</v>
      </c>
    </row>
    <row r="168" spans="2:17" hidden="1">
      <c r="B168" s="1" t="s">
        <v>619</v>
      </c>
      <c r="C168" s="1" t="s">
        <v>2095</v>
      </c>
      <c r="D168" s="52">
        <v>45994.333333333336</v>
      </c>
      <c r="E168" s="52">
        <v>45994.333333333336</v>
      </c>
      <c r="F168" s="52">
        <v>45994.402777777781</v>
      </c>
      <c r="G168" s="53">
        <f t="shared" si="5"/>
        <v>6.9444444445252884E-2</v>
      </c>
      <c r="H168" s="1" t="s">
        <v>677</v>
      </c>
      <c r="J168" s="1" t="s">
        <v>230</v>
      </c>
      <c r="K168" s="1" t="s">
        <v>230</v>
      </c>
      <c r="L168" s="1" t="s">
        <v>2081</v>
      </c>
      <c r="M168" s="1" t="s">
        <v>663</v>
      </c>
      <c r="N168" s="1" t="s">
        <v>672</v>
      </c>
      <c r="O168" s="1" t="s">
        <v>2082</v>
      </c>
      <c r="P168" s="1" t="str">
        <f t="shared" si="6"/>
        <v>BC Vazante2.2Inverter(MBUS-8)45994,333333333345994,333333333345994,4027777778</v>
      </c>
      <c r="Q168" s="1" t="str">
        <f t="shared" si="7"/>
        <v>DPRUFV</v>
      </c>
    </row>
    <row r="169" spans="2:17" hidden="1">
      <c r="B169" s="1" t="s">
        <v>619</v>
      </c>
      <c r="C169" s="1" t="s">
        <v>756</v>
      </c>
      <c r="D169" s="52">
        <v>45994.333333333336</v>
      </c>
      <c r="E169" s="52">
        <v>45994.333333333336</v>
      </c>
      <c r="F169" s="52">
        <v>45994.402777777781</v>
      </c>
      <c r="G169" s="53">
        <f t="shared" si="5"/>
        <v>6.9444444445252884E-2</v>
      </c>
      <c r="H169" s="1" t="s">
        <v>677</v>
      </c>
      <c r="J169" s="1" t="s">
        <v>230</v>
      </c>
      <c r="K169" s="1" t="s">
        <v>230</v>
      </c>
      <c r="L169" s="1" t="s">
        <v>2081</v>
      </c>
      <c r="M169" s="1" t="s">
        <v>663</v>
      </c>
      <c r="N169" s="1" t="s">
        <v>672</v>
      </c>
      <c r="O169" s="1" t="s">
        <v>2082</v>
      </c>
      <c r="P169" s="1" t="str">
        <f t="shared" si="6"/>
        <v>BC Vazante2.2Inverter(MBUS-10)45994,333333333345994,333333333345994,4027777778</v>
      </c>
      <c r="Q169" s="1" t="str">
        <f t="shared" si="7"/>
        <v>DPRUFV</v>
      </c>
    </row>
    <row r="170" spans="2:17" hidden="1">
      <c r="B170" s="1" t="s">
        <v>785</v>
      </c>
      <c r="C170" s="1" t="s">
        <v>247</v>
      </c>
      <c r="D170" s="52">
        <v>45994.548611111109</v>
      </c>
      <c r="E170" s="52">
        <v>45994.548611111109</v>
      </c>
      <c r="F170" s="52">
        <v>45994.680555555555</v>
      </c>
      <c r="G170" s="53">
        <f t="shared" si="5"/>
        <v>0.13194444444525288</v>
      </c>
      <c r="H170" s="1" t="s">
        <v>677</v>
      </c>
      <c r="J170" s="1" t="s">
        <v>249</v>
      </c>
      <c r="K170" s="1" t="str">
        <f>_xlfn.XLOOKUP(J170,REF!$D$2:$D$12,REF!$E$2:$E$12)</f>
        <v>Transformador</v>
      </c>
      <c r="L170" s="1" t="s">
        <v>2065</v>
      </c>
      <c r="M170" s="1" t="s">
        <v>663</v>
      </c>
      <c r="N170" s="1" t="s">
        <v>672</v>
      </c>
      <c r="O170" s="1" t="s">
        <v>2066</v>
      </c>
      <c r="P170" s="1" t="str">
        <f t="shared" si="6"/>
        <v>BC Vazante2.1Inverter(MBUS-1)45994,548611111145994,548611111145994,6805555556</v>
      </c>
      <c r="Q170" s="1" t="str">
        <f t="shared" si="7"/>
        <v>DPRTRF</v>
      </c>
    </row>
    <row r="171" spans="2:17" hidden="1">
      <c r="B171" s="1" t="s">
        <v>785</v>
      </c>
      <c r="C171" s="1" t="s">
        <v>790</v>
      </c>
      <c r="D171" s="52">
        <v>45994.548611111109</v>
      </c>
      <c r="E171" s="52">
        <v>45994.548611111109</v>
      </c>
      <c r="F171" s="52">
        <v>45994.680555555555</v>
      </c>
      <c r="G171" s="53">
        <f t="shared" si="5"/>
        <v>0.13194444444525288</v>
      </c>
      <c r="H171" s="1" t="s">
        <v>677</v>
      </c>
      <c r="J171" s="1" t="s">
        <v>249</v>
      </c>
      <c r="K171" s="1" t="str">
        <f>_xlfn.XLOOKUP(J171,REF!$D$2:$D$12,REF!$E$2:$E$12)</f>
        <v>Transformador</v>
      </c>
      <c r="L171" s="1" t="s">
        <v>2065</v>
      </c>
      <c r="M171" s="1" t="s">
        <v>663</v>
      </c>
      <c r="N171" s="1" t="s">
        <v>672</v>
      </c>
      <c r="O171" s="1" t="s">
        <v>2066</v>
      </c>
      <c r="P171" s="1" t="str">
        <f t="shared" si="6"/>
        <v>BC Vazante2.1Inverter(MBUS-2)45994,548611111145994,548611111145994,6805555556</v>
      </c>
      <c r="Q171" s="1" t="str">
        <f t="shared" si="7"/>
        <v>DPRTRF</v>
      </c>
    </row>
    <row r="172" spans="2:17" hidden="1">
      <c r="B172" s="1" t="s">
        <v>785</v>
      </c>
      <c r="C172" s="1" t="s">
        <v>787</v>
      </c>
      <c r="D172" s="52">
        <v>45994.548611111109</v>
      </c>
      <c r="E172" s="52">
        <v>45994.548611111109</v>
      </c>
      <c r="F172" s="52">
        <v>45994.680555555555</v>
      </c>
      <c r="G172" s="53">
        <f t="shared" si="5"/>
        <v>0.13194444444525288</v>
      </c>
      <c r="H172" s="1" t="s">
        <v>677</v>
      </c>
      <c r="J172" s="1" t="s">
        <v>249</v>
      </c>
      <c r="K172" s="1" t="str">
        <f>_xlfn.XLOOKUP(J172,REF!$D$2:$D$12,REF!$E$2:$E$12)</f>
        <v>Transformador</v>
      </c>
      <c r="L172" s="1" t="s">
        <v>2065</v>
      </c>
      <c r="M172" s="1" t="s">
        <v>663</v>
      </c>
      <c r="N172" s="1" t="s">
        <v>672</v>
      </c>
      <c r="O172" s="1" t="s">
        <v>2066</v>
      </c>
      <c r="P172" s="1" t="str">
        <f t="shared" si="6"/>
        <v>BC Vazante2.1Inverter(MBUS-4)45994,548611111145994,548611111145994,6805555556</v>
      </c>
      <c r="Q172" s="1" t="str">
        <f t="shared" si="7"/>
        <v>DPRTRF</v>
      </c>
    </row>
    <row r="173" spans="2:17" hidden="1">
      <c r="B173" s="1" t="s">
        <v>785</v>
      </c>
      <c r="C173" s="1" t="s">
        <v>786</v>
      </c>
      <c r="D173" s="52">
        <v>45994.548611111109</v>
      </c>
      <c r="E173" s="52">
        <v>45994.548611111109</v>
      </c>
      <c r="F173" s="52">
        <v>45994.680555555555</v>
      </c>
      <c r="G173" s="53">
        <f t="shared" si="5"/>
        <v>0.13194444444525288</v>
      </c>
      <c r="H173" s="1" t="s">
        <v>677</v>
      </c>
      <c r="J173" s="1" t="s">
        <v>249</v>
      </c>
      <c r="K173" s="1" t="str">
        <f>_xlfn.XLOOKUP(J173,REF!$D$2:$D$12,REF!$E$2:$E$12)</f>
        <v>Transformador</v>
      </c>
      <c r="L173" s="1" t="s">
        <v>2065</v>
      </c>
      <c r="M173" s="1" t="s">
        <v>663</v>
      </c>
      <c r="N173" s="1" t="s">
        <v>672</v>
      </c>
      <c r="O173" s="1" t="s">
        <v>2066</v>
      </c>
      <c r="P173" s="1" t="str">
        <f t="shared" si="6"/>
        <v>BC Vazante2.1Inverter(MBUS-5)45994,548611111145994,548611111145994,6805555556</v>
      </c>
      <c r="Q173" s="1" t="str">
        <f t="shared" si="7"/>
        <v>DPRTRF</v>
      </c>
    </row>
    <row r="174" spans="2:17" hidden="1">
      <c r="B174" s="1" t="s">
        <v>785</v>
      </c>
      <c r="C174" s="1" t="s">
        <v>256</v>
      </c>
      <c r="D174" s="52">
        <v>45994.548611111109</v>
      </c>
      <c r="E174" s="52">
        <v>45994.548611111109</v>
      </c>
      <c r="F174" s="52">
        <v>45994.680555555555</v>
      </c>
      <c r="G174" s="53">
        <f t="shared" si="5"/>
        <v>0.13194444444525288</v>
      </c>
      <c r="H174" s="1" t="s">
        <v>677</v>
      </c>
      <c r="J174" s="1" t="s">
        <v>249</v>
      </c>
      <c r="K174" s="1" t="str">
        <f>_xlfn.XLOOKUP(J174,REF!$D$2:$D$12,REF!$E$2:$E$12)</f>
        <v>Transformador</v>
      </c>
      <c r="L174" s="1" t="s">
        <v>2065</v>
      </c>
      <c r="M174" s="1" t="s">
        <v>663</v>
      </c>
      <c r="N174" s="1" t="s">
        <v>672</v>
      </c>
      <c r="O174" s="1" t="s">
        <v>2066</v>
      </c>
      <c r="P174" s="1" t="str">
        <f t="shared" si="6"/>
        <v>BC Vazante2.1Inverter(MBUS-12)45994,548611111145994,548611111145994,6805555556</v>
      </c>
      <c r="Q174" s="1" t="str">
        <f t="shared" si="7"/>
        <v>DPRTRF</v>
      </c>
    </row>
    <row r="175" spans="2:17" hidden="1">
      <c r="B175" s="1" t="s">
        <v>584</v>
      </c>
      <c r="C175" s="1" t="s">
        <v>377</v>
      </c>
      <c r="D175" s="52">
        <v>45994.6875</v>
      </c>
      <c r="E175" s="52">
        <v>45994.6875</v>
      </c>
      <c r="F175" s="52">
        <v>45995.333333333336</v>
      </c>
      <c r="G175" s="53">
        <f t="shared" si="5"/>
        <v>0.64583333333575865</v>
      </c>
      <c r="H175" s="1" t="s">
        <v>677</v>
      </c>
      <c r="J175" s="1" t="s">
        <v>371</v>
      </c>
      <c r="K175" s="1" t="str">
        <f>_xlfn.XLOOKUP(J175,REF!$D$2:$D$12,REF!$E$2:$E$12)</f>
        <v>Inversor</v>
      </c>
      <c r="L175" s="1" t="s">
        <v>2096</v>
      </c>
      <c r="M175" s="1" t="s">
        <v>252</v>
      </c>
      <c r="N175" s="1" t="s">
        <v>253</v>
      </c>
      <c r="O175" s="1" t="s">
        <v>2097</v>
      </c>
      <c r="P175" s="1" t="str">
        <f t="shared" si="6"/>
        <v>BC Caiaponia2.3215KTL-H3(MBUS-12)45994,687545994,687545995,3333333333</v>
      </c>
      <c r="Q175" s="1" t="str">
        <f t="shared" si="7"/>
        <v>DPRINV</v>
      </c>
    </row>
    <row r="176" spans="2:17" hidden="1">
      <c r="B176" s="1" t="s">
        <v>584</v>
      </c>
      <c r="C176" s="1" t="s">
        <v>378</v>
      </c>
      <c r="D176" s="52">
        <v>45994.6875</v>
      </c>
      <c r="E176" s="52">
        <v>45994.6875</v>
      </c>
      <c r="F176" s="52">
        <v>45995.333333333336</v>
      </c>
      <c r="G176" s="53">
        <f t="shared" si="5"/>
        <v>0.64583333333575865</v>
      </c>
      <c r="H176" s="1" t="s">
        <v>677</v>
      </c>
      <c r="J176" s="1" t="s">
        <v>371</v>
      </c>
      <c r="K176" s="1" t="str">
        <f>_xlfn.XLOOKUP(J176,REF!$D$2:$D$12,REF!$E$2:$E$12)</f>
        <v>Inversor</v>
      </c>
      <c r="L176" s="1" t="s">
        <v>2096</v>
      </c>
      <c r="M176" s="1" t="s">
        <v>252</v>
      </c>
      <c r="N176" s="1" t="s">
        <v>253</v>
      </c>
      <c r="O176" s="1" t="s">
        <v>2097</v>
      </c>
      <c r="P176" s="1" t="str">
        <f t="shared" si="6"/>
        <v>BC Caiaponia2.3215KTL-H3(MBUS-13)45994,687545994,687545995,3333333333</v>
      </c>
      <c r="Q176" s="1" t="str">
        <f t="shared" si="7"/>
        <v>DPRINV</v>
      </c>
    </row>
    <row r="177" spans="2:17" hidden="1">
      <c r="B177" s="1" t="s">
        <v>584</v>
      </c>
      <c r="C177" s="1" t="s">
        <v>382</v>
      </c>
      <c r="D177" s="52">
        <v>45994.6875</v>
      </c>
      <c r="E177" s="52">
        <v>45994.6875</v>
      </c>
      <c r="F177" s="52">
        <v>45995.333333333336</v>
      </c>
      <c r="G177" s="53">
        <f t="shared" si="5"/>
        <v>0.64583333333575865</v>
      </c>
      <c r="H177" s="1" t="s">
        <v>677</v>
      </c>
      <c r="J177" s="1" t="s">
        <v>371</v>
      </c>
      <c r="K177" s="1" t="str">
        <f>_xlfn.XLOOKUP(J177,REF!$D$2:$D$12,REF!$E$2:$E$12)</f>
        <v>Inversor</v>
      </c>
      <c r="L177" s="1" t="s">
        <v>2096</v>
      </c>
      <c r="M177" s="1" t="s">
        <v>252</v>
      </c>
      <c r="N177" s="1" t="s">
        <v>253</v>
      </c>
      <c r="O177" s="1" t="s">
        <v>2097</v>
      </c>
      <c r="P177" s="1" t="str">
        <f t="shared" si="6"/>
        <v>BC Caiaponia2.3215KTL-H3(MBUS-14)45994,687545994,687545995,3333333333</v>
      </c>
      <c r="Q177" s="1" t="str">
        <f t="shared" si="7"/>
        <v>DPRINV</v>
      </c>
    </row>
    <row r="178" spans="2:17" hidden="1">
      <c r="B178" s="1" t="s">
        <v>584</v>
      </c>
      <c r="C178" s="1" t="s">
        <v>380</v>
      </c>
      <c r="D178" s="52">
        <v>45994.6875</v>
      </c>
      <c r="E178" s="52">
        <v>45994.6875</v>
      </c>
      <c r="F178" s="52">
        <v>45995.333333333336</v>
      </c>
      <c r="G178" s="53">
        <f t="shared" si="5"/>
        <v>0.64583333333575865</v>
      </c>
      <c r="H178" s="1" t="s">
        <v>677</v>
      </c>
      <c r="J178" s="1" t="s">
        <v>371</v>
      </c>
      <c r="K178" s="1" t="str">
        <f>_xlfn.XLOOKUP(J178,REF!$D$2:$D$12,REF!$E$2:$E$12)</f>
        <v>Inversor</v>
      </c>
      <c r="L178" s="1" t="s">
        <v>2096</v>
      </c>
      <c r="M178" s="1" t="s">
        <v>252</v>
      </c>
      <c r="N178" s="1" t="s">
        <v>253</v>
      </c>
      <c r="O178" s="1" t="s">
        <v>2097</v>
      </c>
      <c r="P178" s="1" t="str">
        <f t="shared" si="6"/>
        <v>BC Caiaponia2.3215KTL-H3(MBUS-15)45994,687545994,687545995,3333333333</v>
      </c>
      <c r="Q178" s="1" t="str">
        <f t="shared" si="7"/>
        <v>DPRINV</v>
      </c>
    </row>
    <row r="179" spans="2:17" hidden="1">
      <c r="B179" s="1" t="s">
        <v>584</v>
      </c>
      <c r="C179" s="1" t="s">
        <v>379</v>
      </c>
      <c r="D179" s="52">
        <v>45994.6875</v>
      </c>
      <c r="E179" s="52">
        <v>45994.6875</v>
      </c>
      <c r="F179" s="52">
        <v>45995.333333333336</v>
      </c>
      <c r="G179" s="53">
        <f t="shared" si="5"/>
        <v>0.64583333333575865</v>
      </c>
      <c r="H179" s="1" t="s">
        <v>677</v>
      </c>
      <c r="J179" s="1" t="s">
        <v>371</v>
      </c>
      <c r="K179" s="1" t="str">
        <f>_xlfn.XLOOKUP(J179,REF!$D$2:$D$12,REF!$E$2:$E$12)</f>
        <v>Inversor</v>
      </c>
      <c r="L179" s="1" t="s">
        <v>2096</v>
      </c>
      <c r="M179" s="1" t="s">
        <v>252</v>
      </c>
      <c r="N179" s="1" t="s">
        <v>253</v>
      </c>
      <c r="O179" s="1" t="s">
        <v>2097</v>
      </c>
      <c r="P179" s="1" t="str">
        <f t="shared" si="6"/>
        <v>BC Caiaponia2.3215KTL-H3(MBUS-16)45994,687545994,687545995,3333333333</v>
      </c>
      <c r="Q179" s="1" t="str">
        <f t="shared" si="7"/>
        <v>DPRINV</v>
      </c>
    </row>
    <row r="180" spans="2:17" hidden="1">
      <c r="B180" s="1" t="s">
        <v>360</v>
      </c>
      <c r="C180" s="1" t="s">
        <v>721</v>
      </c>
      <c r="D180" s="52">
        <v>45995.291666666664</v>
      </c>
      <c r="E180" s="52">
        <v>45995.291666666664</v>
      </c>
      <c r="F180" s="52">
        <v>45995.302083333336</v>
      </c>
      <c r="G180" s="53">
        <f t="shared" si="5"/>
        <v>1.0416666671517305E-2</v>
      </c>
      <c r="H180" s="1" t="s">
        <v>257</v>
      </c>
      <c r="J180" s="1" t="s">
        <v>258</v>
      </c>
      <c r="K180" s="1" t="s">
        <v>658</v>
      </c>
      <c r="L180" s="1" t="s">
        <v>2057</v>
      </c>
      <c r="M180" s="1" t="s">
        <v>260</v>
      </c>
      <c r="N180" s="1" t="s">
        <v>261</v>
      </c>
      <c r="O180" s="1" t="s">
        <v>2098</v>
      </c>
      <c r="P180" s="1" t="str">
        <f t="shared" si="6"/>
        <v>BC Corumba1.1U01.I0245995,291666666745995,291666666745995,3020833333</v>
      </c>
      <c r="Q180" s="1" t="str">
        <f t="shared" si="7"/>
        <v>DAURDE</v>
      </c>
    </row>
    <row r="181" spans="2:17" hidden="1">
      <c r="B181" s="1" t="s">
        <v>360</v>
      </c>
      <c r="C181" s="1" t="s">
        <v>722</v>
      </c>
      <c r="D181" s="52">
        <v>45995.291666666664</v>
      </c>
      <c r="E181" s="52">
        <v>45995.291666666664</v>
      </c>
      <c r="F181" s="52">
        <v>45995.302083333336</v>
      </c>
      <c r="G181" s="53">
        <f t="shared" si="5"/>
        <v>1.0416666671517305E-2</v>
      </c>
      <c r="H181" s="1" t="s">
        <v>257</v>
      </c>
      <c r="J181" s="1" t="s">
        <v>258</v>
      </c>
      <c r="K181" s="1" t="s">
        <v>658</v>
      </c>
      <c r="L181" s="1" t="s">
        <v>2057</v>
      </c>
      <c r="M181" s="1" t="s">
        <v>260</v>
      </c>
      <c r="N181" s="1" t="s">
        <v>261</v>
      </c>
      <c r="O181" s="1" t="s">
        <v>2098</v>
      </c>
      <c r="P181" s="1" t="str">
        <f t="shared" si="6"/>
        <v>BC Corumba1.1U01.I0345995,291666666745995,291666666745995,3020833333</v>
      </c>
      <c r="Q181" s="1" t="str">
        <f t="shared" si="7"/>
        <v>DAURDE</v>
      </c>
    </row>
    <row r="182" spans="2:17" hidden="1">
      <c r="B182" s="1" t="s">
        <v>360</v>
      </c>
      <c r="C182" s="1" t="s">
        <v>361</v>
      </c>
      <c r="D182" s="52">
        <v>45995.291666666664</v>
      </c>
      <c r="E182" s="52">
        <v>45995.291666666664</v>
      </c>
      <c r="F182" s="52">
        <v>45995.302083333336</v>
      </c>
      <c r="G182" s="53">
        <f t="shared" si="5"/>
        <v>1.0416666671517305E-2</v>
      </c>
      <c r="H182" s="1" t="s">
        <v>257</v>
      </c>
      <c r="J182" s="1" t="s">
        <v>258</v>
      </c>
      <c r="K182" s="1" t="s">
        <v>658</v>
      </c>
      <c r="L182" s="1" t="s">
        <v>2057</v>
      </c>
      <c r="M182" s="1" t="s">
        <v>260</v>
      </c>
      <c r="N182" s="1" t="s">
        <v>261</v>
      </c>
      <c r="O182" s="1" t="s">
        <v>2098</v>
      </c>
      <c r="P182" s="1" t="str">
        <f t="shared" si="6"/>
        <v>BC Corumba1.1U01.I0445995,291666666745995,291666666745995,3020833333</v>
      </c>
      <c r="Q182" s="1" t="str">
        <f t="shared" si="7"/>
        <v>DAURDE</v>
      </c>
    </row>
    <row r="183" spans="2:17" hidden="1">
      <c r="B183" s="1" t="s">
        <v>360</v>
      </c>
      <c r="C183" s="1" t="s">
        <v>366</v>
      </c>
      <c r="D183" s="52">
        <v>45995.291666666664</v>
      </c>
      <c r="E183" s="52">
        <v>45995.291666666664</v>
      </c>
      <c r="F183" s="52">
        <v>45995.302083333336</v>
      </c>
      <c r="G183" s="53">
        <f t="shared" si="5"/>
        <v>1.0416666671517305E-2</v>
      </c>
      <c r="H183" s="1" t="s">
        <v>257</v>
      </c>
      <c r="J183" s="1" t="s">
        <v>258</v>
      </c>
      <c r="K183" s="1" t="s">
        <v>658</v>
      </c>
      <c r="L183" s="1" t="s">
        <v>2057</v>
      </c>
      <c r="M183" s="1" t="s">
        <v>260</v>
      </c>
      <c r="N183" s="1" t="s">
        <v>261</v>
      </c>
      <c r="O183" s="1" t="s">
        <v>2098</v>
      </c>
      <c r="P183" s="1" t="str">
        <f t="shared" si="6"/>
        <v>BC Corumba1.1U01.I0545995,291666666745995,291666666745995,3020833333</v>
      </c>
      <c r="Q183" s="1" t="str">
        <f t="shared" si="7"/>
        <v>DAURDE</v>
      </c>
    </row>
    <row r="184" spans="2:17" hidden="1">
      <c r="B184" s="1" t="s">
        <v>367</v>
      </c>
      <c r="C184" s="1" t="s">
        <v>292</v>
      </c>
      <c r="D184" s="52">
        <v>45995.291666666664</v>
      </c>
      <c r="E184" s="52">
        <v>45995.291666666664</v>
      </c>
      <c r="F184" s="52">
        <v>45995.302083333336</v>
      </c>
      <c r="G184" s="53">
        <f t="shared" si="5"/>
        <v>1.0416666671517305E-2</v>
      </c>
      <c r="H184" s="1" t="s">
        <v>257</v>
      </c>
      <c r="J184" s="1" t="s">
        <v>258</v>
      </c>
      <c r="K184" s="1" t="s">
        <v>658</v>
      </c>
      <c r="L184" s="1" t="s">
        <v>2057</v>
      </c>
      <c r="M184" s="1" t="s">
        <v>260</v>
      </c>
      <c r="N184" s="1" t="s">
        <v>261</v>
      </c>
      <c r="O184" s="1" t="s">
        <v>2098</v>
      </c>
      <c r="P184" s="1" t="str">
        <f t="shared" si="6"/>
        <v>BC Corumba1.2U02.I0245995,291666666745995,291666666745995,3020833333</v>
      </c>
      <c r="Q184" s="1" t="str">
        <f t="shared" si="7"/>
        <v>DAURDE</v>
      </c>
    </row>
    <row r="185" spans="2:17" hidden="1">
      <c r="B185" s="1" t="s">
        <v>367</v>
      </c>
      <c r="C185" s="1" t="s">
        <v>287</v>
      </c>
      <c r="D185" s="52">
        <v>45995.291666666664</v>
      </c>
      <c r="E185" s="52">
        <v>45995.291666666664</v>
      </c>
      <c r="F185" s="52">
        <v>45995.302083333336</v>
      </c>
      <c r="G185" s="53">
        <f t="shared" si="5"/>
        <v>1.0416666671517305E-2</v>
      </c>
      <c r="H185" s="1" t="s">
        <v>257</v>
      </c>
      <c r="J185" s="1" t="s">
        <v>258</v>
      </c>
      <c r="K185" s="1" t="s">
        <v>658</v>
      </c>
      <c r="L185" s="1" t="s">
        <v>2057</v>
      </c>
      <c r="M185" s="1" t="s">
        <v>260</v>
      </c>
      <c r="N185" s="1" t="s">
        <v>261</v>
      </c>
      <c r="O185" s="1" t="s">
        <v>2098</v>
      </c>
      <c r="P185" s="1" t="str">
        <f t="shared" si="6"/>
        <v>BC Corumba1.2U02.I0145995,291666666745995,291666666745995,3020833333</v>
      </c>
      <c r="Q185" s="1" t="str">
        <f t="shared" si="7"/>
        <v>DAURDE</v>
      </c>
    </row>
    <row r="186" spans="2:17" hidden="1">
      <c r="B186" s="1" t="s">
        <v>367</v>
      </c>
      <c r="C186" s="1" t="s">
        <v>293</v>
      </c>
      <c r="D186" s="52">
        <v>45995.291666666664</v>
      </c>
      <c r="E186" s="52">
        <v>45995.291666666664</v>
      </c>
      <c r="F186" s="52">
        <v>45995.302083333336</v>
      </c>
      <c r="G186" s="53">
        <f t="shared" si="5"/>
        <v>1.0416666671517305E-2</v>
      </c>
      <c r="H186" s="1" t="s">
        <v>257</v>
      </c>
      <c r="J186" s="1" t="s">
        <v>258</v>
      </c>
      <c r="K186" s="1" t="s">
        <v>658</v>
      </c>
      <c r="L186" s="1" t="s">
        <v>2057</v>
      </c>
      <c r="M186" s="1" t="s">
        <v>260</v>
      </c>
      <c r="N186" s="1" t="s">
        <v>261</v>
      </c>
      <c r="O186" s="1" t="s">
        <v>2098</v>
      </c>
      <c r="P186" s="1" t="str">
        <f t="shared" si="6"/>
        <v>BC Corumba1.2U02.I0345995,291666666745995,291666666745995,3020833333</v>
      </c>
      <c r="Q186" s="1" t="str">
        <f t="shared" si="7"/>
        <v>DAURDE</v>
      </c>
    </row>
    <row r="187" spans="2:17" hidden="1">
      <c r="B187" s="1" t="s">
        <v>367</v>
      </c>
      <c r="C187" s="1" t="s">
        <v>295</v>
      </c>
      <c r="D187" s="52">
        <v>45995.291666666664</v>
      </c>
      <c r="E187" s="52">
        <v>45995.291666666664</v>
      </c>
      <c r="F187" s="52">
        <v>45995.302083333336</v>
      </c>
      <c r="G187" s="53">
        <f t="shared" si="5"/>
        <v>1.0416666671517305E-2</v>
      </c>
      <c r="H187" s="1" t="s">
        <v>257</v>
      </c>
      <c r="J187" s="1" t="s">
        <v>258</v>
      </c>
      <c r="K187" s="1" t="s">
        <v>658</v>
      </c>
      <c r="L187" s="1" t="s">
        <v>2057</v>
      </c>
      <c r="M187" s="1" t="s">
        <v>260</v>
      </c>
      <c r="N187" s="1" t="s">
        <v>261</v>
      </c>
      <c r="O187" s="1" t="s">
        <v>2098</v>
      </c>
      <c r="P187" s="1" t="str">
        <f t="shared" si="6"/>
        <v>BC Corumba1.2U02.I0545995,291666666745995,291666666745995,3020833333</v>
      </c>
      <c r="Q187" s="1" t="str">
        <f t="shared" si="7"/>
        <v>DAURDE</v>
      </c>
    </row>
    <row r="188" spans="2:17" hidden="1">
      <c r="B188" s="1" t="s">
        <v>367</v>
      </c>
      <c r="C188" s="1" t="s">
        <v>294</v>
      </c>
      <c r="D188" s="52">
        <v>45995.291666666664</v>
      </c>
      <c r="E188" s="52">
        <v>45995.291666666664</v>
      </c>
      <c r="F188" s="52">
        <v>45995.302083333336</v>
      </c>
      <c r="G188" s="53">
        <f t="shared" ref="G188:G251" si="8">F188-E188</f>
        <v>1.0416666671517305E-2</v>
      </c>
      <c r="H188" s="1" t="s">
        <v>257</v>
      </c>
      <c r="J188" s="1" t="s">
        <v>258</v>
      </c>
      <c r="K188" s="1" t="s">
        <v>658</v>
      </c>
      <c r="L188" s="1" t="s">
        <v>2057</v>
      </c>
      <c r="M188" s="1" t="s">
        <v>260</v>
      </c>
      <c r="N188" s="1" t="s">
        <v>261</v>
      </c>
      <c r="O188" s="1" t="s">
        <v>2098</v>
      </c>
      <c r="P188" s="1" t="str">
        <f t="shared" si="6"/>
        <v>BC Corumba1.2U02.I0445995,291666666745995,291666666745995,3020833333</v>
      </c>
      <c r="Q188" s="1" t="str">
        <f t="shared" si="7"/>
        <v>DAURDE</v>
      </c>
    </row>
    <row r="189" spans="2:17" hidden="1">
      <c r="B189" s="1" t="s">
        <v>724</v>
      </c>
      <c r="C189" s="1" t="s">
        <v>608</v>
      </c>
      <c r="D189" s="52">
        <v>45995.291666666664</v>
      </c>
      <c r="E189" s="52">
        <v>45995.291666666664</v>
      </c>
      <c r="F189" s="52">
        <v>45995.302083333336</v>
      </c>
      <c r="G189" s="53">
        <f t="shared" si="8"/>
        <v>1.0416666671517305E-2</v>
      </c>
      <c r="H189" s="1" t="s">
        <v>257</v>
      </c>
      <c r="J189" s="1" t="s">
        <v>258</v>
      </c>
      <c r="K189" s="1" t="s">
        <v>658</v>
      </c>
      <c r="L189" s="1" t="s">
        <v>2057</v>
      </c>
      <c r="M189" s="1" t="s">
        <v>260</v>
      </c>
      <c r="N189" s="1" t="s">
        <v>261</v>
      </c>
      <c r="O189" s="1" t="s">
        <v>2098</v>
      </c>
      <c r="P189" s="1" t="str">
        <f t="shared" si="6"/>
        <v>BC Corumba1.3U03.I0145995,291666666745995,291666666745995,3020833333</v>
      </c>
      <c r="Q189" s="1" t="str">
        <f t="shared" si="7"/>
        <v>DAURDE</v>
      </c>
    </row>
    <row r="190" spans="2:17" hidden="1">
      <c r="B190" s="1" t="s">
        <v>724</v>
      </c>
      <c r="C190" s="1" t="s">
        <v>536</v>
      </c>
      <c r="D190" s="52">
        <v>45995.291666666664</v>
      </c>
      <c r="E190" s="52">
        <v>45995.291666666664</v>
      </c>
      <c r="F190" s="52">
        <v>45995.302083333336</v>
      </c>
      <c r="G190" s="53">
        <f t="shared" si="8"/>
        <v>1.0416666671517305E-2</v>
      </c>
      <c r="H190" s="1" t="s">
        <v>257</v>
      </c>
      <c r="J190" s="1" t="s">
        <v>258</v>
      </c>
      <c r="K190" s="1" t="s">
        <v>658</v>
      </c>
      <c r="L190" s="1" t="s">
        <v>2057</v>
      </c>
      <c r="M190" s="1" t="s">
        <v>260</v>
      </c>
      <c r="N190" s="1" t="s">
        <v>261</v>
      </c>
      <c r="O190" s="1" t="s">
        <v>2098</v>
      </c>
      <c r="P190" s="1" t="str">
        <f t="shared" si="6"/>
        <v>BC Corumba1.3U03.I0345995,291666666745995,291666666745995,3020833333</v>
      </c>
      <c r="Q190" s="1" t="str">
        <f t="shared" si="7"/>
        <v>DAURDE</v>
      </c>
    </row>
    <row r="191" spans="2:17" hidden="1">
      <c r="B191" s="1" t="s">
        <v>724</v>
      </c>
      <c r="C191" s="1" t="s">
        <v>611</v>
      </c>
      <c r="D191" s="52">
        <v>45995.291666666664</v>
      </c>
      <c r="E191" s="52">
        <v>45995.291666666664</v>
      </c>
      <c r="F191" s="52">
        <v>45995.302083333336</v>
      </c>
      <c r="G191" s="53">
        <f t="shared" si="8"/>
        <v>1.0416666671517305E-2</v>
      </c>
      <c r="H191" s="1" t="s">
        <v>257</v>
      </c>
      <c r="J191" s="1" t="s">
        <v>258</v>
      </c>
      <c r="K191" s="1" t="s">
        <v>658</v>
      </c>
      <c r="L191" s="1" t="s">
        <v>2057</v>
      </c>
      <c r="M191" s="1" t="s">
        <v>260</v>
      </c>
      <c r="N191" s="1" t="s">
        <v>261</v>
      </c>
      <c r="O191" s="1" t="s">
        <v>2098</v>
      </c>
      <c r="P191" s="1" t="str">
        <f t="shared" si="6"/>
        <v>BC Corumba1.3U03.I0245995,291666666745995,291666666745995,3020833333</v>
      </c>
      <c r="Q191" s="1" t="str">
        <f t="shared" si="7"/>
        <v>DAURDE</v>
      </c>
    </row>
    <row r="192" spans="2:17" hidden="1">
      <c r="B192" s="1" t="s">
        <v>725</v>
      </c>
      <c r="C192" s="1" t="s">
        <v>263</v>
      </c>
      <c r="D192" s="52">
        <v>45995.291666666664</v>
      </c>
      <c r="E192" s="52">
        <v>45995.291666666664</v>
      </c>
      <c r="F192" s="52">
        <v>45995.302083333336</v>
      </c>
      <c r="G192" s="53">
        <f t="shared" si="8"/>
        <v>1.0416666671517305E-2</v>
      </c>
      <c r="H192" s="1" t="s">
        <v>257</v>
      </c>
      <c r="J192" s="1" t="s">
        <v>258</v>
      </c>
      <c r="K192" s="1" t="s">
        <v>658</v>
      </c>
      <c r="L192" s="1" t="s">
        <v>2057</v>
      </c>
      <c r="M192" s="1" t="s">
        <v>260</v>
      </c>
      <c r="N192" s="1" t="s">
        <v>261</v>
      </c>
      <c r="O192" s="1" t="s">
        <v>2098</v>
      </c>
      <c r="P192" s="1" t="str">
        <f t="shared" si="6"/>
        <v>BC Corumba2.1Inverter(MBUS-14)45995,291666666745995,291666666745995,3020833333</v>
      </c>
      <c r="Q192" s="1" t="str">
        <f t="shared" si="7"/>
        <v>DAURDE</v>
      </c>
    </row>
    <row r="193" spans="2:17" hidden="1">
      <c r="B193" s="1" t="s">
        <v>725</v>
      </c>
      <c r="C193" s="1" t="s">
        <v>307</v>
      </c>
      <c r="D193" s="52">
        <v>45995.291666666664</v>
      </c>
      <c r="E193" s="52">
        <v>45995.291666666664</v>
      </c>
      <c r="F193" s="52">
        <v>45995.302083333336</v>
      </c>
      <c r="G193" s="53">
        <f t="shared" si="8"/>
        <v>1.0416666671517305E-2</v>
      </c>
      <c r="H193" s="1" t="s">
        <v>257</v>
      </c>
      <c r="J193" s="1" t="s">
        <v>258</v>
      </c>
      <c r="K193" s="1" t="s">
        <v>658</v>
      </c>
      <c r="L193" s="1" t="s">
        <v>2057</v>
      </c>
      <c r="M193" s="1" t="s">
        <v>260</v>
      </c>
      <c r="N193" s="1" t="s">
        <v>261</v>
      </c>
      <c r="O193" s="1" t="s">
        <v>2098</v>
      </c>
      <c r="P193" s="1" t="str">
        <f t="shared" si="6"/>
        <v>BC Corumba2.1Inverter(MBUS-15)45995,291666666745995,291666666745995,3020833333</v>
      </c>
      <c r="Q193" s="1" t="str">
        <f t="shared" si="7"/>
        <v>DAURDE</v>
      </c>
    </row>
    <row r="194" spans="2:17" hidden="1">
      <c r="B194" s="1" t="s">
        <v>725</v>
      </c>
      <c r="C194" s="1" t="s">
        <v>390</v>
      </c>
      <c r="D194" s="52">
        <v>45995.291666666664</v>
      </c>
      <c r="E194" s="52">
        <v>45995.291666666664</v>
      </c>
      <c r="F194" s="52">
        <v>45995.302083333336</v>
      </c>
      <c r="G194" s="53">
        <f t="shared" si="8"/>
        <v>1.0416666671517305E-2</v>
      </c>
      <c r="H194" s="1" t="s">
        <v>257</v>
      </c>
      <c r="J194" s="1" t="s">
        <v>258</v>
      </c>
      <c r="K194" s="1" t="s">
        <v>658</v>
      </c>
      <c r="L194" s="1" t="s">
        <v>2057</v>
      </c>
      <c r="M194" s="1" t="s">
        <v>260</v>
      </c>
      <c r="N194" s="1" t="s">
        <v>261</v>
      </c>
      <c r="O194" s="1" t="s">
        <v>2098</v>
      </c>
      <c r="P194" s="1" t="str">
        <f t="shared" si="6"/>
        <v>BC Corumba2.1Inverter(MBUS-16)45995,291666666745995,291666666745995,3020833333</v>
      </c>
      <c r="Q194" s="1" t="str">
        <f t="shared" si="7"/>
        <v>DAURDE</v>
      </c>
    </row>
    <row r="195" spans="2:17" hidden="1">
      <c r="B195" s="1" t="s">
        <v>725</v>
      </c>
      <c r="C195" s="1" t="s">
        <v>726</v>
      </c>
      <c r="D195" s="52">
        <v>45995.291666666664</v>
      </c>
      <c r="E195" s="52">
        <v>45995.291666666664</v>
      </c>
      <c r="F195" s="52">
        <v>45995.302083333336</v>
      </c>
      <c r="G195" s="53">
        <f t="shared" si="8"/>
        <v>1.0416666671517305E-2</v>
      </c>
      <c r="H195" s="1" t="s">
        <v>257</v>
      </c>
      <c r="J195" s="1" t="s">
        <v>258</v>
      </c>
      <c r="K195" s="1" t="s">
        <v>658</v>
      </c>
      <c r="L195" s="1" t="s">
        <v>2057</v>
      </c>
      <c r="M195" s="1" t="s">
        <v>260</v>
      </c>
      <c r="N195" s="1" t="s">
        <v>261</v>
      </c>
      <c r="O195" s="1" t="s">
        <v>2098</v>
      </c>
      <c r="P195" s="1" t="str">
        <f t="shared" ref="P195:P258" si="9">_xlfn.CONCAT(B195,C195,D195,E195,F195)</f>
        <v>BC Corumba2.1U01. I0145995,291666666745995,291666666745995,3020833333</v>
      </c>
      <c r="Q195" s="1" t="str">
        <f t="shared" ref="Q195:Q258" si="10">_xlfn.CONCAT(H195,I195,J195)</f>
        <v>DAURDE</v>
      </c>
    </row>
    <row r="196" spans="2:17" hidden="1">
      <c r="B196" s="1" t="s">
        <v>725</v>
      </c>
      <c r="C196" s="1" t="s">
        <v>727</v>
      </c>
      <c r="D196" s="52">
        <v>45995.291666666664</v>
      </c>
      <c r="E196" s="52">
        <v>45995.291666666664</v>
      </c>
      <c r="F196" s="52">
        <v>45995.302083333336</v>
      </c>
      <c r="G196" s="53">
        <f t="shared" si="8"/>
        <v>1.0416666671517305E-2</v>
      </c>
      <c r="H196" s="1" t="s">
        <v>257</v>
      </c>
      <c r="J196" s="1" t="s">
        <v>258</v>
      </c>
      <c r="K196" s="1" t="s">
        <v>658</v>
      </c>
      <c r="L196" s="1" t="s">
        <v>2057</v>
      </c>
      <c r="M196" s="1" t="s">
        <v>260</v>
      </c>
      <c r="N196" s="1" t="s">
        <v>261</v>
      </c>
      <c r="O196" s="1" t="s">
        <v>2098</v>
      </c>
      <c r="P196" s="1" t="str">
        <f t="shared" si="9"/>
        <v>BC Corumba2.1U01. I0245995,291666666745995,291666666745995,3020833333</v>
      </c>
      <c r="Q196" s="1" t="str">
        <f t="shared" si="10"/>
        <v>DAURDE</v>
      </c>
    </row>
    <row r="197" spans="2:17" hidden="1">
      <c r="B197" s="1" t="s">
        <v>286</v>
      </c>
      <c r="C197" s="1" t="s">
        <v>287</v>
      </c>
      <c r="D197" s="52">
        <v>45995.291666666664</v>
      </c>
      <c r="E197" s="52">
        <v>45995.291666666664</v>
      </c>
      <c r="F197" s="52">
        <v>45995.302083333336</v>
      </c>
      <c r="G197" s="53">
        <f t="shared" si="8"/>
        <v>1.0416666671517305E-2</v>
      </c>
      <c r="H197" s="1" t="s">
        <v>257</v>
      </c>
      <c r="J197" s="1" t="s">
        <v>258</v>
      </c>
      <c r="K197" s="1" t="s">
        <v>658</v>
      </c>
      <c r="L197" s="1" t="s">
        <v>2057</v>
      </c>
      <c r="M197" s="1" t="s">
        <v>260</v>
      </c>
      <c r="N197" s="1" t="s">
        <v>261</v>
      </c>
      <c r="O197" s="1" t="s">
        <v>2098</v>
      </c>
      <c r="P197" s="1" t="str">
        <f t="shared" si="9"/>
        <v>BC Corumba2.2U02.I0145995,291666666745995,291666666745995,3020833333</v>
      </c>
      <c r="Q197" s="1" t="str">
        <f t="shared" si="10"/>
        <v>DAURDE</v>
      </c>
    </row>
    <row r="198" spans="2:17" hidden="1">
      <c r="B198" s="1" t="s">
        <v>286</v>
      </c>
      <c r="C198" s="1" t="s">
        <v>292</v>
      </c>
      <c r="D198" s="52">
        <v>45995.291666666664</v>
      </c>
      <c r="E198" s="52">
        <v>45995.291666666664</v>
      </c>
      <c r="F198" s="52">
        <v>45995.302083333336</v>
      </c>
      <c r="G198" s="53">
        <f t="shared" si="8"/>
        <v>1.0416666671517305E-2</v>
      </c>
      <c r="H198" s="1" t="s">
        <v>257</v>
      </c>
      <c r="J198" s="1" t="s">
        <v>258</v>
      </c>
      <c r="K198" s="1" t="s">
        <v>658</v>
      </c>
      <c r="L198" s="1" t="s">
        <v>2057</v>
      </c>
      <c r="M198" s="1" t="s">
        <v>260</v>
      </c>
      <c r="N198" s="1" t="s">
        <v>261</v>
      </c>
      <c r="O198" s="1" t="s">
        <v>2098</v>
      </c>
      <c r="P198" s="1" t="str">
        <f t="shared" si="9"/>
        <v>BC Corumba2.2U02.I0245995,291666666745995,291666666745995,3020833333</v>
      </c>
      <c r="Q198" s="1" t="str">
        <f t="shared" si="10"/>
        <v>DAURDE</v>
      </c>
    </row>
    <row r="199" spans="2:17" hidden="1">
      <c r="B199" s="1" t="s">
        <v>286</v>
      </c>
      <c r="C199" s="1" t="s">
        <v>293</v>
      </c>
      <c r="D199" s="52">
        <v>45995.291666666664</v>
      </c>
      <c r="E199" s="52">
        <v>45995.291666666664</v>
      </c>
      <c r="F199" s="52">
        <v>45995.302083333336</v>
      </c>
      <c r="G199" s="53">
        <f t="shared" si="8"/>
        <v>1.0416666671517305E-2</v>
      </c>
      <c r="H199" s="1" t="s">
        <v>257</v>
      </c>
      <c r="J199" s="1" t="s">
        <v>258</v>
      </c>
      <c r="K199" s="1" t="s">
        <v>658</v>
      </c>
      <c r="L199" s="1" t="s">
        <v>2057</v>
      </c>
      <c r="M199" s="1" t="s">
        <v>260</v>
      </c>
      <c r="N199" s="1" t="s">
        <v>261</v>
      </c>
      <c r="O199" s="1" t="s">
        <v>2098</v>
      </c>
      <c r="P199" s="1" t="str">
        <f t="shared" si="9"/>
        <v>BC Corumba2.2U02.I0345995,291666666745995,291666666745995,3020833333</v>
      </c>
      <c r="Q199" s="1" t="str">
        <f t="shared" si="10"/>
        <v>DAURDE</v>
      </c>
    </row>
    <row r="200" spans="2:17" hidden="1">
      <c r="B200" s="1" t="s">
        <v>286</v>
      </c>
      <c r="C200" s="1" t="s">
        <v>294</v>
      </c>
      <c r="D200" s="52">
        <v>45995.291666666664</v>
      </c>
      <c r="E200" s="52">
        <v>45995.291666666664</v>
      </c>
      <c r="F200" s="52">
        <v>45995.302083333336</v>
      </c>
      <c r="G200" s="53">
        <f t="shared" si="8"/>
        <v>1.0416666671517305E-2</v>
      </c>
      <c r="H200" s="1" t="s">
        <v>257</v>
      </c>
      <c r="J200" s="1" t="s">
        <v>258</v>
      </c>
      <c r="K200" s="1" t="s">
        <v>658</v>
      </c>
      <c r="L200" s="1" t="s">
        <v>2057</v>
      </c>
      <c r="M200" s="1" t="s">
        <v>260</v>
      </c>
      <c r="N200" s="1" t="s">
        <v>261</v>
      </c>
      <c r="O200" s="1" t="s">
        <v>2098</v>
      </c>
      <c r="P200" s="1" t="str">
        <f t="shared" si="9"/>
        <v>BC Corumba2.2U02.I0445995,291666666745995,291666666745995,3020833333</v>
      </c>
      <c r="Q200" s="1" t="str">
        <f t="shared" si="10"/>
        <v>DAURDE</v>
      </c>
    </row>
    <row r="201" spans="2:17" hidden="1">
      <c r="B201" s="1" t="s">
        <v>286</v>
      </c>
      <c r="C201" s="1" t="s">
        <v>295</v>
      </c>
      <c r="D201" s="52">
        <v>45995.291666666664</v>
      </c>
      <c r="E201" s="52">
        <v>45995.291666666664</v>
      </c>
      <c r="F201" s="52">
        <v>45995.302083333336</v>
      </c>
      <c r="G201" s="53">
        <f t="shared" si="8"/>
        <v>1.0416666671517305E-2</v>
      </c>
      <c r="H201" s="1" t="s">
        <v>257</v>
      </c>
      <c r="J201" s="1" t="s">
        <v>258</v>
      </c>
      <c r="K201" s="1" t="s">
        <v>658</v>
      </c>
      <c r="L201" s="1" t="s">
        <v>2057</v>
      </c>
      <c r="M201" s="1" t="s">
        <v>260</v>
      </c>
      <c r="N201" s="1" t="s">
        <v>261</v>
      </c>
      <c r="O201" s="1" t="s">
        <v>2098</v>
      </c>
      <c r="P201" s="1" t="str">
        <f t="shared" si="9"/>
        <v>BC Corumba2.2U02.I0545995,291666666745995,291666666745995,3020833333</v>
      </c>
      <c r="Q201" s="1" t="str">
        <f t="shared" si="10"/>
        <v>DAURDE</v>
      </c>
    </row>
    <row r="202" spans="2:17" hidden="1">
      <c r="B202" s="1" t="s">
        <v>535</v>
      </c>
      <c r="C202" s="1" t="s">
        <v>608</v>
      </c>
      <c r="D202" s="52">
        <v>45995.291666666664</v>
      </c>
      <c r="E202" s="52">
        <v>45995.291666666664</v>
      </c>
      <c r="F202" s="52">
        <v>45995.302083333336</v>
      </c>
      <c r="G202" s="53">
        <f t="shared" si="8"/>
        <v>1.0416666671517305E-2</v>
      </c>
      <c r="H202" s="1" t="s">
        <v>257</v>
      </c>
      <c r="J202" s="1" t="s">
        <v>258</v>
      </c>
      <c r="K202" s="1" t="s">
        <v>658</v>
      </c>
      <c r="L202" s="1" t="s">
        <v>2057</v>
      </c>
      <c r="M202" s="1" t="s">
        <v>260</v>
      </c>
      <c r="N202" s="1" t="s">
        <v>261</v>
      </c>
      <c r="O202" s="1" t="s">
        <v>2098</v>
      </c>
      <c r="P202" s="1" t="str">
        <f t="shared" si="9"/>
        <v>BC Corumba2.3U03.I0145995,291666666745995,291666666745995,3020833333</v>
      </c>
      <c r="Q202" s="1" t="str">
        <f t="shared" si="10"/>
        <v>DAURDE</v>
      </c>
    </row>
    <row r="203" spans="2:17" hidden="1">
      <c r="B203" s="1" t="s">
        <v>535</v>
      </c>
      <c r="C203" s="1" t="s">
        <v>611</v>
      </c>
      <c r="D203" s="52">
        <v>45995.291666666664</v>
      </c>
      <c r="E203" s="52">
        <v>45995.291666666664</v>
      </c>
      <c r="F203" s="52">
        <v>45995.302083333336</v>
      </c>
      <c r="G203" s="53">
        <f t="shared" si="8"/>
        <v>1.0416666671517305E-2</v>
      </c>
      <c r="H203" s="1" t="s">
        <v>257</v>
      </c>
      <c r="J203" s="1" t="s">
        <v>258</v>
      </c>
      <c r="K203" s="1" t="s">
        <v>658</v>
      </c>
      <c r="L203" s="1" t="s">
        <v>2057</v>
      </c>
      <c r="M203" s="1" t="s">
        <v>260</v>
      </c>
      <c r="N203" s="1" t="s">
        <v>261</v>
      </c>
      <c r="O203" s="1" t="s">
        <v>2098</v>
      </c>
      <c r="P203" s="1" t="str">
        <f t="shared" si="9"/>
        <v>BC Corumba2.3U03.I0245995,291666666745995,291666666745995,3020833333</v>
      </c>
      <c r="Q203" s="1" t="str">
        <f t="shared" si="10"/>
        <v>DAURDE</v>
      </c>
    </row>
    <row r="204" spans="2:17" hidden="1">
      <c r="B204" s="1" t="s">
        <v>535</v>
      </c>
      <c r="C204" s="1" t="s">
        <v>536</v>
      </c>
      <c r="D204" s="52">
        <v>45995.291666666664</v>
      </c>
      <c r="E204" s="52">
        <v>45995.291666666664</v>
      </c>
      <c r="F204" s="52">
        <v>45995.302083333336</v>
      </c>
      <c r="G204" s="53">
        <f t="shared" si="8"/>
        <v>1.0416666671517305E-2</v>
      </c>
      <c r="H204" s="1" t="s">
        <v>257</v>
      </c>
      <c r="J204" s="1" t="s">
        <v>258</v>
      </c>
      <c r="K204" s="1" t="s">
        <v>658</v>
      </c>
      <c r="L204" s="1" t="s">
        <v>2057</v>
      </c>
      <c r="M204" s="1" t="s">
        <v>260</v>
      </c>
      <c r="N204" s="1" t="s">
        <v>261</v>
      </c>
      <c r="O204" s="1" t="s">
        <v>2098</v>
      </c>
      <c r="P204" s="1" t="str">
        <f t="shared" si="9"/>
        <v>BC Corumba2.3U03.I0345995,291666666745995,291666666745995,3020833333</v>
      </c>
      <c r="Q204" s="1" t="str">
        <f t="shared" si="10"/>
        <v>DAURDE</v>
      </c>
    </row>
    <row r="205" spans="2:17" hidden="1">
      <c r="B205" s="1" t="s">
        <v>805</v>
      </c>
      <c r="C205" s="1" t="s">
        <v>264</v>
      </c>
      <c r="D205" s="52">
        <v>45995.393750000003</v>
      </c>
      <c r="E205" s="52">
        <v>45995.393750000003</v>
      </c>
      <c r="F205" s="52">
        <v>45995.413194444445</v>
      </c>
      <c r="G205" s="53">
        <f t="shared" si="8"/>
        <v>1.9444444442342501E-2</v>
      </c>
      <c r="H205" s="1" t="s">
        <v>257</v>
      </c>
      <c r="J205" s="1" t="s">
        <v>258</v>
      </c>
      <c r="K205" s="1" t="s">
        <v>658</v>
      </c>
      <c r="L205" s="1" t="s">
        <v>2057</v>
      </c>
      <c r="M205" s="1" t="s">
        <v>260</v>
      </c>
      <c r="N205" s="1" t="s">
        <v>261</v>
      </c>
      <c r="O205" s="1" t="s">
        <v>2098</v>
      </c>
      <c r="P205" s="1" t="str">
        <f t="shared" si="9"/>
        <v>BC Formoso1.2Inverter(MBUS-13)45995,3937545995,3937545995,4131944444</v>
      </c>
      <c r="Q205" s="1" t="str">
        <f t="shared" si="10"/>
        <v>DAURDE</v>
      </c>
    </row>
    <row r="206" spans="2:17" hidden="1">
      <c r="B206" s="1" t="s">
        <v>805</v>
      </c>
      <c r="C206" s="1" t="s">
        <v>256</v>
      </c>
      <c r="D206" s="52">
        <v>45995.393750000003</v>
      </c>
      <c r="E206" s="52">
        <v>45995.393750000003</v>
      </c>
      <c r="F206" s="52">
        <v>45995.413194444445</v>
      </c>
      <c r="G206" s="53">
        <f t="shared" si="8"/>
        <v>1.9444444442342501E-2</v>
      </c>
      <c r="H206" s="1" t="s">
        <v>257</v>
      </c>
      <c r="J206" s="1" t="s">
        <v>258</v>
      </c>
      <c r="K206" s="1" t="s">
        <v>658</v>
      </c>
      <c r="L206" s="1" t="s">
        <v>2057</v>
      </c>
      <c r="M206" s="1" t="s">
        <v>260</v>
      </c>
      <c r="N206" s="1" t="s">
        <v>261</v>
      </c>
      <c r="O206" s="1" t="s">
        <v>2098</v>
      </c>
      <c r="P206" s="1" t="str">
        <f t="shared" si="9"/>
        <v>BC Formoso1.2Inverter(MBUS-12)45995,3937545995,3937545995,4131944444</v>
      </c>
      <c r="Q206" s="1" t="str">
        <f t="shared" si="10"/>
        <v>DAURDE</v>
      </c>
    </row>
    <row r="207" spans="2:17" hidden="1">
      <c r="B207" s="1" t="s">
        <v>805</v>
      </c>
      <c r="C207" s="1" t="s">
        <v>307</v>
      </c>
      <c r="D207" s="52">
        <v>45995.393750000003</v>
      </c>
      <c r="E207" s="52">
        <v>45995.393750000003</v>
      </c>
      <c r="F207" s="52">
        <v>45995.413194444445</v>
      </c>
      <c r="G207" s="53">
        <f t="shared" si="8"/>
        <v>1.9444444442342501E-2</v>
      </c>
      <c r="H207" s="1" t="s">
        <v>257</v>
      </c>
      <c r="J207" s="1" t="s">
        <v>258</v>
      </c>
      <c r="K207" s="1" t="s">
        <v>658</v>
      </c>
      <c r="L207" s="1" t="s">
        <v>2057</v>
      </c>
      <c r="M207" s="1" t="s">
        <v>260</v>
      </c>
      <c r="N207" s="1" t="s">
        <v>261</v>
      </c>
      <c r="O207" s="1" t="s">
        <v>2098</v>
      </c>
      <c r="P207" s="1" t="str">
        <f t="shared" si="9"/>
        <v>BC Formoso1.2Inverter(MBUS-15)45995,3937545995,3937545995,4131944444</v>
      </c>
      <c r="Q207" s="1" t="str">
        <f t="shared" si="10"/>
        <v>DAURDE</v>
      </c>
    </row>
    <row r="208" spans="2:17" hidden="1">
      <c r="B208" s="1" t="s">
        <v>805</v>
      </c>
      <c r="C208" s="1" t="s">
        <v>263</v>
      </c>
      <c r="D208" s="52">
        <v>45995.393750000003</v>
      </c>
      <c r="E208" s="52">
        <v>45995.393750000003</v>
      </c>
      <c r="F208" s="52">
        <v>45995.413194444445</v>
      </c>
      <c r="G208" s="53">
        <f t="shared" si="8"/>
        <v>1.9444444442342501E-2</v>
      </c>
      <c r="H208" s="1" t="s">
        <v>257</v>
      </c>
      <c r="J208" s="1" t="s">
        <v>258</v>
      </c>
      <c r="K208" s="1" t="s">
        <v>658</v>
      </c>
      <c r="L208" s="1" t="s">
        <v>2057</v>
      </c>
      <c r="M208" s="1" t="s">
        <v>260</v>
      </c>
      <c r="N208" s="1" t="s">
        <v>261</v>
      </c>
      <c r="O208" s="1" t="s">
        <v>2098</v>
      </c>
      <c r="P208" s="1" t="str">
        <f t="shared" si="9"/>
        <v>BC Formoso1.2Inverter(MBUS-14)45995,3937545995,3937545995,4131944444</v>
      </c>
      <c r="Q208" s="1" t="str">
        <f t="shared" si="10"/>
        <v>DAURDE</v>
      </c>
    </row>
    <row r="209" spans="2:17" hidden="1">
      <c r="B209" s="1" t="s">
        <v>806</v>
      </c>
      <c r="C209" s="1" t="s">
        <v>264</v>
      </c>
      <c r="D209" s="52">
        <v>45995.393750000003</v>
      </c>
      <c r="E209" s="52">
        <v>45995.393750000003</v>
      </c>
      <c r="F209" s="52">
        <v>45995.413194444445</v>
      </c>
      <c r="G209" s="53">
        <f t="shared" si="8"/>
        <v>1.9444444442342501E-2</v>
      </c>
      <c r="H209" s="1" t="s">
        <v>257</v>
      </c>
      <c r="J209" s="1" t="s">
        <v>258</v>
      </c>
      <c r="K209" s="1" t="s">
        <v>658</v>
      </c>
      <c r="L209" s="1" t="s">
        <v>2057</v>
      </c>
      <c r="M209" s="1" t="s">
        <v>260</v>
      </c>
      <c r="N209" s="1" t="s">
        <v>261</v>
      </c>
      <c r="O209" s="1" t="s">
        <v>2098</v>
      </c>
      <c r="P209" s="1" t="str">
        <f t="shared" si="9"/>
        <v>BC Formoso1.3Inverter(MBUS-13)45995,3937545995,3937545995,4131944444</v>
      </c>
      <c r="Q209" s="1" t="str">
        <f t="shared" si="10"/>
        <v>DAURDE</v>
      </c>
    </row>
    <row r="210" spans="2:17" hidden="1">
      <c r="B210" s="1" t="s">
        <v>806</v>
      </c>
      <c r="C210" s="1" t="s">
        <v>256</v>
      </c>
      <c r="D210" s="52">
        <v>45995.393750000003</v>
      </c>
      <c r="E210" s="52">
        <v>45995.393750000003</v>
      </c>
      <c r="F210" s="52">
        <v>45995.413194444445</v>
      </c>
      <c r="G210" s="53">
        <f t="shared" si="8"/>
        <v>1.9444444442342501E-2</v>
      </c>
      <c r="H210" s="1" t="s">
        <v>257</v>
      </c>
      <c r="J210" s="1" t="s">
        <v>258</v>
      </c>
      <c r="K210" s="1" t="s">
        <v>658</v>
      </c>
      <c r="L210" s="1" t="s">
        <v>2057</v>
      </c>
      <c r="M210" s="1" t="s">
        <v>260</v>
      </c>
      <c r="N210" s="1" t="s">
        <v>261</v>
      </c>
      <c r="O210" s="1" t="s">
        <v>2098</v>
      </c>
      <c r="P210" s="1" t="str">
        <f t="shared" si="9"/>
        <v>BC Formoso1.3Inverter(MBUS-12)45995,3937545995,3937545995,4131944444</v>
      </c>
      <c r="Q210" s="1" t="str">
        <f t="shared" si="10"/>
        <v>DAURDE</v>
      </c>
    </row>
    <row r="211" spans="2:17" hidden="1">
      <c r="B211" s="1" t="s">
        <v>729</v>
      </c>
      <c r="C211" s="1" t="s">
        <v>730</v>
      </c>
      <c r="D211" s="52">
        <v>45995.40625</v>
      </c>
      <c r="E211" s="52">
        <v>45995.40625</v>
      </c>
      <c r="F211" s="52">
        <v>45995.486111111109</v>
      </c>
      <c r="G211" s="53">
        <f t="shared" si="8"/>
        <v>7.9861111109494232E-2</v>
      </c>
      <c r="H211" s="1" t="s">
        <v>677</v>
      </c>
      <c r="J211" s="1" t="s">
        <v>230</v>
      </c>
      <c r="K211" s="1" t="s">
        <v>230</v>
      </c>
      <c r="L211" s="1" t="s">
        <v>2081</v>
      </c>
      <c r="M211" s="1" t="s">
        <v>663</v>
      </c>
      <c r="N211" s="1" t="s">
        <v>672</v>
      </c>
      <c r="O211" s="1" t="s">
        <v>2099</v>
      </c>
      <c r="P211" s="1" t="str">
        <f t="shared" si="9"/>
        <v>BC Varjao1.1UFV 1 - INV 145995,4062545995,4062545995,4861111111</v>
      </c>
      <c r="Q211" s="1" t="str">
        <f t="shared" si="10"/>
        <v>DPRUFV</v>
      </c>
    </row>
    <row r="212" spans="2:17" hidden="1">
      <c r="B212" s="1" t="s">
        <v>729</v>
      </c>
      <c r="C212" s="1" t="s">
        <v>732</v>
      </c>
      <c r="D212" s="52">
        <v>45995.40625</v>
      </c>
      <c r="E212" s="52">
        <v>45995.40625</v>
      </c>
      <c r="F212" s="52">
        <v>45995.486111111109</v>
      </c>
      <c r="G212" s="53">
        <f t="shared" si="8"/>
        <v>7.9861111109494232E-2</v>
      </c>
      <c r="H212" s="1" t="s">
        <v>677</v>
      </c>
      <c r="J212" s="1" t="s">
        <v>230</v>
      </c>
      <c r="K212" s="1" t="s">
        <v>230</v>
      </c>
      <c r="L212" s="1" t="s">
        <v>2081</v>
      </c>
      <c r="M212" s="1" t="s">
        <v>663</v>
      </c>
      <c r="N212" s="1" t="s">
        <v>672</v>
      </c>
      <c r="O212" s="1" t="s">
        <v>2099</v>
      </c>
      <c r="P212" s="1" t="str">
        <f t="shared" si="9"/>
        <v>BC Varjao1.1UFV 1 - INV 545995,4062545995,4062545995,4861111111</v>
      </c>
      <c r="Q212" s="1" t="str">
        <f t="shared" si="10"/>
        <v>DPRUFV</v>
      </c>
    </row>
    <row r="213" spans="2:17" hidden="1">
      <c r="B213" s="1" t="s">
        <v>729</v>
      </c>
      <c r="C213" s="1" t="s">
        <v>733</v>
      </c>
      <c r="D213" s="52">
        <v>45995.40625</v>
      </c>
      <c r="E213" s="52">
        <v>45995.40625</v>
      </c>
      <c r="F213" s="52">
        <v>45995.486111111109</v>
      </c>
      <c r="G213" s="53">
        <f t="shared" si="8"/>
        <v>7.9861111109494232E-2</v>
      </c>
      <c r="H213" s="1" t="s">
        <v>677</v>
      </c>
      <c r="J213" s="1" t="s">
        <v>230</v>
      </c>
      <c r="K213" s="1" t="s">
        <v>230</v>
      </c>
      <c r="L213" s="1" t="s">
        <v>2081</v>
      </c>
      <c r="M213" s="1" t="s">
        <v>663</v>
      </c>
      <c r="N213" s="1" t="s">
        <v>672</v>
      </c>
      <c r="O213" s="1" t="s">
        <v>2099</v>
      </c>
      <c r="P213" s="1" t="str">
        <f t="shared" si="9"/>
        <v>BC Varjao1.1UFV 1 - INV 445995,4062545995,4062545995,4861111111</v>
      </c>
      <c r="Q213" s="1" t="str">
        <f t="shared" si="10"/>
        <v>DPRUFV</v>
      </c>
    </row>
    <row r="214" spans="2:17" hidden="1">
      <c r="B214" s="1" t="s">
        <v>729</v>
      </c>
      <c r="C214" s="1" t="s">
        <v>734</v>
      </c>
      <c r="D214" s="52">
        <v>45995.40625</v>
      </c>
      <c r="E214" s="52">
        <v>45995.40625</v>
      </c>
      <c r="F214" s="52">
        <v>45995.486111111109</v>
      </c>
      <c r="G214" s="53">
        <f t="shared" si="8"/>
        <v>7.9861111109494232E-2</v>
      </c>
      <c r="H214" s="1" t="s">
        <v>677</v>
      </c>
      <c r="J214" s="1" t="s">
        <v>230</v>
      </c>
      <c r="K214" s="1" t="s">
        <v>230</v>
      </c>
      <c r="L214" s="1" t="s">
        <v>2081</v>
      </c>
      <c r="M214" s="1" t="s">
        <v>663</v>
      </c>
      <c r="N214" s="1" t="s">
        <v>672</v>
      </c>
      <c r="O214" s="1" t="s">
        <v>2099</v>
      </c>
      <c r="P214" s="1" t="str">
        <f t="shared" si="9"/>
        <v>BC Varjao1.1UFV 1 - INV 345995,4062545995,4062545995,4861111111</v>
      </c>
      <c r="Q214" s="1" t="str">
        <f t="shared" si="10"/>
        <v>DPRUFV</v>
      </c>
    </row>
    <row r="215" spans="2:17" hidden="1">
      <c r="B215" s="1" t="s">
        <v>729</v>
      </c>
      <c r="C215" s="1" t="s">
        <v>735</v>
      </c>
      <c r="D215" s="52">
        <v>45995.40625</v>
      </c>
      <c r="E215" s="52">
        <v>45995.40625</v>
      </c>
      <c r="F215" s="52">
        <v>45995.486111111109</v>
      </c>
      <c r="G215" s="53">
        <f t="shared" si="8"/>
        <v>7.9861111109494232E-2</v>
      </c>
      <c r="H215" s="1" t="s">
        <v>677</v>
      </c>
      <c r="J215" s="1" t="s">
        <v>230</v>
      </c>
      <c r="K215" s="1" t="s">
        <v>230</v>
      </c>
      <c r="L215" s="1" t="s">
        <v>2081</v>
      </c>
      <c r="M215" s="1" t="s">
        <v>663</v>
      </c>
      <c r="N215" s="1" t="s">
        <v>672</v>
      </c>
      <c r="O215" s="1" t="s">
        <v>2099</v>
      </c>
      <c r="P215" s="1" t="str">
        <f t="shared" si="9"/>
        <v>BC Varjao1.1UFV 1 - INV 245995,4062545995,4062545995,4861111111</v>
      </c>
      <c r="Q215" s="1" t="str">
        <f t="shared" si="10"/>
        <v>DPRUFV</v>
      </c>
    </row>
    <row r="216" spans="2:17" hidden="1">
      <c r="B216" s="1" t="s">
        <v>375</v>
      </c>
      <c r="C216" s="1" t="s">
        <v>247</v>
      </c>
      <c r="D216" s="52">
        <v>45995.409722222219</v>
      </c>
      <c r="E216" s="52">
        <v>45995.409722222219</v>
      </c>
      <c r="F216" s="52">
        <v>45996.625</v>
      </c>
      <c r="G216" s="53">
        <f t="shared" si="8"/>
        <v>1.2152777777810115</v>
      </c>
      <c r="H216" s="1" t="s">
        <v>677</v>
      </c>
      <c r="J216" s="1" t="s">
        <v>230</v>
      </c>
      <c r="K216" s="1" t="str">
        <f>_xlfn.XLOOKUP(J216,REF!$D$2:$D$12,REF!$E$2:$E$12)</f>
        <v>UFV</v>
      </c>
      <c r="L216" s="1" t="s">
        <v>2100</v>
      </c>
      <c r="M216" s="1" t="s">
        <v>663</v>
      </c>
      <c r="N216" s="1" t="s">
        <v>672</v>
      </c>
      <c r="O216" s="1" t="s">
        <v>2101</v>
      </c>
      <c r="P216" s="1" t="str">
        <f t="shared" si="9"/>
        <v>BC Camarao1.1Inverter(MBUS-1)45995,409722222245995,409722222245996,625</v>
      </c>
      <c r="Q216" s="1" t="str">
        <f t="shared" si="10"/>
        <v>DPRUFV</v>
      </c>
    </row>
    <row r="217" spans="2:17" hidden="1">
      <c r="B217" s="1" t="s">
        <v>375</v>
      </c>
      <c r="C217" s="1" t="s">
        <v>377</v>
      </c>
      <c r="D217" s="52">
        <v>45995.409722222219</v>
      </c>
      <c r="E217" s="52">
        <v>45995.409722222219</v>
      </c>
      <c r="F217" s="52">
        <v>45996.625</v>
      </c>
      <c r="G217" s="53">
        <f t="shared" si="8"/>
        <v>1.2152777777810115</v>
      </c>
      <c r="H217" s="1" t="s">
        <v>677</v>
      </c>
      <c r="J217" s="1" t="s">
        <v>230</v>
      </c>
      <c r="K217" s="1" t="str">
        <f>_xlfn.XLOOKUP(J217,REF!$D$2:$D$12,REF!$E$2:$E$12)</f>
        <v>UFV</v>
      </c>
      <c r="L217" s="1" t="s">
        <v>2100</v>
      </c>
      <c r="M217" s="1" t="s">
        <v>663</v>
      </c>
      <c r="N217" s="1" t="s">
        <v>672</v>
      </c>
      <c r="O217" s="1" t="s">
        <v>2101</v>
      </c>
      <c r="P217" s="1" t="str">
        <f t="shared" si="9"/>
        <v>BC Camarao1.1215KTL-H3(MBUS-12)45995,409722222245995,409722222245996,625</v>
      </c>
      <c r="Q217" s="1" t="str">
        <f t="shared" si="10"/>
        <v>DPRUFV</v>
      </c>
    </row>
    <row r="218" spans="2:17" hidden="1">
      <c r="B218" s="1" t="s">
        <v>375</v>
      </c>
      <c r="C218" s="1" t="s">
        <v>378</v>
      </c>
      <c r="D218" s="52">
        <v>45995.409722222219</v>
      </c>
      <c r="E218" s="52">
        <v>45995.409722222219</v>
      </c>
      <c r="F218" s="52">
        <v>45996.625</v>
      </c>
      <c r="G218" s="53">
        <f t="shared" si="8"/>
        <v>1.2152777777810115</v>
      </c>
      <c r="H218" s="1" t="s">
        <v>677</v>
      </c>
      <c r="J218" s="1" t="s">
        <v>230</v>
      </c>
      <c r="K218" s="1" t="str">
        <f>_xlfn.XLOOKUP(J218,REF!$D$2:$D$12,REF!$E$2:$E$12)</f>
        <v>UFV</v>
      </c>
      <c r="L218" s="1" t="s">
        <v>2100</v>
      </c>
      <c r="M218" s="1" t="s">
        <v>663</v>
      </c>
      <c r="N218" s="1" t="s">
        <v>672</v>
      </c>
      <c r="O218" s="1" t="s">
        <v>2101</v>
      </c>
      <c r="P218" s="1" t="str">
        <f t="shared" si="9"/>
        <v>BC Camarao1.1215KTL-H3(MBUS-13)45995,409722222245995,409722222245996,625</v>
      </c>
      <c r="Q218" s="1" t="str">
        <f t="shared" si="10"/>
        <v>DPRUFV</v>
      </c>
    </row>
    <row r="219" spans="2:17" hidden="1">
      <c r="B219" s="1" t="s">
        <v>375</v>
      </c>
      <c r="C219" s="1" t="s">
        <v>379</v>
      </c>
      <c r="D219" s="52">
        <v>45995.409722222219</v>
      </c>
      <c r="E219" s="52">
        <v>45995.409722222219</v>
      </c>
      <c r="F219" s="52">
        <v>45996.625</v>
      </c>
      <c r="G219" s="53">
        <f t="shared" si="8"/>
        <v>1.2152777777810115</v>
      </c>
      <c r="H219" s="1" t="s">
        <v>677</v>
      </c>
      <c r="J219" s="1" t="s">
        <v>230</v>
      </c>
      <c r="K219" s="1" t="str">
        <f>_xlfn.XLOOKUP(J219,REF!$D$2:$D$12,REF!$E$2:$E$12)</f>
        <v>UFV</v>
      </c>
      <c r="L219" s="1" t="s">
        <v>2100</v>
      </c>
      <c r="M219" s="1" t="s">
        <v>663</v>
      </c>
      <c r="N219" s="1" t="s">
        <v>672</v>
      </c>
      <c r="O219" s="1" t="s">
        <v>2101</v>
      </c>
      <c r="P219" s="1" t="str">
        <f t="shared" si="9"/>
        <v>BC Camarao1.1215KTL-H3(MBUS-16)45995,409722222245995,409722222245996,625</v>
      </c>
      <c r="Q219" s="1" t="str">
        <f t="shared" si="10"/>
        <v>DPRUFV</v>
      </c>
    </row>
    <row r="220" spans="2:17" hidden="1">
      <c r="B220" s="1" t="s">
        <v>375</v>
      </c>
      <c r="C220" s="1" t="s">
        <v>380</v>
      </c>
      <c r="D220" s="52">
        <v>45995.409722222219</v>
      </c>
      <c r="E220" s="52">
        <v>45995.409722222219</v>
      </c>
      <c r="F220" s="52">
        <v>45996.625</v>
      </c>
      <c r="G220" s="53">
        <f t="shared" si="8"/>
        <v>1.2152777777810115</v>
      </c>
      <c r="H220" s="1" t="s">
        <v>677</v>
      </c>
      <c r="J220" s="1" t="s">
        <v>230</v>
      </c>
      <c r="K220" s="1" t="str">
        <f>_xlfn.XLOOKUP(J220,REF!$D$2:$D$12,REF!$E$2:$E$12)</f>
        <v>UFV</v>
      </c>
      <c r="L220" s="1" t="s">
        <v>2100</v>
      </c>
      <c r="M220" s="1" t="s">
        <v>663</v>
      </c>
      <c r="N220" s="1" t="s">
        <v>672</v>
      </c>
      <c r="O220" s="1" t="s">
        <v>2101</v>
      </c>
      <c r="P220" s="1" t="str">
        <f t="shared" si="9"/>
        <v>BC Camarao1.1215KTL-H3(MBUS-15)45995,409722222245995,409722222245996,625</v>
      </c>
      <c r="Q220" s="1" t="str">
        <f t="shared" si="10"/>
        <v>DPRUFV</v>
      </c>
    </row>
    <row r="221" spans="2:17" hidden="1">
      <c r="B221" s="1" t="s">
        <v>387</v>
      </c>
      <c r="C221" s="1" t="s">
        <v>389</v>
      </c>
      <c r="D221" s="52">
        <v>45995.409722222219</v>
      </c>
      <c r="E221" s="52">
        <v>45995.409722222219</v>
      </c>
      <c r="F221" s="52">
        <v>45996.625</v>
      </c>
      <c r="G221" s="53">
        <f t="shared" si="8"/>
        <v>1.2152777777810115</v>
      </c>
      <c r="H221" s="1" t="s">
        <v>677</v>
      </c>
      <c r="J221" s="1" t="s">
        <v>230</v>
      </c>
      <c r="K221" s="1" t="str">
        <f>_xlfn.XLOOKUP(J221,REF!$D$2:$D$12,REF!$E$2:$E$12)</f>
        <v>UFV</v>
      </c>
      <c r="L221" s="1" t="s">
        <v>2100</v>
      </c>
      <c r="M221" s="1" t="s">
        <v>663</v>
      </c>
      <c r="N221" s="1" t="s">
        <v>672</v>
      </c>
      <c r="O221" s="1" t="s">
        <v>2101</v>
      </c>
      <c r="P221" s="1" t="str">
        <f t="shared" si="9"/>
        <v>BC Camarao1.2Inv. 445995,409722222245995,409722222245996,625</v>
      </c>
      <c r="Q221" s="1" t="str">
        <f t="shared" si="10"/>
        <v>DPRUFV</v>
      </c>
    </row>
    <row r="222" spans="2:17" hidden="1">
      <c r="B222" s="1" t="s">
        <v>387</v>
      </c>
      <c r="C222" s="1" t="s">
        <v>390</v>
      </c>
      <c r="D222" s="52">
        <v>45995.409722222219</v>
      </c>
      <c r="E222" s="52">
        <v>45995.409722222219</v>
      </c>
      <c r="F222" s="52">
        <v>45996.625</v>
      </c>
      <c r="G222" s="53">
        <f t="shared" si="8"/>
        <v>1.2152777777810115</v>
      </c>
      <c r="H222" s="1" t="s">
        <v>677</v>
      </c>
      <c r="J222" s="1" t="s">
        <v>230</v>
      </c>
      <c r="K222" s="1" t="str">
        <f>_xlfn.XLOOKUP(J222,REF!$D$2:$D$12,REF!$E$2:$E$12)</f>
        <v>UFV</v>
      </c>
      <c r="L222" s="1" t="s">
        <v>2100</v>
      </c>
      <c r="M222" s="1" t="s">
        <v>663</v>
      </c>
      <c r="N222" s="1" t="s">
        <v>672</v>
      </c>
      <c r="O222" s="1" t="s">
        <v>2101</v>
      </c>
      <c r="P222" s="1" t="str">
        <f t="shared" si="9"/>
        <v>BC Camarao1.2Inverter(MBUS-16)45995,409722222245995,409722222245996,625</v>
      </c>
      <c r="Q222" s="1" t="str">
        <f t="shared" si="10"/>
        <v>DPRUFV</v>
      </c>
    </row>
    <row r="223" spans="2:17" hidden="1">
      <c r="B223" s="1" t="s">
        <v>387</v>
      </c>
      <c r="C223" s="1" t="s">
        <v>256</v>
      </c>
      <c r="D223" s="52">
        <v>45995.409722222219</v>
      </c>
      <c r="E223" s="52">
        <v>45995.409722222219</v>
      </c>
      <c r="F223" s="52">
        <v>45996.625</v>
      </c>
      <c r="G223" s="53">
        <f t="shared" si="8"/>
        <v>1.2152777777810115</v>
      </c>
      <c r="H223" s="1" t="s">
        <v>677</v>
      </c>
      <c r="J223" s="1" t="s">
        <v>230</v>
      </c>
      <c r="K223" s="1" t="str">
        <f>_xlfn.XLOOKUP(J223,REF!$D$2:$D$12,REF!$E$2:$E$12)</f>
        <v>UFV</v>
      </c>
      <c r="L223" s="1" t="s">
        <v>2100</v>
      </c>
      <c r="M223" s="1" t="s">
        <v>663</v>
      </c>
      <c r="N223" s="1" t="s">
        <v>672</v>
      </c>
      <c r="O223" s="1" t="s">
        <v>2101</v>
      </c>
      <c r="P223" s="1" t="str">
        <f t="shared" si="9"/>
        <v>BC Camarao1.2Inverter(MBUS-12)45995,409722222245995,409722222245996,625</v>
      </c>
      <c r="Q223" s="1" t="str">
        <f t="shared" si="10"/>
        <v>DPRUFV</v>
      </c>
    </row>
    <row r="224" spans="2:17" hidden="1">
      <c r="B224" s="1" t="s">
        <v>387</v>
      </c>
      <c r="C224" s="1" t="s">
        <v>388</v>
      </c>
      <c r="D224" s="52">
        <v>45995.409722222219</v>
      </c>
      <c r="E224" s="52">
        <v>45995.409722222219</v>
      </c>
      <c r="F224" s="52">
        <v>45996.625</v>
      </c>
      <c r="G224" s="53">
        <f t="shared" si="8"/>
        <v>1.2152777777810115</v>
      </c>
      <c r="H224" s="1" t="s">
        <v>677</v>
      </c>
      <c r="J224" s="1" t="s">
        <v>230</v>
      </c>
      <c r="K224" s="1" t="str">
        <f>_xlfn.XLOOKUP(J224,REF!$D$2:$D$12,REF!$E$2:$E$12)</f>
        <v>UFV</v>
      </c>
      <c r="L224" s="1" t="s">
        <v>2100</v>
      </c>
      <c r="M224" s="1" t="s">
        <v>663</v>
      </c>
      <c r="N224" s="1" t="s">
        <v>672</v>
      </c>
      <c r="O224" s="1" t="s">
        <v>2101</v>
      </c>
      <c r="P224" s="1" t="str">
        <f t="shared" si="9"/>
        <v>BC Camarao1.2Inv. 345995,409722222245995,409722222245996,625</v>
      </c>
      <c r="Q224" s="1" t="str">
        <f t="shared" si="10"/>
        <v>DPRUFV</v>
      </c>
    </row>
    <row r="225" spans="2:17" hidden="1">
      <c r="B225" s="1" t="s">
        <v>387</v>
      </c>
      <c r="C225" s="1" t="s">
        <v>247</v>
      </c>
      <c r="D225" s="52">
        <v>45995.409722222219</v>
      </c>
      <c r="E225" s="52">
        <v>45995.409722222219</v>
      </c>
      <c r="F225" s="52">
        <v>45996.625</v>
      </c>
      <c r="G225" s="53">
        <f t="shared" si="8"/>
        <v>1.2152777777810115</v>
      </c>
      <c r="H225" s="1" t="s">
        <v>677</v>
      </c>
      <c r="J225" s="1" t="s">
        <v>230</v>
      </c>
      <c r="K225" s="1" t="str">
        <f>_xlfn.XLOOKUP(J225,REF!$D$2:$D$12,REF!$E$2:$E$12)</f>
        <v>UFV</v>
      </c>
      <c r="L225" s="1" t="s">
        <v>2100</v>
      </c>
      <c r="M225" s="1" t="s">
        <v>663</v>
      </c>
      <c r="N225" s="1" t="s">
        <v>672</v>
      </c>
      <c r="O225" s="1" t="s">
        <v>2101</v>
      </c>
      <c r="P225" s="1" t="str">
        <f t="shared" si="9"/>
        <v>BC Camarao1.2Inverter(MBUS-1)45995,409722222245995,409722222245996,625</v>
      </c>
      <c r="Q225" s="1" t="str">
        <f t="shared" si="10"/>
        <v>DPRUFV</v>
      </c>
    </row>
    <row r="226" spans="2:17" hidden="1">
      <c r="B226" s="1" t="s">
        <v>381</v>
      </c>
      <c r="C226" s="1" t="s">
        <v>379</v>
      </c>
      <c r="D226" s="52">
        <v>45995.409722222219</v>
      </c>
      <c r="E226" s="52">
        <v>45995.409722222219</v>
      </c>
      <c r="F226" s="52">
        <v>45996.625</v>
      </c>
      <c r="G226" s="53">
        <f t="shared" si="8"/>
        <v>1.2152777777810115</v>
      </c>
      <c r="H226" s="1" t="s">
        <v>677</v>
      </c>
      <c r="J226" s="1" t="s">
        <v>230</v>
      </c>
      <c r="K226" s="1" t="str">
        <f>_xlfn.XLOOKUP(J226,REF!$D$2:$D$12,REF!$E$2:$E$12)</f>
        <v>UFV</v>
      </c>
      <c r="L226" s="1" t="s">
        <v>2100</v>
      </c>
      <c r="M226" s="1" t="s">
        <v>663</v>
      </c>
      <c r="N226" s="1" t="s">
        <v>672</v>
      </c>
      <c r="O226" s="1" t="s">
        <v>2101</v>
      </c>
      <c r="P226" s="1" t="str">
        <f t="shared" si="9"/>
        <v>BC Camarao1.3215KTL-H3(MBUS-16)45995,409722222245995,409722222245996,625</v>
      </c>
      <c r="Q226" s="1" t="str">
        <f t="shared" si="10"/>
        <v>DPRUFV</v>
      </c>
    </row>
    <row r="227" spans="2:17" hidden="1">
      <c r="B227" s="1" t="s">
        <v>381</v>
      </c>
      <c r="C227" s="1" t="s">
        <v>382</v>
      </c>
      <c r="D227" s="52">
        <v>45995.409722222219</v>
      </c>
      <c r="E227" s="52">
        <v>45995.409722222219</v>
      </c>
      <c r="F227" s="52">
        <v>45996.625</v>
      </c>
      <c r="G227" s="53">
        <f t="shared" si="8"/>
        <v>1.2152777777810115</v>
      </c>
      <c r="H227" s="1" t="s">
        <v>677</v>
      </c>
      <c r="J227" s="1" t="s">
        <v>230</v>
      </c>
      <c r="K227" s="1" t="str">
        <f>_xlfn.XLOOKUP(J227,REF!$D$2:$D$12,REF!$E$2:$E$12)</f>
        <v>UFV</v>
      </c>
      <c r="L227" s="1" t="s">
        <v>2100</v>
      </c>
      <c r="M227" s="1" t="s">
        <v>663</v>
      </c>
      <c r="N227" s="1" t="s">
        <v>672</v>
      </c>
      <c r="O227" s="1" t="s">
        <v>2101</v>
      </c>
      <c r="P227" s="1" t="str">
        <f t="shared" si="9"/>
        <v>BC Camarao1.3215KTL-H3(MBUS-14)45995,409722222245995,409722222245996,625</v>
      </c>
      <c r="Q227" s="1" t="str">
        <f t="shared" si="10"/>
        <v>DPRUFV</v>
      </c>
    </row>
    <row r="228" spans="2:17" hidden="1">
      <c r="B228" s="1" t="s">
        <v>381</v>
      </c>
      <c r="C228" s="1" t="s">
        <v>380</v>
      </c>
      <c r="D228" s="52">
        <v>45995.409722222219</v>
      </c>
      <c r="E228" s="52">
        <v>45995.409722222219</v>
      </c>
      <c r="F228" s="52">
        <v>45996.625</v>
      </c>
      <c r="G228" s="53">
        <f t="shared" si="8"/>
        <v>1.2152777777810115</v>
      </c>
      <c r="H228" s="1" t="s">
        <v>677</v>
      </c>
      <c r="J228" s="1" t="s">
        <v>230</v>
      </c>
      <c r="K228" s="1" t="str">
        <f>_xlfn.XLOOKUP(J228,REF!$D$2:$D$12,REF!$E$2:$E$12)</f>
        <v>UFV</v>
      </c>
      <c r="L228" s="1" t="s">
        <v>2100</v>
      </c>
      <c r="M228" s="1" t="s">
        <v>663</v>
      </c>
      <c r="N228" s="1" t="s">
        <v>672</v>
      </c>
      <c r="O228" s="1" t="s">
        <v>2101</v>
      </c>
      <c r="P228" s="1" t="str">
        <f t="shared" si="9"/>
        <v>BC Camarao1.3215KTL-H3(MBUS-15)45995,409722222245995,409722222245996,625</v>
      </c>
      <c r="Q228" s="1" t="str">
        <f t="shared" si="10"/>
        <v>DPRUFV</v>
      </c>
    </row>
    <row r="229" spans="2:17" hidden="1">
      <c r="B229" s="1" t="s">
        <v>381</v>
      </c>
      <c r="C229" s="1" t="s">
        <v>377</v>
      </c>
      <c r="D229" s="52">
        <v>45995.409722222219</v>
      </c>
      <c r="E229" s="52">
        <v>45995.409722222219</v>
      </c>
      <c r="F229" s="52">
        <v>45996.625</v>
      </c>
      <c r="G229" s="53">
        <f t="shared" si="8"/>
        <v>1.2152777777810115</v>
      </c>
      <c r="H229" s="1" t="s">
        <v>677</v>
      </c>
      <c r="J229" s="1" t="s">
        <v>230</v>
      </c>
      <c r="K229" s="1" t="str">
        <f>_xlfn.XLOOKUP(J229,REF!$D$2:$D$12,REF!$E$2:$E$12)</f>
        <v>UFV</v>
      </c>
      <c r="L229" s="1" t="s">
        <v>2100</v>
      </c>
      <c r="M229" s="1" t="s">
        <v>663</v>
      </c>
      <c r="N229" s="1" t="s">
        <v>672</v>
      </c>
      <c r="O229" s="1" t="s">
        <v>2101</v>
      </c>
      <c r="P229" s="1" t="str">
        <f t="shared" si="9"/>
        <v>BC Camarao1.3215KTL-H3(MBUS-12)45995,409722222245995,409722222245996,625</v>
      </c>
      <c r="Q229" s="1" t="str">
        <f t="shared" si="10"/>
        <v>DPRUFV</v>
      </c>
    </row>
    <row r="230" spans="2:17" hidden="1">
      <c r="B230" s="1" t="s">
        <v>381</v>
      </c>
      <c r="C230" s="1" t="s">
        <v>378</v>
      </c>
      <c r="D230" s="52">
        <v>45995.409722222219</v>
      </c>
      <c r="E230" s="52">
        <v>45995.409722222219</v>
      </c>
      <c r="F230" s="52">
        <v>45996.625</v>
      </c>
      <c r="G230" s="53">
        <f t="shared" si="8"/>
        <v>1.2152777777810115</v>
      </c>
      <c r="H230" s="1" t="s">
        <v>677</v>
      </c>
      <c r="J230" s="1" t="s">
        <v>230</v>
      </c>
      <c r="K230" s="1" t="str">
        <f>_xlfn.XLOOKUP(J230,REF!$D$2:$D$12,REF!$E$2:$E$12)</f>
        <v>UFV</v>
      </c>
      <c r="L230" s="1" t="s">
        <v>2100</v>
      </c>
      <c r="M230" s="1" t="s">
        <v>663</v>
      </c>
      <c r="N230" s="1" t="s">
        <v>672</v>
      </c>
      <c r="O230" s="1" t="s">
        <v>2101</v>
      </c>
      <c r="P230" s="1" t="str">
        <f t="shared" si="9"/>
        <v>BC Camarao1.3215KTL-H3(MBUS-13)45995,409722222245995,409722222245996,625</v>
      </c>
      <c r="Q230" s="1" t="str">
        <f t="shared" si="10"/>
        <v>DPRUFV</v>
      </c>
    </row>
    <row r="231" spans="2:17" hidden="1">
      <c r="B231" s="1" t="s">
        <v>391</v>
      </c>
      <c r="C231" s="1" t="s">
        <v>2059</v>
      </c>
      <c r="D231" s="52">
        <v>45995.409722222219</v>
      </c>
      <c r="E231" s="52">
        <v>45995.409722222219</v>
      </c>
      <c r="F231" s="52">
        <v>45996.625</v>
      </c>
      <c r="G231" s="53">
        <f t="shared" si="8"/>
        <v>1.2152777777810115</v>
      </c>
      <c r="H231" s="1" t="s">
        <v>677</v>
      </c>
      <c r="J231" s="1" t="s">
        <v>230</v>
      </c>
      <c r="K231" s="1" t="str">
        <f>_xlfn.XLOOKUP(J231,REF!$D$2:$D$12,REF!$E$2:$E$12)</f>
        <v>UFV</v>
      </c>
      <c r="L231" s="1" t="s">
        <v>2100</v>
      </c>
      <c r="M231" s="1" t="s">
        <v>663</v>
      </c>
      <c r="N231" s="1" t="s">
        <v>672</v>
      </c>
      <c r="O231" s="1" t="s">
        <v>2101</v>
      </c>
      <c r="P231" s="1" t="str">
        <f t="shared" si="9"/>
        <v>BC Camarao1.4inv. 145995,409722222245995,409722222245996,625</v>
      </c>
      <c r="Q231" s="1" t="str">
        <f t="shared" si="10"/>
        <v>DPRUFV</v>
      </c>
    </row>
    <row r="232" spans="2:17" hidden="1">
      <c r="B232" s="1" t="s">
        <v>391</v>
      </c>
      <c r="C232" s="1" t="s">
        <v>382</v>
      </c>
      <c r="D232" s="52">
        <v>45995.409722222219</v>
      </c>
      <c r="E232" s="52">
        <v>45995.409722222219</v>
      </c>
      <c r="F232" s="52">
        <v>45996.625</v>
      </c>
      <c r="G232" s="53">
        <f t="shared" si="8"/>
        <v>1.2152777777810115</v>
      </c>
      <c r="H232" s="1" t="s">
        <v>677</v>
      </c>
      <c r="J232" s="1" t="s">
        <v>230</v>
      </c>
      <c r="K232" s="1" t="str">
        <f>_xlfn.XLOOKUP(J232,REF!$D$2:$D$12,REF!$E$2:$E$12)</f>
        <v>UFV</v>
      </c>
      <c r="L232" s="1" t="s">
        <v>2100</v>
      </c>
      <c r="M232" s="1" t="s">
        <v>663</v>
      </c>
      <c r="N232" s="1" t="s">
        <v>672</v>
      </c>
      <c r="O232" s="1" t="s">
        <v>2101</v>
      </c>
      <c r="P232" s="1" t="str">
        <f t="shared" si="9"/>
        <v>BC Camarao1.4215KTL-H3(MBUS-14)45995,409722222245995,409722222245996,625</v>
      </c>
      <c r="Q232" s="1" t="str">
        <f t="shared" si="10"/>
        <v>DPRUFV</v>
      </c>
    </row>
    <row r="233" spans="2:17" hidden="1">
      <c r="B233" s="1" t="s">
        <v>391</v>
      </c>
      <c r="C233" s="1" t="s">
        <v>378</v>
      </c>
      <c r="D233" s="52">
        <v>45995.409722222219</v>
      </c>
      <c r="E233" s="52">
        <v>45995.409722222219</v>
      </c>
      <c r="F233" s="52">
        <v>45996.625</v>
      </c>
      <c r="G233" s="53">
        <f t="shared" si="8"/>
        <v>1.2152777777810115</v>
      </c>
      <c r="H233" s="1" t="s">
        <v>677</v>
      </c>
      <c r="J233" s="1" t="s">
        <v>230</v>
      </c>
      <c r="K233" s="1" t="str">
        <f>_xlfn.XLOOKUP(J233,REF!$D$2:$D$12,REF!$E$2:$E$12)</f>
        <v>UFV</v>
      </c>
      <c r="L233" s="1" t="s">
        <v>2100</v>
      </c>
      <c r="M233" s="1" t="s">
        <v>663</v>
      </c>
      <c r="N233" s="1" t="s">
        <v>672</v>
      </c>
      <c r="O233" s="1" t="s">
        <v>2101</v>
      </c>
      <c r="P233" s="1" t="str">
        <f t="shared" si="9"/>
        <v>BC Camarao1.4215KTL-H3(MBUS-13)45995,409722222245995,409722222245996,625</v>
      </c>
      <c r="Q233" s="1" t="str">
        <f t="shared" si="10"/>
        <v>DPRUFV</v>
      </c>
    </row>
    <row r="234" spans="2:17" hidden="1">
      <c r="B234" s="1" t="s">
        <v>391</v>
      </c>
      <c r="C234" s="1" t="s">
        <v>379</v>
      </c>
      <c r="D234" s="52">
        <v>45995.409722222219</v>
      </c>
      <c r="E234" s="52">
        <v>45995.409722222219</v>
      </c>
      <c r="F234" s="52">
        <v>45996.625</v>
      </c>
      <c r="G234" s="53">
        <f t="shared" si="8"/>
        <v>1.2152777777810115</v>
      </c>
      <c r="H234" s="1" t="s">
        <v>677</v>
      </c>
      <c r="J234" s="1" t="s">
        <v>230</v>
      </c>
      <c r="K234" s="1" t="str">
        <f>_xlfn.XLOOKUP(J234,REF!$D$2:$D$12,REF!$E$2:$E$12)</f>
        <v>UFV</v>
      </c>
      <c r="L234" s="1" t="s">
        <v>2100</v>
      </c>
      <c r="M234" s="1" t="s">
        <v>663</v>
      </c>
      <c r="N234" s="1" t="s">
        <v>672</v>
      </c>
      <c r="O234" s="1" t="s">
        <v>2101</v>
      </c>
      <c r="P234" s="1" t="str">
        <f t="shared" si="9"/>
        <v>BC Camarao1.4215KTL-H3(MBUS-16)45995,409722222245995,409722222245996,625</v>
      </c>
      <c r="Q234" s="1" t="str">
        <f t="shared" si="10"/>
        <v>DPRUFV</v>
      </c>
    </row>
    <row r="235" spans="2:17" hidden="1">
      <c r="B235" s="1" t="s">
        <v>391</v>
      </c>
      <c r="C235" s="1" t="s">
        <v>380</v>
      </c>
      <c r="D235" s="52">
        <v>45995.409722222219</v>
      </c>
      <c r="E235" s="52">
        <v>45995.409722222219</v>
      </c>
      <c r="F235" s="52">
        <v>45996.625</v>
      </c>
      <c r="G235" s="53">
        <f t="shared" si="8"/>
        <v>1.2152777777810115</v>
      </c>
      <c r="H235" s="1" t="s">
        <v>677</v>
      </c>
      <c r="J235" s="1" t="s">
        <v>230</v>
      </c>
      <c r="K235" s="1" t="str">
        <f>_xlfn.XLOOKUP(J235,REF!$D$2:$D$12,REF!$E$2:$E$12)</f>
        <v>UFV</v>
      </c>
      <c r="L235" s="1" t="s">
        <v>2100</v>
      </c>
      <c r="M235" s="1" t="s">
        <v>663</v>
      </c>
      <c r="N235" s="1" t="s">
        <v>672</v>
      </c>
      <c r="O235" s="1" t="s">
        <v>2101</v>
      </c>
      <c r="P235" s="1" t="str">
        <f t="shared" si="9"/>
        <v>BC Camarao1.4215KTL-H3(MBUS-15)45995,409722222245995,409722222245996,625</v>
      </c>
      <c r="Q235" s="1" t="str">
        <f t="shared" si="10"/>
        <v>DPRUFV</v>
      </c>
    </row>
    <row r="236" spans="2:17" hidden="1">
      <c r="B236" s="1" t="s">
        <v>519</v>
      </c>
      <c r="C236" s="1" t="s">
        <v>380</v>
      </c>
      <c r="D236" s="52">
        <v>45995.409722222219</v>
      </c>
      <c r="E236" s="52">
        <v>45995.409722222219</v>
      </c>
      <c r="F236" s="52">
        <v>45996.625</v>
      </c>
      <c r="G236" s="53">
        <f t="shared" si="8"/>
        <v>1.2152777777810115</v>
      </c>
      <c r="H236" s="1" t="s">
        <v>677</v>
      </c>
      <c r="J236" s="1" t="s">
        <v>230</v>
      </c>
      <c r="K236" s="1" t="str">
        <f>_xlfn.XLOOKUP(J236,REF!$D$2:$D$12,REF!$E$2:$E$12)</f>
        <v>UFV</v>
      </c>
      <c r="L236" s="1" t="s">
        <v>2100</v>
      </c>
      <c r="M236" s="1" t="s">
        <v>663</v>
      </c>
      <c r="N236" s="1" t="s">
        <v>672</v>
      </c>
      <c r="O236" s="1" t="s">
        <v>2101</v>
      </c>
      <c r="P236" s="1" t="str">
        <f t="shared" si="9"/>
        <v>BC Camarao1.5215KTL-H3(MBUS-15)45995,409722222245995,409722222245996,625</v>
      </c>
      <c r="Q236" s="1" t="str">
        <f t="shared" si="10"/>
        <v>DPRUFV</v>
      </c>
    </row>
    <row r="237" spans="2:17" hidden="1">
      <c r="B237" s="1" t="s">
        <v>519</v>
      </c>
      <c r="C237" s="1" t="s">
        <v>247</v>
      </c>
      <c r="D237" s="52">
        <v>45995.409722222219</v>
      </c>
      <c r="E237" s="52">
        <v>45995.409722222219</v>
      </c>
      <c r="F237" s="52">
        <v>45996.625</v>
      </c>
      <c r="G237" s="53">
        <f t="shared" si="8"/>
        <v>1.2152777777810115</v>
      </c>
      <c r="H237" s="1" t="s">
        <v>677</v>
      </c>
      <c r="J237" s="1" t="s">
        <v>230</v>
      </c>
      <c r="K237" s="1" t="str">
        <f>_xlfn.XLOOKUP(J237,REF!$D$2:$D$12,REF!$E$2:$E$12)</f>
        <v>UFV</v>
      </c>
      <c r="L237" s="1" t="s">
        <v>2100</v>
      </c>
      <c r="M237" s="1" t="s">
        <v>663</v>
      </c>
      <c r="N237" s="1" t="s">
        <v>672</v>
      </c>
      <c r="O237" s="1" t="s">
        <v>2101</v>
      </c>
      <c r="P237" s="1" t="str">
        <f t="shared" si="9"/>
        <v>BC Camarao1.5Inverter(MBUS-1)45995,409722222245995,409722222245996,625</v>
      </c>
      <c r="Q237" s="1" t="str">
        <f t="shared" si="10"/>
        <v>DPRUFV</v>
      </c>
    </row>
    <row r="238" spans="2:17" hidden="1">
      <c r="B238" s="1" t="s">
        <v>519</v>
      </c>
      <c r="C238" s="1" t="s">
        <v>378</v>
      </c>
      <c r="D238" s="52">
        <v>45995.409722222219</v>
      </c>
      <c r="E238" s="52">
        <v>45995.409722222219</v>
      </c>
      <c r="F238" s="52">
        <v>45996.625</v>
      </c>
      <c r="G238" s="53">
        <f t="shared" si="8"/>
        <v>1.2152777777810115</v>
      </c>
      <c r="H238" s="1" t="s">
        <v>677</v>
      </c>
      <c r="J238" s="1" t="s">
        <v>230</v>
      </c>
      <c r="K238" s="1" t="str">
        <f>_xlfn.XLOOKUP(J238,REF!$D$2:$D$12,REF!$E$2:$E$12)</f>
        <v>UFV</v>
      </c>
      <c r="L238" s="1" t="s">
        <v>2100</v>
      </c>
      <c r="M238" s="1" t="s">
        <v>663</v>
      </c>
      <c r="N238" s="1" t="s">
        <v>672</v>
      </c>
      <c r="O238" s="1" t="s">
        <v>2101</v>
      </c>
      <c r="P238" s="1" t="str">
        <f t="shared" si="9"/>
        <v>BC Camarao1.5215KTL-H3(MBUS-13)45995,409722222245995,409722222245996,625</v>
      </c>
      <c r="Q238" s="1" t="str">
        <f t="shared" si="10"/>
        <v>DPRUFV</v>
      </c>
    </row>
    <row r="239" spans="2:17" hidden="1">
      <c r="B239" s="1" t="s">
        <v>519</v>
      </c>
      <c r="C239" s="1" t="s">
        <v>377</v>
      </c>
      <c r="D239" s="52">
        <v>45995.409722222219</v>
      </c>
      <c r="E239" s="52">
        <v>45995.409722222219</v>
      </c>
      <c r="F239" s="52">
        <v>45996.625</v>
      </c>
      <c r="G239" s="53">
        <f t="shared" si="8"/>
        <v>1.2152777777810115</v>
      </c>
      <c r="H239" s="1" t="s">
        <v>677</v>
      </c>
      <c r="J239" s="1" t="s">
        <v>230</v>
      </c>
      <c r="K239" s="1" t="str">
        <f>_xlfn.XLOOKUP(J239,REF!$D$2:$D$12,REF!$E$2:$E$12)</f>
        <v>UFV</v>
      </c>
      <c r="L239" s="1" t="s">
        <v>2100</v>
      </c>
      <c r="M239" s="1" t="s">
        <v>663</v>
      </c>
      <c r="N239" s="1" t="s">
        <v>672</v>
      </c>
      <c r="O239" s="1" t="s">
        <v>2101</v>
      </c>
      <c r="P239" s="1" t="str">
        <f t="shared" si="9"/>
        <v>BC Camarao1.5215KTL-H3(MBUS-12)45995,409722222245995,409722222245996,625</v>
      </c>
      <c r="Q239" s="1" t="str">
        <f t="shared" si="10"/>
        <v>DPRUFV</v>
      </c>
    </row>
    <row r="240" spans="2:17" hidden="1">
      <c r="B240" s="1" t="s">
        <v>519</v>
      </c>
      <c r="C240" s="1" t="s">
        <v>263</v>
      </c>
      <c r="D240" s="52">
        <v>45995.409722222219</v>
      </c>
      <c r="E240" s="52">
        <v>45995.409722222219</v>
      </c>
      <c r="F240" s="52">
        <v>45996.625</v>
      </c>
      <c r="G240" s="53">
        <f t="shared" si="8"/>
        <v>1.2152777777810115</v>
      </c>
      <c r="H240" s="1" t="s">
        <v>677</v>
      </c>
      <c r="J240" s="1" t="s">
        <v>230</v>
      </c>
      <c r="K240" s="1" t="str">
        <f>_xlfn.XLOOKUP(J240,REF!$D$2:$D$12,REF!$E$2:$E$12)</f>
        <v>UFV</v>
      </c>
      <c r="L240" s="1" t="s">
        <v>2100</v>
      </c>
      <c r="M240" s="1" t="s">
        <v>663</v>
      </c>
      <c r="N240" s="1" t="s">
        <v>672</v>
      </c>
      <c r="O240" s="1" t="s">
        <v>2101</v>
      </c>
      <c r="P240" s="1" t="str">
        <f t="shared" si="9"/>
        <v>BC Camarao1.5Inverter(MBUS-14)45995,409722222245995,409722222245996,625</v>
      </c>
      <c r="Q240" s="1" t="str">
        <f t="shared" si="10"/>
        <v>DPRUFV</v>
      </c>
    </row>
    <row r="241" spans="2:17" hidden="1">
      <c r="B241" s="1" t="s">
        <v>619</v>
      </c>
      <c r="C241" s="1" t="s">
        <v>247</v>
      </c>
      <c r="D241" s="52">
        <v>45995.527777777781</v>
      </c>
      <c r="E241" s="52">
        <v>45995.527777777781</v>
      </c>
      <c r="F241" s="52">
        <v>45995.666666666664</v>
      </c>
      <c r="G241" s="53">
        <f t="shared" si="8"/>
        <v>0.13888888888322981</v>
      </c>
      <c r="H241" s="1" t="s">
        <v>677</v>
      </c>
      <c r="J241" s="1" t="s">
        <v>249</v>
      </c>
      <c r="K241" s="1" t="str">
        <f>_xlfn.XLOOKUP(J241,REF!$D$2:$D$12,REF!$E$2:$E$12)</f>
        <v>Transformador</v>
      </c>
      <c r="L241" s="1" t="s">
        <v>2065</v>
      </c>
      <c r="M241" s="1" t="s">
        <v>663</v>
      </c>
      <c r="N241" s="1" t="s">
        <v>672</v>
      </c>
      <c r="O241" s="1" t="s">
        <v>2066</v>
      </c>
      <c r="P241" s="1" t="str">
        <f t="shared" si="9"/>
        <v>BC Vazante2.2Inverter(MBUS-1)45995,527777777845995,527777777845995,6666666667</v>
      </c>
      <c r="Q241" s="1" t="str">
        <f t="shared" si="10"/>
        <v>DPRTRF</v>
      </c>
    </row>
    <row r="242" spans="2:17" hidden="1">
      <c r="B242" s="1" t="s">
        <v>619</v>
      </c>
      <c r="C242" s="1" t="s">
        <v>757</v>
      </c>
      <c r="D242" s="52">
        <v>45995.527777777781</v>
      </c>
      <c r="E242" s="52">
        <v>45995.527777777781</v>
      </c>
      <c r="F242" s="52">
        <v>45995.666666666664</v>
      </c>
      <c r="G242" s="53">
        <f t="shared" ref="G242:G245" si="11">F242-E242</f>
        <v>0.13888888888322981</v>
      </c>
      <c r="H242" s="1" t="s">
        <v>677</v>
      </c>
      <c r="J242" s="1" t="s">
        <v>249</v>
      </c>
      <c r="K242" s="1" t="str">
        <f>_xlfn.XLOOKUP(J242,REF!$D$2:$D$12,REF!$E$2:$E$12)</f>
        <v>Transformador</v>
      </c>
      <c r="L242" s="1" t="s">
        <v>2065</v>
      </c>
      <c r="M242" s="1" t="s">
        <v>663</v>
      </c>
      <c r="N242" s="1" t="s">
        <v>672</v>
      </c>
      <c r="O242" s="1" t="s">
        <v>2066</v>
      </c>
      <c r="P242" s="1" t="str">
        <f t="shared" si="9"/>
        <v>BC Vazante2.2Inverter(MBUS-6)45995,527777777845995,527777777845995,6666666667</v>
      </c>
      <c r="Q242" s="1" t="str">
        <f t="shared" si="10"/>
        <v>DPRTRF</v>
      </c>
    </row>
    <row r="243" spans="2:17" hidden="1">
      <c r="B243" s="1" t="s">
        <v>619</v>
      </c>
      <c r="C243" s="1" t="s">
        <v>758</v>
      </c>
      <c r="D243" s="52">
        <v>45995.527777777781</v>
      </c>
      <c r="E243" s="52">
        <v>45995.527777777781</v>
      </c>
      <c r="F243" s="52">
        <v>45995.666666666664</v>
      </c>
      <c r="G243" s="53">
        <f t="shared" si="11"/>
        <v>0.13888888888322981</v>
      </c>
      <c r="H243" s="1" t="s">
        <v>677</v>
      </c>
      <c r="J243" s="1" t="s">
        <v>249</v>
      </c>
      <c r="K243" s="1" t="str">
        <f>_xlfn.XLOOKUP(J243,REF!$D$2:$D$12,REF!$E$2:$E$12)</f>
        <v>Transformador</v>
      </c>
      <c r="L243" s="1" t="s">
        <v>2065</v>
      </c>
      <c r="M243" s="1" t="s">
        <v>663</v>
      </c>
      <c r="N243" s="1" t="s">
        <v>672</v>
      </c>
      <c r="O243" s="1" t="s">
        <v>2066</v>
      </c>
      <c r="P243" s="1" t="str">
        <f t="shared" si="9"/>
        <v>BC Vazante2.2Inverter(MBUS-7)45995,527777777845995,527777777845995,6666666667</v>
      </c>
      <c r="Q243" s="1" t="str">
        <f t="shared" si="10"/>
        <v>DPRTRF</v>
      </c>
    </row>
    <row r="244" spans="2:17" hidden="1">
      <c r="B244" s="1" t="s">
        <v>619</v>
      </c>
      <c r="C244" s="1" t="s">
        <v>2095</v>
      </c>
      <c r="D244" s="52">
        <v>45995.527777777781</v>
      </c>
      <c r="E244" s="52">
        <v>45995.527777777781</v>
      </c>
      <c r="F244" s="52">
        <v>45995.666666666664</v>
      </c>
      <c r="G244" s="53">
        <f t="shared" si="11"/>
        <v>0.13888888888322981</v>
      </c>
      <c r="H244" s="1" t="s">
        <v>677</v>
      </c>
      <c r="J244" s="1" t="s">
        <v>249</v>
      </c>
      <c r="K244" s="1" t="str">
        <f>_xlfn.XLOOKUP(J244,REF!$D$2:$D$12,REF!$E$2:$E$12)</f>
        <v>Transformador</v>
      </c>
      <c r="L244" s="1" t="s">
        <v>2065</v>
      </c>
      <c r="M244" s="1" t="s">
        <v>663</v>
      </c>
      <c r="N244" s="1" t="s">
        <v>672</v>
      </c>
      <c r="O244" s="1" t="s">
        <v>2066</v>
      </c>
      <c r="P244" s="1" t="str">
        <f t="shared" si="9"/>
        <v>BC Vazante2.2Inverter(MBUS-8)45995,527777777845995,527777777845995,6666666667</v>
      </c>
      <c r="Q244" s="1" t="str">
        <f t="shared" si="10"/>
        <v>DPRTRF</v>
      </c>
    </row>
    <row r="245" spans="2:17" hidden="1">
      <c r="B245" s="1" t="s">
        <v>619</v>
      </c>
      <c r="C245" s="1" t="s">
        <v>756</v>
      </c>
      <c r="D245" s="52">
        <v>45995.527777777781</v>
      </c>
      <c r="E245" s="52">
        <v>45995.527777777781</v>
      </c>
      <c r="F245" s="52">
        <v>45995.666666666664</v>
      </c>
      <c r="G245" s="53">
        <f t="shared" si="11"/>
        <v>0.13888888888322981</v>
      </c>
      <c r="H245" s="1" t="s">
        <v>677</v>
      </c>
      <c r="J245" s="1" t="s">
        <v>249</v>
      </c>
      <c r="K245" s="1" t="str">
        <f>_xlfn.XLOOKUP(J245,REF!$D$2:$D$12,REF!$E$2:$E$12)</f>
        <v>Transformador</v>
      </c>
      <c r="L245" s="1" t="s">
        <v>2065</v>
      </c>
      <c r="M245" s="1" t="s">
        <v>663</v>
      </c>
      <c r="N245" s="1" t="s">
        <v>672</v>
      </c>
      <c r="O245" s="1" t="s">
        <v>2066</v>
      </c>
      <c r="P245" s="1" t="str">
        <f t="shared" si="9"/>
        <v>BC Vazante2.2Inverter(MBUS-10)45995,527777777845995,527777777845995,6666666667</v>
      </c>
      <c r="Q245" s="1" t="str">
        <f t="shared" si="10"/>
        <v>DPRTRF</v>
      </c>
    </row>
    <row r="246" spans="2:17" hidden="1">
      <c r="B246" s="1" t="s">
        <v>736</v>
      </c>
      <c r="C246" s="1" t="s">
        <v>332</v>
      </c>
      <c r="D246" s="52">
        <v>45995.545138888891</v>
      </c>
      <c r="E246" s="52">
        <v>45995.545138888891</v>
      </c>
      <c r="F246" s="52">
        <v>45995.604166666664</v>
      </c>
      <c r="G246" s="53">
        <f t="shared" si="8"/>
        <v>5.9027777773735579E-2</v>
      </c>
      <c r="H246" s="1" t="s">
        <v>677</v>
      </c>
      <c r="J246" s="1" t="s">
        <v>230</v>
      </c>
      <c r="K246" s="1" t="str">
        <f>_xlfn.XLOOKUP(J246,REF!$D$2:$D$12,REF!$E$2:$E$12)</f>
        <v>UFV</v>
      </c>
      <c r="L246" s="1" t="s">
        <v>2081</v>
      </c>
      <c r="M246" s="1" t="s">
        <v>663</v>
      </c>
      <c r="N246" s="1" t="s">
        <v>672</v>
      </c>
      <c r="O246" s="1" t="s">
        <v>2099</v>
      </c>
      <c r="P246" s="1" t="str">
        <f t="shared" si="9"/>
        <v>BC Varjao1.2215KTL-H0(MBUS-12)45995,545138888945995,545138888945995,6041666667</v>
      </c>
      <c r="Q246" s="1" t="str">
        <f t="shared" si="10"/>
        <v>DPRUFV</v>
      </c>
    </row>
    <row r="247" spans="2:17" hidden="1">
      <c r="B247" s="1" t="s">
        <v>736</v>
      </c>
      <c r="C247" s="1" t="s">
        <v>335</v>
      </c>
      <c r="D247" s="52">
        <v>45995.545138888891</v>
      </c>
      <c r="E247" s="52">
        <v>45995.545138888891</v>
      </c>
      <c r="F247" s="52">
        <v>45995.604166666664</v>
      </c>
      <c r="G247" s="53">
        <f t="shared" si="8"/>
        <v>5.9027777773735579E-2</v>
      </c>
      <c r="H247" s="1" t="s">
        <v>677</v>
      </c>
      <c r="J247" s="1" t="s">
        <v>230</v>
      </c>
      <c r="K247" s="1" t="str">
        <f>_xlfn.XLOOKUP(J247,REF!$D$2:$D$12,REF!$E$2:$E$12)</f>
        <v>UFV</v>
      </c>
      <c r="L247" s="1" t="s">
        <v>2081</v>
      </c>
      <c r="M247" s="1" t="s">
        <v>663</v>
      </c>
      <c r="N247" s="1" t="s">
        <v>672</v>
      </c>
      <c r="O247" s="1" t="s">
        <v>2099</v>
      </c>
      <c r="P247" s="1" t="str">
        <f t="shared" si="9"/>
        <v>BC Varjao1.2215KTL-H0(MBUS-13)45995,545138888945995,545138888945995,6041666667</v>
      </c>
      <c r="Q247" s="1" t="str">
        <f t="shared" si="10"/>
        <v>DPRUFV</v>
      </c>
    </row>
    <row r="248" spans="2:17" hidden="1">
      <c r="B248" s="1" t="s">
        <v>736</v>
      </c>
      <c r="C248" s="1" t="s">
        <v>336</v>
      </c>
      <c r="D248" s="52">
        <v>45995.545138888891</v>
      </c>
      <c r="E248" s="52">
        <v>45995.545138888891</v>
      </c>
      <c r="F248" s="52">
        <v>45995.604166666664</v>
      </c>
      <c r="G248" s="53">
        <f t="shared" si="8"/>
        <v>5.9027777773735579E-2</v>
      </c>
      <c r="H248" s="1" t="s">
        <v>677</v>
      </c>
      <c r="J248" s="1" t="s">
        <v>230</v>
      </c>
      <c r="K248" s="1" t="str">
        <f>_xlfn.XLOOKUP(J248,REF!$D$2:$D$12,REF!$E$2:$E$12)</f>
        <v>UFV</v>
      </c>
      <c r="L248" s="1" t="s">
        <v>2081</v>
      </c>
      <c r="M248" s="1" t="s">
        <v>663</v>
      </c>
      <c r="N248" s="1" t="s">
        <v>672</v>
      </c>
      <c r="O248" s="1" t="s">
        <v>2099</v>
      </c>
      <c r="P248" s="1" t="str">
        <f t="shared" si="9"/>
        <v>BC Varjao1.2215KTL-H0(MBUS-14)45995,545138888945995,545138888945995,6041666667</v>
      </c>
      <c r="Q248" s="1" t="str">
        <f t="shared" si="10"/>
        <v>DPRUFV</v>
      </c>
    </row>
    <row r="249" spans="2:17" hidden="1">
      <c r="B249" s="1" t="s">
        <v>736</v>
      </c>
      <c r="C249" s="1" t="s">
        <v>337</v>
      </c>
      <c r="D249" s="52">
        <v>45995.545138888891</v>
      </c>
      <c r="E249" s="52">
        <v>45995.545138888891</v>
      </c>
      <c r="F249" s="52">
        <v>45995.604166666664</v>
      </c>
      <c r="G249" s="53">
        <f t="shared" si="8"/>
        <v>5.9027777773735579E-2</v>
      </c>
      <c r="H249" s="1" t="s">
        <v>677</v>
      </c>
      <c r="J249" s="1" t="s">
        <v>230</v>
      </c>
      <c r="K249" s="1" t="str">
        <f>_xlfn.XLOOKUP(J249,REF!$D$2:$D$12,REF!$E$2:$E$12)</f>
        <v>UFV</v>
      </c>
      <c r="L249" s="1" t="s">
        <v>2081</v>
      </c>
      <c r="M249" s="1" t="s">
        <v>663</v>
      </c>
      <c r="N249" s="1" t="s">
        <v>672</v>
      </c>
      <c r="O249" s="1" t="s">
        <v>2099</v>
      </c>
      <c r="P249" s="1" t="str">
        <f t="shared" si="9"/>
        <v>BC Varjao1.2215KTL-H0(MBUS-15)45995,545138888945995,545138888945995,6041666667</v>
      </c>
      <c r="Q249" s="1" t="str">
        <f t="shared" si="10"/>
        <v>DPRUFV</v>
      </c>
    </row>
    <row r="250" spans="2:17" hidden="1">
      <c r="B250" s="1" t="s">
        <v>736</v>
      </c>
      <c r="C250" s="1" t="s">
        <v>338</v>
      </c>
      <c r="D250" s="52">
        <v>45995.545138888891</v>
      </c>
      <c r="E250" s="52">
        <v>45995.545138888891</v>
      </c>
      <c r="F250" s="52">
        <v>45995.604166666664</v>
      </c>
      <c r="G250" s="53">
        <f t="shared" si="8"/>
        <v>5.9027777773735579E-2</v>
      </c>
      <c r="H250" s="1" t="s">
        <v>677</v>
      </c>
      <c r="J250" s="1" t="s">
        <v>230</v>
      </c>
      <c r="K250" s="1" t="str">
        <f>_xlfn.XLOOKUP(J250,REF!$D$2:$D$12,REF!$E$2:$E$12)</f>
        <v>UFV</v>
      </c>
      <c r="L250" s="1" t="s">
        <v>2081</v>
      </c>
      <c r="M250" s="1" t="s">
        <v>663</v>
      </c>
      <c r="N250" s="1" t="s">
        <v>672</v>
      </c>
      <c r="O250" s="1" t="s">
        <v>2099</v>
      </c>
      <c r="P250" s="1" t="str">
        <f t="shared" si="9"/>
        <v>BC Varjao1.2215KTL-H0(MBUS-16)45995,545138888945995,545138888945995,6041666667</v>
      </c>
      <c r="Q250" s="1" t="str">
        <f t="shared" si="10"/>
        <v>DPRUFV</v>
      </c>
    </row>
    <row r="251" spans="2:17" hidden="1">
      <c r="B251" s="1" t="s">
        <v>667</v>
      </c>
      <c r="C251" s="1" t="s">
        <v>2102</v>
      </c>
      <c r="D251" s="52">
        <v>45995.605555555558</v>
      </c>
      <c r="E251" s="52">
        <v>45995.605555555558</v>
      </c>
      <c r="F251" s="52">
        <v>45995.65625</v>
      </c>
      <c r="G251" s="53">
        <f t="shared" si="8"/>
        <v>5.0694444442342501E-2</v>
      </c>
      <c r="H251" s="1" t="s">
        <v>677</v>
      </c>
      <c r="J251" s="1" t="s">
        <v>230</v>
      </c>
      <c r="K251" s="1" t="str">
        <f>_xlfn.XLOOKUP(J251,REF!$D$2:$D$12,REF!$E$2:$E$12)</f>
        <v>UFV</v>
      </c>
      <c r="L251" s="1" t="s">
        <v>2081</v>
      </c>
      <c r="M251" s="1" t="s">
        <v>663</v>
      </c>
      <c r="N251" s="1" t="s">
        <v>672</v>
      </c>
      <c r="O251" s="1" t="s">
        <v>2099</v>
      </c>
      <c r="P251" s="1" t="str">
        <f t="shared" si="9"/>
        <v>BC Varjao1.3100KTL-H1(MBUS-13)45995,605555555645995,605555555645995,65625</v>
      </c>
      <c r="Q251" s="1" t="str">
        <f t="shared" si="10"/>
        <v>DPRUFV</v>
      </c>
    </row>
    <row r="252" spans="2:17" hidden="1">
      <c r="B252" s="1" t="s">
        <v>667</v>
      </c>
      <c r="C252" s="1" t="s">
        <v>737</v>
      </c>
      <c r="D252" s="52">
        <v>45995.605555555558</v>
      </c>
      <c r="E252" s="52">
        <v>45995.605555555558</v>
      </c>
      <c r="F252" s="52">
        <v>45995.65625</v>
      </c>
      <c r="G252" s="53">
        <f t="shared" ref="G252:G304" si="12">F252-E252</f>
        <v>5.0694444442342501E-2</v>
      </c>
      <c r="H252" s="1" t="s">
        <v>677</v>
      </c>
      <c r="J252" s="1" t="s">
        <v>230</v>
      </c>
      <c r="K252" s="1" t="str">
        <f>_xlfn.XLOOKUP(J252,REF!$D$2:$D$12,REF!$E$2:$E$12)</f>
        <v>UFV</v>
      </c>
      <c r="L252" s="1" t="s">
        <v>2081</v>
      </c>
      <c r="M252" s="1" t="s">
        <v>663</v>
      </c>
      <c r="N252" s="1" t="s">
        <v>672</v>
      </c>
      <c r="O252" s="1" t="s">
        <v>2099</v>
      </c>
      <c r="P252" s="1" t="str">
        <f t="shared" si="9"/>
        <v>BC Varjao1.3UF3Inv245995,605555555645995,605555555645995,65625</v>
      </c>
      <c r="Q252" s="1" t="str">
        <f t="shared" si="10"/>
        <v>DPRUFV</v>
      </c>
    </row>
    <row r="253" spans="2:17" hidden="1">
      <c r="B253" s="1" t="s">
        <v>667</v>
      </c>
      <c r="C253" s="1" t="s">
        <v>336</v>
      </c>
      <c r="D253" s="52">
        <v>45995.605555555558</v>
      </c>
      <c r="E253" s="52">
        <v>45995.605555555558</v>
      </c>
      <c r="F253" s="52">
        <v>45995.65625</v>
      </c>
      <c r="G253" s="53">
        <f t="shared" si="12"/>
        <v>5.0694444442342501E-2</v>
      </c>
      <c r="H253" s="1" t="s">
        <v>677</v>
      </c>
      <c r="J253" s="1" t="s">
        <v>230</v>
      </c>
      <c r="K253" s="1" t="str">
        <f>_xlfn.XLOOKUP(J253,REF!$D$2:$D$12,REF!$E$2:$E$12)</f>
        <v>UFV</v>
      </c>
      <c r="L253" s="1" t="s">
        <v>2081</v>
      </c>
      <c r="M253" s="1" t="s">
        <v>663</v>
      </c>
      <c r="N253" s="1" t="s">
        <v>672</v>
      </c>
      <c r="O253" s="1" t="s">
        <v>2099</v>
      </c>
      <c r="P253" s="1" t="str">
        <f t="shared" si="9"/>
        <v>BC Varjao1.3215KTL-H0(MBUS-14)45995,605555555645995,605555555645995,65625</v>
      </c>
      <c r="Q253" s="1" t="str">
        <f t="shared" si="10"/>
        <v>DPRUFV</v>
      </c>
    </row>
    <row r="254" spans="2:17" hidden="1">
      <c r="B254" s="1" t="s">
        <v>805</v>
      </c>
      <c r="C254" s="1" t="s">
        <v>264</v>
      </c>
      <c r="D254" s="52">
        <v>45995.923611111109</v>
      </c>
      <c r="E254" s="52">
        <v>45995.923611111109</v>
      </c>
      <c r="F254" s="52">
        <v>45996.302083333336</v>
      </c>
      <c r="G254" s="53">
        <f t="shared" si="12"/>
        <v>0.37847222222626442</v>
      </c>
      <c r="H254" s="1" t="s">
        <v>257</v>
      </c>
      <c r="J254" s="1" t="s">
        <v>258</v>
      </c>
      <c r="K254" s="1" t="str">
        <f>_xlfn.XLOOKUP(J254,REF!$D$2:$D$12,REF!$E$2:$E$12)</f>
        <v>Rede</v>
      </c>
      <c r="L254" s="1" t="s">
        <v>2103</v>
      </c>
      <c r="M254" s="1" t="s">
        <v>260</v>
      </c>
      <c r="N254" s="1" t="s">
        <v>261</v>
      </c>
      <c r="O254" s="1" t="s">
        <v>632</v>
      </c>
      <c r="P254" s="1" t="str">
        <f t="shared" si="9"/>
        <v>BC Formoso1.2Inverter(MBUS-13)45995,923611111145995,923611111145996,3020833333</v>
      </c>
      <c r="Q254" s="1" t="str">
        <f t="shared" si="10"/>
        <v>DAURDE</v>
      </c>
    </row>
    <row r="255" spans="2:17" hidden="1">
      <c r="B255" s="1" t="s">
        <v>805</v>
      </c>
      <c r="C255" s="1" t="s">
        <v>256</v>
      </c>
      <c r="D255" s="52">
        <v>45995.923611111109</v>
      </c>
      <c r="E255" s="52">
        <v>45995.923611111109</v>
      </c>
      <c r="F255" s="52">
        <v>45996.302083333336</v>
      </c>
      <c r="G255" s="53">
        <f t="shared" si="12"/>
        <v>0.37847222222626442</v>
      </c>
      <c r="H255" s="1" t="s">
        <v>257</v>
      </c>
      <c r="J255" s="1" t="s">
        <v>258</v>
      </c>
      <c r="K255" s="1" t="str">
        <f>_xlfn.XLOOKUP(J255,REF!$D$2:$D$12,REF!$E$2:$E$12)</f>
        <v>Rede</v>
      </c>
      <c r="L255" s="1" t="s">
        <v>2103</v>
      </c>
      <c r="M255" s="1" t="s">
        <v>260</v>
      </c>
      <c r="N255" s="1" t="s">
        <v>261</v>
      </c>
      <c r="O255" s="1" t="s">
        <v>632</v>
      </c>
      <c r="P255" s="1" t="str">
        <f t="shared" si="9"/>
        <v>BC Formoso1.2Inverter(MBUS-12)45995,923611111145995,923611111145996,3020833333</v>
      </c>
      <c r="Q255" s="1" t="str">
        <f t="shared" si="10"/>
        <v>DAURDE</v>
      </c>
    </row>
    <row r="256" spans="2:17" hidden="1">
      <c r="B256" s="1" t="s">
        <v>805</v>
      </c>
      <c r="C256" s="1" t="s">
        <v>307</v>
      </c>
      <c r="D256" s="52">
        <v>45995.923611111109</v>
      </c>
      <c r="E256" s="52">
        <v>45995.923611111109</v>
      </c>
      <c r="F256" s="52">
        <v>45996.302083333336</v>
      </c>
      <c r="G256" s="53">
        <f t="shared" si="12"/>
        <v>0.37847222222626442</v>
      </c>
      <c r="H256" s="1" t="s">
        <v>257</v>
      </c>
      <c r="J256" s="1" t="s">
        <v>258</v>
      </c>
      <c r="K256" s="1" t="str">
        <f>_xlfn.XLOOKUP(J256,REF!$D$2:$D$12,REF!$E$2:$E$12)</f>
        <v>Rede</v>
      </c>
      <c r="L256" s="1" t="s">
        <v>2103</v>
      </c>
      <c r="M256" s="1" t="s">
        <v>260</v>
      </c>
      <c r="N256" s="1" t="s">
        <v>261</v>
      </c>
      <c r="O256" s="1" t="s">
        <v>632</v>
      </c>
      <c r="P256" s="1" t="str">
        <f t="shared" si="9"/>
        <v>BC Formoso1.2Inverter(MBUS-15)45995,923611111145995,923611111145996,3020833333</v>
      </c>
      <c r="Q256" s="1" t="str">
        <f t="shared" si="10"/>
        <v>DAURDE</v>
      </c>
    </row>
    <row r="257" spans="2:17" hidden="1">
      <c r="B257" s="1" t="s">
        <v>805</v>
      </c>
      <c r="C257" s="1" t="s">
        <v>263</v>
      </c>
      <c r="D257" s="52">
        <v>45995.923611111109</v>
      </c>
      <c r="E257" s="52">
        <v>45995.923611111109</v>
      </c>
      <c r="F257" s="52">
        <v>45996.302083333336</v>
      </c>
      <c r="G257" s="53">
        <f t="shared" si="12"/>
        <v>0.37847222222626442</v>
      </c>
      <c r="H257" s="1" t="s">
        <v>257</v>
      </c>
      <c r="J257" s="1" t="s">
        <v>258</v>
      </c>
      <c r="K257" s="1" t="str">
        <f>_xlfn.XLOOKUP(J257,REF!$D$2:$D$12,REF!$E$2:$E$12)</f>
        <v>Rede</v>
      </c>
      <c r="L257" s="1" t="s">
        <v>2103</v>
      </c>
      <c r="M257" s="1" t="s">
        <v>260</v>
      </c>
      <c r="N257" s="1" t="s">
        <v>261</v>
      </c>
      <c r="O257" s="1" t="s">
        <v>632</v>
      </c>
      <c r="P257" s="1" t="str">
        <f t="shared" si="9"/>
        <v>BC Formoso1.2Inverter(MBUS-14)45995,923611111145995,923611111145996,3020833333</v>
      </c>
      <c r="Q257" s="1" t="str">
        <f t="shared" si="10"/>
        <v>DAURDE</v>
      </c>
    </row>
    <row r="258" spans="2:17" hidden="1">
      <c r="B258" s="1" t="s">
        <v>806</v>
      </c>
      <c r="C258" s="1" t="s">
        <v>264</v>
      </c>
      <c r="D258" s="52">
        <v>45995.923611111109</v>
      </c>
      <c r="E258" s="52">
        <v>45995.923611111109</v>
      </c>
      <c r="F258" s="52">
        <v>45996.302083333336</v>
      </c>
      <c r="G258" s="53">
        <f t="shared" si="12"/>
        <v>0.37847222222626442</v>
      </c>
      <c r="H258" s="1" t="s">
        <v>257</v>
      </c>
      <c r="J258" s="1" t="s">
        <v>258</v>
      </c>
      <c r="K258" s="1" t="str">
        <f>_xlfn.XLOOKUP(J258,REF!$D$2:$D$12,REF!$E$2:$E$12)</f>
        <v>Rede</v>
      </c>
      <c r="L258" s="1" t="s">
        <v>2103</v>
      </c>
      <c r="M258" s="1" t="s">
        <v>260</v>
      </c>
      <c r="N258" s="1" t="s">
        <v>261</v>
      </c>
      <c r="O258" s="1" t="s">
        <v>632</v>
      </c>
      <c r="P258" s="1" t="str">
        <f t="shared" si="9"/>
        <v>BC Formoso1.3Inverter(MBUS-13)45995,923611111145995,923611111145996,3020833333</v>
      </c>
      <c r="Q258" s="1" t="str">
        <f t="shared" si="10"/>
        <v>DAURDE</v>
      </c>
    </row>
    <row r="259" spans="2:17" hidden="1">
      <c r="B259" s="1" t="s">
        <v>806</v>
      </c>
      <c r="C259" s="1" t="s">
        <v>256</v>
      </c>
      <c r="D259" s="52">
        <v>45995.923611111109</v>
      </c>
      <c r="E259" s="52">
        <v>45995.923611111109</v>
      </c>
      <c r="F259" s="52">
        <v>45996.302083333336</v>
      </c>
      <c r="G259" s="53">
        <f t="shared" si="12"/>
        <v>0.37847222222626442</v>
      </c>
      <c r="H259" s="1" t="s">
        <v>257</v>
      </c>
      <c r="J259" s="1" t="s">
        <v>258</v>
      </c>
      <c r="K259" s="1" t="str">
        <f>_xlfn.XLOOKUP(J259,REF!$D$2:$D$12,REF!$E$2:$E$12)</f>
        <v>Rede</v>
      </c>
      <c r="L259" s="1" t="s">
        <v>2103</v>
      </c>
      <c r="M259" s="1" t="s">
        <v>260</v>
      </c>
      <c r="N259" s="1" t="s">
        <v>261</v>
      </c>
      <c r="O259" s="1" t="s">
        <v>632</v>
      </c>
      <c r="P259" s="1" t="str">
        <f t="shared" ref="P259:P322" si="13">_xlfn.CONCAT(B259,C259,D259,E259,F259)</f>
        <v>BC Formoso1.3Inverter(MBUS-12)45995,923611111145995,923611111145996,3020833333</v>
      </c>
      <c r="Q259" s="1" t="str">
        <f t="shared" ref="Q259:Q322" si="14">_xlfn.CONCAT(H259,I259,J259)</f>
        <v>DAURDE</v>
      </c>
    </row>
    <row r="260" spans="2:17" hidden="1">
      <c r="B260" s="1" t="s">
        <v>806</v>
      </c>
      <c r="C260" s="1" t="s">
        <v>264</v>
      </c>
      <c r="D260" s="52">
        <v>45995.700694444444</v>
      </c>
      <c r="E260" s="52">
        <v>45995.700694444444</v>
      </c>
      <c r="F260" s="52">
        <v>45996.477777777778</v>
      </c>
      <c r="G260" s="53">
        <f t="shared" si="12"/>
        <v>0.77708333333430346</v>
      </c>
      <c r="H260" s="1" t="s">
        <v>677</v>
      </c>
      <c r="J260" s="1" t="s">
        <v>230</v>
      </c>
      <c r="K260" s="1" t="str">
        <f>_xlfn.XLOOKUP(J260,REF!$D$2:$D$12,REF!$E$2:$E$12)</f>
        <v>UFV</v>
      </c>
      <c r="L260" s="1" t="s">
        <v>2104</v>
      </c>
      <c r="M260" s="1" t="s">
        <v>499</v>
      </c>
      <c r="N260" s="1" t="s">
        <v>253</v>
      </c>
      <c r="O260" s="1" t="s">
        <v>2105</v>
      </c>
      <c r="P260" s="1" t="str">
        <f t="shared" si="13"/>
        <v>BC Formoso1.3Inverter(MBUS-13)45995,700694444445995,700694444445996,4777777778</v>
      </c>
      <c r="Q260" s="1" t="str">
        <f t="shared" si="14"/>
        <v>DPRUFV</v>
      </c>
    </row>
    <row r="261" spans="2:17" hidden="1">
      <c r="B261" s="1" t="s">
        <v>806</v>
      </c>
      <c r="C261" s="1" t="s">
        <v>256</v>
      </c>
      <c r="D261" s="52">
        <v>45995.700694444444</v>
      </c>
      <c r="E261" s="52">
        <v>45995.700694444444</v>
      </c>
      <c r="F261" s="52">
        <v>45996.477777777778</v>
      </c>
      <c r="G261" s="53">
        <f t="shared" si="12"/>
        <v>0.77708333333430346</v>
      </c>
      <c r="H261" s="1" t="s">
        <v>677</v>
      </c>
      <c r="J261" s="1" t="s">
        <v>230</v>
      </c>
      <c r="K261" s="1" t="str">
        <f>_xlfn.XLOOKUP(J261,REF!$D$2:$D$12,REF!$E$2:$E$12)</f>
        <v>UFV</v>
      </c>
      <c r="L261" s="1" t="s">
        <v>2104</v>
      </c>
      <c r="M261" s="1" t="s">
        <v>499</v>
      </c>
      <c r="N261" s="1" t="s">
        <v>253</v>
      </c>
      <c r="O261" s="1" t="s">
        <v>2105</v>
      </c>
      <c r="P261" s="1" t="str">
        <f t="shared" si="13"/>
        <v>BC Formoso1.3Inverter(MBUS-12)45995,700694444445995,700694444445996,4777777778</v>
      </c>
      <c r="Q261" s="1" t="str">
        <f t="shared" si="14"/>
        <v>DPRUFV</v>
      </c>
    </row>
    <row r="262" spans="2:17">
      <c r="B262" s="1" t="s">
        <v>619</v>
      </c>
      <c r="C262" s="1" t="s">
        <v>247</v>
      </c>
      <c r="D262" s="52">
        <v>45996.267361111109</v>
      </c>
      <c r="E262" s="52">
        <v>45996.267361111109</v>
      </c>
      <c r="F262" s="52">
        <v>45996.3125</v>
      </c>
      <c r="G262" s="53">
        <f t="shared" si="12"/>
        <v>4.5138888890505768E-2</v>
      </c>
      <c r="H262" s="1" t="s">
        <v>268</v>
      </c>
      <c r="I262" s="1" t="s">
        <v>269</v>
      </c>
      <c r="J262" s="1" t="s">
        <v>319</v>
      </c>
      <c r="K262" s="1" t="str">
        <f>_xlfn.XLOOKUP(J262,REF!$D$2:$D$12,REF!$E$2:$E$12)</f>
        <v>Comunicação</v>
      </c>
      <c r="L262" s="1" t="s">
        <v>2106</v>
      </c>
      <c r="M262" s="1" t="s">
        <v>289</v>
      </c>
      <c r="N262" s="1" t="s">
        <v>253</v>
      </c>
      <c r="O262" s="1" t="s">
        <v>742</v>
      </c>
      <c r="P262" s="1" t="str">
        <f t="shared" si="13"/>
        <v>BC Vazante2.2Inverter(MBUS-1)45996,267361111145996,267361111145996,3125</v>
      </c>
      <c r="Q262" s="1" t="str">
        <f t="shared" si="14"/>
        <v>LIGRFOCOM</v>
      </c>
    </row>
    <row r="263" spans="2:17">
      <c r="B263" s="1" t="s">
        <v>619</v>
      </c>
      <c r="C263" s="1" t="s">
        <v>757</v>
      </c>
      <c r="D263" s="52">
        <v>45996.267361111109</v>
      </c>
      <c r="E263" s="52">
        <v>45996.267361111109</v>
      </c>
      <c r="F263" s="52">
        <v>45996.3125</v>
      </c>
      <c r="G263" s="53">
        <f t="shared" si="12"/>
        <v>4.5138888890505768E-2</v>
      </c>
      <c r="H263" s="1" t="s">
        <v>268</v>
      </c>
      <c r="I263" s="1" t="s">
        <v>269</v>
      </c>
      <c r="J263" s="1" t="s">
        <v>319</v>
      </c>
      <c r="K263" s="1" t="str">
        <f>_xlfn.XLOOKUP(J263,REF!$D$2:$D$12,REF!$E$2:$E$12)</f>
        <v>Comunicação</v>
      </c>
      <c r="L263" s="1" t="s">
        <v>2106</v>
      </c>
      <c r="M263" s="1" t="s">
        <v>289</v>
      </c>
      <c r="N263" s="1" t="s">
        <v>253</v>
      </c>
      <c r="O263" s="1" t="s">
        <v>742</v>
      </c>
      <c r="P263" s="1" t="str">
        <f t="shared" si="13"/>
        <v>BC Vazante2.2Inverter(MBUS-6)45996,267361111145996,267361111145996,3125</v>
      </c>
      <c r="Q263" s="1" t="str">
        <f t="shared" si="14"/>
        <v>LIGRFOCOM</v>
      </c>
    </row>
    <row r="264" spans="2:17">
      <c r="B264" s="1" t="s">
        <v>619</v>
      </c>
      <c r="C264" s="1" t="s">
        <v>758</v>
      </c>
      <c r="D264" s="52">
        <v>45996.267361111109</v>
      </c>
      <c r="E264" s="52">
        <v>45996.267361111109</v>
      </c>
      <c r="F264" s="52">
        <v>45996.3125</v>
      </c>
      <c r="G264" s="53">
        <f t="shared" si="12"/>
        <v>4.5138888890505768E-2</v>
      </c>
      <c r="H264" s="1" t="s">
        <v>268</v>
      </c>
      <c r="I264" s="1" t="s">
        <v>269</v>
      </c>
      <c r="J264" s="1" t="s">
        <v>319</v>
      </c>
      <c r="K264" s="1" t="str">
        <f>_xlfn.XLOOKUP(J264,REF!$D$2:$D$12,REF!$E$2:$E$12)</f>
        <v>Comunicação</v>
      </c>
      <c r="L264" s="1" t="s">
        <v>2106</v>
      </c>
      <c r="M264" s="1" t="s">
        <v>289</v>
      </c>
      <c r="N264" s="1" t="s">
        <v>253</v>
      </c>
      <c r="O264" s="1" t="s">
        <v>742</v>
      </c>
      <c r="P264" s="1" t="str">
        <f t="shared" si="13"/>
        <v>BC Vazante2.2Inverter(MBUS-7)45996,267361111145996,267361111145996,3125</v>
      </c>
      <c r="Q264" s="1" t="str">
        <f t="shared" si="14"/>
        <v>LIGRFOCOM</v>
      </c>
    </row>
    <row r="265" spans="2:17">
      <c r="B265" s="1" t="s">
        <v>619</v>
      </c>
      <c r="C265" s="1" t="s">
        <v>2095</v>
      </c>
      <c r="D265" s="52">
        <v>45996.267361111109</v>
      </c>
      <c r="E265" s="52">
        <v>45996.267361111109</v>
      </c>
      <c r="F265" s="52">
        <v>45996.3125</v>
      </c>
      <c r="G265" s="53">
        <f t="shared" si="12"/>
        <v>4.5138888890505768E-2</v>
      </c>
      <c r="H265" s="1" t="s">
        <v>268</v>
      </c>
      <c r="I265" s="1" t="s">
        <v>269</v>
      </c>
      <c r="J265" s="1" t="s">
        <v>319</v>
      </c>
      <c r="K265" s="1" t="str">
        <f>_xlfn.XLOOKUP(J265,REF!$D$2:$D$12,REF!$E$2:$E$12)</f>
        <v>Comunicação</v>
      </c>
      <c r="L265" s="1" t="s">
        <v>2106</v>
      </c>
      <c r="M265" s="1" t="s">
        <v>289</v>
      </c>
      <c r="N265" s="1" t="s">
        <v>253</v>
      </c>
      <c r="O265" s="1" t="s">
        <v>742</v>
      </c>
      <c r="P265" s="1" t="str">
        <f t="shared" si="13"/>
        <v>BC Vazante2.2Inverter(MBUS-8)45996,267361111145996,267361111145996,3125</v>
      </c>
      <c r="Q265" s="1" t="str">
        <f t="shared" si="14"/>
        <v>LIGRFOCOM</v>
      </c>
    </row>
    <row r="266" spans="2:17">
      <c r="B266" s="1" t="s">
        <v>619</v>
      </c>
      <c r="C266" s="1" t="s">
        <v>756</v>
      </c>
      <c r="D266" s="52">
        <v>45996.267361111109</v>
      </c>
      <c r="E266" s="52">
        <v>45996.267361111109</v>
      </c>
      <c r="F266" s="52">
        <v>45996.3125</v>
      </c>
      <c r="G266" s="53">
        <f t="shared" si="12"/>
        <v>4.5138888890505768E-2</v>
      </c>
      <c r="H266" s="1" t="s">
        <v>268</v>
      </c>
      <c r="I266" s="1" t="s">
        <v>269</v>
      </c>
      <c r="J266" s="1" t="s">
        <v>319</v>
      </c>
      <c r="K266" s="1" t="str">
        <f>_xlfn.XLOOKUP(J266,REF!$D$2:$D$12,REF!$E$2:$E$12)</f>
        <v>Comunicação</v>
      </c>
      <c r="L266" s="1" t="s">
        <v>2106</v>
      </c>
      <c r="M266" s="1" t="s">
        <v>289</v>
      </c>
      <c r="N266" s="1" t="s">
        <v>253</v>
      </c>
      <c r="O266" s="1" t="s">
        <v>742</v>
      </c>
      <c r="P266" s="1" t="str">
        <f t="shared" si="13"/>
        <v>BC Vazante2.2Inverter(MBUS-10)45996,267361111145996,267361111145996,3125</v>
      </c>
      <c r="Q266" s="1" t="str">
        <f t="shared" si="14"/>
        <v>LIGRFOCOM</v>
      </c>
    </row>
    <row r="267" spans="2:17" hidden="1">
      <c r="B267" s="1" t="s">
        <v>331</v>
      </c>
      <c r="C267" s="1" t="s">
        <v>332</v>
      </c>
      <c r="D267" s="52">
        <v>45996.313888888886</v>
      </c>
      <c r="E267" s="52">
        <v>45996.313888888886</v>
      </c>
      <c r="F267" s="52">
        <v>45996.364583333336</v>
      </c>
      <c r="G267" s="53">
        <f t="shared" si="12"/>
        <v>5.0694444449618459E-2</v>
      </c>
      <c r="H267" s="1" t="s">
        <v>677</v>
      </c>
      <c r="J267" s="1" t="s">
        <v>230</v>
      </c>
      <c r="K267" s="1" t="str">
        <f>_xlfn.XLOOKUP(J267,REF!$D$2:$D$12,REF!$E$2:$E$12)</f>
        <v>UFV</v>
      </c>
      <c r="L267" s="1" t="s">
        <v>2081</v>
      </c>
      <c r="M267" s="1" t="s">
        <v>663</v>
      </c>
      <c r="N267" s="1" t="s">
        <v>672</v>
      </c>
      <c r="O267" s="1" t="s">
        <v>2099</v>
      </c>
      <c r="P267" s="1" t="str">
        <f t="shared" si="13"/>
        <v>BC Varjao2.1215KTL-H0(MBUS-12)45996,313888888945996,313888888945996,3645833333</v>
      </c>
      <c r="Q267" s="1" t="str">
        <f t="shared" si="14"/>
        <v>DPRUFV</v>
      </c>
    </row>
    <row r="268" spans="2:17" hidden="1">
      <c r="B268" s="1" t="s">
        <v>331</v>
      </c>
      <c r="C268" s="1" t="s">
        <v>335</v>
      </c>
      <c r="D268" s="52">
        <v>45996.313888888886</v>
      </c>
      <c r="E268" s="52">
        <v>45996.313888888886</v>
      </c>
      <c r="F268" s="52">
        <v>45996.364583333336</v>
      </c>
      <c r="G268" s="53">
        <f t="shared" si="12"/>
        <v>5.0694444449618459E-2</v>
      </c>
      <c r="H268" s="1" t="s">
        <v>677</v>
      </c>
      <c r="J268" s="1" t="s">
        <v>230</v>
      </c>
      <c r="K268" s="1" t="str">
        <f>_xlfn.XLOOKUP(J268,REF!$D$2:$D$12,REF!$E$2:$E$12)</f>
        <v>UFV</v>
      </c>
      <c r="L268" s="1" t="s">
        <v>2081</v>
      </c>
      <c r="M268" s="1" t="s">
        <v>663</v>
      </c>
      <c r="N268" s="1" t="s">
        <v>672</v>
      </c>
      <c r="O268" s="1" t="s">
        <v>2099</v>
      </c>
      <c r="P268" s="1" t="str">
        <f t="shared" si="13"/>
        <v>BC Varjao2.1215KTL-H0(MBUS-13)45996,313888888945996,313888888945996,3645833333</v>
      </c>
      <c r="Q268" s="1" t="str">
        <f t="shared" si="14"/>
        <v>DPRUFV</v>
      </c>
    </row>
    <row r="269" spans="2:17" hidden="1">
      <c r="B269" s="1" t="s">
        <v>331</v>
      </c>
      <c r="C269" s="1" t="s">
        <v>336</v>
      </c>
      <c r="D269" s="52">
        <v>45996.313888888886</v>
      </c>
      <c r="E269" s="52">
        <v>45996.313888888886</v>
      </c>
      <c r="F269" s="52">
        <v>45996.364583333336</v>
      </c>
      <c r="G269" s="53">
        <f t="shared" si="12"/>
        <v>5.0694444449618459E-2</v>
      </c>
      <c r="H269" s="1" t="s">
        <v>677</v>
      </c>
      <c r="J269" s="1" t="s">
        <v>230</v>
      </c>
      <c r="K269" s="1" t="str">
        <f>_xlfn.XLOOKUP(J269,REF!$D$2:$D$12,REF!$E$2:$E$12)</f>
        <v>UFV</v>
      </c>
      <c r="L269" s="1" t="s">
        <v>2081</v>
      </c>
      <c r="M269" s="1" t="s">
        <v>663</v>
      </c>
      <c r="N269" s="1" t="s">
        <v>672</v>
      </c>
      <c r="O269" s="1" t="s">
        <v>2099</v>
      </c>
      <c r="P269" s="1" t="str">
        <f t="shared" si="13"/>
        <v>BC Varjao2.1215KTL-H0(MBUS-14)45996,313888888945996,313888888945996,3645833333</v>
      </c>
      <c r="Q269" s="1" t="str">
        <f t="shared" si="14"/>
        <v>DPRUFV</v>
      </c>
    </row>
    <row r="270" spans="2:17" hidden="1">
      <c r="B270" s="1" t="s">
        <v>331</v>
      </c>
      <c r="C270" s="1" t="s">
        <v>337</v>
      </c>
      <c r="D270" s="52">
        <v>45996.313888888886</v>
      </c>
      <c r="E270" s="52">
        <v>45996.313888888886</v>
      </c>
      <c r="F270" s="52">
        <v>45996.364583333336</v>
      </c>
      <c r="G270" s="53">
        <f t="shared" si="12"/>
        <v>5.0694444449618459E-2</v>
      </c>
      <c r="H270" s="1" t="s">
        <v>677</v>
      </c>
      <c r="J270" s="1" t="s">
        <v>230</v>
      </c>
      <c r="K270" s="1" t="str">
        <f>_xlfn.XLOOKUP(J270,REF!$D$2:$D$12,REF!$E$2:$E$12)</f>
        <v>UFV</v>
      </c>
      <c r="L270" s="1" t="s">
        <v>2081</v>
      </c>
      <c r="M270" s="1" t="s">
        <v>663</v>
      </c>
      <c r="N270" s="1" t="s">
        <v>672</v>
      </c>
      <c r="O270" s="1" t="s">
        <v>2099</v>
      </c>
      <c r="P270" s="1" t="str">
        <f t="shared" si="13"/>
        <v>BC Varjao2.1215KTL-H0(MBUS-15)45996,313888888945996,313888888945996,3645833333</v>
      </c>
      <c r="Q270" s="1" t="str">
        <f t="shared" si="14"/>
        <v>DPRUFV</v>
      </c>
    </row>
    <row r="271" spans="2:17" hidden="1">
      <c r="B271" s="1" t="s">
        <v>331</v>
      </c>
      <c r="C271" s="1" t="s">
        <v>338</v>
      </c>
      <c r="D271" s="52">
        <v>45996.313888888886</v>
      </c>
      <c r="E271" s="52">
        <v>45996.313888888886</v>
      </c>
      <c r="F271" s="52">
        <v>45996.364583333336</v>
      </c>
      <c r="G271" s="53">
        <f t="shared" si="12"/>
        <v>5.0694444449618459E-2</v>
      </c>
      <c r="H271" s="1" t="s">
        <v>677</v>
      </c>
      <c r="J271" s="1" t="s">
        <v>230</v>
      </c>
      <c r="K271" s="1" t="str">
        <f>_xlfn.XLOOKUP(J271,REF!$D$2:$D$12,REF!$E$2:$E$12)</f>
        <v>UFV</v>
      </c>
      <c r="L271" s="1" t="s">
        <v>2081</v>
      </c>
      <c r="M271" s="1" t="s">
        <v>663</v>
      </c>
      <c r="N271" s="1" t="s">
        <v>672</v>
      </c>
      <c r="O271" s="1" t="s">
        <v>2099</v>
      </c>
      <c r="P271" s="1" t="str">
        <f t="shared" si="13"/>
        <v>BC Varjao2.1215KTL-H0(MBUS-16)45996,313888888945996,313888888945996,3645833333</v>
      </c>
      <c r="Q271" s="1" t="str">
        <f t="shared" si="14"/>
        <v>DPRUFV</v>
      </c>
    </row>
    <row r="272" spans="2:17" hidden="1">
      <c r="B272" s="1" t="s">
        <v>340</v>
      </c>
      <c r="C272" s="1" t="s">
        <v>341</v>
      </c>
      <c r="D272" s="52">
        <v>45996.365277777775</v>
      </c>
      <c r="E272" s="52">
        <v>45996.365277777775</v>
      </c>
      <c r="F272" s="52">
        <v>45996.406944444447</v>
      </c>
      <c r="G272" s="53">
        <f t="shared" si="12"/>
        <v>4.1666666671517305E-2</v>
      </c>
      <c r="H272" s="1" t="s">
        <v>677</v>
      </c>
      <c r="J272" s="1" t="s">
        <v>230</v>
      </c>
      <c r="K272" s="1" t="str">
        <f>_xlfn.XLOOKUP(J272,REF!$D$2:$D$12,REF!$E$2:$E$12)</f>
        <v>UFV</v>
      </c>
      <c r="L272" s="1" t="s">
        <v>2081</v>
      </c>
      <c r="M272" s="1" t="s">
        <v>663</v>
      </c>
      <c r="N272" s="1" t="s">
        <v>672</v>
      </c>
      <c r="O272" s="1" t="s">
        <v>2099</v>
      </c>
      <c r="P272" s="1" t="str">
        <f t="shared" si="13"/>
        <v>BC Varjao2.3100KTL-H1(MBUS-1)45996,365277777845996,365277777845996,4069444444</v>
      </c>
      <c r="Q272" s="1" t="str">
        <f t="shared" si="14"/>
        <v>DPRUFV</v>
      </c>
    </row>
    <row r="273" spans="2:17" hidden="1">
      <c r="B273" s="1" t="s">
        <v>340</v>
      </c>
      <c r="C273" s="1" t="s">
        <v>335</v>
      </c>
      <c r="D273" s="52">
        <v>45996.365277777775</v>
      </c>
      <c r="E273" s="52">
        <v>45996.365277777775</v>
      </c>
      <c r="F273" s="52">
        <v>45996.406944444447</v>
      </c>
      <c r="G273" s="53">
        <f t="shared" si="12"/>
        <v>4.1666666671517305E-2</v>
      </c>
      <c r="H273" s="1" t="s">
        <v>677</v>
      </c>
      <c r="J273" s="1" t="s">
        <v>230</v>
      </c>
      <c r="K273" s="1" t="str">
        <f>_xlfn.XLOOKUP(J273,REF!$D$2:$D$12,REF!$E$2:$E$12)</f>
        <v>UFV</v>
      </c>
      <c r="L273" s="1" t="s">
        <v>2081</v>
      </c>
      <c r="M273" s="1" t="s">
        <v>663</v>
      </c>
      <c r="N273" s="1" t="s">
        <v>672</v>
      </c>
      <c r="O273" s="1" t="s">
        <v>2099</v>
      </c>
      <c r="P273" s="1" t="str">
        <f t="shared" si="13"/>
        <v>BC Varjao2.3215KTL-H0(MBUS-13)45996,365277777845996,365277777845996,4069444444</v>
      </c>
      <c r="Q273" s="1" t="str">
        <f t="shared" si="14"/>
        <v>DPRUFV</v>
      </c>
    </row>
    <row r="274" spans="2:17" hidden="1">
      <c r="B274" s="1" t="s">
        <v>340</v>
      </c>
      <c r="C274" s="1" t="s">
        <v>332</v>
      </c>
      <c r="D274" s="52">
        <v>45996.365277777775</v>
      </c>
      <c r="E274" s="52">
        <v>45996.365277777775</v>
      </c>
      <c r="F274" s="52">
        <v>45996.406944444447</v>
      </c>
      <c r="G274" s="53">
        <f t="shared" si="12"/>
        <v>4.1666666671517305E-2</v>
      </c>
      <c r="H274" s="1" t="s">
        <v>677</v>
      </c>
      <c r="J274" s="1" t="s">
        <v>230</v>
      </c>
      <c r="K274" s="1" t="str">
        <f>_xlfn.XLOOKUP(J274,REF!$D$2:$D$12,REF!$E$2:$E$12)</f>
        <v>UFV</v>
      </c>
      <c r="L274" s="1" t="s">
        <v>2081</v>
      </c>
      <c r="M274" s="1" t="s">
        <v>663</v>
      </c>
      <c r="N274" s="1" t="s">
        <v>672</v>
      </c>
      <c r="O274" s="1" t="s">
        <v>2099</v>
      </c>
      <c r="P274" s="1" t="str">
        <f t="shared" si="13"/>
        <v>BC Varjao2.3215KTL-H0(MBUS-12)45996,365277777845996,365277777845996,4069444444</v>
      </c>
      <c r="Q274" s="1" t="str">
        <f t="shared" si="14"/>
        <v>DPRUFV</v>
      </c>
    </row>
    <row r="275" spans="2:17" hidden="1">
      <c r="B275" s="1" t="s">
        <v>339</v>
      </c>
      <c r="C275" s="1" t="s">
        <v>335</v>
      </c>
      <c r="D275" s="52">
        <v>45996.409722222219</v>
      </c>
      <c r="E275" s="52">
        <v>45996.409722222219</v>
      </c>
      <c r="F275" s="52">
        <v>45996.409722222219</v>
      </c>
      <c r="G275" s="53">
        <f t="shared" si="12"/>
        <v>0</v>
      </c>
      <c r="H275" s="1" t="s">
        <v>677</v>
      </c>
      <c r="J275" s="1" t="s">
        <v>230</v>
      </c>
      <c r="K275" s="1" t="str">
        <f>_xlfn.XLOOKUP(J275,REF!$D$2:$D$12,REF!$E$2:$E$12)</f>
        <v>UFV</v>
      </c>
      <c r="L275" s="1" t="s">
        <v>2081</v>
      </c>
      <c r="M275" s="1" t="s">
        <v>663</v>
      </c>
      <c r="N275" s="1" t="s">
        <v>672</v>
      </c>
      <c r="O275" s="1" t="s">
        <v>2099</v>
      </c>
      <c r="P275" s="1" t="str">
        <f t="shared" si="13"/>
        <v>BC Varjao2.2215KTL-H0(MBUS-13)45996,409722222245996,409722222245996,4097222222</v>
      </c>
      <c r="Q275" s="1" t="str">
        <f t="shared" si="14"/>
        <v>DPRUFV</v>
      </c>
    </row>
    <row r="276" spans="2:17" hidden="1">
      <c r="B276" s="1" t="s">
        <v>339</v>
      </c>
      <c r="C276" s="1" t="s">
        <v>336</v>
      </c>
      <c r="D276" s="52">
        <v>45996.409722222219</v>
      </c>
      <c r="E276" s="52">
        <v>45996.409722222219</v>
      </c>
      <c r="F276" s="52">
        <v>45996.409722222219</v>
      </c>
      <c r="G276" s="53">
        <f t="shared" si="12"/>
        <v>0</v>
      </c>
      <c r="H276" s="1" t="s">
        <v>677</v>
      </c>
      <c r="J276" s="1" t="s">
        <v>230</v>
      </c>
      <c r="K276" s="1" t="str">
        <f>_xlfn.XLOOKUP(J276,REF!$D$2:$D$12,REF!$E$2:$E$12)</f>
        <v>UFV</v>
      </c>
      <c r="L276" s="1" t="s">
        <v>2081</v>
      </c>
      <c r="M276" s="1" t="s">
        <v>663</v>
      </c>
      <c r="N276" s="1" t="s">
        <v>672</v>
      </c>
      <c r="O276" s="1" t="s">
        <v>2099</v>
      </c>
      <c r="P276" s="1" t="str">
        <f t="shared" si="13"/>
        <v>BC Varjao2.2215KTL-H0(MBUS-14)45996,409722222245996,409722222245996,4097222222</v>
      </c>
      <c r="Q276" s="1" t="str">
        <f t="shared" si="14"/>
        <v>DPRUFV</v>
      </c>
    </row>
    <row r="277" spans="2:17" hidden="1">
      <c r="B277" s="1" t="s">
        <v>339</v>
      </c>
      <c r="C277" s="1" t="s">
        <v>337</v>
      </c>
      <c r="D277" s="52">
        <v>45996.409722222219</v>
      </c>
      <c r="E277" s="52">
        <v>45996.409722222219</v>
      </c>
      <c r="F277" s="52">
        <v>45996.409722222219</v>
      </c>
      <c r="G277" s="53">
        <f t="shared" si="12"/>
        <v>0</v>
      </c>
      <c r="H277" s="1" t="s">
        <v>677</v>
      </c>
      <c r="J277" s="1" t="s">
        <v>230</v>
      </c>
      <c r="K277" s="1" t="str">
        <f>_xlfn.XLOOKUP(J277,REF!$D$2:$D$12,REF!$E$2:$E$12)</f>
        <v>UFV</v>
      </c>
      <c r="L277" s="1" t="s">
        <v>2081</v>
      </c>
      <c r="M277" s="1" t="s">
        <v>663</v>
      </c>
      <c r="N277" s="1" t="s">
        <v>672</v>
      </c>
      <c r="O277" s="1" t="s">
        <v>2099</v>
      </c>
      <c r="P277" s="1" t="str">
        <f t="shared" si="13"/>
        <v>BC Varjao2.2215KTL-H0(MBUS-15)45996,409722222245996,409722222245996,4097222222</v>
      </c>
      <c r="Q277" s="1" t="str">
        <f t="shared" si="14"/>
        <v>DPRUFV</v>
      </c>
    </row>
    <row r="278" spans="2:17" hidden="1">
      <c r="B278" s="1" t="s">
        <v>339</v>
      </c>
      <c r="C278" s="1" t="s">
        <v>338</v>
      </c>
      <c r="D278" s="52">
        <v>45996.409722222219</v>
      </c>
      <c r="E278" s="52">
        <v>45996.409722222219</v>
      </c>
      <c r="F278" s="52">
        <v>45996.409722222219</v>
      </c>
      <c r="G278" s="53">
        <f t="shared" si="12"/>
        <v>0</v>
      </c>
      <c r="H278" s="1" t="s">
        <v>677</v>
      </c>
      <c r="J278" s="1" t="s">
        <v>230</v>
      </c>
      <c r="K278" s="1" t="str">
        <f>_xlfn.XLOOKUP(J278,REF!$D$2:$D$12,REF!$E$2:$E$12)</f>
        <v>UFV</v>
      </c>
      <c r="L278" s="1" t="s">
        <v>2081</v>
      </c>
      <c r="M278" s="1" t="s">
        <v>663</v>
      </c>
      <c r="N278" s="1" t="s">
        <v>672</v>
      </c>
      <c r="O278" s="1" t="s">
        <v>2099</v>
      </c>
      <c r="P278" s="1" t="str">
        <f t="shared" si="13"/>
        <v>BC Varjao2.2215KTL-H0(MBUS-16)45996,409722222245996,409722222245996,4097222222</v>
      </c>
      <c r="Q278" s="1" t="str">
        <f t="shared" si="14"/>
        <v>DPRUFV</v>
      </c>
    </row>
    <row r="279" spans="2:17" hidden="1">
      <c r="B279" s="1" t="s">
        <v>339</v>
      </c>
      <c r="C279" s="1" t="s">
        <v>332</v>
      </c>
      <c r="D279" s="52">
        <v>45996.409722222219</v>
      </c>
      <c r="E279" s="52">
        <v>45996.409722222219</v>
      </c>
      <c r="F279" s="52">
        <v>45996.409722222219</v>
      </c>
      <c r="G279" s="53">
        <f t="shared" si="12"/>
        <v>0</v>
      </c>
      <c r="H279" s="1" t="s">
        <v>677</v>
      </c>
      <c r="J279" s="1" t="s">
        <v>230</v>
      </c>
      <c r="K279" s="1" t="str">
        <f>_xlfn.XLOOKUP(J279,REF!$D$2:$D$12,REF!$E$2:$E$12)</f>
        <v>UFV</v>
      </c>
      <c r="L279" s="1" t="s">
        <v>2081</v>
      </c>
      <c r="M279" s="1" t="s">
        <v>663</v>
      </c>
      <c r="N279" s="1" t="s">
        <v>672</v>
      </c>
      <c r="O279" s="1" t="s">
        <v>2099</v>
      </c>
      <c r="P279" s="1" t="str">
        <f t="shared" si="13"/>
        <v>BC Varjao2.2215KTL-H0(MBUS-12)45996,409722222245996,409722222245996,4097222222</v>
      </c>
      <c r="Q279" s="1" t="str">
        <f t="shared" si="14"/>
        <v>DPRUFV</v>
      </c>
    </row>
    <row r="280" spans="2:17" hidden="1">
      <c r="B280" s="1" t="s">
        <v>585</v>
      </c>
      <c r="C280" s="1" t="s">
        <v>590</v>
      </c>
      <c r="D280" s="52">
        <v>45996.47152777778</v>
      </c>
      <c r="E280" s="52">
        <v>45996.47152777778</v>
      </c>
      <c r="F280" s="52">
        <v>45996.540972222225</v>
      </c>
      <c r="G280" s="53">
        <f t="shared" si="12"/>
        <v>6.9444444445252884E-2</v>
      </c>
      <c r="H280" s="1" t="s">
        <v>257</v>
      </c>
      <c r="J280" s="1" t="s">
        <v>258</v>
      </c>
      <c r="K280" s="1" t="str">
        <f>_xlfn.XLOOKUP(J280,REF!$D$2:$D$12,REF!$E$2:$E$12)</f>
        <v>Rede</v>
      </c>
      <c r="L280" s="1" t="s">
        <v>2107</v>
      </c>
      <c r="M280" s="1" t="s">
        <v>2108</v>
      </c>
      <c r="N280" s="1" t="s">
        <v>357</v>
      </c>
      <c r="O280" s="1" t="s">
        <v>2090</v>
      </c>
      <c r="P280" s="1" t="str">
        <f t="shared" si="13"/>
        <v>BC Rio Monte1Inverter4145996,471527777845996,471527777845996,5409722222</v>
      </c>
      <c r="Q280" s="1" t="str">
        <f t="shared" si="14"/>
        <v>DAURDE</v>
      </c>
    </row>
    <row r="281" spans="2:17" hidden="1">
      <c r="B281" s="1" t="s">
        <v>585</v>
      </c>
      <c r="C281" s="1" t="s">
        <v>2091</v>
      </c>
      <c r="D281" s="52">
        <v>45996.47152777778</v>
      </c>
      <c r="E281" s="52">
        <v>45996.47152777778</v>
      </c>
      <c r="F281" s="52">
        <v>45996.540972222225</v>
      </c>
      <c r="G281" s="53">
        <f t="shared" si="12"/>
        <v>6.9444444445252884E-2</v>
      </c>
      <c r="H281" s="1" t="s">
        <v>257</v>
      </c>
      <c r="J281" s="1" t="s">
        <v>258</v>
      </c>
      <c r="K281" s="1" t="str">
        <f>_xlfn.XLOOKUP(J281,REF!$D$2:$D$12,REF!$E$2:$E$12)</f>
        <v>Rede</v>
      </c>
      <c r="L281" s="1" t="s">
        <v>2107</v>
      </c>
      <c r="M281" s="1" t="s">
        <v>2108</v>
      </c>
      <c r="N281" s="1" t="s">
        <v>357</v>
      </c>
      <c r="O281" s="1" t="s">
        <v>2090</v>
      </c>
      <c r="P281" s="1" t="str">
        <f t="shared" si="13"/>
        <v>BC Rio Monte1Inverter4745996,471527777845996,471527777845996,5409722222</v>
      </c>
      <c r="Q281" s="1" t="str">
        <f t="shared" si="14"/>
        <v>DAURDE</v>
      </c>
    </row>
    <row r="282" spans="2:17" hidden="1">
      <c r="B282" s="1" t="s">
        <v>585</v>
      </c>
      <c r="C282" s="1" t="s">
        <v>586</v>
      </c>
      <c r="D282" s="52">
        <v>45996.47152777778</v>
      </c>
      <c r="E282" s="52">
        <v>45996.47152777778</v>
      </c>
      <c r="F282" s="52">
        <v>45996.540972222225</v>
      </c>
      <c r="G282" s="53">
        <f t="shared" si="12"/>
        <v>6.9444444445252884E-2</v>
      </c>
      <c r="H282" s="1" t="s">
        <v>257</v>
      </c>
      <c r="J282" s="1" t="s">
        <v>258</v>
      </c>
      <c r="K282" s="1" t="str">
        <f>_xlfn.XLOOKUP(J282,REF!$D$2:$D$12,REF!$E$2:$E$12)</f>
        <v>Rede</v>
      </c>
      <c r="L282" s="1" t="s">
        <v>2107</v>
      </c>
      <c r="M282" s="1" t="s">
        <v>2108</v>
      </c>
      <c r="N282" s="1" t="s">
        <v>357</v>
      </c>
      <c r="O282" s="1" t="s">
        <v>2090</v>
      </c>
      <c r="P282" s="1" t="str">
        <f t="shared" si="13"/>
        <v>BC Rio Monte1Inverter3545996,471527777845996,471527777845996,5409722222</v>
      </c>
      <c r="Q282" s="1" t="str">
        <f t="shared" si="14"/>
        <v>DAURDE</v>
      </c>
    </row>
    <row r="283" spans="2:17" hidden="1">
      <c r="B283" s="1" t="s">
        <v>585</v>
      </c>
      <c r="C283" s="1" t="s">
        <v>598</v>
      </c>
      <c r="D283" s="52">
        <v>45996.47152777778</v>
      </c>
      <c r="E283" s="52">
        <v>45996.47152777778</v>
      </c>
      <c r="F283" s="52">
        <v>45996.540972222225</v>
      </c>
      <c r="G283" s="53">
        <f t="shared" si="12"/>
        <v>6.9444444445252884E-2</v>
      </c>
      <c r="H283" s="1" t="s">
        <v>257</v>
      </c>
      <c r="J283" s="1" t="s">
        <v>258</v>
      </c>
      <c r="K283" s="1" t="str">
        <f>_xlfn.XLOOKUP(J283,REF!$D$2:$D$12,REF!$E$2:$E$12)</f>
        <v>Rede</v>
      </c>
      <c r="L283" s="1" t="s">
        <v>2107</v>
      </c>
      <c r="M283" s="1" t="s">
        <v>2108</v>
      </c>
      <c r="N283" s="1" t="s">
        <v>357</v>
      </c>
      <c r="O283" s="1" t="s">
        <v>2090</v>
      </c>
      <c r="P283" s="1" t="str">
        <f t="shared" si="13"/>
        <v>BC Rio Monte1Inverter3645996,471527777845996,471527777845996,5409722222</v>
      </c>
      <c r="Q283" s="1" t="str">
        <f t="shared" si="14"/>
        <v>DAURDE</v>
      </c>
    </row>
    <row r="284" spans="2:17" hidden="1">
      <c r="B284" s="1" t="s">
        <v>585</v>
      </c>
      <c r="C284" s="1" t="s">
        <v>600</v>
      </c>
      <c r="D284" s="52">
        <v>45996.47152777778</v>
      </c>
      <c r="E284" s="52">
        <v>45996.47152777778</v>
      </c>
      <c r="F284" s="52">
        <v>45996.540972222225</v>
      </c>
      <c r="G284" s="53">
        <f t="shared" si="12"/>
        <v>6.9444444445252884E-2</v>
      </c>
      <c r="H284" s="1" t="s">
        <v>257</v>
      </c>
      <c r="J284" s="1" t="s">
        <v>258</v>
      </c>
      <c r="K284" s="1" t="str">
        <f>_xlfn.XLOOKUP(J284,REF!$D$2:$D$12,REF!$E$2:$E$12)</f>
        <v>Rede</v>
      </c>
      <c r="L284" s="1" t="s">
        <v>2107</v>
      </c>
      <c r="M284" s="1" t="s">
        <v>2108</v>
      </c>
      <c r="N284" s="1" t="s">
        <v>357</v>
      </c>
      <c r="O284" s="1" t="s">
        <v>2090</v>
      </c>
      <c r="P284" s="1" t="str">
        <f t="shared" si="13"/>
        <v>BC Rio Monte1Inverter3145996,471527777845996,471527777845996,5409722222</v>
      </c>
      <c r="Q284" s="1" t="str">
        <f t="shared" si="14"/>
        <v>DAURDE</v>
      </c>
    </row>
    <row r="285" spans="2:17" hidden="1">
      <c r="B285" s="1" t="s">
        <v>585</v>
      </c>
      <c r="C285" s="1" t="s">
        <v>596</v>
      </c>
      <c r="D285" s="52">
        <v>45996.47152777778</v>
      </c>
      <c r="E285" s="52">
        <v>45996.47152777778</v>
      </c>
      <c r="F285" s="52">
        <v>45996.540972222225</v>
      </c>
      <c r="G285" s="53">
        <f t="shared" si="12"/>
        <v>6.9444444445252884E-2</v>
      </c>
      <c r="H285" s="1" t="s">
        <v>257</v>
      </c>
      <c r="J285" s="1" t="s">
        <v>258</v>
      </c>
      <c r="K285" s="1" t="str">
        <f>_xlfn.XLOOKUP(J285,REF!$D$2:$D$12,REF!$E$2:$E$12)</f>
        <v>Rede</v>
      </c>
      <c r="L285" s="1" t="s">
        <v>2107</v>
      </c>
      <c r="M285" s="1" t="s">
        <v>2108</v>
      </c>
      <c r="N285" s="1" t="s">
        <v>357</v>
      </c>
      <c r="O285" s="1" t="s">
        <v>2090</v>
      </c>
      <c r="P285" s="1" t="str">
        <f t="shared" si="13"/>
        <v>BC Rio Monte1Inverter3345996,471527777845996,471527777845996,5409722222</v>
      </c>
      <c r="Q285" s="1" t="str">
        <f t="shared" si="14"/>
        <v>DAURDE</v>
      </c>
    </row>
    <row r="286" spans="2:17" hidden="1">
      <c r="B286" s="1" t="s">
        <v>585</v>
      </c>
      <c r="C286" s="1" t="s">
        <v>599</v>
      </c>
      <c r="D286" s="52">
        <v>45996.47152777778</v>
      </c>
      <c r="E286" s="52">
        <v>45996.47152777778</v>
      </c>
      <c r="F286" s="52">
        <v>45996.540972222225</v>
      </c>
      <c r="G286" s="53">
        <f t="shared" si="12"/>
        <v>6.9444444445252884E-2</v>
      </c>
      <c r="H286" s="1" t="s">
        <v>257</v>
      </c>
      <c r="J286" s="1" t="s">
        <v>258</v>
      </c>
      <c r="K286" s="1" t="str">
        <f>_xlfn.XLOOKUP(J286,REF!$D$2:$D$12,REF!$E$2:$E$12)</f>
        <v>Rede</v>
      </c>
      <c r="L286" s="1" t="s">
        <v>2107</v>
      </c>
      <c r="M286" s="1" t="s">
        <v>2108</v>
      </c>
      <c r="N286" s="1" t="s">
        <v>357</v>
      </c>
      <c r="O286" s="1" t="s">
        <v>2090</v>
      </c>
      <c r="P286" s="1" t="str">
        <f t="shared" si="13"/>
        <v>BC Rio Monte1Inverter3945996,471527777845996,471527777845996,5409722222</v>
      </c>
      <c r="Q286" s="1" t="str">
        <f t="shared" si="14"/>
        <v>DAURDE</v>
      </c>
    </row>
    <row r="287" spans="2:17" hidden="1">
      <c r="B287" s="1" t="s">
        <v>585</v>
      </c>
      <c r="C287" s="1" t="s">
        <v>603</v>
      </c>
      <c r="D287" s="52">
        <v>45996.47152777778</v>
      </c>
      <c r="E287" s="52">
        <v>45996.47152777778</v>
      </c>
      <c r="F287" s="52">
        <v>45996.540972222225</v>
      </c>
      <c r="G287" s="53">
        <f t="shared" si="12"/>
        <v>6.9444444445252884E-2</v>
      </c>
      <c r="H287" s="1" t="s">
        <v>257</v>
      </c>
      <c r="J287" s="1" t="s">
        <v>258</v>
      </c>
      <c r="K287" s="1" t="str">
        <f>_xlfn.XLOOKUP(J287,REF!$D$2:$D$12,REF!$E$2:$E$12)</f>
        <v>Rede</v>
      </c>
      <c r="L287" s="1" t="s">
        <v>2107</v>
      </c>
      <c r="M287" s="1" t="s">
        <v>2108</v>
      </c>
      <c r="N287" s="1" t="s">
        <v>357</v>
      </c>
      <c r="O287" s="1" t="s">
        <v>2090</v>
      </c>
      <c r="P287" s="1" t="str">
        <f t="shared" si="13"/>
        <v>BC Rio Monte1Inverter3245996,471527777845996,471527777845996,5409722222</v>
      </c>
      <c r="Q287" s="1" t="str">
        <f t="shared" si="14"/>
        <v>DAURDE</v>
      </c>
    </row>
    <row r="288" spans="2:17" hidden="1">
      <c r="B288" s="1" t="s">
        <v>585</v>
      </c>
      <c r="C288" s="1" t="s">
        <v>588</v>
      </c>
      <c r="D288" s="52">
        <v>45996.47152777778</v>
      </c>
      <c r="E288" s="52">
        <v>45996.47152777778</v>
      </c>
      <c r="F288" s="52">
        <v>45996.540972222225</v>
      </c>
      <c r="G288" s="53">
        <f t="shared" si="12"/>
        <v>6.9444444445252884E-2</v>
      </c>
      <c r="H288" s="1" t="s">
        <v>257</v>
      </c>
      <c r="J288" s="1" t="s">
        <v>258</v>
      </c>
      <c r="K288" s="1" t="str">
        <f>_xlfn.XLOOKUP(J288,REF!$D$2:$D$12,REF!$E$2:$E$12)</f>
        <v>Rede</v>
      </c>
      <c r="L288" s="1" t="s">
        <v>2107</v>
      </c>
      <c r="M288" s="1" t="s">
        <v>2108</v>
      </c>
      <c r="N288" s="1" t="s">
        <v>357</v>
      </c>
      <c r="O288" s="1" t="s">
        <v>2090</v>
      </c>
      <c r="P288" s="1" t="str">
        <f t="shared" si="13"/>
        <v>BC Rio Monte1Inverter4045996,471527777845996,471527777845996,5409722222</v>
      </c>
      <c r="Q288" s="1" t="str">
        <f t="shared" si="14"/>
        <v>DAURDE</v>
      </c>
    </row>
    <row r="289" spans="2:17" hidden="1">
      <c r="B289" s="1" t="s">
        <v>585</v>
      </c>
      <c r="C289" s="1" t="s">
        <v>594</v>
      </c>
      <c r="D289" s="52">
        <v>45996.47152777778</v>
      </c>
      <c r="E289" s="52">
        <v>45996.47152777778</v>
      </c>
      <c r="F289" s="52">
        <v>45996.540972222225</v>
      </c>
      <c r="G289" s="53">
        <f t="shared" si="12"/>
        <v>6.9444444445252884E-2</v>
      </c>
      <c r="H289" s="1" t="s">
        <v>257</v>
      </c>
      <c r="J289" s="1" t="s">
        <v>258</v>
      </c>
      <c r="K289" s="1" t="str">
        <f>_xlfn.XLOOKUP(J289,REF!$D$2:$D$12,REF!$E$2:$E$12)</f>
        <v>Rede</v>
      </c>
      <c r="L289" s="1" t="s">
        <v>2107</v>
      </c>
      <c r="M289" s="1" t="s">
        <v>2108</v>
      </c>
      <c r="N289" s="1" t="s">
        <v>357</v>
      </c>
      <c r="O289" s="1" t="s">
        <v>2090</v>
      </c>
      <c r="P289" s="1" t="str">
        <f t="shared" si="13"/>
        <v>BC Rio Monte1Inverter3445996,471527777845996,471527777845996,5409722222</v>
      </c>
      <c r="Q289" s="1" t="str">
        <f t="shared" si="14"/>
        <v>DAURDE</v>
      </c>
    </row>
    <row r="290" spans="2:17">
      <c r="B290" s="1" t="s">
        <v>619</v>
      </c>
      <c r="C290" s="1" t="s">
        <v>247</v>
      </c>
      <c r="D290" s="52">
        <v>45997.361805555556</v>
      </c>
      <c r="E290" s="52">
        <v>45997.361805555556</v>
      </c>
      <c r="F290" s="52">
        <v>45997.416666666664</v>
      </c>
      <c r="G290" s="53">
        <f t="shared" si="12"/>
        <v>5.486111110803904E-2</v>
      </c>
      <c r="H290" s="1" t="s">
        <v>268</v>
      </c>
      <c r="I290" s="1" t="s">
        <v>269</v>
      </c>
      <c r="J290" s="1" t="s">
        <v>319</v>
      </c>
      <c r="K290" s="1" t="str">
        <f>_xlfn.XLOOKUP(J290,REF!$D$2:$D$12,REF!$E$2:$E$12)</f>
        <v>Comunicação</v>
      </c>
      <c r="L290" s="1" t="s">
        <v>2109</v>
      </c>
      <c r="M290" s="1" t="s">
        <v>289</v>
      </c>
      <c r="N290" s="1" t="s">
        <v>253</v>
      </c>
      <c r="O290" s="1" t="s">
        <v>2110</v>
      </c>
      <c r="P290" s="1" t="str">
        <f t="shared" si="13"/>
        <v>BC Vazante2.2Inverter(MBUS-1)45997,361805555645997,361805555645997,4166666667</v>
      </c>
      <c r="Q290" s="1" t="str">
        <f t="shared" si="14"/>
        <v>LIGRFOCOM</v>
      </c>
    </row>
    <row r="291" spans="2:17">
      <c r="B291" s="1" t="s">
        <v>619</v>
      </c>
      <c r="C291" s="1" t="s">
        <v>757</v>
      </c>
      <c r="D291" s="52">
        <v>45997.361805555556</v>
      </c>
      <c r="E291" s="52">
        <v>45997.361805555556</v>
      </c>
      <c r="F291" s="52">
        <v>45997.416666666664</v>
      </c>
      <c r="G291" s="53">
        <f t="shared" si="12"/>
        <v>5.486111110803904E-2</v>
      </c>
      <c r="H291" s="1" t="s">
        <v>268</v>
      </c>
      <c r="I291" s="1" t="s">
        <v>269</v>
      </c>
      <c r="J291" s="1" t="s">
        <v>319</v>
      </c>
      <c r="K291" s="1" t="str">
        <f>_xlfn.XLOOKUP(J291,REF!$D$2:$D$12,REF!$E$2:$E$12)</f>
        <v>Comunicação</v>
      </c>
      <c r="L291" s="1" t="s">
        <v>2109</v>
      </c>
      <c r="M291" s="1" t="s">
        <v>289</v>
      </c>
      <c r="N291" s="1" t="s">
        <v>253</v>
      </c>
      <c r="O291" s="1" t="s">
        <v>2110</v>
      </c>
      <c r="P291" s="1" t="str">
        <f t="shared" si="13"/>
        <v>BC Vazante2.2Inverter(MBUS-6)45997,361805555645997,361805555645997,4166666667</v>
      </c>
      <c r="Q291" s="1" t="str">
        <f t="shared" si="14"/>
        <v>LIGRFOCOM</v>
      </c>
    </row>
    <row r="292" spans="2:17">
      <c r="B292" s="1" t="s">
        <v>619</v>
      </c>
      <c r="C292" s="1" t="s">
        <v>758</v>
      </c>
      <c r="D292" s="52">
        <v>45997.361805555556</v>
      </c>
      <c r="E292" s="52">
        <v>45997.361805555556</v>
      </c>
      <c r="F292" s="52">
        <v>45997.416666666664</v>
      </c>
      <c r="G292" s="53">
        <f t="shared" si="12"/>
        <v>5.486111110803904E-2</v>
      </c>
      <c r="H292" s="1" t="s">
        <v>268</v>
      </c>
      <c r="I292" s="1" t="s">
        <v>269</v>
      </c>
      <c r="J292" s="1" t="s">
        <v>319</v>
      </c>
      <c r="K292" s="1" t="str">
        <f>_xlfn.XLOOKUP(J292,REF!$D$2:$D$12,REF!$E$2:$E$12)</f>
        <v>Comunicação</v>
      </c>
      <c r="L292" s="1" t="s">
        <v>2109</v>
      </c>
      <c r="M292" s="1" t="s">
        <v>289</v>
      </c>
      <c r="N292" s="1" t="s">
        <v>253</v>
      </c>
      <c r="O292" s="1" t="s">
        <v>2110</v>
      </c>
      <c r="P292" s="1" t="str">
        <f t="shared" si="13"/>
        <v>BC Vazante2.2Inverter(MBUS-7)45997,361805555645997,361805555645997,4166666667</v>
      </c>
      <c r="Q292" s="1" t="str">
        <f t="shared" si="14"/>
        <v>LIGRFOCOM</v>
      </c>
    </row>
    <row r="293" spans="2:17">
      <c r="B293" s="1" t="s">
        <v>619</v>
      </c>
      <c r="C293" s="1" t="s">
        <v>2095</v>
      </c>
      <c r="D293" s="52">
        <v>45997.361805555556</v>
      </c>
      <c r="E293" s="52">
        <v>45997.361805555556</v>
      </c>
      <c r="F293" s="52">
        <v>45997.416666666664</v>
      </c>
      <c r="G293" s="53">
        <f t="shared" si="12"/>
        <v>5.486111110803904E-2</v>
      </c>
      <c r="H293" s="1" t="s">
        <v>268</v>
      </c>
      <c r="I293" s="1" t="s">
        <v>269</v>
      </c>
      <c r="J293" s="1" t="s">
        <v>319</v>
      </c>
      <c r="K293" s="1" t="str">
        <f>_xlfn.XLOOKUP(J293,REF!$D$2:$D$12,REF!$E$2:$E$12)</f>
        <v>Comunicação</v>
      </c>
      <c r="L293" s="1" t="s">
        <v>2109</v>
      </c>
      <c r="M293" s="1" t="s">
        <v>289</v>
      </c>
      <c r="N293" s="1" t="s">
        <v>253</v>
      </c>
      <c r="O293" s="1" t="s">
        <v>2110</v>
      </c>
      <c r="P293" s="1" t="str">
        <f t="shared" si="13"/>
        <v>BC Vazante2.2Inverter(MBUS-8)45997,361805555645997,361805555645997,4166666667</v>
      </c>
      <c r="Q293" s="1" t="str">
        <f t="shared" si="14"/>
        <v>LIGRFOCOM</v>
      </c>
    </row>
    <row r="294" spans="2:17">
      <c r="B294" s="1" t="s">
        <v>619</v>
      </c>
      <c r="C294" s="1" t="s">
        <v>756</v>
      </c>
      <c r="D294" s="52">
        <v>45997.361805555556</v>
      </c>
      <c r="E294" s="52">
        <v>45997.361805555556</v>
      </c>
      <c r="F294" s="52">
        <v>45997.416666666664</v>
      </c>
      <c r="G294" s="53">
        <f t="shared" si="12"/>
        <v>5.486111110803904E-2</v>
      </c>
      <c r="H294" s="1" t="s">
        <v>268</v>
      </c>
      <c r="I294" s="1" t="s">
        <v>269</v>
      </c>
      <c r="J294" s="1" t="s">
        <v>319</v>
      </c>
      <c r="K294" s="1" t="str">
        <f>_xlfn.XLOOKUP(J294,REF!$D$2:$D$12,REF!$E$2:$E$12)</f>
        <v>Comunicação</v>
      </c>
      <c r="L294" s="1" t="s">
        <v>2109</v>
      </c>
      <c r="M294" s="1" t="s">
        <v>289</v>
      </c>
      <c r="N294" s="1" t="s">
        <v>253</v>
      </c>
      <c r="O294" s="1" t="s">
        <v>2110</v>
      </c>
      <c r="P294" s="1" t="str">
        <f t="shared" si="13"/>
        <v>BC Vazante2.2Inverter(MBUS-10)45997,361805555645997,361805555645997,4166666667</v>
      </c>
      <c r="Q294" s="1" t="str">
        <f t="shared" si="14"/>
        <v>LIGRFOCOM</v>
      </c>
    </row>
    <row r="295" spans="2:17" hidden="1">
      <c r="B295" s="1" t="s">
        <v>805</v>
      </c>
      <c r="C295" s="1" t="s">
        <v>264</v>
      </c>
      <c r="D295" s="52">
        <v>45997.402777777781</v>
      </c>
      <c r="E295" s="52">
        <v>45997.402777777781</v>
      </c>
      <c r="F295" s="52">
        <v>45997.694444444445</v>
      </c>
      <c r="G295" s="53">
        <f t="shared" si="12"/>
        <v>0.29166666666424135</v>
      </c>
      <c r="H295" s="1" t="s">
        <v>257</v>
      </c>
      <c r="J295" s="1" t="s">
        <v>258</v>
      </c>
      <c r="K295" s="1" t="str">
        <f>_xlfn.XLOOKUP(J295,REF!$D$2:$D$12,REF!$E$2:$E$12)</f>
        <v>Rede</v>
      </c>
      <c r="L295" s="1" t="s">
        <v>2057</v>
      </c>
      <c r="M295" s="1" t="s">
        <v>260</v>
      </c>
      <c r="N295" s="1" t="s">
        <v>261</v>
      </c>
      <c r="O295" s="1" t="s">
        <v>2098</v>
      </c>
      <c r="P295" s="1" t="str">
        <f t="shared" si="13"/>
        <v>BC Formoso1.2Inverter(MBUS-13)45997,402777777845997,402777777845997,6944444444</v>
      </c>
      <c r="Q295" s="1" t="str">
        <f t="shared" si="14"/>
        <v>DAURDE</v>
      </c>
    </row>
    <row r="296" spans="2:17" hidden="1">
      <c r="B296" s="1" t="s">
        <v>805</v>
      </c>
      <c r="C296" s="1" t="s">
        <v>256</v>
      </c>
      <c r="D296" s="52">
        <v>45997.402777777781</v>
      </c>
      <c r="E296" s="52">
        <v>45997.402777777781</v>
      </c>
      <c r="F296" s="52">
        <v>45997.694444444445</v>
      </c>
      <c r="G296" s="53">
        <f t="shared" ref="G296:G298" si="15">F296-E296</f>
        <v>0.29166666666424135</v>
      </c>
      <c r="H296" s="1" t="s">
        <v>257</v>
      </c>
      <c r="J296" s="1" t="s">
        <v>258</v>
      </c>
      <c r="K296" s="1" t="str">
        <f>_xlfn.XLOOKUP(J296,REF!$D$2:$D$12,REF!$E$2:$E$12)</f>
        <v>Rede</v>
      </c>
      <c r="L296" s="1" t="s">
        <v>2057</v>
      </c>
      <c r="M296" s="1" t="s">
        <v>260</v>
      </c>
      <c r="N296" s="1" t="s">
        <v>261</v>
      </c>
      <c r="O296" s="1" t="s">
        <v>2098</v>
      </c>
      <c r="P296" s="1" t="str">
        <f t="shared" si="13"/>
        <v>BC Formoso1.2Inverter(MBUS-12)45997,402777777845997,402777777845997,6944444444</v>
      </c>
      <c r="Q296" s="1" t="str">
        <f t="shared" si="14"/>
        <v>DAURDE</v>
      </c>
    </row>
    <row r="297" spans="2:17" hidden="1">
      <c r="B297" s="1" t="s">
        <v>805</v>
      </c>
      <c r="C297" s="1" t="s">
        <v>307</v>
      </c>
      <c r="D297" s="52">
        <v>45997.402777777781</v>
      </c>
      <c r="E297" s="52">
        <v>45997.402777777781</v>
      </c>
      <c r="F297" s="52">
        <v>45997.694444444445</v>
      </c>
      <c r="G297" s="53">
        <f t="shared" si="15"/>
        <v>0.29166666666424135</v>
      </c>
      <c r="H297" s="1" t="s">
        <v>257</v>
      </c>
      <c r="J297" s="1" t="s">
        <v>258</v>
      </c>
      <c r="K297" s="1" t="str">
        <f>_xlfn.XLOOKUP(J297,REF!$D$2:$D$12,REF!$E$2:$E$12)</f>
        <v>Rede</v>
      </c>
      <c r="L297" s="1" t="s">
        <v>2057</v>
      </c>
      <c r="M297" s="1" t="s">
        <v>260</v>
      </c>
      <c r="N297" s="1" t="s">
        <v>261</v>
      </c>
      <c r="O297" s="1" t="s">
        <v>2098</v>
      </c>
      <c r="P297" s="1" t="str">
        <f t="shared" si="13"/>
        <v>BC Formoso1.2Inverter(MBUS-15)45997,402777777845997,402777777845997,6944444444</v>
      </c>
      <c r="Q297" s="1" t="str">
        <f t="shared" si="14"/>
        <v>DAURDE</v>
      </c>
    </row>
    <row r="298" spans="2:17" hidden="1">
      <c r="B298" s="1" t="s">
        <v>805</v>
      </c>
      <c r="C298" s="1" t="s">
        <v>263</v>
      </c>
      <c r="D298" s="52">
        <v>45997.402777777781</v>
      </c>
      <c r="E298" s="52">
        <v>45997.402777777781</v>
      </c>
      <c r="F298" s="52">
        <v>45997.694444444445</v>
      </c>
      <c r="G298" s="53">
        <f t="shared" si="15"/>
        <v>0.29166666666424135</v>
      </c>
      <c r="H298" s="1" t="s">
        <v>257</v>
      </c>
      <c r="J298" s="1" t="s">
        <v>258</v>
      </c>
      <c r="K298" s="1" t="str">
        <f>_xlfn.XLOOKUP(J298,REF!$D$2:$D$12,REF!$E$2:$E$12)</f>
        <v>Rede</v>
      </c>
      <c r="L298" s="1" t="s">
        <v>2057</v>
      </c>
      <c r="M298" s="1" t="s">
        <v>260</v>
      </c>
      <c r="N298" s="1" t="s">
        <v>261</v>
      </c>
      <c r="O298" s="1" t="s">
        <v>2098</v>
      </c>
      <c r="P298" s="1" t="str">
        <f t="shared" si="13"/>
        <v>BC Formoso1.2Inverter(MBUS-14)45997,402777777845997,402777777845997,6944444444</v>
      </c>
      <c r="Q298" s="1" t="str">
        <f t="shared" si="14"/>
        <v>DAURDE</v>
      </c>
    </row>
    <row r="299" spans="2:17" hidden="1">
      <c r="B299" s="1" t="s">
        <v>327</v>
      </c>
      <c r="C299" s="1" t="s">
        <v>247</v>
      </c>
      <c r="D299" s="52">
        <v>45997.427083333336</v>
      </c>
      <c r="E299" s="52">
        <v>45997.427083333336</v>
      </c>
      <c r="F299" s="52">
        <v>45997.538194444445</v>
      </c>
      <c r="G299" s="53">
        <f t="shared" si="12"/>
        <v>0.11111111110949423</v>
      </c>
      <c r="H299" s="1" t="s">
        <v>257</v>
      </c>
      <c r="J299" s="1" t="s">
        <v>258</v>
      </c>
      <c r="K299" s="1" t="str">
        <f>_xlfn.XLOOKUP(J299,REF!$D$2:$D$12,REF!$E$2:$E$12)</f>
        <v>Rede</v>
      </c>
      <c r="L299" s="1" t="s">
        <v>582</v>
      </c>
      <c r="M299" s="1" t="s">
        <v>2108</v>
      </c>
      <c r="N299" s="1" t="s">
        <v>357</v>
      </c>
      <c r="O299" s="1" t="s">
        <v>2111</v>
      </c>
      <c r="P299" s="1" t="str">
        <f t="shared" si="13"/>
        <v>BC Aracu5.1Inverter(MBUS-1)45997,427083333345997,427083333345997,5381944444</v>
      </c>
      <c r="Q299" s="1" t="str">
        <f t="shared" si="14"/>
        <v>DAURDE</v>
      </c>
    </row>
    <row r="300" spans="2:17" hidden="1">
      <c r="B300" s="1" t="s">
        <v>246</v>
      </c>
      <c r="C300" s="1" t="s">
        <v>247</v>
      </c>
      <c r="D300" s="52">
        <v>45997.427083333336</v>
      </c>
      <c r="E300" s="52">
        <v>45997.427083333336</v>
      </c>
      <c r="F300" s="52">
        <v>45997.538194444445</v>
      </c>
      <c r="G300" s="53">
        <f t="shared" si="12"/>
        <v>0.11111111110949423</v>
      </c>
      <c r="H300" s="1" t="s">
        <v>257</v>
      </c>
      <c r="J300" s="1" t="s">
        <v>258</v>
      </c>
      <c r="K300" s="1" t="str">
        <f>_xlfn.XLOOKUP(J300,REF!$D$2:$D$12,REF!$E$2:$E$12)</f>
        <v>Rede</v>
      </c>
      <c r="L300" s="1" t="s">
        <v>582</v>
      </c>
      <c r="M300" s="1" t="s">
        <v>2108</v>
      </c>
      <c r="N300" s="1" t="s">
        <v>357</v>
      </c>
      <c r="O300" s="1" t="s">
        <v>2111</v>
      </c>
      <c r="P300" s="1" t="str">
        <f t="shared" si="13"/>
        <v>BC Aracu5.2Inverter(MBUS-1)45997,427083333345997,427083333345997,5381944444</v>
      </c>
      <c r="Q300" s="1" t="str">
        <f t="shared" si="14"/>
        <v>DAURDE</v>
      </c>
    </row>
    <row r="301" spans="2:17" hidden="1">
      <c r="B301" s="1" t="s">
        <v>328</v>
      </c>
      <c r="C301" s="1" t="s">
        <v>247</v>
      </c>
      <c r="D301" s="52">
        <v>45997.427083333336</v>
      </c>
      <c r="E301" s="52">
        <v>45997.427083333336</v>
      </c>
      <c r="F301" s="52">
        <v>45997.538194444445</v>
      </c>
      <c r="G301" s="53">
        <f t="shared" si="12"/>
        <v>0.11111111110949423</v>
      </c>
      <c r="H301" s="1" t="s">
        <v>257</v>
      </c>
      <c r="J301" s="1" t="s">
        <v>258</v>
      </c>
      <c r="K301" s="1" t="str">
        <f>_xlfn.XLOOKUP(J301,REF!$D$2:$D$12,REF!$E$2:$E$12)</f>
        <v>Rede</v>
      </c>
      <c r="L301" s="1" t="s">
        <v>582</v>
      </c>
      <c r="M301" s="1" t="s">
        <v>2108</v>
      </c>
      <c r="N301" s="1" t="s">
        <v>357</v>
      </c>
      <c r="O301" s="1" t="s">
        <v>2111</v>
      </c>
      <c r="P301" s="1" t="str">
        <f t="shared" si="13"/>
        <v>BC Aracu5.3Inverter(MBUS-1)45997,427083333345997,427083333345997,5381944444</v>
      </c>
      <c r="Q301" s="1" t="str">
        <f t="shared" si="14"/>
        <v>DAURDE</v>
      </c>
    </row>
    <row r="302" spans="2:17" hidden="1">
      <c r="B302" s="1" t="s">
        <v>329</v>
      </c>
      <c r="C302" s="1" t="s">
        <v>247</v>
      </c>
      <c r="D302" s="52">
        <v>45997.427083333336</v>
      </c>
      <c r="E302" s="52">
        <v>45997.427083333336</v>
      </c>
      <c r="F302" s="52">
        <v>45997.538194444445</v>
      </c>
      <c r="G302" s="53">
        <f t="shared" si="12"/>
        <v>0.11111111110949423</v>
      </c>
      <c r="H302" s="1" t="s">
        <v>257</v>
      </c>
      <c r="J302" s="1" t="s">
        <v>258</v>
      </c>
      <c r="K302" s="1" t="str">
        <f>_xlfn.XLOOKUP(J302,REF!$D$2:$D$12,REF!$E$2:$E$12)</f>
        <v>Rede</v>
      </c>
      <c r="L302" s="1" t="s">
        <v>582</v>
      </c>
      <c r="M302" s="1" t="s">
        <v>2108</v>
      </c>
      <c r="N302" s="1" t="s">
        <v>357</v>
      </c>
      <c r="O302" s="1" t="s">
        <v>2111</v>
      </c>
      <c r="P302" s="1" t="str">
        <f t="shared" si="13"/>
        <v>BC Aracu5.4Inverter(MBUS-1)45997,427083333345997,427083333345997,5381944444</v>
      </c>
      <c r="Q302" s="1" t="str">
        <f t="shared" si="14"/>
        <v>DAURDE</v>
      </c>
    </row>
    <row r="303" spans="2:17" hidden="1">
      <c r="B303" s="1" t="s">
        <v>330</v>
      </c>
      <c r="C303" s="1" t="s">
        <v>247</v>
      </c>
      <c r="D303" s="52">
        <v>45997.427083333336</v>
      </c>
      <c r="E303" s="52">
        <v>45997.427083333336</v>
      </c>
      <c r="F303" s="52">
        <v>45997.538194444445</v>
      </c>
      <c r="G303" s="53">
        <f t="shared" si="12"/>
        <v>0.11111111110949423</v>
      </c>
      <c r="H303" s="1" t="s">
        <v>257</v>
      </c>
      <c r="J303" s="1" t="s">
        <v>258</v>
      </c>
      <c r="K303" s="1" t="str">
        <f>_xlfn.XLOOKUP(J303,REF!$D$2:$D$12,REF!$E$2:$E$12)</f>
        <v>Rede</v>
      </c>
      <c r="L303" s="1" t="s">
        <v>582</v>
      </c>
      <c r="M303" s="1" t="s">
        <v>2108</v>
      </c>
      <c r="N303" s="1" t="s">
        <v>357</v>
      </c>
      <c r="O303" s="1" t="s">
        <v>2111</v>
      </c>
      <c r="P303" s="1" t="str">
        <f t="shared" si="13"/>
        <v>BC Aracu5.5Inverter(MBUS-1)45997,427083333345997,427083333345997,5381944444</v>
      </c>
      <c r="Q303" s="1" t="str">
        <f t="shared" si="14"/>
        <v>DAURDE</v>
      </c>
    </row>
    <row r="304" spans="2:17" hidden="1">
      <c r="B304" s="1" t="s">
        <v>2044</v>
      </c>
      <c r="C304" s="1" t="s">
        <v>267</v>
      </c>
      <c r="D304" s="52">
        <v>45997.461111111108</v>
      </c>
      <c r="E304" s="52">
        <v>45997.461111111108</v>
      </c>
      <c r="F304" s="52">
        <v>45997.517361111109</v>
      </c>
      <c r="G304" s="53">
        <f t="shared" si="12"/>
        <v>5.6250000001455192E-2</v>
      </c>
      <c r="H304" s="1" t="s">
        <v>268</v>
      </c>
      <c r="I304" s="1" t="s">
        <v>269</v>
      </c>
      <c r="J304" s="1" t="s">
        <v>270</v>
      </c>
      <c r="K304" s="1" t="str">
        <f>_xlfn.XLOOKUP(J304,REF!$D$2:$D$12,REF!$E$2:$E$12)</f>
        <v>Internet</v>
      </c>
      <c r="L304" s="1" t="s">
        <v>715</v>
      </c>
      <c r="M304" s="1" t="s">
        <v>272</v>
      </c>
      <c r="N304" s="1" t="s">
        <v>253</v>
      </c>
      <c r="O304" s="1" t="s">
        <v>2112</v>
      </c>
      <c r="P304" s="1" t="str">
        <f t="shared" si="13"/>
        <v>BC BomSucessoSG60KTL45997,461111111145997,461111111145997,5173611111</v>
      </c>
      <c r="Q304" s="1" t="str">
        <f t="shared" si="14"/>
        <v>LIGRFOINT</v>
      </c>
    </row>
    <row r="305" spans="2:17" hidden="1">
      <c r="B305" s="1" t="s">
        <v>2044</v>
      </c>
      <c r="C305" s="1" t="s">
        <v>2046</v>
      </c>
      <c r="D305" s="52">
        <v>45997.461111111108</v>
      </c>
      <c r="E305" s="52">
        <v>45997.461111111108</v>
      </c>
      <c r="F305" s="52">
        <v>45997.517361111109</v>
      </c>
      <c r="G305" s="53">
        <f t="shared" ref="G305:G315" si="16">F305-E305</f>
        <v>5.6250000001455192E-2</v>
      </c>
      <c r="H305" s="1" t="s">
        <v>268</v>
      </c>
      <c r="I305" s="1" t="s">
        <v>269</v>
      </c>
      <c r="J305" s="1" t="s">
        <v>270</v>
      </c>
      <c r="K305" s="1" t="str">
        <f>_xlfn.XLOOKUP(J305,REF!$D$2:$D$12,REF!$E$2:$E$12)</f>
        <v>Internet</v>
      </c>
      <c r="L305" s="1" t="s">
        <v>715</v>
      </c>
      <c r="M305" s="1" t="s">
        <v>272</v>
      </c>
      <c r="N305" s="1" t="s">
        <v>253</v>
      </c>
      <c r="O305" s="1" t="s">
        <v>2112</v>
      </c>
      <c r="P305" s="1" t="str">
        <f t="shared" si="13"/>
        <v>BC BomSucessoABB_0145997,461111111145997,461111111145997,5173611111</v>
      </c>
      <c r="Q305" s="1" t="str">
        <f t="shared" si="14"/>
        <v>LIGRFOINT</v>
      </c>
    </row>
    <row r="306" spans="2:17" hidden="1">
      <c r="B306" s="1" t="s">
        <v>2044</v>
      </c>
      <c r="C306" s="1" t="s">
        <v>2047</v>
      </c>
      <c r="D306" s="52">
        <v>45997.461111111108</v>
      </c>
      <c r="E306" s="52">
        <v>45997.461111111108</v>
      </c>
      <c r="F306" s="52">
        <v>45997.517361111109</v>
      </c>
      <c r="G306" s="53">
        <f t="shared" si="16"/>
        <v>5.6250000001455192E-2</v>
      </c>
      <c r="H306" s="1" t="s">
        <v>268</v>
      </c>
      <c r="I306" s="1" t="s">
        <v>269</v>
      </c>
      <c r="J306" s="1" t="s">
        <v>270</v>
      </c>
      <c r="K306" s="1" t="str">
        <f>_xlfn.XLOOKUP(J306,REF!$D$2:$D$12,REF!$E$2:$E$12)</f>
        <v>Internet</v>
      </c>
      <c r="L306" s="1" t="s">
        <v>715</v>
      </c>
      <c r="M306" s="1" t="s">
        <v>272</v>
      </c>
      <c r="N306" s="1" t="s">
        <v>253</v>
      </c>
      <c r="O306" s="1" t="s">
        <v>2112</v>
      </c>
      <c r="P306" s="1" t="str">
        <f t="shared" si="13"/>
        <v>BC BomSucessoABB_0245997,461111111145997,461111111145997,5173611111</v>
      </c>
      <c r="Q306" s="1" t="str">
        <f t="shared" si="14"/>
        <v>LIGRFOINT</v>
      </c>
    </row>
    <row r="307" spans="2:17" hidden="1">
      <c r="B307" s="1" t="s">
        <v>2044</v>
      </c>
      <c r="C307" s="1" t="s">
        <v>2048</v>
      </c>
      <c r="D307" s="52">
        <v>45997.461111111108</v>
      </c>
      <c r="E307" s="52">
        <v>45997.461111111108</v>
      </c>
      <c r="F307" s="52">
        <v>45997.517361111109</v>
      </c>
      <c r="G307" s="53">
        <f t="shared" si="16"/>
        <v>5.6250000001455192E-2</v>
      </c>
      <c r="H307" s="1" t="s">
        <v>268</v>
      </c>
      <c r="I307" s="1" t="s">
        <v>269</v>
      </c>
      <c r="J307" s="1" t="s">
        <v>270</v>
      </c>
      <c r="K307" s="1" t="str">
        <f>_xlfn.XLOOKUP(J307,REF!$D$2:$D$12,REF!$E$2:$E$12)</f>
        <v>Internet</v>
      </c>
      <c r="L307" s="1" t="s">
        <v>715</v>
      </c>
      <c r="M307" s="1" t="s">
        <v>272</v>
      </c>
      <c r="N307" s="1" t="s">
        <v>253</v>
      </c>
      <c r="O307" s="1" t="s">
        <v>2112</v>
      </c>
      <c r="P307" s="1" t="str">
        <f t="shared" si="13"/>
        <v>BC BomSucessoABB_0345997,461111111145997,461111111145997,5173611111</v>
      </c>
      <c r="Q307" s="1" t="str">
        <f t="shared" si="14"/>
        <v>LIGRFOINT</v>
      </c>
    </row>
    <row r="308" spans="2:17" hidden="1">
      <c r="B308" s="1" t="s">
        <v>2044</v>
      </c>
      <c r="C308" s="1" t="s">
        <v>2049</v>
      </c>
      <c r="D308" s="52">
        <v>45997.461111111108</v>
      </c>
      <c r="E308" s="52">
        <v>45997.461111111108</v>
      </c>
      <c r="F308" s="52">
        <v>45997.517361111109</v>
      </c>
      <c r="G308" s="53">
        <f t="shared" si="16"/>
        <v>5.6250000001455192E-2</v>
      </c>
      <c r="H308" s="1" t="s">
        <v>268</v>
      </c>
      <c r="I308" s="1" t="s">
        <v>269</v>
      </c>
      <c r="J308" s="1" t="s">
        <v>270</v>
      </c>
      <c r="K308" s="1" t="str">
        <f>_xlfn.XLOOKUP(J308,REF!$D$2:$D$12,REF!$E$2:$E$12)</f>
        <v>Internet</v>
      </c>
      <c r="L308" s="1" t="s">
        <v>715</v>
      </c>
      <c r="M308" s="1" t="s">
        <v>272</v>
      </c>
      <c r="N308" s="1" t="s">
        <v>253</v>
      </c>
      <c r="O308" s="1" t="s">
        <v>2112</v>
      </c>
      <c r="P308" s="1" t="str">
        <f t="shared" si="13"/>
        <v>BC BomSucessoABB_0445997,461111111145997,461111111145997,5173611111</v>
      </c>
      <c r="Q308" s="1" t="str">
        <f t="shared" si="14"/>
        <v>LIGRFOINT</v>
      </c>
    </row>
    <row r="309" spans="2:17" hidden="1">
      <c r="B309" s="1" t="s">
        <v>2044</v>
      </c>
      <c r="C309" s="1" t="s">
        <v>2050</v>
      </c>
      <c r="D309" s="52">
        <v>45997.461111111108</v>
      </c>
      <c r="E309" s="52">
        <v>45997.461111111108</v>
      </c>
      <c r="F309" s="52">
        <v>45997.517361111109</v>
      </c>
      <c r="G309" s="53">
        <f t="shared" si="16"/>
        <v>5.6250000001455192E-2</v>
      </c>
      <c r="H309" s="1" t="s">
        <v>268</v>
      </c>
      <c r="I309" s="1" t="s">
        <v>269</v>
      </c>
      <c r="J309" s="1" t="s">
        <v>270</v>
      </c>
      <c r="K309" s="1" t="str">
        <f>_xlfn.XLOOKUP(J309,REF!$D$2:$D$12,REF!$E$2:$E$12)</f>
        <v>Internet</v>
      </c>
      <c r="L309" s="1" t="s">
        <v>715</v>
      </c>
      <c r="M309" s="1" t="s">
        <v>272</v>
      </c>
      <c r="N309" s="1" t="s">
        <v>253</v>
      </c>
      <c r="O309" s="1" t="s">
        <v>2112</v>
      </c>
      <c r="P309" s="1" t="str">
        <f t="shared" si="13"/>
        <v>BC BomSucessoABB_0545997,461111111145997,461111111145997,5173611111</v>
      </c>
      <c r="Q309" s="1" t="str">
        <f t="shared" si="14"/>
        <v>LIGRFOINT</v>
      </c>
    </row>
    <row r="310" spans="2:17" hidden="1">
      <c r="B310" s="1" t="s">
        <v>2044</v>
      </c>
      <c r="C310" s="1" t="s">
        <v>2051</v>
      </c>
      <c r="D310" s="52">
        <v>45997.461111111108</v>
      </c>
      <c r="E310" s="52">
        <v>45997.461111111108</v>
      </c>
      <c r="F310" s="52">
        <v>45997.517361111109</v>
      </c>
      <c r="G310" s="53">
        <f t="shared" si="16"/>
        <v>5.6250000001455192E-2</v>
      </c>
      <c r="H310" s="1" t="s">
        <v>268</v>
      </c>
      <c r="I310" s="1" t="s">
        <v>269</v>
      </c>
      <c r="J310" s="1" t="s">
        <v>270</v>
      </c>
      <c r="K310" s="1" t="str">
        <f>_xlfn.XLOOKUP(J310,REF!$D$2:$D$12,REF!$E$2:$E$12)</f>
        <v>Internet</v>
      </c>
      <c r="L310" s="1" t="s">
        <v>715</v>
      </c>
      <c r="M310" s="1" t="s">
        <v>272</v>
      </c>
      <c r="N310" s="1" t="s">
        <v>253</v>
      </c>
      <c r="O310" s="1" t="s">
        <v>2112</v>
      </c>
      <c r="P310" s="1" t="str">
        <f t="shared" si="13"/>
        <v>BC BomSucessoABB_0645997,461111111145997,461111111145997,5173611111</v>
      </c>
      <c r="Q310" s="1" t="str">
        <f t="shared" si="14"/>
        <v>LIGRFOINT</v>
      </c>
    </row>
    <row r="311" spans="2:17" hidden="1">
      <c r="B311" s="1" t="s">
        <v>2044</v>
      </c>
      <c r="C311" s="1" t="s">
        <v>2052</v>
      </c>
      <c r="D311" s="52">
        <v>45997.461111111108</v>
      </c>
      <c r="E311" s="52">
        <v>45997.461111111108</v>
      </c>
      <c r="F311" s="52">
        <v>45997.517361111109</v>
      </c>
      <c r="G311" s="53">
        <f t="shared" si="16"/>
        <v>5.6250000001455192E-2</v>
      </c>
      <c r="H311" s="1" t="s">
        <v>268</v>
      </c>
      <c r="I311" s="1" t="s">
        <v>269</v>
      </c>
      <c r="J311" s="1" t="s">
        <v>270</v>
      </c>
      <c r="K311" s="1" t="str">
        <f>_xlfn.XLOOKUP(J311,REF!$D$2:$D$12,REF!$E$2:$E$12)</f>
        <v>Internet</v>
      </c>
      <c r="L311" s="1" t="s">
        <v>715</v>
      </c>
      <c r="M311" s="1" t="s">
        <v>272</v>
      </c>
      <c r="N311" s="1" t="s">
        <v>253</v>
      </c>
      <c r="O311" s="1" t="s">
        <v>2112</v>
      </c>
      <c r="P311" s="1" t="str">
        <f t="shared" si="13"/>
        <v>BC BomSucessoABB_0745997,461111111145997,461111111145997,5173611111</v>
      </c>
      <c r="Q311" s="1" t="str">
        <f t="shared" si="14"/>
        <v>LIGRFOINT</v>
      </c>
    </row>
    <row r="312" spans="2:17" hidden="1">
      <c r="B312" s="1" t="s">
        <v>2044</v>
      </c>
      <c r="C312" s="1" t="s">
        <v>2053</v>
      </c>
      <c r="D312" s="52">
        <v>45997.461111111108</v>
      </c>
      <c r="E312" s="52">
        <v>45997.461111111108</v>
      </c>
      <c r="F312" s="52">
        <v>45997.517361111109</v>
      </c>
      <c r="G312" s="53">
        <f t="shared" si="16"/>
        <v>5.6250000001455192E-2</v>
      </c>
      <c r="H312" s="1" t="s">
        <v>268</v>
      </c>
      <c r="I312" s="1" t="s">
        <v>269</v>
      </c>
      <c r="J312" s="1" t="s">
        <v>270</v>
      </c>
      <c r="K312" s="1" t="str">
        <f>_xlfn.XLOOKUP(J312,REF!$D$2:$D$12,REF!$E$2:$E$12)</f>
        <v>Internet</v>
      </c>
      <c r="L312" s="1" t="s">
        <v>715</v>
      </c>
      <c r="M312" s="1" t="s">
        <v>272</v>
      </c>
      <c r="N312" s="1" t="s">
        <v>253</v>
      </c>
      <c r="O312" s="1" t="s">
        <v>2112</v>
      </c>
      <c r="P312" s="1" t="str">
        <f t="shared" si="13"/>
        <v>BC BomSucessoABB_0845997,461111111145997,461111111145997,5173611111</v>
      </c>
      <c r="Q312" s="1" t="str">
        <f t="shared" si="14"/>
        <v>LIGRFOINT</v>
      </c>
    </row>
    <row r="313" spans="2:17" hidden="1">
      <c r="B313" s="1" t="s">
        <v>2044</v>
      </c>
      <c r="C313" s="1" t="s">
        <v>2054</v>
      </c>
      <c r="D313" s="52">
        <v>45997.461111111108</v>
      </c>
      <c r="E313" s="52">
        <v>45997.461111111108</v>
      </c>
      <c r="F313" s="52">
        <v>45997.517361111109</v>
      </c>
      <c r="G313" s="53">
        <f t="shared" si="16"/>
        <v>5.6250000001455192E-2</v>
      </c>
      <c r="H313" s="1" t="s">
        <v>268</v>
      </c>
      <c r="I313" s="1" t="s">
        <v>269</v>
      </c>
      <c r="J313" s="1" t="s">
        <v>270</v>
      </c>
      <c r="K313" s="1" t="str">
        <f>_xlfn.XLOOKUP(J313,REF!$D$2:$D$12,REF!$E$2:$E$12)</f>
        <v>Internet</v>
      </c>
      <c r="L313" s="1" t="s">
        <v>715</v>
      </c>
      <c r="M313" s="1" t="s">
        <v>272</v>
      </c>
      <c r="N313" s="1" t="s">
        <v>253</v>
      </c>
      <c r="O313" s="1" t="s">
        <v>2112</v>
      </c>
      <c r="P313" s="1" t="str">
        <f t="shared" si="13"/>
        <v>BC BomSucessoABB_0945997,461111111145997,461111111145997,5173611111</v>
      </c>
      <c r="Q313" s="1" t="str">
        <f t="shared" si="14"/>
        <v>LIGRFOINT</v>
      </c>
    </row>
    <row r="314" spans="2:17" hidden="1">
      <c r="B314" s="1" t="s">
        <v>2044</v>
      </c>
      <c r="C314" s="1" t="s">
        <v>2055</v>
      </c>
      <c r="D314" s="52">
        <v>45997.461111111108</v>
      </c>
      <c r="E314" s="52">
        <v>45997.461111111108</v>
      </c>
      <c r="F314" s="52">
        <v>45997.517361111109</v>
      </c>
      <c r="G314" s="53">
        <f t="shared" si="16"/>
        <v>5.6250000001455192E-2</v>
      </c>
      <c r="H314" s="1" t="s">
        <v>268</v>
      </c>
      <c r="I314" s="1" t="s">
        <v>269</v>
      </c>
      <c r="J314" s="1" t="s">
        <v>270</v>
      </c>
      <c r="K314" s="1" t="str">
        <f>_xlfn.XLOOKUP(J314,REF!$D$2:$D$12,REF!$E$2:$E$12)</f>
        <v>Internet</v>
      </c>
      <c r="L314" s="1" t="s">
        <v>715</v>
      </c>
      <c r="M314" s="1" t="s">
        <v>272</v>
      </c>
      <c r="N314" s="1" t="s">
        <v>253</v>
      </c>
      <c r="O314" s="1" t="s">
        <v>2112</v>
      </c>
      <c r="P314" s="1" t="str">
        <f t="shared" si="13"/>
        <v>BC BomSucessoABB_1045997,461111111145997,461111111145997,5173611111</v>
      </c>
      <c r="Q314" s="1" t="str">
        <f t="shared" si="14"/>
        <v>LIGRFOINT</v>
      </c>
    </row>
    <row r="315" spans="2:17" hidden="1">
      <c r="B315" s="1" t="s">
        <v>2044</v>
      </c>
      <c r="C315" s="1" t="s">
        <v>2056</v>
      </c>
      <c r="D315" s="52">
        <v>45997.461111111108</v>
      </c>
      <c r="E315" s="52">
        <v>45997.461111111108</v>
      </c>
      <c r="F315" s="52">
        <v>45997.517361111109</v>
      </c>
      <c r="G315" s="53">
        <f t="shared" si="16"/>
        <v>5.6250000001455192E-2</v>
      </c>
      <c r="H315" s="1" t="s">
        <v>268</v>
      </c>
      <c r="I315" s="1" t="s">
        <v>269</v>
      </c>
      <c r="J315" s="1" t="s">
        <v>270</v>
      </c>
      <c r="K315" s="1" t="str">
        <f>_xlfn.XLOOKUP(J315,REF!$D$2:$D$12,REF!$E$2:$E$12)</f>
        <v>Internet</v>
      </c>
      <c r="L315" s="1" t="s">
        <v>715</v>
      </c>
      <c r="M315" s="1" t="s">
        <v>272</v>
      </c>
      <c r="N315" s="1" t="s">
        <v>253</v>
      </c>
      <c r="O315" s="1" t="s">
        <v>2112</v>
      </c>
      <c r="P315" s="1" t="str">
        <f t="shared" si="13"/>
        <v>BC BomSucessoABB_1145997,461111111145997,461111111145997,5173611111</v>
      </c>
      <c r="Q315" s="1" t="str">
        <f t="shared" si="14"/>
        <v>LIGRFOINT</v>
      </c>
    </row>
    <row r="316" spans="2:17" hidden="1">
      <c r="B316" s="1" t="s">
        <v>2044</v>
      </c>
      <c r="C316" s="1" t="s">
        <v>267</v>
      </c>
      <c r="D316" s="52">
        <v>45998.284722222219</v>
      </c>
      <c r="E316" s="52">
        <v>45998.284722222219</v>
      </c>
      <c r="F316" s="52">
        <v>45998.395833333336</v>
      </c>
      <c r="G316" s="53">
        <f t="shared" ref="G316:G379" si="17">F316-E316</f>
        <v>0.11111111111677019</v>
      </c>
      <c r="H316" s="1" t="s">
        <v>268</v>
      </c>
      <c r="I316" s="1" t="s">
        <v>269</v>
      </c>
      <c r="J316" s="1" t="s">
        <v>270</v>
      </c>
      <c r="K316" s="1" t="str">
        <f>_xlfn.XLOOKUP(J316,REF!$D$2:$D$12,REF!$E$2:$E$12)</f>
        <v>Internet</v>
      </c>
      <c r="L316" s="1" t="s">
        <v>715</v>
      </c>
      <c r="M316" s="1" t="s">
        <v>272</v>
      </c>
      <c r="N316" s="1" t="s">
        <v>253</v>
      </c>
      <c r="O316" s="1" t="s">
        <v>2112</v>
      </c>
      <c r="P316" s="1" t="str">
        <f t="shared" si="13"/>
        <v>BC BomSucessoSG60KTL45998,284722222245998,284722222245998,3958333333</v>
      </c>
      <c r="Q316" s="1" t="str">
        <f t="shared" si="14"/>
        <v>LIGRFOINT</v>
      </c>
    </row>
    <row r="317" spans="2:17" hidden="1">
      <c r="B317" s="1" t="s">
        <v>2044</v>
      </c>
      <c r="C317" s="1" t="s">
        <v>2046</v>
      </c>
      <c r="D317" s="52">
        <v>45998.284722222219</v>
      </c>
      <c r="E317" s="52">
        <v>45998.284722222219</v>
      </c>
      <c r="F317" s="52">
        <v>45998.395833333336</v>
      </c>
      <c r="G317" s="53">
        <f t="shared" si="17"/>
        <v>0.11111111111677019</v>
      </c>
      <c r="H317" s="1" t="s">
        <v>268</v>
      </c>
      <c r="I317" s="1" t="s">
        <v>269</v>
      </c>
      <c r="J317" s="1" t="s">
        <v>270</v>
      </c>
      <c r="K317" s="1" t="str">
        <f>_xlfn.XLOOKUP(J317,REF!$D$2:$D$12,REF!$E$2:$E$12)</f>
        <v>Internet</v>
      </c>
      <c r="L317" s="1" t="s">
        <v>715</v>
      </c>
      <c r="M317" s="1" t="s">
        <v>272</v>
      </c>
      <c r="N317" s="1" t="s">
        <v>253</v>
      </c>
      <c r="O317" s="1" t="s">
        <v>2112</v>
      </c>
      <c r="P317" s="1" t="str">
        <f t="shared" si="13"/>
        <v>BC BomSucessoABB_0145998,284722222245998,284722222245998,3958333333</v>
      </c>
      <c r="Q317" s="1" t="str">
        <f t="shared" si="14"/>
        <v>LIGRFOINT</v>
      </c>
    </row>
    <row r="318" spans="2:17" hidden="1">
      <c r="B318" s="1" t="s">
        <v>2044</v>
      </c>
      <c r="C318" s="1" t="s">
        <v>2047</v>
      </c>
      <c r="D318" s="52">
        <v>45998.284722222219</v>
      </c>
      <c r="E318" s="52">
        <v>45998.284722222219</v>
      </c>
      <c r="F318" s="52">
        <v>45998.395833333336</v>
      </c>
      <c r="G318" s="53">
        <f t="shared" si="17"/>
        <v>0.11111111111677019</v>
      </c>
      <c r="H318" s="1" t="s">
        <v>268</v>
      </c>
      <c r="I318" s="1" t="s">
        <v>269</v>
      </c>
      <c r="J318" s="1" t="s">
        <v>270</v>
      </c>
      <c r="K318" s="1" t="str">
        <f>_xlfn.XLOOKUP(J318,REF!$D$2:$D$12,REF!$E$2:$E$12)</f>
        <v>Internet</v>
      </c>
      <c r="L318" s="1" t="s">
        <v>715</v>
      </c>
      <c r="M318" s="1" t="s">
        <v>272</v>
      </c>
      <c r="N318" s="1" t="s">
        <v>253</v>
      </c>
      <c r="O318" s="1" t="s">
        <v>2112</v>
      </c>
      <c r="P318" s="1" t="str">
        <f t="shared" si="13"/>
        <v>BC BomSucessoABB_0245998,284722222245998,284722222245998,3958333333</v>
      </c>
      <c r="Q318" s="1" t="str">
        <f t="shared" si="14"/>
        <v>LIGRFOINT</v>
      </c>
    </row>
    <row r="319" spans="2:17" hidden="1">
      <c r="B319" s="1" t="s">
        <v>2044</v>
      </c>
      <c r="C319" s="1" t="s">
        <v>2048</v>
      </c>
      <c r="D319" s="52">
        <v>45998.284722222219</v>
      </c>
      <c r="E319" s="52">
        <v>45998.284722222219</v>
      </c>
      <c r="F319" s="52">
        <v>45998.395833333336</v>
      </c>
      <c r="G319" s="53">
        <f t="shared" si="17"/>
        <v>0.11111111111677019</v>
      </c>
      <c r="H319" s="1" t="s">
        <v>268</v>
      </c>
      <c r="I319" s="1" t="s">
        <v>269</v>
      </c>
      <c r="J319" s="1" t="s">
        <v>270</v>
      </c>
      <c r="K319" s="1" t="str">
        <f>_xlfn.XLOOKUP(J319,REF!$D$2:$D$12,REF!$E$2:$E$12)</f>
        <v>Internet</v>
      </c>
      <c r="L319" s="1" t="s">
        <v>715</v>
      </c>
      <c r="M319" s="1" t="s">
        <v>272</v>
      </c>
      <c r="N319" s="1" t="s">
        <v>253</v>
      </c>
      <c r="O319" s="1" t="s">
        <v>2112</v>
      </c>
      <c r="P319" s="1" t="str">
        <f t="shared" si="13"/>
        <v>BC BomSucessoABB_0345998,284722222245998,284722222245998,3958333333</v>
      </c>
      <c r="Q319" s="1" t="str">
        <f t="shared" si="14"/>
        <v>LIGRFOINT</v>
      </c>
    </row>
    <row r="320" spans="2:17" hidden="1">
      <c r="B320" s="1" t="s">
        <v>2044</v>
      </c>
      <c r="C320" s="1" t="s">
        <v>2049</v>
      </c>
      <c r="D320" s="52">
        <v>45998.284722222219</v>
      </c>
      <c r="E320" s="52">
        <v>45998.284722222219</v>
      </c>
      <c r="F320" s="52">
        <v>45998.395833333336</v>
      </c>
      <c r="G320" s="53">
        <f t="shared" si="17"/>
        <v>0.11111111111677019</v>
      </c>
      <c r="H320" s="1" t="s">
        <v>268</v>
      </c>
      <c r="I320" s="1" t="s">
        <v>269</v>
      </c>
      <c r="J320" s="1" t="s">
        <v>270</v>
      </c>
      <c r="K320" s="1" t="str">
        <f>_xlfn.XLOOKUP(J320,REF!$D$2:$D$12,REF!$E$2:$E$12)</f>
        <v>Internet</v>
      </c>
      <c r="L320" s="1" t="s">
        <v>715</v>
      </c>
      <c r="M320" s="1" t="s">
        <v>272</v>
      </c>
      <c r="N320" s="1" t="s">
        <v>253</v>
      </c>
      <c r="O320" s="1" t="s">
        <v>2112</v>
      </c>
      <c r="P320" s="1" t="str">
        <f t="shared" si="13"/>
        <v>BC BomSucessoABB_0445998,284722222245998,284722222245998,3958333333</v>
      </c>
      <c r="Q320" s="1" t="str">
        <f t="shared" si="14"/>
        <v>LIGRFOINT</v>
      </c>
    </row>
    <row r="321" spans="2:17" hidden="1">
      <c r="B321" s="1" t="s">
        <v>2044</v>
      </c>
      <c r="C321" s="1" t="s">
        <v>2050</v>
      </c>
      <c r="D321" s="52">
        <v>45998.284722222219</v>
      </c>
      <c r="E321" s="52">
        <v>45998.284722222219</v>
      </c>
      <c r="F321" s="52">
        <v>45998.395833333336</v>
      </c>
      <c r="G321" s="53">
        <f t="shared" si="17"/>
        <v>0.11111111111677019</v>
      </c>
      <c r="H321" s="1" t="s">
        <v>268</v>
      </c>
      <c r="I321" s="1" t="s">
        <v>269</v>
      </c>
      <c r="J321" s="1" t="s">
        <v>270</v>
      </c>
      <c r="K321" s="1" t="str">
        <f>_xlfn.XLOOKUP(J321,REF!$D$2:$D$12,REF!$E$2:$E$12)</f>
        <v>Internet</v>
      </c>
      <c r="L321" s="1" t="s">
        <v>715</v>
      </c>
      <c r="M321" s="1" t="s">
        <v>272</v>
      </c>
      <c r="N321" s="1" t="s">
        <v>253</v>
      </c>
      <c r="O321" s="1" t="s">
        <v>2112</v>
      </c>
      <c r="P321" s="1" t="str">
        <f t="shared" si="13"/>
        <v>BC BomSucessoABB_0545998,284722222245998,284722222245998,3958333333</v>
      </c>
      <c r="Q321" s="1" t="str">
        <f t="shared" si="14"/>
        <v>LIGRFOINT</v>
      </c>
    </row>
    <row r="322" spans="2:17" hidden="1">
      <c r="B322" s="1" t="s">
        <v>2044</v>
      </c>
      <c r="C322" s="1" t="s">
        <v>2051</v>
      </c>
      <c r="D322" s="52">
        <v>45998.284722222219</v>
      </c>
      <c r="E322" s="52">
        <v>45998.284722222219</v>
      </c>
      <c r="F322" s="52">
        <v>45998.395833333336</v>
      </c>
      <c r="G322" s="53">
        <f t="shared" si="17"/>
        <v>0.11111111111677019</v>
      </c>
      <c r="H322" s="1" t="s">
        <v>268</v>
      </c>
      <c r="I322" s="1" t="s">
        <v>269</v>
      </c>
      <c r="J322" s="1" t="s">
        <v>270</v>
      </c>
      <c r="K322" s="1" t="str">
        <f>_xlfn.XLOOKUP(J322,REF!$D$2:$D$12,REF!$E$2:$E$12)</f>
        <v>Internet</v>
      </c>
      <c r="L322" s="1" t="s">
        <v>715</v>
      </c>
      <c r="M322" s="1" t="s">
        <v>272</v>
      </c>
      <c r="N322" s="1" t="s">
        <v>253</v>
      </c>
      <c r="O322" s="1" t="s">
        <v>2112</v>
      </c>
      <c r="P322" s="1" t="str">
        <f t="shared" si="13"/>
        <v>BC BomSucessoABB_0645998,284722222245998,284722222245998,3958333333</v>
      </c>
      <c r="Q322" s="1" t="str">
        <f t="shared" si="14"/>
        <v>LIGRFOINT</v>
      </c>
    </row>
    <row r="323" spans="2:17" hidden="1">
      <c r="B323" s="1" t="s">
        <v>2044</v>
      </c>
      <c r="C323" s="1" t="s">
        <v>2052</v>
      </c>
      <c r="D323" s="52">
        <v>45998.284722222219</v>
      </c>
      <c r="E323" s="52">
        <v>45998.284722222219</v>
      </c>
      <c r="F323" s="52">
        <v>45998.395833333336</v>
      </c>
      <c r="G323" s="53">
        <f t="shared" si="17"/>
        <v>0.11111111111677019</v>
      </c>
      <c r="H323" s="1" t="s">
        <v>268</v>
      </c>
      <c r="I323" s="1" t="s">
        <v>269</v>
      </c>
      <c r="J323" s="1" t="s">
        <v>270</v>
      </c>
      <c r="K323" s="1" t="str">
        <f>_xlfn.XLOOKUP(J323,REF!$D$2:$D$12,REF!$E$2:$E$12)</f>
        <v>Internet</v>
      </c>
      <c r="L323" s="1" t="s">
        <v>715</v>
      </c>
      <c r="M323" s="1" t="s">
        <v>272</v>
      </c>
      <c r="N323" s="1" t="s">
        <v>253</v>
      </c>
      <c r="O323" s="1" t="s">
        <v>2112</v>
      </c>
      <c r="P323" s="1" t="str">
        <f t="shared" ref="P323:P386" si="18">_xlfn.CONCAT(B323,C323,D323,E323,F323)</f>
        <v>BC BomSucessoABB_0745998,284722222245998,284722222245998,3958333333</v>
      </c>
      <c r="Q323" s="1" t="str">
        <f t="shared" ref="Q323:Q386" si="19">_xlfn.CONCAT(H323,I323,J323)</f>
        <v>LIGRFOINT</v>
      </c>
    </row>
    <row r="324" spans="2:17" hidden="1">
      <c r="B324" s="1" t="s">
        <v>2044</v>
      </c>
      <c r="C324" s="1" t="s">
        <v>2053</v>
      </c>
      <c r="D324" s="52">
        <v>45998.284722222219</v>
      </c>
      <c r="E324" s="52">
        <v>45998.284722222219</v>
      </c>
      <c r="F324" s="52">
        <v>45998.395833333336</v>
      </c>
      <c r="G324" s="53">
        <f t="shared" si="17"/>
        <v>0.11111111111677019</v>
      </c>
      <c r="H324" s="1" t="s">
        <v>268</v>
      </c>
      <c r="I324" s="1" t="s">
        <v>269</v>
      </c>
      <c r="J324" s="1" t="s">
        <v>270</v>
      </c>
      <c r="K324" s="1" t="str">
        <f>_xlfn.XLOOKUP(J324,REF!$D$2:$D$12,REF!$E$2:$E$12)</f>
        <v>Internet</v>
      </c>
      <c r="L324" s="1" t="s">
        <v>715</v>
      </c>
      <c r="M324" s="1" t="s">
        <v>272</v>
      </c>
      <c r="N324" s="1" t="s">
        <v>253</v>
      </c>
      <c r="O324" s="1" t="s">
        <v>2112</v>
      </c>
      <c r="P324" s="1" t="str">
        <f t="shared" si="18"/>
        <v>BC BomSucessoABB_0845998,284722222245998,284722222245998,3958333333</v>
      </c>
      <c r="Q324" s="1" t="str">
        <f t="shared" si="19"/>
        <v>LIGRFOINT</v>
      </c>
    </row>
    <row r="325" spans="2:17" hidden="1">
      <c r="B325" s="1" t="s">
        <v>2044</v>
      </c>
      <c r="C325" s="1" t="s">
        <v>2054</v>
      </c>
      <c r="D325" s="52">
        <v>45998.284722222219</v>
      </c>
      <c r="E325" s="52">
        <v>45998.284722222219</v>
      </c>
      <c r="F325" s="52">
        <v>45998.395833333336</v>
      </c>
      <c r="G325" s="53">
        <f t="shared" si="17"/>
        <v>0.11111111111677019</v>
      </c>
      <c r="H325" s="1" t="s">
        <v>268</v>
      </c>
      <c r="I325" s="1" t="s">
        <v>269</v>
      </c>
      <c r="J325" s="1" t="s">
        <v>270</v>
      </c>
      <c r="K325" s="1" t="str">
        <f>_xlfn.XLOOKUP(J325,REF!$D$2:$D$12,REF!$E$2:$E$12)</f>
        <v>Internet</v>
      </c>
      <c r="L325" s="1" t="s">
        <v>715</v>
      </c>
      <c r="M325" s="1" t="s">
        <v>272</v>
      </c>
      <c r="N325" s="1" t="s">
        <v>253</v>
      </c>
      <c r="O325" s="1" t="s">
        <v>2112</v>
      </c>
      <c r="P325" s="1" t="str">
        <f t="shared" si="18"/>
        <v>BC BomSucessoABB_0945998,284722222245998,284722222245998,3958333333</v>
      </c>
      <c r="Q325" s="1" t="str">
        <f t="shared" si="19"/>
        <v>LIGRFOINT</v>
      </c>
    </row>
    <row r="326" spans="2:17" hidden="1">
      <c r="B326" s="1" t="s">
        <v>2044</v>
      </c>
      <c r="C326" s="1" t="s">
        <v>2055</v>
      </c>
      <c r="D326" s="52">
        <v>45998.284722222219</v>
      </c>
      <c r="E326" s="52">
        <v>45998.284722222219</v>
      </c>
      <c r="F326" s="52">
        <v>45998.395833333336</v>
      </c>
      <c r="G326" s="53">
        <f t="shared" si="17"/>
        <v>0.11111111111677019</v>
      </c>
      <c r="H326" s="1" t="s">
        <v>268</v>
      </c>
      <c r="I326" s="1" t="s">
        <v>269</v>
      </c>
      <c r="J326" s="1" t="s">
        <v>270</v>
      </c>
      <c r="K326" s="1" t="str">
        <f>_xlfn.XLOOKUP(J326,REF!$D$2:$D$12,REF!$E$2:$E$12)</f>
        <v>Internet</v>
      </c>
      <c r="L326" s="1" t="s">
        <v>715</v>
      </c>
      <c r="M326" s="1" t="s">
        <v>272</v>
      </c>
      <c r="N326" s="1" t="s">
        <v>253</v>
      </c>
      <c r="O326" s="1" t="s">
        <v>2112</v>
      </c>
      <c r="P326" s="1" t="str">
        <f t="shared" si="18"/>
        <v>BC BomSucessoABB_1045998,284722222245998,284722222245998,3958333333</v>
      </c>
      <c r="Q326" s="1" t="str">
        <f t="shared" si="19"/>
        <v>LIGRFOINT</v>
      </c>
    </row>
    <row r="327" spans="2:17" hidden="1">
      <c r="B327" s="1" t="s">
        <v>2044</v>
      </c>
      <c r="C327" s="1" t="s">
        <v>2056</v>
      </c>
      <c r="D327" s="52">
        <v>45998.284722222219</v>
      </c>
      <c r="E327" s="52">
        <v>45998.284722222219</v>
      </c>
      <c r="F327" s="52">
        <v>45998.395833333336</v>
      </c>
      <c r="G327" s="53">
        <f t="shared" si="17"/>
        <v>0.11111111111677019</v>
      </c>
      <c r="H327" s="1" t="s">
        <v>268</v>
      </c>
      <c r="I327" s="1" t="s">
        <v>269</v>
      </c>
      <c r="J327" s="1" t="s">
        <v>270</v>
      </c>
      <c r="K327" s="1" t="str">
        <f>_xlfn.XLOOKUP(J327,REF!$D$2:$D$12,REF!$E$2:$E$12)</f>
        <v>Internet</v>
      </c>
      <c r="L327" s="1" t="s">
        <v>715</v>
      </c>
      <c r="M327" s="1" t="s">
        <v>272</v>
      </c>
      <c r="N327" s="1" t="s">
        <v>253</v>
      </c>
      <c r="O327" s="1" t="s">
        <v>2112</v>
      </c>
      <c r="P327" s="1" t="str">
        <f t="shared" si="18"/>
        <v>BC BomSucessoABB_1145998,284722222245998,284722222245998,3958333333</v>
      </c>
      <c r="Q327" s="1" t="str">
        <f t="shared" si="19"/>
        <v>LIGRFOINT</v>
      </c>
    </row>
    <row r="328" spans="2:17" hidden="1">
      <c r="B328" s="1" t="s">
        <v>309</v>
      </c>
      <c r="C328" s="1" t="s">
        <v>310</v>
      </c>
      <c r="D328" s="52">
        <v>45998.295138888891</v>
      </c>
      <c r="E328" s="52">
        <v>45998.295138888891</v>
      </c>
      <c r="F328" s="52">
        <v>45998.351388888892</v>
      </c>
      <c r="G328" s="53">
        <f t="shared" si="17"/>
        <v>5.6250000001455192E-2</v>
      </c>
      <c r="H328" s="1" t="s">
        <v>257</v>
      </c>
      <c r="J328" s="1" t="s">
        <v>258</v>
      </c>
      <c r="K328" s="1" t="str">
        <f>_xlfn.XLOOKUP(J328,REF!$D$2:$D$12,REF!$E$2:$E$12)</f>
        <v>Rede</v>
      </c>
      <c r="L328" s="1" t="s">
        <v>2089</v>
      </c>
      <c r="M328" s="1" t="s">
        <v>260</v>
      </c>
      <c r="N328" s="1" t="s">
        <v>261</v>
      </c>
      <c r="O328" s="1" t="s">
        <v>2090</v>
      </c>
      <c r="P328" s="1" t="str">
        <f t="shared" si="18"/>
        <v>ARAGUATINS 1.3Inverter(MBUS-20)45998,295138888945998,295138888945998,3513888889</v>
      </c>
      <c r="Q328" s="1" t="str">
        <f t="shared" si="19"/>
        <v>DAURDE</v>
      </c>
    </row>
    <row r="329" spans="2:17" hidden="1">
      <c r="B329" s="1" t="s">
        <v>309</v>
      </c>
      <c r="C329" s="1" t="s">
        <v>247</v>
      </c>
      <c r="D329" s="52">
        <v>45998.295138888891</v>
      </c>
      <c r="E329" s="52">
        <v>45998.295138888891</v>
      </c>
      <c r="F329" s="52">
        <v>45998.351388888892</v>
      </c>
      <c r="G329" s="53">
        <f t="shared" si="17"/>
        <v>5.6250000001455192E-2</v>
      </c>
      <c r="H329" s="1" t="s">
        <v>257</v>
      </c>
      <c r="J329" s="1" t="s">
        <v>258</v>
      </c>
      <c r="K329" s="1" t="str">
        <f>_xlfn.XLOOKUP(J329,REF!$D$2:$D$12,REF!$E$2:$E$12)</f>
        <v>Rede</v>
      </c>
      <c r="L329" s="1" t="s">
        <v>2089</v>
      </c>
      <c r="M329" s="1" t="s">
        <v>260</v>
      </c>
      <c r="N329" s="1" t="s">
        <v>261</v>
      </c>
      <c r="O329" s="1" t="s">
        <v>2090</v>
      </c>
      <c r="P329" s="1" t="str">
        <f t="shared" si="18"/>
        <v>ARAGUATINS 1.3Inverter(MBUS-1)45998,295138888945998,295138888945998,3513888889</v>
      </c>
      <c r="Q329" s="1" t="str">
        <f t="shared" si="19"/>
        <v>DAURDE</v>
      </c>
    </row>
    <row r="330" spans="2:17" hidden="1">
      <c r="B330" s="1" t="s">
        <v>2113</v>
      </c>
      <c r="C330" s="1" t="s">
        <v>322</v>
      </c>
      <c r="D330" s="52">
        <v>45998.378472222219</v>
      </c>
      <c r="E330" s="52">
        <v>45998.378472222219</v>
      </c>
      <c r="F330" s="52">
        <v>45998.693749999999</v>
      </c>
      <c r="G330" s="53">
        <f t="shared" si="17"/>
        <v>0.31527777777955635</v>
      </c>
      <c r="H330" s="1" t="s">
        <v>257</v>
      </c>
      <c r="J330" s="1" t="s">
        <v>258</v>
      </c>
      <c r="K330" s="1" t="str">
        <f>_xlfn.XLOOKUP(J330,REF!$D$2:$D$12,REF!$E$2:$E$12)</f>
        <v>Rede</v>
      </c>
      <c r="L330" s="1" t="s">
        <v>2114</v>
      </c>
      <c r="M330" s="1" t="s">
        <v>260</v>
      </c>
      <c r="N330" s="1" t="s">
        <v>357</v>
      </c>
      <c r="O330" s="1" t="s">
        <v>632</v>
      </c>
      <c r="P330" s="1" t="str">
        <f t="shared" si="18"/>
        <v>Araçu IVSG75CX(COM1-018)_001_01845998,378472222245998,378472222245998,69375</v>
      </c>
      <c r="Q330" s="1" t="str">
        <f t="shared" si="19"/>
        <v>DAURDE</v>
      </c>
    </row>
    <row r="331" spans="2:17" hidden="1">
      <c r="B331" s="1" t="s">
        <v>2113</v>
      </c>
      <c r="C331" s="1" t="s">
        <v>324</v>
      </c>
      <c r="D331" s="52">
        <v>45998.378472222219</v>
      </c>
      <c r="E331" s="52">
        <v>45998.378472222219</v>
      </c>
      <c r="F331" s="52">
        <v>45998.693749999999</v>
      </c>
      <c r="G331" s="53">
        <f t="shared" si="17"/>
        <v>0.31527777777955635</v>
      </c>
      <c r="H331" s="1" t="s">
        <v>257</v>
      </c>
      <c r="J331" s="1" t="s">
        <v>258</v>
      </c>
      <c r="K331" s="1" t="str">
        <f>_xlfn.XLOOKUP(J331,REF!$D$2:$D$12,REF!$E$2:$E$12)</f>
        <v>Rede</v>
      </c>
      <c r="L331" s="1" t="s">
        <v>2114</v>
      </c>
      <c r="M331" s="1" t="s">
        <v>260</v>
      </c>
      <c r="N331" s="1" t="s">
        <v>357</v>
      </c>
      <c r="O331" s="1" t="s">
        <v>632</v>
      </c>
      <c r="P331" s="1" t="str">
        <f t="shared" si="18"/>
        <v>Araçu IVSG75CX(COM1-019)_001_01945998,378472222245998,378472222245998,69375</v>
      </c>
      <c r="Q331" s="1" t="str">
        <f t="shared" si="19"/>
        <v>DAURDE</v>
      </c>
    </row>
    <row r="332" spans="2:17" hidden="1">
      <c r="B332" s="1" t="s">
        <v>2113</v>
      </c>
      <c r="C332" s="1" t="s">
        <v>325</v>
      </c>
      <c r="D332" s="52">
        <v>45998.378472222219</v>
      </c>
      <c r="E332" s="52">
        <v>45998.378472222219</v>
      </c>
      <c r="F332" s="52">
        <v>45998.693749999999</v>
      </c>
      <c r="G332" s="53">
        <f t="shared" si="17"/>
        <v>0.31527777777955635</v>
      </c>
      <c r="H332" s="1" t="s">
        <v>257</v>
      </c>
      <c r="J332" s="1" t="s">
        <v>258</v>
      </c>
      <c r="K332" s="1" t="str">
        <f>_xlfn.XLOOKUP(J332,REF!$D$2:$D$12,REF!$E$2:$E$12)</f>
        <v>Rede</v>
      </c>
      <c r="L332" s="1" t="s">
        <v>2114</v>
      </c>
      <c r="M332" s="1" t="s">
        <v>260</v>
      </c>
      <c r="N332" s="1" t="s">
        <v>357</v>
      </c>
      <c r="O332" s="1" t="s">
        <v>632</v>
      </c>
      <c r="P332" s="1" t="str">
        <f t="shared" si="18"/>
        <v>Araçu IVSG75CX(COM1-020)_001_02045998,378472222245998,378472222245998,69375</v>
      </c>
      <c r="Q332" s="1" t="str">
        <f t="shared" si="19"/>
        <v>DAURDE</v>
      </c>
    </row>
    <row r="333" spans="2:17" hidden="1">
      <c r="B333" s="1" t="s">
        <v>2113</v>
      </c>
      <c r="C333" s="1" t="s">
        <v>326</v>
      </c>
      <c r="D333" s="52">
        <v>45998.378472222219</v>
      </c>
      <c r="E333" s="52">
        <v>45998.378472222219</v>
      </c>
      <c r="F333" s="52">
        <v>45998.693749999999</v>
      </c>
      <c r="G333" s="53">
        <f t="shared" si="17"/>
        <v>0.31527777777955635</v>
      </c>
      <c r="H333" s="1" t="s">
        <v>257</v>
      </c>
      <c r="J333" s="1" t="s">
        <v>258</v>
      </c>
      <c r="K333" s="1" t="str">
        <f>_xlfn.XLOOKUP(J333,REF!$D$2:$D$12,REF!$E$2:$E$12)</f>
        <v>Rede</v>
      </c>
      <c r="L333" s="1" t="s">
        <v>2114</v>
      </c>
      <c r="M333" s="1" t="s">
        <v>260</v>
      </c>
      <c r="N333" s="1" t="s">
        <v>357</v>
      </c>
      <c r="O333" s="1" t="s">
        <v>632</v>
      </c>
      <c r="P333" s="1" t="str">
        <f t="shared" si="18"/>
        <v>Araçu IVSG75CX(COM1-021)_001_02145998,378472222245998,378472222245998,69375</v>
      </c>
      <c r="Q333" s="1" t="str">
        <f t="shared" si="19"/>
        <v>DAURDE</v>
      </c>
    </row>
    <row r="334" spans="2:17">
      <c r="B334" s="1" t="s">
        <v>642</v>
      </c>
      <c r="C334" s="1" t="s">
        <v>643</v>
      </c>
      <c r="D334" s="52">
        <v>45999.272222222222</v>
      </c>
      <c r="E334" s="52">
        <v>45999.272222222222</v>
      </c>
      <c r="F334" s="52">
        <v>45999.321527777778</v>
      </c>
      <c r="G334" s="53">
        <f t="shared" si="17"/>
        <v>4.9305555556202307E-2</v>
      </c>
      <c r="H334" s="1" t="s">
        <v>268</v>
      </c>
      <c r="I334" s="1" t="s">
        <v>269</v>
      </c>
      <c r="J334" s="1" t="s">
        <v>319</v>
      </c>
      <c r="K334" s="1" t="str">
        <f>_xlfn.XLOOKUP(J334,REF!$D$2:$D$12,REF!$E$2:$E$12)</f>
        <v>Comunicação</v>
      </c>
      <c r="L334" s="1" t="s">
        <v>1984</v>
      </c>
      <c r="M334" s="1" t="s">
        <v>289</v>
      </c>
      <c r="N334" s="1" t="s">
        <v>253</v>
      </c>
      <c r="O334" s="1" t="s">
        <v>1956</v>
      </c>
      <c r="P334" s="1" t="str">
        <f t="shared" si="18"/>
        <v>BC Rio Bonito2INV-00145999,272222222245999,272222222245999,3215277778</v>
      </c>
      <c r="Q334" s="1" t="str">
        <f t="shared" si="19"/>
        <v>LIGRFOCOM</v>
      </c>
    </row>
    <row r="335" spans="2:17">
      <c r="B335" s="1" t="s">
        <v>642</v>
      </c>
      <c r="C335" s="1" t="s">
        <v>646</v>
      </c>
      <c r="D335" s="52">
        <v>45999.272222222222</v>
      </c>
      <c r="E335" s="52">
        <v>45999.272222222222</v>
      </c>
      <c r="F335" s="52">
        <v>45999.321527777778</v>
      </c>
      <c r="G335" s="53">
        <f t="shared" si="17"/>
        <v>4.9305555556202307E-2</v>
      </c>
      <c r="H335" s="1" t="s">
        <v>268</v>
      </c>
      <c r="I335" s="1" t="s">
        <v>269</v>
      </c>
      <c r="J335" s="1" t="s">
        <v>319</v>
      </c>
      <c r="K335" s="1" t="str">
        <f>_xlfn.XLOOKUP(J335,REF!$D$2:$D$12,REF!$E$2:$E$12)</f>
        <v>Comunicação</v>
      </c>
      <c r="L335" s="1" t="s">
        <v>1984</v>
      </c>
      <c r="M335" s="1" t="s">
        <v>289</v>
      </c>
      <c r="N335" s="1" t="s">
        <v>253</v>
      </c>
      <c r="O335" s="1" t="s">
        <v>1956</v>
      </c>
      <c r="P335" s="1" t="str">
        <f t="shared" si="18"/>
        <v>BC Rio Bonito2INV-00245999,272222222245999,272222222245999,3215277778</v>
      </c>
      <c r="Q335" s="1" t="str">
        <f t="shared" si="19"/>
        <v>LIGRFOCOM</v>
      </c>
    </row>
    <row r="336" spans="2:17">
      <c r="B336" s="1" t="s">
        <v>642</v>
      </c>
      <c r="C336" s="1" t="s">
        <v>647</v>
      </c>
      <c r="D336" s="52">
        <v>45999.272222222222</v>
      </c>
      <c r="E336" s="52">
        <v>45999.272222222222</v>
      </c>
      <c r="F336" s="52">
        <v>45999.321527777778</v>
      </c>
      <c r="G336" s="53">
        <f t="shared" si="17"/>
        <v>4.9305555556202307E-2</v>
      </c>
      <c r="H336" s="1" t="s">
        <v>268</v>
      </c>
      <c r="I336" s="1" t="s">
        <v>269</v>
      </c>
      <c r="J336" s="1" t="s">
        <v>319</v>
      </c>
      <c r="K336" s="1" t="str">
        <f>_xlfn.XLOOKUP(J336,REF!$D$2:$D$12,REF!$E$2:$E$12)</f>
        <v>Comunicação</v>
      </c>
      <c r="L336" s="1" t="s">
        <v>1984</v>
      </c>
      <c r="M336" s="1" t="s">
        <v>289</v>
      </c>
      <c r="N336" s="1" t="s">
        <v>253</v>
      </c>
      <c r="O336" s="1" t="s">
        <v>1956</v>
      </c>
      <c r="P336" s="1" t="str">
        <f t="shared" si="18"/>
        <v>BC Rio Bonito2INV-00345999,272222222245999,272222222245999,3215277778</v>
      </c>
      <c r="Q336" s="1" t="str">
        <f t="shared" si="19"/>
        <v>LIGRFOCOM</v>
      </c>
    </row>
    <row r="337" spans="2:17">
      <c r="B337" s="1" t="s">
        <v>642</v>
      </c>
      <c r="C337" s="1" t="s">
        <v>648</v>
      </c>
      <c r="D337" s="52">
        <v>45999.272222222222</v>
      </c>
      <c r="E337" s="52">
        <v>45999.272222222222</v>
      </c>
      <c r="F337" s="52">
        <v>45999.321527777778</v>
      </c>
      <c r="G337" s="53">
        <f t="shared" si="17"/>
        <v>4.9305555556202307E-2</v>
      </c>
      <c r="H337" s="1" t="s">
        <v>268</v>
      </c>
      <c r="I337" s="1" t="s">
        <v>269</v>
      </c>
      <c r="J337" s="1" t="s">
        <v>319</v>
      </c>
      <c r="K337" s="1" t="str">
        <f>_xlfn.XLOOKUP(J337,REF!$D$2:$D$12,REF!$E$2:$E$12)</f>
        <v>Comunicação</v>
      </c>
      <c r="L337" s="1" t="s">
        <v>1984</v>
      </c>
      <c r="M337" s="1" t="s">
        <v>289</v>
      </c>
      <c r="N337" s="1" t="s">
        <v>253</v>
      </c>
      <c r="O337" s="1" t="s">
        <v>1956</v>
      </c>
      <c r="P337" s="1" t="str">
        <f t="shared" si="18"/>
        <v>BC Rio Bonito2INV-00445999,272222222245999,272222222245999,3215277778</v>
      </c>
      <c r="Q337" s="1" t="str">
        <f t="shared" si="19"/>
        <v>LIGRFOCOM</v>
      </c>
    </row>
    <row r="338" spans="2:17" hidden="1">
      <c r="B338" s="1" t="s">
        <v>2115</v>
      </c>
      <c r="C338" s="1" t="s">
        <v>590</v>
      </c>
      <c r="D338" s="52">
        <v>45999.298611111109</v>
      </c>
      <c r="E338" s="52">
        <v>45999.298611111109</v>
      </c>
      <c r="F338" s="52">
        <v>45999.57916666667</v>
      </c>
      <c r="G338" s="53">
        <f t="shared" si="17"/>
        <v>0.28055555556056788</v>
      </c>
      <c r="H338" s="1" t="s">
        <v>257</v>
      </c>
      <c r="J338" s="1" t="s">
        <v>258</v>
      </c>
      <c r="K338" s="1" t="str">
        <f>_xlfn.XLOOKUP(J338,REF!$D$2:$D$12,REF!$E$2:$E$12)</f>
        <v>Rede</v>
      </c>
      <c r="L338" s="1" t="s">
        <v>2089</v>
      </c>
      <c r="M338" s="1" t="s">
        <v>260</v>
      </c>
      <c r="N338" s="1" t="s">
        <v>261</v>
      </c>
      <c r="O338" s="1" t="s">
        <v>2090</v>
      </c>
      <c r="P338" s="1" t="str">
        <f t="shared" si="18"/>
        <v>BC Rio Monte 3Inverter4145999,298611111145999,298611111145999,5791666667</v>
      </c>
      <c r="Q338" s="1" t="str">
        <f t="shared" si="19"/>
        <v>DAURDE</v>
      </c>
    </row>
    <row r="339" spans="2:17" hidden="1">
      <c r="B339" s="1" t="s">
        <v>2115</v>
      </c>
      <c r="C339" s="1" t="s">
        <v>2091</v>
      </c>
      <c r="D339" s="52">
        <v>45999.298611111109</v>
      </c>
      <c r="E339" s="52">
        <v>45999.298611111109</v>
      </c>
      <c r="F339" s="52">
        <v>45999.57916666667</v>
      </c>
      <c r="G339" s="53">
        <f t="shared" si="17"/>
        <v>0.28055555556056788</v>
      </c>
      <c r="H339" s="1" t="s">
        <v>257</v>
      </c>
      <c r="J339" s="1" t="s">
        <v>258</v>
      </c>
      <c r="K339" s="1" t="str">
        <f>_xlfn.XLOOKUP(J339,REF!$D$2:$D$12,REF!$E$2:$E$12)</f>
        <v>Rede</v>
      </c>
      <c r="L339" s="1" t="s">
        <v>2089</v>
      </c>
      <c r="M339" s="1" t="s">
        <v>260</v>
      </c>
      <c r="N339" s="1" t="s">
        <v>261</v>
      </c>
      <c r="O339" s="1" t="s">
        <v>2090</v>
      </c>
      <c r="P339" s="1" t="str">
        <f t="shared" si="18"/>
        <v>BC Rio Monte 3Inverter4745999,298611111145999,298611111145999,5791666667</v>
      </c>
      <c r="Q339" s="1" t="str">
        <f t="shared" si="19"/>
        <v>DAURDE</v>
      </c>
    </row>
    <row r="340" spans="2:17" hidden="1">
      <c r="B340" s="1" t="s">
        <v>2115</v>
      </c>
      <c r="C340" s="1" t="s">
        <v>586</v>
      </c>
      <c r="D340" s="52">
        <v>45999.298611111109</v>
      </c>
      <c r="E340" s="52">
        <v>45999.298611111109</v>
      </c>
      <c r="F340" s="52">
        <v>45999.57916666667</v>
      </c>
      <c r="G340" s="53">
        <f t="shared" si="17"/>
        <v>0.28055555556056788</v>
      </c>
      <c r="H340" s="1" t="s">
        <v>257</v>
      </c>
      <c r="J340" s="1" t="s">
        <v>258</v>
      </c>
      <c r="K340" s="1" t="str">
        <f>_xlfn.XLOOKUP(J340,REF!$D$2:$D$12,REF!$E$2:$E$12)</f>
        <v>Rede</v>
      </c>
      <c r="L340" s="1" t="s">
        <v>2089</v>
      </c>
      <c r="M340" s="1" t="s">
        <v>260</v>
      </c>
      <c r="N340" s="1" t="s">
        <v>261</v>
      </c>
      <c r="O340" s="1" t="s">
        <v>2090</v>
      </c>
      <c r="P340" s="1" t="str">
        <f t="shared" si="18"/>
        <v>BC Rio Monte 3Inverter3545999,298611111145999,298611111145999,5791666667</v>
      </c>
      <c r="Q340" s="1" t="str">
        <f t="shared" si="19"/>
        <v>DAURDE</v>
      </c>
    </row>
    <row r="341" spans="2:17" hidden="1">
      <c r="B341" s="1" t="s">
        <v>2115</v>
      </c>
      <c r="C341" s="1" t="s">
        <v>598</v>
      </c>
      <c r="D341" s="52">
        <v>45999.298611111109</v>
      </c>
      <c r="E341" s="52">
        <v>45999.298611111109</v>
      </c>
      <c r="F341" s="52">
        <v>45999.57916666667</v>
      </c>
      <c r="G341" s="53">
        <f t="shared" si="17"/>
        <v>0.28055555556056788</v>
      </c>
      <c r="H341" s="1" t="s">
        <v>257</v>
      </c>
      <c r="J341" s="1" t="s">
        <v>258</v>
      </c>
      <c r="K341" s="1" t="str">
        <f>_xlfn.XLOOKUP(J341,REF!$D$2:$D$12,REF!$E$2:$E$12)</f>
        <v>Rede</v>
      </c>
      <c r="L341" s="1" t="s">
        <v>2089</v>
      </c>
      <c r="M341" s="1" t="s">
        <v>260</v>
      </c>
      <c r="N341" s="1" t="s">
        <v>261</v>
      </c>
      <c r="O341" s="1" t="s">
        <v>2090</v>
      </c>
      <c r="P341" s="1" t="str">
        <f t="shared" si="18"/>
        <v>BC Rio Monte 3Inverter3645999,298611111145999,298611111145999,5791666667</v>
      </c>
      <c r="Q341" s="1" t="str">
        <f t="shared" si="19"/>
        <v>DAURDE</v>
      </c>
    </row>
    <row r="342" spans="2:17" hidden="1">
      <c r="B342" s="1" t="s">
        <v>2115</v>
      </c>
      <c r="C342" s="1" t="s">
        <v>600</v>
      </c>
      <c r="D342" s="52">
        <v>45999.298611111109</v>
      </c>
      <c r="E342" s="52">
        <v>45999.298611111109</v>
      </c>
      <c r="F342" s="52">
        <v>45999.57916666667</v>
      </c>
      <c r="G342" s="53">
        <f t="shared" si="17"/>
        <v>0.28055555556056788</v>
      </c>
      <c r="H342" s="1" t="s">
        <v>257</v>
      </c>
      <c r="J342" s="1" t="s">
        <v>258</v>
      </c>
      <c r="K342" s="1" t="str">
        <f>_xlfn.XLOOKUP(J342,REF!$D$2:$D$12,REF!$E$2:$E$12)</f>
        <v>Rede</v>
      </c>
      <c r="L342" s="1" t="s">
        <v>2089</v>
      </c>
      <c r="M342" s="1" t="s">
        <v>260</v>
      </c>
      <c r="N342" s="1" t="s">
        <v>261</v>
      </c>
      <c r="O342" s="1" t="s">
        <v>2090</v>
      </c>
      <c r="P342" s="1" t="str">
        <f t="shared" si="18"/>
        <v>BC Rio Monte 3Inverter3145999,298611111145999,298611111145999,5791666667</v>
      </c>
      <c r="Q342" s="1" t="str">
        <f t="shared" si="19"/>
        <v>DAURDE</v>
      </c>
    </row>
    <row r="343" spans="2:17" hidden="1">
      <c r="B343" s="1" t="s">
        <v>2115</v>
      </c>
      <c r="C343" s="1" t="s">
        <v>596</v>
      </c>
      <c r="D343" s="52">
        <v>45999.298611111109</v>
      </c>
      <c r="E343" s="52">
        <v>45999.298611111109</v>
      </c>
      <c r="F343" s="52">
        <v>45999.57916666667</v>
      </c>
      <c r="G343" s="53">
        <f t="shared" si="17"/>
        <v>0.28055555556056788</v>
      </c>
      <c r="H343" s="1" t="s">
        <v>257</v>
      </c>
      <c r="J343" s="1" t="s">
        <v>258</v>
      </c>
      <c r="K343" s="1" t="str">
        <f>_xlfn.XLOOKUP(J343,REF!$D$2:$D$12,REF!$E$2:$E$12)</f>
        <v>Rede</v>
      </c>
      <c r="L343" s="1" t="s">
        <v>2089</v>
      </c>
      <c r="M343" s="1" t="s">
        <v>260</v>
      </c>
      <c r="N343" s="1" t="s">
        <v>261</v>
      </c>
      <c r="O343" s="1" t="s">
        <v>2090</v>
      </c>
      <c r="P343" s="1" t="str">
        <f t="shared" si="18"/>
        <v>BC Rio Monte 3Inverter3345999,298611111145999,298611111145999,5791666667</v>
      </c>
      <c r="Q343" s="1" t="str">
        <f t="shared" si="19"/>
        <v>DAURDE</v>
      </c>
    </row>
    <row r="344" spans="2:17" hidden="1">
      <c r="B344" s="1" t="s">
        <v>2115</v>
      </c>
      <c r="C344" s="1" t="s">
        <v>599</v>
      </c>
      <c r="D344" s="52">
        <v>45999.298611111109</v>
      </c>
      <c r="E344" s="52">
        <v>45999.298611111109</v>
      </c>
      <c r="F344" s="52">
        <v>45999.57916666667</v>
      </c>
      <c r="G344" s="53">
        <f t="shared" si="17"/>
        <v>0.28055555556056788</v>
      </c>
      <c r="H344" s="1" t="s">
        <v>257</v>
      </c>
      <c r="J344" s="1" t="s">
        <v>258</v>
      </c>
      <c r="K344" s="1" t="str">
        <f>_xlfn.XLOOKUP(J344,REF!$D$2:$D$12,REF!$E$2:$E$12)</f>
        <v>Rede</v>
      </c>
      <c r="L344" s="1" t="s">
        <v>2089</v>
      </c>
      <c r="M344" s="1" t="s">
        <v>260</v>
      </c>
      <c r="N344" s="1" t="s">
        <v>261</v>
      </c>
      <c r="O344" s="1" t="s">
        <v>2090</v>
      </c>
      <c r="P344" s="1" t="str">
        <f t="shared" si="18"/>
        <v>BC Rio Monte 3Inverter3945999,298611111145999,298611111145999,5791666667</v>
      </c>
      <c r="Q344" s="1" t="str">
        <f t="shared" si="19"/>
        <v>DAURDE</v>
      </c>
    </row>
    <row r="345" spans="2:17" hidden="1">
      <c r="B345" s="1" t="s">
        <v>2115</v>
      </c>
      <c r="C345" s="1" t="s">
        <v>603</v>
      </c>
      <c r="D345" s="52">
        <v>45999.298611111109</v>
      </c>
      <c r="E345" s="52">
        <v>45999.298611111109</v>
      </c>
      <c r="F345" s="52">
        <v>45999.57916666667</v>
      </c>
      <c r="G345" s="53">
        <f t="shared" si="17"/>
        <v>0.28055555556056788</v>
      </c>
      <c r="H345" s="1" t="s">
        <v>257</v>
      </c>
      <c r="J345" s="1" t="s">
        <v>258</v>
      </c>
      <c r="K345" s="1" t="str">
        <f>_xlfn.XLOOKUP(J345,REF!$D$2:$D$12,REF!$E$2:$E$12)</f>
        <v>Rede</v>
      </c>
      <c r="L345" s="1" t="s">
        <v>2089</v>
      </c>
      <c r="M345" s="1" t="s">
        <v>260</v>
      </c>
      <c r="N345" s="1" t="s">
        <v>261</v>
      </c>
      <c r="O345" s="1" t="s">
        <v>2090</v>
      </c>
      <c r="P345" s="1" t="str">
        <f t="shared" si="18"/>
        <v>BC Rio Monte 3Inverter3245999,298611111145999,298611111145999,5791666667</v>
      </c>
      <c r="Q345" s="1" t="str">
        <f t="shared" si="19"/>
        <v>DAURDE</v>
      </c>
    </row>
    <row r="346" spans="2:17" hidden="1">
      <c r="B346" s="1" t="s">
        <v>2115</v>
      </c>
      <c r="C346" s="1" t="s">
        <v>588</v>
      </c>
      <c r="D346" s="52">
        <v>45999.298611111109</v>
      </c>
      <c r="E346" s="52">
        <v>45999.298611111109</v>
      </c>
      <c r="F346" s="52">
        <v>45999.57916666667</v>
      </c>
      <c r="G346" s="53">
        <f t="shared" si="17"/>
        <v>0.28055555556056788</v>
      </c>
      <c r="H346" s="1" t="s">
        <v>257</v>
      </c>
      <c r="J346" s="1" t="s">
        <v>258</v>
      </c>
      <c r="K346" s="1" t="str">
        <f>_xlfn.XLOOKUP(J346,REF!$D$2:$D$12,REF!$E$2:$E$12)</f>
        <v>Rede</v>
      </c>
      <c r="L346" s="1" t="s">
        <v>2089</v>
      </c>
      <c r="M346" s="1" t="s">
        <v>260</v>
      </c>
      <c r="N346" s="1" t="s">
        <v>261</v>
      </c>
      <c r="O346" s="1" t="s">
        <v>2090</v>
      </c>
      <c r="P346" s="1" t="str">
        <f t="shared" si="18"/>
        <v>BC Rio Monte 3Inverter4045999,298611111145999,298611111145999,5791666667</v>
      </c>
      <c r="Q346" s="1" t="str">
        <f t="shared" si="19"/>
        <v>DAURDE</v>
      </c>
    </row>
    <row r="347" spans="2:17" hidden="1">
      <c r="B347" s="1" t="s">
        <v>2115</v>
      </c>
      <c r="C347" s="1" t="s">
        <v>594</v>
      </c>
      <c r="D347" s="52">
        <v>45999.298611111109</v>
      </c>
      <c r="E347" s="52">
        <v>45999.298611111109</v>
      </c>
      <c r="F347" s="52">
        <v>45999.57916666667</v>
      </c>
      <c r="G347" s="53">
        <f t="shared" si="17"/>
        <v>0.28055555556056788</v>
      </c>
      <c r="H347" s="1" t="s">
        <v>257</v>
      </c>
      <c r="J347" s="1" t="s">
        <v>258</v>
      </c>
      <c r="K347" s="1" t="str">
        <f>_xlfn.XLOOKUP(J347,REF!$D$2:$D$12,REF!$E$2:$E$12)</f>
        <v>Rede</v>
      </c>
      <c r="L347" s="1" t="s">
        <v>2089</v>
      </c>
      <c r="M347" s="1" t="s">
        <v>260</v>
      </c>
      <c r="N347" s="1" t="s">
        <v>261</v>
      </c>
      <c r="O347" s="1" t="s">
        <v>2090</v>
      </c>
      <c r="P347" s="1" t="str">
        <f t="shared" si="18"/>
        <v>BC Rio Monte 3Inverter3445999,298611111145999,298611111145999,5791666667</v>
      </c>
      <c r="Q347" s="1" t="str">
        <f t="shared" si="19"/>
        <v>DAURDE</v>
      </c>
    </row>
    <row r="348" spans="2:17" hidden="1">
      <c r="B348" s="1" t="s">
        <v>327</v>
      </c>
      <c r="C348" s="1" t="s">
        <v>247</v>
      </c>
      <c r="D348" s="52">
        <v>45999.470833333333</v>
      </c>
      <c r="E348" s="52">
        <v>45999.470833333333</v>
      </c>
      <c r="F348" s="52">
        <v>45999.476388888892</v>
      </c>
      <c r="G348" s="53">
        <f t="shared" si="17"/>
        <v>5.5555555591126904E-3</v>
      </c>
      <c r="H348" s="1" t="s">
        <v>257</v>
      </c>
      <c r="J348" s="1" t="s">
        <v>258</v>
      </c>
      <c r="K348" s="1" t="str">
        <f>_xlfn.XLOOKUP(J348,REF!$D$2:$D$12,REF!$E$2:$E$12)</f>
        <v>Rede</v>
      </c>
      <c r="L348" s="1" t="s">
        <v>582</v>
      </c>
      <c r="M348" s="1" t="s">
        <v>2108</v>
      </c>
      <c r="N348" s="1" t="s">
        <v>357</v>
      </c>
      <c r="O348" s="1" t="s">
        <v>2111</v>
      </c>
      <c r="P348" s="1" t="str">
        <f t="shared" si="18"/>
        <v>BC Aracu5.1Inverter(MBUS-1)45999,470833333345999,470833333345999,4763888889</v>
      </c>
      <c r="Q348" s="1" t="str">
        <f t="shared" si="19"/>
        <v>DAURDE</v>
      </c>
    </row>
    <row r="349" spans="2:17" hidden="1">
      <c r="B349" s="1" t="s">
        <v>246</v>
      </c>
      <c r="C349" s="1" t="s">
        <v>247</v>
      </c>
      <c r="D349" s="52">
        <v>45999.470833333333</v>
      </c>
      <c r="E349" s="52">
        <v>45999.470833333333</v>
      </c>
      <c r="F349" s="52">
        <v>45999.476388888892</v>
      </c>
      <c r="G349" s="53">
        <f t="shared" si="17"/>
        <v>5.5555555591126904E-3</v>
      </c>
      <c r="H349" s="1" t="s">
        <v>257</v>
      </c>
      <c r="J349" s="1" t="s">
        <v>258</v>
      </c>
      <c r="K349" s="1" t="str">
        <f>_xlfn.XLOOKUP(J349,REF!$D$2:$D$12,REF!$E$2:$E$12)</f>
        <v>Rede</v>
      </c>
      <c r="L349" s="1" t="s">
        <v>582</v>
      </c>
      <c r="M349" s="1" t="s">
        <v>2108</v>
      </c>
      <c r="N349" s="1" t="s">
        <v>357</v>
      </c>
      <c r="O349" s="1" t="s">
        <v>2111</v>
      </c>
      <c r="P349" s="1" t="str">
        <f t="shared" si="18"/>
        <v>BC Aracu5.2Inverter(MBUS-1)45999,470833333345999,470833333345999,4763888889</v>
      </c>
      <c r="Q349" s="1" t="str">
        <f t="shared" si="19"/>
        <v>DAURDE</v>
      </c>
    </row>
    <row r="350" spans="2:17" hidden="1">
      <c r="B350" s="1" t="s">
        <v>328</v>
      </c>
      <c r="C350" s="1" t="s">
        <v>247</v>
      </c>
      <c r="D350" s="52">
        <v>45999.470833333333</v>
      </c>
      <c r="E350" s="52">
        <v>45999.470833333333</v>
      </c>
      <c r="F350" s="52">
        <v>45999.476388888892</v>
      </c>
      <c r="G350" s="53">
        <f t="shared" si="17"/>
        <v>5.5555555591126904E-3</v>
      </c>
      <c r="H350" s="1" t="s">
        <v>257</v>
      </c>
      <c r="J350" s="1" t="s">
        <v>258</v>
      </c>
      <c r="K350" s="1" t="str">
        <f>_xlfn.XLOOKUP(J350,REF!$D$2:$D$12,REF!$E$2:$E$12)</f>
        <v>Rede</v>
      </c>
      <c r="L350" s="1" t="s">
        <v>582</v>
      </c>
      <c r="M350" s="1" t="s">
        <v>2108</v>
      </c>
      <c r="N350" s="1" t="s">
        <v>357</v>
      </c>
      <c r="O350" s="1" t="s">
        <v>2111</v>
      </c>
      <c r="P350" s="1" t="str">
        <f t="shared" si="18"/>
        <v>BC Aracu5.3Inverter(MBUS-1)45999,470833333345999,470833333345999,4763888889</v>
      </c>
      <c r="Q350" s="1" t="str">
        <f t="shared" si="19"/>
        <v>DAURDE</v>
      </c>
    </row>
    <row r="351" spans="2:17" hidden="1">
      <c r="B351" s="1" t="s">
        <v>329</v>
      </c>
      <c r="C351" s="1" t="s">
        <v>247</v>
      </c>
      <c r="D351" s="52">
        <v>45999.470833333333</v>
      </c>
      <c r="E351" s="52">
        <v>45999.470833333333</v>
      </c>
      <c r="F351" s="52">
        <v>45999.476388888892</v>
      </c>
      <c r="G351" s="53">
        <f t="shared" si="17"/>
        <v>5.5555555591126904E-3</v>
      </c>
      <c r="H351" s="1" t="s">
        <v>257</v>
      </c>
      <c r="J351" s="1" t="s">
        <v>258</v>
      </c>
      <c r="K351" s="1" t="str">
        <f>_xlfn.XLOOKUP(J351,REF!$D$2:$D$12,REF!$E$2:$E$12)</f>
        <v>Rede</v>
      </c>
      <c r="L351" s="1" t="s">
        <v>582</v>
      </c>
      <c r="M351" s="1" t="s">
        <v>2108</v>
      </c>
      <c r="N351" s="1" t="s">
        <v>357</v>
      </c>
      <c r="O351" s="1" t="s">
        <v>2111</v>
      </c>
      <c r="P351" s="1" t="str">
        <f t="shared" si="18"/>
        <v>BC Aracu5.4Inverter(MBUS-1)45999,470833333345999,470833333345999,4763888889</v>
      </c>
      <c r="Q351" s="1" t="str">
        <f t="shared" si="19"/>
        <v>DAURDE</v>
      </c>
    </row>
    <row r="352" spans="2:17" hidden="1">
      <c r="B352" s="1" t="s">
        <v>330</v>
      </c>
      <c r="C352" s="1" t="s">
        <v>247</v>
      </c>
      <c r="D352" s="52">
        <v>45999.470833333333</v>
      </c>
      <c r="E352" s="52">
        <v>45999.470833333333</v>
      </c>
      <c r="F352" s="52">
        <v>45999.476388888892</v>
      </c>
      <c r="G352" s="53">
        <f t="shared" si="17"/>
        <v>5.5555555591126904E-3</v>
      </c>
      <c r="H352" s="1" t="s">
        <v>257</v>
      </c>
      <c r="J352" s="1" t="s">
        <v>258</v>
      </c>
      <c r="K352" s="1" t="str">
        <f>_xlfn.XLOOKUP(J352,REF!$D$2:$D$12,REF!$E$2:$E$12)</f>
        <v>Rede</v>
      </c>
      <c r="L352" s="1" t="s">
        <v>582</v>
      </c>
      <c r="M352" s="1" t="s">
        <v>2108</v>
      </c>
      <c r="N352" s="1" t="s">
        <v>357</v>
      </c>
      <c r="O352" s="1" t="s">
        <v>2111</v>
      </c>
      <c r="P352" s="1" t="str">
        <f t="shared" si="18"/>
        <v>BC Aracu5.5Inverter(MBUS-1)45999,470833333345999,470833333345999,4763888889</v>
      </c>
      <c r="Q352" s="1" t="str">
        <f t="shared" si="19"/>
        <v>DAURDE</v>
      </c>
    </row>
    <row r="353" spans="2:17" hidden="1">
      <c r="B353" s="1" t="s">
        <v>2115</v>
      </c>
      <c r="C353" s="1" t="s">
        <v>590</v>
      </c>
      <c r="D353" s="52">
        <v>46000.267361111109</v>
      </c>
      <c r="E353" s="52">
        <v>46000.267361111109</v>
      </c>
      <c r="F353" s="52">
        <v>46000.364583333336</v>
      </c>
      <c r="G353" s="53">
        <f t="shared" si="17"/>
        <v>9.7222222226264421E-2</v>
      </c>
      <c r="H353" s="1" t="s">
        <v>257</v>
      </c>
      <c r="J353" s="1" t="s">
        <v>258</v>
      </c>
      <c r="K353" s="1" t="str">
        <f>_xlfn.XLOOKUP(J353,REF!$D$2:$D$12,REF!$E$2:$E$12)</f>
        <v>Rede</v>
      </c>
      <c r="L353" s="1" t="s">
        <v>2057</v>
      </c>
      <c r="M353" s="1" t="s">
        <v>260</v>
      </c>
      <c r="N353" s="1" t="s">
        <v>261</v>
      </c>
      <c r="O353" s="1" t="s">
        <v>2098</v>
      </c>
      <c r="P353" s="1" t="str">
        <f t="shared" si="18"/>
        <v>BC Rio Monte 3Inverter4146000,267361111146000,267361111146000,3645833333</v>
      </c>
      <c r="Q353" s="1" t="str">
        <f t="shared" si="19"/>
        <v>DAURDE</v>
      </c>
    </row>
    <row r="354" spans="2:17" hidden="1">
      <c r="B354" s="1" t="s">
        <v>2115</v>
      </c>
      <c r="C354" s="1" t="s">
        <v>2091</v>
      </c>
      <c r="D354" s="52">
        <v>46000.267361111109</v>
      </c>
      <c r="E354" s="52">
        <v>46000.267361111109</v>
      </c>
      <c r="F354" s="52">
        <v>46000.364583333336</v>
      </c>
      <c r="G354" s="53">
        <f t="shared" si="17"/>
        <v>9.7222222226264421E-2</v>
      </c>
      <c r="H354" s="1" t="s">
        <v>257</v>
      </c>
      <c r="J354" s="1" t="s">
        <v>258</v>
      </c>
      <c r="K354" s="1" t="str">
        <f>_xlfn.XLOOKUP(J354,REF!$D$2:$D$12,REF!$E$2:$E$12)</f>
        <v>Rede</v>
      </c>
      <c r="L354" s="1" t="s">
        <v>2057</v>
      </c>
      <c r="M354" s="1" t="s">
        <v>260</v>
      </c>
      <c r="N354" s="1" t="s">
        <v>261</v>
      </c>
      <c r="O354" s="1" t="s">
        <v>2098</v>
      </c>
      <c r="P354" s="1" t="str">
        <f t="shared" si="18"/>
        <v>BC Rio Monte 3Inverter4746000,267361111146000,267361111146000,3645833333</v>
      </c>
      <c r="Q354" s="1" t="str">
        <f t="shared" si="19"/>
        <v>DAURDE</v>
      </c>
    </row>
    <row r="355" spans="2:17" hidden="1">
      <c r="B355" s="1" t="s">
        <v>2115</v>
      </c>
      <c r="C355" s="1" t="s">
        <v>586</v>
      </c>
      <c r="D355" s="52">
        <v>46000.267361111109</v>
      </c>
      <c r="E355" s="52">
        <v>46000.267361111109</v>
      </c>
      <c r="F355" s="52">
        <v>46000.364583333336</v>
      </c>
      <c r="G355" s="53">
        <f t="shared" si="17"/>
        <v>9.7222222226264421E-2</v>
      </c>
      <c r="H355" s="1" t="s">
        <v>257</v>
      </c>
      <c r="J355" s="1" t="s">
        <v>258</v>
      </c>
      <c r="K355" s="1" t="str">
        <f>_xlfn.XLOOKUP(J355,REF!$D$2:$D$12,REF!$E$2:$E$12)</f>
        <v>Rede</v>
      </c>
      <c r="L355" s="1" t="s">
        <v>2057</v>
      </c>
      <c r="M355" s="1" t="s">
        <v>260</v>
      </c>
      <c r="N355" s="1" t="s">
        <v>261</v>
      </c>
      <c r="O355" s="1" t="s">
        <v>2098</v>
      </c>
      <c r="P355" s="1" t="str">
        <f t="shared" si="18"/>
        <v>BC Rio Monte 3Inverter3546000,267361111146000,267361111146000,3645833333</v>
      </c>
      <c r="Q355" s="1" t="str">
        <f t="shared" si="19"/>
        <v>DAURDE</v>
      </c>
    </row>
    <row r="356" spans="2:17" hidden="1">
      <c r="B356" s="1" t="s">
        <v>2115</v>
      </c>
      <c r="C356" s="1" t="s">
        <v>598</v>
      </c>
      <c r="D356" s="52">
        <v>46000.267361111109</v>
      </c>
      <c r="E356" s="52">
        <v>46000.267361111109</v>
      </c>
      <c r="F356" s="52">
        <v>46000.364583333336</v>
      </c>
      <c r="G356" s="53">
        <f t="shared" si="17"/>
        <v>9.7222222226264421E-2</v>
      </c>
      <c r="H356" s="1" t="s">
        <v>257</v>
      </c>
      <c r="J356" s="1" t="s">
        <v>258</v>
      </c>
      <c r="K356" s="1" t="str">
        <f>_xlfn.XLOOKUP(J356,REF!$D$2:$D$12,REF!$E$2:$E$12)</f>
        <v>Rede</v>
      </c>
      <c r="L356" s="1" t="s">
        <v>2057</v>
      </c>
      <c r="M356" s="1" t="s">
        <v>260</v>
      </c>
      <c r="N356" s="1" t="s">
        <v>261</v>
      </c>
      <c r="O356" s="1" t="s">
        <v>2098</v>
      </c>
      <c r="P356" s="1" t="str">
        <f t="shared" si="18"/>
        <v>BC Rio Monte 3Inverter3646000,267361111146000,267361111146000,3645833333</v>
      </c>
      <c r="Q356" s="1" t="str">
        <f t="shared" si="19"/>
        <v>DAURDE</v>
      </c>
    </row>
    <row r="357" spans="2:17" hidden="1">
      <c r="B357" s="1" t="s">
        <v>2115</v>
      </c>
      <c r="C357" s="1" t="s">
        <v>600</v>
      </c>
      <c r="D357" s="52">
        <v>46000.267361111109</v>
      </c>
      <c r="E357" s="52">
        <v>46000.267361111109</v>
      </c>
      <c r="F357" s="52">
        <v>46000.364583333336</v>
      </c>
      <c r="G357" s="53">
        <f t="shared" si="17"/>
        <v>9.7222222226264421E-2</v>
      </c>
      <c r="H357" s="1" t="s">
        <v>257</v>
      </c>
      <c r="J357" s="1" t="s">
        <v>258</v>
      </c>
      <c r="K357" s="1" t="str">
        <f>_xlfn.XLOOKUP(J357,REF!$D$2:$D$12,REF!$E$2:$E$12)</f>
        <v>Rede</v>
      </c>
      <c r="L357" s="1" t="s">
        <v>2057</v>
      </c>
      <c r="M357" s="1" t="s">
        <v>260</v>
      </c>
      <c r="N357" s="1" t="s">
        <v>261</v>
      </c>
      <c r="O357" s="1" t="s">
        <v>2098</v>
      </c>
      <c r="P357" s="1" t="str">
        <f t="shared" si="18"/>
        <v>BC Rio Monte 3Inverter3146000,267361111146000,267361111146000,3645833333</v>
      </c>
      <c r="Q357" s="1" t="str">
        <f t="shared" si="19"/>
        <v>DAURDE</v>
      </c>
    </row>
    <row r="358" spans="2:17" hidden="1">
      <c r="B358" s="1" t="s">
        <v>2115</v>
      </c>
      <c r="C358" s="1" t="s">
        <v>596</v>
      </c>
      <c r="D358" s="52">
        <v>46000.267361111109</v>
      </c>
      <c r="E358" s="52">
        <v>46000.267361111109</v>
      </c>
      <c r="F358" s="52">
        <v>46000.364583333336</v>
      </c>
      <c r="G358" s="53">
        <f t="shared" ref="G358:G362" si="20">F358-E358</f>
        <v>9.7222222226264421E-2</v>
      </c>
      <c r="H358" s="1" t="s">
        <v>257</v>
      </c>
      <c r="J358" s="1" t="s">
        <v>258</v>
      </c>
      <c r="K358" s="1" t="str">
        <f>_xlfn.XLOOKUP(J358,REF!$D$2:$D$12,REF!$E$2:$E$12)</f>
        <v>Rede</v>
      </c>
      <c r="L358" s="1" t="s">
        <v>2057</v>
      </c>
      <c r="M358" s="1" t="s">
        <v>260</v>
      </c>
      <c r="N358" s="1" t="s">
        <v>261</v>
      </c>
      <c r="O358" s="1" t="s">
        <v>2098</v>
      </c>
      <c r="P358" s="1" t="str">
        <f t="shared" si="18"/>
        <v>BC Rio Monte 3Inverter3346000,267361111146000,267361111146000,3645833333</v>
      </c>
      <c r="Q358" s="1" t="str">
        <f t="shared" si="19"/>
        <v>DAURDE</v>
      </c>
    </row>
    <row r="359" spans="2:17" hidden="1">
      <c r="B359" s="1" t="s">
        <v>2115</v>
      </c>
      <c r="C359" s="1" t="s">
        <v>599</v>
      </c>
      <c r="D359" s="52">
        <v>46000.267361111109</v>
      </c>
      <c r="E359" s="52">
        <v>46000.267361111109</v>
      </c>
      <c r="F359" s="52">
        <v>46000.364583333336</v>
      </c>
      <c r="G359" s="53">
        <f t="shared" si="20"/>
        <v>9.7222222226264421E-2</v>
      </c>
      <c r="H359" s="1" t="s">
        <v>257</v>
      </c>
      <c r="J359" s="1" t="s">
        <v>258</v>
      </c>
      <c r="K359" s="1" t="str">
        <f>_xlfn.XLOOKUP(J359,REF!$D$2:$D$12,REF!$E$2:$E$12)</f>
        <v>Rede</v>
      </c>
      <c r="L359" s="1" t="s">
        <v>2057</v>
      </c>
      <c r="M359" s="1" t="s">
        <v>260</v>
      </c>
      <c r="N359" s="1" t="s">
        <v>261</v>
      </c>
      <c r="O359" s="1" t="s">
        <v>2098</v>
      </c>
      <c r="P359" s="1" t="str">
        <f t="shared" si="18"/>
        <v>BC Rio Monte 3Inverter3946000,267361111146000,267361111146000,3645833333</v>
      </c>
      <c r="Q359" s="1" t="str">
        <f t="shared" si="19"/>
        <v>DAURDE</v>
      </c>
    </row>
    <row r="360" spans="2:17" hidden="1">
      <c r="B360" s="1" t="s">
        <v>2115</v>
      </c>
      <c r="C360" s="1" t="s">
        <v>603</v>
      </c>
      <c r="D360" s="52">
        <v>46000.267361111109</v>
      </c>
      <c r="E360" s="52">
        <v>46000.267361111109</v>
      </c>
      <c r="F360" s="52">
        <v>46000.364583333336</v>
      </c>
      <c r="G360" s="53">
        <f t="shared" si="20"/>
        <v>9.7222222226264421E-2</v>
      </c>
      <c r="H360" s="1" t="s">
        <v>257</v>
      </c>
      <c r="J360" s="1" t="s">
        <v>258</v>
      </c>
      <c r="K360" s="1" t="str">
        <f>_xlfn.XLOOKUP(J360,REF!$D$2:$D$12,REF!$E$2:$E$12)</f>
        <v>Rede</v>
      </c>
      <c r="L360" s="1" t="s">
        <v>2057</v>
      </c>
      <c r="M360" s="1" t="s">
        <v>260</v>
      </c>
      <c r="N360" s="1" t="s">
        <v>261</v>
      </c>
      <c r="O360" s="1" t="s">
        <v>2098</v>
      </c>
      <c r="P360" s="1" t="str">
        <f t="shared" si="18"/>
        <v>BC Rio Monte 3Inverter3246000,267361111146000,267361111146000,3645833333</v>
      </c>
      <c r="Q360" s="1" t="str">
        <f t="shared" si="19"/>
        <v>DAURDE</v>
      </c>
    </row>
    <row r="361" spans="2:17" hidden="1">
      <c r="B361" s="1" t="s">
        <v>2115</v>
      </c>
      <c r="C361" s="1" t="s">
        <v>588</v>
      </c>
      <c r="D361" s="52">
        <v>46000.267361111109</v>
      </c>
      <c r="E361" s="52">
        <v>46000.267361111109</v>
      </c>
      <c r="F361" s="52">
        <v>46000.364583333336</v>
      </c>
      <c r="G361" s="53">
        <f t="shared" si="20"/>
        <v>9.7222222226264421E-2</v>
      </c>
      <c r="H361" s="1" t="s">
        <v>257</v>
      </c>
      <c r="J361" s="1" t="s">
        <v>258</v>
      </c>
      <c r="K361" s="1" t="str">
        <f>_xlfn.XLOOKUP(J361,REF!$D$2:$D$12,REF!$E$2:$E$12)</f>
        <v>Rede</v>
      </c>
      <c r="L361" s="1" t="s">
        <v>2057</v>
      </c>
      <c r="M361" s="1" t="s">
        <v>260</v>
      </c>
      <c r="N361" s="1" t="s">
        <v>261</v>
      </c>
      <c r="O361" s="1" t="s">
        <v>2098</v>
      </c>
      <c r="P361" s="1" t="str">
        <f t="shared" si="18"/>
        <v>BC Rio Monte 3Inverter4046000,267361111146000,267361111146000,3645833333</v>
      </c>
      <c r="Q361" s="1" t="str">
        <f t="shared" si="19"/>
        <v>DAURDE</v>
      </c>
    </row>
    <row r="362" spans="2:17" hidden="1">
      <c r="B362" s="1" t="s">
        <v>2115</v>
      </c>
      <c r="C362" s="1" t="s">
        <v>594</v>
      </c>
      <c r="D362" s="52">
        <v>46000.267361111109</v>
      </c>
      <c r="E362" s="52">
        <v>46000.267361111109</v>
      </c>
      <c r="F362" s="52">
        <v>46000.364583333336</v>
      </c>
      <c r="G362" s="53">
        <f t="shared" si="20"/>
        <v>9.7222222226264421E-2</v>
      </c>
      <c r="H362" s="1" t="s">
        <v>257</v>
      </c>
      <c r="J362" s="1" t="s">
        <v>258</v>
      </c>
      <c r="K362" s="1" t="str">
        <f>_xlfn.XLOOKUP(J362,REF!$D$2:$D$12,REF!$E$2:$E$12)</f>
        <v>Rede</v>
      </c>
      <c r="L362" s="1" t="s">
        <v>2057</v>
      </c>
      <c r="M362" s="1" t="s">
        <v>260</v>
      </c>
      <c r="N362" s="1" t="s">
        <v>261</v>
      </c>
      <c r="O362" s="1" t="s">
        <v>2098</v>
      </c>
      <c r="P362" s="1" t="str">
        <f t="shared" si="18"/>
        <v>BC Rio Monte 3Inverter3446000,267361111146000,267361111146000,3645833333</v>
      </c>
      <c r="Q362" s="1" t="str">
        <f t="shared" si="19"/>
        <v>DAURDE</v>
      </c>
    </row>
    <row r="363" spans="2:17" hidden="1">
      <c r="B363" s="1" t="s">
        <v>311</v>
      </c>
      <c r="C363" s="1" t="s">
        <v>247</v>
      </c>
      <c r="D363" s="52">
        <v>46012.583333333336</v>
      </c>
      <c r="E363" s="52">
        <v>46012.583333333336</v>
      </c>
      <c r="F363" s="52">
        <v>46012.659722222219</v>
      </c>
      <c r="G363" s="53">
        <f t="shared" si="17"/>
        <v>7.6388888883229811E-2</v>
      </c>
      <c r="H363" s="1" t="s">
        <v>257</v>
      </c>
      <c r="J363" s="1" t="s">
        <v>258</v>
      </c>
      <c r="K363" s="1" t="str">
        <f>_xlfn.XLOOKUP(J363,REF!$D$2:$D$12,REF!$E$2:$E$12)</f>
        <v>Rede</v>
      </c>
      <c r="L363" s="1" t="s">
        <v>2089</v>
      </c>
      <c r="M363" s="1" t="s">
        <v>260</v>
      </c>
      <c r="N363" s="1" t="s">
        <v>261</v>
      </c>
      <c r="O363" s="1" t="s">
        <v>2090</v>
      </c>
      <c r="P363" s="1" t="str">
        <f t="shared" si="18"/>
        <v>ARAGUATINS 2.1Inverter(MBUS-1)46012,583333333346012,583333333346012,6597222222</v>
      </c>
      <c r="Q363" s="1" t="str">
        <f t="shared" si="19"/>
        <v>DAURDE</v>
      </c>
    </row>
    <row r="364" spans="2:17" hidden="1">
      <c r="B364" s="1" t="s">
        <v>312</v>
      </c>
      <c r="C364" s="1" t="s">
        <v>307</v>
      </c>
      <c r="D364" s="52">
        <v>46012.583333333336</v>
      </c>
      <c r="E364" s="52">
        <v>46012.583333333336</v>
      </c>
      <c r="F364" s="52">
        <v>46012.659722222219</v>
      </c>
      <c r="G364" s="53">
        <f t="shared" ref="G364:G367" si="21">F364-E364</f>
        <v>7.6388888883229811E-2</v>
      </c>
      <c r="H364" s="1" t="s">
        <v>257</v>
      </c>
      <c r="J364" s="1" t="s">
        <v>258</v>
      </c>
      <c r="K364" s="1" t="str">
        <f>_xlfn.XLOOKUP(J364,REF!$D$2:$D$12,REF!$E$2:$E$12)</f>
        <v>Rede</v>
      </c>
      <c r="L364" s="1" t="s">
        <v>2089</v>
      </c>
      <c r="M364" s="1" t="s">
        <v>260</v>
      </c>
      <c r="N364" s="1" t="s">
        <v>261</v>
      </c>
      <c r="O364" s="1" t="s">
        <v>2090</v>
      </c>
      <c r="P364" s="1" t="str">
        <f t="shared" si="18"/>
        <v>ARAGUATINS 2.2Inverter(MBUS-15)46012,583333333346012,583333333346012,6597222222</v>
      </c>
      <c r="Q364" s="1" t="str">
        <f t="shared" si="19"/>
        <v>DAURDE</v>
      </c>
    </row>
    <row r="365" spans="2:17" hidden="1">
      <c r="B365" s="1" t="s">
        <v>312</v>
      </c>
      <c r="C365" s="1" t="s">
        <v>264</v>
      </c>
      <c r="D365" s="52">
        <v>46012.583333333336</v>
      </c>
      <c r="E365" s="52">
        <v>46012.583333333336</v>
      </c>
      <c r="F365" s="52">
        <v>46012.659722222219</v>
      </c>
      <c r="G365" s="53">
        <f t="shared" si="21"/>
        <v>7.6388888883229811E-2</v>
      </c>
      <c r="H365" s="1" t="s">
        <v>257</v>
      </c>
      <c r="J365" s="1" t="s">
        <v>258</v>
      </c>
      <c r="K365" s="1" t="str">
        <f>_xlfn.XLOOKUP(J365,REF!$D$2:$D$12,REF!$E$2:$E$12)</f>
        <v>Rede</v>
      </c>
      <c r="L365" s="1" t="s">
        <v>2089</v>
      </c>
      <c r="M365" s="1" t="s">
        <v>260</v>
      </c>
      <c r="N365" s="1" t="s">
        <v>261</v>
      </c>
      <c r="O365" s="1" t="s">
        <v>2090</v>
      </c>
      <c r="P365" s="1" t="str">
        <f t="shared" si="18"/>
        <v>ARAGUATINS 2.2Inverter(MBUS-13)46012,583333333346012,583333333346012,6597222222</v>
      </c>
      <c r="Q365" s="1" t="str">
        <f t="shared" si="19"/>
        <v>DAURDE</v>
      </c>
    </row>
    <row r="366" spans="2:17" hidden="1">
      <c r="B366" s="1" t="s">
        <v>312</v>
      </c>
      <c r="C366" s="1" t="s">
        <v>263</v>
      </c>
      <c r="D366" s="52">
        <v>46012.583333333336</v>
      </c>
      <c r="E366" s="52">
        <v>46012.583333333336</v>
      </c>
      <c r="F366" s="52">
        <v>46012.659722222219</v>
      </c>
      <c r="G366" s="53">
        <f t="shared" si="21"/>
        <v>7.6388888883229811E-2</v>
      </c>
      <c r="H366" s="1" t="s">
        <v>257</v>
      </c>
      <c r="J366" s="1" t="s">
        <v>258</v>
      </c>
      <c r="K366" s="1" t="str">
        <f>_xlfn.XLOOKUP(J366,REF!$D$2:$D$12,REF!$E$2:$E$12)</f>
        <v>Rede</v>
      </c>
      <c r="L366" s="1" t="s">
        <v>2089</v>
      </c>
      <c r="M366" s="1" t="s">
        <v>260</v>
      </c>
      <c r="N366" s="1" t="s">
        <v>261</v>
      </c>
      <c r="O366" s="1" t="s">
        <v>2090</v>
      </c>
      <c r="P366" s="1" t="str">
        <f t="shared" si="18"/>
        <v>ARAGUATINS 2.2Inverter(MBUS-14)46012,583333333346012,583333333346012,6597222222</v>
      </c>
      <c r="Q366" s="1" t="str">
        <f t="shared" si="19"/>
        <v>DAURDE</v>
      </c>
    </row>
    <row r="367" spans="2:17" hidden="1">
      <c r="B367" s="1" t="s">
        <v>312</v>
      </c>
      <c r="C367" s="1" t="s">
        <v>256</v>
      </c>
      <c r="D367" s="52">
        <v>46012.583333333336</v>
      </c>
      <c r="E367" s="52">
        <v>46012.583333333336</v>
      </c>
      <c r="F367" s="52">
        <v>46012.659722222219</v>
      </c>
      <c r="G367" s="53">
        <f t="shared" si="21"/>
        <v>7.6388888883229811E-2</v>
      </c>
      <c r="H367" s="1" t="s">
        <v>257</v>
      </c>
      <c r="J367" s="1" t="s">
        <v>258</v>
      </c>
      <c r="K367" s="1" t="str">
        <f>_xlfn.XLOOKUP(J367,REF!$D$2:$D$12,REF!$E$2:$E$12)</f>
        <v>Rede</v>
      </c>
      <c r="L367" s="1" t="s">
        <v>2089</v>
      </c>
      <c r="M367" s="1" t="s">
        <v>260</v>
      </c>
      <c r="N367" s="1" t="s">
        <v>261</v>
      </c>
      <c r="O367" s="1" t="s">
        <v>2090</v>
      </c>
      <c r="P367" s="1" t="str">
        <f t="shared" si="18"/>
        <v>ARAGUATINS 2.2Inverter(MBUS-12)46012,583333333346012,583333333346012,6597222222</v>
      </c>
      <c r="Q367" s="1" t="str">
        <f t="shared" si="19"/>
        <v>DAURDE</v>
      </c>
    </row>
    <row r="368" spans="2:17" hidden="1">
      <c r="B368" s="1" t="s">
        <v>456</v>
      </c>
      <c r="C368" s="1" t="s">
        <v>457</v>
      </c>
      <c r="D368" s="52">
        <v>46012.520833333336</v>
      </c>
      <c r="E368" s="52">
        <v>46012.520833333336</v>
      </c>
      <c r="F368" s="52">
        <v>46012.584027777775</v>
      </c>
      <c r="G368" s="53">
        <f t="shared" si="17"/>
        <v>6.3194444439432118E-2</v>
      </c>
      <c r="H368" s="1" t="s">
        <v>257</v>
      </c>
      <c r="J368" s="1" t="s">
        <v>258</v>
      </c>
      <c r="K368" s="1" t="str">
        <f>_xlfn.XLOOKUP(J368,REF!$D$2:$D$12,REF!$E$2:$E$12)</f>
        <v>Rede</v>
      </c>
      <c r="L368" s="1" t="s">
        <v>2116</v>
      </c>
      <c r="M368" s="1" t="s">
        <v>260</v>
      </c>
      <c r="N368" s="1" t="s">
        <v>357</v>
      </c>
      <c r="O368" s="1" t="s">
        <v>632</v>
      </c>
      <c r="P368" s="1" t="str">
        <f t="shared" si="18"/>
        <v>BC Caiaponia1SG60KTL(COM1-001)_001_00746012,520833333346012,520833333346012,5840277778</v>
      </c>
      <c r="Q368" s="1" t="str">
        <f t="shared" si="19"/>
        <v>DAURDE</v>
      </c>
    </row>
    <row r="369" spans="2:17" hidden="1">
      <c r="B369" s="1" t="s">
        <v>456</v>
      </c>
      <c r="C369" s="1" t="s">
        <v>459</v>
      </c>
      <c r="D369" s="52">
        <v>46012.520833333336</v>
      </c>
      <c r="E369" s="52">
        <v>46012.520833333336</v>
      </c>
      <c r="F369" s="52">
        <v>46012.584027777775</v>
      </c>
      <c r="G369" s="53">
        <f t="shared" si="17"/>
        <v>6.3194444439432118E-2</v>
      </c>
      <c r="H369" s="1" t="s">
        <v>257</v>
      </c>
      <c r="J369" s="1" t="s">
        <v>258</v>
      </c>
      <c r="K369" s="1" t="str">
        <f>_xlfn.XLOOKUP(J369,REF!$D$2:$D$12,REF!$E$2:$E$12)</f>
        <v>Rede</v>
      </c>
      <c r="L369" s="1" t="s">
        <v>2116</v>
      </c>
      <c r="M369" s="1" t="s">
        <v>260</v>
      </c>
      <c r="N369" s="1" t="s">
        <v>357</v>
      </c>
      <c r="O369" s="1" t="s">
        <v>632</v>
      </c>
      <c r="P369" s="1" t="str">
        <f t="shared" si="18"/>
        <v>BC Caiaponia1SG60KTL(COM1-002)_001_01046012,520833333346012,520833333346012,5840277778</v>
      </c>
      <c r="Q369" s="1" t="str">
        <f t="shared" si="19"/>
        <v>DAURDE</v>
      </c>
    </row>
    <row r="370" spans="2:17" hidden="1">
      <c r="B370" s="1" t="s">
        <v>456</v>
      </c>
      <c r="C370" s="1" t="s">
        <v>460</v>
      </c>
      <c r="D370" s="52">
        <v>46012.520833333336</v>
      </c>
      <c r="E370" s="52">
        <v>46012.520833333336</v>
      </c>
      <c r="F370" s="52">
        <v>46012.584027777775</v>
      </c>
      <c r="G370" s="53">
        <f t="shared" si="17"/>
        <v>6.3194444439432118E-2</v>
      </c>
      <c r="H370" s="1" t="s">
        <v>257</v>
      </c>
      <c r="J370" s="1" t="s">
        <v>258</v>
      </c>
      <c r="K370" s="1" t="str">
        <f>_xlfn.XLOOKUP(J370,REF!$D$2:$D$12,REF!$E$2:$E$12)</f>
        <v>Rede</v>
      </c>
      <c r="L370" s="1" t="s">
        <v>2116</v>
      </c>
      <c r="M370" s="1" t="s">
        <v>260</v>
      </c>
      <c r="N370" s="1" t="s">
        <v>357</v>
      </c>
      <c r="O370" s="1" t="s">
        <v>632</v>
      </c>
      <c r="P370" s="1" t="str">
        <f t="shared" si="18"/>
        <v>BC Caiaponia1SG60KTL(COM1-003)_001_01146012,520833333346012,520833333346012,5840277778</v>
      </c>
      <c r="Q370" s="1" t="str">
        <f t="shared" si="19"/>
        <v>DAURDE</v>
      </c>
    </row>
    <row r="371" spans="2:17" hidden="1">
      <c r="B371" s="1" t="s">
        <v>456</v>
      </c>
      <c r="C371" s="1" t="s">
        <v>461</v>
      </c>
      <c r="D371" s="52">
        <v>46012.520833333336</v>
      </c>
      <c r="E371" s="52">
        <v>46012.520833333336</v>
      </c>
      <c r="F371" s="52">
        <v>46012.584027777775</v>
      </c>
      <c r="G371" s="53">
        <f t="shared" si="17"/>
        <v>6.3194444439432118E-2</v>
      </c>
      <c r="H371" s="1" t="s">
        <v>257</v>
      </c>
      <c r="J371" s="1" t="s">
        <v>258</v>
      </c>
      <c r="K371" s="1" t="str">
        <f>_xlfn.XLOOKUP(J371,REF!$D$2:$D$12,REF!$E$2:$E$12)</f>
        <v>Rede</v>
      </c>
      <c r="L371" s="1" t="s">
        <v>2116</v>
      </c>
      <c r="M371" s="1" t="s">
        <v>260</v>
      </c>
      <c r="N371" s="1" t="s">
        <v>357</v>
      </c>
      <c r="O371" s="1" t="s">
        <v>632</v>
      </c>
      <c r="P371" s="1" t="str">
        <f t="shared" si="18"/>
        <v>BC Caiaponia1SG60KTL(COM1-004)_001_01446012,520833333346012,520833333346012,5840277778</v>
      </c>
      <c r="Q371" s="1" t="str">
        <f t="shared" si="19"/>
        <v>DAURDE</v>
      </c>
    </row>
    <row r="372" spans="2:17" hidden="1">
      <c r="B372" s="1" t="s">
        <v>456</v>
      </c>
      <c r="C372" s="1" t="s">
        <v>462</v>
      </c>
      <c r="D372" s="52">
        <v>46012.520833333336</v>
      </c>
      <c r="E372" s="52">
        <v>46012.520833333336</v>
      </c>
      <c r="F372" s="52">
        <v>46012.584027777775</v>
      </c>
      <c r="G372" s="53">
        <f t="shared" si="17"/>
        <v>6.3194444439432118E-2</v>
      </c>
      <c r="H372" s="1" t="s">
        <v>257</v>
      </c>
      <c r="J372" s="1" t="s">
        <v>258</v>
      </c>
      <c r="K372" s="1" t="str">
        <f>_xlfn.XLOOKUP(J372,REF!$D$2:$D$12,REF!$E$2:$E$12)</f>
        <v>Rede</v>
      </c>
      <c r="L372" s="1" t="s">
        <v>2116</v>
      </c>
      <c r="M372" s="1" t="s">
        <v>260</v>
      </c>
      <c r="N372" s="1" t="s">
        <v>357</v>
      </c>
      <c r="O372" s="1" t="s">
        <v>632</v>
      </c>
      <c r="P372" s="1" t="str">
        <f t="shared" si="18"/>
        <v>BC Caiaponia1SG60KTL(COM1-005)_001_01746012,520833333346012,520833333346012,5840277778</v>
      </c>
      <c r="Q372" s="1" t="str">
        <f t="shared" si="19"/>
        <v>DAURDE</v>
      </c>
    </row>
    <row r="373" spans="2:17" hidden="1">
      <c r="B373" s="1" t="s">
        <v>456</v>
      </c>
      <c r="C373" s="1" t="s">
        <v>463</v>
      </c>
      <c r="D373" s="52">
        <v>46012.520833333336</v>
      </c>
      <c r="E373" s="52">
        <v>46012.520833333336</v>
      </c>
      <c r="F373" s="52">
        <v>46012.584027777775</v>
      </c>
      <c r="G373" s="53">
        <f t="shared" si="17"/>
        <v>6.3194444439432118E-2</v>
      </c>
      <c r="H373" s="1" t="s">
        <v>257</v>
      </c>
      <c r="J373" s="1" t="s">
        <v>258</v>
      </c>
      <c r="K373" s="1" t="str">
        <f>_xlfn.XLOOKUP(J373,REF!$D$2:$D$12,REF!$E$2:$E$12)</f>
        <v>Rede</v>
      </c>
      <c r="L373" s="1" t="s">
        <v>2116</v>
      </c>
      <c r="M373" s="1" t="s">
        <v>260</v>
      </c>
      <c r="N373" s="1" t="s">
        <v>357</v>
      </c>
      <c r="O373" s="1" t="s">
        <v>632</v>
      </c>
      <c r="P373" s="1" t="str">
        <f t="shared" si="18"/>
        <v>BC Caiaponia1SG60KTL(COM1-006)_001_01646012,520833333346012,520833333346012,5840277778</v>
      </c>
      <c r="Q373" s="1" t="str">
        <f t="shared" si="19"/>
        <v>DAURDE</v>
      </c>
    </row>
    <row r="374" spans="2:17" hidden="1">
      <c r="B374" s="1" t="s">
        <v>456</v>
      </c>
      <c r="C374" s="1" t="s">
        <v>464</v>
      </c>
      <c r="D374" s="52">
        <v>46012.520833333336</v>
      </c>
      <c r="E374" s="52">
        <v>46012.520833333336</v>
      </c>
      <c r="F374" s="52">
        <v>46012.584027777775</v>
      </c>
      <c r="G374" s="53">
        <f t="shared" si="17"/>
        <v>6.3194444439432118E-2</v>
      </c>
      <c r="H374" s="1" t="s">
        <v>257</v>
      </c>
      <c r="J374" s="1" t="s">
        <v>258</v>
      </c>
      <c r="K374" s="1" t="str">
        <f>_xlfn.XLOOKUP(J374,REF!$D$2:$D$12,REF!$E$2:$E$12)</f>
        <v>Rede</v>
      </c>
      <c r="L374" s="1" t="s">
        <v>2116</v>
      </c>
      <c r="M374" s="1" t="s">
        <v>260</v>
      </c>
      <c r="N374" s="1" t="s">
        <v>357</v>
      </c>
      <c r="O374" s="1" t="s">
        <v>632</v>
      </c>
      <c r="P374" s="1" t="str">
        <f t="shared" si="18"/>
        <v>BC Caiaponia1SG60KTL(COM1-007)_001_01346012,520833333346012,520833333346012,5840277778</v>
      </c>
      <c r="Q374" s="1" t="str">
        <f t="shared" si="19"/>
        <v>DAURDE</v>
      </c>
    </row>
    <row r="375" spans="2:17" hidden="1">
      <c r="B375" s="1" t="s">
        <v>456</v>
      </c>
      <c r="C375" s="1" t="s">
        <v>465</v>
      </c>
      <c r="D375" s="52">
        <v>46012.520833333336</v>
      </c>
      <c r="E375" s="52">
        <v>46012.520833333336</v>
      </c>
      <c r="F375" s="52">
        <v>46012.584027777775</v>
      </c>
      <c r="G375" s="53">
        <f t="shared" si="17"/>
        <v>6.3194444439432118E-2</v>
      </c>
      <c r="H375" s="1" t="s">
        <v>257</v>
      </c>
      <c r="J375" s="1" t="s">
        <v>258</v>
      </c>
      <c r="K375" s="1" t="str">
        <f>_xlfn.XLOOKUP(J375,REF!$D$2:$D$12,REF!$E$2:$E$12)</f>
        <v>Rede</v>
      </c>
      <c r="L375" s="1" t="s">
        <v>2116</v>
      </c>
      <c r="M375" s="1" t="s">
        <v>260</v>
      </c>
      <c r="N375" s="1" t="s">
        <v>357</v>
      </c>
      <c r="O375" s="1" t="s">
        <v>632</v>
      </c>
      <c r="P375" s="1" t="str">
        <f t="shared" si="18"/>
        <v>BC Caiaponia1SG60KTL(COM1-008)_001_00146012,520833333346012,520833333346012,5840277778</v>
      </c>
      <c r="Q375" s="1" t="str">
        <f t="shared" si="19"/>
        <v>DAURDE</v>
      </c>
    </row>
    <row r="376" spans="2:17" hidden="1">
      <c r="B376" s="1" t="s">
        <v>309</v>
      </c>
      <c r="C376" s="1" t="s">
        <v>310</v>
      </c>
      <c r="D376" s="52">
        <v>46011.084027777775</v>
      </c>
      <c r="E376" s="52">
        <v>46011.084027777775</v>
      </c>
      <c r="F376" s="52">
        <v>46011.34375</v>
      </c>
      <c r="G376" s="53">
        <f t="shared" si="17"/>
        <v>0.25972222222480923</v>
      </c>
      <c r="H376" s="1" t="s">
        <v>257</v>
      </c>
      <c r="J376" s="1" t="s">
        <v>258</v>
      </c>
      <c r="K376" s="1" t="str">
        <f>_xlfn.XLOOKUP(J376,REF!$D$2:$D$12,REF!$E$2:$E$12)</f>
        <v>Rede</v>
      </c>
      <c r="L376" s="1" t="s">
        <v>2089</v>
      </c>
      <c r="M376" s="1" t="s">
        <v>260</v>
      </c>
      <c r="N376" s="1" t="s">
        <v>261</v>
      </c>
      <c r="O376" s="1" t="s">
        <v>2090</v>
      </c>
      <c r="P376" s="1" t="str">
        <f t="shared" si="18"/>
        <v>ARAGUATINS 1.3Inverter(MBUS-20)46011,084027777846011,084027777846011,34375</v>
      </c>
      <c r="Q376" s="1" t="str">
        <f t="shared" si="19"/>
        <v>DAURDE</v>
      </c>
    </row>
    <row r="377" spans="2:17" hidden="1">
      <c r="B377" s="1" t="s">
        <v>309</v>
      </c>
      <c r="C377" s="1" t="s">
        <v>247</v>
      </c>
      <c r="D377" s="52">
        <v>46011.084027777775</v>
      </c>
      <c r="E377" s="52">
        <v>46011.084027777775</v>
      </c>
      <c r="F377" s="52">
        <v>46011.34375</v>
      </c>
      <c r="G377" s="53">
        <f t="shared" si="17"/>
        <v>0.25972222222480923</v>
      </c>
      <c r="H377" s="1" t="s">
        <v>257</v>
      </c>
      <c r="J377" s="1" t="s">
        <v>258</v>
      </c>
      <c r="K377" s="1" t="str">
        <f>_xlfn.XLOOKUP(J377,REF!$D$2:$D$12,REF!$E$2:$E$12)</f>
        <v>Rede</v>
      </c>
      <c r="L377" s="1" t="s">
        <v>2089</v>
      </c>
      <c r="M377" s="1" t="s">
        <v>260</v>
      </c>
      <c r="N377" s="1" t="s">
        <v>261</v>
      </c>
      <c r="O377" s="1" t="s">
        <v>2090</v>
      </c>
      <c r="P377" s="1" t="str">
        <f t="shared" si="18"/>
        <v>ARAGUATINS 1.3Inverter(MBUS-1)46011,084027777846011,084027777846011,34375</v>
      </c>
      <c r="Q377" s="1" t="str">
        <f t="shared" si="19"/>
        <v>DAURDE</v>
      </c>
    </row>
    <row r="378" spans="2:17" hidden="1">
      <c r="B378" s="1" t="s">
        <v>495</v>
      </c>
      <c r="C378" s="1" t="s">
        <v>496</v>
      </c>
      <c r="D378" s="52">
        <v>46008.288888888892</v>
      </c>
      <c r="E378" s="52">
        <v>46008.288888888892</v>
      </c>
      <c r="F378" s="52">
        <v>46008.309027777781</v>
      </c>
      <c r="G378" s="53">
        <f t="shared" si="17"/>
        <v>2.0138888889050577E-2</v>
      </c>
      <c r="H378" s="1" t="s">
        <v>257</v>
      </c>
      <c r="J378" s="1" t="s">
        <v>258</v>
      </c>
      <c r="K378" s="1" t="str">
        <f>_xlfn.XLOOKUP(J378,REF!$D$2:$D$12,REF!$E$2:$E$12)</f>
        <v>Rede</v>
      </c>
      <c r="L378" s="1" t="s">
        <v>2089</v>
      </c>
      <c r="M378" s="1" t="s">
        <v>260</v>
      </c>
      <c r="N378" s="1" t="s">
        <v>261</v>
      </c>
      <c r="O378" s="1" t="s">
        <v>2090</v>
      </c>
      <c r="P378" s="1" t="str">
        <f t="shared" si="18"/>
        <v>BC Rio Bonito1SG36KTL-M-17_001_01746008,288888888946008,288888888946008,3090277778</v>
      </c>
      <c r="Q378" s="1" t="str">
        <f t="shared" si="19"/>
        <v>DAURDE</v>
      </c>
    </row>
    <row r="379" spans="2:17" hidden="1">
      <c r="B379" s="1" t="s">
        <v>495</v>
      </c>
      <c r="C379" s="1" t="s">
        <v>501</v>
      </c>
      <c r="D379" s="52">
        <v>46008.288888888892</v>
      </c>
      <c r="E379" s="52">
        <v>46008.288888888892</v>
      </c>
      <c r="F379" s="52">
        <v>46008.309027777781</v>
      </c>
      <c r="G379" s="53">
        <f t="shared" si="17"/>
        <v>2.0138888889050577E-2</v>
      </c>
      <c r="H379" s="1" t="s">
        <v>257</v>
      </c>
      <c r="J379" s="1" t="s">
        <v>258</v>
      </c>
      <c r="K379" s="1" t="str">
        <f>_xlfn.XLOOKUP(J379,REF!$D$2:$D$12,REF!$E$2:$E$12)</f>
        <v>Rede</v>
      </c>
      <c r="L379" s="1" t="s">
        <v>2089</v>
      </c>
      <c r="M379" s="1" t="s">
        <v>260</v>
      </c>
      <c r="N379" s="1" t="s">
        <v>261</v>
      </c>
      <c r="O379" s="1" t="s">
        <v>2090</v>
      </c>
      <c r="P379" s="1" t="str">
        <f t="shared" si="18"/>
        <v>BC Rio Bonito1SG60KTL-10_001_01046008,288888888946008,288888888946008,3090277778</v>
      </c>
      <c r="Q379" s="1" t="str">
        <f t="shared" si="19"/>
        <v>DAURDE</v>
      </c>
    </row>
    <row r="380" spans="2:17" hidden="1">
      <c r="B380" s="1" t="s">
        <v>495</v>
      </c>
      <c r="C380" s="1" t="s">
        <v>502</v>
      </c>
      <c r="D380" s="52">
        <v>46008.288888888892</v>
      </c>
      <c r="E380" s="52">
        <v>46008.288888888892</v>
      </c>
      <c r="F380" s="52">
        <v>46008.309027777781</v>
      </c>
      <c r="G380" s="53">
        <f t="shared" ref="G380:G443" si="22">F380-E380</f>
        <v>2.0138888889050577E-2</v>
      </c>
      <c r="H380" s="1" t="s">
        <v>257</v>
      </c>
      <c r="J380" s="1" t="s">
        <v>258</v>
      </c>
      <c r="K380" s="1" t="str">
        <f>_xlfn.XLOOKUP(J380,REF!$D$2:$D$12,REF!$E$2:$E$12)</f>
        <v>Rede</v>
      </c>
      <c r="L380" s="1" t="s">
        <v>2089</v>
      </c>
      <c r="M380" s="1" t="s">
        <v>260</v>
      </c>
      <c r="N380" s="1" t="s">
        <v>261</v>
      </c>
      <c r="O380" s="1" t="s">
        <v>2090</v>
      </c>
      <c r="P380" s="1" t="str">
        <f t="shared" si="18"/>
        <v>BC Rio Bonito1SG60KTL-11_001_01146008,288888888946008,288888888946008,3090277778</v>
      </c>
      <c r="Q380" s="1" t="str">
        <f t="shared" si="19"/>
        <v>DAURDE</v>
      </c>
    </row>
    <row r="381" spans="2:17" hidden="1">
      <c r="B381" s="1" t="s">
        <v>495</v>
      </c>
      <c r="C381" s="1" t="s">
        <v>503</v>
      </c>
      <c r="D381" s="52">
        <v>46008.288888888892</v>
      </c>
      <c r="E381" s="52">
        <v>46008.288888888892</v>
      </c>
      <c r="F381" s="52">
        <v>46008.309027777781</v>
      </c>
      <c r="G381" s="53">
        <f t="shared" si="22"/>
        <v>2.0138888889050577E-2</v>
      </c>
      <c r="H381" s="1" t="s">
        <v>257</v>
      </c>
      <c r="J381" s="1" t="s">
        <v>258</v>
      </c>
      <c r="K381" s="1" t="str">
        <f>_xlfn.XLOOKUP(J381,REF!$D$2:$D$12,REF!$E$2:$E$12)</f>
        <v>Rede</v>
      </c>
      <c r="L381" s="1" t="s">
        <v>2089</v>
      </c>
      <c r="M381" s="1" t="s">
        <v>260</v>
      </c>
      <c r="N381" s="1" t="s">
        <v>261</v>
      </c>
      <c r="O381" s="1" t="s">
        <v>2090</v>
      </c>
      <c r="P381" s="1" t="str">
        <f t="shared" si="18"/>
        <v>BC Rio Bonito1SG60KTL-12_001_01246008,288888888946008,288888888946008,3090277778</v>
      </c>
      <c r="Q381" s="1" t="str">
        <f t="shared" si="19"/>
        <v>DAURDE</v>
      </c>
    </row>
    <row r="382" spans="2:17" hidden="1">
      <c r="B382" s="1" t="s">
        <v>495</v>
      </c>
      <c r="C382" s="1" t="s">
        <v>504</v>
      </c>
      <c r="D382" s="52">
        <v>46008.288888888892</v>
      </c>
      <c r="E382" s="52">
        <v>46008.288888888892</v>
      </c>
      <c r="F382" s="52">
        <v>46008.309027777781</v>
      </c>
      <c r="G382" s="53">
        <f t="shared" si="22"/>
        <v>2.0138888889050577E-2</v>
      </c>
      <c r="H382" s="1" t="s">
        <v>257</v>
      </c>
      <c r="J382" s="1" t="s">
        <v>258</v>
      </c>
      <c r="K382" s="1" t="str">
        <f>_xlfn.XLOOKUP(J382,REF!$D$2:$D$12,REF!$E$2:$E$12)</f>
        <v>Rede</v>
      </c>
      <c r="L382" s="1" t="s">
        <v>2089</v>
      </c>
      <c r="M382" s="1" t="s">
        <v>260</v>
      </c>
      <c r="N382" s="1" t="s">
        <v>261</v>
      </c>
      <c r="O382" s="1" t="s">
        <v>2090</v>
      </c>
      <c r="P382" s="1" t="str">
        <f t="shared" si="18"/>
        <v>BC Rio Bonito1SG60KTL-13_001_01346008,288888888946008,288888888946008,3090277778</v>
      </c>
      <c r="Q382" s="1" t="str">
        <f t="shared" si="19"/>
        <v>DAURDE</v>
      </c>
    </row>
    <row r="383" spans="2:17" hidden="1">
      <c r="B383" s="1" t="s">
        <v>495</v>
      </c>
      <c r="C383" s="1" t="s">
        <v>505</v>
      </c>
      <c r="D383" s="52">
        <v>46008.288888888892</v>
      </c>
      <c r="E383" s="52">
        <v>46008.288888888892</v>
      </c>
      <c r="F383" s="52">
        <v>46008.309027777781</v>
      </c>
      <c r="G383" s="53">
        <f t="shared" si="22"/>
        <v>2.0138888889050577E-2</v>
      </c>
      <c r="H383" s="1" t="s">
        <v>257</v>
      </c>
      <c r="J383" s="1" t="s">
        <v>258</v>
      </c>
      <c r="K383" s="1" t="str">
        <f>_xlfn.XLOOKUP(J383,REF!$D$2:$D$12,REF!$E$2:$E$12)</f>
        <v>Rede</v>
      </c>
      <c r="L383" s="1" t="s">
        <v>2089</v>
      </c>
      <c r="M383" s="1" t="s">
        <v>260</v>
      </c>
      <c r="N383" s="1" t="s">
        <v>261</v>
      </c>
      <c r="O383" s="1" t="s">
        <v>2090</v>
      </c>
      <c r="P383" s="1" t="str">
        <f t="shared" si="18"/>
        <v>BC Rio Bonito1SG60KTL-14_001_01446008,288888888946008,288888888946008,3090277778</v>
      </c>
      <c r="Q383" s="1" t="str">
        <f t="shared" si="19"/>
        <v>DAURDE</v>
      </c>
    </row>
    <row r="384" spans="2:17" hidden="1">
      <c r="B384" s="1" t="s">
        <v>495</v>
      </c>
      <c r="C384" s="1" t="s">
        <v>506</v>
      </c>
      <c r="D384" s="52">
        <v>46008.288888888892</v>
      </c>
      <c r="E384" s="52">
        <v>46008.288888888892</v>
      </c>
      <c r="F384" s="52">
        <v>46008.309027777781</v>
      </c>
      <c r="G384" s="53">
        <f t="shared" si="22"/>
        <v>2.0138888889050577E-2</v>
      </c>
      <c r="H384" s="1" t="s">
        <v>257</v>
      </c>
      <c r="J384" s="1" t="s">
        <v>258</v>
      </c>
      <c r="K384" s="1" t="str">
        <f>_xlfn.XLOOKUP(J384,REF!$D$2:$D$12,REF!$E$2:$E$12)</f>
        <v>Rede</v>
      </c>
      <c r="L384" s="1" t="s">
        <v>2089</v>
      </c>
      <c r="M384" s="1" t="s">
        <v>260</v>
      </c>
      <c r="N384" s="1" t="s">
        <v>261</v>
      </c>
      <c r="O384" s="1" t="s">
        <v>2090</v>
      </c>
      <c r="P384" s="1" t="str">
        <f t="shared" si="18"/>
        <v>BC Rio Bonito1SG60KTL-15_001_01546008,288888888946008,288888888946008,3090277778</v>
      </c>
      <c r="Q384" s="1" t="str">
        <f t="shared" si="19"/>
        <v>DAURDE</v>
      </c>
    </row>
    <row r="385" spans="2:17" hidden="1">
      <c r="B385" s="1" t="s">
        <v>495</v>
      </c>
      <c r="C385" s="1" t="s">
        <v>507</v>
      </c>
      <c r="D385" s="52">
        <v>46008.288888888892</v>
      </c>
      <c r="E385" s="52">
        <v>46008.288888888892</v>
      </c>
      <c r="F385" s="52">
        <v>46008.309027777781</v>
      </c>
      <c r="G385" s="53">
        <f t="shared" si="22"/>
        <v>2.0138888889050577E-2</v>
      </c>
      <c r="H385" s="1" t="s">
        <v>257</v>
      </c>
      <c r="J385" s="1" t="s">
        <v>258</v>
      </c>
      <c r="K385" s="1" t="str">
        <f>_xlfn.XLOOKUP(J385,REF!$D$2:$D$12,REF!$E$2:$E$12)</f>
        <v>Rede</v>
      </c>
      <c r="L385" s="1" t="s">
        <v>2089</v>
      </c>
      <c r="M385" s="1" t="s">
        <v>260</v>
      </c>
      <c r="N385" s="1" t="s">
        <v>261</v>
      </c>
      <c r="O385" s="1" t="s">
        <v>2090</v>
      </c>
      <c r="P385" s="1" t="str">
        <f t="shared" si="18"/>
        <v>BC Rio Bonito1SG60KTL-16_001_01646008,288888888946008,288888888946008,3090277778</v>
      </c>
      <c r="Q385" s="1" t="str">
        <f t="shared" si="19"/>
        <v>DAURDE</v>
      </c>
    </row>
    <row r="386" spans="2:17" hidden="1">
      <c r="B386" s="1" t="s">
        <v>495</v>
      </c>
      <c r="C386" s="1" t="s">
        <v>508</v>
      </c>
      <c r="D386" s="52">
        <v>46008.288888888892</v>
      </c>
      <c r="E386" s="52">
        <v>46008.288888888892</v>
      </c>
      <c r="F386" s="52">
        <v>46008.309027777781</v>
      </c>
      <c r="G386" s="53">
        <f t="shared" si="22"/>
        <v>2.0138888889050577E-2</v>
      </c>
      <c r="H386" s="1" t="s">
        <v>257</v>
      </c>
      <c r="J386" s="1" t="s">
        <v>258</v>
      </c>
      <c r="K386" s="1" t="str">
        <f>_xlfn.XLOOKUP(J386,REF!$D$2:$D$12,REF!$E$2:$E$12)</f>
        <v>Rede</v>
      </c>
      <c r="L386" s="1" t="s">
        <v>2089</v>
      </c>
      <c r="M386" s="1" t="s">
        <v>260</v>
      </c>
      <c r="N386" s="1" t="s">
        <v>261</v>
      </c>
      <c r="O386" s="1" t="s">
        <v>2090</v>
      </c>
      <c r="P386" s="1" t="str">
        <f t="shared" si="18"/>
        <v>BC Rio Bonito1SG60KTL-1_001_00146008,288888888946008,288888888946008,3090277778</v>
      </c>
      <c r="Q386" s="1" t="str">
        <f t="shared" si="19"/>
        <v>DAURDE</v>
      </c>
    </row>
    <row r="387" spans="2:17" hidden="1">
      <c r="B387" s="1" t="s">
        <v>495</v>
      </c>
      <c r="C387" s="1" t="s">
        <v>509</v>
      </c>
      <c r="D387" s="52">
        <v>46008.288888888892</v>
      </c>
      <c r="E387" s="52">
        <v>46008.288888888892</v>
      </c>
      <c r="F387" s="52">
        <v>46008.309027777781</v>
      </c>
      <c r="G387" s="53">
        <f t="shared" si="22"/>
        <v>2.0138888889050577E-2</v>
      </c>
      <c r="H387" s="1" t="s">
        <v>257</v>
      </c>
      <c r="J387" s="1" t="s">
        <v>258</v>
      </c>
      <c r="K387" s="1" t="str">
        <f>_xlfn.XLOOKUP(J387,REF!$D$2:$D$12,REF!$E$2:$E$12)</f>
        <v>Rede</v>
      </c>
      <c r="L387" s="1" t="s">
        <v>2089</v>
      </c>
      <c r="M387" s="1" t="s">
        <v>260</v>
      </c>
      <c r="N387" s="1" t="s">
        <v>261</v>
      </c>
      <c r="O387" s="1" t="s">
        <v>2090</v>
      </c>
      <c r="P387" s="1" t="str">
        <f t="shared" ref="P387:P450" si="23">_xlfn.CONCAT(B387,C387,D387,E387,F387)</f>
        <v>BC Rio Bonito1SG60KTL-2_001_00246008,288888888946008,288888888946008,3090277778</v>
      </c>
      <c r="Q387" s="1" t="str">
        <f t="shared" ref="Q387:Q450" si="24">_xlfn.CONCAT(H387,I387,J387)</f>
        <v>DAURDE</v>
      </c>
    </row>
    <row r="388" spans="2:17" hidden="1">
      <c r="B388" s="1" t="s">
        <v>495</v>
      </c>
      <c r="C388" s="1" t="s">
        <v>510</v>
      </c>
      <c r="D388" s="52">
        <v>46008.288888888892</v>
      </c>
      <c r="E388" s="52">
        <v>46008.288888888892</v>
      </c>
      <c r="F388" s="52">
        <v>46008.309027777781</v>
      </c>
      <c r="G388" s="53">
        <f t="shared" si="22"/>
        <v>2.0138888889050577E-2</v>
      </c>
      <c r="H388" s="1" t="s">
        <v>257</v>
      </c>
      <c r="J388" s="1" t="s">
        <v>258</v>
      </c>
      <c r="K388" s="1" t="str">
        <f>_xlfn.XLOOKUP(J388,REF!$D$2:$D$12,REF!$E$2:$E$12)</f>
        <v>Rede</v>
      </c>
      <c r="L388" s="1" t="s">
        <v>2089</v>
      </c>
      <c r="M388" s="1" t="s">
        <v>260</v>
      </c>
      <c r="N388" s="1" t="s">
        <v>261</v>
      </c>
      <c r="O388" s="1" t="s">
        <v>2090</v>
      </c>
      <c r="P388" s="1" t="str">
        <f t="shared" si="23"/>
        <v>BC Rio Bonito1SG60KTL-3_001_00346008,288888888946008,288888888946008,3090277778</v>
      </c>
      <c r="Q388" s="1" t="str">
        <f t="shared" si="24"/>
        <v>DAURDE</v>
      </c>
    </row>
    <row r="389" spans="2:17" hidden="1">
      <c r="B389" s="1" t="s">
        <v>495</v>
      </c>
      <c r="C389" s="1" t="s">
        <v>511</v>
      </c>
      <c r="D389" s="52">
        <v>46008.288888888892</v>
      </c>
      <c r="E389" s="52">
        <v>46008.288888888892</v>
      </c>
      <c r="F389" s="52">
        <v>46008.309027777781</v>
      </c>
      <c r="G389" s="53">
        <f t="shared" si="22"/>
        <v>2.0138888889050577E-2</v>
      </c>
      <c r="H389" s="1" t="s">
        <v>257</v>
      </c>
      <c r="J389" s="1" t="s">
        <v>258</v>
      </c>
      <c r="K389" s="1" t="str">
        <f>_xlfn.XLOOKUP(J389,REF!$D$2:$D$12,REF!$E$2:$E$12)</f>
        <v>Rede</v>
      </c>
      <c r="L389" s="1" t="s">
        <v>2089</v>
      </c>
      <c r="M389" s="1" t="s">
        <v>260</v>
      </c>
      <c r="N389" s="1" t="s">
        <v>261</v>
      </c>
      <c r="O389" s="1" t="s">
        <v>2090</v>
      </c>
      <c r="P389" s="1" t="str">
        <f t="shared" si="23"/>
        <v>BC Rio Bonito1SG60KTL-4_001_00446008,288888888946008,288888888946008,3090277778</v>
      </c>
      <c r="Q389" s="1" t="str">
        <f t="shared" si="24"/>
        <v>DAURDE</v>
      </c>
    </row>
    <row r="390" spans="2:17" hidden="1">
      <c r="B390" s="1" t="s">
        <v>495</v>
      </c>
      <c r="C390" s="1" t="s">
        <v>512</v>
      </c>
      <c r="D390" s="52">
        <v>46008.288888888892</v>
      </c>
      <c r="E390" s="52">
        <v>46008.288888888892</v>
      </c>
      <c r="F390" s="52">
        <v>46008.309027777781</v>
      </c>
      <c r="G390" s="53">
        <f t="shared" si="22"/>
        <v>2.0138888889050577E-2</v>
      </c>
      <c r="H390" s="1" t="s">
        <v>257</v>
      </c>
      <c r="J390" s="1" t="s">
        <v>258</v>
      </c>
      <c r="K390" s="1" t="str">
        <f>_xlfn.XLOOKUP(J390,REF!$D$2:$D$12,REF!$E$2:$E$12)</f>
        <v>Rede</v>
      </c>
      <c r="L390" s="1" t="s">
        <v>2089</v>
      </c>
      <c r="M390" s="1" t="s">
        <v>260</v>
      </c>
      <c r="N390" s="1" t="s">
        <v>261</v>
      </c>
      <c r="O390" s="1" t="s">
        <v>2090</v>
      </c>
      <c r="P390" s="1" t="str">
        <f t="shared" si="23"/>
        <v>BC Rio Bonito1SG60KTL-5_001_00546008,288888888946008,288888888946008,3090277778</v>
      </c>
      <c r="Q390" s="1" t="str">
        <f t="shared" si="24"/>
        <v>DAURDE</v>
      </c>
    </row>
    <row r="391" spans="2:17" hidden="1">
      <c r="B391" s="1" t="s">
        <v>495</v>
      </c>
      <c r="C391" s="1" t="s">
        <v>513</v>
      </c>
      <c r="D391" s="52">
        <v>46008.288888888892</v>
      </c>
      <c r="E391" s="52">
        <v>46008.288888888892</v>
      </c>
      <c r="F391" s="52">
        <v>46008.309027777781</v>
      </c>
      <c r="G391" s="53">
        <f t="shared" si="22"/>
        <v>2.0138888889050577E-2</v>
      </c>
      <c r="H391" s="1" t="s">
        <v>257</v>
      </c>
      <c r="J391" s="1" t="s">
        <v>258</v>
      </c>
      <c r="K391" s="1" t="str">
        <f>_xlfn.XLOOKUP(J391,REF!$D$2:$D$12,REF!$E$2:$E$12)</f>
        <v>Rede</v>
      </c>
      <c r="L391" s="1" t="s">
        <v>2089</v>
      </c>
      <c r="M391" s="1" t="s">
        <v>260</v>
      </c>
      <c r="N391" s="1" t="s">
        <v>261</v>
      </c>
      <c r="O391" s="1" t="s">
        <v>2090</v>
      </c>
      <c r="P391" s="1" t="str">
        <f t="shared" si="23"/>
        <v>BC Rio Bonito1SG60KTL-6_001_00646008,288888888946008,288888888946008,3090277778</v>
      </c>
      <c r="Q391" s="1" t="str">
        <f t="shared" si="24"/>
        <v>DAURDE</v>
      </c>
    </row>
    <row r="392" spans="2:17" hidden="1">
      <c r="B392" s="1" t="s">
        <v>495</v>
      </c>
      <c r="C392" s="1" t="s">
        <v>514</v>
      </c>
      <c r="D392" s="52">
        <v>46008.288888888892</v>
      </c>
      <c r="E392" s="52">
        <v>46008.288888888892</v>
      </c>
      <c r="F392" s="52">
        <v>46008.309027777781</v>
      </c>
      <c r="G392" s="53">
        <f t="shared" si="22"/>
        <v>2.0138888889050577E-2</v>
      </c>
      <c r="H392" s="1" t="s">
        <v>257</v>
      </c>
      <c r="J392" s="1" t="s">
        <v>258</v>
      </c>
      <c r="K392" s="1" t="str">
        <f>_xlfn.XLOOKUP(J392,REF!$D$2:$D$12,REF!$E$2:$E$12)</f>
        <v>Rede</v>
      </c>
      <c r="L392" s="1" t="s">
        <v>2089</v>
      </c>
      <c r="M392" s="1" t="s">
        <v>260</v>
      </c>
      <c r="N392" s="1" t="s">
        <v>261</v>
      </c>
      <c r="O392" s="1" t="s">
        <v>2090</v>
      </c>
      <c r="P392" s="1" t="str">
        <f t="shared" si="23"/>
        <v>BC Rio Bonito1SG60KTL-7_001_00746008,288888888946008,288888888946008,3090277778</v>
      </c>
      <c r="Q392" s="1" t="str">
        <f t="shared" si="24"/>
        <v>DAURDE</v>
      </c>
    </row>
    <row r="393" spans="2:17" hidden="1">
      <c r="B393" s="1" t="s">
        <v>495</v>
      </c>
      <c r="C393" s="1" t="s">
        <v>515</v>
      </c>
      <c r="D393" s="52">
        <v>46008.288888888892</v>
      </c>
      <c r="E393" s="52">
        <v>46008.288888888892</v>
      </c>
      <c r="F393" s="52">
        <v>46008.309027777781</v>
      </c>
      <c r="G393" s="53">
        <f t="shared" si="22"/>
        <v>2.0138888889050577E-2</v>
      </c>
      <c r="H393" s="1" t="s">
        <v>257</v>
      </c>
      <c r="J393" s="1" t="s">
        <v>258</v>
      </c>
      <c r="K393" s="1" t="str">
        <f>_xlfn.XLOOKUP(J393,REF!$D$2:$D$12,REF!$E$2:$E$12)</f>
        <v>Rede</v>
      </c>
      <c r="L393" s="1" t="s">
        <v>2089</v>
      </c>
      <c r="M393" s="1" t="s">
        <v>260</v>
      </c>
      <c r="N393" s="1" t="s">
        <v>261</v>
      </c>
      <c r="O393" s="1" t="s">
        <v>2090</v>
      </c>
      <c r="P393" s="1" t="str">
        <f t="shared" si="23"/>
        <v>BC Rio Bonito1SG60KTL-8_001_00846008,288888888946008,288888888946008,3090277778</v>
      </c>
      <c r="Q393" s="1" t="str">
        <f t="shared" si="24"/>
        <v>DAURDE</v>
      </c>
    </row>
    <row r="394" spans="2:17" hidden="1">
      <c r="B394" s="1" t="s">
        <v>495</v>
      </c>
      <c r="C394" s="1" t="s">
        <v>516</v>
      </c>
      <c r="D394" s="52">
        <v>46008.288888888892</v>
      </c>
      <c r="E394" s="52">
        <v>46008.288888888892</v>
      </c>
      <c r="F394" s="52">
        <v>46008.309027777781</v>
      </c>
      <c r="G394" s="53">
        <f t="shared" si="22"/>
        <v>2.0138888889050577E-2</v>
      </c>
      <c r="H394" s="1" t="s">
        <v>257</v>
      </c>
      <c r="J394" s="1" t="s">
        <v>258</v>
      </c>
      <c r="K394" s="1" t="str">
        <f>_xlfn.XLOOKUP(J394,REF!$D$2:$D$12,REF!$E$2:$E$12)</f>
        <v>Rede</v>
      </c>
      <c r="L394" s="1" t="s">
        <v>2089</v>
      </c>
      <c r="M394" s="1" t="s">
        <v>260</v>
      </c>
      <c r="N394" s="1" t="s">
        <v>261</v>
      </c>
      <c r="O394" s="1" t="s">
        <v>2090</v>
      </c>
      <c r="P394" s="1" t="str">
        <f t="shared" si="23"/>
        <v>BC Rio Bonito1SG60KTL-9_001_00946008,288888888946008,288888888946008,3090277778</v>
      </c>
      <c r="Q394" s="1" t="str">
        <f t="shared" si="24"/>
        <v>DAURDE</v>
      </c>
    </row>
    <row r="395" spans="2:17" hidden="1">
      <c r="B395" s="1" t="s">
        <v>698</v>
      </c>
      <c r="C395" s="1" t="s">
        <v>256</v>
      </c>
      <c r="D395" s="52">
        <v>46005.559027777781</v>
      </c>
      <c r="E395" s="52">
        <v>46005.559027777781</v>
      </c>
      <c r="F395" s="52">
        <v>46005.604166666664</v>
      </c>
      <c r="G395" s="53">
        <f t="shared" si="22"/>
        <v>4.5138888883229811E-2</v>
      </c>
      <c r="H395" s="1" t="s">
        <v>257</v>
      </c>
      <c r="J395" s="1" t="s">
        <v>258</v>
      </c>
      <c r="K395" s="1" t="str">
        <f>_xlfn.XLOOKUP(J395,REF!$D$2:$D$12,REF!$E$2:$E$12)</f>
        <v>Rede</v>
      </c>
      <c r="L395" s="1" t="s">
        <v>2089</v>
      </c>
      <c r="M395" s="1" t="s">
        <v>260</v>
      </c>
      <c r="N395" s="1" t="s">
        <v>261</v>
      </c>
      <c r="O395" s="1" t="s">
        <v>2090</v>
      </c>
      <c r="P395" s="1" t="str">
        <f t="shared" si="23"/>
        <v>BC Turvania1.1Inverter(MBUS-12)46005,559027777846005,559027777846005,6041666667</v>
      </c>
      <c r="Q395" s="1" t="str">
        <f t="shared" si="24"/>
        <v>DAURDE</v>
      </c>
    </row>
    <row r="396" spans="2:17" hidden="1">
      <c r="B396" s="1" t="s">
        <v>698</v>
      </c>
      <c r="C396" s="1" t="s">
        <v>264</v>
      </c>
      <c r="D396" s="52">
        <v>46005.559027777781</v>
      </c>
      <c r="E396" s="52">
        <v>46005.559027777781</v>
      </c>
      <c r="F396" s="52">
        <v>46005.604166666664</v>
      </c>
      <c r="G396" s="53">
        <f t="shared" si="22"/>
        <v>4.5138888883229811E-2</v>
      </c>
      <c r="H396" s="1" t="s">
        <v>257</v>
      </c>
      <c r="J396" s="1" t="s">
        <v>258</v>
      </c>
      <c r="K396" s="1" t="str">
        <f>_xlfn.XLOOKUP(J396,REF!$D$2:$D$12,REF!$E$2:$E$12)</f>
        <v>Rede</v>
      </c>
      <c r="L396" s="1" t="s">
        <v>2089</v>
      </c>
      <c r="M396" s="1" t="s">
        <v>260</v>
      </c>
      <c r="N396" s="1" t="s">
        <v>261</v>
      </c>
      <c r="O396" s="1" t="s">
        <v>2090</v>
      </c>
      <c r="P396" s="1" t="str">
        <f t="shared" si="23"/>
        <v>BC Turvania1.1Inverter(MBUS-13)46005,559027777846005,559027777846005,6041666667</v>
      </c>
      <c r="Q396" s="1" t="str">
        <f t="shared" si="24"/>
        <v>DAURDE</v>
      </c>
    </row>
    <row r="397" spans="2:17" hidden="1">
      <c r="B397" s="1" t="s">
        <v>698</v>
      </c>
      <c r="C397" s="1" t="s">
        <v>263</v>
      </c>
      <c r="D397" s="52">
        <v>46005.559027777781</v>
      </c>
      <c r="E397" s="52">
        <v>46005.559027777781</v>
      </c>
      <c r="F397" s="52">
        <v>46005.604166666664</v>
      </c>
      <c r="G397" s="53">
        <f t="shared" si="22"/>
        <v>4.5138888883229811E-2</v>
      </c>
      <c r="H397" s="1" t="s">
        <v>257</v>
      </c>
      <c r="J397" s="1" t="s">
        <v>258</v>
      </c>
      <c r="K397" s="1" t="str">
        <f>_xlfn.XLOOKUP(J397,REF!$D$2:$D$12,REF!$E$2:$E$12)</f>
        <v>Rede</v>
      </c>
      <c r="L397" s="1" t="s">
        <v>2089</v>
      </c>
      <c r="M397" s="1" t="s">
        <v>260</v>
      </c>
      <c r="N397" s="1" t="s">
        <v>261</v>
      </c>
      <c r="O397" s="1" t="s">
        <v>2090</v>
      </c>
      <c r="P397" s="1" t="str">
        <f t="shared" si="23"/>
        <v>BC Turvania1.1Inverter(MBUS-14)46005,559027777846005,559027777846005,6041666667</v>
      </c>
      <c r="Q397" s="1" t="str">
        <f t="shared" si="24"/>
        <v>DAURDE</v>
      </c>
    </row>
    <row r="398" spans="2:17" hidden="1">
      <c r="B398" s="1" t="s">
        <v>698</v>
      </c>
      <c r="C398" s="1" t="s">
        <v>307</v>
      </c>
      <c r="D398" s="52">
        <v>46005.559027777781</v>
      </c>
      <c r="E398" s="52">
        <v>46005.559027777781</v>
      </c>
      <c r="F398" s="52">
        <v>46005.604166666664</v>
      </c>
      <c r="G398" s="53">
        <f t="shared" si="22"/>
        <v>4.5138888883229811E-2</v>
      </c>
      <c r="H398" s="1" t="s">
        <v>257</v>
      </c>
      <c r="J398" s="1" t="s">
        <v>258</v>
      </c>
      <c r="K398" s="1" t="str">
        <f>_xlfn.XLOOKUP(J398,REF!$D$2:$D$12,REF!$E$2:$E$12)</f>
        <v>Rede</v>
      </c>
      <c r="L398" s="1" t="s">
        <v>2089</v>
      </c>
      <c r="M398" s="1" t="s">
        <v>260</v>
      </c>
      <c r="N398" s="1" t="s">
        <v>261</v>
      </c>
      <c r="O398" s="1" t="s">
        <v>2090</v>
      </c>
      <c r="P398" s="1" t="str">
        <f t="shared" si="23"/>
        <v>BC Turvania1.1Inverter(MBUS-15)46005,559027777846005,559027777846005,6041666667</v>
      </c>
      <c r="Q398" s="1" t="str">
        <f t="shared" si="24"/>
        <v>DAURDE</v>
      </c>
    </row>
    <row r="399" spans="2:17" hidden="1">
      <c r="B399" s="1" t="s">
        <v>805</v>
      </c>
      <c r="C399" s="1" t="s">
        <v>264</v>
      </c>
      <c r="D399" s="52">
        <v>46005.23541666667</v>
      </c>
      <c r="E399" s="52">
        <v>46005.23541666667</v>
      </c>
      <c r="F399" s="52">
        <v>46005.430555555555</v>
      </c>
      <c r="G399" s="53">
        <f t="shared" si="22"/>
        <v>0.195138888884685</v>
      </c>
      <c r="H399" s="1" t="s">
        <v>257</v>
      </c>
      <c r="J399" s="1" t="s">
        <v>258</v>
      </c>
      <c r="K399" s="1" t="str">
        <f>_xlfn.XLOOKUP(J399,REF!$D$2:$D$12,REF!$E$2:$E$12)</f>
        <v>Rede</v>
      </c>
      <c r="L399" s="1" t="s">
        <v>2089</v>
      </c>
      <c r="M399" s="1" t="s">
        <v>260</v>
      </c>
      <c r="N399" s="1" t="s">
        <v>261</v>
      </c>
      <c r="O399" s="1" t="s">
        <v>2090</v>
      </c>
      <c r="P399" s="1" t="str">
        <f t="shared" si="23"/>
        <v>BC Formoso1.2Inverter(MBUS-13)46005,235416666746005,235416666746005,4305555556</v>
      </c>
      <c r="Q399" s="1" t="str">
        <f t="shared" si="24"/>
        <v>DAURDE</v>
      </c>
    </row>
    <row r="400" spans="2:17" hidden="1">
      <c r="B400" s="1" t="s">
        <v>805</v>
      </c>
      <c r="C400" s="1" t="s">
        <v>256</v>
      </c>
      <c r="D400" s="52">
        <v>46005.23541666667</v>
      </c>
      <c r="E400" s="52">
        <v>46005.23541666667</v>
      </c>
      <c r="F400" s="52">
        <v>46005.430555555555</v>
      </c>
      <c r="G400" s="53">
        <f t="shared" si="22"/>
        <v>0.195138888884685</v>
      </c>
      <c r="H400" s="1" t="s">
        <v>257</v>
      </c>
      <c r="J400" s="1" t="s">
        <v>258</v>
      </c>
      <c r="K400" s="1" t="str">
        <f>_xlfn.XLOOKUP(J400,REF!$D$2:$D$12,REF!$E$2:$E$12)</f>
        <v>Rede</v>
      </c>
      <c r="L400" s="1" t="s">
        <v>2089</v>
      </c>
      <c r="M400" s="1" t="s">
        <v>260</v>
      </c>
      <c r="N400" s="1" t="s">
        <v>261</v>
      </c>
      <c r="O400" s="1" t="s">
        <v>2090</v>
      </c>
      <c r="P400" s="1" t="str">
        <f t="shared" si="23"/>
        <v>BC Formoso1.2Inverter(MBUS-12)46005,235416666746005,235416666746005,4305555556</v>
      </c>
      <c r="Q400" s="1" t="str">
        <f t="shared" si="24"/>
        <v>DAURDE</v>
      </c>
    </row>
    <row r="401" spans="2:17" hidden="1">
      <c r="B401" s="1" t="s">
        <v>805</v>
      </c>
      <c r="C401" s="1" t="s">
        <v>307</v>
      </c>
      <c r="D401" s="52">
        <v>46005.23541666667</v>
      </c>
      <c r="E401" s="52">
        <v>46005.23541666667</v>
      </c>
      <c r="F401" s="52">
        <v>46005.430555555555</v>
      </c>
      <c r="G401" s="53">
        <f t="shared" si="22"/>
        <v>0.195138888884685</v>
      </c>
      <c r="H401" s="1" t="s">
        <v>257</v>
      </c>
      <c r="J401" s="1" t="s">
        <v>258</v>
      </c>
      <c r="K401" s="1" t="str">
        <f>_xlfn.XLOOKUP(J401,REF!$D$2:$D$12,REF!$E$2:$E$12)</f>
        <v>Rede</v>
      </c>
      <c r="L401" s="1" t="s">
        <v>2089</v>
      </c>
      <c r="M401" s="1" t="s">
        <v>260</v>
      </c>
      <c r="N401" s="1" t="s">
        <v>261</v>
      </c>
      <c r="O401" s="1" t="s">
        <v>2090</v>
      </c>
      <c r="P401" s="1" t="str">
        <f t="shared" si="23"/>
        <v>BC Formoso1.2Inverter(MBUS-15)46005,235416666746005,235416666746005,4305555556</v>
      </c>
      <c r="Q401" s="1" t="str">
        <f t="shared" si="24"/>
        <v>DAURDE</v>
      </c>
    </row>
    <row r="402" spans="2:17" hidden="1">
      <c r="B402" s="1" t="s">
        <v>805</v>
      </c>
      <c r="C402" s="1" t="s">
        <v>263</v>
      </c>
      <c r="D402" s="52">
        <v>46005.23541666667</v>
      </c>
      <c r="E402" s="52">
        <v>46005.23541666667</v>
      </c>
      <c r="F402" s="52">
        <v>46005.430555555555</v>
      </c>
      <c r="G402" s="53">
        <f t="shared" si="22"/>
        <v>0.195138888884685</v>
      </c>
      <c r="H402" s="1" t="s">
        <v>257</v>
      </c>
      <c r="J402" s="1" t="s">
        <v>258</v>
      </c>
      <c r="K402" s="1" t="str">
        <f>_xlfn.XLOOKUP(J402,REF!$D$2:$D$12,REF!$E$2:$E$12)</f>
        <v>Rede</v>
      </c>
      <c r="L402" s="1" t="s">
        <v>2089</v>
      </c>
      <c r="M402" s="1" t="s">
        <v>260</v>
      </c>
      <c r="N402" s="1" t="s">
        <v>261</v>
      </c>
      <c r="O402" s="1" t="s">
        <v>2090</v>
      </c>
      <c r="P402" s="1" t="str">
        <f t="shared" si="23"/>
        <v>BC Formoso1.2Inverter(MBUS-14)46005,235416666746005,235416666746005,4305555556</v>
      </c>
      <c r="Q402" s="1" t="str">
        <f t="shared" si="24"/>
        <v>DAURDE</v>
      </c>
    </row>
    <row r="403" spans="2:17" hidden="1">
      <c r="B403" s="1" t="s">
        <v>806</v>
      </c>
      <c r="C403" s="1" t="s">
        <v>264</v>
      </c>
      <c r="D403" s="52">
        <v>46005.23541666667</v>
      </c>
      <c r="E403" s="52">
        <v>46005.23541666667</v>
      </c>
      <c r="F403" s="52">
        <v>46005.430555555555</v>
      </c>
      <c r="G403" s="53">
        <f t="shared" si="22"/>
        <v>0.195138888884685</v>
      </c>
      <c r="H403" s="1" t="s">
        <v>257</v>
      </c>
      <c r="J403" s="1" t="s">
        <v>258</v>
      </c>
      <c r="K403" s="1" t="str">
        <f>_xlfn.XLOOKUP(J403,REF!$D$2:$D$12,REF!$E$2:$E$12)</f>
        <v>Rede</v>
      </c>
      <c r="L403" s="1" t="s">
        <v>2089</v>
      </c>
      <c r="M403" s="1" t="s">
        <v>260</v>
      </c>
      <c r="N403" s="1" t="s">
        <v>261</v>
      </c>
      <c r="O403" s="1" t="s">
        <v>2090</v>
      </c>
      <c r="P403" s="1" t="str">
        <f t="shared" si="23"/>
        <v>BC Formoso1.3Inverter(MBUS-13)46005,235416666746005,235416666746005,4305555556</v>
      </c>
      <c r="Q403" s="1" t="str">
        <f t="shared" si="24"/>
        <v>DAURDE</v>
      </c>
    </row>
    <row r="404" spans="2:17" hidden="1">
      <c r="B404" s="1" t="s">
        <v>806</v>
      </c>
      <c r="C404" s="1" t="s">
        <v>256</v>
      </c>
      <c r="D404" s="52">
        <v>46005.23541666667</v>
      </c>
      <c r="E404" s="52">
        <v>46005.23541666667</v>
      </c>
      <c r="F404" s="52">
        <v>46005.430555555555</v>
      </c>
      <c r="G404" s="53">
        <f t="shared" si="22"/>
        <v>0.195138888884685</v>
      </c>
      <c r="H404" s="1" t="s">
        <v>257</v>
      </c>
      <c r="J404" s="1" t="s">
        <v>258</v>
      </c>
      <c r="K404" s="1" t="str">
        <f>_xlfn.XLOOKUP(J404,REF!$D$2:$D$12,REF!$E$2:$E$12)</f>
        <v>Rede</v>
      </c>
      <c r="L404" s="1" t="s">
        <v>2089</v>
      </c>
      <c r="M404" s="1" t="s">
        <v>260</v>
      </c>
      <c r="N404" s="1" t="s">
        <v>261</v>
      </c>
      <c r="O404" s="1" t="s">
        <v>2090</v>
      </c>
      <c r="P404" s="1" t="str">
        <f t="shared" si="23"/>
        <v>BC Formoso1.3Inverter(MBUS-12)46005,235416666746005,235416666746005,4305555556</v>
      </c>
      <c r="Q404" s="1" t="str">
        <f t="shared" si="24"/>
        <v>DAURDE</v>
      </c>
    </row>
    <row r="405" spans="2:17" hidden="1">
      <c r="B405" s="1" t="s">
        <v>265</v>
      </c>
      <c r="C405" s="1" t="s">
        <v>263</v>
      </c>
      <c r="D405" s="52">
        <v>46005.23541666667</v>
      </c>
      <c r="E405" s="52">
        <v>46005.23541666667</v>
      </c>
      <c r="F405" s="52">
        <v>46005.430555555555</v>
      </c>
      <c r="G405" s="53">
        <f t="shared" si="22"/>
        <v>0.195138888884685</v>
      </c>
      <c r="H405" s="1" t="s">
        <v>257</v>
      </c>
      <c r="J405" s="1" t="s">
        <v>258</v>
      </c>
      <c r="K405" s="1" t="str">
        <f>_xlfn.XLOOKUP(J405,REF!$D$2:$D$12,REF!$E$2:$E$12)</f>
        <v>Rede</v>
      </c>
      <c r="L405" s="1" t="s">
        <v>2089</v>
      </c>
      <c r="M405" s="1" t="s">
        <v>260</v>
      </c>
      <c r="N405" s="1" t="s">
        <v>261</v>
      </c>
      <c r="O405" s="1" t="s">
        <v>2090</v>
      </c>
      <c r="P405" s="1" t="str">
        <f t="shared" si="23"/>
        <v>BC Formoso2.2Inverter(MBUS-14)46005,235416666746005,235416666746005,4305555556</v>
      </c>
      <c r="Q405" s="1" t="str">
        <f t="shared" si="24"/>
        <v>DAURDE</v>
      </c>
    </row>
    <row r="406" spans="2:17" hidden="1">
      <c r="B406" s="1" t="s">
        <v>265</v>
      </c>
      <c r="C406" s="1" t="s">
        <v>264</v>
      </c>
      <c r="D406" s="52">
        <v>46005.23541666667</v>
      </c>
      <c r="E406" s="52">
        <v>46005.23541666667</v>
      </c>
      <c r="F406" s="52">
        <v>46005.430555555555</v>
      </c>
      <c r="G406" s="53">
        <f t="shared" si="22"/>
        <v>0.195138888884685</v>
      </c>
      <c r="H406" s="1" t="s">
        <v>257</v>
      </c>
      <c r="J406" s="1" t="s">
        <v>258</v>
      </c>
      <c r="K406" s="1" t="str">
        <f>_xlfn.XLOOKUP(J406,REF!$D$2:$D$12,REF!$E$2:$E$12)</f>
        <v>Rede</v>
      </c>
      <c r="L406" s="1" t="s">
        <v>2089</v>
      </c>
      <c r="M406" s="1" t="s">
        <v>260</v>
      </c>
      <c r="N406" s="1" t="s">
        <v>261</v>
      </c>
      <c r="O406" s="1" t="s">
        <v>2090</v>
      </c>
      <c r="P406" s="1" t="str">
        <f t="shared" si="23"/>
        <v>BC Formoso2.2Inverter(MBUS-13)46005,235416666746005,235416666746005,4305555556</v>
      </c>
      <c r="Q406" s="1" t="str">
        <f t="shared" si="24"/>
        <v>DAURDE</v>
      </c>
    </row>
    <row r="407" spans="2:17" hidden="1">
      <c r="B407" s="1" t="s">
        <v>265</v>
      </c>
      <c r="C407" s="1" t="s">
        <v>256</v>
      </c>
      <c r="D407" s="52">
        <v>46005.23541666667</v>
      </c>
      <c r="E407" s="52">
        <v>46005.23541666667</v>
      </c>
      <c r="F407" s="52">
        <v>46005.430555555555</v>
      </c>
      <c r="G407" s="53">
        <f t="shared" si="22"/>
        <v>0.195138888884685</v>
      </c>
      <c r="H407" s="1" t="s">
        <v>257</v>
      </c>
      <c r="J407" s="1" t="s">
        <v>258</v>
      </c>
      <c r="K407" s="1" t="str">
        <f>_xlfn.XLOOKUP(J407,REF!$D$2:$D$12,REF!$E$2:$E$12)</f>
        <v>Rede</v>
      </c>
      <c r="L407" s="1" t="s">
        <v>2089</v>
      </c>
      <c r="M407" s="1" t="s">
        <v>260</v>
      </c>
      <c r="N407" s="1" t="s">
        <v>261</v>
      </c>
      <c r="O407" s="1" t="s">
        <v>2090</v>
      </c>
      <c r="P407" s="1" t="str">
        <f t="shared" si="23"/>
        <v>BC Formoso2.2Inverter(MBUS-12)46005,235416666746005,235416666746005,4305555556</v>
      </c>
      <c r="Q407" s="1" t="str">
        <f t="shared" si="24"/>
        <v>DAURDE</v>
      </c>
    </row>
    <row r="408" spans="2:17" hidden="1">
      <c r="B408" s="1" t="s">
        <v>265</v>
      </c>
      <c r="C408" s="1" t="s">
        <v>247</v>
      </c>
      <c r="D408" s="52">
        <v>46005.23541666667</v>
      </c>
      <c r="E408" s="52">
        <v>46005.23541666667</v>
      </c>
      <c r="F408" s="52">
        <v>46005.430555555555</v>
      </c>
      <c r="G408" s="53">
        <f t="shared" si="22"/>
        <v>0.195138888884685</v>
      </c>
      <c r="H408" s="1" t="s">
        <v>257</v>
      </c>
      <c r="J408" s="1" t="s">
        <v>258</v>
      </c>
      <c r="K408" s="1" t="str">
        <f>_xlfn.XLOOKUP(J408,REF!$D$2:$D$12,REF!$E$2:$E$12)</f>
        <v>Rede</v>
      </c>
      <c r="L408" s="1" t="s">
        <v>2089</v>
      </c>
      <c r="M408" s="1" t="s">
        <v>260</v>
      </c>
      <c r="N408" s="1" t="s">
        <v>261</v>
      </c>
      <c r="O408" s="1" t="s">
        <v>2090</v>
      </c>
      <c r="P408" s="1" t="str">
        <f t="shared" si="23"/>
        <v>BC Formoso2.2Inverter(MBUS-1)46005,235416666746005,235416666746005,4305555556</v>
      </c>
      <c r="Q408" s="1" t="str">
        <f t="shared" si="24"/>
        <v>DAURDE</v>
      </c>
    </row>
    <row r="409" spans="2:17" hidden="1">
      <c r="B409" s="1" t="s">
        <v>456</v>
      </c>
      <c r="C409" s="1" t="s">
        <v>457</v>
      </c>
      <c r="D409" s="52">
        <v>46005.23541666667</v>
      </c>
      <c r="E409" s="52">
        <v>46005.23541666667</v>
      </c>
      <c r="F409" s="52">
        <v>46005.430555555555</v>
      </c>
      <c r="G409" s="53">
        <v>0.195138888884685</v>
      </c>
      <c r="H409" s="1" t="s">
        <v>257</v>
      </c>
      <c r="J409" s="1" t="s">
        <v>258</v>
      </c>
      <c r="K409" s="1" t="str">
        <f>_xlfn.XLOOKUP(J409,REF!$D$2:$D$12,REF!$E$2:$E$12)</f>
        <v>Rede</v>
      </c>
      <c r="L409" s="1" t="s">
        <v>2089</v>
      </c>
      <c r="M409" s="1" t="s">
        <v>260</v>
      </c>
      <c r="N409" s="1" t="s">
        <v>261</v>
      </c>
      <c r="O409" s="1" t="s">
        <v>2090</v>
      </c>
      <c r="P409" s="1" t="str">
        <f t="shared" si="23"/>
        <v>BC Caiaponia1SG60KTL(COM1-001)_001_00746005,235416666746005,235416666746005,4305555556</v>
      </c>
      <c r="Q409" s="1" t="str">
        <f t="shared" si="24"/>
        <v>DAURDE</v>
      </c>
    </row>
    <row r="410" spans="2:17" hidden="1">
      <c r="B410" s="1" t="s">
        <v>456</v>
      </c>
      <c r="C410" s="1" t="s">
        <v>459</v>
      </c>
      <c r="D410" s="52">
        <v>46005.23541666667</v>
      </c>
      <c r="E410" s="52">
        <v>46005.23541666667</v>
      </c>
      <c r="F410" s="52">
        <v>46005.430555555555</v>
      </c>
      <c r="G410" s="53">
        <v>0.195138888884685</v>
      </c>
      <c r="H410" s="1" t="s">
        <v>257</v>
      </c>
      <c r="J410" s="1" t="s">
        <v>258</v>
      </c>
      <c r="K410" s="1" t="str">
        <f>_xlfn.XLOOKUP(J410,REF!$D$2:$D$12,REF!$E$2:$E$12)</f>
        <v>Rede</v>
      </c>
      <c r="L410" s="1" t="s">
        <v>2089</v>
      </c>
      <c r="M410" s="1" t="s">
        <v>260</v>
      </c>
      <c r="N410" s="1" t="s">
        <v>261</v>
      </c>
      <c r="O410" s="1" t="s">
        <v>2090</v>
      </c>
      <c r="P410" s="1" t="str">
        <f t="shared" si="23"/>
        <v>BC Caiaponia1SG60KTL(COM1-002)_001_01046005,235416666746005,235416666746005,4305555556</v>
      </c>
      <c r="Q410" s="1" t="str">
        <f t="shared" si="24"/>
        <v>DAURDE</v>
      </c>
    </row>
    <row r="411" spans="2:17" hidden="1">
      <c r="B411" s="1" t="s">
        <v>456</v>
      </c>
      <c r="C411" s="1" t="s">
        <v>460</v>
      </c>
      <c r="D411" s="52">
        <v>46005.23541666667</v>
      </c>
      <c r="E411" s="52">
        <v>46005.23541666667</v>
      </c>
      <c r="F411" s="52">
        <v>46005.430555555555</v>
      </c>
      <c r="G411" s="53">
        <v>0.195138888884685</v>
      </c>
      <c r="H411" s="1" t="s">
        <v>257</v>
      </c>
      <c r="J411" s="1" t="s">
        <v>258</v>
      </c>
      <c r="K411" s="1" t="str">
        <f>_xlfn.XLOOKUP(J411,REF!$D$2:$D$12,REF!$E$2:$E$12)</f>
        <v>Rede</v>
      </c>
      <c r="L411" s="1" t="s">
        <v>2089</v>
      </c>
      <c r="M411" s="1" t="s">
        <v>260</v>
      </c>
      <c r="N411" s="1" t="s">
        <v>261</v>
      </c>
      <c r="O411" s="1" t="s">
        <v>2090</v>
      </c>
      <c r="P411" s="1" t="str">
        <f t="shared" si="23"/>
        <v>BC Caiaponia1SG60KTL(COM1-003)_001_01146005,235416666746005,235416666746005,4305555556</v>
      </c>
      <c r="Q411" s="1" t="str">
        <f t="shared" si="24"/>
        <v>DAURDE</v>
      </c>
    </row>
    <row r="412" spans="2:17" hidden="1">
      <c r="B412" s="1" t="s">
        <v>456</v>
      </c>
      <c r="C412" s="1" t="s">
        <v>461</v>
      </c>
      <c r="D412" s="52">
        <v>46005.23541666667</v>
      </c>
      <c r="E412" s="52">
        <v>46005.23541666667</v>
      </c>
      <c r="F412" s="52">
        <v>46005.430555555555</v>
      </c>
      <c r="G412" s="53">
        <v>0.195138888884685</v>
      </c>
      <c r="H412" s="1" t="s">
        <v>257</v>
      </c>
      <c r="J412" s="1" t="s">
        <v>258</v>
      </c>
      <c r="K412" s="1" t="str">
        <f>_xlfn.XLOOKUP(J412,REF!$D$2:$D$12,REF!$E$2:$E$12)</f>
        <v>Rede</v>
      </c>
      <c r="L412" s="1" t="s">
        <v>2089</v>
      </c>
      <c r="M412" s="1" t="s">
        <v>260</v>
      </c>
      <c r="N412" s="1" t="s">
        <v>261</v>
      </c>
      <c r="O412" s="1" t="s">
        <v>2090</v>
      </c>
      <c r="P412" s="1" t="str">
        <f t="shared" si="23"/>
        <v>BC Caiaponia1SG60KTL(COM1-004)_001_01446005,235416666746005,235416666746005,4305555556</v>
      </c>
      <c r="Q412" s="1" t="str">
        <f t="shared" si="24"/>
        <v>DAURDE</v>
      </c>
    </row>
    <row r="413" spans="2:17" hidden="1">
      <c r="B413" s="1" t="s">
        <v>456</v>
      </c>
      <c r="C413" s="1" t="s">
        <v>462</v>
      </c>
      <c r="D413" s="52">
        <v>46005.23541666667</v>
      </c>
      <c r="E413" s="52">
        <v>46005.23541666667</v>
      </c>
      <c r="F413" s="52">
        <v>46005.430555555555</v>
      </c>
      <c r="G413" s="53">
        <v>0.195138888884685</v>
      </c>
      <c r="H413" s="1" t="s">
        <v>257</v>
      </c>
      <c r="J413" s="1" t="s">
        <v>258</v>
      </c>
      <c r="K413" s="1" t="str">
        <f>_xlfn.XLOOKUP(J413,REF!$D$2:$D$12,REF!$E$2:$E$12)</f>
        <v>Rede</v>
      </c>
      <c r="L413" s="1" t="s">
        <v>2089</v>
      </c>
      <c r="M413" s="1" t="s">
        <v>260</v>
      </c>
      <c r="N413" s="1" t="s">
        <v>261</v>
      </c>
      <c r="O413" s="1" t="s">
        <v>2090</v>
      </c>
      <c r="P413" s="1" t="str">
        <f t="shared" si="23"/>
        <v>BC Caiaponia1SG60KTL(COM1-005)_001_01746005,235416666746005,235416666746005,4305555556</v>
      </c>
      <c r="Q413" s="1" t="str">
        <f t="shared" si="24"/>
        <v>DAURDE</v>
      </c>
    </row>
    <row r="414" spans="2:17" hidden="1">
      <c r="B414" s="1" t="s">
        <v>456</v>
      </c>
      <c r="C414" s="1" t="s">
        <v>463</v>
      </c>
      <c r="D414" s="52">
        <v>46005.23541666667</v>
      </c>
      <c r="E414" s="52">
        <v>46005.23541666667</v>
      </c>
      <c r="F414" s="52">
        <v>46005.430555555555</v>
      </c>
      <c r="G414" s="53">
        <v>0.195138888884685</v>
      </c>
      <c r="H414" s="1" t="s">
        <v>257</v>
      </c>
      <c r="J414" s="1" t="s">
        <v>258</v>
      </c>
      <c r="K414" s="1" t="str">
        <f>_xlfn.XLOOKUP(J414,REF!$D$2:$D$12,REF!$E$2:$E$12)</f>
        <v>Rede</v>
      </c>
      <c r="L414" s="1" t="s">
        <v>2089</v>
      </c>
      <c r="M414" s="1" t="s">
        <v>260</v>
      </c>
      <c r="N414" s="1" t="s">
        <v>261</v>
      </c>
      <c r="O414" s="1" t="s">
        <v>2090</v>
      </c>
      <c r="P414" s="1" t="str">
        <f t="shared" si="23"/>
        <v>BC Caiaponia1SG60KTL(COM1-006)_001_01646005,235416666746005,235416666746005,4305555556</v>
      </c>
      <c r="Q414" s="1" t="str">
        <f t="shared" si="24"/>
        <v>DAURDE</v>
      </c>
    </row>
    <row r="415" spans="2:17" hidden="1">
      <c r="B415" s="1" t="s">
        <v>456</v>
      </c>
      <c r="C415" s="1" t="s">
        <v>464</v>
      </c>
      <c r="D415" s="52">
        <v>46005.23541666667</v>
      </c>
      <c r="E415" s="52">
        <v>46005.23541666667</v>
      </c>
      <c r="F415" s="52">
        <v>46005.430555555555</v>
      </c>
      <c r="G415" s="53">
        <v>0.195138888884685</v>
      </c>
      <c r="H415" s="1" t="s">
        <v>257</v>
      </c>
      <c r="J415" s="1" t="s">
        <v>258</v>
      </c>
      <c r="K415" s="1" t="str">
        <f>_xlfn.XLOOKUP(J415,REF!$D$2:$D$12,REF!$E$2:$E$12)</f>
        <v>Rede</v>
      </c>
      <c r="L415" s="1" t="s">
        <v>2089</v>
      </c>
      <c r="M415" s="1" t="s">
        <v>260</v>
      </c>
      <c r="N415" s="1" t="s">
        <v>261</v>
      </c>
      <c r="O415" s="1" t="s">
        <v>2090</v>
      </c>
      <c r="P415" s="1" t="str">
        <f t="shared" si="23"/>
        <v>BC Caiaponia1SG60KTL(COM1-007)_001_01346005,235416666746005,235416666746005,4305555556</v>
      </c>
      <c r="Q415" s="1" t="str">
        <f t="shared" si="24"/>
        <v>DAURDE</v>
      </c>
    </row>
    <row r="416" spans="2:17" hidden="1">
      <c r="B416" s="1" t="s">
        <v>456</v>
      </c>
      <c r="C416" s="1" t="s">
        <v>465</v>
      </c>
      <c r="D416" s="52">
        <v>46005.23541666667</v>
      </c>
      <c r="E416" s="52">
        <v>46005.23541666667</v>
      </c>
      <c r="F416" s="52">
        <v>46005.430555555555</v>
      </c>
      <c r="G416" s="53">
        <v>0.195138888884685</v>
      </c>
      <c r="H416" s="1" t="s">
        <v>257</v>
      </c>
      <c r="J416" s="1" t="s">
        <v>258</v>
      </c>
      <c r="K416" s="1" t="str">
        <f>_xlfn.XLOOKUP(J416,REF!$D$2:$D$12,REF!$E$2:$E$12)</f>
        <v>Rede</v>
      </c>
      <c r="L416" s="1" t="s">
        <v>2089</v>
      </c>
      <c r="M416" s="1" t="s">
        <v>260</v>
      </c>
      <c r="N416" s="1" t="s">
        <v>261</v>
      </c>
      <c r="O416" s="1" t="s">
        <v>2090</v>
      </c>
      <c r="P416" s="1" t="str">
        <f t="shared" si="23"/>
        <v>BC Caiaponia1SG60KTL(COM1-008)_001_00146005,235416666746005,235416666746005,4305555556</v>
      </c>
      <c r="Q416" s="1" t="str">
        <f t="shared" si="24"/>
        <v>DAURDE</v>
      </c>
    </row>
    <row r="417" spans="2:17" hidden="1">
      <c r="B417" s="1" t="s">
        <v>255</v>
      </c>
      <c r="C417" s="1" t="s">
        <v>256</v>
      </c>
      <c r="D417" s="52">
        <v>46003.616666666669</v>
      </c>
      <c r="E417" s="52">
        <v>46003.616666666669</v>
      </c>
      <c r="F417" s="52">
        <v>46003.631944444445</v>
      </c>
      <c r="G417" s="53">
        <f t="shared" si="22"/>
        <v>1.5277777776645962E-2</v>
      </c>
      <c r="H417" s="1" t="s">
        <v>257</v>
      </c>
      <c r="J417" s="1" t="s">
        <v>258</v>
      </c>
      <c r="K417" s="1" t="str">
        <f>_xlfn.XLOOKUP(J417,REF!$D$2:$D$12,REF!$E$2:$E$12)</f>
        <v>Rede</v>
      </c>
      <c r="L417" s="1" t="s">
        <v>2089</v>
      </c>
      <c r="M417" s="1" t="s">
        <v>260</v>
      </c>
      <c r="N417" s="1" t="s">
        <v>261</v>
      </c>
      <c r="O417" s="1" t="s">
        <v>2090</v>
      </c>
      <c r="P417" s="1" t="str">
        <f>_xlfn.CONCAT(B417,C417,D417,E417,F417)</f>
        <v>BC Formoso2.1Inverter(MBUS-12)46003,616666666746003,616666666746003,6319444444</v>
      </c>
      <c r="Q417" s="1" t="str">
        <f t="shared" si="24"/>
        <v>DAURDE</v>
      </c>
    </row>
    <row r="418" spans="2:17" hidden="1">
      <c r="B418" s="1" t="s">
        <v>255</v>
      </c>
      <c r="C418" s="1" t="s">
        <v>263</v>
      </c>
      <c r="D418" s="52">
        <v>46003.616666666669</v>
      </c>
      <c r="E418" s="52">
        <v>46003.616666666669</v>
      </c>
      <c r="F418" s="52">
        <v>46003.631944444445</v>
      </c>
      <c r="G418" s="53">
        <f t="shared" si="22"/>
        <v>1.5277777776645962E-2</v>
      </c>
      <c r="H418" s="1" t="s">
        <v>257</v>
      </c>
      <c r="J418" s="1" t="s">
        <v>258</v>
      </c>
      <c r="K418" s="1" t="str">
        <f>_xlfn.XLOOKUP(J418,REF!$D$2:$D$12,REF!$E$2:$E$12)</f>
        <v>Rede</v>
      </c>
      <c r="L418" s="1" t="s">
        <v>2089</v>
      </c>
      <c r="M418" s="1" t="s">
        <v>260</v>
      </c>
      <c r="N418" s="1" t="s">
        <v>261</v>
      </c>
      <c r="O418" s="1" t="s">
        <v>2090</v>
      </c>
      <c r="P418" s="1" t="str">
        <f t="shared" si="23"/>
        <v>BC Formoso2.1Inverter(MBUS-14)46003,616666666746003,616666666746003,6319444444</v>
      </c>
      <c r="Q418" s="1" t="str">
        <f t="shared" si="24"/>
        <v>DAURDE</v>
      </c>
    </row>
    <row r="419" spans="2:17" hidden="1">
      <c r="B419" s="1" t="s">
        <v>255</v>
      </c>
      <c r="C419" s="1" t="s">
        <v>264</v>
      </c>
      <c r="D419" s="52">
        <v>46003.616666666669</v>
      </c>
      <c r="E419" s="52">
        <v>46003.616666666669</v>
      </c>
      <c r="F419" s="52">
        <v>46003.631944444445</v>
      </c>
      <c r="G419" s="53">
        <f t="shared" si="22"/>
        <v>1.5277777776645962E-2</v>
      </c>
      <c r="H419" s="1" t="s">
        <v>257</v>
      </c>
      <c r="J419" s="1" t="s">
        <v>258</v>
      </c>
      <c r="K419" s="1" t="str">
        <f>_xlfn.XLOOKUP(J419,REF!$D$2:$D$12,REF!$E$2:$E$12)</f>
        <v>Rede</v>
      </c>
      <c r="L419" s="1" t="s">
        <v>2089</v>
      </c>
      <c r="M419" s="1" t="s">
        <v>260</v>
      </c>
      <c r="N419" s="1" t="s">
        <v>261</v>
      </c>
      <c r="O419" s="1" t="s">
        <v>2090</v>
      </c>
      <c r="P419" s="1" t="str">
        <f t="shared" si="23"/>
        <v>BC Formoso2.1Inverter(MBUS-13)46003,616666666746003,616666666746003,6319444444</v>
      </c>
      <c r="Q419" s="1" t="str">
        <f t="shared" si="24"/>
        <v>DAURDE</v>
      </c>
    </row>
    <row r="420" spans="2:17" hidden="1">
      <c r="B420" s="1" t="s">
        <v>255</v>
      </c>
      <c r="C420" s="1" t="s">
        <v>247</v>
      </c>
      <c r="D420" s="52">
        <v>46003.616666666669</v>
      </c>
      <c r="E420" s="52">
        <v>46003.616666666669</v>
      </c>
      <c r="F420" s="52">
        <v>46003.631944444445</v>
      </c>
      <c r="G420" s="53">
        <f t="shared" si="22"/>
        <v>1.5277777776645962E-2</v>
      </c>
      <c r="H420" s="1" t="s">
        <v>257</v>
      </c>
      <c r="J420" s="1" t="s">
        <v>258</v>
      </c>
      <c r="K420" s="1" t="str">
        <f>_xlfn.XLOOKUP(J420,REF!$D$2:$D$12,REF!$E$2:$E$12)</f>
        <v>Rede</v>
      </c>
      <c r="L420" s="1" t="s">
        <v>2089</v>
      </c>
      <c r="M420" s="1" t="s">
        <v>260</v>
      </c>
      <c r="N420" s="1" t="s">
        <v>261</v>
      </c>
      <c r="O420" s="1" t="s">
        <v>2090</v>
      </c>
      <c r="P420" s="1" t="str">
        <f t="shared" si="23"/>
        <v>BC Formoso2.1Inverter(MBUS-1)46003,616666666746003,616666666746003,6319444444</v>
      </c>
      <c r="Q420" s="1" t="str">
        <f t="shared" si="24"/>
        <v>DAURDE</v>
      </c>
    </row>
    <row r="421" spans="2:17" hidden="1">
      <c r="B421" s="1" t="s">
        <v>265</v>
      </c>
      <c r="C421" s="1" t="s">
        <v>263</v>
      </c>
      <c r="D421" s="52">
        <v>46003.616666666669</v>
      </c>
      <c r="E421" s="52">
        <v>46003.616666666669</v>
      </c>
      <c r="F421" s="52">
        <v>46003.631944444445</v>
      </c>
      <c r="G421" s="53">
        <f t="shared" si="22"/>
        <v>1.5277777776645962E-2</v>
      </c>
      <c r="H421" s="1" t="s">
        <v>257</v>
      </c>
      <c r="J421" s="1" t="s">
        <v>258</v>
      </c>
      <c r="K421" s="1" t="str">
        <f>_xlfn.XLOOKUP(J421,REF!$D$2:$D$12,REF!$E$2:$E$12)</f>
        <v>Rede</v>
      </c>
      <c r="L421" s="1" t="s">
        <v>2089</v>
      </c>
      <c r="M421" s="1" t="s">
        <v>260</v>
      </c>
      <c r="N421" s="1" t="s">
        <v>261</v>
      </c>
      <c r="O421" s="1" t="s">
        <v>2090</v>
      </c>
      <c r="P421" s="1" t="str">
        <f t="shared" si="23"/>
        <v>BC Formoso2.2Inverter(MBUS-14)46003,616666666746003,616666666746003,6319444444</v>
      </c>
      <c r="Q421" s="1" t="str">
        <f t="shared" si="24"/>
        <v>DAURDE</v>
      </c>
    </row>
    <row r="422" spans="2:17" hidden="1">
      <c r="B422" s="1" t="s">
        <v>265</v>
      </c>
      <c r="C422" s="1" t="s">
        <v>264</v>
      </c>
      <c r="D422" s="52">
        <v>46003.616666666669</v>
      </c>
      <c r="E422" s="52">
        <v>46003.616666666669</v>
      </c>
      <c r="F422" s="52">
        <v>46003.631944444445</v>
      </c>
      <c r="G422" s="53">
        <f t="shared" si="22"/>
        <v>1.5277777776645962E-2</v>
      </c>
      <c r="H422" s="1" t="s">
        <v>257</v>
      </c>
      <c r="J422" s="1" t="s">
        <v>258</v>
      </c>
      <c r="K422" s="1" t="str">
        <f>_xlfn.XLOOKUP(J422,REF!$D$2:$D$12,REF!$E$2:$E$12)</f>
        <v>Rede</v>
      </c>
      <c r="L422" s="1" t="s">
        <v>2089</v>
      </c>
      <c r="M422" s="1" t="s">
        <v>260</v>
      </c>
      <c r="N422" s="1" t="s">
        <v>261</v>
      </c>
      <c r="O422" s="1" t="s">
        <v>2090</v>
      </c>
      <c r="P422" s="1" t="str">
        <f t="shared" si="23"/>
        <v>BC Formoso2.2Inverter(MBUS-13)46003,616666666746003,616666666746003,6319444444</v>
      </c>
      <c r="Q422" s="1" t="str">
        <f t="shared" si="24"/>
        <v>DAURDE</v>
      </c>
    </row>
    <row r="423" spans="2:17" hidden="1">
      <c r="B423" s="1" t="s">
        <v>265</v>
      </c>
      <c r="C423" s="1" t="s">
        <v>256</v>
      </c>
      <c r="D423" s="52">
        <v>46003.616666666669</v>
      </c>
      <c r="E423" s="52">
        <v>46003.616666666669</v>
      </c>
      <c r="F423" s="52">
        <v>46003.631944444445</v>
      </c>
      <c r="G423" s="53">
        <f t="shared" si="22"/>
        <v>1.5277777776645962E-2</v>
      </c>
      <c r="H423" s="1" t="s">
        <v>257</v>
      </c>
      <c r="J423" s="1" t="s">
        <v>258</v>
      </c>
      <c r="K423" s="1" t="str">
        <f>_xlfn.XLOOKUP(J423,REF!$D$2:$D$12,REF!$E$2:$E$12)</f>
        <v>Rede</v>
      </c>
      <c r="L423" s="1" t="s">
        <v>2089</v>
      </c>
      <c r="M423" s="1" t="s">
        <v>260</v>
      </c>
      <c r="N423" s="1" t="s">
        <v>261</v>
      </c>
      <c r="O423" s="1" t="s">
        <v>2090</v>
      </c>
      <c r="P423" s="1" t="str">
        <f t="shared" si="23"/>
        <v>BC Formoso2.2Inverter(MBUS-12)46003,616666666746003,616666666746003,6319444444</v>
      </c>
      <c r="Q423" s="1" t="str">
        <f t="shared" si="24"/>
        <v>DAURDE</v>
      </c>
    </row>
    <row r="424" spans="2:17" hidden="1">
      <c r="B424" s="1" t="s">
        <v>265</v>
      </c>
      <c r="C424" s="1" t="s">
        <v>247</v>
      </c>
      <c r="D424" s="52">
        <v>46003.616666666669</v>
      </c>
      <c r="E424" s="52">
        <v>46003.616666666669</v>
      </c>
      <c r="F424" s="52">
        <v>46003.631944444445</v>
      </c>
      <c r="G424" s="53">
        <f t="shared" si="22"/>
        <v>1.5277777776645962E-2</v>
      </c>
      <c r="H424" s="1" t="s">
        <v>257</v>
      </c>
      <c r="J424" s="1" t="s">
        <v>258</v>
      </c>
      <c r="K424" s="1" t="str">
        <f>_xlfn.XLOOKUP(J424,REF!$D$2:$D$12,REF!$E$2:$E$12)</f>
        <v>Rede</v>
      </c>
      <c r="L424" s="1" t="s">
        <v>2089</v>
      </c>
      <c r="M424" s="1" t="s">
        <v>260</v>
      </c>
      <c r="N424" s="1" t="s">
        <v>261</v>
      </c>
      <c r="O424" s="1" t="s">
        <v>2090</v>
      </c>
      <c r="P424" s="1" t="str">
        <f t="shared" si="23"/>
        <v>BC Formoso2.2Inverter(MBUS-1)46003,616666666746003,616666666746003,6319444444</v>
      </c>
      <c r="Q424" s="1" t="str">
        <f t="shared" si="24"/>
        <v>DAURDE</v>
      </c>
    </row>
    <row r="425" spans="2:17" hidden="1">
      <c r="B425" s="1" t="s">
        <v>355</v>
      </c>
      <c r="C425" s="1" t="s">
        <v>264</v>
      </c>
      <c r="D425" s="52">
        <v>46003.616666666669</v>
      </c>
      <c r="E425" s="52">
        <v>46003.616666666669</v>
      </c>
      <c r="F425" s="52">
        <v>46003.631944444445</v>
      </c>
      <c r="G425" s="53">
        <f t="shared" si="22"/>
        <v>1.5277777776645962E-2</v>
      </c>
      <c r="H425" s="1" t="s">
        <v>257</v>
      </c>
      <c r="J425" s="1" t="s">
        <v>258</v>
      </c>
      <c r="K425" s="1" t="str">
        <f>_xlfn.XLOOKUP(J425,REF!$D$2:$D$12,REF!$E$2:$E$12)</f>
        <v>Rede</v>
      </c>
      <c r="L425" s="1" t="s">
        <v>2089</v>
      </c>
      <c r="M425" s="1" t="s">
        <v>260</v>
      </c>
      <c r="N425" s="1" t="s">
        <v>261</v>
      </c>
      <c r="O425" s="1" t="s">
        <v>2090</v>
      </c>
      <c r="P425" s="1" t="str">
        <f t="shared" si="23"/>
        <v>BC Formoso2.3Inverter(MBUS-13)46003,616666666746003,616666666746003,6319444444</v>
      </c>
      <c r="Q425" s="1" t="str">
        <f t="shared" si="24"/>
        <v>DAURDE</v>
      </c>
    </row>
    <row r="426" spans="2:17" hidden="1">
      <c r="B426" s="1" t="s">
        <v>355</v>
      </c>
      <c r="C426" s="1" t="s">
        <v>256</v>
      </c>
      <c r="D426" s="52">
        <v>46003.616666666669</v>
      </c>
      <c r="E426" s="52">
        <v>46003.616666666669</v>
      </c>
      <c r="F426" s="52">
        <v>46003.631944444445</v>
      </c>
      <c r="G426" s="53">
        <f t="shared" si="22"/>
        <v>1.5277777776645962E-2</v>
      </c>
      <c r="H426" s="1" t="s">
        <v>257</v>
      </c>
      <c r="J426" s="1" t="s">
        <v>258</v>
      </c>
      <c r="K426" s="1" t="str">
        <f>_xlfn.XLOOKUP(J426,REF!$D$2:$D$12,REF!$E$2:$E$12)</f>
        <v>Rede</v>
      </c>
      <c r="L426" s="1" t="s">
        <v>2089</v>
      </c>
      <c r="M426" s="1" t="s">
        <v>260</v>
      </c>
      <c r="N426" s="1" t="s">
        <v>261</v>
      </c>
      <c r="O426" s="1" t="s">
        <v>2090</v>
      </c>
      <c r="P426" s="1" t="str">
        <f t="shared" si="23"/>
        <v>BC Formoso2.3Inverter(MBUS-12)46003,616666666746003,616666666746003,6319444444</v>
      </c>
      <c r="Q426" s="1" t="str">
        <f t="shared" si="24"/>
        <v>DAURDE</v>
      </c>
    </row>
    <row r="427" spans="2:17" hidden="1">
      <c r="B427" s="1" t="s">
        <v>255</v>
      </c>
      <c r="C427" s="1" t="s">
        <v>256</v>
      </c>
      <c r="D427" s="52">
        <v>46003.75</v>
      </c>
      <c r="E427" s="52">
        <v>46003.75</v>
      </c>
      <c r="F427" s="52">
        <v>46003.888888888891</v>
      </c>
      <c r="G427" s="53">
        <f t="shared" si="22"/>
        <v>0.13888888889050577</v>
      </c>
      <c r="H427" s="1" t="s">
        <v>257</v>
      </c>
      <c r="J427" s="1" t="s">
        <v>258</v>
      </c>
      <c r="K427" s="1" t="str">
        <f>_xlfn.XLOOKUP(J427,REF!$D$2:$D$12,REF!$E$2:$E$12)</f>
        <v>Rede</v>
      </c>
      <c r="L427" s="1" t="s">
        <v>2089</v>
      </c>
      <c r="M427" s="1" t="s">
        <v>260</v>
      </c>
      <c r="N427" s="1" t="s">
        <v>261</v>
      </c>
      <c r="O427" s="1" t="s">
        <v>2090</v>
      </c>
      <c r="P427" s="1" t="str">
        <f t="shared" si="23"/>
        <v>BC Formoso2.1Inverter(MBUS-12)46003,7546003,7546003,8888888889</v>
      </c>
      <c r="Q427" s="1" t="str">
        <f t="shared" si="24"/>
        <v>DAURDE</v>
      </c>
    </row>
    <row r="428" spans="2:17" hidden="1">
      <c r="B428" s="1" t="s">
        <v>255</v>
      </c>
      <c r="C428" s="1" t="s">
        <v>263</v>
      </c>
      <c r="D428" s="52">
        <v>46003.75</v>
      </c>
      <c r="E428" s="52">
        <v>46003.75</v>
      </c>
      <c r="F428" s="52">
        <v>46003.888888888891</v>
      </c>
      <c r="G428" s="53">
        <f t="shared" si="22"/>
        <v>0.13888888889050577</v>
      </c>
      <c r="H428" s="1" t="s">
        <v>257</v>
      </c>
      <c r="J428" s="1" t="s">
        <v>258</v>
      </c>
      <c r="K428" s="1" t="str">
        <f>_xlfn.XLOOKUP(J428,REF!$D$2:$D$12,REF!$E$2:$E$12)</f>
        <v>Rede</v>
      </c>
      <c r="L428" s="1" t="s">
        <v>2089</v>
      </c>
      <c r="M428" s="1" t="s">
        <v>260</v>
      </c>
      <c r="N428" s="1" t="s">
        <v>261</v>
      </c>
      <c r="O428" s="1" t="s">
        <v>2090</v>
      </c>
      <c r="P428" s="1" t="str">
        <f t="shared" si="23"/>
        <v>BC Formoso2.1Inverter(MBUS-14)46003,7546003,7546003,8888888889</v>
      </c>
      <c r="Q428" s="1" t="str">
        <f t="shared" si="24"/>
        <v>DAURDE</v>
      </c>
    </row>
    <row r="429" spans="2:17" hidden="1">
      <c r="B429" s="1" t="s">
        <v>255</v>
      </c>
      <c r="C429" s="1" t="s">
        <v>264</v>
      </c>
      <c r="D429" s="52">
        <v>46003.75</v>
      </c>
      <c r="E429" s="52">
        <v>46003.75</v>
      </c>
      <c r="F429" s="52">
        <v>46003.888888888891</v>
      </c>
      <c r="G429" s="53">
        <f t="shared" si="22"/>
        <v>0.13888888889050577</v>
      </c>
      <c r="H429" s="1" t="s">
        <v>257</v>
      </c>
      <c r="J429" s="1" t="s">
        <v>258</v>
      </c>
      <c r="K429" s="1" t="str">
        <f>_xlfn.XLOOKUP(J429,REF!$D$2:$D$12,REF!$E$2:$E$12)</f>
        <v>Rede</v>
      </c>
      <c r="L429" s="1" t="s">
        <v>2089</v>
      </c>
      <c r="M429" s="1" t="s">
        <v>260</v>
      </c>
      <c r="N429" s="1" t="s">
        <v>261</v>
      </c>
      <c r="O429" s="1" t="s">
        <v>2090</v>
      </c>
      <c r="P429" s="1" t="str">
        <f t="shared" si="23"/>
        <v>BC Formoso2.1Inverter(MBUS-13)46003,7546003,7546003,8888888889</v>
      </c>
      <c r="Q429" s="1" t="str">
        <f t="shared" si="24"/>
        <v>DAURDE</v>
      </c>
    </row>
    <row r="430" spans="2:17" hidden="1">
      <c r="B430" s="1" t="s">
        <v>255</v>
      </c>
      <c r="C430" s="1" t="s">
        <v>247</v>
      </c>
      <c r="D430" s="52">
        <v>46003.75</v>
      </c>
      <c r="E430" s="52">
        <v>46003.75</v>
      </c>
      <c r="F430" s="52">
        <v>46003.888888888891</v>
      </c>
      <c r="G430" s="53">
        <f t="shared" si="22"/>
        <v>0.13888888889050577</v>
      </c>
      <c r="H430" s="1" t="s">
        <v>257</v>
      </c>
      <c r="J430" s="1" t="s">
        <v>258</v>
      </c>
      <c r="K430" s="1" t="str">
        <f>_xlfn.XLOOKUP(J430,REF!$D$2:$D$12,REF!$E$2:$E$12)</f>
        <v>Rede</v>
      </c>
      <c r="L430" s="1" t="s">
        <v>2089</v>
      </c>
      <c r="M430" s="1" t="s">
        <v>260</v>
      </c>
      <c r="N430" s="1" t="s">
        <v>261</v>
      </c>
      <c r="O430" s="1" t="s">
        <v>2090</v>
      </c>
      <c r="P430" s="1" t="str">
        <f t="shared" si="23"/>
        <v>BC Formoso2.1Inverter(MBUS-1)46003,7546003,7546003,8888888889</v>
      </c>
      <c r="Q430" s="1" t="str">
        <f t="shared" si="24"/>
        <v>DAURDE</v>
      </c>
    </row>
    <row r="431" spans="2:17" hidden="1">
      <c r="B431" s="1" t="s">
        <v>265</v>
      </c>
      <c r="C431" s="1" t="s">
        <v>263</v>
      </c>
      <c r="D431" s="52">
        <v>46003.75</v>
      </c>
      <c r="E431" s="52">
        <v>46003.75</v>
      </c>
      <c r="F431" s="52">
        <v>46003.888888888891</v>
      </c>
      <c r="G431" s="53">
        <f t="shared" si="22"/>
        <v>0.13888888889050577</v>
      </c>
      <c r="H431" s="1" t="s">
        <v>257</v>
      </c>
      <c r="J431" s="1" t="s">
        <v>258</v>
      </c>
      <c r="K431" s="1" t="str">
        <f>_xlfn.XLOOKUP(J431,REF!$D$2:$D$12,REF!$E$2:$E$12)</f>
        <v>Rede</v>
      </c>
      <c r="L431" s="1" t="s">
        <v>2089</v>
      </c>
      <c r="M431" s="1" t="s">
        <v>260</v>
      </c>
      <c r="N431" s="1" t="s">
        <v>261</v>
      </c>
      <c r="O431" s="1" t="s">
        <v>2090</v>
      </c>
      <c r="P431" s="1" t="str">
        <f t="shared" si="23"/>
        <v>BC Formoso2.2Inverter(MBUS-14)46003,7546003,7546003,8888888889</v>
      </c>
      <c r="Q431" s="1" t="str">
        <f t="shared" si="24"/>
        <v>DAURDE</v>
      </c>
    </row>
    <row r="432" spans="2:17" hidden="1">
      <c r="B432" s="1" t="s">
        <v>265</v>
      </c>
      <c r="C432" s="1" t="s">
        <v>264</v>
      </c>
      <c r="D432" s="52">
        <v>46003.75</v>
      </c>
      <c r="E432" s="52">
        <v>46003.75</v>
      </c>
      <c r="F432" s="52">
        <v>46003.888888888891</v>
      </c>
      <c r="G432" s="53">
        <f t="shared" si="22"/>
        <v>0.13888888889050577</v>
      </c>
      <c r="H432" s="1" t="s">
        <v>257</v>
      </c>
      <c r="J432" s="1" t="s">
        <v>258</v>
      </c>
      <c r="K432" s="1" t="str">
        <f>_xlfn.XLOOKUP(J432,REF!$D$2:$D$12,REF!$E$2:$E$12)</f>
        <v>Rede</v>
      </c>
      <c r="L432" s="1" t="s">
        <v>2089</v>
      </c>
      <c r="M432" s="1" t="s">
        <v>260</v>
      </c>
      <c r="N432" s="1" t="s">
        <v>261</v>
      </c>
      <c r="O432" s="1" t="s">
        <v>2090</v>
      </c>
      <c r="P432" s="1" t="str">
        <f t="shared" si="23"/>
        <v>BC Formoso2.2Inverter(MBUS-13)46003,7546003,7546003,8888888889</v>
      </c>
      <c r="Q432" s="1" t="str">
        <f t="shared" si="24"/>
        <v>DAURDE</v>
      </c>
    </row>
    <row r="433" spans="2:17" hidden="1">
      <c r="B433" s="1" t="s">
        <v>265</v>
      </c>
      <c r="C433" s="1" t="s">
        <v>256</v>
      </c>
      <c r="D433" s="52">
        <v>46003.75</v>
      </c>
      <c r="E433" s="52">
        <v>46003.75</v>
      </c>
      <c r="F433" s="52">
        <v>46003.888888888891</v>
      </c>
      <c r="G433" s="53">
        <f t="shared" si="22"/>
        <v>0.13888888889050577</v>
      </c>
      <c r="H433" s="1" t="s">
        <v>257</v>
      </c>
      <c r="J433" s="1" t="s">
        <v>258</v>
      </c>
      <c r="K433" s="1" t="str">
        <f>_xlfn.XLOOKUP(J433,REF!$D$2:$D$12,REF!$E$2:$E$12)</f>
        <v>Rede</v>
      </c>
      <c r="L433" s="1" t="s">
        <v>2089</v>
      </c>
      <c r="M433" s="1" t="s">
        <v>260</v>
      </c>
      <c r="N433" s="1" t="s">
        <v>261</v>
      </c>
      <c r="O433" s="1" t="s">
        <v>2090</v>
      </c>
      <c r="P433" s="1" t="str">
        <f t="shared" si="23"/>
        <v>BC Formoso2.2Inverter(MBUS-12)46003,7546003,7546003,8888888889</v>
      </c>
      <c r="Q433" s="1" t="str">
        <f t="shared" si="24"/>
        <v>DAURDE</v>
      </c>
    </row>
    <row r="434" spans="2:17" hidden="1">
      <c r="B434" s="1" t="s">
        <v>265</v>
      </c>
      <c r="C434" s="1" t="s">
        <v>247</v>
      </c>
      <c r="D434" s="52">
        <v>46003.75</v>
      </c>
      <c r="E434" s="52">
        <v>46003.75</v>
      </c>
      <c r="F434" s="52">
        <v>46003.888888888891</v>
      </c>
      <c r="G434" s="53">
        <f t="shared" si="22"/>
        <v>0.13888888889050577</v>
      </c>
      <c r="H434" s="1" t="s">
        <v>257</v>
      </c>
      <c r="J434" s="1" t="s">
        <v>258</v>
      </c>
      <c r="K434" s="1" t="str">
        <f>_xlfn.XLOOKUP(J434,REF!$D$2:$D$12,REF!$E$2:$E$12)</f>
        <v>Rede</v>
      </c>
      <c r="L434" s="1" t="s">
        <v>2089</v>
      </c>
      <c r="M434" s="1" t="s">
        <v>260</v>
      </c>
      <c r="N434" s="1" t="s">
        <v>261</v>
      </c>
      <c r="O434" s="1" t="s">
        <v>2090</v>
      </c>
      <c r="P434" s="1" t="str">
        <f t="shared" si="23"/>
        <v>BC Formoso2.2Inverter(MBUS-1)46003,7546003,7546003,8888888889</v>
      </c>
      <c r="Q434" s="1" t="str">
        <f t="shared" si="24"/>
        <v>DAURDE</v>
      </c>
    </row>
    <row r="435" spans="2:17" hidden="1">
      <c r="B435" s="1" t="s">
        <v>355</v>
      </c>
      <c r="C435" s="1" t="s">
        <v>264</v>
      </c>
      <c r="D435" s="52">
        <v>46003.75</v>
      </c>
      <c r="E435" s="52">
        <v>46003.75</v>
      </c>
      <c r="F435" s="52">
        <v>46003.888888888891</v>
      </c>
      <c r="G435" s="53">
        <f t="shared" si="22"/>
        <v>0.13888888889050577</v>
      </c>
      <c r="H435" s="1" t="s">
        <v>257</v>
      </c>
      <c r="J435" s="1" t="s">
        <v>258</v>
      </c>
      <c r="K435" s="1" t="str">
        <f>_xlfn.XLOOKUP(J435,REF!$D$2:$D$12,REF!$E$2:$E$12)</f>
        <v>Rede</v>
      </c>
      <c r="L435" s="1" t="s">
        <v>2089</v>
      </c>
      <c r="M435" s="1" t="s">
        <v>260</v>
      </c>
      <c r="N435" s="1" t="s">
        <v>261</v>
      </c>
      <c r="O435" s="1" t="s">
        <v>2090</v>
      </c>
      <c r="P435" s="1" t="str">
        <f t="shared" si="23"/>
        <v>BC Formoso2.3Inverter(MBUS-13)46003,7546003,7546003,8888888889</v>
      </c>
      <c r="Q435" s="1" t="str">
        <f t="shared" si="24"/>
        <v>DAURDE</v>
      </c>
    </row>
    <row r="436" spans="2:17" hidden="1">
      <c r="B436" s="1" t="s">
        <v>355</v>
      </c>
      <c r="C436" s="1" t="s">
        <v>256</v>
      </c>
      <c r="D436" s="52">
        <v>46003.75</v>
      </c>
      <c r="E436" s="52">
        <v>46003.75</v>
      </c>
      <c r="F436" s="52">
        <v>46003.888888888891</v>
      </c>
      <c r="G436" s="53">
        <f t="shared" si="22"/>
        <v>0.13888888889050577</v>
      </c>
      <c r="H436" s="1" t="s">
        <v>257</v>
      </c>
      <c r="J436" s="1" t="s">
        <v>258</v>
      </c>
      <c r="K436" s="1" t="str">
        <f>_xlfn.XLOOKUP(J436,REF!$D$2:$D$12,REF!$E$2:$E$12)</f>
        <v>Rede</v>
      </c>
      <c r="L436" s="1" t="s">
        <v>2089</v>
      </c>
      <c r="M436" s="1" t="s">
        <v>260</v>
      </c>
      <c r="N436" s="1" t="s">
        <v>261</v>
      </c>
      <c r="O436" s="1" t="s">
        <v>2090</v>
      </c>
      <c r="P436" s="1" t="str">
        <f t="shared" si="23"/>
        <v>BC Formoso2.3Inverter(MBUS-12)46003,7546003,7546003,8888888889</v>
      </c>
      <c r="Q436" s="1" t="str">
        <f t="shared" si="24"/>
        <v>DAURDE</v>
      </c>
    </row>
    <row r="437" spans="2:17" hidden="1">
      <c r="B437" s="1" t="s">
        <v>2117</v>
      </c>
      <c r="C437" s="1" t="s">
        <v>720</v>
      </c>
      <c r="D437" s="52">
        <v>46005.626388888886</v>
      </c>
      <c r="E437" s="52">
        <v>46005.626388888886</v>
      </c>
      <c r="F437" s="52">
        <v>46007.625</v>
      </c>
      <c r="G437" s="53">
        <f t="shared" si="22"/>
        <v>1.9986111111138598</v>
      </c>
      <c r="H437" s="1" t="s">
        <v>257</v>
      </c>
      <c r="J437" s="1" t="s">
        <v>258</v>
      </c>
      <c r="K437" s="1" t="str">
        <f>_xlfn.XLOOKUP(J437,REF!$D$2:$D$12,REF!$E$2:$E$12)</f>
        <v>Rede</v>
      </c>
      <c r="L437" s="1" t="s">
        <v>2089</v>
      </c>
      <c r="M437" s="1" t="s">
        <v>260</v>
      </c>
      <c r="N437" s="1" t="s">
        <v>261</v>
      </c>
      <c r="O437" s="1" t="s">
        <v>2090</v>
      </c>
      <c r="P437" s="1" t="str">
        <f t="shared" si="23"/>
        <v>CORUMBÁ I - UFV 1U01.I0146005,626388888946005,626388888946007,625</v>
      </c>
      <c r="Q437" s="1" t="str">
        <f t="shared" si="24"/>
        <v>DAURDE</v>
      </c>
    </row>
    <row r="438" spans="2:17" hidden="1">
      <c r="B438" s="1" t="s">
        <v>2117</v>
      </c>
      <c r="C438" s="1" t="s">
        <v>721</v>
      </c>
      <c r="D438" s="52">
        <v>46005.626388888886</v>
      </c>
      <c r="E438" s="52">
        <v>46005.626388888886</v>
      </c>
      <c r="F438" s="52">
        <v>46007.625</v>
      </c>
      <c r="G438" s="53">
        <f t="shared" si="22"/>
        <v>1.9986111111138598</v>
      </c>
      <c r="H438" s="1" t="s">
        <v>257</v>
      </c>
      <c r="J438" s="1" t="s">
        <v>258</v>
      </c>
      <c r="K438" s="1" t="str">
        <f>_xlfn.XLOOKUP(J438,REF!$D$2:$D$12,REF!$E$2:$E$12)</f>
        <v>Rede</v>
      </c>
      <c r="L438" s="1" t="s">
        <v>2089</v>
      </c>
      <c r="M438" s="1" t="s">
        <v>260</v>
      </c>
      <c r="N438" s="1" t="s">
        <v>261</v>
      </c>
      <c r="O438" s="1" t="s">
        <v>2090</v>
      </c>
      <c r="P438" s="1" t="str">
        <f t="shared" si="23"/>
        <v>CORUMBÁ I - UFV 1U01.I0246005,626388888946005,626388888946007,625</v>
      </c>
      <c r="Q438" s="1" t="str">
        <f t="shared" si="24"/>
        <v>DAURDE</v>
      </c>
    </row>
    <row r="439" spans="2:17" hidden="1">
      <c r="B439" s="1" t="s">
        <v>2117</v>
      </c>
      <c r="C439" s="1" t="s">
        <v>722</v>
      </c>
      <c r="D439" s="52">
        <v>46005.626388888886</v>
      </c>
      <c r="E439" s="52">
        <v>46005.626388888886</v>
      </c>
      <c r="F439" s="52">
        <v>46007.625</v>
      </c>
      <c r="G439" s="53">
        <f t="shared" si="22"/>
        <v>1.9986111111138598</v>
      </c>
      <c r="H439" s="1" t="s">
        <v>257</v>
      </c>
      <c r="J439" s="1" t="s">
        <v>258</v>
      </c>
      <c r="K439" s="1" t="str">
        <f>_xlfn.XLOOKUP(J439,REF!$D$2:$D$12,REF!$E$2:$E$12)</f>
        <v>Rede</v>
      </c>
      <c r="L439" s="1" t="s">
        <v>2089</v>
      </c>
      <c r="M439" s="1" t="s">
        <v>260</v>
      </c>
      <c r="N439" s="1" t="s">
        <v>261</v>
      </c>
      <c r="O439" s="1" t="s">
        <v>2090</v>
      </c>
      <c r="P439" s="1" t="str">
        <f t="shared" si="23"/>
        <v>CORUMBÁ I - UFV 1U01.I0346005,626388888946005,626388888946007,625</v>
      </c>
      <c r="Q439" s="1" t="str">
        <f t="shared" si="24"/>
        <v>DAURDE</v>
      </c>
    </row>
    <row r="440" spans="2:17" hidden="1">
      <c r="B440" s="1" t="s">
        <v>2117</v>
      </c>
      <c r="C440" s="1" t="s">
        <v>361</v>
      </c>
      <c r="D440" s="52">
        <v>46005.626388888886</v>
      </c>
      <c r="E440" s="52">
        <v>46005.626388888886</v>
      </c>
      <c r="F440" s="52">
        <v>46007.625</v>
      </c>
      <c r="G440" s="53">
        <f t="shared" si="22"/>
        <v>1.9986111111138598</v>
      </c>
      <c r="H440" s="1" t="s">
        <v>257</v>
      </c>
      <c r="J440" s="1" t="s">
        <v>258</v>
      </c>
      <c r="K440" s="1" t="str">
        <f>_xlfn.XLOOKUP(J440,REF!$D$2:$D$12,REF!$E$2:$E$12)</f>
        <v>Rede</v>
      </c>
      <c r="L440" s="1" t="s">
        <v>2089</v>
      </c>
      <c r="M440" s="1" t="s">
        <v>260</v>
      </c>
      <c r="N440" s="1" t="s">
        <v>261</v>
      </c>
      <c r="O440" s="1" t="s">
        <v>2090</v>
      </c>
      <c r="P440" s="1" t="str">
        <f t="shared" si="23"/>
        <v>CORUMBÁ I - UFV 1U01.I0446005,626388888946005,626388888946007,625</v>
      </c>
      <c r="Q440" s="1" t="str">
        <f t="shared" si="24"/>
        <v>DAURDE</v>
      </c>
    </row>
    <row r="441" spans="2:17" hidden="1">
      <c r="B441" s="1" t="s">
        <v>2117</v>
      </c>
      <c r="C441" s="1" t="s">
        <v>366</v>
      </c>
      <c r="D441" s="52">
        <v>46005.626388888886</v>
      </c>
      <c r="E441" s="52">
        <v>46005.626388888886</v>
      </c>
      <c r="F441" s="52">
        <v>46007.625</v>
      </c>
      <c r="G441" s="53">
        <f t="shared" si="22"/>
        <v>1.9986111111138598</v>
      </c>
      <c r="H441" s="1" t="s">
        <v>257</v>
      </c>
      <c r="J441" s="1" t="s">
        <v>258</v>
      </c>
      <c r="K441" s="1" t="str">
        <f>_xlfn.XLOOKUP(J441,REF!$D$2:$D$12,REF!$E$2:$E$12)</f>
        <v>Rede</v>
      </c>
      <c r="L441" s="1" t="s">
        <v>2089</v>
      </c>
      <c r="M441" s="1" t="s">
        <v>260</v>
      </c>
      <c r="N441" s="1" t="s">
        <v>261</v>
      </c>
      <c r="O441" s="1" t="s">
        <v>2090</v>
      </c>
      <c r="P441" s="1" t="str">
        <f t="shared" si="23"/>
        <v>CORUMBÁ I - UFV 1U01.I0546005,626388888946005,626388888946007,625</v>
      </c>
      <c r="Q441" s="1" t="str">
        <f t="shared" si="24"/>
        <v>DAURDE</v>
      </c>
    </row>
    <row r="442" spans="2:17" hidden="1">
      <c r="B442" s="1" t="s">
        <v>2118</v>
      </c>
      <c r="C442" s="1" t="s">
        <v>292</v>
      </c>
      <c r="D442" s="52">
        <v>46005.626388888886</v>
      </c>
      <c r="E442" s="52">
        <v>46005.626388888886</v>
      </c>
      <c r="F442" s="52">
        <v>46007.625</v>
      </c>
      <c r="G442" s="53">
        <f t="shared" si="22"/>
        <v>1.9986111111138598</v>
      </c>
      <c r="H442" s="1" t="s">
        <v>257</v>
      </c>
      <c r="J442" s="1" t="s">
        <v>258</v>
      </c>
      <c r="K442" s="1" t="str">
        <f>_xlfn.XLOOKUP(J442,REF!$D$2:$D$12,REF!$E$2:$E$12)</f>
        <v>Rede</v>
      </c>
      <c r="L442" s="1" t="s">
        <v>2089</v>
      </c>
      <c r="M442" s="1" t="s">
        <v>260</v>
      </c>
      <c r="N442" s="1" t="s">
        <v>261</v>
      </c>
      <c r="O442" s="1" t="s">
        <v>2090</v>
      </c>
      <c r="P442" s="1" t="str">
        <f t="shared" si="23"/>
        <v>CORUMBÁ I - UFV 2U02.I0246005,626388888946005,626388888946007,625</v>
      </c>
      <c r="Q442" s="1" t="str">
        <f t="shared" si="24"/>
        <v>DAURDE</v>
      </c>
    </row>
    <row r="443" spans="2:17" hidden="1">
      <c r="B443" s="1" t="s">
        <v>2118</v>
      </c>
      <c r="C443" s="1" t="s">
        <v>287</v>
      </c>
      <c r="D443" s="52">
        <v>46005.626388888886</v>
      </c>
      <c r="E443" s="52">
        <v>46005.626388888886</v>
      </c>
      <c r="F443" s="52">
        <v>46007.625</v>
      </c>
      <c r="G443" s="53">
        <f t="shared" si="22"/>
        <v>1.9986111111138598</v>
      </c>
      <c r="H443" s="1" t="s">
        <v>257</v>
      </c>
      <c r="J443" s="1" t="s">
        <v>258</v>
      </c>
      <c r="K443" s="1" t="str">
        <f>_xlfn.XLOOKUP(J443,REF!$D$2:$D$12,REF!$E$2:$E$12)</f>
        <v>Rede</v>
      </c>
      <c r="L443" s="1" t="s">
        <v>2089</v>
      </c>
      <c r="M443" s="1" t="s">
        <v>260</v>
      </c>
      <c r="N443" s="1" t="s">
        <v>261</v>
      </c>
      <c r="O443" s="1" t="s">
        <v>2090</v>
      </c>
      <c r="P443" s="1" t="str">
        <f t="shared" si="23"/>
        <v>CORUMBÁ I - UFV 2U02.I0146005,626388888946005,626388888946007,625</v>
      </c>
      <c r="Q443" s="1" t="str">
        <f t="shared" si="24"/>
        <v>DAURDE</v>
      </c>
    </row>
    <row r="444" spans="2:17" hidden="1">
      <c r="B444" s="1" t="s">
        <v>2118</v>
      </c>
      <c r="C444" s="1" t="s">
        <v>293</v>
      </c>
      <c r="D444" s="52">
        <v>46005.626388888886</v>
      </c>
      <c r="E444" s="52">
        <v>46005.626388888886</v>
      </c>
      <c r="F444" s="52">
        <v>46007.625</v>
      </c>
      <c r="G444" s="53">
        <f t="shared" ref="G444:G507" si="25">F444-E444</f>
        <v>1.9986111111138598</v>
      </c>
      <c r="H444" s="1" t="s">
        <v>257</v>
      </c>
      <c r="J444" s="1" t="s">
        <v>258</v>
      </c>
      <c r="K444" s="1" t="str">
        <f>_xlfn.XLOOKUP(J444,REF!$D$2:$D$12,REF!$E$2:$E$12)</f>
        <v>Rede</v>
      </c>
      <c r="L444" s="1" t="s">
        <v>2089</v>
      </c>
      <c r="M444" s="1" t="s">
        <v>260</v>
      </c>
      <c r="N444" s="1" t="s">
        <v>261</v>
      </c>
      <c r="O444" s="1" t="s">
        <v>2090</v>
      </c>
      <c r="P444" s="1" t="str">
        <f t="shared" si="23"/>
        <v>CORUMBÁ I - UFV 2U02.I0346005,626388888946005,626388888946007,625</v>
      </c>
      <c r="Q444" s="1" t="str">
        <f t="shared" si="24"/>
        <v>DAURDE</v>
      </c>
    </row>
    <row r="445" spans="2:17" hidden="1">
      <c r="B445" s="1" t="s">
        <v>2118</v>
      </c>
      <c r="C445" s="1" t="s">
        <v>295</v>
      </c>
      <c r="D445" s="52">
        <v>46005.626388888886</v>
      </c>
      <c r="E445" s="52">
        <v>46005.626388888886</v>
      </c>
      <c r="F445" s="52">
        <v>46007.625</v>
      </c>
      <c r="G445" s="53">
        <f t="shared" si="25"/>
        <v>1.9986111111138598</v>
      </c>
      <c r="H445" s="1" t="s">
        <v>257</v>
      </c>
      <c r="J445" s="1" t="s">
        <v>258</v>
      </c>
      <c r="K445" s="1" t="str">
        <f>_xlfn.XLOOKUP(J445,REF!$D$2:$D$12,REF!$E$2:$E$12)</f>
        <v>Rede</v>
      </c>
      <c r="L445" s="1" t="s">
        <v>2089</v>
      </c>
      <c r="M445" s="1" t="s">
        <v>260</v>
      </c>
      <c r="N445" s="1" t="s">
        <v>261</v>
      </c>
      <c r="O445" s="1" t="s">
        <v>2090</v>
      </c>
      <c r="P445" s="1" t="str">
        <f t="shared" si="23"/>
        <v>CORUMBÁ I - UFV 2U02.I0546005,626388888946005,626388888946007,625</v>
      </c>
      <c r="Q445" s="1" t="str">
        <f t="shared" si="24"/>
        <v>DAURDE</v>
      </c>
    </row>
    <row r="446" spans="2:17" hidden="1">
      <c r="B446" s="1" t="s">
        <v>2118</v>
      </c>
      <c r="C446" s="1" t="s">
        <v>294</v>
      </c>
      <c r="D446" s="52">
        <v>46005.626388888886</v>
      </c>
      <c r="E446" s="52">
        <v>46005.626388888886</v>
      </c>
      <c r="F446" s="52">
        <v>46007.625</v>
      </c>
      <c r="G446" s="53">
        <f t="shared" si="25"/>
        <v>1.9986111111138598</v>
      </c>
      <c r="H446" s="1" t="s">
        <v>257</v>
      </c>
      <c r="J446" s="1" t="s">
        <v>258</v>
      </c>
      <c r="K446" s="1" t="str">
        <f>_xlfn.XLOOKUP(J446,REF!$D$2:$D$12,REF!$E$2:$E$12)</f>
        <v>Rede</v>
      </c>
      <c r="L446" s="1" t="s">
        <v>2089</v>
      </c>
      <c r="M446" s="1" t="s">
        <v>260</v>
      </c>
      <c r="N446" s="1" t="s">
        <v>261</v>
      </c>
      <c r="O446" s="1" t="s">
        <v>2090</v>
      </c>
      <c r="P446" s="1" t="str">
        <f t="shared" si="23"/>
        <v>CORUMBÁ I - UFV 2U02.I0446005,626388888946005,626388888946007,625</v>
      </c>
      <c r="Q446" s="1" t="str">
        <f t="shared" si="24"/>
        <v>DAURDE</v>
      </c>
    </row>
    <row r="447" spans="2:17" hidden="1">
      <c r="B447" s="1" t="s">
        <v>2119</v>
      </c>
      <c r="C447" s="1" t="s">
        <v>608</v>
      </c>
      <c r="D447" s="52">
        <v>46005.626388888886</v>
      </c>
      <c r="E447" s="52">
        <v>46005.626388888886</v>
      </c>
      <c r="F447" s="52">
        <v>46007.625</v>
      </c>
      <c r="G447" s="53">
        <f t="shared" si="25"/>
        <v>1.9986111111138598</v>
      </c>
      <c r="H447" s="1" t="s">
        <v>257</v>
      </c>
      <c r="J447" s="1" t="s">
        <v>258</v>
      </c>
      <c r="K447" s="1" t="str">
        <f>_xlfn.XLOOKUP(J447,REF!$D$2:$D$12,REF!$E$2:$E$12)</f>
        <v>Rede</v>
      </c>
      <c r="L447" s="1" t="s">
        <v>2089</v>
      </c>
      <c r="M447" s="1" t="s">
        <v>260</v>
      </c>
      <c r="N447" s="1" t="s">
        <v>261</v>
      </c>
      <c r="O447" s="1" t="s">
        <v>2090</v>
      </c>
      <c r="P447" s="1" t="str">
        <f t="shared" si="23"/>
        <v>CORUMBÁ I - UFV 3U03.I0146005,626388888946005,626388888946007,625</v>
      </c>
      <c r="Q447" s="1" t="str">
        <f t="shared" si="24"/>
        <v>DAURDE</v>
      </c>
    </row>
    <row r="448" spans="2:17" hidden="1">
      <c r="B448" s="1" t="s">
        <v>2119</v>
      </c>
      <c r="C448" s="1" t="s">
        <v>536</v>
      </c>
      <c r="D448" s="52">
        <v>46005.626388888886</v>
      </c>
      <c r="E448" s="52">
        <v>46005.626388888886</v>
      </c>
      <c r="F448" s="52">
        <v>46007.625</v>
      </c>
      <c r="G448" s="53">
        <f t="shared" si="25"/>
        <v>1.9986111111138598</v>
      </c>
      <c r="H448" s="1" t="s">
        <v>257</v>
      </c>
      <c r="J448" s="1" t="s">
        <v>258</v>
      </c>
      <c r="K448" s="1" t="str">
        <f>_xlfn.XLOOKUP(J448,REF!$D$2:$D$12,REF!$E$2:$E$12)</f>
        <v>Rede</v>
      </c>
      <c r="L448" s="1" t="s">
        <v>2089</v>
      </c>
      <c r="M448" s="1" t="s">
        <v>260</v>
      </c>
      <c r="N448" s="1" t="s">
        <v>261</v>
      </c>
      <c r="O448" s="1" t="s">
        <v>2090</v>
      </c>
      <c r="P448" s="1" t="str">
        <f t="shared" si="23"/>
        <v>CORUMBÁ I - UFV 3U03.I0346005,626388888946005,626388888946007,625</v>
      </c>
      <c r="Q448" s="1" t="str">
        <f t="shared" si="24"/>
        <v>DAURDE</v>
      </c>
    </row>
    <row r="449" spans="2:17" hidden="1">
      <c r="B449" s="1" t="s">
        <v>2119</v>
      </c>
      <c r="C449" s="1" t="s">
        <v>611</v>
      </c>
      <c r="D449" s="52">
        <v>46005.626388888886</v>
      </c>
      <c r="E449" s="52">
        <v>46005.626388888886</v>
      </c>
      <c r="F449" s="52">
        <v>46007.625</v>
      </c>
      <c r="G449" s="53">
        <f t="shared" si="25"/>
        <v>1.9986111111138598</v>
      </c>
      <c r="H449" s="1" t="s">
        <v>257</v>
      </c>
      <c r="J449" s="1" t="s">
        <v>258</v>
      </c>
      <c r="K449" s="1" t="str">
        <f>_xlfn.XLOOKUP(J449,REF!$D$2:$D$12,REF!$E$2:$E$12)</f>
        <v>Rede</v>
      </c>
      <c r="L449" s="1" t="s">
        <v>2089</v>
      </c>
      <c r="M449" s="1" t="s">
        <v>260</v>
      </c>
      <c r="N449" s="1" t="s">
        <v>261</v>
      </c>
      <c r="O449" s="1" t="s">
        <v>2090</v>
      </c>
      <c r="P449" s="1" t="str">
        <f t="shared" si="23"/>
        <v>CORUMBÁ I - UFV 3U03.I0246005,626388888946005,626388888946007,625</v>
      </c>
      <c r="Q449" s="1" t="str">
        <f t="shared" si="24"/>
        <v>DAURDE</v>
      </c>
    </row>
    <row r="450" spans="2:17" hidden="1">
      <c r="B450" s="1" t="s">
        <v>2120</v>
      </c>
      <c r="C450" s="1" t="s">
        <v>726</v>
      </c>
      <c r="D450" s="52">
        <v>46005.626388888886</v>
      </c>
      <c r="E450" s="52">
        <v>46005.626388888886</v>
      </c>
      <c r="F450" s="52">
        <v>46007.625</v>
      </c>
      <c r="G450" s="53">
        <f t="shared" si="25"/>
        <v>1.9986111111138598</v>
      </c>
      <c r="H450" s="1" t="s">
        <v>257</v>
      </c>
      <c r="J450" s="1" t="s">
        <v>258</v>
      </c>
      <c r="K450" s="1" t="str">
        <f>_xlfn.XLOOKUP(J450,REF!$D$2:$D$12,REF!$E$2:$E$12)</f>
        <v>Rede</v>
      </c>
      <c r="L450" s="1" t="s">
        <v>2089</v>
      </c>
      <c r="M450" s="1" t="s">
        <v>260</v>
      </c>
      <c r="N450" s="1" t="s">
        <v>261</v>
      </c>
      <c r="O450" s="1" t="s">
        <v>2090</v>
      </c>
      <c r="P450" s="1" t="str">
        <f t="shared" si="23"/>
        <v>CORUMBÁ II - UFV 1U01. I0146005,626388888946005,626388888946007,625</v>
      </c>
      <c r="Q450" s="1" t="str">
        <f t="shared" si="24"/>
        <v>DAURDE</v>
      </c>
    </row>
    <row r="451" spans="2:17" hidden="1">
      <c r="B451" s="1" t="s">
        <v>2120</v>
      </c>
      <c r="C451" s="1" t="s">
        <v>263</v>
      </c>
      <c r="D451" s="52">
        <v>46005.626388888886</v>
      </c>
      <c r="E451" s="52">
        <v>46005.626388888886</v>
      </c>
      <c r="F451" s="52">
        <v>46007.625</v>
      </c>
      <c r="G451" s="53">
        <f t="shared" si="25"/>
        <v>1.9986111111138598</v>
      </c>
      <c r="H451" s="1" t="s">
        <v>257</v>
      </c>
      <c r="J451" s="1" t="s">
        <v>258</v>
      </c>
      <c r="K451" s="1" t="str">
        <f>_xlfn.XLOOKUP(J451,REF!$D$2:$D$12,REF!$E$2:$E$12)</f>
        <v>Rede</v>
      </c>
      <c r="L451" s="1" t="s">
        <v>2089</v>
      </c>
      <c r="M451" s="1" t="s">
        <v>260</v>
      </c>
      <c r="N451" s="1" t="s">
        <v>261</v>
      </c>
      <c r="O451" s="1" t="s">
        <v>2090</v>
      </c>
      <c r="P451" s="1" t="str">
        <f t="shared" ref="P451:P514" si="26">_xlfn.CONCAT(B451,C451,D451,E451,F451)</f>
        <v>CORUMBÁ II - UFV 1Inverter(MBUS-14)46005,626388888946005,626388888946007,625</v>
      </c>
      <c r="Q451" s="1" t="str">
        <f t="shared" ref="Q451:Q514" si="27">_xlfn.CONCAT(H451,I451,J451)</f>
        <v>DAURDE</v>
      </c>
    </row>
    <row r="452" spans="2:17" hidden="1">
      <c r="B452" s="1" t="s">
        <v>2120</v>
      </c>
      <c r="C452" s="1" t="s">
        <v>390</v>
      </c>
      <c r="D452" s="52">
        <v>46005.626388888886</v>
      </c>
      <c r="E452" s="52">
        <v>46005.626388888886</v>
      </c>
      <c r="F452" s="52">
        <v>46007.625</v>
      </c>
      <c r="G452" s="53">
        <f t="shared" si="25"/>
        <v>1.9986111111138598</v>
      </c>
      <c r="H452" s="1" t="s">
        <v>257</v>
      </c>
      <c r="J452" s="1" t="s">
        <v>258</v>
      </c>
      <c r="K452" s="1" t="str">
        <f>_xlfn.XLOOKUP(J452,REF!$D$2:$D$12,REF!$E$2:$E$12)</f>
        <v>Rede</v>
      </c>
      <c r="L452" s="1" t="s">
        <v>2089</v>
      </c>
      <c r="M452" s="1" t="s">
        <v>260</v>
      </c>
      <c r="N452" s="1" t="s">
        <v>261</v>
      </c>
      <c r="O452" s="1" t="s">
        <v>2090</v>
      </c>
      <c r="P452" s="1" t="str">
        <f t="shared" si="26"/>
        <v>CORUMBÁ II - UFV 1Inverter(MBUS-16)46005,626388888946005,626388888946007,625</v>
      </c>
      <c r="Q452" s="1" t="str">
        <f t="shared" si="27"/>
        <v>DAURDE</v>
      </c>
    </row>
    <row r="453" spans="2:17" hidden="1">
      <c r="B453" s="1" t="s">
        <v>2120</v>
      </c>
      <c r="C453" s="1" t="s">
        <v>727</v>
      </c>
      <c r="D453" s="52">
        <v>46005.626388888886</v>
      </c>
      <c r="E453" s="52">
        <v>46005.626388888886</v>
      </c>
      <c r="F453" s="52">
        <v>46007.625</v>
      </c>
      <c r="G453" s="53">
        <f t="shared" si="25"/>
        <v>1.9986111111138598</v>
      </c>
      <c r="H453" s="1" t="s">
        <v>257</v>
      </c>
      <c r="J453" s="1" t="s">
        <v>258</v>
      </c>
      <c r="K453" s="1" t="str">
        <f>_xlfn.XLOOKUP(J453,REF!$D$2:$D$12,REF!$E$2:$E$12)</f>
        <v>Rede</v>
      </c>
      <c r="L453" s="1" t="s">
        <v>2089</v>
      </c>
      <c r="M453" s="1" t="s">
        <v>260</v>
      </c>
      <c r="N453" s="1" t="s">
        <v>261</v>
      </c>
      <c r="O453" s="1" t="s">
        <v>2090</v>
      </c>
      <c r="P453" s="1" t="str">
        <f t="shared" si="26"/>
        <v>CORUMBÁ II - UFV 1U01. I0246005,626388888946005,626388888946007,625</v>
      </c>
      <c r="Q453" s="1" t="str">
        <f t="shared" si="27"/>
        <v>DAURDE</v>
      </c>
    </row>
    <row r="454" spans="2:17" hidden="1">
      <c r="B454" s="1" t="s">
        <v>2120</v>
      </c>
      <c r="C454" s="1" t="s">
        <v>307</v>
      </c>
      <c r="D454" s="52">
        <v>46005.626388888886</v>
      </c>
      <c r="E454" s="52">
        <v>46005.626388888886</v>
      </c>
      <c r="F454" s="52">
        <v>46007.625</v>
      </c>
      <c r="G454" s="53">
        <f t="shared" si="25"/>
        <v>1.9986111111138598</v>
      </c>
      <c r="H454" s="1" t="s">
        <v>257</v>
      </c>
      <c r="J454" s="1" t="s">
        <v>258</v>
      </c>
      <c r="K454" s="1" t="str">
        <f>_xlfn.XLOOKUP(J454,REF!$D$2:$D$12,REF!$E$2:$E$12)</f>
        <v>Rede</v>
      </c>
      <c r="L454" s="1" t="s">
        <v>2089</v>
      </c>
      <c r="M454" s="1" t="s">
        <v>260</v>
      </c>
      <c r="N454" s="1" t="s">
        <v>261</v>
      </c>
      <c r="O454" s="1" t="s">
        <v>2090</v>
      </c>
      <c r="P454" s="1" t="str">
        <f t="shared" si="26"/>
        <v>CORUMBÁ II - UFV 1Inverter(MBUS-15)46005,626388888946005,626388888946007,625</v>
      </c>
      <c r="Q454" s="1" t="str">
        <f t="shared" si="27"/>
        <v>DAURDE</v>
      </c>
    </row>
    <row r="455" spans="2:17" hidden="1">
      <c r="B455" s="1" t="s">
        <v>2121</v>
      </c>
      <c r="C455" s="1" t="s">
        <v>294</v>
      </c>
      <c r="D455" s="52">
        <v>46005.626388888886</v>
      </c>
      <c r="E455" s="52">
        <v>46005.626388888886</v>
      </c>
      <c r="F455" s="52">
        <v>46007.625</v>
      </c>
      <c r="G455" s="53">
        <f t="shared" si="25"/>
        <v>1.9986111111138598</v>
      </c>
      <c r="H455" s="1" t="s">
        <v>257</v>
      </c>
      <c r="J455" s="1" t="s">
        <v>258</v>
      </c>
      <c r="K455" s="1" t="str">
        <f>_xlfn.XLOOKUP(J455,REF!$D$2:$D$12,REF!$E$2:$E$12)</f>
        <v>Rede</v>
      </c>
      <c r="L455" s="1" t="s">
        <v>2089</v>
      </c>
      <c r="M455" s="1" t="s">
        <v>260</v>
      </c>
      <c r="N455" s="1" t="s">
        <v>261</v>
      </c>
      <c r="O455" s="1" t="s">
        <v>2090</v>
      </c>
      <c r="P455" s="1" t="str">
        <f t="shared" si="26"/>
        <v>CORUMBÁ II - UFV 2U02.I0446005,626388888946005,626388888946007,625</v>
      </c>
      <c r="Q455" s="1" t="str">
        <f t="shared" si="27"/>
        <v>DAURDE</v>
      </c>
    </row>
    <row r="456" spans="2:17" hidden="1">
      <c r="B456" s="1" t="s">
        <v>2121</v>
      </c>
      <c r="C456" s="1" t="s">
        <v>295</v>
      </c>
      <c r="D456" s="52">
        <v>46005.626388888886</v>
      </c>
      <c r="E456" s="52">
        <v>46005.626388888886</v>
      </c>
      <c r="F456" s="52">
        <v>46007.625</v>
      </c>
      <c r="G456" s="53">
        <f t="shared" si="25"/>
        <v>1.9986111111138598</v>
      </c>
      <c r="H456" s="1" t="s">
        <v>257</v>
      </c>
      <c r="J456" s="1" t="s">
        <v>258</v>
      </c>
      <c r="K456" s="1" t="str">
        <f>_xlfn.XLOOKUP(J456,REF!$D$2:$D$12,REF!$E$2:$E$12)</f>
        <v>Rede</v>
      </c>
      <c r="L456" s="1" t="s">
        <v>2089</v>
      </c>
      <c r="M456" s="1" t="s">
        <v>260</v>
      </c>
      <c r="N456" s="1" t="s">
        <v>261</v>
      </c>
      <c r="O456" s="1" t="s">
        <v>2090</v>
      </c>
      <c r="P456" s="1" t="str">
        <f t="shared" si="26"/>
        <v>CORUMBÁ II - UFV 2U02.I0546005,626388888946005,626388888946007,625</v>
      </c>
      <c r="Q456" s="1" t="str">
        <f t="shared" si="27"/>
        <v>DAURDE</v>
      </c>
    </row>
    <row r="457" spans="2:17" hidden="1">
      <c r="B457" s="1" t="s">
        <v>2121</v>
      </c>
      <c r="C457" s="1" t="s">
        <v>293</v>
      </c>
      <c r="D457" s="52">
        <v>46005.626388888886</v>
      </c>
      <c r="E457" s="52">
        <v>46005.626388888886</v>
      </c>
      <c r="F457" s="52">
        <v>46007.625</v>
      </c>
      <c r="G457" s="53">
        <f t="shared" si="25"/>
        <v>1.9986111111138598</v>
      </c>
      <c r="H457" s="1" t="s">
        <v>257</v>
      </c>
      <c r="J457" s="1" t="s">
        <v>258</v>
      </c>
      <c r="K457" s="1" t="str">
        <f>_xlfn.XLOOKUP(J457,REF!$D$2:$D$12,REF!$E$2:$E$12)</f>
        <v>Rede</v>
      </c>
      <c r="L457" s="1" t="s">
        <v>2089</v>
      </c>
      <c r="M457" s="1" t="s">
        <v>260</v>
      </c>
      <c r="N457" s="1" t="s">
        <v>261</v>
      </c>
      <c r="O457" s="1" t="s">
        <v>2090</v>
      </c>
      <c r="P457" s="1" t="str">
        <f t="shared" si="26"/>
        <v>CORUMBÁ II - UFV 2U02.I0346005,626388888946005,626388888946007,625</v>
      </c>
      <c r="Q457" s="1" t="str">
        <f t="shared" si="27"/>
        <v>DAURDE</v>
      </c>
    </row>
    <row r="458" spans="2:17" hidden="1">
      <c r="B458" s="1" t="s">
        <v>2121</v>
      </c>
      <c r="C458" s="1" t="s">
        <v>287</v>
      </c>
      <c r="D458" s="52">
        <v>46005.626388888886</v>
      </c>
      <c r="E458" s="52">
        <v>46005.626388888886</v>
      </c>
      <c r="F458" s="52">
        <v>46007.625</v>
      </c>
      <c r="G458" s="53">
        <f t="shared" si="25"/>
        <v>1.9986111111138598</v>
      </c>
      <c r="H458" s="1" t="s">
        <v>257</v>
      </c>
      <c r="J458" s="1" t="s">
        <v>258</v>
      </c>
      <c r="K458" s="1" t="str">
        <f>_xlfn.XLOOKUP(J458,REF!$D$2:$D$12,REF!$E$2:$E$12)</f>
        <v>Rede</v>
      </c>
      <c r="L458" s="1" t="s">
        <v>2089</v>
      </c>
      <c r="M458" s="1" t="s">
        <v>260</v>
      </c>
      <c r="N458" s="1" t="s">
        <v>261</v>
      </c>
      <c r="O458" s="1" t="s">
        <v>2090</v>
      </c>
      <c r="P458" s="1" t="str">
        <f t="shared" si="26"/>
        <v>CORUMBÁ II - UFV 2U02.I0146005,626388888946005,626388888946007,625</v>
      </c>
      <c r="Q458" s="1" t="str">
        <f t="shared" si="27"/>
        <v>DAURDE</v>
      </c>
    </row>
    <row r="459" spans="2:17" hidden="1">
      <c r="B459" s="1" t="s">
        <v>2121</v>
      </c>
      <c r="C459" s="1" t="s">
        <v>292</v>
      </c>
      <c r="D459" s="52">
        <v>46005.626388888886</v>
      </c>
      <c r="E459" s="52">
        <v>46005.626388888886</v>
      </c>
      <c r="F459" s="52">
        <v>46007.625</v>
      </c>
      <c r="G459" s="53">
        <f t="shared" si="25"/>
        <v>1.9986111111138598</v>
      </c>
      <c r="H459" s="1" t="s">
        <v>257</v>
      </c>
      <c r="J459" s="1" t="s">
        <v>258</v>
      </c>
      <c r="K459" s="1" t="str">
        <f>_xlfn.XLOOKUP(J459,REF!$D$2:$D$12,REF!$E$2:$E$12)</f>
        <v>Rede</v>
      </c>
      <c r="L459" s="1" t="s">
        <v>2089</v>
      </c>
      <c r="M459" s="1" t="s">
        <v>260</v>
      </c>
      <c r="N459" s="1" t="s">
        <v>261</v>
      </c>
      <c r="O459" s="1" t="s">
        <v>2090</v>
      </c>
      <c r="P459" s="1" t="str">
        <f t="shared" si="26"/>
        <v>CORUMBÁ II - UFV 2U02.I0246005,626388888946005,626388888946007,625</v>
      </c>
      <c r="Q459" s="1" t="str">
        <f t="shared" si="27"/>
        <v>DAURDE</v>
      </c>
    </row>
    <row r="460" spans="2:17" hidden="1">
      <c r="B460" s="1" t="s">
        <v>2122</v>
      </c>
      <c r="C460" s="1" t="s">
        <v>536</v>
      </c>
      <c r="D460" s="52">
        <v>46005.626388888886</v>
      </c>
      <c r="E460" s="52">
        <v>46005.626388888886</v>
      </c>
      <c r="F460" s="52">
        <v>46007.625</v>
      </c>
      <c r="G460" s="53">
        <f t="shared" si="25"/>
        <v>1.9986111111138598</v>
      </c>
      <c r="H460" s="1" t="s">
        <v>257</v>
      </c>
      <c r="J460" s="1" t="s">
        <v>258</v>
      </c>
      <c r="K460" s="1" t="str">
        <f>_xlfn.XLOOKUP(J460,REF!$D$2:$D$12,REF!$E$2:$E$12)</f>
        <v>Rede</v>
      </c>
      <c r="L460" s="1" t="s">
        <v>2089</v>
      </c>
      <c r="M460" s="1" t="s">
        <v>260</v>
      </c>
      <c r="N460" s="1" t="s">
        <v>261</v>
      </c>
      <c r="O460" s="1" t="s">
        <v>2090</v>
      </c>
      <c r="P460" s="1" t="str">
        <f t="shared" si="26"/>
        <v>CORUMBÁ II - UFV 3U03.I0346005,626388888946005,626388888946007,625</v>
      </c>
      <c r="Q460" s="1" t="str">
        <f t="shared" si="27"/>
        <v>DAURDE</v>
      </c>
    </row>
    <row r="461" spans="2:17" hidden="1">
      <c r="B461" s="1" t="s">
        <v>2122</v>
      </c>
      <c r="C461" s="1" t="s">
        <v>611</v>
      </c>
      <c r="D461" s="52">
        <v>46005.626388888886</v>
      </c>
      <c r="E461" s="52">
        <v>46005.626388888886</v>
      </c>
      <c r="F461" s="52">
        <v>46007.625</v>
      </c>
      <c r="G461" s="53">
        <f t="shared" si="25"/>
        <v>1.9986111111138598</v>
      </c>
      <c r="H461" s="1" t="s">
        <v>257</v>
      </c>
      <c r="J461" s="1" t="s">
        <v>258</v>
      </c>
      <c r="K461" s="1" t="str">
        <f>_xlfn.XLOOKUP(J461,REF!$D$2:$D$12,REF!$E$2:$E$12)</f>
        <v>Rede</v>
      </c>
      <c r="L461" s="1" t="s">
        <v>2089</v>
      </c>
      <c r="M461" s="1" t="s">
        <v>260</v>
      </c>
      <c r="N461" s="1" t="s">
        <v>261</v>
      </c>
      <c r="O461" s="1" t="s">
        <v>2090</v>
      </c>
      <c r="P461" s="1" t="str">
        <f t="shared" si="26"/>
        <v>CORUMBÁ II - UFV 3U03.I0246005,626388888946005,626388888946007,625</v>
      </c>
      <c r="Q461" s="1" t="str">
        <f t="shared" si="27"/>
        <v>DAURDE</v>
      </c>
    </row>
    <row r="462" spans="2:17" hidden="1">
      <c r="B462" s="1" t="s">
        <v>2122</v>
      </c>
      <c r="C462" s="1" t="s">
        <v>608</v>
      </c>
      <c r="D462" s="52">
        <v>46005.626388888886</v>
      </c>
      <c r="E462" s="52">
        <v>46005.626388888886</v>
      </c>
      <c r="F462" s="52">
        <v>46007.625</v>
      </c>
      <c r="G462" s="53">
        <f t="shared" si="25"/>
        <v>1.9986111111138598</v>
      </c>
      <c r="H462" s="1" t="s">
        <v>257</v>
      </c>
      <c r="J462" s="1" t="s">
        <v>258</v>
      </c>
      <c r="K462" s="1" t="str">
        <f>_xlfn.XLOOKUP(J462,REF!$D$2:$D$12,REF!$E$2:$E$12)</f>
        <v>Rede</v>
      </c>
      <c r="L462" s="1" t="s">
        <v>2089</v>
      </c>
      <c r="M462" s="1" t="s">
        <v>260</v>
      </c>
      <c r="N462" s="1" t="s">
        <v>261</v>
      </c>
      <c r="O462" s="1" t="s">
        <v>2090</v>
      </c>
      <c r="P462" s="1" t="str">
        <f t="shared" si="26"/>
        <v>CORUMBÁ II - UFV 3U03.I0146005,626388888946005,626388888946007,625</v>
      </c>
      <c r="Q462" s="1" t="str">
        <f t="shared" si="27"/>
        <v>DAURDE</v>
      </c>
    </row>
    <row r="463" spans="2:17" hidden="1">
      <c r="B463" s="1" t="s">
        <v>327</v>
      </c>
      <c r="C463" s="1" t="s">
        <v>247</v>
      </c>
      <c r="D463" s="52">
        <v>46003.536805555559</v>
      </c>
      <c r="E463" s="52">
        <v>46003.536805555559</v>
      </c>
      <c r="F463" s="52">
        <v>46003.554861111108</v>
      </c>
      <c r="G463" s="53">
        <f t="shared" si="25"/>
        <v>1.805555554892635E-2</v>
      </c>
      <c r="H463" s="1" t="s">
        <v>257</v>
      </c>
      <c r="J463" s="1" t="s">
        <v>258</v>
      </c>
      <c r="K463" s="1" t="str">
        <f>_xlfn.XLOOKUP(J463,REF!$D$2:$D$12,REF!$E$2:$E$12)</f>
        <v>Rede</v>
      </c>
      <c r="L463" s="1" t="s">
        <v>541</v>
      </c>
      <c r="M463" s="1" t="s">
        <v>2108</v>
      </c>
      <c r="N463" s="1" t="s">
        <v>357</v>
      </c>
      <c r="O463" s="1" t="s">
        <v>2111</v>
      </c>
      <c r="P463" s="1" t="str">
        <f t="shared" si="26"/>
        <v>BC Aracu5.1Inverter(MBUS-1)46003,536805555646003,536805555646003,5548611111</v>
      </c>
      <c r="Q463" s="1" t="str">
        <f t="shared" si="27"/>
        <v>DAURDE</v>
      </c>
    </row>
    <row r="464" spans="2:17" hidden="1">
      <c r="B464" s="1" t="s">
        <v>246</v>
      </c>
      <c r="C464" s="1" t="s">
        <v>247</v>
      </c>
      <c r="D464" s="52">
        <v>46003.536805555559</v>
      </c>
      <c r="E464" s="52">
        <v>46003.536805555559</v>
      </c>
      <c r="F464" s="52">
        <v>46003.554861111108</v>
      </c>
      <c r="G464" s="53">
        <f t="shared" si="25"/>
        <v>1.805555554892635E-2</v>
      </c>
      <c r="H464" s="1" t="s">
        <v>257</v>
      </c>
      <c r="J464" s="1" t="s">
        <v>258</v>
      </c>
      <c r="K464" s="1" t="str">
        <f>_xlfn.XLOOKUP(J464,REF!$D$2:$D$12,REF!$E$2:$E$12)</f>
        <v>Rede</v>
      </c>
      <c r="L464" s="1" t="s">
        <v>541</v>
      </c>
      <c r="M464" s="1" t="s">
        <v>2108</v>
      </c>
      <c r="N464" s="1" t="s">
        <v>357</v>
      </c>
      <c r="O464" s="1" t="s">
        <v>2111</v>
      </c>
      <c r="P464" s="1" t="str">
        <f t="shared" si="26"/>
        <v>BC Aracu5.2Inverter(MBUS-1)46003,536805555646003,536805555646003,5548611111</v>
      </c>
      <c r="Q464" s="1" t="str">
        <f t="shared" si="27"/>
        <v>DAURDE</v>
      </c>
    </row>
    <row r="465" spans="2:17" hidden="1">
      <c r="B465" s="1" t="s">
        <v>328</v>
      </c>
      <c r="C465" s="1" t="s">
        <v>247</v>
      </c>
      <c r="D465" s="52">
        <v>46003.536805555559</v>
      </c>
      <c r="E465" s="52">
        <v>46003.536805555559</v>
      </c>
      <c r="F465" s="52">
        <v>46003.554861111108</v>
      </c>
      <c r="G465" s="53">
        <f t="shared" si="25"/>
        <v>1.805555554892635E-2</v>
      </c>
      <c r="H465" s="1" t="s">
        <v>257</v>
      </c>
      <c r="J465" s="1" t="s">
        <v>258</v>
      </c>
      <c r="K465" s="1" t="str">
        <f>_xlfn.XLOOKUP(J465,REF!$D$2:$D$12,REF!$E$2:$E$12)</f>
        <v>Rede</v>
      </c>
      <c r="L465" s="1" t="s">
        <v>541</v>
      </c>
      <c r="M465" s="1" t="s">
        <v>2108</v>
      </c>
      <c r="N465" s="1" t="s">
        <v>357</v>
      </c>
      <c r="O465" s="1" t="s">
        <v>2111</v>
      </c>
      <c r="P465" s="1" t="str">
        <f t="shared" si="26"/>
        <v>BC Aracu5.3Inverter(MBUS-1)46003,536805555646003,536805555646003,5548611111</v>
      </c>
      <c r="Q465" s="1" t="str">
        <f t="shared" si="27"/>
        <v>DAURDE</v>
      </c>
    </row>
    <row r="466" spans="2:17" hidden="1">
      <c r="B466" s="1" t="s">
        <v>329</v>
      </c>
      <c r="C466" s="1" t="s">
        <v>247</v>
      </c>
      <c r="D466" s="52">
        <v>46003.536805555559</v>
      </c>
      <c r="E466" s="52">
        <v>46003.536805555559</v>
      </c>
      <c r="F466" s="52">
        <v>46003.554861111108</v>
      </c>
      <c r="G466" s="53">
        <f t="shared" si="25"/>
        <v>1.805555554892635E-2</v>
      </c>
      <c r="H466" s="1" t="s">
        <v>257</v>
      </c>
      <c r="J466" s="1" t="s">
        <v>258</v>
      </c>
      <c r="K466" s="1" t="str">
        <f>_xlfn.XLOOKUP(J466,REF!$D$2:$D$12,REF!$E$2:$E$12)</f>
        <v>Rede</v>
      </c>
      <c r="L466" s="1" t="s">
        <v>541</v>
      </c>
      <c r="M466" s="1" t="s">
        <v>2108</v>
      </c>
      <c r="N466" s="1" t="s">
        <v>357</v>
      </c>
      <c r="O466" s="1" t="s">
        <v>2111</v>
      </c>
      <c r="P466" s="1" t="str">
        <f t="shared" si="26"/>
        <v>BC Aracu5.4Inverter(MBUS-1)46003,536805555646003,536805555646003,5548611111</v>
      </c>
      <c r="Q466" s="1" t="str">
        <f t="shared" si="27"/>
        <v>DAURDE</v>
      </c>
    </row>
    <row r="467" spans="2:17" hidden="1">
      <c r="B467" s="1" t="s">
        <v>330</v>
      </c>
      <c r="C467" s="1" t="s">
        <v>247</v>
      </c>
      <c r="D467" s="52">
        <v>46003.536805555559</v>
      </c>
      <c r="E467" s="52">
        <v>46003.536805555559</v>
      </c>
      <c r="F467" s="52">
        <v>46003.554861111108</v>
      </c>
      <c r="G467" s="53">
        <f t="shared" si="25"/>
        <v>1.805555554892635E-2</v>
      </c>
      <c r="H467" s="1" t="s">
        <v>257</v>
      </c>
      <c r="J467" s="1" t="s">
        <v>258</v>
      </c>
      <c r="K467" s="1" t="str">
        <f>_xlfn.XLOOKUP(J467,REF!$D$2:$D$12,REF!$E$2:$E$12)</f>
        <v>Rede</v>
      </c>
      <c r="L467" s="1" t="s">
        <v>541</v>
      </c>
      <c r="M467" s="1" t="s">
        <v>2108</v>
      </c>
      <c r="N467" s="1" t="s">
        <v>357</v>
      </c>
      <c r="O467" s="1" t="s">
        <v>2111</v>
      </c>
      <c r="P467" s="1" t="str">
        <f t="shared" si="26"/>
        <v>BC Aracu5.5Inverter(MBUS-1)46003,536805555646003,536805555646003,5548611111</v>
      </c>
      <c r="Q467" s="1" t="str">
        <f t="shared" si="27"/>
        <v>DAURDE</v>
      </c>
    </row>
    <row r="468" spans="2:17" hidden="1">
      <c r="B468" s="1" t="s">
        <v>305</v>
      </c>
      <c r="C468" s="1" t="s">
        <v>256</v>
      </c>
      <c r="D468" s="52">
        <v>46003.563194444447</v>
      </c>
      <c r="E468" s="52">
        <v>46003.563194444447</v>
      </c>
      <c r="F468" s="52">
        <v>46003.607638888891</v>
      </c>
      <c r="G468" s="53">
        <f t="shared" si="25"/>
        <v>4.4444444443797693E-2</v>
      </c>
      <c r="H468" s="1" t="s">
        <v>257</v>
      </c>
      <c r="J468" s="1" t="s">
        <v>258</v>
      </c>
      <c r="K468" s="1" t="str">
        <f>_xlfn.XLOOKUP(J468,REF!$D$2:$D$12,REF!$E$2:$E$12)</f>
        <v>Rede</v>
      </c>
      <c r="L468" s="1" t="s">
        <v>635</v>
      </c>
      <c r="M468" s="1" t="s">
        <v>2108</v>
      </c>
      <c r="N468" s="1" t="s">
        <v>357</v>
      </c>
      <c r="O468" s="1" t="s">
        <v>2111</v>
      </c>
      <c r="P468" s="1" t="str">
        <f t="shared" si="26"/>
        <v>ARAGUATINS 1.1Inverter(MBUS-12)46003,563194444446003,563194444446003,6076388889</v>
      </c>
      <c r="Q468" s="1" t="str">
        <f t="shared" si="27"/>
        <v>DAURDE</v>
      </c>
    </row>
    <row r="469" spans="2:17" hidden="1">
      <c r="B469" s="1" t="s">
        <v>305</v>
      </c>
      <c r="C469" s="1" t="s">
        <v>264</v>
      </c>
      <c r="D469" s="52">
        <v>46003.563194444447</v>
      </c>
      <c r="E469" s="52">
        <v>46003.563194444447</v>
      </c>
      <c r="F469" s="52">
        <v>46003.607638888891</v>
      </c>
      <c r="G469" s="53">
        <f t="shared" si="25"/>
        <v>4.4444444443797693E-2</v>
      </c>
      <c r="H469" s="1" t="s">
        <v>257</v>
      </c>
      <c r="J469" s="1" t="s">
        <v>258</v>
      </c>
      <c r="K469" s="1" t="str">
        <f>_xlfn.XLOOKUP(J469,REF!$D$2:$D$12,REF!$E$2:$E$12)</f>
        <v>Rede</v>
      </c>
      <c r="L469" s="1" t="s">
        <v>635</v>
      </c>
      <c r="M469" s="1" t="s">
        <v>2108</v>
      </c>
      <c r="N469" s="1" t="s">
        <v>357</v>
      </c>
      <c r="O469" s="1" t="s">
        <v>2111</v>
      </c>
      <c r="P469" s="1" t="str">
        <f t="shared" si="26"/>
        <v>ARAGUATINS 1.1Inverter(MBUS-13)46003,563194444446003,563194444446003,6076388889</v>
      </c>
      <c r="Q469" s="1" t="str">
        <f t="shared" si="27"/>
        <v>DAURDE</v>
      </c>
    </row>
    <row r="470" spans="2:17" hidden="1">
      <c r="B470" s="1" t="s">
        <v>305</v>
      </c>
      <c r="C470" s="1" t="s">
        <v>263</v>
      </c>
      <c r="D470" s="52">
        <v>46003.563194444447</v>
      </c>
      <c r="E470" s="52">
        <v>46003.563194444447</v>
      </c>
      <c r="F470" s="52">
        <v>46003.607638888891</v>
      </c>
      <c r="G470" s="53">
        <f t="shared" si="25"/>
        <v>4.4444444443797693E-2</v>
      </c>
      <c r="H470" s="1" t="s">
        <v>257</v>
      </c>
      <c r="J470" s="1" t="s">
        <v>258</v>
      </c>
      <c r="K470" s="1" t="str">
        <f>_xlfn.XLOOKUP(J470,REF!$D$2:$D$12,REF!$E$2:$E$12)</f>
        <v>Rede</v>
      </c>
      <c r="L470" s="1" t="s">
        <v>635</v>
      </c>
      <c r="M470" s="1" t="s">
        <v>2108</v>
      </c>
      <c r="N470" s="1" t="s">
        <v>357</v>
      </c>
      <c r="O470" s="1" t="s">
        <v>2111</v>
      </c>
      <c r="P470" s="1" t="str">
        <f t="shared" si="26"/>
        <v>ARAGUATINS 1.1Inverter(MBUS-14)46003,563194444446003,563194444446003,6076388889</v>
      </c>
      <c r="Q470" s="1" t="str">
        <f t="shared" si="27"/>
        <v>DAURDE</v>
      </c>
    </row>
    <row r="471" spans="2:17" hidden="1">
      <c r="B471" s="1" t="s">
        <v>305</v>
      </c>
      <c r="C471" s="1" t="s">
        <v>307</v>
      </c>
      <c r="D471" s="52">
        <v>46003.563194444447</v>
      </c>
      <c r="E471" s="52">
        <v>46003.563194444447</v>
      </c>
      <c r="F471" s="52">
        <v>46003.607638888891</v>
      </c>
      <c r="G471" s="53">
        <f t="shared" si="25"/>
        <v>4.4444444443797693E-2</v>
      </c>
      <c r="H471" s="1" t="s">
        <v>257</v>
      </c>
      <c r="J471" s="1" t="s">
        <v>258</v>
      </c>
      <c r="K471" s="1" t="str">
        <f>_xlfn.XLOOKUP(J471,REF!$D$2:$D$12,REF!$E$2:$E$12)</f>
        <v>Rede</v>
      </c>
      <c r="L471" s="1" t="s">
        <v>635</v>
      </c>
      <c r="M471" s="1" t="s">
        <v>2108</v>
      </c>
      <c r="N471" s="1" t="s">
        <v>357</v>
      </c>
      <c r="O471" s="1" t="s">
        <v>2111</v>
      </c>
      <c r="P471" s="1" t="str">
        <f t="shared" si="26"/>
        <v>ARAGUATINS 1.1Inverter(MBUS-15)46003,563194444446003,563194444446003,6076388889</v>
      </c>
      <c r="Q471" s="1" t="str">
        <f t="shared" si="27"/>
        <v>DAURDE</v>
      </c>
    </row>
    <row r="472" spans="2:17" hidden="1">
      <c r="B472" s="1" t="s">
        <v>308</v>
      </c>
      <c r="C472" s="1" t="s">
        <v>256</v>
      </c>
      <c r="D472" s="52">
        <v>46003.563194444447</v>
      </c>
      <c r="E472" s="52">
        <v>46003.563194444447</v>
      </c>
      <c r="F472" s="52">
        <v>46003.607638888891</v>
      </c>
      <c r="G472" s="53">
        <f t="shared" si="25"/>
        <v>4.4444444443797693E-2</v>
      </c>
      <c r="H472" s="1" t="s">
        <v>257</v>
      </c>
      <c r="J472" s="1" t="s">
        <v>258</v>
      </c>
      <c r="K472" s="1" t="str">
        <f>_xlfn.XLOOKUP(J472,REF!$D$2:$D$12,REF!$E$2:$E$12)</f>
        <v>Rede</v>
      </c>
      <c r="L472" s="1" t="s">
        <v>635</v>
      </c>
      <c r="M472" s="1" t="s">
        <v>2108</v>
      </c>
      <c r="N472" s="1" t="s">
        <v>357</v>
      </c>
      <c r="O472" s="1" t="s">
        <v>2111</v>
      </c>
      <c r="P472" s="1" t="str">
        <f t="shared" si="26"/>
        <v>ARAGUATINS 1.2Inverter(MBUS-12)46003,563194444446003,563194444446003,6076388889</v>
      </c>
      <c r="Q472" s="1" t="str">
        <f t="shared" si="27"/>
        <v>DAURDE</v>
      </c>
    </row>
    <row r="473" spans="2:17" hidden="1">
      <c r="B473" s="1" t="s">
        <v>308</v>
      </c>
      <c r="C473" s="1" t="s">
        <v>264</v>
      </c>
      <c r="D473" s="52">
        <v>46003.563194444447</v>
      </c>
      <c r="E473" s="52">
        <v>46003.563194444447</v>
      </c>
      <c r="F473" s="52">
        <v>46003.607638888891</v>
      </c>
      <c r="G473" s="53">
        <f t="shared" si="25"/>
        <v>4.4444444443797693E-2</v>
      </c>
      <c r="H473" s="1" t="s">
        <v>257</v>
      </c>
      <c r="J473" s="1" t="s">
        <v>258</v>
      </c>
      <c r="K473" s="1" t="str">
        <f>_xlfn.XLOOKUP(J473,REF!$D$2:$D$12,REF!$E$2:$E$12)</f>
        <v>Rede</v>
      </c>
      <c r="L473" s="1" t="s">
        <v>635</v>
      </c>
      <c r="M473" s="1" t="s">
        <v>2108</v>
      </c>
      <c r="N473" s="1" t="s">
        <v>357</v>
      </c>
      <c r="O473" s="1" t="s">
        <v>2111</v>
      </c>
      <c r="P473" s="1" t="str">
        <f t="shared" si="26"/>
        <v>ARAGUATINS 1.2Inverter(MBUS-13)46003,563194444446003,563194444446003,6076388889</v>
      </c>
      <c r="Q473" s="1" t="str">
        <f t="shared" si="27"/>
        <v>DAURDE</v>
      </c>
    </row>
    <row r="474" spans="2:17" hidden="1">
      <c r="B474" s="1" t="s">
        <v>308</v>
      </c>
      <c r="C474" s="1" t="s">
        <v>263</v>
      </c>
      <c r="D474" s="52">
        <v>46003.563194444447</v>
      </c>
      <c r="E474" s="52">
        <v>46003.563194444447</v>
      </c>
      <c r="F474" s="52">
        <v>46003.607638888891</v>
      </c>
      <c r="G474" s="53">
        <f t="shared" si="25"/>
        <v>4.4444444443797693E-2</v>
      </c>
      <c r="H474" s="1" t="s">
        <v>257</v>
      </c>
      <c r="J474" s="1" t="s">
        <v>258</v>
      </c>
      <c r="K474" s="1" t="str">
        <f>_xlfn.XLOOKUP(J474,REF!$D$2:$D$12,REF!$E$2:$E$12)</f>
        <v>Rede</v>
      </c>
      <c r="L474" s="1" t="s">
        <v>635</v>
      </c>
      <c r="M474" s="1" t="s">
        <v>2108</v>
      </c>
      <c r="N474" s="1" t="s">
        <v>357</v>
      </c>
      <c r="O474" s="1" t="s">
        <v>2111</v>
      </c>
      <c r="P474" s="1" t="str">
        <f t="shared" si="26"/>
        <v>ARAGUATINS 1.2Inverter(MBUS-14)46003,563194444446003,563194444446003,6076388889</v>
      </c>
      <c r="Q474" s="1" t="str">
        <f t="shared" si="27"/>
        <v>DAURDE</v>
      </c>
    </row>
    <row r="475" spans="2:17" hidden="1">
      <c r="B475" s="1" t="s">
        <v>308</v>
      </c>
      <c r="C475" s="1" t="s">
        <v>307</v>
      </c>
      <c r="D475" s="52">
        <v>46003.563194444447</v>
      </c>
      <c r="E475" s="52">
        <v>46003.563194444447</v>
      </c>
      <c r="F475" s="52">
        <v>46003.607638888891</v>
      </c>
      <c r="G475" s="53">
        <f t="shared" si="25"/>
        <v>4.4444444443797693E-2</v>
      </c>
      <c r="H475" s="1" t="s">
        <v>257</v>
      </c>
      <c r="J475" s="1" t="s">
        <v>258</v>
      </c>
      <c r="K475" s="1" t="str">
        <f>_xlfn.XLOOKUP(J475,REF!$D$2:$D$12,REF!$E$2:$E$12)</f>
        <v>Rede</v>
      </c>
      <c r="L475" s="1" t="s">
        <v>635</v>
      </c>
      <c r="M475" s="1" t="s">
        <v>2108</v>
      </c>
      <c r="N475" s="1" t="s">
        <v>357</v>
      </c>
      <c r="O475" s="1" t="s">
        <v>2111</v>
      </c>
      <c r="P475" s="1" t="str">
        <f t="shared" si="26"/>
        <v>ARAGUATINS 1.2Inverter(MBUS-15)46003,563194444446003,563194444446003,6076388889</v>
      </c>
      <c r="Q475" s="1" t="str">
        <f t="shared" si="27"/>
        <v>DAURDE</v>
      </c>
    </row>
    <row r="476" spans="2:17" hidden="1">
      <c r="B476" s="1" t="s">
        <v>309</v>
      </c>
      <c r="C476" s="1" t="s">
        <v>310</v>
      </c>
      <c r="D476" s="52">
        <v>46003.563194444447</v>
      </c>
      <c r="E476" s="52">
        <v>46003.563194444447</v>
      </c>
      <c r="F476" s="52">
        <v>46003.607638888891</v>
      </c>
      <c r="G476" s="53">
        <f t="shared" si="25"/>
        <v>4.4444444443797693E-2</v>
      </c>
      <c r="H476" s="1" t="s">
        <v>257</v>
      </c>
      <c r="J476" s="1" t="s">
        <v>258</v>
      </c>
      <c r="K476" s="1" t="str">
        <f>_xlfn.XLOOKUP(J476,REF!$D$2:$D$12,REF!$E$2:$E$12)</f>
        <v>Rede</v>
      </c>
      <c r="L476" s="1" t="s">
        <v>635</v>
      </c>
      <c r="M476" s="1" t="s">
        <v>2108</v>
      </c>
      <c r="N476" s="1" t="s">
        <v>357</v>
      </c>
      <c r="O476" s="1" t="s">
        <v>2111</v>
      </c>
      <c r="P476" s="1" t="str">
        <f t="shared" si="26"/>
        <v>ARAGUATINS 1.3Inverter(MBUS-20)46003,563194444446003,563194444446003,6076388889</v>
      </c>
      <c r="Q476" s="1" t="str">
        <f t="shared" si="27"/>
        <v>DAURDE</v>
      </c>
    </row>
    <row r="477" spans="2:17" hidden="1">
      <c r="B477" s="1" t="s">
        <v>309</v>
      </c>
      <c r="C477" s="1" t="s">
        <v>247</v>
      </c>
      <c r="D477" s="52">
        <v>46003.563194444447</v>
      </c>
      <c r="E477" s="52">
        <v>46003.563194444447</v>
      </c>
      <c r="F477" s="52">
        <v>46003.607638888891</v>
      </c>
      <c r="G477" s="53">
        <f t="shared" si="25"/>
        <v>4.4444444443797693E-2</v>
      </c>
      <c r="H477" s="1" t="s">
        <v>257</v>
      </c>
      <c r="J477" s="1" t="s">
        <v>258</v>
      </c>
      <c r="K477" s="1" t="str">
        <f>_xlfn.XLOOKUP(J477,REF!$D$2:$D$12,REF!$E$2:$E$12)</f>
        <v>Rede</v>
      </c>
      <c r="L477" s="1" t="s">
        <v>635</v>
      </c>
      <c r="M477" s="1" t="s">
        <v>2108</v>
      </c>
      <c r="N477" s="1" t="s">
        <v>357</v>
      </c>
      <c r="O477" s="1" t="s">
        <v>2111</v>
      </c>
      <c r="P477" s="1" t="str">
        <f t="shared" si="26"/>
        <v>ARAGUATINS 1.3Inverter(MBUS-1)46003,563194444446003,563194444446003,6076388889</v>
      </c>
      <c r="Q477" s="1" t="str">
        <f t="shared" si="27"/>
        <v>DAURDE</v>
      </c>
    </row>
    <row r="478" spans="2:17" hidden="1">
      <c r="B478" s="1" t="s">
        <v>311</v>
      </c>
      <c r="C478" s="1" t="s">
        <v>256</v>
      </c>
      <c r="D478" s="52">
        <v>46003.563194444447</v>
      </c>
      <c r="E478" s="52">
        <v>46003.563194444447</v>
      </c>
      <c r="F478" s="52">
        <v>46003.607638888891</v>
      </c>
      <c r="G478" s="53">
        <f t="shared" si="25"/>
        <v>4.4444444443797693E-2</v>
      </c>
      <c r="H478" s="1" t="s">
        <v>257</v>
      </c>
      <c r="J478" s="1" t="s">
        <v>258</v>
      </c>
      <c r="K478" s="1" t="str">
        <f>_xlfn.XLOOKUP(J478,REF!$D$2:$D$12,REF!$E$2:$E$12)</f>
        <v>Rede</v>
      </c>
      <c r="L478" s="1" t="s">
        <v>635</v>
      </c>
      <c r="M478" s="1" t="s">
        <v>2108</v>
      </c>
      <c r="N478" s="1" t="s">
        <v>357</v>
      </c>
      <c r="O478" s="1" t="s">
        <v>2111</v>
      </c>
      <c r="P478" s="1" t="str">
        <f t="shared" si="26"/>
        <v>ARAGUATINS 2.1Inverter(MBUS-12)46003,563194444446003,563194444446003,6076388889</v>
      </c>
      <c r="Q478" s="1" t="str">
        <f t="shared" si="27"/>
        <v>DAURDE</v>
      </c>
    </row>
    <row r="479" spans="2:17" hidden="1">
      <c r="B479" s="1" t="s">
        <v>311</v>
      </c>
      <c r="C479" s="1" t="s">
        <v>307</v>
      </c>
      <c r="D479" s="52">
        <v>46003.563194444447</v>
      </c>
      <c r="E479" s="52">
        <v>46003.563194444447</v>
      </c>
      <c r="F479" s="52">
        <v>46003.607638888891</v>
      </c>
      <c r="G479" s="53">
        <f t="shared" si="25"/>
        <v>4.4444444443797693E-2</v>
      </c>
      <c r="H479" s="1" t="s">
        <v>257</v>
      </c>
      <c r="J479" s="1" t="s">
        <v>258</v>
      </c>
      <c r="K479" s="1" t="str">
        <f>_xlfn.XLOOKUP(J479,REF!$D$2:$D$12,REF!$E$2:$E$12)</f>
        <v>Rede</v>
      </c>
      <c r="L479" s="1" t="s">
        <v>635</v>
      </c>
      <c r="M479" s="1" t="s">
        <v>2108</v>
      </c>
      <c r="N479" s="1" t="s">
        <v>357</v>
      </c>
      <c r="O479" s="1" t="s">
        <v>2111</v>
      </c>
      <c r="P479" s="1" t="str">
        <f t="shared" si="26"/>
        <v>ARAGUATINS 2.1Inverter(MBUS-15)46003,563194444446003,563194444446003,6076388889</v>
      </c>
      <c r="Q479" s="1" t="str">
        <f t="shared" si="27"/>
        <v>DAURDE</v>
      </c>
    </row>
    <row r="480" spans="2:17" hidden="1">
      <c r="B480" s="1" t="s">
        <v>311</v>
      </c>
      <c r="C480" s="1" t="s">
        <v>263</v>
      </c>
      <c r="D480" s="52">
        <v>46003.563194444447</v>
      </c>
      <c r="E480" s="52">
        <v>46003.563194444447</v>
      </c>
      <c r="F480" s="52">
        <v>46003.607638888891</v>
      </c>
      <c r="G480" s="53">
        <f t="shared" si="25"/>
        <v>4.4444444443797693E-2</v>
      </c>
      <c r="H480" s="1" t="s">
        <v>257</v>
      </c>
      <c r="J480" s="1" t="s">
        <v>258</v>
      </c>
      <c r="K480" s="1" t="str">
        <f>_xlfn.XLOOKUP(J480,REF!$D$2:$D$12,REF!$E$2:$E$12)</f>
        <v>Rede</v>
      </c>
      <c r="L480" s="1" t="s">
        <v>635</v>
      </c>
      <c r="M480" s="1" t="s">
        <v>2108</v>
      </c>
      <c r="N480" s="1" t="s">
        <v>357</v>
      </c>
      <c r="O480" s="1" t="s">
        <v>2111</v>
      </c>
      <c r="P480" s="1" t="str">
        <f t="shared" si="26"/>
        <v>ARAGUATINS 2.1Inverter(MBUS-14)46003,563194444446003,563194444446003,6076388889</v>
      </c>
      <c r="Q480" s="1" t="str">
        <f t="shared" si="27"/>
        <v>DAURDE</v>
      </c>
    </row>
    <row r="481" spans="2:17" hidden="1">
      <c r="B481" s="1" t="s">
        <v>311</v>
      </c>
      <c r="C481" s="1" t="s">
        <v>247</v>
      </c>
      <c r="D481" s="52">
        <v>46003.563194444447</v>
      </c>
      <c r="E481" s="52">
        <v>46003.563194444447</v>
      </c>
      <c r="F481" s="52">
        <v>46003.607638888891</v>
      </c>
      <c r="G481" s="53">
        <f t="shared" si="25"/>
        <v>4.4444444443797693E-2</v>
      </c>
      <c r="H481" s="1" t="s">
        <v>257</v>
      </c>
      <c r="J481" s="1" t="s">
        <v>258</v>
      </c>
      <c r="K481" s="1" t="str">
        <f>_xlfn.XLOOKUP(J481,REF!$D$2:$D$12,REF!$E$2:$E$12)</f>
        <v>Rede</v>
      </c>
      <c r="L481" s="1" t="s">
        <v>635</v>
      </c>
      <c r="M481" s="1" t="s">
        <v>2108</v>
      </c>
      <c r="N481" s="1" t="s">
        <v>357</v>
      </c>
      <c r="O481" s="1" t="s">
        <v>2111</v>
      </c>
      <c r="P481" s="1" t="str">
        <f t="shared" si="26"/>
        <v>ARAGUATINS 2.1Inverter(MBUS-1)46003,563194444446003,563194444446003,6076388889</v>
      </c>
      <c r="Q481" s="1" t="str">
        <f t="shared" si="27"/>
        <v>DAURDE</v>
      </c>
    </row>
    <row r="482" spans="2:17" hidden="1">
      <c r="B482" s="1" t="s">
        <v>312</v>
      </c>
      <c r="C482" s="1" t="s">
        <v>307</v>
      </c>
      <c r="D482" s="52">
        <v>46003.563194444447</v>
      </c>
      <c r="E482" s="52">
        <v>46003.563194444447</v>
      </c>
      <c r="F482" s="52">
        <v>46003.607638888891</v>
      </c>
      <c r="G482" s="53">
        <f t="shared" si="25"/>
        <v>4.4444444443797693E-2</v>
      </c>
      <c r="H482" s="1" t="s">
        <v>257</v>
      </c>
      <c r="J482" s="1" t="s">
        <v>258</v>
      </c>
      <c r="K482" s="1" t="str">
        <f>_xlfn.XLOOKUP(J482,REF!$D$2:$D$12,REF!$E$2:$E$12)</f>
        <v>Rede</v>
      </c>
      <c r="L482" s="1" t="s">
        <v>635</v>
      </c>
      <c r="M482" s="1" t="s">
        <v>2108</v>
      </c>
      <c r="N482" s="1" t="s">
        <v>357</v>
      </c>
      <c r="O482" s="1" t="s">
        <v>2111</v>
      </c>
      <c r="P482" s="1" t="str">
        <f t="shared" si="26"/>
        <v>ARAGUATINS 2.2Inverter(MBUS-15)46003,563194444446003,563194444446003,6076388889</v>
      </c>
      <c r="Q482" s="1" t="str">
        <f t="shared" si="27"/>
        <v>DAURDE</v>
      </c>
    </row>
    <row r="483" spans="2:17" hidden="1">
      <c r="B483" s="1" t="s">
        <v>312</v>
      </c>
      <c r="C483" s="1" t="s">
        <v>264</v>
      </c>
      <c r="D483" s="52">
        <v>46003.563194444447</v>
      </c>
      <c r="E483" s="52">
        <v>46003.563194444447</v>
      </c>
      <c r="F483" s="52">
        <v>46003.607638888891</v>
      </c>
      <c r="G483" s="53">
        <f t="shared" si="25"/>
        <v>4.4444444443797693E-2</v>
      </c>
      <c r="H483" s="1" t="s">
        <v>257</v>
      </c>
      <c r="J483" s="1" t="s">
        <v>258</v>
      </c>
      <c r="K483" s="1" t="str">
        <f>_xlfn.XLOOKUP(J483,REF!$D$2:$D$12,REF!$E$2:$E$12)</f>
        <v>Rede</v>
      </c>
      <c r="L483" s="1" t="s">
        <v>635</v>
      </c>
      <c r="M483" s="1" t="s">
        <v>2108</v>
      </c>
      <c r="N483" s="1" t="s">
        <v>357</v>
      </c>
      <c r="O483" s="1" t="s">
        <v>2111</v>
      </c>
      <c r="P483" s="1" t="str">
        <f t="shared" si="26"/>
        <v>ARAGUATINS 2.2Inverter(MBUS-13)46003,563194444446003,563194444446003,6076388889</v>
      </c>
      <c r="Q483" s="1" t="str">
        <f t="shared" si="27"/>
        <v>DAURDE</v>
      </c>
    </row>
    <row r="484" spans="2:17" hidden="1">
      <c r="B484" s="1" t="s">
        <v>312</v>
      </c>
      <c r="C484" s="1" t="s">
        <v>263</v>
      </c>
      <c r="D484" s="52">
        <v>46003.563194444447</v>
      </c>
      <c r="E484" s="52">
        <v>46003.563194444447</v>
      </c>
      <c r="F484" s="52">
        <v>46003.607638888891</v>
      </c>
      <c r="G484" s="53">
        <f t="shared" si="25"/>
        <v>4.4444444443797693E-2</v>
      </c>
      <c r="H484" s="1" t="s">
        <v>257</v>
      </c>
      <c r="J484" s="1" t="s">
        <v>258</v>
      </c>
      <c r="K484" s="1" t="str">
        <f>_xlfn.XLOOKUP(J484,REF!$D$2:$D$12,REF!$E$2:$E$12)</f>
        <v>Rede</v>
      </c>
      <c r="L484" s="1" t="s">
        <v>635</v>
      </c>
      <c r="M484" s="1" t="s">
        <v>2108</v>
      </c>
      <c r="N484" s="1" t="s">
        <v>357</v>
      </c>
      <c r="O484" s="1" t="s">
        <v>2111</v>
      </c>
      <c r="P484" s="1" t="str">
        <f t="shared" si="26"/>
        <v>ARAGUATINS 2.2Inverter(MBUS-14)46003,563194444446003,563194444446003,6076388889</v>
      </c>
      <c r="Q484" s="1" t="str">
        <f t="shared" si="27"/>
        <v>DAURDE</v>
      </c>
    </row>
    <row r="485" spans="2:17" hidden="1">
      <c r="B485" s="1" t="s">
        <v>312</v>
      </c>
      <c r="C485" s="1" t="s">
        <v>256</v>
      </c>
      <c r="D485" s="52">
        <v>46003.563194444447</v>
      </c>
      <c r="E485" s="52">
        <v>46003.563194444447</v>
      </c>
      <c r="F485" s="52">
        <v>46003.607638888891</v>
      </c>
      <c r="G485" s="53">
        <f t="shared" si="25"/>
        <v>4.4444444443797693E-2</v>
      </c>
      <c r="H485" s="1" t="s">
        <v>257</v>
      </c>
      <c r="J485" s="1" t="s">
        <v>258</v>
      </c>
      <c r="K485" s="1" t="str">
        <f>_xlfn.XLOOKUP(J485,REF!$D$2:$D$12,REF!$E$2:$E$12)</f>
        <v>Rede</v>
      </c>
      <c r="L485" s="1" t="s">
        <v>635</v>
      </c>
      <c r="M485" s="1" t="s">
        <v>2108</v>
      </c>
      <c r="N485" s="1" t="s">
        <v>357</v>
      </c>
      <c r="O485" s="1" t="s">
        <v>2111</v>
      </c>
      <c r="P485" s="1" t="str">
        <f t="shared" si="26"/>
        <v>ARAGUATINS 2.2Inverter(MBUS-12)46003,563194444446003,563194444446003,6076388889</v>
      </c>
      <c r="Q485" s="1" t="str">
        <f t="shared" si="27"/>
        <v>DAURDE</v>
      </c>
    </row>
    <row r="486" spans="2:17" hidden="1">
      <c r="B486" s="1" t="s">
        <v>313</v>
      </c>
      <c r="C486" s="1" t="s">
        <v>256</v>
      </c>
      <c r="D486" s="52">
        <v>46003.563194444447</v>
      </c>
      <c r="E486" s="52">
        <v>46003.563194444447</v>
      </c>
      <c r="F486" s="52">
        <v>46003.607638888891</v>
      </c>
      <c r="G486" s="53">
        <f t="shared" si="25"/>
        <v>4.4444444443797693E-2</v>
      </c>
      <c r="H486" s="1" t="s">
        <v>257</v>
      </c>
      <c r="J486" s="1" t="s">
        <v>258</v>
      </c>
      <c r="K486" s="1" t="str">
        <f>_xlfn.XLOOKUP(J486,REF!$D$2:$D$12,REF!$E$2:$E$12)</f>
        <v>Rede</v>
      </c>
      <c r="L486" s="1" t="s">
        <v>635</v>
      </c>
      <c r="M486" s="1" t="s">
        <v>2108</v>
      </c>
      <c r="N486" s="1" t="s">
        <v>357</v>
      </c>
      <c r="O486" s="1" t="s">
        <v>2111</v>
      </c>
      <c r="P486" s="1" t="str">
        <f t="shared" si="26"/>
        <v>ARAGUATINS 2.3Inverter(MBUS-12)46003,563194444446003,563194444446003,6076388889</v>
      </c>
      <c r="Q486" s="1" t="str">
        <f t="shared" si="27"/>
        <v>DAURDE</v>
      </c>
    </row>
    <row r="487" spans="2:17" hidden="1">
      <c r="B487" s="1" t="s">
        <v>313</v>
      </c>
      <c r="C487" s="1" t="s">
        <v>264</v>
      </c>
      <c r="D487" s="52">
        <v>46003.563194444447</v>
      </c>
      <c r="E487" s="52">
        <v>46003.563194444447</v>
      </c>
      <c r="F487" s="52">
        <v>46003.607638888891</v>
      </c>
      <c r="G487" s="53">
        <f t="shared" si="25"/>
        <v>4.4444444443797693E-2</v>
      </c>
      <c r="H487" s="1" t="s">
        <v>257</v>
      </c>
      <c r="J487" s="1" t="s">
        <v>258</v>
      </c>
      <c r="K487" s="1" t="str">
        <f>_xlfn.XLOOKUP(J487,REF!$D$2:$D$12,REF!$E$2:$E$12)</f>
        <v>Rede</v>
      </c>
      <c r="L487" s="1" t="s">
        <v>635</v>
      </c>
      <c r="M487" s="1" t="s">
        <v>2108</v>
      </c>
      <c r="N487" s="1" t="s">
        <v>357</v>
      </c>
      <c r="O487" s="1" t="s">
        <v>2111</v>
      </c>
      <c r="P487" s="1" t="str">
        <f t="shared" si="26"/>
        <v>ARAGUATINS 2.3Inverter(MBUS-13)46003,563194444446003,563194444446003,6076388889</v>
      </c>
      <c r="Q487" s="1" t="str">
        <f t="shared" si="27"/>
        <v>DAURDE</v>
      </c>
    </row>
    <row r="488" spans="2:17" hidden="1">
      <c r="B488" s="1" t="s">
        <v>2123</v>
      </c>
      <c r="C488" s="1" t="s">
        <v>2124</v>
      </c>
      <c r="D488" s="52">
        <v>46003.506944444445</v>
      </c>
      <c r="E488" s="52">
        <v>46003.506944444445</v>
      </c>
      <c r="F488" s="52">
        <v>46003.604166666664</v>
      </c>
      <c r="G488" s="53">
        <f t="shared" si="25"/>
        <v>9.7222222218988463E-2</v>
      </c>
      <c r="H488" s="1" t="s">
        <v>257</v>
      </c>
      <c r="J488" s="1" t="s">
        <v>258</v>
      </c>
      <c r="K488" s="1" t="str">
        <f>_xlfn.XLOOKUP(J488,REF!$D$2:$D$12,REF!$E$2:$E$12)</f>
        <v>Rede</v>
      </c>
      <c r="L488" s="1" t="s">
        <v>2089</v>
      </c>
      <c r="M488" s="1" t="s">
        <v>260</v>
      </c>
      <c r="N488" s="1" t="s">
        <v>261</v>
      </c>
      <c r="O488" s="1" t="s">
        <v>2090</v>
      </c>
      <c r="P488" s="1" t="str">
        <f t="shared" si="26"/>
        <v>Rio Monte ISG75CX(COM2-001)_001_01846003,506944444446003,506944444446003,6041666667</v>
      </c>
      <c r="Q488" s="1" t="str">
        <f t="shared" si="27"/>
        <v>DAURDE</v>
      </c>
    </row>
    <row r="489" spans="2:17" hidden="1">
      <c r="B489" s="1" t="s">
        <v>2125</v>
      </c>
      <c r="C489" s="1" t="s">
        <v>2126</v>
      </c>
      <c r="D489" s="52">
        <v>46003.506944444445</v>
      </c>
      <c r="E489" s="52">
        <v>46003.506944444445</v>
      </c>
      <c r="F489" s="52">
        <v>46003.604166666664</v>
      </c>
      <c r="G489" s="53">
        <f t="shared" si="25"/>
        <v>9.7222222218988463E-2</v>
      </c>
      <c r="H489" s="1" t="s">
        <v>257</v>
      </c>
      <c r="J489" s="1" t="s">
        <v>258</v>
      </c>
      <c r="K489" s="1" t="str">
        <f>_xlfn.XLOOKUP(J489,REF!$D$2:$D$12,REF!$E$2:$E$12)</f>
        <v>Rede</v>
      </c>
      <c r="L489" s="1" t="s">
        <v>2089</v>
      </c>
      <c r="M489" s="1" t="s">
        <v>260</v>
      </c>
      <c r="N489" s="1" t="s">
        <v>261</v>
      </c>
      <c r="O489" s="1" t="s">
        <v>2090</v>
      </c>
      <c r="P489" s="1" t="str">
        <f t="shared" si="26"/>
        <v>Rio Monte IISG40CX(COM2-007)_001_01746003,506944444446003,506944444446003,6041666667</v>
      </c>
      <c r="Q489" s="1" t="str">
        <f t="shared" si="27"/>
        <v>DAURDE</v>
      </c>
    </row>
    <row r="490" spans="2:17" hidden="1">
      <c r="B490" s="1" t="s">
        <v>2125</v>
      </c>
      <c r="C490" s="1" t="s">
        <v>2127</v>
      </c>
      <c r="D490" s="52">
        <v>46003.506944444445</v>
      </c>
      <c r="E490" s="52">
        <v>46003.506944444445</v>
      </c>
      <c r="F490" s="52">
        <v>46003.604166666664</v>
      </c>
      <c r="G490" s="53">
        <f t="shared" si="25"/>
        <v>9.7222222218988463E-2</v>
      </c>
      <c r="H490" s="1" t="s">
        <v>257</v>
      </c>
      <c r="J490" s="1" t="s">
        <v>258</v>
      </c>
      <c r="K490" s="1" t="str">
        <f>_xlfn.XLOOKUP(J490,REF!$D$2:$D$12,REF!$E$2:$E$12)</f>
        <v>Rede</v>
      </c>
      <c r="L490" s="1" t="s">
        <v>2089</v>
      </c>
      <c r="M490" s="1" t="s">
        <v>260</v>
      </c>
      <c r="N490" s="1" t="s">
        <v>261</v>
      </c>
      <c r="O490" s="1" t="s">
        <v>2090</v>
      </c>
      <c r="P490" s="1" t="str">
        <f t="shared" si="26"/>
        <v>Rio Monte IISG60KTL(COM1-002)_001_00546003,506944444446003,506944444446003,6041666667</v>
      </c>
      <c r="Q490" s="1" t="str">
        <f t="shared" si="27"/>
        <v>DAURDE</v>
      </c>
    </row>
    <row r="491" spans="2:17" hidden="1">
      <c r="B491" s="1" t="s">
        <v>2125</v>
      </c>
      <c r="C491" s="1" t="s">
        <v>2128</v>
      </c>
      <c r="D491" s="52">
        <v>46003.506944444445</v>
      </c>
      <c r="E491" s="52">
        <v>46003.506944444445</v>
      </c>
      <c r="F491" s="52">
        <v>46003.604166666664</v>
      </c>
      <c r="G491" s="53">
        <f t="shared" si="25"/>
        <v>9.7222222218988463E-2</v>
      </c>
      <c r="H491" s="1" t="s">
        <v>257</v>
      </c>
      <c r="J491" s="1" t="s">
        <v>258</v>
      </c>
      <c r="K491" s="1" t="str">
        <f>_xlfn.XLOOKUP(J491,REF!$D$2:$D$12,REF!$E$2:$E$12)</f>
        <v>Rede</v>
      </c>
      <c r="L491" s="1" t="s">
        <v>2089</v>
      </c>
      <c r="M491" s="1" t="s">
        <v>260</v>
      </c>
      <c r="N491" s="1" t="s">
        <v>261</v>
      </c>
      <c r="O491" s="1" t="s">
        <v>2090</v>
      </c>
      <c r="P491" s="1" t="str">
        <f t="shared" si="26"/>
        <v>Rio Monte IISG60KTL(COM1-003)_001__01146003,506944444446003,506944444446003,6041666667</v>
      </c>
      <c r="Q491" s="1" t="str">
        <f t="shared" si="27"/>
        <v>DAURDE</v>
      </c>
    </row>
    <row r="492" spans="2:17" hidden="1">
      <c r="B492" s="1" t="s">
        <v>2125</v>
      </c>
      <c r="C492" s="1" t="s">
        <v>2129</v>
      </c>
      <c r="D492" s="52">
        <v>46003.506944444445</v>
      </c>
      <c r="E492" s="52">
        <v>46003.506944444445</v>
      </c>
      <c r="F492" s="52">
        <v>46003.604166666664</v>
      </c>
      <c r="G492" s="53">
        <f t="shared" si="25"/>
        <v>9.7222222218988463E-2</v>
      </c>
      <c r="H492" s="1" t="s">
        <v>257</v>
      </c>
      <c r="J492" s="1" t="s">
        <v>258</v>
      </c>
      <c r="K492" s="1" t="str">
        <f>_xlfn.XLOOKUP(J492,REF!$D$2:$D$12,REF!$E$2:$E$12)</f>
        <v>Rede</v>
      </c>
      <c r="L492" s="1" t="s">
        <v>2089</v>
      </c>
      <c r="M492" s="1" t="s">
        <v>260</v>
      </c>
      <c r="N492" s="1" t="s">
        <v>261</v>
      </c>
      <c r="O492" s="1" t="s">
        <v>2090</v>
      </c>
      <c r="P492" s="1" t="str">
        <f t="shared" si="26"/>
        <v>Rio Monte IISG60KTL(COM1-004)_001_00746003,506944444446003,506944444446003,6041666667</v>
      </c>
      <c r="Q492" s="1" t="str">
        <f t="shared" si="27"/>
        <v>DAURDE</v>
      </c>
    </row>
    <row r="493" spans="2:17" hidden="1">
      <c r="B493" s="1" t="s">
        <v>2125</v>
      </c>
      <c r="C493" s="1" t="s">
        <v>2130</v>
      </c>
      <c r="D493" s="52">
        <v>46003.506944444445</v>
      </c>
      <c r="E493" s="52">
        <v>46003.506944444445</v>
      </c>
      <c r="F493" s="52">
        <v>46003.604166666664</v>
      </c>
      <c r="G493" s="53">
        <f t="shared" si="25"/>
        <v>9.7222222218988463E-2</v>
      </c>
      <c r="H493" s="1" t="s">
        <v>257</v>
      </c>
      <c r="J493" s="1" t="s">
        <v>258</v>
      </c>
      <c r="K493" s="1" t="str">
        <f>_xlfn.XLOOKUP(J493,REF!$D$2:$D$12,REF!$E$2:$E$12)</f>
        <v>Rede</v>
      </c>
      <c r="L493" s="1" t="s">
        <v>2089</v>
      </c>
      <c r="M493" s="1" t="s">
        <v>260</v>
      </c>
      <c r="N493" s="1" t="s">
        <v>261</v>
      </c>
      <c r="O493" s="1" t="s">
        <v>2090</v>
      </c>
      <c r="P493" s="1" t="str">
        <f t="shared" si="26"/>
        <v>Rio Monte IISG60KTL(COM1-005)_001_00946003,506944444446003,506944444446003,6041666667</v>
      </c>
      <c r="Q493" s="1" t="str">
        <f t="shared" si="27"/>
        <v>DAURDE</v>
      </c>
    </row>
    <row r="494" spans="2:17" hidden="1">
      <c r="B494" s="1" t="s">
        <v>2125</v>
      </c>
      <c r="C494" s="1" t="s">
        <v>2131</v>
      </c>
      <c r="D494" s="52">
        <v>46003.506944444445</v>
      </c>
      <c r="E494" s="52">
        <v>46003.506944444445</v>
      </c>
      <c r="F494" s="52">
        <v>46003.604166666664</v>
      </c>
      <c r="G494" s="53">
        <f t="shared" si="25"/>
        <v>9.7222222218988463E-2</v>
      </c>
      <c r="H494" s="1" t="s">
        <v>257</v>
      </c>
      <c r="J494" s="1" t="s">
        <v>258</v>
      </c>
      <c r="K494" s="1" t="str">
        <f>_xlfn.XLOOKUP(J494,REF!$D$2:$D$12,REF!$E$2:$E$12)</f>
        <v>Rede</v>
      </c>
      <c r="L494" s="1" t="s">
        <v>2089</v>
      </c>
      <c r="M494" s="1" t="s">
        <v>260</v>
      </c>
      <c r="N494" s="1" t="s">
        <v>261</v>
      </c>
      <c r="O494" s="1" t="s">
        <v>2090</v>
      </c>
      <c r="P494" s="1" t="str">
        <f t="shared" si="26"/>
        <v>Rio Monte IISG60KTL(COM1-006)_001_00646003,506944444446003,506944444446003,6041666667</v>
      </c>
      <c r="Q494" s="1" t="str">
        <f t="shared" si="27"/>
        <v>DAURDE</v>
      </c>
    </row>
    <row r="495" spans="2:17" hidden="1">
      <c r="B495" s="1" t="s">
        <v>2132</v>
      </c>
      <c r="C495" s="1" t="s">
        <v>457</v>
      </c>
      <c r="D495" s="52">
        <v>46003.506944444445</v>
      </c>
      <c r="E495" s="52">
        <v>46003.506944444445</v>
      </c>
      <c r="F495" s="52">
        <v>46003.524305555555</v>
      </c>
      <c r="G495" s="53">
        <f t="shared" si="25"/>
        <v>1.7361111109494232E-2</v>
      </c>
      <c r="H495" s="1" t="s">
        <v>257</v>
      </c>
      <c r="J495" s="1" t="s">
        <v>258</v>
      </c>
      <c r="K495" s="1" t="str">
        <f>_xlfn.XLOOKUP(J495,REF!$D$2:$D$12,REF!$E$2:$E$12)</f>
        <v>Rede</v>
      </c>
      <c r="L495" s="1" t="s">
        <v>2116</v>
      </c>
      <c r="M495" s="1" t="s">
        <v>260</v>
      </c>
      <c r="N495" s="1" t="s">
        <v>357</v>
      </c>
      <c r="O495" s="1" t="s">
        <v>632</v>
      </c>
      <c r="P495" s="1" t="str">
        <f t="shared" si="26"/>
        <v>Caiaponia ISG60KTL(COM1-001)_001_00746003,506944444446003,506944444446003,5243055556</v>
      </c>
      <c r="Q495" s="1" t="str">
        <f t="shared" si="27"/>
        <v>DAURDE</v>
      </c>
    </row>
    <row r="496" spans="2:17" hidden="1">
      <c r="B496" s="1" t="s">
        <v>2132</v>
      </c>
      <c r="C496" s="1" t="s">
        <v>459</v>
      </c>
      <c r="D496" s="52">
        <v>46003.506944444445</v>
      </c>
      <c r="E496" s="52">
        <v>46003.506944444445</v>
      </c>
      <c r="F496" s="52">
        <v>46003.524305555555</v>
      </c>
      <c r="G496" s="53">
        <f t="shared" si="25"/>
        <v>1.7361111109494232E-2</v>
      </c>
      <c r="H496" s="1" t="s">
        <v>257</v>
      </c>
      <c r="J496" s="1" t="s">
        <v>258</v>
      </c>
      <c r="K496" s="1" t="str">
        <f>_xlfn.XLOOKUP(J496,REF!$D$2:$D$12,REF!$E$2:$E$12)</f>
        <v>Rede</v>
      </c>
      <c r="L496" s="1" t="s">
        <v>2116</v>
      </c>
      <c r="M496" s="1" t="s">
        <v>260</v>
      </c>
      <c r="N496" s="1" t="s">
        <v>357</v>
      </c>
      <c r="O496" s="1" t="s">
        <v>632</v>
      </c>
      <c r="P496" s="1" t="str">
        <f t="shared" si="26"/>
        <v>Caiaponia ISG60KTL(COM1-002)_001_01046003,506944444446003,506944444446003,5243055556</v>
      </c>
      <c r="Q496" s="1" t="str">
        <f t="shared" si="27"/>
        <v>DAURDE</v>
      </c>
    </row>
    <row r="497" spans="2:17" hidden="1">
      <c r="B497" s="1" t="s">
        <v>2132</v>
      </c>
      <c r="C497" s="1" t="s">
        <v>460</v>
      </c>
      <c r="D497" s="52">
        <v>46003.506944444445</v>
      </c>
      <c r="E497" s="52">
        <v>46003.506944444445</v>
      </c>
      <c r="F497" s="52">
        <v>46003.524305555555</v>
      </c>
      <c r="G497" s="53">
        <f t="shared" si="25"/>
        <v>1.7361111109494232E-2</v>
      </c>
      <c r="H497" s="1" t="s">
        <v>257</v>
      </c>
      <c r="J497" s="1" t="s">
        <v>258</v>
      </c>
      <c r="K497" s="1" t="str">
        <f>_xlfn.XLOOKUP(J497,REF!$D$2:$D$12,REF!$E$2:$E$12)</f>
        <v>Rede</v>
      </c>
      <c r="L497" s="1" t="s">
        <v>2116</v>
      </c>
      <c r="M497" s="1" t="s">
        <v>260</v>
      </c>
      <c r="N497" s="1" t="s">
        <v>357</v>
      </c>
      <c r="O497" s="1" t="s">
        <v>632</v>
      </c>
      <c r="P497" s="1" t="str">
        <f t="shared" si="26"/>
        <v>Caiaponia ISG60KTL(COM1-003)_001_01146003,506944444446003,506944444446003,5243055556</v>
      </c>
      <c r="Q497" s="1" t="str">
        <f t="shared" si="27"/>
        <v>DAURDE</v>
      </c>
    </row>
    <row r="498" spans="2:17" hidden="1">
      <c r="B498" s="1" t="s">
        <v>2132</v>
      </c>
      <c r="C498" s="1" t="s">
        <v>461</v>
      </c>
      <c r="D498" s="52">
        <v>46003.506944444445</v>
      </c>
      <c r="E498" s="52">
        <v>46003.506944444445</v>
      </c>
      <c r="F498" s="52">
        <v>46003.524305555555</v>
      </c>
      <c r="G498" s="53">
        <f t="shared" si="25"/>
        <v>1.7361111109494232E-2</v>
      </c>
      <c r="H498" s="1" t="s">
        <v>257</v>
      </c>
      <c r="J498" s="1" t="s">
        <v>258</v>
      </c>
      <c r="K498" s="1" t="str">
        <f>_xlfn.XLOOKUP(J498,REF!$D$2:$D$12,REF!$E$2:$E$12)</f>
        <v>Rede</v>
      </c>
      <c r="L498" s="1" t="s">
        <v>2116</v>
      </c>
      <c r="M498" s="1" t="s">
        <v>260</v>
      </c>
      <c r="N498" s="1" t="s">
        <v>357</v>
      </c>
      <c r="O498" s="1" t="s">
        <v>632</v>
      </c>
      <c r="P498" s="1" t="str">
        <f t="shared" si="26"/>
        <v>Caiaponia ISG60KTL(COM1-004)_001_01446003,506944444446003,506944444446003,5243055556</v>
      </c>
      <c r="Q498" s="1" t="str">
        <f t="shared" si="27"/>
        <v>DAURDE</v>
      </c>
    </row>
    <row r="499" spans="2:17" hidden="1">
      <c r="B499" s="1" t="s">
        <v>2132</v>
      </c>
      <c r="C499" s="1" t="s">
        <v>462</v>
      </c>
      <c r="D499" s="52">
        <v>46003.506944444445</v>
      </c>
      <c r="E499" s="52">
        <v>46003.506944444445</v>
      </c>
      <c r="F499" s="52">
        <v>46003.524305555555</v>
      </c>
      <c r="G499" s="53">
        <f t="shared" si="25"/>
        <v>1.7361111109494232E-2</v>
      </c>
      <c r="H499" s="1" t="s">
        <v>257</v>
      </c>
      <c r="J499" s="1" t="s">
        <v>258</v>
      </c>
      <c r="K499" s="1" t="str">
        <f>_xlfn.XLOOKUP(J499,REF!$D$2:$D$12,REF!$E$2:$E$12)</f>
        <v>Rede</v>
      </c>
      <c r="L499" s="1" t="s">
        <v>2116</v>
      </c>
      <c r="M499" s="1" t="s">
        <v>260</v>
      </c>
      <c r="N499" s="1" t="s">
        <v>357</v>
      </c>
      <c r="O499" s="1" t="s">
        <v>632</v>
      </c>
      <c r="P499" s="1" t="str">
        <f t="shared" si="26"/>
        <v>Caiaponia ISG60KTL(COM1-005)_001_01746003,506944444446003,506944444446003,5243055556</v>
      </c>
      <c r="Q499" s="1" t="str">
        <f t="shared" si="27"/>
        <v>DAURDE</v>
      </c>
    </row>
    <row r="500" spans="2:17" hidden="1">
      <c r="B500" s="1" t="s">
        <v>2132</v>
      </c>
      <c r="C500" s="1" t="s">
        <v>463</v>
      </c>
      <c r="D500" s="52">
        <v>46003.506944444445</v>
      </c>
      <c r="E500" s="52">
        <v>46003.506944444445</v>
      </c>
      <c r="F500" s="52">
        <v>46003.524305555555</v>
      </c>
      <c r="G500" s="53">
        <f t="shared" si="25"/>
        <v>1.7361111109494232E-2</v>
      </c>
      <c r="H500" s="1" t="s">
        <v>257</v>
      </c>
      <c r="J500" s="1" t="s">
        <v>258</v>
      </c>
      <c r="K500" s="1" t="str">
        <f>_xlfn.XLOOKUP(J500,REF!$D$2:$D$12,REF!$E$2:$E$12)</f>
        <v>Rede</v>
      </c>
      <c r="L500" s="1" t="s">
        <v>2116</v>
      </c>
      <c r="M500" s="1" t="s">
        <v>260</v>
      </c>
      <c r="N500" s="1" t="s">
        <v>357</v>
      </c>
      <c r="O500" s="1" t="s">
        <v>632</v>
      </c>
      <c r="P500" s="1" t="str">
        <f t="shared" si="26"/>
        <v>Caiaponia ISG60KTL(COM1-006)_001_01646003,506944444446003,506944444446003,5243055556</v>
      </c>
      <c r="Q500" s="1" t="str">
        <f t="shared" si="27"/>
        <v>DAURDE</v>
      </c>
    </row>
    <row r="501" spans="2:17" hidden="1">
      <c r="B501" s="1" t="s">
        <v>2132</v>
      </c>
      <c r="C501" s="1" t="s">
        <v>464</v>
      </c>
      <c r="D501" s="52">
        <v>46003.506944444445</v>
      </c>
      <c r="E501" s="52">
        <v>46003.506944444445</v>
      </c>
      <c r="F501" s="52">
        <v>46003.524305555555</v>
      </c>
      <c r="G501" s="53">
        <f t="shared" si="25"/>
        <v>1.7361111109494232E-2</v>
      </c>
      <c r="H501" s="1" t="s">
        <v>257</v>
      </c>
      <c r="J501" s="1" t="s">
        <v>258</v>
      </c>
      <c r="K501" s="1" t="str">
        <f>_xlfn.XLOOKUP(J501,REF!$D$2:$D$12,REF!$E$2:$E$12)</f>
        <v>Rede</v>
      </c>
      <c r="L501" s="1" t="s">
        <v>2116</v>
      </c>
      <c r="M501" s="1" t="s">
        <v>260</v>
      </c>
      <c r="N501" s="1" t="s">
        <v>357</v>
      </c>
      <c r="O501" s="1" t="s">
        <v>632</v>
      </c>
      <c r="P501" s="1" t="str">
        <f t="shared" si="26"/>
        <v>Caiaponia ISG60KTL(COM1-007)_001_01346003,506944444446003,506944444446003,5243055556</v>
      </c>
      <c r="Q501" s="1" t="str">
        <f t="shared" si="27"/>
        <v>DAURDE</v>
      </c>
    </row>
    <row r="502" spans="2:17" hidden="1">
      <c r="B502" s="1" t="s">
        <v>2132</v>
      </c>
      <c r="C502" s="1" t="s">
        <v>465</v>
      </c>
      <c r="D502" s="52">
        <v>46003.506944444445</v>
      </c>
      <c r="E502" s="52">
        <v>46003.506944444445</v>
      </c>
      <c r="F502" s="52">
        <v>46003.524305555555</v>
      </c>
      <c r="G502" s="53">
        <f t="shared" si="25"/>
        <v>1.7361111109494232E-2</v>
      </c>
      <c r="H502" s="1" t="s">
        <v>257</v>
      </c>
      <c r="J502" s="1" t="s">
        <v>258</v>
      </c>
      <c r="K502" s="1" t="str">
        <f>_xlfn.XLOOKUP(J502,REF!$D$2:$D$12,REF!$E$2:$E$12)</f>
        <v>Rede</v>
      </c>
      <c r="L502" s="1" t="s">
        <v>2116</v>
      </c>
      <c r="M502" s="1" t="s">
        <v>260</v>
      </c>
      <c r="N502" s="1" t="s">
        <v>357</v>
      </c>
      <c r="O502" s="1" t="s">
        <v>632</v>
      </c>
      <c r="P502" s="1" t="str">
        <f t="shared" si="26"/>
        <v>Caiaponia ISG60KTL(COM1-008)_001_00146003,506944444446003,506944444446003,5243055556</v>
      </c>
      <c r="Q502" s="1" t="str">
        <f t="shared" si="27"/>
        <v>DAURDE</v>
      </c>
    </row>
    <row r="503" spans="2:17" hidden="1">
      <c r="B503" s="1" t="s">
        <v>2133</v>
      </c>
      <c r="C503" s="1" t="s">
        <v>466</v>
      </c>
      <c r="D503" s="52">
        <v>46003.506944444445</v>
      </c>
      <c r="E503" s="52">
        <v>46003.506944444445</v>
      </c>
      <c r="F503" s="52">
        <v>46003.524305555555</v>
      </c>
      <c r="G503" s="53">
        <f t="shared" si="25"/>
        <v>1.7361111109494232E-2</v>
      </c>
      <c r="H503" s="1" t="s">
        <v>257</v>
      </c>
      <c r="J503" s="1" t="s">
        <v>258</v>
      </c>
      <c r="K503" s="1" t="str">
        <f>_xlfn.XLOOKUP(J503,REF!$D$2:$D$12,REF!$E$2:$E$12)</f>
        <v>Rede</v>
      </c>
      <c r="L503" s="1" t="s">
        <v>2116</v>
      </c>
      <c r="M503" s="1" t="s">
        <v>260</v>
      </c>
      <c r="N503" s="1" t="s">
        <v>357</v>
      </c>
      <c r="O503" s="1" t="s">
        <v>632</v>
      </c>
      <c r="P503" s="1" t="str">
        <f t="shared" si="26"/>
        <v>Caiaponia IISG60KTL(COM1-009)46003,506944444446003,506944444446003,5243055556</v>
      </c>
      <c r="Q503" s="1" t="str">
        <f t="shared" si="27"/>
        <v>DAURDE</v>
      </c>
    </row>
    <row r="504" spans="2:17" hidden="1">
      <c r="B504" s="1" t="s">
        <v>2133</v>
      </c>
      <c r="C504" s="1" t="s">
        <v>467</v>
      </c>
      <c r="D504" s="52">
        <v>46003.506944444445</v>
      </c>
      <c r="E504" s="52">
        <v>46003.506944444445</v>
      </c>
      <c r="F504" s="52">
        <v>46003.524305555555</v>
      </c>
      <c r="G504" s="53">
        <f t="shared" si="25"/>
        <v>1.7361111109494232E-2</v>
      </c>
      <c r="H504" s="1" t="s">
        <v>257</v>
      </c>
      <c r="J504" s="1" t="s">
        <v>258</v>
      </c>
      <c r="K504" s="1" t="str">
        <f>_xlfn.XLOOKUP(J504,REF!$D$2:$D$12,REF!$E$2:$E$12)</f>
        <v>Rede</v>
      </c>
      <c r="L504" s="1" t="s">
        <v>2116</v>
      </c>
      <c r="M504" s="1" t="s">
        <v>260</v>
      </c>
      <c r="N504" s="1" t="s">
        <v>357</v>
      </c>
      <c r="O504" s="1" t="s">
        <v>632</v>
      </c>
      <c r="P504" s="1" t="str">
        <f t="shared" si="26"/>
        <v>Caiaponia IISG60KTL(COM1-010)46003,506944444446003,506944444446003,5243055556</v>
      </c>
      <c r="Q504" s="1" t="str">
        <f t="shared" si="27"/>
        <v>DAURDE</v>
      </c>
    </row>
    <row r="505" spans="2:17" hidden="1">
      <c r="B505" s="1" t="s">
        <v>2133</v>
      </c>
      <c r="C505" s="1" t="s">
        <v>468</v>
      </c>
      <c r="D505" s="52">
        <v>46003.506944444445</v>
      </c>
      <c r="E505" s="52">
        <v>46003.506944444445</v>
      </c>
      <c r="F505" s="52">
        <v>46003.524305555555</v>
      </c>
      <c r="G505" s="53">
        <f t="shared" si="25"/>
        <v>1.7361111109494232E-2</v>
      </c>
      <c r="H505" s="1" t="s">
        <v>257</v>
      </c>
      <c r="J505" s="1" t="s">
        <v>258</v>
      </c>
      <c r="K505" s="1" t="str">
        <f>_xlfn.XLOOKUP(J505,REF!$D$2:$D$12,REF!$E$2:$E$12)</f>
        <v>Rede</v>
      </c>
      <c r="L505" s="1" t="s">
        <v>2116</v>
      </c>
      <c r="M505" s="1" t="s">
        <v>260</v>
      </c>
      <c r="N505" s="1" t="s">
        <v>357</v>
      </c>
      <c r="O505" s="1" t="s">
        <v>632</v>
      </c>
      <c r="P505" s="1" t="str">
        <f t="shared" si="26"/>
        <v>Caiaponia IISG60KTL(COM1-011)46003,506944444446003,506944444446003,5243055556</v>
      </c>
      <c r="Q505" s="1" t="str">
        <f t="shared" si="27"/>
        <v>DAURDE</v>
      </c>
    </row>
    <row r="506" spans="2:17" hidden="1">
      <c r="B506" s="1" t="s">
        <v>2133</v>
      </c>
      <c r="C506" s="1" t="s">
        <v>469</v>
      </c>
      <c r="D506" s="52">
        <v>46003.506944444445</v>
      </c>
      <c r="E506" s="52">
        <v>46003.506944444445</v>
      </c>
      <c r="F506" s="52">
        <v>46003.524305555555</v>
      </c>
      <c r="G506" s="53">
        <f t="shared" si="25"/>
        <v>1.7361111109494232E-2</v>
      </c>
      <c r="H506" s="1" t="s">
        <v>257</v>
      </c>
      <c r="J506" s="1" t="s">
        <v>258</v>
      </c>
      <c r="K506" s="1" t="str">
        <f>_xlfn.XLOOKUP(J506,REF!$D$2:$D$12,REF!$E$2:$E$12)</f>
        <v>Rede</v>
      </c>
      <c r="L506" s="1" t="s">
        <v>2116</v>
      </c>
      <c r="M506" s="1" t="s">
        <v>260</v>
      </c>
      <c r="N506" s="1" t="s">
        <v>357</v>
      </c>
      <c r="O506" s="1" t="s">
        <v>632</v>
      </c>
      <c r="P506" s="1" t="str">
        <f t="shared" si="26"/>
        <v>Caiaponia IISG60KTL(COM1-012)46003,506944444446003,506944444446003,5243055556</v>
      </c>
      <c r="Q506" s="1" t="str">
        <f t="shared" si="27"/>
        <v>DAURDE</v>
      </c>
    </row>
    <row r="507" spans="2:17" hidden="1">
      <c r="B507" s="1" t="s">
        <v>2133</v>
      </c>
      <c r="C507" s="1" t="s">
        <v>470</v>
      </c>
      <c r="D507" s="52">
        <v>46003.506944444445</v>
      </c>
      <c r="E507" s="52">
        <v>46003.506944444445</v>
      </c>
      <c r="F507" s="52">
        <v>46003.524305555555</v>
      </c>
      <c r="G507" s="53">
        <f t="shared" si="25"/>
        <v>1.7361111109494232E-2</v>
      </c>
      <c r="H507" s="1" t="s">
        <v>257</v>
      </c>
      <c r="J507" s="1" t="s">
        <v>258</v>
      </c>
      <c r="K507" s="1" t="str">
        <f>_xlfn.XLOOKUP(J507,REF!$D$2:$D$12,REF!$E$2:$E$12)</f>
        <v>Rede</v>
      </c>
      <c r="L507" s="1" t="s">
        <v>2116</v>
      </c>
      <c r="M507" s="1" t="s">
        <v>260</v>
      </c>
      <c r="N507" s="1" t="s">
        <v>357</v>
      </c>
      <c r="O507" s="1" t="s">
        <v>632</v>
      </c>
      <c r="P507" s="1" t="str">
        <f t="shared" si="26"/>
        <v>Caiaponia IISG60KTL(COM1-013)46003,506944444446003,506944444446003,5243055556</v>
      </c>
      <c r="Q507" s="1" t="str">
        <f t="shared" si="27"/>
        <v>DAURDE</v>
      </c>
    </row>
    <row r="508" spans="2:17" hidden="1">
      <c r="B508" s="1" t="s">
        <v>2133</v>
      </c>
      <c r="C508" s="1" t="s">
        <v>471</v>
      </c>
      <c r="D508" s="52">
        <v>46003.506944444445</v>
      </c>
      <c r="E508" s="52">
        <v>46003.506944444445</v>
      </c>
      <c r="F508" s="52">
        <v>46003.524305555555</v>
      </c>
      <c r="G508" s="53">
        <f t="shared" ref="G508:G571" si="28">F508-E508</f>
        <v>1.7361111109494232E-2</v>
      </c>
      <c r="H508" s="1" t="s">
        <v>257</v>
      </c>
      <c r="J508" s="1" t="s">
        <v>258</v>
      </c>
      <c r="K508" s="1" t="str">
        <f>_xlfn.XLOOKUP(J508,REF!$D$2:$D$12,REF!$E$2:$E$12)</f>
        <v>Rede</v>
      </c>
      <c r="L508" s="1" t="s">
        <v>2116</v>
      </c>
      <c r="M508" s="1" t="s">
        <v>260</v>
      </c>
      <c r="N508" s="1" t="s">
        <v>357</v>
      </c>
      <c r="O508" s="1" t="s">
        <v>632</v>
      </c>
      <c r="P508" s="1" t="str">
        <f t="shared" si="26"/>
        <v>Caiaponia IISG60KTL(COM1-014)46003,506944444446003,506944444446003,5243055556</v>
      </c>
      <c r="Q508" s="1" t="str">
        <f t="shared" si="27"/>
        <v>DAURDE</v>
      </c>
    </row>
    <row r="509" spans="2:17" hidden="1">
      <c r="B509" s="1" t="s">
        <v>2133</v>
      </c>
      <c r="C509" s="1" t="s">
        <v>472</v>
      </c>
      <c r="D509" s="52">
        <v>46003.506944444445</v>
      </c>
      <c r="E509" s="52">
        <v>46003.506944444445</v>
      </c>
      <c r="F509" s="52">
        <v>46003.524305555555</v>
      </c>
      <c r="G509" s="53">
        <f t="shared" si="28"/>
        <v>1.7361111109494232E-2</v>
      </c>
      <c r="H509" s="1" t="s">
        <v>257</v>
      </c>
      <c r="J509" s="1" t="s">
        <v>258</v>
      </c>
      <c r="K509" s="1" t="str">
        <f>_xlfn.XLOOKUP(J509,REF!$D$2:$D$12,REF!$E$2:$E$12)</f>
        <v>Rede</v>
      </c>
      <c r="L509" s="1" t="s">
        <v>2116</v>
      </c>
      <c r="M509" s="1" t="s">
        <v>260</v>
      </c>
      <c r="N509" s="1" t="s">
        <v>357</v>
      </c>
      <c r="O509" s="1" t="s">
        <v>632</v>
      </c>
      <c r="P509" s="1" t="str">
        <f t="shared" si="26"/>
        <v>Caiaponia IISG60KTL(COM1-015)46003,506944444446003,506944444446003,5243055556</v>
      </c>
      <c r="Q509" s="1" t="str">
        <f t="shared" si="27"/>
        <v>DAURDE</v>
      </c>
    </row>
    <row r="510" spans="2:17" hidden="1">
      <c r="B510" s="1" t="s">
        <v>265</v>
      </c>
      <c r="C510" s="1" t="s">
        <v>263</v>
      </c>
      <c r="D510" s="52">
        <v>46003.17083333333</v>
      </c>
      <c r="E510" s="52">
        <v>46003.17083333333</v>
      </c>
      <c r="F510" s="52">
        <v>46003.30972222222</v>
      </c>
      <c r="G510" s="53">
        <f t="shared" si="28"/>
        <v>0.13888888889050577</v>
      </c>
      <c r="H510" s="1" t="s">
        <v>257</v>
      </c>
      <c r="J510" s="1" t="s">
        <v>258</v>
      </c>
      <c r="K510" s="1" t="str">
        <f>_xlfn.XLOOKUP(J510,REF!$D$2:$D$12,REF!$E$2:$E$12)</f>
        <v>Rede</v>
      </c>
      <c r="L510" s="1" t="s">
        <v>541</v>
      </c>
      <c r="M510" s="1" t="s">
        <v>2108</v>
      </c>
      <c r="N510" s="1" t="s">
        <v>357</v>
      </c>
      <c r="O510" s="1" t="s">
        <v>2111</v>
      </c>
      <c r="P510" s="1" t="str">
        <f t="shared" si="26"/>
        <v>BC Formoso2.2Inverter(MBUS-14)46003,170833333346003,170833333346003,3097222222</v>
      </c>
      <c r="Q510" s="1" t="str">
        <f t="shared" si="27"/>
        <v>DAURDE</v>
      </c>
    </row>
    <row r="511" spans="2:17" hidden="1">
      <c r="B511" s="1" t="s">
        <v>265</v>
      </c>
      <c r="C511" s="1" t="s">
        <v>264</v>
      </c>
      <c r="D511" s="52">
        <v>46003.17083333333</v>
      </c>
      <c r="E511" s="52">
        <v>46003.17083333333</v>
      </c>
      <c r="F511" s="52">
        <v>46003.30972222222</v>
      </c>
      <c r="G511" s="53">
        <f t="shared" si="28"/>
        <v>0.13888888889050577</v>
      </c>
      <c r="H511" s="1" t="s">
        <v>257</v>
      </c>
      <c r="J511" s="1" t="s">
        <v>258</v>
      </c>
      <c r="K511" s="1" t="str">
        <f>_xlfn.XLOOKUP(J511,REF!$D$2:$D$12,REF!$E$2:$E$12)</f>
        <v>Rede</v>
      </c>
      <c r="L511" s="1" t="s">
        <v>541</v>
      </c>
      <c r="M511" s="1" t="s">
        <v>2108</v>
      </c>
      <c r="N511" s="1" t="s">
        <v>357</v>
      </c>
      <c r="O511" s="1" t="s">
        <v>2111</v>
      </c>
      <c r="P511" s="1" t="str">
        <f t="shared" si="26"/>
        <v>BC Formoso2.2Inverter(MBUS-13)46003,170833333346003,170833333346003,3097222222</v>
      </c>
      <c r="Q511" s="1" t="str">
        <f t="shared" si="27"/>
        <v>DAURDE</v>
      </c>
    </row>
    <row r="512" spans="2:17" hidden="1">
      <c r="B512" s="1" t="s">
        <v>265</v>
      </c>
      <c r="C512" s="1" t="s">
        <v>256</v>
      </c>
      <c r="D512" s="52">
        <v>46003.17083333333</v>
      </c>
      <c r="E512" s="52">
        <v>46003.17083333333</v>
      </c>
      <c r="F512" s="52">
        <v>46003.30972222222</v>
      </c>
      <c r="G512" s="53">
        <f t="shared" si="28"/>
        <v>0.13888888889050577</v>
      </c>
      <c r="H512" s="1" t="s">
        <v>257</v>
      </c>
      <c r="J512" s="1" t="s">
        <v>258</v>
      </c>
      <c r="K512" s="1" t="str">
        <f>_xlfn.XLOOKUP(J512,REF!$D$2:$D$12,REF!$E$2:$E$12)</f>
        <v>Rede</v>
      </c>
      <c r="L512" s="1" t="s">
        <v>541</v>
      </c>
      <c r="M512" s="1" t="s">
        <v>2108</v>
      </c>
      <c r="N512" s="1" t="s">
        <v>357</v>
      </c>
      <c r="O512" s="1" t="s">
        <v>2111</v>
      </c>
      <c r="P512" s="1" t="str">
        <f t="shared" si="26"/>
        <v>BC Formoso2.2Inverter(MBUS-12)46003,170833333346003,170833333346003,3097222222</v>
      </c>
      <c r="Q512" s="1" t="str">
        <f t="shared" si="27"/>
        <v>DAURDE</v>
      </c>
    </row>
    <row r="513" spans="2:17" hidden="1">
      <c r="B513" s="1" t="s">
        <v>265</v>
      </c>
      <c r="C513" s="1" t="s">
        <v>247</v>
      </c>
      <c r="D513" s="52">
        <v>46003.17083333333</v>
      </c>
      <c r="E513" s="52">
        <v>46003.17083333333</v>
      </c>
      <c r="F513" s="52">
        <v>46003.30972222222</v>
      </c>
      <c r="G513" s="53">
        <f t="shared" si="28"/>
        <v>0.13888888889050577</v>
      </c>
      <c r="H513" s="1" t="s">
        <v>257</v>
      </c>
      <c r="J513" s="1" t="s">
        <v>258</v>
      </c>
      <c r="K513" s="1" t="str">
        <f>_xlfn.XLOOKUP(J513,REF!$D$2:$D$12,REF!$E$2:$E$12)</f>
        <v>Rede</v>
      </c>
      <c r="L513" s="1" t="s">
        <v>541</v>
      </c>
      <c r="M513" s="1" t="s">
        <v>2108</v>
      </c>
      <c r="N513" s="1" t="s">
        <v>357</v>
      </c>
      <c r="O513" s="1" t="s">
        <v>2111</v>
      </c>
      <c r="P513" s="1" t="str">
        <f t="shared" si="26"/>
        <v>BC Formoso2.2Inverter(MBUS-1)46003,170833333346003,170833333346003,3097222222</v>
      </c>
      <c r="Q513" s="1" t="str">
        <f t="shared" si="27"/>
        <v>DAURDE</v>
      </c>
    </row>
    <row r="514" spans="2:17" hidden="1">
      <c r="B514" s="1" t="s">
        <v>2123</v>
      </c>
      <c r="C514" s="1" t="s">
        <v>2124</v>
      </c>
      <c r="D514" s="52">
        <v>46002.256944444445</v>
      </c>
      <c r="E514" s="52">
        <v>46002.256944444445</v>
      </c>
      <c r="F514" s="52">
        <v>46002.510416666664</v>
      </c>
      <c r="G514" s="53">
        <f t="shared" si="28"/>
        <v>0.25347222221898846</v>
      </c>
      <c r="H514" s="1" t="s">
        <v>257</v>
      </c>
      <c r="J514" s="1" t="s">
        <v>258</v>
      </c>
      <c r="K514" s="1" t="str">
        <f>_xlfn.XLOOKUP(J514,REF!$D$2:$D$12,REF!$E$2:$E$12)</f>
        <v>Rede</v>
      </c>
      <c r="L514" s="1" t="s">
        <v>2089</v>
      </c>
      <c r="M514" s="1" t="s">
        <v>260</v>
      </c>
      <c r="N514" s="1" t="s">
        <v>261</v>
      </c>
      <c r="O514" s="1" t="s">
        <v>2090</v>
      </c>
      <c r="P514" s="1" t="str">
        <f t="shared" si="26"/>
        <v>Rio Monte ISG75CX(COM2-001)_001_01846002,256944444446002,256944444446002,5104166667</v>
      </c>
      <c r="Q514" s="1" t="str">
        <f t="shared" si="27"/>
        <v>DAURDE</v>
      </c>
    </row>
    <row r="515" spans="2:17" hidden="1">
      <c r="B515" s="1" t="s">
        <v>2125</v>
      </c>
      <c r="C515" s="1" t="s">
        <v>2126</v>
      </c>
      <c r="D515" s="52">
        <v>46002.256944444445</v>
      </c>
      <c r="E515" s="52">
        <v>46002.256944444445</v>
      </c>
      <c r="F515" s="52">
        <v>46002.510416666664</v>
      </c>
      <c r="G515" s="53">
        <f t="shared" si="28"/>
        <v>0.25347222221898846</v>
      </c>
      <c r="H515" s="1" t="s">
        <v>257</v>
      </c>
      <c r="J515" s="1" t="s">
        <v>258</v>
      </c>
      <c r="K515" s="1" t="str">
        <f>_xlfn.XLOOKUP(J515,REF!$D$2:$D$12,REF!$E$2:$E$12)</f>
        <v>Rede</v>
      </c>
      <c r="L515" s="1" t="s">
        <v>2089</v>
      </c>
      <c r="M515" s="1" t="s">
        <v>260</v>
      </c>
      <c r="N515" s="1" t="s">
        <v>261</v>
      </c>
      <c r="O515" s="1" t="s">
        <v>2090</v>
      </c>
      <c r="P515" s="1" t="str">
        <f t="shared" ref="P515:P578" si="29">_xlfn.CONCAT(B515,C515,D515,E515,F515)</f>
        <v>Rio Monte IISG40CX(COM2-007)_001_01746002,256944444446002,256944444446002,5104166667</v>
      </c>
      <c r="Q515" s="1" t="str">
        <f t="shared" ref="Q515:Q578" si="30">_xlfn.CONCAT(H515,I515,J515)</f>
        <v>DAURDE</v>
      </c>
    </row>
    <row r="516" spans="2:17" hidden="1">
      <c r="B516" s="1" t="s">
        <v>2125</v>
      </c>
      <c r="C516" s="1" t="s">
        <v>2127</v>
      </c>
      <c r="D516" s="52">
        <v>46002.256944444445</v>
      </c>
      <c r="E516" s="52">
        <v>46002.256944444445</v>
      </c>
      <c r="F516" s="52">
        <v>46002.510416666664</v>
      </c>
      <c r="G516" s="53">
        <f t="shared" si="28"/>
        <v>0.25347222221898846</v>
      </c>
      <c r="H516" s="1" t="s">
        <v>257</v>
      </c>
      <c r="J516" s="1" t="s">
        <v>258</v>
      </c>
      <c r="K516" s="1" t="str">
        <f>_xlfn.XLOOKUP(J516,REF!$D$2:$D$12,REF!$E$2:$E$12)</f>
        <v>Rede</v>
      </c>
      <c r="L516" s="1" t="s">
        <v>2089</v>
      </c>
      <c r="M516" s="1" t="s">
        <v>260</v>
      </c>
      <c r="N516" s="1" t="s">
        <v>261</v>
      </c>
      <c r="O516" s="1" t="s">
        <v>2090</v>
      </c>
      <c r="P516" s="1" t="str">
        <f t="shared" si="29"/>
        <v>Rio Monte IISG60KTL(COM1-002)_001_00546002,256944444446002,256944444446002,5104166667</v>
      </c>
      <c r="Q516" s="1" t="str">
        <f t="shared" si="30"/>
        <v>DAURDE</v>
      </c>
    </row>
    <row r="517" spans="2:17" hidden="1">
      <c r="B517" s="1" t="s">
        <v>2125</v>
      </c>
      <c r="C517" s="1" t="s">
        <v>2128</v>
      </c>
      <c r="D517" s="52">
        <v>46002.256944444445</v>
      </c>
      <c r="E517" s="52">
        <v>46002.256944444445</v>
      </c>
      <c r="F517" s="52">
        <v>46002.510416666664</v>
      </c>
      <c r="G517" s="53">
        <f t="shared" si="28"/>
        <v>0.25347222221898846</v>
      </c>
      <c r="H517" s="1" t="s">
        <v>257</v>
      </c>
      <c r="J517" s="1" t="s">
        <v>258</v>
      </c>
      <c r="K517" s="1" t="str">
        <f>_xlfn.XLOOKUP(J517,REF!$D$2:$D$12,REF!$E$2:$E$12)</f>
        <v>Rede</v>
      </c>
      <c r="L517" s="1" t="s">
        <v>2089</v>
      </c>
      <c r="M517" s="1" t="s">
        <v>260</v>
      </c>
      <c r="N517" s="1" t="s">
        <v>261</v>
      </c>
      <c r="O517" s="1" t="s">
        <v>2090</v>
      </c>
      <c r="P517" s="1" t="str">
        <f t="shared" si="29"/>
        <v>Rio Monte IISG60KTL(COM1-003)_001__01146002,256944444446002,256944444446002,5104166667</v>
      </c>
      <c r="Q517" s="1" t="str">
        <f t="shared" si="30"/>
        <v>DAURDE</v>
      </c>
    </row>
    <row r="518" spans="2:17" hidden="1">
      <c r="B518" s="1" t="s">
        <v>2125</v>
      </c>
      <c r="C518" s="1" t="s">
        <v>2129</v>
      </c>
      <c r="D518" s="52">
        <v>46002.256944444445</v>
      </c>
      <c r="E518" s="52">
        <v>46002.256944444445</v>
      </c>
      <c r="F518" s="52">
        <v>46002.510416666664</v>
      </c>
      <c r="G518" s="53">
        <f t="shared" si="28"/>
        <v>0.25347222221898846</v>
      </c>
      <c r="H518" s="1" t="s">
        <v>257</v>
      </c>
      <c r="J518" s="1" t="s">
        <v>258</v>
      </c>
      <c r="K518" s="1" t="str">
        <f>_xlfn.XLOOKUP(J518,REF!$D$2:$D$12,REF!$E$2:$E$12)</f>
        <v>Rede</v>
      </c>
      <c r="L518" s="1" t="s">
        <v>2089</v>
      </c>
      <c r="M518" s="1" t="s">
        <v>260</v>
      </c>
      <c r="N518" s="1" t="s">
        <v>261</v>
      </c>
      <c r="O518" s="1" t="s">
        <v>2090</v>
      </c>
      <c r="P518" s="1" t="str">
        <f t="shared" si="29"/>
        <v>Rio Monte IISG60KTL(COM1-004)_001_00746002,256944444446002,256944444446002,5104166667</v>
      </c>
      <c r="Q518" s="1" t="str">
        <f t="shared" si="30"/>
        <v>DAURDE</v>
      </c>
    </row>
    <row r="519" spans="2:17" hidden="1">
      <c r="B519" s="1" t="s">
        <v>2125</v>
      </c>
      <c r="C519" s="1" t="s">
        <v>2130</v>
      </c>
      <c r="D519" s="52">
        <v>46002.256944444445</v>
      </c>
      <c r="E519" s="52">
        <v>46002.256944444445</v>
      </c>
      <c r="F519" s="52">
        <v>46002.510416666664</v>
      </c>
      <c r="G519" s="53">
        <f t="shared" si="28"/>
        <v>0.25347222221898846</v>
      </c>
      <c r="H519" s="1" t="s">
        <v>257</v>
      </c>
      <c r="J519" s="1" t="s">
        <v>258</v>
      </c>
      <c r="K519" s="1" t="str">
        <f>_xlfn.XLOOKUP(J519,REF!$D$2:$D$12,REF!$E$2:$E$12)</f>
        <v>Rede</v>
      </c>
      <c r="L519" s="1" t="s">
        <v>2089</v>
      </c>
      <c r="M519" s="1" t="s">
        <v>260</v>
      </c>
      <c r="N519" s="1" t="s">
        <v>261</v>
      </c>
      <c r="O519" s="1" t="s">
        <v>2090</v>
      </c>
      <c r="P519" s="1" t="str">
        <f t="shared" si="29"/>
        <v>Rio Monte IISG60KTL(COM1-005)_001_00946002,256944444446002,256944444446002,5104166667</v>
      </c>
      <c r="Q519" s="1" t="str">
        <f t="shared" si="30"/>
        <v>DAURDE</v>
      </c>
    </row>
    <row r="520" spans="2:17" hidden="1">
      <c r="B520" s="1" t="s">
        <v>2125</v>
      </c>
      <c r="C520" s="1" t="s">
        <v>2131</v>
      </c>
      <c r="D520" s="52">
        <v>46002.256944444445</v>
      </c>
      <c r="E520" s="52">
        <v>46002.256944444445</v>
      </c>
      <c r="F520" s="52">
        <v>46002.510416666664</v>
      </c>
      <c r="G520" s="53">
        <f t="shared" si="28"/>
        <v>0.25347222221898846</v>
      </c>
      <c r="H520" s="1" t="s">
        <v>257</v>
      </c>
      <c r="J520" s="1" t="s">
        <v>258</v>
      </c>
      <c r="K520" s="1" t="str">
        <f>_xlfn.XLOOKUP(J520,REF!$D$2:$D$12,REF!$E$2:$E$12)</f>
        <v>Rede</v>
      </c>
      <c r="L520" s="1" t="s">
        <v>2089</v>
      </c>
      <c r="M520" s="1" t="s">
        <v>260</v>
      </c>
      <c r="N520" s="1" t="s">
        <v>261</v>
      </c>
      <c r="O520" s="1" t="s">
        <v>2090</v>
      </c>
      <c r="P520" s="1" t="str">
        <f t="shared" si="29"/>
        <v>Rio Monte IISG60KTL(COM1-006)_001_00646002,256944444446002,256944444446002,5104166667</v>
      </c>
      <c r="Q520" s="1" t="str">
        <f t="shared" si="30"/>
        <v>DAURDE</v>
      </c>
    </row>
    <row r="521" spans="2:17" hidden="1">
      <c r="B521" s="1" t="s">
        <v>2134</v>
      </c>
      <c r="C521" s="1" t="s">
        <v>2135</v>
      </c>
      <c r="D521" s="52">
        <v>46002.256944444445</v>
      </c>
      <c r="E521" s="52">
        <v>46002.256944444445</v>
      </c>
      <c r="F521" s="52">
        <v>46002.510416666664</v>
      </c>
      <c r="G521" s="53">
        <f t="shared" si="28"/>
        <v>0.25347222221898846</v>
      </c>
      <c r="H521" s="1" t="s">
        <v>257</v>
      </c>
      <c r="J521" s="1" t="s">
        <v>258</v>
      </c>
      <c r="K521" s="1" t="str">
        <f>_xlfn.XLOOKUP(J521,REF!$D$2:$D$12,REF!$E$2:$E$12)</f>
        <v>Rede</v>
      </c>
      <c r="L521" s="1" t="s">
        <v>2089</v>
      </c>
      <c r="M521" s="1" t="s">
        <v>260</v>
      </c>
      <c r="N521" s="1" t="s">
        <v>261</v>
      </c>
      <c r="O521" s="1" t="s">
        <v>2090</v>
      </c>
      <c r="P521" s="1" t="str">
        <f t="shared" si="29"/>
        <v>Rio Monte IIISG60KTL(COM1-008)_001_01646002,256944444446002,256944444446002,5104166667</v>
      </c>
      <c r="Q521" s="1" t="str">
        <f t="shared" si="30"/>
        <v>DAURDE</v>
      </c>
    </row>
    <row r="522" spans="2:17" hidden="1">
      <c r="B522" s="1" t="s">
        <v>2134</v>
      </c>
      <c r="C522" s="1" t="s">
        <v>2136</v>
      </c>
      <c r="D522" s="52">
        <v>46002.256944444445</v>
      </c>
      <c r="E522" s="52">
        <v>46002.256944444445</v>
      </c>
      <c r="F522" s="52">
        <v>46002.510416666664</v>
      </c>
      <c r="G522" s="53">
        <f t="shared" si="28"/>
        <v>0.25347222221898846</v>
      </c>
      <c r="H522" s="1" t="s">
        <v>257</v>
      </c>
      <c r="J522" s="1" t="s">
        <v>258</v>
      </c>
      <c r="K522" s="1" t="str">
        <f>_xlfn.XLOOKUP(J522,REF!$D$2:$D$12,REF!$E$2:$E$12)</f>
        <v>Rede</v>
      </c>
      <c r="L522" s="1" t="s">
        <v>2089</v>
      </c>
      <c r="M522" s="1" t="s">
        <v>260</v>
      </c>
      <c r="N522" s="1" t="s">
        <v>261</v>
      </c>
      <c r="O522" s="1" t="s">
        <v>2090</v>
      </c>
      <c r="P522" s="1" t="str">
        <f t="shared" si="29"/>
        <v>Rio Monte IIISG60KTL(COM1-009)_001_01046002,256944444446002,256944444446002,5104166667</v>
      </c>
      <c r="Q522" s="1" t="str">
        <f t="shared" si="30"/>
        <v>DAURDE</v>
      </c>
    </row>
    <row r="523" spans="2:17" hidden="1">
      <c r="B523" s="1" t="s">
        <v>2134</v>
      </c>
      <c r="C523" s="1" t="s">
        <v>2137</v>
      </c>
      <c r="D523" s="52">
        <v>46002.256944444445</v>
      </c>
      <c r="E523" s="52">
        <v>46002.256944444445</v>
      </c>
      <c r="F523" s="52">
        <v>46002.510416666664</v>
      </c>
      <c r="G523" s="53">
        <f t="shared" si="28"/>
        <v>0.25347222221898846</v>
      </c>
      <c r="H523" s="1" t="s">
        <v>257</v>
      </c>
      <c r="J523" s="1" t="s">
        <v>258</v>
      </c>
      <c r="K523" s="1" t="str">
        <f>_xlfn.XLOOKUP(J523,REF!$D$2:$D$12,REF!$E$2:$E$12)</f>
        <v>Rede</v>
      </c>
      <c r="L523" s="1" t="s">
        <v>2089</v>
      </c>
      <c r="M523" s="1" t="s">
        <v>260</v>
      </c>
      <c r="N523" s="1" t="s">
        <v>261</v>
      </c>
      <c r="O523" s="1" t="s">
        <v>2090</v>
      </c>
      <c r="P523" s="1" t="str">
        <f t="shared" si="29"/>
        <v>Rio Monte IIISG60KTL(COM1-010)_001_01246002,256944444446002,256944444446002,5104166667</v>
      </c>
      <c r="Q523" s="1" t="str">
        <f t="shared" si="30"/>
        <v>DAURDE</v>
      </c>
    </row>
    <row r="524" spans="2:17" hidden="1">
      <c r="B524" s="1" t="s">
        <v>2134</v>
      </c>
      <c r="C524" s="1" t="s">
        <v>2138</v>
      </c>
      <c r="D524" s="52">
        <v>46002.256944444445</v>
      </c>
      <c r="E524" s="52">
        <v>46002.256944444445</v>
      </c>
      <c r="F524" s="52">
        <v>46002.510416666664</v>
      </c>
      <c r="G524" s="53">
        <f t="shared" si="28"/>
        <v>0.25347222221898846</v>
      </c>
      <c r="H524" s="1" t="s">
        <v>257</v>
      </c>
      <c r="J524" s="1" t="s">
        <v>258</v>
      </c>
      <c r="K524" s="1" t="str">
        <f>_xlfn.XLOOKUP(J524,REF!$D$2:$D$12,REF!$E$2:$E$12)</f>
        <v>Rede</v>
      </c>
      <c r="L524" s="1" t="s">
        <v>2089</v>
      </c>
      <c r="M524" s="1" t="s">
        <v>260</v>
      </c>
      <c r="N524" s="1" t="s">
        <v>261</v>
      </c>
      <c r="O524" s="1" t="s">
        <v>2090</v>
      </c>
      <c r="P524" s="1" t="str">
        <f t="shared" si="29"/>
        <v>Rio Monte IIISG60KTL(COM1-011)_001_00246002,256944444446002,256944444446002,5104166667</v>
      </c>
      <c r="Q524" s="1" t="str">
        <f t="shared" si="30"/>
        <v>DAURDE</v>
      </c>
    </row>
    <row r="525" spans="2:17" hidden="1">
      <c r="B525" s="1" t="s">
        <v>2134</v>
      </c>
      <c r="C525" s="1" t="s">
        <v>2139</v>
      </c>
      <c r="D525" s="52">
        <v>46002.256944444445</v>
      </c>
      <c r="E525" s="52">
        <v>46002.256944444445</v>
      </c>
      <c r="F525" s="52">
        <v>46002.510416666664</v>
      </c>
      <c r="G525" s="53">
        <f t="shared" si="28"/>
        <v>0.25347222221898846</v>
      </c>
      <c r="H525" s="1" t="s">
        <v>257</v>
      </c>
      <c r="J525" s="1" t="s">
        <v>258</v>
      </c>
      <c r="K525" s="1" t="str">
        <f>_xlfn.XLOOKUP(J525,REF!$D$2:$D$12,REF!$E$2:$E$12)</f>
        <v>Rede</v>
      </c>
      <c r="L525" s="1" t="s">
        <v>2089</v>
      </c>
      <c r="M525" s="1" t="s">
        <v>260</v>
      </c>
      <c r="N525" s="1" t="s">
        <v>261</v>
      </c>
      <c r="O525" s="1" t="s">
        <v>2090</v>
      </c>
      <c r="P525" s="1" t="str">
        <f t="shared" si="29"/>
        <v>Rio Monte IIISG60KTL(COM1-012)_001_01546002,256944444446002,256944444446002,5104166667</v>
      </c>
      <c r="Q525" s="1" t="str">
        <f t="shared" si="30"/>
        <v>DAURDE</v>
      </c>
    </row>
    <row r="526" spans="2:17" hidden="1">
      <c r="B526" s="1" t="s">
        <v>2134</v>
      </c>
      <c r="C526" s="1" t="s">
        <v>2140</v>
      </c>
      <c r="D526" s="52">
        <v>46002.256944444445</v>
      </c>
      <c r="E526" s="52">
        <v>46002.256944444445</v>
      </c>
      <c r="F526" s="52">
        <v>46002.510416666664</v>
      </c>
      <c r="G526" s="53">
        <f t="shared" si="28"/>
        <v>0.25347222221898846</v>
      </c>
      <c r="H526" s="1" t="s">
        <v>257</v>
      </c>
      <c r="J526" s="1" t="s">
        <v>258</v>
      </c>
      <c r="K526" s="1" t="str">
        <f>_xlfn.XLOOKUP(J526,REF!$D$2:$D$12,REF!$E$2:$E$12)</f>
        <v>Rede</v>
      </c>
      <c r="L526" s="1" t="s">
        <v>2089</v>
      </c>
      <c r="M526" s="1" t="s">
        <v>260</v>
      </c>
      <c r="N526" s="1" t="s">
        <v>261</v>
      </c>
      <c r="O526" s="1" t="s">
        <v>2090</v>
      </c>
      <c r="P526" s="1" t="str">
        <f t="shared" si="29"/>
        <v>Rio Monte IIISG60KTL(COM1-013)_001_00346002,256944444446002,256944444446002,5104166667</v>
      </c>
      <c r="Q526" s="1" t="str">
        <f t="shared" si="30"/>
        <v>DAURDE</v>
      </c>
    </row>
    <row r="527" spans="2:17" hidden="1">
      <c r="B527" s="1" t="s">
        <v>2134</v>
      </c>
      <c r="C527" s="1" t="s">
        <v>2141</v>
      </c>
      <c r="D527" s="52">
        <v>46002.256944444445</v>
      </c>
      <c r="E527" s="52">
        <v>46002.256944444445</v>
      </c>
      <c r="F527" s="52">
        <v>46002.510416666664</v>
      </c>
      <c r="G527" s="53">
        <f t="shared" si="28"/>
        <v>0.25347222221898846</v>
      </c>
      <c r="H527" s="1" t="s">
        <v>257</v>
      </c>
      <c r="J527" s="1" t="s">
        <v>258</v>
      </c>
      <c r="K527" s="1" t="str">
        <f>_xlfn.XLOOKUP(J527,REF!$D$2:$D$12,REF!$E$2:$E$12)</f>
        <v>Rede</v>
      </c>
      <c r="L527" s="1" t="s">
        <v>2089</v>
      </c>
      <c r="M527" s="1" t="s">
        <v>260</v>
      </c>
      <c r="N527" s="1" t="s">
        <v>261</v>
      </c>
      <c r="O527" s="1" t="s">
        <v>2090</v>
      </c>
      <c r="P527" s="1" t="str">
        <f t="shared" si="29"/>
        <v>Rio Monte IIISG60KTL(COM1-014)_001_00446002,256944444446002,256944444446002,5104166667</v>
      </c>
      <c r="Q527" s="1" t="str">
        <f t="shared" si="30"/>
        <v>DAURDE</v>
      </c>
    </row>
    <row r="528" spans="2:17" hidden="1">
      <c r="B528" s="1" t="s">
        <v>2134</v>
      </c>
      <c r="C528" s="1" t="s">
        <v>2142</v>
      </c>
      <c r="D528" s="52">
        <v>46002.256944444445</v>
      </c>
      <c r="E528" s="52">
        <v>46002.256944444445</v>
      </c>
      <c r="F528" s="52">
        <v>46002.510416666664</v>
      </c>
      <c r="G528" s="53">
        <f t="shared" si="28"/>
        <v>0.25347222221898846</v>
      </c>
      <c r="H528" s="1" t="s">
        <v>257</v>
      </c>
      <c r="J528" s="1" t="s">
        <v>258</v>
      </c>
      <c r="K528" s="1" t="str">
        <f>_xlfn.XLOOKUP(J528,REF!$D$2:$D$12,REF!$E$2:$E$12)</f>
        <v>Rede</v>
      </c>
      <c r="L528" s="1" t="s">
        <v>2089</v>
      </c>
      <c r="M528" s="1" t="s">
        <v>260</v>
      </c>
      <c r="N528" s="1" t="s">
        <v>261</v>
      </c>
      <c r="O528" s="1" t="s">
        <v>2090</v>
      </c>
      <c r="P528" s="1" t="str">
        <f t="shared" si="29"/>
        <v>Rio Monte IIISG60KTL(COM1-015)_001_01346002,256944444446002,256944444446002,5104166667</v>
      </c>
      <c r="Q528" s="1" t="str">
        <f t="shared" si="30"/>
        <v>DAURDE</v>
      </c>
    </row>
    <row r="529" spans="2:17" hidden="1">
      <c r="B529" s="1" t="s">
        <v>2134</v>
      </c>
      <c r="C529" s="1" t="s">
        <v>2143</v>
      </c>
      <c r="D529" s="52">
        <v>46002.256944444445</v>
      </c>
      <c r="E529" s="52">
        <v>46002.256944444445</v>
      </c>
      <c r="F529" s="52">
        <v>46002.510416666664</v>
      </c>
      <c r="G529" s="53">
        <f t="shared" si="28"/>
        <v>0.25347222221898846</v>
      </c>
      <c r="H529" s="1" t="s">
        <v>257</v>
      </c>
      <c r="J529" s="1" t="s">
        <v>258</v>
      </c>
      <c r="K529" s="1" t="str">
        <f>_xlfn.XLOOKUP(J529,REF!$D$2:$D$12,REF!$E$2:$E$12)</f>
        <v>Rede</v>
      </c>
      <c r="L529" s="1" t="s">
        <v>2089</v>
      </c>
      <c r="M529" s="1" t="s">
        <v>260</v>
      </c>
      <c r="N529" s="1" t="s">
        <v>261</v>
      </c>
      <c r="O529" s="1" t="s">
        <v>2090</v>
      </c>
      <c r="P529" s="1" t="str">
        <f t="shared" si="29"/>
        <v>Rio Monte IIISG60KTL(COM1-016)_001_01446002,256944444446002,256944444446002,5104166667</v>
      </c>
      <c r="Q529" s="1" t="str">
        <f t="shared" si="30"/>
        <v>DAURDE</v>
      </c>
    </row>
    <row r="530" spans="2:17" hidden="1">
      <c r="B530" s="1" t="s">
        <v>2134</v>
      </c>
      <c r="C530" s="1" t="s">
        <v>2144</v>
      </c>
      <c r="D530" s="52">
        <v>46002.256944444445</v>
      </c>
      <c r="E530" s="52">
        <v>46002.256944444445</v>
      </c>
      <c r="F530" s="52">
        <v>46002.510416666664</v>
      </c>
      <c r="G530" s="53">
        <f t="shared" si="28"/>
        <v>0.25347222221898846</v>
      </c>
      <c r="H530" s="1" t="s">
        <v>257</v>
      </c>
      <c r="J530" s="1" t="s">
        <v>258</v>
      </c>
      <c r="K530" s="1" t="str">
        <f>_xlfn.XLOOKUP(J530,REF!$D$2:$D$12,REF!$E$2:$E$12)</f>
        <v>Rede</v>
      </c>
      <c r="L530" s="1" t="s">
        <v>2089</v>
      </c>
      <c r="M530" s="1" t="s">
        <v>260</v>
      </c>
      <c r="N530" s="1" t="s">
        <v>261</v>
      </c>
      <c r="O530" s="1" t="s">
        <v>2090</v>
      </c>
      <c r="P530" s="1" t="str">
        <f t="shared" si="29"/>
        <v>Rio Monte IIISG60KTL(COM1-017)_001_00846002,256944444446002,256944444446002,5104166667</v>
      </c>
      <c r="Q530" s="1" t="str">
        <f t="shared" si="30"/>
        <v>DAURDE</v>
      </c>
    </row>
    <row r="531" spans="2:17" hidden="1">
      <c r="B531" s="1" t="s">
        <v>2117</v>
      </c>
      <c r="C531" s="1" t="s">
        <v>720</v>
      </c>
      <c r="D531" s="52">
        <v>46001.254166666666</v>
      </c>
      <c r="E531" s="52">
        <v>46001.254166666666</v>
      </c>
      <c r="F531" s="52">
        <v>46001.304166666669</v>
      </c>
      <c r="G531" s="53">
        <f t="shared" si="28"/>
        <v>5.0000000002910383E-2</v>
      </c>
      <c r="H531" s="1" t="s">
        <v>257</v>
      </c>
      <c r="J531" s="1" t="s">
        <v>258</v>
      </c>
      <c r="K531" s="1" t="str">
        <f>_xlfn.XLOOKUP(J531,REF!$D$2:$D$12,REF!$E$2:$E$12)</f>
        <v>Rede</v>
      </c>
      <c r="L531" s="1" t="s">
        <v>2057</v>
      </c>
      <c r="M531" s="1" t="s">
        <v>260</v>
      </c>
      <c r="N531" s="1" t="s">
        <v>261</v>
      </c>
      <c r="O531" s="1" t="s">
        <v>2098</v>
      </c>
      <c r="P531" s="1" t="str">
        <f t="shared" si="29"/>
        <v>CORUMBÁ I - UFV 1U01.I0146001,254166666746001,254166666746001,3041666667</v>
      </c>
      <c r="Q531" s="1" t="str">
        <f t="shared" si="30"/>
        <v>DAURDE</v>
      </c>
    </row>
    <row r="532" spans="2:17" hidden="1">
      <c r="B532" s="1" t="s">
        <v>2117</v>
      </c>
      <c r="C532" s="1" t="s">
        <v>721</v>
      </c>
      <c r="D532" s="52">
        <v>46001.254166666666</v>
      </c>
      <c r="E532" s="52">
        <v>46001.254166666666</v>
      </c>
      <c r="F532" s="52">
        <v>46001.304166666669</v>
      </c>
      <c r="G532" s="53">
        <f t="shared" si="28"/>
        <v>5.0000000002910383E-2</v>
      </c>
      <c r="H532" s="1" t="s">
        <v>257</v>
      </c>
      <c r="J532" s="1" t="s">
        <v>258</v>
      </c>
      <c r="K532" s="1" t="str">
        <f>_xlfn.XLOOKUP(J532,REF!$D$2:$D$12,REF!$E$2:$E$12)</f>
        <v>Rede</v>
      </c>
      <c r="L532" s="1" t="s">
        <v>2057</v>
      </c>
      <c r="M532" s="1" t="s">
        <v>260</v>
      </c>
      <c r="N532" s="1" t="s">
        <v>261</v>
      </c>
      <c r="O532" s="1" t="s">
        <v>2098</v>
      </c>
      <c r="P532" s="1" t="str">
        <f t="shared" si="29"/>
        <v>CORUMBÁ I - UFV 1U01.I0246001,254166666746001,254166666746001,3041666667</v>
      </c>
      <c r="Q532" s="1" t="str">
        <f t="shared" si="30"/>
        <v>DAURDE</v>
      </c>
    </row>
    <row r="533" spans="2:17" hidden="1">
      <c r="B533" s="1" t="s">
        <v>2117</v>
      </c>
      <c r="C533" s="1" t="s">
        <v>722</v>
      </c>
      <c r="D533" s="52">
        <v>46001.254166666666</v>
      </c>
      <c r="E533" s="52">
        <v>46001.254166666666</v>
      </c>
      <c r="F533" s="52">
        <v>46001.304166666669</v>
      </c>
      <c r="G533" s="53">
        <f t="shared" si="28"/>
        <v>5.0000000002910383E-2</v>
      </c>
      <c r="H533" s="1" t="s">
        <v>257</v>
      </c>
      <c r="J533" s="1" t="s">
        <v>258</v>
      </c>
      <c r="K533" s="1" t="str">
        <f>_xlfn.XLOOKUP(J533,REF!$D$2:$D$12,REF!$E$2:$E$12)</f>
        <v>Rede</v>
      </c>
      <c r="L533" s="1" t="s">
        <v>2057</v>
      </c>
      <c r="M533" s="1" t="s">
        <v>260</v>
      </c>
      <c r="N533" s="1" t="s">
        <v>261</v>
      </c>
      <c r="O533" s="1" t="s">
        <v>2098</v>
      </c>
      <c r="P533" s="1" t="str">
        <f t="shared" si="29"/>
        <v>CORUMBÁ I - UFV 1U01.I0346001,254166666746001,254166666746001,3041666667</v>
      </c>
      <c r="Q533" s="1" t="str">
        <f t="shared" si="30"/>
        <v>DAURDE</v>
      </c>
    </row>
    <row r="534" spans="2:17" hidden="1">
      <c r="B534" s="1" t="s">
        <v>2117</v>
      </c>
      <c r="C534" s="1" t="s">
        <v>361</v>
      </c>
      <c r="D534" s="52">
        <v>46001.254166666666</v>
      </c>
      <c r="E534" s="52">
        <v>46001.254166666666</v>
      </c>
      <c r="F534" s="52">
        <v>46001.304166666669</v>
      </c>
      <c r="G534" s="53">
        <f t="shared" si="28"/>
        <v>5.0000000002910383E-2</v>
      </c>
      <c r="H534" s="1" t="s">
        <v>257</v>
      </c>
      <c r="J534" s="1" t="s">
        <v>258</v>
      </c>
      <c r="K534" s="1" t="str">
        <f>_xlfn.XLOOKUP(J534,REF!$D$2:$D$12,REF!$E$2:$E$12)</f>
        <v>Rede</v>
      </c>
      <c r="L534" s="1" t="s">
        <v>2057</v>
      </c>
      <c r="M534" s="1" t="s">
        <v>260</v>
      </c>
      <c r="N534" s="1" t="s">
        <v>261</v>
      </c>
      <c r="O534" s="1" t="s">
        <v>2098</v>
      </c>
      <c r="P534" s="1" t="str">
        <f t="shared" si="29"/>
        <v>CORUMBÁ I - UFV 1U01.I0446001,254166666746001,254166666746001,3041666667</v>
      </c>
      <c r="Q534" s="1" t="str">
        <f t="shared" si="30"/>
        <v>DAURDE</v>
      </c>
    </row>
    <row r="535" spans="2:17" hidden="1">
      <c r="B535" s="1" t="s">
        <v>2117</v>
      </c>
      <c r="C535" s="1" t="s">
        <v>366</v>
      </c>
      <c r="D535" s="52">
        <v>46001.254166666666</v>
      </c>
      <c r="E535" s="52">
        <v>46001.254166666666</v>
      </c>
      <c r="F535" s="52">
        <v>46001.304166666669</v>
      </c>
      <c r="G535" s="53">
        <f t="shared" si="28"/>
        <v>5.0000000002910383E-2</v>
      </c>
      <c r="H535" s="1" t="s">
        <v>257</v>
      </c>
      <c r="J535" s="1" t="s">
        <v>258</v>
      </c>
      <c r="K535" s="1" t="str">
        <f>_xlfn.XLOOKUP(J535,REF!$D$2:$D$12,REF!$E$2:$E$12)</f>
        <v>Rede</v>
      </c>
      <c r="L535" s="1" t="s">
        <v>2057</v>
      </c>
      <c r="M535" s="1" t="s">
        <v>260</v>
      </c>
      <c r="N535" s="1" t="s">
        <v>261</v>
      </c>
      <c r="O535" s="1" t="s">
        <v>2098</v>
      </c>
      <c r="P535" s="1" t="str">
        <f t="shared" si="29"/>
        <v>CORUMBÁ I - UFV 1U01.I0546001,254166666746001,254166666746001,3041666667</v>
      </c>
      <c r="Q535" s="1" t="str">
        <f t="shared" si="30"/>
        <v>DAURDE</v>
      </c>
    </row>
    <row r="536" spans="2:17" hidden="1">
      <c r="B536" s="1" t="s">
        <v>2118</v>
      </c>
      <c r="C536" s="1" t="s">
        <v>292</v>
      </c>
      <c r="D536" s="52">
        <v>46001.254166666666</v>
      </c>
      <c r="E536" s="52">
        <v>46001.254166666666</v>
      </c>
      <c r="F536" s="52">
        <v>46001.304166666669</v>
      </c>
      <c r="G536" s="53">
        <f t="shared" si="28"/>
        <v>5.0000000002910383E-2</v>
      </c>
      <c r="H536" s="1" t="s">
        <v>257</v>
      </c>
      <c r="J536" s="1" t="s">
        <v>258</v>
      </c>
      <c r="K536" s="1" t="str">
        <f>_xlfn.XLOOKUP(J536,REF!$D$2:$D$12,REF!$E$2:$E$12)</f>
        <v>Rede</v>
      </c>
      <c r="L536" s="1" t="s">
        <v>2057</v>
      </c>
      <c r="M536" s="1" t="s">
        <v>260</v>
      </c>
      <c r="N536" s="1" t="s">
        <v>261</v>
      </c>
      <c r="O536" s="1" t="s">
        <v>2098</v>
      </c>
      <c r="P536" s="1" t="str">
        <f t="shared" si="29"/>
        <v>CORUMBÁ I - UFV 2U02.I0246001,254166666746001,254166666746001,3041666667</v>
      </c>
      <c r="Q536" s="1" t="str">
        <f t="shared" si="30"/>
        <v>DAURDE</v>
      </c>
    </row>
    <row r="537" spans="2:17" hidden="1">
      <c r="B537" s="1" t="s">
        <v>2118</v>
      </c>
      <c r="C537" s="1" t="s">
        <v>287</v>
      </c>
      <c r="D537" s="52">
        <v>46001.254166666666</v>
      </c>
      <c r="E537" s="52">
        <v>46001.254166666666</v>
      </c>
      <c r="F537" s="52">
        <v>46001.304166666669</v>
      </c>
      <c r="G537" s="53">
        <f t="shared" si="28"/>
        <v>5.0000000002910383E-2</v>
      </c>
      <c r="H537" s="1" t="s">
        <v>257</v>
      </c>
      <c r="J537" s="1" t="s">
        <v>258</v>
      </c>
      <c r="K537" s="1" t="str">
        <f>_xlfn.XLOOKUP(J537,REF!$D$2:$D$12,REF!$E$2:$E$12)</f>
        <v>Rede</v>
      </c>
      <c r="L537" s="1" t="s">
        <v>2057</v>
      </c>
      <c r="M537" s="1" t="s">
        <v>260</v>
      </c>
      <c r="N537" s="1" t="s">
        <v>261</v>
      </c>
      <c r="O537" s="1" t="s">
        <v>2098</v>
      </c>
      <c r="P537" s="1" t="str">
        <f t="shared" si="29"/>
        <v>CORUMBÁ I - UFV 2U02.I0146001,254166666746001,254166666746001,3041666667</v>
      </c>
      <c r="Q537" s="1" t="str">
        <f t="shared" si="30"/>
        <v>DAURDE</v>
      </c>
    </row>
    <row r="538" spans="2:17" hidden="1">
      <c r="B538" s="1" t="s">
        <v>2118</v>
      </c>
      <c r="C538" s="1" t="s">
        <v>293</v>
      </c>
      <c r="D538" s="52">
        <v>46001.254166666666</v>
      </c>
      <c r="E538" s="52">
        <v>46001.254166666666</v>
      </c>
      <c r="F538" s="52">
        <v>46001.304166666669</v>
      </c>
      <c r="G538" s="53">
        <f t="shared" si="28"/>
        <v>5.0000000002910383E-2</v>
      </c>
      <c r="H538" s="1" t="s">
        <v>257</v>
      </c>
      <c r="J538" s="1" t="s">
        <v>258</v>
      </c>
      <c r="K538" s="1" t="str">
        <f>_xlfn.XLOOKUP(J538,REF!$D$2:$D$12,REF!$E$2:$E$12)</f>
        <v>Rede</v>
      </c>
      <c r="L538" s="1" t="s">
        <v>2057</v>
      </c>
      <c r="M538" s="1" t="s">
        <v>260</v>
      </c>
      <c r="N538" s="1" t="s">
        <v>261</v>
      </c>
      <c r="O538" s="1" t="s">
        <v>2098</v>
      </c>
      <c r="P538" s="1" t="str">
        <f t="shared" si="29"/>
        <v>CORUMBÁ I - UFV 2U02.I0346001,254166666746001,254166666746001,3041666667</v>
      </c>
      <c r="Q538" s="1" t="str">
        <f t="shared" si="30"/>
        <v>DAURDE</v>
      </c>
    </row>
    <row r="539" spans="2:17" hidden="1">
      <c r="B539" s="1" t="s">
        <v>2118</v>
      </c>
      <c r="C539" s="1" t="s">
        <v>295</v>
      </c>
      <c r="D539" s="52">
        <v>46001.254166666666</v>
      </c>
      <c r="E539" s="52">
        <v>46001.254166666666</v>
      </c>
      <c r="F539" s="52">
        <v>46001.304166666669</v>
      </c>
      <c r="G539" s="53">
        <f t="shared" si="28"/>
        <v>5.0000000002910383E-2</v>
      </c>
      <c r="H539" s="1" t="s">
        <v>257</v>
      </c>
      <c r="J539" s="1" t="s">
        <v>258</v>
      </c>
      <c r="K539" s="1" t="str">
        <f>_xlfn.XLOOKUP(J539,REF!$D$2:$D$12,REF!$E$2:$E$12)</f>
        <v>Rede</v>
      </c>
      <c r="L539" s="1" t="s">
        <v>2057</v>
      </c>
      <c r="M539" s="1" t="s">
        <v>260</v>
      </c>
      <c r="N539" s="1" t="s">
        <v>261</v>
      </c>
      <c r="O539" s="1" t="s">
        <v>2098</v>
      </c>
      <c r="P539" s="1" t="str">
        <f t="shared" si="29"/>
        <v>CORUMBÁ I - UFV 2U02.I0546001,254166666746001,254166666746001,3041666667</v>
      </c>
      <c r="Q539" s="1" t="str">
        <f t="shared" si="30"/>
        <v>DAURDE</v>
      </c>
    </row>
    <row r="540" spans="2:17" hidden="1">
      <c r="B540" s="1" t="s">
        <v>2118</v>
      </c>
      <c r="C540" s="1" t="s">
        <v>294</v>
      </c>
      <c r="D540" s="52">
        <v>46001.254166666666</v>
      </c>
      <c r="E540" s="52">
        <v>46001.254166666666</v>
      </c>
      <c r="F540" s="52">
        <v>46001.304166666669</v>
      </c>
      <c r="G540" s="53">
        <f t="shared" si="28"/>
        <v>5.0000000002910383E-2</v>
      </c>
      <c r="H540" s="1" t="s">
        <v>257</v>
      </c>
      <c r="J540" s="1" t="s">
        <v>258</v>
      </c>
      <c r="K540" s="1" t="str">
        <f>_xlfn.XLOOKUP(J540,REF!$D$2:$D$12,REF!$E$2:$E$12)</f>
        <v>Rede</v>
      </c>
      <c r="L540" s="1" t="s">
        <v>2057</v>
      </c>
      <c r="M540" s="1" t="s">
        <v>260</v>
      </c>
      <c r="N540" s="1" t="s">
        <v>261</v>
      </c>
      <c r="O540" s="1" t="s">
        <v>2098</v>
      </c>
      <c r="P540" s="1" t="str">
        <f t="shared" si="29"/>
        <v>CORUMBÁ I - UFV 2U02.I0446001,254166666746001,254166666746001,3041666667</v>
      </c>
      <c r="Q540" s="1" t="str">
        <f t="shared" si="30"/>
        <v>DAURDE</v>
      </c>
    </row>
    <row r="541" spans="2:17" hidden="1">
      <c r="B541" s="1" t="s">
        <v>2119</v>
      </c>
      <c r="C541" s="1" t="s">
        <v>608</v>
      </c>
      <c r="D541" s="52">
        <v>46001.254166666666</v>
      </c>
      <c r="E541" s="52">
        <v>46001.254166666666</v>
      </c>
      <c r="F541" s="52">
        <v>46001.304166666669</v>
      </c>
      <c r="G541" s="53">
        <f t="shared" si="28"/>
        <v>5.0000000002910383E-2</v>
      </c>
      <c r="H541" s="1" t="s">
        <v>257</v>
      </c>
      <c r="J541" s="1" t="s">
        <v>258</v>
      </c>
      <c r="K541" s="1" t="str">
        <f>_xlfn.XLOOKUP(J541,REF!$D$2:$D$12,REF!$E$2:$E$12)</f>
        <v>Rede</v>
      </c>
      <c r="L541" s="1" t="s">
        <v>2057</v>
      </c>
      <c r="M541" s="1" t="s">
        <v>260</v>
      </c>
      <c r="N541" s="1" t="s">
        <v>261</v>
      </c>
      <c r="O541" s="1" t="s">
        <v>2098</v>
      </c>
      <c r="P541" s="1" t="str">
        <f t="shared" si="29"/>
        <v>CORUMBÁ I - UFV 3U03.I0146001,254166666746001,254166666746001,3041666667</v>
      </c>
      <c r="Q541" s="1" t="str">
        <f t="shared" si="30"/>
        <v>DAURDE</v>
      </c>
    </row>
    <row r="542" spans="2:17" hidden="1">
      <c r="B542" s="1" t="s">
        <v>2119</v>
      </c>
      <c r="C542" s="1" t="s">
        <v>536</v>
      </c>
      <c r="D542" s="52">
        <v>46001.254166666666</v>
      </c>
      <c r="E542" s="52">
        <v>46001.254166666666</v>
      </c>
      <c r="F542" s="52">
        <v>46001.304166666669</v>
      </c>
      <c r="G542" s="53">
        <f t="shared" si="28"/>
        <v>5.0000000002910383E-2</v>
      </c>
      <c r="H542" s="1" t="s">
        <v>257</v>
      </c>
      <c r="J542" s="1" t="s">
        <v>258</v>
      </c>
      <c r="K542" s="1" t="str">
        <f>_xlfn.XLOOKUP(J542,REF!$D$2:$D$12,REF!$E$2:$E$12)</f>
        <v>Rede</v>
      </c>
      <c r="L542" s="1" t="s">
        <v>2057</v>
      </c>
      <c r="M542" s="1" t="s">
        <v>260</v>
      </c>
      <c r="N542" s="1" t="s">
        <v>261</v>
      </c>
      <c r="O542" s="1" t="s">
        <v>2098</v>
      </c>
      <c r="P542" s="1" t="str">
        <f t="shared" si="29"/>
        <v>CORUMBÁ I - UFV 3U03.I0346001,254166666746001,254166666746001,3041666667</v>
      </c>
      <c r="Q542" s="1" t="str">
        <f t="shared" si="30"/>
        <v>DAURDE</v>
      </c>
    </row>
    <row r="543" spans="2:17" hidden="1">
      <c r="B543" s="1" t="s">
        <v>2119</v>
      </c>
      <c r="C543" s="1" t="s">
        <v>611</v>
      </c>
      <c r="D543" s="52">
        <v>46001.254166666666</v>
      </c>
      <c r="E543" s="52">
        <v>46001.254166666666</v>
      </c>
      <c r="F543" s="52">
        <v>46001.304166666669</v>
      </c>
      <c r="G543" s="53">
        <f t="shared" si="28"/>
        <v>5.0000000002910383E-2</v>
      </c>
      <c r="H543" s="1" t="s">
        <v>257</v>
      </c>
      <c r="J543" s="1" t="s">
        <v>258</v>
      </c>
      <c r="K543" s="1" t="str">
        <f>_xlfn.XLOOKUP(J543,REF!$D$2:$D$12,REF!$E$2:$E$12)</f>
        <v>Rede</v>
      </c>
      <c r="L543" s="1" t="s">
        <v>2057</v>
      </c>
      <c r="M543" s="1" t="s">
        <v>260</v>
      </c>
      <c r="N543" s="1" t="s">
        <v>261</v>
      </c>
      <c r="O543" s="1" t="s">
        <v>2098</v>
      </c>
      <c r="P543" s="1" t="str">
        <f t="shared" si="29"/>
        <v>CORUMBÁ I - UFV 3U03.I0246001,254166666746001,254166666746001,3041666667</v>
      </c>
      <c r="Q543" s="1" t="str">
        <f t="shared" si="30"/>
        <v>DAURDE</v>
      </c>
    </row>
    <row r="544" spans="2:17" hidden="1">
      <c r="B544" s="1" t="s">
        <v>2120</v>
      </c>
      <c r="C544" s="1" t="s">
        <v>726</v>
      </c>
      <c r="D544" s="52">
        <v>46001.254166666666</v>
      </c>
      <c r="E544" s="52">
        <v>46001.254166666666</v>
      </c>
      <c r="F544" s="52">
        <v>46001.304166666669</v>
      </c>
      <c r="G544" s="53">
        <f t="shared" si="28"/>
        <v>5.0000000002910383E-2</v>
      </c>
      <c r="H544" s="1" t="s">
        <v>257</v>
      </c>
      <c r="J544" s="1" t="s">
        <v>258</v>
      </c>
      <c r="K544" s="1" t="str">
        <f>_xlfn.XLOOKUP(J544,REF!$D$2:$D$12,REF!$E$2:$E$12)</f>
        <v>Rede</v>
      </c>
      <c r="L544" s="1" t="s">
        <v>2057</v>
      </c>
      <c r="M544" s="1" t="s">
        <v>260</v>
      </c>
      <c r="N544" s="1" t="s">
        <v>261</v>
      </c>
      <c r="O544" s="1" t="s">
        <v>2098</v>
      </c>
      <c r="P544" s="1" t="str">
        <f t="shared" si="29"/>
        <v>CORUMBÁ II - UFV 1U01. I0146001,254166666746001,254166666746001,3041666667</v>
      </c>
      <c r="Q544" s="1" t="str">
        <f t="shared" si="30"/>
        <v>DAURDE</v>
      </c>
    </row>
    <row r="545" spans="2:17" hidden="1">
      <c r="B545" s="1" t="s">
        <v>2120</v>
      </c>
      <c r="C545" s="1" t="s">
        <v>263</v>
      </c>
      <c r="D545" s="52">
        <v>46001.254166666666</v>
      </c>
      <c r="E545" s="52">
        <v>46001.254166666666</v>
      </c>
      <c r="F545" s="52">
        <v>46001.304166666669</v>
      </c>
      <c r="G545" s="53">
        <f t="shared" si="28"/>
        <v>5.0000000002910383E-2</v>
      </c>
      <c r="H545" s="1" t="s">
        <v>257</v>
      </c>
      <c r="J545" s="1" t="s">
        <v>258</v>
      </c>
      <c r="K545" s="1" t="str">
        <f>_xlfn.XLOOKUP(J545,REF!$D$2:$D$12,REF!$E$2:$E$12)</f>
        <v>Rede</v>
      </c>
      <c r="L545" s="1" t="s">
        <v>2057</v>
      </c>
      <c r="M545" s="1" t="s">
        <v>260</v>
      </c>
      <c r="N545" s="1" t="s">
        <v>261</v>
      </c>
      <c r="O545" s="1" t="s">
        <v>2098</v>
      </c>
      <c r="P545" s="1" t="str">
        <f t="shared" si="29"/>
        <v>CORUMBÁ II - UFV 1Inverter(MBUS-14)46001,254166666746001,254166666746001,3041666667</v>
      </c>
      <c r="Q545" s="1" t="str">
        <f t="shared" si="30"/>
        <v>DAURDE</v>
      </c>
    </row>
    <row r="546" spans="2:17" hidden="1">
      <c r="B546" s="1" t="s">
        <v>2120</v>
      </c>
      <c r="C546" s="1" t="s">
        <v>390</v>
      </c>
      <c r="D546" s="52">
        <v>46001.254166666666</v>
      </c>
      <c r="E546" s="52">
        <v>46001.254166666666</v>
      </c>
      <c r="F546" s="52">
        <v>46001.304166666669</v>
      </c>
      <c r="G546" s="53">
        <f t="shared" si="28"/>
        <v>5.0000000002910383E-2</v>
      </c>
      <c r="H546" s="1" t="s">
        <v>257</v>
      </c>
      <c r="J546" s="1" t="s">
        <v>258</v>
      </c>
      <c r="K546" s="1" t="str">
        <f>_xlfn.XLOOKUP(J546,REF!$D$2:$D$12,REF!$E$2:$E$12)</f>
        <v>Rede</v>
      </c>
      <c r="L546" s="1" t="s">
        <v>2057</v>
      </c>
      <c r="M546" s="1" t="s">
        <v>260</v>
      </c>
      <c r="N546" s="1" t="s">
        <v>261</v>
      </c>
      <c r="O546" s="1" t="s">
        <v>2098</v>
      </c>
      <c r="P546" s="1" t="str">
        <f t="shared" si="29"/>
        <v>CORUMBÁ II - UFV 1Inverter(MBUS-16)46001,254166666746001,254166666746001,3041666667</v>
      </c>
      <c r="Q546" s="1" t="str">
        <f t="shared" si="30"/>
        <v>DAURDE</v>
      </c>
    </row>
    <row r="547" spans="2:17" hidden="1">
      <c r="B547" s="1" t="s">
        <v>2120</v>
      </c>
      <c r="C547" s="1" t="s">
        <v>727</v>
      </c>
      <c r="D547" s="52">
        <v>46001.254166666666</v>
      </c>
      <c r="E547" s="52">
        <v>46001.254166666666</v>
      </c>
      <c r="F547" s="52">
        <v>46001.304166666669</v>
      </c>
      <c r="G547" s="53">
        <f t="shared" si="28"/>
        <v>5.0000000002910383E-2</v>
      </c>
      <c r="H547" s="1" t="s">
        <v>257</v>
      </c>
      <c r="J547" s="1" t="s">
        <v>258</v>
      </c>
      <c r="K547" s="1" t="str">
        <f>_xlfn.XLOOKUP(J547,REF!$D$2:$D$12,REF!$E$2:$E$12)</f>
        <v>Rede</v>
      </c>
      <c r="L547" s="1" t="s">
        <v>2057</v>
      </c>
      <c r="M547" s="1" t="s">
        <v>260</v>
      </c>
      <c r="N547" s="1" t="s">
        <v>261</v>
      </c>
      <c r="O547" s="1" t="s">
        <v>2098</v>
      </c>
      <c r="P547" s="1" t="str">
        <f t="shared" si="29"/>
        <v>CORUMBÁ II - UFV 1U01. I0246001,254166666746001,254166666746001,3041666667</v>
      </c>
      <c r="Q547" s="1" t="str">
        <f t="shared" si="30"/>
        <v>DAURDE</v>
      </c>
    </row>
    <row r="548" spans="2:17" hidden="1">
      <c r="B548" s="1" t="s">
        <v>2120</v>
      </c>
      <c r="C548" s="1" t="s">
        <v>307</v>
      </c>
      <c r="D548" s="52">
        <v>46001.254166666666</v>
      </c>
      <c r="E548" s="52">
        <v>46001.254166666666</v>
      </c>
      <c r="F548" s="52">
        <v>46001.304166666669</v>
      </c>
      <c r="G548" s="53">
        <f t="shared" si="28"/>
        <v>5.0000000002910383E-2</v>
      </c>
      <c r="H548" s="1" t="s">
        <v>257</v>
      </c>
      <c r="J548" s="1" t="s">
        <v>258</v>
      </c>
      <c r="K548" s="1" t="str">
        <f>_xlfn.XLOOKUP(J548,REF!$D$2:$D$12,REF!$E$2:$E$12)</f>
        <v>Rede</v>
      </c>
      <c r="L548" s="1" t="s">
        <v>2057</v>
      </c>
      <c r="M548" s="1" t="s">
        <v>260</v>
      </c>
      <c r="N548" s="1" t="s">
        <v>261</v>
      </c>
      <c r="O548" s="1" t="s">
        <v>2098</v>
      </c>
      <c r="P548" s="1" t="str">
        <f t="shared" si="29"/>
        <v>CORUMBÁ II - UFV 1Inverter(MBUS-15)46001,254166666746001,254166666746001,3041666667</v>
      </c>
      <c r="Q548" s="1" t="str">
        <f t="shared" si="30"/>
        <v>DAURDE</v>
      </c>
    </row>
    <row r="549" spans="2:17" hidden="1">
      <c r="B549" s="1" t="s">
        <v>2121</v>
      </c>
      <c r="C549" s="1" t="s">
        <v>294</v>
      </c>
      <c r="D549" s="52">
        <v>46001.254166666666</v>
      </c>
      <c r="E549" s="52">
        <v>46001.254166666666</v>
      </c>
      <c r="F549" s="52">
        <v>46001.304166666669</v>
      </c>
      <c r="G549" s="53">
        <f t="shared" si="28"/>
        <v>5.0000000002910383E-2</v>
      </c>
      <c r="H549" s="1" t="s">
        <v>257</v>
      </c>
      <c r="J549" s="1" t="s">
        <v>258</v>
      </c>
      <c r="K549" s="1" t="str">
        <f>_xlfn.XLOOKUP(J549,REF!$D$2:$D$12,REF!$E$2:$E$12)</f>
        <v>Rede</v>
      </c>
      <c r="L549" s="1" t="s">
        <v>2057</v>
      </c>
      <c r="M549" s="1" t="s">
        <v>260</v>
      </c>
      <c r="N549" s="1" t="s">
        <v>261</v>
      </c>
      <c r="O549" s="1" t="s">
        <v>2098</v>
      </c>
      <c r="P549" s="1" t="str">
        <f t="shared" si="29"/>
        <v>CORUMBÁ II - UFV 2U02.I0446001,254166666746001,254166666746001,3041666667</v>
      </c>
      <c r="Q549" s="1" t="str">
        <f t="shared" si="30"/>
        <v>DAURDE</v>
      </c>
    </row>
    <row r="550" spans="2:17" hidden="1">
      <c r="B550" s="1" t="s">
        <v>2121</v>
      </c>
      <c r="C550" s="1" t="s">
        <v>295</v>
      </c>
      <c r="D550" s="52">
        <v>46001.254166666666</v>
      </c>
      <c r="E550" s="52">
        <v>46001.254166666666</v>
      </c>
      <c r="F550" s="52">
        <v>46001.304166666669</v>
      </c>
      <c r="G550" s="53">
        <f t="shared" si="28"/>
        <v>5.0000000002910383E-2</v>
      </c>
      <c r="H550" s="1" t="s">
        <v>257</v>
      </c>
      <c r="J550" s="1" t="s">
        <v>258</v>
      </c>
      <c r="K550" s="1" t="str">
        <f>_xlfn.XLOOKUP(J550,REF!$D$2:$D$12,REF!$E$2:$E$12)</f>
        <v>Rede</v>
      </c>
      <c r="L550" s="1" t="s">
        <v>2057</v>
      </c>
      <c r="M550" s="1" t="s">
        <v>260</v>
      </c>
      <c r="N550" s="1" t="s">
        <v>261</v>
      </c>
      <c r="O550" s="1" t="s">
        <v>2098</v>
      </c>
      <c r="P550" s="1" t="str">
        <f t="shared" si="29"/>
        <v>CORUMBÁ II - UFV 2U02.I0546001,254166666746001,254166666746001,3041666667</v>
      </c>
      <c r="Q550" s="1" t="str">
        <f t="shared" si="30"/>
        <v>DAURDE</v>
      </c>
    </row>
    <row r="551" spans="2:17" hidden="1">
      <c r="B551" s="1" t="s">
        <v>2121</v>
      </c>
      <c r="C551" s="1" t="s">
        <v>293</v>
      </c>
      <c r="D551" s="52">
        <v>46001.254166666666</v>
      </c>
      <c r="E551" s="52">
        <v>46001.254166666666</v>
      </c>
      <c r="F551" s="52">
        <v>46001.304166666669</v>
      </c>
      <c r="G551" s="53">
        <f t="shared" si="28"/>
        <v>5.0000000002910383E-2</v>
      </c>
      <c r="H551" s="1" t="s">
        <v>257</v>
      </c>
      <c r="J551" s="1" t="s">
        <v>258</v>
      </c>
      <c r="K551" s="1" t="str">
        <f>_xlfn.XLOOKUP(J551,REF!$D$2:$D$12,REF!$E$2:$E$12)</f>
        <v>Rede</v>
      </c>
      <c r="L551" s="1" t="s">
        <v>2057</v>
      </c>
      <c r="M551" s="1" t="s">
        <v>260</v>
      </c>
      <c r="N551" s="1" t="s">
        <v>261</v>
      </c>
      <c r="O551" s="1" t="s">
        <v>2098</v>
      </c>
      <c r="P551" s="1" t="str">
        <f t="shared" si="29"/>
        <v>CORUMBÁ II - UFV 2U02.I0346001,254166666746001,254166666746001,3041666667</v>
      </c>
      <c r="Q551" s="1" t="str">
        <f t="shared" si="30"/>
        <v>DAURDE</v>
      </c>
    </row>
    <row r="552" spans="2:17" hidden="1">
      <c r="B552" s="1" t="s">
        <v>2121</v>
      </c>
      <c r="C552" s="1" t="s">
        <v>287</v>
      </c>
      <c r="D552" s="52">
        <v>46001.254166666666</v>
      </c>
      <c r="E552" s="52">
        <v>46001.254166666666</v>
      </c>
      <c r="F552" s="52">
        <v>46001.304166666669</v>
      </c>
      <c r="G552" s="53">
        <f t="shared" si="28"/>
        <v>5.0000000002910383E-2</v>
      </c>
      <c r="H552" s="1" t="s">
        <v>257</v>
      </c>
      <c r="J552" s="1" t="s">
        <v>258</v>
      </c>
      <c r="K552" s="1" t="str">
        <f>_xlfn.XLOOKUP(J552,REF!$D$2:$D$12,REF!$E$2:$E$12)</f>
        <v>Rede</v>
      </c>
      <c r="L552" s="1" t="s">
        <v>2057</v>
      </c>
      <c r="M552" s="1" t="s">
        <v>260</v>
      </c>
      <c r="N552" s="1" t="s">
        <v>261</v>
      </c>
      <c r="O552" s="1" t="s">
        <v>2098</v>
      </c>
      <c r="P552" s="1" t="str">
        <f t="shared" si="29"/>
        <v>CORUMBÁ II - UFV 2U02.I0146001,254166666746001,254166666746001,3041666667</v>
      </c>
      <c r="Q552" s="1" t="str">
        <f t="shared" si="30"/>
        <v>DAURDE</v>
      </c>
    </row>
    <row r="553" spans="2:17" hidden="1">
      <c r="B553" s="1" t="s">
        <v>2121</v>
      </c>
      <c r="C553" s="1" t="s">
        <v>292</v>
      </c>
      <c r="D553" s="52">
        <v>46001.254166666666</v>
      </c>
      <c r="E553" s="52">
        <v>46001.254166666666</v>
      </c>
      <c r="F553" s="52">
        <v>46001.304166666669</v>
      </c>
      <c r="G553" s="53">
        <f t="shared" si="28"/>
        <v>5.0000000002910383E-2</v>
      </c>
      <c r="H553" s="1" t="s">
        <v>257</v>
      </c>
      <c r="J553" s="1" t="s">
        <v>258</v>
      </c>
      <c r="K553" s="1" t="str">
        <f>_xlfn.XLOOKUP(J553,REF!$D$2:$D$12,REF!$E$2:$E$12)</f>
        <v>Rede</v>
      </c>
      <c r="L553" s="1" t="s">
        <v>2057</v>
      </c>
      <c r="M553" s="1" t="s">
        <v>260</v>
      </c>
      <c r="N553" s="1" t="s">
        <v>261</v>
      </c>
      <c r="O553" s="1" t="s">
        <v>2098</v>
      </c>
      <c r="P553" s="1" t="str">
        <f t="shared" si="29"/>
        <v>CORUMBÁ II - UFV 2U02.I0246001,254166666746001,254166666746001,3041666667</v>
      </c>
      <c r="Q553" s="1" t="str">
        <f t="shared" si="30"/>
        <v>DAURDE</v>
      </c>
    </row>
    <row r="554" spans="2:17" hidden="1">
      <c r="B554" s="1" t="s">
        <v>2122</v>
      </c>
      <c r="C554" s="1" t="s">
        <v>536</v>
      </c>
      <c r="D554" s="52">
        <v>46001.254166666666</v>
      </c>
      <c r="E554" s="52">
        <v>46001.254166666666</v>
      </c>
      <c r="F554" s="52">
        <v>46001.304166666669</v>
      </c>
      <c r="G554" s="53">
        <f t="shared" si="28"/>
        <v>5.0000000002910383E-2</v>
      </c>
      <c r="H554" s="1" t="s">
        <v>257</v>
      </c>
      <c r="J554" s="1" t="s">
        <v>258</v>
      </c>
      <c r="K554" s="1" t="str">
        <f>_xlfn.XLOOKUP(J554,REF!$D$2:$D$12,REF!$E$2:$E$12)</f>
        <v>Rede</v>
      </c>
      <c r="L554" s="1" t="s">
        <v>2057</v>
      </c>
      <c r="M554" s="1" t="s">
        <v>260</v>
      </c>
      <c r="N554" s="1" t="s">
        <v>261</v>
      </c>
      <c r="O554" s="1" t="s">
        <v>2098</v>
      </c>
      <c r="P554" s="1" t="str">
        <f t="shared" si="29"/>
        <v>CORUMBÁ II - UFV 3U03.I0346001,254166666746001,254166666746001,3041666667</v>
      </c>
      <c r="Q554" s="1" t="str">
        <f t="shared" si="30"/>
        <v>DAURDE</v>
      </c>
    </row>
    <row r="555" spans="2:17" hidden="1">
      <c r="B555" s="1" t="s">
        <v>2122</v>
      </c>
      <c r="C555" s="1" t="s">
        <v>611</v>
      </c>
      <c r="D555" s="52">
        <v>46001.254166666666</v>
      </c>
      <c r="E555" s="52">
        <v>46001.254166666666</v>
      </c>
      <c r="F555" s="52">
        <v>46001.304166666669</v>
      </c>
      <c r="G555" s="53">
        <f t="shared" si="28"/>
        <v>5.0000000002910383E-2</v>
      </c>
      <c r="H555" s="1" t="s">
        <v>257</v>
      </c>
      <c r="J555" s="1" t="s">
        <v>258</v>
      </c>
      <c r="K555" s="1" t="str">
        <f>_xlfn.XLOOKUP(J555,REF!$D$2:$D$12,REF!$E$2:$E$12)</f>
        <v>Rede</v>
      </c>
      <c r="L555" s="1" t="s">
        <v>2057</v>
      </c>
      <c r="M555" s="1" t="s">
        <v>260</v>
      </c>
      <c r="N555" s="1" t="s">
        <v>261</v>
      </c>
      <c r="O555" s="1" t="s">
        <v>2098</v>
      </c>
      <c r="P555" s="1" t="str">
        <f t="shared" si="29"/>
        <v>CORUMBÁ II - UFV 3U03.I0246001,254166666746001,254166666746001,3041666667</v>
      </c>
      <c r="Q555" s="1" t="str">
        <f t="shared" si="30"/>
        <v>DAURDE</v>
      </c>
    </row>
    <row r="556" spans="2:17" hidden="1">
      <c r="B556" s="1" t="s">
        <v>2122</v>
      </c>
      <c r="C556" s="1" t="s">
        <v>608</v>
      </c>
      <c r="D556" s="52">
        <v>46001.254166666666</v>
      </c>
      <c r="E556" s="52">
        <v>46001.254166666666</v>
      </c>
      <c r="F556" s="52">
        <v>46001.304166666669</v>
      </c>
      <c r="G556" s="53">
        <f t="shared" si="28"/>
        <v>5.0000000002910383E-2</v>
      </c>
      <c r="H556" s="1" t="s">
        <v>257</v>
      </c>
      <c r="J556" s="1" t="s">
        <v>258</v>
      </c>
      <c r="K556" s="1" t="str">
        <f>_xlfn.XLOOKUP(J556,REF!$D$2:$D$12,REF!$E$2:$E$12)</f>
        <v>Rede</v>
      </c>
      <c r="L556" s="1" t="s">
        <v>2057</v>
      </c>
      <c r="M556" s="1" t="s">
        <v>260</v>
      </c>
      <c r="N556" s="1" t="s">
        <v>261</v>
      </c>
      <c r="O556" s="1" t="s">
        <v>2098</v>
      </c>
      <c r="P556" s="1" t="str">
        <f t="shared" si="29"/>
        <v>CORUMBÁ II - UFV 3U03.I0146001,254166666746001,254166666746001,3041666667</v>
      </c>
      <c r="Q556" s="1" t="str">
        <f t="shared" si="30"/>
        <v>DAURDE</v>
      </c>
    </row>
    <row r="557" spans="2:17" hidden="1">
      <c r="B557" s="1" t="s">
        <v>2134</v>
      </c>
      <c r="C557" s="1" t="s">
        <v>2135</v>
      </c>
      <c r="D557" s="52">
        <v>46000.509027777778</v>
      </c>
      <c r="E557" s="52">
        <v>46000.509027777778</v>
      </c>
      <c r="F557" s="52">
        <v>46000.627083333333</v>
      </c>
      <c r="G557" s="53">
        <f t="shared" si="28"/>
        <v>0.11805555555474712</v>
      </c>
      <c r="H557" s="1" t="s">
        <v>257</v>
      </c>
      <c r="J557" s="1" t="s">
        <v>258</v>
      </c>
      <c r="K557" s="1" t="str">
        <f>_xlfn.XLOOKUP(J557,REF!$D$2:$D$12,REF!$E$2:$E$12)</f>
        <v>Rede</v>
      </c>
      <c r="L557" s="1" t="s">
        <v>2057</v>
      </c>
      <c r="M557" s="1" t="s">
        <v>260</v>
      </c>
      <c r="N557" s="1" t="s">
        <v>261</v>
      </c>
      <c r="O557" s="1" t="s">
        <v>2098</v>
      </c>
      <c r="P557" s="1" t="str">
        <f t="shared" si="29"/>
        <v>Rio Monte IIISG60KTL(COM1-008)_001_01646000,509027777846000,509027777846000,6270833333</v>
      </c>
      <c r="Q557" s="1" t="str">
        <f t="shared" si="30"/>
        <v>DAURDE</v>
      </c>
    </row>
    <row r="558" spans="2:17" hidden="1">
      <c r="B558" s="1" t="s">
        <v>2134</v>
      </c>
      <c r="C558" s="1" t="s">
        <v>2136</v>
      </c>
      <c r="D558" s="52">
        <v>46000.509027777778</v>
      </c>
      <c r="E558" s="52">
        <v>46000.509027777778</v>
      </c>
      <c r="F558" s="52">
        <v>46000.627083333333</v>
      </c>
      <c r="G558" s="53">
        <f t="shared" si="28"/>
        <v>0.11805555555474712</v>
      </c>
      <c r="H558" s="1" t="s">
        <v>257</v>
      </c>
      <c r="J558" s="1" t="s">
        <v>258</v>
      </c>
      <c r="K558" s="1" t="str">
        <f>_xlfn.XLOOKUP(J558,REF!$D$2:$D$12,REF!$E$2:$E$12)</f>
        <v>Rede</v>
      </c>
      <c r="L558" s="1" t="s">
        <v>2057</v>
      </c>
      <c r="M558" s="1" t="s">
        <v>260</v>
      </c>
      <c r="N558" s="1" t="s">
        <v>261</v>
      </c>
      <c r="O558" s="1" t="s">
        <v>2098</v>
      </c>
      <c r="P558" s="1" t="str">
        <f t="shared" si="29"/>
        <v>Rio Monte IIISG60KTL(COM1-009)_001_01046000,509027777846000,509027777846000,6270833333</v>
      </c>
      <c r="Q558" s="1" t="str">
        <f t="shared" si="30"/>
        <v>DAURDE</v>
      </c>
    </row>
    <row r="559" spans="2:17" hidden="1">
      <c r="B559" s="1" t="s">
        <v>2134</v>
      </c>
      <c r="C559" s="1" t="s">
        <v>2137</v>
      </c>
      <c r="D559" s="52">
        <v>46000.509027777778</v>
      </c>
      <c r="E559" s="52">
        <v>46000.509027777778</v>
      </c>
      <c r="F559" s="52">
        <v>46000.627083333333</v>
      </c>
      <c r="G559" s="53">
        <f t="shared" si="28"/>
        <v>0.11805555555474712</v>
      </c>
      <c r="H559" s="1" t="s">
        <v>257</v>
      </c>
      <c r="J559" s="1" t="s">
        <v>258</v>
      </c>
      <c r="K559" s="1" t="str">
        <f>_xlfn.XLOOKUP(J559,REF!$D$2:$D$12,REF!$E$2:$E$12)</f>
        <v>Rede</v>
      </c>
      <c r="L559" s="1" t="s">
        <v>2057</v>
      </c>
      <c r="M559" s="1" t="s">
        <v>260</v>
      </c>
      <c r="N559" s="1" t="s">
        <v>261</v>
      </c>
      <c r="O559" s="1" t="s">
        <v>2098</v>
      </c>
      <c r="P559" s="1" t="str">
        <f t="shared" si="29"/>
        <v>Rio Monte IIISG60KTL(COM1-010)_001_01246000,509027777846000,509027777846000,6270833333</v>
      </c>
      <c r="Q559" s="1" t="str">
        <f t="shared" si="30"/>
        <v>DAURDE</v>
      </c>
    </row>
    <row r="560" spans="2:17" hidden="1">
      <c r="B560" s="1" t="s">
        <v>2134</v>
      </c>
      <c r="C560" s="1" t="s">
        <v>2138</v>
      </c>
      <c r="D560" s="52">
        <v>46000.509027777778</v>
      </c>
      <c r="E560" s="52">
        <v>46000.509027777778</v>
      </c>
      <c r="F560" s="52">
        <v>46000.627083333333</v>
      </c>
      <c r="G560" s="53">
        <f t="shared" si="28"/>
        <v>0.11805555555474712</v>
      </c>
      <c r="H560" s="1" t="s">
        <v>257</v>
      </c>
      <c r="J560" s="1" t="s">
        <v>258</v>
      </c>
      <c r="K560" s="1" t="str">
        <f>_xlfn.XLOOKUP(J560,REF!$D$2:$D$12,REF!$E$2:$E$12)</f>
        <v>Rede</v>
      </c>
      <c r="L560" s="1" t="s">
        <v>2057</v>
      </c>
      <c r="M560" s="1" t="s">
        <v>260</v>
      </c>
      <c r="N560" s="1" t="s">
        <v>261</v>
      </c>
      <c r="O560" s="1" t="s">
        <v>2098</v>
      </c>
      <c r="P560" s="1" t="str">
        <f t="shared" si="29"/>
        <v>Rio Monte IIISG60KTL(COM1-011)_001_00246000,509027777846000,509027777846000,6270833333</v>
      </c>
      <c r="Q560" s="1" t="str">
        <f t="shared" si="30"/>
        <v>DAURDE</v>
      </c>
    </row>
    <row r="561" spans="2:17" hidden="1">
      <c r="B561" s="1" t="s">
        <v>2134</v>
      </c>
      <c r="C561" s="1" t="s">
        <v>2139</v>
      </c>
      <c r="D561" s="52">
        <v>46000.509027777778</v>
      </c>
      <c r="E561" s="52">
        <v>46000.509027777778</v>
      </c>
      <c r="F561" s="52">
        <v>46000.627083333333</v>
      </c>
      <c r="G561" s="53">
        <f t="shared" si="28"/>
        <v>0.11805555555474712</v>
      </c>
      <c r="H561" s="1" t="s">
        <v>257</v>
      </c>
      <c r="J561" s="1" t="s">
        <v>258</v>
      </c>
      <c r="K561" s="1" t="str">
        <f>_xlfn.XLOOKUP(J561,REF!$D$2:$D$12,REF!$E$2:$E$12)</f>
        <v>Rede</v>
      </c>
      <c r="L561" s="1" t="s">
        <v>2057</v>
      </c>
      <c r="M561" s="1" t="s">
        <v>260</v>
      </c>
      <c r="N561" s="1" t="s">
        <v>261</v>
      </c>
      <c r="O561" s="1" t="s">
        <v>2098</v>
      </c>
      <c r="P561" s="1" t="str">
        <f t="shared" si="29"/>
        <v>Rio Monte IIISG60KTL(COM1-012)_001_01546000,509027777846000,509027777846000,6270833333</v>
      </c>
      <c r="Q561" s="1" t="str">
        <f t="shared" si="30"/>
        <v>DAURDE</v>
      </c>
    </row>
    <row r="562" spans="2:17" hidden="1">
      <c r="B562" s="1" t="s">
        <v>2134</v>
      </c>
      <c r="C562" s="1" t="s">
        <v>2140</v>
      </c>
      <c r="D562" s="52">
        <v>46000.509027777778</v>
      </c>
      <c r="E562" s="52">
        <v>46000.509027777778</v>
      </c>
      <c r="F562" s="52">
        <v>46000.627083333333</v>
      </c>
      <c r="G562" s="53">
        <f t="shared" si="28"/>
        <v>0.11805555555474712</v>
      </c>
      <c r="H562" s="1" t="s">
        <v>257</v>
      </c>
      <c r="J562" s="1" t="s">
        <v>258</v>
      </c>
      <c r="K562" s="1" t="str">
        <f>_xlfn.XLOOKUP(J562,REF!$D$2:$D$12,REF!$E$2:$E$12)</f>
        <v>Rede</v>
      </c>
      <c r="L562" s="1" t="s">
        <v>2057</v>
      </c>
      <c r="M562" s="1" t="s">
        <v>260</v>
      </c>
      <c r="N562" s="1" t="s">
        <v>261</v>
      </c>
      <c r="O562" s="1" t="s">
        <v>2098</v>
      </c>
      <c r="P562" s="1" t="str">
        <f t="shared" si="29"/>
        <v>Rio Monte IIISG60KTL(COM1-013)_001_00346000,509027777846000,509027777846000,6270833333</v>
      </c>
      <c r="Q562" s="1" t="str">
        <f t="shared" si="30"/>
        <v>DAURDE</v>
      </c>
    </row>
    <row r="563" spans="2:17" hidden="1">
      <c r="B563" s="1" t="s">
        <v>2134</v>
      </c>
      <c r="C563" s="1" t="s">
        <v>2141</v>
      </c>
      <c r="D563" s="52">
        <v>46000.509027777778</v>
      </c>
      <c r="E563" s="52">
        <v>46000.509027777778</v>
      </c>
      <c r="F563" s="52">
        <v>46000.627083333333</v>
      </c>
      <c r="G563" s="53">
        <f t="shared" si="28"/>
        <v>0.11805555555474712</v>
      </c>
      <c r="H563" s="1" t="s">
        <v>257</v>
      </c>
      <c r="J563" s="1" t="s">
        <v>258</v>
      </c>
      <c r="K563" s="1" t="str">
        <f>_xlfn.XLOOKUP(J563,REF!$D$2:$D$12,REF!$E$2:$E$12)</f>
        <v>Rede</v>
      </c>
      <c r="L563" s="1" t="s">
        <v>2057</v>
      </c>
      <c r="M563" s="1" t="s">
        <v>260</v>
      </c>
      <c r="N563" s="1" t="s">
        <v>261</v>
      </c>
      <c r="O563" s="1" t="s">
        <v>2098</v>
      </c>
      <c r="P563" s="1" t="str">
        <f t="shared" si="29"/>
        <v>Rio Monte IIISG60KTL(COM1-014)_001_00446000,509027777846000,509027777846000,6270833333</v>
      </c>
      <c r="Q563" s="1" t="str">
        <f t="shared" si="30"/>
        <v>DAURDE</v>
      </c>
    </row>
    <row r="564" spans="2:17" hidden="1">
      <c r="B564" s="1" t="s">
        <v>2134</v>
      </c>
      <c r="C564" s="1" t="s">
        <v>2142</v>
      </c>
      <c r="D564" s="52">
        <v>46000.509027777778</v>
      </c>
      <c r="E564" s="52">
        <v>46000.509027777778</v>
      </c>
      <c r="F564" s="52">
        <v>46000.627083333333</v>
      </c>
      <c r="G564" s="53">
        <f t="shared" si="28"/>
        <v>0.11805555555474712</v>
      </c>
      <c r="H564" s="1" t="s">
        <v>257</v>
      </c>
      <c r="J564" s="1" t="s">
        <v>258</v>
      </c>
      <c r="K564" s="1" t="str">
        <f>_xlfn.XLOOKUP(J564,REF!$D$2:$D$12,REF!$E$2:$E$12)</f>
        <v>Rede</v>
      </c>
      <c r="L564" s="1" t="s">
        <v>2057</v>
      </c>
      <c r="M564" s="1" t="s">
        <v>260</v>
      </c>
      <c r="N564" s="1" t="s">
        <v>261</v>
      </c>
      <c r="O564" s="1" t="s">
        <v>2098</v>
      </c>
      <c r="P564" s="1" t="str">
        <f t="shared" si="29"/>
        <v>Rio Monte IIISG60KTL(COM1-015)_001_01346000,509027777846000,509027777846000,6270833333</v>
      </c>
      <c r="Q564" s="1" t="str">
        <f t="shared" si="30"/>
        <v>DAURDE</v>
      </c>
    </row>
    <row r="565" spans="2:17" hidden="1">
      <c r="B565" s="1" t="s">
        <v>2134</v>
      </c>
      <c r="C565" s="1" t="s">
        <v>2143</v>
      </c>
      <c r="D565" s="52">
        <v>46000.509027777778</v>
      </c>
      <c r="E565" s="52">
        <v>46000.509027777778</v>
      </c>
      <c r="F565" s="52">
        <v>46000.627083333333</v>
      </c>
      <c r="G565" s="53">
        <f t="shared" si="28"/>
        <v>0.11805555555474712</v>
      </c>
      <c r="H565" s="1" t="s">
        <v>257</v>
      </c>
      <c r="J565" s="1" t="s">
        <v>258</v>
      </c>
      <c r="K565" s="1" t="str">
        <f>_xlfn.XLOOKUP(J565,REF!$D$2:$D$12,REF!$E$2:$E$12)</f>
        <v>Rede</v>
      </c>
      <c r="L565" s="1" t="s">
        <v>2057</v>
      </c>
      <c r="M565" s="1" t="s">
        <v>260</v>
      </c>
      <c r="N565" s="1" t="s">
        <v>261</v>
      </c>
      <c r="O565" s="1" t="s">
        <v>2098</v>
      </c>
      <c r="P565" s="1" t="str">
        <f t="shared" si="29"/>
        <v>Rio Monte IIISG60KTL(COM1-016)_001_01446000,509027777846000,509027777846000,6270833333</v>
      </c>
      <c r="Q565" s="1" t="str">
        <f t="shared" si="30"/>
        <v>DAURDE</v>
      </c>
    </row>
    <row r="566" spans="2:17" hidden="1">
      <c r="B566" s="1" t="s">
        <v>2134</v>
      </c>
      <c r="C566" s="1" t="s">
        <v>2144</v>
      </c>
      <c r="D566" s="52">
        <v>46000.509027777778</v>
      </c>
      <c r="E566" s="52">
        <v>46000.509027777778</v>
      </c>
      <c r="F566" s="52">
        <v>46000.627083333333</v>
      </c>
      <c r="G566" s="53">
        <f t="shared" si="28"/>
        <v>0.11805555555474712</v>
      </c>
      <c r="H566" s="1" t="s">
        <v>257</v>
      </c>
      <c r="J566" s="1" t="s">
        <v>258</v>
      </c>
      <c r="K566" s="1" t="str">
        <f>_xlfn.XLOOKUP(J566,REF!$D$2:$D$12,REF!$E$2:$E$12)</f>
        <v>Rede</v>
      </c>
      <c r="L566" s="1" t="s">
        <v>2057</v>
      </c>
      <c r="M566" s="1" t="s">
        <v>260</v>
      </c>
      <c r="N566" s="1" t="s">
        <v>261</v>
      </c>
      <c r="O566" s="1" t="s">
        <v>2098</v>
      </c>
      <c r="P566" s="1" t="str">
        <f t="shared" si="29"/>
        <v>Rio Monte IIISG60KTL(COM1-017)_001_00846000,509027777846000,509027777846000,6270833333</v>
      </c>
      <c r="Q566" s="1" t="str">
        <f t="shared" si="30"/>
        <v>DAURDE</v>
      </c>
    </row>
    <row r="567" spans="2:17" hidden="1">
      <c r="B567" s="1" t="s">
        <v>2132</v>
      </c>
      <c r="C567" s="1" t="s">
        <v>457</v>
      </c>
      <c r="D567" s="52">
        <v>46002.000694444447</v>
      </c>
      <c r="E567" s="52">
        <v>46002.000694444447</v>
      </c>
      <c r="F567" s="52">
        <v>46002.3125</v>
      </c>
      <c r="G567" s="53">
        <f t="shared" si="28"/>
        <v>0.31180555555329192</v>
      </c>
      <c r="H567" s="1" t="s">
        <v>257</v>
      </c>
      <c r="J567" s="1" t="s">
        <v>258</v>
      </c>
      <c r="K567" s="1" t="str">
        <f>_xlfn.XLOOKUP(J567,REF!$D$2:$D$12,REF!$E$2:$E$12)</f>
        <v>Rede</v>
      </c>
      <c r="L567" s="1" t="s">
        <v>2145</v>
      </c>
      <c r="M567" s="1" t="s">
        <v>260</v>
      </c>
      <c r="N567" s="1" t="s">
        <v>357</v>
      </c>
      <c r="O567" s="1" t="s">
        <v>632</v>
      </c>
      <c r="P567" s="1" t="str">
        <f t="shared" si="29"/>
        <v>Caiaponia ISG60KTL(COM1-001)_001_00746002,000694444446002,000694444446002,3125</v>
      </c>
      <c r="Q567" s="1" t="str">
        <f t="shared" si="30"/>
        <v>DAURDE</v>
      </c>
    </row>
    <row r="568" spans="2:17" hidden="1">
      <c r="B568" s="1" t="s">
        <v>2132</v>
      </c>
      <c r="C568" s="1" t="s">
        <v>459</v>
      </c>
      <c r="D568" s="52">
        <v>46002.000694444447</v>
      </c>
      <c r="E568" s="52">
        <v>46002.000694444447</v>
      </c>
      <c r="F568" s="52">
        <v>46002.3125</v>
      </c>
      <c r="G568" s="53">
        <f t="shared" ref="G568:G610" si="31">F568-E568</f>
        <v>0.31180555555329192</v>
      </c>
      <c r="H568" s="1" t="s">
        <v>257</v>
      </c>
      <c r="J568" s="1" t="s">
        <v>258</v>
      </c>
      <c r="K568" s="1" t="str">
        <f>_xlfn.XLOOKUP(J568,REF!$D$2:$D$12,REF!$E$2:$E$12)</f>
        <v>Rede</v>
      </c>
      <c r="L568" s="1" t="s">
        <v>2145</v>
      </c>
      <c r="M568" s="1" t="s">
        <v>260</v>
      </c>
      <c r="N568" s="1" t="s">
        <v>357</v>
      </c>
      <c r="O568" s="1" t="s">
        <v>632</v>
      </c>
      <c r="P568" s="1" t="str">
        <f t="shared" si="29"/>
        <v>Caiaponia ISG60KTL(COM1-002)_001_01046002,000694444446002,000694444446002,3125</v>
      </c>
      <c r="Q568" s="1" t="str">
        <f t="shared" si="30"/>
        <v>DAURDE</v>
      </c>
    </row>
    <row r="569" spans="2:17" hidden="1">
      <c r="B569" s="1" t="s">
        <v>2132</v>
      </c>
      <c r="C569" s="1" t="s">
        <v>460</v>
      </c>
      <c r="D569" s="52">
        <v>46002.000694444447</v>
      </c>
      <c r="E569" s="52">
        <v>46002.000694444447</v>
      </c>
      <c r="F569" s="52">
        <v>46002.3125</v>
      </c>
      <c r="G569" s="53">
        <f t="shared" si="31"/>
        <v>0.31180555555329192</v>
      </c>
      <c r="H569" s="1" t="s">
        <v>257</v>
      </c>
      <c r="J569" s="1" t="s">
        <v>258</v>
      </c>
      <c r="K569" s="1" t="str">
        <f>_xlfn.XLOOKUP(J569,REF!$D$2:$D$12,REF!$E$2:$E$12)</f>
        <v>Rede</v>
      </c>
      <c r="L569" s="1" t="s">
        <v>2145</v>
      </c>
      <c r="M569" s="1" t="s">
        <v>260</v>
      </c>
      <c r="N569" s="1" t="s">
        <v>357</v>
      </c>
      <c r="O569" s="1" t="s">
        <v>632</v>
      </c>
      <c r="P569" s="1" t="str">
        <f t="shared" si="29"/>
        <v>Caiaponia ISG60KTL(COM1-003)_001_01146002,000694444446002,000694444446002,3125</v>
      </c>
      <c r="Q569" s="1" t="str">
        <f t="shared" si="30"/>
        <v>DAURDE</v>
      </c>
    </row>
    <row r="570" spans="2:17" hidden="1">
      <c r="B570" s="1" t="s">
        <v>2132</v>
      </c>
      <c r="C570" s="1" t="s">
        <v>461</v>
      </c>
      <c r="D570" s="52">
        <v>46002.000694444447</v>
      </c>
      <c r="E570" s="52">
        <v>46002.000694444447</v>
      </c>
      <c r="F570" s="52">
        <v>46002.3125</v>
      </c>
      <c r="G570" s="53">
        <f t="shared" si="31"/>
        <v>0.31180555555329192</v>
      </c>
      <c r="H570" s="1" t="s">
        <v>257</v>
      </c>
      <c r="J570" s="1" t="s">
        <v>258</v>
      </c>
      <c r="K570" s="1" t="str">
        <f>_xlfn.XLOOKUP(J570,REF!$D$2:$D$12,REF!$E$2:$E$12)</f>
        <v>Rede</v>
      </c>
      <c r="L570" s="1" t="s">
        <v>2145</v>
      </c>
      <c r="M570" s="1" t="s">
        <v>260</v>
      </c>
      <c r="N570" s="1" t="s">
        <v>357</v>
      </c>
      <c r="O570" s="1" t="s">
        <v>632</v>
      </c>
      <c r="P570" s="1" t="str">
        <f t="shared" si="29"/>
        <v>Caiaponia ISG60KTL(COM1-004)_001_01446002,000694444446002,000694444446002,3125</v>
      </c>
      <c r="Q570" s="1" t="str">
        <f t="shared" si="30"/>
        <v>DAURDE</v>
      </c>
    </row>
    <row r="571" spans="2:17" hidden="1">
      <c r="B571" s="1" t="s">
        <v>2132</v>
      </c>
      <c r="C571" s="1" t="s">
        <v>462</v>
      </c>
      <c r="D571" s="52">
        <v>46002.000694444447</v>
      </c>
      <c r="E571" s="52">
        <v>46002.000694444447</v>
      </c>
      <c r="F571" s="52">
        <v>46002.3125</v>
      </c>
      <c r="G571" s="53">
        <f t="shared" si="31"/>
        <v>0.31180555555329192</v>
      </c>
      <c r="H571" s="1" t="s">
        <v>257</v>
      </c>
      <c r="J571" s="1" t="s">
        <v>258</v>
      </c>
      <c r="K571" s="1" t="str">
        <f>_xlfn.XLOOKUP(J571,REF!$D$2:$D$12,REF!$E$2:$E$12)</f>
        <v>Rede</v>
      </c>
      <c r="L571" s="1" t="s">
        <v>2145</v>
      </c>
      <c r="M571" s="1" t="s">
        <v>260</v>
      </c>
      <c r="N571" s="1" t="s">
        <v>357</v>
      </c>
      <c r="O571" s="1" t="s">
        <v>632</v>
      </c>
      <c r="P571" s="1" t="str">
        <f t="shared" si="29"/>
        <v>Caiaponia ISG60KTL(COM1-005)_001_01746002,000694444446002,000694444446002,3125</v>
      </c>
      <c r="Q571" s="1" t="str">
        <f t="shared" si="30"/>
        <v>DAURDE</v>
      </c>
    </row>
    <row r="572" spans="2:17" hidden="1">
      <c r="B572" s="1" t="s">
        <v>2132</v>
      </c>
      <c r="C572" s="1" t="s">
        <v>463</v>
      </c>
      <c r="D572" s="52">
        <v>46002.000694444447</v>
      </c>
      <c r="E572" s="52">
        <v>46002.000694444447</v>
      </c>
      <c r="F572" s="52">
        <v>46002.3125</v>
      </c>
      <c r="G572" s="53">
        <f t="shared" si="31"/>
        <v>0.31180555555329192</v>
      </c>
      <c r="H572" s="1" t="s">
        <v>257</v>
      </c>
      <c r="J572" s="1" t="s">
        <v>258</v>
      </c>
      <c r="K572" s="1" t="str">
        <f>_xlfn.XLOOKUP(J572,REF!$D$2:$D$12,REF!$E$2:$E$12)</f>
        <v>Rede</v>
      </c>
      <c r="L572" s="1" t="s">
        <v>2145</v>
      </c>
      <c r="M572" s="1" t="s">
        <v>260</v>
      </c>
      <c r="N572" s="1" t="s">
        <v>357</v>
      </c>
      <c r="O572" s="1" t="s">
        <v>632</v>
      </c>
      <c r="P572" s="1" t="str">
        <f t="shared" si="29"/>
        <v>Caiaponia ISG60KTL(COM1-006)_001_01646002,000694444446002,000694444446002,3125</v>
      </c>
      <c r="Q572" s="1" t="str">
        <f t="shared" si="30"/>
        <v>DAURDE</v>
      </c>
    </row>
    <row r="573" spans="2:17" hidden="1">
      <c r="B573" s="1" t="s">
        <v>2132</v>
      </c>
      <c r="C573" s="1" t="s">
        <v>464</v>
      </c>
      <c r="D573" s="52">
        <v>46002.000694444447</v>
      </c>
      <c r="E573" s="52">
        <v>46002.000694444447</v>
      </c>
      <c r="F573" s="52">
        <v>46002.3125</v>
      </c>
      <c r="G573" s="53">
        <f t="shared" si="31"/>
        <v>0.31180555555329192</v>
      </c>
      <c r="H573" s="1" t="s">
        <v>257</v>
      </c>
      <c r="J573" s="1" t="s">
        <v>258</v>
      </c>
      <c r="K573" s="1" t="str">
        <f>_xlfn.XLOOKUP(J573,REF!$D$2:$D$12,REF!$E$2:$E$12)</f>
        <v>Rede</v>
      </c>
      <c r="L573" s="1" t="s">
        <v>2145</v>
      </c>
      <c r="M573" s="1" t="s">
        <v>260</v>
      </c>
      <c r="N573" s="1" t="s">
        <v>357</v>
      </c>
      <c r="O573" s="1" t="s">
        <v>632</v>
      </c>
      <c r="P573" s="1" t="str">
        <f t="shared" si="29"/>
        <v>Caiaponia ISG60KTL(COM1-007)_001_01346002,000694444446002,000694444446002,3125</v>
      </c>
      <c r="Q573" s="1" t="str">
        <f t="shared" si="30"/>
        <v>DAURDE</v>
      </c>
    </row>
    <row r="574" spans="2:17" hidden="1">
      <c r="B574" s="1" t="s">
        <v>2132</v>
      </c>
      <c r="C574" s="1" t="s">
        <v>465</v>
      </c>
      <c r="D574" s="52">
        <v>46002.000694444447</v>
      </c>
      <c r="E574" s="52">
        <v>46002.000694444447</v>
      </c>
      <c r="F574" s="52">
        <v>46002.3125</v>
      </c>
      <c r="G574" s="53">
        <f t="shared" si="31"/>
        <v>0.31180555555329192</v>
      </c>
      <c r="H574" s="1" t="s">
        <v>257</v>
      </c>
      <c r="J574" s="1" t="s">
        <v>258</v>
      </c>
      <c r="K574" s="1" t="str">
        <f>_xlfn.XLOOKUP(J574,REF!$D$2:$D$12,REF!$E$2:$E$12)</f>
        <v>Rede</v>
      </c>
      <c r="L574" s="1" t="s">
        <v>2145</v>
      </c>
      <c r="M574" s="1" t="s">
        <v>260</v>
      </c>
      <c r="N574" s="1" t="s">
        <v>357</v>
      </c>
      <c r="O574" s="1" t="s">
        <v>632</v>
      </c>
      <c r="P574" s="1" t="str">
        <f t="shared" si="29"/>
        <v>Caiaponia ISG60KTL(COM1-008)_001_00146002,000694444446002,000694444446002,3125</v>
      </c>
      <c r="Q574" s="1" t="str">
        <f t="shared" si="30"/>
        <v>DAURDE</v>
      </c>
    </row>
    <row r="575" spans="2:17" hidden="1">
      <c r="B575" s="1" t="s">
        <v>2133</v>
      </c>
      <c r="C575" s="1" t="s">
        <v>466</v>
      </c>
      <c r="D575" s="52">
        <v>46002.000694444447</v>
      </c>
      <c r="E575" s="52">
        <v>46002.000694444447</v>
      </c>
      <c r="F575" s="52">
        <v>46002.3125</v>
      </c>
      <c r="G575" s="53">
        <f t="shared" si="31"/>
        <v>0.31180555555329192</v>
      </c>
      <c r="H575" s="1" t="s">
        <v>257</v>
      </c>
      <c r="J575" s="1" t="s">
        <v>258</v>
      </c>
      <c r="K575" s="1" t="str">
        <f>_xlfn.XLOOKUP(J575,REF!$D$2:$D$12,REF!$E$2:$E$12)</f>
        <v>Rede</v>
      </c>
      <c r="L575" s="1" t="s">
        <v>2145</v>
      </c>
      <c r="M575" s="1" t="s">
        <v>260</v>
      </c>
      <c r="N575" s="1" t="s">
        <v>357</v>
      </c>
      <c r="O575" s="1" t="s">
        <v>632</v>
      </c>
      <c r="P575" s="1" t="str">
        <f t="shared" si="29"/>
        <v>Caiaponia IISG60KTL(COM1-009)46002,000694444446002,000694444446002,3125</v>
      </c>
      <c r="Q575" s="1" t="str">
        <f t="shared" si="30"/>
        <v>DAURDE</v>
      </c>
    </row>
    <row r="576" spans="2:17" hidden="1">
      <c r="B576" s="1" t="s">
        <v>2133</v>
      </c>
      <c r="C576" s="1" t="s">
        <v>467</v>
      </c>
      <c r="D576" s="52">
        <v>46002.000694444447</v>
      </c>
      <c r="E576" s="52">
        <v>46002.000694444447</v>
      </c>
      <c r="F576" s="52">
        <v>46002.3125</v>
      </c>
      <c r="G576" s="53">
        <f t="shared" si="31"/>
        <v>0.31180555555329192</v>
      </c>
      <c r="H576" s="1" t="s">
        <v>257</v>
      </c>
      <c r="J576" s="1" t="s">
        <v>258</v>
      </c>
      <c r="K576" s="1" t="str">
        <f>_xlfn.XLOOKUP(J576,REF!$D$2:$D$12,REF!$E$2:$E$12)</f>
        <v>Rede</v>
      </c>
      <c r="L576" s="1" t="s">
        <v>2145</v>
      </c>
      <c r="M576" s="1" t="s">
        <v>260</v>
      </c>
      <c r="N576" s="1" t="s">
        <v>357</v>
      </c>
      <c r="O576" s="1" t="s">
        <v>632</v>
      </c>
      <c r="P576" s="1" t="str">
        <f t="shared" si="29"/>
        <v>Caiaponia IISG60KTL(COM1-010)46002,000694444446002,000694444446002,3125</v>
      </c>
      <c r="Q576" s="1" t="str">
        <f t="shared" si="30"/>
        <v>DAURDE</v>
      </c>
    </row>
    <row r="577" spans="2:17" hidden="1">
      <c r="B577" s="1" t="s">
        <v>2133</v>
      </c>
      <c r="C577" s="1" t="s">
        <v>468</v>
      </c>
      <c r="D577" s="52">
        <v>46002.000694444447</v>
      </c>
      <c r="E577" s="52">
        <v>46002.000694444447</v>
      </c>
      <c r="F577" s="52">
        <v>46002.3125</v>
      </c>
      <c r="G577" s="53">
        <f t="shared" si="31"/>
        <v>0.31180555555329192</v>
      </c>
      <c r="H577" s="1" t="s">
        <v>257</v>
      </c>
      <c r="J577" s="1" t="s">
        <v>258</v>
      </c>
      <c r="K577" s="1" t="str">
        <f>_xlfn.XLOOKUP(J577,REF!$D$2:$D$12,REF!$E$2:$E$12)</f>
        <v>Rede</v>
      </c>
      <c r="L577" s="1" t="s">
        <v>2145</v>
      </c>
      <c r="M577" s="1" t="s">
        <v>260</v>
      </c>
      <c r="N577" s="1" t="s">
        <v>357</v>
      </c>
      <c r="O577" s="1" t="s">
        <v>632</v>
      </c>
      <c r="P577" s="1" t="str">
        <f t="shared" si="29"/>
        <v>Caiaponia IISG60KTL(COM1-011)46002,000694444446002,000694444446002,3125</v>
      </c>
      <c r="Q577" s="1" t="str">
        <f t="shared" si="30"/>
        <v>DAURDE</v>
      </c>
    </row>
    <row r="578" spans="2:17" hidden="1">
      <c r="B578" s="1" t="s">
        <v>2133</v>
      </c>
      <c r="C578" s="1" t="s">
        <v>469</v>
      </c>
      <c r="D578" s="52">
        <v>46002.000694444447</v>
      </c>
      <c r="E578" s="52">
        <v>46002.000694444447</v>
      </c>
      <c r="F578" s="52">
        <v>46002.3125</v>
      </c>
      <c r="G578" s="53">
        <f t="shared" si="31"/>
        <v>0.31180555555329192</v>
      </c>
      <c r="H578" s="1" t="s">
        <v>257</v>
      </c>
      <c r="J578" s="1" t="s">
        <v>258</v>
      </c>
      <c r="K578" s="1" t="str">
        <f>_xlfn.XLOOKUP(J578,REF!$D$2:$D$12,REF!$E$2:$E$12)</f>
        <v>Rede</v>
      </c>
      <c r="L578" s="1" t="s">
        <v>2145</v>
      </c>
      <c r="M578" s="1" t="s">
        <v>260</v>
      </c>
      <c r="N578" s="1" t="s">
        <v>357</v>
      </c>
      <c r="O578" s="1" t="s">
        <v>632</v>
      </c>
      <c r="P578" s="1" t="str">
        <f t="shared" si="29"/>
        <v>Caiaponia IISG60KTL(COM1-012)46002,000694444446002,000694444446002,3125</v>
      </c>
      <c r="Q578" s="1" t="str">
        <f t="shared" si="30"/>
        <v>DAURDE</v>
      </c>
    </row>
    <row r="579" spans="2:17" hidden="1">
      <c r="B579" s="1" t="s">
        <v>2133</v>
      </c>
      <c r="C579" s="1" t="s">
        <v>470</v>
      </c>
      <c r="D579" s="52">
        <v>46002.000694444447</v>
      </c>
      <c r="E579" s="52">
        <v>46002.000694444447</v>
      </c>
      <c r="F579" s="52">
        <v>46002.3125</v>
      </c>
      <c r="G579" s="53">
        <f t="shared" si="31"/>
        <v>0.31180555555329192</v>
      </c>
      <c r="H579" s="1" t="s">
        <v>257</v>
      </c>
      <c r="J579" s="1" t="s">
        <v>258</v>
      </c>
      <c r="K579" s="1" t="str">
        <f>_xlfn.XLOOKUP(J579,REF!$D$2:$D$12,REF!$E$2:$E$12)</f>
        <v>Rede</v>
      </c>
      <c r="L579" s="1" t="s">
        <v>2145</v>
      </c>
      <c r="M579" s="1" t="s">
        <v>260</v>
      </c>
      <c r="N579" s="1" t="s">
        <v>357</v>
      </c>
      <c r="O579" s="1" t="s">
        <v>632</v>
      </c>
      <c r="P579" s="1" t="str">
        <f t="shared" ref="P579:P642" si="32">_xlfn.CONCAT(B579,C579,D579,E579,F579)</f>
        <v>Caiaponia IISG60KTL(COM1-013)46002,000694444446002,000694444446002,3125</v>
      </c>
      <c r="Q579" s="1" t="str">
        <f t="shared" ref="Q579:Q642" si="33">_xlfn.CONCAT(H579,I579,J579)</f>
        <v>DAURDE</v>
      </c>
    </row>
    <row r="580" spans="2:17" hidden="1">
      <c r="B580" s="1" t="s">
        <v>2133</v>
      </c>
      <c r="C580" s="1" t="s">
        <v>471</v>
      </c>
      <c r="D580" s="52">
        <v>46002.000694444447</v>
      </c>
      <c r="E580" s="52">
        <v>46002.000694444447</v>
      </c>
      <c r="F580" s="52">
        <v>46002.3125</v>
      </c>
      <c r="G580" s="53">
        <f t="shared" si="31"/>
        <v>0.31180555555329192</v>
      </c>
      <c r="H580" s="1" t="s">
        <v>257</v>
      </c>
      <c r="J580" s="1" t="s">
        <v>258</v>
      </c>
      <c r="K580" s="1" t="str">
        <f>_xlfn.XLOOKUP(J580,REF!$D$2:$D$12,REF!$E$2:$E$12)</f>
        <v>Rede</v>
      </c>
      <c r="L580" s="1" t="s">
        <v>2145</v>
      </c>
      <c r="M580" s="1" t="s">
        <v>260</v>
      </c>
      <c r="N580" s="1" t="s">
        <v>357</v>
      </c>
      <c r="O580" s="1" t="s">
        <v>632</v>
      </c>
      <c r="P580" s="1" t="str">
        <f t="shared" si="32"/>
        <v>Caiaponia IISG60KTL(COM1-014)46002,000694444446002,000694444446002,3125</v>
      </c>
      <c r="Q580" s="1" t="str">
        <f t="shared" si="33"/>
        <v>DAURDE</v>
      </c>
    </row>
    <row r="581" spans="2:17" hidden="1">
      <c r="B581" s="1" t="s">
        <v>2133</v>
      </c>
      <c r="C581" s="1" t="s">
        <v>472</v>
      </c>
      <c r="D581" s="52">
        <v>46002.000694444447</v>
      </c>
      <c r="E581" s="52">
        <v>46002.000694444447</v>
      </c>
      <c r="F581" s="52">
        <v>46002.3125</v>
      </c>
      <c r="G581" s="53">
        <f t="shared" si="31"/>
        <v>0.31180555555329192</v>
      </c>
      <c r="H581" s="1" t="s">
        <v>257</v>
      </c>
      <c r="J581" s="1" t="s">
        <v>258</v>
      </c>
      <c r="K581" s="1" t="str">
        <f>_xlfn.XLOOKUP(J581,REF!$D$2:$D$12,REF!$E$2:$E$12)</f>
        <v>Rede</v>
      </c>
      <c r="L581" s="1" t="s">
        <v>2145</v>
      </c>
      <c r="M581" s="1" t="s">
        <v>260</v>
      </c>
      <c r="N581" s="1" t="s">
        <v>357</v>
      </c>
      <c r="O581" s="1" t="s">
        <v>632</v>
      </c>
      <c r="P581" s="1" t="str">
        <f t="shared" si="32"/>
        <v>Caiaponia IISG60KTL(COM1-015)46002,000694444446002,000694444446002,3125</v>
      </c>
      <c r="Q581" s="1" t="str">
        <f t="shared" si="33"/>
        <v>DAURDE</v>
      </c>
    </row>
    <row r="582" spans="2:17" hidden="1">
      <c r="B582" s="1" t="s">
        <v>2146</v>
      </c>
      <c r="C582" s="1" t="s">
        <v>473</v>
      </c>
      <c r="D582" s="52">
        <v>46002.000694444447</v>
      </c>
      <c r="E582" s="52">
        <v>46002.000694444447</v>
      </c>
      <c r="F582" s="52">
        <v>46002.3125</v>
      </c>
      <c r="G582" s="53">
        <f t="shared" si="31"/>
        <v>0.31180555555329192</v>
      </c>
      <c r="H582" s="1" t="s">
        <v>257</v>
      </c>
      <c r="J582" s="1" t="s">
        <v>258</v>
      </c>
      <c r="K582" s="1" t="str">
        <f>_xlfn.XLOOKUP(J582,REF!$D$2:$D$12,REF!$E$2:$E$12)</f>
        <v>Rede</v>
      </c>
      <c r="L582" s="1" t="s">
        <v>2145</v>
      </c>
      <c r="M582" s="1" t="s">
        <v>260</v>
      </c>
      <c r="N582" s="1" t="s">
        <v>357</v>
      </c>
      <c r="O582" s="1" t="s">
        <v>632</v>
      </c>
      <c r="P582" s="1" t="str">
        <f t="shared" si="32"/>
        <v>Caiaponia IIISG60KTL(COM3-016)_001_00946002,000694444446002,000694444446002,3125</v>
      </c>
      <c r="Q582" s="1" t="str">
        <f t="shared" si="33"/>
        <v>DAURDE</v>
      </c>
    </row>
    <row r="583" spans="2:17" hidden="1">
      <c r="B583" s="1" t="s">
        <v>2146</v>
      </c>
      <c r="C583" s="1" t="s">
        <v>474</v>
      </c>
      <c r="D583" s="52">
        <v>46002.000694444447</v>
      </c>
      <c r="E583" s="52">
        <v>46002.000694444447</v>
      </c>
      <c r="F583" s="52">
        <v>46002.3125</v>
      </c>
      <c r="G583" s="53">
        <f t="shared" si="31"/>
        <v>0.31180555555329192</v>
      </c>
      <c r="H583" s="1" t="s">
        <v>257</v>
      </c>
      <c r="J583" s="1" t="s">
        <v>258</v>
      </c>
      <c r="K583" s="1" t="str">
        <f>_xlfn.XLOOKUP(J583,REF!$D$2:$D$12,REF!$E$2:$E$12)</f>
        <v>Rede</v>
      </c>
      <c r="L583" s="1" t="s">
        <v>2145</v>
      </c>
      <c r="M583" s="1" t="s">
        <v>260</v>
      </c>
      <c r="N583" s="1" t="s">
        <v>357</v>
      </c>
      <c r="O583" s="1" t="s">
        <v>632</v>
      </c>
      <c r="P583" s="1" t="str">
        <f t="shared" si="32"/>
        <v>Caiaponia IIISG60KTL(COM3-017)_001_01246002,000694444446002,000694444446002,3125</v>
      </c>
      <c r="Q583" s="1" t="str">
        <f t="shared" si="33"/>
        <v>DAURDE</v>
      </c>
    </row>
    <row r="584" spans="2:17" hidden="1">
      <c r="B584" s="1" t="s">
        <v>2146</v>
      </c>
      <c r="C584" s="1" t="s">
        <v>475</v>
      </c>
      <c r="D584" s="52">
        <v>46002.000694444447</v>
      </c>
      <c r="E584" s="52">
        <v>46002.000694444447</v>
      </c>
      <c r="F584" s="52">
        <v>46002.3125</v>
      </c>
      <c r="G584" s="53">
        <f t="shared" si="31"/>
        <v>0.31180555555329192</v>
      </c>
      <c r="H584" s="1" t="s">
        <v>257</v>
      </c>
      <c r="J584" s="1" t="s">
        <v>258</v>
      </c>
      <c r="K584" s="1" t="str">
        <f>_xlfn.XLOOKUP(J584,REF!$D$2:$D$12,REF!$E$2:$E$12)</f>
        <v>Rede</v>
      </c>
      <c r="L584" s="1" t="s">
        <v>2145</v>
      </c>
      <c r="M584" s="1" t="s">
        <v>260</v>
      </c>
      <c r="N584" s="1" t="s">
        <v>357</v>
      </c>
      <c r="O584" s="1" t="s">
        <v>632</v>
      </c>
      <c r="P584" s="1" t="str">
        <f t="shared" si="32"/>
        <v>Caiaponia IIISG60KTL(COM3-018)_001_00846002,000694444446002,000694444446002,3125</v>
      </c>
      <c r="Q584" s="1" t="str">
        <f t="shared" si="33"/>
        <v>DAURDE</v>
      </c>
    </row>
    <row r="585" spans="2:17" hidden="1">
      <c r="B585" s="1" t="s">
        <v>2146</v>
      </c>
      <c r="C585" s="1" t="s">
        <v>476</v>
      </c>
      <c r="D585" s="52">
        <v>46002.000694444447</v>
      </c>
      <c r="E585" s="52">
        <v>46002.000694444447</v>
      </c>
      <c r="F585" s="52">
        <v>46002.3125</v>
      </c>
      <c r="G585" s="53">
        <f t="shared" si="31"/>
        <v>0.31180555555329192</v>
      </c>
      <c r="H585" s="1" t="s">
        <v>257</v>
      </c>
      <c r="J585" s="1" t="s">
        <v>258</v>
      </c>
      <c r="K585" s="1" t="str">
        <f>_xlfn.XLOOKUP(J585,REF!$D$2:$D$12,REF!$E$2:$E$12)</f>
        <v>Rede</v>
      </c>
      <c r="L585" s="1" t="s">
        <v>2145</v>
      </c>
      <c r="M585" s="1" t="s">
        <v>260</v>
      </c>
      <c r="N585" s="1" t="s">
        <v>357</v>
      </c>
      <c r="O585" s="1" t="s">
        <v>632</v>
      </c>
      <c r="P585" s="1" t="str">
        <f t="shared" si="32"/>
        <v>Caiaponia IIISG60KTL(COM3-019)_001_01946002,000694444446002,000694444446002,3125</v>
      </c>
      <c r="Q585" s="1" t="str">
        <f t="shared" si="33"/>
        <v>DAURDE</v>
      </c>
    </row>
    <row r="586" spans="2:17" hidden="1">
      <c r="B586" s="1" t="s">
        <v>2146</v>
      </c>
      <c r="C586" s="1" t="s">
        <v>477</v>
      </c>
      <c r="D586" s="52">
        <v>46002.000694444447</v>
      </c>
      <c r="E586" s="52">
        <v>46002.000694444447</v>
      </c>
      <c r="F586" s="52">
        <v>46002.3125</v>
      </c>
      <c r="G586" s="53">
        <f t="shared" si="31"/>
        <v>0.31180555555329192</v>
      </c>
      <c r="H586" s="1" t="s">
        <v>257</v>
      </c>
      <c r="J586" s="1" t="s">
        <v>258</v>
      </c>
      <c r="K586" s="1" t="str">
        <f>_xlfn.XLOOKUP(J586,REF!$D$2:$D$12,REF!$E$2:$E$12)</f>
        <v>Rede</v>
      </c>
      <c r="L586" s="1" t="s">
        <v>2145</v>
      </c>
      <c r="M586" s="1" t="s">
        <v>260</v>
      </c>
      <c r="N586" s="1" t="s">
        <v>357</v>
      </c>
      <c r="O586" s="1" t="s">
        <v>632</v>
      </c>
      <c r="P586" s="1" t="str">
        <f t="shared" si="32"/>
        <v>Caiaponia IIISG60KTL(COM3-020)_001_02046002,000694444446002,000694444446002,3125</v>
      </c>
      <c r="Q586" s="1" t="str">
        <f t="shared" si="33"/>
        <v>DAURDE</v>
      </c>
    </row>
    <row r="587" spans="2:17" hidden="1">
      <c r="B587" s="1" t="s">
        <v>2147</v>
      </c>
      <c r="C587" s="1" t="s">
        <v>478</v>
      </c>
      <c r="D587" s="52">
        <v>46002.000694444447</v>
      </c>
      <c r="E587" s="52">
        <v>46002.000694444447</v>
      </c>
      <c r="F587" s="52">
        <v>46002.3125</v>
      </c>
      <c r="G587" s="53">
        <f t="shared" si="31"/>
        <v>0.31180555555329192</v>
      </c>
      <c r="H587" s="1" t="s">
        <v>257</v>
      </c>
      <c r="J587" s="1" t="s">
        <v>258</v>
      </c>
      <c r="K587" s="1" t="str">
        <f>_xlfn.XLOOKUP(J587,REF!$D$2:$D$12,REF!$E$2:$E$12)</f>
        <v>Rede</v>
      </c>
      <c r="L587" s="1" t="s">
        <v>2145</v>
      </c>
      <c r="M587" s="1" t="s">
        <v>260</v>
      </c>
      <c r="N587" s="1" t="s">
        <v>357</v>
      </c>
      <c r="O587" s="1" t="s">
        <v>632</v>
      </c>
      <c r="P587" s="1" t="str">
        <f t="shared" si="32"/>
        <v>Caiaponia IVSG60KTL(COM2-026)46002,000694444446002,000694444446002,3125</v>
      </c>
      <c r="Q587" s="1" t="str">
        <f t="shared" si="33"/>
        <v>DAURDE</v>
      </c>
    </row>
    <row r="588" spans="2:17" hidden="1">
      <c r="B588" s="1" t="s">
        <v>2147</v>
      </c>
      <c r="C588" s="1" t="s">
        <v>479</v>
      </c>
      <c r="D588" s="52">
        <v>46002.000694444447</v>
      </c>
      <c r="E588" s="52">
        <v>46002.000694444447</v>
      </c>
      <c r="F588" s="52">
        <v>46002.3125</v>
      </c>
      <c r="G588" s="53">
        <f t="shared" si="31"/>
        <v>0.31180555555329192</v>
      </c>
      <c r="H588" s="1" t="s">
        <v>257</v>
      </c>
      <c r="J588" s="1" t="s">
        <v>258</v>
      </c>
      <c r="K588" s="1" t="str">
        <f>_xlfn.XLOOKUP(J588,REF!$D$2:$D$12,REF!$E$2:$E$12)</f>
        <v>Rede</v>
      </c>
      <c r="L588" s="1" t="s">
        <v>2145</v>
      </c>
      <c r="M588" s="1" t="s">
        <v>260</v>
      </c>
      <c r="N588" s="1" t="s">
        <v>357</v>
      </c>
      <c r="O588" s="1" t="s">
        <v>632</v>
      </c>
      <c r="P588" s="1" t="str">
        <f t="shared" si="32"/>
        <v>Caiaponia IVSG60KTL(COM2-027)46002,000694444446002,000694444446002,3125</v>
      </c>
      <c r="Q588" s="1" t="str">
        <f t="shared" si="33"/>
        <v>DAURDE</v>
      </c>
    </row>
    <row r="589" spans="2:17" hidden="1">
      <c r="B589" s="1" t="s">
        <v>2147</v>
      </c>
      <c r="C589" s="1" t="s">
        <v>480</v>
      </c>
      <c r="D589" s="52">
        <v>46002.000694444447</v>
      </c>
      <c r="E589" s="52">
        <v>46002.000694444447</v>
      </c>
      <c r="F589" s="52">
        <v>46002.3125</v>
      </c>
      <c r="G589" s="53">
        <f t="shared" si="31"/>
        <v>0.31180555555329192</v>
      </c>
      <c r="H589" s="1" t="s">
        <v>257</v>
      </c>
      <c r="J589" s="1" t="s">
        <v>258</v>
      </c>
      <c r="K589" s="1" t="str">
        <f>_xlfn.XLOOKUP(J589,REF!$D$2:$D$12,REF!$E$2:$E$12)</f>
        <v>Rede</v>
      </c>
      <c r="L589" s="1" t="s">
        <v>2145</v>
      </c>
      <c r="M589" s="1" t="s">
        <v>260</v>
      </c>
      <c r="N589" s="1" t="s">
        <v>357</v>
      </c>
      <c r="O589" s="1" t="s">
        <v>632</v>
      </c>
      <c r="P589" s="1" t="str">
        <f t="shared" si="32"/>
        <v>Caiaponia IVSG60KTL(COM2-028)46002,000694444446002,000694444446002,3125</v>
      </c>
      <c r="Q589" s="1" t="str">
        <f t="shared" si="33"/>
        <v>DAURDE</v>
      </c>
    </row>
    <row r="590" spans="2:17" hidden="1">
      <c r="B590" s="1" t="s">
        <v>2147</v>
      </c>
      <c r="C590" s="1" t="s">
        <v>481</v>
      </c>
      <c r="D590" s="52">
        <v>46002.000694444447</v>
      </c>
      <c r="E590" s="52">
        <v>46002.000694444447</v>
      </c>
      <c r="F590" s="52">
        <v>46002.3125</v>
      </c>
      <c r="G590" s="53">
        <f t="shared" si="31"/>
        <v>0.31180555555329192</v>
      </c>
      <c r="H590" s="1" t="s">
        <v>257</v>
      </c>
      <c r="J590" s="1" t="s">
        <v>258</v>
      </c>
      <c r="K590" s="1" t="str">
        <f>_xlfn.XLOOKUP(J590,REF!$D$2:$D$12,REF!$E$2:$E$12)</f>
        <v>Rede</v>
      </c>
      <c r="L590" s="1" t="s">
        <v>2145</v>
      </c>
      <c r="M590" s="1" t="s">
        <v>260</v>
      </c>
      <c r="N590" s="1" t="s">
        <v>357</v>
      </c>
      <c r="O590" s="1" t="s">
        <v>632</v>
      </c>
      <c r="P590" s="1" t="str">
        <f t="shared" si="32"/>
        <v>Caiaponia IVSG60KTL(COM2-029)46002,000694444446002,000694444446002,3125</v>
      </c>
      <c r="Q590" s="1" t="str">
        <f t="shared" si="33"/>
        <v>DAURDE</v>
      </c>
    </row>
    <row r="591" spans="2:17" hidden="1">
      <c r="B591" s="1" t="s">
        <v>2148</v>
      </c>
      <c r="C591" s="1" t="s">
        <v>482</v>
      </c>
      <c r="D591" s="52">
        <v>46002.000694444447</v>
      </c>
      <c r="E591" s="52">
        <v>46002.000694444447</v>
      </c>
      <c r="F591" s="52">
        <v>46002.3125</v>
      </c>
      <c r="G591" s="53">
        <f t="shared" si="31"/>
        <v>0.31180555555329192</v>
      </c>
      <c r="H591" s="1" t="s">
        <v>257</v>
      </c>
      <c r="J591" s="1" t="s">
        <v>258</v>
      </c>
      <c r="K591" s="1" t="str">
        <f>_xlfn.XLOOKUP(J591,REF!$D$2:$D$12,REF!$E$2:$E$12)</f>
        <v>Rede</v>
      </c>
      <c r="L591" s="1" t="s">
        <v>2145</v>
      </c>
      <c r="M591" s="1" t="s">
        <v>260</v>
      </c>
      <c r="N591" s="1" t="s">
        <v>357</v>
      </c>
      <c r="O591" s="1" t="s">
        <v>632</v>
      </c>
      <c r="P591" s="1" t="str">
        <f t="shared" si="32"/>
        <v>Caiaponia VSG50CX(COM1-021)46002,000694444446002,000694444446002,3125</v>
      </c>
      <c r="Q591" s="1" t="str">
        <f t="shared" si="33"/>
        <v>DAURDE</v>
      </c>
    </row>
    <row r="592" spans="2:17" hidden="1">
      <c r="B592" s="1" t="s">
        <v>2148</v>
      </c>
      <c r="C592" s="1" t="s">
        <v>483</v>
      </c>
      <c r="D592" s="52">
        <v>46002.000694444447</v>
      </c>
      <c r="E592" s="52">
        <v>46002.000694444447</v>
      </c>
      <c r="F592" s="52">
        <v>46002.3125</v>
      </c>
      <c r="G592" s="53">
        <f t="shared" si="31"/>
        <v>0.31180555555329192</v>
      </c>
      <c r="H592" s="1" t="s">
        <v>257</v>
      </c>
      <c r="J592" s="1" t="s">
        <v>258</v>
      </c>
      <c r="K592" s="1" t="str">
        <f>_xlfn.XLOOKUP(J592,REF!$D$2:$D$12,REF!$E$2:$E$12)</f>
        <v>Rede</v>
      </c>
      <c r="L592" s="1" t="s">
        <v>2145</v>
      </c>
      <c r="M592" s="1" t="s">
        <v>260</v>
      </c>
      <c r="N592" s="1" t="s">
        <v>357</v>
      </c>
      <c r="O592" s="1" t="s">
        <v>632</v>
      </c>
      <c r="P592" s="1" t="str">
        <f t="shared" si="32"/>
        <v>Caiaponia VSG50CX(COM1-022)46002,000694444446002,000694444446002,3125</v>
      </c>
      <c r="Q592" s="1" t="str">
        <f t="shared" si="33"/>
        <v>DAURDE</v>
      </c>
    </row>
    <row r="593" spans="2:17" hidden="1">
      <c r="B593" s="1" t="s">
        <v>2148</v>
      </c>
      <c r="C593" s="1" t="s">
        <v>484</v>
      </c>
      <c r="D593" s="52">
        <v>46002.000694444447</v>
      </c>
      <c r="E593" s="52">
        <v>46002.000694444447</v>
      </c>
      <c r="F593" s="52">
        <v>46002.3125</v>
      </c>
      <c r="G593" s="53">
        <f t="shared" si="31"/>
        <v>0.31180555555329192</v>
      </c>
      <c r="H593" s="1" t="s">
        <v>257</v>
      </c>
      <c r="J593" s="1" t="s">
        <v>258</v>
      </c>
      <c r="K593" s="1" t="str">
        <f>_xlfn.XLOOKUP(J593,REF!$D$2:$D$12,REF!$E$2:$E$12)</f>
        <v>Rede</v>
      </c>
      <c r="L593" s="1" t="s">
        <v>2145</v>
      </c>
      <c r="M593" s="1" t="s">
        <v>260</v>
      </c>
      <c r="N593" s="1" t="s">
        <v>357</v>
      </c>
      <c r="O593" s="1" t="s">
        <v>632</v>
      </c>
      <c r="P593" s="1" t="str">
        <f t="shared" si="32"/>
        <v>Caiaponia VSG50CX(COM1-023)46002,000694444446002,000694444446002,3125</v>
      </c>
      <c r="Q593" s="1" t="str">
        <f t="shared" si="33"/>
        <v>DAURDE</v>
      </c>
    </row>
    <row r="594" spans="2:17" hidden="1">
      <c r="B594" s="1" t="s">
        <v>2148</v>
      </c>
      <c r="C594" s="1" t="s">
        <v>485</v>
      </c>
      <c r="D594" s="52">
        <v>46002.000694444447</v>
      </c>
      <c r="E594" s="52">
        <v>46002.000694444447</v>
      </c>
      <c r="F594" s="52">
        <v>46002.3125</v>
      </c>
      <c r="G594" s="53">
        <f t="shared" si="31"/>
        <v>0.31180555555329192</v>
      </c>
      <c r="H594" s="1" t="s">
        <v>257</v>
      </c>
      <c r="J594" s="1" t="s">
        <v>258</v>
      </c>
      <c r="K594" s="1" t="str">
        <f>_xlfn.XLOOKUP(J594,REF!$D$2:$D$12,REF!$E$2:$E$12)</f>
        <v>Rede</v>
      </c>
      <c r="L594" s="1" t="s">
        <v>2145</v>
      </c>
      <c r="M594" s="1" t="s">
        <v>260</v>
      </c>
      <c r="N594" s="1" t="s">
        <v>357</v>
      </c>
      <c r="O594" s="1" t="s">
        <v>632</v>
      </c>
      <c r="P594" s="1" t="str">
        <f t="shared" si="32"/>
        <v>Caiaponia VSG50CX(COM1-024)46002,000694444446002,000694444446002,3125</v>
      </c>
      <c r="Q594" s="1" t="str">
        <f t="shared" si="33"/>
        <v>DAURDE</v>
      </c>
    </row>
    <row r="595" spans="2:17" hidden="1">
      <c r="B595" s="1" t="s">
        <v>2148</v>
      </c>
      <c r="C595" s="1" t="s">
        <v>486</v>
      </c>
      <c r="D595" s="52">
        <v>46002.000694444447</v>
      </c>
      <c r="E595" s="52">
        <v>46002.000694444447</v>
      </c>
      <c r="F595" s="52">
        <v>46002.3125</v>
      </c>
      <c r="G595" s="53">
        <f t="shared" si="31"/>
        <v>0.31180555555329192</v>
      </c>
      <c r="H595" s="1" t="s">
        <v>257</v>
      </c>
      <c r="J595" s="1" t="s">
        <v>258</v>
      </c>
      <c r="K595" s="1" t="str">
        <f>_xlfn.XLOOKUP(J595,REF!$D$2:$D$12,REF!$E$2:$E$12)</f>
        <v>Rede</v>
      </c>
      <c r="L595" s="1" t="s">
        <v>2145</v>
      </c>
      <c r="M595" s="1" t="s">
        <v>260</v>
      </c>
      <c r="N595" s="1" t="s">
        <v>357</v>
      </c>
      <c r="O595" s="1" t="s">
        <v>632</v>
      </c>
      <c r="P595" s="1" t="str">
        <f t="shared" si="32"/>
        <v>Caiaponia VSG50CX(COM1-025)46002,000694444446002,000694444446002,3125</v>
      </c>
      <c r="Q595" s="1" t="str">
        <f t="shared" si="33"/>
        <v>DAURDE</v>
      </c>
    </row>
    <row r="596" spans="2:17" hidden="1">
      <c r="B596" s="1" t="s">
        <v>2149</v>
      </c>
      <c r="C596" s="1" t="s">
        <v>382</v>
      </c>
      <c r="D596" s="52">
        <v>46002.000694444447</v>
      </c>
      <c r="E596" s="52">
        <v>46002.000694444447</v>
      </c>
      <c r="F596" s="52">
        <v>46002.3125</v>
      </c>
      <c r="G596" s="53">
        <f t="shared" si="31"/>
        <v>0.31180555555329192</v>
      </c>
      <c r="H596" s="1" t="s">
        <v>257</v>
      </c>
      <c r="J596" s="1" t="s">
        <v>258</v>
      </c>
      <c r="K596" s="1" t="str">
        <f>_xlfn.XLOOKUP(J596,REF!$D$2:$D$12,REF!$E$2:$E$12)</f>
        <v>Rede</v>
      </c>
      <c r="L596" s="1" t="s">
        <v>2145</v>
      </c>
      <c r="M596" s="1" t="s">
        <v>260</v>
      </c>
      <c r="N596" s="1" t="s">
        <v>357</v>
      </c>
      <c r="O596" s="1" t="s">
        <v>632</v>
      </c>
      <c r="P596" s="1" t="str">
        <f t="shared" si="32"/>
        <v>UFV CAIAPONIA II - UC 1215KTL-H3(MBUS-14)46002,000694444446002,000694444446002,3125</v>
      </c>
      <c r="Q596" s="1" t="str">
        <f t="shared" si="33"/>
        <v>DAURDE</v>
      </c>
    </row>
    <row r="597" spans="2:17" hidden="1">
      <c r="B597" s="1" t="s">
        <v>2149</v>
      </c>
      <c r="C597" s="1" t="s">
        <v>378</v>
      </c>
      <c r="D597" s="52">
        <v>46002.000694444447</v>
      </c>
      <c r="E597" s="52">
        <v>46002.000694444447</v>
      </c>
      <c r="F597" s="52">
        <v>46002.3125</v>
      </c>
      <c r="G597" s="53">
        <f t="shared" si="31"/>
        <v>0.31180555555329192</v>
      </c>
      <c r="H597" s="1" t="s">
        <v>257</v>
      </c>
      <c r="J597" s="1" t="s">
        <v>258</v>
      </c>
      <c r="K597" s="1" t="str">
        <f>_xlfn.XLOOKUP(J597,REF!$D$2:$D$12,REF!$E$2:$E$12)</f>
        <v>Rede</v>
      </c>
      <c r="L597" s="1" t="s">
        <v>2145</v>
      </c>
      <c r="M597" s="1" t="s">
        <v>260</v>
      </c>
      <c r="N597" s="1" t="s">
        <v>357</v>
      </c>
      <c r="O597" s="1" t="s">
        <v>632</v>
      </c>
      <c r="P597" s="1" t="str">
        <f t="shared" si="32"/>
        <v>UFV CAIAPONIA II - UC 1215KTL-H3(MBUS-13)46002,000694444446002,000694444446002,3125</v>
      </c>
      <c r="Q597" s="1" t="str">
        <f t="shared" si="33"/>
        <v>DAURDE</v>
      </c>
    </row>
    <row r="598" spans="2:17" hidden="1">
      <c r="B598" s="1" t="s">
        <v>2149</v>
      </c>
      <c r="C598" s="1" t="s">
        <v>377</v>
      </c>
      <c r="D598" s="52">
        <v>46002.000694444447</v>
      </c>
      <c r="E598" s="52">
        <v>46002.000694444447</v>
      </c>
      <c r="F598" s="52">
        <v>46002.3125</v>
      </c>
      <c r="G598" s="53">
        <f t="shared" si="31"/>
        <v>0.31180555555329192</v>
      </c>
      <c r="H598" s="1" t="s">
        <v>257</v>
      </c>
      <c r="J598" s="1" t="s">
        <v>258</v>
      </c>
      <c r="K598" s="1" t="str">
        <f>_xlfn.XLOOKUP(J598,REF!$D$2:$D$12,REF!$E$2:$E$12)</f>
        <v>Rede</v>
      </c>
      <c r="L598" s="1" t="s">
        <v>2145</v>
      </c>
      <c r="M598" s="1" t="s">
        <v>260</v>
      </c>
      <c r="N598" s="1" t="s">
        <v>357</v>
      </c>
      <c r="O598" s="1" t="s">
        <v>632</v>
      </c>
      <c r="P598" s="1" t="str">
        <f t="shared" si="32"/>
        <v>UFV CAIAPONIA II - UC 1215KTL-H3(MBUS-12)46002,000694444446002,000694444446002,3125</v>
      </c>
      <c r="Q598" s="1" t="str">
        <f t="shared" si="33"/>
        <v>DAURDE</v>
      </c>
    </row>
    <row r="599" spans="2:17" hidden="1">
      <c r="B599" s="1" t="s">
        <v>2149</v>
      </c>
      <c r="C599" s="1" t="s">
        <v>380</v>
      </c>
      <c r="D599" s="52">
        <v>46002.000694444447</v>
      </c>
      <c r="E599" s="52">
        <v>46002.000694444447</v>
      </c>
      <c r="F599" s="52">
        <v>46002.3125</v>
      </c>
      <c r="G599" s="53">
        <f t="shared" si="31"/>
        <v>0.31180555555329192</v>
      </c>
      <c r="H599" s="1" t="s">
        <v>257</v>
      </c>
      <c r="J599" s="1" t="s">
        <v>258</v>
      </c>
      <c r="K599" s="1" t="str">
        <f>_xlfn.XLOOKUP(J599,REF!$D$2:$D$12,REF!$E$2:$E$12)</f>
        <v>Rede</v>
      </c>
      <c r="L599" s="1" t="s">
        <v>2145</v>
      </c>
      <c r="M599" s="1" t="s">
        <v>260</v>
      </c>
      <c r="N599" s="1" t="s">
        <v>357</v>
      </c>
      <c r="O599" s="1" t="s">
        <v>632</v>
      </c>
      <c r="P599" s="1" t="str">
        <f t="shared" si="32"/>
        <v>UFV CAIAPONIA II - UC 1215KTL-H3(MBUS-15)46002,000694444446002,000694444446002,3125</v>
      </c>
      <c r="Q599" s="1" t="str">
        <f t="shared" si="33"/>
        <v>DAURDE</v>
      </c>
    </row>
    <row r="600" spans="2:17" hidden="1">
      <c r="B600" s="1" t="s">
        <v>2149</v>
      </c>
      <c r="C600" s="1" t="s">
        <v>379</v>
      </c>
      <c r="D600" s="52">
        <v>46002.000694444447</v>
      </c>
      <c r="E600" s="52">
        <v>46002.000694444447</v>
      </c>
      <c r="F600" s="52">
        <v>46002.3125</v>
      </c>
      <c r="G600" s="53">
        <f t="shared" si="31"/>
        <v>0.31180555555329192</v>
      </c>
      <c r="H600" s="1" t="s">
        <v>257</v>
      </c>
      <c r="J600" s="1" t="s">
        <v>258</v>
      </c>
      <c r="K600" s="1" t="str">
        <f>_xlfn.XLOOKUP(J600,REF!$D$2:$D$12,REF!$E$2:$E$12)</f>
        <v>Rede</v>
      </c>
      <c r="L600" s="1" t="s">
        <v>2145</v>
      </c>
      <c r="M600" s="1" t="s">
        <v>260</v>
      </c>
      <c r="N600" s="1" t="s">
        <v>357</v>
      </c>
      <c r="O600" s="1" t="s">
        <v>632</v>
      </c>
      <c r="P600" s="1" t="str">
        <f t="shared" si="32"/>
        <v>UFV CAIAPONIA II - UC 1215KTL-H3(MBUS-16)46002,000694444446002,000694444446002,3125</v>
      </c>
      <c r="Q600" s="1" t="str">
        <f t="shared" si="33"/>
        <v>DAURDE</v>
      </c>
    </row>
    <row r="601" spans="2:17" hidden="1">
      <c r="B601" s="1" t="s">
        <v>2150</v>
      </c>
      <c r="C601" s="1" t="s">
        <v>382</v>
      </c>
      <c r="D601" s="52">
        <v>46002.000694444447</v>
      </c>
      <c r="E601" s="52">
        <v>46002.000694444447</v>
      </c>
      <c r="F601" s="52">
        <v>46002.3125</v>
      </c>
      <c r="G601" s="53">
        <f t="shared" si="31"/>
        <v>0.31180555555329192</v>
      </c>
      <c r="H601" s="1" t="s">
        <v>257</v>
      </c>
      <c r="J601" s="1" t="s">
        <v>258</v>
      </c>
      <c r="K601" s="1" t="str">
        <f>_xlfn.XLOOKUP(J601,REF!$D$2:$D$12,REF!$E$2:$E$12)</f>
        <v>Rede</v>
      </c>
      <c r="L601" s="1" t="s">
        <v>2145</v>
      </c>
      <c r="M601" s="1" t="s">
        <v>260</v>
      </c>
      <c r="N601" s="1" t="s">
        <v>357</v>
      </c>
      <c r="O601" s="1" t="s">
        <v>632</v>
      </c>
      <c r="P601" s="1" t="str">
        <f t="shared" si="32"/>
        <v>UFV CAIAPONIA II - UC 2215KTL-H3(MBUS-14)46002,000694444446002,000694444446002,3125</v>
      </c>
      <c r="Q601" s="1" t="str">
        <f t="shared" si="33"/>
        <v>DAURDE</v>
      </c>
    </row>
    <row r="602" spans="2:17" hidden="1">
      <c r="B602" s="1" t="s">
        <v>2150</v>
      </c>
      <c r="C602" s="1" t="s">
        <v>380</v>
      </c>
      <c r="D602" s="52">
        <v>46002.000694444447</v>
      </c>
      <c r="E602" s="52">
        <v>46002.000694444447</v>
      </c>
      <c r="F602" s="52">
        <v>46002.3125</v>
      </c>
      <c r="G602" s="53">
        <f t="shared" si="31"/>
        <v>0.31180555555329192</v>
      </c>
      <c r="H602" s="1" t="s">
        <v>257</v>
      </c>
      <c r="J602" s="1" t="s">
        <v>258</v>
      </c>
      <c r="K602" s="1" t="str">
        <f>_xlfn.XLOOKUP(J602,REF!$D$2:$D$12,REF!$E$2:$E$12)</f>
        <v>Rede</v>
      </c>
      <c r="L602" s="1" t="s">
        <v>2145</v>
      </c>
      <c r="M602" s="1" t="s">
        <v>260</v>
      </c>
      <c r="N602" s="1" t="s">
        <v>357</v>
      </c>
      <c r="O602" s="1" t="s">
        <v>632</v>
      </c>
      <c r="P602" s="1" t="str">
        <f t="shared" si="32"/>
        <v>UFV CAIAPONIA II - UC 2215KTL-H3(MBUS-15)46002,000694444446002,000694444446002,3125</v>
      </c>
      <c r="Q602" s="1" t="str">
        <f t="shared" si="33"/>
        <v>DAURDE</v>
      </c>
    </row>
    <row r="603" spans="2:17" hidden="1">
      <c r="B603" s="1" t="s">
        <v>2150</v>
      </c>
      <c r="C603" s="1" t="s">
        <v>377</v>
      </c>
      <c r="D603" s="52">
        <v>46002.000694444447</v>
      </c>
      <c r="E603" s="52">
        <v>46002.000694444447</v>
      </c>
      <c r="F603" s="52">
        <v>46002.3125</v>
      </c>
      <c r="G603" s="53">
        <f t="shared" si="31"/>
        <v>0.31180555555329192</v>
      </c>
      <c r="H603" s="1" t="s">
        <v>257</v>
      </c>
      <c r="J603" s="1" t="s">
        <v>258</v>
      </c>
      <c r="K603" s="1" t="str">
        <f>_xlfn.XLOOKUP(J603,REF!$D$2:$D$12,REF!$E$2:$E$12)</f>
        <v>Rede</v>
      </c>
      <c r="L603" s="1" t="s">
        <v>2145</v>
      </c>
      <c r="M603" s="1" t="s">
        <v>260</v>
      </c>
      <c r="N603" s="1" t="s">
        <v>357</v>
      </c>
      <c r="O603" s="1" t="s">
        <v>632</v>
      </c>
      <c r="P603" s="1" t="str">
        <f t="shared" si="32"/>
        <v>UFV CAIAPONIA II - UC 2215KTL-H3(MBUS-12)46002,000694444446002,000694444446002,3125</v>
      </c>
      <c r="Q603" s="1" t="str">
        <f t="shared" si="33"/>
        <v>DAURDE</v>
      </c>
    </row>
    <row r="604" spans="2:17" hidden="1">
      <c r="B604" s="1" t="s">
        <v>2150</v>
      </c>
      <c r="C604" s="1" t="s">
        <v>378</v>
      </c>
      <c r="D604" s="52">
        <v>46002.000694444447</v>
      </c>
      <c r="E604" s="52">
        <v>46002.000694444447</v>
      </c>
      <c r="F604" s="52">
        <v>46002.3125</v>
      </c>
      <c r="G604" s="53">
        <f t="shared" si="31"/>
        <v>0.31180555555329192</v>
      </c>
      <c r="H604" s="1" t="s">
        <v>257</v>
      </c>
      <c r="J604" s="1" t="s">
        <v>258</v>
      </c>
      <c r="K604" s="1" t="str">
        <f>_xlfn.XLOOKUP(J604,REF!$D$2:$D$12,REF!$E$2:$E$12)</f>
        <v>Rede</v>
      </c>
      <c r="L604" s="1" t="s">
        <v>2145</v>
      </c>
      <c r="M604" s="1" t="s">
        <v>260</v>
      </c>
      <c r="N604" s="1" t="s">
        <v>357</v>
      </c>
      <c r="O604" s="1" t="s">
        <v>632</v>
      </c>
      <c r="P604" s="1" t="str">
        <f t="shared" si="32"/>
        <v>UFV CAIAPONIA II - UC 2215KTL-H3(MBUS-13)46002,000694444446002,000694444446002,3125</v>
      </c>
      <c r="Q604" s="1" t="str">
        <f t="shared" si="33"/>
        <v>DAURDE</v>
      </c>
    </row>
    <row r="605" spans="2:17" hidden="1">
      <c r="B605" s="1" t="s">
        <v>2150</v>
      </c>
      <c r="C605" s="1" t="s">
        <v>379</v>
      </c>
      <c r="D605" s="52">
        <v>46002.000694444447</v>
      </c>
      <c r="E605" s="52">
        <v>46002.000694444447</v>
      </c>
      <c r="F605" s="52">
        <v>46002.3125</v>
      </c>
      <c r="G605" s="53">
        <f t="shared" si="31"/>
        <v>0.31180555555329192</v>
      </c>
      <c r="H605" s="1" t="s">
        <v>257</v>
      </c>
      <c r="J605" s="1" t="s">
        <v>258</v>
      </c>
      <c r="K605" s="1" t="str">
        <f>_xlfn.XLOOKUP(J605,REF!$D$2:$D$12,REF!$E$2:$E$12)</f>
        <v>Rede</v>
      </c>
      <c r="L605" s="1" t="s">
        <v>2145</v>
      </c>
      <c r="M605" s="1" t="s">
        <v>260</v>
      </c>
      <c r="N605" s="1" t="s">
        <v>357</v>
      </c>
      <c r="O605" s="1" t="s">
        <v>632</v>
      </c>
      <c r="P605" s="1" t="str">
        <f t="shared" si="32"/>
        <v>UFV CAIAPONIA II - UC 2215KTL-H3(MBUS-16)46002,000694444446002,000694444446002,3125</v>
      </c>
      <c r="Q605" s="1" t="str">
        <f t="shared" si="33"/>
        <v>DAURDE</v>
      </c>
    </row>
    <row r="606" spans="2:17" hidden="1">
      <c r="B606" s="1" t="s">
        <v>2151</v>
      </c>
      <c r="C606" s="1" t="s">
        <v>382</v>
      </c>
      <c r="D606" s="52">
        <v>46002.000694444447</v>
      </c>
      <c r="E606" s="52">
        <v>46002.000694444447</v>
      </c>
      <c r="F606" s="52">
        <v>46002.3125</v>
      </c>
      <c r="G606" s="53">
        <f t="shared" si="31"/>
        <v>0.31180555555329192</v>
      </c>
      <c r="H606" s="1" t="s">
        <v>257</v>
      </c>
      <c r="J606" s="1" t="s">
        <v>258</v>
      </c>
      <c r="K606" s="1" t="str">
        <f>_xlfn.XLOOKUP(J606,REF!$D$2:$D$12,REF!$E$2:$E$12)</f>
        <v>Rede</v>
      </c>
      <c r="L606" s="1" t="s">
        <v>2145</v>
      </c>
      <c r="M606" s="1" t="s">
        <v>260</v>
      </c>
      <c r="N606" s="1" t="s">
        <v>357</v>
      </c>
      <c r="O606" s="1" t="s">
        <v>632</v>
      </c>
      <c r="P606" s="1" t="str">
        <f t="shared" si="32"/>
        <v>UFV CAIAPONIA II - UC 3215KTL-H3(MBUS-14)46002,000694444446002,000694444446002,3125</v>
      </c>
      <c r="Q606" s="1" t="str">
        <f t="shared" si="33"/>
        <v>DAURDE</v>
      </c>
    </row>
    <row r="607" spans="2:17" hidden="1">
      <c r="B607" s="1" t="s">
        <v>2151</v>
      </c>
      <c r="C607" s="1" t="s">
        <v>380</v>
      </c>
      <c r="D607" s="52">
        <v>46002.000694444447</v>
      </c>
      <c r="E607" s="52">
        <v>46002.000694444447</v>
      </c>
      <c r="F607" s="52">
        <v>46002.3125</v>
      </c>
      <c r="G607" s="53">
        <f t="shared" si="31"/>
        <v>0.31180555555329192</v>
      </c>
      <c r="H607" s="1" t="s">
        <v>257</v>
      </c>
      <c r="J607" s="1" t="s">
        <v>258</v>
      </c>
      <c r="K607" s="1" t="str">
        <f>_xlfn.XLOOKUP(J607,REF!$D$2:$D$12,REF!$E$2:$E$12)</f>
        <v>Rede</v>
      </c>
      <c r="L607" s="1" t="s">
        <v>2145</v>
      </c>
      <c r="M607" s="1" t="s">
        <v>260</v>
      </c>
      <c r="N607" s="1" t="s">
        <v>357</v>
      </c>
      <c r="O607" s="1" t="s">
        <v>632</v>
      </c>
      <c r="P607" s="1" t="str">
        <f t="shared" si="32"/>
        <v>UFV CAIAPONIA II - UC 3215KTL-H3(MBUS-15)46002,000694444446002,000694444446002,3125</v>
      </c>
      <c r="Q607" s="1" t="str">
        <f t="shared" si="33"/>
        <v>DAURDE</v>
      </c>
    </row>
    <row r="608" spans="2:17" hidden="1">
      <c r="B608" s="1" t="s">
        <v>2151</v>
      </c>
      <c r="C608" s="1" t="s">
        <v>377</v>
      </c>
      <c r="D608" s="52">
        <v>46002.000694444447</v>
      </c>
      <c r="E608" s="52">
        <v>46002.000694444447</v>
      </c>
      <c r="F608" s="52">
        <v>46002.3125</v>
      </c>
      <c r="G608" s="53">
        <f t="shared" si="31"/>
        <v>0.31180555555329192</v>
      </c>
      <c r="H608" s="1" t="s">
        <v>257</v>
      </c>
      <c r="J608" s="1" t="s">
        <v>258</v>
      </c>
      <c r="K608" s="1" t="str">
        <f>_xlfn.XLOOKUP(J608,REF!$D$2:$D$12,REF!$E$2:$E$12)</f>
        <v>Rede</v>
      </c>
      <c r="L608" s="1" t="s">
        <v>2145</v>
      </c>
      <c r="M608" s="1" t="s">
        <v>260</v>
      </c>
      <c r="N608" s="1" t="s">
        <v>357</v>
      </c>
      <c r="O608" s="1" t="s">
        <v>632</v>
      </c>
      <c r="P608" s="1" t="str">
        <f t="shared" si="32"/>
        <v>UFV CAIAPONIA II - UC 3215KTL-H3(MBUS-12)46002,000694444446002,000694444446002,3125</v>
      </c>
      <c r="Q608" s="1" t="str">
        <f t="shared" si="33"/>
        <v>DAURDE</v>
      </c>
    </row>
    <row r="609" spans="2:17" hidden="1">
      <c r="B609" s="1" t="s">
        <v>2151</v>
      </c>
      <c r="C609" s="1" t="s">
        <v>378</v>
      </c>
      <c r="D609" s="52">
        <v>46002.000694444447</v>
      </c>
      <c r="E609" s="52">
        <v>46002.000694444447</v>
      </c>
      <c r="F609" s="52">
        <v>46002.3125</v>
      </c>
      <c r="G609" s="53">
        <f t="shared" si="31"/>
        <v>0.31180555555329192</v>
      </c>
      <c r="H609" s="1" t="s">
        <v>257</v>
      </c>
      <c r="J609" s="1" t="s">
        <v>258</v>
      </c>
      <c r="K609" s="1" t="str">
        <f>_xlfn.XLOOKUP(J609,REF!$D$2:$D$12,REF!$E$2:$E$12)</f>
        <v>Rede</v>
      </c>
      <c r="L609" s="1" t="s">
        <v>2145</v>
      </c>
      <c r="M609" s="1" t="s">
        <v>260</v>
      </c>
      <c r="N609" s="1" t="s">
        <v>357</v>
      </c>
      <c r="O609" s="1" t="s">
        <v>632</v>
      </c>
      <c r="P609" s="1" t="str">
        <f t="shared" si="32"/>
        <v>UFV CAIAPONIA II - UC 3215KTL-H3(MBUS-13)46002,000694444446002,000694444446002,3125</v>
      </c>
      <c r="Q609" s="1" t="str">
        <f t="shared" si="33"/>
        <v>DAURDE</v>
      </c>
    </row>
    <row r="610" spans="2:17" hidden="1">
      <c r="B610" s="1" t="s">
        <v>2151</v>
      </c>
      <c r="C610" s="1" t="s">
        <v>379</v>
      </c>
      <c r="D610" s="52">
        <v>46002.000694444447</v>
      </c>
      <c r="E610" s="52">
        <v>46002.000694444447</v>
      </c>
      <c r="F610" s="52">
        <v>46002.3125</v>
      </c>
      <c r="G610" s="53">
        <f t="shared" si="31"/>
        <v>0.31180555555329192</v>
      </c>
      <c r="H610" s="1" t="s">
        <v>257</v>
      </c>
      <c r="J610" s="1" t="s">
        <v>258</v>
      </c>
      <c r="K610" s="1" t="str">
        <f>_xlfn.XLOOKUP(J610,REF!$D$2:$D$12,REF!$E$2:$E$12)</f>
        <v>Rede</v>
      </c>
      <c r="L610" s="1" t="s">
        <v>2145</v>
      </c>
      <c r="M610" s="1" t="s">
        <v>260</v>
      </c>
      <c r="N610" s="1" t="s">
        <v>357</v>
      </c>
      <c r="O610" s="1" t="s">
        <v>632</v>
      </c>
      <c r="P610" s="1" t="str">
        <f t="shared" si="32"/>
        <v>UFV CAIAPONIA II - UC 3215KTL-H3(MBUS-16)46002,000694444446002,000694444446002,3125</v>
      </c>
      <c r="Q610" s="1" t="str">
        <f t="shared" si="33"/>
        <v>DAURDE</v>
      </c>
    </row>
    <row r="611" spans="2:17" hidden="1">
      <c r="B611" s="1" t="s">
        <v>305</v>
      </c>
      <c r="C611" s="1" t="s">
        <v>256</v>
      </c>
      <c r="D611" s="52">
        <v>46002.907638888886</v>
      </c>
      <c r="E611" s="52">
        <v>46002.907638888886</v>
      </c>
      <c r="F611" s="52">
        <v>46002.941666666666</v>
      </c>
      <c r="G611" s="53">
        <f t="shared" ref="G572:G635" si="34">F611-E611</f>
        <v>3.4027777779556345E-2</v>
      </c>
      <c r="H611" s="1" t="s">
        <v>257</v>
      </c>
      <c r="J611" s="1" t="s">
        <v>258</v>
      </c>
      <c r="K611" s="1" t="str">
        <f>_xlfn.XLOOKUP(J611,REF!$D$2:$D$12,REF!$E$2:$E$12)</f>
        <v>Rede</v>
      </c>
      <c r="L611" s="1" t="s">
        <v>2152</v>
      </c>
      <c r="M611" s="1" t="s">
        <v>260</v>
      </c>
      <c r="N611" s="1" t="s">
        <v>357</v>
      </c>
      <c r="O611" s="1" t="s">
        <v>632</v>
      </c>
      <c r="P611" s="1" t="str">
        <f t="shared" si="32"/>
        <v>ARAGUATINS 1.1Inverter(MBUS-12)46002,907638888946002,907638888946002,9416666667</v>
      </c>
      <c r="Q611" s="1" t="str">
        <f t="shared" si="33"/>
        <v>DAURDE</v>
      </c>
    </row>
    <row r="612" spans="2:17" hidden="1">
      <c r="B612" s="1" t="s">
        <v>305</v>
      </c>
      <c r="C612" s="1" t="s">
        <v>264</v>
      </c>
      <c r="D612" s="52">
        <v>46002.907638888886</v>
      </c>
      <c r="E612" s="52">
        <v>46002.907638888886</v>
      </c>
      <c r="F612" s="52">
        <v>46002.941666666666</v>
      </c>
      <c r="G612" s="53">
        <f t="shared" si="34"/>
        <v>3.4027777779556345E-2</v>
      </c>
      <c r="H612" s="1" t="s">
        <v>257</v>
      </c>
      <c r="J612" s="1" t="s">
        <v>258</v>
      </c>
      <c r="K612" s="1" t="str">
        <f>_xlfn.XLOOKUP(J612,REF!$D$2:$D$12,REF!$E$2:$E$12)</f>
        <v>Rede</v>
      </c>
      <c r="L612" s="1" t="s">
        <v>2152</v>
      </c>
      <c r="M612" s="1" t="s">
        <v>260</v>
      </c>
      <c r="N612" s="1" t="s">
        <v>357</v>
      </c>
      <c r="O612" s="1" t="s">
        <v>632</v>
      </c>
      <c r="P612" s="1" t="str">
        <f t="shared" si="32"/>
        <v>ARAGUATINS 1.1Inverter(MBUS-13)46002,907638888946002,907638888946002,9416666667</v>
      </c>
      <c r="Q612" s="1" t="str">
        <f t="shared" si="33"/>
        <v>DAURDE</v>
      </c>
    </row>
    <row r="613" spans="2:17" hidden="1">
      <c r="B613" s="1" t="s">
        <v>305</v>
      </c>
      <c r="C613" s="1" t="s">
        <v>263</v>
      </c>
      <c r="D613" s="52">
        <v>46002.907638888886</v>
      </c>
      <c r="E613" s="52">
        <v>46002.907638888886</v>
      </c>
      <c r="F613" s="52">
        <v>46002.941666666666</v>
      </c>
      <c r="G613" s="53">
        <f t="shared" si="34"/>
        <v>3.4027777779556345E-2</v>
      </c>
      <c r="H613" s="1" t="s">
        <v>257</v>
      </c>
      <c r="J613" s="1" t="s">
        <v>258</v>
      </c>
      <c r="K613" s="1" t="str">
        <f>_xlfn.XLOOKUP(J613,REF!$D$2:$D$12,REF!$E$2:$E$12)</f>
        <v>Rede</v>
      </c>
      <c r="L613" s="1" t="s">
        <v>2152</v>
      </c>
      <c r="M613" s="1" t="s">
        <v>260</v>
      </c>
      <c r="N613" s="1" t="s">
        <v>357</v>
      </c>
      <c r="O613" s="1" t="s">
        <v>632</v>
      </c>
      <c r="P613" s="1" t="str">
        <f t="shared" si="32"/>
        <v>ARAGUATINS 1.1Inverter(MBUS-14)46002,907638888946002,907638888946002,9416666667</v>
      </c>
      <c r="Q613" s="1" t="str">
        <f t="shared" si="33"/>
        <v>DAURDE</v>
      </c>
    </row>
    <row r="614" spans="2:17" hidden="1">
      <c r="B614" s="1" t="s">
        <v>305</v>
      </c>
      <c r="C614" s="1" t="s">
        <v>307</v>
      </c>
      <c r="D614" s="52">
        <v>46002.907638888886</v>
      </c>
      <c r="E614" s="52">
        <v>46002.907638888886</v>
      </c>
      <c r="F614" s="52">
        <v>46002.941666666666</v>
      </c>
      <c r="G614" s="53">
        <f t="shared" si="34"/>
        <v>3.4027777779556345E-2</v>
      </c>
      <c r="H614" s="1" t="s">
        <v>257</v>
      </c>
      <c r="J614" s="1" t="s">
        <v>258</v>
      </c>
      <c r="K614" s="1" t="str">
        <f>_xlfn.XLOOKUP(J614,REF!$D$2:$D$12,REF!$E$2:$E$12)</f>
        <v>Rede</v>
      </c>
      <c r="L614" s="1" t="s">
        <v>2152</v>
      </c>
      <c r="M614" s="1" t="s">
        <v>260</v>
      </c>
      <c r="N614" s="1" t="s">
        <v>357</v>
      </c>
      <c r="O614" s="1" t="s">
        <v>632</v>
      </c>
      <c r="P614" s="1" t="str">
        <f t="shared" si="32"/>
        <v>ARAGUATINS 1.1Inverter(MBUS-15)46002,907638888946002,907638888946002,9416666667</v>
      </c>
      <c r="Q614" s="1" t="str">
        <f t="shared" si="33"/>
        <v>DAURDE</v>
      </c>
    </row>
    <row r="615" spans="2:17" hidden="1">
      <c r="B615" s="1" t="s">
        <v>305</v>
      </c>
      <c r="C615" s="1" t="s">
        <v>256</v>
      </c>
      <c r="D615" s="52">
        <v>46003.982638888891</v>
      </c>
      <c r="E615" s="52">
        <v>46003.982638888891</v>
      </c>
      <c r="F615" s="52">
        <v>46004.003472222219</v>
      </c>
      <c r="G615" s="53">
        <f t="shared" si="34"/>
        <v>2.0833333328482695E-2</v>
      </c>
      <c r="H615" s="1" t="s">
        <v>257</v>
      </c>
      <c r="J615" s="1" t="s">
        <v>258</v>
      </c>
      <c r="K615" s="1" t="str">
        <f>_xlfn.XLOOKUP(J615,REF!$D$2:$D$12,REF!$E$2:$E$12)</f>
        <v>Rede</v>
      </c>
      <c r="L615" s="1" t="s">
        <v>2153</v>
      </c>
      <c r="M615" s="1" t="s">
        <v>260</v>
      </c>
      <c r="N615" s="1" t="s">
        <v>357</v>
      </c>
      <c r="O615" s="1" t="s">
        <v>632</v>
      </c>
      <c r="P615" s="1" t="str">
        <f t="shared" si="32"/>
        <v>ARAGUATINS 1.1Inverter(MBUS-12)46003,982638888946003,982638888946004,0034722222</v>
      </c>
      <c r="Q615" s="1" t="str">
        <f t="shared" si="33"/>
        <v>DAURDE</v>
      </c>
    </row>
    <row r="616" spans="2:17" hidden="1">
      <c r="B616" s="1" t="s">
        <v>305</v>
      </c>
      <c r="C616" s="1" t="s">
        <v>264</v>
      </c>
      <c r="D616" s="52">
        <v>46003.982638888891</v>
      </c>
      <c r="E616" s="52">
        <v>46003.982638888891</v>
      </c>
      <c r="F616" s="52">
        <v>46004.003472222219</v>
      </c>
      <c r="G616" s="53">
        <f t="shared" si="34"/>
        <v>2.0833333328482695E-2</v>
      </c>
      <c r="H616" s="1" t="s">
        <v>257</v>
      </c>
      <c r="J616" s="1" t="s">
        <v>258</v>
      </c>
      <c r="K616" s="1" t="str">
        <f>_xlfn.XLOOKUP(J616,REF!$D$2:$D$12,REF!$E$2:$E$12)</f>
        <v>Rede</v>
      </c>
      <c r="L616" s="1" t="s">
        <v>2153</v>
      </c>
      <c r="M616" s="1" t="s">
        <v>260</v>
      </c>
      <c r="N616" s="1" t="s">
        <v>357</v>
      </c>
      <c r="O616" s="1" t="s">
        <v>632</v>
      </c>
      <c r="P616" s="1" t="str">
        <f t="shared" si="32"/>
        <v>ARAGUATINS 1.1Inverter(MBUS-13)46003,982638888946003,982638888946004,0034722222</v>
      </c>
      <c r="Q616" s="1" t="str">
        <f t="shared" si="33"/>
        <v>DAURDE</v>
      </c>
    </row>
    <row r="617" spans="2:17" hidden="1">
      <c r="B617" s="1" t="s">
        <v>305</v>
      </c>
      <c r="C617" s="1" t="s">
        <v>263</v>
      </c>
      <c r="D617" s="52">
        <v>46003.982638888891</v>
      </c>
      <c r="E617" s="52">
        <v>46003.982638888891</v>
      </c>
      <c r="F617" s="52">
        <v>46004.003472222219</v>
      </c>
      <c r="G617" s="53">
        <f t="shared" si="34"/>
        <v>2.0833333328482695E-2</v>
      </c>
      <c r="H617" s="1" t="s">
        <v>257</v>
      </c>
      <c r="J617" s="1" t="s">
        <v>258</v>
      </c>
      <c r="K617" s="1" t="str">
        <f>_xlfn.XLOOKUP(J617,REF!$D$2:$D$12,REF!$E$2:$E$12)</f>
        <v>Rede</v>
      </c>
      <c r="L617" s="1" t="s">
        <v>2153</v>
      </c>
      <c r="M617" s="1" t="s">
        <v>260</v>
      </c>
      <c r="N617" s="1" t="s">
        <v>357</v>
      </c>
      <c r="O617" s="1" t="s">
        <v>632</v>
      </c>
      <c r="P617" s="1" t="str">
        <f t="shared" si="32"/>
        <v>ARAGUATINS 1.1Inverter(MBUS-14)46003,982638888946003,982638888946004,0034722222</v>
      </c>
      <c r="Q617" s="1" t="str">
        <f t="shared" si="33"/>
        <v>DAURDE</v>
      </c>
    </row>
    <row r="618" spans="2:17" hidden="1">
      <c r="B618" s="1" t="s">
        <v>305</v>
      </c>
      <c r="C618" s="1" t="s">
        <v>307</v>
      </c>
      <c r="D618" s="52">
        <v>46003.982638888891</v>
      </c>
      <c r="E618" s="52">
        <v>46003.982638888891</v>
      </c>
      <c r="F618" s="52">
        <v>46004.003472222219</v>
      </c>
      <c r="G618" s="53">
        <f t="shared" si="34"/>
        <v>2.0833333328482695E-2</v>
      </c>
      <c r="H618" s="1" t="s">
        <v>257</v>
      </c>
      <c r="J618" s="1" t="s">
        <v>258</v>
      </c>
      <c r="K618" s="1" t="str">
        <f>_xlfn.XLOOKUP(J618,REF!$D$2:$D$12,REF!$E$2:$E$12)</f>
        <v>Rede</v>
      </c>
      <c r="L618" s="1" t="s">
        <v>2153</v>
      </c>
      <c r="M618" s="1" t="s">
        <v>260</v>
      </c>
      <c r="N618" s="1" t="s">
        <v>357</v>
      </c>
      <c r="O618" s="1" t="s">
        <v>632</v>
      </c>
      <c r="P618" s="1" t="str">
        <f t="shared" si="32"/>
        <v>ARAGUATINS 1.1Inverter(MBUS-15)46003,982638888946003,982638888946004,0034722222</v>
      </c>
      <c r="Q618" s="1" t="str">
        <f t="shared" si="33"/>
        <v>DAURDE</v>
      </c>
    </row>
    <row r="619" spans="2:17" hidden="1">
      <c r="B619" s="1" t="s">
        <v>308</v>
      </c>
      <c r="C619" s="1" t="s">
        <v>256</v>
      </c>
      <c r="D619" s="52">
        <v>46003.982638888891</v>
      </c>
      <c r="E619" s="52">
        <v>46003.982638888891</v>
      </c>
      <c r="F619" s="52">
        <v>46004.003472222219</v>
      </c>
      <c r="G619" s="53">
        <f t="shared" si="34"/>
        <v>2.0833333328482695E-2</v>
      </c>
      <c r="H619" s="1" t="s">
        <v>257</v>
      </c>
      <c r="J619" s="1" t="s">
        <v>258</v>
      </c>
      <c r="K619" s="1" t="str">
        <f>_xlfn.XLOOKUP(J619,REF!$D$2:$D$12,REF!$E$2:$E$12)</f>
        <v>Rede</v>
      </c>
      <c r="L619" s="1" t="s">
        <v>2153</v>
      </c>
      <c r="M619" s="1" t="s">
        <v>260</v>
      </c>
      <c r="N619" s="1" t="s">
        <v>357</v>
      </c>
      <c r="O619" s="1" t="s">
        <v>632</v>
      </c>
      <c r="P619" s="1" t="str">
        <f t="shared" si="32"/>
        <v>ARAGUATINS 1.2Inverter(MBUS-12)46003,982638888946003,982638888946004,0034722222</v>
      </c>
      <c r="Q619" s="1" t="str">
        <f t="shared" si="33"/>
        <v>DAURDE</v>
      </c>
    </row>
    <row r="620" spans="2:17" hidden="1">
      <c r="B620" s="1" t="s">
        <v>308</v>
      </c>
      <c r="C620" s="1" t="s">
        <v>264</v>
      </c>
      <c r="D620" s="52">
        <v>46003.982638888891</v>
      </c>
      <c r="E620" s="52">
        <v>46003.982638888891</v>
      </c>
      <c r="F620" s="52">
        <v>46004.003472222219</v>
      </c>
      <c r="G620" s="53">
        <f t="shared" si="34"/>
        <v>2.0833333328482695E-2</v>
      </c>
      <c r="H620" s="1" t="s">
        <v>257</v>
      </c>
      <c r="J620" s="1" t="s">
        <v>258</v>
      </c>
      <c r="K620" s="1" t="str">
        <f>_xlfn.XLOOKUP(J620,REF!$D$2:$D$12,REF!$E$2:$E$12)</f>
        <v>Rede</v>
      </c>
      <c r="L620" s="1" t="s">
        <v>2153</v>
      </c>
      <c r="M620" s="1" t="s">
        <v>260</v>
      </c>
      <c r="N620" s="1" t="s">
        <v>357</v>
      </c>
      <c r="O620" s="1" t="s">
        <v>632</v>
      </c>
      <c r="P620" s="1" t="str">
        <f t="shared" si="32"/>
        <v>ARAGUATINS 1.2Inverter(MBUS-13)46003,982638888946003,982638888946004,0034722222</v>
      </c>
      <c r="Q620" s="1" t="str">
        <f t="shared" si="33"/>
        <v>DAURDE</v>
      </c>
    </row>
    <row r="621" spans="2:17" hidden="1">
      <c r="B621" s="1" t="s">
        <v>308</v>
      </c>
      <c r="C621" s="1" t="s">
        <v>263</v>
      </c>
      <c r="D621" s="52">
        <v>46003.982638888891</v>
      </c>
      <c r="E621" s="52">
        <v>46003.982638888891</v>
      </c>
      <c r="F621" s="52">
        <v>46004.003472222219</v>
      </c>
      <c r="G621" s="53">
        <f t="shared" si="34"/>
        <v>2.0833333328482695E-2</v>
      </c>
      <c r="H621" s="1" t="s">
        <v>257</v>
      </c>
      <c r="J621" s="1" t="s">
        <v>258</v>
      </c>
      <c r="K621" s="1" t="str">
        <f>_xlfn.XLOOKUP(J621,REF!$D$2:$D$12,REF!$E$2:$E$12)</f>
        <v>Rede</v>
      </c>
      <c r="L621" s="1" t="s">
        <v>2153</v>
      </c>
      <c r="M621" s="1" t="s">
        <v>260</v>
      </c>
      <c r="N621" s="1" t="s">
        <v>357</v>
      </c>
      <c r="O621" s="1" t="s">
        <v>632</v>
      </c>
      <c r="P621" s="1" t="str">
        <f t="shared" si="32"/>
        <v>ARAGUATINS 1.2Inverter(MBUS-14)46003,982638888946003,982638888946004,0034722222</v>
      </c>
      <c r="Q621" s="1" t="str">
        <f t="shared" si="33"/>
        <v>DAURDE</v>
      </c>
    </row>
    <row r="622" spans="2:17" hidden="1">
      <c r="B622" s="1" t="s">
        <v>308</v>
      </c>
      <c r="C622" s="1" t="s">
        <v>307</v>
      </c>
      <c r="D622" s="52">
        <v>46003.982638888891</v>
      </c>
      <c r="E622" s="52">
        <v>46003.982638888891</v>
      </c>
      <c r="F622" s="52">
        <v>46004.003472222219</v>
      </c>
      <c r="G622" s="53">
        <f t="shared" si="34"/>
        <v>2.0833333328482695E-2</v>
      </c>
      <c r="H622" s="1" t="s">
        <v>257</v>
      </c>
      <c r="J622" s="1" t="s">
        <v>258</v>
      </c>
      <c r="K622" s="1" t="str">
        <f>_xlfn.XLOOKUP(J622,REF!$D$2:$D$12,REF!$E$2:$E$12)</f>
        <v>Rede</v>
      </c>
      <c r="L622" s="1" t="s">
        <v>2153</v>
      </c>
      <c r="M622" s="1" t="s">
        <v>260</v>
      </c>
      <c r="N622" s="1" t="s">
        <v>357</v>
      </c>
      <c r="O622" s="1" t="s">
        <v>632</v>
      </c>
      <c r="P622" s="1" t="str">
        <f t="shared" si="32"/>
        <v>ARAGUATINS 1.2Inverter(MBUS-15)46003,982638888946003,982638888946004,0034722222</v>
      </c>
      <c r="Q622" s="1" t="str">
        <f t="shared" si="33"/>
        <v>DAURDE</v>
      </c>
    </row>
    <row r="623" spans="2:17" hidden="1">
      <c r="B623" s="1" t="s">
        <v>309</v>
      </c>
      <c r="C623" s="1" t="s">
        <v>310</v>
      </c>
      <c r="D623" s="52">
        <v>46003.982638888891</v>
      </c>
      <c r="E623" s="52">
        <v>46003.982638888891</v>
      </c>
      <c r="F623" s="52">
        <v>46004.003472222219</v>
      </c>
      <c r="G623" s="53">
        <f t="shared" si="34"/>
        <v>2.0833333328482695E-2</v>
      </c>
      <c r="H623" s="1" t="s">
        <v>257</v>
      </c>
      <c r="J623" s="1" t="s">
        <v>258</v>
      </c>
      <c r="K623" s="1" t="str">
        <f>_xlfn.XLOOKUP(J623,REF!$D$2:$D$12,REF!$E$2:$E$12)</f>
        <v>Rede</v>
      </c>
      <c r="L623" s="1" t="s">
        <v>2153</v>
      </c>
      <c r="M623" s="1" t="s">
        <v>260</v>
      </c>
      <c r="N623" s="1" t="s">
        <v>357</v>
      </c>
      <c r="O623" s="1" t="s">
        <v>632</v>
      </c>
      <c r="P623" s="1" t="str">
        <f t="shared" si="32"/>
        <v>ARAGUATINS 1.3Inverter(MBUS-20)46003,982638888946003,982638888946004,0034722222</v>
      </c>
      <c r="Q623" s="1" t="str">
        <f t="shared" si="33"/>
        <v>DAURDE</v>
      </c>
    </row>
    <row r="624" spans="2:17" hidden="1">
      <c r="B624" s="1" t="s">
        <v>309</v>
      </c>
      <c r="C624" s="1" t="s">
        <v>247</v>
      </c>
      <c r="D624" s="52">
        <v>46003.982638888891</v>
      </c>
      <c r="E624" s="52">
        <v>46003.982638888891</v>
      </c>
      <c r="F624" s="52">
        <v>46004.003472222219</v>
      </c>
      <c r="G624" s="53">
        <f t="shared" si="34"/>
        <v>2.0833333328482695E-2</v>
      </c>
      <c r="H624" s="1" t="s">
        <v>257</v>
      </c>
      <c r="J624" s="1" t="s">
        <v>258</v>
      </c>
      <c r="K624" s="1" t="str">
        <f>_xlfn.XLOOKUP(J624,REF!$D$2:$D$12,REF!$E$2:$E$12)</f>
        <v>Rede</v>
      </c>
      <c r="L624" s="1" t="s">
        <v>2153</v>
      </c>
      <c r="M624" s="1" t="s">
        <v>260</v>
      </c>
      <c r="N624" s="1" t="s">
        <v>357</v>
      </c>
      <c r="O624" s="1" t="s">
        <v>632</v>
      </c>
      <c r="P624" s="1" t="str">
        <f t="shared" si="32"/>
        <v>ARAGUATINS 1.3Inverter(MBUS-1)46003,982638888946003,982638888946004,0034722222</v>
      </c>
      <c r="Q624" s="1" t="str">
        <f t="shared" si="33"/>
        <v>DAURDE</v>
      </c>
    </row>
    <row r="625" spans="2:17" hidden="1">
      <c r="B625" s="1" t="s">
        <v>311</v>
      </c>
      <c r="C625" s="1" t="s">
        <v>256</v>
      </c>
      <c r="D625" s="52">
        <v>46003.982638888891</v>
      </c>
      <c r="E625" s="52">
        <v>46003.982638888891</v>
      </c>
      <c r="F625" s="52">
        <v>46004.003472222219</v>
      </c>
      <c r="G625" s="53">
        <f t="shared" si="34"/>
        <v>2.0833333328482695E-2</v>
      </c>
      <c r="H625" s="1" t="s">
        <v>257</v>
      </c>
      <c r="J625" s="1" t="s">
        <v>258</v>
      </c>
      <c r="K625" s="1" t="str">
        <f>_xlfn.XLOOKUP(J625,REF!$D$2:$D$12,REF!$E$2:$E$12)</f>
        <v>Rede</v>
      </c>
      <c r="L625" s="1" t="s">
        <v>2153</v>
      </c>
      <c r="M625" s="1" t="s">
        <v>260</v>
      </c>
      <c r="N625" s="1" t="s">
        <v>357</v>
      </c>
      <c r="O625" s="1" t="s">
        <v>632</v>
      </c>
      <c r="P625" s="1" t="str">
        <f t="shared" si="32"/>
        <v>ARAGUATINS 2.1Inverter(MBUS-12)46003,982638888946003,982638888946004,0034722222</v>
      </c>
      <c r="Q625" s="1" t="str">
        <f t="shared" si="33"/>
        <v>DAURDE</v>
      </c>
    </row>
    <row r="626" spans="2:17" hidden="1">
      <c r="B626" s="1" t="s">
        <v>311</v>
      </c>
      <c r="C626" s="1" t="s">
        <v>307</v>
      </c>
      <c r="D626" s="52">
        <v>46003.982638888891</v>
      </c>
      <c r="E626" s="52">
        <v>46003.982638888891</v>
      </c>
      <c r="F626" s="52">
        <v>46004.003472222219</v>
      </c>
      <c r="G626" s="53">
        <f t="shared" si="34"/>
        <v>2.0833333328482695E-2</v>
      </c>
      <c r="H626" s="1" t="s">
        <v>257</v>
      </c>
      <c r="J626" s="1" t="s">
        <v>258</v>
      </c>
      <c r="K626" s="1" t="str">
        <f>_xlfn.XLOOKUP(J626,REF!$D$2:$D$12,REF!$E$2:$E$12)</f>
        <v>Rede</v>
      </c>
      <c r="L626" s="1" t="s">
        <v>2153</v>
      </c>
      <c r="M626" s="1" t="s">
        <v>260</v>
      </c>
      <c r="N626" s="1" t="s">
        <v>357</v>
      </c>
      <c r="O626" s="1" t="s">
        <v>632</v>
      </c>
      <c r="P626" s="1" t="str">
        <f t="shared" si="32"/>
        <v>ARAGUATINS 2.1Inverter(MBUS-15)46003,982638888946003,982638888946004,0034722222</v>
      </c>
      <c r="Q626" s="1" t="str">
        <f t="shared" si="33"/>
        <v>DAURDE</v>
      </c>
    </row>
    <row r="627" spans="2:17" hidden="1">
      <c r="B627" s="1" t="s">
        <v>311</v>
      </c>
      <c r="C627" s="1" t="s">
        <v>263</v>
      </c>
      <c r="D627" s="52">
        <v>46003.982638888891</v>
      </c>
      <c r="E627" s="52">
        <v>46003.982638888891</v>
      </c>
      <c r="F627" s="52">
        <v>46004.003472222219</v>
      </c>
      <c r="G627" s="53">
        <f t="shared" si="34"/>
        <v>2.0833333328482695E-2</v>
      </c>
      <c r="H627" s="1" t="s">
        <v>257</v>
      </c>
      <c r="J627" s="1" t="s">
        <v>258</v>
      </c>
      <c r="K627" s="1" t="str">
        <f>_xlfn.XLOOKUP(J627,REF!$D$2:$D$12,REF!$E$2:$E$12)</f>
        <v>Rede</v>
      </c>
      <c r="L627" s="1" t="s">
        <v>2153</v>
      </c>
      <c r="M627" s="1" t="s">
        <v>260</v>
      </c>
      <c r="N627" s="1" t="s">
        <v>357</v>
      </c>
      <c r="O627" s="1" t="s">
        <v>632</v>
      </c>
      <c r="P627" s="1" t="str">
        <f t="shared" si="32"/>
        <v>ARAGUATINS 2.1Inverter(MBUS-14)46003,982638888946003,982638888946004,0034722222</v>
      </c>
      <c r="Q627" s="1" t="str">
        <f t="shared" si="33"/>
        <v>DAURDE</v>
      </c>
    </row>
    <row r="628" spans="2:17" hidden="1">
      <c r="B628" s="1" t="s">
        <v>311</v>
      </c>
      <c r="C628" s="1" t="s">
        <v>247</v>
      </c>
      <c r="D628" s="52">
        <v>46003.982638888891</v>
      </c>
      <c r="E628" s="52">
        <v>46003.982638888891</v>
      </c>
      <c r="F628" s="52">
        <v>46004.003472222219</v>
      </c>
      <c r="G628" s="53">
        <f t="shared" si="34"/>
        <v>2.0833333328482695E-2</v>
      </c>
      <c r="H628" s="1" t="s">
        <v>257</v>
      </c>
      <c r="J628" s="1" t="s">
        <v>258</v>
      </c>
      <c r="K628" s="1" t="str">
        <f>_xlfn.XLOOKUP(J628,REF!$D$2:$D$12,REF!$E$2:$E$12)</f>
        <v>Rede</v>
      </c>
      <c r="L628" s="1" t="s">
        <v>2153</v>
      </c>
      <c r="M628" s="1" t="s">
        <v>260</v>
      </c>
      <c r="N628" s="1" t="s">
        <v>357</v>
      </c>
      <c r="O628" s="1" t="s">
        <v>632</v>
      </c>
      <c r="P628" s="1" t="str">
        <f t="shared" si="32"/>
        <v>ARAGUATINS 2.1Inverter(MBUS-1)46003,982638888946003,982638888946004,0034722222</v>
      </c>
      <c r="Q628" s="1" t="str">
        <f t="shared" si="33"/>
        <v>DAURDE</v>
      </c>
    </row>
    <row r="629" spans="2:17" hidden="1">
      <c r="B629" s="1" t="s">
        <v>312</v>
      </c>
      <c r="C629" s="1" t="s">
        <v>307</v>
      </c>
      <c r="D629" s="52">
        <v>46003.982638888891</v>
      </c>
      <c r="E629" s="52">
        <v>46003.982638888891</v>
      </c>
      <c r="F629" s="52">
        <v>46004.003472222219</v>
      </c>
      <c r="G629" s="53">
        <f t="shared" si="34"/>
        <v>2.0833333328482695E-2</v>
      </c>
      <c r="H629" s="1" t="s">
        <v>257</v>
      </c>
      <c r="J629" s="1" t="s">
        <v>258</v>
      </c>
      <c r="K629" s="1" t="str">
        <f>_xlfn.XLOOKUP(J629,REF!$D$2:$D$12,REF!$E$2:$E$12)</f>
        <v>Rede</v>
      </c>
      <c r="L629" s="1" t="s">
        <v>2153</v>
      </c>
      <c r="M629" s="1" t="s">
        <v>260</v>
      </c>
      <c r="N629" s="1" t="s">
        <v>357</v>
      </c>
      <c r="O629" s="1" t="s">
        <v>632</v>
      </c>
      <c r="P629" s="1" t="str">
        <f t="shared" si="32"/>
        <v>ARAGUATINS 2.2Inverter(MBUS-15)46003,982638888946003,982638888946004,0034722222</v>
      </c>
      <c r="Q629" s="1" t="str">
        <f t="shared" si="33"/>
        <v>DAURDE</v>
      </c>
    </row>
    <row r="630" spans="2:17" hidden="1">
      <c r="B630" s="1" t="s">
        <v>312</v>
      </c>
      <c r="C630" s="1" t="s">
        <v>264</v>
      </c>
      <c r="D630" s="52">
        <v>46003.982638888891</v>
      </c>
      <c r="E630" s="52">
        <v>46003.982638888891</v>
      </c>
      <c r="F630" s="52">
        <v>46004.003472222219</v>
      </c>
      <c r="G630" s="53">
        <f t="shared" si="34"/>
        <v>2.0833333328482695E-2</v>
      </c>
      <c r="H630" s="1" t="s">
        <v>257</v>
      </c>
      <c r="J630" s="1" t="s">
        <v>258</v>
      </c>
      <c r="K630" s="1" t="str">
        <f>_xlfn.XLOOKUP(J630,REF!$D$2:$D$12,REF!$E$2:$E$12)</f>
        <v>Rede</v>
      </c>
      <c r="L630" s="1" t="s">
        <v>2153</v>
      </c>
      <c r="M630" s="1" t="s">
        <v>260</v>
      </c>
      <c r="N630" s="1" t="s">
        <v>357</v>
      </c>
      <c r="O630" s="1" t="s">
        <v>632</v>
      </c>
      <c r="P630" s="1" t="str">
        <f t="shared" si="32"/>
        <v>ARAGUATINS 2.2Inverter(MBUS-13)46003,982638888946003,982638888946004,0034722222</v>
      </c>
      <c r="Q630" s="1" t="str">
        <f t="shared" si="33"/>
        <v>DAURDE</v>
      </c>
    </row>
    <row r="631" spans="2:17" hidden="1">
      <c r="B631" s="1" t="s">
        <v>312</v>
      </c>
      <c r="C631" s="1" t="s">
        <v>263</v>
      </c>
      <c r="D631" s="52">
        <v>46003.982638888891</v>
      </c>
      <c r="E631" s="52">
        <v>46003.982638888891</v>
      </c>
      <c r="F631" s="52">
        <v>46004.003472222219</v>
      </c>
      <c r="G631" s="53">
        <f t="shared" si="34"/>
        <v>2.0833333328482695E-2</v>
      </c>
      <c r="H631" s="1" t="s">
        <v>257</v>
      </c>
      <c r="J631" s="1" t="s">
        <v>258</v>
      </c>
      <c r="K631" s="1" t="str">
        <f>_xlfn.XLOOKUP(J631,REF!$D$2:$D$12,REF!$E$2:$E$12)</f>
        <v>Rede</v>
      </c>
      <c r="L631" s="1" t="s">
        <v>2153</v>
      </c>
      <c r="M631" s="1" t="s">
        <v>260</v>
      </c>
      <c r="N631" s="1" t="s">
        <v>357</v>
      </c>
      <c r="O631" s="1" t="s">
        <v>632</v>
      </c>
      <c r="P631" s="1" t="str">
        <f t="shared" si="32"/>
        <v>ARAGUATINS 2.2Inverter(MBUS-14)46003,982638888946003,982638888946004,0034722222</v>
      </c>
      <c r="Q631" s="1" t="str">
        <f t="shared" si="33"/>
        <v>DAURDE</v>
      </c>
    </row>
    <row r="632" spans="2:17" hidden="1">
      <c r="B632" s="1" t="s">
        <v>312</v>
      </c>
      <c r="C632" s="1" t="s">
        <v>256</v>
      </c>
      <c r="D632" s="52">
        <v>46003.982638888891</v>
      </c>
      <c r="E632" s="52">
        <v>46003.982638888891</v>
      </c>
      <c r="F632" s="52">
        <v>46004.003472222219</v>
      </c>
      <c r="G632" s="53">
        <f t="shared" si="34"/>
        <v>2.0833333328482695E-2</v>
      </c>
      <c r="H632" s="1" t="s">
        <v>257</v>
      </c>
      <c r="J632" s="1" t="s">
        <v>258</v>
      </c>
      <c r="K632" s="1" t="str">
        <f>_xlfn.XLOOKUP(J632,REF!$D$2:$D$12,REF!$E$2:$E$12)</f>
        <v>Rede</v>
      </c>
      <c r="L632" s="1" t="s">
        <v>2153</v>
      </c>
      <c r="M632" s="1" t="s">
        <v>260</v>
      </c>
      <c r="N632" s="1" t="s">
        <v>357</v>
      </c>
      <c r="O632" s="1" t="s">
        <v>632</v>
      </c>
      <c r="P632" s="1" t="str">
        <f t="shared" si="32"/>
        <v>ARAGUATINS 2.2Inverter(MBUS-12)46003,982638888946003,982638888946004,0034722222</v>
      </c>
      <c r="Q632" s="1" t="str">
        <f t="shared" si="33"/>
        <v>DAURDE</v>
      </c>
    </row>
    <row r="633" spans="2:17" hidden="1">
      <c r="B633" s="1" t="s">
        <v>313</v>
      </c>
      <c r="C633" s="1" t="s">
        <v>256</v>
      </c>
      <c r="D633" s="52">
        <v>46003.982638888891</v>
      </c>
      <c r="E633" s="52">
        <v>46003.982638888891</v>
      </c>
      <c r="F633" s="52">
        <v>46004.003472222219</v>
      </c>
      <c r="G633" s="53">
        <f t="shared" si="34"/>
        <v>2.0833333328482695E-2</v>
      </c>
      <c r="H633" s="1" t="s">
        <v>257</v>
      </c>
      <c r="J633" s="1" t="s">
        <v>258</v>
      </c>
      <c r="K633" s="1" t="str">
        <f>_xlfn.XLOOKUP(J633,REF!$D$2:$D$12,REF!$E$2:$E$12)</f>
        <v>Rede</v>
      </c>
      <c r="L633" s="1" t="s">
        <v>2153</v>
      </c>
      <c r="M633" s="1" t="s">
        <v>260</v>
      </c>
      <c r="N633" s="1" t="s">
        <v>357</v>
      </c>
      <c r="O633" s="1" t="s">
        <v>632</v>
      </c>
      <c r="P633" s="1" t="str">
        <f t="shared" si="32"/>
        <v>ARAGUATINS 2.3Inverter(MBUS-12)46003,982638888946003,982638888946004,0034722222</v>
      </c>
      <c r="Q633" s="1" t="str">
        <f t="shared" si="33"/>
        <v>DAURDE</v>
      </c>
    </row>
    <row r="634" spans="2:17" hidden="1">
      <c r="B634" s="1" t="s">
        <v>313</v>
      </c>
      <c r="C634" s="1" t="s">
        <v>264</v>
      </c>
      <c r="D634" s="52">
        <v>46003.982638888891</v>
      </c>
      <c r="E634" s="52">
        <v>46003.982638888891</v>
      </c>
      <c r="F634" s="52">
        <v>46004.003472222219</v>
      </c>
      <c r="G634" s="53">
        <f t="shared" si="34"/>
        <v>2.0833333328482695E-2</v>
      </c>
      <c r="H634" s="1" t="s">
        <v>257</v>
      </c>
      <c r="J634" s="1" t="s">
        <v>258</v>
      </c>
      <c r="K634" s="1" t="str">
        <f>_xlfn.XLOOKUP(J634,REF!$D$2:$D$12,REF!$E$2:$E$12)</f>
        <v>Rede</v>
      </c>
      <c r="L634" s="1" t="s">
        <v>2153</v>
      </c>
      <c r="M634" s="1" t="s">
        <v>260</v>
      </c>
      <c r="N634" s="1" t="s">
        <v>357</v>
      </c>
      <c r="O634" s="1" t="s">
        <v>632</v>
      </c>
      <c r="P634" s="1" t="str">
        <f t="shared" si="32"/>
        <v>ARAGUATINS 2.3Inverter(MBUS-13)46003,982638888946003,982638888946004,0034722222</v>
      </c>
      <c r="Q634" s="1" t="str">
        <f t="shared" si="33"/>
        <v>DAURDE</v>
      </c>
    </row>
    <row r="635" spans="2:17" hidden="1">
      <c r="B635" s="1" t="s">
        <v>2113</v>
      </c>
      <c r="C635" s="1" t="s">
        <v>322</v>
      </c>
      <c r="D635" s="52">
        <v>46008.486111111109</v>
      </c>
      <c r="E635" s="52">
        <v>46008.486111111109</v>
      </c>
      <c r="F635" s="52">
        <v>46008.503472222219</v>
      </c>
      <c r="G635" s="53">
        <f t="shared" si="34"/>
        <v>1.7361111109494232E-2</v>
      </c>
      <c r="H635" s="1" t="s">
        <v>257</v>
      </c>
      <c r="J635" s="1" t="s">
        <v>258</v>
      </c>
      <c r="K635" s="1" t="str">
        <f>_xlfn.XLOOKUP(J635,REF!$D$2:$D$12,REF!$E$2:$E$12)</f>
        <v>Rede</v>
      </c>
      <c r="L635" s="1" t="s">
        <v>541</v>
      </c>
      <c r="M635" s="1" t="s">
        <v>260</v>
      </c>
      <c r="N635" s="1" t="s">
        <v>357</v>
      </c>
      <c r="O635" s="1" t="s">
        <v>632</v>
      </c>
      <c r="P635" s="1" t="str">
        <f t="shared" si="32"/>
        <v>Araçu IVSG75CX(COM1-018)_001_01846008,486111111146008,486111111146008,5034722222</v>
      </c>
      <c r="Q635" s="1" t="str">
        <f t="shared" si="33"/>
        <v>DAURDE</v>
      </c>
    </row>
    <row r="636" spans="2:17" hidden="1">
      <c r="B636" s="1" t="s">
        <v>2113</v>
      </c>
      <c r="C636" s="1" t="s">
        <v>324</v>
      </c>
      <c r="D636" s="52">
        <v>46008.486111111109</v>
      </c>
      <c r="E636" s="52">
        <v>46008.486111111109</v>
      </c>
      <c r="F636" s="52">
        <v>46008.503472222219</v>
      </c>
      <c r="G636" s="53">
        <f t="shared" ref="G636:G699" si="35">F636-E636</f>
        <v>1.7361111109494232E-2</v>
      </c>
      <c r="H636" s="1" t="s">
        <v>257</v>
      </c>
      <c r="J636" s="1" t="s">
        <v>258</v>
      </c>
      <c r="K636" s="1" t="str">
        <f>_xlfn.XLOOKUP(J636,REF!$D$2:$D$12,REF!$E$2:$E$12)</f>
        <v>Rede</v>
      </c>
      <c r="L636" s="1" t="s">
        <v>541</v>
      </c>
      <c r="M636" s="1" t="s">
        <v>260</v>
      </c>
      <c r="N636" s="1" t="s">
        <v>357</v>
      </c>
      <c r="O636" s="1" t="s">
        <v>632</v>
      </c>
      <c r="P636" s="1" t="str">
        <f t="shared" si="32"/>
        <v>Araçu IVSG75CX(COM1-019)_001_01946008,486111111146008,486111111146008,5034722222</v>
      </c>
      <c r="Q636" s="1" t="str">
        <f t="shared" si="33"/>
        <v>DAURDE</v>
      </c>
    </row>
    <row r="637" spans="2:17" hidden="1">
      <c r="B637" s="1" t="s">
        <v>2113</v>
      </c>
      <c r="C637" s="1" t="s">
        <v>325</v>
      </c>
      <c r="D637" s="52">
        <v>46008.486111111109</v>
      </c>
      <c r="E637" s="52">
        <v>46008.486111111109</v>
      </c>
      <c r="F637" s="52">
        <v>46008.503472222219</v>
      </c>
      <c r="G637" s="53">
        <f t="shared" si="35"/>
        <v>1.7361111109494232E-2</v>
      </c>
      <c r="H637" s="1" t="s">
        <v>257</v>
      </c>
      <c r="J637" s="1" t="s">
        <v>258</v>
      </c>
      <c r="K637" s="1" t="str">
        <f>_xlfn.XLOOKUP(J637,REF!$D$2:$D$12,REF!$E$2:$E$12)</f>
        <v>Rede</v>
      </c>
      <c r="L637" s="1" t="s">
        <v>541</v>
      </c>
      <c r="M637" s="1" t="s">
        <v>260</v>
      </c>
      <c r="N637" s="1" t="s">
        <v>357</v>
      </c>
      <c r="O637" s="1" t="s">
        <v>632</v>
      </c>
      <c r="P637" s="1" t="str">
        <f t="shared" si="32"/>
        <v>Araçu IVSG75CX(COM1-020)_001_02046008,486111111146008,486111111146008,5034722222</v>
      </c>
      <c r="Q637" s="1" t="str">
        <f t="shared" si="33"/>
        <v>DAURDE</v>
      </c>
    </row>
    <row r="638" spans="2:17" hidden="1">
      <c r="B638" s="1" t="s">
        <v>2113</v>
      </c>
      <c r="C638" s="1" t="s">
        <v>326</v>
      </c>
      <c r="D638" s="52">
        <v>46008.486111111109</v>
      </c>
      <c r="E638" s="52">
        <v>46008.486111111109</v>
      </c>
      <c r="F638" s="52">
        <v>46008.503472222219</v>
      </c>
      <c r="G638" s="53">
        <f t="shared" si="35"/>
        <v>1.7361111109494232E-2</v>
      </c>
      <c r="H638" s="1" t="s">
        <v>257</v>
      </c>
      <c r="J638" s="1" t="s">
        <v>258</v>
      </c>
      <c r="K638" s="1" t="str">
        <f>_xlfn.XLOOKUP(J638,REF!$D$2:$D$12,REF!$E$2:$E$12)</f>
        <v>Rede</v>
      </c>
      <c r="L638" s="1" t="s">
        <v>541</v>
      </c>
      <c r="M638" s="1" t="s">
        <v>260</v>
      </c>
      <c r="N638" s="1" t="s">
        <v>357</v>
      </c>
      <c r="O638" s="1" t="s">
        <v>632</v>
      </c>
      <c r="P638" s="1" t="str">
        <f t="shared" si="32"/>
        <v>Araçu IVSG75CX(COM1-021)_001_02146008,486111111146008,486111111146008,5034722222</v>
      </c>
      <c r="Q638" s="1" t="str">
        <f t="shared" si="33"/>
        <v>DAURDE</v>
      </c>
    </row>
    <row r="639" spans="2:17" hidden="1">
      <c r="B639" s="1" t="s">
        <v>255</v>
      </c>
      <c r="C639" s="1" t="s">
        <v>256</v>
      </c>
      <c r="D639" s="52">
        <v>46009.364583333336</v>
      </c>
      <c r="E639" s="52">
        <v>46009.364583333336</v>
      </c>
      <c r="F639" s="52">
        <v>46009.38958333333</v>
      </c>
      <c r="G639" s="53">
        <f t="shared" si="35"/>
        <v>2.4999999994179234E-2</v>
      </c>
      <c r="H639" s="1" t="s">
        <v>257</v>
      </c>
      <c r="J639" s="1" t="s">
        <v>258</v>
      </c>
      <c r="K639" s="1" t="str">
        <f>_xlfn.XLOOKUP(J639,REF!$D$2:$D$12,REF!$E$2:$E$12)</f>
        <v>Rede</v>
      </c>
      <c r="L639" s="1" t="s">
        <v>2089</v>
      </c>
      <c r="M639" s="1" t="s">
        <v>260</v>
      </c>
      <c r="N639" s="1" t="s">
        <v>261</v>
      </c>
      <c r="O639" s="1" t="s">
        <v>2090</v>
      </c>
      <c r="P639" s="1" t="str">
        <f t="shared" si="32"/>
        <v>BC Formoso2.1Inverter(MBUS-12)46009,364583333346009,364583333346009,3895833333</v>
      </c>
      <c r="Q639" s="1" t="str">
        <f t="shared" si="33"/>
        <v>DAURDE</v>
      </c>
    </row>
    <row r="640" spans="2:17" hidden="1">
      <c r="B640" s="1" t="s">
        <v>255</v>
      </c>
      <c r="C640" s="1" t="s">
        <v>263</v>
      </c>
      <c r="D640" s="52">
        <v>46009.364583333336</v>
      </c>
      <c r="E640" s="52">
        <v>46009.364583333336</v>
      </c>
      <c r="F640" s="52">
        <v>46009.38958333333</v>
      </c>
      <c r="G640" s="53">
        <f t="shared" si="35"/>
        <v>2.4999999994179234E-2</v>
      </c>
      <c r="H640" s="1" t="s">
        <v>257</v>
      </c>
      <c r="J640" s="1" t="s">
        <v>258</v>
      </c>
      <c r="K640" s="1" t="str">
        <f>_xlfn.XLOOKUP(J640,REF!$D$2:$D$12,REF!$E$2:$E$12)</f>
        <v>Rede</v>
      </c>
      <c r="L640" s="1" t="s">
        <v>2089</v>
      </c>
      <c r="M640" s="1" t="s">
        <v>260</v>
      </c>
      <c r="N640" s="1" t="s">
        <v>261</v>
      </c>
      <c r="O640" s="1" t="s">
        <v>2090</v>
      </c>
      <c r="P640" s="1" t="str">
        <f t="shared" si="32"/>
        <v>BC Formoso2.1Inverter(MBUS-14)46009,364583333346009,364583333346009,3895833333</v>
      </c>
      <c r="Q640" s="1" t="str">
        <f t="shared" si="33"/>
        <v>DAURDE</v>
      </c>
    </row>
    <row r="641" spans="2:17" hidden="1">
      <c r="B641" s="1" t="s">
        <v>255</v>
      </c>
      <c r="C641" s="1" t="s">
        <v>264</v>
      </c>
      <c r="D641" s="52">
        <v>46009.364583333336</v>
      </c>
      <c r="E641" s="52">
        <v>46009.364583333336</v>
      </c>
      <c r="F641" s="52">
        <v>46009.38958333333</v>
      </c>
      <c r="G641" s="53">
        <f t="shared" si="35"/>
        <v>2.4999999994179234E-2</v>
      </c>
      <c r="H641" s="1" t="s">
        <v>257</v>
      </c>
      <c r="J641" s="1" t="s">
        <v>258</v>
      </c>
      <c r="K641" s="1" t="str">
        <f>_xlfn.XLOOKUP(J641,REF!$D$2:$D$12,REF!$E$2:$E$12)</f>
        <v>Rede</v>
      </c>
      <c r="L641" s="1" t="s">
        <v>2089</v>
      </c>
      <c r="M641" s="1" t="s">
        <v>260</v>
      </c>
      <c r="N641" s="1" t="s">
        <v>261</v>
      </c>
      <c r="O641" s="1" t="s">
        <v>2090</v>
      </c>
      <c r="P641" s="1" t="str">
        <f t="shared" si="32"/>
        <v>BC Formoso2.1Inverter(MBUS-13)46009,364583333346009,364583333346009,3895833333</v>
      </c>
      <c r="Q641" s="1" t="str">
        <f t="shared" si="33"/>
        <v>DAURDE</v>
      </c>
    </row>
    <row r="642" spans="2:17" hidden="1">
      <c r="B642" s="1" t="s">
        <v>255</v>
      </c>
      <c r="C642" s="1" t="s">
        <v>247</v>
      </c>
      <c r="D642" s="52">
        <v>46009.364583333336</v>
      </c>
      <c r="E642" s="52">
        <v>46009.364583333336</v>
      </c>
      <c r="F642" s="52">
        <v>46009.38958333333</v>
      </c>
      <c r="G642" s="53">
        <f t="shared" si="35"/>
        <v>2.4999999994179234E-2</v>
      </c>
      <c r="H642" s="1" t="s">
        <v>257</v>
      </c>
      <c r="J642" s="1" t="s">
        <v>258</v>
      </c>
      <c r="K642" s="1" t="str">
        <f>_xlfn.XLOOKUP(J642,REF!$D$2:$D$12,REF!$E$2:$E$12)</f>
        <v>Rede</v>
      </c>
      <c r="L642" s="1" t="s">
        <v>2089</v>
      </c>
      <c r="M642" s="1" t="s">
        <v>260</v>
      </c>
      <c r="N642" s="1" t="s">
        <v>261</v>
      </c>
      <c r="O642" s="1" t="s">
        <v>2090</v>
      </c>
      <c r="P642" s="1" t="str">
        <f t="shared" si="32"/>
        <v>BC Formoso2.1Inverter(MBUS-1)46009,364583333346009,364583333346009,3895833333</v>
      </c>
      <c r="Q642" s="1" t="str">
        <f t="shared" si="33"/>
        <v>DAURDE</v>
      </c>
    </row>
    <row r="643" spans="2:17" hidden="1">
      <c r="B643" s="1" t="s">
        <v>265</v>
      </c>
      <c r="C643" s="1" t="s">
        <v>263</v>
      </c>
      <c r="D643" s="52">
        <v>46009.364583333336</v>
      </c>
      <c r="E643" s="52">
        <v>46009.364583333336</v>
      </c>
      <c r="F643" s="52">
        <v>46009.38958333333</v>
      </c>
      <c r="G643" s="53">
        <f t="shared" si="35"/>
        <v>2.4999999994179234E-2</v>
      </c>
      <c r="H643" s="1" t="s">
        <v>257</v>
      </c>
      <c r="J643" s="1" t="s">
        <v>258</v>
      </c>
      <c r="K643" s="1" t="str">
        <f>_xlfn.XLOOKUP(J643,REF!$D$2:$D$12,REF!$E$2:$E$12)</f>
        <v>Rede</v>
      </c>
      <c r="L643" s="1" t="s">
        <v>2089</v>
      </c>
      <c r="M643" s="1" t="s">
        <v>260</v>
      </c>
      <c r="N643" s="1" t="s">
        <v>261</v>
      </c>
      <c r="O643" s="1" t="s">
        <v>2090</v>
      </c>
      <c r="P643" s="1" t="str">
        <f t="shared" ref="P643:P706" si="36">_xlfn.CONCAT(B643,C643,D643,E643,F643)</f>
        <v>BC Formoso2.2Inverter(MBUS-14)46009,364583333346009,364583333346009,3895833333</v>
      </c>
      <c r="Q643" s="1" t="str">
        <f t="shared" ref="Q643:Q706" si="37">_xlfn.CONCAT(H643,I643,J643)</f>
        <v>DAURDE</v>
      </c>
    </row>
    <row r="644" spans="2:17" hidden="1">
      <c r="B644" s="1" t="s">
        <v>265</v>
      </c>
      <c r="C644" s="1" t="s">
        <v>264</v>
      </c>
      <c r="D644" s="52">
        <v>46009.364583333336</v>
      </c>
      <c r="E644" s="52">
        <v>46009.364583333336</v>
      </c>
      <c r="F644" s="52">
        <v>46009.38958333333</v>
      </c>
      <c r="G644" s="53">
        <f t="shared" si="35"/>
        <v>2.4999999994179234E-2</v>
      </c>
      <c r="H644" s="1" t="s">
        <v>257</v>
      </c>
      <c r="J644" s="1" t="s">
        <v>258</v>
      </c>
      <c r="K644" s="1" t="str">
        <f>_xlfn.XLOOKUP(J644,REF!$D$2:$D$12,REF!$E$2:$E$12)</f>
        <v>Rede</v>
      </c>
      <c r="L644" s="1" t="s">
        <v>2089</v>
      </c>
      <c r="M644" s="1" t="s">
        <v>260</v>
      </c>
      <c r="N644" s="1" t="s">
        <v>261</v>
      </c>
      <c r="O644" s="1" t="s">
        <v>2090</v>
      </c>
      <c r="P644" s="1" t="str">
        <f t="shared" si="36"/>
        <v>BC Formoso2.2Inverter(MBUS-13)46009,364583333346009,364583333346009,3895833333</v>
      </c>
      <c r="Q644" s="1" t="str">
        <f t="shared" si="37"/>
        <v>DAURDE</v>
      </c>
    </row>
    <row r="645" spans="2:17" hidden="1">
      <c r="B645" s="1" t="s">
        <v>265</v>
      </c>
      <c r="C645" s="1" t="s">
        <v>256</v>
      </c>
      <c r="D645" s="52">
        <v>46009.364583333336</v>
      </c>
      <c r="E645" s="52">
        <v>46009.364583333336</v>
      </c>
      <c r="F645" s="52">
        <v>46009.38958333333</v>
      </c>
      <c r="G645" s="53">
        <f t="shared" si="35"/>
        <v>2.4999999994179234E-2</v>
      </c>
      <c r="H645" s="1" t="s">
        <v>257</v>
      </c>
      <c r="J645" s="1" t="s">
        <v>258</v>
      </c>
      <c r="K645" s="1" t="str">
        <f>_xlfn.XLOOKUP(J645,REF!$D$2:$D$12,REF!$E$2:$E$12)</f>
        <v>Rede</v>
      </c>
      <c r="L645" s="1" t="s">
        <v>2089</v>
      </c>
      <c r="M645" s="1" t="s">
        <v>260</v>
      </c>
      <c r="N645" s="1" t="s">
        <v>261</v>
      </c>
      <c r="O645" s="1" t="s">
        <v>2090</v>
      </c>
      <c r="P645" s="1" t="str">
        <f t="shared" si="36"/>
        <v>BC Formoso2.2Inverter(MBUS-12)46009,364583333346009,364583333346009,3895833333</v>
      </c>
      <c r="Q645" s="1" t="str">
        <f t="shared" si="37"/>
        <v>DAURDE</v>
      </c>
    </row>
    <row r="646" spans="2:17" hidden="1">
      <c r="B646" s="1" t="s">
        <v>265</v>
      </c>
      <c r="C646" s="1" t="s">
        <v>247</v>
      </c>
      <c r="D646" s="52">
        <v>46009.364583333336</v>
      </c>
      <c r="E646" s="52">
        <v>46009.364583333336</v>
      </c>
      <c r="F646" s="52">
        <v>46009.38958333333</v>
      </c>
      <c r="G646" s="53">
        <f t="shared" si="35"/>
        <v>2.4999999994179234E-2</v>
      </c>
      <c r="H646" s="1" t="s">
        <v>257</v>
      </c>
      <c r="J646" s="1" t="s">
        <v>258</v>
      </c>
      <c r="K646" s="1" t="str">
        <f>_xlfn.XLOOKUP(J646,REF!$D$2:$D$12,REF!$E$2:$E$12)</f>
        <v>Rede</v>
      </c>
      <c r="L646" s="1" t="s">
        <v>2089</v>
      </c>
      <c r="M646" s="1" t="s">
        <v>260</v>
      </c>
      <c r="N646" s="1" t="s">
        <v>261</v>
      </c>
      <c r="O646" s="1" t="s">
        <v>2090</v>
      </c>
      <c r="P646" s="1" t="str">
        <f t="shared" si="36"/>
        <v>BC Formoso2.2Inverter(MBUS-1)46009,364583333346009,364583333346009,3895833333</v>
      </c>
      <c r="Q646" s="1" t="str">
        <f t="shared" si="37"/>
        <v>DAURDE</v>
      </c>
    </row>
    <row r="647" spans="2:17" hidden="1">
      <c r="B647" s="1" t="s">
        <v>355</v>
      </c>
      <c r="C647" s="1" t="s">
        <v>264</v>
      </c>
      <c r="D647" s="52">
        <v>46009.364583333336</v>
      </c>
      <c r="E647" s="52">
        <v>46009.364583333336</v>
      </c>
      <c r="F647" s="52">
        <v>46009.38958333333</v>
      </c>
      <c r="G647" s="53">
        <f t="shared" si="35"/>
        <v>2.4999999994179234E-2</v>
      </c>
      <c r="H647" s="1" t="s">
        <v>257</v>
      </c>
      <c r="J647" s="1" t="s">
        <v>258</v>
      </c>
      <c r="K647" s="1" t="str">
        <f>_xlfn.XLOOKUP(J647,REF!$D$2:$D$12,REF!$E$2:$E$12)</f>
        <v>Rede</v>
      </c>
      <c r="L647" s="1" t="s">
        <v>2089</v>
      </c>
      <c r="M647" s="1" t="s">
        <v>260</v>
      </c>
      <c r="N647" s="1" t="s">
        <v>261</v>
      </c>
      <c r="O647" s="1" t="s">
        <v>2090</v>
      </c>
      <c r="P647" s="1" t="str">
        <f t="shared" si="36"/>
        <v>BC Formoso2.3Inverter(MBUS-13)46009,364583333346009,364583333346009,3895833333</v>
      </c>
      <c r="Q647" s="1" t="str">
        <f t="shared" si="37"/>
        <v>DAURDE</v>
      </c>
    </row>
    <row r="648" spans="2:17" hidden="1">
      <c r="B648" s="1" t="s">
        <v>355</v>
      </c>
      <c r="C648" s="1" t="s">
        <v>256</v>
      </c>
      <c r="D648" s="52">
        <v>46009.364583333336</v>
      </c>
      <c r="E648" s="52">
        <v>46009.364583333336</v>
      </c>
      <c r="F648" s="52">
        <v>46009.38958333333</v>
      </c>
      <c r="G648" s="53">
        <f t="shared" si="35"/>
        <v>2.4999999994179234E-2</v>
      </c>
      <c r="H648" s="1" t="s">
        <v>257</v>
      </c>
      <c r="J648" s="1" t="s">
        <v>258</v>
      </c>
      <c r="K648" s="1" t="str">
        <f>_xlfn.XLOOKUP(J648,REF!$D$2:$D$12,REF!$E$2:$E$12)</f>
        <v>Rede</v>
      </c>
      <c r="L648" s="1" t="s">
        <v>2089</v>
      </c>
      <c r="M648" s="1" t="s">
        <v>260</v>
      </c>
      <c r="N648" s="1" t="s">
        <v>261</v>
      </c>
      <c r="O648" s="1" t="s">
        <v>2090</v>
      </c>
      <c r="P648" s="1" t="str">
        <f t="shared" si="36"/>
        <v>BC Formoso2.3Inverter(MBUS-12)46009,364583333346009,364583333346009,3895833333</v>
      </c>
      <c r="Q648" s="1" t="str">
        <f t="shared" si="37"/>
        <v>DAURDE</v>
      </c>
    </row>
    <row r="649" spans="2:17" hidden="1">
      <c r="B649" s="1" t="s">
        <v>255</v>
      </c>
      <c r="C649" s="1" t="s">
        <v>256</v>
      </c>
      <c r="D649" s="52">
        <v>46009.875</v>
      </c>
      <c r="E649" s="52">
        <v>46009.875</v>
      </c>
      <c r="F649" s="52">
        <v>46010.305555555555</v>
      </c>
      <c r="G649" s="53">
        <f t="shared" si="35"/>
        <v>0.43055555555474712</v>
      </c>
      <c r="H649" s="1" t="s">
        <v>257</v>
      </c>
      <c r="J649" s="1" t="s">
        <v>258</v>
      </c>
      <c r="K649" s="1" t="str">
        <f>_xlfn.XLOOKUP(J649,REF!$D$2:$D$12,REF!$E$2:$E$12)</f>
        <v>Rede</v>
      </c>
      <c r="L649" s="1" t="s">
        <v>2116</v>
      </c>
      <c r="M649" s="1" t="s">
        <v>260</v>
      </c>
      <c r="N649" s="1" t="s">
        <v>261</v>
      </c>
      <c r="O649" s="1" t="s">
        <v>2090</v>
      </c>
      <c r="P649" s="1" t="str">
        <f t="shared" si="36"/>
        <v>BC Formoso2.1Inverter(MBUS-12)46009,87546009,87546010,3055555556</v>
      </c>
      <c r="Q649" s="1" t="str">
        <f t="shared" si="37"/>
        <v>DAURDE</v>
      </c>
    </row>
    <row r="650" spans="2:17" hidden="1">
      <c r="B650" s="1" t="s">
        <v>255</v>
      </c>
      <c r="C650" s="1" t="s">
        <v>263</v>
      </c>
      <c r="D650" s="52">
        <v>46009.875</v>
      </c>
      <c r="E650" s="52">
        <v>46009.875</v>
      </c>
      <c r="F650" s="52">
        <v>46010.305555555555</v>
      </c>
      <c r="G650" s="53">
        <f t="shared" si="35"/>
        <v>0.43055555555474712</v>
      </c>
      <c r="H650" s="1" t="s">
        <v>257</v>
      </c>
      <c r="J650" s="1" t="s">
        <v>258</v>
      </c>
      <c r="K650" s="1" t="str">
        <f>_xlfn.XLOOKUP(J650,REF!$D$2:$D$12,REF!$E$2:$E$12)</f>
        <v>Rede</v>
      </c>
      <c r="L650" s="1" t="s">
        <v>2116</v>
      </c>
      <c r="M650" s="1" t="s">
        <v>260</v>
      </c>
      <c r="N650" s="1" t="s">
        <v>261</v>
      </c>
      <c r="O650" s="1" t="s">
        <v>2090</v>
      </c>
      <c r="P650" s="1" t="str">
        <f t="shared" si="36"/>
        <v>BC Formoso2.1Inverter(MBUS-14)46009,87546009,87546010,3055555556</v>
      </c>
      <c r="Q650" s="1" t="str">
        <f t="shared" si="37"/>
        <v>DAURDE</v>
      </c>
    </row>
    <row r="651" spans="2:17" hidden="1">
      <c r="B651" s="1" t="s">
        <v>255</v>
      </c>
      <c r="C651" s="1" t="s">
        <v>264</v>
      </c>
      <c r="D651" s="52">
        <v>46009.875</v>
      </c>
      <c r="E651" s="52">
        <v>46009.875</v>
      </c>
      <c r="F651" s="52">
        <v>46010.305555555555</v>
      </c>
      <c r="G651" s="53">
        <f t="shared" si="35"/>
        <v>0.43055555555474712</v>
      </c>
      <c r="H651" s="1" t="s">
        <v>257</v>
      </c>
      <c r="J651" s="1" t="s">
        <v>258</v>
      </c>
      <c r="K651" s="1" t="str">
        <f>_xlfn.XLOOKUP(J651,REF!$D$2:$D$12,REF!$E$2:$E$12)</f>
        <v>Rede</v>
      </c>
      <c r="L651" s="1" t="s">
        <v>2116</v>
      </c>
      <c r="M651" s="1" t="s">
        <v>260</v>
      </c>
      <c r="N651" s="1" t="s">
        <v>261</v>
      </c>
      <c r="O651" s="1" t="s">
        <v>2090</v>
      </c>
      <c r="P651" s="1" t="str">
        <f t="shared" si="36"/>
        <v>BC Formoso2.1Inverter(MBUS-13)46009,87546009,87546010,3055555556</v>
      </c>
      <c r="Q651" s="1" t="str">
        <f t="shared" si="37"/>
        <v>DAURDE</v>
      </c>
    </row>
    <row r="652" spans="2:17" hidden="1">
      <c r="B652" s="1" t="s">
        <v>255</v>
      </c>
      <c r="C652" s="1" t="s">
        <v>247</v>
      </c>
      <c r="D652" s="52">
        <v>46009.875</v>
      </c>
      <c r="E652" s="52">
        <v>46009.875</v>
      </c>
      <c r="F652" s="52">
        <v>46010.305555555555</v>
      </c>
      <c r="G652" s="53">
        <f t="shared" si="35"/>
        <v>0.43055555555474712</v>
      </c>
      <c r="H652" s="1" t="s">
        <v>257</v>
      </c>
      <c r="J652" s="1" t="s">
        <v>258</v>
      </c>
      <c r="K652" s="1" t="str">
        <f>_xlfn.XLOOKUP(J652,REF!$D$2:$D$12,REF!$E$2:$E$12)</f>
        <v>Rede</v>
      </c>
      <c r="L652" s="1" t="s">
        <v>2116</v>
      </c>
      <c r="M652" s="1" t="s">
        <v>260</v>
      </c>
      <c r="N652" s="1" t="s">
        <v>261</v>
      </c>
      <c r="O652" s="1" t="s">
        <v>2090</v>
      </c>
      <c r="P652" s="1" t="str">
        <f t="shared" si="36"/>
        <v>BC Formoso2.1Inverter(MBUS-1)46009,87546009,87546010,3055555556</v>
      </c>
      <c r="Q652" s="1" t="str">
        <f t="shared" si="37"/>
        <v>DAURDE</v>
      </c>
    </row>
    <row r="653" spans="2:17" hidden="1">
      <c r="B653" s="1" t="s">
        <v>265</v>
      </c>
      <c r="C653" s="1" t="s">
        <v>263</v>
      </c>
      <c r="D653" s="52">
        <v>46009.875</v>
      </c>
      <c r="E653" s="52">
        <v>46009.875</v>
      </c>
      <c r="F653" s="52">
        <v>46010.305555555555</v>
      </c>
      <c r="G653" s="53">
        <f t="shared" si="35"/>
        <v>0.43055555555474712</v>
      </c>
      <c r="H653" s="1" t="s">
        <v>257</v>
      </c>
      <c r="J653" s="1" t="s">
        <v>258</v>
      </c>
      <c r="K653" s="1" t="str">
        <f>_xlfn.XLOOKUP(J653,REF!$D$2:$D$12,REF!$E$2:$E$12)</f>
        <v>Rede</v>
      </c>
      <c r="L653" s="1" t="s">
        <v>2116</v>
      </c>
      <c r="M653" s="1" t="s">
        <v>260</v>
      </c>
      <c r="N653" s="1" t="s">
        <v>261</v>
      </c>
      <c r="O653" s="1" t="s">
        <v>2090</v>
      </c>
      <c r="P653" s="1" t="str">
        <f t="shared" si="36"/>
        <v>BC Formoso2.2Inverter(MBUS-14)46009,87546009,87546010,3055555556</v>
      </c>
      <c r="Q653" s="1" t="str">
        <f t="shared" si="37"/>
        <v>DAURDE</v>
      </c>
    </row>
    <row r="654" spans="2:17" hidden="1">
      <c r="B654" s="1" t="s">
        <v>265</v>
      </c>
      <c r="C654" s="1" t="s">
        <v>264</v>
      </c>
      <c r="D654" s="52">
        <v>46009.875</v>
      </c>
      <c r="E654" s="52">
        <v>46009.875</v>
      </c>
      <c r="F654" s="52">
        <v>46010.305555555555</v>
      </c>
      <c r="G654" s="53">
        <f t="shared" si="35"/>
        <v>0.43055555555474712</v>
      </c>
      <c r="H654" s="1" t="s">
        <v>257</v>
      </c>
      <c r="J654" s="1" t="s">
        <v>258</v>
      </c>
      <c r="K654" s="1" t="str">
        <f>_xlfn.XLOOKUP(J654,REF!$D$2:$D$12,REF!$E$2:$E$12)</f>
        <v>Rede</v>
      </c>
      <c r="L654" s="1" t="s">
        <v>2116</v>
      </c>
      <c r="M654" s="1" t="s">
        <v>260</v>
      </c>
      <c r="N654" s="1" t="s">
        <v>261</v>
      </c>
      <c r="O654" s="1" t="s">
        <v>2090</v>
      </c>
      <c r="P654" s="1" t="str">
        <f t="shared" si="36"/>
        <v>BC Formoso2.2Inverter(MBUS-13)46009,87546009,87546010,3055555556</v>
      </c>
      <c r="Q654" s="1" t="str">
        <f t="shared" si="37"/>
        <v>DAURDE</v>
      </c>
    </row>
    <row r="655" spans="2:17" hidden="1">
      <c r="B655" s="1" t="s">
        <v>265</v>
      </c>
      <c r="C655" s="1" t="s">
        <v>256</v>
      </c>
      <c r="D655" s="52">
        <v>46009.875</v>
      </c>
      <c r="E655" s="52">
        <v>46009.875</v>
      </c>
      <c r="F655" s="52">
        <v>46010.305555555555</v>
      </c>
      <c r="G655" s="53">
        <f t="shared" si="35"/>
        <v>0.43055555555474712</v>
      </c>
      <c r="H655" s="1" t="s">
        <v>257</v>
      </c>
      <c r="J655" s="1" t="s">
        <v>258</v>
      </c>
      <c r="K655" s="1" t="str">
        <f>_xlfn.XLOOKUP(J655,REF!$D$2:$D$12,REF!$E$2:$E$12)</f>
        <v>Rede</v>
      </c>
      <c r="L655" s="1" t="s">
        <v>2116</v>
      </c>
      <c r="M655" s="1" t="s">
        <v>260</v>
      </c>
      <c r="N655" s="1" t="s">
        <v>261</v>
      </c>
      <c r="O655" s="1" t="s">
        <v>2090</v>
      </c>
      <c r="P655" s="1" t="str">
        <f t="shared" si="36"/>
        <v>BC Formoso2.2Inverter(MBUS-12)46009,87546009,87546010,3055555556</v>
      </c>
      <c r="Q655" s="1" t="str">
        <f t="shared" si="37"/>
        <v>DAURDE</v>
      </c>
    </row>
    <row r="656" spans="2:17" hidden="1">
      <c r="B656" s="1" t="s">
        <v>265</v>
      </c>
      <c r="C656" s="1" t="s">
        <v>247</v>
      </c>
      <c r="D656" s="52">
        <v>46009.875</v>
      </c>
      <c r="E656" s="52">
        <v>46009.875</v>
      </c>
      <c r="F656" s="52">
        <v>46010.305555555555</v>
      </c>
      <c r="G656" s="53">
        <f t="shared" si="35"/>
        <v>0.43055555555474712</v>
      </c>
      <c r="H656" s="1" t="s">
        <v>257</v>
      </c>
      <c r="J656" s="1" t="s">
        <v>258</v>
      </c>
      <c r="K656" s="1" t="str">
        <f>_xlfn.XLOOKUP(J656,REF!$D$2:$D$12,REF!$E$2:$E$12)</f>
        <v>Rede</v>
      </c>
      <c r="L656" s="1" t="s">
        <v>2116</v>
      </c>
      <c r="M656" s="1" t="s">
        <v>260</v>
      </c>
      <c r="N656" s="1" t="s">
        <v>261</v>
      </c>
      <c r="O656" s="1" t="s">
        <v>2090</v>
      </c>
      <c r="P656" s="1" t="str">
        <f t="shared" si="36"/>
        <v>BC Formoso2.2Inverter(MBUS-1)46009,87546009,87546010,3055555556</v>
      </c>
      <c r="Q656" s="1" t="str">
        <f t="shared" si="37"/>
        <v>DAURDE</v>
      </c>
    </row>
    <row r="657" spans="2:17" hidden="1">
      <c r="B657" s="1" t="s">
        <v>355</v>
      </c>
      <c r="C657" s="1" t="s">
        <v>264</v>
      </c>
      <c r="D657" s="52">
        <v>46009.875</v>
      </c>
      <c r="E657" s="52">
        <v>46009.875</v>
      </c>
      <c r="F657" s="52">
        <v>46010.305555555555</v>
      </c>
      <c r="G657" s="53">
        <f t="shared" si="35"/>
        <v>0.43055555555474712</v>
      </c>
      <c r="H657" s="1" t="s">
        <v>257</v>
      </c>
      <c r="J657" s="1" t="s">
        <v>258</v>
      </c>
      <c r="K657" s="1" t="str">
        <f>_xlfn.XLOOKUP(J657,REF!$D$2:$D$12,REF!$E$2:$E$12)</f>
        <v>Rede</v>
      </c>
      <c r="L657" s="1" t="s">
        <v>2116</v>
      </c>
      <c r="M657" s="1" t="s">
        <v>260</v>
      </c>
      <c r="N657" s="1" t="s">
        <v>261</v>
      </c>
      <c r="O657" s="1" t="s">
        <v>2090</v>
      </c>
      <c r="P657" s="1" t="str">
        <f t="shared" si="36"/>
        <v>BC Formoso2.3Inverter(MBUS-13)46009,87546009,87546010,3055555556</v>
      </c>
      <c r="Q657" s="1" t="str">
        <f t="shared" si="37"/>
        <v>DAURDE</v>
      </c>
    </row>
    <row r="658" spans="2:17" hidden="1">
      <c r="B658" s="1" t="s">
        <v>355</v>
      </c>
      <c r="C658" s="1" t="s">
        <v>256</v>
      </c>
      <c r="D658" s="52">
        <v>46009.875</v>
      </c>
      <c r="E658" s="52">
        <v>46009.875</v>
      </c>
      <c r="F658" s="52">
        <v>46010.305555555555</v>
      </c>
      <c r="G658" s="53">
        <f t="shared" si="35"/>
        <v>0.43055555555474712</v>
      </c>
      <c r="H658" s="1" t="s">
        <v>257</v>
      </c>
      <c r="J658" s="1" t="s">
        <v>258</v>
      </c>
      <c r="K658" s="1" t="str">
        <f>_xlfn.XLOOKUP(J658,REF!$D$2:$D$12,REF!$E$2:$E$12)</f>
        <v>Rede</v>
      </c>
      <c r="L658" s="1" t="s">
        <v>2116</v>
      </c>
      <c r="M658" s="1" t="s">
        <v>260</v>
      </c>
      <c r="N658" s="1" t="s">
        <v>261</v>
      </c>
      <c r="O658" s="1" t="s">
        <v>2090</v>
      </c>
      <c r="P658" s="1" t="str">
        <f t="shared" si="36"/>
        <v>BC Formoso2.3Inverter(MBUS-12)46009,87546009,87546010,3055555556</v>
      </c>
      <c r="Q658" s="1" t="str">
        <f t="shared" si="37"/>
        <v>DAURDE</v>
      </c>
    </row>
    <row r="659" spans="2:17" hidden="1">
      <c r="B659" s="1" t="s">
        <v>305</v>
      </c>
      <c r="C659" s="1" t="s">
        <v>256</v>
      </c>
      <c r="D659" s="52">
        <v>46010.655555555553</v>
      </c>
      <c r="E659" s="52">
        <v>46010.655555555553</v>
      </c>
      <c r="F659" s="52">
        <v>46010.686805555553</v>
      </c>
      <c r="G659" s="53">
        <f t="shared" si="35"/>
        <v>3.125E-2</v>
      </c>
      <c r="H659" s="1" t="s">
        <v>257</v>
      </c>
      <c r="J659" s="1" t="s">
        <v>258</v>
      </c>
      <c r="K659" s="1" t="str">
        <f>_xlfn.XLOOKUP(J659,REF!$D$2:$D$12,REF!$E$2:$E$12)</f>
        <v>Rede</v>
      </c>
      <c r="L659" s="1" t="s">
        <v>2154</v>
      </c>
      <c r="M659" s="1" t="s">
        <v>260</v>
      </c>
      <c r="N659" s="1" t="s">
        <v>261</v>
      </c>
      <c r="O659" s="1" t="s">
        <v>2090</v>
      </c>
      <c r="P659" s="1" t="str">
        <f t="shared" si="36"/>
        <v>ARAGUATINS 1.1Inverter(MBUS-12)46010,655555555646010,655555555646010,6868055556</v>
      </c>
      <c r="Q659" s="1" t="str">
        <f t="shared" si="37"/>
        <v>DAURDE</v>
      </c>
    </row>
    <row r="660" spans="2:17" hidden="1">
      <c r="B660" s="1" t="s">
        <v>305</v>
      </c>
      <c r="C660" s="1" t="s">
        <v>264</v>
      </c>
      <c r="D660" s="52">
        <v>46010.655555555553</v>
      </c>
      <c r="E660" s="52">
        <v>46010.655555555553</v>
      </c>
      <c r="F660" s="52">
        <v>46010.686805555553</v>
      </c>
      <c r="G660" s="53">
        <f t="shared" si="35"/>
        <v>3.125E-2</v>
      </c>
      <c r="H660" s="1" t="s">
        <v>257</v>
      </c>
      <c r="J660" s="1" t="s">
        <v>258</v>
      </c>
      <c r="K660" s="1" t="str">
        <f>_xlfn.XLOOKUP(J660,REF!$D$2:$D$12,REF!$E$2:$E$12)</f>
        <v>Rede</v>
      </c>
      <c r="L660" s="1" t="s">
        <v>2154</v>
      </c>
      <c r="M660" s="1" t="s">
        <v>260</v>
      </c>
      <c r="N660" s="1" t="s">
        <v>261</v>
      </c>
      <c r="O660" s="1" t="s">
        <v>2090</v>
      </c>
      <c r="P660" s="1" t="str">
        <f t="shared" si="36"/>
        <v>ARAGUATINS 1.1Inverter(MBUS-13)46010,655555555646010,655555555646010,6868055556</v>
      </c>
      <c r="Q660" s="1" t="str">
        <f t="shared" si="37"/>
        <v>DAURDE</v>
      </c>
    </row>
    <row r="661" spans="2:17" hidden="1">
      <c r="B661" s="1" t="s">
        <v>305</v>
      </c>
      <c r="C661" s="1" t="s">
        <v>263</v>
      </c>
      <c r="D661" s="52">
        <v>46010.655555555553</v>
      </c>
      <c r="E661" s="52">
        <v>46010.655555555553</v>
      </c>
      <c r="F661" s="52">
        <v>46010.686805555553</v>
      </c>
      <c r="G661" s="53">
        <f t="shared" si="35"/>
        <v>3.125E-2</v>
      </c>
      <c r="H661" s="1" t="s">
        <v>257</v>
      </c>
      <c r="J661" s="1" t="s">
        <v>258</v>
      </c>
      <c r="K661" s="1" t="str">
        <f>_xlfn.XLOOKUP(J661,REF!$D$2:$D$12,REF!$E$2:$E$12)</f>
        <v>Rede</v>
      </c>
      <c r="L661" s="1" t="s">
        <v>2154</v>
      </c>
      <c r="M661" s="1" t="s">
        <v>260</v>
      </c>
      <c r="N661" s="1" t="s">
        <v>261</v>
      </c>
      <c r="O661" s="1" t="s">
        <v>2090</v>
      </c>
      <c r="P661" s="1" t="str">
        <f t="shared" si="36"/>
        <v>ARAGUATINS 1.1Inverter(MBUS-14)46010,655555555646010,655555555646010,6868055556</v>
      </c>
      <c r="Q661" s="1" t="str">
        <f t="shared" si="37"/>
        <v>DAURDE</v>
      </c>
    </row>
    <row r="662" spans="2:17" hidden="1">
      <c r="B662" s="1" t="s">
        <v>305</v>
      </c>
      <c r="C662" s="1" t="s">
        <v>307</v>
      </c>
      <c r="D662" s="52">
        <v>46010.655555555553</v>
      </c>
      <c r="E662" s="52">
        <v>46010.655555555553</v>
      </c>
      <c r="F662" s="52">
        <v>46010.686805555553</v>
      </c>
      <c r="G662" s="53">
        <f t="shared" si="35"/>
        <v>3.125E-2</v>
      </c>
      <c r="H662" s="1" t="s">
        <v>257</v>
      </c>
      <c r="J662" s="1" t="s">
        <v>258</v>
      </c>
      <c r="K662" s="1" t="str">
        <f>_xlfn.XLOOKUP(J662,REF!$D$2:$D$12,REF!$E$2:$E$12)</f>
        <v>Rede</v>
      </c>
      <c r="L662" s="1" t="s">
        <v>2154</v>
      </c>
      <c r="M662" s="1" t="s">
        <v>260</v>
      </c>
      <c r="N662" s="1" t="s">
        <v>261</v>
      </c>
      <c r="O662" s="1" t="s">
        <v>2090</v>
      </c>
      <c r="P662" s="1" t="str">
        <f t="shared" si="36"/>
        <v>ARAGUATINS 1.1Inverter(MBUS-15)46010,655555555646010,655555555646010,6868055556</v>
      </c>
      <c r="Q662" s="1" t="str">
        <f t="shared" si="37"/>
        <v>DAURDE</v>
      </c>
    </row>
    <row r="663" spans="2:17" hidden="1">
      <c r="B663" s="1" t="s">
        <v>308</v>
      </c>
      <c r="C663" s="1" t="s">
        <v>256</v>
      </c>
      <c r="D663" s="52">
        <v>46010.655555555553</v>
      </c>
      <c r="E663" s="52">
        <v>46010.655555555553</v>
      </c>
      <c r="F663" s="52">
        <v>46010.686805555553</v>
      </c>
      <c r="G663" s="53">
        <f t="shared" si="35"/>
        <v>3.125E-2</v>
      </c>
      <c r="H663" s="1" t="s">
        <v>257</v>
      </c>
      <c r="J663" s="1" t="s">
        <v>258</v>
      </c>
      <c r="K663" s="1" t="str">
        <f>_xlfn.XLOOKUP(J663,REF!$D$2:$D$12,REF!$E$2:$E$12)</f>
        <v>Rede</v>
      </c>
      <c r="L663" s="1" t="s">
        <v>2154</v>
      </c>
      <c r="M663" s="1" t="s">
        <v>260</v>
      </c>
      <c r="N663" s="1" t="s">
        <v>261</v>
      </c>
      <c r="O663" s="1" t="s">
        <v>2090</v>
      </c>
      <c r="P663" s="1" t="str">
        <f t="shared" si="36"/>
        <v>ARAGUATINS 1.2Inverter(MBUS-12)46010,655555555646010,655555555646010,6868055556</v>
      </c>
      <c r="Q663" s="1" t="str">
        <f t="shared" si="37"/>
        <v>DAURDE</v>
      </c>
    </row>
    <row r="664" spans="2:17" hidden="1">
      <c r="B664" s="1" t="s">
        <v>308</v>
      </c>
      <c r="C664" s="1" t="s">
        <v>264</v>
      </c>
      <c r="D664" s="52">
        <v>46010.655555555553</v>
      </c>
      <c r="E664" s="52">
        <v>46010.655555555553</v>
      </c>
      <c r="F664" s="52">
        <v>46010.686805555553</v>
      </c>
      <c r="G664" s="53">
        <f t="shared" si="35"/>
        <v>3.125E-2</v>
      </c>
      <c r="H664" s="1" t="s">
        <v>257</v>
      </c>
      <c r="J664" s="1" t="s">
        <v>258</v>
      </c>
      <c r="K664" s="1" t="str">
        <f>_xlfn.XLOOKUP(J664,REF!$D$2:$D$12,REF!$E$2:$E$12)</f>
        <v>Rede</v>
      </c>
      <c r="L664" s="1" t="s">
        <v>2154</v>
      </c>
      <c r="M664" s="1" t="s">
        <v>260</v>
      </c>
      <c r="N664" s="1" t="s">
        <v>261</v>
      </c>
      <c r="O664" s="1" t="s">
        <v>2090</v>
      </c>
      <c r="P664" s="1" t="str">
        <f t="shared" si="36"/>
        <v>ARAGUATINS 1.2Inverter(MBUS-13)46010,655555555646010,655555555646010,6868055556</v>
      </c>
      <c r="Q664" s="1" t="str">
        <f t="shared" si="37"/>
        <v>DAURDE</v>
      </c>
    </row>
    <row r="665" spans="2:17" hidden="1">
      <c r="B665" s="1" t="s">
        <v>308</v>
      </c>
      <c r="C665" s="1" t="s">
        <v>263</v>
      </c>
      <c r="D665" s="52">
        <v>46010.655555555553</v>
      </c>
      <c r="E665" s="52">
        <v>46010.655555555553</v>
      </c>
      <c r="F665" s="52">
        <v>46010.686805555553</v>
      </c>
      <c r="G665" s="53">
        <f t="shared" si="35"/>
        <v>3.125E-2</v>
      </c>
      <c r="H665" s="1" t="s">
        <v>257</v>
      </c>
      <c r="J665" s="1" t="s">
        <v>258</v>
      </c>
      <c r="K665" s="1" t="str">
        <f>_xlfn.XLOOKUP(J665,REF!$D$2:$D$12,REF!$E$2:$E$12)</f>
        <v>Rede</v>
      </c>
      <c r="L665" s="1" t="s">
        <v>2154</v>
      </c>
      <c r="M665" s="1" t="s">
        <v>260</v>
      </c>
      <c r="N665" s="1" t="s">
        <v>261</v>
      </c>
      <c r="O665" s="1" t="s">
        <v>2090</v>
      </c>
      <c r="P665" s="1" t="str">
        <f t="shared" si="36"/>
        <v>ARAGUATINS 1.2Inverter(MBUS-14)46010,655555555646010,655555555646010,6868055556</v>
      </c>
      <c r="Q665" s="1" t="str">
        <f t="shared" si="37"/>
        <v>DAURDE</v>
      </c>
    </row>
    <row r="666" spans="2:17" hidden="1">
      <c r="B666" s="1" t="s">
        <v>308</v>
      </c>
      <c r="C666" s="1" t="s">
        <v>307</v>
      </c>
      <c r="D666" s="52">
        <v>46010.655555555553</v>
      </c>
      <c r="E666" s="52">
        <v>46010.655555555553</v>
      </c>
      <c r="F666" s="52">
        <v>46010.686805555553</v>
      </c>
      <c r="G666" s="53">
        <f t="shared" si="35"/>
        <v>3.125E-2</v>
      </c>
      <c r="H666" s="1" t="s">
        <v>257</v>
      </c>
      <c r="J666" s="1" t="s">
        <v>258</v>
      </c>
      <c r="K666" s="1" t="str">
        <f>_xlfn.XLOOKUP(J666,REF!$D$2:$D$12,REF!$E$2:$E$12)</f>
        <v>Rede</v>
      </c>
      <c r="L666" s="1" t="s">
        <v>2154</v>
      </c>
      <c r="M666" s="1" t="s">
        <v>260</v>
      </c>
      <c r="N666" s="1" t="s">
        <v>261</v>
      </c>
      <c r="O666" s="1" t="s">
        <v>2090</v>
      </c>
      <c r="P666" s="1" t="str">
        <f t="shared" si="36"/>
        <v>ARAGUATINS 1.2Inverter(MBUS-15)46010,655555555646010,655555555646010,6868055556</v>
      </c>
      <c r="Q666" s="1" t="str">
        <f t="shared" si="37"/>
        <v>DAURDE</v>
      </c>
    </row>
    <row r="667" spans="2:17" hidden="1">
      <c r="B667" s="1" t="s">
        <v>309</v>
      </c>
      <c r="C667" s="1" t="s">
        <v>310</v>
      </c>
      <c r="D667" s="52">
        <v>46010.655555555553</v>
      </c>
      <c r="E667" s="52">
        <v>46010.655555555553</v>
      </c>
      <c r="F667" s="52">
        <v>46010.686805555553</v>
      </c>
      <c r="G667" s="53">
        <f t="shared" si="35"/>
        <v>3.125E-2</v>
      </c>
      <c r="H667" s="1" t="s">
        <v>257</v>
      </c>
      <c r="J667" s="1" t="s">
        <v>258</v>
      </c>
      <c r="K667" s="1" t="str">
        <f>_xlfn.XLOOKUP(J667,REF!$D$2:$D$12,REF!$E$2:$E$12)</f>
        <v>Rede</v>
      </c>
      <c r="L667" s="1" t="s">
        <v>2154</v>
      </c>
      <c r="M667" s="1" t="s">
        <v>260</v>
      </c>
      <c r="N667" s="1" t="s">
        <v>261</v>
      </c>
      <c r="O667" s="1" t="s">
        <v>2090</v>
      </c>
      <c r="P667" s="1" t="str">
        <f t="shared" si="36"/>
        <v>ARAGUATINS 1.3Inverter(MBUS-20)46010,655555555646010,655555555646010,6868055556</v>
      </c>
      <c r="Q667" s="1" t="str">
        <f t="shared" si="37"/>
        <v>DAURDE</v>
      </c>
    </row>
    <row r="668" spans="2:17" hidden="1">
      <c r="B668" s="1" t="s">
        <v>309</v>
      </c>
      <c r="C668" s="1" t="s">
        <v>247</v>
      </c>
      <c r="D668" s="52">
        <v>46010.655555555553</v>
      </c>
      <c r="E668" s="52">
        <v>46010.655555555553</v>
      </c>
      <c r="F668" s="52">
        <v>46010.686805555553</v>
      </c>
      <c r="G668" s="53">
        <f t="shared" si="35"/>
        <v>3.125E-2</v>
      </c>
      <c r="H668" s="1" t="s">
        <v>257</v>
      </c>
      <c r="J668" s="1" t="s">
        <v>258</v>
      </c>
      <c r="K668" s="1" t="str">
        <f>_xlfn.XLOOKUP(J668,REF!$D$2:$D$12,REF!$E$2:$E$12)</f>
        <v>Rede</v>
      </c>
      <c r="L668" s="1" t="s">
        <v>2154</v>
      </c>
      <c r="M668" s="1" t="s">
        <v>260</v>
      </c>
      <c r="N668" s="1" t="s">
        <v>261</v>
      </c>
      <c r="O668" s="1" t="s">
        <v>2090</v>
      </c>
      <c r="P668" s="1" t="str">
        <f t="shared" si="36"/>
        <v>ARAGUATINS 1.3Inverter(MBUS-1)46010,655555555646010,655555555646010,6868055556</v>
      </c>
      <c r="Q668" s="1" t="str">
        <f t="shared" si="37"/>
        <v>DAURDE</v>
      </c>
    </row>
    <row r="669" spans="2:17" hidden="1">
      <c r="B669" s="1" t="s">
        <v>311</v>
      </c>
      <c r="C669" s="1" t="s">
        <v>256</v>
      </c>
      <c r="D669" s="52">
        <v>46010.655555555553</v>
      </c>
      <c r="E669" s="52">
        <v>46010.655555555553</v>
      </c>
      <c r="F669" s="52">
        <v>46010.686805555553</v>
      </c>
      <c r="G669" s="53">
        <f t="shared" si="35"/>
        <v>3.125E-2</v>
      </c>
      <c r="H669" s="1" t="s">
        <v>257</v>
      </c>
      <c r="J669" s="1" t="s">
        <v>258</v>
      </c>
      <c r="K669" s="1" t="str">
        <f>_xlfn.XLOOKUP(J669,REF!$D$2:$D$12,REF!$E$2:$E$12)</f>
        <v>Rede</v>
      </c>
      <c r="L669" s="1" t="s">
        <v>2154</v>
      </c>
      <c r="M669" s="1" t="s">
        <v>260</v>
      </c>
      <c r="N669" s="1" t="s">
        <v>261</v>
      </c>
      <c r="O669" s="1" t="s">
        <v>2090</v>
      </c>
      <c r="P669" s="1" t="str">
        <f t="shared" si="36"/>
        <v>ARAGUATINS 2.1Inverter(MBUS-12)46010,655555555646010,655555555646010,6868055556</v>
      </c>
      <c r="Q669" s="1" t="str">
        <f t="shared" si="37"/>
        <v>DAURDE</v>
      </c>
    </row>
    <row r="670" spans="2:17" hidden="1">
      <c r="B670" s="1" t="s">
        <v>311</v>
      </c>
      <c r="C670" s="1" t="s">
        <v>307</v>
      </c>
      <c r="D670" s="52">
        <v>46010.655555555553</v>
      </c>
      <c r="E670" s="52">
        <v>46010.655555555553</v>
      </c>
      <c r="F670" s="52">
        <v>46010.686805555553</v>
      </c>
      <c r="G670" s="53">
        <f t="shared" si="35"/>
        <v>3.125E-2</v>
      </c>
      <c r="H670" s="1" t="s">
        <v>257</v>
      </c>
      <c r="J670" s="1" t="s">
        <v>258</v>
      </c>
      <c r="K670" s="1" t="str">
        <f>_xlfn.XLOOKUP(J670,REF!$D$2:$D$12,REF!$E$2:$E$12)</f>
        <v>Rede</v>
      </c>
      <c r="L670" s="1" t="s">
        <v>2154</v>
      </c>
      <c r="M670" s="1" t="s">
        <v>260</v>
      </c>
      <c r="N670" s="1" t="s">
        <v>261</v>
      </c>
      <c r="O670" s="1" t="s">
        <v>2090</v>
      </c>
      <c r="P670" s="1" t="str">
        <f t="shared" si="36"/>
        <v>ARAGUATINS 2.1Inverter(MBUS-15)46010,655555555646010,655555555646010,6868055556</v>
      </c>
      <c r="Q670" s="1" t="str">
        <f t="shared" si="37"/>
        <v>DAURDE</v>
      </c>
    </row>
    <row r="671" spans="2:17" hidden="1">
      <c r="B671" s="1" t="s">
        <v>311</v>
      </c>
      <c r="C671" s="1" t="s">
        <v>263</v>
      </c>
      <c r="D671" s="52">
        <v>46010.655555555553</v>
      </c>
      <c r="E671" s="52">
        <v>46010.655555555553</v>
      </c>
      <c r="F671" s="52">
        <v>46010.686805555553</v>
      </c>
      <c r="G671" s="53">
        <f t="shared" si="35"/>
        <v>3.125E-2</v>
      </c>
      <c r="H671" s="1" t="s">
        <v>257</v>
      </c>
      <c r="J671" s="1" t="s">
        <v>258</v>
      </c>
      <c r="K671" s="1" t="str">
        <f>_xlfn.XLOOKUP(J671,REF!$D$2:$D$12,REF!$E$2:$E$12)</f>
        <v>Rede</v>
      </c>
      <c r="L671" s="1" t="s">
        <v>2154</v>
      </c>
      <c r="M671" s="1" t="s">
        <v>260</v>
      </c>
      <c r="N671" s="1" t="s">
        <v>261</v>
      </c>
      <c r="O671" s="1" t="s">
        <v>2090</v>
      </c>
      <c r="P671" s="1" t="str">
        <f t="shared" si="36"/>
        <v>ARAGUATINS 2.1Inverter(MBUS-14)46010,655555555646010,655555555646010,6868055556</v>
      </c>
      <c r="Q671" s="1" t="str">
        <f t="shared" si="37"/>
        <v>DAURDE</v>
      </c>
    </row>
    <row r="672" spans="2:17" hidden="1">
      <c r="B672" s="1" t="s">
        <v>311</v>
      </c>
      <c r="C672" s="1" t="s">
        <v>247</v>
      </c>
      <c r="D672" s="52">
        <v>46010.655555555553</v>
      </c>
      <c r="E672" s="52">
        <v>46010.655555555553</v>
      </c>
      <c r="F672" s="52">
        <v>46010.686805555553</v>
      </c>
      <c r="G672" s="53">
        <f t="shared" si="35"/>
        <v>3.125E-2</v>
      </c>
      <c r="H672" s="1" t="s">
        <v>257</v>
      </c>
      <c r="J672" s="1" t="s">
        <v>258</v>
      </c>
      <c r="K672" s="1" t="str">
        <f>_xlfn.XLOOKUP(J672,REF!$D$2:$D$12,REF!$E$2:$E$12)</f>
        <v>Rede</v>
      </c>
      <c r="L672" s="1" t="s">
        <v>2154</v>
      </c>
      <c r="M672" s="1" t="s">
        <v>260</v>
      </c>
      <c r="N672" s="1" t="s">
        <v>261</v>
      </c>
      <c r="O672" s="1" t="s">
        <v>2090</v>
      </c>
      <c r="P672" s="1" t="str">
        <f t="shared" si="36"/>
        <v>ARAGUATINS 2.1Inverter(MBUS-1)46010,655555555646010,655555555646010,6868055556</v>
      </c>
      <c r="Q672" s="1" t="str">
        <f t="shared" si="37"/>
        <v>DAURDE</v>
      </c>
    </row>
    <row r="673" spans="2:17" hidden="1">
      <c r="B673" s="1" t="s">
        <v>312</v>
      </c>
      <c r="C673" s="1" t="s">
        <v>307</v>
      </c>
      <c r="D673" s="52">
        <v>46010.655555555553</v>
      </c>
      <c r="E673" s="52">
        <v>46010.655555555553</v>
      </c>
      <c r="F673" s="52">
        <v>46010.686805555553</v>
      </c>
      <c r="G673" s="53">
        <f t="shared" si="35"/>
        <v>3.125E-2</v>
      </c>
      <c r="H673" s="1" t="s">
        <v>257</v>
      </c>
      <c r="J673" s="1" t="s">
        <v>258</v>
      </c>
      <c r="K673" s="1" t="str">
        <f>_xlfn.XLOOKUP(J673,REF!$D$2:$D$12,REF!$E$2:$E$12)</f>
        <v>Rede</v>
      </c>
      <c r="L673" s="1" t="s">
        <v>2154</v>
      </c>
      <c r="M673" s="1" t="s">
        <v>260</v>
      </c>
      <c r="N673" s="1" t="s">
        <v>261</v>
      </c>
      <c r="O673" s="1" t="s">
        <v>2090</v>
      </c>
      <c r="P673" s="1" t="str">
        <f t="shared" si="36"/>
        <v>ARAGUATINS 2.2Inverter(MBUS-15)46010,655555555646010,655555555646010,6868055556</v>
      </c>
      <c r="Q673" s="1" t="str">
        <f t="shared" si="37"/>
        <v>DAURDE</v>
      </c>
    </row>
    <row r="674" spans="2:17" hidden="1">
      <c r="B674" s="1" t="s">
        <v>312</v>
      </c>
      <c r="C674" s="1" t="s">
        <v>264</v>
      </c>
      <c r="D674" s="52">
        <v>46010.655555555553</v>
      </c>
      <c r="E674" s="52">
        <v>46010.655555555553</v>
      </c>
      <c r="F674" s="52">
        <v>46010.686805555553</v>
      </c>
      <c r="G674" s="53">
        <f t="shared" si="35"/>
        <v>3.125E-2</v>
      </c>
      <c r="H674" s="1" t="s">
        <v>257</v>
      </c>
      <c r="J674" s="1" t="s">
        <v>258</v>
      </c>
      <c r="K674" s="1" t="str">
        <f>_xlfn.XLOOKUP(J674,REF!$D$2:$D$12,REF!$E$2:$E$12)</f>
        <v>Rede</v>
      </c>
      <c r="L674" s="1" t="s">
        <v>2154</v>
      </c>
      <c r="M674" s="1" t="s">
        <v>260</v>
      </c>
      <c r="N674" s="1" t="s">
        <v>261</v>
      </c>
      <c r="O674" s="1" t="s">
        <v>2090</v>
      </c>
      <c r="P674" s="1" t="str">
        <f t="shared" si="36"/>
        <v>ARAGUATINS 2.2Inverter(MBUS-13)46010,655555555646010,655555555646010,6868055556</v>
      </c>
      <c r="Q674" s="1" t="str">
        <f t="shared" si="37"/>
        <v>DAURDE</v>
      </c>
    </row>
    <row r="675" spans="2:17" hidden="1">
      <c r="B675" s="1" t="s">
        <v>312</v>
      </c>
      <c r="C675" s="1" t="s">
        <v>263</v>
      </c>
      <c r="D675" s="52">
        <v>46010.655555555553</v>
      </c>
      <c r="E675" s="52">
        <v>46010.655555555553</v>
      </c>
      <c r="F675" s="52">
        <v>46010.686805555553</v>
      </c>
      <c r="G675" s="53">
        <f t="shared" si="35"/>
        <v>3.125E-2</v>
      </c>
      <c r="H675" s="1" t="s">
        <v>257</v>
      </c>
      <c r="J675" s="1" t="s">
        <v>258</v>
      </c>
      <c r="K675" s="1" t="str">
        <f>_xlfn.XLOOKUP(J675,REF!$D$2:$D$12,REF!$E$2:$E$12)</f>
        <v>Rede</v>
      </c>
      <c r="L675" s="1" t="s">
        <v>2154</v>
      </c>
      <c r="M675" s="1" t="s">
        <v>260</v>
      </c>
      <c r="N675" s="1" t="s">
        <v>261</v>
      </c>
      <c r="O675" s="1" t="s">
        <v>2090</v>
      </c>
      <c r="P675" s="1" t="str">
        <f t="shared" si="36"/>
        <v>ARAGUATINS 2.2Inverter(MBUS-14)46010,655555555646010,655555555646010,6868055556</v>
      </c>
      <c r="Q675" s="1" t="str">
        <f t="shared" si="37"/>
        <v>DAURDE</v>
      </c>
    </row>
    <row r="676" spans="2:17" hidden="1">
      <c r="B676" s="1" t="s">
        <v>312</v>
      </c>
      <c r="C676" s="1" t="s">
        <v>256</v>
      </c>
      <c r="D676" s="52">
        <v>46010.655555555553</v>
      </c>
      <c r="E676" s="52">
        <v>46010.655555555553</v>
      </c>
      <c r="F676" s="52">
        <v>46010.686805555553</v>
      </c>
      <c r="G676" s="53">
        <f t="shared" si="35"/>
        <v>3.125E-2</v>
      </c>
      <c r="H676" s="1" t="s">
        <v>257</v>
      </c>
      <c r="J676" s="1" t="s">
        <v>258</v>
      </c>
      <c r="K676" s="1" t="str">
        <f>_xlfn.XLOOKUP(J676,REF!$D$2:$D$12,REF!$E$2:$E$12)</f>
        <v>Rede</v>
      </c>
      <c r="L676" s="1" t="s">
        <v>2154</v>
      </c>
      <c r="M676" s="1" t="s">
        <v>260</v>
      </c>
      <c r="N676" s="1" t="s">
        <v>261</v>
      </c>
      <c r="O676" s="1" t="s">
        <v>2090</v>
      </c>
      <c r="P676" s="1" t="str">
        <f t="shared" si="36"/>
        <v>ARAGUATINS 2.2Inverter(MBUS-12)46010,655555555646010,655555555646010,6868055556</v>
      </c>
      <c r="Q676" s="1" t="str">
        <f t="shared" si="37"/>
        <v>DAURDE</v>
      </c>
    </row>
    <row r="677" spans="2:17" hidden="1">
      <c r="B677" s="1" t="s">
        <v>327</v>
      </c>
      <c r="C677" s="1" t="s">
        <v>247</v>
      </c>
      <c r="D677" s="52">
        <v>46005.453472222223</v>
      </c>
      <c r="E677" s="52">
        <v>46005.453472222223</v>
      </c>
      <c r="F677" s="52">
        <v>46005.612500000003</v>
      </c>
      <c r="G677" s="53">
        <f t="shared" si="35"/>
        <v>0.15902777777955635</v>
      </c>
      <c r="H677" s="1" t="s">
        <v>257</v>
      </c>
      <c r="J677" s="1" t="s">
        <v>258</v>
      </c>
      <c r="K677" s="1" t="str">
        <f>_xlfn.XLOOKUP(J677,REF!$D$2:$D$12,REF!$E$2:$E$12)</f>
        <v>Rede</v>
      </c>
      <c r="L677" s="1" t="s">
        <v>541</v>
      </c>
      <c r="M677" s="1" t="s">
        <v>260</v>
      </c>
      <c r="N677" s="1" t="s">
        <v>357</v>
      </c>
      <c r="O677" s="1" t="s">
        <v>632</v>
      </c>
      <c r="P677" s="1" t="str">
        <f t="shared" si="36"/>
        <v>BC Aracu5.1Inverter(MBUS-1)46005,453472222246005,453472222246005,6125</v>
      </c>
      <c r="Q677" s="1" t="str">
        <f t="shared" si="37"/>
        <v>DAURDE</v>
      </c>
    </row>
    <row r="678" spans="2:17" hidden="1">
      <c r="B678" s="1" t="s">
        <v>246</v>
      </c>
      <c r="C678" s="1" t="s">
        <v>247</v>
      </c>
      <c r="D678" s="52">
        <v>46005.453472222223</v>
      </c>
      <c r="E678" s="52">
        <v>46005.453472222223</v>
      </c>
      <c r="F678" s="52">
        <v>46005.612500000003</v>
      </c>
      <c r="G678" s="53">
        <f t="shared" si="35"/>
        <v>0.15902777777955635</v>
      </c>
      <c r="H678" s="1" t="s">
        <v>257</v>
      </c>
      <c r="J678" s="1" t="s">
        <v>258</v>
      </c>
      <c r="K678" s="1" t="str">
        <f>_xlfn.XLOOKUP(J678,REF!$D$2:$D$12,REF!$E$2:$E$12)</f>
        <v>Rede</v>
      </c>
      <c r="L678" s="1" t="s">
        <v>541</v>
      </c>
      <c r="M678" s="1" t="s">
        <v>260</v>
      </c>
      <c r="N678" s="1" t="s">
        <v>357</v>
      </c>
      <c r="O678" s="1" t="s">
        <v>632</v>
      </c>
      <c r="P678" s="1" t="str">
        <f t="shared" si="36"/>
        <v>BC Aracu5.2Inverter(MBUS-1)46005,453472222246005,453472222246005,6125</v>
      </c>
      <c r="Q678" s="1" t="str">
        <f t="shared" si="37"/>
        <v>DAURDE</v>
      </c>
    </row>
    <row r="679" spans="2:17" hidden="1">
      <c r="B679" s="1" t="s">
        <v>328</v>
      </c>
      <c r="C679" s="1" t="s">
        <v>247</v>
      </c>
      <c r="D679" s="52">
        <v>46005.453472222223</v>
      </c>
      <c r="E679" s="52">
        <v>46005.453472222223</v>
      </c>
      <c r="F679" s="52">
        <v>46005.612500000003</v>
      </c>
      <c r="G679" s="53">
        <f t="shared" si="35"/>
        <v>0.15902777777955635</v>
      </c>
      <c r="H679" s="1" t="s">
        <v>257</v>
      </c>
      <c r="J679" s="1" t="s">
        <v>258</v>
      </c>
      <c r="K679" s="1" t="str">
        <f>_xlfn.XLOOKUP(J679,REF!$D$2:$D$12,REF!$E$2:$E$12)</f>
        <v>Rede</v>
      </c>
      <c r="L679" s="1" t="s">
        <v>541</v>
      </c>
      <c r="M679" s="1" t="s">
        <v>260</v>
      </c>
      <c r="N679" s="1" t="s">
        <v>357</v>
      </c>
      <c r="O679" s="1" t="s">
        <v>632</v>
      </c>
      <c r="P679" s="1" t="str">
        <f t="shared" si="36"/>
        <v>BC Aracu5.3Inverter(MBUS-1)46005,453472222246005,453472222246005,6125</v>
      </c>
      <c r="Q679" s="1" t="str">
        <f t="shared" si="37"/>
        <v>DAURDE</v>
      </c>
    </row>
    <row r="680" spans="2:17" hidden="1">
      <c r="B680" s="1" t="s">
        <v>329</v>
      </c>
      <c r="C680" s="1" t="s">
        <v>247</v>
      </c>
      <c r="D680" s="52">
        <v>46005.453472222223</v>
      </c>
      <c r="E680" s="52">
        <v>46005.453472222223</v>
      </c>
      <c r="F680" s="52">
        <v>46005.612500000003</v>
      </c>
      <c r="G680" s="53">
        <f t="shared" si="35"/>
        <v>0.15902777777955635</v>
      </c>
      <c r="H680" s="1" t="s">
        <v>257</v>
      </c>
      <c r="J680" s="1" t="s">
        <v>258</v>
      </c>
      <c r="K680" s="1" t="str">
        <f>_xlfn.XLOOKUP(J680,REF!$D$2:$D$12,REF!$E$2:$E$12)</f>
        <v>Rede</v>
      </c>
      <c r="L680" s="1" t="s">
        <v>541</v>
      </c>
      <c r="M680" s="1" t="s">
        <v>260</v>
      </c>
      <c r="N680" s="1" t="s">
        <v>357</v>
      </c>
      <c r="O680" s="1" t="s">
        <v>632</v>
      </c>
      <c r="P680" s="1" t="str">
        <f t="shared" si="36"/>
        <v>BC Aracu5.4Inverter(MBUS-1)46005,453472222246005,453472222246005,6125</v>
      </c>
      <c r="Q680" s="1" t="str">
        <f t="shared" si="37"/>
        <v>DAURDE</v>
      </c>
    </row>
    <row r="681" spans="2:17" hidden="1">
      <c r="B681" s="1" t="s">
        <v>330</v>
      </c>
      <c r="C681" s="1" t="s">
        <v>247</v>
      </c>
      <c r="D681" s="52">
        <v>46005.453472222223</v>
      </c>
      <c r="E681" s="52">
        <v>46005.453472222223</v>
      </c>
      <c r="F681" s="52">
        <v>46005.612500000003</v>
      </c>
      <c r="G681" s="53">
        <f t="shared" si="35"/>
        <v>0.15902777777955635</v>
      </c>
      <c r="H681" s="1" t="s">
        <v>257</v>
      </c>
      <c r="J681" s="1" t="s">
        <v>258</v>
      </c>
      <c r="K681" s="1" t="str">
        <f>_xlfn.XLOOKUP(J681,REF!$D$2:$D$12,REF!$E$2:$E$12)</f>
        <v>Rede</v>
      </c>
      <c r="L681" s="1" t="s">
        <v>541</v>
      </c>
      <c r="M681" s="1" t="s">
        <v>260</v>
      </c>
      <c r="N681" s="1" t="s">
        <v>357</v>
      </c>
      <c r="O681" s="1" t="s">
        <v>632</v>
      </c>
      <c r="P681" s="1" t="str">
        <f t="shared" si="36"/>
        <v>BC Aracu5.5Inverter(MBUS-1)46005,453472222246005,453472222246005,6125</v>
      </c>
      <c r="Q681" s="1" t="str">
        <f t="shared" si="37"/>
        <v>DAURDE</v>
      </c>
    </row>
    <row r="682" spans="2:17" hidden="1">
      <c r="B682" s="1" t="s">
        <v>305</v>
      </c>
      <c r="C682" s="1" t="s">
        <v>256</v>
      </c>
      <c r="D682" s="52">
        <v>46007.6875</v>
      </c>
      <c r="E682" s="52">
        <v>46007.6875</v>
      </c>
      <c r="F682" s="52">
        <v>46007.71875</v>
      </c>
      <c r="G682" s="53">
        <f t="shared" si="35"/>
        <v>3.125E-2</v>
      </c>
      <c r="H682" s="1" t="s">
        <v>257</v>
      </c>
      <c r="J682" s="1" t="s">
        <v>258</v>
      </c>
      <c r="K682" s="1" t="str">
        <f>_xlfn.XLOOKUP(J682,REF!$D$2:$D$12,REF!$E$2:$E$12)</f>
        <v>Rede</v>
      </c>
      <c r="L682" s="1" t="s">
        <v>2153</v>
      </c>
      <c r="M682" s="1" t="s">
        <v>260</v>
      </c>
      <c r="N682" s="1" t="s">
        <v>357</v>
      </c>
      <c r="O682" s="1" t="s">
        <v>632</v>
      </c>
      <c r="P682" s="1" t="str">
        <f t="shared" si="36"/>
        <v>ARAGUATINS 1.1Inverter(MBUS-12)46007,687546007,687546007,71875</v>
      </c>
      <c r="Q682" s="1" t="str">
        <f t="shared" si="37"/>
        <v>DAURDE</v>
      </c>
    </row>
    <row r="683" spans="2:17" hidden="1">
      <c r="B683" s="1" t="s">
        <v>305</v>
      </c>
      <c r="C683" s="1" t="s">
        <v>264</v>
      </c>
      <c r="D683" s="52">
        <v>46007.6875</v>
      </c>
      <c r="E683" s="52">
        <v>46007.6875</v>
      </c>
      <c r="F683" s="52">
        <v>46007.71875</v>
      </c>
      <c r="G683" s="53">
        <f t="shared" si="35"/>
        <v>3.125E-2</v>
      </c>
      <c r="H683" s="1" t="s">
        <v>257</v>
      </c>
      <c r="J683" s="1" t="s">
        <v>258</v>
      </c>
      <c r="K683" s="1" t="str">
        <f>_xlfn.XLOOKUP(J683,REF!$D$2:$D$12,REF!$E$2:$E$12)</f>
        <v>Rede</v>
      </c>
      <c r="L683" s="1" t="s">
        <v>2153</v>
      </c>
      <c r="M683" s="1" t="s">
        <v>260</v>
      </c>
      <c r="N683" s="1" t="s">
        <v>357</v>
      </c>
      <c r="O683" s="1" t="s">
        <v>632</v>
      </c>
      <c r="P683" s="1" t="str">
        <f t="shared" si="36"/>
        <v>ARAGUATINS 1.1Inverter(MBUS-13)46007,687546007,687546007,71875</v>
      </c>
      <c r="Q683" s="1" t="str">
        <f t="shared" si="37"/>
        <v>DAURDE</v>
      </c>
    </row>
    <row r="684" spans="2:17" hidden="1">
      <c r="B684" s="1" t="s">
        <v>305</v>
      </c>
      <c r="C684" s="1" t="s">
        <v>263</v>
      </c>
      <c r="D684" s="52">
        <v>46007.6875</v>
      </c>
      <c r="E684" s="52">
        <v>46007.6875</v>
      </c>
      <c r="F684" s="52">
        <v>46007.71875</v>
      </c>
      <c r="G684" s="53">
        <f t="shared" si="35"/>
        <v>3.125E-2</v>
      </c>
      <c r="H684" s="1" t="s">
        <v>257</v>
      </c>
      <c r="J684" s="1" t="s">
        <v>258</v>
      </c>
      <c r="K684" s="1" t="str">
        <f>_xlfn.XLOOKUP(J684,REF!$D$2:$D$12,REF!$E$2:$E$12)</f>
        <v>Rede</v>
      </c>
      <c r="L684" s="1" t="s">
        <v>2153</v>
      </c>
      <c r="M684" s="1" t="s">
        <v>260</v>
      </c>
      <c r="N684" s="1" t="s">
        <v>357</v>
      </c>
      <c r="O684" s="1" t="s">
        <v>632</v>
      </c>
      <c r="P684" s="1" t="str">
        <f t="shared" si="36"/>
        <v>ARAGUATINS 1.1Inverter(MBUS-14)46007,687546007,687546007,71875</v>
      </c>
      <c r="Q684" s="1" t="str">
        <f t="shared" si="37"/>
        <v>DAURDE</v>
      </c>
    </row>
    <row r="685" spans="2:17" hidden="1">
      <c r="B685" s="1" t="s">
        <v>305</v>
      </c>
      <c r="C685" s="1" t="s">
        <v>307</v>
      </c>
      <c r="D685" s="52">
        <v>46007.6875</v>
      </c>
      <c r="E685" s="52">
        <v>46007.6875</v>
      </c>
      <c r="F685" s="52">
        <v>46007.71875</v>
      </c>
      <c r="G685" s="53">
        <f t="shared" si="35"/>
        <v>3.125E-2</v>
      </c>
      <c r="H685" s="1" t="s">
        <v>257</v>
      </c>
      <c r="J685" s="1" t="s">
        <v>258</v>
      </c>
      <c r="K685" s="1" t="str">
        <f>_xlfn.XLOOKUP(J685,REF!$D$2:$D$12,REF!$E$2:$E$12)</f>
        <v>Rede</v>
      </c>
      <c r="L685" s="1" t="s">
        <v>2153</v>
      </c>
      <c r="M685" s="1" t="s">
        <v>260</v>
      </c>
      <c r="N685" s="1" t="s">
        <v>357</v>
      </c>
      <c r="O685" s="1" t="s">
        <v>632</v>
      </c>
      <c r="P685" s="1" t="str">
        <f t="shared" si="36"/>
        <v>ARAGUATINS 1.1Inverter(MBUS-15)46007,687546007,687546007,71875</v>
      </c>
      <c r="Q685" s="1" t="str">
        <f t="shared" si="37"/>
        <v>DAURDE</v>
      </c>
    </row>
    <row r="686" spans="2:17" hidden="1">
      <c r="B686" s="1" t="s">
        <v>308</v>
      </c>
      <c r="C686" s="1" t="s">
        <v>256</v>
      </c>
      <c r="D686" s="52">
        <v>46007.6875</v>
      </c>
      <c r="E686" s="52">
        <v>46007.6875</v>
      </c>
      <c r="F686" s="52">
        <v>46007.71875</v>
      </c>
      <c r="G686" s="53">
        <f t="shared" si="35"/>
        <v>3.125E-2</v>
      </c>
      <c r="H686" s="1" t="s">
        <v>257</v>
      </c>
      <c r="J686" s="1" t="s">
        <v>258</v>
      </c>
      <c r="K686" s="1" t="str">
        <f>_xlfn.XLOOKUP(J686,REF!$D$2:$D$12,REF!$E$2:$E$12)</f>
        <v>Rede</v>
      </c>
      <c r="L686" s="1" t="s">
        <v>2153</v>
      </c>
      <c r="M686" s="1" t="s">
        <v>260</v>
      </c>
      <c r="N686" s="1" t="s">
        <v>357</v>
      </c>
      <c r="O686" s="1" t="s">
        <v>632</v>
      </c>
      <c r="P686" s="1" t="str">
        <f t="shared" si="36"/>
        <v>ARAGUATINS 1.2Inverter(MBUS-12)46007,687546007,687546007,71875</v>
      </c>
      <c r="Q686" s="1" t="str">
        <f t="shared" si="37"/>
        <v>DAURDE</v>
      </c>
    </row>
    <row r="687" spans="2:17" hidden="1">
      <c r="B687" s="1" t="s">
        <v>308</v>
      </c>
      <c r="C687" s="1" t="s">
        <v>264</v>
      </c>
      <c r="D687" s="52">
        <v>46007.6875</v>
      </c>
      <c r="E687" s="52">
        <v>46007.6875</v>
      </c>
      <c r="F687" s="52">
        <v>46007.71875</v>
      </c>
      <c r="G687" s="53">
        <f t="shared" si="35"/>
        <v>3.125E-2</v>
      </c>
      <c r="H687" s="1" t="s">
        <v>257</v>
      </c>
      <c r="J687" s="1" t="s">
        <v>258</v>
      </c>
      <c r="K687" s="1" t="str">
        <f>_xlfn.XLOOKUP(J687,REF!$D$2:$D$12,REF!$E$2:$E$12)</f>
        <v>Rede</v>
      </c>
      <c r="L687" s="1" t="s">
        <v>2153</v>
      </c>
      <c r="M687" s="1" t="s">
        <v>260</v>
      </c>
      <c r="N687" s="1" t="s">
        <v>357</v>
      </c>
      <c r="O687" s="1" t="s">
        <v>632</v>
      </c>
      <c r="P687" s="1" t="str">
        <f t="shared" si="36"/>
        <v>ARAGUATINS 1.2Inverter(MBUS-13)46007,687546007,687546007,71875</v>
      </c>
      <c r="Q687" s="1" t="str">
        <f t="shared" si="37"/>
        <v>DAURDE</v>
      </c>
    </row>
    <row r="688" spans="2:17" hidden="1">
      <c r="B688" s="1" t="s">
        <v>308</v>
      </c>
      <c r="C688" s="1" t="s">
        <v>263</v>
      </c>
      <c r="D688" s="52">
        <v>46007.6875</v>
      </c>
      <c r="E688" s="52">
        <v>46007.6875</v>
      </c>
      <c r="F688" s="52">
        <v>46007.71875</v>
      </c>
      <c r="G688" s="53">
        <f t="shared" si="35"/>
        <v>3.125E-2</v>
      </c>
      <c r="H688" s="1" t="s">
        <v>257</v>
      </c>
      <c r="J688" s="1" t="s">
        <v>258</v>
      </c>
      <c r="K688" s="1" t="str">
        <f>_xlfn.XLOOKUP(J688,REF!$D$2:$D$12,REF!$E$2:$E$12)</f>
        <v>Rede</v>
      </c>
      <c r="L688" s="1" t="s">
        <v>2153</v>
      </c>
      <c r="M688" s="1" t="s">
        <v>260</v>
      </c>
      <c r="N688" s="1" t="s">
        <v>357</v>
      </c>
      <c r="O688" s="1" t="s">
        <v>632</v>
      </c>
      <c r="P688" s="1" t="str">
        <f t="shared" si="36"/>
        <v>ARAGUATINS 1.2Inverter(MBUS-14)46007,687546007,687546007,71875</v>
      </c>
      <c r="Q688" s="1" t="str">
        <f t="shared" si="37"/>
        <v>DAURDE</v>
      </c>
    </row>
    <row r="689" spans="2:17" hidden="1">
      <c r="B689" s="1" t="s">
        <v>308</v>
      </c>
      <c r="C689" s="1" t="s">
        <v>307</v>
      </c>
      <c r="D689" s="52">
        <v>46007.6875</v>
      </c>
      <c r="E689" s="52">
        <v>46007.6875</v>
      </c>
      <c r="F689" s="52">
        <v>46007.71875</v>
      </c>
      <c r="G689" s="53">
        <f t="shared" si="35"/>
        <v>3.125E-2</v>
      </c>
      <c r="H689" s="1" t="s">
        <v>257</v>
      </c>
      <c r="J689" s="1" t="s">
        <v>258</v>
      </c>
      <c r="K689" s="1" t="str">
        <f>_xlfn.XLOOKUP(J689,REF!$D$2:$D$12,REF!$E$2:$E$12)</f>
        <v>Rede</v>
      </c>
      <c r="L689" s="1" t="s">
        <v>2153</v>
      </c>
      <c r="M689" s="1" t="s">
        <v>260</v>
      </c>
      <c r="N689" s="1" t="s">
        <v>357</v>
      </c>
      <c r="O689" s="1" t="s">
        <v>632</v>
      </c>
      <c r="P689" s="1" t="str">
        <f t="shared" si="36"/>
        <v>ARAGUATINS 1.2Inverter(MBUS-15)46007,687546007,687546007,71875</v>
      </c>
      <c r="Q689" s="1" t="str">
        <f t="shared" si="37"/>
        <v>DAURDE</v>
      </c>
    </row>
    <row r="690" spans="2:17" hidden="1">
      <c r="B690" s="1" t="s">
        <v>309</v>
      </c>
      <c r="C690" s="1" t="s">
        <v>310</v>
      </c>
      <c r="D690" s="52">
        <v>46007.6875</v>
      </c>
      <c r="E690" s="52">
        <v>46007.6875</v>
      </c>
      <c r="F690" s="52">
        <v>46007.71875</v>
      </c>
      <c r="G690" s="53">
        <f t="shared" si="35"/>
        <v>3.125E-2</v>
      </c>
      <c r="H690" s="1" t="s">
        <v>257</v>
      </c>
      <c r="J690" s="1" t="s">
        <v>258</v>
      </c>
      <c r="K690" s="1" t="str">
        <f>_xlfn.XLOOKUP(J690,REF!$D$2:$D$12,REF!$E$2:$E$12)</f>
        <v>Rede</v>
      </c>
      <c r="L690" s="1" t="s">
        <v>2153</v>
      </c>
      <c r="M690" s="1" t="s">
        <v>260</v>
      </c>
      <c r="N690" s="1" t="s">
        <v>357</v>
      </c>
      <c r="O690" s="1" t="s">
        <v>632</v>
      </c>
      <c r="P690" s="1" t="str">
        <f t="shared" si="36"/>
        <v>ARAGUATINS 1.3Inverter(MBUS-20)46007,687546007,687546007,71875</v>
      </c>
      <c r="Q690" s="1" t="str">
        <f t="shared" si="37"/>
        <v>DAURDE</v>
      </c>
    </row>
    <row r="691" spans="2:17" hidden="1">
      <c r="B691" s="1" t="s">
        <v>309</v>
      </c>
      <c r="C691" s="1" t="s">
        <v>247</v>
      </c>
      <c r="D691" s="52">
        <v>46007.6875</v>
      </c>
      <c r="E691" s="52">
        <v>46007.6875</v>
      </c>
      <c r="F691" s="52">
        <v>46007.71875</v>
      </c>
      <c r="G691" s="53">
        <f t="shared" si="35"/>
        <v>3.125E-2</v>
      </c>
      <c r="H691" s="1" t="s">
        <v>257</v>
      </c>
      <c r="J691" s="1" t="s">
        <v>258</v>
      </c>
      <c r="K691" s="1" t="str">
        <f>_xlfn.XLOOKUP(J691,REF!$D$2:$D$12,REF!$E$2:$E$12)</f>
        <v>Rede</v>
      </c>
      <c r="L691" s="1" t="s">
        <v>2153</v>
      </c>
      <c r="M691" s="1" t="s">
        <v>260</v>
      </c>
      <c r="N691" s="1" t="s">
        <v>357</v>
      </c>
      <c r="O691" s="1" t="s">
        <v>632</v>
      </c>
      <c r="P691" s="1" t="str">
        <f t="shared" si="36"/>
        <v>ARAGUATINS 1.3Inverter(MBUS-1)46007,687546007,687546007,71875</v>
      </c>
      <c r="Q691" s="1" t="str">
        <f t="shared" si="37"/>
        <v>DAURDE</v>
      </c>
    </row>
    <row r="692" spans="2:17" hidden="1">
      <c r="B692" s="1" t="s">
        <v>305</v>
      </c>
      <c r="C692" s="1" t="s">
        <v>256</v>
      </c>
      <c r="D692" s="52">
        <v>45997.531944444447</v>
      </c>
      <c r="E692" s="52">
        <v>45997.531944444447</v>
      </c>
      <c r="F692" s="52">
        <v>45997.579861111109</v>
      </c>
      <c r="G692" s="53">
        <f t="shared" si="35"/>
        <v>4.7916666662786156E-2</v>
      </c>
      <c r="H692" s="1" t="s">
        <v>257</v>
      </c>
      <c r="J692" s="1" t="s">
        <v>258</v>
      </c>
      <c r="K692" s="1" t="str">
        <f>_xlfn.XLOOKUP(J692,REF!$D$2:$D$12,REF!$E$2:$E$12)</f>
        <v>Rede</v>
      </c>
      <c r="L692" s="1" t="s">
        <v>2155</v>
      </c>
      <c r="M692" s="1" t="s">
        <v>260</v>
      </c>
      <c r="N692" s="1" t="s">
        <v>357</v>
      </c>
      <c r="O692" s="1" t="s">
        <v>632</v>
      </c>
      <c r="P692" s="1" t="str">
        <f t="shared" si="36"/>
        <v>ARAGUATINS 1.1Inverter(MBUS-12)45997,531944444445997,531944444445997,5798611111</v>
      </c>
      <c r="Q692" s="1" t="str">
        <f t="shared" si="37"/>
        <v>DAURDE</v>
      </c>
    </row>
    <row r="693" spans="2:17" hidden="1">
      <c r="B693" s="1" t="s">
        <v>305</v>
      </c>
      <c r="C693" s="1" t="s">
        <v>264</v>
      </c>
      <c r="D693" s="52">
        <v>45997.531944444447</v>
      </c>
      <c r="E693" s="52">
        <v>45997.531944444447</v>
      </c>
      <c r="F693" s="52">
        <v>45997.579861111109</v>
      </c>
      <c r="G693" s="53">
        <f t="shared" si="35"/>
        <v>4.7916666662786156E-2</v>
      </c>
      <c r="H693" s="1" t="s">
        <v>257</v>
      </c>
      <c r="J693" s="1" t="s">
        <v>258</v>
      </c>
      <c r="K693" s="1" t="str">
        <f>_xlfn.XLOOKUP(J693,REF!$D$2:$D$12,REF!$E$2:$E$12)</f>
        <v>Rede</v>
      </c>
      <c r="L693" s="1" t="s">
        <v>2155</v>
      </c>
      <c r="M693" s="1" t="s">
        <v>260</v>
      </c>
      <c r="N693" s="1" t="s">
        <v>357</v>
      </c>
      <c r="O693" s="1" t="s">
        <v>632</v>
      </c>
      <c r="P693" s="1" t="str">
        <f t="shared" si="36"/>
        <v>ARAGUATINS 1.1Inverter(MBUS-13)45997,531944444445997,531944444445997,5798611111</v>
      </c>
      <c r="Q693" s="1" t="str">
        <f t="shared" si="37"/>
        <v>DAURDE</v>
      </c>
    </row>
    <row r="694" spans="2:17" hidden="1">
      <c r="B694" s="1" t="s">
        <v>305</v>
      </c>
      <c r="C694" s="1" t="s">
        <v>263</v>
      </c>
      <c r="D694" s="52">
        <v>45997.531944444447</v>
      </c>
      <c r="E694" s="52">
        <v>45997.531944444447</v>
      </c>
      <c r="F694" s="52">
        <v>45997.579861111109</v>
      </c>
      <c r="G694" s="53">
        <f t="shared" si="35"/>
        <v>4.7916666662786156E-2</v>
      </c>
      <c r="H694" s="1" t="s">
        <v>257</v>
      </c>
      <c r="J694" s="1" t="s">
        <v>258</v>
      </c>
      <c r="K694" s="1" t="str">
        <f>_xlfn.XLOOKUP(J694,REF!$D$2:$D$12,REF!$E$2:$E$12)</f>
        <v>Rede</v>
      </c>
      <c r="L694" s="1" t="s">
        <v>2155</v>
      </c>
      <c r="M694" s="1" t="s">
        <v>260</v>
      </c>
      <c r="N694" s="1" t="s">
        <v>357</v>
      </c>
      <c r="O694" s="1" t="s">
        <v>632</v>
      </c>
      <c r="P694" s="1" t="str">
        <f t="shared" si="36"/>
        <v>ARAGUATINS 1.1Inverter(MBUS-14)45997,531944444445997,531944444445997,5798611111</v>
      </c>
      <c r="Q694" s="1" t="str">
        <f t="shared" si="37"/>
        <v>DAURDE</v>
      </c>
    </row>
    <row r="695" spans="2:17" hidden="1">
      <c r="B695" s="1" t="s">
        <v>305</v>
      </c>
      <c r="C695" s="1" t="s">
        <v>307</v>
      </c>
      <c r="D695" s="52">
        <v>45997.531944444447</v>
      </c>
      <c r="E695" s="52">
        <v>45997.531944444447</v>
      </c>
      <c r="F695" s="52">
        <v>45997.579861111109</v>
      </c>
      <c r="G695" s="53">
        <f t="shared" si="35"/>
        <v>4.7916666662786156E-2</v>
      </c>
      <c r="H695" s="1" t="s">
        <v>257</v>
      </c>
      <c r="J695" s="1" t="s">
        <v>258</v>
      </c>
      <c r="K695" s="1" t="str">
        <f>_xlfn.XLOOKUP(J695,REF!$D$2:$D$12,REF!$E$2:$E$12)</f>
        <v>Rede</v>
      </c>
      <c r="L695" s="1" t="s">
        <v>2155</v>
      </c>
      <c r="M695" s="1" t="s">
        <v>260</v>
      </c>
      <c r="N695" s="1" t="s">
        <v>357</v>
      </c>
      <c r="O695" s="1" t="s">
        <v>632</v>
      </c>
      <c r="P695" s="1" t="str">
        <f t="shared" si="36"/>
        <v>ARAGUATINS 1.1Inverter(MBUS-15)45997,531944444445997,531944444445997,5798611111</v>
      </c>
      <c r="Q695" s="1" t="str">
        <f t="shared" si="37"/>
        <v>DAURDE</v>
      </c>
    </row>
    <row r="696" spans="2:17" hidden="1">
      <c r="B696" s="1" t="s">
        <v>308</v>
      </c>
      <c r="C696" s="1" t="s">
        <v>256</v>
      </c>
      <c r="D696" s="52">
        <v>45997.531944444447</v>
      </c>
      <c r="E696" s="52">
        <v>45997.531944444447</v>
      </c>
      <c r="F696" s="52">
        <v>45997.579861111109</v>
      </c>
      <c r="G696" s="53">
        <f t="shared" si="35"/>
        <v>4.7916666662786156E-2</v>
      </c>
      <c r="H696" s="1" t="s">
        <v>257</v>
      </c>
      <c r="J696" s="1" t="s">
        <v>258</v>
      </c>
      <c r="K696" s="1" t="str">
        <f>_xlfn.XLOOKUP(J696,REF!$D$2:$D$12,REF!$E$2:$E$12)</f>
        <v>Rede</v>
      </c>
      <c r="L696" s="1" t="s">
        <v>2155</v>
      </c>
      <c r="M696" s="1" t="s">
        <v>260</v>
      </c>
      <c r="N696" s="1" t="s">
        <v>357</v>
      </c>
      <c r="O696" s="1" t="s">
        <v>632</v>
      </c>
      <c r="P696" s="1" t="str">
        <f t="shared" si="36"/>
        <v>ARAGUATINS 1.2Inverter(MBUS-12)45997,531944444445997,531944444445997,5798611111</v>
      </c>
      <c r="Q696" s="1" t="str">
        <f t="shared" si="37"/>
        <v>DAURDE</v>
      </c>
    </row>
    <row r="697" spans="2:17" hidden="1">
      <c r="B697" s="1" t="s">
        <v>308</v>
      </c>
      <c r="C697" s="1" t="s">
        <v>264</v>
      </c>
      <c r="D697" s="52">
        <v>45997.531944444447</v>
      </c>
      <c r="E697" s="52">
        <v>45997.531944444447</v>
      </c>
      <c r="F697" s="52">
        <v>45997.579861111109</v>
      </c>
      <c r="G697" s="53">
        <f t="shared" si="35"/>
        <v>4.7916666662786156E-2</v>
      </c>
      <c r="H697" s="1" t="s">
        <v>257</v>
      </c>
      <c r="J697" s="1" t="s">
        <v>258</v>
      </c>
      <c r="K697" s="1" t="str">
        <f>_xlfn.XLOOKUP(J697,REF!$D$2:$D$12,REF!$E$2:$E$12)</f>
        <v>Rede</v>
      </c>
      <c r="L697" s="1" t="s">
        <v>2155</v>
      </c>
      <c r="M697" s="1" t="s">
        <v>260</v>
      </c>
      <c r="N697" s="1" t="s">
        <v>357</v>
      </c>
      <c r="O697" s="1" t="s">
        <v>632</v>
      </c>
      <c r="P697" s="1" t="str">
        <f t="shared" si="36"/>
        <v>ARAGUATINS 1.2Inverter(MBUS-13)45997,531944444445997,531944444445997,5798611111</v>
      </c>
      <c r="Q697" s="1" t="str">
        <f t="shared" si="37"/>
        <v>DAURDE</v>
      </c>
    </row>
    <row r="698" spans="2:17" hidden="1">
      <c r="B698" s="1" t="s">
        <v>308</v>
      </c>
      <c r="C698" s="1" t="s">
        <v>263</v>
      </c>
      <c r="D698" s="52">
        <v>45997.531944444447</v>
      </c>
      <c r="E698" s="52">
        <v>45997.531944444447</v>
      </c>
      <c r="F698" s="52">
        <v>45997.579861111109</v>
      </c>
      <c r="G698" s="53">
        <f t="shared" si="35"/>
        <v>4.7916666662786156E-2</v>
      </c>
      <c r="H698" s="1" t="s">
        <v>257</v>
      </c>
      <c r="J698" s="1" t="s">
        <v>258</v>
      </c>
      <c r="K698" s="1" t="str">
        <f>_xlfn.XLOOKUP(J698,REF!$D$2:$D$12,REF!$E$2:$E$12)</f>
        <v>Rede</v>
      </c>
      <c r="L698" s="1" t="s">
        <v>2155</v>
      </c>
      <c r="M698" s="1" t="s">
        <v>260</v>
      </c>
      <c r="N698" s="1" t="s">
        <v>357</v>
      </c>
      <c r="O698" s="1" t="s">
        <v>632</v>
      </c>
      <c r="P698" s="1" t="str">
        <f t="shared" si="36"/>
        <v>ARAGUATINS 1.2Inverter(MBUS-14)45997,531944444445997,531944444445997,5798611111</v>
      </c>
      <c r="Q698" s="1" t="str">
        <f t="shared" si="37"/>
        <v>DAURDE</v>
      </c>
    </row>
    <row r="699" spans="2:17" hidden="1">
      <c r="B699" s="1" t="s">
        <v>308</v>
      </c>
      <c r="C699" s="1" t="s">
        <v>307</v>
      </c>
      <c r="D699" s="52">
        <v>45997.531944444447</v>
      </c>
      <c r="E699" s="52">
        <v>45997.531944444447</v>
      </c>
      <c r="F699" s="52">
        <v>45997.579861111109</v>
      </c>
      <c r="G699" s="53">
        <f t="shared" si="35"/>
        <v>4.7916666662786156E-2</v>
      </c>
      <c r="H699" s="1" t="s">
        <v>257</v>
      </c>
      <c r="J699" s="1" t="s">
        <v>258</v>
      </c>
      <c r="K699" s="1" t="str">
        <f>_xlfn.XLOOKUP(J699,REF!$D$2:$D$12,REF!$E$2:$E$12)</f>
        <v>Rede</v>
      </c>
      <c r="L699" s="1" t="s">
        <v>2155</v>
      </c>
      <c r="M699" s="1" t="s">
        <v>260</v>
      </c>
      <c r="N699" s="1" t="s">
        <v>357</v>
      </c>
      <c r="O699" s="1" t="s">
        <v>632</v>
      </c>
      <c r="P699" s="1" t="str">
        <f t="shared" si="36"/>
        <v>ARAGUATINS 1.2Inverter(MBUS-15)45997,531944444445997,531944444445997,5798611111</v>
      </c>
      <c r="Q699" s="1" t="str">
        <f t="shared" si="37"/>
        <v>DAURDE</v>
      </c>
    </row>
    <row r="700" spans="2:17" hidden="1">
      <c r="B700" s="1" t="s">
        <v>309</v>
      </c>
      <c r="C700" s="1" t="s">
        <v>310</v>
      </c>
      <c r="D700" s="52">
        <v>45997.531944444447</v>
      </c>
      <c r="E700" s="52">
        <v>45997.531944444447</v>
      </c>
      <c r="F700" s="52">
        <v>45997.579861111109</v>
      </c>
      <c r="G700" s="53">
        <f t="shared" ref="G700:G763" si="38">F700-E700</f>
        <v>4.7916666662786156E-2</v>
      </c>
      <c r="H700" s="1" t="s">
        <v>257</v>
      </c>
      <c r="J700" s="1" t="s">
        <v>258</v>
      </c>
      <c r="K700" s="1" t="str">
        <f>_xlfn.XLOOKUP(J700,REF!$D$2:$D$12,REF!$E$2:$E$12)</f>
        <v>Rede</v>
      </c>
      <c r="L700" s="1" t="s">
        <v>2155</v>
      </c>
      <c r="M700" s="1" t="s">
        <v>260</v>
      </c>
      <c r="N700" s="1" t="s">
        <v>357</v>
      </c>
      <c r="O700" s="1" t="s">
        <v>632</v>
      </c>
      <c r="P700" s="1" t="str">
        <f t="shared" si="36"/>
        <v>ARAGUATINS 1.3Inverter(MBUS-20)45997,531944444445997,531944444445997,5798611111</v>
      </c>
      <c r="Q700" s="1" t="str">
        <f t="shared" si="37"/>
        <v>DAURDE</v>
      </c>
    </row>
    <row r="701" spans="2:17" hidden="1">
      <c r="B701" s="1" t="s">
        <v>309</v>
      </c>
      <c r="C701" s="1" t="s">
        <v>247</v>
      </c>
      <c r="D701" s="52">
        <v>45997.531944444447</v>
      </c>
      <c r="E701" s="52">
        <v>45997.531944444447</v>
      </c>
      <c r="F701" s="52">
        <v>45997.579861111109</v>
      </c>
      <c r="G701" s="53">
        <f t="shared" si="38"/>
        <v>4.7916666662786156E-2</v>
      </c>
      <c r="H701" s="1" t="s">
        <v>257</v>
      </c>
      <c r="J701" s="1" t="s">
        <v>258</v>
      </c>
      <c r="K701" s="1" t="str">
        <f>_xlfn.XLOOKUP(J701,REF!$D$2:$D$12,REF!$E$2:$E$12)</f>
        <v>Rede</v>
      </c>
      <c r="L701" s="1" t="s">
        <v>2155</v>
      </c>
      <c r="M701" s="1" t="s">
        <v>260</v>
      </c>
      <c r="N701" s="1" t="s">
        <v>357</v>
      </c>
      <c r="O701" s="1" t="s">
        <v>632</v>
      </c>
      <c r="P701" s="1" t="str">
        <f t="shared" si="36"/>
        <v>ARAGUATINS 1.3Inverter(MBUS-1)45997,531944444445997,531944444445997,5798611111</v>
      </c>
      <c r="Q701" s="1" t="str">
        <f t="shared" si="37"/>
        <v>DAURDE</v>
      </c>
    </row>
    <row r="702" spans="2:17" hidden="1">
      <c r="B702" s="1" t="s">
        <v>311</v>
      </c>
      <c r="C702" s="1" t="s">
        <v>256</v>
      </c>
      <c r="D702" s="52">
        <v>45997.531944444447</v>
      </c>
      <c r="E702" s="52">
        <v>45997.531944444447</v>
      </c>
      <c r="F702" s="52">
        <v>45997.579861111109</v>
      </c>
      <c r="G702" s="53">
        <f t="shared" si="38"/>
        <v>4.7916666662786156E-2</v>
      </c>
      <c r="H702" s="1" t="s">
        <v>257</v>
      </c>
      <c r="J702" s="1" t="s">
        <v>258</v>
      </c>
      <c r="K702" s="1" t="str">
        <f>_xlfn.XLOOKUP(J702,REF!$D$2:$D$12,REF!$E$2:$E$12)</f>
        <v>Rede</v>
      </c>
      <c r="L702" s="1" t="s">
        <v>2155</v>
      </c>
      <c r="M702" s="1" t="s">
        <v>260</v>
      </c>
      <c r="N702" s="1" t="s">
        <v>357</v>
      </c>
      <c r="O702" s="1" t="s">
        <v>632</v>
      </c>
      <c r="P702" s="1" t="str">
        <f t="shared" si="36"/>
        <v>ARAGUATINS 2.1Inverter(MBUS-12)45997,531944444445997,531944444445997,5798611111</v>
      </c>
      <c r="Q702" s="1" t="str">
        <f t="shared" si="37"/>
        <v>DAURDE</v>
      </c>
    </row>
    <row r="703" spans="2:17" hidden="1">
      <c r="B703" s="1" t="s">
        <v>311</v>
      </c>
      <c r="C703" s="1" t="s">
        <v>307</v>
      </c>
      <c r="D703" s="52">
        <v>45997.531944444447</v>
      </c>
      <c r="E703" s="52">
        <v>45997.531944444447</v>
      </c>
      <c r="F703" s="52">
        <v>45997.579861111109</v>
      </c>
      <c r="G703" s="53">
        <f t="shared" si="38"/>
        <v>4.7916666662786156E-2</v>
      </c>
      <c r="H703" s="1" t="s">
        <v>257</v>
      </c>
      <c r="J703" s="1" t="s">
        <v>258</v>
      </c>
      <c r="K703" s="1" t="str">
        <f>_xlfn.XLOOKUP(J703,REF!$D$2:$D$12,REF!$E$2:$E$12)</f>
        <v>Rede</v>
      </c>
      <c r="L703" s="1" t="s">
        <v>2155</v>
      </c>
      <c r="M703" s="1" t="s">
        <v>260</v>
      </c>
      <c r="N703" s="1" t="s">
        <v>357</v>
      </c>
      <c r="O703" s="1" t="s">
        <v>632</v>
      </c>
      <c r="P703" s="1" t="str">
        <f t="shared" si="36"/>
        <v>ARAGUATINS 2.1Inverter(MBUS-15)45997,531944444445997,531944444445997,5798611111</v>
      </c>
      <c r="Q703" s="1" t="str">
        <f t="shared" si="37"/>
        <v>DAURDE</v>
      </c>
    </row>
    <row r="704" spans="2:17" hidden="1">
      <c r="B704" s="1" t="s">
        <v>311</v>
      </c>
      <c r="C704" s="1" t="s">
        <v>263</v>
      </c>
      <c r="D704" s="52">
        <v>45997.531944444447</v>
      </c>
      <c r="E704" s="52">
        <v>45997.531944444447</v>
      </c>
      <c r="F704" s="52">
        <v>45997.579861111109</v>
      </c>
      <c r="G704" s="53">
        <f t="shared" si="38"/>
        <v>4.7916666662786156E-2</v>
      </c>
      <c r="H704" s="1" t="s">
        <v>257</v>
      </c>
      <c r="J704" s="1" t="s">
        <v>258</v>
      </c>
      <c r="K704" s="1" t="str">
        <f>_xlfn.XLOOKUP(J704,REF!$D$2:$D$12,REF!$E$2:$E$12)</f>
        <v>Rede</v>
      </c>
      <c r="L704" s="1" t="s">
        <v>2155</v>
      </c>
      <c r="M704" s="1" t="s">
        <v>260</v>
      </c>
      <c r="N704" s="1" t="s">
        <v>357</v>
      </c>
      <c r="O704" s="1" t="s">
        <v>632</v>
      </c>
      <c r="P704" s="1" t="str">
        <f t="shared" si="36"/>
        <v>ARAGUATINS 2.1Inverter(MBUS-14)45997,531944444445997,531944444445997,5798611111</v>
      </c>
      <c r="Q704" s="1" t="str">
        <f t="shared" si="37"/>
        <v>DAURDE</v>
      </c>
    </row>
    <row r="705" spans="2:17" hidden="1">
      <c r="B705" s="1" t="s">
        <v>311</v>
      </c>
      <c r="C705" s="1" t="s">
        <v>247</v>
      </c>
      <c r="D705" s="52">
        <v>45997.531944444447</v>
      </c>
      <c r="E705" s="52">
        <v>45997.531944444447</v>
      </c>
      <c r="F705" s="52">
        <v>45997.579861111109</v>
      </c>
      <c r="G705" s="53">
        <f t="shared" si="38"/>
        <v>4.7916666662786156E-2</v>
      </c>
      <c r="H705" s="1" t="s">
        <v>257</v>
      </c>
      <c r="J705" s="1" t="s">
        <v>258</v>
      </c>
      <c r="K705" s="1" t="str">
        <f>_xlfn.XLOOKUP(J705,REF!$D$2:$D$12,REF!$E$2:$E$12)</f>
        <v>Rede</v>
      </c>
      <c r="L705" s="1" t="s">
        <v>2155</v>
      </c>
      <c r="M705" s="1" t="s">
        <v>260</v>
      </c>
      <c r="N705" s="1" t="s">
        <v>357</v>
      </c>
      <c r="O705" s="1" t="s">
        <v>632</v>
      </c>
      <c r="P705" s="1" t="str">
        <f t="shared" si="36"/>
        <v>ARAGUATINS 2.1Inverter(MBUS-1)45997,531944444445997,531944444445997,5798611111</v>
      </c>
      <c r="Q705" s="1" t="str">
        <f t="shared" si="37"/>
        <v>DAURDE</v>
      </c>
    </row>
    <row r="706" spans="2:17" hidden="1">
      <c r="B706" s="1" t="s">
        <v>312</v>
      </c>
      <c r="C706" s="1" t="s">
        <v>307</v>
      </c>
      <c r="D706" s="52">
        <v>45997.531944444447</v>
      </c>
      <c r="E706" s="52">
        <v>45997.531944444447</v>
      </c>
      <c r="F706" s="52">
        <v>45997.579861111109</v>
      </c>
      <c r="G706" s="53">
        <f t="shared" si="38"/>
        <v>4.7916666662786156E-2</v>
      </c>
      <c r="H706" s="1" t="s">
        <v>257</v>
      </c>
      <c r="J706" s="1" t="s">
        <v>258</v>
      </c>
      <c r="K706" s="1" t="str">
        <f>_xlfn.XLOOKUP(J706,REF!$D$2:$D$12,REF!$E$2:$E$12)</f>
        <v>Rede</v>
      </c>
      <c r="L706" s="1" t="s">
        <v>2155</v>
      </c>
      <c r="M706" s="1" t="s">
        <v>260</v>
      </c>
      <c r="N706" s="1" t="s">
        <v>357</v>
      </c>
      <c r="O706" s="1" t="s">
        <v>632</v>
      </c>
      <c r="P706" s="1" t="str">
        <f t="shared" si="36"/>
        <v>ARAGUATINS 2.2Inverter(MBUS-15)45997,531944444445997,531944444445997,5798611111</v>
      </c>
      <c r="Q706" s="1" t="str">
        <f t="shared" si="37"/>
        <v>DAURDE</v>
      </c>
    </row>
    <row r="707" spans="2:17" hidden="1">
      <c r="B707" s="1" t="s">
        <v>312</v>
      </c>
      <c r="C707" s="1" t="s">
        <v>264</v>
      </c>
      <c r="D707" s="52">
        <v>45997.531944444447</v>
      </c>
      <c r="E707" s="52">
        <v>45997.531944444447</v>
      </c>
      <c r="F707" s="52">
        <v>45997.579861111109</v>
      </c>
      <c r="G707" s="53">
        <f t="shared" si="38"/>
        <v>4.7916666662786156E-2</v>
      </c>
      <c r="H707" s="1" t="s">
        <v>257</v>
      </c>
      <c r="J707" s="1" t="s">
        <v>258</v>
      </c>
      <c r="K707" s="1" t="str">
        <f>_xlfn.XLOOKUP(J707,REF!$D$2:$D$12,REF!$E$2:$E$12)</f>
        <v>Rede</v>
      </c>
      <c r="L707" s="1" t="s">
        <v>2155</v>
      </c>
      <c r="M707" s="1" t="s">
        <v>260</v>
      </c>
      <c r="N707" s="1" t="s">
        <v>357</v>
      </c>
      <c r="O707" s="1" t="s">
        <v>632</v>
      </c>
      <c r="P707" s="1" t="str">
        <f t="shared" ref="P707:P770" si="39">_xlfn.CONCAT(B707,C707,D707,E707,F707)</f>
        <v>ARAGUATINS 2.2Inverter(MBUS-13)45997,531944444445997,531944444445997,5798611111</v>
      </c>
      <c r="Q707" s="1" t="str">
        <f t="shared" ref="Q707:Q770" si="40">_xlfn.CONCAT(H707,I707,J707)</f>
        <v>DAURDE</v>
      </c>
    </row>
    <row r="708" spans="2:17" hidden="1">
      <c r="B708" s="1" t="s">
        <v>312</v>
      </c>
      <c r="C708" s="1" t="s">
        <v>263</v>
      </c>
      <c r="D708" s="52">
        <v>45997.531944444447</v>
      </c>
      <c r="E708" s="52">
        <v>45997.531944444447</v>
      </c>
      <c r="F708" s="52">
        <v>45997.579861111109</v>
      </c>
      <c r="G708" s="53">
        <f t="shared" si="38"/>
        <v>4.7916666662786156E-2</v>
      </c>
      <c r="H708" s="1" t="s">
        <v>257</v>
      </c>
      <c r="J708" s="1" t="s">
        <v>258</v>
      </c>
      <c r="K708" s="1" t="str">
        <f>_xlfn.XLOOKUP(J708,REF!$D$2:$D$12,REF!$E$2:$E$12)</f>
        <v>Rede</v>
      </c>
      <c r="L708" s="1" t="s">
        <v>2155</v>
      </c>
      <c r="M708" s="1" t="s">
        <v>260</v>
      </c>
      <c r="N708" s="1" t="s">
        <v>357</v>
      </c>
      <c r="O708" s="1" t="s">
        <v>632</v>
      </c>
      <c r="P708" s="1" t="str">
        <f t="shared" si="39"/>
        <v>ARAGUATINS 2.2Inverter(MBUS-14)45997,531944444445997,531944444445997,5798611111</v>
      </c>
      <c r="Q708" s="1" t="str">
        <f t="shared" si="40"/>
        <v>DAURDE</v>
      </c>
    </row>
    <row r="709" spans="2:17" hidden="1">
      <c r="B709" s="1" t="s">
        <v>312</v>
      </c>
      <c r="C709" s="1" t="s">
        <v>256</v>
      </c>
      <c r="D709" s="52">
        <v>45997.531944444447</v>
      </c>
      <c r="E709" s="52">
        <v>45997.531944444447</v>
      </c>
      <c r="F709" s="52">
        <v>45997.579861111109</v>
      </c>
      <c r="G709" s="53">
        <f t="shared" si="38"/>
        <v>4.7916666662786156E-2</v>
      </c>
      <c r="H709" s="1" t="s">
        <v>257</v>
      </c>
      <c r="J709" s="1" t="s">
        <v>258</v>
      </c>
      <c r="K709" s="1" t="str">
        <f>_xlfn.XLOOKUP(J709,REF!$D$2:$D$12,REF!$E$2:$E$12)</f>
        <v>Rede</v>
      </c>
      <c r="L709" s="1" t="s">
        <v>2155</v>
      </c>
      <c r="M709" s="1" t="s">
        <v>260</v>
      </c>
      <c r="N709" s="1" t="s">
        <v>357</v>
      </c>
      <c r="O709" s="1" t="s">
        <v>632</v>
      </c>
      <c r="P709" s="1" t="str">
        <f t="shared" si="39"/>
        <v>ARAGUATINS 2.2Inverter(MBUS-12)45997,531944444445997,531944444445997,5798611111</v>
      </c>
      <c r="Q709" s="1" t="str">
        <f t="shared" si="40"/>
        <v>DAURDE</v>
      </c>
    </row>
    <row r="710" spans="2:17" hidden="1">
      <c r="B710" s="1" t="s">
        <v>313</v>
      </c>
      <c r="C710" s="1" t="s">
        <v>256</v>
      </c>
      <c r="D710" s="52">
        <v>45997.531944444447</v>
      </c>
      <c r="E710" s="52">
        <v>45997.531944444447</v>
      </c>
      <c r="F710" s="52">
        <v>45997.579861111109</v>
      </c>
      <c r="G710" s="53">
        <f t="shared" si="38"/>
        <v>4.7916666662786156E-2</v>
      </c>
      <c r="H710" s="1" t="s">
        <v>257</v>
      </c>
      <c r="J710" s="1" t="s">
        <v>258</v>
      </c>
      <c r="K710" s="1" t="str">
        <f>_xlfn.XLOOKUP(J710,REF!$D$2:$D$12,REF!$E$2:$E$12)</f>
        <v>Rede</v>
      </c>
      <c r="L710" s="1" t="s">
        <v>2155</v>
      </c>
      <c r="M710" s="1" t="s">
        <v>260</v>
      </c>
      <c r="N710" s="1" t="s">
        <v>357</v>
      </c>
      <c r="O710" s="1" t="s">
        <v>632</v>
      </c>
      <c r="P710" s="1" t="str">
        <f t="shared" si="39"/>
        <v>ARAGUATINS 2.3Inverter(MBUS-12)45997,531944444445997,531944444445997,5798611111</v>
      </c>
      <c r="Q710" s="1" t="str">
        <f t="shared" si="40"/>
        <v>DAURDE</v>
      </c>
    </row>
    <row r="711" spans="2:17" hidden="1">
      <c r="B711" s="1" t="s">
        <v>313</v>
      </c>
      <c r="C711" s="1" t="s">
        <v>264</v>
      </c>
      <c r="D711" s="52">
        <v>45997.531944444447</v>
      </c>
      <c r="E711" s="52">
        <v>45997.531944444447</v>
      </c>
      <c r="F711" s="52">
        <v>45997.579861111109</v>
      </c>
      <c r="G711" s="53">
        <f t="shared" si="38"/>
        <v>4.7916666662786156E-2</v>
      </c>
      <c r="H711" s="1" t="s">
        <v>257</v>
      </c>
      <c r="J711" s="1" t="s">
        <v>258</v>
      </c>
      <c r="K711" s="1" t="str">
        <f>_xlfn.XLOOKUP(J711,REF!$D$2:$D$12,REF!$E$2:$E$12)</f>
        <v>Rede</v>
      </c>
      <c r="L711" s="1" t="s">
        <v>2155</v>
      </c>
      <c r="M711" s="1" t="s">
        <v>260</v>
      </c>
      <c r="N711" s="1" t="s">
        <v>357</v>
      </c>
      <c r="O711" s="1" t="s">
        <v>632</v>
      </c>
      <c r="P711" s="1" t="str">
        <f t="shared" si="39"/>
        <v>ARAGUATINS 2.3Inverter(MBUS-13)45997,531944444445997,531944444445997,5798611111</v>
      </c>
      <c r="Q711" s="1" t="str">
        <f t="shared" si="40"/>
        <v>DAURDE</v>
      </c>
    </row>
    <row r="712" spans="2:17">
      <c r="B712" s="1" t="s">
        <v>2113</v>
      </c>
      <c r="C712" s="1" t="s">
        <v>322</v>
      </c>
      <c r="D712" s="52">
        <v>46008.736111111109</v>
      </c>
      <c r="E712" s="52">
        <v>46008.736111111109</v>
      </c>
      <c r="F712" s="52">
        <v>46008.763888888891</v>
      </c>
      <c r="G712" s="53">
        <f t="shared" si="38"/>
        <v>2.7777777781011537E-2</v>
      </c>
      <c r="H712" s="1" t="s">
        <v>268</v>
      </c>
      <c r="I712" s="1" t="s">
        <v>269</v>
      </c>
      <c r="J712" s="1" t="s">
        <v>319</v>
      </c>
      <c r="K712" s="1" t="str">
        <f>_xlfn.XLOOKUP(J712,REF!$D$2:$D$12,REF!$E$2:$E$12)</f>
        <v>Comunicação</v>
      </c>
      <c r="L712" s="1" t="s">
        <v>715</v>
      </c>
      <c r="M712" s="1" t="s">
        <v>272</v>
      </c>
      <c r="N712" s="1" t="s">
        <v>253</v>
      </c>
      <c r="O712" s="1" t="s">
        <v>697</v>
      </c>
      <c r="P712" s="1" t="str">
        <f t="shared" si="39"/>
        <v>Araçu IVSG75CX(COM1-018)_001_01846008,736111111146008,736111111146008,7638888889</v>
      </c>
      <c r="Q712" s="1" t="str">
        <f t="shared" si="40"/>
        <v>LIGRFOCOM</v>
      </c>
    </row>
    <row r="713" spans="2:17">
      <c r="B713" s="1" t="s">
        <v>2113</v>
      </c>
      <c r="C713" s="1" t="s">
        <v>324</v>
      </c>
      <c r="D713" s="52">
        <v>46008.736111111109</v>
      </c>
      <c r="E713" s="52">
        <v>46008.736111111109</v>
      </c>
      <c r="F713" s="52">
        <v>46008.763888888891</v>
      </c>
      <c r="G713" s="53">
        <f t="shared" si="38"/>
        <v>2.7777777781011537E-2</v>
      </c>
      <c r="H713" s="1" t="s">
        <v>268</v>
      </c>
      <c r="I713" s="1" t="s">
        <v>269</v>
      </c>
      <c r="J713" s="1" t="s">
        <v>319</v>
      </c>
      <c r="K713" s="1" t="str">
        <f>_xlfn.XLOOKUP(J713,REF!$D$2:$D$12,REF!$E$2:$E$12)</f>
        <v>Comunicação</v>
      </c>
      <c r="L713" s="1" t="s">
        <v>715</v>
      </c>
      <c r="M713" s="1" t="s">
        <v>272</v>
      </c>
      <c r="N713" s="1" t="s">
        <v>253</v>
      </c>
      <c r="O713" s="1" t="s">
        <v>697</v>
      </c>
      <c r="P713" s="1" t="str">
        <f t="shared" si="39"/>
        <v>Araçu IVSG75CX(COM1-019)_001_01946008,736111111146008,736111111146008,7638888889</v>
      </c>
      <c r="Q713" s="1" t="str">
        <f t="shared" si="40"/>
        <v>LIGRFOCOM</v>
      </c>
    </row>
    <row r="714" spans="2:17">
      <c r="B714" s="1" t="s">
        <v>2113</v>
      </c>
      <c r="C714" s="1" t="s">
        <v>325</v>
      </c>
      <c r="D714" s="52">
        <v>46008.736111111109</v>
      </c>
      <c r="E714" s="52">
        <v>46008.736111111109</v>
      </c>
      <c r="F714" s="52">
        <v>46008.763888888891</v>
      </c>
      <c r="G714" s="53">
        <f t="shared" si="38"/>
        <v>2.7777777781011537E-2</v>
      </c>
      <c r="H714" s="1" t="s">
        <v>268</v>
      </c>
      <c r="I714" s="1" t="s">
        <v>269</v>
      </c>
      <c r="J714" s="1" t="s">
        <v>319</v>
      </c>
      <c r="K714" s="1" t="str">
        <f>_xlfn.XLOOKUP(J714,REF!$D$2:$D$12,REF!$E$2:$E$12)</f>
        <v>Comunicação</v>
      </c>
      <c r="L714" s="1" t="s">
        <v>715</v>
      </c>
      <c r="M714" s="1" t="s">
        <v>272</v>
      </c>
      <c r="N714" s="1" t="s">
        <v>253</v>
      </c>
      <c r="O714" s="1" t="s">
        <v>697</v>
      </c>
      <c r="P714" s="1" t="str">
        <f t="shared" si="39"/>
        <v>Araçu IVSG75CX(COM1-020)_001_02046008,736111111146008,736111111146008,7638888889</v>
      </c>
      <c r="Q714" s="1" t="str">
        <f t="shared" si="40"/>
        <v>LIGRFOCOM</v>
      </c>
    </row>
    <row r="715" spans="2:17">
      <c r="B715" s="1" t="s">
        <v>2113</v>
      </c>
      <c r="C715" s="1" t="s">
        <v>326</v>
      </c>
      <c r="D715" s="52">
        <v>46008.736111111109</v>
      </c>
      <c r="E715" s="52">
        <v>46008.736111111109</v>
      </c>
      <c r="F715" s="52">
        <v>46008.763888888891</v>
      </c>
      <c r="G715" s="53">
        <f t="shared" si="38"/>
        <v>2.7777777781011537E-2</v>
      </c>
      <c r="H715" s="1" t="s">
        <v>268</v>
      </c>
      <c r="I715" s="1" t="s">
        <v>269</v>
      </c>
      <c r="J715" s="1" t="s">
        <v>319</v>
      </c>
      <c r="K715" s="1" t="str">
        <f>_xlfn.XLOOKUP(J715,REF!$D$2:$D$12,REF!$E$2:$E$12)</f>
        <v>Comunicação</v>
      </c>
      <c r="L715" s="1" t="s">
        <v>715</v>
      </c>
      <c r="M715" s="1" t="s">
        <v>272</v>
      </c>
      <c r="N715" s="1" t="s">
        <v>253</v>
      </c>
      <c r="O715" s="1" t="s">
        <v>697</v>
      </c>
      <c r="P715" s="1" t="str">
        <f t="shared" si="39"/>
        <v>Araçu IVSG75CX(COM1-021)_001_02146008,736111111146008,736111111146008,7638888889</v>
      </c>
      <c r="Q715" s="1" t="str">
        <f t="shared" si="40"/>
        <v>LIGRFOCOM</v>
      </c>
    </row>
    <row r="716" spans="2:17">
      <c r="B716" s="1" t="s">
        <v>2156</v>
      </c>
      <c r="C716" s="1" t="s">
        <v>2157</v>
      </c>
      <c r="D716" s="52">
        <v>46008.729166666664</v>
      </c>
      <c r="E716" s="52">
        <v>46008.729166666664</v>
      </c>
      <c r="F716" s="52">
        <v>46008.763888888891</v>
      </c>
      <c r="G716" s="53">
        <f t="shared" si="38"/>
        <v>3.4722222226264421E-2</v>
      </c>
      <c r="H716" s="1" t="s">
        <v>268</v>
      </c>
      <c r="I716" s="1" t="s">
        <v>269</v>
      </c>
      <c r="J716" s="1" t="s">
        <v>319</v>
      </c>
      <c r="K716" s="1" t="str">
        <f>_xlfn.XLOOKUP(J716,REF!$D$2:$D$12,REF!$E$2:$E$12)</f>
        <v>Comunicação</v>
      </c>
      <c r="L716" s="1" t="s">
        <v>715</v>
      </c>
      <c r="M716" s="1" t="s">
        <v>272</v>
      </c>
      <c r="N716" s="1" t="s">
        <v>253</v>
      </c>
      <c r="O716" s="1" t="s">
        <v>697</v>
      </c>
      <c r="P716" s="1" t="str">
        <f t="shared" si="39"/>
        <v>Araçu IIAraçu 2.1 inv 146008,729166666746008,729166666746008,7638888889</v>
      </c>
      <c r="Q716" s="1" t="str">
        <f t="shared" si="40"/>
        <v>LIGRFOCOM</v>
      </c>
    </row>
    <row r="717" spans="2:17">
      <c r="B717" s="1" t="s">
        <v>2156</v>
      </c>
      <c r="C717" s="1" t="s">
        <v>2158</v>
      </c>
      <c r="D717" s="52">
        <v>46008.729166666664</v>
      </c>
      <c r="E717" s="52">
        <v>46008.729166666664</v>
      </c>
      <c r="F717" s="52">
        <v>46008.763888888891</v>
      </c>
      <c r="G717" s="53">
        <f t="shared" si="38"/>
        <v>3.4722222226264421E-2</v>
      </c>
      <c r="H717" s="1" t="s">
        <v>268</v>
      </c>
      <c r="I717" s="1" t="s">
        <v>269</v>
      </c>
      <c r="J717" s="1" t="s">
        <v>319</v>
      </c>
      <c r="K717" s="1" t="str">
        <f>_xlfn.XLOOKUP(J717,REF!$D$2:$D$12,REF!$E$2:$E$12)</f>
        <v>Comunicação</v>
      </c>
      <c r="L717" s="1" t="s">
        <v>715</v>
      </c>
      <c r="M717" s="1" t="s">
        <v>272</v>
      </c>
      <c r="N717" s="1" t="s">
        <v>253</v>
      </c>
      <c r="O717" s="1" t="s">
        <v>697</v>
      </c>
      <c r="P717" s="1" t="str">
        <f t="shared" si="39"/>
        <v>Araçu IIAraçu 2.1 inv 246008,729166666746008,729166666746008,7638888889</v>
      </c>
      <c r="Q717" s="1" t="str">
        <f t="shared" si="40"/>
        <v>LIGRFOCOM</v>
      </c>
    </row>
    <row r="718" spans="2:17">
      <c r="B718" s="1" t="s">
        <v>2156</v>
      </c>
      <c r="C718" s="1" t="s">
        <v>2159</v>
      </c>
      <c r="D718" s="52">
        <v>46008.729166666664</v>
      </c>
      <c r="E718" s="52">
        <v>46008.729166666664</v>
      </c>
      <c r="F718" s="52">
        <v>46008.763888888891</v>
      </c>
      <c r="G718" s="53">
        <f t="shared" si="38"/>
        <v>3.4722222226264421E-2</v>
      </c>
      <c r="H718" s="1" t="s">
        <v>268</v>
      </c>
      <c r="I718" s="1" t="s">
        <v>269</v>
      </c>
      <c r="J718" s="1" t="s">
        <v>319</v>
      </c>
      <c r="K718" s="1" t="str">
        <f>_xlfn.XLOOKUP(J718,REF!$D$2:$D$12,REF!$E$2:$E$12)</f>
        <v>Comunicação</v>
      </c>
      <c r="L718" s="1" t="s">
        <v>715</v>
      </c>
      <c r="M718" s="1" t="s">
        <v>272</v>
      </c>
      <c r="N718" s="1" t="s">
        <v>253</v>
      </c>
      <c r="O718" s="1" t="s">
        <v>697</v>
      </c>
      <c r="P718" s="1" t="str">
        <f t="shared" si="39"/>
        <v>Araçu IIAraçu 2.1 inv 346008,729166666746008,729166666746008,7638888889</v>
      </c>
      <c r="Q718" s="1" t="str">
        <f t="shared" si="40"/>
        <v>LIGRFOCOM</v>
      </c>
    </row>
    <row r="719" spans="2:17">
      <c r="B719" s="1" t="s">
        <v>2156</v>
      </c>
      <c r="C719" s="1" t="s">
        <v>2160</v>
      </c>
      <c r="D719" s="52">
        <v>46008.729166666664</v>
      </c>
      <c r="E719" s="52">
        <v>46008.729166666664</v>
      </c>
      <c r="F719" s="52">
        <v>46008.763888888891</v>
      </c>
      <c r="G719" s="53">
        <f t="shared" si="38"/>
        <v>3.4722222226264421E-2</v>
      </c>
      <c r="H719" s="1" t="s">
        <v>268</v>
      </c>
      <c r="I719" s="1" t="s">
        <v>269</v>
      </c>
      <c r="J719" s="1" t="s">
        <v>319</v>
      </c>
      <c r="K719" s="1" t="str">
        <f>_xlfn.XLOOKUP(J719,REF!$D$2:$D$12,REF!$E$2:$E$12)</f>
        <v>Comunicação</v>
      </c>
      <c r="L719" s="1" t="s">
        <v>715</v>
      </c>
      <c r="M719" s="1" t="s">
        <v>272</v>
      </c>
      <c r="N719" s="1" t="s">
        <v>253</v>
      </c>
      <c r="O719" s="1" t="s">
        <v>697</v>
      </c>
      <c r="P719" s="1" t="str">
        <f t="shared" si="39"/>
        <v>Araçu IIAraçu 2.2 inv.146008,729166666746008,729166666746008,7638888889</v>
      </c>
      <c r="Q719" s="1" t="str">
        <f t="shared" si="40"/>
        <v>LIGRFOCOM</v>
      </c>
    </row>
    <row r="720" spans="2:17">
      <c r="B720" s="1" t="s">
        <v>2156</v>
      </c>
      <c r="C720" s="1" t="s">
        <v>2161</v>
      </c>
      <c r="D720" s="52">
        <v>46008.729166666664</v>
      </c>
      <c r="E720" s="52">
        <v>46008.729166666664</v>
      </c>
      <c r="F720" s="52">
        <v>46008.763888888891</v>
      </c>
      <c r="G720" s="53">
        <f t="shared" si="38"/>
        <v>3.4722222226264421E-2</v>
      </c>
      <c r="H720" s="1" t="s">
        <v>268</v>
      </c>
      <c r="I720" s="1" t="s">
        <v>269</v>
      </c>
      <c r="J720" s="1" t="s">
        <v>319</v>
      </c>
      <c r="K720" s="1" t="str">
        <f>_xlfn.XLOOKUP(J720,REF!$D$2:$D$12,REF!$E$2:$E$12)</f>
        <v>Comunicação</v>
      </c>
      <c r="L720" s="1" t="s">
        <v>715</v>
      </c>
      <c r="M720" s="1" t="s">
        <v>272</v>
      </c>
      <c r="N720" s="1" t="s">
        <v>253</v>
      </c>
      <c r="O720" s="1" t="s">
        <v>697</v>
      </c>
      <c r="P720" s="1" t="str">
        <f t="shared" si="39"/>
        <v>Araçu IIAraçu 2.2 inv .246008,729166666746008,729166666746008,7638888889</v>
      </c>
      <c r="Q720" s="1" t="str">
        <f t="shared" si="40"/>
        <v>LIGRFOCOM</v>
      </c>
    </row>
    <row r="721" spans="2:17">
      <c r="B721" s="1" t="s">
        <v>2156</v>
      </c>
      <c r="C721" s="1" t="s">
        <v>2162</v>
      </c>
      <c r="D721" s="52">
        <v>46008.729166666664</v>
      </c>
      <c r="E721" s="52">
        <v>46008.729166666664</v>
      </c>
      <c r="F721" s="52">
        <v>46008.763888888891</v>
      </c>
      <c r="G721" s="53">
        <f t="shared" si="38"/>
        <v>3.4722222226264421E-2</v>
      </c>
      <c r="H721" s="1" t="s">
        <v>268</v>
      </c>
      <c r="I721" s="1" t="s">
        <v>269</v>
      </c>
      <c r="J721" s="1" t="s">
        <v>319</v>
      </c>
      <c r="K721" s="1" t="str">
        <f>_xlfn.XLOOKUP(J721,REF!$D$2:$D$12,REF!$E$2:$E$12)</f>
        <v>Comunicação</v>
      </c>
      <c r="L721" s="1" t="s">
        <v>715</v>
      </c>
      <c r="M721" s="1" t="s">
        <v>272</v>
      </c>
      <c r="N721" s="1" t="s">
        <v>253</v>
      </c>
      <c r="O721" s="1" t="s">
        <v>697</v>
      </c>
      <c r="P721" s="1" t="str">
        <f t="shared" si="39"/>
        <v>Araçu IIAraçu 2.2 inv 346008,729166666746008,729166666746008,7638888889</v>
      </c>
      <c r="Q721" s="1" t="str">
        <f t="shared" si="40"/>
        <v>LIGRFOCOM</v>
      </c>
    </row>
    <row r="722" spans="2:17">
      <c r="B722" s="1" t="s">
        <v>2156</v>
      </c>
      <c r="C722" s="1" t="s">
        <v>2163</v>
      </c>
      <c r="D722" s="52">
        <v>46008.729166666664</v>
      </c>
      <c r="E722" s="52">
        <v>46008.729166666664</v>
      </c>
      <c r="F722" s="52">
        <v>46008.763888888891</v>
      </c>
      <c r="G722" s="53">
        <f t="shared" si="38"/>
        <v>3.4722222226264421E-2</v>
      </c>
      <c r="H722" s="1" t="s">
        <v>268</v>
      </c>
      <c r="I722" s="1" t="s">
        <v>269</v>
      </c>
      <c r="J722" s="1" t="s">
        <v>319</v>
      </c>
      <c r="K722" s="1" t="str">
        <f>_xlfn.XLOOKUP(J722,REF!$D$2:$D$12,REF!$E$2:$E$12)</f>
        <v>Comunicação</v>
      </c>
      <c r="L722" s="1" t="s">
        <v>715</v>
      </c>
      <c r="M722" s="1" t="s">
        <v>272</v>
      </c>
      <c r="N722" s="1" t="s">
        <v>253</v>
      </c>
      <c r="O722" s="1" t="s">
        <v>697</v>
      </c>
      <c r="P722" s="1" t="str">
        <f t="shared" si="39"/>
        <v>Araçu IIAraçu 2.3inv 146008,729166666746008,729166666746008,7638888889</v>
      </c>
      <c r="Q722" s="1" t="str">
        <f t="shared" si="40"/>
        <v>LIGRFOCOM</v>
      </c>
    </row>
    <row r="723" spans="2:17">
      <c r="B723" s="1" t="s">
        <v>2156</v>
      </c>
      <c r="C723" s="1" t="s">
        <v>2164</v>
      </c>
      <c r="D723" s="52">
        <v>46008.729166666664</v>
      </c>
      <c r="E723" s="52">
        <v>46008.729166666664</v>
      </c>
      <c r="F723" s="52">
        <v>46008.763888888891</v>
      </c>
      <c r="G723" s="53">
        <f t="shared" si="38"/>
        <v>3.4722222226264421E-2</v>
      </c>
      <c r="H723" s="1" t="s">
        <v>268</v>
      </c>
      <c r="I723" s="1" t="s">
        <v>269</v>
      </c>
      <c r="J723" s="1" t="s">
        <v>319</v>
      </c>
      <c r="K723" s="1" t="str">
        <f>_xlfn.XLOOKUP(J723,REF!$D$2:$D$12,REF!$E$2:$E$12)</f>
        <v>Comunicação</v>
      </c>
      <c r="L723" s="1" t="s">
        <v>715</v>
      </c>
      <c r="M723" s="1" t="s">
        <v>272</v>
      </c>
      <c r="N723" s="1" t="s">
        <v>253</v>
      </c>
      <c r="O723" s="1" t="s">
        <v>697</v>
      </c>
      <c r="P723" s="1" t="str">
        <f t="shared" si="39"/>
        <v>Araçu IIAraçu 2.3 inv 246008,729166666746008,729166666746008,7638888889</v>
      </c>
      <c r="Q723" s="1" t="str">
        <f t="shared" si="40"/>
        <v>LIGRFOCOM</v>
      </c>
    </row>
    <row r="724" spans="2:17">
      <c r="B724" s="1" t="s">
        <v>2156</v>
      </c>
      <c r="C724" s="1" t="s">
        <v>2165</v>
      </c>
      <c r="D724" s="52">
        <v>46008.729166666664</v>
      </c>
      <c r="E724" s="52">
        <v>46008.729166666664</v>
      </c>
      <c r="F724" s="52">
        <v>46008.763888888891</v>
      </c>
      <c r="G724" s="53">
        <f t="shared" si="38"/>
        <v>3.4722222226264421E-2</v>
      </c>
      <c r="H724" s="1" t="s">
        <v>268</v>
      </c>
      <c r="I724" s="1" t="s">
        <v>269</v>
      </c>
      <c r="J724" s="1" t="s">
        <v>319</v>
      </c>
      <c r="K724" s="1" t="str">
        <f>_xlfn.XLOOKUP(J724,REF!$D$2:$D$12,REF!$E$2:$E$12)</f>
        <v>Comunicação</v>
      </c>
      <c r="L724" s="1" t="s">
        <v>715</v>
      </c>
      <c r="M724" s="1" t="s">
        <v>272</v>
      </c>
      <c r="N724" s="1" t="s">
        <v>253</v>
      </c>
      <c r="O724" s="1" t="s">
        <v>697</v>
      </c>
      <c r="P724" s="1" t="str">
        <f t="shared" si="39"/>
        <v>Araçu IIAraçu 2.3 inv 446008,729166666746008,729166666746008,7638888889</v>
      </c>
      <c r="Q724" s="1" t="str">
        <f t="shared" si="40"/>
        <v>LIGRFOCOM</v>
      </c>
    </row>
    <row r="725" spans="2:17">
      <c r="B725" s="1" t="s">
        <v>2156</v>
      </c>
      <c r="C725" s="1" t="s">
        <v>2166</v>
      </c>
      <c r="D725" s="52">
        <v>46008.729166666664</v>
      </c>
      <c r="E725" s="52">
        <v>46008.729166666664</v>
      </c>
      <c r="F725" s="52">
        <v>46008.763888888891</v>
      </c>
      <c r="G725" s="53">
        <f t="shared" si="38"/>
        <v>3.4722222226264421E-2</v>
      </c>
      <c r="H725" s="1" t="s">
        <v>268</v>
      </c>
      <c r="I725" s="1" t="s">
        <v>269</v>
      </c>
      <c r="J725" s="1" t="s">
        <v>319</v>
      </c>
      <c r="K725" s="1" t="str">
        <f>_xlfn.XLOOKUP(J725,REF!$D$2:$D$12,REF!$E$2:$E$12)</f>
        <v>Comunicação</v>
      </c>
      <c r="L725" s="1" t="s">
        <v>715</v>
      </c>
      <c r="M725" s="1" t="s">
        <v>272</v>
      </c>
      <c r="N725" s="1" t="s">
        <v>253</v>
      </c>
      <c r="O725" s="1" t="s">
        <v>697</v>
      </c>
      <c r="P725" s="1" t="str">
        <f t="shared" si="39"/>
        <v>Araçu IIAraçu.2.3 inv 546008,729166666746008,729166666746008,7638888889</v>
      </c>
      <c r="Q725" s="1" t="str">
        <f t="shared" si="40"/>
        <v>LIGRFOCOM</v>
      </c>
    </row>
    <row r="726" spans="2:17">
      <c r="B726" s="1" t="s">
        <v>2156</v>
      </c>
      <c r="C726" s="1" t="s">
        <v>2167</v>
      </c>
      <c r="D726" s="52">
        <v>46008.729166666664</v>
      </c>
      <c r="E726" s="52">
        <v>46008.729166666664</v>
      </c>
      <c r="F726" s="52">
        <v>46008.763888888891</v>
      </c>
      <c r="G726" s="53">
        <f t="shared" si="38"/>
        <v>3.4722222226264421E-2</v>
      </c>
      <c r="H726" s="1" t="s">
        <v>268</v>
      </c>
      <c r="I726" s="1" t="s">
        <v>269</v>
      </c>
      <c r="J726" s="1" t="s">
        <v>319</v>
      </c>
      <c r="K726" s="1" t="str">
        <f>_xlfn.XLOOKUP(J726,REF!$D$2:$D$12,REF!$E$2:$E$12)</f>
        <v>Comunicação</v>
      </c>
      <c r="L726" s="1" t="s">
        <v>715</v>
      </c>
      <c r="M726" s="1" t="s">
        <v>272</v>
      </c>
      <c r="N726" s="1" t="s">
        <v>253</v>
      </c>
      <c r="O726" s="1" t="s">
        <v>697</v>
      </c>
      <c r="P726" s="1" t="str">
        <f t="shared" si="39"/>
        <v>Araçu IIAraçu 2.3 inv46008,729166666746008,729166666746008,7638888889</v>
      </c>
      <c r="Q726" s="1" t="str">
        <f t="shared" si="40"/>
        <v>LIGRFOCOM</v>
      </c>
    </row>
    <row r="727" spans="2:17">
      <c r="B727" s="1" t="s">
        <v>2156</v>
      </c>
      <c r="C727" s="1" t="s">
        <v>2168</v>
      </c>
      <c r="D727" s="52">
        <v>46008.729166666664</v>
      </c>
      <c r="E727" s="52">
        <v>46008.729166666664</v>
      </c>
      <c r="F727" s="52">
        <v>46008.763888888891</v>
      </c>
      <c r="G727" s="53">
        <f t="shared" si="38"/>
        <v>3.4722222226264421E-2</v>
      </c>
      <c r="H727" s="1" t="s">
        <v>268</v>
      </c>
      <c r="I727" s="1" t="s">
        <v>269</v>
      </c>
      <c r="J727" s="1" t="s">
        <v>319</v>
      </c>
      <c r="K727" s="1" t="str">
        <f>_xlfn.XLOOKUP(J727,REF!$D$2:$D$12,REF!$E$2:$E$12)</f>
        <v>Comunicação</v>
      </c>
      <c r="L727" s="1" t="s">
        <v>715</v>
      </c>
      <c r="M727" s="1" t="s">
        <v>272</v>
      </c>
      <c r="N727" s="1" t="s">
        <v>253</v>
      </c>
      <c r="O727" s="1" t="s">
        <v>697</v>
      </c>
      <c r="P727" s="1" t="str">
        <f t="shared" si="39"/>
        <v>Araçu IIAraçu 2.3 inv 646008,729166666746008,729166666746008,7638888889</v>
      </c>
      <c r="Q727" s="1" t="str">
        <f t="shared" si="40"/>
        <v>LIGRFOCOM</v>
      </c>
    </row>
    <row r="728" spans="2:17">
      <c r="B728" s="1" t="s">
        <v>2156</v>
      </c>
      <c r="C728" s="1" t="s">
        <v>2169</v>
      </c>
      <c r="D728" s="52">
        <v>46008.729166666664</v>
      </c>
      <c r="E728" s="52">
        <v>46008.729166666664</v>
      </c>
      <c r="F728" s="52">
        <v>46008.763888888891</v>
      </c>
      <c r="G728" s="53">
        <f t="shared" si="38"/>
        <v>3.4722222226264421E-2</v>
      </c>
      <c r="H728" s="1" t="s">
        <v>268</v>
      </c>
      <c r="I728" s="1" t="s">
        <v>269</v>
      </c>
      <c r="J728" s="1" t="s">
        <v>319</v>
      </c>
      <c r="K728" s="1" t="str">
        <f>_xlfn.XLOOKUP(J728,REF!$D$2:$D$12,REF!$E$2:$E$12)</f>
        <v>Comunicação</v>
      </c>
      <c r="L728" s="1" t="s">
        <v>715</v>
      </c>
      <c r="M728" s="1" t="s">
        <v>272</v>
      </c>
      <c r="N728" s="1" t="s">
        <v>253</v>
      </c>
      <c r="O728" s="1" t="s">
        <v>697</v>
      </c>
      <c r="P728" s="1" t="str">
        <f t="shared" si="39"/>
        <v>Araçu IIARAÇU.2.4.INV.246008,729166666746008,729166666746008,7638888889</v>
      </c>
      <c r="Q728" s="1" t="str">
        <f t="shared" si="40"/>
        <v>LIGRFOCOM</v>
      </c>
    </row>
    <row r="729" spans="2:17">
      <c r="B729" s="1" t="s">
        <v>2156</v>
      </c>
      <c r="C729" s="1" t="s">
        <v>2170</v>
      </c>
      <c r="D729" s="52">
        <v>46008.729166666664</v>
      </c>
      <c r="E729" s="52">
        <v>46008.729166666664</v>
      </c>
      <c r="F729" s="52">
        <v>46008.763888888891</v>
      </c>
      <c r="G729" s="53">
        <f t="shared" si="38"/>
        <v>3.4722222226264421E-2</v>
      </c>
      <c r="H729" s="1" t="s">
        <v>268</v>
      </c>
      <c r="I729" s="1" t="s">
        <v>269</v>
      </c>
      <c r="J729" s="1" t="s">
        <v>319</v>
      </c>
      <c r="K729" s="1" t="str">
        <f>_xlfn.XLOOKUP(J729,REF!$D$2:$D$12,REF!$E$2:$E$12)</f>
        <v>Comunicação</v>
      </c>
      <c r="L729" s="1" t="s">
        <v>715</v>
      </c>
      <c r="M729" s="1" t="s">
        <v>272</v>
      </c>
      <c r="N729" s="1" t="s">
        <v>253</v>
      </c>
      <c r="O729" s="1" t="s">
        <v>697</v>
      </c>
      <c r="P729" s="1" t="str">
        <f t="shared" si="39"/>
        <v>Araçu IIAraçu.2.4 inv 346008,729166666746008,729166666746008,7638888889</v>
      </c>
      <c r="Q729" s="1" t="str">
        <f t="shared" si="40"/>
        <v>LIGRFOCOM</v>
      </c>
    </row>
    <row r="730" spans="2:17">
      <c r="B730" s="1" t="s">
        <v>2156</v>
      </c>
      <c r="C730" s="1" t="s">
        <v>2171</v>
      </c>
      <c r="D730" s="52">
        <v>46008.729166666664</v>
      </c>
      <c r="E730" s="52">
        <v>46008.729166666664</v>
      </c>
      <c r="F730" s="52">
        <v>46008.763888888891</v>
      </c>
      <c r="G730" s="53">
        <f t="shared" si="38"/>
        <v>3.4722222226264421E-2</v>
      </c>
      <c r="H730" s="1" t="s">
        <v>268</v>
      </c>
      <c r="I730" s="1" t="s">
        <v>269</v>
      </c>
      <c r="J730" s="1" t="s">
        <v>319</v>
      </c>
      <c r="K730" s="1" t="str">
        <f>_xlfn.XLOOKUP(J730,REF!$D$2:$D$12,REF!$E$2:$E$12)</f>
        <v>Comunicação</v>
      </c>
      <c r="L730" s="1" t="s">
        <v>715</v>
      </c>
      <c r="M730" s="1" t="s">
        <v>272</v>
      </c>
      <c r="N730" s="1" t="s">
        <v>253</v>
      </c>
      <c r="O730" s="1" t="s">
        <v>697</v>
      </c>
      <c r="P730" s="1" t="str">
        <f t="shared" si="39"/>
        <v>Araçu IIAraçu 2.4 inv 646008,729166666746008,729166666746008,7638888889</v>
      </c>
      <c r="Q730" s="1" t="str">
        <f t="shared" si="40"/>
        <v>LIGRFOCOM</v>
      </c>
    </row>
    <row r="731" spans="2:17">
      <c r="B731" s="1" t="s">
        <v>2156</v>
      </c>
      <c r="C731" s="1" t="s">
        <v>2172</v>
      </c>
      <c r="D731" s="52">
        <v>46008.729166666664</v>
      </c>
      <c r="E731" s="52">
        <v>46008.729166666664</v>
      </c>
      <c r="F731" s="52">
        <v>46008.763888888891</v>
      </c>
      <c r="G731" s="53">
        <f t="shared" si="38"/>
        <v>3.4722222226264421E-2</v>
      </c>
      <c r="H731" s="1" t="s">
        <v>268</v>
      </c>
      <c r="I731" s="1" t="s">
        <v>269</v>
      </c>
      <c r="J731" s="1" t="s">
        <v>319</v>
      </c>
      <c r="K731" s="1" t="str">
        <f>_xlfn.XLOOKUP(J731,REF!$D$2:$D$12,REF!$E$2:$E$12)</f>
        <v>Comunicação</v>
      </c>
      <c r="L731" s="1" t="s">
        <v>715</v>
      </c>
      <c r="M731" s="1" t="s">
        <v>272</v>
      </c>
      <c r="N731" s="1" t="s">
        <v>253</v>
      </c>
      <c r="O731" s="1" t="s">
        <v>697</v>
      </c>
      <c r="P731" s="1" t="str">
        <f t="shared" si="39"/>
        <v>Araçu IIAraçu 2.4 inv 146008,729166666746008,729166666746008,7638888889</v>
      </c>
      <c r="Q731" s="1" t="str">
        <f t="shared" si="40"/>
        <v>LIGRFOCOM</v>
      </c>
    </row>
    <row r="732" spans="2:17">
      <c r="B732" s="1" t="s">
        <v>2156</v>
      </c>
      <c r="C732" s="1" t="s">
        <v>2173</v>
      </c>
      <c r="D732" s="52">
        <v>46008.729166666664</v>
      </c>
      <c r="E732" s="52">
        <v>46008.729166666664</v>
      </c>
      <c r="F732" s="52">
        <v>46008.763888888891</v>
      </c>
      <c r="G732" s="53">
        <f t="shared" si="38"/>
        <v>3.4722222226264421E-2</v>
      </c>
      <c r="H732" s="1" t="s">
        <v>268</v>
      </c>
      <c r="I732" s="1" t="s">
        <v>269</v>
      </c>
      <c r="J732" s="1" t="s">
        <v>319</v>
      </c>
      <c r="K732" s="1" t="str">
        <f>_xlfn.XLOOKUP(J732,REF!$D$2:$D$12,REF!$E$2:$E$12)</f>
        <v>Comunicação</v>
      </c>
      <c r="L732" s="1" t="s">
        <v>715</v>
      </c>
      <c r="M732" s="1" t="s">
        <v>272</v>
      </c>
      <c r="N732" s="1" t="s">
        <v>253</v>
      </c>
      <c r="O732" s="1" t="s">
        <v>697</v>
      </c>
      <c r="P732" s="1" t="str">
        <f t="shared" si="39"/>
        <v>Araçu IIAraçu 2.4 inv 446008,729166666746008,729166666746008,7638888889</v>
      </c>
      <c r="Q732" s="1" t="str">
        <f t="shared" si="40"/>
        <v>LIGRFOCOM</v>
      </c>
    </row>
    <row r="733" spans="2:17">
      <c r="B733" s="1" t="s">
        <v>2156</v>
      </c>
      <c r="C733" s="1" t="s">
        <v>2174</v>
      </c>
      <c r="D733" s="52">
        <v>46008.729166666664</v>
      </c>
      <c r="E733" s="52">
        <v>46008.729166666664</v>
      </c>
      <c r="F733" s="52">
        <v>46008.763888888891</v>
      </c>
      <c r="G733" s="53">
        <f t="shared" si="38"/>
        <v>3.4722222226264421E-2</v>
      </c>
      <c r="H733" s="1" t="s">
        <v>268</v>
      </c>
      <c r="I733" s="1" t="s">
        <v>269</v>
      </c>
      <c r="J733" s="1" t="s">
        <v>319</v>
      </c>
      <c r="K733" s="1" t="str">
        <f>_xlfn.XLOOKUP(J733,REF!$D$2:$D$12,REF!$E$2:$E$12)</f>
        <v>Comunicação</v>
      </c>
      <c r="L733" s="1" t="s">
        <v>715</v>
      </c>
      <c r="M733" s="1" t="s">
        <v>272</v>
      </c>
      <c r="N733" s="1" t="s">
        <v>253</v>
      </c>
      <c r="O733" s="1" t="s">
        <v>697</v>
      </c>
      <c r="P733" s="1" t="str">
        <f t="shared" si="39"/>
        <v>Araçu IIAraçu 2.4 inv 546008,729166666746008,729166666746008,7638888889</v>
      </c>
      <c r="Q733" s="1" t="str">
        <f t="shared" si="40"/>
        <v>LIGRFOCOM</v>
      </c>
    </row>
    <row r="734" spans="2:17" hidden="1">
      <c r="B734" s="1" t="s">
        <v>2132</v>
      </c>
      <c r="C734" s="1" t="s">
        <v>457</v>
      </c>
      <c r="D734" s="52">
        <v>46004.267361111109</v>
      </c>
      <c r="E734" s="52">
        <v>46004.267361111109</v>
      </c>
      <c r="F734" s="52">
        <v>46004.330555555556</v>
      </c>
      <c r="G734" s="53">
        <f t="shared" si="38"/>
        <v>6.3194444446708076E-2</v>
      </c>
      <c r="H734" s="1" t="s">
        <v>257</v>
      </c>
      <c r="J734" s="1" t="s">
        <v>258</v>
      </c>
      <c r="K734" s="1" t="str">
        <f>_xlfn.XLOOKUP(J734,REF!$D$2:$D$12,REF!$E$2:$E$12)</f>
        <v>Rede</v>
      </c>
      <c r="L734" s="1" t="s">
        <v>2057</v>
      </c>
      <c r="M734" s="1" t="s">
        <v>260</v>
      </c>
      <c r="N734" s="1" t="s">
        <v>261</v>
      </c>
      <c r="O734" s="1" t="s">
        <v>2098</v>
      </c>
      <c r="P734" s="1" t="str">
        <f t="shared" si="39"/>
        <v>Caiaponia ISG60KTL(COM1-001)_001_00746004,267361111146004,267361111146004,3305555556</v>
      </c>
      <c r="Q734" s="1" t="str">
        <f t="shared" si="40"/>
        <v>DAURDE</v>
      </c>
    </row>
    <row r="735" spans="2:17" hidden="1">
      <c r="B735" s="1" t="s">
        <v>2132</v>
      </c>
      <c r="C735" s="1" t="s">
        <v>459</v>
      </c>
      <c r="D735" s="52">
        <v>46004.267361111109</v>
      </c>
      <c r="E735" s="52">
        <v>46004.267361111109</v>
      </c>
      <c r="F735" s="52">
        <v>46004.330555555556</v>
      </c>
      <c r="G735" s="53">
        <f t="shared" si="38"/>
        <v>6.3194444446708076E-2</v>
      </c>
      <c r="H735" s="1" t="s">
        <v>257</v>
      </c>
      <c r="J735" s="1" t="s">
        <v>258</v>
      </c>
      <c r="K735" s="1" t="str">
        <f>_xlfn.XLOOKUP(J735,REF!$D$2:$D$12,REF!$E$2:$E$12)</f>
        <v>Rede</v>
      </c>
      <c r="L735" s="1" t="s">
        <v>2057</v>
      </c>
      <c r="M735" s="1" t="s">
        <v>260</v>
      </c>
      <c r="N735" s="1" t="s">
        <v>261</v>
      </c>
      <c r="O735" s="1" t="s">
        <v>2098</v>
      </c>
      <c r="P735" s="1" t="str">
        <f t="shared" si="39"/>
        <v>Caiaponia ISG60KTL(COM1-002)_001_01046004,267361111146004,267361111146004,3305555556</v>
      </c>
      <c r="Q735" s="1" t="str">
        <f t="shared" si="40"/>
        <v>DAURDE</v>
      </c>
    </row>
    <row r="736" spans="2:17" hidden="1">
      <c r="B736" s="1" t="s">
        <v>2132</v>
      </c>
      <c r="C736" s="1" t="s">
        <v>460</v>
      </c>
      <c r="D736" s="52">
        <v>46004.267361111109</v>
      </c>
      <c r="E736" s="52">
        <v>46004.267361111109</v>
      </c>
      <c r="F736" s="52">
        <v>46004.330555555556</v>
      </c>
      <c r="G736" s="53">
        <f t="shared" si="38"/>
        <v>6.3194444446708076E-2</v>
      </c>
      <c r="H736" s="1" t="s">
        <v>257</v>
      </c>
      <c r="J736" s="1" t="s">
        <v>258</v>
      </c>
      <c r="K736" s="1" t="str">
        <f>_xlfn.XLOOKUP(J736,REF!$D$2:$D$12,REF!$E$2:$E$12)</f>
        <v>Rede</v>
      </c>
      <c r="L736" s="1" t="s">
        <v>2057</v>
      </c>
      <c r="M736" s="1" t="s">
        <v>260</v>
      </c>
      <c r="N736" s="1" t="s">
        <v>261</v>
      </c>
      <c r="O736" s="1" t="s">
        <v>2098</v>
      </c>
      <c r="P736" s="1" t="str">
        <f t="shared" si="39"/>
        <v>Caiaponia ISG60KTL(COM1-003)_001_01146004,267361111146004,267361111146004,3305555556</v>
      </c>
      <c r="Q736" s="1" t="str">
        <f t="shared" si="40"/>
        <v>DAURDE</v>
      </c>
    </row>
    <row r="737" spans="2:17" hidden="1">
      <c r="B737" s="1" t="s">
        <v>2132</v>
      </c>
      <c r="C737" s="1" t="s">
        <v>461</v>
      </c>
      <c r="D737" s="52">
        <v>46004.267361111109</v>
      </c>
      <c r="E737" s="52">
        <v>46004.267361111109</v>
      </c>
      <c r="F737" s="52">
        <v>46004.330555555556</v>
      </c>
      <c r="G737" s="53">
        <f t="shared" si="38"/>
        <v>6.3194444446708076E-2</v>
      </c>
      <c r="H737" s="1" t="s">
        <v>257</v>
      </c>
      <c r="J737" s="1" t="s">
        <v>258</v>
      </c>
      <c r="K737" s="1" t="str">
        <f>_xlfn.XLOOKUP(J737,REF!$D$2:$D$12,REF!$E$2:$E$12)</f>
        <v>Rede</v>
      </c>
      <c r="L737" s="1" t="s">
        <v>2057</v>
      </c>
      <c r="M737" s="1" t="s">
        <v>260</v>
      </c>
      <c r="N737" s="1" t="s">
        <v>261</v>
      </c>
      <c r="O737" s="1" t="s">
        <v>2098</v>
      </c>
      <c r="P737" s="1" t="str">
        <f t="shared" si="39"/>
        <v>Caiaponia ISG60KTL(COM1-004)_001_01446004,267361111146004,267361111146004,3305555556</v>
      </c>
      <c r="Q737" s="1" t="str">
        <f t="shared" si="40"/>
        <v>DAURDE</v>
      </c>
    </row>
    <row r="738" spans="2:17" hidden="1">
      <c r="B738" s="1" t="s">
        <v>2132</v>
      </c>
      <c r="C738" s="1" t="s">
        <v>462</v>
      </c>
      <c r="D738" s="52">
        <v>46004.267361111109</v>
      </c>
      <c r="E738" s="52">
        <v>46004.267361111109</v>
      </c>
      <c r="F738" s="52">
        <v>46004.330555555556</v>
      </c>
      <c r="G738" s="53">
        <f t="shared" si="38"/>
        <v>6.3194444446708076E-2</v>
      </c>
      <c r="H738" s="1" t="s">
        <v>257</v>
      </c>
      <c r="J738" s="1" t="s">
        <v>258</v>
      </c>
      <c r="K738" s="1" t="str">
        <f>_xlfn.XLOOKUP(J738,REF!$D$2:$D$12,REF!$E$2:$E$12)</f>
        <v>Rede</v>
      </c>
      <c r="L738" s="1" t="s">
        <v>2057</v>
      </c>
      <c r="M738" s="1" t="s">
        <v>260</v>
      </c>
      <c r="N738" s="1" t="s">
        <v>261</v>
      </c>
      <c r="O738" s="1" t="s">
        <v>2098</v>
      </c>
      <c r="P738" s="1" t="str">
        <f t="shared" si="39"/>
        <v>Caiaponia ISG60KTL(COM1-005)_001_01746004,267361111146004,267361111146004,3305555556</v>
      </c>
      <c r="Q738" s="1" t="str">
        <f t="shared" si="40"/>
        <v>DAURDE</v>
      </c>
    </row>
    <row r="739" spans="2:17" hidden="1">
      <c r="B739" s="1" t="s">
        <v>2132</v>
      </c>
      <c r="C739" s="1" t="s">
        <v>463</v>
      </c>
      <c r="D739" s="52">
        <v>46004.267361111109</v>
      </c>
      <c r="E739" s="52">
        <v>46004.267361111109</v>
      </c>
      <c r="F739" s="52">
        <v>46004.330555555556</v>
      </c>
      <c r="G739" s="53">
        <f t="shared" si="38"/>
        <v>6.3194444446708076E-2</v>
      </c>
      <c r="H739" s="1" t="s">
        <v>257</v>
      </c>
      <c r="J739" s="1" t="s">
        <v>258</v>
      </c>
      <c r="K739" s="1" t="str">
        <f>_xlfn.XLOOKUP(J739,REF!$D$2:$D$12,REF!$E$2:$E$12)</f>
        <v>Rede</v>
      </c>
      <c r="L739" s="1" t="s">
        <v>2057</v>
      </c>
      <c r="M739" s="1" t="s">
        <v>260</v>
      </c>
      <c r="N739" s="1" t="s">
        <v>261</v>
      </c>
      <c r="O739" s="1" t="s">
        <v>2098</v>
      </c>
      <c r="P739" s="1" t="str">
        <f t="shared" si="39"/>
        <v>Caiaponia ISG60KTL(COM1-006)_001_01646004,267361111146004,267361111146004,3305555556</v>
      </c>
      <c r="Q739" s="1" t="str">
        <f t="shared" si="40"/>
        <v>DAURDE</v>
      </c>
    </row>
    <row r="740" spans="2:17" hidden="1">
      <c r="B740" s="1" t="s">
        <v>2132</v>
      </c>
      <c r="C740" s="1" t="s">
        <v>464</v>
      </c>
      <c r="D740" s="52">
        <v>46004.267361111109</v>
      </c>
      <c r="E740" s="52">
        <v>46004.267361111109</v>
      </c>
      <c r="F740" s="52">
        <v>46004.330555555556</v>
      </c>
      <c r="G740" s="53">
        <f t="shared" si="38"/>
        <v>6.3194444446708076E-2</v>
      </c>
      <c r="H740" s="1" t="s">
        <v>257</v>
      </c>
      <c r="J740" s="1" t="s">
        <v>258</v>
      </c>
      <c r="K740" s="1" t="str">
        <f>_xlfn.XLOOKUP(J740,REF!$D$2:$D$12,REF!$E$2:$E$12)</f>
        <v>Rede</v>
      </c>
      <c r="L740" s="1" t="s">
        <v>2057</v>
      </c>
      <c r="M740" s="1" t="s">
        <v>260</v>
      </c>
      <c r="N740" s="1" t="s">
        <v>261</v>
      </c>
      <c r="O740" s="1" t="s">
        <v>2098</v>
      </c>
      <c r="P740" s="1" t="str">
        <f t="shared" si="39"/>
        <v>Caiaponia ISG60KTL(COM1-007)_001_01346004,267361111146004,267361111146004,3305555556</v>
      </c>
      <c r="Q740" s="1" t="str">
        <f t="shared" si="40"/>
        <v>DAURDE</v>
      </c>
    </row>
    <row r="741" spans="2:17" hidden="1">
      <c r="B741" s="1" t="s">
        <v>2132</v>
      </c>
      <c r="C741" s="1" t="s">
        <v>465</v>
      </c>
      <c r="D741" s="52">
        <v>46004.267361111109</v>
      </c>
      <c r="E741" s="52">
        <v>46004.267361111109</v>
      </c>
      <c r="F741" s="52">
        <v>46004.330555555556</v>
      </c>
      <c r="G741" s="53">
        <f t="shared" si="38"/>
        <v>6.3194444446708076E-2</v>
      </c>
      <c r="H741" s="1" t="s">
        <v>257</v>
      </c>
      <c r="J741" s="1" t="s">
        <v>258</v>
      </c>
      <c r="K741" s="1" t="str">
        <f>_xlfn.XLOOKUP(J741,REF!$D$2:$D$12,REF!$E$2:$E$12)</f>
        <v>Rede</v>
      </c>
      <c r="L741" s="1" t="s">
        <v>2057</v>
      </c>
      <c r="M741" s="1" t="s">
        <v>260</v>
      </c>
      <c r="N741" s="1" t="s">
        <v>261</v>
      </c>
      <c r="O741" s="1" t="s">
        <v>2098</v>
      </c>
      <c r="P741" s="1" t="str">
        <f t="shared" si="39"/>
        <v>Caiaponia ISG60KTL(COM1-008)_001_00146004,267361111146004,267361111146004,3305555556</v>
      </c>
      <c r="Q741" s="1" t="str">
        <f t="shared" si="40"/>
        <v>DAURDE</v>
      </c>
    </row>
    <row r="742" spans="2:17" hidden="1">
      <c r="B742" s="1" t="s">
        <v>2132</v>
      </c>
      <c r="C742" s="1" t="s">
        <v>466</v>
      </c>
      <c r="D742" s="52">
        <v>46004.267361111109</v>
      </c>
      <c r="E742" s="52">
        <v>46004.267361111109</v>
      </c>
      <c r="F742" s="52">
        <v>46004.330555555556</v>
      </c>
      <c r="G742" s="53">
        <f t="shared" si="38"/>
        <v>6.3194444446708076E-2</v>
      </c>
      <c r="H742" s="1" t="s">
        <v>257</v>
      </c>
      <c r="J742" s="1" t="s">
        <v>258</v>
      </c>
      <c r="K742" s="1" t="str">
        <f>_xlfn.XLOOKUP(J742,REF!$D$2:$D$12,REF!$E$2:$E$12)</f>
        <v>Rede</v>
      </c>
      <c r="L742" s="1" t="s">
        <v>2057</v>
      </c>
      <c r="M742" s="1" t="s">
        <v>260</v>
      </c>
      <c r="N742" s="1" t="s">
        <v>261</v>
      </c>
      <c r="O742" s="1" t="s">
        <v>2098</v>
      </c>
      <c r="P742" s="1" t="str">
        <f t="shared" si="39"/>
        <v>Caiaponia ISG60KTL(COM1-009)46004,267361111146004,267361111146004,3305555556</v>
      </c>
      <c r="Q742" s="1" t="str">
        <f t="shared" si="40"/>
        <v>DAURDE</v>
      </c>
    </row>
    <row r="743" spans="2:17" hidden="1">
      <c r="B743" s="1" t="s">
        <v>2132</v>
      </c>
      <c r="C743" s="1" t="s">
        <v>467</v>
      </c>
      <c r="D743" s="52">
        <v>46004.267361111109</v>
      </c>
      <c r="E743" s="52">
        <v>46004.267361111109</v>
      </c>
      <c r="F743" s="52">
        <v>46004.330555555556</v>
      </c>
      <c r="G743" s="53">
        <f t="shared" si="38"/>
        <v>6.3194444446708076E-2</v>
      </c>
      <c r="H743" s="1" t="s">
        <v>257</v>
      </c>
      <c r="J743" s="1" t="s">
        <v>258</v>
      </c>
      <c r="K743" s="1" t="str">
        <f>_xlfn.XLOOKUP(J743,REF!$D$2:$D$12,REF!$E$2:$E$12)</f>
        <v>Rede</v>
      </c>
      <c r="L743" s="1" t="s">
        <v>2057</v>
      </c>
      <c r="M743" s="1" t="s">
        <v>260</v>
      </c>
      <c r="N743" s="1" t="s">
        <v>261</v>
      </c>
      <c r="O743" s="1" t="s">
        <v>2098</v>
      </c>
      <c r="P743" s="1" t="str">
        <f t="shared" si="39"/>
        <v>Caiaponia ISG60KTL(COM1-010)46004,267361111146004,267361111146004,3305555556</v>
      </c>
      <c r="Q743" s="1" t="str">
        <f t="shared" si="40"/>
        <v>DAURDE</v>
      </c>
    </row>
    <row r="744" spans="2:17" hidden="1">
      <c r="B744" s="1" t="s">
        <v>2132</v>
      </c>
      <c r="C744" s="1" t="s">
        <v>468</v>
      </c>
      <c r="D744" s="52">
        <v>46004.267361111109</v>
      </c>
      <c r="E744" s="52">
        <v>46004.267361111109</v>
      </c>
      <c r="F744" s="52">
        <v>46004.330555555556</v>
      </c>
      <c r="G744" s="53">
        <f t="shared" si="38"/>
        <v>6.3194444446708076E-2</v>
      </c>
      <c r="H744" s="1" t="s">
        <v>257</v>
      </c>
      <c r="J744" s="1" t="s">
        <v>258</v>
      </c>
      <c r="K744" s="1" t="str">
        <f>_xlfn.XLOOKUP(J744,REF!$D$2:$D$12,REF!$E$2:$E$12)</f>
        <v>Rede</v>
      </c>
      <c r="L744" s="1" t="s">
        <v>2057</v>
      </c>
      <c r="M744" s="1" t="s">
        <v>260</v>
      </c>
      <c r="N744" s="1" t="s">
        <v>261</v>
      </c>
      <c r="O744" s="1" t="s">
        <v>2098</v>
      </c>
      <c r="P744" s="1" t="str">
        <f t="shared" si="39"/>
        <v>Caiaponia ISG60KTL(COM1-011)46004,267361111146004,267361111146004,3305555556</v>
      </c>
      <c r="Q744" s="1" t="str">
        <f t="shared" si="40"/>
        <v>DAURDE</v>
      </c>
    </row>
    <row r="745" spans="2:17" hidden="1">
      <c r="B745" s="1" t="s">
        <v>2132</v>
      </c>
      <c r="C745" s="1" t="s">
        <v>469</v>
      </c>
      <c r="D745" s="52">
        <v>46004.267361111109</v>
      </c>
      <c r="E745" s="52">
        <v>46004.267361111109</v>
      </c>
      <c r="F745" s="52">
        <v>46004.330555555556</v>
      </c>
      <c r="G745" s="53">
        <f t="shared" si="38"/>
        <v>6.3194444446708076E-2</v>
      </c>
      <c r="H745" s="1" t="s">
        <v>257</v>
      </c>
      <c r="J745" s="1" t="s">
        <v>258</v>
      </c>
      <c r="K745" s="1" t="str">
        <f>_xlfn.XLOOKUP(J745,REF!$D$2:$D$12,REF!$E$2:$E$12)</f>
        <v>Rede</v>
      </c>
      <c r="L745" s="1" t="s">
        <v>2057</v>
      </c>
      <c r="M745" s="1" t="s">
        <v>260</v>
      </c>
      <c r="N745" s="1" t="s">
        <v>261</v>
      </c>
      <c r="O745" s="1" t="s">
        <v>2098</v>
      </c>
      <c r="P745" s="1" t="str">
        <f t="shared" si="39"/>
        <v>Caiaponia ISG60KTL(COM1-012)46004,267361111146004,267361111146004,3305555556</v>
      </c>
      <c r="Q745" s="1" t="str">
        <f t="shared" si="40"/>
        <v>DAURDE</v>
      </c>
    </row>
    <row r="746" spans="2:17" hidden="1">
      <c r="B746" s="1" t="s">
        <v>2132</v>
      </c>
      <c r="C746" s="1" t="s">
        <v>470</v>
      </c>
      <c r="D746" s="52">
        <v>46004.267361111109</v>
      </c>
      <c r="E746" s="52">
        <v>46004.267361111109</v>
      </c>
      <c r="F746" s="52">
        <v>46004.330555555556</v>
      </c>
      <c r="G746" s="53">
        <f t="shared" si="38"/>
        <v>6.3194444446708076E-2</v>
      </c>
      <c r="H746" s="1" t="s">
        <v>257</v>
      </c>
      <c r="J746" s="1" t="s">
        <v>258</v>
      </c>
      <c r="K746" s="1" t="str">
        <f>_xlfn.XLOOKUP(J746,REF!$D$2:$D$12,REF!$E$2:$E$12)</f>
        <v>Rede</v>
      </c>
      <c r="L746" s="1" t="s">
        <v>2057</v>
      </c>
      <c r="M746" s="1" t="s">
        <v>260</v>
      </c>
      <c r="N746" s="1" t="s">
        <v>261</v>
      </c>
      <c r="O746" s="1" t="s">
        <v>2098</v>
      </c>
      <c r="P746" s="1" t="str">
        <f t="shared" si="39"/>
        <v>Caiaponia ISG60KTL(COM1-013)46004,267361111146004,267361111146004,3305555556</v>
      </c>
      <c r="Q746" s="1" t="str">
        <f t="shared" si="40"/>
        <v>DAURDE</v>
      </c>
    </row>
    <row r="747" spans="2:17" hidden="1">
      <c r="B747" s="1" t="s">
        <v>2132</v>
      </c>
      <c r="C747" s="1" t="s">
        <v>471</v>
      </c>
      <c r="D747" s="52">
        <v>46004.267361111109</v>
      </c>
      <c r="E747" s="52">
        <v>46004.267361111109</v>
      </c>
      <c r="F747" s="52">
        <v>46004.330555555556</v>
      </c>
      <c r="G747" s="53">
        <f t="shared" si="38"/>
        <v>6.3194444446708076E-2</v>
      </c>
      <c r="H747" s="1" t="s">
        <v>257</v>
      </c>
      <c r="J747" s="1" t="s">
        <v>258</v>
      </c>
      <c r="K747" s="1" t="str">
        <f>_xlfn.XLOOKUP(J747,REF!$D$2:$D$12,REF!$E$2:$E$12)</f>
        <v>Rede</v>
      </c>
      <c r="L747" s="1" t="s">
        <v>2057</v>
      </c>
      <c r="M747" s="1" t="s">
        <v>260</v>
      </c>
      <c r="N747" s="1" t="s">
        <v>261</v>
      </c>
      <c r="O747" s="1" t="s">
        <v>2098</v>
      </c>
      <c r="P747" s="1" t="str">
        <f t="shared" si="39"/>
        <v>Caiaponia ISG60KTL(COM1-014)46004,267361111146004,267361111146004,3305555556</v>
      </c>
      <c r="Q747" s="1" t="str">
        <f t="shared" si="40"/>
        <v>DAURDE</v>
      </c>
    </row>
    <row r="748" spans="2:17" hidden="1">
      <c r="B748" s="1" t="s">
        <v>2132</v>
      </c>
      <c r="C748" s="1" t="s">
        <v>472</v>
      </c>
      <c r="D748" s="52">
        <v>46004.267361111109</v>
      </c>
      <c r="E748" s="52">
        <v>46004.267361111109</v>
      </c>
      <c r="F748" s="52">
        <v>46004.330555555556</v>
      </c>
      <c r="G748" s="53">
        <f t="shared" si="38"/>
        <v>6.3194444446708076E-2</v>
      </c>
      <c r="H748" s="1" t="s">
        <v>257</v>
      </c>
      <c r="J748" s="1" t="s">
        <v>258</v>
      </c>
      <c r="K748" s="1" t="str">
        <f>_xlfn.XLOOKUP(J748,REF!$D$2:$D$12,REF!$E$2:$E$12)</f>
        <v>Rede</v>
      </c>
      <c r="L748" s="1" t="s">
        <v>2057</v>
      </c>
      <c r="M748" s="1" t="s">
        <v>260</v>
      </c>
      <c r="N748" s="1" t="s">
        <v>261</v>
      </c>
      <c r="O748" s="1" t="s">
        <v>2098</v>
      </c>
      <c r="P748" s="1" t="str">
        <f t="shared" si="39"/>
        <v>Caiaponia ISG60KTL(COM1-015)46004,267361111146004,267361111146004,3305555556</v>
      </c>
      <c r="Q748" s="1" t="str">
        <f t="shared" si="40"/>
        <v>DAURDE</v>
      </c>
    </row>
    <row r="749" spans="2:17" hidden="1">
      <c r="B749" s="1" t="s">
        <v>2132</v>
      </c>
      <c r="C749" s="1" t="s">
        <v>473</v>
      </c>
      <c r="D749" s="52">
        <v>46004.267361111109</v>
      </c>
      <c r="E749" s="52">
        <v>46004.267361111109</v>
      </c>
      <c r="F749" s="52">
        <v>46004.330555555556</v>
      </c>
      <c r="G749" s="53">
        <f t="shared" si="38"/>
        <v>6.3194444446708076E-2</v>
      </c>
      <c r="H749" s="1" t="s">
        <v>257</v>
      </c>
      <c r="J749" s="1" t="s">
        <v>258</v>
      </c>
      <c r="K749" s="1" t="str">
        <f>_xlfn.XLOOKUP(J749,REF!$D$2:$D$12,REF!$E$2:$E$12)</f>
        <v>Rede</v>
      </c>
      <c r="L749" s="1" t="s">
        <v>2057</v>
      </c>
      <c r="M749" s="1" t="s">
        <v>260</v>
      </c>
      <c r="N749" s="1" t="s">
        <v>261</v>
      </c>
      <c r="O749" s="1" t="s">
        <v>2098</v>
      </c>
      <c r="P749" s="1" t="str">
        <f t="shared" si="39"/>
        <v>Caiaponia ISG60KTL(COM3-016)_001_00946004,267361111146004,267361111146004,3305555556</v>
      </c>
      <c r="Q749" s="1" t="str">
        <f t="shared" si="40"/>
        <v>DAURDE</v>
      </c>
    </row>
    <row r="750" spans="2:17" hidden="1">
      <c r="B750" s="1" t="s">
        <v>2132</v>
      </c>
      <c r="C750" s="1" t="s">
        <v>474</v>
      </c>
      <c r="D750" s="52">
        <v>46004.267361111109</v>
      </c>
      <c r="E750" s="52">
        <v>46004.267361111109</v>
      </c>
      <c r="F750" s="52">
        <v>46004.330555555556</v>
      </c>
      <c r="G750" s="53">
        <f t="shared" si="38"/>
        <v>6.3194444446708076E-2</v>
      </c>
      <c r="H750" s="1" t="s">
        <v>257</v>
      </c>
      <c r="J750" s="1" t="s">
        <v>258</v>
      </c>
      <c r="K750" s="1" t="str">
        <f>_xlfn.XLOOKUP(J750,REF!$D$2:$D$12,REF!$E$2:$E$12)</f>
        <v>Rede</v>
      </c>
      <c r="L750" s="1" t="s">
        <v>2057</v>
      </c>
      <c r="M750" s="1" t="s">
        <v>260</v>
      </c>
      <c r="N750" s="1" t="s">
        <v>261</v>
      </c>
      <c r="O750" s="1" t="s">
        <v>2098</v>
      </c>
      <c r="P750" s="1" t="str">
        <f t="shared" si="39"/>
        <v>Caiaponia ISG60KTL(COM3-017)_001_01246004,267361111146004,267361111146004,3305555556</v>
      </c>
      <c r="Q750" s="1" t="str">
        <f t="shared" si="40"/>
        <v>DAURDE</v>
      </c>
    </row>
    <row r="751" spans="2:17" hidden="1">
      <c r="B751" s="1" t="s">
        <v>2132</v>
      </c>
      <c r="C751" s="1" t="s">
        <v>475</v>
      </c>
      <c r="D751" s="52">
        <v>46004.267361111109</v>
      </c>
      <c r="E751" s="52">
        <v>46004.267361111109</v>
      </c>
      <c r="F751" s="52">
        <v>46004.330555555556</v>
      </c>
      <c r="G751" s="53">
        <f t="shared" si="38"/>
        <v>6.3194444446708076E-2</v>
      </c>
      <c r="H751" s="1" t="s">
        <v>257</v>
      </c>
      <c r="J751" s="1" t="s">
        <v>258</v>
      </c>
      <c r="K751" s="1" t="str">
        <f>_xlfn.XLOOKUP(J751,REF!$D$2:$D$12,REF!$E$2:$E$12)</f>
        <v>Rede</v>
      </c>
      <c r="L751" s="1" t="s">
        <v>2057</v>
      </c>
      <c r="M751" s="1" t="s">
        <v>260</v>
      </c>
      <c r="N751" s="1" t="s">
        <v>261</v>
      </c>
      <c r="O751" s="1" t="s">
        <v>2098</v>
      </c>
      <c r="P751" s="1" t="str">
        <f t="shared" si="39"/>
        <v>Caiaponia ISG60KTL(COM3-018)_001_00846004,267361111146004,267361111146004,3305555556</v>
      </c>
      <c r="Q751" s="1" t="str">
        <f t="shared" si="40"/>
        <v>DAURDE</v>
      </c>
    </row>
    <row r="752" spans="2:17" hidden="1">
      <c r="B752" s="1" t="s">
        <v>2132</v>
      </c>
      <c r="C752" s="1" t="s">
        <v>476</v>
      </c>
      <c r="D752" s="52">
        <v>46004.267361111109</v>
      </c>
      <c r="E752" s="52">
        <v>46004.267361111109</v>
      </c>
      <c r="F752" s="52">
        <v>46004.330555555556</v>
      </c>
      <c r="G752" s="53">
        <f t="shared" si="38"/>
        <v>6.3194444446708076E-2</v>
      </c>
      <c r="H752" s="1" t="s">
        <v>257</v>
      </c>
      <c r="J752" s="1" t="s">
        <v>258</v>
      </c>
      <c r="K752" s="1" t="str">
        <f>_xlfn.XLOOKUP(J752,REF!$D$2:$D$12,REF!$E$2:$E$12)</f>
        <v>Rede</v>
      </c>
      <c r="L752" s="1" t="s">
        <v>2057</v>
      </c>
      <c r="M752" s="1" t="s">
        <v>260</v>
      </c>
      <c r="N752" s="1" t="s">
        <v>261</v>
      </c>
      <c r="O752" s="1" t="s">
        <v>2098</v>
      </c>
      <c r="P752" s="1" t="str">
        <f t="shared" si="39"/>
        <v>Caiaponia ISG60KTL(COM3-019)_001_01946004,267361111146004,267361111146004,3305555556</v>
      </c>
      <c r="Q752" s="1" t="str">
        <f t="shared" si="40"/>
        <v>DAURDE</v>
      </c>
    </row>
    <row r="753" spans="2:17" hidden="1">
      <c r="B753" s="1" t="s">
        <v>2132</v>
      </c>
      <c r="C753" s="1" t="s">
        <v>477</v>
      </c>
      <c r="D753" s="52">
        <v>46004.267361111109</v>
      </c>
      <c r="E753" s="52">
        <v>46004.267361111109</v>
      </c>
      <c r="F753" s="52">
        <v>46004.330555555556</v>
      </c>
      <c r="G753" s="53">
        <f t="shared" si="38"/>
        <v>6.3194444446708076E-2</v>
      </c>
      <c r="H753" s="1" t="s">
        <v>257</v>
      </c>
      <c r="J753" s="1" t="s">
        <v>258</v>
      </c>
      <c r="K753" s="1" t="str">
        <f>_xlfn.XLOOKUP(J753,REF!$D$2:$D$12,REF!$E$2:$E$12)</f>
        <v>Rede</v>
      </c>
      <c r="L753" s="1" t="s">
        <v>2057</v>
      </c>
      <c r="M753" s="1" t="s">
        <v>260</v>
      </c>
      <c r="N753" s="1" t="s">
        <v>261</v>
      </c>
      <c r="O753" s="1" t="s">
        <v>2098</v>
      </c>
      <c r="P753" s="1" t="str">
        <f t="shared" si="39"/>
        <v>Caiaponia ISG60KTL(COM3-020)_001_02046004,267361111146004,267361111146004,3305555556</v>
      </c>
      <c r="Q753" s="1" t="str">
        <f t="shared" si="40"/>
        <v>DAURDE</v>
      </c>
    </row>
    <row r="754" spans="2:17" hidden="1">
      <c r="B754" s="1" t="s">
        <v>2132</v>
      </c>
      <c r="C754" s="1" t="s">
        <v>478</v>
      </c>
      <c r="D754" s="52">
        <v>46004.267361111109</v>
      </c>
      <c r="E754" s="52">
        <v>46004.267361111109</v>
      </c>
      <c r="F754" s="52">
        <v>46004.330555555556</v>
      </c>
      <c r="G754" s="53">
        <f t="shared" si="38"/>
        <v>6.3194444446708076E-2</v>
      </c>
      <c r="H754" s="1" t="s">
        <v>257</v>
      </c>
      <c r="J754" s="1" t="s">
        <v>258</v>
      </c>
      <c r="K754" s="1" t="str">
        <f>_xlfn.XLOOKUP(J754,REF!$D$2:$D$12,REF!$E$2:$E$12)</f>
        <v>Rede</v>
      </c>
      <c r="L754" s="1" t="s">
        <v>2057</v>
      </c>
      <c r="M754" s="1" t="s">
        <v>260</v>
      </c>
      <c r="N754" s="1" t="s">
        <v>261</v>
      </c>
      <c r="O754" s="1" t="s">
        <v>2098</v>
      </c>
      <c r="P754" s="1" t="str">
        <f t="shared" si="39"/>
        <v>Caiaponia ISG60KTL(COM2-026)46004,267361111146004,267361111146004,3305555556</v>
      </c>
      <c r="Q754" s="1" t="str">
        <f t="shared" si="40"/>
        <v>DAURDE</v>
      </c>
    </row>
    <row r="755" spans="2:17" hidden="1">
      <c r="B755" s="1" t="s">
        <v>2132</v>
      </c>
      <c r="C755" s="1" t="s">
        <v>479</v>
      </c>
      <c r="D755" s="52">
        <v>46004.267361111109</v>
      </c>
      <c r="E755" s="52">
        <v>46004.267361111109</v>
      </c>
      <c r="F755" s="52">
        <v>46004.330555555556</v>
      </c>
      <c r="G755" s="53">
        <f t="shared" si="38"/>
        <v>6.3194444446708076E-2</v>
      </c>
      <c r="H755" s="1" t="s">
        <v>257</v>
      </c>
      <c r="J755" s="1" t="s">
        <v>258</v>
      </c>
      <c r="K755" s="1" t="str">
        <f>_xlfn.XLOOKUP(J755,REF!$D$2:$D$12,REF!$E$2:$E$12)</f>
        <v>Rede</v>
      </c>
      <c r="L755" s="1" t="s">
        <v>2057</v>
      </c>
      <c r="M755" s="1" t="s">
        <v>260</v>
      </c>
      <c r="N755" s="1" t="s">
        <v>261</v>
      </c>
      <c r="O755" s="1" t="s">
        <v>2098</v>
      </c>
      <c r="P755" s="1" t="str">
        <f t="shared" si="39"/>
        <v>Caiaponia ISG60KTL(COM2-027)46004,267361111146004,267361111146004,3305555556</v>
      </c>
      <c r="Q755" s="1" t="str">
        <f t="shared" si="40"/>
        <v>DAURDE</v>
      </c>
    </row>
    <row r="756" spans="2:17" hidden="1">
      <c r="B756" s="1" t="s">
        <v>2132</v>
      </c>
      <c r="C756" s="1" t="s">
        <v>480</v>
      </c>
      <c r="D756" s="52">
        <v>46004.267361111109</v>
      </c>
      <c r="E756" s="52">
        <v>46004.267361111109</v>
      </c>
      <c r="F756" s="52">
        <v>46004.330555555556</v>
      </c>
      <c r="G756" s="53">
        <f t="shared" si="38"/>
        <v>6.3194444446708076E-2</v>
      </c>
      <c r="H756" s="1" t="s">
        <v>257</v>
      </c>
      <c r="J756" s="1" t="s">
        <v>258</v>
      </c>
      <c r="K756" s="1" t="str">
        <f>_xlfn.XLOOKUP(J756,REF!$D$2:$D$12,REF!$E$2:$E$12)</f>
        <v>Rede</v>
      </c>
      <c r="L756" s="1" t="s">
        <v>2057</v>
      </c>
      <c r="M756" s="1" t="s">
        <v>260</v>
      </c>
      <c r="N756" s="1" t="s">
        <v>261</v>
      </c>
      <c r="O756" s="1" t="s">
        <v>2098</v>
      </c>
      <c r="P756" s="1" t="str">
        <f t="shared" si="39"/>
        <v>Caiaponia ISG60KTL(COM2-028)46004,267361111146004,267361111146004,3305555556</v>
      </c>
      <c r="Q756" s="1" t="str">
        <f t="shared" si="40"/>
        <v>DAURDE</v>
      </c>
    </row>
    <row r="757" spans="2:17" hidden="1">
      <c r="B757" s="1" t="s">
        <v>2132</v>
      </c>
      <c r="C757" s="1" t="s">
        <v>481</v>
      </c>
      <c r="D757" s="52">
        <v>46004.267361111109</v>
      </c>
      <c r="E757" s="52">
        <v>46004.267361111109</v>
      </c>
      <c r="F757" s="52">
        <v>46004.330555555556</v>
      </c>
      <c r="G757" s="53">
        <f t="shared" si="38"/>
        <v>6.3194444446708076E-2</v>
      </c>
      <c r="H757" s="1" t="s">
        <v>257</v>
      </c>
      <c r="J757" s="1" t="s">
        <v>258</v>
      </c>
      <c r="K757" s="1" t="str">
        <f>_xlfn.XLOOKUP(J757,REF!$D$2:$D$12,REF!$E$2:$E$12)</f>
        <v>Rede</v>
      </c>
      <c r="L757" s="1" t="s">
        <v>2057</v>
      </c>
      <c r="M757" s="1" t="s">
        <v>260</v>
      </c>
      <c r="N757" s="1" t="s">
        <v>261</v>
      </c>
      <c r="O757" s="1" t="s">
        <v>2098</v>
      </c>
      <c r="P757" s="1" t="str">
        <f t="shared" si="39"/>
        <v>Caiaponia ISG60KTL(COM2-029)46004,267361111146004,267361111146004,3305555556</v>
      </c>
      <c r="Q757" s="1" t="str">
        <f t="shared" si="40"/>
        <v>DAURDE</v>
      </c>
    </row>
    <row r="758" spans="2:17" hidden="1">
      <c r="B758" s="1" t="s">
        <v>2132</v>
      </c>
      <c r="C758" s="1" t="s">
        <v>482</v>
      </c>
      <c r="D758" s="52">
        <v>46004.267361111109</v>
      </c>
      <c r="E758" s="52">
        <v>46004.267361111109</v>
      </c>
      <c r="F758" s="52">
        <v>46004.330555555556</v>
      </c>
      <c r="G758" s="53">
        <f t="shared" si="38"/>
        <v>6.3194444446708076E-2</v>
      </c>
      <c r="H758" s="1" t="s">
        <v>257</v>
      </c>
      <c r="J758" s="1" t="s">
        <v>258</v>
      </c>
      <c r="K758" s="1" t="str">
        <f>_xlfn.XLOOKUP(J758,REF!$D$2:$D$12,REF!$E$2:$E$12)</f>
        <v>Rede</v>
      </c>
      <c r="L758" s="1" t="s">
        <v>2057</v>
      </c>
      <c r="M758" s="1" t="s">
        <v>260</v>
      </c>
      <c r="N758" s="1" t="s">
        <v>261</v>
      </c>
      <c r="O758" s="1" t="s">
        <v>2098</v>
      </c>
      <c r="P758" s="1" t="str">
        <f t="shared" si="39"/>
        <v>Caiaponia ISG50CX(COM1-021)46004,267361111146004,267361111146004,3305555556</v>
      </c>
      <c r="Q758" s="1" t="str">
        <f t="shared" si="40"/>
        <v>DAURDE</v>
      </c>
    </row>
    <row r="759" spans="2:17" hidden="1">
      <c r="B759" s="1" t="s">
        <v>2132</v>
      </c>
      <c r="C759" s="1" t="s">
        <v>483</v>
      </c>
      <c r="D759" s="52">
        <v>46004.267361111109</v>
      </c>
      <c r="E759" s="52">
        <v>46004.267361111109</v>
      </c>
      <c r="F759" s="52">
        <v>46004.330555555556</v>
      </c>
      <c r="G759" s="53">
        <f t="shared" si="38"/>
        <v>6.3194444446708076E-2</v>
      </c>
      <c r="H759" s="1" t="s">
        <v>257</v>
      </c>
      <c r="J759" s="1" t="s">
        <v>258</v>
      </c>
      <c r="K759" s="1" t="str">
        <f>_xlfn.XLOOKUP(J759,REF!$D$2:$D$12,REF!$E$2:$E$12)</f>
        <v>Rede</v>
      </c>
      <c r="L759" s="1" t="s">
        <v>2057</v>
      </c>
      <c r="M759" s="1" t="s">
        <v>260</v>
      </c>
      <c r="N759" s="1" t="s">
        <v>261</v>
      </c>
      <c r="O759" s="1" t="s">
        <v>2098</v>
      </c>
      <c r="P759" s="1" t="str">
        <f t="shared" si="39"/>
        <v>Caiaponia ISG50CX(COM1-022)46004,267361111146004,267361111146004,3305555556</v>
      </c>
      <c r="Q759" s="1" t="str">
        <f t="shared" si="40"/>
        <v>DAURDE</v>
      </c>
    </row>
    <row r="760" spans="2:17" hidden="1">
      <c r="B760" s="1" t="s">
        <v>2132</v>
      </c>
      <c r="C760" s="1" t="s">
        <v>484</v>
      </c>
      <c r="D760" s="52">
        <v>46004.267361111109</v>
      </c>
      <c r="E760" s="52">
        <v>46004.267361111109</v>
      </c>
      <c r="F760" s="52">
        <v>46004.330555555556</v>
      </c>
      <c r="G760" s="53">
        <f t="shared" si="38"/>
        <v>6.3194444446708076E-2</v>
      </c>
      <c r="H760" s="1" t="s">
        <v>257</v>
      </c>
      <c r="J760" s="1" t="s">
        <v>258</v>
      </c>
      <c r="K760" s="1" t="str">
        <f>_xlfn.XLOOKUP(J760,REF!$D$2:$D$12,REF!$E$2:$E$12)</f>
        <v>Rede</v>
      </c>
      <c r="L760" s="1" t="s">
        <v>2057</v>
      </c>
      <c r="M760" s="1" t="s">
        <v>260</v>
      </c>
      <c r="N760" s="1" t="s">
        <v>261</v>
      </c>
      <c r="O760" s="1" t="s">
        <v>2098</v>
      </c>
      <c r="P760" s="1" t="str">
        <f t="shared" si="39"/>
        <v>Caiaponia ISG50CX(COM1-023)46004,267361111146004,267361111146004,3305555556</v>
      </c>
      <c r="Q760" s="1" t="str">
        <f t="shared" si="40"/>
        <v>DAURDE</v>
      </c>
    </row>
    <row r="761" spans="2:17" hidden="1">
      <c r="B761" s="1" t="s">
        <v>2132</v>
      </c>
      <c r="C761" s="1" t="s">
        <v>485</v>
      </c>
      <c r="D761" s="52">
        <v>46004.267361111109</v>
      </c>
      <c r="E761" s="52">
        <v>46004.267361111109</v>
      </c>
      <c r="F761" s="52">
        <v>46004.330555555556</v>
      </c>
      <c r="G761" s="53">
        <f t="shared" si="38"/>
        <v>6.3194444446708076E-2</v>
      </c>
      <c r="H761" s="1" t="s">
        <v>257</v>
      </c>
      <c r="J761" s="1" t="s">
        <v>258</v>
      </c>
      <c r="K761" s="1" t="str">
        <f>_xlfn.XLOOKUP(J761,REF!$D$2:$D$12,REF!$E$2:$E$12)</f>
        <v>Rede</v>
      </c>
      <c r="L761" s="1" t="s">
        <v>2057</v>
      </c>
      <c r="M761" s="1" t="s">
        <v>260</v>
      </c>
      <c r="N761" s="1" t="s">
        <v>261</v>
      </c>
      <c r="O761" s="1" t="s">
        <v>2098</v>
      </c>
      <c r="P761" s="1" t="str">
        <f t="shared" si="39"/>
        <v>Caiaponia ISG50CX(COM1-024)46004,267361111146004,267361111146004,3305555556</v>
      </c>
      <c r="Q761" s="1" t="str">
        <f t="shared" si="40"/>
        <v>DAURDE</v>
      </c>
    </row>
    <row r="762" spans="2:17" hidden="1">
      <c r="B762" s="1" t="s">
        <v>2132</v>
      </c>
      <c r="C762" s="1" t="s">
        <v>486</v>
      </c>
      <c r="D762" s="52">
        <v>46004.267361111109</v>
      </c>
      <c r="E762" s="52">
        <v>46004.267361111109</v>
      </c>
      <c r="F762" s="52">
        <v>46004.330555555556</v>
      </c>
      <c r="G762" s="53">
        <f t="shared" si="38"/>
        <v>6.3194444446708076E-2</v>
      </c>
      <c r="H762" s="1" t="s">
        <v>257</v>
      </c>
      <c r="J762" s="1" t="s">
        <v>258</v>
      </c>
      <c r="K762" s="1" t="str">
        <f>_xlfn.XLOOKUP(J762,REF!$D$2:$D$12,REF!$E$2:$E$12)</f>
        <v>Rede</v>
      </c>
      <c r="L762" s="1" t="s">
        <v>2057</v>
      </c>
      <c r="M762" s="1" t="s">
        <v>260</v>
      </c>
      <c r="N762" s="1" t="s">
        <v>261</v>
      </c>
      <c r="O762" s="1" t="s">
        <v>2098</v>
      </c>
      <c r="P762" s="1" t="str">
        <f t="shared" si="39"/>
        <v>Caiaponia ISG50CX(COM1-025)46004,267361111146004,267361111146004,3305555556</v>
      </c>
      <c r="Q762" s="1" t="str">
        <f t="shared" si="40"/>
        <v>DAURDE</v>
      </c>
    </row>
    <row r="763" spans="2:17">
      <c r="B763" s="1" t="s">
        <v>2175</v>
      </c>
      <c r="C763" s="1" t="s">
        <v>300</v>
      </c>
      <c r="D763" s="52">
        <v>46002.263888888891</v>
      </c>
      <c r="E763" s="52">
        <v>46002.263888888891</v>
      </c>
      <c r="F763" s="52">
        <v>46002.395833333336</v>
      </c>
      <c r="G763" s="53">
        <f t="shared" si="38"/>
        <v>0.13194444444525288</v>
      </c>
      <c r="H763" s="1" t="s">
        <v>268</v>
      </c>
      <c r="I763" s="1" t="s">
        <v>269</v>
      </c>
      <c r="J763" s="1" t="s">
        <v>319</v>
      </c>
      <c r="K763" s="1" t="str">
        <f>_xlfn.XLOOKUP(J763,REF!$D$2:$D$12,REF!$E$2:$E$12)</f>
        <v>Comunicação</v>
      </c>
      <c r="L763" s="1" t="s">
        <v>715</v>
      </c>
      <c r="M763" s="1" t="s">
        <v>272</v>
      </c>
      <c r="N763" s="1" t="s">
        <v>253</v>
      </c>
      <c r="O763" s="1" t="s">
        <v>697</v>
      </c>
      <c r="P763" s="1" t="str">
        <f t="shared" si="39"/>
        <v>Panamá IITAPOAN 001 (COM1-001)_001_00146002,263888888946002,263888888946002,3958333333</v>
      </c>
      <c r="Q763" s="1" t="str">
        <f t="shared" si="40"/>
        <v>LIGRFOCOM</v>
      </c>
    </row>
    <row r="764" spans="2:17">
      <c r="B764" s="1" t="s">
        <v>803</v>
      </c>
      <c r="C764" s="1" t="s">
        <v>264</v>
      </c>
      <c r="D764" s="52">
        <v>45992.760416666664</v>
      </c>
      <c r="E764" s="52">
        <v>45992.760416666664</v>
      </c>
      <c r="F764" s="52">
        <v>45992.767361111109</v>
      </c>
      <c r="G764" s="53">
        <f t="shared" ref="G764:G827" si="41">F764-E764</f>
        <v>6.9444444452528842E-3</v>
      </c>
      <c r="H764" s="1" t="s">
        <v>268</v>
      </c>
      <c r="I764" s="1" t="s">
        <v>269</v>
      </c>
      <c r="J764" s="1" t="s">
        <v>319</v>
      </c>
      <c r="K764" s="1" t="str">
        <f>_xlfn.XLOOKUP(J764,REF!$D$2:$D$12,REF!$E$2:$E$12)</f>
        <v>Comunicação</v>
      </c>
      <c r="L764" s="1" t="s">
        <v>715</v>
      </c>
      <c r="M764" s="1" t="s">
        <v>272</v>
      </c>
      <c r="N764" s="1" t="s">
        <v>2023</v>
      </c>
      <c r="O764" s="1" t="s">
        <v>2176</v>
      </c>
      <c r="P764" s="1" t="str">
        <f t="shared" si="39"/>
        <v>BC Formoso1.1Inverter(MBUS-13)45992,760416666745992,760416666745992,7673611111</v>
      </c>
      <c r="Q764" s="1" t="str">
        <f t="shared" si="40"/>
        <v>LIGRFOCOM</v>
      </c>
    </row>
    <row r="765" spans="2:17">
      <c r="B765" s="1" t="s">
        <v>803</v>
      </c>
      <c r="C765" s="1" t="s">
        <v>256</v>
      </c>
      <c r="D765" s="52">
        <v>45992.760416666664</v>
      </c>
      <c r="E765" s="52">
        <v>45992.760416666664</v>
      </c>
      <c r="F765" s="52">
        <v>45992.767361111109</v>
      </c>
      <c r="G765" s="53">
        <f t="shared" ref="G765:G783" si="42">F765-E765</f>
        <v>6.9444444452528842E-3</v>
      </c>
      <c r="H765" s="1" t="s">
        <v>268</v>
      </c>
      <c r="I765" s="1" t="s">
        <v>269</v>
      </c>
      <c r="J765" s="1" t="s">
        <v>319</v>
      </c>
      <c r="K765" s="1" t="str">
        <f>_xlfn.XLOOKUP(J765,REF!$D$2:$D$12,REF!$E$2:$E$12)</f>
        <v>Comunicação</v>
      </c>
      <c r="L765" s="1" t="s">
        <v>715</v>
      </c>
      <c r="M765" s="1" t="s">
        <v>272</v>
      </c>
      <c r="N765" s="1" t="s">
        <v>2023</v>
      </c>
      <c r="O765" s="1" t="s">
        <v>2176</v>
      </c>
      <c r="P765" s="1" t="str">
        <f t="shared" si="39"/>
        <v>BC Formoso1.1Inverter(MBUS-12)45992,760416666745992,760416666745992,7673611111</v>
      </c>
      <c r="Q765" s="1" t="str">
        <f t="shared" si="40"/>
        <v>LIGRFOCOM</v>
      </c>
    </row>
    <row r="766" spans="2:17">
      <c r="B766" s="1" t="s">
        <v>803</v>
      </c>
      <c r="C766" s="1" t="s">
        <v>307</v>
      </c>
      <c r="D766" s="52">
        <v>45992.760416666664</v>
      </c>
      <c r="E766" s="52">
        <v>45992.760416666664</v>
      </c>
      <c r="F766" s="52">
        <v>45992.767361111109</v>
      </c>
      <c r="G766" s="53">
        <f t="shared" si="42"/>
        <v>6.9444444452528842E-3</v>
      </c>
      <c r="H766" s="1" t="s">
        <v>268</v>
      </c>
      <c r="I766" s="1" t="s">
        <v>269</v>
      </c>
      <c r="J766" s="1" t="s">
        <v>319</v>
      </c>
      <c r="K766" s="1" t="str">
        <f>_xlfn.XLOOKUP(J766,REF!$D$2:$D$12,REF!$E$2:$E$12)</f>
        <v>Comunicação</v>
      </c>
      <c r="L766" s="1" t="s">
        <v>715</v>
      </c>
      <c r="M766" s="1" t="s">
        <v>272</v>
      </c>
      <c r="N766" s="1" t="s">
        <v>2023</v>
      </c>
      <c r="O766" s="1" t="s">
        <v>2176</v>
      </c>
      <c r="P766" s="1" t="str">
        <f t="shared" si="39"/>
        <v>BC Formoso1.1Inverter(MBUS-15)45992,760416666745992,760416666745992,7673611111</v>
      </c>
      <c r="Q766" s="1" t="str">
        <f t="shared" si="40"/>
        <v>LIGRFOCOM</v>
      </c>
    </row>
    <row r="767" spans="2:17">
      <c r="B767" s="1" t="s">
        <v>803</v>
      </c>
      <c r="C767" s="1" t="s">
        <v>263</v>
      </c>
      <c r="D767" s="52">
        <v>45992.760416666664</v>
      </c>
      <c r="E767" s="52">
        <v>45992.760416666664</v>
      </c>
      <c r="F767" s="52">
        <v>45992.767361111109</v>
      </c>
      <c r="G767" s="53">
        <f t="shared" si="42"/>
        <v>6.9444444452528842E-3</v>
      </c>
      <c r="H767" s="1" t="s">
        <v>268</v>
      </c>
      <c r="I767" s="1" t="s">
        <v>269</v>
      </c>
      <c r="J767" s="1" t="s">
        <v>319</v>
      </c>
      <c r="K767" s="1" t="str">
        <f>_xlfn.XLOOKUP(J767,REF!$D$2:$D$12,REF!$E$2:$E$12)</f>
        <v>Comunicação</v>
      </c>
      <c r="L767" s="1" t="s">
        <v>715</v>
      </c>
      <c r="M767" s="1" t="s">
        <v>272</v>
      </c>
      <c r="N767" s="1" t="s">
        <v>2023</v>
      </c>
      <c r="O767" s="1" t="s">
        <v>2176</v>
      </c>
      <c r="P767" s="1" t="str">
        <f t="shared" si="39"/>
        <v>BC Formoso1.1Inverter(MBUS-14)45992,760416666745992,760416666745992,7673611111</v>
      </c>
      <c r="Q767" s="1" t="str">
        <f t="shared" si="40"/>
        <v>LIGRFOCOM</v>
      </c>
    </row>
    <row r="768" spans="2:17">
      <c r="B768" s="1" t="s">
        <v>805</v>
      </c>
      <c r="C768" s="1" t="s">
        <v>264</v>
      </c>
      <c r="D768" s="52">
        <v>45992.760416666664</v>
      </c>
      <c r="E768" s="52">
        <v>45992.760416666664</v>
      </c>
      <c r="F768" s="52">
        <v>45992.767361111109</v>
      </c>
      <c r="G768" s="53">
        <f t="shared" si="42"/>
        <v>6.9444444452528842E-3</v>
      </c>
      <c r="H768" s="1" t="s">
        <v>268</v>
      </c>
      <c r="I768" s="1" t="s">
        <v>269</v>
      </c>
      <c r="J768" s="1" t="s">
        <v>319</v>
      </c>
      <c r="K768" s="1" t="str">
        <f>_xlfn.XLOOKUP(J768,REF!$D$2:$D$12,REF!$E$2:$E$12)</f>
        <v>Comunicação</v>
      </c>
      <c r="L768" s="1" t="s">
        <v>715</v>
      </c>
      <c r="M768" s="1" t="s">
        <v>272</v>
      </c>
      <c r="N768" s="1" t="s">
        <v>2023</v>
      </c>
      <c r="O768" s="1" t="s">
        <v>2176</v>
      </c>
      <c r="P768" s="1" t="str">
        <f t="shared" si="39"/>
        <v>BC Formoso1.2Inverter(MBUS-13)45992,760416666745992,760416666745992,7673611111</v>
      </c>
      <c r="Q768" s="1" t="str">
        <f t="shared" si="40"/>
        <v>LIGRFOCOM</v>
      </c>
    </row>
    <row r="769" spans="2:17">
      <c r="B769" s="1" t="s">
        <v>805</v>
      </c>
      <c r="C769" s="1" t="s">
        <v>256</v>
      </c>
      <c r="D769" s="52">
        <v>45992.760416666664</v>
      </c>
      <c r="E769" s="52">
        <v>45992.760416666664</v>
      </c>
      <c r="F769" s="52">
        <v>45992.767361111109</v>
      </c>
      <c r="G769" s="53">
        <f t="shared" si="42"/>
        <v>6.9444444452528842E-3</v>
      </c>
      <c r="H769" s="1" t="s">
        <v>268</v>
      </c>
      <c r="I769" s="1" t="s">
        <v>269</v>
      </c>
      <c r="J769" s="1" t="s">
        <v>319</v>
      </c>
      <c r="K769" s="1" t="str">
        <f>_xlfn.XLOOKUP(J769,REF!$D$2:$D$12,REF!$E$2:$E$12)</f>
        <v>Comunicação</v>
      </c>
      <c r="L769" s="1" t="s">
        <v>715</v>
      </c>
      <c r="M769" s="1" t="s">
        <v>272</v>
      </c>
      <c r="N769" s="1" t="s">
        <v>2023</v>
      </c>
      <c r="O769" s="1" t="s">
        <v>2176</v>
      </c>
      <c r="P769" s="1" t="str">
        <f t="shared" si="39"/>
        <v>BC Formoso1.2Inverter(MBUS-12)45992,760416666745992,760416666745992,7673611111</v>
      </c>
      <c r="Q769" s="1" t="str">
        <f t="shared" si="40"/>
        <v>LIGRFOCOM</v>
      </c>
    </row>
    <row r="770" spans="2:17">
      <c r="B770" s="1" t="s">
        <v>805</v>
      </c>
      <c r="C770" s="1" t="s">
        <v>307</v>
      </c>
      <c r="D770" s="52">
        <v>45992.760416666664</v>
      </c>
      <c r="E770" s="52">
        <v>45992.760416666664</v>
      </c>
      <c r="F770" s="52">
        <v>45992.767361111109</v>
      </c>
      <c r="G770" s="53">
        <f t="shared" si="42"/>
        <v>6.9444444452528842E-3</v>
      </c>
      <c r="H770" s="1" t="s">
        <v>268</v>
      </c>
      <c r="I770" s="1" t="s">
        <v>269</v>
      </c>
      <c r="J770" s="1" t="s">
        <v>319</v>
      </c>
      <c r="K770" s="1" t="str">
        <f>_xlfn.XLOOKUP(J770,REF!$D$2:$D$12,REF!$E$2:$E$12)</f>
        <v>Comunicação</v>
      </c>
      <c r="L770" s="1" t="s">
        <v>715</v>
      </c>
      <c r="M770" s="1" t="s">
        <v>272</v>
      </c>
      <c r="N770" s="1" t="s">
        <v>2023</v>
      </c>
      <c r="O770" s="1" t="s">
        <v>2176</v>
      </c>
      <c r="P770" s="1" t="str">
        <f t="shared" si="39"/>
        <v>BC Formoso1.2Inverter(MBUS-15)45992,760416666745992,760416666745992,7673611111</v>
      </c>
      <c r="Q770" s="1" t="str">
        <f t="shared" si="40"/>
        <v>LIGRFOCOM</v>
      </c>
    </row>
    <row r="771" spans="2:17">
      <c r="B771" s="1" t="s">
        <v>805</v>
      </c>
      <c r="C771" s="1" t="s">
        <v>263</v>
      </c>
      <c r="D771" s="52">
        <v>45992.760416666664</v>
      </c>
      <c r="E771" s="52">
        <v>45992.760416666664</v>
      </c>
      <c r="F771" s="52">
        <v>45992.767361111109</v>
      </c>
      <c r="G771" s="53">
        <f t="shared" si="42"/>
        <v>6.9444444452528842E-3</v>
      </c>
      <c r="H771" s="1" t="s">
        <v>268</v>
      </c>
      <c r="I771" s="1" t="s">
        <v>269</v>
      </c>
      <c r="J771" s="1" t="s">
        <v>319</v>
      </c>
      <c r="K771" s="1" t="str">
        <f>_xlfn.XLOOKUP(J771,REF!$D$2:$D$12,REF!$E$2:$E$12)</f>
        <v>Comunicação</v>
      </c>
      <c r="L771" s="1" t="s">
        <v>715</v>
      </c>
      <c r="M771" s="1" t="s">
        <v>272</v>
      </c>
      <c r="N771" s="1" t="s">
        <v>2023</v>
      </c>
      <c r="O771" s="1" t="s">
        <v>2176</v>
      </c>
      <c r="P771" s="1" t="str">
        <f t="shared" ref="P771:P800" si="43">_xlfn.CONCAT(B771,C771,D771,E771,F771)</f>
        <v>BC Formoso1.2Inverter(MBUS-14)45992,760416666745992,760416666745992,7673611111</v>
      </c>
      <c r="Q771" s="1" t="str">
        <f t="shared" ref="Q771:Q800" si="44">_xlfn.CONCAT(H771,I771,J771)</f>
        <v>LIGRFOCOM</v>
      </c>
    </row>
    <row r="772" spans="2:17">
      <c r="B772" s="1" t="s">
        <v>806</v>
      </c>
      <c r="C772" s="1" t="s">
        <v>264</v>
      </c>
      <c r="D772" s="52">
        <v>45992.760416666664</v>
      </c>
      <c r="E772" s="52">
        <v>45992.760416666664</v>
      </c>
      <c r="F772" s="52">
        <v>45992.767361111109</v>
      </c>
      <c r="G772" s="53">
        <f t="shared" si="42"/>
        <v>6.9444444452528842E-3</v>
      </c>
      <c r="H772" s="1" t="s">
        <v>268</v>
      </c>
      <c r="I772" s="1" t="s">
        <v>269</v>
      </c>
      <c r="J772" s="1" t="s">
        <v>319</v>
      </c>
      <c r="K772" s="1" t="str">
        <f>_xlfn.XLOOKUP(J772,REF!$D$2:$D$12,REF!$E$2:$E$12)</f>
        <v>Comunicação</v>
      </c>
      <c r="L772" s="1" t="s">
        <v>715</v>
      </c>
      <c r="M772" s="1" t="s">
        <v>272</v>
      </c>
      <c r="N772" s="1" t="s">
        <v>2023</v>
      </c>
      <c r="O772" s="1" t="s">
        <v>2176</v>
      </c>
      <c r="P772" s="1" t="str">
        <f t="shared" si="43"/>
        <v>BC Formoso1.3Inverter(MBUS-13)45992,760416666745992,760416666745992,7673611111</v>
      </c>
      <c r="Q772" s="1" t="str">
        <f t="shared" si="44"/>
        <v>LIGRFOCOM</v>
      </c>
    </row>
    <row r="773" spans="2:17">
      <c r="B773" s="1" t="s">
        <v>806</v>
      </c>
      <c r="C773" s="1" t="s">
        <v>256</v>
      </c>
      <c r="D773" s="52">
        <v>45992.760416666664</v>
      </c>
      <c r="E773" s="52">
        <v>45992.760416666664</v>
      </c>
      <c r="F773" s="52">
        <v>45992.767361111109</v>
      </c>
      <c r="G773" s="53">
        <f t="shared" si="42"/>
        <v>6.9444444452528842E-3</v>
      </c>
      <c r="H773" s="1" t="s">
        <v>268</v>
      </c>
      <c r="I773" s="1" t="s">
        <v>269</v>
      </c>
      <c r="J773" s="1" t="s">
        <v>319</v>
      </c>
      <c r="K773" s="1" t="str">
        <f>_xlfn.XLOOKUP(J773,REF!$D$2:$D$12,REF!$E$2:$E$12)</f>
        <v>Comunicação</v>
      </c>
      <c r="L773" s="1" t="s">
        <v>715</v>
      </c>
      <c r="M773" s="1" t="s">
        <v>272</v>
      </c>
      <c r="N773" s="1" t="s">
        <v>2023</v>
      </c>
      <c r="O773" s="1" t="s">
        <v>2176</v>
      </c>
      <c r="P773" s="1" t="str">
        <f t="shared" si="43"/>
        <v>BC Formoso1.3Inverter(MBUS-12)45992,760416666745992,760416666745992,7673611111</v>
      </c>
      <c r="Q773" s="1" t="str">
        <f t="shared" si="44"/>
        <v>LIGRFOCOM</v>
      </c>
    </row>
    <row r="774" spans="2:17">
      <c r="B774" s="1" t="s">
        <v>255</v>
      </c>
      <c r="C774" s="1" t="s">
        <v>256</v>
      </c>
      <c r="D774" s="52">
        <v>45992.760416666664</v>
      </c>
      <c r="E774" s="52">
        <v>45992.760416666664</v>
      </c>
      <c r="F774" s="52">
        <v>45992.767361111109</v>
      </c>
      <c r="G774" s="53">
        <f t="shared" si="42"/>
        <v>6.9444444452528842E-3</v>
      </c>
      <c r="H774" s="1" t="s">
        <v>268</v>
      </c>
      <c r="I774" s="1" t="s">
        <v>269</v>
      </c>
      <c r="J774" s="1" t="s">
        <v>319</v>
      </c>
      <c r="K774" s="1" t="str">
        <f>_xlfn.XLOOKUP(J774,REF!$D$2:$D$12,REF!$E$2:$E$12)</f>
        <v>Comunicação</v>
      </c>
      <c r="L774" s="1" t="s">
        <v>715</v>
      </c>
      <c r="M774" s="1" t="s">
        <v>272</v>
      </c>
      <c r="N774" s="1" t="s">
        <v>2023</v>
      </c>
      <c r="O774" s="1" t="s">
        <v>2176</v>
      </c>
      <c r="P774" s="1" t="str">
        <f t="shared" si="43"/>
        <v>BC Formoso2.1Inverter(MBUS-12)45992,760416666745992,760416666745992,7673611111</v>
      </c>
      <c r="Q774" s="1" t="str">
        <f t="shared" si="44"/>
        <v>LIGRFOCOM</v>
      </c>
    </row>
    <row r="775" spans="2:17">
      <c r="B775" s="1" t="s">
        <v>255</v>
      </c>
      <c r="C775" s="1" t="s">
        <v>263</v>
      </c>
      <c r="D775" s="52">
        <v>45992.760416666664</v>
      </c>
      <c r="E775" s="52">
        <v>45992.760416666664</v>
      </c>
      <c r="F775" s="52">
        <v>45992.767361111109</v>
      </c>
      <c r="G775" s="53">
        <f t="shared" si="42"/>
        <v>6.9444444452528842E-3</v>
      </c>
      <c r="H775" s="1" t="s">
        <v>268</v>
      </c>
      <c r="I775" s="1" t="s">
        <v>269</v>
      </c>
      <c r="J775" s="1" t="s">
        <v>319</v>
      </c>
      <c r="K775" s="1" t="str">
        <f>_xlfn.XLOOKUP(J775,REF!$D$2:$D$12,REF!$E$2:$E$12)</f>
        <v>Comunicação</v>
      </c>
      <c r="L775" s="1" t="s">
        <v>715</v>
      </c>
      <c r="M775" s="1" t="s">
        <v>272</v>
      </c>
      <c r="N775" s="1" t="s">
        <v>2023</v>
      </c>
      <c r="O775" s="1" t="s">
        <v>2176</v>
      </c>
      <c r="P775" s="1" t="str">
        <f t="shared" si="43"/>
        <v>BC Formoso2.1Inverter(MBUS-14)45992,760416666745992,760416666745992,7673611111</v>
      </c>
      <c r="Q775" s="1" t="str">
        <f t="shared" si="44"/>
        <v>LIGRFOCOM</v>
      </c>
    </row>
    <row r="776" spans="2:17">
      <c r="B776" s="1" t="s">
        <v>255</v>
      </c>
      <c r="C776" s="1" t="s">
        <v>264</v>
      </c>
      <c r="D776" s="52">
        <v>45992.760416666664</v>
      </c>
      <c r="E776" s="52">
        <v>45992.760416666664</v>
      </c>
      <c r="F776" s="52">
        <v>45992.767361111109</v>
      </c>
      <c r="G776" s="53">
        <f t="shared" si="42"/>
        <v>6.9444444452528842E-3</v>
      </c>
      <c r="H776" s="1" t="s">
        <v>268</v>
      </c>
      <c r="I776" s="1" t="s">
        <v>269</v>
      </c>
      <c r="J776" s="1" t="s">
        <v>319</v>
      </c>
      <c r="K776" s="1" t="str">
        <f>_xlfn.XLOOKUP(J776,REF!$D$2:$D$12,REF!$E$2:$E$12)</f>
        <v>Comunicação</v>
      </c>
      <c r="L776" s="1" t="s">
        <v>715</v>
      </c>
      <c r="M776" s="1" t="s">
        <v>272</v>
      </c>
      <c r="N776" s="1" t="s">
        <v>2023</v>
      </c>
      <c r="O776" s="1" t="s">
        <v>2176</v>
      </c>
      <c r="P776" s="1" t="str">
        <f t="shared" si="43"/>
        <v>BC Formoso2.1Inverter(MBUS-13)45992,760416666745992,760416666745992,7673611111</v>
      </c>
      <c r="Q776" s="1" t="str">
        <f t="shared" si="44"/>
        <v>LIGRFOCOM</v>
      </c>
    </row>
    <row r="777" spans="2:17">
      <c r="B777" s="1" t="s">
        <v>255</v>
      </c>
      <c r="C777" s="1" t="s">
        <v>247</v>
      </c>
      <c r="D777" s="52">
        <v>45992.760416666664</v>
      </c>
      <c r="E777" s="52">
        <v>45992.760416666664</v>
      </c>
      <c r="F777" s="52">
        <v>45992.767361111109</v>
      </c>
      <c r="G777" s="53">
        <f t="shared" si="42"/>
        <v>6.9444444452528842E-3</v>
      </c>
      <c r="H777" s="1" t="s">
        <v>268</v>
      </c>
      <c r="I777" s="1" t="s">
        <v>269</v>
      </c>
      <c r="J777" s="1" t="s">
        <v>319</v>
      </c>
      <c r="K777" s="1" t="str">
        <f>_xlfn.XLOOKUP(J777,REF!$D$2:$D$12,REF!$E$2:$E$12)</f>
        <v>Comunicação</v>
      </c>
      <c r="L777" s="1" t="s">
        <v>715</v>
      </c>
      <c r="M777" s="1" t="s">
        <v>272</v>
      </c>
      <c r="N777" s="1" t="s">
        <v>2023</v>
      </c>
      <c r="O777" s="1" t="s">
        <v>2176</v>
      </c>
      <c r="P777" s="1" t="str">
        <f t="shared" si="43"/>
        <v>BC Formoso2.1Inverter(MBUS-1)45992,760416666745992,760416666745992,7673611111</v>
      </c>
      <c r="Q777" s="1" t="str">
        <f t="shared" si="44"/>
        <v>LIGRFOCOM</v>
      </c>
    </row>
    <row r="778" spans="2:17">
      <c r="B778" s="1" t="s">
        <v>265</v>
      </c>
      <c r="C778" s="1" t="s">
        <v>263</v>
      </c>
      <c r="D778" s="52">
        <v>45992.760416666664</v>
      </c>
      <c r="E778" s="52">
        <v>45992.760416666664</v>
      </c>
      <c r="F778" s="52">
        <v>45992.767361111109</v>
      </c>
      <c r="G778" s="53">
        <f t="shared" si="42"/>
        <v>6.9444444452528842E-3</v>
      </c>
      <c r="H778" s="1" t="s">
        <v>268</v>
      </c>
      <c r="I778" s="1" t="s">
        <v>269</v>
      </c>
      <c r="J778" s="1" t="s">
        <v>319</v>
      </c>
      <c r="K778" s="1" t="str">
        <f>_xlfn.XLOOKUP(J778,REF!$D$2:$D$12,REF!$E$2:$E$12)</f>
        <v>Comunicação</v>
      </c>
      <c r="L778" s="1" t="s">
        <v>715</v>
      </c>
      <c r="M778" s="1" t="s">
        <v>272</v>
      </c>
      <c r="N778" s="1" t="s">
        <v>2023</v>
      </c>
      <c r="O778" s="1" t="s">
        <v>2176</v>
      </c>
      <c r="P778" s="1" t="str">
        <f t="shared" si="43"/>
        <v>BC Formoso2.2Inverter(MBUS-14)45992,760416666745992,760416666745992,7673611111</v>
      </c>
      <c r="Q778" s="1" t="str">
        <f t="shared" si="44"/>
        <v>LIGRFOCOM</v>
      </c>
    </row>
    <row r="779" spans="2:17">
      <c r="B779" s="1" t="s">
        <v>265</v>
      </c>
      <c r="C779" s="1" t="s">
        <v>264</v>
      </c>
      <c r="D779" s="52">
        <v>45992.760416666664</v>
      </c>
      <c r="E779" s="52">
        <v>45992.760416666664</v>
      </c>
      <c r="F779" s="52">
        <v>45992.767361111109</v>
      </c>
      <c r="G779" s="53">
        <f t="shared" si="42"/>
        <v>6.9444444452528842E-3</v>
      </c>
      <c r="H779" s="1" t="s">
        <v>268</v>
      </c>
      <c r="I779" s="1" t="s">
        <v>269</v>
      </c>
      <c r="J779" s="1" t="s">
        <v>319</v>
      </c>
      <c r="K779" s="1" t="str">
        <f>_xlfn.XLOOKUP(J779,REF!$D$2:$D$12,REF!$E$2:$E$12)</f>
        <v>Comunicação</v>
      </c>
      <c r="L779" s="1" t="s">
        <v>715</v>
      </c>
      <c r="M779" s="1" t="s">
        <v>272</v>
      </c>
      <c r="N779" s="1" t="s">
        <v>2023</v>
      </c>
      <c r="O779" s="1" t="s">
        <v>2176</v>
      </c>
      <c r="P779" s="1" t="str">
        <f t="shared" si="43"/>
        <v>BC Formoso2.2Inverter(MBUS-13)45992,760416666745992,760416666745992,7673611111</v>
      </c>
      <c r="Q779" s="1" t="str">
        <f t="shared" si="44"/>
        <v>LIGRFOCOM</v>
      </c>
    </row>
    <row r="780" spans="2:17">
      <c r="B780" s="1" t="s">
        <v>265</v>
      </c>
      <c r="C780" s="1" t="s">
        <v>256</v>
      </c>
      <c r="D780" s="52">
        <v>45992.760416666664</v>
      </c>
      <c r="E780" s="52">
        <v>45992.760416666664</v>
      </c>
      <c r="F780" s="52">
        <v>45992.767361111109</v>
      </c>
      <c r="G780" s="53">
        <f t="shared" si="42"/>
        <v>6.9444444452528842E-3</v>
      </c>
      <c r="H780" s="1" t="s">
        <v>268</v>
      </c>
      <c r="I780" s="1" t="s">
        <v>269</v>
      </c>
      <c r="J780" s="1" t="s">
        <v>319</v>
      </c>
      <c r="K780" s="1" t="str">
        <f>_xlfn.XLOOKUP(J780,REF!$D$2:$D$12,REF!$E$2:$E$12)</f>
        <v>Comunicação</v>
      </c>
      <c r="L780" s="1" t="s">
        <v>715</v>
      </c>
      <c r="M780" s="1" t="s">
        <v>272</v>
      </c>
      <c r="N780" s="1" t="s">
        <v>2023</v>
      </c>
      <c r="O780" s="1" t="s">
        <v>2176</v>
      </c>
      <c r="P780" s="1" t="str">
        <f t="shared" si="43"/>
        <v>BC Formoso2.2Inverter(MBUS-12)45992,760416666745992,760416666745992,7673611111</v>
      </c>
      <c r="Q780" s="1" t="str">
        <f t="shared" si="44"/>
        <v>LIGRFOCOM</v>
      </c>
    </row>
    <row r="781" spans="2:17">
      <c r="B781" s="1" t="s">
        <v>265</v>
      </c>
      <c r="C781" s="1" t="s">
        <v>247</v>
      </c>
      <c r="D781" s="52">
        <v>45992.760416666664</v>
      </c>
      <c r="E781" s="52">
        <v>45992.760416666664</v>
      </c>
      <c r="F781" s="52">
        <v>45992.767361111109</v>
      </c>
      <c r="G781" s="53">
        <f t="shared" si="42"/>
        <v>6.9444444452528842E-3</v>
      </c>
      <c r="H781" s="1" t="s">
        <v>268</v>
      </c>
      <c r="I781" s="1" t="s">
        <v>269</v>
      </c>
      <c r="J781" s="1" t="s">
        <v>319</v>
      </c>
      <c r="K781" s="1" t="str">
        <f>_xlfn.XLOOKUP(J781,REF!$D$2:$D$12,REF!$E$2:$E$12)</f>
        <v>Comunicação</v>
      </c>
      <c r="L781" s="1" t="s">
        <v>715</v>
      </c>
      <c r="M781" s="1" t="s">
        <v>272</v>
      </c>
      <c r="N781" s="1" t="s">
        <v>2023</v>
      </c>
      <c r="O781" s="1" t="s">
        <v>2176</v>
      </c>
      <c r="P781" s="1" t="str">
        <f t="shared" si="43"/>
        <v>BC Formoso2.2Inverter(MBUS-1)45992,760416666745992,760416666745992,7673611111</v>
      </c>
      <c r="Q781" s="1" t="str">
        <f t="shared" si="44"/>
        <v>LIGRFOCOM</v>
      </c>
    </row>
    <row r="782" spans="2:17">
      <c r="B782" s="1" t="s">
        <v>355</v>
      </c>
      <c r="C782" s="1" t="s">
        <v>264</v>
      </c>
      <c r="D782" s="52">
        <v>45992.760416666664</v>
      </c>
      <c r="E782" s="52">
        <v>45992.760416666664</v>
      </c>
      <c r="F782" s="52">
        <v>45992.767361111109</v>
      </c>
      <c r="G782" s="53">
        <f t="shared" si="42"/>
        <v>6.9444444452528842E-3</v>
      </c>
      <c r="H782" s="1" t="s">
        <v>268</v>
      </c>
      <c r="I782" s="1" t="s">
        <v>269</v>
      </c>
      <c r="J782" s="1" t="s">
        <v>319</v>
      </c>
      <c r="K782" s="1" t="str">
        <f>_xlfn.XLOOKUP(J782,REF!$D$2:$D$12,REF!$E$2:$E$12)</f>
        <v>Comunicação</v>
      </c>
      <c r="L782" s="1" t="s">
        <v>715</v>
      </c>
      <c r="M782" s="1" t="s">
        <v>272</v>
      </c>
      <c r="N782" s="1" t="s">
        <v>2023</v>
      </c>
      <c r="O782" s="1" t="s">
        <v>2176</v>
      </c>
      <c r="P782" s="1" t="str">
        <f t="shared" si="43"/>
        <v>BC Formoso2.3Inverter(MBUS-13)45992,760416666745992,760416666745992,7673611111</v>
      </c>
      <c r="Q782" s="1" t="str">
        <f t="shared" si="44"/>
        <v>LIGRFOCOM</v>
      </c>
    </row>
    <row r="783" spans="2:17">
      <c r="B783" s="1" t="s">
        <v>355</v>
      </c>
      <c r="C783" s="1" t="s">
        <v>256</v>
      </c>
      <c r="D783" s="52">
        <v>45992.760416666664</v>
      </c>
      <c r="E783" s="52">
        <v>45992.760416666664</v>
      </c>
      <c r="F783" s="52">
        <v>45992.767361111109</v>
      </c>
      <c r="G783" s="53">
        <f t="shared" si="42"/>
        <v>6.9444444452528842E-3</v>
      </c>
      <c r="H783" s="1" t="s">
        <v>268</v>
      </c>
      <c r="I783" s="1" t="s">
        <v>269</v>
      </c>
      <c r="J783" s="1" t="s">
        <v>319</v>
      </c>
      <c r="K783" s="1" t="str">
        <f>_xlfn.XLOOKUP(J783,REF!$D$2:$D$12,REF!$E$2:$E$12)</f>
        <v>Comunicação</v>
      </c>
      <c r="L783" s="1" t="s">
        <v>715</v>
      </c>
      <c r="M783" s="1" t="s">
        <v>272</v>
      </c>
      <c r="N783" s="1" t="s">
        <v>2023</v>
      </c>
      <c r="O783" s="1" t="s">
        <v>2176</v>
      </c>
      <c r="P783" s="1" t="str">
        <f t="shared" si="43"/>
        <v>BC Formoso2.3Inverter(MBUS-12)45992,760416666745992,760416666745992,7673611111</v>
      </c>
      <c r="Q783" s="1" t="str">
        <f t="shared" si="44"/>
        <v>LIGRFOCOM</v>
      </c>
    </row>
    <row r="784" spans="2:17">
      <c r="B784" s="1" t="s">
        <v>375</v>
      </c>
      <c r="C784" s="1" t="s">
        <v>247</v>
      </c>
      <c r="D784" s="52">
        <v>45999.558333333334</v>
      </c>
      <c r="E784" s="52">
        <v>45999.558333333334</v>
      </c>
      <c r="F784" s="52">
        <v>45999.583333333336</v>
      </c>
      <c r="G784" s="53">
        <f t="shared" si="41"/>
        <v>2.5000000001455192E-2</v>
      </c>
      <c r="H784" s="1" t="s">
        <v>268</v>
      </c>
      <c r="I784" s="1" t="s">
        <v>269</v>
      </c>
      <c r="J784" s="1" t="s">
        <v>319</v>
      </c>
      <c r="K784" s="1" t="str">
        <f>_xlfn.XLOOKUP(J784,REF!$D$2:$D$12,REF!$E$2:$E$12)</f>
        <v>Comunicação</v>
      </c>
      <c r="L784" s="1" t="s">
        <v>715</v>
      </c>
      <c r="M784" s="1" t="s">
        <v>272</v>
      </c>
      <c r="N784" s="1" t="s">
        <v>253</v>
      </c>
      <c r="O784" s="1" t="s">
        <v>2177</v>
      </c>
      <c r="P784" s="1" t="str">
        <f t="shared" si="43"/>
        <v>BC Camarao1.1Inverter(MBUS-1)45999,558333333345999,558333333345999,5833333333</v>
      </c>
      <c r="Q784" s="1" t="str">
        <f t="shared" si="44"/>
        <v>LIGRFOCOM</v>
      </c>
    </row>
    <row r="785" spans="2:17">
      <c r="B785" s="1" t="s">
        <v>375</v>
      </c>
      <c r="C785" s="1" t="s">
        <v>377</v>
      </c>
      <c r="D785" s="52">
        <v>45999.558333333334</v>
      </c>
      <c r="E785" s="52">
        <v>45999.558333333334</v>
      </c>
      <c r="F785" s="52">
        <v>45999.583333333336</v>
      </c>
      <c r="G785" s="53">
        <f t="shared" si="41"/>
        <v>2.5000000001455192E-2</v>
      </c>
      <c r="H785" s="1" t="s">
        <v>268</v>
      </c>
      <c r="I785" s="1" t="s">
        <v>269</v>
      </c>
      <c r="J785" s="1" t="s">
        <v>319</v>
      </c>
      <c r="K785" s="1" t="str">
        <f>_xlfn.XLOOKUP(J785,REF!$D$2:$D$12,REF!$E$2:$E$12)</f>
        <v>Comunicação</v>
      </c>
      <c r="L785" s="1" t="s">
        <v>715</v>
      </c>
      <c r="M785" s="1" t="s">
        <v>272</v>
      </c>
      <c r="N785" s="1" t="s">
        <v>253</v>
      </c>
      <c r="O785" s="1" t="s">
        <v>2177</v>
      </c>
      <c r="P785" s="1" t="str">
        <f t="shared" si="43"/>
        <v>BC Camarao1.1215KTL-H3(MBUS-12)45999,558333333345999,558333333345999,5833333333</v>
      </c>
      <c r="Q785" s="1" t="str">
        <f t="shared" si="44"/>
        <v>LIGRFOCOM</v>
      </c>
    </row>
    <row r="786" spans="2:17">
      <c r="B786" s="1" t="s">
        <v>375</v>
      </c>
      <c r="C786" s="1" t="s">
        <v>378</v>
      </c>
      <c r="D786" s="52">
        <v>45999.558333333334</v>
      </c>
      <c r="E786" s="52">
        <v>45999.558333333334</v>
      </c>
      <c r="F786" s="52">
        <v>45999.583333333336</v>
      </c>
      <c r="G786" s="53">
        <f t="shared" si="41"/>
        <v>2.5000000001455192E-2</v>
      </c>
      <c r="H786" s="1" t="s">
        <v>268</v>
      </c>
      <c r="I786" s="1" t="s">
        <v>269</v>
      </c>
      <c r="J786" s="1" t="s">
        <v>319</v>
      </c>
      <c r="K786" s="1" t="str">
        <f>_xlfn.XLOOKUP(J786,REF!$D$2:$D$12,REF!$E$2:$E$12)</f>
        <v>Comunicação</v>
      </c>
      <c r="L786" s="1" t="s">
        <v>715</v>
      </c>
      <c r="M786" s="1" t="s">
        <v>272</v>
      </c>
      <c r="N786" s="1" t="s">
        <v>253</v>
      </c>
      <c r="O786" s="1" t="s">
        <v>2177</v>
      </c>
      <c r="P786" s="1" t="str">
        <f t="shared" si="43"/>
        <v>BC Camarao1.1215KTL-H3(MBUS-13)45999,558333333345999,558333333345999,5833333333</v>
      </c>
      <c r="Q786" s="1" t="str">
        <f t="shared" si="44"/>
        <v>LIGRFOCOM</v>
      </c>
    </row>
    <row r="787" spans="2:17">
      <c r="B787" s="1" t="s">
        <v>375</v>
      </c>
      <c r="C787" s="1" t="s">
        <v>379</v>
      </c>
      <c r="D787" s="52">
        <v>45999.558333333334</v>
      </c>
      <c r="E787" s="52">
        <v>45999.558333333334</v>
      </c>
      <c r="F787" s="52">
        <v>45999.583333333336</v>
      </c>
      <c r="G787" s="53">
        <f t="shared" si="41"/>
        <v>2.5000000001455192E-2</v>
      </c>
      <c r="H787" s="1" t="s">
        <v>268</v>
      </c>
      <c r="I787" s="1" t="s">
        <v>269</v>
      </c>
      <c r="J787" s="1" t="s">
        <v>319</v>
      </c>
      <c r="K787" s="1" t="str">
        <f>_xlfn.XLOOKUP(J787,REF!$D$2:$D$12,REF!$E$2:$E$12)</f>
        <v>Comunicação</v>
      </c>
      <c r="L787" s="1" t="s">
        <v>715</v>
      </c>
      <c r="M787" s="1" t="s">
        <v>272</v>
      </c>
      <c r="N787" s="1" t="s">
        <v>253</v>
      </c>
      <c r="O787" s="1" t="s">
        <v>2177</v>
      </c>
      <c r="P787" s="1" t="str">
        <f t="shared" si="43"/>
        <v>BC Camarao1.1215KTL-H3(MBUS-16)45999,558333333345999,558333333345999,5833333333</v>
      </c>
      <c r="Q787" s="1" t="str">
        <f t="shared" si="44"/>
        <v>LIGRFOCOM</v>
      </c>
    </row>
    <row r="788" spans="2:17">
      <c r="B788" s="1" t="s">
        <v>375</v>
      </c>
      <c r="C788" s="1" t="s">
        <v>380</v>
      </c>
      <c r="D788" s="52">
        <v>45999.558333333334</v>
      </c>
      <c r="E788" s="52">
        <v>45999.558333333334</v>
      </c>
      <c r="F788" s="52">
        <v>45999.583333333336</v>
      </c>
      <c r="G788" s="53">
        <f t="shared" si="41"/>
        <v>2.5000000001455192E-2</v>
      </c>
      <c r="H788" s="1" t="s">
        <v>268</v>
      </c>
      <c r="I788" s="1" t="s">
        <v>269</v>
      </c>
      <c r="J788" s="1" t="s">
        <v>319</v>
      </c>
      <c r="K788" s="1" t="str">
        <f>_xlfn.XLOOKUP(J788,REF!$D$2:$D$12,REF!$E$2:$E$12)</f>
        <v>Comunicação</v>
      </c>
      <c r="L788" s="1" t="s">
        <v>715</v>
      </c>
      <c r="M788" s="1" t="s">
        <v>272</v>
      </c>
      <c r="N788" s="1" t="s">
        <v>253</v>
      </c>
      <c r="O788" s="1" t="s">
        <v>2177</v>
      </c>
      <c r="P788" s="1" t="str">
        <f t="shared" si="43"/>
        <v>BC Camarao1.1215KTL-H3(MBUS-15)45999,558333333345999,558333333345999,5833333333</v>
      </c>
      <c r="Q788" s="1" t="str">
        <f t="shared" si="44"/>
        <v>LIGRFOCOM</v>
      </c>
    </row>
    <row r="789" spans="2:17">
      <c r="B789" s="1" t="s">
        <v>387</v>
      </c>
      <c r="C789" s="1" t="s">
        <v>389</v>
      </c>
      <c r="D789" s="52">
        <v>45999.558333333334</v>
      </c>
      <c r="E789" s="52">
        <v>45999.558333333334</v>
      </c>
      <c r="F789" s="52">
        <v>45999.583333333336</v>
      </c>
      <c r="G789" s="53">
        <f t="shared" si="41"/>
        <v>2.5000000001455192E-2</v>
      </c>
      <c r="H789" s="1" t="s">
        <v>268</v>
      </c>
      <c r="I789" s="1" t="s">
        <v>269</v>
      </c>
      <c r="J789" s="1" t="s">
        <v>319</v>
      </c>
      <c r="K789" s="1" t="str">
        <f>_xlfn.XLOOKUP(J789,REF!$D$2:$D$12,REF!$E$2:$E$12)</f>
        <v>Comunicação</v>
      </c>
      <c r="L789" s="1" t="s">
        <v>715</v>
      </c>
      <c r="M789" s="1" t="s">
        <v>272</v>
      </c>
      <c r="N789" s="1" t="s">
        <v>253</v>
      </c>
      <c r="O789" s="1" t="s">
        <v>2177</v>
      </c>
      <c r="P789" s="1" t="str">
        <f t="shared" si="43"/>
        <v>BC Camarao1.2Inv. 445999,558333333345999,558333333345999,5833333333</v>
      </c>
      <c r="Q789" s="1" t="str">
        <f t="shared" si="44"/>
        <v>LIGRFOCOM</v>
      </c>
    </row>
    <row r="790" spans="2:17">
      <c r="B790" s="1" t="s">
        <v>387</v>
      </c>
      <c r="C790" s="1" t="s">
        <v>390</v>
      </c>
      <c r="D790" s="52">
        <v>45999.558333333334</v>
      </c>
      <c r="E790" s="52">
        <v>45999.558333333334</v>
      </c>
      <c r="F790" s="52">
        <v>45999.583333333336</v>
      </c>
      <c r="G790" s="53">
        <f t="shared" si="41"/>
        <v>2.5000000001455192E-2</v>
      </c>
      <c r="H790" s="1" t="s">
        <v>268</v>
      </c>
      <c r="I790" s="1" t="s">
        <v>269</v>
      </c>
      <c r="J790" s="1" t="s">
        <v>319</v>
      </c>
      <c r="K790" s="1" t="str">
        <f>_xlfn.XLOOKUP(J790,REF!$D$2:$D$12,REF!$E$2:$E$12)</f>
        <v>Comunicação</v>
      </c>
      <c r="L790" s="1" t="s">
        <v>715</v>
      </c>
      <c r="M790" s="1" t="s">
        <v>272</v>
      </c>
      <c r="N790" s="1" t="s">
        <v>253</v>
      </c>
      <c r="O790" s="1" t="s">
        <v>2177</v>
      </c>
      <c r="P790" s="1" t="str">
        <f t="shared" si="43"/>
        <v>BC Camarao1.2Inverter(MBUS-16)45999,558333333345999,558333333345999,5833333333</v>
      </c>
      <c r="Q790" s="1" t="str">
        <f t="shared" si="44"/>
        <v>LIGRFOCOM</v>
      </c>
    </row>
    <row r="791" spans="2:17">
      <c r="B791" s="1" t="s">
        <v>387</v>
      </c>
      <c r="C791" s="1" t="s">
        <v>256</v>
      </c>
      <c r="D791" s="52">
        <v>45999.558333333334</v>
      </c>
      <c r="E791" s="52">
        <v>45999.558333333334</v>
      </c>
      <c r="F791" s="52">
        <v>45999.583333333336</v>
      </c>
      <c r="G791" s="53">
        <f t="shared" si="41"/>
        <v>2.5000000001455192E-2</v>
      </c>
      <c r="H791" s="1" t="s">
        <v>268</v>
      </c>
      <c r="I791" s="1" t="s">
        <v>269</v>
      </c>
      <c r="J791" s="1" t="s">
        <v>319</v>
      </c>
      <c r="K791" s="1" t="str">
        <f>_xlfn.XLOOKUP(J791,REF!$D$2:$D$12,REF!$E$2:$E$12)</f>
        <v>Comunicação</v>
      </c>
      <c r="L791" s="1" t="s">
        <v>715</v>
      </c>
      <c r="M791" s="1" t="s">
        <v>272</v>
      </c>
      <c r="N791" s="1" t="s">
        <v>253</v>
      </c>
      <c r="O791" s="1" t="s">
        <v>2177</v>
      </c>
      <c r="P791" s="1" t="str">
        <f t="shared" si="43"/>
        <v>BC Camarao1.2Inverter(MBUS-12)45999,558333333345999,558333333345999,5833333333</v>
      </c>
      <c r="Q791" s="1" t="str">
        <f t="shared" si="44"/>
        <v>LIGRFOCOM</v>
      </c>
    </row>
    <row r="792" spans="2:17">
      <c r="B792" s="1" t="s">
        <v>387</v>
      </c>
      <c r="C792" s="1" t="s">
        <v>388</v>
      </c>
      <c r="D792" s="52">
        <v>45999.558333333334</v>
      </c>
      <c r="E792" s="52">
        <v>45999.558333333334</v>
      </c>
      <c r="F792" s="52">
        <v>45999.583333333336</v>
      </c>
      <c r="G792" s="53">
        <f t="shared" si="41"/>
        <v>2.5000000001455192E-2</v>
      </c>
      <c r="H792" s="1" t="s">
        <v>268</v>
      </c>
      <c r="I792" s="1" t="s">
        <v>269</v>
      </c>
      <c r="J792" s="1" t="s">
        <v>319</v>
      </c>
      <c r="K792" s="1" t="str">
        <f>_xlfn.XLOOKUP(J792,REF!$D$2:$D$12,REF!$E$2:$E$12)</f>
        <v>Comunicação</v>
      </c>
      <c r="L792" s="1" t="s">
        <v>715</v>
      </c>
      <c r="M792" s="1" t="s">
        <v>272</v>
      </c>
      <c r="N792" s="1" t="s">
        <v>253</v>
      </c>
      <c r="O792" s="1" t="s">
        <v>2177</v>
      </c>
      <c r="P792" s="1" t="str">
        <f t="shared" si="43"/>
        <v>BC Camarao1.2Inv. 345999,558333333345999,558333333345999,5833333333</v>
      </c>
      <c r="Q792" s="1" t="str">
        <f t="shared" si="44"/>
        <v>LIGRFOCOM</v>
      </c>
    </row>
    <row r="793" spans="2:17">
      <c r="B793" s="1" t="s">
        <v>387</v>
      </c>
      <c r="C793" s="1" t="s">
        <v>247</v>
      </c>
      <c r="D793" s="52">
        <v>45999.558333333334</v>
      </c>
      <c r="E793" s="52">
        <v>45999.558333333334</v>
      </c>
      <c r="F793" s="52">
        <v>45999.583333333336</v>
      </c>
      <c r="G793" s="53">
        <f t="shared" si="41"/>
        <v>2.5000000001455192E-2</v>
      </c>
      <c r="H793" s="1" t="s">
        <v>268</v>
      </c>
      <c r="I793" s="1" t="s">
        <v>269</v>
      </c>
      <c r="J793" s="1" t="s">
        <v>319</v>
      </c>
      <c r="K793" s="1" t="str">
        <f>_xlfn.XLOOKUP(J793,REF!$D$2:$D$12,REF!$E$2:$E$12)</f>
        <v>Comunicação</v>
      </c>
      <c r="L793" s="1" t="s">
        <v>715</v>
      </c>
      <c r="M793" s="1" t="s">
        <v>272</v>
      </c>
      <c r="N793" s="1" t="s">
        <v>253</v>
      </c>
      <c r="O793" s="1" t="s">
        <v>2177</v>
      </c>
      <c r="P793" s="1" t="str">
        <f t="shared" si="43"/>
        <v>BC Camarao1.2Inverter(MBUS-1)45999,558333333345999,558333333345999,5833333333</v>
      </c>
      <c r="Q793" s="1" t="str">
        <f t="shared" si="44"/>
        <v>LIGRFOCOM</v>
      </c>
    </row>
    <row r="794" spans="2:17">
      <c r="B794" s="1" t="s">
        <v>381</v>
      </c>
      <c r="C794" s="1" t="s">
        <v>379</v>
      </c>
      <c r="D794" s="52">
        <v>45999.558333333334</v>
      </c>
      <c r="E794" s="52">
        <v>45999.558333333334</v>
      </c>
      <c r="F794" s="52">
        <v>45999.583333333336</v>
      </c>
      <c r="G794" s="53">
        <f t="shared" si="41"/>
        <v>2.5000000001455192E-2</v>
      </c>
      <c r="H794" s="1" t="s">
        <v>268</v>
      </c>
      <c r="I794" s="1" t="s">
        <v>269</v>
      </c>
      <c r="J794" s="1" t="s">
        <v>319</v>
      </c>
      <c r="K794" s="1" t="str">
        <f>_xlfn.XLOOKUP(J794,REF!$D$2:$D$12,REF!$E$2:$E$12)</f>
        <v>Comunicação</v>
      </c>
      <c r="L794" s="1" t="s">
        <v>715</v>
      </c>
      <c r="M794" s="1" t="s">
        <v>272</v>
      </c>
      <c r="N794" s="1" t="s">
        <v>253</v>
      </c>
      <c r="O794" s="1" t="s">
        <v>2177</v>
      </c>
      <c r="P794" s="1" t="str">
        <f t="shared" si="43"/>
        <v>BC Camarao1.3215KTL-H3(MBUS-16)45999,558333333345999,558333333345999,5833333333</v>
      </c>
      <c r="Q794" s="1" t="str">
        <f t="shared" si="44"/>
        <v>LIGRFOCOM</v>
      </c>
    </row>
    <row r="795" spans="2:17">
      <c r="B795" s="1" t="s">
        <v>381</v>
      </c>
      <c r="C795" s="1" t="s">
        <v>382</v>
      </c>
      <c r="D795" s="52">
        <v>45999.558333333334</v>
      </c>
      <c r="E795" s="52">
        <v>45999.558333333334</v>
      </c>
      <c r="F795" s="52">
        <v>45999.583333333336</v>
      </c>
      <c r="G795" s="53">
        <f t="shared" si="41"/>
        <v>2.5000000001455192E-2</v>
      </c>
      <c r="H795" s="1" t="s">
        <v>268</v>
      </c>
      <c r="I795" s="1" t="s">
        <v>269</v>
      </c>
      <c r="J795" s="1" t="s">
        <v>319</v>
      </c>
      <c r="K795" s="1" t="str">
        <f>_xlfn.XLOOKUP(J795,REF!$D$2:$D$12,REF!$E$2:$E$12)</f>
        <v>Comunicação</v>
      </c>
      <c r="L795" s="1" t="s">
        <v>715</v>
      </c>
      <c r="M795" s="1" t="s">
        <v>272</v>
      </c>
      <c r="N795" s="1" t="s">
        <v>253</v>
      </c>
      <c r="O795" s="1" t="s">
        <v>2177</v>
      </c>
      <c r="P795" s="1" t="str">
        <f t="shared" si="43"/>
        <v>BC Camarao1.3215KTL-H3(MBUS-14)45999,558333333345999,558333333345999,5833333333</v>
      </c>
      <c r="Q795" s="1" t="str">
        <f t="shared" si="44"/>
        <v>LIGRFOCOM</v>
      </c>
    </row>
    <row r="796" spans="2:17">
      <c r="B796" s="1" t="s">
        <v>381</v>
      </c>
      <c r="C796" s="1" t="s">
        <v>380</v>
      </c>
      <c r="D796" s="52">
        <v>45999.558333333334</v>
      </c>
      <c r="E796" s="52">
        <v>45999.558333333334</v>
      </c>
      <c r="F796" s="52">
        <v>45999.583333333336</v>
      </c>
      <c r="G796" s="53">
        <f t="shared" si="41"/>
        <v>2.5000000001455192E-2</v>
      </c>
      <c r="H796" s="1" t="s">
        <v>268</v>
      </c>
      <c r="I796" s="1" t="s">
        <v>269</v>
      </c>
      <c r="J796" s="1" t="s">
        <v>319</v>
      </c>
      <c r="K796" s="1" t="str">
        <f>_xlfn.XLOOKUP(J796,REF!$D$2:$D$12,REF!$E$2:$E$12)</f>
        <v>Comunicação</v>
      </c>
      <c r="L796" s="1" t="s">
        <v>715</v>
      </c>
      <c r="M796" s="1" t="s">
        <v>272</v>
      </c>
      <c r="N796" s="1" t="s">
        <v>253</v>
      </c>
      <c r="O796" s="1" t="s">
        <v>2177</v>
      </c>
      <c r="P796" s="1" t="str">
        <f t="shared" si="43"/>
        <v>BC Camarao1.3215KTL-H3(MBUS-15)45999,558333333345999,558333333345999,5833333333</v>
      </c>
      <c r="Q796" s="1" t="str">
        <f t="shared" si="44"/>
        <v>LIGRFOCOM</v>
      </c>
    </row>
    <row r="797" spans="2:17">
      <c r="B797" s="1" t="s">
        <v>381</v>
      </c>
      <c r="C797" s="1" t="s">
        <v>377</v>
      </c>
      <c r="D797" s="52">
        <v>45999.558333333334</v>
      </c>
      <c r="E797" s="52">
        <v>45999.558333333334</v>
      </c>
      <c r="F797" s="52">
        <v>45999.583333333336</v>
      </c>
      <c r="G797" s="53">
        <f t="shared" si="41"/>
        <v>2.5000000001455192E-2</v>
      </c>
      <c r="H797" s="1" t="s">
        <v>268</v>
      </c>
      <c r="I797" s="1" t="s">
        <v>269</v>
      </c>
      <c r="J797" s="1" t="s">
        <v>319</v>
      </c>
      <c r="K797" s="1" t="str">
        <f>_xlfn.XLOOKUP(J797,REF!$D$2:$D$12,REF!$E$2:$E$12)</f>
        <v>Comunicação</v>
      </c>
      <c r="L797" s="1" t="s">
        <v>715</v>
      </c>
      <c r="M797" s="1" t="s">
        <v>272</v>
      </c>
      <c r="N797" s="1" t="s">
        <v>253</v>
      </c>
      <c r="O797" s="1" t="s">
        <v>2177</v>
      </c>
      <c r="P797" s="1" t="str">
        <f t="shared" si="43"/>
        <v>BC Camarao1.3215KTL-H3(MBUS-12)45999,558333333345999,558333333345999,5833333333</v>
      </c>
      <c r="Q797" s="1" t="str">
        <f t="shared" si="44"/>
        <v>LIGRFOCOM</v>
      </c>
    </row>
    <row r="798" spans="2:17">
      <c r="B798" s="1" t="s">
        <v>381</v>
      </c>
      <c r="C798" s="1" t="s">
        <v>378</v>
      </c>
      <c r="D798" s="52">
        <v>45999.558333333334</v>
      </c>
      <c r="E798" s="52">
        <v>45999.558333333334</v>
      </c>
      <c r="F798" s="52">
        <v>45999.583333333336</v>
      </c>
      <c r="G798" s="53">
        <f t="shared" si="41"/>
        <v>2.5000000001455192E-2</v>
      </c>
      <c r="H798" s="1" t="s">
        <v>268</v>
      </c>
      <c r="I798" s="1" t="s">
        <v>269</v>
      </c>
      <c r="J798" s="1" t="s">
        <v>319</v>
      </c>
      <c r="K798" s="1" t="str">
        <f>_xlfn.XLOOKUP(J798,REF!$D$2:$D$12,REF!$E$2:$E$12)</f>
        <v>Comunicação</v>
      </c>
      <c r="L798" s="1" t="s">
        <v>715</v>
      </c>
      <c r="M798" s="1" t="s">
        <v>272</v>
      </c>
      <c r="N798" s="1" t="s">
        <v>253</v>
      </c>
      <c r="O798" s="1" t="s">
        <v>2177</v>
      </c>
      <c r="P798" s="1" t="str">
        <f t="shared" si="43"/>
        <v>BC Camarao1.3215KTL-H3(MBUS-13)45999,558333333345999,558333333345999,5833333333</v>
      </c>
      <c r="Q798" s="1" t="str">
        <f t="shared" si="44"/>
        <v>LIGRFOCOM</v>
      </c>
    </row>
    <row r="799" spans="2:17">
      <c r="B799" s="1" t="s">
        <v>391</v>
      </c>
      <c r="C799" s="1" t="s">
        <v>2059</v>
      </c>
      <c r="D799" s="52">
        <v>45999.558333333334</v>
      </c>
      <c r="E799" s="52">
        <v>45999.558333333334</v>
      </c>
      <c r="F799" s="52">
        <v>45999.583333333336</v>
      </c>
      <c r="G799" s="53">
        <f t="shared" si="41"/>
        <v>2.5000000001455192E-2</v>
      </c>
      <c r="H799" s="1" t="s">
        <v>268</v>
      </c>
      <c r="I799" s="1" t="s">
        <v>269</v>
      </c>
      <c r="J799" s="1" t="s">
        <v>319</v>
      </c>
      <c r="K799" s="1" t="str">
        <f>_xlfn.XLOOKUP(J799,REF!$D$2:$D$12,REF!$E$2:$E$12)</f>
        <v>Comunicação</v>
      </c>
      <c r="L799" s="1" t="s">
        <v>715</v>
      </c>
      <c r="M799" s="1" t="s">
        <v>272</v>
      </c>
      <c r="N799" s="1" t="s">
        <v>253</v>
      </c>
      <c r="O799" s="1" t="s">
        <v>2177</v>
      </c>
      <c r="P799" s="1" t="str">
        <f t="shared" si="43"/>
        <v>BC Camarao1.4inv. 145999,558333333345999,558333333345999,5833333333</v>
      </c>
      <c r="Q799" s="1" t="str">
        <f t="shared" si="44"/>
        <v>LIGRFOCOM</v>
      </c>
    </row>
    <row r="800" spans="2:17">
      <c r="B800" s="1" t="s">
        <v>391</v>
      </c>
      <c r="C800" s="1" t="s">
        <v>382</v>
      </c>
      <c r="D800" s="52">
        <v>45999.558333333334</v>
      </c>
      <c r="E800" s="52">
        <v>45999.558333333334</v>
      </c>
      <c r="F800" s="52">
        <v>45999.583333333336</v>
      </c>
      <c r="G800" s="53">
        <f t="shared" si="41"/>
        <v>2.5000000001455192E-2</v>
      </c>
      <c r="H800" s="1" t="s">
        <v>268</v>
      </c>
      <c r="I800" s="1" t="s">
        <v>269</v>
      </c>
      <c r="J800" s="1" t="s">
        <v>319</v>
      </c>
      <c r="K800" s="1" t="str">
        <f>_xlfn.XLOOKUP(J800,REF!$D$2:$D$12,REF!$E$2:$E$12)</f>
        <v>Comunicação</v>
      </c>
      <c r="L800" s="1" t="s">
        <v>715</v>
      </c>
      <c r="M800" s="1" t="s">
        <v>272</v>
      </c>
      <c r="N800" s="1" t="s">
        <v>253</v>
      </c>
      <c r="O800" s="1" t="s">
        <v>2177</v>
      </c>
      <c r="P800" s="1" t="str">
        <f t="shared" si="43"/>
        <v>BC Camarao1.4215KTL-H3(MBUS-14)45999,558333333345999,558333333345999,5833333333</v>
      </c>
      <c r="Q800" s="1" t="str">
        <f t="shared" si="44"/>
        <v>LIGRFOCOM</v>
      </c>
    </row>
    <row r="801" spans="2:17">
      <c r="B801" s="1" t="s">
        <v>391</v>
      </c>
      <c r="C801" s="1" t="s">
        <v>378</v>
      </c>
      <c r="D801" s="52">
        <v>45999.558333333334</v>
      </c>
      <c r="E801" s="52">
        <v>45999.558333333334</v>
      </c>
      <c r="F801" s="52">
        <v>45999.583333333336</v>
      </c>
      <c r="G801" s="53">
        <f t="shared" si="41"/>
        <v>2.5000000001455192E-2</v>
      </c>
      <c r="H801" s="1" t="s">
        <v>268</v>
      </c>
      <c r="I801" s="1" t="s">
        <v>269</v>
      </c>
      <c r="J801" s="1" t="s">
        <v>319</v>
      </c>
      <c r="K801" s="1" t="str">
        <f>_xlfn.XLOOKUP(J801,REF!$D$2:$D$12,REF!$E$2:$E$12)</f>
        <v>Comunicação</v>
      </c>
      <c r="L801" s="1" t="s">
        <v>715</v>
      </c>
      <c r="M801" s="1" t="s">
        <v>272</v>
      </c>
      <c r="N801" s="1" t="s">
        <v>253</v>
      </c>
      <c r="O801" s="1" t="s">
        <v>2177</v>
      </c>
      <c r="P801" s="1" t="str">
        <f t="shared" ref="P801:P862" si="45">_xlfn.CONCAT(B801,C801,D801,E801,F801)</f>
        <v>BC Camarao1.4215KTL-H3(MBUS-13)45999,558333333345999,558333333345999,5833333333</v>
      </c>
      <c r="Q801" s="1" t="str">
        <f t="shared" ref="Q801:Q862" si="46">_xlfn.CONCAT(H801,I801,J801)</f>
        <v>LIGRFOCOM</v>
      </c>
    </row>
    <row r="802" spans="2:17">
      <c r="B802" s="1" t="s">
        <v>391</v>
      </c>
      <c r="C802" s="1" t="s">
        <v>379</v>
      </c>
      <c r="D802" s="52">
        <v>45999.558333333334</v>
      </c>
      <c r="E802" s="52">
        <v>45999.558333333334</v>
      </c>
      <c r="F802" s="52">
        <v>45999.583333333336</v>
      </c>
      <c r="G802" s="53">
        <f t="shared" si="41"/>
        <v>2.5000000001455192E-2</v>
      </c>
      <c r="H802" s="1" t="s">
        <v>268</v>
      </c>
      <c r="I802" s="1" t="s">
        <v>269</v>
      </c>
      <c r="J802" s="1" t="s">
        <v>319</v>
      </c>
      <c r="K802" s="1" t="str">
        <f>_xlfn.XLOOKUP(J802,REF!$D$2:$D$12,REF!$E$2:$E$12)</f>
        <v>Comunicação</v>
      </c>
      <c r="L802" s="1" t="s">
        <v>715</v>
      </c>
      <c r="M802" s="1" t="s">
        <v>272</v>
      </c>
      <c r="N802" s="1" t="s">
        <v>253</v>
      </c>
      <c r="O802" s="1" t="s">
        <v>2177</v>
      </c>
      <c r="P802" s="1" t="str">
        <f t="shared" si="45"/>
        <v>BC Camarao1.4215KTL-H3(MBUS-16)45999,558333333345999,558333333345999,5833333333</v>
      </c>
      <c r="Q802" s="1" t="str">
        <f t="shared" si="46"/>
        <v>LIGRFOCOM</v>
      </c>
    </row>
    <row r="803" spans="2:17">
      <c r="B803" s="1" t="s">
        <v>391</v>
      </c>
      <c r="C803" s="1" t="s">
        <v>380</v>
      </c>
      <c r="D803" s="52">
        <v>45999.558333333334</v>
      </c>
      <c r="E803" s="52">
        <v>45999.558333333334</v>
      </c>
      <c r="F803" s="52">
        <v>45999.583333333336</v>
      </c>
      <c r="G803" s="53">
        <f t="shared" si="41"/>
        <v>2.5000000001455192E-2</v>
      </c>
      <c r="H803" s="1" t="s">
        <v>268</v>
      </c>
      <c r="I803" s="1" t="s">
        <v>269</v>
      </c>
      <c r="J803" s="1" t="s">
        <v>319</v>
      </c>
      <c r="K803" s="1" t="str">
        <f>_xlfn.XLOOKUP(J803,REF!$D$2:$D$12,REF!$E$2:$E$12)</f>
        <v>Comunicação</v>
      </c>
      <c r="L803" s="1" t="s">
        <v>715</v>
      </c>
      <c r="M803" s="1" t="s">
        <v>272</v>
      </c>
      <c r="N803" s="1" t="s">
        <v>253</v>
      </c>
      <c r="O803" s="1" t="s">
        <v>2177</v>
      </c>
      <c r="P803" s="1" t="str">
        <f t="shared" si="45"/>
        <v>BC Camarao1.4215KTL-H3(MBUS-15)45999,558333333345999,558333333345999,5833333333</v>
      </c>
      <c r="Q803" s="1" t="str">
        <f t="shared" si="46"/>
        <v>LIGRFOCOM</v>
      </c>
    </row>
    <row r="804" spans="2:17">
      <c r="B804" s="1" t="s">
        <v>519</v>
      </c>
      <c r="C804" s="1" t="s">
        <v>380</v>
      </c>
      <c r="D804" s="52">
        <v>45999.558333333334</v>
      </c>
      <c r="E804" s="52">
        <v>45999.558333333334</v>
      </c>
      <c r="F804" s="52">
        <v>45999.583333333336</v>
      </c>
      <c r="G804" s="53">
        <f t="shared" si="41"/>
        <v>2.5000000001455192E-2</v>
      </c>
      <c r="H804" s="1" t="s">
        <v>268</v>
      </c>
      <c r="I804" s="1" t="s">
        <v>269</v>
      </c>
      <c r="J804" s="1" t="s">
        <v>319</v>
      </c>
      <c r="K804" s="1" t="str">
        <f>_xlfn.XLOOKUP(J804,REF!$D$2:$D$12,REF!$E$2:$E$12)</f>
        <v>Comunicação</v>
      </c>
      <c r="L804" s="1" t="s">
        <v>715</v>
      </c>
      <c r="M804" s="1" t="s">
        <v>272</v>
      </c>
      <c r="N804" s="1" t="s">
        <v>253</v>
      </c>
      <c r="O804" s="1" t="s">
        <v>2177</v>
      </c>
      <c r="P804" s="1" t="str">
        <f t="shared" si="45"/>
        <v>BC Camarao1.5215KTL-H3(MBUS-15)45999,558333333345999,558333333345999,5833333333</v>
      </c>
      <c r="Q804" s="1" t="str">
        <f t="shared" si="46"/>
        <v>LIGRFOCOM</v>
      </c>
    </row>
    <row r="805" spans="2:17">
      <c r="B805" s="1" t="s">
        <v>519</v>
      </c>
      <c r="C805" s="1" t="s">
        <v>247</v>
      </c>
      <c r="D805" s="52">
        <v>45999.558333333334</v>
      </c>
      <c r="E805" s="52">
        <v>45999.558333333334</v>
      </c>
      <c r="F805" s="52">
        <v>45999.583333333336</v>
      </c>
      <c r="G805" s="53">
        <f t="shared" si="41"/>
        <v>2.5000000001455192E-2</v>
      </c>
      <c r="H805" s="1" t="s">
        <v>268</v>
      </c>
      <c r="I805" s="1" t="s">
        <v>269</v>
      </c>
      <c r="J805" s="1" t="s">
        <v>319</v>
      </c>
      <c r="K805" s="1" t="str">
        <f>_xlfn.XLOOKUP(J805,REF!$D$2:$D$12,REF!$E$2:$E$12)</f>
        <v>Comunicação</v>
      </c>
      <c r="L805" s="1" t="s">
        <v>715</v>
      </c>
      <c r="M805" s="1" t="s">
        <v>272</v>
      </c>
      <c r="N805" s="1" t="s">
        <v>253</v>
      </c>
      <c r="O805" s="1" t="s">
        <v>2177</v>
      </c>
      <c r="P805" s="1" t="str">
        <f t="shared" si="45"/>
        <v>BC Camarao1.5Inverter(MBUS-1)45999,558333333345999,558333333345999,5833333333</v>
      </c>
      <c r="Q805" s="1" t="str">
        <f t="shared" si="46"/>
        <v>LIGRFOCOM</v>
      </c>
    </row>
    <row r="806" spans="2:17">
      <c r="B806" s="1" t="s">
        <v>519</v>
      </c>
      <c r="C806" s="1" t="s">
        <v>378</v>
      </c>
      <c r="D806" s="52">
        <v>45999.558333333334</v>
      </c>
      <c r="E806" s="52">
        <v>45999.558333333334</v>
      </c>
      <c r="F806" s="52">
        <v>45999.583333333336</v>
      </c>
      <c r="G806" s="53">
        <f t="shared" si="41"/>
        <v>2.5000000001455192E-2</v>
      </c>
      <c r="H806" s="1" t="s">
        <v>268</v>
      </c>
      <c r="I806" s="1" t="s">
        <v>269</v>
      </c>
      <c r="J806" s="1" t="s">
        <v>319</v>
      </c>
      <c r="K806" s="1" t="str">
        <f>_xlfn.XLOOKUP(J806,REF!$D$2:$D$12,REF!$E$2:$E$12)</f>
        <v>Comunicação</v>
      </c>
      <c r="L806" s="1" t="s">
        <v>715</v>
      </c>
      <c r="M806" s="1" t="s">
        <v>272</v>
      </c>
      <c r="N806" s="1" t="s">
        <v>253</v>
      </c>
      <c r="O806" s="1" t="s">
        <v>2177</v>
      </c>
      <c r="P806" s="1" t="str">
        <f t="shared" si="45"/>
        <v>BC Camarao1.5215KTL-H3(MBUS-13)45999,558333333345999,558333333345999,5833333333</v>
      </c>
      <c r="Q806" s="1" t="str">
        <f t="shared" si="46"/>
        <v>LIGRFOCOM</v>
      </c>
    </row>
    <row r="807" spans="2:17">
      <c r="B807" s="1" t="s">
        <v>519</v>
      </c>
      <c r="C807" s="1" t="s">
        <v>377</v>
      </c>
      <c r="D807" s="52">
        <v>45999.558333333334</v>
      </c>
      <c r="E807" s="52">
        <v>45999.558333333334</v>
      </c>
      <c r="F807" s="52">
        <v>45999.583333333336</v>
      </c>
      <c r="G807" s="53">
        <f t="shared" si="41"/>
        <v>2.5000000001455192E-2</v>
      </c>
      <c r="H807" s="1" t="s">
        <v>268</v>
      </c>
      <c r="I807" s="1" t="s">
        <v>269</v>
      </c>
      <c r="J807" s="1" t="s">
        <v>319</v>
      </c>
      <c r="K807" s="1" t="str">
        <f>_xlfn.XLOOKUP(J807,REF!$D$2:$D$12,REF!$E$2:$E$12)</f>
        <v>Comunicação</v>
      </c>
      <c r="L807" s="1" t="s">
        <v>715</v>
      </c>
      <c r="M807" s="1" t="s">
        <v>272</v>
      </c>
      <c r="N807" s="1" t="s">
        <v>253</v>
      </c>
      <c r="O807" s="1" t="s">
        <v>2177</v>
      </c>
      <c r="P807" s="1" t="str">
        <f t="shared" si="45"/>
        <v>BC Camarao1.5215KTL-H3(MBUS-12)45999,558333333345999,558333333345999,5833333333</v>
      </c>
      <c r="Q807" s="1" t="str">
        <f t="shared" si="46"/>
        <v>LIGRFOCOM</v>
      </c>
    </row>
    <row r="808" spans="2:17">
      <c r="B808" s="1" t="s">
        <v>519</v>
      </c>
      <c r="C808" s="1" t="s">
        <v>263</v>
      </c>
      <c r="D808" s="52">
        <v>45999.558333333334</v>
      </c>
      <c r="E808" s="52">
        <v>45999.558333333334</v>
      </c>
      <c r="F808" s="52">
        <v>45999.583333333336</v>
      </c>
      <c r="G808" s="53">
        <f t="shared" si="41"/>
        <v>2.5000000001455192E-2</v>
      </c>
      <c r="H808" s="1" t="s">
        <v>268</v>
      </c>
      <c r="I808" s="1" t="s">
        <v>269</v>
      </c>
      <c r="J808" s="1" t="s">
        <v>319</v>
      </c>
      <c r="K808" s="1" t="str">
        <f>_xlfn.XLOOKUP(J808,REF!$D$2:$D$12,REF!$E$2:$E$12)</f>
        <v>Comunicação</v>
      </c>
      <c r="L808" s="1" t="s">
        <v>715</v>
      </c>
      <c r="M808" s="1" t="s">
        <v>272</v>
      </c>
      <c r="N808" s="1" t="s">
        <v>253</v>
      </c>
      <c r="O808" s="1" t="s">
        <v>2177</v>
      </c>
      <c r="P808" s="1" t="str">
        <f t="shared" si="45"/>
        <v>BC Camarao1.5Inverter(MBUS-14)45999,558333333345999,558333333345999,5833333333</v>
      </c>
      <c r="Q808" s="1" t="str">
        <f t="shared" si="46"/>
        <v>LIGRFOCOM</v>
      </c>
    </row>
    <row r="809" spans="2:17">
      <c r="B809" s="1" t="s">
        <v>2044</v>
      </c>
      <c r="C809" s="1" t="s">
        <v>267</v>
      </c>
      <c r="D809" s="52">
        <v>46011.236111111109</v>
      </c>
      <c r="E809" s="52">
        <v>46011.236111111109</v>
      </c>
      <c r="F809" s="52">
        <v>46011.319444444445</v>
      </c>
      <c r="G809" s="53">
        <f t="shared" si="41"/>
        <v>8.3333333335758653E-2</v>
      </c>
      <c r="H809" s="1" t="s">
        <v>268</v>
      </c>
      <c r="I809" s="1" t="s">
        <v>269</v>
      </c>
      <c r="J809" s="1" t="s">
        <v>319</v>
      </c>
      <c r="K809" s="1" t="str">
        <f>_xlfn.XLOOKUP(J809,REF!$D$2:$D$12,REF!$E$2:$E$12)</f>
        <v>Comunicação</v>
      </c>
      <c r="L809" s="1" t="s">
        <v>715</v>
      </c>
      <c r="M809" s="1" t="s">
        <v>289</v>
      </c>
      <c r="N809" s="1" t="s">
        <v>290</v>
      </c>
      <c r="O809" s="1" t="s">
        <v>631</v>
      </c>
      <c r="P809" s="1" t="str">
        <f t="shared" si="45"/>
        <v>BC BomSucessoSG60KTL46011,236111111146011,236111111146011,3194444444</v>
      </c>
      <c r="Q809" s="1" t="str">
        <f t="shared" si="46"/>
        <v>LIGRFOCOM</v>
      </c>
    </row>
    <row r="810" spans="2:17">
      <c r="B810" s="1" t="s">
        <v>2044</v>
      </c>
      <c r="C810" s="1" t="s">
        <v>2046</v>
      </c>
      <c r="D810" s="52">
        <v>46011.236111111109</v>
      </c>
      <c r="E810" s="52">
        <v>46011.236111111109</v>
      </c>
      <c r="F810" s="52">
        <v>46011.319444444445</v>
      </c>
      <c r="G810" s="53">
        <f t="shared" si="41"/>
        <v>8.3333333335758653E-2</v>
      </c>
      <c r="H810" s="1" t="s">
        <v>268</v>
      </c>
      <c r="I810" s="1" t="s">
        <v>269</v>
      </c>
      <c r="J810" s="1" t="s">
        <v>319</v>
      </c>
      <c r="K810" s="1" t="str">
        <f>_xlfn.XLOOKUP(J810,REF!$D$2:$D$12,REF!$E$2:$E$12)</f>
        <v>Comunicação</v>
      </c>
      <c r="L810" s="1" t="s">
        <v>715</v>
      </c>
      <c r="M810" s="1" t="s">
        <v>289</v>
      </c>
      <c r="N810" s="1" t="s">
        <v>290</v>
      </c>
      <c r="O810" s="1" t="s">
        <v>631</v>
      </c>
      <c r="P810" s="1" t="str">
        <f t="shared" si="45"/>
        <v>BC BomSucessoABB_0146011,236111111146011,236111111146011,3194444444</v>
      </c>
      <c r="Q810" s="1" t="str">
        <f t="shared" si="46"/>
        <v>LIGRFOCOM</v>
      </c>
    </row>
    <row r="811" spans="2:17">
      <c r="B811" s="1" t="s">
        <v>2044</v>
      </c>
      <c r="C811" s="1" t="s">
        <v>2047</v>
      </c>
      <c r="D811" s="52">
        <v>46011.236111111109</v>
      </c>
      <c r="E811" s="52">
        <v>46011.236111111109</v>
      </c>
      <c r="F811" s="52">
        <v>46011.319444444445</v>
      </c>
      <c r="G811" s="53">
        <f t="shared" si="41"/>
        <v>8.3333333335758653E-2</v>
      </c>
      <c r="H811" s="1" t="s">
        <v>268</v>
      </c>
      <c r="I811" s="1" t="s">
        <v>269</v>
      </c>
      <c r="J811" s="1" t="s">
        <v>319</v>
      </c>
      <c r="K811" s="1" t="str">
        <f>_xlfn.XLOOKUP(J811,REF!$D$2:$D$12,REF!$E$2:$E$12)</f>
        <v>Comunicação</v>
      </c>
      <c r="L811" s="1" t="s">
        <v>715</v>
      </c>
      <c r="M811" s="1" t="s">
        <v>289</v>
      </c>
      <c r="N811" s="1" t="s">
        <v>290</v>
      </c>
      <c r="O811" s="1" t="s">
        <v>631</v>
      </c>
      <c r="P811" s="1" t="str">
        <f t="shared" si="45"/>
        <v>BC BomSucessoABB_0246011,236111111146011,236111111146011,3194444444</v>
      </c>
      <c r="Q811" s="1" t="str">
        <f t="shared" si="46"/>
        <v>LIGRFOCOM</v>
      </c>
    </row>
    <row r="812" spans="2:17">
      <c r="B812" s="1" t="s">
        <v>2044</v>
      </c>
      <c r="C812" s="1" t="s">
        <v>2048</v>
      </c>
      <c r="D812" s="52">
        <v>46011.236111111109</v>
      </c>
      <c r="E812" s="52">
        <v>46011.236111111109</v>
      </c>
      <c r="F812" s="52">
        <v>46011.319444444445</v>
      </c>
      <c r="G812" s="53">
        <f t="shared" si="41"/>
        <v>8.3333333335758653E-2</v>
      </c>
      <c r="H812" s="1" t="s">
        <v>268</v>
      </c>
      <c r="I812" s="1" t="s">
        <v>269</v>
      </c>
      <c r="J812" s="1" t="s">
        <v>319</v>
      </c>
      <c r="K812" s="1" t="str">
        <f>_xlfn.XLOOKUP(J812,REF!$D$2:$D$12,REF!$E$2:$E$12)</f>
        <v>Comunicação</v>
      </c>
      <c r="L812" s="1" t="s">
        <v>715</v>
      </c>
      <c r="M812" s="1" t="s">
        <v>289</v>
      </c>
      <c r="N812" s="1" t="s">
        <v>290</v>
      </c>
      <c r="O812" s="1" t="s">
        <v>631</v>
      </c>
      <c r="P812" s="1" t="str">
        <f t="shared" si="45"/>
        <v>BC BomSucessoABB_0346011,236111111146011,236111111146011,3194444444</v>
      </c>
      <c r="Q812" s="1" t="str">
        <f t="shared" si="46"/>
        <v>LIGRFOCOM</v>
      </c>
    </row>
    <row r="813" spans="2:17">
      <c r="B813" s="1" t="s">
        <v>2044</v>
      </c>
      <c r="C813" s="1" t="s">
        <v>2049</v>
      </c>
      <c r="D813" s="52">
        <v>46011.236111111109</v>
      </c>
      <c r="E813" s="52">
        <v>46011.236111111109</v>
      </c>
      <c r="F813" s="52">
        <v>46011.319444444445</v>
      </c>
      <c r="G813" s="53">
        <f t="shared" si="41"/>
        <v>8.3333333335758653E-2</v>
      </c>
      <c r="H813" s="1" t="s">
        <v>268</v>
      </c>
      <c r="I813" s="1" t="s">
        <v>269</v>
      </c>
      <c r="J813" s="1" t="s">
        <v>319</v>
      </c>
      <c r="K813" s="1" t="str">
        <f>_xlfn.XLOOKUP(J813,REF!$D$2:$D$12,REF!$E$2:$E$12)</f>
        <v>Comunicação</v>
      </c>
      <c r="L813" s="1" t="s">
        <v>715</v>
      </c>
      <c r="M813" s="1" t="s">
        <v>289</v>
      </c>
      <c r="N813" s="1" t="s">
        <v>290</v>
      </c>
      <c r="O813" s="1" t="s">
        <v>631</v>
      </c>
      <c r="P813" s="1" t="str">
        <f t="shared" si="45"/>
        <v>BC BomSucessoABB_0446011,236111111146011,236111111146011,3194444444</v>
      </c>
      <c r="Q813" s="1" t="str">
        <f t="shared" si="46"/>
        <v>LIGRFOCOM</v>
      </c>
    </row>
    <row r="814" spans="2:17">
      <c r="B814" s="1" t="s">
        <v>2044</v>
      </c>
      <c r="C814" s="1" t="s">
        <v>2050</v>
      </c>
      <c r="D814" s="52">
        <v>46011.236111111109</v>
      </c>
      <c r="E814" s="52">
        <v>46011.236111111109</v>
      </c>
      <c r="F814" s="52">
        <v>46011.319444444445</v>
      </c>
      <c r="G814" s="53">
        <f t="shared" si="41"/>
        <v>8.3333333335758653E-2</v>
      </c>
      <c r="H814" s="1" t="s">
        <v>268</v>
      </c>
      <c r="I814" s="1" t="s">
        <v>269</v>
      </c>
      <c r="J814" s="1" t="s">
        <v>319</v>
      </c>
      <c r="K814" s="1" t="str">
        <f>_xlfn.XLOOKUP(J814,REF!$D$2:$D$12,REF!$E$2:$E$12)</f>
        <v>Comunicação</v>
      </c>
      <c r="L814" s="1" t="s">
        <v>715</v>
      </c>
      <c r="M814" s="1" t="s">
        <v>289</v>
      </c>
      <c r="N814" s="1" t="s">
        <v>290</v>
      </c>
      <c r="O814" s="1" t="s">
        <v>631</v>
      </c>
      <c r="P814" s="1" t="str">
        <f t="shared" si="45"/>
        <v>BC BomSucessoABB_0546011,236111111146011,236111111146011,3194444444</v>
      </c>
      <c r="Q814" s="1" t="str">
        <f t="shared" si="46"/>
        <v>LIGRFOCOM</v>
      </c>
    </row>
    <row r="815" spans="2:17">
      <c r="B815" s="1" t="s">
        <v>2044</v>
      </c>
      <c r="C815" s="1" t="s">
        <v>2051</v>
      </c>
      <c r="D815" s="52">
        <v>46011.236111111109</v>
      </c>
      <c r="E815" s="52">
        <v>46011.236111111109</v>
      </c>
      <c r="F815" s="52">
        <v>46011.319444444445</v>
      </c>
      <c r="G815" s="53">
        <f t="shared" si="41"/>
        <v>8.3333333335758653E-2</v>
      </c>
      <c r="H815" s="1" t="s">
        <v>268</v>
      </c>
      <c r="I815" s="1" t="s">
        <v>269</v>
      </c>
      <c r="J815" s="1" t="s">
        <v>319</v>
      </c>
      <c r="K815" s="1" t="str">
        <f>_xlfn.XLOOKUP(J815,REF!$D$2:$D$12,REF!$E$2:$E$12)</f>
        <v>Comunicação</v>
      </c>
      <c r="L815" s="1" t="s">
        <v>715</v>
      </c>
      <c r="M815" s="1" t="s">
        <v>289</v>
      </c>
      <c r="N815" s="1" t="s">
        <v>290</v>
      </c>
      <c r="O815" s="1" t="s">
        <v>631</v>
      </c>
      <c r="P815" s="1" t="str">
        <f t="shared" si="45"/>
        <v>BC BomSucessoABB_0646011,236111111146011,236111111146011,3194444444</v>
      </c>
      <c r="Q815" s="1" t="str">
        <f t="shared" si="46"/>
        <v>LIGRFOCOM</v>
      </c>
    </row>
    <row r="816" spans="2:17">
      <c r="B816" s="1" t="s">
        <v>2044</v>
      </c>
      <c r="C816" s="1" t="s">
        <v>2052</v>
      </c>
      <c r="D816" s="52">
        <v>46011.236111111109</v>
      </c>
      <c r="E816" s="52">
        <v>46011.236111111109</v>
      </c>
      <c r="F816" s="52">
        <v>46011.319444444445</v>
      </c>
      <c r="G816" s="53">
        <f t="shared" si="41"/>
        <v>8.3333333335758653E-2</v>
      </c>
      <c r="H816" s="1" t="s">
        <v>268</v>
      </c>
      <c r="I816" s="1" t="s">
        <v>269</v>
      </c>
      <c r="J816" s="1" t="s">
        <v>319</v>
      </c>
      <c r="K816" s="1" t="str">
        <f>_xlfn.XLOOKUP(J816,REF!$D$2:$D$12,REF!$E$2:$E$12)</f>
        <v>Comunicação</v>
      </c>
      <c r="L816" s="1" t="s">
        <v>715</v>
      </c>
      <c r="M816" s="1" t="s">
        <v>289</v>
      </c>
      <c r="N816" s="1" t="s">
        <v>290</v>
      </c>
      <c r="O816" s="1" t="s">
        <v>631</v>
      </c>
      <c r="P816" s="1" t="str">
        <f t="shared" si="45"/>
        <v>BC BomSucessoABB_0746011,236111111146011,236111111146011,3194444444</v>
      </c>
      <c r="Q816" s="1" t="str">
        <f t="shared" si="46"/>
        <v>LIGRFOCOM</v>
      </c>
    </row>
    <row r="817" spans="2:17">
      <c r="B817" s="1" t="s">
        <v>2044</v>
      </c>
      <c r="C817" s="1" t="s">
        <v>2053</v>
      </c>
      <c r="D817" s="52">
        <v>46011.236111111109</v>
      </c>
      <c r="E817" s="52">
        <v>46011.236111111109</v>
      </c>
      <c r="F817" s="52">
        <v>46011.319444444445</v>
      </c>
      <c r="G817" s="53">
        <f t="shared" si="41"/>
        <v>8.3333333335758653E-2</v>
      </c>
      <c r="H817" s="1" t="s">
        <v>268</v>
      </c>
      <c r="I817" s="1" t="s">
        <v>269</v>
      </c>
      <c r="J817" s="1" t="s">
        <v>319</v>
      </c>
      <c r="K817" s="1" t="str">
        <f>_xlfn.XLOOKUP(J817,REF!$D$2:$D$12,REF!$E$2:$E$12)</f>
        <v>Comunicação</v>
      </c>
      <c r="L817" s="1" t="s">
        <v>715</v>
      </c>
      <c r="M817" s="1" t="s">
        <v>289</v>
      </c>
      <c r="N817" s="1" t="s">
        <v>290</v>
      </c>
      <c r="O817" s="1" t="s">
        <v>631</v>
      </c>
      <c r="P817" s="1" t="str">
        <f t="shared" si="45"/>
        <v>BC BomSucessoABB_0846011,236111111146011,236111111146011,3194444444</v>
      </c>
      <c r="Q817" s="1" t="str">
        <f t="shared" si="46"/>
        <v>LIGRFOCOM</v>
      </c>
    </row>
    <row r="818" spans="2:17">
      <c r="B818" s="1" t="s">
        <v>2044</v>
      </c>
      <c r="C818" s="1" t="s">
        <v>2054</v>
      </c>
      <c r="D818" s="52">
        <v>46011.236111111109</v>
      </c>
      <c r="E818" s="52">
        <v>46011.236111111109</v>
      </c>
      <c r="F818" s="52">
        <v>46011.319444444445</v>
      </c>
      <c r="G818" s="53">
        <f t="shared" si="41"/>
        <v>8.3333333335758653E-2</v>
      </c>
      <c r="H818" s="1" t="s">
        <v>268</v>
      </c>
      <c r="I818" s="1" t="s">
        <v>269</v>
      </c>
      <c r="J818" s="1" t="s">
        <v>319</v>
      </c>
      <c r="K818" s="1" t="str">
        <f>_xlfn.XLOOKUP(J818,REF!$D$2:$D$12,REF!$E$2:$E$12)</f>
        <v>Comunicação</v>
      </c>
      <c r="L818" s="1" t="s">
        <v>715</v>
      </c>
      <c r="M818" s="1" t="s">
        <v>289</v>
      </c>
      <c r="N818" s="1" t="s">
        <v>290</v>
      </c>
      <c r="O818" s="1" t="s">
        <v>631</v>
      </c>
      <c r="P818" s="1" t="str">
        <f t="shared" si="45"/>
        <v>BC BomSucessoABB_0946011,236111111146011,236111111146011,3194444444</v>
      </c>
      <c r="Q818" s="1" t="str">
        <f t="shared" si="46"/>
        <v>LIGRFOCOM</v>
      </c>
    </row>
    <row r="819" spans="2:17">
      <c r="B819" s="1" t="s">
        <v>2044</v>
      </c>
      <c r="C819" s="1" t="s">
        <v>2055</v>
      </c>
      <c r="D819" s="52">
        <v>46011.236111111109</v>
      </c>
      <c r="E819" s="52">
        <v>46011.236111111109</v>
      </c>
      <c r="F819" s="52">
        <v>46011.319444444445</v>
      </c>
      <c r="G819" s="53">
        <f t="shared" si="41"/>
        <v>8.3333333335758653E-2</v>
      </c>
      <c r="H819" s="1" t="s">
        <v>268</v>
      </c>
      <c r="I819" s="1" t="s">
        <v>269</v>
      </c>
      <c r="J819" s="1" t="s">
        <v>319</v>
      </c>
      <c r="K819" s="1" t="str">
        <f>_xlfn.XLOOKUP(J819,REF!$D$2:$D$12,REF!$E$2:$E$12)</f>
        <v>Comunicação</v>
      </c>
      <c r="L819" s="1" t="s">
        <v>715</v>
      </c>
      <c r="M819" s="1" t="s">
        <v>289</v>
      </c>
      <c r="N819" s="1" t="s">
        <v>290</v>
      </c>
      <c r="O819" s="1" t="s">
        <v>631</v>
      </c>
      <c r="P819" s="1" t="str">
        <f t="shared" si="45"/>
        <v>BC BomSucessoABB_1046011,236111111146011,236111111146011,3194444444</v>
      </c>
      <c r="Q819" s="1" t="str">
        <f t="shared" si="46"/>
        <v>LIGRFOCOM</v>
      </c>
    </row>
    <row r="820" spans="2:17">
      <c r="B820" s="1" t="s">
        <v>2044</v>
      </c>
      <c r="C820" s="1" t="s">
        <v>2056</v>
      </c>
      <c r="D820" s="52">
        <v>46011.236111111109</v>
      </c>
      <c r="E820" s="52">
        <v>46011.236111111109</v>
      </c>
      <c r="F820" s="52">
        <v>46011.319444444445</v>
      </c>
      <c r="G820" s="53">
        <f t="shared" si="41"/>
        <v>8.3333333335758653E-2</v>
      </c>
      <c r="H820" s="1" t="s">
        <v>268</v>
      </c>
      <c r="I820" s="1" t="s">
        <v>269</v>
      </c>
      <c r="J820" s="1" t="s">
        <v>319</v>
      </c>
      <c r="K820" s="1" t="str">
        <f>_xlfn.XLOOKUP(J820,REF!$D$2:$D$12,REF!$E$2:$E$12)</f>
        <v>Comunicação</v>
      </c>
      <c r="L820" s="1" t="s">
        <v>715</v>
      </c>
      <c r="M820" s="1" t="s">
        <v>289</v>
      </c>
      <c r="N820" s="1" t="s">
        <v>290</v>
      </c>
      <c r="O820" s="1" t="s">
        <v>631</v>
      </c>
      <c r="P820" s="1" t="str">
        <f t="shared" si="45"/>
        <v>BC BomSucessoABB_1146011,236111111146011,236111111146011,3194444444</v>
      </c>
      <c r="Q820" s="1" t="str">
        <f t="shared" si="46"/>
        <v>LIGRFOCOM</v>
      </c>
    </row>
    <row r="821" spans="2:17">
      <c r="B821" s="1" t="s">
        <v>2044</v>
      </c>
      <c r="C821" s="1" t="s">
        <v>267</v>
      </c>
      <c r="D821" s="52">
        <v>46011.236111111109</v>
      </c>
      <c r="E821" s="52">
        <v>46011.236111111109</v>
      </c>
      <c r="F821" s="52">
        <v>46011.319444444445</v>
      </c>
      <c r="G821" s="53">
        <f t="shared" si="41"/>
        <v>8.3333333335758653E-2</v>
      </c>
      <c r="H821" s="1" t="s">
        <v>268</v>
      </c>
      <c r="I821" s="1" t="s">
        <v>269</v>
      </c>
      <c r="J821" s="1" t="s">
        <v>319</v>
      </c>
      <c r="K821" s="1" t="str">
        <f>_xlfn.XLOOKUP(J821,REF!$D$2:$D$12,REF!$E$2:$E$12)</f>
        <v>Comunicação</v>
      </c>
      <c r="L821" s="1" t="s">
        <v>715</v>
      </c>
      <c r="M821" s="1" t="s">
        <v>289</v>
      </c>
      <c r="N821" s="1" t="s">
        <v>290</v>
      </c>
      <c r="O821" s="1" t="s">
        <v>631</v>
      </c>
      <c r="P821" s="1" t="str">
        <f t="shared" si="45"/>
        <v>BC BomSucessoSG60KTL46011,236111111146011,236111111146011,3194444444</v>
      </c>
      <c r="Q821" s="1" t="str">
        <f t="shared" si="46"/>
        <v>LIGRFOCOM</v>
      </c>
    </row>
    <row r="822" spans="2:17">
      <c r="B822" s="1" t="s">
        <v>2044</v>
      </c>
      <c r="C822" s="1" t="s">
        <v>2046</v>
      </c>
      <c r="D822" s="52">
        <v>46011.236111111109</v>
      </c>
      <c r="E822" s="52">
        <v>46011.236111111109</v>
      </c>
      <c r="F822" s="52">
        <v>46011.319444444445</v>
      </c>
      <c r="G822" s="53">
        <f t="shared" si="41"/>
        <v>8.3333333335758653E-2</v>
      </c>
      <c r="H822" s="1" t="s">
        <v>268</v>
      </c>
      <c r="I822" s="1" t="s">
        <v>269</v>
      </c>
      <c r="J822" s="1" t="s">
        <v>319</v>
      </c>
      <c r="K822" s="1" t="str">
        <f>_xlfn.XLOOKUP(J822,REF!$D$2:$D$12,REF!$E$2:$E$12)</f>
        <v>Comunicação</v>
      </c>
      <c r="L822" s="1" t="s">
        <v>715</v>
      </c>
      <c r="M822" s="1" t="s">
        <v>289</v>
      </c>
      <c r="N822" s="1" t="s">
        <v>290</v>
      </c>
      <c r="O822" s="1" t="s">
        <v>631</v>
      </c>
      <c r="P822" s="1" t="str">
        <f t="shared" si="45"/>
        <v>BC BomSucessoABB_0146011,236111111146011,236111111146011,3194444444</v>
      </c>
      <c r="Q822" s="1" t="str">
        <f t="shared" si="46"/>
        <v>LIGRFOCOM</v>
      </c>
    </row>
    <row r="823" spans="2:17">
      <c r="B823" s="1" t="s">
        <v>2044</v>
      </c>
      <c r="C823" s="1" t="s">
        <v>2047</v>
      </c>
      <c r="D823" s="52">
        <v>46011.236111111109</v>
      </c>
      <c r="E823" s="52">
        <v>46011.236111111109</v>
      </c>
      <c r="F823" s="52">
        <v>46011.319444444445</v>
      </c>
      <c r="G823" s="53">
        <f t="shared" si="41"/>
        <v>8.3333333335758653E-2</v>
      </c>
      <c r="H823" s="1" t="s">
        <v>268</v>
      </c>
      <c r="I823" s="1" t="s">
        <v>269</v>
      </c>
      <c r="J823" s="1" t="s">
        <v>319</v>
      </c>
      <c r="K823" s="1" t="str">
        <f>_xlfn.XLOOKUP(J823,REF!$D$2:$D$12,REF!$E$2:$E$12)</f>
        <v>Comunicação</v>
      </c>
      <c r="L823" s="1" t="s">
        <v>715</v>
      </c>
      <c r="M823" s="1" t="s">
        <v>289</v>
      </c>
      <c r="N823" s="1" t="s">
        <v>290</v>
      </c>
      <c r="O823" s="1" t="s">
        <v>631</v>
      </c>
      <c r="P823" s="1" t="str">
        <f t="shared" si="45"/>
        <v>BC BomSucessoABB_0246011,236111111146011,236111111146011,3194444444</v>
      </c>
      <c r="Q823" s="1" t="str">
        <f t="shared" si="46"/>
        <v>LIGRFOCOM</v>
      </c>
    </row>
    <row r="824" spans="2:17">
      <c r="B824" s="1" t="s">
        <v>2044</v>
      </c>
      <c r="C824" s="1" t="s">
        <v>2048</v>
      </c>
      <c r="D824" s="52">
        <v>46011.236111111109</v>
      </c>
      <c r="E824" s="52">
        <v>46011.236111111109</v>
      </c>
      <c r="F824" s="52">
        <v>46011.319444444445</v>
      </c>
      <c r="G824" s="53">
        <f t="shared" si="41"/>
        <v>8.3333333335758653E-2</v>
      </c>
      <c r="H824" s="1" t="s">
        <v>268</v>
      </c>
      <c r="I824" s="1" t="s">
        <v>269</v>
      </c>
      <c r="J824" s="1" t="s">
        <v>319</v>
      </c>
      <c r="K824" s="1" t="str">
        <f>_xlfn.XLOOKUP(J824,REF!$D$2:$D$12,REF!$E$2:$E$12)</f>
        <v>Comunicação</v>
      </c>
      <c r="L824" s="1" t="s">
        <v>715</v>
      </c>
      <c r="M824" s="1" t="s">
        <v>289</v>
      </c>
      <c r="N824" s="1" t="s">
        <v>290</v>
      </c>
      <c r="O824" s="1" t="s">
        <v>631</v>
      </c>
      <c r="P824" s="1" t="str">
        <f t="shared" si="45"/>
        <v>BC BomSucessoABB_0346011,236111111146011,236111111146011,3194444444</v>
      </c>
      <c r="Q824" s="1" t="str">
        <f t="shared" si="46"/>
        <v>LIGRFOCOM</v>
      </c>
    </row>
    <row r="825" spans="2:17">
      <c r="B825" s="1" t="s">
        <v>2044</v>
      </c>
      <c r="C825" s="1" t="s">
        <v>2049</v>
      </c>
      <c r="D825" s="52">
        <v>46011.236111111109</v>
      </c>
      <c r="E825" s="52">
        <v>46011.236111111109</v>
      </c>
      <c r="F825" s="52">
        <v>46011.319444444445</v>
      </c>
      <c r="G825" s="53">
        <f t="shared" si="41"/>
        <v>8.3333333335758653E-2</v>
      </c>
      <c r="H825" s="1" t="s">
        <v>268</v>
      </c>
      <c r="I825" s="1" t="s">
        <v>269</v>
      </c>
      <c r="J825" s="1" t="s">
        <v>319</v>
      </c>
      <c r="K825" s="1" t="str">
        <f>_xlfn.XLOOKUP(J825,REF!$D$2:$D$12,REF!$E$2:$E$12)</f>
        <v>Comunicação</v>
      </c>
      <c r="L825" s="1" t="s">
        <v>715</v>
      </c>
      <c r="M825" s="1" t="s">
        <v>289</v>
      </c>
      <c r="N825" s="1" t="s">
        <v>290</v>
      </c>
      <c r="O825" s="1" t="s">
        <v>631</v>
      </c>
      <c r="P825" s="1" t="str">
        <f t="shared" si="45"/>
        <v>BC BomSucessoABB_0446011,236111111146011,236111111146011,3194444444</v>
      </c>
      <c r="Q825" s="1" t="str">
        <f t="shared" si="46"/>
        <v>LIGRFOCOM</v>
      </c>
    </row>
    <row r="826" spans="2:17">
      <c r="B826" s="1" t="s">
        <v>2044</v>
      </c>
      <c r="C826" s="1" t="s">
        <v>2050</v>
      </c>
      <c r="D826" s="52">
        <v>46011.236111111109</v>
      </c>
      <c r="E826" s="52">
        <v>46011.236111111109</v>
      </c>
      <c r="F826" s="52">
        <v>46011.319444444445</v>
      </c>
      <c r="G826" s="53">
        <f t="shared" si="41"/>
        <v>8.3333333335758653E-2</v>
      </c>
      <c r="H826" s="1" t="s">
        <v>268</v>
      </c>
      <c r="I826" s="1" t="s">
        <v>269</v>
      </c>
      <c r="J826" s="1" t="s">
        <v>319</v>
      </c>
      <c r="K826" s="1" t="str">
        <f>_xlfn.XLOOKUP(J826,REF!$D$2:$D$12,REF!$E$2:$E$12)</f>
        <v>Comunicação</v>
      </c>
      <c r="L826" s="1" t="s">
        <v>715</v>
      </c>
      <c r="M826" s="1" t="s">
        <v>289</v>
      </c>
      <c r="N826" s="1" t="s">
        <v>290</v>
      </c>
      <c r="O826" s="1" t="s">
        <v>631</v>
      </c>
      <c r="P826" s="1" t="str">
        <f t="shared" si="45"/>
        <v>BC BomSucessoABB_0546011,236111111146011,236111111146011,3194444444</v>
      </c>
      <c r="Q826" s="1" t="str">
        <f t="shared" si="46"/>
        <v>LIGRFOCOM</v>
      </c>
    </row>
    <row r="827" spans="2:17">
      <c r="B827" s="1" t="s">
        <v>2044</v>
      </c>
      <c r="C827" s="1" t="s">
        <v>2051</v>
      </c>
      <c r="D827" s="52">
        <v>46011.236111111109</v>
      </c>
      <c r="E827" s="52">
        <v>46011.236111111109</v>
      </c>
      <c r="F827" s="52">
        <v>46011.319444444445</v>
      </c>
      <c r="G827" s="53">
        <f t="shared" si="41"/>
        <v>8.3333333335758653E-2</v>
      </c>
      <c r="H827" s="1" t="s">
        <v>268</v>
      </c>
      <c r="I827" s="1" t="s">
        <v>269</v>
      </c>
      <c r="J827" s="1" t="s">
        <v>319</v>
      </c>
      <c r="K827" s="1" t="str">
        <f>_xlfn.XLOOKUP(J827,REF!$D$2:$D$12,REF!$E$2:$E$12)</f>
        <v>Comunicação</v>
      </c>
      <c r="L827" s="1" t="s">
        <v>715</v>
      </c>
      <c r="M827" s="1" t="s">
        <v>289</v>
      </c>
      <c r="N827" s="1" t="s">
        <v>290</v>
      </c>
      <c r="O827" s="1" t="s">
        <v>631</v>
      </c>
      <c r="P827" s="1" t="str">
        <f t="shared" si="45"/>
        <v>BC BomSucessoABB_0646011,236111111146011,236111111146011,3194444444</v>
      </c>
      <c r="Q827" s="1" t="str">
        <f t="shared" si="46"/>
        <v>LIGRFOCOM</v>
      </c>
    </row>
    <row r="828" spans="2:17">
      <c r="B828" s="1" t="s">
        <v>2044</v>
      </c>
      <c r="C828" s="1" t="s">
        <v>2052</v>
      </c>
      <c r="D828" s="52">
        <v>46011.236111111109</v>
      </c>
      <c r="E828" s="52">
        <v>46011.236111111109</v>
      </c>
      <c r="F828" s="52">
        <v>46011.319444444445</v>
      </c>
      <c r="G828" s="53">
        <f t="shared" ref="G828:G891" si="47">F828-E828</f>
        <v>8.3333333335758653E-2</v>
      </c>
      <c r="H828" s="1" t="s">
        <v>268</v>
      </c>
      <c r="I828" s="1" t="s">
        <v>269</v>
      </c>
      <c r="J828" s="1" t="s">
        <v>319</v>
      </c>
      <c r="K828" s="1" t="str">
        <f>_xlfn.XLOOKUP(J828,REF!$D$2:$D$12,REF!$E$2:$E$12)</f>
        <v>Comunicação</v>
      </c>
      <c r="L828" s="1" t="s">
        <v>715</v>
      </c>
      <c r="M828" s="1" t="s">
        <v>289</v>
      </c>
      <c r="N828" s="1" t="s">
        <v>290</v>
      </c>
      <c r="O828" s="1" t="s">
        <v>631</v>
      </c>
      <c r="P828" s="1" t="str">
        <f t="shared" si="45"/>
        <v>BC BomSucessoABB_0746011,236111111146011,236111111146011,3194444444</v>
      </c>
      <c r="Q828" s="1" t="str">
        <f t="shared" si="46"/>
        <v>LIGRFOCOM</v>
      </c>
    </row>
    <row r="829" spans="2:17">
      <c r="B829" s="1" t="s">
        <v>2044</v>
      </c>
      <c r="C829" s="1" t="s">
        <v>2053</v>
      </c>
      <c r="D829" s="52">
        <v>46011.236111111109</v>
      </c>
      <c r="E829" s="52">
        <v>46011.236111111109</v>
      </c>
      <c r="F829" s="52">
        <v>46011.319444444445</v>
      </c>
      <c r="G829" s="53">
        <f t="shared" si="47"/>
        <v>8.3333333335758653E-2</v>
      </c>
      <c r="H829" s="1" t="s">
        <v>268</v>
      </c>
      <c r="I829" s="1" t="s">
        <v>269</v>
      </c>
      <c r="J829" s="1" t="s">
        <v>319</v>
      </c>
      <c r="K829" s="1" t="str">
        <f>_xlfn.XLOOKUP(J829,REF!$D$2:$D$12,REF!$E$2:$E$12)</f>
        <v>Comunicação</v>
      </c>
      <c r="L829" s="1" t="s">
        <v>715</v>
      </c>
      <c r="M829" s="1" t="s">
        <v>289</v>
      </c>
      <c r="N829" s="1" t="s">
        <v>290</v>
      </c>
      <c r="O829" s="1" t="s">
        <v>631</v>
      </c>
      <c r="P829" s="1" t="str">
        <f t="shared" si="45"/>
        <v>BC BomSucessoABB_0846011,236111111146011,236111111146011,3194444444</v>
      </c>
      <c r="Q829" s="1" t="str">
        <f t="shared" si="46"/>
        <v>LIGRFOCOM</v>
      </c>
    </row>
    <row r="830" spans="2:17">
      <c r="B830" s="1" t="s">
        <v>2044</v>
      </c>
      <c r="C830" s="1" t="s">
        <v>2054</v>
      </c>
      <c r="D830" s="52">
        <v>46011.236111111109</v>
      </c>
      <c r="E830" s="52">
        <v>46011.236111111109</v>
      </c>
      <c r="F830" s="52">
        <v>46011.319444444445</v>
      </c>
      <c r="G830" s="53">
        <f t="shared" si="47"/>
        <v>8.3333333335758653E-2</v>
      </c>
      <c r="H830" s="1" t="s">
        <v>268</v>
      </c>
      <c r="I830" s="1" t="s">
        <v>269</v>
      </c>
      <c r="J830" s="1" t="s">
        <v>319</v>
      </c>
      <c r="K830" s="1" t="str">
        <f>_xlfn.XLOOKUP(J830,REF!$D$2:$D$12,REF!$E$2:$E$12)</f>
        <v>Comunicação</v>
      </c>
      <c r="L830" s="1" t="s">
        <v>715</v>
      </c>
      <c r="M830" s="1" t="s">
        <v>289</v>
      </c>
      <c r="N830" s="1" t="s">
        <v>290</v>
      </c>
      <c r="O830" s="1" t="s">
        <v>631</v>
      </c>
      <c r="P830" s="1" t="str">
        <f t="shared" si="45"/>
        <v>BC BomSucessoABB_0946011,236111111146011,236111111146011,3194444444</v>
      </c>
      <c r="Q830" s="1" t="str">
        <f t="shared" si="46"/>
        <v>LIGRFOCOM</v>
      </c>
    </row>
    <row r="831" spans="2:17">
      <c r="B831" s="1" t="s">
        <v>2044</v>
      </c>
      <c r="C831" s="1" t="s">
        <v>2055</v>
      </c>
      <c r="D831" s="52">
        <v>46011.236111111109</v>
      </c>
      <c r="E831" s="52">
        <v>46011.236111111109</v>
      </c>
      <c r="F831" s="52">
        <v>46011.319444444445</v>
      </c>
      <c r="G831" s="53">
        <f t="shared" si="47"/>
        <v>8.3333333335758653E-2</v>
      </c>
      <c r="H831" s="1" t="s">
        <v>268</v>
      </c>
      <c r="I831" s="1" t="s">
        <v>269</v>
      </c>
      <c r="J831" s="1" t="s">
        <v>319</v>
      </c>
      <c r="K831" s="1" t="str">
        <f>_xlfn.XLOOKUP(J831,REF!$D$2:$D$12,REF!$E$2:$E$12)</f>
        <v>Comunicação</v>
      </c>
      <c r="L831" s="1" t="s">
        <v>715</v>
      </c>
      <c r="M831" s="1" t="s">
        <v>289</v>
      </c>
      <c r="N831" s="1" t="s">
        <v>290</v>
      </c>
      <c r="O831" s="1" t="s">
        <v>631</v>
      </c>
      <c r="P831" s="1" t="str">
        <f t="shared" si="45"/>
        <v>BC BomSucessoABB_1046011,236111111146011,236111111146011,3194444444</v>
      </c>
      <c r="Q831" s="1" t="str">
        <f t="shared" si="46"/>
        <v>LIGRFOCOM</v>
      </c>
    </row>
    <row r="832" spans="2:17">
      <c r="B832" s="1" t="s">
        <v>2044</v>
      </c>
      <c r="C832" s="1" t="s">
        <v>2056</v>
      </c>
      <c r="D832" s="52">
        <v>46011.236111111109</v>
      </c>
      <c r="E832" s="52">
        <v>46011.236111111109</v>
      </c>
      <c r="F832" s="52">
        <v>46011.319444444445</v>
      </c>
      <c r="G832" s="53">
        <f t="shared" si="47"/>
        <v>8.3333333335758653E-2</v>
      </c>
      <c r="H832" s="1" t="s">
        <v>268</v>
      </c>
      <c r="I832" s="1" t="s">
        <v>269</v>
      </c>
      <c r="J832" s="1" t="s">
        <v>319</v>
      </c>
      <c r="K832" s="1" t="str">
        <f>_xlfn.XLOOKUP(J832,REF!$D$2:$D$12,REF!$E$2:$E$12)</f>
        <v>Comunicação</v>
      </c>
      <c r="L832" s="1" t="s">
        <v>715</v>
      </c>
      <c r="M832" s="1" t="s">
        <v>289</v>
      </c>
      <c r="N832" s="1" t="s">
        <v>290</v>
      </c>
      <c r="O832" s="1" t="s">
        <v>631</v>
      </c>
      <c r="P832" s="1" t="str">
        <f t="shared" si="45"/>
        <v>BC BomSucessoABB_1146011,236111111146011,236111111146011,3194444444</v>
      </c>
      <c r="Q832" s="1" t="str">
        <f t="shared" si="46"/>
        <v>LIGRFOCOM</v>
      </c>
    </row>
    <row r="833" spans="2:17" hidden="1">
      <c r="B833" s="1" t="s">
        <v>2178</v>
      </c>
      <c r="C833" s="1" t="s">
        <v>730</v>
      </c>
      <c r="D833" s="52">
        <v>46000.333333333336</v>
      </c>
      <c r="E833" s="52">
        <v>46000.333333333336</v>
      </c>
      <c r="F833" s="52">
        <v>46000.430555555555</v>
      </c>
      <c r="G833" s="53">
        <f t="shared" si="47"/>
        <v>9.7222222218988463E-2</v>
      </c>
      <c r="H833" s="1" t="s">
        <v>677</v>
      </c>
      <c r="J833" s="1" t="s">
        <v>249</v>
      </c>
      <c r="K833" s="1" t="str">
        <f>_xlfn.XLOOKUP(J833,REF!$D$2:$D$12,REF!$E$2:$E$12)</f>
        <v>Transformador</v>
      </c>
      <c r="L833" s="1" t="s">
        <v>2179</v>
      </c>
      <c r="M833" s="1" t="s">
        <v>663</v>
      </c>
      <c r="N833" s="1" t="s">
        <v>672</v>
      </c>
      <c r="O833" s="1" t="s">
        <v>2180</v>
      </c>
      <c r="P833" s="1" t="str">
        <f t="shared" si="45"/>
        <v>VARJÃO 1 - UFV 1UFV 1 - INV 146000,333333333346000,333333333346000,4305555556</v>
      </c>
      <c r="Q833" s="1" t="str">
        <f t="shared" si="46"/>
        <v>DPRTRF</v>
      </c>
    </row>
    <row r="834" spans="2:17" hidden="1">
      <c r="B834" s="1" t="s">
        <v>2178</v>
      </c>
      <c r="C834" s="1" t="s">
        <v>732</v>
      </c>
      <c r="D834" s="52">
        <v>46000.333333333336</v>
      </c>
      <c r="E834" s="52">
        <v>46000.333333333336</v>
      </c>
      <c r="F834" s="52">
        <v>46000.430555555555</v>
      </c>
      <c r="G834" s="53">
        <f t="shared" si="47"/>
        <v>9.7222222218988463E-2</v>
      </c>
      <c r="H834" s="1" t="s">
        <v>677</v>
      </c>
      <c r="J834" s="1" t="s">
        <v>249</v>
      </c>
      <c r="K834" s="1" t="str">
        <f>_xlfn.XLOOKUP(J834,REF!$D$2:$D$12,REF!$E$2:$E$12)</f>
        <v>Transformador</v>
      </c>
      <c r="L834" s="1" t="s">
        <v>2179</v>
      </c>
      <c r="M834" s="1" t="s">
        <v>663</v>
      </c>
      <c r="N834" s="1" t="s">
        <v>672</v>
      </c>
      <c r="O834" s="1" t="s">
        <v>2180</v>
      </c>
      <c r="P834" s="1" t="str">
        <f t="shared" si="45"/>
        <v>VARJÃO 1 - UFV 1UFV 1 - INV 546000,333333333346000,333333333346000,4305555556</v>
      </c>
      <c r="Q834" s="1" t="str">
        <f t="shared" si="46"/>
        <v>DPRTRF</v>
      </c>
    </row>
    <row r="835" spans="2:17" hidden="1">
      <c r="B835" s="1" t="s">
        <v>2178</v>
      </c>
      <c r="C835" s="1" t="s">
        <v>733</v>
      </c>
      <c r="D835" s="52">
        <v>46000.333333333336</v>
      </c>
      <c r="E835" s="52">
        <v>46000.333333333336</v>
      </c>
      <c r="F835" s="52">
        <v>46000.430555555555</v>
      </c>
      <c r="G835" s="53">
        <f t="shared" si="47"/>
        <v>9.7222222218988463E-2</v>
      </c>
      <c r="H835" s="1" t="s">
        <v>677</v>
      </c>
      <c r="J835" s="1" t="s">
        <v>249</v>
      </c>
      <c r="K835" s="1" t="str">
        <f>_xlfn.XLOOKUP(J835,REF!$D$2:$D$12,REF!$E$2:$E$12)</f>
        <v>Transformador</v>
      </c>
      <c r="L835" s="1" t="s">
        <v>2179</v>
      </c>
      <c r="M835" s="1" t="s">
        <v>663</v>
      </c>
      <c r="N835" s="1" t="s">
        <v>672</v>
      </c>
      <c r="O835" s="1" t="s">
        <v>2180</v>
      </c>
      <c r="P835" s="1" t="str">
        <f t="shared" si="45"/>
        <v>VARJÃO 1 - UFV 1UFV 1 - INV 446000,333333333346000,333333333346000,4305555556</v>
      </c>
      <c r="Q835" s="1" t="str">
        <f t="shared" si="46"/>
        <v>DPRTRF</v>
      </c>
    </row>
    <row r="836" spans="2:17" hidden="1">
      <c r="B836" s="1" t="s">
        <v>2178</v>
      </c>
      <c r="C836" s="1" t="s">
        <v>734</v>
      </c>
      <c r="D836" s="52">
        <v>46000.333333333336</v>
      </c>
      <c r="E836" s="52">
        <v>46000.333333333336</v>
      </c>
      <c r="F836" s="52">
        <v>46000.430555555555</v>
      </c>
      <c r="G836" s="53">
        <f t="shared" si="47"/>
        <v>9.7222222218988463E-2</v>
      </c>
      <c r="H836" s="1" t="s">
        <v>677</v>
      </c>
      <c r="J836" s="1" t="s">
        <v>249</v>
      </c>
      <c r="K836" s="1" t="str">
        <f>_xlfn.XLOOKUP(J836,REF!$D$2:$D$12,REF!$E$2:$E$12)</f>
        <v>Transformador</v>
      </c>
      <c r="L836" s="1" t="s">
        <v>2179</v>
      </c>
      <c r="M836" s="1" t="s">
        <v>663</v>
      </c>
      <c r="N836" s="1" t="s">
        <v>672</v>
      </c>
      <c r="O836" s="1" t="s">
        <v>2180</v>
      </c>
      <c r="P836" s="1" t="str">
        <f t="shared" si="45"/>
        <v>VARJÃO 1 - UFV 1UFV 1 - INV 346000,333333333346000,333333333346000,4305555556</v>
      </c>
      <c r="Q836" s="1" t="str">
        <f t="shared" si="46"/>
        <v>DPRTRF</v>
      </c>
    </row>
    <row r="837" spans="2:17" hidden="1">
      <c r="B837" s="1" t="s">
        <v>2178</v>
      </c>
      <c r="C837" s="1" t="s">
        <v>735</v>
      </c>
      <c r="D837" s="52">
        <v>46000.333333333336</v>
      </c>
      <c r="E837" s="52">
        <v>46000.333333333336</v>
      </c>
      <c r="F837" s="52">
        <v>46000.430555555555</v>
      </c>
      <c r="G837" s="53">
        <f t="shared" si="47"/>
        <v>9.7222222218988463E-2</v>
      </c>
      <c r="H837" s="1" t="s">
        <v>677</v>
      </c>
      <c r="J837" s="1" t="s">
        <v>249</v>
      </c>
      <c r="K837" s="1" t="str">
        <f>_xlfn.XLOOKUP(J837,REF!$D$2:$D$12,REF!$E$2:$E$12)</f>
        <v>Transformador</v>
      </c>
      <c r="L837" s="1" t="s">
        <v>2179</v>
      </c>
      <c r="M837" s="1" t="s">
        <v>663</v>
      </c>
      <c r="N837" s="1" t="s">
        <v>672</v>
      </c>
      <c r="O837" s="1" t="s">
        <v>2180</v>
      </c>
      <c r="P837" s="1" t="str">
        <f t="shared" si="45"/>
        <v>VARJÃO 1 - UFV 1UFV 1 - INV 246000,333333333346000,333333333346000,4305555556</v>
      </c>
      <c r="Q837" s="1" t="str">
        <f t="shared" si="46"/>
        <v>DPRTRF</v>
      </c>
    </row>
    <row r="838" spans="2:17" hidden="1">
      <c r="B838" s="1" t="s">
        <v>2181</v>
      </c>
      <c r="C838" s="1" t="s">
        <v>332</v>
      </c>
      <c r="D838" s="52">
        <v>46000.434027777781</v>
      </c>
      <c r="E838" s="52">
        <v>46000.434027777781</v>
      </c>
      <c r="F838" s="52">
        <v>46000.493055555555</v>
      </c>
      <c r="G838" s="53">
        <f t="shared" si="47"/>
        <v>5.9027777773735579E-2</v>
      </c>
      <c r="H838" s="1" t="s">
        <v>677</v>
      </c>
      <c r="J838" s="1" t="s">
        <v>249</v>
      </c>
      <c r="K838" s="1" t="str">
        <f>_xlfn.XLOOKUP(J838,REF!$D$2:$D$12,REF!$E$2:$E$12)</f>
        <v>Transformador</v>
      </c>
      <c r="L838" s="1" t="s">
        <v>2179</v>
      </c>
      <c r="M838" s="1" t="s">
        <v>663</v>
      </c>
      <c r="N838" s="1" t="s">
        <v>672</v>
      </c>
      <c r="O838" s="1" t="s">
        <v>2180</v>
      </c>
      <c r="P838" s="1" t="str">
        <f t="shared" si="45"/>
        <v>VARJÃO 1 - UFV 2215KTL-H0(MBUS-12)46000,434027777846000,434027777846000,4930555556</v>
      </c>
      <c r="Q838" s="1" t="str">
        <f t="shared" si="46"/>
        <v>DPRTRF</v>
      </c>
    </row>
    <row r="839" spans="2:17" hidden="1">
      <c r="B839" s="1" t="s">
        <v>2181</v>
      </c>
      <c r="C839" s="1" t="s">
        <v>335</v>
      </c>
      <c r="D839" s="52">
        <v>46000.434027777781</v>
      </c>
      <c r="E839" s="52">
        <v>46000.434027777781</v>
      </c>
      <c r="F839" s="52">
        <v>46000.493055555555</v>
      </c>
      <c r="G839" s="53">
        <f t="shared" si="47"/>
        <v>5.9027777773735579E-2</v>
      </c>
      <c r="H839" s="1" t="s">
        <v>677</v>
      </c>
      <c r="J839" s="1" t="s">
        <v>249</v>
      </c>
      <c r="K839" s="1" t="str">
        <f>_xlfn.XLOOKUP(J839,REF!$D$2:$D$12,REF!$E$2:$E$12)</f>
        <v>Transformador</v>
      </c>
      <c r="L839" s="1" t="s">
        <v>2179</v>
      </c>
      <c r="M839" s="1" t="s">
        <v>663</v>
      </c>
      <c r="N839" s="1" t="s">
        <v>672</v>
      </c>
      <c r="O839" s="1" t="s">
        <v>2180</v>
      </c>
      <c r="P839" s="1" t="str">
        <f t="shared" si="45"/>
        <v>VARJÃO 1 - UFV 2215KTL-H0(MBUS-13)46000,434027777846000,434027777846000,4930555556</v>
      </c>
      <c r="Q839" s="1" t="str">
        <f t="shared" si="46"/>
        <v>DPRTRF</v>
      </c>
    </row>
    <row r="840" spans="2:17" hidden="1">
      <c r="B840" s="1" t="s">
        <v>2181</v>
      </c>
      <c r="C840" s="1" t="s">
        <v>336</v>
      </c>
      <c r="D840" s="52">
        <v>46000.434027777781</v>
      </c>
      <c r="E840" s="52">
        <v>46000.434027777781</v>
      </c>
      <c r="F840" s="52">
        <v>46000.493055555555</v>
      </c>
      <c r="G840" s="53">
        <f t="shared" si="47"/>
        <v>5.9027777773735579E-2</v>
      </c>
      <c r="H840" s="1" t="s">
        <v>677</v>
      </c>
      <c r="J840" s="1" t="s">
        <v>249</v>
      </c>
      <c r="K840" s="1" t="str">
        <f>_xlfn.XLOOKUP(J840,REF!$D$2:$D$12,REF!$E$2:$E$12)</f>
        <v>Transformador</v>
      </c>
      <c r="L840" s="1" t="s">
        <v>2179</v>
      </c>
      <c r="M840" s="1" t="s">
        <v>663</v>
      </c>
      <c r="N840" s="1" t="s">
        <v>672</v>
      </c>
      <c r="O840" s="1" t="s">
        <v>2180</v>
      </c>
      <c r="P840" s="1" t="str">
        <f t="shared" si="45"/>
        <v>VARJÃO 1 - UFV 2215KTL-H0(MBUS-14)46000,434027777846000,434027777846000,4930555556</v>
      </c>
      <c r="Q840" s="1" t="str">
        <f t="shared" si="46"/>
        <v>DPRTRF</v>
      </c>
    </row>
    <row r="841" spans="2:17" hidden="1">
      <c r="B841" s="1" t="s">
        <v>2181</v>
      </c>
      <c r="C841" s="1" t="s">
        <v>337</v>
      </c>
      <c r="D841" s="52">
        <v>46000.434027777781</v>
      </c>
      <c r="E841" s="52">
        <v>46000.434027777781</v>
      </c>
      <c r="F841" s="52">
        <v>46000.493055555555</v>
      </c>
      <c r="G841" s="53">
        <f t="shared" si="47"/>
        <v>5.9027777773735579E-2</v>
      </c>
      <c r="H841" s="1" t="s">
        <v>677</v>
      </c>
      <c r="J841" s="1" t="s">
        <v>249</v>
      </c>
      <c r="K841" s="1" t="str">
        <f>_xlfn.XLOOKUP(J841,REF!$D$2:$D$12,REF!$E$2:$E$12)</f>
        <v>Transformador</v>
      </c>
      <c r="L841" s="1" t="s">
        <v>2179</v>
      </c>
      <c r="M841" s="1" t="s">
        <v>663</v>
      </c>
      <c r="N841" s="1" t="s">
        <v>672</v>
      </c>
      <c r="O841" s="1" t="s">
        <v>2180</v>
      </c>
      <c r="P841" s="1" t="str">
        <f t="shared" si="45"/>
        <v>VARJÃO 1 - UFV 2215KTL-H0(MBUS-15)46000,434027777846000,434027777846000,4930555556</v>
      </c>
      <c r="Q841" s="1" t="str">
        <f t="shared" si="46"/>
        <v>DPRTRF</v>
      </c>
    </row>
    <row r="842" spans="2:17" hidden="1">
      <c r="B842" s="1" t="s">
        <v>2181</v>
      </c>
      <c r="C842" s="1" t="s">
        <v>338</v>
      </c>
      <c r="D842" s="52">
        <v>46000.434027777781</v>
      </c>
      <c r="E842" s="52">
        <v>46000.434027777781</v>
      </c>
      <c r="F842" s="52">
        <v>46000.493055555555</v>
      </c>
      <c r="G842" s="53">
        <f t="shared" si="47"/>
        <v>5.9027777773735579E-2</v>
      </c>
      <c r="H842" s="1" t="s">
        <v>677</v>
      </c>
      <c r="J842" s="1" t="s">
        <v>249</v>
      </c>
      <c r="K842" s="1" t="str">
        <f>_xlfn.XLOOKUP(J842,REF!$D$2:$D$12,REF!$E$2:$E$12)</f>
        <v>Transformador</v>
      </c>
      <c r="L842" s="1" t="s">
        <v>2179</v>
      </c>
      <c r="M842" s="1" t="s">
        <v>663</v>
      </c>
      <c r="N842" s="1" t="s">
        <v>672</v>
      </c>
      <c r="O842" s="1" t="s">
        <v>2180</v>
      </c>
      <c r="P842" s="1" t="str">
        <f t="shared" si="45"/>
        <v>VARJÃO 1 - UFV 2215KTL-H0(MBUS-16)46000,434027777846000,434027777846000,4930555556</v>
      </c>
      <c r="Q842" s="1" t="str">
        <f t="shared" si="46"/>
        <v>DPRTRF</v>
      </c>
    </row>
    <row r="843" spans="2:17" hidden="1">
      <c r="B843" s="1" t="s">
        <v>2182</v>
      </c>
      <c r="C843" s="1" t="s">
        <v>2102</v>
      </c>
      <c r="D843" s="52">
        <v>46000.559027777781</v>
      </c>
      <c r="E843" s="52">
        <v>46000.559027777781</v>
      </c>
      <c r="F843" s="52">
        <v>46000.638888888891</v>
      </c>
      <c r="G843" s="53">
        <f t="shared" si="47"/>
        <v>7.9861111109494232E-2</v>
      </c>
      <c r="H843" s="1" t="s">
        <v>677</v>
      </c>
      <c r="J843" s="1" t="s">
        <v>249</v>
      </c>
      <c r="K843" s="1" t="str">
        <f>_xlfn.XLOOKUP(J843,REF!$D$2:$D$12,REF!$E$2:$E$12)</f>
        <v>Transformador</v>
      </c>
      <c r="L843" s="1" t="s">
        <v>2179</v>
      </c>
      <c r="M843" s="1" t="s">
        <v>663</v>
      </c>
      <c r="N843" s="1" t="s">
        <v>672</v>
      </c>
      <c r="O843" s="1" t="s">
        <v>2180</v>
      </c>
      <c r="P843" s="1" t="str">
        <f t="shared" si="45"/>
        <v>VARJÃO 1 - UFV 3100KTL-H1(MBUS-13)46000,559027777846000,559027777846000,6388888889</v>
      </c>
      <c r="Q843" s="1" t="str">
        <f t="shared" si="46"/>
        <v>DPRTRF</v>
      </c>
    </row>
    <row r="844" spans="2:17" hidden="1">
      <c r="B844" s="1" t="s">
        <v>2182</v>
      </c>
      <c r="C844" s="1" t="s">
        <v>737</v>
      </c>
      <c r="D844" s="52">
        <v>46000.559027777781</v>
      </c>
      <c r="E844" s="52">
        <v>46000.559027777781</v>
      </c>
      <c r="F844" s="52">
        <v>46000.638888888891</v>
      </c>
      <c r="G844" s="53">
        <f t="shared" si="47"/>
        <v>7.9861111109494232E-2</v>
      </c>
      <c r="H844" s="1" t="s">
        <v>677</v>
      </c>
      <c r="J844" s="1" t="s">
        <v>249</v>
      </c>
      <c r="K844" s="1" t="str">
        <f>_xlfn.XLOOKUP(J844,REF!$D$2:$D$12,REF!$E$2:$E$12)</f>
        <v>Transformador</v>
      </c>
      <c r="L844" s="1" t="s">
        <v>2179</v>
      </c>
      <c r="M844" s="1" t="s">
        <v>663</v>
      </c>
      <c r="N844" s="1" t="s">
        <v>672</v>
      </c>
      <c r="O844" s="1" t="s">
        <v>2180</v>
      </c>
      <c r="P844" s="1" t="str">
        <f t="shared" si="45"/>
        <v>VARJÃO 1 - UFV 3UF3Inv246000,559027777846000,559027777846000,6388888889</v>
      </c>
      <c r="Q844" s="1" t="str">
        <f t="shared" si="46"/>
        <v>DPRTRF</v>
      </c>
    </row>
    <row r="845" spans="2:17" hidden="1">
      <c r="B845" s="1" t="s">
        <v>2182</v>
      </c>
      <c r="C845" s="1" t="s">
        <v>336</v>
      </c>
      <c r="D845" s="52">
        <v>46000.559027777781</v>
      </c>
      <c r="E845" s="52">
        <v>46000.559027777781</v>
      </c>
      <c r="F845" s="52">
        <v>46000.638888888891</v>
      </c>
      <c r="G845" s="53">
        <f t="shared" si="47"/>
        <v>7.9861111109494232E-2</v>
      </c>
      <c r="H845" s="1" t="s">
        <v>677</v>
      </c>
      <c r="J845" s="1" t="s">
        <v>249</v>
      </c>
      <c r="K845" s="1" t="str">
        <f>_xlfn.XLOOKUP(J845,REF!$D$2:$D$12,REF!$E$2:$E$12)</f>
        <v>Transformador</v>
      </c>
      <c r="L845" s="1" t="s">
        <v>2179</v>
      </c>
      <c r="M845" s="1" t="s">
        <v>663</v>
      </c>
      <c r="N845" s="1" t="s">
        <v>672</v>
      </c>
      <c r="O845" s="1" t="s">
        <v>2180</v>
      </c>
      <c r="P845" s="1" t="str">
        <f t="shared" si="45"/>
        <v>VARJÃO 1 - UFV 3215KTL-H0(MBUS-14)46000,559027777846000,559027777846000,6388888889</v>
      </c>
      <c r="Q845" s="1" t="str">
        <f t="shared" si="46"/>
        <v>DPRTRF</v>
      </c>
    </row>
    <row r="846" spans="2:17" hidden="1">
      <c r="B846" s="1" t="s">
        <v>2183</v>
      </c>
      <c r="C846" s="1" t="s">
        <v>332</v>
      </c>
      <c r="D846" s="52">
        <v>46001.414583333331</v>
      </c>
      <c r="E846" s="52">
        <v>46001.414583333331</v>
      </c>
      <c r="F846" s="52">
        <v>46001.491666666669</v>
      </c>
      <c r="G846" s="53">
        <f t="shared" si="47"/>
        <v>7.7083333337213844E-2</v>
      </c>
      <c r="H846" s="1" t="s">
        <v>677</v>
      </c>
      <c r="J846" s="1" t="s">
        <v>249</v>
      </c>
      <c r="K846" s="1" t="str">
        <f>_xlfn.XLOOKUP(J846,REF!$D$2:$D$12,REF!$E$2:$E$12)</f>
        <v>Transformador</v>
      </c>
      <c r="L846" s="1" t="s">
        <v>2179</v>
      </c>
      <c r="M846" s="1" t="s">
        <v>663</v>
      </c>
      <c r="N846" s="1" t="s">
        <v>672</v>
      </c>
      <c r="O846" s="1" t="s">
        <v>2180</v>
      </c>
      <c r="P846" s="1" t="str">
        <f t="shared" si="45"/>
        <v>VARJÃO 2 - UFV 2.1215KTL-H0(MBUS-12)46001,414583333346001,414583333346001,4916666667</v>
      </c>
      <c r="Q846" s="1" t="str">
        <f t="shared" si="46"/>
        <v>DPRTRF</v>
      </c>
    </row>
    <row r="847" spans="2:17" hidden="1">
      <c r="B847" s="1" t="s">
        <v>2183</v>
      </c>
      <c r="C847" s="1" t="s">
        <v>335</v>
      </c>
      <c r="D847" s="52">
        <v>46001.414583333331</v>
      </c>
      <c r="E847" s="52">
        <v>46001.414583333331</v>
      </c>
      <c r="F847" s="52">
        <v>46001.491666666669</v>
      </c>
      <c r="G847" s="53">
        <f t="shared" si="47"/>
        <v>7.7083333337213844E-2</v>
      </c>
      <c r="H847" s="1" t="s">
        <v>677</v>
      </c>
      <c r="J847" s="1" t="s">
        <v>249</v>
      </c>
      <c r="K847" s="1" t="str">
        <f>_xlfn.XLOOKUP(J847,REF!$D$2:$D$12,REF!$E$2:$E$12)</f>
        <v>Transformador</v>
      </c>
      <c r="L847" s="1" t="s">
        <v>2179</v>
      </c>
      <c r="M847" s="1" t="s">
        <v>663</v>
      </c>
      <c r="N847" s="1" t="s">
        <v>672</v>
      </c>
      <c r="O847" s="1" t="s">
        <v>2180</v>
      </c>
      <c r="P847" s="1" t="str">
        <f t="shared" si="45"/>
        <v>VARJÃO 2 - UFV 2.1215KTL-H0(MBUS-13)46001,414583333346001,414583333346001,4916666667</v>
      </c>
      <c r="Q847" s="1" t="str">
        <f t="shared" si="46"/>
        <v>DPRTRF</v>
      </c>
    </row>
    <row r="848" spans="2:17" hidden="1">
      <c r="B848" s="1" t="s">
        <v>2183</v>
      </c>
      <c r="C848" s="1" t="s">
        <v>336</v>
      </c>
      <c r="D848" s="52">
        <v>46001.414583333331</v>
      </c>
      <c r="E848" s="52">
        <v>46001.414583333331</v>
      </c>
      <c r="F848" s="52">
        <v>46001.491666666669</v>
      </c>
      <c r="G848" s="53">
        <f t="shared" si="47"/>
        <v>7.7083333337213844E-2</v>
      </c>
      <c r="H848" s="1" t="s">
        <v>677</v>
      </c>
      <c r="J848" s="1" t="s">
        <v>249</v>
      </c>
      <c r="K848" s="1" t="str">
        <f>_xlfn.XLOOKUP(J848,REF!$D$2:$D$12,REF!$E$2:$E$12)</f>
        <v>Transformador</v>
      </c>
      <c r="L848" s="1" t="s">
        <v>2179</v>
      </c>
      <c r="M848" s="1" t="s">
        <v>663</v>
      </c>
      <c r="N848" s="1" t="s">
        <v>672</v>
      </c>
      <c r="O848" s="1" t="s">
        <v>2180</v>
      </c>
      <c r="P848" s="1" t="str">
        <f t="shared" si="45"/>
        <v>VARJÃO 2 - UFV 2.1215KTL-H0(MBUS-14)46001,414583333346001,414583333346001,4916666667</v>
      </c>
      <c r="Q848" s="1" t="str">
        <f t="shared" si="46"/>
        <v>DPRTRF</v>
      </c>
    </row>
    <row r="849" spans="2:17" hidden="1">
      <c r="B849" s="1" t="s">
        <v>2183</v>
      </c>
      <c r="C849" s="1" t="s">
        <v>337</v>
      </c>
      <c r="D849" s="52">
        <v>46001.414583333331</v>
      </c>
      <c r="E849" s="52">
        <v>46001.414583333331</v>
      </c>
      <c r="F849" s="52">
        <v>46001.491666666669</v>
      </c>
      <c r="G849" s="53">
        <f t="shared" si="47"/>
        <v>7.7083333337213844E-2</v>
      </c>
      <c r="H849" s="1" t="s">
        <v>677</v>
      </c>
      <c r="J849" s="1" t="s">
        <v>249</v>
      </c>
      <c r="K849" s="1" t="str">
        <f>_xlfn.XLOOKUP(J849,REF!$D$2:$D$12,REF!$E$2:$E$12)</f>
        <v>Transformador</v>
      </c>
      <c r="L849" s="1" t="s">
        <v>2179</v>
      </c>
      <c r="M849" s="1" t="s">
        <v>663</v>
      </c>
      <c r="N849" s="1" t="s">
        <v>672</v>
      </c>
      <c r="O849" s="1" t="s">
        <v>2180</v>
      </c>
      <c r="P849" s="1" t="str">
        <f t="shared" si="45"/>
        <v>VARJÃO 2 - UFV 2.1215KTL-H0(MBUS-15)46001,414583333346001,414583333346001,4916666667</v>
      </c>
      <c r="Q849" s="1" t="str">
        <f t="shared" si="46"/>
        <v>DPRTRF</v>
      </c>
    </row>
    <row r="850" spans="2:17" hidden="1">
      <c r="B850" s="1" t="s">
        <v>2183</v>
      </c>
      <c r="C850" s="1" t="s">
        <v>338</v>
      </c>
      <c r="D850" s="52">
        <v>46001.414583333331</v>
      </c>
      <c r="E850" s="52">
        <v>46001.414583333331</v>
      </c>
      <c r="F850" s="52">
        <v>46001.491666666669</v>
      </c>
      <c r="G850" s="53">
        <f t="shared" si="47"/>
        <v>7.7083333337213844E-2</v>
      </c>
      <c r="H850" s="1" t="s">
        <v>677</v>
      </c>
      <c r="J850" s="1" t="s">
        <v>249</v>
      </c>
      <c r="K850" s="1" t="str">
        <f>_xlfn.XLOOKUP(J850,REF!$D$2:$D$12,REF!$E$2:$E$12)</f>
        <v>Transformador</v>
      </c>
      <c r="L850" s="1" t="s">
        <v>2179</v>
      </c>
      <c r="M850" s="1" t="s">
        <v>663</v>
      </c>
      <c r="N850" s="1" t="s">
        <v>672</v>
      </c>
      <c r="O850" s="1" t="s">
        <v>2180</v>
      </c>
      <c r="P850" s="1" t="str">
        <f t="shared" si="45"/>
        <v>VARJÃO 2 - UFV 2.1215KTL-H0(MBUS-16)46001,414583333346001,414583333346001,4916666667</v>
      </c>
      <c r="Q850" s="1" t="str">
        <f t="shared" si="46"/>
        <v>DPRTRF</v>
      </c>
    </row>
    <row r="851" spans="2:17" hidden="1">
      <c r="B851" s="1" t="s">
        <v>2184</v>
      </c>
      <c r="C851" s="1" t="s">
        <v>335</v>
      </c>
      <c r="D851" s="52">
        <v>46001.569444444445</v>
      </c>
      <c r="E851" s="52">
        <v>46001.569444444445</v>
      </c>
      <c r="F851" s="52">
        <v>46001.645833333336</v>
      </c>
      <c r="G851" s="53">
        <f t="shared" si="47"/>
        <v>7.6388888890505768E-2</v>
      </c>
      <c r="H851" s="1" t="s">
        <v>677</v>
      </c>
      <c r="J851" s="1" t="s">
        <v>249</v>
      </c>
      <c r="K851" s="1" t="str">
        <f>_xlfn.XLOOKUP(J851,REF!$D$2:$D$12,REF!$E$2:$E$12)</f>
        <v>Transformador</v>
      </c>
      <c r="L851" s="1" t="s">
        <v>2179</v>
      </c>
      <c r="M851" s="1" t="s">
        <v>663</v>
      </c>
      <c r="N851" s="1" t="s">
        <v>672</v>
      </c>
      <c r="O851" s="1" t="s">
        <v>2180</v>
      </c>
      <c r="P851" s="1" t="str">
        <f t="shared" si="45"/>
        <v>VARJÃO 2 - UFV 2.2215KTL-H0(MBUS-13)46001,569444444446001,569444444446001,6458333333</v>
      </c>
      <c r="Q851" s="1" t="str">
        <f t="shared" si="46"/>
        <v>DPRTRF</v>
      </c>
    </row>
    <row r="852" spans="2:17" hidden="1">
      <c r="B852" s="1" t="s">
        <v>2184</v>
      </c>
      <c r="C852" s="1" t="s">
        <v>336</v>
      </c>
      <c r="D852" s="52">
        <v>46001.569444444445</v>
      </c>
      <c r="E852" s="52">
        <v>46001.569444444445</v>
      </c>
      <c r="F852" s="52">
        <v>46001.645833333336</v>
      </c>
      <c r="G852" s="53">
        <f t="shared" si="47"/>
        <v>7.6388888890505768E-2</v>
      </c>
      <c r="H852" s="1" t="s">
        <v>677</v>
      </c>
      <c r="J852" s="1" t="s">
        <v>249</v>
      </c>
      <c r="K852" s="1" t="str">
        <f>_xlfn.XLOOKUP(J852,REF!$D$2:$D$12,REF!$E$2:$E$12)</f>
        <v>Transformador</v>
      </c>
      <c r="L852" s="1" t="s">
        <v>2179</v>
      </c>
      <c r="M852" s="1" t="s">
        <v>663</v>
      </c>
      <c r="N852" s="1" t="s">
        <v>672</v>
      </c>
      <c r="O852" s="1" t="s">
        <v>2180</v>
      </c>
      <c r="P852" s="1" t="str">
        <f t="shared" si="45"/>
        <v>VARJÃO 2 - UFV 2.2215KTL-H0(MBUS-14)46001,569444444446001,569444444446001,6458333333</v>
      </c>
      <c r="Q852" s="1" t="str">
        <f t="shared" si="46"/>
        <v>DPRTRF</v>
      </c>
    </row>
    <row r="853" spans="2:17" hidden="1">
      <c r="B853" s="1" t="s">
        <v>2184</v>
      </c>
      <c r="C853" s="1" t="s">
        <v>337</v>
      </c>
      <c r="D853" s="52">
        <v>46001.569444444445</v>
      </c>
      <c r="E853" s="52">
        <v>46001.569444444445</v>
      </c>
      <c r="F853" s="52">
        <v>46001.645833333336</v>
      </c>
      <c r="G853" s="53">
        <f t="shared" si="47"/>
        <v>7.6388888890505768E-2</v>
      </c>
      <c r="H853" s="1" t="s">
        <v>677</v>
      </c>
      <c r="J853" s="1" t="s">
        <v>249</v>
      </c>
      <c r="K853" s="1" t="str">
        <f>_xlfn.XLOOKUP(J853,REF!$D$2:$D$12,REF!$E$2:$E$12)</f>
        <v>Transformador</v>
      </c>
      <c r="L853" s="1" t="s">
        <v>2179</v>
      </c>
      <c r="M853" s="1" t="s">
        <v>663</v>
      </c>
      <c r="N853" s="1" t="s">
        <v>672</v>
      </c>
      <c r="O853" s="1" t="s">
        <v>2180</v>
      </c>
      <c r="P853" s="1" t="str">
        <f t="shared" si="45"/>
        <v>VARJÃO 2 - UFV 2.2215KTL-H0(MBUS-15)46001,569444444446001,569444444446001,6458333333</v>
      </c>
      <c r="Q853" s="1" t="str">
        <f t="shared" si="46"/>
        <v>DPRTRF</v>
      </c>
    </row>
    <row r="854" spans="2:17" hidden="1">
      <c r="B854" s="1" t="s">
        <v>2184</v>
      </c>
      <c r="C854" s="1" t="s">
        <v>338</v>
      </c>
      <c r="D854" s="52">
        <v>46001.569444444445</v>
      </c>
      <c r="E854" s="52">
        <v>46001.569444444445</v>
      </c>
      <c r="F854" s="52">
        <v>46001.645833333336</v>
      </c>
      <c r="G854" s="53">
        <f t="shared" si="47"/>
        <v>7.6388888890505768E-2</v>
      </c>
      <c r="H854" s="1" t="s">
        <v>677</v>
      </c>
      <c r="J854" s="1" t="s">
        <v>249</v>
      </c>
      <c r="K854" s="1" t="str">
        <f>_xlfn.XLOOKUP(J854,REF!$D$2:$D$12,REF!$E$2:$E$12)</f>
        <v>Transformador</v>
      </c>
      <c r="L854" s="1" t="s">
        <v>2179</v>
      </c>
      <c r="M854" s="1" t="s">
        <v>663</v>
      </c>
      <c r="N854" s="1" t="s">
        <v>672</v>
      </c>
      <c r="O854" s="1" t="s">
        <v>2180</v>
      </c>
      <c r="P854" s="1" t="str">
        <f t="shared" si="45"/>
        <v>VARJÃO 2 - UFV 2.2215KTL-H0(MBUS-16)46001,569444444446001,569444444446001,6458333333</v>
      </c>
      <c r="Q854" s="1" t="str">
        <f t="shared" si="46"/>
        <v>DPRTRF</v>
      </c>
    </row>
    <row r="855" spans="2:17" hidden="1">
      <c r="B855" s="1" t="s">
        <v>2184</v>
      </c>
      <c r="C855" s="1" t="s">
        <v>332</v>
      </c>
      <c r="D855" s="52">
        <v>46001.569444444445</v>
      </c>
      <c r="E855" s="52">
        <v>46001.569444444445</v>
      </c>
      <c r="F855" s="52">
        <v>46001.645833333336</v>
      </c>
      <c r="G855" s="53">
        <f t="shared" si="47"/>
        <v>7.6388888890505768E-2</v>
      </c>
      <c r="H855" s="1" t="s">
        <v>677</v>
      </c>
      <c r="J855" s="1" t="s">
        <v>249</v>
      </c>
      <c r="K855" s="1" t="str">
        <f>_xlfn.XLOOKUP(J855,REF!$D$2:$D$12,REF!$E$2:$E$12)</f>
        <v>Transformador</v>
      </c>
      <c r="L855" s="1" t="s">
        <v>2179</v>
      </c>
      <c r="M855" s="1" t="s">
        <v>663</v>
      </c>
      <c r="N855" s="1" t="s">
        <v>672</v>
      </c>
      <c r="O855" s="1" t="s">
        <v>2180</v>
      </c>
      <c r="P855" s="1" t="str">
        <f t="shared" si="45"/>
        <v>VARJÃO 2 - UFV 2.2215KTL-H0(MBUS-12)46001,569444444446001,569444444446001,6458333333</v>
      </c>
      <c r="Q855" s="1" t="str">
        <f t="shared" si="46"/>
        <v>DPRTRF</v>
      </c>
    </row>
    <row r="856" spans="2:17" hidden="1">
      <c r="B856" s="1" t="s">
        <v>2185</v>
      </c>
      <c r="C856" s="1" t="s">
        <v>341</v>
      </c>
      <c r="D856" s="52">
        <v>46001.341666666667</v>
      </c>
      <c r="E856" s="52">
        <v>46001.341666666667</v>
      </c>
      <c r="F856" s="52">
        <v>46001.413194444445</v>
      </c>
      <c r="G856" s="53">
        <f t="shared" si="47"/>
        <v>7.1527777778101154E-2</v>
      </c>
      <c r="H856" s="1" t="s">
        <v>677</v>
      </c>
      <c r="J856" s="1" t="s">
        <v>249</v>
      </c>
      <c r="K856" s="1" t="str">
        <f>_xlfn.XLOOKUP(J856,REF!$D$2:$D$12,REF!$E$2:$E$12)</f>
        <v>Transformador</v>
      </c>
      <c r="L856" s="1" t="s">
        <v>2179</v>
      </c>
      <c r="M856" s="1" t="s">
        <v>663</v>
      </c>
      <c r="N856" s="1" t="s">
        <v>672</v>
      </c>
      <c r="O856" s="1" t="s">
        <v>2180</v>
      </c>
      <c r="P856" s="1" t="str">
        <f t="shared" si="45"/>
        <v>VARJÃO 2 - UFV 2.3100KTL-H1(MBUS-1)46001,341666666746001,341666666746001,4131944444</v>
      </c>
      <c r="Q856" s="1" t="str">
        <f t="shared" si="46"/>
        <v>DPRTRF</v>
      </c>
    </row>
    <row r="857" spans="2:17" hidden="1">
      <c r="B857" s="1" t="s">
        <v>2185</v>
      </c>
      <c r="C857" s="1" t="s">
        <v>335</v>
      </c>
      <c r="D857" s="52">
        <v>46001.341666666667</v>
      </c>
      <c r="E857" s="52">
        <v>46001.341666666667</v>
      </c>
      <c r="F857" s="52">
        <v>46001.413194444445</v>
      </c>
      <c r="G857" s="53">
        <f t="shared" si="47"/>
        <v>7.1527777778101154E-2</v>
      </c>
      <c r="H857" s="1" t="s">
        <v>677</v>
      </c>
      <c r="J857" s="1" t="s">
        <v>249</v>
      </c>
      <c r="K857" s="1" t="str">
        <f>_xlfn.XLOOKUP(J857,REF!$D$2:$D$12,REF!$E$2:$E$12)</f>
        <v>Transformador</v>
      </c>
      <c r="L857" s="1" t="s">
        <v>2179</v>
      </c>
      <c r="M857" s="1" t="s">
        <v>663</v>
      </c>
      <c r="N857" s="1" t="s">
        <v>672</v>
      </c>
      <c r="O857" s="1" t="s">
        <v>2180</v>
      </c>
      <c r="P857" s="1" t="str">
        <f t="shared" si="45"/>
        <v>VARJÃO 2 - UFV 2.3215KTL-H0(MBUS-13)46001,341666666746001,341666666746001,4131944444</v>
      </c>
      <c r="Q857" s="1" t="str">
        <f t="shared" si="46"/>
        <v>DPRTRF</v>
      </c>
    </row>
    <row r="858" spans="2:17" hidden="1">
      <c r="B858" s="1" t="s">
        <v>2185</v>
      </c>
      <c r="C858" s="1" t="s">
        <v>332</v>
      </c>
      <c r="D858" s="52">
        <v>46001.341666666667</v>
      </c>
      <c r="E858" s="52">
        <v>46001.341666666667</v>
      </c>
      <c r="F858" s="52">
        <v>46001.413194444445</v>
      </c>
      <c r="G858" s="53">
        <f t="shared" si="47"/>
        <v>7.1527777778101154E-2</v>
      </c>
      <c r="H858" s="1" t="s">
        <v>677</v>
      </c>
      <c r="J858" s="1" t="s">
        <v>249</v>
      </c>
      <c r="K858" s="1" t="str">
        <f>_xlfn.XLOOKUP(J858,REF!$D$2:$D$12,REF!$E$2:$E$12)</f>
        <v>Transformador</v>
      </c>
      <c r="L858" s="1" t="s">
        <v>2179</v>
      </c>
      <c r="M858" s="1" t="s">
        <v>663</v>
      </c>
      <c r="N858" s="1" t="s">
        <v>672</v>
      </c>
      <c r="O858" s="1" t="s">
        <v>2180</v>
      </c>
      <c r="P858" s="1" t="str">
        <f t="shared" si="45"/>
        <v>VARJÃO 2 - UFV 2.3215KTL-H0(MBUS-12)46001,341666666746001,341666666746001,4131944444</v>
      </c>
      <c r="Q858" s="1" t="str">
        <f t="shared" si="46"/>
        <v>DPRTRF</v>
      </c>
    </row>
    <row r="859" spans="2:17" hidden="1">
      <c r="B859" s="1" t="s">
        <v>2186</v>
      </c>
      <c r="C859" s="1" t="s">
        <v>264</v>
      </c>
      <c r="D859" s="52">
        <v>46357.606944444444</v>
      </c>
      <c r="E859" s="52">
        <v>46357.606944444444</v>
      </c>
      <c r="F859" s="52">
        <v>46357.650694444441</v>
      </c>
      <c r="G859" s="53">
        <f t="shared" si="47"/>
        <v>4.3749999997089617E-2</v>
      </c>
      <c r="H859" s="1" t="s">
        <v>677</v>
      </c>
      <c r="J859" s="1" t="s">
        <v>249</v>
      </c>
      <c r="K859" s="1" t="str">
        <f>_xlfn.XLOOKUP(J859,REF!$D$2:$D$12,REF!$E$2:$E$12)</f>
        <v>Transformador</v>
      </c>
      <c r="L859" s="1" t="s">
        <v>2187</v>
      </c>
      <c r="M859" s="1" t="s">
        <v>663</v>
      </c>
      <c r="N859" s="1" t="s">
        <v>672</v>
      </c>
      <c r="O859" s="1" t="s">
        <v>2188</v>
      </c>
      <c r="P859" s="1" t="str">
        <f t="shared" si="45"/>
        <v>UFV LENÇOIS PAULISTAInverter(MBUS-13)46357,606944444446357,606944444446357,6506944444</v>
      </c>
      <c r="Q859" s="1" t="str">
        <f t="shared" si="46"/>
        <v>DPRTRF</v>
      </c>
    </row>
    <row r="860" spans="2:17" hidden="1">
      <c r="B860" s="1" t="s">
        <v>2186</v>
      </c>
      <c r="C860" s="1" t="s">
        <v>263</v>
      </c>
      <c r="D860" s="52">
        <v>46357.606944444444</v>
      </c>
      <c r="E860" s="52">
        <v>46357.606944444444</v>
      </c>
      <c r="F860" s="52">
        <v>46357.650694444441</v>
      </c>
      <c r="G860" s="53">
        <f t="shared" si="47"/>
        <v>4.3749999997089617E-2</v>
      </c>
      <c r="H860" s="1" t="s">
        <v>677</v>
      </c>
      <c r="J860" s="1" t="s">
        <v>249</v>
      </c>
      <c r="K860" s="1" t="str">
        <f>_xlfn.XLOOKUP(J860,REF!$D$2:$D$12,REF!$E$2:$E$12)</f>
        <v>Transformador</v>
      </c>
      <c r="L860" s="1" t="s">
        <v>2187</v>
      </c>
      <c r="M860" s="1" t="s">
        <v>663</v>
      </c>
      <c r="N860" s="1" t="s">
        <v>672</v>
      </c>
      <c r="O860" s="1" t="s">
        <v>2188</v>
      </c>
      <c r="P860" s="1" t="str">
        <f t="shared" si="45"/>
        <v>UFV LENÇOIS PAULISTAInverter(MBUS-14)46357,606944444446357,606944444446357,6506944444</v>
      </c>
      <c r="Q860" s="1" t="str">
        <f t="shared" si="46"/>
        <v>DPRTRF</v>
      </c>
    </row>
    <row r="861" spans="2:17" hidden="1">
      <c r="B861" s="1" t="s">
        <v>2186</v>
      </c>
      <c r="C861" s="1" t="s">
        <v>256</v>
      </c>
      <c r="D861" s="52">
        <v>46357.606944444444</v>
      </c>
      <c r="E861" s="52">
        <v>46357.606944444444</v>
      </c>
      <c r="F861" s="52">
        <v>46357.650694444441</v>
      </c>
      <c r="G861" s="53">
        <f t="shared" si="47"/>
        <v>4.3749999997089617E-2</v>
      </c>
      <c r="H861" s="1" t="s">
        <v>677</v>
      </c>
      <c r="J861" s="1" t="s">
        <v>249</v>
      </c>
      <c r="K861" s="1" t="str">
        <f>_xlfn.XLOOKUP(J861,REF!$D$2:$D$12,REF!$E$2:$E$12)</f>
        <v>Transformador</v>
      </c>
      <c r="L861" s="1" t="s">
        <v>2187</v>
      </c>
      <c r="M861" s="1" t="s">
        <v>663</v>
      </c>
      <c r="N861" s="1" t="s">
        <v>672</v>
      </c>
      <c r="O861" s="1" t="s">
        <v>2188</v>
      </c>
      <c r="P861" s="1" t="str">
        <f t="shared" si="45"/>
        <v>UFV LENÇOIS PAULISTAInverter(MBUS-12)46357,606944444446357,606944444446357,6506944444</v>
      </c>
      <c r="Q861" s="1" t="str">
        <f t="shared" si="46"/>
        <v>DPRTRF</v>
      </c>
    </row>
    <row r="862" spans="2:17" hidden="1">
      <c r="B862" s="1" t="s">
        <v>2186</v>
      </c>
      <c r="C862" s="1" t="s">
        <v>307</v>
      </c>
      <c r="D862" s="52">
        <v>46357.606944444444</v>
      </c>
      <c r="E862" s="52">
        <v>46357.606944444444</v>
      </c>
      <c r="F862" s="52">
        <v>46357.650694444441</v>
      </c>
      <c r="G862" s="53">
        <f t="shared" si="47"/>
        <v>4.3749999997089617E-2</v>
      </c>
      <c r="H862" s="1" t="s">
        <v>677</v>
      </c>
      <c r="J862" s="1" t="s">
        <v>249</v>
      </c>
      <c r="K862" s="1" t="str">
        <f>_xlfn.XLOOKUP(J862,REF!$D$2:$D$12,REF!$E$2:$E$12)</f>
        <v>Transformador</v>
      </c>
      <c r="L862" s="1" t="s">
        <v>2187</v>
      </c>
      <c r="M862" s="1" t="s">
        <v>663</v>
      </c>
      <c r="N862" s="1" t="s">
        <v>672</v>
      </c>
      <c r="O862" s="1" t="s">
        <v>2188</v>
      </c>
      <c r="P862" s="1" t="str">
        <f t="shared" si="45"/>
        <v>UFV LENÇOIS PAULISTAInverter(MBUS-15)46357,606944444446357,606944444446357,6506944444</v>
      </c>
      <c r="Q862" s="1" t="str">
        <f t="shared" si="46"/>
        <v>DPRTRF</v>
      </c>
    </row>
    <row r="863" spans="2:17" hidden="1">
      <c r="B863" s="1" t="s">
        <v>2189</v>
      </c>
      <c r="C863" s="1" t="s">
        <v>263</v>
      </c>
      <c r="D863" s="52">
        <v>46357.125</v>
      </c>
      <c r="E863" s="52">
        <v>46357.125</v>
      </c>
      <c r="F863" s="52">
        <v>46357.302083333336</v>
      </c>
      <c r="G863" s="53">
        <f t="shared" si="47"/>
        <v>0.17708333333575865</v>
      </c>
      <c r="H863" s="1" t="s">
        <v>257</v>
      </c>
      <c r="J863" s="1" t="s">
        <v>258</v>
      </c>
      <c r="K863" s="1" t="str">
        <f>_xlfn.XLOOKUP(J863,REF!$D$2:$D$12,REF!$E$2:$E$12)</f>
        <v>Rede</v>
      </c>
      <c r="L863" s="1" t="s">
        <v>2190</v>
      </c>
      <c r="M863" s="1" t="s">
        <v>260</v>
      </c>
      <c r="N863" s="1" t="s">
        <v>261</v>
      </c>
      <c r="O863" s="1" t="s">
        <v>2090</v>
      </c>
      <c r="P863" s="1" t="str">
        <f t="shared" ref="P863:P926" si="48">_xlfn.CONCAT(B863,C863,D863,E863,F863)</f>
        <v>Clareira de Araçu - UFV 1Inverter(MBUS-14)46357,12546357,12546357,3020833333</v>
      </c>
      <c r="Q863" s="1" t="str">
        <f t="shared" ref="Q863:Q926" si="49">_xlfn.CONCAT(H863,I863,J863)</f>
        <v>DAURDE</v>
      </c>
    </row>
    <row r="864" spans="2:17" hidden="1">
      <c r="B864" s="1" t="s">
        <v>2189</v>
      </c>
      <c r="C864" s="1" t="s">
        <v>307</v>
      </c>
      <c r="D864" s="52">
        <v>46357.125</v>
      </c>
      <c r="E864" s="52">
        <v>46357.125</v>
      </c>
      <c r="F864" s="52">
        <v>46357.302083333336</v>
      </c>
      <c r="G864" s="53">
        <f t="shared" si="47"/>
        <v>0.17708333333575865</v>
      </c>
      <c r="H864" s="1" t="s">
        <v>257</v>
      </c>
      <c r="J864" s="1" t="s">
        <v>258</v>
      </c>
      <c r="K864" s="1" t="str">
        <f>_xlfn.XLOOKUP(J864,REF!$D$2:$D$12,REF!$E$2:$E$12)</f>
        <v>Rede</v>
      </c>
      <c r="L864" s="1" t="s">
        <v>2190</v>
      </c>
      <c r="M864" s="1" t="s">
        <v>260</v>
      </c>
      <c r="N864" s="1" t="s">
        <v>261</v>
      </c>
      <c r="O864" s="1" t="s">
        <v>2090</v>
      </c>
      <c r="P864" s="1" t="str">
        <f t="shared" si="48"/>
        <v>Clareira de Araçu - UFV 1Inverter(MBUS-15)46357,12546357,12546357,3020833333</v>
      </c>
      <c r="Q864" s="1" t="str">
        <f t="shared" si="49"/>
        <v>DAURDE</v>
      </c>
    </row>
    <row r="865" spans="1:17" hidden="1">
      <c r="B865" s="1" t="s">
        <v>2189</v>
      </c>
      <c r="C865" s="1" t="s">
        <v>390</v>
      </c>
      <c r="D865" s="52">
        <v>46357.125</v>
      </c>
      <c r="E865" s="52">
        <v>46357.125</v>
      </c>
      <c r="F865" s="52">
        <v>46357.302083333336</v>
      </c>
      <c r="G865" s="53">
        <f t="shared" si="47"/>
        <v>0.17708333333575865</v>
      </c>
      <c r="H865" s="1" t="s">
        <v>257</v>
      </c>
      <c r="J865" s="1" t="s">
        <v>258</v>
      </c>
      <c r="K865" s="1" t="str">
        <f>_xlfn.XLOOKUP(J865,REF!$D$2:$D$12,REF!$E$2:$E$12)</f>
        <v>Rede</v>
      </c>
      <c r="L865" s="1" t="s">
        <v>2190</v>
      </c>
      <c r="M865" s="1" t="s">
        <v>260</v>
      </c>
      <c r="N865" s="1" t="s">
        <v>261</v>
      </c>
      <c r="O865" s="1" t="s">
        <v>2090</v>
      </c>
      <c r="P865" s="1" t="str">
        <f t="shared" si="48"/>
        <v>Clareira de Araçu - UFV 1Inverter(MBUS-16)46357,12546357,12546357,3020833333</v>
      </c>
      <c r="Q865" s="1" t="str">
        <f t="shared" si="49"/>
        <v>DAURDE</v>
      </c>
    </row>
    <row r="866" spans="1:17" hidden="1">
      <c r="B866" s="1" t="s">
        <v>2189</v>
      </c>
      <c r="C866" s="1" t="s">
        <v>256</v>
      </c>
      <c r="D866" s="52">
        <v>46357.125</v>
      </c>
      <c r="E866" s="52">
        <v>46357.125</v>
      </c>
      <c r="F866" s="52">
        <v>46357.302083333336</v>
      </c>
      <c r="G866" s="53">
        <f t="shared" si="47"/>
        <v>0.17708333333575865</v>
      </c>
      <c r="H866" s="1" t="s">
        <v>257</v>
      </c>
      <c r="J866" s="1" t="s">
        <v>258</v>
      </c>
      <c r="K866" s="1" t="str">
        <f>_xlfn.XLOOKUP(J866,REF!$D$2:$D$12,REF!$E$2:$E$12)</f>
        <v>Rede</v>
      </c>
      <c r="L866" s="1" t="s">
        <v>2190</v>
      </c>
      <c r="M866" s="1" t="s">
        <v>260</v>
      </c>
      <c r="N866" s="1" t="s">
        <v>261</v>
      </c>
      <c r="O866" s="1" t="s">
        <v>2090</v>
      </c>
      <c r="P866" s="1" t="str">
        <f t="shared" si="48"/>
        <v>Clareira de Araçu - UFV 1Inverter(MBUS-12)46357,12546357,12546357,3020833333</v>
      </c>
      <c r="Q866" s="1" t="str">
        <f t="shared" si="49"/>
        <v>DAURDE</v>
      </c>
    </row>
    <row r="867" spans="1:17" hidden="1">
      <c r="B867" s="1" t="s">
        <v>2189</v>
      </c>
      <c r="C867" s="1" t="s">
        <v>264</v>
      </c>
      <c r="D867" s="52">
        <v>46357.125</v>
      </c>
      <c r="E867" s="52">
        <v>46357.125</v>
      </c>
      <c r="F867" s="52">
        <v>46357.302083333336</v>
      </c>
      <c r="G867" s="53">
        <f t="shared" si="47"/>
        <v>0.17708333333575865</v>
      </c>
      <c r="H867" s="1" t="s">
        <v>257</v>
      </c>
      <c r="J867" s="1" t="s">
        <v>258</v>
      </c>
      <c r="K867" s="1" t="str">
        <f>_xlfn.XLOOKUP(J867,REF!$D$2:$D$12,REF!$E$2:$E$12)</f>
        <v>Rede</v>
      </c>
      <c r="L867" s="1" t="s">
        <v>2190</v>
      </c>
      <c r="M867" s="1" t="s">
        <v>260</v>
      </c>
      <c r="N867" s="1" t="s">
        <v>261</v>
      </c>
      <c r="O867" s="1" t="s">
        <v>2090</v>
      </c>
      <c r="P867" s="1" t="str">
        <f t="shared" si="48"/>
        <v>Clareira de Araçu - UFV 1Inverter(MBUS-13)46357,12546357,12546357,3020833333</v>
      </c>
      <c r="Q867" s="1" t="str">
        <f t="shared" si="49"/>
        <v>DAURDE</v>
      </c>
    </row>
    <row r="868" spans="1:17" hidden="1">
      <c r="B868" s="1" t="s">
        <v>2191</v>
      </c>
      <c r="C868" s="1" t="s">
        <v>377</v>
      </c>
      <c r="D868" s="52">
        <v>46357.125</v>
      </c>
      <c r="E868" s="52">
        <v>46357.125</v>
      </c>
      <c r="F868" s="52">
        <v>46357.302083333336</v>
      </c>
      <c r="G868" s="53">
        <f t="shared" si="47"/>
        <v>0.17708333333575865</v>
      </c>
      <c r="H868" s="1" t="s">
        <v>257</v>
      </c>
      <c r="J868" s="1" t="s">
        <v>258</v>
      </c>
      <c r="K868" s="1" t="str">
        <f>_xlfn.XLOOKUP(J868,REF!$D$2:$D$12,REF!$E$2:$E$12)</f>
        <v>Rede</v>
      </c>
      <c r="L868" s="1" t="s">
        <v>2190</v>
      </c>
      <c r="M868" s="1" t="s">
        <v>260</v>
      </c>
      <c r="N868" s="1" t="s">
        <v>261</v>
      </c>
      <c r="O868" s="1" t="s">
        <v>2090</v>
      </c>
      <c r="P868" s="1" t="str">
        <f t="shared" si="48"/>
        <v>Clareira de Araçu - UFV 2215KTL-H3(MBUS-12)46357,12546357,12546357,3020833333</v>
      </c>
      <c r="Q868" s="1" t="str">
        <f t="shared" si="49"/>
        <v>DAURDE</v>
      </c>
    </row>
    <row r="869" spans="1:17" hidden="1">
      <c r="B869" s="1" t="s">
        <v>2191</v>
      </c>
      <c r="C869" s="1" t="s">
        <v>447</v>
      </c>
      <c r="D869" s="52">
        <v>46357.125</v>
      </c>
      <c r="E869" s="52">
        <v>46357.125</v>
      </c>
      <c r="F869" s="52">
        <v>46357.302083333336</v>
      </c>
      <c r="G869" s="53">
        <f t="shared" si="47"/>
        <v>0.17708333333575865</v>
      </c>
      <c r="H869" s="1" t="s">
        <v>257</v>
      </c>
      <c r="J869" s="1" t="s">
        <v>258</v>
      </c>
      <c r="K869" s="1" t="str">
        <f>_xlfn.XLOOKUP(J869,REF!$D$2:$D$12,REF!$E$2:$E$12)</f>
        <v>Rede</v>
      </c>
      <c r="L869" s="1" t="s">
        <v>2190</v>
      </c>
      <c r="M869" s="1" t="s">
        <v>260</v>
      </c>
      <c r="N869" s="1" t="s">
        <v>261</v>
      </c>
      <c r="O869" s="1" t="s">
        <v>2090</v>
      </c>
      <c r="P869" s="1" t="str">
        <f t="shared" si="48"/>
        <v>Clareira de Araçu - UFV 2100KTL-H1(MBUS-14)46357,12546357,12546357,3020833333</v>
      </c>
      <c r="Q869" s="1" t="str">
        <f t="shared" si="49"/>
        <v>DAURDE</v>
      </c>
    </row>
    <row r="870" spans="1:17" hidden="1">
      <c r="B870" s="1" t="s">
        <v>2191</v>
      </c>
      <c r="C870" s="1" t="s">
        <v>378</v>
      </c>
      <c r="D870" s="52">
        <v>46357.125</v>
      </c>
      <c r="E870" s="52">
        <v>46357.125</v>
      </c>
      <c r="F870" s="52">
        <v>46357.302083333336</v>
      </c>
      <c r="G870" s="53">
        <f t="shared" si="47"/>
        <v>0.17708333333575865</v>
      </c>
      <c r="H870" s="1" t="s">
        <v>257</v>
      </c>
      <c r="J870" s="1" t="s">
        <v>258</v>
      </c>
      <c r="K870" s="1" t="str">
        <f>_xlfn.XLOOKUP(J870,REF!$D$2:$D$12,REF!$E$2:$E$12)</f>
        <v>Rede</v>
      </c>
      <c r="L870" s="1" t="s">
        <v>2190</v>
      </c>
      <c r="M870" s="1" t="s">
        <v>260</v>
      </c>
      <c r="N870" s="1" t="s">
        <v>261</v>
      </c>
      <c r="O870" s="1" t="s">
        <v>2090</v>
      </c>
      <c r="P870" s="1" t="str">
        <f t="shared" si="48"/>
        <v>Clareira de Araçu - UFV 2215KTL-H3(MBUS-13)46357,12546357,12546357,3020833333</v>
      </c>
      <c r="Q870" s="1" t="str">
        <f t="shared" si="49"/>
        <v>DAURDE</v>
      </c>
    </row>
    <row r="871" spans="1:17" s="44" customFormat="1" hidden="1">
      <c r="A871" s="43"/>
      <c r="B871" s="58" t="s">
        <v>2183</v>
      </c>
      <c r="C871" s="58" t="s">
        <v>332</v>
      </c>
      <c r="D871" s="59">
        <v>46365.333333333336</v>
      </c>
      <c r="E871" s="59">
        <v>46365.333333333336</v>
      </c>
      <c r="F871" s="59"/>
      <c r="G871" s="60">
        <f t="shared" si="47"/>
        <v>-46365.333333333336</v>
      </c>
      <c r="H871" s="58" t="s">
        <v>677</v>
      </c>
      <c r="I871" s="58"/>
      <c r="J871" s="58" t="s">
        <v>249</v>
      </c>
      <c r="K871" s="58" t="str">
        <f>_xlfn.XLOOKUP(J871,REF!$D$2:$D$12,REF!$E$2:$E$12)</f>
        <v>Transformador</v>
      </c>
      <c r="L871" s="58" t="s">
        <v>2179</v>
      </c>
      <c r="M871" s="58" t="s">
        <v>663</v>
      </c>
      <c r="N871" s="58" t="s">
        <v>672</v>
      </c>
      <c r="O871" s="58" t="s">
        <v>2192</v>
      </c>
      <c r="P871" s="1" t="str">
        <f t="shared" si="48"/>
        <v>VARJÃO 2 - UFV 2.1215KTL-H0(MBUS-12)46365,333333333346365,3333333333</v>
      </c>
      <c r="Q871" s="1" t="str">
        <f t="shared" si="49"/>
        <v>DPRTRF</v>
      </c>
    </row>
    <row r="872" spans="1:17" s="44" customFormat="1" hidden="1">
      <c r="A872" s="43"/>
      <c r="B872" s="58" t="s">
        <v>2183</v>
      </c>
      <c r="C872" s="58" t="s">
        <v>335</v>
      </c>
      <c r="D872" s="59">
        <v>46365.333333333336</v>
      </c>
      <c r="E872" s="59">
        <v>46365.333333333336</v>
      </c>
      <c r="F872" s="59"/>
      <c r="G872" s="60">
        <f t="shared" si="47"/>
        <v>-46365.333333333336</v>
      </c>
      <c r="H872" s="58" t="s">
        <v>677</v>
      </c>
      <c r="I872" s="58"/>
      <c r="J872" s="58" t="s">
        <v>249</v>
      </c>
      <c r="K872" s="58" t="str">
        <f>_xlfn.XLOOKUP(J872,REF!$D$2:$D$12,REF!$E$2:$E$12)</f>
        <v>Transformador</v>
      </c>
      <c r="L872" s="58" t="s">
        <v>2179</v>
      </c>
      <c r="M872" s="58" t="s">
        <v>663</v>
      </c>
      <c r="N872" s="58" t="s">
        <v>672</v>
      </c>
      <c r="O872" s="58" t="s">
        <v>2192</v>
      </c>
      <c r="P872" s="1" t="str">
        <f t="shared" si="48"/>
        <v>VARJÃO 2 - UFV 2.1215KTL-H0(MBUS-13)46365,333333333346365,3333333333</v>
      </c>
      <c r="Q872" s="1" t="str">
        <f t="shared" si="49"/>
        <v>DPRTRF</v>
      </c>
    </row>
    <row r="873" spans="1:17" s="44" customFormat="1" hidden="1">
      <c r="A873" s="43"/>
      <c r="B873" s="58" t="s">
        <v>2183</v>
      </c>
      <c r="C873" s="58" t="s">
        <v>336</v>
      </c>
      <c r="D873" s="59">
        <v>46365.333333333336</v>
      </c>
      <c r="E873" s="59">
        <v>46365.333333333336</v>
      </c>
      <c r="F873" s="59"/>
      <c r="G873" s="60">
        <f t="shared" si="47"/>
        <v>-46365.333333333336</v>
      </c>
      <c r="H873" s="58" t="s">
        <v>677</v>
      </c>
      <c r="I873" s="58"/>
      <c r="J873" s="58" t="s">
        <v>249</v>
      </c>
      <c r="K873" s="58" t="str">
        <f>_xlfn.XLOOKUP(J873,REF!$D$2:$D$12,REF!$E$2:$E$12)</f>
        <v>Transformador</v>
      </c>
      <c r="L873" s="58" t="s">
        <v>2179</v>
      </c>
      <c r="M873" s="58" t="s">
        <v>663</v>
      </c>
      <c r="N873" s="58" t="s">
        <v>672</v>
      </c>
      <c r="O873" s="58" t="s">
        <v>2192</v>
      </c>
      <c r="P873" s="1" t="str">
        <f t="shared" si="48"/>
        <v>VARJÃO 2 - UFV 2.1215KTL-H0(MBUS-14)46365,333333333346365,3333333333</v>
      </c>
      <c r="Q873" s="1" t="str">
        <f t="shared" si="49"/>
        <v>DPRTRF</v>
      </c>
    </row>
    <row r="874" spans="1:17" s="44" customFormat="1" hidden="1">
      <c r="A874" s="43"/>
      <c r="B874" s="58" t="s">
        <v>2183</v>
      </c>
      <c r="C874" s="58" t="s">
        <v>337</v>
      </c>
      <c r="D874" s="59">
        <v>46365.333333333336</v>
      </c>
      <c r="E874" s="59">
        <v>46365.333333333336</v>
      </c>
      <c r="F874" s="59"/>
      <c r="G874" s="60">
        <f t="shared" si="47"/>
        <v>-46365.333333333336</v>
      </c>
      <c r="H874" s="58" t="s">
        <v>677</v>
      </c>
      <c r="I874" s="58"/>
      <c r="J874" s="58" t="s">
        <v>249</v>
      </c>
      <c r="K874" s="58" t="str">
        <f>_xlfn.XLOOKUP(J874,REF!$D$2:$D$12,REF!$E$2:$E$12)</f>
        <v>Transformador</v>
      </c>
      <c r="L874" s="58" t="s">
        <v>2179</v>
      </c>
      <c r="M874" s="58" t="s">
        <v>663</v>
      </c>
      <c r="N874" s="58" t="s">
        <v>672</v>
      </c>
      <c r="O874" s="58" t="s">
        <v>2192</v>
      </c>
      <c r="P874" s="1" t="str">
        <f t="shared" si="48"/>
        <v>VARJÃO 2 - UFV 2.1215KTL-H0(MBUS-15)46365,333333333346365,3333333333</v>
      </c>
      <c r="Q874" s="1" t="str">
        <f t="shared" si="49"/>
        <v>DPRTRF</v>
      </c>
    </row>
    <row r="875" spans="1:17" s="44" customFormat="1" hidden="1">
      <c r="A875" s="43"/>
      <c r="B875" s="58" t="s">
        <v>2183</v>
      </c>
      <c r="C875" s="58" t="s">
        <v>338</v>
      </c>
      <c r="D875" s="59">
        <v>46365.333333333336</v>
      </c>
      <c r="E875" s="59">
        <v>46365.333333333336</v>
      </c>
      <c r="F875" s="59"/>
      <c r="G875" s="60">
        <f t="shared" si="47"/>
        <v>-46365.333333333336</v>
      </c>
      <c r="H875" s="58" t="s">
        <v>677</v>
      </c>
      <c r="I875" s="58"/>
      <c r="J875" s="58" t="s">
        <v>249</v>
      </c>
      <c r="K875" s="58" t="str">
        <f>_xlfn.XLOOKUP(J875,REF!$D$2:$D$12,REF!$E$2:$E$12)</f>
        <v>Transformador</v>
      </c>
      <c r="L875" s="58" t="s">
        <v>2179</v>
      </c>
      <c r="M875" s="58" t="s">
        <v>663</v>
      </c>
      <c r="N875" s="58" t="s">
        <v>672</v>
      </c>
      <c r="O875" s="58" t="s">
        <v>2192</v>
      </c>
      <c r="P875" s="1" t="str">
        <f t="shared" si="48"/>
        <v>VARJÃO 2 - UFV 2.1215KTL-H0(MBUS-16)46365,333333333346365,3333333333</v>
      </c>
      <c r="Q875" s="1" t="str">
        <f t="shared" si="49"/>
        <v>DPRTRF</v>
      </c>
    </row>
    <row r="876" spans="1:17" hidden="1">
      <c r="B876" s="1" t="s">
        <v>803</v>
      </c>
      <c r="C876" s="1" t="s">
        <v>264</v>
      </c>
      <c r="D876" s="52">
        <v>46375.416666666664</v>
      </c>
      <c r="E876" s="52">
        <v>46375.416666666664</v>
      </c>
      <c r="F876" s="52">
        <v>46375.440972222219</v>
      </c>
      <c r="G876" s="53">
        <f t="shared" si="47"/>
        <v>2.4305555554747116E-2</v>
      </c>
      <c r="H876" s="1" t="s">
        <v>677</v>
      </c>
      <c r="J876" s="1" t="s">
        <v>230</v>
      </c>
      <c r="K876" s="1" t="str">
        <f>_xlfn.XLOOKUP(J876,REF!$D$2:$D$12,REF!$E$2:$E$12)</f>
        <v>UFV</v>
      </c>
      <c r="L876" s="1" t="s">
        <v>2193</v>
      </c>
      <c r="M876" s="1" t="s">
        <v>663</v>
      </c>
      <c r="N876" s="1" t="s">
        <v>253</v>
      </c>
      <c r="O876" s="1" t="s">
        <v>2194</v>
      </c>
      <c r="P876" s="1" t="str">
        <f t="shared" si="48"/>
        <v>BC Formoso1.1Inverter(MBUS-13)46375,416666666746375,416666666746375,4409722222</v>
      </c>
      <c r="Q876" s="1" t="str">
        <f t="shared" si="49"/>
        <v>DPRUFV</v>
      </c>
    </row>
    <row r="877" spans="1:17" hidden="1">
      <c r="B877" s="1" t="s">
        <v>803</v>
      </c>
      <c r="C877" s="1" t="s">
        <v>256</v>
      </c>
      <c r="D877" s="52">
        <v>46375.416666666664</v>
      </c>
      <c r="E877" s="52">
        <v>46375.416666666664</v>
      </c>
      <c r="F877" s="52">
        <v>46375.440972222219</v>
      </c>
      <c r="G877" s="53">
        <f t="shared" si="47"/>
        <v>2.4305555554747116E-2</v>
      </c>
      <c r="H877" s="1" t="s">
        <v>677</v>
      </c>
      <c r="J877" s="1" t="s">
        <v>230</v>
      </c>
      <c r="K877" s="1" t="str">
        <f>_xlfn.XLOOKUP(J877,REF!$D$2:$D$12,REF!$E$2:$E$12)</f>
        <v>UFV</v>
      </c>
      <c r="L877" s="1" t="s">
        <v>2193</v>
      </c>
      <c r="M877" s="1" t="s">
        <v>663</v>
      </c>
      <c r="N877" s="1" t="s">
        <v>253</v>
      </c>
      <c r="O877" s="1" t="s">
        <v>2194</v>
      </c>
      <c r="P877" s="1" t="str">
        <f t="shared" si="48"/>
        <v>BC Formoso1.1Inverter(MBUS-12)46375,416666666746375,416666666746375,4409722222</v>
      </c>
      <c r="Q877" s="1" t="str">
        <f t="shared" si="49"/>
        <v>DPRUFV</v>
      </c>
    </row>
    <row r="878" spans="1:17" hidden="1">
      <c r="B878" s="1" t="s">
        <v>803</v>
      </c>
      <c r="C878" s="1" t="s">
        <v>307</v>
      </c>
      <c r="D878" s="52">
        <v>46375.416666666664</v>
      </c>
      <c r="E878" s="52">
        <v>46375.416666666664</v>
      </c>
      <c r="F878" s="52">
        <v>46375.440972222219</v>
      </c>
      <c r="G878" s="53">
        <f t="shared" si="47"/>
        <v>2.4305555554747116E-2</v>
      </c>
      <c r="H878" s="1" t="s">
        <v>677</v>
      </c>
      <c r="J878" s="1" t="s">
        <v>230</v>
      </c>
      <c r="K878" s="1" t="str">
        <f>_xlfn.XLOOKUP(J878,REF!$D$2:$D$12,REF!$E$2:$E$12)</f>
        <v>UFV</v>
      </c>
      <c r="L878" s="1" t="s">
        <v>2193</v>
      </c>
      <c r="M878" s="1" t="s">
        <v>663</v>
      </c>
      <c r="N878" s="1" t="s">
        <v>253</v>
      </c>
      <c r="O878" s="1" t="s">
        <v>2194</v>
      </c>
      <c r="P878" s="1" t="str">
        <f t="shared" si="48"/>
        <v>BC Formoso1.1Inverter(MBUS-15)46375,416666666746375,416666666746375,4409722222</v>
      </c>
      <c r="Q878" s="1" t="str">
        <f t="shared" si="49"/>
        <v>DPRUFV</v>
      </c>
    </row>
    <row r="879" spans="1:17" hidden="1">
      <c r="B879" s="1" t="s">
        <v>803</v>
      </c>
      <c r="C879" s="1" t="s">
        <v>263</v>
      </c>
      <c r="D879" s="52">
        <v>46375.416666666664</v>
      </c>
      <c r="E879" s="52">
        <v>46375.416666666664</v>
      </c>
      <c r="F879" s="52">
        <v>46375.440972222219</v>
      </c>
      <c r="G879" s="53">
        <f t="shared" si="47"/>
        <v>2.4305555554747116E-2</v>
      </c>
      <c r="H879" s="1" t="s">
        <v>677</v>
      </c>
      <c r="J879" s="1" t="s">
        <v>230</v>
      </c>
      <c r="K879" s="1" t="str">
        <f>_xlfn.XLOOKUP(J879,REF!$D$2:$D$12,REF!$E$2:$E$12)</f>
        <v>UFV</v>
      </c>
      <c r="L879" s="1" t="s">
        <v>2193</v>
      </c>
      <c r="M879" s="1" t="s">
        <v>663</v>
      </c>
      <c r="N879" s="1" t="s">
        <v>253</v>
      </c>
      <c r="O879" s="1" t="s">
        <v>2194</v>
      </c>
      <c r="P879" s="1" t="str">
        <f t="shared" si="48"/>
        <v>BC Formoso1.1Inverter(MBUS-14)46375,416666666746375,416666666746375,4409722222</v>
      </c>
      <c r="Q879" s="1" t="str">
        <f t="shared" si="49"/>
        <v>DPRUFV</v>
      </c>
    </row>
    <row r="880" spans="1:17" hidden="1">
      <c r="B880" s="1" t="s">
        <v>255</v>
      </c>
      <c r="C880" s="1" t="s">
        <v>256</v>
      </c>
      <c r="D880" s="52">
        <v>46375.45</v>
      </c>
      <c r="E880" s="52">
        <v>46375.45</v>
      </c>
      <c r="F880" s="52">
        <v>46375.473611111112</v>
      </c>
      <c r="G880" s="53">
        <f t="shared" si="47"/>
        <v>2.3611111115314998E-2</v>
      </c>
      <c r="H880" s="1" t="s">
        <v>677</v>
      </c>
      <c r="J880" s="1" t="s">
        <v>230</v>
      </c>
      <c r="K880" s="1" t="str">
        <f>_xlfn.XLOOKUP(J880,REF!$D$2:$D$12,REF!$E$2:$E$12)</f>
        <v>UFV</v>
      </c>
      <c r="L880" s="1" t="s">
        <v>2193</v>
      </c>
      <c r="M880" s="1" t="s">
        <v>663</v>
      </c>
      <c r="N880" s="1" t="s">
        <v>253</v>
      </c>
      <c r="O880" s="1" t="s">
        <v>2194</v>
      </c>
      <c r="P880" s="1" t="str">
        <f t="shared" si="48"/>
        <v>BC Formoso2.1Inverter(MBUS-12)46375,4546375,4546375,4736111111</v>
      </c>
      <c r="Q880" s="1" t="str">
        <f t="shared" si="49"/>
        <v>DPRUFV</v>
      </c>
    </row>
    <row r="881" spans="2:17" hidden="1">
      <c r="B881" s="1" t="s">
        <v>255</v>
      </c>
      <c r="C881" s="1" t="s">
        <v>263</v>
      </c>
      <c r="D881" s="52">
        <v>46375.45</v>
      </c>
      <c r="E881" s="52">
        <v>46375.45</v>
      </c>
      <c r="F881" s="52">
        <v>46375.473611111112</v>
      </c>
      <c r="G881" s="53">
        <f t="shared" si="47"/>
        <v>2.3611111115314998E-2</v>
      </c>
      <c r="H881" s="1" t="s">
        <v>677</v>
      </c>
      <c r="J881" s="1" t="s">
        <v>230</v>
      </c>
      <c r="K881" s="1" t="str">
        <f>_xlfn.XLOOKUP(J881,REF!$D$2:$D$12,REF!$E$2:$E$12)</f>
        <v>UFV</v>
      </c>
      <c r="L881" s="1" t="s">
        <v>2193</v>
      </c>
      <c r="M881" s="1" t="s">
        <v>663</v>
      </c>
      <c r="N881" s="1" t="s">
        <v>253</v>
      </c>
      <c r="O881" s="1" t="s">
        <v>2194</v>
      </c>
      <c r="P881" s="1" t="str">
        <f t="shared" si="48"/>
        <v>BC Formoso2.1Inverter(MBUS-14)46375,4546375,4546375,4736111111</v>
      </c>
      <c r="Q881" s="1" t="str">
        <f t="shared" si="49"/>
        <v>DPRUFV</v>
      </c>
    </row>
    <row r="882" spans="2:17" hidden="1">
      <c r="B882" s="1" t="s">
        <v>255</v>
      </c>
      <c r="C882" s="1" t="s">
        <v>264</v>
      </c>
      <c r="D882" s="52">
        <v>46375.45</v>
      </c>
      <c r="E882" s="52">
        <v>46375.45</v>
      </c>
      <c r="F882" s="52">
        <v>46375.473611111112</v>
      </c>
      <c r="G882" s="53">
        <f t="shared" si="47"/>
        <v>2.3611111115314998E-2</v>
      </c>
      <c r="H882" s="1" t="s">
        <v>677</v>
      </c>
      <c r="J882" s="1" t="s">
        <v>230</v>
      </c>
      <c r="K882" s="1" t="str">
        <f>_xlfn.XLOOKUP(J882,REF!$D$2:$D$12,REF!$E$2:$E$12)</f>
        <v>UFV</v>
      </c>
      <c r="L882" s="1" t="s">
        <v>2193</v>
      </c>
      <c r="M882" s="1" t="s">
        <v>663</v>
      </c>
      <c r="N882" s="1" t="s">
        <v>253</v>
      </c>
      <c r="O882" s="1" t="s">
        <v>2194</v>
      </c>
      <c r="P882" s="1" t="str">
        <f t="shared" si="48"/>
        <v>BC Formoso2.1Inverter(MBUS-13)46375,4546375,4546375,4736111111</v>
      </c>
      <c r="Q882" s="1" t="str">
        <f t="shared" si="49"/>
        <v>DPRUFV</v>
      </c>
    </row>
    <row r="883" spans="2:17" hidden="1">
      <c r="B883" s="1" t="s">
        <v>255</v>
      </c>
      <c r="C883" s="1" t="s">
        <v>247</v>
      </c>
      <c r="D883" s="52">
        <v>46375.45</v>
      </c>
      <c r="E883" s="52">
        <v>46375.45</v>
      </c>
      <c r="F883" s="52">
        <v>46375.473611111112</v>
      </c>
      <c r="G883" s="53">
        <f t="shared" si="47"/>
        <v>2.3611111115314998E-2</v>
      </c>
      <c r="H883" s="1" t="s">
        <v>677</v>
      </c>
      <c r="J883" s="1" t="s">
        <v>230</v>
      </c>
      <c r="K883" s="1" t="str">
        <f>_xlfn.XLOOKUP(J883,REF!$D$2:$D$12,REF!$E$2:$E$12)</f>
        <v>UFV</v>
      </c>
      <c r="L883" s="1" t="s">
        <v>2193</v>
      </c>
      <c r="M883" s="1" t="s">
        <v>663</v>
      </c>
      <c r="N883" s="1" t="s">
        <v>253</v>
      </c>
      <c r="O883" s="1" t="s">
        <v>2194</v>
      </c>
      <c r="P883" s="1" t="str">
        <f t="shared" si="48"/>
        <v>BC Formoso2.1Inverter(MBUS-1)46375,4546375,4546375,4736111111</v>
      </c>
      <c r="Q883" s="1" t="str">
        <f t="shared" si="49"/>
        <v>DPRUFV</v>
      </c>
    </row>
    <row r="884" spans="2:17" hidden="1">
      <c r="B884" s="1" t="s">
        <v>265</v>
      </c>
      <c r="C884" s="1" t="s">
        <v>263</v>
      </c>
      <c r="D884" s="52">
        <v>46375.474999999999</v>
      </c>
      <c r="E884" s="52">
        <v>46375.474999999999</v>
      </c>
      <c r="F884" s="52">
        <v>46375.499305555553</v>
      </c>
      <c r="G884" s="53">
        <f t="shared" si="47"/>
        <v>2.4305555554747116E-2</v>
      </c>
      <c r="H884" s="1" t="s">
        <v>677</v>
      </c>
      <c r="J884" s="1" t="s">
        <v>230</v>
      </c>
      <c r="K884" s="1" t="str">
        <f>_xlfn.XLOOKUP(J884,REF!$D$2:$D$12,REF!$E$2:$E$12)</f>
        <v>UFV</v>
      </c>
      <c r="L884" s="1" t="s">
        <v>2193</v>
      </c>
      <c r="M884" s="1" t="s">
        <v>663</v>
      </c>
      <c r="N884" s="1" t="s">
        <v>253</v>
      </c>
      <c r="O884" s="1" t="s">
        <v>2194</v>
      </c>
      <c r="P884" s="1" t="str">
        <f t="shared" si="48"/>
        <v>BC Formoso2.2Inverter(MBUS-14)46375,47546375,47546375,4993055556</v>
      </c>
      <c r="Q884" s="1" t="str">
        <f t="shared" si="49"/>
        <v>DPRUFV</v>
      </c>
    </row>
    <row r="885" spans="2:17" hidden="1">
      <c r="B885" s="1" t="s">
        <v>265</v>
      </c>
      <c r="C885" s="1" t="s">
        <v>264</v>
      </c>
      <c r="D885" s="52">
        <v>46375.474999999999</v>
      </c>
      <c r="E885" s="52">
        <v>46375.474999999999</v>
      </c>
      <c r="F885" s="52">
        <v>46375.499305555553</v>
      </c>
      <c r="G885" s="53">
        <f t="shared" si="47"/>
        <v>2.4305555554747116E-2</v>
      </c>
      <c r="H885" s="1" t="s">
        <v>677</v>
      </c>
      <c r="J885" s="1" t="s">
        <v>230</v>
      </c>
      <c r="K885" s="1" t="str">
        <f>_xlfn.XLOOKUP(J885,REF!$D$2:$D$12,REF!$E$2:$E$12)</f>
        <v>UFV</v>
      </c>
      <c r="L885" s="1" t="s">
        <v>2193</v>
      </c>
      <c r="M885" s="1" t="s">
        <v>663</v>
      </c>
      <c r="N885" s="1" t="s">
        <v>253</v>
      </c>
      <c r="O885" s="1" t="s">
        <v>2194</v>
      </c>
      <c r="P885" s="1" t="str">
        <f t="shared" si="48"/>
        <v>BC Formoso2.2Inverter(MBUS-13)46375,47546375,47546375,4993055556</v>
      </c>
      <c r="Q885" s="1" t="str">
        <f t="shared" si="49"/>
        <v>DPRUFV</v>
      </c>
    </row>
    <row r="886" spans="2:17" hidden="1">
      <c r="B886" s="1" t="s">
        <v>265</v>
      </c>
      <c r="C886" s="1" t="s">
        <v>256</v>
      </c>
      <c r="D886" s="52">
        <v>46375.474999999999</v>
      </c>
      <c r="E886" s="52">
        <v>46375.474999999999</v>
      </c>
      <c r="F886" s="52">
        <v>46375.499305555553</v>
      </c>
      <c r="G886" s="53">
        <f t="shared" si="47"/>
        <v>2.4305555554747116E-2</v>
      </c>
      <c r="H886" s="1" t="s">
        <v>677</v>
      </c>
      <c r="J886" s="1" t="s">
        <v>230</v>
      </c>
      <c r="K886" s="1" t="str">
        <f>_xlfn.XLOOKUP(J886,REF!$D$2:$D$12,REF!$E$2:$E$12)</f>
        <v>UFV</v>
      </c>
      <c r="L886" s="1" t="s">
        <v>2193</v>
      </c>
      <c r="M886" s="1" t="s">
        <v>663</v>
      </c>
      <c r="N886" s="1" t="s">
        <v>253</v>
      </c>
      <c r="O886" s="1" t="s">
        <v>2194</v>
      </c>
      <c r="P886" s="1" t="str">
        <f t="shared" si="48"/>
        <v>BC Formoso2.2Inverter(MBUS-12)46375,47546375,47546375,4993055556</v>
      </c>
      <c r="Q886" s="1" t="str">
        <f t="shared" si="49"/>
        <v>DPRUFV</v>
      </c>
    </row>
    <row r="887" spans="2:17" hidden="1">
      <c r="B887" s="1" t="s">
        <v>265</v>
      </c>
      <c r="C887" s="1" t="s">
        <v>247</v>
      </c>
      <c r="D887" s="52">
        <v>46375.474999999999</v>
      </c>
      <c r="E887" s="52">
        <v>46375.474999999999</v>
      </c>
      <c r="F887" s="52">
        <v>46375.499305555553</v>
      </c>
      <c r="G887" s="53">
        <f t="shared" si="47"/>
        <v>2.4305555554747116E-2</v>
      </c>
      <c r="H887" s="1" t="s">
        <v>677</v>
      </c>
      <c r="J887" s="1" t="s">
        <v>230</v>
      </c>
      <c r="K887" s="1" t="str">
        <f>_xlfn.XLOOKUP(J887,REF!$D$2:$D$12,REF!$E$2:$E$12)</f>
        <v>UFV</v>
      </c>
      <c r="L887" s="1" t="s">
        <v>2193</v>
      </c>
      <c r="M887" s="1" t="s">
        <v>663</v>
      </c>
      <c r="N887" s="1" t="s">
        <v>253</v>
      </c>
      <c r="O887" s="1" t="s">
        <v>2194</v>
      </c>
      <c r="P887" s="1" t="str">
        <f t="shared" si="48"/>
        <v>BC Formoso2.2Inverter(MBUS-1)46375,47546375,47546375,4993055556</v>
      </c>
      <c r="Q887" s="1" t="str">
        <f t="shared" si="49"/>
        <v>DPRUFV</v>
      </c>
    </row>
    <row r="888" spans="2:17">
      <c r="B888" s="1" t="s">
        <v>2195</v>
      </c>
      <c r="C888" s="1" t="s">
        <v>544</v>
      </c>
      <c r="D888" s="52">
        <v>46373.746527777781</v>
      </c>
      <c r="E888" s="52">
        <v>46373.746527777781</v>
      </c>
      <c r="F888" s="52">
        <v>46373.763888888891</v>
      </c>
      <c r="G888" s="53">
        <f t="shared" si="47"/>
        <v>1.7361111109494232E-2</v>
      </c>
      <c r="H888" s="1" t="s">
        <v>268</v>
      </c>
      <c r="I888" s="1" t="s">
        <v>269</v>
      </c>
      <c r="J888" s="1" t="s">
        <v>319</v>
      </c>
      <c r="K888" s="1" t="str">
        <f>_xlfn.XLOOKUP(J888,REF!$D$2:$D$12,REF!$E$2:$E$12)</f>
        <v>Comunicação</v>
      </c>
      <c r="L888" s="1" t="s">
        <v>1964</v>
      </c>
      <c r="M888" s="1" t="s">
        <v>272</v>
      </c>
      <c r="N888" s="1" t="s">
        <v>253</v>
      </c>
      <c r="O888" s="1" t="s">
        <v>697</v>
      </c>
      <c r="P888" s="1" t="str">
        <f t="shared" si="48"/>
        <v>Araçu IInverter7146373,746527777846373,746527777846373,7638888889</v>
      </c>
      <c r="Q888" s="1" t="str">
        <f t="shared" si="49"/>
        <v>LIGRFOCOM</v>
      </c>
    </row>
    <row r="889" spans="2:17">
      <c r="B889" s="1" t="s">
        <v>2195</v>
      </c>
      <c r="C889" s="1" t="s">
        <v>545</v>
      </c>
      <c r="D889" s="52">
        <v>46373.746527777781</v>
      </c>
      <c r="E889" s="52">
        <v>46373.746527777781</v>
      </c>
      <c r="F889" s="52">
        <v>46373.763888888891</v>
      </c>
      <c r="G889" s="53">
        <f t="shared" si="47"/>
        <v>1.7361111109494232E-2</v>
      </c>
      <c r="H889" s="1" t="s">
        <v>268</v>
      </c>
      <c r="I889" s="1" t="s">
        <v>269</v>
      </c>
      <c r="J889" s="1" t="s">
        <v>319</v>
      </c>
      <c r="K889" s="1" t="str">
        <f>_xlfn.XLOOKUP(J889,REF!$D$2:$D$12,REF!$E$2:$E$12)</f>
        <v>Comunicação</v>
      </c>
      <c r="L889" s="1" t="s">
        <v>1964</v>
      </c>
      <c r="M889" s="1" t="s">
        <v>272</v>
      </c>
      <c r="N889" s="1" t="s">
        <v>253</v>
      </c>
      <c r="O889" s="1" t="s">
        <v>697</v>
      </c>
      <c r="P889" s="1" t="str">
        <f t="shared" si="48"/>
        <v>Araçu IInverter7246373,746527777846373,746527777846373,7638888889</v>
      </c>
      <c r="Q889" s="1" t="str">
        <f t="shared" si="49"/>
        <v>LIGRFOCOM</v>
      </c>
    </row>
    <row r="890" spans="2:17">
      <c r="B890" s="1" t="s">
        <v>2195</v>
      </c>
      <c r="C890" s="1" t="s">
        <v>546</v>
      </c>
      <c r="D890" s="52">
        <v>46373.746527777781</v>
      </c>
      <c r="E890" s="52">
        <v>46373.746527777781</v>
      </c>
      <c r="F890" s="52">
        <v>46373.763888888891</v>
      </c>
      <c r="G890" s="53">
        <f t="shared" si="47"/>
        <v>1.7361111109494232E-2</v>
      </c>
      <c r="H890" s="1" t="s">
        <v>268</v>
      </c>
      <c r="I890" s="1" t="s">
        <v>269</v>
      </c>
      <c r="J890" s="1" t="s">
        <v>319</v>
      </c>
      <c r="K890" s="1" t="str">
        <f>_xlfn.XLOOKUP(J890,REF!$D$2:$D$12,REF!$E$2:$E$12)</f>
        <v>Comunicação</v>
      </c>
      <c r="L890" s="1" t="s">
        <v>1964</v>
      </c>
      <c r="M890" s="1" t="s">
        <v>272</v>
      </c>
      <c r="N890" s="1" t="s">
        <v>253</v>
      </c>
      <c r="O890" s="1" t="s">
        <v>697</v>
      </c>
      <c r="P890" s="1" t="str">
        <f t="shared" si="48"/>
        <v>Araçu IInverter7346373,746527777846373,746527777846373,7638888889</v>
      </c>
      <c r="Q890" s="1" t="str">
        <f t="shared" si="49"/>
        <v>LIGRFOCOM</v>
      </c>
    </row>
    <row r="891" spans="2:17">
      <c r="B891" s="1" t="s">
        <v>2195</v>
      </c>
      <c r="C891" s="1" t="s">
        <v>547</v>
      </c>
      <c r="D891" s="52">
        <v>46373.746527777781</v>
      </c>
      <c r="E891" s="52">
        <v>46373.746527777781</v>
      </c>
      <c r="F891" s="52">
        <v>46373.763888888891</v>
      </c>
      <c r="G891" s="53">
        <f t="shared" si="47"/>
        <v>1.7361111109494232E-2</v>
      </c>
      <c r="H891" s="1" t="s">
        <v>268</v>
      </c>
      <c r="I891" s="1" t="s">
        <v>269</v>
      </c>
      <c r="J891" s="1" t="s">
        <v>319</v>
      </c>
      <c r="K891" s="1" t="str">
        <f>_xlfn.XLOOKUP(J891,REF!$D$2:$D$12,REF!$E$2:$E$12)</f>
        <v>Comunicação</v>
      </c>
      <c r="L891" s="1" t="s">
        <v>1964</v>
      </c>
      <c r="M891" s="1" t="s">
        <v>272</v>
      </c>
      <c r="N891" s="1" t="s">
        <v>253</v>
      </c>
      <c r="O891" s="1" t="s">
        <v>697</v>
      </c>
      <c r="P891" s="1" t="str">
        <f t="shared" si="48"/>
        <v>Araçu IInverter7446373,746527777846373,746527777846373,7638888889</v>
      </c>
      <c r="Q891" s="1" t="str">
        <f t="shared" si="49"/>
        <v>LIGRFOCOM</v>
      </c>
    </row>
    <row r="892" spans="2:17">
      <c r="B892" s="1" t="s">
        <v>2195</v>
      </c>
      <c r="C892" s="1" t="s">
        <v>548</v>
      </c>
      <c r="D892" s="52">
        <v>46373.746527777781</v>
      </c>
      <c r="E892" s="52">
        <v>46373.746527777781</v>
      </c>
      <c r="F892" s="52">
        <v>46373.763888888891</v>
      </c>
      <c r="G892" s="53">
        <f t="shared" ref="G892:G951" si="50">F892-E892</f>
        <v>1.7361111109494232E-2</v>
      </c>
      <c r="H892" s="1" t="s">
        <v>268</v>
      </c>
      <c r="I892" s="1" t="s">
        <v>269</v>
      </c>
      <c r="J892" s="1" t="s">
        <v>319</v>
      </c>
      <c r="K892" s="1" t="str">
        <f>_xlfn.XLOOKUP(J892,REF!$D$2:$D$12,REF!$E$2:$E$12)</f>
        <v>Comunicação</v>
      </c>
      <c r="L892" s="1" t="s">
        <v>1964</v>
      </c>
      <c r="M892" s="1" t="s">
        <v>272</v>
      </c>
      <c r="N892" s="1" t="s">
        <v>253</v>
      </c>
      <c r="O892" s="1" t="s">
        <v>697</v>
      </c>
      <c r="P892" s="1" t="str">
        <f t="shared" si="48"/>
        <v>Araçu IInverter7546373,746527777846373,746527777846373,7638888889</v>
      </c>
      <c r="Q892" s="1" t="str">
        <f t="shared" si="49"/>
        <v>LIGRFOCOM</v>
      </c>
    </row>
    <row r="893" spans="2:17">
      <c r="B893" s="1" t="s">
        <v>2195</v>
      </c>
      <c r="C893" s="1" t="s">
        <v>549</v>
      </c>
      <c r="D893" s="52">
        <v>46373.746527777781</v>
      </c>
      <c r="E893" s="52">
        <v>46373.746527777781</v>
      </c>
      <c r="F893" s="52">
        <v>46373.763888888891</v>
      </c>
      <c r="G893" s="53">
        <f t="shared" si="50"/>
        <v>1.7361111109494232E-2</v>
      </c>
      <c r="H893" s="1" t="s">
        <v>268</v>
      </c>
      <c r="I893" s="1" t="s">
        <v>269</v>
      </c>
      <c r="J893" s="1" t="s">
        <v>319</v>
      </c>
      <c r="K893" s="1" t="str">
        <f>_xlfn.XLOOKUP(J893,REF!$D$2:$D$12,REF!$E$2:$E$12)</f>
        <v>Comunicação</v>
      </c>
      <c r="L893" s="1" t="s">
        <v>1964</v>
      </c>
      <c r="M893" s="1" t="s">
        <v>272</v>
      </c>
      <c r="N893" s="1" t="s">
        <v>253</v>
      </c>
      <c r="O893" s="1" t="s">
        <v>697</v>
      </c>
      <c r="P893" s="1" t="str">
        <f t="shared" si="48"/>
        <v>Araçu IInverter7646373,746527777846373,746527777846373,7638888889</v>
      </c>
      <c r="Q893" s="1" t="str">
        <f t="shared" si="49"/>
        <v>LIGRFOCOM</v>
      </c>
    </row>
    <row r="894" spans="2:17">
      <c r="B894" s="1" t="s">
        <v>2195</v>
      </c>
      <c r="C894" s="1" t="s">
        <v>550</v>
      </c>
      <c r="D894" s="52">
        <v>46373.746527777781</v>
      </c>
      <c r="E894" s="52">
        <v>46373.746527777781</v>
      </c>
      <c r="F894" s="52">
        <v>46373.763888888891</v>
      </c>
      <c r="G894" s="53">
        <f t="shared" si="50"/>
        <v>1.7361111109494232E-2</v>
      </c>
      <c r="H894" s="1" t="s">
        <v>268</v>
      </c>
      <c r="I894" s="1" t="s">
        <v>269</v>
      </c>
      <c r="J894" s="1" t="s">
        <v>319</v>
      </c>
      <c r="K894" s="1" t="str">
        <f>_xlfn.XLOOKUP(J894,REF!$D$2:$D$12,REF!$E$2:$E$12)</f>
        <v>Comunicação</v>
      </c>
      <c r="L894" s="1" t="s">
        <v>1964</v>
      </c>
      <c r="M894" s="1" t="s">
        <v>272</v>
      </c>
      <c r="N894" s="1" t="s">
        <v>253</v>
      </c>
      <c r="O894" s="1" t="s">
        <v>697</v>
      </c>
      <c r="P894" s="1" t="str">
        <f t="shared" si="48"/>
        <v>Araçu IInverter7746373,746527777846373,746527777846373,7638888889</v>
      </c>
      <c r="Q894" s="1" t="str">
        <f t="shared" si="49"/>
        <v>LIGRFOCOM</v>
      </c>
    </row>
    <row r="895" spans="2:17">
      <c r="B895" s="1" t="s">
        <v>2156</v>
      </c>
      <c r="C895" s="1" t="s">
        <v>2157</v>
      </c>
      <c r="D895" s="52">
        <v>46373.746527777781</v>
      </c>
      <c r="E895" s="52">
        <v>46373.746527777781</v>
      </c>
      <c r="F895" s="52">
        <v>46373.763888888891</v>
      </c>
      <c r="G895" s="53">
        <f t="shared" si="50"/>
        <v>1.7361111109494232E-2</v>
      </c>
      <c r="H895" s="1" t="s">
        <v>268</v>
      </c>
      <c r="I895" s="1" t="s">
        <v>269</v>
      </c>
      <c r="J895" s="1" t="s">
        <v>319</v>
      </c>
      <c r="K895" s="1" t="str">
        <f>_xlfn.XLOOKUP(J895,REF!$D$2:$D$12,REF!$E$2:$E$12)</f>
        <v>Comunicação</v>
      </c>
      <c r="L895" s="1" t="s">
        <v>1964</v>
      </c>
      <c r="M895" s="1" t="s">
        <v>272</v>
      </c>
      <c r="N895" s="1" t="s">
        <v>253</v>
      </c>
      <c r="O895" s="1" t="s">
        <v>697</v>
      </c>
      <c r="P895" s="1" t="str">
        <f t="shared" si="48"/>
        <v>Araçu IIAraçu 2.1 inv 146373,746527777846373,746527777846373,7638888889</v>
      </c>
      <c r="Q895" s="1" t="str">
        <f t="shared" si="49"/>
        <v>LIGRFOCOM</v>
      </c>
    </row>
    <row r="896" spans="2:17">
      <c r="B896" s="1" t="s">
        <v>2156</v>
      </c>
      <c r="C896" s="1" t="s">
        <v>2158</v>
      </c>
      <c r="D896" s="52">
        <v>46373.746527777781</v>
      </c>
      <c r="E896" s="52">
        <v>46373.746527777781</v>
      </c>
      <c r="F896" s="52">
        <v>46373.763888888891</v>
      </c>
      <c r="G896" s="53">
        <f t="shared" si="50"/>
        <v>1.7361111109494232E-2</v>
      </c>
      <c r="H896" s="1" t="s">
        <v>268</v>
      </c>
      <c r="I896" s="1" t="s">
        <v>269</v>
      </c>
      <c r="J896" s="1" t="s">
        <v>319</v>
      </c>
      <c r="K896" s="1" t="str">
        <f>_xlfn.XLOOKUP(J896,REF!$D$2:$D$12,REF!$E$2:$E$12)</f>
        <v>Comunicação</v>
      </c>
      <c r="L896" s="1" t="s">
        <v>1964</v>
      </c>
      <c r="M896" s="1" t="s">
        <v>272</v>
      </c>
      <c r="N896" s="1" t="s">
        <v>253</v>
      </c>
      <c r="O896" s="1" t="s">
        <v>697</v>
      </c>
      <c r="P896" s="1" t="str">
        <f t="shared" si="48"/>
        <v>Araçu IIAraçu 2.1 inv 246373,746527777846373,746527777846373,7638888889</v>
      </c>
      <c r="Q896" s="1" t="str">
        <f t="shared" si="49"/>
        <v>LIGRFOCOM</v>
      </c>
    </row>
    <row r="897" spans="2:17">
      <c r="B897" s="1" t="s">
        <v>2156</v>
      </c>
      <c r="C897" s="1" t="s">
        <v>2159</v>
      </c>
      <c r="D897" s="52">
        <v>46373.746527777781</v>
      </c>
      <c r="E897" s="52">
        <v>46373.746527777781</v>
      </c>
      <c r="F897" s="52">
        <v>46373.763888888891</v>
      </c>
      <c r="G897" s="53">
        <f t="shared" si="50"/>
        <v>1.7361111109494232E-2</v>
      </c>
      <c r="H897" s="1" t="s">
        <v>268</v>
      </c>
      <c r="I897" s="1" t="s">
        <v>269</v>
      </c>
      <c r="J897" s="1" t="s">
        <v>319</v>
      </c>
      <c r="K897" s="1" t="str">
        <f>_xlfn.XLOOKUP(J897,REF!$D$2:$D$12,REF!$E$2:$E$12)</f>
        <v>Comunicação</v>
      </c>
      <c r="L897" s="1" t="s">
        <v>1964</v>
      </c>
      <c r="M897" s="1" t="s">
        <v>272</v>
      </c>
      <c r="N897" s="1" t="s">
        <v>253</v>
      </c>
      <c r="O897" s="1" t="s">
        <v>697</v>
      </c>
      <c r="P897" s="1" t="str">
        <f t="shared" si="48"/>
        <v>Araçu IIAraçu 2.1 inv 346373,746527777846373,746527777846373,7638888889</v>
      </c>
      <c r="Q897" s="1" t="str">
        <f t="shared" si="49"/>
        <v>LIGRFOCOM</v>
      </c>
    </row>
    <row r="898" spans="2:17">
      <c r="B898" s="1" t="s">
        <v>2196</v>
      </c>
      <c r="C898" s="1" t="s">
        <v>2160</v>
      </c>
      <c r="D898" s="52">
        <v>46373.746527777781</v>
      </c>
      <c r="E898" s="52">
        <v>46373.746527777781</v>
      </c>
      <c r="F898" s="52">
        <v>46373.763888888891</v>
      </c>
      <c r="G898" s="53">
        <f t="shared" si="50"/>
        <v>1.7361111109494232E-2</v>
      </c>
      <c r="H898" s="1" t="s">
        <v>268</v>
      </c>
      <c r="I898" s="1" t="s">
        <v>269</v>
      </c>
      <c r="J898" s="1" t="s">
        <v>319</v>
      </c>
      <c r="K898" s="1" t="str">
        <f>_xlfn.XLOOKUP(J898,REF!$D$2:$D$12,REF!$E$2:$E$12)</f>
        <v>Comunicação</v>
      </c>
      <c r="L898" s="1" t="s">
        <v>1964</v>
      </c>
      <c r="M898" s="1" t="s">
        <v>272</v>
      </c>
      <c r="N898" s="1" t="s">
        <v>253</v>
      </c>
      <c r="O898" s="1" t="s">
        <v>697</v>
      </c>
      <c r="P898" s="1" t="str">
        <f t="shared" si="48"/>
        <v>Araçu IIIAraçu 2.2 inv.146373,746527777846373,746527777846373,7638888889</v>
      </c>
      <c r="Q898" s="1" t="str">
        <f t="shared" si="49"/>
        <v>LIGRFOCOM</v>
      </c>
    </row>
    <row r="899" spans="2:17">
      <c r="B899" s="1" t="s">
        <v>2196</v>
      </c>
      <c r="C899" s="1" t="s">
        <v>2161</v>
      </c>
      <c r="D899" s="52">
        <v>46373.746527777781</v>
      </c>
      <c r="E899" s="52">
        <v>46373.746527777781</v>
      </c>
      <c r="F899" s="52">
        <v>46373.763888888891</v>
      </c>
      <c r="G899" s="53">
        <f t="shared" si="50"/>
        <v>1.7361111109494232E-2</v>
      </c>
      <c r="H899" s="1" t="s">
        <v>268</v>
      </c>
      <c r="I899" s="1" t="s">
        <v>269</v>
      </c>
      <c r="J899" s="1" t="s">
        <v>319</v>
      </c>
      <c r="K899" s="1" t="str">
        <f>_xlfn.XLOOKUP(J899,REF!$D$2:$D$12,REF!$E$2:$E$12)</f>
        <v>Comunicação</v>
      </c>
      <c r="L899" s="1" t="s">
        <v>1964</v>
      </c>
      <c r="M899" s="1" t="s">
        <v>272</v>
      </c>
      <c r="N899" s="1" t="s">
        <v>253</v>
      </c>
      <c r="O899" s="1" t="s">
        <v>697</v>
      </c>
      <c r="P899" s="1" t="str">
        <f t="shared" si="48"/>
        <v>Araçu IIIAraçu 2.2 inv .246373,746527777846373,746527777846373,7638888889</v>
      </c>
      <c r="Q899" s="1" t="str">
        <f t="shared" si="49"/>
        <v>LIGRFOCOM</v>
      </c>
    </row>
    <row r="900" spans="2:17">
      <c r="B900" s="1" t="s">
        <v>2196</v>
      </c>
      <c r="C900" s="1" t="s">
        <v>2162</v>
      </c>
      <c r="D900" s="52">
        <v>46373.746527777781</v>
      </c>
      <c r="E900" s="52">
        <v>46373.746527777781</v>
      </c>
      <c r="F900" s="52">
        <v>46373.763888888891</v>
      </c>
      <c r="G900" s="53">
        <f t="shared" si="50"/>
        <v>1.7361111109494232E-2</v>
      </c>
      <c r="H900" s="1" t="s">
        <v>268</v>
      </c>
      <c r="I900" s="1" t="s">
        <v>269</v>
      </c>
      <c r="J900" s="1" t="s">
        <v>319</v>
      </c>
      <c r="K900" s="1" t="str">
        <f>_xlfn.XLOOKUP(J900,REF!$D$2:$D$12,REF!$E$2:$E$12)</f>
        <v>Comunicação</v>
      </c>
      <c r="L900" s="1" t="s">
        <v>1964</v>
      </c>
      <c r="M900" s="1" t="s">
        <v>272</v>
      </c>
      <c r="N900" s="1" t="s">
        <v>253</v>
      </c>
      <c r="O900" s="1" t="s">
        <v>697</v>
      </c>
      <c r="P900" s="1" t="str">
        <f t="shared" si="48"/>
        <v>Araçu IIIAraçu 2.2 inv 346373,746527777846373,746527777846373,7638888889</v>
      </c>
      <c r="Q900" s="1" t="str">
        <f t="shared" si="49"/>
        <v>LIGRFOCOM</v>
      </c>
    </row>
    <row r="901" spans="2:17">
      <c r="B901" s="1" t="s">
        <v>2113</v>
      </c>
      <c r="C901" s="1" t="s">
        <v>2163</v>
      </c>
      <c r="D901" s="52">
        <v>46373.746527777781</v>
      </c>
      <c r="E901" s="52">
        <v>46373.746527777781</v>
      </c>
      <c r="F901" s="52">
        <v>46373.763888888891</v>
      </c>
      <c r="G901" s="53">
        <f t="shared" si="50"/>
        <v>1.7361111109494232E-2</v>
      </c>
      <c r="H901" s="1" t="s">
        <v>268</v>
      </c>
      <c r="I901" s="1" t="s">
        <v>269</v>
      </c>
      <c r="J901" s="1" t="s">
        <v>319</v>
      </c>
      <c r="K901" s="1" t="str">
        <f>_xlfn.XLOOKUP(J901,REF!$D$2:$D$12,REF!$E$2:$E$12)</f>
        <v>Comunicação</v>
      </c>
      <c r="L901" s="1" t="s">
        <v>1964</v>
      </c>
      <c r="M901" s="1" t="s">
        <v>272</v>
      </c>
      <c r="N901" s="1" t="s">
        <v>253</v>
      </c>
      <c r="O901" s="1" t="s">
        <v>697</v>
      </c>
      <c r="P901" s="1" t="str">
        <f t="shared" si="48"/>
        <v>Araçu IVAraçu 2.3inv 146373,746527777846373,746527777846373,7638888889</v>
      </c>
      <c r="Q901" s="1" t="str">
        <f t="shared" si="49"/>
        <v>LIGRFOCOM</v>
      </c>
    </row>
    <row r="902" spans="2:17">
      <c r="B902" s="1" t="s">
        <v>2113</v>
      </c>
      <c r="C902" s="1" t="s">
        <v>2164</v>
      </c>
      <c r="D902" s="52">
        <v>46373.746527777781</v>
      </c>
      <c r="E902" s="52">
        <v>46373.746527777781</v>
      </c>
      <c r="F902" s="52">
        <v>46373.763888888891</v>
      </c>
      <c r="G902" s="53">
        <f t="shared" si="50"/>
        <v>1.7361111109494232E-2</v>
      </c>
      <c r="H902" s="1" t="s">
        <v>268</v>
      </c>
      <c r="I902" s="1" t="s">
        <v>269</v>
      </c>
      <c r="J902" s="1" t="s">
        <v>319</v>
      </c>
      <c r="K902" s="1" t="str">
        <f>_xlfn.XLOOKUP(J902,REF!$D$2:$D$12,REF!$E$2:$E$12)</f>
        <v>Comunicação</v>
      </c>
      <c r="L902" s="1" t="s">
        <v>1964</v>
      </c>
      <c r="M902" s="1" t="s">
        <v>272</v>
      </c>
      <c r="N902" s="1" t="s">
        <v>253</v>
      </c>
      <c r="O902" s="1" t="s">
        <v>697</v>
      </c>
      <c r="P902" s="1" t="str">
        <f t="shared" si="48"/>
        <v>Araçu IVAraçu 2.3 inv 246373,746527777846373,746527777846373,7638888889</v>
      </c>
      <c r="Q902" s="1" t="str">
        <f t="shared" si="49"/>
        <v>LIGRFOCOM</v>
      </c>
    </row>
    <row r="903" spans="2:17">
      <c r="B903" s="1" t="s">
        <v>2113</v>
      </c>
      <c r="C903" s="1" t="s">
        <v>2165</v>
      </c>
      <c r="D903" s="52">
        <v>46373.746527777781</v>
      </c>
      <c r="E903" s="52">
        <v>46373.746527777781</v>
      </c>
      <c r="F903" s="52">
        <v>46373.763888888891</v>
      </c>
      <c r="G903" s="53">
        <f t="shared" si="50"/>
        <v>1.7361111109494232E-2</v>
      </c>
      <c r="H903" s="1" t="s">
        <v>268</v>
      </c>
      <c r="I903" s="1" t="s">
        <v>269</v>
      </c>
      <c r="J903" s="1" t="s">
        <v>319</v>
      </c>
      <c r="K903" s="1" t="str">
        <f>_xlfn.XLOOKUP(J903,REF!$D$2:$D$12,REF!$E$2:$E$12)</f>
        <v>Comunicação</v>
      </c>
      <c r="L903" s="1" t="s">
        <v>1964</v>
      </c>
      <c r="M903" s="1" t="s">
        <v>272</v>
      </c>
      <c r="N903" s="1" t="s">
        <v>253</v>
      </c>
      <c r="O903" s="1" t="s">
        <v>697</v>
      </c>
      <c r="P903" s="1" t="str">
        <f t="shared" si="48"/>
        <v>Araçu IVAraçu 2.3 inv 446373,746527777846373,746527777846373,7638888889</v>
      </c>
      <c r="Q903" s="1" t="str">
        <f t="shared" si="49"/>
        <v>LIGRFOCOM</v>
      </c>
    </row>
    <row r="904" spans="2:17">
      <c r="B904" s="1" t="s">
        <v>2113</v>
      </c>
      <c r="C904" s="1" t="s">
        <v>2166</v>
      </c>
      <c r="D904" s="52">
        <v>46373.746527777781</v>
      </c>
      <c r="E904" s="52">
        <v>46373.746527777781</v>
      </c>
      <c r="F904" s="52">
        <v>46373.763888888891</v>
      </c>
      <c r="G904" s="53">
        <f t="shared" si="50"/>
        <v>1.7361111109494232E-2</v>
      </c>
      <c r="H904" s="1" t="s">
        <v>268</v>
      </c>
      <c r="I904" s="1" t="s">
        <v>269</v>
      </c>
      <c r="J904" s="1" t="s">
        <v>319</v>
      </c>
      <c r="K904" s="1" t="str">
        <f>_xlfn.XLOOKUP(J904,REF!$D$2:$D$12,REF!$E$2:$E$12)</f>
        <v>Comunicação</v>
      </c>
      <c r="L904" s="1" t="s">
        <v>1964</v>
      </c>
      <c r="M904" s="1" t="s">
        <v>272</v>
      </c>
      <c r="N904" s="1" t="s">
        <v>253</v>
      </c>
      <c r="O904" s="1" t="s">
        <v>697</v>
      </c>
      <c r="P904" s="1" t="str">
        <f t="shared" si="48"/>
        <v>Araçu IVAraçu.2.3 inv 546373,746527777846373,746527777846373,7638888889</v>
      </c>
      <c r="Q904" s="1" t="str">
        <f t="shared" si="49"/>
        <v>LIGRFOCOM</v>
      </c>
    </row>
    <row r="905" spans="2:17">
      <c r="B905" s="1" t="s">
        <v>2113</v>
      </c>
      <c r="C905" s="1" t="s">
        <v>2167</v>
      </c>
      <c r="D905" s="52">
        <v>46373.746527777781</v>
      </c>
      <c r="E905" s="52">
        <v>46373.746527777781</v>
      </c>
      <c r="F905" s="52">
        <v>46373.763888888891</v>
      </c>
      <c r="G905" s="53">
        <f t="shared" si="50"/>
        <v>1.7361111109494232E-2</v>
      </c>
      <c r="H905" s="1" t="s">
        <v>268</v>
      </c>
      <c r="I905" s="1" t="s">
        <v>269</v>
      </c>
      <c r="J905" s="1" t="s">
        <v>319</v>
      </c>
      <c r="K905" s="1" t="str">
        <f>_xlfn.XLOOKUP(J905,REF!$D$2:$D$12,REF!$E$2:$E$12)</f>
        <v>Comunicação</v>
      </c>
      <c r="L905" s="1" t="s">
        <v>1964</v>
      </c>
      <c r="M905" s="1" t="s">
        <v>272</v>
      </c>
      <c r="N905" s="1" t="s">
        <v>253</v>
      </c>
      <c r="O905" s="1" t="s">
        <v>697</v>
      </c>
      <c r="P905" s="1" t="str">
        <f t="shared" si="48"/>
        <v>Araçu IVAraçu 2.3 inv46373,746527777846373,746527777846373,7638888889</v>
      </c>
      <c r="Q905" s="1" t="str">
        <f t="shared" si="49"/>
        <v>LIGRFOCOM</v>
      </c>
    </row>
    <row r="906" spans="2:17">
      <c r="B906" s="1" t="s">
        <v>2113</v>
      </c>
      <c r="C906" s="1" t="s">
        <v>2168</v>
      </c>
      <c r="D906" s="52">
        <v>46373.746527777781</v>
      </c>
      <c r="E906" s="52">
        <v>46373.746527777781</v>
      </c>
      <c r="F906" s="52">
        <v>46373.763888888891</v>
      </c>
      <c r="G906" s="53">
        <f t="shared" si="50"/>
        <v>1.7361111109494232E-2</v>
      </c>
      <c r="H906" s="1" t="s">
        <v>268</v>
      </c>
      <c r="I906" s="1" t="s">
        <v>269</v>
      </c>
      <c r="J906" s="1" t="s">
        <v>319</v>
      </c>
      <c r="K906" s="1" t="str">
        <f>_xlfn.XLOOKUP(J906,REF!$D$2:$D$12,REF!$E$2:$E$12)</f>
        <v>Comunicação</v>
      </c>
      <c r="L906" s="1" t="s">
        <v>1964</v>
      </c>
      <c r="M906" s="1" t="s">
        <v>272</v>
      </c>
      <c r="N906" s="1" t="s">
        <v>253</v>
      </c>
      <c r="O906" s="1" t="s">
        <v>697</v>
      </c>
      <c r="P906" s="1" t="str">
        <f t="shared" si="48"/>
        <v>Araçu IVAraçu 2.3 inv 646373,746527777846373,746527777846373,7638888889</v>
      </c>
      <c r="Q906" s="1" t="str">
        <f t="shared" si="49"/>
        <v>LIGRFOCOM</v>
      </c>
    </row>
    <row r="907" spans="2:17">
      <c r="B907" s="1" t="s">
        <v>375</v>
      </c>
      <c r="C907" s="1" t="s">
        <v>247</v>
      </c>
      <c r="D907" s="52">
        <v>46371.125</v>
      </c>
      <c r="E907" s="52">
        <v>46371.125</v>
      </c>
      <c r="F907" s="52">
        <v>46371.322916666664</v>
      </c>
      <c r="G907" s="53">
        <f t="shared" si="50"/>
        <v>0.19791666666424135</v>
      </c>
      <c r="H907" s="1" t="s">
        <v>268</v>
      </c>
      <c r="I907" s="1" t="s">
        <v>269</v>
      </c>
      <c r="J907" s="1" t="s">
        <v>319</v>
      </c>
      <c r="K907" s="1" t="str">
        <f>_xlfn.XLOOKUP(J907,REF!$D$2:$D$12,REF!$E$2:$E$12)</f>
        <v>Comunicação</v>
      </c>
      <c r="L907" s="1" t="s">
        <v>1964</v>
      </c>
      <c r="M907" s="1" t="s">
        <v>272</v>
      </c>
      <c r="N907" s="1" t="s">
        <v>253</v>
      </c>
      <c r="O907" s="1" t="s">
        <v>697</v>
      </c>
      <c r="P907" s="1" t="str">
        <f t="shared" si="48"/>
        <v>BC Camarao1.1Inverter(MBUS-1)46371,12546371,12546371,3229166667</v>
      </c>
      <c r="Q907" s="1" t="str">
        <f t="shared" si="49"/>
        <v>LIGRFOCOM</v>
      </c>
    </row>
    <row r="908" spans="2:17">
      <c r="B908" s="1" t="s">
        <v>375</v>
      </c>
      <c r="C908" s="1" t="s">
        <v>377</v>
      </c>
      <c r="D908" s="52">
        <v>46371.125</v>
      </c>
      <c r="E908" s="52">
        <v>46371.125</v>
      </c>
      <c r="F908" s="52">
        <v>46371.322916666664</v>
      </c>
      <c r="G908" s="53">
        <f t="shared" si="50"/>
        <v>0.19791666666424135</v>
      </c>
      <c r="H908" s="1" t="s">
        <v>268</v>
      </c>
      <c r="I908" s="1" t="s">
        <v>269</v>
      </c>
      <c r="J908" s="1" t="s">
        <v>319</v>
      </c>
      <c r="K908" s="1" t="str">
        <f>_xlfn.XLOOKUP(J908,REF!$D$2:$D$12,REF!$E$2:$E$12)</f>
        <v>Comunicação</v>
      </c>
      <c r="L908" s="1" t="s">
        <v>1964</v>
      </c>
      <c r="M908" s="1" t="s">
        <v>272</v>
      </c>
      <c r="N908" s="1" t="s">
        <v>253</v>
      </c>
      <c r="O908" s="1" t="s">
        <v>697</v>
      </c>
      <c r="P908" s="1" t="str">
        <f t="shared" si="48"/>
        <v>BC Camarao1.1215KTL-H3(MBUS-12)46371,12546371,12546371,3229166667</v>
      </c>
      <c r="Q908" s="1" t="str">
        <f t="shared" si="49"/>
        <v>LIGRFOCOM</v>
      </c>
    </row>
    <row r="909" spans="2:17">
      <c r="B909" s="1" t="s">
        <v>375</v>
      </c>
      <c r="C909" s="1" t="s">
        <v>378</v>
      </c>
      <c r="D909" s="52">
        <v>46371.125</v>
      </c>
      <c r="E909" s="52">
        <v>46371.125</v>
      </c>
      <c r="F909" s="52">
        <v>46371.322916666664</v>
      </c>
      <c r="G909" s="53">
        <f t="shared" si="50"/>
        <v>0.19791666666424135</v>
      </c>
      <c r="H909" s="1" t="s">
        <v>268</v>
      </c>
      <c r="I909" s="1" t="s">
        <v>269</v>
      </c>
      <c r="J909" s="1" t="s">
        <v>319</v>
      </c>
      <c r="K909" s="1" t="str">
        <f>_xlfn.XLOOKUP(J909,REF!$D$2:$D$12,REF!$E$2:$E$12)</f>
        <v>Comunicação</v>
      </c>
      <c r="L909" s="1" t="s">
        <v>1964</v>
      </c>
      <c r="M909" s="1" t="s">
        <v>272</v>
      </c>
      <c r="N909" s="1" t="s">
        <v>253</v>
      </c>
      <c r="O909" s="1" t="s">
        <v>697</v>
      </c>
      <c r="P909" s="1" t="str">
        <f t="shared" si="48"/>
        <v>BC Camarao1.1215KTL-H3(MBUS-13)46371,12546371,12546371,3229166667</v>
      </c>
      <c r="Q909" s="1" t="str">
        <f t="shared" si="49"/>
        <v>LIGRFOCOM</v>
      </c>
    </row>
    <row r="910" spans="2:17">
      <c r="B910" s="1" t="s">
        <v>375</v>
      </c>
      <c r="C910" s="1" t="s">
        <v>379</v>
      </c>
      <c r="D910" s="52">
        <v>46371.125</v>
      </c>
      <c r="E910" s="52">
        <v>46371.125</v>
      </c>
      <c r="F910" s="52">
        <v>46371.322916666664</v>
      </c>
      <c r="G910" s="53">
        <f t="shared" si="50"/>
        <v>0.19791666666424135</v>
      </c>
      <c r="H910" s="1" t="s">
        <v>268</v>
      </c>
      <c r="I910" s="1" t="s">
        <v>269</v>
      </c>
      <c r="J910" s="1" t="s">
        <v>319</v>
      </c>
      <c r="K910" s="1" t="str">
        <f>_xlfn.XLOOKUP(J910,REF!$D$2:$D$12,REF!$E$2:$E$12)</f>
        <v>Comunicação</v>
      </c>
      <c r="L910" s="1" t="s">
        <v>1964</v>
      </c>
      <c r="M910" s="1" t="s">
        <v>272</v>
      </c>
      <c r="N910" s="1" t="s">
        <v>253</v>
      </c>
      <c r="O910" s="1" t="s">
        <v>697</v>
      </c>
      <c r="P910" s="1" t="str">
        <f t="shared" si="48"/>
        <v>BC Camarao1.1215KTL-H3(MBUS-16)46371,12546371,12546371,3229166667</v>
      </c>
      <c r="Q910" s="1" t="str">
        <f t="shared" si="49"/>
        <v>LIGRFOCOM</v>
      </c>
    </row>
    <row r="911" spans="2:17">
      <c r="B911" s="1" t="s">
        <v>375</v>
      </c>
      <c r="C911" s="1" t="s">
        <v>380</v>
      </c>
      <c r="D911" s="52">
        <v>46371.125</v>
      </c>
      <c r="E911" s="52">
        <v>46371.125</v>
      </c>
      <c r="F911" s="52">
        <v>46371.322916666664</v>
      </c>
      <c r="G911" s="53">
        <f t="shared" si="50"/>
        <v>0.19791666666424135</v>
      </c>
      <c r="H911" s="1" t="s">
        <v>268</v>
      </c>
      <c r="I911" s="1" t="s">
        <v>269</v>
      </c>
      <c r="J911" s="1" t="s">
        <v>319</v>
      </c>
      <c r="K911" s="1" t="str">
        <f>_xlfn.XLOOKUP(J911,REF!$D$2:$D$12,REF!$E$2:$E$12)</f>
        <v>Comunicação</v>
      </c>
      <c r="L911" s="1" t="s">
        <v>1964</v>
      </c>
      <c r="M911" s="1" t="s">
        <v>272</v>
      </c>
      <c r="N911" s="1" t="s">
        <v>253</v>
      </c>
      <c r="O911" s="1" t="s">
        <v>697</v>
      </c>
      <c r="P911" s="1" t="str">
        <f t="shared" si="48"/>
        <v>BC Camarao1.1215KTL-H3(MBUS-15)46371,12546371,12546371,3229166667</v>
      </c>
      <c r="Q911" s="1" t="str">
        <f t="shared" si="49"/>
        <v>LIGRFOCOM</v>
      </c>
    </row>
    <row r="912" spans="2:17">
      <c r="B912" s="1" t="s">
        <v>381</v>
      </c>
      <c r="C912" s="1" t="s">
        <v>379</v>
      </c>
      <c r="D912" s="52">
        <v>46371.354166666664</v>
      </c>
      <c r="E912" s="52">
        <v>46371.354166666664</v>
      </c>
      <c r="F912" s="52">
        <v>46371.359722222223</v>
      </c>
      <c r="G912" s="53">
        <f t="shared" si="50"/>
        <v>5.5555555591126904E-3</v>
      </c>
      <c r="H912" s="1" t="s">
        <v>268</v>
      </c>
      <c r="I912" s="1" t="s">
        <v>269</v>
      </c>
      <c r="J912" s="1" t="s">
        <v>319</v>
      </c>
      <c r="K912" s="1" t="str">
        <f>_xlfn.XLOOKUP(J912,REF!$D$2:$D$12,REF!$E$2:$E$12)</f>
        <v>Comunicação</v>
      </c>
      <c r="L912" s="1" t="s">
        <v>1964</v>
      </c>
      <c r="M912" s="1" t="s">
        <v>272</v>
      </c>
      <c r="N912" s="1" t="s">
        <v>253</v>
      </c>
      <c r="O912" s="1" t="s">
        <v>697</v>
      </c>
      <c r="P912" s="1" t="str">
        <f t="shared" si="48"/>
        <v>BC Camarao1.3215KTL-H3(MBUS-16)46371,354166666746371,354166666746371,3597222222</v>
      </c>
      <c r="Q912" s="1" t="str">
        <f t="shared" si="49"/>
        <v>LIGRFOCOM</v>
      </c>
    </row>
    <row r="913" spans="2:17">
      <c r="B913" s="1" t="s">
        <v>381</v>
      </c>
      <c r="C913" s="1" t="s">
        <v>382</v>
      </c>
      <c r="D913" s="52">
        <v>46371.354166666664</v>
      </c>
      <c r="E913" s="52">
        <v>46371.354166666664</v>
      </c>
      <c r="F913" s="52">
        <v>46371.359722222223</v>
      </c>
      <c r="G913" s="53">
        <f t="shared" si="50"/>
        <v>5.5555555591126904E-3</v>
      </c>
      <c r="H913" s="1" t="s">
        <v>268</v>
      </c>
      <c r="I913" s="1" t="s">
        <v>269</v>
      </c>
      <c r="J913" s="1" t="s">
        <v>319</v>
      </c>
      <c r="K913" s="1" t="str">
        <f>_xlfn.XLOOKUP(J913,REF!$D$2:$D$12,REF!$E$2:$E$12)</f>
        <v>Comunicação</v>
      </c>
      <c r="L913" s="1" t="s">
        <v>1964</v>
      </c>
      <c r="M913" s="1" t="s">
        <v>272</v>
      </c>
      <c r="N913" s="1" t="s">
        <v>253</v>
      </c>
      <c r="O913" s="1" t="s">
        <v>697</v>
      </c>
      <c r="P913" s="1" t="str">
        <f t="shared" si="48"/>
        <v>BC Camarao1.3215KTL-H3(MBUS-14)46371,354166666746371,354166666746371,3597222222</v>
      </c>
      <c r="Q913" s="1" t="str">
        <f t="shared" si="49"/>
        <v>LIGRFOCOM</v>
      </c>
    </row>
    <row r="914" spans="2:17">
      <c r="B914" s="1" t="s">
        <v>381</v>
      </c>
      <c r="C914" s="1" t="s">
        <v>380</v>
      </c>
      <c r="D914" s="52">
        <v>46371.354166666664</v>
      </c>
      <c r="E914" s="52">
        <v>46371.354166666664</v>
      </c>
      <c r="F914" s="52">
        <v>46371.359722222223</v>
      </c>
      <c r="G914" s="53">
        <f t="shared" si="50"/>
        <v>5.5555555591126904E-3</v>
      </c>
      <c r="H914" s="1" t="s">
        <v>268</v>
      </c>
      <c r="I914" s="1" t="s">
        <v>269</v>
      </c>
      <c r="J914" s="1" t="s">
        <v>319</v>
      </c>
      <c r="K914" s="1" t="str">
        <f>_xlfn.XLOOKUP(J914,REF!$D$2:$D$12,REF!$E$2:$E$12)</f>
        <v>Comunicação</v>
      </c>
      <c r="L914" s="1" t="s">
        <v>1964</v>
      </c>
      <c r="M914" s="1" t="s">
        <v>272</v>
      </c>
      <c r="N914" s="1" t="s">
        <v>253</v>
      </c>
      <c r="O914" s="1" t="s">
        <v>697</v>
      </c>
      <c r="P914" s="1" t="str">
        <f t="shared" si="48"/>
        <v>BC Camarao1.3215KTL-H3(MBUS-15)46371,354166666746371,354166666746371,3597222222</v>
      </c>
      <c r="Q914" s="1" t="str">
        <f t="shared" si="49"/>
        <v>LIGRFOCOM</v>
      </c>
    </row>
    <row r="915" spans="2:17">
      <c r="B915" s="1" t="s">
        <v>381</v>
      </c>
      <c r="C915" s="1" t="s">
        <v>377</v>
      </c>
      <c r="D915" s="52">
        <v>46371.354166666664</v>
      </c>
      <c r="E915" s="52">
        <v>46371.354166666664</v>
      </c>
      <c r="F915" s="52">
        <v>46371.359722222223</v>
      </c>
      <c r="G915" s="53">
        <f t="shared" si="50"/>
        <v>5.5555555591126904E-3</v>
      </c>
      <c r="H915" s="1" t="s">
        <v>268</v>
      </c>
      <c r="I915" s="1" t="s">
        <v>269</v>
      </c>
      <c r="J915" s="1" t="s">
        <v>319</v>
      </c>
      <c r="K915" s="1" t="str">
        <f>_xlfn.XLOOKUP(J915,REF!$D$2:$D$12,REF!$E$2:$E$12)</f>
        <v>Comunicação</v>
      </c>
      <c r="L915" s="1" t="s">
        <v>1964</v>
      </c>
      <c r="M915" s="1" t="s">
        <v>272</v>
      </c>
      <c r="N915" s="1" t="s">
        <v>253</v>
      </c>
      <c r="O915" s="1" t="s">
        <v>697</v>
      </c>
      <c r="P915" s="1" t="str">
        <f t="shared" si="48"/>
        <v>BC Camarao1.3215KTL-H3(MBUS-12)46371,354166666746371,354166666746371,3597222222</v>
      </c>
      <c r="Q915" s="1" t="str">
        <f t="shared" si="49"/>
        <v>LIGRFOCOM</v>
      </c>
    </row>
    <row r="916" spans="2:17">
      <c r="B916" s="1" t="s">
        <v>381</v>
      </c>
      <c r="C916" s="1" t="s">
        <v>378</v>
      </c>
      <c r="D916" s="52">
        <v>46371.354166666664</v>
      </c>
      <c r="E916" s="52">
        <v>46371.354166666664</v>
      </c>
      <c r="F916" s="52">
        <v>46371.359722222223</v>
      </c>
      <c r="G916" s="53">
        <f t="shared" si="50"/>
        <v>5.5555555591126904E-3</v>
      </c>
      <c r="H916" s="1" t="s">
        <v>268</v>
      </c>
      <c r="I916" s="1" t="s">
        <v>269</v>
      </c>
      <c r="J916" s="1" t="s">
        <v>319</v>
      </c>
      <c r="K916" s="1" t="str">
        <f>_xlfn.XLOOKUP(J916,REF!$D$2:$D$12,REF!$E$2:$E$12)</f>
        <v>Comunicação</v>
      </c>
      <c r="L916" s="1" t="s">
        <v>1964</v>
      </c>
      <c r="M916" s="1" t="s">
        <v>272</v>
      </c>
      <c r="N916" s="1" t="s">
        <v>253</v>
      </c>
      <c r="O916" s="1" t="s">
        <v>697</v>
      </c>
      <c r="P916" s="1" t="str">
        <f t="shared" si="48"/>
        <v>BC Camarao1.3215KTL-H3(MBUS-13)46371,354166666746371,354166666746371,3597222222</v>
      </c>
      <c r="Q916" s="1" t="str">
        <f t="shared" si="49"/>
        <v>LIGRFOCOM</v>
      </c>
    </row>
    <row r="917" spans="2:17">
      <c r="B917" s="1" t="s">
        <v>2044</v>
      </c>
      <c r="C917" s="1" t="s">
        <v>267</v>
      </c>
      <c r="D917" s="52">
        <v>46372.246527777781</v>
      </c>
      <c r="E917" s="52">
        <v>46372.246527777781</v>
      </c>
      <c r="F917" s="52">
        <v>46372.583333333336</v>
      </c>
      <c r="G917" s="53">
        <f t="shared" si="50"/>
        <v>0.33680555555474712</v>
      </c>
      <c r="H917" s="1" t="s">
        <v>268</v>
      </c>
      <c r="I917" s="1" t="s">
        <v>269</v>
      </c>
      <c r="J917" s="1" t="s">
        <v>319</v>
      </c>
      <c r="K917" s="1" t="str">
        <f>_xlfn.XLOOKUP(J917,REF!$D$2:$D$12,REF!$E$2:$E$12)</f>
        <v>Comunicação</v>
      </c>
      <c r="L917" s="1" t="s">
        <v>2197</v>
      </c>
      <c r="M917" s="1" t="s">
        <v>272</v>
      </c>
      <c r="N917" s="1" t="s">
        <v>253</v>
      </c>
      <c r="O917" s="1" t="s">
        <v>697</v>
      </c>
      <c r="P917" s="1" t="str">
        <f t="shared" si="48"/>
        <v>BC BomSucessoSG60KTL46372,246527777846372,246527777846372,5833333333</v>
      </c>
      <c r="Q917" s="1" t="str">
        <f t="shared" si="49"/>
        <v>LIGRFOCOM</v>
      </c>
    </row>
    <row r="918" spans="2:17">
      <c r="B918" s="1" t="s">
        <v>2044</v>
      </c>
      <c r="C918" s="1" t="s">
        <v>2046</v>
      </c>
      <c r="D918" s="52">
        <v>46372.246527777781</v>
      </c>
      <c r="E918" s="52">
        <v>46372.246527777781</v>
      </c>
      <c r="F918" s="52">
        <v>46372.583333333336</v>
      </c>
      <c r="G918" s="53">
        <f t="shared" si="50"/>
        <v>0.33680555555474712</v>
      </c>
      <c r="H918" s="1" t="s">
        <v>268</v>
      </c>
      <c r="I918" s="1" t="s">
        <v>269</v>
      </c>
      <c r="J918" s="1" t="s">
        <v>319</v>
      </c>
      <c r="K918" s="1" t="str">
        <f>_xlfn.XLOOKUP(J918,REF!$D$2:$D$12,REF!$E$2:$E$12)</f>
        <v>Comunicação</v>
      </c>
      <c r="L918" s="1" t="s">
        <v>2197</v>
      </c>
      <c r="M918" s="1" t="s">
        <v>272</v>
      </c>
      <c r="N918" s="1" t="s">
        <v>253</v>
      </c>
      <c r="O918" s="1" t="s">
        <v>697</v>
      </c>
      <c r="P918" s="1" t="str">
        <f t="shared" si="48"/>
        <v>BC BomSucessoABB_0146372,246527777846372,246527777846372,5833333333</v>
      </c>
      <c r="Q918" s="1" t="str">
        <f t="shared" si="49"/>
        <v>LIGRFOCOM</v>
      </c>
    </row>
    <row r="919" spans="2:17">
      <c r="B919" s="1" t="s">
        <v>2044</v>
      </c>
      <c r="C919" s="1" t="s">
        <v>2047</v>
      </c>
      <c r="D919" s="52">
        <v>46372.246527777781</v>
      </c>
      <c r="E919" s="52">
        <v>46372.246527777781</v>
      </c>
      <c r="F919" s="52">
        <v>46372.583333333336</v>
      </c>
      <c r="G919" s="53">
        <f t="shared" si="50"/>
        <v>0.33680555555474712</v>
      </c>
      <c r="H919" s="1" t="s">
        <v>268</v>
      </c>
      <c r="I919" s="1" t="s">
        <v>269</v>
      </c>
      <c r="J919" s="1" t="s">
        <v>319</v>
      </c>
      <c r="K919" s="1" t="str">
        <f>_xlfn.XLOOKUP(J919,REF!$D$2:$D$12,REF!$E$2:$E$12)</f>
        <v>Comunicação</v>
      </c>
      <c r="L919" s="1" t="s">
        <v>2197</v>
      </c>
      <c r="M919" s="1" t="s">
        <v>272</v>
      </c>
      <c r="N919" s="1" t="s">
        <v>253</v>
      </c>
      <c r="O919" s="1" t="s">
        <v>697</v>
      </c>
      <c r="P919" s="1" t="str">
        <f t="shared" si="48"/>
        <v>BC BomSucessoABB_0246372,246527777846372,246527777846372,5833333333</v>
      </c>
      <c r="Q919" s="1" t="str">
        <f t="shared" si="49"/>
        <v>LIGRFOCOM</v>
      </c>
    </row>
    <row r="920" spans="2:17">
      <c r="B920" s="1" t="s">
        <v>2044</v>
      </c>
      <c r="C920" s="1" t="s">
        <v>2048</v>
      </c>
      <c r="D920" s="52">
        <v>46372.246527777781</v>
      </c>
      <c r="E920" s="52">
        <v>46372.246527777781</v>
      </c>
      <c r="F920" s="52">
        <v>46372.583333333336</v>
      </c>
      <c r="G920" s="53">
        <f t="shared" si="50"/>
        <v>0.33680555555474712</v>
      </c>
      <c r="H920" s="1" t="s">
        <v>268</v>
      </c>
      <c r="I920" s="1" t="s">
        <v>269</v>
      </c>
      <c r="J920" s="1" t="s">
        <v>319</v>
      </c>
      <c r="K920" s="1" t="str">
        <f>_xlfn.XLOOKUP(J920,REF!$D$2:$D$12,REF!$E$2:$E$12)</f>
        <v>Comunicação</v>
      </c>
      <c r="L920" s="1" t="s">
        <v>2197</v>
      </c>
      <c r="M920" s="1" t="s">
        <v>272</v>
      </c>
      <c r="N920" s="1" t="s">
        <v>253</v>
      </c>
      <c r="O920" s="1" t="s">
        <v>697</v>
      </c>
      <c r="P920" s="1" t="str">
        <f t="shared" si="48"/>
        <v>BC BomSucessoABB_0346372,246527777846372,246527777846372,5833333333</v>
      </c>
      <c r="Q920" s="1" t="str">
        <f t="shared" si="49"/>
        <v>LIGRFOCOM</v>
      </c>
    </row>
    <row r="921" spans="2:17">
      <c r="B921" s="1" t="s">
        <v>2044</v>
      </c>
      <c r="C921" s="1" t="s">
        <v>2049</v>
      </c>
      <c r="D921" s="52">
        <v>46372.246527777781</v>
      </c>
      <c r="E921" s="52">
        <v>46372.246527777781</v>
      </c>
      <c r="F921" s="52">
        <v>46372.583333333336</v>
      </c>
      <c r="G921" s="53">
        <f t="shared" si="50"/>
        <v>0.33680555555474712</v>
      </c>
      <c r="H921" s="1" t="s">
        <v>268</v>
      </c>
      <c r="I921" s="1" t="s">
        <v>269</v>
      </c>
      <c r="J921" s="1" t="s">
        <v>319</v>
      </c>
      <c r="K921" s="1" t="str">
        <f>_xlfn.XLOOKUP(J921,REF!$D$2:$D$12,REF!$E$2:$E$12)</f>
        <v>Comunicação</v>
      </c>
      <c r="L921" s="1" t="s">
        <v>2197</v>
      </c>
      <c r="M921" s="1" t="s">
        <v>272</v>
      </c>
      <c r="N921" s="1" t="s">
        <v>253</v>
      </c>
      <c r="O921" s="1" t="s">
        <v>697</v>
      </c>
      <c r="P921" s="1" t="str">
        <f t="shared" si="48"/>
        <v>BC BomSucessoABB_0446372,246527777846372,246527777846372,5833333333</v>
      </c>
      <c r="Q921" s="1" t="str">
        <f t="shared" si="49"/>
        <v>LIGRFOCOM</v>
      </c>
    </row>
    <row r="922" spans="2:17">
      <c r="B922" s="1" t="s">
        <v>2044</v>
      </c>
      <c r="C922" s="1" t="s">
        <v>2050</v>
      </c>
      <c r="D922" s="52">
        <v>46372.246527777781</v>
      </c>
      <c r="E922" s="52">
        <v>46372.246527777781</v>
      </c>
      <c r="F922" s="52">
        <v>46372.583333333336</v>
      </c>
      <c r="G922" s="53">
        <f t="shared" si="50"/>
        <v>0.33680555555474712</v>
      </c>
      <c r="H922" s="1" t="s">
        <v>268</v>
      </c>
      <c r="I922" s="1" t="s">
        <v>269</v>
      </c>
      <c r="J922" s="1" t="s">
        <v>319</v>
      </c>
      <c r="K922" s="1" t="str">
        <f>_xlfn.XLOOKUP(J922,REF!$D$2:$D$12,REF!$E$2:$E$12)</f>
        <v>Comunicação</v>
      </c>
      <c r="L922" s="1" t="s">
        <v>2197</v>
      </c>
      <c r="M922" s="1" t="s">
        <v>272</v>
      </c>
      <c r="N922" s="1" t="s">
        <v>253</v>
      </c>
      <c r="O922" s="1" t="s">
        <v>697</v>
      </c>
      <c r="P922" s="1" t="str">
        <f t="shared" si="48"/>
        <v>BC BomSucessoABB_0546372,246527777846372,246527777846372,5833333333</v>
      </c>
      <c r="Q922" s="1" t="str">
        <f t="shared" si="49"/>
        <v>LIGRFOCOM</v>
      </c>
    </row>
    <row r="923" spans="2:17">
      <c r="B923" s="1" t="s">
        <v>2044</v>
      </c>
      <c r="C923" s="1" t="s">
        <v>2051</v>
      </c>
      <c r="D923" s="52">
        <v>46372.246527777781</v>
      </c>
      <c r="E923" s="52">
        <v>46372.246527777781</v>
      </c>
      <c r="F923" s="52">
        <v>46372.583333333336</v>
      </c>
      <c r="G923" s="53">
        <f t="shared" si="50"/>
        <v>0.33680555555474712</v>
      </c>
      <c r="H923" s="1" t="s">
        <v>268</v>
      </c>
      <c r="I923" s="1" t="s">
        <v>269</v>
      </c>
      <c r="J923" s="1" t="s">
        <v>319</v>
      </c>
      <c r="K923" s="1" t="str">
        <f>_xlfn.XLOOKUP(J923,REF!$D$2:$D$12,REF!$E$2:$E$12)</f>
        <v>Comunicação</v>
      </c>
      <c r="L923" s="1" t="s">
        <v>2197</v>
      </c>
      <c r="M923" s="1" t="s">
        <v>272</v>
      </c>
      <c r="N923" s="1" t="s">
        <v>253</v>
      </c>
      <c r="O923" s="1" t="s">
        <v>697</v>
      </c>
      <c r="P923" s="1" t="str">
        <f t="shared" si="48"/>
        <v>BC BomSucessoABB_0646372,246527777846372,246527777846372,5833333333</v>
      </c>
      <c r="Q923" s="1" t="str">
        <f t="shared" si="49"/>
        <v>LIGRFOCOM</v>
      </c>
    </row>
    <row r="924" spans="2:17">
      <c r="B924" s="1" t="s">
        <v>2044</v>
      </c>
      <c r="C924" s="1" t="s">
        <v>2052</v>
      </c>
      <c r="D924" s="52">
        <v>46372.246527777781</v>
      </c>
      <c r="E924" s="52">
        <v>46372.246527777781</v>
      </c>
      <c r="F924" s="52">
        <v>46372.583333333336</v>
      </c>
      <c r="G924" s="53">
        <f t="shared" si="50"/>
        <v>0.33680555555474712</v>
      </c>
      <c r="H924" s="1" t="s">
        <v>268</v>
      </c>
      <c r="I924" s="1" t="s">
        <v>269</v>
      </c>
      <c r="J924" s="1" t="s">
        <v>319</v>
      </c>
      <c r="K924" s="1" t="str">
        <f>_xlfn.XLOOKUP(J924,REF!$D$2:$D$12,REF!$E$2:$E$12)</f>
        <v>Comunicação</v>
      </c>
      <c r="L924" s="1" t="s">
        <v>2197</v>
      </c>
      <c r="M924" s="1" t="s">
        <v>272</v>
      </c>
      <c r="N924" s="1" t="s">
        <v>253</v>
      </c>
      <c r="O924" s="1" t="s">
        <v>697</v>
      </c>
      <c r="P924" s="1" t="str">
        <f t="shared" si="48"/>
        <v>BC BomSucessoABB_0746372,246527777846372,246527777846372,5833333333</v>
      </c>
      <c r="Q924" s="1" t="str">
        <f t="shared" si="49"/>
        <v>LIGRFOCOM</v>
      </c>
    </row>
    <row r="925" spans="2:17">
      <c r="B925" s="1" t="s">
        <v>2044</v>
      </c>
      <c r="C925" s="1" t="s">
        <v>2053</v>
      </c>
      <c r="D925" s="52">
        <v>46372.246527777781</v>
      </c>
      <c r="E925" s="52">
        <v>46372.246527777781</v>
      </c>
      <c r="F925" s="52">
        <v>46372.583333333336</v>
      </c>
      <c r="G925" s="53">
        <f t="shared" si="50"/>
        <v>0.33680555555474712</v>
      </c>
      <c r="H925" s="1" t="s">
        <v>268</v>
      </c>
      <c r="I925" s="1" t="s">
        <v>269</v>
      </c>
      <c r="J925" s="1" t="s">
        <v>319</v>
      </c>
      <c r="K925" s="1" t="str">
        <f>_xlfn.XLOOKUP(J925,REF!$D$2:$D$12,REF!$E$2:$E$12)</f>
        <v>Comunicação</v>
      </c>
      <c r="L925" s="1" t="s">
        <v>2197</v>
      </c>
      <c r="M925" s="1" t="s">
        <v>272</v>
      </c>
      <c r="N925" s="1" t="s">
        <v>253</v>
      </c>
      <c r="O925" s="1" t="s">
        <v>697</v>
      </c>
      <c r="P925" s="1" t="str">
        <f t="shared" si="48"/>
        <v>BC BomSucessoABB_0846372,246527777846372,246527777846372,5833333333</v>
      </c>
      <c r="Q925" s="1" t="str">
        <f t="shared" si="49"/>
        <v>LIGRFOCOM</v>
      </c>
    </row>
    <row r="926" spans="2:17">
      <c r="B926" s="1" t="s">
        <v>2044</v>
      </c>
      <c r="C926" s="1" t="s">
        <v>2054</v>
      </c>
      <c r="D926" s="52">
        <v>46372.246527777781</v>
      </c>
      <c r="E926" s="52">
        <v>46372.246527777781</v>
      </c>
      <c r="F926" s="52">
        <v>46372.583333333336</v>
      </c>
      <c r="G926" s="53">
        <f t="shared" si="50"/>
        <v>0.33680555555474712</v>
      </c>
      <c r="H926" s="1" t="s">
        <v>268</v>
      </c>
      <c r="I926" s="1" t="s">
        <v>269</v>
      </c>
      <c r="J926" s="1" t="s">
        <v>319</v>
      </c>
      <c r="K926" s="1" t="str">
        <f>_xlfn.XLOOKUP(J926,REF!$D$2:$D$12,REF!$E$2:$E$12)</f>
        <v>Comunicação</v>
      </c>
      <c r="L926" s="1" t="s">
        <v>2197</v>
      </c>
      <c r="M926" s="1" t="s">
        <v>272</v>
      </c>
      <c r="N926" s="1" t="s">
        <v>253</v>
      </c>
      <c r="O926" s="1" t="s">
        <v>697</v>
      </c>
      <c r="P926" s="1" t="str">
        <f t="shared" si="48"/>
        <v>BC BomSucessoABB_0946372,246527777846372,246527777846372,5833333333</v>
      </c>
      <c r="Q926" s="1" t="str">
        <f t="shared" si="49"/>
        <v>LIGRFOCOM</v>
      </c>
    </row>
    <row r="927" spans="2:17">
      <c r="B927" s="1" t="s">
        <v>2044</v>
      </c>
      <c r="C927" s="1" t="s">
        <v>2055</v>
      </c>
      <c r="D927" s="52">
        <v>46372.246527777781</v>
      </c>
      <c r="E927" s="52">
        <v>46372.246527777781</v>
      </c>
      <c r="F927" s="52">
        <v>46372.583333333336</v>
      </c>
      <c r="G927" s="53">
        <f t="shared" si="50"/>
        <v>0.33680555555474712</v>
      </c>
      <c r="H927" s="1" t="s">
        <v>268</v>
      </c>
      <c r="I927" s="1" t="s">
        <v>269</v>
      </c>
      <c r="J927" s="1" t="s">
        <v>319</v>
      </c>
      <c r="K927" s="1" t="str">
        <f>_xlfn.XLOOKUP(J927,REF!$D$2:$D$12,REF!$E$2:$E$12)</f>
        <v>Comunicação</v>
      </c>
      <c r="L927" s="1" t="s">
        <v>2197</v>
      </c>
      <c r="M927" s="1" t="s">
        <v>272</v>
      </c>
      <c r="N927" s="1" t="s">
        <v>253</v>
      </c>
      <c r="O927" s="1" t="s">
        <v>697</v>
      </c>
      <c r="P927" s="1" t="str">
        <f t="shared" ref="P927:P985" si="51">_xlfn.CONCAT(B927,C927,D927,E927,F927)</f>
        <v>BC BomSucessoABB_1046372,246527777846372,246527777846372,5833333333</v>
      </c>
      <c r="Q927" s="1" t="str">
        <f t="shared" ref="Q927:Q985" si="52">_xlfn.CONCAT(H927,I927,J927)</f>
        <v>LIGRFOCOM</v>
      </c>
    </row>
    <row r="928" spans="2:17">
      <c r="B928" s="1" t="s">
        <v>2044</v>
      </c>
      <c r="C928" s="1" t="s">
        <v>2056</v>
      </c>
      <c r="D928" s="52">
        <v>46372.246527777781</v>
      </c>
      <c r="E928" s="52">
        <v>46372.246527777781</v>
      </c>
      <c r="F928" s="52">
        <v>46372.583333333336</v>
      </c>
      <c r="G928" s="53">
        <f t="shared" si="50"/>
        <v>0.33680555555474712</v>
      </c>
      <c r="H928" s="1" t="s">
        <v>268</v>
      </c>
      <c r="I928" s="1" t="s">
        <v>269</v>
      </c>
      <c r="J928" s="1" t="s">
        <v>319</v>
      </c>
      <c r="K928" s="1" t="str">
        <f>_xlfn.XLOOKUP(J928,REF!$D$2:$D$12,REF!$E$2:$E$12)</f>
        <v>Comunicação</v>
      </c>
      <c r="L928" s="1" t="s">
        <v>2197</v>
      </c>
      <c r="M928" s="1" t="s">
        <v>272</v>
      </c>
      <c r="N928" s="1" t="s">
        <v>253</v>
      </c>
      <c r="O928" s="1" t="s">
        <v>697</v>
      </c>
      <c r="P928" s="1" t="str">
        <f t="shared" si="51"/>
        <v>BC BomSucessoABB_1146372,246527777846372,246527777846372,5833333333</v>
      </c>
      <c r="Q928" s="1" t="str">
        <f t="shared" si="52"/>
        <v>LIGRFOCOM</v>
      </c>
    </row>
    <row r="929" spans="1:17" s="46" customFormat="1" hidden="1">
      <c r="A929" s="45"/>
      <c r="B929" s="61" t="s">
        <v>327</v>
      </c>
      <c r="C929" s="61" t="s">
        <v>247</v>
      </c>
      <c r="D929" s="62">
        <v>46013.452777777777</v>
      </c>
      <c r="E929" s="62">
        <v>46013.452777777777</v>
      </c>
      <c r="F929" s="62">
        <v>46013.459722222222</v>
      </c>
      <c r="G929" s="63">
        <f>F929-E929</f>
        <v>6.9444444452528842E-3</v>
      </c>
      <c r="H929" s="61" t="s">
        <v>257</v>
      </c>
      <c r="I929" s="61"/>
      <c r="J929" s="61" t="s">
        <v>258</v>
      </c>
      <c r="K929" s="61" t="s">
        <v>658</v>
      </c>
      <c r="L929" s="61" t="s">
        <v>2198</v>
      </c>
      <c r="M929" s="61" t="s">
        <v>260</v>
      </c>
      <c r="N929" s="61" t="s">
        <v>357</v>
      </c>
      <c r="O929" s="61" t="s">
        <v>632</v>
      </c>
      <c r="P929" s="61" t="str">
        <f t="shared" si="51"/>
        <v>BC Aracu5.1Inverter(MBUS-1)46013,452777777846013,452777777846013,4597222222</v>
      </c>
      <c r="Q929" s="61" t="str">
        <f t="shared" si="52"/>
        <v>DAURDE</v>
      </c>
    </row>
    <row r="930" spans="1:17" s="46" customFormat="1" hidden="1">
      <c r="A930" s="45"/>
      <c r="B930" s="61" t="s">
        <v>246</v>
      </c>
      <c r="C930" s="61" t="s">
        <v>247</v>
      </c>
      <c r="D930" s="62">
        <v>46013.452777777777</v>
      </c>
      <c r="E930" s="62">
        <v>46013.452777777777</v>
      </c>
      <c r="F930" s="62">
        <v>46013.459722222222</v>
      </c>
      <c r="G930" s="63">
        <f>F930-E930</f>
        <v>6.9444444452528842E-3</v>
      </c>
      <c r="H930" s="61" t="s">
        <v>257</v>
      </c>
      <c r="I930" s="61"/>
      <c r="J930" s="61" t="s">
        <v>258</v>
      </c>
      <c r="K930" s="61" t="s">
        <v>658</v>
      </c>
      <c r="L930" s="61" t="s">
        <v>2198</v>
      </c>
      <c r="M930" s="61" t="s">
        <v>260</v>
      </c>
      <c r="N930" s="61" t="s">
        <v>357</v>
      </c>
      <c r="O930" s="61" t="s">
        <v>632</v>
      </c>
      <c r="P930" s="61" t="str">
        <f t="shared" si="51"/>
        <v>BC Aracu5.2Inverter(MBUS-1)46013,452777777846013,452777777846013,4597222222</v>
      </c>
      <c r="Q930" s="61" t="str">
        <f t="shared" si="52"/>
        <v>DAURDE</v>
      </c>
    </row>
    <row r="931" spans="1:17" s="46" customFormat="1" hidden="1">
      <c r="A931" s="45"/>
      <c r="B931" s="61" t="s">
        <v>328</v>
      </c>
      <c r="C931" s="61" t="s">
        <v>247</v>
      </c>
      <c r="D931" s="62">
        <v>46013.452777777777</v>
      </c>
      <c r="E931" s="62">
        <v>46013.452777777777</v>
      </c>
      <c r="F931" s="62">
        <v>46013.459722222222</v>
      </c>
      <c r="G931" s="63">
        <f>F931-E931</f>
        <v>6.9444444452528842E-3</v>
      </c>
      <c r="H931" s="61" t="s">
        <v>257</v>
      </c>
      <c r="I931" s="61"/>
      <c r="J931" s="61" t="s">
        <v>258</v>
      </c>
      <c r="K931" s="61" t="s">
        <v>658</v>
      </c>
      <c r="L931" s="61" t="s">
        <v>2198</v>
      </c>
      <c r="M931" s="61" t="s">
        <v>260</v>
      </c>
      <c r="N931" s="61" t="s">
        <v>357</v>
      </c>
      <c r="O931" s="61" t="s">
        <v>632</v>
      </c>
      <c r="P931" s="61" t="str">
        <f t="shared" si="51"/>
        <v>BC Aracu5.3Inverter(MBUS-1)46013,452777777846013,452777777846013,4597222222</v>
      </c>
      <c r="Q931" s="61" t="str">
        <f t="shared" si="52"/>
        <v>DAURDE</v>
      </c>
    </row>
    <row r="932" spans="1:17" s="46" customFormat="1" hidden="1">
      <c r="A932" s="45"/>
      <c r="B932" s="61" t="s">
        <v>329</v>
      </c>
      <c r="C932" s="61" t="s">
        <v>247</v>
      </c>
      <c r="D932" s="62">
        <v>46013.452777777777</v>
      </c>
      <c r="E932" s="62">
        <v>46013.452777777777</v>
      </c>
      <c r="F932" s="62">
        <v>46013.459722222222</v>
      </c>
      <c r="G932" s="63">
        <f>F932-E932</f>
        <v>6.9444444452528842E-3</v>
      </c>
      <c r="H932" s="61" t="s">
        <v>257</v>
      </c>
      <c r="I932" s="61"/>
      <c r="J932" s="61" t="s">
        <v>258</v>
      </c>
      <c r="K932" s="61" t="s">
        <v>658</v>
      </c>
      <c r="L932" s="61" t="s">
        <v>2198</v>
      </c>
      <c r="M932" s="61" t="s">
        <v>260</v>
      </c>
      <c r="N932" s="61" t="s">
        <v>357</v>
      </c>
      <c r="O932" s="61" t="s">
        <v>632</v>
      </c>
      <c r="P932" s="61" t="str">
        <f t="shared" si="51"/>
        <v>BC Aracu5.4Inverter(MBUS-1)46013,452777777846013,452777777846013,4597222222</v>
      </c>
      <c r="Q932" s="61" t="str">
        <f t="shared" si="52"/>
        <v>DAURDE</v>
      </c>
    </row>
    <row r="933" spans="1:17" s="46" customFormat="1" hidden="1">
      <c r="A933" s="45"/>
      <c r="B933" s="61" t="s">
        <v>330</v>
      </c>
      <c r="C933" s="61" t="s">
        <v>247</v>
      </c>
      <c r="D933" s="62">
        <v>46013.452777777777</v>
      </c>
      <c r="E933" s="62">
        <v>46013.452777777777</v>
      </c>
      <c r="F933" s="62">
        <v>46013.459722222222</v>
      </c>
      <c r="G933" s="63">
        <f>F933-E933</f>
        <v>6.9444444452528842E-3</v>
      </c>
      <c r="H933" s="61" t="s">
        <v>257</v>
      </c>
      <c r="I933" s="61"/>
      <c r="J933" s="61" t="s">
        <v>258</v>
      </c>
      <c r="K933" s="61" t="s">
        <v>658</v>
      </c>
      <c r="L933" s="61" t="s">
        <v>2198</v>
      </c>
      <c r="M933" s="61" t="s">
        <v>260</v>
      </c>
      <c r="N933" s="61" t="s">
        <v>357</v>
      </c>
      <c r="O933" s="61" t="s">
        <v>632</v>
      </c>
      <c r="P933" s="61" t="str">
        <f t="shared" si="51"/>
        <v>BC Aracu5.5Inverter(MBUS-1)46013,452777777846013,452777777846013,4597222222</v>
      </c>
      <c r="Q933" s="61" t="str">
        <f t="shared" si="52"/>
        <v>DAURDE</v>
      </c>
    </row>
    <row r="934" spans="1:17" s="46" customFormat="1" hidden="1">
      <c r="A934" s="45"/>
      <c r="B934" s="61" t="s">
        <v>327</v>
      </c>
      <c r="C934" s="61" t="s">
        <v>247</v>
      </c>
      <c r="D934" s="62">
        <v>46013.492361111108</v>
      </c>
      <c r="E934" s="62">
        <v>46013.492361111108</v>
      </c>
      <c r="F934" s="62">
        <v>46013.50277777778</v>
      </c>
      <c r="G934" s="63">
        <f>F934-E934</f>
        <v>1.0416666671517305E-2</v>
      </c>
      <c r="H934" s="61" t="s">
        <v>257</v>
      </c>
      <c r="I934" s="61"/>
      <c r="J934" s="61" t="s">
        <v>258</v>
      </c>
      <c r="K934" s="61" t="s">
        <v>658</v>
      </c>
      <c r="L934" s="61" t="s">
        <v>2198</v>
      </c>
      <c r="M934" s="61" t="s">
        <v>260</v>
      </c>
      <c r="N934" s="61" t="s">
        <v>357</v>
      </c>
      <c r="O934" s="61" t="s">
        <v>632</v>
      </c>
      <c r="P934" s="61" t="str">
        <f t="shared" si="51"/>
        <v>BC Aracu5.1Inverter(MBUS-1)46013,492361111146013,492361111146013,5027777778</v>
      </c>
      <c r="Q934" s="61" t="str">
        <f t="shared" si="52"/>
        <v>DAURDE</v>
      </c>
    </row>
    <row r="935" spans="1:17" s="46" customFormat="1" hidden="1">
      <c r="A935" s="45"/>
      <c r="B935" s="61" t="s">
        <v>246</v>
      </c>
      <c r="C935" s="61" t="s">
        <v>247</v>
      </c>
      <c r="D935" s="62">
        <v>46013.492361111108</v>
      </c>
      <c r="E935" s="62">
        <v>46013.492361111108</v>
      </c>
      <c r="F935" s="62">
        <v>46013.50277777778</v>
      </c>
      <c r="G935" s="63">
        <f>F935-E935</f>
        <v>1.0416666671517305E-2</v>
      </c>
      <c r="H935" s="61" t="s">
        <v>257</v>
      </c>
      <c r="I935" s="61"/>
      <c r="J935" s="61" t="s">
        <v>258</v>
      </c>
      <c r="K935" s="61" t="s">
        <v>658</v>
      </c>
      <c r="L935" s="61" t="s">
        <v>2198</v>
      </c>
      <c r="M935" s="61" t="s">
        <v>260</v>
      </c>
      <c r="N935" s="61" t="s">
        <v>357</v>
      </c>
      <c r="O935" s="61" t="s">
        <v>632</v>
      </c>
      <c r="P935" s="61" t="str">
        <f t="shared" si="51"/>
        <v>BC Aracu5.2Inverter(MBUS-1)46013,492361111146013,492361111146013,5027777778</v>
      </c>
      <c r="Q935" s="61" t="str">
        <f t="shared" si="52"/>
        <v>DAURDE</v>
      </c>
    </row>
    <row r="936" spans="1:17" s="46" customFormat="1" hidden="1">
      <c r="A936" s="45"/>
      <c r="B936" s="61" t="s">
        <v>328</v>
      </c>
      <c r="C936" s="61" t="s">
        <v>247</v>
      </c>
      <c r="D936" s="62">
        <v>46013.492361111108</v>
      </c>
      <c r="E936" s="62">
        <v>46013.492361111108</v>
      </c>
      <c r="F936" s="62">
        <v>46013.50277777778</v>
      </c>
      <c r="G936" s="63">
        <f>F936-E936</f>
        <v>1.0416666671517305E-2</v>
      </c>
      <c r="H936" s="61" t="s">
        <v>257</v>
      </c>
      <c r="I936" s="61"/>
      <c r="J936" s="61" t="s">
        <v>258</v>
      </c>
      <c r="K936" s="61" t="s">
        <v>658</v>
      </c>
      <c r="L936" s="61" t="s">
        <v>2198</v>
      </c>
      <c r="M936" s="61" t="s">
        <v>260</v>
      </c>
      <c r="N936" s="61" t="s">
        <v>357</v>
      </c>
      <c r="O936" s="61" t="s">
        <v>632</v>
      </c>
      <c r="P936" s="61" t="str">
        <f t="shared" si="51"/>
        <v>BC Aracu5.3Inverter(MBUS-1)46013,492361111146013,492361111146013,5027777778</v>
      </c>
      <c r="Q936" s="61" t="str">
        <f t="shared" si="52"/>
        <v>DAURDE</v>
      </c>
    </row>
    <row r="937" spans="1:17" s="46" customFormat="1" hidden="1">
      <c r="A937" s="45"/>
      <c r="B937" s="61" t="s">
        <v>329</v>
      </c>
      <c r="C937" s="61" t="s">
        <v>247</v>
      </c>
      <c r="D937" s="62">
        <v>46013.492361111108</v>
      </c>
      <c r="E937" s="62">
        <v>46013.492361111108</v>
      </c>
      <c r="F937" s="62">
        <v>46013.50277777778</v>
      </c>
      <c r="G937" s="63">
        <f>F937-E937</f>
        <v>1.0416666671517305E-2</v>
      </c>
      <c r="H937" s="61" t="s">
        <v>257</v>
      </c>
      <c r="I937" s="61"/>
      <c r="J937" s="61" t="s">
        <v>258</v>
      </c>
      <c r="K937" s="61" t="s">
        <v>658</v>
      </c>
      <c r="L937" s="61" t="s">
        <v>2198</v>
      </c>
      <c r="M937" s="61" t="s">
        <v>260</v>
      </c>
      <c r="N937" s="61" t="s">
        <v>357</v>
      </c>
      <c r="O937" s="61" t="s">
        <v>632</v>
      </c>
      <c r="P937" s="61" t="str">
        <f t="shared" si="51"/>
        <v>BC Aracu5.4Inverter(MBUS-1)46013,492361111146013,492361111146013,5027777778</v>
      </c>
      <c r="Q937" s="61" t="str">
        <f t="shared" si="52"/>
        <v>DAURDE</v>
      </c>
    </row>
    <row r="938" spans="1:17" s="46" customFormat="1" hidden="1">
      <c r="A938" s="45"/>
      <c r="B938" s="61" t="s">
        <v>330</v>
      </c>
      <c r="C938" s="61" t="s">
        <v>247</v>
      </c>
      <c r="D938" s="62">
        <v>46013.492361111108</v>
      </c>
      <c r="E938" s="62">
        <v>46013.492361111108</v>
      </c>
      <c r="F938" s="62">
        <v>46013.50277777778</v>
      </c>
      <c r="G938" s="63">
        <f>F938-E938</f>
        <v>1.0416666671517305E-2</v>
      </c>
      <c r="H938" s="61" t="s">
        <v>257</v>
      </c>
      <c r="I938" s="61"/>
      <c r="J938" s="61" t="s">
        <v>258</v>
      </c>
      <c r="K938" s="61" t="s">
        <v>658</v>
      </c>
      <c r="L938" s="61" t="s">
        <v>2198</v>
      </c>
      <c r="M938" s="61" t="s">
        <v>260</v>
      </c>
      <c r="N938" s="61" t="s">
        <v>357</v>
      </c>
      <c r="O938" s="61" t="s">
        <v>632</v>
      </c>
      <c r="P938" s="61" t="str">
        <f t="shared" si="51"/>
        <v>BC Aracu5.5Inverter(MBUS-1)46013,492361111146013,492361111146013,5027777778</v>
      </c>
      <c r="Q938" s="61" t="str">
        <f t="shared" si="52"/>
        <v>DAURDE</v>
      </c>
    </row>
    <row r="939" spans="1:17" hidden="1">
      <c r="A939" s="45"/>
      <c r="B939" s="61" t="s">
        <v>299</v>
      </c>
      <c r="C939" s="61" t="s">
        <v>303</v>
      </c>
      <c r="D939" s="62">
        <v>46013.649305555555</v>
      </c>
      <c r="E939" s="62">
        <v>46013.649305555555</v>
      </c>
      <c r="F939" s="62">
        <v>46013.708333333336</v>
      </c>
      <c r="G939" s="63">
        <f>F939-E939</f>
        <v>5.9027777781011537E-2</v>
      </c>
      <c r="H939" s="61" t="s">
        <v>257</v>
      </c>
      <c r="I939" s="61"/>
      <c r="J939" s="61" t="s">
        <v>258</v>
      </c>
      <c r="K939" s="61" t="s">
        <v>658</v>
      </c>
      <c r="L939" s="61" t="s">
        <v>259</v>
      </c>
      <c r="M939" s="61" t="s">
        <v>260</v>
      </c>
      <c r="N939" s="61" t="s">
        <v>357</v>
      </c>
      <c r="O939" s="61" t="s">
        <v>2199</v>
      </c>
      <c r="P939" s="61" t="str">
        <f t="shared" si="51"/>
        <v>BC Panama1.1CEREAL_00246013,649305555646013,649305555646013,7083333333</v>
      </c>
      <c r="Q939" s="61" t="str">
        <f t="shared" si="52"/>
        <v>DAURDE</v>
      </c>
    </row>
    <row r="940" spans="1:17" hidden="1">
      <c r="A940" s="45"/>
      <c r="B940" s="61" t="s">
        <v>299</v>
      </c>
      <c r="C940" s="61" t="s">
        <v>300</v>
      </c>
      <c r="D940" s="62">
        <v>46013.649305555555</v>
      </c>
      <c r="E940" s="62">
        <v>46013.649305555555</v>
      </c>
      <c r="F940" s="62">
        <v>46013.708333333336</v>
      </c>
      <c r="G940" s="63">
        <f>F940-E940</f>
        <v>5.9027777781011537E-2</v>
      </c>
      <c r="H940" s="61" t="s">
        <v>257</v>
      </c>
      <c r="I940" s="61"/>
      <c r="J940" s="61" t="s">
        <v>258</v>
      </c>
      <c r="K940" s="61" t="s">
        <v>658</v>
      </c>
      <c r="L940" s="61" t="s">
        <v>259</v>
      </c>
      <c r="M940" s="61" t="s">
        <v>260</v>
      </c>
      <c r="N940" s="61" t="s">
        <v>357</v>
      </c>
      <c r="O940" s="61" t="s">
        <v>2199</v>
      </c>
      <c r="P940" s="61" t="str">
        <f t="shared" si="51"/>
        <v>BC Panama1.1ITAPOAN 001 (COM1-001)_001_00146013,649305555646013,649305555646013,7083333333</v>
      </c>
      <c r="Q940" s="61" t="str">
        <f t="shared" si="52"/>
        <v>DAURDE</v>
      </c>
    </row>
    <row r="941" spans="1:17" hidden="1">
      <c r="A941" s="45"/>
      <c r="B941" s="61" t="s">
        <v>299</v>
      </c>
      <c r="C941" s="61" t="s">
        <v>304</v>
      </c>
      <c r="D941" s="62">
        <v>46013.649305555555</v>
      </c>
      <c r="E941" s="62">
        <v>46013.649305555555</v>
      </c>
      <c r="F941" s="62">
        <v>46013.708333333336</v>
      </c>
      <c r="G941" s="63">
        <f>F941-E941</f>
        <v>5.9027777781011537E-2</v>
      </c>
      <c r="H941" s="61" t="s">
        <v>257</v>
      </c>
      <c r="I941" s="61"/>
      <c r="J941" s="61" t="s">
        <v>258</v>
      </c>
      <c r="K941" s="61" t="s">
        <v>658</v>
      </c>
      <c r="L941" s="61" t="s">
        <v>259</v>
      </c>
      <c r="M941" s="61" t="s">
        <v>260</v>
      </c>
      <c r="N941" s="61" t="s">
        <v>357</v>
      </c>
      <c r="O941" s="61" t="s">
        <v>2199</v>
      </c>
      <c r="P941" s="61" t="str">
        <f t="shared" si="51"/>
        <v>BC Panama1.1ITAPOAN_00346013,649305555646013,649305555646013,7083333333</v>
      </c>
      <c r="Q941" s="61" t="str">
        <f t="shared" si="52"/>
        <v>DAURDE</v>
      </c>
    </row>
    <row r="942" spans="1:17" hidden="1">
      <c r="A942" s="45"/>
      <c r="B942" s="61" t="s">
        <v>343</v>
      </c>
      <c r="C942" s="61" t="s">
        <v>345</v>
      </c>
      <c r="D942" s="62">
        <v>46013.649305555555</v>
      </c>
      <c r="E942" s="62">
        <v>46013.649305555555</v>
      </c>
      <c r="F942" s="62">
        <v>46013.708333333336</v>
      </c>
      <c r="G942" s="63">
        <f>F942-E942</f>
        <v>5.9027777781011537E-2</v>
      </c>
      <c r="H942" s="61" t="s">
        <v>257</v>
      </c>
      <c r="I942" s="61"/>
      <c r="J942" s="61" t="s">
        <v>258</v>
      </c>
      <c r="K942" s="61" t="s">
        <v>658</v>
      </c>
      <c r="L942" s="61" t="s">
        <v>259</v>
      </c>
      <c r="M942" s="61" t="s">
        <v>260</v>
      </c>
      <c r="N942" s="61" t="s">
        <v>357</v>
      </c>
      <c r="O942" s="61" t="s">
        <v>2199</v>
      </c>
      <c r="P942" s="61" t="str">
        <f t="shared" si="51"/>
        <v>BC Panama1.2COOGED_00546013,649305555646013,649305555646013,7083333333</v>
      </c>
      <c r="Q942" s="61" t="str">
        <f t="shared" si="52"/>
        <v>DAURDE</v>
      </c>
    </row>
    <row r="943" spans="1:17" hidden="1">
      <c r="A943" s="45"/>
      <c r="B943" s="61" t="s">
        <v>343</v>
      </c>
      <c r="C943" s="61" t="s">
        <v>346</v>
      </c>
      <c r="D943" s="62">
        <v>46013.649305555555</v>
      </c>
      <c r="E943" s="62">
        <v>46013.649305555555</v>
      </c>
      <c r="F943" s="62">
        <v>46013.708333333336</v>
      </c>
      <c r="G943" s="63">
        <f>F943-E943</f>
        <v>5.9027777781011537E-2</v>
      </c>
      <c r="H943" s="61" t="s">
        <v>257</v>
      </c>
      <c r="I943" s="61"/>
      <c r="J943" s="61" t="s">
        <v>258</v>
      </c>
      <c r="K943" s="61" t="s">
        <v>658</v>
      </c>
      <c r="L943" s="61" t="s">
        <v>259</v>
      </c>
      <c r="M943" s="61" t="s">
        <v>260</v>
      </c>
      <c r="N943" s="61" t="s">
        <v>357</v>
      </c>
      <c r="O943" s="61" t="s">
        <v>2199</v>
      </c>
      <c r="P943" s="61" t="str">
        <f t="shared" si="51"/>
        <v>BC Panama1.2ART_00646013,649305555646013,649305555646013,7083333333</v>
      </c>
      <c r="Q943" s="61" t="str">
        <f t="shared" si="52"/>
        <v>DAURDE</v>
      </c>
    </row>
    <row r="944" spans="1:17" hidden="1">
      <c r="A944" s="45"/>
      <c r="B944" s="61" t="s">
        <v>343</v>
      </c>
      <c r="C944" s="61" t="s">
        <v>344</v>
      </c>
      <c r="D944" s="62">
        <v>46013.649305555555</v>
      </c>
      <c r="E944" s="62">
        <v>46013.649305555555</v>
      </c>
      <c r="F944" s="62">
        <v>46013.708333333336</v>
      </c>
      <c r="G944" s="63">
        <f>F944-E944</f>
        <v>5.9027777781011537E-2</v>
      </c>
      <c r="H944" s="61" t="s">
        <v>257</v>
      </c>
      <c r="I944" s="61"/>
      <c r="J944" s="61" t="s">
        <v>258</v>
      </c>
      <c r="K944" s="61" t="s">
        <v>658</v>
      </c>
      <c r="L944" s="61" t="s">
        <v>259</v>
      </c>
      <c r="M944" s="61" t="s">
        <v>260</v>
      </c>
      <c r="N944" s="61" t="s">
        <v>357</v>
      </c>
      <c r="O944" s="61" t="s">
        <v>2199</v>
      </c>
      <c r="P944" s="61" t="str">
        <f t="shared" si="51"/>
        <v>BC Panama1.2ART_00446013,649305555646013,649305555646013,7083333333</v>
      </c>
      <c r="Q944" s="61" t="str">
        <f t="shared" si="52"/>
        <v>DAURDE</v>
      </c>
    </row>
    <row r="945" spans="1:17" hidden="1">
      <c r="A945" s="45"/>
      <c r="B945" s="61" t="s">
        <v>343</v>
      </c>
      <c r="C945" s="61" t="s">
        <v>347</v>
      </c>
      <c r="D945" s="62">
        <v>46013.649305555555</v>
      </c>
      <c r="E945" s="62">
        <v>46013.649305555555</v>
      </c>
      <c r="F945" s="62">
        <v>46013.708333333336</v>
      </c>
      <c r="G945" s="63">
        <f>F945-E945</f>
        <v>5.9027777781011537E-2</v>
      </c>
      <c r="H945" s="61" t="s">
        <v>257</v>
      </c>
      <c r="I945" s="61"/>
      <c r="J945" s="61" t="s">
        <v>258</v>
      </c>
      <c r="K945" s="61" t="s">
        <v>658</v>
      </c>
      <c r="L945" s="61" t="s">
        <v>259</v>
      </c>
      <c r="M945" s="61" t="s">
        <v>260</v>
      </c>
      <c r="N945" s="61" t="s">
        <v>357</v>
      </c>
      <c r="O945" s="61" t="s">
        <v>2199</v>
      </c>
      <c r="P945" s="61" t="str">
        <f t="shared" si="51"/>
        <v>BC Panama1.2RADIO_00746013,649305555646013,649305555646013,7083333333</v>
      </c>
      <c r="Q945" s="61" t="str">
        <f t="shared" si="52"/>
        <v>DAURDE</v>
      </c>
    </row>
    <row r="946" spans="1:17">
      <c r="B946" s="1" t="s">
        <v>698</v>
      </c>
      <c r="C946" s="1" t="s">
        <v>263</v>
      </c>
      <c r="D946" s="52">
        <v>46363.565972222219</v>
      </c>
      <c r="E946" s="52">
        <v>46363.565972222219</v>
      </c>
      <c r="F946" s="52">
        <v>46363.625</v>
      </c>
      <c r="G946" s="53">
        <f t="shared" si="50"/>
        <v>5.9027777781011537E-2</v>
      </c>
      <c r="H946" s="1" t="s">
        <v>268</v>
      </c>
      <c r="I946" s="1" t="s">
        <v>269</v>
      </c>
      <c r="J946" s="1" t="s">
        <v>319</v>
      </c>
      <c r="K946" s="1" t="str">
        <f>_xlfn.XLOOKUP(J946,REF!$D$2:$D$12,REF!$E$2:$E$12)</f>
        <v>Comunicação</v>
      </c>
      <c r="L946" s="1" t="s">
        <v>1964</v>
      </c>
      <c r="M946" s="1" t="s">
        <v>272</v>
      </c>
      <c r="N946" s="1" t="s">
        <v>253</v>
      </c>
      <c r="O946" s="1" t="s">
        <v>2177</v>
      </c>
      <c r="P946" s="1" t="str">
        <f t="shared" si="51"/>
        <v>BC Turvania1.1Inverter(MBUS-14)46363,565972222246363,565972222246363,625</v>
      </c>
      <c r="Q946" s="1" t="str">
        <f t="shared" si="52"/>
        <v>LIGRFOCOM</v>
      </c>
    </row>
    <row r="947" spans="1:17">
      <c r="B947" s="1" t="s">
        <v>698</v>
      </c>
      <c r="C947" s="1" t="s">
        <v>307</v>
      </c>
      <c r="D947" s="52">
        <v>46363.565972222219</v>
      </c>
      <c r="E947" s="52">
        <v>46363.565972222219</v>
      </c>
      <c r="F947" s="52">
        <v>46363.625</v>
      </c>
      <c r="G947" s="53">
        <f t="shared" si="50"/>
        <v>5.9027777781011537E-2</v>
      </c>
      <c r="H947" s="1" t="s">
        <v>268</v>
      </c>
      <c r="I947" s="1" t="s">
        <v>269</v>
      </c>
      <c r="J947" s="1" t="s">
        <v>319</v>
      </c>
      <c r="K947" s="1" t="str">
        <f>_xlfn.XLOOKUP(J947,REF!$D$2:$D$12,REF!$E$2:$E$12)</f>
        <v>Comunicação</v>
      </c>
      <c r="L947" s="1" t="s">
        <v>1964</v>
      </c>
      <c r="M947" s="1" t="s">
        <v>272</v>
      </c>
      <c r="N947" s="1" t="s">
        <v>253</v>
      </c>
      <c r="O947" s="1" t="s">
        <v>2177</v>
      </c>
      <c r="P947" s="1" t="str">
        <f t="shared" si="51"/>
        <v>BC Turvania1.1Inverter(MBUS-15)46363,565972222246363,565972222246363,625</v>
      </c>
      <c r="Q947" s="1" t="str">
        <f t="shared" si="52"/>
        <v>LIGRFOCOM</v>
      </c>
    </row>
    <row r="948" spans="1:17">
      <c r="B948" s="1" t="s">
        <v>698</v>
      </c>
      <c r="C948" s="1" t="s">
        <v>256</v>
      </c>
      <c r="D948" s="52">
        <v>46363.565972222219</v>
      </c>
      <c r="E948" s="52">
        <v>46363.565972222219</v>
      </c>
      <c r="F948" s="52">
        <v>46363.625</v>
      </c>
      <c r="G948" s="53">
        <f t="shared" si="50"/>
        <v>5.9027777781011537E-2</v>
      </c>
      <c r="H948" s="1" t="s">
        <v>268</v>
      </c>
      <c r="I948" s="1" t="s">
        <v>269</v>
      </c>
      <c r="J948" s="1" t="s">
        <v>319</v>
      </c>
      <c r="K948" s="1" t="str">
        <f>_xlfn.XLOOKUP(J948,REF!$D$2:$D$12,REF!$E$2:$E$12)</f>
        <v>Comunicação</v>
      </c>
      <c r="L948" s="1" t="s">
        <v>1964</v>
      </c>
      <c r="M948" s="1" t="s">
        <v>272</v>
      </c>
      <c r="N948" s="1" t="s">
        <v>253</v>
      </c>
      <c r="O948" s="1" t="s">
        <v>2177</v>
      </c>
      <c r="P948" s="1" t="str">
        <f t="shared" si="51"/>
        <v>BC Turvania1.1Inverter(MBUS-12)46363,565972222246363,565972222246363,625</v>
      </c>
      <c r="Q948" s="1" t="str">
        <f t="shared" si="52"/>
        <v>LIGRFOCOM</v>
      </c>
    </row>
    <row r="949" spans="1:17">
      <c r="B949" s="1" t="s">
        <v>698</v>
      </c>
      <c r="C949" s="1" t="s">
        <v>264</v>
      </c>
      <c r="D949" s="52">
        <v>46363.565972222219</v>
      </c>
      <c r="E949" s="52">
        <v>46363.565972222219</v>
      </c>
      <c r="F949" s="52">
        <v>46363.625</v>
      </c>
      <c r="G949" s="53">
        <f t="shared" si="50"/>
        <v>5.9027777781011537E-2</v>
      </c>
      <c r="H949" s="1" t="s">
        <v>268</v>
      </c>
      <c r="I949" s="1" t="s">
        <v>269</v>
      </c>
      <c r="J949" s="1" t="s">
        <v>319</v>
      </c>
      <c r="K949" s="1" t="str">
        <f>_xlfn.XLOOKUP(J949,REF!$D$2:$D$12,REF!$E$2:$E$12)</f>
        <v>Comunicação</v>
      </c>
      <c r="L949" s="1" t="s">
        <v>1964</v>
      </c>
      <c r="M949" s="1" t="s">
        <v>272</v>
      </c>
      <c r="N949" s="1" t="s">
        <v>253</v>
      </c>
      <c r="O949" s="1" t="s">
        <v>2177</v>
      </c>
      <c r="P949" s="1" t="str">
        <f t="shared" si="51"/>
        <v>BC Turvania1.1Inverter(MBUS-13)46363,565972222246363,565972222246363,625</v>
      </c>
      <c r="Q949" s="1" t="str">
        <f t="shared" si="52"/>
        <v>LIGRFOCOM</v>
      </c>
    </row>
    <row r="950" spans="1:17">
      <c r="B950" s="1" t="s">
        <v>700</v>
      </c>
      <c r="C950" s="1" t="s">
        <v>263</v>
      </c>
      <c r="D950" s="52">
        <v>46363.565972222219</v>
      </c>
      <c r="E950" s="52">
        <v>46363.565972222219</v>
      </c>
      <c r="F950" s="52">
        <v>46363.625</v>
      </c>
      <c r="G950" s="53">
        <f t="shared" si="50"/>
        <v>5.9027777781011537E-2</v>
      </c>
      <c r="H950" s="1" t="s">
        <v>268</v>
      </c>
      <c r="I950" s="1" t="s">
        <v>269</v>
      </c>
      <c r="J950" s="1" t="s">
        <v>319</v>
      </c>
      <c r="K950" s="1" t="str">
        <f>_xlfn.XLOOKUP(J950,REF!$D$2:$D$12,REF!$E$2:$E$12)</f>
        <v>Comunicação</v>
      </c>
      <c r="L950" s="1" t="s">
        <v>1964</v>
      </c>
      <c r="M950" s="1" t="s">
        <v>272</v>
      </c>
      <c r="N950" s="1" t="s">
        <v>253</v>
      </c>
      <c r="O950" s="1" t="s">
        <v>2177</v>
      </c>
      <c r="P950" s="1" t="str">
        <f t="shared" si="51"/>
        <v>BC Turvania1.2Inverter(MBUS-14)46363,565972222246363,565972222246363,625</v>
      </c>
      <c r="Q950" s="1" t="str">
        <f t="shared" si="52"/>
        <v>LIGRFOCOM</v>
      </c>
    </row>
    <row r="951" spans="1:17">
      <c r="B951" s="1" t="s">
        <v>700</v>
      </c>
      <c r="C951" s="1" t="s">
        <v>264</v>
      </c>
      <c r="D951" s="52">
        <v>46363.565972222219</v>
      </c>
      <c r="E951" s="52">
        <v>46363.565972222219</v>
      </c>
      <c r="F951" s="52">
        <v>46363.625</v>
      </c>
      <c r="G951" s="53">
        <f t="shared" si="50"/>
        <v>5.9027777781011537E-2</v>
      </c>
      <c r="H951" s="1" t="s">
        <v>268</v>
      </c>
      <c r="I951" s="1" t="s">
        <v>269</v>
      </c>
      <c r="J951" s="1" t="s">
        <v>319</v>
      </c>
      <c r="K951" s="1" t="str">
        <f>_xlfn.XLOOKUP(J951,REF!$D$2:$D$12,REF!$E$2:$E$12)</f>
        <v>Comunicação</v>
      </c>
      <c r="L951" s="1" t="s">
        <v>1964</v>
      </c>
      <c r="M951" s="1" t="s">
        <v>272</v>
      </c>
      <c r="N951" s="1" t="s">
        <v>253</v>
      </c>
      <c r="O951" s="1" t="s">
        <v>2177</v>
      </c>
      <c r="P951" s="1" t="str">
        <f t="shared" si="51"/>
        <v>BC Turvania1.2Inverter(MBUS-13)46363,565972222246363,565972222246363,625</v>
      </c>
      <c r="Q951" s="1" t="str">
        <f t="shared" si="52"/>
        <v>LIGRFOCOM</v>
      </c>
    </row>
    <row r="952" spans="1:17">
      <c r="B952" s="1" t="s">
        <v>700</v>
      </c>
      <c r="C952" s="1" t="s">
        <v>256</v>
      </c>
      <c r="D952" s="52">
        <v>46363.565972222219</v>
      </c>
      <c r="E952" s="52">
        <v>46363.565972222219</v>
      </c>
      <c r="F952" s="52">
        <v>46363.625</v>
      </c>
      <c r="G952" s="53">
        <f t="shared" ref="G952:G995" si="53">F952-E952</f>
        <v>5.9027777781011537E-2</v>
      </c>
      <c r="H952" s="1" t="s">
        <v>268</v>
      </c>
      <c r="I952" s="1" t="s">
        <v>269</v>
      </c>
      <c r="J952" s="1" t="s">
        <v>319</v>
      </c>
      <c r="K952" s="1" t="str">
        <f>_xlfn.XLOOKUP(J952,REF!$D$2:$D$12,REF!$E$2:$E$12)</f>
        <v>Comunicação</v>
      </c>
      <c r="L952" s="1" t="s">
        <v>1964</v>
      </c>
      <c r="M952" s="1" t="s">
        <v>272</v>
      </c>
      <c r="N952" s="1" t="s">
        <v>253</v>
      </c>
      <c r="O952" s="1" t="s">
        <v>2177</v>
      </c>
      <c r="P952" s="1" t="str">
        <f t="shared" si="51"/>
        <v>BC Turvania1.2Inverter(MBUS-12)46363,565972222246363,565972222246363,625</v>
      </c>
      <c r="Q952" s="1" t="str">
        <f t="shared" si="52"/>
        <v>LIGRFOCOM</v>
      </c>
    </row>
    <row r="953" spans="1:17">
      <c r="B953" s="1" t="s">
        <v>700</v>
      </c>
      <c r="C953" s="1" t="s">
        <v>307</v>
      </c>
      <c r="D953" s="52">
        <v>46363.565972222219</v>
      </c>
      <c r="E953" s="52">
        <v>46363.565972222219</v>
      </c>
      <c r="F953" s="52">
        <v>46363.625</v>
      </c>
      <c r="G953" s="53">
        <f t="shared" si="53"/>
        <v>5.9027777781011537E-2</v>
      </c>
      <c r="H953" s="1" t="s">
        <v>268</v>
      </c>
      <c r="I953" s="1" t="s">
        <v>269</v>
      </c>
      <c r="J953" s="1" t="s">
        <v>319</v>
      </c>
      <c r="K953" s="1" t="str">
        <f>_xlfn.XLOOKUP(J953,REF!$D$2:$D$12,REF!$E$2:$E$12)</f>
        <v>Comunicação</v>
      </c>
      <c r="L953" s="1" t="s">
        <v>1964</v>
      </c>
      <c r="M953" s="1" t="s">
        <v>272</v>
      </c>
      <c r="N953" s="1" t="s">
        <v>253</v>
      </c>
      <c r="O953" s="1" t="s">
        <v>2177</v>
      </c>
      <c r="P953" s="1" t="str">
        <f t="shared" si="51"/>
        <v>BC Turvania1.2Inverter(MBUS-15)46363,565972222246363,565972222246363,625</v>
      </c>
      <c r="Q953" s="1" t="str">
        <f t="shared" si="52"/>
        <v>LIGRFOCOM</v>
      </c>
    </row>
    <row r="954" spans="1:17">
      <c r="B954" s="1" t="s">
        <v>314</v>
      </c>
      <c r="C954" s="1" t="s">
        <v>264</v>
      </c>
      <c r="D954" s="52">
        <v>46363.565972222219</v>
      </c>
      <c r="E954" s="52">
        <v>46363.565972222219</v>
      </c>
      <c r="F954" s="52">
        <v>46363.625</v>
      </c>
      <c r="G954" s="53">
        <f t="shared" si="53"/>
        <v>5.9027777781011537E-2</v>
      </c>
      <c r="H954" s="1" t="s">
        <v>268</v>
      </c>
      <c r="I954" s="1" t="s">
        <v>269</v>
      </c>
      <c r="J954" s="1" t="s">
        <v>319</v>
      </c>
      <c r="K954" s="1" t="str">
        <f>_xlfn.XLOOKUP(J954,REF!$D$2:$D$12,REF!$E$2:$E$12)</f>
        <v>Comunicação</v>
      </c>
      <c r="L954" s="1" t="s">
        <v>1964</v>
      </c>
      <c r="M954" s="1" t="s">
        <v>272</v>
      </c>
      <c r="N954" s="1" t="s">
        <v>253</v>
      </c>
      <c r="O954" s="1" t="s">
        <v>2177</v>
      </c>
      <c r="P954" s="1" t="str">
        <f t="shared" si="51"/>
        <v>BC Turvania1.3Inverter(MBUS-13)46363,565972222246363,565972222246363,625</v>
      </c>
      <c r="Q954" s="1" t="str">
        <f t="shared" si="52"/>
        <v>LIGRFOCOM</v>
      </c>
    </row>
    <row r="955" spans="1:17">
      <c r="B955" s="1" t="s">
        <v>314</v>
      </c>
      <c r="C955" s="1" t="s">
        <v>263</v>
      </c>
      <c r="D955" s="52">
        <v>46363.565972222219</v>
      </c>
      <c r="E955" s="52">
        <v>46363.565972222219</v>
      </c>
      <c r="F955" s="52">
        <v>46363.625</v>
      </c>
      <c r="G955" s="53">
        <f t="shared" si="53"/>
        <v>5.9027777781011537E-2</v>
      </c>
      <c r="H955" s="1" t="s">
        <v>268</v>
      </c>
      <c r="I955" s="1" t="s">
        <v>269</v>
      </c>
      <c r="J955" s="1" t="s">
        <v>319</v>
      </c>
      <c r="K955" s="1" t="str">
        <f>_xlfn.XLOOKUP(J955,REF!$D$2:$D$12,REF!$E$2:$E$12)</f>
        <v>Comunicação</v>
      </c>
      <c r="L955" s="1" t="s">
        <v>1964</v>
      </c>
      <c r="M955" s="1" t="s">
        <v>272</v>
      </c>
      <c r="N955" s="1" t="s">
        <v>253</v>
      </c>
      <c r="O955" s="1" t="s">
        <v>2177</v>
      </c>
      <c r="P955" s="1" t="str">
        <f t="shared" si="51"/>
        <v>BC Turvania1.3Inverter(MBUS-14)46363,565972222246363,565972222246363,625</v>
      </c>
      <c r="Q955" s="1" t="str">
        <f t="shared" si="52"/>
        <v>LIGRFOCOM</v>
      </c>
    </row>
    <row r="956" spans="1:17">
      <c r="B956" s="1" t="s">
        <v>314</v>
      </c>
      <c r="C956" s="1" t="s">
        <v>307</v>
      </c>
      <c r="D956" s="52">
        <v>46363.565972222219</v>
      </c>
      <c r="E956" s="52">
        <v>46363.565972222219</v>
      </c>
      <c r="F956" s="52">
        <v>46363.625</v>
      </c>
      <c r="G956" s="53">
        <f t="shared" si="53"/>
        <v>5.9027777781011537E-2</v>
      </c>
      <c r="H956" s="1" t="s">
        <v>268</v>
      </c>
      <c r="I956" s="1" t="s">
        <v>269</v>
      </c>
      <c r="J956" s="1" t="s">
        <v>319</v>
      </c>
      <c r="K956" s="1" t="str">
        <f>_xlfn.XLOOKUP(J956,REF!$D$2:$D$12,REF!$E$2:$E$12)</f>
        <v>Comunicação</v>
      </c>
      <c r="L956" s="1" t="s">
        <v>1964</v>
      </c>
      <c r="M956" s="1" t="s">
        <v>272</v>
      </c>
      <c r="N956" s="1" t="s">
        <v>253</v>
      </c>
      <c r="O956" s="1" t="s">
        <v>2177</v>
      </c>
      <c r="P956" s="1" t="str">
        <f t="shared" si="51"/>
        <v>BC Turvania1.3Inverter(MBUS-15)46363,565972222246363,565972222246363,625</v>
      </c>
      <c r="Q956" s="1" t="str">
        <f t="shared" si="52"/>
        <v>LIGRFOCOM</v>
      </c>
    </row>
    <row r="957" spans="1:17">
      <c r="B957" s="1" t="s">
        <v>314</v>
      </c>
      <c r="C957" s="1" t="s">
        <v>247</v>
      </c>
      <c r="D957" s="52">
        <v>46363.565972222219</v>
      </c>
      <c r="E957" s="52">
        <v>46363.565972222219</v>
      </c>
      <c r="F957" s="52">
        <v>46363.625</v>
      </c>
      <c r="G957" s="53">
        <f t="shared" si="53"/>
        <v>5.9027777781011537E-2</v>
      </c>
      <c r="H957" s="1" t="s">
        <v>268</v>
      </c>
      <c r="I957" s="1" t="s">
        <v>269</v>
      </c>
      <c r="J957" s="1" t="s">
        <v>319</v>
      </c>
      <c r="K957" s="1" t="str">
        <f>_xlfn.XLOOKUP(J957,REF!$D$2:$D$12,REF!$E$2:$E$12)</f>
        <v>Comunicação</v>
      </c>
      <c r="L957" s="1" t="s">
        <v>1964</v>
      </c>
      <c r="M957" s="1" t="s">
        <v>272</v>
      </c>
      <c r="N957" s="1" t="s">
        <v>253</v>
      </c>
      <c r="O957" s="1" t="s">
        <v>2177</v>
      </c>
      <c r="P957" s="1" t="str">
        <f t="shared" si="51"/>
        <v>BC Turvania1.3Inverter(MBUS-1)46363,565972222246363,565972222246363,625</v>
      </c>
      <c r="Q957" s="1" t="str">
        <f t="shared" si="52"/>
        <v>LIGRFOCOM</v>
      </c>
    </row>
    <row r="958" spans="1:17">
      <c r="B958" s="1" t="s">
        <v>701</v>
      </c>
      <c r="C958" s="1" t="s">
        <v>263</v>
      </c>
      <c r="D958" s="52">
        <v>46363.565972222219</v>
      </c>
      <c r="E958" s="52">
        <v>46363.565972222219</v>
      </c>
      <c r="F958" s="52">
        <v>46363.625</v>
      </c>
      <c r="G958" s="53">
        <f t="shared" si="53"/>
        <v>5.9027777781011537E-2</v>
      </c>
      <c r="H958" s="1" t="s">
        <v>268</v>
      </c>
      <c r="I958" s="1" t="s">
        <v>269</v>
      </c>
      <c r="J958" s="1" t="s">
        <v>319</v>
      </c>
      <c r="K958" s="1" t="str">
        <f>_xlfn.XLOOKUP(J958,REF!$D$2:$D$12,REF!$E$2:$E$12)</f>
        <v>Comunicação</v>
      </c>
      <c r="L958" s="1" t="s">
        <v>1964</v>
      </c>
      <c r="M958" s="1" t="s">
        <v>272</v>
      </c>
      <c r="N958" s="1" t="s">
        <v>253</v>
      </c>
      <c r="O958" s="1" t="s">
        <v>2177</v>
      </c>
      <c r="P958" s="1" t="str">
        <f t="shared" si="51"/>
        <v>BC Turvania1.4Inverter(MBUS-14)46363,565972222246363,565972222246363,625</v>
      </c>
      <c r="Q958" s="1" t="str">
        <f t="shared" si="52"/>
        <v>LIGRFOCOM</v>
      </c>
    </row>
    <row r="959" spans="1:17">
      <c r="B959" s="1" t="s">
        <v>701</v>
      </c>
      <c r="C959" s="1" t="s">
        <v>307</v>
      </c>
      <c r="D959" s="52">
        <v>46363.565972222219</v>
      </c>
      <c r="E959" s="52">
        <v>46363.565972222219</v>
      </c>
      <c r="F959" s="52">
        <v>46363.625</v>
      </c>
      <c r="G959" s="53">
        <f t="shared" si="53"/>
        <v>5.9027777781011537E-2</v>
      </c>
      <c r="H959" s="1" t="s">
        <v>268</v>
      </c>
      <c r="I959" s="1" t="s">
        <v>269</v>
      </c>
      <c r="J959" s="1" t="s">
        <v>319</v>
      </c>
      <c r="K959" s="1" t="str">
        <f>_xlfn.XLOOKUP(J959,REF!$D$2:$D$12,REF!$E$2:$E$12)</f>
        <v>Comunicação</v>
      </c>
      <c r="L959" s="1" t="s">
        <v>1964</v>
      </c>
      <c r="M959" s="1" t="s">
        <v>272</v>
      </c>
      <c r="N959" s="1" t="s">
        <v>253</v>
      </c>
      <c r="O959" s="1" t="s">
        <v>2177</v>
      </c>
      <c r="P959" s="1" t="str">
        <f t="shared" si="51"/>
        <v>BC Turvania1.4Inverter(MBUS-15)46363,565972222246363,565972222246363,625</v>
      </c>
      <c r="Q959" s="1" t="str">
        <f t="shared" si="52"/>
        <v>LIGRFOCOM</v>
      </c>
    </row>
    <row r="960" spans="1:17">
      <c r="B960" s="1" t="s">
        <v>701</v>
      </c>
      <c r="C960" s="1" t="s">
        <v>264</v>
      </c>
      <c r="D960" s="52">
        <v>46363.565972222219</v>
      </c>
      <c r="E960" s="52">
        <v>46363.565972222219</v>
      </c>
      <c r="F960" s="52">
        <v>46363.625</v>
      </c>
      <c r="G960" s="53">
        <f t="shared" si="53"/>
        <v>5.9027777781011537E-2</v>
      </c>
      <c r="H960" s="1" t="s">
        <v>268</v>
      </c>
      <c r="I960" s="1" t="s">
        <v>269</v>
      </c>
      <c r="J960" s="1" t="s">
        <v>319</v>
      </c>
      <c r="K960" s="1" t="str">
        <f>_xlfn.XLOOKUP(J960,REF!$D$2:$D$12,REF!$E$2:$E$12)</f>
        <v>Comunicação</v>
      </c>
      <c r="L960" s="1" t="s">
        <v>1964</v>
      </c>
      <c r="M960" s="1" t="s">
        <v>272</v>
      </c>
      <c r="N960" s="1" t="s">
        <v>253</v>
      </c>
      <c r="O960" s="1" t="s">
        <v>2177</v>
      </c>
      <c r="P960" s="1" t="str">
        <f t="shared" si="51"/>
        <v>BC Turvania1.4Inverter(MBUS-13)46363,565972222246363,565972222246363,625</v>
      </c>
      <c r="Q960" s="1" t="str">
        <f t="shared" si="52"/>
        <v>LIGRFOCOM</v>
      </c>
    </row>
    <row r="961" spans="1:17">
      <c r="B961" s="1" t="s">
        <v>701</v>
      </c>
      <c r="C961" s="1" t="s">
        <v>256</v>
      </c>
      <c r="D961" s="52">
        <v>46363.565972222219</v>
      </c>
      <c r="E961" s="52">
        <v>46363.565972222219</v>
      </c>
      <c r="F961" s="52">
        <v>46363.625</v>
      </c>
      <c r="G961" s="53">
        <f t="shared" si="53"/>
        <v>5.9027777781011537E-2</v>
      </c>
      <c r="H961" s="1" t="s">
        <v>268</v>
      </c>
      <c r="I961" s="1" t="s">
        <v>269</v>
      </c>
      <c r="J961" s="1" t="s">
        <v>319</v>
      </c>
      <c r="K961" s="1" t="str">
        <f>_xlfn.XLOOKUP(J961,REF!$D$2:$D$12,REF!$E$2:$E$12)</f>
        <v>Comunicação</v>
      </c>
      <c r="L961" s="1" t="s">
        <v>1964</v>
      </c>
      <c r="M961" s="1" t="s">
        <v>272</v>
      </c>
      <c r="N961" s="1" t="s">
        <v>253</v>
      </c>
      <c r="O961" s="1" t="s">
        <v>2177</v>
      </c>
      <c r="P961" s="1" t="str">
        <f t="shared" si="51"/>
        <v>BC Turvania1.4Inverter(MBUS-12)46363,565972222246363,565972222246363,625</v>
      </c>
      <c r="Q961" s="1" t="str">
        <f t="shared" si="52"/>
        <v>LIGRFOCOM</v>
      </c>
    </row>
    <row r="962" spans="1:17">
      <c r="B962" s="1" t="s">
        <v>702</v>
      </c>
      <c r="C962" s="1" t="s">
        <v>264</v>
      </c>
      <c r="D962" s="52">
        <v>46363.565972222219</v>
      </c>
      <c r="E962" s="52">
        <v>46363.565972222219</v>
      </c>
      <c r="F962" s="52">
        <v>46363.625</v>
      </c>
      <c r="G962" s="53">
        <f t="shared" si="53"/>
        <v>5.9027777781011537E-2</v>
      </c>
      <c r="H962" s="1" t="s">
        <v>268</v>
      </c>
      <c r="I962" s="1" t="s">
        <v>269</v>
      </c>
      <c r="J962" s="1" t="s">
        <v>319</v>
      </c>
      <c r="K962" s="1" t="str">
        <f>_xlfn.XLOOKUP(J962,REF!$D$2:$D$12,REF!$E$2:$E$12)</f>
        <v>Comunicação</v>
      </c>
      <c r="L962" s="1" t="s">
        <v>1964</v>
      </c>
      <c r="M962" s="1" t="s">
        <v>272</v>
      </c>
      <c r="N962" s="1" t="s">
        <v>253</v>
      </c>
      <c r="O962" s="1" t="s">
        <v>2177</v>
      </c>
      <c r="P962" s="1" t="str">
        <f t="shared" si="51"/>
        <v>BC Turvania1.5Inverter(MBUS-13)46363,565972222246363,565972222246363,625</v>
      </c>
      <c r="Q962" s="1" t="str">
        <f t="shared" si="52"/>
        <v>LIGRFOCOM</v>
      </c>
    </row>
    <row r="963" spans="1:17">
      <c r="B963" s="1" t="s">
        <v>702</v>
      </c>
      <c r="C963" s="1" t="s">
        <v>256</v>
      </c>
      <c r="D963" s="52">
        <v>46363.565972222219</v>
      </c>
      <c r="E963" s="52">
        <v>46363.565972222219</v>
      </c>
      <c r="F963" s="52">
        <v>46363.625</v>
      </c>
      <c r="G963" s="53">
        <f t="shared" si="53"/>
        <v>5.9027777781011537E-2</v>
      </c>
      <c r="H963" s="1" t="s">
        <v>268</v>
      </c>
      <c r="I963" s="1" t="s">
        <v>269</v>
      </c>
      <c r="J963" s="1" t="s">
        <v>319</v>
      </c>
      <c r="K963" s="1" t="str">
        <f>_xlfn.XLOOKUP(J963,REF!$D$2:$D$12,REF!$E$2:$E$12)</f>
        <v>Comunicação</v>
      </c>
      <c r="L963" s="1" t="s">
        <v>1964</v>
      </c>
      <c r="M963" s="1" t="s">
        <v>272</v>
      </c>
      <c r="N963" s="1" t="s">
        <v>253</v>
      </c>
      <c r="O963" s="1" t="s">
        <v>2177</v>
      </c>
      <c r="P963" s="1" t="str">
        <f t="shared" si="51"/>
        <v>BC Turvania1.5Inverter(MBUS-12)46363,565972222246363,565972222246363,625</v>
      </c>
      <c r="Q963" s="1" t="str">
        <f t="shared" si="52"/>
        <v>LIGRFOCOM</v>
      </c>
    </row>
    <row r="964" spans="1:17">
      <c r="B964" s="1" t="s">
        <v>702</v>
      </c>
      <c r="C964" s="1" t="s">
        <v>263</v>
      </c>
      <c r="D964" s="52">
        <v>46363.565972222219</v>
      </c>
      <c r="E964" s="52">
        <v>46363.565972222219</v>
      </c>
      <c r="F964" s="52">
        <v>46363.625</v>
      </c>
      <c r="G964" s="53">
        <f t="shared" si="53"/>
        <v>5.9027777781011537E-2</v>
      </c>
      <c r="H964" s="1" t="s">
        <v>268</v>
      </c>
      <c r="I964" s="1" t="s">
        <v>269</v>
      </c>
      <c r="J964" s="1" t="s">
        <v>319</v>
      </c>
      <c r="K964" s="1" t="str">
        <f>_xlfn.XLOOKUP(J964,REF!$D$2:$D$12,REF!$E$2:$E$12)</f>
        <v>Comunicação</v>
      </c>
      <c r="L964" s="1" t="s">
        <v>1964</v>
      </c>
      <c r="M964" s="1" t="s">
        <v>272</v>
      </c>
      <c r="N964" s="1" t="s">
        <v>253</v>
      </c>
      <c r="O964" s="1" t="s">
        <v>2177</v>
      </c>
      <c r="P964" s="1" t="str">
        <f t="shared" si="51"/>
        <v>BC Turvania1.5Inverter(MBUS-14)46363,565972222246363,565972222246363,625</v>
      </c>
      <c r="Q964" s="1" t="str">
        <f t="shared" si="52"/>
        <v>LIGRFOCOM</v>
      </c>
    </row>
    <row r="965" spans="1:17">
      <c r="B965" s="1" t="s">
        <v>702</v>
      </c>
      <c r="C965" s="1" t="s">
        <v>247</v>
      </c>
      <c r="D965" s="52">
        <v>46363.565972222219</v>
      </c>
      <c r="E965" s="52">
        <v>46363.565972222219</v>
      </c>
      <c r="F965" s="52">
        <v>46363.625</v>
      </c>
      <c r="G965" s="53">
        <f t="shared" si="53"/>
        <v>5.9027777781011537E-2</v>
      </c>
      <c r="H965" s="1" t="s">
        <v>268</v>
      </c>
      <c r="I965" s="1" t="s">
        <v>269</v>
      </c>
      <c r="J965" s="1" t="s">
        <v>319</v>
      </c>
      <c r="K965" s="1" t="str">
        <f>_xlfn.XLOOKUP(J965,REF!$D$2:$D$12,REF!$E$2:$E$12)</f>
        <v>Comunicação</v>
      </c>
      <c r="L965" s="1" t="s">
        <v>1964</v>
      </c>
      <c r="M965" s="1" t="s">
        <v>272</v>
      </c>
      <c r="N965" s="1" t="s">
        <v>253</v>
      </c>
      <c r="O965" s="1" t="s">
        <v>2177</v>
      </c>
      <c r="P965" s="1" t="str">
        <f t="shared" si="51"/>
        <v>BC Turvania1.5Inverter(MBUS-1)46363,565972222246363,565972222246363,625</v>
      </c>
      <c r="Q965" s="1" t="str">
        <f t="shared" si="52"/>
        <v>LIGRFOCOM</v>
      </c>
    </row>
    <row r="966" spans="1:17" hidden="1">
      <c r="B966" s="1" t="s">
        <v>2134</v>
      </c>
      <c r="C966" s="1" t="s">
        <v>2135</v>
      </c>
      <c r="D966" s="52">
        <v>46366.597222222219</v>
      </c>
      <c r="E966" s="52">
        <v>46366.597222222219</v>
      </c>
      <c r="F966" s="52">
        <v>46366.71875</v>
      </c>
      <c r="G966" s="53">
        <f t="shared" si="53"/>
        <v>0.12152777778101154</v>
      </c>
      <c r="H966" s="1" t="s">
        <v>677</v>
      </c>
      <c r="J966" s="1" t="s">
        <v>230</v>
      </c>
      <c r="K966" s="1" t="str">
        <f>_xlfn.XLOOKUP(J966,REF!$D$2:$D$12,REF!$E$2:$E$12)</f>
        <v>UFV</v>
      </c>
      <c r="L966" s="1" t="s">
        <v>2200</v>
      </c>
      <c r="M966" s="1" t="s">
        <v>663</v>
      </c>
      <c r="N966" s="1" t="s">
        <v>672</v>
      </c>
      <c r="O966" s="1" t="s">
        <v>2201</v>
      </c>
      <c r="P966" s="1" t="str">
        <f t="shared" si="51"/>
        <v>Rio Monte IIISG60KTL(COM1-008)_001_01646366,597222222246366,597222222246366,71875</v>
      </c>
      <c r="Q966" s="1" t="str">
        <f t="shared" si="52"/>
        <v>DPRUFV</v>
      </c>
    </row>
    <row r="967" spans="1:17" hidden="1">
      <c r="B967" s="1" t="s">
        <v>2134</v>
      </c>
      <c r="C967" s="1" t="s">
        <v>2136</v>
      </c>
      <c r="D967" s="52">
        <v>46366.597222222219</v>
      </c>
      <c r="E967" s="52">
        <v>46366.597222222219</v>
      </c>
      <c r="F967" s="52">
        <v>46366.71875</v>
      </c>
      <c r="G967" s="53">
        <f t="shared" si="53"/>
        <v>0.12152777778101154</v>
      </c>
      <c r="H967" s="1" t="s">
        <v>677</v>
      </c>
      <c r="J967" s="1" t="s">
        <v>230</v>
      </c>
      <c r="K967" s="1" t="str">
        <f>_xlfn.XLOOKUP(J967,REF!$D$2:$D$12,REF!$E$2:$E$12)</f>
        <v>UFV</v>
      </c>
      <c r="L967" s="1" t="s">
        <v>2200</v>
      </c>
      <c r="M967" s="1" t="s">
        <v>663</v>
      </c>
      <c r="N967" s="1" t="s">
        <v>672</v>
      </c>
      <c r="O967" s="1" t="s">
        <v>2201</v>
      </c>
      <c r="P967" s="1" t="str">
        <f t="shared" si="51"/>
        <v>Rio Monte IIISG60KTL(COM1-009)_001_01046366,597222222246366,597222222246366,71875</v>
      </c>
      <c r="Q967" s="1" t="str">
        <f t="shared" si="52"/>
        <v>DPRUFV</v>
      </c>
    </row>
    <row r="968" spans="1:17" hidden="1">
      <c r="B968" s="1" t="s">
        <v>2134</v>
      </c>
      <c r="C968" s="1" t="s">
        <v>2137</v>
      </c>
      <c r="D968" s="52">
        <v>46366.597222222219</v>
      </c>
      <c r="E968" s="52">
        <v>46366.597222222219</v>
      </c>
      <c r="F968" s="52">
        <v>46366.71875</v>
      </c>
      <c r="G968" s="53">
        <f t="shared" si="53"/>
        <v>0.12152777778101154</v>
      </c>
      <c r="H968" s="1" t="s">
        <v>677</v>
      </c>
      <c r="J968" s="1" t="s">
        <v>230</v>
      </c>
      <c r="K968" s="1" t="str">
        <f>_xlfn.XLOOKUP(J968,REF!$D$2:$D$12,REF!$E$2:$E$12)</f>
        <v>UFV</v>
      </c>
      <c r="L968" s="1" t="s">
        <v>2200</v>
      </c>
      <c r="M968" s="1" t="s">
        <v>663</v>
      </c>
      <c r="N968" s="1" t="s">
        <v>672</v>
      </c>
      <c r="O968" s="1" t="s">
        <v>2201</v>
      </c>
      <c r="P968" s="1" t="str">
        <f t="shared" si="51"/>
        <v>Rio Monte IIISG60KTL(COM1-010)_001_01246366,597222222246366,597222222246366,71875</v>
      </c>
      <c r="Q968" s="1" t="str">
        <f t="shared" si="52"/>
        <v>DPRUFV</v>
      </c>
    </row>
    <row r="969" spans="1:17" hidden="1">
      <c r="B969" s="1" t="s">
        <v>2134</v>
      </c>
      <c r="C969" s="1" t="s">
        <v>2138</v>
      </c>
      <c r="D969" s="52">
        <v>46366.597222222219</v>
      </c>
      <c r="E969" s="52">
        <v>46366.597222222219</v>
      </c>
      <c r="F969" s="52">
        <v>46366.71875</v>
      </c>
      <c r="G969" s="53">
        <f t="shared" si="53"/>
        <v>0.12152777778101154</v>
      </c>
      <c r="H969" s="1" t="s">
        <v>677</v>
      </c>
      <c r="J969" s="1" t="s">
        <v>230</v>
      </c>
      <c r="K969" s="1" t="str">
        <f>_xlfn.XLOOKUP(J969,REF!$D$2:$D$12,REF!$E$2:$E$12)</f>
        <v>UFV</v>
      </c>
      <c r="L969" s="1" t="s">
        <v>2200</v>
      </c>
      <c r="M969" s="1" t="s">
        <v>663</v>
      </c>
      <c r="N969" s="1" t="s">
        <v>672</v>
      </c>
      <c r="O969" s="1" t="s">
        <v>2201</v>
      </c>
      <c r="P969" s="1" t="str">
        <f t="shared" si="51"/>
        <v>Rio Monte IIISG60KTL(COM1-011)_001_00246366,597222222246366,597222222246366,71875</v>
      </c>
      <c r="Q969" s="1" t="str">
        <f t="shared" si="52"/>
        <v>DPRUFV</v>
      </c>
    </row>
    <row r="970" spans="1:17" hidden="1">
      <c r="B970" s="1" t="s">
        <v>2134</v>
      </c>
      <c r="C970" s="1" t="s">
        <v>2139</v>
      </c>
      <c r="D970" s="52">
        <v>46366.597222222219</v>
      </c>
      <c r="E970" s="52">
        <v>46366.597222222219</v>
      </c>
      <c r="F970" s="52">
        <v>46366.71875</v>
      </c>
      <c r="G970" s="53">
        <f t="shared" si="53"/>
        <v>0.12152777778101154</v>
      </c>
      <c r="H970" s="1" t="s">
        <v>677</v>
      </c>
      <c r="J970" s="1" t="s">
        <v>230</v>
      </c>
      <c r="K970" s="1" t="str">
        <f>_xlfn.XLOOKUP(J970,REF!$D$2:$D$12,REF!$E$2:$E$12)</f>
        <v>UFV</v>
      </c>
      <c r="L970" s="1" t="s">
        <v>2200</v>
      </c>
      <c r="M970" s="1" t="s">
        <v>663</v>
      </c>
      <c r="N970" s="1" t="s">
        <v>672</v>
      </c>
      <c r="O970" s="1" t="s">
        <v>2201</v>
      </c>
      <c r="P970" s="1" t="str">
        <f t="shared" si="51"/>
        <v>Rio Monte IIISG60KTL(COM1-012)_001_01546366,597222222246366,597222222246366,71875</v>
      </c>
      <c r="Q970" s="1" t="str">
        <f t="shared" si="52"/>
        <v>DPRUFV</v>
      </c>
    </row>
    <row r="971" spans="1:17" hidden="1">
      <c r="B971" s="1" t="s">
        <v>2134</v>
      </c>
      <c r="C971" s="1" t="s">
        <v>2140</v>
      </c>
      <c r="D971" s="52">
        <v>46366.597222222219</v>
      </c>
      <c r="E971" s="52">
        <v>46366.597222222219</v>
      </c>
      <c r="F971" s="52">
        <v>46366.71875</v>
      </c>
      <c r="G971" s="53">
        <f t="shared" si="53"/>
        <v>0.12152777778101154</v>
      </c>
      <c r="H971" s="1" t="s">
        <v>677</v>
      </c>
      <c r="J971" s="1" t="s">
        <v>230</v>
      </c>
      <c r="K971" s="1" t="str">
        <f>_xlfn.XLOOKUP(J971,REF!$D$2:$D$12,REF!$E$2:$E$12)</f>
        <v>UFV</v>
      </c>
      <c r="L971" s="1" t="s">
        <v>2200</v>
      </c>
      <c r="M971" s="1" t="s">
        <v>663</v>
      </c>
      <c r="N971" s="1" t="s">
        <v>672</v>
      </c>
      <c r="O971" s="1" t="s">
        <v>2201</v>
      </c>
      <c r="P971" s="1" t="str">
        <f t="shared" si="51"/>
        <v>Rio Monte IIISG60KTL(COM1-013)_001_00346366,597222222246366,597222222246366,71875</v>
      </c>
      <c r="Q971" s="1" t="str">
        <f t="shared" si="52"/>
        <v>DPRUFV</v>
      </c>
    </row>
    <row r="972" spans="1:17" hidden="1">
      <c r="B972" s="1" t="s">
        <v>2134</v>
      </c>
      <c r="C972" s="1" t="s">
        <v>2141</v>
      </c>
      <c r="D972" s="52">
        <v>46366.597222222219</v>
      </c>
      <c r="E972" s="52">
        <v>46366.597222222219</v>
      </c>
      <c r="F972" s="52">
        <v>46366.71875</v>
      </c>
      <c r="G972" s="53">
        <f t="shared" si="53"/>
        <v>0.12152777778101154</v>
      </c>
      <c r="H972" s="1" t="s">
        <v>677</v>
      </c>
      <c r="J972" s="1" t="s">
        <v>230</v>
      </c>
      <c r="K972" s="1" t="str">
        <f>_xlfn.XLOOKUP(J972,REF!$D$2:$D$12,REF!$E$2:$E$12)</f>
        <v>UFV</v>
      </c>
      <c r="L972" s="1" t="s">
        <v>2200</v>
      </c>
      <c r="M972" s="1" t="s">
        <v>663</v>
      </c>
      <c r="N972" s="1" t="s">
        <v>672</v>
      </c>
      <c r="O972" s="1" t="s">
        <v>2201</v>
      </c>
      <c r="P972" s="1" t="str">
        <f t="shared" si="51"/>
        <v>Rio Monte IIISG60KTL(COM1-014)_001_00446366,597222222246366,597222222246366,71875</v>
      </c>
      <c r="Q972" s="1" t="str">
        <f t="shared" si="52"/>
        <v>DPRUFV</v>
      </c>
    </row>
    <row r="973" spans="1:17" hidden="1">
      <c r="B973" s="1" t="s">
        <v>2134</v>
      </c>
      <c r="C973" s="1" t="s">
        <v>2142</v>
      </c>
      <c r="D973" s="52">
        <v>46366.597222222219</v>
      </c>
      <c r="E973" s="52">
        <v>46366.597222222219</v>
      </c>
      <c r="F973" s="52">
        <v>46366.71875</v>
      </c>
      <c r="G973" s="53">
        <f t="shared" si="53"/>
        <v>0.12152777778101154</v>
      </c>
      <c r="H973" s="1" t="s">
        <v>677</v>
      </c>
      <c r="J973" s="1" t="s">
        <v>230</v>
      </c>
      <c r="K973" s="1" t="str">
        <f>_xlfn.XLOOKUP(J973,REF!$D$2:$D$12,REF!$E$2:$E$12)</f>
        <v>UFV</v>
      </c>
      <c r="L973" s="1" t="s">
        <v>2200</v>
      </c>
      <c r="M973" s="1" t="s">
        <v>663</v>
      </c>
      <c r="N973" s="1" t="s">
        <v>672</v>
      </c>
      <c r="O973" s="1" t="s">
        <v>2201</v>
      </c>
      <c r="P973" s="1" t="str">
        <f t="shared" si="51"/>
        <v>Rio Monte IIISG60KTL(COM1-015)_001_01346366,597222222246366,597222222246366,71875</v>
      </c>
      <c r="Q973" s="1" t="str">
        <f t="shared" si="52"/>
        <v>DPRUFV</v>
      </c>
    </row>
    <row r="974" spans="1:17" hidden="1">
      <c r="B974" s="1" t="s">
        <v>2134</v>
      </c>
      <c r="C974" s="1" t="s">
        <v>2143</v>
      </c>
      <c r="D974" s="52">
        <v>46366.597222222219</v>
      </c>
      <c r="E974" s="52">
        <v>46366.597222222219</v>
      </c>
      <c r="F974" s="52">
        <v>46366.71875</v>
      </c>
      <c r="G974" s="53">
        <f t="shared" si="53"/>
        <v>0.12152777778101154</v>
      </c>
      <c r="H974" s="1" t="s">
        <v>677</v>
      </c>
      <c r="J974" s="1" t="s">
        <v>230</v>
      </c>
      <c r="K974" s="1" t="str">
        <f>_xlfn.XLOOKUP(J974,REF!$D$2:$D$12,REF!$E$2:$E$12)</f>
        <v>UFV</v>
      </c>
      <c r="L974" s="1" t="s">
        <v>2200</v>
      </c>
      <c r="M974" s="1" t="s">
        <v>663</v>
      </c>
      <c r="N974" s="1" t="s">
        <v>672</v>
      </c>
      <c r="O974" s="1" t="s">
        <v>2201</v>
      </c>
      <c r="P974" s="1" t="str">
        <f t="shared" si="51"/>
        <v>Rio Monte IIISG60KTL(COM1-016)_001_01446366,597222222246366,597222222246366,71875</v>
      </c>
      <c r="Q974" s="1" t="str">
        <f t="shared" si="52"/>
        <v>DPRUFV</v>
      </c>
    </row>
    <row r="975" spans="1:17" hidden="1">
      <c r="B975" s="1" t="s">
        <v>2134</v>
      </c>
      <c r="C975" s="1" t="s">
        <v>2144</v>
      </c>
      <c r="D975" s="52">
        <v>46366.597222222219</v>
      </c>
      <c r="E975" s="52">
        <v>46366.597222222219</v>
      </c>
      <c r="F975" s="52">
        <v>46366.71875</v>
      </c>
      <c r="G975" s="53">
        <f t="shared" si="53"/>
        <v>0.12152777778101154</v>
      </c>
      <c r="H975" s="1" t="s">
        <v>677</v>
      </c>
      <c r="J975" s="1" t="s">
        <v>230</v>
      </c>
      <c r="K975" s="1" t="str">
        <f>_xlfn.XLOOKUP(J975,REF!$D$2:$D$12,REF!$E$2:$E$12)</f>
        <v>UFV</v>
      </c>
      <c r="L975" s="1" t="s">
        <v>2200</v>
      </c>
      <c r="M975" s="1" t="s">
        <v>663</v>
      </c>
      <c r="N975" s="1" t="s">
        <v>672</v>
      </c>
      <c r="O975" s="1" t="s">
        <v>2201</v>
      </c>
      <c r="P975" s="1" t="str">
        <f t="shared" si="51"/>
        <v>Rio Monte IIISG60KTL(COM1-017)_001_00846366,597222222246366,597222222246366,71875</v>
      </c>
      <c r="Q975" s="1" t="str">
        <f t="shared" si="52"/>
        <v>DPRUFV</v>
      </c>
    </row>
    <row r="976" spans="1:17" hidden="1">
      <c r="A976" s="45"/>
      <c r="B976" s="61" t="s">
        <v>385</v>
      </c>
      <c r="C976" s="61" t="s">
        <v>386</v>
      </c>
      <c r="D976" s="62">
        <v>46014.652777777781</v>
      </c>
      <c r="E976" s="62">
        <v>46014.652777777781</v>
      </c>
      <c r="F976" s="62">
        <v>46014.694444444445</v>
      </c>
      <c r="G976" s="63">
        <f>F976-E976</f>
        <v>4.1666666664241347E-2</v>
      </c>
      <c r="H976" s="61" t="s">
        <v>257</v>
      </c>
      <c r="I976" s="61"/>
      <c r="J976" s="61" t="s">
        <v>371</v>
      </c>
      <c r="K976" s="61" t="s">
        <v>653</v>
      </c>
      <c r="L976" s="61" t="s">
        <v>2202</v>
      </c>
      <c r="M976" s="61" t="s">
        <v>252</v>
      </c>
      <c r="N976" s="61" t="s">
        <v>253</v>
      </c>
      <c r="O976" s="61" t="s">
        <v>2203</v>
      </c>
      <c r="P976" s="61" t="str">
        <f t="shared" si="51"/>
        <v>BC Vazante1.3Inversor 146014,652777777846014,652777777846014,6944444444</v>
      </c>
      <c r="Q976" s="61" t="str">
        <f t="shared" si="52"/>
        <v>DAUINV</v>
      </c>
    </row>
    <row r="977" spans="1:17" hidden="1">
      <c r="A977" s="45"/>
      <c r="B977" s="61" t="s">
        <v>385</v>
      </c>
      <c r="C977" s="61" t="s">
        <v>777</v>
      </c>
      <c r="D977" s="62">
        <v>46014.652777777781</v>
      </c>
      <c r="E977" s="62">
        <v>46014.652777777781</v>
      </c>
      <c r="F977" s="62">
        <v>46014.694444444445</v>
      </c>
      <c r="G977" s="63">
        <f>F977-E977</f>
        <v>4.1666666664241347E-2</v>
      </c>
      <c r="H977" s="61" t="s">
        <v>257</v>
      </c>
      <c r="I977" s="61"/>
      <c r="J977" s="61" t="s">
        <v>371</v>
      </c>
      <c r="K977" s="61" t="s">
        <v>653</v>
      </c>
      <c r="L977" s="61" t="s">
        <v>2202</v>
      </c>
      <c r="M977" s="61" t="s">
        <v>252</v>
      </c>
      <c r="N977" s="61" t="s">
        <v>253</v>
      </c>
      <c r="O977" s="61" t="s">
        <v>2203</v>
      </c>
      <c r="P977" s="61" t="str">
        <f t="shared" si="51"/>
        <v>BC Vazante1.3Inversor 246014,652777777846014,652777777846014,6944444444</v>
      </c>
      <c r="Q977" s="61" t="str">
        <f t="shared" si="52"/>
        <v>DAUINV</v>
      </c>
    </row>
    <row r="978" spans="1:17" hidden="1">
      <c r="A978" s="45"/>
      <c r="B978" s="61" t="s">
        <v>385</v>
      </c>
      <c r="C978" s="61" t="s">
        <v>778</v>
      </c>
      <c r="D978" s="62">
        <v>46014.652777777781</v>
      </c>
      <c r="E978" s="62">
        <v>46014.652777777781</v>
      </c>
      <c r="F978" s="62">
        <v>46014.694444444445</v>
      </c>
      <c r="G978" s="63">
        <f>F978-E978</f>
        <v>4.1666666664241347E-2</v>
      </c>
      <c r="H978" s="61" t="s">
        <v>257</v>
      </c>
      <c r="I978" s="61"/>
      <c r="J978" s="61" t="s">
        <v>371</v>
      </c>
      <c r="K978" s="61" t="s">
        <v>653</v>
      </c>
      <c r="L978" s="61" t="s">
        <v>2202</v>
      </c>
      <c r="M978" s="61" t="s">
        <v>252</v>
      </c>
      <c r="N978" s="61" t="s">
        <v>253</v>
      </c>
      <c r="O978" s="61" t="s">
        <v>2203</v>
      </c>
      <c r="P978" s="61" t="str">
        <f t="shared" si="51"/>
        <v>BC Vazante1.3Inversor 346014,652777777846014,652777777846014,6944444444</v>
      </c>
      <c r="Q978" s="61" t="str">
        <f t="shared" si="52"/>
        <v>DAUINV</v>
      </c>
    </row>
    <row r="979" spans="1:17" hidden="1">
      <c r="A979" s="45"/>
      <c r="B979" s="61" t="s">
        <v>385</v>
      </c>
      <c r="C979" s="61" t="s">
        <v>779</v>
      </c>
      <c r="D979" s="62">
        <v>46014.652777777781</v>
      </c>
      <c r="E979" s="62">
        <v>46014.652777777781</v>
      </c>
      <c r="F979" s="62">
        <v>46014.694444444445</v>
      </c>
      <c r="G979" s="63">
        <f>F979-E979</f>
        <v>4.1666666664241347E-2</v>
      </c>
      <c r="H979" s="61" t="s">
        <v>257</v>
      </c>
      <c r="I979" s="61"/>
      <c r="J979" s="61" t="s">
        <v>371</v>
      </c>
      <c r="K979" s="61" t="s">
        <v>653</v>
      </c>
      <c r="L979" s="61" t="s">
        <v>2202</v>
      </c>
      <c r="M979" s="61" t="s">
        <v>252</v>
      </c>
      <c r="N979" s="61" t="s">
        <v>253</v>
      </c>
      <c r="O979" s="61" t="s">
        <v>2203</v>
      </c>
      <c r="P979" s="61" t="str">
        <f t="shared" si="51"/>
        <v>BC Vazante1.3Inversor 446014,652777777846014,652777777846014,6944444444</v>
      </c>
      <c r="Q979" s="61" t="str">
        <f t="shared" si="52"/>
        <v>DAUINV</v>
      </c>
    </row>
    <row r="980" spans="1:17" hidden="1">
      <c r="A980" s="45"/>
      <c r="B980" s="61" t="s">
        <v>385</v>
      </c>
      <c r="C980" s="61" t="s">
        <v>780</v>
      </c>
      <c r="D980" s="62">
        <v>46014.652777777781</v>
      </c>
      <c r="E980" s="62">
        <v>46014.652777777781</v>
      </c>
      <c r="F980" s="62">
        <v>46014.694444444445</v>
      </c>
      <c r="G980" s="63">
        <f>F980-E980</f>
        <v>4.1666666664241347E-2</v>
      </c>
      <c r="H980" s="61" t="s">
        <v>257</v>
      </c>
      <c r="I980" s="61"/>
      <c r="J980" s="61" t="s">
        <v>371</v>
      </c>
      <c r="K980" s="61" t="s">
        <v>653</v>
      </c>
      <c r="L980" s="61" t="s">
        <v>2202</v>
      </c>
      <c r="M980" s="61" t="s">
        <v>252</v>
      </c>
      <c r="N980" s="61" t="s">
        <v>253</v>
      </c>
      <c r="O980" s="61" t="s">
        <v>2203</v>
      </c>
      <c r="P980" s="61" t="str">
        <f t="shared" si="51"/>
        <v>BC Vazante1.3Inversor 546014,652777777846014,652777777846014,6944444444</v>
      </c>
      <c r="Q980" s="61" t="str">
        <f t="shared" si="52"/>
        <v>DAUINV</v>
      </c>
    </row>
    <row r="981" spans="1:17" hidden="1">
      <c r="A981" s="45"/>
      <c r="B981" s="61" t="s">
        <v>385</v>
      </c>
      <c r="C981" s="61" t="s">
        <v>781</v>
      </c>
      <c r="D981" s="62">
        <v>46014.652777777781</v>
      </c>
      <c r="E981" s="62">
        <v>46014.652777777781</v>
      </c>
      <c r="F981" s="62">
        <v>46014.694444444445</v>
      </c>
      <c r="G981" s="63">
        <f>F981-E981</f>
        <v>4.1666666664241347E-2</v>
      </c>
      <c r="H981" s="61" t="s">
        <v>257</v>
      </c>
      <c r="I981" s="61"/>
      <c r="J981" s="61" t="s">
        <v>371</v>
      </c>
      <c r="K981" s="61" t="s">
        <v>653</v>
      </c>
      <c r="L981" s="61" t="s">
        <v>2202</v>
      </c>
      <c r="M981" s="61" t="s">
        <v>252</v>
      </c>
      <c r="N981" s="61" t="s">
        <v>253</v>
      </c>
      <c r="O981" s="61" t="s">
        <v>2203</v>
      </c>
      <c r="P981" s="61" t="str">
        <f t="shared" si="51"/>
        <v>BC Vazante1.3Inversor 646014,652777777846014,652777777846014,6944444444</v>
      </c>
      <c r="Q981" s="61" t="str">
        <f t="shared" si="52"/>
        <v>DAUINV</v>
      </c>
    </row>
    <row r="982" spans="1:17" hidden="1">
      <c r="A982" s="45"/>
      <c r="B982" s="61" t="s">
        <v>385</v>
      </c>
      <c r="C982" s="61" t="s">
        <v>782</v>
      </c>
      <c r="D982" s="62">
        <v>46014.652777777781</v>
      </c>
      <c r="E982" s="62">
        <v>46014.652777777781</v>
      </c>
      <c r="F982" s="62">
        <v>46014.694444444445</v>
      </c>
      <c r="G982" s="63">
        <f>F982-E982</f>
        <v>4.1666666664241347E-2</v>
      </c>
      <c r="H982" s="61" t="s">
        <v>257</v>
      </c>
      <c r="I982" s="61"/>
      <c r="J982" s="61" t="s">
        <v>371</v>
      </c>
      <c r="K982" s="61" t="s">
        <v>653</v>
      </c>
      <c r="L982" s="61" t="s">
        <v>2202</v>
      </c>
      <c r="M982" s="61" t="s">
        <v>252</v>
      </c>
      <c r="N982" s="61" t="s">
        <v>253</v>
      </c>
      <c r="O982" s="61" t="s">
        <v>2203</v>
      </c>
      <c r="P982" s="61" t="str">
        <f t="shared" si="51"/>
        <v>BC Vazante1.3Inversor 746014,652777777846014,652777777846014,6944444444</v>
      </c>
      <c r="Q982" s="61" t="str">
        <f t="shared" si="52"/>
        <v>DAUINV</v>
      </c>
    </row>
    <row r="983" spans="1:17" hidden="1">
      <c r="A983" s="45"/>
      <c r="B983" s="61" t="s">
        <v>385</v>
      </c>
      <c r="C983" s="61" t="s">
        <v>783</v>
      </c>
      <c r="D983" s="62">
        <v>46014.652777777781</v>
      </c>
      <c r="E983" s="62">
        <v>46014.652777777781</v>
      </c>
      <c r="F983" s="62">
        <v>46014.694444444445</v>
      </c>
      <c r="G983" s="63">
        <f>F983-E983</f>
        <v>4.1666666664241347E-2</v>
      </c>
      <c r="H983" s="61" t="s">
        <v>257</v>
      </c>
      <c r="I983" s="61"/>
      <c r="J983" s="61" t="s">
        <v>371</v>
      </c>
      <c r="K983" s="61" t="s">
        <v>653</v>
      </c>
      <c r="L983" s="61" t="s">
        <v>2202</v>
      </c>
      <c r="M983" s="61" t="s">
        <v>252</v>
      </c>
      <c r="N983" s="61" t="s">
        <v>253</v>
      </c>
      <c r="O983" s="61" t="s">
        <v>2203</v>
      </c>
      <c r="P983" s="61" t="str">
        <f t="shared" si="51"/>
        <v>BC Vazante1.3Inversor 846014,652777777846014,652777777846014,6944444444</v>
      </c>
      <c r="Q983" s="61" t="str">
        <f t="shared" si="52"/>
        <v>DAUINV</v>
      </c>
    </row>
    <row r="984" spans="1:17" hidden="1">
      <c r="A984" s="45"/>
      <c r="B984" s="61" t="s">
        <v>385</v>
      </c>
      <c r="C984" s="61" t="s">
        <v>784</v>
      </c>
      <c r="D984" s="62">
        <v>46014.652777777781</v>
      </c>
      <c r="E984" s="62">
        <v>46014.652777777781</v>
      </c>
      <c r="F984" s="62">
        <v>46014.694444444445</v>
      </c>
      <c r="G984" s="63">
        <f>F984-E984</f>
        <v>4.1666666664241347E-2</v>
      </c>
      <c r="H984" s="61" t="s">
        <v>257</v>
      </c>
      <c r="I984" s="61"/>
      <c r="J984" s="61" t="s">
        <v>371</v>
      </c>
      <c r="K984" s="61" t="s">
        <v>653</v>
      </c>
      <c r="L984" s="61" t="s">
        <v>2202</v>
      </c>
      <c r="M984" s="61" t="s">
        <v>252</v>
      </c>
      <c r="N984" s="61" t="s">
        <v>253</v>
      </c>
      <c r="O984" s="61" t="s">
        <v>2203</v>
      </c>
      <c r="P984" s="61" t="str">
        <f t="shared" si="51"/>
        <v>BC Vazante1.3Inversor 946014,652777777846014,652777777846014,6944444444</v>
      </c>
      <c r="Q984" s="61" t="str">
        <f t="shared" si="52"/>
        <v>DAUINV</v>
      </c>
    </row>
    <row r="985" spans="1:17" hidden="1">
      <c r="A985" s="45"/>
      <c r="B985" s="61" t="s">
        <v>368</v>
      </c>
      <c r="C985" s="61" t="s">
        <v>256</v>
      </c>
      <c r="D985" s="62">
        <v>46015.542361111111</v>
      </c>
      <c r="E985" s="62">
        <v>46015.542361111111</v>
      </c>
      <c r="F985" s="62">
        <v>46015.680555555555</v>
      </c>
      <c r="G985" s="63">
        <f>F985-E985</f>
        <v>0.13819444444379769</v>
      </c>
      <c r="H985" s="61" t="s">
        <v>257</v>
      </c>
      <c r="I985" s="61"/>
      <c r="J985" s="61" t="s">
        <v>258</v>
      </c>
      <c r="K985" s="61" t="s">
        <v>658</v>
      </c>
      <c r="L985" s="61" t="s">
        <v>2204</v>
      </c>
      <c r="M985" s="61" t="s">
        <v>260</v>
      </c>
      <c r="N985" s="61" t="s">
        <v>357</v>
      </c>
      <c r="O985" s="61" t="s">
        <v>1961</v>
      </c>
      <c r="P985" s="61" t="str">
        <f t="shared" si="51"/>
        <v>BC Ibiuna 1.1Inverter(MBUS-12)46015,542361111146015,542361111146015,6805555556</v>
      </c>
      <c r="Q985" s="61" t="str">
        <f t="shared" si="52"/>
        <v>DAURDE</v>
      </c>
    </row>
    <row r="986" spans="1:17" hidden="1">
      <c r="A986" s="45"/>
      <c r="B986" s="61" t="s">
        <v>368</v>
      </c>
      <c r="C986" s="61" t="s">
        <v>264</v>
      </c>
      <c r="D986" s="62">
        <v>46015.542361111111</v>
      </c>
      <c r="E986" s="62">
        <v>46015.542361111111</v>
      </c>
      <c r="F986" s="62">
        <v>46015.680555555555</v>
      </c>
      <c r="G986" s="63">
        <f>F986-E986</f>
        <v>0.13819444444379769</v>
      </c>
      <c r="H986" s="61" t="s">
        <v>257</v>
      </c>
      <c r="I986" s="61"/>
      <c r="J986" s="61" t="s">
        <v>258</v>
      </c>
      <c r="K986" s="61" t="s">
        <v>658</v>
      </c>
      <c r="L986" s="61" t="s">
        <v>2204</v>
      </c>
      <c r="M986" s="61" t="s">
        <v>260</v>
      </c>
      <c r="N986" s="61" t="s">
        <v>357</v>
      </c>
      <c r="O986" s="61" t="s">
        <v>1961</v>
      </c>
      <c r="P986" s="61" t="str">
        <f t="shared" ref="P986:P1049" si="54">_xlfn.CONCAT(B986,C986,D986,E986,F986)</f>
        <v>BC Ibiuna 1.1Inverter(MBUS-13)46015,542361111146015,542361111146015,6805555556</v>
      </c>
      <c r="Q986" s="61" t="str">
        <f t="shared" ref="Q986:Q1049" si="55">_xlfn.CONCAT(H986,I986,J986)</f>
        <v>DAURDE</v>
      </c>
    </row>
    <row r="987" spans="1:17" hidden="1">
      <c r="A987" s="45"/>
      <c r="B987" s="61" t="s">
        <v>368</v>
      </c>
      <c r="C987" s="61" t="s">
        <v>263</v>
      </c>
      <c r="D987" s="62">
        <v>46015.542361111111</v>
      </c>
      <c r="E987" s="62">
        <v>46015.542361111111</v>
      </c>
      <c r="F987" s="62">
        <v>46015.680555555555</v>
      </c>
      <c r="G987" s="63">
        <f>F987-E987</f>
        <v>0.13819444444379769</v>
      </c>
      <c r="H987" s="61" t="s">
        <v>257</v>
      </c>
      <c r="I987" s="61"/>
      <c r="J987" s="61" t="s">
        <v>258</v>
      </c>
      <c r="K987" s="61" t="s">
        <v>658</v>
      </c>
      <c r="L987" s="61" t="s">
        <v>2204</v>
      </c>
      <c r="M987" s="61" t="s">
        <v>260</v>
      </c>
      <c r="N987" s="61" t="s">
        <v>357</v>
      </c>
      <c r="O987" s="61" t="s">
        <v>1961</v>
      </c>
      <c r="P987" s="61" t="str">
        <f t="shared" si="54"/>
        <v>BC Ibiuna 1.1Inverter(MBUS-14)46015,542361111146015,542361111146015,6805555556</v>
      </c>
      <c r="Q987" s="61" t="str">
        <f t="shared" si="55"/>
        <v>DAURDE</v>
      </c>
    </row>
    <row r="988" spans="1:17" hidden="1">
      <c r="A988" s="45"/>
      <c r="B988" s="61" t="s">
        <v>368</v>
      </c>
      <c r="C988" s="61" t="s">
        <v>307</v>
      </c>
      <c r="D988" s="62">
        <v>46015.542361111111</v>
      </c>
      <c r="E988" s="62">
        <v>46015.542361111111</v>
      </c>
      <c r="F988" s="62">
        <v>46015.680555555555</v>
      </c>
      <c r="G988" s="63">
        <f>F988-E988</f>
        <v>0.13819444444379769</v>
      </c>
      <c r="H988" s="61" t="s">
        <v>257</v>
      </c>
      <c r="I988" s="61"/>
      <c r="J988" s="61" t="s">
        <v>258</v>
      </c>
      <c r="K988" s="61" t="s">
        <v>658</v>
      </c>
      <c r="L988" s="61" t="s">
        <v>2204</v>
      </c>
      <c r="M988" s="61" t="s">
        <v>260</v>
      </c>
      <c r="N988" s="61" t="s">
        <v>357</v>
      </c>
      <c r="O988" s="61" t="s">
        <v>1961</v>
      </c>
      <c r="P988" s="61" t="str">
        <f t="shared" si="54"/>
        <v>BC Ibiuna 1.1Inverter(MBUS-15)46015,542361111146015,542361111146015,6805555556</v>
      </c>
      <c r="Q988" s="61" t="str">
        <f t="shared" si="55"/>
        <v>DAURDE</v>
      </c>
    </row>
    <row r="989" spans="1:17" hidden="1">
      <c r="A989" s="45"/>
      <c r="B989" s="61" t="s">
        <v>370</v>
      </c>
      <c r="C989" s="61" t="s">
        <v>256</v>
      </c>
      <c r="D989" s="62">
        <v>46015.542361111111</v>
      </c>
      <c r="E989" s="62">
        <v>46015.542361111111</v>
      </c>
      <c r="F989" s="62">
        <v>46015.680555555555</v>
      </c>
      <c r="G989" s="63">
        <f>F989-E989</f>
        <v>0.13819444444379769</v>
      </c>
      <c r="H989" s="61" t="s">
        <v>257</v>
      </c>
      <c r="I989" s="61"/>
      <c r="J989" s="61" t="s">
        <v>258</v>
      </c>
      <c r="K989" s="61" t="s">
        <v>658</v>
      </c>
      <c r="L989" s="61" t="s">
        <v>2204</v>
      </c>
      <c r="M989" s="61" t="s">
        <v>260</v>
      </c>
      <c r="N989" s="61" t="s">
        <v>357</v>
      </c>
      <c r="O989" s="61" t="s">
        <v>1961</v>
      </c>
      <c r="P989" s="61" t="str">
        <f t="shared" si="54"/>
        <v>BC Ibiuna 1.2Inverter(MBUS-12)46015,542361111146015,542361111146015,6805555556</v>
      </c>
      <c r="Q989" s="61" t="str">
        <f t="shared" si="55"/>
        <v>DAURDE</v>
      </c>
    </row>
    <row r="990" spans="1:17" hidden="1">
      <c r="A990" s="45"/>
      <c r="B990" s="61" t="s">
        <v>370</v>
      </c>
      <c r="C990" s="61" t="s">
        <v>264</v>
      </c>
      <c r="D990" s="62">
        <v>46015.542361111111</v>
      </c>
      <c r="E990" s="62">
        <v>46015.542361111111</v>
      </c>
      <c r="F990" s="62">
        <v>46015.680555555555</v>
      </c>
      <c r="G990" s="63">
        <f>F990-E990</f>
        <v>0.13819444444379769</v>
      </c>
      <c r="H990" s="61" t="s">
        <v>257</v>
      </c>
      <c r="I990" s="61"/>
      <c r="J990" s="61" t="s">
        <v>258</v>
      </c>
      <c r="K990" s="61" t="s">
        <v>658</v>
      </c>
      <c r="L990" s="61" t="s">
        <v>2204</v>
      </c>
      <c r="M990" s="61" t="s">
        <v>260</v>
      </c>
      <c r="N990" s="61" t="s">
        <v>357</v>
      </c>
      <c r="O990" s="61" t="s">
        <v>1961</v>
      </c>
      <c r="P990" s="61" t="str">
        <f t="shared" si="54"/>
        <v>BC Ibiuna 1.2Inverter(MBUS-13)46015,542361111146015,542361111146015,6805555556</v>
      </c>
      <c r="Q990" s="61" t="str">
        <f t="shared" si="55"/>
        <v>DAURDE</v>
      </c>
    </row>
    <row r="991" spans="1:17" hidden="1">
      <c r="A991" s="45"/>
      <c r="B991" s="61" t="s">
        <v>370</v>
      </c>
      <c r="C991" s="61" t="s">
        <v>263</v>
      </c>
      <c r="D991" s="62">
        <v>46015.542361111111</v>
      </c>
      <c r="E991" s="62">
        <v>46015.542361111111</v>
      </c>
      <c r="F991" s="62">
        <v>46015.680555555555</v>
      </c>
      <c r="G991" s="63">
        <f>F991-E991</f>
        <v>0.13819444444379769</v>
      </c>
      <c r="H991" s="61" t="s">
        <v>257</v>
      </c>
      <c r="I991" s="61"/>
      <c r="J991" s="61" t="s">
        <v>258</v>
      </c>
      <c r="K991" s="61" t="s">
        <v>658</v>
      </c>
      <c r="L991" s="61" t="s">
        <v>2204</v>
      </c>
      <c r="M991" s="61" t="s">
        <v>260</v>
      </c>
      <c r="N991" s="61" t="s">
        <v>357</v>
      </c>
      <c r="O991" s="61" t="s">
        <v>1961</v>
      </c>
      <c r="P991" s="61" t="str">
        <f t="shared" si="54"/>
        <v>BC Ibiuna 1.2Inverter(MBUS-14)46015,542361111146015,542361111146015,6805555556</v>
      </c>
      <c r="Q991" s="61" t="str">
        <f t="shared" si="55"/>
        <v>DAURDE</v>
      </c>
    </row>
    <row r="992" spans="1:17" ht="15" hidden="1" customHeight="1">
      <c r="A992" s="45"/>
      <c r="B992" s="61" t="s">
        <v>370</v>
      </c>
      <c r="C992" s="61" t="s">
        <v>307</v>
      </c>
      <c r="D992" s="62">
        <v>46015.542361111111</v>
      </c>
      <c r="E992" s="62">
        <v>46015.542361111111</v>
      </c>
      <c r="F992" s="62">
        <v>46015.680555555555</v>
      </c>
      <c r="G992" s="63">
        <f>F992-E992</f>
        <v>0.13819444444379769</v>
      </c>
      <c r="H992" s="61" t="s">
        <v>257</v>
      </c>
      <c r="I992" s="61"/>
      <c r="J992" s="61" t="s">
        <v>258</v>
      </c>
      <c r="K992" s="61" t="s">
        <v>658</v>
      </c>
      <c r="L992" s="61" t="s">
        <v>2204</v>
      </c>
      <c r="M992" s="61" t="s">
        <v>260</v>
      </c>
      <c r="N992" s="61" t="s">
        <v>357</v>
      </c>
      <c r="O992" s="61" t="s">
        <v>1961</v>
      </c>
      <c r="P992" s="61" t="str">
        <f t="shared" si="54"/>
        <v>BC Ibiuna 1.2Inverter(MBUS-15)46015,542361111146015,542361111146015,6805555556</v>
      </c>
      <c r="Q992" s="61" t="str">
        <f t="shared" si="55"/>
        <v>DAURDE</v>
      </c>
    </row>
    <row r="993" spans="1:17" hidden="1">
      <c r="A993" s="45"/>
      <c r="B993" s="61" t="s">
        <v>327</v>
      </c>
      <c r="C993" s="61" t="s">
        <v>247</v>
      </c>
      <c r="D993" s="62">
        <v>46015.572916666664</v>
      </c>
      <c r="E993" s="62">
        <v>46015.572916666664</v>
      </c>
      <c r="F993" s="62">
        <v>46015.582638888889</v>
      </c>
      <c r="G993" s="63">
        <f>F993-E993</f>
        <v>9.7222222248092294E-3</v>
      </c>
      <c r="H993" s="61" t="s">
        <v>257</v>
      </c>
      <c r="I993" s="61"/>
      <c r="J993" s="61" t="s">
        <v>258</v>
      </c>
      <c r="K993" s="61" t="s">
        <v>658</v>
      </c>
      <c r="L993" s="61" t="s">
        <v>2198</v>
      </c>
      <c r="M993" s="61" t="s">
        <v>260</v>
      </c>
      <c r="N993" s="61" t="s">
        <v>357</v>
      </c>
      <c r="O993" s="61" t="s">
        <v>632</v>
      </c>
      <c r="P993" s="61" t="str">
        <f t="shared" si="54"/>
        <v>BC Aracu5.1Inverter(MBUS-1)46015,572916666746015,572916666746015,5826388889</v>
      </c>
      <c r="Q993" s="61" t="str">
        <f t="shared" si="55"/>
        <v>DAURDE</v>
      </c>
    </row>
    <row r="994" spans="1:17" hidden="1">
      <c r="A994" s="45"/>
      <c r="B994" s="61" t="s">
        <v>246</v>
      </c>
      <c r="C994" s="61" t="s">
        <v>247</v>
      </c>
      <c r="D994" s="62">
        <v>46015.572916666664</v>
      </c>
      <c r="E994" s="62">
        <v>46015.572916666664</v>
      </c>
      <c r="F994" s="62">
        <v>46015.582638888889</v>
      </c>
      <c r="G994" s="63">
        <f>F994-E994</f>
        <v>9.7222222248092294E-3</v>
      </c>
      <c r="H994" s="61" t="s">
        <v>257</v>
      </c>
      <c r="I994" s="61"/>
      <c r="J994" s="61" t="s">
        <v>258</v>
      </c>
      <c r="K994" s="61" t="s">
        <v>658</v>
      </c>
      <c r="L994" s="61" t="s">
        <v>2198</v>
      </c>
      <c r="M994" s="61" t="s">
        <v>260</v>
      </c>
      <c r="N994" s="61" t="s">
        <v>357</v>
      </c>
      <c r="O994" s="61" t="s">
        <v>632</v>
      </c>
      <c r="P994" s="61" t="str">
        <f t="shared" si="54"/>
        <v>BC Aracu5.2Inverter(MBUS-1)46015,572916666746015,572916666746015,5826388889</v>
      </c>
      <c r="Q994" s="61" t="str">
        <f t="shared" si="55"/>
        <v>DAURDE</v>
      </c>
    </row>
    <row r="995" spans="1:17" hidden="1">
      <c r="A995" s="45"/>
      <c r="B995" s="61" t="s">
        <v>328</v>
      </c>
      <c r="C995" s="61" t="s">
        <v>247</v>
      </c>
      <c r="D995" s="62">
        <v>46015.572916666664</v>
      </c>
      <c r="E995" s="62">
        <v>46015.572916666664</v>
      </c>
      <c r="F995" s="62">
        <v>46015.582638888889</v>
      </c>
      <c r="G995" s="63">
        <f>F995-E995</f>
        <v>9.7222222248092294E-3</v>
      </c>
      <c r="H995" s="61" t="s">
        <v>257</v>
      </c>
      <c r="I995" s="61"/>
      <c r="J995" s="61" t="s">
        <v>258</v>
      </c>
      <c r="K995" s="61" t="s">
        <v>658</v>
      </c>
      <c r="L995" s="61" t="s">
        <v>2198</v>
      </c>
      <c r="M995" s="61" t="s">
        <v>260</v>
      </c>
      <c r="N995" s="61" t="s">
        <v>357</v>
      </c>
      <c r="O995" s="61" t="s">
        <v>632</v>
      </c>
      <c r="P995" s="61" t="str">
        <f t="shared" si="54"/>
        <v>BC Aracu5.3Inverter(MBUS-1)46015,572916666746015,572916666746015,5826388889</v>
      </c>
      <c r="Q995" s="61" t="str">
        <f t="shared" si="55"/>
        <v>DAURDE</v>
      </c>
    </row>
    <row r="996" spans="1:17" hidden="1">
      <c r="A996" s="45"/>
      <c r="B996" s="61" t="s">
        <v>329</v>
      </c>
      <c r="C996" s="61" t="s">
        <v>247</v>
      </c>
      <c r="D996" s="62">
        <v>46015.572916666664</v>
      </c>
      <c r="E996" s="62">
        <v>46015.572916666664</v>
      </c>
      <c r="F996" s="62">
        <v>46015.582638888889</v>
      </c>
      <c r="G996" s="63">
        <f>F996-E996</f>
        <v>9.7222222248092294E-3</v>
      </c>
      <c r="H996" s="61" t="s">
        <v>257</v>
      </c>
      <c r="I996" s="61"/>
      <c r="J996" s="61" t="s">
        <v>258</v>
      </c>
      <c r="K996" s="61" t="s">
        <v>658</v>
      </c>
      <c r="L996" s="61" t="s">
        <v>2198</v>
      </c>
      <c r="M996" s="61" t="s">
        <v>260</v>
      </c>
      <c r="N996" s="61" t="s">
        <v>357</v>
      </c>
      <c r="O996" s="61" t="s">
        <v>632</v>
      </c>
      <c r="P996" s="61" t="str">
        <f t="shared" si="54"/>
        <v>BC Aracu5.4Inverter(MBUS-1)46015,572916666746015,572916666746015,5826388889</v>
      </c>
      <c r="Q996" s="61" t="str">
        <f t="shared" si="55"/>
        <v>DAURDE</v>
      </c>
    </row>
    <row r="997" spans="1:17" hidden="1">
      <c r="A997" s="45"/>
      <c r="B997" s="61" t="s">
        <v>330</v>
      </c>
      <c r="C997" s="61" t="s">
        <v>247</v>
      </c>
      <c r="D997" s="62">
        <v>46015.572916666664</v>
      </c>
      <c r="E997" s="62">
        <v>46015.572916666664</v>
      </c>
      <c r="F997" s="62">
        <v>46015.582638888889</v>
      </c>
      <c r="G997" s="63">
        <f>F997-E997</f>
        <v>9.7222222248092294E-3</v>
      </c>
      <c r="H997" s="61" t="s">
        <v>257</v>
      </c>
      <c r="I997" s="61"/>
      <c r="J997" s="61" t="s">
        <v>258</v>
      </c>
      <c r="K997" s="61" t="s">
        <v>658</v>
      </c>
      <c r="L997" s="61" t="s">
        <v>2198</v>
      </c>
      <c r="M997" s="61" t="s">
        <v>260</v>
      </c>
      <c r="N997" s="61" t="s">
        <v>357</v>
      </c>
      <c r="O997" s="61" t="s">
        <v>632</v>
      </c>
      <c r="P997" s="61" t="str">
        <f t="shared" si="54"/>
        <v>BC Aracu5.5Inverter(MBUS-1)46015,572916666746015,572916666746015,5826388889</v>
      </c>
      <c r="Q997" s="61" t="str">
        <f t="shared" si="55"/>
        <v>DAURDE</v>
      </c>
    </row>
    <row r="998" spans="1:17">
      <c r="B998" s="1" t="s">
        <v>2183</v>
      </c>
      <c r="C998" s="1" t="s">
        <v>332</v>
      </c>
      <c r="D998" s="52">
        <v>46001.750694444447</v>
      </c>
      <c r="E998" s="52">
        <v>46001.750694444447</v>
      </c>
      <c r="F998" s="52">
        <v>46002.5</v>
      </c>
      <c r="G998" s="53">
        <f>+F998-E998</f>
        <v>0.74930555555329192</v>
      </c>
      <c r="H998" s="1" t="s">
        <v>268</v>
      </c>
      <c r="I998" s="1" t="s">
        <v>269</v>
      </c>
      <c r="J998" s="1" t="s">
        <v>319</v>
      </c>
      <c r="K998" s="1" t="str">
        <f>_xlfn.XLOOKUP(J998,REF!$D$2:$D$12,REF!$E$2:$E$12)</f>
        <v>Comunicação</v>
      </c>
      <c r="L998" s="1" t="s">
        <v>1964</v>
      </c>
      <c r="M998" s="1" t="s">
        <v>272</v>
      </c>
      <c r="N998" s="1" t="s">
        <v>273</v>
      </c>
      <c r="O998" s="1" t="s">
        <v>2205</v>
      </c>
      <c r="P998" s="1" t="str">
        <f t="shared" si="54"/>
        <v>VARJÃO 2 - UFV 2.1215KTL-H0(MBUS-12)46001,750694444446001,750694444446002,5</v>
      </c>
      <c r="Q998" s="1" t="str">
        <f t="shared" si="55"/>
        <v>LIGRFOCOM</v>
      </c>
    </row>
    <row r="999" spans="1:17">
      <c r="B999" s="1" t="s">
        <v>2183</v>
      </c>
      <c r="C999" s="1" t="s">
        <v>335</v>
      </c>
      <c r="D999" s="52">
        <v>46001.750694444447</v>
      </c>
      <c r="E999" s="52">
        <v>46001.750694444447</v>
      </c>
      <c r="F999" s="52">
        <v>46002.5</v>
      </c>
      <c r="G999" s="53">
        <f t="shared" ref="G998:G1061" si="56">F999-E999</f>
        <v>0.74930555555329192</v>
      </c>
      <c r="H999" s="1" t="s">
        <v>268</v>
      </c>
      <c r="I999" s="1" t="s">
        <v>269</v>
      </c>
      <c r="J999" s="1" t="s">
        <v>319</v>
      </c>
      <c r="K999" s="1" t="str">
        <f>_xlfn.XLOOKUP(J999,REF!$D$2:$D$12,REF!$E$2:$E$12)</f>
        <v>Comunicação</v>
      </c>
      <c r="L999" s="1" t="s">
        <v>1964</v>
      </c>
      <c r="M999" s="1" t="s">
        <v>272</v>
      </c>
      <c r="N999" s="1" t="s">
        <v>273</v>
      </c>
      <c r="O999" s="1" t="s">
        <v>2205</v>
      </c>
      <c r="P999" s="1" t="str">
        <f t="shared" si="54"/>
        <v>VARJÃO 2 - UFV 2.1215KTL-H0(MBUS-13)46001,750694444446001,750694444446002,5</v>
      </c>
      <c r="Q999" s="1" t="str">
        <f t="shared" si="55"/>
        <v>LIGRFOCOM</v>
      </c>
    </row>
    <row r="1000" spans="1:17">
      <c r="B1000" s="1" t="s">
        <v>2183</v>
      </c>
      <c r="C1000" s="1" t="s">
        <v>336</v>
      </c>
      <c r="D1000" s="52">
        <v>46001.750694444447</v>
      </c>
      <c r="E1000" s="52">
        <v>46001.750694444447</v>
      </c>
      <c r="F1000" s="52">
        <v>46002.5</v>
      </c>
      <c r="G1000" s="53">
        <f t="shared" si="56"/>
        <v>0.74930555555329192</v>
      </c>
      <c r="H1000" s="1" t="s">
        <v>268</v>
      </c>
      <c r="I1000" s="1" t="s">
        <v>269</v>
      </c>
      <c r="J1000" s="1" t="s">
        <v>319</v>
      </c>
      <c r="K1000" s="1" t="str">
        <f>_xlfn.XLOOKUP(J1000,REF!$D$2:$D$12,REF!$E$2:$E$12)</f>
        <v>Comunicação</v>
      </c>
      <c r="L1000" s="1" t="s">
        <v>1964</v>
      </c>
      <c r="M1000" s="1" t="s">
        <v>272</v>
      </c>
      <c r="N1000" s="1" t="s">
        <v>273</v>
      </c>
      <c r="O1000" s="1" t="s">
        <v>2205</v>
      </c>
      <c r="P1000" s="1" t="str">
        <f t="shared" si="54"/>
        <v>VARJÃO 2 - UFV 2.1215KTL-H0(MBUS-14)46001,750694444446001,750694444446002,5</v>
      </c>
      <c r="Q1000" s="1" t="str">
        <f t="shared" si="55"/>
        <v>LIGRFOCOM</v>
      </c>
    </row>
    <row r="1001" spans="1:17">
      <c r="B1001" s="1" t="s">
        <v>2183</v>
      </c>
      <c r="C1001" s="1" t="s">
        <v>337</v>
      </c>
      <c r="D1001" s="52">
        <v>46001.750694444447</v>
      </c>
      <c r="E1001" s="52">
        <v>46001.750694444447</v>
      </c>
      <c r="F1001" s="52">
        <v>46002.5</v>
      </c>
      <c r="G1001" s="53">
        <f t="shared" si="56"/>
        <v>0.74930555555329192</v>
      </c>
      <c r="H1001" s="1" t="s">
        <v>268</v>
      </c>
      <c r="I1001" s="1" t="s">
        <v>269</v>
      </c>
      <c r="J1001" s="1" t="s">
        <v>319</v>
      </c>
      <c r="K1001" s="1" t="str">
        <f>_xlfn.XLOOKUP(J1001,REF!$D$2:$D$12,REF!$E$2:$E$12)</f>
        <v>Comunicação</v>
      </c>
      <c r="L1001" s="1" t="s">
        <v>1964</v>
      </c>
      <c r="M1001" s="1" t="s">
        <v>272</v>
      </c>
      <c r="N1001" s="1" t="s">
        <v>273</v>
      </c>
      <c r="O1001" s="1" t="s">
        <v>2205</v>
      </c>
      <c r="P1001" s="1" t="str">
        <f t="shared" si="54"/>
        <v>VARJÃO 2 - UFV 2.1215KTL-H0(MBUS-15)46001,750694444446001,750694444446002,5</v>
      </c>
      <c r="Q1001" s="1" t="str">
        <f t="shared" si="55"/>
        <v>LIGRFOCOM</v>
      </c>
    </row>
    <row r="1002" spans="1:17">
      <c r="B1002" s="1" t="s">
        <v>2183</v>
      </c>
      <c r="C1002" s="1" t="s">
        <v>338</v>
      </c>
      <c r="D1002" s="52">
        <v>46001.750694444447</v>
      </c>
      <c r="E1002" s="52">
        <v>46001.750694444447</v>
      </c>
      <c r="F1002" s="52">
        <v>46002.5</v>
      </c>
      <c r="G1002" s="53">
        <f t="shared" si="56"/>
        <v>0.74930555555329192</v>
      </c>
      <c r="H1002" s="1" t="s">
        <v>268</v>
      </c>
      <c r="I1002" s="1" t="s">
        <v>269</v>
      </c>
      <c r="J1002" s="1" t="s">
        <v>319</v>
      </c>
      <c r="K1002" s="1" t="str">
        <f>_xlfn.XLOOKUP(J1002,REF!$D$2:$D$12,REF!$E$2:$E$12)</f>
        <v>Comunicação</v>
      </c>
      <c r="L1002" s="1" t="s">
        <v>1964</v>
      </c>
      <c r="M1002" s="1" t="s">
        <v>272</v>
      </c>
      <c r="N1002" s="1" t="s">
        <v>273</v>
      </c>
      <c r="O1002" s="1" t="s">
        <v>2205</v>
      </c>
      <c r="P1002" s="1" t="str">
        <f t="shared" si="54"/>
        <v>VARJÃO 2 - UFV 2.1215KTL-H0(MBUS-16)46001,750694444446001,750694444446002,5</v>
      </c>
      <c r="Q1002" s="1" t="str">
        <f t="shared" si="55"/>
        <v>LIGRFOCOM</v>
      </c>
    </row>
    <row r="1003" spans="1:17">
      <c r="B1003" s="1" t="s">
        <v>2184</v>
      </c>
      <c r="C1003" s="1" t="s">
        <v>335</v>
      </c>
      <c r="D1003" s="52">
        <v>46001.750694444447</v>
      </c>
      <c r="E1003" s="52">
        <v>46001.750694444447</v>
      </c>
      <c r="F1003" s="52">
        <v>46002.5</v>
      </c>
      <c r="G1003" s="53">
        <f t="shared" si="56"/>
        <v>0.74930555555329192</v>
      </c>
      <c r="H1003" s="1" t="s">
        <v>268</v>
      </c>
      <c r="I1003" s="1" t="s">
        <v>269</v>
      </c>
      <c r="J1003" s="1" t="s">
        <v>319</v>
      </c>
      <c r="K1003" s="1" t="str">
        <f>_xlfn.XLOOKUP(J1003,REF!$D$2:$D$12,REF!$E$2:$E$12)</f>
        <v>Comunicação</v>
      </c>
      <c r="L1003" s="1" t="s">
        <v>1964</v>
      </c>
      <c r="M1003" s="1" t="s">
        <v>272</v>
      </c>
      <c r="N1003" s="1" t="s">
        <v>273</v>
      </c>
      <c r="O1003" s="1" t="s">
        <v>2205</v>
      </c>
      <c r="P1003" s="1" t="str">
        <f t="shared" si="54"/>
        <v>VARJÃO 2 - UFV 2.2215KTL-H0(MBUS-13)46001,750694444446001,750694444446002,5</v>
      </c>
      <c r="Q1003" s="1" t="str">
        <f t="shared" si="55"/>
        <v>LIGRFOCOM</v>
      </c>
    </row>
    <row r="1004" spans="1:17">
      <c r="B1004" s="1" t="s">
        <v>2184</v>
      </c>
      <c r="C1004" s="1" t="s">
        <v>336</v>
      </c>
      <c r="D1004" s="52">
        <v>46001.750694444447</v>
      </c>
      <c r="E1004" s="52">
        <v>46001.750694444447</v>
      </c>
      <c r="F1004" s="52">
        <v>46002.5</v>
      </c>
      <c r="G1004" s="53">
        <f t="shared" si="56"/>
        <v>0.74930555555329192</v>
      </c>
      <c r="H1004" s="1" t="s">
        <v>268</v>
      </c>
      <c r="I1004" s="1" t="s">
        <v>269</v>
      </c>
      <c r="J1004" s="1" t="s">
        <v>319</v>
      </c>
      <c r="K1004" s="1" t="str">
        <f>_xlfn.XLOOKUP(J1004,REF!$D$2:$D$12,REF!$E$2:$E$12)</f>
        <v>Comunicação</v>
      </c>
      <c r="L1004" s="1" t="s">
        <v>1964</v>
      </c>
      <c r="M1004" s="1" t="s">
        <v>272</v>
      </c>
      <c r="N1004" s="1" t="s">
        <v>273</v>
      </c>
      <c r="O1004" s="1" t="s">
        <v>2205</v>
      </c>
      <c r="P1004" s="1" t="str">
        <f t="shared" si="54"/>
        <v>VARJÃO 2 - UFV 2.2215KTL-H0(MBUS-14)46001,750694444446001,750694444446002,5</v>
      </c>
      <c r="Q1004" s="1" t="str">
        <f t="shared" si="55"/>
        <v>LIGRFOCOM</v>
      </c>
    </row>
    <row r="1005" spans="1:17">
      <c r="B1005" s="1" t="s">
        <v>2184</v>
      </c>
      <c r="C1005" s="1" t="s">
        <v>337</v>
      </c>
      <c r="D1005" s="52">
        <v>46001.750694444447</v>
      </c>
      <c r="E1005" s="52">
        <v>46001.750694444447</v>
      </c>
      <c r="F1005" s="52">
        <v>46002.5</v>
      </c>
      <c r="G1005" s="53">
        <f t="shared" si="56"/>
        <v>0.74930555555329192</v>
      </c>
      <c r="H1005" s="1" t="s">
        <v>268</v>
      </c>
      <c r="I1005" s="1" t="s">
        <v>269</v>
      </c>
      <c r="J1005" s="1" t="s">
        <v>319</v>
      </c>
      <c r="K1005" s="1" t="str">
        <f>_xlfn.XLOOKUP(J1005,REF!$D$2:$D$12,REF!$E$2:$E$12)</f>
        <v>Comunicação</v>
      </c>
      <c r="L1005" s="1" t="s">
        <v>1964</v>
      </c>
      <c r="M1005" s="1" t="s">
        <v>272</v>
      </c>
      <c r="N1005" s="1" t="s">
        <v>273</v>
      </c>
      <c r="O1005" s="1" t="s">
        <v>2205</v>
      </c>
      <c r="P1005" s="1" t="str">
        <f t="shared" si="54"/>
        <v>VARJÃO 2 - UFV 2.2215KTL-H0(MBUS-15)46001,750694444446001,750694444446002,5</v>
      </c>
      <c r="Q1005" s="1" t="str">
        <f t="shared" si="55"/>
        <v>LIGRFOCOM</v>
      </c>
    </row>
    <row r="1006" spans="1:17">
      <c r="B1006" s="1" t="s">
        <v>2184</v>
      </c>
      <c r="C1006" s="1" t="s">
        <v>338</v>
      </c>
      <c r="D1006" s="52">
        <v>46001.750694444447</v>
      </c>
      <c r="E1006" s="52">
        <v>46001.750694444447</v>
      </c>
      <c r="F1006" s="52">
        <v>46002.5</v>
      </c>
      <c r="G1006" s="53">
        <f t="shared" si="56"/>
        <v>0.74930555555329192</v>
      </c>
      <c r="H1006" s="1" t="s">
        <v>268</v>
      </c>
      <c r="I1006" s="1" t="s">
        <v>269</v>
      </c>
      <c r="J1006" s="1" t="s">
        <v>319</v>
      </c>
      <c r="K1006" s="1" t="str">
        <f>_xlfn.XLOOKUP(J1006,REF!$D$2:$D$12,REF!$E$2:$E$12)</f>
        <v>Comunicação</v>
      </c>
      <c r="L1006" s="1" t="s">
        <v>1964</v>
      </c>
      <c r="M1006" s="1" t="s">
        <v>272</v>
      </c>
      <c r="N1006" s="1" t="s">
        <v>273</v>
      </c>
      <c r="O1006" s="1" t="s">
        <v>2205</v>
      </c>
      <c r="P1006" s="1" t="str">
        <f t="shared" si="54"/>
        <v>VARJÃO 2 - UFV 2.2215KTL-H0(MBUS-16)46001,750694444446001,750694444446002,5</v>
      </c>
      <c r="Q1006" s="1" t="str">
        <f t="shared" si="55"/>
        <v>LIGRFOCOM</v>
      </c>
    </row>
    <row r="1007" spans="1:17">
      <c r="B1007" s="1" t="s">
        <v>2184</v>
      </c>
      <c r="C1007" s="1" t="s">
        <v>332</v>
      </c>
      <c r="D1007" s="52">
        <v>46001.750694444447</v>
      </c>
      <c r="E1007" s="52">
        <v>46001.750694444447</v>
      </c>
      <c r="F1007" s="52">
        <v>46002.5</v>
      </c>
      <c r="G1007" s="53">
        <f t="shared" si="56"/>
        <v>0.74930555555329192</v>
      </c>
      <c r="H1007" s="1" t="s">
        <v>268</v>
      </c>
      <c r="I1007" s="1" t="s">
        <v>269</v>
      </c>
      <c r="J1007" s="1" t="s">
        <v>319</v>
      </c>
      <c r="K1007" s="1" t="str">
        <f>_xlfn.XLOOKUP(J1007,REF!$D$2:$D$12,REF!$E$2:$E$12)</f>
        <v>Comunicação</v>
      </c>
      <c r="L1007" s="1" t="s">
        <v>1964</v>
      </c>
      <c r="M1007" s="1" t="s">
        <v>272</v>
      </c>
      <c r="N1007" s="1" t="s">
        <v>273</v>
      </c>
      <c r="O1007" s="1" t="s">
        <v>2205</v>
      </c>
      <c r="P1007" s="1" t="str">
        <f t="shared" si="54"/>
        <v>VARJÃO 2 - UFV 2.2215KTL-H0(MBUS-12)46001,750694444446001,750694444446002,5</v>
      </c>
      <c r="Q1007" s="1" t="str">
        <f t="shared" si="55"/>
        <v>LIGRFOCOM</v>
      </c>
    </row>
    <row r="1008" spans="1:17">
      <c r="B1008" s="1" t="s">
        <v>2185</v>
      </c>
      <c r="C1008" s="1" t="s">
        <v>341</v>
      </c>
      <c r="D1008" s="52">
        <v>46001.750694444447</v>
      </c>
      <c r="E1008" s="52">
        <v>46001.750694444447</v>
      </c>
      <c r="F1008" s="52">
        <v>46002.5</v>
      </c>
      <c r="G1008" s="53">
        <f t="shared" si="56"/>
        <v>0.74930555555329192</v>
      </c>
      <c r="H1008" s="1" t="s">
        <v>268</v>
      </c>
      <c r="I1008" s="1" t="s">
        <v>269</v>
      </c>
      <c r="J1008" s="1" t="s">
        <v>319</v>
      </c>
      <c r="K1008" s="1" t="str">
        <f>_xlfn.XLOOKUP(J1008,REF!$D$2:$D$12,REF!$E$2:$E$12)</f>
        <v>Comunicação</v>
      </c>
      <c r="L1008" s="1" t="s">
        <v>1964</v>
      </c>
      <c r="M1008" s="1" t="s">
        <v>272</v>
      </c>
      <c r="N1008" s="1" t="s">
        <v>273</v>
      </c>
      <c r="O1008" s="1" t="s">
        <v>2205</v>
      </c>
      <c r="P1008" s="1" t="str">
        <f t="shared" si="54"/>
        <v>VARJÃO 2 - UFV 2.3100KTL-H1(MBUS-1)46001,750694444446001,750694444446002,5</v>
      </c>
      <c r="Q1008" s="1" t="str">
        <f t="shared" si="55"/>
        <v>LIGRFOCOM</v>
      </c>
    </row>
    <row r="1009" spans="1:17">
      <c r="B1009" s="1" t="s">
        <v>2185</v>
      </c>
      <c r="C1009" s="1" t="s">
        <v>335</v>
      </c>
      <c r="D1009" s="52">
        <v>46001.750694444447</v>
      </c>
      <c r="E1009" s="52">
        <v>46001.750694444447</v>
      </c>
      <c r="F1009" s="52">
        <v>46002.5</v>
      </c>
      <c r="G1009" s="53">
        <f t="shared" si="56"/>
        <v>0.74930555555329192</v>
      </c>
      <c r="H1009" s="1" t="s">
        <v>268</v>
      </c>
      <c r="I1009" s="1" t="s">
        <v>269</v>
      </c>
      <c r="J1009" s="1" t="s">
        <v>319</v>
      </c>
      <c r="K1009" s="1" t="str">
        <f>_xlfn.XLOOKUP(J1009,REF!$D$2:$D$12,REF!$E$2:$E$12)</f>
        <v>Comunicação</v>
      </c>
      <c r="L1009" s="1" t="s">
        <v>1964</v>
      </c>
      <c r="M1009" s="1" t="s">
        <v>272</v>
      </c>
      <c r="N1009" s="1" t="s">
        <v>273</v>
      </c>
      <c r="O1009" s="1" t="s">
        <v>2205</v>
      </c>
      <c r="P1009" s="1" t="str">
        <f t="shared" si="54"/>
        <v>VARJÃO 2 - UFV 2.3215KTL-H0(MBUS-13)46001,750694444446001,750694444446002,5</v>
      </c>
      <c r="Q1009" s="1" t="str">
        <f t="shared" si="55"/>
        <v>LIGRFOCOM</v>
      </c>
    </row>
    <row r="1010" spans="1:17">
      <c r="B1010" s="1" t="s">
        <v>2185</v>
      </c>
      <c r="C1010" s="1" t="s">
        <v>332</v>
      </c>
      <c r="D1010" s="52">
        <v>46001.750694444447</v>
      </c>
      <c r="E1010" s="52">
        <v>46001.750694444447</v>
      </c>
      <c r="F1010" s="52">
        <v>46002.5</v>
      </c>
      <c r="G1010" s="53">
        <f t="shared" si="56"/>
        <v>0.74930555555329192</v>
      </c>
      <c r="H1010" s="1" t="s">
        <v>268</v>
      </c>
      <c r="I1010" s="1" t="s">
        <v>269</v>
      </c>
      <c r="J1010" s="1" t="s">
        <v>319</v>
      </c>
      <c r="K1010" s="1" t="str">
        <f>_xlfn.XLOOKUP(J1010,REF!$D$2:$D$12,REF!$E$2:$E$12)</f>
        <v>Comunicação</v>
      </c>
      <c r="L1010" s="1" t="s">
        <v>1964</v>
      </c>
      <c r="M1010" s="1" t="s">
        <v>272</v>
      </c>
      <c r="N1010" s="1" t="s">
        <v>273</v>
      </c>
      <c r="O1010" s="1" t="s">
        <v>2205</v>
      </c>
      <c r="P1010" s="1" t="str">
        <f t="shared" si="54"/>
        <v>VARJÃO 2 - UFV 2.3215KTL-H0(MBUS-12)46001,750694444446001,750694444446002,5</v>
      </c>
      <c r="Q1010" s="1" t="str">
        <f t="shared" si="55"/>
        <v>LIGRFOCOM</v>
      </c>
    </row>
    <row r="1011" spans="1:17" hidden="1">
      <c r="B1011" s="1" t="s">
        <v>2134</v>
      </c>
      <c r="C1011" s="1" t="s">
        <v>2135</v>
      </c>
      <c r="D1011" s="52">
        <v>45996.256944444445</v>
      </c>
      <c r="E1011" s="52">
        <v>45996.256944444445</v>
      </c>
      <c r="F1011" s="52">
        <v>45996.383333333331</v>
      </c>
      <c r="G1011" s="53">
        <f t="shared" si="56"/>
        <v>0.12638888888614019</v>
      </c>
      <c r="H1011" s="1" t="s">
        <v>257</v>
      </c>
      <c r="J1011" s="1" t="s">
        <v>258</v>
      </c>
      <c r="K1011" s="1" t="str">
        <f>_xlfn.XLOOKUP(J1011,REF!$D$2:$D$12,REF!$E$2:$E$12)</f>
        <v>Rede</v>
      </c>
      <c r="L1011" s="1" t="s">
        <v>2206</v>
      </c>
      <c r="M1011" s="1" t="s">
        <v>260</v>
      </c>
      <c r="N1011" s="1" t="s">
        <v>261</v>
      </c>
      <c r="O1011" s="1" t="s">
        <v>2098</v>
      </c>
      <c r="P1011" s="1" t="str">
        <f t="shared" si="54"/>
        <v>Rio Monte IIISG60KTL(COM1-008)_001_01645996,256944444445996,256944444445996,3833333333</v>
      </c>
      <c r="Q1011" s="1" t="str">
        <f t="shared" si="55"/>
        <v>DAURDE</v>
      </c>
    </row>
    <row r="1012" spans="1:17" hidden="1">
      <c r="B1012" s="1" t="s">
        <v>2134</v>
      </c>
      <c r="C1012" s="1" t="s">
        <v>2136</v>
      </c>
      <c r="D1012" s="52">
        <v>45996.256944444445</v>
      </c>
      <c r="E1012" s="52">
        <v>45996.256944444445</v>
      </c>
      <c r="F1012" s="52">
        <v>45996.383333333331</v>
      </c>
      <c r="G1012" s="53">
        <f t="shared" si="56"/>
        <v>0.12638888888614019</v>
      </c>
      <c r="H1012" s="1" t="s">
        <v>257</v>
      </c>
      <c r="J1012" s="1" t="s">
        <v>258</v>
      </c>
      <c r="K1012" s="1" t="str">
        <f>_xlfn.XLOOKUP(J1012,REF!$D$2:$D$12,REF!$E$2:$E$12)</f>
        <v>Rede</v>
      </c>
      <c r="L1012" s="1" t="s">
        <v>2206</v>
      </c>
      <c r="M1012" s="1" t="s">
        <v>260</v>
      </c>
      <c r="N1012" s="1" t="s">
        <v>261</v>
      </c>
      <c r="O1012" s="1" t="s">
        <v>2098</v>
      </c>
      <c r="P1012" s="1" t="str">
        <f t="shared" si="54"/>
        <v>Rio Monte IIISG60KTL(COM1-009)_001_01045996,256944444445996,256944444445996,3833333333</v>
      </c>
      <c r="Q1012" s="1" t="str">
        <f t="shared" si="55"/>
        <v>DAURDE</v>
      </c>
    </row>
    <row r="1013" spans="1:17" hidden="1">
      <c r="B1013" s="1" t="s">
        <v>2134</v>
      </c>
      <c r="C1013" s="1" t="s">
        <v>2137</v>
      </c>
      <c r="D1013" s="52">
        <v>45996.256944444445</v>
      </c>
      <c r="E1013" s="52">
        <v>45996.256944444445</v>
      </c>
      <c r="F1013" s="52">
        <v>45996.383333333331</v>
      </c>
      <c r="G1013" s="53">
        <f t="shared" si="56"/>
        <v>0.12638888888614019</v>
      </c>
      <c r="H1013" s="1" t="s">
        <v>257</v>
      </c>
      <c r="J1013" s="1" t="s">
        <v>258</v>
      </c>
      <c r="K1013" s="1" t="str">
        <f>_xlfn.XLOOKUP(J1013,REF!$D$2:$D$12,REF!$E$2:$E$12)</f>
        <v>Rede</v>
      </c>
      <c r="L1013" s="1" t="s">
        <v>2206</v>
      </c>
      <c r="M1013" s="1" t="s">
        <v>260</v>
      </c>
      <c r="N1013" s="1" t="s">
        <v>261</v>
      </c>
      <c r="O1013" s="1" t="s">
        <v>2098</v>
      </c>
      <c r="P1013" s="1" t="str">
        <f t="shared" si="54"/>
        <v>Rio Monte IIISG60KTL(COM1-010)_001_01245996,256944444445996,256944444445996,3833333333</v>
      </c>
      <c r="Q1013" s="1" t="str">
        <f t="shared" si="55"/>
        <v>DAURDE</v>
      </c>
    </row>
    <row r="1014" spans="1:17" hidden="1">
      <c r="B1014" s="1" t="s">
        <v>2134</v>
      </c>
      <c r="C1014" s="1" t="s">
        <v>2138</v>
      </c>
      <c r="D1014" s="52">
        <v>45996.256944444445</v>
      </c>
      <c r="E1014" s="52">
        <v>45996.256944444445</v>
      </c>
      <c r="F1014" s="52">
        <v>45996.383333333331</v>
      </c>
      <c r="G1014" s="53">
        <f t="shared" si="56"/>
        <v>0.12638888888614019</v>
      </c>
      <c r="H1014" s="1" t="s">
        <v>257</v>
      </c>
      <c r="J1014" s="1" t="s">
        <v>258</v>
      </c>
      <c r="K1014" s="1" t="str">
        <f>_xlfn.XLOOKUP(J1014,REF!$D$2:$D$12,REF!$E$2:$E$12)</f>
        <v>Rede</v>
      </c>
      <c r="L1014" s="1" t="s">
        <v>2206</v>
      </c>
      <c r="M1014" s="1" t="s">
        <v>260</v>
      </c>
      <c r="N1014" s="1" t="s">
        <v>261</v>
      </c>
      <c r="O1014" s="1" t="s">
        <v>2098</v>
      </c>
      <c r="P1014" s="1" t="str">
        <f t="shared" si="54"/>
        <v>Rio Monte IIISG60KTL(COM1-011)_001_00245996,256944444445996,256944444445996,3833333333</v>
      </c>
      <c r="Q1014" s="1" t="str">
        <f t="shared" si="55"/>
        <v>DAURDE</v>
      </c>
    </row>
    <row r="1015" spans="1:17" hidden="1">
      <c r="B1015" s="1" t="s">
        <v>2134</v>
      </c>
      <c r="C1015" s="1" t="s">
        <v>2139</v>
      </c>
      <c r="D1015" s="52">
        <v>45996.256944444445</v>
      </c>
      <c r="E1015" s="52">
        <v>45996.256944444445</v>
      </c>
      <c r="F1015" s="52">
        <v>45996.383333333331</v>
      </c>
      <c r="G1015" s="53">
        <f t="shared" si="56"/>
        <v>0.12638888888614019</v>
      </c>
      <c r="H1015" s="1" t="s">
        <v>257</v>
      </c>
      <c r="J1015" s="1" t="s">
        <v>258</v>
      </c>
      <c r="K1015" s="1" t="str">
        <f>_xlfn.XLOOKUP(J1015,REF!$D$2:$D$12,REF!$E$2:$E$12)</f>
        <v>Rede</v>
      </c>
      <c r="L1015" s="1" t="s">
        <v>2206</v>
      </c>
      <c r="M1015" s="1" t="s">
        <v>260</v>
      </c>
      <c r="N1015" s="1" t="s">
        <v>261</v>
      </c>
      <c r="O1015" s="1" t="s">
        <v>2098</v>
      </c>
      <c r="P1015" s="1" t="str">
        <f t="shared" si="54"/>
        <v>Rio Monte IIISG60KTL(COM1-012)_001_01545996,256944444445996,256944444445996,3833333333</v>
      </c>
      <c r="Q1015" s="1" t="str">
        <f t="shared" si="55"/>
        <v>DAURDE</v>
      </c>
    </row>
    <row r="1016" spans="1:17" hidden="1">
      <c r="B1016" s="1" t="s">
        <v>2134</v>
      </c>
      <c r="C1016" s="1" t="s">
        <v>2140</v>
      </c>
      <c r="D1016" s="52">
        <v>45996.256944444445</v>
      </c>
      <c r="E1016" s="52">
        <v>45996.256944444445</v>
      </c>
      <c r="F1016" s="52">
        <v>45996.383333333331</v>
      </c>
      <c r="G1016" s="53">
        <f t="shared" si="56"/>
        <v>0.12638888888614019</v>
      </c>
      <c r="H1016" s="1" t="s">
        <v>257</v>
      </c>
      <c r="J1016" s="1" t="s">
        <v>258</v>
      </c>
      <c r="K1016" s="1" t="str">
        <f>_xlfn.XLOOKUP(J1016,REF!$D$2:$D$12,REF!$E$2:$E$12)</f>
        <v>Rede</v>
      </c>
      <c r="L1016" s="1" t="s">
        <v>2206</v>
      </c>
      <c r="M1016" s="1" t="s">
        <v>260</v>
      </c>
      <c r="N1016" s="1" t="s">
        <v>261</v>
      </c>
      <c r="O1016" s="1" t="s">
        <v>2098</v>
      </c>
      <c r="P1016" s="1" t="str">
        <f t="shared" si="54"/>
        <v>Rio Monte IIISG60KTL(COM1-013)_001_00345996,256944444445996,256944444445996,3833333333</v>
      </c>
      <c r="Q1016" s="1" t="str">
        <f t="shared" si="55"/>
        <v>DAURDE</v>
      </c>
    </row>
    <row r="1017" spans="1:17" hidden="1">
      <c r="B1017" s="1" t="s">
        <v>2134</v>
      </c>
      <c r="C1017" s="1" t="s">
        <v>2141</v>
      </c>
      <c r="D1017" s="52">
        <v>45996.256944444445</v>
      </c>
      <c r="E1017" s="52">
        <v>45996.256944444445</v>
      </c>
      <c r="F1017" s="52">
        <v>45996.383333333331</v>
      </c>
      <c r="G1017" s="53">
        <f t="shared" si="56"/>
        <v>0.12638888888614019</v>
      </c>
      <c r="H1017" s="1" t="s">
        <v>257</v>
      </c>
      <c r="J1017" s="1" t="s">
        <v>258</v>
      </c>
      <c r="K1017" s="1" t="str">
        <f>_xlfn.XLOOKUP(J1017,REF!$D$2:$D$12,REF!$E$2:$E$12)</f>
        <v>Rede</v>
      </c>
      <c r="L1017" s="1" t="s">
        <v>2206</v>
      </c>
      <c r="M1017" s="1" t="s">
        <v>260</v>
      </c>
      <c r="N1017" s="1" t="s">
        <v>261</v>
      </c>
      <c r="O1017" s="1" t="s">
        <v>2098</v>
      </c>
      <c r="P1017" s="1" t="str">
        <f t="shared" si="54"/>
        <v>Rio Monte IIISG60KTL(COM1-014)_001_00445996,256944444445996,256944444445996,3833333333</v>
      </c>
      <c r="Q1017" s="1" t="str">
        <f t="shared" si="55"/>
        <v>DAURDE</v>
      </c>
    </row>
    <row r="1018" spans="1:17" hidden="1">
      <c r="B1018" s="1" t="s">
        <v>2134</v>
      </c>
      <c r="C1018" s="1" t="s">
        <v>2142</v>
      </c>
      <c r="D1018" s="52">
        <v>45996.256944444445</v>
      </c>
      <c r="E1018" s="52">
        <v>45996.256944444445</v>
      </c>
      <c r="F1018" s="52">
        <v>45996.383333333331</v>
      </c>
      <c r="G1018" s="53">
        <f t="shared" si="56"/>
        <v>0.12638888888614019</v>
      </c>
      <c r="H1018" s="1" t="s">
        <v>257</v>
      </c>
      <c r="J1018" s="1" t="s">
        <v>258</v>
      </c>
      <c r="K1018" s="1" t="str">
        <f>_xlfn.XLOOKUP(J1018,REF!$D$2:$D$12,REF!$E$2:$E$12)</f>
        <v>Rede</v>
      </c>
      <c r="L1018" s="1" t="s">
        <v>2206</v>
      </c>
      <c r="M1018" s="1" t="s">
        <v>260</v>
      </c>
      <c r="N1018" s="1" t="s">
        <v>261</v>
      </c>
      <c r="O1018" s="1" t="s">
        <v>2098</v>
      </c>
      <c r="P1018" s="1" t="str">
        <f t="shared" si="54"/>
        <v>Rio Monte IIISG60KTL(COM1-015)_001_01345996,256944444445996,256944444445996,3833333333</v>
      </c>
      <c r="Q1018" s="1" t="str">
        <f t="shared" si="55"/>
        <v>DAURDE</v>
      </c>
    </row>
    <row r="1019" spans="1:17" hidden="1">
      <c r="B1019" s="1" t="s">
        <v>2134</v>
      </c>
      <c r="C1019" s="1" t="s">
        <v>2143</v>
      </c>
      <c r="D1019" s="52">
        <v>45996.256944444445</v>
      </c>
      <c r="E1019" s="52">
        <v>45996.256944444445</v>
      </c>
      <c r="F1019" s="52">
        <v>45996.383333333331</v>
      </c>
      <c r="G1019" s="53">
        <f t="shared" si="56"/>
        <v>0.12638888888614019</v>
      </c>
      <c r="H1019" s="1" t="s">
        <v>257</v>
      </c>
      <c r="J1019" s="1" t="s">
        <v>258</v>
      </c>
      <c r="K1019" s="1" t="str">
        <f>_xlfn.XLOOKUP(J1019,REF!$D$2:$D$12,REF!$E$2:$E$12)</f>
        <v>Rede</v>
      </c>
      <c r="L1019" s="1" t="s">
        <v>2206</v>
      </c>
      <c r="M1019" s="1" t="s">
        <v>260</v>
      </c>
      <c r="N1019" s="1" t="s">
        <v>261</v>
      </c>
      <c r="O1019" s="1" t="s">
        <v>2098</v>
      </c>
      <c r="P1019" s="1" t="str">
        <f t="shared" si="54"/>
        <v>Rio Monte IIISG60KTL(COM1-016)_001_01445996,256944444445996,256944444445996,3833333333</v>
      </c>
      <c r="Q1019" s="1" t="str">
        <f t="shared" si="55"/>
        <v>DAURDE</v>
      </c>
    </row>
    <row r="1020" spans="1:17" hidden="1">
      <c r="B1020" s="1" t="s">
        <v>2134</v>
      </c>
      <c r="C1020" s="1" t="s">
        <v>2144</v>
      </c>
      <c r="D1020" s="52">
        <v>45996.256944444445</v>
      </c>
      <c r="E1020" s="52">
        <v>45996.256944444445</v>
      </c>
      <c r="F1020" s="52">
        <v>45996.383333333331</v>
      </c>
      <c r="G1020" s="53">
        <f t="shared" si="56"/>
        <v>0.12638888888614019</v>
      </c>
      <c r="H1020" s="1" t="s">
        <v>257</v>
      </c>
      <c r="J1020" s="1" t="s">
        <v>258</v>
      </c>
      <c r="K1020" s="1" t="str">
        <f>_xlfn.XLOOKUP(J1020,REF!$D$2:$D$12,REF!$E$2:$E$12)</f>
        <v>Rede</v>
      </c>
      <c r="L1020" s="1" t="s">
        <v>2206</v>
      </c>
      <c r="M1020" s="1" t="s">
        <v>260</v>
      </c>
      <c r="N1020" s="1" t="s">
        <v>261</v>
      </c>
      <c r="O1020" s="1" t="s">
        <v>2098</v>
      </c>
      <c r="P1020" s="1" t="str">
        <f t="shared" si="54"/>
        <v>Rio Monte IIISG60KTL(COM1-017)_001_00845996,256944444445996,256944444445996,3833333333</v>
      </c>
      <c r="Q1020" s="1" t="str">
        <f t="shared" si="55"/>
        <v>DAURDE</v>
      </c>
    </row>
    <row r="1021" spans="1:17">
      <c r="A1021" s="45"/>
      <c r="B1021" s="61" t="s">
        <v>311</v>
      </c>
      <c r="C1021" s="61" t="s">
        <v>264</v>
      </c>
      <c r="D1021" s="62">
        <v>46016.013888888891</v>
      </c>
      <c r="E1021" s="62">
        <v>46016.013888888891</v>
      </c>
      <c r="F1021" s="62">
        <v>46016.076388888891</v>
      </c>
      <c r="G1021" s="63">
        <f>F1021-E1021</f>
        <v>6.25E-2</v>
      </c>
      <c r="H1021" s="61" t="s">
        <v>268</v>
      </c>
      <c r="I1021" s="61" t="s">
        <v>269</v>
      </c>
      <c r="J1021" s="61" t="s">
        <v>319</v>
      </c>
      <c r="K1021" s="61" t="s">
        <v>652</v>
      </c>
      <c r="L1021" s="61" t="s">
        <v>2207</v>
      </c>
      <c r="M1021" s="61" t="s">
        <v>289</v>
      </c>
      <c r="N1021" s="61" t="s">
        <v>253</v>
      </c>
      <c r="O1021" s="61" t="s">
        <v>2208</v>
      </c>
      <c r="P1021" s="61" t="str">
        <f t="shared" si="54"/>
        <v>ARAGUATINS 2.1Inverter(MBUS-13)46016,013888888946016,013888888946016,0763888889</v>
      </c>
      <c r="Q1021" s="61" t="str">
        <f t="shared" si="55"/>
        <v>LIGRFOCOM</v>
      </c>
    </row>
    <row r="1022" spans="1:17">
      <c r="A1022" s="45"/>
      <c r="B1022" s="61" t="s">
        <v>311</v>
      </c>
      <c r="C1022" s="61" t="s">
        <v>256</v>
      </c>
      <c r="D1022" s="62">
        <v>46016.013888888891</v>
      </c>
      <c r="E1022" s="62">
        <v>46016.013888888891</v>
      </c>
      <c r="F1022" s="62">
        <v>46016.076388888891</v>
      </c>
      <c r="G1022" s="63">
        <f>F1022-E1022</f>
        <v>6.25E-2</v>
      </c>
      <c r="H1022" s="61" t="s">
        <v>268</v>
      </c>
      <c r="I1022" s="61" t="s">
        <v>269</v>
      </c>
      <c r="J1022" s="61" t="s">
        <v>319</v>
      </c>
      <c r="K1022" s="61" t="s">
        <v>652</v>
      </c>
      <c r="L1022" s="61" t="s">
        <v>2207</v>
      </c>
      <c r="M1022" s="61" t="s">
        <v>289</v>
      </c>
      <c r="N1022" s="61" t="s">
        <v>253</v>
      </c>
      <c r="O1022" s="61" t="s">
        <v>2208</v>
      </c>
      <c r="P1022" s="61" t="str">
        <f t="shared" si="54"/>
        <v>ARAGUATINS 2.1Inverter(MBUS-12)46016,013888888946016,013888888946016,0763888889</v>
      </c>
      <c r="Q1022" s="61" t="str">
        <f t="shared" si="55"/>
        <v>LIGRFOCOM</v>
      </c>
    </row>
    <row r="1023" spans="1:17">
      <c r="A1023" s="45"/>
      <c r="B1023" s="61" t="s">
        <v>311</v>
      </c>
      <c r="C1023" s="61" t="s">
        <v>307</v>
      </c>
      <c r="D1023" s="62">
        <v>46016.013888888891</v>
      </c>
      <c r="E1023" s="62">
        <v>46016.013888888891</v>
      </c>
      <c r="F1023" s="62">
        <v>46016.076388888891</v>
      </c>
      <c r="G1023" s="63">
        <f>F1023-E1023</f>
        <v>6.25E-2</v>
      </c>
      <c r="H1023" s="61" t="s">
        <v>268</v>
      </c>
      <c r="I1023" s="61" t="s">
        <v>269</v>
      </c>
      <c r="J1023" s="61" t="s">
        <v>319</v>
      </c>
      <c r="K1023" s="61" t="s">
        <v>652</v>
      </c>
      <c r="L1023" s="61" t="s">
        <v>2207</v>
      </c>
      <c r="M1023" s="61" t="s">
        <v>289</v>
      </c>
      <c r="N1023" s="61" t="s">
        <v>253</v>
      </c>
      <c r="O1023" s="61" t="s">
        <v>2208</v>
      </c>
      <c r="P1023" s="61" t="str">
        <f t="shared" si="54"/>
        <v>ARAGUATINS 2.1Inverter(MBUS-15)46016,013888888946016,013888888946016,0763888889</v>
      </c>
      <c r="Q1023" s="61" t="str">
        <f t="shared" si="55"/>
        <v>LIGRFOCOM</v>
      </c>
    </row>
    <row r="1024" spans="1:17">
      <c r="A1024" s="45"/>
      <c r="B1024" s="61" t="s">
        <v>311</v>
      </c>
      <c r="C1024" s="61" t="s">
        <v>263</v>
      </c>
      <c r="D1024" s="62">
        <v>46016.013888888891</v>
      </c>
      <c r="E1024" s="62">
        <v>46016.013888888891</v>
      </c>
      <c r="F1024" s="62">
        <v>46016.076388888891</v>
      </c>
      <c r="G1024" s="63">
        <f>F1024-E1024</f>
        <v>6.25E-2</v>
      </c>
      <c r="H1024" s="61" t="s">
        <v>268</v>
      </c>
      <c r="I1024" s="61" t="s">
        <v>269</v>
      </c>
      <c r="J1024" s="61" t="s">
        <v>319</v>
      </c>
      <c r="K1024" s="61" t="s">
        <v>652</v>
      </c>
      <c r="L1024" s="61" t="s">
        <v>2207</v>
      </c>
      <c r="M1024" s="61" t="s">
        <v>289</v>
      </c>
      <c r="N1024" s="61" t="s">
        <v>253</v>
      </c>
      <c r="O1024" s="61" t="s">
        <v>2208</v>
      </c>
      <c r="P1024" s="61" t="str">
        <f t="shared" si="54"/>
        <v>ARAGUATINS 2.1Inverter(MBUS-14)46016,013888888946016,013888888946016,0763888889</v>
      </c>
      <c r="Q1024" s="61" t="str">
        <f t="shared" si="55"/>
        <v>LIGRFOCOM</v>
      </c>
    </row>
    <row r="1025" spans="1:17" hidden="1">
      <c r="A1025" s="45"/>
      <c r="B1025" s="61" t="s">
        <v>803</v>
      </c>
      <c r="C1025" s="61" t="s">
        <v>264</v>
      </c>
      <c r="D1025" s="62">
        <v>46017.213194444441</v>
      </c>
      <c r="E1025" s="62">
        <v>46017.213194444441</v>
      </c>
      <c r="F1025" s="62">
        <v>46017.583333333336</v>
      </c>
      <c r="G1025" s="63">
        <f>F1025-E1025</f>
        <v>0.37013888889487134</v>
      </c>
      <c r="H1025" s="61" t="s">
        <v>257</v>
      </c>
      <c r="I1025" s="61"/>
      <c r="J1025" s="61" t="s">
        <v>258</v>
      </c>
      <c r="K1025" s="61" t="s">
        <v>658</v>
      </c>
      <c r="L1025" s="61" t="s">
        <v>691</v>
      </c>
      <c r="M1025" s="61" t="s">
        <v>260</v>
      </c>
      <c r="N1025" s="61" t="s">
        <v>261</v>
      </c>
      <c r="O1025" s="61" t="s">
        <v>2061</v>
      </c>
      <c r="P1025" s="61" t="str">
        <f t="shared" si="54"/>
        <v>BC Formoso1.1Inverter(MBUS-13)46017,213194444446017,213194444446017,5833333333</v>
      </c>
      <c r="Q1025" s="61" t="str">
        <f t="shared" si="55"/>
        <v>DAURDE</v>
      </c>
    </row>
    <row r="1026" spans="1:17" hidden="1">
      <c r="A1026" s="45"/>
      <c r="B1026" s="61" t="s">
        <v>803</v>
      </c>
      <c r="C1026" s="61" t="s">
        <v>256</v>
      </c>
      <c r="D1026" s="62">
        <v>46017.213194444441</v>
      </c>
      <c r="E1026" s="62">
        <v>46017.213194444441</v>
      </c>
      <c r="F1026" s="62">
        <v>46017.583333333336</v>
      </c>
      <c r="G1026" s="63">
        <f>F1026-E1026</f>
        <v>0.37013888889487134</v>
      </c>
      <c r="H1026" s="61" t="s">
        <v>257</v>
      </c>
      <c r="I1026" s="61"/>
      <c r="J1026" s="61" t="s">
        <v>258</v>
      </c>
      <c r="K1026" s="61" t="s">
        <v>658</v>
      </c>
      <c r="L1026" s="61" t="s">
        <v>691</v>
      </c>
      <c r="M1026" s="61" t="s">
        <v>260</v>
      </c>
      <c r="N1026" s="61" t="s">
        <v>261</v>
      </c>
      <c r="O1026" s="61" t="s">
        <v>2061</v>
      </c>
      <c r="P1026" s="61" t="str">
        <f t="shared" si="54"/>
        <v>BC Formoso1.1Inverter(MBUS-12)46017,213194444446017,213194444446017,5833333333</v>
      </c>
      <c r="Q1026" s="61" t="str">
        <f t="shared" si="55"/>
        <v>DAURDE</v>
      </c>
    </row>
    <row r="1027" spans="1:17" hidden="1">
      <c r="A1027" s="45"/>
      <c r="B1027" s="61" t="s">
        <v>803</v>
      </c>
      <c r="C1027" s="61" t="s">
        <v>307</v>
      </c>
      <c r="D1027" s="62">
        <v>46017.213194444441</v>
      </c>
      <c r="E1027" s="62">
        <v>46017.213194444441</v>
      </c>
      <c r="F1027" s="62">
        <v>46017.583333333336</v>
      </c>
      <c r="G1027" s="63">
        <f>F1027-E1027</f>
        <v>0.37013888889487134</v>
      </c>
      <c r="H1027" s="61" t="s">
        <v>257</v>
      </c>
      <c r="I1027" s="61"/>
      <c r="J1027" s="61" t="s">
        <v>258</v>
      </c>
      <c r="K1027" s="61" t="s">
        <v>658</v>
      </c>
      <c r="L1027" s="61" t="s">
        <v>691</v>
      </c>
      <c r="M1027" s="61" t="s">
        <v>260</v>
      </c>
      <c r="N1027" s="61" t="s">
        <v>261</v>
      </c>
      <c r="O1027" s="61" t="s">
        <v>2061</v>
      </c>
      <c r="P1027" s="61" t="str">
        <f t="shared" si="54"/>
        <v>BC Formoso1.1Inverter(MBUS-15)46017,213194444446017,213194444446017,5833333333</v>
      </c>
      <c r="Q1027" s="61" t="str">
        <f t="shared" si="55"/>
        <v>DAURDE</v>
      </c>
    </row>
    <row r="1028" spans="1:17" hidden="1">
      <c r="A1028" s="45"/>
      <c r="B1028" s="61" t="s">
        <v>803</v>
      </c>
      <c r="C1028" s="61" t="s">
        <v>263</v>
      </c>
      <c r="D1028" s="62">
        <v>46017.213194444441</v>
      </c>
      <c r="E1028" s="62">
        <v>46017.213194444441</v>
      </c>
      <c r="F1028" s="62">
        <v>46017.583333333336</v>
      </c>
      <c r="G1028" s="63">
        <f>F1028-E1028</f>
        <v>0.37013888889487134</v>
      </c>
      <c r="H1028" s="61" t="s">
        <v>257</v>
      </c>
      <c r="I1028" s="61"/>
      <c r="J1028" s="61" t="s">
        <v>258</v>
      </c>
      <c r="K1028" s="61" t="s">
        <v>658</v>
      </c>
      <c r="L1028" s="61" t="s">
        <v>691</v>
      </c>
      <c r="M1028" s="61" t="s">
        <v>260</v>
      </c>
      <c r="N1028" s="61" t="s">
        <v>261</v>
      </c>
      <c r="O1028" s="61" t="s">
        <v>2061</v>
      </c>
      <c r="P1028" s="61" t="str">
        <f t="shared" si="54"/>
        <v>BC Formoso1.1Inverter(MBUS-14)46017,213194444446017,213194444446017,5833333333</v>
      </c>
      <c r="Q1028" s="61" t="str">
        <f t="shared" si="55"/>
        <v>DAURDE</v>
      </c>
    </row>
    <row r="1029" spans="1:17" hidden="1">
      <c r="A1029" s="45"/>
      <c r="B1029" s="61" t="s">
        <v>805</v>
      </c>
      <c r="C1029" s="61" t="s">
        <v>264</v>
      </c>
      <c r="D1029" s="62">
        <v>46017.213194444441</v>
      </c>
      <c r="E1029" s="62">
        <v>46017.213194444441</v>
      </c>
      <c r="F1029" s="62">
        <v>46017.583333333336</v>
      </c>
      <c r="G1029" s="63">
        <f>F1029-E1029</f>
        <v>0.37013888889487134</v>
      </c>
      <c r="H1029" s="61" t="s">
        <v>257</v>
      </c>
      <c r="I1029" s="61"/>
      <c r="J1029" s="61" t="s">
        <v>258</v>
      </c>
      <c r="K1029" s="61" t="s">
        <v>658</v>
      </c>
      <c r="L1029" s="61" t="s">
        <v>691</v>
      </c>
      <c r="M1029" s="61" t="s">
        <v>260</v>
      </c>
      <c r="N1029" s="61" t="s">
        <v>261</v>
      </c>
      <c r="O1029" s="61" t="s">
        <v>2061</v>
      </c>
      <c r="P1029" s="61" t="str">
        <f t="shared" si="54"/>
        <v>BC Formoso1.2Inverter(MBUS-13)46017,213194444446017,213194444446017,5833333333</v>
      </c>
      <c r="Q1029" s="61" t="str">
        <f t="shared" si="55"/>
        <v>DAURDE</v>
      </c>
    </row>
    <row r="1030" spans="1:17" hidden="1">
      <c r="A1030" s="45"/>
      <c r="B1030" s="61" t="s">
        <v>805</v>
      </c>
      <c r="C1030" s="61" t="s">
        <v>256</v>
      </c>
      <c r="D1030" s="62">
        <v>46017.213194444441</v>
      </c>
      <c r="E1030" s="62">
        <v>46017.213194444441</v>
      </c>
      <c r="F1030" s="62">
        <v>46017.583333333336</v>
      </c>
      <c r="G1030" s="63">
        <f>F1030-E1030</f>
        <v>0.37013888889487134</v>
      </c>
      <c r="H1030" s="61" t="s">
        <v>257</v>
      </c>
      <c r="I1030" s="61"/>
      <c r="J1030" s="61" t="s">
        <v>258</v>
      </c>
      <c r="K1030" s="61" t="s">
        <v>658</v>
      </c>
      <c r="L1030" s="61" t="s">
        <v>691</v>
      </c>
      <c r="M1030" s="61" t="s">
        <v>260</v>
      </c>
      <c r="N1030" s="61" t="s">
        <v>261</v>
      </c>
      <c r="O1030" s="61" t="s">
        <v>2061</v>
      </c>
      <c r="P1030" s="61" t="str">
        <f t="shared" si="54"/>
        <v>BC Formoso1.2Inverter(MBUS-12)46017,213194444446017,213194444446017,5833333333</v>
      </c>
      <c r="Q1030" s="61" t="str">
        <f t="shared" si="55"/>
        <v>DAURDE</v>
      </c>
    </row>
    <row r="1031" spans="1:17" hidden="1">
      <c r="A1031" s="45"/>
      <c r="B1031" s="61" t="s">
        <v>805</v>
      </c>
      <c r="C1031" s="61" t="s">
        <v>307</v>
      </c>
      <c r="D1031" s="62">
        <v>46017.213194444441</v>
      </c>
      <c r="E1031" s="62">
        <v>46017.213194444441</v>
      </c>
      <c r="F1031" s="62">
        <v>46017.583333333336</v>
      </c>
      <c r="G1031" s="63">
        <f>F1031-E1031</f>
        <v>0.37013888889487134</v>
      </c>
      <c r="H1031" s="61" t="s">
        <v>257</v>
      </c>
      <c r="I1031" s="61"/>
      <c r="J1031" s="61" t="s">
        <v>258</v>
      </c>
      <c r="K1031" s="61" t="s">
        <v>658</v>
      </c>
      <c r="L1031" s="61" t="s">
        <v>691</v>
      </c>
      <c r="M1031" s="61" t="s">
        <v>260</v>
      </c>
      <c r="N1031" s="61" t="s">
        <v>261</v>
      </c>
      <c r="O1031" s="61" t="s">
        <v>2061</v>
      </c>
      <c r="P1031" s="61" t="str">
        <f t="shared" si="54"/>
        <v>BC Formoso1.2Inverter(MBUS-15)46017,213194444446017,213194444446017,5833333333</v>
      </c>
      <c r="Q1031" s="61" t="str">
        <f t="shared" si="55"/>
        <v>DAURDE</v>
      </c>
    </row>
    <row r="1032" spans="1:17" hidden="1">
      <c r="A1032" s="45"/>
      <c r="B1032" s="61" t="s">
        <v>805</v>
      </c>
      <c r="C1032" s="61" t="s">
        <v>263</v>
      </c>
      <c r="D1032" s="62">
        <v>46017.213194444441</v>
      </c>
      <c r="E1032" s="62">
        <v>46017.213194444441</v>
      </c>
      <c r="F1032" s="62">
        <v>46017.583333333336</v>
      </c>
      <c r="G1032" s="63">
        <f>F1032-E1032</f>
        <v>0.37013888889487134</v>
      </c>
      <c r="H1032" s="61" t="s">
        <v>257</v>
      </c>
      <c r="I1032" s="61"/>
      <c r="J1032" s="61" t="s">
        <v>258</v>
      </c>
      <c r="K1032" s="61" t="s">
        <v>658</v>
      </c>
      <c r="L1032" s="61" t="s">
        <v>691</v>
      </c>
      <c r="M1032" s="61" t="s">
        <v>260</v>
      </c>
      <c r="N1032" s="61" t="s">
        <v>261</v>
      </c>
      <c r="O1032" s="61" t="s">
        <v>2061</v>
      </c>
      <c r="P1032" s="61" t="str">
        <f t="shared" si="54"/>
        <v>BC Formoso1.2Inverter(MBUS-14)46017,213194444446017,213194444446017,5833333333</v>
      </c>
      <c r="Q1032" s="61" t="str">
        <f t="shared" si="55"/>
        <v>DAURDE</v>
      </c>
    </row>
    <row r="1033" spans="1:17" hidden="1">
      <c r="A1033" s="45"/>
      <c r="B1033" s="61" t="s">
        <v>806</v>
      </c>
      <c r="C1033" s="61" t="s">
        <v>264</v>
      </c>
      <c r="D1033" s="62">
        <v>46017.213194444441</v>
      </c>
      <c r="E1033" s="62">
        <v>46017.213194444441</v>
      </c>
      <c r="F1033" s="62">
        <v>46017.583333333336</v>
      </c>
      <c r="G1033" s="63">
        <f>F1033-E1033</f>
        <v>0.37013888889487134</v>
      </c>
      <c r="H1033" s="61" t="s">
        <v>257</v>
      </c>
      <c r="I1033" s="61"/>
      <c r="J1033" s="61" t="s">
        <v>258</v>
      </c>
      <c r="K1033" s="61" t="s">
        <v>658</v>
      </c>
      <c r="L1033" s="61" t="s">
        <v>691</v>
      </c>
      <c r="M1033" s="61" t="s">
        <v>260</v>
      </c>
      <c r="N1033" s="61" t="s">
        <v>261</v>
      </c>
      <c r="O1033" s="61" t="s">
        <v>2061</v>
      </c>
      <c r="P1033" s="61" t="str">
        <f t="shared" si="54"/>
        <v>BC Formoso1.3Inverter(MBUS-13)46017,213194444446017,213194444446017,5833333333</v>
      </c>
      <c r="Q1033" s="61" t="str">
        <f t="shared" si="55"/>
        <v>DAURDE</v>
      </c>
    </row>
    <row r="1034" spans="1:17" hidden="1">
      <c r="A1034" s="45"/>
      <c r="B1034" s="61" t="s">
        <v>806</v>
      </c>
      <c r="C1034" s="61" t="s">
        <v>256</v>
      </c>
      <c r="D1034" s="62">
        <v>46017.213194444441</v>
      </c>
      <c r="E1034" s="62">
        <v>46017.213194444441</v>
      </c>
      <c r="F1034" s="62">
        <v>46017.583333333336</v>
      </c>
      <c r="G1034" s="63">
        <f>F1034-E1034</f>
        <v>0.37013888889487134</v>
      </c>
      <c r="H1034" s="61" t="s">
        <v>257</v>
      </c>
      <c r="I1034" s="61"/>
      <c r="J1034" s="61" t="s">
        <v>258</v>
      </c>
      <c r="K1034" s="61" t="s">
        <v>658</v>
      </c>
      <c r="L1034" s="61" t="s">
        <v>691</v>
      </c>
      <c r="M1034" s="61" t="s">
        <v>260</v>
      </c>
      <c r="N1034" s="61" t="s">
        <v>261</v>
      </c>
      <c r="O1034" s="61" t="s">
        <v>2061</v>
      </c>
      <c r="P1034" s="61" t="str">
        <f t="shared" si="54"/>
        <v>BC Formoso1.3Inverter(MBUS-12)46017,213194444446017,213194444446017,5833333333</v>
      </c>
      <c r="Q1034" s="61" t="str">
        <f t="shared" si="55"/>
        <v>DAURDE</v>
      </c>
    </row>
    <row r="1035" spans="1:17" hidden="1">
      <c r="A1035" s="45"/>
      <c r="B1035" s="61" t="s">
        <v>255</v>
      </c>
      <c r="C1035" s="61" t="s">
        <v>256</v>
      </c>
      <c r="D1035" s="62">
        <v>46017.213194444441</v>
      </c>
      <c r="E1035" s="62">
        <v>46017.213194444441</v>
      </c>
      <c r="F1035" s="62">
        <v>46017.583333333336</v>
      </c>
      <c r="G1035" s="63">
        <f>F1035-E1035</f>
        <v>0.37013888889487134</v>
      </c>
      <c r="H1035" s="61" t="s">
        <v>257</v>
      </c>
      <c r="I1035" s="61"/>
      <c r="J1035" s="61" t="s">
        <v>258</v>
      </c>
      <c r="K1035" s="61" t="s">
        <v>658</v>
      </c>
      <c r="L1035" s="61" t="s">
        <v>691</v>
      </c>
      <c r="M1035" s="61" t="s">
        <v>260</v>
      </c>
      <c r="N1035" s="61" t="s">
        <v>261</v>
      </c>
      <c r="O1035" s="61" t="s">
        <v>2061</v>
      </c>
      <c r="P1035" s="61" t="str">
        <f t="shared" si="54"/>
        <v>BC Formoso2.1Inverter(MBUS-12)46017,213194444446017,213194444446017,5833333333</v>
      </c>
      <c r="Q1035" s="61" t="str">
        <f t="shared" si="55"/>
        <v>DAURDE</v>
      </c>
    </row>
    <row r="1036" spans="1:17" hidden="1">
      <c r="A1036" s="45"/>
      <c r="B1036" s="61" t="s">
        <v>255</v>
      </c>
      <c r="C1036" s="61" t="s">
        <v>263</v>
      </c>
      <c r="D1036" s="62">
        <v>46017.213194444441</v>
      </c>
      <c r="E1036" s="62">
        <v>46017.213194444441</v>
      </c>
      <c r="F1036" s="62">
        <v>46017.583333333336</v>
      </c>
      <c r="G1036" s="63">
        <f>F1036-E1036</f>
        <v>0.37013888889487134</v>
      </c>
      <c r="H1036" s="61" t="s">
        <v>257</v>
      </c>
      <c r="I1036" s="61"/>
      <c r="J1036" s="61" t="s">
        <v>258</v>
      </c>
      <c r="K1036" s="61" t="s">
        <v>658</v>
      </c>
      <c r="L1036" s="61" t="s">
        <v>691</v>
      </c>
      <c r="M1036" s="61" t="s">
        <v>260</v>
      </c>
      <c r="N1036" s="61" t="s">
        <v>261</v>
      </c>
      <c r="O1036" s="61" t="s">
        <v>2061</v>
      </c>
      <c r="P1036" s="61" t="str">
        <f t="shared" si="54"/>
        <v>BC Formoso2.1Inverter(MBUS-14)46017,213194444446017,213194444446017,5833333333</v>
      </c>
      <c r="Q1036" s="61" t="str">
        <f t="shared" si="55"/>
        <v>DAURDE</v>
      </c>
    </row>
    <row r="1037" spans="1:17" hidden="1">
      <c r="A1037" s="45"/>
      <c r="B1037" s="61" t="s">
        <v>255</v>
      </c>
      <c r="C1037" s="61" t="s">
        <v>264</v>
      </c>
      <c r="D1037" s="62">
        <v>46017.213194444441</v>
      </c>
      <c r="E1037" s="62">
        <v>46017.213194444441</v>
      </c>
      <c r="F1037" s="62">
        <v>46017.583333333336</v>
      </c>
      <c r="G1037" s="63">
        <f>F1037-E1037</f>
        <v>0.37013888889487134</v>
      </c>
      <c r="H1037" s="61" t="s">
        <v>257</v>
      </c>
      <c r="I1037" s="61"/>
      <c r="J1037" s="61" t="s">
        <v>258</v>
      </c>
      <c r="K1037" s="61" t="s">
        <v>658</v>
      </c>
      <c r="L1037" s="61" t="s">
        <v>691</v>
      </c>
      <c r="M1037" s="61" t="s">
        <v>260</v>
      </c>
      <c r="N1037" s="61" t="s">
        <v>261</v>
      </c>
      <c r="O1037" s="61" t="s">
        <v>2061</v>
      </c>
      <c r="P1037" s="61" t="str">
        <f t="shared" si="54"/>
        <v>BC Formoso2.1Inverter(MBUS-13)46017,213194444446017,213194444446017,5833333333</v>
      </c>
      <c r="Q1037" s="61" t="str">
        <f t="shared" si="55"/>
        <v>DAURDE</v>
      </c>
    </row>
    <row r="1038" spans="1:17" hidden="1">
      <c r="A1038" s="45"/>
      <c r="B1038" s="61" t="s">
        <v>255</v>
      </c>
      <c r="C1038" s="61" t="s">
        <v>247</v>
      </c>
      <c r="D1038" s="62">
        <v>46017.213194444441</v>
      </c>
      <c r="E1038" s="62">
        <v>46017.213194444441</v>
      </c>
      <c r="F1038" s="62">
        <v>46017.583333333336</v>
      </c>
      <c r="G1038" s="63">
        <f>F1038-E1038</f>
        <v>0.37013888889487134</v>
      </c>
      <c r="H1038" s="61" t="s">
        <v>257</v>
      </c>
      <c r="I1038" s="61"/>
      <c r="J1038" s="61" t="s">
        <v>258</v>
      </c>
      <c r="K1038" s="61" t="s">
        <v>658</v>
      </c>
      <c r="L1038" s="61" t="s">
        <v>691</v>
      </c>
      <c r="M1038" s="61" t="s">
        <v>260</v>
      </c>
      <c r="N1038" s="61" t="s">
        <v>261</v>
      </c>
      <c r="O1038" s="61" t="s">
        <v>2061</v>
      </c>
      <c r="P1038" s="61" t="str">
        <f t="shared" si="54"/>
        <v>BC Formoso2.1Inverter(MBUS-1)46017,213194444446017,213194444446017,5833333333</v>
      </c>
      <c r="Q1038" s="61" t="str">
        <f t="shared" si="55"/>
        <v>DAURDE</v>
      </c>
    </row>
    <row r="1039" spans="1:17" hidden="1">
      <c r="A1039" s="45"/>
      <c r="B1039" s="61" t="s">
        <v>265</v>
      </c>
      <c r="C1039" s="61" t="s">
        <v>263</v>
      </c>
      <c r="D1039" s="62">
        <v>46017.213194444441</v>
      </c>
      <c r="E1039" s="62">
        <v>46017.213194444441</v>
      </c>
      <c r="F1039" s="62">
        <v>46017.583333333336</v>
      </c>
      <c r="G1039" s="63">
        <f>F1039-E1039</f>
        <v>0.37013888889487134</v>
      </c>
      <c r="H1039" s="61" t="s">
        <v>257</v>
      </c>
      <c r="I1039" s="61"/>
      <c r="J1039" s="61" t="s">
        <v>258</v>
      </c>
      <c r="K1039" s="61" t="s">
        <v>658</v>
      </c>
      <c r="L1039" s="61" t="s">
        <v>691</v>
      </c>
      <c r="M1039" s="61" t="s">
        <v>260</v>
      </c>
      <c r="N1039" s="61" t="s">
        <v>261</v>
      </c>
      <c r="O1039" s="61" t="s">
        <v>2061</v>
      </c>
      <c r="P1039" s="61" t="str">
        <f t="shared" si="54"/>
        <v>BC Formoso2.2Inverter(MBUS-14)46017,213194444446017,213194444446017,5833333333</v>
      </c>
      <c r="Q1039" s="61" t="str">
        <f t="shared" si="55"/>
        <v>DAURDE</v>
      </c>
    </row>
    <row r="1040" spans="1:17" hidden="1">
      <c r="A1040" s="45"/>
      <c r="B1040" s="61" t="s">
        <v>265</v>
      </c>
      <c r="C1040" s="61" t="s">
        <v>264</v>
      </c>
      <c r="D1040" s="62">
        <v>46017.213194444441</v>
      </c>
      <c r="E1040" s="62">
        <v>46017.213194444441</v>
      </c>
      <c r="F1040" s="62">
        <v>46017.583333333336</v>
      </c>
      <c r="G1040" s="63">
        <f>F1040-E1040</f>
        <v>0.37013888889487134</v>
      </c>
      <c r="H1040" s="61" t="s">
        <v>257</v>
      </c>
      <c r="I1040" s="61"/>
      <c r="J1040" s="61" t="s">
        <v>258</v>
      </c>
      <c r="K1040" s="61" t="s">
        <v>658</v>
      </c>
      <c r="L1040" s="61" t="s">
        <v>691</v>
      </c>
      <c r="M1040" s="61" t="s">
        <v>260</v>
      </c>
      <c r="N1040" s="61" t="s">
        <v>261</v>
      </c>
      <c r="O1040" s="61" t="s">
        <v>2061</v>
      </c>
      <c r="P1040" s="61" t="str">
        <f t="shared" si="54"/>
        <v>BC Formoso2.2Inverter(MBUS-13)46017,213194444446017,213194444446017,5833333333</v>
      </c>
      <c r="Q1040" s="61" t="str">
        <f t="shared" si="55"/>
        <v>DAURDE</v>
      </c>
    </row>
    <row r="1041" spans="1:17" hidden="1">
      <c r="A1041" s="45"/>
      <c r="B1041" s="61" t="s">
        <v>265</v>
      </c>
      <c r="C1041" s="61" t="s">
        <v>256</v>
      </c>
      <c r="D1041" s="62">
        <v>46017.213194444441</v>
      </c>
      <c r="E1041" s="62">
        <v>46017.213194444441</v>
      </c>
      <c r="F1041" s="62">
        <v>46017.583333333336</v>
      </c>
      <c r="G1041" s="63">
        <f>F1041-E1041</f>
        <v>0.37013888889487134</v>
      </c>
      <c r="H1041" s="61" t="s">
        <v>257</v>
      </c>
      <c r="I1041" s="61"/>
      <c r="J1041" s="61" t="s">
        <v>258</v>
      </c>
      <c r="K1041" s="61" t="s">
        <v>658</v>
      </c>
      <c r="L1041" s="61" t="s">
        <v>691</v>
      </c>
      <c r="M1041" s="61" t="s">
        <v>260</v>
      </c>
      <c r="N1041" s="61" t="s">
        <v>261</v>
      </c>
      <c r="O1041" s="61" t="s">
        <v>2061</v>
      </c>
      <c r="P1041" s="61" t="str">
        <f t="shared" si="54"/>
        <v>BC Formoso2.2Inverter(MBUS-12)46017,213194444446017,213194444446017,5833333333</v>
      </c>
      <c r="Q1041" s="61" t="str">
        <f t="shared" si="55"/>
        <v>DAURDE</v>
      </c>
    </row>
    <row r="1042" spans="1:17" hidden="1">
      <c r="A1042" s="45"/>
      <c r="B1042" s="61" t="s">
        <v>265</v>
      </c>
      <c r="C1042" s="61" t="s">
        <v>247</v>
      </c>
      <c r="D1042" s="62">
        <v>46017.213194444441</v>
      </c>
      <c r="E1042" s="62">
        <v>46017.213194444441</v>
      </c>
      <c r="F1042" s="62">
        <v>46017.583333333336</v>
      </c>
      <c r="G1042" s="63">
        <f>F1042-E1042</f>
        <v>0.37013888889487134</v>
      </c>
      <c r="H1042" s="61" t="s">
        <v>257</v>
      </c>
      <c r="I1042" s="61"/>
      <c r="J1042" s="61" t="s">
        <v>258</v>
      </c>
      <c r="K1042" s="61" t="s">
        <v>658</v>
      </c>
      <c r="L1042" s="61" t="s">
        <v>691</v>
      </c>
      <c r="M1042" s="61" t="s">
        <v>260</v>
      </c>
      <c r="N1042" s="61" t="s">
        <v>261</v>
      </c>
      <c r="O1042" s="61" t="s">
        <v>2061</v>
      </c>
      <c r="P1042" s="61" t="str">
        <f t="shared" si="54"/>
        <v>BC Formoso2.2Inverter(MBUS-1)46017,213194444446017,213194444446017,5833333333</v>
      </c>
      <c r="Q1042" s="61" t="str">
        <f t="shared" si="55"/>
        <v>DAURDE</v>
      </c>
    </row>
    <row r="1043" spans="1:17" hidden="1">
      <c r="A1043" s="45"/>
      <c r="B1043" s="61" t="s">
        <v>355</v>
      </c>
      <c r="C1043" s="61" t="s">
        <v>264</v>
      </c>
      <c r="D1043" s="62">
        <v>46017.213194444441</v>
      </c>
      <c r="E1043" s="62">
        <v>46017.213194444441</v>
      </c>
      <c r="F1043" s="62">
        <v>46017.583333333336</v>
      </c>
      <c r="G1043" s="63">
        <f>F1043-E1043</f>
        <v>0.37013888889487134</v>
      </c>
      <c r="H1043" s="61" t="s">
        <v>257</v>
      </c>
      <c r="I1043" s="61"/>
      <c r="J1043" s="61" t="s">
        <v>258</v>
      </c>
      <c r="K1043" s="61" t="s">
        <v>658</v>
      </c>
      <c r="L1043" s="61" t="s">
        <v>691</v>
      </c>
      <c r="M1043" s="61" t="s">
        <v>260</v>
      </c>
      <c r="N1043" s="61" t="s">
        <v>261</v>
      </c>
      <c r="O1043" s="61" t="s">
        <v>2061</v>
      </c>
      <c r="P1043" s="61" t="str">
        <f t="shared" si="54"/>
        <v>BC Formoso2.3Inverter(MBUS-13)46017,213194444446017,213194444446017,5833333333</v>
      </c>
      <c r="Q1043" s="61" t="str">
        <f t="shared" si="55"/>
        <v>DAURDE</v>
      </c>
    </row>
    <row r="1044" spans="1:17" hidden="1">
      <c r="A1044" s="45"/>
      <c r="B1044" s="61" t="s">
        <v>355</v>
      </c>
      <c r="C1044" s="61" t="s">
        <v>256</v>
      </c>
      <c r="D1044" s="62">
        <v>46017.213194444441</v>
      </c>
      <c r="E1044" s="62">
        <v>46017.213194444441</v>
      </c>
      <c r="F1044" s="62">
        <v>46017.583333333336</v>
      </c>
      <c r="G1044" s="63">
        <f>F1044-E1044</f>
        <v>0.37013888889487134</v>
      </c>
      <c r="H1044" s="61" t="s">
        <v>257</v>
      </c>
      <c r="I1044" s="61"/>
      <c r="J1044" s="61" t="s">
        <v>258</v>
      </c>
      <c r="K1044" s="61" t="s">
        <v>658</v>
      </c>
      <c r="L1044" s="61" t="s">
        <v>691</v>
      </c>
      <c r="M1044" s="61" t="s">
        <v>260</v>
      </c>
      <c r="N1044" s="61" t="s">
        <v>261</v>
      </c>
      <c r="O1044" s="61" t="s">
        <v>2061</v>
      </c>
      <c r="P1044" s="61" t="str">
        <f t="shared" si="54"/>
        <v>BC Formoso2.3Inverter(MBUS-12)46017,213194444446017,213194444446017,5833333333</v>
      </c>
      <c r="Q1044" s="61" t="str">
        <f t="shared" si="55"/>
        <v>DAURDE</v>
      </c>
    </row>
    <row r="1045" spans="1:17" hidden="1">
      <c r="B1045" s="1" t="s">
        <v>2134</v>
      </c>
      <c r="C1045" s="1" t="s">
        <v>2135</v>
      </c>
      <c r="D1045" s="52">
        <v>45998.277777777781</v>
      </c>
      <c r="E1045" s="52">
        <v>45998.277777777781</v>
      </c>
      <c r="F1045" s="52">
        <v>45998.290277777778</v>
      </c>
      <c r="G1045" s="53">
        <f>F1045-E1045</f>
        <v>1.2499999997089617E-2</v>
      </c>
      <c r="H1045" s="1" t="s">
        <v>257</v>
      </c>
      <c r="J1045" s="1" t="s">
        <v>258</v>
      </c>
      <c r="K1045" s="1" t="s">
        <v>658</v>
      </c>
      <c r="L1045" s="1" t="s">
        <v>2206</v>
      </c>
      <c r="M1045" s="1" t="s">
        <v>260</v>
      </c>
      <c r="N1045" s="1" t="s">
        <v>261</v>
      </c>
      <c r="O1045" s="1" t="s">
        <v>2098</v>
      </c>
      <c r="P1045" s="1" t="str">
        <f t="shared" si="54"/>
        <v>Rio Monte IIISG60KTL(COM1-008)_001_01645998,277777777845998,277777777845998,2902777778</v>
      </c>
      <c r="Q1045" s="1" t="str">
        <f t="shared" si="55"/>
        <v>DAURDE</v>
      </c>
    </row>
    <row r="1046" spans="1:17" hidden="1">
      <c r="B1046" s="1" t="s">
        <v>2134</v>
      </c>
      <c r="C1046" s="1" t="s">
        <v>2136</v>
      </c>
      <c r="D1046" s="52">
        <v>45998.277777777781</v>
      </c>
      <c r="E1046" s="52">
        <v>45998.277777777781</v>
      </c>
      <c r="F1046" s="52">
        <v>45998.290277777778</v>
      </c>
      <c r="G1046" s="53">
        <f t="shared" ref="G1046:G1109" si="57">F1046-E1046</f>
        <v>1.2499999997089617E-2</v>
      </c>
      <c r="H1046" s="1" t="s">
        <v>257</v>
      </c>
      <c r="J1046" s="1" t="s">
        <v>258</v>
      </c>
      <c r="K1046" s="1" t="s">
        <v>658</v>
      </c>
      <c r="L1046" s="1" t="s">
        <v>2206</v>
      </c>
      <c r="M1046" s="1" t="s">
        <v>260</v>
      </c>
      <c r="N1046" s="1" t="s">
        <v>261</v>
      </c>
      <c r="O1046" s="1" t="s">
        <v>2098</v>
      </c>
      <c r="P1046" s="1" t="str">
        <f t="shared" si="54"/>
        <v>Rio Monte IIISG60KTL(COM1-009)_001_01045998,277777777845998,277777777845998,2902777778</v>
      </c>
      <c r="Q1046" s="1" t="str">
        <f t="shared" si="55"/>
        <v>DAURDE</v>
      </c>
    </row>
    <row r="1047" spans="1:17" hidden="1">
      <c r="B1047" s="1" t="s">
        <v>2134</v>
      </c>
      <c r="C1047" s="1" t="s">
        <v>2137</v>
      </c>
      <c r="D1047" s="52">
        <v>45998.277777777781</v>
      </c>
      <c r="E1047" s="52">
        <v>45998.277777777781</v>
      </c>
      <c r="F1047" s="52">
        <v>45998.290277777778</v>
      </c>
      <c r="G1047" s="53">
        <f t="shared" si="57"/>
        <v>1.2499999997089617E-2</v>
      </c>
      <c r="H1047" s="1" t="s">
        <v>257</v>
      </c>
      <c r="J1047" s="1" t="s">
        <v>258</v>
      </c>
      <c r="K1047" s="1" t="s">
        <v>658</v>
      </c>
      <c r="L1047" s="1" t="s">
        <v>2206</v>
      </c>
      <c r="M1047" s="1" t="s">
        <v>260</v>
      </c>
      <c r="N1047" s="1" t="s">
        <v>261</v>
      </c>
      <c r="O1047" s="1" t="s">
        <v>2098</v>
      </c>
      <c r="P1047" s="1" t="str">
        <f t="shared" si="54"/>
        <v>Rio Monte IIISG60KTL(COM1-010)_001_01245998,277777777845998,277777777845998,2902777778</v>
      </c>
      <c r="Q1047" s="1" t="str">
        <f t="shared" si="55"/>
        <v>DAURDE</v>
      </c>
    </row>
    <row r="1048" spans="1:17" hidden="1">
      <c r="B1048" s="1" t="s">
        <v>2134</v>
      </c>
      <c r="C1048" s="1" t="s">
        <v>2138</v>
      </c>
      <c r="D1048" s="52">
        <v>45998.277777777781</v>
      </c>
      <c r="E1048" s="52">
        <v>45998.277777777781</v>
      </c>
      <c r="F1048" s="52">
        <v>45998.290277777778</v>
      </c>
      <c r="G1048" s="53">
        <f t="shared" si="57"/>
        <v>1.2499999997089617E-2</v>
      </c>
      <c r="H1048" s="1" t="s">
        <v>257</v>
      </c>
      <c r="J1048" s="1" t="s">
        <v>258</v>
      </c>
      <c r="K1048" s="1" t="s">
        <v>658</v>
      </c>
      <c r="L1048" s="1" t="s">
        <v>2206</v>
      </c>
      <c r="M1048" s="1" t="s">
        <v>260</v>
      </c>
      <c r="N1048" s="1" t="s">
        <v>261</v>
      </c>
      <c r="O1048" s="1" t="s">
        <v>2098</v>
      </c>
      <c r="P1048" s="1" t="str">
        <f t="shared" si="54"/>
        <v>Rio Monte IIISG60KTL(COM1-011)_001_00245998,277777777845998,277777777845998,2902777778</v>
      </c>
      <c r="Q1048" s="1" t="str">
        <f t="shared" si="55"/>
        <v>DAURDE</v>
      </c>
    </row>
    <row r="1049" spans="1:17" hidden="1">
      <c r="B1049" s="1" t="s">
        <v>2134</v>
      </c>
      <c r="C1049" s="1" t="s">
        <v>2139</v>
      </c>
      <c r="D1049" s="52">
        <v>45998.277777777781</v>
      </c>
      <c r="E1049" s="52">
        <v>45998.277777777781</v>
      </c>
      <c r="F1049" s="52">
        <v>45998.290277777778</v>
      </c>
      <c r="G1049" s="53">
        <f t="shared" si="57"/>
        <v>1.2499999997089617E-2</v>
      </c>
      <c r="H1049" s="1" t="s">
        <v>257</v>
      </c>
      <c r="J1049" s="1" t="s">
        <v>258</v>
      </c>
      <c r="K1049" s="1" t="s">
        <v>658</v>
      </c>
      <c r="L1049" s="1" t="s">
        <v>2206</v>
      </c>
      <c r="M1049" s="1" t="s">
        <v>260</v>
      </c>
      <c r="N1049" s="1" t="s">
        <v>261</v>
      </c>
      <c r="O1049" s="1" t="s">
        <v>2098</v>
      </c>
      <c r="P1049" s="1" t="str">
        <f t="shared" si="54"/>
        <v>Rio Monte IIISG60KTL(COM1-012)_001_01545998,277777777845998,277777777845998,2902777778</v>
      </c>
      <c r="Q1049" s="1" t="str">
        <f t="shared" si="55"/>
        <v>DAURDE</v>
      </c>
    </row>
    <row r="1050" spans="1:17" hidden="1">
      <c r="B1050" s="1" t="s">
        <v>2134</v>
      </c>
      <c r="C1050" s="1" t="s">
        <v>2140</v>
      </c>
      <c r="D1050" s="52">
        <v>45998.277777777781</v>
      </c>
      <c r="E1050" s="52">
        <v>45998.277777777781</v>
      </c>
      <c r="F1050" s="52">
        <v>45998.290277777778</v>
      </c>
      <c r="G1050" s="53">
        <f t="shared" si="57"/>
        <v>1.2499999997089617E-2</v>
      </c>
      <c r="H1050" s="1" t="s">
        <v>257</v>
      </c>
      <c r="J1050" s="1" t="s">
        <v>258</v>
      </c>
      <c r="K1050" s="1" t="s">
        <v>658</v>
      </c>
      <c r="L1050" s="1" t="s">
        <v>2206</v>
      </c>
      <c r="M1050" s="1" t="s">
        <v>260</v>
      </c>
      <c r="N1050" s="1" t="s">
        <v>261</v>
      </c>
      <c r="O1050" s="1" t="s">
        <v>2098</v>
      </c>
      <c r="P1050" s="1" t="str">
        <f t="shared" ref="P1050:P1113" si="58">_xlfn.CONCAT(B1050,C1050,D1050,E1050,F1050)</f>
        <v>Rio Monte IIISG60KTL(COM1-013)_001_00345998,277777777845998,277777777845998,2902777778</v>
      </c>
      <c r="Q1050" s="1" t="str">
        <f t="shared" ref="Q1050:Q1113" si="59">_xlfn.CONCAT(H1050,I1050,J1050)</f>
        <v>DAURDE</v>
      </c>
    </row>
    <row r="1051" spans="1:17" hidden="1">
      <c r="B1051" s="1" t="s">
        <v>2134</v>
      </c>
      <c r="C1051" s="1" t="s">
        <v>2141</v>
      </c>
      <c r="D1051" s="52">
        <v>45998.277777777781</v>
      </c>
      <c r="E1051" s="52">
        <v>45998.277777777781</v>
      </c>
      <c r="F1051" s="52">
        <v>45998.290277777778</v>
      </c>
      <c r="G1051" s="53">
        <f t="shared" si="57"/>
        <v>1.2499999997089617E-2</v>
      </c>
      <c r="H1051" s="1" t="s">
        <v>257</v>
      </c>
      <c r="J1051" s="1" t="s">
        <v>258</v>
      </c>
      <c r="K1051" s="1" t="s">
        <v>658</v>
      </c>
      <c r="L1051" s="1" t="s">
        <v>2206</v>
      </c>
      <c r="M1051" s="1" t="s">
        <v>260</v>
      </c>
      <c r="N1051" s="1" t="s">
        <v>261</v>
      </c>
      <c r="O1051" s="1" t="s">
        <v>2098</v>
      </c>
      <c r="P1051" s="1" t="str">
        <f t="shared" si="58"/>
        <v>Rio Monte IIISG60KTL(COM1-014)_001_00445998,277777777845998,277777777845998,2902777778</v>
      </c>
      <c r="Q1051" s="1" t="str">
        <f t="shared" si="59"/>
        <v>DAURDE</v>
      </c>
    </row>
    <row r="1052" spans="1:17" hidden="1">
      <c r="B1052" s="1" t="s">
        <v>2134</v>
      </c>
      <c r="C1052" s="1" t="s">
        <v>2142</v>
      </c>
      <c r="D1052" s="52">
        <v>45998.277777777781</v>
      </c>
      <c r="E1052" s="52">
        <v>45998.277777777781</v>
      </c>
      <c r="F1052" s="52">
        <v>45998.290277777778</v>
      </c>
      <c r="G1052" s="53">
        <f t="shared" si="57"/>
        <v>1.2499999997089617E-2</v>
      </c>
      <c r="H1052" s="1" t="s">
        <v>257</v>
      </c>
      <c r="J1052" s="1" t="s">
        <v>258</v>
      </c>
      <c r="K1052" s="1" t="s">
        <v>658</v>
      </c>
      <c r="L1052" s="1" t="s">
        <v>2206</v>
      </c>
      <c r="M1052" s="1" t="s">
        <v>260</v>
      </c>
      <c r="N1052" s="1" t="s">
        <v>261</v>
      </c>
      <c r="O1052" s="1" t="s">
        <v>2098</v>
      </c>
      <c r="P1052" s="1" t="str">
        <f t="shared" si="58"/>
        <v>Rio Monte IIISG60KTL(COM1-015)_001_01345998,277777777845998,277777777845998,2902777778</v>
      </c>
      <c r="Q1052" s="1" t="str">
        <f t="shared" si="59"/>
        <v>DAURDE</v>
      </c>
    </row>
    <row r="1053" spans="1:17" hidden="1">
      <c r="B1053" s="1" t="s">
        <v>2134</v>
      </c>
      <c r="C1053" s="1" t="s">
        <v>2143</v>
      </c>
      <c r="D1053" s="52">
        <v>45998.277777777781</v>
      </c>
      <c r="E1053" s="52">
        <v>45998.277777777781</v>
      </c>
      <c r="F1053" s="52">
        <v>45998.290277777778</v>
      </c>
      <c r="G1053" s="53">
        <f t="shared" si="57"/>
        <v>1.2499999997089617E-2</v>
      </c>
      <c r="H1053" s="1" t="s">
        <v>257</v>
      </c>
      <c r="J1053" s="1" t="s">
        <v>258</v>
      </c>
      <c r="K1053" s="1" t="s">
        <v>658</v>
      </c>
      <c r="L1053" s="1" t="s">
        <v>2206</v>
      </c>
      <c r="M1053" s="1" t="s">
        <v>260</v>
      </c>
      <c r="N1053" s="1" t="s">
        <v>261</v>
      </c>
      <c r="O1053" s="1" t="s">
        <v>2098</v>
      </c>
      <c r="P1053" s="1" t="str">
        <f t="shared" si="58"/>
        <v>Rio Monte IIISG60KTL(COM1-016)_001_01445998,277777777845998,277777777845998,2902777778</v>
      </c>
      <c r="Q1053" s="1" t="str">
        <f t="shared" si="59"/>
        <v>DAURDE</v>
      </c>
    </row>
    <row r="1054" spans="1:17" hidden="1">
      <c r="B1054" s="1" t="s">
        <v>2134</v>
      </c>
      <c r="C1054" s="1" t="s">
        <v>2144</v>
      </c>
      <c r="D1054" s="52">
        <v>45998.277777777781</v>
      </c>
      <c r="E1054" s="52">
        <v>45998.277777777781</v>
      </c>
      <c r="F1054" s="52">
        <v>45998.290277777778</v>
      </c>
      <c r="G1054" s="53">
        <f t="shared" si="57"/>
        <v>1.2499999997089617E-2</v>
      </c>
      <c r="H1054" s="1" t="s">
        <v>257</v>
      </c>
      <c r="J1054" s="1" t="s">
        <v>258</v>
      </c>
      <c r="K1054" s="1" t="s">
        <v>658</v>
      </c>
      <c r="L1054" s="1" t="s">
        <v>2206</v>
      </c>
      <c r="M1054" s="1" t="s">
        <v>260</v>
      </c>
      <c r="N1054" s="1" t="s">
        <v>261</v>
      </c>
      <c r="O1054" s="1" t="s">
        <v>2098</v>
      </c>
      <c r="P1054" s="1" t="str">
        <f t="shared" si="58"/>
        <v>Rio Monte IIISG60KTL(COM1-017)_001_00845998,277777777845998,277777777845998,2902777778</v>
      </c>
      <c r="Q1054" s="1" t="str">
        <f t="shared" si="59"/>
        <v>DAURDE</v>
      </c>
    </row>
    <row r="1055" spans="1:17" hidden="1">
      <c r="B1055" s="1" t="s">
        <v>2209</v>
      </c>
      <c r="C1055" s="1" t="s">
        <v>496</v>
      </c>
      <c r="D1055" s="52">
        <v>45999.240972222222</v>
      </c>
      <c r="E1055" s="52">
        <v>45999.240972222222</v>
      </c>
      <c r="F1055" s="52">
        <v>45999.246527777781</v>
      </c>
      <c r="G1055" s="53">
        <f t="shared" si="57"/>
        <v>5.5555555591126904E-3</v>
      </c>
      <c r="H1055" s="1" t="s">
        <v>257</v>
      </c>
      <c r="J1055" s="1" t="s">
        <v>258</v>
      </c>
      <c r="K1055" s="1" t="s">
        <v>658</v>
      </c>
      <c r="L1055" s="1" t="s">
        <v>2206</v>
      </c>
      <c r="M1055" s="1" t="s">
        <v>260</v>
      </c>
      <c r="N1055" s="1" t="s">
        <v>261</v>
      </c>
      <c r="O1055" s="1" t="s">
        <v>2098</v>
      </c>
      <c r="P1055" s="1" t="str">
        <f t="shared" si="58"/>
        <v>Rio Bonito ISG36KTL-M-17_001_01745999,240972222245999,240972222245999,2465277778</v>
      </c>
      <c r="Q1055" s="1" t="str">
        <f t="shared" si="59"/>
        <v>DAURDE</v>
      </c>
    </row>
    <row r="1056" spans="1:17" hidden="1">
      <c r="B1056" s="1" t="s">
        <v>2209</v>
      </c>
      <c r="C1056" s="1" t="s">
        <v>501</v>
      </c>
      <c r="D1056" s="52">
        <v>45999.240972222222</v>
      </c>
      <c r="E1056" s="52">
        <v>45999.240972222222</v>
      </c>
      <c r="F1056" s="52">
        <v>45999.246527777781</v>
      </c>
      <c r="G1056" s="53">
        <f t="shared" si="57"/>
        <v>5.5555555591126904E-3</v>
      </c>
      <c r="H1056" s="1" t="s">
        <v>257</v>
      </c>
      <c r="J1056" s="1" t="s">
        <v>258</v>
      </c>
      <c r="K1056" s="1" t="s">
        <v>658</v>
      </c>
      <c r="L1056" s="1" t="s">
        <v>2206</v>
      </c>
      <c r="M1056" s="1" t="s">
        <v>260</v>
      </c>
      <c r="N1056" s="1" t="s">
        <v>261</v>
      </c>
      <c r="O1056" s="1" t="s">
        <v>2098</v>
      </c>
      <c r="P1056" s="1" t="str">
        <f t="shared" si="58"/>
        <v>Rio Bonito ISG60KTL-10_001_01045999,240972222245999,240972222245999,2465277778</v>
      </c>
      <c r="Q1056" s="1" t="str">
        <f t="shared" si="59"/>
        <v>DAURDE</v>
      </c>
    </row>
    <row r="1057" spans="2:17" hidden="1">
      <c r="B1057" s="1" t="s">
        <v>2209</v>
      </c>
      <c r="C1057" s="1" t="s">
        <v>502</v>
      </c>
      <c r="D1057" s="52">
        <v>45999.240972222222</v>
      </c>
      <c r="E1057" s="52">
        <v>45999.240972222222</v>
      </c>
      <c r="F1057" s="52">
        <v>45999.246527777781</v>
      </c>
      <c r="G1057" s="53">
        <f t="shared" si="57"/>
        <v>5.5555555591126904E-3</v>
      </c>
      <c r="H1057" s="1" t="s">
        <v>257</v>
      </c>
      <c r="J1057" s="1" t="s">
        <v>258</v>
      </c>
      <c r="K1057" s="1" t="s">
        <v>658</v>
      </c>
      <c r="L1057" s="1" t="s">
        <v>2206</v>
      </c>
      <c r="M1057" s="1" t="s">
        <v>260</v>
      </c>
      <c r="N1057" s="1" t="s">
        <v>261</v>
      </c>
      <c r="O1057" s="1" t="s">
        <v>2098</v>
      </c>
      <c r="P1057" s="1" t="str">
        <f t="shared" si="58"/>
        <v>Rio Bonito ISG60KTL-11_001_01145999,240972222245999,240972222245999,2465277778</v>
      </c>
      <c r="Q1057" s="1" t="str">
        <f t="shared" si="59"/>
        <v>DAURDE</v>
      </c>
    </row>
    <row r="1058" spans="2:17" hidden="1">
      <c r="B1058" s="1" t="s">
        <v>2209</v>
      </c>
      <c r="C1058" s="1" t="s">
        <v>503</v>
      </c>
      <c r="D1058" s="52">
        <v>45999.240972222222</v>
      </c>
      <c r="E1058" s="52">
        <v>45999.240972222222</v>
      </c>
      <c r="F1058" s="52">
        <v>45999.246527777781</v>
      </c>
      <c r="G1058" s="53">
        <f t="shared" si="57"/>
        <v>5.5555555591126904E-3</v>
      </c>
      <c r="H1058" s="1" t="s">
        <v>257</v>
      </c>
      <c r="J1058" s="1" t="s">
        <v>258</v>
      </c>
      <c r="K1058" s="1" t="s">
        <v>658</v>
      </c>
      <c r="L1058" s="1" t="s">
        <v>2206</v>
      </c>
      <c r="M1058" s="1" t="s">
        <v>260</v>
      </c>
      <c r="N1058" s="1" t="s">
        <v>261</v>
      </c>
      <c r="O1058" s="1" t="s">
        <v>2098</v>
      </c>
      <c r="P1058" s="1" t="str">
        <f t="shared" si="58"/>
        <v>Rio Bonito ISG60KTL-12_001_01245999,240972222245999,240972222245999,2465277778</v>
      </c>
      <c r="Q1058" s="1" t="str">
        <f t="shared" si="59"/>
        <v>DAURDE</v>
      </c>
    </row>
    <row r="1059" spans="2:17" hidden="1">
      <c r="B1059" s="1" t="s">
        <v>2209</v>
      </c>
      <c r="C1059" s="1" t="s">
        <v>504</v>
      </c>
      <c r="D1059" s="52">
        <v>45999.240972222222</v>
      </c>
      <c r="E1059" s="52">
        <v>45999.240972222222</v>
      </c>
      <c r="F1059" s="52">
        <v>45999.246527777781</v>
      </c>
      <c r="G1059" s="53">
        <f t="shared" si="57"/>
        <v>5.5555555591126904E-3</v>
      </c>
      <c r="H1059" s="1" t="s">
        <v>257</v>
      </c>
      <c r="J1059" s="1" t="s">
        <v>258</v>
      </c>
      <c r="K1059" s="1" t="s">
        <v>658</v>
      </c>
      <c r="L1059" s="1" t="s">
        <v>2206</v>
      </c>
      <c r="M1059" s="1" t="s">
        <v>260</v>
      </c>
      <c r="N1059" s="1" t="s">
        <v>261</v>
      </c>
      <c r="O1059" s="1" t="s">
        <v>2098</v>
      </c>
      <c r="P1059" s="1" t="str">
        <f t="shared" si="58"/>
        <v>Rio Bonito ISG60KTL-13_001_01345999,240972222245999,240972222245999,2465277778</v>
      </c>
      <c r="Q1059" s="1" t="str">
        <f t="shared" si="59"/>
        <v>DAURDE</v>
      </c>
    </row>
    <row r="1060" spans="2:17" hidden="1">
      <c r="B1060" s="1" t="s">
        <v>2209</v>
      </c>
      <c r="C1060" s="1" t="s">
        <v>505</v>
      </c>
      <c r="D1060" s="52">
        <v>45999.240972222222</v>
      </c>
      <c r="E1060" s="52">
        <v>45999.240972222222</v>
      </c>
      <c r="F1060" s="52">
        <v>45999.246527777781</v>
      </c>
      <c r="G1060" s="53">
        <f t="shared" si="57"/>
        <v>5.5555555591126904E-3</v>
      </c>
      <c r="H1060" s="1" t="s">
        <v>257</v>
      </c>
      <c r="J1060" s="1" t="s">
        <v>258</v>
      </c>
      <c r="K1060" s="1" t="s">
        <v>658</v>
      </c>
      <c r="L1060" s="1" t="s">
        <v>2206</v>
      </c>
      <c r="M1060" s="1" t="s">
        <v>260</v>
      </c>
      <c r="N1060" s="1" t="s">
        <v>261</v>
      </c>
      <c r="O1060" s="1" t="s">
        <v>2098</v>
      </c>
      <c r="P1060" s="1" t="str">
        <f t="shared" si="58"/>
        <v>Rio Bonito ISG60KTL-14_001_01445999,240972222245999,240972222245999,2465277778</v>
      </c>
      <c r="Q1060" s="1" t="str">
        <f t="shared" si="59"/>
        <v>DAURDE</v>
      </c>
    </row>
    <row r="1061" spans="2:17" hidden="1">
      <c r="B1061" s="1" t="s">
        <v>2209</v>
      </c>
      <c r="C1061" s="1" t="s">
        <v>506</v>
      </c>
      <c r="D1061" s="52">
        <v>45999.240972222222</v>
      </c>
      <c r="E1061" s="52">
        <v>45999.240972222222</v>
      </c>
      <c r="F1061" s="52">
        <v>45999.246527777781</v>
      </c>
      <c r="G1061" s="53">
        <f t="shared" si="57"/>
        <v>5.5555555591126904E-3</v>
      </c>
      <c r="H1061" s="1" t="s">
        <v>257</v>
      </c>
      <c r="J1061" s="1" t="s">
        <v>258</v>
      </c>
      <c r="K1061" s="1" t="s">
        <v>658</v>
      </c>
      <c r="L1061" s="1" t="s">
        <v>2206</v>
      </c>
      <c r="M1061" s="1" t="s">
        <v>260</v>
      </c>
      <c r="N1061" s="1" t="s">
        <v>261</v>
      </c>
      <c r="O1061" s="1" t="s">
        <v>2098</v>
      </c>
      <c r="P1061" s="1" t="str">
        <f t="shared" si="58"/>
        <v>Rio Bonito ISG60KTL-15_001_01545999,240972222245999,240972222245999,2465277778</v>
      </c>
      <c r="Q1061" s="1" t="str">
        <f t="shared" si="59"/>
        <v>DAURDE</v>
      </c>
    </row>
    <row r="1062" spans="2:17" hidden="1">
      <c r="B1062" s="1" t="s">
        <v>2209</v>
      </c>
      <c r="C1062" s="1" t="s">
        <v>507</v>
      </c>
      <c r="D1062" s="52">
        <v>45999.240972222222</v>
      </c>
      <c r="E1062" s="52">
        <v>45999.240972222222</v>
      </c>
      <c r="F1062" s="52">
        <v>45999.246527777781</v>
      </c>
      <c r="G1062" s="53">
        <f t="shared" si="57"/>
        <v>5.5555555591126904E-3</v>
      </c>
      <c r="H1062" s="1" t="s">
        <v>257</v>
      </c>
      <c r="J1062" s="1" t="s">
        <v>258</v>
      </c>
      <c r="K1062" s="1" t="s">
        <v>658</v>
      </c>
      <c r="L1062" s="1" t="s">
        <v>2206</v>
      </c>
      <c r="M1062" s="1" t="s">
        <v>260</v>
      </c>
      <c r="N1062" s="1" t="s">
        <v>261</v>
      </c>
      <c r="O1062" s="1" t="s">
        <v>2098</v>
      </c>
      <c r="P1062" s="1" t="str">
        <f t="shared" si="58"/>
        <v>Rio Bonito ISG60KTL-16_001_01645999,240972222245999,240972222245999,2465277778</v>
      </c>
      <c r="Q1062" s="1" t="str">
        <f t="shared" si="59"/>
        <v>DAURDE</v>
      </c>
    </row>
    <row r="1063" spans="2:17" hidden="1">
      <c r="B1063" s="1" t="s">
        <v>2209</v>
      </c>
      <c r="C1063" s="1" t="s">
        <v>508</v>
      </c>
      <c r="D1063" s="52">
        <v>45999.240972222222</v>
      </c>
      <c r="E1063" s="52">
        <v>45999.240972222222</v>
      </c>
      <c r="F1063" s="52">
        <v>45999.246527777781</v>
      </c>
      <c r="G1063" s="53">
        <f t="shared" si="57"/>
        <v>5.5555555591126904E-3</v>
      </c>
      <c r="H1063" s="1" t="s">
        <v>257</v>
      </c>
      <c r="J1063" s="1" t="s">
        <v>258</v>
      </c>
      <c r="K1063" s="1" t="s">
        <v>658</v>
      </c>
      <c r="L1063" s="1" t="s">
        <v>2206</v>
      </c>
      <c r="M1063" s="1" t="s">
        <v>260</v>
      </c>
      <c r="N1063" s="1" t="s">
        <v>261</v>
      </c>
      <c r="O1063" s="1" t="s">
        <v>2098</v>
      </c>
      <c r="P1063" s="1" t="str">
        <f t="shared" si="58"/>
        <v>Rio Bonito ISG60KTL-1_001_00145999,240972222245999,240972222245999,2465277778</v>
      </c>
      <c r="Q1063" s="1" t="str">
        <f t="shared" si="59"/>
        <v>DAURDE</v>
      </c>
    </row>
    <row r="1064" spans="2:17" hidden="1">
      <c r="B1064" s="1" t="s">
        <v>2209</v>
      </c>
      <c r="C1064" s="1" t="s">
        <v>509</v>
      </c>
      <c r="D1064" s="52">
        <v>45999.240972222222</v>
      </c>
      <c r="E1064" s="52">
        <v>45999.240972222222</v>
      </c>
      <c r="F1064" s="52">
        <v>45999.246527777781</v>
      </c>
      <c r="G1064" s="53">
        <f t="shared" si="57"/>
        <v>5.5555555591126904E-3</v>
      </c>
      <c r="H1064" s="1" t="s">
        <v>257</v>
      </c>
      <c r="J1064" s="1" t="s">
        <v>258</v>
      </c>
      <c r="K1064" s="1" t="s">
        <v>658</v>
      </c>
      <c r="L1064" s="1" t="s">
        <v>2206</v>
      </c>
      <c r="M1064" s="1" t="s">
        <v>260</v>
      </c>
      <c r="N1064" s="1" t="s">
        <v>261</v>
      </c>
      <c r="O1064" s="1" t="s">
        <v>2098</v>
      </c>
      <c r="P1064" s="1" t="str">
        <f t="shared" si="58"/>
        <v>Rio Bonito ISG60KTL-2_001_00245999,240972222245999,240972222245999,2465277778</v>
      </c>
      <c r="Q1064" s="1" t="str">
        <f t="shared" si="59"/>
        <v>DAURDE</v>
      </c>
    </row>
    <row r="1065" spans="2:17" hidden="1">
      <c r="B1065" s="1" t="s">
        <v>2209</v>
      </c>
      <c r="C1065" s="1" t="s">
        <v>510</v>
      </c>
      <c r="D1065" s="52">
        <v>45999.240972222222</v>
      </c>
      <c r="E1065" s="52">
        <v>45999.240972222222</v>
      </c>
      <c r="F1065" s="52">
        <v>45999.246527777781</v>
      </c>
      <c r="G1065" s="53">
        <f t="shared" si="57"/>
        <v>5.5555555591126904E-3</v>
      </c>
      <c r="H1065" s="1" t="s">
        <v>257</v>
      </c>
      <c r="J1065" s="1" t="s">
        <v>258</v>
      </c>
      <c r="K1065" s="1" t="str">
        <f>_xlfn.XLOOKUP(J1065,REF!$D$2:$D$12,REF!$E$2:$E$12)</f>
        <v>Rede</v>
      </c>
      <c r="L1065" s="1" t="s">
        <v>2206</v>
      </c>
      <c r="M1065" s="1" t="s">
        <v>260</v>
      </c>
      <c r="N1065" s="1" t="s">
        <v>261</v>
      </c>
      <c r="O1065" s="1" t="s">
        <v>2098</v>
      </c>
      <c r="P1065" s="1" t="str">
        <f t="shared" si="58"/>
        <v>Rio Bonito ISG60KTL-3_001_00345999,240972222245999,240972222245999,2465277778</v>
      </c>
      <c r="Q1065" s="1" t="str">
        <f t="shared" si="59"/>
        <v>DAURDE</v>
      </c>
    </row>
    <row r="1066" spans="2:17" hidden="1">
      <c r="B1066" s="1" t="s">
        <v>2209</v>
      </c>
      <c r="C1066" s="1" t="s">
        <v>511</v>
      </c>
      <c r="D1066" s="52">
        <v>45999.240972222222</v>
      </c>
      <c r="E1066" s="52">
        <v>45999.240972222222</v>
      </c>
      <c r="F1066" s="52">
        <v>45999.246527777781</v>
      </c>
      <c r="G1066" s="53">
        <f t="shared" si="57"/>
        <v>5.5555555591126904E-3</v>
      </c>
      <c r="H1066" s="1" t="s">
        <v>257</v>
      </c>
      <c r="J1066" s="1" t="s">
        <v>258</v>
      </c>
      <c r="K1066" s="1" t="str">
        <f>_xlfn.XLOOKUP(J1066,REF!$D$2:$D$12,REF!$E$2:$E$12)</f>
        <v>Rede</v>
      </c>
      <c r="L1066" s="1" t="s">
        <v>2206</v>
      </c>
      <c r="M1066" s="1" t="s">
        <v>260</v>
      </c>
      <c r="N1066" s="1" t="s">
        <v>261</v>
      </c>
      <c r="O1066" s="1" t="s">
        <v>2098</v>
      </c>
      <c r="P1066" s="1" t="str">
        <f t="shared" si="58"/>
        <v>Rio Bonito ISG60KTL-4_001_00445999,240972222245999,240972222245999,2465277778</v>
      </c>
      <c r="Q1066" s="1" t="str">
        <f t="shared" si="59"/>
        <v>DAURDE</v>
      </c>
    </row>
    <row r="1067" spans="2:17" hidden="1">
      <c r="B1067" s="1" t="s">
        <v>2209</v>
      </c>
      <c r="C1067" s="1" t="s">
        <v>512</v>
      </c>
      <c r="D1067" s="52">
        <v>45999.240972222222</v>
      </c>
      <c r="E1067" s="52">
        <v>45999.240972222222</v>
      </c>
      <c r="F1067" s="52">
        <v>45999.246527777781</v>
      </c>
      <c r="G1067" s="53">
        <f t="shared" si="57"/>
        <v>5.5555555591126904E-3</v>
      </c>
      <c r="H1067" s="1" t="s">
        <v>257</v>
      </c>
      <c r="J1067" s="1" t="s">
        <v>258</v>
      </c>
      <c r="K1067" s="1" t="str">
        <f>_xlfn.XLOOKUP(J1067,REF!$D$2:$D$12,REF!$E$2:$E$12)</f>
        <v>Rede</v>
      </c>
      <c r="L1067" s="1" t="s">
        <v>2206</v>
      </c>
      <c r="M1067" s="1" t="s">
        <v>260</v>
      </c>
      <c r="N1067" s="1" t="s">
        <v>261</v>
      </c>
      <c r="O1067" s="1" t="s">
        <v>2098</v>
      </c>
      <c r="P1067" s="1" t="str">
        <f t="shared" si="58"/>
        <v>Rio Bonito ISG60KTL-5_001_00545999,240972222245999,240972222245999,2465277778</v>
      </c>
      <c r="Q1067" s="1" t="str">
        <f t="shared" si="59"/>
        <v>DAURDE</v>
      </c>
    </row>
    <row r="1068" spans="2:17" hidden="1">
      <c r="B1068" s="1" t="s">
        <v>2209</v>
      </c>
      <c r="C1068" s="1" t="s">
        <v>513</v>
      </c>
      <c r="D1068" s="52">
        <v>45999.240972222222</v>
      </c>
      <c r="E1068" s="52">
        <v>45999.240972222222</v>
      </c>
      <c r="F1068" s="52">
        <v>45999.246527777781</v>
      </c>
      <c r="G1068" s="53">
        <f t="shared" si="57"/>
        <v>5.5555555591126904E-3</v>
      </c>
      <c r="H1068" s="1" t="s">
        <v>257</v>
      </c>
      <c r="J1068" s="1" t="s">
        <v>258</v>
      </c>
      <c r="K1068" s="1" t="str">
        <f>_xlfn.XLOOKUP(J1068,REF!$D$2:$D$12,REF!$E$2:$E$12)</f>
        <v>Rede</v>
      </c>
      <c r="L1068" s="1" t="s">
        <v>2206</v>
      </c>
      <c r="M1068" s="1" t="s">
        <v>260</v>
      </c>
      <c r="N1068" s="1" t="s">
        <v>261</v>
      </c>
      <c r="O1068" s="1" t="s">
        <v>2098</v>
      </c>
      <c r="P1068" s="1" t="str">
        <f t="shared" si="58"/>
        <v>Rio Bonito ISG60KTL-6_001_00645999,240972222245999,240972222245999,2465277778</v>
      </c>
      <c r="Q1068" s="1" t="str">
        <f t="shared" si="59"/>
        <v>DAURDE</v>
      </c>
    </row>
    <row r="1069" spans="2:17" hidden="1">
      <c r="B1069" s="1" t="s">
        <v>2209</v>
      </c>
      <c r="C1069" s="1" t="s">
        <v>514</v>
      </c>
      <c r="D1069" s="52">
        <v>45999.240972222222</v>
      </c>
      <c r="E1069" s="52">
        <v>45999.240972222222</v>
      </c>
      <c r="F1069" s="52">
        <v>45999.246527777781</v>
      </c>
      <c r="G1069" s="53">
        <f t="shared" si="57"/>
        <v>5.5555555591126904E-3</v>
      </c>
      <c r="H1069" s="1" t="s">
        <v>257</v>
      </c>
      <c r="J1069" s="1" t="s">
        <v>258</v>
      </c>
      <c r="K1069" s="1" t="str">
        <f>_xlfn.XLOOKUP(J1069,REF!$D$2:$D$12,REF!$E$2:$E$12)</f>
        <v>Rede</v>
      </c>
      <c r="L1069" s="1" t="s">
        <v>2206</v>
      </c>
      <c r="M1069" s="1" t="s">
        <v>260</v>
      </c>
      <c r="N1069" s="1" t="s">
        <v>261</v>
      </c>
      <c r="O1069" s="1" t="s">
        <v>2098</v>
      </c>
      <c r="P1069" s="1" t="str">
        <f t="shared" si="58"/>
        <v>Rio Bonito ISG60KTL-7_001_00745999,240972222245999,240972222245999,2465277778</v>
      </c>
      <c r="Q1069" s="1" t="str">
        <f t="shared" si="59"/>
        <v>DAURDE</v>
      </c>
    </row>
    <row r="1070" spans="2:17" hidden="1">
      <c r="B1070" s="1" t="s">
        <v>2209</v>
      </c>
      <c r="C1070" s="1" t="s">
        <v>515</v>
      </c>
      <c r="D1070" s="52">
        <v>45999.240972222222</v>
      </c>
      <c r="E1070" s="52">
        <v>45999.240972222222</v>
      </c>
      <c r="F1070" s="52">
        <v>45999.246527777781</v>
      </c>
      <c r="G1070" s="53">
        <f t="shared" si="57"/>
        <v>5.5555555591126904E-3</v>
      </c>
      <c r="H1070" s="1" t="s">
        <v>257</v>
      </c>
      <c r="J1070" s="1" t="s">
        <v>258</v>
      </c>
      <c r="K1070" s="1" t="str">
        <f>_xlfn.XLOOKUP(J1070,REF!$D$2:$D$12,REF!$E$2:$E$12)</f>
        <v>Rede</v>
      </c>
      <c r="L1070" s="1" t="s">
        <v>2206</v>
      </c>
      <c r="M1070" s="1" t="s">
        <v>260</v>
      </c>
      <c r="N1070" s="1" t="s">
        <v>261</v>
      </c>
      <c r="O1070" s="1" t="s">
        <v>2098</v>
      </c>
      <c r="P1070" s="1" t="str">
        <f t="shared" si="58"/>
        <v>Rio Bonito ISG60KTL-8_001_00845999,240972222245999,240972222245999,2465277778</v>
      </c>
      <c r="Q1070" s="1" t="str">
        <f t="shared" si="59"/>
        <v>DAURDE</v>
      </c>
    </row>
    <row r="1071" spans="2:17" hidden="1">
      <c r="B1071" s="1" t="s">
        <v>2209</v>
      </c>
      <c r="C1071" s="1" t="s">
        <v>516</v>
      </c>
      <c r="D1071" s="52">
        <v>45999.240972222222</v>
      </c>
      <c r="E1071" s="52">
        <v>45999.240972222222</v>
      </c>
      <c r="F1071" s="52">
        <v>45999.246527777781</v>
      </c>
      <c r="G1071" s="53">
        <f t="shared" si="57"/>
        <v>5.5555555591126904E-3</v>
      </c>
      <c r="H1071" s="1" t="s">
        <v>257</v>
      </c>
      <c r="J1071" s="1" t="s">
        <v>258</v>
      </c>
      <c r="K1071" s="1" t="str">
        <f>_xlfn.XLOOKUP(J1071,REF!$D$2:$D$12,REF!$E$2:$E$12)</f>
        <v>Rede</v>
      </c>
      <c r="L1071" s="1" t="s">
        <v>2206</v>
      </c>
      <c r="M1071" s="1" t="s">
        <v>260</v>
      </c>
      <c r="N1071" s="1" t="s">
        <v>261</v>
      </c>
      <c r="O1071" s="1" t="s">
        <v>2098</v>
      </c>
      <c r="P1071" s="1" t="str">
        <f t="shared" si="58"/>
        <v>Rio Bonito ISG60KTL-9_001_00945999,240972222245999,240972222245999,2465277778</v>
      </c>
      <c r="Q1071" s="1" t="str">
        <f t="shared" si="59"/>
        <v>DAURDE</v>
      </c>
    </row>
    <row r="1072" spans="2:17" hidden="1">
      <c r="B1072" s="1" t="s">
        <v>2210</v>
      </c>
      <c r="C1072" s="1" t="s">
        <v>530</v>
      </c>
      <c r="D1072" s="52">
        <v>46002.561805555553</v>
      </c>
      <c r="E1072" s="52">
        <v>46002.561805555553</v>
      </c>
      <c r="F1072" s="52">
        <v>46002.784722222219</v>
      </c>
      <c r="G1072" s="53">
        <f t="shared" si="57"/>
        <v>0.22291666666569654</v>
      </c>
      <c r="H1072" s="1" t="s">
        <v>677</v>
      </c>
      <c r="J1072" s="1" t="s">
        <v>230</v>
      </c>
      <c r="K1072" s="1" t="str">
        <f>_xlfn.XLOOKUP(J1072,REF!$D$2:$D$12,REF!$E$2:$E$12)</f>
        <v>UFV</v>
      </c>
      <c r="L1072" s="1" t="s">
        <v>2200</v>
      </c>
      <c r="M1072" s="1" t="s">
        <v>663</v>
      </c>
      <c r="N1072" s="1" t="s">
        <v>672</v>
      </c>
      <c r="O1072" s="1" t="s">
        <v>2201</v>
      </c>
      <c r="P1072" s="1" t="str">
        <f t="shared" si="58"/>
        <v>Barra do Garças IInverter__546002,561805555646002,561805555646002,7847222222</v>
      </c>
      <c r="Q1072" s="1" t="str">
        <f t="shared" si="59"/>
        <v>DPRUFV</v>
      </c>
    </row>
    <row r="1073" spans="2:17" hidden="1">
      <c r="B1073" s="1" t="s">
        <v>2210</v>
      </c>
      <c r="C1073" s="1" t="s">
        <v>876</v>
      </c>
      <c r="D1073" s="52">
        <v>46002.561805555553</v>
      </c>
      <c r="E1073" s="52">
        <v>46002.561805555553</v>
      </c>
      <c r="F1073" s="52">
        <v>46002.784722222219</v>
      </c>
      <c r="G1073" s="53">
        <f t="shared" si="57"/>
        <v>0.22291666666569654</v>
      </c>
      <c r="H1073" s="1" t="s">
        <v>677</v>
      </c>
      <c r="J1073" s="1" t="s">
        <v>230</v>
      </c>
      <c r="K1073" s="1" t="str">
        <f>_xlfn.XLOOKUP(J1073,REF!$D$2:$D$12,REF!$E$2:$E$12)</f>
        <v>UFV</v>
      </c>
      <c r="L1073" s="1" t="s">
        <v>2200</v>
      </c>
      <c r="M1073" s="1" t="s">
        <v>663</v>
      </c>
      <c r="N1073" s="1" t="s">
        <v>672</v>
      </c>
      <c r="O1073" s="1" t="s">
        <v>2201</v>
      </c>
      <c r="P1073" s="1" t="str">
        <f t="shared" si="58"/>
        <v>Barra do Garças IInverter__146002,561805555646002,561805555646002,7847222222</v>
      </c>
      <c r="Q1073" s="1" t="str">
        <f t="shared" si="59"/>
        <v>DPRUFV</v>
      </c>
    </row>
    <row r="1074" spans="2:17" hidden="1">
      <c r="B1074" s="1" t="s">
        <v>2211</v>
      </c>
      <c r="C1074" s="1" t="s">
        <v>877</v>
      </c>
      <c r="D1074" s="52">
        <v>46002.561805555553</v>
      </c>
      <c r="E1074" s="52">
        <v>46002.561805555553</v>
      </c>
      <c r="F1074" s="52">
        <v>46002.784722222219</v>
      </c>
      <c r="G1074" s="53">
        <f t="shared" si="57"/>
        <v>0.22291666666569654</v>
      </c>
      <c r="H1074" s="1" t="s">
        <v>677</v>
      </c>
      <c r="J1074" s="1" t="s">
        <v>230</v>
      </c>
      <c r="K1074" s="1" t="str">
        <f>_xlfn.XLOOKUP(J1074,REF!$D$2:$D$12,REF!$E$2:$E$12)</f>
        <v>UFV</v>
      </c>
      <c r="L1074" s="1" t="s">
        <v>2200</v>
      </c>
      <c r="M1074" s="1" t="s">
        <v>663</v>
      </c>
      <c r="N1074" s="1" t="s">
        <v>672</v>
      </c>
      <c r="O1074" s="1" t="s">
        <v>2201</v>
      </c>
      <c r="P1074" s="1" t="str">
        <f t="shared" si="58"/>
        <v>Barra do Garças IIInverter__446002,561805555646002,561805555646002,7847222222</v>
      </c>
      <c r="Q1074" s="1" t="str">
        <f t="shared" si="59"/>
        <v>DPRUFV</v>
      </c>
    </row>
    <row r="1075" spans="2:17" hidden="1">
      <c r="B1075" s="1" t="s">
        <v>2211</v>
      </c>
      <c r="C1075" s="1" t="s">
        <v>878</v>
      </c>
      <c r="D1075" s="52">
        <v>46002.561805555553</v>
      </c>
      <c r="E1075" s="52">
        <v>46002.561805555553</v>
      </c>
      <c r="F1075" s="52">
        <v>46002.784722222219</v>
      </c>
      <c r="G1075" s="53">
        <f t="shared" si="57"/>
        <v>0.22291666666569654</v>
      </c>
      <c r="H1075" s="1" t="s">
        <v>677</v>
      </c>
      <c r="J1075" s="1" t="s">
        <v>230</v>
      </c>
      <c r="K1075" s="1" t="str">
        <f>_xlfn.XLOOKUP(J1075,REF!$D$2:$D$12,REF!$E$2:$E$12)</f>
        <v>UFV</v>
      </c>
      <c r="L1075" s="1" t="s">
        <v>2200</v>
      </c>
      <c r="M1075" s="1" t="s">
        <v>663</v>
      </c>
      <c r="N1075" s="1" t="s">
        <v>672</v>
      </c>
      <c r="O1075" s="1" t="s">
        <v>2201</v>
      </c>
      <c r="P1075" s="1" t="str">
        <f t="shared" si="58"/>
        <v>Barra do Garças IIInverter__346002,561805555646002,561805555646002,7847222222</v>
      </c>
      <c r="Q1075" s="1" t="str">
        <f t="shared" si="59"/>
        <v>DPRUFV</v>
      </c>
    </row>
    <row r="1076" spans="2:17" hidden="1">
      <c r="B1076" s="1" t="s">
        <v>2211</v>
      </c>
      <c r="C1076" s="1" t="s">
        <v>879</v>
      </c>
      <c r="D1076" s="52">
        <v>46002.561805555553</v>
      </c>
      <c r="E1076" s="52">
        <v>46002.561805555553</v>
      </c>
      <c r="F1076" s="52">
        <v>46002.784722222219</v>
      </c>
      <c r="G1076" s="53">
        <f t="shared" si="57"/>
        <v>0.22291666666569654</v>
      </c>
      <c r="H1076" s="1" t="s">
        <v>677</v>
      </c>
      <c r="J1076" s="1" t="s">
        <v>230</v>
      </c>
      <c r="K1076" s="1" t="str">
        <f>_xlfn.XLOOKUP(J1076,REF!$D$2:$D$12,REF!$E$2:$E$12)</f>
        <v>UFV</v>
      </c>
      <c r="L1076" s="1" t="s">
        <v>2200</v>
      </c>
      <c r="M1076" s="1" t="s">
        <v>663</v>
      </c>
      <c r="N1076" s="1" t="s">
        <v>672</v>
      </c>
      <c r="O1076" s="1" t="s">
        <v>2201</v>
      </c>
      <c r="P1076" s="1" t="str">
        <f t="shared" si="58"/>
        <v>Barra do Garças IIInverter__246002,561805555646002,561805555646002,7847222222</v>
      </c>
      <c r="Q1076" s="1" t="str">
        <f t="shared" si="59"/>
        <v>DPRUFV</v>
      </c>
    </row>
    <row r="1077" spans="2:17" hidden="1">
      <c r="B1077" s="1" t="s">
        <v>2211</v>
      </c>
      <c r="C1077" s="1" t="s">
        <v>880</v>
      </c>
      <c r="D1077" s="52">
        <v>46002.561805555553</v>
      </c>
      <c r="E1077" s="52">
        <v>46002.561805555553</v>
      </c>
      <c r="F1077" s="52">
        <v>46002.784722222219</v>
      </c>
      <c r="G1077" s="53">
        <f t="shared" si="57"/>
        <v>0.22291666666569654</v>
      </c>
      <c r="H1077" s="1" t="s">
        <v>677</v>
      </c>
      <c r="J1077" s="1" t="s">
        <v>230</v>
      </c>
      <c r="K1077" s="1" t="str">
        <f>_xlfn.XLOOKUP(J1077,REF!$D$2:$D$12,REF!$E$2:$E$12)</f>
        <v>UFV</v>
      </c>
      <c r="L1077" s="1" t="s">
        <v>2200</v>
      </c>
      <c r="M1077" s="1" t="s">
        <v>663</v>
      </c>
      <c r="N1077" s="1" t="s">
        <v>672</v>
      </c>
      <c r="O1077" s="1" t="s">
        <v>2201</v>
      </c>
      <c r="P1077" s="1" t="str">
        <f t="shared" si="58"/>
        <v>Barra do Garças IIInverter__746002,561805555646002,561805555646002,7847222222</v>
      </c>
      <c r="Q1077" s="1" t="str">
        <f t="shared" si="59"/>
        <v>DPRUFV</v>
      </c>
    </row>
    <row r="1078" spans="2:17" hidden="1">
      <c r="B1078" s="1" t="s">
        <v>2212</v>
      </c>
      <c r="C1078" s="1" t="s">
        <v>881</v>
      </c>
      <c r="D1078" s="52">
        <v>46002.561805555553</v>
      </c>
      <c r="E1078" s="52">
        <v>46002.561805555553</v>
      </c>
      <c r="F1078" s="52">
        <v>46002.784722222219</v>
      </c>
      <c r="G1078" s="53">
        <f t="shared" si="57"/>
        <v>0.22291666666569654</v>
      </c>
      <c r="H1078" s="1" t="s">
        <v>677</v>
      </c>
      <c r="J1078" s="1" t="s">
        <v>230</v>
      </c>
      <c r="K1078" s="1" t="str">
        <f>_xlfn.XLOOKUP(J1078,REF!$D$2:$D$12,REF!$E$2:$E$12)</f>
        <v>UFV</v>
      </c>
      <c r="L1078" s="1" t="s">
        <v>2200</v>
      </c>
      <c r="M1078" s="1" t="s">
        <v>663</v>
      </c>
      <c r="N1078" s="1" t="s">
        <v>672</v>
      </c>
      <c r="O1078" s="1" t="s">
        <v>2201</v>
      </c>
      <c r="P1078" s="1" t="str">
        <f t="shared" si="58"/>
        <v>Barra do Garças IIIInverter__946002,561805555646002,561805555646002,7847222222</v>
      </c>
      <c r="Q1078" s="1" t="str">
        <f t="shared" si="59"/>
        <v>DPRUFV</v>
      </c>
    </row>
    <row r="1079" spans="2:17" hidden="1">
      <c r="B1079" s="1" t="s">
        <v>2212</v>
      </c>
      <c r="C1079" s="1" t="s">
        <v>882</v>
      </c>
      <c r="D1079" s="52">
        <v>46002.561805555553</v>
      </c>
      <c r="E1079" s="52">
        <v>46002.561805555553</v>
      </c>
      <c r="F1079" s="52">
        <v>46002.784722222219</v>
      </c>
      <c r="G1079" s="53">
        <f t="shared" si="57"/>
        <v>0.22291666666569654</v>
      </c>
      <c r="H1079" s="1" t="s">
        <v>677</v>
      </c>
      <c r="J1079" s="1" t="s">
        <v>230</v>
      </c>
      <c r="K1079" s="1" t="str">
        <f>_xlfn.XLOOKUP(J1079,REF!$D$2:$D$12,REF!$E$2:$E$12)</f>
        <v>UFV</v>
      </c>
      <c r="L1079" s="1" t="s">
        <v>2200</v>
      </c>
      <c r="M1079" s="1" t="s">
        <v>663</v>
      </c>
      <c r="N1079" s="1" t="s">
        <v>672</v>
      </c>
      <c r="O1079" s="1" t="s">
        <v>2201</v>
      </c>
      <c r="P1079" s="1" t="str">
        <f t="shared" si="58"/>
        <v>Barra do Garças IIIInverter__846002,561805555646002,561805555646002,7847222222</v>
      </c>
      <c r="Q1079" s="1" t="str">
        <f t="shared" si="59"/>
        <v>DPRUFV</v>
      </c>
    </row>
    <row r="1080" spans="2:17" hidden="1">
      <c r="B1080" s="1" t="s">
        <v>2212</v>
      </c>
      <c r="C1080" s="1" t="s">
        <v>883</v>
      </c>
      <c r="D1080" s="52">
        <v>46002.561805555553</v>
      </c>
      <c r="E1080" s="52">
        <v>46002.561805555553</v>
      </c>
      <c r="F1080" s="52">
        <v>46002.784722222219</v>
      </c>
      <c r="G1080" s="53">
        <f t="shared" si="57"/>
        <v>0.22291666666569654</v>
      </c>
      <c r="H1080" s="1" t="s">
        <v>677</v>
      </c>
      <c r="J1080" s="1" t="s">
        <v>230</v>
      </c>
      <c r="K1080" s="1" t="str">
        <f>_xlfn.XLOOKUP(J1080,REF!$D$2:$D$12,REF!$E$2:$E$12)</f>
        <v>UFV</v>
      </c>
      <c r="L1080" s="1" t="s">
        <v>2200</v>
      </c>
      <c r="M1080" s="1" t="s">
        <v>663</v>
      </c>
      <c r="N1080" s="1" t="s">
        <v>672</v>
      </c>
      <c r="O1080" s="1" t="s">
        <v>2201</v>
      </c>
      <c r="P1080" s="1" t="str">
        <f t="shared" si="58"/>
        <v>Barra do Garças IIIInverter__1046002,561805555646002,561805555646002,7847222222</v>
      </c>
      <c r="Q1080" s="1" t="str">
        <f t="shared" si="59"/>
        <v>DPRUFV</v>
      </c>
    </row>
    <row r="1081" spans="2:17" hidden="1">
      <c r="B1081" s="1" t="s">
        <v>2212</v>
      </c>
      <c r="C1081" s="1" t="s">
        <v>884</v>
      </c>
      <c r="D1081" s="52">
        <v>46002.561805555553</v>
      </c>
      <c r="E1081" s="52">
        <v>46002.561805555553</v>
      </c>
      <c r="F1081" s="52">
        <v>46002.784722222219</v>
      </c>
      <c r="G1081" s="53">
        <f t="shared" si="57"/>
        <v>0.22291666666569654</v>
      </c>
      <c r="H1081" s="1" t="s">
        <v>677</v>
      </c>
      <c r="J1081" s="1" t="s">
        <v>230</v>
      </c>
      <c r="K1081" s="1" t="str">
        <f>_xlfn.XLOOKUP(J1081,REF!$D$2:$D$12,REF!$E$2:$E$12)</f>
        <v>UFV</v>
      </c>
      <c r="L1081" s="1" t="s">
        <v>2200</v>
      </c>
      <c r="M1081" s="1" t="s">
        <v>663</v>
      </c>
      <c r="N1081" s="1" t="s">
        <v>672</v>
      </c>
      <c r="O1081" s="1" t="s">
        <v>2201</v>
      </c>
      <c r="P1081" s="1" t="str">
        <f t="shared" si="58"/>
        <v>Barra do Garças IIIInverter__646002,561805555646002,561805555646002,7847222222</v>
      </c>
      <c r="Q1081" s="1" t="str">
        <f t="shared" si="59"/>
        <v>DPRUFV</v>
      </c>
    </row>
    <row r="1082" spans="2:17">
      <c r="B1082" s="1" t="s">
        <v>698</v>
      </c>
      <c r="C1082" s="1" t="s">
        <v>263</v>
      </c>
      <c r="D1082" s="52">
        <v>46003.350694444445</v>
      </c>
      <c r="E1082" s="52">
        <v>46003.350694444445</v>
      </c>
      <c r="F1082" s="52">
        <v>46003.399305555555</v>
      </c>
      <c r="G1082" s="53">
        <f t="shared" si="57"/>
        <v>4.8611111109494232E-2</v>
      </c>
      <c r="H1082" s="1" t="s">
        <v>268</v>
      </c>
      <c r="I1082" s="1" t="s">
        <v>269</v>
      </c>
      <c r="J1082" s="1" t="s">
        <v>319</v>
      </c>
      <c r="K1082" s="1" t="str">
        <f>_xlfn.XLOOKUP(J1082,REF!$D$2:$D$12,REF!$E$2:$E$12)</f>
        <v>Comunicação</v>
      </c>
      <c r="L1082" s="1" t="s">
        <v>1964</v>
      </c>
      <c r="M1082" s="1" t="s">
        <v>272</v>
      </c>
      <c r="N1082" s="1" t="s">
        <v>253</v>
      </c>
      <c r="O1082" s="1" t="s">
        <v>697</v>
      </c>
      <c r="P1082" s="1" t="str">
        <f t="shared" si="58"/>
        <v>BC Turvania1.1Inverter(MBUS-14)46003,350694444446003,350694444446003,3993055556</v>
      </c>
      <c r="Q1082" s="1" t="str">
        <f t="shared" si="59"/>
        <v>LIGRFOCOM</v>
      </c>
    </row>
    <row r="1083" spans="2:17">
      <c r="B1083" s="1" t="s">
        <v>698</v>
      </c>
      <c r="C1083" s="1" t="s">
        <v>307</v>
      </c>
      <c r="D1083" s="52">
        <v>46003.350694444445</v>
      </c>
      <c r="E1083" s="52">
        <v>46003.350694444445</v>
      </c>
      <c r="F1083" s="52">
        <v>46003.399305555555</v>
      </c>
      <c r="G1083" s="53">
        <f t="shared" si="57"/>
        <v>4.8611111109494232E-2</v>
      </c>
      <c r="H1083" s="1" t="s">
        <v>268</v>
      </c>
      <c r="I1083" s="1" t="s">
        <v>269</v>
      </c>
      <c r="J1083" s="1" t="s">
        <v>319</v>
      </c>
      <c r="K1083" s="1" t="str">
        <f>_xlfn.XLOOKUP(J1083,REF!$D$2:$D$12,REF!$E$2:$E$12)</f>
        <v>Comunicação</v>
      </c>
      <c r="L1083" s="1" t="s">
        <v>1964</v>
      </c>
      <c r="M1083" s="1" t="s">
        <v>272</v>
      </c>
      <c r="N1083" s="1" t="s">
        <v>253</v>
      </c>
      <c r="O1083" s="1" t="s">
        <v>697</v>
      </c>
      <c r="P1083" s="1" t="str">
        <f t="shared" si="58"/>
        <v>BC Turvania1.1Inverter(MBUS-15)46003,350694444446003,350694444446003,3993055556</v>
      </c>
      <c r="Q1083" s="1" t="str">
        <f t="shared" si="59"/>
        <v>LIGRFOCOM</v>
      </c>
    </row>
    <row r="1084" spans="2:17">
      <c r="B1084" s="1" t="s">
        <v>698</v>
      </c>
      <c r="C1084" s="1" t="s">
        <v>256</v>
      </c>
      <c r="D1084" s="52">
        <v>46003.350694444445</v>
      </c>
      <c r="E1084" s="52">
        <v>46003.350694444445</v>
      </c>
      <c r="F1084" s="52">
        <v>46003.399305555555</v>
      </c>
      <c r="G1084" s="53">
        <f t="shared" si="57"/>
        <v>4.8611111109494232E-2</v>
      </c>
      <c r="H1084" s="1" t="s">
        <v>268</v>
      </c>
      <c r="I1084" s="1" t="s">
        <v>269</v>
      </c>
      <c r="J1084" s="1" t="s">
        <v>319</v>
      </c>
      <c r="K1084" s="1" t="str">
        <f>_xlfn.XLOOKUP(J1084,REF!$D$2:$D$12,REF!$E$2:$E$12)</f>
        <v>Comunicação</v>
      </c>
      <c r="L1084" s="1" t="s">
        <v>1964</v>
      </c>
      <c r="M1084" s="1" t="s">
        <v>272</v>
      </c>
      <c r="N1084" s="1" t="s">
        <v>253</v>
      </c>
      <c r="O1084" s="1" t="s">
        <v>697</v>
      </c>
      <c r="P1084" s="1" t="str">
        <f t="shared" si="58"/>
        <v>BC Turvania1.1Inverter(MBUS-12)46003,350694444446003,350694444446003,3993055556</v>
      </c>
      <c r="Q1084" s="1" t="str">
        <f t="shared" si="59"/>
        <v>LIGRFOCOM</v>
      </c>
    </row>
    <row r="1085" spans="2:17">
      <c r="B1085" s="1" t="s">
        <v>698</v>
      </c>
      <c r="C1085" s="1" t="s">
        <v>264</v>
      </c>
      <c r="D1085" s="52">
        <v>46003.350694444445</v>
      </c>
      <c r="E1085" s="52">
        <v>46003.350694444445</v>
      </c>
      <c r="F1085" s="52">
        <v>46003.399305555555</v>
      </c>
      <c r="G1085" s="53">
        <f t="shared" si="57"/>
        <v>4.8611111109494232E-2</v>
      </c>
      <c r="H1085" s="1" t="s">
        <v>268</v>
      </c>
      <c r="I1085" s="1" t="s">
        <v>269</v>
      </c>
      <c r="J1085" s="1" t="s">
        <v>319</v>
      </c>
      <c r="K1085" s="1" t="str">
        <f>_xlfn.XLOOKUP(J1085,REF!$D$2:$D$12,REF!$E$2:$E$12)</f>
        <v>Comunicação</v>
      </c>
      <c r="L1085" s="1" t="s">
        <v>1964</v>
      </c>
      <c r="M1085" s="1" t="s">
        <v>272</v>
      </c>
      <c r="N1085" s="1" t="s">
        <v>253</v>
      </c>
      <c r="O1085" s="1" t="s">
        <v>697</v>
      </c>
      <c r="P1085" s="1" t="str">
        <f t="shared" si="58"/>
        <v>BC Turvania1.1Inverter(MBUS-13)46003,350694444446003,350694444446003,3993055556</v>
      </c>
      <c r="Q1085" s="1" t="str">
        <f t="shared" si="59"/>
        <v>LIGRFOCOM</v>
      </c>
    </row>
    <row r="1086" spans="2:17">
      <c r="B1086" s="1" t="s">
        <v>700</v>
      </c>
      <c r="C1086" s="1" t="s">
        <v>263</v>
      </c>
      <c r="D1086" s="52">
        <v>46003.350694444445</v>
      </c>
      <c r="E1086" s="52">
        <v>46003.350694444445</v>
      </c>
      <c r="F1086" s="52">
        <v>46003.399305555555</v>
      </c>
      <c r="G1086" s="53">
        <f t="shared" si="57"/>
        <v>4.8611111109494232E-2</v>
      </c>
      <c r="H1086" s="1" t="s">
        <v>268</v>
      </c>
      <c r="I1086" s="1" t="s">
        <v>269</v>
      </c>
      <c r="J1086" s="1" t="s">
        <v>319</v>
      </c>
      <c r="K1086" s="1" t="str">
        <f>_xlfn.XLOOKUP(J1086,REF!$D$2:$D$12,REF!$E$2:$E$12)</f>
        <v>Comunicação</v>
      </c>
      <c r="L1086" s="1" t="s">
        <v>1964</v>
      </c>
      <c r="M1086" s="1" t="s">
        <v>272</v>
      </c>
      <c r="N1086" s="1" t="s">
        <v>253</v>
      </c>
      <c r="O1086" s="1" t="s">
        <v>697</v>
      </c>
      <c r="P1086" s="1" t="str">
        <f t="shared" si="58"/>
        <v>BC Turvania1.2Inverter(MBUS-14)46003,350694444446003,350694444446003,3993055556</v>
      </c>
      <c r="Q1086" s="1" t="str">
        <f t="shared" si="59"/>
        <v>LIGRFOCOM</v>
      </c>
    </row>
    <row r="1087" spans="2:17">
      <c r="B1087" s="1" t="s">
        <v>700</v>
      </c>
      <c r="C1087" s="1" t="s">
        <v>264</v>
      </c>
      <c r="D1087" s="52">
        <v>46003.350694444445</v>
      </c>
      <c r="E1087" s="52">
        <v>46003.350694444445</v>
      </c>
      <c r="F1087" s="52">
        <v>46003.399305555555</v>
      </c>
      <c r="G1087" s="53">
        <f t="shared" si="57"/>
        <v>4.8611111109494232E-2</v>
      </c>
      <c r="H1087" s="1" t="s">
        <v>268</v>
      </c>
      <c r="I1087" s="1" t="s">
        <v>269</v>
      </c>
      <c r="J1087" s="1" t="s">
        <v>319</v>
      </c>
      <c r="K1087" s="1" t="str">
        <f>_xlfn.XLOOKUP(J1087,REF!$D$2:$D$12,REF!$E$2:$E$12)</f>
        <v>Comunicação</v>
      </c>
      <c r="L1087" s="1" t="s">
        <v>1964</v>
      </c>
      <c r="M1087" s="1" t="s">
        <v>272</v>
      </c>
      <c r="N1087" s="1" t="s">
        <v>253</v>
      </c>
      <c r="O1087" s="1" t="s">
        <v>697</v>
      </c>
      <c r="P1087" s="1" t="str">
        <f t="shared" si="58"/>
        <v>BC Turvania1.2Inverter(MBUS-13)46003,350694444446003,350694444446003,3993055556</v>
      </c>
      <c r="Q1087" s="1" t="str">
        <f t="shared" si="59"/>
        <v>LIGRFOCOM</v>
      </c>
    </row>
    <row r="1088" spans="2:17">
      <c r="B1088" s="1" t="s">
        <v>700</v>
      </c>
      <c r="C1088" s="1" t="s">
        <v>256</v>
      </c>
      <c r="D1088" s="52">
        <v>46003.350694444445</v>
      </c>
      <c r="E1088" s="52">
        <v>46003.350694444445</v>
      </c>
      <c r="F1088" s="52">
        <v>46003.399305555555</v>
      </c>
      <c r="G1088" s="53">
        <f t="shared" si="57"/>
        <v>4.8611111109494232E-2</v>
      </c>
      <c r="H1088" s="1" t="s">
        <v>268</v>
      </c>
      <c r="I1088" s="1" t="s">
        <v>269</v>
      </c>
      <c r="J1088" s="1" t="s">
        <v>319</v>
      </c>
      <c r="K1088" s="1" t="str">
        <f>_xlfn.XLOOKUP(J1088,REF!$D$2:$D$12,REF!$E$2:$E$12)</f>
        <v>Comunicação</v>
      </c>
      <c r="L1088" s="1" t="s">
        <v>1964</v>
      </c>
      <c r="M1088" s="1" t="s">
        <v>272</v>
      </c>
      <c r="N1088" s="1" t="s">
        <v>253</v>
      </c>
      <c r="O1088" s="1" t="s">
        <v>697</v>
      </c>
      <c r="P1088" s="1" t="str">
        <f t="shared" si="58"/>
        <v>BC Turvania1.2Inverter(MBUS-12)46003,350694444446003,350694444446003,3993055556</v>
      </c>
      <c r="Q1088" s="1" t="str">
        <f t="shared" si="59"/>
        <v>LIGRFOCOM</v>
      </c>
    </row>
    <row r="1089" spans="2:17">
      <c r="B1089" s="1" t="s">
        <v>700</v>
      </c>
      <c r="C1089" s="1" t="s">
        <v>307</v>
      </c>
      <c r="D1089" s="52">
        <v>46003.350694444445</v>
      </c>
      <c r="E1089" s="52">
        <v>46003.350694444445</v>
      </c>
      <c r="F1089" s="52">
        <v>46003.399305555555</v>
      </c>
      <c r="G1089" s="53">
        <f t="shared" si="57"/>
        <v>4.8611111109494232E-2</v>
      </c>
      <c r="H1089" s="1" t="s">
        <v>268</v>
      </c>
      <c r="I1089" s="1" t="s">
        <v>269</v>
      </c>
      <c r="J1089" s="1" t="s">
        <v>319</v>
      </c>
      <c r="K1089" s="1" t="str">
        <f>_xlfn.XLOOKUP(J1089,REF!$D$2:$D$12,REF!$E$2:$E$12)</f>
        <v>Comunicação</v>
      </c>
      <c r="L1089" s="1" t="s">
        <v>1964</v>
      </c>
      <c r="M1089" s="1" t="s">
        <v>272</v>
      </c>
      <c r="N1089" s="1" t="s">
        <v>253</v>
      </c>
      <c r="O1089" s="1" t="s">
        <v>697</v>
      </c>
      <c r="P1089" s="1" t="str">
        <f t="shared" si="58"/>
        <v>BC Turvania1.2Inverter(MBUS-15)46003,350694444446003,350694444446003,3993055556</v>
      </c>
      <c r="Q1089" s="1" t="str">
        <f t="shared" si="59"/>
        <v>LIGRFOCOM</v>
      </c>
    </row>
    <row r="1090" spans="2:17">
      <c r="B1090" s="1" t="s">
        <v>314</v>
      </c>
      <c r="C1090" s="1" t="s">
        <v>264</v>
      </c>
      <c r="D1090" s="52">
        <v>46003.350694444445</v>
      </c>
      <c r="E1090" s="52">
        <v>46003.350694444445</v>
      </c>
      <c r="F1090" s="52">
        <v>46003.399305555555</v>
      </c>
      <c r="G1090" s="53">
        <f t="shared" si="57"/>
        <v>4.8611111109494232E-2</v>
      </c>
      <c r="H1090" s="1" t="s">
        <v>268</v>
      </c>
      <c r="I1090" s="1" t="s">
        <v>269</v>
      </c>
      <c r="J1090" s="1" t="s">
        <v>319</v>
      </c>
      <c r="K1090" s="1" t="str">
        <f>_xlfn.XLOOKUP(J1090,REF!$D$2:$D$12,REF!$E$2:$E$12)</f>
        <v>Comunicação</v>
      </c>
      <c r="L1090" s="1" t="s">
        <v>1964</v>
      </c>
      <c r="M1090" s="1" t="s">
        <v>272</v>
      </c>
      <c r="N1090" s="1" t="s">
        <v>253</v>
      </c>
      <c r="O1090" s="1" t="s">
        <v>697</v>
      </c>
      <c r="P1090" s="1" t="str">
        <f t="shared" si="58"/>
        <v>BC Turvania1.3Inverter(MBUS-13)46003,350694444446003,350694444446003,3993055556</v>
      </c>
      <c r="Q1090" s="1" t="str">
        <f t="shared" si="59"/>
        <v>LIGRFOCOM</v>
      </c>
    </row>
    <row r="1091" spans="2:17">
      <c r="B1091" s="1" t="s">
        <v>314</v>
      </c>
      <c r="C1091" s="1" t="s">
        <v>263</v>
      </c>
      <c r="D1091" s="52">
        <v>46003.350694444445</v>
      </c>
      <c r="E1091" s="52">
        <v>46003.350694444445</v>
      </c>
      <c r="F1091" s="52">
        <v>46003.399305555555</v>
      </c>
      <c r="G1091" s="53">
        <f t="shared" si="57"/>
        <v>4.8611111109494232E-2</v>
      </c>
      <c r="H1091" s="1" t="s">
        <v>268</v>
      </c>
      <c r="I1091" s="1" t="s">
        <v>269</v>
      </c>
      <c r="J1091" s="1" t="s">
        <v>319</v>
      </c>
      <c r="K1091" s="1" t="str">
        <f>_xlfn.XLOOKUP(J1091,REF!$D$2:$D$12,REF!$E$2:$E$12)</f>
        <v>Comunicação</v>
      </c>
      <c r="L1091" s="1" t="s">
        <v>1964</v>
      </c>
      <c r="M1091" s="1" t="s">
        <v>272</v>
      </c>
      <c r="N1091" s="1" t="s">
        <v>253</v>
      </c>
      <c r="O1091" s="1" t="s">
        <v>697</v>
      </c>
      <c r="P1091" s="1" t="str">
        <f t="shared" si="58"/>
        <v>BC Turvania1.3Inverter(MBUS-14)46003,350694444446003,350694444446003,3993055556</v>
      </c>
      <c r="Q1091" s="1" t="str">
        <f t="shared" si="59"/>
        <v>LIGRFOCOM</v>
      </c>
    </row>
    <row r="1092" spans="2:17">
      <c r="B1092" s="1" t="s">
        <v>314</v>
      </c>
      <c r="C1092" s="1" t="s">
        <v>307</v>
      </c>
      <c r="D1092" s="52">
        <v>46003.350694444445</v>
      </c>
      <c r="E1092" s="52">
        <v>46003.350694444445</v>
      </c>
      <c r="F1092" s="52">
        <v>46003.399305555555</v>
      </c>
      <c r="G1092" s="53">
        <f t="shared" si="57"/>
        <v>4.8611111109494232E-2</v>
      </c>
      <c r="H1092" s="1" t="s">
        <v>268</v>
      </c>
      <c r="I1092" s="1" t="s">
        <v>269</v>
      </c>
      <c r="J1092" s="1" t="s">
        <v>319</v>
      </c>
      <c r="K1092" s="1" t="str">
        <f>_xlfn.XLOOKUP(J1092,REF!$D$2:$D$12,REF!$E$2:$E$12)</f>
        <v>Comunicação</v>
      </c>
      <c r="L1092" s="1" t="s">
        <v>1964</v>
      </c>
      <c r="M1092" s="1" t="s">
        <v>272</v>
      </c>
      <c r="N1092" s="1" t="s">
        <v>253</v>
      </c>
      <c r="O1092" s="1" t="s">
        <v>697</v>
      </c>
      <c r="P1092" s="1" t="str">
        <f t="shared" si="58"/>
        <v>BC Turvania1.3Inverter(MBUS-15)46003,350694444446003,350694444446003,3993055556</v>
      </c>
      <c r="Q1092" s="1" t="str">
        <f t="shared" si="59"/>
        <v>LIGRFOCOM</v>
      </c>
    </row>
    <row r="1093" spans="2:17">
      <c r="B1093" s="1" t="s">
        <v>314</v>
      </c>
      <c r="C1093" s="1" t="s">
        <v>247</v>
      </c>
      <c r="D1093" s="52">
        <v>46003.350694444445</v>
      </c>
      <c r="E1093" s="52">
        <v>46003.350694444445</v>
      </c>
      <c r="F1093" s="52">
        <v>46003.399305555555</v>
      </c>
      <c r="G1093" s="53">
        <f t="shared" si="57"/>
        <v>4.8611111109494232E-2</v>
      </c>
      <c r="H1093" s="1" t="s">
        <v>268</v>
      </c>
      <c r="I1093" s="1" t="s">
        <v>269</v>
      </c>
      <c r="J1093" s="1" t="s">
        <v>319</v>
      </c>
      <c r="K1093" s="1" t="str">
        <f>_xlfn.XLOOKUP(J1093,REF!$D$2:$D$12,REF!$E$2:$E$12)</f>
        <v>Comunicação</v>
      </c>
      <c r="L1093" s="1" t="s">
        <v>1964</v>
      </c>
      <c r="M1093" s="1" t="s">
        <v>272</v>
      </c>
      <c r="N1093" s="1" t="s">
        <v>253</v>
      </c>
      <c r="O1093" s="1" t="s">
        <v>697</v>
      </c>
      <c r="P1093" s="1" t="str">
        <f t="shared" si="58"/>
        <v>BC Turvania1.3Inverter(MBUS-1)46003,350694444446003,350694444446003,3993055556</v>
      </c>
      <c r="Q1093" s="1" t="str">
        <f t="shared" si="59"/>
        <v>LIGRFOCOM</v>
      </c>
    </row>
    <row r="1094" spans="2:17">
      <c r="B1094" s="1" t="s">
        <v>701</v>
      </c>
      <c r="C1094" s="1" t="s">
        <v>263</v>
      </c>
      <c r="D1094" s="52">
        <v>46003.350694444445</v>
      </c>
      <c r="E1094" s="52">
        <v>46003.350694444445</v>
      </c>
      <c r="F1094" s="52">
        <v>46003.399305555555</v>
      </c>
      <c r="G1094" s="53">
        <f t="shared" si="57"/>
        <v>4.8611111109494232E-2</v>
      </c>
      <c r="H1094" s="1" t="s">
        <v>268</v>
      </c>
      <c r="I1094" s="1" t="s">
        <v>269</v>
      </c>
      <c r="J1094" s="1" t="s">
        <v>319</v>
      </c>
      <c r="K1094" s="1" t="str">
        <f>_xlfn.XLOOKUP(J1094,REF!$D$2:$D$12,REF!$E$2:$E$12)</f>
        <v>Comunicação</v>
      </c>
      <c r="L1094" s="1" t="s">
        <v>1964</v>
      </c>
      <c r="M1094" s="1" t="s">
        <v>272</v>
      </c>
      <c r="N1094" s="1" t="s">
        <v>253</v>
      </c>
      <c r="O1094" s="1" t="s">
        <v>697</v>
      </c>
      <c r="P1094" s="1" t="str">
        <f t="shared" si="58"/>
        <v>BC Turvania1.4Inverter(MBUS-14)46003,350694444446003,350694444446003,3993055556</v>
      </c>
      <c r="Q1094" s="1" t="str">
        <f t="shared" si="59"/>
        <v>LIGRFOCOM</v>
      </c>
    </row>
    <row r="1095" spans="2:17">
      <c r="B1095" s="1" t="s">
        <v>701</v>
      </c>
      <c r="C1095" s="1" t="s">
        <v>307</v>
      </c>
      <c r="D1095" s="52">
        <v>46003.350694444445</v>
      </c>
      <c r="E1095" s="52">
        <v>46003.350694444445</v>
      </c>
      <c r="F1095" s="52">
        <v>46003.399305555555</v>
      </c>
      <c r="G1095" s="53">
        <f t="shared" si="57"/>
        <v>4.8611111109494232E-2</v>
      </c>
      <c r="H1095" s="1" t="s">
        <v>268</v>
      </c>
      <c r="I1095" s="1" t="s">
        <v>269</v>
      </c>
      <c r="J1095" s="1" t="s">
        <v>319</v>
      </c>
      <c r="K1095" s="1" t="str">
        <f>_xlfn.XLOOKUP(J1095,REF!$D$2:$D$12,REF!$E$2:$E$12)</f>
        <v>Comunicação</v>
      </c>
      <c r="L1095" s="1" t="s">
        <v>1964</v>
      </c>
      <c r="M1095" s="1" t="s">
        <v>272</v>
      </c>
      <c r="N1095" s="1" t="s">
        <v>253</v>
      </c>
      <c r="O1095" s="1" t="s">
        <v>697</v>
      </c>
      <c r="P1095" s="1" t="str">
        <f t="shared" si="58"/>
        <v>BC Turvania1.4Inverter(MBUS-15)46003,350694444446003,350694444446003,3993055556</v>
      </c>
      <c r="Q1095" s="1" t="str">
        <f t="shared" si="59"/>
        <v>LIGRFOCOM</v>
      </c>
    </row>
    <row r="1096" spans="2:17">
      <c r="B1096" s="1" t="s">
        <v>701</v>
      </c>
      <c r="C1096" s="1" t="s">
        <v>264</v>
      </c>
      <c r="D1096" s="52">
        <v>46003.350694444445</v>
      </c>
      <c r="E1096" s="52">
        <v>46003.350694444445</v>
      </c>
      <c r="F1096" s="52">
        <v>46003.399305555555</v>
      </c>
      <c r="G1096" s="53">
        <f t="shared" si="57"/>
        <v>4.8611111109494232E-2</v>
      </c>
      <c r="H1096" s="1" t="s">
        <v>268</v>
      </c>
      <c r="I1096" s="1" t="s">
        <v>269</v>
      </c>
      <c r="J1096" s="1" t="s">
        <v>319</v>
      </c>
      <c r="K1096" s="1" t="str">
        <f>_xlfn.XLOOKUP(J1096,REF!$D$2:$D$12,REF!$E$2:$E$12)</f>
        <v>Comunicação</v>
      </c>
      <c r="L1096" s="1" t="s">
        <v>1964</v>
      </c>
      <c r="M1096" s="1" t="s">
        <v>272</v>
      </c>
      <c r="N1096" s="1" t="s">
        <v>253</v>
      </c>
      <c r="O1096" s="1" t="s">
        <v>697</v>
      </c>
      <c r="P1096" s="1" t="str">
        <f t="shared" si="58"/>
        <v>BC Turvania1.4Inverter(MBUS-13)46003,350694444446003,350694444446003,3993055556</v>
      </c>
      <c r="Q1096" s="1" t="str">
        <f t="shared" si="59"/>
        <v>LIGRFOCOM</v>
      </c>
    </row>
    <row r="1097" spans="2:17">
      <c r="B1097" s="1" t="s">
        <v>701</v>
      </c>
      <c r="C1097" s="1" t="s">
        <v>256</v>
      </c>
      <c r="D1097" s="52">
        <v>46003.350694444445</v>
      </c>
      <c r="E1097" s="52">
        <v>46003.350694444445</v>
      </c>
      <c r="F1097" s="52">
        <v>46003.399305555555</v>
      </c>
      <c r="G1097" s="53">
        <f t="shared" si="57"/>
        <v>4.8611111109494232E-2</v>
      </c>
      <c r="H1097" s="1" t="s">
        <v>268</v>
      </c>
      <c r="I1097" s="1" t="s">
        <v>269</v>
      </c>
      <c r="J1097" s="1" t="s">
        <v>319</v>
      </c>
      <c r="K1097" s="1" t="str">
        <f>_xlfn.XLOOKUP(J1097,REF!$D$2:$D$12,REF!$E$2:$E$12)</f>
        <v>Comunicação</v>
      </c>
      <c r="L1097" s="1" t="s">
        <v>1964</v>
      </c>
      <c r="M1097" s="1" t="s">
        <v>272</v>
      </c>
      <c r="N1097" s="1" t="s">
        <v>253</v>
      </c>
      <c r="O1097" s="1" t="s">
        <v>697</v>
      </c>
      <c r="P1097" s="1" t="str">
        <f t="shared" si="58"/>
        <v>BC Turvania1.4Inverter(MBUS-12)46003,350694444446003,350694444446003,3993055556</v>
      </c>
      <c r="Q1097" s="1" t="str">
        <f t="shared" si="59"/>
        <v>LIGRFOCOM</v>
      </c>
    </row>
    <row r="1098" spans="2:17">
      <c r="B1098" s="1" t="s">
        <v>702</v>
      </c>
      <c r="C1098" s="1" t="s">
        <v>264</v>
      </c>
      <c r="D1098" s="52">
        <v>46003.350694444445</v>
      </c>
      <c r="E1098" s="52">
        <v>46003.350694444445</v>
      </c>
      <c r="F1098" s="52">
        <v>46003.399305555555</v>
      </c>
      <c r="G1098" s="53">
        <f t="shared" si="57"/>
        <v>4.8611111109494232E-2</v>
      </c>
      <c r="H1098" s="1" t="s">
        <v>268</v>
      </c>
      <c r="I1098" s="1" t="s">
        <v>269</v>
      </c>
      <c r="J1098" s="1" t="s">
        <v>319</v>
      </c>
      <c r="K1098" s="1" t="str">
        <f>_xlfn.XLOOKUP(J1098,REF!$D$2:$D$12,REF!$E$2:$E$12)</f>
        <v>Comunicação</v>
      </c>
      <c r="L1098" s="1" t="s">
        <v>1964</v>
      </c>
      <c r="M1098" s="1" t="s">
        <v>272</v>
      </c>
      <c r="N1098" s="1" t="s">
        <v>253</v>
      </c>
      <c r="O1098" s="1" t="s">
        <v>697</v>
      </c>
      <c r="P1098" s="1" t="str">
        <f t="shared" si="58"/>
        <v>BC Turvania1.5Inverter(MBUS-13)46003,350694444446003,350694444446003,3993055556</v>
      </c>
      <c r="Q1098" s="1" t="str">
        <f t="shared" si="59"/>
        <v>LIGRFOCOM</v>
      </c>
    </row>
    <row r="1099" spans="2:17">
      <c r="B1099" s="1" t="s">
        <v>702</v>
      </c>
      <c r="C1099" s="1" t="s">
        <v>256</v>
      </c>
      <c r="D1099" s="52">
        <v>46003.350694444445</v>
      </c>
      <c r="E1099" s="52">
        <v>46003.350694444445</v>
      </c>
      <c r="F1099" s="52">
        <v>46003.399305555555</v>
      </c>
      <c r="G1099" s="53">
        <f t="shared" si="57"/>
        <v>4.8611111109494232E-2</v>
      </c>
      <c r="H1099" s="1" t="s">
        <v>268</v>
      </c>
      <c r="I1099" s="1" t="s">
        <v>269</v>
      </c>
      <c r="J1099" s="1" t="s">
        <v>319</v>
      </c>
      <c r="K1099" s="1" t="str">
        <f>_xlfn.XLOOKUP(J1099,REF!$D$2:$D$12,REF!$E$2:$E$12)</f>
        <v>Comunicação</v>
      </c>
      <c r="L1099" s="1" t="s">
        <v>1964</v>
      </c>
      <c r="M1099" s="1" t="s">
        <v>272</v>
      </c>
      <c r="N1099" s="1" t="s">
        <v>253</v>
      </c>
      <c r="O1099" s="1" t="s">
        <v>697</v>
      </c>
      <c r="P1099" s="1" t="str">
        <f t="shared" si="58"/>
        <v>BC Turvania1.5Inverter(MBUS-12)46003,350694444446003,350694444446003,3993055556</v>
      </c>
      <c r="Q1099" s="1" t="str">
        <f t="shared" si="59"/>
        <v>LIGRFOCOM</v>
      </c>
    </row>
    <row r="1100" spans="2:17">
      <c r="B1100" s="1" t="s">
        <v>702</v>
      </c>
      <c r="C1100" s="1" t="s">
        <v>263</v>
      </c>
      <c r="D1100" s="52">
        <v>46003.350694444445</v>
      </c>
      <c r="E1100" s="52">
        <v>46003.350694444445</v>
      </c>
      <c r="F1100" s="52">
        <v>46003.399305555555</v>
      </c>
      <c r="G1100" s="53">
        <f t="shared" si="57"/>
        <v>4.8611111109494232E-2</v>
      </c>
      <c r="H1100" s="1" t="s">
        <v>268</v>
      </c>
      <c r="I1100" s="1" t="s">
        <v>269</v>
      </c>
      <c r="J1100" s="1" t="s">
        <v>319</v>
      </c>
      <c r="K1100" s="1" t="str">
        <f>_xlfn.XLOOKUP(J1100,REF!$D$2:$D$12,REF!$E$2:$E$12)</f>
        <v>Comunicação</v>
      </c>
      <c r="L1100" s="1" t="s">
        <v>1964</v>
      </c>
      <c r="M1100" s="1" t="s">
        <v>272</v>
      </c>
      <c r="N1100" s="1" t="s">
        <v>253</v>
      </c>
      <c r="O1100" s="1" t="s">
        <v>697</v>
      </c>
      <c r="P1100" s="1" t="str">
        <f t="shared" si="58"/>
        <v>BC Turvania1.5Inverter(MBUS-14)46003,350694444446003,350694444446003,3993055556</v>
      </c>
      <c r="Q1100" s="1" t="str">
        <f t="shared" si="59"/>
        <v>LIGRFOCOM</v>
      </c>
    </row>
    <row r="1101" spans="2:17">
      <c r="B1101" s="1" t="s">
        <v>702</v>
      </c>
      <c r="C1101" s="1" t="s">
        <v>247</v>
      </c>
      <c r="D1101" s="52">
        <v>46003.350694444445</v>
      </c>
      <c r="E1101" s="52">
        <v>46003.350694444445</v>
      </c>
      <c r="F1101" s="52">
        <v>46003.399305555555</v>
      </c>
      <c r="G1101" s="53">
        <f t="shared" si="57"/>
        <v>4.8611111109494232E-2</v>
      </c>
      <c r="H1101" s="1" t="s">
        <v>268</v>
      </c>
      <c r="I1101" s="1" t="s">
        <v>269</v>
      </c>
      <c r="J1101" s="1" t="s">
        <v>319</v>
      </c>
      <c r="K1101" s="1" t="str">
        <f>_xlfn.XLOOKUP(J1101,REF!$D$2:$D$12,REF!$E$2:$E$12)</f>
        <v>Comunicação</v>
      </c>
      <c r="L1101" s="1" t="s">
        <v>1964</v>
      </c>
      <c r="M1101" s="1" t="s">
        <v>272</v>
      </c>
      <c r="N1101" s="1" t="s">
        <v>253</v>
      </c>
      <c r="O1101" s="1" t="s">
        <v>697</v>
      </c>
      <c r="P1101" s="1" t="str">
        <f t="shared" si="58"/>
        <v>BC Turvania1.5Inverter(MBUS-1)46003,350694444446003,350694444446003,3993055556</v>
      </c>
      <c r="Q1101" s="1" t="str">
        <f t="shared" si="59"/>
        <v>LIGRFOCOM</v>
      </c>
    </row>
    <row r="1102" spans="2:17">
      <c r="B1102" s="1" t="s">
        <v>305</v>
      </c>
      <c r="C1102" s="1" t="s">
        <v>256</v>
      </c>
      <c r="D1102" s="52">
        <v>46003.944444444445</v>
      </c>
      <c r="E1102" s="52">
        <v>46003.944444444445</v>
      </c>
      <c r="F1102" s="52">
        <v>46003.977083333331</v>
      </c>
      <c r="G1102" s="53">
        <f t="shared" si="57"/>
        <v>3.2638888886140194E-2</v>
      </c>
      <c r="H1102" s="1" t="s">
        <v>268</v>
      </c>
      <c r="I1102" s="1" t="s">
        <v>269</v>
      </c>
      <c r="J1102" s="1" t="s">
        <v>319</v>
      </c>
      <c r="K1102" s="1" t="str">
        <f>_xlfn.XLOOKUP(J1102,REF!$D$2:$D$12,REF!$E$2:$E$12)</f>
        <v>Comunicação</v>
      </c>
      <c r="L1102" s="1" t="s">
        <v>1964</v>
      </c>
      <c r="M1102" s="1" t="s">
        <v>272</v>
      </c>
      <c r="N1102" s="1" t="s">
        <v>253</v>
      </c>
      <c r="O1102" s="1" t="s">
        <v>697</v>
      </c>
      <c r="P1102" s="1" t="str">
        <f t="shared" si="58"/>
        <v>ARAGUATINS 1.1Inverter(MBUS-12)46003,944444444446003,944444444446003,9770833333</v>
      </c>
      <c r="Q1102" s="1" t="str">
        <f t="shared" si="59"/>
        <v>LIGRFOCOM</v>
      </c>
    </row>
    <row r="1103" spans="2:17">
      <c r="B1103" s="1" t="s">
        <v>305</v>
      </c>
      <c r="C1103" s="1" t="s">
        <v>264</v>
      </c>
      <c r="D1103" s="52">
        <v>46003.944444444445</v>
      </c>
      <c r="E1103" s="52">
        <v>46003.944444444445</v>
      </c>
      <c r="F1103" s="52">
        <v>46003.977083333331</v>
      </c>
      <c r="G1103" s="53">
        <f t="shared" si="57"/>
        <v>3.2638888886140194E-2</v>
      </c>
      <c r="H1103" s="1" t="s">
        <v>268</v>
      </c>
      <c r="I1103" s="1" t="s">
        <v>269</v>
      </c>
      <c r="J1103" s="1" t="s">
        <v>319</v>
      </c>
      <c r="K1103" s="1" t="str">
        <f>_xlfn.XLOOKUP(J1103,REF!$D$2:$D$12,REF!$E$2:$E$12)</f>
        <v>Comunicação</v>
      </c>
      <c r="L1103" s="1" t="s">
        <v>1964</v>
      </c>
      <c r="M1103" s="1" t="s">
        <v>272</v>
      </c>
      <c r="N1103" s="1" t="s">
        <v>253</v>
      </c>
      <c r="O1103" s="1" t="s">
        <v>697</v>
      </c>
      <c r="P1103" s="1" t="str">
        <f t="shared" si="58"/>
        <v>ARAGUATINS 1.1Inverter(MBUS-13)46003,944444444446003,944444444446003,9770833333</v>
      </c>
      <c r="Q1103" s="1" t="str">
        <f t="shared" si="59"/>
        <v>LIGRFOCOM</v>
      </c>
    </row>
    <row r="1104" spans="2:17">
      <c r="B1104" s="1" t="s">
        <v>305</v>
      </c>
      <c r="C1104" s="1" t="s">
        <v>263</v>
      </c>
      <c r="D1104" s="52">
        <v>46003.944444444445</v>
      </c>
      <c r="E1104" s="52">
        <v>46003.944444444445</v>
      </c>
      <c r="F1104" s="52">
        <v>46003.977083333331</v>
      </c>
      <c r="G1104" s="53">
        <f t="shared" si="57"/>
        <v>3.2638888886140194E-2</v>
      </c>
      <c r="H1104" s="1" t="s">
        <v>268</v>
      </c>
      <c r="I1104" s="1" t="s">
        <v>269</v>
      </c>
      <c r="J1104" s="1" t="s">
        <v>319</v>
      </c>
      <c r="K1104" s="1" t="str">
        <f>_xlfn.XLOOKUP(J1104,REF!$D$2:$D$12,REF!$E$2:$E$12)</f>
        <v>Comunicação</v>
      </c>
      <c r="L1104" s="1" t="s">
        <v>1964</v>
      </c>
      <c r="M1104" s="1" t="s">
        <v>272</v>
      </c>
      <c r="N1104" s="1" t="s">
        <v>253</v>
      </c>
      <c r="O1104" s="1" t="s">
        <v>697</v>
      </c>
      <c r="P1104" s="1" t="str">
        <f t="shared" si="58"/>
        <v>ARAGUATINS 1.1Inverter(MBUS-14)46003,944444444446003,944444444446003,9770833333</v>
      </c>
      <c r="Q1104" s="1" t="str">
        <f t="shared" si="59"/>
        <v>LIGRFOCOM</v>
      </c>
    </row>
    <row r="1105" spans="2:17">
      <c r="B1105" s="1" t="s">
        <v>305</v>
      </c>
      <c r="C1105" s="1" t="s">
        <v>307</v>
      </c>
      <c r="D1105" s="52">
        <v>46003.944444444445</v>
      </c>
      <c r="E1105" s="52">
        <v>46003.944444444445</v>
      </c>
      <c r="F1105" s="52">
        <v>46003.977083333331</v>
      </c>
      <c r="G1105" s="53">
        <f t="shared" si="57"/>
        <v>3.2638888886140194E-2</v>
      </c>
      <c r="H1105" s="1" t="s">
        <v>268</v>
      </c>
      <c r="I1105" s="1" t="s">
        <v>269</v>
      </c>
      <c r="J1105" s="1" t="s">
        <v>319</v>
      </c>
      <c r="K1105" s="1" t="str">
        <f>_xlfn.XLOOKUP(J1105,REF!$D$2:$D$12,REF!$E$2:$E$12)</f>
        <v>Comunicação</v>
      </c>
      <c r="L1105" s="1" t="s">
        <v>1964</v>
      </c>
      <c r="M1105" s="1" t="s">
        <v>272</v>
      </c>
      <c r="N1105" s="1" t="s">
        <v>253</v>
      </c>
      <c r="O1105" s="1" t="s">
        <v>697</v>
      </c>
      <c r="P1105" s="1" t="str">
        <f t="shared" si="58"/>
        <v>ARAGUATINS 1.1Inverter(MBUS-15)46003,944444444446003,944444444446003,9770833333</v>
      </c>
      <c r="Q1105" s="1" t="str">
        <f t="shared" si="59"/>
        <v>LIGRFOCOM</v>
      </c>
    </row>
    <row r="1106" spans="2:17">
      <c r="B1106" s="1" t="s">
        <v>308</v>
      </c>
      <c r="C1106" s="1" t="s">
        <v>256</v>
      </c>
      <c r="D1106" s="52">
        <v>46003.944444444445</v>
      </c>
      <c r="E1106" s="52">
        <v>46003.944444444445</v>
      </c>
      <c r="F1106" s="52">
        <v>46003.977083333331</v>
      </c>
      <c r="G1106" s="53">
        <f t="shared" si="57"/>
        <v>3.2638888886140194E-2</v>
      </c>
      <c r="H1106" s="1" t="s">
        <v>268</v>
      </c>
      <c r="I1106" s="1" t="s">
        <v>269</v>
      </c>
      <c r="J1106" s="1" t="s">
        <v>319</v>
      </c>
      <c r="K1106" s="1" t="str">
        <f>_xlfn.XLOOKUP(J1106,REF!$D$2:$D$12,REF!$E$2:$E$12)</f>
        <v>Comunicação</v>
      </c>
      <c r="L1106" s="1" t="s">
        <v>1964</v>
      </c>
      <c r="M1106" s="1" t="s">
        <v>272</v>
      </c>
      <c r="N1106" s="1" t="s">
        <v>253</v>
      </c>
      <c r="O1106" s="1" t="s">
        <v>697</v>
      </c>
      <c r="P1106" s="1" t="str">
        <f t="shared" si="58"/>
        <v>ARAGUATINS 1.2Inverter(MBUS-12)46003,944444444446003,944444444446003,9770833333</v>
      </c>
      <c r="Q1106" s="1" t="str">
        <f t="shared" si="59"/>
        <v>LIGRFOCOM</v>
      </c>
    </row>
    <row r="1107" spans="2:17">
      <c r="B1107" s="1" t="s">
        <v>308</v>
      </c>
      <c r="C1107" s="1" t="s">
        <v>264</v>
      </c>
      <c r="D1107" s="52">
        <v>46003.944444444445</v>
      </c>
      <c r="E1107" s="52">
        <v>46003.944444444445</v>
      </c>
      <c r="F1107" s="52">
        <v>46003.977083333331</v>
      </c>
      <c r="G1107" s="53">
        <f t="shared" si="57"/>
        <v>3.2638888886140194E-2</v>
      </c>
      <c r="H1107" s="1" t="s">
        <v>268</v>
      </c>
      <c r="I1107" s="1" t="s">
        <v>269</v>
      </c>
      <c r="J1107" s="1" t="s">
        <v>319</v>
      </c>
      <c r="K1107" s="1" t="str">
        <f>_xlfn.XLOOKUP(J1107,REF!$D$2:$D$12,REF!$E$2:$E$12)</f>
        <v>Comunicação</v>
      </c>
      <c r="L1107" s="1" t="s">
        <v>1964</v>
      </c>
      <c r="M1107" s="1" t="s">
        <v>272</v>
      </c>
      <c r="N1107" s="1" t="s">
        <v>253</v>
      </c>
      <c r="O1107" s="1" t="s">
        <v>697</v>
      </c>
      <c r="P1107" s="1" t="str">
        <f t="shared" si="58"/>
        <v>ARAGUATINS 1.2Inverter(MBUS-13)46003,944444444446003,944444444446003,9770833333</v>
      </c>
      <c r="Q1107" s="1" t="str">
        <f t="shared" si="59"/>
        <v>LIGRFOCOM</v>
      </c>
    </row>
    <row r="1108" spans="2:17">
      <c r="B1108" s="1" t="s">
        <v>308</v>
      </c>
      <c r="C1108" s="1" t="s">
        <v>263</v>
      </c>
      <c r="D1108" s="52">
        <v>46003.944444444445</v>
      </c>
      <c r="E1108" s="52">
        <v>46003.944444444445</v>
      </c>
      <c r="F1108" s="52">
        <v>46003.977083333331</v>
      </c>
      <c r="G1108" s="53">
        <f t="shared" si="57"/>
        <v>3.2638888886140194E-2</v>
      </c>
      <c r="H1108" s="1" t="s">
        <v>268</v>
      </c>
      <c r="I1108" s="1" t="s">
        <v>269</v>
      </c>
      <c r="J1108" s="1" t="s">
        <v>319</v>
      </c>
      <c r="K1108" s="1" t="str">
        <f>_xlfn.XLOOKUP(J1108,REF!$D$2:$D$12,REF!$E$2:$E$12)</f>
        <v>Comunicação</v>
      </c>
      <c r="L1108" s="1" t="s">
        <v>1964</v>
      </c>
      <c r="M1108" s="1" t="s">
        <v>272</v>
      </c>
      <c r="N1108" s="1" t="s">
        <v>253</v>
      </c>
      <c r="O1108" s="1" t="s">
        <v>697</v>
      </c>
      <c r="P1108" s="1" t="str">
        <f t="shared" si="58"/>
        <v>ARAGUATINS 1.2Inverter(MBUS-14)46003,944444444446003,944444444446003,9770833333</v>
      </c>
      <c r="Q1108" s="1" t="str">
        <f t="shared" si="59"/>
        <v>LIGRFOCOM</v>
      </c>
    </row>
    <row r="1109" spans="2:17">
      <c r="B1109" s="1" t="s">
        <v>308</v>
      </c>
      <c r="C1109" s="1" t="s">
        <v>307</v>
      </c>
      <c r="D1109" s="52">
        <v>46003.944444444445</v>
      </c>
      <c r="E1109" s="52">
        <v>46003.944444444445</v>
      </c>
      <c r="F1109" s="52">
        <v>46003.977083333331</v>
      </c>
      <c r="G1109" s="53">
        <f t="shared" si="57"/>
        <v>3.2638888886140194E-2</v>
      </c>
      <c r="H1109" s="1" t="s">
        <v>268</v>
      </c>
      <c r="I1109" s="1" t="s">
        <v>269</v>
      </c>
      <c r="J1109" s="1" t="s">
        <v>319</v>
      </c>
      <c r="K1109" s="1" t="str">
        <f>_xlfn.XLOOKUP(J1109,REF!$D$2:$D$12,REF!$E$2:$E$12)</f>
        <v>Comunicação</v>
      </c>
      <c r="L1109" s="1" t="s">
        <v>1964</v>
      </c>
      <c r="M1109" s="1" t="s">
        <v>272</v>
      </c>
      <c r="N1109" s="1" t="s">
        <v>253</v>
      </c>
      <c r="O1109" s="1" t="s">
        <v>697</v>
      </c>
      <c r="P1109" s="1" t="str">
        <f t="shared" si="58"/>
        <v>ARAGUATINS 1.2Inverter(MBUS-15)46003,944444444446003,944444444446003,9770833333</v>
      </c>
      <c r="Q1109" s="1" t="str">
        <f t="shared" si="59"/>
        <v>LIGRFOCOM</v>
      </c>
    </row>
    <row r="1110" spans="2:17">
      <c r="B1110" s="1" t="s">
        <v>309</v>
      </c>
      <c r="C1110" s="1" t="s">
        <v>310</v>
      </c>
      <c r="D1110" s="52">
        <v>46003.944444444445</v>
      </c>
      <c r="E1110" s="52">
        <v>46003.944444444445</v>
      </c>
      <c r="F1110" s="52">
        <v>46003.977083333331</v>
      </c>
      <c r="G1110" s="53">
        <f t="shared" ref="G1110:G1173" si="60">F1110-E1110</f>
        <v>3.2638888886140194E-2</v>
      </c>
      <c r="H1110" s="1" t="s">
        <v>268</v>
      </c>
      <c r="I1110" s="1" t="s">
        <v>269</v>
      </c>
      <c r="J1110" s="1" t="s">
        <v>319</v>
      </c>
      <c r="K1110" s="1" t="str">
        <f>_xlfn.XLOOKUP(J1110,REF!$D$2:$D$12,REF!$E$2:$E$12)</f>
        <v>Comunicação</v>
      </c>
      <c r="L1110" s="1" t="s">
        <v>1964</v>
      </c>
      <c r="M1110" s="1" t="s">
        <v>272</v>
      </c>
      <c r="N1110" s="1" t="s">
        <v>253</v>
      </c>
      <c r="O1110" s="1" t="s">
        <v>697</v>
      </c>
      <c r="P1110" s="1" t="str">
        <f t="shared" si="58"/>
        <v>ARAGUATINS 1.3Inverter(MBUS-20)46003,944444444446003,944444444446003,9770833333</v>
      </c>
      <c r="Q1110" s="1" t="str">
        <f t="shared" si="59"/>
        <v>LIGRFOCOM</v>
      </c>
    </row>
    <row r="1111" spans="2:17">
      <c r="B1111" s="1" t="s">
        <v>309</v>
      </c>
      <c r="C1111" s="1" t="s">
        <v>247</v>
      </c>
      <c r="D1111" s="52">
        <v>46003.944444444445</v>
      </c>
      <c r="E1111" s="52">
        <v>46003.944444444445</v>
      </c>
      <c r="F1111" s="52">
        <v>46003.977083333331</v>
      </c>
      <c r="G1111" s="53">
        <f t="shared" si="60"/>
        <v>3.2638888886140194E-2</v>
      </c>
      <c r="H1111" s="1" t="s">
        <v>268</v>
      </c>
      <c r="I1111" s="1" t="s">
        <v>269</v>
      </c>
      <c r="J1111" s="1" t="s">
        <v>319</v>
      </c>
      <c r="K1111" s="1" t="str">
        <f>_xlfn.XLOOKUP(J1111,REF!$D$2:$D$12,REF!$E$2:$E$12)</f>
        <v>Comunicação</v>
      </c>
      <c r="L1111" s="1" t="s">
        <v>1964</v>
      </c>
      <c r="M1111" s="1" t="s">
        <v>272</v>
      </c>
      <c r="N1111" s="1" t="s">
        <v>253</v>
      </c>
      <c r="O1111" s="1" t="s">
        <v>697</v>
      </c>
      <c r="P1111" s="1" t="str">
        <f t="shared" si="58"/>
        <v>ARAGUATINS 1.3Inverter(MBUS-1)46003,944444444446003,944444444446003,9770833333</v>
      </c>
      <c r="Q1111" s="1" t="str">
        <f t="shared" si="59"/>
        <v>LIGRFOCOM</v>
      </c>
    </row>
    <row r="1112" spans="2:17">
      <c r="B1112" s="1" t="s">
        <v>311</v>
      </c>
      <c r="C1112" s="1" t="s">
        <v>256</v>
      </c>
      <c r="D1112" s="52">
        <v>46003.944444444445</v>
      </c>
      <c r="E1112" s="52">
        <v>46003.944444444445</v>
      </c>
      <c r="F1112" s="52">
        <v>46003.977083333331</v>
      </c>
      <c r="G1112" s="53">
        <f t="shared" si="60"/>
        <v>3.2638888886140194E-2</v>
      </c>
      <c r="H1112" s="1" t="s">
        <v>268</v>
      </c>
      <c r="I1112" s="1" t="s">
        <v>269</v>
      </c>
      <c r="J1112" s="1" t="s">
        <v>319</v>
      </c>
      <c r="K1112" s="1" t="str">
        <f>_xlfn.XLOOKUP(J1112,REF!$D$2:$D$12,REF!$E$2:$E$12)</f>
        <v>Comunicação</v>
      </c>
      <c r="L1112" s="1" t="s">
        <v>1964</v>
      </c>
      <c r="M1112" s="1" t="s">
        <v>272</v>
      </c>
      <c r="N1112" s="1" t="s">
        <v>253</v>
      </c>
      <c r="O1112" s="1" t="s">
        <v>697</v>
      </c>
      <c r="P1112" s="1" t="str">
        <f t="shared" si="58"/>
        <v>ARAGUATINS 2.1Inverter(MBUS-12)46003,944444444446003,944444444446003,9770833333</v>
      </c>
      <c r="Q1112" s="1" t="str">
        <f t="shared" si="59"/>
        <v>LIGRFOCOM</v>
      </c>
    </row>
    <row r="1113" spans="2:17">
      <c r="B1113" s="1" t="s">
        <v>311</v>
      </c>
      <c r="C1113" s="1" t="s">
        <v>307</v>
      </c>
      <c r="D1113" s="52">
        <v>46003.944444444445</v>
      </c>
      <c r="E1113" s="52">
        <v>46003.944444444445</v>
      </c>
      <c r="F1113" s="52">
        <v>46003.977083333331</v>
      </c>
      <c r="G1113" s="53">
        <f t="shared" si="60"/>
        <v>3.2638888886140194E-2</v>
      </c>
      <c r="H1113" s="1" t="s">
        <v>268</v>
      </c>
      <c r="I1113" s="1" t="s">
        <v>269</v>
      </c>
      <c r="J1113" s="1" t="s">
        <v>319</v>
      </c>
      <c r="K1113" s="1" t="str">
        <f>_xlfn.XLOOKUP(J1113,REF!$D$2:$D$12,REF!$E$2:$E$12)</f>
        <v>Comunicação</v>
      </c>
      <c r="L1113" s="1" t="s">
        <v>1964</v>
      </c>
      <c r="M1113" s="1" t="s">
        <v>272</v>
      </c>
      <c r="N1113" s="1" t="s">
        <v>253</v>
      </c>
      <c r="O1113" s="1" t="s">
        <v>697</v>
      </c>
      <c r="P1113" s="1" t="str">
        <f t="shared" si="58"/>
        <v>ARAGUATINS 2.1Inverter(MBUS-15)46003,944444444446003,944444444446003,9770833333</v>
      </c>
      <c r="Q1113" s="1" t="str">
        <f t="shared" si="59"/>
        <v>LIGRFOCOM</v>
      </c>
    </row>
    <row r="1114" spans="2:17">
      <c r="B1114" s="1" t="s">
        <v>311</v>
      </c>
      <c r="C1114" s="1" t="s">
        <v>263</v>
      </c>
      <c r="D1114" s="52">
        <v>46003.944444444445</v>
      </c>
      <c r="E1114" s="52">
        <v>46003.944444444445</v>
      </c>
      <c r="F1114" s="52">
        <v>46003.977083333331</v>
      </c>
      <c r="G1114" s="53">
        <f t="shared" si="60"/>
        <v>3.2638888886140194E-2</v>
      </c>
      <c r="H1114" s="1" t="s">
        <v>268</v>
      </c>
      <c r="I1114" s="1" t="s">
        <v>269</v>
      </c>
      <c r="J1114" s="1" t="s">
        <v>319</v>
      </c>
      <c r="K1114" s="1" t="str">
        <f>_xlfn.XLOOKUP(J1114,REF!$D$2:$D$12,REF!$E$2:$E$12)</f>
        <v>Comunicação</v>
      </c>
      <c r="L1114" s="1" t="s">
        <v>1964</v>
      </c>
      <c r="M1114" s="1" t="s">
        <v>272</v>
      </c>
      <c r="N1114" s="1" t="s">
        <v>253</v>
      </c>
      <c r="O1114" s="1" t="s">
        <v>697</v>
      </c>
      <c r="P1114" s="1" t="str">
        <f t="shared" ref="P1114:P1177" si="61">_xlfn.CONCAT(B1114,C1114,D1114,E1114,F1114)</f>
        <v>ARAGUATINS 2.1Inverter(MBUS-14)46003,944444444446003,944444444446003,9770833333</v>
      </c>
      <c r="Q1114" s="1" t="str">
        <f t="shared" ref="Q1114:Q1177" si="62">_xlfn.CONCAT(H1114,I1114,J1114)</f>
        <v>LIGRFOCOM</v>
      </c>
    </row>
    <row r="1115" spans="2:17">
      <c r="B1115" s="1" t="s">
        <v>311</v>
      </c>
      <c r="C1115" s="1" t="s">
        <v>247</v>
      </c>
      <c r="D1115" s="52">
        <v>46003.944444444445</v>
      </c>
      <c r="E1115" s="52">
        <v>46003.944444444445</v>
      </c>
      <c r="F1115" s="52">
        <v>46003.977083333331</v>
      </c>
      <c r="G1115" s="53">
        <f t="shared" si="60"/>
        <v>3.2638888886140194E-2</v>
      </c>
      <c r="H1115" s="1" t="s">
        <v>268</v>
      </c>
      <c r="I1115" s="1" t="s">
        <v>269</v>
      </c>
      <c r="J1115" s="1" t="s">
        <v>319</v>
      </c>
      <c r="K1115" s="1" t="str">
        <f>_xlfn.XLOOKUP(J1115,REF!$D$2:$D$12,REF!$E$2:$E$12)</f>
        <v>Comunicação</v>
      </c>
      <c r="L1115" s="1" t="s">
        <v>1964</v>
      </c>
      <c r="M1115" s="1" t="s">
        <v>272</v>
      </c>
      <c r="N1115" s="1" t="s">
        <v>253</v>
      </c>
      <c r="O1115" s="1" t="s">
        <v>697</v>
      </c>
      <c r="P1115" s="1" t="str">
        <f t="shared" si="61"/>
        <v>ARAGUATINS 2.1Inverter(MBUS-1)46003,944444444446003,944444444446003,9770833333</v>
      </c>
      <c r="Q1115" s="1" t="str">
        <f t="shared" si="62"/>
        <v>LIGRFOCOM</v>
      </c>
    </row>
    <row r="1116" spans="2:17">
      <c r="B1116" s="1" t="s">
        <v>312</v>
      </c>
      <c r="C1116" s="1" t="s">
        <v>307</v>
      </c>
      <c r="D1116" s="52">
        <v>46003.944444444445</v>
      </c>
      <c r="E1116" s="52">
        <v>46003.944444444445</v>
      </c>
      <c r="F1116" s="52">
        <v>46003.977083333331</v>
      </c>
      <c r="G1116" s="53">
        <f t="shared" si="60"/>
        <v>3.2638888886140194E-2</v>
      </c>
      <c r="H1116" s="1" t="s">
        <v>268</v>
      </c>
      <c r="I1116" s="1" t="s">
        <v>269</v>
      </c>
      <c r="J1116" s="1" t="s">
        <v>319</v>
      </c>
      <c r="K1116" s="1" t="str">
        <f>_xlfn.XLOOKUP(J1116,REF!$D$2:$D$12,REF!$E$2:$E$12)</f>
        <v>Comunicação</v>
      </c>
      <c r="L1116" s="1" t="s">
        <v>1964</v>
      </c>
      <c r="M1116" s="1" t="s">
        <v>272</v>
      </c>
      <c r="N1116" s="1" t="s">
        <v>253</v>
      </c>
      <c r="O1116" s="1" t="s">
        <v>697</v>
      </c>
      <c r="P1116" s="1" t="str">
        <f t="shared" si="61"/>
        <v>ARAGUATINS 2.2Inverter(MBUS-15)46003,944444444446003,944444444446003,9770833333</v>
      </c>
      <c r="Q1116" s="1" t="str">
        <f t="shared" si="62"/>
        <v>LIGRFOCOM</v>
      </c>
    </row>
    <row r="1117" spans="2:17">
      <c r="B1117" s="1" t="s">
        <v>312</v>
      </c>
      <c r="C1117" s="1" t="s">
        <v>264</v>
      </c>
      <c r="D1117" s="52">
        <v>46003.944444444445</v>
      </c>
      <c r="E1117" s="52">
        <v>46003.944444444445</v>
      </c>
      <c r="F1117" s="52">
        <v>46003.977083333331</v>
      </c>
      <c r="G1117" s="53">
        <f t="shared" si="60"/>
        <v>3.2638888886140194E-2</v>
      </c>
      <c r="H1117" s="1" t="s">
        <v>268</v>
      </c>
      <c r="I1117" s="1" t="s">
        <v>269</v>
      </c>
      <c r="J1117" s="1" t="s">
        <v>319</v>
      </c>
      <c r="K1117" s="1" t="str">
        <f>_xlfn.XLOOKUP(J1117,REF!$D$2:$D$12,REF!$E$2:$E$12)</f>
        <v>Comunicação</v>
      </c>
      <c r="L1117" s="1" t="s">
        <v>1964</v>
      </c>
      <c r="M1117" s="1" t="s">
        <v>272</v>
      </c>
      <c r="N1117" s="1" t="s">
        <v>253</v>
      </c>
      <c r="O1117" s="1" t="s">
        <v>697</v>
      </c>
      <c r="P1117" s="1" t="str">
        <f t="shared" si="61"/>
        <v>ARAGUATINS 2.2Inverter(MBUS-13)46003,944444444446003,944444444446003,9770833333</v>
      </c>
      <c r="Q1117" s="1" t="str">
        <f t="shared" si="62"/>
        <v>LIGRFOCOM</v>
      </c>
    </row>
    <row r="1118" spans="2:17">
      <c r="B1118" s="1" t="s">
        <v>312</v>
      </c>
      <c r="C1118" s="1" t="s">
        <v>263</v>
      </c>
      <c r="D1118" s="52">
        <v>46003.944444444445</v>
      </c>
      <c r="E1118" s="52">
        <v>46003.944444444445</v>
      </c>
      <c r="F1118" s="52">
        <v>46003.977083333331</v>
      </c>
      <c r="G1118" s="53">
        <f t="shared" si="60"/>
        <v>3.2638888886140194E-2</v>
      </c>
      <c r="H1118" s="1" t="s">
        <v>268</v>
      </c>
      <c r="I1118" s="1" t="s">
        <v>269</v>
      </c>
      <c r="J1118" s="1" t="s">
        <v>319</v>
      </c>
      <c r="K1118" s="1" t="str">
        <f>_xlfn.XLOOKUP(J1118,REF!$D$2:$D$12,REF!$E$2:$E$12)</f>
        <v>Comunicação</v>
      </c>
      <c r="L1118" s="1" t="s">
        <v>1964</v>
      </c>
      <c r="M1118" s="1" t="s">
        <v>272</v>
      </c>
      <c r="N1118" s="1" t="s">
        <v>253</v>
      </c>
      <c r="O1118" s="1" t="s">
        <v>697</v>
      </c>
      <c r="P1118" s="1" t="str">
        <f t="shared" si="61"/>
        <v>ARAGUATINS 2.2Inverter(MBUS-14)46003,944444444446003,944444444446003,9770833333</v>
      </c>
      <c r="Q1118" s="1" t="str">
        <f t="shared" si="62"/>
        <v>LIGRFOCOM</v>
      </c>
    </row>
    <row r="1119" spans="2:17">
      <c r="B1119" s="1" t="s">
        <v>312</v>
      </c>
      <c r="C1119" s="1" t="s">
        <v>256</v>
      </c>
      <c r="D1119" s="52">
        <v>46003.944444444445</v>
      </c>
      <c r="E1119" s="52">
        <v>46003.944444444445</v>
      </c>
      <c r="F1119" s="52">
        <v>46003.977083333331</v>
      </c>
      <c r="G1119" s="53">
        <f t="shared" si="60"/>
        <v>3.2638888886140194E-2</v>
      </c>
      <c r="H1119" s="1" t="s">
        <v>268</v>
      </c>
      <c r="I1119" s="1" t="s">
        <v>269</v>
      </c>
      <c r="J1119" s="1" t="s">
        <v>319</v>
      </c>
      <c r="K1119" s="1" t="str">
        <f>_xlfn.XLOOKUP(J1119,REF!$D$2:$D$12,REF!$E$2:$E$12)</f>
        <v>Comunicação</v>
      </c>
      <c r="L1119" s="1" t="s">
        <v>1964</v>
      </c>
      <c r="M1119" s="1" t="s">
        <v>272</v>
      </c>
      <c r="N1119" s="1" t="s">
        <v>253</v>
      </c>
      <c r="O1119" s="1" t="s">
        <v>697</v>
      </c>
      <c r="P1119" s="1" t="str">
        <f t="shared" si="61"/>
        <v>ARAGUATINS 2.2Inverter(MBUS-12)46003,944444444446003,944444444446003,9770833333</v>
      </c>
      <c r="Q1119" s="1" t="str">
        <f t="shared" si="62"/>
        <v>LIGRFOCOM</v>
      </c>
    </row>
    <row r="1120" spans="2:17">
      <c r="B1120" s="1" t="s">
        <v>313</v>
      </c>
      <c r="C1120" s="1" t="s">
        <v>256</v>
      </c>
      <c r="D1120" s="52">
        <v>46003.944444444445</v>
      </c>
      <c r="E1120" s="52">
        <v>46003.944444444445</v>
      </c>
      <c r="F1120" s="52">
        <v>46003.977083333331</v>
      </c>
      <c r="G1120" s="53">
        <f t="shared" si="60"/>
        <v>3.2638888886140194E-2</v>
      </c>
      <c r="H1120" s="1" t="s">
        <v>268</v>
      </c>
      <c r="I1120" s="1" t="s">
        <v>269</v>
      </c>
      <c r="J1120" s="1" t="s">
        <v>319</v>
      </c>
      <c r="K1120" s="1" t="str">
        <f>_xlfn.XLOOKUP(J1120,REF!$D$2:$D$12,REF!$E$2:$E$12)</f>
        <v>Comunicação</v>
      </c>
      <c r="L1120" s="1" t="s">
        <v>1964</v>
      </c>
      <c r="M1120" s="1" t="s">
        <v>272</v>
      </c>
      <c r="N1120" s="1" t="s">
        <v>253</v>
      </c>
      <c r="O1120" s="1" t="s">
        <v>697</v>
      </c>
      <c r="P1120" s="1" t="str">
        <f t="shared" si="61"/>
        <v>ARAGUATINS 2.3Inverter(MBUS-12)46003,944444444446003,944444444446003,9770833333</v>
      </c>
      <c r="Q1120" s="1" t="str">
        <f t="shared" si="62"/>
        <v>LIGRFOCOM</v>
      </c>
    </row>
    <row r="1121" spans="1:17">
      <c r="B1121" s="1" t="s">
        <v>313</v>
      </c>
      <c r="C1121" s="1" t="s">
        <v>264</v>
      </c>
      <c r="D1121" s="52">
        <v>46003.944444444445</v>
      </c>
      <c r="E1121" s="52">
        <v>46003.944444444445</v>
      </c>
      <c r="F1121" s="52">
        <v>46003.977083333331</v>
      </c>
      <c r="G1121" s="53">
        <f t="shared" si="60"/>
        <v>3.2638888886140194E-2</v>
      </c>
      <c r="H1121" s="1" t="s">
        <v>268</v>
      </c>
      <c r="I1121" s="1" t="s">
        <v>269</v>
      </c>
      <c r="J1121" s="1" t="s">
        <v>319</v>
      </c>
      <c r="K1121" s="1" t="str">
        <f>_xlfn.XLOOKUP(J1121,REF!$D$2:$D$12,REF!$E$2:$E$12)</f>
        <v>Comunicação</v>
      </c>
      <c r="L1121" s="1" t="s">
        <v>1964</v>
      </c>
      <c r="M1121" s="1" t="s">
        <v>272</v>
      </c>
      <c r="N1121" s="1" t="s">
        <v>253</v>
      </c>
      <c r="O1121" s="1" t="s">
        <v>697</v>
      </c>
      <c r="P1121" s="1" t="str">
        <f t="shared" si="61"/>
        <v>ARAGUATINS 2.3Inverter(MBUS-13)46003,944444444446003,944444444446003,9770833333</v>
      </c>
      <c r="Q1121" s="1" t="str">
        <f t="shared" si="62"/>
        <v>LIGRFOCOM</v>
      </c>
    </row>
    <row r="1122" spans="1:17" hidden="1">
      <c r="A1122" s="45"/>
      <c r="B1122" s="61" t="s">
        <v>2063</v>
      </c>
      <c r="C1122" s="61" t="s">
        <v>613</v>
      </c>
      <c r="D1122" s="62">
        <v>46017.517361111109</v>
      </c>
      <c r="E1122" s="62">
        <v>46017.517361111109</v>
      </c>
      <c r="F1122" s="62">
        <v>46017.583333333336</v>
      </c>
      <c r="G1122" s="63">
        <f>F1122-E1122</f>
        <v>6.5972222226264421E-2</v>
      </c>
      <c r="H1122" s="61" t="s">
        <v>257</v>
      </c>
      <c r="I1122" s="61"/>
      <c r="J1122" s="61" t="s">
        <v>371</v>
      </c>
      <c r="K1122" s="61" t="s">
        <v>653</v>
      </c>
      <c r="L1122" s="61" t="s">
        <v>2213</v>
      </c>
      <c r="M1122" s="61" t="s">
        <v>252</v>
      </c>
      <c r="N1122" s="61" t="s">
        <v>253</v>
      </c>
      <c r="O1122" s="61" t="s">
        <v>2214</v>
      </c>
      <c r="P1122" s="61" t="str">
        <f t="shared" si="61"/>
        <v>BC Vazante1.1Inverter1346017,517361111146017,517361111146017,5833333333</v>
      </c>
      <c r="Q1122" s="61" t="str">
        <f t="shared" si="62"/>
        <v>DAUINV</v>
      </c>
    </row>
    <row r="1123" spans="1:17" hidden="1">
      <c r="A1123" s="45"/>
      <c r="B1123" s="61" t="s">
        <v>585</v>
      </c>
      <c r="C1123" s="61" t="s">
        <v>586</v>
      </c>
      <c r="D1123" s="62">
        <v>46017.628472222219</v>
      </c>
      <c r="E1123" s="62">
        <v>46017.628472222219</v>
      </c>
      <c r="F1123" s="62">
        <v>46017.775000000001</v>
      </c>
      <c r="G1123" s="63">
        <f>F1123-E1123</f>
        <v>0.14652777778246673</v>
      </c>
      <c r="H1123" s="61" t="s">
        <v>257</v>
      </c>
      <c r="I1123" s="61"/>
      <c r="J1123" s="61" t="s">
        <v>258</v>
      </c>
      <c r="K1123" s="61" t="s">
        <v>658</v>
      </c>
      <c r="L1123" s="61" t="s">
        <v>691</v>
      </c>
      <c r="M1123" s="61" t="s">
        <v>260</v>
      </c>
      <c r="N1123" s="61" t="s">
        <v>261</v>
      </c>
      <c r="O1123" s="61" t="s">
        <v>632</v>
      </c>
      <c r="P1123" s="61" t="str">
        <f t="shared" si="61"/>
        <v>BC Rio Monte1Inverter3546017,628472222246017,628472222246017,775</v>
      </c>
      <c r="Q1123" s="61" t="str">
        <f t="shared" si="62"/>
        <v>DAURDE</v>
      </c>
    </row>
    <row r="1124" spans="1:17" hidden="1">
      <c r="A1124" s="45"/>
      <c r="B1124" s="61" t="s">
        <v>585</v>
      </c>
      <c r="C1124" s="61" t="s">
        <v>588</v>
      </c>
      <c r="D1124" s="62">
        <v>46017.628472222219</v>
      </c>
      <c r="E1124" s="62">
        <v>46017.628472222219</v>
      </c>
      <c r="F1124" s="62">
        <v>46017.775000000001</v>
      </c>
      <c r="G1124" s="63">
        <f>F1124-E1124</f>
        <v>0.14652777778246673</v>
      </c>
      <c r="H1124" s="61" t="s">
        <v>257</v>
      </c>
      <c r="I1124" s="61"/>
      <c r="J1124" s="61" t="s">
        <v>258</v>
      </c>
      <c r="K1124" s="61" t="s">
        <v>658</v>
      </c>
      <c r="L1124" s="61" t="s">
        <v>691</v>
      </c>
      <c r="M1124" s="61" t="s">
        <v>260</v>
      </c>
      <c r="N1124" s="61" t="s">
        <v>261</v>
      </c>
      <c r="O1124" s="61" t="s">
        <v>632</v>
      </c>
      <c r="P1124" s="61" t="str">
        <f t="shared" si="61"/>
        <v>BC Rio Monte1Inverter4046017,628472222246017,628472222246017,775</v>
      </c>
      <c r="Q1124" s="61" t="str">
        <f t="shared" si="62"/>
        <v>DAURDE</v>
      </c>
    </row>
    <row r="1125" spans="1:17" hidden="1">
      <c r="A1125" s="45"/>
      <c r="B1125" s="61" t="s">
        <v>585</v>
      </c>
      <c r="C1125" s="61" t="s">
        <v>589</v>
      </c>
      <c r="D1125" s="62">
        <v>46017.628472222219</v>
      </c>
      <c r="E1125" s="62">
        <v>46017.628472222219</v>
      </c>
      <c r="F1125" s="62">
        <v>46017.775000000001</v>
      </c>
      <c r="G1125" s="63">
        <f>F1125-E1125</f>
        <v>0.14652777778246673</v>
      </c>
      <c r="H1125" s="61" t="s">
        <v>257</v>
      </c>
      <c r="I1125" s="61"/>
      <c r="J1125" s="61" t="s">
        <v>258</v>
      </c>
      <c r="K1125" s="61" t="s">
        <v>658</v>
      </c>
      <c r="L1125" s="61" t="s">
        <v>691</v>
      </c>
      <c r="M1125" s="61" t="s">
        <v>260</v>
      </c>
      <c r="N1125" s="61" t="s">
        <v>261</v>
      </c>
      <c r="O1125" s="61" t="s">
        <v>632</v>
      </c>
      <c r="P1125" s="61" t="str">
        <f t="shared" si="61"/>
        <v>BC Rio Monte1Inverter4246017,628472222246017,628472222246017,775</v>
      </c>
      <c r="Q1125" s="61" t="str">
        <f t="shared" si="62"/>
        <v>DAURDE</v>
      </c>
    </row>
    <row r="1126" spans="1:17" hidden="1">
      <c r="A1126" s="45"/>
      <c r="B1126" s="61" t="s">
        <v>585</v>
      </c>
      <c r="C1126" s="61" t="s">
        <v>590</v>
      </c>
      <c r="D1126" s="62">
        <v>46017.628472222219</v>
      </c>
      <c r="E1126" s="62">
        <v>46017.628472222219</v>
      </c>
      <c r="F1126" s="62">
        <v>46017.775000000001</v>
      </c>
      <c r="G1126" s="63">
        <f>F1126-E1126</f>
        <v>0.14652777778246673</v>
      </c>
      <c r="H1126" s="61" t="s">
        <v>257</v>
      </c>
      <c r="I1126" s="61"/>
      <c r="J1126" s="61" t="s">
        <v>258</v>
      </c>
      <c r="K1126" s="61" t="s">
        <v>658</v>
      </c>
      <c r="L1126" s="61" t="s">
        <v>691</v>
      </c>
      <c r="M1126" s="61" t="s">
        <v>260</v>
      </c>
      <c r="N1126" s="61" t="s">
        <v>261</v>
      </c>
      <c r="O1126" s="61" t="s">
        <v>632</v>
      </c>
      <c r="P1126" s="61" t="str">
        <f t="shared" si="61"/>
        <v>BC Rio Monte1Inverter4146017,628472222246017,628472222246017,775</v>
      </c>
      <c r="Q1126" s="61" t="str">
        <f t="shared" si="62"/>
        <v>DAURDE</v>
      </c>
    </row>
    <row r="1127" spans="1:17" hidden="1">
      <c r="A1127" s="45"/>
      <c r="B1127" s="61" t="s">
        <v>585</v>
      </c>
      <c r="C1127" s="61" t="s">
        <v>591</v>
      </c>
      <c r="D1127" s="62">
        <v>46017.628472222219</v>
      </c>
      <c r="E1127" s="62">
        <v>46017.628472222219</v>
      </c>
      <c r="F1127" s="62">
        <v>46017.775000000001</v>
      </c>
      <c r="G1127" s="63">
        <f>F1127-E1127</f>
        <v>0.14652777778246673</v>
      </c>
      <c r="H1127" s="61" t="s">
        <v>257</v>
      </c>
      <c r="I1127" s="61"/>
      <c r="J1127" s="61" t="s">
        <v>258</v>
      </c>
      <c r="K1127" s="61" t="s">
        <v>658</v>
      </c>
      <c r="L1127" s="61" t="s">
        <v>691</v>
      </c>
      <c r="M1127" s="61" t="s">
        <v>260</v>
      </c>
      <c r="N1127" s="61" t="s">
        <v>261</v>
      </c>
      <c r="O1127" s="61" t="s">
        <v>632</v>
      </c>
      <c r="P1127" s="61" t="str">
        <f t="shared" si="61"/>
        <v>BC Rio Monte1Inverter4446017,628472222246017,628472222246017,775</v>
      </c>
      <c r="Q1127" s="61" t="str">
        <f t="shared" si="62"/>
        <v>DAURDE</v>
      </c>
    </row>
    <row r="1128" spans="1:17" hidden="1">
      <c r="A1128" s="45"/>
      <c r="B1128" s="61" t="s">
        <v>585</v>
      </c>
      <c r="C1128" s="61" t="s">
        <v>592</v>
      </c>
      <c r="D1128" s="62">
        <v>46017.628472222219</v>
      </c>
      <c r="E1128" s="62">
        <v>46017.628472222219</v>
      </c>
      <c r="F1128" s="62">
        <v>46017.775000000001</v>
      </c>
      <c r="G1128" s="63">
        <f>F1128-E1128</f>
        <v>0.14652777778246673</v>
      </c>
      <c r="H1128" s="61" t="s">
        <v>257</v>
      </c>
      <c r="I1128" s="61"/>
      <c r="J1128" s="61" t="s">
        <v>258</v>
      </c>
      <c r="K1128" s="61" t="s">
        <v>658</v>
      </c>
      <c r="L1128" s="61" t="s">
        <v>691</v>
      </c>
      <c r="M1128" s="61" t="s">
        <v>260</v>
      </c>
      <c r="N1128" s="61" t="s">
        <v>261</v>
      </c>
      <c r="O1128" s="61" t="s">
        <v>632</v>
      </c>
      <c r="P1128" s="61" t="str">
        <f t="shared" si="61"/>
        <v>BC Rio Monte1Inverter4346017,628472222246017,628472222246017,775</v>
      </c>
      <c r="Q1128" s="61" t="str">
        <f t="shared" si="62"/>
        <v>DAURDE</v>
      </c>
    </row>
    <row r="1129" spans="1:17" hidden="1">
      <c r="A1129" s="45"/>
      <c r="B1129" s="61" t="s">
        <v>585</v>
      </c>
      <c r="C1129" s="61" t="s">
        <v>593</v>
      </c>
      <c r="D1129" s="62">
        <v>46017.628472222219</v>
      </c>
      <c r="E1129" s="62">
        <v>46017.628472222219</v>
      </c>
      <c r="F1129" s="62">
        <v>46017.775000000001</v>
      </c>
      <c r="G1129" s="63">
        <f>F1129-E1129</f>
        <v>0.14652777778246673</v>
      </c>
      <c r="H1129" s="61" t="s">
        <v>257</v>
      </c>
      <c r="I1129" s="61"/>
      <c r="J1129" s="61" t="s">
        <v>258</v>
      </c>
      <c r="K1129" s="61" t="s">
        <v>658</v>
      </c>
      <c r="L1129" s="61" t="s">
        <v>691</v>
      </c>
      <c r="M1129" s="61" t="s">
        <v>260</v>
      </c>
      <c r="N1129" s="61" t="s">
        <v>261</v>
      </c>
      <c r="O1129" s="61" t="s">
        <v>632</v>
      </c>
      <c r="P1129" s="61" t="str">
        <f t="shared" si="61"/>
        <v>BC Rio Monte1Inverter4546017,628472222246017,628472222246017,775</v>
      </c>
      <c r="Q1129" s="61" t="str">
        <f t="shared" si="62"/>
        <v>DAURDE</v>
      </c>
    </row>
    <row r="1130" spans="1:17" hidden="1">
      <c r="A1130" s="45"/>
      <c r="B1130" s="61" t="s">
        <v>585</v>
      </c>
      <c r="C1130" s="61" t="s">
        <v>594</v>
      </c>
      <c r="D1130" s="62">
        <v>46017.628472222219</v>
      </c>
      <c r="E1130" s="62">
        <v>46017.628472222219</v>
      </c>
      <c r="F1130" s="62">
        <v>46017.775000000001</v>
      </c>
      <c r="G1130" s="63">
        <f>F1130-E1130</f>
        <v>0.14652777778246673</v>
      </c>
      <c r="H1130" s="61" t="s">
        <v>257</v>
      </c>
      <c r="I1130" s="61"/>
      <c r="J1130" s="61" t="s">
        <v>258</v>
      </c>
      <c r="K1130" s="61" t="s">
        <v>658</v>
      </c>
      <c r="L1130" s="61" t="s">
        <v>691</v>
      </c>
      <c r="M1130" s="61" t="s">
        <v>260</v>
      </c>
      <c r="N1130" s="61" t="s">
        <v>261</v>
      </c>
      <c r="O1130" s="61" t="s">
        <v>632</v>
      </c>
      <c r="P1130" s="61" t="str">
        <f t="shared" si="61"/>
        <v>BC Rio Monte1Inverter3446017,628472222246017,628472222246017,775</v>
      </c>
      <c r="Q1130" s="61" t="str">
        <f t="shared" si="62"/>
        <v>DAURDE</v>
      </c>
    </row>
    <row r="1131" spans="1:17" hidden="1">
      <c r="A1131" s="45"/>
      <c r="B1131" s="61" t="s">
        <v>585</v>
      </c>
      <c r="C1131" s="61" t="s">
        <v>595</v>
      </c>
      <c r="D1131" s="62">
        <v>46017.628472222219</v>
      </c>
      <c r="E1131" s="62">
        <v>46017.628472222219</v>
      </c>
      <c r="F1131" s="62">
        <v>46017.775000000001</v>
      </c>
      <c r="G1131" s="63">
        <f>F1131-E1131</f>
        <v>0.14652777778246673</v>
      </c>
      <c r="H1131" s="61" t="s">
        <v>257</v>
      </c>
      <c r="I1131" s="61"/>
      <c r="J1131" s="61" t="s">
        <v>258</v>
      </c>
      <c r="K1131" s="61" t="s">
        <v>658</v>
      </c>
      <c r="L1131" s="61" t="s">
        <v>691</v>
      </c>
      <c r="M1131" s="61" t="s">
        <v>260</v>
      </c>
      <c r="N1131" s="61" t="s">
        <v>261</v>
      </c>
      <c r="O1131" s="61" t="s">
        <v>632</v>
      </c>
      <c r="P1131" s="61" t="str">
        <f t="shared" si="61"/>
        <v>BC Rio Monte1Inverter3746017,628472222246017,628472222246017,775</v>
      </c>
      <c r="Q1131" s="61" t="str">
        <f t="shared" si="62"/>
        <v>DAURDE</v>
      </c>
    </row>
    <row r="1132" spans="1:17" hidden="1">
      <c r="A1132" s="45"/>
      <c r="B1132" s="61" t="s">
        <v>585</v>
      </c>
      <c r="C1132" s="61" t="s">
        <v>596</v>
      </c>
      <c r="D1132" s="62">
        <v>46017.628472222219</v>
      </c>
      <c r="E1132" s="62">
        <v>46017.628472222219</v>
      </c>
      <c r="F1132" s="62">
        <v>46017.775000000001</v>
      </c>
      <c r="G1132" s="63">
        <f>F1132-E1132</f>
        <v>0.14652777778246673</v>
      </c>
      <c r="H1132" s="61" t="s">
        <v>257</v>
      </c>
      <c r="I1132" s="61"/>
      <c r="J1132" s="61" t="s">
        <v>258</v>
      </c>
      <c r="K1132" s="61" t="s">
        <v>658</v>
      </c>
      <c r="L1132" s="61" t="s">
        <v>691</v>
      </c>
      <c r="M1132" s="61" t="s">
        <v>260</v>
      </c>
      <c r="N1132" s="61" t="s">
        <v>261</v>
      </c>
      <c r="O1132" s="61" t="s">
        <v>632</v>
      </c>
      <c r="P1132" s="61" t="str">
        <f t="shared" si="61"/>
        <v>BC Rio Monte1Inverter3346017,628472222246017,628472222246017,775</v>
      </c>
      <c r="Q1132" s="61" t="str">
        <f t="shared" si="62"/>
        <v>DAURDE</v>
      </c>
    </row>
    <row r="1133" spans="1:17" hidden="1">
      <c r="A1133" s="45"/>
      <c r="B1133" s="61" t="s">
        <v>585</v>
      </c>
      <c r="C1133" s="61" t="s">
        <v>597</v>
      </c>
      <c r="D1133" s="62">
        <v>46017.628472222219</v>
      </c>
      <c r="E1133" s="62">
        <v>46017.628472222219</v>
      </c>
      <c r="F1133" s="62">
        <v>46017.775000000001</v>
      </c>
      <c r="G1133" s="63">
        <f>F1133-E1133</f>
        <v>0.14652777778246673</v>
      </c>
      <c r="H1133" s="61" t="s">
        <v>257</v>
      </c>
      <c r="I1133" s="61"/>
      <c r="J1133" s="61" t="s">
        <v>258</v>
      </c>
      <c r="K1133" s="61" t="s">
        <v>658</v>
      </c>
      <c r="L1133" s="61" t="s">
        <v>691</v>
      </c>
      <c r="M1133" s="61" t="s">
        <v>260</v>
      </c>
      <c r="N1133" s="61" t="s">
        <v>261</v>
      </c>
      <c r="O1133" s="61" t="s">
        <v>632</v>
      </c>
      <c r="P1133" s="61" t="str">
        <f t="shared" si="61"/>
        <v>BC Rio Monte1Inverter2946017,628472222246017,628472222246017,775</v>
      </c>
      <c r="Q1133" s="61" t="str">
        <f t="shared" si="62"/>
        <v>DAURDE</v>
      </c>
    </row>
    <row r="1134" spans="1:17" hidden="1">
      <c r="A1134" s="45"/>
      <c r="B1134" s="61" t="s">
        <v>585</v>
      </c>
      <c r="C1134" s="61" t="s">
        <v>598</v>
      </c>
      <c r="D1134" s="62">
        <v>46017.628472222219</v>
      </c>
      <c r="E1134" s="62">
        <v>46017.628472222219</v>
      </c>
      <c r="F1134" s="62">
        <v>46017.775000000001</v>
      </c>
      <c r="G1134" s="63">
        <f>F1134-E1134</f>
        <v>0.14652777778246673</v>
      </c>
      <c r="H1134" s="61" t="s">
        <v>257</v>
      </c>
      <c r="I1134" s="61"/>
      <c r="J1134" s="61" t="s">
        <v>258</v>
      </c>
      <c r="K1134" s="61" t="s">
        <v>658</v>
      </c>
      <c r="L1134" s="61" t="s">
        <v>691</v>
      </c>
      <c r="M1134" s="61" t="s">
        <v>260</v>
      </c>
      <c r="N1134" s="61" t="s">
        <v>261</v>
      </c>
      <c r="O1134" s="61" t="s">
        <v>632</v>
      </c>
      <c r="P1134" s="61" t="str">
        <f t="shared" si="61"/>
        <v>BC Rio Monte1Inverter3646017,628472222246017,628472222246017,775</v>
      </c>
      <c r="Q1134" s="61" t="str">
        <f t="shared" si="62"/>
        <v>DAURDE</v>
      </c>
    </row>
    <row r="1135" spans="1:17" hidden="1">
      <c r="A1135" s="45"/>
      <c r="B1135" s="61" t="s">
        <v>585</v>
      </c>
      <c r="C1135" s="61" t="s">
        <v>599</v>
      </c>
      <c r="D1135" s="62">
        <v>46017.628472222219</v>
      </c>
      <c r="E1135" s="62">
        <v>46017.628472222219</v>
      </c>
      <c r="F1135" s="62">
        <v>46017.775000000001</v>
      </c>
      <c r="G1135" s="63">
        <f>F1135-E1135</f>
        <v>0.14652777778246673</v>
      </c>
      <c r="H1135" s="61" t="s">
        <v>257</v>
      </c>
      <c r="I1135" s="61"/>
      <c r="J1135" s="61" t="s">
        <v>258</v>
      </c>
      <c r="K1135" s="61" t="s">
        <v>658</v>
      </c>
      <c r="L1135" s="61" t="s">
        <v>691</v>
      </c>
      <c r="M1135" s="61" t="s">
        <v>260</v>
      </c>
      <c r="N1135" s="61" t="s">
        <v>261</v>
      </c>
      <c r="O1135" s="61" t="s">
        <v>632</v>
      </c>
      <c r="P1135" s="61" t="str">
        <f t="shared" si="61"/>
        <v>BC Rio Monte1Inverter3946017,628472222246017,628472222246017,775</v>
      </c>
      <c r="Q1135" s="61" t="str">
        <f t="shared" si="62"/>
        <v>DAURDE</v>
      </c>
    </row>
    <row r="1136" spans="1:17" hidden="1">
      <c r="A1136" s="45"/>
      <c r="B1136" s="61" t="s">
        <v>585</v>
      </c>
      <c r="C1136" s="61" t="s">
        <v>600</v>
      </c>
      <c r="D1136" s="62">
        <v>46017.628472222219</v>
      </c>
      <c r="E1136" s="62">
        <v>46017.628472222219</v>
      </c>
      <c r="F1136" s="62">
        <v>46017.775000000001</v>
      </c>
      <c r="G1136" s="63">
        <f>F1136-E1136</f>
        <v>0.14652777778246673</v>
      </c>
      <c r="H1136" s="61" t="s">
        <v>257</v>
      </c>
      <c r="I1136" s="61"/>
      <c r="J1136" s="61" t="s">
        <v>258</v>
      </c>
      <c r="K1136" s="61" t="s">
        <v>658</v>
      </c>
      <c r="L1136" s="61" t="s">
        <v>691</v>
      </c>
      <c r="M1136" s="61" t="s">
        <v>260</v>
      </c>
      <c r="N1136" s="61" t="s">
        <v>261</v>
      </c>
      <c r="O1136" s="61" t="s">
        <v>632</v>
      </c>
      <c r="P1136" s="61" t="str">
        <f t="shared" si="61"/>
        <v>BC Rio Monte1Inverter3146017,628472222246017,628472222246017,775</v>
      </c>
      <c r="Q1136" s="61" t="str">
        <f t="shared" si="62"/>
        <v>DAURDE</v>
      </c>
    </row>
    <row r="1137" spans="1:17" hidden="1">
      <c r="A1137" s="45"/>
      <c r="B1137" s="61" t="s">
        <v>585</v>
      </c>
      <c r="C1137" s="61" t="s">
        <v>601</v>
      </c>
      <c r="D1137" s="62">
        <v>46017.628472222219</v>
      </c>
      <c r="E1137" s="62">
        <v>46017.628472222219</v>
      </c>
      <c r="F1137" s="62">
        <v>46017.775000000001</v>
      </c>
      <c r="G1137" s="63">
        <f>F1137-E1137</f>
        <v>0.14652777778246673</v>
      </c>
      <c r="H1137" s="61" t="s">
        <v>257</v>
      </c>
      <c r="I1137" s="61"/>
      <c r="J1137" s="61" t="s">
        <v>258</v>
      </c>
      <c r="K1137" s="61" t="s">
        <v>658</v>
      </c>
      <c r="L1137" s="61" t="s">
        <v>691</v>
      </c>
      <c r="M1137" s="61" t="s">
        <v>260</v>
      </c>
      <c r="N1137" s="61" t="s">
        <v>261</v>
      </c>
      <c r="O1137" s="61" t="s">
        <v>632</v>
      </c>
      <c r="P1137" s="61" t="str">
        <f t="shared" si="61"/>
        <v>BC Rio Monte1Inverter3046017,628472222246017,628472222246017,775</v>
      </c>
      <c r="Q1137" s="61" t="str">
        <f t="shared" si="62"/>
        <v>DAURDE</v>
      </c>
    </row>
    <row r="1138" spans="1:17" hidden="1">
      <c r="A1138" s="45"/>
      <c r="B1138" s="61" t="s">
        <v>585</v>
      </c>
      <c r="C1138" s="61" t="s">
        <v>602</v>
      </c>
      <c r="D1138" s="62">
        <v>46017.628472222219</v>
      </c>
      <c r="E1138" s="62">
        <v>46017.628472222219</v>
      </c>
      <c r="F1138" s="62">
        <v>46017.775000000001</v>
      </c>
      <c r="G1138" s="63">
        <f>F1138-E1138</f>
        <v>0.14652777778246673</v>
      </c>
      <c r="H1138" s="61" t="s">
        <v>257</v>
      </c>
      <c r="I1138" s="61"/>
      <c r="J1138" s="61" t="s">
        <v>258</v>
      </c>
      <c r="K1138" s="61" t="s">
        <v>658</v>
      </c>
      <c r="L1138" s="61" t="s">
        <v>691</v>
      </c>
      <c r="M1138" s="61" t="s">
        <v>260</v>
      </c>
      <c r="N1138" s="61" t="s">
        <v>261</v>
      </c>
      <c r="O1138" s="61" t="s">
        <v>632</v>
      </c>
      <c r="P1138" s="61" t="str">
        <f t="shared" si="61"/>
        <v>BC Rio Monte1Inverter3846017,628472222246017,628472222246017,775</v>
      </c>
      <c r="Q1138" s="61" t="str">
        <f t="shared" si="62"/>
        <v>DAURDE</v>
      </c>
    </row>
    <row r="1139" spans="1:17" hidden="1">
      <c r="A1139" s="45"/>
      <c r="B1139" s="61" t="s">
        <v>585</v>
      </c>
      <c r="C1139" s="61" t="s">
        <v>603</v>
      </c>
      <c r="D1139" s="62">
        <v>46017.628472222219</v>
      </c>
      <c r="E1139" s="62">
        <v>46017.628472222219</v>
      </c>
      <c r="F1139" s="62">
        <v>46017.775000000001</v>
      </c>
      <c r="G1139" s="63">
        <f>F1139-E1139</f>
        <v>0.14652777778246673</v>
      </c>
      <c r="H1139" s="61" t="s">
        <v>257</v>
      </c>
      <c r="I1139" s="61"/>
      <c r="J1139" s="61" t="s">
        <v>258</v>
      </c>
      <c r="K1139" s="61" t="s">
        <v>658</v>
      </c>
      <c r="L1139" s="61" t="s">
        <v>691</v>
      </c>
      <c r="M1139" s="61" t="s">
        <v>260</v>
      </c>
      <c r="N1139" s="61" t="s">
        <v>261</v>
      </c>
      <c r="O1139" s="61" t="s">
        <v>632</v>
      </c>
      <c r="P1139" s="61" t="str">
        <f t="shared" si="61"/>
        <v>BC Rio Monte1Inverter3246017,628472222246017,628472222246017,775</v>
      </c>
      <c r="Q1139" s="61" t="str">
        <f t="shared" si="62"/>
        <v>DAURDE</v>
      </c>
    </row>
    <row r="1140" spans="1:17">
      <c r="B1140" s="1" t="s">
        <v>309</v>
      </c>
      <c r="C1140" s="1" t="s">
        <v>310</v>
      </c>
      <c r="D1140" s="52">
        <v>46004.944444444445</v>
      </c>
      <c r="E1140" s="52">
        <v>46004.944444444445</v>
      </c>
      <c r="F1140" s="52">
        <v>46006.667361111111</v>
      </c>
      <c r="G1140" s="53">
        <f t="shared" si="60"/>
        <v>1.7229166666656965</v>
      </c>
      <c r="H1140" s="1" t="s">
        <v>268</v>
      </c>
      <c r="I1140" s="1" t="s">
        <v>269</v>
      </c>
      <c r="J1140" s="1" t="s">
        <v>319</v>
      </c>
      <c r="K1140" s="1" t="s">
        <v>652</v>
      </c>
      <c r="L1140" s="1" t="s">
        <v>1964</v>
      </c>
      <c r="M1140" s="1" t="s">
        <v>272</v>
      </c>
      <c r="N1140" s="1" t="s">
        <v>253</v>
      </c>
      <c r="O1140" s="1" t="s">
        <v>697</v>
      </c>
      <c r="P1140" s="1" t="str">
        <f t="shared" si="61"/>
        <v>ARAGUATINS 1.3Inverter(MBUS-20)46004,944444444446004,944444444446006,6673611111</v>
      </c>
      <c r="Q1140" s="1" t="str">
        <f t="shared" si="62"/>
        <v>LIGRFOCOM</v>
      </c>
    </row>
    <row r="1141" spans="1:17">
      <c r="B1141" s="1" t="s">
        <v>309</v>
      </c>
      <c r="C1141" s="1" t="s">
        <v>247</v>
      </c>
      <c r="D1141" s="52">
        <v>46004.944444444445</v>
      </c>
      <c r="E1141" s="52">
        <v>46004.944444444445</v>
      </c>
      <c r="F1141" s="52">
        <v>46006.667361111111</v>
      </c>
      <c r="G1141" s="53">
        <f t="shared" si="60"/>
        <v>1.7229166666656965</v>
      </c>
      <c r="H1141" s="1" t="s">
        <v>268</v>
      </c>
      <c r="I1141" s="1" t="s">
        <v>269</v>
      </c>
      <c r="J1141" s="1" t="s">
        <v>319</v>
      </c>
      <c r="K1141" s="1" t="s">
        <v>652</v>
      </c>
      <c r="L1141" s="1" t="s">
        <v>1964</v>
      </c>
      <c r="M1141" s="1" t="s">
        <v>272</v>
      </c>
      <c r="N1141" s="1" t="s">
        <v>253</v>
      </c>
      <c r="O1141" s="1" t="s">
        <v>697</v>
      </c>
      <c r="P1141" s="1" t="str">
        <f t="shared" si="61"/>
        <v>ARAGUATINS 1.3Inverter(MBUS-1)46004,944444444446004,944444444446006,6673611111</v>
      </c>
      <c r="Q1141" s="1" t="str">
        <f t="shared" si="62"/>
        <v>LIGRFOCOM</v>
      </c>
    </row>
    <row r="1142" spans="1:17" hidden="1">
      <c r="A1142" s="45"/>
      <c r="B1142" s="61" t="s">
        <v>803</v>
      </c>
      <c r="C1142" s="61" t="s">
        <v>264</v>
      </c>
      <c r="D1142" s="62">
        <v>46017.784722222219</v>
      </c>
      <c r="E1142" s="62">
        <v>46017.784722222219</v>
      </c>
      <c r="F1142" s="62">
        <v>46018.676388888889</v>
      </c>
      <c r="G1142" s="63">
        <f>F1142-E1142</f>
        <v>0.89166666667006211</v>
      </c>
      <c r="H1142" s="61" t="s">
        <v>257</v>
      </c>
      <c r="I1142" s="61"/>
      <c r="J1142" s="61" t="s">
        <v>258</v>
      </c>
      <c r="K1142" s="61" t="s">
        <v>658</v>
      </c>
      <c r="L1142" s="61" t="s">
        <v>691</v>
      </c>
      <c r="M1142" s="61" t="s">
        <v>260</v>
      </c>
      <c r="N1142" s="61" t="s">
        <v>261</v>
      </c>
      <c r="O1142" s="61" t="s">
        <v>2061</v>
      </c>
      <c r="P1142" s="61" t="str">
        <f t="shared" si="61"/>
        <v>BC Formoso1.1Inverter(MBUS-13)46017,784722222246017,784722222246018,6763888889</v>
      </c>
      <c r="Q1142" s="61" t="str">
        <f t="shared" si="62"/>
        <v>DAURDE</v>
      </c>
    </row>
    <row r="1143" spans="1:17" hidden="1">
      <c r="A1143" s="45"/>
      <c r="B1143" s="61" t="s">
        <v>803</v>
      </c>
      <c r="C1143" s="61" t="s">
        <v>256</v>
      </c>
      <c r="D1143" s="62">
        <v>46017.784722222219</v>
      </c>
      <c r="E1143" s="62">
        <v>46017.784722222219</v>
      </c>
      <c r="F1143" s="62">
        <v>46018.676388888889</v>
      </c>
      <c r="G1143" s="63">
        <f>F1143-E1143</f>
        <v>0.89166666667006211</v>
      </c>
      <c r="H1143" s="61" t="s">
        <v>257</v>
      </c>
      <c r="I1143" s="61"/>
      <c r="J1143" s="61" t="s">
        <v>258</v>
      </c>
      <c r="K1143" s="61" t="s">
        <v>658</v>
      </c>
      <c r="L1143" s="61" t="s">
        <v>691</v>
      </c>
      <c r="M1143" s="61" t="s">
        <v>260</v>
      </c>
      <c r="N1143" s="61" t="s">
        <v>261</v>
      </c>
      <c r="O1143" s="61" t="s">
        <v>2061</v>
      </c>
      <c r="P1143" s="61" t="str">
        <f t="shared" si="61"/>
        <v>BC Formoso1.1Inverter(MBUS-12)46017,784722222246017,784722222246018,6763888889</v>
      </c>
      <c r="Q1143" s="61" t="str">
        <f t="shared" si="62"/>
        <v>DAURDE</v>
      </c>
    </row>
    <row r="1144" spans="1:17" hidden="1">
      <c r="A1144" s="45"/>
      <c r="B1144" s="61" t="s">
        <v>803</v>
      </c>
      <c r="C1144" s="61" t="s">
        <v>307</v>
      </c>
      <c r="D1144" s="62">
        <v>46017.784722222219</v>
      </c>
      <c r="E1144" s="62">
        <v>46017.784722222219</v>
      </c>
      <c r="F1144" s="62">
        <v>46018.676388888889</v>
      </c>
      <c r="G1144" s="63">
        <f>F1144-E1144</f>
        <v>0.89166666667006211</v>
      </c>
      <c r="H1144" s="61" t="s">
        <v>257</v>
      </c>
      <c r="I1144" s="61"/>
      <c r="J1144" s="61" t="s">
        <v>258</v>
      </c>
      <c r="K1144" s="61" t="s">
        <v>658</v>
      </c>
      <c r="L1144" s="61" t="s">
        <v>691</v>
      </c>
      <c r="M1144" s="61" t="s">
        <v>260</v>
      </c>
      <c r="N1144" s="61" t="s">
        <v>261</v>
      </c>
      <c r="O1144" s="61" t="s">
        <v>2061</v>
      </c>
      <c r="P1144" s="61" t="str">
        <f t="shared" si="61"/>
        <v>BC Formoso1.1Inverter(MBUS-15)46017,784722222246017,784722222246018,6763888889</v>
      </c>
      <c r="Q1144" s="61" t="str">
        <f t="shared" si="62"/>
        <v>DAURDE</v>
      </c>
    </row>
    <row r="1145" spans="1:17" hidden="1">
      <c r="A1145" s="45"/>
      <c r="B1145" s="61" t="s">
        <v>803</v>
      </c>
      <c r="C1145" s="61" t="s">
        <v>263</v>
      </c>
      <c r="D1145" s="62">
        <v>46017.784722222219</v>
      </c>
      <c r="E1145" s="62">
        <v>46017.784722222219</v>
      </c>
      <c r="F1145" s="62">
        <v>46018.676388888889</v>
      </c>
      <c r="G1145" s="63">
        <f>F1145-E1145</f>
        <v>0.89166666667006211</v>
      </c>
      <c r="H1145" s="61" t="s">
        <v>257</v>
      </c>
      <c r="I1145" s="61"/>
      <c r="J1145" s="61" t="s">
        <v>258</v>
      </c>
      <c r="K1145" s="61" t="s">
        <v>658</v>
      </c>
      <c r="L1145" s="61" t="s">
        <v>691</v>
      </c>
      <c r="M1145" s="61" t="s">
        <v>260</v>
      </c>
      <c r="N1145" s="61" t="s">
        <v>261</v>
      </c>
      <c r="O1145" s="61" t="s">
        <v>2061</v>
      </c>
      <c r="P1145" s="61" t="str">
        <f t="shared" si="61"/>
        <v>BC Formoso1.1Inverter(MBUS-14)46017,784722222246017,784722222246018,6763888889</v>
      </c>
      <c r="Q1145" s="61" t="str">
        <f t="shared" si="62"/>
        <v>DAURDE</v>
      </c>
    </row>
    <row r="1146" spans="1:17" hidden="1">
      <c r="A1146" s="45"/>
      <c r="B1146" s="61" t="s">
        <v>265</v>
      </c>
      <c r="C1146" s="61" t="s">
        <v>263</v>
      </c>
      <c r="D1146" s="62">
        <v>46017.784722222219</v>
      </c>
      <c r="E1146" s="62">
        <v>46017.784722222219</v>
      </c>
      <c r="F1146" s="62">
        <v>46018.676388888889</v>
      </c>
      <c r="G1146" s="63">
        <f>F1146-E1146</f>
        <v>0.89166666667006211</v>
      </c>
      <c r="H1146" s="61" t="s">
        <v>257</v>
      </c>
      <c r="I1146" s="61"/>
      <c r="J1146" s="61" t="s">
        <v>258</v>
      </c>
      <c r="K1146" s="61" t="s">
        <v>658</v>
      </c>
      <c r="L1146" s="61" t="s">
        <v>691</v>
      </c>
      <c r="M1146" s="61" t="s">
        <v>260</v>
      </c>
      <c r="N1146" s="61" t="s">
        <v>261</v>
      </c>
      <c r="O1146" s="61" t="s">
        <v>2061</v>
      </c>
      <c r="P1146" s="61" t="str">
        <f t="shared" si="61"/>
        <v>BC Formoso2.2Inverter(MBUS-14)46017,784722222246017,784722222246018,6763888889</v>
      </c>
      <c r="Q1146" s="61" t="str">
        <f t="shared" si="62"/>
        <v>DAURDE</v>
      </c>
    </row>
    <row r="1147" spans="1:17" hidden="1">
      <c r="A1147" s="45"/>
      <c r="B1147" s="61" t="s">
        <v>265</v>
      </c>
      <c r="C1147" s="61" t="s">
        <v>264</v>
      </c>
      <c r="D1147" s="62">
        <v>46017.784722222219</v>
      </c>
      <c r="E1147" s="62">
        <v>46017.784722222219</v>
      </c>
      <c r="F1147" s="62">
        <v>46018.676388888889</v>
      </c>
      <c r="G1147" s="63">
        <f>F1147-E1147</f>
        <v>0.89166666667006211</v>
      </c>
      <c r="H1147" s="61" t="s">
        <v>257</v>
      </c>
      <c r="I1147" s="61"/>
      <c r="J1147" s="61" t="s">
        <v>258</v>
      </c>
      <c r="K1147" s="61" t="s">
        <v>658</v>
      </c>
      <c r="L1147" s="61" t="s">
        <v>691</v>
      </c>
      <c r="M1147" s="61" t="s">
        <v>260</v>
      </c>
      <c r="N1147" s="61" t="s">
        <v>261</v>
      </c>
      <c r="O1147" s="61" t="s">
        <v>2061</v>
      </c>
      <c r="P1147" s="61" t="str">
        <f t="shared" si="61"/>
        <v>BC Formoso2.2Inverter(MBUS-13)46017,784722222246017,784722222246018,6763888889</v>
      </c>
      <c r="Q1147" s="61" t="str">
        <f t="shared" si="62"/>
        <v>DAURDE</v>
      </c>
    </row>
    <row r="1148" spans="1:17" hidden="1">
      <c r="A1148" s="45"/>
      <c r="B1148" s="61" t="s">
        <v>265</v>
      </c>
      <c r="C1148" s="61" t="s">
        <v>256</v>
      </c>
      <c r="D1148" s="62">
        <v>46017.784722222219</v>
      </c>
      <c r="E1148" s="62">
        <v>46017.784722222219</v>
      </c>
      <c r="F1148" s="62">
        <v>46018.676388888889</v>
      </c>
      <c r="G1148" s="63">
        <f>F1148-E1148</f>
        <v>0.89166666667006211</v>
      </c>
      <c r="H1148" s="61" t="s">
        <v>257</v>
      </c>
      <c r="I1148" s="61"/>
      <c r="J1148" s="61" t="s">
        <v>258</v>
      </c>
      <c r="K1148" s="61" t="s">
        <v>658</v>
      </c>
      <c r="L1148" s="61" t="s">
        <v>691</v>
      </c>
      <c r="M1148" s="61" t="s">
        <v>260</v>
      </c>
      <c r="N1148" s="61" t="s">
        <v>261</v>
      </c>
      <c r="O1148" s="61" t="s">
        <v>2061</v>
      </c>
      <c r="P1148" s="61" t="str">
        <f t="shared" si="61"/>
        <v>BC Formoso2.2Inverter(MBUS-12)46017,784722222246017,784722222246018,6763888889</v>
      </c>
      <c r="Q1148" s="61" t="str">
        <f t="shared" si="62"/>
        <v>DAURDE</v>
      </c>
    </row>
    <row r="1149" spans="1:17" hidden="1">
      <c r="A1149" s="45"/>
      <c r="B1149" s="61" t="s">
        <v>265</v>
      </c>
      <c r="C1149" s="61" t="s">
        <v>247</v>
      </c>
      <c r="D1149" s="62">
        <v>46017.784722222219</v>
      </c>
      <c r="E1149" s="62">
        <v>46017.784722222219</v>
      </c>
      <c r="F1149" s="62">
        <v>46018.676388888889</v>
      </c>
      <c r="G1149" s="63">
        <f>F1149-E1149</f>
        <v>0.89166666667006211</v>
      </c>
      <c r="H1149" s="61" t="s">
        <v>257</v>
      </c>
      <c r="I1149" s="61"/>
      <c r="J1149" s="61" t="s">
        <v>258</v>
      </c>
      <c r="K1149" s="61" t="s">
        <v>658</v>
      </c>
      <c r="L1149" s="61" t="s">
        <v>691</v>
      </c>
      <c r="M1149" s="61" t="s">
        <v>260</v>
      </c>
      <c r="N1149" s="61" t="s">
        <v>261</v>
      </c>
      <c r="O1149" s="61" t="s">
        <v>2061</v>
      </c>
      <c r="P1149" s="61" t="str">
        <f t="shared" si="61"/>
        <v>BC Formoso2.2Inverter(MBUS-1)46017,784722222246017,784722222246018,6763888889</v>
      </c>
      <c r="Q1149" s="61" t="str">
        <f t="shared" si="62"/>
        <v>DAURDE</v>
      </c>
    </row>
    <row r="1150" spans="1:17" hidden="1">
      <c r="A1150" s="45"/>
      <c r="B1150" s="61" t="s">
        <v>456</v>
      </c>
      <c r="C1150" s="61" t="s">
        <v>457</v>
      </c>
      <c r="D1150" s="62">
        <v>46017.621527777781</v>
      </c>
      <c r="E1150" s="62">
        <v>46017.621527777781</v>
      </c>
      <c r="F1150" s="62">
        <v>46017.826388888891</v>
      </c>
      <c r="G1150" s="63">
        <f>F1150-E1150</f>
        <v>0.20486111110949423</v>
      </c>
      <c r="H1150" s="61" t="s">
        <v>257</v>
      </c>
      <c r="I1150" s="61"/>
      <c r="J1150" s="61" t="s">
        <v>258</v>
      </c>
      <c r="K1150" s="61" t="s">
        <v>658</v>
      </c>
      <c r="L1150" s="61" t="s">
        <v>2116</v>
      </c>
      <c r="M1150" s="61" t="s">
        <v>260</v>
      </c>
      <c r="N1150" s="61" t="s">
        <v>357</v>
      </c>
      <c r="O1150" s="61" t="s">
        <v>632</v>
      </c>
      <c r="P1150" s="61" t="str">
        <f t="shared" si="61"/>
        <v>BC Caiaponia1SG60KTL(COM1-001)_001_00746017,621527777846017,621527777846017,8263888889</v>
      </c>
      <c r="Q1150" s="61" t="str">
        <f t="shared" si="62"/>
        <v>DAURDE</v>
      </c>
    </row>
    <row r="1151" spans="1:17" hidden="1">
      <c r="A1151" s="45"/>
      <c r="B1151" s="61" t="s">
        <v>456</v>
      </c>
      <c r="C1151" s="61" t="s">
        <v>459</v>
      </c>
      <c r="D1151" s="62">
        <v>46017.621527777781</v>
      </c>
      <c r="E1151" s="62">
        <v>46017.621527777781</v>
      </c>
      <c r="F1151" s="62">
        <v>46017.826388888891</v>
      </c>
      <c r="G1151" s="63">
        <f>F1151-E1151</f>
        <v>0.20486111110949423</v>
      </c>
      <c r="H1151" s="61" t="s">
        <v>257</v>
      </c>
      <c r="I1151" s="61"/>
      <c r="J1151" s="61" t="s">
        <v>258</v>
      </c>
      <c r="K1151" s="61" t="s">
        <v>658</v>
      </c>
      <c r="L1151" s="61" t="s">
        <v>2116</v>
      </c>
      <c r="M1151" s="61" t="s">
        <v>260</v>
      </c>
      <c r="N1151" s="61" t="s">
        <v>357</v>
      </c>
      <c r="O1151" s="61" t="s">
        <v>632</v>
      </c>
      <c r="P1151" s="61" t="str">
        <f t="shared" si="61"/>
        <v>BC Caiaponia1SG60KTL(COM1-002)_001_01046017,621527777846017,621527777846017,8263888889</v>
      </c>
      <c r="Q1151" s="61" t="str">
        <f t="shared" si="62"/>
        <v>DAURDE</v>
      </c>
    </row>
    <row r="1152" spans="1:17" hidden="1">
      <c r="A1152" s="45"/>
      <c r="B1152" s="61" t="s">
        <v>456</v>
      </c>
      <c r="C1152" s="61" t="s">
        <v>460</v>
      </c>
      <c r="D1152" s="62">
        <v>46017.621527777781</v>
      </c>
      <c r="E1152" s="62">
        <v>46017.621527777781</v>
      </c>
      <c r="F1152" s="62">
        <v>46017.826388888891</v>
      </c>
      <c r="G1152" s="63">
        <f>F1152-E1152</f>
        <v>0.20486111110949423</v>
      </c>
      <c r="H1152" s="61" t="s">
        <v>257</v>
      </c>
      <c r="I1152" s="61"/>
      <c r="J1152" s="61" t="s">
        <v>258</v>
      </c>
      <c r="K1152" s="61" t="s">
        <v>658</v>
      </c>
      <c r="L1152" s="61" t="s">
        <v>2116</v>
      </c>
      <c r="M1152" s="61" t="s">
        <v>260</v>
      </c>
      <c r="N1152" s="61" t="s">
        <v>357</v>
      </c>
      <c r="O1152" s="61" t="s">
        <v>632</v>
      </c>
      <c r="P1152" s="61" t="str">
        <f t="shared" si="61"/>
        <v>BC Caiaponia1SG60KTL(COM1-003)_001_01146017,621527777846017,621527777846017,8263888889</v>
      </c>
      <c r="Q1152" s="61" t="str">
        <f t="shared" si="62"/>
        <v>DAURDE</v>
      </c>
    </row>
    <row r="1153" spans="1:17" hidden="1">
      <c r="A1153" s="45"/>
      <c r="B1153" s="61" t="s">
        <v>456</v>
      </c>
      <c r="C1153" s="61" t="s">
        <v>461</v>
      </c>
      <c r="D1153" s="62">
        <v>46017.621527777781</v>
      </c>
      <c r="E1153" s="62">
        <v>46017.621527777781</v>
      </c>
      <c r="F1153" s="62">
        <v>46017.826388888891</v>
      </c>
      <c r="G1153" s="63">
        <f>F1153-E1153</f>
        <v>0.20486111110949423</v>
      </c>
      <c r="H1153" s="61" t="s">
        <v>257</v>
      </c>
      <c r="I1153" s="61"/>
      <c r="J1153" s="61" t="s">
        <v>258</v>
      </c>
      <c r="K1153" s="61" t="s">
        <v>658</v>
      </c>
      <c r="L1153" s="61" t="s">
        <v>2116</v>
      </c>
      <c r="M1153" s="61" t="s">
        <v>260</v>
      </c>
      <c r="N1153" s="61" t="s">
        <v>357</v>
      </c>
      <c r="O1153" s="61" t="s">
        <v>632</v>
      </c>
      <c r="P1153" s="61" t="str">
        <f t="shared" si="61"/>
        <v>BC Caiaponia1SG60KTL(COM1-004)_001_01446017,621527777846017,621527777846017,8263888889</v>
      </c>
      <c r="Q1153" s="61" t="str">
        <f t="shared" si="62"/>
        <v>DAURDE</v>
      </c>
    </row>
    <row r="1154" spans="1:17" hidden="1">
      <c r="A1154" s="45"/>
      <c r="B1154" s="61" t="s">
        <v>456</v>
      </c>
      <c r="C1154" s="61" t="s">
        <v>462</v>
      </c>
      <c r="D1154" s="62">
        <v>46017.621527777781</v>
      </c>
      <c r="E1154" s="62">
        <v>46017.621527777781</v>
      </c>
      <c r="F1154" s="62">
        <v>46017.826388888891</v>
      </c>
      <c r="G1154" s="63">
        <f>F1154-E1154</f>
        <v>0.20486111110949423</v>
      </c>
      <c r="H1154" s="61" t="s">
        <v>257</v>
      </c>
      <c r="I1154" s="61"/>
      <c r="J1154" s="61" t="s">
        <v>258</v>
      </c>
      <c r="K1154" s="61" t="s">
        <v>658</v>
      </c>
      <c r="L1154" s="61" t="s">
        <v>2116</v>
      </c>
      <c r="M1154" s="61" t="s">
        <v>260</v>
      </c>
      <c r="N1154" s="61" t="s">
        <v>357</v>
      </c>
      <c r="O1154" s="61" t="s">
        <v>632</v>
      </c>
      <c r="P1154" s="61" t="str">
        <f t="shared" si="61"/>
        <v>BC Caiaponia1SG60KTL(COM1-005)_001_01746017,621527777846017,621527777846017,8263888889</v>
      </c>
      <c r="Q1154" s="61" t="str">
        <f t="shared" si="62"/>
        <v>DAURDE</v>
      </c>
    </row>
    <row r="1155" spans="1:17" hidden="1">
      <c r="A1155" s="45"/>
      <c r="B1155" s="61" t="s">
        <v>456</v>
      </c>
      <c r="C1155" s="61" t="s">
        <v>463</v>
      </c>
      <c r="D1155" s="62">
        <v>46017.621527777781</v>
      </c>
      <c r="E1155" s="62">
        <v>46017.621527777781</v>
      </c>
      <c r="F1155" s="62">
        <v>46017.826388888891</v>
      </c>
      <c r="G1155" s="63">
        <f>F1155-E1155</f>
        <v>0.20486111110949423</v>
      </c>
      <c r="H1155" s="61" t="s">
        <v>257</v>
      </c>
      <c r="I1155" s="61"/>
      <c r="J1155" s="61" t="s">
        <v>258</v>
      </c>
      <c r="K1155" s="61" t="s">
        <v>658</v>
      </c>
      <c r="L1155" s="61" t="s">
        <v>2116</v>
      </c>
      <c r="M1155" s="61" t="s">
        <v>260</v>
      </c>
      <c r="N1155" s="61" t="s">
        <v>357</v>
      </c>
      <c r="O1155" s="61" t="s">
        <v>632</v>
      </c>
      <c r="P1155" s="61" t="str">
        <f t="shared" si="61"/>
        <v>BC Caiaponia1SG60KTL(COM1-006)_001_01646017,621527777846017,621527777846017,8263888889</v>
      </c>
      <c r="Q1155" s="61" t="str">
        <f t="shared" si="62"/>
        <v>DAURDE</v>
      </c>
    </row>
    <row r="1156" spans="1:17" hidden="1">
      <c r="A1156" s="45"/>
      <c r="B1156" s="61" t="s">
        <v>456</v>
      </c>
      <c r="C1156" s="61" t="s">
        <v>464</v>
      </c>
      <c r="D1156" s="62">
        <v>46017.621527777781</v>
      </c>
      <c r="E1156" s="62">
        <v>46017.621527777781</v>
      </c>
      <c r="F1156" s="62">
        <v>46017.826388888891</v>
      </c>
      <c r="G1156" s="63">
        <f>F1156-E1156</f>
        <v>0.20486111110949423</v>
      </c>
      <c r="H1156" s="61" t="s">
        <v>257</v>
      </c>
      <c r="I1156" s="61"/>
      <c r="J1156" s="61" t="s">
        <v>258</v>
      </c>
      <c r="K1156" s="61" t="s">
        <v>658</v>
      </c>
      <c r="L1156" s="61" t="s">
        <v>2116</v>
      </c>
      <c r="M1156" s="61" t="s">
        <v>260</v>
      </c>
      <c r="N1156" s="61" t="s">
        <v>357</v>
      </c>
      <c r="O1156" s="61" t="s">
        <v>632</v>
      </c>
      <c r="P1156" s="61" t="str">
        <f t="shared" si="61"/>
        <v>BC Caiaponia1SG60KTL(COM1-007)_001_01346017,621527777846017,621527777846017,8263888889</v>
      </c>
      <c r="Q1156" s="61" t="str">
        <f t="shared" si="62"/>
        <v>DAURDE</v>
      </c>
    </row>
    <row r="1157" spans="1:17" hidden="1">
      <c r="A1157" s="45"/>
      <c r="B1157" s="61" t="s">
        <v>456</v>
      </c>
      <c r="C1157" s="61" t="s">
        <v>465</v>
      </c>
      <c r="D1157" s="62">
        <v>46017.621527777781</v>
      </c>
      <c r="E1157" s="62">
        <v>46017.621527777781</v>
      </c>
      <c r="F1157" s="62">
        <v>46017.826388888891</v>
      </c>
      <c r="G1157" s="63">
        <f>F1157-E1157</f>
        <v>0.20486111110949423</v>
      </c>
      <c r="H1157" s="61" t="s">
        <v>257</v>
      </c>
      <c r="I1157" s="61"/>
      <c r="J1157" s="61" t="s">
        <v>258</v>
      </c>
      <c r="K1157" s="61" t="s">
        <v>658</v>
      </c>
      <c r="L1157" s="61" t="s">
        <v>2116</v>
      </c>
      <c r="M1157" s="61" t="s">
        <v>260</v>
      </c>
      <c r="N1157" s="61" t="s">
        <v>357</v>
      </c>
      <c r="O1157" s="61" t="s">
        <v>632</v>
      </c>
      <c r="P1157" s="61" t="str">
        <f t="shared" si="61"/>
        <v>BC Caiaponia1SG60KTL(COM1-008)_001_00146017,621527777846017,621527777846017,8263888889</v>
      </c>
      <c r="Q1157" s="61" t="str">
        <f t="shared" si="62"/>
        <v>DAURDE</v>
      </c>
    </row>
    <row r="1158" spans="1:17" hidden="1">
      <c r="A1158" s="45"/>
      <c r="B1158" s="61" t="s">
        <v>456</v>
      </c>
      <c r="C1158" s="61" t="s">
        <v>466</v>
      </c>
      <c r="D1158" s="62">
        <v>46017.621527777781</v>
      </c>
      <c r="E1158" s="62">
        <v>46017.621527777781</v>
      </c>
      <c r="F1158" s="62">
        <v>46017.826388888891</v>
      </c>
      <c r="G1158" s="63">
        <f>F1158-E1158</f>
        <v>0.20486111110949423</v>
      </c>
      <c r="H1158" s="61" t="s">
        <v>257</v>
      </c>
      <c r="I1158" s="61"/>
      <c r="J1158" s="61" t="s">
        <v>258</v>
      </c>
      <c r="K1158" s="61" t="s">
        <v>658</v>
      </c>
      <c r="L1158" s="61" t="s">
        <v>2116</v>
      </c>
      <c r="M1158" s="61" t="s">
        <v>260</v>
      </c>
      <c r="N1158" s="61" t="s">
        <v>357</v>
      </c>
      <c r="O1158" s="61" t="s">
        <v>632</v>
      </c>
      <c r="P1158" s="61" t="str">
        <f t="shared" si="61"/>
        <v>BC Caiaponia1SG60KTL(COM1-009)46017,621527777846017,621527777846017,8263888889</v>
      </c>
      <c r="Q1158" s="61" t="str">
        <f t="shared" si="62"/>
        <v>DAURDE</v>
      </c>
    </row>
    <row r="1159" spans="1:17" hidden="1">
      <c r="A1159" s="45"/>
      <c r="B1159" s="61" t="s">
        <v>456</v>
      </c>
      <c r="C1159" s="61" t="s">
        <v>467</v>
      </c>
      <c r="D1159" s="62">
        <v>46017.621527777781</v>
      </c>
      <c r="E1159" s="62">
        <v>46017.621527777781</v>
      </c>
      <c r="F1159" s="62">
        <v>46017.826388888891</v>
      </c>
      <c r="G1159" s="63">
        <f>F1159-E1159</f>
        <v>0.20486111110949423</v>
      </c>
      <c r="H1159" s="61" t="s">
        <v>257</v>
      </c>
      <c r="I1159" s="61"/>
      <c r="J1159" s="61" t="s">
        <v>258</v>
      </c>
      <c r="K1159" s="61" t="s">
        <v>658</v>
      </c>
      <c r="L1159" s="61" t="s">
        <v>2116</v>
      </c>
      <c r="M1159" s="61" t="s">
        <v>260</v>
      </c>
      <c r="N1159" s="61" t="s">
        <v>357</v>
      </c>
      <c r="O1159" s="61" t="s">
        <v>632</v>
      </c>
      <c r="P1159" s="61" t="str">
        <f t="shared" si="61"/>
        <v>BC Caiaponia1SG60KTL(COM1-010)46017,621527777846017,621527777846017,8263888889</v>
      </c>
      <c r="Q1159" s="61" t="str">
        <f t="shared" si="62"/>
        <v>DAURDE</v>
      </c>
    </row>
    <row r="1160" spans="1:17" hidden="1">
      <c r="A1160" s="45"/>
      <c r="B1160" s="61" t="s">
        <v>456</v>
      </c>
      <c r="C1160" s="61" t="s">
        <v>468</v>
      </c>
      <c r="D1160" s="62">
        <v>46017.621527777781</v>
      </c>
      <c r="E1160" s="62">
        <v>46017.621527777781</v>
      </c>
      <c r="F1160" s="62">
        <v>46017.826388888891</v>
      </c>
      <c r="G1160" s="63">
        <f>F1160-E1160</f>
        <v>0.20486111110949423</v>
      </c>
      <c r="H1160" s="61" t="s">
        <v>257</v>
      </c>
      <c r="I1160" s="61"/>
      <c r="J1160" s="61" t="s">
        <v>258</v>
      </c>
      <c r="K1160" s="61" t="s">
        <v>658</v>
      </c>
      <c r="L1160" s="61" t="s">
        <v>2116</v>
      </c>
      <c r="M1160" s="61" t="s">
        <v>260</v>
      </c>
      <c r="N1160" s="61" t="s">
        <v>357</v>
      </c>
      <c r="O1160" s="61" t="s">
        <v>632</v>
      </c>
      <c r="P1160" s="61" t="str">
        <f t="shared" si="61"/>
        <v>BC Caiaponia1SG60KTL(COM1-011)46017,621527777846017,621527777846017,8263888889</v>
      </c>
      <c r="Q1160" s="61" t="str">
        <f t="shared" si="62"/>
        <v>DAURDE</v>
      </c>
    </row>
    <row r="1161" spans="1:17" hidden="1">
      <c r="A1161" s="45"/>
      <c r="B1161" s="61" t="s">
        <v>456</v>
      </c>
      <c r="C1161" s="61" t="s">
        <v>469</v>
      </c>
      <c r="D1161" s="62">
        <v>46017.621527777781</v>
      </c>
      <c r="E1161" s="62">
        <v>46017.621527777781</v>
      </c>
      <c r="F1161" s="62">
        <v>46017.826388888891</v>
      </c>
      <c r="G1161" s="63">
        <f>F1161-E1161</f>
        <v>0.20486111110949423</v>
      </c>
      <c r="H1161" s="61" t="s">
        <v>257</v>
      </c>
      <c r="I1161" s="61"/>
      <c r="J1161" s="61" t="s">
        <v>258</v>
      </c>
      <c r="K1161" s="61" t="s">
        <v>658</v>
      </c>
      <c r="L1161" s="61" t="s">
        <v>2116</v>
      </c>
      <c r="M1161" s="61" t="s">
        <v>260</v>
      </c>
      <c r="N1161" s="61" t="s">
        <v>357</v>
      </c>
      <c r="O1161" s="61" t="s">
        <v>632</v>
      </c>
      <c r="P1161" s="61" t="str">
        <f t="shared" si="61"/>
        <v>BC Caiaponia1SG60KTL(COM1-012)46017,621527777846017,621527777846017,8263888889</v>
      </c>
      <c r="Q1161" s="61" t="str">
        <f t="shared" si="62"/>
        <v>DAURDE</v>
      </c>
    </row>
    <row r="1162" spans="1:17" hidden="1">
      <c r="A1162" s="45"/>
      <c r="B1162" s="61" t="s">
        <v>456</v>
      </c>
      <c r="C1162" s="61" t="s">
        <v>470</v>
      </c>
      <c r="D1162" s="62">
        <v>46017.621527777781</v>
      </c>
      <c r="E1162" s="62">
        <v>46017.621527777781</v>
      </c>
      <c r="F1162" s="62">
        <v>46017.826388888891</v>
      </c>
      <c r="G1162" s="63">
        <f>F1162-E1162</f>
        <v>0.20486111110949423</v>
      </c>
      <c r="H1162" s="61" t="s">
        <v>257</v>
      </c>
      <c r="I1162" s="61"/>
      <c r="J1162" s="61" t="s">
        <v>258</v>
      </c>
      <c r="K1162" s="61" t="s">
        <v>658</v>
      </c>
      <c r="L1162" s="61" t="s">
        <v>2116</v>
      </c>
      <c r="M1162" s="61" t="s">
        <v>260</v>
      </c>
      <c r="N1162" s="61" t="s">
        <v>357</v>
      </c>
      <c r="O1162" s="61" t="s">
        <v>632</v>
      </c>
      <c r="P1162" s="61" t="str">
        <f t="shared" si="61"/>
        <v>BC Caiaponia1SG60KTL(COM1-013)46017,621527777846017,621527777846017,8263888889</v>
      </c>
      <c r="Q1162" s="61" t="str">
        <f t="shared" si="62"/>
        <v>DAURDE</v>
      </c>
    </row>
    <row r="1163" spans="1:17" hidden="1">
      <c r="A1163" s="45"/>
      <c r="B1163" s="61" t="s">
        <v>456</v>
      </c>
      <c r="C1163" s="61" t="s">
        <v>471</v>
      </c>
      <c r="D1163" s="62">
        <v>46017.621527777781</v>
      </c>
      <c r="E1163" s="62">
        <v>46017.621527777781</v>
      </c>
      <c r="F1163" s="62">
        <v>46017.826388888891</v>
      </c>
      <c r="G1163" s="63">
        <f>F1163-E1163</f>
        <v>0.20486111110949423</v>
      </c>
      <c r="H1163" s="61" t="s">
        <v>257</v>
      </c>
      <c r="I1163" s="61"/>
      <c r="J1163" s="61" t="s">
        <v>258</v>
      </c>
      <c r="K1163" s="61" t="s">
        <v>658</v>
      </c>
      <c r="L1163" s="61" t="s">
        <v>2116</v>
      </c>
      <c r="M1163" s="61" t="s">
        <v>260</v>
      </c>
      <c r="N1163" s="61" t="s">
        <v>357</v>
      </c>
      <c r="O1163" s="61" t="s">
        <v>632</v>
      </c>
      <c r="P1163" s="61" t="str">
        <f t="shared" si="61"/>
        <v>BC Caiaponia1SG60KTL(COM1-014)46017,621527777846017,621527777846017,8263888889</v>
      </c>
      <c r="Q1163" s="61" t="str">
        <f t="shared" si="62"/>
        <v>DAURDE</v>
      </c>
    </row>
    <row r="1164" spans="1:17" hidden="1">
      <c r="A1164" s="45"/>
      <c r="B1164" s="61" t="s">
        <v>456</v>
      </c>
      <c r="C1164" s="61" t="s">
        <v>472</v>
      </c>
      <c r="D1164" s="62">
        <v>46017.621527777781</v>
      </c>
      <c r="E1164" s="62">
        <v>46017.621527777781</v>
      </c>
      <c r="F1164" s="62">
        <v>46017.826388888891</v>
      </c>
      <c r="G1164" s="63">
        <f>F1164-E1164</f>
        <v>0.20486111110949423</v>
      </c>
      <c r="H1164" s="61" t="s">
        <v>257</v>
      </c>
      <c r="I1164" s="61"/>
      <c r="J1164" s="61" t="s">
        <v>258</v>
      </c>
      <c r="K1164" s="61" t="s">
        <v>658</v>
      </c>
      <c r="L1164" s="61" t="s">
        <v>2116</v>
      </c>
      <c r="M1164" s="61" t="s">
        <v>260</v>
      </c>
      <c r="N1164" s="61" t="s">
        <v>357</v>
      </c>
      <c r="O1164" s="61" t="s">
        <v>632</v>
      </c>
      <c r="P1164" s="61" t="str">
        <f t="shared" si="61"/>
        <v>BC Caiaponia1SG60KTL(COM1-015)46017,621527777846017,621527777846017,8263888889</v>
      </c>
      <c r="Q1164" s="61" t="str">
        <f t="shared" si="62"/>
        <v>DAURDE</v>
      </c>
    </row>
    <row r="1165" spans="1:17" hidden="1">
      <c r="A1165" s="45"/>
      <c r="B1165" s="61" t="s">
        <v>456</v>
      </c>
      <c r="C1165" s="61" t="s">
        <v>473</v>
      </c>
      <c r="D1165" s="62">
        <v>46017.621527777781</v>
      </c>
      <c r="E1165" s="62">
        <v>46017.621527777781</v>
      </c>
      <c r="F1165" s="62">
        <v>46017.826388888891</v>
      </c>
      <c r="G1165" s="63">
        <f>F1165-E1165</f>
        <v>0.20486111110949423</v>
      </c>
      <c r="H1165" s="61" t="s">
        <v>257</v>
      </c>
      <c r="I1165" s="61"/>
      <c r="J1165" s="61" t="s">
        <v>258</v>
      </c>
      <c r="K1165" s="61" t="s">
        <v>658</v>
      </c>
      <c r="L1165" s="61" t="s">
        <v>2116</v>
      </c>
      <c r="M1165" s="61" t="s">
        <v>260</v>
      </c>
      <c r="N1165" s="61" t="s">
        <v>357</v>
      </c>
      <c r="O1165" s="61" t="s">
        <v>632</v>
      </c>
      <c r="P1165" s="61" t="str">
        <f t="shared" si="61"/>
        <v>BC Caiaponia1SG60KTL(COM3-016)_001_00946017,621527777846017,621527777846017,8263888889</v>
      </c>
      <c r="Q1165" s="61" t="str">
        <f t="shared" si="62"/>
        <v>DAURDE</v>
      </c>
    </row>
    <row r="1166" spans="1:17" hidden="1">
      <c r="A1166" s="45"/>
      <c r="B1166" s="61" t="s">
        <v>456</v>
      </c>
      <c r="C1166" s="61" t="s">
        <v>474</v>
      </c>
      <c r="D1166" s="62">
        <v>46017.621527777781</v>
      </c>
      <c r="E1166" s="62">
        <v>46017.621527777781</v>
      </c>
      <c r="F1166" s="62">
        <v>46017.826388888891</v>
      </c>
      <c r="G1166" s="63">
        <f>F1166-E1166</f>
        <v>0.20486111110949423</v>
      </c>
      <c r="H1166" s="61" t="s">
        <v>257</v>
      </c>
      <c r="I1166" s="61"/>
      <c r="J1166" s="61" t="s">
        <v>258</v>
      </c>
      <c r="K1166" s="61" t="s">
        <v>658</v>
      </c>
      <c r="L1166" s="61" t="s">
        <v>2116</v>
      </c>
      <c r="M1166" s="61" t="s">
        <v>260</v>
      </c>
      <c r="N1166" s="61" t="s">
        <v>357</v>
      </c>
      <c r="O1166" s="61" t="s">
        <v>632</v>
      </c>
      <c r="P1166" s="61" t="str">
        <f t="shared" si="61"/>
        <v>BC Caiaponia1SG60KTL(COM3-017)_001_01246017,621527777846017,621527777846017,8263888889</v>
      </c>
      <c r="Q1166" s="61" t="str">
        <f t="shared" si="62"/>
        <v>DAURDE</v>
      </c>
    </row>
    <row r="1167" spans="1:17" hidden="1">
      <c r="A1167" s="45"/>
      <c r="B1167" s="61" t="s">
        <v>456</v>
      </c>
      <c r="C1167" s="61" t="s">
        <v>475</v>
      </c>
      <c r="D1167" s="62">
        <v>46017.621527777781</v>
      </c>
      <c r="E1167" s="62">
        <v>46017.621527777781</v>
      </c>
      <c r="F1167" s="62">
        <v>46017.826388888891</v>
      </c>
      <c r="G1167" s="63">
        <f>F1167-E1167</f>
        <v>0.20486111110949423</v>
      </c>
      <c r="H1167" s="61" t="s">
        <v>257</v>
      </c>
      <c r="I1167" s="61"/>
      <c r="J1167" s="61" t="s">
        <v>258</v>
      </c>
      <c r="K1167" s="61" t="s">
        <v>658</v>
      </c>
      <c r="L1167" s="61" t="s">
        <v>2116</v>
      </c>
      <c r="M1167" s="61" t="s">
        <v>260</v>
      </c>
      <c r="N1167" s="61" t="s">
        <v>357</v>
      </c>
      <c r="O1167" s="61" t="s">
        <v>632</v>
      </c>
      <c r="P1167" s="61" t="str">
        <f t="shared" si="61"/>
        <v>BC Caiaponia1SG60KTL(COM3-018)_001_00846017,621527777846017,621527777846017,8263888889</v>
      </c>
      <c r="Q1167" s="61" t="str">
        <f t="shared" si="62"/>
        <v>DAURDE</v>
      </c>
    </row>
    <row r="1168" spans="1:17" hidden="1">
      <c r="A1168" s="45"/>
      <c r="B1168" s="61" t="s">
        <v>456</v>
      </c>
      <c r="C1168" s="61" t="s">
        <v>476</v>
      </c>
      <c r="D1168" s="62">
        <v>46017.621527777781</v>
      </c>
      <c r="E1168" s="62">
        <v>46017.621527777781</v>
      </c>
      <c r="F1168" s="62">
        <v>46017.826388888891</v>
      </c>
      <c r="G1168" s="63">
        <f>F1168-E1168</f>
        <v>0.20486111110949423</v>
      </c>
      <c r="H1168" s="61" t="s">
        <v>257</v>
      </c>
      <c r="I1168" s="61"/>
      <c r="J1168" s="61" t="s">
        <v>258</v>
      </c>
      <c r="K1168" s="61" t="s">
        <v>658</v>
      </c>
      <c r="L1168" s="61" t="s">
        <v>2116</v>
      </c>
      <c r="M1168" s="61" t="s">
        <v>260</v>
      </c>
      <c r="N1168" s="61" t="s">
        <v>357</v>
      </c>
      <c r="O1168" s="61" t="s">
        <v>632</v>
      </c>
      <c r="P1168" s="61" t="str">
        <f t="shared" si="61"/>
        <v>BC Caiaponia1SG60KTL(COM3-019)_001_01946017,621527777846017,621527777846017,8263888889</v>
      </c>
      <c r="Q1168" s="61" t="str">
        <f t="shared" si="62"/>
        <v>DAURDE</v>
      </c>
    </row>
    <row r="1169" spans="1:17" hidden="1">
      <c r="A1169" s="45"/>
      <c r="B1169" s="61" t="s">
        <v>456</v>
      </c>
      <c r="C1169" s="61" t="s">
        <v>477</v>
      </c>
      <c r="D1169" s="62">
        <v>46017.621527777781</v>
      </c>
      <c r="E1169" s="62">
        <v>46017.621527777781</v>
      </c>
      <c r="F1169" s="62">
        <v>46017.826388888891</v>
      </c>
      <c r="G1169" s="63">
        <f>F1169-E1169</f>
        <v>0.20486111110949423</v>
      </c>
      <c r="H1169" s="61" t="s">
        <v>257</v>
      </c>
      <c r="I1169" s="61"/>
      <c r="J1169" s="61" t="s">
        <v>258</v>
      </c>
      <c r="K1169" s="61" t="s">
        <v>658</v>
      </c>
      <c r="L1169" s="61" t="s">
        <v>2116</v>
      </c>
      <c r="M1169" s="61" t="s">
        <v>260</v>
      </c>
      <c r="N1169" s="61" t="s">
        <v>357</v>
      </c>
      <c r="O1169" s="61" t="s">
        <v>632</v>
      </c>
      <c r="P1169" s="61" t="str">
        <f t="shared" si="61"/>
        <v>BC Caiaponia1SG60KTL(COM3-020)_001_02046017,621527777846017,621527777846017,8263888889</v>
      </c>
      <c r="Q1169" s="61" t="str">
        <f t="shared" si="62"/>
        <v>DAURDE</v>
      </c>
    </row>
    <row r="1170" spans="1:17" hidden="1">
      <c r="A1170" s="45"/>
      <c r="B1170" s="61" t="s">
        <v>456</v>
      </c>
      <c r="C1170" s="61" t="s">
        <v>478</v>
      </c>
      <c r="D1170" s="62">
        <v>46017.621527777781</v>
      </c>
      <c r="E1170" s="62">
        <v>46017.621527777781</v>
      </c>
      <c r="F1170" s="62">
        <v>46017.826388888891</v>
      </c>
      <c r="G1170" s="63">
        <f>F1170-E1170</f>
        <v>0.20486111110949423</v>
      </c>
      <c r="H1170" s="61" t="s">
        <v>257</v>
      </c>
      <c r="I1170" s="61"/>
      <c r="J1170" s="61" t="s">
        <v>258</v>
      </c>
      <c r="K1170" s="61" t="s">
        <v>658</v>
      </c>
      <c r="L1170" s="61" t="s">
        <v>2116</v>
      </c>
      <c r="M1170" s="61" t="s">
        <v>260</v>
      </c>
      <c r="N1170" s="61" t="s">
        <v>357</v>
      </c>
      <c r="O1170" s="61" t="s">
        <v>632</v>
      </c>
      <c r="P1170" s="61" t="str">
        <f t="shared" si="61"/>
        <v>BC Caiaponia1SG60KTL(COM2-026)46017,621527777846017,621527777846017,8263888889</v>
      </c>
      <c r="Q1170" s="61" t="str">
        <f t="shared" si="62"/>
        <v>DAURDE</v>
      </c>
    </row>
    <row r="1171" spans="1:17" hidden="1">
      <c r="A1171" s="45"/>
      <c r="B1171" s="61" t="s">
        <v>456</v>
      </c>
      <c r="C1171" s="61" t="s">
        <v>479</v>
      </c>
      <c r="D1171" s="62">
        <v>46017.621527777781</v>
      </c>
      <c r="E1171" s="62">
        <v>46017.621527777781</v>
      </c>
      <c r="F1171" s="62">
        <v>46017.826388888891</v>
      </c>
      <c r="G1171" s="63">
        <f>F1171-E1171</f>
        <v>0.20486111110949423</v>
      </c>
      <c r="H1171" s="61" t="s">
        <v>257</v>
      </c>
      <c r="I1171" s="61"/>
      <c r="J1171" s="61" t="s">
        <v>258</v>
      </c>
      <c r="K1171" s="61" t="s">
        <v>658</v>
      </c>
      <c r="L1171" s="61" t="s">
        <v>2116</v>
      </c>
      <c r="M1171" s="61" t="s">
        <v>260</v>
      </c>
      <c r="N1171" s="61" t="s">
        <v>357</v>
      </c>
      <c r="O1171" s="61" t="s">
        <v>632</v>
      </c>
      <c r="P1171" s="61" t="str">
        <f t="shared" si="61"/>
        <v>BC Caiaponia1SG60KTL(COM2-027)46017,621527777846017,621527777846017,8263888889</v>
      </c>
      <c r="Q1171" s="61" t="str">
        <f t="shared" si="62"/>
        <v>DAURDE</v>
      </c>
    </row>
    <row r="1172" spans="1:17" hidden="1">
      <c r="A1172" s="45"/>
      <c r="B1172" s="61" t="s">
        <v>456</v>
      </c>
      <c r="C1172" s="61" t="s">
        <v>480</v>
      </c>
      <c r="D1172" s="62">
        <v>46017.621527777781</v>
      </c>
      <c r="E1172" s="62">
        <v>46017.621527777781</v>
      </c>
      <c r="F1172" s="62">
        <v>46017.826388888891</v>
      </c>
      <c r="G1172" s="63">
        <f>F1172-E1172</f>
        <v>0.20486111110949423</v>
      </c>
      <c r="H1172" s="61" t="s">
        <v>257</v>
      </c>
      <c r="I1172" s="61"/>
      <c r="J1172" s="61" t="s">
        <v>258</v>
      </c>
      <c r="K1172" s="61" t="s">
        <v>658</v>
      </c>
      <c r="L1172" s="61" t="s">
        <v>2116</v>
      </c>
      <c r="M1172" s="61" t="s">
        <v>260</v>
      </c>
      <c r="N1172" s="61" t="s">
        <v>357</v>
      </c>
      <c r="O1172" s="61" t="s">
        <v>632</v>
      </c>
      <c r="P1172" s="61" t="str">
        <f t="shared" si="61"/>
        <v>BC Caiaponia1SG60KTL(COM2-028)46017,621527777846017,621527777846017,8263888889</v>
      </c>
      <c r="Q1172" s="61" t="str">
        <f t="shared" si="62"/>
        <v>DAURDE</v>
      </c>
    </row>
    <row r="1173" spans="1:17" hidden="1">
      <c r="A1173" s="45"/>
      <c r="B1173" s="61" t="s">
        <v>456</v>
      </c>
      <c r="C1173" s="61" t="s">
        <v>481</v>
      </c>
      <c r="D1173" s="62">
        <v>46017.621527777781</v>
      </c>
      <c r="E1173" s="62">
        <v>46017.621527777781</v>
      </c>
      <c r="F1173" s="62">
        <v>46017.826388888891</v>
      </c>
      <c r="G1173" s="63">
        <f>F1173-E1173</f>
        <v>0.20486111110949423</v>
      </c>
      <c r="H1173" s="61" t="s">
        <v>257</v>
      </c>
      <c r="I1173" s="61"/>
      <c r="J1173" s="61" t="s">
        <v>258</v>
      </c>
      <c r="K1173" s="61" t="s">
        <v>658</v>
      </c>
      <c r="L1173" s="61" t="s">
        <v>2116</v>
      </c>
      <c r="M1173" s="61" t="s">
        <v>260</v>
      </c>
      <c r="N1173" s="61" t="s">
        <v>357</v>
      </c>
      <c r="O1173" s="61" t="s">
        <v>632</v>
      </c>
      <c r="P1173" s="61" t="str">
        <f t="shared" si="61"/>
        <v>BC Caiaponia1SG60KTL(COM2-029)46017,621527777846017,621527777846017,8263888889</v>
      </c>
      <c r="Q1173" s="61" t="str">
        <f t="shared" si="62"/>
        <v>DAURDE</v>
      </c>
    </row>
    <row r="1174" spans="1:17" hidden="1">
      <c r="A1174" s="45"/>
      <c r="B1174" s="61" t="s">
        <v>456</v>
      </c>
      <c r="C1174" s="61" t="s">
        <v>482</v>
      </c>
      <c r="D1174" s="62">
        <v>46017.621527777781</v>
      </c>
      <c r="E1174" s="62">
        <v>46017.621527777781</v>
      </c>
      <c r="F1174" s="62">
        <v>46017.826388888891</v>
      </c>
      <c r="G1174" s="63">
        <f>F1174-E1174</f>
        <v>0.20486111110949423</v>
      </c>
      <c r="H1174" s="61" t="s">
        <v>257</v>
      </c>
      <c r="I1174" s="61"/>
      <c r="J1174" s="61" t="s">
        <v>258</v>
      </c>
      <c r="K1174" s="61" t="s">
        <v>658</v>
      </c>
      <c r="L1174" s="61" t="s">
        <v>2116</v>
      </c>
      <c r="M1174" s="61" t="s">
        <v>260</v>
      </c>
      <c r="N1174" s="61" t="s">
        <v>357</v>
      </c>
      <c r="O1174" s="61" t="s">
        <v>632</v>
      </c>
      <c r="P1174" s="61" t="str">
        <f t="shared" si="61"/>
        <v>BC Caiaponia1SG50CX(COM1-021)46017,621527777846017,621527777846017,8263888889</v>
      </c>
      <c r="Q1174" s="61" t="str">
        <f t="shared" si="62"/>
        <v>DAURDE</v>
      </c>
    </row>
    <row r="1175" spans="1:17" hidden="1">
      <c r="A1175" s="45"/>
      <c r="B1175" s="61" t="s">
        <v>456</v>
      </c>
      <c r="C1175" s="61" t="s">
        <v>483</v>
      </c>
      <c r="D1175" s="62">
        <v>46017.621527777781</v>
      </c>
      <c r="E1175" s="62">
        <v>46017.621527777781</v>
      </c>
      <c r="F1175" s="62">
        <v>46017.826388888891</v>
      </c>
      <c r="G1175" s="63">
        <f>F1175-E1175</f>
        <v>0.20486111110949423</v>
      </c>
      <c r="H1175" s="61" t="s">
        <v>257</v>
      </c>
      <c r="I1175" s="61"/>
      <c r="J1175" s="61" t="s">
        <v>258</v>
      </c>
      <c r="K1175" s="61" t="s">
        <v>658</v>
      </c>
      <c r="L1175" s="61" t="s">
        <v>2116</v>
      </c>
      <c r="M1175" s="61" t="s">
        <v>260</v>
      </c>
      <c r="N1175" s="61" t="s">
        <v>357</v>
      </c>
      <c r="O1175" s="61" t="s">
        <v>632</v>
      </c>
      <c r="P1175" s="61" t="str">
        <f t="shared" si="61"/>
        <v>BC Caiaponia1SG50CX(COM1-022)46017,621527777846017,621527777846017,8263888889</v>
      </c>
      <c r="Q1175" s="61" t="str">
        <f t="shared" si="62"/>
        <v>DAURDE</v>
      </c>
    </row>
    <row r="1176" spans="1:17" hidden="1">
      <c r="A1176" s="45"/>
      <c r="B1176" s="61" t="s">
        <v>456</v>
      </c>
      <c r="C1176" s="61" t="s">
        <v>484</v>
      </c>
      <c r="D1176" s="62">
        <v>46017.621527777781</v>
      </c>
      <c r="E1176" s="62">
        <v>46017.621527777781</v>
      </c>
      <c r="F1176" s="62">
        <v>46017.826388888891</v>
      </c>
      <c r="G1176" s="63">
        <f>F1176-E1176</f>
        <v>0.20486111110949423</v>
      </c>
      <c r="H1176" s="61" t="s">
        <v>257</v>
      </c>
      <c r="I1176" s="61"/>
      <c r="J1176" s="61" t="s">
        <v>258</v>
      </c>
      <c r="K1176" s="61" t="s">
        <v>658</v>
      </c>
      <c r="L1176" s="61" t="s">
        <v>2116</v>
      </c>
      <c r="M1176" s="61" t="s">
        <v>260</v>
      </c>
      <c r="N1176" s="61" t="s">
        <v>357</v>
      </c>
      <c r="O1176" s="61" t="s">
        <v>632</v>
      </c>
      <c r="P1176" s="61" t="str">
        <f t="shared" si="61"/>
        <v>BC Caiaponia1SG50CX(COM1-023)46017,621527777846017,621527777846017,8263888889</v>
      </c>
      <c r="Q1176" s="61" t="str">
        <f t="shared" si="62"/>
        <v>DAURDE</v>
      </c>
    </row>
    <row r="1177" spans="1:17" hidden="1">
      <c r="A1177" s="45"/>
      <c r="B1177" s="61" t="s">
        <v>456</v>
      </c>
      <c r="C1177" s="61" t="s">
        <v>485</v>
      </c>
      <c r="D1177" s="62">
        <v>46017.621527777781</v>
      </c>
      <c r="E1177" s="62">
        <v>46017.621527777781</v>
      </c>
      <c r="F1177" s="62">
        <v>46017.826388888891</v>
      </c>
      <c r="G1177" s="63">
        <f>F1177-E1177</f>
        <v>0.20486111110949423</v>
      </c>
      <c r="H1177" s="61" t="s">
        <v>257</v>
      </c>
      <c r="I1177" s="61"/>
      <c r="J1177" s="61" t="s">
        <v>258</v>
      </c>
      <c r="K1177" s="61" t="s">
        <v>658</v>
      </c>
      <c r="L1177" s="61" t="s">
        <v>2116</v>
      </c>
      <c r="M1177" s="61" t="s">
        <v>260</v>
      </c>
      <c r="N1177" s="61" t="s">
        <v>357</v>
      </c>
      <c r="O1177" s="61" t="s">
        <v>632</v>
      </c>
      <c r="P1177" s="61" t="str">
        <f t="shared" si="61"/>
        <v>BC Caiaponia1SG50CX(COM1-024)46017,621527777846017,621527777846017,8263888889</v>
      </c>
      <c r="Q1177" s="61" t="str">
        <f t="shared" si="62"/>
        <v>DAURDE</v>
      </c>
    </row>
    <row r="1178" spans="1:17" hidden="1">
      <c r="A1178" s="45"/>
      <c r="B1178" s="61" t="s">
        <v>456</v>
      </c>
      <c r="C1178" s="61" t="s">
        <v>486</v>
      </c>
      <c r="D1178" s="62">
        <v>46017.621527777781</v>
      </c>
      <c r="E1178" s="62">
        <v>46017.621527777781</v>
      </c>
      <c r="F1178" s="62">
        <v>46017.826388888891</v>
      </c>
      <c r="G1178" s="63">
        <f>F1178-E1178</f>
        <v>0.20486111110949423</v>
      </c>
      <c r="H1178" s="61" t="s">
        <v>257</v>
      </c>
      <c r="I1178" s="61"/>
      <c r="J1178" s="61" t="s">
        <v>258</v>
      </c>
      <c r="K1178" s="61" t="s">
        <v>658</v>
      </c>
      <c r="L1178" s="61" t="s">
        <v>2116</v>
      </c>
      <c r="M1178" s="61" t="s">
        <v>260</v>
      </c>
      <c r="N1178" s="61" t="s">
        <v>357</v>
      </c>
      <c r="O1178" s="61" t="s">
        <v>632</v>
      </c>
      <c r="P1178" s="61" t="str">
        <f t="shared" ref="P1178:P1241" si="63">_xlfn.CONCAT(B1178,C1178,D1178,E1178,F1178)</f>
        <v>BC Caiaponia1SG50CX(COM1-025)46017,621527777846017,621527777846017,8263888889</v>
      </c>
      <c r="Q1178" s="61" t="str">
        <f t="shared" ref="Q1178:Q1241" si="64">_xlfn.CONCAT(H1178,I1178,J1178)</f>
        <v>DAURDE</v>
      </c>
    </row>
    <row r="1179" spans="1:17" hidden="1">
      <c r="A1179" s="45"/>
      <c r="B1179" s="61" t="s">
        <v>487</v>
      </c>
      <c r="C1179" s="61" t="s">
        <v>377</v>
      </c>
      <c r="D1179" s="62">
        <v>46017.621527777781</v>
      </c>
      <c r="E1179" s="62">
        <v>46017.621527777781</v>
      </c>
      <c r="F1179" s="62">
        <v>46017.826388888891</v>
      </c>
      <c r="G1179" s="63">
        <f>F1179-E1179</f>
        <v>0.20486111110949423</v>
      </c>
      <c r="H1179" s="61" t="s">
        <v>257</v>
      </c>
      <c r="I1179" s="61"/>
      <c r="J1179" s="61" t="s">
        <v>258</v>
      </c>
      <c r="K1179" s="61" t="s">
        <v>658</v>
      </c>
      <c r="L1179" s="61" t="s">
        <v>2116</v>
      </c>
      <c r="M1179" s="61" t="s">
        <v>260</v>
      </c>
      <c r="N1179" s="61" t="s">
        <v>357</v>
      </c>
      <c r="O1179" s="61" t="s">
        <v>632</v>
      </c>
      <c r="P1179" s="61" t="str">
        <f t="shared" si="63"/>
        <v>BC Caiaponia2.1215KTL-H3(MBUS-12)46017,621527777846017,621527777846017,8263888889</v>
      </c>
      <c r="Q1179" s="61" t="str">
        <f t="shared" si="64"/>
        <v>DAURDE</v>
      </c>
    </row>
    <row r="1180" spans="1:17" hidden="1">
      <c r="A1180" s="45"/>
      <c r="B1180" s="61" t="s">
        <v>487</v>
      </c>
      <c r="C1180" s="61" t="s">
        <v>378</v>
      </c>
      <c r="D1180" s="62">
        <v>46017.621527777781</v>
      </c>
      <c r="E1180" s="62">
        <v>46017.621527777781</v>
      </c>
      <c r="F1180" s="62">
        <v>46017.826388888891</v>
      </c>
      <c r="G1180" s="63">
        <f>F1180-E1180</f>
        <v>0.20486111110949423</v>
      </c>
      <c r="H1180" s="61" t="s">
        <v>257</v>
      </c>
      <c r="I1180" s="61"/>
      <c r="J1180" s="61" t="s">
        <v>258</v>
      </c>
      <c r="K1180" s="61" t="s">
        <v>658</v>
      </c>
      <c r="L1180" s="61" t="s">
        <v>2116</v>
      </c>
      <c r="M1180" s="61" t="s">
        <v>260</v>
      </c>
      <c r="N1180" s="61" t="s">
        <v>357</v>
      </c>
      <c r="O1180" s="61" t="s">
        <v>632</v>
      </c>
      <c r="P1180" s="61" t="str">
        <f t="shared" si="63"/>
        <v>BC Caiaponia2.1215KTL-H3(MBUS-13)46017,621527777846017,621527777846017,8263888889</v>
      </c>
      <c r="Q1180" s="61" t="str">
        <f t="shared" si="64"/>
        <v>DAURDE</v>
      </c>
    </row>
    <row r="1181" spans="1:17" hidden="1">
      <c r="A1181" s="45"/>
      <c r="B1181" s="61" t="s">
        <v>487</v>
      </c>
      <c r="C1181" s="61" t="s">
        <v>382</v>
      </c>
      <c r="D1181" s="62">
        <v>46017.621527777781</v>
      </c>
      <c r="E1181" s="62">
        <v>46017.621527777781</v>
      </c>
      <c r="F1181" s="62">
        <v>46017.826388888891</v>
      </c>
      <c r="G1181" s="63">
        <f>F1181-E1181</f>
        <v>0.20486111110949423</v>
      </c>
      <c r="H1181" s="61" t="s">
        <v>257</v>
      </c>
      <c r="I1181" s="61"/>
      <c r="J1181" s="61" t="s">
        <v>258</v>
      </c>
      <c r="K1181" s="61" t="s">
        <v>658</v>
      </c>
      <c r="L1181" s="61" t="s">
        <v>2116</v>
      </c>
      <c r="M1181" s="61" t="s">
        <v>260</v>
      </c>
      <c r="N1181" s="61" t="s">
        <v>357</v>
      </c>
      <c r="O1181" s="61" t="s">
        <v>632</v>
      </c>
      <c r="P1181" s="61" t="str">
        <f t="shared" si="63"/>
        <v>BC Caiaponia2.1215KTL-H3(MBUS-14)46017,621527777846017,621527777846017,8263888889</v>
      </c>
      <c r="Q1181" s="61" t="str">
        <f t="shared" si="64"/>
        <v>DAURDE</v>
      </c>
    </row>
    <row r="1182" spans="1:17" hidden="1">
      <c r="A1182" s="45"/>
      <c r="B1182" s="61" t="s">
        <v>487</v>
      </c>
      <c r="C1182" s="61" t="s">
        <v>380</v>
      </c>
      <c r="D1182" s="62">
        <v>46017.621527777781</v>
      </c>
      <c r="E1182" s="62">
        <v>46017.621527777781</v>
      </c>
      <c r="F1182" s="62">
        <v>46017.826388888891</v>
      </c>
      <c r="G1182" s="63">
        <f>F1182-E1182</f>
        <v>0.20486111110949423</v>
      </c>
      <c r="H1182" s="61" t="s">
        <v>257</v>
      </c>
      <c r="I1182" s="61"/>
      <c r="J1182" s="61" t="s">
        <v>258</v>
      </c>
      <c r="K1182" s="61" t="s">
        <v>658</v>
      </c>
      <c r="L1182" s="61" t="s">
        <v>2116</v>
      </c>
      <c r="M1182" s="61" t="s">
        <v>260</v>
      </c>
      <c r="N1182" s="61" t="s">
        <v>357</v>
      </c>
      <c r="O1182" s="61" t="s">
        <v>632</v>
      </c>
      <c r="P1182" s="61" t="str">
        <f t="shared" si="63"/>
        <v>BC Caiaponia2.1215KTL-H3(MBUS-15)46017,621527777846017,621527777846017,8263888889</v>
      </c>
      <c r="Q1182" s="61" t="str">
        <f t="shared" si="64"/>
        <v>DAURDE</v>
      </c>
    </row>
    <row r="1183" spans="1:17" hidden="1">
      <c r="A1183" s="45"/>
      <c r="B1183" s="61" t="s">
        <v>487</v>
      </c>
      <c r="C1183" s="61" t="s">
        <v>379</v>
      </c>
      <c r="D1183" s="62">
        <v>46017.621527777781</v>
      </c>
      <c r="E1183" s="62">
        <v>46017.621527777781</v>
      </c>
      <c r="F1183" s="62">
        <v>46017.826388888891</v>
      </c>
      <c r="G1183" s="63">
        <f>F1183-E1183</f>
        <v>0.20486111110949423</v>
      </c>
      <c r="H1183" s="61" t="s">
        <v>257</v>
      </c>
      <c r="I1183" s="61"/>
      <c r="J1183" s="61" t="s">
        <v>258</v>
      </c>
      <c r="K1183" s="61" t="s">
        <v>658</v>
      </c>
      <c r="L1183" s="61" t="s">
        <v>2116</v>
      </c>
      <c r="M1183" s="61" t="s">
        <v>260</v>
      </c>
      <c r="N1183" s="61" t="s">
        <v>357</v>
      </c>
      <c r="O1183" s="61" t="s">
        <v>632</v>
      </c>
      <c r="P1183" s="61" t="str">
        <f t="shared" si="63"/>
        <v>BC Caiaponia2.1215KTL-H3(MBUS-16)46017,621527777846017,621527777846017,8263888889</v>
      </c>
      <c r="Q1183" s="61" t="str">
        <f t="shared" si="64"/>
        <v>DAURDE</v>
      </c>
    </row>
    <row r="1184" spans="1:17" hidden="1">
      <c r="A1184" s="45"/>
      <c r="B1184" s="61" t="s">
        <v>583</v>
      </c>
      <c r="C1184" s="61" t="s">
        <v>377</v>
      </c>
      <c r="D1184" s="62">
        <v>46017.621527777781</v>
      </c>
      <c r="E1184" s="62">
        <v>46017.621527777781</v>
      </c>
      <c r="F1184" s="62">
        <v>46017.826388888891</v>
      </c>
      <c r="G1184" s="63">
        <f>F1184-E1184</f>
        <v>0.20486111110949423</v>
      </c>
      <c r="H1184" s="61" t="s">
        <v>257</v>
      </c>
      <c r="I1184" s="61"/>
      <c r="J1184" s="61" t="s">
        <v>258</v>
      </c>
      <c r="K1184" s="61" t="s">
        <v>658</v>
      </c>
      <c r="L1184" s="61" t="s">
        <v>2116</v>
      </c>
      <c r="M1184" s="61" t="s">
        <v>260</v>
      </c>
      <c r="N1184" s="61" t="s">
        <v>357</v>
      </c>
      <c r="O1184" s="61" t="s">
        <v>632</v>
      </c>
      <c r="P1184" s="61" t="str">
        <f t="shared" si="63"/>
        <v>BC Caiaponia2.2215KTL-H3(MBUS-12)46017,621527777846017,621527777846017,8263888889</v>
      </c>
      <c r="Q1184" s="61" t="str">
        <f t="shared" si="64"/>
        <v>DAURDE</v>
      </c>
    </row>
    <row r="1185" spans="1:17" hidden="1">
      <c r="A1185" s="45"/>
      <c r="B1185" s="61" t="s">
        <v>583</v>
      </c>
      <c r="C1185" s="61" t="s">
        <v>378</v>
      </c>
      <c r="D1185" s="62">
        <v>46017.621527777781</v>
      </c>
      <c r="E1185" s="62">
        <v>46017.621527777781</v>
      </c>
      <c r="F1185" s="62">
        <v>46017.826388888891</v>
      </c>
      <c r="G1185" s="63">
        <f>F1185-E1185</f>
        <v>0.20486111110949423</v>
      </c>
      <c r="H1185" s="61" t="s">
        <v>257</v>
      </c>
      <c r="I1185" s="61"/>
      <c r="J1185" s="61" t="s">
        <v>258</v>
      </c>
      <c r="K1185" s="61" t="s">
        <v>658</v>
      </c>
      <c r="L1185" s="61" t="s">
        <v>2116</v>
      </c>
      <c r="M1185" s="61" t="s">
        <v>260</v>
      </c>
      <c r="N1185" s="61" t="s">
        <v>357</v>
      </c>
      <c r="O1185" s="61" t="s">
        <v>632</v>
      </c>
      <c r="P1185" s="61" t="str">
        <f t="shared" si="63"/>
        <v>BC Caiaponia2.2215KTL-H3(MBUS-13)46017,621527777846017,621527777846017,8263888889</v>
      </c>
      <c r="Q1185" s="61" t="str">
        <f t="shared" si="64"/>
        <v>DAURDE</v>
      </c>
    </row>
    <row r="1186" spans="1:17" hidden="1">
      <c r="A1186" s="45"/>
      <c r="B1186" s="61" t="s">
        <v>583</v>
      </c>
      <c r="C1186" s="61" t="s">
        <v>382</v>
      </c>
      <c r="D1186" s="62">
        <v>46017.621527777781</v>
      </c>
      <c r="E1186" s="62">
        <v>46017.621527777781</v>
      </c>
      <c r="F1186" s="62">
        <v>46017.826388888891</v>
      </c>
      <c r="G1186" s="63">
        <f>F1186-E1186</f>
        <v>0.20486111110949423</v>
      </c>
      <c r="H1186" s="61" t="s">
        <v>257</v>
      </c>
      <c r="I1186" s="61"/>
      <c r="J1186" s="61" t="s">
        <v>258</v>
      </c>
      <c r="K1186" s="61" t="s">
        <v>658</v>
      </c>
      <c r="L1186" s="61" t="s">
        <v>2116</v>
      </c>
      <c r="M1186" s="61" t="s">
        <v>260</v>
      </c>
      <c r="N1186" s="61" t="s">
        <v>357</v>
      </c>
      <c r="O1186" s="61" t="s">
        <v>632</v>
      </c>
      <c r="P1186" s="61" t="str">
        <f t="shared" si="63"/>
        <v>BC Caiaponia2.2215KTL-H3(MBUS-14)46017,621527777846017,621527777846017,8263888889</v>
      </c>
      <c r="Q1186" s="61" t="str">
        <f t="shared" si="64"/>
        <v>DAURDE</v>
      </c>
    </row>
    <row r="1187" spans="1:17" hidden="1">
      <c r="A1187" s="45"/>
      <c r="B1187" s="61" t="s">
        <v>583</v>
      </c>
      <c r="C1187" s="61" t="s">
        <v>380</v>
      </c>
      <c r="D1187" s="62">
        <v>46017.621527777781</v>
      </c>
      <c r="E1187" s="62">
        <v>46017.621527777781</v>
      </c>
      <c r="F1187" s="62">
        <v>46017.826388888891</v>
      </c>
      <c r="G1187" s="63">
        <f>F1187-E1187</f>
        <v>0.20486111110949423</v>
      </c>
      <c r="H1187" s="61" t="s">
        <v>257</v>
      </c>
      <c r="I1187" s="61"/>
      <c r="J1187" s="61" t="s">
        <v>258</v>
      </c>
      <c r="K1187" s="61" t="s">
        <v>658</v>
      </c>
      <c r="L1187" s="61" t="s">
        <v>2116</v>
      </c>
      <c r="M1187" s="61" t="s">
        <v>260</v>
      </c>
      <c r="N1187" s="61" t="s">
        <v>357</v>
      </c>
      <c r="O1187" s="61" t="s">
        <v>632</v>
      </c>
      <c r="P1187" s="61" t="str">
        <f t="shared" si="63"/>
        <v>BC Caiaponia2.2215KTL-H3(MBUS-15)46017,621527777846017,621527777846017,8263888889</v>
      </c>
      <c r="Q1187" s="61" t="str">
        <f t="shared" si="64"/>
        <v>DAURDE</v>
      </c>
    </row>
    <row r="1188" spans="1:17" hidden="1">
      <c r="A1188" s="45"/>
      <c r="B1188" s="61" t="s">
        <v>583</v>
      </c>
      <c r="C1188" s="61" t="s">
        <v>379</v>
      </c>
      <c r="D1188" s="62">
        <v>46017.621527777781</v>
      </c>
      <c r="E1188" s="62">
        <v>46017.621527777781</v>
      </c>
      <c r="F1188" s="62">
        <v>46017.826388888891</v>
      </c>
      <c r="G1188" s="63">
        <f>F1188-E1188</f>
        <v>0.20486111110949423</v>
      </c>
      <c r="H1188" s="61" t="s">
        <v>257</v>
      </c>
      <c r="I1188" s="61"/>
      <c r="J1188" s="61" t="s">
        <v>258</v>
      </c>
      <c r="K1188" s="61" t="s">
        <v>658</v>
      </c>
      <c r="L1188" s="61" t="s">
        <v>2116</v>
      </c>
      <c r="M1188" s="61" t="s">
        <v>260</v>
      </c>
      <c r="N1188" s="61" t="s">
        <v>357</v>
      </c>
      <c r="O1188" s="61" t="s">
        <v>632</v>
      </c>
      <c r="P1188" s="61" t="str">
        <f t="shared" si="63"/>
        <v>BC Caiaponia2.2215KTL-H3(MBUS-16)46017,621527777846017,621527777846017,8263888889</v>
      </c>
      <c r="Q1188" s="61" t="str">
        <f t="shared" si="64"/>
        <v>DAURDE</v>
      </c>
    </row>
    <row r="1189" spans="1:17" hidden="1">
      <c r="A1189" s="45"/>
      <c r="B1189" s="61" t="s">
        <v>584</v>
      </c>
      <c r="C1189" s="61" t="s">
        <v>377</v>
      </c>
      <c r="D1189" s="62">
        <v>46017.621527777781</v>
      </c>
      <c r="E1189" s="62">
        <v>46017.621527777781</v>
      </c>
      <c r="F1189" s="62">
        <v>46017.826388888891</v>
      </c>
      <c r="G1189" s="63">
        <f>F1189-E1189</f>
        <v>0.20486111110949423</v>
      </c>
      <c r="H1189" s="61" t="s">
        <v>257</v>
      </c>
      <c r="I1189" s="61"/>
      <c r="J1189" s="61" t="s">
        <v>258</v>
      </c>
      <c r="K1189" s="61" t="s">
        <v>658</v>
      </c>
      <c r="L1189" s="61" t="s">
        <v>2116</v>
      </c>
      <c r="M1189" s="61" t="s">
        <v>260</v>
      </c>
      <c r="N1189" s="61" t="s">
        <v>357</v>
      </c>
      <c r="O1189" s="61" t="s">
        <v>632</v>
      </c>
      <c r="P1189" s="61" t="str">
        <f t="shared" si="63"/>
        <v>BC Caiaponia2.3215KTL-H3(MBUS-12)46017,621527777846017,621527777846017,8263888889</v>
      </c>
      <c r="Q1189" s="61" t="str">
        <f t="shared" si="64"/>
        <v>DAURDE</v>
      </c>
    </row>
    <row r="1190" spans="1:17" hidden="1">
      <c r="A1190" s="45"/>
      <c r="B1190" s="61" t="s">
        <v>584</v>
      </c>
      <c r="C1190" s="61" t="s">
        <v>378</v>
      </c>
      <c r="D1190" s="62">
        <v>46017.621527777781</v>
      </c>
      <c r="E1190" s="62">
        <v>46017.621527777781</v>
      </c>
      <c r="F1190" s="62">
        <v>46017.826388888891</v>
      </c>
      <c r="G1190" s="63">
        <f>F1190-E1190</f>
        <v>0.20486111110949423</v>
      </c>
      <c r="H1190" s="61" t="s">
        <v>257</v>
      </c>
      <c r="I1190" s="61"/>
      <c r="J1190" s="61" t="s">
        <v>258</v>
      </c>
      <c r="K1190" s="61" t="s">
        <v>658</v>
      </c>
      <c r="L1190" s="61" t="s">
        <v>2116</v>
      </c>
      <c r="M1190" s="61" t="s">
        <v>260</v>
      </c>
      <c r="N1190" s="61" t="s">
        <v>357</v>
      </c>
      <c r="O1190" s="61" t="s">
        <v>632</v>
      </c>
      <c r="P1190" s="61" t="str">
        <f t="shared" si="63"/>
        <v>BC Caiaponia2.3215KTL-H3(MBUS-13)46017,621527777846017,621527777846017,8263888889</v>
      </c>
      <c r="Q1190" s="61" t="str">
        <f t="shared" si="64"/>
        <v>DAURDE</v>
      </c>
    </row>
    <row r="1191" spans="1:17" hidden="1">
      <c r="A1191" s="45"/>
      <c r="B1191" s="61" t="s">
        <v>584</v>
      </c>
      <c r="C1191" s="61" t="s">
        <v>382</v>
      </c>
      <c r="D1191" s="62">
        <v>46017.621527777781</v>
      </c>
      <c r="E1191" s="62">
        <v>46017.621527777781</v>
      </c>
      <c r="F1191" s="62">
        <v>46017.826388888891</v>
      </c>
      <c r="G1191" s="63">
        <f>F1191-E1191</f>
        <v>0.20486111110949423</v>
      </c>
      <c r="H1191" s="61" t="s">
        <v>257</v>
      </c>
      <c r="I1191" s="61"/>
      <c r="J1191" s="61" t="s">
        <v>258</v>
      </c>
      <c r="K1191" s="61" t="s">
        <v>658</v>
      </c>
      <c r="L1191" s="61" t="s">
        <v>2116</v>
      </c>
      <c r="M1191" s="61" t="s">
        <v>260</v>
      </c>
      <c r="N1191" s="61" t="s">
        <v>357</v>
      </c>
      <c r="O1191" s="61" t="s">
        <v>632</v>
      </c>
      <c r="P1191" s="61" t="str">
        <f t="shared" si="63"/>
        <v>BC Caiaponia2.3215KTL-H3(MBUS-14)46017,621527777846017,621527777846017,8263888889</v>
      </c>
      <c r="Q1191" s="61" t="str">
        <f t="shared" si="64"/>
        <v>DAURDE</v>
      </c>
    </row>
    <row r="1192" spans="1:17" hidden="1">
      <c r="A1192" s="45"/>
      <c r="B1192" s="61" t="s">
        <v>584</v>
      </c>
      <c r="C1192" s="61" t="s">
        <v>380</v>
      </c>
      <c r="D1192" s="62">
        <v>46017.621527777781</v>
      </c>
      <c r="E1192" s="62">
        <v>46017.621527777781</v>
      </c>
      <c r="F1192" s="62">
        <v>46017.826388888891</v>
      </c>
      <c r="G1192" s="63">
        <f>F1192-E1192</f>
        <v>0.20486111110949423</v>
      </c>
      <c r="H1192" s="61" t="s">
        <v>257</v>
      </c>
      <c r="I1192" s="61"/>
      <c r="J1192" s="61" t="s">
        <v>258</v>
      </c>
      <c r="K1192" s="61" t="s">
        <v>658</v>
      </c>
      <c r="L1192" s="61" t="s">
        <v>2116</v>
      </c>
      <c r="M1192" s="61" t="s">
        <v>260</v>
      </c>
      <c r="N1192" s="61" t="s">
        <v>357</v>
      </c>
      <c r="O1192" s="61" t="s">
        <v>632</v>
      </c>
      <c r="P1192" s="61" t="str">
        <f t="shared" si="63"/>
        <v>BC Caiaponia2.3215KTL-H3(MBUS-15)46017,621527777846017,621527777846017,8263888889</v>
      </c>
      <c r="Q1192" s="61" t="str">
        <f t="shared" si="64"/>
        <v>DAURDE</v>
      </c>
    </row>
    <row r="1193" spans="1:17" hidden="1">
      <c r="A1193" s="45"/>
      <c r="B1193" s="61" t="s">
        <v>584</v>
      </c>
      <c r="C1193" s="61" t="s">
        <v>379</v>
      </c>
      <c r="D1193" s="62">
        <v>46017.621527777781</v>
      </c>
      <c r="E1193" s="62">
        <v>46017.621527777781</v>
      </c>
      <c r="F1193" s="62">
        <v>46017.826388888891</v>
      </c>
      <c r="G1193" s="63">
        <f>F1193-E1193</f>
        <v>0.20486111110949423</v>
      </c>
      <c r="H1193" s="61" t="s">
        <v>257</v>
      </c>
      <c r="I1193" s="61"/>
      <c r="J1193" s="61" t="s">
        <v>258</v>
      </c>
      <c r="K1193" s="61" t="s">
        <v>658</v>
      </c>
      <c r="L1193" s="61" t="s">
        <v>2116</v>
      </c>
      <c r="M1193" s="61" t="s">
        <v>260</v>
      </c>
      <c r="N1193" s="61" t="s">
        <v>357</v>
      </c>
      <c r="O1193" s="61" t="s">
        <v>632</v>
      </c>
      <c r="P1193" s="61" t="str">
        <f t="shared" si="63"/>
        <v>BC Caiaponia2.3215KTL-H3(MBUS-16)46017,621527777846017,621527777846017,8263888889</v>
      </c>
      <c r="Q1193" s="61" t="str">
        <f t="shared" si="64"/>
        <v>DAURDE</v>
      </c>
    </row>
    <row r="1194" spans="1:17" hidden="1">
      <c r="B1194" s="1" t="s">
        <v>375</v>
      </c>
      <c r="C1194" s="1" t="s">
        <v>247</v>
      </c>
      <c r="D1194" s="52">
        <v>46009.024305555555</v>
      </c>
      <c r="E1194" s="52">
        <v>46009.024305555555</v>
      </c>
      <c r="F1194" s="52">
        <v>46009.458333333336</v>
      </c>
      <c r="G1194" s="63">
        <f>F1194-E1194</f>
        <v>0.43402777778101154</v>
      </c>
      <c r="H1194" s="1" t="s">
        <v>257</v>
      </c>
      <c r="J1194" s="1" t="s">
        <v>258</v>
      </c>
      <c r="K1194" s="1" t="str">
        <f>_xlfn.XLOOKUP(J1194,REF!$D$2:$D$12,REF!$E$2:$E$12)</f>
        <v>Rede</v>
      </c>
      <c r="L1194" s="1" t="s">
        <v>2215</v>
      </c>
      <c r="M1194" s="1" t="s">
        <v>260</v>
      </c>
      <c r="N1194" s="1" t="s">
        <v>261</v>
      </c>
      <c r="O1194" s="1" t="s">
        <v>632</v>
      </c>
      <c r="P1194" s="1" t="str">
        <f t="shared" si="63"/>
        <v>BC Camarao1.1Inverter(MBUS-1)46009,024305555646009,024305555646009,4583333333</v>
      </c>
      <c r="Q1194" s="1" t="str">
        <f t="shared" si="64"/>
        <v>DAURDE</v>
      </c>
    </row>
    <row r="1195" spans="1:17" hidden="1">
      <c r="B1195" s="1" t="s">
        <v>375</v>
      </c>
      <c r="C1195" s="1" t="s">
        <v>377</v>
      </c>
      <c r="D1195" s="52">
        <v>46009.024305555555</v>
      </c>
      <c r="E1195" s="52">
        <v>46009.024305555555</v>
      </c>
      <c r="F1195" s="52">
        <v>46009.458333333336</v>
      </c>
      <c r="G1195" s="63">
        <f>F1195-E1195</f>
        <v>0.43402777778101154</v>
      </c>
      <c r="H1195" s="1" t="s">
        <v>257</v>
      </c>
      <c r="J1195" s="1" t="s">
        <v>258</v>
      </c>
      <c r="K1195" s="1" t="str">
        <f>_xlfn.XLOOKUP(J1195,REF!$D$2:$D$12,REF!$E$2:$E$12)</f>
        <v>Rede</v>
      </c>
      <c r="L1195" s="1" t="s">
        <v>2215</v>
      </c>
      <c r="M1195" s="1" t="s">
        <v>260</v>
      </c>
      <c r="N1195" s="1" t="s">
        <v>261</v>
      </c>
      <c r="O1195" s="1" t="s">
        <v>632</v>
      </c>
      <c r="P1195" s="1" t="str">
        <f t="shared" si="63"/>
        <v>BC Camarao1.1215KTL-H3(MBUS-12)46009,024305555646009,024305555646009,4583333333</v>
      </c>
      <c r="Q1195" s="1" t="str">
        <f t="shared" si="64"/>
        <v>DAURDE</v>
      </c>
    </row>
    <row r="1196" spans="1:17" hidden="1">
      <c r="B1196" s="1" t="s">
        <v>375</v>
      </c>
      <c r="C1196" s="1" t="s">
        <v>378</v>
      </c>
      <c r="D1196" s="52">
        <v>46009.024305555555</v>
      </c>
      <c r="E1196" s="52">
        <v>46009.024305555555</v>
      </c>
      <c r="F1196" s="52">
        <v>46009.458333333336</v>
      </c>
      <c r="G1196" s="63">
        <f>F1196-E1196</f>
        <v>0.43402777778101154</v>
      </c>
      <c r="H1196" s="1" t="s">
        <v>257</v>
      </c>
      <c r="J1196" s="1" t="s">
        <v>258</v>
      </c>
      <c r="K1196" s="1" t="str">
        <f>_xlfn.XLOOKUP(J1196,REF!$D$2:$D$12,REF!$E$2:$E$12)</f>
        <v>Rede</v>
      </c>
      <c r="L1196" s="1" t="s">
        <v>2215</v>
      </c>
      <c r="M1196" s="1" t="s">
        <v>260</v>
      </c>
      <c r="N1196" s="1" t="s">
        <v>261</v>
      </c>
      <c r="O1196" s="1" t="s">
        <v>632</v>
      </c>
      <c r="P1196" s="1" t="str">
        <f t="shared" si="63"/>
        <v>BC Camarao1.1215KTL-H3(MBUS-13)46009,024305555646009,024305555646009,4583333333</v>
      </c>
      <c r="Q1196" s="1" t="str">
        <f t="shared" si="64"/>
        <v>DAURDE</v>
      </c>
    </row>
    <row r="1197" spans="1:17" hidden="1">
      <c r="B1197" s="1" t="s">
        <v>375</v>
      </c>
      <c r="C1197" s="1" t="s">
        <v>379</v>
      </c>
      <c r="D1197" s="52">
        <v>46009.024305555555</v>
      </c>
      <c r="E1197" s="52">
        <v>46009.024305555555</v>
      </c>
      <c r="F1197" s="52">
        <v>46009.458333333336</v>
      </c>
      <c r="G1197" s="63">
        <f>F1197-E1197</f>
        <v>0.43402777778101154</v>
      </c>
      <c r="H1197" s="1" t="s">
        <v>257</v>
      </c>
      <c r="J1197" s="1" t="s">
        <v>258</v>
      </c>
      <c r="K1197" s="1" t="str">
        <f>_xlfn.XLOOKUP(J1197,REF!$D$2:$D$12,REF!$E$2:$E$12)</f>
        <v>Rede</v>
      </c>
      <c r="L1197" s="1" t="s">
        <v>2215</v>
      </c>
      <c r="M1197" s="1" t="s">
        <v>260</v>
      </c>
      <c r="N1197" s="1" t="s">
        <v>261</v>
      </c>
      <c r="O1197" s="1" t="s">
        <v>632</v>
      </c>
      <c r="P1197" s="1" t="str">
        <f t="shared" si="63"/>
        <v>BC Camarao1.1215KTL-H3(MBUS-16)46009,024305555646009,024305555646009,4583333333</v>
      </c>
      <c r="Q1197" s="1" t="str">
        <f t="shared" si="64"/>
        <v>DAURDE</v>
      </c>
    </row>
    <row r="1198" spans="1:17" hidden="1">
      <c r="B1198" s="1" t="s">
        <v>375</v>
      </c>
      <c r="C1198" s="1" t="s">
        <v>380</v>
      </c>
      <c r="D1198" s="52">
        <v>46009.024305555555</v>
      </c>
      <c r="E1198" s="52">
        <v>46009.024305555555</v>
      </c>
      <c r="F1198" s="52">
        <v>46009.458333333336</v>
      </c>
      <c r="G1198" s="63">
        <f>F1198-E1198</f>
        <v>0.43402777778101154</v>
      </c>
      <c r="H1198" s="1" t="s">
        <v>257</v>
      </c>
      <c r="J1198" s="1" t="s">
        <v>258</v>
      </c>
      <c r="K1198" s="1" t="str">
        <f>_xlfn.XLOOKUP(J1198,REF!$D$2:$D$12,REF!$E$2:$E$12)</f>
        <v>Rede</v>
      </c>
      <c r="L1198" s="1" t="s">
        <v>2215</v>
      </c>
      <c r="M1198" s="1" t="s">
        <v>260</v>
      </c>
      <c r="N1198" s="1" t="s">
        <v>261</v>
      </c>
      <c r="O1198" s="1" t="s">
        <v>632</v>
      </c>
      <c r="P1198" s="1" t="str">
        <f t="shared" si="63"/>
        <v>BC Camarao1.1215KTL-H3(MBUS-15)46009,024305555646009,024305555646009,4583333333</v>
      </c>
      <c r="Q1198" s="1" t="str">
        <f t="shared" si="64"/>
        <v>DAURDE</v>
      </c>
    </row>
    <row r="1199" spans="1:17" hidden="1">
      <c r="A1199" s="45"/>
      <c r="B1199" s="61" t="s">
        <v>375</v>
      </c>
      <c r="C1199" s="61" t="s">
        <v>247</v>
      </c>
      <c r="D1199" s="62">
        <v>46018.236111111109</v>
      </c>
      <c r="E1199" s="62">
        <v>46018.236111111109</v>
      </c>
      <c r="F1199" s="62">
        <v>46018.315972222219</v>
      </c>
      <c r="G1199" s="63">
        <f>F1199-E1199</f>
        <v>7.9861111109494232E-2</v>
      </c>
      <c r="H1199" s="61" t="s">
        <v>257</v>
      </c>
      <c r="I1199" s="61"/>
      <c r="J1199" s="61" t="s">
        <v>230</v>
      </c>
      <c r="K1199" s="61" t="s">
        <v>230</v>
      </c>
      <c r="L1199" s="61" t="s">
        <v>2216</v>
      </c>
      <c r="M1199" s="61" t="s">
        <v>499</v>
      </c>
      <c r="N1199" s="61" t="s">
        <v>253</v>
      </c>
      <c r="O1199" s="61" t="s">
        <v>2217</v>
      </c>
      <c r="P1199" s="61" t="str">
        <f t="shared" si="63"/>
        <v>BC Camarao1.1Inverter(MBUS-1)46018,236111111146018,236111111146018,3159722222</v>
      </c>
      <c r="Q1199" s="61" t="str">
        <f t="shared" si="64"/>
        <v>DAUUFV</v>
      </c>
    </row>
    <row r="1200" spans="1:17" hidden="1">
      <c r="A1200" s="45"/>
      <c r="B1200" s="61" t="s">
        <v>375</v>
      </c>
      <c r="C1200" s="61" t="s">
        <v>377</v>
      </c>
      <c r="D1200" s="62">
        <v>46018.236111111109</v>
      </c>
      <c r="E1200" s="62">
        <v>46018.236111111109</v>
      </c>
      <c r="F1200" s="62">
        <v>46018.315972222219</v>
      </c>
      <c r="G1200" s="63">
        <f>F1200-E1200</f>
        <v>7.9861111109494232E-2</v>
      </c>
      <c r="H1200" s="61" t="s">
        <v>257</v>
      </c>
      <c r="I1200" s="61"/>
      <c r="J1200" s="61" t="s">
        <v>230</v>
      </c>
      <c r="K1200" s="61" t="s">
        <v>230</v>
      </c>
      <c r="L1200" s="61" t="s">
        <v>2216</v>
      </c>
      <c r="M1200" s="61" t="s">
        <v>499</v>
      </c>
      <c r="N1200" s="61" t="s">
        <v>253</v>
      </c>
      <c r="O1200" s="61" t="s">
        <v>2217</v>
      </c>
      <c r="P1200" s="61" t="str">
        <f t="shared" si="63"/>
        <v>BC Camarao1.1215KTL-H3(MBUS-12)46018,236111111146018,236111111146018,3159722222</v>
      </c>
      <c r="Q1200" s="61" t="str">
        <f t="shared" si="64"/>
        <v>DAUUFV</v>
      </c>
    </row>
    <row r="1201" spans="1:17" hidden="1">
      <c r="A1201" s="45"/>
      <c r="B1201" s="61" t="s">
        <v>375</v>
      </c>
      <c r="C1201" s="61" t="s">
        <v>378</v>
      </c>
      <c r="D1201" s="62">
        <v>46018.236111111109</v>
      </c>
      <c r="E1201" s="62">
        <v>46018.236111111109</v>
      </c>
      <c r="F1201" s="62">
        <v>46018.315972222219</v>
      </c>
      <c r="G1201" s="63">
        <f>F1201-E1201</f>
        <v>7.9861111109494232E-2</v>
      </c>
      <c r="H1201" s="61" t="s">
        <v>257</v>
      </c>
      <c r="I1201" s="61"/>
      <c r="J1201" s="61" t="s">
        <v>230</v>
      </c>
      <c r="K1201" s="61" t="s">
        <v>230</v>
      </c>
      <c r="L1201" s="61" t="s">
        <v>2216</v>
      </c>
      <c r="M1201" s="61" t="s">
        <v>499</v>
      </c>
      <c r="N1201" s="61" t="s">
        <v>253</v>
      </c>
      <c r="O1201" s="61" t="s">
        <v>2217</v>
      </c>
      <c r="P1201" s="61" t="str">
        <f t="shared" si="63"/>
        <v>BC Camarao1.1215KTL-H3(MBUS-13)46018,236111111146018,236111111146018,3159722222</v>
      </c>
      <c r="Q1201" s="61" t="str">
        <f t="shared" si="64"/>
        <v>DAUUFV</v>
      </c>
    </row>
    <row r="1202" spans="1:17" hidden="1">
      <c r="A1202" s="45"/>
      <c r="B1202" s="61" t="s">
        <v>375</v>
      </c>
      <c r="C1202" s="61" t="s">
        <v>379</v>
      </c>
      <c r="D1202" s="62">
        <v>46018.236111111109</v>
      </c>
      <c r="E1202" s="62">
        <v>46018.236111111109</v>
      </c>
      <c r="F1202" s="62">
        <v>46018.315972222219</v>
      </c>
      <c r="G1202" s="63">
        <f>F1202-E1202</f>
        <v>7.9861111109494232E-2</v>
      </c>
      <c r="H1202" s="61" t="s">
        <v>257</v>
      </c>
      <c r="I1202" s="61"/>
      <c r="J1202" s="61" t="s">
        <v>230</v>
      </c>
      <c r="K1202" s="61" t="s">
        <v>230</v>
      </c>
      <c r="L1202" s="61" t="s">
        <v>2216</v>
      </c>
      <c r="M1202" s="61" t="s">
        <v>499</v>
      </c>
      <c r="N1202" s="61" t="s">
        <v>253</v>
      </c>
      <c r="O1202" s="61" t="s">
        <v>2217</v>
      </c>
      <c r="P1202" s="61" t="str">
        <f t="shared" si="63"/>
        <v>BC Camarao1.1215KTL-H3(MBUS-16)46018,236111111146018,236111111146018,3159722222</v>
      </c>
      <c r="Q1202" s="61" t="str">
        <f t="shared" si="64"/>
        <v>DAUUFV</v>
      </c>
    </row>
    <row r="1203" spans="1:17" hidden="1">
      <c r="A1203" s="45"/>
      <c r="B1203" s="61" t="s">
        <v>375</v>
      </c>
      <c r="C1203" s="61" t="s">
        <v>380</v>
      </c>
      <c r="D1203" s="62">
        <v>46018.236111111109</v>
      </c>
      <c r="E1203" s="62">
        <v>46018.236111111109</v>
      </c>
      <c r="F1203" s="62">
        <v>46018.315972222219</v>
      </c>
      <c r="G1203" s="63">
        <f>F1203-E1203</f>
        <v>7.9861111109494232E-2</v>
      </c>
      <c r="H1203" s="61" t="s">
        <v>257</v>
      </c>
      <c r="I1203" s="61"/>
      <c r="J1203" s="61" t="s">
        <v>230</v>
      </c>
      <c r="K1203" s="61" t="s">
        <v>230</v>
      </c>
      <c r="L1203" s="61" t="s">
        <v>2216</v>
      </c>
      <c r="M1203" s="61" t="s">
        <v>499</v>
      </c>
      <c r="N1203" s="61" t="s">
        <v>253</v>
      </c>
      <c r="O1203" s="61" t="s">
        <v>2217</v>
      </c>
      <c r="P1203" s="61" t="str">
        <f t="shared" si="63"/>
        <v>BC Camarao1.1215KTL-H3(MBUS-15)46018,236111111146018,236111111146018,3159722222</v>
      </c>
      <c r="Q1203" s="61" t="str">
        <f t="shared" si="64"/>
        <v>DAUUFV</v>
      </c>
    </row>
    <row r="1204" spans="1:17" hidden="1">
      <c r="B1204" s="1" t="s">
        <v>2132</v>
      </c>
      <c r="C1204" s="1" t="s">
        <v>457</v>
      </c>
      <c r="D1204" s="52">
        <v>46019.364583333336</v>
      </c>
      <c r="E1204" s="52">
        <v>46019.364583333336</v>
      </c>
      <c r="F1204" s="52">
        <v>46019.527777777781</v>
      </c>
      <c r="G1204" s="64">
        <f>+F1204-E1204</f>
        <v>0.16319444444525288</v>
      </c>
      <c r="H1204" s="1" t="s">
        <v>257</v>
      </c>
      <c r="J1204" s="1" t="s">
        <v>258</v>
      </c>
      <c r="K1204" s="1" t="s">
        <v>658</v>
      </c>
      <c r="L1204" s="1" t="s">
        <v>2116</v>
      </c>
      <c r="M1204" s="1" t="s">
        <v>260</v>
      </c>
      <c r="N1204" s="1" t="s">
        <v>357</v>
      </c>
      <c r="O1204" s="1" t="s">
        <v>632</v>
      </c>
      <c r="P1204" s="1" t="str">
        <f t="shared" si="63"/>
        <v>Caiaponia ISG60KTL(COM1-001)_001_00746019,364583333346019,364583333346019,5277777778</v>
      </c>
      <c r="Q1204" s="1" t="str">
        <f t="shared" si="64"/>
        <v>DAURDE</v>
      </c>
    </row>
    <row r="1205" spans="1:17" hidden="1">
      <c r="B1205" s="1" t="s">
        <v>2132</v>
      </c>
      <c r="C1205" s="1" t="s">
        <v>459</v>
      </c>
      <c r="D1205" s="52">
        <v>46019.364583333336</v>
      </c>
      <c r="E1205" s="52">
        <v>46019.364583333336</v>
      </c>
      <c r="F1205" s="52">
        <v>46019.527777777781</v>
      </c>
      <c r="G1205" s="64">
        <f>F1205-E1205</f>
        <v>0.16319444444525288</v>
      </c>
      <c r="H1205" s="1" t="s">
        <v>257</v>
      </c>
      <c r="J1205" s="1" t="s">
        <v>258</v>
      </c>
      <c r="K1205" s="1" t="s">
        <v>658</v>
      </c>
      <c r="L1205" s="1" t="s">
        <v>2116</v>
      </c>
      <c r="M1205" s="1" t="s">
        <v>260</v>
      </c>
      <c r="N1205" s="1" t="s">
        <v>357</v>
      </c>
      <c r="O1205" s="1" t="s">
        <v>632</v>
      </c>
      <c r="P1205" s="1" t="str">
        <f t="shared" si="63"/>
        <v>Caiaponia ISG60KTL(COM1-002)_001_01046019,364583333346019,364583333346019,5277777778</v>
      </c>
      <c r="Q1205" s="1" t="str">
        <f t="shared" si="64"/>
        <v>DAURDE</v>
      </c>
    </row>
    <row r="1206" spans="1:17" hidden="1">
      <c r="B1206" s="1" t="s">
        <v>2132</v>
      </c>
      <c r="C1206" s="1" t="s">
        <v>460</v>
      </c>
      <c r="D1206" s="52">
        <v>46019.364583333336</v>
      </c>
      <c r="E1206" s="52">
        <v>46019.364583333336</v>
      </c>
      <c r="F1206" s="52">
        <v>46019.527777777781</v>
      </c>
      <c r="G1206" s="64">
        <f>F1206-E1206</f>
        <v>0.16319444444525288</v>
      </c>
      <c r="H1206" s="1" t="s">
        <v>257</v>
      </c>
      <c r="J1206" s="1" t="s">
        <v>258</v>
      </c>
      <c r="K1206" s="1" t="s">
        <v>658</v>
      </c>
      <c r="L1206" s="1" t="s">
        <v>2116</v>
      </c>
      <c r="M1206" s="1" t="s">
        <v>260</v>
      </c>
      <c r="N1206" s="1" t="s">
        <v>357</v>
      </c>
      <c r="O1206" s="1" t="s">
        <v>632</v>
      </c>
      <c r="P1206" s="1" t="str">
        <f t="shared" si="63"/>
        <v>Caiaponia ISG60KTL(COM1-003)_001_01146019,364583333346019,364583333346019,5277777778</v>
      </c>
      <c r="Q1206" s="1" t="str">
        <f t="shared" si="64"/>
        <v>DAURDE</v>
      </c>
    </row>
    <row r="1207" spans="1:17" hidden="1">
      <c r="B1207" s="1" t="s">
        <v>2132</v>
      </c>
      <c r="C1207" s="1" t="s">
        <v>461</v>
      </c>
      <c r="D1207" s="52">
        <v>46019.364583333336</v>
      </c>
      <c r="E1207" s="52">
        <v>46019.364583333336</v>
      </c>
      <c r="F1207" s="52">
        <v>46019.527777777781</v>
      </c>
      <c r="G1207" s="64">
        <f>F1207-E1207</f>
        <v>0.16319444444525288</v>
      </c>
      <c r="H1207" s="1" t="s">
        <v>257</v>
      </c>
      <c r="J1207" s="1" t="s">
        <v>258</v>
      </c>
      <c r="K1207" s="1" t="s">
        <v>658</v>
      </c>
      <c r="L1207" s="1" t="s">
        <v>2116</v>
      </c>
      <c r="M1207" s="1" t="s">
        <v>260</v>
      </c>
      <c r="N1207" s="1" t="s">
        <v>357</v>
      </c>
      <c r="O1207" s="1" t="s">
        <v>632</v>
      </c>
      <c r="P1207" s="1" t="str">
        <f t="shared" si="63"/>
        <v>Caiaponia ISG60KTL(COM1-004)_001_01446019,364583333346019,364583333346019,5277777778</v>
      </c>
      <c r="Q1207" s="1" t="str">
        <f t="shared" si="64"/>
        <v>DAURDE</v>
      </c>
    </row>
    <row r="1208" spans="1:17" hidden="1">
      <c r="B1208" s="1" t="s">
        <v>2132</v>
      </c>
      <c r="C1208" s="1" t="s">
        <v>462</v>
      </c>
      <c r="D1208" s="52">
        <v>46019.364583333336</v>
      </c>
      <c r="E1208" s="52">
        <v>46019.364583333336</v>
      </c>
      <c r="F1208" s="52">
        <v>46019.527777777781</v>
      </c>
      <c r="G1208" s="64">
        <f>F1208-E1208</f>
        <v>0.16319444444525288</v>
      </c>
      <c r="H1208" s="1" t="s">
        <v>257</v>
      </c>
      <c r="J1208" s="1" t="s">
        <v>258</v>
      </c>
      <c r="K1208" s="1" t="s">
        <v>658</v>
      </c>
      <c r="L1208" s="1" t="s">
        <v>2116</v>
      </c>
      <c r="M1208" s="1" t="s">
        <v>260</v>
      </c>
      <c r="N1208" s="1" t="s">
        <v>357</v>
      </c>
      <c r="O1208" s="1" t="s">
        <v>632</v>
      </c>
      <c r="P1208" s="1" t="str">
        <f t="shared" si="63"/>
        <v>Caiaponia ISG60KTL(COM1-005)_001_01746019,364583333346019,364583333346019,5277777778</v>
      </c>
      <c r="Q1208" s="1" t="str">
        <f t="shared" si="64"/>
        <v>DAURDE</v>
      </c>
    </row>
    <row r="1209" spans="1:17" hidden="1">
      <c r="B1209" s="1" t="s">
        <v>2132</v>
      </c>
      <c r="C1209" s="1" t="s">
        <v>463</v>
      </c>
      <c r="D1209" s="52">
        <v>46019.364583333336</v>
      </c>
      <c r="E1209" s="52">
        <v>46019.364583333336</v>
      </c>
      <c r="F1209" s="52">
        <v>46019.527777777781</v>
      </c>
      <c r="G1209" s="64">
        <f>F1209-E1209</f>
        <v>0.16319444444525288</v>
      </c>
      <c r="H1209" s="1" t="s">
        <v>257</v>
      </c>
      <c r="J1209" s="1" t="s">
        <v>258</v>
      </c>
      <c r="K1209" s="1" t="s">
        <v>658</v>
      </c>
      <c r="L1209" s="1" t="s">
        <v>2116</v>
      </c>
      <c r="M1209" s="1" t="s">
        <v>260</v>
      </c>
      <c r="N1209" s="1" t="s">
        <v>357</v>
      </c>
      <c r="O1209" s="1" t="s">
        <v>632</v>
      </c>
      <c r="P1209" s="1" t="str">
        <f t="shared" si="63"/>
        <v>Caiaponia ISG60KTL(COM1-006)_001_01646019,364583333346019,364583333346019,5277777778</v>
      </c>
      <c r="Q1209" s="1" t="str">
        <f t="shared" si="64"/>
        <v>DAURDE</v>
      </c>
    </row>
    <row r="1210" spans="1:17" hidden="1">
      <c r="B1210" s="1" t="s">
        <v>2132</v>
      </c>
      <c r="C1210" s="1" t="s">
        <v>464</v>
      </c>
      <c r="D1210" s="52">
        <v>46019.364583333336</v>
      </c>
      <c r="E1210" s="52">
        <v>46019.364583333336</v>
      </c>
      <c r="F1210" s="52">
        <v>46019.527777777781</v>
      </c>
      <c r="G1210" s="64">
        <f>F1210-E1210</f>
        <v>0.16319444444525288</v>
      </c>
      <c r="H1210" s="1" t="s">
        <v>257</v>
      </c>
      <c r="J1210" s="1" t="s">
        <v>258</v>
      </c>
      <c r="K1210" s="1" t="s">
        <v>658</v>
      </c>
      <c r="L1210" s="1" t="s">
        <v>2116</v>
      </c>
      <c r="M1210" s="1" t="s">
        <v>260</v>
      </c>
      <c r="N1210" s="1" t="s">
        <v>357</v>
      </c>
      <c r="O1210" s="1" t="s">
        <v>632</v>
      </c>
      <c r="P1210" s="1" t="str">
        <f t="shared" si="63"/>
        <v>Caiaponia ISG60KTL(COM1-007)_001_01346019,364583333346019,364583333346019,5277777778</v>
      </c>
      <c r="Q1210" s="1" t="str">
        <f t="shared" si="64"/>
        <v>DAURDE</v>
      </c>
    </row>
    <row r="1211" spans="1:17" hidden="1">
      <c r="B1211" s="1" t="s">
        <v>2132</v>
      </c>
      <c r="C1211" s="1" t="s">
        <v>465</v>
      </c>
      <c r="D1211" s="52">
        <v>46019.364583333336</v>
      </c>
      <c r="E1211" s="52">
        <v>46019.364583333336</v>
      </c>
      <c r="F1211" s="52">
        <v>46019.527777777781</v>
      </c>
      <c r="G1211" s="64">
        <f>F1211-E1211</f>
        <v>0.16319444444525288</v>
      </c>
      <c r="H1211" s="1" t="s">
        <v>257</v>
      </c>
      <c r="J1211" s="1" t="s">
        <v>258</v>
      </c>
      <c r="K1211" s="1" t="s">
        <v>658</v>
      </c>
      <c r="L1211" s="1" t="s">
        <v>2116</v>
      </c>
      <c r="M1211" s="1" t="s">
        <v>260</v>
      </c>
      <c r="N1211" s="1" t="s">
        <v>357</v>
      </c>
      <c r="O1211" s="1" t="s">
        <v>632</v>
      </c>
      <c r="P1211" s="1" t="str">
        <f t="shared" si="63"/>
        <v>Caiaponia ISG60KTL(COM1-008)_001_00146019,364583333346019,364583333346019,5277777778</v>
      </c>
      <c r="Q1211" s="1" t="str">
        <f t="shared" si="64"/>
        <v>DAURDE</v>
      </c>
    </row>
    <row r="1212" spans="1:17" hidden="1">
      <c r="B1212" s="1" t="s">
        <v>2133</v>
      </c>
      <c r="C1212" s="1" t="s">
        <v>466</v>
      </c>
      <c r="D1212" s="52">
        <v>46019.364583333336</v>
      </c>
      <c r="E1212" s="52">
        <v>46019.364583333336</v>
      </c>
      <c r="F1212" s="52">
        <v>46019.527777777781</v>
      </c>
      <c r="G1212" s="64">
        <f>F1212-E1212</f>
        <v>0.16319444444525288</v>
      </c>
      <c r="H1212" s="1" t="s">
        <v>257</v>
      </c>
      <c r="J1212" s="1" t="s">
        <v>258</v>
      </c>
      <c r="K1212" s="1" t="s">
        <v>658</v>
      </c>
      <c r="L1212" s="1" t="s">
        <v>2116</v>
      </c>
      <c r="M1212" s="1" t="s">
        <v>260</v>
      </c>
      <c r="N1212" s="1" t="s">
        <v>357</v>
      </c>
      <c r="O1212" s="1" t="s">
        <v>632</v>
      </c>
      <c r="P1212" s="1" t="str">
        <f t="shared" si="63"/>
        <v>Caiaponia IISG60KTL(COM1-009)46019,364583333346019,364583333346019,5277777778</v>
      </c>
      <c r="Q1212" s="1" t="str">
        <f t="shared" si="64"/>
        <v>DAURDE</v>
      </c>
    </row>
    <row r="1213" spans="1:17" hidden="1">
      <c r="B1213" s="1" t="s">
        <v>2133</v>
      </c>
      <c r="C1213" s="1" t="s">
        <v>467</v>
      </c>
      <c r="D1213" s="52">
        <v>46019.364583333336</v>
      </c>
      <c r="E1213" s="52">
        <v>46019.364583333336</v>
      </c>
      <c r="F1213" s="52">
        <v>46019.527777777781</v>
      </c>
      <c r="G1213" s="64">
        <f>F1213-E1213</f>
        <v>0.16319444444525288</v>
      </c>
      <c r="H1213" s="1" t="s">
        <v>257</v>
      </c>
      <c r="J1213" s="1" t="s">
        <v>258</v>
      </c>
      <c r="K1213" s="1" t="s">
        <v>658</v>
      </c>
      <c r="L1213" s="1" t="s">
        <v>2116</v>
      </c>
      <c r="M1213" s="1" t="s">
        <v>260</v>
      </c>
      <c r="N1213" s="1" t="s">
        <v>357</v>
      </c>
      <c r="O1213" s="1" t="s">
        <v>632</v>
      </c>
      <c r="P1213" s="1" t="str">
        <f t="shared" si="63"/>
        <v>Caiaponia IISG60KTL(COM1-010)46019,364583333346019,364583333346019,5277777778</v>
      </c>
      <c r="Q1213" s="1" t="str">
        <f t="shared" si="64"/>
        <v>DAURDE</v>
      </c>
    </row>
    <row r="1214" spans="1:17" hidden="1">
      <c r="B1214" s="1" t="s">
        <v>2133</v>
      </c>
      <c r="C1214" s="1" t="s">
        <v>468</v>
      </c>
      <c r="D1214" s="52">
        <v>46019.364583333336</v>
      </c>
      <c r="E1214" s="52">
        <v>46019.364583333336</v>
      </c>
      <c r="F1214" s="52">
        <v>46019.527777777781</v>
      </c>
      <c r="G1214" s="64">
        <f>F1214-E1214</f>
        <v>0.16319444444525288</v>
      </c>
      <c r="H1214" s="1" t="s">
        <v>257</v>
      </c>
      <c r="J1214" s="1" t="s">
        <v>258</v>
      </c>
      <c r="K1214" s="1" t="s">
        <v>658</v>
      </c>
      <c r="L1214" s="1" t="s">
        <v>2116</v>
      </c>
      <c r="M1214" s="1" t="s">
        <v>260</v>
      </c>
      <c r="N1214" s="1" t="s">
        <v>357</v>
      </c>
      <c r="O1214" s="1" t="s">
        <v>632</v>
      </c>
      <c r="P1214" s="1" t="str">
        <f t="shared" si="63"/>
        <v>Caiaponia IISG60KTL(COM1-011)46019,364583333346019,364583333346019,5277777778</v>
      </c>
      <c r="Q1214" s="1" t="str">
        <f t="shared" si="64"/>
        <v>DAURDE</v>
      </c>
    </row>
    <row r="1215" spans="1:17" hidden="1">
      <c r="B1215" s="1" t="s">
        <v>2133</v>
      </c>
      <c r="C1215" s="1" t="s">
        <v>469</v>
      </c>
      <c r="D1215" s="52">
        <v>46019.364583333336</v>
      </c>
      <c r="E1215" s="52">
        <v>46019.364583333336</v>
      </c>
      <c r="F1215" s="52">
        <v>46019.527777777781</v>
      </c>
      <c r="G1215" s="64">
        <f>F1215-E1215</f>
        <v>0.16319444444525288</v>
      </c>
      <c r="H1215" s="1" t="s">
        <v>257</v>
      </c>
      <c r="J1215" s="1" t="s">
        <v>258</v>
      </c>
      <c r="K1215" s="1" t="s">
        <v>658</v>
      </c>
      <c r="L1215" s="1" t="s">
        <v>2116</v>
      </c>
      <c r="M1215" s="1" t="s">
        <v>260</v>
      </c>
      <c r="N1215" s="1" t="s">
        <v>357</v>
      </c>
      <c r="O1215" s="1" t="s">
        <v>632</v>
      </c>
      <c r="P1215" s="1" t="str">
        <f t="shared" si="63"/>
        <v>Caiaponia IISG60KTL(COM1-012)46019,364583333346019,364583333346019,5277777778</v>
      </c>
      <c r="Q1215" s="1" t="str">
        <f t="shared" si="64"/>
        <v>DAURDE</v>
      </c>
    </row>
    <row r="1216" spans="1:17" hidden="1">
      <c r="B1216" s="1" t="s">
        <v>2133</v>
      </c>
      <c r="C1216" s="1" t="s">
        <v>470</v>
      </c>
      <c r="D1216" s="52">
        <v>46019.364583333336</v>
      </c>
      <c r="E1216" s="52">
        <v>46019.364583333336</v>
      </c>
      <c r="F1216" s="52">
        <v>46019.527777777781</v>
      </c>
      <c r="G1216" s="64">
        <f>F1216-E1216</f>
        <v>0.16319444444525288</v>
      </c>
      <c r="H1216" s="1" t="s">
        <v>257</v>
      </c>
      <c r="J1216" s="1" t="s">
        <v>258</v>
      </c>
      <c r="K1216" s="1" t="s">
        <v>658</v>
      </c>
      <c r="L1216" s="1" t="s">
        <v>2116</v>
      </c>
      <c r="M1216" s="1" t="s">
        <v>260</v>
      </c>
      <c r="N1216" s="1" t="s">
        <v>357</v>
      </c>
      <c r="O1216" s="1" t="s">
        <v>632</v>
      </c>
      <c r="P1216" s="1" t="str">
        <f t="shared" si="63"/>
        <v>Caiaponia IISG60KTL(COM1-013)46019,364583333346019,364583333346019,5277777778</v>
      </c>
      <c r="Q1216" s="1" t="str">
        <f t="shared" si="64"/>
        <v>DAURDE</v>
      </c>
    </row>
    <row r="1217" spans="2:17" hidden="1">
      <c r="B1217" s="1" t="s">
        <v>2133</v>
      </c>
      <c r="C1217" s="1" t="s">
        <v>471</v>
      </c>
      <c r="D1217" s="52">
        <v>46019.364583333336</v>
      </c>
      <c r="E1217" s="52">
        <v>46019.364583333336</v>
      </c>
      <c r="F1217" s="52">
        <v>46019.527777777781</v>
      </c>
      <c r="G1217" s="64">
        <f>F1217-E1217</f>
        <v>0.16319444444525288</v>
      </c>
      <c r="H1217" s="1" t="s">
        <v>257</v>
      </c>
      <c r="J1217" s="1" t="s">
        <v>258</v>
      </c>
      <c r="K1217" s="1" t="s">
        <v>658</v>
      </c>
      <c r="L1217" s="1" t="s">
        <v>2116</v>
      </c>
      <c r="M1217" s="1" t="s">
        <v>260</v>
      </c>
      <c r="N1217" s="1" t="s">
        <v>357</v>
      </c>
      <c r="O1217" s="1" t="s">
        <v>632</v>
      </c>
      <c r="P1217" s="1" t="str">
        <f t="shared" si="63"/>
        <v>Caiaponia IISG60KTL(COM1-014)46019,364583333346019,364583333346019,5277777778</v>
      </c>
      <c r="Q1217" s="1" t="str">
        <f t="shared" si="64"/>
        <v>DAURDE</v>
      </c>
    </row>
    <row r="1218" spans="2:17" hidden="1">
      <c r="B1218" s="1" t="s">
        <v>2133</v>
      </c>
      <c r="C1218" s="1" t="s">
        <v>472</v>
      </c>
      <c r="D1218" s="52">
        <v>46019.364583333336</v>
      </c>
      <c r="E1218" s="52">
        <v>46019.364583333336</v>
      </c>
      <c r="F1218" s="52">
        <v>46019.527777777781</v>
      </c>
      <c r="G1218" s="64">
        <f>F1218-E1218</f>
        <v>0.16319444444525288</v>
      </c>
      <c r="H1218" s="1" t="s">
        <v>257</v>
      </c>
      <c r="J1218" s="1" t="s">
        <v>258</v>
      </c>
      <c r="K1218" s="1" t="s">
        <v>658</v>
      </c>
      <c r="L1218" s="1" t="s">
        <v>2116</v>
      </c>
      <c r="M1218" s="1" t="s">
        <v>260</v>
      </c>
      <c r="N1218" s="1" t="s">
        <v>357</v>
      </c>
      <c r="O1218" s="1" t="s">
        <v>632</v>
      </c>
      <c r="P1218" s="1" t="str">
        <f t="shared" si="63"/>
        <v>Caiaponia IISG60KTL(COM1-015)46019,364583333346019,364583333346019,5277777778</v>
      </c>
      <c r="Q1218" s="1" t="str">
        <f t="shared" si="64"/>
        <v>DAURDE</v>
      </c>
    </row>
    <row r="1219" spans="2:17" hidden="1">
      <c r="B1219" s="1" t="s">
        <v>2146</v>
      </c>
      <c r="C1219" s="1" t="s">
        <v>473</v>
      </c>
      <c r="D1219" s="52">
        <v>46019.364583333336</v>
      </c>
      <c r="E1219" s="52">
        <v>46019.364583333336</v>
      </c>
      <c r="F1219" s="52">
        <v>46019.527777777781</v>
      </c>
      <c r="G1219" s="64">
        <f>F1219-E1219</f>
        <v>0.16319444444525288</v>
      </c>
      <c r="H1219" s="1" t="s">
        <v>257</v>
      </c>
      <c r="J1219" s="1" t="s">
        <v>258</v>
      </c>
      <c r="K1219" s="1" t="s">
        <v>658</v>
      </c>
      <c r="L1219" s="1" t="s">
        <v>2116</v>
      </c>
      <c r="M1219" s="1" t="s">
        <v>260</v>
      </c>
      <c r="N1219" s="1" t="s">
        <v>357</v>
      </c>
      <c r="O1219" s="1" t="s">
        <v>632</v>
      </c>
      <c r="P1219" s="1" t="str">
        <f t="shared" si="63"/>
        <v>Caiaponia IIISG60KTL(COM3-016)_001_00946019,364583333346019,364583333346019,5277777778</v>
      </c>
      <c r="Q1219" s="1" t="str">
        <f t="shared" si="64"/>
        <v>DAURDE</v>
      </c>
    </row>
    <row r="1220" spans="2:17" hidden="1">
      <c r="B1220" s="1" t="s">
        <v>2146</v>
      </c>
      <c r="C1220" s="1" t="s">
        <v>474</v>
      </c>
      <c r="D1220" s="52">
        <v>46019.364583333336</v>
      </c>
      <c r="E1220" s="52">
        <v>46019.364583333336</v>
      </c>
      <c r="F1220" s="52">
        <v>46019.527777777781</v>
      </c>
      <c r="G1220" s="64">
        <f>F1220-E1220</f>
        <v>0.16319444444525288</v>
      </c>
      <c r="H1220" s="1" t="s">
        <v>257</v>
      </c>
      <c r="J1220" s="1" t="s">
        <v>258</v>
      </c>
      <c r="K1220" s="1" t="s">
        <v>658</v>
      </c>
      <c r="L1220" s="1" t="s">
        <v>2116</v>
      </c>
      <c r="M1220" s="1" t="s">
        <v>260</v>
      </c>
      <c r="N1220" s="1" t="s">
        <v>357</v>
      </c>
      <c r="O1220" s="1" t="s">
        <v>632</v>
      </c>
      <c r="P1220" s="1" t="str">
        <f t="shared" si="63"/>
        <v>Caiaponia IIISG60KTL(COM3-017)_001_01246019,364583333346019,364583333346019,5277777778</v>
      </c>
      <c r="Q1220" s="1" t="str">
        <f t="shared" si="64"/>
        <v>DAURDE</v>
      </c>
    </row>
    <row r="1221" spans="2:17" hidden="1">
      <c r="B1221" s="1" t="s">
        <v>2146</v>
      </c>
      <c r="C1221" s="1" t="s">
        <v>475</v>
      </c>
      <c r="D1221" s="52">
        <v>46019.364583333336</v>
      </c>
      <c r="E1221" s="52">
        <v>46019.364583333336</v>
      </c>
      <c r="F1221" s="52">
        <v>46019.527777777781</v>
      </c>
      <c r="G1221" s="64">
        <f>F1221-E1221</f>
        <v>0.16319444444525288</v>
      </c>
      <c r="H1221" s="1" t="s">
        <v>257</v>
      </c>
      <c r="J1221" s="1" t="s">
        <v>258</v>
      </c>
      <c r="K1221" s="1" t="s">
        <v>658</v>
      </c>
      <c r="L1221" s="1" t="s">
        <v>2116</v>
      </c>
      <c r="M1221" s="1" t="s">
        <v>260</v>
      </c>
      <c r="N1221" s="1" t="s">
        <v>357</v>
      </c>
      <c r="O1221" s="1" t="s">
        <v>632</v>
      </c>
      <c r="P1221" s="1" t="str">
        <f t="shared" si="63"/>
        <v>Caiaponia IIISG60KTL(COM3-018)_001_00846019,364583333346019,364583333346019,5277777778</v>
      </c>
      <c r="Q1221" s="1" t="str">
        <f t="shared" si="64"/>
        <v>DAURDE</v>
      </c>
    </row>
    <row r="1222" spans="2:17" hidden="1">
      <c r="B1222" s="1" t="s">
        <v>2146</v>
      </c>
      <c r="C1222" s="1" t="s">
        <v>476</v>
      </c>
      <c r="D1222" s="52">
        <v>46019.364583333336</v>
      </c>
      <c r="E1222" s="52">
        <v>46019.364583333336</v>
      </c>
      <c r="F1222" s="52">
        <v>46019.527777777781</v>
      </c>
      <c r="G1222" s="64">
        <f>F1222-E1222</f>
        <v>0.16319444444525288</v>
      </c>
      <c r="H1222" s="1" t="s">
        <v>257</v>
      </c>
      <c r="J1222" s="1" t="s">
        <v>258</v>
      </c>
      <c r="K1222" s="1" t="s">
        <v>658</v>
      </c>
      <c r="L1222" s="1" t="s">
        <v>2116</v>
      </c>
      <c r="M1222" s="1" t="s">
        <v>260</v>
      </c>
      <c r="N1222" s="1" t="s">
        <v>357</v>
      </c>
      <c r="O1222" s="1" t="s">
        <v>632</v>
      </c>
      <c r="P1222" s="1" t="str">
        <f t="shared" si="63"/>
        <v>Caiaponia IIISG60KTL(COM3-019)_001_01946019,364583333346019,364583333346019,5277777778</v>
      </c>
      <c r="Q1222" s="1" t="str">
        <f t="shared" si="64"/>
        <v>DAURDE</v>
      </c>
    </row>
    <row r="1223" spans="2:17" hidden="1">
      <c r="B1223" s="1" t="s">
        <v>2146</v>
      </c>
      <c r="C1223" s="1" t="s">
        <v>477</v>
      </c>
      <c r="D1223" s="52">
        <v>46019.364583333336</v>
      </c>
      <c r="E1223" s="52">
        <v>46019.364583333336</v>
      </c>
      <c r="F1223" s="52">
        <v>46019.527777777781</v>
      </c>
      <c r="G1223" s="64">
        <f>F1223-E1223</f>
        <v>0.16319444444525288</v>
      </c>
      <c r="H1223" s="1" t="s">
        <v>257</v>
      </c>
      <c r="J1223" s="1" t="s">
        <v>258</v>
      </c>
      <c r="K1223" s="1" t="s">
        <v>658</v>
      </c>
      <c r="L1223" s="1" t="s">
        <v>2116</v>
      </c>
      <c r="M1223" s="1" t="s">
        <v>260</v>
      </c>
      <c r="N1223" s="1" t="s">
        <v>357</v>
      </c>
      <c r="O1223" s="1" t="s">
        <v>632</v>
      </c>
      <c r="P1223" s="1" t="str">
        <f t="shared" si="63"/>
        <v>Caiaponia IIISG60KTL(COM3-020)_001_02046019,364583333346019,364583333346019,5277777778</v>
      </c>
      <c r="Q1223" s="1" t="str">
        <f t="shared" si="64"/>
        <v>DAURDE</v>
      </c>
    </row>
    <row r="1224" spans="2:17" hidden="1">
      <c r="B1224" s="1" t="s">
        <v>2147</v>
      </c>
      <c r="C1224" s="1" t="s">
        <v>478</v>
      </c>
      <c r="D1224" s="52">
        <v>46019.364583333336</v>
      </c>
      <c r="E1224" s="52">
        <v>46019.364583333336</v>
      </c>
      <c r="F1224" s="52">
        <v>46019.527777777781</v>
      </c>
      <c r="G1224" s="64">
        <f>F1224-E1224</f>
        <v>0.16319444444525288</v>
      </c>
      <c r="H1224" s="1" t="s">
        <v>257</v>
      </c>
      <c r="J1224" s="1" t="s">
        <v>258</v>
      </c>
      <c r="K1224" s="1" t="s">
        <v>658</v>
      </c>
      <c r="L1224" s="1" t="s">
        <v>2116</v>
      </c>
      <c r="M1224" s="1" t="s">
        <v>260</v>
      </c>
      <c r="N1224" s="1" t="s">
        <v>357</v>
      </c>
      <c r="O1224" s="1" t="s">
        <v>632</v>
      </c>
      <c r="P1224" s="1" t="str">
        <f t="shared" si="63"/>
        <v>Caiaponia IVSG60KTL(COM2-026)46019,364583333346019,364583333346019,5277777778</v>
      </c>
      <c r="Q1224" s="1" t="str">
        <f t="shared" si="64"/>
        <v>DAURDE</v>
      </c>
    </row>
    <row r="1225" spans="2:17" hidden="1">
      <c r="B1225" s="1" t="s">
        <v>2147</v>
      </c>
      <c r="C1225" s="1" t="s">
        <v>479</v>
      </c>
      <c r="D1225" s="52">
        <v>46019.364583333336</v>
      </c>
      <c r="E1225" s="52">
        <v>46019.364583333336</v>
      </c>
      <c r="F1225" s="52">
        <v>46019.527777777781</v>
      </c>
      <c r="G1225" s="64">
        <f>F1225-E1225</f>
        <v>0.16319444444525288</v>
      </c>
      <c r="H1225" s="1" t="s">
        <v>257</v>
      </c>
      <c r="J1225" s="1" t="s">
        <v>258</v>
      </c>
      <c r="K1225" s="1" t="s">
        <v>658</v>
      </c>
      <c r="L1225" s="1" t="s">
        <v>2116</v>
      </c>
      <c r="M1225" s="1" t="s">
        <v>260</v>
      </c>
      <c r="N1225" s="1" t="s">
        <v>357</v>
      </c>
      <c r="O1225" s="1" t="s">
        <v>632</v>
      </c>
      <c r="P1225" s="1" t="str">
        <f t="shared" si="63"/>
        <v>Caiaponia IVSG60KTL(COM2-027)46019,364583333346019,364583333346019,5277777778</v>
      </c>
      <c r="Q1225" s="1" t="str">
        <f t="shared" si="64"/>
        <v>DAURDE</v>
      </c>
    </row>
    <row r="1226" spans="2:17" hidden="1">
      <c r="B1226" s="1" t="s">
        <v>2147</v>
      </c>
      <c r="C1226" s="1" t="s">
        <v>480</v>
      </c>
      <c r="D1226" s="52">
        <v>46019.364583333336</v>
      </c>
      <c r="E1226" s="52">
        <v>46019.364583333336</v>
      </c>
      <c r="F1226" s="52">
        <v>46019.527777777781</v>
      </c>
      <c r="G1226" s="64">
        <f>F1226-E1226</f>
        <v>0.16319444444525288</v>
      </c>
      <c r="H1226" s="1" t="s">
        <v>257</v>
      </c>
      <c r="J1226" s="1" t="s">
        <v>258</v>
      </c>
      <c r="K1226" s="1" t="s">
        <v>658</v>
      </c>
      <c r="L1226" s="1" t="s">
        <v>2116</v>
      </c>
      <c r="M1226" s="1" t="s">
        <v>260</v>
      </c>
      <c r="N1226" s="1" t="s">
        <v>357</v>
      </c>
      <c r="O1226" s="1" t="s">
        <v>632</v>
      </c>
      <c r="P1226" s="1" t="str">
        <f t="shared" si="63"/>
        <v>Caiaponia IVSG60KTL(COM2-028)46019,364583333346019,364583333346019,5277777778</v>
      </c>
      <c r="Q1226" s="1" t="str">
        <f t="shared" si="64"/>
        <v>DAURDE</v>
      </c>
    </row>
    <row r="1227" spans="2:17" hidden="1">
      <c r="B1227" s="1" t="s">
        <v>2147</v>
      </c>
      <c r="C1227" s="1" t="s">
        <v>481</v>
      </c>
      <c r="D1227" s="52">
        <v>46019.364583333336</v>
      </c>
      <c r="E1227" s="52">
        <v>46019.364583333336</v>
      </c>
      <c r="F1227" s="52">
        <v>46019.527777777781</v>
      </c>
      <c r="G1227" s="64">
        <f>F1227-E1227</f>
        <v>0.16319444444525288</v>
      </c>
      <c r="H1227" s="1" t="s">
        <v>257</v>
      </c>
      <c r="J1227" s="1" t="s">
        <v>258</v>
      </c>
      <c r="K1227" s="1" t="s">
        <v>658</v>
      </c>
      <c r="L1227" s="1" t="s">
        <v>2116</v>
      </c>
      <c r="M1227" s="1" t="s">
        <v>260</v>
      </c>
      <c r="N1227" s="1" t="s">
        <v>357</v>
      </c>
      <c r="O1227" s="1" t="s">
        <v>632</v>
      </c>
      <c r="P1227" s="1" t="str">
        <f t="shared" si="63"/>
        <v>Caiaponia IVSG60KTL(COM2-029)46019,364583333346019,364583333346019,5277777778</v>
      </c>
      <c r="Q1227" s="1" t="str">
        <f t="shared" si="64"/>
        <v>DAURDE</v>
      </c>
    </row>
    <row r="1228" spans="2:17" hidden="1">
      <c r="B1228" s="1" t="s">
        <v>2148</v>
      </c>
      <c r="C1228" s="1" t="s">
        <v>482</v>
      </c>
      <c r="D1228" s="52">
        <v>46019.364583333336</v>
      </c>
      <c r="E1228" s="52">
        <v>46019.364583333336</v>
      </c>
      <c r="F1228" s="52">
        <v>46019.527777777781</v>
      </c>
      <c r="G1228" s="64">
        <f>F1228-E1228</f>
        <v>0.16319444444525288</v>
      </c>
      <c r="H1228" s="1" t="s">
        <v>257</v>
      </c>
      <c r="J1228" s="1" t="s">
        <v>258</v>
      </c>
      <c r="K1228" s="1" t="s">
        <v>658</v>
      </c>
      <c r="L1228" s="1" t="s">
        <v>2116</v>
      </c>
      <c r="M1228" s="1" t="s">
        <v>260</v>
      </c>
      <c r="N1228" s="1" t="s">
        <v>357</v>
      </c>
      <c r="O1228" s="1" t="s">
        <v>632</v>
      </c>
      <c r="P1228" s="1" t="str">
        <f t="shared" si="63"/>
        <v>Caiaponia VSG50CX(COM1-021)46019,364583333346019,364583333346019,5277777778</v>
      </c>
      <c r="Q1228" s="1" t="str">
        <f t="shared" si="64"/>
        <v>DAURDE</v>
      </c>
    </row>
    <row r="1229" spans="2:17" hidden="1">
      <c r="B1229" s="1" t="s">
        <v>2148</v>
      </c>
      <c r="C1229" s="1" t="s">
        <v>483</v>
      </c>
      <c r="D1229" s="52">
        <v>46019.364583333336</v>
      </c>
      <c r="E1229" s="52">
        <v>46019.364583333336</v>
      </c>
      <c r="F1229" s="52">
        <v>46019.527777777781</v>
      </c>
      <c r="G1229" s="64">
        <f>F1229-E1229</f>
        <v>0.16319444444525288</v>
      </c>
      <c r="H1229" s="1" t="s">
        <v>257</v>
      </c>
      <c r="J1229" s="1" t="s">
        <v>258</v>
      </c>
      <c r="K1229" s="1" t="s">
        <v>658</v>
      </c>
      <c r="L1229" s="1" t="s">
        <v>2116</v>
      </c>
      <c r="M1229" s="1" t="s">
        <v>260</v>
      </c>
      <c r="N1229" s="1" t="s">
        <v>357</v>
      </c>
      <c r="O1229" s="1" t="s">
        <v>632</v>
      </c>
      <c r="P1229" s="1" t="str">
        <f t="shared" si="63"/>
        <v>Caiaponia VSG50CX(COM1-022)46019,364583333346019,364583333346019,5277777778</v>
      </c>
      <c r="Q1229" s="1" t="str">
        <f t="shared" si="64"/>
        <v>DAURDE</v>
      </c>
    </row>
    <row r="1230" spans="2:17" hidden="1">
      <c r="B1230" s="1" t="s">
        <v>2148</v>
      </c>
      <c r="C1230" s="1" t="s">
        <v>484</v>
      </c>
      <c r="D1230" s="52">
        <v>46019.364583333336</v>
      </c>
      <c r="E1230" s="52">
        <v>46019.364583333336</v>
      </c>
      <c r="F1230" s="52">
        <v>46019.527777777781</v>
      </c>
      <c r="G1230" s="64">
        <f>F1230-E1230</f>
        <v>0.16319444444525288</v>
      </c>
      <c r="H1230" s="1" t="s">
        <v>257</v>
      </c>
      <c r="J1230" s="1" t="s">
        <v>258</v>
      </c>
      <c r="K1230" s="1" t="s">
        <v>658</v>
      </c>
      <c r="L1230" s="1" t="s">
        <v>2116</v>
      </c>
      <c r="M1230" s="1" t="s">
        <v>260</v>
      </c>
      <c r="N1230" s="1" t="s">
        <v>357</v>
      </c>
      <c r="O1230" s="1" t="s">
        <v>632</v>
      </c>
      <c r="P1230" s="1" t="str">
        <f t="shared" si="63"/>
        <v>Caiaponia VSG50CX(COM1-023)46019,364583333346019,364583333346019,5277777778</v>
      </c>
      <c r="Q1230" s="1" t="str">
        <f t="shared" si="64"/>
        <v>DAURDE</v>
      </c>
    </row>
    <row r="1231" spans="2:17" hidden="1">
      <c r="B1231" s="1" t="s">
        <v>2148</v>
      </c>
      <c r="C1231" s="1" t="s">
        <v>485</v>
      </c>
      <c r="D1231" s="52">
        <v>46019.364583333336</v>
      </c>
      <c r="E1231" s="52">
        <v>46019.364583333336</v>
      </c>
      <c r="F1231" s="52">
        <v>46019.527777777781</v>
      </c>
      <c r="G1231" s="64">
        <f>F1231-E1231</f>
        <v>0.16319444444525288</v>
      </c>
      <c r="H1231" s="1" t="s">
        <v>257</v>
      </c>
      <c r="J1231" s="1" t="s">
        <v>258</v>
      </c>
      <c r="K1231" s="1" t="s">
        <v>658</v>
      </c>
      <c r="L1231" s="1" t="s">
        <v>2116</v>
      </c>
      <c r="M1231" s="1" t="s">
        <v>260</v>
      </c>
      <c r="N1231" s="1" t="s">
        <v>357</v>
      </c>
      <c r="O1231" s="1" t="s">
        <v>632</v>
      </c>
      <c r="P1231" s="1" t="str">
        <f t="shared" si="63"/>
        <v>Caiaponia VSG50CX(COM1-024)46019,364583333346019,364583333346019,5277777778</v>
      </c>
      <c r="Q1231" s="1" t="str">
        <f t="shared" si="64"/>
        <v>DAURDE</v>
      </c>
    </row>
    <row r="1232" spans="2:17" hidden="1">
      <c r="B1232" s="1" t="s">
        <v>2148</v>
      </c>
      <c r="C1232" s="1" t="s">
        <v>486</v>
      </c>
      <c r="D1232" s="52">
        <v>46019.364583333336</v>
      </c>
      <c r="E1232" s="52">
        <v>46019.364583333336</v>
      </c>
      <c r="F1232" s="52">
        <v>46019.527777777781</v>
      </c>
      <c r="G1232" s="64">
        <f>F1232-E1232</f>
        <v>0.16319444444525288</v>
      </c>
      <c r="H1232" s="1" t="s">
        <v>257</v>
      </c>
      <c r="J1232" s="1" t="s">
        <v>258</v>
      </c>
      <c r="K1232" s="1" t="s">
        <v>658</v>
      </c>
      <c r="L1232" s="1" t="s">
        <v>2116</v>
      </c>
      <c r="M1232" s="1" t="s">
        <v>260</v>
      </c>
      <c r="N1232" s="1" t="s">
        <v>357</v>
      </c>
      <c r="O1232" s="1" t="s">
        <v>632</v>
      </c>
      <c r="P1232" s="1" t="str">
        <f t="shared" si="63"/>
        <v>Caiaponia VSG50CX(COM1-025)46019,364583333346019,364583333346019,5277777778</v>
      </c>
      <c r="Q1232" s="1" t="str">
        <f t="shared" si="64"/>
        <v>DAURDE</v>
      </c>
    </row>
    <row r="1233" spans="1:17" hidden="1">
      <c r="B1233" s="1" t="s">
        <v>2149</v>
      </c>
      <c r="C1233" s="1" t="s">
        <v>382</v>
      </c>
      <c r="D1233" s="52">
        <v>46019.364583333336</v>
      </c>
      <c r="E1233" s="52">
        <v>46019.364583333336</v>
      </c>
      <c r="F1233" s="52">
        <v>46019.527777777781</v>
      </c>
      <c r="G1233" s="64">
        <f>F1233-E1233</f>
        <v>0.16319444444525288</v>
      </c>
      <c r="H1233" s="1" t="s">
        <v>257</v>
      </c>
      <c r="J1233" s="1" t="s">
        <v>258</v>
      </c>
      <c r="K1233" s="1" t="s">
        <v>658</v>
      </c>
      <c r="L1233" s="1" t="s">
        <v>2116</v>
      </c>
      <c r="M1233" s="1" t="s">
        <v>260</v>
      </c>
      <c r="N1233" s="1" t="s">
        <v>357</v>
      </c>
      <c r="O1233" s="1" t="s">
        <v>632</v>
      </c>
      <c r="P1233" s="1" t="str">
        <f t="shared" si="63"/>
        <v>UFV CAIAPONIA II - UC 1215KTL-H3(MBUS-14)46019,364583333346019,364583333346019,5277777778</v>
      </c>
      <c r="Q1233" s="1" t="str">
        <f t="shared" si="64"/>
        <v>DAURDE</v>
      </c>
    </row>
    <row r="1234" spans="1:17" hidden="1">
      <c r="B1234" s="1" t="s">
        <v>2149</v>
      </c>
      <c r="C1234" s="1" t="s">
        <v>378</v>
      </c>
      <c r="D1234" s="52">
        <v>46019.364583333336</v>
      </c>
      <c r="E1234" s="52">
        <v>46019.364583333336</v>
      </c>
      <c r="F1234" s="52">
        <v>46019.527777777781</v>
      </c>
      <c r="G1234" s="64">
        <f>F1234-E1234</f>
        <v>0.16319444444525288</v>
      </c>
      <c r="H1234" s="1" t="s">
        <v>257</v>
      </c>
      <c r="J1234" s="1" t="s">
        <v>258</v>
      </c>
      <c r="K1234" s="1" t="s">
        <v>658</v>
      </c>
      <c r="L1234" s="1" t="s">
        <v>2116</v>
      </c>
      <c r="M1234" s="1" t="s">
        <v>260</v>
      </c>
      <c r="N1234" s="1" t="s">
        <v>357</v>
      </c>
      <c r="O1234" s="1" t="s">
        <v>632</v>
      </c>
      <c r="P1234" s="1" t="str">
        <f t="shared" si="63"/>
        <v>UFV CAIAPONIA II - UC 1215KTL-H3(MBUS-13)46019,364583333346019,364583333346019,5277777778</v>
      </c>
      <c r="Q1234" s="1" t="str">
        <f t="shared" si="64"/>
        <v>DAURDE</v>
      </c>
    </row>
    <row r="1235" spans="1:17" hidden="1">
      <c r="B1235" s="1" t="s">
        <v>2149</v>
      </c>
      <c r="C1235" s="1" t="s">
        <v>377</v>
      </c>
      <c r="D1235" s="52">
        <v>46019.364583333336</v>
      </c>
      <c r="E1235" s="52">
        <v>46019.364583333336</v>
      </c>
      <c r="F1235" s="52">
        <v>46019.527777777781</v>
      </c>
      <c r="G1235" s="64">
        <f>F1235-E1235</f>
        <v>0.16319444444525288</v>
      </c>
      <c r="H1235" s="1" t="s">
        <v>257</v>
      </c>
      <c r="J1235" s="1" t="s">
        <v>258</v>
      </c>
      <c r="K1235" s="1" t="s">
        <v>658</v>
      </c>
      <c r="L1235" s="1" t="s">
        <v>2116</v>
      </c>
      <c r="M1235" s="1" t="s">
        <v>260</v>
      </c>
      <c r="N1235" s="1" t="s">
        <v>357</v>
      </c>
      <c r="O1235" s="1" t="s">
        <v>632</v>
      </c>
      <c r="P1235" s="1" t="str">
        <f t="shared" si="63"/>
        <v>UFV CAIAPONIA II - UC 1215KTL-H3(MBUS-12)46019,364583333346019,364583333346019,5277777778</v>
      </c>
      <c r="Q1235" s="1" t="str">
        <f t="shared" si="64"/>
        <v>DAURDE</v>
      </c>
    </row>
    <row r="1236" spans="1:17" hidden="1">
      <c r="B1236" s="1" t="s">
        <v>2149</v>
      </c>
      <c r="C1236" s="1" t="s">
        <v>380</v>
      </c>
      <c r="D1236" s="52">
        <v>46019.364583333336</v>
      </c>
      <c r="E1236" s="52">
        <v>46019.364583333336</v>
      </c>
      <c r="F1236" s="52">
        <v>46019.527777777781</v>
      </c>
      <c r="G1236" s="64">
        <f>F1236-E1236</f>
        <v>0.16319444444525288</v>
      </c>
      <c r="H1236" s="1" t="s">
        <v>257</v>
      </c>
      <c r="J1236" s="1" t="s">
        <v>258</v>
      </c>
      <c r="K1236" s="1" t="s">
        <v>658</v>
      </c>
      <c r="L1236" s="1" t="s">
        <v>2116</v>
      </c>
      <c r="M1236" s="1" t="s">
        <v>260</v>
      </c>
      <c r="N1236" s="1" t="s">
        <v>357</v>
      </c>
      <c r="O1236" s="1" t="s">
        <v>632</v>
      </c>
      <c r="P1236" s="1" t="str">
        <f t="shared" si="63"/>
        <v>UFV CAIAPONIA II - UC 1215KTL-H3(MBUS-15)46019,364583333346019,364583333346019,5277777778</v>
      </c>
      <c r="Q1236" s="1" t="str">
        <f t="shared" si="64"/>
        <v>DAURDE</v>
      </c>
    </row>
    <row r="1237" spans="1:17" hidden="1">
      <c r="B1237" s="1" t="s">
        <v>2149</v>
      </c>
      <c r="C1237" s="1" t="s">
        <v>379</v>
      </c>
      <c r="D1237" s="52">
        <v>46019.364583333336</v>
      </c>
      <c r="E1237" s="52">
        <v>46019.364583333336</v>
      </c>
      <c r="F1237" s="52">
        <v>46019.527777777781</v>
      </c>
      <c r="G1237" s="64">
        <f>F1237-E1237</f>
        <v>0.16319444444525288</v>
      </c>
      <c r="H1237" s="1" t="s">
        <v>257</v>
      </c>
      <c r="J1237" s="1" t="s">
        <v>258</v>
      </c>
      <c r="K1237" s="1" t="s">
        <v>658</v>
      </c>
      <c r="L1237" s="1" t="s">
        <v>2116</v>
      </c>
      <c r="M1237" s="1" t="s">
        <v>260</v>
      </c>
      <c r="N1237" s="1" t="s">
        <v>357</v>
      </c>
      <c r="O1237" s="1" t="s">
        <v>632</v>
      </c>
      <c r="P1237" s="1" t="str">
        <f t="shared" si="63"/>
        <v>UFV CAIAPONIA II - UC 1215KTL-H3(MBUS-16)46019,364583333346019,364583333346019,5277777778</v>
      </c>
      <c r="Q1237" s="1" t="str">
        <f t="shared" si="64"/>
        <v>DAURDE</v>
      </c>
    </row>
    <row r="1238" spans="1:17" hidden="1">
      <c r="B1238" s="1" t="s">
        <v>2150</v>
      </c>
      <c r="C1238" s="1" t="s">
        <v>382</v>
      </c>
      <c r="D1238" s="52">
        <v>46019.364583333336</v>
      </c>
      <c r="E1238" s="52">
        <v>46019.364583333336</v>
      </c>
      <c r="F1238" s="52">
        <v>46019.527777777781</v>
      </c>
      <c r="G1238" s="64">
        <f>F1238-E1238</f>
        <v>0.16319444444525288</v>
      </c>
      <c r="H1238" s="1" t="s">
        <v>257</v>
      </c>
      <c r="J1238" s="1" t="s">
        <v>258</v>
      </c>
      <c r="K1238" s="1" t="s">
        <v>658</v>
      </c>
      <c r="L1238" s="1" t="s">
        <v>2116</v>
      </c>
      <c r="M1238" s="1" t="s">
        <v>260</v>
      </c>
      <c r="N1238" s="1" t="s">
        <v>357</v>
      </c>
      <c r="O1238" s="1" t="s">
        <v>632</v>
      </c>
      <c r="P1238" s="1" t="str">
        <f t="shared" si="63"/>
        <v>UFV CAIAPONIA II - UC 2215KTL-H3(MBUS-14)46019,364583333346019,364583333346019,5277777778</v>
      </c>
      <c r="Q1238" s="1" t="str">
        <f t="shared" si="64"/>
        <v>DAURDE</v>
      </c>
    </row>
    <row r="1239" spans="1:17" hidden="1">
      <c r="B1239" s="1" t="s">
        <v>2150</v>
      </c>
      <c r="C1239" s="1" t="s">
        <v>380</v>
      </c>
      <c r="D1239" s="52">
        <v>46019.364583333336</v>
      </c>
      <c r="E1239" s="52">
        <v>46019.364583333336</v>
      </c>
      <c r="F1239" s="52">
        <v>46019.527777777781</v>
      </c>
      <c r="G1239" s="64">
        <f>F1239-E1239</f>
        <v>0.16319444444525288</v>
      </c>
      <c r="H1239" s="1" t="s">
        <v>257</v>
      </c>
      <c r="J1239" s="1" t="s">
        <v>258</v>
      </c>
      <c r="K1239" s="1" t="s">
        <v>658</v>
      </c>
      <c r="L1239" s="1" t="s">
        <v>2116</v>
      </c>
      <c r="M1239" s="1" t="s">
        <v>260</v>
      </c>
      <c r="N1239" s="1" t="s">
        <v>357</v>
      </c>
      <c r="O1239" s="1" t="s">
        <v>632</v>
      </c>
      <c r="P1239" s="1" t="str">
        <f t="shared" si="63"/>
        <v>UFV CAIAPONIA II - UC 2215KTL-H3(MBUS-15)46019,364583333346019,364583333346019,5277777778</v>
      </c>
      <c r="Q1239" s="1" t="str">
        <f t="shared" si="64"/>
        <v>DAURDE</v>
      </c>
    </row>
    <row r="1240" spans="1:17" hidden="1">
      <c r="B1240" s="1" t="s">
        <v>2150</v>
      </c>
      <c r="C1240" s="1" t="s">
        <v>377</v>
      </c>
      <c r="D1240" s="52">
        <v>46019.364583333336</v>
      </c>
      <c r="E1240" s="52">
        <v>46019.364583333336</v>
      </c>
      <c r="F1240" s="52">
        <v>46019.527777777781</v>
      </c>
      <c r="G1240" s="64">
        <f>F1240-E1240</f>
        <v>0.16319444444525288</v>
      </c>
      <c r="H1240" s="1" t="s">
        <v>257</v>
      </c>
      <c r="J1240" s="1" t="s">
        <v>258</v>
      </c>
      <c r="K1240" s="1" t="s">
        <v>658</v>
      </c>
      <c r="L1240" s="1" t="s">
        <v>2116</v>
      </c>
      <c r="M1240" s="1" t="s">
        <v>260</v>
      </c>
      <c r="N1240" s="1" t="s">
        <v>357</v>
      </c>
      <c r="O1240" s="1" t="s">
        <v>632</v>
      </c>
      <c r="P1240" s="1" t="str">
        <f t="shared" si="63"/>
        <v>UFV CAIAPONIA II - UC 2215KTL-H3(MBUS-12)46019,364583333346019,364583333346019,5277777778</v>
      </c>
      <c r="Q1240" s="1" t="str">
        <f t="shared" si="64"/>
        <v>DAURDE</v>
      </c>
    </row>
    <row r="1241" spans="1:17" hidden="1">
      <c r="B1241" s="1" t="s">
        <v>2150</v>
      </c>
      <c r="C1241" s="1" t="s">
        <v>378</v>
      </c>
      <c r="D1241" s="52">
        <v>46019.364583333336</v>
      </c>
      <c r="E1241" s="52">
        <v>46019.364583333336</v>
      </c>
      <c r="F1241" s="52">
        <v>46019.527777777781</v>
      </c>
      <c r="G1241" s="64">
        <f>F1241-E1241</f>
        <v>0.16319444444525288</v>
      </c>
      <c r="H1241" s="1" t="s">
        <v>257</v>
      </c>
      <c r="J1241" s="1" t="s">
        <v>258</v>
      </c>
      <c r="K1241" s="1" t="s">
        <v>658</v>
      </c>
      <c r="L1241" s="1" t="s">
        <v>2116</v>
      </c>
      <c r="M1241" s="1" t="s">
        <v>260</v>
      </c>
      <c r="N1241" s="1" t="s">
        <v>357</v>
      </c>
      <c r="O1241" s="1" t="s">
        <v>632</v>
      </c>
      <c r="P1241" s="1" t="str">
        <f t="shared" si="63"/>
        <v>UFV CAIAPONIA II - UC 2215KTL-H3(MBUS-13)46019,364583333346019,364583333346019,5277777778</v>
      </c>
      <c r="Q1241" s="1" t="str">
        <f t="shared" si="64"/>
        <v>DAURDE</v>
      </c>
    </row>
    <row r="1242" spans="1:17" hidden="1">
      <c r="B1242" s="1" t="s">
        <v>2150</v>
      </c>
      <c r="C1242" s="1" t="s">
        <v>379</v>
      </c>
      <c r="D1242" s="52">
        <v>46019.364583333336</v>
      </c>
      <c r="E1242" s="52">
        <v>46019.364583333336</v>
      </c>
      <c r="F1242" s="52">
        <v>46019.527777777781</v>
      </c>
      <c r="G1242" s="64">
        <f>F1242-E1242</f>
        <v>0.16319444444525288</v>
      </c>
      <c r="H1242" s="1" t="s">
        <v>257</v>
      </c>
      <c r="J1242" s="1" t="s">
        <v>258</v>
      </c>
      <c r="K1242" s="1" t="s">
        <v>658</v>
      </c>
      <c r="L1242" s="1" t="s">
        <v>2116</v>
      </c>
      <c r="M1242" s="1" t="s">
        <v>260</v>
      </c>
      <c r="N1242" s="1" t="s">
        <v>357</v>
      </c>
      <c r="O1242" s="1" t="s">
        <v>632</v>
      </c>
      <c r="P1242" s="1" t="str">
        <f t="shared" ref="P1242:P1305" si="65">_xlfn.CONCAT(B1242,C1242,D1242,E1242,F1242)</f>
        <v>UFV CAIAPONIA II - UC 2215KTL-H3(MBUS-16)46019,364583333346019,364583333346019,5277777778</v>
      </c>
      <c r="Q1242" s="1" t="str">
        <f t="shared" ref="Q1242:Q1305" si="66">_xlfn.CONCAT(H1242,I1242,J1242)</f>
        <v>DAURDE</v>
      </c>
    </row>
    <row r="1243" spans="1:17" hidden="1">
      <c r="B1243" s="1" t="s">
        <v>2151</v>
      </c>
      <c r="C1243" s="1" t="s">
        <v>382</v>
      </c>
      <c r="D1243" s="52">
        <v>46019.364583333336</v>
      </c>
      <c r="E1243" s="52">
        <v>46019.364583333336</v>
      </c>
      <c r="F1243" s="52">
        <v>46019.527777777781</v>
      </c>
      <c r="G1243" s="64">
        <f>F1243-E1243</f>
        <v>0.16319444444525288</v>
      </c>
      <c r="H1243" s="1" t="s">
        <v>257</v>
      </c>
      <c r="J1243" s="1" t="s">
        <v>258</v>
      </c>
      <c r="K1243" s="1" t="s">
        <v>658</v>
      </c>
      <c r="L1243" s="1" t="s">
        <v>2116</v>
      </c>
      <c r="M1243" s="1" t="s">
        <v>260</v>
      </c>
      <c r="N1243" s="1" t="s">
        <v>357</v>
      </c>
      <c r="O1243" s="1" t="s">
        <v>632</v>
      </c>
      <c r="P1243" s="1" t="str">
        <f t="shared" si="65"/>
        <v>UFV CAIAPONIA II - UC 3215KTL-H3(MBUS-14)46019,364583333346019,364583333346019,5277777778</v>
      </c>
      <c r="Q1243" s="1" t="str">
        <f t="shared" si="66"/>
        <v>DAURDE</v>
      </c>
    </row>
    <row r="1244" spans="1:17" hidden="1">
      <c r="B1244" s="1" t="s">
        <v>2151</v>
      </c>
      <c r="C1244" s="1" t="s">
        <v>380</v>
      </c>
      <c r="D1244" s="52">
        <v>46019.364583333336</v>
      </c>
      <c r="E1244" s="52">
        <v>46019.364583333336</v>
      </c>
      <c r="F1244" s="52">
        <v>46019.527777777781</v>
      </c>
      <c r="G1244" s="64">
        <f>F1244-E1244</f>
        <v>0.16319444444525288</v>
      </c>
      <c r="H1244" s="1" t="s">
        <v>257</v>
      </c>
      <c r="J1244" s="1" t="s">
        <v>258</v>
      </c>
      <c r="K1244" s="1" t="s">
        <v>658</v>
      </c>
      <c r="L1244" s="1" t="s">
        <v>2116</v>
      </c>
      <c r="M1244" s="1" t="s">
        <v>260</v>
      </c>
      <c r="N1244" s="1" t="s">
        <v>357</v>
      </c>
      <c r="O1244" s="1" t="s">
        <v>632</v>
      </c>
      <c r="P1244" s="1" t="str">
        <f t="shared" si="65"/>
        <v>UFV CAIAPONIA II - UC 3215KTL-H3(MBUS-15)46019,364583333346019,364583333346019,5277777778</v>
      </c>
      <c r="Q1244" s="1" t="str">
        <f t="shared" si="66"/>
        <v>DAURDE</v>
      </c>
    </row>
    <row r="1245" spans="1:17" hidden="1">
      <c r="B1245" s="1" t="s">
        <v>2151</v>
      </c>
      <c r="C1245" s="1" t="s">
        <v>377</v>
      </c>
      <c r="D1245" s="52">
        <v>46019.364583333336</v>
      </c>
      <c r="E1245" s="52">
        <v>46019.364583333336</v>
      </c>
      <c r="F1245" s="52">
        <v>46019.527777777781</v>
      </c>
      <c r="G1245" s="64">
        <f>F1245-E1245</f>
        <v>0.16319444444525288</v>
      </c>
      <c r="H1245" s="1" t="s">
        <v>257</v>
      </c>
      <c r="J1245" s="1" t="s">
        <v>258</v>
      </c>
      <c r="K1245" s="1" t="s">
        <v>658</v>
      </c>
      <c r="L1245" s="1" t="s">
        <v>2116</v>
      </c>
      <c r="M1245" s="1" t="s">
        <v>260</v>
      </c>
      <c r="N1245" s="1" t="s">
        <v>357</v>
      </c>
      <c r="O1245" s="1" t="s">
        <v>632</v>
      </c>
      <c r="P1245" s="1" t="str">
        <f t="shared" si="65"/>
        <v>UFV CAIAPONIA II - UC 3215KTL-H3(MBUS-12)46019,364583333346019,364583333346019,5277777778</v>
      </c>
      <c r="Q1245" s="1" t="str">
        <f t="shared" si="66"/>
        <v>DAURDE</v>
      </c>
    </row>
    <row r="1246" spans="1:17" hidden="1">
      <c r="B1246" s="1" t="s">
        <v>2151</v>
      </c>
      <c r="C1246" s="1" t="s">
        <v>378</v>
      </c>
      <c r="D1246" s="52">
        <v>46019.364583333336</v>
      </c>
      <c r="E1246" s="52">
        <v>46019.364583333336</v>
      </c>
      <c r="F1246" s="52">
        <v>46019.527777777781</v>
      </c>
      <c r="G1246" s="64">
        <f>F1246-E1246</f>
        <v>0.16319444444525288</v>
      </c>
      <c r="H1246" s="1" t="s">
        <v>257</v>
      </c>
      <c r="J1246" s="1" t="s">
        <v>258</v>
      </c>
      <c r="K1246" s="1" t="s">
        <v>658</v>
      </c>
      <c r="L1246" s="1" t="s">
        <v>2116</v>
      </c>
      <c r="M1246" s="1" t="s">
        <v>260</v>
      </c>
      <c r="N1246" s="1" t="s">
        <v>357</v>
      </c>
      <c r="O1246" s="1" t="s">
        <v>632</v>
      </c>
      <c r="P1246" s="1" t="str">
        <f t="shared" si="65"/>
        <v>UFV CAIAPONIA II - UC 3215KTL-H3(MBUS-13)46019,364583333346019,364583333346019,5277777778</v>
      </c>
      <c r="Q1246" s="1" t="str">
        <f t="shared" si="66"/>
        <v>DAURDE</v>
      </c>
    </row>
    <row r="1247" spans="1:17" hidden="1">
      <c r="B1247" s="1" t="s">
        <v>2151</v>
      </c>
      <c r="C1247" s="1" t="s">
        <v>379</v>
      </c>
      <c r="D1247" s="52">
        <v>46019.364583333336</v>
      </c>
      <c r="E1247" s="52">
        <v>46019.364583333336</v>
      </c>
      <c r="F1247" s="52">
        <v>46019.527777777781</v>
      </c>
      <c r="G1247" s="64">
        <f>F1247-E1247</f>
        <v>0.16319444444525288</v>
      </c>
      <c r="H1247" s="1" t="s">
        <v>257</v>
      </c>
      <c r="J1247" s="1" t="s">
        <v>258</v>
      </c>
      <c r="K1247" s="1" t="s">
        <v>658</v>
      </c>
      <c r="L1247" s="1" t="s">
        <v>2116</v>
      </c>
      <c r="M1247" s="1" t="s">
        <v>260</v>
      </c>
      <c r="N1247" s="1" t="s">
        <v>357</v>
      </c>
      <c r="O1247" s="1" t="s">
        <v>632</v>
      </c>
      <c r="P1247" s="1" t="str">
        <f t="shared" si="65"/>
        <v>UFV CAIAPONIA II - UC 3215KTL-H3(MBUS-16)46019,364583333346019,364583333346019,5277777778</v>
      </c>
      <c r="Q1247" s="1" t="str">
        <f t="shared" si="66"/>
        <v>DAURDE</v>
      </c>
    </row>
    <row r="1248" spans="1:17">
      <c r="A1248" s="45"/>
      <c r="B1248" s="61" t="s">
        <v>331</v>
      </c>
      <c r="C1248" s="61" t="s">
        <v>332</v>
      </c>
      <c r="D1248" s="62">
        <v>46018.388888888891</v>
      </c>
      <c r="E1248" s="62">
        <v>46018.388888888891</v>
      </c>
      <c r="F1248" s="62">
        <v>46018.430555555555</v>
      </c>
      <c r="G1248" s="63">
        <f>F1248-E1248</f>
        <v>4.1666666664241347E-2</v>
      </c>
      <c r="H1248" s="61" t="s">
        <v>268</v>
      </c>
      <c r="I1248" s="61" t="s">
        <v>269</v>
      </c>
      <c r="J1248" s="61" t="s">
        <v>319</v>
      </c>
      <c r="K1248" s="61" t="s">
        <v>652</v>
      </c>
      <c r="L1248" s="61" t="s">
        <v>2218</v>
      </c>
      <c r="M1248" s="61" t="s">
        <v>289</v>
      </c>
      <c r="N1248" s="61" t="s">
        <v>253</v>
      </c>
      <c r="O1248" s="61" t="s">
        <v>2219</v>
      </c>
      <c r="P1248" s="61" t="str">
        <f t="shared" si="65"/>
        <v>BC Varjao2.1215KTL-H0(MBUS-12)46018,388888888946018,388888888946018,4305555556</v>
      </c>
      <c r="Q1248" s="61" t="str">
        <f t="shared" si="66"/>
        <v>LIGRFOCOM</v>
      </c>
    </row>
    <row r="1249" spans="1:17">
      <c r="A1249" s="45"/>
      <c r="B1249" s="61" t="s">
        <v>331</v>
      </c>
      <c r="C1249" s="61" t="s">
        <v>335</v>
      </c>
      <c r="D1249" s="62">
        <v>46018.388888888891</v>
      </c>
      <c r="E1249" s="62">
        <v>46018.388888888891</v>
      </c>
      <c r="F1249" s="62">
        <v>46018.430555555555</v>
      </c>
      <c r="G1249" s="63">
        <f>F1249-E1249</f>
        <v>4.1666666664241347E-2</v>
      </c>
      <c r="H1249" s="61" t="s">
        <v>268</v>
      </c>
      <c r="I1249" s="61" t="s">
        <v>269</v>
      </c>
      <c r="J1249" s="61" t="s">
        <v>319</v>
      </c>
      <c r="K1249" s="61" t="s">
        <v>652</v>
      </c>
      <c r="L1249" s="61" t="s">
        <v>2218</v>
      </c>
      <c r="M1249" s="61" t="s">
        <v>289</v>
      </c>
      <c r="N1249" s="61" t="s">
        <v>253</v>
      </c>
      <c r="O1249" s="61" t="s">
        <v>2219</v>
      </c>
      <c r="P1249" s="61" t="str">
        <f t="shared" si="65"/>
        <v>BC Varjao2.1215KTL-H0(MBUS-13)46018,388888888946018,388888888946018,4305555556</v>
      </c>
      <c r="Q1249" s="61" t="str">
        <f t="shared" si="66"/>
        <v>LIGRFOCOM</v>
      </c>
    </row>
    <row r="1250" spans="1:17">
      <c r="A1250" s="45"/>
      <c r="B1250" s="61" t="s">
        <v>331</v>
      </c>
      <c r="C1250" s="61" t="s">
        <v>336</v>
      </c>
      <c r="D1250" s="62">
        <v>46018.388888888891</v>
      </c>
      <c r="E1250" s="62">
        <v>46018.388888888891</v>
      </c>
      <c r="F1250" s="62">
        <v>46018.430555555555</v>
      </c>
      <c r="G1250" s="63">
        <f>F1250-E1250</f>
        <v>4.1666666664241347E-2</v>
      </c>
      <c r="H1250" s="61" t="s">
        <v>268</v>
      </c>
      <c r="I1250" s="61" t="s">
        <v>269</v>
      </c>
      <c r="J1250" s="61" t="s">
        <v>319</v>
      </c>
      <c r="K1250" s="61" t="s">
        <v>652</v>
      </c>
      <c r="L1250" s="61" t="s">
        <v>2218</v>
      </c>
      <c r="M1250" s="61" t="s">
        <v>289</v>
      </c>
      <c r="N1250" s="61" t="s">
        <v>253</v>
      </c>
      <c r="O1250" s="61" t="s">
        <v>2219</v>
      </c>
      <c r="P1250" s="61" t="str">
        <f t="shared" si="65"/>
        <v>BC Varjao2.1215KTL-H0(MBUS-14)46018,388888888946018,388888888946018,4305555556</v>
      </c>
      <c r="Q1250" s="61" t="str">
        <f t="shared" si="66"/>
        <v>LIGRFOCOM</v>
      </c>
    </row>
    <row r="1251" spans="1:17">
      <c r="A1251" s="45"/>
      <c r="B1251" s="61" t="s">
        <v>331</v>
      </c>
      <c r="C1251" s="61" t="s">
        <v>337</v>
      </c>
      <c r="D1251" s="62">
        <v>46018.388888888891</v>
      </c>
      <c r="E1251" s="62">
        <v>46018.388888888891</v>
      </c>
      <c r="F1251" s="62">
        <v>46018.430555555555</v>
      </c>
      <c r="G1251" s="63">
        <f>F1251-E1251</f>
        <v>4.1666666664241347E-2</v>
      </c>
      <c r="H1251" s="61" t="s">
        <v>268</v>
      </c>
      <c r="I1251" s="61" t="s">
        <v>269</v>
      </c>
      <c r="J1251" s="61" t="s">
        <v>319</v>
      </c>
      <c r="K1251" s="61" t="s">
        <v>652</v>
      </c>
      <c r="L1251" s="61" t="s">
        <v>2218</v>
      </c>
      <c r="M1251" s="61" t="s">
        <v>289</v>
      </c>
      <c r="N1251" s="61" t="s">
        <v>253</v>
      </c>
      <c r="O1251" s="61" t="s">
        <v>2219</v>
      </c>
      <c r="P1251" s="61" t="str">
        <f t="shared" si="65"/>
        <v>BC Varjao2.1215KTL-H0(MBUS-15)46018,388888888946018,388888888946018,4305555556</v>
      </c>
      <c r="Q1251" s="61" t="str">
        <f t="shared" si="66"/>
        <v>LIGRFOCOM</v>
      </c>
    </row>
    <row r="1252" spans="1:17">
      <c r="A1252" s="45"/>
      <c r="B1252" s="61" t="s">
        <v>331</v>
      </c>
      <c r="C1252" s="61" t="s">
        <v>338</v>
      </c>
      <c r="D1252" s="62">
        <v>46018.388888888891</v>
      </c>
      <c r="E1252" s="62">
        <v>46018.388888888891</v>
      </c>
      <c r="F1252" s="62">
        <v>46018.430555555555</v>
      </c>
      <c r="G1252" s="63">
        <f>F1252-E1252</f>
        <v>4.1666666664241347E-2</v>
      </c>
      <c r="H1252" s="61" t="s">
        <v>268</v>
      </c>
      <c r="I1252" s="61" t="s">
        <v>269</v>
      </c>
      <c r="J1252" s="61" t="s">
        <v>319</v>
      </c>
      <c r="K1252" s="61" t="s">
        <v>652</v>
      </c>
      <c r="L1252" s="61" t="s">
        <v>2218</v>
      </c>
      <c r="M1252" s="61" t="s">
        <v>289</v>
      </c>
      <c r="N1252" s="61" t="s">
        <v>253</v>
      </c>
      <c r="O1252" s="61" t="s">
        <v>2219</v>
      </c>
      <c r="P1252" s="61" t="str">
        <f t="shared" si="65"/>
        <v>BC Varjao2.1215KTL-H0(MBUS-16)46018,388888888946018,388888888946018,4305555556</v>
      </c>
      <c r="Q1252" s="61" t="str">
        <f t="shared" si="66"/>
        <v>LIGRFOCOM</v>
      </c>
    </row>
    <row r="1253" spans="1:17">
      <c r="A1253" s="45"/>
      <c r="B1253" s="61" t="s">
        <v>339</v>
      </c>
      <c r="C1253" s="61" t="s">
        <v>335</v>
      </c>
      <c r="D1253" s="62">
        <v>46018.388888888891</v>
      </c>
      <c r="E1253" s="62">
        <v>46018.388888888891</v>
      </c>
      <c r="F1253" s="62">
        <v>46018.430555555555</v>
      </c>
      <c r="G1253" s="63">
        <f>F1253-E1253</f>
        <v>4.1666666664241347E-2</v>
      </c>
      <c r="H1253" s="61" t="s">
        <v>268</v>
      </c>
      <c r="I1253" s="61" t="s">
        <v>269</v>
      </c>
      <c r="J1253" s="61" t="s">
        <v>319</v>
      </c>
      <c r="K1253" s="61" t="s">
        <v>652</v>
      </c>
      <c r="L1253" s="61" t="s">
        <v>2218</v>
      </c>
      <c r="M1253" s="61" t="s">
        <v>289</v>
      </c>
      <c r="N1253" s="61" t="s">
        <v>253</v>
      </c>
      <c r="O1253" s="61" t="s">
        <v>2219</v>
      </c>
      <c r="P1253" s="61" t="str">
        <f t="shared" si="65"/>
        <v>BC Varjao2.2215KTL-H0(MBUS-13)46018,388888888946018,388888888946018,4305555556</v>
      </c>
      <c r="Q1253" s="61" t="str">
        <f t="shared" si="66"/>
        <v>LIGRFOCOM</v>
      </c>
    </row>
    <row r="1254" spans="1:17">
      <c r="A1254" s="45"/>
      <c r="B1254" s="61" t="s">
        <v>339</v>
      </c>
      <c r="C1254" s="61" t="s">
        <v>336</v>
      </c>
      <c r="D1254" s="62">
        <v>46018.388888888891</v>
      </c>
      <c r="E1254" s="62">
        <v>46018.388888888891</v>
      </c>
      <c r="F1254" s="62">
        <v>46018.430555555555</v>
      </c>
      <c r="G1254" s="63">
        <f>F1254-E1254</f>
        <v>4.1666666664241347E-2</v>
      </c>
      <c r="H1254" s="61" t="s">
        <v>268</v>
      </c>
      <c r="I1254" s="61" t="s">
        <v>269</v>
      </c>
      <c r="J1254" s="61" t="s">
        <v>319</v>
      </c>
      <c r="K1254" s="61" t="s">
        <v>652</v>
      </c>
      <c r="L1254" s="61" t="s">
        <v>2218</v>
      </c>
      <c r="M1254" s="61" t="s">
        <v>289</v>
      </c>
      <c r="N1254" s="61" t="s">
        <v>253</v>
      </c>
      <c r="O1254" s="61" t="s">
        <v>2219</v>
      </c>
      <c r="P1254" s="61" t="str">
        <f t="shared" si="65"/>
        <v>BC Varjao2.2215KTL-H0(MBUS-14)46018,388888888946018,388888888946018,4305555556</v>
      </c>
      <c r="Q1254" s="61" t="str">
        <f t="shared" si="66"/>
        <v>LIGRFOCOM</v>
      </c>
    </row>
    <row r="1255" spans="1:17">
      <c r="A1255" s="45"/>
      <c r="B1255" s="61" t="s">
        <v>339</v>
      </c>
      <c r="C1255" s="61" t="s">
        <v>337</v>
      </c>
      <c r="D1255" s="62">
        <v>46018.388888888891</v>
      </c>
      <c r="E1255" s="62">
        <v>46018.388888888891</v>
      </c>
      <c r="F1255" s="62">
        <v>46018.430555555555</v>
      </c>
      <c r="G1255" s="63">
        <f>F1255-E1255</f>
        <v>4.1666666664241347E-2</v>
      </c>
      <c r="H1255" s="61" t="s">
        <v>268</v>
      </c>
      <c r="I1255" s="61" t="s">
        <v>269</v>
      </c>
      <c r="J1255" s="61" t="s">
        <v>319</v>
      </c>
      <c r="K1255" s="61" t="s">
        <v>652</v>
      </c>
      <c r="L1255" s="61" t="s">
        <v>2218</v>
      </c>
      <c r="M1255" s="61" t="s">
        <v>289</v>
      </c>
      <c r="N1255" s="61" t="s">
        <v>253</v>
      </c>
      <c r="O1255" s="61" t="s">
        <v>2219</v>
      </c>
      <c r="P1255" s="61" t="str">
        <f t="shared" si="65"/>
        <v>BC Varjao2.2215KTL-H0(MBUS-15)46018,388888888946018,388888888946018,4305555556</v>
      </c>
      <c r="Q1255" s="61" t="str">
        <f t="shared" si="66"/>
        <v>LIGRFOCOM</v>
      </c>
    </row>
    <row r="1256" spans="1:17">
      <c r="A1256" s="45"/>
      <c r="B1256" s="61" t="s">
        <v>339</v>
      </c>
      <c r="C1256" s="61" t="s">
        <v>338</v>
      </c>
      <c r="D1256" s="62">
        <v>46018.388888888891</v>
      </c>
      <c r="E1256" s="62">
        <v>46018.388888888891</v>
      </c>
      <c r="F1256" s="62">
        <v>46018.430555555555</v>
      </c>
      <c r="G1256" s="63">
        <f>F1256-E1256</f>
        <v>4.1666666664241347E-2</v>
      </c>
      <c r="H1256" s="61" t="s">
        <v>268</v>
      </c>
      <c r="I1256" s="61" t="s">
        <v>269</v>
      </c>
      <c r="J1256" s="61" t="s">
        <v>319</v>
      </c>
      <c r="K1256" s="61" t="s">
        <v>652</v>
      </c>
      <c r="L1256" s="61" t="s">
        <v>2218</v>
      </c>
      <c r="M1256" s="61" t="s">
        <v>289</v>
      </c>
      <c r="N1256" s="61" t="s">
        <v>253</v>
      </c>
      <c r="O1256" s="61" t="s">
        <v>2219</v>
      </c>
      <c r="P1256" s="61" t="str">
        <f t="shared" si="65"/>
        <v>BC Varjao2.2215KTL-H0(MBUS-16)46018,388888888946018,388888888946018,4305555556</v>
      </c>
      <c r="Q1256" s="61" t="str">
        <f t="shared" si="66"/>
        <v>LIGRFOCOM</v>
      </c>
    </row>
    <row r="1257" spans="1:17">
      <c r="A1257" s="45"/>
      <c r="B1257" s="61" t="s">
        <v>339</v>
      </c>
      <c r="C1257" s="61" t="s">
        <v>332</v>
      </c>
      <c r="D1257" s="62">
        <v>46018.388888888891</v>
      </c>
      <c r="E1257" s="62">
        <v>46018.388888888891</v>
      </c>
      <c r="F1257" s="62">
        <v>46018.430555555555</v>
      </c>
      <c r="G1257" s="63">
        <f>F1257-E1257</f>
        <v>4.1666666664241347E-2</v>
      </c>
      <c r="H1257" s="61" t="s">
        <v>268</v>
      </c>
      <c r="I1257" s="61" t="s">
        <v>269</v>
      </c>
      <c r="J1257" s="61" t="s">
        <v>319</v>
      </c>
      <c r="K1257" s="61" t="s">
        <v>652</v>
      </c>
      <c r="L1257" s="61" t="s">
        <v>2218</v>
      </c>
      <c r="M1257" s="61" t="s">
        <v>289</v>
      </c>
      <c r="N1257" s="61" t="s">
        <v>253</v>
      </c>
      <c r="O1257" s="61" t="s">
        <v>2219</v>
      </c>
      <c r="P1257" s="61" t="str">
        <f t="shared" si="65"/>
        <v>BC Varjao2.2215KTL-H0(MBUS-12)46018,388888888946018,388888888946018,4305555556</v>
      </c>
      <c r="Q1257" s="61" t="str">
        <f t="shared" si="66"/>
        <v>LIGRFOCOM</v>
      </c>
    </row>
    <row r="1258" spans="1:17">
      <c r="A1258" s="45"/>
      <c r="B1258" s="61" t="s">
        <v>340</v>
      </c>
      <c r="C1258" s="61" t="s">
        <v>341</v>
      </c>
      <c r="D1258" s="62">
        <v>46018.388888888891</v>
      </c>
      <c r="E1258" s="62">
        <v>46018.388888888891</v>
      </c>
      <c r="F1258" s="62">
        <v>46018.430555555555</v>
      </c>
      <c r="G1258" s="63">
        <f>F1258-E1258</f>
        <v>4.1666666664241347E-2</v>
      </c>
      <c r="H1258" s="61" t="s">
        <v>268</v>
      </c>
      <c r="I1258" s="61" t="s">
        <v>269</v>
      </c>
      <c r="J1258" s="61" t="s">
        <v>319</v>
      </c>
      <c r="K1258" s="61" t="s">
        <v>652</v>
      </c>
      <c r="L1258" s="61" t="s">
        <v>2218</v>
      </c>
      <c r="M1258" s="61" t="s">
        <v>289</v>
      </c>
      <c r="N1258" s="61" t="s">
        <v>253</v>
      </c>
      <c r="O1258" s="61" t="s">
        <v>2219</v>
      </c>
      <c r="P1258" s="61" t="str">
        <f t="shared" si="65"/>
        <v>BC Varjao2.3100KTL-H1(MBUS-1)46018,388888888946018,388888888946018,4305555556</v>
      </c>
      <c r="Q1258" s="61" t="str">
        <f t="shared" si="66"/>
        <v>LIGRFOCOM</v>
      </c>
    </row>
    <row r="1259" spans="1:17">
      <c r="A1259" s="45"/>
      <c r="B1259" s="61" t="s">
        <v>340</v>
      </c>
      <c r="C1259" s="61" t="s">
        <v>335</v>
      </c>
      <c r="D1259" s="62">
        <v>46018.388888888891</v>
      </c>
      <c r="E1259" s="62">
        <v>46018.388888888891</v>
      </c>
      <c r="F1259" s="62">
        <v>46018.430555555555</v>
      </c>
      <c r="G1259" s="63">
        <f>F1259-E1259</f>
        <v>4.1666666664241347E-2</v>
      </c>
      <c r="H1259" s="61" t="s">
        <v>268</v>
      </c>
      <c r="I1259" s="61" t="s">
        <v>269</v>
      </c>
      <c r="J1259" s="61" t="s">
        <v>319</v>
      </c>
      <c r="K1259" s="61" t="s">
        <v>652</v>
      </c>
      <c r="L1259" s="61" t="s">
        <v>2218</v>
      </c>
      <c r="M1259" s="61" t="s">
        <v>289</v>
      </c>
      <c r="N1259" s="61" t="s">
        <v>253</v>
      </c>
      <c r="O1259" s="61" t="s">
        <v>2219</v>
      </c>
      <c r="P1259" s="61" t="str">
        <f t="shared" si="65"/>
        <v>BC Varjao2.3215KTL-H0(MBUS-13)46018,388888888946018,388888888946018,4305555556</v>
      </c>
      <c r="Q1259" s="61" t="str">
        <f t="shared" si="66"/>
        <v>LIGRFOCOM</v>
      </c>
    </row>
    <row r="1260" spans="1:17">
      <c r="A1260" s="45"/>
      <c r="B1260" s="61" t="s">
        <v>340</v>
      </c>
      <c r="C1260" s="61" t="s">
        <v>332</v>
      </c>
      <c r="D1260" s="62">
        <v>46018.388888888891</v>
      </c>
      <c r="E1260" s="62">
        <v>46018.388888888891</v>
      </c>
      <c r="F1260" s="62">
        <v>46018.430555555555</v>
      </c>
      <c r="G1260" s="63">
        <f>F1260-E1260</f>
        <v>4.1666666664241347E-2</v>
      </c>
      <c r="H1260" s="61" t="s">
        <v>268</v>
      </c>
      <c r="I1260" s="61" t="s">
        <v>269</v>
      </c>
      <c r="J1260" s="61" t="s">
        <v>319</v>
      </c>
      <c r="K1260" s="61" t="s">
        <v>652</v>
      </c>
      <c r="L1260" s="61" t="s">
        <v>2218</v>
      </c>
      <c r="M1260" s="61" t="s">
        <v>289</v>
      </c>
      <c r="N1260" s="61" t="s">
        <v>253</v>
      </c>
      <c r="O1260" s="61" t="s">
        <v>2219</v>
      </c>
      <c r="P1260" s="61" t="str">
        <f t="shared" si="65"/>
        <v>BC Varjao2.3215KTL-H0(MBUS-12)46018,388888888946018,388888888946018,4305555556</v>
      </c>
      <c r="Q1260" s="61" t="str">
        <f t="shared" si="66"/>
        <v>LIGRFOCOM</v>
      </c>
    </row>
    <row r="1261" spans="1:17" hidden="1">
      <c r="A1261" s="45"/>
      <c r="B1261" s="61" t="s">
        <v>385</v>
      </c>
      <c r="C1261" s="61" t="s">
        <v>386</v>
      </c>
      <c r="D1261" s="62">
        <v>46019.548611111109</v>
      </c>
      <c r="E1261" s="62">
        <v>46019.548611111109</v>
      </c>
      <c r="F1261" s="62">
        <v>46019.645833333336</v>
      </c>
      <c r="G1261" s="63">
        <f>F1261-E1261</f>
        <v>9.7222222226264421E-2</v>
      </c>
      <c r="H1261" s="61" t="s">
        <v>257</v>
      </c>
      <c r="I1261" s="61"/>
      <c r="J1261" s="61" t="s">
        <v>371</v>
      </c>
      <c r="K1261" s="61" t="s">
        <v>653</v>
      </c>
      <c r="L1261" s="61" t="s">
        <v>2202</v>
      </c>
      <c r="M1261" s="61" t="s">
        <v>252</v>
      </c>
      <c r="N1261" s="61" t="s">
        <v>253</v>
      </c>
      <c r="O1261" s="61" t="s">
        <v>2203</v>
      </c>
      <c r="P1261" s="61" t="str">
        <f t="shared" si="65"/>
        <v>BC Vazante1.3Inversor 146019,548611111146019,548611111146019,6458333333</v>
      </c>
      <c r="Q1261" s="61" t="str">
        <f t="shared" si="66"/>
        <v>DAUINV</v>
      </c>
    </row>
    <row r="1262" spans="1:17" hidden="1">
      <c r="A1262" s="45"/>
      <c r="B1262" s="61" t="s">
        <v>385</v>
      </c>
      <c r="C1262" s="61" t="s">
        <v>777</v>
      </c>
      <c r="D1262" s="62">
        <v>46019.548611111109</v>
      </c>
      <c r="E1262" s="62">
        <v>46019.548611111109</v>
      </c>
      <c r="F1262" s="62">
        <v>46019.645833333336</v>
      </c>
      <c r="G1262" s="63">
        <f>F1262-E1262</f>
        <v>9.7222222226264421E-2</v>
      </c>
      <c r="H1262" s="61" t="s">
        <v>257</v>
      </c>
      <c r="I1262" s="61"/>
      <c r="J1262" s="61" t="s">
        <v>371</v>
      </c>
      <c r="K1262" s="61" t="s">
        <v>653</v>
      </c>
      <c r="L1262" s="61" t="s">
        <v>2202</v>
      </c>
      <c r="M1262" s="61" t="s">
        <v>252</v>
      </c>
      <c r="N1262" s="61" t="s">
        <v>253</v>
      </c>
      <c r="O1262" s="61" t="s">
        <v>2203</v>
      </c>
      <c r="P1262" s="61" t="str">
        <f t="shared" si="65"/>
        <v>BC Vazante1.3Inversor 246019,548611111146019,548611111146019,6458333333</v>
      </c>
      <c r="Q1262" s="61" t="str">
        <f t="shared" si="66"/>
        <v>DAUINV</v>
      </c>
    </row>
    <row r="1263" spans="1:17" hidden="1">
      <c r="A1263" s="45"/>
      <c r="B1263" s="61" t="s">
        <v>385</v>
      </c>
      <c r="C1263" s="61" t="s">
        <v>778</v>
      </c>
      <c r="D1263" s="62">
        <v>46019.548611111109</v>
      </c>
      <c r="E1263" s="62">
        <v>46019.548611111109</v>
      </c>
      <c r="F1263" s="62">
        <v>46019.645833333336</v>
      </c>
      <c r="G1263" s="63">
        <f>F1263-E1263</f>
        <v>9.7222222226264421E-2</v>
      </c>
      <c r="H1263" s="61" t="s">
        <v>257</v>
      </c>
      <c r="I1263" s="61"/>
      <c r="J1263" s="61" t="s">
        <v>371</v>
      </c>
      <c r="K1263" s="61" t="s">
        <v>653</v>
      </c>
      <c r="L1263" s="61" t="s">
        <v>2202</v>
      </c>
      <c r="M1263" s="61" t="s">
        <v>252</v>
      </c>
      <c r="N1263" s="61" t="s">
        <v>253</v>
      </c>
      <c r="O1263" s="61" t="s">
        <v>2203</v>
      </c>
      <c r="P1263" s="61" t="str">
        <f t="shared" si="65"/>
        <v>BC Vazante1.3Inversor 346019,548611111146019,548611111146019,6458333333</v>
      </c>
      <c r="Q1263" s="61" t="str">
        <f t="shared" si="66"/>
        <v>DAUINV</v>
      </c>
    </row>
    <row r="1264" spans="1:17" hidden="1">
      <c r="A1264" s="45"/>
      <c r="B1264" s="61" t="s">
        <v>385</v>
      </c>
      <c r="C1264" s="61" t="s">
        <v>779</v>
      </c>
      <c r="D1264" s="62">
        <v>46019.548611111109</v>
      </c>
      <c r="E1264" s="62">
        <v>46019.548611111109</v>
      </c>
      <c r="F1264" s="62">
        <v>46019.645833333336</v>
      </c>
      <c r="G1264" s="63">
        <f>F1264-E1264</f>
        <v>9.7222222226264421E-2</v>
      </c>
      <c r="H1264" s="61" t="s">
        <v>257</v>
      </c>
      <c r="I1264" s="61"/>
      <c r="J1264" s="61" t="s">
        <v>371</v>
      </c>
      <c r="K1264" s="61" t="s">
        <v>653</v>
      </c>
      <c r="L1264" s="61" t="s">
        <v>2202</v>
      </c>
      <c r="M1264" s="61" t="s">
        <v>252</v>
      </c>
      <c r="N1264" s="61" t="s">
        <v>253</v>
      </c>
      <c r="O1264" s="61" t="s">
        <v>2203</v>
      </c>
      <c r="P1264" s="61" t="str">
        <f t="shared" si="65"/>
        <v>BC Vazante1.3Inversor 446019,548611111146019,548611111146019,6458333333</v>
      </c>
      <c r="Q1264" s="61" t="str">
        <f t="shared" si="66"/>
        <v>DAUINV</v>
      </c>
    </row>
    <row r="1265" spans="1:17" hidden="1">
      <c r="A1265" s="45"/>
      <c r="B1265" s="61" t="s">
        <v>385</v>
      </c>
      <c r="C1265" s="61" t="s">
        <v>780</v>
      </c>
      <c r="D1265" s="62">
        <v>46019.548611111109</v>
      </c>
      <c r="E1265" s="62">
        <v>46019.548611111109</v>
      </c>
      <c r="F1265" s="62">
        <v>46019.645833333336</v>
      </c>
      <c r="G1265" s="63">
        <f>F1265-E1265</f>
        <v>9.7222222226264421E-2</v>
      </c>
      <c r="H1265" s="61" t="s">
        <v>257</v>
      </c>
      <c r="I1265" s="61"/>
      <c r="J1265" s="61" t="s">
        <v>371</v>
      </c>
      <c r="K1265" s="61" t="s">
        <v>653</v>
      </c>
      <c r="L1265" s="61" t="s">
        <v>2202</v>
      </c>
      <c r="M1265" s="61" t="s">
        <v>252</v>
      </c>
      <c r="N1265" s="61" t="s">
        <v>253</v>
      </c>
      <c r="O1265" s="61" t="s">
        <v>2203</v>
      </c>
      <c r="P1265" s="61" t="str">
        <f t="shared" si="65"/>
        <v>BC Vazante1.3Inversor 546019,548611111146019,548611111146019,6458333333</v>
      </c>
      <c r="Q1265" s="61" t="str">
        <f t="shared" si="66"/>
        <v>DAUINV</v>
      </c>
    </row>
    <row r="1266" spans="1:17" hidden="1">
      <c r="A1266" s="45"/>
      <c r="B1266" s="61" t="s">
        <v>385</v>
      </c>
      <c r="C1266" s="61" t="s">
        <v>781</v>
      </c>
      <c r="D1266" s="62">
        <v>46019.548611111109</v>
      </c>
      <c r="E1266" s="62">
        <v>46019.548611111109</v>
      </c>
      <c r="F1266" s="62">
        <v>46019.645833333336</v>
      </c>
      <c r="G1266" s="63">
        <f>F1266-E1266</f>
        <v>9.7222222226264421E-2</v>
      </c>
      <c r="H1266" s="61" t="s">
        <v>257</v>
      </c>
      <c r="I1266" s="61"/>
      <c r="J1266" s="61" t="s">
        <v>371</v>
      </c>
      <c r="K1266" s="61" t="s">
        <v>653</v>
      </c>
      <c r="L1266" s="61" t="s">
        <v>2202</v>
      </c>
      <c r="M1266" s="61" t="s">
        <v>252</v>
      </c>
      <c r="N1266" s="61" t="s">
        <v>253</v>
      </c>
      <c r="O1266" s="61" t="s">
        <v>2203</v>
      </c>
      <c r="P1266" s="61" t="str">
        <f t="shared" si="65"/>
        <v>BC Vazante1.3Inversor 646019,548611111146019,548611111146019,6458333333</v>
      </c>
      <c r="Q1266" s="61" t="str">
        <f t="shared" si="66"/>
        <v>DAUINV</v>
      </c>
    </row>
    <row r="1267" spans="1:17" hidden="1">
      <c r="A1267" s="45"/>
      <c r="B1267" s="61" t="s">
        <v>385</v>
      </c>
      <c r="C1267" s="61" t="s">
        <v>782</v>
      </c>
      <c r="D1267" s="62">
        <v>46019.548611111109</v>
      </c>
      <c r="E1267" s="62">
        <v>46019.548611111109</v>
      </c>
      <c r="F1267" s="62">
        <v>46019.645833333336</v>
      </c>
      <c r="G1267" s="63">
        <f>F1267-E1267</f>
        <v>9.7222222226264421E-2</v>
      </c>
      <c r="H1267" s="61" t="s">
        <v>257</v>
      </c>
      <c r="I1267" s="61"/>
      <c r="J1267" s="61" t="s">
        <v>371</v>
      </c>
      <c r="K1267" s="61" t="s">
        <v>653</v>
      </c>
      <c r="L1267" s="61" t="s">
        <v>2202</v>
      </c>
      <c r="M1267" s="61" t="s">
        <v>252</v>
      </c>
      <c r="N1267" s="61" t="s">
        <v>253</v>
      </c>
      <c r="O1267" s="61" t="s">
        <v>2203</v>
      </c>
      <c r="P1267" s="61" t="str">
        <f t="shared" si="65"/>
        <v>BC Vazante1.3Inversor 746019,548611111146019,548611111146019,6458333333</v>
      </c>
      <c r="Q1267" s="61" t="str">
        <f t="shared" si="66"/>
        <v>DAUINV</v>
      </c>
    </row>
    <row r="1268" spans="1:17" hidden="1">
      <c r="A1268" s="45"/>
      <c r="B1268" s="61" t="s">
        <v>385</v>
      </c>
      <c r="C1268" s="61" t="s">
        <v>783</v>
      </c>
      <c r="D1268" s="62">
        <v>46019.548611111109</v>
      </c>
      <c r="E1268" s="62">
        <v>46019.548611111109</v>
      </c>
      <c r="F1268" s="62">
        <v>46019.645833333336</v>
      </c>
      <c r="G1268" s="63">
        <f>F1268-E1268</f>
        <v>9.7222222226264421E-2</v>
      </c>
      <c r="H1268" s="61" t="s">
        <v>257</v>
      </c>
      <c r="I1268" s="61"/>
      <c r="J1268" s="61" t="s">
        <v>371</v>
      </c>
      <c r="K1268" s="61" t="s">
        <v>653</v>
      </c>
      <c r="L1268" s="61" t="s">
        <v>2202</v>
      </c>
      <c r="M1268" s="61" t="s">
        <v>252</v>
      </c>
      <c r="N1268" s="61" t="s">
        <v>253</v>
      </c>
      <c r="O1268" s="61" t="s">
        <v>2203</v>
      </c>
      <c r="P1268" s="61" t="str">
        <f t="shared" si="65"/>
        <v>BC Vazante1.3Inversor 846019,548611111146019,548611111146019,6458333333</v>
      </c>
      <c r="Q1268" s="61" t="str">
        <f t="shared" si="66"/>
        <v>DAUINV</v>
      </c>
    </row>
    <row r="1269" spans="1:17" hidden="1">
      <c r="A1269" s="45"/>
      <c r="B1269" s="61" t="s">
        <v>385</v>
      </c>
      <c r="C1269" s="61" t="s">
        <v>784</v>
      </c>
      <c r="D1269" s="62">
        <v>46019.548611111109</v>
      </c>
      <c r="E1269" s="62">
        <v>46019.548611111109</v>
      </c>
      <c r="F1269" s="62">
        <v>46019.645833333336</v>
      </c>
      <c r="G1269" s="63">
        <f>F1269-E1269</f>
        <v>9.7222222226264421E-2</v>
      </c>
      <c r="H1269" s="61" t="s">
        <v>257</v>
      </c>
      <c r="I1269" s="61"/>
      <c r="J1269" s="61" t="s">
        <v>371</v>
      </c>
      <c r="K1269" s="61" t="s">
        <v>653</v>
      </c>
      <c r="L1269" s="61" t="s">
        <v>2202</v>
      </c>
      <c r="M1269" s="61" t="s">
        <v>252</v>
      </c>
      <c r="N1269" s="61" t="s">
        <v>253</v>
      </c>
      <c r="O1269" s="61" t="s">
        <v>2203</v>
      </c>
      <c r="P1269" s="61" t="str">
        <f t="shared" si="65"/>
        <v>BC Vazante1.3Inversor 946019,548611111146019,548611111146019,6458333333</v>
      </c>
      <c r="Q1269" s="61" t="str">
        <f t="shared" si="66"/>
        <v>DAUINV</v>
      </c>
    </row>
    <row r="1270" spans="1:17" hidden="1">
      <c r="B1270" s="1" t="s">
        <v>2220</v>
      </c>
      <c r="C1270" s="1" t="s">
        <v>322</v>
      </c>
      <c r="D1270" s="52">
        <v>46022.118055555555</v>
      </c>
      <c r="E1270" s="52">
        <v>46022.118055555555</v>
      </c>
      <c r="F1270" s="52">
        <v>46022.319444444445</v>
      </c>
      <c r="G1270" s="63">
        <f>F1270-E1270</f>
        <v>0.20138888889050577</v>
      </c>
      <c r="H1270" s="1" t="s">
        <v>257</v>
      </c>
      <c r="J1270" s="1" t="s">
        <v>258</v>
      </c>
      <c r="K1270" s="1" t="str">
        <f>_xlfn.XLOOKUP(J1270,REF!$D$2:$D$12,REF!$E$2:$E$12)</f>
        <v>Rede</v>
      </c>
      <c r="L1270" s="1" t="s">
        <v>541</v>
      </c>
      <c r="M1270" s="1" t="s">
        <v>260</v>
      </c>
      <c r="N1270" s="1" t="s">
        <v>357</v>
      </c>
      <c r="O1270" s="1" t="s">
        <v>632</v>
      </c>
      <c r="P1270" s="1" t="str">
        <f t="shared" si="65"/>
        <v>Araçu VIIISG75CX(COM1-018)_001_01846022,118055555646022,118055555646022,3194444444</v>
      </c>
      <c r="Q1270" s="1" t="str">
        <f t="shared" si="66"/>
        <v>DAURDE</v>
      </c>
    </row>
    <row r="1271" spans="1:17" hidden="1">
      <c r="B1271" s="1" t="s">
        <v>2220</v>
      </c>
      <c r="C1271" s="1" t="s">
        <v>324</v>
      </c>
      <c r="D1271" s="52">
        <v>46022.118055555555</v>
      </c>
      <c r="E1271" s="52">
        <v>46022.118055555555</v>
      </c>
      <c r="F1271" s="52">
        <v>46022.319444444445</v>
      </c>
      <c r="G1271" s="63">
        <f>F1271-E1271</f>
        <v>0.20138888889050577</v>
      </c>
      <c r="H1271" s="1" t="s">
        <v>257</v>
      </c>
      <c r="J1271" s="1" t="s">
        <v>258</v>
      </c>
      <c r="K1271" s="1" t="str">
        <f>_xlfn.XLOOKUP(J1271,REF!$D$2:$D$12,REF!$E$2:$E$12)</f>
        <v>Rede</v>
      </c>
      <c r="L1271" s="1" t="s">
        <v>541</v>
      </c>
      <c r="M1271" s="1" t="s">
        <v>260</v>
      </c>
      <c r="N1271" s="1" t="s">
        <v>357</v>
      </c>
      <c r="O1271" s="1" t="s">
        <v>632</v>
      </c>
      <c r="P1271" s="1" t="str">
        <f t="shared" si="65"/>
        <v>Araçu VIIISG75CX(COM1-019)_001_01946022,118055555646022,118055555646022,3194444444</v>
      </c>
      <c r="Q1271" s="1" t="str">
        <f t="shared" si="66"/>
        <v>DAURDE</v>
      </c>
    </row>
    <row r="1272" spans="1:17" hidden="1">
      <c r="B1272" s="1" t="s">
        <v>2220</v>
      </c>
      <c r="C1272" s="1" t="s">
        <v>325</v>
      </c>
      <c r="D1272" s="52">
        <v>46022.118055555555</v>
      </c>
      <c r="E1272" s="52">
        <v>46022.118055555555</v>
      </c>
      <c r="F1272" s="52">
        <v>46022.319444444445</v>
      </c>
      <c r="G1272" s="63">
        <f>F1272-E1272</f>
        <v>0.20138888889050577</v>
      </c>
      <c r="H1272" s="1" t="s">
        <v>257</v>
      </c>
      <c r="J1272" s="1" t="s">
        <v>258</v>
      </c>
      <c r="K1272" s="1" t="str">
        <f>_xlfn.XLOOKUP(J1272,REF!$D$2:$D$12,REF!$E$2:$E$12)</f>
        <v>Rede</v>
      </c>
      <c r="L1272" s="1" t="s">
        <v>541</v>
      </c>
      <c r="M1272" s="1" t="s">
        <v>260</v>
      </c>
      <c r="N1272" s="1" t="s">
        <v>357</v>
      </c>
      <c r="O1272" s="1" t="s">
        <v>632</v>
      </c>
      <c r="P1272" s="1" t="str">
        <f t="shared" si="65"/>
        <v>Araçu VIIISG75CX(COM1-020)_001_02046022,118055555646022,118055555646022,3194444444</v>
      </c>
      <c r="Q1272" s="1" t="str">
        <f t="shared" si="66"/>
        <v>DAURDE</v>
      </c>
    </row>
    <row r="1273" spans="1:17" hidden="1">
      <c r="B1273" s="1" t="s">
        <v>2220</v>
      </c>
      <c r="C1273" s="1" t="s">
        <v>326</v>
      </c>
      <c r="D1273" s="52">
        <v>46022.118055555555</v>
      </c>
      <c r="E1273" s="52">
        <v>46022.118055555555</v>
      </c>
      <c r="F1273" s="52">
        <v>46022.319444444445</v>
      </c>
      <c r="G1273" s="63">
        <f>F1273-E1273</f>
        <v>0.20138888889050577</v>
      </c>
      <c r="H1273" s="1" t="s">
        <v>257</v>
      </c>
      <c r="J1273" s="1" t="s">
        <v>258</v>
      </c>
      <c r="K1273" s="1" t="str">
        <f>_xlfn.XLOOKUP(J1273,REF!$D$2:$D$12,REF!$E$2:$E$12)</f>
        <v>Rede</v>
      </c>
      <c r="L1273" s="1" t="s">
        <v>541</v>
      </c>
      <c r="M1273" s="1" t="s">
        <v>260</v>
      </c>
      <c r="N1273" s="1" t="s">
        <v>357</v>
      </c>
      <c r="O1273" s="1" t="s">
        <v>632</v>
      </c>
      <c r="P1273" s="1" t="str">
        <f t="shared" si="65"/>
        <v>Araçu VIIISG75CX(COM1-021)_001_02146022,118055555646022,118055555646022,3194444444</v>
      </c>
      <c r="Q1273" s="1" t="str">
        <f t="shared" si="66"/>
        <v>DAURDE</v>
      </c>
    </row>
    <row r="1274" spans="1:17" hidden="1">
      <c r="B1274" s="1" t="s">
        <v>327</v>
      </c>
      <c r="C1274" s="1" t="s">
        <v>247</v>
      </c>
      <c r="D1274" s="52">
        <v>46022.118055555555</v>
      </c>
      <c r="E1274" s="52">
        <v>46022.118055555555</v>
      </c>
      <c r="F1274" s="52">
        <v>46022.319444444445</v>
      </c>
      <c r="G1274" s="63">
        <f>F1274-E1274</f>
        <v>0.20138888889050577</v>
      </c>
      <c r="H1274" s="1" t="s">
        <v>257</v>
      </c>
      <c r="J1274" s="1" t="s">
        <v>258</v>
      </c>
      <c r="K1274" s="1" t="str">
        <f>_xlfn.XLOOKUP(J1274,REF!$D$2:$D$12,REF!$E$2:$E$12)</f>
        <v>Rede</v>
      </c>
      <c r="L1274" s="1" t="s">
        <v>541</v>
      </c>
      <c r="M1274" s="1" t="s">
        <v>260</v>
      </c>
      <c r="N1274" s="1" t="s">
        <v>357</v>
      </c>
      <c r="O1274" s="1" t="s">
        <v>632</v>
      </c>
      <c r="P1274" s="1" t="str">
        <f t="shared" si="65"/>
        <v>BC Aracu5.1Inverter(MBUS-1)46022,118055555646022,118055555646022,3194444444</v>
      </c>
      <c r="Q1274" s="1" t="str">
        <f t="shared" si="66"/>
        <v>DAURDE</v>
      </c>
    </row>
    <row r="1275" spans="1:17" hidden="1">
      <c r="B1275" s="1" t="s">
        <v>246</v>
      </c>
      <c r="C1275" s="1" t="s">
        <v>247</v>
      </c>
      <c r="D1275" s="52">
        <v>46022.118055555555</v>
      </c>
      <c r="E1275" s="52">
        <v>46022.118055555555</v>
      </c>
      <c r="F1275" s="52">
        <v>46022.319444444445</v>
      </c>
      <c r="G1275" s="63">
        <f>F1275-E1275</f>
        <v>0.20138888889050577</v>
      </c>
      <c r="H1275" s="1" t="s">
        <v>257</v>
      </c>
      <c r="J1275" s="1" t="s">
        <v>258</v>
      </c>
      <c r="K1275" s="1" t="str">
        <f>_xlfn.XLOOKUP(J1275,REF!$D$2:$D$12,REF!$E$2:$E$12)</f>
        <v>Rede</v>
      </c>
      <c r="L1275" s="1" t="s">
        <v>541</v>
      </c>
      <c r="M1275" s="1" t="s">
        <v>260</v>
      </c>
      <c r="N1275" s="1" t="s">
        <v>357</v>
      </c>
      <c r="O1275" s="1" t="s">
        <v>632</v>
      </c>
      <c r="P1275" s="1" t="str">
        <f t="shared" si="65"/>
        <v>BC Aracu5.2Inverter(MBUS-1)46022,118055555646022,118055555646022,3194444444</v>
      </c>
      <c r="Q1275" s="1" t="str">
        <f t="shared" si="66"/>
        <v>DAURDE</v>
      </c>
    </row>
    <row r="1276" spans="1:17" hidden="1">
      <c r="B1276" s="1" t="s">
        <v>328</v>
      </c>
      <c r="C1276" s="1" t="s">
        <v>247</v>
      </c>
      <c r="D1276" s="52">
        <v>46022.118055555555</v>
      </c>
      <c r="E1276" s="52">
        <v>46022.118055555555</v>
      </c>
      <c r="F1276" s="52">
        <v>46022.319444444445</v>
      </c>
      <c r="G1276" s="63">
        <f>F1276-E1276</f>
        <v>0.20138888889050577</v>
      </c>
      <c r="H1276" s="1" t="s">
        <v>257</v>
      </c>
      <c r="J1276" s="1" t="s">
        <v>258</v>
      </c>
      <c r="K1276" s="1" t="str">
        <f>_xlfn.XLOOKUP(J1276,REF!$D$2:$D$12,REF!$E$2:$E$12)</f>
        <v>Rede</v>
      </c>
      <c r="L1276" s="1" t="s">
        <v>541</v>
      </c>
      <c r="M1276" s="1" t="s">
        <v>260</v>
      </c>
      <c r="N1276" s="1" t="s">
        <v>357</v>
      </c>
      <c r="O1276" s="1" t="s">
        <v>632</v>
      </c>
      <c r="P1276" s="1" t="str">
        <f t="shared" si="65"/>
        <v>BC Aracu5.3Inverter(MBUS-1)46022,118055555646022,118055555646022,3194444444</v>
      </c>
      <c r="Q1276" s="1" t="str">
        <f t="shared" si="66"/>
        <v>DAURDE</v>
      </c>
    </row>
    <row r="1277" spans="1:17" hidden="1">
      <c r="B1277" s="1" t="s">
        <v>329</v>
      </c>
      <c r="C1277" s="1" t="s">
        <v>247</v>
      </c>
      <c r="D1277" s="52">
        <v>46022.118055555555</v>
      </c>
      <c r="E1277" s="52">
        <v>46022.118055555555</v>
      </c>
      <c r="F1277" s="52">
        <v>46022.319444444445</v>
      </c>
      <c r="G1277" s="63">
        <f>F1277-E1277</f>
        <v>0.20138888889050577</v>
      </c>
      <c r="H1277" s="1" t="s">
        <v>257</v>
      </c>
      <c r="J1277" s="1" t="s">
        <v>258</v>
      </c>
      <c r="K1277" s="1" t="str">
        <f>_xlfn.XLOOKUP(J1277,REF!$D$2:$D$12,REF!$E$2:$E$12)</f>
        <v>Rede</v>
      </c>
      <c r="L1277" s="1" t="s">
        <v>541</v>
      </c>
      <c r="M1277" s="1" t="s">
        <v>260</v>
      </c>
      <c r="N1277" s="1" t="s">
        <v>357</v>
      </c>
      <c r="O1277" s="1" t="s">
        <v>632</v>
      </c>
      <c r="P1277" s="1" t="str">
        <f t="shared" si="65"/>
        <v>BC Aracu5.4Inverter(MBUS-1)46022,118055555646022,118055555646022,3194444444</v>
      </c>
      <c r="Q1277" s="1" t="str">
        <f t="shared" si="66"/>
        <v>DAURDE</v>
      </c>
    </row>
    <row r="1278" spans="1:17" hidden="1">
      <c r="B1278" s="1" t="s">
        <v>330</v>
      </c>
      <c r="C1278" s="1" t="s">
        <v>247</v>
      </c>
      <c r="D1278" s="52">
        <v>46022.118055555555</v>
      </c>
      <c r="E1278" s="52">
        <v>46022.118055555555</v>
      </c>
      <c r="F1278" s="52">
        <v>46022.319444444445</v>
      </c>
      <c r="G1278" s="63">
        <f>F1278-E1278</f>
        <v>0.20138888889050577</v>
      </c>
      <c r="H1278" s="1" t="s">
        <v>257</v>
      </c>
      <c r="J1278" s="1" t="s">
        <v>258</v>
      </c>
      <c r="K1278" s="1" t="str">
        <f>_xlfn.XLOOKUP(J1278,REF!$D$2:$D$12,REF!$E$2:$E$12)</f>
        <v>Rede</v>
      </c>
      <c r="L1278" s="1" t="s">
        <v>541</v>
      </c>
      <c r="M1278" s="1" t="s">
        <v>260</v>
      </c>
      <c r="N1278" s="1" t="s">
        <v>357</v>
      </c>
      <c r="O1278" s="1" t="s">
        <v>632</v>
      </c>
      <c r="P1278" s="1" t="str">
        <f t="shared" si="65"/>
        <v>BC Aracu5.5Inverter(MBUS-1)46022,118055555646022,118055555646022,3194444444</v>
      </c>
      <c r="Q1278" s="1" t="str">
        <f t="shared" si="66"/>
        <v>DAURDE</v>
      </c>
    </row>
    <row r="1279" spans="1:17" hidden="1">
      <c r="A1279" s="45"/>
      <c r="B1279" s="61" t="s">
        <v>698</v>
      </c>
      <c r="C1279" s="61" t="s">
        <v>256</v>
      </c>
      <c r="D1279" s="62">
        <v>46019.569444444445</v>
      </c>
      <c r="E1279" s="62">
        <v>46019.569444444445</v>
      </c>
      <c r="F1279" s="62">
        <v>46019.569444444445</v>
      </c>
      <c r="G1279" s="63">
        <f>F1279-E1279</f>
        <v>0</v>
      </c>
      <c r="H1279" s="61" t="s">
        <v>257</v>
      </c>
      <c r="I1279" s="61"/>
      <c r="J1279" s="61" t="s">
        <v>258</v>
      </c>
      <c r="K1279" s="1" t="str">
        <f>_xlfn.XLOOKUP(J1279,REF!$D$2:$D$12,REF!$E$2:$E$12)</f>
        <v>Rede</v>
      </c>
      <c r="L1279" s="61" t="s">
        <v>2221</v>
      </c>
      <c r="M1279" s="61" t="s">
        <v>2108</v>
      </c>
      <c r="N1279" s="61" t="s">
        <v>357</v>
      </c>
      <c r="O1279" s="61" t="s">
        <v>2111</v>
      </c>
      <c r="P1279" s="61" t="str">
        <f t="shared" si="65"/>
        <v>BC Turvania1.1Inverter(MBUS-12)46019,569444444446019,569444444446019,5694444444</v>
      </c>
      <c r="Q1279" s="61" t="str">
        <f t="shared" si="66"/>
        <v>DAURDE</v>
      </c>
    </row>
    <row r="1280" spans="1:17" hidden="1">
      <c r="A1280" s="45"/>
      <c r="B1280" s="61" t="s">
        <v>698</v>
      </c>
      <c r="C1280" s="61" t="s">
        <v>264</v>
      </c>
      <c r="D1280" s="62">
        <v>46019.569444444445</v>
      </c>
      <c r="E1280" s="62">
        <v>46019.569444444445</v>
      </c>
      <c r="F1280" s="62">
        <v>46019.609027777777</v>
      </c>
      <c r="G1280" s="63">
        <f>F1280-E1280</f>
        <v>3.9583333331393078E-2</v>
      </c>
      <c r="H1280" s="61" t="s">
        <v>257</v>
      </c>
      <c r="I1280" s="61"/>
      <c r="J1280" s="61" t="s">
        <v>258</v>
      </c>
      <c r="K1280" s="1" t="str">
        <f>_xlfn.XLOOKUP(J1280,REF!$D$2:$D$12,REF!$E$2:$E$12)</f>
        <v>Rede</v>
      </c>
      <c r="L1280" s="61" t="s">
        <v>2221</v>
      </c>
      <c r="M1280" s="61" t="s">
        <v>2108</v>
      </c>
      <c r="N1280" s="61" t="s">
        <v>357</v>
      </c>
      <c r="O1280" s="61" t="s">
        <v>2111</v>
      </c>
      <c r="P1280" s="61" t="str">
        <f t="shared" si="65"/>
        <v>BC Turvania1.1Inverter(MBUS-13)46019,569444444446019,569444444446019,6090277778</v>
      </c>
      <c r="Q1280" s="61" t="str">
        <f t="shared" si="66"/>
        <v>DAURDE</v>
      </c>
    </row>
    <row r="1281" spans="1:17" hidden="1">
      <c r="A1281" s="45"/>
      <c r="B1281" s="61" t="s">
        <v>698</v>
      </c>
      <c r="C1281" s="61" t="s">
        <v>263</v>
      </c>
      <c r="D1281" s="62">
        <v>46019.569444444445</v>
      </c>
      <c r="E1281" s="62">
        <v>46019.569444444445</v>
      </c>
      <c r="F1281" s="62">
        <v>46019.609027777777</v>
      </c>
      <c r="G1281" s="63">
        <f>F1281-E1281</f>
        <v>3.9583333331393078E-2</v>
      </c>
      <c r="H1281" s="61" t="s">
        <v>257</v>
      </c>
      <c r="I1281" s="61"/>
      <c r="J1281" s="61" t="s">
        <v>258</v>
      </c>
      <c r="K1281" s="1" t="str">
        <f>_xlfn.XLOOKUP(J1281,REF!$D$2:$D$12,REF!$E$2:$E$12)</f>
        <v>Rede</v>
      </c>
      <c r="L1281" s="61" t="s">
        <v>2221</v>
      </c>
      <c r="M1281" s="61" t="s">
        <v>2108</v>
      </c>
      <c r="N1281" s="61" t="s">
        <v>357</v>
      </c>
      <c r="O1281" s="61" t="s">
        <v>2111</v>
      </c>
      <c r="P1281" s="61" t="str">
        <f t="shared" si="65"/>
        <v>BC Turvania1.1Inverter(MBUS-14)46019,569444444446019,569444444446019,6090277778</v>
      </c>
      <c r="Q1281" s="61" t="str">
        <f t="shared" si="66"/>
        <v>DAURDE</v>
      </c>
    </row>
    <row r="1282" spans="1:17" hidden="1">
      <c r="A1282" s="45"/>
      <c r="B1282" s="61" t="s">
        <v>698</v>
      </c>
      <c r="C1282" s="61" t="s">
        <v>307</v>
      </c>
      <c r="D1282" s="62">
        <v>46019.569444444445</v>
      </c>
      <c r="E1282" s="62">
        <v>46019.569444444445</v>
      </c>
      <c r="F1282" s="62">
        <v>46019.609027777777</v>
      </c>
      <c r="G1282" s="63">
        <f>F1282-E1282</f>
        <v>3.9583333331393078E-2</v>
      </c>
      <c r="H1282" s="61" t="s">
        <v>257</v>
      </c>
      <c r="I1282" s="61"/>
      <c r="J1282" s="61" t="s">
        <v>258</v>
      </c>
      <c r="K1282" s="1" t="str">
        <f>_xlfn.XLOOKUP(J1282,REF!$D$2:$D$12,REF!$E$2:$E$12)</f>
        <v>Rede</v>
      </c>
      <c r="L1282" s="61" t="s">
        <v>2221</v>
      </c>
      <c r="M1282" s="61" t="s">
        <v>2108</v>
      </c>
      <c r="N1282" s="61" t="s">
        <v>357</v>
      </c>
      <c r="O1282" s="61" t="s">
        <v>2111</v>
      </c>
      <c r="P1282" s="61" t="str">
        <f t="shared" si="65"/>
        <v>BC Turvania1.1Inverter(MBUS-15)46019,569444444446019,569444444446019,6090277778</v>
      </c>
      <c r="Q1282" s="61" t="str">
        <f t="shared" si="66"/>
        <v>DAURDE</v>
      </c>
    </row>
    <row r="1283" spans="1:17" hidden="1">
      <c r="A1283" s="45"/>
      <c r="B1283" s="61" t="s">
        <v>700</v>
      </c>
      <c r="C1283" s="61" t="s">
        <v>256</v>
      </c>
      <c r="D1283" s="62">
        <v>46019.569444444445</v>
      </c>
      <c r="E1283" s="62">
        <v>46019.569444444445</v>
      </c>
      <c r="F1283" s="62">
        <v>46019.609027777777</v>
      </c>
      <c r="G1283" s="63">
        <f>F1283-E1283</f>
        <v>3.9583333331393078E-2</v>
      </c>
      <c r="H1283" s="61" t="s">
        <v>257</v>
      </c>
      <c r="I1283" s="61"/>
      <c r="J1283" s="61" t="s">
        <v>258</v>
      </c>
      <c r="K1283" s="1" t="str">
        <f>_xlfn.XLOOKUP(J1283,REF!$D$2:$D$12,REF!$E$2:$E$12)</f>
        <v>Rede</v>
      </c>
      <c r="L1283" s="61" t="s">
        <v>2221</v>
      </c>
      <c r="M1283" s="61" t="s">
        <v>2108</v>
      </c>
      <c r="N1283" s="61" t="s">
        <v>357</v>
      </c>
      <c r="O1283" s="61" t="s">
        <v>2111</v>
      </c>
      <c r="P1283" s="61" t="str">
        <f t="shared" si="65"/>
        <v>BC Turvania1.2Inverter(MBUS-12)46019,569444444446019,569444444446019,6090277778</v>
      </c>
      <c r="Q1283" s="61" t="str">
        <f t="shared" si="66"/>
        <v>DAURDE</v>
      </c>
    </row>
    <row r="1284" spans="1:17" hidden="1">
      <c r="A1284" s="45"/>
      <c r="B1284" s="61" t="s">
        <v>700</v>
      </c>
      <c r="C1284" s="61" t="s">
        <v>264</v>
      </c>
      <c r="D1284" s="62">
        <v>46019.569444444445</v>
      </c>
      <c r="E1284" s="62">
        <v>46019.569444444445</v>
      </c>
      <c r="F1284" s="62">
        <v>46019.609027777777</v>
      </c>
      <c r="G1284" s="63">
        <f>F1284-E1284</f>
        <v>3.9583333331393078E-2</v>
      </c>
      <c r="H1284" s="61" t="s">
        <v>257</v>
      </c>
      <c r="I1284" s="61"/>
      <c r="J1284" s="61" t="s">
        <v>258</v>
      </c>
      <c r="K1284" s="1" t="str">
        <f>_xlfn.XLOOKUP(J1284,REF!$D$2:$D$12,REF!$E$2:$E$12)</f>
        <v>Rede</v>
      </c>
      <c r="L1284" s="61" t="s">
        <v>2221</v>
      </c>
      <c r="M1284" s="61" t="s">
        <v>2108</v>
      </c>
      <c r="N1284" s="61" t="s">
        <v>357</v>
      </c>
      <c r="O1284" s="61" t="s">
        <v>2111</v>
      </c>
      <c r="P1284" s="61" t="str">
        <f t="shared" si="65"/>
        <v>BC Turvania1.2Inverter(MBUS-13)46019,569444444446019,569444444446019,6090277778</v>
      </c>
      <c r="Q1284" s="61" t="str">
        <f t="shared" si="66"/>
        <v>DAURDE</v>
      </c>
    </row>
    <row r="1285" spans="1:17" hidden="1">
      <c r="A1285" s="45"/>
      <c r="B1285" s="61" t="s">
        <v>700</v>
      </c>
      <c r="C1285" s="61" t="s">
        <v>263</v>
      </c>
      <c r="D1285" s="62">
        <v>46019.569444444445</v>
      </c>
      <c r="E1285" s="62">
        <v>46019.569444444445</v>
      </c>
      <c r="F1285" s="62">
        <v>46019.609027777777</v>
      </c>
      <c r="G1285" s="63">
        <f>F1285-E1285</f>
        <v>3.9583333331393078E-2</v>
      </c>
      <c r="H1285" s="61" t="s">
        <v>257</v>
      </c>
      <c r="I1285" s="61"/>
      <c r="J1285" s="61" t="s">
        <v>258</v>
      </c>
      <c r="K1285" s="1" t="str">
        <f>_xlfn.XLOOKUP(J1285,REF!$D$2:$D$12,REF!$E$2:$E$12)</f>
        <v>Rede</v>
      </c>
      <c r="L1285" s="61" t="s">
        <v>2221</v>
      </c>
      <c r="M1285" s="61" t="s">
        <v>2108</v>
      </c>
      <c r="N1285" s="61" t="s">
        <v>357</v>
      </c>
      <c r="O1285" s="61" t="s">
        <v>2111</v>
      </c>
      <c r="P1285" s="61" t="str">
        <f t="shared" si="65"/>
        <v>BC Turvania1.2Inverter(MBUS-14)46019,569444444446019,569444444446019,6090277778</v>
      </c>
      <c r="Q1285" s="61" t="str">
        <f t="shared" si="66"/>
        <v>DAURDE</v>
      </c>
    </row>
    <row r="1286" spans="1:17" hidden="1">
      <c r="A1286" s="45"/>
      <c r="B1286" s="61" t="s">
        <v>700</v>
      </c>
      <c r="C1286" s="61" t="s">
        <v>307</v>
      </c>
      <c r="D1286" s="62">
        <v>46019.569444444445</v>
      </c>
      <c r="E1286" s="62">
        <v>46019.569444444445</v>
      </c>
      <c r="F1286" s="62">
        <v>46019.609027777777</v>
      </c>
      <c r="G1286" s="63">
        <f>F1286-E1286</f>
        <v>3.9583333331393078E-2</v>
      </c>
      <c r="H1286" s="61" t="s">
        <v>257</v>
      </c>
      <c r="I1286" s="61"/>
      <c r="J1286" s="61" t="s">
        <v>258</v>
      </c>
      <c r="K1286" s="1" t="str">
        <f>_xlfn.XLOOKUP(J1286,REF!$D$2:$D$12,REF!$E$2:$E$12)</f>
        <v>Rede</v>
      </c>
      <c r="L1286" s="61" t="s">
        <v>2221</v>
      </c>
      <c r="M1286" s="61" t="s">
        <v>2108</v>
      </c>
      <c r="N1286" s="61" t="s">
        <v>357</v>
      </c>
      <c r="O1286" s="61" t="s">
        <v>2111</v>
      </c>
      <c r="P1286" s="61" t="str">
        <f t="shared" si="65"/>
        <v>BC Turvania1.2Inverter(MBUS-15)46019,569444444446019,569444444446019,6090277778</v>
      </c>
      <c r="Q1286" s="61" t="str">
        <f t="shared" si="66"/>
        <v>DAURDE</v>
      </c>
    </row>
    <row r="1287" spans="1:17" hidden="1">
      <c r="A1287" s="45"/>
      <c r="B1287" s="61" t="s">
        <v>314</v>
      </c>
      <c r="C1287" s="61" t="s">
        <v>247</v>
      </c>
      <c r="D1287" s="62">
        <v>46019.569444444445</v>
      </c>
      <c r="E1287" s="62">
        <v>46019.569444444445</v>
      </c>
      <c r="F1287" s="62">
        <v>46019.609027777777</v>
      </c>
      <c r="G1287" s="63">
        <f>F1287-E1287</f>
        <v>3.9583333331393078E-2</v>
      </c>
      <c r="H1287" s="61" t="s">
        <v>257</v>
      </c>
      <c r="I1287" s="61"/>
      <c r="J1287" s="61" t="s">
        <v>258</v>
      </c>
      <c r="K1287" s="1" t="str">
        <f>_xlfn.XLOOKUP(J1287,REF!$D$2:$D$12,REF!$E$2:$E$12)</f>
        <v>Rede</v>
      </c>
      <c r="L1287" s="61" t="s">
        <v>2221</v>
      </c>
      <c r="M1287" s="61" t="s">
        <v>2108</v>
      </c>
      <c r="N1287" s="61" t="s">
        <v>357</v>
      </c>
      <c r="O1287" s="61" t="s">
        <v>2111</v>
      </c>
      <c r="P1287" s="61" t="str">
        <f t="shared" si="65"/>
        <v>BC Turvania1.3Inverter(MBUS-1)46019,569444444446019,569444444446019,6090277778</v>
      </c>
      <c r="Q1287" s="61" t="str">
        <f t="shared" si="66"/>
        <v>DAURDE</v>
      </c>
    </row>
    <row r="1288" spans="1:17" hidden="1">
      <c r="A1288" s="45"/>
      <c r="B1288" s="61" t="s">
        <v>314</v>
      </c>
      <c r="C1288" s="61" t="s">
        <v>264</v>
      </c>
      <c r="D1288" s="62">
        <v>46019.569444444445</v>
      </c>
      <c r="E1288" s="62">
        <v>46019.569444444445</v>
      </c>
      <c r="F1288" s="62">
        <v>46019.609027777777</v>
      </c>
      <c r="G1288" s="63">
        <f>F1288-E1288</f>
        <v>3.9583333331393078E-2</v>
      </c>
      <c r="H1288" s="61" t="s">
        <v>257</v>
      </c>
      <c r="I1288" s="61"/>
      <c r="J1288" s="61" t="s">
        <v>258</v>
      </c>
      <c r="K1288" s="1" t="str">
        <f>_xlfn.XLOOKUP(J1288,REF!$D$2:$D$12,REF!$E$2:$E$12)</f>
        <v>Rede</v>
      </c>
      <c r="L1288" s="61" t="s">
        <v>2221</v>
      </c>
      <c r="M1288" s="61" t="s">
        <v>2108</v>
      </c>
      <c r="N1288" s="61" t="s">
        <v>357</v>
      </c>
      <c r="O1288" s="61" t="s">
        <v>2111</v>
      </c>
      <c r="P1288" s="61" t="str">
        <f t="shared" si="65"/>
        <v>BC Turvania1.3Inverter(MBUS-13)46019,569444444446019,569444444446019,6090277778</v>
      </c>
      <c r="Q1288" s="61" t="str">
        <f t="shared" si="66"/>
        <v>DAURDE</v>
      </c>
    </row>
    <row r="1289" spans="1:17" hidden="1">
      <c r="A1289" s="45"/>
      <c r="B1289" s="61" t="s">
        <v>314</v>
      </c>
      <c r="C1289" s="61" t="s">
        <v>263</v>
      </c>
      <c r="D1289" s="62">
        <v>46019.569444444445</v>
      </c>
      <c r="E1289" s="62">
        <v>46019.569444444445</v>
      </c>
      <c r="F1289" s="62">
        <v>46019.609027777777</v>
      </c>
      <c r="G1289" s="63">
        <f>F1289-E1289</f>
        <v>3.9583333331393078E-2</v>
      </c>
      <c r="H1289" s="61" t="s">
        <v>257</v>
      </c>
      <c r="I1289" s="61"/>
      <c r="J1289" s="61" t="s">
        <v>258</v>
      </c>
      <c r="K1289" s="1" t="str">
        <f>_xlfn.XLOOKUP(J1289,REF!$D$2:$D$12,REF!$E$2:$E$12)</f>
        <v>Rede</v>
      </c>
      <c r="L1289" s="61" t="s">
        <v>2221</v>
      </c>
      <c r="M1289" s="61" t="s">
        <v>2108</v>
      </c>
      <c r="N1289" s="61" t="s">
        <v>357</v>
      </c>
      <c r="O1289" s="61" t="s">
        <v>2111</v>
      </c>
      <c r="P1289" s="61" t="str">
        <f t="shared" si="65"/>
        <v>BC Turvania1.3Inverter(MBUS-14)46019,569444444446019,569444444446019,6090277778</v>
      </c>
      <c r="Q1289" s="61" t="str">
        <f t="shared" si="66"/>
        <v>DAURDE</v>
      </c>
    </row>
    <row r="1290" spans="1:17" hidden="1">
      <c r="A1290" s="45"/>
      <c r="B1290" s="61" t="s">
        <v>314</v>
      </c>
      <c r="C1290" s="61" t="s">
        <v>307</v>
      </c>
      <c r="D1290" s="62">
        <v>46019.569444444445</v>
      </c>
      <c r="E1290" s="62">
        <v>46019.569444444445</v>
      </c>
      <c r="F1290" s="62">
        <v>46019.609027777777</v>
      </c>
      <c r="G1290" s="63">
        <f>F1290-E1290</f>
        <v>3.9583333331393078E-2</v>
      </c>
      <c r="H1290" s="61" t="s">
        <v>257</v>
      </c>
      <c r="I1290" s="61"/>
      <c r="J1290" s="61" t="s">
        <v>258</v>
      </c>
      <c r="K1290" s="1" t="str">
        <f>_xlfn.XLOOKUP(J1290,REF!$D$2:$D$12,REF!$E$2:$E$12)</f>
        <v>Rede</v>
      </c>
      <c r="L1290" s="61" t="s">
        <v>2221</v>
      </c>
      <c r="M1290" s="61" t="s">
        <v>2108</v>
      </c>
      <c r="N1290" s="61" t="s">
        <v>357</v>
      </c>
      <c r="O1290" s="61" t="s">
        <v>2111</v>
      </c>
      <c r="P1290" s="61" t="str">
        <f t="shared" si="65"/>
        <v>BC Turvania1.3Inverter(MBUS-15)46019,569444444446019,569444444446019,6090277778</v>
      </c>
      <c r="Q1290" s="61" t="str">
        <f t="shared" si="66"/>
        <v>DAURDE</v>
      </c>
    </row>
    <row r="1291" spans="1:17" hidden="1">
      <c r="A1291" s="45"/>
      <c r="B1291" s="61" t="s">
        <v>701</v>
      </c>
      <c r="C1291" s="61" t="s">
        <v>256</v>
      </c>
      <c r="D1291" s="62">
        <v>46019.569444444445</v>
      </c>
      <c r="E1291" s="62">
        <v>46019.569444444445</v>
      </c>
      <c r="F1291" s="62">
        <v>46019.609027777777</v>
      </c>
      <c r="G1291" s="63">
        <f>F1291-E1291</f>
        <v>3.9583333331393078E-2</v>
      </c>
      <c r="H1291" s="61" t="s">
        <v>257</v>
      </c>
      <c r="I1291" s="61"/>
      <c r="J1291" s="61" t="s">
        <v>258</v>
      </c>
      <c r="K1291" s="1" t="str">
        <f>_xlfn.XLOOKUP(J1291,REF!$D$2:$D$12,REF!$E$2:$E$12)</f>
        <v>Rede</v>
      </c>
      <c r="L1291" s="61" t="s">
        <v>2221</v>
      </c>
      <c r="M1291" s="61" t="s">
        <v>2108</v>
      </c>
      <c r="N1291" s="61" t="s">
        <v>357</v>
      </c>
      <c r="O1291" s="61" t="s">
        <v>2111</v>
      </c>
      <c r="P1291" s="61" t="str">
        <f t="shared" si="65"/>
        <v>BC Turvania1.4Inverter(MBUS-12)46019,569444444446019,569444444446019,6090277778</v>
      </c>
      <c r="Q1291" s="61" t="str">
        <f t="shared" si="66"/>
        <v>DAURDE</v>
      </c>
    </row>
    <row r="1292" spans="1:17" hidden="1">
      <c r="A1292" s="45"/>
      <c r="B1292" s="61" t="s">
        <v>701</v>
      </c>
      <c r="C1292" s="61" t="s">
        <v>264</v>
      </c>
      <c r="D1292" s="62">
        <v>46019.569444444445</v>
      </c>
      <c r="E1292" s="62">
        <v>46019.569444444445</v>
      </c>
      <c r="F1292" s="62">
        <v>46019.609027777777</v>
      </c>
      <c r="G1292" s="63">
        <f>F1292-E1292</f>
        <v>3.9583333331393078E-2</v>
      </c>
      <c r="H1292" s="61" t="s">
        <v>257</v>
      </c>
      <c r="I1292" s="61"/>
      <c r="J1292" s="61" t="s">
        <v>258</v>
      </c>
      <c r="K1292" s="1" t="str">
        <f>_xlfn.XLOOKUP(J1292,REF!$D$2:$D$12,REF!$E$2:$E$12)</f>
        <v>Rede</v>
      </c>
      <c r="L1292" s="61" t="s">
        <v>2221</v>
      </c>
      <c r="M1292" s="61" t="s">
        <v>2108</v>
      </c>
      <c r="N1292" s="61" t="s">
        <v>357</v>
      </c>
      <c r="O1292" s="61" t="s">
        <v>2111</v>
      </c>
      <c r="P1292" s="61" t="str">
        <f t="shared" si="65"/>
        <v>BC Turvania1.4Inverter(MBUS-13)46019,569444444446019,569444444446019,6090277778</v>
      </c>
      <c r="Q1292" s="61" t="str">
        <f t="shared" si="66"/>
        <v>DAURDE</v>
      </c>
    </row>
    <row r="1293" spans="1:17" hidden="1">
      <c r="A1293" s="45"/>
      <c r="B1293" s="61" t="s">
        <v>701</v>
      </c>
      <c r="C1293" s="61" t="s">
        <v>263</v>
      </c>
      <c r="D1293" s="62">
        <v>46019.569444444445</v>
      </c>
      <c r="E1293" s="62">
        <v>46019.569444444445</v>
      </c>
      <c r="F1293" s="62">
        <v>46019.609027777777</v>
      </c>
      <c r="G1293" s="63">
        <f>F1293-E1293</f>
        <v>3.9583333331393078E-2</v>
      </c>
      <c r="H1293" s="61" t="s">
        <v>257</v>
      </c>
      <c r="I1293" s="61"/>
      <c r="J1293" s="61" t="s">
        <v>258</v>
      </c>
      <c r="K1293" s="1" t="str">
        <f>_xlfn.XLOOKUP(J1293,REF!$D$2:$D$12,REF!$E$2:$E$12)</f>
        <v>Rede</v>
      </c>
      <c r="L1293" s="61" t="s">
        <v>2221</v>
      </c>
      <c r="M1293" s="61" t="s">
        <v>2108</v>
      </c>
      <c r="N1293" s="61" t="s">
        <v>357</v>
      </c>
      <c r="O1293" s="61" t="s">
        <v>2111</v>
      </c>
      <c r="P1293" s="61" t="str">
        <f t="shared" si="65"/>
        <v>BC Turvania1.4Inverter(MBUS-14)46019,569444444446019,569444444446019,6090277778</v>
      </c>
      <c r="Q1293" s="61" t="str">
        <f t="shared" si="66"/>
        <v>DAURDE</v>
      </c>
    </row>
    <row r="1294" spans="1:17" hidden="1">
      <c r="A1294" s="45"/>
      <c r="B1294" s="61" t="s">
        <v>701</v>
      </c>
      <c r="C1294" s="61" t="s">
        <v>307</v>
      </c>
      <c r="D1294" s="62">
        <v>46019.569444444445</v>
      </c>
      <c r="E1294" s="62">
        <v>46019.569444444445</v>
      </c>
      <c r="F1294" s="62">
        <v>46019.609027777777</v>
      </c>
      <c r="G1294" s="63">
        <f>F1294-E1294</f>
        <v>3.9583333331393078E-2</v>
      </c>
      <c r="H1294" s="61" t="s">
        <v>257</v>
      </c>
      <c r="I1294" s="61"/>
      <c r="J1294" s="61" t="s">
        <v>258</v>
      </c>
      <c r="K1294" s="1" t="str">
        <f>_xlfn.XLOOKUP(J1294,REF!$D$2:$D$12,REF!$E$2:$E$12)</f>
        <v>Rede</v>
      </c>
      <c r="L1294" s="61" t="s">
        <v>2221</v>
      </c>
      <c r="M1294" s="61" t="s">
        <v>2108</v>
      </c>
      <c r="N1294" s="61" t="s">
        <v>357</v>
      </c>
      <c r="O1294" s="61" t="s">
        <v>2111</v>
      </c>
      <c r="P1294" s="61" t="str">
        <f t="shared" si="65"/>
        <v>BC Turvania1.4Inverter(MBUS-15)46019,569444444446019,569444444446019,6090277778</v>
      </c>
      <c r="Q1294" s="61" t="str">
        <f t="shared" si="66"/>
        <v>DAURDE</v>
      </c>
    </row>
    <row r="1295" spans="1:17" hidden="1">
      <c r="A1295" s="45"/>
      <c r="B1295" s="61" t="s">
        <v>702</v>
      </c>
      <c r="C1295" s="61" t="s">
        <v>256</v>
      </c>
      <c r="D1295" s="62">
        <v>46019.569444444445</v>
      </c>
      <c r="E1295" s="62">
        <v>46019.569444444445</v>
      </c>
      <c r="F1295" s="62">
        <v>46019.609027777777</v>
      </c>
      <c r="G1295" s="63">
        <f>F1295-E1295</f>
        <v>3.9583333331393078E-2</v>
      </c>
      <c r="H1295" s="61" t="s">
        <v>257</v>
      </c>
      <c r="I1295" s="61"/>
      <c r="J1295" s="61" t="s">
        <v>258</v>
      </c>
      <c r="K1295" s="1" t="str">
        <f>_xlfn.XLOOKUP(J1295,REF!$D$2:$D$12,REF!$E$2:$E$12)</f>
        <v>Rede</v>
      </c>
      <c r="L1295" s="61" t="s">
        <v>2221</v>
      </c>
      <c r="M1295" s="61" t="s">
        <v>2108</v>
      </c>
      <c r="N1295" s="61" t="s">
        <v>357</v>
      </c>
      <c r="O1295" s="61" t="s">
        <v>2111</v>
      </c>
      <c r="P1295" s="61" t="str">
        <f t="shared" si="65"/>
        <v>BC Turvania1.5Inverter(MBUS-12)46019,569444444446019,569444444446019,6090277778</v>
      </c>
      <c r="Q1295" s="61" t="str">
        <f t="shared" si="66"/>
        <v>DAURDE</v>
      </c>
    </row>
    <row r="1296" spans="1:17" hidden="1">
      <c r="A1296" s="45"/>
      <c r="B1296" s="61" t="s">
        <v>702</v>
      </c>
      <c r="C1296" s="61" t="s">
        <v>264</v>
      </c>
      <c r="D1296" s="62">
        <v>46019.569444444445</v>
      </c>
      <c r="E1296" s="62">
        <v>46019.569444444445</v>
      </c>
      <c r="F1296" s="62">
        <v>46019.609027777777</v>
      </c>
      <c r="G1296" s="63">
        <f>F1296-E1296</f>
        <v>3.9583333331393078E-2</v>
      </c>
      <c r="H1296" s="61" t="s">
        <v>257</v>
      </c>
      <c r="I1296" s="61"/>
      <c r="J1296" s="61" t="s">
        <v>258</v>
      </c>
      <c r="K1296" s="1" t="str">
        <f>_xlfn.XLOOKUP(J1296,REF!$D$2:$D$12,REF!$E$2:$E$12)</f>
        <v>Rede</v>
      </c>
      <c r="L1296" s="61" t="s">
        <v>2221</v>
      </c>
      <c r="M1296" s="61" t="s">
        <v>2108</v>
      </c>
      <c r="N1296" s="61" t="s">
        <v>357</v>
      </c>
      <c r="O1296" s="61" t="s">
        <v>2111</v>
      </c>
      <c r="P1296" s="61" t="str">
        <f t="shared" si="65"/>
        <v>BC Turvania1.5Inverter(MBUS-13)46019,569444444446019,569444444446019,6090277778</v>
      </c>
      <c r="Q1296" s="61" t="str">
        <f t="shared" si="66"/>
        <v>DAURDE</v>
      </c>
    </row>
    <row r="1297" spans="1:17" hidden="1">
      <c r="A1297" s="45"/>
      <c r="B1297" s="61" t="s">
        <v>702</v>
      </c>
      <c r="C1297" s="61" t="s">
        <v>263</v>
      </c>
      <c r="D1297" s="62">
        <v>46019.569444444445</v>
      </c>
      <c r="E1297" s="62">
        <v>46019.569444444445</v>
      </c>
      <c r="F1297" s="62">
        <v>46019.609027777777</v>
      </c>
      <c r="G1297" s="63">
        <f>F1297-E1297</f>
        <v>3.9583333331393078E-2</v>
      </c>
      <c r="H1297" s="61" t="s">
        <v>257</v>
      </c>
      <c r="I1297" s="61"/>
      <c r="J1297" s="61" t="s">
        <v>258</v>
      </c>
      <c r="K1297" s="1" t="str">
        <f>_xlfn.XLOOKUP(J1297,REF!$D$2:$D$12,REF!$E$2:$E$12)</f>
        <v>Rede</v>
      </c>
      <c r="L1297" s="61" t="s">
        <v>2221</v>
      </c>
      <c r="M1297" s="61" t="s">
        <v>2108</v>
      </c>
      <c r="N1297" s="61" t="s">
        <v>357</v>
      </c>
      <c r="O1297" s="61" t="s">
        <v>2111</v>
      </c>
      <c r="P1297" s="61" t="str">
        <f t="shared" si="65"/>
        <v>BC Turvania1.5Inverter(MBUS-14)46019,569444444446019,569444444446019,6090277778</v>
      </c>
      <c r="Q1297" s="61" t="str">
        <f t="shared" si="66"/>
        <v>DAURDE</v>
      </c>
    </row>
    <row r="1298" spans="1:17" hidden="1">
      <c r="A1298" s="45"/>
      <c r="B1298" s="61" t="s">
        <v>702</v>
      </c>
      <c r="C1298" s="61" t="s">
        <v>247</v>
      </c>
      <c r="D1298" s="62">
        <v>46019.569444444445</v>
      </c>
      <c r="E1298" s="62">
        <v>46019.569444444445</v>
      </c>
      <c r="F1298" s="62">
        <v>46019.609027777777</v>
      </c>
      <c r="G1298" s="63">
        <f>F1298-E1298</f>
        <v>3.9583333331393078E-2</v>
      </c>
      <c r="H1298" s="61" t="s">
        <v>257</v>
      </c>
      <c r="I1298" s="61"/>
      <c r="J1298" s="61" t="s">
        <v>258</v>
      </c>
      <c r="K1298" s="1" t="str">
        <f>_xlfn.XLOOKUP(J1298,REF!$D$2:$D$12,REF!$E$2:$E$12)</f>
        <v>Rede</v>
      </c>
      <c r="L1298" s="61" t="s">
        <v>2221</v>
      </c>
      <c r="M1298" s="61" t="s">
        <v>2108</v>
      </c>
      <c r="N1298" s="61" t="s">
        <v>357</v>
      </c>
      <c r="O1298" s="61" t="s">
        <v>2111</v>
      </c>
      <c r="P1298" s="61" t="str">
        <f t="shared" si="65"/>
        <v>BC Turvania1.5Inverter(MBUS-1)46019,569444444446019,569444444446019,6090277778</v>
      </c>
      <c r="Q1298" s="61" t="str">
        <f t="shared" si="66"/>
        <v>DAURDE</v>
      </c>
    </row>
    <row r="1299" spans="1:17" hidden="1">
      <c r="B1299" s="1" t="s">
        <v>803</v>
      </c>
      <c r="C1299" s="1" t="s">
        <v>264</v>
      </c>
      <c r="D1299" s="52">
        <v>46021.927083333336</v>
      </c>
      <c r="E1299" s="52">
        <v>46021.927083333336</v>
      </c>
      <c r="F1299" s="52">
        <v>46022.395833333336</v>
      </c>
      <c r="G1299" s="63">
        <f>F1299-E1299</f>
        <v>0.46875</v>
      </c>
      <c r="H1299" s="1" t="s">
        <v>257</v>
      </c>
      <c r="J1299" s="1" t="s">
        <v>258</v>
      </c>
      <c r="K1299" s="1" t="str">
        <f>_xlfn.XLOOKUP(J1299,REF!$D$2:$D$12,REF!$E$2:$E$12)</f>
        <v>Rede</v>
      </c>
      <c r="L1299" s="1" t="s">
        <v>635</v>
      </c>
      <c r="M1299" s="1" t="s">
        <v>260</v>
      </c>
      <c r="N1299" s="1" t="s">
        <v>357</v>
      </c>
      <c r="O1299" s="1" t="s">
        <v>632</v>
      </c>
      <c r="P1299" s="1" t="str">
        <f t="shared" si="65"/>
        <v>BC Formoso1.1Inverter(MBUS-13)46021,927083333346021,927083333346022,3958333333</v>
      </c>
      <c r="Q1299" s="1" t="str">
        <f t="shared" si="66"/>
        <v>DAURDE</v>
      </c>
    </row>
    <row r="1300" spans="1:17" hidden="1">
      <c r="B1300" s="1" t="s">
        <v>803</v>
      </c>
      <c r="C1300" s="1" t="s">
        <v>256</v>
      </c>
      <c r="D1300" s="52">
        <v>46021.927083333336</v>
      </c>
      <c r="E1300" s="52">
        <v>46021.927083333336</v>
      </c>
      <c r="F1300" s="52">
        <v>46022.395833333336</v>
      </c>
      <c r="G1300" s="63">
        <f>F1300-E1300</f>
        <v>0.46875</v>
      </c>
      <c r="H1300" s="1" t="s">
        <v>257</v>
      </c>
      <c r="J1300" s="1" t="s">
        <v>258</v>
      </c>
      <c r="K1300" s="1" t="str">
        <f>_xlfn.XLOOKUP(J1300,REF!$D$2:$D$12,REF!$E$2:$E$12)</f>
        <v>Rede</v>
      </c>
      <c r="L1300" s="1" t="s">
        <v>635</v>
      </c>
      <c r="M1300" s="1" t="s">
        <v>260</v>
      </c>
      <c r="N1300" s="1" t="s">
        <v>357</v>
      </c>
      <c r="O1300" s="1" t="s">
        <v>632</v>
      </c>
      <c r="P1300" s="1" t="str">
        <f t="shared" si="65"/>
        <v>BC Formoso1.1Inverter(MBUS-12)46021,927083333346021,927083333346022,3958333333</v>
      </c>
      <c r="Q1300" s="1" t="str">
        <f t="shared" si="66"/>
        <v>DAURDE</v>
      </c>
    </row>
    <row r="1301" spans="1:17" hidden="1">
      <c r="B1301" s="1" t="s">
        <v>803</v>
      </c>
      <c r="C1301" s="1" t="s">
        <v>307</v>
      </c>
      <c r="D1301" s="52">
        <v>46021.927083333336</v>
      </c>
      <c r="E1301" s="52">
        <v>46021.927083333336</v>
      </c>
      <c r="F1301" s="52">
        <v>46022.395833333336</v>
      </c>
      <c r="G1301" s="63">
        <f>F1301-E1301</f>
        <v>0.46875</v>
      </c>
      <c r="H1301" s="1" t="s">
        <v>257</v>
      </c>
      <c r="J1301" s="1" t="s">
        <v>258</v>
      </c>
      <c r="K1301" s="1" t="str">
        <f>_xlfn.XLOOKUP(J1301,REF!$D$2:$D$12,REF!$E$2:$E$12)</f>
        <v>Rede</v>
      </c>
      <c r="L1301" s="1" t="s">
        <v>635</v>
      </c>
      <c r="M1301" s="1" t="s">
        <v>260</v>
      </c>
      <c r="N1301" s="1" t="s">
        <v>357</v>
      </c>
      <c r="O1301" s="1" t="s">
        <v>632</v>
      </c>
      <c r="P1301" s="1" t="str">
        <f t="shared" si="65"/>
        <v>BC Formoso1.1Inverter(MBUS-15)46021,927083333346021,927083333346022,3958333333</v>
      </c>
      <c r="Q1301" s="1" t="str">
        <f t="shared" si="66"/>
        <v>DAURDE</v>
      </c>
    </row>
    <row r="1302" spans="1:17" hidden="1">
      <c r="B1302" s="1" t="s">
        <v>803</v>
      </c>
      <c r="C1302" s="1" t="s">
        <v>263</v>
      </c>
      <c r="D1302" s="52">
        <v>46021.927083333336</v>
      </c>
      <c r="E1302" s="52">
        <v>46021.927083333336</v>
      </c>
      <c r="F1302" s="52">
        <v>46022.395833333336</v>
      </c>
      <c r="G1302" s="63">
        <f>F1302-E1302</f>
        <v>0.46875</v>
      </c>
      <c r="H1302" s="1" t="s">
        <v>257</v>
      </c>
      <c r="J1302" s="1" t="s">
        <v>258</v>
      </c>
      <c r="K1302" s="1" t="str">
        <f>_xlfn.XLOOKUP(J1302,REF!$D$2:$D$12,REF!$E$2:$E$12)</f>
        <v>Rede</v>
      </c>
      <c r="L1302" s="1" t="s">
        <v>635</v>
      </c>
      <c r="M1302" s="1" t="s">
        <v>260</v>
      </c>
      <c r="N1302" s="1" t="s">
        <v>357</v>
      </c>
      <c r="O1302" s="1" t="s">
        <v>632</v>
      </c>
      <c r="P1302" s="1" t="str">
        <f t="shared" si="65"/>
        <v>BC Formoso1.1Inverter(MBUS-14)46021,927083333346021,927083333346022,3958333333</v>
      </c>
      <c r="Q1302" s="1" t="str">
        <f t="shared" si="66"/>
        <v>DAURDE</v>
      </c>
    </row>
    <row r="1303" spans="1:17" hidden="1">
      <c r="B1303" s="1" t="s">
        <v>265</v>
      </c>
      <c r="C1303" s="1" t="s">
        <v>263</v>
      </c>
      <c r="D1303" s="52">
        <v>46021.927083333336</v>
      </c>
      <c r="E1303" s="52">
        <v>46021.927083333336</v>
      </c>
      <c r="F1303" s="52">
        <v>46022.395833333336</v>
      </c>
      <c r="G1303" s="63">
        <f>F1303-E1303</f>
        <v>0.46875</v>
      </c>
      <c r="H1303" s="1" t="s">
        <v>257</v>
      </c>
      <c r="J1303" s="1" t="s">
        <v>258</v>
      </c>
      <c r="K1303" s="1" t="str">
        <f>_xlfn.XLOOKUP(J1303,REF!$D$2:$D$12,REF!$E$2:$E$12)</f>
        <v>Rede</v>
      </c>
      <c r="L1303" s="1" t="s">
        <v>635</v>
      </c>
      <c r="M1303" s="1" t="s">
        <v>260</v>
      </c>
      <c r="N1303" s="1" t="s">
        <v>357</v>
      </c>
      <c r="O1303" s="1" t="s">
        <v>632</v>
      </c>
      <c r="P1303" s="1" t="str">
        <f t="shared" si="65"/>
        <v>BC Formoso2.2Inverter(MBUS-14)46021,927083333346021,927083333346022,3958333333</v>
      </c>
      <c r="Q1303" s="1" t="str">
        <f t="shared" si="66"/>
        <v>DAURDE</v>
      </c>
    </row>
    <row r="1304" spans="1:17" hidden="1">
      <c r="B1304" s="1" t="s">
        <v>265</v>
      </c>
      <c r="C1304" s="1" t="s">
        <v>264</v>
      </c>
      <c r="D1304" s="52">
        <v>46021.927083333336</v>
      </c>
      <c r="E1304" s="52">
        <v>46021.927083333336</v>
      </c>
      <c r="F1304" s="52">
        <v>46022.395833333336</v>
      </c>
      <c r="G1304" s="63">
        <f>F1304-E1304</f>
        <v>0.46875</v>
      </c>
      <c r="H1304" s="1" t="s">
        <v>257</v>
      </c>
      <c r="J1304" s="1" t="s">
        <v>258</v>
      </c>
      <c r="K1304" s="1" t="str">
        <f>_xlfn.XLOOKUP(J1304,REF!$D$2:$D$12,REF!$E$2:$E$12)</f>
        <v>Rede</v>
      </c>
      <c r="L1304" s="1" t="s">
        <v>635</v>
      </c>
      <c r="M1304" s="1" t="s">
        <v>260</v>
      </c>
      <c r="N1304" s="1" t="s">
        <v>357</v>
      </c>
      <c r="O1304" s="1" t="s">
        <v>632</v>
      </c>
      <c r="P1304" s="1" t="str">
        <f t="shared" si="65"/>
        <v>BC Formoso2.2Inverter(MBUS-13)46021,927083333346021,927083333346022,3958333333</v>
      </c>
      <c r="Q1304" s="1" t="str">
        <f t="shared" si="66"/>
        <v>DAURDE</v>
      </c>
    </row>
    <row r="1305" spans="1:17" hidden="1">
      <c r="B1305" s="1" t="s">
        <v>265</v>
      </c>
      <c r="C1305" s="1" t="s">
        <v>256</v>
      </c>
      <c r="D1305" s="52">
        <v>46021.927083333336</v>
      </c>
      <c r="E1305" s="52">
        <v>46021.927083333336</v>
      </c>
      <c r="F1305" s="52">
        <v>46022.395833333336</v>
      </c>
      <c r="G1305" s="63">
        <f>F1305-E1305</f>
        <v>0.46875</v>
      </c>
      <c r="H1305" s="1" t="s">
        <v>257</v>
      </c>
      <c r="J1305" s="1" t="s">
        <v>258</v>
      </c>
      <c r="K1305" s="1" t="str">
        <f>_xlfn.XLOOKUP(J1305,REF!$D$2:$D$12,REF!$E$2:$E$12)</f>
        <v>Rede</v>
      </c>
      <c r="L1305" s="1" t="s">
        <v>635</v>
      </c>
      <c r="M1305" s="1" t="s">
        <v>260</v>
      </c>
      <c r="N1305" s="1" t="s">
        <v>357</v>
      </c>
      <c r="O1305" s="1" t="s">
        <v>632</v>
      </c>
      <c r="P1305" s="1" t="str">
        <f t="shared" si="65"/>
        <v>BC Formoso2.2Inverter(MBUS-12)46021,927083333346021,927083333346022,3958333333</v>
      </c>
      <c r="Q1305" s="1" t="str">
        <f t="shared" si="66"/>
        <v>DAURDE</v>
      </c>
    </row>
    <row r="1306" spans="1:17" hidden="1">
      <c r="B1306" s="1" t="s">
        <v>265</v>
      </c>
      <c r="C1306" s="1" t="s">
        <v>247</v>
      </c>
      <c r="D1306" s="52">
        <v>46021.927083333336</v>
      </c>
      <c r="E1306" s="52">
        <v>46021.927083333336</v>
      </c>
      <c r="F1306" s="52">
        <v>46022.395833333336</v>
      </c>
      <c r="G1306" s="63">
        <f>F1306-E1306</f>
        <v>0.46875</v>
      </c>
      <c r="H1306" s="1" t="s">
        <v>257</v>
      </c>
      <c r="J1306" s="1" t="s">
        <v>258</v>
      </c>
      <c r="K1306" s="1" t="str">
        <f>_xlfn.XLOOKUP(J1306,REF!$D$2:$D$12,REF!$E$2:$E$12)</f>
        <v>Rede</v>
      </c>
      <c r="L1306" s="1" t="s">
        <v>635</v>
      </c>
      <c r="M1306" s="1" t="s">
        <v>260</v>
      </c>
      <c r="N1306" s="1" t="s">
        <v>357</v>
      </c>
      <c r="O1306" s="1" t="s">
        <v>632</v>
      </c>
      <c r="P1306" s="1" t="str">
        <f t="shared" ref="P1306:P1369" si="67">_xlfn.CONCAT(B1306,C1306,D1306,E1306,F1306)</f>
        <v>BC Formoso2.2Inverter(MBUS-1)46021,927083333346021,927083333346022,3958333333</v>
      </c>
      <c r="Q1306" s="1" t="str">
        <f t="shared" ref="Q1306:Q1369" si="68">_xlfn.CONCAT(H1306,I1306,J1306)</f>
        <v>DAURDE</v>
      </c>
    </row>
    <row r="1307" spans="1:17" hidden="1">
      <c r="A1307" s="45"/>
      <c r="B1307" s="61" t="s">
        <v>2063</v>
      </c>
      <c r="C1307" s="61" t="s">
        <v>613</v>
      </c>
      <c r="D1307" s="62">
        <v>46020.538194444445</v>
      </c>
      <c r="E1307" s="62">
        <v>46020.538194444445</v>
      </c>
      <c r="F1307" s="62">
        <v>46020.583333333336</v>
      </c>
      <c r="G1307" s="63">
        <f>F1307-E1307</f>
        <v>4.5138888890505768E-2</v>
      </c>
      <c r="H1307" s="61" t="s">
        <v>257</v>
      </c>
      <c r="I1307" s="61"/>
      <c r="J1307" s="61" t="s">
        <v>371</v>
      </c>
      <c r="K1307" s="1" t="str">
        <f>_xlfn.XLOOKUP(J1307,REF!$D$2:$D$12,REF!$E$2:$E$12)</f>
        <v>Inversor</v>
      </c>
      <c r="L1307" s="61" t="s">
        <v>2213</v>
      </c>
      <c r="M1307" s="61" t="s">
        <v>252</v>
      </c>
      <c r="N1307" s="61" t="s">
        <v>253</v>
      </c>
      <c r="O1307" s="61" t="s">
        <v>2214</v>
      </c>
      <c r="P1307" s="61"/>
      <c r="Q1307" s="61"/>
    </row>
    <row r="1308" spans="1:17" hidden="1">
      <c r="A1308" s="45"/>
      <c r="B1308" s="61" t="s">
        <v>2063</v>
      </c>
      <c r="C1308" s="61" t="s">
        <v>613</v>
      </c>
      <c r="D1308" s="62">
        <v>46021.513888888891</v>
      </c>
      <c r="E1308" s="62">
        <v>46020.538194444445</v>
      </c>
      <c r="F1308" s="62">
        <v>46021.291666666664</v>
      </c>
      <c r="G1308" s="63">
        <f>F1308-E1308</f>
        <v>0.75347222221898846</v>
      </c>
      <c r="H1308" s="61" t="s">
        <v>257</v>
      </c>
      <c r="I1308" s="61"/>
      <c r="J1308" s="61" t="s">
        <v>371</v>
      </c>
      <c r="K1308" s="1" t="str">
        <f>_xlfn.XLOOKUP(J1308,REF!$D$2:$D$12,REF!$E$2:$E$12)</f>
        <v>Inversor</v>
      </c>
      <c r="L1308" s="61" t="s">
        <v>2213</v>
      </c>
      <c r="M1308" s="61" t="s">
        <v>252</v>
      </c>
      <c r="N1308" s="61" t="s">
        <v>253</v>
      </c>
      <c r="O1308" s="61" t="s">
        <v>2214</v>
      </c>
      <c r="P1308" s="61"/>
      <c r="Q1308" s="61"/>
    </row>
    <row r="1309" spans="1:17" hidden="1">
      <c r="B1309" s="1" t="s">
        <v>305</v>
      </c>
      <c r="C1309" s="1" t="s">
        <v>256</v>
      </c>
      <c r="D1309" s="52">
        <v>46003.222222222219</v>
      </c>
      <c r="E1309" s="52">
        <v>46003.222222222219</v>
      </c>
      <c r="F1309" s="52">
        <v>46003.34652777778</v>
      </c>
      <c r="G1309" s="63">
        <f>F1309-E1309</f>
        <v>0.12430555556056788</v>
      </c>
      <c r="H1309" s="1" t="s">
        <v>257</v>
      </c>
      <c r="J1309" s="1" t="s">
        <v>258</v>
      </c>
      <c r="K1309" s="1" t="str">
        <f>_xlfn.XLOOKUP(J1309,REF!$D$2:$D$12,REF!$E$2:$E$12)</f>
        <v>Rede</v>
      </c>
      <c r="L1309" s="1" t="s">
        <v>2222</v>
      </c>
      <c r="M1309" s="1" t="s">
        <v>260</v>
      </c>
      <c r="N1309" s="1" t="s">
        <v>357</v>
      </c>
      <c r="O1309" s="1" t="s">
        <v>632</v>
      </c>
      <c r="P1309" s="1" t="str">
        <f t="shared" si="67"/>
        <v>ARAGUATINS 1.1Inverter(MBUS-12)46003,222222222246003,222222222246003,3465277778</v>
      </c>
      <c r="Q1309" s="1" t="str">
        <f t="shared" si="68"/>
        <v>DAURDE</v>
      </c>
    </row>
    <row r="1310" spans="1:17" hidden="1">
      <c r="B1310" s="1" t="s">
        <v>305</v>
      </c>
      <c r="C1310" s="1" t="s">
        <v>264</v>
      </c>
      <c r="D1310" s="52">
        <v>46003.222222222219</v>
      </c>
      <c r="E1310" s="52">
        <v>46003.222222222219</v>
      </c>
      <c r="F1310" s="52">
        <v>46003.34652777778</v>
      </c>
      <c r="G1310" s="63">
        <f>F1310-E1310</f>
        <v>0.12430555556056788</v>
      </c>
      <c r="H1310" s="1" t="s">
        <v>257</v>
      </c>
      <c r="J1310" s="1" t="s">
        <v>258</v>
      </c>
      <c r="K1310" s="1" t="str">
        <f>_xlfn.XLOOKUP(J1310,REF!$D$2:$D$12,REF!$E$2:$E$12)</f>
        <v>Rede</v>
      </c>
      <c r="L1310" s="1" t="s">
        <v>2222</v>
      </c>
      <c r="M1310" s="1" t="s">
        <v>260</v>
      </c>
      <c r="N1310" s="1" t="s">
        <v>357</v>
      </c>
      <c r="O1310" s="1" t="s">
        <v>632</v>
      </c>
      <c r="P1310" s="1" t="str">
        <f t="shared" si="67"/>
        <v>ARAGUATINS 1.1Inverter(MBUS-13)46003,222222222246003,222222222246003,3465277778</v>
      </c>
      <c r="Q1310" s="1" t="str">
        <f t="shared" si="68"/>
        <v>DAURDE</v>
      </c>
    </row>
    <row r="1311" spans="1:17" hidden="1">
      <c r="B1311" s="1" t="s">
        <v>305</v>
      </c>
      <c r="C1311" s="1" t="s">
        <v>263</v>
      </c>
      <c r="D1311" s="52">
        <v>46003.222222222219</v>
      </c>
      <c r="E1311" s="52">
        <v>46003.222222222219</v>
      </c>
      <c r="F1311" s="52">
        <v>46003.34652777778</v>
      </c>
      <c r="G1311" s="63">
        <f>F1311-E1311</f>
        <v>0.12430555556056788</v>
      </c>
      <c r="H1311" s="1" t="s">
        <v>257</v>
      </c>
      <c r="J1311" s="1" t="s">
        <v>258</v>
      </c>
      <c r="K1311" s="1" t="str">
        <f>_xlfn.XLOOKUP(J1311,REF!$D$2:$D$12,REF!$E$2:$E$12)</f>
        <v>Rede</v>
      </c>
      <c r="L1311" s="1" t="s">
        <v>2222</v>
      </c>
      <c r="M1311" s="1" t="s">
        <v>260</v>
      </c>
      <c r="N1311" s="1" t="s">
        <v>357</v>
      </c>
      <c r="O1311" s="1" t="s">
        <v>632</v>
      </c>
      <c r="P1311" s="1" t="str">
        <f t="shared" si="67"/>
        <v>ARAGUATINS 1.1Inverter(MBUS-14)46003,222222222246003,222222222246003,3465277778</v>
      </c>
      <c r="Q1311" s="1" t="str">
        <f t="shared" si="68"/>
        <v>DAURDE</v>
      </c>
    </row>
    <row r="1312" spans="1:17" hidden="1">
      <c r="B1312" s="1" t="s">
        <v>305</v>
      </c>
      <c r="C1312" s="1" t="s">
        <v>307</v>
      </c>
      <c r="D1312" s="52">
        <v>46003.222222222219</v>
      </c>
      <c r="E1312" s="52">
        <v>46003.222222222219</v>
      </c>
      <c r="F1312" s="52">
        <v>46003.34652777778</v>
      </c>
      <c r="G1312" s="63">
        <f>F1312-E1312</f>
        <v>0.12430555556056788</v>
      </c>
      <c r="H1312" s="1" t="s">
        <v>257</v>
      </c>
      <c r="J1312" s="1" t="s">
        <v>258</v>
      </c>
      <c r="K1312" s="1" t="str">
        <f>_xlfn.XLOOKUP(J1312,REF!$D$2:$D$12,REF!$E$2:$E$12)</f>
        <v>Rede</v>
      </c>
      <c r="L1312" s="1" t="s">
        <v>2222</v>
      </c>
      <c r="M1312" s="1" t="s">
        <v>260</v>
      </c>
      <c r="N1312" s="1" t="s">
        <v>357</v>
      </c>
      <c r="O1312" s="1" t="s">
        <v>632</v>
      </c>
      <c r="P1312" s="1" t="str">
        <f t="shared" si="67"/>
        <v>ARAGUATINS 1.1Inverter(MBUS-15)46003,222222222246003,222222222246003,3465277778</v>
      </c>
      <c r="Q1312" s="1" t="str">
        <f t="shared" si="68"/>
        <v>DAURDE</v>
      </c>
    </row>
    <row r="1313" spans="2:17" hidden="1">
      <c r="B1313" s="1" t="s">
        <v>308</v>
      </c>
      <c r="C1313" s="1" t="s">
        <v>256</v>
      </c>
      <c r="D1313" s="52">
        <v>46003.222222222219</v>
      </c>
      <c r="E1313" s="52">
        <v>46003.222222222219</v>
      </c>
      <c r="F1313" s="52">
        <v>46003.34652777778</v>
      </c>
      <c r="G1313" s="63">
        <f>F1313-E1313</f>
        <v>0.12430555556056788</v>
      </c>
      <c r="H1313" s="1" t="s">
        <v>257</v>
      </c>
      <c r="J1313" s="1" t="s">
        <v>258</v>
      </c>
      <c r="K1313" s="1" t="str">
        <f>_xlfn.XLOOKUP(J1313,REF!$D$2:$D$12,REF!$E$2:$E$12)</f>
        <v>Rede</v>
      </c>
      <c r="L1313" s="1" t="s">
        <v>2222</v>
      </c>
      <c r="M1313" s="1" t="s">
        <v>260</v>
      </c>
      <c r="N1313" s="1" t="s">
        <v>357</v>
      </c>
      <c r="O1313" s="1" t="s">
        <v>632</v>
      </c>
      <c r="P1313" s="1" t="str">
        <f t="shared" si="67"/>
        <v>ARAGUATINS 1.2Inverter(MBUS-12)46003,222222222246003,222222222246003,3465277778</v>
      </c>
      <c r="Q1313" s="1" t="str">
        <f t="shared" si="68"/>
        <v>DAURDE</v>
      </c>
    </row>
    <row r="1314" spans="2:17" hidden="1">
      <c r="B1314" s="1" t="s">
        <v>308</v>
      </c>
      <c r="C1314" s="1" t="s">
        <v>264</v>
      </c>
      <c r="D1314" s="52">
        <v>46003.222222222219</v>
      </c>
      <c r="E1314" s="52">
        <v>46003.222222222219</v>
      </c>
      <c r="F1314" s="52">
        <v>46003.34652777778</v>
      </c>
      <c r="G1314" s="63">
        <f>F1314-E1314</f>
        <v>0.12430555556056788</v>
      </c>
      <c r="H1314" s="1" t="s">
        <v>257</v>
      </c>
      <c r="J1314" s="1" t="s">
        <v>258</v>
      </c>
      <c r="K1314" s="1" t="str">
        <f>_xlfn.XLOOKUP(J1314,REF!$D$2:$D$12,REF!$E$2:$E$12)</f>
        <v>Rede</v>
      </c>
      <c r="L1314" s="1" t="s">
        <v>2222</v>
      </c>
      <c r="M1314" s="1" t="s">
        <v>260</v>
      </c>
      <c r="N1314" s="1" t="s">
        <v>357</v>
      </c>
      <c r="O1314" s="1" t="s">
        <v>632</v>
      </c>
      <c r="P1314" s="1" t="str">
        <f t="shared" si="67"/>
        <v>ARAGUATINS 1.2Inverter(MBUS-13)46003,222222222246003,222222222246003,3465277778</v>
      </c>
      <c r="Q1314" s="1" t="str">
        <f t="shared" si="68"/>
        <v>DAURDE</v>
      </c>
    </row>
    <row r="1315" spans="2:17" hidden="1">
      <c r="B1315" s="1" t="s">
        <v>308</v>
      </c>
      <c r="C1315" s="1" t="s">
        <v>263</v>
      </c>
      <c r="D1315" s="52">
        <v>46003.222222222219</v>
      </c>
      <c r="E1315" s="52">
        <v>46003.222222222219</v>
      </c>
      <c r="F1315" s="52">
        <v>46003.34652777778</v>
      </c>
      <c r="G1315" s="63">
        <f>F1315-E1315</f>
        <v>0.12430555556056788</v>
      </c>
      <c r="H1315" s="1" t="s">
        <v>257</v>
      </c>
      <c r="J1315" s="1" t="s">
        <v>258</v>
      </c>
      <c r="K1315" s="1" t="str">
        <f>_xlfn.XLOOKUP(J1315,REF!$D$2:$D$12,REF!$E$2:$E$12)</f>
        <v>Rede</v>
      </c>
      <c r="L1315" s="1" t="s">
        <v>2222</v>
      </c>
      <c r="M1315" s="1" t="s">
        <v>260</v>
      </c>
      <c r="N1315" s="1" t="s">
        <v>357</v>
      </c>
      <c r="O1315" s="1" t="s">
        <v>632</v>
      </c>
      <c r="P1315" s="1" t="str">
        <f t="shared" si="67"/>
        <v>ARAGUATINS 1.2Inverter(MBUS-14)46003,222222222246003,222222222246003,3465277778</v>
      </c>
      <c r="Q1315" s="1" t="str">
        <f t="shared" si="68"/>
        <v>DAURDE</v>
      </c>
    </row>
    <row r="1316" spans="2:17" hidden="1">
      <c r="B1316" s="1" t="s">
        <v>308</v>
      </c>
      <c r="C1316" s="1" t="s">
        <v>307</v>
      </c>
      <c r="D1316" s="52">
        <v>46003.222222222219</v>
      </c>
      <c r="E1316" s="52">
        <v>46003.222222222219</v>
      </c>
      <c r="F1316" s="52">
        <v>46003.34652777778</v>
      </c>
      <c r="G1316" s="63">
        <f>F1316-E1316</f>
        <v>0.12430555556056788</v>
      </c>
      <c r="H1316" s="1" t="s">
        <v>257</v>
      </c>
      <c r="J1316" s="1" t="s">
        <v>258</v>
      </c>
      <c r="K1316" s="1" t="str">
        <f>_xlfn.XLOOKUP(J1316,REF!$D$2:$D$12,REF!$E$2:$E$12)</f>
        <v>Rede</v>
      </c>
      <c r="L1316" s="1" t="s">
        <v>2222</v>
      </c>
      <c r="M1316" s="1" t="s">
        <v>260</v>
      </c>
      <c r="N1316" s="1" t="s">
        <v>357</v>
      </c>
      <c r="O1316" s="1" t="s">
        <v>632</v>
      </c>
      <c r="P1316" s="1" t="str">
        <f t="shared" si="67"/>
        <v>ARAGUATINS 1.2Inverter(MBUS-15)46003,222222222246003,222222222246003,3465277778</v>
      </c>
      <c r="Q1316" s="1" t="str">
        <f t="shared" si="68"/>
        <v>DAURDE</v>
      </c>
    </row>
    <row r="1317" spans="2:17" hidden="1">
      <c r="B1317" s="1" t="s">
        <v>309</v>
      </c>
      <c r="C1317" s="1" t="s">
        <v>310</v>
      </c>
      <c r="D1317" s="52">
        <v>46003.222222222219</v>
      </c>
      <c r="E1317" s="52">
        <v>46003.222222222219</v>
      </c>
      <c r="F1317" s="52">
        <v>46003.34652777778</v>
      </c>
      <c r="G1317" s="63">
        <f>F1317-E1317</f>
        <v>0.12430555556056788</v>
      </c>
      <c r="H1317" s="1" t="s">
        <v>257</v>
      </c>
      <c r="J1317" s="1" t="s">
        <v>258</v>
      </c>
      <c r="K1317" s="1" t="str">
        <f>_xlfn.XLOOKUP(J1317,REF!$D$2:$D$12,REF!$E$2:$E$12)</f>
        <v>Rede</v>
      </c>
      <c r="L1317" s="1" t="s">
        <v>2222</v>
      </c>
      <c r="M1317" s="1" t="s">
        <v>260</v>
      </c>
      <c r="N1317" s="1" t="s">
        <v>357</v>
      </c>
      <c r="O1317" s="1" t="s">
        <v>632</v>
      </c>
      <c r="P1317" s="1" t="str">
        <f t="shared" si="67"/>
        <v>ARAGUATINS 1.3Inverter(MBUS-20)46003,222222222246003,222222222246003,3465277778</v>
      </c>
      <c r="Q1317" s="1" t="str">
        <f t="shared" si="68"/>
        <v>DAURDE</v>
      </c>
    </row>
    <row r="1318" spans="2:17" hidden="1">
      <c r="B1318" s="1" t="s">
        <v>309</v>
      </c>
      <c r="C1318" s="1" t="s">
        <v>247</v>
      </c>
      <c r="D1318" s="52">
        <v>46003.222222222219</v>
      </c>
      <c r="E1318" s="52">
        <v>46003.222222222219</v>
      </c>
      <c r="F1318" s="52">
        <v>46003.34652777778</v>
      </c>
      <c r="G1318" s="63">
        <f>F1318-E1318</f>
        <v>0.12430555556056788</v>
      </c>
      <c r="H1318" s="1" t="s">
        <v>257</v>
      </c>
      <c r="J1318" s="1" t="s">
        <v>258</v>
      </c>
      <c r="K1318" s="1" t="str">
        <f>_xlfn.XLOOKUP(J1318,REF!$D$2:$D$12,REF!$E$2:$E$12)</f>
        <v>Rede</v>
      </c>
      <c r="L1318" s="1" t="s">
        <v>2222</v>
      </c>
      <c r="M1318" s="1" t="s">
        <v>260</v>
      </c>
      <c r="N1318" s="1" t="s">
        <v>357</v>
      </c>
      <c r="O1318" s="1" t="s">
        <v>632</v>
      </c>
      <c r="P1318" s="1" t="str">
        <f t="shared" si="67"/>
        <v>ARAGUATINS 1.3Inverter(MBUS-1)46003,222222222246003,222222222246003,3465277778</v>
      </c>
      <c r="Q1318" s="1" t="str">
        <f t="shared" si="68"/>
        <v>DAURDE</v>
      </c>
    </row>
    <row r="1319" spans="2:17" hidden="1">
      <c r="B1319" s="1" t="s">
        <v>311</v>
      </c>
      <c r="C1319" s="1" t="s">
        <v>256</v>
      </c>
      <c r="D1319" s="52">
        <v>46003.222222222219</v>
      </c>
      <c r="E1319" s="52">
        <v>46003.222222222219</v>
      </c>
      <c r="F1319" s="52">
        <v>46003.34652777778</v>
      </c>
      <c r="G1319" s="63">
        <f>F1319-E1319</f>
        <v>0.12430555556056788</v>
      </c>
      <c r="H1319" s="1" t="s">
        <v>257</v>
      </c>
      <c r="J1319" s="1" t="s">
        <v>258</v>
      </c>
      <c r="K1319" s="1" t="str">
        <f>_xlfn.XLOOKUP(J1319,REF!$D$2:$D$12,REF!$E$2:$E$12)</f>
        <v>Rede</v>
      </c>
      <c r="L1319" s="1" t="s">
        <v>2222</v>
      </c>
      <c r="M1319" s="1" t="s">
        <v>260</v>
      </c>
      <c r="N1319" s="1" t="s">
        <v>357</v>
      </c>
      <c r="O1319" s="1" t="s">
        <v>632</v>
      </c>
      <c r="P1319" s="1" t="str">
        <f t="shared" si="67"/>
        <v>ARAGUATINS 2.1Inverter(MBUS-12)46003,222222222246003,222222222246003,3465277778</v>
      </c>
      <c r="Q1319" s="1" t="str">
        <f t="shared" si="68"/>
        <v>DAURDE</v>
      </c>
    </row>
    <row r="1320" spans="2:17" hidden="1">
      <c r="B1320" s="1" t="s">
        <v>311</v>
      </c>
      <c r="C1320" s="1" t="s">
        <v>307</v>
      </c>
      <c r="D1320" s="52">
        <v>46003.222222222219</v>
      </c>
      <c r="E1320" s="52">
        <v>46003.222222222219</v>
      </c>
      <c r="F1320" s="52">
        <v>46003.34652777778</v>
      </c>
      <c r="G1320" s="63">
        <f>F1320-E1320</f>
        <v>0.12430555556056788</v>
      </c>
      <c r="H1320" s="1" t="s">
        <v>257</v>
      </c>
      <c r="J1320" s="1" t="s">
        <v>258</v>
      </c>
      <c r="K1320" s="1" t="str">
        <f>_xlfn.XLOOKUP(J1320,REF!$D$2:$D$12,REF!$E$2:$E$12)</f>
        <v>Rede</v>
      </c>
      <c r="L1320" s="1" t="s">
        <v>2222</v>
      </c>
      <c r="M1320" s="1" t="s">
        <v>260</v>
      </c>
      <c r="N1320" s="1" t="s">
        <v>357</v>
      </c>
      <c r="O1320" s="1" t="s">
        <v>632</v>
      </c>
      <c r="P1320" s="1" t="str">
        <f t="shared" si="67"/>
        <v>ARAGUATINS 2.1Inverter(MBUS-15)46003,222222222246003,222222222246003,3465277778</v>
      </c>
      <c r="Q1320" s="1" t="str">
        <f t="shared" si="68"/>
        <v>DAURDE</v>
      </c>
    </row>
    <row r="1321" spans="2:17" hidden="1">
      <c r="B1321" s="1" t="s">
        <v>311</v>
      </c>
      <c r="C1321" s="1" t="s">
        <v>263</v>
      </c>
      <c r="D1321" s="52">
        <v>46003.222222222219</v>
      </c>
      <c r="E1321" s="52">
        <v>46003.222222222219</v>
      </c>
      <c r="F1321" s="52">
        <v>46003.34652777778</v>
      </c>
      <c r="G1321" s="63">
        <f>F1321-E1321</f>
        <v>0.12430555556056788</v>
      </c>
      <c r="H1321" s="1" t="s">
        <v>257</v>
      </c>
      <c r="J1321" s="1" t="s">
        <v>258</v>
      </c>
      <c r="K1321" s="1" t="str">
        <f>_xlfn.XLOOKUP(J1321,REF!$D$2:$D$12,REF!$E$2:$E$12)</f>
        <v>Rede</v>
      </c>
      <c r="L1321" s="1" t="s">
        <v>2222</v>
      </c>
      <c r="M1321" s="1" t="s">
        <v>260</v>
      </c>
      <c r="N1321" s="1" t="s">
        <v>357</v>
      </c>
      <c r="O1321" s="1" t="s">
        <v>632</v>
      </c>
      <c r="P1321" s="1" t="str">
        <f t="shared" si="67"/>
        <v>ARAGUATINS 2.1Inverter(MBUS-14)46003,222222222246003,222222222246003,3465277778</v>
      </c>
      <c r="Q1321" s="1" t="str">
        <f t="shared" si="68"/>
        <v>DAURDE</v>
      </c>
    </row>
    <row r="1322" spans="2:17" hidden="1">
      <c r="B1322" s="1" t="s">
        <v>311</v>
      </c>
      <c r="C1322" s="1" t="s">
        <v>247</v>
      </c>
      <c r="D1322" s="52">
        <v>46003.222222222219</v>
      </c>
      <c r="E1322" s="52">
        <v>46003.222222222219</v>
      </c>
      <c r="F1322" s="52">
        <v>46003.34652777778</v>
      </c>
      <c r="G1322" s="63">
        <f>F1322-E1322</f>
        <v>0.12430555556056788</v>
      </c>
      <c r="H1322" s="1" t="s">
        <v>257</v>
      </c>
      <c r="J1322" s="1" t="s">
        <v>258</v>
      </c>
      <c r="K1322" s="1" t="str">
        <f>_xlfn.XLOOKUP(J1322,REF!$D$2:$D$12,REF!$E$2:$E$12)</f>
        <v>Rede</v>
      </c>
      <c r="L1322" s="1" t="s">
        <v>2222</v>
      </c>
      <c r="M1322" s="1" t="s">
        <v>260</v>
      </c>
      <c r="N1322" s="1" t="s">
        <v>357</v>
      </c>
      <c r="O1322" s="1" t="s">
        <v>632</v>
      </c>
      <c r="P1322" s="1" t="str">
        <f t="shared" si="67"/>
        <v>ARAGUATINS 2.1Inverter(MBUS-1)46003,222222222246003,222222222246003,3465277778</v>
      </c>
      <c r="Q1322" s="1" t="str">
        <f t="shared" si="68"/>
        <v>DAURDE</v>
      </c>
    </row>
    <row r="1323" spans="2:17" hidden="1">
      <c r="B1323" s="1" t="s">
        <v>312</v>
      </c>
      <c r="C1323" s="1" t="s">
        <v>307</v>
      </c>
      <c r="D1323" s="52">
        <v>46003.222222222219</v>
      </c>
      <c r="E1323" s="52">
        <v>46003.222222222219</v>
      </c>
      <c r="F1323" s="52">
        <v>46003.34652777778</v>
      </c>
      <c r="G1323" s="63">
        <f>F1323-E1323</f>
        <v>0.12430555556056788</v>
      </c>
      <c r="H1323" s="1" t="s">
        <v>257</v>
      </c>
      <c r="J1323" s="1" t="s">
        <v>258</v>
      </c>
      <c r="K1323" s="1" t="str">
        <f>_xlfn.XLOOKUP(J1323,REF!$D$2:$D$12,REF!$E$2:$E$12)</f>
        <v>Rede</v>
      </c>
      <c r="L1323" s="1" t="s">
        <v>2222</v>
      </c>
      <c r="M1323" s="1" t="s">
        <v>260</v>
      </c>
      <c r="N1323" s="1" t="s">
        <v>357</v>
      </c>
      <c r="O1323" s="1" t="s">
        <v>632</v>
      </c>
      <c r="P1323" s="1" t="str">
        <f t="shared" si="67"/>
        <v>ARAGUATINS 2.2Inverter(MBUS-15)46003,222222222246003,222222222246003,3465277778</v>
      </c>
      <c r="Q1323" s="1" t="str">
        <f t="shared" si="68"/>
        <v>DAURDE</v>
      </c>
    </row>
    <row r="1324" spans="2:17" hidden="1">
      <c r="B1324" s="1" t="s">
        <v>312</v>
      </c>
      <c r="C1324" s="1" t="s">
        <v>264</v>
      </c>
      <c r="D1324" s="52">
        <v>46003.222222222219</v>
      </c>
      <c r="E1324" s="52">
        <v>46003.222222222219</v>
      </c>
      <c r="F1324" s="52">
        <v>46003.34652777778</v>
      </c>
      <c r="G1324" s="63">
        <f>F1324-E1324</f>
        <v>0.12430555556056788</v>
      </c>
      <c r="H1324" s="1" t="s">
        <v>257</v>
      </c>
      <c r="J1324" s="1" t="s">
        <v>258</v>
      </c>
      <c r="K1324" s="1" t="str">
        <f>_xlfn.XLOOKUP(J1324,REF!$D$2:$D$12,REF!$E$2:$E$12)</f>
        <v>Rede</v>
      </c>
      <c r="L1324" s="1" t="s">
        <v>2222</v>
      </c>
      <c r="M1324" s="1" t="s">
        <v>260</v>
      </c>
      <c r="N1324" s="1" t="s">
        <v>357</v>
      </c>
      <c r="O1324" s="1" t="s">
        <v>632</v>
      </c>
      <c r="P1324" s="1" t="str">
        <f t="shared" si="67"/>
        <v>ARAGUATINS 2.2Inverter(MBUS-13)46003,222222222246003,222222222246003,3465277778</v>
      </c>
      <c r="Q1324" s="1" t="str">
        <f t="shared" si="68"/>
        <v>DAURDE</v>
      </c>
    </row>
    <row r="1325" spans="2:17" hidden="1">
      <c r="B1325" s="1" t="s">
        <v>312</v>
      </c>
      <c r="C1325" s="1" t="s">
        <v>263</v>
      </c>
      <c r="D1325" s="52">
        <v>46003.222222222219</v>
      </c>
      <c r="E1325" s="52">
        <v>46003.222222222219</v>
      </c>
      <c r="F1325" s="52">
        <v>46003.34652777778</v>
      </c>
      <c r="G1325" s="63">
        <f>F1325-E1325</f>
        <v>0.12430555556056788</v>
      </c>
      <c r="H1325" s="1" t="s">
        <v>257</v>
      </c>
      <c r="J1325" s="1" t="s">
        <v>258</v>
      </c>
      <c r="K1325" s="1" t="str">
        <f>_xlfn.XLOOKUP(J1325,REF!$D$2:$D$12,REF!$E$2:$E$12)</f>
        <v>Rede</v>
      </c>
      <c r="L1325" s="1" t="s">
        <v>2222</v>
      </c>
      <c r="M1325" s="1" t="s">
        <v>260</v>
      </c>
      <c r="N1325" s="1" t="s">
        <v>357</v>
      </c>
      <c r="O1325" s="1" t="s">
        <v>632</v>
      </c>
      <c r="P1325" s="1" t="str">
        <f t="shared" si="67"/>
        <v>ARAGUATINS 2.2Inverter(MBUS-14)46003,222222222246003,222222222246003,3465277778</v>
      </c>
      <c r="Q1325" s="1" t="str">
        <f t="shared" si="68"/>
        <v>DAURDE</v>
      </c>
    </row>
    <row r="1326" spans="2:17" hidden="1">
      <c r="B1326" s="1" t="s">
        <v>312</v>
      </c>
      <c r="C1326" s="1" t="s">
        <v>256</v>
      </c>
      <c r="D1326" s="52">
        <v>46003.222222222219</v>
      </c>
      <c r="E1326" s="52">
        <v>46003.222222222219</v>
      </c>
      <c r="F1326" s="52">
        <v>46003.34652777778</v>
      </c>
      <c r="G1326" s="63">
        <f>F1326-E1326</f>
        <v>0.12430555556056788</v>
      </c>
      <c r="H1326" s="1" t="s">
        <v>257</v>
      </c>
      <c r="J1326" s="1" t="s">
        <v>258</v>
      </c>
      <c r="K1326" s="1" t="str">
        <f>_xlfn.XLOOKUP(J1326,REF!$D$2:$D$12,REF!$E$2:$E$12)</f>
        <v>Rede</v>
      </c>
      <c r="L1326" s="1" t="s">
        <v>2222</v>
      </c>
      <c r="M1326" s="1" t="s">
        <v>260</v>
      </c>
      <c r="N1326" s="1" t="s">
        <v>357</v>
      </c>
      <c r="O1326" s="1" t="s">
        <v>632</v>
      </c>
      <c r="P1326" s="1" t="str">
        <f t="shared" si="67"/>
        <v>ARAGUATINS 2.2Inverter(MBUS-12)46003,222222222246003,222222222246003,3465277778</v>
      </c>
      <c r="Q1326" s="1" t="str">
        <f t="shared" si="68"/>
        <v>DAURDE</v>
      </c>
    </row>
    <row r="1327" spans="2:17" hidden="1">
      <c r="B1327" s="1" t="s">
        <v>313</v>
      </c>
      <c r="C1327" s="1" t="s">
        <v>256</v>
      </c>
      <c r="D1327" s="52">
        <v>46003.222222222219</v>
      </c>
      <c r="E1327" s="52">
        <v>46003.222222222219</v>
      </c>
      <c r="F1327" s="52">
        <v>46003.34652777778</v>
      </c>
      <c r="G1327" s="63">
        <f>F1327-E1327</f>
        <v>0.12430555556056788</v>
      </c>
      <c r="H1327" s="1" t="s">
        <v>257</v>
      </c>
      <c r="J1327" s="1" t="s">
        <v>258</v>
      </c>
      <c r="K1327" s="1" t="str">
        <f>_xlfn.XLOOKUP(J1327,REF!$D$2:$D$12,REF!$E$2:$E$12)</f>
        <v>Rede</v>
      </c>
      <c r="L1327" s="1" t="s">
        <v>2222</v>
      </c>
      <c r="M1327" s="1" t="s">
        <v>260</v>
      </c>
      <c r="N1327" s="1" t="s">
        <v>357</v>
      </c>
      <c r="O1327" s="1" t="s">
        <v>632</v>
      </c>
      <c r="P1327" s="1" t="str">
        <f t="shared" si="67"/>
        <v>ARAGUATINS 2.3Inverter(MBUS-12)46003,222222222246003,222222222246003,3465277778</v>
      </c>
      <c r="Q1327" s="1" t="str">
        <f t="shared" si="68"/>
        <v>DAURDE</v>
      </c>
    </row>
    <row r="1328" spans="2:17" hidden="1">
      <c r="B1328" s="1" t="s">
        <v>313</v>
      </c>
      <c r="C1328" s="1" t="s">
        <v>264</v>
      </c>
      <c r="D1328" s="52">
        <v>46003.222222222219</v>
      </c>
      <c r="E1328" s="52">
        <v>46003.222222222219</v>
      </c>
      <c r="F1328" s="52">
        <v>46003.34652777778</v>
      </c>
      <c r="G1328" s="63">
        <f>F1328-E1328</f>
        <v>0.12430555556056788</v>
      </c>
      <c r="H1328" s="1" t="s">
        <v>257</v>
      </c>
      <c r="J1328" s="1" t="s">
        <v>258</v>
      </c>
      <c r="K1328" s="1" t="str">
        <f>_xlfn.XLOOKUP(J1328,REF!$D$2:$D$12,REF!$E$2:$E$12)</f>
        <v>Rede</v>
      </c>
      <c r="L1328" s="1" t="s">
        <v>2222</v>
      </c>
      <c r="M1328" s="1" t="s">
        <v>260</v>
      </c>
      <c r="N1328" s="1" t="s">
        <v>357</v>
      </c>
      <c r="O1328" s="1" t="s">
        <v>632</v>
      </c>
      <c r="P1328" s="1" t="str">
        <f t="shared" si="67"/>
        <v>ARAGUATINS 2.3Inverter(MBUS-13)46003,222222222246003,222222222246003,3465277778</v>
      </c>
      <c r="Q1328" s="1" t="str">
        <f t="shared" si="68"/>
        <v>DAURDE</v>
      </c>
    </row>
    <row r="1329" spans="2:17" hidden="1">
      <c r="B1329" s="1" t="s">
        <v>2123</v>
      </c>
      <c r="C1329" s="1" t="s">
        <v>2124</v>
      </c>
      <c r="D1329" s="52">
        <v>46002.340277777781</v>
      </c>
      <c r="E1329" s="52">
        <v>46002.340277777781</v>
      </c>
      <c r="F1329" s="52">
        <v>46002.465277777781</v>
      </c>
      <c r="G1329" s="63">
        <f>F1329-E1329</f>
        <v>0.125</v>
      </c>
      <c r="H1329" s="1" t="s">
        <v>677</v>
      </c>
      <c r="J1329" s="1" t="s">
        <v>230</v>
      </c>
      <c r="K1329" s="1" t="str">
        <f>_xlfn.XLOOKUP(J1329,REF!$D$2:$D$12,REF!$E$2:$E$12)</f>
        <v>UFV</v>
      </c>
      <c r="L1329" s="1" t="s">
        <v>2200</v>
      </c>
      <c r="M1329" s="1" t="s">
        <v>663</v>
      </c>
      <c r="N1329" s="1" t="s">
        <v>672</v>
      </c>
      <c r="O1329" s="1" t="s">
        <v>2201</v>
      </c>
      <c r="P1329" s="1" t="str">
        <f t="shared" si="67"/>
        <v>Rio Monte ISG75CX(COM2-001)_001_01846002,340277777846002,340277777846002,4652777778</v>
      </c>
      <c r="Q1329" s="1" t="str">
        <f t="shared" si="68"/>
        <v>DPRUFV</v>
      </c>
    </row>
    <row r="1330" spans="2:17" hidden="1">
      <c r="B1330" s="1" t="s">
        <v>2125</v>
      </c>
      <c r="C1330" s="1" t="s">
        <v>2126</v>
      </c>
      <c r="D1330" s="52">
        <v>46002.340277777781</v>
      </c>
      <c r="E1330" s="52">
        <v>46002.340277777781</v>
      </c>
      <c r="F1330" s="52">
        <v>46002.465277777781</v>
      </c>
      <c r="G1330" s="63">
        <f>F1330-E1330</f>
        <v>0.125</v>
      </c>
      <c r="H1330" s="1" t="s">
        <v>677</v>
      </c>
      <c r="J1330" s="1" t="s">
        <v>230</v>
      </c>
      <c r="K1330" s="1" t="str">
        <f>_xlfn.XLOOKUP(J1330,REF!$D$2:$D$12,REF!$E$2:$E$12)</f>
        <v>UFV</v>
      </c>
      <c r="L1330" s="1" t="s">
        <v>2200</v>
      </c>
      <c r="M1330" s="1" t="s">
        <v>663</v>
      </c>
      <c r="N1330" s="1" t="s">
        <v>672</v>
      </c>
      <c r="O1330" s="1" t="s">
        <v>2201</v>
      </c>
      <c r="P1330" s="1" t="str">
        <f t="shared" si="67"/>
        <v>Rio Monte IISG40CX(COM2-007)_001_01746002,340277777846002,340277777846002,4652777778</v>
      </c>
      <c r="Q1330" s="1" t="str">
        <f t="shared" si="68"/>
        <v>DPRUFV</v>
      </c>
    </row>
    <row r="1331" spans="2:17" hidden="1">
      <c r="B1331" s="1" t="s">
        <v>2125</v>
      </c>
      <c r="C1331" s="1" t="s">
        <v>2127</v>
      </c>
      <c r="D1331" s="52">
        <v>46002.340277777781</v>
      </c>
      <c r="E1331" s="52">
        <v>46002.340277777781</v>
      </c>
      <c r="F1331" s="52">
        <v>46002.465277777781</v>
      </c>
      <c r="G1331" s="63">
        <f>F1331-E1331</f>
        <v>0.125</v>
      </c>
      <c r="H1331" s="1" t="s">
        <v>677</v>
      </c>
      <c r="J1331" s="1" t="s">
        <v>230</v>
      </c>
      <c r="K1331" s="1" t="str">
        <f>_xlfn.XLOOKUP(J1331,REF!$D$2:$D$12,REF!$E$2:$E$12)</f>
        <v>UFV</v>
      </c>
      <c r="L1331" s="1" t="s">
        <v>2200</v>
      </c>
      <c r="M1331" s="1" t="s">
        <v>663</v>
      </c>
      <c r="N1331" s="1" t="s">
        <v>672</v>
      </c>
      <c r="O1331" s="1" t="s">
        <v>2201</v>
      </c>
      <c r="P1331" s="1" t="str">
        <f t="shared" si="67"/>
        <v>Rio Monte IISG60KTL(COM1-002)_001_00546002,340277777846002,340277777846002,4652777778</v>
      </c>
      <c r="Q1331" s="1" t="str">
        <f t="shared" si="68"/>
        <v>DPRUFV</v>
      </c>
    </row>
    <row r="1332" spans="2:17" hidden="1">
      <c r="B1332" s="1" t="s">
        <v>2125</v>
      </c>
      <c r="C1332" s="1" t="s">
        <v>2128</v>
      </c>
      <c r="D1332" s="52">
        <v>46002.340277777781</v>
      </c>
      <c r="E1332" s="52">
        <v>46002.340277777781</v>
      </c>
      <c r="F1332" s="52">
        <v>46002.465277777781</v>
      </c>
      <c r="G1332" s="63">
        <f>F1332-E1332</f>
        <v>0.125</v>
      </c>
      <c r="H1332" s="1" t="s">
        <v>677</v>
      </c>
      <c r="J1332" s="1" t="s">
        <v>230</v>
      </c>
      <c r="K1332" s="1" t="str">
        <f>_xlfn.XLOOKUP(J1332,REF!$D$2:$D$12,REF!$E$2:$E$12)</f>
        <v>UFV</v>
      </c>
      <c r="L1332" s="1" t="s">
        <v>2200</v>
      </c>
      <c r="M1332" s="1" t="s">
        <v>663</v>
      </c>
      <c r="N1332" s="1" t="s">
        <v>672</v>
      </c>
      <c r="O1332" s="1" t="s">
        <v>2201</v>
      </c>
      <c r="P1332" s="1" t="str">
        <f t="shared" si="67"/>
        <v>Rio Monte IISG60KTL(COM1-003)_001__01146002,340277777846002,340277777846002,4652777778</v>
      </c>
      <c r="Q1332" s="1" t="str">
        <f t="shared" si="68"/>
        <v>DPRUFV</v>
      </c>
    </row>
    <row r="1333" spans="2:17" hidden="1">
      <c r="B1333" s="1" t="s">
        <v>2125</v>
      </c>
      <c r="C1333" s="1" t="s">
        <v>2129</v>
      </c>
      <c r="D1333" s="52">
        <v>46002.340277777781</v>
      </c>
      <c r="E1333" s="52">
        <v>46002.340277777781</v>
      </c>
      <c r="F1333" s="52">
        <v>46002.465277777781</v>
      </c>
      <c r="G1333" s="63">
        <f>F1333-E1333</f>
        <v>0.125</v>
      </c>
      <c r="H1333" s="1" t="s">
        <v>677</v>
      </c>
      <c r="J1333" s="1" t="s">
        <v>230</v>
      </c>
      <c r="K1333" s="1" t="str">
        <f>_xlfn.XLOOKUP(J1333,REF!$D$2:$D$12,REF!$E$2:$E$12)</f>
        <v>UFV</v>
      </c>
      <c r="L1333" s="1" t="s">
        <v>2200</v>
      </c>
      <c r="M1333" s="1" t="s">
        <v>663</v>
      </c>
      <c r="N1333" s="1" t="s">
        <v>672</v>
      </c>
      <c r="O1333" s="1" t="s">
        <v>2201</v>
      </c>
      <c r="P1333" s="1" t="str">
        <f t="shared" si="67"/>
        <v>Rio Monte IISG60KTL(COM1-004)_001_00746002,340277777846002,340277777846002,4652777778</v>
      </c>
      <c r="Q1333" s="1" t="str">
        <f t="shared" si="68"/>
        <v>DPRUFV</v>
      </c>
    </row>
    <row r="1334" spans="2:17" hidden="1">
      <c r="B1334" s="1" t="s">
        <v>2125</v>
      </c>
      <c r="C1334" s="1" t="s">
        <v>2130</v>
      </c>
      <c r="D1334" s="52">
        <v>46002.340277777781</v>
      </c>
      <c r="E1334" s="52">
        <v>46002.340277777781</v>
      </c>
      <c r="F1334" s="52">
        <v>46002.465277777781</v>
      </c>
      <c r="G1334" s="63">
        <f>F1334-E1334</f>
        <v>0.125</v>
      </c>
      <c r="H1334" s="1" t="s">
        <v>677</v>
      </c>
      <c r="J1334" s="1" t="s">
        <v>230</v>
      </c>
      <c r="K1334" s="1" t="str">
        <f>_xlfn.XLOOKUP(J1334,REF!$D$2:$D$12,REF!$E$2:$E$12)</f>
        <v>UFV</v>
      </c>
      <c r="L1334" s="1" t="s">
        <v>2200</v>
      </c>
      <c r="M1334" s="1" t="s">
        <v>663</v>
      </c>
      <c r="N1334" s="1" t="s">
        <v>672</v>
      </c>
      <c r="O1334" s="1" t="s">
        <v>2201</v>
      </c>
      <c r="P1334" s="1" t="str">
        <f t="shared" si="67"/>
        <v>Rio Monte IISG60KTL(COM1-005)_001_00946002,340277777846002,340277777846002,4652777778</v>
      </c>
      <c r="Q1334" s="1" t="str">
        <f t="shared" si="68"/>
        <v>DPRUFV</v>
      </c>
    </row>
    <row r="1335" spans="2:17" hidden="1">
      <c r="B1335" s="1" t="s">
        <v>2125</v>
      </c>
      <c r="C1335" s="1" t="s">
        <v>2131</v>
      </c>
      <c r="D1335" s="52">
        <v>46002.340277777781</v>
      </c>
      <c r="E1335" s="52">
        <v>46002.340277777781</v>
      </c>
      <c r="F1335" s="52">
        <v>46002.465277777781</v>
      </c>
      <c r="G1335" s="63">
        <f>F1335-E1335</f>
        <v>0.125</v>
      </c>
      <c r="H1335" s="1" t="s">
        <v>677</v>
      </c>
      <c r="J1335" s="1" t="s">
        <v>230</v>
      </c>
      <c r="K1335" s="1" t="str">
        <f>_xlfn.XLOOKUP(J1335,REF!$D$2:$D$12,REF!$E$2:$E$12)</f>
        <v>UFV</v>
      </c>
      <c r="L1335" s="1" t="s">
        <v>2200</v>
      </c>
      <c r="M1335" s="1" t="s">
        <v>663</v>
      </c>
      <c r="N1335" s="1" t="s">
        <v>672</v>
      </c>
      <c r="O1335" s="1" t="s">
        <v>2201</v>
      </c>
      <c r="P1335" s="1" t="str">
        <f t="shared" si="67"/>
        <v>Rio Monte IISG60KTL(COM1-006)_001_00646002,340277777846002,340277777846002,4652777778</v>
      </c>
      <c r="Q1335" s="1" t="str">
        <f t="shared" si="68"/>
        <v>DPRUFV</v>
      </c>
    </row>
    <row r="1336" spans="2:17" hidden="1">
      <c r="B1336" s="1" t="s">
        <v>2134</v>
      </c>
      <c r="C1336" s="1" t="s">
        <v>2135</v>
      </c>
      <c r="D1336" s="52">
        <v>46002.340277777781</v>
      </c>
      <c r="E1336" s="52">
        <v>46002.340277777781</v>
      </c>
      <c r="F1336" s="52">
        <v>46002.465277777781</v>
      </c>
      <c r="G1336" s="63">
        <f>F1336-E1336</f>
        <v>0.125</v>
      </c>
      <c r="H1336" s="1" t="s">
        <v>677</v>
      </c>
      <c r="J1336" s="1" t="s">
        <v>230</v>
      </c>
      <c r="K1336" s="1" t="str">
        <f>_xlfn.XLOOKUP(J1336,REF!$D$2:$D$12,REF!$E$2:$E$12)</f>
        <v>UFV</v>
      </c>
      <c r="L1336" s="1" t="s">
        <v>2200</v>
      </c>
      <c r="M1336" s="1" t="s">
        <v>663</v>
      </c>
      <c r="N1336" s="1" t="s">
        <v>672</v>
      </c>
      <c r="O1336" s="1" t="s">
        <v>2201</v>
      </c>
      <c r="P1336" s="1" t="str">
        <f t="shared" si="67"/>
        <v>Rio Monte IIISG60KTL(COM1-008)_001_01646002,340277777846002,340277777846002,4652777778</v>
      </c>
      <c r="Q1336" s="1" t="str">
        <f t="shared" si="68"/>
        <v>DPRUFV</v>
      </c>
    </row>
    <row r="1337" spans="2:17" hidden="1">
      <c r="B1337" s="1" t="s">
        <v>2134</v>
      </c>
      <c r="C1337" s="1" t="s">
        <v>2136</v>
      </c>
      <c r="D1337" s="52">
        <v>46002.340277777781</v>
      </c>
      <c r="E1337" s="52">
        <v>46002.340277777781</v>
      </c>
      <c r="F1337" s="52">
        <v>46002.465277777781</v>
      </c>
      <c r="G1337" s="63">
        <f>F1337-E1337</f>
        <v>0.125</v>
      </c>
      <c r="H1337" s="1" t="s">
        <v>677</v>
      </c>
      <c r="J1337" s="1" t="s">
        <v>230</v>
      </c>
      <c r="K1337" s="1" t="str">
        <f>_xlfn.XLOOKUP(J1337,REF!$D$2:$D$12,REF!$E$2:$E$12)</f>
        <v>UFV</v>
      </c>
      <c r="L1337" s="1" t="s">
        <v>2200</v>
      </c>
      <c r="M1337" s="1" t="s">
        <v>663</v>
      </c>
      <c r="N1337" s="1" t="s">
        <v>672</v>
      </c>
      <c r="O1337" s="1" t="s">
        <v>2201</v>
      </c>
      <c r="P1337" s="1" t="str">
        <f t="shared" si="67"/>
        <v>Rio Monte IIISG60KTL(COM1-009)_001_01046002,340277777846002,340277777846002,4652777778</v>
      </c>
      <c r="Q1337" s="1" t="str">
        <f t="shared" si="68"/>
        <v>DPRUFV</v>
      </c>
    </row>
    <row r="1338" spans="2:17" hidden="1">
      <c r="B1338" s="1" t="s">
        <v>2134</v>
      </c>
      <c r="C1338" s="1" t="s">
        <v>2137</v>
      </c>
      <c r="D1338" s="52">
        <v>46002.340277777781</v>
      </c>
      <c r="E1338" s="52">
        <v>46002.340277777781</v>
      </c>
      <c r="F1338" s="52">
        <v>46002.465277777781</v>
      </c>
      <c r="G1338" s="63">
        <f>F1338-E1338</f>
        <v>0.125</v>
      </c>
      <c r="H1338" s="1" t="s">
        <v>677</v>
      </c>
      <c r="J1338" s="1" t="s">
        <v>230</v>
      </c>
      <c r="K1338" s="1" t="str">
        <f>_xlfn.XLOOKUP(J1338,REF!$D$2:$D$12,REF!$E$2:$E$12)</f>
        <v>UFV</v>
      </c>
      <c r="L1338" s="1" t="s">
        <v>2200</v>
      </c>
      <c r="M1338" s="1" t="s">
        <v>663</v>
      </c>
      <c r="N1338" s="1" t="s">
        <v>672</v>
      </c>
      <c r="O1338" s="1" t="s">
        <v>2201</v>
      </c>
      <c r="P1338" s="1" t="str">
        <f t="shared" si="67"/>
        <v>Rio Monte IIISG60KTL(COM1-010)_001_01246002,340277777846002,340277777846002,4652777778</v>
      </c>
      <c r="Q1338" s="1" t="str">
        <f t="shared" si="68"/>
        <v>DPRUFV</v>
      </c>
    </row>
    <row r="1339" spans="2:17" hidden="1">
      <c r="B1339" s="1" t="s">
        <v>2134</v>
      </c>
      <c r="C1339" s="1" t="s">
        <v>2138</v>
      </c>
      <c r="D1339" s="52">
        <v>46002.340277777781</v>
      </c>
      <c r="E1339" s="52">
        <v>46002.340277777781</v>
      </c>
      <c r="F1339" s="52">
        <v>46002.465277777781</v>
      </c>
      <c r="G1339" s="63">
        <f>F1339-E1339</f>
        <v>0.125</v>
      </c>
      <c r="H1339" s="1" t="s">
        <v>677</v>
      </c>
      <c r="J1339" s="1" t="s">
        <v>230</v>
      </c>
      <c r="K1339" s="1" t="str">
        <f>_xlfn.XLOOKUP(J1339,REF!$D$2:$D$12,REF!$E$2:$E$12)</f>
        <v>UFV</v>
      </c>
      <c r="L1339" s="1" t="s">
        <v>2200</v>
      </c>
      <c r="M1339" s="1" t="s">
        <v>663</v>
      </c>
      <c r="N1339" s="1" t="s">
        <v>672</v>
      </c>
      <c r="O1339" s="1" t="s">
        <v>2201</v>
      </c>
      <c r="P1339" s="1" t="str">
        <f t="shared" si="67"/>
        <v>Rio Monte IIISG60KTL(COM1-011)_001_00246002,340277777846002,340277777846002,4652777778</v>
      </c>
      <c r="Q1339" s="1" t="str">
        <f t="shared" si="68"/>
        <v>DPRUFV</v>
      </c>
    </row>
    <row r="1340" spans="2:17" hidden="1">
      <c r="B1340" s="1" t="s">
        <v>2134</v>
      </c>
      <c r="C1340" s="1" t="s">
        <v>2139</v>
      </c>
      <c r="D1340" s="52">
        <v>46002.340277777781</v>
      </c>
      <c r="E1340" s="52">
        <v>46002.340277777781</v>
      </c>
      <c r="F1340" s="52">
        <v>46002.465277777781</v>
      </c>
      <c r="G1340" s="63">
        <f>F1340-E1340</f>
        <v>0.125</v>
      </c>
      <c r="H1340" s="1" t="s">
        <v>677</v>
      </c>
      <c r="J1340" s="1" t="s">
        <v>230</v>
      </c>
      <c r="K1340" s="1" t="str">
        <f>_xlfn.XLOOKUP(J1340,REF!$D$2:$D$12,REF!$E$2:$E$12)</f>
        <v>UFV</v>
      </c>
      <c r="L1340" s="1" t="s">
        <v>2200</v>
      </c>
      <c r="M1340" s="1" t="s">
        <v>663</v>
      </c>
      <c r="N1340" s="1" t="s">
        <v>672</v>
      </c>
      <c r="O1340" s="1" t="s">
        <v>2201</v>
      </c>
      <c r="P1340" s="1" t="str">
        <f t="shared" si="67"/>
        <v>Rio Monte IIISG60KTL(COM1-012)_001_01546002,340277777846002,340277777846002,4652777778</v>
      </c>
      <c r="Q1340" s="1" t="str">
        <f t="shared" si="68"/>
        <v>DPRUFV</v>
      </c>
    </row>
    <row r="1341" spans="2:17" hidden="1">
      <c r="B1341" s="1" t="s">
        <v>2134</v>
      </c>
      <c r="C1341" s="1" t="s">
        <v>2140</v>
      </c>
      <c r="D1341" s="52">
        <v>46002.340277777781</v>
      </c>
      <c r="E1341" s="52">
        <v>46002.340277777781</v>
      </c>
      <c r="F1341" s="52">
        <v>46002.465277777781</v>
      </c>
      <c r="G1341" s="63">
        <f>F1341-E1341</f>
        <v>0.125</v>
      </c>
      <c r="H1341" s="1" t="s">
        <v>677</v>
      </c>
      <c r="J1341" s="1" t="s">
        <v>230</v>
      </c>
      <c r="K1341" s="1" t="str">
        <f>_xlfn.XLOOKUP(J1341,REF!$D$2:$D$12,REF!$E$2:$E$12)</f>
        <v>UFV</v>
      </c>
      <c r="L1341" s="1" t="s">
        <v>2200</v>
      </c>
      <c r="M1341" s="1" t="s">
        <v>663</v>
      </c>
      <c r="N1341" s="1" t="s">
        <v>672</v>
      </c>
      <c r="O1341" s="1" t="s">
        <v>2201</v>
      </c>
      <c r="P1341" s="1" t="str">
        <f t="shared" si="67"/>
        <v>Rio Monte IIISG60KTL(COM1-013)_001_00346002,340277777846002,340277777846002,4652777778</v>
      </c>
      <c r="Q1341" s="1" t="str">
        <f t="shared" si="68"/>
        <v>DPRUFV</v>
      </c>
    </row>
    <row r="1342" spans="2:17" hidden="1">
      <c r="B1342" s="1" t="s">
        <v>2134</v>
      </c>
      <c r="C1342" s="1" t="s">
        <v>2141</v>
      </c>
      <c r="D1342" s="52">
        <v>46002.340277777781</v>
      </c>
      <c r="E1342" s="52">
        <v>46002.340277777781</v>
      </c>
      <c r="F1342" s="52">
        <v>46002.465277777781</v>
      </c>
      <c r="G1342" s="63">
        <f>F1342-E1342</f>
        <v>0.125</v>
      </c>
      <c r="H1342" s="1" t="s">
        <v>677</v>
      </c>
      <c r="J1342" s="1" t="s">
        <v>230</v>
      </c>
      <c r="K1342" s="1" t="str">
        <f>_xlfn.XLOOKUP(J1342,REF!$D$2:$D$12,REF!$E$2:$E$12)</f>
        <v>UFV</v>
      </c>
      <c r="L1342" s="1" t="s">
        <v>2200</v>
      </c>
      <c r="M1342" s="1" t="s">
        <v>663</v>
      </c>
      <c r="N1342" s="1" t="s">
        <v>672</v>
      </c>
      <c r="O1342" s="1" t="s">
        <v>2201</v>
      </c>
      <c r="P1342" s="1" t="str">
        <f t="shared" si="67"/>
        <v>Rio Monte IIISG60KTL(COM1-014)_001_00446002,340277777846002,340277777846002,4652777778</v>
      </c>
      <c r="Q1342" s="1" t="str">
        <f t="shared" si="68"/>
        <v>DPRUFV</v>
      </c>
    </row>
    <row r="1343" spans="2:17" hidden="1">
      <c r="B1343" s="1" t="s">
        <v>2134</v>
      </c>
      <c r="C1343" s="1" t="s">
        <v>2142</v>
      </c>
      <c r="D1343" s="52">
        <v>46002.340277777781</v>
      </c>
      <c r="E1343" s="52">
        <v>46002.340277777781</v>
      </c>
      <c r="F1343" s="52">
        <v>46002.465277777781</v>
      </c>
      <c r="G1343" s="63">
        <f>F1343-E1343</f>
        <v>0.125</v>
      </c>
      <c r="H1343" s="1" t="s">
        <v>677</v>
      </c>
      <c r="J1343" s="1" t="s">
        <v>230</v>
      </c>
      <c r="K1343" s="1" t="str">
        <f>_xlfn.XLOOKUP(J1343,REF!$D$2:$D$12,REF!$E$2:$E$12)</f>
        <v>UFV</v>
      </c>
      <c r="L1343" s="1" t="s">
        <v>2200</v>
      </c>
      <c r="M1343" s="1" t="s">
        <v>663</v>
      </c>
      <c r="N1343" s="1" t="s">
        <v>672</v>
      </c>
      <c r="O1343" s="1" t="s">
        <v>2201</v>
      </c>
      <c r="P1343" s="1" t="str">
        <f t="shared" si="67"/>
        <v>Rio Monte IIISG60KTL(COM1-015)_001_01346002,340277777846002,340277777846002,4652777778</v>
      </c>
      <c r="Q1343" s="1" t="str">
        <f t="shared" si="68"/>
        <v>DPRUFV</v>
      </c>
    </row>
    <row r="1344" spans="2:17" hidden="1">
      <c r="B1344" s="1" t="s">
        <v>2134</v>
      </c>
      <c r="C1344" s="1" t="s">
        <v>2143</v>
      </c>
      <c r="D1344" s="52">
        <v>46002.340277777781</v>
      </c>
      <c r="E1344" s="52">
        <v>46002.340277777781</v>
      </c>
      <c r="F1344" s="52">
        <v>46002.465277777781</v>
      </c>
      <c r="G1344" s="63">
        <f>F1344-E1344</f>
        <v>0.125</v>
      </c>
      <c r="H1344" s="1" t="s">
        <v>677</v>
      </c>
      <c r="J1344" s="1" t="s">
        <v>230</v>
      </c>
      <c r="K1344" s="1" t="str">
        <f>_xlfn.XLOOKUP(J1344,REF!$D$2:$D$12,REF!$E$2:$E$12)</f>
        <v>UFV</v>
      </c>
      <c r="L1344" s="1" t="s">
        <v>2200</v>
      </c>
      <c r="M1344" s="1" t="s">
        <v>663</v>
      </c>
      <c r="N1344" s="1" t="s">
        <v>672</v>
      </c>
      <c r="O1344" s="1" t="s">
        <v>2201</v>
      </c>
      <c r="P1344" s="1" t="str">
        <f t="shared" si="67"/>
        <v>Rio Monte IIISG60KTL(COM1-016)_001_01446002,340277777846002,340277777846002,4652777778</v>
      </c>
      <c r="Q1344" s="1" t="str">
        <f t="shared" si="68"/>
        <v>DPRUFV</v>
      </c>
    </row>
    <row r="1345" spans="1:17" hidden="1">
      <c r="B1345" s="1" t="s">
        <v>2134</v>
      </c>
      <c r="C1345" s="1" t="s">
        <v>2144</v>
      </c>
      <c r="D1345" s="52">
        <v>46002.340277777781</v>
      </c>
      <c r="E1345" s="52">
        <v>46002.340277777781</v>
      </c>
      <c r="F1345" s="52">
        <v>46002.465277777781</v>
      </c>
      <c r="G1345" s="63">
        <f>F1345-E1345</f>
        <v>0.125</v>
      </c>
      <c r="H1345" s="1" t="s">
        <v>677</v>
      </c>
      <c r="J1345" s="1" t="s">
        <v>230</v>
      </c>
      <c r="K1345" s="1" t="str">
        <f>_xlfn.XLOOKUP(J1345,REF!$D$2:$D$12,REF!$E$2:$E$12)</f>
        <v>UFV</v>
      </c>
      <c r="L1345" s="1" t="s">
        <v>2200</v>
      </c>
      <c r="M1345" s="1" t="s">
        <v>663</v>
      </c>
      <c r="N1345" s="1" t="s">
        <v>672</v>
      </c>
      <c r="O1345" s="1" t="s">
        <v>2201</v>
      </c>
      <c r="P1345" s="1" t="str">
        <f t="shared" si="67"/>
        <v>Rio Monte IIISG60KTL(COM1-017)_001_00846002,340277777846002,340277777846002,4652777778</v>
      </c>
      <c r="Q1345" s="1" t="str">
        <f t="shared" si="68"/>
        <v>DPRUFV</v>
      </c>
    </row>
    <row r="1346" spans="1:17">
      <c r="A1346" s="45"/>
      <c r="B1346" s="61" t="s">
        <v>265</v>
      </c>
      <c r="C1346" s="61" t="s">
        <v>263</v>
      </c>
      <c r="D1346" s="62">
        <v>46021.510416666664</v>
      </c>
      <c r="E1346" s="62">
        <v>46021.510416666664</v>
      </c>
      <c r="F1346" s="62">
        <v>46021.694444444445</v>
      </c>
      <c r="G1346" s="63">
        <f>F1346-E1346</f>
        <v>0.18402777778101154</v>
      </c>
      <c r="H1346" s="61" t="s">
        <v>268</v>
      </c>
      <c r="I1346" s="61" t="s">
        <v>269</v>
      </c>
      <c r="J1346" s="61" t="s">
        <v>319</v>
      </c>
      <c r="K1346" s="1" t="str">
        <f>_xlfn.XLOOKUP(J1346,REF!$D$2:$D$12,REF!$E$2:$E$12)</f>
        <v>Comunicação</v>
      </c>
      <c r="L1346" s="61" t="s">
        <v>2218</v>
      </c>
      <c r="M1346" s="61" t="s">
        <v>289</v>
      </c>
      <c r="N1346" s="61" t="s">
        <v>253</v>
      </c>
      <c r="O1346" s="61" t="s">
        <v>2223</v>
      </c>
      <c r="P1346" s="61" t="str">
        <f t="shared" si="67"/>
        <v>BC Formoso2.2Inverter(MBUS-14)46021,510416666746021,510416666746021,6944444444</v>
      </c>
      <c r="Q1346" s="61" t="str">
        <f t="shared" si="68"/>
        <v>LIGRFOCOM</v>
      </c>
    </row>
    <row r="1347" spans="1:17">
      <c r="A1347" s="45"/>
      <c r="B1347" s="61" t="s">
        <v>265</v>
      </c>
      <c r="C1347" s="61" t="s">
        <v>264</v>
      </c>
      <c r="D1347" s="62">
        <v>46021.510416666664</v>
      </c>
      <c r="E1347" s="62">
        <v>46021.510416666664</v>
      </c>
      <c r="F1347" s="62">
        <v>46021.694444444445</v>
      </c>
      <c r="G1347" s="63">
        <f>F1347-E1347</f>
        <v>0.18402777778101154</v>
      </c>
      <c r="H1347" s="61" t="s">
        <v>268</v>
      </c>
      <c r="I1347" s="61" t="s">
        <v>269</v>
      </c>
      <c r="J1347" s="61" t="s">
        <v>319</v>
      </c>
      <c r="K1347" s="1" t="str">
        <f>_xlfn.XLOOKUP(J1347,REF!$D$2:$D$12,REF!$E$2:$E$12)</f>
        <v>Comunicação</v>
      </c>
      <c r="L1347" s="61" t="s">
        <v>2218</v>
      </c>
      <c r="M1347" s="61" t="s">
        <v>289</v>
      </c>
      <c r="N1347" s="61" t="s">
        <v>253</v>
      </c>
      <c r="O1347" s="61" t="s">
        <v>2223</v>
      </c>
      <c r="P1347" s="61" t="str">
        <f t="shared" si="67"/>
        <v>BC Formoso2.2Inverter(MBUS-13)46021,510416666746021,510416666746021,6944444444</v>
      </c>
      <c r="Q1347" s="61" t="str">
        <f t="shared" si="68"/>
        <v>LIGRFOCOM</v>
      </c>
    </row>
    <row r="1348" spans="1:17">
      <c r="A1348" s="45"/>
      <c r="B1348" s="61" t="s">
        <v>265</v>
      </c>
      <c r="C1348" s="61" t="s">
        <v>256</v>
      </c>
      <c r="D1348" s="62">
        <v>46021.510416666664</v>
      </c>
      <c r="E1348" s="62">
        <v>46021.510416666664</v>
      </c>
      <c r="F1348" s="62">
        <v>46021.694444444445</v>
      </c>
      <c r="G1348" s="63">
        <f>F1348-E1348</f>
        <v>0.18402777778101154</v>
      </c>
      <c r="H1348" s="61" t="s">
        <v>268</v>
      </c>
      <c r="I1348" s="61" t="s">
        <v>269</v>
      </c>
      <c r="J1348" s="61" t="s">
        <v>319</v>
      </c>
      <c r="K1348" s="1" t="str">
        <f>_xlfn.XLOOKUP(J1348,REF!$D$2:$D$12,REF!$E$2:$E$12)</f>
        <v>Comunicação</v>
      </c>
      <c r="L1348" s="61" t="s">
        <v>2218</v>
      </c>
      <c r="M1348" s="61" t="s">
        <v>289</v>
      </c>
      <c r="N1348" s="61" t="s">
        <v>253</v>
      </c>
      <c r="O1348" s="61" t="s">
        <v>2223</v>
      </c>
      <c r="P1348" s="61" t="str">
        <f t="shared" si="67"/>
        <v>BC Formoso2.2Inverter(MBUS-12)46021,510416666746021,510416666746021,6944444444</v>
      </c>
      <c r="Q1348" s="61" t="str">
        <f t="shared" si="68"/>
        <v>LIGRFOCOM</v>
      </c>
    </row>
    <row r="1349" spans="1:17">
      <c r="A1349" s="45"/>
      <c r="B1349" s="61" t="s">
        <v>265</v>
      </c>
      <c r="C1349" s="61" t="s">
        <v>247</v>
      </c>
      <c r="D1349" s="62">
        <v>46021.510416666664</v>
      </c>
      <c r="E1349" s="62">
        <v>46021.510416666664</v>
      </c>
      <c r="F1349" s="62">
        <v>46021.694444444445</v>
      </c>
      <c r="G1349" s="63">
        <f>F1349-E1349</f>
        <v>0.18402777778101154</v>
      </c>
      <c r="H1349" s="61" t="s">
        <v>268</v>
      </c>
      <c r="I1349" s="61" t="s">
        <v>269</v>
      </c>
      <c r="J1349" s="61" t="s">
        <v>319</v>
      </c>
      <c r="K1349" s="1" t="str">
        <f>_xlfn.XLOOKUP(J1349,REF!$D$2:$D$12,REF!$E$2:$E$12)</f>
        <v>Comunicação</v>
      </c>
      <c r="L1349" s="61" t="s">
        <v>2218</v>
      </c>
      <c r="M1349" s="61" t="s">
        <v>289</v>
      </c>
      <c r="N1349" s="61" t="s">
        <v>253</v>
      </c>
      <c r="O1349" s="61" t="s">
        <v>2223</v>
      </c>
      <c r="P1349" s="61" t="str">
        <f t="shared" si="67"/>
        <v>BC Formoso2.2Inverter(MBUS-1)46021,510416666746021,510416666746021,6944444444</v>
      </c>
      <c r="Q1349" s="61" t="str">
        <f t="shared" si="68"/>
        <v>LIGRFOCOM</v>
      </c>
    </row>
    <row r="1350" spans="1:17" hidden="1">
      <c r="A1350" s="45"/>
      <c r="B1350" s="61" t="s">
        <v>343</v>
      </c>
      <c r="C1350" s="61" t="s">
        <v>344</v>
      </c>
      <c r="D1350" s="62">
        <v>46021.569444444445</v>
      </c>
      <c r="E1350" s="62">
        <v>46021.569444444445</v>
      </c>
      <c r="F1350" s="62">
        <v>46021.722222222219</v>
      </c>
      <c r="G1350" s="63">
        <f>F1350-E1350</f>
        <v>0.15277777777373558</v>
      </c>
      <c r="H1350" s="61" t="s">
        <v>257</v>
      </c>
      <c r="I1350" s="61"/>
      <c r="J1350" s="61" t="s">
        <v>258</v>
      </c>
      <c r="K1350" s="1" t="str">
        <f>_xlfn.XLOOKUP(J1350,REF!$D$2:$D$12,REF!$E$2:$E$12)</f>
        <v>Rede</v>
      </c>
      <c r="L1350" s="61" t="s">
        <v>2224</v>
      </c>
      <c r="M1350" s="61" t="s">
        <v>260</v>
      </c>
      <c r="N1350" s="61" t="s">
        <v>357</v>
      </c>
      <c r="O1350" s="61" t="s">
        <v>2225</v>
      </c>
      <c r="P1350" s="61" t="str">
        <f t="shared" si="67"/>
        <v>BC Panama1.2ART_00446021,569444444446021,569444444446021,7222222222</v>
      </c>
      <c r="Q1350" s="61" t="str">
        <f t="shared" si="68"/>
        <v>DAURDE</v>
      </c>
    </row>
    <row r="1351" spans="1:17" s="44" customFormat="1" hidden="1">
      <c r="A1351" s="43"/>
      <c r="B1351" s="58" t="s">
        <v>2226</v>
      </c>
      <c r="C1351" s="58" t="s">
        <v>2227</v>
      </c>
      <c r="D1351" s="59" t="s">
        <v>2228</v>
      </c>
      <c r="E1351" s="59" t="s">
        <v>2228</v>
      </c>
      <c r="F1351" s="59"/>
      <c r="G1351" s="60" t="e">
        <f>F1351-E1351</f>
        <v>#VALUE!</v>
      </c>
      <c r="H1351" s="1" t="s">
        <v>257</v>
      </c>
      <c r="I1351" s="1"/>
      <c r="J1351" s="1" t="s">
        <v>371</v>
      </c>
      <c r="K1351" s="1" t="str">
        <f>_xlfn.XLOOKUP(J1351,REF!$D$2:$D$12,REF!$E$2:$E$12)</f>
        <v>Inversor</v>
      </c>
      <c r="L1351" s="1" t="s">
        <v>2229</v>
      </c>
      <c r="M1351" s="1" t="s">
        <v>663</v>
      </c>
      <c r="N1351" s="1" t="s">
        <v>364</v>
      </c>
      <c r="O1351" s="1" t="s">
        <v>2230</v>
      </c>
      <c r="P1351" s="58" t="str">
        <f t="shared" si="67"/>
        <v>VAZANTE II - UFV 2Inverter-ES218005834908/12/20205 10:4108/12/20205 10:41</v>
      </c>
      <c r="Q1351" s="58" t="str">
        <f t="shared" si="68"/>
        <v>DAUINV</v>
      </c>
    </row>
    <row r="1352" spans="1:17" s="44" customFormat="1" hidden="1">
      <c r="A1352" s="43"/>
      <c r="B1352" s="58" t="s">
        <v>2226</v>
      </c>
      <c r="C1352" s="58" t="s">
        <v>2231</v>
      </c>
      <c r="D1352" s="59" t="s">
        <v>2228</v>
      </c>
      <c r="E1352" s="59" t="s">
        <v>2228</v>
      </c>
      <c r="F1352" s="59"/>
      <c r="G1352" s="60" t="e">
        <f>F1352-E1352</f>
        <v>#VALUE!</v>
      </c>
      <c r="H1352" s="1" t="s">
        <v>257</v>
      </c>
      <c r="I1352" s="1"/>
      <c r="J1352" s="1" t="s">
        <v>371</v>
      </c>
      <c r="K1352" s="1" t="str">
        <f>_xlfn.XLOOKUP(J1352,REF!$D$2:$D$12,REF!$E$2:$E$12)</f>
        <v>Inversor</v>
      </c>
      <c r="L1352" s="1" t="s">
        <v>2229</v>
      </c>
      <c r="M1352" s="1" t="s">
        <v>663</v>
      </c>
      <c r="N1352" s="1" t="s">
        <v>364</v>
      </c>
      <c r="O1352" s="1" t="s">
        <v>2230</v>
      </c>
      <c r="P1352" s="58" t="str">
        <f t="shared" si="67"/>
        <v>VAZANTE II - UFV 2Inverter-ES217002732608/12/20205 10:4108/12/20205 10:41</v>
      </c>
      <c r="Q1352" s="58" t="str">
        <f t="shared" si="68"/>
        <v>DAUINV</v>
      </c>
    </row>
    <row r="1353" spans="1:17" hidden="1">
      <c r="A1353" s="43"/>
      <c r="B1353" s="1" t="s">
        <v>2226</v>
      </c>
      <c r="C1353" s="1" t="s">
        <v>2095</v>
      </c>
      <c r="D1353" s="52">
        <v>45998.253472222219</v>
      </c>
      <c r="E1353" s="52">
        <v>45998.253472222219</v>
      </c>
      <c r="F1353" s="52">
        <v>46013.364583333336</v>
      </c>
      <c r="G1353" s="53">
        <f>F1353-E1353</f>
        <v>15.11111111111677</v>
      </c>
      <c r="H1353" s="1" t="s">
        <v>257</v>
      </c>
      <c r="J1353" s="1" t="s">
        <v>371</v>
      </c>
      <c r="K1353" s="1" t="str">
        <f>_xlfn.XLOOKUP(J1353,REF!$D$2:$D$12,REF!$E$2:$E$12)</f>
        <v>Inversor</v>
      </c>
      <c r="L1353" s="1" t="s">
        <v>2229</v>
      </c>
      <c r="M1353" s="1" t="s">
        <v>663</v>
      </c>
      <c r="N1353" s="1" t="s">
        <v>364</v>
      </c>
      <c r="O1353" s="1" t="s">
        <v>2232</v>
      </c>
      <c r="P1353" s="1" t="str">
        <f t="shared" si="67"/>
        <v>VAZANTE II - UFV 2Inverter(MBUS-8)45998,253472222245998,253472222246013,3645833333</v>
      </c>
      <c r="Q1353" s="1" t="str">
        <f t="shared" si="68"/>
        <v>DAUINV</v>
      </c>
    </row>
    <row r="1354" spans="1:17" s="44" customFormat="1" hidden="1">
      <c r="A1354" s="43"/>
      <c r="B1354" s="58" t="s">
        <v>2226</v>
      </c>
      <c r="C1354" s="58" t="s">
        <v>2233</v>
      </c>
      <c r="D1354" s="59" t="s">
        <v>2228</v>
      </c>
      <c r="E1354" s="59" t="s">
        <v>2228</v>
      </c>
      <c r="F1354" s="59"/>
      <c r="G1354" s="60" t="e">
        <f>F1354-E1354</f>
        <v>#VALUE!</v>
      </c>
      <c r="H1354" s="1" t="s">
        <v>257</v>
      </c>
      <c r="I1354" s="1"/>
      <c r="J1354" s="1" t="s">
        <v>371</v>
      </c>
      <c r="K1354" s="1" t="str">
        <f>_xlfn.XLOOKUP(J1354,REF!$D$2:$D$12,REF!$E$2:$E$12)</f>
        <v>Inversor</v>
      </c>
      <c r="L1354" s="1" t="s">
        <v>2229</v>
      </c>
      <c r="M1354" s="1" t="s">
        <v>663</v>
      </c>
      <c r="N1354" s="1" t="s">
        <v>364</v>
      </c>
      <c r="O1354" s="1" t="s">
        <v>2230</v>
      </c>
      <c r="P1354" s="58" t="str">
        <f t="shared" si="67"/>
        <v>VAZANTE II - UFV 2Inverter-ES218005897708/12/20205 10:4108/12/20205 10:41</v>
      </c>
      <c r="Q1354" s="58" t="str">
        <f t="shared" si="68"/>
        <v>DAUINV</v>
      </c>
    </row>
    <row r="1355" spans="1:17" s="44" customFormat="1" hidden="1">
      <c r="A1355" s="43"/>
      <c r="B1355" s="58" t="s">
        <v>2226</v>
      </c>
      <c r="C1355" s="58" t="s">
        <v>2234</v>
      </c>
      <c r="D1355" s="59" t="s">
        <v>2228</v>
      </c>
      <c r="E1355" s="59" t="s">
        <v>2228</v>
      </c>
      <c r="F1355" s="59"/>
      <c r="G1355" s="60" t="e">
        <f>F1355-E1355</f>
        <v>#VALUE!</v>
      </c>
      <c r="H1355" s="1" t="s">
        <v>257</v>
      </c>
      <c r="I1355" s="1"/>
      <c r="J1355" s="1" t="s">
        <v>371</v>
      </c>
      <c r="K1355" s="1" t="str">
        <f>_xlfn.XLOOKUP(J1355,REF!$D$2:$D$12,REF!$E$2:$E$12)</f>
        <v>Inversor</v>
      </c>
      <c r="L1355" s="1" t="s">
        <v>2229</v>
      </c>
      <c r="M1355" s="1" t="s">
        <v>663</v>
      </c>
      <c r="N1355" s="1" t="s">
        <v>364</v>
      </c>
      <c r="O1355" s="1" t="s">
        <v>2230</v>
      </c>
      <c r="P1355" s="58" t="str">
        <f t="shared" si="67"/>
        <v>VAZANTE II - UFV 2Inverter-ES217002814108/12/20205 10:4108/12/20205 10:41</v>
      </c>
      <c r="Q1355" s="58" t="str">
        <f t="shared" si="68"/>
        <v>DAUINV</v>
      </c>
    </row>
    <row r="1356" spans="1:17" hidden="1">
      <c r="A1356" s="45"/>
      <c r="B1356" s="61" t="s">
        <v>444</v>
      </c>
      <c r="C1356" s="61" t="s">
        <v>263</v>
      </c>
      <c r="D1356" s="62">
        <v>45992.391006944446</v>
      </c>
      <c r="E1356" s="62">
        <v>45992.391006944446</v>
      </c>
      <c r="F1356" s="62">
        <v>45992.418622685182</v>
      </c>
      <c r="G1356" s="63">
        <v>2.7615740740740739E-2</v>
      </c>
      <c r="H1356" s="61" t="s">
        <v>257</v>
      </c>
      <c r="I1356" s="61"/>
      <c r="J1356" s="61" t="s">
        <v>258</v>
      </c>
      <c r="K1356" s="1" t="str">
        <f>_xlfn.XLOOKUP(J1356,REF!$D$2:$D$12,REF!$E$2:$E$12)</f>
        <v>Rede</v>
      </c>
      <c r="L1356" s="61" t="s">
        <v>691</v>
      </c>
      <c r="M1356" s="61" t="s">
        <v>260</v>
      </c>
      <c r="N1356" s="61" t="s">
        <v>261</v>
      </c>
      <c r="O1356" s="61" t="s">
        <v>2090</v>
      </c>
      <c r="P1356" s="61" t="str">
        <f t="shared" si="67"/>
        <v>BC Clareira1.1Inverter(MBUS-14)45992,391006944445992,391006944445992,4186226852</v>
      </c>
      <c r="Q1356" s="61" t="str">
        <f t="shared" si="68"/>
        <v>DAURDE</v>
      </c>
    </row>
    <row r="1357" spans="1:17" hidden="1">
      <c r="A1357" s="45"/>
      <c r="B1357" s="61" t="s">
        <v>444</v>
      </c>
      <c r="C1357" s="61" t="s">
        <v>307</v>
      </c>
      <c r="D1357" s="62">
        <v>45992.391006944446</v>
      </c>
      <c r="E1357" s="62">
        <v>45992.391006944446</v>
      </c>
      <c r="F1357" s="62">
        <v>45992.418622685182</v>
      </c>
      <c r="G1357" s="63">
        <v>2.7615740740740739E-2</v>
      </c>
      <c r="H1357" s="61" t="s">
        <v>257</v>
      </c>
      <c r="I1357" s="61"/>
      <c r="J1357" s="61" t="s">
        <v>258</v>
      </c>
      <c r="K1357" s="1" t="str">
        <f>_xlfn.XLOOKUP(J1357,REF!$D$2:$D$12,REF!$E$2:$E$12)</f>
        <v>Rede</v>
      </c>
      <c r="L1357" s="61" t="s">
        <v>691</v>
      </c>
      <c r="M1357" s="61" t="s">
        <v>260</v>
      </c>
      <c r="N1357" s="61" t="s">
        <v>261</v>
      </c>
      <c r="O1357" s="61" t="s">
        <v>2090</v>
      </c>
      <c r="P1357" s="61" t="str">
        <f t="shared" si="67"/>
        <v>BC Clareira1.1Inverter(MBUS-15)45992,391006944445992,391006944445992,4186226852</v>
      </c>
      <c r="Q1357" s="61" t="str">
        <f t="shared" si="68"/>
        <v>DAURDE</v>
      </c>
    </row>
    <row r="1358" spans="1:17" hidden="1">
      <c r="A1358" s="45"/>
      <c r="B1358" s="61" t="s">
        <v>444</v>
      </c>
      <c r="C1358" s="61" t="s">
        <v>390</v>
      </c>
      <c r="D1358" s="62">
        <v>45992.391006944446</v>
      </c>
      <c r="E1358" s="62">
        <v>45992.391006944446</v>
      </c>
      <c r="F1358" s="62">
        <v>45992.418622685182</v>
      </c>
      <c r="G1358" s="63">
        <v>2.7615740740740739E-2</v>
      </c>
      <c r="H1358" s="61" t="s">
        <v>257</v>
      </c>
      <c r="I1358" s="61"/>
      <c r="J1358" s="61" t="s">
        <v>258</v>
      </c>
      <c r="K1358" s="1" t="str">
        <f>_xlfn.XLOOKUP(J1358,REF!$D$2:$D$12,REF!$E$2:$E$12)</f>
        <v>Rede</v>
      </c>
      <c r="L1358" s="61" t="s">
        <v>691</v>
      </c>
      <c r="M1358" s="61" t="s">
        <v>260</v>
      </c>
      <c r="N1358" s="61" t="s">
        <v>261</v>
      </c>
      <c r="O1358" s="61" t="s">
        <v>2090</v>
      </c>
      <c r="P1358" s="61" t="str">
        <f t="shared" si="67"/>
        <v>BC Clareira1.1Inverter(MBUS-16)45992,391006944445992,391006944445992,4186226852</v>
      </c>
      <c r="Q1358" s="61" t="str">
        <f t="shared" si="68"/>
        <v>DAURDE</v>
      </c>
    </row>
    <row r="1359" spans="1:17" hidden="1">
      <c r="A1359" s="45"/>
      <c r="B1359" s="61" t="s">
        <v>444</v>
      </c>
      <c r="C1359" s="61" t="s">
        <v>256</v>
      </c>
      <c r="D1359" s="62">
        <v>45992.391006944446</v>
      </c>
      <c r="E1359" s="62">
        <v>45992.391006944446</v>
      </c>
      <c r="F1359" s="62">
        <v>45992.418622685182</v>
      </c>
      <c r="G1359" s="63">
        <v>2.7615740740740739E-2</v>
      </c>
      <c r="H1359" s="61" t="s">
        <v>257</v>
      </c>
      <c r="I1359" s="61"/>
      <c r="J1359" s="61" t="s">
        <v>258</v>
      </c>
      <c r="K1359" s="1" t="str">
        <f>_xlfn.XLOOKUP(J1359,REF!$D$2:$D$12,REF!$E$2:$E$12)</f>
        <v>Rede</v>
      </c>
      <c r="L1359" s="61" t="s">
        <v>691</v>
      </c>
      <c r="M1359" s="61" t="s">
        <v>260</v>
      </c>
      <c r="N1359" s="61" t="s">
        <v>261</v>
      </c>
      <c r="O1359" s="61" t="s">
        <v>2090</v>
      </c>
      <c r="P1359" s="61" t="str">
        <f t="shared" si="67"/>
        <v>BC Clareira1.1Inverter(MBUS-12)45992,391006944445992,391006944445992,4186226852</v>
      </c>
      <c r="Q1359" s="61" t="str">
        <f t="shared" si="68"/>
        <v>DAURDE</v>
      </c>
    </row>
    <row r="1360" spans="1:17" hidden="1">
      <c r="A1360" s="45"/>
      <c r="B1360" s="61" t="s">
        <v>444</v>
      </c>
      <c r="C1360" s="61" t="s">
        <v>264</v>
      </c>
      <c r="D1360" s="62">
        <v>45992.391006944446</v>
      </c>
      <c r="E1360" s="62">
        <v>45992.391006944446</v>
      </c>
      <c r="F1360" s="62">
        <v>45992.418622685182</v>
      </c>
      <c r="G1360" s="63">
        <v>2.7615740740740739E-2</v>
      </c>
      <c r="H1360" s="61" t="s">
        <v>257</v>
      </c>
      <c r="I1360" s="61"/>
      <c r="J1360" s="61" t="s">
        <v>258</v>
      </c>
      <c r="K1360" s="1" t="str">
        <f>_xlfn.XLOOKUP(J1360,REF!$D$2:$D$12,REF!$E$2:$E$12)</f>
        <v>Rede</v>
      </c>
      <c r="L1360" s="61" t="s">
        <v>691</v>
      </c>
      <c r="M1360" s="61" t="s">
        <v>260</v>
      </c>
      <c r="N1360" s="61" t="s">
        <v>261</v>
      </c>
      <c r="O1360" s="61" t="s">
        <v>2090</v>
      </c>
      <c r="P1360" s="61" t="str">
        <f t="shared" si="67"/>
        <v>BC Clareira1.1Inverter(MBUS-13)45992,391006944445992,391006944445992,4186226852</v>
      </c>
      <c r="Q1360" s="61" t="str">
        <f t="shared" si="68"/>
        <v>DAURDE</v>
      </c>
    </row>
    <row r="1361" spans="1:17" hidden="1">
      <c r="A1361" s="45"/>
      <c r="B1361" s="61" t="s">
        <v>446</v>
      </c>
      <c r="C1361" s="61" t="s">
        <v>377</v>
      </c>
      <c r="D1361" s="62">
        <v>45992.39135416667</v>
      </c>
      <c r="E1361" s="62">
        <v>45992.39135416667</v>
      </c>
      <c r="F1361" s="62">
        <v>45992.418425925927</v>
      </c>
      <c r="G1361" s="63">
        <v>2.7071759259259261E-2</v>
      </c>
      <c r="H1361" s="61" t="s">
        <v>257</v>
      </c>
      <c r="I1361" s="61"/>
      <c r="J1361" s="61" t="s">
        <v>258</v>
      </c>
      <c r="K1361" s="1" t="str">
        <f>_xlfn.XLOOKUP(J1361,REF!$D$2:$D$12,REF!$E$2:$E$12)</f>
        <v>Rede</v>
      </c>
      <c r="L1361" s="61" t="s">
        <v>691</v>
      </c>
      <c r="M1361" s="61" t="s">
        <v>260</v>
      </c>
      <c r="N1361" s="61" t="s">
        <v>261</v>
      </c>
      <c r="O1361" s="61" t="s">
        <v>2090</v>
      </c>
      <c r="P1361" s="61" t="str">
        <f t="shared" si="67"/>
        <v>BC Clareira1.2215KTL-H3(MBUS-12)45992,391354166745992,391354166745992,4184259259</v>
      </c>
      <c r="Q1361" s="61" t="str">
        <f t="shared" si="68"/>
        <v>DAURDE</v>
      </c>
    </row>
    <row r="1362" spans="1:17" hidden="1">
      <c r="A1362" s="45"/>
      <c r="B1362" s="61" t="s">
        <v>446</v>
      </c>
      <c r="C1362" s="61" t="s">
        <v>447</v>
      </c>
      <c r="D1362" s="62">
        <v>45992.39135416667</v>
      </c>
      <c r="E1362" s="62">
        <v>45992.39135416667</v>
      </c>
      <c r="F1362" s="62">
        <v>45992.418425925927</v>
      </c>
      <c r="G1362" s="63">
        <v>2.7071759259259261E-2</v>
      </c>
      <c r="H1362" s="61" t="s">
        <v>257</v>
      </c>
      <c r="I1362" s="61"/>
      <c r="J1362" s="61" t="s">
        <v>258</v>
      </c>
      <c r="K1362" s="1" t="str">
        <f>_xlfn.XLOOKUP(J1362,REF!$D$2:$D$12,REF!$E$2:$E$12)</f>
        <v>Rede</v>
      </c>
      <c r="L1362" s="61" t="s">
        <v>691</v>
      </c>
      <c r="M1362" s="61" t="s">
        <v>260</v>
      </c>
      <c r="N1362" s="61" t="s">
        <v>261</v>
      </c>
      <c r="O1362" s="61" t="s">
        <v>2090</v>
      </c>
      <c r="P1362" s="61" t="str">
        <f t="shared" si="67"/>
        <v>BC Clareira1.2100KTL-H1(MBUS-14)45992,391354166745992,391354166745992,4184259259</v>
      </c>
      <c r="Q1362" s="61" t="str">
        <f t="shared" si="68"/>
        <v>DAURDE</v>
      </c>
    </row>
    <row r="1363" spans="1:17" hidden="1">
      <c r="A1363" s="45"/>
      <c r="B1363" s="61" t="s">
        <v>446</v>
      </c>
      <c r="C1363" s="61" t="s">
        <v>378</v>
      </c>
      <c r="D1363" s="62">
        <v>45992.39135416667</v>
      </c>
      <c r="E1363" s="62">
        <v>45992.39135416667</v>
      </c>
      <c r="F1363" s="62">
        <v>45992.418425925927</v>
      </c>
      <c r="G1363" s="63">
        <v>2.7071759259259261E-2</v>
      </c>
      <c r="H1363" s="61" t="s">
        <v>257</v>
      </c>
      <c r="I1363" s="61"/>
      <c r="J1363" s="61" t="s">
        <v>258</v>
      </c>
      <c r="K1363" s="1" t="str">
        <f>_xlfn.XLOOKUP(J1363,REF!$D$2:$D$12,REF!$E$2:$E$12)</f>
        <v>Rede</v>
      </c>
      <c r="L1363" s="61" t="s">
        <v>691</v>
      </c>
      <c r="M1363" s="61" t="s">
        <v>260</v>
      </c>
      <c r="N1363" s="61" t="s">
        <v>261</v>
      </c>
      <c r="O1363" s="61" t="s">
        <v>2090</v>
      </c>
      <c r="P1363" s="61" t="str">
        <f t="shared" si="67"/>
        <v>BC Clareira1.2215KTL-H3(MBUS-13)45992,391354166745992,391354166745992,4184259259</v>
      </c>
      <c r="Q1363" s="61" t="str">
        <f t="shared" si="68"/>
        <v>DAURDE</v>
      </c>
    </row>
    <row r="1364" spans="1:17" hidden="1">
      <c r="B1364" s="1" t="s">
        <v>375</v>
      </c>
      <c r="C1364" s="1" t="s">
        <v>247</v>
      </c>
      <c r="D1364" s="52">
        <v>46011.166666666664</v>
      </c>
      <c r="E1364" s="52">
        <v>46011.166666666664</v>
      </c>
      <c r="F1364" s="52">
        <v>46011.350694444445</v>
      </c>
      <c r="G1364" s="63">
        <f>F1364-E1364</f>
        <v>0.18402777778101154</v>
      </c>
      <c r="H1364" s="1" t="s">
        <v>257</v>
      </c>
      <c r="J1364" s="1" t="s">
        <v>230</v>
      </c>
      <c r="K1364" s="1" t="str">
        <f>_xlfn.XLOOKUP(J1364,REF!$D$2:$D$12,REF!$E$2:$E$12)</f>
        <v>UFV</v>
      </c>
      <c r="L1364" s="65" t="s">
        <v>691</v>
      </c>
      <c r="M1364" s="1" t="s">
        <v>499</v>
      </c>
      <c r="N1364" s="1" t="s">
        <v>253</v>
      </c>
      <c r="O1364" s="1" t="s">
        <v>2217</v>
      </c>
      <c r="P1364" s="1" t="str">
        <f t="shared" si="67"/>
        <v>BC Camarao1.1Inverter(MBUS-1)46011,166666666746011,166666666746011,3506944444</v>
      </c>
      <c r="Q1364" s="1" t="str">
        <f t="shared" si="68"/>
        <v>DAUUFV</v>
      </c>
    </row>
    <row r="1365" spans="1:17" hidden="1">
      <c r="B1365" s="1" t="s">
        <v>375</v>
      </c>
      <c r="C1365" s="1" t="s">
        <v>377</v>
      </c>
      <c r="D1365" s="52">
        <v>46011.166666666664</v>
      </c>
      <c r="E1365" s="52">
        <v>46011.166666666664</v>
      </c>
      <c r="F1365" s="52">
        <v>46011.350694444445</v>
      </c>
      <c r="G1365" s="63">
        <f>F1365-E1365</f>
        <v>0.18402777778101154</v>
      </c>
      <c r="H1365" s="1" t="s">
        <v>257</v>
      </c>
      <c r="J1365" s="1" t="s">
        <v>230</v>
      </c>
      <c r="K1365" s="1" t="str">
        <f>_xlfn.XLOOKUP(J1365,REF!$D$2:$D$12,REF!$E$2:$E$12)</f>
        <v>UFV</v>
      </c>
      <c r="L1365" s="65" t="s">
        <v>691</v>
      </c>
      <c r="M1365" s="1" t="s">
        <v>499</v>
      </c>
      <c r="N1365" s="1" t="s">
        <v>253</v>
      </c>
      <c r="O1365" s="1" t="s">
        <v>2217</v>
      </c>
      <c r="P1365" s="1" t="str">
        <f t="shared" si="67"/>
        <v>BC Camarao1.1215KTL-H3(MBUS-12)46011,166666666746011,166666666746011,3506944444</v>
      </c>
      <c r="Q1365" s="1" t="str">
        <f t="shared" si="68"/>
        <v>DAUUFV</v>
      </c>
    </row>
    <row r="1366" spans="1:17" hidden="1">
      <c r="B1366" s="1" t="s">
        <v>375</v>
      </c>
      <c r="C1366" s="1" t="s">
        <v>378</v>
      </c>
      <c r="D1366" s="52">
        <v>46011.166666666664</v>
      </c>
      <c r="E1366" s="52">
        <v>46011.166666666664</v>
      </c>
      <c r="F1366" s="52">
        <v>46011.350694444445</v>
      </c>
      <c r="G1366" s="63">
        <f>F1366-E1366</f>
        <v>0.18402777778101154</v>
      </c>
      <c r="H1366" s="1" t="s">
        <v>257</v>
      </c>
      <c r="J1366" s="1" t="s">
        <v>230</v>
      </c>
      <c r="K1366" s="1" t="str">
        <f>_xlfn.XLOOKUP(J1366,REF!$D$2:$D$12,REF!$E$2:$E$12)</f>
        <v>UFV</v>
      </c>
      <c r="L1366" s="65" t="s">
        <v>691</v>
      </c>
      <c r="M1366" s="1" t="s">
        <v>499</v>
      </c>
      <c r="N1366" s="1" t="s">
        <v>253</v>
      </c>
      <c r="O1366" s="1" t="s">
        <v>2217</v>
      </c>
      <c r="P1366" s="1" t="str">
        <f t="shared" si="67"/>
        <v>BC Camarao1.1215KTL-H3(MBUS-13)46011,166666666746011,166666666746011,3506944444</v>
      </c>
      <c r="Q1366" s="1" t="str">
        <f t="shared" si="68"/>
        <v>DAUUFV</v>
      </c>
    </row>
    <row r="1367" spans="1:17" hidden="1">
      <c r="B1367" s="1" t="s">
        <v>375</v>
      </c>
      <c r="C1367" s="1" t="s">
        <v>379</v>
      </c>
      <c r="D1367" s="52">
        <v>46011.166666666664</v>
      </c>
      <c r="E1367" s="52">
        <v>46011.166666666664</v>
      </c>
      <c r="F1367" s="52">
        <v>46011.350694444445</v>
      </c>
      <c r="G1367" s="63">
        <f>F1367-E1367</f>
        <v>0.18402777778101154</v>
      </c>
      <c r="H1367" s="1" t="s">
        <v>257</v>
      </c>
      <c r="J1367" s="1" t="s">
        <v>230</v>
      </c>
      <c r="K1367" s="1" t="str">
        <f>_xlfn.XLOOKUP(J1367,REF!$D$2:$D$12,REF!$E$2:$E$12)</f>
        <v>UFV</v>
      </c>
      <c r="L1367" s="65" t="s">
        <v>691</v>
      </c>
      <c r="M1367" s="1" t="s">
        <v>499</v>
      </c>
      <c r="N1367" s="1" t="s">
        <v>253</v>
      </c>
      <c r="O1367" s="1" t="s">
        <v>2217</v>
      </c>
      <c r="P1367" s="1" t="str">
        <f t="shared" si="67"/>
        <v>BC Camarao1.1215KTL-H3(MBUS-16)46011,166666666746011,166666666746011,3506944444</v>
      </c>
      <c r="Q1367" s="1" t="str">
        <f t="shared" si="68"/>
        <v>DAUUFV</v>
      </c>
    </row>
    <row r="1368" spans="1:17" hidden="1">
      <c r="B1368" s="1" t="s">
        <v>375</v>
      </c>
      <c r="C1368" s="1" t="s">
        <v>380</v>
      </c>
      <c r="D1368" s="52">
        <v>46011.166666666664</v>
      </c>
      <c r="E1368" s="52">
        <v>46011.166666666664</v>
      </c>
      <c r="F1368" s="52">
        <v>46011.350694444445</v>
      </c>
      <c r="G1368" s="63">
        <f>F1368-E1368</f>
        <v>0.18402777778101154</v>
      </c>
      <c r="H1368" s="1" t="s">
        <v>257</v>
      </c>
      <c r="J1368" s="1" t="s">
        <v>230</v>
      </c>
      <c r="K1368" s="1" t="str">
        <f>_xlfn.XLOOKUP(J1368,REF!$D$2:$D$12,REF!$E$2:$E$12)</f>
        <v>UFV</v>
      </c>
      <c r="L1368" s="65" t="s">
        <v>691</v>
      </c>
      <c r="M1368" s="1" t="s">
        <v>499</v>
      </c>
      <c r="N1368" s="1" t="s">
        <v>253</v>
      </c>
      <c r="O1368" s="1" t="s">
        <v>2217</v>
      </c>
      <c r="P1368" s="1" t="str">
        <f t="shared" si="67"/>
        <v>BC Camarao1.1215KTL-H3(MBUS-15)46011,166666666746011,166666666746011,3506944444</v>
      </c>
      <c r="Q1368" s="1" t="str">
        <f t="shared" si="68"/>
        <v>DAUUFV</v>
      </c>
    </row>
    <row r="1369" spans="1:17" hidden="1">
      <c r="B1369" s="1" t="s">
        <v>2117</v>
      </c>
      <c r="C1369" s="1" t="s">
        <v>720</v>
      </c>
      <c r="D1369" s="52">
        <v>46010.563194444447</v>
      </c>
      <c r="E1369" s="52">
        <v>46010.563194444447</v>
      </c>
      <c r="F1369" s="52">
        <v>46010.645833333336</v>
      </c>
      <c r="G1369" s="63">
        <f>F1369-E1369</f>
        <v>8.2638888889050577E-2</v>
      </c>
      <c r="H1369" s="1" t="s">
        <v>677</v>
      </c>
      <c r="J1369" s="1" t="s">
        <v>230</v>
      </c>
      <c r="K1369" s="1" t="str">
        <f>_xlfn.XLOOKUP(J1369,REF!$D$2:$D$12,REF!$E$2:$E$12)</f>
        <v>UFV</v>
      </c>
      <c r="L1369" s="1" t="s">
        <v>2235</v>
      </c>
      <c r="M1369" s="1" t="s">
        <v>663</v>
      </c>
      <c r="N1369" s="1" t="s">
        <v>672</v>
      </c>
      <c r="O1369" s="1" t="s">
        <v>2236</v>
      </c>
      <c r="P1369" s="1" t="str">
        <f t="shared" si="67"/>
        <v>CORUMBÁ I - UFV 1U01.I0146010,563194444446010,563194444446010,6458333333</v>
      </c>
      <c r="Q1369" s="1" t="str">
        <f t="shared" si="68"/>
        <v>DPRUFV</v>
      </c>
    </row>
    <row r="1370" spans="1:17" hidden="1">
      <c r="B1370" s="1" t="s">
        <v>2117</v>
      </c>
      <c r="C1370" s="1" t="s">
        <v>721</v>
      </c>
      <c r="D1370" s="52">
        <v>46010.563194444447</v>
      </c>
      <c r="E1370" s="52">
        <v>46010.563194444447</v>
      </c>
      <c r="F1370" s="52">
        <v>46010.645833333336</v>
      </c>
      <c r="G1370" s="63">
        <f>F1370-E1370</f>
        <v>8.2638888889050577E-2</v>
      </c>
      <c r="H1370" s="1" t="s">
        <v>677</v>
      </c>
      <c r="J1370" s="1" t="s">
        <v>230</v>
      </c>
      <c r="K1370" s="1" t="str">
        <f>_xlfn.XLOOKUP(J1370,REF!$D$2:$D$12,REF!$E$2:$E$12)</f>
        <v>UFV</v>
      </c>
      <c r="L1370" s="1" t="s">
        <v>2235</v>
      </c>
      <c r="M1370" s="1" t="s">
        <v>663</v>
      </c>
      <c r="N1370" s="1" t="s">
        <v>672</v>
      </c>
      <c r="O1370" s="1" t="s">
        <v>2236</v>
      </c>
      <c r="P1370" s="1" t="str">
        <f t="shared" ref="P1370:P1399" si="69">_xlfn.CONCAT(B1370,C1370,D1370,E1370,F1370)</f>
        <v>CORUMBÁ I - UFV 1U01.I0246010,563194444446010,563194444446010,6458333333</v>
      </c>
      <c r="Q1370" s="1" t="str">
        <f t="shared" ref="Q1370:Q1433" si="70">_xlfn.CONCAT(H1370,I1370,J1370)</f>
        <v>DPRUFV</v>
      </c>
    </row>
    <row r="1371" spans="1:17" hidden="1">
      <c r="B1371" s="1" t="s">
        <v>2117</v>
      </c>
      <c r="C1371" s="1" t="s">
        <v>722</v>
      </c>
      <c r="D1371" s="52">
        <v>46010.563194444447</v>
      </c>
      <c r="E1371" s="52">
        <v>46010.563194444447</v>
      </c>
      <c r="F1371" s="52">
        <v>46010.645833333336</v>
      </c>
      <c r="G1371" s="63">
        <f>F1371-E1371</f>
        <v>8.2638888889050577E-2</v>
      </c>
      <c r="H1371" s="1" t="s">
        <v>677</v>
      </c>
      <c r="J1371" s="1" t="s">
        <v>230</v>
      </c>
      <c r="K1371" s="1" t="str">
        <f>_xlfn.XLOOKUP(J1371,REF!$D$2:$D$12,REF!$E$2:$E$12)</f>
        <v>UFV</v>
      </c>
      <c r="L1371" s="1" t="s">
        <v>2235</v>
      </c>
      <c r="M1371" s="1" t="s">
        <v>663</v>
      </c>
      <c r="N1371" s="1" t="s">
        <v>672</v>
      </c>
      <c r="O1371" s="1" t="s">
        <v>2236</v>
      </c>
      <c r="P1371" s="1" t="str">
        <f t="shared" si="69"/>
        <v>CORUMBÁ I - UFV 1U01.I0346010,563194444446010,563194444446010,6458333333</v>
      </c>
      <c r="Q1371" s="1" t="str">
        <f t="shared" si="70"/>
        <v>DPRUFV</v>
      </c>
    </row>
    <row r="1372" spans="1:17" hidden="1">
      <c r="B1372" s="1" t="s">
        <v>2117</v>
      </c>
      <c r="C1372" s="1" t="s">
        <v>361</v>
      </c>
      <c r="D1372" s="52">
        <v>46010.563194444447</v>
      </c>
      <c r="E1372" s="52">
        <v>46010.563194444447</v>
      </c>
      <c r="F1372" s="52">
        <v>46010.645833333336</v>
      </c>
      <c r="G1372" s="63">
        <f>F1372-E1372</f>
        <v>8.2638888889050577E-2</v>
      </c>
      <c r="H1372" s="1" t="s">
        <v>677</v>
      </c>
      <c r="J1372" s="1" t="s">
        <v>230</v>
      </c>
      <c r="K1372" s="1" t="str">
        <f>_xlfn.XLOOKUP(J1372,REF!$D$2:$D$12,REF!$E$2:$E$12)</f>
        <v>UFV</v>
      </c>
      <c r="L1372" s="1" t="s">
        <v>2235</v>
      </c>
      <c r="M1372" s="1" t="s">
        <v>663</v>
      </c>
      <c r="N1372" s="1" t="s">
        <v>672</v>
      </c>
      <c r="O1372" s="1" t="s">
        <v>2236</v>
      </c>
      <c r="P1372" s="1" t="str">
        <f t="shared" si="69"/>
        <v>CORUMBÁ I - UFV 1U01.I0446010,563194444446010,563194444446010,6458333333</v>
      </c>
      <c r="Q1372" s="1" t="str">
        <f t="shared" si="70"/>
        <v>DPRUFV</v>
      </c>
    </row>
    <row r="1373" spans="1:17" hidden="1">
      <c r="B1373" s="1" t="s">
        <v>2117</v>
      </c>
      <c r="C1373" s="1" t="s">
        <v>366</v>
      </c>
      <c r="D1373" s="52">
        <v>46010.563194444447</v>
      </c>
      <c r="E1373" s="52">
        <v>46010.563194444447</v>
      </c>
      <c r="F1373" s="52">
        <v>46010.645833333336</v>
      </c>
      <c r="G1373" s="63">
        <f>F1373-E1373</f>
        <v>8.2638888889050577E-2</v>
      </c>
      <c r="H1373" s="1" t="s">
        <v>677</v>
      </c>
      <c r="J1373" s="1" t="s">
        <v>230</v>
      </c>
      <c r="K1373" s="1" t="str">
        <f>_xlfn.XLOOKUP(J1373,REF!$D$2:$D$12,REF!$E$2:$E$12)</f>
        <v>UFV</v>
      </c>
      <c r="L1373" s="1" t="s">
        <v>2235</v>
      </c>
      <c r="M1373" s="1" t="s">
        <v>663</v>
      </c>
      <c r="N1373" s="1" t="s">
        <v>672</v>
      </c>
      <c r="O1373" s="1" t="s">
        <v>2236</v>
      </c>
      <c r="P1373" s="1" t="str">
        <f t="shared" si="69"/>
        <v>CORUMBÁ I - UFV 1U01.I0546010,563194444446010,563194444446010,6458333333</v>
      </c>
      <c r="Q1373" s="1" t="str">
        <f t="shared" si="70"/>
        <v>DPRUFV</v>
      </c>
    </row>
    <row r="1374" spans="1:17">
      <c r="A1374" s="45"/>
      <c r="B1374" s="61" t="s">
        <v>806</v>
      </c>
      <c r="C1374" s="61" t="s">
        <v>264</v>
      </c>
      <c r="D1374" s="62">
        <v>45995.700694444444</v>
      </c>
      <c r="E1374" s="62">
        <v>45995.700694444444</v>
      </c>
      <c r="F1374" s="62">
        <v>46022.999988425923</v>
      </c>
      <c r="G1374" s="63">
        <v>27.299293981481483</v>
      </c>
      <c r="H1374" s="61" t="s">
        <v>268</v>
      </c>
      <c r="I1374" s="61" t="s">
        <v>269</v>
      </c>
      <c r="J1374" s="61" t="s">
        <v>319</v>
      </c>
      <c r="K1374" s="1" t="str">
        <f>_xlfn.XLOOKUP(J1374,REF!$D$2:$D$12,REF!$E$2:$E$12)</f>
        <v>Comunicação</v>
      </c>
      <c r="L1374" s="61" t="s">
        <v>2237</v>
      </c>
      <c r="M1374" s="61" t="s">
        <v>289</v>
      </c>
      <c r="N1374" s="61" t="s">
        <v>253</v>
      </c>
      <c r="O1374" s="61" t="s">
        <v>2238</v>
      </c>
      <c r="P1374" s="1" t="str">
        <f>_xlfn.CONCAT(B1374,C1374,D1374,E1374,F1374)</f>
        <v>BC Formoso1.3Inverter(MBUS-13)45995,700694444445995,700694444446022,9999884259</v>
      </c>
      <c r="Q1374" s="61" t="str">
        <f t="shared" si="70"/>
        <v>LIGRFOCOM</v>
      </c>
    </row>
    <row r="1375" spans="1:17">
      <c r="A1375" s="45"/>
      <c r="B1375" s="61" t="s">
        <v>806</v>
      </c>
      <c r="C1375" s="61" t="s">
        <v>256</v>
      </c>
      <c r="D1375" s="62">
        <v>45995.700694444444</v>
      </c>
      <c r="E1375" s="62">
        <v>45995.700694444444</v>
      </c>
      <c r="F1375" s="62">
        <v>46022.999988425923</v>
      </c>
      <c r="G1375" s="63">
        <v>27.299293981481483</v>
      </c>
      <c r="H1375" s="61" t="s">
        <v>268</v>
      </c>
      <c r="I1375" s="61" t="s">
        <v>269</v>
      </c>
      <c r="J1375" s="61" t="s">
        <v>319</v>
      </c>
      <c r="K1375" s="1" t="str">
        <f>_xlfn.XLOOKUP(J1375,REF!$D$2:$D$12,REF!$E$2:$E$12)</f>
        <v>Comunicação</v>
      </c>
      <c r="L1375" s="61" t="s">
        <v>2237</v>
      </c>
      <c r="M1375" s="61" t="s">
        <v>289</v>
      </c>
      <c r="N1375" s="61" t="s">
        <v>253</v>
      </c>
      <c r="O1375" s="61" t="s">
        <v>2238</v>
      </c>
      <c r="P1375" s="1" t="str">
        <f>_xlfn.CONCAT(B1375,C1375,D1375,E1375,F1375)</f>
        <v>BC Formoso1.3Inverter(MBUS-12)45995,700694444445995,700694444446022,9999884259</v>
      </c>
      <c r="Q1375" s="61" t="str">
        <f t="shared" si="70"/>
        <v>LIGRFOCOM</v>
      </c>
    </row>
    <row r="1376" spans="1:17" hidden="1">
      <c r="B1376" s="1" t="s">
        <v>375</v>
      </c>
      <c r="C1376" s="1" t="s">
        <v>247</v>
      </c>
      <c r="D1376" s="52">
        <v>46009.861111111109</v>
      </c>
      <c r="E1376" s="52">
        <v>46009.861111111109</v>
      </c>
      <c r="F1376" s="52">
        <v>46010.569444444445</v>
      </c>
      <c r="G1376" s="63">
        <f>F1376-E1376</f>
        <v>0.70833333333575865</v>
      </c>
      <c r="H1376" s="1" t="s">
        <v>257</v>
      </c>
      <c r="J1376" s="1" t="s">
        <v>258</v>
      </c>
      <c r="K1376" s="1" t="str">
        <f>_xlfn.XLOOKUP(J1376,REF!$D$2:$D$12,REF!$E$2:$E$12)</f>
        <v>Rede</v>
      </c>
      <c r="L1376" s="1" t="s">
        <v>2239</v>
      </c>
      <c r="M1376" s="1" t="s">
        <v>260</v>
      </c>
      <c r="N1376" s="1" t="s">
        <v>357</v>
      </c>
      <c r="O1376" s="1" t="s">
        <v>2240</v>
      </c>
      <c r="P1376" s="1" t="str">
        <f>_xlfn.CONCAT(B1376,C1376,D1376,E1376,F1376)</f>
        <v>BC Camarao1.1Inverter(MBUS-1)46009,861111111146009,861111111146010,5694444444</v>
      </c>
      <c r="Q1376" s="1" t="str">
        <f t="shared" si="70"/>
        <v>DAURDE</v>
      </c>
    </row>
    <row r="1377" spans="2:17" hidden="1">
      <c r="B1377" s="1" t="s">
        <v>375</v>
      </c>
      <c r="C1377" s="1" t="s">
        <v>377</v>
      </c>
      <c r="D1377" s="52">
        <v>46009.861111111109</v>
      </c>
      <c r="E1377" s="52">
        <v>46009.861111111109</v>
      </c>
      <c r="F1377" s="52">
        <v>46010.569444444445</v>
      </c>
      <c r="G1377" s="63">
        <f>F1377-E1377</f>
        <v>0.70833333333575865</v>
      </c>
      <c r="H1377" s="1" t="s">
        <v>257</v>
      </c>
      <c r="J1377" s="1" t="s">
        <v>258</v>
      </c>
      <c r="K1377" s="1" t="str">
        <f>_xlfn.XLOOKUP(J1377,REF!$D$2:$D$12,REF!$E$2:$E$12)</f>
        <v>Rede</v>
      </c>
      <c r="L1377" s="1" t="s">
        <v>2239</v>
      </c>
      <c r="M1377" s="1" t="s">
        <v>260</v>
      </c>
      <c r="N1377" s="1" t="s">
        <v>357</v>
      </c>
      <c r="O1377" s="1" t="s">
        <v>2240</v>
      </c>
      <c r="P1377" s="1" t="str">
        <f>_xlfn.CONCAT(B1377,C1377,D1377,E1377,F1377)</f>
        <v>BC Camarao1.1215KTL-H3(MBUS-12)46009,861111111146009,861111111146010,5694444444</v>
      </c>
      <c r="Q1377" s="1" t="str">
        <f t="shared" si="70"/>
        <v>DAURDE</v>
      </c>
    </row>
    <row r="1378" spans="2:17" hidden="1">
      <c r="B1378" s="1" t="s">
        <v>375</v>
      </c>
      <c r="C1378" s="1" t="s">
        <v>378</v>
      </c>
      <c r="D1378" s="52">
        <v>46009.861111111109</v>
      </c>
      <c r="E1378" s="52">
        <v>46009.861111111109</v>
      </c>
      <c r="F1378" s="52">
        <v>46010.569444444445</v>
      </c>
      <c r="G1378" s="63">
        <f>F1378-E1378</f>
        <v>0.70833333333575865</v>
      </c>
      <c r="H1378" s="1" t="s">
        <v>257</v>
      </c>
      <c r="J1378" s="1" t="s">
        <v>258</v>
      </c>
      <c r="K1378" s="1" t="str">
        <f>_xlfn.XLOOKUP(J1378,REF!$D$2:$D$12,REF!$E$2:$E$12)</f>
        <v>Rede</v>
      </c>
      <c r="L1378" s="1" t="s">
        <v>2239</v>
      </c>
      <c r="M1378" s="1" t="s">
        <v>260</v>
      </c>
      <c r="N1378" s="1" t="s">
        <v>357</v>
      </c>
      <c r="O1378" s="1" t="s">
        <v>2240</v>
      </c>
      <c r="P1378" s="1" t="str">
        <f>_xlfn.CONCAT(B1378,C1378,D1378,E1378,F1378)</f>
        <v>BC Camarao1.1215KTL-H3(MBUS-13)46009,861111111146009,861111111146010,5694444444</v>
      </c>
      <c r="Q1378" s="1" t="str">
        <f t="shared" si="70"/>
        <v>DAURDE</v>
      </c>
    </row>
    <row r="1379" spans="2:17" hidden="1">
      <c r="B1379" s="1" t="s">
        <v>375</v>
      </c>
      <c r="C1379" s="1" t="s">
        <v>379</v>
      </c>
      <c r="D1379" s="52">
        <v>46009.861111111109</v>
      </c>
      <c r="E1379" s="52">
        <v>46009.861111111109</v>
      </c>
      <c r="F1379" s="52">
        <v>46010.569444444445</v>
      </c>
      <c r="G1379" s="63">
        <f>F1379-E1379</f>
        <v>0.70833333333575865</v>
      </c>
      <c r="H1379" s="1" t="s">
        <v>257</v>
      </c>
      <c r="J1379" s="1" t="s">
        <v>258</v>
      </c>
      <c r="K1379" s="1" t="str">
        <f>_xlfn.XLOOKUP(J1379,REF!$D$2:$D$12,REF!$E$2:$E$12)</f>
        <v>Rede</v>
      </c>
      <c r="L1379" s="1" t="s">
        <v>2239</v>
      </c>
      <c r="M1379" s="1" t="s">
        <v>260</v>
      </c>
      <c r="N1379" s="1" t="s">
        <v>357</v>
      </c>
      <c r="O1379" s="1" t="s">
        <v>2240</v>
      </c>
      <c r="P1379" s="1" t="str">
        <f>_xlfn.CONCAT(B1379,C1379,D1379,E1379,F1379)</f>
        <v>BC Camarao1.1215KTL-H3(MBUS-16)46009,861111111146009,861111111146010,5694444444</v>
      </c>
      <c r="Q1379" s="1" t="str">
        <f t="shared" si="70"/>
        <v>DAURDE</v>
      </c>
    </row>
    <row r="1380" spans="2:17" hidden="1">
      <c r="B1380" s="1" t="s">
        <v>375</v>
      </c>
      <c r="C1380" s="1" t="s">
        <v>380</v>
      </c>
      <c r="D1380" s="52">
        <v>46009.861111111109</v>
      </c>
      <c r="E1380" s="52">
        <v>46009.861111111109</v>
      </c>
      <c r="F1380" s="52">
        <v>46010.569444444445</v>
      </c>
      <c r="G1380" s="63">
        <f>F1380-E1380</f>
        <v>0.70833333333575865</v>
      </c>
      <c r="H1380" s="1" t="s">
        <v>257</v>
      </c>
      <c r="J1380" s="1" t="s">
        <v>258</v>
      </c>
      <c r="K1380" s="1" t="str">
        <f>_xlfn.XLOOKUP(J1380,REF!$D$2:$D$12,REF!$E$2:$E$12)</f>
        <v>Rede</v>
      </c>
      <c r="L1380" s="1" t="s">
        <v>2239</v>
      </c>
      <c r="M1380" s="1" t="s">
        <v>260</v>
      </c>
      <c r="N1380" s="1" t="s">
        <v>357</v>
      </c>
      <c r="O1380" s="1" t="s">
        <v>2240</v>
      </c>
      <c r="P1380" s="1" t="str">
        <f>_xlfn.CONCAT(B1380,C1380,D1380,E1380,F1380)</f>
        <v>BC Camarao1.1215KTL-H3(MBUS-15)46009,861111111146009,861111111146010,5694444444</v>
      </c>
      <c r="Q1380" s="1" t="str">
        <f t="shared" si="70"/>
        <v>DAURDE</v>
      </c>
    </row>
    <row r="1381" spans="2:17" hidden="1">
      <c r="B1381" s="1" t="s">
        <v>387</v>
      </c>
      <c r="C1381" s="1" t="s">
        <v>389</v>
      </c>
      <c r="D1381" s="52">
        <v>46009.861111111109</v>
      </c>
      <c r="E1381" s="52">
        <v>46009.861111111109</v>
      </c>
      <c r="F1381" s="52">
        <v>46010.569444444445</v>
      </c>
      <c r="G1381" s="63">
        <f>F1381-E1381</f>
        <v>0.70833333333575865</v>
      </c>
      <c r="H1381" s="1" t="s">
        <v>257</v>
      </c>
      <c r="J1381" s="1" t="s">
        <v>258</v>
      </c>
      <c r="K1381" s="1" t="str">
        <f>_xlfn.XLOOKUP(J1381,REF!$D$2:$D$12,REF!$E$2:$E$12)</f>
        <v>Rede</v>
      </c>
      <c r="L1381" s="1" t="s">
        <v>2239</v>
      </c>
      <c r="M1381" s="1" t="s">
        <v>260</v>
      </c>
      <c r="N1381" s="1" t="s">
        <v>357</v>
      </c>
      <c r="O1381" s="1" t="s">
        <v>2240</v>
      </c>
      <c r="P1381" s="1" t="str">
        <f>_xlfn.CONCAT(B1381,C1381,D1381,E1381,F1381)</f>
        <v>BC Camarao1.2Inv. 446009,861111111146009,861111111146010,5694444444</v>
      </c>
      <c r="Q1381" s="1" t="str">
        <f t="shared" si="70"/>
        <v>DAURDE</v>
      </c>
    </row>
    <row r="1382" spans="2:17" hidden="1">
      <c r="B1382" s="1" t="s">
        <v>387</v>
      </c>
      <c r="C1382" s="1" t="s">
        <v>390</v>
      </c>
      <c r="D1382" s="52">
        <v>46009.861111111109</v>
      </c>
      <c r="E1382" s="52">
        <v>46009.861111111109</v>
      </c>
      <c r="F1382" s="52">
        <v>46010.569444444445</v>
      </c>
      <c r="G1382" s="63">
        <f>F1382-E1382</f>
        <v>0.70833333333575865</v>
      </c>
      <c r="H1382" s="1" t="s">
        <v>257</v>
      </c>
      <c r="J1382" s="1" t="s">
        <v>258</v>
      </c>
      <c r="K1382" s="1" t="str">
        <f>_xlfn.XLOOKUP(J1382,REF!$D$2:$D$12,REF!$E$2:$E$12)</f>
        <v>Rede</v>
      </c>
      <c r="L1382" s="1" t="s">
        <v>2239</v>
      </c>
      <c r="M1382" s="1" t="s">
        <v>260</v>
      </c>
      <c r="N1382" s="1" t="s">
        <v>357</v>
      </c>
      <c r="O1382" s="1" t="s">
        <v>2240</v>
      </c>
      <c r="P1382" s="1" t="str">
        <f>_xlfn.CONCAT(B1382,C1382,D1382,E1382,F1382)</f>
        <v>BC Camarao1.2Inverter(MBUS-16)46009,861111111146009,861111111146010,5694444444</v>
      </c>
      <c r="Q1382" s="1" t="str">
        <f t="shared" si="70"/>
        <v>DAURDE</v>
      </c>
    </row>
    <row r="1383" spans="2:17" hidden="1">
      <c r="B1383" s="1" t="s">
        <v>387</v>
      </c>
      <c r="C1383" s="1" t="s">
        <v>256</v>
      </c>
      <c r="D1383" s="52">
        <v>46009.861111111109</v>
      </c>
      <c r="E1383" s="52">
        <v>46009.861111111109</v>
      </c>
      <c r="F1383" s="52">
        <v>46010.569444444445</v>
      </c>
      <c r="G1383" s="63">
        <f>F1383-E1383</f>
        <v>0.70833333333575865</v>
      </c>
      <c r="H1383" s="1" t="s">
        <v>257</v>
      </c>
      <c r="J1383" s="1" t="s">
        <v>258</v>
      </c>
      <c r="K1383" s="1" t="str">
        <f>_xlfn.XLOOKUP(J1383,REF!$D$2:$D$12,REF!$E$2:$E$12)</f>
        <v>Rede</v>
      </c>
      <c r="L1383" s="1" t="s">
        <v>2239</v>
      </c>
      <c r="M1383" s="1" t="s">
        <v>260</v>
      </c>
      <c r="N1383" s="1" t="s">
        <v>357</v>
      </c>
      <c r="O1383" s="1" t="s">
        <v>2240</v>
      </c>
      <c r="P1383" s="1" t="str">
        <f>_xlfn.CONCAT(B1383,C1383,D1383,E1383,F1383)</f>
        <v>BC Camarao1.2Inverter(MBUS-12)46009,861111111146009,861111111146010,5694444444</v>
      </c>
      <c r="Q1383" s="1" t="str">
        <f t="shared" si="70"/>
        <v>DAURDE</v>
      </c>
    </row>
    <row r="1384" spans="2:17" hidden="1">
      <c r="B1384" s="1" t="s">
        <v>387</v>
      </c>
      <c r="C1384" s="1" t="s">
        <v>388</v>
      </c>
      <c r="D1384" s="52">
        <v>46009.861111111109</v>
      </c>
      <c r="E1384" s="52">
        <v>46009.861111111109</v>
      </c>
      <c r="F1384" s="52">
        <v>46010.569444444445</v>
      </c>
      <c r="G1384" s="63">
        <f>F1384-E1384</f>
        <v>0.70833333333575865</v>
      </c>
      <c r="H1384" s="1" t="s">
        <v>257</v>
      </c>
      <c r="J1384" s="1" t="s">
        <v>258</v>
      </c>
      <c r="K1384" s="1" t="str">
        <f>_xlfn.XLOOKUP(J1384,REF!$D$2:$D$12,REF!$E$2:$E$12)</f>
        <v>Rede</v>
      </c>
      <c r="L1384" s="1" t="s">
        <v>2239</v>
      </c>
      <c r="M1384" s="1" t="s">
        <v>260</v>
      </c>
      <c r="N1384" s="1" t="s">
        <v>357</v>
      </c>
      <c r="O1384" s="1" t="s">
        <v>2240</v>
      </c>
      <c r="P1384" s="1" t="str">
        <f>_xlfn.CONCAT(B1384,C1384,D1384,E1384,F1384)</f>
        <v>BC Camarao1.2Inv. 346009,861111111146009,861111111146010,5694444444</v>
      </c>
      <c r="Q1384" s="1" t="str">
        <f t="shared" si="70"/>
        <v>DAURDE</v>
      </c>
    </row>
    <row r="1385" spans="2:17" hidden="1">
      <c r="B1385" s="1" t="s">
        <v>387</v>
      </c>
      <c r="C1385" s="1" t="s">
        <v>247</v>
      </c>
      <c r="D1385" s="52">
        <v>46009.861111111109</v>
      </c>
      <c r="E1385" s="52">
        <v>46009.861111111109</v>
      </c>
      <c r="F1385" s="52">
        <v>46010.569444444445</v>
      </c>
      <c r="G1385" s="63">
        <f>F1385-E1385</f>
        <v>0.70833333333575865</v>
      </c>
      <c r="H1385" s="1" t="s">
        <v>257</v>
      </c>
      <c r="J1385" s="1" t="s">
        <v>258</v>
      </c>
      <c r="K1385" s="1" t="str">
        <f>_xlfn.XLOOKUP(J1385,REF!$D$2:$D$12,REF!$E$2:$E$12)</f>
        <v>Rede</v>
      </c>
      <c r="L1385" s="1" t="s">
        <v>2239</v>
      </c>
      <c r="M1385" s="1" t="s">
        <v>260</v>
      </c>
      <c r="N1385" s="1" t="s">
        <v>357</v>
      </c>
      <c r="O1385" s="1" t="s">
        <v>2240</v>
      </c>
      <c r="P1385" s="1" t="str">
        <f>_xlfn.CONCAT(B1385,C1385,D1385,E1385,F1385)</f>
        <v>BC Camarao1.2Inverter(MBUS-1)46009,861111111146009,861111111146010,5694444444</v>
      </c>
      <c r="Q1385" s="1" t="str">
        <f t="shared" si="70"/>
        <v>DAURDE</v>
      </c>
    </row>
    <row r="1386" spans="2:17" hidden="1">
      <c r="B1386" s="1" t="s">
        <v>381</v>
      </c>
      <c r="C1386" s="1" t="s">
        <v>379</v>
      </c>
      <c r="D1386" s="52">
        <v>46009.861111111109</v>
      </c>
      <c r="E1386" s="52">
        <v>46009.861111111109</v>
      </c>
      <c r="F1386" s="52">
        <v>46010.569444444445</v>
      </c>
      <c r="G1386" s="63">
        <f>F1386-E1386</f>
        <v>0.70833333333575865</v>
      </c>
      <c r="H1386" s="1" t="s">
        <v>257</v>
      </c>
      <c r="J1386" s="1" t="s">
        <v>258</v>
      </c>
      <c r="K1386" s="1" t="str">
        <f>_xlfn.XLOOKUP(J1386,REF!$D$2:$D$12,REF!$E$2:$E$12)</f>
        <v>Rede</v>
      </c>
      <c r="L1386" s="1" t="s">
        <v>2239</v>
      </c>
      <c r="M1386" s="1" t="s">
        <v>260</v>
      </c>
      <c r="N1386" s="1" t="s">
        <v>357</v>
      </c>
      <c r="O1386" s="1" t="s">
        <v>2240</v>
      </c>
      <c r="P1386" s="1" t="str">
        <f>_xlfn.CONCAT(B1386,C1386,D1386,E1386,F1386)</f>
        <v>BC Camarao1.3215KTL-H3(MBUS-16)46009,861111111146009,861111111146010,5694444444</v>
      </c>
      <c r="Q1386" s="1" t="str">
        <f t="shared" si="70"/>
        <v>DAURDE</v>
      </c>
    </row>
    <row r="1387" spans="2:17" hidden="1">
      <c r="B1387" s="1" t="s">
        <v>381</v>
      </c>
      <c r="C1387" s="1" t="s">
        <v>382</v>
      </c>
      <c r="D1387" s="52">
        <v>46009.861111111109</v>
      </c>
      <c r="E1387" s="52">
        <v>46009.861111111109</v>
      </c>
      <c r="F1387" s="52">
        <v>46010.569444444445</v>
      </c>
      <c r="G1387" s="63">
        <f>F1387-E1387</f>
        <v>0.70833333333575865</v>
      </c>
      <c r="H1387" s="1" t="s">
        <v>257</v>
      </c>
      <c r="J1387" s="1" t="s">
        <v>258</v>
      </c>
      <c r="K1387" s="1" t="str">
        <f>_xlfn.XLOOKUP(J1387,REF!$D$2:$D$12,REF!$E$2:$E$12)</f>
        <v>Rede</v>
      </c>
      <c r="L1387" s="1" t="s">
        <v>2239</v>
      </c>
      <c r="M1387" s="1" t="s">
        <v>260</v>
      </c>
      <c r="N1387" s="1" t="s">
        <v>357</v>
      </c>
      <c r="O1387" s="1" t="s">
        <v>2240</v>
      </c>
      <c r="P1387" s="1" t="str">
        <f>_xlfn.CONCAT(B1387,C1387,D1387,E1387,F1387)</f>
        <v>BC Camarao1.3215KTL-H3(MBUS-14)46009,861111111146009,861111111146010,5694444444</v>
      </c>
      <c r="Q1387" s="1" t="str">
        <f t="shared" si="70"/>
        <v>DAURDE</v>
      </c>
    </row>
    <row r="1388" spans="2:17" hidden="1">
      <c r="B1388" s="1" t="s">
        <v>381</v>
      </c>
      <c r="C1388" s="1" t="s">
        <v>380</v>
      </c>
      <c r="D1388" s="52">
        <v>46009.861111111109</v>
      </c>
      <c r="E1388" s="52">
        <v>46009.861111111109</v>
      </c>
      <c r="F1388" s="52">
        <v>46010.569444444445</v>
      </c>
      <c r="G1388" s="63">
        <f>F1388-E1388</f>
        <v>0.70833333333575865</v>
      </c>
      <c r="H1388" s="1" t="s">
        <v>257</v>
      </c>
      <c r="J1388" s="1" t="s">
        <v>258</v>
      </c>
      <c r="K1388" s="1" t="str">
        <f>_xlfn.XLOOKUP(J1388,REF!$D$2:$D$12,REF!$E$2:$E$12)</f>
        <v>Rede</v>
      </c>
      <c r="L1388" s="1" t="s">
        <v>2239</v>
      </c>
      <c r="M1388" s="1" t="s">
        <v>260</v>
      </c>
      <c r="N1388" s="1" t="s">
        <v>357</v>
      </c>
      <c r="O1388" s="1" t="s">
        <v>2240</v>
      </c>
      <c r="P1388" s="1" t="str">
        <f>_xlfn.CONCAT(B1388,C1388,D1388,E1388,F1388)</f>
        <v>BC Camarao1.3215KTL-H3(MBUS-15)46009,861111111146009,861111111146010,5694444444</v>
      </c>
      <c r="Q1388" s="1" t="str">
        <f t="shared" si="70"/>
        <v>DAURDE</v>
      </c>
    </row>
    <row r="1389" spans="2:17" hidden="1">
      <c r="B1389" s="1" t="s">
        <v>381</v>
      </c>
      <c r="C1389" s="1" t="s">
        <v>377</v>
      </c>
      <c r="D1389" s="52">
        <v>46009.861111111109</v>
      </c>
      <c r="E1389" s="52">
        <v>46009.861111111109</v>
      </c>
      <c r="F1389" s="52">
        <v>46010.569444444445</v>
      </c>
      <c r="G1389" s="63">
        <f>F1389-E1389</f>
        <v>0.70833333333575865</v>
      </c>
      <c r="H1389" s="1" t="s">
        <v>257</v>
      </c>
      <c r="J1389" s="1" t="s">
        <v>258</v>
      </c>
      <c r="K1389" s="1" t="str">
        <f>_xlfn.XLOOKUP(J1389,REF!$D$2:$D$12,REF!$E$2:$E$12)</f>
        <v>Rede</v>
      </c>
      <c r="L1389" s="1" t="s">
        <v>2239</v>
      </c>
      <c r="M1389" s="1" t="s">
        <v>260</v>
      </c>
      <c r="N1389" s="1" t="s">
        <v>357</v>
      </c>
      <c r="O1389" s="1" t="s">
        <v>2240</v>
      </c>
      <c r="P1389" s="1" t="str">
        <f>_xlfn.CONCAT(B1389,C1389,D1389,E1389,F1389)</f>
        <v>BC Camarao1.3215KTL-H3(MBUS-12)46009,861111111146009,861111111146010,5694444444</v>
      </c>
      <c r="Q1389" s="1" t="str">
        <f t="shared" si="70"/>
        <v>DAURDE</v>
      </c>
    </row>
    <row r="1390" spans="2:17" hidden="1">
      <c r="B1390" s="1" t="s">
        <v>381</v>
      </c>
      <c r="C1390" s="1" t="s">
        <v>378</v>
      </c>
      <c r="D1390" s="52">
        <v>46009.861111111109</v>
      </c>
      <c r="E1390" s="52">
        <v>46009.861111111109</v>
      </c>
      <c r="F1390" s="52">
        <v>46010.569444444445</v>
      </c>
      <c r="G1390" s="63">
        <f>F1390-E1390</f>
        <v>0.70833333333575865</v>
      </c>
      <c r="H1390" s="1" t="s">
        <v>257</v>
      </c>
      <c r="J1390" s="1" t="s">
        <v>258</v>
      </c>
      <c r="K1390" s="1" t="str">
        <f>_xlfn.XLOOKUP(J1390,REF!$D$2:$D$12,REF!$E$2:$E$12)</f>
        <v>Rede</v>
      </c>
      <c r="L1390" s="1" t="s">
        <v>2239</v>
      </c>
      <c r="M1390" s="1" t="s">
        <v>260</v>
      </c>
      <c r="N1390" s="1" t="s">
        <v>357</v>
      </c>
      <c r="O1390" s="1" t="s">
        <v>2240</v>
      </c>
      <c r="P1390" s="1" t="str">
        <f>_xlfn.CONCAT(B1390,C1390,D1390,E1390,F1390)</f>
        <v>BC Camarao1.3215KTL-H3(MBUS-13)46009,861111111146009,861111111146010,5694444444</v>
      </c>
      <c r="Q1390" s="1" t="str">
        <f t="shared" si="70"/>
        <v>DAURDE</v>
      </c>
    </row>
    <row r="1391" spans="2:17" hidden="1">
      <c r="B1391" s="1" t="s">
        <v>391</v>
      </c>
      <c r="C1391" s="1" t="s">
        <v>2059</v>
      </c>
      <c r="D1391" s="52">
        <v>46009.861111111109</v>
      </c>
      <c r="E1391" s="52">
        <v>46009.861111111109</v>
      </c>
      <c r="F1391" s="52">
        <v>46010.569444444445</v>
      </c>
      <c r="G1391" s="63">
        <f>F1391-E1391</f>
        <v>0.70833333333575865</v>
      </c>
      <c r="H1391" s="1" t="s">
        <v>257</v>
      </c>
      <c r="J1391" s="1" t="s">
        <v>258</v>
      </c>
      <c r="K1391" s="1" t="str">
        <f>_xlfn.XLOOKUP(J1391,REF!$D$2:$D$12,REF!$E$2:$E$12)</f>
        <v>Rede</v>
      </c>
      <c r="L1391" s="1" t="s">
        <v>2239</v>
      </c>
      <c r="M1391" s="1" t="s">
        <v>260</v>
      </c>
      <c r="N1391" s="1" t="s">
        <v>357</v>
      </c>
      <c r="O1391" s="1" t="s">
        <v>2240</v>
      </c>
      <c r="P1391" s="1" t="str">
        <f>_xlfn.CONCAT(B1391,C1391,D1391,E1391,F1391)</f>
        <v>BC Camarao1.4inv. 146009,861111111146009,861111111146010,5694444444</v>
      </c>
      <c r="Q1391" s="1" t="str">
        <f t="shared" si="70"/>
        <v>DAURDE</v>
      </c>
    </row>
    <row r="1392" spans="2:17" hidden="1">
      <c r="B1392" s="1" t="s">
        <v>391</v>
      </c>
      <c r="C1392" s="1" t="s">
        <v>382</v>
      </c>
      <c r="D1392" s="52">
        <v>46009.861111111109</v>
      </c>
      <c r="E1392" s="52">
        <v>46009.861111111109</v>
      </c>
      <c r="F1392" s="52">
        <v>46010.569444444445</v>
      </c>
      <c r="G1392" s="63">
        <f>F1392-E1392</f>
        <v>0.70833333333575865</v>
      </c>
      <c r="H1392" s="1" t="s">
        <v>257</v>
      </c>
      <c r="J1392" s="1" t="s">
        <v>258</v>
      </c>
      <c r="K1392" s="1" t="str">
        <f>_xlfn.XLOOKUP(J1392,REF!$D$2:$D$12,REF!$E$2:$E$12)</f>
        <v>Rede</v>
      </c>
      <c r="L1392" s="1" t="s">
        <v>2239</v>
      </c>
      <c r="M1392" s="1" t="s">
        <v>260</v>
      </c>
      <c r="N1392" s="1" t="s">
        <v>357</v>
      </c>
      <c r="O1392" s="1" t="s">
        <v>2240</v>
      </c>
      <c r="P1392" s="1" t="str">
        <f>_xlfn.CONCAT(B1392,C1392,D1392,E1392,F1392)</f>
        <v>BC Camarao1.4215KTL-H3(MBUS-14)46009,861111111146009,861111111146010,5694444444</v>
      </c>
      <c r="Q1392" s="1" t="str">
        <f t="shared" si="70"/>
        <v>DAURDE</v>
      </c>
    </row>
    <row r="1393" spans="1:17" hidden="1">
      <c r="B1393" s="1" t="s">
        <v>391</v>
      </c>
      <c r="C1393" s="1" t="s">
        <v>378</v>
      </c>
      <c r="D1393" s="52">
        <v>46009.861111111109</v>
      </c>
      <c r="E1393" s="52">
        <v>46009.861111111109</v>
      </c>
      <c r="F1393" s="52">
        <v>46010.569444444445</v>
      </c>
      <c r="G1393" s="63">
        <f>F1393-E1393</f>
        <v>0.70833333333575865</v>
      </c>
      <c r="H1393" s="1" t="s">
        <v>257</v>
      </c>
      <c r="J1393" s="1" t="s">
        <v>258</v>
      </c>
      <c r="K1393" s="1" t="str">
        <f>_xlfn.XLOOKUP(J1393,REF!$D$2:$D$12,REF!$E$2:$E$12)</f>
        <v>Rede</v>
      </c>
      <c r="L1393" s="1" t="s">
        <v>2239</v>
      </c>
      <c r="M1393" s="1" t="s">
        <v>260</v>
      </c>
      <c r="N1393" s="1" t="s">
        <v>357</v>
      </c>
      <c r="O1393" s="1" t="s">
        <v>2240</v>
      </c>
      <c r="P1393" s="1" t="str">
        <f>_xlfn.CONCAT(B1393,C1393,D1393,E1393,F1393)</f>
        <v>BC Camarao1.4215KTL-H3(MBUS-13)46009,861111111146009,861111111146010,5694444444</v>
      </c>
      <c r="Q1393" s="1" t="str">
        <f t="shared" si="70"/>
        <v>DAURDE</v>
      </c>
    </row>
    <row r="1394" spans="1:17" hidden="1">
      <c r="B1394" s="1" t="s">
        <v>391</v>
      </c>
      <c r="C1394" s="1" t="s">
        <v>379</v>
      </c>
      <c r="D1394" s="52">
        <v>46009.861111111109</v>
      </c>
      <c r="E1394" s="52">
        <v>46009.861111111109</v>
      </c>
      <c r="F1394" s="52">
        <v>46010.569444444445</v>
      </c>
      <c r="G1394" s="63">
        <f>F1394-E1394</f>
        <v>0.70833333333575865</v>
      </c>
      <c r="H1394" s="1" t="s">
        <v>257</v>
      </c>
      <c r="J1394" s="1" t="s">
        <v>258</v>
      </c>
      <c r="K1394" s="1" t="str">
        <f>_xlfn.XLOOKUP(J1394,REF!$D$2:$D$12,REF!$E$2:$E$12)</f>
        <v>Rede</v>
      </c>
      <c r="L1394" s="1" t="s">
        <v>2239</v>
      </c>
      <c r="M1394" s="1" t="s">
        <v>260</v>
      </c>
      <c r="N1394" s="1" t="s">
        <v>357</v>
      </c>
      <c r="O1394" s="1" t="s">
        <v>2240</v>
      </c>
      <c r="P1394" s="1" t="str">
        <f>_xlfn.CONCAT(B1394,C1394,D1394,E1394,F1394)</f>
        <v>BC Camarao1.4215KTL-H3(MBUS-16)46009,861111111146009,861111111146010,5694444444</v>
      </c>
      <c r="Q1394" s="1" t="str">
        <f t="shared" si="70"/>
        <v>DAURDE</v>
      </c>
    </row>
    <row r="1395" spans="1:17" hidden="1">
      <c r="B1395" s="1" t="s">
        <v>391</v>
      </c>
      <c r="C1395" s="1" t="s">
        <v>380</v>
      </c>
      <c r="D1395" s="52">
        <v>46009.861111111109</v>
      </c>
      <c r="E1395" s="52">
        <v>46009.861111111109</v>
      </c>
      <c r="F1395" s="52">
        <v>46010.569444444445</v>
      </c>
      <c r="G1395" s="63">
        <f>F1395-E1395</f>
        <v>0.70833333333575865</v>
      </c>
      <c r="H1395" s="1" t="s">
        <v>257</v>
      </c>
      <c r="J1395" s="1" t="s">
        <v>258</v>
      </c>
      <c r="K1395" s="1" t="str">
        <f>_xlfn.XLOOKUP(J1395,REF!$D$2:$D$12,REF!$E$2:$E$12)</f>
        <v>Rede</v>
      </c>
      <c r="L1395" s="1" t="s">
        <v>2239</v>
      </c>
      <c r="M1395" s="1" t="s">
        <v>260</v>
      </c>
      <c r="N1395" s="1" t="s">
        <v>357</v>
      </c>
      <c r="O1395" s="1" t="s">
        <v>2240</v>
      </c>
      <c r="P1395" s="1" t="str">
        <f>_xlfn.CONCAT(B1395,C1395,D1395,E1395,F1395)</f>
        <v>BC Camarao1.4215KTL-H3(MBUS-15)46009,861111111146009,861111111146010,5694444444</v>
      </c>
      <c r="Q1395" s="1" t="str">
        <f t="shared" si="70"/>
        <v>DAURDE</v>
      </c>
    </row>
    <row r="1396" spans="1:17" hidden="1">
      <c r="B1396" s="1" t="s">
        <v>519</v>
      </c>
      <c r="C1396" s="1" t="s">
        <v>380</v>
      </c>
      <c r="D1396" s="52">
        <v>46009.861111111109</v>
      </c>
      <c r="E1396" s="52">
        <v>46009.861111111109</v>
      </c>
      <c r="F1396" s="52">
        <v>46010.569444444445</v>
      </c>
      <c r="G1396" s="63">
        <f>F1396-E1396</f>
        <v>0.70833333333575865</v>
      </c>
      <c r="H1396" s="1" t="s">
        <v>257</v>
      </c>
      <c r="J1396" s="1" t="s">
        <v>258</v>
      </c>
      <c r="K1396" s="1" t="str">
        <f>_xlfn.XLOOKUP(J1396,REF!$D$2:$D$12,REF!$E$2:$E$12)</f>
        <v>Rede</v>
      </c>
      <c r="L1396" s="1" t="s">
        <v>2239</v>
      </c>
      <c r="M1396" s="1" t="s">
        <v>260</v>
      </c>
      <c r="N1396" s="1" t="s">
        <v>357</v>
      </c>
      <c r="O1396" s="1" t="s">
        <v>2240</v>
      </c>
      <c r="P1396" s="1" t="str">
        <f>_xlfn.CONCAT(B1396,C1396,D1396,E1396,F1396)</f>
        <v>BC Camarao1.5215KTL-H3(MBUS-15)46009,861111111146009,861111111146010,5694444444</v>
      </c>
      <c r="Q1396" s="1" t="str">
        <f t="shared" si="70"/>
        <v>DAURDE</v>
      </c>
    </row>
    <row r="1397" spans="1:17" hidden="1">
      <c r="B1397" s="1" t="s">
        <v>519</v>
      </c>
      <c r="C1397" s="1" t="s">
        <v>247</v>
      </c>
      <c r="D1397" s="52">
        <v>46009.861111111109</v>
      </c>
      <c r="E1397" s="52">
        <v>46009.861111111109</v>
      </c>
      <c r="F1397" s="52">
        <v>46010.569444444445</v>
      </c>
      <c r="G1397" s="63">
        <f>F1397-E1397</f>
        <v>0.70833333333575865</v>
      </c>
      <c r="H1397" s="1" t="s">
        <v>257</v>
      </c>
      <c r="J1397" s="1" t="s">
        <v>258</v>
      </c>
      <c r="K1397" s="1" t="str">
        <f>_xlfn.XLOOKUP(J1397,REF!$D$2:$D$12,REF!$E$2:$E$12)</f>
        <v>Rede</v>
      </c>
      <c r="L1397" s="1" t="s">
        <v>2239</v>
      </c>
      <c r="M1397" s="1" t="s">
        <v>260</v>
      </c>
      <c r="N1397" s="1" t="s">
        <v>357</v>
      </c>
      <c r="O1397" s="1" t="s">
        <v>2240</v>
      </c>
      <c r="P1397" s="1" t="str">
        <f>_xlfn.CONCAT(B1397,C1397,D1397,E1397,F1397)</f>
        <v>BC Camarao1.5Inverter(MBUS-1)46009,861111111146009,861111111146010,5694444444</v>
      </c>
      <c r="Q1397" s="1" t="str">
        <f t="shared" si="70"/>
        <v>DAURDE</v>
      </c>
    </row>
    <row r="1398" spans="1:17" hidden="1">
      <c r="B1398" s="1" t="s">
        <v>519</v>
      </c>
      <c r="C1398" s="1" t="s">
        <v>378</v>
      </c>
      <c r="D1398" s="52">
        <v>46009.861111111109</v>
      </c>
      <c r="E1398" s="52">
        <v>46009.861111111109</v>
      </c>
      <c r="F1398" s="52">
        <v>46010.569444444445</v>
      </c>
      <c r="G1398" s="63">
        <f>F1398-E1398</f>
        <v>0.70833333333575865</v>
      </c>
      <c r="H1398" s="1" t="s">
        <v>257</v>
      </c>
      <c r="J1398" s="1" t="s">
        <v>258</v>
      </c>
      <c r="K1398" s="1" t="str">
        <f>_xlfn.XLOOKUP(J1398,REF!$D$2:$D$12,REF!$E$2:$E$12)</f>
        <v>Rede</v>
      </c>
      <c r="L1398" s="1" t="s">
        <v>2239</v>
      </c>
      <c r="M1398" s="1" t="s">
        <v>260</v>
      </c>
      <c r="N1398" s="1" t="s">
        <v>357</v>
      </c>
      <c r="O1398" s="1" t="s">
        <v>2240</v>
      </c>
      <c r="P1398" s="1" t="str">
        <f>_xlfn.CONCAT(B1398,C1398,D1398,E1398,F1398)</f>
        <v>BC Camarao1.5215KTL-H3(MBUS-13)46009,861111111146009,861111111146010,5694444444</v>
      </c>
      <c r="Q1398" s="1" t="str">
        <f t="shared" si="70"/>
        <v>DAURDE</v>
      </c>
    </row>
    <row r="1399" spans="1:17" hidden="1">
      <c r="B1399" s="1" t="s">
        <v>519</v>
      </c>
      <c r="C1399" s="1" t="s">
        <v>377</v>
      </c>
      <c r="D1399" s="52">
        <v>46009.861111111109</v>
      </c>
      <c r="E1399" s="52">
        <v>46009.861111111109</v>
      </c>
      <c r="F1399" s="52">
        <v>46010.569444444445</v>
      </c>
      <c r="G1399" s="63">
        <f>F1399-E1399</f>
        <v>0.70833333333575865</v>
      </c>
      <c r="H1399" s="1" t="s">
        <v>257</v>
      </c>
      <c r="J1399" s="1" t="s">
        <v>258</v>
      </c>
      <c r="K1399" s="1" t="str">
        <f>_xlfn.XLOOKUP(J1399,REF!$D$2:$D$12,REF!$E$2:$E$12)</f>
        <v>Rede</v>
      </c>
      <c r="L1399" s="1" t="s">
        <v>2239</v>
      </c>
      <c r="M1399" s="1" t="s">
        <v>260</v>
      </c>
      <c r="N1399" s="1" t="s">
        <v>357</v>
      </c>
      <c r="O1399" s="1" t="s">
        <v>2240</v>
      </c>
      <c r="P1399" s="1" t="str">
        <f>_xlfn.CONCAT(B1399,C1399,D1399,E1399,F1399)</f>
        <v>BC Camarao1.5215KTL-H3(MBUS-12)46009,861111111146009,861111111146010,5694444444</v>
      </c>
      <c r="Q1399" s="1" t="str">
        <f t="shared" si="70"/>
        <v>DAURDE</v>
      </c>
    </row>
    <row r="1400" spans="1:17" hidden="1">
      <c r="B1400" s="1" t="s">
        <v>519</v>
      </c>
      <c r="C1400" s="1" t="s">
        <v>263</v>
      </c>
      <c r="D1400" s="52">
        <v>46009.861111111109</v>
      </c>
      <c r="E1400" s="52">
        <v>46009.861111111109</v>
      </c>
      <c r="F1400" s="52">
        <v>46010.569444444445</v>
      </c>
      <c r="G1400" s="63">
        <f>F1400-E1400</f>
        <v>0.70833333333575865</v>
      </c>
      <c r="H1400" s="1" t="s">
        <v>257</v>
      </c>
      <c r="J1400" s="1" t="s">
        <v>258</v>
      </c>
      <c r="K1400" s="1" t="str">
        <f>_xlfn.XLOOKUP(J1400,REF!$D$2:$D$12,REF!$E$2:$E$12)</f>
        <v>Rede</v>
      </c>
      <c r="L1400" s="1" t="s">
        <v>2239</v>
      </c>
      <c r="M1400" s="1" t="s">
        <v>260</v>
      </c>
      <c r="N1400" s="1" t="s">
        <v>357</v>
      </c>
      <c r="O1400" s="1" t="s">
        <v>2240</v>
      </c>
      <c r="P1400" s="1" t="str">
        <f>_xlfn.CONCAT(B1400,C1400,D1400,E1400,F1400)</f>
        <v>BC Camarao1.5Inverter(MBUS-14)46009,861111111146009,861111111146010,5694444444</v>
      </c>
      <c r="Q1400" s="1" t="str">
        <f t="shared" si="70"/>
        <v>DAURDE</v>
      </c>
    </row>
    <row r="1401" spans="1:17" s="44" customFormat="1" hidden="1">
      <c r="A1401" s="43"/>
      <c r="B1401" s="58" t="s">
        <v>2241</v>
      </c>
      <c r="C1401" s="58" t="s">
        <v>2064</v>
      </c>
      <c r="D1401" s="59">
        <v>46004.298611111109</v>
      </c>
      <c r="E1401" s="59">
        <v>46004.298611111109</v>
      </c>
      <c r="F1401" s="59">
        <v>46006.711805555555</v>
      </c>
      <c r="G1401" s="60">
        <f>+F1401-E1401</f>
        <v>2.4131944444452529</v>
      </c>
      <c r="H1401" s="58" t="s">
        <v>257</v>
      </c>
      <c r="I1401" s="58"/>
      <c r="J1401" s="58" t="s">
        <v>258</v>
      </c>
      <c r="K1401" s="1" t="str">
        <f>_xlfn.XLOOKUP(J1401,REF!$D$2:$D$12,REF!$E$2:$E$12)</f>
        <v>Rede</v>
      </c>
      <c r="L1401" s="58" t="s">
        <v>2242</v>
      </c>
      <c r="M1401" s="58" t="s">
        <v>260</v>
      </c>
      <c r="N1401" s="58" t="s">
        <v>357</v>
      </c>
      <c r="O1401" s="58" t="s">
        <v>2243</v>
      </c>
      <c r="P1401" s="58" t="str">
        <f>_xlfn.CONCAT(B1401,C1401,D1401,E1401,F1401)</f>
        <v>Vazante IInverter0146004,298611111146004,298611111146006,7118055556</v>
      </c>
      <c r="Q1401" s="1" t="str">
        <f t="shared" si="70"/>
        <v>DAURDE</v>
      </c>
    </row>
    <row r="1402" spans="1:17" s="44" customFormat="1" hidden="1">
      <c r="A1402" s="43"/>
      <c r="B1402" s="58" t="s">
        <v>2241</v>
      </c>
      <c r="C1402" s="58" t="s">
        <v>2067</v>
      </c>
      <c r="D1402" s="59">
        <v>46004.298611111109</v>
      </c>
      <c r="E1402" s="59">
        <v>46004.298611111109</v>
      </c>
      <c r="F1402" s="59">
        <v>46006.711805555555</v>
      </c>
      <c r="G1402" s="60">
        <f>+F1402-E1402</f>
        <v>2.4131944444452529</v>
      </c>
      <c r="H1402" s="58" t="s">
        <v>257</v>
      </c>
      <c r="I1402" s="58"/>
      <c r="J1402" s="58" t="s">
        <v>258</v>
      </c>
      <c r="K1402" s="1" t="str">
        <f>_xlfn.XLOOKUP(J1402,REF!$D$2:$D$12,REF!$E$2:$E$12)</f>
        <v>Rede</v>
      </c>
      <c r="L1402" s="58" t="s">
        <v>2242</v>
      </c>
      <c r="M1402" s="58" t="s">
        <v>260</v>
      </c>
      <c r="N1402" s="58" t="s">
        <v>357</v>
      </c>
      <c r="O1402" s="58" t="s">
        <v>2243</v>
      </c>
      <c r="P1402" s="58" t="str">
        <f>_xlfn.CONCAT(B1402,C1402,D1402,E1402,F1402)</f>
        <v>Vazante IInverter0246004,298611111146004,298611111146006,7118055556</v>
      </c>
      <c r="Q1402" s="1" t="str">
        <f t="shared" si="70"/>
        <v>DAURDE</v>
      </c>
    </row>
    <row r="1403" spans="1:17" s="44" customFormat="1" hidden="1">
      <c r="A1403" s="43"/>
      <c r="B1403" s="58" t="s">
        <v>2241</v>
      </c>
      <c r="C1403" s="58" t="s">
        <v>2068</v>
      </c>
      <c r="D1403" s="59">
        <v>46004.298611111109</v>
      </c>
      <c r="E1403" s="59">
        <v>46004.298611111109</v>
      </c>
      <c r="F1403" s="59">
        <v>46006.711805555555</v>
      </c>
      <c r="G1403" s="60">
        <f>+F1403-E1403</f>
        <v>2.4131944444452529</v>
      </c>
      <c r="H1403" s="58" t="s">
        <v>257</v>
      </c>
      <c r="I1403" s="58"/>
      <c r="J1403" s="58" t="s">
        <v>258</v>
      </c>
      <c r="K1403" s="1" t="str">
        <f>_xlfn.XLOOKUP(J1403,REF!$D$2:$D$12,REF!$E$2:$E$12)</f>
        <v>Rede</v>
      </c>
      <c r="L1403" s="58" t="s">
        <v>2242</v>
      </c>
      <c r="M1403" s="58" t="s">
        <v>260</v>
      </c>
      <c r="N1403" s="58" t="s">
        <v>357</v>
      </c>
      <c r="O1403" s="58" t="s">
        <v>2243</v>
      </c>
      <c r="P1403" s="58" t="str">
        <f>_xlfn.CONCAT(B1403,C1403,D1403,E1403,F1403)</f>
        <v>Vazante IInverter0346004,298611111146004,298611111146006,7118055556</v>
      </c>
      <c r="Q1403" s="1" t="str">
        <f t="shared" si="70"/>
        <v>DAURDE</v>
      </c>
    </row>
    <row r="1404" spans="1:17" s="44" customFormat="1" hidden="1">
      <c r="A1404" s="43"/>
      <c r="B1404" s="58" t="s">
        <v>2241</v>
      </c>
      <c r="C1404" s="58" t="s">
        <v>2069</v>
      </c>
      <c r="D1404" s="59">
        <v>46004.298611111109</v>
      </c>
      <c r="E1404" s="59">
        <v>46004.298611111109</v>
      </c>
      <c r="F1404" s="59">
        <v>46006.711805555555</v>
      </c>
      <c r="G1404" s="60">
        <f>+F1404-E1404</f>
        <v>2.4131944444452529</v>
      </c>
      <c r="H1404" s="58" t="s">
        <v>257</v>
      </c>
      <c r="I1404" s="58"/>
      <c r="J1404" s="58" t="s">
        <v>258</v>
      </c>
      <c r="K1404" s="1" t="str">
        <f>_xlfn.XLOOKUP(J1404,REF!$D$2:$D$12,REF!$E$2:$E$12)</f>
        <v>Rede</v>
      </c>
      <c r="L1404" s="58" t="s">
        <v>2242</v>
      </c>
      <c r="M1404" s="58" t="s">
        <v>260</v>
      </c>
      <c r="N1404" s="58" t="s">
        <v>357</v>
      </c>
      <c r="O1404" s="58" t="s">
        <v>2243</v>
      </c>
      <c r="P1404" s="58" t="str">
        <f>_xlfn.CONCAT(B1404,C1404,D1404,E1404,F1404)</f>
        <v>Vazante IInverter0446004,298611111146004,298611111146006,7118055556</v>
      </c>
      <c r="Q1404" s="1" t="str">
        <f t="shared" si="70"/>
        <v>DAURDE</v>
      </c>
    </row>
    <row r="1405" spans="1:17" s="44" customFormat="1" hidden="1">
      <c r="A1405" s="43"/>
      <c r="B1405" s="58" t="s">
        <v>2241</v>
      </c>
      <c r="C1405" s="58" t="s">
        <v>2070</v>
      </c>
      <c r="D1405" s="59">
        <v>46004.298611111109</v>
      </c>
      <c r="E1405" s="59">
        <v>46004.298611111109</v>
      </c>
      <c r="F1405" s="59">
        <v>46006.711805555555</v>
      </c>
      <c r="G1405" s="60">
        <f>+F1405-E1405</f>
        <v>2.4131944444452529</v>
      </c>
      <c r="H1405" s="58" t="s">
        <v>257</v>
      </c>
      <c r="I1405" s="58"/>
      <c r="J1405" s="58" t="s">
        <v>258</v>
      </c>
      <c r="K1405" s="1" t="str">
        <f>_xlfn.XLOOKUP(J1405,REF!$D$2:$D$12,REF!$E$2:$E$12)</f>
        <v>Rede</v>
      </c>
      <c r="L1405" s="58" t="s">
        <v>2242</v>
      </c>
      <c r="M1405" s="58" t="s">
        <v>260</v>
      </c>
      <c r="N1405" s="58" t="s">
        <v>357</v>
      </c>
      <c r="O1405" s="58" t="s">
        <v>2243</v>
      </c>
      <c r="P1405" s="58" t="str">
        <f>_xlfn.CONCAT(B1405,C1405,D1405,E1405,F1405)</f>
        <v>Vazante IInverter0546004,298611111146004,298611111146006,7118055556</v>
      </c>
      <c r="Q1405" s="1" t="str">
        <f t="shared" si="70"/>
        <v>DAURDE</v>
      </c>
    </row>
    <row r="1406" spans="1:17" s="44" customFormat="1" hidden="1">
      <c r="A1406" s="43"/>
      <c r="B1406" s="58" t="s">
        <v>2241</v>
      </c>
      <c r="C1406" s="58" t="s">
        <v>2071</v>
      </c>
      <c r="D1406" s="59">
        <v>46004.298611111109</v>
      </c>
      <c r="E1406" s="59">
        <v>46004.298611111109</v>
      </c>
      <c r="F1406" s="59">
        <v>46006.711805555555</v>
      </c>
      <c r="G1406" s="60">
        <f>+F1406-E1406</f>
        <v>2.4131944444452529</v>
      </c>
      <c r="H1406" s="58" t="s">
        <v>257</v>
      </c>
      <c r="I1406" s="58"/>
      <c r="J1406" s="58" t="s">
        <v>258</v>
      </c>
      <c r="K1406" s="1" t="str">
        <f>_xlfn.XLOOKUP(J1406,REF!$D$2:$D$12,REF!$E$2:$E$12)</f>
        <v>Rede</v>
      </c>
      <c r="L1406" s="58" t="s">
        <v>2242</v>
      </c>
      <c r="M1406" s="58" t="s">
        <v>260</v>
      </c>
      <c r="N1406" s="58" t="s">
        <v>357</v>
      </c>
      <c r="O1406" s="58" t="s">
        <v>2243</v>
      </c>
      <c r="P1406" s="58" t="str">
        <f>_xlfn.CONCAT(B1406,C1406,D1406,E1406,F1406)</f>
        <v>Vazante IInverter0646004,298611111146004,298611111146006,7118055556</v>
      </c>
      <c r="Q1406" s="1" t="str">
        <f t="shared" si="70"/>
        <v>DAURDE</v>
      </c>
    </row>
    <row r="1407" spans="1:17" s="44" customFormat="1" hidden="1">
      <c r="A1407" s="43"/>
      <c r="B1407" s="58" t="s">
        <v>2241</v>
      </c>
      <c r="C1407" s="58" t="s">
        <v>2072</v>
      </c>
      <c r="D1407" s="59">
        <v>46004.298611111109</v>
      </c>
      <c r="E1407" s="59">
        <v>46004.298611111109</v>
      </c>
      <c r="F1407" s="59">
        <v>46006.711805555555</v>
      </c>
      <c r="G1407" s="60">
        <f>+F1407-E1407</f>
        <v>2.4131944444452529</v>
      </c>
      <c r="H1407" s="58" t="s">
        <v>257</v>
      </c>
      <c r="I1407" s="58"/>
      <c r="J1407" s="58" t="s">
        <v>258</v>
      </c>
      <c r="K1407" s="1" t="str">
        <f>_xlfn.XLOOKUP(J1407,REF!$D$2:$D$12,REF!$E$2:$E$12)</f>
        <v>Rede</v>
      </c>
      <c r="L1407" s="58" t="s">
        <v>2242</v>
      </c>
      <c r="M1407" s="58" t="s">
        <v>260</v>
      </c>
      <c r="N1407" s="58" t="s">
        <v>357</v>
      </c>
      <c r="O1407" s="58" t="s">
        <v>2243</v>
      </c>
      <c r="P1407" s="58" t="str">
        <f>_xlfn.CONCAT(B1407,C1407,D1407,E1407,F1407)</f>
        <v>Vazante IInverter0746004,298611111146004,298611111146006,7118055556</v>
      </c>
      <c r="Q1407" s="1" t="str">
        <f t="shared" si="70"/>
        <v>DAURDE</v>
      </c>
    </row>
    <row r="1408" spans="1:17" s="44" customFormat="1" hidden="1">
      <c r="A1408" s="43"/>
      <c r="B1408" s="58" t="s">
        <v>2241</v>
      </c>
      <c r="C1408" s="58" t="s">
        <v>2073</v>
      </c>
      <c r="D1408" s="59">
        <v>46004.298611111109</v>
      </c>
      <c r="E1408" s="59">
        <v>46004.298611111109</v>
      </c>
      <c r="F1408" s="59">
        <v>46006.711805555555</v>
      </c>
      <c r="G1408" s="60">
        <f>+F1408-E1408</f>
        <v>2.4131944444452529</v>
      </c>
      <c r="H1408" s="58" t="s">
        <v>257</v>
      </c>
      <c r="I1408" s="58"/>
      <c r="J1408" s="58" t="s">
        <v>258</v>
      </c>
      <c r="K1408" s="1" t="str">
        <f>_xlfn.XLOOKUP(J1408,REF!$D$2:$D$12,REF!$E$2:$E$12)</f>
        <v>Rede</v>
      </c>
      <c r="L1408" s="58" t="s">
        <v>2242</v>
      </c>
      <c r="M1408" s="58" t="s">
        <v>260</v>
      </c>
      <c r="N1408" s="58" t="s">
        <v>357</v>
      </c>
      <c r="O1408" s="58" t="s">
        <v>2243</v>
      </c>
      <c r="P1408" s="58" t="str">
        <f>_xlfn.CONCAT(B1408,C1408,D1408,E1408,F1408)</f>
        <v>Vazante IInverter0846004,298611111146004,298611111146006,7118055556</v>
      </c>
      <c r="Q1408" s="1" t="str">
        <f t="shared" si="70"/>
        <v>DAURDE</v>
      </c>
    </row>
    <row r="1409" spans="1:17" s="44" customFormat="1" hidden="1">
      <c r="A1409" s="43"/>
      <c r="B1409" s="58" t="s">
        <v>2241</v>
      </c>
      <c r="C1409" s="58" t="s">
        <v>2074</v>
      </c>
      <c r="D1409" s="59">
        <v>46004.298611111109</v>
      </c>
      <c r="E1409" s="59">
        <v>46004.298611111109</v>
      </c>
      <c r="F1409" s="59">
        <v>46006.711805555555</v>
      </c>
      <c r="G1409" s="60">
        <f>+F1409-E1409</f>
        <v>2.4131944444452529</v>
      </c>
      <c r="H1409" s="58" t="s">
        <v>257</v>
      </c>
      <c r="I1409" s="58"/>
      <c r="J1409" s="58" t="s">
        <v>258</v>
      </c>
      <c r="K1409" s="1" t="str">
        <f>_xlfn.XLOOKUP(J1409,REF!$D$2:$D$12,REF!$E$2:$E$12)</f>
        <v>Rede</v>
      </c>
      <c r="L1409" s="58" t="s">
        <v>2242</v>
      </c>
      <c r="M1409" s="58" t="s">
        <v>260</v>
      </c>
      <c r="N1409" s="58" t="s">
        <v>357</v>
      </c>
      <c r="O1409" s="58" t="s">
        <v>2243</v>
      </c>
      <c r="P1409" s="58" t="str">
        <f>_xlfn.CONCAT(B1409,C1409,D1409,E1409,F1409)</f>
        <v>Vazante IInverter0946004,298611111146004,298611111146006,7118055556</v>
      </c>
      <c r="Q1409" s="1" t="str">
        <f t="shared" si="70"/>
        <v>DAURDE</v>
      </c>
    </row>
    <row r="1410" spans="1:17" s="44" customFormat="1" hidden="1">
      <c r="A1410" s="43"/>
      <c r="B1410" s="58" t="s">
        <v>2241</v>
      </c>
      <c r="C1410" s="58" t="s">
        <v>2075</v>
      </c>
      <c r="D1410" s="59">
        <v>46004.298611111109</v>
      </c>
      <c r="E1410" s="59">
        <v>46004.298611111109</v>
      </c>
      <c r="F1410" s="59">
        <v>46006.711805555555</v>
      </c>
      <c r="G1410" s="60">
        <f>+F1410-E1410</f>
        <v>2.4131944444452529</v>
      </c>
      <c r="H1410" s="58" t="s">
        <v>257</v>
      </c>
      <c r="I1410" s="58"/>
      <c r="J1410" s="58" t="s">
        <v>258</v>
      </c>
      <c r="K1410" s="1" t="str">
        <f>_xlfn.XLOOKUP(J1410,REF!$D$2:$D$12,REF!$E$2:$E$12)</f>
        <v>Rede</v>
      </c>
      <c r="L1410" s="58" t="s">
        <v>2242</v>
      </c>
      <c r="M1410" s="58" t="s">
        <v>260</v>
      </c>
      <c r="N1410" s="58" t="s">
        <v>357</v>
      </c>
      <c r="O1410" s="58" t="s">
        <v>2243</v>
      </c>
      <c r="P1410" s="58" t="str">
        <f>_xlfn.CONCAT(B1410,C1410,D1410,E1410,F1410)</f>
        <v>Vazante IInverter1046004,298611111146004,298611111146006,7118055556</v>
      </c>
      <c r="Q1410" s="1" t="str">
        <f t="shared" si="70"/>
        <v>DAURDE</v>
      </c>
    </row>
    <row r="1411" spans="1:17" s="44" customFormat="1" hidden="1">
      <c r="A1411" s="43"/>
      <c r="B1411" s="58" t="s">
        <v>2241</v>
      </c>
      <c r="C1411" s="58" t="s">
        <v>2076</v>
      </c>
      <c r="D1411" s="59">
        <v>46004.298611111109</v>
      </c>
      <c r="E1411" s="59">
        <v>46004.298611111109</v>
      </c>
      <c r="F1411" s="59">
        <v>46006.711805555555</v>
      </c>
      <c r="G1411" s="60">
        <f>+F1411-E1411</f>
        <v>2.4131944444452529</v>
      </c>
      <c r="H1411" s="58" t="s">
        <v>257</v>
      </c>
      <c r="I1411" s="58"/>
      <c r="J1411" s="58" t="s">
        <v>258</v>
      </c>
      <c r="K1411" s="1" t="str">
        <f>_xlfn.XLOOKUP(J1411,REF!$D$2:$D$12,REF!$E$2:$E$12)</f>
        <v>Rede</v>
      </c>
      <c r="L1411" s="58" t="s">
        <v>2242</v>
      </c>
      <c r="M1411" s="58" t="s">
        <v>260</v>
      </c>
      <c r="N1411" s="58" t="s">
        <v>357</v>
      </c>
      <c r="O1411" s="58" t="s">
        <v>2243</v>
      </c>
      <c r="P1411" s="58" t="str">
        <f>_xlfn.CONCAT(B1411,C1411,D1411,E1411,F1411)</f>
        <v>Vazante IInverter1146004,298611111146004,298611111146006,7118055556</v>
      </c>
      <c r="Q1411" s="1" t="str">
        <f t="shared" si="70"/>
        <v>DAURDE</v>
      </c>
    </row>
    <row r="1412" spans="1:17" s="44" customFormat="1" hidden="1">
      <c r="A1412" s="43"/>
      <c r="B1412" s="58" t="s">
        <v>2241</v>
      </c>
      <c r="C1412" s="58" t="s">
        <v>622</v>
      </c>
      <c r="D1412" s="59">
        <v>46004.298611111109</v>
      </c>
      <c r="E1412" s="59">
        <v>46004.298611111109</v>
      </c>
      <c r="F1412" s="59">
        <v>46006.711805555555</v>
      </c>
      <c r="G1412" s="60">
        <f>+F1412-E1412</f>
        <v>2.4131944444452529</v>
      </c>
      <c r="H1412" s="58" t="s">
        <v>257</v>
      </c>
      <c r="I1412" s="58"/>
      <c r="J1412" s="58" t="s">
        <v>258</v>
      </c>
      <c r="K1412" s="1" t="str">
        <f>_xlfn.XLOOKUP(J1412,REF!$D$2:$D$12,REF!$E$2:$E$12)</f>
        <v>Rede</v>
      </c>
      <c r="L1412" s="58" t="s">
        <v>2242</v>
      </c>
      <c r="M1412" s="58" t="s">
        <v>260</v>
      </c>
      <c r="N1412" s="58" t="s">
        <v>357</v>
      </c>
      <c r="O1412" s="58" t="s">
        <v>2243</v>
      </c>
      <c r="P1412" s="58" t="str">
        <f>_xlfn.CONCAT(B1412,C1412,D1412,E1412,F1412)</f>
        <v>Vazante IInverter1246004,298611111146004,298611111146006,7118055556</v>
      </c>
      <c r="Q1412" s="1" t="str">
        <f t="shared" si="70"/>
        <v>DAURDE</v>
      </c>
    </row>
    <row r="1413" spans="1:17" s="44" customFormat="1" hidden="1">
      <c r="A1413" s="43"/>
      <c r="B1413" s="58" t="s">
        <v>2241</v>
      </c>
      <c r="C1413" s="58" t="s">
        <v>613</v>
      </c>
      <c r="D1413" s="59">
        <v>46004.298611111109</v>
      </c>
      <c r="E1413" s="59">
        <v>46004.298611111109</v>
      </c>
      <c r="F1413" s="59">
        <v>46006.711805555555</v>
      </c>
      <c r="G1413" s="60">
        <f>+F1413-E1413</f>
        <v>2.4131944444452529</v>
      </c>
      <c r="H1413" s="58" t="s">
        <v>257</v>
      </c>
      <c r="I1413" s="58"/>
      <c r="J1413" s="58" t="s">
        <v>258</v>
      </c>
      <c r="K1413" s="1" t="str">
        <f>_xlfn.XLOOKUP(J1413,REF!$D$2:$D$12,REF!$E$2:$E$12)</f>
        <v>Rede</v>
      </c>
      <c r="L1413" s="58" t="s">
        <v>2242</v>
      </c>
      <c r="M1413" s="58" t="s">
        <v>260</v>
      </c>
      <c r="N1413" s="58" t="s">
        <v>357</v>
      </c>
      <c r="O1413" s="58" t="s">
        <v>2243</v>
      </c>
      <c r="P1413" s="58" t="str">
        <f>_xlfn.CONCAT(B1413,C1413,D1413,E1413,F1413)</f>
        <v>Vazante IInverter1346004,298611111146004,298611111146006,7118055556</v>
      </c>
      <c r="Q1413" s="1" t="str">
        <f t="shared" si="70"/>
        <v>DAURDE</v>
      </c>
    </row>
    <row r="1414" spans="1:17" s="44" customFormat="1" hidden="1">
      <c r="A1414" s="43"/>
      <c r="B1414" s="58" t="s">
        <v>2241</v>
      </c>
      <c r="C1414" s="58" t="s">
        <v>2077</v>
      </c>
      <c r="D1414" s="59">
        <v>46004.298611111109</v>
      </c>
      <c r="E1414" s="59">
        <v>46004.298611111109</v>
      </c>
      <c r="F1414" s="59">
        <v>46006.711805555555</v>
      </c>
      <c r="G1414" s="60">
        <f>+F1414-E1414</f>
        <v>2.4131944444452529</v>
      </c>
      <c r="H1414" s="58" t="s">
        <v>257</v>
      </c>
      <c r="I1414" s="58"/>
      <c r="J1414" s="58" t="s">
        <v>258</v>
      </c>
      <c r="K1414" s="1" t="str">
        <f>_xlfn.XLOOKUP(J1414,REF!$D$2:$D$12,REF!$E$2:$E$12)</f>
        <v>Rede</v>
      </c>
      <c r="L1414" s="58" t="s">
        <v>2242</v>
      </c>
      <c r="M1414" s="58" t="s">
        <v>260</v>
      </c>
      <c r="N1414" s="58" t="s">
        <v>357</v>
      </c>
      <c r="O1414" s="58" t="s">
        <v>2243</v>
      </c>
      <c r="P1414" s="58" t="str">
        <f>_xlfn.CONCAT(B1414,C1414,D1414,E1414,F1414)</f>
        <v>Vazante IInverter1446004,298611111146004,298611111146006,7118055556</v>
      </c>
      <c r="Q1414" s="1" t="str">
        <f t="shared" si="70"/>
        <v>DAURDE</v>
      </c>
    </row>
    <row r="1415" spans="1:17" s="44" customFormat="1" hidden="1">
      <c r="A1415" s="43"/>
      <c r="B1415" s="58" t="s">
        <v>2241</v>
      </c>
      <c r="C1415" s="58" t="s">
        <v>2078</v>
      </c>
      <c r="D1415" s="59">
        <v>46004.298611111109</v>
      </c>
      <c r="E1415" s="59">
        <v>46004.298611111109</v>
      </c>
      <c r="F1415" s="59">
        <v>46006.711805555555</v>
      </c>
      <c r="G1415" s="60">
        <f>+F1415-E1415</f>
        <v>2.4131944444452529</v>
      </c>
      <c r="H1415" s="58" t="s">
        <v>257</v>
      </c>
      <c r="I1415" s="58"/>
      <c r="J1415" s="58" t="s">
        <v>258</v>
      </c>
      <c r="K1415" s="1" t="str">
        <f>_xlfn.XLOOKUP(J1415,REF!$D$2:$D$12,REF!$E$2:$E$12)</f>
        <v>Rede</v>
      </c>
      <c r="L1415" s="58" t="s">
        <v>2242</v>
      </c>
      <c r="M1415" s="58" t="s">
        <v>260</v>
      </c>
      <c r="N1415" s="58" t="s">
        <v>357</v>
      </c>
      <c r="O1415" s="58" t="s">
        <v>2243</v>
      </c>
      <c r="P1415" s="58" t="str">
        <f>_xlfn.CONCAT(B1415,C1415,D1415,E1415,F1415)</f>
        <v>Vazante IInverter1546004,298611111146004,298611111146006,7118055556</v>
      </c>
      <c r="Q1415" s="1" t="str">
        <f t="shared" si="70"/>
        <v>DAURDE</v>
      </c>
    </row>
    <row r="1416" spans="1:17" s="44" customFormat="1" hidden="1">
      <c r="A1416" s="43"/>
      <c r="B1416" s="58" t="s">
        <v>2241</v>
      </c>
      <c r="C1416" s="58" t="s">
        <v>2079</v>
      </c>
      <c r="D1416" s="59">
        <v>46004.298611111109</v>
      </c>
      <c r="E1416" s="59">
        <v>46004.298611111109</v>
      </c>
      <c r="F1416" s="59">
        <v>46006.711805555555</v>
      </c>
      <c r="G1416" s="60">
        <f>+F1416-E1416</f>
        <v>2.4131944444452529</v>
      </c>
      <c r="H1416" s="58" t="s">
        <v>257</v>
      </c>
      <c r="I1416" s="58"/>
      <c r="J1416" s="58" t="s">
        <v>258</v>
      </c>
      <c r="K1416" s="1" t="str">
        <f>_xlfn.XLOOKUP(J1416,REF!$D$2:$D$12,REF!$E$2:$E$12)</f>
        <v>Rede</v>
      </c>
      <c r="L1416" s="58" t="s">
        <v>2242</v>
      </c>
      <c r="M1416" s="58" t="s">
        <v>260</v>
      </c>
      <c r="N1416" s="58" t="s">
        <v>357</v>
      </c>
      <c r="O1416" s="58" t="s">
        <v>2243</v>
      </c>
      <c r="P1416" s="58" t="str">
        <f>_xlfn.CONCAT(B1416,C1416,D1416,E1416,F1416)</f>
        <v>Vazante IInverter1646004,298611111146004,298611111146006,7118055556</v>
      </c>
      <c r="Q1416" s="1" t="str">
        <f t="shared" si="70"/>
        <v>DAURDE</v>
      </c>
    </row>
    <row r="1417" spans="1:17" s="44" customFormat="1" hidden="1">
      <c r="A1417" s="43"/>
      <c r="B1417" s="58" t="s">
        <v>2241</v>
      </c>
      <c r="C1417" s="58" t="s">
        <v>2080</v>
      </c>
      <c r="D1417" s="59">
        <v>46004.298611111109</v>
      </c>
      <c r="E1417" s="59">
        <v>46004.298611111109</v>
      </c>
      <c r="F1417" s="59">
        <v>46006.711805555555</v>
      </c>
      <c r="G1417" s="60">
        <f>+F1417-E1417</f>
        <v>2.4131944444452529</v>
      </c>
      <c r="H1417" s="58" t="s">
        <v>257</v>
      </c>
      <c r="I1417" s="58"/>
      <c r="J1417" s="58" t="s">
        <v>258</v>
      </c>
      <c r="K1417" s="1" t="str">
        <f>_xlfn.XLOOKUP(J1417,REF!$D$2:$D$12,REF!$E$2:$E$12)</f>
        <v>Rede</v>
      </c>
      <c r="L1417" s="58" t="s">
        <v>2242</v>
      </c>
      <c r="M1417" s="58" t="s">
        <v>260</v>
      </c>
      <c r="N1417" s="58" t="s">
        <v>357</v>
      </c>
      <c r="O1417" s="58" t="s">
        <v>2243</v>
      </c>
      <c r="P1417" s="58" t="str">
        <f>_xlfn.CONCAT(B1417,C1417,D1417,E1417,F1417)</f>
        <v>Vazante IInverter1746004,298611111146004,298611111146006,7118055556</v>
      </c>
      <c r="Q1417" s="1" t="str">
        <f t="shared" si="70"/>
        <v>DAURDE</v>
      </c>
    </row>
    <row r="1418" spans="1:17" s="44" customFormat="1" hidden="1">
      <c r="A1418" s="43"/>
      <c r="B1418" s="58" t="s">
        <v>2244</v>
      </c>
      <c r="C1418" s="58" t="s">
        <v>760</v>
      </c>
      <c r="D1418" s="59">
        <v>46004.298611111109</v>
      </c>
      <c r="E1418" s="59">
        <v>46004.298611111109</v>
      </c>
      <c r="F1418" s="59">
        <v>46006.711805555555</v>
      </c>
      <c r="G1418" s="60">
        <f>+F1418-E1418</f>
        <v>2.4131944444452529</v>
      </c>
      <c r="H1418" s="58" t="s">
        <v>257</v>
      </c>
      <c r="I1418" s="58"/>
      <c r="J1418" s="58" t="s">
        <v>258</v>
      </c>
      <c r="K1418" s="1" t="str">
        <f>_xlfn.XLOOKUP(J1418,REF!$D$2:$D$12,REF!$E$2:$E$12)</f>
        <v>Rede</v>
      </c>
      <c r="L1418" s="58" t="s">
        <v>2242</v>
      </c>
      <c r="M1418" s="58" t="s">
        <v>260</v>
      </c>
      <c r="N1418" s="58" t="s">
        <v>357</v>
      </c>
      <c r="O1418" s="58" t="s">
        <v>2243</v>
      </c>
      <c r="P1418" s="58" t="str">
        <f>_xlfn.CONCAT(B1418,C1418,D1418,E1418,F1418)</f>
        <v>Vazante IIInverter 146004,298611111146004,298611111146006,7118055556</v>
      </c>
      <c r="Q1418" s="1" t="str">
        <f t="shared" si="70"/>
        <v>DAURDE</v>
      </c>
    </row>
    <row r="1419" spans="1:17" s="44" customFormat="1" hidden="1">
      <c r="A1419" s="43"/>
      <c r="B1419" s="58" t="s">
        <v>2244</v>
      </c>
      <c r="C1419" s="58" t="s">
        <v>762</v>
      </c>
      <c r="D1419" s="59">
        <v>46004.298611111109</v>
      </c>
      <c r="E1419" s="59">
        <v>46004.298611111109</v>
      </c>
      <c r="F1419" s="59">
        <v>46006.711805555555</v>
      </c>
      <c r="G1419" s="60">
        <f>+F1419-E1419</f>
        <v>2.4131944444452529</v>
      </c>
      <c r="H1419" s="58" t="s">
        <v>257</v>
      </c>
      <c r="I1419" s="58"/>
      <c r="J1419" s="58" t="s">
        <v>258</v>
      </c>
      <c r="K1419" s="1" t="str">
        <f>_xlfn.XLOOKUP(J1419,REF!$D$2:$D$12,REF!$E$2:$E$12)</f>
        <v>Rede</v>
      </c>
      <c r="L1419" s="58" t="s">
        <v>2242</v>
      </c>
      <c r="M1419" s="58" t="s">
        <v>260</v>
      </c>
      <c r="N1419" s="58" t="s">
        <v>357</v>
      </c>
      <c r="O1419" s="58" t="s">
        <v>2243</v>
      </c>
      <c r="P1419" s="58" t="str">
        <f>_xlfn.CONCAT(B1419,C1419,D1419,E1419,F1419)</f>
        <v>Vazante IIInverter 246004,298611111146004,298611111146006,7118055556</v>
      </c>
      <c r="Q1419" s="1" t="str">
        <f t="shared" si="70"/>
        <v>DAURDE</v>
      </c>
    </row>
    <row r="1420" spans="1:17" s="44" customFormat="1" hidden="1">
      <c r="A1420" s="43"/>
      <c r="B1420" s="58" t="s">
        <v>2244</v>
      </c>
      <c r="C1420" s="58" t="s">
        <v>763</v>
      </c>
      <c r="D1420" s="59">
        <v>46004.298611111109</v>
      </c>
      <c r="E1420" s="59">
        <v>46004.298611111109</v>
      </c>
      <c r="F1420" s="59">
        <v>46006.711805555555</v>
      </c>
      <c r="G1420" s="60">
        <f>+F1420-E1420</f>
        <v>2.4131944444452529</v>
      </c>
      <c r="H1420" s="58" t="s">
        <v>257</v>
      </c>
      <c r="I1420" s="58"/>
      <c r="J1420" s="58" t="s">
        <v>258</v>
      </c>
      <c r="K1420" s="1" t="str">
        <f>_xlfn.XLOOKUP(J1420,REF!$D$2:$D$12,REF!$E$2:$E$12)</f>
        <v>Rede</v>
      </c>
      <c r="L1420" s="58" t="s">
        <v>2242</v>
      </c>
      <c r="M1420" s="58" t="s">
        <v>260</v>
      </c>
      <c r="N1420" s="58" t="s">
        <v>357</v>
      </c>
      <c r="O1420" s="58" t="s">
        <v>2243</v>
      </c>
      <c r="P1420" s="58" t="str">
        <f>_xlfn.CONCAT(B1420,C1420,D1420,E1420,F1420)</f>
        <v>Vazante IIInverter 346004,298611111146004,298611111146006,7118055556</v>
      </c>
      <c r="Q1420" s="1" t="str">
        <f t="shared" si="70"/>
        <v>DAURDE</v>
      </c>
    </row>
    <row r="1421" spans="1:17" s="44" customFormat="1" hidden="1">
      <c r="A1421" s="43"/>
      <c r="B1421" s="58" t="s">
        <v>2244</v>
      </c>
      <c r="C1421" s="58" t="s">
        <v>764</v>
      </c>
      <c r="D1421" s="59">
        <v>46004.298611111109</v>
      </c>
      <c r="E1421" s="59">
        <v>46004.298611111109</v>
      </c>
      <c r="F1421" s="59">
        <v>46006.711805555555</v>
      </c>
      <c r="G1421" s="60">
        <f>+F1421-E1421</f>
        <v>2.4131944444452529</v>
      </c>
      <c r="H1421" s="58" t="s">
        <v>257</v>
      </c>
      <c r="I1421" s="58"/>
      <c r="J1421" s="58" t="s">
        <v>258</v>
      </c>
      <c r="K1421" s="1" t="str">
        <f>_xlfn.XLOOKUP(J1421,REF!$D$2:$D$12,REF!$E$2:$E$12)</f>
        <v>Rede</v>
      </c>
      <c r="L1421" s="58" t="s">
        <v>2242</v>
      </c>
      <c r="M1421" s="58" t="s">
        <v>260</v>
      </c>
      <c r="N1421" s="58" t="s">
        <v>357</v>
      </c>
      <c r="O1421" s="58" t="s">
        <v>2243</v>
      </c>
      <c r="P1421" s="58" t="str">
        <f>_xlfn.CONCAT(B1421,C1421,D1421,E1421,F1421)</f>
        <v>Vazante IIInverter 446004,298611111146004,298611111146006,7118055556</v>
      </c>
      <c r="Q1421" s="1" t="str">
        <f t="shared" si="70"/>
        <v>DAURDE</v>
      </c>
    </row>
    <row r="1422" spans="1:17" s="44" customFormat="1" hidden="1">
      <c r="A1422" s="43"/>
      <c r="B1422" s="58" t="s">
        <v>2244</v>
      </c>
      <c r="C1422" s="58" t="s">
        <v>765</v>
      </c>
      <c r="D1422" s="59">
        <v>46004.298611111109</v>
      </c>
      <c r="E1422" s="59">
        <v>46004.298611111109</v>
      </c>
      <c r="F1422" s="59">
        <v>46006.711805555555</v>
      </c>
      <c r="G1422" s="60">
        <f>+F1422-E1422</f>
        <v>2.4131944444452529</v>
      </c>
      <c r="H1422" s="58" t="s">
        <v>257</v>
      </c>
      <c r="I1422" s="58"/>
      <c r="J1422" s="58" t="s">
        <v>258</v>
      </c>
      <c r="K1422" s="1" t="str">
        <f>_xlfn.XLOOKUP(J1422,REF!$D$2:$D$12,REF!$E$2:$E$12)</f>
        <v>Rede</v>
      </c>
      <c r="L1422" s="58" t="s">
        <v>2242</v>
      </c>
      <c r="M1422" s="58" t="s">
        <v>260</v>
      </c>
      <c r="N1422" s="58" t="s">
        <v>357</v>
      </c>
      <c r="O1422" s="58" t="s">
        <v>2243</v>
      </c>
      <c r="P1422" s="58" t="str">
        <f>_xlfn.CONCAT(B1422,C1422,D1422,E1422,F1422)</f>
        <v>Vazante IIInverter 546004,298611111146004,298611111146006,7118055556</v>
      </c>
      <c r="Q1422" s="1" t="str">
        <f t="shared" si="70"/>
        <v>DAURDE</v>
      </c>
    </row>
    <row r="1423" spans="1:17" s="44" customFormat="1" hidden="1">
      <c r="A1423" s="43"/>
      <c r="B1423" s="58" t="s">
        <v>2244</v>
      </c>
      <c r="C1423" s="58" t="s">
        <v>766</v>
      </c>
      <c r="D1423" s="59">
        <v>46004.298611111109</v>
      </c>
      <c r="E1423" s="59">
        <v>46004.298611111109</v>
      </c>
      <c r="F1423" s="59">
        <v>46006.711805555555</v>
      </c>
      <c r="G1423" s="60">
        <f>+F1423-E1423</f>
        <v>2.4131944444452529</v>
      </c>
      <c r="H1423" s="58" t="s">
        <v>257</v>
      </c>
      <c r="I1423" s="58"/>
      <c r="J1423" s="58" t="s">
        <v>258</v>
      </c>
      <c r="K1423" s="1" t="str">
        <f>_xlfn.XLOOKUP(J1423,REF!$D$2:$D$12,REF!$E$2:$E$12)</f>
        <v>Rede</v>
      </c>
      <c r="L1423" s="58" t="s">
        <v>2242</v>
      </c>
      <c r="M1423" s="58" t="s">
        <v>260</v>
      </c>
      <c r="N1423" s="58" t="s">
        <v>357</v>
      </c>
      <c r="O1423" s="58" t="s">
        <v>2243</v>
      </c>
      <c r="P1423" s="58" t="str">
        <f>_xlfn.CONCAT(B1423,C1423,D1423,E1423,F1423)</f>
        <v>Vazante IIInverter 646004,298611111146004,298611111146006,7118055556</v>
      </c>
      <c r="Q1423" s="1" t="str">
        <f t="shared" si="70"/>
        <v>DAURDE</v>
      </c>
    </row>
    <row r="1424" spans="1:17" s="44" customFormat="1" hidden="1">
      <c r="A1424" s="43"/>
      <c r="B1424" s="58" t="s">
        <v>2244</v>
      </c>
      <c r="C1424" s="58" t="s">
        <v>767</v>
      </c>
      <c r="D1424" s="59">
        <v>46004.298611111109</v>
      </c>
      <c r="E1424" s="59">
        <v>46004.298611111109</v>
      </c>
      <c r="F1424" s="59">
        <v>46006.711805555555</v>
      </c>
      <c r="G1424" s="60">
        <f>+F1424-E1424</f>
        <v>2.4131944444452529</v>
      </c>
      <c r="H1424" s="58" t="s">
        <v>257</v>
      </c>
      <c r="I1424" s="58"/>
      <c r="J1424" s="58" t="s">
        <v>258</v>
      </c>
      <c r="K1424" s="1" t="str">
        <f>_xlfn.XLOOKUP(J1424,REF!$D$2:$D$12,REF!$E$2:$E$12)</f>
        <v>Rede</v>
      </c>
      <c r="L1424" s="58" t="s">
        <v>2242</v>
      </c>
      <c r="M1424" s="58" t="s">
        <v>260</v>
      </c>
      <c r="N1424" s="58" t="s">
        <v>357</v>
      </c>
      <c r="O1424" s="58" t="s">
        <v>2243</v>
      </c>
      <c r="P1424" s="58" t="str">
        <f>_xlfn.CONCAT(B1424,C1424,D1424,E1424,F1424)</f>
        <v>Vazante IIInverter 746004,298611111146004,298611111146006,7118055556</v>
      </c>
      <c r="Q1424" s="1" t="str">
        <f t="shared" si="70"/>
        <v>DAURDE</v>
      </c>
    </row>
    <row r="1425" spans="1:17" s="44" customFormat="1" hidden="1">
      <c r="A1425" s="43"/>
      <c r="B1425" s="58" t="s">
        <v>2244</v>
      </c>
      <c r="C1425" s="58" t="s">
        <v>768</v>
      </c>
      <c r="D1425" s="59">
        <v>46004.298611111109</v>
      </c>
      <c r="E1425" s="59">
        <v>46004.298611111109</v>
      </c>
      <c r="F1425" s="59">
        <v>46006.711805555555</v>
      </c>
      <c r="G1425" s="60">
        <f>+F1425-E1425</f>
        <v>2.4131944444452529</v>
      </c>
      <c r="H1425" s="58" t="s">
        <v>257</v>
      </c>
      <c r="I1425" s="58"/>
      <c r="J1425" s="58" t="s">
        <v>258</v>
      </c>
      <c r="K1425" s="1" t="str">
        <f>_xlfn.XLOOKUP(J1425,REF!$D$2:$D$12,REF!$E$2:$E$12)</f>
        <v>Rede</v>
      </c>
      <c r="L1425" s="58" t="s">
        <v>2242</v>
      </c>
      <c r="M1425" s="58" t="s">
        <v>260</v>
      </c>
      <c r="N1425" s="58" t="s">
        <v>357</v>
      </c>
      <c r="O1425" s="58" t="s">
        <v>2243</v>
      </c>
      <c r="P1425" s="58" t="str">
        <f>_xlfn.CONCAT(B1425,C1425,D1425,E1425,F1425)</f>
        <v>Vazante IIInverter 846004,298611111146004,298611111146006,7118055556</v>
      </c>
      <c r="Q1425" s="1" t="str">
        <f t="shared" si="70"/>
        <v>DAURDE</v>
      </c>
    </row>
    <row r="1426" spans="1:17" s="44" customFormat="1" hidden="1">
      <c r="A1426" s="43"/>
      <c r="B1426" s="58" t="s">
        <v>2244</v>
      </c>
      <c r="C1426" s="58" t="s">
        <v>769</v>
      </c>
      <c r="D1426" s="59">
        <v>46004.298611111109</v>
      </c>
      <c r="E1426" s="59">
        <v>46004.298611111109</v>
      </c>
      <c r="F1426" s="59">
        <v>46006.711805555555</v>
      </c>
      <c r="G1426" s="60">
        <f>+F1426-E1426</f>
        <v>2.4131944444452529</v>
      </c>
      <c r="H1426" s="58" t="s">
        <v>257</v>
      </c>
      <c r="I1426" s="58"/>
      <c r="J1426" s="58" t="s">
        <v>258</v>
      </c>
      <c r="K1426" s="1" t="str">
        <f>_xlfn.XLOOKUP(J1426,REF!$D$2:$D$12,REF!$E$2:$E$12)</f>
        <v>Rede</v>
      </c>
      <c r="L1426" s="58" t="s">
        <v>2242</v>
      </c>
      <c r="M1426" s="58" t="s">
        <v>260</v>
      </c>
      <c r="N1426" s="58" t="s">
        <v>357</v>
      </c>
      <c r="O1426" s="58" t="s">
        <v>2243</v>
      </c>
      <c r="P1426" s="58" t="str">
        <f>_xlfn.CONCAT(B1426,C1426,D1426,E1426,F1426)</f>
        <v>Vazante IIInverter 946004,298611111146004,298611111146006,7118055556</v>
      </c>
      <c r="Q1426" s="1" t="str">
        <f t="shared" si="70"/>
        <v>DAURDE</v>
      </c>
    </row>
    <row r="1427" spans="1:17" s="44" customFormat="1" hidden="1">
      <c r="A1427" s="43"/>
      <c r="B1427" s="58" t="s">
        <v>2244</v>
      </c>
      <c r="C1427" s="58" t="s">
        <v>770</v>
      </c>
      <c r="D1427" s="59">
        <v>46004.298611111109</v>
      </c>
      <c r="E1427" s="59">
        <v>46004.298611111109</v>
      </c>
      <c r="F1427" s="59">
        <v>46006.711805555555</v>
      </c>
      <c r="G1427" s="60">
        <f>+F1427-E1427</f>
        <v>2.4131944444452529</v>
      </c>
      <c r="H1427" s="58" t="s">
        <v>257</v>
      </c>
      <c r="I1427" s="58"/>
      <c r="J1427" s="58" t="s">
        <v>258</v>
      </c>
      <c r="K1427" s="1" t="str">
        <f>_xlfn.XLOOKUP(J1427,REF!$D$2:$D$12,REF!$E$2:$E$12)</f>
        <v>Rede</v>
      </c>
      <c r="L1427" s="58" t="s">
        <v>2242</v>
      </c>
      <c r="M1427" s="58" t="s">
        <v>260</v>
      </c>
      <c r="N1427" s="58" t="s">
        <v>357</v>
      </c>
      <c r="O1427" s="58" t="s">
        <v>2243</v>
      </c>
      <c r="P1427" s="58" t="str">
        <f>_xlfn.CONCAT(B1427,C1427,D1427,E1427,F1427)</f>
        <v>Vazante IIInverter 1046004,298611111146004,298611111146006,7118055556</v>
      </c>
      <c r="Q1427" s="1" t="str">
        <f t="shared" si="70"/>
        <v>DAURDE</v>
      </c>
    </row>
    <row r="1428" spans="1:17" s="44" customFormat="1" hidden="1">
      <c r="A1428" s="43"/>
      <c r="B1428" s="58" t="s">
        <v>2244</v>
      </c>
      <c r="C1428" s="58" t="s">
        <v>771</v>
      </c>
      <c r="D1428" s="59">
        <v>46004.298611111109</v>
      </c>
      <c r="E1428" s="59">
        <v>46004.298611111109</v>
      </c>
      <c r="F1428" s="59">
        <v>46006.711805555555</v>
      </c>
      <c r="G1428" s="60">
        <f>+F1428-E1428</f>
        <v>2.4131944444452529</v>
      </c>
      <c r="H1428" s="58" t="s">
        <v>257</v>
      </c>
      <c r="I1428" s="58"/>
      <c r="J1428" s="58" t="s">
        <v>258</v>
      </c>
      <c r="K1428" s="1" t="str">
        <f>_xlfn.XLOOKUP(J1428,REF!$D$2:$D$12,REF!$E$2:$E$12)</f>
        <v>Rede</v>
      </c>
      <c r="L1428" s="58" t="s">
        <v>2242</v>
      </c>
      <c r="M1428" s="58" t="s">
        <v>260</v>
      </c>
      <c r="N1428" s="58" t="s">
        <v>357</v>
      </c>
      <c r="O1428" s="58" t="s">
        <v>2243</v>
      </c>
      <c r="P1428" s="58" t="str">
        <f>_xlfn.CONCAT(B1428,C1428,D1428,E1428,F1428)</f>
        <v>Vazante IIInverter 1146004,298611111146004,298611111146006,7118055556</v>
      </c>
      <c r="Q1428" s="1" t="str">
        <f t="shared" si="70"/>
        <v>DAURDE</v>
      </c>
    </row>
    <row r="1429" spans="1:17" s="44" customFormat="1" hidden="1">
      <c r="A1429" s="43"/>
      <c r="B1429" s="58" t="s">
        <v>2244</v>
      </c>
      <c r="C1429" s="58" t="s">
        <v>772</v>
      </c>
      <c r="D1429" s="59">
        <v>46004.298611111109</v>
      </c>
      <c r="E1429" s="59">
        <v>46004.298611111109</v>
      </c>
      <c r="F1429" s="59">
        <v>46006.711805555555</v>
      </c>
      <c r="G1429" s="60">
        <f>+F1429-E1429</f>
        <v>2.4131944444452529</v>
      </c>
      <c r="H1429" s="58" t="s">
        <v>257</v>
      </c>
      <c r="I1429" s="58"/>
      <c r="J1429" s="58" t="s">
        <v>258</v>
      </c>
      <c r="K1429" s="1" t="str">
        <f>_xlfn.XLOOKUP(J1429,REF!$D$2:$D$12,REF!$E$2:$E$12)</f>
        <v>Rede</v>
      </c>
      <c r="L1429" s="58" t="s">
        <v>2242</v>
      </c>
      <c r="M1429" s="58" t="s">
        <v>260</v>
      </c>
      <c r="N1429" s="58" t="s">
        <v>357</v>
      </c>
      <c r="O1429" s="58" t="s">
        <v>2243</v>
      </c>
      <c r="P1429" s="58" t="str">
        <f>_xlfn.CONCAT(B1429,C1429,D1429,E1429,F1429)</f>
        <v>Vazante IIInverter 1246004,298611111146004,298611111146006,7118055556</v>
      </c>
      <c r="Q1429" s="1" t="str">
        <f t="shared" si="70"/>
        <v>DAURDE</v>
      </c>
    </row>
    <row r="1430" spans="1:17" s="44" customFormat="1" hidden="1">
      <c r="A1430" s="43"/>
      <c r="B1430" s="58" t="s">
        <v>2244</v>
      </c>
      <c r="C1430" s="58" t="s">
        <v>773</v>
      </c>
      <c r="D1430" s="59">
        <v>46004.298611111109</v>
      </c>
      <c r="E1430" s="59">
        <v>46004.298611111109</v>
      </c>
      <c r="F1430" s="59">
        <v>46006.711805555555</v>
      </c>
      <c r="G1430" s="60">
        <f>+F1430-E1430</f>
        <v>2.4131944444452529</v>
      </c>
      <c r="H1430" s="58" t="s">
        <v>257</v>
      </c>
      <c r="I1430" s="58"/>
      <c r="J1430" s="58" t="s">
        <v>258</v>
      </c>
      <c r="K1430" s="1" t="str">
        <f>_xlfn.XLOOKUP(J1430,REF!$D$2:$D$12,REF!$E$2:$E$12)</f>
        <v>Rede</v>
      </c>
      <c r="L1430" s="58" t="s">
        <v>2242</v>
      </c>
      <c r="M1430" s="58" t="s">
        <v>260</v>
      </c>
      <c r="N1430" s="58" t="s">
        <v>357</v>
      </c>
      <c r="O1430" s="58" t="s">
        <v>2243</v>
      </c>
      <c r="P1430" s="58" t="str">
        <f>_xlfn.CONCAT(B1430,C1430,D1430,E1430,F1430)</f>
        <v>Vazante IIInverter 1346004,298611111146004,298611111146006,7118055556</v>
      </c>
      <c r="Q1430" s="1" t="str">
        <f t="shared" si="70"/>
        <v>DAURDE</v>
      </c>
    </row>
    <row r="1431" spans="1:17" s="44" customFormat="1" hidden="1">
      <c r="A1431" s="43"/>
      <c r="B1431" s="58" t="s">
        <v>2244</v>
      </c>
      <c r="C1431" s="58" t="s">
        <v>774</v>
      </c>
      <c r="D1431" s="59">
        <v>46004.298611111109</v>
      </c>
      <c r="E1431" s="59">
        <v>46004.298611111109</v>
      </c>
      <c r="F1431" s="59">
        <v>46006.711805555555</v>
      </c>
      <c r="G1431" s="60">
        <f>+F1431-E1431</f>
        <v>2.4131944444452529</v>
      </c>
      <c r="H1431" s="58" t="s">
        <v>257</v>
      </c>
      <c r="I1431" s="58"/>
      <c r="J1431" s="58" t="s">
        <v>258</v>
      </c>
      <c r="K1431" s="1" t="str">
        <f>_xlfn.XLOOKUP(J1431,REF!$D$2:$D$12,REF!$E$2:$E$12)</f>
        <v>Rede</v>
      </c>
      <c r="L1431" s="58" t="s">
        <v>2242</v>
      </c>
      <c r="M1431" s="58" t="s">
        <v>260</v>
      </c>
      <c r="N1431" s="58" t="s">
        <v>357</v>
      </c>
      <c r="O1431" s="58" t="s">
        <v>2243</v>
      </c>
      <c r="P1431" s="58" t="str">
        <f>_xlfn.CONCAT(B1431,C1431,D1431,E1431,F1431)</f>
        <v>Vazante IIInverter 1446004,298611111146004,298611111146006,7118055556</v>
      </c>
      <c r="Q1431" s="1" t="str">
        <f t="shared" si="70"/>
        <v>DAURDE</v>
      </c>
    </row>
    <row r="1432" spans="1:17" s="44" customFormat="1" hidden="1">
      <c r="A1432" s="43"/>
      <c r="B1432" s="58" t="s">
        <v>2244</v>
      </c>
      <c r="C1432" s="58" t="s">
        <v>775</v>
      </c>
      <c r="D1432" s="59">
        <v>46004.298611111109</v>
      </c>
      <c r="E1432" s="59">
        <v>46004.298611111109</v>
      </c>
      <c r="F1432" s="59">
        <v>46006.711805555555</v>
      </c>
      <c r="G1432" s="60">
        <f>+F1432-E1432</f>
        <v>2.4131944444452529</v>
      </c>
      <c r="H1432" s="58" t="s">
        <v>257</v>
      </c>
      <c r="I1432" s="58"/>
      <c r="J1432" s="58" t="s">
        <v>258</v>
      </c>
      <c r="K1432" s="1" t="str">
        <f>_xlfn.XLOOKUP(J1432,REF!$D$2:$D$12,REF!$E$2:$E$12)</f>
        <v>Rede</v>
      </c>
      <c r="L1432" s="58" t="s">
        <v>2242</v>
      </c>
      <c r="M1432" s="58" t="s">
        <v>260</v>
      </c>
      <c r="N1432" s="58" t="s">
        <v>357</v>
      </c>
      <c r="O1432" s="58" t="s">
        <v>2243</v>
      </c>
      <c r="P1432" s="58" t="str">
        <f>_xlfn.CONCAT(B1432,C1432,D1432,E1432,F1432)</f>
        <v>Vazante IIInverter 1546004,298611111146004,298611111146006,7118055556</v>
      </c>
      <c r="Q1432" s="1" t="str">
        <f t="shared" si="70"/>
        <v>DAURDE</v>
      </c>
    </row>
    <row r="1433" spans="1:17" s="44" customFormat="1" hidden="1">
      <c r="A1433" s="43"/>
      <c r="B1433" s="58" t="s">
        <v>2244</v>
      </c>
      <c r="C1433" s="58" t="s">
        <v>350</v>
      </c>
      <c r="D1433" s="59">
        <v>46004.298611111109</v>
      </c>
      <c r="E1433" s="59">
        <v>46004.298611111109</v>
      </c>
      <c r="F1433" s="59">
        <v>46006.711805555555</v>
      </c>
      <c r="G1433" s="60">
        <f>+F1433-E1433</f>
        <v>2.4131944444452529</v>
      </c>
      <c r="H1433" s="58" t="s">
        <v>257</v>
      </c>
      <c r="I1433" s="58"/>
      <c r="J1433" s="58" t="s">
        <v>258</v>
      </c>
      <c r="K1433" s="1" t="str">
        <f>_xlfn.XLOOKUP(J1433,REF!$D$2:$D$12,REF!$E$2:$E$12)</f>
        <v>Rede</v>
      </c>
      <c r="L1433" s="58" t="s">
        <v>2242</v>
      </c>
      <c r="M1433" s="58" t="s">
        <v>260</v>
      </c>
      <c r="N1433" s="58" t="s">
        <v>357</v>
      </c>
      <c r="O1433" s="58" t="s">
        <v>2243</v>
      </c>
      <c r="P1433" s="58" t="str">
        <f>_xlfn.CONCAT(B1433,C1433,D1433,E1433,F1433)</f>
        <v>Vazante IIInverter 1646004,298611111146004,298611111146006,7118055556</v>
      </c>
      <c r="Q1433" s="1" t="str">
        <f t="shared" si="70"/>
        <v>DAURDE</v>
      </c>
    </row>
    <row r="1434" spans="1:17" s="44" customFormat="1" hidden="1">
      <c r="A1434" s="43"/>
      <c r="B1434" s="58" t="s">
        <v>2244</v>
      </c>
      <c r="C1434" s="58" t="s">
        <v>776</v>
      </c>
      <c r="D1434" s="59">
        <v>46004.298611111109</v>
      </c>
      <c r="E1434" s="59">
        <v>46004.298611111109</v>
      </c>
      <c r="F1434" s="59">
        <v>46006.711805555555</v>
      </c>
      <c r="G1434" s="60">
        <f>+F1434-E1434</f>
        <v>2.4131944444452529</v>
      </c>
      <c r="H1434" s="58" t="s">
        <v>257</v>
      </c>
      <c r="I1434" s="58"/>
      <c r="J1434" s="58" t="s">
        <v>258</v>
      </c>
      <c r="K1434" s="1" t="str">
        <f>_xlfn.XLOOKUP(J1434,REF!$D$2:$D$12,REF!$E$2:$E$12)</f>
        <v>Rede</v>
      </c>
      <c r="L1434" s="58" t="s">
        <v>2242</v>
      </c>
      <c r="M1434" s="58" t="s">
        <v>260</v>
      </c>
      <c r="N1434" s="58" t="s">
        <v>357</v>
      </c>
      <c r="O1434" s="58" t="s">
        <v>2243</v>
      </c>
      <c r="P1434" s="58" t="str">
        <f>_xlfn.CONCAT(B1434,C1434,D1434,E1434,F1434)</f>
        <v>Vazante IIInverter 1746004,298611111146004,298611111146006,7118055556</v>
      </c>
      <c r="Q1434" s="1" t="str">
        <f t="shared" ref="Q1434:Q1497" si="71">_xlfn.CONCAT(H1434,I1434,J1434)</f>
        <v>DAURDE</v>
      </c>
    </row>
    <row r="1435" spans="1:17" s="44" customFormat="1" hidden="1">
      <c r="A1435" s="43"/>
      <c r="B1435" s="58" t="s">
        <v>2245</v>
      </c>
      <c r="C1435" s="58" t="s">
        <v>386</v>
      </c>
      <c r="D1435" s="59">
        <v>46004.298611111109</v>
      </c>
      <c r="E1435" s="59">
        <v>46004.298611111109</v>
      </c>
      <c r="F1435" s="59">
        <v>46006.711805555555</v>
      </c>
      <c r="G1435" s="60">
        <f>+F1435-E1435</f>
        <v>2.4131944444452529</v>
      </c>
      <c r="H1435" s="58" t="s">
        <v>257</v>
      </c>
      <c r="I1435" s="58"/>
      <c r="J1435" s="58" t="s">
        <v>258</v>
      </c>
      <c r="K1435" s="1" t="str">
        <f>_xlfn.XLOOKUP(J1435,REF!$D$2:$D$12,REF!$E$2:$E$12)</f>
        <v>Rede</v>
      </c>
      <c r="L1435" s="58" t="s">
        <v>2242</v>
      </c>
      <c r="M1435" s="58" t="s">
        <v>260</v>
      </c>
      <c r="N1435" s="58" t="s">
        <v>357</v>
      </c>
      <c r="O1435" s="58" t="s">
        <v>2243</v>
      </c>
      <c r="P1435" s="58" t="str">
        <f>_xlfn.CONCAT(B1435,C1435,D1435,E1435,F1435)</f>
        <v>Vazante IIIInversor 146004,298611111146004,298611111146006,7118055556</v>
      </c>
      <c r="Q1435" s="1" t="str">
        <f t="shared" si="71"/>
        <v>DAURDE</v>
      </c>
    </row>
    <row r="1436" spans="1:17" s="44" customFormat="1" hidden="1">
      <c r="A1436" s="43"/>
      <c r="B1436" s="58" t="s">
        <v>2245</v>
      </c>
      <c r="C1436" s="58" t="s">
        <v>777</v>
      </c>
      <c r="D1436" s="59">
        <v>46004.298611111109</v>
      </c>
      <c r="E1436" s="59">
        <v>46004.298611111109</v>
      </c>
      <c r="F1436" s="59">
        <v>46006.711805555555</v>
      </c>
      <c r="G1436" s="60">
        <f>+F1436-E1436</f>
        <v>2.4131944444452529</v>
      </c>
      <c r="H1436" s="58" t="s">
        <v>257</v>
      </c>
      <c r="I1436" s="58"/>
      <c r="J1436" s="58" t="s">
        <v>258</v>
      </c>
      <c r="K1436" s="1" t="str">
        <f>_xlfn.XLOOKUP(J1436,REF!$D$2:$D$12,REF!$E$2:$E$12)</f>
        <v>Rede</v>
      </c>
      <c r="L1436" s="58" t="s">
        <v>2242</v>
      </c>
      <c r="M1436" s="58" t="s">
        <v>260</v>
      </c>
      <c r="N1436" s="58" t="s">
        <v>357</v>
      </c>
      <c r="O1436" s="58" t="s">
        <v>2243</v>
      </c>
      <c r="P1436" s="58" t="str">
        <f>_xlfn.CONCAT(B1436,C1436,D1436,E1436,F1436)</f>
        <v>Vazante IIIInversor 246004,298611111146004,298611111146006,7118055556</v>
      </c>
      <c r="Q1436" s="1" t="str">
        <f t="shared" si="71"/>
        <v>DAURDE</v>
      </c>
    </row>
    <row r="1437" spans="1:17" s="44" customFormat="1" hidden="1">
      <c r="A1437" s="43"/>
      <c r="B1437" s="58" t="s">
        <v>2245</v>
      </c>
      <c r="C1437" s="58" t="s">
        <v>778</v>
      </c>
      <c r="D1437" s="59">
        <v>46004.298611111109</v>
      </c>
      <c r="E1437" s="59">
        <v>46004.298611111109</v>
      </c>
      <c r="F1437" s="59">
        <v>46006.711805555555</v>
      </c>
      <c r="G1437" s="60">
        <f>+F1437-E1437</f>
        <v>2.4131944444452529</v>
      </c>
      <c r="H1437" s="58" t="s">
        <v>257</v>
      </c>
      <c r="I1437" s="58"/>
      <c r="J1437" s="58" t="s">
        <v>258</v>
      </c>
      <c r="K1437" s="1" t="str">
        <f>_xlfn.XLOOKUP(J1437,REF!$D$2:$D$12,REF!$E$2:$E$12)</f>
        <v>Rede</v>
      </c>
      <c r="L1437" s="58" t="s">
        <v>2242</v>
      </c>
      <c r="M1437" s="58" t="s">
        <v>260</v>
      </c>
      <c r="N1437" s="58" t="s">
        <v>357</v>
      </c>
      <c r="O1437" s="58" t="s">
        <v>2243</v>
      </c>
      <c r="P1437" s="58" t="str">
        <f>_xlfn.CONCAT(B1437,C1437,D1437,E1437,F1437)</f>
        <v>Vazante IIIInversor 346004,298611111146004,298611111146006,7118055556</v>
      </c>
      <c r="Q1437" s="1" t="str">
        <f t="shared" si="71"/>
        <v>DAURDE</v>
      </c>
    </row>
    <row r="1438" spans="1:17" s="44" customFormat="1" hidden="1">
      <c r="A1438" s="43"/>
      <c r="B1438" s="58" t="s">
        <v>2245</v>
      </c>
      <c r="C1438" s="58" t="s">
        <v>779</v>
      </c>
      <c r="D1438" s="59">
        <v>46004.298611111109</v>
      </c>
      <c r="E1438" s="59">
        <v>46004.298611111109</v>
      </c>
      <c r="F1438" s="59">
        <v>46006.711805555555</v>
      </c>
      <c r="G1438" s="60">
        <f>+F1438-E1438</f>
        <v>2.4131944444452529</v>
      </c>
      <c r="H1438" s="58" t="s">
        <v>257</v>
      </c>
      <c r="I1438" s="58"/>
      <c r="J1438" s="58" t="s">
        <v>258</v>
      </c>
      <c r="K1438" s="1" t="str">
        <f>_xlfn.XLOOKUP(J1438,REF!$D$2:$D$12,REF!$E$2:$E$12)</f>
        <v>Rede</v>
      </c>
      <c r="L1438" s="58" t="s">
        <v>2242</v>
      </c>
      <c r="M1438" s="58" t="s">
        <v>260</v>
      </c>
      <c r="N1438" s="58" t="s">
        <v>357</v>
      </c>
      <c r="O1438" s="58" t="s">
        <v>2243</v>
      </c>
      <c r="P1438" s="58" t="str">
        <f>_xlfn.CONCAT(B1438,C1438,D1438,E1438,F1438)</f>
        <v>Vazante IIIInversor 446004,298611111146004,298611111146006,7118055556</v>
      </c>
      <c r="Q1438" s="1" t="str">
        <f t="shared" si="71"/>
        <v>DAURDE</v>
      </c>
    </row>
    <row r="1439" spans="1:17" s="44" customFormat="1" hidden="1">
      <c r="A1439" s="43"/>
      <c r="B1439" s="58" t="s">
        <v>2245</v>
      </c>
      <c r="C1439" s="58" t="s">
        <v>780</v>
      </c>
      <c r="D1439" s="59">
        <v>46004.298611111109</v>
      </c>
      <c r="E1439" s="59">
        <v>46004.298611111109</v>
      </c>
      <c r="F1439" s="59">
        <v>46006.711805555555</v>
      </c>
      <c r="G1439" s="60">
        <f>+F1439-E1439</f>
        <v>2.4131944444452529</v>
      </c>
      <c r="H1439" s="58" t="s">
        <v>257</v>
      </c>
      <c r="I1439" s="58"/>
      <c r="J1439" s="58" t="s">
        <v>258</v>
      </c>
      <c r="K1439" s="1" t="str">
        <f>_xlfn.XLOOKUP(J1439,REF!$D$2:$D$12,REF!$E$2:$E$12)</f>
        <v>Rede</v>
      </c>
      <c r="L1439" s="58" t="s">
        <v>2242</v>
      </c>
      <c r="M1439" s="58" t="s">
        <v>260</v>
      </c>
      <c r="N1439" s="58" t="s">
        <v>357</v>
      </c>
      <c r="O1439" s="58" t="s">
        <v>2243</v>
      </c>
      <c r="P1439" s="58" t="str">
        <f>_xlfn.CONCAT(B1439,C1439,D1439,E1439,F1439)</f>
        <v>Vazante IIIInversor 546004,298611111146004,298611111146006,7118055556</v>
      </c>
      <c r="Q1439" s="1" t="str">
        <f t="shared" si="71"/>
        <v>DAURDE</v>
      </c>
    </row>
    <row r="1440" spans="1:17" s="44" customFormat="1" hidden="1">
      <c r="A1440" s="43"/>
      <c r="B1440" s="58" t="s">
        <v>2245</v>
      </c>
      <c r="C1440" s="58" t="s">
        <v>781</v>
      </c>
      <c r="D1440" s="59">
        <v>46004.298611111109</v>
      </c>
      <c r="E1440" s="59">
        <v>46004.298611111109</v>
      </c>
      <c r="F1440" s="59">
        <v>46006.711805555555</v>
      </c>
      <c r="G1440" s="60">
        <f>+F1440-E1440</f>
        <v>2.4131944444452529</v>
      </c>
      <c r="H1440" s="58" t="s">
        <v>257</v>
      </c>
      <c r="I1440" s="58"/>
      <c r="J1440" s="58" t="s">
        <v>258</v>
      </c>
      <c r="K1440" s="1" t="str">
        <f>_xlfn.XLOOKUP(J1440,REF!$D$2:$D$12,REF!$E$2:$E$12)</f>
        <v>Rede</v>
      </c>
      <c r="L1440" s="58" t="s">
        <v>2242</v>
      </c>
      <c r="M1440" s="58" t="s">
        <v>260</v>
      </c>
      <c r="N1440" s="58" t="s">
        <v>357</v>
      </c>
      <c r="O1440" s="58" t="s">
        <v>2243</v>
      </c>
      <c r="P1440" s="58" t="str">
        <f>_xlfn.CONCAT(B1440,C1440,D1440,E1440,F1440)</f>
        <v>Vazante IIIInversor 646004,298611111146004,298611111146006,7118055556</v>
      </c>
      <c r="Q1440" s="1" t="str">
        <f t="shared" si="71"/>
        <v>DAURDE</v>
      </c>
    </row>
    <row r="1441" spans="1:17" s="44" customFormat="1" hidden="1">
      <c r="A1441" s="43"/>
      <c r="B1441" s="58" t="s">
        <v>2245</v>
      </c>
      <c r="C1441" s="58" t="s">
        <v>782</v>
      </c>
      <c r="D1441" s="59">
        <v>46004.298611111109</v>
      </c>
      <c r="E1441" s="59">
        <v>46004.298611111109</v>
      </c>
      <c r="F1441" s="59">
        <v>46006.711805555555</v>
      </c>
      <c r="G1441" s="60">
        <f>+F1441-E1441</f>
        <v>2.4131944444452529</v>
      </c>
      <c r="H1441" s="58" t="s">
        <v>257</v>
      </c>
      <c r="I1441" s="58"/>
      <c r="J1441" s="58" t="s">
        <v>258</v>
      </c>
      <c r="K1441" s="1" t="str">
        <f>_xlfn.XLOOKUP(J1441,REF!$D$2:$D$12,REF!$E$2:$E$12)</f>
        <v>Rede</v>
      </c>
      <c r="L1441" s="58" t="s">
        <v>2242</v>
      </c>
      <c r="M1441" s="58" t="s">
        <v>260</v>
      </c>
      <c r="N1441" s="58" t="s">
        <v>357</v>
      </c>
      <c r="O1441" s="58" t="s">
        <v>2243</v>
      </c>
      <c r="P1441" s="58" t="str">
        <f>_xlfn.CONCAT(B1441,C1441,D1441,E1441,F1441)</f>
        <v>Vazante IIIInversor 746004,298611111146004,298611111146006,7118055556</v>
      </c>
      <c r="Q1441" s="1" t="str">
        <f t="shared" si="71"/>
        <v>DAURDE</v>
      </c>
    </row>
    <row r="1442" spans="1:17" s="44" customFormat="1" hidden="1">
      <c r="A1442" s="43"/>
      <c r="B1442" s="58" t="s">
        <v>2245</v>
      </c>
      <c r="C1442" s="58" t="s">
        <v>783</v>
      </c>
      <c r="D1442" s="59">
        <v>46004.298611111109</v>
      </c>
      <c r="E1442" s="59">
        <v>46004.298611111109</v>
      </c>
      <c r="F1442" s="59">
        <v>46006.711805555555</v>
      </c>
      <c r="G1442" s="60">
        <f>+F1442-E1442</f>
        <v>2.4131944444452529</v>
      </c>
      <c r="H1442" s="58" t="s">
        <v>257</v>
      </c>
      <c r="I1442" s="58"/>
      <c r="J1442" s="58" t="s">
        <v>258</v>
      </c>
      <c r="K1442" s="1" t="str">
        <f>_xlfn.XLOOKUP(J1442,REF!$D$2:$D$12,REF!$E$2:$E$12)</f>
        <v>Rede</v>
      </c>
      <c r="L1442" s="58" t="s">
        <v>2242</v>
      </c>
      <c r="M1442" s="58" t="s">
        <v>260</v>
      </c>
      <c r="N1442" s="58" t="s">
        <v>357</v>
      </c>
      <c r="O1442" s="58" t="s">
        <v>2243</v>
      </c>
      <c r="P1442" s="58" t="str">
        <f>_xlfn.CONCAT(B1442,C1442,D1442,E1442,F1442)</f>
        <v>Vazante IIIInversor 846004,298611111146004,298611111146006,7118055556</v>
      </c>
      <c r="Q1442" s="1" t="str">
        <f t="shared" si="71"/>
        <v>DAURDE</v>
      </c>
    </row>
    <row r="1443" spans="1:17" s="44" customFormat="1" hidden="1">
      <c r="A1443" s="43"/>
      <c r="B1443" s="58" t="s">
        <v>2245</v>
      </c>
      <c r="C1443" s="58" t="s">
        <v>784</v>
      </c>
      <c r="D1443" s="59">
        <v>46004.298611111109</v>
      </c>
      <c r="E1443" s="59">
        <v>46004.298611111109</v>
      </c>
      <c r="F1443" s="59">
        <v>46006.711805555555</v>
      </c>
      <c r="G1443" s="60">
        <f>+F1443-E1443</f>
        <v>2.4131944444452529</v>
      </c>
      <c r="H1443" s="58" t="s">
        <v>257</v>
      </c>
      <c r="I1443" s="58"/>
      <c r="J1443" s="58" t="s">
        <v>258</v>
      </c>
      <c r="K1443" s="1" t="str">
        <f>_xlfn.XLOOKUP(J1443,REF!$D$2:$D$12,REF!$E$2:$E$12)</f>
        <v>Rede</v>
      </c>
      <c r="L1443" s="58" t="s">
        <v>2242</v>
      </c>
      <c r="M1443" s="58" t="s">
        <v>260</v>
      </c>
      <c r="N1443" s="58" t="s">
        <v>357</v>
      </c>
      <c r="O1443" s="58" t="s">
        <v>2243</v>
      </c>
      <c r="P1443" s="58" t="str">
        <f>_xlfn.CONCAT(B1443,C1443,D1443,E1443,F1443)</f>
        <v>Vazante IIIInversor 946004,298611111146004,298611111146006,7118055556</v>
      </c>
      <c r="Q1443" s="1" t="str">
        <f t="shared" si="71"/>
        <v>DAURDE</v>
      </c>
    </row>
    <row r="1444" spans="1:17" s="44" customFormat="1" hidden="1">
      <c r="A1444" s="43"/>
      <c r="B1444" s="58" t="s">
        <v>2246</v>
      </c>
      <c r="C1444" s="58" t="s">
        <v>2247</v>
      </c>
      <c r="D1444" s="59">
        <v>46004.298611111109</v>
      </c>
      <c r="E1444" s="59">
        <v>46004.298611111109</v>
      </c>
      <c r="F1444" s="59">
        <v>46006.711805555555</v>
      </c>
      <c r="G1444" s="60">
        <f>+F1444-E1444</f>
        <v>2.4131944444452529</v>
      </c>
      <c r="H1444" s="58" t="s">
        <v>257</v>
      </c>
      <c r="I1444" s="58"/>
      <c r="J1444" s="58" t="s">
        <v>258</v>
      </c>
      <c r="K1444" s="1" t="str">
        <f>_xlfn.XLOOKUP(J1444,REF!$D$2:$D$12,REF!$E$2:$E$12)</f>
        <v>Rede</v>
      </c>
      <c r="L1444" s="58" t="s">
        <v>2242</v>
      </c>
      <c r="M1444" s="58" t="s">
        <v>260</v>
      </c>
      <c r="N1444" s="58" t="s">
        <v>357</v>
      </c>
      <c r="O1444" s="58" t="s">
        <v>2243</v>
      </c>
      <c r="P1444" s="58" t="str">
        <f>_xlfn.CONCAT(B1444,C1444,D1444,E1444,F1444)</f>
        <v>VAZANTE II - UFV 1Inverter-ES217002861046004,298611111146004,298611111146006,7118055556</v>
      </c>
      <c r="Q1444" s="1" t="str">
        <f t="shared" si="71"/>
        <v>DAURDE</v>
      </c>
    </row>
    <row r="1445" spans="1:17" s="44" customFormat="1" hidden="1">
      <c r="A1445" s="43"/>
      <c r="B1445" s="58" t="s">
        <v>2246</v>
      </c>
      <c r="C1445" s="58" t="s">
        <v>2248</v>
      </c>
      <c r="D1445" s="59">
        <v>46004.298611111109</v>
      </c>
      <c r="E1445" s="59">
        <v>46004.298611111109</v>
      </c>
      <c r="F1445" s="59">
        <v>46006.711805555555</v>
      </c>
      <c r="G1445" s="60">
        <f>+F1445-E1445</f>
        <v>2.4131944444452529</v>
      </c>
      <c r="H1445" s="58" t="s">
        <v>257</v>
      </c>
      <c r="I1445" s="58"/>
      <c r="J1445" s="58" t="s">
        <v>258</v>
      </c>
      <c r="K1445" s="1" t="str">
        <f>_xlfn.XLOOKUP(J1445,REF!$D$2:$D$12,REF!$E$2:$E$12)</f>
        <v>Rede</v>
      </c>
      <c r="L1445" s="58" t="s">
        <v>2242</v>
      </c>
      <c r="M1445" s="58" t="s">
        <v>260</v>
      </c>
      <c r="N1445" s="58" t="s">
        <v>357</v>
      </c>
      <c r="O1445" s="58" t="s">
        <v>2243</v>
      </c>
      <c r="P1445" s="58" t="str">
        <f>_xlfn.CONCAT(B1445,C1445,D1445,E1445,F1445)</f>
        <v>VAZANTE II - UFV 1Inverter-ES218005918546004,298611111146004,298611111146006,7118055556</v>
      </c>
      <c r="Q1445" s="1" t="str">
        <f t="shared" si="71"/>
        <v>DAURDE</v>
      </c>
    </row>
    <row r="1446" spans="1:17" s="44" customFormat="1" hidden="1">
      <c r="A1446" s="43"/>
      <c r="B1446" s="58" t="s">
        <v>2246</v>
      </c>
      <c r="C1446" s="58" t="s">
        <v>2249</v>
      </c>
      <c r="D1446" s="59">
        <v>46004.298611111109</v>
      </c>
      <c r="E1446" s="59">
        <v>46004.298611111109</v>
      </c>
      <c r="F1446" s="59">
        <v>46006.711805555555</v>
      </c>
      <c r="G1446" s="60">
        <f>+F1446-E1446</f>
        <v>2.4131944444452529</v>
      </c>
      <c r="H1446" s="58" t="s">
        <v>257</v>
      </c>
      <c r="I1446" s="58"/>
      <c r="J1446" s="58" t="s">
        <v>258</v>
      </c>
      <c r="K1446" s="1" t="str">
        <f>_xlfn.XLOOKUP(J1446,REF!$D$2:$D$12,REF!$E$2:$E$12)</f>
        <v>Rede</v>
      </c>
      <c r="L1446" s="58" t="s">
        <v>2242</v>
      </c>
      <c r="M1446" s="58" t="s">
        <v>260</v>
      </c>
      <c r="N1446" s="58" t="s">
        <v>357</v>
      </c>
      <c r="O1446" s="58" t="s">
        <v>2243</v>
      </c>
      <c r="P1446" s="58" t="str">
        <f>_xlfn.CONCAT(B1446,C1446,D1446,E1446,F1446)</f>
        <v>VAZANTE II - UFV 1Inverter-ES218005834846004,298611111146004,298611111146006,7118055556</v>
      </c>
      <c r="Q1446" s="1" t="str">
        <f t="shared" si="71"/>
        <v>DAURDE</v>
      </c>
    </row>
    <row r="1447" spans="1:17" s="44" customFormat="1" hidden="1">
      <c r="A1447" s="43"/>
      <c r="B1447" s="58" t="s">
        <v>2246</v>
      </c>
      <c r="C1447" s="58" t="s">
        <v>2250</v>
      </c>
      <c r="D1447" s="59">
        <v>46004.298611111109</v>
      </c>
      <c r="E1447" s="59">
        <v>46004.298611111109</v>
      </c>
      <c r="F1447" s="59">
        <v>46006.711805555555</v>
      </c>
      <c r="G1447" s="60">
        <f>+F1447-E1447</f>
        <v>2.4131944444452529</v>
      </c>
      <c r="H1447" s="58" t="s">
        <v>257</v>
      </c>
      <c r="I1447" s="58"/>
      <c r="J1447" s="58" t="s">
        <v>258</v>
      </c>
      <c r="K1447" s="1" t="str">
        <f>_xlfn.XLOOKUP(J1447,REF!$D$2:$D$12,REF!$E$2:$E$12)</f>
        <v>Rede</v>
      </c>
      <c r="L1447" s="58" t="s">
        <v>2242</v>
      </c>
      <c r="M1447" s="58" t="s">
        <v>260</v>
      </c>
      <c r="N1447" s="58" t="s">
        <v>357</v>
      </c>
      <c r="O1447" s="58" t="s">
        <v>2243</v>
      </c>
      <c r="P1447" s="58" t="str">
        <f>_xlfn.CONCAT(B1447,C1447,D1447,E1447,F1447)</f>
        <v>VAZANTE II - UFV 1Inverter-ES217008032846004,298611111146004,298611111146006,7118055556</v>
      </c>
      <c r="Q1447" s="1" t="str">
        <f t="shared" si="71"/>
        <v>DAURDE</v>
      </c>
    </row>
    <row r="1448" spans="1:17" s="44" customFormat="1" hidden="1">
      <c r="A1448" s="43"/>
      <c r="B1448" s="58" t="s">
        <v>2246</v>
      </c>
      <c r="C1448" s="58" t="s">
        <v>2251</v>
      </c>
      <c r="D1448" s="59">
        <v>46004.298611111109</v>
      </c>
      <c r="E1448" s="59">
        <v>46004.298611111109</v>
      </c>
      <c r="F1448" s="59">
        <v>46006.711805555555</v>
      </c>
      <c r="G1448" s="60">
        <f>+F1448-E1448</f>
        <v>2.4131944444452529</v>
      </c>
      <c r="H1448" s="58" t="s">
        <v>257</v>
      </c>
      <c r="I1448" s="58"/>
      <c r="J1448" s="58" t="s">
        <v>258</v>
      </c>
      <c r="K1448" s="1" t="str">
        <f>_xlfn.XLOOKUP(J1448,REF!$D$2:$D$12,REF!$E$2:$E$12)</f>
        <v>Rede</v>
      </c>
      <c r="L1448" s="58" t="s">
        <v>2242</v>
      </c>
      <c r="M1448" s="58" t="s">
        <v>260</v>
      </c>
      <c r="N1448" s="58" t="s">
        <v>357</v>
      </c>
      <c r="O1448" s="58" t="s">
        <v>2243</v>
      </c>
      <c r="P1448" s="58" t="str">
        <f>_xlfn.CONCAT(B1448,C1448,D1448,E1448,F1448)</f>
        <v>VAZANTE II - UFV 1Inverter-ES219001107946004,298611111146004,298611111146006,7118055556</v>
      </c>
      <c r="Q1448" s="1" t="str">
        <f t="shared" si="71"/>
        <v>DAURDE</v>
      </c>
    </row>
    <row r="1449" spans="1:17" s="44" customFormat="1" hidden="1">
      <c r="A1449" s="43"/>
      <c r="B1449" s="58" t="s">
        <v>2226</v>
      </c>
      <c r="C1449" s="58" t="s">
        <v>2227</v>
      </c>
      <c r="D1449" s="59">
        <v>46004.298611111109</v>
      </c>
      <c r="E1449" s="59">
        <v>46004.298611111109</v>
      </c>
      <c r="F1449" s="59">
        <v>46006.711805555555</v>
      </c>
      <c r="G1449" s="60">
        <f>+F1449-E1449</f>
        <v>2.4131944444452529</v>
      </c>
      <c r="H1449" s="58" t="s">
        <v>257</v>
      </c>
      <c r="I1449" s="58"/>
      <c r="J1449" s="58" t="s">
        <v>258</v>
      </c>
      <c r="K1449" s="1" t="str">
        <f>_xlfn.XLOOKUP(J1449,REF!$D$2:$D$12,REF!$E$2:$E$12)</f>
        <v>Rede</v>
      </c>
      <c r="L1449" s="58" t="s">
        <v>2242</v>
      </c>
      <c r="M1449" s="58" t="s">
        <v>260</v>
      </c>
      <c r="N1449" s="58" t="s">
        <v>357</v>
      </c>
      <c r="O1449" s="58" t="s">
        <v>2243</v>
      </c>
      <c r="P1449" s="58" t="str">
        <f>_xlfn.CONCAT(B1449,C1449,D1449,E1449,F1449)</f>
        <v>VAZANTE II - UFV 2Inverter-ES218005834946004,298611111146004,298611111146006,7118055556</v>
      </c>
      <c r="Q1449" s="1" t="str">
        <f t="shared" si="71"/>
        <v>DAURDE</v>
      </c>
    </row>
    <row r="1450" spans="1:17" s="44" customFormat="1" hidden="1">
      <c r="A1450" s="43"/>
      <c r="B1450" s="58" t="s">
        <v>2226</v>
      </c>
      <c r="C1450" s="58" t="s">
        <v>2231</v>
      </c>
      <c r="D1450" s="59">
        <v>46004.298611111109</v>
      </c>
      <c r="E1450" s="59">
        <v>46004.298611111109</v>
      </c>
      <c r="F1450" s="59">
        <v>46006.711805555555</v>
      </c>
      <c r="G1450" s="60">
        <f>+F1450-E1450</f>
        <v>2.4131944444452529</v>
      </c>
      <c r="H1450" s="58" t="s">
        <v>257</v>
      </c>
      <c r="I1450" s="58"/>
      <c r="J1450" s="58" t="s">
        <v>258</v>
      </c>
      <c r="K1450" s="1" t="str">
        <f>_xlfn.XLOOKUP(J1450,REF!$D$2:$D$12,REF!$E$2:$E$12)</f>
        <v>Rede</v>
      </c>
      <c r="L1450" s="58" t="s">
        <v>2242</v>
      </c>
      <c r="M1450" s="58" t="s">
        <v>260</v>
      </c>
      <c r="N1450" s="58" t="s">
        <v>357</v>
      </c>
      <c r="O1450" s="58" t="s">
        <v>2243</v>
      </c>
      <c r="P1450" s="58" t="str">
        <f>_xlfn.CONCAT(B1450,C1450,D1450,E1450,F1450)</f>
        <v>VAZANTE II - UFV 2Inverter-ES217002732646004,298611111146004,298611111146006,7118055556</v>
      </c>
      <c r="Q1450" s="1" t="str">
        <f t="shared" si="71"/>
        <v>DAURDE</v>
      </c>
    </row>
    <row r="1451" spans="1:17" s="44" customFormat="1" hidden="1">
      <c r="A1451" s="43"/>
      <c r="B1451" s="58" t="s">
        <v>2226</v>
      </c>
      <c r="C1451" s="58" t="s">
        <v>2252</v>
      </c>
      <c r="D1451" s="59">
        <v>46004.298611111109</v>
      </c>
      <c r="E1451" s="59">
        <v>46004.298611111109</v>
      </c>
      <c r="F1451" s="59">
        <v>46006.711805555555</v>
      </c>
      <c r="G1451" s="60">
        <f>+F1451-E1451</f>
        <v>2.4131944444452529</v>
      </c>
      <c r="H1451" s="58" t="s">
        <v>257</v>
      </c>
      <c r="I1451" s="58"/>
      <c r="J1451" s="58" t="s">
        <v>258</v>
      </c>
      <c r="K1451" s="1" t="str">
        <f>_xlfn.XLOOKUP(J1451,REF!$D$2:$D$12,REF!$E$2:$E$12)</f>
        <v>Rede</v>
      </c>
      <c r="L1451" s="58" t="s">
        <v>2242</v>
      </c>
      <c r="M1451" s="58" t="s">
        <v>260</v>
      </c>
      <c r="N1451" s="58" t="s">
        <v>357</v>
      </c>
      <c r="O1451" s="58" t="s">
        <v>2243</v>
      </c>
      <c r="P1451" s="58" t="str">
        <f>_xlfn.CONCAT(B1451,C1451,D1451,E1451,F1451)</f>
        <v>VAZANTE II - UFV 2Inverter-ES217002866446004,298611111146004,298611111146006,7118055556</v>
      </c>
      <c r="Q1451" s="1" t="str">
        <f t="shared" si="71"/>
        <v>DAURDE</v>
      </c>
    </row>
    <row r="1452" spans="1:17" s="44" customFormat="1" hidden="1">
      <c r="A1452" s="43"/>
      <c r="B1452" s="58" t="s">
        <v>2226</v>
      </c>
      <c r="C1452" s="58" t="s">
        <v>2233</v>
      </c>
      <c r="D1452" s="59">
        <v>46004.298611111109</v>
      </c>
      <c r="E1452" s="59">
        <v>46004.298611111109</v>
      </c>
      <c r="F1452" s="59">
        <v>46006.711805555555</v>
      </c>
      <c r="G1452" s="60">
        <f>+F1452-E1452</f>
        <v>2.4131944444452529</v>
      </c>
      <c r="H1452" s="58" t="s">
        <v>257</v>
      </c>
      <c r="I1452" s="58"/>
      <c r="J1452" s="58" t="s">
        <v>258</v>
      </c>
      <c r="K1452" s="1" t="str">
        <f>_xlfn.XLOOKUP(J1452,REF!$D$2:$D$12,REF!$E$2:$E$12)</f>
        <v>Rede</v>
      </c>
      <c r="L1452" s="58" t="s">
        <v>2242</v>
      </c>
      <c r="M1452" s="58" t="s">
        <v>260</v>
      </c>
      <c r="N1452" s="58" t="s">
        <v>357</v>
      </c>
      <c r="O1452" s="58" t="s">
        <v>2243</v>
      </c>
      <c r="P1452" s="58" t="str">
        <f>_xlfn.CONCAT(B1452,C1452,D1452,E1452,F1452)</f>
        <v>VAZANTE II - UFV 2Inverter-ES218005897746004,298611111146004,298611111146006,7118055556</v>
      </c>
      <c r="Q1452" s="1" t="str">
        <f t="shared" si="71"/>
        <v>DAURDE</v>
      </c>
    </row>
    <row r="1453" spans="1:17" s="44" customFormat="1" hidden="1">
      <c r="A1453" s="43"/>
      <c r="B1453" s="58" t="s">
        <v>2226</v>
      </c>
      <c r="C1453" s="58" t="s">
        <v>2234</v>
      </c>
      <c r="D1453" s="59">
        <v>46004.298611111109</v>
      </c>
      <c r="E1453" s="59">
        <v>46004.298611111109</v>
      </c>
      <c r="F1453" s="59">
        <v>46006.711805555555</v>
      </c>
      <c r="G1453" s="60">
        <f>+F1453-E1453</f>
        <v>2.4131944444452529</v>
      </c>
      <c r="H1453" s="58" t="s">
        <v>257</v>
      </c>
      <c r="I1453" s="58"/>
      <c r="J1453" s="58" t="s">
        <v>258</v>
      </c>
      <c r="K1453" s="1" t="str">
        <f>_xlfn.XLOOKUP(J1453,REF!$D$2:$D$12,REF!$E$2:$E$12)</f>
        <v>Rede</v>
      </c>
      <c r="L1453" s="58" t="s">
        <v>2242</v>
      </c>
      <c r="M1453" s="58" t="s">
        <v>260</v>
      </c>
      <c r="N1453" s="58" t="s">
        <v>357</v>
      </c>
      <c r="O1453" s="58" t="s">
        <v>2243</v>
      </c>
      <c r="P1453" s="58" t="str">
        <f>_xlfn.CONCAT(B1453,C1453,D1453,E1453,F1453)</f>
        <v>VAZANTE II - UFV 2Inverter-ES217002814146004,298611111146004,298611111146006,7118055556</v>
      </c>
      <c r="Q1453" s="1" t="str">
        <f t="shared" si="71"/>
        <v>DAURDE</v>
      </c>
    </row>
    <row r="1454" spans="1:17" s="44" customFormat="1" hidden="1">
      <c r="A1454" s="43"/>
      <c r="B1454" s="58" t="s">
        <v>2253</v>
      </c>
      <c r="C1454" s="58" t="s">
        <v>2254</v>
      </c>
      <c r="D1454" s="59">
        <v>46004.298611111109</v>
      </c>
      <c r="E1454" s="59">
        <v>46004.298611111109</v>
      </c>
      <c r="F1454" s="59">
        <v>46006.711805555555</v>
      </c>
      <c r="G1454" s="60">
        <f>+F1454-E1454</f>
        <v>2.4131944444452529</v>
      </c>
      <c r="H1454" s="58" t="s">
        <v>257</v>
      </c>
      <c r="I1454" s="58"/>
      <c r="J1454" s="58" t="s">
        <v>258</v>
      </c>
      <c r="K1454" s="1" t="str">
        <f>_xlfn.XLOOKUP(J1454,REF!$D$2:$D$12,REF!$E$2:$E$12)</f>
        <v>Rede</v>
      </c>
      <c r="L1454" s="58" t="s">
        <v>2242</v>
      </c>
      <c r="M1454" s="58" t="s">
        <v>260</v>
      </c>
      <c r="N1454" s="58" t="s">
        <v>357</v>
      </c>
      <c r="O1454" s="58" t="s">
        <v>2243</v>
      </c>
      <c r="P1454" s="58" t="str">
        <f>_xlfn.CONCAT(B1454,C1454,D1454,E1454,F1454)</f>
        <v>VAZANTE II - UFV 3Inverter-ES219001107046004,298611111146004,298611111146006,7118055556</v>
      </c>
      <c r="Q1454" s="1" t="str">
        <f t="shared" si="71"/>
        <v>DAURDE</v>
      </c>
    </row>
    <row r="1455" spans="1:17" s="44" customFormat="1" hidden="1">
      <c r="A1455" s="43"/>
      <c r="B1455" s="58" t="s">
        <v>2253</v>
      </c>
      <c r="C1455" s="58" t="s">
        <v>2255</v>
      </c>
      <c r="D1455" s="59">
        <v>46004.298611111109</v>
      </c>
      <c r="E1455" s="59">
        <v>46004.298611111109</v>
      </c>
      <c r="F1455" s="59">
        <v>46006.711805555555</v>
      </c>
      <c r="G1455" s="60">
        <f>+F1455-E1455</f>
        <v>2.4131944444452529</v>
      </c>
      <c r="H1455" s="58" t="s">
        <v>257</v>
      </c>
      <c r="I1455" s="58"/>
      <c r="J1455" s="58" t="s">
        <v>258</v>
      </c>
      <c r="K1455" s="1" t="str">
        <f>_xlfn.XLOOKUP(J1455,REF!$D$2:$D$12,REF!$E$2:$E$12)</f>
        <v>Rede</v>
      </c>
      <c r="L1455" s="58" t="s">
        <v>2242</v>
      </c>
      <c r="M1455" s="58" t="s">
        <v>260</v>
      </c>
      <c r="N1455" s="58" t="s">
        <v>357</v>
      </c>
      <c r="O1455" s="58" t="s">
        <v>2243</v>
      </c>
      <c r="P1455" s="58" t="str">
        <f>_xlfn.CONCAT(B1455,C1455,D1455,E1455,F1455)</f>
        <v>VAZANTE II - UFV 3Inverter-ES218005835046004,298611111146004,298611111146006,7118055556</v>
      </c>
      <c r="Q1455" s="1" t="str">
        <f t="shared" si="71"/>
        <v>DAURDE</v>
      </c>
    </row>
    <row r="1456" spans="1:17" s="44" customFormat="1" hidden="1">
      <c r="A1456" s="43"/>
      <c r="B1456" s="58" t="s">
        <v>2253</v>
      </c>
      <c r="C1456" s="58" t="s">
        <v>2256</v>
      </c>
      <c r="D1456" s="59">
        <v>46004.298611111109</v>
      </c>
      <c r="E1456" s="59">
        <v>46004.298611111109</v>
      </c>
      <c r="F1456" s="59">
        <v>46006.711805555555</v>
      </c>
      <c r="G1456" s="60">
        <f>+F1456-E1456</f>
        <v>2.4131944444452529</v>
      </c>
      <c r="H1456" s="58" t="s">
        <v>257</v>
      </c>
      <c r="I1456" s="58"/>
      <c r="J1456" s="58" t="s">
        <v>258</v>
      </c>
      <c r="K1456" s="1" t="str">
        <f>_xlfn.XLOOKUP(J1456,REF!$D$2:$D$12,REF!$E$2:$E$12)</f>
        <v>Rede</v>
      </c>
      <c r="L1456" s="58" t="s">
        <v>2242</v>
      </c>
      <c r="M1456" s="58" t="s">
        <v>260</v>
      </c>
      <c r="N1456" s="58" t="s">
        <v>357</v>
      </c>
      <c r="O1456" s="58" t="s">
        <v>2243</v>
      </c>
      <c r="P1456" s="58" t="str">
        <f>_xlfn.CONCAT(B1456,C1456,D1456,E1456,F1456)</f>
        <v>VAZANTE II - UFV 3Inverter-ES224006061446004,298611111146004,298611111146006,7118055556</v>
      </c>
      <c r="Q1456" s="1" t="str">
        <f t="shared" si="71"/>
        <v>DAURDE</v>
      </c>
    </row>
    <row r="1457" spans="1:17" hidden="1">
      <c r="B1457" s="1" t="s">
        <v>309</v>
      </c>
      <c r="C1457" s="1" t="s">
        <v>310</v>
      </c>
      <c r="D1457" s="52">
        <v>46007.833333333336</v>
      </c>
      <c r="E1457" s="52">
        <v>46007.833333333336</v>
      </c>
      <c r="F1457" s="52">
        <v>46008.325694444444</v>
      </c>
      <c r="G1457" s="53">
        <f>+F1457-E1457</f>
        <v>0.49236111110803904</v>
      </c>
      <c r="H1457" s="1" t="s">
        <v>257</v>
      </c>
      <c r="J1457" s="1" t="s">
        <v>230</v>
      </c>
      <c r="K1457" s="1" t="str">
        <f>_xlfn.XLOOKUP(J1457,REF!$D$2:$D$12,REF!$E$2:$E$12)</f>
        <v>UFV</v>
      </c>
      <c r="L1457" s="65" t="s">
        <v>691</v>
      </c>
      <c r="M1457" s="1" t="s">
        <v>499</v>
      </c>
      <c r="N1457" s="1" t="s">
        <v>253</v>
      </c>
      <c r="O1457" s="1" t="s">
        <v>2217</v>
      </c>
      <c r="P1457" s="1" t="str">
        <f>_xlfn.CONCAT(B1457,C1457,D1457,E1457,F1457)</f>
        <v>ARAGUATINS 1.3Inverter(MBUS-20)46007,833333333346007,833333333346008,3256944444</v>
      </c>
      <c r="Q1457" s="1" t="str">
        <f t="shared" si="71"/>
        <v>DAUUFV</v>
      </c>
    </row>
    <row r="1458" spans="1:17" hidden="1">
      <c r="B1458" s="1" t="s">
        <v>309</v>
      </c>
      <c r="C1458" s="1" t="s">
        <v>247</v>
      </c>
      <c r="D1458" s="52">
        <v>46007.833333333336</v>
      </c>
      <c r="E1458" s="52">
        <v>46007.833333333336</v>
      </c>
      <c r="F1458" s="52">
        <v>46008.325694444444</v>
      </c>
      <c r="G1458" s="53">
        <f>+F1458-E1458</f>
        <v>0.49236111110803904</v>
      </c>
      <c r="H1458" s="1" t="s">
        <v>257</v>
      </c>
      <c r="J1458" s="1" t="s">
        <v>230</v>
      </c>
      <c r="K1458" s="1" t="str">
        <f>_xlfn.XLOOKUP(J1458,REF!$D$2:$D$12,REF!$E$2:$E$12)</f>
        <v>UFV</v>
      </c>
      <c r="L1458" s="65" t="s">
        <v>691</v>
      </c>
      <c r="M1458" s="1" t="s">
        <v>499</v>
      </c>
      <c r="N1458" s="1" t="s">
        <v>253</v>
      </c>
      <c r="O1458" s="1" t="s">
        <v>2217</v>
      </c>
      <c r="P1458" s="1" t="str">
        <f>_xlfn.CONCAT(B1458,C1458,D1458,E1458,F1458)</f>
        <v>ARAGUATINS 1.3Inverter(MBUS-1)46007,833333333346007,833333333346008,3256944444</v>
      </c>
      <c r="Q1458" s="1" t="str">
        <f t="shared" si="71"/>
        <v>DAUUFV</v>
      </c>
    </row>
    <row r="1459" spans="1:17" hidden="1">
      <c r="A1459" s="45"/>
      <c r="B1459" s="61" t="s">
        <v>805</v>
      </c>
      <c r="C1459" s="61" t="s">
        <v>264</v>
      </c>
      <c r="D1459" s="62">
        <v>45998.6875</v>
      </c>
      <c r="E1459" s="62">
        <v>45998.6875</v>
      </c>
      <c r="F1459" s="62">
        <v>46022.999988425923</v>
      </c>
      <c r="G1459" s="63">
        <f t="shared" ref="G1459:G1479" si="72">F1459-E1459</f>
        <v>24.31248842592322</v>
      </c>
      <c r="H1459" s="61" t="s">
        <v>257</v>
      </c>
      <c r="I1459" s="61" t="s">
        <v>2257</v>
      </c>
      <c r="J1459" s="61" t="s">
        <v>1978</v>
      </c>
      <c r="K1459" s="1" t="str">
        <f>_xlfn.XLOOKUP(J1459,REF!$D$2:$D$12,REF!$E$2:$E$12)</f>
        <v>Relé de proteção</v>
      </c>
      <c r="L1459" s="61" t="s">
        <v>2258</v>
      </c>
      <c r="M1459" s="61" t="s">
        <v>663</v>
      </c>
      <c r="N1459" s="61" t="s">
        <v>364</v>
      </c>
      <c r="O1459" s="61" t="s">
        <v>2259</v>
      </c>
      <c r="P1459" s="1" t="str">
        <f>_xlfn.CONCAT(B1459,C1459,D1459,E1459,F1459)</f>
        <v>BC Formoso1.2Inverter(MBUS-13)45998,687545998,687546022,9999884259</v>
      </c>
      <c r="Q1459" s="1" t="str">
        <f t="shared" si="71"/>
        <v>DAU PRT</v>
      </c>
    </row>
    <row r="1460" spans="1:17" hidden="1">
      <c r="A1460" s="45"/>
      <c r="B1460" s="61" t="s">
        <v>805</v>
      </c>
      <c r="C1460" s="61" t="s">
        <v>256</v>
      </c>
      <c r="D1460" s="62">
        <v>45998.6875</v>
      </c>
      <c r="E1460" s="62">
        <v>45998.6875</v>
      </c>
      <c r="F1460" s="62">
        <v>46022.999988425923</v>
      </c>
      <c r="G1460" s="63">
        <f t="shared" si="72"/>
        <v>24.31248842592322</v>
      </c>
      <c r="H1460" s="61" t="s">
        <v>257</v>
      </c>
      <c r="I1460" s="61" t="s">
        <v>2257</v>
      </c>
      <c r="J1460" s="61" t="s">
        <v>1978</v>
      </c>
      <c r="K1460" s="1" t="str">
        <f>_xlfn.XLOOKUP(J1460,REF!$D$2:$D$12,REF!$E$2:$E$12)</f>
        <v>Relé de proteção</v>
      </c>
      <c r="L1460" s="61" t="s">
        <v>2258</v>
      </c>
      <c r="M1460" s="61" t="s">
        <v>663</v>
      </c>
      <c r="N1460" s="61" t="s">
        <v>364</v>
      </c>
      <c r="O1460" s="61" t="s">
        <v>2259</v>
      </c>
      <c r="P1460" s="1" t="str">
        <f>_xlfn.CONCAT(B1460,C1460,D1460,E1460,F1460)</f>
        <v>BC Formoso1.2Inverter(MBUS-12)45998,687545998,687546022,9999884259</v>
      </c>
      <c r="Q1460" s="1" t="str">
        <f t="shared" si="71"/>
        <v>DAU PRT</v>
      </c>
    </row>
    <row r="1461" spans="1:17" hidden="1">
      <c r="A1461" s="45"/>
      <c r="B1461" s="61" t="s">
        <v>805</v>
      </c>
      <c r="C1461" s="61" t="s">
        <v>307</v>
      </c>
      <c r="D1461" s="62">
        <v>45998.6875</v>
      </c>
      <c r="E1461" s="62">
        <v>45998.6875</v>
      </c>
      <c r="F1461" s="62">
        <v>46022.999988425923</v>
      </c>
      <c r="G1461" s="63">
        <f t="shared" si="72"/>
        <v>24.31248842592322</v>
      </c>
      <c r="H1461" s="61" t="s">
        <v>257</v>
      </c>
      <c r="I1461" s="61" t="s">
        <v>2257</v>
      </c>
      <c r="J1461" s="61" t="s">
        <v>1978</v>
      </c>
      <c r="K1461" s="1" t="str">
        <f>_xlfn.XLOOKUP(J1461,REF!$D$2:$D$12,REF!$E$2:$E$12)</f>
        <v>Relé de proteção</v>
      </c>
      <c r="L1461" s="61" t="s">
        <v>2258</v>
      </c>
      <c r="M1461" s="61" t="s">
        <v>663</v>
      </c>
      <c r="N1461" s="61" t="s">
        <v>364</v>
      </c>
      <c r="O1461" s="61" t="s">
        <v>2259</v>
      </c>
      <c r="P1461" s="1" t="str">
        <f>_xlfn.CONCAT(B1461,C1461,D1461,E1461,F1461)</f>
        <v>BC Formoso1.2Inverter(MBUS-15)45998,687545998,687546022,9999884259</v>
      </c>
      <c r="Q1461" s="1" t="str">
        <f t="shared" si="71"/>
        <v>DAU PRT</v>
      </c>
    </row>
    <row r="1462" spans="1:17" hidden="1">
      <c r="A1462" s="45"/>
      <c r="B1462" s="61" t="s">
        <v>805</v>
      </c>
      <c r="C1462" s="61" t="s">
        <v>263</v>
      </c>
      <c r="D1462" s="62">
        <v>45998.6875</v>
      </c>
      <c r="E1462" s="62">
        <v>45998.6875</v>
      </c>
      <c r="F1462" s="62">
        <v>46022.999988425923</v>
      </c>
      <c r="G1462" s="63">
        <f t="shared" si="72"/>
        <v>24.31248842592322</v>
      </c>
      <c r="H1462" s="61" t="s">
        <v>257</v>
      </c>
      <c r="I1462" s="61" t="s">
        <v>2257</v>
      </c>
      <c r="J1462" s="61" t="s">
        <v>1978</v>
      </c>
      <c r="K1462" s="1" t="str">
        <f>_xlfn.XLOOKUP(J1462,REF!$D$2:$D$12,REF!$E$2:$E$12)</f>
        <v>Relé de proteção</v>
      </c>
      <c r="L1462" s="61" t="s">
        <v>2258</v>
      </c>
      <c r="M1462" s="61" t="s">
        <v>663</v>
      </c>
      <c r="N1462" s="61" t="s">
        <v>364</v>
      </c>
      <c r="O1462" s="61" t="s">
        <v>2259</v>
      </c>
      <c r="P1462" s="1" t="str">
        <f>_xlfn.CONCAT(B1462,C1462,D1462,E1462,F1462)</f>
        <v>BC Formoso1.2Inverter(MBUS-14)45998,687545998,687546022,9999884259</v>
      </c>
      <c r="Q1462" s="1" t="str">
        <f t="shared" si="71"/>
        <v>DAU PRT</v>
      </c>
    </row>
    <row r="1463" spans="1:17" hidden="1">
      <c r="A1463" s="45"/>
      <c r="B1463" s="61" t="s">
        <v>803</v>
      </c>
      <c r="C1463" s="61" t="s">
        <v>264</v>
      </c>
      <c r="D1463" s="62">
        <v>46000.548611111109</v>
      </c>
      <c r="E1463" s="62">
        <v>46000.548611111109</v>
      </c>
      <c r="F1463" s="62">
        <v>46001.371527777781</v>
      </c>
      <c r="G1463" s="63">
        <f t="shared" si="72"/>
        <v>0.82291666667151731</v>
      </c>
      <c r="H1463" s="61" t="s">
        <v>257</v>
      </c>
      <c r="I1463" s="61"/>
      <c r="J1463" s="61" t="s">
        <v>258</v>
      </c>
      <c r="K1463" s="1" t="str">
        <f>_xlfn.XLOOKUP(J1463,REF!$D$2:$D$12,REF!$E$2:$E$12)</f>
        <v>Rede</v>
      </c>
      <c r="L1463" s="61" t="s">
        <v>2260</v>
      </c>
      <c r="M1463" s="61" t="s">
        <v>260</v>
      </c>
      <c r="N1463" s="61" t="s">
        <v>261</v>
      </c>
      <c r="O1463" s="61" t="s">
        <v>2061</v>
      </c>
      <c r="P1463" s="1" t="str">
        <f>_xlfn.CONCAT(B1463,C1463,D1463,E1463,F1463)</f>
        <v>BC Formoso1.1Inverter(MBUS-13)46000,548611111146000,548611111146001,3715277778</v>
      </c>
      <c r="Q1463" s="1" t="str">
        <f t="shared" si="71"/>
        <v>DAURDE</v>
      </c>
    </row>
    <row r="1464" spans="1:17" hidden="1">
      <c r="A1464" s="45"/>
      <c r="B1464" s="61" t="s">
        <v>803</v>
      </c>
      <c r="C1464" s="61" t="s">
        <v>256</v>
      </c>
      <c r="D1464" s="62">
        <v>46000.548611111109</v>
      </c>
      <c r="E1464" s="62">
        <v>46000.548611111109</v>
      </c>
      <c r="F1464" s="62">
        <v>46001.371527777781</v>
      </c>
      <c r="G1464" s="63">
        <f t="shared" si="72"/>
        <v>0.82291666667151731</v>
      </c>
      <c r="H1464" s="61" t="s">
        <v>257</v>
      </c>
      <c r="I1464" s="61"/>
      <c r="J1464" s="61" t="s">
        <v>258</v>
      </c>
      <c r="K1464" s="1" t="str">
        <f>_xlfn.XLOOKUP(J1464,REF!$D$2:$D$12,REF!$E$2:$E$12)</f>
        <v>Rede</v>
      </c>
      <c r="L1464" s="61" t="s">
        <v>2260</v>
      </c>
      <c r="M1464" s="61" t="s">
        <v>260</v>
      </c>
      <c r="N1464" s="61" t="s">
        <v>261</v>
      </c>
      <c r="O1464" s="61" t="s">
        <v>2061</v>
      </c>
      <c r="P1464" s="1" t="str">
        <f>_xlfn.CONCAT(B1464,C1464,D1464,E1464,F1464)</f>
        <v>BC Formoso1.1Inverter(MBUS-12)46000,548611111146000,548611111146001,3715277778</v>
      </c>
      <c r="Q1464" s="1" t="str">
        <f t="shared" si="71"/>
        <v>DAURDE</v>
      </c>
    </row>
    <row r="1465" spans="1:17" hidden="1">
      <c r="A1465" s="45"/>
      <c r="B1465" s="61" t="s">
        <v>803</v>
      </c>
      <c r="C1465" s="61" t="s">
        <v>307</v>
      </c>
      <c r="D1465" s="62">
        <v>46000.548611111109</v>
      </c>
      <c r="E1465" s="62">
        <v>46000.548611111109</v>
      </c>
      <c r="F1465" s="62">
        <v>46001.371527777781</v>
      </c>
      <c r="G1465" s="63">
        <f t="shared" si="72"/>
        <v>0.82291666667151731</v>
      </c>
      <c r="H1465" s="61" t="s">
        <v>257</v>
      </c>
      <c r="I1465" s="61"/>
      <c r="J1465" s="61" t="s">
        <v>258</v>
      </c>
      <c r="K1465" s="1" t="str">
        <f>_xlfn.XLOOKUP(J1465,REF!$D$2:$D$12,REF!$E$2:$E$12)</f>
        <v>Rede</v>
      </c>
      <c r="L1465" s="61" t="s">
        <v>2260</v>
      </c>
      <c r="M1465" s="61" t="s">
        <v>260</v>
      </c>
      <c r="N1465" s="61" t="s">
        <v>261</v>
      </c>
      <c r="O1465" s="61" t="s">
        <v>2061</v>
      </c>
      <c r="P1465" s="1" t="str">
        <f>_xlfn.CONCAT(B1465,C1465,D1465,E1465,F1465)</f>
        <v>BC Formoso1.1Inverter(MBUS-15)46000,548611111146000,548611111146001,3715277778</v>
      </c>
      <c r="Q1465" s="1" t="str">
        <f t="shared" si="71"/>
        <v>DAURDE</v>
      </c>
    </row>
    <row r="1466" spans="1:17" hidden="1">
      <c r="A1466" s="45"/>
      <c r="B1466" s="61" t="s">
        <v>803</v>
      </c>
      <c r="C1466" s="61" t="s">
        <v>263</v>
      </c>
      <c r="D1466" s="62">
        <v>46000.548611111109</v>
      </c>
      <c r="E1466" s="62">
        <v>46000.548611111109</v>
      </c>
      <c r="F1466" s="62">
        <v>46001.371527777781</v>
      </c>
      <c r="G1466" s="63">
        <f t="shared" si="72"/>
        <v>0.82291666667151731</v>
      </c>
      <c r="H1466" s="61" t="s">
        <v>257</v>
      </c>
      <c r="I1466" s="61"/>
      <c r="J1466" s="61" t="s">
        <v>258</v>
      </c>
      <c r="K1466" s="1" t="str">
        <f>_xlfn.XLOOKUP(J1466,REF!$D$2:$D$12,REF!$E$2:$E$12)</f>
        <v>Rede</v>
      </c>
      <c r="L1466" s="61" t="s">
        <v>2260</v>
      </c>
      <c r="M1466" s="61" t="s">
        <v>260</v>
      </c>
      <c r="N1466" s="61" t="s">
        <v>261</v>
      </c>
      <c r="O1466" s="61" t="s">
        <v>2061</v>
      </c>
      <c r="P1466" s="1" t="str">
        <f>_xlfn.CONCAT(B1466,C1466,D1466,E1466,F1466)</f>
        <v>BC Formoso1.1Inverter(MBUS-14)46000,548611111146000,548611111146001,3715277778</v>
      </c>
      <c r="Q1466" s="1" t="str">
        <f t="shared" si="71"/>
        <v>DAURDE</v>
      </c>
    </row>
    <row r="1467" spans="1:17" hidden="1">
      <c r="A1467" s="45"/>
      <c r="B1467" s="61" t="s">
        <v>805</v>
      </c>
      <c r="C1467" s="61" t="s">
        <v>264</v>
      </c>
      <c r="D1467" s="62">
        <v>46000.548611111109</v>
      </c>
      <c r="E1467" s="62">
        <v>46000.548611111109</v>
      </c>
      <c r="F1467" s="62">
        <v>46001.371527777781</v>
      </c>
      <c r="G1467" s="63">
        <f t="shared" si="72"/>
        <v>0.82291666667151731</v>
      </c>
      <c r="H1467" s="61" t="s">
        <v>257</v>
      </c>
      <c r="I1467" s="61"/>
      <c r="J1467" s="61" t="s">
        <v>258</v>
      </c>
      <c r="K1467" s="1" t="str">
        <f>_xlfn.XLOOKUP(J1467,REF!$D$2:$D$12,REF!$E$2:$E$12)</f>
        <v>Rede</v>
      </c>
      <c r="L1467" s="61" t="s">
        <v>2260</v>
      </c>
      <c r="M1467" s="61" t="s">
        <v>260</v>
      </c>
      <c r="N1467" s="61" t="s">
        <v>261</v>
      </c>
      <c r="O1467" s="61" t="s">
        <v>2061</v>
      </c>
      <c r="P1467" s="1" t="str">
        <f>_xlfn.CONCAT(B1467,C1467,D1467,E1467,F1467)</f>
        <v>BC Formoso1.2Inverter(MBUS-13)46000,548611111146000,548611111146001,3715277778</v>
      </c>
      <c r="Q1467" s="1" t="str">
        <f t="shared" si="71"/>
        <v>DAURDE</v>
      </c>
    </row>
    <row r="1468" spans="1:17" hidden="1">
      <c r="A1468" s="45"/>
      <c r="B1468" s="61" t="s">
        <v>805</v>
      </c>
      <c r="C1468" s="61" t="s">
        <v>256</v>
      </c>
      <c r="D1468" s="62">
        <v>46000.548611111109</v>
      </c>
      <c r="E1468" s="62">
        <v>46000.548611111109</v>
      </c>
      <c r="F1468" s="62">
        <v>46001.371527777781</v>
      </c>
      <c r="G1468" s="63">
        <f t="shared" si="72"/>
        <v>0.82291666667151731</v>
      </c>
      <c r="H1468" s="61" t="s">
        <v>257</v>
      </c>
      <c r="I1468" s="61"/>
      <c r="J1468" s="61" t="s">
        <v>258</v>
      </c>
      <c r="K1468" s="1" t="str">
        <f>_xlfn.XLOOKUP(J1468,REF!$D$2:$D$12,REF!$E$2:$E$12)</f>
        <v>Rede</v>
      </c>
      <c r="L1468" s="61" t="s">
        <v>2260</v>
      </c>
      <c r="M1468" s="61" t="s">
        <v>260</v>
      </c>
      <c r="N1468" s="61" t="s">
        <v>261</v>
      </c>
      <c r="O1468" s="61" t="s">
        <v>2061</v>
      </c>
      <c r="P1468" s="1" t="str">
        <f>_xlfn.CONCAT(B1468,C1468,D1468,E1468,F1468)</f>
        <v>BC Formoso1.2Inverter(MBUS-12)46000,548611111146000,548611111146001,3715277778</v>
      </c>
      <c r="Q1468" s="1" t="str">
        <f t="shared" si="71"/>
        <v>DAURDE</v>
      </c>
    </row>
    <row r="1469" spans="1:17" hidden="1">
      <c r="A1469" s="45"/>
      <c r="B1469" s="61" t="s">
        <v>805</v>
      </c>
      <c r="C1469" s="61" t="s">
        <v>307</v>
      </c>
      <c r="D1469" s="62">
        <v>46000.548611111109</v>
      </c>
      <c r="E1469" s="62">
        <v>46000.548611111109</v>
      </c>
      <c r="F1469" s="62">
        <v>46001.371527777781</v>
      </c>
      <c r="G1469" s="63">
        <f t="shared" si="72"/>
        <v>0.82291666667151731</v>
      </c>
      <c r="H1469" s="61" t="s">
        <v>257</v>
      </c>
      <c r="I1469" s="61"/>
      <c r="J1469" s="61" t="s">
        <v>258</v>
      </c>
      <c r="K1469" s="1" t="str">
        <f>_xlfn.XLOOKUP(J1469,REF!$D$2:$D$12,REF!$E$2:$E$12)</f>
        <v>Rede</v>
      </c>
      <c r="L1469" s="61" t="s">
        <v>2260</v>
      </c>
      <c r="M1469" s="61" t="s">
        <v>260</v>
      </c>
      <c r="N1469" s="61" t="s">
        <v>261</v>
      </c>
      <c r="O1469" s="61" t="s">
        <v>2061</v>
      </c>
      <c r="P1469" s="1" t="str">
        <f>_xlfn.CONCAT(B1469,C1469,D1469,E1469,F1469)</f>
        <v>BC Formoso1.2Inverter(MBUS-15)46000,548611111146000,548611111146001,3715277778</v>
      </c>
      <c r="Q1469" s="1" t="str">
        <f t="shared" si="71"/>
        <v>DAURDE</v>
      </c>
    </row>
    <row r="1470" spans="1:17" hidden="1">
      <c r="A1470" s="45"/>
      <c r="B1470" s="61" t="s">
        <v>805</v>
      </c>
      <c r="C1470" s="61" t="s">
        <v>263</v>
      </c>
      <c r="D1470" s="62">
        <v>46000.548611111109</v>
      </c>
      <c r="E1470" s="62">
        <v>46000.548611111109</v>
      </c>
      <c r="F1470" s="62">
        <v>46001.371527777781</v>
      </c>
      <c r="G1470" s="63">
        <f t="shared" si="72"/>
        <v>0.82291666667151731</v>
      </c>
      <c r="H1470" s="61" t="s">
        <v>257</v>
      </c>
      <c r="I1470" s="61"/>
      <c r="J1470" s="61" t="s">
        <v>258</v>
      </c>
      <c r="K1470" s="1" t="str">
        <f>_xlfn.XLOOKUP(J1470,REF!$D$2:$D$12,REF!$E$2:$E$12)</f>
        <v>Rede</v>
      </c>
      <c r="L1470" s="61" t="s">
        <v>2260</v>
      </c>
      <c r="M1470" s="61" t="s">
        <v>260</v>
      </c>
      <c r="N1470" s="61" t="s">
        <v>261</v>
      </c>
      <c r="O1470" s="61" t="s">
        <v>2061</v>
      </c>
      <c r="P1470" s="1" t="str">
        <f>_xlfn.CONCAT(B1470,C1470,D1470,E1470,F1470)</f>
        <v>BC Formoso1.2Inverter(MBUS-14)46000,548611111146000,548611111146001,3715277778</v>
      </c>
      <c r="Q1470" s="1" t="str">
        <f t="shared" si="71"/>
        <v>DAURDE</v>
      </c>
    </row>
    <row r="1471" spans="1:17" hidden="1">
      <c r="A1471" s="45"/>
      <c r="B1471" s="61" t="s">
        <v>806</v>
      </c>
      <c r="C1471" s="61" t="s">
        <v>264</v>
      </c>
      <c r="D1471" s="62">
        <v>46000.548611111109</v>
      </c>
      <c r="E1471" s="62">
        <v>46000.548611111109</v>
      </c>
      <c r="F1471" s="62">
        <v>46001.371527777781</v>
      </c>
      <c r="G1471" s="63">
        <f t="shared" si="72"/>
        <v>0.82291666667151731</v>
      </c>
      <c r="H1471" s="61" t="s">
        <v>257</v>
      </c>
      <c r="I1471" s="61"/>
      <c r="J1471" s="61" t="s">
        <v>258</v>
      </c>
      <c r="K1471" s="1" t="str">
        <f>_xlfn.XLOOKUP(J1471,REF!$D$2:$D$12,REF!$E$2:$E$12)</f>
        <v>Rede</v>
      </c>
      <c r="L1471" s="61" t="s">
        <v>2260</v>
      </c>
      <c r="M1471" s="61" t="s">
        <v>260</v>
      </c>
      <c r="N1471" s="61" t="s">
        <v>261</v>
      </c>
      <c r="O1471" s="61" t="s">
        <v>2061</v>
      </c>
      <c r="P1471" s="1" t="str">
        <f>_xlfn.CONCAT(B1471,C1471,D1471,E1471,F1471)</f>
        <v>BC Formoso1.3Inverter(MBUS-13)46000,548611111146000,548611111146001,3715277778</v>
      </c>
      <c r="Q1471" s="1" t="str">
        <f t="shared" si="71"/>
        <v>DAURDE</v>
      </c>
    </row>
    <row r="1472" spans="1:17" hidden="1">
      <c r="A1472" s="45"/>
      <c r="B1472" s="61" t="s">
        <v>806</v>
      </c>
      <c r="C1472" s="61" t="s">
        <v>256</v>
      </c>
      <c r="D1472" s="62">
        <v>46000.548611111109</v>
      </c>
      <c r="E1472" s="62">
        <v>46000.548611111109</v>
      </c>
      <c r="F1472" s="62">
        <v>46001.371527777781</v>
      </c>
      <c r="G1472" s="63">
        <f t="shared" si="72"/>
        <v>0.82291666667151731</v>
      </c>
      <c r="H1472" s="61" t="s">
        <v>257</v>
      </c>
      <c r="I1472" s="61"/>
      <c r="J1472" s="61" t="s">
        <v>258</v>
      </c>
      <c r="K1472" s="1" t="str">
        <f>_xlfn.XLOOKUP(J1472,REF!$D$2:$D$12,REF!$E$2:$E$12)</f>
        <v>Rede</v>
      </c>
      <c r="L1472" s="61" t="s">
        <v>2260</v>
      </c>
      <c r="M1472" s="61" t="s">
        <v>260</v>
      </c>
      <c r="N1472" s="61" t="s">
        <v>261</v>
      </c>
      <c r="O1472" s="61" t="s">
        <v>2061</v>
      </c>
      <c r="P1472" s="1" t="str">
        <f>_xlfn.CONCAT(B1472,C1472,D1472,E1472,F1472)</f>
        <v>BC Formoso1.3Inverter(MBUS-12)46000,548611111146000,548611111146001,3715277778</v>
      </c>
      <c r="Q1472" s="1" t="str">
        <f t="shared" si="71"/>
        <v>DAURDE</v>
      </c>
    </row>
    <row r="1473" spans="1:17" hidden="1">
      <c r="A1473" s="45"/>
      <c r="B1473" s="61" t="s">
        <v>255</v>
      </c>
      <c r="C1473" s="61" t="s">
        <v>256</v>
      </c>
      <c r="D1473" s="62">
        <v>46000.548611111109</v>
      </c>
      <c r="E1473" s="62">
        <v>46000.548611111109</v>
      </c>
      <c r="F1473" s="62">
        <v>46001.371527777781</v>
      </c>
      <c r="G1473" s="63">
        <f t="shared" si="72"/>
        <v>0.82291666667151731</v>
      </c>
      <c r="H1473" s="61" t="s">
        <v>257</v>
      </c>
      <c r="I1473" s="61"/>
      <c r="J1473" s="61" t="s">
        <v>258</v>
      </c>
      <c r="K1473" s="1" t="str">
        <f>_xlfn.XLOOKUP(J1473,REF!$D$2:$D$12,REF!$E$2:$E$12)</f>
        <v>Rede</v>
      </c>
      <c r="L1473" s="61" t="s">
        <v>2260</v>
      </c>
      <c r="M1473" s="61" t="s">
        <v>260</v>
      </c>
      <c r="N1473" s="61" t="s">
        <v>261</v>
      </c>
      <c r="O1473" s="61" t="s">
        <v>2061</v>
      </c>
      <c r="P1473" s="1" t="str">
        <f>_xlfn.CONCAT(B1473,C1473,D1473,E1473,F1473)</f>
        <v>BC Formoso2.1Inverter(MBUS-12)46000,548611111146000,548611111146001,3715277778</v>
      </c>
      <c r="Q1473" s="1" t="str">
        <f t="shared" si="71"/>
        <v>DAURDE</v>
      </c>
    </row>
    <row r="1474" spans="1:17" hidden="1">
      <c r="A1474" s="45"/>
      <c r="B1474" s="61" t="s">
        <v>255</v>
      </c>
      <c r="C1474" s="61" t="s">
        <v>263</v>
      </c>
      <c r="D1474" s="62">
        <v>46000.548611111109</v>
      </c>
      <c r="E1474" s="62">
        <v>46000.548611111109</v>
      </c>
      <c r="F1474" s="62">
        <v>46001.371527777781</v>
      </c>
      <c r="G1474" s="63">
        <f t="shared" si="72"/>
        <v>0.82291666667151731</v>
      </c>
      <c r="H1474" s="61" t="s">
        <v>257</v>
      </c>
      <c r="I1474" s="61"/>
      <c r="J1474" s="61" t="s">
        <v>258</v>
      </c>
      <c r="K1474" s="1" t="str">
        <f>_xlfn.XLOOKUP(J1474,REF!$D$2:$D$12,REF!$E$2:$E$12)</f>
        <v>Rede</v>
      </c>
      <c r="L1474" s="61" t="s">
        <v>2260</v>
      </c>
      <c r="M1474" s="61" t="s">
        <v>260</v>
      </c>
      <c r="N1474" s="61" t="s">
        <v>261</v>
      </c>
      <c r="O1474" s="61" t="s">
        <v>2061</v>
      </c>
      <c r="P1474" s="1" t="str">
        <f>_xlfn.CONCAT(B1474,C1474,D1474,E1474,F1474)</f>
        <v>BC Formoso2.1Inverter(MBUS-14)46000,548611111146000,548611111146001,3715277778</v>
      </c>
      <c r="Q1474" s="1" t="str">
        <f t="shared" si="71"/>
        <v>DAURDE</v>
      </c>
    </row>
    <row r="1475" spans="1:17" hidden="1">
      <c r="A1475" s="45"/>
      <c r="B1475" s="61" t="s">
        <v>255</v>
      </c>
      <c r="C1475" s="61" t="s">
        <v>264</v>
      </c>
      <c r="D1475" s="62">
        <v>46000.548611111109</v>
      </c>
      <c r="E1475" s="62">
        <v>46000.548611111109</v>
      </c>
      <c r="F1475" s="62">
        <v>46001.371527777781</v>
      </c>
      <c r="G1475" s="63">
        <f t="shared" si="72"/>
        <v>0.82291666667151731</v>
      </c>
      <c r="H1475" s="61" t="s">
        <v>257</v>
      </c>
      <c r="I1475" s="61"/>
      <c r="J1475" s="61" t="s">
        <v>258</v>
      </c>
      <c r="K1475" s="1" t="str">
        <f>_xlfn.XLOOKUP(J1475,REF!$D$2:$D$12,REF!$E$2:$E$12)</f>
        <v>Rede</v>
      </c>
      <c r="L1475" s="61" t="s">
        <v>2260</v>
      </c>
      <c r="M1475" s="61" t="s">
        <v>260</v>
      </c>
      <c r="N1475" s="61" t="s">
        <v>261</v>
      </c>
      <c r="O1475" s="61" t="s">
        <v>2061</v>
      </c>
      <c r="P1475" s="1" t="str">
        <f>_xlfn.CONCAT(B1475,C1475,D1475,E1475,F1475)</f>
        <v>BC Formoso2.1Inverter(MBUS-13)46000,548611111146000,548611111146001,3715277778</v>
      </c>
      <c r="Q1475" s="1" t="str">
        <f t="shared" si="71"/>
        <v>DAURDE</v>
      </c>
    </row>
    <row r="1476" spans="1:17" hidden="1">
      <c r="A1476" s="45"/>
      <c r="B1476" s="61" t="s">
        <v>255</v>
      </c>
      <c r="C1476" s="61" t="s">
        <v>247</v>
      </c>
      <c r="D1476" s="62">
        <v>46000.548611111109</v>
      </c>
      <c r="E1476" s="62">
        <v>46000.548611111109</v>
      </c>
      <c r="F1476" s="62">
        <v>46001.371527777781</v>
      </c>
      <c r="G1476" s="63">
        <f t="shared" si="72"/>
        <v>0.82291666667151731</v>
      </c>
      <c r="H1476" s="61" t="s">
        <v>257</v>
      </c>
      <c r="I1476" s="61"/>
      <c r="J1476" s="61" t="s">
        <v>258</v>
      </c>
      <c r="K1476" s="1" t="str">
        <f>_xlfn.XLOOKUP(J1476,REF!$D$2:$D$12,REF!$E$2:$E$12)</f>
        <v>Rede</v>
      </c>
      <c r="L1476" s="61" t="s">
        <v>2260</v>
      </c>
      <c r="M1476" s="61" t="s">
        <v>260</v>
      </c>
      <c r="N1476" s="61" t="s">
        <v>261</v>
      </c>
      <c r="O1476" s="61" t="s">
        <v>2061</v>
      </c>
      <c r="P1476" s="1" t="str">
        <f>_xlfn.CONCAT(B1476,C1476,D1476,E1476,F1476)</f>
        <v>BC Formoso2.1Inverter(MBUS-1)46000,548611111146000,548611111146001,3715277778</v>
      </c>
      <c r="Q1476" s="1" t="str">
        <f t="shared" si="71"/>
        <v>DAURDE</v>
      </c>
    </row>
    <row r="1477" spans="1:17" hidden="1">
      <c r="A1477" s="45"/>
      <c r="B1477" s="61" t="s">
        <v>265</v>
      </c>
      <c r="C1477" s="61" t="s">
        <v>263</v>
      </c>
      <c r="D1477" s="62">
        <v>46000.548611111109</v>
      </c>
      <c r="E1477" s="62">
        <v>46000.548611111109</v>
      </c>
      <c r="F1477" s="62">
        <v>46001.371527777781</v>
      </c>
      <c r="G1477" s="63">
        <f t="shared" si="72"/>
        <v>0.82291666667151731</v>
      </c>
      <c r="H1477" s="61" t="s">
        <v>257</v>
      </c>
      <c r="I1477" s="61"/>
      <c r="J1477" s="61" t="s">
        <v>258</v>
      </c>
      <c r="K1477" s="1" t="str">
        <f>_xlfn.XLOOKUP(J1477,REF!$D$2:$D$12,REF!$E$2:$E$12)</f>
        <v>Rede</v>
      </c>
      <c r="L1477" s="61" t="s">
        <v>2260</v>
      </c>
      <c r="M1477" s="61" t="s">
        <v>260</v>
      </c>
      <c r="N1477" s="61" t="s">
        <v>261</v>
      </c>
      <c r="O1477" s="61" t="s">
        <v>2061</v>
      </c>
      <c r="P1477" s="1" t="str">
        <f>_xlfn.CONCAT(B1477,C1477,D1477,E1477,F1477)</f>
        <v>BC Formoso2.2Inverter(MBUS-14)46000,548611111146000,548611111146001,3715277778</v>
      </c>
      <c r="Q1477" s="1" t="str">
        <f t="shared" si="71"/>
        <v>DAURDE</v>
      </c>
    </row>
    <row r="1478" spans="1:17" hidden="1">
      <c r="A1478" s="45"/>
      <c r="B1478" s="61" t="s">
        <v>265</v>
      </c>
      <c r="C1478" s="61" t="s">
        <v>264</v>
      </c>
      <c r="D1478" s="62">
        <v>46000.548611111109</v>
      </c>
      <c r="E1478" s="62">
        <v>46000.548611111109</v>
      </c>
      <c r="F1478" s="62">
        <v>46001.371527777781</v>
      </c>
      <c r="G1478" s="63">
        <f t="shared" si="72"/>
        <v>0.82291666667151731</v>
      </c>
      <c r="H1478" s="61" t="s">
        <v>257</v>
      </c>
      <c r="I1478" s="61"/>
      <c r="J1478" s="61" t="s">
        <v>258</v>
      </c>
      <c r="K1478" s="1" t="str">
        <f>_xlfn.XLOOKUP(J1478,REF!$D$2:$D$12,REF!$E$2:$E$12)</f>
        <v>Rede</v>
      </c>
      <c r="L1478" s="61" t="s">
        <v>2260</v>
      </c>
      <c r="M1478" s="61" t="s">
        <v>260</v>
      </c>
      <c r="N1478" s="61" t="s">
        <v>261</v>
      </c>
      <c r="O1478" s="61" t="s">
        <v>2061</v>
      </c>
      <c r="P1478" s="1" t="str">
        <f>_xlfn.CONCAT(B1478,C1478,D1478,E1478,F1478)</f>
        <v>BC Formoso2.2Inverter(MBUS-13)46000,548611111146000,548611111146001,3715277778</v>
      </c>
      <c r="Q1478" s="1" t="str">
        <f t="shared" si="71"/>
        <v>DAURDE</v>
      </c>
    </row>
    <row r="1479" spans="1:17" hidden="1">
      <c r="A1479" s="45"/>
      <c r="B1479" s="61" t="s">
        <v>265</v>
      </c>
      <c r="C1479" s="61" t="s">
        <v>256</v>
      </c>
      <c r="D1479" s="62">
        <v>46000.548611111109</v>
      </c>
      <c r="E1479" s="62">
        <v>46000.548611111109</v>
      </c>
      <c r="F1479" s="62">
        <v>46001.371527777781</v>
      </c>
      <c r="G1479" s="63">
        <f t="shared" si="72"/>
        <v>0.82291666667151731</v>
      </c>
      <c r="H1479" s="61" t="s">
        <v>257</v>
      </c>
      <c r="I1479" s="61"/>
      <c r="J1479" s="61" t="s">
        <v>258</v>
      </c>
      <c r="K1479" s="1" t="str">
        <f>_xlfn.XLOOKUP(J1479,REF!$D$2:$D$12,REF!$E$2:$E$12)</f>
        <v>Rede</v>
      </c>
      <c r="L1479" s="61" t="s">
        <v>2260</v>
      </c>
      <c r="M1479" s="61" t="s">
        <v>260</v>
      </c>
      <c r="N1479" s="61" t="s">
        <v>261</v>
      </c>
      <c r="O1479" s="61" t="s">
        <v>2061</v>
      </c>
      <c r="P1479" s="1" t="str">
        <f>_xlfn.CONCAT(B1479,C1479,D1479,E1479,F1479)</f>
        <v>BC Formoso2.2Inverter(MBUS-12)46000,548611111146000,548611111146001,3715277778</v>
      </c>
      <c r="Q1479" s="1" t="str">
        <f t="shared" si="71"/>
        <v>DAURDE</v>
      </c>
    </row>
    <row r="1480" spans="1:17" hidden="1">
      <c r="A1480" s="45"/>
      <c r="B1480" s="61" t="s">
        <v>265</v>
      </c>
      <c r="C1480" s="61" t="s">
        <v>247</v>
      </c>
      <c r="D1480" s="62">
        <v>46000.548611111109</v>
      </c>
      <c r="E1480" s="62">
        <v>46000.548611111109</v>
      </c>
      <c r="F1480" s="62">
        <v>46001.371527777781</v>
      </c>
      <c r="G1480" s="63">
        <v>0.82291666666666663</v>
      </c>
      <c r="H1480" s="61" t="s">
        <v>257</v>
      </c>
      <c r="I1480" s="61"/>
      <c r="J1480" s="61" t="s">
        <v>258</v>
      </c>
      <c r="K1480" s="1" t="str">
        <f>_xlfn.XLOOKUP(J1480,REF!$D$2:$D$12,REF!$E$2:$E$12)</f>
        <v>Rede</v>
      </c>
      <c r="L1480" s="61" t="s">
        <v>2260</v>
      </c>
      <c r="M1480" s="61" t="s">
        <v>260</v>
      </c>
      <c r="N1480" s="61" t="s">
        <v>261</v>
      </c>
      <c r="O1480" s="61" t="s">
        <v>2061</v>
      </c>
      <c r="P1480" s="1" t="str">
        <f>_xlfn.CONCAT(B1480,C1480,D1480,E1480,F1480)</f>
        <v>BC Formoso2.2Inverter(MBUS-1)46000,548611111146000,548611111146001,3715277778</v>
      </c>
      <c r="Q1480" s="1" t="str">
        <f t="shared" si="71"/>
        <v>DAURDE</v>
      </c>
    </row>
    <row r="1481" spans="1:17" hidden="1">
      <c r="A1481" s="45"/>
      <c r="B1481" s="61" t="s">
        <v>355</v>
      </c>
      <c r="C1481" s="61" t="s">
        <v>264</v>
      </c>
      <c r="D1481" s="62">
        <v>46000.548611111109</v>
      </c>
      <c r="E1481" s="62">
        <v>46000.548611111109</v>
      </c>
      <c r="F1481" s="62">
        <v>46001.371527777781</v>
      </c>
      <c r="G1481" s="63">
        <v>0.82291666666666663</v>
      </c>
      <c r="H1481" s="61" t="s">
        <v>257</v>
      </c>
      <c r="I1481" s="61"/>
      <c r="J1481" s="61" t="s">
        <v>258</v>
      </c>
      <c r="K1481" s="1" t="str">
        <f>_xlfn.XLOOKUP(J1481,REF!$D$2:$D$12,REF!$E$2:$E$12)</f>
        <v>Rede</v>
      </c>
      <c r="L1481" s="61" t="s">
        <v>2260</v>
      </c>
      <c r="M1481" s="61" t="s">
        <v>260</v>
      </c>
      <c r="N1481" s="61" t="s">
        <v>261</v>
      </c>
      <c r="O1481" s="61" t="s">
        <v>2061</v>
      </c>
      <c r="P1481" s="1" t="str">
        <f>_xlfn.CONCAT(B1481,C1481,D1481,E1481,F1481)</f>
        <v>BC Formoso2.3Inverter(MBUS-13)46000,548611111146000,548611111146001,3715277778</v>
      </c>
      <c r="Q1481" s="1" t="str">
        <f t="shared" si="71"/>
        <v>DAURDE</v>
      </c>
    </row>
    <row r="1482" spans="1:17" hidden="1">
      <c r="A1482" s="45"/>
      <c r="B1482" s="61" t="s">
        <v>355</v>
      </c>
      <c r="C1482" s="61" t="s">
        <v>256</v>
      </c>
      <c r="D1482" s="62">
        <v>46000.548611111109</v>
      </c>
      <c r="E1482" s="62">
        <v>46000.548611111109</v>
      </c>
      <c r="F1482" s="62">
        <v>46001.371527777781</v>
      </c>
      <c r="G1482" s="63">
        <v>0.82291666666666663</v>
      </c>
      <c r="H1482" s="61" t="s">
        <v>257</v>
      </c>
      <c r="I1482" s="61"/>
      <c r="J1482" s="61" t="s">
        <v>258</v>
      </c>
      <c r="K1482" s="1" t="str">
        <f>_xlfn.XLOOKUP(J1482,REF!$D$2:$D$12,REF!$E$2:$E$12)</f>
        <v>Rede</v>
      </c>
      <c r="L1482" s="61" t="s">
        <v>2260</v>
      </c>
      <c r="M1482" s="61" t="s">
        <v>260</v>
      </c>
      <c r="N1482" s="61" t="s">
        <v>261</v>
      </c>
      <c r="O1482" s="61" t="s">
        <v>2061</v>
      </c>
      <c r="P1482" s="1" t="str">
        <f>_xlfn.CONCAT(B1482,C1482,D1482,E1482,F1482)</f>
        <v>BC Formoso2.3Inverter(MBUS-12)46000,548611111146000,548611111146001,3715277778</v>
      </c>
      <c r="Q1482" s="1" t="str">
        <f t="shared" si="71"/>
        <v>DAURDE</v>
      </c>
    </row>
    <row r="1483" spans="1:17" hidden="1">
      <c r="A1483" s="45"/>
      <c r="B1483" s="61" t="s">
        <v>255</v>
      </c>
      <c r="C1483" s="61" t="s">
        <v>256</v>
      </c>
      <c r="D1483" s="62">
        <v>46008.587500000001</v>
      </c>
      <c r="E1483" s="62">
        <v>46008.587500000001</v>
      </c>
      <c r="F1483" s="62">
        <v>46008.666666666664</v>
      </c>
      <c r="G1483" s="63">
        <v>7.9166666666666663E-2</v>
      </c>
      <c r="H1483" s="61" t="s">
        <v>677</v>
      </c>
      <c r="I1483" s="61"/>
      <c r="J1483" s="61" t="s">
        <v>230</v>
      </c>
      <c r="K1483" s="1" t="str">
        <f>_xlfn.XLOOKUP(J1483,REF!$D$2:$D$12,REF!$E$2:$E$12)</f>
        <v>UFV</v>
      </c>
      <c r="L1483" s="61" t="s">
        <v>2261</v>
      </c>
      <c r="M1483" s="61" t="s">
        <v>663</v>
      </c>
      <c r="N1483" s="61" t="s">
        <v>364</v>
      </c>
      <c r="O1483" s="61" t="s">
        <v>2262</v>
      </c>
      <c r="P1483" s="1" t="str">
        <f>_xlfn.CONCAT(B1483,C1483,D1483,E1483,F1483)</f>
        <v>BC Formoso2.1Inverter(MBUS-12)46008,587546008,587546008,6666666667</v>
      </c>
      <c r="Q1483" s="1" t="str">
        <f t="shared" si="71"/>
        <v>DPRUFV</v>
      </c>
    </row>
    <row r="1484" spans="1:17" hidden="1">
      <c r="A1484" s="45"/>
      <c r="B1484" s="61" t="s">
        <v>255</v>
      </c>
      <c r="C1484" s="61" t="s">
        <v>263</v>
      </c>
      <c r="D1484" s="62">
        <v>46008.587500000001</v>
      </c>
      <c r="E1484" s="62">
        <v>46008.587500000001</v>
      </c>
      <c r="F1484" s="62">
        <v>46008.666666666664</v>
      </c>
      <c r="G1484" s="63">
        <v>7.9166666666666663E-2</v>
      </c>
      <c r="H1484" s="61" t="s">
        <v>677</v>
      </c>
      <c r="I1484" s="61"/>
      <c r="J1484" s="61" t="s">
        <v>230</v>
      </c>
      <c r="K1484" s="1" t="str">
        <f>_xlfn.XLOOKUP(J1484,REF!$D$2:$D$12,REF!$E$2:$E$12)</f>
        <v>UFV</v>
      </c>
      <c r="L1484" s="61" t="s">
        <v>2261</v>
      </c>
      <c r="M1484" s="61" t="s">
        <v>663</v>
      </c>
      <c r="N1484" s="61" t="s">
        <v>364</v>
      </c>
      <c r="O1484" s="61" t="s">
        <v>2262</v>
      </c>
      <c r="P1484" s="1" t="str">
        <f>_xlfn.CONCAT(B1484,C1484,D1484,E1484,F1484)</f>
        <v>BC Formoso2.1Inverter(MBUS-14)46008,587546008,587546008,6666666667</v>
      </c>
      <c r="Q1484" s="1" t="str">
        <f t="shared" si="71"/>
        <v>DPRUFV</v>
      </c>
    </row>
    <row r="1485" spans="1:17" hidden="1">
      <c r="A1485" s="45"/>
      <c r="B1485" s="61" t="s">
        <v>255</v>
      </c>
      <c r="C1485" s="61" t="s">
        <v>264</v>
      </c>
      <c r="D1485" s="62">
        <v>46008.587500000001</v>
      </c>
      <c r="E1485" s="62">
        <v>46008.587500000001</v>
      </c>
      <c r="F1485" s="62">
        <v>46008.666666666664</v>
      </c>
      <c r="G1485" s="63">
        <v>7.9166666666666663E-2</v>
      </c>
      <c r="H1485" s="61" t="s">
        <v>677</v>
      </c>
      <c r="I1485" s="61"/>
      <c r="J1485" s="61" t="s">
        <v>230</v>
      </c>
      <c r="K1485" s="1" t="str">
        <f>_xlfn.XLOOKUP(J1485,REF!$D$2:$D$12,REF!$E$2:$E$12)</f>
        <v>UFV</v>
      </c>
      <c r="L1485" s="61" t="s">
        <v>2261</v>
      </c>
      <c r="M1485" s="61" t="s">
        <v>663</v>
      </c>
      <c r="N1485" s="61" t="s">
        <v>364</v>
      </c>
      <c r="O1485" s="61" t="s">
        <v>2262</v>
      </c>
      <c r="P1485" s="1" t="str">
        <f>_xlfn.CONCAT(B1485,C1485,D1485,E1485,F1485)</f>
        <v>BC Formoso2.1Inverter(MBUS-13)46008,587546008,587546008,6666666667</v>
      </c>
      <c r="Q1485" s="1" t="str">
        <f t="shared" si="71"/>
        <v>DPRUFV</v>
      </c>
    </row>
    <row r="1486" spans="1:17" hidden="1">
      <c r="A1486" s="45"/>
      <c r="B1486" s="61" t="s">
        <v>255</v>
      </c>
      <c r="C1486" s="61" t="s">
        <v>247</v>
      </c>
      <c r="D1486" s="62">
        <v>46008.587500000001</v>
      </c>
      <c r="E1486" s="62">
        <v>46008.587500000001</v>
      </c>
      <c r="F1486" s="62">
        <v>46008.666666666664</v>
      </c>
      <c r="G1486" s="63">
        <v>7.9166666666666663E-2</v>
      </c>
      <c r="H1486" s="61" t="s">
        <v>677</v>
      </c>
      <c r="I1486" s="61"/>
      <c r="J1486" s="61" t="s">
        <v>230</v>
      </c>
      <c r="K1486" s="1" t="str">
        <f>_xlfn.XLOOKUP(J1486,REF!$D$2:$D$12,REF!$E$2:$E$12)</f>
        <v>UFV</v>
      </c>
      <c r="L1486" s="61" t="s">
        <v>2261</v>
      </c>
      <c r="M1486" s="61" t="s">
        <v>663</v>
      </c>
      <c r="N1486" s="61" t="s">
        <v>364</v>
      </c>
      <c r="O1486" s="61" t="s">
        <v>2262</v>
      </c>
      <c r="P1486" s="1" t="str">
        <f>_xlfn.CONCAT(B1486,C1486,D1486,E1486,F1486)</f>
        <v>BC Formoso2.1Inverter(MBUS-1)46008,587546008,587546008,6666666667</v>
      </c>
      <c r="Q1486" s="1" t="str">
        <f t="shared" si="71"/>
        <v>DPRUFV</v>
      </c>
    </row>
    <row r="1487" spans="1:17" hidden="1">
      <c r="B1487" s="1" t="s">
        <v>309</v>
      </c>
      <c r="C1487" s="1" t="s">
        <v>310</v>
      </c>
      <c r="D1487" s="52">
        <v>46010.587500000001</v>
      </c>
      <c r="E1487" s="52">
        <v>46010.465277777781</v>
      </c>
      <c r="F1487" s="52">
        <v>46010.475694444445</v>
      </c>
      <c r="G1487" s="53">
        <f>F1487-E1487</f>
        <v>1.0416666664241347E-2</v>
      </c>
      <c r="H1487" s="1" t="s">
        <v>257</v>
      </c>
      <c r="J1487" s="1" t="s">
        <v>230</v>
      </c>
      <c r="K1487" s="1" t="str">
        <f>_xlfn.XLOOKUP(J1487,REF!$D$2:$D$12,REF!$E$2:$E$12)</f>
        <v>UFV</v>
      </c>
      <c r="L1487" s="65" t="s">
        <v>691</v>
      </c>
      <c r="M1487" s="1" t="s">
        <v>499</v>
      </c>
      <c r="N1487" s="1" t="s">
        <v>253</v>
      </c>
      <c r="O1487" s="1" t="s">
        <v>2217</v>
      </c>
      <c r="P1487" s="1" t="str">
        <f>_xlfn.CONCAT(B1487,C1487,D1487,E1487,F1487)</f>
        <v>ARAGUATINS 1.3Inverter(MBUS-20)46010,587546010,465277777846010,4756944444</v>
      </c>
      <c r="Q1487" s="1" t="str">
        <f t="shared" si="71"/>
        <v>DAUUFV</v>
      </c>
    </row>
    <row r="1488" spans="1:17" hidden="1">
      <c r="B1488" s="1" t="s">
        <v>309</v>
      </c>
      <c r="C1488" s="1" t="s">
        <v>247</v>
      </c>
      <c r="D1488" s="52">
        <v>46010.587500000001</v>
      </c>
      <c r="E1488" s="52">
        <v>46010.465277777781</v>
      </c>
      <c r="F1488" s="52">
        <v>46010.475694444445</v>
      </c>
      <c r="G1488" s="53">
        <f>F1488-E1488</f>
        <v>1.0416666664241347E-2</v>
      </c>
      <c r="H1488" s="1" t="s">
        <v>257</v>
      </c>
      <c r="J1488" s="1" t="s">
        <v>230</v>
      </c>
      <c r="K1488" s="1" t="str">
        <f>_xlfn.XLOOKUP(J1488,REF!$D$2:$D$12,REF!$E$2:$E$12)</f>
        <v>UFV</v>
      </c>
      <c r="L1488" s="65" t="s">
        <v>691</v>
      </c>
      <c r="M1488" s="1" t="s">
        <v>499</v>
      </c>
      <c r="N1488" s="1" t="s">
        <v>253</v>
      </c>
      <c r="O1488" s="1" t="s">
        <v>2217</v>
      </c>
      <c r="P1488" s="1" t="str">
        <f>_xlfn.CONCAT(B1488,C1488,D1488,E1488,F1488)</f>
        <v>ARAGUATINS 1.3Inverter(MBUS-1)46010,587546010,465277777846010,4756944444</v>
      </c>
      <c r="Q1488" s="1" t="str">
        <f t="shared" si="71"/>
        <v>DAUUFV</v>
      </c>
    </row>
    <row r="1489" spans="1:17" s="30" customFormat="1" hidden="1">
      <c r="A1489" s="45"/>
      <c r="B1489" s="61" t="s">
        <v>2044</v>
      </c>
      <c r="C1489" s="61" t="s">
        <v>267</v>
      </c>
      <c r="D1489" s="62">
        <v>45998.625</v>
      </c>
      <c r="E1489" s="62">
        <v>45998.625</v>
      </c>
      <c r="F1489" s="62">
        <v>45999.486111111109</v>
      </c>
      <c r="G1489" s="63">
        <f>F1489-E1489</f>
        <v>0.86111111110949423</v>
      </c>
      <c r="H1489" s="61" t="s">
        <v>257</v>
      </c>
      <c r="I1489" s="61"/>
      <c r="J1489" s="61" t="s">
        <v>258</v>
      </c>
      <c r="K1489" s="1" t="str">
        <f>_xlfn.XLOOKUP(J1489,REF!$D$2:$D$12,REF!$E$2:$E$12)</f>
        <v>Rede</v>
      </c>
      <c r="L1489" s="61" t="s">
        <v>2263</v>
      </c>
      <c r="M1489" s="61" t="s">
        <v>260</v>
      </c>
      <c r="N1489" s="61" t="s">
        <v>261</v>
      </c>
      <c r="O1489" s="61" t="s">
        <v>2264</v>
      </c>
      <c r="P1489" s="1" t="str">
        <f t="shared" ref="P1489:P1500" si="73">_xlfn.CONCAT(B1489,C1489,D1489,E1489,F1489)</f>
        <v>BC BomSucessoSG60KTL45998,62545998,62545999,4861111111</v>
      </c>
      <c r="Q1489" s="1" t="str">
        <f t="shared" si="71"/>
        <v>DAURDE</v>
      </c>
    </row>
    <row r="1490" spans="1:17" s="30" customFormat="1" hidden="1">
      <c r="A1490" s="45"/>
      <c r="B1490" s="61" t="s">
        <v>2044</v>
      </c>
      <c r="C1490" s="61" t="s">
        <v>2046</v>
      </c>
      <c r="D1490" s="62">
        <v>45998.625</v>
      </c>
      <c r="E1490" s="62">
        <v>45998.625</v>
      </c>
      <c r="F1490" s="62">
        <v>45999.486111111109</v>
      </c>
      <c r="G1490" s="63">
        <f t="shared" ref="G1490:G1500" si="74">F1490-E1490</f>
        <v>0.86111111110949423</v>
      </c>
      <c r="H1490" s="61" t="s">
        <v>257</v>
      </c>
      <c r="I1490" s="61"/>
      <c r="J1490" s="61" t="s">
        <v>258</v>
      </c>
      <c r="K1490" s="1" t="str">
        <f>_xlfn.XLOOKUP(J1490,REF!$D$2:$D$12,REF!$E$2:$E$12)</f>
        <v>Rede</v>
      </c>
      <c r="L1490" s="61" t="s">
        <v>2263</v>
      </c>
      <c r="M1490" s="61" t="s">
        <v>260</v>
      </c>
      <c r="N1490" s="61" t="s">
        <v>261</v>
      </c>
      <c r="O1490" s="61" t="s">
        <v>2264</v>
      </c>
      <c r="P1490" s="1" t="str">
        <f t="shared" si="73"/>
        <v>BC BomSucessoABB_0145998,62545998,62545999,4861111111</v>
      </c>
      <c r="Q1490" s="1" t="str">
        <f t="shared" si="71"/>
        <v>DAURDE</v>
      </c>
    </row>
    <row r="1491" spans="1:17" s="30" customFormat="1" hidden="1">
      <c r="A1491" s="45"/>
      <c r="B1491" s="61" t="s">
        <v>2044</v>
      </c>
      <c r="C1491" s="61" t="s">
        <v>2047</v>
      </c>
      <c r="D1491" s="62">
        <v>45998.625</v>
      </c>
      <c r="E1491" s="62">
        <v>45998.625</v>
      </c>
      <c r="F1491" s="62">
        <v>45999.486111111109</v>
      </c>
      <c r="G1491" s="63">
        <f t="shared" si="74"/>
        <v>0.86111111110949423</v>
      </c>
      <c r="H1491" s="61" t="s">
        <v>257</v>
      </c>
      <c r="I1491" s="61"/>
      <c r="J1491" s="61" t="s">
        <v>258</v>
      </c>
      <c r="K1491" s="1" t="str">
        <f>_xlfn.XLOOKUP(J1491,REF!$D$2:$D$12,REF!$E$2:$E$12)</f>
        <v>Rede</v>
      </c>
      <c r="L1491" s="61" t="s">
        <v>2263</v>
      </c>
      <c r="M1491" s="61" t="s">
        <v>260</v>
      </c>
      <c r="N1491" s="61" t="s">
        <v>261</v>
      </c>
      <c r="O1491" s="61" t="s">
        <v>2264</v>
      </c>
      <c r="P1491" s="1" t="str">
        <f t="shared" si="73"/>
        <v>BC BomSucessoABB_0245998,62545998,62545999,4861111111</v>
      </c>
      <c r="Q1491" s="1" t="str">
        <f t="shared" si="71"/>
        <v>DAURDE</v>
      </c>
    </row>
    <row r="1492" spans="1:17" s="30" customFormat="1" hidden="1">
      <c r="A1492" s="45"/>
      <c r="B1492" s="61" t="s">
        <v>2044</v>
      </c>
      <c r="C1492" s="61" t="s">
        <v>2048</v>
      </c>
      <c r="D1492" s="62">
        <v>45998.625</v>
      </c>
      <c r="E1492" s="62">
        <v>45998.625</v>
      </c>
      <c r="F1492" s="62">
        <v>45999.486111111109</v>
      </c>
      <c r="G1492" s="63">
        <f t="shared" si="74"/>
        <v>0.86111111110949423</v>
      </c>
      <c r="H1492" s="61" t="s">
        <v>257</v>
      </c>
      <c r="I1492" s="61"/>
      <c r="J1492" s="61" t="s">
        <v>258</v>
      </c>
      <c r="K1492" s="1" t="str">
        <f>_xlfn.XLOOKUP(J1492,REF!$D$2:$D$12,REF!$E$2:$E$12)</f>
        <v>Rede</v>
      </c>
      <c r="L1492" s="61" t="s">
        <v>2263</v>
      </c>
      <c r="M1492" s="61" t="s">
        <v>260</v>
      </c>
      <c r="N1492" s="61" t="s">
        <v>261</v>
      </c>
      <c r="O1492" s="61" t="s">
        <v>2264</v>
      </c>
      <c r="P1492" s="1" t="str">
        <f t="shared" si="73"/>
        <v>BC BomSucessoABB_0345998,62545998,62545999,4861111111</v>
      </c>
      <c r="Q1492" s="1" t="str">
        <f t="shared" si="71"/>
        <v>DAURDE</v>
      </c>
    </row>
    <row r="1493" spans="1:17" s="30" customFormat="1" hidden="1">
      <c r="A1493" s="45"/>
      <c r="B1493" s="61" t="s">
        <v>2044</v>
      </c>
      <c r="C1493" s="61" t="s">
        <v>2049</v>
      </c>
      <c r="D1493" s="62">
        <v>45998.625</v>
      </c>
      <c r="E1493" s="62">
        <v>45998.625</v>
      </c>
      <c r="F1493" s="62">
        <v>45999.486111111109</v>
      </c>
      <c r="G1493" s="63">
        <f t="shared" si="74"/>
        <v>0.86111111110949423</v>
      </c>
      <c r="H1493" s="61" t="s">
        <v>257</v>
      </c>
      <c r="I1493" s="61"/>
      <c r="J1493" s="61" t="s">
        <v>258</v>
      </c>
      <c r="K1493" s="1" t="str">
        <f>_xlfn.XLOOKUP(J1493,REF!$D$2:$D$12,REF!$E$2:$E$12)</f>
        <v>Rede</v>
      </c>
      <c r="L1493" s="61" t="s">
        <v>2263</v>
      </c>
      <c r="M1493" s="61" t="s">
        <v>260</v>
      </c>
      <c r="N1493" s="61" t="s">
        <v>261</v>
      </c>
      <c r="O1493" s="61" t="s">
        <v>2264</v>
      </c>
      <c r="P1493" s="1" t="str">
        <f t="shared" si="73"/>
        <v>BC BomSucessoABB_0445998,62545998,62545999,4861111111</v>
      </c>
      <c r="Q1493" s="1" t="str">
        <f t="shared" si="71"/>
        <v>DAURDE</v>
      </c>
    </row>
    <row r="1494" spans="1:17" s="30" customFormat="1" hidden="1">
      <c r="A1494" s="45"/>
      <c r="B1494" s="61" t="s">
        <v>2044</v>
      </c>
      <c r="C1494" s="61" t="s">
        <v>2050</v>
      </c>
      <c r="D1494" s="62">
        <v>45998.625</v>
      </c>
      <c r="E1494" s="62">
        <v>45998.625</v>
      </c>
      <c r="F1494" s="62">
        <v>45999.486111111109</v>
      </c>
      <c r="G1494" s="63">
        <f t="shared" si="74"/>
        <v>0.86111111110949423</v>
      </c>
      <c r="H1494" s="61" t="s">
        <v>257</v>
      </c>
      <c r="I1494" s="61"/>
      <c r="J1494" s="61" t="s">
        <v>258</v>
      </c>
      <c r="K1494" s="1" t="str">
        <f>_xlfn.XLOOKUP(J1494,REF!$D$2:$D$12,REF!$E$2:$E$12)</f>
        <v>Rede</v>
      </c>
      <c r="L1494" s="61" t="s">
        <v>2263</v>
      </c>
      <c r="M1494" s="61" t="s">
        <v>260</v>
      </c>
      <c r="N1494" s="61" t="s">
        <v>261</v>
      </c>
      <c r="O1494" s="61" t="s">
        <v>2264</v>
      </c>
      <c r="P1494" s="1" t="str">
        <f t="shared" si="73"/>
        <v>BC BomSucessoABB_0545998,62545998,62545999,4861111111</v>
      </c>
      <c r="Q1494" s="1" t="str">
        <f t="shared" si="71"/>
        <v>DAURDE</v>
      </c>
    </row>
    <row r="1495" spans="1:17" s="30" customFormat="1" hidden="1">
      <c r="A1495" s="45"/>
      <c r="B1495" s="61" t="s">
        <v>2044</v>
      </c>
      <c r="C1495" s="61" t="s">
        <v>2051</v>
      </c>
      <c r="D1495" s="62">
        <v>45998.625</v>
      </c>
      <c r="E1495" s="62">
        <v>45998.625</v>
      </c>
      <c r="F1495" s="62">
        <v>45999.486111111109</v>
      </c>
      <c r="G1495" s="63">
        <f t="shared" si="74"/>
        <v>0.86111111110949423</v>
      </c>
      <c r="H1495" s="61" t="s">
        <v>257</v>
      </c>
      <c r="I1495" s="61"/>
      <c r="J1495" s="61" t="s">
        <v>258</v>
      </c>
      <c r="K1495" s="1" t="str">
        <f>_xlfn.XLOOKUP(J1495,REF!$D$2:$D$12,REF!$E$2:$E$12)</f>
        <v>Rede</v>
      </c>
      <c r="L1495" s="61" t="s">
        <v>2263</v>
      </c>
      <c r="M1495" s="61" t="s">
        <v>260</v>
      </c>
      <c r="N1495" s="61" t="s">
        <v>261</v>
      </c>
      <c r="O1495" s="61" t="s">
        <v>2264</v>
      </c>
      <c r="P1495" s="1" t="str">
        <f t="shared" si="73"/>
        <v>BC BomSucessoABB_0645998,62545998,62545999,4861111111</v>
      </c>
      <c r="Q1495" s="1" t="str">
        <f t="shared" si="71"/>
        <v>DAURDE</v>
      </c>
    </row>
    <row r="1496" spans="1:17" s="30" customFormat="1" hidden="1">
      <c r="A1496" s="45"/>
      <c r="B1496" s="61" t="s">
        <v>2044</v>
      </c>
      <c r="C1496" s="61" t="s">
        <v>2052</v>
      </c>
      <c r="D1496" s="62">
        <v>45998.625</v>
      </c>
      <c r="E1496" s="62">
        <v>45998.625</v>
      </c>
      <c r="F1496" s="62">
        <v>45999.486111111109</v>
      </c>
      <c r="G1496" s="63">
        <f t="shared" si="74"/>
        <v>0.86111111110949423</v>
      </c>
      <c r="H1496" s="61" t="s">
        <v>257</v>
      </c>
      <c r="I1496" s="61"/>
      <c r="J1496" s="61" t="s">
        <v>258</v>
      </c>
      <c r="K1496" s="1" t="str">
        <f>_xlfn.XLOOKUP(J1496,REF!$D$2:$D$12,REF!$E$2:$E$12)</f>
        <v>Rede</v>
      </c>
      <c r="L1496" s="61" t="s">
        <v>2263</v>
      </c>
      <c r="M1496" s="61" t="s">
        <v>260</v>
      </c>
      <c r="N1496" s="61" t="s">
        <v>261</v>
      </c>
      <c r="O1496" s="61" t="s">
        <v>2264</v>
      </c>
      <c r="P1496" s="1" t="str">
        <f t="shared" si="73"/>
        <v>BC BomSucessoABB_0745998,62545998,62545999,4861111111</v>
      </c>
      <c r="Q1496" s="1" t="str">
        <f t="shared" si="71"/>
        <v>DAURDE</v>
      </c>
    </row>
    <row r="1497" spans="1:17" s="30" customFormat="1" hidden="1">
      <c r="A1497" s="45"/>
      <c r="B1497" s="61" t="s">
        <v>2044</v>
      </c>
      <c r="C1497" s="61" t="s">
        <v>2053</v>
      </c>
      <c r="D1497" s="62">
        <v>45998.625</v>
      </c>
      <c r="E1497" s="62">
        <v>45998.625</v>
      </c>
      <c r="F1497" s="62">
        <v>45999.486111111109</v>
      </c>
      <c r="G1497" s="63">
        <f t="shared" si="74"/>
        <v>0.86111111110949423</v>
      </c>
      <c r="H1497" s="61" t="s">
        <v>257</v>
      </c>
      <c r="I1497" s="61"/>
      <c r="J1497" s="61" t="s">
        <v>258</v>
      </c>
      <c r="K1497" s="1" t="str">
        <f>_xlfn.XLOOKUP(J1497,REF!$D$2:$D$12,REF!$E$2:$E$12)</f>
        <v>Rede</v>
      </c>
      <c r="L1497" s="61" t="s">
        <v>2263</v>
      </c>
      <c r="M1497" s="61" t="s">
        <v>260</v>
      </c>
      <c r="N1497" s="61" t="s">
        <v>261</v>
      </c>
      <c r="O1497" s="61" t="s">
        <v>2264</v>
      </c>
      <c r="P1497" s="1" t="str">
        <f t="shared" si="73"/>
        <v>BC BomSucessoABB_0845998,62545998,62545999,4861111111</v>
      </c>
      <c r="Q1497" s="1" t="str">
        <f t="shared" si="71"/>
        <v>DAURDE</v>
      </c>
    </row>
    <row r="1498" spans="1:17" s="30" customFormat="1" hidden="1">
      <c r="A1498" s="45"/>
      <c r="B1498" s="61" t="s">
        <v>2044</v>
      </c>
      <c r="C1498" s="61" t="s">
        <v>2054</v>
      </c>
      <c r="D1498" s="62">
        <v>45998.625</v>
      </c>
      <c r="E1498" s="62">
        <v>45998.625</v>
      </c>
      <c r="F1498" s="62">
        <v>45999.486111111109</v>
      </c>
      <c r="G1498" s="63">
        <f t="shared" si="74"/>
        <v>0.86111111110949423</v>
      </c>
      <c r="H1498" s="61" t="s">
        <v>257</v>
      </c>
      <c r="I1498" s="61"/>
      <c r="J1498" s="61" t="s">
        <v>258</v>
      </c>
      <c r="K1498" s="1" t="str">
        <f>_xlfn.XLOOKUP(J1498,REF!$D$2:$D$12,REF!$E$2:$E$12)</f>
        <v>Rede</v>
      </c>
      <c r="L1498" s="61" t="s">
        <v>2263</v>
      </c>
      <c r="M1498" s="61" t="s">
        <v>260</v>
      </c>
      <c r="N1498" s="61" t="s">
        <v>261</v>
      </c>
      <c r="O1498" s="61" t="s">
        <v>2264</v>
      </c>
      <c r="P1498" s="1" t="str">
        <f t="shared" si="73"/>
        <v>BC BomSucessoABB_0945998,62545998,62545999,4861111111</v>
      </c>
      <c r="Q1498" s="1" t="str">
        <f t="shared" ref="Q1498:Q1500" si="75">_xlfn.CONCAT(H1498,I1498,J1498)</f>
        <v>DAURDE</v>
      </c>
    </row>
    <row r="1499" spans="1:17" s="30" customFormat="1" hidden="1">
      <c r="A1499" s="45"/>
      <c r="B1499" s="61" t="s">
        <v>2044</v>
      </c>
      <c r="C1499" s="61" t="s">
        <v>2055</v>
      </c>
      <c r="D1499" s="62">
        <v>45998.625</v>
      </c>
      <c r="E1499" s="62">
        <v>45998.625</v>
      </c>
      <c r="F1499" s="62">
        <v>45999.486111111109</v>
      </c>
      <c r="G1499" s="63">
        <f t="shared" si="74"/>
        <v>0.86111111110949423</v>
      </c>
      <c r="H1499" s="61" t="s">
        <v>257</v>
      </c>
      <c r="I1499" s="61"/>
      <c r="J1499" s="61" t="s">
        <v>258</v>
      </c>
      <c r="K1499" s="1" t="str">
        <f>_xlfn.XLOOKUP(J1499,REF!$D$2:$D$12,REF!$E$2:$E$12)</f>
        <v>Rede</v>
      </c>
      <c r="L1499" s="61" t="s">
        <v>2263</v>
      </c>
      <c r="M1499" s="61" t="s">
        <v>260</v>
      </c>
      <c r="N1499" s="61" t="s">
        <v>261</v>
      </c>
      <c r="O1499" s="61" t="s">
        <v>2264</v>
      </c>
      <c r="P1499" s="1" t="str">
        <f t="shared" si="73"/>
        <v>BC BomSucessoABB_1045998,62545998,62545999,4861111111</v>
      </c>
      <c r="Q1499" s="1" t="str">
        <f t="shared" si="75"/>
        <v>DAURDE</v>
      </c>
    </row>
    <row r="1500" spans="1:17" s="30" customFormat="1" hidden="1">
      <c r="A1500" s="45"/>
      <c r="B1500" s="61" t="s">
        <v>2044</v>
      </c>
      <c r="C1500" s="61" t="s">
        <v>2056</v>
      </c>
      <c r="D1500" s="62">
        <v>45998.625</v>
      </c>
      <c r="E1500" s="62">
        <v>45998.625</v>
      </c>
      <c r="F1500" s="62">
        <v>45999.486111111109</v>
      </c>
      <c r="G1500" s="63">
        <f t="shared" si="74"/>
        <v>0.86111111110949423</v>
      </c>
      <c r="H1500" s="61" t="s">
        <v>257</v>
      </c>
      <c r="I1500" s="61"/>
      <c r="J1500" s="61" t="s">
        <v>258</v>
      </c>
      <c r="K1500" s="1" t="str">
        <f>_xlfn.XLOOKUP(J1500,REF!$D$2:$D$12,REF!$E$2:$E$12)</f>
        <v>Rede</v>
      </c>
      <c r="L1500" s="61" t="s">
        <v>2263</v>
      </c>
      <c r="M1500" s="61" t="s">
        <v>260</v>
      </c>
      <c r="N1500" s="61" t="s">
        <v>261</v>
      </c>
      <c r="O1500" s="61" t="s">
        <v>2264</v>
      </c>
      <c r="P1500" s="1" t="str">
        <f t="shared" si="73"/>
        <v>BC BomSucessoABB_1145998,62545998,62545999,4861111111</v>
      </c>
      <c r="Q1500" s="1" t="str">
        <f t="shared" si="75"/>
        <v>DAURDE</v>
      </c>
    </row>
    <row r="1501" spans="1:17" hidden="1">
      <c r="B1501" s="1" t="s">
        <v>2210</v>
      </c>
      <c r="C1501" s="1" t="s">
        <v>530</v>
      </c>
      <c r="D1501" s="52">
        <v>46000.4375</v>
      </c>
      <c r="E1501" s="52">
        <v>46000.4375</v>
      </c>
      <c r="F1501" s="52">
        <v>46000.444444444445</v>
      </c>
      <c r="G1501" s="53">
        <f>F1501-E1501</f>
        <v>6.9444444452528842E-3</v>
      </c>
      <c r="H1501" s="1" t="s">
        <v>268</v>
      </c>
      <c r="I1501" s="1" t="s">
        <v>269</v>
      </c>
      <c r="J1501" s="1" t="s">
        <v>270</v>
      </c>
      <c r="K1501" s="1" t="str">
        <f>_xlfn.XLOOKUP(J1501,REF!$D$2:$D$12,REF!$E$2:$E$12)</f>
        <v>Internet</v>
      </c>
      <c r="L1501" s="1" t="s">
        <v>2265</v>
      </c>
      <c r="M1501" s="1" t="s">
        <v>272</v>
      </c>
      <c r="N1501" s="1" t="s">
        <v>273</v>
      </c>
      <c r="O1501" s="1" t="s">
        <v>2266</v>
      </c>
      <c r="P1501" s="1" t="str">
        <f>_xlfn.CONCAT(B1501,C1501,D1501,E1501,F1501)</f>
        <v>Barra do Garças IInverter__546000,437546000,437546000,4444444444</v>
      </c>
      <c r="Q1501" s="1" t="str">
        <f t="shared" ref="Q1498:Q1561" si="76">_xlfn.CONCAT(H1501,I1501,J1501)</f>
        <v>LIGRFOINT</v>
      </c>
    </row>
    <row r="1502" spans="1:17" hidden="1">
      <c r="B1502" s="1" t="s">
        <v>2210</v>
      </c>
      <c r="C1502" s="1" t="s">
        <v>876</v>
      </c>
      <c r="D1502" s="52">
        <v>46000.4375</v>
      </c>
      <c r="E1502" s="52">
        <v>46000.4375</v>
      </c>
      <c r="F1502" s="52">
        <v>46000.444444444445</v>
      </c>
      <c r="G1502" s="53">
        <f>F1502-E1502</f>
        <v>6.9444444452528842E-3</v>
      </c>
      <c r="H1502" s="1" t="s">
        <v>268</v>
      </c>
      <c r="I1502" s="1" t="s">
        <v>269</v>
      </c>
      <c r="J1502" s="1" t="s">
        <v>270</v>
      </c>
      <c r="K1502" s="1" t="str">
        <f>_xlfn.XLOOKUP(J1502,REF!$D$2:$D$12,REF!$E$2:$E$12)</f>
        <v>Internet</v>
      </c>
      <c r="L1502" s="1" t="s">
        <v>2265</v>
      </c>
      <c r="M1502" s="1" t="s">
        <v>272</v>
      </c>
      <c r="N1502" s="1" t="s">
        <v>273</v>
      </c>
      <c r="O1502" s="1" t="s">
        <v>2266</v>
      </c>
      <c r="P1502" s="1" t="str">
        <f>_xlfn.CONCAT(B1502,C1502,D1502,E1502,F1502)</f>
        <v>Barra do Garças IInverter__146000,437546000,437546000,4444444444</v>
      </c>
      <c r="Q1502" s="1" t="str">
        <f t="shared" si="76"/>
        <v>LIGRFOINT</v>
      </c>
    </row>
    <row r="1503" spans="1:17" hidden="1">
      <c r="B1503" s="1" t="s">
        <v>2211</v>
      </c>
      <c r="C1503" s="1" t="s">
        <v>877</v>
      </c>
      <c r="D1503" s="52">
        <v>46000.4375</v>
      </c>
      <c r="E1503" s="52">
        <v>46000.4375</v>
      </c>
      <c r="F1503" s="52">
        <v>46000.444444444445</v>
      </c>
      <c r="G1503" s="53">
        <f>F1503-E1503</f>
        <v>6.9444444452528842E-3</v>
      </c>
      <c r="H1503" s="1" t="s">
        <v>268</v>
      </c>
      <c r="I1503" s="1" t="s">
        <v>269</v>
      </c>
      <c r="J1503" s="1" t="s">
        <v>270</v>
      </c>
      <c r="K1503" s="1" t="str">
        <f>_xlfn.XLOOKUP(J1503,REF!$D$2:$D$12,REF!$E$2:$E$12)</f>
        <v>Internet</v>
      </c>
      <c r="L1503" s="1" t="s">
        <v>2265</v>
      </c>
      <c r="M1503" s="1" t="s">
        <v>272</v>
      </c>
      <c r="N1503" s="1" t="s">
        <v>273</v>
      </c>
      <c r="O1503" s="1" t="s">
        <v>2266</v>
      </c>
      <c r="P1503" s="1" t="str">
        <f>_xlfn.CONCAT(B1503,C1503,D1503,E1503,F1503)</f>
        <v>Barra do Garças IIInverter__446000,437546000,437546000,4444444444</v>
      </c>
      <c r="Q1503" s="1" t="str">
        <f t="shared" si="76"/>
        <v>LIGRFOINT</v>
      </c>
    </row>
    <row r="1504" spans="1:17" hidden="1">
      <c r="B1504" s="1" t="s">
        <v>2211</v>
      </c>
      <c r="C1504" s="1" t="s">
        <v>878</v>
      </c>
      <c r="D1504" s="52">
        <v>46000.4375</v>
      </c>
      <c r="E1504" s="52">
        <v>46000.4375</v>
      </c>
      <c r="F1504" s="52">
        <v>46000.444444444445</v>
      </c>
      <c r="G1504" s="53">
        <f>F1504-E1504</f>
        <v>6.9444444452528842E-3</v>
      </c>
      <c r="H1504" s="1" t="s">
        <v>268</v>
      </c>
      <c r="I1504" s="1" t="s">
        <v>269</v>
      </c>
      <c r="J1504" s="1" t="s">
        <v>270</v>
      </c>
      <c r="K1504" s="1" t="str">
        <f>_xlfn.XLOOKUP(J1504,REF!$D$2:$D$12,REF!$E$2:$E$12)</f>
        <v>Internet</v>
      </c>
      <c r="L1504" s="1" t="s">
        <v>2265</v>
      </c>
      <c r="M1504" s="1" t="s">
        <v>272</v>
      </c>
      <c r="N1504" s="1" t="s">
        <v>273</v>
      </c>
      <c r="O1504" s="1" t="s">
        <v>2266</v>
      </c>
      <c r="P1504" s="1" t="str">
        <f>_xlfn.CONCAT(B1504,C1504,D1504,E1504,F1504)</f>
        <v>Barra do Garças IIInverter__346000,437546000,437546000,4444444444</v>
      </c>
      <c r="Q1504" s="1" t="str">
        <f t="shared" si="76"/>
        <v>LIGRFOINT</v>
      </c>
    </row>
    <row r="1505" spans="1:17" hidden="1">
      <c r="B1505" s="1" t="s">
        <v>2211</v>
      </c>
      <c r="C1505" s="1" t="s">
        <v>879</v>
      </c>
      <c r="D1505" s="52">
        <v>46000.4375</v>
      </c>
      <c r="E1505" s="52">
        <v>46000.4375</v>
      </c>
      <c r="F1505" s="52">
        <v>46000.444444444445</v>
      </c>
      <c r="G1505" s="53">
        <f>F1505-E1505</f>
        <v>6.9444444452528842E-3</v>
      </c>
      <c r="H1505" s="1" t="s">
        <v>268</v>
      </c>
      <c r="I1505" s="1" t="s">
        <v>269</v>
      </c>
      <c r="J1505" s="1" t="s">
        <v>270</v>
      </c>
      <c r="K1505" s="1" t="str">
        <f>_xlfn.XLOOKUP(J1505,REF!$D$2:$D$12,REF!$E$2:$E$12)</f>
        <v>Internet</v>
      </c>
      <c r="L1505" s="1" t="s">
        <v>2265</v>
      </c>
      <c r="M1505" s="1" t="s">
        <v>272</v>
      </c>
      <c r="N1505" s="1" t="s">
        <v>273</v>
      </c>
      <c r="O1505" s="1" t="s">
        <v>2266</v>
      </c>
      <c r="P1505" s="1" t="str">
        <f>_xlfn.CONCAT(B1505,C1505,D1505,E1505,F1505)</f>
        <v>Barra do Garças IIInverter__246000,437546000,437546000,4444444444</v>
      </c>
      <c r="Q1505" s="1" t="str">
        <f t="shared" si="76"/>
        <v>LIGRFOINT</v>
      </c>
    </row>
    <row r="1506" spans="1:17" hidden="1">
      <c r="B1506" s="1" t="s">
        <v>2211</v>
      </c>
      <c r="C1506" s="1" t="s">
        <v>880</v>
      </c>
      <c r="D1506" s="52">
        <v>46000.4375</v>
      </c>
      <c r="E1506" s="52">
        <v>46000.4375</v>
      </c>
      <c r="F1506" s="52">
        <v>46000.444444444445</v>
      </c>
      <c r="G1506" s="53">
        <f>F1506-E1506</f>
        <v>6.9444444452528842E-3</v>
      </c>
      <c r="H1506" s="1" t="s">
        <v>268</v>
      </c>
      <c r="I1506" s="1" t="s">
        <v>269</v>
      </c>
      <c r="J1506" s="1" t="s">
        <v>270</v>
      </c>
      <c r="K1506" s="1" t="str">
        <f>_xlfn.XLOOKUP(J1506,REF!$D$2:$D$12,REF!$E$2:$E$12)</f>
        <v>Internet</v>
      </c>
      <c r="L1506" s="1" t="s">
        <v>2265</v>
      </c>
      <c r="M1506" s="1" t="s">
        <v>272</v>
      </c>
      <c r="N1506" s="1" t="s">
        <v>273</v>
      </c>
      <c r="O1506" s="1" t="s">
        <v>2266</v>
      </c>
      <c r="P1506" s="1" t="str">
        <f>_xlfn.CONCAT(B1506,C1506,D1506,E1506,F1506)</f>
        <v>Barra do Garças IIInverter__746000,437546000,437546000,4444444444</v>
      </c>
      <c r="Q1506" s="1" t="str">
        <f t="shared" si="76"/>
        <v>LIGRFOINT</v>
      </c>
    </row>
    <row r="1507" spans="1:17" hidden="1">
      <c r="B1507" s="1" t="s">
        <v>2212</v>
      </c>
      <c r="C1507" s="1" t="s">
        <v>881</v>
      </c>
      <c r="D1507" s="52">
        <v>46000.4375</v>
      </c>
      <c r="E1507" s="52">
        <v>46000.4375</v>
      </c>
      <c r="F1507" s="52">
        <v>46000.444444444445</v>
      </c>
      <c r="G1507" s="53">
        <f>F1507-E1507</f>
        <v>6.9444444452528842E-3</v>
      </c>
      <c r="H1507" s="1" t="s">
        <v>268</v>
      </c>
      <c r="I1507" s="1" t="s">
        <v>269</v>
      </c>
      <c r="J1507" s="1" t="s">
        <v>270</v>
      </c>
      <c r="K1507" s="1" t="str">
        <f>_xlfn.XLOOKUP(J1507,REF!$D$2:$D$12,REF!$E$2:$E$12)</f>
        <v>Internet</v>
      </c>
      <c r="L1507" s="1" t="s">
        <v>2265</v>
      </c>
      <c r="M1507" s="1" t="s">
        <v>272</v>
      </c>
      <c r="N1507" s="1" t="s">
        <v>273</v>
      </c>
      <c r="O1507" s="1" t="s">
        <v>2266</v>
      </c>
      <c r="P1507" s="1" t="str">
        <f>_xlfn.CONCAT(B1507,C1507,D1507,E1507,F1507)</f>
        <v>Barra do Garças IIIInverter__946000,437546000,437546000,4444444444</v>
      </c>
      <c r="Q1507" s="1" t="str">
        <f t="shared" si="76"/>
        <v>LIGRFOINT</v>
      </c>
    </row>
    <row r="1508" spans="1:17" hidden="1">
      <c r="B1508" s="1" t="s">
        <v>2212</v>
      </c>
      <c r="C1508" s="1" t="s">
        <v>882</v>
      </c>
      <c r="D1508" s="52">
        <v>46000.4375</v>
      </c>
      <c r="E1508" s="52">
        <v>46000.4375</v>
      </c>
      <c r="F1508" s="52">
        <v>46000.444444444445</v>
      </c>
      <c r="G1508" s="53">
        <f>F1508-E1508</f>
        <v>6.9444444452528842E-3</v>
      </c>
      <c r="H1508" s="1" t="s">
        <v>268</v>
      </c>
      <c r="I1508" s="1" t="s">
        <v>269</v>
      </c>
      <c r="J1508" s="1" t="s">
        <v>270</v>
      </c>
      <c r="K1508" s="1" t="str">
        <f>_xlfn.XLOOKUP(J1508,REF!$D$2:$D$12,REF!$E$2:$E$12)</f>
        <v>Internet</v>
      </c>
      <c r="L1508" s="1" t="s">
        <v>2265</v>
      </c>
      <c r="M1508" s="1" t="s">
        <v>272</v>
      </c>
      <c r="N1508" s="1" t="s">
        <v>273</v>
      </c>
      <c r="O1508" s="1" t="s">
        <v>2266</v>
      </c>
      <c r="P1508" s="1" t="str">
        <f>_xlfn.CONCAT(B1508,C1508,D1508,E1508,F1508)</f>
        <v>Barra do Garças IIIInverter__846000,437546000,437546000,4444444444</v>
      </c>
      <c r="Q1508" s="1" t="str">
        <f t="shared" si="76"/>
        <v>LIGRFOINT</v>
      </c>
    </row>
    <row r="1509" spans="1:17" hidden="1">
      <c r="B1509" s="1" t="s">
        <v>2212</v>
      </c>
      <c r="C1509" s="1" t="s">
        <v>883</v>
      </c>
      <c r="D1509" s="52">
        <v>46000.4375</v>
      </c>
      <c r="E1509" s="52">
        <v>46000.4375</v>
      </c>
      <c r="F1509" s="52">
        <v>46000.444444444445</v>
      </c>
      <c r="G1509" s="53">
        <f>F1509-E1509</f>
        <v>6.9444444452528842E-3</v>
      </c>
      <c r="H1509" s="1" t="s">
        <v>268</v>
      </c>
      <c r="I1509" s="1" t="s">
        <v>269</v>
      </c>
      <c r="J1509" s="1" t="s">
        <v>270</v>
      </c>
      <c r="K1509" s="1" t="str">
        <f>_xlfn.XLOOKUP(J1509,REF!$D$2:$D$12,REF!$E$2:$E$12)</f>
        <v>Internet</v>
      </c>
      <c r="L1509" s="1" t="s">
        <v>2265</v>
      </c>
      <c r="M1509" s="1" t="s">
        <v>272</v>
      </c>
      <c r="N1509" s="1" t="s">
        <v>273</v>
      </c>
      <c r="O1509" s="1" t="s">
        <v>2266</v>
      </c>
      <c r="P1509" s="1" t="str">
        <f>_xlfn.CONCAT(B1509,C1509,D1509,E1509,F1509)</f>
        <v>Barra do Garças IIIInverter__1046000,437546000,437546000,4444444444</v>
      </c>
      <c r="Q1509" s="1" t="str">
        <f t="shared" si="76"/>
        <v>LIGRFOINT</v>
      </c>
    </row>
    <row r="1510" spans="1:17" hidden="1">
      <c r="B1510" s="1" t="s">
        <v>2212</v>
      </c>
      <c r="C1510" s="1" t="s">
        <v>884</v>
      </c>
      <c r="D1510" s="52">
        <v>46000.4375</v>
      </c>
      <c r="E1510" s="52">
        <v>46000.4375</v>
      </c>
      <c r="F1510" s="52">
        <v>46000.444444444445</v>
      </c>
      <c r="G1510" s="53">
        <f>F1510-E1510</f>
        <v>6.9444444452528842E-3</v>
      </c>
      <c r="H1510" s="1" t="s">
        <v>268</v>
      </c>
      <c r="I1510" s="1" t="s">
        <v>269</v>
      </c>
      <c r="J1510" s="1" t="s">
        <v>270</v>
      </c>
      <c r="K1510" s="1" t="str">
        <f>_xlfn.XLOOKUP(J1510,REF!$D$2:$D$12,REF!$E$2:$E$12)</f>
        <v>Internet</v>
      </c>
      <c r="L1510" s="1" t="s">
        <v>2265</v>
      </c>
      <c r="M1510" s="1" t="s">
        <v>272</v>
      </c>
      <c r="N1510" s="1" t="s">
        <v>273</v>
      </c>
      <c r="O1510" s="1" t="s">
        <v>2266</v>
      </c>
      <c r="P1510" s="1" t="str">
        <f>_xlfn.CONCAT(B1510,C1510,D1510,E1510,F1510)</f>
        <v>Barra do Garças IIIInverter__646000,437546000,437546000,4444444444</v>
      </c>
      <c r="Q1510" s="1" t="str">
        <f t="shared" si="76"/>
        <v>LIGRFOINT</v>
      </c>
    </row>
    <row r="1511" spans="1:17" hidden="1">
      <c r="B1511" s="66" t="s">
        <v>2186</v>
      </c>
      <c r="C1511" s="1" t="s">
        <v>264</v>
      </c>
      <c r="D1511" s="52">
        <v>46001.583333333336</v>
      </c>
      <c r="E1511" s="52">
        <v>46001.583333333336</v>
      </c>
      <c r="F1511" s="52">
        <v>46001.75</v>
      </c>
      <c r="G1511" s="53">
        <f>F1511-E1511</f>
        <v>0.16666666666424135</v>
      </c>
      <c r="H1511" s="1" t="s">
        <v>268</v>
      </c>
      <c r="I1511" s="1" t="s">
        <v>269</v>
      </c>
      <c r="J1511" s="1" t="s">
        <v>230</v>
      </c>
      <c r="K1511" s="1" t="str">
        <f>_xlfn.XLOOKUP(J1511,REF!$D$2:$D$12,REF!$E$2:$E$12)</f>
        <v>UFV</v>
      </c>
      <c r="L1511" s="1" t="s">
        <v>2267</v>
      </c>
      <c r="M1511" s="1" t="s">
        <v>499</v>
      </c>
      <c r="N1511" s="1" t="s">
        <v>290</v>
      </c>
      <c r="O1511" s="1" t="s">
        <v>2268</v>
      </c>
      <c r="P1511" s="1" t="str">
        <f>_xlfn.CONCAT(B1511,C1511,D1511,E1511,F1511)</f>
        <v>UFV LENÇOIS PAULISTAInverter(MBUS-13)46001,583333333346001,583333333346001,75</v>
      </c>
      <c r="Q1511" s="1" t="str">
        <f t="shared" si="76"/>
        <v>LIGRFOUFV</v>
      </c>
    </row>
    <row r="1512" spans="1:17" hidden="1">
      <c r="B1512" s="66" t="s">
        <v>2186</v>
      </c>
      <c r="C1512" s="1" t="s">
        <v>263</v>
      </c>
      <c r="D1512" s="52">
        <v>46001.583333333336</v>
      </c>
      <c r="E1512" s="52">
        <v>46001.583333333336</v>
      </c>
      <c r="F1512" s="52">
        <v>46001.75</v>
      </c>
      <c r="G1512" s="53">
        <f>F1512-E1512</f>
        <v>0.16666666666424135</v>
      </c>
      <c r="H1512" s="1" t="s">
        <v>268</v>
      </c>
      <c r="I1512" s="1" t="s">
        <v>269</v>
      </c>
      <c r="J1512" s="1" t="s">
        <v>230</v>
      </c>
      <c r="K1512" s="1" t="str">
        <f>_xlfn.XLOOKUP(J1512,REF!$D$2:$D$12,REF!$E$2:$E$12)</f>
        <v>UFV</v>
      </c>
      <c r="L1512" s="1" t="s">
        <v>2267</v>
      </c>
      <c r="M1512" s="1" t="s">
        <v>499</v>
      </c>
      <c r="N1512" s="1" t="s">
        <v>290</v>
      </c>
      <c r="O1512" s="1" t="s">
        <v>2268</v>
      </c>
      <c r="P1512" s="1" t="str">
        <f>_xlfn.CONCAT(B1512,C1512,D1512,E1512,F1512)</f>
        <v>UFV LENÇOIS PAULISTAInverter(MBUS-14)46001,583333333346001,583333333346001,75</v>
      </c>
      <c r="Q1512" s="1" t="str">
        <f t="shared" si="76"/>
        <v>LIGRFOUFV</v>
      </c>
    </row>
    <row r="1513" spans="1:17" hidden="1">
      <c r="B1513" s="66" t="s">
        <v>2186</v>
      </c>
      <c r="C1513" s="1" t="s">
        <v>256</v>
      </c>
      <c r="D1513" s="52">
        <v>46001.583333333336</v>
      </c>
      <c r="E1513" s="52">
        <v>46001.583333333336</v>
      </c>
      <c r="F1513" s="52">
        <v>46001.75</v>
      </c>
      <c r="G1513" s="53">
        <f>F1513-E1513</f>
        <v>0.16666666666424135</v>
      </c>
      <c r="H1513" s="1" t="s">
        <v>268</v>
      </c>
      <c r="I1513" s="1" t="s">
        <v>269</v>
      </c>
      <c r="J1513" s="1" t="s">
        <v>230</v>
      </c>
      <c r="K1513" s="1" t="str">
        <f>_xlfn.XLOOKUP(J1513,REF!$D$2:$D$12,REF!$E$2:$E$12)</f>
        <v>UFV</v>
      </c>
      <c r="L1513" s="1" t="s">
        <v>2267</v>
      </c>
      <c r="M1513" s="1" t="s">
        <v>499</v>
      </c>
      <c r="N1513" s="1" t="s">
        <v>290</v>
      </c>
      <c r="O1513" s="1" t="s">
        <v>2268</v>
      </c>
      <c r="P1513" s="1" t="str">
        <f>_xlfn.CONCAT(B1513,C1513,D1513,E1513,F1513)</f>
        <v>UFV LENÇOIS PAULISTAInverter(MBUS-12)46001,583333333346001,583333333346001,75</v>
      </c>
      <c r="Q1513" s="1" t="str">
        <f t="shared" si="76"/>
        <v>LIGRFOUFV</v>
      </c>
    </row>
    <row r="1514" spans="1:17" hidden="1">
      <c r="B1514" s="66" t="s">
        <v>2186</v>
      </c>
      <c r="C1514" s="1" t="s">
        <v>307</v>
      </c>
      <c r="D1514" s="52">
        <v>46001.583333333336</v>
      </c>
      <c r="E1514" s="52">
        <v>46001.583333333336</v>
      </c>
      <c r="F1514" s="52">
        <v>46001.75</v>
      </c>
      <c r="G1514" s="53">
        <f>F1514-E1514</f>
        <v>0.16666666666424135</v>
      </c>
      <c r="H1514" s="1" t="s">
        <v>268</v>
      </c>
      <c r="I1514" s="1" t="s">
        <v>269</v>
      </c>
      <c r="J1514" s="1" t="s">
        <v>230</v>
      </c>
      <c r="K1514" s="1" t="str">
        <f>_xlfn.XLOOKUP(J1514,REF!$D$2:$D$12,REF!$E$2:$E$12)</f>
        <v>UFV</v>
      </c>
      <c r="L1514" s="1" t="s">
        <v>2267</v>
      </c>
      <c r="M1514" s="1" t="s">
        <v>499</v>
      </c>
      <c r="N1514" s="1" t="s">
        <v>290</v>
      </c>
      <c r="O1514" s="1" t="s">
        <v>2268</v>
      </c>
      <c r="P1514" s="1" t="str">
        <f>_xlfn.CONCAT(B1514,C1514,D1514,E1514,F1514)</f>
        <v>UFV LENÇOIS PAULISTAInverter(MBUS-15)46001,583333333346001,583333333346001,75</v>
      </c>
      <c r="Q1514" s="1" t="str">
        <f t="shared" si="76"/>
        <v>LIGRFOUFV</v>
      </c>
    </row>
    <row r="1515" spans="1:17" s="30" customFormat="1" hidden="1">
      <c r="A1515" s="49"/>
      <c r="B1515" s="57" t="s">
        <v>2123</v>
      </c>
      <c r="C1515" s="57" t="s">
        <v>2124</v>
      </c>
      <c r="D1515" s="55">
        <v>46001.506944444445</v>
      </c>
      <c r="E1515" s="55">
        <v>46001.506944444445</v>
      </c>
      <c r="F1515" s="55">
        <v>46001.732638888891</v>
      </c>
      <c r="G1515" s="56">
        <f>F1515-E1515</f>
        <v>0.22569444444525288</v>
      </c>
      <c r="H1515" s="57" t="s">
        <v>257</v>
      </c>
      <c r="I1515" s="57"/>
      <c r="J1515" s="57" t="s">
        <v>258</v>
      </c>
      <c r="K1515" s="57" t="str">
        <f>_xlfn.XLOOKUP(J1515,REF!$D$2:$D$12,REF!$E$2:$E$12)</f>
        <v>Rede</v>
      </c>
      <c r="L1515" s="57" t="s">
        <v>2269</v>
      </c>
      <c r="M1515" s="57" t="s">
        <v>260</v>
      </c>
      <c r="N1515" s="57" t="s">
        <v>261</v>
      </c>
      <c r="O1515" s="57" t="s">
        <v>2270</v>
      </c>
      <c r="P1515" s="57" t="str">
        <f t="shared" ref="P1515:P1531" si="77">_xlfn.CONCAT(B1515,C1515,D1515,E1515,F1515)</f>
        <v>Rio Monte ISG75CX(COM2-001)_001_01846001,506944444446001,506944444446001,7326388889</v>
      </c>
      <c r="Q1515" s="57" t="str">
        <f t="shared" si="76"/>
        <v>DAURDE</v>
      </c>
    </row>
    <row r="1516" spans="1:17" s="30" customFormat="1" hidden="1">
      <c r="A1516" s="49"/>
      <c r="B1516" s="57" t="s">
        <v>2125</v>
      </c>
      <c r="C1516" s="57" t="s">
        <v>2126</v>
      </c>
      <c r="D1516" s="55">
        <v>46001.506944444445</v>
      </c>
      <c r="E1516" s="55">
        <v>46001.506944444445</v>
      </c>
      <c r="F1516" s="55">
        <v>46001.732638888891</v>
      </c>
      <c r="G1516" s="56">
        <f>F1516-E1516</f>
        <v>0.22569444444525288</v>
      </c>
      <c r="H1516" s="57" t="s">
        <v>257</v>
      </c>
      <c r="I1516" s="57"/>
      <c r="J1516" s="57" t="s">
        <v>258</v>
      </c>
      <c r="K1516" s="57" t="str">
        <f>_xlfn.XLOOKUP(J1516,REF!$D$2:$D$12,REF!$E$2:$E$12)</f>
        <v>Rede</v>
      </c>
      <c r="L1516" s="57" t="s">
        <v>2269</v>
      </c>
      <c r="M1516" s="57" t="s">
        <v>260</v>
      </c>
      <c r="N1516" s="57" t="s">
        <v>261</v>
      </c>
      <c r="O1516" s="57" t="s">
        <v>2270</v>
      </c>
      <c r="P1516" s="57" t="str">
        <f t="shared" si="77"/>
        <v>Rio Monte IISG40CX(COM2-007)_001_01746001,506944444446001,506944444446001,7326388889</v>
      </c>
      <c r="Q1516" s="57" t="str">
        <f t="shared" si="76"/>
        <v>DAURDE</v>
      </c>
    </row>
    <row r="1517" spans="1:17" s="30" customFormat="1" hidden="1">
      <c r="A1517" s="49"/>
      <c r="B1517" s="57" t="s">
        <v>2125</v>
      </c>
      <c r="C1517" s="57" t="s">
        <v>2127</v>
      </c>
      <c r="D1517" s="55">
        <v>46001.506944444445</v>
      </c>
      <c r="E1517" s="55">
        <v>46001.506944444445</v>
      </c>
      <c r="F1517" s="55">
        <v>46001.732638888891</v>
      </c>
      <c r="G1517" s="56">
        <f>F1517-E1517</f>
        <v>0.22569444444525288</v>
      </c>
      <c r="H1517" s="57" t="s">
        <v>257</v>
      </c>
      <c r="I1517" s="57"/>
      <c r="J1517" s="57" t="s">
        <v>258</v>
      </c>
      <c r="K1517" s="57" t="str">
        <f>_xlfn.XLOOKUP(J1517,REF!$D$2:$D$12,REF!$E$2:$E$12)</f>
        <v>Rede</v>
      </c>
      <c r="L1517" s="57" t="s">
        <v>2269</v>
      </c>
      <c r="M1517" s="57" t="s">
        <v>260</v>
      </c>
      <c r="N1517" s="57" t="s">
        <v>261</v>
      </c>
      <c r="O1517" s="57" t="s">
        <v>2270</v>
      </c>
      <c r="P1517" s="57" t="str">
        <f t="shared" si="77"/>
        <v>Rio Monte IISG60KTL(COM1-002)_001_00546001,506944444446001,506944444446001,7326388889</v>
      </c>
      <c r="Q1517" s="57" t="str">
        <f t="shared" si="76"/>
        <v>DAURDE</v>
      </c>
    </row>
    <row r="1518" spans="1:17" s="30" customFormat="1" hidden="1">
      <c r="A1518" s="49"/>
      <c r="B1518" s="57" t="s">
        <v>2125</v>
      </c>
      <c r="C1518" s="57" t="s">
        <v>2128</v>
      </c>
      <c r="D1518" s="55">
        <v>46001.506944444445</v>
      </c>
      <c r="E1518" s="55">
        <v>46001.506944444445</v>
      </c>
      <c r="F1518" s="55">
        <v>46001.732638888891</v>
      </c>
      <c r="G1518" s="56">
        <f>F1518-E1518</f>
        <v>0.22569444444525288</v>
      </c>
      <c r="H1518" s="57" t="s">
        <v>257</v>
      </c>
      <c r="I1518" s="57"/>
      <c r="J1518" s="57" t="s">
        <v>258</v>
      </c>
      <c r="K1518" s="57" t="str">
        <f>_xlfn.XLOOKUP(J1518,REF!$D$2:$D$12,REF!$E$2:$E$12)</f>
        <v>Rede</v>
      </c>
      <c r="L1518" s="57" t="s">
        <v>2269</v>
      </c>
      <c r="M1518" s="57" t="s">
        <v>260</v>
      </c>
      <c r="N1518" s="57" t="s">
        <v>261</v>
      </c>
      <c r="O1518" s="57" t="s">
        <v>2270</v>
      </c>
      <c r="P1518" s="57" t="str">
        <f t="shared" si="77"/>
        <v>Rio Monte IISG60KTL(COM1-003)_001__01146001,506944444446001,506944444446001,7326388889</v>
      </c>
      <c r="Q1518" s="57" t="str">
        <f t="shared" si="76"/>
        <v>DAURDE</v>
      </c>
    </row>
    <row r="1519" spans="1:17" s="30" customFormat="1" hidden="1">
      <c r="A1519" s="49"/>
      <c r="B1519" s="57" t="s">
        <v>2125</v>
      </c>
      <c r="C1519" s="57" t="s">
        <v>2129</v>
      </c>
      <c r="D1519" s="55">
        <v>46001.506944444445</v>
      </c>
      <c r="E1519" s="55">
        <v>46001.506944444445</v>
      </c>
      <c r="F1519" s="55">
        <v>46001.732638888891</v>
      </c>
      <c r="G1519" s="56">
        <f>F1519-E1519</f>
        <v>0.22569444444525288</v>
      </c>
      <c r="H1519" s="57" t="s">
        <v>257</v>
      </c>
      <c r="I1519" s="57"/>
      <c r="J1519" s="57" t="s">
        <v>258</v>
      </c>
      <c r="K1519" s="57" t="str">
        <f>_xlfn.XLOOKUP(J1519,REF!$D$2:$D$12,REF!$E$2:$E$12)</f>
        <v>Rede</v>
      </c>
      <c r="L1519" s="57" t="s">
        <v>2269</v>
      </c>
      <c r="M1519" s="57" t="s">
        <v>260</v>
      </c>
      <c r="N1519" s="57" t="s">
        <v>261</v>
      </c>
      <c r="O1519" s="57" t="s">
        <v>2270</v>
      </c>
      <c r="P1519" s="57" t="str">
        <f t="shared" si="77"/>
        <v>Rio Monte IISG60KTL(COM1-004)_001_00746001,506944444446001,506944444446001,7326388889</v>
      </c>
      <c r="Q1519" s="57" t="str">
        <f t="shared" si="76"/>
        <v>DAURDE</v>
      </c>
    </row>
    <row r="1520" spans="1:17" s="30" customFormat="1" hidden="1">
      <c r="A1520" s="49"/>
      <c r="B1520" s="57" t="s">
        <v>2125</v>
      </c>
      <c r="C1520" s="57" t="s">
        <v>2130</v>
      </c>
      <c r="D1520" s="55">
        <v>46001.506944444445</v>
      </c>
      <c r="E1520" s="55">
        <v>46001.506944444445</v>
      </c>
      <c r="F1520" s="55">
        <v>46001.732638888891</v>
      </c>
      <c r="G1520" s="56">
        <f>F1520-E1520</f>
        <v>0.22569444444525288</v>
      </c>
      <c r="H1520" s="57" t="s">
        <v>257</v>
      </c>
      <c r="I1520" s="57"/>
      <c r="J1520" s="57" t="s">
        <v>258</v>
      </c>
      <c r="K1520" s="57" t="str">
        <f>_xlfn.XLOOKUP(J1520,REF!$D$2:$D$12,REF!$E$2:$E$12)</f>
        <v>Rede</v>
      </c>
      <c r="L1520" s="57" t="s">
        <v>2269</v>
      </c>
      <c r="M1520" s="57" t="s">
        <v>260</v>
      </c>
      <c r="N1520" s="57" t="s">
        <v>261</v>
      </c>
      <c r="O1520" s="57" t="s">
        <v>2270</v>
      </c>
      <c r="P1520" s="57" t="str">
        <f t="shared" si="77"/>
        <v>Rio Monte IISG60KTL(COM1-005)_001_00946001,506944444446001,506944444446001,7326388889</v>
      </c>
      <c r="Q1520" s="57" t="str">
        <f t="shared" si="76"/>
        <v>DAURDE</v>
      </c>
    </row>
    <row r="1521" spans="1:17" s="30" customFormat="1" hidden="1">
      <c r="A1521" s="49"/>
      <c r="B1521" s="57" t="s">
        <v>2125</v>
      </c>
      <c r="C1521" s="57" t="s">
        <v>2131</v>
      </c>
      <c r="D1521" s="55">
        <v>46001.506944444445</v>
      </c>
      <c r="E1521" s="55">
        <v>46001.506944444445</v>
      </c>
      <c r="F1521" s="55">
        <v>46001.732638888891</v>
      </c>
      <c r="G1521" s="56">
        <f>F1521-E1521</f>
        <v>0.22569444444525288</v>
      </c>
      <c r="H1521" s="57" t="s">
        <v>257</v>
      </c>
      <c r="I1521" s="57"/>
      <c r="J1521" s="57" t="s">
        <v>258</v>
      </c>
      <c r="K1521" s="57" t="str">
        <f>_xlfn.XLOOKUP(J1521,REF!$D$2:$D$12,REF!$E$2:$E$12)</f>
        <v>Rede</v>
      </c>
      <c r="L1521" s="57" t="s">
        <v>2269</v>
      </c>
      <c r="M1521" s="57" t="s">
        <v>260</v>
      </c>
      <c r="N1521" s="57" t="s">
        <v>261</v>
      </c>
      <c r="O1521" s="57" t="s">
        <v>2270</v>
      </c>
      <c r="P1521" s="57" t="str">
        <f t="shared" si="77"/>
        <v>Rio Monte IISG60KTL(COM1-006)_001_00646001,506944444446001,506944444446001,7326388889</v>
      </c>
      <c r="Q1521" s="57" t="str">
        <f t="shared" si="76"/>
        <v>DAURDE</v>
      </c>
    </row>
    <row r="1522" spans="1:17" s="30" customFormat="1" hidden="1">
      <c r="A1522" s="49"/>
      <c r="B1522" s="57" t="s">
        <v>2134</v>
      </c>
      <c r="C1522" s="57" t="s">
        <v>2135</v>
      </c>
      <c r="D1522" s="55">
        <v>46001.506944444445</v>
      </c>
      <c r="E1522" s="55">
        <v>46001.506944444445</v>
      </c>
      <c r="F1522" s="55">
        <v>46001.597222222219</v>
      </c>
      <c r="G1522" s="56">
        <f>F1522-E1522</f>
        <v>9.0277777773735579E-2</v>
      </c>
      <c r="H1522" s="57" t="s">
        <v>257</v>
      </c>
      <c r="I1522" s="57"/>
      <c r="J1522" s="57" t="s">
        <v>258</v>
      </c>
      <c r="K1522" s="57" t="str">
        <f>_xlfn.XLOOKUP(J1522,REF!$D$2:$D$12,REF!$E$2:$E$12)</f>
        <v>Rede</v>
      </c>
      <c r="L1522" s="57" t="s">
        <v>2269</v>
      </c>
      <c r="M1522" s="57" t="s">
        <v>260</v>
      </c>
      <c r="N1522" s="57" t="s">
        <v>261</v>
      </c>
      <c r="O1522" s="57" t="s">
        <v>2270</v>
      </c>
      <c r="P1522" s="57" t="str">
        <f t="shared" si="77"/>
        <v>Rio Monte IIISG60KTL(COM1-008)_001_01646001,506944444446001,506944444446001,5972222222</v>
      </c>
      <c r="Q1522" s="57" t="str">
        <f t="shared" si="76"/>
        <v>DAURDE</v>
      </c>
    </row>
    <row r="1523" spans="1:17" s="30" customFormat="1" hidden="1">
      <c r="A1523" s="49"/>
      <c r="B1523" s="57" t="s">
        <v>2134</v>
      </c>
      <c r="C1523" s="57" t="s">
        <v>2136</v>
      </c>
      <c r="D1523" s="55">
        <v>46001.506944444445</v>
      </c>
      <c r="E1523" s="55">
        <v>46001.506944444445</v>
      </c>
      <c r="F1523" s="55">
        <v>46001.597222222219</v>
      </c>
      <c r="G1523" s="56">
        <f>F1523-E1523</f>
        <v>9.0277777773735579E-2</v>
      </c>
      <c r="H1523" s="57" t="s">
        <v>257</v>
      </c>
      <c r="I1523" s="57"/>
      <c r="J1523" s="57" t="s">
        <v>258</v>
      </c>
      <c r="K1523" s="57" t="str">
        <f>_xlfn.XLOOKUP(J1523,REF!$D$2:$D$12,REF!$E$2:$E$12)</f>
        <v>Rede</v>
      </c>
      <c r="L1523" s="57" t="s">
        <v>2269</v>
      </c>
      <c r="M1523" s="57" t="s">
        <v>260</v>
      </c>
      <c r="N1523" s="57" t="s">
        <v>261</v>
      </c>
      <c r="O1523" s="57" t="s">
        <v>2270</v>
      </c>
      <c r="P1523" s="57" t="str">
        <f t="shared" si="77"/>
        <v>Rio Monte IIISG60KTL(COM1-009)_001_01046001,506944444446001,506944444446001,5972222222</v>
      </c>
      <c r="Q1523" s="57" t="str">
        <f t="shared" si="76"/>
        <v>DAURDE</v>
      </c>
    </row>
    <row r="1524" spans="1:17" s="30" customFormat="1" hidden="1">
      <c r="A1524" s="49"/>
      <c r="B1524" s="57" t="s">
        <v>2134</v>
      </c>
      <c r="C1524" s="57" t="s">
        <v>2137</v>
      </c>
      <c r="D1524" s="55">
        <v>46001.506944444445</v>
      </c>
      <c r="E1524" s="55">
        <v>46001.506944444445</v>
      </c>
      <c r="F1524" s="55">
        <v>46001.597222222219</v>
      </c>
      <c r="G1524" s="56">
        <f>F1524-E1524</f>
        <v>9.0277777773735579E-2</v>
      </c>
      <c r="H1524" s="57" t="s">
        <v>257</v>
      </c>
      <c r="I1524" s="57"/>
      <c r="J1524" s="57" t="s">
        <v>258</v>
      </c>
      <c r="K1524" s="57" t="str">
        <f>_xlfn.XLOOKUP(J1524,REF!$D$2:$D$12,REF!$E$2:$E$12)</f>
        <v>Rede</v>
      </c>
      <c r="L1524" s="57" t="s">
        <v>2269</v>
      </c>
      <c r="M1524" s="57" t="s">
        <v>260</v>
      </c>
      <c r="N1524" s="57" t="s">
        <v>261</v>
      </c>
      <c r="O1524" s="57" t="s">
        <v>2270</v>
      </c>
      <c r="P1524" s="57" t="str">
        <f t="shared" si="77"/>
        <v>Rio Monte IIISG60KTL(COM1-010)_001_01246001,506944444446001,506944444446001,5972222222</v>
      </c>
      <c r="Q1524" s="57" t="str">
        <f t="shared" si="76"/>
        <v>DAURDE</v>
      </c>
    </row>
    <row r="1525" spans="1:17" s="30" customFormat="1" hidden="1">
      <c r="A1525" s="49"/>
      <c r="B1525" s="57" t="s">
        <v>2134</v>
      </c>
      <c r="C1525" s="57" t="s">
        <v>2138</v>
      </c>
      <c r="D1525" s="55">
        <v>46001.506944444445</v>
      </c>
      <c r="E1525" s="55">
        <v>46001.506944444445</v>
      </c>
      <c r="F1525" s="55">
        <v>46001.597222222219</v>
      </c>
      <c r="G1525" s="56">
        <f>F1525-E1525</f>
        <v>9.0277777773735579E-2</v>
      </c>
      <c r="H1525" s="57" t="s">
        <v>257</v>
      </c>
      <c r="I1525" s="57"/>
      <c r="J1525" s="57" t="s">
        <v>258</v>
      </c>
      <c r="K1525" s="57" t="str">
        <f>_xlfn.XLOOKUP(J1525,REF!$D$2:$D$12,REF!$E$2:$E$12)</f>
        <v>Rede</v>
      </c>
      <c r="L1525" s="57" t="s">
        <v>2269</v>
      </c>
      <c r="M1525" s="57" t="s">
        <v>260</v>
      </c>
      <c r="N1525" s="57" t="s">
        <v>261</v>
      </c>
      <c r="O1525" s="57" t="s">
        <v>2270</v>
      </c>
      <c r="P1525" s="57" t="str">
        <f t="shared" si="77"/>
        <v>Rio Monte IIISG60KTL(COM1-011)_001_00246001,506944444446001,506944444446001,5972222222</v>
      </c>
      <c r="Q1525" s="57" t="str">
        <f t="shared" si="76"/>
        <v>DAURDE</v>
      </c>
    </row>
    <row r="1526" spans="1:17" s="30" customFormat="1" hidden="1">
      <c r="A1526" s="49"/>
      <c r="B1526" s="57" t="s">
        <v>2134</v>
      </c>
      <c r="C1526" s="57" t="s">
        <v>2139</v>
      </c>
      <c r="D1526" s="55">
        <v>46001.506944444445</v>
      </c>
      <c r="E1526" s="55">
        <v>46001.506944444445</v>
      </c>
      <c r="F1526" s="55">
        <v>46001.597222222219</v>
      </c>
      <c r="G1526" s="56">
        <f>F1526-E1526</f>
        <v>9.0277777773735579E-2</v>
      </c>
      <c r="H1526" s="57" t="s">
        <v>257</v>
      </c>
      <c r="I1526" s="57"/>
      <c r="J1526" s="57" t="s">
        <v>258</v>
      </c>
      <c r="K1526" s="57" t="str">
        <f>_xlfn.XLOOKUP(J1526,REF!$D$2:$D$12,REF!$E$2:$E$12)</f>
        <v>Rede</v>
      </c>
      <c r="L1526" s="57" t="s">
        <v>2269</v>
      </c>
      <c r="M1526" s="57" t="s">
        <v>260</v>
      </c>
      <c r="N1526" s="57" t="s">
        <v>261</v>
      </c>
      <c r="O1526" s="57" t="s">
        <v>2270</v>
      </c>
      <c r="P1526" s="57" t="str">
        <f t="shared" si="77"/>
        <v>Rio Monte IIISG60KTL(COM1-012)_001_01546001,506944444446001,506944444446001,5972222222</v>
      </c>
      <c r="Q1526" s="57" t="str">
        <f t="shared" si="76"/>
        <v>DAURDE</v>
      </c>
    </row>
    <row r="1527" spans="1:17" s="30" customFormat="1" hidden="1">
      <c r="A1527" s="49"/>
      <c r="B1527" s="57" t="s">
        <v>2134</v>
      </c>
      <c r="C1527" s="57" t="s">
        <v>2140</v>
      </c>
      <c r="D1527" s="55">
        <v>46001.506944444445</v>
      </c>
      <c r="E1527" s="55">
        <v>46001.506944444445</v>
      </c>
      <c r="F1527" s="55">
        <v>46001.597222222219</v>
      </c>
      <c r="G1527" s="56">
        <f>F1527-E1527</f>
        <v>9.0277777773735579E-2</v>
      </c>
      <c r="H1527" s="57" t="s">
        <v>257</v>
      </c>
      <c r="I1527" s="57"/>
      <c r="J1527" s="57" t="s">
        <v>258</v>
      </c>
      <c r="K1527" s="57" t="str">
        <f>_xlfn.XLOOKUP(J1527,REF!$D$2:$D$12,REF!$E$2:$E$12)</f>
        <v>Rede</v>
      </c>
      <c r="L1527" s="57" t="s">
        <v>2269</v>
      </c>
      <c r="M1527" s="57" t="s">
        <v>260</v>
      </c>
      <c r="N1527" s="57" t="s">
        <v>261</v>
      </c>
      <c r="O1527" s="57" t="s">
        <v>2270</v>
      </c>
      <c r="P1527" s="57" t="str">
        <f t="shared" si="77"/>
        <v>Rio Monte IIISG60KTL(COM1-013)_001_00346001,506944444446001,506944444446001,5972222222</v>
      </c>
      <c r="Q1527" s="57" t="str">
        <f t="shared" si="76"/>
        <v>DAURDE</v>
      </c>
    </row>
    <row r="1528" spans="1:17" s="30" customFormat="1" hidden="1">
      <c r="A1528" s="49"/>
      <c r="B1528" s="57" t="s">
        <v>2134</v>
      </c>
      <c r="C1528" s="57" t="s">
        <v>2141</v>
      </c>
      <c r="D1528" s="55">
        <v>46001.506944444445</v>
      </c>
      <c r="E1528" s="55">
        <v>46001.506944444445</v>
      </c>
      <c r="F1528" s="55">
        <v>46001.597222222219</v>
      </c>
      <c r="G1528" s="56">
        <f>F1528-E1528</f>
        <v>9.0277777773735579E-2</v>
      </c>
      <c r="H1528" s="57" t="s">
        <v>257</v>
      </c>
      <c r="I1528" s="57"/>
      <c r="J1528" s="57" t="s">
        <v>258</v>
      </c>
      <c r="K1528" s="57" t="str">
        <f>_xlfn.XLOOKUP(J1528,REF!$D$2:$D$12,REF!$E$2:$E$12)</f>
        <v>Rede</v>
      </c>
      <c r="L1528" s="57" t="s">
        <v>2269</v>
      </c>
      <c r="M1528" s="57" t="s">
        <v>260</v>
      </c>
      <c r="N1528" s="57" t="s">
        <v>261</v>
      </c>
      <c r="O1528" s="57" t="s">
        <v>2270</v>
      </c>
      <c r="P1528" s="57" t="str">
        <f t="shared" si="77"/>
        <v>Rio Monte IIISG60KTL(COM1-014)_001_00446001,506944444446001,506944444446001,5972222222</v>
      </c>
      <c r="Q1528" s="57" t="str">
        <f t="shared" si="76"/>
        <v>DAURDE</v>
      </c>
    </row>
    <row r="1529" spans="1:17" s="30" customFormat="1" hidden="1">
      <c r="A1529" s="49"/>
      <c r="B1529" s="57" t="s">
        <v>2134</v>
      </c>
      <c r="C1529" s="57" t="s">
        <v>2142</v>
      </c>
      <c r="D1529" s="55">
        <v>46001.506944444445</v>
      </c>
      <c r="E1529" s="55">
        <v>46001.506944444445</v>
      </c>
      <c r="F1529" s="55">
        <v>46001.597222222219</v>
      </c>
      <c r="G1529" s="56">
        <f>F1529-E1529</f>
        <v>9.0277777773735579E-2</v>
      </c>
      <c r="H1529" s="57" t="s">
        <v>257</v>
      </c>
      <c r="I1529" s="57"/>
      <c r="J1529" s="57" t="s">
        <v>258</v>
      </c>
      <c r="K1529" s="57" t="str">
        <f>_xlfn.XLOOKUP(J1529,REF!$D$2:$D$12,REF!$E$2:$E$12)</f>
        <v>Rede</v>
      </c>
      <c r="L1529" s="57" t="s">
        <v>2269</v>
      </c>
      <c r="M1529" s="57" t="s">
        <v>260</v>
      </c>
      <c r="N1529" s="57" t="s">
        <v>261</v>
      </c>
      <c r="O1529" s="57" t="s">
        <v>2270</v>
      </c>
      <c r="P1529" s="57" t="str">
        <f t="shared" si="77"/>
        <v>Rio Monte IIISG60KTL(COM1-015)_001_01346001,506944444446001,506944444446001,5972222222</v>
      </c>
      <c r="Q1529" s="57" t="str">
        <f t="shared" si="76"/>
        <v>DAURDE</v>
      </c>
    </row>
    <row r="1530" spans="1:17" s="30" customFormat="1" hidden="1">
      <c r="A1530" s="49"/>
      <c r="B1530" s="57" t="s">
        <v>2134</v>
      </c>
      <c r="C1530" s="57" t="s">
        <v>2143</v>
      </c>
      <c r="D1530" s="55">
        <v>46001.506944444445</v>
      </c>
      <c r="E1530" s="55">
        <v>46001.506944444445</v>
      </c>
      <c r="F1530" s="55">
        <v>46001.597222222219</v>
      </c>
      <c r="G1530" s="56">
        <f>F1530-E1530</f>
        <v>9.0277777773735579E-2</v>
      </c>
      <c r="H1530" s="57" t="s">
        <v>257</v>
      </c>
      <c r="I1530" s="57"/>
      <c r="J1530" s="57" t="s">
        <v>258</v>
      </c>
      <c r="K1530" s="57" t="str">
        <f>_xlfn.XLOOKUP(J1530,REF!$D$2:$D$12,REF!$E$2:$E$12)</f>
        <v>Rede</v>
      </c>
      <c r="L1530" s="57" t="s">
        <v>2269</v>
      </c>
      <c r="M1530" s="57" t="s">
        <v>260</v>
      </c>
      <c r="N1530" s="57" t="s">
        <v>261</v>
      </c>
      <c r="O1530" s="57" t="s">
        <v>2270</v>
      </c>
      <c r="P1530" s="57" t="str">
        <f t="shared" si="77"/>
        <v>Rio Monte IIISG60KTL(COM1-016)_001_01446001,506944444446001,506944444446001,5972222222</v>
      </c>
      <c r="Q1530" s="57" t="str">
        <f t="shared" si="76"/>
        <v>DAURDE</v>
      </c>
    </row>
    <row r="1531" spans="1:17" s="30" customFormat="1" hidden="1">
      <c r="A1531" s="49"/>
      <c r="B1531" s="57" t="s">
        <v>2134</v>
      </c>
      <c r="C1531" s="57" t="s">
        <v>2144</v>
      </c>
      <c r="D1531" s="55">
        <v>46001.506944444445</v>
      </c>
      <c r="E1531" s="55">
        <v>46001.506944444445</v>
      </c>
      <c r="F1531" s="55">
        <v>46001.597222222219</v>
      </c>
      <c r="G1531" s="56">
        <f>F1531-E1531</f>
        <v>9.0277777773735579E-2</v>
      </c>
      <c r="H1531" s="57" t="s">
        <v>257</v>
      </c>
      <c r="I1531" s="57"/>
      <c r="J1531" s="57" t="s">
        <v>258</v>
      </c>
      <c r="K1531" s="57" t="str">
        <f>_xlfn.XLOOKUP(J1531,REF!$D$2:$D$12,REF!$E$2:$E$12)</f>
        <v>Rede</v>
      </c>
      <c r="L1531" s="57" t="s">
        <v>2269</v>
      </c>
      <c r="M1531" s="57" t="s">
        <v>260</v>
      </c>
      <c r="N1531" s="57" t="s">
        <v>261</v>
      </c>
      <c r="O1531" s="57" t="s">
        <v>2270</v>
      </c>
      <c r="P1531" s="57" t="str">
        <f t="shared" si="77"/>
        <v>Rio Monte IIISG60KTL(COM1-017)_001_00846001,506944444446001,506944444446001,5972222222</v>
      </c>
      <c r="Q1531" s="57" t="str">
        <f t="shared" si="76"/>
        <v>DAURDE</v>
      </c>
    </row>
    <row r="1532" spans="1:17" s="30" customFormat="1" hidden="1">
      <c r="A1532" s="49"/>
      <c r="B1532" s="57" t="s">
        <v>311</v>
      </c>
      <c r="C1532" s="57" t="s">
        <v>307</v>
      </c>
      <c r="D1532" s="55">
        <v>46012.284722222219</v>
      </c>
      <c r="E1532" s="55">
        <v>46012.284722222219</v>
      </c>
      <c r="F1532" s="55">
        <v>46022.999988425923</v>
      </c>
      <c r="G1532" s="56">
        <f>F1532-E1532</f>
        <v>10.715266203704232</v>
      </c>
      <c r="H1532" s="57" t="s">
        <v>257</v>
      </c>
      <c r="I1532" s="57"/>
      <c r="J1532" s="57" t="s">
        <v>371</v>
      </c>
      <c r="K1532" s="57" t="str">
        <f>_xlfn.XLOOKUP(J1532,REF!$D$2:$D$12,REF!$E$2:$E$12)</f>
        <v>Inversor</v>
      </c>
      <c r="L1532" s="57" t="s">
        <v>2271</v>
      </c>
      <c r="M1532" s="57" t="s">
        <v>252</v>
      </c>
      <c r="N1532" s="57" t="s">
        <v>661</v>
      </c>
      <c r="O1532" s="57" t="s">
        <v>2272</v>
      </c>
      <c r="P1532" s="57" t="str">
        <f>_xlfn.CONCAT(B1532,C1532,D1532,E1532,F1532)</f>
        <v>ARAGUATINS 2.1Inverter(MBUS-15)46012,284722222246012,284722222246022,9999884259</v>
      </c>
      <c r="Q1532" s="57" t="str">
        <f t="shared" si="76"/>
        <v>DAUINV</v>
      </c>
    </row>
    <row r="1533" spans="1:17" s="71" customFormat="1" hidden="1">
      <c r="A1533" s="67"/>
      <c r="B1533" s="68" t="s">
        <v>311</v>
      </c>
      <c r="C1533" s="68" t="s">
        <v>307</v>
      </c>
      <c r="D1533" s="69">
        <v>46012.284722222219</v>
      </c>
      <c r="E1533" s="69">
        <v>46023</v>
      </c>
      <c r="F1533" s="69"/>
      <c r="G1533" s="70">
        <f t="shared" ref="G1533:G1545" si="78">F1533-E1533</f>
        <v>-46023</v>
      </c>
      <c r="H1533" s="68" t="s">
        <v>257</v>
      </c>
      <c r="I1533" s="68"/>
      <c r="J1533" s="68" t="s">
        <v>371</v>
      </c>
      <c r="K1533" s="68" t="str">
        <f>_xlfn.XLOOKUP(J1533,REF!$D$2:$D$12,REF!$E$2:$E$12)</f>
        <v>Inversor</v>
      </c>
      <c r="L1533" s="68" t="s">
        <v>2271</v>
      </c>
      <c r="M1533" s="68" t="s">
        <v>252</v>
      </c>
      <c r="N1533" s="68" t="s">
        <v>661</v>
      </c>
      <c r="O1533" s="68" t="s">
        <v>2272</v>
      </c>
      <c r="P1533" s="68" t="str">
        <f>_xlfn.CONCAT(B1533,C1533,D1533,E1533,F1533)</f>
        <v>ARAGUATINS 2.1Inverter(MBUS-15)46012,284722222246023</v>
      </c>
      <c r="Q1533" s="68" t="str">
        <f t="shared" si="76"/>
        <v>DAUINV</v>
      </c>
    </row>
    <row r="1534" spans="1:17" ht="91.5" hidden="1">
      <c r="B1534" s="47" t="s">
        <v>393</v>
      </c>
      <c r="C1534" s="47" t="s">
        <v>408</v>
      </c>
      <c r="D1534" s="48">
        <v>45992</v>
      </c>
      <c r="E1534" s="48">
        <v>45992</v>
      </c>
      <c r="F1534" s="48">
        <v>46012.5</v>
      </c>
      <c r="G1534" s="56">
        <f>F1534-E1534</f>
        <v>20.5</v>
      </c>
      <c r="H1534" s="47" t="s">
        <v>248</v>
      </c>
      <c r="I1534" s="47"/>
      <c r="J1534" s="47" t="s">
        <v>230</v>
      </c>
      <c r="K1534" s="47" t="s">
        <v>230</v>
      </c>
      <c r="L1534" s="47" t="s">
        <v>2273</v>
      </c>
      <c r="M1534" s="47" t="s">
        <v>663</v>
      </c>
      <c r="N1534" s="47" t="s">
        <v>364</v>
      </c>
      <c r="O1534" s="15" t="s">
        <v>2274</v>
      </c>
      <c r="P1534" s="57" t="str">
        <f t="shared" ref="P1534:P1597" si="79">_xlfn.CONCAT(B1534,C1534,D1534,E1534,F1534)</f>
        <v>BC ParanoaSG60KTL(COM1-019)_002_007459924599246012,5</v>
      </c>
      <c r="Q1534" s="57" t="str">
        <f t="shared" ref="Q1534:Q1597" si="80">_xlfn.CONCAT(H1534,I1534,J1534)</f>
        <v>DEMUFV</v>
      </c>
    </row>
    <row r="1535" spans="1:17" ht="91.5" hidden="1">
      <c r="B1535" s="47" t="s">
        <v>393</v>
      </c>
      <c r="C1535" s="47" t="s">
        <v>409</v>
      </c>
      <c r="D1535" s="48">
        <v>45992</v>
      </c>
      <c r="E1535" s="48">
        <v>45992</v>
      </c>
      <c r="F1535" s="48">
        <v>46012.5</v>
      </c>
      <c r="G1535" s="56">
        <f>F1535-E1535</f>
        <v>20.5</v>
      </c>
      <c r="H1535" s="47" t="s">
        <v>248</v>
      </c>
      <c r="I1535" s="47"/>
      <c r="J1535" s="47" t="s">
        <v>230</v>
      </c>
      <c r="K1535" s="47" t="s">
        <v>230</v>
      </c>
      <c r="L1535" s="47" t="s">
        <v>2273</v>
      </c>
      <c r="M1535" s="47" t="s">
        <v>663</v>
      </c>
      <c r="N1535" s="47" t="s">
        <v>364</v>
      </c>
      <c r="O1535" s="15" t="s">
        <v>2274</v>
      </c>
      <c r="P1535" s="57" t="str">
        <f t="shared" si="79"/>
        <v>BC ParanoaSG60KTL(COM1-020)_002_011459924599246012,5</v>
      </c>
      <c r="Q1535" s="57" t="str">
        <f t="shared" si="80"/>
        <v>DEMUFV</v>
      </c>
    </row>
    <row r="1536" spans="1:17" ht="91.5" hidden="1">
      <c r="B1536" s="47" t="s">
        <v>393</v>
      </c>
      <c r="C1536" s="47" t="s">
        <v>410</v>
      </c>
      <c r="D1536" s="48">
        <v>45992</v>
      </c>
      <c r="E1536" s="48">
        <v>45992</v>
      </c>
      <c r="F1536" s="48">
        <v>46012.5</v>
      </c>
      <c r="G1536" s="56">
        <f t="shared" ref="G1536:G1546" si="81">F1536-E1536</f>
        <v>20.5</v>
      </c>
      <c r="H1536" s="47" t="s">
        <v>248</v>
      </c>
      <c r="I1536" s="47"/>
      <c r="J1536" s="47" t="s">
        <v>230</v>
      </c>
      <c r="K1536" s="47" t="s">
        <v>230</v>
      </c>
      <c r="L1536" s="47" t="s">
        <v>2273</v>
      </c>
      <c r="M1536" s="47" t="s">
        <v>663</v>
      </c>
      <c r="N1536" s="47" t="s">
        <v>364</v>
      </c>
      <c r="O1536" s="15" t="s">
        <v>2274</v>
      </c>
      <c r="P1536" s="57" t="str">
        <f t="shared" si="79"/>
        <v>BC ParanoaSG60KTL(COM1-021)_002_017459924599246012,5</v>
      </c>
      <c r="Q1536" s="57" t="str">
        <f t="shared" si="80"/>
        <v>DEMUFV</v>
      </c>
    </row>
    <row r="1537" spans="2:17" ht="91.5" hidden="1">
      <c r="B1537" s="47" t="s">
        <v>393</v>
      </c>
      <c r="C1537" s="47" t="s">
        <v>411</v>
      </c>
      <c r="D1537" s="48">
        <v>45992</v>
      </c>
      <c r="E1537" s="48">
        <v>45992</v>
      </c>
      <c r="F1537" s="48">
        <v>46008.5</v>
      </c>
      <c r="G1537" s="56">
        <f t="shared" si="81"/>
        <v>16.5</v>
      </c>
      <c r="H1537" s="47" t="s">
        <v>248</v>
      </c>
      <c r="I1537" s="47"/>
      <c r="J1537" s="47" t="s">
        <v>230</v>
      </c>
      <c r="K1537" s="47" t="s">
        <v>230</v>
      </c>
      <c r="L1537" s="47" t="s">
        <v>2273</v>
      </c>
      <c r="M1537" s="47" t="s">
        <v>663</v>
      </c>
      <c r="N1537" s="47" t="s">
        <v>364</v>
      </c>
      <c r="O1537" s="15" t="s">
        <v>2274</v>
      </c>
      <c r="P1537" s="57" t="str">
        <f t="shared" si="79"/>
        <v>BC ParanoaSG60KTL(COM1-022)_002_020459924599246008,5</v>
      </c>
      <c r="Q1537" s="57" t="str">
        <f t="shared" si="80"/>
        <v>DEMUFV</v>
      </c>
    </row>
    <row r="1538" spans="2:17" ht="91.5" hidden="1">
      <c r="B1538" s="47" t="s">
        <v>393</v>
      </c>
      <c r="C1538" s="47" t="s">
        <v>412</v>
      </c>
      <c r="D1538" s="48">
        <v>45992</v>
      </c>
      <c r="E1538" s="48">
        <v>45992</v>
      </c>
      <c r="F1538" s="48">
        <v>46008.5</v>
      </c>
      <c r="G1538" s="56">
        <f t="shared" si="81"/>
        <v>16.5</v>
      </c>
      <c r="H1538" s="47" t="s">
        <v>248</v>
      </c>
      <c r="I1538" s="47"/>
      <c r="J1538" s="47" t="s">
        <v>230</v>
      </c>
      <c r="K1538" s="47" t="s">
        <v>230</v>
      </c>
      <c r="L1538" s="47" t="s">
        <v>2273</v>
      </c>
      <c r="M1538" s="47" t="s">
        <v>663</v>
      </c>
      <c r="N1538" s="47" t="s">
        <v>364</v>
      </c>
      <c r="O1538" s="15" t="s">
        <v>2274</v>
      </c>
      <c r="P1538" s="57" t="str">
        <f t="shared" si="79"/>
        <v>BC ParanoaSG40CX(COM2-023)_002_024459924599246008,5</v>
      </c>
      <c r="Q1538" s="57" t="str">
        <f t="shared" si="80"/>
        <v>DEMUFV</v>
      </c>
    </row>
    <row r="1539" spans="2:17" ht="91.5" hidden="1">
      <c r="B1539" s="47" t="s">
        <v>393</v>
      </c>
      <c r="C1539" s="47" t="s">
        <v>413</v>
      </c>
      <c r="D1539" s="48">
        <v>45970.982638888891</v>
      </c>
      <c r="E1539" s="48">
        <v>45970.982638888891</v>
      </c>
      <c r="F1539" s="48">
        <v>46008.5</v>
      </c>
      <c r="G1539" s="56">
        <f t="shared" si="81"/>
        <v>37.517361111109494</v>
      </c>
      <c r="H1539" s="47" t="s">
        <v>248</v>
      </c>
      <c r="I1539" s="47"/>
      <c r="J1539" s="47" t="s">
        <v>230</v>
      </c>
      <c r="K1539" s="47" t="s">
        <v>230</v>
      </c>
      <c r="L1539" s="47" t="s">
        <v>2273</v>
      </c>
      <c r="M1539" s="47" t="s">
        <v>663</v>
      </c>
      <c r="N1539" s="47" t="s">
        <v>364</v>
      </c>
      <c r="O1539" s="15" t="s">
        <v>2274</v>
      </c>
      <c r="P1539" s="57" t="str">
        <f t="shared" si="79"/>
        <v>BC ParanoaSG40CX(COM2-024)_002_02245970,982638888945970,982638888946008,5</v>
      </c>
      <c r="Q1539" s="57" t="str">
        <f t="shared" si="80"/>
        <v>DEMUFV</v>
      </c>
    </row>
    <row r="1540" spans="2:17" ht="91.5" hidden="1">
      <c r="B1540" s="47" t="s">
        <v>393</v>
      </c>
      <c r="C1540" s="47" t="s">
        <v>426</v>
      </c>
      <c r="D1540" s="48">
        <v>45970.982638888891</v>
      </c>
      <c r="E1540" s="48">
        <v>45970.982638888891</v>
      </c>
      <c r="F1540" s="48">
        <v>46008.5</v>
      </c>
      <c r="G1540" s="56">
        <f t="shared" si="81"/>
        <v>37.517361111109494</v>
      </c>
      <c r="H1540" s="47" t="s">
        <v>248</v>
      </c>
      <c r="I1540" s="47"/>
      <c r="J1540" s="47" t="s">
        <v>230</v>
      </c>
      <c r="K1540" s="47" t="s">
        <v>230</v>
      </c>
      <c r="L1540" s="47" t="s">
        <v>2273</v>
      </c>
      <c r="M1540" s="47" t="s">
        <v>663</v>
      </c>
      <c r="N1540" s="47" t="s">
        <v>364</v>
      </c>
      <c r="O1540" s="15" t="s">
        <v>2274</v>
      </c>
      <c r="P1540" s="57" t="str">
        <f t="shared" si="79"/>
        <v>BC ParanoaSG60KTL(COM1-013)_002_00445970,982638888945970,982638888946008,5</v>
      </c>
      <c r="Q1540" s="57" t="str">
        <f t="shared" si="80"/>
        <v>DEMUFV</v>
      </c>
    </row>
    <row r="1541" spans="2:17" ht="91.5" hidden="1">
      <c r="B1541" s="47" t="s">
        <v>393</v>
      </c>
      <c r="C1541" s="47" t="s">
        <v>427</v>
      </c>
      <c r="D1541" s="48">
        <v>45970.982638888891</v>
      </c>
      <c r="E1541" s="48">
        <v>45970.982638888891</v>
      </c>
      <c r="F1541" s="48">
        <v>45991.999988425923</v>
      </c>
      <c r="G1541" s="56">
        <f t="shared" si="81"/>
        <v>21.017349537032715</v>
      </c>
      <c r="H1541" s="47" t="s">
        <v>248</v>
      </c>
      <c r="I1541" s="47"/>
      <c r="J1541" s="47" t="s">
        <v>230</v>
      </c>
      <c r="K1541" s="47" t="s">
        <v>230</v>
      </c>
      <c r="L1541" s="47" t="s">
        <v>2273</v>
      </c>
      <c r="M1541" s="47" t="s">
        <v>663</v>
      </c>
      <c r="N1541" s="47" t="s">
        <v>364</v>
      </c>
      <c r="O1541" s="15" t="s">
        <v>2274</v>
      </c>
      <c r="P1541" s="57" t="str">
        <f t="shared" si="79"/>
        <v>BC ParanoaSG60KTL(COM1-014)_002_01945970,982638888945970,982638888945991,9999884259</v>
      </c>
      <c r="Q1541" s="57" t="str">
        <f t="shared" si="80"/>
        <v>DEMUFV</v>
      </c>
    </row>
    <row r="1542" spans="2:17" ht="91.5" hidden="1">
      <c r="B1542" s="47" t="s">
        <v>393</v>
      </c>
      <c r="C1542" s="47" t="s">
        <v>428</v>
      </c>
      <c r="D1542" s="48">
        <v>45970.982638888891</v>
      </c>
      <c r="E1542" s="48">
        <v>45970.982638888891</v>
      </c>
      <c r="F1542" s="48">
        <v>45991.999988425923</v>
      </c>
      <c r="G1542" s="56">
        <f t="shared" si="81"/>
        <v>21.017349537032715</v>
      </c>
      <c r="H1542" s="47" t="s">
        <v>248</v>
      </c>
      <c r="I1542" s="47"/>
      <c r="J1542" s="47" t="s">
        <v>230</v>
      </c>
      <c r="K1542" s="47" t="s">
        <v>230</v>
      </c>
      <c r="L1542" s="47" t="s">
        <v>2273</v>
      </c>
      <c r="M1542" s="47" t="s">
        <v>663</v>
      </c>
      <c r="N1542" s="47" t="s">
        <v>364</v>
      </c>
      <c r="O1542" s="15" t="s">
        <v>2274</v>
      </c>
      <c r="P1542" s="57" t="str">
        <f t="shared" si="79"/>
        <v>BC ParanoaSG60KTL(COM1-015)_002_01845970,982638888945970,982638888945991,9999884259</v>
      </c>
      <c r="Q1542" s="57" t="str">
        <f t="shared" si="80"/>
        <v>DEMUFV</v>
      </c>
    </row>
    <row r="1543" spans="2:17" ht="91.5" hidden="1">
      <c r="B1543" s="47" t="s">
        <v>393</v>
      </c>
      <c r="C1543" s="47" t="s">
        <v>429</v>
      </c>
      <c r="D1543" s="48">
        <v>45970.982638888891</v>
      </c>
      <c r="E1543" s="48">
        <v>45970.982638888891</v>
      </c>
      <c r="F1543" s="48">
        <v>45991.999988425923</v>
      </c>
      <c r="G1543" s="56">
        <f t="shared" si="81"/>
        <v>21.017349537032715</v>
      </c>
      <c r="H1543" s="47" t="s">
        <v>248</v>
      </c>
      <c r="I1543" s="47"/>
      <c r="J1543" s="47" t="s">
        <v>230</v>
      </c>
      <c r="K1543" s="47" t="s">
        <v>230</v>
      </c>
      <c r="L1543" s="47" t="s">
        <v>2273</v>
      </c>
      <c r="M1543" s="47" t="s">
        <v>663</v>
      </c>
      <c r="N1543" s="47" t="s">
        <v>364</v>
      </c>
      <c r="O1543" s="15" t="s">
        <v>2274</v>
      </c>
      <c r="P1543" s="57" t="str">
        <f t="shared" si="79"/>
        <v>BC ParanoaSG60KTL(COM1-016)_002_01445970,982638888945970,982638888945991,9999884259</v>
      </c>
      <c r="Q1543" s="57" t="str">
        <f t="shared" si="80"/>
        <v>DEMUFV</v>
      </c>
    </row>
    <row r="1544" spans="2:17" ht="91.5" hidden="1">
      <c r="B1544" s="47" t="s">
        <v>393</v>
      </c>
      <c r="C1544" s="47" t="s">
        <v>430</v>
      </c>
      <c r="D1544" s="48">
        <v>45970.982638888891</v>
      </c>
      <c r="E1544" s="48">
        <v>45970.982638888891</v>
      </c>
      <c r="F1544" s="48">
        <v>45991.999988425923</v>
      </c>
      <c r="G1544" s="56">
        <f t="shared" si="81"/>
        <v>21.017349537032715</v>
      </c>
      <c r="H1544" s="47" t="s">
        <v>248</v>
      </c>
      <c r="I1544" s="47"/>
      <c r="J1544" s="47" t="s">
        <v>230</v>
      </c>
      <c r="K1544" s="47" t="s">
        <v>230</v>
      </c>
      <c r="L1544" s="47" t="s">
        <v>2273</v>
      </c>
      <c r="M1544" s="47" t="s">
        <v>663</v>
      </c>
      <c r="N1544" s="47" t="s">
        <v>364</v>
      </c>
      <c r="O1544" s="15" t="s">
        <v>2274</v>
      </c>
      <c r="P1544" s="57" t="str">
        <f t="shared" si="79"/>
        <v>BC ParanoaSG60KTL(COM1-017)_002_01545970,982638888945970,982638888945991,9999884259</v>
      </c>
      <c r="Q1544" s="57" t="str">
        <f t="shared" si="80"/>
        <v>DEMUFV</v>
      </c>
    </row>
    <row r="1545" spans="2:17" ht="91.5" hidden="1">
      <c r="B1545" s="47" t="s">
        <v>393</v>
      </c>
      <c r="C1545" s="47" t="s">
        <v>431</v>
      </c>
      <c r="D1545" s="48">
        <v>45970.982638888891</v>
      </c>
      <c r="E1545" s="48">
        <v>45970.982638888891</v>
      </c>
      <c r="F1545" s="48">
        <v>45991.999988425923</v>
      </c>
      <c r="G1545" s="56">
        <f t="shared" si="81"/>
        <v>21.017349537032715</v>
      </c>
      <c r="H1545" s="47" t="s">
        <v>248</v>
      </c>
      <c r="I1545" s="47"/>
      <c r="J1545" s="47" t="s">
        <v>230</v>
      </c>
      <c r="K1545" s="47" t="s">
        <v>230</v>
      </c>
      <c r="L1545" s="47" t="s">
        <v>2273</v>
      </c>
      <c r="M1545" s="47" t="s">
        <v>663</v>
      </c>
      <c r="N1545" s="47" t="s">
        <v>364</v>
      </c>
      <c r="O1545" s="15" t="s">
        <v>2274</v>
      </c>
      <c r="P1545" s="57" t="str">
        <f t="shared" si="79"/>
        <v>BC ParanoaSG60KTL(COM1-018)_002_01245970,982638888945970,982638888945991,9999884259</v>
      </c>
      <c r="Q1545" s="57" t="str">
        <f t="shared" si="80"/>
        <v>DEMUFV</v>
      </c>
    </row>
    <row r="1546" spans="2:17" hidden="1">
      <c r="G1546" s="56">
        <f t="shared" si="81"/>
        <v>0</v>
      </c>
      <c r="K1546" s="1" t="e">
        <f>_xlfn.XLOOKUP(J1546,REF!$D$2:$D$12,REF!$E$2:$E$12)</f>
        <v>#N/A</v>
      </c>
      <c r="P1546" s="57" t="str">
        <f t="shared" si="79"/>
        <v/>
      </c>
      <c r="Q1546" s="57" t="str">
        <f t="shared" si="80"/>
        <v/>
      </c>
    </row>
    <row r="1547" spans="2:17" hidden="1">
      <c r="G1547" s="53">
        <f>+F1547-E1547</f>
        <v>0</v>
      </c>
      <c r="K1547" s="1" t="e">
        <f>_xlfn.XLOOKUP(J1547,REF!$D$2:$D$12,REF!$E$2:$E$12)</f>
        <v>#N/A</v>
      </c>
      <c r="P1547" s="57" t="str">
        <f t="shared" si="79"/>
        <v/>
      </c>
      <c r="Q1547" s="57" t="str">
        <f t="shared" si="80"/>
        <v/>
      </c>
    </row>
    <row r="1548" spans="2:17" hidden="1">
      <c r="G1548" s="53">
        <f>+F1548-E1548</f>
        <v>0</v>
      </c>
      <c r="K1548" s="1" t="e">
        <f>_xlfn.XLOOKUP(J1548,REF!$D$2:$D$12,REF!$E$2:$E$12)</f>
        <v>#N/A</v>
      </c>
      <c r="P1548" s="57" t="str">
        <f t="shared" si="79"/>
        <v/>
      </c>
      <c r="Q1548" s="57" t="str">
        <f t="shared" si="80"/>
        <v/>
      </c>
    </row>
    <row r="1549" spans="2:17" hidden="1">
      <c r="G1549" s="53">
        <f>+F1549-E1549</f>
        <v>0</v>
      </c>
      <c r="K1549" s="1" t="e">
        <f>_xlfn.XLOOKUP(J1549,REF!$D$2:$D$12,REF!$E$2:$E$12)</f>
        <v>#N/A</v>
      </c>
      <c r="P1549" s="57" t="str">
        <f t="shared" si="79"/>
        <v/>
      </c>
      <c r="Q1549" s="57" t="str">
        <f t="shared" si="80"/>
        <v/>
      </c>
    </row>
    <row r="1550" spans="2:17" hidden="1">
      <c r="G1550" s="53">
        <f>+F1550-E1550</f>
        <v>0</v>
      </c>
      <c r="K1550" s="1" t="e">
        <f>_xlfn.XLOOKUP(J1550,REF!$D$2:$D$12,REF!$E$2:$E$12)</f>
        <v>#N/A</v>
      </c>
      <c r="P1550" s="57" t="str">
        <f t="shared" si="79"/>
        <v/>
      </c>
      <c r="Q1550" s="57" t="str">
        <f t="shared" si="80"/>
        <v/>
      </c>
    </row>
    <row r="1551" spans="2:17" hidden="1">
      <c r="G1551" s="53">
        <f>+F1551-E1551</f>
        <v>0</v>
      </c>
      <c r="K1551" s="1" t="e">
        <f>_xlfn.XLOOKUP(J1551,REF!$D$2:$D$12,REF!$E$2:$E$12)</f>
        <v>#N/A</v>
      </c>
      <c r="P1551" s="57" t="str">
        <f t="shared" si="79"/>
        <v/>
      </c>
      <c r="Q1551" s="57" t="str">
        <f t="shared" si="80"/>
        <v/>
      </c>
    </row>
    <row r="1552" spans="2:17" hidden="1">
      <c r="G1552" s="53">
        <f>+F1552-E1552</f>
        <v>0</v>
      </c>
      <c r="K1552" s="1" t="e">
        <f>_xlfn.XLOOKUP(J1552,REF!$D$2:$D$12,REF!$E$2:$E$12)</f>
        <v>#N/A</v>
      </c>
      <c r="P1552" s="57" t="str">
        <f t="shared" si="79"/>
        <v/>
      </c>
      <c r="Q1552" s="57" t="str">
        <f t="shared" si="80"/>
        <v/>
      </c>
    </row>
    <row r="1553" spans="7:17" hidden="1">
      <c r="G1553" s="53">
        <f>+F1553-E1553</f>
        <v>0</v>
      </c>
      <c r="K1553" s="1" t="e">
        <f>_xlfn.XLOOKUP(J1553,REF!$D$2:$D$12,REF!$E$2:$E$12)</f>
        <v>#N/A</v>
      </c>
      <c r="P1553" s="57" t="str">
        <f t="shared" si="79"/>
        <v/>
      </c>
      <c r="Q1553" s="57" t="str">
        <f t="shared" si="80"/>
        <v/>
      </c>
    </row>
    <row r="1554" spans="7:17" hidden="1">
      <c r="G1554" s="53">
        <f>+F1554-E1554</f>
        <v>0</v>
      </c>
      <c r="K1554" s="1" t="e">
        <f>_xlfn.XLOOKUP(J1554,REF!$D$2:$D$12,REF!$E$2:$E$12)</f>
        <v>#N/A</v>
      </c>
      <c r="P1554" s="57" t="str">
        <f t="shared" si="79"/>
        <v/>
      </c>
      <c r="Q1554" s="57" t="str">
        <f t="shared" si="80"/>
        <v/>
      </c>
    </row>
    <row r="1555" spans="7:17" hidden="1">
      <c r="G1555" s="53">
        <f>+F1555-E1555</f>
        <v>0</v>
      </c>
      <c r="K1555" s="1" t="e">
        <f>_xlfn.XLOOKUP(J1555,REF!$D$2:$D$12,REF!$E$2:$E$12)</f>
        <v>#N/A</v>
      </c>
      <c r="P1555" s="57" t="str">
        <f t="shared" si="79"/>
        <v/>
      </c>
      <c r="Q1555" s="57" t="str">
        <f t="shared" si="80"/>
        <v/>
      </c>
    </row>
    <row r="1556" spans="7:17" hidden="1">
      <c r="G1556" s="53">
        <f>+F1556-E1556</f>
        <v>0</v>
      </c>
      <c r="K1556" s="1" t="e">
        <f>_xlfn.XLOOKUP(J1556,REF!$D$2:$D$12,REF!$E$2:$E$12)</f>
        <v>#N/A</v>
      </c>
      <c r="P1556" s="57" t="str">
        <f t="shared" si="79"/>
        <v/>
      </c>
      <c r="Q1556" s="57" t="str">
        <f t="shared" si="80"/>
        <v/>
      </c>
    </row>
    <row r="1557" spans="7:17" hidden="1">
      <c r="G1557" s="53">
        <f>+F1557-E1557</f>
        <v>0</v>
      </c>
      <c r="K1557" s="1" t="e">
        <f>_xlfn.XLOOKUP(J1557,REF!$D$2:$D$12,REF!$E$2:$E$12)</f>
        <v>#N/A</v>
      </c>
      <c r="P1557" s="57" t="str">
        <f t="shared" si="79"/>
        <v/>
      </c>
      <c r="Q1557" s="57" t="str">
        <f t="shared" si="80"/>
        <v/>
      </c>
    </row>
    <row r="1558" spans="7:17" hidden="1">
      <c r="G1558" s="53">
        <f>+F1558-E1558</f>
        <v>0</v>
      </c>
      <c r="K1558" s="1" t="e">
        <f>_xlfn.XLOOKUP(J1558,REF!$D$2:$D$12,REF!$E$2:$E$12)</f>
        <v>#N/A</v>
      </c>
      <c r="P1558" s="57" t="str">
        <f t="shared" si="79"/>
        <v/>
      </c>
      <c r="Q1558" s="57" t="str">
        <f t="shared" si="80"/>
        <v/>
      </c>
    </row>
    <row r="1559" spans="7:17" hidden="1">
      <c r="G1559" s="53">
        <f>+F1559-E1559</f>
        <v>0</v>
      </c>
      <c r="K1559" s="1" t="e">
        <f>_xlfn.XLOOKUP(J1559,REF!$D$2:$D$12,REF!$E$2:$E$12)</f>
        <v>#N/A</v>
      </c>
      <c r="P1559" s="57" t="str">
        <f t="shared" si="79"/>
        <v/>
      </c>
      <c r="Q1559" s="57" t="str">
        <f t="shared" si="80"/>
        <v/>
      </c>
    </row>
    <row r="1560" spans="7:17" hidden="1">
      <c r="G1560" s="53">
        <f>+F1560-E1560</f>
        <v>0</v>
      </c>
      <c r="K1560" s="1" t="e">
        <f>_xlfn.XLOOKUP(J1560,REF!$D$2:$D$12,REF!$E$2:$E$12)</f>
        <v>#N/A</v>
      </c>
      <c r="P1560" s="57" t="str">
        <f t="shared" si="79"/>
        <v/>
      </c>
      <c r="Q1560" s="57" t="str">
        <f t="shared" si="80"/>
        <v/>
      </c>
    </row>
    <row r="1561" spans="7:17" hidden="1">
      <c r="G1561" s="53">
        <f>+F1561-E1561</f>
        <v>0</v>
      </c>
      <c r="K1561" s="1" t="e">
        <f>_xlfn.XLOOKUP(J1561,REF!$D$2:$D$12,REF!$E$2:$E$12)</f>
        <v>#N/A</v>
      </c>
      <c r="P1561" s="57" t="str">
        <f t="shared" si="79"/>
        <v/>
      </c>
      <c r="Q1561" s="57" t="str">
        <f t="shared" si="80"/>
        <v/>
      </c>
    </row>
    <row r="1562" spans="7:17" hidden="1">
      <c r="G1562" s="53">
        <f>+F1562-E1562</f>
        <v>0</v>
      </c>
      <c r="K1562" s="1" t="e">
        <f>_xlfn.XLOOKUP(J1562,REF!$D$2:$D$12,REF!$E$2:$E$12)</f>
        <v>#N/A</v>
      </c>
      <c r="P1562" s="57" t="str">
        <f t="shared" si="79"/>
        <v/>
      </c>
      <c r="Q1562" s="57" t="str">
        <f t="shared" si="80"/>
        <v/>
      </c>
    </row>
    <row r="1563" spans="7:17" hidden="1">
      <c r="G1563" s="53">
        <f>+F1563-E1563</f>
        <v>0</v>
      </c>
      <c r="K1563" s="1" t="e">
        <f>_xlfn.XLOOKUP(J1563,REF!$D$2:$D$12,REF!$E$2:$E$12)</f>
        <v>#N/A</v>
      </c>
      <c r="P1563" s="57" t="str">
        <f t="shared" si="79"/>
        <v/>
      </c>
      <c r="Q1563" s="57" t="str">
        <f t="shared" si="80"/>
        <v/>
      </c>
    </row>
    <row r="1564" spans="7:17" hidden="1">
      <c r="G1564" s="53">
        <f>+F1564-E1564</f>
        <v>0</v>
      </c>
      <c r="K1564" s="1" t="e">
        <f>_xlfn.XLOOKUP(J1564,REF!$D$2:$D$12,REF!$E$2:$E$12)</f>
        <v>#N/A</v>
      </c>
      <c r="P1564" s="57" t="str">
        <f t="shared" si="79"/>
        <v/>
      </c>
      <c r="Q1564" s="57" t="str">
        <f t="shared" si="80"/>
        <v/>
      </c>
    </row>
    <row r="1565" spans="7:17" hidden="1">
      <c r="G1565" s="53">
        <f>+F1565-E1565</f>
        <v>0</v>
      </c>
      <c r="K1565" s="1" t="e">
        <f>_xlfn.XLOOKUP(J1565,REF!$D$2:$D$12,REF!$E$2:$E$12)</f>
        <v>#N/A</v>
      </c>
      <c r="P1565" s="57" t="str">
        <f t="shared" si="79"/>
        <v/>
      </c>
      <c r="Q1565" s="57" t="str">
        <f t="shared" si="80"/>
        <v/>
      </c>
    </row>
    <row r="1566" spans="7:17" hidden="1">
      <c r="G1566" s="53">
        <f>+F1566-E1566</f>
        <v>0</v>
      </c>
      <c r="K1566" s="1" t="e">
        <f>_xlfn.XLOOKUP(J1566,REF!$D$2:$D$12,REF!$E$2:$E$12)</f>
        <v>#N/A</v>
      </c>
      <c r="P1566" s="57" t="str">
        <f t="shared" si="79"/>
        <v/>
      </c>
      <c r="Q1566" s="57" t="str">
        <f t="shared" si="80"/>
        <v/>
      </c>
    </row>
    <row r="1567" spans="7:17" hidden="1">
      <c r="G1567" s="53">
        <f>+F1567-E1567</f>
        <v>0</v>
      </c>
      <c r="K1567" s="1" t="e">
        <f>_xlfn.XLOOKUP(J1567,REF!$D$2:$D$12,REF!$E$2:$E$12)</f>
        <v>#N/A</v>
      </c>
      <c r="P1567" s="57" t="str">
        <f t="shared" si="79"/>
        <v/>
      </c>
      <c r="Q1567" s="57" t="str">
        <f t="shared" si="80"/>
        <v/>
      </c>
    </row>
    <row r="1568" spans="7:17" hidden="1">
      <c r="G1568" s="53">
        <f>+F1568-E1568</f>
        <v>0</v>
      </c>
      <c r="K1568" s="1" t="e">
        <f>_xlfn.XLOOKUP(J1568,REF!$D$2:$D$12,REF!$E$2:$E$12)</f>
        <v>#N/A</v>
      </c>
      <c r="P1568" s="57" t="str">
        <f t="shared" si="79"/>
        <v/>
      </c>
      <c r="Q1568" s="57" t="str">
        <f t="shared" si="80"/>
        <v/>
      </c>
    </row>
    <row r="1569" spans="7:17" hidden="1">
      <c r="G1569" s="53">
        <f>+F1569-E1569</f>
        <v>0</v>
      </c>
      <c r="K1569" s="1" t="e">
        <f>_xlfn.XLOOKUP(J1569,REF!$D$2:$D$12,REF!$E$2:$E$12)</f>
        <v>#N/A</v>
      </c>
      <c r="P1569" s="57" t="str">
        <f t="shared" si="79"/>
        <v/>
      </c>
      <c r="Q1569" s="57" t="str">
        <f t="shared" si="80"/>
        <v/>
      </c>
    </row>
    <row r="1570" spans="7:17" hidden="1">
      <c r="G1570" s="53">
        <f>+F1570-E1570</f>
        <v>0</v>
      </c>
      <c r="K1570" s="1" t="e">
        <f>_xlfn.XLOOKUP(J1570,REF!$D$2:$D$12,REF!$E$2:$E$12)</f>
        <v>#N/A</v>
      </c>
      <c r="P1570" s="57" t="str">
        <f t="shared" si="79"/>
        <v/>
      </c>
      <c r="Q1570" s="57" t="str">
        <f t="shared" si="80"/>
        <v/>
      </c>
    </row>
    <row r="1571" spans="7:17" hidden="1">
      <c r="G1571" s="53">
        <f>+F1571-E1571</f>
        <v>0</v>
      </c>
      <c r="K1571" s="1" t="e">
        <f>_xlfn.XLOOKUP(J1571,REF!$D$2:$D$12,REF!$E$2:$E$12)</f>
        <v>#N/A</v>
      </c>
      <c r="P1571" s="57" t="str">
        <f t="shared" si="79"/>
        <v/>
      </c>
      <c r="Q1571" s="57" t="str">
        <f t="shared" si="80"/>
        <v/>
      </c>
    </row>
    <row r="1572" spans="7:17" hidden="1">
      <c r="G1572" s="53">
        <f>+F1572-E1572</f>
        <v>0</v>
      </c>
      <c r="K1572" s="1" t="e">
        <f>_xlfn.XLOOKUP(J1572,REF!$D$2:$D$12,REF!$E$2:$E$12)</f>
        <v>#N/A</v>
      </c>
      <c r="P1572" s="57" t="str">
        <f t="shared" si="79"/>
        <v/>
      </c>
      <c r="Q1572" s="57" t="str">
        <f t="shared" si="80"/>
        <v/>
      </c>
    </row>
    <row r="1573" spans="7:17" hidden="1">
      <c r="G1573" s="53">
        <f>+F1573-E1573</f>
        <v>0</v>
      </c>
      <c r="K1573" s="1" t="e">
        <f>_xlfn.XLOOKUP(J1573,REF!$D$2:$D$12,REF!$E$2:$E$12)</f>
        <v>#N/A</v>
      </c>
      <c r="P1573" s="57" t="str">
        <f t="shared" si="79"/>
        <v/>
      </c>
      <c r="Q1573" s="57" t="str">
        <f t="shared" si="80"/>
        <v/>
      </c>
    </row>
    <row r="1574" spans="7:17" hidden="1">
      <c r="G1574" s="53">
        <f>+F1574-E1574</f>
        <v>0</v>
      </c>
      <c r="K1574" s="1" t="e">
        <f>_xlfn.XLOOKUP(J1574,REF!$D$2:$D$12,REF!$E$2:$E$12)</f>
        <v>#N/A</v>
      </c>
      <c r="P1574" s="57" t="str">
        <f t="shared" si="79"/>
        <v/>
      </c>
      <c r="Q1574" s="57" t="str">
        <f t="shared" si="80"/>
        <v/>
      </c>
    </row>
    <row r="1575" spans="7:17" hidden="1">
      <c r="G1575" s="53">
        <f>+F1575-E1575</f>
        <v>0</v>
      </c>
      <c r="K1575" s="1" t="e">
        <f>_xlfn.XLOOKUP(J1575,REF!$D$2:$D$12,REF!$E$2:$E$12)</f>
        <v>#N/A</v>
      </c>
      <c r="P1575" s="57" t="str">
        <f t="shared" si="79"/>
        <v/>
      </c>
      <c r="Q1575" s="57" t="str">
        <f t="shared" si="80"/>
        <v/>
      </c>
    </row>
    <row r="1576" spans="7:17" hidden="1">
      <c r="G1576" s="53">
        <f>+F1576-E1576</f>
        <v>0</v>
      </c>
      <c r="K1576" s="1" t="e">
        <f>_xlfn.XLOOKUP(J1576,REF!$D$2:$D$12,REF!$E$2:$E$12)</f>
        <v>#N/A</v>
      </c>
      <c r="P1576" s="57" t="str">
        <f t="shared" si="79"/>
        <v/>
      </c>
      <c r="Q1576" s="57" t="str">
        <f t="shared" si="80"/>
        <v/>
      </c>
    </row>
    <row r="1577" spans="7:17" hidden="1">
      <c r="G1577" s="53">
        <f>+F1577-E1577</f>
        <v>0</v>
      </c>
      <c r="K1577" s="1" t="e">
        <f>_xlfn.XLOOKUP(J1577,REF!$D$2:$D$12,REF!$E$2:$E$12)</f>
        <v>#N/A</v>
      </c>
      <c r="P1577" s="57" t="str">
        <f t="shared" si="79"/>
        <v/>
      </c>
      <c r="Q1577" s="57" t="str">
        <f t="shared" si="80"/>
        <v/>
      </c>
    </row>
    <row r="1578" spans="7:17" hidden="1">
      <c r="G1578" s="53">
        <f>+F1578-E1578</f>
        <v>0</v>
      </c>
      <c r="K1578" s="1" t="e">
        <f>_xlfn.XLOOKUP(J1578,REF!$D$2:$D$12,REF!$E$2:$E$12)</f>
        <v>#N/A</v>
      </c>
      <c r="P1578" s="57" t="str">
        <f t="shared" si="79"/>
        <v/>
      </c>
      <c r="Q1578" s="57" t="str">
        <f t="shared" si="80"/>
        <v/>
      </c>
    </row>
    <row r="1579" spans="7:17" hidden="1">
      <c r="G1579" s="53">
        <f>+F1579-E1579</f>
        <v>0</v>
      </c>
      <c r="K1579" s="1" t="e">
        <f>_xlfn.XLOOKUP(J1579,REF!$D$2:$D$12,REF!$E$2:$E$12)</f>
        <v>#N/A</v>
      </c>
      <c r="P1579" s="57" t="str">
        <f t="shared" si="79"/>
        <v/>
      </c>
      <c r="Q1579" s="57" t="str">
        <f t="shared" si="80"/>
        <v/>
      </c>
    </row>
    <row r="1580" spans="7:17" hidden="1">
      <c r="G1580" s="53">
        <f>+F1580-E1580</f>
        <v>0</v>
      </c>
      <c r="K1580" s="1" t="e">
        <f>_xlfn.XLOOKUP(J1580,REF!$D$2:$D$12,REF!$E$2:$E$12)</f>
        <v>#N/A</v>
      </c>
      <c r="P1580" s="57" t="str">
        <f t="shared" si="79"/>
        <v/>
      </c>
      <c r="Q1580" s="57" t="str">
        <f t="shared" si="80"/>
        <v/>
      </c>
    </row>
    <row r="1581" spans="7:17" hidden="1">
      <c r="G1581" s="53">
        <f>+F1581-E1581</f>
        <v>0</v>
      </c>
      <c r="K1581" s="1" t="e">
        <f>_xlfn.XLOOKUP(J1581,REF!$D$2:$D$12,REF!$E$2:$E$12)</f>
        <v>#N/A</v>
      </c>
      <c r="P1581" s="57" t="str">
        <f t="shared" si="79"/>
        <v/>
      </c>
      <c r="Q1581" s="57" t="str">
        <f t="shared" si="80"/>
        <v/>
      </c>
    </row>
    <row r="1582" spans="7:17" hidden="1">
      <c r="G1582" s="53">
        <f>+F1582-E1582</f>
        <v>0</v>
      </c>
      <c r="K1582" s="1" t="e">
        <f>_xlfn.XLOOKUP(J1582,REF!$D$2:$D$12,REF!$E$2:$E$12)</f>
        <v>#N/A</v>
      </c>
      <c r="P1582" s="57" t="str">
        <f t="shared" si="79"/>
        <v/>
      </c>
      <c r="Q1582" s="57" t="str">
        <f t="shared" si="80"/>
        <v/>
      </c>
    </row>
    <row r="1583" spans="7:17" hidden="1">
      <c r="G1583" s="53">
        <f>+F1583-E1583</f>
        <v>0</v>
      </c>
      <c r="K1583" s="1" t="e">
        <f>_xlfn.XLOOKUP(J1583,REF!$D$2:$D$12,REF!$E$2:$E$12)</f>
        <v>#N/A</v>
      </c>
      <c r="P1583" s="57" t="str">
        <f t="shared" si="79"/>
        <v/>
      </c>
      <c r="Q1583" s="57" t="str">
        <f t="shared" si="80"/>
        <v/>
      </c>
    </row>
    <row r="1584" spans="7:17" hidden="1">
      <c r="G1584" s="53">
        <f>+F1584-E1584</f>
        <v>0</v>
      </c>
      <c r="K1584" s="1" t="e">
        <f>_xlfn.XLOOKUP(J1584,REF!$D$2:$D$12,REF!$E$2:$E$12)</f>
        <v>#N/A</v>
      </c>
      <c r="P1584" s="57" t="str">
        <f t="shared" si="79"/>
        <v/>
      </c>
      <c r="Q1584" s="57" t="str">
        <f t="shared" si="80"/>
        <v/>
      </c>
    </row>
    <row r="1585" spans="7:17" hidden="1">
      <c r="G1585" s="53">
        <f>+F1585-E1585</f>
        <v>0</v>
      </c>
      <c r="K1585" s="1" t="e">
        <f>_xlfn.XLOOKUP(J1585,REF!$D$2:$D$12,REF!$E$2:$E$12)</f>
        <v>#N/A</v>
      </c>
      <c r="P1585" s="57" t="str">
        <f t="shared" si="79"/>
        <v/>
      </c>
      <c r="Q1585" s="57" t="str">
        <f t="shared" si="80"/>
        <v/>
      </c>
    </row>
    <row r="1586" spans="7:17" hidden="1">
      <c r="G1586" s="53">
        <f>+F1586-E1586</f>
        <v>0</v>
      </c>
      <c r="K1586" s="1" t="e">
        <f>_xlfn.XLOOKUP(J1586,REF!$D$2:$D$12,REF!$E$2:$E$12)</f>
        <v>#N/A</v>
      </c>
      <c r="P1586" s="57" t="str">
        <f t="shared" si="79"/>
        <v/>
      </c>
      <c r="Q1586" s="57" t="str">
        <f t="shared" si="80"/>
        <v/>
      </c>
    </row>
    <row r="1587" spans="7:17" hidden="1">
      <c r="G1587" s="53">
        <f>+F1587-E1587</f>
        <v>0</v>
      </c>
      <c r="K1587" s="1" t="e">
        <f>_xlfn.XLOOKUP(J1587,REF!$D$2:$D$12,REF!$E$2:$E$12)</f>
        <v>#N/A</v>
      </c>
      <c r="P1587" s="57" t="str">
        <f t="shared" si="79"/>
        <v/>
      </c>
      <c r="Q1587" s="57" t="str">
        <f t="shared" si="80"/>
        <v/>
      </c>
    </row>
    <row r="1588" spans="7:17" hidden="1">
      <c r="G1588" s="53">
        <f>+F1588-E1588</f>
        <v>0</v>
      </c>
      <c r="K1588" s="1" t="e">
        <f>_xlfn.XLOOKUP(J1588,REF!$D$2:$D$12,REF!$E$2:$E$12)</f>
        <v>#N/A</v>
      </c>
      <c r="P1588" s="57" t="str">
        <f t="shared" si="79"/>
        <v/>
      </c>
      <c r="Q1588" s="57" t="str">
        <f t="shared" si="80"/>
        <v/>
      </c>
    </row>
    <row r="1589" spans="7:17" hidden="1">
      <c r="G1589" s="53">
        <f>+F1589-E1589</f>
        <v>0</v>
      </c>
      <c r="K1589" s="1" t="e">
        <f>_xlfn.XLOOKUP(J1589,REF!$D$2:$D$12,REF!$E$2:$E$12)</f>
        <v>#N/A</v>
      </c>
      <c r="P1589" s="57" t="str">
        <f t="shared" si="79"/>
        <v/>
      </c>
      <c r="Q1589" s="57" t="str">
        <f t="shared" si="80"/>
        <v/>
      </c>
    </row>
    <row r="1590" spans="7:17" hidden="1">
      <c r="G1590" s="53">
        <f>+F1590-E1590</f>
        <v>0</v>
      </c>
      <c r="K1590" s="1" t="e">
        <f>_xlfn.XLOOKUP(J1590,REF!$D$2:$D$12,REF!$E$2:$E$12)</f>
        <v>#N/A</v>
      </c>
      <c r="P1590" s="57" t="str">
        <f t="shared" si="79"/>
        <v/>
      </c>
      <c r="Q1590" s="57" t="str">
        <f t="shared" si="80"/>
        <v/>
      </c>
    </row>
    <row r="1591" spans="7:17" hidden="1">
      <c r="G1591" s="53">
        <f>+F1591-E1591</f>
        <v>0</v>
      </c>
      <c r="K1591" s="1" t="e">
        <f>_xlfn.XLOOKUP(J1591,REF!$D$2:$D$12,REF!$E$2:$E$12)</f>
        <v>#N/A</v>
      </c>
      <c r="P1591" s="57" t="str">
        <f t="shared" si="79"/>
        <v/>
      </c>
      <c r="Q1591" s="57" t="str">
        <f t="shared" si="80"/>
        <v/>
      </c>
    </row>
    <row r="1592" spans="7:17" hidden="1">
      <c r="G1592" s="53">
        <f>+F1592-E1592</f>
        <v>0</v>
      </c>
      <c r="K1592" s="1" t="e">
        <f>_xlfn.XLOOKUP(J1592,REF!$D$2:$D$12,REF!$E$2:$E$12)</f>
        <v>#N/A</v>
      </c>
      <c r="P1592" s="57" t="str">
        <f t="shared" si="79"/>
        <v/>
      </c>
      <c r="Q1592" s="57" t="str">
        <f t="shared" si="80"/>
        <v/>
      </c>
    </row>
    <row r="1593" spans="7:17" hidden="1">
      <c r="G1593" s="53">
        <f>+F1593-E1593</f>
        <v>0</v>
      </c>
      <c r="K1593" s="1" t="e">
        <f>_xlfn.XLOOKUP(J1593,REF!$D$2:$D$12,REF!$E$2:$E$12)</f>
        <v>#N/A</v>
      </c>
      <c r="P1593" s="57" t="str">
        <f t="shared" si="79"/>
        <v/>
      </c>
      <c r="Q1593" s="57" t="str">
        <f t="shared" si="80"/>
        <v/>
      </c>
    </row>
    <row r="1594" spans="7:17" hidden="1">
      <c r="G1594" s="53">
        <f>+F1594-E1594</f>
        <v>0</v>
      </c>
      <c r="K1594" s="1" t="e">
        <f>_xlfn.XLOOKUP(J1594,REF!$D$2:$D$12,REF!$E$2:$E$12)</f>
        <v>#N/A</v>
      </c>
      <c r="P1594" s="57" t="str">
        <f t="shared" si="79"/>
        <v/>
      </c>
      <c r="Q1594" s="57" t="str">
        <f t="shared" si="80"/>
        <v/>
      </c>
    </row>
    <row r="1595" spans="7:17" hidden="1">
      <c r="G1595" s="53">
        <f>+F1595-E1595</f>
        <v>0</v>
      </c>
      <c r="K1595" s="1" t="e">
        <f>_xlfn.XLOOKUP(J1595,REF!$D$2:$D$12,REF!$E$2:$E$12)</f>
        <v>#N/A</v>
      </c>
      <c r="P1595" s="57" t="str">
        <f t="shared" si="79"/>
        <v/>
      </c>
      <c r="Q1595" s="57" t="str">
        <f t="shared" si="80"/>
        <v/>
      </c>
    </row>
    <row r="1596" spans="7:17" hidden="1">
      <c r="G1596" s="53">
        <f>+F1596-E1596</f>
        <v>0</v>
      </c>
      <c r="K1596" s="1" t="e">
        <f>_xlfn.XLOOKUP(J1596,REF!$D$2:$D$12,REF!$E$2:$E$12)</f>
        <v>#N/A</v>
      </c>
      <c r="P1596" s="57" t="str">
        <f t="shared" si="79"/>
        <v/>
      </c>
      <c r="Q1596" s="57" t="str">
        <f t="shared" si="80"/>
        <v/>
      </c>
    </row>
    <row r="1597" spans="7:17" hidden="1">
      <c r="G1597" s="53">
        <f>+F1597-E1597</f>
        <v>0</v>
      </c>
      <c r="K1597" s="1" t="e">
        <f>_xlfn.XLOOKUP(J1597,REF!$D$2:$D$12,REF!$E$2:$E$12)</f>
        <v>#N/A</v>
      </c>
      <c r="P1597" s="57" t="str">
        <f t="shared" si="79"/>
        <v/>
      </c>
      <c r="Q1597" s="57" t="str">
        <f t="shared" si="80"/>
        <v/>
      </c>
    </row>
    <row r="1598" spans="7:17" hidden="1">
      <c r="G1598" s="53">
        <f>+F1598-E1598</f>
        <v>0</v>
      </c>
      <c r="K1598" s="1" t="e">
        <f>_xlfn.XLOOKUP(J1598,REF!$D$2:$D$12,REF!$E$2:$E$12)</f>
        <v>#N/A</v>
      </c>
      <c r="P1598" s="57" t="str">
        <f t="shared" ref="P1598:P1607" si="82">_xlfn.CONCAT(B1598,C1598,D1598,E1598,F1598)</f>
        <v/>
      </c>
      <c r="Q1598" s="57" t="str">
        <f t="shared" ref="Q1598:Q1607" si="83">_xlfn.CONCAT(H1598,I1598,J1598)</f>
        <v/>
      </c>
    </row>
    <row r="1599" spans="7:17" hidden="1">
      <c r="G1599" s="53">
        <f>+F1599-E1599</f>
        <v>0</v>
      </c>
      <c r="K1599" s="1" t="e">
        <f>_xlfn.XLOOKUP(J1599,REF!$D$2:$D$12,REF!$E$2:$E$12)</f>
        <v>#N/A</v>
      </c>
      <c r="P1599" s="57" t="str">
        <f t="shared" si="82"/>
        <v/>
      </c>
      <c r="Q1599" s="57" t="str">
        <f t="shared" si="83"/>
        <v/>
      </c>
    </row>
    <row r="1600" spans="7:17" hidden="1">
      <c r="G1600" s="53">
        <f>+F1600-E1600</f>
        <v>0</v>
      </c>
      <c r="K1600" s="1" t="e">
        <f>_xlfn.XLOOKUP(J1600,REF!$D$2:$D$12,REF!$E$2:$E$12)</f>
        <v>#N/A</v>
      </c>
      <c r="P1600" s="57" t="str">
        <f t="shared" si="82"/>
        <v/>
      </c>
      <c r="Q1600" s="57" t="str">
        <f t="shared" si="83"/>
        <v/>
      </c>
    </row>
    <row r="1601" spans="2:17">
      <c r="B1601" s="1" t="s">
        <v>2195</v>
      </c>
      <c r="C1601" s="1" t="s">
        <v>544</v>
      </c>
      <c r="D1601" s="52">
        <v>46373.763888888891</v>
      </c>
      <c r="E1601" s="52">
        <v>46373.763888888891</v>
      </c>
      <c r="F1601" s="52">
        <v>46387.999988425923</v>
      </c>
      <c r="G1601" s="53">
        <f t="shared" ref="G1601:G1607" si="84">F1601-E1601</f>
        <v>14.236099537032715</v>
      </c>
      <c r="H1601" s="1" t="s">
        <v>268</v>
      </c>
      <c r="I1601" s="1" t="s">
        <v>269</v>
      </c>
      <c r="J1601" s="1" t="s">
        <v>319</v>
      </c>
      <c r="K1601" s="1" t="str">
        <f>_xlfn.XLOOKUP(J1601,REF!$D$2:$D$12,REF!$E$2:$E$12)</f>
        <v>Comunicação</v>
      </c>
      <c r="L1601" s="1" t="s">
        <v>2275</v>
      </c>
      <c r="M1601" s="1" t="s">
        <v>289</v>
      </c>
      <c r="N1601" s="1" t="s">
        <v>253</v>
      </c>
      <c r="O1601" s="1" t="s">
        <v>2276</v>
      </c>
      <c r="P1601" s="57" t="str">
        <f t="shared" si="82"/>
        <v>Araçu IInverter7146373,763888888946373,763888888946387,9999884259</v>
      </c>
      <c r="Q1601" s="57" t="str">
        <f t="shared" si="83"/>
        <v>LIGRFOCOM</v>
      </c>
    </row>
    <row r="1602" spans="2:17">
      <c r="B1602" s="1" t="s">
        <v>2195</v>
      </c>
      <c r="C1602" s="1" t="s">
        <v>545</v>
      </c>
      <c r="D1602" s="52">
        <v>46373.763888888891</v>
      </c>
      <c r="E1602" s="52">
        <v>46373.763888888891</v>
      </c>
      <c r="F1602" s="52">
        <v>46387.999988425923</v>
      </c>
      <c r="G1602" s="53">
        <f t="shared" si="84"/>
        <v>14.236099537032715</v>
      </c>
      <c r="H1602" s="1" t="s">
        <v>268</v>
      </c>
      <c r="I1602" s="1" t="s">
        <v>269</v>
      </c>
      <c r="J1602" s="1" t="s">
        <v>319</v>
      </c>
      <c r="K1602" s="1" t="str">
        <f>_xlfn.XLOOKUP(J1602,REF!$D$2:$D$12,REF!$E$2:$E$12)</f>
        <v>Comunicação</v>
      </c>
      <c r="L1602" s="1" t="s">
        <v>2275</v>
      </c>
      <c r="M1602" s="1" t="s">
        <v>289</v>
      </c>
      <c r="N1602" s="1" t="s">
        <v>253</v>
      </c>
      <c r="O1602" s="1" t="s">
        <v>2276</v>
      </c>
      <c r="P1602" s="57" t="str">
        <f t="shared" si="82"/>
        <v>Araçu IInverter7246373,763888888946373,763888888946387,9999884259</v>
      </c>
      <c r="Q1602" s="57" t="str">
        <f t="shared" si="83"/>
        <v>LIGRFOCOM</v>
      </c>
    </row>
    <row r="1603" spans="2:17">
      <c r="B1603" s="1" t="s">
        <v>2195</v>
      </c>
      <c r="C1603" s="1" t="s">
        <v>546</v>
      </c>
      <c r="D1603" s="52">
        <v>46373.763888888891</v>
      </c>
      <c r="E1603" s="52">
        <v>46373.763888888891</v>
      </c>
      <c r="F1603" s="52">
        <v>46387.999988425923</v>
      </c>
      <c r="G1603" s="53">
        <f t="shared" si="84"/>
        <v>14.236099537032715</v>
      </c>
      <c r="H1603" s="1" t="s">
        <v>268</v>
      </c>
      <c r="I1603" s="1" t="s">
        <v>269</v>
      </c>
      <c r="J1603" s="1" t="s">
        <v>319</v>
      </c>
      <c r="K1603" s="1" t="str">
        <f>_xlfn.XLOOKUP(J1603,REF!$D$2:$D$12,REF!$E$2:$E$12)</f>
        <v>Comunicação</v>
      </c>
      <c r="L1603" s="1" t="s">
        <v>2275</v>
      </c>
      <c r="M1603" s="1" t="s">
        <v>289</v>
      </c>
      <c r="N1603" s="1" t="s">
        <v>253</v>
      </c>
      <c r="O1603" s="1" t="s">
        <v>2276</v>
      </c>
      <c r="P1603" s="57" t="str">
        <f t="shared" si="82"/>
        <v>Araçu IInverter7346373,763888888946373,763888888946387,9999884259</v>
      </c>
      <c r="Q1603" s="57" t="str">
        <f t="shared" si="83"/>
        <v>LIGRFOCOM</v>
      </c>
    </row>
    <row r="1604" spans="2:17">
      <c r="B1604" s="1" t="s">
        <v>2195</v>
      </c>
      <c r="C1604" s="1" t="s">
        <v>547</v>
      </c>
      <c r="D1604" s="52">
        <v>46373.763888888891</v>
      </c>
      <c r="E1604" s="52">
        <v>46373.763888888891</v>
      </c>
      <c r="F1604" s="52">
        <v>46387.999988425923</v>
      </c>
      <c r="G1604" s="53">
        <f t="shared" si="84"/>
        <v>14.236099537032715</v>
      </c>
      <c r="H1604" s="1" t="s">
        <v>268</v>
      </c>
      <c r="I1604" s="1" t="s">
        <v>269</v>
      </c>
      <c r="J1604" s="1" t="s">
        <v>319</v>
      </c>
      <c r="K1604" s="1" t="str">
        <f>_xlfn.XLOOKUP(J1604,REF!$D$2:$D$12,REF!$E$2:$E$12)</f>
        <v>Comunicação</v>
      </c>
      <c r="L1604" s="1" t="s">
        <v>2275</v>
      </c>
      <c r="M1604" s="1" t="s">
        <v>289</v>
      </c>
      <c r="N1604" s="1" t="s">
        <v>253</v>
      </c>
      <c r="O1604" s="1" t="s">
        <v>2276</v>
      </c>
      <c r="P1604" s="57" t="str">
        <f t="shared" si="82"/>
        <v>Araçu IInverter7446373,763888888946373,763888888946387,9999884259</v>
      </c>
      <c r="Q1604" s="57" t="str">
        <f t="shared" si="83"/>
        <v>LIGRFOCOM</v>
      </c>
    </row>
    <row r="1605" spans="2:17">
      <c r="B1605" s="1" t="s">
        <v>2195</v>
      </c>
      <c r="C1605" s="1" t="s">
        <v>548</v>
      </c>
      <c r="D1605" s="52">
        <v>46373.763888888891</v>
      </c>
      <c r="E1605" s="52">
        <v>46373.763888888891</v>
      </c>
      <c r="F1605" s="52">
        <v>46387.999988425923</v>
      </c>
      <c r="G1605" s="53">
        <f t="shared" si="84"/>
        <v>14.236099537032715</v>
      </c>
      <c r="H1605" s="1" t="s">
        <v>268</v>
      </c>
      <c r="I1605" s="1" t="s">
        <v>269</v>
      </c>
      <c r="J1605" s="1" t="s">
        <v>319</v>
      </c>
      <c r="K1605" s="1" t="str">
        <f>_xlfn.XLOOKUP(J1605,REF!$D$2:$D$12,REF!$E$2:$E$12)</f>
        <v>Comunicação</v>
      </c>
      <c r="L1605" s="1" t="s">
        <v>2275</v>
      </c>
      <c r="M1605" s="1" t="s">
        <v>289</v>
      </c>
      <c r="N1605" s="1" t="s">
        <v>253</v>
      </c>
      <c r="O1605" s="1" t="s">
        <v>2276</v>
      </c>
      <c r="P1605" s="57" t="str">
        <f t="shared" si="82"/>
        <v>Araçu IInverter7546373,763888888946373,763888888946387,9999884259</v>
      </c>
      <c r="Q1605" s="57" t="str">
        <f t="shared" si="83"/>
        <v>LIGRFOCOM</v>
      </c>
    </row>
    <row r="1606" spans="2:17">
      <c r="B1606" s="1" t="s">
        <v>2195</v>
      </c>
      <c r="C1606" s="1" t="s">
        <v>549</v>
      </c>
      <c r="D1606" s="52">
        <v>46373.763888888891</v>
      </c>
      <c r="E1606" s="52">
        <v>46373.763888888891</v>
      </c>
      <c r="F1606" s="52">
        <v>46387.999988425923</v>
      </c>
      <c r="G1606" s="53">
        <f t="shared" si="84"/>
        <v>14.236099537032715</v>
      </c>
      <c r="H1606" s="1" t="s">
        <v>268</v>
      </c>
      <c r="I1606" s="1" t="s">
        <v>269</v>
      </c>
      <c r="J1606" s="1" t="s">
        <v>319</v>
      </c>
      <c r="K1606" s="1" t="str">
        <f>_xlfn.XLOOKUP(J1606,REF!$D$2:$D$12,REF!$E$2:$E$12)</f>
        <v>Comunicação</v>
      </c>
      <c r="L1606" s="1" t="s">
        <v>2275</v>
      </c>
      <c r="M1606" s="1" t="s">
        <v>289</v>
      </c>
      <c r="N1606" s="1" t="s">
        <v>253</v>
      </c>
      <c r="O1606" s="1" t="s">
        <v>2276</v>
      </c>
      <c r="P1606" s="57" t="str">
        <f t="shared" si="82"/>
        <v>Araçu IInverter7646373,763888888946373,763888888946387,9999884259</v>
      </c>
      <c r="Q1606" s="57" t="str">
        <f t="shared" si="83"/>
        <v>LIGRFOCOM</v>
      </c>
    </row>
    <row r="1607" spans="2:17">
      <c r="B1607" s="1" t="s">
        <v>2195</v>
      </c>
      <c r="C1607" s="1" t="s">
        <v>550</v>
      </c>
      <c r="D1607" s="52">
        <v>46373.763888888891</v>
      </c>
      <c r="E1607" s="52">
        <v>46373.763888888891</v>
      </c>
      <c r="F1607" s="52">
        <v>46387.999988425923</v>
      </c>
      <c r="G1607" s="53">
        <f t="shared" si="84"/>
        <v>14.236099537032715</v>
      </c>
      <c r="H1607" s="1" t="s">
        <v>268</v>
      </c>
      <c r="I1607" s="1" t="s">
        <v>269</v>
      </c>
      <c r="J1607" s="1" t="s">
        <v>319</v>
      </c>
      <c r="K1607" s="1" t="str">
        <f>_xlfn.XLOOKUP(J1607,REF!$D$2:$D$12,REF!$E$2:$E$12)</f>
        <v>Comunicação</v>
      </c>
      <c r="L1607" s="1" t="s">
        <v>2275</v>
      </c>
      <c r="M1607" s="1" t="s">
        <v>289</v>
      </c>
      <c r="N1607" s="1" t="s">
        <v>253</v>
      </c>
      <c r="O1607" s="1" t="s">
        <v>2276</v>
      </c>
      <c r="P1607" s="57" t="str">
        <f t="shared" si="82"/>
        <v>Araçu IInverter7746373,763888888946373,763888888946387,9999884259</v>
      </c>
      <c r="Q1607" s="57" t="str">
        <f t="shared" si="83"/>
        <v>LIGRFOCOM</v>
      </c>
    </row>
    <row r="1608" spans="2:17" hidden="1">
      <c r="K1608" s="1" t="e">
        <f>_xlfn.XLOOKUP(J1608,REF!$D$2:$D$12,REF!$E$2:$E$12)</f>
        <v>#N/A</v>
      </c>
    </row>
    <row r="1609" spans="2:17" hidden="1">
      <c r="K1609" s="1" t="e">
        <f>_xlfn.XLOOKUP(J1609,REF!$D$2:$D$12,REF!$E$2:$E$12)</f>
        <v>#N/A</v>
      </c>
    </row>
    <row r="1610" spans="2:17" hidden="1">
      <c r="K1610" s="1" t="e">
        <f>_xlfn.XLOOKUP(J1610,REF!$D$2:$D$12,REF!$E$2:$E$12)</f>
        <v>#N/A</v>
      </c>
    </row>
    <row r="1611" spans="2:17" hidden="1">
      <c r="K1611" s="1" t="e">
        <f>_xlfn.XLOOKUP(J1611,REF!$D$2:$D$12,REF!$E$2:$E$12)</f>
        <v>#N/A</v>
      </c>
    </row>
    <row r="1612" spans="2:17" hidden="1">
      <c r="K1612" s="1" t="e">
        <f>_xlfn.XLOOKUP(J1612,REF!$D$2:$D$12,REF!$E$2:$E$12)</f>
        <v>#N/A</v>
      </c>
    </row>
    <row r="1613" spans="2:17" hidden="1">
      <c r="K1613" s="1" t="e">
        <f>_xlfn.XLOOKUP(J1613,REF!$D$2:$D$12,REF!$E$2:$E$12)</f>
        <v>#N/A</v>
      </c>
    </row>
    <row r="1614" spans="2:17" hidden="1">
      <c r="K1614" s="1" t="e">
        <f>_xlfn.XLOOKUP(J1614,REF!$D$2:$D$12,REF!$E$2:$E$12)</f>
        <v>#N/A</v>
      </c>
    </row>
    <row r="1615" spans="2:17" hidden="1">
      <c r="K1615" s="1" t="e">
        <f>_xlfn.XLOOKUP(J1615,REF!$D$2:$D$12,REF!$E$2:$E$12)</f>
        <v>#N/A</v>
      </c>
    </row>
    <row r="1616" spans="2:17" hidden="1">
      <c r="B1616" s="61" t="s">
        <v>368</v>
      </c>
      <c r="C1616" s="61" t="s">
        <v>256</v>
      </c>
      <c r="D1616" s="62">
        <v>46011.450694444444</v>
      </c>
      <c r="E1616" s="62">
        <v>46011.450694444444</v>
      </c>
      <c r="F1616" s="62">
        <v>46014.861111111109</v>
      </c>
      <c r="G1616" s="63">
        <f>F1616-E1616</f>
        <v>3.4104166666656965</v>
      </c>
      <c r="H1616" s="61" t="s">
        <v>257</v>
      </c>
      <c r="I1616" s="61"/>
      <c r="J1616" s="61" t="s">
        <v>258</v>
      </c>
      <c r="K1616" s="61" t="s">
        <v>658</v>
      </c>
      <c r="L1616" s="61" t="s">
        <v>2277</v>
      </c>
      <c r="M1616" s="61" t="s">
        <v>260</v>
      </c>
      <c r="N1616" s="61" t="s">
        <v>357</v>
      </c>
      <c r="O1616" s="61" t="s">
        <v>1961</v>
      </c>
      <c r="P1616" s="61" t="str">
        <f t="shared" ref="P1616:P1623" si="85">_xlfn.CONCAT(B1616,C1616,D1616,E1616,F1616)</f>
        <v>BC Ibiuna 1.1Inverter(MBUS-12)46011,450694444446011,450694444446014,8611111111</v>
      </c>
      <c r="Q1616" s="61" t="str">
        <f t="shared" ref="Q1616:Q1623" si="86">_xlfn.CONCAT(H1616,I1616,J1616)</f>
        <v>DAURDE</v>
      </c>
    </row>
    <row r="1617" spans="2:17" hidden="1">
      <c r="B1617" s="61" t="s">
        <v>368</v>
      </c>
      <c r="C1617" s="61" t="s">
        <v>264</v>
      </c>
      <c r="D1617" s="62">
        <v>46011.450694444444</v>
      </c>
      <c r="E1617" s="62">
        <v>46011.450694444444</v>
      </c>
      <c r="F1617" s="62">
        <v>46014.861111111109</v>
      </c>
      <c r="G1617" s="63">
        <f>F1617-E1617</f>
        <v>3.4104166666656965</v>
      </c>
      <c r="H1617" s="61" t="s">
        <v>257</v>
      </c>
      <c r="I1617" s="61"/>
      <c r="J1617" s="61" t="s">
        <v>258</v>
      </c>
      <c r="K1617" s="61" t="s">
        <v>658</v>
      </c>
      <c r="L1617" s="61" t="s">
        <v>2277</v>
      </c>
      <c r="M1617" s="61" t="s">
        <v>260</v>
      </c>
      <c r="N1617" s="61" t="s">
        <v>357</v>
      </c>
      <c r="O1617" s="61" t="s">
        <v>1961</v>
      </c>
      <c r="P1617" s="61" t="str">
        <f t="shared" si="85"/>
        <v>BC Ibiuna 1.1Inverter(MBUS-13)46011,450694444446011,450694444446014,8611111111</v>
      </c>
      <c r="Q1617" s="61" t="str">
        <f t="shared" si="86"/>
        <v>DAURDE</v>
      </c>
    </row>
    <row r="1618" spans="2:17" hidden="1">
      <c r="B1618" s="61" t="s">
        <v>368</v>
      </c>
      <c r="C1618" s="61" t="s">
        <v>263</v>
      </c>
      <c r="D1618" s="62">
        <v>46011.450694444444</v>
      </c>
      <c r="E1618" s="62">
        <v>46011.450694444444</v>
      </c>
      <c r="F1618" s="62">
        <v>46014.861111111109</v>
      </c>
      <c r="G1618" s="63">
        <f>F1618-E1618</f>
        <v>3.4104166666656965</v>
      </c>
      <c r="H1618" s="61" t="s">
        <v>257</v>
      </c>
      <c r="I1618" s="61"/>
      <c r="J1618" s="61" t="s">
        <v>258</v>
      </c>
      <c r="K1618" s="61" t="s">
        <v>658</v>
      </c>
      <c r="L1618" s="61" t="s">
        <v>2277</v>
      </c>
      <c r="M1618" s="61" t="s">
        <v>260</v>
      </c>
      <c r="N1618" s="61" t="s">
        <v>357</v>
      </c>
      <c r="O1618" s="61" t="s">
        <v>1961</v>
      </c>
      <c r="P1618" s="61" t="str">
        <f t="shared" si="85"/>
        <v>BC Ibiuna 1.1Inverter(MBUS-14)46011,450694444446011,450694444446014,8611111111</v>
      </c>
      <c r="Q1618" s="61" t="str">
        <f t="shared" si="86"/>
        <v>DAURDE</v>
      </c>
    </row>
    <row r="1619" spans="2:17" hidden="1">
      <c r="B1619" s="61" t="s">
        <v>368</v>
      </c>
      <c r="C1619" s="61" t="s">
        <v>307</v>
      </c>
      <c r="D1619" s="62">
        <v>46011.450694444444</v>
      </c>
      <c r="E1619" s="62">
        <v>46011.450694444444</v>
      </c>
      <c r="F1619" s="62">
        <v>46014.861111111109</v>
      </c>
      <c r="G1619" s="63">
        <f>F1619-E1619</f>
        <v>3.4104166666656965</v>
      </c>
      <c r="H1619" s="61" t="s">
        <v>257</v>
      </c>
      <c r="I1619" s="61"/>
      <c r="J1619" s="61" t="s">
        <v>258</v>
      </c>
      <c r="K1619" s="61" t="s">
        <v>658</v>
      </c>
      <c r="L1619" s="61" t="s">
        <v>2277</v>
      </c>
      <c r="M1619" s="61" t="s">
        <v>260</v>
      </c>
      <c r="N1619" s="61" t="s">
        <v>357</v>
      </c>
      <c r="O1619" s="61" t="s">
        <v>1961</v>
      </c>
      <c r="P1619" s="61" t="str">
        <f t="shared" si="85"/>
        <v>BC Ibiuna 1.1Inverter(MBUS-15)46011,450694444446011,450694444446014,8611111111</v>
      </c>
      <c r="Q1619" s="61" t="str">
        <f t="shared" si="86"/>
        <v>DAURDE</v>
      </c>
    </row>
    <row r="1620" spans="2:17" hidden="1">
      <c r="B1620" s="61" t="s">
        <v>370</v>
      </c>
      <c r="C1620" s="61" t="s">
        <v>256</v>
      </c>
      <c r="D1620" s="62">
        <v>46011.450694444444</v>
      </c>
      <c r="E1620" s="62">
        <v>46011.450694444444</v>
      </c>
      <c r="F1620" s="62">
        <v>46014.861111111109</v>
      </c>
      <c r="G1620" s="63">
        <f>F1620-E1620</f>
        <v>3.4104166666656965</v>
      </c>
      <c r="H1620" s="61" t="s">
        <v>257</v>
      </c>
      <c r="I1620" s="61"/>
      <c r="J1620" s="61" t="s">
        <v>258</v>
      </c>
      <c r="K1620" s="61" t="s">
        <v>658</v>
      </c>
      <c r="L1620" s="61" t="s">
        <v>2277</v>
      </c>
      <c r="M1620" s="61" t="s">
        <v>260</v>
      </c>
      <c r="N1620" s="61" t="s">
        <v>357</v>
      </c>
      <c r="O1620" s="61" t="s">
        <v>1961</v>
      </c>
      <c r="P1620" s="61" t="str">
        <f t="shared" si="85"/>
        <v>BC Ibiuna 1.2Inverter(MBUS-12)46011,450694444446011,450694444446014,8611111111</v>
      </c>
      <c r="Q1620" s="61" t="str">
        <f t="shared" si="86"/>
        <v>DAURDE</v>
      </c>
    </row>
    <row r="1621" spans="2:17" hidden="1">
      <c r="B1621" s="61" t="s">
        <v>370</v>
      </c>
      <c r="C1621" s="61" t="s">
        <v>264</v>
      </c>
      <c r="D1621" s="62">
        <v>46011.450694444444</v>
      </c>
      <c r="E1621" s="62">
        <v>46011.450694444444</v>
      </c>
      <c r="F1621" s="62">
        <v>46014.861111111109</v>
      </c>
      <c r="G1621" s="63">
        <f>F1621-E1621</f>
        <v>3.4104166666656965</v>
      </c>
      <c r="H1621" s="61" t="s">
        <v>257</v>
      </c>
      <c r="I1621" s="61"/>
      <c r="J1621" s="61" t="s">
        <v>258</v>
      </c>
      <c r="K1621" s="61" t="s">
        <v>658</v>
      </c>
      <c r="L1621" s="61" t="s">
        <v>2277</v>
      </c>
      <c r="M1621" s="61" t="s">
        <v>260</v>
      </c>
      <c r="N1621" s="61" t="s">
        <v>357</v>
      </c>
      <c r="O1621" s="61" t="s">
        <v>1961</v>
      </c>
      <c r="P1621" s="61" t="str">
        <f t="shared" si="85"/>
        <v>BC Ibiuna 1.2Inverter(MBUS-13)46011,450694444446011,450694444446014,8611111111</v>
      </c>
      <c r="Q1621" s="61" t="str">
        <f t="shared" si="86"/>
        <v>DAURDE</v>
      </c>
    </row>
    <row r="1622" spans="2:17" hidden="1">
      <c r="B1622" s="61" t="s">
        <v>370</v>
      </c>
      <c r="C1622" s="61" t="s">
        <v>263</v>
      </c>
      <c r="D1622" s="62">
        <v>46011.450694444444</v>
      </c>
      <c r="E1622" s="62">
        <v>46011.450694444444</v>
      </c>
      <c r="F1622" s="62">
        <v>46014.861111111109</v>
      </c>
      <c r="G1622" s="63">
        <f>F1622-E1622</f>
        <v>3.4104166666656965</v>
      </c>
      <c r="H1622" s="61" t="s">
        <v>257</v>
      </c>
      <c r="I1622" s="61"/>
      <c r="J1622" s="61" t="s">
        <v>258</v>
      </c>
      <c r="K1622" s="61" t="s">
        <v>658</v>
      </c>
      <c r="L1622" s="61" t="s">
        <v>2277</v>
      </c>
      <c r="M1622" s="61" t="s">
        <v>260</v>
      </c>
      <c r="N1622" s="61" t="s">
        <v>357</v>
      </c>
      <c r="O1622" s="61" t="s">
        <v>1961</v>
      </c>
      <c r="P1622" s="61" t="str">
        <f t="shared" si="85"/>
        <v>BC Ibiuna 1.2Inverter(MBUS-14)46011,450694444446011,450694444446014,8611111111</v>
      </c>
      <c r="Q1622" s="61" t="str">
        <f t="shared" si="86"/>
        <v>DAURDE</v>
      </c>
    </row>
    <row r="1623" spans="2:17" hidden="1">
      <c r="B1623" s="61" t="s">
        <v>370</v>
      </c>
      <c r="C1623" s="61" t="s">
        <v>307</v>
      </c>
      <c r="D1623" s="62">
        <v>46011.450694444444</v>
      </c>
      <c r="E1623" s="62">
        <v>46011.450694444444</v>
      </c>
      <c r="F1623" s="62">
        <v>46014.861111111109</v>
      </c>
      <c r="G1623" s="63">
        <f>F1623-E1623</f>
        <v>3.4104166666656965</v>
      </c>
      <c r="H1623" s="61" t="s">
        <v>257</v>
      </c>
      <c r="I1623" s="61"/>
      <c r="J1623" s="61" t="s">
        <v>258</v>
      </c>
      <c r="K1623" s="61" t="s">
        <v>658</v>
      </c>
      <c r="L1623" s="61" t="s">
        <v>2277</v>
      </c>
      <c r="M1623" s="61" t="s">
        <v>260</v>
      </c>
      <c r="N1623" s="61" t="s">
        <v>357</v>
      </c>
      <c r="O1623" s="61" t="s">
        <v>1961</v>
      </c>
      <c r="P1623" s="61" t="str">
        <f t="shared" si="85"/>
        <v>BC Ibiuna 1.2Inverter(MBUS-15)46011,450694444446011,450694444446014,8611111111</v>
      </c>
      <c r="Q1623" s="61" t="str">
        <f t="shared" si="86"/>
        <v>DAURDE</v>
      </c>
    </row>
  </sheetData>
  <autoFilter ref="A1:Q1623" xr:uid="{79DC4CCA-9A61-4806-8E56-EE96087CE65F}">
    <filterColumn colId="10">
      <filters>
        <filter val="Comunicação"/>
      </filters>
    </filterColumn>
  </autoFilter>
  <conditionalFormatting sqref="P1">
    <cfRule type="duplicateValues" dxfId="5" priority="2"/>
    <cfRule type="duplicateValues" dxfId="4" priority="3"/>
  </conditionalFormatting>
  <conditionalFormatting sqref="P1:P1048576">
    <cfRule type="duplicateValues" dxfId="3" priority="1"/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F995904-2653-47B7-8585-FC3363F514BE}">
          <x14:formula1>
            <xm:f>REF!$B$2:$B$7</xm:f>
          </x14:formula1>
          <xm:sqref>H59:H126 H165:H462 H488:H509 H514:H928 H946:H975 H998:H1020 H1072:H1121 H1194:H1198 H1270:H1278 H1299:H1306 H1309:H1345 H1369:H1373 H1376:H1456 H1546:H1607 H1501:H1533</xm:sqref>
        </x14:dataValidation>
        <x14:dataValidation type="list" allowBlank="1" showInputMessage="1" showErrorMessage="1" xr:uid="{EC0EA0EC-759D-45C6-AA48-8774604975B1}">
          <x14:formula1>
            <xm:f>REF!$C$2:$C$6</xm:f>
          </x14:formula1>
          <xm:sqref>I59:I126 I165:I462 I488:I509 I514:I858 I863:I875 I888:I928 I946:I975 I998:I1020 I1072:I1121 I1194:I1198 I1270:I1278 I1299:I1306 I1309:I1345 I1501:I1514 I1601:I1607</xm:sqref>
        </x14:dataValidation>
        <x14:dataValidation type="list" allowBlank="1" showInputMessage="1" showErrorMessage="1" xr:uid="{0B462A0A-288E-439F-8EEB-753F8A11949D}">
          <x14:formula1>
            <xm:f>REF!$D$2:$D$13</xm:f>
          </x14:formula1>
          <xm:sqref>J59:J126 J165:J462 J488:J509 J514:J928 J946:J975 J998:J1020 J1072:J1121 J1194:J1198 J1270:J1278 J1299:J1306 J1309:J1345 J1501:J1514 J1532:J1533 J1546:J1607</xm:sqref>
        </x14:dataValidation>
        <x14:dataValidation type="list" allowBlank="1" showInputMessage="1" showErrorMessage="1" xr:uid="{246B40C1-CC4E-426B-B584-A5F2B499D84B}">
          <x14:formula1>
            <xm:f>REF!$F$2:$F$16</xm:f>
          </x14:formula1>
          <xm:sqref>M59:M126 M165:M462 M488:M509 M514:M928 M946:M975 M998:M1020 M1072:M1121 M1194:M1198 M1270:M1278 M1299:M1306 M1309:M1345 M1501:M1533 M1601:M1607</xm:sqref>
        </x14:dataValidation>
        <x14:dataValidation type="list" allowBlank="1" showInputMessage="1" showErrorMessage="1" xr:uid="{08E02CD3-D8B0-4DB8-BD8A-401A7D1DE87C}">
          <x14:formula1>
            <xm:f>REF!$A$2:$A$13</xm:f>
          </x14:formula1>
          <xm:sqref>N59:N126 N165:N462 N488:N509 N514:N928 N946:N975 N998:N1020 N1072:N1121 N1194:N1198 N1270:N1278 N1299:N1306 N1309:N1345 N1501:N1533 N1546:N1607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4CCA-9A61-4806-8E56-EE96087CE65F}">
  <dimension ref="A1:Q1685"/>
  <sheetViews>
    <sheetView topLeftCell="L951" workbookViewId="0">
      <selection activeCell="L1535" sqref="L1535"/>
    </sheetView>
  </sheetViews>
  <sheetFormatPr defaultRowHeight="14.45"/>
  <cols>
    <col min="1" max="2" width="17.42578125" style="2" bestFit="1" customWidth="1"/>
    <col min="3" max="3" width="31.28515625" style="2" bestFit="1" customWidth="1"/>
    <col min="4" max="4" width="19.140625" style="11" hidden="1" customWidth="1"/>
    <col min="5" max="6" width="18.140625" style="11" hidden="1" customWidth="1"/>
    <col min="7" max="7" width="12.42578125" style="12" hidden="1" customWidth="1"/>
    <col min="8" max="8" width="15.28515625" style="2" customWidth="1"/>
    <col min="9" max="9" width="12.42578125" style="2" customWidth="1"/>
    <col min="10" max="10" width="11.7109375" style="2" bestFit="1" customWidth="1"/>
    <col min="11" max="11" width="15.7109375" style="2" bestFit="1" customWidth="1"/>
    <col min="12" max="12" width="188.7109375" style="2" customWidth="1"/>
    <col min="13" max="13" width="18.28515625" bestFit="1" customWidth="1"/>
    <col min="14" max="14" width="23.85546875" bestFit="1" customWidth="1"/>
    <col min="15" max="15" width="255.7109375" bestFit="1" customWidth="1"/>
    <col min="16" max="16" width="90.7109375" bestFit="1" customWidth="1"/>
    <col min="17" max="17" width="16" bestFit="1" customWidth="1"/>
  </cols>
  <sheetData>
    <row r="1" spans="1:17">
      <c r="A1" s="5" t="s">
        <v>1</v>
      </c>
      <c r="B1" s="5" t="s">
        <v>230</v>
      </c>
      <c r="C1" s="5" t="s">
        <v>231</v>
      </c>
      <c r="D1" s="6" t="s">
        <v>232</v>
      </c>
      <c r="E1" s="7" t="s">
        <v>233</v>
      </c>
      <c r="F1" s="7" t="s">
        <v>234</v>
      </c>
      <c r="G1" s="8" t="s">
        <v>235</v>
      </c>
      <c r="H1" s="5" t="s">
        <v>236</v>
      </c>
      <c r="I1" s="5" t="s">
        <v>237</v>
      </c>
      <c r="J1" s="5" t="s">
        <v>238</v>
      </c>
      <c r="K1" s="5" t="s">
        <v>239</v>
      </c>
      <c r="L1" s="5" t="s">
        <v>240</v>
      </c>
      <c r="M1" s="5" t="s">
        <v>241</v>
      </c>
      <c r="N1" s="9" t="s">
        <v>242</v>
      </c>
      <c r="O1" s="5" t="s">
        <v>243</v>
      </c>
      <c r="P1" s="5" t="s">
        <v>244</v>
      </c>
      <c r="Q1" s="5" t="s">
        <v>245</v>
      </c>
    </row>
    <row r="2" spans="1:17">
      <c r="A2" s="2" t="s">
        <v>387</v>
      </c>
      <c r="B2" s="2" t="s">
        <v>387</v>
      </c>
      <c r="C2" s="2" t="s">
        <v>389</v>
      </c>
      <c r="D2" s="11">
        <v>45961.725694444445</v>
      </c>
      <c r="E2" s="11">
        <v>45962</v>
      </c>
      <c r="F2" s="11">
        <v>45962.290277777778</v>
      </c>
      <c r="G2" s="12">
        <v>0.29027777777810115</v>
      </c>
      <c r="H2" s="2" t="s">
        <v>257</v>
      </c>
      <c r="J2" s="2" t="s">
        <v>258</v>
      </c>
      <c r="K2" s="2" t="s">
        <v>658</v>
      </c>
      <c r="L2" s="2" t="s">
        <v>2278</v>
      </c>
      <c r="M2" t="s">
        <v>260</v>
      </c>
      <c r="N2" t="s">
        <v>357</v>
      </c>
      <c r="O2" t="s">
        <v>2279</v>
      </c>
      <c r="P2" t="s">
        <v>2280</v>
      </c>
      <c r="Q2" t="s">
        <v>2281</v>
      </c>
    </row>
    <row r="3" spans="1:17">
      <c r="A3" s="2" t="s">
        <v>387</v>
      </c>
      <c r="B3" s="2" t="s">
        <v>387</v>
      </c>
      <c r="C3" s="2" t="s">
        <v>390</v>
      </c>
      <c r="D3" s="11">
        <v>45961.725694444445</v>
      </c>
      <c r="E3" s="11">
        <v>45962</v>
      </c>
      <c r="F3" s="11">
        <v>45962.290277777778</v>
      </c>
      <c r="G3" s="12">
        <v>0.29027777777810115</v>
      </c>
      <c r="H3" s="2" t="s">
        <v>257</v>
      </c>
      <c r="J3" s="2" t="s">
        <v>258</v>
      </c>
      <c r="K3" s="2" t="s">
        <v>658</v>
      </c>
      <c r="L3" s="2" t="s">
        <v>2278</v>
      </c>
      <c r="M3" t="s">
        <v>260</v>
      </c>
      <c r="N3" t="s">
        <v>357</v>
      </c>
      <c r="O3" t="s">
        <v>2279</v>
      </c>
      <c r="P3" t="s">
        <v>2282</v>
      </c>
      <c r="Q3" t="s">
        <v>2281</v>
      </c>
    </row>
    <row r="4" spans="1:17">
      <c r="A4" s="2" t="s">
        <v>387</v>
      </c>
      <c r="B4" s="2" t="s">
        <v>387</v>
      </c>
      <c r="C4" s="2" t="s">
        <v>256</v>
      </c>
      <c r="D4" s="11">
        <v>45961.725694444445</v>
      </c>
      <c r="E4" s="11">
        <v>45962</v>
      </c>
      <c r="F4" s="11">
        <v>45962.290277777778</v>
      </c>
      <c r="G4" s="12">
        <v>0.29027777777810115</v>
      </c>
      <c r="H4" s="2" t="s">
        <v>257</v>
      </c>
      <c r="J4" s="2" t="s">
        <v>258</v>
      </c>
      <c r="K4" s="2" t="s">
        <v>658</v>
      </c>
      <c r="L4" s="2" t="s">
        <v>2278</v>
      </c>
      <c r="M4" t="s">
        <v>260</v>
      </c>
      <c r="N4" t="s">
        <v>357</v>
      </c>
      <c r="O4" t="s">
        <v>2279</v>
      </c>
      <c r="P4" t="s">
        <v>2283</v>
      </c>
      <c r="Q4" t="s">
        <v>2281</v>
      </c>
    </row>
    <row r="5" spans="1:17">
      <c r="A5" s="2" t="s">
        <v>387</v>
      </c>
      <c r="B5" s="2" t="s">
        <v>387</v>
      </c>
      <c r="C5" s="2" t="s">
        <v>388</v>
      </c>
      <c r="D5" s="11">
        <v>45961.725694444445</v>
      </c>
      <c r="E5" s="11">
        <v>45962</v>
      </c>
      <c r="F5" s="11">
        <v>45962.290277777778</v>
      </c>
      <c r="G5" s="12">
        <v>0.29027777777810115</v>
      </c>
      <c r="H5" s="2" t="s">
        <v>257</v>
      </c>
      <c r="J5" s="2" t="s">
        <v>258</v>
      </c>
      <c r="K5" s="2" t="s">
        <v>658</v>
      </c>
      <c r="L5" s="2" t="s">
        <v>2278</v>
      </c>
      <c r="M5" t="s">
        <v>260</v>
      </c>
      <c r="N5" t="s">
        <v>357</v>
      </c>
      <c r="O5" t="s">
        <v>2279</v>
      </c>
      <c r="P5" t="s">
        <v>2284</v>
      </c>
      <c r="Q5" t="s">
        <v>2281</v>
      </c>
    </row>
    <row r="6" spans="1:17">
      <c r="A6" s="2" t="s">
        <v>387</v>
      </c>
      <c r="B6" s="2" t="s">
        <v>387</v>
      </c>
      <c r="C6" s="2" t="s">
        <v>247</v>
      </c>
      <c r="D6" s="11">
        <v>45961.725694444445</v>
      </c>
      <c r="E6" s="11">
        <v>45962</v>
      </c>
      <c r="F6" s="11">
        <v>45962.290277777778</v>
      </c>
      <c r="G6" s="12">
        <v>0.29027777777810115</v>
      </c>
      <c r="H6" s="2" t="s">
        <v>257</v>
      </c>
      <c r="J6" s="2" t="s">
        <v>258</v>
      </c>
      <c r="K6" s="2" t="s">
        <v>658</v>
      </c>
      <c r="L6" s="2" t="s">
        <v>2278</v>
      </c>
      <c r="M6" t="s">
        <v>260</v>
      </c>
      <c r="N6" t="s">
        <v>357</v>
      </c>
      <c r="O6" t="s">
        <v>2279</v>
      </c>
      <c r="P6" t="s">
        <v>2285</v>
      </c>
      <c r="Q6" t="s">
        <v>2281</v>
      </c>
    </row>
    <row r="7" spans="1:17">
      <c r="A7" s="2" t="s">
        <v>2123</v>
      </c>
      <c r="B7" s="2" t="s">
        <v>585</v>
      </c>
      <c r="C7" s="2" t="s">
        <v>602</v>
      </c>
      <c r="D7" s="11">
        <v>45962.25</v>
      </c>
      <c r="E7" s="11">
        <v>45962.25</v>
      </c>
      <c r="F7" s="11">
        <v>45962.263888888891</v>
      </c>
      <c r="G7" s="12">
        <v>1.3888888890505768E-2</v>
      </c>
      <c r="H7" s="2" t="s">
        <v>257</v>
      </c>
      <c r="J7" s="2" t="s">
        <v>258</v>
      </c>
      <c r="K7" s="2" t="s">
        <v>658</v>
      </c>
      <c r="L7" s="2" t="s">
        <v>2286</v>
      </c>
      <c r="M7" t="s">
        <v>260</v>
      </c>
      <c r="N7" t="s">
        <v>357</v>
      </c>
      <c r="O7" t="s">
        <v>632</v>
      </c>
      <c r="P7" t="s">
        <v>2287</v>
      </c>
      <c r="Q7" t="s">
        <v>2281</v>
      </c>
    </row>
    <row r="8" spans="1:17">
      <c r="A8" s="2" t="s">
        <v>2125</v>
      </c>
      <c r="B8" s="2" t="s">
        <v>585</v>
      </c>
      <c r="C8" s="2" t="s">
        <v>595</v>
      </c>
      <c r="D8" s="11">
        <v>45962.25</v>
      </c>
      <c r="E8" s="11">
        <v>45962.25</v>
      </c>
      <c r="F8" s="11">
        <v>45962.263888888891</v>
      </c>
      <c r="G8" s="12">
        <v>1.3888888890505768E-2</v>
      </c>
      <c r="H8" s="2" t="s">
        <v>257</v>
      </c>
      <c r="J8" s="2" t="s">
        <v>258</v>
      </c>
      <c r="K8" s="2" t="s">
        <v>658</v>
      </c>
      <c r="L8" s="2" t="s">
        <v>2286</v>
      </c>
      <c r="M8" t="s">
        <v>260</v>
      </c>
      <c r="N8" t="s">
        <v>357</v>
      </c>
      <c r="O8" t="s">
        <v>632</v>
      </c>
      <c r="P8" t="s">
        <v>2288</v>
      </c>
      <c r="Q8" t="s">
        <v>2281</v>
      </c>
    </row>
    <row r="9" spans="1:17">
      <c r="A9" s="2" t="s">
        <v>2125</v>
      </c>
      <c r="B9" s="2" t="s">
        <v>585</v>
      </c>
      <c r="C9" s="2" t="s">
        <v>592</v>
      </c>
      <c r="D9" s="11">
        <v>45962.25</v>
      </c>
      <c r="E9" s="11">
        <v>45962.25</v>
      </c>
      <c r="F9" s="11">
        <v>45962.263888888891</v>
      </c>
      <c r="G9" s="12">
        <v>1.3888888890505768E-2</v>
      </c>
      <c r="H9" s="2" t="s">
        <v>257</v>
      </c>
      <c r="J9" s="2" t="s">
        <v>258</v>
      </c>
      <c r="K9" s="2" t="s">
        <v>658</v>
      </c>
      <c r="L9" s="2" t="s">
        <v>2286</v>
      </c>
      <c r="M9" t="s">
        <v>260</v>
      </c>
      <c r="N9" t="s">
        <v>357</v>
      </c>
      <c r="O9" t="s">
        <v>632</v>
      </c>
      <c r="P9" t="s">
        <v>2289</v>
      </c>
      <c r="Q9" t="s">
        <v>2281</v>
      </c>
    </row>
    <row r="10" spans="1:17">
      <c r="A10" s="2" t="s">
        <v>2125</v>
      </c>
      <c r="B10" s="2" t="s">
        <v>585</v>
      </c>
      <c r="C10" s="2" t="s">
        <v>589</v>
      </c>
      <c r="D10" s="11">
        <v>45962.25</v>
      </c>
      <c r="E10" s="11">
        <v>45962.25</v>
      </c>
      <c r="F10" s="11">
        <v>45962.263888888891</v>
      </c>
      <c r="G10" s="12">
        <v>1.3888888890505768E-2</v>
      </c>
      <c r="H10" s="2" t="s">
        <v>257</v>
      </c>
      <c r="J10" s="2" t="s">
        <v>258</v>
      </c>
      <c r="K10" s="2" t="s">
        <v>658</v>
      </c>
      <c r="L10" s="2" t="s">
        <v>2286</v>
      </c>
      <c r="M10" t="s">
        <v>260</v>
      </c>
      <c r="N10" t="s">
        <v>357</v>
      </c>
      <c r="O10" t="s">
        <v>632</v>
      </c>
      <c r="P10" t="s">
        <v>2290</v>
      </c>
      <c r="Q10" t="s">
        <v>2281</v>
      </c>
    </row>
    <row r="11" spans="1:17">
      <c r="A11" s="2" t="s">
        <v>2125</v>
      </c>
      <c r="B11" s="2" t="s">
        <v>585</v>
      </c>
      <c r="C11" s="2" t="s">
        <v>593</v>
      </c>
      <c r="D11" s="11">
        <v>45962.25</v>
      </c>
      <c r="E11" s="11">
        <v>45962.25</v>
      </c>
      <c r="F11" s="11">
        <v>45962.263888888891</v>
      </c>
      <c r="G11" s="12">
        <v>1.3888888890505768E-2</v>
      </c>
      <c r="H11" s="2" t="s">
        <v>257</v>
      </c>
      <c r="J11" s="2" t="s">
        <v>258</v>
      </c>
      <c r="K11" s="2" t="s">
        <v>658</v>
      </c>
      <c r="L11" s="2" t="s">
        <v>2286</v>
      </c>
      <c r="M11" t="s">
        <v>260</v>
      </c>
      <c r="N11" t="s">
        <v>357</v>
      </c>
      <c r="O11" t="s">
        <v>632</v>
      </c>
      <c r="P11" t="s">
        <v>2291</v>
      </c>
      <c r="Q11" t="s">
        <v>2281</v>
      </c>
    </row>
    <row r="12" spans="1:17">
      <c r="A12" s="2" t="s">
        <v>2125</v>
      </c>
      <c r="B12" s="2" t="s">
        <v>585</v>
      </c>
      <c r="C12" s="2" t="s">
        <v>591</v>
      </c>
      <c r="D12" s="11">
        <v>45962.25</v>
      </c>
      <c r="E12" s="11">
        <v>45962.25</v>
      </c>
      <c r="F12" s="11">
        <v>45962.263888888891</v>
      </c>
      <c r="G12" s="12">
        <v>1.3888888890505768E-2</v>
      </c>
      <c r="H12" s="2" t="s">
        <v>257</v>
      </c>
      <c r="J12" s="2" t="s">
        <v>258</v>
      </c>
      <c r="K12" s="2" t="s">
        <v>658</v>
      </c>
      <c r="L12" s="2" t="s">
        <v>2286</v>
      </c>
      <c r="M12" t="s">
        <v>260</v>
      </c>
      <c r="N12" t="s">
        <v>357</v>
      </c>
      <c r="O12" t="s">
        <v>632</v>
      </c>
      <c r="P12" t="s">
        <v>2292</v>
      </c>
      <c r="Q12" t="s">
        <v>2281</v>
      </c>
    </row>
    <row r="13" spans="1:17">
      <c r="A13" s="2" t="s">
        <v>2125</v>
      </c>
      <c r="B13" s="2" t="s">
        <v>585</v>
      </c>
      <c r="C13" s="2" t="s">
        <v>2293</v>
      </c>
      <c r="D13" s="11">
        <v>45962.25</v>
      </c>
      <c r="E13" s="11">
        <v>45962.25</v>
      </c>
      <c r="F13" s="11">
        <v>45962.263888888891</v>
      </c>
      <c r="G13" s="12">
        <v>1.3888888890505768E-2</v>
      </c>
      <c r="H13" s="2" t="s">
        <v>257</v>
      </c>
      <c r="J13" s="2" t="s">
        <v>258</v>
      </c>
      <c r="K13" s="2" t="s">
        <v>658</v>
      </c>
      <c r="L13" s="2" t="s">
        <v>2286</v>
      </c>
      <c r="M13" t="s">
        <v>260</v>
      </c>
      <c r="N13" t="s">
        <v>357</v>
      </c>
      <c r="O13" t="s">
        <v>632</v>
      </c>
      <c r="P13" t="s">
        <v>2294</v>
      </c>
      <c r="Q13" t="s">
        <v>2281</v>
      </c>
    </row>
    <row r="14" spans="1:17">
      <c r="A14" s="2" t="s">
        <v>2134</v>
      </c>
      <c r="B14" s="2" t="s">
        <v>585</v>
      </c>
      <c r="C14" s="2" t="s">
        <v>590</v>
      </c>
      <c r="D14" s="11">
        <v>45962.25</v>
      </c>
      <c r="E14" s="11">
        <v>45962.25</v>
      </c>
      <c r="F14" s="11">
        <v>45962.263888888891</v>
      </c>
      <c r="G14" s="12">
        <v>1.3888888890505768E-2</v>
      </c>
      <c r="H14" s="2" t="s">
        <v>257</v>
      </c>
      <c r="J14" s="2" t="s">
        <v>258</v>
      </c>
      <c r="K14" s="2" t="s">
        <v>658</v>
      </c>
      <c r="L14" s="2" t="s">
        <v>2286</v>
      </c>
      <c r="M14" t="s">
        <v>260</v>
      </c>
      <c r="N14" t="s">
        <v>357</v>
      </c>
      <c r="O14" t="s">
        <v>632</v>
      </c>
      <c r="P14" t="s">
        <v>2295</v>
      </c>
      <c r="Q14" t="s">
        <v>2281</v>
      </c>
    </row>
    <row r="15" spans="1:17">
      <c r="A15" s="2" t="s">
        <v>2134</v>
      </c>
      <c r="B15" s="2" t="s">
        <v>585</v>
      </c>
      <c r="C15" s="2" t="s">
        <v>2091</v>
      </c>
      <c r="D15" s="11">
        <v>45962.25</v>
      </c>
      <c r="E15" s="11">
        <v>45962.25</v>
      </c>
      <c r="F15" s="11">
        <v>45962.263888888891</v>
      </c>
      <c r="G15" s="12">
        <v>1.3888888890505768E-2</v>
      </c>
      <c r="H15" s="2" t="s">
        <v>257</v>
      </c>
      <c r="J15" s="2" t="s">
        <v>258</v>
      </c>
      <c r="K15" s="2" t="s">
        <v>658</v>
      </c>
      <c r="L15" s="2" t="s">
        <v>2286</v>
      </c>
      <c r="M15" t="s">
        <v>260</v>
      </c>
      <c r="N15" t="s">
        <v>357</v>
      </c>
      <c r="O15" t="s">
        <v>632</v>
      </c>
      <c r="P15" t="s">
        <v>2296</v>
      </c>
      <c r="Q15" t="s">
        <v>2281</v>
      </c>
    </row>
    <row r="16" spans="1:17">
      <c r="A16" s="2" t="s">
        <v>2134</v>
      </c>
      <c r="B16" s="2" t="s">
        <v>585</v>
      </c>
      <c r="C16" s="2" t="s">
        <v>586</v>
      </c>
      <c r="D16" s="11">
        <v>45962.25</v>
      </c>
      <c r="E16" s="11">
        <v>45962.25</v>
      </c>
      <c r="F16" s="11">
        <v>45962.263888888891</v>
      </c>
      <c r="G16" s="12">
        <v>1.3888888890505768E-2</v>
      </c>
      <c r="H16" s="2" t="s">
        <v>257</v>
      </c>
      <c r="J16" s="2" t="s">
        <v>258</v>
      </c>
      <c r="K16" s="2" t="s">
        <v>658</v>
      </c>
      <c r="L16" s="2" t="s">
        <v>2286</v>
      </c>
      <c r="M16" t="s">
        <v>260</v>
      </c>
      <c r="N16" t="s">
        <v>357</v>
      </c>
      <c r="O16" t="s">
        <v>632</v>
      </c>
      <c r="P16" t="s">
        <v>2297</v>
      </c>
      <c r="Q16" t="s">
        <v>2281</v>
      </c>
    </row>
    <row r="17" spans="1:17">
      <c r="A17" s="2" t="s">
        <v>2134</v>
      </c>
      <c r="B17" s="2" t="s">
        <v>585</v>
      </c>
      <c r="C17" s="2" t="s">
        <v>598</v>
      </c>
      <c r="D17" s="11">
        <v>45962.25</v>
      </c>
      <c r="E17" s="11">
        <v>45962.25</v>
      </c>
      <c r="F17" s="11">
        <v>45962.263888888891</v>
      </c>
      <c r="G17" s="12">
        <v>1.3888888890505768E-2</v>
      </c>
      <c r="H17" s="2" t="s">
        <v>257</v>
      </c>
      <c r="J17" s="2" t="s">
        <v>258</v>
      </c>
      <c r="K17" s="2" t="s">
        <v>658</v>
      </c>
      <c r="L17" s="2" t="s">
        <v>2286</v>
      </c>
      <c r="M17" t="s">
        <v>260</v>
      </c>
      <c r="N17" t="s">
        <v>357</v>
      </c>
      <c r="O17" t="s">
        <v>632</v>
      </c>
      <c r="P17" t="s">
        <v>2298</v>
      </c>
      <c r="Q17" t="s">
        <v>2281</v>
      </c>
    </row>
    <row r="18" spans="1:17">
      <c r="A18" s="2" t="s">
        <v>2134</v>
      </c>
      <c r="B18" s="2" t="s">
        <v>585</v>
      </c>
      <c r="C18" s="2" t="s">
        <v>600</v>
      </c>
      <c r="D18" s="11">
        <v>45962.25</v>
      </c>
      <c r="E18" s="11">
        <v>45962.25</v>
      </c>
      <c r="F18" s="11">
        <v>45962.263888888891</v>
      </c>
      <c r="G18" s="12">
        <v>1.3888888890505768E-2</v>
      </c>
      <c r="H18" s="2" t="s">
        <v>257</v>
      </c>
      <c r="J18" s="2" t="s">
        <v>258</v>
      </c>
      <c r="K18" s="2" t="s">
        <v>658</v>
      </c>
      <c r="L18" s="2" t="s">
        <v>2286</v>
      </c>
      <c r="M18" t="s">
        <v>260</v>
      </c>
      <c r="N18" t="s">
        <v>357</v>
      </c>
      <c r="O18" t="s">
        <v>632</v>
      </c>
      <c r="P18" t="s">
        <v>2299</v>
      </c>
      <c r="Q18" t="s">
        <v>2281</v>
      </c>
    </row>
    <row r="19" spans="1:17">
      <c r="A19" s="2" t="s">
        <v>2134</v>
      </c>
      <c r="B19" s="2" t="s">
        <v>585</v>
      </c>
      <c r="C19" s="2" t="s">
        <v>596</v>
      </c>
      <c r="D19" s="11">
        <v>45962.25</v>
      </c>
      <c r="E19" s="11">
        <v>45962.25</v>
      </c>
      <c r="F19" s="11">
        <v>45962.263888888891</v>
      </c>
      <c r="G19" s="12">
        <v>1.3888888890505768E-2</v>
      </c>
      <c r="H19" s="2" t="s">
        <v>257</v>
      </c>
      <c r="J19" s="2" t="s">
        <v>258</v>
      </c>
      <c r="K19" s="2" t="s">
        <v>658</v>
      </c>
      <c r="L19" s="2" t="s">
        <v>2286</v>
      </c>
      <c r="M19" t="s">
        <v>260</v>
      </c>
      <c r="N19" t="s">
        <v>357</v>
      </c>
      <c r="O19" t="s">
        <v>632</v>
      </c>
      <c r="P19" t="s">
        <v>2300</v>
      </c>
      <c r="Q19" t="s">
        <v>2281</v>
      </c>
    </row>
    <row r="20" spans="1:17">
      <c r="A20" s="2" t="s">
        <v>2134</v>
      </c>
      <c r="B20" s="2" t="s">
        <v>585</v>
      </c>
      <c r="C20" s="2" t="s">
        <v>599</v>
      </c>
      <c r="D20" s="11">
        <v>45962.25</v>
      </c>
      <c r="E20" s="11">
        <v>45962.25</v>
      </c>
      <c r="F20" s="11">
        <v>45962.263888888891</v>
      </c>
      <c r="G20" s="12">
        <v>1.3888888890505768E-2</v>
      </c>
      <c r="H20" s="2" t="s">
        <v>257</v>
      </c>
      <c r="J20" s="2" t="s">
        <v>258</v>
      </c>
      <c r="K20" s="2" t="s">
        <v>658</v>
      </c>
      <c r="L20" s="2" t="s">
        <v>2286</v>
      </c>
      <c r="M20" t="s">
        <v>260</v>
      </c>
      <c r="N20" t="s">
        <v>357</v>
      </c>
      <c r="O20" t="s">
        <v>632</v>
      </c>
      <c r="P20" t="s">
        <v>2301</v>
      </c>
      <c r="Q20" t="s">
        <v>2281</v>
      </c>
    </row>
    <row r="21" spans="1:17">
      <c r="A21" s="2" t="s">
        <v>2134</v>
      </c>
      <c r="B21" s="2" t="s">
        <v>585</v>
      </c>
      <c r="C21" s="2" t="s">
        <v>603</v>
      </c>
      <c r="D21" s="11">
        <v>45962.25</v>
      </c>
      <c r="E21" s="11">
        <v>45962.25</v>
      </c>
      <c r="F21" s="11">
        <v>45962.263888888891</v>
      </c>
      <c r="G21" s="12">
        <v>1.3888888890505768E-2</v>
      </c>
      <c r="H21" s="2" t="s">
        <v>257</v>
      </c>
      <c r="J21" s="2" t="s">
        <v>258</v>
      </c>
      <c r="K21" s="2" t="s">
        <v>658</v>
      </c>
      <c r="L21" s="2" t="s">
        <v>2286</v>
      </c>
      <c r="M21" t="s">
        <v>260</v>
      </c>
      <c r="N21" t="s">
        <v>357</v>
      </c>
      <c r="O21" t="s">
        <v>632</v>
      </c>
      <c r="P21" t="s">
        <v>2302</v>
      </c>
      <c r="Q21" t="s">
        <v>2281</v>
      </c>
    </row>
    <row r="22" spans="1:17">
      <c r="A22" s="2" t="s">
        <v>2134</v>
      </c>
      <c r="B22" s="2" t="s">
        <v>585</v>
      </c>
      <c r="C22" s="2" t="s">
        <v>588</v>
      </c>
      <c r="D22" s="11">
        <v>45962.25</v>
      </c>
      <c r="E22" s="11">
        <v>45962.25</v>
      </c>
      <c r="F22" s="11">
        <v>45962.263888888891</v>
      </c>
      <c r="G22" s="12">
        <v>1.3888888890505768E-2</v>
      </c>
      <c r="H22" s="2" t="s">
        <v>257</v>
      </c>
      <c r="J22" s="2" t="s">
        <v>258</v>
      </c>
      <c r="K22" s="2" t="s">
        <v>658</v>
      </c>
      <c r="L22" s="2" t="s">
        <v>2286</v>
      </c>
      <c r="M22" t="s">
        <v>260</v>
      </c>
      <c r="N22" t="s">
        <v>357</v>
      </c>
      <c r="O22" t="s">
        <v>632</v>
      </c>
      <c r="P22" t="s">
        <v>2303</v>
      </c>
      <c r="Q22" t="s">
        <v>2281</v>
      </c>
    </row>
    <row r="23" spans="1:17">
      <c r="A23" s="2" t="s">
        <v>2134</v>
      </c>
      <c r="B23" s="2" t="s">
        <v>585</v>
      </c>
      <c r="C23" s="2" t="s">
        <v>594</v>
      </c>
      <c r="D23" s="11">
        <v>45962.25</v>
      </c>
      <c r="E23" s="11">
        <v>45962.25</v>
      </c>
      <c r="F23" s="11">
        <v>45962.263888888891</v>
      </c>
      <c r="G23" s="12">
        <v>1.3888888890505768E-2</v>
      </c>
      <c r="H23" s="2" t="s">
        <v>257</v>
      </c>
      <c r="J23" s="2" t="s">
        <v>258</v>
      </c>
      <c r="K23" s="2" t="s">
        <v>658</v>
      </c>
      <c r="L23" s="2" t="s">
        <v>2286</v>
      </c>
      <c r="M23" t="s">
        <v>260</v>
      </c>
      <c r="N23" t="s">
        <v>357</v>
      </c>
      <c r="O23" t="s">
        <v>632</v>
      </c>
      <c r="P23" t="s">
        <v>2304</v>
      </c>
      <c r="Q23" t="s">
        <v>2281</v>
      </c>
    </row>
    <row r="24" spans="1:17">
      <c r="A24" s="2" t="s">
        <v>311</v>
      </c>
      <c r="B24" s="2" t="s">
        <v>311</v>
      </c>
      <c r="C24" s="2" t="s">
        <v>264</v>
      </c>
      <c r="D24" s="11">
        <v>45962.410416666666</v>
      </c>
      <c r="E24" s="11">
        <v>45962.410416666666</v>
      </c>
      <c r="F24" s="11">
        <v>45962.461805555555</v>
      </c>
      <c r="G24" s="12">
        <v>5.1388888889050577E-2</v>
      </c>
      <c r="H24" s="2" t="s">
        <v>257</v>
      </c>
      <c r="J24" s="2" t="s">
        <v>258</v>
      </c>
      <c r="K24" s="2" t="s">
        <v>658</v>
      </c>
      <c r="L24" s="2" t="s">
        <v>2305</v>
      </c>
      <c r="M24" t="s">
        <v>260</v>
      </c>
      <c r="N24" t="s">
        <v>357</v>
      </c>
      <c r="O24" t="s">
        <v>2111</v>
      </c>
      <c r="P24" t="s">
        <v>2306</v>
      </c>
      <c r="Q24" t="s">
        <v>2281</v>
      </c>
    </row>
    <row r="25" spans="1:17">
      <c r="A25" s="2" t="s">
        <v>311</v>
      </c>
      <c r="B25" s="2" t="s">
        <v>311</v>
      </c>
      <c r="C25" s="2" t="s">
        <v>256</v>
      </c>
      <c r="D25" s="11">
        <v>45962.410416666666</v>
      </c>
      <c r="E25" s="11">
        <v>45962.410416666666</v>
      </c>
      <c r="F25" s="11">
        <v>45962.461805555555</v>
      </c>
      <c r="G25" s="12">
        <v>5.1388888889050577E-2</v>
      </c>
      <c r="H25" s="2" t="s">
        <v>257</v>
      </c>
      <c r="J25" s="2" t="s">
        <v>258</v>
      </c>
      <c r="K25" s="2" t="s">
        <v>658</v>
      </c>
      <c r="L25" s="2" t="s">
        <v>2305</v>
      </c>
      <c r="M25" t="s">
        <v>260</v>
      </c>
      <c r="N25" t="s">
        <v>357</v>
      </c>
      <c r="O25" t="s">
        <v>2111</v>
      </c>
      <c r="P25" t="s">
        <v>2307</v>
      </c>
      <c r="Q25" t="s">
        <v>2281</v>
      </c>
    </row>
    <row r="26" spans="1:17">
      <c r="A26" s="2" t="s">
        <v>311</v>
      </c>
      <c r="B26" s="2" t="s">
        <v>311</v>
      </c>
      <c r="C26" s="2" t="s">
        <v>307</v>
      </c>
      <c r="D26" s="11">
        <v>45962.410416666666</v>
      </c>
      <c r="E26" s="11">
        <v>45962.410416666666</v>
      </c>
      <c r="F26" s="11">
        <v>45962.461805555555</v>
      </c>
      <c r="G26" s="12">
        <v>5.1388888889050577E-2</v>
      </c>
      <c r="H26" s="2" t="s">
        <v>257</v>
      </c>
      <c r="J26" s="2" t="s">
        <v>258</v>
      </c>
      <c r="K26" s="2" t="s">
        <v>658</v>
      </c>
      <c r="L26" s="2" t="s">
        <v>2305</v>
      </c>
      <c r="M26" t="s">
        <v>260</v>
      </c>
      <c r="N26" t="s">
        <v>357</v>
      </c>
      <c r="O26" t="s">
        <v>2111</v>
      </c>
      <c r="P26" t="s">
        <v>2308</v>
      </c>
      <c r="Q26" t="s">
        <v>2281</v>
      </c>
    </row>
    <row r="27" spans="1:17">
      <c r="A27" s="2" t="s">
        <v>311</v>
      </c>
      <c r="B27" s="2" t="s">
        <v>311</v>
      </c>
      <c r="C27" s="2" t="s">
        <v>263</v>
      </c>
      <c r="D27" s="11">
        <v>45962.410416666666</v>
      </c>
      <c r="E27" s="11">
        <v>45962.410416666666</v>
      </c>
      <c r="F27" s="11">
        <v>45962.461805555555</v>
      </c>
      <c r="G27" s="12">
        <v>5.1388888889050577E-2</v>
      </c>
      <c r="H27" s="2" t="s">
        <v>257</v>
      </c>
      <c r="J27" s="2" t="s">
        <v>258</v>
      </c>
      <c r="K27" s="2" t="s">
        <v>658</v>
      </c>
      <c r="L27" s="2" t="s">
        <v>2305</v>
      </c>
      <c r="M27" t="s">
        <v>260</v>
      </c>
      <c r="N27" t="s">
        <v>357</v>
      </c>
      <c r="O27" t="s">
        <v>2111</v>
      </c>
      <c r="P27" t="s">
        <v>2309</v>
      </c>
      <c r="Q27" t="s">
        <v>2281</v>
      </c>
    </row>
    <row r="28" spans="1:17">
      <c r="A28" s="2" t="s">
        <v>312</v>
      </c>
      <c r="B28" s="2" t="s">
        <v>312</v>
      </c>
      <c r="C28" s="2" t="s">
        <v>307</v>
      </c>
      <c r="D28" s="11">
        <v>45962.410416666666</v>
      </c>
      <c r="E28" s="11">
        <v>45962.410416666666</v>
      </c>
      <c r="F28" s="11">
        <v>45962.461805555555</v>
      </c>
      <c r="G28" s="12">
        <v>5.1388888889050577E-2</v>
      </c>
      <c r="H28" s="2" t="s">
        <v>257</v>
      </c>
      <c r="J28" s="2" t="s">
        <v>258</v>
      </c>
      <c r="K28" s="2" t="s">
        <v>658</v>
      </c>
      <c r="L28" s="2" t="s">
        <v>2305</v>
      </c>
      <c r="M28" t="s">
        <v>260</v>
      </c>
      <c r="N28" t="s">
        <v>357</v>
      </c>
      <c r="O28" t="s">
        <v>2111</v>
      </c>
      <c r="P28" t="s">
        <v>2310</v>
      </c>
      <c r="Q28" t="s">
        <v>2281</v>
      </c>
    </row>
    <row r="29" spans="1:17">
      <c r="A29" s="2" t="s">
        <v>312</v>
      </c>
      <c r="B29" s="2" t="s">
        <v>312</v>
      </c>
      <c r="C29" s="2" t="s">
        <v>264</v>
      </c>
      <c r="D29" s="11">
        <v>45962.410416666666</v>
      </c>
      <c r="E29" s="11">
        <v>45962.410416666666</v>
      </c>
      <c r="F29" s="11">
        <v>45962.461805555555</v>
      </c>
      <c r="G29" s="12">
        <v>5.1388888889050577E-2</v>
      </c>
      <c r="H29" s="2" t="s">
        <v>257</v>
      </c>
      <c r="J29" s="2" t="s">
        <v>258</v>
      </c>
      <c r="K29" s="2" t="s">
        <v>658</v>
      </c>
      <c r="L29" s="2" t="s">
        <v>2305</v>
      </c>
      <c r="M29" t="s">
        <v>260</v>
      </c>
      <c r="N29" t="s">
        <v>357</v>
      </c>
      <c r="O29" t="s">
        <v>2111</v>
      </c>
      <c r="P29" t="s">
        <v>2311</v>
      </c>
      <c r="Q29" t="s">
        <v>2281</v>
      </c>
    </row>
    <row r="30" spans="1:17">
      <c r="A30" s="2" t="s">
        <v>312</v>
      </c>
      <c r="B30" s="2" t="s">
        <v>312</v>
      </c>
      <c r="C30" s="2" t="s">
        <v>263</v>
      </c>
      <c r="D30" s="11">
        <v>45962.410416666666</v>
      </c>
      <c r="E30" s="11">
        <v>45962.410416666666</v>
      </c>
      <c r="F30" s="11">
        <v>45962.461805555555</v>
      </c>
      <c r="G30" s="12">
        <v>5.1388888889050577E-2</v>
      </c>
      <c r="H30" s="2" t="s">
        <v>257</v>
      </c>
      <c r="J30" s="2" t="s">
        <v>258</v>
      </c>
      <c r="K30" s="2" t="s">
        <v>658</v>
      </c>
      <c r="L30" s="2" t="s">
        <v>2305</v>
      </c>
      <c r="M30" t="s">
        <v>260</v>
      </c>
      <c r="N30" t="s">
        <v>357</v>
      </c>
      <c r="O30" t="s">
        <v>2111</v>
      </c>
      <c r="P30" t="s">
        <v>2312</v>
      </c>
      <c r="Q30" t="s">
        <v>2281</v>
      </c>
    </row>
    <row r="31" spans="1:17">
      <c r="A31" s="2" t="s">
        <v>312</v>
      </c>
      <c r="B31" s="2" t="s">
        <v>312</v>
      </c>
      <c r="C31" s="2" t="s">
        <v>256</v>
      </c>
      <c r="D31" s="11">
        <v>45962.410416666666</v>
      </c>
      <c r="E31" s="11">
        <v>45962.410416666666</v>
      </c>
      <c r="F31" s="11">
        <v>45962.461805555555</v>
      </c>
      <c r="G31" s="12">
        <v>5.1388888889050577E-2</v>
      </c>
      <c r="H31" s="2" t="s">
        <v>257</v>
      </c>
      <c r="J31" s="2" t="s">
        <v>258</v>
      </c>
      <c r="K31" s="2" t="s">
        <v>658</v>
      </c>
      <c r="L31" s="2" t="s">
        <v>2305</v>
      </c>
      <c r="M31" t="s">
        <v>260</v>
      </c>
      <c r="N31" t="s">
        <v>357</v>
      </c>
      <c r="O31" t="s">
        <v>2111</v>
      </c>
      <c r="P31" t="s">
        <v>2313</v>
      </c>
      <c r="Q31" t="s">
        <v>2281</v>
      </c>
    </row>
    <row r="32" spans="1:17">
      <c r="A32" s="2" t="s">
        <v>2132</v>
      </c>
      <c r="B32" s="2" t="s">
        <v>456</v>
      </c>
      <c r="C32" s="2" t="s">
        <v>457</v>
      </c>
      <c r="D32" s="11">
        <v>45963.341666666667</v>
      </c>
      <c r="E32" s="11">
        <v>45963.341666666667</v>
      </c>
      <c r="F32" s="11">
        <v>45963.420138888891</v>
      </c>
      <c r="G32" s="12">
        <v>7.8472222223354038E-2</v>
      </c>
      <c r="H32" s="2" t="s">
        <v>257</v>
      </c>
      <c r="J32" s="2" t="s">
        <v>258</v>
      </c>
      <c r="K32" s="2" t="s">
        <v>658</v>
      </c>
      <c r="L32" s="2" t="s">
        <v>2062</v>
      </c>
      <c r="M32" t="s">
        <v>260</v>
      </c>
      <c r="N32" t="s">
        <v>357</v>
      </c>
      <c r="O32" t="s">
        <v>632</v>
      </c>
      <c r="P32" t="s">
        <v>2314</v>
      </c>
      <c r="Q32" t="s">
        <v>2281</v>
      </c>
    </row>
    <row r="33" spans="1:17">
      <c r="A33" s="2" t="s">
        <v>2132</v>
      </c>
      <c r="B33" s="2" t="s">
        <v>456</v>
      </c>
      <c r="C33" s="2" t="s">
        <v>459</v>
      </c>
      <c r="D33" s="11">
        <v>45963.341666666667</v>
      </c>
      <c r="E33" s="11">
        <v>45963.341666666667</v>
      </c>
      <c r="F33" s="11">
        <v>45963.420138888891</v>
      </c>
      <c r="G33" s="12">
        <v>7.8472222223354038E-2</v>
      </c>
      <c r="H33" s="2" t="s">
        <v>257</v>
      </c>
      <c r="J33" s="2" t="s">
        <v>258</v>
      </c>
      <c r="K33" s="2" t="s">
        <v>658</v>
      </c>
      <c r="L33" s="2" t="s">
        <v>2062</v>
      </c>
      <c r="M33" t="s">
        <v>260</v>
      </c>
      <c r="N33" t="s">
        <v>357</v>
      </c>
      <c r="O33" t="s">
        <v>632</v>
      </c>
      <c r="P33" t="s">
        <v>2315</v>
      </c>
      <c r="Q33" t="s">
        <v>2281</v>
      </c>
    </row>
    <row r="34" spans="1:17">
      <c r="A34" s="2" t="s">
        <v>2132</v>
      </c>
      <c r="B34" s="2" t="s">
        <v>456</v>
      </c>
      <c r="C34" s="2" t="s">
        <v>460</v>
      </c>
      <c r="D34" s="11">
        <v>45963.341666666667</v>
      </c>
      <c r="E34" s="11">
        <v>45963.341666666667</v>
      </c>
      <c r="F34" s="11">
        <v>45963.420138888891</v>
      </c>
      <c r="G34" s="12">
        <v>7.8472222223354038E-2</v>
      </c>
      <c r="H34" s="2" t="s">
        <v>257</v>
      </c>
      <c r="J34" s="2" t="s">
        <v>258</v>
      </c>
      <c r="K34" s="2" t="s">
        <v>658</v>
      </c>
      <c r="L34" s="2" t="s">
        <v>2062</v>
      </c>
      <c r="M34" t="s">
        <v>260</v>
      </c>
      <c r="N34" t="s">
        <v>357</v>
      </c>
      <c r="O34" t="s">
        <v>632</v>
      </c>
      <c r="P34" t="s">
        <v>2316</v>
      </c>
      <c r="Q34" t="s">
        <v>2281</v>
      </c>
    </row>
    <row r="35" spans="1:17">
      <c r="A35" s="2" t="s">
        <v>2132</v>
      </c>
      <c r="B35" s="2" t="s">
        <v>456</v>
      </c>
      <c r="C35" s="2" t="s">
        <v>461</v>
      </c>
      <c r="D35" s="11">
        <v>45963.341666666667</v>
      </c>
      <c r="E35" s="11">
        <v>45963.341666666667</v>
      </c>
      <c r="F35" s="11">
        <v>45963.420138888891</v>
      </c>
      <c r="G35" s="12">
        <v>7.8472222223354038E-2</v>
      </c>
      <c r="H35" s="2" t="s">
        <v>257</v>
      </c>
      <c r="J35" s="2" t="s">
        <v>258</v>
      </c>
      <c r="K35" s="2" t="s">
        <v>658</v>
      </c>
      <c r="L35" s="2" t="s">
        <v>2062</v>
      </c>
      <c r="M35" t="s">
        <v>260</v>
      </c>
      <c r="N35" t="s">
        <v>357</v>
      </c>
      <c r="O35" t="s">
        <v>632</v>
      </c>
      <c r="P35" t="s">
        <v>2317</v>
      </c>
      <c r="Q35" t="s">
        <v>2281</v>
      </c>
    </row>
    <row r="36" spans="1:17">
      <c r="A36" s="2" t="s">
        <v>2132</v>
      </c>
      <c r="B36" s="2" t="s">
        <v>456</v>
      </c>
      <c r="C36" s="2" t="s">
        <v>462</v>
      </c>
      <c r="D36" s="11">
        <v>45963.341666666667</v>
      </c>
      <c r="E36" s="11">
        <v>45963.341666666667</v>
      </c>
      <c r="F36" s="11">
        <v>45963.420138888891</v>
      </c>
      <c r="G36" s="12">
        <v>7.8472222223354038E-2</v>
      </c>
      <c r="H36" s="2" t="s">
        <v>257</v>
      </c>
      <c r="J36" s="2" t="s">
        <v>258</v>
      </c>
      <c r="K36" s="2" t="s">
        <v>658</v>
      </c>
      <c r="L36" s="2" t="s">
        <v>2062</v>
      </c>
      <c r="M36" t="s">
        <v>260</v>
      </c>
      <c r="N36" t="s">
        <v>357</v>
      </c>
      <c r="O36" t="s">
        <v>632</v>
      </c>
      <c r="P36" t="s">
        <v>2318</v>
      </c>
      <c r="Q36" t="s">
        <v>2281</v>
      </c>
    </row>
    <row r="37" spans="1:17">
      <c r="A37" s="2" t="s">
        <v>2132</v>
      </c>
      <c r="B37" s="2" t="s">
        <v>456</v>
      </c>
      <c r="C37" s="2" t="s">
        <v>463</v>
      </c>
      <c r="D37" s="11">
        <v>45963.341666666667</v>
      </c>
      <c r="E37" s="11">
        <v>45963.341666666667</v>
      </c>
      <c r="F37" s="11">
        <v>45963.420138888891</v>
      </c>
      <c r="G37" s="12">
        <v>7.8472222223354038E-2</v>
      </c>
      <c r="H37" s="2" t="s">
        <v>257</v>
      </c>
      <c r="J37" s="2" t="s">
        <v>258</v>
      </c>
      <c r="K37" s="2" t="s">
        <v>658</v>
      </c>
      <c r="L37" s="2" t="s">
        <v>2062</v>
      </c>
      <c r="M37" t="s">
        <v>260</v>
      </c>
      <c r="N37" t="s">
        <v>357</v>
      </c>
      <c r="O37" t="s">
        <v>632</v>
      </c>
      <c r="P37" t="s">
        <v>2319</v>
      </c>
      <c r="Q37" t="s">
        <v>2281</v>
      </c>
    </row>
    <row r="38" spans="1:17">
      <c r="A38" s="2" t="s">
        <v>2132</v>
      </c>
      <c r="B38" s="2" t="s">
        <v>456</v>
      </c>
      <c r="C38" s="2" t="s">
        <v>464</v>
      </c>
      <c r="D38" s="11">
        <v>45963.341666666667</v>
      </c>
      <c r="E38" s="11">
        <v>45963.341666666667</v>
      </c>
      <c r="F38" s="11">
        <v>45963.420138888891</v>
      </c>
      <c r="G38" s="12">
        <v>7.8472222223354038E-2</v>
      </c>
      <c r="H38" s="2" t="s">
        <v>257</v>
      </c>
      <c r="J38" s="2" t="s">
        <v>258</v>
      </c>
      <c r="K38" s="2" t="s">
        <v>658</v>
      </c>
      <c r="L38" s="2" t="s">
        <v>2062</v>
      </c>
      <c r="M38" t="s">
        <v>260</v>
      </c>
      <c r="N38" t="s">
        <v>357</v>
      </c>
      <c r="O38" t="s">
        <v>632</v>
      </c>
      <c r="P38" t="s">
        <v>2320</v>
      </c>
      <c r="Q38" t="s">
        <v>2281</v>
      </c>
    </row>
    <row r="39" spans="1:17">
      <c r="A39" s="2" t="s">
        <v>2132</v>
      </c>
      <c r="B39" s="2" t="s">
        <v>456</v>
      </c>
      <c r="C39" s="2" t="s">
        <v>465</v>
      </c>
      <c r="D39" s="11">
        <v>45963.341666666667</v>
      </c>
      <c r="E39" s="11">
        <v>45963.341666666667</v>
      </c>
      <c r="F39" s="11">
        <v>45963.420138888891</v>
      </c>
      <c r="G39" s="12">
        <v>7.8472222223354038E-2</v>
      </c>
      <c r="H39" s="2" t="s">
        <v>257</v>
      </c>
      <c r="J39" s="2" t="s">
        <v>258</v>
      </c>
      <c r="K39" s="2" t="s">
        <v>658</v>
      </c>
      <c r="L39" s="2" t="s">
        <v>2062</v>
      </c>
      <c r="M39" t="s">
        <v>260</v>
      </c>
      <c r="N39" t="s">
        <v>357</v>
      </c>
      <c r="O39" t="s">
        <v>632</v>
      </c>
      <c r="P39" t="s">
        <v>2321</v>
      </c>
      <c r="Q39" t="s">
        <v>2281</v>
      </c>
    </row>
    <row r="40" spans="1:17">
      <c r="A40" s="2" t="s">
        <v>2133</v>
      </c>
      <c r="B40" s="2" t="s">
        <v>456</v>
      </c>
      <c r="C40" s="2" t="s">
        <v>466</v>
      </c>
      <c r="D40" s="11">
        <v>45963.341666666667</v>
      </c>
      <c r="E40" s="11">
        <v>45963.341666666667</v>
      </c>
      <c r="F40" s="11">
        <v>45963.420138888891</v>
      </c>
      <c r="G40" s="12">
        <v>7.8472222223354038E-2</v>
      </c>
      <c r="H40" s="2" t="s">
        <v>257</v>
      </c>
      <c r="J40" s="2" t="s">
        <v>258</v>
      </c>
      <c r="K40" s="2" t="s">
        <v>658</v>
      </c>
      <c r="L40" s="2" t="s">
        <v>2062</v>
      </c>
      <c r="M40" t="s">
        <v>260</v>
      </c>
      <c r="N40" t="s">
        <v>357</v>
      </c>
      <c r="O40" t="s">
        <v>632</v>
      </c>
      <c r="P40" t="s">
        <v>2322</v>
      </c>
      <c r="Q40" t="s">
        <v>2281</v>
      </c>
    </row>
    <row r="41" spans="1:17">
      <c r="A41" s="2" t="s">
        <v>2133</v>
      </c>
      <c r="B41" s="2" t="s">
        <v>456</v>
      </c>
      <c r="C41" s="2" t="s">
        <v>467</v>
      </c>
      <c r="D41" s="11">
        <v>45963.341666666667</v>
      </c>
      <c r="E41" s="11">
        <v>45963.341666666667</v>
      </c>
      <c r="F41" s="11">
        <v>45963.420138888891</v>
      </c>
      <c r="G41" s="12">
        <v>7.8472222223354038E-2</v>
      </c>
      <c r="H41" s="2" t="s">
        <v>257</v>
      </c>
      <c r="J41" s="2" t="s">
        <v>258</v>
      </c>
      <c r="K41" s="2" t="s">
        <v>658</v>
      </c>
      <c r="L41" s="2" t="s">
        <v>2062</v>
      </c>
      <c r="M41" t="s">
        <v>260</v>
      </c>
      <c r="N41" t="s">
        <v>357</v>
      </c>
      <c r="O41" t="s">
        <v>632</v>
      </c>
      <c r="P41" t="s">
        <v>2323</v>
      </c>
      <c r="Q41" t="s">
        <v>2281</v>
      </c>
    </row>
    <row r="42" spans="1:17">
      <c r="A42" s="2" t="s">
        <v>2133</v>
      </c>
      <c r="B42" s="2" t="s">
        <v>456</v>
      </c>
      <c r="C42" s="2" t="s">
        <v>468</v>
      </c>
      <c r="D42" s="11">
        <v>45963.341666666667</v>
      </c>
      <c r="E42" s="11">
        <v>45963.341666666667</v>
      </c>
      <c r="F42" s="11">
        <v>45963.420138888891</v>
      </c>
      <c r="G42" s="12">
        <v>7.8472222223354038E-2</v>
      </c>
      <c r="H42" s="2" t="s">
        <v>257</v>
      </c>
      <c r="J42" s="2" t="s">
        <v>258</v>
      </c>
      <c r="K42" s="2" t="s">
        <v>658</v>
      </c>
      <c r="L42" s="2" t="s">
        <v>2062</v>
      </c>
      <c r="M42" t="s">
        <v>260</v>
      </c>
      <c r="N42" t="s">
        <v>357</v>
      </c>
      <c r="O42" t="s">
        <v>632</v>
      </c>
      <c r="P42" t="s">
        <v>2324</v>
      </c>
      <c r="Q42" t="s">
        <v>2281</v>
      </c>
    </row>
    <row r="43" spans="1:17">
      <c r="A43" s="2" t="s">
        <v>2133</v>
      </c>
      <c r="B43" s="2" t="s">
        <v>456</v>
      </c>
      <c r="C43" s="2" t="s">
        <v>469</v>
      </c>
      <c r="D43" s="11">
        <v>45963.341666666667</v>
      </c>
      <c r="E43" s="11">
        <v>45963.341666666667</v>
      </c>
      <c r="F43" s="11">
        <v>45963.420138888891</v>
      </c>
      <c r="G43" s="12">
        <v>7.8472222223354038E-2</v>
      </c>
      <c r="H43" s="2" t="s">
        <v>257</v>
      </c>
      <c r="J43" s="2" t="s">
        <v>258</v>
      </c>
      <c r="K43" s="2" t="s">
        <v>658</v>
      </c>
      <c r="L43" s="2" t="s">
        <v>2062</v>
      </c>
      <c r="M43" t="s">
        <v>260</v>
      </c>
      <c r="N43" t="s">
        <v>357</v>
      </c>
      <c r="O43" t="s">
        <v>632</v>
      </c>
      <c r="P43" t="s">
        <v>2325</v>
      </c>
      <c r="Q43" t="s">
        <v>2281</v>
      </c>
    </row>
    <row r="44" spans="1:17">
      <c r="A44" s="2" t="s">
        <v>2133</v>
      </c>
      <c r="B44" s="2" t="s">
        <v>456</v>
      </c>
      <c r="C44" s="2" t="s">
        <v>470</v>
      </c>
      <c r="D44" s="11">
        <v>45963.341666666667</v>
      </c>
      <c r="E44" s="11">
        <v>45963.341666666667</v>
      </c>
      <c r="F44" s="11">
        <v>45963.420138888891</v>
      </c>
      <c r="G44" s="12">
        <v>7.8472222223354038E-2</v>
      </c>
      <c r="H44" s="2" t="s">
        <v>257</v>
      </c>
      <c r="J44" s="2" t="s">
        <v>258</v>
      </c>
      <c r="K44" s="2" t="s">
        <v>658</v>
      </c>
      <c r="L44" s="2" t="s">
        <v>2062</v>
      </c>
      <c r="M44" t="s">
        <v>260</v>
      </c>
      <c r="N44" t="s">
        <v>357</v>
      </c>
      <c r="O44" t="s">
        <v>632</v>
      </c>
      <c r="P44" t="s">
        <v>2326</v>
      </c>
      <c r="Q44" t="s">
        <v>2281</v>
      </c>
    </row>
    <row r="45" spans="1:17">
      <c r="A45" s="2" t="s">
        <v>2133</v>
      </c>
      <c r="B45" s="2" t="s">
        <v>456</v>
      </c>
      <c r="C45" s="2" t="s">
        <v>471</v>
      </c>
      <c r="D45" s="11">
        <v>45963.341666666667</v>
      </c>
      <c r="E45" s="11">
        <v>45963.341666666667</v>
      </c>
      <c r="F45" s="11">
        <v>45963.420138888891</v>
      </c>
      <c r="G45" s="12">
        <v>7.8472222223354038E-2</v>
      </c>
      <c r="H45" s="2" t="s">
        <v>257</v>
      </c>
      <c r="J45" s="2" t="s">
        <v>258</v>
      </c>
      <c r="K45" s="2" t="s">
        <v>658</v>
      </c>
      <c r="L45" s="2" t="s">
        <v>2062</v>
      </c>
      <c r="M45" t="s">
        <v>260</v>
      </c>
      <c r="N45" t="s">
        <v>357</v>
      </c>
      <c r="O45" t="s">
        <v>632</v>
      </c>
      <c r="P45" t="s">
        <v>2327</v>
      </c>
      <c r="Q45" t="s">
        <v>2281</v>
      </c>
    </row>
    <row r="46" spans="1:17">
      <c r="A46" s="2" t="s">
        <v>2133</v>
      </c>
      <c r="B46" s="2" t="s">
        <v>456</v>
      </c>
      <c r="C46" s="2" t="s">
        <v>472</v>
      </c>
      <c r="D46" s="11">
        <v>45963.341666666667</v>
      </c>
      <c r="E46" s="11">
        <v>45963.341666666667</v>
      </c>
      <c r="F46" s="11">
        <v>45963.420138888891</v>
      </c>
      <c r="G46" s="12">
        <v>7.8472222223354038E-2</v>
      </c>
      <c r="H46" s="2" t="s">
        <v>257</v>
      </c>
      <c r="J46" s="2" t="s">
        <v>258</v>
      </c>
      <c r="K46" s="2" t="s">
        <v>658</v>
      </c>
      <c r="L46" s="2" t="s">
        <v>2062</v>
      </c>
      <c r="M46" t="s">
        <v>260</v>
      </c>
      <c r="N46" t="s">
        <v>357</v>
      </c>
      <c r="O46" t="s">
        <v>632</v>
      </c>
      <c r="P46" t="s">
        <v>2328</v>
      </c>
      <c r="Q46" t="s">
        <v>2281</v>
      </c>
    </row>
    <row r="47" spans="1:17">
      <c r="A47" s="2" t="s">
        <v>2146</v>
      </c>
      <c r="B47" s="2" t="s">
        <v>456</v>
      </c>
      <c r="C47" s="2" t="s">
        <v>473</v>
      </c>
      <c r="D47" s="11">
        <v>45963.341666666667</v>
      </c>
      <c r="E47" s="11">
        <v>45963.341666666667</v>
      </c>
      <c r="F47" s="11">
        <v>45963.420138888891</v>
      </c>
      <c r="G47" s="12">
        <v>7.8472222223354038E-2</v>
      </c>
      <c r="H47" s="2" t="s">
        <v>257</v>
      </c>
      <c r="J47" s="2" t="s">
        <v>258</v>
      </c>
      <c r="K47" s="2" t="s">
        <v>658</v>
      </c>
      <c r="L47" s="2" t="s">
        <v>2062</v>
      </c>
      <c r="M47" t="s">
        <v>260</v>
      </c>
      <c r="N47" t="s">
        <v>357</v>
      </c>
      <c r="O47" t="s">
        <v>632</v>
      </c>
      <c r="P47" t="s">
        <v>2329</v>
      </c>
      <c r="Q47" t="s">
        <v>2281</v>
      </c>
    </row>
    <row r="48" spans="1:17">
      <c r="A48" s="2" t="s">
        <v>2146</v>
      </c>
      <c r="B48" s="2" t="s">
        <v>456</v>
      </c>
      <c r="C48" s="2" t="s">
        <v>474</v>
      </c>
      <c r="D48" s="11">
        <v>45963.341666666667</v>
      </c>
      <c r="E48" s="11">
        <v>45963.341666666667</v>
      </c>
      <c r="F48" s="11">
        <v>45963.420138888891</v>
      </c>
      <c r="G48" s="12">
        <v>7.8472222223354038E-2</v>
      </c>
      <c r="H48" s="2" t="s">
        <v>257</v>
      </c>
      <c r="J48" s="2" t="s">
        <v>258</v>
      </c>
      <c r="K48" s="2" t="s">
        <v>658</v>
      </c>
      <c r="L48" s="2" t="s">
        <v>2062</v>
      </c>
      <c r="M48" t="s">
        <v>260</v>
      </c>
      <c r="N48" t="s">
        <v>357</v>
      </c>
      <c r="O48" t="s">
        <v>632</v>
      </c>
      <c r="P48" t="s">
        <v>2330</v>
      </c>
      <c r="Q48" t="s">
        <v>2281</v>
      </c>
    </row>
    <row r="49" spans="1:17">
      <c r="A49" s="2" t="s">
        <v>2146</v>
      </c>
      <c r="B49" s="2" t="s">
        <v>456</v>
      </c>
      <c r="C49" s="2" t="s">
        <v>475</v>
      </c>
      <c r="D49" s="11">
        <v>45963.341666666667</v>
      </c>
      <c r="E49" s="11">
        <v>45963.341666666667</v>
      </c>
      <c r="F49" s="11">
        <v>45963.420138888891</v>
      </c>
      <c r="G49" s="12">
        <v>7.8472222223354038E-2</v>
      </c>
      <c r="H49" s="2" t="s">
        <v>257</v>
      </c>
      <c r="J49" s="2" t="s">
        <v>258</v>
      </c>
      <c r="K49" s="2" t="s">
        <v>658</v>
      </c>
      <c r="L49" s="2" t="s">
        <v>2062</v>
      </c>
      <c r="M49" t="s">
        <v>260</v>
      </c>
      <c r="N49" t="s">
        <v>357</v>
      </c>
      <c r="O49" t="s">
        <v>632</v>
      </c>
      <c r="P49" t="s">
        <v>2331</v>
      </c>
      <c r="Q49" t="s">
        <v>2281</v>
      </c>
    </row>
    <row r="50" spans="1:17">
      <c r="A50" s="2" t="s">
        <v>2146</v>
      </c>
      <c r="B50" s="2" t="s">
        <v>456</v>
      </c>
      <c r="C50" s="2" t="s">
        <v>476</v>
      </c>
      <c r="D50" s="11">
        <v>45963.341666666667</v>
      </c>
      <c r="E50" s="11">
        <v>45963.341666666667</v>
      </c>
      <c r="F50" s="11">
        <v>45963.420138888891</v>
      </c>
      <c r="G50" s="12">
        <v>7.8472222223354038E-2</v>
      </c>
      <c r="H50" s="2" t="s">
        <v>257</v>
      </c>
      <c r="J50" s="2" t="s">
        <v>258</v>
      </c>
      <c r="K50" s="2" t="s">
        <v>658</v>
      </c>
      <c r="L50" s="2" t="s">
        <v>2062</v>
      </c>
      <c r="M50" t="s">
        <v>260</v>
      </c>
      <c r="N50" t="s">
        <v>357</v>
      </c>
      <c r="O50" t="s">
        <v>632</v>
      </c>
      <c r="P50" t="s">
        <v>2332</v>
      </c>
      <c r="Q50" t="s">
        <v>2281</v>
      </c>
    </row>
    <row r="51" spans="1:17">
      <c r="A51" s="2" t="s">
        <v>2146</v>
      </c>
      <c r="B51" s="2" t="s">
        <v>456</v>
      </c>
      <c r="C51" s="2" t="s">
        <v>477</v>
      </c>
      <c r="D51" s="11">
        <v>45963.341666666667</v>
      </c>
      <c r="E51" s="11">
        <v>45963.341666666667</v>
      </c>
      <c r="F51" s="11">
        <v>45963.420138888891</v>
      </c>
      <c r="G51" s="12">
        <v>7.8472222223354038E-2</v>
      </c>
      <c r="H51" s="2" t="s">
        <v>257</v>
      </c>
      <c r="J51" s="2" t="s">
        <v>258</v>
      </c>
      <c r="K51" s="2" t="s">
        <v>658</v>
      </c>
      <c r="L51" s="2" t="s">
        <v>2062</v>
      </c>
      <c r="M51" t="s">
        <v>260</v>
      </c>
      <c r="N51" t="s">
        <v>357</v>
      </c>
      <c r="O51" t="s">
        <v>632</v>
      </c>
      <c r="P51" t="s">
        <v>2333</v>
      </c>
      <c r="Q51" t="s">
        <v>2281</v>
      </c>
    </row>
    <row r="52" spans="1:17">
      <c r="A52" s="2" t="s">
        <v>2147</v>
      </c>
      <c r="B52" s="2" t="s">
        <v>456</v>
      </c>
      <c r="C52" s="2" t="s">
        <v>478</v>
      </c>
      <c r="D52" s="11">
        <v>45963.341666666667</v>
      </c>
      <c r="E52" s="11">
        <v>45963.341666666667</v>
      </c>
      <c r="F52" s="11">
        <v>45963.420138888891</v>
      </c>
      <c r="G52" s="12">
        <v>7.8472222223354038E-2</v>
      </c>
      <c r="H52" s="2" t="s">
        <v>257</v>
      </c>
      <c r="J52" s="2" t="s">
        <v>258</v>
      </c>
      <c r="K52" s="2" t="s">
        <v>658</v>
      </c>
      <c r="L52" s="2" t="s">
        <v>2062</v>
      </c>
      <c r="M52" t="s">
        <v>260</v>
      </c>
      <c r="N52" t="s">
        <v>357</v>
      </c>
      <c r="O52" t="s">
        <v>632</v>
      </c>
      <c r="P52" t="s">
        <v>2334</v>
      </c>
      <c r="Q52" t="s">
        <v>2281</v>
      </c>
    </row>
    <row r="53" spans="1:17">
      <c r="A53" s="2" t="s">
        <v>2147</v>
      </c>
      <c r="B53" s="2" t="s">
        <v>456</v>
      </c>
      <c r="C53" s="2" t="s">
        <v>479</v>
      </c>
      <c r="D53" s="11">
        <v>45963.341666666667</v>
      </c>
      <c r="E53" s="11">
        <v>45963.341666666667</v>
      </c>
      <c r="F53" s="11">
        <v>45963.420138888891</v>
      </c>
      <c r="G53" s="12">
        <v>7.8472222223354038E-2</v>
      </c>
      <c r="H53" s="2" t="s">
        <v>257</v>
      </c>
      <c r="J53" s="2" t="s">
        <v>258</v>
      </c>
      <c r="K53" s="2" t="s">
        <v>658</v>
      </c>
      <c r="L53" s="2" t="s">
        <v>2062</v>
      </c>
      <c r="M53" t="s">
        <v>260</v>
      </c>
      <c r="N53" t="s">
        <v>357</v>
      </c>
      <c r="O53" t="s">
        <v>632</v>
      </c>
      <c r="P53" t="s">
        <v>2335</v>
      </c>
      <c r="Q53" t="s">
        <v>2281</v>
      </c>
    </row>
    <row r="54" spans="1:17">
      <c r="A54" s="2" t="s">
        <v>2147</v>
      </c>
      <c r="B54" s="2" t="s">
        <v>456</v>
      </c>
      <c r="C54" s="2" t="s">
        <v>480</v>
      </c>
      <c r="D54" s="11">
        <v>45963.341666666667</v>
      </c>
      <c r="E54" s="11">
        <v>45963.341666666667</v>
      </c>
      <c r="F54" s="11">
        <v>45963.420138888891</v>
      </c>
      <c r="G54" s="12">
        <v>7.8472222223354038E-2</v>
      </c>
      <c r="H54" s="2" t="s">
        <v>257</v>
      </c>
      <c r="J54" s="2" t="s">
        <v>258</v>
      </c>
      <c r="K54" s="2" t="s">
        <v>658</v>
      </c>
      <c r="L54" s="2" t="s">
        <v>2062</v>
      </c>
      <c r="M54" t="s">
        <v>260</v>
      </c>
      <c r="N54" t="s">
        <v>357</v>
      </c>
      <c r="O54" t="s">
        <v>632</v>
      </c>
      <c r="P54" t="s">
        <v>2336</v>
      </c>
      <c r="Q54" t="s">
        <v>2281</v>
      </c>
    </row>
    <row r="55" spans="1:17">
      <c r="A55" s="2" t="s">
        <v>2147</v>
      </c>
      <c r="B55" s="2" t="s">
        <v>456</v>
      </c>
      <c r="C55" s="2" t="s">
        <v>481</v>
      </c>
      <c r="D55" s="11">
        <v>45963.341666666667</v>
      </c>
      <c r="E55" s="11">
        <v>45963.341666666667</v>
      </c>
      <c r="F55" s="11">
        <v>45963.420138888891</v>
      </c>
      <c r="G55" s="12">
        <v>7.8472222223354038E-2</v>
      </c>
      <c r="H55" s="2" t="s">
        <v>257</v>
      </c>
      <c r="J55" s="2" t="s">
        <v>258</v>
      </c>
      <c r="K55" s="2" t="s">
        <v>658</v>
      </c>
      <c r="L55" s="2" t="s">
        <v>2062</v>
      </c>
      <c r="M55" t="s">
        <v>260</v>
      </c>
      <c r="N55" t="s">
        <v>357</v>
      </c>
      <c r="O55" t="s">
        <v>632</v>
      </c>
      <c r="P55" t="s">
        <v>2337</v>
      </c>
      <c r="Q55" t="s">
        <v>2281</v>
      </c>
    </row>
    <row r="56" spans="1:17">
      <c r="A56" s="2" t="s">
        <v>2148</v>
      </c>
      <c r="B56" s="2" t="s">
        <v>456</v>
      </c>
      <c r="C56" s="2" t="s">
        <v>482</v>
      </c>
      <c r="D56" s="11">
        <v>45963.341666666667</v>
      </c>
      <c r="E56" s="11">
        <v>45963.341666666667</v>
      </c>
      <c r="F56" s="11">
        <v>45963.420138888891</v>
      </c>
      <c r="G56" s="12">
        <v>7.8472222223354038E-2</v>
      </c>
      <c r="H56" s="2" t="s">
        <v>257</v>
      </c>
      <c r="J56" s="2" t="s">
        <v>258</v>
      </c>
      <c r="K56" s="2" t="s">
        <v>658</v>
      </c>
      <c r="L56" s="2" t="s">
        <v>2062</v>
      </c>
      <c r="M56" t="s">
        <v>260</v>
      </c>
      <c r="N56" t="s">
        <v>357</v>
      </c>
      <c r="O56" t="s">
        <v>632</v>
      </c>
      <c r="P56" t="s">
        <v>2338</v>
      </c>
      <c r="Q56" t="s">
        <v>2281</v>
      </c>
    </row>
    <row r="57" spans="1:17">
      <c r="A57" s="2" t="s">
        <v>2148</v>
      </c>
      <c r="B57" s="2" t="s">
        <v>456</v>
      </c>
      <c r="C57" s="2" t="s">
        <v>483</v>
      </c>
      <c r="D57" s="11">
        <v>45963.341666666667</v>
      </c>
      <c r="E57" s="11">
        <v>45963.341666666667</v>
      </c>
      <c r="F57" s="11">
        <v>45963.420138888891</v>
      </c>
      <c r="G57" s="12">
        <v>7.8472222223354038E-2</v>
      </c>
      <c r="H57" s="2" t="s">
        <v>257</v>
      </c>
      <c r="J57" s="2" t="s">
        <v>258</v>
      </c>
      <c r="K57" s="2" t="s">
        <v>658</v>
      </c>
      <c r="L57" s="2" t="s">
        <v>2062</v>
      </c>
      <c r="M57" t="s">
        <v>260</v>
      </c>
      <c r="N57" t="s">
        <v>357</v>
      </c>
      <c r="O57" t="s">
        <v>632</v>
      </c>
      <c r="P57" t="s">
        <v>2339</v>
      </c>
      <c r="Q57" t="s">
        <v>2281</v>
      </c>
    </row>
    <row r="58" spans="1:17">
      <c r="A58" s="2" t="s">
        <v>2148</v>
      </c>
      <c r="B58" s="2" t="s">
        <v>456</v>
      </c>
      <c r="C58" s="2" t="s">
        <v>484</v>
      </c>
      <c r="D58" s="11">
        <v>45963.341666666667</v>
      </c>
      <c r="E58" s="11">
        <v>45963.341666666667</v>
      </c>
      <c r="F58" s="11">
        <v>45963.420138888891</v>
      </c>
      <c r="G58" s="12">
        <v>7.8472222223354038E-2</v>
      </c>
      <c r="H58" s="2" t="s">
        <v>257</v>
      </c>
      <c r="J58" s="2" t="s">
        <v>258</v>
      </c>
      <c r="K58" s="2" t="s">
        <v>658</v>
      </c>
      <c r="L58" s="2" t="s">
        <v>2062</v>
      </c>
      <c r="M58" t="s">
        <v>260</v>
      </c>
      <c r="N58" t="s">
        <v>357</v>
      </c>
      <c r="O58" t="s">
        <v>632</v>
      </c>
      <c r="P58" t="s">
        <v>2340</v>
      </c>
      <c r="Q58" t="s">
        <v>2281</v>
      </c>
    </row>
    <row r="59" spans="1:17">
      <c r="A59" s="2" t="s">
        <v>2148</v>
      </c>
      <c r="B59" s="2" t="s">
        <v>456</v>
      </c>
      <c r="C59" s="2" t="s">
        <v>485</v>
      </c>
      <c r="D59" s="11">
        <v>45963.341666666667</v>
      </c>
      <c r="E59" s="11">
        <v>45963.341666666667</v>
      </c>
      <c r="F59" s="11">
        <v>45963.420138888891</v>
      </c>
      <c r="G59" s="12">
        <v>7.8472222223354038E-2</v>
      </c>
      <c r="H59" s="2" t="s">
        <v>257</v>
      </c>
      <c r="J59" s="2" t="s">
        <v>258</v>
      </c>
      <c r="K59" s="2" t="s">
        <v>658</v>
      </c>
      <c r="L59" s="2" t="s">
        <v>2062</v>
      </c>
      <c r="M59" t="s">
        <v>260</v>
      </c>
      <c r="N59" t="s">
        <v>357</v>
      </c>
      <c r="O59" t="s">
        <v>632</v>
      </c>
      <c r="P59" t="s">
        <v>2341</v>
      </c>
      <c r="Q59" t="s">
        <v>2281</v>
      </c>
    </row>
    <row r="60" spans="1:17">
      <c r="A60" s="2" t="s">
        <v>2148</v>
      </c>
      <c r="B60" s="2" t="s">
        <v>456</v>
      </c>
      <c r="C60" s="2" t="s">
        <v>486</v>
      </c>
      <c r="D60" s="11">
        <v>45963.341666666667</v>
      </c>
      <c r="E60" s="11">
        <v>45963.341666666667</v>
      </c>
      <c r="F60" s="11">
        <v>45963.420138888891</v>
      </c>
      <c r="G60" s="12">
        <v>7.8472222223354038E-2</v>
      </c>
      <c r="H60" s="2" t="s">
        <v>257</v>
      </c>
      <c r="J60" s="2" t="s">
        <v>258</v>
      </c>
      <c r="K60" s="2" t="s">
        <v>658</v>
      </c>
      <c r="L60" s="2" t="s">
        <v>2062</v>
      </c>
      <c r="M60" t="s">
        <v>260</v>
      </c>
      <c r="N60" t="s">
        <v>357</v>
      </c>
      <c r="O60" t="s">
        <v>632</v>
      </c>
      <c r="P60" t="s">
        <v>2342</v>
      </c>
      <c r="Q60" t="s">
        <v>2281</v>
      </c>
    </row>
    <row r="61" spans="1:17">
      <c r="A61" s="2" t="s">
        <v>487</v>
      </c>
      <c r="B61" s="2" t="s">
        <v>487</v>
      </c>
      <c r="C61" s="2" t="s">
        <v>377</v>
      </c>
      <c r="D61" s="11">
        <v>45963.341666666667</v>
      </c>
      <c r="E61" s="11">
        <v>45963.341666666667</v>
      </c>
      <c r="F61" s="11">
        <v>45963.420138888891</v>
      </c>
      <c r="G61" s="12">
        <v>7.8472222223354038E-2</v>
      </c>
      <c r="H61" s="2" t="s">
        <v>257</v>
      </c>
      <c r="J61" s="2" t="s">
        <v>258</v>
      </c>
      <c r="K61" s="2" t="s">
        <v>658</v>
      </c>
      <c r="L61" s="2" t="s">
        <v>2062</v>
      </c>
      <c r="M61" t="s">
        <v>260</v>
      </c>
      <c r="N61" t="s">
        <v>357</v>
      </c>
      <c r="O61" t="s">
        <v>632</v>
      </c>
      <c r="P61" t="s">
        <v>2343</v>
      </c>
      <c r="Q61" t="s">
        <v>2281</v>
      </c>
    </row>
    <row r="62" spans="1:17">
      <c r="A62" s="2" t="s">
        <v>487</v>
      </c>
      <c r="B62" s="2" t="s">
        <v>487</v>
      </c>
      <c r="C62" s="2" t="s">
        <v>378</v>
      </c>
      <c r="D62" s="11">
        <v>45963.341666666667</v>
      </c>
      <c r="E62" s="11">
        <v>45963.341666666667</v>
      </c>
      <c r="F62" s="11">
        <v>45963.420138888891</v>
      </c>
      <c r="G62" s="12">
        <v>7.8472222223354038E-2</v>
      </c>
      <c r="H62" s="2" t="s">
        <v>257</v>
      </c>
      <c r="J62" s="2" t="s">
        <v>258</v>
      </c>
      <c r="K62" s="2" t="s">
        <v>658</v>
      </c>
      <c r="L62" s="2" t="s">
        <v>2062</v>
      </c>
      <c r="M62" t="s">
        <v>260</v>
      </c>
      <c r="N62" t="s">
        <v>357</v>
      </c>
      <c r="O62" t="s">
        <v>632</v>
      </c>
      <c r="P62" t="s">
        <v>2344</v>
      </c>
      <c r="Q62" t="s">
        <v>2281</v>
      </c>
    </row>
    <row r="63" spans="1:17">
      <c r="A63" s="2" t="s">
        <v>487</v>
      </c>
      <c r="B63" s="2" t="s">
        <v>487</v>
      </c>
      <c r="C63" s="2" t="s">
        <v>382</v>
      </c>
      <c r="D63" s="11">
        <v>45963.341666666667</v>
      </c>
      <c r="E63" s="11">
        <v>45963.341666666667</v>
      </c>
      <c r="F63" s="11">
        <v>45963.420138888891</v>
      </c>
      <c r="G63" s="12">
        <v>7.8472222223354038E-2</v>
      </c>
      <c r="H63" s="2" t="s">
        <v>257</v>
      </c>
      <c r="J63" s="2" t="s">
        <v>258</v>
      </c>
      <c r="K63" s="2" t="s">
        <v>658</v>
      </c>
      <c r="L63" s="2" t="s">
        <v>2062</v>
      </c>
      <c r="M63" t="s">
        <v>260</v>
      </c>
      <c r="N63" t="s">
        <v>357</v>
      </c>
      <c r="O63" t="s">
        <v>632</v>
      </c>
      <c r="P63" t="s">
        <v>2345</v>
      </c>
      <c r="Q63" t="s">
        <v>2281</v>
      </c>
    </row>
    <row r="64" spans="1:17">
      <c r="A64" s="2" t="s">
        <v>487</v>
      </c>
      <c r="B64" s="2" t="s">
        <v>487</v>
      </c>
      <c r="C64" s="2" t="s">
        <v>380</v>
      </c>
      <c r="D64" s="11">
        <v>45963.341666666667</v>
      </c>
      <c r="E64" s="11">
        <v>45963.341666666667</v>
      </c>
      <c r="F64" s="11">
        <v>45963.420138888891</v>
      </c>
      <c r="G64" s="12">
        <v>7.8472222223354038E-2</v>
      </c>
      <c r="H64" s="2" t="s">
        <v>257</v>
      </c>
      <c r="J64" s="2" t="s">
        <v>258</v>
      </c>
      <c r="K64" s="2" t="s">
        <v>658</v>
      </c>
      <c r="L64" s="2" t="s">
        <v>2062</v>
      </c>
      <c r="M64" t="s">
        <v>260</v>
      </c>
      <c r="N64" t="s">
        <v>357</v>
      </c>
      <c r="O64" t="s">
        <v>632</v>
      </c>
      <c r="P64" t="s">
        <v>2346</v>
      </c>
      <c r="Q64" t="s">
        <v>2281</v>
      </c>
    </row>
    <row r="65" spans="1:17">
      <c r="A65" s="2" t="s">
        <v>487</v>
      </c>
      <c r="B65" s="2" t="s">
        <v>487</v>
      </c>
      <c r="C65" s="2" t="s">
        <v>379</v>
      </c>
      <c r="D65" s="11">
        <v>45963.341666666667</v>
      </c>
      <c r="E65" s="11">
        <v>45963.341666666667</v>
      </c>
      <c r="F65" s="11">
        <v>45963.420138888891</v>
      </c>
      <c r="G65" s="12">
        <v>7.8472222223354038E-2</v>
      </c>
      <c r="H65" s="2" t="s">
        <v>257</v>
      </c>
      <c r="J65" s="2" t="s">
        <v>258</v>
      </c>
      <c r="K65" s="2" t="s">
        <v>658</v>
      </c>
      <c r="L65" s="2" t="s">
        <v>2062</v>
      </c>
      <c r="M65" t="s">
        <v>260</v>
      </c>
      <c r="N65" t="s">
        <v>357</v>
      </c>
      <c r="O65" t="s">
        <v>632</v>
      </c>
      <c r="P65" t="s">
        <v>2347</v>
      </c>
      <c r="Q65" t="s">
        <v>2281</v>
      </c>
    </row>
    <row r="66" spans="1:17">
      <c r="A66" s="2" t="s">
        <v>583</v>
      </c>
      <c r="B66" s="2" t="s">
        <v>583</v>
      </c>
      <c r="C66" s="2" t="s">
        <v>377</v>
      </c>
      <c r="D66" s="11">
        <v>45963.341666666667</v>
      </c>
      <c r="E66" s="11">
        <v>45963.341666666667</v>
      </c>
      <c r="F66" s="11">
        <v>45963.420138888891</v>
      </c>
      <c r="G66" s="12">
        <v>7.8472222223354038E-2</v>
      </c>
      <c r="H66" s="2" t="s">
        <v>257</v>
      </c>
      <c r="J66" s="2" t="s">
        <v>258</v>
      </c>
      <c r="K66" s="2" t="s">
        <v>658</v>
      </c>
      <c r="L66" s="2" t="s">
        <v>2062</v>
      </c>
      <c r="M66" t="s">
        <v>260</v>
      </c>
      <c r="N66" t="s">
        <v>357</v>
      </c>
      <c r="O66" t="s">
        <v>632</v>
      </c>
      <c r="P66" t="s">
        <v>2348</v>
      </c>
      <c r="Q66" t="s">
        <v>2281</v>
      </c>
    </row>
    <row r="67" spans="1:17">
      <c r="A67" s="2" t="s">
        <v>583</v>
      </c>
      <c r="B67" s="2" t="s">
        <v>583</v>
      </c>
      <c r="C67" s="2" t="s">
        <v>378</v>
      </c>
      <c r="D67" s="11">
        <v>45963.341666666667</v>
      </c>
      <c r="E67" s="11">
        <v>45963.341666666667</v>
      </c>
      <c r="F67" s="11">
        <v>45963.420138888891</v>
      </c>
      <c r="G67" s="12">
        <v>7.8472222223354038E-2</v>
      </c>
      <c r="H67" s="2" t="s">
        <v>257</v>
      </c>
      <c r="J67" s="2" t="s">
        <v>258</v>
      </c>
      <c r="K67" s="2" t="s">
        <v>658</v>
      </c>
      <c r="L67" s="2" t="s">
        <v>2062</v>
      </c>
      <c r="M67" t="s">
        <v>260</v>
      </c>
      <c r="N67" t="s">
        <v>357</v>
      </c>
      <c r="O67" t="s">
        <v>632</v>
      </c>
      <c r="P67" t="s">
        <v>2349</v>
      </c>
      <c r="Q67" t="s">
        <v>2281</v>
      </c>
    </row>
    <row r="68" spans="1:17">
      <c r="A68" s="2" t="s">
        <v>583</v>
      </c>
      <c r="B68" s="2" t="s">
        <v>583</v>
      </c>
      <c r="C68" s="2" t="s">
        <v>382</v>
      </c>
      <c r="D68" s="11">
        <v>45963.341666666667</v>
      </c>
      <c r="E68" s="11">
        <v>45963.341666666667</v>
      </c>
      <c r="F68" s="11">
        <v>45963.420138888891</v>
      </c>
      <c r="G68" s="12">
        <v>7.8472222223354038E-2</v>
      </c>
      <c r="H68" s="2" t="s">
        <v>257</v>
      </c>
      <c r="J68" s="2" t="s">
        <v>258</v>
      </c>
      <c r="K68" s="2" t="s">
        <v>658</v>
      </c>
      <c r="L68" s="2" t="s">
        <v>2062</v>
      </c>
      <c r="M68" t="s">
        <v>260</v>
      </c>
      <c r="N68" t="s">
        <v>357</v>
      </c>
      <c r="O68" t="s">
        <v>632</v>
      </c>
      <c r="P68" t="s">
        <v>2350</v>
      </c>
      <c r="Q68" t="s">
        <v>2281</v>
      </c>
    </row>
    <row r="69" spans="1:17">
      <c r="A69" s="2" t="s">
        <v>583</v>
      </c>
      <c r="B69" s="2" t="s">
        <v>583</v>
      </c>
      <c r="C69" s="2" t="s">
        <v>380</v>
      </c>
      <c r="D69" s="11">
        <v>45963.341666666667</v>
      </c>
      <c r="E69" s="11">
        <v>45963.341666666667</v>
      </c>
      <c r="F69" s="11">
        <v>45963.420138888891</v>
      </c>
      <c r="G69" s="12">
        <v>7.8472222223354038E-2</v>
      </c>
      <c r="H69" s="2" t="s">
        <v>257</v>
      </c>
      <c r="J69" s="2" t="s">
        <v>258</v>
      </c>
      <c r="K69" s="2" t="s">
        <v>658</v>
      </c>
      <c r="L69" s="2" t="s">
        <v>2062</v>
      </c>
      <c r="M69" t="s">
        <v>260</v>
      </c>
      <c r="N69" t="s">
        <v>357</v>
      </c>
      <c r="O69" t="s">
        <v>632</v>
      </c>
      <c r="P69" t="s">
        <v>2351</v>
      </c>
      <c r="Q69" t="s">
        <v>2281</v>
      </c>
    </row>
    <row r="70" spans="1:17">
      <c r="A70" s="2" t="s">
        <v>583</v>
      </c>
      <c r="B70" s="2" t="s">
        <v>583</v>
      </c>
      <c r="C70" s="2" t="s">
        <v>379</v>
      </c>
      <c r="D70" s="11">
        <v>45963.341666666667</v>
      </c>
      <c r="E70" s="11">
        <v>45963.341666666667</v>
      </c>
      <c r="F70" s="11">
        <v>45963.420138888891</v>
      </c>
      <c r="G70" s="12">
        <v>7.8472222223354038E-2</v>
      </c>
      <c r="H70" s="2" t="s">
        <v>257</v>
      </c>
      <c r="J70" s="2" t="s">
        <v>258</v>
      </c>
      <c r="K70" s="2" t="s">
        <v>658</v>
      </c>
      <c r="L70" s="2" t="s">
        <v>2062</v>
      </c>
      <c r="M70" t="s">
        <v>260</v>
      </c>
      <c r="N70" t="s">
        <v>357</v>
      </c>
      <c r="O70" t="s">
        <v>632</v>
      </c>
      <c r="P70" t="s">
        <v>2352</v>
      </c>
      <c r="Q70" t="s">
        <v>2281</v>
      </c>
    </row>
    <row r="71" spans="1:17">
      <c r="A71" s="2" t="s">
        <v>584</v>
      </c>
      <c r="B71" s="2" t="s">
        <v>584</v>
      </c>
      <c r="C71" s="2" t="s">
        <v>377</v>
      </c>
      <c r="D71" s="11">
        <v>45963.341666666667</v>
      </c>
      <c r="E71" s="11">
        <v>45963.341666666667</v>
      </c>
      <c r="F71" s="11">
        <v>45963.420138888891</v>
      </c>
      <c r="G71" s="12">
        <v>7.8472222223354038E-2</v>
      </c>
      <c r="H71" s="2" t="s">
        <v>257</v>
      </c>
      <c r="J71" s="2" t="s">
        <v>258</v>
      </c>
      <c r="K71" s="2" t="s">
        <v>658</v>
      </c>
      <c r="L71" s="2" t="s">
        <v>2062</v>
      </c>
      <c r="M71" t="s">
        <v>260</v>
      </c>
      <c r="N71" t="s">
        <v>357</v>
      </c>
      <c r="O71" t="s">
        <v>632</v>
      </c>
      <c r="P71" t="s">
        <v>2353</v>
      </c>
      <c r="Q71" t="s">
        <v>2281</v>
      </c>
    </row>
    <row r="72" spans="1:17">
      <c r="A72" s="2" t="s">
        <v>584</v>
      </c>
      <c r="B72" s="2" t="s">
        <v>584</v>
      </c>
      <c r="C72" s="2" t="s">
        <v>378</v>
      </c>
      <c r="D72" s="11">
        <v>45963.341666666667</v>
      </c>
      <c r="E72" s="11">
        <v>45963.341666666667</v>
      </c>
      <c r="F72" s="11">
        <v>45963.420138888891</v>
      </c>
      <c r="G72" s="12">
        <v>7.8472222223354038E-2</v>
      </c>
      <c r="H72" s="2" t="s">
        <v>257</v>
      </c>
      <c r="J72" s="2" t="s">
        <v>258</v>
      </c>
      <c r="K72" s="2" t="s">
        <v>658</v>
      </c>
      <c r="L72" s="2" t="s">
        <v>2062</v>
      </c>
      <c r="M72" t="s">
        <v>260</v>
      </c>
      <c r="N72" t="s">
        <v>357</v>
      </c>
      <c r="O72" t="s">
        <v>632</v>
      </c>
      <c r="P72" t="s">
        <v>2354</v>
      </c>
      <c r="Q72" t="s">
        <v>2281</v>
      </c>
    </row>
    <row r="73" spans="1:17">
      <c r="A73" s="2" t="s">
        <v>584</v>
      </c>
      <c r="B73" s="2" t="s">
        <v>584</v>
      </c>
      <c r="C73" s="2" t="s">
        <v>382</v>
      </c>
      <c r="D73" s="11">
        <v>45963.341666666667</v>
      </c>
      <c r="E73" s="11">
        <v>45963.341666666667</v>
      </c>
      <c r="F73" s="11">
        <v>45963.420138888891</v>
      </c>
      <c r="G73" s="12">
        <v>7.8472222223354038E-2</v>
      </c>
      <c r="H73" s="2" t="s">
        <v>257</v>
      </c>
      <c r="J73" s="2" t="s">
        <v>258</v>
      </c>
      <c r="K73" s="2" t="s">
        <v>658</v>
      </c>
      <c r="L73" s="2" t="s">
        <v>2062</v>
      </c>
      <c r="M73" t="s">
        <v>260</v>
      </c>
      <c r="N73" t="s">
        <v>357</v>
      </c>
      <c r="O73" t="s">
        <v>632</v>
      </c>
      <c r="P73" t="s">
        <v>2355</v>
      </c>
      <c r="Q73" t="s">
        <v>2281</v>
      </c>
    </row>
    <row r="74" spans="1:17">
      <c r="A74" s="2" t="s">
        <v>584</v>
      </c>
      <c r="B74" s="2" t="s">
        <v>584</v>
      </c>
      <c r="C74" s="2" t="s">
        <v>380</v>
      </c>
      <c r="D74" s="11">
        <v>45963.341666666667</v>
      </c>
      <c r="E74" s="11">
        <v>45963.341666666667</v>
      </c>
      <c r="F74" s="11">
        <v>45963.420138888891</v>
      </c>
      <c r="G74" s="12">
        <v>7.8472222223354038E-2</v>
      </c>
      <c r="H74" s="2" t="s">
        <v>257</v>
      </c>
      <c r="J74" s="2" t="s">
        <v>258</v>
      </c>
      <c r="K74" s="2" t="s">
        <v>658</v>
      </c>
      <c r="L74" s="2" t="s">
        <v>2062</v>
      </c>
      <c r="M74" t="s">
        <v>260</v>
      </c>
      <c r="N74" t="s">
        <v>357</v>
      </c>
      <c r="O74" t="s">
        <v>632</v>
      </c>
      <c r="P74" t="s">
        <v>2356</v>
      </c>
      <c r="Q74" t="s">
        <v>2281</v>
      </c>
    </row>
    <row r="75" spans="1:17">
      <c r="A75" s="2" t="s">
        <v>584</v>
      </c>
      <c r="B75" s="2" t="s">
        <v>584</v>
      </c>
      <c r="C75" s="2" t="s">
        <v>379</v>
      </c>
      <c r="D75" s="11">
        <v>45963.341666666667</v>
      </c>
      <c r="E75" s="11">
        <v>45963.341666666667</v>
      </c>
      <c r="F75" s="11">
        <v>45963.420138888891</v>
      </c>
      <c r="G75" s="12">
        <v>7.8472222223354038E-2</v>
      </c>
      <c r="H75" s="2" t="s">
        <v>257</v>
      </c>
      <c r="J75" s="2" t="s">
        <v>258</v>
      </c>
      <c r="K75" s="2" t="s">
        <v>658</v>
      </c>
      <c r="L75" s="2" t="s">
        <v>2062</v>
      </c>
      <c r="M75" t="s">
        <v>260</v>
      </c>
      <c r="N75" t="s">
        <v>357</v>
      </c>
      <c r="O75" t="s">
        <v>632</v>
      </c>
      <c r="P75" t="s">
        <v>2357</v>
      </c>
      <c r="Q75" t="s">
        <v>2281</v>
      </c>
    </row>
    <row r="76" spans="1:17">
      <c r="A76" s="2" t="s">
        <v>311</v>
      </c>
      <c r="B76" s="2" t="s">
        <v>311</v>
      </c>
      <c r="C76" s="2" t="s">
        <v>264</v>
      </c>
      <c r="D76" s="11">
        <v>45963.356944444444</v>
      </c>
      <c r="E76" s="11">
        <v>45963.356944444444</v>
      </c>
      <c r="F76" s="11">
        <v>45963.736111111109</v>
      </c>
      <c r="G76" s="12">
        <v>0.37916666666569654</v>
      </c>
      <c r="H76" s="2" t="s">
        <v>257</v>
      </c>
      <c r="J76" s="2" t="s">
        <v>258</v>
      </c>
      <c r="K76" s="2" t="s">
        <v>658</v>
      </c>
      <c r="L76" s="2" t="s">
        <v>2358</v>
      </c>
      <c r="M76" t="s">
        <v>260</v>
      </c>
      <c r="N76" t="s">
        <v>357</v>
      </c>
      <c r="O76" t="s">
        <v>2111</v>
      </c>
      <c r="P76" t="s">
        <v>2359</v>
      </c>
      <c r="Q76" t="s">
        <v>2281</v>
      </c>
    </row>
    <row r="77" spans="1:17">
      <c r="A77" s="2" t="s">
        <v>311</v>
      </c>
      <c r="B77" s="2" t="s">
        <v>311</v>
      </c>
      <c r="C77" s="2" t="s">
        <v>256</v>
      </c>
      <c r="D77" s="11">
        <v>45963.356944444444</v>
      </c>
      <c r="E77" s="11">
        <v>45963.356944444444</v>
      </c>
      <c r="F77" s="11">
        <v>45963.736111111109</v>
      </c>
      <c r="G77" s="12">
        <v>0.37916666666569654</v>
      </c>
      <c r="H77" s="2" t="s">
        <v>257</v>
      </c>
      <c r="J77" s="2" t="s">
        <v>258</v>
      </c>
      <c r="K77" s="2" t="s">
        <v>658</v>
      </c>
      <c r="L77" s="2" t="s">
        <v>2358</v>
      </c>
      <c r="M77" t="s">
        <v>260</v>
      </c>
      <c r="N77" t="s">
        <v>357</v>
      </c>
      <c r="O77" t="s">
        <v>2111</v>
      </c>
      <c r="P77" t="s">
        <v>2360</v>
      </c>
      <c r="Q77" t="s">
        <v>2281</v>
      </c>
    </row>
    <row r="78" spans="1:17">
      <c r="A78" s="2" t="s">
        <v>311</v>
      </c>
      <c r="B78" s="2" t="s">
        <v>311</v>
      </c>
      <c r="C78" s="2" t="s">
        <v>307</v>
      </c>
      <c r="D78" s="11">
        <v>45963.356944444444</v>
      </c>
      <c r="E78" s="11">
        <v>45963.356944444444</v>
      </c>
      <c r="F78" s="11">
        <v>45963.736111111109</v>
      </c>
      <c r="G78" s="12">
        <v>0.37916666666569654</v>
      </c>
      <c r="H78" s="2" t="s">
        <v>257</v>
      </c>
      <c r="J78" s="2" t="s">
        <v>258</v>
      </c>
      <c r="K78" s="2" t="s">
        <v>658</v>
      </c>
      <c r="L78" s="2" t="s">
        <v>2358</v>
      </c>
      <c r="M78" t="s">
        <v>260</v>
      </c>
      <c r="N78" t="s">
        <v>357</v>
      </c>
      <c r="O78" t="s">
        <v>2111</v>
      </c>
      <c r="P78" t="s">
        <v>2361</v>
      </c>
      <c r="Q78" t="s">
        <v>2281</v>
      </c>
    </row>
    <row r="79" spans="1:17">
      <c r="A79" s="2" t="s">
        <v>311</v>
      </c>
      <c r="B79" s="2" t="s">
        <v>311</v>
      </c>
      <c r="C79" s="2" t="s">
        <v>263</v>
      </c>
      <c r="D79" s="11">
        <v>45963.356944444444</v>
      </c>
      <c r="E79" s="11">
        <v>45963.356944444444</v>
      </c>
      <c r="F79" s="11">
        <v>45963.736111111109</v>
      </c>
      <c r="G79" s="12">
        <v>0.37916666666569654</v>
      </c>
      <c r="H79" s="2" t="s">
        <v>257</v>
      </c>
      <c r="J79" s="2" t="s">
        <v>258</v>
      </c>
      <c r="K79" s="2" t="s">
        <v>658</v>
      </c>
      <c r="L79" s="2" t="s">
        <v>2358</v>
      </c>
      <c r="M79" t="s">
        <v>260</v>
      </c>
      <c r="N79" t="s">
        <v>357</v>
      </c>
      <c r="O79" t="s">
        <v>2111</v>
      </c>
      <c r="P79" t="s">
        <v>2362</v>
      </c>
      <c r="Q79" t="s">
        <v>2281</v>
      </c>
    </row>
    <row r="80" spans="1:17">
      <c r="A80" s="2" t="s">
        <v>312</v>
      </c>
      <c r="B80" s="2" t="s">
        <v>312</v>
      </c>
      <c r="C80" s="2" t="s">
        <v>307</v>
      </c>
      <c r="D80" s="11">
        <v>45963.356944444444</v>
      </c>
      <c r="E80" s="11">
        <v>45963.356944444444</v>
      </c>
      <c r="F80" s="11">
        <v>45963.736111111109</v>
      </c>
      <c r="G80" s="12">
        <v>0.37916666666569654</v>
      </c>
      <c r="H80" s="2" t="s">
        <v>257</v>
      </c>
      <c r="J80" s="2" t="s">
        <v>258</v>
      </c>
      <c r="K80" s="2" t="s">
        <v>658</v>
      </c>
      <c r="L80" s="2" t="s">
        <v>2358</v>
      </c>
      <c r="M80" t="s">
        <v>260</v>
      </c>
      <c r="N80" t="s">
        <v>357</v>
      </c>
      <c r="O80" t="s">
        <v>2111</v>
      </c>
      <c r="P80" t="s">
        <v>2363</v>
      </c>
      <c r="Q80" t="s">
        <v>2281</v>
      </c>
    </row>
    <row r="81" spans="1:17">
      <c r="A81" s="2" t="s">
        <v>312</v>
      </c>
      <c r="B81" s="2" t="s">
        <v>312</v>
      </c>
      <c r="C81" s="2" t="s">
        <v>264</v>
      </c>
      <c r="D81" s="11">
        <v>45963.356944444444</v>
      </c>
      <c r="E81" s="11">
        <v>45963.356944444444</v>
      </c>
      <c r="F81" s="11">
        <v>45963.736111111109</v>
      </c>
      <c r="G81" s="12">
        <v>0.37916666666569654</v>
      </c>
      <c r="H81" s="2" t="s">
        <v>257</v>
      </c>
      <c r="J81" s="2" t="s">
        <v>258</v>
      </c>
      <c r="K81" s="2" t="s">
        <v>658</v>
      </c>
      <c r="L81" s="2" t="s">
        <v>2358</v>
      </c>
      <c r="M81" t="s">
        <v>260</v>
      </c>
      <c r="N81" t="s">
        <v>357</v>
      </c>
      <c r="O81" t="s">
        <v>2111</v>
      </c>
      <c r="P81" t="s">
        <v>2364</v>
      </c>
      <c r="Q81" t="s">
        <v>2281</v>
      </c>
    </row>
    <row r="82" spans="1:17">
      <c r="A82" s="2" t="s">
        <v>312</v>
      </c>
      <c r="B82" s="2" t="s">
        <v>312</v>
      </c>
      <c r="C82" s="2" t="s">
        <v>263</v>
      </c>
      <c r="D82" s="11">
        <v>45963.356944444444</v>
      </c>
      <c r="E82" s="11">
        <v>45963.356944444444</v>
      </c>
      <c r="F82" s="11">
        <v>45963.736111111109</v>
      </c>
      <c r="G82" s="12">
        <v>0.37916666666569654</v>
      </c>
      <c r="H82" s="2" t="s">
        <v>257</v>
      </c>
      <c r="J82" s="2" t="s">
        <v>258</v>
      </c>
      <c r="K82" s="2" t="s">
        <v>658</v>
      </c>
      <c r="L82" s="2" t="s">
        <v>2358</v>
      </c>
      <c r="M82" t="s">
        <v>260</v>
      </c>
      <c r="N82" t="s">
        <v>357</v>
      </c>
      <c r="O82" t="s">
        <v>2111</v>
      </c>
      <c r="P82" t="s">
        <v>2365</v>
      </c>
      <c r="Q82" t="s">
        <v>2281</v>
      </c>
    </row>
    <row r="83" spans="1:17">
      <c r="A83" s="2" t="s">
        <v>312</v>
      </c>
      <c r="B83" s="2" t="s">
        <v>312</v>
      </c>
      <c r="C83" s="2" t="s">
        <v>256</v>
      </c>
      <c r="D83" s="11">
        <v>45963.356944444444</v>
      </c>
      <c r="E83" s="11">
        <v>45963.356944444444</v>
      </c>
      <c r="F83" s="11">
        <v>45963.736111111109</v>
      </c>
      <c r="G83" s="12">
        <v>0.37916666666569654</v>
      </c>
      <c r="H83" s="2" t="s">
        <v>257</v>
      </c>
      <c r="J83" s="2" t="s">
        <v>258</v>
      </c>
      <c r="K83" s="2" t="s">
        <v>658</v>
      </c>
      <c r="L83" s="2" t="s">
        <v>2358</v>
      </c>
      <c r="M83" t="s">
        <v>260</v>
      </c>
      <c r="N83" t="s">
        <v>357</v>
      </c>
      <c r="O83" t="s">
        <v>2111</v>
      </c>
      <c r="P83" t="s">
        <v>2366</v>
      </c>
      <c r="Q83" t="s">
        <v>2281</v>
      </c>
    </row>
    <row r="84" spans="1:17">
      <c r="A84" s="2" t="s">
        <v>2132</v>
      </c>
      <c r="B84" s="2" t="s">
        <v>456</v>
      </c>
      <c r="C84" s="2" t="s">
        <v>457</v>
      </c>
      <c r="D84" s="11">
        <v>45963.461805555555</v>
      </c>
      <c r="E84" s="11">
        <v>45963.461805555555</v>
      </c>
      <c r="F84" s="11">
        <v>45963.541666666664</v>
      </c>
      <c r="G84" s="12">
        <v>7.9861111109494232E-2</v>
      </c>
      <c r="H84" s="2" t="s">
        <v>257</v>
      </c>
      <c r="J84" s="2" t="s">
        <v>258</v>
      </c>
      <c r="K84" s="2" t="s">
        <v>658</v>
      </c>
      <c r="L84" s="2" t="s">
        <v>2062</v>
      </c>
      <c r="M84" t="s">
        <v>260</v>
      </c>
      <c r="N84" t="s">
        <v>357</v>
      </c>
      <c r="O84" t="s">
        <v>632</v>
      </c>
      <c r="P84" t="s">
        <v>2367</v>
      </c>
      <c r="Q84" t="s">
        <v>2281</v>
      </c>
    </row>
    <row r="85" spans="1:17">
      <c r="A85" s="2" t="s">
        <v>2132</v>
      </c>
      <c r="B85" s="2" t="s">
        <v>456</v>
      </c>
      <c r="C85" s="2" t="s">
        <v>459</v>
      </c>
      <c r="D85" s="11">
        <v>45963.461805555555</v>
      </c>
      <c r="E85" s="11">
        <v>45963.461805555555</v>
      </c>
      <c r="F85" s="11">
        <v>45963.541666666664</v>
      </c>
      <c r="G85" s="12">
        <v>7.9861111109494232E-2</v>
      </c>
      <c r="H85" s="2" t="s">
        <v>257</v>
      </c>
      <c r="J85" s="2" t="s">
        <v>258</v>
      </c>
      <c r="K85" s="2" t="s">
        <v>658</v>
      </c>
      <c r="L85" s="2" t="s">
        <v>2062</v>
      </c>
      <c r="M85" t="s">
        <v>260</v>
      </c>
      <c r="N85" t="s">
        <v>357</v>
      </c>
      <c r="O85" t="s">
        <v>632</v>
      </c>
      <c r="P85" t="s">
        <v>2368</v>
      </c>
      <c r="Q85" t="s">
        <v>2281</v>
      </c>
    </row>
    <row r="86" spans="1:17">
      <c r="A86" s="2" t="s">
        <v>2132</v>
      </c>
      <c r="B86" s="2" t="s">
        <v>456</v>
      </c>
      <c r="C86" s="2" t="s">
        <v>460</v>
      </c>
      <c r="D86" s="11">
        <v>45963.461805555555</v>
      </c>
      <c r="E86" s="11">
        <v>45963.461805555555</v>
      </c>
      <c r="F86" s="11">
        <v>45963.541666666664</v>
      </c>
      <c r="G86" s="12">
        <v>7.9861111109494232E-2</v>
      </c>
      <c r="H86" s="2" t="s">
        <v>257</v>
      </c>
      <c r="J86" s="2" t="s">
        <v>258</v>
      </c>
      <c r="K86" s="2" t="s">
        <v>658</v>
      </c>
      <c r="L86" s="2" t="s">
        <v>2062</v>
      </c>
      <c r="M86" t="s">
        <v>260</v>
      </c>
      <c r="N86" t="s">
        <v>357</v>
      </c>
      <c r="O86" t="s">
        <v>632</v>
      </c>
      <c r="P86" t="s">
        <v>2369</v>
      </c>
      <c r="Q86" t="s">
        <v>2281</v>
      </c>
    </row>
    <row r="87" spans="1:17">
      <c r="A87" s="2" t="s">
        <v>2132</v>
      </c>
      <c r="B87" s="2" t="s">
        <v>456</v>
      </c>
      <c r="C87" s="2" t="s">
        <v>461</v>
      </c>
      <c r="D87" s="11">
        <v>45963.461805555555</v>
      </c>
      <c r="E87" s="11">
        <v>45963.461805555555</v>
      </c>
      <c r="F87" s="11">
        <v>45963.541666666664</v>
      </c>
      <c r="G87" s="12">
        <v>7.9861111109494232E-2</v>
      </c>
      <c r="H87" s="2" t="s">
        <v>257</v>
      </c>
      <c r="J87" s="2" t="s">
        <v>258</v>
      </c>
      <c r="K87" s="2" t="s">
        <v>658</v>
      </c>
      <c r="L87" s="2" t="s">
        <v>2062</v>
      </c>
      <c r="M87" t="s">
        <v>260</v>
      </c>
      <c r="N87" t="s">
        <v>357</v>
      </c>
      <c r="O87" t="s">
        <v>632</v>
      </c>
      <c r="P87" t="s">
        <v>2370</v>
      </c>
      <c r="Q87" t="s">
        <v>2281</v>
      </c>
    </row>
    <row r="88" spans="1:17">
      <c r="A88" s="2" t="s">
        <v>2132</v>
      </c>
      <c r="B88" s="2" t="s">
        <v>456</v>
      </c>
      <c r="C88" s="2" t="s">
        <v>462</v>
      </c>
      <c r="D88" s="11">
        <v>45963.461805555555</v>
      </c>
      <c r="E88" s="11">
        <v>45963.461805555555</v>
      </c>
      <c r="F88" s="11">
        <v>45963.541666666664</v>
      </c>
      <c r="G88" s="12">
        <v>7.9861111109494232E-2</v>
      </c>
      <c r="H88" s="2" t="s">
        <v>257</v>
      </c>
      <c r="J88" s="2" t="s">
        <v>258</v>
      </c>
      <c r="K88" s="2" t="s">
        <v>658</v>
      </c>
      <c r="L88" s="2" t="s">
        <v>2062</v>
      </c>
      <c r="M88" t="s">
        <v>260</v>
      </c>
      <c r="N88" t="s">
        <v>357</v>
      </c>
      <c r="O88" t="s">
        <v>632</v>
      </c>
      <c r="P88" t="s">
        <v>2371</v>
      </c>
      <c r="Q88" t="s">
        <v>2281</v>
      </c>
    </row>
    <row r="89" spans="1:17">
      <c r="A89" s="2" t="s">
        <v>2132</v>
      </c>
      <c r="B89" s="2" t="s">
        <v>456</v>
      </c>
      <c r="C89" s="2" t="s">
        <v>463</v>
      </c>
      <c r="D89" s="11">
        <v>45963.461805555555</v>
      </c>
      <c r="E89" s="11">
        <v>45963.461805555555</v>
      </c>
      <c r="F89" s="11">
        <v>45963.541666666664</v>
      </c>
      <c r="G89" s="12">
        <v>7.9861111109494232E-2</v>
      </c>
      <c r="H89" s="2" t="s">
        <v>257</v>
      </c>
      <c r="J89" s="2" t="s">
        <v>258</v>
      </c>
      <c r="K89" s="2" t="s">
        <v>658</v>
      </c>
      <c r="L89" s="2" t="s">
        <v>2062</v>
      </c>
      <c r="M89" t="s">
        <v>260</v>
      </c>
      <c r="N89" t="s">
        <v>357</v>
      </c>
      <c r="O89" t="s">
        <v>632</v>
      </c>
      <c r="P89" t="s">
        <v>2372</v>
      </c>
      <c r="Q89" t="s">
        <v>2281</v>
      </c>
    </row>
    <row r="90" spans="1:17">
      <c r="A90" s="2" t="s">
        <v>2132</v>
      </c>
      <c r="B90" s="2" t="s">
        <v>456</v>
      </c>
      <c r="C90" s="2" t="s">
        <v>464</v>
      </c>
      <c r="D90" s="11">
        <v>45963.461805555555</v>
      </c>
      <c r="E90" s="11">
        <v>45963.461805555555</v>
      </c>
      <c r="F90" s="11">
        <v>45963.541666666664</v>
      </c>
      <c r="G90" s="12">
        <v>7.9861111109494232E-2</v>
      </c>
      <c r="H90" s="2" t="s">
        <v>257</v>
      </c>
      <c r="J90" s="2" t="s">
        <v>258</v>
      </c>
      <c r="K90" s="2" t="s">
        <v>658</v>
      </c>
      <c r="L90" s="2" t="s">
        <v>2062</v>
      </c>
      <c r="M90" t="s">
        <v>260</v>
      </c>
      <c r="N90" t="s">
        <v>357</v>
      </c>
      <c r="O90" t="s">
        <v>632</v>
      </c>
      <c r="P90" t="s">
        <v>2373</v>
      </c>
      <c r="Q90" t="s">
        <v>2281</v>
      </c>
    </row>
    <row r="91" spans="1:17">
      <c r="A91" s="2" t="s">
        <v>2132</v>
      </c>
      <c r="B91" s="2" t="s">
        <v>456</v>
      </c>
      <c r="C91" s="2" t="s">
        <v>465</v>
      </c>
      <c r="D91" s="11">
        <v>45963.461805555555</v>
      </c>
      <c r="E91" s="11">
        <v>45963.461805555555</v>
      </c>
      <c r="F91" s="11">
        <v>45963.541666666664</v>
      </c>
      <c r="G91" s="12">
        <v>7.9861111109494232E-2</v>
      </c>
      <c r="H91" s="2" t="s">
        <v>257</v>
      </c>
      <c r="J91" s="2" t="s">
        <v>258</v>
      </c>
      <c r="K91" s="2" t="s">
        <v>658</v>
      </c>
      <c r="L91" s="2" t="s">
        <v>2062</v>
      </c>
      <c r="M91" t="s">
        <v>260</v>
      </c>
      <c r="N91" t="s">
        <v>357</v>
      </c>
      <c r="O91" t="s">
        <v>632</v>
      </c>
      <c r="P91" t="s">
        <v>2374</v>
      </c>
      <c r="Q91" t="s">
        <v>2281</v>
      </c>
    </row>
    <row r="92" spans="1:17">
      <c r="A92" s="2" t="s">
        <v>2133</v>
      </c>
      <c r="B92" s="2" t="s">
        <v>456</v>
      </c>
      <c r="C92" s="2" t="s">
        <v>466</v>
      </c>
      <c r="D92" s="11">
        <v>45963.461805555555</v>
      </c>
      <c r="E92" s="11">
        <v>45963.461805555555</v>
      </c>
      <c r="F92" s="11">
        <v>45963.541666666664</v>
      </c>
      <c r="G92" s="12">
        <v>7.9861111109494232E-2</v>
      </c>
      <c r="H92" s="2" t="s">
        <v>257</v>
      </c>
      <c r="J92" s="2" t="s">
        <v>258</v>
      </c>
      <c r="K92" s="2" t="s">
        <v>658</v>
      </c>
      <c r="L92" s="2" t="s">
        <v>2062</v>
      </c>
      <c r="M92" t="s">
        <v>260</v>
      </c>
      <c r="N92" t="s">
        <v>357</v>
      </c>
      <c r="O92" t="s">
        <v>632</v>
      </c>
      <c r="P92" t="s">
        <v>2375</v>
      </c>
      <c r="Q92" t="s">
        <v>2281</v>
      </c>
    </row>
    <row r="93" spans="1:17">
      <c r="A93" s="2" t="s">
        <v>2133</v>
      </c>
      <c r="B93" s="2" t="s">
        <v>456</v>
      </c>
      <c r="C93" s="2" t="s">
        <v>467</v>
      </c>
      <c r="D93" s="11">
        <v>45963.461805555555</v>
      </c>
      <c r="E93" s="11">
        <v>45963.461805555555</v>
      </c>
      <c r="F93" s="11">
        <v>45963.541666666664</v>
      </c>
      <c r="G93" s="12">
        <v>7.9861111109494232E-2</v>
      </c>
      <c r="H93" s="2" t="s">
        <v>257</v>
      </c>
      <c r="J93" s="2" t="s">
        <v>258</v>
      </c>
      <c r="K93" s="2" t="s">
        <v>658</v>
      </c>
      <c r="L93" s="2" t="s">
        <v>2062</v>
      </c>
      <c r="M93" t="s">
        <v>260</v>
      </c>
      <c r="N93" t="s">
        <v>357</v>
      </c>
      <c r="O93" t="s">
        <v>632</v>
      </c>
      <c r="P93" t="s">
        <v>2376</v>
      </c>
      <c r="Q93" t="s">
        <v>2281</v>
      </c>
    </row>
    <row r="94" spans="1:17">
      <c r="A94" s="2" t="s">
        <v>2133</v>
      </c>
      <c r="B94" s="2" t="s">
        <v>456</v>
      </c>
      <c r="C94" s="2" t="s">
        <v>468</v>
      </c>
      <c r="D94" s="11">
        <v>45963.461805555555</v>
      </c>
      <c r="E94" s="11">
        <v>45963.461805555555</v>
      </c>
      <c r="F94" s="11">
        <v>45963.541666666664</v>
      </c>
      <c r="G94" s="12">
        <v>7.9861111109494232E-2</v>
      </c>
      <c r="H94" s="2" t="s">
        <v>257</v>
      </c>
      <c r="J94" s="2" t="s">
        <v>258</v>
      </c>
      <c r="K94" s="2" t="s">
        <v>658</v>
      </c>
      <c r="L94" s="2" t="s">
        <v>2062</v>
      </c>
      <c r="M94" t="s">
        <v>260</v>
      </c>
      <c r="N94" t="s">
        <v>357</v>
      </c>
      <c r="O94" t="s">
        <v>632</v>
      </c>
      <c r="P94" t="s">
        <v>2377</v>
      </c>
      <c r="Q94" t="s">
        <v>2281</v>
      </c>
    </row>
    <row r="95" spans="1:17">
      <c r="A95" s="2" t="s">
        <v>2133</v>
      </c>
      <c r="B95" s="2" t="s">
        <v>456</v>
      </c>
      <c r="C95" s="2" t="s">
        <v>469</v>
      </c>
      <c r="D95" s="11">
        <v>45963.461805555555</v>
      </c>
      <c r="E95" s="11">
        <v>45963.461805555555</v>
      </c>
      <c r="F95" s="11">
        <v>45963.541666666664</v>
      </c>
      <c r="G95" s="12">
        <v>7.9861111109494232E-2</v>
      </c>
      <c r="H95" s="2" t="s">
        <v>257</v>
      </c>
      <c r="J95" s="2" t="s">
        <v>258</v>
      </c>
      <c r="K95" s="2" t="s">
        <v>658</v>
      </c>
      <c r="L95" s="2" t="s">
        <v>2062</v>
      </c>
      <c r="M95" t="s">
        <v>260</v>
      </c>
      <c r="N95" t="s">
        <v>357</v>
      </c>
      <c r="O95" t="s">
        <v>632</v>
      </c>
      <c r="P95" t="s">
        <v>2378</v>
      </c>
      <c r="Q95" t="s">
        <v>2281</v>
      </c>
    </row>
    <row r="96" spans="1:17">
      <c r="A96" s="2" t="s">
        <v>2133</v>
      </c>
      <c r="B96" s="2" t="s">
        <v>456</v>
      </c>
      <c r="C96" s="2" t="s">
        <v>470</v>
      </c>
      <c r="D96" s="11">
        <v>45963.461805555555</v>
      </c>
      <c r="E96" s="11">
        <v>45963.461805555555</v>
      </c>
      <c r="F96" s="11">
        <v>45963.541666666664</v>
      </c>
      <c r="G96" s="12">
        <v>7.9861111109494232E-2</v>
      </c>
      <c r="H96" s="2" t="s">
        <v>257</v>
      </c>
      <c r="J96" s="2" t="s">
        <v>258</v>
      </c>
      <c r="K96" s="2" t="s">
        <v>658</v>
      </c>
      <c r="L96" s="2" t="s">
        <v>2062</v>
      </c>
      <c r="M96" t="s">
        <v>260</v>
      </c>
      <c r="N96" t="s">
        <v>357</v>
      </c>
      <c r="O96" t="s">
        <v>632</v>
      </c>
      <c r="P96" t="s">
        <v>2379</v>
      </c>
      <c r="Q96" t="s">
        <v>2281</v>
      </c>
    </row>
    <row r="97" spans="1:17">
      <c r="A97" s="2" t="s">
        <v>2133</v>
      </c>
      <c r="B97" s="2" t="s">
        <v>456</v>
      </c>
      <c r="C97" s="2" t="s">
        <v>471</v>
      </c>
      <c r="D97" s="11">
        <v>45963.461805555555</v>
      </c>
      <c r="E97" s="11">
        <v>45963.461805555555</v>
      </c>
      <c r="F97" s="11">
        <v>45963.541666666664</v>
      </c>
      <c r="G97" s="12">
        <v>7.9861111109494232E-2</v>
      </c>
      <c r="H97" s="2" t="s">
        <v>257</v>
      </c>
      <c r="J97" s="2" t="s">
        <v>258</v>
      </c>
      <c r="K97" s="2" t="s">
        <v>658</v>
      </c>
      <c r="L97" s="2" t="s">
        <v>2062</v>
      </c>
      <c r="M97" t="s">
        <v>260</v>
      </c>
      <c r="N97" t="s">
        <v>357</v>
      </c>
      <c r="O97" t="s">
        <v>632</v>
      </c>
      <c r="P97" t="s">
        <v>2380</v>
      </c>
      <c r="Q97" t="s">
        <v>2281</v>
      </c>
    </row>
    <row r="98" spans="1:17">
      <c r="A98" s="2" t="s">
        <v>2133</v>
      </c>
      <c r="B98" s="2" t="s">
        <v>456</v>
      </c>
      <c r="C98" s="2" t="s">
        <v>472</v>
      </c>
      <c r="D98" s="11">
        <v>45963.461805555555</v>
      </c>
      <c r="E98" s="11">
        <v>45963.461805555555</v>
      </c>
      <c r="F98" s="11">
        <v>45963.541666666664</v>
      </c>
      <c r="G98" s="12">
        <v>7.9861111109494232E-2</v>
      </c>
      <c r="H98" s="2" t="s">
        <v>257</v>
      </c>
      <c r="J98" s="2" t="s">
        <v>258</v>
      </c>
      <c r="K98" s="2" t="s">
        <v>658</v>
      </c>
      <c r="L98" s="2" t="s">
        <v>2062</v>
      </c>
      <c r="M98" t="s">
        <v>260</v>
      </c>
      <c r="N98" t="s">
        <v>357</v>
      </c>
      <c r="O98" t="s">
        <v>632</v>
      </c>
      <c r="P98" t="s">
        <v>2381</v>
      </c>
      <c r="Q98" t="s">
        <v>2281</v>
      </c>
    </row>
    <row r="99" spans="1:17">
      <c r="A99" s="2" t="s">
        <v>2146</v>
      </c>
      <c r="B99" s="2" t="s">
        <v>456</v>
      </c>
      <c r="C99" s="2" t="s">
        <v>473</v>
      </c>
      <c r="D99" s="11">
        <v>45963.461805555555</v>
      </c>
      <c r="E99" s="11">
        <v>45963.461805555555</v>
      </c>
      <c r="F99" s="11">
        <v>45963.541666666664</v>
      </c>
      <c r="G99" s="12">
        <v>7.9861111109494232E-2</v>
      </c>
      <c r="H99" s="2" t="s">
        <v>257</v>
      </c>
      <c r="J99" s="2" t="s">
        <v>258</v>
      </c>
      <c r="K99" s="2" t="s">
        <v>658</v>
      </c>
      <c r="L99" s="2" t="s">
        <v>2062</v>
      </c>
      <c r="M99" t="s">
        <v>260</v>
      </c>
      <c r="N99" t="s">
        <v>357</v>
      </c>
      <c r="O99" t="s">
        <v>632</v>
      </c>
      <c r="P99" t="s">
        <v>2382</v>
      </c>
      <c r="Q99" t="s">
        <v>2281</v>
      </c>
    </row>
    <row r="100" spans="1:17">
      <c r="A100" s="2" t="s">
        <v>2146</v>
      </c>
      <c r="B100" s="2" t="s">
        <v>456</v>
      </c>
      <c r="C100" s="2" t="s">
        <v>474</v>
      </c>
      <c r="D100" s="11">
        <v>45963.461805555555</v>
      </c>
      <c r="E100" s="11">
        <v>45963.461805555555</v>
      </c>
      <c r="F100" s="11">
        <v>45963.541666666664</v>
      </c>
      <c r="G100" s="12">
        <v>7.9861111109494232E-2</v>
      </c>
      <c r="H100" s="2" t="s">
        <v>257</v>
      </c>
      <c r="J100" s="2" t="s">
        <v>258</v>
      </c>
      <c r="K100" s="2" t="s">
        <v>658</v>
      </c>
      <c r="L100" s="2" t="s">
        <v>2062</v>
      </c>
      <c r="M100" t="s">
        <v>260</v>
      </c>
      <c r="N100" t="s">
        <v>357</v>
      </c>
      <c r="O100" t="s">
        <v>632</v>
      </c>
      <c r="P100" t="s">
        <v>2383</v>
      </c>
      <c r="Q100" t="s">
        <v>2281</v>
      </c>
    </row>
    <row r="101" spans="1:17">
      <c r="A101" s="2" t="s">
        <v>2146</v>
      </c>
      <c r="B101" s="2" t="s">
        <v>456</v>
      </c>
      <c r="C101" s="2" t="s">
        <v>475</v>
      </c>
      <c r="D101" s="11">
        <v>45963.461805555555</v>
      </c>
      <c r="E101" s="11">
        <v>45963.461805555555</v>
      </c>
      <c r="F101" s="11">
        <v>45963.541666666664</v>
      </c>
      <c r="G101" s="12">
        <v>7.9861111109494232E-2</v>
      </c>
      <c r="H101" s="2" t="s">
        <v>257</v>
      </c>
      <c r="J101" s="2" t="s">
        <v>258</v>
      </c>
      <c r="K101" s="2" t="s">
        <v>658</v>
      </c>
      <c r="L101" s="2" t="s">
        <v>2062</v>
      </c>
      <c r="M101" t="s">
        <v>260</v>
      </c>
      <c r="N101" t="s">
        <v>357</v>
      </c>
      <c r="O101" t="s">
        <v>632</v>
      </c>
      <c r="P101" t="s">
        <v>2384</v>
      </c>
      <c r="Q101" t="s">
        <v>2281</v>
      </c>
    </row>
    <row r="102" spans="1:17">
      <c r="A102" s="2" t="s">
        <v>2146</v>
      </c>
      <c r="B102" s="2" t="s">
        <v>456</v>
      </c>
      <c r="C102" s="2" t="s">
        <v>476</v>
      </c>
      <c r="D102" s="11">
        <v>45963.461805555555</v>
      </c>
      <c r="E102" s="11">
        <v>45963.461805555555</v>
      </c>
      <c r="F102" s="11">
        <v>45963.541666666664</v>
      </c>
      <c r="G102" s="12">
        <v>7.9861111109494232E-2</v>
      </c>
      <c r="H102" s="2" t="s">
        <v>257</v>
      </c>
      <c r="J102" s="2" t="s">
        <v>258</v>
      </c>
      <c r="K102" s="2" t="s">
        <v>658</v>
      </c>
      <c r="L102" s="2" t="s">
        <v>2062</v>
      </c>
      <c r="M102" t="s">
        <v>260</v>
      </c>
      <c r="N102" t="s">
        <v>357</v>
      </c>
      <c r="O102" t="s">
        <v>632</v>
      </c>
      <c r="P102" t="s">
        <v>2385</v>
      </c>
      <c r="Q102" t="s">
        <v>2281</v>
      </c>
    </row>
    <row r="103" spans="1:17">
      <c r="A103" s="2" t="s">
        <v>2146</v>
      </c>
      <c r="B103" s="2" t="s">
        <v>456</v>
      </c>
      <c r="C103" s="2" t="s">
        <v>477</v>
      </c>
      <c r="D103" s="11">
        <v>45963.461805555555</v>
      </c>
      <c r="E103" s="11">
        <v>45963.461805555555</v>
      </c>
      <c r="F103" s="11">
        <v>45963.541666666664</v>
      </c>
      <c r="G103" s="12">
        <v>7.9861111109494232E-2</v>
      </c>
      <c r="H103" s="2" t="s">
        <v>257</v>
      </c>
      <c r="J103" s="2" t="s">
        <v>258</v>
      </c>
      <c r="K103" s="2" t="s">
        <v>658</v>
      </c>
      <c r="L103" s="2" t="s">
        <v>2062</v>
      </c>
      <c r="M103" t="s">
        <v>260</v>
      </c>
      <c r="N103" t="s">
        <v>357</v>
      </c>
      <c r="O103" t="s">
        <v>632</v>
      </c>
      <c r="P103" t="s">
        <v>2386</v>
      </c>
      <c r="Q103" t="s">
        <v>2281</v>
      </c>
    </row>
    <row r="104" spans="1:17">
      <c r="A104" s="2" t="s">
        <v>2147</v>
      </c>
      <c r="B104" s="2" t="s">
        <v>456</v>
      </c>
      <c r="C104" s="2" t="s">
        <v>478</v>
      </c>
      <c r="D104" s="11">
        <v>45963.461805555555</v>
      </c>
      <c r="E104" s="11">
        <v>45963.461805555555</v>
      </c>
      <c r="F104" s="11">
        <v>45963.541666666664</v>
      </c>
      <c r="G104" s="12">
        <v>7.9861111109494232E-2</v>
      </c>
      <c r="H104" s="2" t="s">
        <v>257</v>
      </c>
      <c r="J104" s="2" t="s">
        <v>258</v>
      </c>
      <c r="K104" s="2" t="s">
        <v>658</v>
      </c>
      <c r="L104" s="2" t="s">
        <v>2062</v>
      </c>
      <c r="M104" t="s">
        <v>260</v>
      </c>
      <c r="N104" t="s">
        <v>357</v>
      </c>
      <c r="O104" t="s">
        <v>632</v>
      </c>
      <c r="P104" t="s">
        <v>2387</v>
      </c>
      <c r="Q104" t="s">
        <v>2281</v>
      </c>
    </row>
    <row r="105" spans="1:17">
      <c r="A105" s="2" t="s">
        <v>2147</v>
      </c>
      <c r="B105" s="2" t="s">
        <v>456</v>
      </c>
      <c r="C105" s="2" t="s">
        <v>479</v>
      </c>
      <c r="D105" s="11">
        <v>45963.461805555555</v>
      </c>
      <c r="E105" s="11">
        <v>45963.461805555555</v>
      </c>
      <c r="F105" s="11">
        <v>45963.541666666664</v>
      </c>
      <c r="G105" s="12">
        <v>7.9861111109494232E-2</v>
      </c>
      <c r="H105" s="2" t="s">
        <v>257</v>
      </c>
      <c r="J105" s="2" t="s">
        <v>258</v>
      </c>
      <c r="K105" s="2" t="s">
        <v>658</v>
      </c>
      <c r="L105" s="2" t="s">
        <v>2062</v>
      </c>
      <c r="M105" t="s">
        <v>260</v>
      </c>
      <c r="N105" t="s">
        <v>357</v>
      </c>
      <c r="O105" t="s">
        <v>632</v>
      </c>
      <c r="P105" t="s">
        <v>2388</v>
      </c>
      <c r="Q105" t="s">
        <v>2281</v>
      </c>
    </row>
    <row r="106" spans="1:17">
      <c r="A106" s="2" t="s">
        <v>2147</v>
      </c>
      <c r="B106" s="2" t="s">
        <v>456</v>
      </c>
      <c r="C106" s="2" t="s">
        <v>480</v>
      </c>
      <c r="D106" s="11">
        <v>45963.461805555555</v>
      </c>
      <c r="E106" s="11">
        <v>45963.461805555555</v>
      </c>
      <c r="F106" s="11">
        <v>45963.541666666664</v>
      </c>
      <c r="G106" s="12">
        <v>7.9861111109494232E-2</v>
      </c>
      <c r="H106" s="2" t="s">
        <v>257</v>
      </c>
      <c r="J106" s="2" t="s">
        <v>258</v>
      </c>
      <c r="K106" s="2" t="s">
        <v>658</v>
      </c>
      <c r="L106" s="2" t="s">
        <v>2062</v>
      </c>
      <c r="M106" t="s">
        <v>260</v>
      </c>
      <c r="N106" t="s">
        <v>357</v>
      </c>
      <c r="O106" t="s">
        <v>632</v>
      </c>
      <c r="P106" t="s">
        <v>2389</v>
      </c>
      <c r="Q106" t="s">
        <v>2281</v>
      </c>
    </row>
    <row r="107" spans="1:17">
      <c r="A107" s="2" t="s">
        <v>2147</v>
      </c>
      <c r="B107" s="2" t="s">
        <v>456</v>
      </c>
      <c r="C107" s="2" t="s">
        <v>481</v>
      </c>
      <c r="D107" s="11">
        <v>45963.461805555555</v>
      </c>
      <c r="E107" s="11">
        <v>45963.461805555555</v>
      </c>
      <c r="F107" s="11">
        <v>45963.541666666664</v>
      </c>
      <c r="G107" s="12">
        <v>7.9861111109494232E-2</v>
      </c>
      <c r="H107" s="2" t="s">
        <v>257</v>
      </c>
      <c r="J107" s="2" t="s">
        <v>258</v>
      </c>
      <c r="K107" s="2" t="s">
        <v>658</v>
      </c>
      <c r="L107" s="2" t="s">
        <v>2062</v>
      </c>
      <c r="M107" t="s">
        <v>260</v>
      </c>
      <c r="N107" t="s">
        <v>357</v>
      </c>
      <c r="O107" t="s">
        <v>632</v>
      </c>
      <c r="P107" t="s">
        <v>2390</v>
      </c>
      <c r="Q107" t="s">
        <v>2281</v>
      </c>
    </row>
    <row r="108" spans="1:17">
      <c r="A108" s="2" t="s">
        <v>2148</v>
      </c>
      <c r="B108" s="2" t="s">
        <v>456</v>
      </c>
      <c r="C108" s="2" t="s">
        <v>482</v>
      </c>
      <c r="D108" s="11">
        <v>45963.461805555555</v>
      </c>
      <c r="E108" s="11">
        <v>45963.461805555555</v>
      </c>
      <c r="F108" s="11">
        <v>45963.541666666664</v>
      </c>
      <c r="G108" s="12">
        <v>7.9861111109494232E-2</v>
      </c>
      <c r="H108" s="2" t="s">
        <v>257</v>
      </c>
      <c r="J108" s="2" t="s">
        <v>258</v>
      </c>
      <c r="K108" s="2" t="s">
        <v>658</v>
      </c>
      <c r="L108" s="2" t="s">
        <v>2062</v>
      </c>
      <c r="M108" t="s">
        <v>260</v>
      </c>
      <c r="N108" t="s">
        <v>357</v>
      </c>
      <c r="O108" t="s">
        <v>632</v>
      </c>
      <c r="P108" t="s">
        <v>2391</v>
      </c>
      <c r="Q108" t="s">
        <v>2281</v>
      </c>
    </row>
    <row r="109" spans="1:17">
      <c r="A109" s="2" t="s">
        <v>2148</v>
      </c>
      <c r="B109" s="2" t="s">
        <v>456</v>
      </c>
      <c r="C109" s="2" t="s">
        <v>483</v>
      </c>
      <c r="D109" s="11">
        <v>45963.461805555555</v>
      </c>
      <c r="E109" s="11">
        <v>45963.461805555555</v>
      </c>
      <c r="F109" s="11">
        <v>45963.541666666664</v>
      </c>
      <c r="G109" s="12">
        <v>7.9861111109494232E-2</v>
      </c>
      <c r="H109" s="2" t="s">
        <v>257</v>
      </c>
      <c r="J109" s="2" t="s">
        <v>258</v>
      </c>
      <c r="K109" s="2" t="s">
        <v>658</v>
      </c>
      <c r="L109" s="2" t="s">
        <v>2062</v>
      </c>
      <c r="M109" t="s">
        <v>260</v>
      </c>
      <c r="N109" t="s">
        <v>357</v>
      </c>
      <c r="O109" t="s">
        <v>632</v>
      </c>
      <c r="P109" t="s">
        <v>2392</v>
      </c>
      <c r="Q109" t="s">
        <v>2281</v>
      </c>
    </row>
    <row r="110" spans="1:17">
      <c r="A110" s="2" t="s">
        <v>2148</v>
      </c>
      <c r="B110" s="2" t="s">
        <v>456</v>
      </c>
      <c r="C110" s="2" t="s">
        <v>484</v>
      </c>
      <c r="D110" s="11">
        <v>45963.461805555555</v>
      </c>
      <c r="E110" s="11">
        <v>45963.461805555555</v>
      </c>
      <c r="F110" s="11">
        <v>45963.541666666664</v>
      </c>
      <c r="G110" s="12">
        <v>7.9861111109494232E-2</v>
      </c>
      <c r="H110" s="2" t="s">
        <v>257</v>
      </c>
      <c r="J110" s="2" t="s">
        <v>258</v>
      </c>
      <c r="K110" s="2" t="s">
        <v>658</v>
      </c>
      <c r="L110" s="2" t="s">
        <v>2062</v>
      </c>
      <c r="M110" t="s">
        <v>260</v>
      </c>
      <c r="N110" t="s">
        <v>357</v>
      </c>
      <c r="O110" t="s">
        <v>632</v>
      </c>
      <c r="P110" t="s">
        <v>2393</v>
      </c>
      <c r="Q110" t="s">
        <v>2281</v>
      </c>
    </row>
    <row r="111" spans="1:17">
      <c r="A111" s="2" t="s">
        <v>2148</v>
      </c>
      <c r="B111" s="2" t="s">
        <v>456</v>
      </c>
      <c r="C111" s="2" t="s">
        <v>485</v>
      </c>
      <c r="D111" s="11">
        <v>45963.461805555555</v>
      </c>
      <c r="E111" s="11">
        <v>45963.461805555555</v>
      </c>
      <c r="F111" s="11">
        <v>45963.541666666664</v>
      </c>
      <c r="G111" s="12">
        <v>7.9861111109494232E-2</v>
      </c>
      <c r="H111" s="2" t="s">
        <v>257</v>
      </c>
      <c r="J111" s="2" t="s">
        <v>258</v>
      </c>
      <c r="K111" s="2" t="s">
        <v>658</v>
      </c>
      <c r="L111" s="2" t="s">
        <v>2062</v>
      </c>
      <c r="M111" t="s">
        <v>260</v>
      </c>
      <c r="N111" t="s">
        <v>357</v>
      </c>
      <c r="O111" t="s">
        <v>632</v>
      </c>
      <c r="P111" t="s">
        <v>2394</v>
      </c>
      <c r="Q111" t="s">
        <v>2281</v>
      </c>
    </row>
    <row r="112" spans="1:17">
      <c r="A112" s="2" t="s">
        <v>2148</v>
      </c>
      <c r="B112" s="2" t="s">
        <v>456</v>
      </c>
      <c r="C112" s="2" t="s">
        <v>486</v>
      </c>
      <c r="D112" s="11">
        <v>45963.461805555555</v>
      </c>
      <c r="E112" s="11">
        <v>45963.461805555555</v>
      </c>
      <c r="F112" s="11">
        <v>45963.541666666664</v>
      </c>
      <c r="G112" s="12">
        <v>7.9861111109494232E-2</v>
      </c>
      <c r="H112" s="2" t="s">
        <v>257</v>
      </c>
      <c r="J112" s="2" t="s">
        <v>258</v>
      </c>
      <c r="K112" s="2" t="s">
        <v>658</v>
      </c>
      <c r="L112" s="2" t="s">
        <v>2062</v>
      </c>
      <c r="M112" t="s">
        <v>260</v>
      </c>
      <c r="N112" t="s">
        <v>357</v>
      </c>
      <c r="O112" t="s">
        <v>632</v>
      </c>
      <c r="P112" t="s">
        <v>2395</v>
      </c>
      <c r="Q112" t="s">
        <v>2281</v>
      </c>
    </row>
    <row r="113" spans="1:17">
      <c r="A113" s="2" t="s">
        <v>487</v>
      </c>
      <c r="B113" s="2" t="s">
        <v>487</v>
      </c>
      <c r="C113" s="2" t="s">
        <v>377</v>
      </c>
      <c r="D113" s="11">
        <v>45963.461805555555</v>
      </c>
      <c r="E113" s="11">
        <v>45963.461805555555</v>
      </c>
      <c r="F113" s="11">
        <v>45963.541666666664</v>
      </c>
      <c r="G113" s="12">
        <v>7.9861111109494232E-2</v>
      </c>
      <c r="H113" s="2" t="s">
        <v>257</v>
      </c>
      <c r="J113" s="2" t="s">
        <v>258</v>
      </c>
      <c r="K113" s="2" t="s">
        <v>658</v>
      </c>
      <c r="L113" s="2" t="s">
        <v>2062</v>
      </c>
      <c r="M113" t="s">
        <v>260</v>
      </c>
      <c r="N113" t="s">
        <v>357</v>
      </c>
      <c r="O113" t="s">
        <v>632</v>
      </c>
      <c r="P113" t="s">
        <v>2396</v>
      </c>
      <c r="Q113" t="s">
        <v>2281</v>
      </c>
    </row>
    <row r="114" spans="1:17">
      <c r="A114" s="2" t="s">
        <v>487</v>
      </c>
      <c r="B114" s="2" t="s">
        <v>487</v>
      </c>
      <c r="C114" s="2" t="s">
        <v>378</v>
      </c>
      <c r="D114" s="11">
        <v>45963.461805555555</v>
      </c>
      <c r="E114" s="11">
        <v>45963.461805555555</v>
      </c>
      <c r="F114" s="11">
        <v>45963.541666666664</v>
      </c>
      <c r="G114" s="12">
        <v>7.9861111109494232E-2</v>
      </c>
      <c r="H114" s="2" t="s">
        <v>257</v>
      </c>
      <c r="J114" s="2" t="s">
        <v>258</v>
      </c>
      <c r="K114" s="2" t="s">
        <v>658</v>
      </c>
      <c r="L114" s="2" t="s">
        <v>2062</v>
      </c>
      <c r="M114" t="s">
        <v>260</v>
      </c>
      <c r="N114" t="s">
        <v>357</v>
      </c>
      <c r="O114" t="s">
        <v>632</v>
      </c>
      <c r="P114" t="s">
        <v>2397</v>
      </c>
      <c r="Q114" t="s">
        <v>2281</v>
      </c>
    </row>
    <row r="115" spans="1:17">
      <c r="A115" s="2" t="s">
        <v>487</v>
      </c>
      <c r="B115" s="2" t="s">
        <v>487</v>
      </c>
      <c r="C115" s="2" t="s">
        <v>382</v>
      </c>
      <c r="D115" s="11">
        <v>45963.461805555555</v>
      </c>
      <c r="E115" s="11">
        <v>45963.461805555555</v>
      </c>
      <c r="F115" s="11">
        <v>45963.541666666664</v>
      </c>
      <c r="G115" s="12">
        <v>7.9861111109494232E-2</v>
      </c>
      <c r="H115" s="2" t="s">
        <v>257</v>
      </c>
      <c r="J115" s="2" t="s">
        <v>258</v>
      </c>
      <c r="K115" s="2" t="s">
        <v>658</v>
      </c>
      <c r="L115" s="2" t="s">
        <v>2062</v>
      </c>
      <c r="M115" t="s">
        <v>260</v>
      </c>
      <c r="N115" t="s">
        <v>357</v>
      </c>
      <c r="O115" t="s">
        <v>632</v>
      </c>
      <c r="P115" t="s">
        <v>2398</v>
      </c>
      <c r="Q115" t="s">
        <v>2281</v>
      </c>
    </row>
    <row r="116" spans="1:17">
      <c r="A116" s="2" t="s">
        <v>487</v>
      </c>
      <c r="B116" s="2" t="s">
        <v>487</v>
      </c>
      <c r="C116" s="2" t="s">
        <v>380</v>
      </c>
      <c r="D116" s="11">
        <v>45963.461805555555</v>
      </c>
      <c r="E116" s="11">
        <v>45963.461805555555</v>
      </c>
      <c r="F116" s="11">
        <v>45963.541666666664</v>
      </c>
      <c r="G116" s="12">
        <v>7.9861111109494232E-2</v>
      </c>
      <c r="H116" s="2" t="s">
        <v>257</v>
      </c>
      <c r="J116" s="2" t="s">
        <v>258</v>
      </c>
      <c r="K116" s="2" t="s">
        <v>658</v>
      </c>
      <c r="L116" s="2" t="s">
        <v>2062</v>
      </c>
      <c r="M116" t="s">
        <v>260</v>
      </c>
      <c r="N116" t="s">
        <v>357</v>
      </c>
      <c r="O116" t="s">
        <v>632</v>
      </c>
      <c r="P116" t="s">
        <v>2399</v>
      </c>
      <c r="Q116" t="s">
        <v>2281</v>
      </c>
    </row>
    <row r="117" spans="1:17">
      <c r="A117" s="2" t="s">
        <v>487</v>
      </c>
      <c r="B117" s="2" t="s">
        <v>487</v>
      </c>
      <c r="C117" s="2" t="s">
        <v>379</v>
      </c>
      <c r="D117" s="11">
        <v>45963.461805555555</v>
      </c>
      <c r="E117" s="11">
        <v>45963.461805555555</v>
      </c>
      <c r="F117" s="11">
        <v>45963.541666666664</v>
      </c>
      <c r="G117" s="12">
        <v>7.9861111109494232E-2</v>
      </c>
      <c r="H117" s="2" t="s">
        <v>257</v>
      </c>
      <c r="J117" s="2" t="s">
        <v>258</v>
      </c>
      <c r="K117" s="2" t="s">
        <v>658</v>
      </c>
      <c r="L117" s="2" t="s">
        <v>2062</v>
      </c>
      <c r="M117" t="s">
        <v>260</v>
      </c>
      <c r="N117" t="s">
        <v>357</v>
      </c>
      <c r="O117" t="s">
        <v>632</v>
      </c>
      <c r="P117" t="s">
        <v>2400</v>
      </c>
      <c r="Q117" t="s">
        <v>2281</v>
      </c>
    </row>
    <row r="118" spans="1:17">
      <c r="A118" s="2" t="s">
        <v>583</v>
      </c>
      <c r="B118" s="2" t="s">
        <v>583</v>
      </c>
      <c r="C118" s="2" t="s">
        <v>377</v>
      </c>
      <c r="D118" s="11">
        <v>45963.461805555555</v>
      </c>
      <c r="E118" s="11">
        <v>45963.461805555555</v>
      </c>
      <c r="F118" s="11">
        <v>45963.541666666664</v>
      </c>
      <c r="G118" s="12">
        <v>7.9861111109494232E-2</v>
      </c>
      <c r="H118" s="2" t="s">
        <v>257</v>
      </c>
      <c r="J118" s="2" t="s">
        <v>258</v>
      </c>
      <c r="K118" s="2" t="s">
        <v>658</v>
      </c>
      <c r="L118" s="2" t="s">
        <v>2062</v>
      </c>
      <c r="M118" t="s">
        <v>260</v>
      </c>
      <c r="N118" t="s">
        <v>357</v>
      </c>
      <c r="O118" t="s">
        <v>632</v>
      </c>
      <c r="P118" t="s">
        <v>2401</v>
      </c>
      <c r="Q118" t="s">
        <v>2281</v>
      </c>
    </row>
    <row r="119" spans="1:17">
      <c r="A119" s="2" t="s">
        <v>583</v>
      </c>
      <c r="B119" s="2" t="s">
        <v>583</v>
      </c>
      <c r="C119" s="2" t="s">
        <v>378</v>
      </c>
      <c r="D119" s="11">
        <v>45963.461805555555</v>
      </c>
      <c r="E119" s="11">
        <v>45963.461805555555</v>
      </c>
      <c r="F119" s="11">
        <v>45963.541666666664</v>
      </c>
      <c r="G119" s="12">
        <v>7.9861111109494232E-2</v>
      </c>
      <c r="H119" s="2" t="s">
        <v>257</v>
      </c>
      <c r="J119" s="2" t="s">
        <v>258</v>
      </c>
      <c r="K119" s="2" t="s">
        <v>658</v>
      </c>
      <c r="L119" s="2" t="s">
        <v>2062</v>
      </c>
      <c r="M119" t="s">
        <v>260</v>
      </c>
      <c r="N119" t="s">
        <v>357</v>
      </c>
      <c r="O119" t="s">
        <v>632</v>
      </c>
      <c r="P119" t="s">
        <v>2402</v>
      </c>
      <c r="Q119" t="s">
        <v>2281</v>
      </c>
    </row>
    <row r="120" spans="1:17">
      <c r="A120" s="2" t="s">
        <v>583</v>
      </c>
      <c r="B120" s="2" t="s">
        <v>583</v>
      </c>
      <c r="C120" s="2" t="s">
        <v>382</v>
      </c>
      <c r="D120" s="11">
        <v>45963.461805555555</v>
      </c>
      <c r="E120" s="11">
        <v>45963.461805555555</v>
      </c>
      <c r="F120" s="11">
        <v>45963.541666666664</v>
      </c>
      <c r="G120" s="12">
        <v>7.9861111109494232E-2</v>
      </c>
      <c r="H120" s="2" t="s">
        <v>257</v>
      </c>
      <c r="J120" s="2" t="s">
        <v>258</v>
      </c>
      <c r="K120" s="2" t="s">
        <v>658</v>
      </c>
      <c r="L120" s="2" t="s">
        <v>2062</v>
      </c>
      <c r="M120" t="s">
        <v>260</v>
      </c>
      <c r="N120" t="s">
        <v>357</v>
      </c>
      <c r="O120" t="s">
        <v>632</v>
      </c>
      <c r="P120" t="s">
        <v>2403</v>
      </c>
      <c r="Q120" t="s">
        <v>2281</v>
      </c>
    </row>
    <row r="121" spans="1:17">
      <c r="A121" s="2" t="s">
        <v>583</v>
      </c>
      <c r="B121" s="2" t="s">
        <v>583</v>
      </c>
      <c r="C121" s="2" t="s">
        <v>380</v>
      </c>
      <c r="D121" s="11">
        <v>45963.461805555555</v>
      </c>
      <c r="E121" s="11">
        <v>45963.461805555555</v>
      </c>
      <c r="F121" s="11">
        <v>45963.541666666664</v>
      </c>
      <c r="G121" s="12">
        <v>7.9861111109494232E-2</v>
      </c>
      <c r="H121" s="2" t="s">
        <v>257</v>
      </c>
      <c r="J121" s="2" t="s">
        <v>258</v>
      </c>
      <c r="K121" s="2" t="s">
        <v>658</v>
      </c>
      <c r="L121" s="2" t="s">
        <v>2062</v>
      </c>
      <c r="M121" t="s">
        <v>260</v>
      </c>
      <c r="N121" t="s">
        <v>357</v>
      </c>
      <c r="O121" t="s">
        <v>632</v>
      </c>
      <c r="P121" t="s">
        <v>2404</v>
      </c>
      <c r="Q121" t="s">
        <v>2281</v>
      </c>
    </row>
    <row r="122" spans="1:17">
      <c r="A122" s="2" t="s">
        <v>583</v>
      </c>
      <c r="B122" s="2" t="s">
        <v>583</v>
      </c>
      <c r="C122" s="2" t="s">
        <v>379</v>
      </c>
      <c r="D122" s="11">
        <v>45963.461805555555</v>
      </c>
      <c r="E122" s="11">
        <v>45963.461805555555</v>
      </c>
      <c r="F122" s="11">
        <v>45963.541666666664</v>
      </c>
      <c r="G122" s="12">
        <v>7.9861111109494232E-2</v>
      </c>
      <c r="H122" s="2" t="s">
        <v>257</v>
      </c>
      <c r="J122" s="2" t="s">
        <v>258</v>
      </c>
      <c r="K122" s="2" t="s">
        <v>658</v>
      </c>
      <c r="L122" s="2" t="s">
        <v>2062</v>
      </c>
      <c r="M122" t="s">
        <v>260</v>
      </c>
      <c r="N122" t="s">
        <v>357</v>
      </c>
      <c r="O122" t="s">
        <v>632</v>
      </c>
      <c r="P122" t="s">
        <v>2405</v>
      </c>
      <c r="Q122" t="s">
        <v>2281</v>
      </c>
    </row>
    <row r="123" spans="1:17">
      <c r="A123" s="2" t="s">
        <v>584</v>
      </c>
      <c r="B123" s="2" t="s">
        <v>584</v>
      </c>
      <c r="C123" s="2" t="s">
        <v>377</v>
      </c>
      <c r="D123" s="11">
        <v>45963.461805555555</v>
      </c>
      <c r="E123" s="11">
        <v>45963.461805555555</v>
      </c>
      <c r="F123" s="11">
        <v>45963.541666666664</v>
      </c>
      <c r="G123" s="12">
        <v>7.9861111109494232E-2</v>
      </c>
      <c r="H123" s="2" t="s">
        <v>257</v>
      </c>
      <c r="J123" s="2" t="s">
        <v>258</v>
      </c>
      <c r="K123" s="2" t="s">
        <v>658</v>
      </c>
      <c r="L123" s="2" t="s">
        <v>2062</v>
      </c>
      <c r="M123" t="s">
        <v>260</v>
      </c>
      <c r="N123" t="s">
        <v>357</v>
      </c>
      <c r="O123" t="s">
        <v>632</v>
      </c>
      <c r="P123" t="s">
        <v>2406</v>
      </c>
      <c r="Q123" t="s">
        <v>2281</v>
      </c>
    </row>
    <row r="124" spans="1:17">
      <c r="A124" s="2" t="s">
        <v>584</v>
      </c>
      <c r="B124" s="2" t="s">
        <v>584</v>
      </c>
      <c r="C124" s="2" t="s">
        <v>378</v>
      </c>
      <c r="D124" s="11">
        <v>45963.461805555555</v>
      </c>
      <c r="E124" s="11">
        <v>45963.461805555555</v>
      </c>
      <c r="F124" s="11">
        <v>45963.541666666664</v>
      </c>
      <c r="G124" s="12">
        <v>7.9861111109494232E-2</v>
      </c>
      <c r="H124" s="2" t="s">
        <v>257</v>
      </c>
      <c r="J124" s="2" t="s">
        <v>258</v>
      </c>
      <c r="K124" s="2" t="s">
        <v>658</v>
      </c>
      <c r="L124" s="2" t="s">
        <v>2062</v>
      </c>
      <c r="M124" t="s">
        <v>260</v>
      </c>
      <c r="N124" t="s">
        <v>357</v>
      </c>
      <c r="O124" t="s">
        <v>632</v>
      </c>
      <c r="P124" t="s">
        <v>2407</v>
      </c>
      <c r="Q124" t="s">
        <v>2281</v>
      </c>
    </row>
    <row r="125" spans="1:17">
      <c r="A125" s="2" t="s">
        <v>584</v>
      </c>
      <c r="B125" s="2" t="s">
        <v>584</v>
      </c>
      <c r="C125" s="2" t="s">
        <v>382</v>
      </c>
      <c r="D125" s="11">
        <v>45963.461805555555</v>
      </c>
      <c r="E125" s="11">
        <v>45963.461805555555</v>
      </c>
      <c r="F125" s="11">
        <v>45963.541666666664</v>
      </c>
      <c r="G125" s="12">
        <v>7.9861111109494232E-2</v>
      </c>
      <c r="H125" s="2" t="s">
        <v>257</v>
      </c>
      <c r="J125" s="2" t="s">
        <v>258</v>
      </c>
      <c r="K125" s="2" t="s">
        <v>658</v>
      </c>
      <c r="L125" s="2" t="s">
        <v>2062</v>
      </c>
      <c r="M125" t="s">
        <v>260</v>
      </c>
      <c r="N125" t="s">
        <v>357</v>
      </c>
      <c r="O125" t="s">
        <v>632</v>
      </c>
      <c r="P125" t="s">
        <v>2408</v>
      </c>
      <c r="Q125" t="s">
        <v>2281</v>
      </c>
    </row>
    <row r="126" spans="1:17">
      <c r="A126" s="2" t="s">
        <v>584</v>
      </c>
      <c r="B126" s="2" t="s">
        <v>584</v>
      </c>
      <c r="C126" s="2" t="s">
        <v>380</v>
      </c>
      <c r="D126" s="11">
        <v>45963.461805555555</v>
      </c>
      <c r="E126" s="11">
        <v>45963.461805555555</v>
      </c>
      <c r="F126" s="11">
        <v>45963.541666666664</v>
      </c>
      <c r="G126" s="12">
        <v>7.9861111109494232E-2</v>
      </c>
      <c r="H126" s="2" t="s">
        <v>257</v>
      </c>
      <c r="J126" s="2" t="s">
        <v>258</v>
      </c>
      <c r="K126" s="2" t="s">
        <v>658</v>
      </c>
      <c r="L126" s="2" t="s">
        <v>2062</v>
      </c>
      <c r="M126" t="s">
        <v>260</v>
      </c>
      <c r="N126" t="s">
        <v>357</v>
      </c>
      <c r="O126" t="s">
        <v>632</v>
      </c>
      <c r="P126" t="s">
        <v>2409</v>
      </c>
      <c r="Q126" t="s">
        <v>2281</v>
      </c>
    </row>
    <row r="127" spans="1:17">
      <c r="A127" s="2" t="s">
        <v>584</v>
      </c>
      <c r="B127" s="2" t="s">
        <v>584</v>
      </c>
      <c r="C127" s="2" t="s">
        <v>379</v>
      </c>
      <c r="D127" s="11">
        <v>45963.461805555555</v>
      </c>
      <c r="E127" s="11">
        <v>45963.461805555555</v>
      </c>
      <c r="F127" s="11">
        <v>45963.541666666664</v>
      </c>
      <c r="G127" s="12">
        <v>7.9861111109494232E-2</v>
      </c>
      <c r="H127" s="2" t="s">
        <v>257</v>
      </c>
      <c r="J127" s="2" t="s">
        <v>258</v>
      </c>
      <c r="K127" s="2" t="s">
        <v>658</v>
      </c>
      <c r="L127" s="2" t="s">
        <v>2062</v>
      </c>
      <c r="M127" t="s">
        <v>260</v>
      </c>
      <c r="N127" t="s">
        <v>357</v>
      </c>
      <c r="O127" t="s">
        <v>632</v>
      </c>
      <c r="P127" t="s">
        <v>2410</v>
      </c>
      <c r="Q127" t="s">
        <v>2281</v>
      </c>
    </row>
    <row r="128" spans="1:17">
      <c r="A128" s="2" t="s">
        <v>2123</v>
      </c>
      <c r="B128" s="2" t="s">
        <v>585</v>
      </c>
      <c r="C128" s="2" t="s">
        <v>602</v>
      </c>
      <c r="D128" s="11">
        <v>45963.465277777781</v>
      </c>
      <c r="E128" s="11">
        <v>45963.465277777781</v>
      </c>
      <c r="F128" s="11">
        <v>45963.503472222219</v>
      </c>
      <c r="G128" s="12">
        <v>3.8194444437976927E-2</v>
      </c>
      <c r="H128" s="2" t="s">
        <v>257</v>
      </c>
      <c r="J128" s="2" t="s">
        <v>258</v>
      </c>
      <c r="K128" s="2" t="s">
        <v>658</v>
      </c>
      <c r="L128" s="2" t="s">
        <v>2286</v>
      </c>
      <c r="M128" t="s">
        <v>260</v>
      </c>
      <c r="N128" t="s">
        <v>357</v>
      </c>
      <c r="O128" t="s">
        <v>632</v>
      </c>
      <c r="P128" t="s">
        <v>2411</v>
      </c>
      <c r="Q128" t="s">
        <v>2281</v>
      </c>
    </row>
    <row r="129" spans="1:17">
      <c r="A129" s="2" t="s">
        <v>2125</v>
      </c>
      <c r="B129" s="2" t="s">
        <v>585</v>
      </c>
      <c r="C129" s="2" t="s">
        <v>595</v>
      </c>
      <c r="D129" s="11">
        <v>45963.465277777781</v>
      </c>
      <c r="E129" s="11">
        <v>45963.465277777781</v>
      </c>
      <c r="F129" s="11">
        <v>45963.503472222219</v>
      </c>
      <c r="G129" s="12">
        <v>3.8194444437976927E-2</v>
      </c>
      <c r="H129" s="2" t="s">
        <v>257</v>
      </c>
      <c r="J129" s="2" t="s">
        <v>258</v>
      </c>
      <c r="K129" s="2" t="s">
        <v>658</v>
      </c>
      <c r="L129" s="2" t="s">
        <v>2286</v>
      </c>
      <c r="M129" t="s">
        <v>260</v>
      </c>
      <c r="N129" t="s">
        <v>357</v>
      </c>
      <c r="O129" t="s">
        <v>632</v>
      </c>
      <c r="P129" t="s">
        <v>2412</v>
      </c>
      <c r="Q129" t="s">
        <v>2281</v>
      </c>
    </row>
    <row r="130" spans="1:17">
      <c r="A130" s="2" t="s">
        <v>2125</v>
      </c>
      <c r="B130" s="2" t="s">
        <v>585</v>
      </c>
      <c r="C130" s="2" t="s">
        <v>592</v>
      </c>
      <c r="D130" s="11">
        <v>45963.465277777781</v>
      </c>
      <c r="E130" s="11">
        <v>45963.465277777781</v>
      </c>
      <c r="F130" s="11">
        <v>45963.503472222219</v>
      </c>
      <c r="G130" s="12">
        <v>3.8194444437976927E-2</v>
      </c>
      <c r="H130" s="2" t="s">
        <v>257</v>
      </c>
      <c r="J130" s="2" t="s">
        <v>258</v>
      </c>
      <c r="K130" s="2" t="s">
        <v>658</v>
      </c>
      <c r="L130" s="2" t="s">
        <v>2286</v>
      </c>
      <c r="M130" t="s">
        <v>260</v>
      </c>
      <c r="N130" t="s">
        <v>357</v>
      </c>
      <c r="O130" t="s">
        <v>632</v>
      </c>
      <c r="P130" t="s">
        <v>2413</v>
      </c>
      <c r="Q130" t="s">
        <v>2281</v>
      </c>
    </row>
    <row r="131" spans="1:17">
      <c r="A131" s="2" t="s">
        <v>2125</v>
      </c>
      <c r="B131" s="2" t="s">
        <v>585</v>
      </c>
      <c r="C131" s="2" t="s">
        <v>589</v>
      </c>
      <c r="D131" s="11">
        <v>45963.465277777781</v>
      </c>
      <c r="E131" s="11">
        <v>45963.465277777781</v>
      </c>
      <c r="F131" s="11">
        <v>45963.503472222219</v>
      </c>
      <c r="G131" s="12">
        <v>3.8194444437976927E-2</v>
      </c>
      <c r="H131" s="2" t="s">
        <v>257</v>
      </c>
      <c r="J131" s="2" t="s">
        <v>258</v>
      </c>
      <c r="K131" s="2" t="s">
        <v>658</v>
      </c>
      <c r="L131" s="2" t="s">
        <v>2286</v>
      </c>
      <c r="M131" t="s">
        <v>260</v>
      </c>
      <c r="N131" t="s">
        <v>357</v>
      </c>
      <c r="O131" t="s">
        <v>632</v>
      </c>
      <c r="P131" t="s">
        <v>2414</v>
      </c>
      <c r="Q131" t="s">
        <v>2281</v>
      </c>
    </row>
    <row r="132" spans="1:17">
      <c r="A132" s="2" t="s">
        <v>2125</v>
      </c>
      <c r="B132" s="2" t="s">
        <v>585</v>
      </c>
      <c r="C132" s="2" t="s">
        <v>593</v>
      </c>
      <c r="D132" s="11">
        <v>45963.465277777781</v>
      </c>
      <c r="E132" s="11">
        <v>45963.465277777781</v>
      </c>
      <c r="F132" s="11">
        <v>45963.503472222219</v>
      </c>
      <c r="G132" s="12">
        <v>3.8194444437976927E-2</v>
      </c>
      <c r="H132" s="2" t="s">
        <v>257</v>
      </c>
      <c r="J132" s="2" t="s">
        <v>258</v>
      </c>
      <c r="K132" s="2" t="s">
        <v>658</v>
      </c>
      <c r="L132" s="2" t="s">
        <v>2286</v>
      </c>
      <c r="M132" t="s">
        <v>260</v>
      </c>
      <c r="N132" t="s">
        <v>357</v>
      </c>
      <c r="O132" t="s">
        <v>632</v>
      </c>
      <c r="P132" t="s">
        <v>2415</v>
      </c>
      <c r="Q132" t="s">
        <v>2281</v>
      </c>
    </row>
    <row r="133" spans="1:17">
      <c r="A133" s="2" t="s">
        <v>2125</v>
      </c>
      <c r="B133" s="2" t="s">
        <v>585</v>
      </c>
      <c r="C133" s="2" t="s">
        <v>591</v>
      </c>
      <c r="D133" s="11">
        <v>45963.465277777781</v>
      </c>
      <c r="E133" s="11">
        <v>45963.465277777781</v>
      </c>
      <c r="F133" s="11">
        <v>45963.503472222219</v>
      </c>
      <c r="G133" s="12">
        <v>3.8194444437976927E-2</v>
      </c>
      <c r="H133" s="2" t="s">
        <v>257</v>
      </c>
      <c r="J133" s="2" t="s">
        <v>258</v>
      </c>
      <c r="K133" s="2" t="s">
        <v>658</v>
      </c>
      <c r="L133" s="2" t="s">
        <v>2286</v>
      </c>
      <c r="M133" t="s">
        <v>260</v>
      </c>
      <c r="N133" t="s">
        <v>357</v>
      </c>
      <c r="O133" t="s">
        <v>632</v>
      </c>
      <c r="P133" t="s">
        <v>2416</v>
      </c>
      <c r="Q133" t="s">
        <v>2281</v>
      </c>
    </row>
    <row r="134" spans="1:17">
      <c r="A134" s="2" t="s">
        <v>2125</v>
      </c>
      <c r="B134" s="2" t="s">
        <v>585</v>
      </c>
      <c r="C134" s="2" t="s">
        <v>2293</v>
      </c>
      <c r="D134" s="11">
        <v>45963.465277777781</v>
      </c>
      <c r="E134" s="11">
        <v>45963.465277777781</v>
      </c>
      <c r="F134" s="11">
        <v>45963.503472222219</v>
      </c>
      <c r="G134" s="12">
        <v>3.8194444437976927E-2</v>
      </c>
      <c r="H134" s="2" t="s">
        <v>257</v>
      </c>
      <c r="J134" s="2" t="s">
        <v>258</v>
      </c>
      <c r="K134" s="2" t="s">
        <v>658</v>
      </c>
      <c r="L134" s="2" t="s">
        <v>2286</v>
      </c>
      <c r="M134" t="s">
        <v>260</v>
      </c>
      <c r="N134" t="s">
        <v>357</v>
      </c>
      <c r="O134" t="s">
        <v>632</v>
      </c>
      <c r="P134" t="s">
        <v>2417</v>
      </c>
      <c r="Q134" t="s">
        <v>2281</v>
      </c>
    </row>
    <row r="135" spans="1:17">
      <c r="A135" s="2" t="s">
        <v>2134</v>
      </c>
      <c r="B135" s="2" t="s">
        <v>585</v>
      </c>
      <c r="C135" s="2" t="s">
        <v>590</v>
      </c>
      <c r="D135" s="11">
        <v>45963.465277777781</v>
      </c>
      <c r="E135" s="11">
        <v>45963.465277777781</v>
      </c>
      <c r="F135" s="11">
        <v>45963.503472222219</v>
      </c>
      <c r="G135" s="12">
        <v>3.8194444437976927E-2</v>
      </c>
      <c r="H135" s="2" t="s">
        <v>257</v>
      </c>
      <c r="J135" s="2" t="s">
        <v>258</v>
      </c>
      <c r="K135" s="2" t="s">
        <v>658</v>
      </c>
      <c r="L135" s="2" t="s">
        <v>2286</v>
      </c>
      <c r="M135" t="s">
        <v>260</v>
      </c>
      <c r="N135" t="s">
        <v>357</v>
      </c>
      <c r="O135" t="s">
        <v>632</v>
      </c>
      <c r="P135" t="s">
        <v>2418</v>
      </c>
      <c r="Q135" t="s">
        <v>2281</v>
      </c>
    </row>
    <row r="136" spans="1:17">
      <c r="A136" s="2" t="s">
        <v>2134</v>
      </c>
      <c r="B136" s="2" t="s">
        <v>585</v>
      </c>
      <c r="C136" s="2" t="s">
        <v>2091</v>
      </c>
      <c r="D136" s="11">
        <v>45963.465277777781</v>
      </c>
      <c r="E136" s="11">
        <v>45963.465277777781</v>
      </c>
      <c r="F136" s="11">
        <v>45963.503472222219</v>
      </c>
      <c r="G136" s="12">
        <v>3.8194444437976927E-2</v>
      </c>
      <c r="H136" s="2" t="s">
        <v>257</v>
      </c>
      <c r="J136" s="2" t="s">
        <v>258</v>
      </c>
      <c r="K136" s="2" t="s">
        <v>658</v>
      </c>
      <c r="L136" s="2" t="s">
        <v>2286</v>
      </c>
      <c r="M136" t="s">
        <v>260</v>
      </c>
      <c r="N136" t="s">
        <v>357</v>
      </c>
      <c r="O136" t="s">
        <v>632</v>
      </c>
      <c r="P136" t="s">
        <v>2419</v>
      </c>
      <c r="Q136" t="s">
        <v>2281</v>
      </c>
    </row>
    <row r="137" spans="1:17">
      <c r="A137" s="2" t="s">
        <v>2134</v>
      </c>
      <c r="B137" s="2" t="s">
        <v>585</v>
      </c>
      <c r="C137" s="2" t="s">
        <v>586</v>
      </c>
      <c r="D137" s="11">
        <v>45963.465277777781</v>
      </c>
      <c r="E137" s="11">
        <v>45963.465277777781</v>
      </c>
      <c r="F137" s="11">
        <v>45963.503472222219</v>
      </c>
      <c r="G137" s="12">
        <v>3.8194444437976927E-2</v>
      </c>
      <c r="H137" s="2" t="s">
        <v>257</v>
      </c>
      <c r="J137" s="2" t="s">
        <v>258</v>
      </c>
      <c r="K137" s="2" t="s">
        <v>658</v>
      </c>
      <c r="L137" s="2" t="s">
        <v>2286</v>
      </c>
      <c r="M137" t="s">
        <v>260</v>
      </c>
      <c r="N137" t="s">
        <v>357</v>
      </c>
      <c r="O137" t="s">
        <v>632</v>
      </c>
      <c r="P137" t="s">
        <v>2420</v>
      </c>
      <c r="Q137" t="s">
        <v>2281</v>
      </c>
    </row>
    <row r="138" spans="1:17">
      <c r="A138" s="2" t="s">
        <v>2134</v>
      </c>
      <c r="B138" s="2" t="s">
        <v>585</v>
      </c>
      <c r="C138" s="2" t="s">
        <v>598</v>
      </c>
      <c r="D138" s="11">
        <v>45963.465277777781</v>
      </c>
      <c r="E138" s="11">
        <v>45963.465277777781</v>
      </c>
      <c r="F138" s="11">
        <v>45963.503472222219</v>
      </c>
      <c r="G138" s="12">
        <v>3.8194444437976927E-2</v>
      </c>
      <c r="H138" s="2" t="s">
        <v>257</v>
      </c>
      <c r="J138" s="2" t="s">
        <v>258</v>
      </c>
      <c r="K138" s="2" t="s">
        <v>658</v>
      </c>
      <c r="L138" s="2" t="s">
        <v>2286</v>
      </c>
      <c r="M138" t="s">
        <v>260</v>
      </c>
      <c r="N138" t="s">
        <v>357</v>
      </c>
      <c r="O138" t="s">
        <v>632</v>
      </c>
      <c r="P138" t="s">
        <v>2421</v>
      </c>
      <c r="Q138" t="s">
        <v>2281</v>
      </c>
    </row>
    <row r="139" spans="1:17">
      <c r="A139" s="2" t="s">
        <v>2134</v>
      </c>
      <c r="B139" s="2" t="s">
        <v>585</v>
      </c>
      <c r="C139" s="2" t="s">
        <v>600</v>
      </c>
      <c r="D139" s="11">
        <v>45963.465277777781</v>
      </c>
      <c r="E139" s="11">
        <v>45963.465277777781</v>
      </c>
      <c r="F139" s="11">
        <v>45963.503472222219</v>
      </c>
      <c r="G139" s="12">
        <v>3.8194444437976927E-2</v>
      </c>
      <c r="H139" s="2" t="s">
        <v>257</v>
      </c>
      <c r="J139" s="2" t="s">
        <v>258</v>
      </c>
      <c r="K139" s="2" t="s">
        <v>658</v>
      </c>
      <c r="L139" s="2" t="s">
        <v>2286</v>
      </c>
      <c r="M139" t="s">
        <v>260</v>
      </c>
      <c r="N139" t="s">
        <v>357</v>
      </c>
      <c r="O139" t="s">
        <v>632</v>
      </c>
      <c r="P139" t="s">
        <v>2422</v>
      </c>
      <c r="Q139" t="s">
        <v>2281</v>
      </c>
    </row>
    <row r="140" spans="1:17">
      <c r="A140" s="2" t="s">
        <v>2134</v>
      </c>
      <c r="B140" s="2" t="s">
        <v>585</v>
      </c>
      <c r="C140" s="2" t="s">
        <v>596</v>
      </c>
      <c r="D140" s="11">
        <v>45963.465277777781</v>
      </c>
      <c r="E140" s="11">
        <v>45963.465277777781</v>
      </c>
      <c r="F140" s="11">
        <v>45963.503472222219</v>
      </c>
      <c r="G140" s="12">
        <v>3.8194444437976927E-2</v>
      </c>
      <c r="H140" s="2" t="s">
        <v>257</v>
      </c>
      <c r="J140" s="2" t="s">
        <v>258</v>
      </c>
      <c r="K140" s="2" t="s">
        <v>658</v>
      </c>
      <c r="L140" s="2" t="s">
        <v>2286</v>
      </c>
      <c r="M140" t="s">
        <v>260</v>
      </c>
      <c r="N140" t="s">
        <v>357</v>
      </c>
      <c r="O140" t="s">
        <v>632</v>
      </c>
      <c r="P140" t="s">
        <v>2423</v>
      </c>
      <c r="Q140" t="s">
        <v>2281</v>
      </c>
    </row>
    <row r="141" spans="1:17">
      <c r="A141" s="2" t="s">
        <v>2134</v>
      </c>
      <c r="B141" s="2" t="s">
        <v>585</v>
      </c>
      <c r="C141" s="2" t="s">
        <v>599</v>
      </c>
      <c r="D141" s="11">
        <v>45963.465277777781</v>
      </c>
      <c r="E141" s="11">
        <v>45963.465277777781</v>
      </c>
      <c r="F141" s="11">
        <v>45963.503472222219</v>
      </c>
      <c r="G141" s="12">
        <v>3.8194444437976927E-2</v>
      </c>
      <c r="H141" s="2" t="s">
        <v>257</v>
      </c>
      <c r="J141" s="2" t="s">
        <v>258</v>
      </c>
      <c r="K141" s="2" t="s">
        <v>658</v>
      </c>
      <c r="L141" s="2" t="s">
        <v>2286</v>
      </c>
      <c r="M141" t="s">
        <v>260</v>
      </c>
      <c r="N141" t="s">
        <v>357</v>
      </c>
      <c r="O141" t="s">
        <v>632</v>
      </c>
      <c r="P141" t="s">
        <v>2424</v>
      </c>
      <c r="Q141" t="s">
        <v>2281</v>
      </c>
    </row>
    <row r="142" spans="1:17">
      <c r="A142" s="2" t="s">
        <v>2134</v>
      </c>
      <c r="B142" s="2" t="s">
        <v>585</v>
      </c>
      <c r="C142" s="2" t="s">
        <v>603</v>
      </c>
      <c r="D142" s="11">
        <v>45963.465277777781</v>
      </c>
      <c r="E142" s="11">
        <v>45963.465277777781</v>
      </c>
      <c r="F142" s="11">
        <v>45963.503472222219</v>
      </c>
      <c r="G142" s="12">
        <v>3.8194444437976927E-2</v>
      </c>
      <c r="H142" s="2" t="s">
        <v>257</v>
      </c>
      <c r="J142" s="2" t="s">
        <v>258</v>
      </c>
      <c r="K142" s="2" t="s">
        <v>658</v>
      </c>
      <c r="L142" s="2" t="s">
        <v>2286</v>
      </c>
      <c r="M142" t="s">
        <v>260</v>
      </c>
      <c r="N142" t="s">
        <v>357</v>
      </c>
      <c r="O142" t="s">
        <v>632</v>
      </c>
      <c r="P142" t="s">
        <v>2425</v>
      </c>
      <c r="Q142" t="s">
        <v>2281</v>
      </c>
    </row>
    <row r="143" spans="1:17">
      <c r="A143" s="2" t="s">
        <v>2134</v>
      </c>
      <c r="B143" s="2" t="s">
        <v>585</v>
      </c>
      <c r="C143" s="2" t="s">
        <v>588</v>
      </c>
      <c r="D143" s="11">
        <v>45963.465277777781</v>
      </c>
      <c r="E143" s="11">
        <v>45963.465277777781</v>
      </c>
      <c r="F143" s="11">
        <v>45963.503472222219</v>
      </c>
      <c r="G143" s="12">
        <v>3.8194444437976927E-2</v>
      </c>
      <c r="H143" s="2" t="s">
        <v>257</v>
      </c>
      <c r="J143" s="2" t="s">
        <v>258</v>
      </c>
      <c r="K143" s="2" t="s">
        <v>658</v>
      </c>
      <c r="L143" s="2" t="s">
        <v>2286</v>
      </c>
      <c r="M143" t="s">
        <v>260</v>
      </c>
      <c r="N143" t="s">
        <v>357</v>
      </c>
      <c r="O143" t="s">
        <v>632</v>
      </c>
      <c r="P143" t="s">
        <v>2426</v>
      </c>
      <c r="Q143" t="s">
        <v>2281</v>
      </c>
    </row>
    <row r="144" spans="1:17">
      <c r="A144" s="2" t="s">
        <v>2134</v>
      </c>
      <c r="B144" s="2" t="s">
        <v>585</v>
      </c>
      <c r="C144" s="2" t="s">
        <v>594</v>
      </c>
      <c r="D144" s="11">
        <v>45963.465277777781</v>
      </c>
      <c r="E144" s="11">
        <v>45963.465277777781</v>
      </c>
      <c r="F144" s="11">
        <v>45963.503472222219</v>
      </c>
      <c r="G144" s="12">
        <v>3.8194444437976927E-2</v>
      </c>
      <c r="H144" s="2" t="s">
        <v>257</v>
      </c>
      <c r="J144" s="2" t="s">
        <v>258</v>
      </c>
      <c r="K144" s="2" t="s">
        <v>658</v>
      </c>
      <c r="L144" s="2" t="s">
        <v>2286</v>
      </c>
      <c r="M144" t="s">
        <v>260</v>
      </c>
      <c r="N144" t="s">
        <v>357</v>
      </c>
      <c r="O144" t="s">
        <v>632</v>
      </c>
      <c r="P144" t="s">
        <v>2427</v>
      </c>
      <c r="Q144" t="s">
        <v>2281</v>
      </c>
    </row>
    <row r="145" spans="1:17">
      <c r="A145" s="2" t="s">
        <v>2428</v>
      </c>
      <c r="B145" s="2" t="s">
        <v>299</v>
      </c>
      <c r="C145" s="2" t="s">
        <v>303</v>
      </c>
      <c r="D145" s="11">
        <v>45963.506249999999</v>
      </c>
      <c r="E145" s="11">
        <v>45963.506249999999</v>
      </c>
      <c r="F145" s="11">
        <v>45964.25</v>
      </c>
      <c r="G145" s="12">
        <v>0.74375000000145519</v>
      </c>
      <c r="H145" s="2" t="s">
        <v>257</v>
      </c>
      <c r="J145" s="2" t="s">
        <v>258</v>
      </c>
      <c r="K145" s="2" t="s">
        <v>658</v>
      </c>
      <c r="L145" s="2" t="s">
        <v>259</v>
      </c>
      <c r="M145" t="s">
        <v>260</v>
      </c>
      <c r="N145" t="s">
        <v>357</v>
      </c>
      <c r="O145" t="s">
        <v>2199</v>
      </c>
      <c r="P145" t="s">
        <v>2429</v>
      </c>
      <c r="Q145" t="s">
        <v>2281</v>
      </c>
    </row>
    <row r="146" spans="1:17">
      <c r="A146" s="2" t="s">
        <v>2175</v>
      </c>
      <c r="B146" s="2" t="s">
        <v>299</v>
      </c>
      <c r="C146" s="2" t="s">
        <v>300</v>
      </c>
      <c r="D146" s="11">
        <v>45963.506249999999</v>
      </c>
      <c r="E146" s="11">
        <v>45963.506249999999</v>
      </c>
      <c r="F146" s="11">
        <v>45964.25</v>
      </c>
      <c r="G146" s="12">
        <v>0.74375000000145519</v>
      </c>
      <c r="H146" s="2" t="s">
        <v>257</v>
      </c>
      <c r="J146" s="2" t="s">
        <v>258</v>
      </c>
      <c r="K146" s="2" t="s">
        <v>658</v>
      </c>
      <c r="L146" s="2" t="s">
        <v>259</v>
      </c>
      <c r="M146" t="s">
        <v>260</v>
      </c>
      <c r="N146" t="s">
        <v>357</v>
      </c>
      <c r="O146" t="s">
        <v>2199</v>
      </c>
      <c r="P146" t="s">
        <v>2430</v>
      </c>
      <c r="Q146" t="s">
        <v>2281</v>
      </c>
    </row>
    <row r="147" spans="1:17">
      <c r="A147" s="2" t="s">
        <v>2431</v>
      </c>
      <c r="B147" s="2" t="s">
        <v>299</v>
      </c>
      <c r="C147" s="2" t="s">
        <v>304</v>
      </c>
      <c r="D147" s="11">
        <v>45963.506249999999</v>
      </c>
      <c r="E147" s="11">
        <v>45963.506249999999</v>
      </c>
      <c r="F147" s="11">
        <v>45964.25</v>
      </c>
      <c r="G147" s="12">
        <v>0.74375000000145519</v>
      </c>
      <c r="H147" s="2" t="s">
        <v>257</v>
      </c>
      <c r="J147" s="2" t="s">
        <v>258</v>
      </c>
      <c r="K147" s="2" t="s">
        <v>658</v>
      </c>
      <c r="L147" s="2" t="s">
        <v>259</v>
      </c>
      <c r="M147" t="s">
        <v>260</v>
      </c>
      <c r="N147" t="s">
        <v>357</v>
      </c>
      <c r="O147" t="s">
        <v>2199</v>
      </c>
      <c r="P147" t="s">
        <v>2432</v>
      </c>
      <c r="Q147" t="s">
        <v>2281</v>
      </c>
    </row>
    <row r="148" spans="1:17">
      <c r="A148" s="2" t="s">
        <v>2433</v>
      </c>
      <c r="B148" s="2" t="s">
        <v>343</v>
      </c>
      <c r="C148" s="2" t="s">
        <v>345</v>
      </c>
      <c r="D148" s="11">
        <v>45963.506249999999</v>
      </c>
      <c r="E148" s="11">
        <v>45963.506249999999</v>
      </c>
      <c r="F148" s="11">
        <v>45964.25</v>
      </c>
      <c r="G148" s="12">
        <v>0.74375000000145519</v>
      </c>
      <c r="H148" s="2" t="s">
        <v>257</v>
      </c>
      <c r="J148" s="2" t="s">
        <v>258</v>
      </c>
      <c r="K148" s="2" t="s">
        <v>658</v>
      </c>
      <c r="L148" s="2" t="s">
        <v>259</v>
      </c>
      <c r="M148" t="s">
        <v>260</v>
      </c>
      <c r="N148" t="s">
        <v>357</v>
      </c>
      <c r="O148" t="s">
        <v>2199</v>
      </c>
      <c r="P148" t="s">
        <v>2434</v>
      </c>
      <c r="Q148" t="s">
        <v>2281</v>
      </c>
    </row>
    <row r="149" spans="1:17">
      <c r="A149" s="2" t="s">
        <v>2435</v>
      </c>
      <c r="B149" s="2" t="s">
        <v>343</v>
      </c>
      <c r="C149" s="2" t="s">
        <v>346</v>
      </c>
      <c r="D149" s="11">
        <v>45963.506249999999</v>
      </c>
      <c r="E149" s="11">
        <v>45963.506249999999</v>
      </c>
      <c r="F149" s="11">
        <v>45964.25</v>
      </c>
      <c r="G149" s="12">
        <v>0.74375000000145519</v>
      </c>
      <c r="H149" s="2" t="s">
        <v>257</v>
      </c>
      <c r="J149" s="2" t="s">
        <v>258</v>
      </c>
      <c r="K149" s="2" t="s">
        <v>658</v>
      </c>
      <c r="L149" s="2" t="s">
        <v>259</v>
      </c>
      <c r="M149" t="s">
        <v>260</v>
      </c>
      <c r="N149" t="s">
        <v>357</v>
      </c>
      <c r="O149" t="s">
        <v>2199</v>
      </c>
      <c r="P149" t="s">
        <v>2436</v>
      </c>
      <c r="Q149" t="s">
        <v>2281</v>
      </c>
    </row>
    <row r="150" spans="1:17">
      <c r="A150" s="2" t="s">
        <v>2437</v>
      </c>
      <c r="B150" s="2" t="s">
        <v>343</v>
      </c>
      <c r="C150" s="2" t="s">
        <v>344</v>
      </c>
      <c r="D150" s="11">
        <v>45963.506249999999</v>
      </c>
      <c r="E150" s="11">
        <v>45963.506249999999</v>
      </c>
      <c r="F150" s="11">
        <v>45964.25</v>
      </c>
      <c r="G150" s="12">
        <v>0.74375000000145519</v>
      </c>
      <c r="H150" s="2" t="s">
        <v>257</v>
      </c>
      <c r="J150" s="2" t="s">
        <v>258</v>
      </c>
      <c r="K150" s="2" t="s">
        <v>658</v>
      </c>
      <c r="L150" s="2" t="s">
        <v>259</v>
      </c>
      <c r="M150" t="s">
        <v>260</v>
      </c>
      <c r="N150" t="s">
        <v>357</v>
      </c>
      <c r="O150" t="s">
        <v>2199</v>
      </c>
      <c r="P150" t="s">
        <v>2438</v>
      </c>
      <c r="Q150" t="s">
        <v>2281</v>
      </c>
    </row>
    <row r="151" spans="1:17">
      <c r="A151" s="2" t="s">
        <v>2439</v>
      </c>
      <c r="B151" s="2" t="s">
        <v>343</v>
      </c>
      <c r="C151" s="2" t="s">
        <v>347</v>
      </c>
      <c r="D151" s="11">
        <v>45963.506249999999</v>
      </c>
      <c r="E151" s="11">
        <v>45963.506249999999</v>
      </c>
      <c r="F151" s="11">
        <v>45964.25</v>
      </c>
      <c r="G151" s="12">
        <v>0.74375000000145519</v>
      </c>
      <c r="H151" s="2" t="s">
        <v>257</v>
      </c>
      <c r="J151" s="2" t="s">
        <v>258</v>
      </c>
      <c r="K151" s="2" t="s">
        <v>658</v>
      </c>
      <c r="L151" s="2" t="s">
        <v>259</v>
      </c>
      <c r="M151" t="s">
        <v>260</v>
      </c>
      <c r="N151" t="s">
        <v>357</v>
      </c>
      <c r="O151" t="s">
        <v>2199</v>
      </c>
      <c r="P151" t="s">
        <v>2440</v>
      </c>
      <c r="Q151" t="s">
        <v>2281</v>
      </c>
    </row>
    <row r="152" spans="1:17">
      <c r="A152" s="2" t="s">
        <v>2441</v>
      </c>
      <c r="B152" s="2" t="s">
        <v>642</v>
      </c>
      <c r="C152" s="2" t="s">
        <v>643</v>
      </c>
      <c r="D152" s="11">
        <v>45963.531944444447</v>
      </c>
      <c r="E152" s="11">
        <v>45963.531944444447</v>
      </c>
      <c r="F152" s="11">
        <v>45963.645833333336</v>
      </c>
      <c r="G152" s="12">
        <v>0.11388888888905058</v>
      </c>
      <c r="H152" s="2" t="s">
        <v>257</v>
      </c>
      <c r="J152" s="2" t="s">
        <v>258</v>
      </c>
      <c r="K152" s="2" t="s">
        <v>658</v>
      </c>
      <c r="L152" s="2" t="s">
        <v>2286</v>
      </c>
      <c r="M152" t="s">
        <v>260</v>
      </c>
      <c r="N152" t="s">
        <v>357</v>
      </c>
      <c r="O152" t="s">
        <v>632</v>
      </c>
      <c r="P152" t="s">
        <v>2442</v>
      </c>
      <c r="Q152" t="s">
        <v>2281</v>
      </c>
    </row>
    <row r="153" spans="1:17">
      <c r="A153" s="2" t="s">
        <v>2441</v>
      </c>
      <c r="B153" s="2" t="s">
        <v>642</v>
      </c>
      <c r="C153" s="2" t="s">
        <v>646</v>
      </c>
      <c r="D153" s="11">
        <v>45963.531944444447</v>
      </c>
      <c r="E153" s="11">
        <v>45963.531944444447</v>
      </c>
      <c r="F153" s="11">
        <v>45963.645833333336</v>
      </c>
      <c r="G153" s="12">
        <v>0.11388888888905058</v>
      </c>
      <c r="H153" s="2" t="s">
        <v>257</v>
      </c>
      <c r="J153" s="2" t="s">
        <v>258</v>
      </c>
      <c r="K153" s="2" t="s">
        <v>658</v>
      </c>
      <c r="L153" s="2" t="s">
        <v>2286</v>
      </c>
      <c r="M153" t="s">
        <v>260</v>
      </c>
      <c r="N153" t="s">
        <v>357</v>
      </c>
      <c r="O153" t="s">
        <v>632</v>
      </c>
      <c r="P153" t="s">
        <v>2443</v>
      </c>
      <c r="Q153" t="s">
        <v>2281</v>
      </c>
    </row>
    <row r="154" spans="1:17">
      <c r="A154" s="2" t="s">
        <v>2441</v>
      </c>
      <c r="B154" s="2" t="s">
        <v>642</v>
      </c>
      <c r="C154" s="2" t="s">
        <v>647</v>
      </c>
      <c r="D154" s="11">
        <v>45963.531944444447</v>
      </c>
      <c r="E154" s="11">
        <v>45963.531944444447</v>
      </c>
      <c r="F154" s="11">
        <v>45963.645833333336</v>
      </c>
      <c r="G154" s="12">
        <v>0.11388888888905058</v>
      </c>
      <c r="H154" s="2" t="s">
        <v>257</v>
      </c>
      <c r="J154" s="2" t="s">
        <v>258</v>
      </c>
      <c r="K154" s="2" t="s">
        <v>658</v>
      </c>
      <c r="L154" s="2" t="s">
        <v>2286</v>
      </c>
      <c r="M154" t="s">
        <v>260</v>
      </c>
      <c r="N154" t="s">
        <v>357</v>
      </c>
      <c r="O154" t="s">
        <v>632</v>
      </c>
      <c r="P154" t="s">
        <v>2444</v>
      </c>
      <c r="Q154" t="s">
        <v>2281</v>
      </c>
    </row>
    <row r="155" spans="1:17">
      <c r="A155" s="2" t="s">
        <v>2441</v>
      </c>
      <c r="B155" s="2" t="s">
        <v>642</v>
      </c>
      <c r="C155" s="2" t="s">
        <v>648</v>
      </c>
      <c r="D155" s="11">
        <v>45963.531944444447</v>
      </c>
      <c r="E155" s="11">
        <v>45963.531944444447</v>
      </c>
      <c r="F155" s="11">
        <v>45963.645833333336</v>
      </c>
      <c r="G155" s="12">
        <v>0.11388888888905058</v>
      </c>
      <c r="H155" s="2" t="s">
        <v>257</v>
      </c>
      <c r="J155" s="2" t="s">
        <v>258</v>
      </c>
      <c r="K155" s="2" t="s">
        <v>658</v>
      </c>
      <c r="L155" s="2" t="s">
        <v>2286</v>
      </c>
      <c r="M155" t="s">
        <v>260</v>
      </c>
      <c r="N155" t="s">
        <v>357</v>
      </c>
      <c r="O155" t="s">
        <v>632</v>
      </c>
      <c r="P155" t="s">
        <v>2445</v>
      </c>
      <c r="Q155" t="s">
        <v>2281</v>
      </c>
    </row>
    <row r="156" spans="1:17">
      <c r="A156" s="2" t="s">
        <v>2209</v>
      </c>
      <c r="B156" s="2" t="s">
        <v>495</v>
      </c>
      <c r="C156" s="2" t="s">
        <v>496</v>
      </c>
      <c r="D156" s="11">
        <v>45963.531944444447</v>
      </c>
      <c r="E156" s="11">
        <v>45963.531944444447</v>
      </c>
      <c r="F156" s="11">
        <v>45963.645833333336</v>
      </c>
      <c r="G156" s="12">
        <v>0.11388888888905058</v>
      </c>
      <c r="H156" s="2" t="s">
        <v>257</v>
      </c>
      <c r="J156" s="2" t="s">
        <v>258</v>
      </c>
      <c r="K156" s="2" t="s">
        <v>658</v>
      </c>
      <c r="L156" s="2" t="s">
        <v>2286</v>
      </c>
      <c r="M156" t="s">
        <v>260</v>
      </c>
      <c r="N156" t="s">
        <v>357</v>
      </c>
      <c r="O156" t="s">
        <v>632</v>
      </c>
      <c r="P156" t="s">
        <v>2446</v>
      </c>
      <c r="Q156" t="s">
        <v>2281</v>
      </c>
    </row>
    <row r="157" spans="1:17">
      <c r="A157" s="2" t="s">
        <v>2209</v>
      </c>
      <c r="B157" s="2" t="s">
        <v>495</v>
      </c>
      <c r="C157" s="2" t="s">
        <v>501</v>
      </c>
      <c r="D157" s="11">
        <v>45963.531944444447</v>
      </c>
      <c r="E157" s="11">
        <v>45963.531944444447</v>
      </c>
      <c r="F157" s="11">
        <v>45963.645833333336</v>
      </c>
      <c r="G157" s="12">
        <v>0.11388888888905058</v>
      </c>
      <c r="H157" s="2" t="s">
        <v>257</v>
      </c>
      <c r="J157" s="2" t="s">
        <v>258</v>
      </c>
      <c r="K157" s="2" t="s">
        <v>658</v>
      </c>
      <c r="L157" s="2" t="s">
        <v>2286</v>
      </c>
      <c r="M157" t="s">
        <v>260</v>
      </c>
      <c r="N157" t="s">
        <v>357</v>
      </c>
      <c r="O157" t="s">
        <v>632</v>
      </c>
      <c r="P157" t="s">
        <v>2447</v>
      </c>
      <c r="Q157" t="s">
        <v>2281</v>
      </c>
    </row>
    <row r="158" spans="1:17">
      <c r="A158" s="2" t="s">
        <v>2209</v>
      </c>
      <c r="B158" s="2" t="s">
        <v>495</v>
      </c>
      <c r="C158" s="2" t="s">
        <v>502</v>
      </c>
      <c r="D158" s="11">
        <v>45963.531944444447</v>
      </c>
      <c r="E158" s="11">
        <v>45963.531944444447</v>
      </c>
      <c r="F158" s="11">
        <v>45963.645833333336</v>
      </c>
      <c r="G158" s="12">
        <v>0.11388888888905058</v>
      </c>
      <c r="H158" s="2" t="s">
        <v>257</v>
      </c>
      <c r="J158" s="2" t="s">
        <v>258</v>
      </c>
      <c r="K158" s="2" t="s">
        <v>658</v>
      </c>
      <c r="L158" s="2" t="s">
        <v>2286</v>
      </c>
      <c r="M158" t="s">
        <v>260</v>
      </c>
      <c r="N158" t="s">
        <v>357</v>
      </c>
      <c r="O158" t="s">
        <v>632</v>
      </c>
      <c r="P158" t="s">
        <v>2448</v>
      </c>
      <c r="Q158" t="s">
        <v>2281</v>
      </c>
    </row>
    <row r="159" spans="1:17">
      <c r="A159" s="2" t="s">
        <v>2209</v>
      </c>
      <c r="B159" s="2" t="s">
        <v>495</v>
      </c>
      <c r="C159" s="2" t="s">
        <v>503</v>
      </c>
      <c r="D159" s="11">
        <v>45963.531944444447</v>
      </c>
      <c r="E159" s="11">
        <v>45963.531944444447</v>
      </c>
      <c r="F159" s="11">
        <v>45963.645833333336</v>
      </c>
      <c r="G159" s="12">
        <v>0.11388888888905058</v>
      </c>
      <c r="H159" s="2" t="s">
        <v>257</v>
      </c>
      <c r="J159" s="2" t="s">
        <v>258</v>
      </c>
      <c r="K159" s="2" t="s">
        <v>658</v>
      </c>
      <c r="L159" s="2" t="s">
        <v>2286</v>
      </c>
      <c r="M159" t="s">
        <v>260</v>
      </c>
      <c r="N159" t="s">
        <v>357</v>
      </c>
      <c r="O159" t="s">
        <v>632</v>
      </c>
      <c r="P159" t="s">
        <v>2449</v>
      </c>
      <c r="Q159" t="s">
        <v>2281</v>
      </c>
    </row>
    <row r="160" spans="1:17">
      <c r="A160" s="2" t="s">
        <v>2209</v>
      </c>
      <c r="B160" s="2" t="s">
        <v>495</v>
      </c>
      <c r="C160" s="2" t="s">
        <v>504</v>
      </c>
      <c r="D160" s="11">
        <v>45963.531944444447</v>
      </c>
      <c r="E160" s="11">
        <v>45963.531944444447</v>
      </c>
      <c r="F160" s="11">
        <v>45963.645833333336</v>
      </c>
      <c r="G160" s="12">
        <v>0.11388888888905058</v>
      </c>
      <c r="H160" s="2" t="s">
        <v>257</v>
      </c>
      <c r="J160" s="2" t="s">
        <v>258</v>
      </c>
      <c r="K160" s="2" t="s">
        <v>658</v>
      </c>
      <c r="L160" s="2" t="s">
        <v>2286</v>
      </c>
      <c r="M160" t="s">
        <v>260</v>
      </c>
      <c r="N160" t="s">
        <v>357</v>
      </c>
      <c r="O160" t="s">
        <v>632</v>
      </c>
      <c r="P160" t="s">
        <v>2450</v>
      </c>
      <c r="Q160" t="s">
        <v>2281</v>
      </c>
    </row>
    <row r="161" spans="1:17">
      <c r="A161" s="2" t="s">
        <v>2209</v>
      </c>
      <c r="B161" s="2" t="s">
        <v>495</v>
      </c>
      <c r="C161" s="2" t="s">
        <v>505</v>
      </c>
      <c r="D161" s="11">
        <v>45963.531944444447</v>
      </c>
      <c r="E161" s="11">
        <v>45963.531944444447</v>
      </c>
      <c r="F161" s="11">
        <v>45963.645833333336</v>
      </c>
      <c r="G161" s="12">
        <v>0.11388888888905058</v>
      </c>
      <c r="H161" s="2" t="s">
        <v>257</v>
      </c>
      <c r="J161" s="2" t="s">
        <v>258</v>
      </c>
      <c r="K161" s="2" t="s">
        <v>658</v>
      </c>
      <c r="L161" s="2" t="s">
        <v>2286</v>
      </c>
      <c r="M161" t="s">
        <v>260</v>
      </c>
      <c r="N161" t="s">
        <v>357</v>
      </c>
      <c r="O161" t="s">
        <v>632</v>
      </c>
      <c r="P161" t="s">
        <v>2451</v>
      </c>
      <c r="Q161" t="s">
        <v>2281</v>
      </c>
    </row>
    <row r="162" spans="1:17">
      <c r="A162" s="2" t="s">
        <v>2209</v>
      </c>
      <c r="B162" s="2" t="s">
        <v>495</v>
      </c>
      <c r="C162" s="2" t="s">
        <v>506</v>
      </c>
      <c r="D162" s="11">
        <v>45963.531944444447</v>
      </c>
      <c r="E162" s="11">
        <v>45963.531944444447</v>
      </c>
      <c r="F162" s="11">
        <v>45963.645833333336</v>
      </c>
      <c r="G162" s="12">
        <v>0.11388888888905058</v>
      </c>
      <c r="H162" s="2" t="s">
        <v>257</v>
      </c>
      <c r="J162" s="2" t="s">
        <v>258</v>
      </c>
      <c r="K162" s="2" t="s">
        <v>658</v>
      </c>
      <c r="L162" s="2" t="s">
        <v>2286</v>
      </c>
      <c r="M162" t="s">
        <v>260</v>
      </c>
      <c r="N162" t="s">
        <v>357</v>
      </c>
      <c r="O162" t="s">
        <v>632</v>
      </c>
      <c r="P162" t="s">
        <v>2452</v>
      </c>
      <c r="Q162" t="s">
        <v>2281</v>
      </c>
    </row>
    <row r="163" spans="1:17">
      <c r="A163" s="2" t="s">
        <v>2209</v>
      </c>
      <c r="B163" s="2" t="s">
        <v>495</v>
      </c>
      <c r="C163" s="2" t="s">
        <v>507</v>
      </c>
      <c r="D163" s="11">
        <v>45963.531944444447</v>
      </c>
      <c r="E163" s="11">
        <v>45963.531944444447</v>
      </c>
      <c r="F163" s="11">
        <v>45963.645833333336</v>
      </c>
      <c r="G163" s="12">
        <v>0.11388888888905058</v>
      </c>
      <c r="H163" s="2" t="s">
        <v>257</v>
      </c>
      <c r="J163" s="2" t="s">
        <v>258</v>
      </c>
      <c r="K163" s="2" t="s">
        <v>658</v>
      </c>
      <c r="L163" s="2" t="s">
        <v>2286</v>
      </c>
      <c r="M163" t="s">
        <v>260</v>
      </c>
      <c r="N163" t="s">
        <v>357</v>
      </c>
      <c r="O163" t="s">
        <v>632</v>
      </c>
      <c r="P163" t="s">
        <v>2453</v>
      </c>
      <c r="Q163" t="s">
        <v>2281</v>
      </c>
    </row>
    <row r="164" spans="1:17">
      <c r="A164" s="2" t="s">
        <v>2209</v>
      </c>
      <c r="B164" s="2" t="s">
        <v>495</v>
      </c>
      <c r="C164" s="2" t="s">
        <v>508</v>
      </c>
      <c r="D164" s="11">
        <v>45963.531944444447</v>
      </c>
      <c r="E164" s="11">
        <v>45963.531944444447</v>
      </c>
      <c r="F164" s="11">
        <v>45963.645833333336</v>
      </c>
      <c r="G164" s="12">
        <v>0.11388888888905058</v>
      </c>
      <c r="H164" s="2" t="s">
        <v>257</v>
      </c>
      <c r="J164" s="2" t="s">
        <v>258</v>
      </c>
      <c r="K164" s="2" t="s">
        <v>658</v>
      </c>
      <c r="L164" s="2" t="s">
        <v>2286</v>
      </c>
      <c r="M164" t="s">
        <v>260</v>
      </c>
      <c r="N164" t="s">
        <v>357</v>
      </c>
      <c r="O164" t="s">
        <v>632</v>
      </c>
      <c r="P164" t="s">
        <v>2454</v>
      </c>
      <c r="Q164" t="s">
        <v>2281</v>
      </c>
    </row>
    <row r="165" spans="1:17">
      <c r="A165" s="2" t="s">
        <v>2209</v>
      </c>
      <c r="B165" s="2" t="s">
        <v>495</v>
      </c>
      <c r="C165" s="2" t="s">
        <v>509</v>
      </c>
      <c r="D165" s="11">
        <v>45963.531944444447</v>
      </c>
      <c r="E165" s="11">
        <v>45963.531944444447</v>
      </c>
      <c r="F165" s="11">
        <v>45963.645833333336</v>
      </c>
      <c r="G165" s="12">
        <v>0.11388888888905058</v>
      </c>
      <c r="H165" s="2" t="s">
        <v>257</v>
      </c>
      <c r="J165" s="2" t="s">
        <v>258</v>
      </c>
      <c r="K165" s="2" t="s">
        <v>658</v>
      </c>
      <c r="L165" s="2" t="s">
        <v>2286</v>
      </c>
      <c r="M165" t="s">
        <v>260</v>
      </c>
      <c r="N165" t="s">
        <v>357</v>
      </c>
      <c r="O165" t="s">
        <v>632</v>
      </c>
      <c r="P165" t="s">
        <v>2455</v>
      </c>
      <c r="Q165" t="s">
        <v>2281</v>
      </c>
    </row>
    <row r="166" spans="1:17">
      <c r="A166" s="2" t="s">
        <v>2209</v>
      </c>
      <c r="B166" s="2" t="s">
        <v>495</v>
      </c>
      <c r="C166" s="2" t="s">
        <v>510</v>
      </c>
      <c r="D166" s="11">
        <v>45963.531944444447</v>
      </c>
      <c r="E166" s="11">
        <v>45963.531944444447</v>
      </c>
      <c r="F166" s="11">
        <v>45963.645833333336</v>
      </c>
      <c r="G166" s="12">
        <v>0.11388888888905058</v>
      </c>
      <c r="H166" s="2" t="s">
        <v>257</v>
      </c>
      <c r="J166" s="2" t="s">
        <v>258</v>
      </c>
      <c r="K166" s="2" t="s">
        <v>658</v>
      </c>
      <c r="L166" s="2" t="s">
        <v>2286</v>
      </c>
      <c r="M166" t="s">
        <v>260</v>
      </c>
      <c r="N166" t="s">
        <v>357</v>
      </c>
      <c r="O166" t="s">
        <v>632</v>
      </c>
      <c r="P166" t="s">
        <v>2456</v>
      </c>
      <c r="Q166" t="s">
        <v>2281</v>
      </c>
    </row>
    <row r="167" spans="1:17">
      <c r="A167" s="2" t="s">
        <v>2209</v>
      </c>
      <c r="B167" s="2" t="s">
        <v>495</v>
      </c>
      <c r="C167" s="2" t="s">
        <v>511</v>
      </c>
      <c r="D167" s="11">
        <v>45963.531944444447</v>
      </c>
      <c r="E167" s="11">
        <v>45963.531944444447</v>
      </c>
      <c r="F167" s="11">
        <v>45963.645833333336</v>
      </c>
      <c r="G167" s="12">
        <v>0.11388888888905058</v>
      </c>
      <c r="H167" s="2" t="s">
        <v>257</v>
      </c>
      <c r="J167" s="2" t="s">
        <v>258</v>
      </c>
      <c r="K167" s="2" t="s">
        <v>658</v>
      </c>
      <c r="L167" s="2" t="s">
        <v>2286</v>
      </c>
      <c r="M167" t="s">
        <v>260</v>
      </c>
      <c r="N167" t="s">
        <v>357</v>
      </c>
      <c r="O167" t="s">
        <v>632</v>
      </c>
      <c r="P167" t="s">
        <v>2457</v>
      </c>
      <c r="Q167" t="s">
        <v>2281</v>
      </c>
    </row>
    <row r="168" spans="1:17">
      <c r="A168" s="2" t="s">
        <v>2209</v>
      </c>
      <c r="B168" s="2" t="s">
        <v>495</v>
      </c>
      <c r="C168" s="2" t="s">
        <v>512</v>
      </c>
      <c r="D168" s="11">
        <v>45963.531944444447</v>
      </c>
      <c r="E168" s="11">
        <v>45963.531944444447</v>
      </c>
      <c r="F168" s="11">
        <v>45963.645833333336</v>
      </c>
      <c r="G168" s="12">
        <v>0.11388888888905058</v>
      </c>
      <c r="H168" s="2" t="s">
        <v>257</v>
      </c>
      <c r="J168" s="2" t="s">
        <v>258</v>
      </c>
      <c r="K168" s="2" t="s">
        <v>658</v>
      </c>
      <c r="L168" s="2" t="s">
        <v>2286</v>
      </c>
      <c r="M168" t="s">
        <v>260</v>
      </c>
      <c r="N168" t="s">
        <v>357</v>
      </c>
      <c r="O168" t="s">
        <v>632</v>
      </c>
      <c r="P168" t="s">
        <v>2458</v>
      </c>
      <c r="Q168" t="s">
        <v>2281</v>
      </c>
    </row>
    <row r="169" spans="1:17">
      <c r="A169" s="2" t="s">
        <v>2209</v>
      </c>
      <c r="B169" s="2" t="s">
        <v>495</v>
      </c>
      <c r="C169" s="2" t="s">
        <v>513</v>
      </c>
      <c r="D169" s="11">
        <v>45963.531944444447</v>
      </c>
      <c r="E169" s="11">
        <v>45963.531944444447</v>
      </c>
      <c r="F169" s="11">
        <v>45963.645833333336</v>
      </c>
      <c r="G169" s="12">
        <v>0.11388888888905058</v>
      </c>
      <c r="H169" s="2" t="s">
        <v>257</v>
      </c>
      <c r="J169" s="2" t="s">
        <v>258</v>
      </c>
      <c r="K169" s="2" t="s">
        <v>658</v>
      </c>
      <c r="L169" s="2" t="s">
        <v>2286</v>
      </c>
      <c r="M169" t="s">
        <v>260</v>
      </c>
      <c r="N169" t="s">
        <v>357</v>
      </c>
      <c r="O169" t="s">
        <v>632</v>
      </c>
      <c r="P169" t="s">
        <v>2459</v>
      </c>
      <c r="Q169" t="s">
        <v>2281</v>
      </c>
    </row>
    <row r="170" spans="1:17">
      <c r="A170" s="2" t="s">
        <v>2209</v>
      </c>
      <c r="B170" s="2" t="s">
        <v>495</v>
      </c>
      <c r="C170" s="2" t="s">
        <v>514</v>
      </c>
      <c r="D170" s="11">
        <v>45963.531944444447</v>
      </c>
      <c r="E170" s="11">
        <v>45963.531944444447</v>
      </c>
      <c r="F170" s="11">
        <v>45963.645833333336</v>
      </c>
      <c r="G170" s="12">
        <v>0.11388888888905058</v>
      </c>
      <c r="H170" s="2" t="s">
        <v>257</v>
      </c>
      <c r="J170" s="2" t="s">
        <v>258</v>
      </c>
      <c r="K170" s="2" t="s">
        <v>658</v>
      </c>
      <c r="L170" s="2" t="s">
        <v>2286</v>
      </c>
      <c r="M170" t="s">
        <v>260</v>
      </c>
      <c r="N170" t="s">
        <v>357</v>
      </c>
      <c r="O170" t="s">
        <v>632</v>
      </c>
      <c r="P170" t="s">
        <v>2460</v>
      </c>
      <c r="Q170" t="s">
        <v>2281</v>
      </c>
    </row>
    <row r="171" spans="1:17">
      <c r="A171" s="2" t="s">
        <v>2209</v>
      </c>
      <c r="B171" s="2" t="s">
        <v>495</v>
      </c>
      <c r="C171" s="2" t="s">
        <v>515</v>
      </c>
      <c r="D171" s="11">
        <v>45963.531944444447</v>
      </c>
      <c r="E171" s="11">
        <v>45963.531944444447</v>
      </c>
      <c r="F171" s="11">
        <v>45963.645833333336</v>
      </c>
      <c r="G171" s="12">
        <v>0.11388888888905058</v>
      </c>
      <c r="H171" s="2" t="s">
        <v>257</v>
      </c>
      <c r="J171" s="2" t="s">
        <v>258</v>
      </c>
      <c r="K171" s="2" t="s">
        <v>658</v>
      </c>
      <c r="L171" s="2" t="s">
        <v>2286</v>
      </c>
      <c r="M171" t="s">
        <v>260</v>
      </c>
      <c r="N171" t="s">
        <v>357</v>
      </c>
      <c r="O171" t="s">
        <v>632</v>
      </c>
      <c r="P171" t="s">
        <v>2461</v>
      </c>
      <c r="Q171" t="s">
        <v>2281</v>
      </c>
    </row>
    <row r="172" spans="1:17">
      <c r="A172" s="2" t="s">
        <v>2209</v>
      </c>
      <c r="B172" s="2" t="s">
        <v>495</v>
      </c>
      <c r="C172" s="2" t="s">
        <v>516</v>
      </c>
      <c r="D172" s="11">
        <v>45963.531944444447</v>
      </c>
      <c r="E172" s="11">
        <v>45963.531944444447</v>
      </c>
      <c r="F172" s="11">
        <v>45963.645833333336</v>
      </c>
      <c r="G172" s="12">
        <v>0.11388888888905058</v>
      </c>
      <c r="H172" s="2" t="s">
        <v>257</v>
      </c>
      <c r="J172" s="2" t="s">
        <v>258</v>
      </c>
      <c r="K172" s="2" t="s">
        <v>658</v>
      </c>
      <c r="L172" s="2" t="s">
        <v>2286</v>
      </c>
      <c r="M172" t="s">
        <v>260</v>
      </c>
      <c r="N172" t="s">
        <v>357</v>
      </c>
      <c r="O172" t="s">
        <v>632</v>
      </c>
      <c r="P172" t="s">
        <v>2462</v>
      </c>
      <c r="Q172" t="s">
        <v>2281</v>
      </c>
    </row>
    <row r="173" spans="1:17">
      <c r="A173" s="2" t="s">
        <v>2241</v>
      </c>
      <c r="B173" s="2" t="s">
        <v>2063</v>
      </c>
      <c r="C173" s="2" t="s">
        <v>2064</v>
      </c>
      <c r="D173" s="11">
        <v>45964.229166666664</v>
      </c>
      <c r="E173" s="11">
        <v>45964.229166666664</v>
      </c>
      <c r="F173" s="11">
        <v>45965.625</v>
      </c>
      <c r="G173" s="12">
        <v>1.3958333333357587</v>
      </c>
      <c r="H173" s="2" t="s">
        <v>257</v>
      </c>
      <c r="J173" s="2" t="s">
        <v>258</v>
      </c>
      <c r="K173" s="2" t="s">
        <v>658</v>
      </c>
      <c r="L173" s="2" t="s">
        <v>2463</v>
      </c>
      <c r="M173" t="s">
        <v>260</v>
      </c>
      <c r="N173" t="s">
        <v>357</v>
      </c>
      <c r="O173" t="s">
        <v>2464</v>
      </c>
      <c r="P173" t="s">
        <v>2465</v>
      </c>
      <c r="Q173" t="s">
        <v>2281</v>
      </c>
    </row>
    <row r="174" spans="1:17">
      <c r="A174" s="2" t="s">
        <v>2241</v>
      </c>
      <c r="B174" s="2" t="s">
        <v>2063</v>
      </c>
      <c r="C174" s="2" t="s">
        <v>2067</v>
      </c>
      <c r="D174" s="11">
        <v>45964.229166666664</v>
      </c>
      <c r="E174" s="11">
        <v>45964.229166666664</v>
      </c>
      <c r="F174" s="11">
        <v>45965.625</v>
      </c>
      <c r="G174" s="12">
        <v>1.3958333333357587</v>
      </c>
      <c r="H174" s="2" t="s">
        <v>257</v>
      </c>
      <c r="J174" s="2" t="s">
        <v>258</v>
      </c>
      <c r="K174" s="2" t="s">
        <v>658</v>
      </c>
      <c r="L174" s="2" t="s">
        <v>2463</v>
      </c>
      <c r="M174" t="s">
        <v>260</v>
      </c>
      <c r="N174" t="s">
        <v>357</v>
      </c>
      <c r="O174" t="s">
        <v>2464</v>
      </c>
      <c r="P174" t="s">
        <v>2466</v>
      </c>
      <c r="Q174" t="s">
        <v>2281</v>
      </c>
    </row>
    <row r="175" spans="1:17">
      <c r="A175" s="2" t="s">
        <v>2241</v>
      </c>
      <c r="B175" s="2" t="s">
        <v>2063</v>
      </c>
      <c r="C175" s="2" t="s">
        <v>2068</v>
      </c>
      <c r="D175" s="11">
        <v>45964.229166666664</v>
      </c>
      <c r="E175" s="11">
        <v>45964.229166666664</v>
      </c>
      <c r="F175" s="11">
        <v>45965.625</v>
      </c>
      <c r="G175" s="12">
        <v>1.3958333333357587</v>
      </c>
      <c r="H175" s="2" t="s">
        <v>257</v>
      </c>
      <c r="J175" s="2" t="s">
        <v>258</v>
      </c>
      <c r="K175" s="2" t="s">
        <v>658</v>
      </c>
      <c r="L175" s="2" t="s">
        <v>2463</v>
      </c>
      <c r="M175" t="s">
        <v>260</v>
      </c>
      <c r="N175" t="s">
        <v>357</v>
      </c>
      <c r="O175" t="s">
        <v>2464</v>
      </c>
      <c r="P175" t="s">
        <v>2467</v>
      </c>
      <c r="Q175" t="s">
        <v>2281</v>
      </c>
    </row>
    <row r="176" spans="1:17">
      <c r="A176" s="2" t="s">
        <v>2241</v>
      </c>
      <c r="B176" s="2" t="s">
        <v>2063</v>
      </c>
      <c r="C176" s="2" t="s">
        <v>2069</v>
      </c>
      <c r="D176" s="11">
        <v>45964.229166666664</v>
      </c>
      <c r="E176" s="11">
        <v>45964.229166666664</v>
      </c>
      <c r="F176" s="11">
        <v>45965.625</v>
      </c>
      <c r="G176" s="12">
        <v>1.3958333333357587</v>
      </c>
      <c r="H176" s="2" t="s">
        <v>257</v>
      </c>
      <c r="J176" s="2" t="s">
        <v>258</v>
      </c>
      <c r="K176" s="2" t="s">
        <v>658</v>
      </c>
      <c r="L176" s="2" t="s">
        <v>2463</v>
      </c>
      <c r="M176" t="s">
        <v>260</v>
      </c>
      <c r="N176" t="s">
        <v>357</v>
      </c>
      <c r="O176" t="s">
        <v>2464</v>
      </c>
      <c r="P176" t="s">
        <v>2468</v>
      </c>
      <c r="Q176" t="s">
        <v>2281</v>
      </c>
    </row>
    <row r="177" spans="1:17">
      <c r="A177" s="2" t="s">
        <v>2241</v>
      </c>
      <c r="B177" s="2" t="s">
        <v>2063</v>
      </c>
      <c r="C177" s="2" t="s">
        <v>2070</v>
      </c>
      <c r="D177" s="11">
        <v>45964.229166666664</v>
      </c>
      <c r="E177" s="11">
        <v>45964.229166666664</v>
      </c>
      <c r="F177" s="11">
        <v>45965.625</v>
      </c>
      <c r="G177" s="12">
        <v>1.3958333333357587</v>
      </c>
      <c r="H177" s="2" t="s">
        <v>257</v>
      </c>
      <c r="J177" s="2" t="s">
        <v>258</v>
      </c>
      <c r="K177" s="2" t="s">
        <v>658</v>
      </c>
      <c r="L177" s="2" t="s">
        <v>2463</v>
      </c>
      <c r="M177" t="s">
        <v>260</v>
      </c>
      <c r="N177" t="s">
        <v>357</v>
      </c>
      <c r="O177" t="s">
        <v>2464</v>
      </c>
      <c r="P177" t="s">
        <v>2469</v>
      </c>
      <c r="Q177" t="s">
        <v>2281</v>
      </c>
    </row>
    <row r="178" spans="1:17">
      <c r="A178" s="2" t="s">
        <v>2241</v>
      </c>
      <c r="B178" s="2" t="s">
        <v>2063</v>
      </c>
      <c r="C178" s="2" t="s">
        <v>2071</v>
      </c>
      <c r="D178" s="11">
        <v>45964.229166666664</v>
      </c>
      <c r="E178" s="11">
        <v>45964.229166666664</v>
      </c>
      <c r="F178" s="11">
        <v>45965.625</v>
      </c>
      <c r="G178" s="12">
        <v>1.3958333333357587</v>
      </c>
      <c r="H178" s="2" t="s">
        <v>257</v>
      </c>
      <c r="J178" s="2" t="s">
        <v>258</v>
      </c>
      <c r="K178" s="2" t="s">
        <v>658</v>
      </c>
      <c r="L178" s="2" t="s">
        <v>2463</v>
      </c>
      <c r="M178" t="s">
        <v>260</v>
      </c>
      <c r="N178" t="s">
        <v>357</v>
      </c>
      <c r="O178" t="s">
        <v>2464</v>
      </c>
      <c r="P178" t="s">
        <v>2470</v>
      </c>
      <c r="Q178" t="s">
        <v>2281</v>
      </c>
    </row>
    <row r="179" spans="1:17">
      <c r="A179" s="2" t="s">
        <v>2241</v>
      </c>
      <c r="B179" s="2" t="s">
        <v>2063</v>
      </c>
      <c r="C179" s="2" t="s">
        <v>2072</v>
      </c>
      <c r="D179" s="11">
        <v>45964.229166666664</v>
      </c>
      <c r="E179" s="11">
        <v>45964.229166666664</v>
      </c>
      <c r="F179" s="11">
        <v>45965.625</v>
      </c>
      <c r="G179" s="12">
        <v>1.3958333333357587</v>
      </c>
      <c r="H179" s="2" t="s">
        <v>257</v>
      </c>
      <c r="J179" s="2" t="s">
        <v>258</v>
      </c>
      <c r="K179" s="2" t="s">
        <v>658</v>
      </c>
      <c r="L179" s="2" t="s">
        <v>2463</v>
      </c>
      <c r="M179" t="s">
        <v>260</v>
      </c>
      <c r="N179" t="s">
        <v>357</v>
      </c>
      <c r="O179" t="s">
        <v>2464</v>
      </c>
      <c r="P179" t="s">
        <v>2471</v>
      </c>
      <c r="Q179" t="s">
        <v>2281</v>
      </c>
    </row>
    <row r="180" spans="1:17">
      <c r="A180" s="2" t="s">
        <v>2241</v>
      </c>
      <c r="B180" s="2" t="s">
        <v>2063</v>
      </c>
      <c r="C180" s="2" t="s">
        <v>2073</v>
      </c>
      <c r="D180" s="11">
        <v>45964.229166666664</v>
      </c>
      <c r="E180" s="11">
        <v>45964.229166666664</v>
      </c>
      <c r="F180" s="11">
        <v>45965.625</v>
      </c>
      <c r="G180" s="12">
        <v>1.3958333333357587</v>
      </c>
      <c r="H180" s="2" t="s">
        <v>257</v>
      </c>
      <c r="J180" s="2" t="s">
        <v>258</v>
      </c>
      <c r="K180" s="2" t="s">
        <v>658</v>
      </c>
      <c r="L180" s="2" t="s">
        <v>2463</v>
      </c>
      <c r="M180" t="s">
        <v>260</v>
      </c>
      <c r="N180" t="s">
        <v>357</v>
      </c>
      <c r="O180" t="s">
        <v>2464</v>
      </c>
      <c r="P180" t="s">
        <v>2472</v>
      </c>
      <c r="Q180" t="s">
        <v>2281</v>
      </c>
    </row>
    <row r="181" spans="1:17">
      <c r="A181" s="2" t="s">
        <v>2241</v>
      </c>
      <c r="B181" s="2" t="s">
        <v>2063</v>
      </c>
      <c r="C181" s="2" t="s">
        <v>2074</v>
      </c>
      <c r="D181" s="11">
        <v>45964.229166666664</v>
      </c>
      <c r="E181" s="11">
        <v>45964.229166666664</v>
      </c>
      <c r="F181" s="11">
        <v>45965.625</v>
      </c>
      <c r="G181" s="12">
        <v>1.3958333333357587</v>
      </c>
      <c r="H181" s="2" t="s">
        <v>257</v>
      </c>
      <c r="J181" s="2" t="s">
        <v>258</v>
      </c>
      <c r="K181" s="2" t="s">
        <v>658</v>
      </c>
      <c r="L181" s="2" t="s">
        <v>2463</v>
      </c>
      <c r="M181" t="s">
        <v>260</v>
      </c>
      <c r="N181" t="s">
        <v>357</v>
      </c>
      <c r="O181" t="s">
        <v>2464</v>
      </c>
      <c r="P181" t="s">
        <v>2473</v>
      </c>
      <c r="Q181" t="s">
        <v>2281</v>
      </c>
    </row>
    <row r="182" spans="1:17">
      <c r="A182" s="2" t="s">
        <v>2241</v>
      </c>
      <c r="B182" s="2" t="s">
        <v>2063</v>
      </c>
      <c r="C182" s="2" t="s">
        <v>2075</v>
      </c>
      <c r="D182" s="11">
        <v>45964.229166666664</v>
      </c>
      <c r="E182" s="11">
        <v>45964.229166666664</v>
      </c>
      <c r="F182" s="11">
        <v>45965.625</v>
      </c>
      <c r="G182" s="12">
        <v>1.3958333333357587</v>
      </c>
      <c r="H182" s="2" t="s">
        <v>257</v>
      </c>
      <c r="J182" s="2" t="s">
        <v>258</v>
      </c>
      <c r="K182" s="2" t="s">
        <v>658</v>
      </c>
      <c r="L182" s="2" t="s">
        <v>2463</v>
      </c>
      <c r="M182" t="s">
        <v>260</v>
      </c>
      <c r="N182" t="s">
        <v>357</v>
      </c>
      <c r="O182" t="s">
        <v>2464</v>
      </c>
      <c r="P182" t="s">
        <v>2474</v>
      </c>
      <c r="Q182" t="s">
        <v>2281</v>
      </c>
    </row>
    <row r="183" spans="1:17">
      <c r="A183" s="2" t="s">
        <v>2241</v>
      </c>
      <c r="B183" s="2" t="s">
        <v>2063</v>
      </c>
      <c r="C183" s="2" t="s">
        <v>2076</v>
      </c>
      <c r="D183" s="11">
        <v>45964.229166666664</v>
      </c>
      <c r="E183" s="11">
        <v>45964.229166666664</v>
      </c>
      <c r="F183" s="11">
        <v>45965.625</v>
      </c>
      <c r="G183" s="12">
        <v>1.3958333333357587</v>
      </c>
      <c r="H183" s="2" t="s">
        <v>257</v>
      </c>
      <c r="J183" s="2" t="s">
        <v>258</v>
      </c>
      <c r="K183" s="2" t="s">
        <v>658</v>
      </c>
      <c r="L183" s="2" t="s">
        <v>2463</v>
      </c>
      <c r="M183" t="s">
        <v>260</v>
      </c>
      <c r="N183" t="s">
        <v>357</v>
      </c>
      <c r="O183" t="s">
        <v>2464</v>
      </c>
      <c r="P183" t="s">
        <v>2475</v>
      </c>
      <c r="Q183" t="s">
        <v>2281</v>
      </c>
    </row>
    <row r="184" spans="1:17">
      <c r="A184" s="2" t="s">
        <v>2241</v>
      </c>
      <c r="B184" s="2" t="s">
        <v>2063</v>
      </c>
      <c r="C184" s="2" t="s">
        <v>622</v>
      </c>
      <c r="D184" s="11">
        <v>45964.229166666664</v>
      </c>
      <c r="E184" s="11">
        <v>45964.229166666664</v>
      </c>
      <c r="F184" s="11">
        <v>45965.625</v>
      </c>
      <c r="G184" s="12">
        <v>1.3958333333357587</v>
      </c>
      <c r="H184" s="2" t="s">
        <v>257</v>
      </c>
      <c r="J184" s="2" t="s">
        <v>258</v>
      </c>
      <c r="K184" s="2" t="s">
        <v>658</v>
      </c>
      <c r="L184" s="2" t="s">
        <v>2463</v>
      </c>
      <c r="M184" t="s">
        <v>260</v>
      </c>
      <c r="N184" t="s">
        <v>357</v>
      </c>
      <c r="O184" t="s">
        <v>2464</v>
      </c>
      <c r="P184" t="s">
        <v>2476</v>
      </c>
      <c r="Q184" t="s">
        <v>2281</v>
      </c>
    </row>
    <row r="185" spans="1:17">
      <c r="A185" s="2" t="s">
        <v>2241</v>
      </c>
      <c r="B185" s="2" t="s">
        <v>2063</v>
      </c>
      <c r="C185" s="2" t="s">
        <v>613</v>
      </c>
      <c r="D185" s="11">
        <v>45964.229166666664</v>
      </c>
      <c r="E185" s="11">
        <v>45964.229166666664</v>
      </c>
      <c r="F185" s="11">
        <v>45965.625</v>
      </c>
      <c r="G185" s="12">
        <v>1.3958333333357587</v>
      </c>
      <c r="H185" s="2" t="s">
        <v>257</v>
      </c>
      <c r="J185" s="2" t="s">
        <v>258</v>
      </c>
      <c r="K185" s="2" t="s">
        <v>658</v>
      </c>
      <c r="L185" s="2" t="s">
        <v>2463</v>
      </c>
      <c r="M185" t="s">
        <v>260</v>
      </c>
      <c r="N185" t="s">
        <v>357</v>
      </c>
      <c r="O185" t="s">
        <v>2464</v>
      </c>
      <c r="P185" t="s">
        <v>2477</v>
      </c>
      <c r="Q185" t="s">
        <v>2281</v>
      </c>
    </row>
    <row r="186" spans="1:17">
      <c r="A186" s="2" t="s">
        <v>2241</v>
      </c>
      <c r="B186" s="2" t="s">
        <v>2063</v>
      </c>
      <c r="C186" s="2" t="s">
        <v>2077</v>
      </c>
      <c r="D186" s="11">
        <v>45964.229166666664</v>
      </c>
      <c r="E186" s="11">
        <v>45964.229166666664</v>
      </c>
      <c r="F186" s="11">
        <v>45965.625</v>
      </c>
      <c r="G186" s="12">
        <v>1.3958333333357587</v>
      </c>
      <c r="H186" s="2" t="s">
        <v>257</v>
      </c>
      <c r="J186" s="2" t="s">
        <v>258</v>
      </c>
      <c r="K186" s="2" t="s">
        <v>658</v>
      </c>
      <c r="L186" s="2" t="s">
        <v>2463</v>
      </c>
      <c r="M186" t="s">
        <v>260</v>
      </c>
      <c r="N186" t="s">
        <v>357</v>
      </c>
      <c r="O186" t="s">
        <v>2464</v>
      </c>
      <c r="P186" t="s">
        <v>2478</v>
      </c>
      <c r="Q186" t="s">
        <v>2281</v>
      </c>
    </row>
    <row r="187" spans="1:17">
      <c r="A187" s="2" t="s">
        <v>2241</v>
      </c>
      <c r="B187" s="2" t="s">
        <v>2063</v>
      </c>
      <c r="C187" s="2" t="s">
        <v>2078</v>
      </c>
      <c r="D187" s="11">
        <v>45964.229166666664</v>
      </c>
      <c r="E187" s="11">
        <v>45964.229166666664</v>
      </c>
      <c r="F187" s="11">
        <v>45965.625</v>
      </c>
      <c r="G187" s="12">
        <v>1.3958333333357587</v>
      </c>
      <c r="H187" s="2" t="s">
        <v>257</v>
      </c>
      <c r="J187" s="2" t="s">
        <v>258</v>
      </c>
      <c r="K187" s="2" t="s">
        <v>658</v>
      </c>
      <c r="L187" s="2" t="s">
        <v>2463</v>
      </c>
      <c r="M187" t="s">
        <v>260</v>
      </c>
      <c r="N187" t="s">
        <v>357</v>
      </c>
      <c r="O187" t="s">
        <v>2464</v>
      </c>
      <c r="P187" t="s">
        <v>2479</v>
      </c>
      <c r="Q187" t="s">
        <v>2281</v>
      </c>
    </row>
    <row r="188" spans="1:17">
      <c r="A188" s="2" t="s">
        <v>2241</v>
      </c>
      <c r="B188" s="2" t="s">
        <v>2063</v>
      </c>
      <c r="C188" s="2" t="s">
        <v>2079</v>
      </c>
      <c r="D188" s="11">
        <v>45964.229166666664</v>
      </c>
      <c r="E188" s="11">
        <v>45964.229166666664</v>
      </c>
      <c r="F188" s="11">
        <v>45965.625</v>
      </c>
      <c r="G188" s="12">
        <v>1.3958333333357587</v>
      </c>
      <c r="H188" s="2" t="s">
        <v>257</v>
      </c>
      <c r="J188" s="2" t="s">
        <v>258</v>
      </c>
      <c r="K188" s="2" t="s">
        <v>658</v>
      </c>
      <c r="L188" s="2" t="s">
        <v>2463</v>
      </c>
      <c r="M188" t="s">
        <v>260</v>
      </c>
      <c r="N188" t="s">
        <v>357</v>
      </c>
      <c r="O188" t="s">
        <v>2464</v>
      </c>
      <c r="P188" t="s">
        <v>2480</v>
      </c>
      <c r="Q188" t="s">
        <v>2281</v>
      </c>
    </row>
    <row r="189" spans="1:17">
      <c r="A189" s="2" t="s">
        <v>2241</v>
      </c>
      <c r="B189" s="2" t="s">
        <v>2063</v>
      </c>
      <c r="C189" s="2" t="s">
        <v>2080</v>
      </c>
      <c r="D189" s="11">
        <v>45964.229166666664</v>
      </c>
      <c r="E189" s="11">
        <v>45964.229166666664</v>
      </c>
      <c r="F189" s="11">
        <v>45965.625</v>
      </c>
      <c r="G189" s="12">
        <v>1.3958333333357587</v>
      </c>
      <c r="H189" s="2" t="s">
        <v>257</v>
      </c>
      <c r="J189" s="2" t="s">
        <v>258</v>
      </c>
      <c r="K189" s="2" t="s">
        <v>658</v>
      </c>
      <c r="L189" s="2" t="s">
        <v>2463</v>
      </c>
      <c r="M189" t="s">
        <v>260</v>
      </c>
      <c r="N189" t="s">
        <v>357</v>
      </c>
      <c r="O189" t="s">
        <v>2464</v>
      </c>
      <c r="P189" t="s">
        <v>2481</v>
      </c>
      <c r="Q189" t="s">
        <v>2281</v>
      </c>
    </row>
    <row r="190" spans="1:17">
      <c r="A190" s="2" t="s">
        <v>2244</v>
      </c>
      <c r="B190" s="2" t="s">
        <v>349</v>
      </c>
      <c r="C190" s="2" t="s">
        <v>760</v>
      </c>
      <c r="D190" s="11">
        <v>45964.229166666664</v>
      </c>
      <c r="E190" s="11">
        <v>45964.229166666664</v>
      </c>
      <c r="F190" s="11">
        <v>45965.625</v>
      </c>
      <c r="G190" s="12">
        <v>1.3958333333357587</v>
      </c>
      <c r="H190" s="2" t="s">
        <v>257</v>
      </c>
      <c r="J190" s="2" t="s">
        <v>258</v>
      </c>
      <c r="K190" s="2" t="s">
        <v>658</v>
      </c>
      <c r="L190" s="2" t="s">
        <v>2463</v>
      </c>
      <c r="M190" t="s">
        <v>260</v>
      </c>
      <c r="N190" t="s">
        <v>357</v>
      </c>
      <c r="O190" t="s">
        <v>2464</v>
      </c>
      <c r="P190" t="s">
        <v>2482</v>
      </c>
      <c r="Q190" t="s">
        <v>2281</v>
      </c>
    </row>
    <row r="191" spans="1:17">
      <c r="A191" s="2" t="s">
        <v>2244</v>
      </c>
      <c r="B191" s="2" t="s">
        <v>349</v>
      </c>
      <c r="C191" s="2" t="s">
        <v>762</v>
      </c>
      <c r="D191" s="11">
        <v>45964.229166666664</v>
      </c>
      <c r="E191" s="11">
        <v>45964.229166666664</v>
      </c>
      <c r="F191" s="11">
        <v>45965.625</v>
      </c>
      <c r="G191" s="12">
        <v>1.3958333333357587</v>
      </c>
      <c r="H191" s="2" t="s">
        <v>257</v>
      </c>
      <c r="J191" s="2" t="s">
        <v>258</v>
      </c>
      <c r="K191" s="2" t="s">
        <v>658</v>
      </c>
      <c r="L191" s="2" t="s">
        <v>2463</v>
      </c>
      <c r="M191" t="s">
        <v>260</v>
      </c>
      <c r="N191" t="s">
        <v>357</v>
      </c>
      <c r="O191" t="s">
        <v>2464</v>
      </c>
      <c r="P191" t="s">
        <v>2483</v>
      </c>
      <c r="Q191" t="s">
        <v>2281</v>
      </c>
    </row>
    <row r="192" spans="1:17">
      <c r="A192" s="2" t="s">
        <v>2244</v>
      </c>
      <c r="B192" s="2" t="s">
        <v>349</v>
      </c>
      <c r="C192" s="2" t="s">
        <v>763</v>
      </c>
      <c r="D192" s="11">
        <v>45964.229166666664</v>
      </c>
      <c r="E192" s="11">
        <v>45964.229166666664</v>
      </c>
      <c r="F192" s="11">
        <v>45965.625</v>
      </c>
      <c r="G192" s="12">
        <v>1.3958333333357587</v>
      </c>
      <c r="H192" s="2" t="s">
        <v>257</v>
      </c>
      <c r="J192" s="2" t="s">
        <v>258</v>
      </c>
      <c r="K192" s="2" t="s">
        <v>658</v>
      </c>
      <c r="L192" s="2" t="s">
        <v>2463</v>
      </c>
      <c r="M192" t="s">
        <v>260</v>
      </c>
      <c r="N192" t="s">
        <v>357</v>
      </c>
      <c r="O192" t="s">
        <v>2464</v>
      </c>
      <c r="P192" t="s">
        <v>2484</v>
      </c>
      <c r="Q192" t="s">
        <v>2281</v>
      </c>
    </row>
    <row r="193" spans="1:17">
      <c r="A193" s="2" t="s">
        <v>2244</v>
      </c>
      <c r="B193" s="2" t="s">
        <v>349</v>
      </c>
      <c r="C193" s="2" t="s">
        <v>764</v>
      </c>
      <c r="D193" s="11">
        <v>45964.229166666664</v>
      </c>
      <c r="E193" s="11">
        <v>45964.229166666664</v>
      </c>
      <c r="F193" s="11">
        <v>45965.625</v>
      </c>
      <c r="G193" s="12">
        <v>1.3958333333357587</v>
      </c>
      <c r="H193" s="2" t="s">
        <v>257</v>
      </c>
      <c r="J193" s="2" t="s">
        <v>258</v>
      </c>
      <c r="K193" s="2" t="s">
        <v>658</v>
      </c>
      <c r="L193" s="2" t="s">
        <v>2463</v>
      </c>
      <c r="M193" t="s">
        <v>260</v>
      </c>
      <c r="N193" t="s">
        <v>357</v>
      </c>
      <c r="O193" t="s">
        <v>2464</v>
      </c>
      <c r="P193" t="s">
        <v>2485</v>
      </c>
      <c r="Q193" t="s">
        <v>2281</v>
      </c>
    </row>
    <row r="194" spans="1:17">
      <c r="A194" s="2" t="s">
        <v>2244</v>
      </c>
      <c r="B194" s="2" t="s">
        <v>349</v>
      </c>
      <c r="C194" s="2" t="s">
        <v>765</v>
      </c>
      <c r="D194" s="11">
        <v>45964.229166666664</v>
      </c>
      <c r="E194" s="11">
        <v>45964.229166666664</v>
      </c>
      <c r="F194" s="11">
        <v>45965.625</v>
      </c>
      <c r="G194" s="12">
        <v>1.3958333333357587</v>
      </c>
      <c r="H194" s="2" t="s">
        <v>257</v>
      </c>
      <c r="J194" s="2" t="s">
        <v>258</v>
      </c>
      <c r="K194" s="2" t="s">
        <v>658</v>
      </c>
      <c r="L194" s="2" t="s">
        <v>2463</v>
      </c>
      <c r="M194" t="s">
        <v>260</v>
      </c>
      <c r="N194" t="s">
        <v>357</v>
      </c>
      <c r="O194" t="s">
        <v>2464</v>
      </c>
      <c r="P194" t="s">
        <v>2486</v>
      </c>
      <c r="Q194" t="s">
        <v>2281</v>
      </c>
    </row>
    <row r="195" spans="1:17">
      <c r="A195" s="2" t="s">
        <v>2244</v>
      </c>
      <c r="B195" s="2" t="s">
        <v>349</v>
      </c>
      <c r="C195" s="2" t="s">
        <v>766</v>
      </c>
      <c r="D195" s="11">
        <v>45964.229166666664</v>
      </c>
      <c r="E195" s="11">
        <v>45964.229166666664</v>
      </c>
      <c r="F195" s="11">
        <v>45965.625</v>
      </c>
      <c r="G195" s="12">
        <v>1.3958333333357587</v>
      </c>
      <c r="H195" s="2" t="s">
        <v>257</v>
      </c>
      <c r="J195" s="2" t="s">
        <v>258</v>
      </c>
      <c r="K195" s="2" t="s">
        <v>658</v>
      </c>
      <c r="L195" s="2" t="s">
        <v>2463</v>
      </c>
      <c r="M195" t="s">
        <v>260</v>
      </c>
      <c r="N195" t="s">
        <v>357</v>
      </c>
      <c r="O195" t="s">
        <v>2464</v>
      </c>
      <c r="P195" t="s">
        <v>2487</v>
      </c>
      <c r="Q195" t="s">
        <v>2281</v>
      </c>
    </row>
    <row r="196" spans="1:17">
      <c r="A196" s="2" t="s">
        <v>2244</v>
      </c>
      <c r="B196" s="2" t="s">
        <v>349</v>
      </c>
      <c r="C196" s="2" t="s">
        <v>767</v>
      </c>
      <c r="D196" s="11">
        <v>45964.229166666664</v>
      </c>
      <c r="E196" s="11">
        <v>45964.229166666664</v>
      </c>
      <c r="F196" s="11">
        <v>45965.625</v>
      </c>
      <c r="G196" s="12">
        <v>1.3958333333357587</v>
      </c>
      <c r="H196" s="2" t="s">
        <v>257</v>
      </c>
      <c r="J196" s="2" t="s">
        <v>258</v>
      </c>
      <c r="K196" s="2" t="s">
        <v>658</v>
      </c>
      <c r="L196" s="2" t="s">
        <v>2463</v>
      </c>
      <c r="M196" t="s">
        <v>260</v>
      </c>
      <c r="N196" t="s">
        <v>357</v>
      </c>
      <c r="O196" t="s">
        <v>2464</v>
      </c>
      <c r="P196" t="s">
        <v>2488</v>
      </c>
      <c r="Q196" t="s">
        <v>2281</v>
      </c>
    </row>
    <row r="197" spans="1:17">
      <c r="A197" s="2" t="s">
        <v>2244</v>
      </c>
      <c r="B197" s="2" t="s">
        <v>349</v>
      </c>
      <c r="C197" s="2" t="s">
        <v>768</v>
      </c>
      <c r="D197" s="11">
        <v>45964.229166666664</v>
      </c>
      <c r="E197" s="11">
        <v>45964.229166666664</v>
      </c>
      <c r="F197" s="11">
        <v>45965.625</v>
      </c>
      <c r="G197" s="12">
        <v>1.3958333333357587</v>
      </c>
      <c r="H197" s="2" t="s">
        <v>257</v>
      </c>
      <c r="J197" s="2" t="s">
        <v>258</v>
      </c>
      <c r="K197" s="2" t="s">
        <v>658</v>
      </c>
      <c r="L197" s="2" t="s">
        <v>2463</v>
      </c>
      <c r="M197" t="s">
        <v>260</v>
      </c>
      <c r="N197" t="s">
        <v>357</v>
      </c>
      <c r="O197" t="s">
        <v>2464</v>
      </c>
      <c r="P197" t="s">
        <v>2489</v>
      </c>
      <c r="Q197" t="s">
        <v>2281</v>
      </c>
    </row>
    <row r="198" spans="1:17">
      <c r="A198" s="2" t="s">
        <v>2244</v>
      </c>
      <c r="B198" s="2" t="s">
        <v>349</v>
      </c>
      <c r="C198" s="2" t="s">
        <v>769</v>
      </c>
      <c r="D198" s="11">
        <v>45964.229166666664</v>
      </c>
      <c r="E198" s="11">
        <v>45964.229166666664</v>
      </c>
      <c r="F198" s="11">
        <v>45965.625</v>
      </c>
      <c r="G198" s="12">
        <v>1.3958333333357587</v>
      </c>
      <c r="H198" s="2" t="s">
        <v>257</v>
      </c>
      <c r="J198" s="2" t="s">
        <v>258</v>
      </c>
      <c r="K198" s="2" t="s">
        <v>658</v>
      </c>
      <c r="L198" s="2" t="s">
        <v>2463</v>
      </c>
      <c r="M198" t="s">
        <v>260</v>
      </c>
      <c r="N198" t="s">
        <v>357</v>
      </c>
      <c r="O198" t="s">
        <v>2464</v>
      </c>
      <c r="P198" t="s">
        <v>2490</v>
      </c>
      <c r="Q198" t="s">
        <v>2281</v>
      </c>
    </row>
    <row r="199" spans="1:17">
      <c r="A199" s="2" t="s">
        <v>2244</v>
      </c>
      <c r="B199" s="2" t="s">
        <v>349</v>
      </c>
      <c r="C199" s="2" t="s">
        <v>770</v>
      </c>
      <c r="D199" s="11">
        <v>45964.229166666664</v>
      </c>
      <c r="E199" s="11">
        <v>45964.229166666664</v>
      </c>
      <c r="F199" s="11">
        <v>45965.625</v>
      </c>
      <c r="G199" s="12">
        <v>1.3958333333357587</v>
      </c>
      <c r="H199" s="2" t="s">
        <v>257</v>
      </c>
      <c r="J199" s="2" t="s">
        <v>258</v>
      </c>
      <c r="K199" s="2" t="s">
        <v>658</v>
      </c>
      <c r="L199" s="2" t="s">
        <v>2463</v>
      </c>
      <c r="M199" t="s">
        <v>260</v>
      </c>
      <c r="N199" t="s">
        <v>357</v>
      </c>
      <c r="O199" t="s">
        <v>2464</v>
      </c>
      <c r="P199" t="s">
        <v>2491</v>
      </c>
      <c r="Q199" t="s">
        <v>2281</v>
      </c>
    </row>
    <row r="200" spans="1:17">
      <c r="A200" s="2" t="s">
        <v>2244</v>
      </c>
      <c r="B200" s="2" t="s">
        <v>349</v>
      </c>
      <c r="C200" s="2" t="s">
        <v>771</v>
      </c>
      <c r="D200" s="11">
        <v>45964.229166666664</v>
      </c>
      <c r="E200" s="11">
        <v>45964.229166666664</v>
      </c>
      <c r="F200" s="11">
        <v>45965.625</v>
      </c>
      <c r="G200" s="12">
        <v>1.3958333333357587</v>
      </c>
      <c r="H200" s="2" t="s">
        <v>257</v>
      </c>
      <c r="J200" s="2" t="s">
        <v>258</v>
      </c>
      <c r="K200" s="2" t="s">
        <v>658</v>
      </c>
      <c r="L200" s="2" t="s">
        <v>2463</v>
      </c>
      <c r="M200" t="s">
        <v>260</v>
      </c>
      <c r="N200" t="s">
        <v>357</v>
      </c>
      <c r="O200" t="s">
        <v>2464</v>
      </c>
      <c r="P200" t="s">
        <v>2492</v>
      </c>
      <c r="Q200" t="s">
        <v>2281</v>
      </c>
    </row>
    <row r="201" spans="1:17">
      <c r="A201" s="2" t="s">
        <v>2244</v>
      </c>
      <c r="B201" s="2" t="s">
        <v>349</v>
      </c>
      <c r="C201" s="2" t="s">
        <v>772</v>
      </c>
      <c r="D201" s="11">
        <v>45964.229166666664</v>
      </c>
      <c r="E201" s="11">
        <v>45964.229166666664</v>
      </c>
      <c r="F201" s="11">
        <v>45965.625</v>
      </c>
      <c r="G201" s="12">
        <v>1.3958333333357587</v>
      </c>
      <c r="H201" s="2" t="s">
        <v>257</v>
      </c>
      <c r="J201" s="2" t="s">
        <v>258</v>
      </c>
      <c r="K201" s="2" t="s">
        <v>658</v>
      </c>
      <c r="L201" s="2" t="s">
        <v>2463</v>
      </c>
      <c r="M201" t="s">
        <v>260</v>
      </c>
      <c r="N201" t="s">
        <v>357</v>
      </c>
      <c r="O201" t="s">
        <v>2464</v>
      </c>
      <c r="P201" t="s">
        <v>2493</v>
      </c>
      <c r="Q201" t="s">
        <v>2281</v>
      </c>
    </row>
    <row r="202" spans="1:17">
      <c r="A202" s="2" t="s">
        <v>2244</v>
      </c>
      <c r="B202" s="2" t="s">
        <v>349</v>
      </c>
      <c r="C202" s="2" t="s">
        <v>773</v>
      </c>
      <c r="D202" s="11">
        <v>45964.229166666664</v>
      </c>
      <c r="E202" s="11">
        <v>45964.229166666664</v>
      </c>
      <c r="F202" s="11">
        <v>45965.625</v>
      </c>
      <c r="G202" s="12">
        <v>1.3958333333357587</v>
      </c>
      <c r="H202" s="2" t="s">
        <v>257</v>
      </c>
      <c r="J202" s="2" t="s">
        <v>258</v>
      </c>
      <c r="K202" s="2" t="s">
        <v>658</v>
      </c>
      <c r="L202" s="2" t="s">
        <v>2463</v>
      </c>
      <c r="M202" t="s">
        <v>260</v>
      </c>
      <c r="N202" t="s">
        <v>357</v>
      </c>
      <c r="O202" t="s">
        <v>2464</v>
      </c>
      <c r="P202" t="s">
        <v>2494</v>
      </c>
      <c r="Q202" t="s">
        <v>2281</v>
      </c>
    </row>
    <row r="203" spans="1:17">
      <c r="A203" s="2" t="s">
        <v>2244</v>
      </c>
      <c r="B203" s="2" t="s">
        <v>349</v>
      </c>
      <c r="C203" s="2" t="s">
        <v>774</v>
      </c>
      <c r="D203" s="11">
        <v>45964.229166666664</v>
      </c>
      <c r="E203" s="11">
        <v>45964.229166666664</v>
      </c>
      <c r="F203" s="11">
        <v>45965.625</v>
      </c>
      <c r="G203" s="12">
        <v>1.3958333333357587</v>
      </c>
      <c r="H203" s="2" t="s">
        <v>257</v>
      </c>
      <c r="J203" s="2" t="s">
        <v>258</v>
      </c>
      <c r="K203" s="2" t="s">
        <v>658</v>
      </c>
      <c r="L203" s="2" t="s">
        <v>2463</v>
      </c>
      <c r="M203" t="s">
        <v>260</v>
      </c>
      <c r="N203" t="s">
        <v>357</v>
      </c>
      <c r="O203" t="s">
        <v>2464</v>
      </c>
      <c r="P203" t="s">
        <v>2495</v>
      </c>
      <c r="Q203" t="s">
        <v>2281</v>
      </c>
    </row>
    <row r="204" spans="1:17">
      <c r="A204" s="2" t="s">
        <v>2244</v>
      </c>
      <c r="B204" s="2" t="s">
        <v>349</v>
      </c>
      <c r="C204" s="2" t="s">
        <v>775</v>
      </c>
      <c r="D204" s="11">
        <v>45964.229166666664</v>
      </c>
      <c r="E204" s="11">
        <v>45964.229166666664</v>
      </c>
      <c r="F204" s="11">
        <v>45965.625</v>
      </c>
      <c r="G204" s="12">
        <v>1.3958333333357587</v>
      </c>
      <c r="H204" s="2" t="s">
        <v>257</v>
      </c>
      <c r="J204" s="2" t="s">
        <v>258</v>
      </c>
      <c r="K204" s="2" t="s">
        <v>658</v>
      </c>
      <c r="L204" s="2" t="s">
        <v>2463</v>
      </c>
      <c r="M204" t="s">
        <v>260</v>
      </c>
      <c r="N204" t="s">
        <v>357</v>
      </c>
      <c r="O204" t="s">
        <v>2464</v>
      </c>
      <c r="P204" t="s">
        <v>2496</v>
      </c>
      <c r="Q204" t="s">
        <v>2281</v>
      </c>
    </row>
    <row r="205" spans="1:17">
      <c r="A205" s="2" t="s">
        <v>2244</v>
      </c>
      <c r="B205" s="2" t="s">
        <v>349</v>
      </c>
      <c r="C205" s="2" t="s">
        <v>350</v>
      </c>
      <c r="D205" s="11">
        <v>45964.229166666664</v>
      </c>
      <c r="E205" s="11">
        <v>45964.229166666664</v>
      </c>
      <c r="F205" s="11">
        <v>45965.625</v>
      </c>
      <c r="G205" s="12">
        <v>1.3958333333357587</v>
      </c>
      <c r="H205" s="2" t="s">
        <v>257</v>
      </c>
      <c r="J205" s="2" t="s">
        <v>258</v>
      </c>
      <c r="K205" s="2" t="s">
        <v>658</v>
      </c>
      <c r="L205" s="2" t="s">
        <v>2463</v>
      </c>
      <c r="M205" t="s">
        <v>260</v>
      </c>
      <c r="N205" t="s">
        <v>357</v>
      </c>
      <c r="O205" t="s">
        <v>2464</v>
      </c>
      <c r="P205" t="s">
        <v>2497</v>
      </c>
      <c r="Q205" t="s">
        <v>2281</v>
      </c>
    </row>
    <row r="206" spans="1:17">
      <c r="A206" s="2" t="s">
        <v>2244</v>
      </c>
      <c r="B206" s="2" t="s">
        <v>349</v>
      </c>
      <c r="C206" s="2" t="s">
        <v>776</v>
      </c>
      <c r="D206" s="11">
        <v>45964.229166666664</v>
      </c>
      <c r="E206" s="11">
        <v>45964.229166666664</v>
      </c>
      <c r="F206" s="11">
        <v>45965.625</v>
      </c>
      <c r="G206" s="12">
        <v>1.3958333333357587</v>
      </c>
      <c r="H206" s="2" t="s">
        <v>257</v>
      </c>
      <c r="J206" s="2" t="s">
        <v>258</v>
      </c>
      <c r="K206" s="2" t="s">
        <v>658</v>
      </c>
      <c r="L206" s="2" t="s">
        <v>2463</v>
      </c>
      <c r="M206" t="s">
        <v>260</v>
      </c>
      <c r="N206" t="s">
        <v>357</v>
      </c>
      <c r="O206" t="s">
        <v>2464</v>
      </c>
      <c r="P206" t="s">
        <v>2498</v>
      </c>
      <c r="Q206" t="s">
        <v>2281</v>
      </c>
    </row>
    <row r="207" spans="1:17">
      <c r="A207" s="2" t="s">
        <v>2245</v>
      </c>
      <c r="B207" s="2" t="s">
        <v>385</v>
      </c>
      <c r="C207" s="2" t="s">
        <v>386</v>
      </c>
      <c r="D207" s="11">
        <v>45964.229166666664</v>
      </c>
      <c r="E207" s="11">
        <v>45964.229166666664</v>
      </c>
      <c r="F207" s="11">
        <v>45965.625</v>
      </c>
      <c r="G207" s="12">
        <v>1.3958333333357587</v>
      </c>
      <c r="H207" s="2" t="s">
        <v>257</v>
      </c>
      <c r="J207" s="2" t="s">
        <v>258</v>
      </c>
      <c r="K207" s="2" t="s">
        <v>658</v>
      </c>
      <c r="L207" s="2" t="s">
        <v>2463</v>
      </c>
      <c r="M207" t="s">
        <v>260</v>
      </c>
      <c r="N207" t="s">
        <v>357</v>
      </c>
      <c r="O207" t="s">
        <v>2464</v>
      </c>
      <c r="P207" t="s">
        <v>2499</v>
      </c>
      <c r="Q207" t="s">
        <v>2281</v>
      </c>
    </row>
    <row r="208" spans="1:17">
      <c r="A208" s="2" t="s">
        <v>2245</v>
      </c>
      <c r="B208" s="2" t="s">
        <v>385</v>
      </c>
      <c r="C208" s="2" t="s">
        <v>777</v>
      </c>
      <c r="D208" s="11">
        <v>45964.229166666664</v>
      </c>
      <c r="E208" s="11">
        <v>45964.229166666664</v>
      </c>
      <c r="F208" s="11">
        <v>45965.625</v>
      </c>
      <c r="G208" s="12">
        <v>1.3958333333357587</v>
      </c>
      <c r="H208" s="2" t="s">
        <v>257</v>
      </c>
      <c r="J208" s="2" t="s">
        <v>258</v>
      </c>
      <c r="K208" s="2" t="s">
        <v>658</v>
      </c>
      <c r="L208" s="2" t="s">
        <v>2463</v>
      </c>
      <c r="M208" t="s">
        <v>260</v>
      </c>
      <c r="N208" t="s">
        <v>357</v>
      </c>
      <c r="O208" t="s">
        <v>2464</v>
      </c>
      <c r="P208" t="s">
        <v>2500</v>
      </c>
      <c r="Q208" t="s">
        <v>2281</v>
      </c>
    </row>
    <row r="209" spans="1:17">
      <c r="A209" s="2" t="s">
        <v>2245</v>
      </c>
      <c r="B209" s="2" t="s">
        <v>385</v>
      </c>
      <c r="C209" s="2" t="s">
        <v>778</v>
      </c>
      <c r="D209" s="11">
        <v>45964.229166666664</v>
      </c>
      <c r="E209" s="11">
        <v>45964.229166666664</v>
      </c>
      <c r="F209" s="11">
        <v>45965.625</v>
      </c>
      <c r="G209" s="12">
        <v>1.3958333333357587</v>
      </c>
      <c r="H209" s="2" t="s">
        <v>257</v>
      </c>
      <c r="J209" s="2" t="s">
        <v>258</v>
      </c>
      <c r="K209" s="2" t="s">
        <v>658</v>
      </c>
      <c r="L209" s="2" t="s">
        <v>2463</v>
      </c>
      <c r="M209" t="s">
        <v>260</v>
      </c>
      <c r="N209" t="s">
        <v>357</v>
      </c>
      <c r="O209" t="s">
        <v>2464</v>
      </c>
      <c r="P209" t="s">
        <v>2501</v>
      </c>
      <c r="Q209" t="s">
        <v>2281</v>
      </c>
    </row>
    <row r="210" spans="1:17">
      <c r="A210" s="2" t="s">
        <v>2245</v>
      </c>
      <c r="B210" s="2" t="s">
        <v>385</v>
      </c>
      <c r="C210" s="2" t="s">
        <v>779</v>
      </c>
      <c r="D210" s="11">
        <v>45964.229166666664</v>
      </c>
      <c r="E210" s="11">
        <v>45964.229166666664</v>
      </c>
      <c r="F210" s="11">
        <v>45965.625</v>
      </c>
      <c r="G210" s="12">
        <v>1.3958333333357587</v>
      </c>
      <c r="H210" s="2" t="s">
        <v>257</v>
      </c>
      <c r="J210" s="2" t="s">
        <v>258</v>
      </c>
      <c r="K210" s="2" t="s">
        <v>658</v>
      </c>
      <c r="L210" s="2" t="s">
        <v>2463</v>
      </c>
      <c r="M210" t="s">
        <v>260</v>
      </c>
      <c r="N210" t="s">
        <v>357</v>
      </c>
      <c r="O210" t="s">
        <v>2464</v>
      </c>
      <c r="P210" t="s">
        <v>2502</v>
      </c>
      <c r="Q210" t="s">
        <v>2281</v>
      </c>
    </row>
    <row r="211" spans="1:17">
      <c r="A211" s="2" t="s">
        <v>2245</v>
      </c>
      <c r="B211" s="2" t="s">
        <v>385</v>
      </c>
      <c r="C211" s="2" t="s">
        <v>780</v>
      </c>
      <c r="D211" s="11">
        <v>45964.229166666664</v>
      </c>
      <c r="E211" s="11">
        <v>45964.229166666664</v>
      </c>
      <c r="F211" s="11">
        <v>45965.625</v>
      </c>
      <c r="G211" s="12">
        <v>1.3958333333357587</v>
      </c>
      <c r="H211" s="2" t="s">
        <v>257</v>
      </c>
      <c r="J211" s="2" t="s">
        <v>258</v>
      </c>
      <c r="K211" s="2" t="s">
        <v>658</v>
      </c>
      <c r="L211" s="2" t="s">
        <v>2463</v>
      </c>
      <c r="M211" t="s">
        <v>260</v>
      </c>
      <c r="N211" t="s">
        <v>357</v>
      </c>
      <c r="O211" t="s">
        <v>2464</v>
      </c>
      <c r="P211" t="s">
        <v>2503</v>
      </c>
      <c r="Q211" t="s">
        <v>2281</v>
      </c>
    </row>
    <row r="212" spans="1:17">
      <c r="A212" s="2" t="s">
        <v>2245</v>
      </c>
      <c r="B212" s="2" t="s">
        <v>385</v>
      </c>
      <c r="C212" s="2" t="s">
        <v>781</v>
      </c>
      <c r="D212" s="11">
        <v>45964.229166666664</v>
      </c>
      <c r="E212" s="11">
        <v>45964.229166666664</v>
      </c>
      <c r="F212" s="11">
        <v>45965.625</v>
      </c>
      <c r="G212" s="12">
        <v>1.3958333333357587</v>
      </c>
      <c r="H212" s="2" t="s">
        <v>257</v>
      </c>
      <c r="J212" s="2" t="s">
        <v>258</v>
      </c>
      <c r="K212" s="2" t="s">
        <v>658</v>
      </c>
      <c r="L212" s="2" t="s">
        <v>2463</v>
      </c>
      <c r="M212" t="s">
        <v>260</v>
      </c>
      <c r="N212" t="s">
        <v>357</v>
      </c>
      <c r="O212" t="s">
        <v>2464</v>
      </c>
      <c r="P212" t="s">
        <v>2504</v>
      </c>
      <c r="Q212" t="s">
        <v>2281</v>
      </c>
    </row>
    <row r="213" spans="1:17">
      <c r="A213" s="2" t="s">
        <v>2245</v>
      </c>
      <c r="B213" s="2" t="s">
        <v>385</v>
      </c>
      <c r="C213" s="2" t="s">
        <v>782</v>
      </c>
      <c r="D213" s="11">
        <v>45964.229166666664</v>
      </c>
      <c r="E213" s="11">
        <v>45964.229166666664</v>
      </c>
      <c r="F213" s="11">
        <v>45965.625</v>
      </c>
      <c r="G213" s="12">
        <v>1.3958333333357587</v>
      </c>
      <c r="H213" s="2" t="s">
        <v>257</v>
      </c>
      <c r="J213" s="2" t="s">
        <v>258</v>
      </c>
      <c r="K213" s="2" t="s">
        <v>658</v>
      </c>
      <c r="L213" s="2" t="s">
        <v>2463</v>
      </c>
      <c r="M213" t="s">
        <v>260</v>
      </c>
      <c r="N213" t="s">
        <v>357</v>
      </c>
      <c r="O213" t="s">
        <v>2464</v>
      </c>
      <c r="P213" t="s">
        <v>2505</v>
      </c>
      <c r="Q213" t="s">
        <v>2281</v>
      </c>
    </row>
    <row r="214" spans="1:17">
      <c r="A214" s="2" t="s">
        <v>2245</v>
      </c>
      <c r="B214" s="2" t="s">
        <v>385</v>
      </c>
      <c r="C214" s="2" t="s">
        <v>783</v>
      </c>
      <c r="D214" s="11">
        <v>45964.229166666664</v>
      </c>
      <c r="E214" s="11">
        <v>45964.229166666664</v>
      </c>
      <c r="F214" s="11">
        <v>45965.625</v>
      </c>
      <c r="G214" s="12">
        <v>1.3958333333357587</v>
      </c>
      <c r="H214" s="2" t="s">
        <v>257</v>
      </c>
      <c r="J214" s="2" t="s">
        <v>258</v>
      </c>
      <c r="K214" s="2" t="s">
        <v>658</v>
      </c>
      <c r="L214" s="2" t="s">
        <v>2463</v>
      </c>
      <c r="M214" t="s">
        <v>260</v>
      </c>
      <c r="N214" t="s">
        <v>357</v>
      </c>
      <c r="O214" t="s">
        <v>2464</v>
      </c>
      <c r="P214" t="s">
        <v>2506</v>
      </c>
      <c r="Q214" t="s">
        <v>2281</v>
      </c>
    </row>
    <row r="215" spans="1:17">
      <c r="A215" s="2" t="s">
        <v>2245</v>
      </c>
      <c r="B215" s="2" t="s">
        <v>385</v>
      </c>
      <c r="C215" s="2" t="s">
        <v>784</v>
      </c>
      <c r="D215" s="11">
        <v>45964.229166666664</v>
      </c>
      <c r="E215" s="11">
        <v>45964.229166666664</v>
      </c>
      <c r="F215" s="11">
        <v>45965.625</v>
      </c>
      <c r="G215" s="12">
        <v>1.3958333333357587</v>
      </c>
      <c r="H215" s="2" t="s">
        <v>257</v>
      </c>
      <c r="J215" s="2" t="s">
        <v>258</v>
      </c>
      <c r="K215" s="2" t="s">
        <v>658</v>
      </c>
      <c r="L215" s="2" t="s">
        <v>2463</v>
      </c>
      <c r="M215" t="s">
        <v>260</v>
      </c>
      <c r="N215" t="s">
        <v>357</v>
      </c>
      <c r="O215" t="s">
        <v>2464</v>
      </c>
      <c r="P215" t="s">
        <v>2507</v>
      </c>
      <c r="Q215" t="s">
        <v>2281</v>
      </c>
    </row>
    <row r="216" spans="1:17">
      <c r="A216" s="2" t="s">
        <v>785</v>
      </c>
      <c r="B216" s="2" t="s">
        <v>785</v>
      </c>
      <c r="C216" s="2" t="s">
        <v>247</v>
      </c>
      <c r="D216" s="11">
        <v>45964.229166666664</v>
      </c>
      <c r="E216" s="11">
        <v>45964.229166666664</v>
      </c>
      <c r="F216" s="11">
        <v>45965.625</v>
      </c>
      <c r="G216" s="12">
        <v>1.3958333333357587</v>
      </c>
      <c r="H216" s="2" t="s">
        <v>257</v>
      </c>
      <c r="J216" s="2" t="s">
        <v>258</v>
      </c>
      <c r="K216" s="2" t="s">
        <v>658</v>
      </c>
      <c r="L216" s="2" t="s">
        <v>2463</v>
      </c>
      <c r="M216" t="s">
        <v>260</v>
      </c>
      <c r="N216" t="s">
        <v>357</v>
      </c>
      <c r="O216" t="s">
        <v>2464</v>
      </c>
      <c r="P216" t="s">
        <v>2508</v>
      </c>
      <c r="Q216" t="s">
        <v>2281</v>
      </c>
    </row>
    <row r="217" spans="1:17">
      <c r="A217" s="2" t="s">
        <v>785</v>
      </c>
      <c r="B217" s="2" t="s">
        <v>785</v>
      </c>
      <c r="C217" s="2" t="s">
        <v>790</v>
      </c>
      <c r="D217" s="11">
        <v>45964.229166666664</v>
      </c>
      <c r="E217" s="11">
        <v>45964.229166666664</v>
      </c>
      <c r="F217" s="11">
        <v>45965.625</v>
      </c>
      <c r="G217" s="12">
        <v>1.3958333333357587</v>
      </c>
      <c r="H217" s="2" t="s">
        <v>257</v>
      </c>
      <c r="J217" s="2" t="s">
        <v>258</v>
      </c>
      <c r="K217" s="2" t="s">
        <v>658</v>
      </c>
      <c r="L217" s="2" t="s">
        <v>2463</v>
      </c>
      <c r="M217" t="s">
        <v>260</v>
      </c>
      <c r="N217" t="s">
        <v>357</v>
      </c>
      <c r="O217" t="s">
        <v>2464</v>
      </c>
      <c r="P217" t="s">
        <v>2509</v>
      </c>
      <c r="Q217" t="s">
        <v>2281</v>
      </c>
    </row>
    <row r="218" spans="1:17">
      <c r="A218" s="2" t="s">
        <v>785</v>
      </c>
      <c r="B218" s="2" t="s">
        <v>785</v>
      </c>
      <c r="C218" s="2" t="s">
        <v>787</v>
      </c>
      <c r="D218" s="11">
        <v>45964.229166666664</v>
      </c>
      <c r="E218" s="11">
        <v>45964.229166666664</v>
      </c>
      <c r="F218" s="11">
        <v>45965.625</v>
      </c>
      <c r="G218" s="12">
        <v>1.3958333333357587</v>
      </c>
      <c r="H218" s="2" t="s">
        <v>257</v>
      </c>
      <c r="J218" s="2" t="s">
        <v>258</v>
      </c>
      <c r="K218" s="2" t="s">
        <v>658</v>
      </c>
      <c r="L218" s="2" t="s">
        <v>2463</v>
      </c>
      <c r="M218" t="s">
        <v>260</v>
      </c>
      <c r="N218" t="s">
        <v>357</v>
      </c>
      <c r="O218" t="s">
        <v>2464</v>
      </c>
      <c r="P218" t="s">
        <v>2510</v>
      </c>
      <c r="Q218" t="s">
        <v>2281</v>
      </c>
    </row>
    <row r="219" spans="1:17">
      <c r="A219" s="2" t="s">
        <v>785</v>
      </c>
      <c r="B219" s="2" t="s">
        <v>785</v>
      </c>
      <c r="C219" s="2" t="s">
        <v>786</v>
      </c>
      <c r="D219" s="11">
        <v>45964.229166666664</v>
      </c>
      <c r="E219" s="11">
        <v>45964.229166666664</v>
      </c>
      <c r="F219" s="11">
        <v>45965.625</v>
      </c>
      <c r="G219" s="12">
        <v>1.3958333333357587</v>
      </c>
      <c r="H219" s="2" t="s">
        <v>257</v>
      </c>
      <c r="J219" s="2" t="s">
        <v>258</v>
      </c>
      <c r="K219" s="2" t="s">
        <v>658</v>
      </c>
      <c r="L219" s="2" t="s">
        <v>2463</v>
      </c>
      <c r="M219" t="s">
        <v>260</v>
      </c>
      <c r="N219" t="s">
        <v>357</v>
      </c>
      <c r="O219" t="s">
        <v>2464</v>
      </c>
      <c r="P219" t="s">
        <v>2511</v>
      </c>
      <c r="Q219" t="s">
        <v>2281</v>
      </c>
    </row>
    <row r="220" spans="1:17">
      <c r="A220" s="2" t="s">
        <v>785</v>
      </c>
      <c r="B220" s="2" t="s">
        <v>785</v>
      </c>
      <c r="C220" s="2" t="s">
        <v>256</v>
      </c>
      <c r="D220" s="11">
        <v>45964.229166666664</v>
      </c>
      <c r="E220" s="11">
        <v>45964.229166666664</v>
      </c>
      <c r="F220" s="11">
        <v>45965.625</v>
      </c>
      <c r="G220" s="12">
        <v>1.3958333333357587</v>
      </c>
      <c r="H220" s="2" t="s">
        <v>257</v>
      </c>
      <c r="J220" s="2" t="s">
        <v>258</v>
      </c>
      <c r="K220" s="2" t="s">
        <v>658</v>
      </c>
      <c r="L220" s="2" t="s">
        <v>2463</v>
      </c>
      <c r="M220" t="s">
        <v>260</v>
      </c>
      <c r="N220" t="s">
        <v>357</v>
      </c>
      <c r="O220" t="s">
        <v>2464</v>
      </c>
      <c r="P220" t="s">
        <v>2512</v>
      </c>
      <c r="Q220" t="s">
        <v>2281</v>
      </c>
    </row>
    <row r="221" spans="1:17">
      <c r="A221" s="2" t="s">
        <v>619</v>
      </c>
      <c r="B221" s="2" t="s">
        <v>619</v>
      </c>
      <c r="C221" s="2" t="s">
        <v>247</v>
      </c>
      <c r="D221" s="11">
        <v>45964.229166666664</v>
      </c>
      <c r="E221" s="11">
        <v>45964.229166666664</v>
      </c>
      <c r="F221" s="11">
        <v>45965.625</v>
      </c>
      <c r="G221" s="12">
        <v>1.3958333333357587</v>
      </c>
      <c r="H221" s="2" t="s">
        <v>257</v>
      </c>
      <c r="J221" s="2" t="s">
        <v>258</v>
      </c>
      <c r="K221" s="2" t="s">
        <v>658</v>
      </c>
      <c r="L221" s="2" t="s">
        <v>2463</v>
      </c>
      <c r="M221" t="s">
        <v>260</v>
      </c>
      <c r="N221" t="s">
        <v>357</v>
      </c>
      <c r="O221" t="s">
        <v>2464</v>
      </c>
      <c r="P221" t="s">
        <v>2513</v>
      </c>
      <c r="Q221" t="s">
        <v>2281</v>
      </c>
    </row>
    <row r="222" spans="1:17">
      <c r="A222" s="2" t="s">
        <v>619</v>
      </c>
      <c r="B222" s="2" t="s">
        <v>619</v>
      </c>
      <c r="C222" s="2" t="s">
        <v>757</v>
      </c>
      <c r="D222" s="11">
        <v>45964.229166666664</v>
      </c>
      <c r="E222" s="11">
        <v>45964.229166666664</v>
      </c>
      <c r="F222" s="11">
        <v>45965.625</v>
      </c>
      <c r="G222" s="12">
        <v>1.3958333333357587</v>
      </c>
      <c r="H222" s="2" t="s">
        <v>257</v>
      </c>
      <c r="J222" s="2" t="s">
        <v>258</v>
      </c>
      <c r="K222" s="2" t="s">
        <v>658</v>
      </c>
      <c r="L222" s="2" t="s">
        <v>2463</v>
      </c>
      <c r="M222" t="s">
        <v>260</v>
      </c>
      <c r="N222" t="s">
        <v>357</v>
      </c>
      <c r="O222" t="s">
        <v>2464</v>
      </c>
      <c r="P222" t="s">
        <v>2514</v>
      </c>
      <c r="Q222" t="s">
        <v>2281</v>
      </c>
    </row>
    <row r="223" spans="1:17">
      <c r="A223" s="2" t="s">
        <v>619</v>
      </c>
      <c r="B223" s="2" t="s">
        <v>619</v>
      </c>
      <c r="C223" s="2" t="s">
        <v>758</v>
      </c>
      <c r="D223" s="11">
        <v>45964.229166666664</v>
      </c>
      <c r="E223" s="11">
        <v>45964.229166666664</v>
      </c>
      <c r="F223" s="11">
        <v>45965.625</v>
      </c>
      <c r="G223" s="12">
        <v>1.3958333333357587</v>
      </c>
      <c r="H223" s="2" t="s">
        <v>257</v>
      </c>
      <c r="J223" s="2" t="s">
        <v>258</v>
      </c>
      <c r="K223" s="2" t="s">
        <v>658</v>
      </c>
      <c r="L223" s="2" t="s">
        <v>2463</v>
      </c>
      <c r="M223" t="s">
        <v>260</v>
      </c>
      <c r="N223" t="s">
        <v>357</v>
      </c>
      <c r="O223" t="s">
        <v>2464</v>
      </c>
      <c r="P223" t="s">
        <v>2515</v>
      </c>
      <c r="Q223" t="s">
        <v>2281</v>
      </c>
    </row>
    <row r="224" spans="1:17">
      <c r="A224" s="2" t="s">
        <v>619</v>
      </c>
      <c r="B224" s="2" t="s">
        <v>619</v>
      </c>
      <c r="C224" s="2" t="s">
        <v>2095</v>
      </c>
      <c r="D224" s="11">
        <v>45964.229166666664</v>
      </c>
      <c r="E224" s="11">
        <v>45964.229166666664</v>
      </c>
      <c r="F224" s="11">
        <v>45965.625</v>
      </c>
      <c r="G224" s="12">
        <v>1.3958333333357587</v>
      </c>
      <c r="H224" s="2" t="s">
        <v>257</v>
      </c>
      <c r="J224" s="2" t="s">
        <v>258</v>
      </c>
      <c r="K224" s="2" t="s">
        <v>658</v>
      </c>
      <c r="L224" s="2" t="s">
        <v>2463</v>
      </c>
      <c r="M224" t="s">
        <v>260</v>
      </c>
      <c r="N224" t="s">
        <v>357</v>
      </c>
      <c r="O224" t="s">
        <v>2464</v>
      </c>
      <c r="P224" t="s">
        <v>2516</v>
      </c>
      <c r="Q224" t="s">
        <v>2281</v>
      </c>
    </row>
    <row r="225" spans="1:17">
      <c r="A225" s="2" t="s">
        <v>619</v>
      </c>
      <c r="B225" s="2" t="s">
        <v>619</v>
      </c>
      <c r="C225" s="2" t="s">
        <v>756</v>
      </c>
      <c r="D225" s="11">
        <v>45964.229166666664</v>
      </c>
      <c r="E225" s="11">
        <v>45964.229166666664</v>
      </c>
      <c r="F225" s="11">
        <v>45965.625</v>
      </c>
      <c r="G225" s="12">
        <v>1.3958333333357587</v>
      </c>
      <c r="H225" s="2" t="s">
        <v>257</v>
      </c>
      <c r="J225" s="2" t="s">
        <v>258</v>
      </c>
      <c r="K225" s="2" t="s">
        <v>658</v>
      </c>
      <c r="L225" s="2" t="s">
        <v>2463</v>
      </c>
      <c r="M225" t="s">
        <v>260</v>
      </c>
      <c r="N225" t="s">
        <v>357</v>
      </c>
      <c r="O225" t="s">
        <v>2464</v>
      </c>
      <c r="P225" t="s">
        <v>2517</v>
      </c>
      <c r="Q225" t="s">
        <v>2281</v>
      </c>
    </row>
    <row r="226" spans="1:17">
      <c r="A226" s="2" t="s">
        <v>573</v>
      </c>
      <c r="B226" s="2" t="s">
        <v>573</v>
      </c>
      <c r="C226" s="2" t="s">
        <v>574</v>
      </c>
      <c r="D226" s="11">
        <v>45964.229166666664</v>
      </c>
      <c r="E226" s="11">
        <v>45964.229166666664</v>
      </c>
      <c r="F226" s="11">
        <v>45965.625</v>
      </c>
      <c r="G226" s="12">
        <v>1.3958333333357587</v>
      </c>
      <c r="H226" s="2" t="s">
        <v>257</v>
      </c>
      <c r="J226" s="2" t="s">
        <v>258</v>
      </c>
      <c r="K226" s="2" t="s">
        <v>658</v>
      </c>
      <c r="L226" s="2" t="s">
        <v>2463</v>
      </c>
      <c r="M226" t="s">
        <v>260</v>
      </c>
      <c r="N226" t="s">
        <v>357</v>
      </c>
      <c r="O226" t="s">
        <v>2464</v>
      </c>
      <c r="P226" t="s">
        <v>2518</v>
      </c>
      <c r="Q226" t="s">
        <v>2281</v>
      </c>
    </row>
    <row r="227" spans="1:17">
      <c r="A227" s="2" t="s">
        <v>573</v>
      </c>
      <c r="B227" s="2" t="s">
        <v>573</v>
      </c>
      <c r="C227" s="2" t="s">
        <v>256</v>
      </c>
      <c r="D227" s="11">
        <v>45964.229166666664</v>
      </c>
      <c r="E227" s="11">
        <v>45964.229166666664</v>
      </c>
      <c r="F227" s="11">
        <v>45965.625</v>
      </c>
      <c r="G227" s="12">
        <v>1.3958333333357587</v>
      </c>
      <c r="H227" s="2" t="s">
        <v>257</v>
      </c>
      <c r="J227" s="2" t="s">
        <v>258</v>
      </c>
      <c r="K227" s="2" t="s">
        <v>658</v>
      </c>
      <c r="L227" s="2" t="s">
        <v>2463</v>
      </c>
      <c r="M227" t="s">
        <v>260</v>
      </c>
      <c r="N227" t="s">
        <v>357</v>
      </c>
      <c r="O227" t="s">
        <v>2464</v>
      </c>
      <c r="P227" t="s">
        <v>2519</v>
      </c>
      <c r="Q227" t="s">
        <v>2281</v>
      </c>
    </row>
    <row r="228" spans="1:17">
      <c r="A228" s="2" t="s">
        <v>573</v>
      </c>
      <c r="B228" s="2" t="s">
        <v>573</v>
      </c>
      <c r="C228" s="2" t="s">
        <v>264</v>
      </c>
      <c r="D228" s="11">
        <v>45964.229166666664</v>
      </c>
      <c r="E228" s="11">
        <v>45964.229166666664</v>
      </c>
      <c r="F228" s="11">
        <v>45965.625</v>
      </c>
      <c r="G228" s="12">
        <v>1.3958333333357587</v>
      </c>
      <c r="H228" s="2" t="s">
        <v>257</v>
      </c>
      <c r="J228" s="2" t="s">
        <v>258</v>
      </c>
      <c r="K228" s="2" t="s">
        <v>658</v>
      </c>
      <c r="L228" s="2" t="s">
        <v>2463</v>
      </c>
      <c r="M228" t="s">
        <v>260</v>
      </c>
      <c r="N228" t="s">
        <v>357</v>
      </c>
      <c r="O228" t="s">
        <v>2464</v>
      </c>
      <c r="P228" t="s">
        <v>2520</v>
      </c>
      <c r="Q228" t="s">
        <v>2281</v>
      </c>
    </row>
    <row r="229" spans="1:17">
      <c r="A229" s="2" t="s">
        <v>327</v>
      </c>
      <c r="B229" s="2" t="s">
        <v>327</v>
      </c>
      <c r="C229" s="2" t="s">
        <v>247</v>
      </c>
      <c r="D229" s="11">
        <v>45964.25</v>
      </c>
      <c r="E229" s="11">
        <v>45964.25</v>
      </c>
      <c r="F229" s="11">
        <v>45964.333333333336</v>
      </c>
      <c r="G229" s="12">
        <v>8.3333333335758653E-2</v>
      </c>
      <c r="H229" s="2" t="s">
        <v>257</v>
      </c>
      <c r="J229" s="2" t="s">
        <v>258</v>
      </c>
      <c r="K229" s="2" t="s">
        <v>658</v>
      </c>
      <c r="L229" s="2" t="s">
        <v>1955</v>
      </c>
      <c r="M229" t="s">
        <v>2108</v>
      </c>
      <c r="N229" t="s">
        <v>357</v>
      </c>
      <c r="O229" t="s">
        <v>2111</v>
      </c>
      <c r="P229" t="s">
        <v>2521</v>
      </c>
      <c r="Q229" t="s">
        <v>2281</v>
      </c>
    </row>
    <row r="230" spans="1:17">
      <c r="A230" s="2" t="s">
        <v>246</v>
      </c>
      <c r="B230" s="2" t="s">
        <v>246</v>
      </c>
      <c r="C230" s="2" t="s">
        <v>247</v>
      </c>
      <c r="D230" s="11">
        <v>45964.25</v>
      </c>
      <c r="E230" s="11">
        <v>45964.25</v>
      </c>
      <c r="F230" s="11">
        <v>45964.333333333336</v>
      </c>
      <c r="G230" s="12">
        <v>8.3333333335758653E-2</v>
      </c>
      <c r="H230" s="2" t="s">
        <v>257</v>
      </c>
      <c r="J230" s="2" t="s">
        <v>258</v>
      </c>
      <c r="K230" s="2" t="s">
        <v>658</v>
      </c>
      <c r="L230" s="2" t="s">
        <v>1955</v>
      </c>
      <c r="M230" t="s">
        <v>2108</v>
      </c>
      <c r="N230" t="s">
        <v>357</v>
      </c>
      <c r="O230" t="s">
        <v>2111</v>
      </c>
      <c r="P230" t="s">
        <v>2522</v>
      </c>
      <c r="Q230" t="s">
        <v>2281</v>
      </c>
    </row>
    <row r="231" spans="1:17">
      <c r="A231" s="2" t="s">
        <v>328</v>
      </c>
      <c r="B231" s="2" t="s">
        <v>328</v>
      </c>
      <c r="C231" s="2" t="s">
        <v>247</v>
      </c>
      <c r="D231" s="11">
        <v>45964.25</v>
      </c>
      <c r="E231" s="11">
        <v>45964.25</v>
      </c>
      <c r="F231" s="11">
        <v>45964.333333333336</v>
      </c>
      <c r="G231" s="12">
        <v>8.3333333335758653E-2</v>
      </c>
      <c r="H231" s="2" t="s">
        <v>257</v>
      </c>
      <c r="J231" s="2" t="s">
        <v>258</v>
      </c>
      <c r="K231" s="2" t="s">
        <v>658</v>
      </c>
      <c r="L231" s="2" t="s">
        <v>1955</v>
      </c>
      <c r="M231" t="s">
        <v>2108</v>
      </c>
      <c r="N231" t="s">
        <v>357</v>
      </c>
      <c r="O231" t="s">
        <v>2111</v>
      </c>
      <c r="P231" t="s">
        <v>2523</v>
      </c>
      <c r="Q231" t="s">
        <v>2281</v>
      </c>
    </row>
    <row r="232" spans="1:17">
      <c r="A232" s="2" t="s">
        <v>329</v>
      </c>
      <c r="B232" s="2" t="s">
        <v>329</v>
      </c>
      <c r="C232" s="2" t="s">
        <v>247</v>
      </c>
      <c r="D232" s="11">
        <v>45964.25</v>
      </c>
      <c r="E232" s="11">
        <v>45964.25</v>
      </c>
      <c r="F232" s="11">
        <v>45964.333333333336</v>
      </c>
      <c r="G232" s="12">
        <v>8.3333333335758653E-2</v>
      </c>
      <c r="H232" s="2" t="s">
        <v>257</v>
      </c>
      <c r="J232" s="2" t="s">
        <v>258</v>
      </c>
      <c r="K232" s="2" t="s">
        <v>658</v>
      </c>
      <c r="L232" s="2" t="s">
        <v>1955</v>
      </c>
      <c r="M232" t="s">
        <v>2108</v>
      </c>
      <c r="N232" t="s">
        <v>357</v>
      </c>
      <c r="O232" t="s">
        <v>2111</v>
      </c>
      <c r="P232" t="s">
        <v>2524</v>
      </c>
      <c r="Q232" t="s">
        <v>2281</v>
      </c>
    </row>
    <row r="233" spans="1:17">
      <c r="A233" s="2" t="s">
        <v>330</v>
      </c>
      <c r="B233" s="2" t="s">
        <v>330</v>
      </c>
      <c r="C233" s="2" t="s">
        <v>247</v>
      </c>
      <c r="D233" s="11">
        <v>45964.25</v>
      </c>
      <c r="E233" s="11">
        <v>45964.25</v>
      </c>
      <c r="F233" s="11">
        <v>45964.333333333336</v>
      </c>
      <c r="G233" s="12">
        <v>8.3333333335758653E-2</v>
      </c>
      <c r="H233" s="2" t="s">
        <v>257</v>
      </c>
      <c r="J233" s="2" t="s">
        <v>258</v>
      </c>
      <c r="K233" s="2" t="s">
        <v>658</v>
      </c>
      <c r="L233" s="2" t="s">
        <v>1955</v>
      </c>
      <c r="M233" t="s">
        <v>2108</v>
      </c>
      <c r="N233" t="s">
        <v>357</v>
      </c>
      <c r="O233" t="s">
        <v>2111</v>
      </c>
      <c r="P233" t="s">
        <v>2525</v>
      </c>
      <c r="Q233" t="s">
        <v>2281</v>
      </c>
    </row>
    <row r="234" spans="1:17">
      <c r="A234" s="2" t="s">
        <v>2220</v>
      </c>
      <c r="B234" s="2" t="s">
        <v>321</v>
      </c>
      <c r="C234" s="2" t="s">
        <v>322</v>
      </c>
      <c r="D234" s="11">
        <v>45964.25</v>
      </c>
      <c r="E234" s="11">
        <v>45964.25</v>
      </c>
      <c r="F234" s="11">
        <v>45964.333333333336</v>
      </c>
      <c r="G234" s="12">
        <v>8.3333333335758653E-2</v>
      </c>
      <c r="H234" s="2" t="s">
        <v>257</v>
      </c>
      <c r="J234" s="2" t="s">
        <v>258</v>
      </c>
      <c r="K234" s="2" t="s">
        <v>658</v>
      </c>
      <c r="L234" s="2" t="s">
        <v>2526</v>
      </c>
      <c r="M234" t="s">
        <v>2108</v>
      </c>
      <c r="N234" t="s">
        <v>357</v>
      </c>
      <c r="O234" t="s">
        <v>2527</v>
      </c>
      <c r="P234" t="s">
        <v>2528</v>
      </c>
      <c r="Q234" t="s">
        <v>2281</v>
      </c>
    </row>
    <row r="235" spans="1:17">
      <c r="A235" s="2" t="s">
        <v>2220</v>
      </c>
      <c r="B235" s="2" t="s">
        <v>321</v>
      </c>
      <c r="C235" s="2" t="s">
        <v>2529</v>
      </c>
      <c r="D235" s="11">
        <v>45964.25</v>
      </c>
      <c r="E235" s="11">
        <v>45964.25</v>
      </c>
      <c r="F235" s="11">
        <v>45964.333333333336</v>
      </c>
      <c r="G235" s="12">
        <v>8.3333333335758653E-2</v>
      </c>
      <c r="H235" s="2" t="s">
        <v>257</v>
      </c>
      <c r="J235" s="2" t="s">
        <v>258</v>
      </c>
      <c r="K235" s="2" t="s">
        <v>658</v>
      </c>
      <c r="L235" s="2" t="s">
        <v>2526</v>
      </c>
      <c r="M235" t="s">
        <v>2108</v>
      </c>
      <c r="N235" t="s">
        <v>357</v>
      </c>
      <c r="O235" t="s">
        <v>2527</v>
      </c>
      <c r="P235" t="s">
        <v>2530</v>
      </c>
      <c r="Q235" t="s">
        <v>2281</v>
      </c>
    </row>
    <row r="236" spans="1:17">
      <c r="A236" s="2" t="s">
        <v>2220</v>
      </c>
      <c r="B236" s="2" t="s">
        <v>321</v>
      </c>
      <c r="C236" s="2" t="s">
        <v>2531</v>
      </c>
      <c r="D236" s="11">
        <v>45964.25</v>
      </c>
      <c r="E236" s="11">
        <v>45964.25</v>
      </c>
      <c r="F236" s="11">
        <v>45964.333333333336</v>
      </c>
      <c r="G236" s="12">
        <v>8.3333333335758653E-2</v>
      </c>
      <c r="H236" s="2" t="s">
        <v>257</v>
      </c>
      <c r="J236" s="2" t="s">
        <v>258</v>
      </c>
      <c r="K236" s="2" t="s">
        <v>658</v>
      </c>
      <c r="L236" s="2" t="s">
        <v>2526</v>
      </c>
      <c r="M236" t="s">
        <v>2108</v>
      </c>
      <c r="N236" t="s">
        <v>357</v>
      </c>
      <c r="O236" t="s">
        <v>2527</v>
      </c>
      <c r="P236" t="s">
        <v>2532</v>
      </c>
      <c r="Q236" t="s">
        <v>2281</v>
      </c>
    </row>
    <row r="237" spans="1:17">
      <c r="A237" s="2" t="s">
        <v>2220</v>
      </c>
      <c r="B237" s="2" t="s">
        <v>321</v>
      </c>
      <c r="C237" s="2" t="s">
        <v>2533</v>
      </c>
      <c r="D237" s="11">
        <v>45964.25</v>
      </c>
      <c r="E237" s="11">
        <v>45964.25</v>
      </c>
      <c r="F237" s="11">
        <v>45964.333333333336</v>
      </c>
      <c r="G237" s="12">
        <v>8.3333333335758653E-2</v>
      </c>
      <c r="H237" s="2" t="s">
        <v>257</v>
      </c>
      <c r="J237" s="2" t="s">
        <v>258</v>
      </c>
      <c r="K237" s="2" t="s">
        <v>658</v>
      </c>
      <c r="L237" s="2" t="s">
        <v>2526</v>
      </c>
      <c r="M237" t="s">
        <v>2108</v>
      </c>
      <c r="N237" t="s">
        <v>357</v>
      </c>
      <c r="O237" t="s">
        <v>2527</v>
      </c>
      <c r="P237" t="s">
        <v>2534</v>
      </c>
      <c r="Q237" t="s">
        <v>2281</v>
      </c>
    </row>
    <row r="238" spans="1:17">
      <c r="A238" s="2" t="s">
        <v>2195</v>
      </c>
      <c r="B238" s="2" t="s">
        <v>543</v>
      </c>
      <c r="C238" s="2" t="s">
        <v>2535</v>
      </c>
      <c r="D238" s="11">
        <v>45964.29892361111</v>
      </c>
      <c r="E238" s="11">
        <v>45964.29892361111</v>
      </c>
      <c r="F238" s="11">
        <v>45964.305162037039</v>
      </c>
      <c r="G238" s="12">
        <v>6.2384259290411137E-3</v>
      </c>
      <c r="H238" s="2" t="s">
        <v>257</v>
      </c>
      <c r="J238" s="2" t="s">
        <v>371</v>
      </c>
      <c r="K238" s="2" t="s">
        <v>653</v>
      </c>
      <c r="L238" s="2" t="s">
        <v>861</v>
      </c>
      <c r="M238" t="s">
        <v>252</v>
      </c>
      <c r="N238" t="s">
        <v>631</v>
      </c>
      <c r="P238" t="s">
        <v>2536</v>
      </c>
      <c r="Q238" t="s">
        <v>2537</v>
      </c>
    </row>
    <row r="239" spans="1:17">
      <c r="A239" s="2" t="s">
        <v>375</v>
      </c>
      <c r="B239" s="2" t="s">
        <v>375</v>
      </c>
      <c r="C239" s="2" t="s">
        <v>247</v>
      </c>
      <c r="D239" s="11">
        <v>45964.319444444445</v>
      </c>
      <c r="E239" s="11">
        <v>45964.319444444445</v>
      </c>
      <c r="F239" s="11">
        <v>45964.625</v>
      </c>
      <c r="G239" s="12">
        <v>0.30555555555474712</v>
      </c>
      <c r="H239" s="2" t="s">
        <v>257</v>
      </c>
      <c r="J239" s="2" t="s">
        <v>258</v>
      </c>
      <c r="K239" s="2" t="s">
        <v>658</v>
      </c>
      <c r="L239" s="2" t="s">
        <v>2538</v>
      </c>
      <c r="M239" t="s">
        <v>663</v>
      </c>
      <c r="N239" t="s">
        <v>364</v>
      </c>
      <c r="O239" t="s">
        <v>2539</v>
      </c>
      <c r="P239" t="s">
        <v>2540</v>
      </c>
      <c r="Q239" t="s">
        <v>2281</v>
      </c>
    </row>
    <row r="240" spans="1:17">
      <c r="A240" s="2" t="s">
        <v>375</v>
      </c>
      <c r="B240" s="2" t="s">
        <v>375</v>
      </c>
      <c r="C240" s="2" t="s">
        <v>377</v>
      </c>
      <c r="D240" s="11">
        <v>45964.319444444445</v>
      </c>
      <c r="E240" s="11">
        <v>45964.319444444445</v>
      </c>
      <c r="F240" s="11">
        <v>45964.625</v>
      </c>
      <c r="G240" s="12">
        <v>0.30555555555474712</v>
      </c>
      <c r="H240" s="2" t="s">
        <v>257</v>
      </c>
      <c r="J240" s="2" t="s">
        <v>258</v>
      </c>
      <c r="K240" s="2" t="s">
        <v>658</v>
      </c>
      <c r="L240" s="2" t="s">
        <v>2538</v>
      </c>
      <c r="M240" t="s">
        <v>663</v>
      </c>
      <c r="N240" t="s">
        <v>364</v>
      </c>
      <c r="O240" t="s">
        <v>2539</v>
      </c>
      <c r="P240" t="s">
        <v>2541</v>
      </c>
      <c r="Q240" t="s">
        <v>2281</v>
      </c>
    </row>
    <row r="241" spans="1:17">
      <c r="A241" s="2" t="s">
        <v>375</v>
      </c>
      <c r="B241" s="2" t="s">
        <v>375</v>
      </c>
      <c r="C241" s="2" t="s">
        <v>378</v>
      </c>
      <c r="D241" s="11">
        <v>45964.319444444445</v>
      </c>
      <c r="E241" s="11">
        <v>45964.319444444445</v>
      </c>
      <c r="F241" s="11">
        <v>45964.625</v>
      </c>
      <c r="G241" s="12">
        <v>0.30555555555474712</v>
      </c>
      <c r="H241" s="2" t="s">
        <v>257</v>
      </c>
      <c r="J241" s="2" t="s">
        <v>258</v>
      </c>
      <c r="K241" s="2" t="s">
        <v>658</v>
      </c>
      <c r="L241" s="2" t="s">
        <v>2538</v>
      </c>
      <c r="M241" t="s">
        <v>663</v>
      </c>
      <c r="N241" t="s">
        <v>364</v>
      </c>
      <c r="O241" t="s">
        <v>2539</v>
      </c>
      <c r="P241" t="s">
        <v>2542</v>
      </c>
      <c r="Q241" t="s">
        <v>2281</v>
      </c>
    </row>
    <row r="242" spans="1:17">
      <c r="A242" s="2" t="s">
        <v>375</v>
      </c>
      <c r="B242" s="2" t="s">
        <v>375</v>
      </c>
      <c r="C242" s="2" t="s">
        <v>379</v>
      </c>
      <c r="D242" s="11">
        <v>45964.319444444445</v>
      </c>
      <c r="E242" s="11">
        <v>45964.319444444445</v>
      </c>
      <c r="F242" s="11">
        <v>45964.625</v>
      </c>
      <c r="G242" s="12">
        <v>0.30555555555474712</v>
      </c>
      <c r="H242" s="2" t="s">
        <v>257</v>
      </c>
      <c r="J242" s="2" t="s">
        <v>258</v>
      </c>
      <c r="K242" s="2" t="s">
        <v>658</v>
      </c>
      <c r="L242" s="2" t="s">
        <v>2538</v>
      </c>
      <c r="M242" t="s">
        <v>663</v>
      </c>
      <c r="N242" t="s">
        <v>364</v>
      </c>
      <c r="O242" t="s">
        <v>2539</v>
      </c>
      <c r="P242" t="s">
        <v>2543</v>
      </c>
      <c r="Q242" t="s">
        <v>2281</v>
      </c>
    </row>
    <row r="243" spans="1:17">
      <c r="A243" s="2" t="s">
        <v>375</v>
      </c>
      <c r="B243" s="2" t="s">
        <v>375</v>
      </c>
      <c r="C243" s="2" t="s">
        <v>380</v>
      </c>
      <c r="D243" s="11">
        <v>45964.319444444445</v>
      </c>
      <c r="E243" s="11">
        <v>45964.319444444445</v>
      </c>
      <c r="F243" s="11">
        <v>45964.625</v>
      </c>
      <c r="G243" s="12">
        <v>0.30555555555474712</v>
      </c>
      <c r="H243" s="2" t="s">
        <v>257</v>
      </c>
      <c r="J243" s="2" t="s">
        <v>258</v>
      </c>
      <c r="K243" s="2" t="s">
        <v>658</v>
      </c>
      <c r="L243" s="2" t="s">
        <v>2538</v>
      </c>
      <c r="M243" t="s">
        <v>663</v>
      </c>
      <c r="N243" t="s">
        <v>364</v>
      </c>
      <c r="O243" t="s">
        <v>2539</v>
      </c>
      <c r="P243" t="s">
        <v>2544</v>
      </c>
      <c r="Q243" t="s">
        <v>2281</v>
      </c>
    </row>
    <row r="244" spans="1:17">
      <c r="A244" s="2" t="s">
        <v>387</v>
      </c>
      <c r="B244" s="2" t="s">
        <v>387</v>
      </c>
      <c r="C244" s="2" t="s">
        <v>389</v>
      </c>
      <c r="D244" s="11">
        <v>45964.319444444445</v>
      </c>
      <c r="E244" s="11">
        <v>45964.319444444445</v>
      </c>
      <c r="F244" s="11">
        <v>45964.625</v>
      </c>
      <c r="G244" s="12">
        <v>0.30555555555474712</v>
      </c>
      <c r="H244" s="2" t="s">
        <v>257</v>
      </c>
      <c r="J244" s="2" t="s">
        <v>258</v>
      </c>
      <c r="K244" s="2" t="s">
        <v>658</v>
      </c>
      <c r="L244" s="2" t="s">
        <v>2538</v>
      </c>
      <c r="M244" t="s">
        <v>663</v>
      </c>
      <c r="N244" t="s">
        <v>364</v>
      </c>
      <c r="O244" t="s">
        <v>2539</v>
      </c>
      <c r="P244" t="s">
        <v>2545</v>
      </c>
      <c r="Q244" t="s">
        <v>2281</v>
      </c>
    </row>
    <row r="245" spans="1:17">
      <c r="A245" s="2" t="s">
        <v>387</v>
      </c>
      <c r="B245" s="2" t="s">
        <v>387</v>
      </c>
      <c r="C245" s="2" t="s">
        <v>390</v>
      </c>
      <c r="D245" s="11">
        <v>45964.319444444445</v>
      </c>
      <c r="E245" s="11">
        <v>45964.319444444445</v>
      </c>
      <c r="F245" s="11">
        <v>45964.625</v>
      </c>
      <c r="G245" s="12">
        <v>0.30555555555474712</v>
      </c>
      <c r="H245" s="2" t="s">
        <v>257</v>
      </c>
      <c r="J245" s="2" t="s">
        <v>258</v>
      </c>
      <c r="K245" s="2" t="s">
        <v>658</v>
      </c>
      <c r="L245" s="2" t="s">
        <v>2538</v>
      </c>
      <c r="M245" t="s">
        <v>663</v>
      </c>
      <c r="N245" t="s">
        <v>364</v>
      </c>
      <c r="O245" t="s">
        <v>2539</v>
      </c>
      <c r="P245" t="s">
        <v>2546</v>
      </c>
      <c r="Q245" t="s">
        <v>2281</v>
      </c>
    </row>
    <row r="246" spans="1:17">
      <c r="A246" s="2" t="s">
        <v>387</v>
      </c>
      <c r="B246" s="2" t="s">
        <v>387</v>
      </c>
      <c r="C246" s="2" t="s">
        <v>256</v>
      </c>
      <c r="D246" s="11">
        <v>45964.319444444445</v>
      </c>
      <c r="E246" s="11">
        <v>45964.319444444445</v>
      </c>
      <c r="F246" s="11">
        <v>45964.625</v>
      </c>
      <c r="G246" s="12">
        <v>0.30555555555474712</v>
      </c>
      <c r="H246" s="2" t="s">
        <v>257</v>
      </c>
      <c r="J246" s="2" t="s">
        <v>258</v>
      </c>
      <c r="K246" s="2" t="s">
        <v>658</v>
      </c>
      <c r="L246" s="2" t="s">
        <v>2538</v>
      </c>
      <c r="M246" t="s">
        <v>663</v>
      </c>
      <c r="N246" t="s">
        <v>364</v>
      </c>
      <c r="O246" t="s">
        <v>2539</v>
      </c>
      <c r="P246" t="s">
        <v>2547</v>
      </c>
      <c r="Q246" t="s">
        <v>2281</v>
      </c>
    </row>
    <row r="247" spans="1:17">
      <c r="A247" s="2" t="s">
        <v>387</v>
      </c>
      <c r="B247" s="2" t="s">
        <v>387</v>
      </c>
      <c r="C247" s="2" t="s">
        <v>388</v>
      </c>
      <c r="D247" s="11">
        <v>45964.319444444445</v>
      </c>
      <c r="E247" s="11">
        <v>45964.319444444445</v>
      </c>
      <c r="F247" s="11">
        <v>45964.625</v>
      </c>
      <c r="G247" s="12">
        <v>0.30555555555474712</v>
      </c>
      <c r="H247" s="2" t="s">
        <v>257</v>
      </c>
      <c r="J247" s="2" t="s">
        <v>258</v>
      </c>
      <c r="K247" s="2" t="s">
        <v>658</v>
      </c>
      <c r="L247" s="2" t="s">
        <v>2538</v>
      </c>
      <c r="M247" t="s">
        <v>663</v>
      </c>
      <c r="N247" t="s">
        <v>364</v>
      </c>
      <c r="O247" t="s">
        <v>2539</v>
      </c>
      <c r="P247" t="s">
        <v>2548</v>
      </c>
      <c r="Q247" t="s">
        <v>2281</v>
      </c>
    </row>
    <row r="248" spans="1:17">
      <c r="A248" s="2" t="s">
        <v>387</v>
      </c>
      <c r="B248" s="2" t="s">
        <v>387</v>
      </c>
      <c r="C248" s="2" t="s">
        <v>247</v>
      </c>
      <c r="D248" s="11">
        <v>45964.319444444445</v>
      </c>
      <c r="E248" s="11">
        <v>45964.319444444445</v>
      </c>
      <c r="F248" s="11">
        <v>45964.625</v>
      </c>
      <c r="G248" s="12">
        <v>0.30555555555474712</v>
      </c>
      <c r="H248" s="2" t="s">
        <v>257</v>
      </c>
      <c r="J248" s="2" t="s">
        <v>258</v>
      </c>
      <c r="K248" s="2" t="s">
        <v>658</v>
      </c>
      <c r="L248" s="2" t="s">
        <v>2538</v>
      </c>
      <c r="M248" t="s">
        <v>663</v>
      </c>
      <c r="N248" t="s">
        <v>364</v>
      </c>
      <c r="O248" t="s">
        <v>2539</v>
      </c>
      <c r="P248" t="s">
        <v>2549</v>
      </c>
      <c r="Q248" t="s">
        <v>2281</v>
      </c>
    </row>
    <row r="249" spans="1:17">
      <c r="A249" s="2" t="s">
        <v>381</v>
      </c>
      <c r="B249" s="2" t="s">
        <v>381</v>
      </c>
      <c r="C249" s="2" t="s">
        <v>379</v>
      </c>
      <c r="D249" s="11">
        <v>45964.319444444445</v>
      </c>
      <c r="E249" s="11">
        <v>45964.319444444445</v>
      </c>
      <c r="F249" s="11">
        <v>45964.625</v>
      </c>
      <c r="G249" s="12">
        <v>0.30555555555474712</v>
      </c>
      <c r="H249" s="2" t="s">
        <v>257</v>
      </c>
      <c r="J249" s="2" t="s">
        <v>258</v>
      </c>
      <c r="K249" s="2" t="s">
        <v>658</v>
      </c>
      <c r="L249" s="2" t="s">
        <v>2538</v>
      </c>
      <c r="M249" t="s">
        <v>663</v>
      </c>
      <c r="N249" t="s">
        <v>364</v>
      </c>
      <c r="O249" t="s">
        <v>2539</v>
      </c>
      <c r="P249" t="s">
        <v>2550</v>
      </c>
      <c r="Q249" t="s">
        <v>2281</v>
      </c>
    </row>
    <row r="250" spans="1:17">
      <c r="A250" s="2" t="s">
        <v>381</v>
      </c>
      <c r="B250" s="2" t="s">
        <v>381</v>
      </c>
      <c r="C250" s="2" t="s">
        <v>382</v>
      </c>
      <c r="D250" s="11">
        <v>45964.319444444445</v>
      </c>
      <c r="E250" s="11">
        <v>45964.319444444445</v>
      </c>
      <c r="F250" s="11">
        <v>45964.625</v>
      </c>
      <c r="G250" s="12">
        <v>0.30555555555474712</v>
      </c>
      <c r="H250" s="2" t="s">
        <v>257</v>
      </c>
      <c r="J250" s="2" t="s">
        <v>258</v>
      </c>
      <c r="K250" s="2" t="s">
        <v>658</v>
      </c>
      <c r="L250" s="2" t="s">
        <v>2538</v>
      </c>
      <c r="M250" t="s">
        <v>663</v>
      </c>
      <c r="N250" t="s">
        <v>364</v>
      </c>
      <c r="O250" t="s">
        <v>2539</v>
      </c>
      <c r="P250" t="s">
        <v>2551</v>
      </c>
      <c r="Q250" t="s">
        <v>2281</v>
      </c>
    </row>
    <row r="251" spans="1:17">
      <c r="A251" s="2" t="s">
        <v>381</v>
      </c>
      <c r="B251" s="2" t="s">
        <v>381</v>
      </c>
      <c r="C251" s="2" t="s">
        <v>380</v>
      </c>
      <c r="D251" s="11">
        <v>45964.319444444445</v>
      </c>
      <c r="E251" s="11">
        <v>45964.319444444445</v>
      </c>
      <c r="F251" s="11">
        <v>45964.625</v>
      </c>
      <c r="G251" s="12">
        <v>0.30555555555474712</v>
      </c>
      <c r="H251" s="2" t="s">
        <v>257</v>
      </c>
      <c r="J251" s="2" t="s">
        <v>258</v>
      </c>
      <c r="K251" s="2" t="s">
        <v>658</v>
      </c>
      <c r="L251" s="2" t="s">
        <v>2538</v>
      </c>
      <c r="M251" t="s">
        <v>663</v>
      </c>
      <c r="N251" t="s">
        <v>364</v>
      </c>
      <c r="O251" t="s">
        <v>2539</v>
      </c>
      <c r="P251" t="s">
        <v>2552</v>
      </c>
      <c r="Q251" t="s">
        <v>2281</v>
      </c>
    </row>
    <row r="252" spans="1:17">
      <c r="A252" s="2" t="s">
        <v>381</v>
      </c>
      <c r="B252" s="2" t="s">
        <v>381</v>
      </c>
      <c r="C252" s="2" t="s">
        <v>377</v>
      </c>
      <c r="D252" s="11">
        <v>45964.319444444445</v>
      </c>
      <c r="E252" s="11">
        <v>45964.319444444445</v>
      </c>
      <c r="F252" s="11">
        <v>45964.625</v>
      </c>
      <c r="G252" s="12">
        <v>0.30555555555474712</v>
      </c>
      <c r="H252" s="2" t="s">
        <v>257</v>
      </c>
      <c r="J252" s="2" t="s">
        <v>258</v>
      </c>
      <c r="K252" s="2" t="s">
        <v>658</v>
      </c>
      <c r="L252" s="2" t="s">
        <v>2538</v>
      </c>
      <c r="M252" t="s">
        <v>663</v>
      </c>
      <c r="N252" t="s">
        <v>364</v>
      </c>
      <c r="O252" t="s">
        <v>2539</v>
      </c>
      <c r="P252" t="s">
        <v>2553</v>
      </c>
      <c r="Q252" t="s">
        <v>2281</v>
      </c>
    </row>
    <row r="253" spans="1:17">
      <c r="A253" s="2" t="s">
        <v>381</v>
      </c>
      <c r="B253" s="2" t="s">
        <v>381</v>
      </c>
      <c r="C253" s="2" t="s">
        <v>378</v>
      </c>
      <c r="D253" s="11">
        <v>45964.319444444445</v>
      </c>
      <c r="E253" s="11">
        <v>45964.319444444445</v>
      </c>
      <c r="F253" s="11">
        <v>45964.625</v>
      </c>
      <c r="G253" s="12">
        <v>0.30555555555474712</v>
      </c>
      <c r="H253" s="2" t="s">
        <v>257</v>
      </c>
      <c r="J253" s="2" t="s">
        <v>258</v>
      </c>
      <c r="K253" s="2" t="s">
        <v>658</v>
      </c>
      <c r="L253" s="2" t="s">
        <v>2538</v>
      </c>
      <c r="M253" t="s">
        <v>663</v>
      </c>
      <c r="N253" t="s">
        <v>364</v>
      </c>
      <c r="O253" t="s">
        <v>2539</v>
      </c>
      <c r="P253" t="s">
        <v>2554</v>
      </c>
      <c r="Q253" t="s">
        <v>2281</v>
      </c>
    </row>
    <row r="254" spans="1:17">
      <c r="A254" s="2" t="s">
        <v>391</v>
      </c>
      <c r="B254" s="2" t="s">
        <v>391</v>
      </c>
      <c r="C254" s="2" t="s">
        <v>2059</v>
      </c>
      <c r="D254" s="11">
        <v>45964.319444444445</v>
      </c>
      <c r="E254" s="11">
        <v>45964.319444444445</v>
      </c>
      <c r="F254" s="11">
        <v>45964.625</v>
      </c>
      <c r="G254" s="12">
        <v>0.30555555555474712</v>
      </c>
      <c r="H254" s="2" t="s">
        <v>257</v>
      </c>
      <c r="J254" s="2" t="s">
        <v>258</v>
      </c>
      <c r="K254" s="2" t="s">
        <v>658</v>
      </c>
      <c r="L254" s="2" t="s">
        <v>2538</v>
      </c>
      <c r="M254" t="s">
        <v>663</v>
      </c>
      <c r="N254" t="s">
        <v>364</v>
      </c>
      <c r="O254" t="s">
        <v>2539</v>
      </c>
      <c r="P254" t="s">
        <v>2555</v>
      </c>
      <c r="Q254" t="s">
        <v>2281</v>
      </c>
    </row>
    <row r="255" spans="1:17">
      <c r="A255" s="2" t="s">
        <v>391</v>
      </c>
      <c r="B255" s="2" t="s">
        <v>391</v>
      </c>
      <c r="C255" s="2" t="s">
        <v>382</v>
      </c>
      <c r="D255" s="11">
        <v>45964.319444444445</v>
      </c>
      <c r="E255" s="11">
        <v>45964.319444444445</v>
      </c>
      <c r="F255" s="11">
        <v>45964.625</v>
      </c>
      <c r="G255" s="12">
        <v>0.30555555555474712</v>
      </c>
      <c r="H255" s="2" t="s">
        <v>257</v>
      </c>
      <c r="J255" s="2" t="s">
        <v>258</v>
      </c>
      <c r="K255" s="2" t="s">
        <v>658</v>
      </c>
      <c r="L255" s="2" t="s">
        <v>2538</v>
      </c>
      <c r="M255" t="s">
        <v>663</v>
      </c>
      <c r="N255" t="s">
        <v>364</v>
      </c>
      <c r="O255" t="s">
        <v>2539</v>
      </c>
      <c r="P255" t="s">
        <v>2556</v>
      </c>
      <c r="Q255" t="s">
        <v>2281</v>
      </c>
    </row>
    <row r="256" spans="1:17">
      <c r="A256" s="2" t="s">
        <v>391</v>
      </c>
      <c r="B256" s="2" t="s">
        <v>391</v>
      </c>
      <c r="C256" s="2" t="s">
        <v>378</v>
      </c>
      <c r="D256" s="11">
        <v>45964.319444444445</v>
      </c>
      <c r="E256" s="11">
        <v>45964.319444444445</v>
      </c>
      <c r="F256" s="11">
        <v>45964.625</v>
      </c>
      <c r="G256" s="12">
        <v>0.30555555555474712</v>
      </c>
      <c r="H256" s="2" t="s">
        <v>257</v>
      </c>
      <c r="J256" s="2" t="s">
        <v>258</v>
      </c>
      <c r="K256" s="2" t="s">
        <v>658</v>
      </c>
      <c r="L256" s="2" t="s">
        <v>2538</v>
      </c>
      <c r="M256" t="s">
        <v>663</v>
      </c>
      <c r="N256" t="s">
        <v>364</v>
      </c>
      <c r="O256" t="s">
        <v>2539</v>
      </c>
      <c r="P256" t="s">
        <v>2557</v>
      </c>
      <c r="Q256" t="s">
        <v>2281</v>
      </c>
    </row>
    <row r="257" spans="1:17">
      <c r="A257" s="2" t="s">
        <v>391</v>
      </c>
      <c r="B257" s="2" t="s">
        <v>391</v>
      </c>
      <c r="C257" s="2" t="s">
        <v>379</v>
      </c>
      <c r="D257" s="11">
        <v>45964.319444444445</v>
      </c>
      <c r="E257" s="11">
        <v>45964.319444444445</v>
      </c>
      <c r="F257" s="11">
        <v>45964.625</v>
      </c>
      <c r="G257" s="12">
        <v>0.30555555555474712</v>
      </c>
      <c r="H257" s="2" t="s">
        <v>257</v>
      </c>
      <c r="J257" s="2" t="s">
        <v>258</v>
      </c>
      <c r="K257" s="2" t="s">
        <v>658</v>
      </c>
      <c r="L257" s="2" t="s">
        <v>2538</v>
      </c>
      <c r="M257" t="s">
        <v>663</v>
      </c>
      <c r="N257" t="s">
        <v>364</v>
      </c>
      <c r="O257" t="s">
        <v>2539</v>
      </c>
      <c r="P257" t="s">
        <v>2558</v>
      </c>
      <c r="Q257" t="s">
        <v>2281</v>
      </c>
    </row>
    <row r="258" spans="1:17">
      <c r="A258" s="2" t="s">
        <v>391</v>
      </c>
      <c r="B258" s="2" t="s">
        <v>391</v>
      </c>
      <c r="C258" s="2" t="s">
        <v>380</v>
      </c>
      <c r="D258" s="11">
        <v>45964.319444444445</v>
      </c>
      <c r="E258" s="11">
        <v>45964.319444444445</v>
      </c>
      <c r="F258" s="11">
        <v>45964.625</v>
      </c>
      <c r="G258" s="12">
        <v>0.30555555555474712</v>
      </c>
      <c r="H258" s="2" t="s">
        <v>257</v>
      </c>
      <c r="J258" s="2" t="s">
        <v>258</v>
      </c>
      <c r="K258" s="2" t="s">
        <v>658</v>
      </c>
      <c r="L258" s="2" t="s">
        <v>2538</v>
      </c>
      <c r="M258" t="s">
        <v>663</v>
      </c>
      <c r="N258" t="s">
        <v>364</v>
      </c>
      <c r="O258" t="s">
        <v>2539</v>
      </c>
      <c r="P258" t="s">
        <v>2559</v>
      </c>
      <c r="Q258" t="s">
        <v>2281</v>
      </c>
    </row>
    <row r="259" spans="1:17">
      <c r="A259" s="2" t="s">
        <v>519</v>
      </c>
      <c r="B259" s="2" t="s">
        <v>519</v>
      </c>
      <c r="C259" s="2" t="s">
        <v>380</v>
      </c>
      <c r="D259" s="11">
        <v>45964.319444444445</v>
      </c>
      <c r="E259" s="11">
        <v>45964.319444444445</v>
      </c>
      <c r="F259" s="11">
        <v>45964.625</v>
      </c>
      <c r="G259" s="12">
        <v>0.30555555555474712</v>
      </c>
      <c r="H259" s="2" t="s">
        <v>257</v>
      </c>
      <c r="J259" s="2" t="s">
        <v>258</v>
      </c>
      <c r="K259" s="2" t="s">
        <v>658</v>
      </c>
      <c r="L259" s="2" t="s">
        <v>2538</v>
      </c>
      <c r="M259" t="s">
        <v>663</v>
      </c>
      <c r="N259" t="s">
        <v>364</v>
      </c>
      <c r="O259" t="s">
        <v>2539</v>
      </c>
      <c r="P259" t="s">
        <v>2560</v>
      </c>
      <c r="Q259" t="s">
        <v>2281</v>
      </c>
    </row>
    <row r="260" spans="1:17">
      <c r="A260" s="2" t="s">
        <v>519</v>
      </c>
      <c r="B260" s="2" t="s">
        <v>519</v>
      </c>
      <c r="C260" s="2" t="s">
        <v>247</v>
      </c>
      <c r="D260" s="11">
        <v>45964.319444444445</v>
      </c>
      <c r="E260" s="11">
        <v>45964.319444444445</v>
      </c>
      <c r="F260" s="11">
        <v>45964.625</v>
      </c>
      <c r="G260" s="12">
        <v>0.30555555555474712</v>
      </c>
      <c r="H260" s="2" t="s">
        <v>257</v>
      </c>
      <c r="J260" s="2" t="s">
        <v>258</v>
      </c>
      <c r="K260" s="2" t="s">
        <v>658</v>
      </c>
      <c r="L260" s="2" t="s">
        <v>2538</v>
      </c>
      <c r="M260" t="s">
        <v>663</v>
      </c>
      <c r="N260" t="s">
        <v>364</v>
      </c>
      <c r="O260" t="s">
        <v>2539</v>
      </c>
      <c r="P260" t="s">
        <v>2561</v>
      </c>
      <c r="Q260" t="s">
        <v>2281</v>
      </c>
    </row>
    <row r="261" spans="1:17">
      <c r="A261" s="2" t="s">
        <v>519</v>
      </c>
      <c r="B261" s="2" t="s">
        <v>519</v>
      </c>
      <c r="C261" s="2" t="s">
        <v>378</v>
      </c>
      <c r="D261" s="11">
        <v>45964.319444444445</v>
      </c>
      <c r="E261" s="11">
        <v>45964.319444444445</v>
      </c>
      <c r="F261" s="11">
        <v>45964.625</v>
      </c>
      <c r="G261" s="12">
        <v>0.30555555555474712</v>
      </c>
      <c r="H261" s="2" t="s">
        <v>257</v>
      </c>
      <c r="J261" s="2" t="s">
        <v>258</v>
      </c>
      <c r="K261" s="2" t="s">
        <v>658</v>
      </c>
      <c r="L261" s="2" t="s">
        <v>2538</v>
      </c>
      <c r="M261" t="s">
        <v>663</v>
      </c>
      <c r="N261" t="s">
        <v>364</v>
      </c>
      <c r="O261" t="s">
        <v>2539</v>
      </c>
      <c r="P261" t="s">
        <v>2562</v>
      </c>
      <c r="Q261" t="s">
        <v>2281</v>
      </c>
    </row>
    <row r="262" spans="1:17">
      <c r="A262" s="2" t="s">
        <v>519</v>
      </c>
      <c r="B262" s="2" t="s">
        <v>519</v>
      </c>
      <c r="C262" s="2" t="s">
        <v>377</v>
      </c>
      <c r="D262" s="11">
        <v>45964.319444444445</v>
      </c>
      <c r="E262" s="11">
        <v>45964.319444444445</v>
      </c>
      <c r="F262" s="11">
        <v>45964.625</v>
      </c>
      <c r="G262" s="12">
        <v>0.30555555555474712</v>
      </c>
      <c r="H262" s="2" t="s">
        <v>257</v>
      </c>
      <c r="J262" s="2" t="s">
        <v>258</v>
      </c>
      <c r="K262" s="2" t="s">
        <v>658</v>
      </c>
      <c r="L262" s="2" t="s">
        <v>2538</v>
      </c>
      <c r="M262" t="s">
        <v>663</v>
      </c>
      <c r="N262" t="s">
        <v>364</v>
      </c>
      <c r="O262" t="s">
        <v>2539</v>
      </c>
      <c r="P262" t="s">
        <v>2563</v>
      </c>
      <c r="Q262" t="s">
        <v>2281</v>
      </c>
    </row>
    <row r="263" spans="1:17">
      <c r="A263" s="2" t="s">
        <v>519</v>
      </c>
      <c r="B263" s="2" t="s">
        <v>519</v>
      </c>
      <c r="C263" s="2" t="s">
        <v>263</v>
      </c>
      <c r="D263" s="11">
        <v>45964.319444444445</v>
      </c>
      <c r="E263" s="11">
        <v>45964.319444444445</v>
      </c>
      <c r="F263" s="11">
        <v>45964.625</v>
      </c>
      <c r="G263" s="12">
        <v>0.30555555555474712</v>
      </c>
      <c r="H263" s="2" t="s">
        <v>257</v>
      </c>
      <c r="J263" s="2" t="s">
        <v>258</v>
      </c>
      <c r="K263" s="2" t="s">
        <v>658</v>
      </c>
      <c r="L263" s="2" t="s">
        <v>2538</v>
      </c>
      <c r="M263" t="s">
        <v>663</v>
      </c>
      <c r="N263" t="s">
        <v>364</v>
      </c>
      <c r="O263" t="s">
        <v>2539</v>
      </c>
      <c r="P263" t="s">
        <v>2564</v>
      </c>
      <c r="Q263" t="s">
        <v>2281</v>
      </c>
    </row>
    <row r="264" spans="1:17">
      <c r="A264" s="2" t="s">
        <v>2195</v>
      </c>
      <c r="B264" s="2" t="s">
        <v>543</v>
      </c>
      <c r="C264" s="2" t="s">
        <v>2535</v>
      </c>
      <c r="D264" s="11">
        <v>45964.326770833337</v>
      </c>
      <c r="E264" s="11">
        <v>45964.326770833337</v>
      </c>
      <c r="F264" s="11">
        <v>45964.333715277775</v>
      </c>
      <c r="G264" s="12">
        <v>6.9444444379769266E-3</v>
      </c>
      <c r="H264" s="2" t="s">
        <v>257</v>
      </c>
      <c r="J264" s="2" t="s">
        <v>371</v>
      </c>
      <c r="K264" s="2" t="s">
        <v>653</v>
      </c>
      <c r="L264" s="2" t="s">
        <v>861</v>
      </c>
      <c r="M264" t="s">
        <v>252</v>
      </c>
      <c r="N264" t="s">
        <v>631</v>
      </c>
      <c r="P264" t="s">
        <v>2565</v>
      </c>
      <c r="Q264" t="s">
        <v>2537</v>
      </c>
    </row>
    <row r="265" spans="1:17">
      <c r="A265" s="2" t="s">
        <v>311</v>
      </c>
      <c r="B265" s="2" t="s">
        <v>311</v>
      </c>
      <c r="C265" s="2" t="s">
        <v>264</v>
      </c>
      <c r="D265" s="11">
        <v>45964.384722222225</v>
      </c>
      <c r="E265" s="11">
        <v>45964.384722222225</v>
      </c>
      <c r="F265" s="11">
        <v>45965.239583333336</v>
      </c>
      <c r="G265" s="12">
        <v>0.85486111111094942</v>
      </c>
      <c r="H265" s="2" t="s">
        <v>257</v>
      </c>
      <c r="J265" s="2" t="s">
        <v>258</v>
      </c>
      <c r="K265" s="2" t="s">
        <v>658</v>
      </c>
      <c r="L265" s="2" t="s">
        <v>2358</v>
      </c>
      <c r="M265" t="s">
        <v>260</v>
      </c>
      <c r="N265" t="s">
        <v>357</v>
      </c>
      <c r="O265" t="s">
        <v>2111</v>
      </c>
      <c r="P265" t="s">
        <v>2566</v>
      </c>
      <c r="Q265" t="s">
        <v>2281</v>
      </c>
    </row>
    <row r="266" spans="1:17">
      <c r="A266" s="2" t="s">
        <v>311</v>
      </c>
      <c r="B266" s="2" t="s">
        <v>311</v>
      </c>
      <c r="C266" s="2" t="s">
        <v>256</v>
      </c>
      <c r="D266" s="11">
        <v>45964.384722222225</v>
      </c>
      <c r="E266" s="11">
        <v>45964.384722222225</v>
      </c>
      <c r="F266" s="11">
        <v>45965.239583333336</v>
      </c>
      <c r="G266" s="12">
        <v>0.85486111111094942</v>
      </c>
      <c r="H266" s="2" t="s">
        <v>257</v>
      </c>
      <c r="J266" s="2" t="s">
        <v>258</v>
      </c>
      <c r="K266" s="2" t="s">
        <v>658</v>
      </c>
      <c r="L266" s="2" t="s">
        <v>2358</v>
      </c>
      <c r="M266" t="s">
        <v>260</v>
      </c>
      <c r="N266" t="s">
        <v>357</v>
      </c>
      <c r="O266" t="s">
        <v>2111</v>
      </c>
      <c r="P266" t="s">
        <v>2567</v>
      </c>
      <c r="Q266" t="s">
        <v>2281</v>
      </c>
    </row>
    <row r="267" spans="1:17">
      <c r="A267" s="2" t="s">
        <v>311</v>
      </c>
      <c r="B267" s="2" t="s">
        <v>311</v>
      </c>
      <c r="C267" s="2" t="s">
        <v>307</v>
      </c>
      <c r="D267" s="11">
        <v>45964.384722222225</v>
      </c>
      <c r="E267" s="11">
        <v>45964.384722222225</v>
      </c>
      <c r="F267" s="11">
        <v>45965.239583333336</v>
      </c>
      <c r="G267" s="12">
        <v>0.85486111111094942</v>
      </c>
      <c r="H267" s="2" t="s">
        <v>257</v>
      </c>
      <c r="J267" s="2" t="s">
        <v>258</v>
      </c>
      <c r="K267" s="2" t="s">
        <v>658</v>
      </c>
      <c r="L267" s="2" t="s">
        <v>2358</v>
      </c>
      <c r="M267" t="s">
        <v>260</v>
      </c>
      <c r="N267" t="s">
        <v>357</v>
      </c>
      <c r="O267" t="s">
        <v>2111</v>
      </c>
      <c r="P267" t="s">
        <v>2568</v>
      </c>
      <c r="Q267" t="s">
        <v>2281</v>
      </c>
    </row>
    <row r="268" spans="1:17">
      <c r="A268" s="2" t="s">
        <v>311</v>
      </c>
      <c r="B268" s="2" t="s">
        <v>311</v>
      </c>
      <c r="C268" s="2" t="s">
        <v>263</v>
      </c>
      <c r="D268" s="11">
        <v>45964.384722222225</v>
      </c>
      <c r="E268" s="11">
        <v>45964.384722222225</v>
      </c>
      <c r="F268" s="11">
        <v>45965.239583333336</v>
      </c>
      <c r="G268" s="12">
        <v>0.85486111111094942</v>
      </c>
      <c r="H268" s="2" t="s">
        <v>257</v>
      </c>
      <c r="J268" s="2" t="s">
        <v>258</v>
      </c>
      <c r="K268" s="2" t="s">
        <v>658</v>
      </c>
      <c r="L268" s="2" t="s">
        <v>2358</v>
      </c>
      <c r="M268" t="s">
        <v>260</v>
      </c>
      <c r="N268" t="s">
        <v>357</v>
      </c>
      <c r="O268" t="s">
        <v>2111</v>
      </c>
      <c r="P268" t="s">
        <v>2569</v>
      </c>
      <c r="Q268" t="s">
        <v>2281</v>
      </c>
    </row>
    <row r="269" spans="1:17">
      <c r="A269" s="2" t="s">
        <v>312</v>
      </c>
      <c r="B269" s="2" t="s">
        <v>312</v>
      </c>
      <c r="C269" s="2" t="s">
        <v>307</v>
      </c>
      <c r="D269" s="11">
        <v>45964.384722222225</v>
      </c>
      <c r="E269" s="11">
        <v>45964.384722222225</v>
      </c>
      <c r="F269" s="11">
        <v>45965.239583333336</v>
      </c>
      <c r="G269" s="12">
        <v>0.85486111111094942</v>
      </c>
      <c r="H269" s="2" t="s">
        <v>257</v>
      </c>
      <c r="J269" s="2" t="s">
        <v>258</v>
      </c>
      <c r="K269" s="2" t="s">
        <v>658</v>
      </c>
      <c r="L269" s="2" t="s">
        <v>2358</v>
      </c>
      <c r="M269" t="s">
        <v>260</v>
      </c>
      <c r="N269" t="s">
        <v>357</v>
      </c>
      <c r="O269" t="s">
        <v>2111</v>
      </c>
      <c r="P269" t="s">
        <v>2570</v>
      </c>
      <c r="Q269" t="s">
        <v>2281</v>
      </c>
    </row>
    <row r="270" spans="1:17">
      <c r="A270" s="2" t="s">
        <v>312</v>
      </c>
      <c r="B270" s="2" t="s">
        <v>312</v>
      </c>
      <c r="C270" s="2" t="s">
        <v>264</v>
      </c>
      <c r="D270" s="11">
        <v>45964.384722222225</v>
      </c>
      <c r="E270" s="11">
        <v>45964.384722222225</v>
      </c>
      <c r="F270" s="11">
        <v>45965.239583333336</v>
      </c>
      <c r="G270" s="12">
        <v>0.85486111111094942</v>
      </c>
      <c r="H270" s="2" t="s">
        <v>257</v>
      </c>
      <c r="J270" s="2" t="s">
        <v>258</v>
      </c>
      <c r="K270" s="2" t="s">
        <v>658</v>
      </c>
      <c r="L270" s="2" t="s">
        <v>2358</v>
      </c>
      <c r="M270" t="s">
        <v>260</v>
      </c>
      <c r="N270" t="s">
        <v>357</v>
      </c>
      <c r="O270" t="s">
        <v>2111</v>
      </c>
      <c r="P270" t="s">
        <v>2571</v>
      </c>
      <c r="Q270" t="s">
        <v>2281</v>
      </c>
    </row>
    <row r="271" spans="1:17">
      <c r="A271" s="2" t="s">
        <v>312</v>
      </c>
      <c r="B271" s="2" t="s">
        <v>312</v>
      </c>
      <c r="C271" s="2" t="s">
        <v>263</v>
      </c>
      <c r="D271" s="11">
        <v>45964.384722222225</v>
      </c>
      <c r="E271" s="11">
        <v>45964.384722222225</v>
      </c>
      <c r="F271" s="11">
        <v>45965.239583333336</v>
      </c>
      <c r="G271" s="12">
        <v>0.85486111111094942</v>
      </c>
      <c r="H271" s="2" t="s">
        <v>257</v>
      </c>
      <c r="J271" s="2" t="s">
        <v>258</v>
      </c>
      <c r="K271" s="2" t="s">
        <v>658</v>
      </c>
      <c r="L271" s="2" t="s">
        <v>2358</v>
      </c>
      <c r="M271" t="s">
        <v>260</v>
      </c>
      <c r="N271" t="s">
        <v>357</v>
      </c>
      <c r="O271" t="s">
        <v>2111</v>
      </c>
      <c r="P271" t="s">
        <v>2572</v>
      </c>
      <c r="Q271" t="s">
        <v>2281</v>
      </c>
    </row>
    <row r="272" spans="1:17">
      <c r="A272" s="2" t="s">
        <v>312</v>
      </c>
      <c r="B272" s="2" t="s">
        <v>312</v>
      </c>
      <c r="C272" s="2" t="s">
        <v>256</v>
      </c>
      <c r="D272" s="11">
        <v>45964.384722222225</v>
      </c>
      <c r="E272" s="11">
        <v>45964.384722222225</v>
      </c>
      <c r="F272" s="11">
        <v>45965.239583333336</v>
      </c>
      <c r="G272" s="12">
        <v>0.85486111111094942</v>
      </c>
      <c r="H272" s="2" t="s">
        <v>257</v>
      </c>
      <c r="J272" s="2" t="s">
        <v>258</v>
      </c>
      <c r="K272" s="2" t="s">
        <v>658</v>
      </c>
      <c r="L272" s="2" t="s">
        <v>2358</v>
      </c>
      <c r="M272" t="s">
        <v>260</v>
      </c>
      <c r="N272" t="s">
        <v>357</v>
      </c>
      <c r="O272" t="s">
        <v>2111</v>
      </c>
      <c r="P272" t="s">
        <v>2573</v>
      </c>
      <c r="Q272" t="s">
        <v>2281</v>
      </c>
    </row>
    <row r="273" spans="1:17">
      <c r="A273" s="2" t="s">
        <v>2134</v>
      </c>
      <c r="B273" s="2" t="s">
        <v>585</v>
      </c>
      <c r="C273" s="2" t="s">
        <v>590</v>
      </c>
      <c r="D273" s="11">
        <v>45964.386111111111</v>
      </c>
      <c r="E273" s="11">
        <v>45964.386111111111</v>
      </c>
      <c r="F273" s="11">
        <v>45964.436805555553</v>
      </c>
      <c r="G273" s="12">
        <v>5.0694444442342501E-2</v>
      </c>
      <c r="H273" s="2" t="s">
        <v>257</v>
      </c>
      <c r="J273" s="2" t="s">
        <v>258</v>
      </c>
      <c r="K273" s="2" t="s">
        <v>658</v>
      </c>
      <c r="L273" s="2" t="s">
        <v>2107</v>
      </c>
      <c r="M273" t="s">
        <v>2108</v>
      </c>
      <c r="N273" t="s">
        <v>357</v>
      </c>
      <c r="O273" t="s">
        <v>2090</v>
      </c>
      <c r="P273" t="s">
        <v>2574</v>
      </c>
      <c r="Q273" t="s">
        <v>2281</v>
      </c>
    </row>
    <row r="274" spans="1:17">
      <c r="A274" s="2" t="s">
        <v>2134</v>
      </c>
      <c r="B274" s="2" t="s">
        <v>585</v>
      </c>
      <c r="C274" s="2" t="s">
        <v>2091</v>
      </c>
      <c r="D274" s="11">
        <v>45964.386111111111</v>
      </c>
      <c r="E274" s="11">
        <v>45964.386111111111</v>
      </c>
      <c r="F274" s="11">
        <v>45964.436805555553</v>
      </c>
      <c r="G274" s="12">
        <v>5.0694444442342501E-2</v>
      </c>
      <c r="H274" s="2" t="s">
        <v>257</v>
      </c>
      <c r="J274" s="2" t="s">
        <v>258</v>
      </c>
      <c r="K274" s="2" t="s">
        <v>658</v>
      </c>
      <c r="L274" s="2" t="s">
        <v>2107</v>
      </c>
      <c r="M274" t="s">
        <v>2108</v>
      </c>
      <c r="N274" t="s">
        <v>357</v>
      </c>
      <c r="O274" t="s">
        <v>2090</v>
      </c>
      <c r="P274" t="s">
        <v>2575</v>
      </c>
      <c r="Q274" t="s">
        <v>2281</v>
      </c>
    </row>
    <row r="275" spans="1:17">
      <c r="A275" s="2" t="s">
        <v>2134</v>
      </c>
      <c r="B275" s="2" t="s">
        <v>585</v>
      </c>
      <c r="C275" s="2" t="s">
        <v>586</v>
      </c>
      <c r="D275" s="11">
        <v>45964.386111111111</v>
      </c>
      <c r="E275" s="11">
        <v>45964.386111111111</v>
      </c>
      <c r="F275" s="11">
        <v>45964.436805555553</v>
      </c>
      <c r="G275" s="12">
        <v>5.0694444442342501E-2</v>
      </c>
      <c r="H275" s="2" t="s">
        <v>257</v>
      </c>
      <c r="J275" s="2" t="s">
        <v>258</v>
      </c>
      <c r="K275" s="2" t="s">
        <v>658</v>
      </c>
      <c r="L275" s="2" t="s">
        <v>2107</v>
      </c>
      <c r="M275" t="s">
        <v>2108</v>
      </c>
      <c r="N275" t="s">
        <v>357</v>
      </c>
      <c r="O275" t="s">
        <v>2090</v>
      </c>
      <c r="P275" t="s">
        <v>2576</v>
      </c>
      <c r="Q275" t="s">
        <v>2281</v>
      </c>
    </row>
    <row r="276" spans="1:17">
      <c r="A276" s="2" t="s">
        <v>2134</v>
      </c>
      <c r="B276" s="2" t="s">
        <v>585</v>
      </c>
      <c r="C276" s="2" t="s">
        <v>598</v>
      </c>
      <c r="D276" s="11">
        <v>45964.386111111111</v>
      </c>
      <c r="E276" s="11">
        <v>45964.386111111111</v>
      </c>
      <c r="F276" s="11">
        <v>45964.436805555553</v>
      </c>
      <c r="G276" s="12">
        <v>5.0694444442342501E-2</v>
      </c>
      <c r="H276" s="2" t="s">
        <v>257</v>
      </c>
      <c r="J276" s="2" t="s">
        <v>258</v>
      </c>
      <c r="K276" s="2" t="s">
        <v>658</v>
      </c>
      <c r="L276" s="2" t="s">
        <v>2107</v>
      </c>
      <c r="M276" t="s">
        <v>2108</v>
      </c>
      <c r="N276" t="s">
        <v>357</v>
      </c>
      <c r="O276" t="s">
        <v>2090</v>
      </c>
      <c r="P276" t="s">
        <v>2577</v>
      </c>
      <c r="Q276" t="s">
        <v>2281</v>
      </c>
    </row>
    <row r="277" spans="1:17">
      <c r="A277" s="2" t="s">
        <v>2134</v>
      </c>
      <c r="B277" s="2" t="s">
        <v>585</v>
      </c>
      <c r="C277" s="2" t="s">
        <v>600</v>
      </c>
      <c r="D277" s="11">
        <v>45964.386111111111</v>
      </c>
      <c r="E277" s="11">
        <v>45964.386111111111</v>
      </c>
      <c r="F277" s="11">
        <v>45964.436805555553</v>
      </c>
      <c r="G277" s="12">
        <v>5.0694444442342501E-2</v>
      </c>
      <c r="H277" s="2" t="s">
        <v>257</v>
      </c>
      <c r="J277" s="2" t="s">
        <v>258</v>
      </c>
      <c r="K277" s="2" t="s">
        <v>658</v>
      </c>
      <c r="L277" s="2" t="s">
        <v>2107</v>
      </c>
      <c r="M277" t="s">
        <v>2108</v>
      </c>
      <c r="N277" t="s">
        <v>357</v>
      </c>
      <c r="O277" t="s">
        <v>2090</v>
      </c>
      <c r="P277" t="s">
        <v>2578</v>
      </c>
      <c r="Q277" t="s">
        <v>2281</v>
      </c>
    </row>
    <row r="278" spans="1:17">
      <c r="A278" s="2" t="s">
        <v>2134</v>
      </c>
      <c r="B278" s="2" t="s">
        <v>585</v>
      </c>
      <c r="C278" s="2" t="s">
        <v>596</v>
      </c>
      <c r="D278" s="11">
        <v>45964.386111111111</v>
      </c>
      <c r="E278" s="11">
        <v>45964.386111111111</v>
      </c>
      <c r="F278" s="11">
        <v>45964.436805555553</v>
      </c>
      <c r="G278" s="12">
        <v>5.0694444442342501E-2</v>
      </c>
      <c r="H278" s="2" t="s">
        <v>257</v>
      </c>
      <c r="J278" s="2" t="s">
        <v>258</v>
      </c>
      <c r="K278" s="2" t="s">
        <v>658</v>
      </c>
      <c r="L278" s="2" t="s">
        <v>2107</v>
      </c>
      <c r="M278" t="s">
        <v>2108</v>
      </c>
      <c r="N278" t="s">
        <v>357</v>
      </c>
      <c r="O278" t="s">
        <v>2090</v>
      </c>
      <c r="P278" t="s">
        <v>2579</v>
      </c>
      <c r="Q278" t="s">
        <v>2281</v>
      </c>
    </row>
    <row r="279" spans="1:17">
      <c r="A279" s="2" t="s">
        <v>2134</v>
      </c>
      <c r="B279" s="2" t="s">
        <v>585</v>
      </c>
      <c r="C279" s="2" t="s">
        <v>599</v>
      </c>
      <c r="D279" s="11">
        <v>45964.386111111111</v>
      </c>
      <c r="E279" s="11">
        <v>45964.386111111111</v>
      </c>
      <c r="F279" s="11">
        <v>45964.436805555553</v>
      </c>
      <c r="G279" s="12">
        <v>5.0694444442342501E-2</v>
      </c>
      <c r="H279" s="2" t="s">
        <v>257</v>
      </c>
      <c r="J279" s="2" t="s">
        <v>258</v>
      </c>
      <c r="K279" s="2" t="s">
        <v>658</v>
      </c>
      <c r="L279" s="2" t="s">
        <v>2107</v>
      </c>
      <c r="M279" t="s">
        <v>2108</v>
      </c>
      <c r="N279" t="s">
        <v>357</v>
      </c>
      <c r="O279" t="s">
        <v>2090</v>
      </c>
      <c r="P279" t="s">
        <v>2580</v>
      </c>
      <c r="Q279" t="s">
        <v>2281</v>
      </c>
    </row>
    <row r="280" spans="1:17">
      <c r="A280" s="2" t="s">
        <v>2134</v>
      </c>
      <c r="B280" s="2" t="s">
        <v>585</v>
      </c>
      <c r="C280" s="2" t="s">
        <v>603</v>
      </c>
      <c r="D280" s="11">
        <v>45964.386111111111</v>
      </c>
      <c r="E280" s="11">
        <v>45964.386111111111</v>
      </c>
      <c r="F280" s="11">
        <v>45964.436805555553</v>
      </c>
      <c r="G280" s="12">
        <v>5.0694444442342501E-2</v>
      </c>
      <c r="H280" s="2" t="s">
        <v>257</v>
      </c>
      <c r="J280" s="2" t="s">
        <v>258</v>
      </c>
      <c r="K280" s="2" t="s">
        <v>658</v>
      </c>
      <c r="L280" s="2" t="s">
        <v>2107</v>
      </c>
      <c r="M280" t="s">
        <v>2108</v>
      </c>
      <c r="N280" t="s">
        <v>357</v>
      </c>
      <c r="O280" t="s">
        <v>2090</v>
      </c>
      <c r="P280" t="s">
        <v>2581</v>
      </c>
      <c r="Q280" t="s">
        <v>2281</v>
      </c>
    </row>
    <row r="281" spans="1:17">
      <c r="A281" s="2" t="s">
        <v>2134</v>
      </c>
      <c r="B281" s="2" t="s">
        <v>585</v>
      </c>
      <c r="C281" s="2" t="s">
        <v>588</v>
      </c>
      <c r="D281" s="11">
        <v>45964.386111111111</v>
      </c>
      <c r="E281" s="11">
        <v>45964.386111111111</v>
      </c>
      <c r="F281" s="11">
        <v>45964.436805555553</v>
      </c>
      <c r="G281" s="12">
        <v>5.0694444442342501E-2</v>
      </c>
      <c r="H281" s="2" t="s">
        <v>257</v>
      </c>
      <c r="J281" s="2" t="s">
        <v>258</v>
      </c>
      <c r="K281" s="2" t="s">
        <v>658</v>
      </c>
      <c r="L281" s="2" t="s">
        <v>2107</v>
      </c>
      <c r="M281" t="s">
        <v>2108</v>
      </c>
      <c r="N281" t="s">
        <v>357</v>
      </c>
      <c r="O281" t="s">
        <v>2090</v>
      </c>
      <c r="P281" t="s">
        <v>2582</v>
      </c>
      <c r="Q281" t="s">
        <v>2281</v>
      </c>
    </row>
    <row r="282" spans="1:17">
      <c r="A282" s="2" t="s">
        <v>2134</v>
      </c>
      <c r="B282" s="2" t="s">
        <v>585</v>
      </c>
      <c r="C282" s="2" t="s">
        <v>594</v>
      </c>
      <c r="D282" s="11">
        <v>45964.386111111111</v>
      </c>
      <c r="E282" s="11">
        <v>45964.386111111111</v>
      </c>
      <c r="F282" s="11">
        <v>45964.436805555553</v>
      </c>
      <c r="G282" s="12">
        <v>5.0694444442342501E-2</v>
      </c>
      <c r="H282" s="2" t="s">
        <v>257</v>
      </c>
      <c r="J282" s="2" t="s">
        <v>258</v>
      </c>
      <c r="K282" s="2" t="s">
        <v>658</v>
      </c>
      <c r="L282" s="2" t="s">
        <v>2107</v>
      </c>
      <c r="M282" t="s">
        <v>2108</v>
      </c>
      <c r="N282" t="s">
        <v>357</v>
      </c>
      <c r="O282" t="s">
        <v>2090</v>
      </c>
      <c r="P282" t="s">
        <v>2583</v>
      </c>
      <c r="Q282" t="s">
        <v>2281</v>
      </c>
    </row>
    <row r="283" spans="1:17">
      <c r="A283" s="2" t="s">
        <v>2134</v>
      </c>
      <c r="B283" s="2" t="s">
        <v>585</v>
      </c>
      <c r="C283" s="2" t="s">
        <v>590</v>
      </c>
      <c r="D283" s="11">
        <v>45964.545138888891</v>
      </c>
      <c r="E283" s="11">
        <v>45964.545138888891</v>
      </c>
      <c r="F283" s="11">
        <v>45964.612500000003</v>
      </c>
      <c r="G283" s="12">
        <v>6.7361111112404615E-2</v>
      </c>
      <c r="H283" s="2" t="s">
        <v>257</v>
      </c>
      <c r="J283" s="2" t="s">
        <v>258</v>
      </c>
      <c r="K283" s="2" t="s">
        <v>658</v>
      </c>
      <c r="L283" s="2" t="s">
        <v>2107</v>
      </c>
      <c r="M283" t="s">
        <v>2108</v>
      </c>
      <c r="N283" t="s">
        <v>357</v>
      </c>
      <c r="O283" t="s">
        <v>2090</v>
      </c>
      <c r="P283" t="s">
        <v>2584</v>
      </c>
      <c r="Q283" t="s">
        <v>2281</v>
      </c>
    </row>
    <row r="284" spans="1:17">
      <c r="A284" s="2" t="s">
        <v>2134</v>
      </c>
      <c r="B284" s="2" t="s">
        <v>585</v>
      </c>
      <c r="C284" s="2" t="s">
        <v>2091</v>
      </c>
      <c r="D284" s="11">
        <v>45964.545138888891</v>
      </c>
      <c r="E284" s="11">
        <v>45964.545138888891</v>
      </c>
      <c r="F284" s="11">
        <v>45964.612500000003</v>
      </c>
      <c r="G284" s="12">
        <v>6.7361111112404615E-2</v>
      </c>
      <c r="H284" s="2" t="s">
        <v>257</v>
      </c>
      <c r="J284" s="2" t="s">
        <v>258</v>
      </c>
      <c r="K284" s="2" t="s">
        <v>658</v>
      </c>
      <c r="L284" s="2" t="s">
        <v>2107</v>
      </c>
      <c r="M284" t="s">
        <v>2108</v>
      </c>
      <c r="N284" t="s">
        <v>357</v>
      </c>
      <c r="O284" t="s">
        <v>2090</v>
      </c>
      <c r="P284" t="s">
        <v>2585</v>
      </c>
      <c r="Q284" t="s">
        <v>2281</v>
      </c>
    </row>
    <row r="285" spans="1:17">
      <c r="A285" s="2" t="s">
        <v>2134</v>
      </c>
      <c r="B285" s="2" t="s">
        <v>585</v>
      </c>
      <c r="C285" s="2" t="s">
        <v>586</v>
      </c>
      <c r="D285" s="11">
        <v>45964.545138888891</v>
      </c>
      <c r="E285" s="11">
        <v>45964.545138888891</v>
      </c>
      <c r="F285" s="11">
        <v>45964.612500000003</v>
      </c>
      <c r="G285" s="12">
        <v>6.7361111112404615E-2</v>
      </c>
      <c r="H285" s="2" t="s">
        <v>257</v>
      </c>
      <c r="J285" s="2" t="s">
        <v>258</v>
      </c>
      <c r="K285" s="2" t="s">
        <v>658</v>
      </c>
      <c r="L285" s="2" t="s">
        <v>2107</v>
      </c>
      <c r="M285" t="s">
        <v>2108</v>
      </c>
      <c r="N285" t="s">
        <v>357</v>
      </c>
      <c r="O285" t="s">
        <v>2090</v>
      </c>
      <c r="P285" t="s">
        <v>2586</v>
      </c>
      <c r="Q285" t="s">
        <v>2281</v>
      </c>
    </row>
    <row r="286" spans="1:17">
      <c r="A286" s="2" t="s">
        <v>2134</v>
      </c>
      <c r="B286" s="2" t="s">
        <v>585</v>
      </c>
      <c r="C286" s="2" t="s">
        <v>598</v>
      </c>
      <c r="D286" s="11">
        <v>45964.545138888891</v>
      </c>
      <c r="E286" s="11">
        <v>45964.545138888891</v>
      </c>
      <c r="F286" s="11">
        <v>45964.612500000003</v>
      </c>
      <c r="G286" s="12">
        <v>6.7361111112404615E-2</v>
      </c>
      <c r="H286" s="2" t="s">
        <v>257</v>
      </c>
      <c r="J286" s="2" t="s">
        <v>258</v>
      </c>
      <c r="K286" s="2" t="s">
        <v>658</v>
      </c>
      <c r="L286" s="2" t="s">
        <v>2107</v>
      </c>
      <c r="M286" t="s">
        <v>2108</v>
      </c>
      <c r="N286" t="s">
        <v>357</v>
      </c>
      <c r="O286" t="s">
        <v>2090</v>
      </c>
      <c r="P286" t="s">
        <v>2587</v>
      </c>
      <c r="Q286" t="s">
        <v>2281</v>
      </c>
    </row>
    <row r="287" spans="1:17">
      <c r="A287" s="2" t="s">
        <v>2134</v>
      </c>
      <c r="B287" s="2" t="s">
        <v>585</v>
      </c>
      <c r="C287" s="2" t="s">
        <v>600</v>
      </c>
      <c r="D287" s="11">
        <v>45964.545138888891</v>
      </c>
      <c r="E287" s="11">
        <v>45964.545138888891</v>
      </c>
      <c r="F287" s="11">
        <v>45964.612500000003</v>
      </c>
      <c r="G287" s="12">
        <v>6.7361111112404615E-2</v>
      </c>
      <c r="H287" s="2" t="s">
        <v>257</v>
      </c>
      <c r="J287" s="2" t="s">
        <v>258</v>
      </c>
      <c r="K287" s="2" t="s">
        <v>658</v>
      </c>
      <c r="L287" s="2" t="s">
        <v>2107</v>
      </c>
      <c r="M287" t="s">
        <v>2108</v>
      </c>
      <c r="N287" t="s">
        <v>357</v>
      </c>
      <c r="O287" t="s">
        <v>2090</v>
      </c>
      <c r="P287" t="s">
        <v>2588</v>
      </c>
      <c r="Q287" t="s">
        <v>2281</v>
      </c>
    </row>
    <row r="288" spans="1:17">
      <c r="A288" s="2" t="s">
        <v>2134</v>
      </c>
      <c r="B288" s="2" t="s">
        <v>585</v>
      </c>
      <c r="C288" s="2" t="s">
        <v>596</v>
      </c>
      <c r="D288" s="11">
        <v>45964.545138888891</v>
      </c>
      <c r="E288" s="11">
        <v>45964.545138888891</v>
      </c>
      <c r="F288" s="11">
        <v>45964.612500000003</v>
      </c>
      <c r="G288" s="12">
        <v>6.7361111112404615E-2</v>
      </c>
      <c r="H288" s="2" t="s">
        <v>257</v>
      </c>
      <c r="J288" s="2" t="s">
        <v>258</v>
      </c>
      <c r="K288" s="2" t="s">
        <v>658</v>
      </c>
      <c r="L288" s="2" t="s">
        <v>2107</v>
      </c>
      <c r="M288" t="s">
        <v>2108</v>
      </c>
      <c r="N288" t="s">
        <v>357</v>
      </c>
      <c r="O288" t="s">
        <v>2090</v>
      </c>
      <c r="P288" t="s">
        <v>2589</v>
      </c>
      <c r="Q288" t="s">
        <v>2281</v>
      </c>
    </row>
    <row r="289" spans="1:17">
      <c r="A289" s="2" t="s">
        <v>2134</v>
      </c>
      <c r="B289" s="2" t="s">
        <v>585</v>
      </c>
      <c r="C289" s="2" t="s">
        <v>599</v>
      </c>
      <c r="D289" s="11">
        <v>45964.545138888891</v>
      </c>
      <c r="E289" s="11">
        <v>45964.545138888891</v>
      </c>
      <c r="F289" s="11">
        <v>45964.612500000003</v>
      </c>
      <c r="G289" s="12">
        <v>6.7361111112404615E-2</v>
      </c>
      <c r="H289" s="2" t="s">
        <v>257</v>
      </c>
      <c r="J289" s="2" t="s">
        <v>258</v>
      </c>
      <c r="K289" s="2" t="s">
        <v>658</v>
      </c>
      <c r="L289" s="2" t="s">
        <v>2107</v>
      </c>
      <c r="M289" t="s">
        <v>2108</v>
      </c>
      <c r="N289" t="s">
        <v>357</v>
      </c>
      <c r="O289" t="s">
        <v>2090</v>
      </c>
      <c r="P289" t="s">
        <v>2590</v>
      </c>
      <c r="Q289" t="s">
        <v>2281</v>
      </c>
    </row>
    <row r="290" spans="1:17">
      <c r="A290" s="2" t="s">
        <v>2134</v>
      </c>
      <c r="B290" s="2" t="s">
        <v>585</v>
      </c>
      <c r="C290" s="2" t="s">
        <v>603</v>
      </c>
      <c r="D290" s="11">
        <v>45964.545138888891</v>
      </c>
      <c r="E290" s="11">
        <v>45964.545138888891</v>
      </c>
      <c r="F290" s="11">
        <v>45964.612500000003</v>
      </c>
      <c r="G290" s="12">
        <v>6.7361111112404615E-2</v>
      </c>
      <c r="H290" s="2" t="s">
        <v>257</v>
      </c>
      <c r="J290" s="2" t="s">
        <v>258</v>
      </c>
      <c r="K290" s="2" t="s">
        <v>658</v>
      </c>
      <c r="L290" s="2" t="s">
        <v>2107</v>
      </c>
      <c r="M290" t="s">
        <v>2108</v>
      </c>
      <c r="N290" t="s">
        <v>357</v>
      </c>
      <c r="O290" t="s">
        <v>2090</v>
      </c>
      <c r="P290" t="s">
        <v>2591</v>
      </c>
      <c r="Q290" t="s">
        <v>2281</v>
      </c>
    </row>
    <row r="291" spans="1:17">
      <c r="A291" s="2" t="s">
        <v>2134</v>
      </c>
      <c r="B291" s="2" t="s">
        <v>585</v>
      </c>
      <c r="C291" s="2" t="s">
        <v>588</v>
      </c>
      <c r="D291" s="11">
        <v>45964.545138888891</v>
      </c>
      <c r="E291" s="11">
        <v>45964.545138888891</v>
      </c>
      <c r="F291" s="11">
        <v>45964.612500000003</v>
      </c>
      <c r="G291" s="12">
        <v>6.7361111112404615E-2</v>
      </c>
      <c r="H291" s="2" t="s">
        <v>257</v>
      </c>
      <c r="J291" s="2" t="s">
        <v>258</v>
      </c>
      <c r="K291" s="2" t="s">
        <v>658</v>
      </c>
      <c r="L291" s="2" t="s">
        <v>2107</v>
      </c>
      <c r="M291" t="s">
        <v>2108</v>
      </c>
      <c r="N291" t="s">
        <v>357</v>
      </c>
      <c r="O291" t="s">
        <v>2090</v>
      </c>
      <c r="P291" t="s">
        <v>2592</v>
      </c>
      <c r="Q291" t="s">
        <v>2281</v>
      </c>
    </row>
    <row r="292" spans="1:17">
      <c r="A292" s="2" t="s">
        <v>2134</v>
      </c>
      <c r="B292" s="2" t="s">
        <v>585</v>
      </c>
      <c r="C292" s="2" t="s">
        <v>594</v>
      </c>
      <c r="D292" s="11">
        <v>45964.545138888891</v>
      </c>
      <c r="E292" s="11">
        <v>45964.545138888891</v>
      </c>
      <c r="F292" s="11">
        <v>45964.612500000003</v>
      </c>
      <c r="G292" s="12">
        <v>6.7361111112404615E-2</v>
      </c>
      <c r="H292" s="2" t="s">
        <v>257</v>
      </c>
      <c r="J292" s="2" t="s">
        <v>258</v>
      </c>
      <c r="K292" s="2" t="s">
        <v>658</v>
      </c>
      <c r="L292" s="2" t="s">
        <v>2107</v>
      </c>
      <c r="M292" t="s">
        <v>2108</v>
      </c>
      <c r="N292" t="s">
        <v>357</v>
      </c>
      <c r="O292" t="s">
        <v>2090</v>
      </c>
      <c r="P292" t="s">
        <v>2593</v>
      </c>
      <c r="Q292" t="s">
        <v>2281</v>
      </c>
    </row>
    <row r="293" spans="1:17">
      <c r="A293" s="2" t="s">
        <v>2441</v>
      </c>
      <c r="B293" s="2" t="s">
        <v>642</v>
      </c>
      <c r="C293" s="2" t="s">
        <v>643</v>
      </c>
      <c r="D293" s="11">
        <v>45964.581250000003</v>
      </c>
      <c r="E293" s="11">
        <v>45964.581250000003</v>
      </c>
      <c r="F293" s="11">
        <v>45964.604166666664</v>
      </c>
      <c r="G293" s="12">
        <v>2.2916666661330964E-2</v>
      </c>
      <c r="H293" s="2" t="s">
        <v>257</v>
      </c>
      <c r="J293" s="2" t="s">
        <v>258</v>
      </c>
      <c r="K293" s="2" t="s">
        <v>658</v>
      </c>
      <c r="L293" s="2" t="s">
        <v>2286</v>
      </c>
      <c r="M293" t="s">
        <v>260</v>
      </c>
      <c r="N293" t="s">
        <v>357</v>
      </c>
      <c r="O293" t="s">
        <v>632</v>
      </c>
      <c r="P293" t="s">
        <v>2594</v>
      </c>
      <c r="Q293" t="s">
        <v>2281</v>
      </c>
    </row>
    <row r="294" spans="1:17">
      <c r="A294" s="2" t="s">
        <v>2441</v>
      </c>
      <c r="B294" s="2" t="s">
        <v>642</v>
      </c>
      <c r="C294" s="2" t="s">
        <v>646</v>
      </c>
      <c r="D294" s="11">
        <v>45964.581250000003</v>
      </c>
      <c r="E294" s="11">
        <v>45964.581250000003</v>
      </c>
      <c r="F294" s="11">
        <v>45964.604166666664</v>
      </c>
      <c r="G294" s="12">
        <v>2.2916666661330964E-2</v>
      </c>
      <c r="H294" s="2" t="s">
        <v>257</v>
      </c>
      <c r="J294" s="2" t="s">
        <v>258</v>
      </c>
      <c r="K294" s="2" t="s">
        <v>658</v>
      </c>
      <c r="L294" s="2" t="s">
        <v>2286</v>
      </c>
      <c r="M294" t="s">
        <v>260</v>
      </c>
      <c r="N294" t="s">
        <v>357</v>
      </c>
      <c r="O294" t="s">
        <v>632</v>
      </c>
      <c r="P294" t="s">
        <v>2595</v>
      </c>
      <c r="Q294" t="s">
        <v>2281</v>
      </c>
    </row>
    <row r="295" spans="1:17">
      <c r="A295" s="2" t="s">
        <v>2441</v>
      </c>
      <c r="B295" s="2" t="s">
        <v>642</v>
      </c>
      <c r="C295" s="2" t="s">
        <v>647</v>
      </c>
      <c r="D295" s="11">
        <v>45964.581250000003</v>
      </c>
      <c r="E295" s="11">
        <v>45964.581250000003</v>
      </c>
      <c r="F295" s="11">
        <v>45964.604166666664</v>
      </c>
      <c r="G295" s="12">
        <v>2.2916666661330964E-2</v>
      </c>
      <c r="H295" s="2" t="s">
        <v>257</v>
      </c>
      <c r="J295" s="2" t="s">
        <v>258</v>
      </c>
      <c r="K295" s="2" t="s">
        <v>658</v>
      </c>
      <c r="L295" s="2" t="s">
        <v>2286</v>
      </c>
      <c r="M295" t="s">
        <v>260</v>
      </c>
      <c r="N295" t="s">
        <v>357</v>
      </c>
      <c r="O295" t="s">
        <v>632</v>
      </c>
      <c r="P295" t="s">
        <v>2596</v>
      </c>
      <c r="Q295" t="s">
        <v>2281</v>
      </c>
    </row>
    <row r="296" spans="1:17">
      <c r="A296" s="2" t="s">
        <v>2441</v>
      </c>
      <c r="B296" s="2" t="s">
        <v>642</v>
      </c>
      <c r="C296" s="2" t="s">
        <v>648</v>
      </c>
      <c r="D296" s="11">
        <v>45964.581250000003</v>
      </c>
      <c r="E296" s="11">
        <v>45964.581250000003</v>
      </c>
      <c r="F296" s="11">
        <v>45964.604166666664</v>
      </c>
      <c r="G296" s="12">
        <v>2.2916666661330964E-2</v>
      </c>
      <c r="H296" s="2" t="s">
        <v>257</v>
      </c>
      <c r="J296" s="2" t="s">
        <v>258</v>
      </c>
      <c r="K296" s="2" t="s">
        <v>658</v>
      </c>
      <c r="L296" s="2" t="s">
        <v>2286</v>
      </c>
      <c r="M296" t="s">
        <v>260</v>
      </c>
      <c r="N296" t="s">
        <v>357</v>
      </c>
      <c r="O296" t="s">
        <v>632</v>
      </c>
      <c r="P296" t="s">
        <v>2597</v>
      </c>
      <c r="Q296" t="s">
        <v>2281</v>
      </c>
    </row>
    <row r="297" spans="1:17">
      <c r="A297" s="2" t="s">
        <v>2209</v>
      </c>
      <c r="B297" s="2" t="s">
        <v>495</v>
      </c>
      <c r="C297" s="2" t="s">
        <v>496</v>
      </c>
      <c r="D297" s="11">
        <v>45964.581250000003</v>
      </c>
      <c r="E297" s="11">
        <v>45964.581250000003</v>
      </c>
      <c r="F297" s="11">
        <v>45964.604166666664</v>
      </c>
      <c r="G297" s="12">
        <v>2.2916666661330964E-2</v>
      </c>
      <c r="H297" s="2" t="s">
        <v>257</v>
      </c>
      <c r="J297" s="2" t="s">
        <v>258</v>
      </c>
      <c r="K297" s="2" t="s">
        <v>658</v>
      </c>
      <c r="L297" s="2" t="s">
        <v>2286</v>
      </c>
      <c r="M297" t="s">
        <v>260</v>
      </c>
      <c r="N297" t="s">
        <v>357</v>
      </c>
      <c r="O297" t="s">
        <v>632</v>
      </c>
      <c r="P297" t="s">
        <v>2598</v>
      </c>
      <c r="Q297" t="s">
        <v>2281</v>
      </c>
    </row>
    <row r="298" spans="1:17">
      <c r="A298" s="2" t="s">
        <v>2209</v>
      </c>
      <c r="B298" s="2" t="s">
        <v>495</v>
      </c>
      <c r="C298" s="2" t="s">
        <v>501</v>
      </c>
      <c r="D298" s="11">
        <v>45964.581250000003</v>
      </c>
      <c r="E298" s="11">
        <v>45964.581250000003</v>
      </c>
      <c r="F298" s="11">
        <v>45964.604166666664</v>
      </c>
      <c r="G298" s="12">
        <v>2.2916666661330964E-2</v>
      </c>
      <c r="H298" s="2" t="s">
        <v>257</v>
      </c>
      <c r="J298" s="2" t="s">
        <v>258</v>
      </c>
      <c r="K298" s="2" t="s">
        <v>658</v>
      </c>
      <c r="L298" s="2" t="s">
        <v>2286</v>
      </c>
      <c r="M298" t="s">
        <v>260</v>
      </c>
      <c r="N298" t="s">
        <v>357</v>
      </c>
      <c r="O298" t="s">
        <v>632</v>
      </c>
      <c r="P298" t="s">
        <v>2599</v>
      </c>
      <c r="Q298" t="s">
        <v>2281</v>
      </c>
    </row>
    <row r="299" spans="1:17">
      <c r="A299" s="2" t="s">
        <v>2209</v>
      </c>
      <c r="B299" s="2" t="s">
        <v>495</v>
      </c>
      <c r="C299" s="2" t="s">
        <v>502</v>
      </c>
      <c r="D299" s="11">
        <v>45964.581250000003</v>
      </c>
      <c r="E299" s="11">
        <v>45964.581250000003</v>
      </c>
      <c r="F299" s="11">
        <v>45964.604166666664</v>
      </c>
      <c r="G299" s="12">
        <v>2.2916666661330964E-2</v>
      </c>
      <c r="H299" s="2" t="s">
        <v>257</v>
      </c>
      <c r="J299" s="2" t="s">
        <v>258</v>
      </c>
      <c r="K299" s="2" t="s">
        <v>658</v>
      </c>
      <c r="L299" s="2" t="s">
        <v>2286</v>
      </c>
      <c r="M299" t="s">
        <v>260</v>
      </c>
      <c r="N299" t="s">
        <v>357</v>
      </c>
      <c r="O299" t="s">
        <v>632</v>
      </c>
      <c r="P299" t="s">
        <v>2600</v>
      </c>
      <c r="Q299" t="s">
        <v>2281</v>
      </c>
    </row>
    <row r="300" spans="1:17">
      <c r="A300" s="2" t="s">
        <v>2209</v>
      </c>
      <c r="B300" s="2" t="s">
        <v>495</v>
      </c>
      <c r="C300" s="2" t="s">
        <v>503</v>
      </c>
      <c r="D300" s="11">
        <v>45964.581250000003</v>
      </c>
      <c r="E300" s="11">
        <v>45964.581250000003</v>
      </c>
      <c r="F300" s="11">
        <v>45964.604166666664</v>
      </c>
      <c r="G300" s="12">
        <v>2.2916666661330964E-2</v>
      </c>
      <c r="H300" s="2" t="s">
        <v>257</v>
      </c>
      <c r="J300" s="2" t="s">
        <v>258</v>
      </c>
      <c r="K300" s="2" t="s">
        <v>658</v>
      </c>
      <c r="L300" s="2" t="s">
        <v>2286</v>
      </c>
      <c r="M300" t="s">
        <v>260</v>
      </c>
      <c r="N300" t="s">
        <v>357</v>
      </c>
      <c r="O300" t="s">
        <v>632</v>
      </c>
      <c r="P300" t="s">
        <v>2601</v>
      </c>
      <c r="Q300" t="s">
        <v>2281</v>
      </c>
    </row>
    <row r="301" spans="1:17">
      <c r="A301" s="2" t="s">
        <v>2209</v>
      </c>
      <c r="B301" s="2" t="s">
        <v>495</v>
      </c>
      <c r="C301" s="2" t="s">
        <v>504</v>
      </c>
      <c r="D301" s="11">
        <v>45964.581250000003</v>
      </c>
      <c r="E301" s="11">
        <v>45964.581250000003</v>
      </c>
      <c r="F301" s="11">
        <v>45964.604166666664</v>
      </c>
      <c r="G301" s="12">
        <v>2.2916666661330964E-2</v>
      </c>
      <c r="H301" s="2" t="s">
        <v>257</v>
      </c>
      <c r="J301" s="2" t="s">
        <v>258</v>
      </c>
      <c r="K301" s="2" t="s">
        <v>658</v>
      </c>
      <c r="L301" s="2" t="s">
        <v>2286</v>
      </c>
      <c r="M301" t="s">
        <v>260</v>
      </c>
      <c r="N301" t="s">
        <v>357</v>
      </c>
      <c r="O301" t="s">
        <v>632</v>
      </c>
      <c r="P301" t="s">
        <v>2602</v>
      </c>
      <c r="Q301" t="s">
        <v>2281</v>
      </c>
    </row>
    <row r="302" spans="1:17">
      <c r="A302" s="2" t="s">
        <v>2209</v>
      </c>
      <c r="B302" s="2" t="s">
        <v>495</v>
      </c>
      <c r="C302" s="2" t="s">
        <v>505</v>
      </c>
      <c r="D302" s="11">
        <v>45964.581250000003</v>
      </c>
      <c r="E302" s="11">
        <v>45964.581250000003</v>
      </c>
      <c r="F302" s="11">
        <v>45964.604166666664</v>
      </c>
      <c r="G302" s="12">
        <v>2.2916666661330964E-2</v>
      </c>
      <c r="H302" s="2" t="s">
        <v>257</v>
      </c>
      <c r="J302" s="2" t="s">
        <v>258</v>
      </c>
      <c r="K302" s="2" t="s">
        <v>658</v>
      </c>
      <c r="L302" s="2" t="s">
        <v>2286</v>
      </c>
      <c r="M302" t="s">
        <v>260</v>
      </c>
      <c r="N302" t="s">
        <v>357</v>
      </c>
      <c r="O302" t="s">
        <v>632</v>
      </c>
      <c r="P302" t="s">
        <v>2603</v>
      </c>
      <c r="Q302" t="s">
        <v>2281</v>
      </c>
    </row>
    <row r="303" spans="1:17">
      <c r="A303" s="2" t="s">
        <v>2209</v>
      </c>
      <c r="B303" s="2" t="s">
        <v>495</v>
      </c>
      <c r="C303" s="2" t="s">
        <v>506</v>
      </c>
      <c r="D303" s="11">
        <v>45964.581250000003</v>
      </c>
      <c r="E303" s="11">
        <v>45964.581250000003</v>
      </c>
      <c r="F303" s="11">
        <v>45964.604166666664</v>
      </c>
      <c r="G303" s="12">
        <v>2.2916666661330964E-2</v>
      </c>
      <c r="H303" s="2" t="s">
        <v>257</v>
      </c>
      <c r="J303" s="2" t="s">
        <v>258</v>
      </c>
      <c r="K303" s="2" t="s">
        <v>658</v>
      </c>
      <c r="L303" s="2" t="s">
        <v>2286</v>
      </c>
      <c r="M303" t="s">
        <v>260</v>
      </c>
      <c r="N303" t="s">
        <v>357</v>
      </c>
      <c r="O303" t="s">
        <v>632</v>
      </c>
      <c r="P303" t="s">
        <v>2604</v>
      </c>
      <c r="Q303" t="s">
        <v>2281</v>
      </c>
    </row>
    <row r="304" spans="1:17">
      <c r="A304" s="2" t="s">
        <v>2209</v>
      </c>
      <c r="B304" s="2" t="s">
        <v>495</v>
      </c>
      <c r="C304" s="2" t="s">
        <v>507</v>
      </c>
      <c r="D304" s="11">
        <v>45964.581250000003</v>
      </c>
      <c r="E304" s="11">
        <v>45964.581250000003</v>
      </c>
      <c r="F304" s="11">
        <v>45964.604166666664</v>
      </c>
      <c r="G304" s="12">
        <v>2.2916666661330964E-2</v>
      </c>
      <c r="H304" s="2" t="s">
        <v>257</v>
      </c>
      <c r="J304" s="2" t="s">
        <v>258</v>
      </c>
      <c r="K304" s="2" t="s">
        <v>658</v>
      </c>
      <c r="L304" s="2" t="s">
        <v>2286</v>
      </c>
      <c r="M304" t="s">
        <v>260</v>
      </c>
      <c r="N304" t="s">
        <v>357</v>
      </c>
      <c r="O304" t="s">
        <v>632</v>
      </c>
      <c r="P304" t="s">
        <v>2605</v>
      </c>
      <c r="Q304" t="s">
        <v>2281</v>
      </c>
    </row>
    <row r="305" spans="1:17">
      <c r="A305" s="2" t="s">
        <v>2209</v>
      </c>
      <c r="B305" s="2" t="s">
        <v>495</v>
      </c>
      <c r="C305" s="2" t="s">
        <v>508</v>
      </c>
      <c r="D305" s="11">
        <v>45964.581250000003</v>
      </c>
      <c r="E305" s="11">
        <v>45964.581250000003</v>
      </c>
      <c r="F305" s="11">
        <v>45964.604166666664</v>
      </c>
      <c r="G305" s="12">
        <v>2.2916666661330964E-2</v>
      </c>
      <c r="H305" s="2" t="s">
        <v>257</v>
      </c>
      <c r="J305" s="2" t="s">
        <v>258</v>
      </c>
      <c r="K305" s="2" t="s">
        <v>658</v>
      </c>
      <c r="L305" s="2" t="s">
        <v>2286</v>
      </c>
      <c r="M305" t="s">
        <v>260</v>
      </c>
      <c r="N305" t="s">
        <v>357</v>
      </c>
      <c r="O305" t="s">
        <v>632</v>
      </c>
      <c r="P305" t="s">
        <v>2606</v>
      </c>
      <c r="Q305" t="s">
        <v>2281</v>
      </c>
    </row>
    <row r="306" spans="1:17">
      <c r="A306" s="2" t="s">
        <v>2209</v>
      </c>
      <c r="B306" s="2" t="s">
        <v>495</v>
      </c>
      <c r="C306" s="2" t="s">
        <v>509</v>
      </c>
      <c r="D306" s="11">
        <v>45964.581250000003</v>
      </c>
      <c r="E306" s="11">
        <v>45964.581250000003</v>
      </c>
      <c r="F306" s="11">
        <v>45964.604166666664</v>
      </c>
      <c r="G306" s="12">
        <v>2.2916666661330964E-2</v>
      </c>
      <c r="H306" s="2" t="s">
        <v>257</v>
      </c>
      <c r="J306" s="2" t="s">
        <v>258</v>
      </c>
      <c r="K306" s="2" t="s">
        <v>658</v>
      </c>
      <c r="L306" s="2" t="s">
        <v>2286</v>
      </c>
      <c r="M306" t="s">
        <v>260</v>
      </c>
      <c r="N306" t="s">
        <v>357</v>
      </c>
      <c r="O306" t="s">
        <v>632</v>
      </c>
      <c r="P306" t="s">
        <v>2607</v>
      </c>
      <c r="Q306" t="s">
        <v>2281</v>
      </c>
    </row>
    <row r="307" spans="1:17">
      <c r="A307" s="2" t="s">
        <v>2209</v>
      </c>
      <c r="B307" s="2" t="s">
        <v>495</v>
      </c>
      <c r="C307" s="2" t="s">
        <v>510</v>
      </c>
      <c r="D307" s="11">
        <v>45964.581250000003</v>
      </c>
      <c r="E307" s="11">
        <v>45964.581250000003</v>
      </c>
      <c r="F307" s="11">
        <v>45964.604166666664</v>
      </c>
      <c r="G307" s="12">
        <v>2.2916666661330964E-2</v>
      </c>
      <c r="H307" s="2" t="s">
        <v>257</v>
      </c>
      <c r="J307" s="2" t="s">
        <v>258</v>
      </c>
      <c r="K307" s="2" t="s">
        <v>658</v>
      </c>
      <c r="L307" s="2" t="s">
        <v>2286</v>
      </c>
      <c r="M307" t="s">
        <v>260</v>
      </c>
      <c r="N307" t="s">
        <v>357</v>
      </c>
      <c r="O307" t="s">
        <v>632</v>
      </c>
      <c r="P307" t="s">
        <v>2608</v>
      </c>
      <c r="Q307" t="s">
        <v>2281</v>
      </c>
    </row>
    <row r="308" spans="1:17">
      <c r="A308" s="2" t="s">
        <v>2209</v>
      </c>
      <c r="B308" s="2" t="s">
        <v>495</v>
      </c>
      <c r="C308" s="2" t="s">
        <v>511</v>
      </c>
      <c r="D308" s="11">
        <v>45964.581250000003</v>
      </c>
      <c r="E308" s="11">
        <v>45964.581250000003</v>
      </c>
      <c r="F308" s="11">
        <v>45964.604166666664</v>
      </c>
      <c r="G308" s="12">
        <v>2.2916666661330964E-2</v>
      </c>
      <c r="H308" s="2" t="s">
        <v>257</v>
      </c>
      <c r="J308" s="2" t="s">
        <v>258</v>
      </c>
      <c r="K308" s="2" t="s">
        <v>658</v>
      </c>
      <c r="L308" s="2" t="s">
        <v>2286</v>
      </c>
      <c r="M308" t="s">
        <v>260</v>
      </c>
      <c r="N308" t="s">
        <v>357</v>
      </c>
      <c r="O308" t="s">
        <v>632</v>
      </c>
      <c r="P308" t="s">
        <v>2609</v>
      </c>
      <c r="Q308" t="s">
        <v>2281</v>
      </c>
    </row>
    <row r="309" spans="1:17">
      <c r="A309" s="2" t="s">
        <v>2209</v>
      </c>
      <c r="B309" s="2" t="s">
        <v>495</v>
      </c>
      <c r="C309" s="2" t="s">
        <v>512</v>
      </c>
      <c r="D309" s="11">
        <v>45964.581250000003</v>
      </c>
      <c r="E309" s="11">
        <v>45964.581250000003</v>
      </c>
      <c r="F309" s="11">
        <v>45964.604166666664</v>
      </c>
      <c r="G309" s="12">
        <v>2.2916666661330964E-2</v>
      </c>
      <c r="H309" s="2" t="s">
        <v>257</v>
      </c>
      <c r="J309" s="2" t="s">
        <v>258</v>
      </c>
      <c r="K309" s="2" t="s">
        <v>658</v>
      </c>
      <c r="L309" s="2" t="s">
        <v>2286</v>
      </c>
      <c r="M309" t="s">
        <v>260</v>
      </c>
      <c r="N309" t="s">
        <v>357</v>
      </c>
      <c r="O309" t="s">
        <v>632</v>
      </c>
      <c r="P309" t="s">
        <v>2610</v>
      </c>
      <c r="Q309" t="s">
        <v>2281</v>
      </c>
    </row>
    <row r="310" spans="1:17">
      <c r="A310" s="2" t="s">
        <v>2209</v>
      </c>
      <c r="B310" s="2" t="s">
        <v>495</v>
      </c>
      <c r="C310" s="2" t="s">
        <v>513</v>
      </c>
      <c r="D310" s="11">
        <v>45964.581250000003</v>
      </c>
      <c r="E310" s="11">
        <v>45964.581250000003</v>
      </c>
      <c r="F310" s="11">
        <v>45964.604166666664</v>
      </c>
      <c r="G310" s="12">
        <v>2.2916666661330964E-2</v>
      </c>
      <c r="H310" s="2" t="s">
        <v>257</v>
      </c>
      <c r="J310" s="2" t="s">
        <v>258</v>
      </c>
      <c r="K310" s="2" t="s">
        <v>658</v>
      </c>
      <c r="L310" s="2" t="s">
        <v>2286</v>
      </c>
      <c r="M310" t="s">
        <v>260</v>
      </c>
      <c r="N310" t="s">
        <v>357</v>
      </c>
      <c r="O310" t="s">
        <v>632</v>
      </c>
      <c r="P310" t="s">
        <v>2611</v>
      </c>
      <c r="Q310" t="s">
        <v>2281</v>
      </c>
    </row>
    <row r="311" spans="1:17">
      <c r="A311" s="2" t="s">
        <v>2209</v>
      </c>
      <c r="B311" s="2" t="s">
        <v>495</v>
      </c>
      <c r="C311" s="2" t="s">
        <v>514</v>
      </c>
      <c r="D311" s="11">
        <v>45964.581250000003</v>
      </c>
      <c r="E311" s="11">
        <v>45964.581250000003</v>
      </c>
      <c r="F311" s="11">
        <v>45964.604166666664</v>
      </c>
      <c r="G311" s="12">
        <v>2.2916666661330964E-2</v>
      </c>
      <c r="H311" s="2" t="s">
        <v>257</v>
      </c>
      <c r="J311" s="2" t="s">
        <v>258</v>
      </c>
      <c r="K311" s="2" t="s">
        <v>658</v>
      </c>
      <c r="L311" s="2" t="s">
        <v>2286</v>
      </c>
      <c r="M311" t="s">
        <v>260</v>
      </c>
      <c r="N311" t="s">
        <v>357</v>
      </c>
      <c r="O311" t="s">
        <v>632</v>
      </c>
      <c r="P311" t="s">
        <v>2612</v>
      </c>
      <c r="Q311" t="s">
        <v>2281</v>
      </c>
    </row>
    <row r="312" spans="1:17">
      <c r="A312" s="2" t="s">
        <v>2209</v>
      </c>
      <c r="B312" s="2" t="s">
        <v>495</v>
      </c>
      <c r="C312" s="2" t="s">
        <v>515</v>
      </c>
      <c r="D312" s="11">
        <v>45964.581250000003</v>
      </c>
      <c r="E312" s="11">
        <v>45964.581250000003</v>
      </c>
      <c r="F312" s="11">
        <v>45964.604166666664</v>
      </c>
      <c r="G312" s="12">
        <v>2.2916666661330964E-2</v>
      </c>
      <c r="H312" s="2" t="s">
        <v>257</v>
      </c>
      <c r="J312" s="2" t="s">
        <v>258</v>
      </c>
      <c r="K312" s="2" t="s">
        <v>658</v>
      </c>
      <c r="L312" s="2" t="s">
        <v>2286</v>
      </c>
      <c r="M312" t="s">
        <v>260</v>
      </c>
      <c r="N312" t="s">
        <v>357</v>
      </c>
      <c r="O312" t="s">
        <v>632</v>
      </c>
      <c r="P312" t="s">
        <v>2613</v>
      </c>
      <c r="Q312" t="s">
        <v>2281</v>
      </c>
    </row>
    <row r="313" spans="1:17">
      <c r="A313" s="2" t="s">
        <v>2209</v>
      </c>
      <c r="B313" s="2" t="s">
        <v>495</v>
      </c>
      <c r="C313" s="2" t="s">
        <v>516</v>
      </c>
      <c r="D313" s="11">
        <v>45964.581250000003</v>
      </c>
      <c r="E313" s="11">
        <v>45964.581250000003</v>
      </c>
      <c r="F313" s="11">
        <v>45964.604166666664</v>
      </c>
      <c r="G313" s="12">
        <v>2.2916666661330964E-2</v>
      </c>
      <c r="H313" s="2" t="s">
        <v>257</v>
      </c>
      <c r="J313" s="2" t="s">
        <v>258</v>
      </c>
      <c r="K313" s="2" t="s">
        <v>658</v>
      </c>
      <c r="L313" s="2" t="s">
        <v>2286</v>
      </c>
      <c r="M313" t="s">
        <v>260</v>
      </c>
      <c r="N313" t="s">
        <v>357</v>
      </c>
      <c r="O313" t="s">
        <v>632</v>
      </c>
      <c r="P313" t="s">
        <v>2614</v>
      </c>
      <c r="Q313" t="s">
        <v>2281</v>
      </c>
    </row>
    <row r="314" spans="1:17">
      <c r="A314" s="2" t="s">
        <v>2195</v>
      </c>
      <c r="B314" s="2" t="s">
        <v>543</v>
      </c>
      <c r="C314" s="2" t="s">
        <v>2535</v>
      </c>
      <c r="D314" s="11">
        <v>45965.26971064815</v>
      </c>
      <c r="E314" s="11">
        <v>45965.26971064815</v>
      </c>
      <c r="F314" s="11">
        <v>45965.276643518519</v>
      </c>
      <c r="G314" s="12">
        <v>6.9328703684732318E-3</v>
      </c>
      <c r="H314" s="2" t="s">
        <v>257</v>
      </c>
      <c r="J314" s="2" t="s">
        <v>371</v>
      </c>
      <c r="K314" s="2" t="s">
        <v>653</v>
      </c>
      <c r="L314" s="2" t="s">
        <v>861</v>
      </c>
      <c r="M314" t="s">
        <v>252</v>
      </c>
      <c r="N314" t="s">
        <v>631</v>
      </c>
      <c r="P314" t="s">
        <v>2615</v>
      </c>
      <c r="Q314" t="s">
        <v>2537</v>
      </c>
    </row>
    <row r="315" spans="1:17">
      <c r="A315" s="2" t="s">
        <v>2195</v>
      </c>
      <c r="B315" s="2" t="s">
        <v>543</v>
      </c>
      <c r="C315" s="2" t="s">
        <v>2616</v>
      </c>
      <c r="D315" s="11">
        <v>45965.269942129627</v>
      </c>
      <c r="E315" s="11">
        <v>45965.269942129627</v>
      </c>
      <c r="F315" s="11">
        <v>45965.276886574073</v>
      </c>
      <c r="G315" s="12">
        <v>6.9444444452528842E-3</v>
      </c>
      <c r="H315" s="2" t="s">
        <v>257</v>
      </c>
      <c r="J315" s="2" t="s">
        <v>371</v>
      </c>
      <c r="K315" s="2" t="s">
        <v>653</v>
      </c>
      <c r="L315" s="2" t="s">
        <v>861</v>
      </c>
      <c r="M315" t="s">
        <v>252</v>
      </c>
      <c r="N315" t="s">
        <v>631</v>
      </c>
      <c r="P315" t="s">
        <v>2617</v>
      </c>
      <c r="Q315" t="s">
        <v>2537</v>
      </c>
    </row>
    <row r="316" spans="1:17">
      <c r="A316" s="2" t="s">
        <v>2195</v>
      </c>
      <c r="B316" s="2" t="s">
        <v>543</v>
      </c>
      <c r="C316" s="2" t="s">
        <v>2618</v>
      </c>
      <c r="D316" s="11">
        <v>45965.27002314815</v>
      </c>
      <c r="E316" s="11">
        <v>45965.27002314815</v>
      </c>
      <c r="F316" s="11">
        <v>45965.276990740742</v>
      </c>
      <c r="G316" s="12">
        <v>6.9675925915362313E-3</v>
      </c>
      <c r="H316" s="2" t="s">
        <v>257</v>
      </c>
      <c r="J316" s="2" t="s">
        <v>371</v>
      </c>
      <c r="K316" s="2" t="s">
        <v>653</v>
      </c>
      <c r="L316" s="2" t="s">
        <v>861</v>
      </c>
      <c r="M316" t="s">
        <v>252</v>
      </c>
      <c r="N316" t="s">
        <v>631</v>
      </c>
      <c r="P316" t="s">
        <v>2619</v>
      </c>
      <c r="Q316" t="s">
        <v>2537</v>
      </c>
    </row>
    <row r="317" spans="1:17">
      <c r="A317" s="2" t="s">
        <v>2132</v>
      </c>
      <c r="B317" s="2" t="s">
        <v>456</v>
      </c>
      <c r="C317" s="2" t="s">
        <v>457</v>
      </c>
      <c r="D317" s="11">
        <v>45965.270833333336</v>
      </c>
      <c r="E317" s="11">
        <v>45965.270833333336</v>
      </c>
      <c r="F317" s="11">
        <v>45965.340277777781</v>
      </c>
      <c r="G317" s="12">
        <v>7.9861111109494232E-2</v>
      </c>
      <c r="H317" s="2" t="s">
        <v>257</v>
      </c>
      <c r="J317" s="2" t="s">
        <v>258</v>
      </c>
      <c r="K317" s="2" t="s">
        <v>658</v>
      </c>
      <c r="L317" s="2" t="s">
        <v>2062</v>
      </c>
      <c r="M317" t="s">
        <v>260</v>
      </c>
      <c r="N317" t="s">
        <v>357</v>
      </c>
      <c r="O317" t="s">
        <v>632</v>
      </c>
      <c r="P317" t="s">
        <v>2620</v>
      </c>
      <c r="Q317" t="s">
        <v>2281</v>
      </c>
    </row>
    <row r="318" spans="1:17">
      <c r="A318" s="2" t="s">
        <v>2132</v>
      </c>
      <c r="B318" s="2" t="s">
        <v>456</v>
      </c>
      <c r="C318" s="2" t="s">
        <v>459</v>
      </c>
      <c r="D318" s="11">
        <v>45965.270833333336</v>
      </c>
      <c r="E318" s="11">
        <v>45965.270833333336</v>
      </c>
      <c r="F318" s="11">
        <v>45965.340277777781</v>
      </c>
      <c r="G318" s="12">
        <v>7.9861111109494232E-2</v>
      </c>
      <c r="H318" s="2" t="s">
        <v>257</v>
      </c>
      <c r="J318" s="2" t="s">
        <v>258</v>
      </c>
      <c r="K318" s="2" t="s">
        <v>658</v>
      </c>
      <c r="L318" s="2" t="s">
        <v>2062</v>
      </c>
      <c r="M318" t="s">
        <v>260</v>
      </c>
      <c r="N318" t="s">
        <v>357</v>
      </c>
      <c r="O318" t="s">
        <v>632</v>
      </c>
      <c r="P318" t="s">
        <v>2621</v>
      </c>
      <c r="Q318" t="s">
        <v>2281</v>
      </c>
    </row>
    <row r="319" spans="1:17">
      <c r="A319" s="2" t="s">
        <v>2132</v>
      </c>
      <c r="B319" s="2" t="s">
        <v>456</v>
      </c>
      <c r="C319" s="2" t="s">
        <v>460</v>
      </c>
      <c r="D319" s="11">
        <v>45965.270833333336</v>
      </c>
      <c r="E319" s="11">
        <v>45965.270833333336</v>
      </c>
      <c r="F319" s="11">
        <v>45965.340277777781</v>
      </c>
      <c r="G319" s="12">
        <v>7.9861111109494232E-2</v>
      </c>
      <c r="H319" s="2" t="s">
        <v>257</v>
      </c>
      <c r="J319" s="2" t="s">
        <v>258</v>
      </c>
      <c r="K319" s="2" t="s">
        <v>658</v>
      </c>
      <c r="L319" s="2" t="s">
        <v>2062</v>
      </c>
      <c r="M319" t="s">
        <v>260</v>
      </c>
      <c r="N319" t="s">
        <v>357</v>
      </c>
      <c r="O319" t="s">
        <v>632</v>
      </c>
      <c r="P319" t="s">
        <v>2622</v>
      </c>
      <c r="Q319" t="s">
        <v>2281</v>
      </c>
    </row>
    <row r="320" spans="1:17">
      <c r="A320" s="2" t="s">
        <v>2132</v>
      </c>
      <c r="B320" s="2" t="s">
        <v>456</v>
      </c>
      <c r="C320" s="2" t="s">
        <v>461</v>
      </c>
      <c r="D320" s="11">
        <v>45965.270833333336</v>
      </c>
      <c r="E320" s="11">
        <v>45965.270833333336</v>
      </c>
      <c r="F320" s="11">
        <v>45965.340277777781</v>
      </c>
      <c r="G320" s="12">
        <v>7.9861111109494232E-2</v>
      </c>
      <c r="H320" s="2" t="s">
        <v>257</v>
      </c>
      <c r="J320" s="2" t="s">
        <v>258</v>
      </c>
      <c r="K320" s="2" t="s">
        <v>658</v>
      </c>
      <c r="L320" s="2" t="s">
        <v>2062</v>
      </c>
      <c r="M320" t="s">
        <v>260</v>
      </c>
      <c r="N320" t="s">
        <v>357</v>
      </c>
      <c r="O320" t="s">
        <v>632</v>
      </c>
      <c r="P320" t="s">
        <v>2623</v>
      </c>
      <c r="Q320" t="s">
        <v>2281</v>
      </c>
    </row>
    <row r="321" spans="1:17">
      <c r="A321" s="2" t="s">
        <v>2132</v>
      </c>
      <c r="B321" s="2" t="s">
        <v>456</v>
      </c>
      <c r="C321" s="2" t="s">
        <v>462</v>
      </c>
      <c r="D321" s="11">
        <v>45965.270833333336</v>
      </c>
      <c r="E321" s="11">
        <v>45965.270833333336</v>
      </c>
      <c r="F321" s="11">
        <v>45965.340277777781</v>
      </c>
      <c r="G321" s="12">
        <v>7.9861111109494232E-2</v>
      </c>
      <c r="H321" s="2" t="s">
        <v>257</v>
      </c>
      <c r="J321" s="2" t="s">
        <v>258</v>
      </c>
      <c r="K321" s="2" t="s">
        <v>658</v>
      </c>
      <c r="L321" s="2" t="s">
        <v>2062</v>
      </c>
      <c r="M321" t="s">
        <v>260</v>
      </c>
      <c r="N321" t="s">
        <v>357</v>
      </c>
      <c r="O321" t="s">
        <v>632</v>
      </c>
      <c r="P321" t="s">
        <v>2624</v>
      </c>
      <c r="Q321" t="s">
        <v>2281</v>
      </c>
    </row>
    <row r="322" spans="1:17">
      <c r="A322" s="2" t="s">
        <v>2132</v>
      </c>
      <c r="B322" s="2" t="s">
        <v>456</v>
      </c>
      <c r="C322" s="2" t="s">
        <v>463</v>
      </c>
      <c r="D322" s="11">
        <v>45965.270833333336</v>
      </c>
      <c r="E322" s="11">
        <v>45965.270833333336</v>
      </c>
      <c r="F322" s="11">
        <v>45965.340277777781</v>
      </c>
      <c r="G322" s="12">
        <v>7.9861111109494232E-2</v>
      </c>
      <c r="H322" s="2" t="s">
        <v>257</v>
      </c>
      <c r="J322" s="2" t="s">
        <v>258</v>
      </c>
      <c r="K322" s="2" t="s">
        <v>658</v>
      </c>
      <c r="L322" s="2" t="s">
        <v>2062</v>
      </c>
      <c r="M322" t="s">
        <v>260</v>
      </c>
      <c r="N322" t="s">
        <v>357</v>
      </c>
      <c r="O322" t="s">
        <v>632</v>
      </c>
      <c r="P322" t="s">
        <v>2625</v>
      </c>
      <c r="Q322" t="s">
        <v>2281</v>
      </c>
    </row>
    <row r="323" spans="1:17">
      <c r="A323" s="2" t="s">
        <v>2132</v>
      </c>
      <c r="B323" s="2" t="s">
        <v>456</v>
      </c>
      <c r="C323" s="2" t="s">
        <v>464</v>
      </c>
      <c r="D323" s="11">
        <v>45965.270833333336</v>
      </c>
      <c r="E323" s="11">
        <v>45965.270833333336</v>
      </c>
      <c r="F323" s="11">
        <v>45965.340277777781</v>
      </c>
      <c r="G323" s="12">
        <v>7.9861111109494232E-2</v>
      </c>
      <c r="H323" s="2" t="s">
        <v>257</v>
      </c>
      <c r="J323" s="2" t="s">
        <v>258</v>
      </c>
      <c r="K323" s="2" t="s">
        <v>658</v>
      </c>
      <c r="L323" s="2" t="s">
        <v>2062</v>
      </c>
      <c r="M323" t="s">
        <v>260</v>
      </c>
      <c r="N323" t="s">
        <v>357</v>
      </c>
      <c r="O323" t="s">
        <v>632</v>
      </c>
      <c r="P323" t="s">
        <v>2626</v>
      </c>
      <c r="Q323" t="s">
        <v>2281</v>
      </c>
    </row>
    <row r="324" spans="1:17">
      <c r="A324" s="2" t="s">
        <v>2132</v>
      </c>
      <c r="B324" s="2" t="s">
        <v>456</v>
      </c>
      <c r="C324" s="2" t="s">
        <v>465</v>
      </c>
      <c r="D324" s="11">
        <v>45965.270833333336</v>
      </c>
      <c r="E324" s="11">
        <v>45965.270833333336</v>
      </c>
      <c r="F324" s="11">
        <v>45965.340277777781</v>
      </c>
      <c r="G324" s="12">
        <v>7.9861111109494232E-2</v>
      </c>
      <c r="H324" s="2" t="s">
        <v>257</v>
      </c>
      <c r="J324" s="2" t="s">
        <v>258</v>
      </c>
      <c r="K324" s="2" t="s">
        <v>658</v>
      </c>
      <c r="L324" s="2" t="s">
        <v>2062</v>
      </c>
      <c r="M324" t="s">
        <v>260</v>
      </c>
      <c r="N324" t="s">
        <v>357</v>
      </c>
      <c r="O324" t="s">
        <v>632</v>
      </c>
      <c r="P324" t="s">
        <v>2627</v>
      </c>
      <c r="Q324" t="s">
        <v>2281</v>
      </c>
    </row>
    <row r="325" spans="1:17">
      <c r="A325" s="2" t="s">
        <v>2133</v>
      </c>
      <c r="B325" s="2" t="s">
        <v>456</v>
      </c>
      <c r="C325" s="2" t="s">
        <v>466</v>
      </c>
      <c r="D325" s="11">
        <v>45965.270833333336</v>
      </c>
      <c r="E325" s="11">
        <v>45965.270833333336</v>
      </c>
      <c r="F325" s="11">
        <v>45965.340277777781</v>
      </c>
      <c r="G325" s="12">
        <v>7.9861111109494232E-2</v>
      </c>
      <c r="H325" s="2" t="s">
        <v>257</v>
      </c>
      <c r="J325" s="2" t="s">
        <v>258</v>
      </c>
      <c r="K325" s="2" t="s">
        <v>658</v>
      </c>
      <c r="L325" s="2" t="s">
        <v>2062</v>
      </c>
      <c r="M325" t="s">
        <v>260</v>
      </c>
      <c r="N325" t="s">
        <v>357</v>
      </c>
      <c r="O325" t="s">
        <v>632</v>
      </c>
      <c r="P325" t="s">
        <v>2628</v>
      </c>
      <c r="Q325" t="s">
        <v>2281</v>
      </c>
    </row>
    <row r="326" spans="1:17">
      <c r="A326" s="2" t="s">
        <v>2133</v>
      </c>
      <c r="B326" s="2" t="s">
        <v>456</v>
      </c>
      <c r="C326" s="2" t="s">
        <v>467</v>
      </c>
      <c r="D326" s="11">
        <v>45965.270833333336</v>
      </c>
      <c r="E326" s="11">
        <v>45965.270833333336</v>
      </c>
      <c r="F326" s="11">
        <v>45965.340277777781</v>
      </c>
      <c r="G326" s="12">
        <v>7.9861111109494232E-2</v>
      </c>
      <c r="H326" s="2" t="s">
        <v>257</v>
      </c>
      <c r="J326" s="2" t="s">
        <v>258</v>
      </c>
      <c r="K326" s="2" t="s">
        <v>658</v>
      </c>
      <c r="L326" s="2" t="s">
        <v>2062</v>
      </c>
      <c r="M326" t="s">
        <v>260</v>
      </c>
      <c r="N326" t="s">
        <v>357</v>
      </c>
      <c r="O326" t="s">
        <v>632</v>
      </c>
      <c r="P326" t="s">
        <v>2629</v>
      </c>
      <c r="Q326" t="s">
        <v>2281</v>
      </c>
    </row>
    <row r="327" spans="1:17">
      <c r="A327" s="2" t="s">
        <v>2133</v>
      </c>
      <c r="B327" s="2" t="s">
        <v>456</v>
      </c>
      <c r="C327" s="2" t="s">
        <v>468</v>
      </c>
      <c r="D327" s="11">
        <v>45965.270833333336</v>
      </c>
      <c r="E327" s="11">
        <v>45965.270833333336</v>
      </c>
      <c r="F327" s="11">
        <v>45965.340277777781</v>
      </c>
      <c r="G327" s="12">
        <v>7.9861111109494232E-2</v>
      </c>
      <c r="H327" s="2" t="s">
        <v>257</v>
      </c>
      <c r="J327" s="2" t="s">
        <v>258</v>
      </c>
      <c r="K327" s="2" t="s">
        <v>658</v>
      </c>
      <c r="L327" s="2" t="s">
        <v>2062</v>
      </c>
      <c r="M327" t="s">
        <v>260</v>
      </c>
      <c r="N327" t="s">
        <v>357</v>
      </c>
      <c r="O327" t="s">
        <v>632</v>
      </c>
      <c r="P327" t="s">
        <v>2630</v>
      </c>
      <c r="Q327" t="s">
        <v>2281</v>
      </c>
    </row>
    <row r="328" spans="1:17">
      <c r="A328" s="2" t="s">
        <v>2133</v>
      </c>
      <c r="B328" s="2" t="s">
        <v>456</v>
      </c>
      <c r="C328" s="2" t="s">
        <v>469</v>
      </c>
      <c r="D328" s="11">
        <v>45965.270833333336</v>
      </c>
      <c r="E328" s="11">
        <v>45965.270833333336</v>
      </c>
      <c r="F328" s="11">
        <v>45965.340277777781</v>
      </c>
      <c r="G328" s="12">
        <v>7.9861111109494232E-2</v>
      </c>
      <c r="H328" s="2" t="s">
        <v>257</v>
      </c>
      <c r="J328" s="2" t="s">
        <v>258</v>
      </c>
      <c r="K328" s="2" t="s">
        <v>658</v>
      </c>
      <c r="L328" s="2" t="s">
        <v>2062</v>
      </c>
      <c r="M328" t="s">
        <v>260</v>
      </c>
      <c r="N328" t="s">
        <v>357</v>
      </c>
      <c r="O328" t="s">
        <v>632</v>
      </c>
      <c r="P328" t="s">
        <v>2631</v>
      </c>
      <c r="Q328" t="s">
        <v>2281</v>
      </c>
    </row>
    <row r="329" spans="1:17">
      <c r="A329" s="2" t="s">
        <v>2133</v>
      </c>
      <c r="B329" s="2" t="s">
        <v>456</v>
      </c>
      <c r="C329" s="2" t="s">
        <v>470</v>
      </c>
      <c r="D329" s="11">
        <v>45965.270833333336</v>
      </c>
      <c r="E329" s="11">
        <v>45965.270833333336</v>
      </c>
      <c r="F329" s="11">
        <v>45965.340277777781</v>
      </c>
      <c r="G329" s="12">
        <v>7.9861111109494232E-2</v>
      </c>
      <c r="H329" s="2" t="s">
        <v>257</v>
      </c>
      <c r="J329" s="2" t="s">
        <v>258</v>
      </c>
      <c r="K329" s="2" t="s">
        <v>658</v>
      </c>
      <c r="L329" s="2" t="s">
        <v>2062</v>
      </c>
      <c r="M329" t="s">
        <v>260</v>
      </c>
      <c r="N329" t="s">
        <v>357</v>
      </c>
      <c r="O329" t="s">
        <v>632</v>
      </c>
      <c r="P329" t="s">
        <v>2632</v>
      </c>
      <c r="Q329" t="s">
        <v>2281</v>
      </c>
    </row>
    <row r="330" spans="1:17">
      <c r="A330" s="2" t="s">
        <v>2133</v>
      </c>
      <c r="B330" s="2" t="s">
        <v>456</v>
      </c>
      <c r="C330" s="2" t="s">
        <v>471</v>
      </c>
      <c r="D330" s="11">
        <v>45965.270833333336</v>
      </c>
      <c r="E330" s="11">
        <v>45965.270833333336</v>
      </c>
      <c r="F330" s="11">
        <v>45965.340277777781</v>
      </c>
      <c r="G330" s="12">
        <v>7.9861111109494232E-2</v>
      </c>
      <c r="H330" s="2" t="s">
        <v>257</v>
      </c>
      <c r="J330" s="2" t="s">
        <v>258</v>
      </c>
      <c r="K330" s="2" t="s">
        <v>658</v>
      </c>
      <c r="L330" s="2" t="s">
        <v>2062</v>
      </c>
      <c r="M330" t="s">
        <v>260</v>
      </c>
      <c r="N330" t="s">
        <v>357</v>
      </c>
      <c r="O330" t="s">
        <v>632</v>
      </c>
      <c r="P330" t="s">
        <v>2633</v>
      </c>
      <c r="Q330" t="s">
        <v>2281</v>
      </c>
    </row>
    <row r="331" spans="1:17">
      <c r="A331" s="2" t="s">
        <v>2133</v>
      </c>
      <c r="B331" s="2" t="s">
        <v>456</v>
      </c>
      <c r="C331" s="2" t="s">
        <v>472</v>
      </c>
      <c r="D331" s="11">
        <v>45965.270833333336</v>
      </c>
      <c r="E331" s="11">
        <v>45965.270833333336</v>
      </c>
      <c r="F331" s="11">
        <v>45965.340277777781</v>
      </c>
      <c r="G331" s="12">
        <v>7.9861111109494232E-2</v>
      </c>
      <c r="H331" s="2" t="s">
        <v>257</v>
      </c>
      <c r="J331" s="2" t="s">
        <v>258</v>
      </c>
      <c r="K331" s="2" t="s">
        <v>658</v>
      </c>
      <c r="L331" s="2" t="s">
        <v>2062</v>
      </c>
      <c r="M331" t="s">
        <v>260</v>
      </c>
      <c r="N331" t="s">
        <v>357</v>
      </c>
      <c r="O331" t="s">
        <v>632</v>
      </c>
      <c r="P331" t="s">
        <v>2634</v>
      </c>
      <c r="Q331" t="s">
        <v>2281</v>
      </c>
    </row>
    <row r="332" spans="1:17">
      <c r="A332" s="2" t="s">
        <v>2146</v>
      </c>
      <c r="B332" s="2" t="s">
        <v>456</v>
      </c>
      <c r="C332" s="2" t="s">
        <v>473</v>
      </c>
      <c r="D332" s="11">
        <v>45965.270833333336</v>
      </c>
      <c r="E332" s="11">
        <v>45965.270833333336</v>
      </c>
      <c r="F332" s="11">
        <v>45965.340277777781</v>
      </c>
      <c r="G332" s="12">
        <v>7.9861111109494232E-2</v>
      </c>
      <c r="H332" s="2" t="s">
        <v>257</v>
      </c>
      <c r="J332" s="2" t="s">
        <v>258</v>
      </c>
      <c r="K332" s="2" t="s">
        <v>658</v>
      </c>
      <c r="L332" s="2" t="s">
        <v>2062</v>
      </c>
      <c r="M332" t="s">
        <v>260</v>
      </c>
      <c r="N332" t="s">
        <v>357</v>
      </c>
      <c r="O332" t="s">
        <v>632</v>
      </c>
      <c r="P332" t="s">
        <v>2635</v>
      </c>
      <c r="Q332" t="s">
        <v>2281</v>
      </c>
    </row>
    <row r="333" spans="1:17">
      <c r="A333" s="2" t="s">
        <v>2146</v>
      </c>
      <c r="B333" s="2" t="s">
        <v>456</v>
      </c>
      <c r="C333" s="2" t="s">
        <v>474</v>
      </c>
      <c r="D333" s="11">
        <v>45965.270833333336</v>
      </c>
      <c r="E333" s="11">
        <v>45965.270833333336</v>
      </c>
      <c r="F333" s="11">
        <v>45965.340277777781</v>
      </c>
      <c r="G333" s="12">
        <v>7.9861111109494232E-2</v>
      </c>
      <c r="H333" s="2" t="s">
        <v>257</v>
      </c>
      <c r="J333" s="2" t="s">
        <v>258</v>
      </c>
      <c r="K333" s="2" t="s">
        <v>658</v>
      </c>
      <c r="L333" s="2" t="s">
        <v>2062</v>
      </c>
      <c r="M333" t="s">
        <v>260</v>
      </c>
      <c r="N333" t="s">
        <v>357</v>
      </c>
      <c r="O333" t="s">
        <v>632</v>
      </c>
      <c r="P333" t="s">
        <v>2636</v>
      </c>
      <c r="Q333" t="s">
        <v>2281</v>
      </c>
    </row>
    <row r="334" spans="1:17">
      <c r="A334" s="2" t="s">
        <v>2146</v>
      </c>
      <c r="B334" s="2" t="s">
        <v>456</v>
      </c>
      <c r="C334" s="2" t="s">
        <v>475</v>
      </c>
      <c r="D334" s="11">
        <v>45965.270833333336</v>
      </c>
      <c r="E334" s="11">
        <v>45965.270833333336</v>
      </c>
      <c r="F334" s="11">
        <v>45965.340277777781</v>
      </c>
      <c r="G334" s="12">
        <v>7.9861111109494232E-2</v>
      </c>
      <c r="H334" s="2" t="s">
        <v>257</v>
      </c>
      <c r="J334" s="2" t="s">
        <v>258</v>
      </c>
      <c r="K334" s="2" t="s">
        <v>658</v>
      </c>
      <c r="L334" s="2" t="s">
        <v>2062</v>
      </c>
      <c r="M334" t="s">
        <v>260</v>
      </c>
      <c r="N334" t="s">
        <v>357</v>
      </c>
      <c r="O334" t="s">
        <v>632</v>
      </c>
      <c r="P334" t="s">
        <v>2637</v>
      </c>
      <c r="Q334" t="s">
        <v>2281</v>
      </c>
    </row>
    <row r="335" spans="1:17">
      <c r="A335" s="2" t="s">
        <v>2146</v>
      </c>
      <c r="B335" s="2" t="s">
        <v>456</v>
      </c>
      <c r="C335" s="2" t="s">
        <v>476</v>
      </c>
      <c r="D335" s="11">
        <v>45965.270833333336</v>
      </c>
      <c r="E335" s="11">
        <v>45965.270833333336</v>
      </c>
      <c r="F335" s="11">
        <v>45965.340277777781</v>
      </c>
      <c r="G335" s="12">
        <v>7.9861111109494232E-2</v>
      </c>
      <c r="H335" s="2" t="s">
        <v>257</v>
      </c>
      <c r="J335" s="2" t="s">
        <v>258</v>
      </c>
      <c r="K335" s="2" t="s">
        <v>658</v>
      </c>
      <c r="L335" s="2" t="s">
        <v>2062</v>
      </c>
      <c r="M335" t="s">
        <v>260</v>
      </c>
      <c r="N335" t="s">
        <v>357</v>
      </c>
      <c r="O335" t="s">
        <v>632</v>
      </c>
      <c r="P335" t="s">
        <v>2638</v>
      </c>
      <c r="Q335" t="s">
        <v>2281</v>
      </c>
    </row>
    <row r="336" spans="1:17">
      <c r="A336" s="2" t="s">
        <v>2146</v>
      </c>
      <c r="B336" s="2" t="s">
        <v>456</v>
      </c>
      <c r="C336" s="2" t="s">
        <v>477</v>
      </c>
      <c r="D336" s="11">
        <v>45965.270833333336</v>
      </c>
      <c r="E336" s="11">
        <v>45965.270833333336</v>
      </c>
      <c r="F336" s="11">
        <v>45965.340277777781</v>
      </c>
      <c r="G336" s="12">
        <v>7.9861111109494232E-2</v>
      </c>
      <c r="H336" s="2" t="s">
        <v>257</v>
      </c>
      <c r="J336" s="2" t="s">
        <v>258</v>
      </c>
      <c r="K336" s="2" t="s">
        <v>658</v>
      </c>
      <c r="L336" s="2" t="s">
        <v>2062</v>
      </c>
      <c r="M336" t="s">
        <v>260</v>
      </c>
      <c r="N336" t="s">
        <v>357</v>
      </c>
      <c r="O336" t="s">
        <v>632</v>
      </c>
      <c r="P336" t="s">
        <v>2639</v>
      </c>
      <c r="Q336" t="s">
        <v>2281</v>
      </c>
    </row>
    <row r="337" spans="1:17">
      <c r="A337" s="2" t="s">
        <v>2147</v>
      </c>
      <c r="B337" s="2" t="s">
        <v>456</v>
      </c>
      <c r="C337" s="2" t="s">
        <v>478</v>
      </c>
      <c r="D337" s="11">
        <v>45965.270833333336</v>
      </c>
      <c r="E337" s="11">
        <v>45965.270833333336</v>
      </c>
      <c r="F337" s="11">
        <v>45965.340277777781</v>
      </c>
      <c r="G337" s="12">
        <v>7.9861111109494232E-2</v>
      </c>
      <c r="H337" s="2" t="s">
        <v>257</v>
      </c>
      <c r="J337" s="2" t="s">
        <v>258</v>
      </c>
      <c r="K337" s="2" t="s">
        <v>658</v>
      </c>
      <c r="L337" s="2" t="s">
        <v>2062</v>
      </c>
      <c r="M337" t="s">
        <v>260</v>
      </c>
      <c r="N337" t="s">
        <v>357</v>
      </c>
      <c r="O337" t="s">
        <v>632</v>
      </c>
      <c r="P337" t="s">
        <v>2640</v>
      </c>
      <c r="Q337" t="s">
        <v>2281</v>
      </c>
    </row>
    <row r="338" spans="1:17">
      <c r="A338" s="2" t="s">
        <v>2147</v>
      </c>
      <c r="B338" s="2" t="s">
        <v>456</v>
      </c>
      <c r="C338" s="2" t="s">
        <v>479</v>
      </c>
      <c r="D338" s="11">
        <v>45965.270833333336</v>
      </c>
      <c r="E338" s="11">
        <v>45965.270833333336</v>
      </c>
      <c r="F338" s="11">
        <v>45965.340277777781</v>
      </c>
      <c r="G338" s="12">
        <v>7.9861111109494232E-2</v>
      </c>
      <c r="H338" s="2" t="s">
        <v>257</v>
      </c>
      <c r="J338" s="2" t="s">
        <v>258</v>
      </c>
      <c r="K338" s="2" t="s">
        <v>658</v>
      </c>
      <c r="L338" s="2" t="s">
        <v>2062</v>
      </c>
      <c r="M338" t="s">
        <v>260</v>
      </c>
      <c r="N338" t="s">
        <v>357</v>
      </c>
      <c r="O338" t="s">
        <v>632</v>
      </c>
      <c r="P338" t="s">
        <v>2641</v>
      </c>
      <c r="Q338" t="s">
        <v>2281</v>
      </c>
    </row>
    <row r="339" spans="1:17">
      <c r="A339" s="2" t="s">
        <v>2147</v>
      </c>
      <c r="B339" s="2" t="s">
        <v>456</v>
      </c>
      <c r="C339" s="2" t="s">
        <v>480</v>
      </c>
      <c r="D339" s="11">
        <v>45965.270833333336</v>
      </c>
      <c r="E339" s="11">
        <v>45965.270833333336</v>
      </c>
      <c r="F339" s="11">
        <v>45965.340277777781</v>
      </c>
      <c r="G339" s="12">
        <v>7.9861111109494232E-2</v>
      </c>
      <c r="H339" s="2" t="s">
        <v>257</v>
      </c>
      <c r="J339" s="2" t="s">
        <v>258</v>
      </c>
      <c r="K339" s="2" t="s">
        <v>658</v>
      </c>
      <c r="L339" s="2" t="s">
        <v>2062</v>
      </c>
      <c r="M339" t="s">
        <v>260</v>
      </c>
      <c r="N339" t="s">
        <v>357</v>
      </c>
      <c r="O339" t="s">
        <v>632</v>
      </c>
      <c r="P339" t="s">
        <v>2642</v>
      </c>
      <c r="Q339" t="s">
        <v>2281</v>
      </c>
    </row>
    <row r="340" spans="1:17">
      <c r="A340" s="2" t="s">
        <v>2147</v>
      </c>
      <c r="B340" s="2" t="s">
        <v>456</v>
      </c>
      <c r="C340" s="2" t="s">
        <v>481</v>
      </c>
      <c r="D340" s="11">
        <v>45965.270833333336</v>
      </c>
      <c r="E340" s="11">
        <v>45965.270833333336</v>
      </c>
      <c r="F340" s="11">
        <v>45965.340277777781</v>
      </c>
      <c r="G340" s="12">
        <v>7.9861111109494232E-2</v>
      </c>
      <c r="H340" s="2" t="s">
        <v>257</v>
      </c>
      <c r="J340" s="2" t="s">
        <v>258</v>
      </c>
      <c r="K340" s="2" t="s">
        <v>658</v>
      </c>
      <c r="L340" s="2" t="s">
        <v>2062</v>
      </c>
      <c r="M340" t="s">
        <v>260</v>
      </c>
      <c r="N340" t="s">
        <v>357</v>
      </c>
      <c r="O340" t="s">
        <v>632</v>
      </c>
      <c r="P340" t="s">
        <v>2643</v>
      </c>
      <c r="Q340" t="s">
        <v>2281</v>
      </c>
    </row>
    <row r="341" spans="1:17">
      <c r="A341" s="2" t="s">
        <v>2148</v>
      </c>
      <c r="B341" s="2" t="s">
        <v>456</v>
      </c>
      <c r="C341" s="2" t="s">
        <v>482</v>
      </c>
      <c r="D341" s="11">
        <v>45965.270833333336</v>
      </c>
      <c r="E341" s="11">
        <v>45965.270833333336</v>
      </c>
      <c r="F341" s="11">
        <v>45965.340277777781</v>
      </c>
      <c r="G341" s="12">
        <v>7.9861111109494232E-2</v>
      </c>
      <c r="H341" s="2" t="s">
        <v>257</v>
      </c>
      <c r="J341" s="2" t="s">
        <v>258</v>
      </c>
      <c r="K341" s="2" t="s">
        <v>658</v>
      </c>
      <c r="L341" s="2" t="s">
        <v>2062</v>
      </c>
      <c r="M341" t="s">
        <v>260</v>
      </c>
      <c r="N341" t="s">
        <v>357</v>
      </c>
      <c r="O341" t="s">
        <v>632</v>
      </c>
      <c r="P341" t="s">
        <v>2644</v>
      </c>
      <c r="Q341" t="s">
        <v>2281</v>
      </c>
    </row>
    <row r="342" spans="1:17">
      <c r="A342" s="2" t="s">
        <v>2148</v>
      </c>
      <c r="B342" s="2" t="s">
        <v>456</v>
      </c>
      <c r="C342" s="2" t="s">
        <v>483</v>
      </c>
      <c r="D342" s="11">
        <v>45965.270833333336</v>
      </c>
      <c r="E342" s="11">
        <v>45965.270833333336</v>
      </c>
      <c r="F342" s="11">
        <v>45965.340277777781</v>
      </c>
      <c r="G342" s="12">
        <v>7.9861111109494232E-2</v>
      </c>
      <c r="H342" s="2" t="s">
        <v>257</v>
      </c>
      <c r="J342" s="2" t="s">
        <v>258</v>
      </c>
      <c r="K342" s="2" t="s">
        <v>658</v>
      </c>
      <c r="L342" s="2" t="s">
        <v>2062</v>
      </c>
      <c r="M342" t="s">
        <v>260</v>
      </c>
      <c r="N342" t="s">
        <v>357</v>
      </c>
      <c r="O342" t="s">
        <v>632</v>
      </c>
      <c r="P342" t="s">
        <v>2645</v>
      </c>
      <c r="Q342" t="s">
        <v>2281</v>
      </c>
    </row>
    <row r="343" spans="1:17">
      <c r="A343" s="2" t="s">
        <v>2148</v>
      </c>
      <c r="B343" s="2" t="s">
        <v>456</v>
      </c>
      <c r="C343" s="2" t="s">
        <v>484</v>
      </c>
      <c r="D343" s="11">
        <v>45965.270833333336</v>
      </c>
      <c r="E343" s="11">
        <v>45965.270833333336</v>
      </c>
      <c r="F343" s="11">
        <v>45965.340277777781</v>
      </c>
      <c r="G343" s="12">
        <v>7.9861111109494232E-2</v>
      </c>
      <c r="H343" s="2" t="s">
        <v>257</v>
      </c>
      <c r="J343" s="2" t="s">
        <v>258</v>
      </c>
      <c r="K343" s="2" t="s">
        <v>658</v>
      </c>
      <c r="L343" s="2" t="s">
        <v>2062</v>
      </c>
      <c r="M343" t="s">
        <v>260</v>
      </c>
      <c r="N343" t="s">
        <v>357</v>
      </c>
      <c r="O343" t="s">
        <v>632</v>
      </c>
      <c r="P343" t="s">
        <v>2646</v>
      </c>
      <c r="Q343" t="s">
        <v>2281</v>
      </c>
    </row>
    <row r="344" spans="1:17">
      <c r="A344" s="2" t="s">
        <v>2148</v>
      </c>
      <c r="B344" s="2" t="s">
        <v>456</v>
      </c>
      <c r="C344" s="2" t="s">
        <v>485</v>
      </c>
      <c r="D344" s="11">
        <v>45965.270833333336</v>
      </c>
      <c r="E344" s="11">
        <v>45965.270833333336</v>
      </c>
      <c r="F344" s="11">
        <v>45965.340277777781</v>
      </c>
      <c r="G344" s="12">
        <v>7.9861111109494232E-2</v>
      </c>
      <c r="H344" s="2" t="s">
        <v>257</v>
      </c>
      <c r="J344" s="2" t="s">
        <v>258</v>
      </c>
      <c r="K344" s="2" t="s">
        <v>658</v>
      </c>
      <c r="L344" s="2" t="s">
        <v>2062</v>
      </c>
      <c r="M344" t="s">
        <v>260</v>
      </c>
      <c r="N344" t="s">
        <v>357</v>
      </c>
      <c r="O344" t="s">
        <v>632</v>
      </c>
      <c r="P344" t="s">
        <v>2647</v>
      </c>
      <c r="Q344" t="s">
        <v>2281</v>
      </c>
    </row>
    <row r="345" spans="1:17">
      <c r="A345" s="2" t="s">
        <v>2148</v>
      </c>
      <c r="B345" s="2" t="s">
        <v>456</v>
      </c>
      <c r="C345" s="2" t="s">
        <v>486</v>
      </c>
      <c r="D345" s="11">
        <v>45965.270833333336</v>
      </c>
      <c r="E345" s="11">
        <v>45965.270833333336</v>
      </c>
      <c r="F345" s="11">
        <v>45965.340277777781</v>
      </c>
      <c r="G345" s="12">
        <v>7.9861111109494232E-2</v>
      </c>
      <c r="H345" s="2" t="s">
        <v>257</v>
      </c>
      <c r="J345" s="2" t="s">
        <v>258</v>
      </c>
      <c r="K345" s="2" t="s">
        <v>658</v>
      </c>
      <c r="L345" s="2" t="s">
        <v>2062</v>
      </c>
      <c r="M345" t="s">
        <v>260</v>
      </c>
      <c r="N345" t="s">
        <v>357</v>
      </c>
      <c r="O345" t="s">
        <v>632</v>
      </c>
      <c r="P345" t="s">
        <v>2648</v>
      </c>
      <c r="Q345" t="s">
        <v>2281</v>
      </c>
    </row>
    <row r="346" spans="1:17">
      <c r="A346" s="2" t="s">
        <v>487</v>
      </c>
      <c r="B346" s="2" t="s">
        <v>487</v>
      </c>
      <c r="C346" s="2" t="s">
        <v>377</v>
      </c>
      <c r="D346" s="11">
        <v>45965.270833333336</v>
      </c>
      <c r="E346" s="11">
        <v>45965.270833333336</v>
      </c>
      <c r="F346" s="11">
        <v>45965.340277777781</v>
      </c>
      <c r="G346" s="12">
        <v>7.9861111109494232E-2</v>
      </c>
      <c r="H346" s="2" t="s">
        <v>257</v>
      </c>
      <c r="J346" s="2" t="s">
        <v>258</v>
      </c>
      <c r="K346" s="2" t="s">
        <v>658</v>
      </c>
      <c r="L346" s="2" t="s">
        <v>2062</v>
      </c>
      <c r="M346" t="s">
        <v>260</v>
      </c>
      <c r="N346" t="s">
        <v>357</v>
      </c>
      <c r="O346" t="s">
        <v>632</v>
      </c>
      <c r="P346" t="s">
        <v>2649</v>
      </c>
      <c r="Q346" t="s">
        <v>2281</v>
      </c>
    </row>
    <row r="347" spans="1:17">
      <c r="A347" s="2" t="s">
        <v>487</v>
      </c>
      <c r="B347" s="2" t="s">
        <v>487</v>
      </c>
      <c r="C347" s="2" t="s">
        <v>378</v>
      </c>
      <c r="D347" s="11">
        <v>45965.270833333336</v>
      </c>
      <c r="E347" s="11">
        <v>45965.270833333336</v>
      </c>
      <c r="F347" s="11">
        <v>45965.340277777781</v>
      </c>
      <c r="G347" s="12">
        <v>7.9861111109494232E-2</v>
      </c>
      <c r="H347" s="2" t="s">
        <v>257</v>
      </c>
      <c r="J347" s="2" t="s">
        <v>258</v>
      </c>
      <c r="K347" s="2" t="s">
        <v>658</v>
      </c>
      <c r="L347" s="2" t="s">
        <v>2062</v>
      </c>
      <c r="M347" t="s">
        <v>260</v>
      </c>
      <c r="N347" t="s">
        <v>357</v>
      </c>
      <c r="O347" t="s">
        <v>632</v>
      </c>
      <c r="P347" t="s">
        <v>2650</v>
      </c>
      <c r="Q347" t="s">
        <v>2281</v>
      </c>
    </row>
    <row r="348" spans="1:17">
      <c r="A348" s="2" t="s">
        <v>487</v>
      </c>
      <c r="B348" s="2" t="s">
        <v>487</v>
      </c>
      <c r="C348" s="2" t="s">
        <v>382</v>
      </c>
      <c r="D348" s="11">
        <v>45965.270833333336</v>
      </c>
      <c r="E348" s="11">
        <v>45965.270833333336</v>
      </c>
      <c r="F348" s="11">
        <v>45965.340277777781</v>
      </c>
      <c r="G348" s="12">
        <v>7.9861111109494232E-2</v>
      </c>
      <c r="H348" s="2" t="s">
        <v>257</v>
      </c>
      <c r="J348" s="2" t="s">
        <v>258</v>
      </c>
      <c r="K348" s="2" t="s">
        <v>658</v>
      </c>
      <c r="L348" s="2" t="s">
        <v>2062</v>
      </c>
      <c r="M348" t="s">
        <v>260</v>
      </c>
      <c r="N348" t="s">
        <v>357</v>
      </c>
      <c r="O348" t="s">
        <v>632</v>
      </c>
      <c r="P348" t="s">
        <v>2651</v>
      </c>
      <c r="Q348" t="s">
        <v>2281</v>
      </c>
    </row>
    <row r="349" spans="1:17">
      <c r="A349" s="2" t="s">
        <v>487</v>
      </c>
      <c r="B349" s="2" t="s">
        <v>487</v>
      </c>
      <c r="C349" s="2" t="s">
        <v>380</v>
      </c>
      <c r="D349" s="11">
        <v>45965.270833333336</v>
      </c>
      <c r="E349" s="11">
        <v>45965.270833333336</v>
      </c>
      <c r="F349" s="11">
        <v>45965.340277777781</v>
      </c>
      <c r="G349" s="12">
        <v>7.9861111109494232E-2</v>
      </c>
      <c r="H349" s="2" t="s">
        <v>257</v>
      </c>
      <c r="J349" s="2" t="s">
        <v>258</v>
      </c>
      <c r="K349" s="2" t="s">
        <v>658</v>
      </c>
      <c r="L349" s="2" t="s">
        <v>2062</v>
      </c>
      <c r="M349" t="s">
        <v>260</v>
      </c>
      <c r="N349" t="s">
        <v>357</v>
      </c>
      <c r="O349" t="s">
        <v>632</v>
      </c>
      <c r="P349" t="s">
        <v>2652</v>
      </c>
      <c r="Q349" t="s">
        <v>2281</v>
      </c>
    </row>
    <row r="350" spans="1:17">
      <c r="A350" s="2" t="s">
        <v>487</v>
      </c>
      <c r="B350" s="2" t="s">
        <v>487</v>
      </c>
      <c r="C350" s="2" t="s">
        <v>379</v>
      </c>
      <c r="D350" s="11">
        <v>45965.270833333336</v>
      </c>
      <c r="E350" s="11">
        <v>45965.270833333336</v>
      </c>
      <c r="F350" s="11">
        <v>45965.340277777781</v>
      </c>
      <c r="G350" s="12">
        <v>7.9861111109494232E-2</v>
      </c>
      <c r="H350" s="2" t="s">
        <v>257</v>
      </c>
      <c r="J350" s="2" t="s">
        <v>258</v>
      </c>
      <c r="K350" s="2" t="s">
        <v>658</v>
      </c>
      <c r="L350" s="2" t="s">
        <v>2062</v>
      </c>
      <c r="M350" t="s">
        <v>260</v>
      </c>
      <c r="N350" t="s">
        <v>357</v>
      </c>
      <c r="O350" t="s">
        <v>632</v>
      </c>
      <c r="P350" t="s">
        <v>2653</v>
      </c>
      <c r="Q350" t="s">
        <v>2281</v>
      </c>
    </row>
    <row r="351" spans="1:17">
      <c r="A351" s="2" t="s">
        <v>583</v>
      </c>
      <c r="B351" s="2" t="s">
        <v>583</v>
      </c>
      <c r="C351" s="2" t="s">
        <v>377</v>
      </c>
      <c r="D351" s="11">
        <v>45965.270833333336</v>
      </c>
      <c r="E351" s="11">
        <v>45965.270833333336</v>
      </c>
      <c r="F351" s="11">
        <v>45965.340277777781</v>
      </c>
      <c r="G351" s="12">
        <v>7.9861111109494232E-2</v>
      </c>
      <c r="H351" s="2" t="s">
        <v>257</v>
      </c>
      <c r="J351" s="2" t="s">
        <v>258</v>
      </c>
      <c r="K351" s="2" t="s">
        <v>658</v>
      </c>
      <c r="L351" s="2" t="s">
        <v>2062</v>
      </c>
      <c r="M351" t="s">
        <v>260</v>
      </c>
      <c r="N351" t="s">
        <v>357</v>
      </c>
      <c r="O351" t="s">
        <v>632</v>
      </c>
      <c r="P351" t="s">
        <v>2654</v>
      </c>
      <c r="Q351" t="s">
        <v>2281</v>
      </c>
    </row>
    <row r="352" spans="1:17">
      <c r="A352" s="2" t="s">
        <v>583</v>
      </c>
      <c r="B352" s="2" t="s">
        <v>583</v>
      </c>
      <c r="C352" s="2" t="s">
        <v>378</v>
      </c>
      <c r="D352" s="11">
        <v>45965.270833333336</v>
      </c>
      <c r="E352" s="11">
        <v>45965.270833333336</v>
      </c>
      <c r="F352" s="11">
        <v>45965.340277777781</v>
      </c>
      <c r="G352" s="12">
        <v>7.9861111109494232E-2</v>
      </c>
      <c r="H352" s="2" t="s">
        <v>257</v>
      </c>
      <c r="J352" s="2" t="s">
        <v>258</v>
      </c>
      <c r="K352" s="2" t="s">
        <v>658</v>
      </c>
      <c r="L352" s="2" t="s">
        <v>2062</v>
      </c>
      <c r="M352" t="s">
        <v>260</v>
      </c>
      <c r="N352" t="s">
        <v>357</v>
      </c>
      <c r="O352" t="s">
        <v>632</v>
      </c>
      <c r="P352" t="s">
        <v>2655</v>
      </c>
      <c r="Q352" t="s">
        <v>2281</v>
      </c>
    </row>
    <row r="353" spans="1:17">
      <c r="A353" s="2" t="s">
        <v>583</v>
      </c>
      <c r="B353" s="2" t="s">
        <v>583</v>
      </c>
      <c r="C353" s="2" t="s">
        <v>382</v>
      </c>
      <c r="D353" s="11">
        <v>45965.270833333336</v>
      </c>
      <c r="E353" s="11">
        <v>45965.270833333336</v>
      </c>
      <c r="F353" s="11">
        <v>45965.340277777781</v>
      </c>
      <c r="G353" s="12">
        <v>7.9861111109494232E-2</v>
      </c>
      <c r="H353" s="2" t="s">
        <v>257</v>
      </c>
      <c r="J353" s="2" t="s">
        <v>258</v>
      </c>
      <c r="K353" s="2" t="s">
        <v>658</v>
      </c>
      <c r="L353" s="2" t="s">
        <v>2062</v>
      </c>
      <c r="M353" t="s">
        <v>260</v>
      </c>
      <c r="N353" t="s">
        <v>357</v>
      </c>
      <c r="O353" t="s">
        <v>632</v>
      </c>
      <c r="P353" t="s">
        <v>2656</v>
      </c>
      <c r="Q353" t="s">
        <v>2281</v>
      </c>
    </row>
    <row r="354" spans="1:17">
      <c r="A354" s="2" t="s">
        <v>583</v>
      </c>
      <c r="B354" s="2" t="s">
        <v>583</v>
      </c>
      <c r="C354" s="2" t="s">
        <v>380</v>
      </c>
      <c r="D354" s="11">
        <v>45965.270833333336</v>
      </c>
      <c r="E354" s="11">
        <v>45965.270833333336</v>
      </c>
      <c r="F354" s="11">
        <v>45965.340277777781</v>
      </c>
      <c r="G354" s="12">
        <v>7.9861111109494232E-2</v>
      </c>
      <c r="H354" s="2" t="s">
        <v>257</v>
      </c>
      <c r="J354" s="2" t="s">
        <v>258</v>
      </c>
      <c r="K354" s="2" t="s">
        <v>658</v>
      </c>
      <c r="L354" s="2" t="s">
        <v>2062</v>
      </c>
      <c r="M354" t="s">
        <v>260</v>
      </c>
      <c r="N354" t="s">
        <v>357</v>
      </c>
      <c r="O354" t="s">
        <v>632</v>
      </c>
      <c r="P354" t="s">
        <v>2657</v>
      </c>
      <c r="Q354" t="s">
        <v>2281</v>
      </c>
    </row>
    <row r="355" spans="1:17">
      <c r="A355" s="2" t="s">
        <v>583</v>
      </c>
      <c r="B355" s="2" t="s">
        <v>583</v>
      </c>
      <c r="C355" s="2" t="s">
        <v>379</v>
      </c>
      <c r="D355" s="11">
        <v>45965.270833333336</v>
      </c>
      <c r="E355" s="11">
        <v>45965.270833333336</v>
      </c>
      <c r="F355" s="11">
        <v>45965.340277777781</v>
      </c>
      <c r="G355" s="12">
        <v>7.9861111109494232E-2</v>
      </c>
      <c r="H355" s="2" t="s">
        <v>257</v>
      </c>
      <c r="J355" s="2" t="s">
        <v>258</v>
      </c>
      <c r="K355" s="2" t="s">
        <v>658</v>
      </c>
      <c r="L355" s="2" t="s">
        <v>2062</v>
      </c>
      <c r="M355" t="s">
        <v>260</v>
      </c>
      <c r="N355" t="s">
        <v>357</v>
      </c>
      <c r="O355" t="s">
        <v>632</v>
      </c>
      <c r="P355" t="s">
        <v>2658</v>
      </c>
      <c r="Q355" t="s">
        <v>2281</v>
      </c>
    </row>
    <row r="356" spans="1:17">
      <c r="A356" s="2" t="s">
        <v>584</v>
      </c>
      <c r="B356" s="2" t="s">
        <v>584</v>
      </c>
      <c r="C356" s="2" t="s">
        <v>377</v>
      </c>
      <c r="D356" s="11">
        <v>45965.270833333336</v>
      </c>
      <c r="E356" s="11">
        <v>45965.270833333336</v>
      </c>
      <c r="F356" s="11">
        <v>45965.340277777781</v>
      </c>
      <c r="G356" s="12">
        <v>7.9861111109494232E-2</v>
      </c>
      <c r="H356" s="2" t="s">
        <v>257</v>
      </c>
      <c r="J356" s="2" t="s">
        <v>258</v>
      </c>
      <c r="K356" s="2" t="s">
        <v>658</v>
      </c>
      <c r="L356" s="2" t="s">
        <v>2062</v>
      </c>
      <c r="M356" t="s">
        <v>260</v>
      </c>
      <c r="N356" t="s">
        <v>357</v>
      </c>
      <c r="O356" t="s">
        <v>632</v>
      </c>
      <c r="P356" t="s">
        <v>2659</v>
      </c>
      <c r="Q356" t="s">
        <v>2281</v>
      </c>
    </row>
    <row r="357" spans="1:17">
      <c r="A357" s="2" t="s">
        <v>584</v>
      </c>
      <c r="B357" s="2" t="s">
        <v>584</v>
      </c>
      <c r="C357" s="2" t="s">
        <v>378</v>
      </c>
      <c r="D357" s="11">
        <v>45965.270833333336</v>
      </c>
      <c r="E357" s="11">
        <v>45965.270833333336</v>
      </c>
      <c r="F357" s="11">
        <v>45965.340277777781</v>
      </c>
      <c r="G357" s="12">
        <v>7.9861111109494232E-2</v>
      </c>
      <c r="H357" s="2" t="s">
        <v>257</v>
      </c>
      <c r="J357" s="2" t="s">
        <v>258</v>
      </c>
      <c r="K357" s="2" t="s">
        <v>658</v>
      </c>
      <c r="L357" s="2" t="s">
        <v>2062</v>
      </c>
      <c r="M357" t="s">
        <v>260</v>
      </c>
      <c r="N357" t="s">
        <v>357</v>
      </c>
      <c r="O357" t="s">
        <v>632</v>
      </c>
      <c r="P357" t="s">
        <v>2660</v>
      </c>
      <c r="Q357" t="s">
        <v>2281</v>
      </c>
    </row>
    <row r="358" spans="1:17">
      <c r="A358" s="2" t="s">
        <v>584</v>
      </c>
      <c r="B358" s="2" t="s">
        <v>584</v>
      </c>
      <c r="C358" s="2" t="s">
        <v>382</v>
      </c>
      <c r="D358" s="11">
        <v>45965.270833333336</v>
      </c>
      <c r="E358" s="11">
        <v>45965.270833333336</v>
      </c>
      <c r="F358" s="11">
        <v>45965.340277777781</v>
      </c>
      <c r="G358" s="12">
        <v>7.9861111109494232E-2</v>
      </c>
      <c r="H358" s="2" t="s">
        <v>257</v>
      </c>
      <c r="J358" s="2" t="s">
        <v>258</v>
      </c>
      <c r="K358" s="2" t="s">
        <v>658</v>
      </c>
      <c r="L358" s="2" t="s">
        <v>2062</v>
      </c>
      <c r="M358" t="s">
        <v>260</v>
      </c>
      <c r="N358" t="s">
        <v>357</v>
      </c>
      <c r="O358" t="s">
        <v>632</v>
      </c>
      <c r="P358" t="s">
        <v>2661</v>
      </c>
      <c r="Q358" t="s">
        <v>2281</v>
      </c>
    </row>
    <row r="359" spans="1:17">
      <c r="A359" s="2" t="s">
        <v>584</v>
      </c>
      <c r="B359" s="2" t="s">
        <v>584</v>
      </c>
      <c r="C359" s="2" t="s">
        <v>380</v>
      </c>
      <c r="D359" s="11">
        <v>45965.270833333336</v>
      </c>
      <c r="E359" s="11">
        <v>45965.270833333336</v>
      </c>
      <c r="F359" s="11">
        <v>45965.340277777781</v>
      </c>
      <c r="G359" s="12">
        <v>7.9861111109494232E-2</v>
      </c>
      <c r="H359" s="2" t="s">
        <v>257</v>
      </c>
      <c r="J359" s="2" t="s">
        <v>258</v>
      </c>
      <c r="K359" s="2" t="s">
        <v>658</v>
      </c>
      <c r="L359" s="2" t="s">
        <v>2062</v>
      </c>
      <c r="M359" t="s">
        <v>260</v>
      </c>
      <c r="N359" t="s">
        <v>357</v>
      </c>
      <c r="O359" t="s">
        <v>632</v>
      </c>
      <c r="P359" t="s">
        <v>2662</v>
      </c>
      <c r="Q359" t="s">
        <v>2281</v>
      </c>
    </row>
    <row r="360" spans="1:17">
      <c r="A360" s="2" t="s">
        <v>584</v>
      </c>
      <c r="B360" s="2" t="s">
        <v>584</v>
      </c>
      <c r="C360" s="2" t="s">
        <v>379</v>
      </c>
      <c r="D360" s="11">
        <v>45965.270833333336</v>
      </c>
      <c r="E360" s="11">
        <v>45965.270833333336</v>
      </c>
      <c r="F360" s="11">
        <v>45965.340277777781</v>
      </c>
      <c r="G360" s="12">
        <v>7.9861111109494232E-2</v>
      </c>
      <c r="H360" s="2" t="s">
        <v>257</v>
      </c>
      <c r="J360" s="2" t="s">
        <v>258</v>
      </c>
      <c r="K360" s="2" t="s">
        <v>658</v>
      </c>
      <c r="L360" s="2" t="s">
        <v>2062</v>
      </c>
      <c r="M360" t="s">
        <v>260</v>
      </c>
      <c r="N360" t="s">
        <v>357</v>
      </c>
      <c r="O360" t="s">
        <v>632</v>
      </c>
      <c r="P360" t="s">
        <v>2663</v>
      </c>
      <c r="Q360" t="s">
        <v>2281</v>
      </c>
    </row>
    <row r="361" spans="1:17">
      <c r="A361" s="2" t="s">
        <v>2134</v>
      </c>
      <c r="B361" s="2" t="s">
        <v>585</v>
      </c>
      <c r="C361" s="2" t="s">
        <v>590</v>
      </c>
      <c r="D361" s="11">
        <v>45965.270833333336</v>
      </c>
      <c r="E361" s="11">
        <v>45965.270833333336</v>
      </c>
      <c r="F361" s="11">
        <v>45965.355555555558</v>
      </c>
      <c r="G361" s="12">
        <v>6.7361111112404615E-2</v>
      </c>
      <c r="H361" s="2" t="s">
        <v>257</v>
      </c>
      <c r="J361" s="2" t="s">
        <v>258</v>
      </c>
      <c r="K361" s="2" t="s">
        <v>658</v>
      </c>
      <c r="L361" s="2" t="s">
        <v>2107</v>
      </c>
      <c r="M361" t="s">
        <v>2108</v>
      </c>
      <c r="N361" t="s">
        <v>357</v>
      </c>
      <c r="O361" t="s">
        <v>2090</v>
      </c>
      <c r="P361" t="s">
        <v>2664</v>
      </c>
      <c r="Q361" t="s">
        <v>2281</v>
      </c>
    </row>
    <row r="362" spans="1:17">
      <c r="A362" s="2" t="s">
        <v>2134</v>
      </c>
      <c r="B362" s="2" t="s">
        <v>585</v>
      </c>
      <c r="C362" s="2" t="s">
        <v>2091</v>
      </c>
      <c r="D362" s="11">
        <v>45965.270833333336</v>
      </c>
      <c r="E362" s="11">
        <v>45965.270833333336</v>
      </c>
      <c r="F362" s="11">
        <v>45965.355555555558</v>
      </c>
      <c r="G362" s="12">
        <v>6.7361111112404615E-2</v>
      </c>
      <c r="H362" s="2" t="s">
        <v>257</v>
      </c>
      <c r="J362" s="2" t="s">
        <v>258</v>
      </c>
      <c r="K362" s="2" t="s">
        <v>658</v>
      </c>
      <c r="L362" s="2" t="s">
        <v>2107</v>
      </c>
      <c r="M362" t="s">
        <v>2108</v>
      </c>
      <c r="N362" t="s">
        <v>357</v>
      </c>
      <c r="O362" t="s">
        <v>2090</v>
      </c>
      <c r="P362" t="s">
        <v>2665</v>
      </c>
      <c r="Q362" t="s">
        <v>2281</v>
      </c>
    </row>
    <row r="363" spans="1:17">
      <c r="A363" s="2" t="s">
        <v>2134</v>
      </c>
      <c r="B363" s="2" t="s">
        <v>585</v>
      </c>
      <c r="C363" s="2" t="s">
        <v>586</v>
      </c>
      <c r="D363" s="11">
        <v>45965.270833333336</v>
      </c>
      <c r="E363" s="11">
        <v>45965.270833333336</v>
      </c>
      <c r="F363" s="11">
        <v>45965.355555555558</v>
      </c>
      <c r="G363" s="12">
        <v>6.7361111112404615E-2</v>
      </c>
      <c r="H363" s="2" t="s">
        <v>257</v>
      </c>
      <c r="J363" s="2" t="s">
        <v>258</v>
      </c>
      <c r="K363" s="2" t="s">
        <v>658</v>
      </c>
      <c r="L363" s="2" t="s">
        <v>2107</v>
      </c>
      <c r="M363" t="s">
        <v>2108</v>
      </c>
      <c r="N363" t="s">
        <v>357</v>
      </c>
      <c r="O363" t="s">
        <v>2090</v>
      </c>
      <c r="P363" t="s">
        <v>2666</v>
      </c>
      <c r="Q363" t="s">
        <v>2281</v>
      </c>
    </row>
    <row r="364" spans="1:17">
      <c r="A364" s="2" t="s">
        <v>2134</v>
      </c>
      <c r="B364" s="2" t="s">
        <v>585</v>
      </c>
      <c r="C364" s="2" t="s">
        <v>598</v>
      </c>
      <c r="D364" s="11">
        <v>45965.270833333336</v>
      </c>
      <c r="E364" s="11">
        <v>45965.270833333336</v>
      </c>
      <c r="F364" s="11">
        <v>45965.355555555558</v>
      </c>
      <c r="G364" s="12">
        <v>6.7361111112404615E-2</v>
      </c>
      <c r="H364" s="2" t="s">
        <v>257</v>
      </c>
      <c r="J364" s="2" t="s">
        <v>258</v>
      </c>
      <c r="K364" s="2" t="s">
        <v>658</v>
      </c>
      <c r="L364" s="2" t="s">
        <v>2107</v>
      </c>
      <c r="M364" t="s">
        <v>2108</v>
      </c>
      <c r="N364" t="s">
        <v>357</v>
      </c>
      <c r="O364" t="s">
        <v>2090</v>
      </c>
      <c r="P364" t="s">
        <v>2667</v>
      </c>
      <c r="Q364" t="s">
        <v>2281</v>
      </c>
    </row>
    <row r="365" spans="1:17">
      <c r="A365" s="2" t="s">
        <v>2134</v>
      </c>
      <c r="B365" s="2" t="s">
        <v>585</v>
      </c>
      <c r="C365" s="2" t="s">
        <v>600</v>
      </c>
      <c r="D365" s="11">
        <v>45965.270833333336</v>
      </c>
      <c r="E365" s="11">
        <v>45965.270833333336</v>
      </c>
      <c r="F365" s="11">
        <v>45965.355555555558</v>
      </c>
      <c r="G365" s="12">
        <v>6.7361111112404615E-2</v>
      </c>
      <c r="H365" s="2" t="s">
        <v>257</v>
      </c>
      <c r="J365" s="2" t="s">
        <v>258</v>
      </c>
      <c r="K365" s="2" t="s">
        <v>658</v>
      </c>
      <c r="L365" s="2" t="s">
        <v>2107</v>
      </c>
      <c r="M365" t="s">
        <v>2108</v>
      </c>
      <c r="N365" t="s">
        <v>357</v>
      </c>
      <c r="O365" t="s">
        <v>2090</v>
      </c>
      <c r="P365" t="s">
        <v>2668</v>
      </c>
      <c r="Q365" t="s">
        <v>2281</v>
      </c>
    </row>
    <row r="366" spans="1:17">
      <c r="A366" s="2" t="s">
        <v>2134</v>
      </c>
      <c r="B366" s="2" t="s">
        <v>585</v>
      </c>
      <c r="C366" s="2" t="s">
        <v>596</v>
      </c>
      <c r="D366" s="11">
        <v>45965.270833333336</v>
      </c>
      <c r="E366" s="11">
        <v>45965.270833333336</v>
      </c>
      <c r="F366" s="11">
        <v>45965.355555555558</v>
      </c>
      <c r="G366" s="12">
        <v>6.7361111112404615E-2</v>
      </c>
      <c r="H366" s="2" t="s">
        <v>257</v>
      </c>
      <c r="J366" s="2" t="s">
        <v>258</v>
      </c>
      <c r="K366" s="2" t="s">
        <v>658</v>
      </c>
      <c r="L366" s="2" t="s">
        <v>2107</v>
      </c>
      <c r="M366" t="s">
        <v>2108</v>
      </c>
      <c r="N366" t="s">
        <v>357</v>
      </c>
      <c r="O366" t="s">
        <v>2090</v>
      </c>
      <c r="P366" t="s">
        <v>2669</v>
      </c>
      <c r="Q366" t="s">
        <v>2281</v>
      </c>
    </row>
    <row r="367" spans="1:17">
      <c r="A367" s="2" t="s">
        <v>2134</v>
      </c>
      <c r="B367" s="2" t="s">
        <v>585</v>
      </c>
      <c r="C367" s="2" t="s">
        <v>599</v>
      </c>
      <c r="D367" s="11">
        <v>45965.270833333336</v>
      </c>
      <c r="E367" s="11">
        <v>45965.270833333336</v>
      </c>
      <c r="F367" s="11">
        <v>45965.355555555558</v>
      </c>
      <c r="G367" s="12">
        <v>6.7361111112404615E-2</v>
      </c>
      <c r="H367" s="2" t="s">
        <v>257</v>
      </c>
      <c r="J367" s="2" t="s">
        <v>258</v>
      </c>
      <c r="K367" s="2" t="s">
        <v>658</v>
      </c>
      <c r="L367" s="2" t="s">
        <v>2107</v>
      </c>
      <c r="M367" t="s">
        <v>2108</v>
      </c>
      <c r="N367" t="s">
        <v>357</v>
      </c>
      <c r="O367" t="s">
        <v>2090</v>
      </c>
      <c r="P367" t="s">
        <v>2670</v>
      </c>
      <c r="Q367" t="s">
        <v>2281</v>
      </c>
    </row>
    <row r="368" spans="1:17">
      <c r="A368" s="2" t="s">
        <v>2134</v>
      </c>
      <c r="B368" s="2" t="s">
        <v>585</v>
      </c>
      <c r="C368" s="2" t="s">
        <v>603</v>
      </c>
      <c r="D368" s="11">
        <v>45965.270833333336</v>
      </c>
      <c r="E368" s="11">
        <v>45965.270833333336</v>
      </c>
      <c r="F368" s="11">
        <v>45965.355555555558</v>
      </c>
      <c r="G368" s="12">
        <v>6.7361111112404615E-2</v>
      </c>
      <c r="H368" s="2" t="s">
        <v>257</v>
      </c>
      <c r="J368" s="2" t="s">
        <v>258</v>
      </c>
      <c r="K368" s="2" t="s">
        <v>658</v>
      </c>
      <c r="L368" s="2" t="s">
        <v>2107</v>
      </c>
      <c r="M368" t="s">
        <v>2108</v>
      </c>
      <c r="N368" t="s">
        <v>357</v>
      </c>
      <c r="O368" t="s">
        <v>2090</v>
      </c>
      <c r="P368" t="s">
        <v>2671</v>
      </c>
      <c r="Q368" t="s">
        <v>2281</v>
      </c>
    </row>
    <row r="369" spans="1:17">
      <c r="A369" s="2" t="s">
        <v>2134</v>
      </c>
      <c r="B369" s="2" t="s">
        <v>585</v>
      </c>
      <c r="C369" s="2" t="s">
        <v>588</v>
      </c>
      <c r="D369" s="11">
        <v>45965.270833333336</v>
      </c>
      <c r="E369" s="11">
        <v>45965.270833333336</v>
      </c>
      <c r="F369" s="11">
        <v>45965.355555555558</v>
      </c>
      <c r="G369" s="12">
        <v>6.7361111112404615E-2</v>
      </c>
      <c r="H369" s="2" t="s">
        <v>257</v>
      </c>
      <c r="J369" s="2" t="s">
        <v>258</v>
      </c>
      <c r="K369" s="2" t="s">
        <v>658</v>
      </c>
      <c r="L369" s="2" t="s">
        <v>2107</v>
      </c>
      <c r="M369" t="s">
        <v>2108</v>
      </c>
      <c r="N369" t="s">
        <v>357</v>
      </c>
      <c r="O369" t="s">
        <v>2090</v>
      </c>
      <c r="P369" t="s">
        <v>2672</v>
      </c>
      <c r="Q369" t="s">
        <v>2281</v>
      </c>
    </row>
    <row r="370" spans="1:17">
      <c r="A370" s="2" t="s">
        <v>2134</v>
      </c>
      <c r="B370" s="2" t="s">
        <v>585</v>
      </c>
      <c r="C370" s="2" t="s">
        <v>594</v>
      </c>
      <c r="D370" s="11">
        <v>45965.270833333336</v>
      </c>
      <c r="E370" s="11">
        <v>45965.270833333336</v>
      </c>
      <c r="F370" s="11">
        <v>45965.355555555558</v>
      </c>
      <c r="G370" s="12">
        <v>6.7361111112404615E-2</v>
      </c>
      <c r="H370" s="2" t="s">
        <v>257</v>
      </c>
      <c r="J370" s="2" t="s">
        <v>258</v>
      </c>
      <c r="K370" s="2" t="s">
        <v>658</v>
      </c>
      <c r="L370" s="2" t="s">
        <v>2107</v>
      </c>
      <c r="M370" t="s">
        <v>2108</v>
      </c>
      <c r="N370" t="s">
        <v>357</v>
      </c>
      <c r="O370" t="s">
        <v>2090</v>
      </c>
      <c r="P370" t="s">
        <v>2673</v>
      </c>
      <c r="Q370" t="s">
        <v>2281</v>
      </c>
    </row>
    <row r="371" spans="1:17">
      <c r="A371" s="2" t="s">
        <v>2044</v>
      </c>
      <c r="B371" s="2" t="s">
        <v>2044</v>
      </c>
      <c r="C371" s="2" t="s">
        <v>267</v>
      </c>
      <c r="D371" s="11">
        <v>45965.46875</v>
      </c>
      <c r="E371" s="11">
        <v>45965.46875</v>
      </c>
      <c r="F371" s="11">
        <v>45972.659722222219</v>
      </c>
      <c r="G371" s="12">
        <v>7.1909722222189885</v>
      </c>
      <c r="H371" s="2" t="s">
        <v>677</v>
      </c>
      <c r="J371" s="2" t="s">
        <v>230</v>
      </c>
      <c r="K371" s="2" t="s">
        <v>230</v>
      </c>
      <c r="L371" s="2" t="s">
        <v>2674</v>
      </c>
      <c r="M371" t="s">
        <v>663</v>
      </c>
      <c r="N371" t="s">
        <v>364</v>
      </c>
      <c r="O371" t="s">
        <v>2675</v>
      </c>
      <c r="P371" t="s">
        <v>2676</v>
      </c>
      <c r="Q371" t="s">
        <v>2677</v>
      </c>
    </row>
    <row r="372" spans="1:17">
      <c r="A372" s="2" t="s">
        <v>2044</v>
      </c>
      <c r="B372" s="2" t="s">
        <v>2044</v>
      </c>
      <c r="C372" s="2" t="s">
        <v>2046</v>
      </c>
      <c r="D372" s="11">
        <v>45965.46875</v>
      </c>
      <c r="E372" s="11">
        <v>45965.46875</v>
      </c>
      <c r="F372" s="11">
        <v>45972.659722222219</v>
      </c>
      <c r="G372" s="12">
        <v>7.1909722222189885</v>
      </c>
      <c r="H372" s="2" t="s">
        <v>677</v>
      </c>
      <c r="J372" s="2" t="s">
        <v>230</v>
      </c>
      <c r="K372" s="2" t="s">
        <v>230</v>
      </c>
      <c r="L372" s="2" t="s">
        <v>2674</v>
      </c>
      <c r="M372" t="s">
        <v>663</v>
      </c>
      <c r="N372" t="s">
        <v>364</v>
      </c>
      <c r="O372" t="s">
        <v>2675</v>
      </c>
      <c r="P372" t="s">
        <v>2678</v>
      </c>
      <c r="Q372" t="s">
        <v>2677</v>
      </c>
    </row>
    <row r="373" spans="1:17">
      <c r="A373" s="2" t="s">
        <v>2044</v>
      </c>
      <c r="B373" s="2" t="s">
        <v>2044</v>
      </c>
      <c r="C373" s="2" t="s">
        <v>2047</v>
      </c>
      <c r="D373" s="11">
        <v>45965.46875</v>
      </c>
      <c r="E373" s="11">
        <v>45965.46875</v>
      </c>
      <c r="F373" s="11">
        <v>45972.659722222219</v>
      </c>
      <c r="G373" s="12">
        <v>7.1909722222189885</v>
      </c>
      <c r="H373" s="2" t="s">
        <v>677</v>
      </c>
      <c r="J373" s="2" t="s">
        <v>230</v>
      </c>
      <c r="K373" s="2" t="s">
        <v>230</v>
      </c>
      <c r="L373" s="2" t="s">
        <v>2674</v>
      </c>
      <c r="M373" t="s">
        <v>663</v>
      </c>
      <c r="N373" t="s">
        <v>364</v>
      </c>
      <c r="O373" t="s">
        <v>2675</v>
      </c>
      <c r="P373" t="s">
        <v>2679</v>
      </c>
      <c r="Q373" t="s">
        <v>2677</v>
      </c>
    </row>
    <row r="374" spans="1:17">
      <c r="A374" s="2" t="s">
        <v>2044</v>
      </c>
      <c r="B374" s="2" t="s">
        <v>2044</v>
      </c>
      <c r="C374" s="2" t="s">
        <v>2048</v>
      </c>
      <c r="D374" s="11">
        <v>45965.46875</v>
      </c>
      <c r="E374" s="11">
        <v>45965.46875</v>
      </c>
      <c r="F374" s="11">
        <v>45972.659722222219</v>
      </c>
      <c r="G374" s="12">
        <v>7.1909722222189885</v>
      </c>
      <c r="H374" s="2" t="s">
        <v>677</v>
      </c>
      <c r="J374" s="2" t="s">
        <v>230</v>
      </c>
      <c r="K374" s="2" t="s">
        <v>230</v>
      </c>
      <c r="L374" s="2" t="s">
        <v>2674</v>
      </c>
      <c r="M374" t="s">
        <v>663</v>
      </c>
      <c r="N374" t="s">
        <v>364</v>
      </c>
      <c r="O374" t="s">
        <v>2675</v>
      </c>
      <c r="P374" t="s">
        <v>2680</v>
      </c>
      <c r="Q374" t="s">
        <v>2677</v>
      </c>
    </row>
    <row r="375" spans="1:17">
      <c r="A375" s="2" t="s">
        <v>2044</v>
      </c>
      <c r="B375" s="2" t="s">
        <v>2044</v>
      </c>
      <c r="C375" s="2" t="s">
        <v>2049</v>
      </c>
      <c r="D375" s="11">
        <v>45965.46875</v>
      </c>
      <c r="E375" s="11">
        <v>45965.46875</v>
      </c>
      <c r="F375" s="11">
        <v>45972.659722222219</v>
      </c>
      <c r="G375" s="12">
        <v>7.1909722222189885</v>
      </c>
      <c r="H375" s="2" t="s">
        <v>677</v>
      </c>
      <c r="J375" s="2" t="s">
        <v>230</v>
      </c>
      <c r="K375" s="2" t="s">
        <v>230</v>
      </c>
      <c r="L375" s="2" t="s">
        <v>2674</v>
      </c>
      <c r="M375" t="s">
        <v>663</v>
      </c>
      <c r="N375" t="s">
        <v>364</v>
      </c>
      <c r="O375" t="s">
        <v>2675</v>
      </c>
      <c r="P375" t="s">
        <v>2681</v>
      </c>
      <c r="Q375" t="s">
        <v>2677</v>
      </c>
    </row>
    <row r="376" spans="1:17">
      <c r="A376" s="2" t="s">
        <v>2044</v>
      </c>
      <c r="B376" s="2" t="s">
        <v>2044</v>
      </c>
      <c r="C376" s="2" t="s">
        <v>2050</v>
      </c>
      <c r="D376" s="11">
        <v>45965.46875</v>
      </c>
      <c r="E376" s="11">
        <v>45965.46875</v>
      </c>
      <c r="F376" s="11">
        <v>45972.659722222219</v>
      </c>
      <c r="G376" s="12">
        <v>7.1909722222189885</v>
      </c>
      <c r="H376" s="2" t="s">
        <v>677</v>
      </c>
      <c r="J376" s="2" t="s">
        <v>230</v>
      </c>
      <c r="K376" s="2" t="s">
        <v>230</v>
      </c>
      <c r="L376" s="2" t="s">
        <v>2674</v>
      </c>
      <c r="M376" t="s">
        <v>663</v>
      </c>
      <c r="N376" t="s">
        <v>364</v>
      </c>
      <c r="O376" t="s">
        <v>2675</v>
      </c>
      <c r="P376" t="s">
        <v>2682</v>
      </c>
      <c r="Q376" t="s">
        <v>2677</v>
      </c>
    </row>
    <row r="377" spans="1:17">
      <c r="A377" s="2" t="s">
        <v>2044</v>
      </c>
      <c r="B377" s="2" t="s">
        <v>2044</v>
      </c>
      <c r="C377" s="2" t="s">
        <v>2051</v>
      </c>
      <c r="D377" s="11">
        <v>45965.46875</v>
      </c>
      <c r="E377" s="11">
        <v>45965.46875</v>
      </c>
      <c r="F377" s="11">
        <v>45972.659722222219</v>
      </c>
      <c r="G377" s="12">
        <v>7.1909722222189885</v>
      </c>
      <c r="H377" s="2" t="s">
        <v>677</v>
      </c>
      <c r="J377" s="2" t="s">
        <v>230</v>
      </c>
      <c r="K377" s="2" t="s">
        <v>230</v>
      </c>
      <c r="L377" s="2" t="s">
        <v>2674</v>
      </c>
      <c r="M377" t="s">
        <v>663</v>
      </c>
      <c r="N377" t="s">
        <v>364</v>
      </c>
      <c r="O377" t="s">
        <v>2675</v>
      </c>
      <c r="P377" t="s">
        <v>2683</v>
      </c>
      <c r="Q377" t="s">
        <v>2677</v>
      </c>
    </row>
    <row r="378" spans="1:17">
      <c r="A378" s="2" t="s">
        <v>2044</v>
      </c>
      <c r="B378" s="2" t="s">
        <v>2044</v>
      </c>
      <c r="C378" s="2" t="s">
        <v>2052</v>
      </c>
      <c r="D378" s="11">
        <v>45965.46875</v>
      </c>
      <c r="E378" s="11">
        <v>45965.46875</v>
      </c>
      <c r="F378" s="11">
        <v>45972.659722222219</v>
      </c>
      <c r="G378" s="12">
        <v>7.1909722222189885</v>
      </c>
      <c r="H378" s="2" t="s">
        <v>677</v>
      </c>
      <c r="J378" s="2" t="s">
        <v>230</v>
      </c>
      <c r="K378" s="2" t="s">
        <v>230</v>
      </c>
      <c r="L378" s="2" t="s">
        <v>2674</v>
      </c>
      <c r="M378" t="s">
        <v>663</v>
      </c>
      <c r="N378" t="s">
        <v>364</v>
      </c>
      <c r="O378" t="s">
        <v>2675</v>
      </c>
      <c r="P378" t="s">
        <v>2684</v>
      </c>
      <c r="Q378" t="s">
        <v>2677</v>
      </c>
    </row>
    <row r="379" spans="1:17">
      <c r="A379" s="2" t="s">
        <v>2044</v>
      </c>
      <c r="B379" s="2" t="s">
        <v>2044</v>
      </c>
      <c r="C379" s="2" t="s">
        <v>2053</v>
      </c>
      <c r="D379" s="11">
        <v>45965.46875</v>
      </c>
      <c r="E379" s="11">
        <v>45965.46875</v>
      </c>
      <c r="F379" s="11">
        <v>45972.659722222219</v>
      </c>
      <c r="G379" s="12">
        <v>7.1909722222189885</v>
      </c>
      <c r="H379" s="2" t="s">
        <v>677</v>
      </c>
      <c r="J379" s="2" t="s">
        <v>230</v>
      </c>
      <c r="K379" s="2" t="s">
        <v>230</v>
      </c>
      <c r="L379" s="2" t="s">
        <v>2674</v>
      </c>
      <c r="M379" t="s">
        <v>663</v>
      </c>
      <c r="N379" t="s">
        <v>364</v>
      </c>
      <c r="O379" t="s">
        <v>2675</v>
      </c>
      <c r="P379" t="s">
        <v>2685</v>
      </c>
      <c r="Q379" t="s">
        <v>2677</v>
      </c>
    </row>
    <row r="380" spans="1:17">
      <c r="A380" s="2" t="s">
        <v>2044</v>
      </c>
      <c r="B380" s="2" t="s">
        <v>2044</v>
      </c>
      <c r="C380" s="2" t="s">
        <v>2054</v>
      </c>
      <c r="D380" s="11">
        <v>45965.46875</v>
      </c>
      <c r="E380" s="11">
        <v>45965.46875</v>
      </c>
      <c r="F380" s="11">
        <v>45972.659722222219</v>
      </c>
      <c r="G380" s="12">
        <v>7.1909722222189885</v>
      </c>
      <c r="H380" s="2" t="s">
        <v>677</v>
      </c>
      <c r="J380" s="2" t="s">
        <v>230</v>
      </c>
      <c r="K380" s="2" t="s">
        <v>230</v>
      </c>
      <c r="L380" s="2" t="s">
        <v>2674</v>
      </c>
      <c r="M380" t="s">
        <v>663</v>
      </c>
      <c r="N380" t="s">
        <v>364</v>
      </c>
      <c r="O380" t="s">
        <v>2675</v>
      </c>
      <c r="P380" t="s">
        <v>2686</v>
      </c>
      <c r="Q380" t="s">
        <v>2677</v>
      </c>
    </row>
    <row r="381" spans="1:17">
      <c r="A381" s="2" t="s">
        <v>2044</v>
      </c>
      <c r="B381" s="2" t="s">
        <v>2044</v>
      </c>
      <c r="C381" s="2" t="s">
        <v>2055</v>
      </c>
      <c r="D381" s="11">
        <v>45965.46875</v>
      </c>
      <c r="E381" s="11">
        <v>45965.46875</v>
      </c>
      <c r="F381" s="11">
        <v>45972.659722222219</v>
      </c>
      <c r="G381" s="12">
        <v>7.1909722222189885</v>
      </c>
      <c r="H381" s="2" t="s">
        <v>677</v>
      </c>
      <c r="J381" s="2" t="s">
        <v>230</v>
      </c>
      <c r="K381" s="2" t="s">
        <v>230</v>
      </c>
      <c r="L381" s="2" t="s">
        <v>2674</v>
      </c>
      <c r="M381" t="s">
        <v>663</v>
      </c>
      <c r="N381" t="s">
        <v>364</v>
      </c>
      <c r="O381" t="s">
        <v>2675</v>
      </c>
      <c r="P381" t="s">
        <v>2687</v>
      </c>
      <c r="Q381" t="s">
        <v>2677</v>
      </c>
    </row>
    <row r="382" spans="1:17">
      <c r="A382" s="2" t="s">
        <v>2044</v>
      </c>
      <c r="B382" s="2" t="s">
        <v>2044</v>
      </c>
      <c r="C382" s="2" t="s">
        <v>2056</v>
      </c>
      <c r="D382" s="11">
        <v>45965.46875</v>
      </c>
      <c r="E382" s="11">
        <v>45965.46875</v>
      </c>
      <c r="F382" s="11">
        <v>45972.659722222219</v>
      </c>
      <c r="G382" s="12">
        <v>7.1909722222189885</v>
      </c>
      <c r="H382" s="2" t="s">
        <v>677</v>
      </c>
      <c r="J382" s="2" t="s">
        <v>230</v>
      </c>
      <c r="K382" s="2" t="s">
        <v>230</v>
      </c>
      <c r="L382" s="2" t="s">
        <v>2674</v>
      </c>
      <c r="M382" t="s">
        <v>663</v>
      </c>
      <c r="N382" t="s">
        <v>364</v>
      </c>
      <c r="O382" t="s">
        <v>2675</v>
      </c>
      <c r="P382" t="s">
        <v>2688</v>
      </c>
      <c r="Q382" t="s">
        <v>2677</v>
      </c>
    </row>
    <row r="383" spans="1:17">
      <c r="A383" s="2" t="s">
        <v>444</v>
      </c>
      <c r="B383" s="2" t="s">
        <v>444</v>
      </c>
      <c r="C383" s="2" t="s">
        <v>256</v>
      </c>
      <c r="D383" s="11">
        <v>45965.576388888891</v>
      </c>
      <c r="E383" s="11">
        <v>45965.576388888891</v>
      </c>
      <c r="F383" s="11">
        <v>45965.600694444445</v>
      </c>
      <c r="G383" s="12">
        <v>2.4305555554747116E-2</v>
      </c>
      <c r="H383" s="2" t="s">
        <v>268</v>
      </c>
      <c r="I383" s="2" t="s">
        <v>269</v>
      </c>
      <c r="J383" s="2" t="s">
        <v>270</v>
      </c>
      <c r="K383" s="2" t="s">
        <v>674</v>
      </c>
      <c r="L383" s="2" t="s">
        <v>715</v>
      </c>
      <c r="M383" t="s">
        <v>272</v>
      </c>
      <c r="N383" t="s">
        <v>631</v>
      </c>
      <c r="O383" t="s">
        <v>631</v>
      </c>
      <c r="P383" t="s">
        <v>2689</v>
      </c>
      <c r="Q383" t="s">
        <v>2690</v>
      </c>
    </row>
    <row r="384" spans="1:17">
      <c r="A384" s="2" t="s">
        <v>444</v>
      </c>
      <c r="B384" s="2" t="s">
        <v>444</v>
      </c>
      <c r="C384" s="2" t="s">
        <v>264</v>
      </c>
      <c r="D384" s="11">
        <v>45965.576388888891</v>
      </c>
      <c r="E384" s="11">
        <v>45965.576388888891</v>
      </c>
      <c r="F384" s="11">
        <v>45965.600694444445</v>
      </c>
      <c r="G384" s="12">
        <v>2.4305555554747116E-2</v>
      </c>
      <c r="H384" s="2" t="s">
        <v>268</v>
      </c>
      <c r="I384" s="2" t="s">
        <v>269</v>
      </c>
      <c r="J384" s="2" t="s">
        <v>270</v>
      </c>
      <c r="K384" s="2" t="s">
        <v>674</v>
      </c>
      <c r="L384" s="2" t="s">
        <v>715</v>
      </c>
      <c r="M384" t="s">
        <v>272</v>
      </c>
      <c r="N384" t="s">
        <v>631</v>
      </c>
      <c r="O384" t="s">
        <v>631</v>
      </c>
      <c r="P384" t="s">
        <v>2691</v>
      </c>
      <c r="Q384" t="s">
        <v>2690</v>
      </c>
    </row>
    <row r="385" spans="1:17">
      <c r="A385" s="2" t="s">
        <v>444</v>
      </c>
      <c r="B385" s="2" t="s">
        <v>444</v>
      </c>
      <c r="C385" s="2" t="s">
        <v>2085</v>
      </c>
      <c r="D385" s="11">
        <v>45965.576388888891</v>
      </c>
      <c r="E385" s="11">
        <v>45965.576388888891</v>
      </c>
      <c r="F385" s="11">
        <v>45965.600694444445</v>
      </c>
      <c r="G385" s="12">
        <v>2.4305555554747116E-2</v>
      </c>
      <c r="H385" s="2" t="s">
        <v>268</v>
      </c>
      <c r="I385" s="2" t="s">
        <v>269</v>
      </c>
      <c r="J385" s="2" t="s">
        <v>270</v>
      </c>
      <c r="K385" s="2" t="s">
        <v>674</v>
      </c>
      <c r="L385" s="2" t="s">
        <v>715</v>
      </c>
      <c r="M385" t="s">
        <v>272</v>
      </c>
      <c r="N385" t="s">
        <v>631</v>
      </c>
      <c r="O385" t="s">
        <v>631</v>
      </c>
      <c r="P385" t="s">
        <v>2692</v>
      </c>
      <c r="Q385" t="s">
        <v>2690</v>
      </c>
    </row>
    <row r="386" spans="1:17">
      <c r="A386" s="2" t="s">
        <v>444</v>
      </c>
      <c r="B386" s="2" t="s">
        <v>444</v>
      </c>
      <c r="C386" s="2" t="s">
        <v>2086</v>
      </c>
      <c r="D386" s="11">
        <v>45965.576388888891</v>
      </c>
      <c r="E386" s="11">
        <v>45965.576388888891</v>
      </c>
      <c r="F386" s="11">
        <v>45965.600694444445</v>
      </c>
      <c r="G386" s="12">
        <v>2.4305555554747116E-2</v>
      </c>
      <c r="H386" s="2" t="s">
        <v>268</v>
      </c>
      <c r="I386" s="2" t="s">
        <v>269</v>
      </c>
      <c r="J386" s="2" t="s">
        <v>270</v>
      </c>
      <c r="K386" s="2" t="s">
        <v>674</v>
      </c>
      <c r="L386" s="2" t="s">
        <v>715</v>
      </c>
      <c r="M386" t="s">
        <v>272</v>
      </c>
      <c r="N386" t="s">
        <v>631</v>
      </c>
      <c r="O386" t="s">
        <v>631</v>
      </c>
      <c r="P386" t="s">
        <v>2693</v>
      </c>
      <c r="Q386" t="s">
        <v>2690</v>
      </c>
    </row>
    <row r="387" spans="1:17">
      <c r="A387" s="2" t="s">
        <v>444</v>
      </c>
      <c r="B387" s="2" t="s">
        <v>444</v>
      </c>
      <c r="C387" s="2" t="s">
        <v>390</v>
      </c>
      <c r="D387" s="11">
        <v>45965.576388888891</v>
      </c>
      <c r="E387" s="11">
        <v>45965.576388888891</v>
      </c>
      <c r="F387" s="11">
        <v>45965.600694444445</v>
      </c>
      <c r="G387" s="12">
        <v>2.4305555554747116E-2</v>
      </c>
      <c r="H387" s="2" t="s">
        <v>268</v>
      </c>
      <c r="I387" s="2" t="s">
        <v>269</v>
      </c>
      <c r="J387" s="2" t="s">
        <v>270</v>
      </c>
      <c r="K387" s="2" t="s">
        <v>674</v>
      </c>
      <c r="L387" s="2" t="s">
        <v>715</v>
      </c>
      <c r="M387" t="s">
        <v>272</v>
      </c>
      <c r="N387" t="s">
        <v>631</v>
      </c>
      <c r="O387" t="s">
        <v>631</v>
      </c>
      <c r="P387" t="s">
        <v>2694</v>
      </c>
      <c r="Q387" t="s">
        <v>2690</v>
      </c>
    </row>
    <row r="388" spans="1:17">
      <c r="A388" s="2" t="s">
        <v>446</v>
      </c>
      <c r="B388" s="2" t="s">
        <v>446</v>
      </c>
      <c r="C388" s="2" t="s">
        <v>2087</v>
      </c>
      <c r="D388" s="11">
        <v>45965.576388888891</v>
      </c>
      <c r="E388" s="11">
        <v>45965.576388888891</v>
      </c>
      <c r="F388" s="11">
        <v>45965.600694444445</v>
      </c>
      <c r="G388" s="12">
        <v>2.4305555554747116E-2</v>
      </c>
      <c r="H388" s="2" t="s">
        <v>268</v>
      </c>
      <c r="I388" s="2" t="s">
        <v>269</v>
      </c>
      <c r="J388" s="2" t="s">
        <v>270</v>
      </c>
      <c r="K388" s="2" t="s">
        <v>674</v>
      </c>
      <c r="L388" s="2" t="s">
        <v>715</v>
      </c>
      <c r="M388" t="s">
        <v>272</v>
      </c>
      <c r="N388" t="s">
        <v>631</v>
      </c>
      <c r="O388" t="s">
        <v>631</v>
      </c>
      <c r="P388" t="s">
        <v>2695</v>
      </c>
      <c r="Q388" t="s">
        <v>2690</v>
      </c>
    </row>
    <row r="389" spans="1:17">
      <c r="A389" s="2" t="s">
        <v>446</v>
      </c>
      <c r="B389" s="2" t="s">
        <v>446</v>
      </c>
      <c r="C389" s="2" t="s">
        <v>2088</v>
      </c>
      <c r="D389" s="11">
        <v>45965.576388888891</v>
      </c>
      <c r="E389" s="11">
        <v>45965.576388888891</v>
      </c>
      <c r="F389" s="11">
        <v>45965.600694444445</v>
      </c>
      <c r="G389" s="12">
        <v>2.4305555554747116E-2</v>
      </c>
      <c r="H389" s="2" t="s">
        <v>268</v>
      </c>
      <c r="I389" s="2" t="s">
        <v>269</v>
      </c>
      <c r="J389" s="2" t="s">
        <v>270</v>
      </c>
      <c r="K389" s="2" t="s">
        <v>674</v>
      </c>
      <c r="L389" s="2" t="s">
        <v>715</v>
      </c>
      <c r="M389" t="s">
        <v>272</v>
      </c>
      <c r="N389" t="s">
        <v>631</v>
      </c>
      <c r="O389" t="s">
        <v>631</v>
      </c>
      <c r="P389" t="s">
        <v>2696</v>
      </c>
      <c r="Q389" t="s">
        <v>2690</v>
      </c>
    </row>
    <row r="390" spans="1:17">
      <c r="A390" s="2" t="s">
        <v>446</v>
      </c>
      <c r="B390" s="2" t="s">
        <v>446</v>
      </c>
      <c r="C390" s="2" t="s">
        <v>447</v>
      </c>
      <c r="D390" s="11">
        <v>45965.576388888891</v>
      </c>
      <c r="E390" s="11">
        <v>45965.576388888891</v>
      </c>
      <c r="F390" s="11">
        <v>45965.600694444445</v>
      </c>
      <c r="G390" s="12">
        <v>2.4305555554747116E-2</v>
      </c>
      <c r="H390" s="2" t="s">
        <v>268</v>
      </c>
      <c r="I390" s="2" t="s">
        <v>269</v>
      </c>
      <c r="J390" s="2" t="s">
        <v>270</v>
      </c>
      <c r="K390" s="2" t="s">
        <v>674</v>
      </c>
      <c r="L390" s="2" t="s">
        <v>715</v>
      </c>
      <c r="M390" t="s">
        <v>272</v>
      </c>
      <c r="N390" t="s">
        <v>631</v>
      </c>
      <c r="O390" t="s">
        <v>631</v>
      </c>
      <c r="P390" t="s">
        <v>2697</v>
      </c>
      <c r="Q390" t="s">
        <v>2690</v>
      </c>
    </row>
    <row r="391" spans="1:17">
      <c r="A391" s="2" t="s">
        <v>265</v>
      </c>
      <c r="B391" s="2" t="s">
        <v>265</v>
      </c>
      <c r="C391" s="2" t="s">
        <v>263</v>
      </c>
      <c r="D391" s="11">
        <v>45966.253472222219</v>
      </c>
      <c r="E391" s="11">
        <v>45966.253472222219</v>
      </c>
      <c r="F391" s="11">
        <v>45966.308333333334</v>
      </c>
      <c r="G391" s="12">
        <v>5.4861111115314998E-2</v>
      </c>
      <c r="H391" s="2" t="s">
        <v>257</v>
      </c>
      <c r="J391" s="2" t="s">
        <v>258</v>
      </c>
      <c r="K391" s="2" t="s">
        <v>658</v>
      </c>
      <c r="L391" s="2" t="s">
        <v>2698</v>
      </c>
      <c r="M391" t="s">
        <v>260</v>
      </c>
      <c r="N391" t="s">
        <v>357</v>
      </c>
      <c r="O391" t="s">
        <v>632</v>
      </c>
      <c r="P391" t="s">
        <v>2699</v>
      </c>
      <c r="Q391" t="s">
        <v>2281</v>
      </c>
    </row>
    <row r="392" spans="1:17">
      <c r="A392" s="2" t="s">
        <v>265</v>
      </c>
      <c r="B392" s="2" t="s">
        <v>265</v>
      </c>
      <c r="C392" s="2" t="s">
        <v>264</v>
      </c>
      <c r="D392" s="11">
        <v>45966.253472222219</v>
      </c>
      <c r="E392" s="11">
        <v>45966.253472222219</v>
      </c>
      <c r="F392" s="11">
        <v>45966.308333333334</v>
      </c>
      <c r="G392" s="12">
        <v>5.4861111115314998E-2</v>
      </c>
      <c r="H392" s="2" t="s">
        <v>257</v>
      </c>
      <c r="J392" s="2" t="s">
        <v>258</v>
      </c>
      <c r="K392" s="2" t="s">
        <v>658</v>
      </c>
      <c r="L392" s="2" t="s">
        <v>2700</v>
      </c>
      <c r="M392" t="s">
        <v>260</v>
      </c>
      <c r="N392" t="s">
        <v>357</v>
      </c>
      <c r="O392" t="s">
        <v>632</v>
      </c>
      <c r="P392" t="s">
        <v>2701</v>
      </c>
      <c r="Q392" t="s">
        <v>2281</v>
      </c>
    </row>
    <row r="393" spans="1:17">
      <c r="A393" s="2" t="s">
        <v>265</v>
      </c>
      <c r="B393" s="2" t="s">
        <v>265</v>
      </c>
      <c r="C393" s="2" t="s">
        <v>256</v>
      </c>
      <c r="D393" s="11">
        <v>45966.253472222219</v>
      </c>
      <c r="E393" s="11">
        <v>45966.253472222219</v>
      </c>
      <c r="F393" s="11">
        <v>45966.308333333334</v>
      </c>
      <c r="G393" s="12">
        <v>5.4861111115314998E-2</v>
      </c>
      <c r="H393" s="2" t="s">
        <v>257</v>
      </c>
      <c r="J393" s="2" t="s">
        <v>258</v>
      </c>
      <c r="K393" s="2" t="s">
        <v>658</v>
      </c>
      <c r="L393" s="2" t="s">
        <v>2700</v>
      </c>
      <c r="M393" t="s">
        <v>260</v>
      </c>
      <c r="N393" t="s">
        <v>357</v>
      </c>
      <c r="O393" t="s">
        <v>632</v>
      </c>
      <c r="P393" t="s">
        <v>2702</v>
      </c>
      <c r="Q393" t="s">
        <v>2281</v>
      </c>
    </row>
    <row r="394" spans="1:17">
      <c r="A394" s="2" t="s">
        <v>265</v>
      </c>
      <c r="B394" s="2" t="s">
        <v>265</v>
      </c>
      <c r="C394" s="2" t="s">
        <v>247</v>
      </c>
      <c r="D394" s="11">
        <v>45966.253472222219</v>
      </c>
      <c r="E394" s="11">
        <v>45966.253472222219</v>
      </c>
      <c r="F394" s="11">
        <v>45966.308333333334</v>
      </c>
      <c r="G394" s="12">
        <v>5.4861111115314998E-2</v>
      </c>
      <c r="H394" s="2" t="s">
        <v>257</v>
      </c>
      <c r="J394" s="2" t="s">
        <v>258</v>
      </c>
      <c r="K394" s="2" t="s">
        <v>658</v>
      </c>
      <c r="L394" s="2" t="s">
        <v>2700</v>
      </c>
      <c r="M394" t="s">
        <v>260</v>
      </c>
      <c r="N394" t="s">
        <v>357</v>
      </c>
      <c r="O394" t="s">
        <v>632</v>
      </c>
      <c r="P394" t="s">
        <v>2703</v>
      </c>
      <c r="Q394" t="s">
        <v>2281</v>
      </c>
    </row>
    <row r="395" spans="1:17">
      <c r="A395" s="2" t="s">
        <v>805</v>
      </c>
      <c r="B395" s="2" t="s">
        <v>805</v>
      </c>
      <c r="C395" s="2" t="s">
        <v>264</v>
      </c>
      <c r="D395" s="11">
        <v>45966.253472222219</v>
      </c>
      <c r="E395" s="11">
        <v>45966.253472222219</v>
      </c>
      <c r="F395" s="11">
        <v>45966.308333333334</v>
      </c>
      <c r="G395" s="12">
        <v>5.4861111115314998E-2</v>
      </c>
      <c r="H395" s="2" t="s">
        <v>257</v>
      </c>
      <c r="J395" s="2" t="s">
        <v>258</v>
      </c>
      <c r="K395" s="2" t="s">
        <v>658</v>
      </c>
      <c r="L395" s="2" t="s">
        <v>2700</v>
      </c>
      <c r="M395" t="s">
        <v>260</v>
      </c>
      <c r="N395" t="s">
        <v>357</v>
      </c>
      <c r="O395" t="s">
        <v>632</v>
      </c>
      <c r="P395" t="s">
        <v>2704</v>
      </c>
      <c r="Q395" t="s">
        <v>2281</v>
      </c>
    </row>
    <row r="396" spans="1:17">
      <c r="A396" s="2" t="s">
        <v>805</v>
      </c>
      <c r="B396" s="2" t="s">
        <v>805</v>
      </c>
      <c r="C396" s="2" t="s">
        <v>256</v>
      </c>
      <c r="D396" s="11">
        <v>45966.253472222219</v>
      </c>
      <c r="E396" s="11">
        <v>45966.253472222219</v>
      </c>
      <c r="F396" s="11">
        <v>45966.308333333334</v>
      </c>
      <c r="G396" s="12">
        <v>5.4861111115314998E-2</v>
      </c>
      <c r="H396" s="2" t="s">
        <v>257</v>
      </c>
      <c r="J396" s="2" t="s">
        <v>258</v>
      </c>
      <c r="K396" s="2" t="s">
        <v>658</v>
      </c>
      <c r="L396" s="2" t="s">
        <v>2700</v>
      </c>
      <c r="M396" t="s">
        <v>260</v>
      </c>
      <c r="N396" t="s">
        <v>357</v>
      </c>
      <c r="O396" t="s">
        <v>632</v>
      </c>
      <c r="P396" t="s">
        <v>2705</v>
      </c>
      <c r="Q396" t="s">
        <v>2281</v>
      </c>
    </row>
    <row r="397" spans="1:17">
      <c r="A397" s="2" t="s">
        <v>805</v>
      </c>
      <c r="B397" s="2" t="s">
        <v>805</v>
      </c>
      <c r="C397" s="2" t="s">
        <v>307</v>
      </c>
      <c r="D397" s="11">
        <v>45966.253472222219</v>
      </c>
      <c r="E397" s="11">
        <v>45966.253472222219</v>
      </c>
      <c r="F397" s="11">
        <v>45966.308333333334</v>
      </c>
      <c r="G397" s="12">
        <v>5.4861111115314998E-2</v>
      </c>
      <c r="H397" s="2" t="s">
        <v>257</v>
      </c>
      <c r="J397" s="2" t="s">
        <v>258</v>
      </c>
      <c r="K397" s="2" t="s">
        <v>658</v>
      </c>
      <c r="L397" s="2" t="s">
        <v>2700</v>
      </c>
      <c r="M397" t="s">
        <v>260</v>
      </c>
      <c r="N397" t="s">
        <v>357</v>
      </c>
      <c r="O397" t="s">
        <v>632</v>
      </c>
      <c r="P397" t="s">
        <v>2706</v>
      </c>
      <c r="Q397" t="s">
        <v>2281</v>
      </c>
    </row>
    <row r="398" spans="1:17">
      <c r="A398" s="2" t="s">
        <v>805</v>
      </c>
      <c r="B398" s="2" t="s">
        <v>805</v>
      </c>
      <c r="C398" s="2" t="s">
        <v>263</v>
      </c>
      <c r="D398" s="11">
        <v>45966.253472222219</v>
      </c>
      <c r="E398" s="11">
        <v>45966.253472222219</v>
      </c>
      <c r="F398" s="11">
        <v>45966.308333333334</v>
      </c>
      <c r="G398" s="12">
        <v>5.4861111115314998E-2</v>
      </c>
      <c r="H398" s="2" t="s">
        <v>257</v>
      </c>
      <c r="J398" s="2" t="s">
        <v>258</v>
      </c>
      <c r="K398" s="2" t="s">
        <v>658</v>
      </c>
      <c r="L398" s="2" t="s">
        <v>2700</v>
      </c>
      <c r="M398" t="s">
        <v>260</v>
      </c>
      <c r="N398" t="s">
        <v>357</v>
      </c>
      <c r="O398" t="s">
        <v>632</v>
      </c>
      <c r="P398" t="s">
        <v>2707</v>
      </c>
      <c r="Q398" t="s">
        <v>2281</v>
      </c>
    </row>
    <row r="399" spans="1:17">
      <c r="A399" s="2" t="s">
        <v>806</v>
      </c>
      <c r="B399" s="2" t="s">
        <v>806</v>
      </c>
      <c r="C399" s="2" t="s">
        <v>264</v>
      </c>
      <c r="D399" s="11">
        <v>45966.253472222219</v>
      </c>
      <c r="E399" s="11">
        <v>45966.253472222219</v>
      </c>
      <c r="F399" s="11">
        <v>45966.308333333334</v>
      </c>
      <c r="G399" s="12">
        <v>5.4861111115314998E-2</v>
      </c>
      <c r="H399" s="2" t="s">
        <v>257</v>
      </c>
      <c r="J399" s="2" t="s">
        <v>258</v>
      </c>
      <c r="K399" s="2" t="s">
        <v>658</v>
      </c>
      <c r="L399" s="2" t="s">
        <v>2700</v>
      </c>
      <c r="M399" t="s">
        <v>260</v>
      </c>
      <c r="N399" t="s">
        <v>357</v>
      </c>
      <c r="O399" t="s">
        <v>632</v>
      </c>
      <c r="P399" t="s">
        <v>2708</v>
      </c>
      <c r="Q399" t="s">
        <v>2281</v>
      </c>
    </row>
    <row r="400" spans="1:17">
      <c r="A400" s="2" t="s">
        <v>806</v>
      </c>
      <c r="B400" s="2" t="s">
        <v>806</v>
      </c>
      <c r="C400" s="2" t="s">
        <v>256</v>
      </c>
      <c r="D400" s="11">
        <v>45966.253472222219</v>
      </c>
      <c r="E400" s="11">
        <v>45966.253472222219</v>
      </c>
      <c r="F400" s="11">
        <v>45966.308333333334</v>
      </c>
      <c r="G400" s="12">
        <v>5.4861111115314998E-2</v>
      </c>
      <c r="H400" s="2" t="s">
        <v>257</v>
      </c>
      <c r="J400" s="2" t="s">
        <v>258</v>
      </c>
      <c r="K400" s="2" t="s">
        <v>658</v>
      </c>
      <c r="L400" s="2" t="s">
        <v>2700</v>
      </c>
      <c r="M400" t="s">
        <v>260</v>
      </c>
      <c r="N400" t="s">
        <v>357</v>
      </c>
      <c r="O400" t="s">
        <v>632</v>
      </c>
      <c r="P400" t="s">
        <v>2709</v>
      </c>
      <c r="Q400" t="s">
        <v>2281</v>
      </c>
    </row>
    <row r="401" spans="1:17">
      <c r="A401" s="2" t="s">
        <v>2428</v>
      </c>
      <c r="B401" s="2" t="s">
        <v>299</v>
      </c>
      <c r="C401" s="2" t="s">
        <v>303</v>
      </c>
      <c r="D401" s="11">
        <v>45966.256944444445</v>
      </c>
      <c r="E401" s="11">
        <v>45966.256944444445</v>
      </c>
      <c r="F401" s="11">
        <v>45966.350694444445</v>
      </c>
      <c r="G401" s="12">
        <v>9.375E-2</v>
      </c>
      <c r="H401" s="2" t="s">
        <v>268</v>
      </c>
      <c r="I401" s="2" t="s">
        <v>269</v>
      </c>
      <c r="J401" s="2" t="s">
        <v>319</v>
      </c>
      <c r="K401" s="2" t="s">
        <v>652</v>
      </c>
      <c r="L401" s="2" t="s">
        <v>2710</v>
      </c>
      <c r="M401" t="s">
        <v>252</v>
      </c>
      <c r="N401" t="s">
        <v>631</v>
      </c>
      <c r="O401" t="s">
        <v>2711</v>
      </c>
      <c r="P401" t="s">
        <v>2712</v>
      </c>
      <c r="Q401" t="s">
        <v>2713</v>
      </c>
    </row>
    <row r="402" spans="1:17">
      <c r="A402" s="2" t="s">
        <v>2175</v>
      </c>
      <c r="B402" s="2" t="s">
        <v>299</v>
      </c>
      <c r="C402" s="2" t="s">
        <v>300</v>
      </c>
      <c r="D402" s="11">
        <v>45966.256944444445</v>
      </c>
      <c r="E402" s="11">
        <v>45966.256944444445</v>
      </c>
      <c r="F402" s="11">
        <v>45966.350694444445</v>
      </c>
      <c r="G402" s="12">
        <v>9.375E-2</v>
      </c>
      <c r="H402" s="2" t="s">
        <v>268</v>
      </c>
      <c r="I402" s="2" t="s">
        <v>269</v>
      </c>
      <c r="J402" s="2" t="s">
        <v>319</v>
      </c>
      <c r="K402" s="2" t="s">
        <v>652</v>
      </c>
      <c r="L402" s="2" t="s">
        <v>2710</v>
      </c>
      <c r="M402" t="s">
        <v>252</v>
      </c>
      <c r="N402" t="s">
        <v>631</v>
      </c>
      <c r="O402" t="s">
        <v>2711</v>
      </c>
      <c r="P402" t="s">
        <v>2714</v>
      </c>
      <c r="Q402" t="s">
        <v>2713</v>
      </c>
    </row>
    <row r="403" spans="1:17">
      <c r="A403" s="2" t="s">
        <v>2431</v>
      </c>
      <c r="B403" s="2" t="s">
        <v>299</v>
      </c>
      <c r="C403" s="2" t="s">
        <v>304</v>
      </c>
      <c r="D403" s="11">
        <v>45966.256944444445</v>
      </c>
      <c r="E403" s="11">
        <v>45966.256944444445</v>
      </c>
      <c r="F403" s="11">
        <v>45966.350694444445</v>
      </c>
      <c r="G403" s="12">
        <v>9.375E-2</v>
      </c>
      <c r="H403" s="2" t="s">
        <v>268</v>
      </c>
      <c r="I403" s="2" t="s">
        <v>269</v>
      </c>
      <c r="J403" s="2" t="s">
        <v>319</v>
      </c>
      <c r="K403" s="2" t="s">
        <v>652</v>
      </c>
      <c r="L403" s="2" t="s">
        <v>2710</v>
      </c>
      <c r="M403" t="s">
        <v>252</v>
      </c>
      <c r="N403" t="s">
        <v>631</v>
      </c>
      <c r="O403" t="s">
        <v>2711</v>
      </c>
      <c r="P403" t="s">
        <v>2715</v>
      </c>
      <c r="Q403" t="s">
        <v>2713</v>
      </c>
    </row>
    <row r="404" spans="1:17">
      <c r="A404" s="2" t="s">
        <v>2195</v>
      </c>
      <c r="B404" s="2" t="s">
        <v>543</v>
      </c>
      <c r="C404" s="2" t="s">
        <v>2535</v>
      </c>
      <c r="D404" s="11">
        <v>45966.261388888888</v>
      </c>
      <c r="E404" s="11">
        <v>45966.261388888888</v>
      </c>
      <c r="F404" s="11">
        <v>45966.26835648148</v>
      </c>
      <c r="G404" s="12">
        <v>6.9675925915362313E-3</v>
      </c>
      <c r="H404" s="2" t="s">
        <v>257</v>
      </c>
      <c r="J404" s="2" t="s">
        <v>371</v>
      </c>
      <c r="K404" s="2" t="s">
        <v>653</v>
      </c>
      <c r="L404" s="2" t="s">
        <v>861</v>
      </c>
      <c r="M404" t="s">
        <v>252</v>
      </c>
      <c r="N404" t="s">
        <v>631</v>
      </c>
      <c r="P404" t="s">
        <v>2716</v>
      </c>
      <c r="Q404" t="s">
        <v>2537</v>
      </c>
    </row>
    <row r="405" spans="1:17">
      <c r="A405" s="2" t="s">
        <v>2195</v>
      </c>
      <c r="B405" s="2" t="s">
        <v>543</v>
      </c>
      <c r="C405" s="2" t="s">
        <v>2616</v>
      </c>
      <c r="D405" s="11">
        <v>45966.261840277781</v>
      </c>
      <c r="E405" s="11">
        <v>45966.261840277781</v>
      </c>
      <c r="F405" s="11">
        <v>45966.285231481481</v>
      </c>
      <c r="G405" s="12">
        <v>2.3391203700157348E-2</v>
      </c>
      <c r="H405" s="2" t="s">
        <v>257</v>
      </c>
      <c r="J405" s="2" t="s">
        <v>371</v>
      </c>
      <c r="K405" s="2" t="s">
        <v>653</v>
      </c>
      <c r="L405" s="2" t="s">
        <v>861</v>
      </c>
      <c r="M405" t="s">
        <v>252</v>
      </c>
      <c r="N405" t="s">
        <v>631</v>
      </c>
      <c r="P405" t="s">
        <v>2717</v>
      </c>
      <c r="Q405" t="s">
        <v>2537</v>
      </c>
    </row>
    <row r="406" spans="1:17">
      <c r="A406" s="2" t="s">
        <v>2195</v>
      </c>
      <c r="B406" s="2" t="s">
        <v>543</v>
      </c>
      <c r="C406" s="2" t="s">
        <v>2618</v>
      </c>
      <c r="D406" s="11">
        <v>45966.261863425927</v>
      </c>
      <c r="E406" s="11">
        <v>45966.261863425927</v>
      </c>
      <c r="F406" s="11">
        <v>45966.285231481481</v>
      </c>
      <c r="G406" s="12">
        <v>2.3368055553874001E-2</v>
      </c>
      <c r="H406" s="2" t="s">
        <v>257</v>
      </c>
      <c r="J406" s="2" t="s">
        <v>371</v>
      </c>
      <c r="K406" s="2" t="s">
        <v>653</v>
      </c>
      <c r="L406" s="2" t="s">
        <v>861</v>
      </c>
      <c r="M406" t="s">
        <v>252</v>
      </c>
      <c r="N406" t="s">
        <v>631</v>
      </c>
      <c r="P406" t="s">
        <v>2718</v>
      </c>
      <c r="Q406" t="s">
        <v>2537</v>
      </c>
    </row>
    <row r="407" spans="1:17">
      <c r="A407" s="2" t="s">
        <v>2195</v>
      </c>
      <c r="B407" s="2" t="s">
        <v>543</v>
      </c>
      <c r="C407" s="2" t="s">
        <v>2719</v>
      </c>
      <c r="D407" s="11">
        <v>45966.261932870373</v>
      </c>
      <c r="E407" s="11">
        <v>45966.261932870373</v>
      </c>
      <c r="F407" s="11">
        <v>45966.285231481481</v>
      </c>
      <c r="G407" s="12">
        <v>2.3298611107748002E-2</v>
      </c>
      <c r="H407" s="2" t="s">
        <v>257</v>
      </c>
      <c r="J407" s="2" t="s">
        <v>371</v>
      </c>
      <c r="K407" s="2" t="s">
        <v>653</v>
      </c>
      <c r="L407" s="2" t="s">
        <v>861</v>
      </c>
      <c r="M407" t="s">
        <v>252</v>
      </c>
      <c r="N407" t="s">
        <v>631</v>
      </c>
      <c r="P407" t="s">
        <v>2720</v>
      </c>
      <c r="Q407" t="s">
        <v>2537</v>
      </c>
    </row>
    <row r="408" spans="1:17">
      <c r="A408" s="2" t="s">
        <v>2134</v>
      </c>
      <c r="B408" s="2" t="s">
        <v>585</v>
      </c>
      <c r="C408" s="2" t="s">
        <v>590</v>
      </c>
      <c r="D408" s="11">
        <v>45966.306944444441</v>
      </c>
      <c r="E408" s="11">
        <v>45966.306944444441</v>
      </c>
      <c r="F408" s="11">
        <v>45966.722222222219</v>
      </c>
      <c r="G408" s="12">
        <v>0.41527777777810115</v>
      </c>
      <c r="H408" s="2" t="s">
        <v>677</v>
      </c>
      <c r="J408" s="2" t="s">
        <v>230</v>
      </c>
      <c r="K408" s="2" t="s">
        <v>230</v>
      </c>
      <c r="L408" s="2" t="s">
        <v>2721</v>
      </c>
      <c r="M408" t="s">
        <v>663</v>
      </c>
      <c r="N408" t="s">
        <v>672</v>
      </c>
      <c r="O408" t="s">
        <v>2236</v>
      </c>
      <c r="P408" t="s">
        <v>2722</v>
      </c>
      <c r="Q408" t="s">
        <v>2677</v>
      </c>
    </row>
    <row r="409" spans="1:17">
      <c r="A409" s="2" t="s">
        <v>2134</v>
      </c>
      <c r="B409" s="2" t="s">
        <v>585</v>
      </c>
      <c r="C409" s="2" t="s">
        <v>2091</v>
      </c>
      <c r="D409" s="11">
        <v>45966.306944444441</v>
      </c>
      <c r="E409" s="11">
        <v>45966.306944444441</v>
      </c>
      <c r="F409" s="11">
        <v>45966.722222222219</v>
      </c>
      <c r="G409" s="12">
        <v>0.41527777777810115</v>
      </c>
      <c r="H409" s="2" t="s">
        <v>677</v>
      </c>
      <c r="J409" s="2" t="s">
        <v>230</v>
      </c>
      <c r="K409" s="2" t="s">
        <v>230</v>
      </c>
      <c r="L409" s="2" t="s">
        <v>2721</v>
      </c>
      <c r="M409" t="s">
        <v>663</v>
      </c>
      <c r="N409" t="s">
        <v>672</v>
      </c>
      <c r="O409" t="s">
        <v>2236</v>
      </c>
      <c r="P409" t="s">
        <v>2723</v>
      </c>
      <c r="Q409" t="s">
        <v>2677</v>
      </c>
    </row>
    <row r="410" spans="1:17">
      <c r="A410" s="2" t="s">
        <v>2134</v>
      </c>
      <c r="B410" s="2" t="s">
        <v>585</v>
      </c>
      <c r="C410" s="2" t="s">
        <v>586</v>
      </c>
      <c r="D410" s="11">
        <v>45966.306944444441</v>
      </c>
      <c r="E410" s="11">
        <v>45966.306944444441</v>
      </c>
      <c r="F410" s="11">
        <v>45966.722222222219</v>
      </c>
      <c r="G410" s="12">
        <v>0.41527777777810115</v>
      </c>
      <c r="H410" s="2" t="s">
        <v>677</v>
      </c>
      <c r="J410" s="2" t="s">
        <v>230</v>
      </c>
      <c r="K410" s="2" t="s">
        <v>230</v>
      </c>
      <c r="L410" s="2" t="s">
        <v>2721</v>
      </c>
      <c r="M410" t="s">
        <v>663</v>
      </c>
      <c r="N410" t="s">
        <v>672</v>
      </c>
      <c r="O410" t="s">
        <v>2236</v>
      </c>
      <c r="P410" t="s">
        <v>2724</v>
      </c>
      <c r="Q410" t="s">
        <v>2677</v>
      </c>
    </row>
    <row r="411" spans="1:17">
      <c r="A411" s="2" t="s">
        <v>2134</v>
      </c>
      <c r="B411" s="2" t="s">
        <v>585</v>
      </c>
      <c r="C411" s="2" t="s">
        <v>598</v>
      </c>
      <c r="D411" s="11">
        <v>45966.306944444441</v>
      </c>
      <c r="E411" s="11">
        <v>45966.306944444441</v>
      </c>
      <c r="F411" s="11">
        <v>45966.722222222219</v>
      </c>
      <c r="G411" s="12">
        <v>0.41527777777810115</v>
      </c>
      <c r="H411" s="2" t="s">
        <v>677</v>
      </c>
      <c r="J411" s="2" t="s">
        <v>230</v>
      </c>
      <c r="K411" s="2" t="s">
        <v>230</v>
      </c>
      <c r="L411" s="2" t="s">
        <v>2721</v>
      </c>
      <c r="M411" t="s">
        <v>663</v>
      </c>
      <c r="N411" t="s">
        <v>672</v>
      </c>
      <c r="O411" t="s">
        <v>2236</v>
      </c>
      <c r="P411" t="s">
        <v>2725</v>
      </c>
      <c r="Q411" t="s">
        <v>2677</v>
      </c>
    </row>
    <row r="412" spans="1:17">
      <c r="A412" s="2" t="s">
        <v>2134</v>
      </c>
      <c r="B412" s="2" t="s">
        <v>585</v>
      </c>
      <c r="C412" s="2" t="s">
        <v>600</v>
      </c>
      <c r="D412" s="11">
        <v>45966.306944444441</v>
      </c>
      <c r="E412" s="11">
        <v>45966.306944444441</v>
      </c>
      <c r="F412" s="11">
        <v>45966.722222222219</v>
      </c>
      <c r="G412" s="12">
        <v>0.41527777777810115</v>
      </c>
      <c r="H412" s="2" t="s">
        <v>677</v>
      </c>
      <c r="J412" s="2" t="s">
        <v>230</v>
      </c>
      <c r="K412" s="2" t="s">
        <v>230</v>
      </c>
      <c r="L412" s="2" t="s">
        <v>2721</v>
      </c>
      <c r="M412" t="s">
        <v>663</v>
      </c>
      <c r="N412" t="s">
        <v>672</v>
      </c>
      <c r="O412" t="s">
        <v>2236</v>
      </c>
      <c r="P412" t="s">
        <v>2726</v>
      </c>
      <c r="Q412" t="s">
        <v>2677</v>
      </c>
    </row>
    <row r="413" spans="1:17">
      <c r="A413" s="2" t="s">
        <v>2134</v>
      </c>
      <c r="B413" s="2" t="s">
        <v>585</v>
      </c>
      <c r="C413" s="2" t="s">
        <v>596</v>
      </c>
      <c r="D413" s="11">
        <v>45966.306944444441</v>
      </c>
      <c r="E413" s="11">
        <v>45966.306944444441</v>
      </c>
      <c r="F413" s="11">
        <v>45966.722222222219</v>
      </c>
      <c r="G413" s="12">
        <v>0.41527777777810115</v>
      </c>
      <c r="H413" s="2" t="s">
        <v>677</v>
      </c>
      <c r="J413" s="2" t="s">
        <v>230</v>
      </c>
      <c r="K413" s="2" t="s">
        <v>230</v>
      </c>
      <c r="L413" s="2" t="s">
        <v>2721</v>
      </c>
      <c r="M413" t="s">
        <v>663</v>
      </c>
      <c r="N413" t="s">
        <v>672</v>
      </c>
      <c r="O413" t="s">
        <v>2236</v>
      </c>
      <c r="P413" t="s">
        <v>2727</v>
      </c>
      <c r="Q413" t="s">
        <v>2677</v>
      </c>
    </row>
    <row r="414" spans="1:17">
      <c r="A414" s="2" t="s">
        <v>2134</v>
      </c>
      <c r="B414" s="2" t="s">
        <v>585</v>
      </c>
      <c r="C414" s="2" t="s">
        <v>599</v>
      </c>
      <c r="D414" s="11">
        <v>45966.306944444441</v>
      </c>
      <c r="E414" s="11">
        <v>45966.306944444441</v>
      </c>
      <c r="F414" s="11">
        <v>45966.722222222219</v>
      </c>
      <c r="G414" s="12">
        <v>0.41527777777810115</v>
      </c>
      <c r="H414" s="2" t="s">
        <v>677</v>
      </c>
      <c r="J414" s="2" t="s">
        <v>230</v>
      </c>
      <c r="K414" s="2" t="s">
        <v>230</v>
      </c>
      <c r="L414" s="2" t="s">
        <v>2721</v>
      </c>
      <c r="M414" t="s">
        <v>663</v>
      </c>
      <c r="N414" t="s">
        <v>672</v>
      </c>
      <c r="O414" t="s">
        <v>2236</v>
      </c>
      <c r="P414" t="s">
        <v>2728</v>
      </c>
      <c r="Q414" t="s">
        <v>2677</v>
      </c>
    </row>
    <row r="415" spans="1:17">
      <c r="A415" s="2" t="s">
        <v>2134</v>
      </c>
      <c r="B415" s="2" t="s">
        <v>585</v>
      </c>
      <c r="C415" s="2" t="s">
        <v>603</v>
      </c>
      <c r="D415" s="11">
        <v>45966.306944444441</v>
      </c>
      <c r="E415" s="11">
        <v>45966.306944444441</v>
      </c>
      <c r="F415" s="11">
        <v>45966.722222222219</v>
      </c>
      <c r="G415" s="12">
        <v>0.41527777777810115</v>
      </c>
      <c r="H415" s="2" t="s">
        <v>677</v>
      </c>
      <c r="J415" s="2" t="s">
        <v>230</v>
      </c>
      <c r="K415" s="2" t="s">
        <v>230</v>
      </c>
      <c r="L415" s="2" t="s">
        <v>2721</v>
      </c>
      <c r="M415" t="s">
        <v>663</v>
      </c>
      <c r="N415" t="s">
        <v>672</v>
      </c>
      <c r="O415" t="s">
        <v>2236</v>
      </c>
      <c r="P415" t="s">
        <v>2729</v>
      </c>
      <c r="Q415" t="s">
        <v>2677</v>
      </c>
    </row>
    <row r="416" spans="1:17">
      <c r="A416" s="2" t="s">
        <v>2134</v>
      </c>
      <c r="B416" s="2" t="s">
        <v>585</v>
      </c>
      <c r="C416" s="2" t="s">
        <v>588</v>
      </c>
      <c r="D416" s="11">
        <v>45966.306944444441</v>
      </c>
      <c r="E416" s="11">
        <v>45966.306944444441</v>
      </c>
      <c r="F416" s="11">
        <v>45966.722222222219</v>
      </c>
      <c r="G416" s="12">
        <v>0.41527777777810115</v>
      </c>
      <c r="H416" s="2" t="s">
        <v>677</v>
      </c>
      <c r="J416" s="2" t="s">
        <v>230</v>
      </c>
      <c r="K416" s="2" t="s">
        <v>230</v>
      </c>
      <c r="L416" s="2" t="s">
        <v>2721</v>
      </c>
      <c r="M416" t="s">
        <v>663</v>
      </c>
      <c r="N416" t="s">
        <v>672</v>
      </c>
      <c r="O416" t="s">
        <v>2236</v>
      </c>
      <c r="P416" t="s">
        <v>2730</v>
      </c>
      <c r="Q416" t="s">
        <v>2677</v>
      </c>
    </row>
    <row r="417" spans="1:17">
      <c r="A417" s="2" t="s">
        <v>2134</v>
      </c>
      <c r="B417" s="2" t="s">
        <v>585</v>
      </c>
      <c r="C417" s="2" t="s">
        <v>594</v>
      </c>
      <c r="D417" s="11">
        <v>45966.306944444441</v>
      </c>
      <c r="E417" s="11">
        <v>45966.306944444441</v>
      </c>
      <c r="F417" s="11">
        <v>45966.722222222219</v>
      </c>
      <c r="G417" s="12">
        <v>0.41527777777810115</v>
      </c>
      <c r="H417" s="2" t="s">
        <v>677</v>
      </c>
      <c r="J417" s="2" t="s">
        <v>230</v>
      </c>
      <c r="K417" s="2" t="s">
        <v>230</v>
      </c>
      <c r="L417" s="2" t="s">
        <v>2721</v>
      </c>
      <c r="M417" t="s">
        <v>663</v>
      </c>
      <c r="N417" t="s">
        <v>672</v>
      </c>
      <c r="O417" t="s">
        <v>2236</v>
      </c>
      <c r="P417" t="s">
        <v>2731</v>
      </c>
      <c r="Q417" t="s">
        <v>2677</v>
      </c>
    </row>
    <row r="418" spans="1:17">
      <c r="A418" s="2" t="s">
        <v>360</v>
      </c>
      <c r="B418" s="2" t="s">
        <v>360</v>
      </c>
      <c r="C418" s="2" t="s">
        <v>721</v>
      </c>
      <c r="D418" s="11">
        <v>45966.43472222222</v>
      </c>
      <c r="E418" s="11">
        <v>45966.43472222222</v>
      </c>
      <c r="F418" s="11">
        <v>45966.447916666664</v>
      </c>
      <c r="G418" s="12">
        <v>1.3194444443797693E-2</v>
      </c>
      <c r="H418" s="2" t="s">
        <v>257</v>
      </c>
      <c r="J418" s="2" t="s">
        <v>258</v>
      </c>
      <c r="K418" s="2" t="s">
        <v>658</v>
      </c>
      <c r="L418" s="2" t="s">
        <v>2732</v>
      </c>
      <c r="M418" t="s">
        <v>260</v>
      </c>
      <c r="N418" t="s">
        <v>357</v>
      </c>
      <c r="O418" t="s">
        <v>2098</v>
      </c>
      <c r="P418" t="s">
        <v>2733</v>
      </c>
      <c r="Q418" t="s">
        <v>2281</v>
      </c>
    </row>
    <row r="419" spans="1:17">
      <c r="A419" s="2" t="s">
        <v>360</v>
      </c>
      <c r="B419" s="2" t="s">
        <v>360</v>
      </c>
      <c r="C419" s="2" t="s">
        <v>722</v>
      </c>
      <c r="D419" s="11">
        <v>45966.43472222222</v>
      </c>
      <c r="E419" s="11">
        <v>45966.43472222222</v>
      </c>
      <c r="F419" s="11">
        <v>45966.447916666664</v>
      </c>
      <c r="G419" s="12">
        <v>1.3194444443797693E-2</v>
      </c>
      <c r="H419" s="2" t="s">
        <v>257</v>
      </c>
      <c r="J419" s="2" t="s">
        <v>258</v>
      </c>
      <c r="K419" s="2" t="s">
        <v>658</v>
      </c>
      <c r="L419" s="2" t="s">
        <v>2732</v>
      </c>
      <c r="M419" t="s">
        <v>260</v>
      </c>
      <c r="N419" t="s">
        <v>357</v>
      </c>
      <c r="O419" t="s">
        <v>2098</v>
      </c>
      <c r="P419" t="s">
        <v>2734</v>
      </c>
      <c r="Q419" t="s">
        <v>2281</v>
      </c>
    </row>
    <row r="420" spans="1:17">
      <c r="A420" s="2" t="s">
        <v>360</v>
      </c>
      <c r="B420" s="2" t="s">
        <v>360</v>
      </c>
      <c r="C420" s="2" t="s">
        <v>361</v>
      </c>
      <c r="D420" s="11">
        <v>45966.43472222222</v>
      </c>
      <c r="E420" s="11">
        <v>45966.43472222222</v>
      </c>
      <c r="F420" s="11">
        <v>45966.447916666664</v>
      </c>
      <c r="G420" s="12">
        <v>1.3194444443797693E-2</v>
      </c>
      <c r="H420" s="2" t="s">
        <v>257</v>
      </c>
      <c r="J420" s="2" t="s">
        <v>258</v>
      </c>
      <c r="K420" s="2" t="s">
        <v>658</v>
      </c>
      <c r="L420" s="2" t="s">
        <v>2732</v>
      </c>
      <c r="M420" t="s">
        <v>260</v>
      </c>
      <c r="N420" t="s">
        <v>357</v>
      </c>
      <c r="O420" t="s">
        <v>2098</v>
      </c>
      <c r="P420" t="s">
        <v>2735</v>
      </c>
      <c r="Q420" t="s">
        <v>2281</v>
      </c>
    </row>
    <row r="421" spans="1:17">
      <c r="A421" s="2" t="s">
        <v>360</v>
      </c>
      <c r="B421" s="2" t="s">
        <v>360</v>
      </c>
      <c r="C421" s="2" t="s">
        <v>366</v>
      </c>
      <c r="D421" s="11">
        <v>45966.43472222222</v>
      </c>
      <c r="E421" s="11">
        <v>45966.43472222222</v>
      </c>
      <c r="F421" s="11">
        <v>45966.447916666664</v>
      </c>
      <c r="G421" s="12">
        <v>1.3194444443797693E-2</v>
      </c>
      <c r="H421" s="2" t="s">
        <v>257</v>
      </c>
      <c r="J421" s="2" t="s">
        <v>258</v>
      </c>
      <c r="K421" s="2" t="s">
        <v>658</v>
      </c>
      <c r="L421" s="2" t="s">
        <v>2732</v>
      </c>
      <c r="M421" t="s">
        <v>260</v>
      </c>
      <c r="N421" t="s">
        <v>357</v>
      </c>
      <c r="O421" t="s">
        <v>2098</v>
      </c>
      <c r="P421" t="s">
        <v>2736</v>
      </c>
      <c r="Q421" t="s">
        <v>2281</v>
      </c>
    </row>
    <row r="422" spans="1:17">
      <c r="A422" s="2" t="s">
        <v>367</v>
      </c>
      <c r="B422" s="2" t="s">
        <v>367</v>
      </c>
      <c r="C422" s="2" t="s">
        <v>292</v>
      </c>
      <c r="D422" s="11">
        <v>45966.43472222222</v>
      </c>
      <c r="E422" s="11">
        <v>45966.43472222222</v>
      </c>
      <c r="F422" s="11">
        <v>45966.447916666664</v>
      </c>
      <c r="G422" s="12">
        <v>1.3194444443797693E-2</v>
      </c>
      <c r="H422" s="2" t="s">
        <v>257</v>
      </c>
      <c r="J422" s="2" t="s">
        <v>258</v>
      </c>
      <c r="K422" s="2" t="s">
        <v>658</v>
      </c>
      <c r="L422" s="2" t="s">
        <v>2732</v>
      </c>
      <c r="M422" t="s">
        <v>260</v>
      </c>
      <c r="N422" t="s">
        <v>357</v>
      </c>
      <c r="O422" t="s">
        <v>2098</v>
      </c>
      <c r="P422" t="s">
        <v>2737</v>
      </c>
      <c r="Q422" t="s">
        <v>2281</v>
      </c>
    </row>
    <row r="423" spans="1:17">
      <c r="A423" s="2" t="s">
        <v>367</v>
      </c>
      <c r="B423" s="2" t="s">
        <v>367</v>
      </c>
      <c r="C423" s="2" t="s">
        <v>287</v>
      </c>
      <c r="D423" s="11">
        <v>45966.43472222222</v>
      </c>
      <c r="E423" s="11">
        <v>45966.43472222222</v>
      </c>
      <c r="F423" s="11">
        <v>45966.447916666664</v>
      </c>
      <c r="G423" s="12">
        <v>1.3194444443797693E-2</v>
      </c>
      <c r="H423" s="2" t="s">
        <v>257</v>
      </c>
      <c r="J423" s="2" t="s">
        <v>258</v>
      </c>
      <c r="K423" s="2" t="s">
        <v>658</v>
      </c>
      <c r="L423" s="2" t="s">
        <v>2732</v>
      </c>
      <c r="M423" t="s">
        <v>260</v>
      </c>
      <c r="N423" t="s">
        <v>357</v>
      </c>
      <c r="O423" t="s">
        <v>2098</v>
      </c>
      <c r="P423" t="s">
        <v>2738</v>
      </c>
      <c r="Q423" t="s">
        <v>2281</v>
      </c>
    </row>
    <row r="424" spans="1:17">
      <c r="A424" s="2" t="s">
        <v>367</v>
      </c>
      <c r="B424" s="2" t="s">
        <v>367</v>
      </c>
      <c r="C424" s="2" t="s">
        <v>293</v>
      </c>
      <c r="D424" s="11">
        <v>45966.43472222222</v>
      </c>
      <c r="E424" s="11">
        <v>45966.43472222222</v>
      </c>
      <c r="F424" s="11">
        <v>45966.447916666664</v>
      </c>
      <c r="G424" s="12">
        <v>1.3194444443797693E-2</v>
      </c>
      <c r="H424" s="2" t="s">
        <v>257</v>
      </c>
      <c r="J424" s="2" t="s">
        <v>258</v>
      </c>
      <c r="K424" s="2" t="s">
        <v>658</v>
      </c>
      <c r="L424" s="2" t="s">
        <v>2732</v>
      </c>
      <c r="M424" t="s">
        <v>260</v>
      </c>
      <c r="N424" t="s">
        <v>357</v>
      </c>
      <c r="O424" t="s">
        <v>2098</v>
      </c>
      <c r="P424" t="s">
        <v>2739</v>
      </c>
      <c r="Q424" t="s">
        <v>2281</v>
      </c>
    </row>
    <row r="425" spans="1:17">
      <c r="A425" s="2" t="s">
        <v>367</v>
      </c>
      <c r="B425" s="2" t="s">
        <v>367</v>
      </c>
      <c r="C425" s="2" t="s">
        <v>295</v>
      </c>
      <c r="D425" s="11">
        <v>45966.43472222222</v>
      </c>
      <c r="E425" s="11">
        <v>45966.43472222222</v>
      </c>
      <c r="F425" s="11">
        <v>45966.447916666664</v>
      </c>
      <c r="G425" s="12">
        <v>1.3194444443797693E-2</v>
      </c>
      <c r="H425" s="2" t="s">
        <v>257</v>
      </c>
      <c r="J425" s="2" t="s">
        <v>258</v>
      </c>
      <c r="K425" s="2" t="s">
        <v>658</v>
      </c>
      <c r="L425" s="2" t="s">
        <v>2732</v>
      </c>
      <c r="M425" t="s">
        <v>260</v>
      </c>
      <c r="N425" t="s">
        <v>357</v>
      </c>
      <c r="O425" t="s">
        <v>2098</v>
      </c>
      <c r="P425" t="s">
        <v>2740</v>
      </c>
      <c r="Q425" t="s">
        <v>2281</v>
      </c>
    </row>
    <row r="426" spans="1:17">
      <c r="A426" s="2" t="s">
        <v>367</v>
      </c>
      <c r="B426" s="2" t="s">
        <v>367</v>
      </c>
      <c r="C426" s="2" t="s">
        <v>294</v>
      </c>
      <c r="D426" s="11">
        <v>45966.43472222222</v>
      </c>
      <c r="E426" s="11">
        <v>45966.43472222222</v>
      </c>
      <c r="F426" s="11">
        <v>45966.447916666664</v>
      </c>
      <c r="G426" s="12">
        <v>1.3194444443797693E-2</v>
      </c>
      <c r="H426" s="2" t="s">
        <v>257</v>
      </c>
      <c r="J426" s="2" t="s">
        <v>258</v>
      </c>
      <c r="K426" s="2" t="s">
        <v>658</v>
      </c>
      <c r="L426" s="2" t="s">
        <v>2732</v>
      </c>
      <c r="M426" t="s">
        <v>260</v>
      </c>
      <c r="N426" t="s">
        <v>357</v>
      </c>
      <c r="O426" t="s">
        <v>2098</v>
      </c>
      <c r="P426" t="s">
        <v>2741</v>
      </c>
      <c r="Q426" t="s">
        <v>2281</v>
      </c>
    </row>
    <row r="427" spans="1:17">
      <c r="A427" s="2" t="s">
        <v>724</v>
      </c>
      <c r="B427" s="2" t="s">
        <v>724</v>
      </c>
      <c r="C427" s="2" t="s">
        <v>608</v>
      </c>
      <c r="D427" s="11">
        <v>45966.43472222222</v>
      </c>
      <c r="E427" s="11">
        <v>45966.43472222222</v>
      </c>
      <c r="F427" s="11">
        <v>45966.447916666664</v>
      </c>
      <c r="G427" s="12">
        <v>1.3194444443797693E-2</v>
      </c>
      <c r="H427" s="2" t="s">
        <v>257</v>
      </c>
      <c r="J427" s="2" t="s">
        <v>258</v>
      </c>
      <c r="K427" s="2" t="s">
        <v>658</v>
      </c>
      <c r="L427" s="2" t="s">
        <v>2732</v>
      </c>
      <c r="M427" t="s">
        <v>260</v>
      </c>
      <c r="N427" t="s">
        <v>357</v>
      </c>
      <c r="O427" t="s">
        <v>2098</v>
      </c>
      <c r="P427" t="s">
        <v>2742</v>
      </c>
      <c r="Q427" t="s">
        <v>2281</v>
      </c>
    </row>
    <row r="428" spans="1:17">
      <c r="A428" s="2" t="s">
        <v>724</v>
      </c>
      <c r="B428" s="2" t="s">
        <v>724</v>
      </c>
      <c r="C428" s="2" t="s">
        <v>536</v>
      </c>
      <c r="D428" s="11">
        <v>45966.43472222222</v>
      </c>
      <c r="E428" s="11">
        <v>45966.43472222222</v>
      </c>
      <c r="F428" s="11">
        <v>45966.447916666664</v>
      </c>
      <c r="G428" s="12">
        <v>1.3194444443797693E-2</v>
      </c>
      <c r="H428" s="2" t="s">
        <v>257</v>
      </c>
      <c r="J428" s="2" t="s">
        <v>258</v>
      </c>
      <c r="K428" s="2" t="s">
        <v>658</v>
      </c>
      <c r="L428" s="2" t="s">
        <v>2732</v>
      </c>
      <c r="M428" t="s">
        <v>260</v>
      </c>
      <c r="N428" t="s">
        <v>357</v>
      </c>
      <c r="O428" t="s">
        <v>2098</v>
      </c>
      <c r="P428" t="s">
        <v>2743</v>
      </c>
      <c r="Q428" t="s">
        <v>2281</v>
      </c>
    </row>
    <row r="429" spans="1:17">
      <c r="A429" s="2" t="s">
        <v>724</v>
      </c>
      <c r="B429" s="2" t="s">
        <v>724</v>
      </c>
      <c r="C429" s="2" t="s">
        <v>611</v>
      </c>
      <c r="D429" s="11">
        <v>45966.43472222222</v>
      </c>
      <c r="E429" s="11">
        <v>45966.43472222222</v>
      </c>
      <c r="F429" s="11">
        <v>45966.447916666664</v>
      </c>
      <c r="G429" s="12">
        <v>1.3194444443797693E-2</v>
      </c>
      <c r="H429" s="2" t="s">
        <v>257</v>
      </c>
      <c r="J429" s="2" t="s">
        <v>258</v>
      </c>
      <c r="K429" s="2" t="s">
        <v>658</v>
      </c>
      <c r="L429" s="2" t="s">
        <v>2732</v>
      </c>
      <c r="M429" t="s">
        <v>260</v>
      </c>
      <c r="N429" t="s">
        <v>357</v>
      </c>
      <c r="O429" t="s">
        <v>2098</v>
      </c>
      <c r="P429" t="s">
        <v>2744</v>
      </c>
      <c r="Q429" t="s">
        <v>2281</v>
      </c>
    </row>
    <row r="430" spans="1:17">
      <c r="A430" s="2" t="s">
        <v>725</v>
      </c>
      <c r="B430" s="2" t="s">
        <v>725</v>
      </c>
      <c r="C430" s="2" t="s">
        <v>263</v>
      </c>
      <c r="D430" s="11">
        <v>45966.43472222222</v>
      </c>
      <c r="E430" s="11">
        <v>45966.43472222222</v>
      </c>
      <c r="F430" s="11">
        <v>45966.447916666664</v>
      </c>
      <c r="G430" s="12">
        <v>1.3194444443797693E-2</v>
      </c>
      <c r="H430" s="2" t="s">
        <v>257</v>
      </c>
      <c r="J430" s="2" t="s">
        <v>258</v>
      </c>
      <c r="K430" s="2" t="s">
        <v>658</v>
      </c>
      <c r="L430" s="2" t="s">
        <v>2732</v>
      </c>
      <c r="M430" t="s">
        <v>260</v>
      </c>
      <c r="N430" t="s">
        <v>357</v>
      </c>
      <c r="O430" t="s">
        <v>2098</v>
      </c>
      <c r="P430" t="s">
        <v>2745</v>
      </c>
      <c r="Q430" t="s">
        <v>2281</v>
      </c>
    </row>
    <row r="431" spans="1:17">
      <c r="A431" s="2" t="s">
        <v>725</v>
      </c>
      <c r="B431" s="2" t="s">
        <v>725</v>
      </c>
      <c r="C431" s="2" t="s">
        <v>307</v>
      </c>
      <c r="D431" s="11">
        <v>45966.43472222222</v>
      </c>
      <c r="E431" s="11">
        <v>45966.43472222222</v>
      </c>
      <c r="F431" s="11">
        <v>45966.447916666664</v>
      </c>
      <c r="G431" s="12">
        <v>1.3194444443797693E-2</v>
      </c>
      <c r="H431" s="2" t="s">
        <v>257</v>
      </c>
      <c r="J431" s="2" t="s">
        <v>258</v>
      </c>
      <c r="K431" s="2" t="s">
        <v>658</v>
      </c>
      <c r="L431" s="2" t="s">
        <v>2732</v>
      </c>
      <c r="M431" t="s">
        <v>260</v>
      </c>
      <c r="N431" t="s">
        <v>357</v>
      </c>
      <c r="O431" t="s">
        <v>2098</v>
      </c>
      <c r="P431" t="s">
        <v>2746</v>
      </c>
      <c r="Q431" t="s">
        <v>2281</v>
      </c>
    </row>
    <row r="432" spans="1:17">
      <c r="A432" s="2" t="s">
        <v>725</v>
      </c>
      <c r="B432" s="2" t="s">
        <v>725</v>
      </c>
      <c r="C432" s="2" t="s">
        <v>390</v>
      </c>
      <c r="D432" s="11">
        <v>45966.43472222222</v>
      </c>
      <c r="E432" s="11">
        <v>45966.43472222222</v>
      </c>
      <c r="F432" s="11">
        <v>45966.447916666664</v>
      </c>
      <c r="G432" s="12">
        <v>1.3194444443797693E-2</v>
      </c>
      <c r="H432" s="2" t="s">
        <v>257</v>
      </c>
      <c r="J432" s="2" t="s">
        <v>258</v>
      </c>
      <c r="K432" s="2" t="s">
        <v>658</v>
      </c>
      <c r="L432" s="2" t="s">
        <v>2732</v>
      </c>
      <c r="M432" t="s">
        <v>260</v>
      </c>
      <c r="N432" t="s">
        <v>357</v>
      </c>
      <c r="O432" t="s">
        <v>2098</v>
      </c>
      <c r="P432" t="s">
        <v>2747</v>
      </c>
      <c r="Q432" t="s">
        <v>2281</v>
      </c>
    </row>
    <row r="433" spans="1:17">
      <c r="A433" s="2" t="s">
        <v>725</v>
      </c>
      <c r="B433" s="2" t="s">
        <v>725</v>
      </c>
      <c r="C433" s="2" t="s">
        <v>726</v>
      </c>
      <c r="D433" s="11">
        <v>45966.43472222222</v>
      </c>
      <c r="E433" s="11">
        <v>45966.43472222222</v>
      </c>
      <c r="F433" s="11">
        <v>45966.447916666664</v>
      </c>
      <c r="G433" s="12">
        <v>1.3194444443797693E-2</v>
      </c>
      <c r="H433" s="2" t="s">
        <v>257</v>
      </c>
      <c r="J433" s="2" t="s">
        <v>258</v>
      </c>
      <c r="K433" s="2" t="s">
        <v>658</v>
      </c>
      <c r="L433" s="2" t="s">
        <v>2732</v>
      </c>
      <c r="M433" t="s">
        <v>260</v>
      </c>
      <c r="N433" t="s">
        <v>357</v>
      </c>
      <c r="O433" t="s">
        <v>2098</v>
      </c>
      <c r="P433" t="s">
        <v>2748</v>
      </c>
      <c r="Q433" t="s">
        <v>2281</v>
      </c>
    </row>
    <row r="434" spans="1:17">
      <c r="A434" s="2" t="s">
        <v>725</v>
      </c>
      <c r="B434" s="2" t="s">
        <v>725</v>
      </c>
      <c r="C434" s="2" t="s">
        <v>727</v>
      </c>
      <c r="D434" s="11">
        <v>45966.43472222222</v>
      </c>
      <c r="E434" s="11">
        <v>45966.43472222222</v>
      </c>
      <c r="F434" s="11">
        <v>45966.447916666664</v>
      </c>
      <c r="G434" s="12">
        <v>1.3194444443797693E-2</v>
      </c>
      <c r="H434" s="2" t="s">
        <v>257</v>
      </c>
      <c r="J434" s="2" t="s">
        <v>258</v>
      </c>
      <c r="K434" s="2" t="s">
        <v>658</v>
      </c>
      <c r="L434" s="2" t="s">
        <v>2732</v>
      </c>
      <c r="M434" t="s">
        <v>260</v>
      </c>
      <c r="N434" t="s">
        <v>357</v>
      </c>
      <c r="O434" t="s">
        <v>2098</v>
      </c>
      <c r="P434" t="s">
        <v>2749</v>
      </c>
      <c r="Q434" t="s">
        <v>2281</v>
      </c>
    </row>
    <row r="435" spans="1:17">
      <c r="A435" s="2" t="s">
        <v>286</v>
      </c>
      <c r="B435" s="2" t="s">
        <v>286</v>
      </c>
      <c r="C435" s="2" t="s">
        <v>287</v>
      </c>
      <c r="D435" s="11">
        <v>45966.43472222222</v>
      </c>
      <c r="E435" s="11">
        <v>45966.43472222222</v>
      </c>
      <c r="F435" s="11">
        <v>45966.447916666664</v>
      </c>
      <c r="G435" s="12">
        <v>1.3194444443797693E-2</v>
      </c>
      <c r="H435" s="2" t="s">
        <v>257</v>
      </c>
      <c r="J435" s="2" t="s">
        <v>258</v>
      </c>
      <c r="K435" s="2" t="s">
        <v>658</v>
      </c>
      <c r="L435" s="2" t="s">
        <v>2732</v>
      </c>
      <c r="M435" t="s">
        <v>260</v>
      </c>
      <c r="N435" t="s">
        <v>357</v>
      </c>
      <c r="O435" t="s">
        <v>2098</v>
      </c>
      <c r="P435" t="s">
        <v>2750</v>
      </c>
      <c r="Q435" t="s">
        <v>2281</v>
      </c>
    </row>
    <row r="436" spans="1:17">
      <c r="A436" s="2" t="s">
        <v>286</v>
      </c>
      <c r="B436" s="2" t="s">
        <v>286</v>
      </c>
      <c r="C436" s="2" t="s">
        <v>292</v>
      </c>
      <c r="D436" s="11">
        <v>45966.43472222222</v>
      </c>
      <c r="E436" s="11">
        <v>45966.43472222222</v>
      </c>
      <c r="F436" s="11">
        <v>45966.447916666664</v>
      </c>
      <c r="G436" s="12">
        <v>1.3194444443797693E-2</v>
      </c>
      <c r="H436" s="2" t="s">
        <v>257</v>
      </c>
      <c r="J436" s="2" t="s">
        <v>258</v>
      </c>
      <c r="K436" s="2" t="s">
        <v>658</v>
      </c>
      <c r="L436" s="2" t="s">
        <v>2732</v>
      </c>
      <c r="M436" t="s">
        <v>260</v>
      </c>
      <c r="N436" t="s">
        <v>357</v>
      </c>
      <c r="O436" t="s">
        <v>2098</v>
      </c>
      <c r="P436" t="s">
        <v>2751</v>
      </c>
      <c r="Q436" t="s">
        <v>2281</v>
      </c>
    </row>
    <row r="437" spans="1:17">
      <c r="A437" s="2" t="s">
        <v>286</v>
      </c>
      <c r="B437" s="2" t="s">
        <v>286</v>
      </c>
      <c r="C437" s="2" t="s">
        <v>293</v>
      </c>
      <c r="D437" s="11">
        <v>45966.43472222222</v>
      </c>
      <c r="E437" s="11">
        <v>45966.43472222222</v>
      </c>
      <c r="F437" s="11">
        <v>45966.447916666664</v>
      </c>
      <c r="G437" s="12">
        <v>1.3194444443797693E-2</v>
      </c>
      <c r="H437" s="2" t="s">
        <v>257</v>
      </c>
      <c r="J437" s="2" t="s">
        <v>258</v>
      </c>
      <c r="K437" s="2" t="s">
        <v>658</v>
      </c>
      <c r="L437" s="2" t="s">
        <v>2732</v>
      </c>
      <c r="M437" t="s">
        <v>260</v>
      </c>
      <c r="N437" t="s">
        <v>357</v>
      </c>
      <c r="O437" t="s">
        <v>2098</v>
      </c>
      <c r="P437" t="s">
        <v>2752</v>
      </c>
      <c r="Q437" t="s">
        <v>2281</v>
      </c>
    </row>
    <row r="438" spans="1:17">
      <c r="A438" s="2" t="s">
        <v>286</v>
      </c>
      <c r="B438" s="2" t="s">
        <v>286</v>
      </c>
      <c r="C438" s="2" t="s">
        <v>294</v>
      </c>
      <c r="D438" s="11">
        <v>45966.43472222222</v>
      </c>
      <c r="E438" s="11">
        <v>45966.43472222222</v>
      </c>
      <c r="F438" s="11">
        <v>45966.447916666664</v>
      </c>
      <c r="G438" s="12">
        <v>1.3194444443797693E-2</v>
      </c>
      <c r="H438" s="2" t="s">
        <v>257</v>
      </c>
      <c r="J438" s="2" t="s">
        <v>258</v>
      </c>
      <c r="K438" s="2" t="s">
        <v>658</v>
      </c>
      <c r="L438" s="2" t="s">
        <v>2732</v>
      </c>
      <c r="M438" t="s">
        <v>260</v>
      </c>
      <c r="N438" t="s">
        <v>357</v>
      </c>
      <c r="O438" t="s">
        <v>2098</v>
      </c>
      <c r="P438" t="s">
        <v>2753</v>
      </c>
      <c r="Q438" t="s">
        <v>2281</v>
      </c>
    </row>
    <row r="439" spans="1:17">
      <c r="A439" s="2" t="s">
        <v>286</v>
      </c>
      <c r="B439" s="2" t="s">
        <v>286</v>
      </c>
      <c r="C439" s="2" t="s">
        <v>295</v>
      </c>
      <c r="D439" s="11">
        <v>45966.43472222222</v>
      </c>
      <c r="E439" s="11">
        <v>45966.43472222222</v>
      </c>
      <c r="F439" s="11">
        <v>45966.447916666664</v>
      </c>
      <c r="G439" s="12">
        <v>1.3194444443797693E-2</v>
      </c>
      <c r="H439" s="2" t="s">
        <v>257</v>
      </c>
      <c r="J439" s="2" t="s">
        <v>258</v>
      </c>
      <c r="K439" s="2" t="s">
        <v>658</v>
      </c>
      <c r="L439" s="2" t="s">
        <v>2732</v>
      </c>
      <c r="M439" t="s">
        <v>260</v>
      </c>
      <c r="N439" t="s">
        <v>357</v>
      </c>
      <c r="O439" t="s">
        <v>2098</v>
      </c>
      <c r="P439" t="s">
        <v>2754</v>
      </c>
      <c r="Q439" t="s">
        <v>2281</v>
      </c>
    </row>
    <row r="440" spans="1:17">
      <c r="A440" s="2" t="s">
        <v>535</v>
      </c>
      <c r="B440" s="2" t="s">
        <v>535</v>
      </c>
      <c r="C440" s="2" t="s">
        <v>608</v>
      </c>
      <c r="D440" s="11">
        <v>45966.43472222222</v>
      </c>
      <c r="E440" s="11">
        <v>45966.43472222222</v>
      </c>
      <c r="F440" s="11">
        <v>45966.447916666664</v>
      </c>
      <c r="G440" s="12">
        <v>1.3194444443797693E-2</v>
      </c>
      <c r="H440" s="2" t="s">
        <v>257</v>
      </c>
      <c r="J440" s="2" t="s">
        <v>258</v>
      </c>
      <c r="K440" s="2" t="s">
        <v>658</v>
      </c>
      <c r="L440" s="2" t="s">
        <v>2732</v>
      </c>
      <c r="M440" t="s">
        <v>260</v>
      </c>
      <c r="N440" t="s">
        <v>357</v>
      </c>
      <c r="O440" t="s">
        <v>2098</v>
      </c>
      <c r="P440" t="s">
        <v>2755</v>
      </c>
      <c r="Q440" t="s">
        <v>2281</v>
      </c>
    </row>
    <row r="441" spans="1:17">
      <c r="A441" s="2" t="s">
        <v>535</v>
      </c>
      <c r="B441" s="2" t="s">
        <v>535</v>
      </c>
      <c r="C441" s="2" t="s">
        <v>611</v>
      </c>
      <c r="D441" s="11">
        <v>45966.43472222222</v>
      </c>
      <c r="E441" s="11">
        <v>45966.43472222222</v>
      </c>
      <c r="F441" s="11">
        <v>45966.447916666664</v>
      </c>
      <c r="G441" s="12">
        <v>1.3194444443797693E-2</v>
      </c>
      <c r="H441" s="2" t="s">
        <v>257</v>
      </c>
      <c r="J441" s="2" t="s">
        <v>258</v>
      </c>
      <c r="K441" s="2" t="s">
        <v>658</v>
      </c>
      <c r="L441" s="2" t="s">
        <v>2732</v>
      </c>
      <c r="M441" t="s">
        <v>260</v>
      </c>
      <c r="N441" t="s">
        <v>357</v>
      </c>
      <c r="O441" t="s">
        <v>2098</v>
      </c>
      <c r="P441" t="s">
        <v>2756</v>
      </c>
      <c r="Q441" t="s">
        <v>2281</v>
      </c>
    </row>
    <row r="442" spans="1:17">
      <c r="A442" s="2" t="s">
        <v>535</v>
      </c>
      <c r="B442" s="2" t="s">
        <v>535</v>
      </c>
      <c r="C442" s="2" t="s">
        <v>536</v>
      </c>
      <c r="D442" s="11">
        <v>45966.43472222222</v>
      </c>
      <c r="E442" s="11">
        <v>45966.43472222222</v>
      </c>
      <c r="F442" s="11">
        <v>45966.447916666664</v>
      </c>
      <c r="G442" s="12">
        <v>1.3194444443797693E-2</v>
      </c>
      <c r="H442" s="2" t="s">
        <v>257</v>
      </c>
      <c r="J442" s="2" t="s">
        <v>258</v>
      </c>
      <c r="K442" s="2" t="s">
        <v>658</v>
      </c>
      <c r="L442" s="2" t="s">
        <v>2732</v>
      </c>
      <c r="M442" t="s">
        <v>260</v>
      </c>
      <c r="N442" t="s">
        <v>357</v>
      </c>
      <c r="O442" t="s">
        <v>2098</v>
      </c>
      <c r="P442" t="s">
        <v>2757</v>
      </c>
      <c r="Q442" t="s">
        <v>2281</v>
      </c>
    </row>
    <row r="443" spans="1:17">
      <c r="A443" s="2" t="s">
        <v>2758</v>
      </c>
      <c r="B443" s="2" t="s">
        <v>393</v>
      </c>
      <c r="C443" s="2" t="s">
        <v>394</v>
      </c>
      <c r="D443" s="11">
        <v>45966.625</v>
      </c>
      <c r="E443" s="11">
        <v>45966.625</v>
      </c>
      <c r="F443" s="11">
        <v>45966.708333333336</v>
      </c>
      <c r="G443" s="12">
        <v>8.3333333335758653E-2</v>
      </c>
      <c r="H443" s="2" t="s">
        <v>257</v>
      </c>
      <c r="J443" s="2" t="s">
        <v>258</v>
      </c>
      <c r="K443" s="2" t="s">
        <v>658</v>
      </c>
      <c r="L443" s="2" t="s">
        <v>2759</v>
      </c>
      <c r="M443" t="s">
        <v>260</v>
      </c>
      <c r="N443" t="s">
        <v>357</v>
      </c>
      <c r="O443" t="s">
        <v>2098</v>
      </c>
      <c r="P443" t="s">
        <v>2760</v>
      </c>
      <c r="Q443" t="s">
        <v>2281</v>
      </c>
    </row>
    <row r="444" spans="1:17">
      <c r="A444" s="2" t="s">
        <v>2758</v>
      </c>
      <c r="B444" s="2" t="s">
        <v>393</v>
      </c>
      <c r="C444" s="2" t="s">
        <v>395</v>
      </c>
      <c r="D444" s="11">
        <v>45966.625</v>
      </c>
      <c r="E444" s="11">
        <v>45966.625</v>
      </c>
      <c r="F444" s="11">
        <v>45966.708333333336</v>
      </c>
      <c r="G444" s="12">
        <v>8.3333333335758653E-2</v>
      </c>
      <c r="H444" s="2" t="s">
        <v>257</v>
      </c>
      <c r="J444" s="2" t="s">
        <v>258</v>
      </c>
      <c r="K444" s="2" t="s">
        <v>658</v>
      </c>
      <c r="L444" s="2" t="s">
        <v>2759</v>
      </c>
      <c r="M444" t="s">
        <v>260</v>
      </c>
      <c r="N444" t="s">
        <v>357</v>
      </c>
      <c r="O444" t="s">
        <v>2098</v>
      </c>
      <c r="P444" t="s">
        <v>2761</v>
      </c>
      <c r="Q444" t="s">
        <v>2281</v>
      </c>
    </row>
    <row r="445" spans="1:17">
      <c r="A445" s="2" t="s">
        <v>2758</v>
      </c>
      <c r="B445" s="2" t="s">
        <v>393</v>
      </c>
      <c r="C445" s="2" t="s">
        <v>396</v>
      </c>
      <c r="D445" s="11">
        <v>45966.625</v>
      </c>
      <c r="E445" s="11">
        <v>45966.625</v>
      </c>
      <c r="F445" s="11">
        <v>45966.708333333336</v>
      </c>
      <c r="G445" s="12">
        <v>8.3333333335758653E-2</v>
      </c>
      <c r="H445" s="2" t="s">
        <v>257</v>
      </c>
      <c r="J445" s="2" t="s">
        <v>258</v>
      </c>
      <c r="K445" s="2" t="s">
        <v>658</v>
      </c>
      <c r="L445" s="2" t="s">
        <v>2759</v>
      </c>
      <c r="M445" t="s">
        <v>260</v>
      </c>
      <c r="N445" t="s">
        <v>357</v>
      </c>
      <c r="O445" t="s">
        <v>2098</v>
      </c>
      <c r="P445" t="s">
        <v>2762</v>
      </c>
      <c r="Q445" t="s">
        <v>2281</v>
      </c>
    </row>
    <row r="446" spans="1:17">
      <c r="A446" s="2" t="s">
        <v>2758</v>
      </c>
      <c r="B446" s="2" t="s">
        <v>393</v>
      </c>
      <c r="C446" s="2" t="s">
        <v>397</v>
      </c>
      <c r="D446" s="11">
        <v>45966.625</v>
      </c>
      <c r="E446" s="11">
        <v>45966.625</v>
      </c>
      <c r="F446" s="11">
        <v>45966.708333333336</v>
      </c>
      <c r="G446" s="12">
        <v>8.3333333335758653E-2</v>
      </c>
      <c r="H446" s="2" t="s">
        <v>257</v>
      </c>
      <c r="J446" s="2" t="s">
        <v>258</v>
      </c>
      <c r="K446" s="2" t="s">
        <v>658</v>
      </c>
      <c r="L446" s="2" t="s">
        <v>2759</v>
      </c>
      <c r="M446" t="s">
        <v>260</v>
      </c>
      <c r="N446" t="s">
        <v>357</v>
      </c>
      <c r="O446" t="s">
        <v>2098</v>
      </c>
      <c r="P446" t="s">
        <v>2763</v>
      </c>
      <c r="Q446" t="s">
        <v>2281</v>
      </c>
    </row>
    <row r="447" spans="1:17">
      <c r="A447" s="2" t="s">
        <v>2758</v>
      </c>
      <c r="B447" s="2" t="s">
        <v>393</v>
      </c>
      <c r="C447" s="2" t="s">
        <v>398</v>
      </c>
      <c r="D447" s="11">
        <v>45966.625</v>
      </c>
      <c r="E447" s="11">
        <v>45966.625</v>
      </c>
      <c r="F447" s="11">
        <v>45966.708333333336</v>
      </c>
      <c r="G447" s="12">
        <v>8.3333333335758653E-2</v>
      </c>
      <c r="H447" s="2" t="s">
        <v>257</v>
      </c>
      <c r="J447" s="2" t="s">
        <v>258</v>
      </c>
      <c r="K447" s="2" t="s">
        <v>658</v>
      </c>
      <c r="L447" s="2" t="s">
        <v>2759</v>
      </c>
      <c r="M447" t="s">
        <v>260</v>
      </c>
      <c r="N447" t="s">
        <v>357</v>
      </c>
      <c r="O447" t="s">
        <v>2098</v>
      </c>
      <c r="P447" t="s">
        <v>2764</v>
      </c>
      <c r="Q447" t="s">
        <v>2281</v>
      </c>
    </row>
    <row r="448" spans="1:17">
      <c r="A448" s="2" t="s">
        <v>2758</v>
      </c>
      <c r="B448" s="2" t="s">
        <v>393</v>
      </c>
      <c r="C448" s="2" t="s">
        <v>399</v>
      </c>
      <c r="D448" s="11">
        <v>45966.625</v>
      </c>
      <c r="E448" s="11">
        <v>45966.625</v>
      </c>
      <c r="F448" s="11">
        <v>45966.708333333336</v>
      </c>
      <c r="G448" s="12">
        <v>8.3333333335758653E-2</v>
      </c>
      <c r="H448" s="2" t="s">
        <v>257</v>
      </c>
      <c r="J448" s="2" t="s">
        <v>258</v>
      </c>
      <c r="K448" s="2" t="s">
        <v>658</v>
      </c>
      <c r="L448" s="2" t="s">
        <v>2759</v>
      </c>
      <c r="M448" t="s">
        <v>260</v>
      </c>
      <c r="N448" t="s">
        <v>357</v>
      </c>
      <c r="O448" t="s">
        <v>2098</v>
      </c>
      <c r="P448" t="s">
        <v>2765</v>
      </c>
      <c r="Q448" t="s">
        <v>2281</v>
      </c>
    </row>
    <row r="449" spans="1:17">
      <c r="A449" s="2" t="s">
        <v>2758</v>
      </c>
      <c r="B449" s="2" t="s">
        <v>393</v>
      </c>
      <c r="C449" s="2" t="s">
        <v>400</v>
      </c>
      <c r="D449" s="11">
        <v>45966.625</v>
      </c>
      <c r="E449" s="11">
        <v>45966.625</v>
      </c>
      <c r="F449" s="11">
        <v>45966.708333333336</v>
      </c>
      <c r="G449" s="12">
        <v>8.3333333335758653E-2</v>
      </c>
      <c r="H449" s="2" t="s">
        <v>257</v>
      </c>
      <c r="J449" s="2" t="s">
        <v>258</v>
      </c>
      <c r="K449" s="2" t="s">
        <v>658</v>
      </c>
      <c r="L449" s="2" t="s">
        <v>2759</v>
      </c>
      <c r="M449" t="s">
        <v>260</v>
      </c>
      <c r="N449" t="s">
        <v>357</v>
      </c>
      <c r="O449" t="s">
        <v>2098</v>
      </c>
      <c r="P449" t="s">
        <v>2766</v>
      </c>
      <c r="Q449" t="s">
        <v>2281</v>
      </c>
    </row>
    <row r="450" spans="1:17">
      <c r="A450" s="2" t="s">
        <v>2758</v>
      </c>
      <c r="B450" s="2" t="s">
        <v>393</v>
      </c>
      <c r="C450" s="2" t="s">
        <v>401</v>
      </c>
      <c r="D450" s="11">
        <v>45966.625</v>
      </c>
      <c r="E450" s="11">
        <v>45966.625</v>
      </c>
      <c r="F450" s="11">
        <v>45966.708333333336</v>
      </c>
      <c r="G450" s="12">
        <v>8.3333333335758653E-2</v>
      </c>
      <c r="H450" s="2" t="s">
        <v>257</v>
      </c>
      <c r="J450" s="2" t="s">
        <v>258</v>
      </c>
      <c r="K450" s="2" t="s">
        <v>658</v>
      </c>
      <c r="L450" s="2" t="s">
        <v>2759</v>
      </c>
      <c r="M450" t="s">
        <v>260</v>
      </c>
      <c r="N450" t="s">
        <v>357</v>
      </c>
      <c r="O450" t="s">
        <v>2098</v>
      </c>
      <c r="P450" t="s">
        <v>2767</v>
      </c>
      <c r="Q450" t="s">
        <v>2281</v>
      </c>
    </row>
    <row r="451" spans="1:17">
      <c r="A451" s="2" t="s">
        <v>2758</v>
      </c>
      <c r="B451" s="2" t="s">
        <v>393</v>
      </c>
      <c r="C451" s="2" t="s">
        <v>402</v>
      </c>
      <c r="D451" s="11">
        <v>45966.625</v>
      </c>
      <c r="E451" s="11">
        <v>45966.625</v>
      </c>
      <c r="F451" s="11">
        <v>45966.708333333336</v>
      </c>
      <c r="G451" s="12">
        <v>8.3333333335758653E-2</v>
      </c>
      <c r="H451" s="2" t="s">
        <v>257</v>
      </c>
      <c r="J451" s="2" t="s">
        <v>258</v>
      </c>
      <c r="K451" s="2" t="s">
        <v>658</v>
      </c>
      <c r="L451" s="2" t="s">
        <v>2759</v>
      </c>
      <c r="M451" t="s">
        <v>260</v>
      </c>
      <c r="N451" t="s">
        <v>357</v>
      </c>
      <c r="O451" t="s">
        <v>2098</v>
      </c>
      <c r="P451" t="s">
        <v>2768</v>
      </c>
      <c r="Q451" t="s">
        <v>2281</v>
      </c>
    </row>
    <row r="452" spans="1:17">
      <c r="A452" s="2" t="s">
        <v>2769</v>
      </c>
      <c r="B452" s="2" t="s">
        <v>393</v>
      </c>
      <c r="C452" s="2" t="s">
        <v>403</v>
      </c>
      <c r="D452" s="11">
        <v>45966.625</v>
      </c>
      <c r="E452" s="11">
        <v>45966.625</v>
      </c>
      <c r="F452" s="11">
        <v>45966.708333333336</v>
      </c>
      <c r="G452" s="12">
        <v>8.3333333335758653E-2</v>
      </c>
      <c r="H452" s="2" t="s">
        <v>257</v>
      </c>
      <c r="J452" s="2" t="s">
        <v>258</v>
      </c>
      <c r="K452" s="2" t="s">
        <v>658</v>
      </c>
      <c r="L452" s="2" t="s">
        <v>2759</v>
      </c>
      <c r="M452" t="s">
        <v>260</v>
      </c>
      <c r="N452" t="s">
        <v>357</v>
      </c>
      <c r="O452" t="s">
        <v>2098</v>
      </c>
      <c r="P452" t="s">
        <v>2770</v>
      </c>
      <c r="Q452" t="s">
        <v>2281</v>
      </c>
    </row>
    <row r="453" spans="1:17">
      <c r="A453" s="2" t="s">
        <v>2769</v>
      </c>
      <c r="B453" s="2" t="s">
        <v>393</v>
      </c>
      <c r="C453" s="2" t="s">
        <v>404</v>
      </c>
      <c r="D453" s="11">
        <v>45966.625</v>
      </c>
      <c r="E453" s="11">
        <v>45966.625</v>
      </c>
      <c r="F453" s="11">
        <v>45966.708333333336</v>
      </c>
      <c r="G453" s="12">
        <v>8.3333333335758653E-2</v>
      </c>
      <c r="H453" s="2" t="s">
        <v>257</v>
      </c>
      <c r="J453" s="2" t="s">
        <v>258</v>
      </c>
      <c r="K453" s="2" t="s">
        <v>658</v>
      </c>
      <c r="L453" s="2" t="s">
        <v>2759</v>
      </c>
      <c r="M453" t="s">
        <v>260</v>
      </c>
      <c r="N453" t="s">
        <v>357</v>
      </c>
      <c r="O453" t="s">
        <v>2098</v>
      </c>
      <c r="P453" t="s">
        <v>2771</v>
      </c>
      <c r="Q453" t="s">
        <v>2281</v>
      </c>
    </row>
    <row r="454" spans="1:17">
      <c r="A454" s="2" t="s">
        <v>2769</v>
      </c>
      <c r="B454" s="2" t="s">
        <v>393</v>
      </c>
      <c r="C454" s="2" t="s">
        <v>405</v>
      </c>
      <c r="D454" s="11">
        <v>45966.625</v>
      </c>
      <c r="E454" s="11">
        <v>45966.625</v>
      </c>
      <c r="F454" s="11">
        <v>45966.708333333336</v>
      </c>
      <c r="G454" s="12">
        <v>8.3333333335758653E-2</v>
      </c>
      <c r="H454" s="2" t="s">
        <v>257</v>
      </c>
      <c r="J454" s="2" t="s">
        <v>258</v>
      </c>
      <c r="K454" s="2" t="s">
        <v>658</v>
      </c>
      <c r="L454" s="2" t="s">
        <v>2759</v>
      </c>
      <c r="M454" t="s">
        <v>260</v>
      </c>
      <c r="N454" t="s">
        <v>357</v>
      </c>
      <c r="O454" t="s">
        <v>2098</v>
      </c>
      <c r="P454" t="s">
        <v>2772</v>
      </c>
      <c r="Q454" t="s">
        <v>2281</v>
      </c>
    </row>
    <row r="455" spans="1:17">
      <c r="A455" s="2" t="s">
        <v>2769</v>
      </c>
      <c r="B455" s="2" t="s">
        <v>393</v>
      </c>
      <c r="C455" s="2" t="s">
        <v>406</v>
      </c>
      <c r="D455" s="11">
        <v>45966.625</v>
      </c>
      <c r="E455" s="11">
        <v>45966.625</v>
      </c>
      <c r="F455" s="11">
        <v>45966.708333333336</v>
      </c>
      <c r="G455" s="12">
        <v>8.3333333335758653E-2</v>
      </c>
      <c r="H455" s="2" t="s">
        <v>257</v>
      </c>
      <c r="J455" s="2" t="s">
        <v>258</v>
      </c>
      <c r="K455" s="2" t="s">
        <v>658</v>
      </c>
      <c r="L455" s="2" t="s">
        <v>2759</v>
      </c>
      <c r="M455" t="s">
        <v>260</v>
      </c>
      <c r="N455" t="s">
        <v>357</v>
      </c>
      <c r="O455" t="s">
        <v>2098</v>
      </c>
      <c r="P455" t="s">
        <v>2773</v>
      </c>
      <c r="Q455" t="s">
        <v>2281</v>
      </c>
    </row>
    <row r="456" spans="1:17">
      <c r="A456" s="2" t="s">
        <v>2769</v>
      </c>
      <c r="B456" s="2" t="s">
        <v>393</v>
      </c>
      <c r="C456" s="2" t="s">
        <v>407</v>
      </c>
      <c r="D456" s="11">
        <v>45966.625</v>
      </c>
      <c r="E456" s="11">
        <v>45966.625</v>
      </c>
      <c r="F456" s="11">
        <v>45966.708333333336</v>
      </c>
      <c r="G456" s="12">
        <v>8.3333333335758653E-2</v>
      </c>
      <c r="H456" s="2" t="s">
        <v>257</v>
      </c>
      <c r="J456" s="2" t="s">
        <v>258</v>
      </c>
      <c r="K456" s="2" t="s">
        <v>658</v>
      </c>
      <c r="L456" s="2" t="s">
        <v>2759</v>
      </c>
      <c r="M456" t="s">
        <v>260</v>
      </c>
      <c r="N456" t="s">
        <v>357</v>
      </c>
      <c r="O456" t="s">
        <v>2098</v>
      </c>
      <c r="P456" t="s">
        <v>2774</v>
      </c>
      <c r="Q456" t="s">
        <v>2281</v>
      </c>
    </row>
    <row r="457" spans="1:17">
      <c r="A457" s="2" t="s">
        <v>2775</v>
      </c>
      <c r="B457" s="2" t="s">
        <v>393</v>
      </c>
      <c r="C457" s="2" t="s">
        <v>408</v>
      </c>
      <c r="D457" s="11">
        <v>45966.625</v>
      </c>
      <c r="E457" s="11">
        <v>45966.625</v>
      </c>
      <c r="F457" s="11">
        <v>45966.708333333336</v>
      </c>
      <c r="G457" s="12">
        <v>8.3333333335758653E-2</v>
      </c>
      <c r="H457" s="2" t="s">
        <v>257</v>
      </c>
      <c r="J457" s="2" t="s">
        <v>258</v>
      </c>
      <c r="K457" s="2" t="s">
        <v>658</v>
      </c>
      <c r="L457" s="2" t="s">
        <v>2759</v>
      </c>
      <c r="M457" t="s">
        <v>260</v>
      </c>
      <c r="N457" t="s">
        <v>357</v>
      </c>
      <c r="O457" t="s">
        <v>2098</v>
      </c>
      <c r="P457" t="s">
        <v>2776</v>
      </c>
      <c r="Q457" t="s">
        <v>2281</v>
      </c>
    </row>
    <row r="458" spans="1:17">
      <c r="A458" s="2" t="s">
        <v>2775</v>
      </c>
      <c r="B458" s="2" t="s">
        <v>393</v>
      </c>
      <c r="C458" s="2" t="s">
        <v>409</v>
      </c>
      <c r="D458" s="11">
        <v>45966.625</v>
      </c>
      <c r="E458" s="11">
        <v>45966.625</v>
      </c>
      <c r="F458" s="11">
        <v>45966.708333333336</v>
      </c>
      <c r="G458" s="12">
        <v>8.3333333335758653E-2</v>
      </c>
      <c r="H458" s="2" t="s">
        <v>257</v>
      </c>
      <c r="J458" s="2" t="s">
        <v>258</v>
      </c>
      <c r="K458" s="2" t="s">
        <v>658</v>
      </c>
      <c r="L458" s="2" t="s">
        <v>2759</v>
      </c>
      <c r="M458" t="s">
        <v>260</v>
      </c>
      <c r="N458" t="s">
        <v>357</v>
      </c>
      <c r="O458" t="s">
        <v>2098</v>
      </c>
      <c r="P458" t="s">
        <v>2777</v>
      </c>
      <c r="Q458" t="s">
        <v>2281</v>
      </c>
    </row>
    <row r="459" spans="1:17">
      <c r="A459" s="2" t="s">
        <v>2775</v>
      </c>
      <c r="B459" s="2" t="s">
        <v>393</v>
      </c>
      <c r="C459" s="2" t="s">
        <v>410</v>
      </c>
      <c r="D459" s="11">
        <v>45966.625</v>
      </c>
      <c r="E459" s="11">
        <v>45966.625</v>
      </c>
      <c r="F459" s="11">
        <v>45966.708333333336</v>
      </c>
      <c r="G459" s="12">
        <v>8.3333333335758653E-2</v>
      </c>
      <c r="H459" s="2" t="s">
        <v>257</v>
      </c>
      <c r="J459" s="2" t="s">
        <v>258</v>
      </c>
      <c r="K459" s="2" t="s">
        <v>658</v>
      </c>
      <c r="L459" s="2" t="s">
        <v>2759</v>
      </c>
      <c r="M459" t="s">
        <v>260</v>
      </c>
      <c r="N459" t="s">
        <v>357</v>
      </c>
      <c r="O459" t="s">
        <v>2098</v>
      </c>
      <c r="P459" t="s">
        <v>2778</v>
      </c>
      <c r="Q459" t="s">
        <v>2281</v>
      </c>
    </row>
    <row r="460" spans="1:17">
      <c r="A460" s="2" t="s">
        <v>2775</v>
      </c>
      <c r="B460" s="2" t="s">
        <v>393</v>
      </c>
      <c r="C460" s="2" t="s">
        <v>411</v>
      </c>
      <c r="D460" s="11">
        <v>45966.625</v>
      </c>
      <c r="E460" s="11">
        <v>45966.625</v>
      </c>
      <c r="F460" s="11">
        <v>45966.708333333336</v>
      </c>
      <c r="G460" s="12">
        <v>8.3333333335758653E-2</v>
      </c>
      <c r="H460" s="2" t="s">
        <v>257</v>
      </c>
      <c r="J460" s="2" t="s">
        <v>258</v>
      </c>
      <c r="K460" s="2" t="s">
        <v>658</v>
      </c>
      <c r="L460" s="2" t="s">
        <v>2759</v>
      </c>
      <c r="M460" t="s">
        <v>260</v>
      </c>
      <c r="N460" t="s">
        <v>357</v>
      </c>
      <c r="O460" t="s">
        <v>2098</v>
      </c>
      <c r="P460" t="s">
        <v>2779</v>
      </c>
      <c r="Q460" t="s">
        <v>2281</v>
      </c>
    </row>
    <row r="461" spans="1:17">
      <c r="A461" s="2" t="s">
        <v>2775</v>
      </c>
      <c r="B461" s="2" t="s">
        <v>393</v>
      </c>
      <c r="C461" s="2" t="s">
        <v>412</v>
      </c>
      <c r="D461" s="11">
        <v>45966.625</v>
      </c>
      <c r="E461" s="11">
        <v>45966.625</v>
      </c>
      <c r="F461" s="11">
        <v>45966.708333333336</v>
      </c>
      <c r="G461" s="12">
        <v>8.3333333335758653E-2</v>
      </c>
      <c r="H461" s="2" t="s">
        <v>257</v>
      </c>
      <c r="J461" s="2" t="s">
        <v>258</v>
      </c>
      <c r="K461" s="2" t="s">
        <v>658</v>
      </c>
      <c r="L461" s="2" t="s">
        <v>2759</v>
      </c>
      <c r="M461" t="s">
        <v>260</v>
      </c>
      <c r="N461" t="s">
        <v>357</v>
      </c>
      <c r="O461" t="s">
        <v>2098</v>
      </c>
      <c r="P461" t="s">
        <v>2780</v>
      </c>
      <c r="Q461" t="s">
        <v>2281</v>
      </c>
    </row>
    <row r="462" spans="1:17">
      <c r="A462" s="2" t="s">
        <v>2775</v>
      </c>
      <c r="B462" s="2" t="s">
        <v>393</v>
      </c>
      <c r="C462" s="2" t="s">
        <v>413</v>
      </c>
      <c r="D462" s="11">
        <v>45966.625</v>
      </c>
      <c r="E462" s="11">
        <v>45966.625</v>
      </c>
      <c r="F462" s="11">
        <v>45966.708333333336</v>
      </c>
      <c r="G462" s="12">
        <v>8.3333333335758653E-2</v>
      </c>
      <c r="H462" s="2" t="s">
        <v>257</v>
      </c>
      <c r="J462" s="2" t="s">
        <v>258</v>
      </c>
      <c r="K462" s="2" t="s">
        <v>658</v>
      </c>
      <c r="L462" s="2" t="s">
        <v>2759</v>
      </c>
      <c r="M462" t="s">
        <v>260</v>
      </c>
      <c r="N462" t="s">
        <v>357</v>
      </c>
      <c r="O462" t="s">
        <v>2098</v>
      </c>
      <c r="P462" t="s">
        <v>2781</v>
      </c>
      <c r="Q462" t="s">
        <v>2281</v>
      </c>
    </row>
    <row r="463" spans="1:17">
      <c r="A463" s="2" t="s">
        <v>2782</v>
      </c>
      <c r="B463" s="2" t="s">
        <v>393</v>
      </c>
      <c r="C463" s="2" t="s">
        <v>414</v>
      </c>
      <c r="D463" s="11">
        <v>45966.625</v>
      </c>
      <c r="E463" s="11">
        <v>45966.625</v>
      </c>
      <c r="F463" s="11">
        <v>45966.708333333336</v>
      </c>
      <c r="G463" s="12">
        <v>8.3333333335758653E-2</v>
      </c>
      <c r="H463" s="2" t="s">
        <v>257</v>
      </c>
      <c r="J463" s="2" t="s">
        <v>258</v>
      </c>
      <c r="K463" s="2" t="s">
        <v>658</v>
      </c>
      <c r="L463" s="2" t="s">
        <v>2759</v>
      </c>
      <c r="M463" t="s">
        <v>260</v>
      </c>
      <c r="N463" t="s">
        <v>357</v>
      </c>
      <c r="O463" t="s">
        <v>2098</v>
      </c>
      <c r="P463" t="s">
        <v>2783</v>
      </c>
      <c r="Q463" t="s">
        <v>2281</v>
      </c>
    </row>
    <row r="464" spans="1:17">
      <c r="A464" s="2" t="s">
        <v>2782</v>
      </c>
      <c r="B464" s="2" t="s">
        <v>393</v>
      </c>
      <c r="C464" s="2" t="s">
        <v>415</v>
      </c>
      <c r="D464" s="11">
        <v>45966.625</v>
      </c>
      <c r="E464" s="11">
        <v>45966.625</v>
      </c>
      <c r="F464" s="11">
        <v>45966.708333333336</v>
      </c>
      <c r="G464" s="12">
        <v>8.3333333335758653E-2</v>
      </c>
      <c r="H464" s="2" t="s">
        <v>257</v>
      </c>
      <c r="J464" s="2" t="s">
        <v>258</v>
      </c>
      <c r="K464" s="2" t="s">
        <v>658</v>
      </c>
      <c r="L464" s="2" t="s">
        <v>2759</v>
      </c>
      <c r="M464" t="s">
        <v>260</v>
      </c>
      <c r="N464" t="s">
        <v>357</v>
      </c>
      <c r="O464" t="s">
        <v>2098</v>
      </c>
      <c r="P464" t="s">
        <v>2784</v>
      </c>
      <c r="Q464" t="s">
        <v>2281</v>
      </c>
    </row>
    <row r="465" spans="1:17">
      <c r="A465" s="2" t="s">
        <v>2782</v>
      </c>
      <c r="B465" s="2" t="s">
        <v>393</v>
      </c>
      <c r="C465" s="2" t="s">
        <v>416</v>
      </c>
      <c r="D465" s="11">
        <v>45966.625</v>
      </c>
      <c r="E465" s="11">
        <v>45966.625</v>
      </c>
      <c r="F465" s="11">
        <v>45966.708333333336</v>
      </c>
      <c r="G465" s="12">
        <v>8.3333333335758653E-2</v>
      </c>
      <c r="H465" s="2" t="s">
        <v>257</v>
      </c>
      <c r="J465" s="2" t="s">
        <v>258</v>
      </c>
      <c r="K465" s="2" t="s">
        <v>658</v>
      </c>
      <c r="L465" s="2" t="s">
        <v>2759</v>
      </c>
      <c r="M465" t="s">
        <v>260</v>
      </c>
      <c r="N465" t="s">
        <v>357</v>
      </c>
      <c r="O465" t="s">
        <v>2098</v>
      </c>
      <c r="P465" t="s">
        <v>2785</v>
      </c>
      <c r="Q465" t="s">
        <v>2281</v>
      </c>
    </row>
    <row r="466" spans="1:17">
      <c r="A466" s="2" t="s">
        <v>2782</v>
      </c>
      <c r="B466" s="2" t="s">
        <v>393</v>
      </c>
      <c r="C466" s="2" t="s">
        <v>417</v>
      </c>
      <c r="D466" s="11">
        <v>45966.625</v>
      </c>
      <c r="E466" s="11">
        <v>45966.625</v>
      </c>
      <c r="F466" s="11">
        <v>45966.708333333336</v>
      </c>
      <c r="G466" s="12">
        <v>8.3333333335758653E-2</v>
      </c>
      <c r="H466" s="2" t="s">
        <v>257</v>
      </c>
      <c r="J466" s="2" t="s">
        <v>258</v>
      </c>
      <c r="K466" s="2" t="s">
        <v>658</v>
      </c>
      <c r="L466" s="2" t="s">
        <v>2759</v>
      </c>
      <c r="M466" t="s">
        <v>260</v>
      </c>
      <c r="N466" t="s">
        <v>357</v>
      </c>
      <c r="O466" t="s">
        <v>2098</v>
      </c>
      <c r="P466" t="s">
        <v>2786</v>
      </c>
      <c r="Q466" t="s">
        <v>2281</v>
      </c>
    </row>
    <row r="467" spans="1:17">
      <c r="A467" s="2" t="s">
        <v>2782</v>
      </c>
      <c r="B467" s="2" t="s">
        <v>393</v>
      </c>
      <c r="C467" s="2" t="s">
        <v>418</v>
      </c>
      <c r="D467" s="11">
        <v>45966.625</v>
      </c>
      <c r="E467" s="11">
        <v>45966.625</v>
      </c>
      <c r="F467" s="11">
        <v>45966.708333333336</v>
      </c>
      <c r="G467" s="12">
        <v>8.3333333335758653E-2</v>
      </c>
      <c r="H467" s="2" t="s">
        <v>257</v>
      </c>
      <c r="J467" s="2" t="s">
        <v>258</v>
      </c>
      <c r="K467" s="2" t="s">
        <v>658</v>
      </c>
      <c r="L467" s="2" t="s">
        <v>2759</v>
      </c>
      <c r="M467" t="s">
        <v>260</v>
      </c>
      <c r="N467" t="s">
        <v>357</v>
      </c>
      <c r="O467" t="s">
        <v>2098</v>
      </c>
      <c r="P467" t="s">
        <v>2787</v>
      </c>
      <c r="Q467" t="s">
        <v>2281</v>
      </c>
    </row>
    <row r="468" spans="1:17">
      <c r="A468" s="2" t="s">
        <v>2782</v>
      </c>
      <c r="B468" s="2" t="s">
        <v>393</v>
      </c>
      <c r="C468" s="2" t="s">
        <v>419</v>
      </c>
      <c r="D468" s="11">
        <v>45966.625</v>
      </c>
      <c r="E468" s="11">
        <v>45966.625</v>
      </c>
      <c r="F468" s="11">
        <v>45966.708333333336</v>
      </c>
      <c r="G468" s="12">
        <v>8.3333333335758653E-2</v>
      </c>
      <c r="H468" s="2" t="s">
        <v>257</v>
      </c>
      <c r="J468" s="2" t="s">
        <v>258</v>
      </c>
      <c r="K468" s="2" t="s">
        <v>658</v>
      </c>
      <c r="L468" s="2" t="s">
        <v>2759</v>
      </c>
      <c r="M468" t="s">
        <v>260</v>
      </c>
      <c r="N468" t="s">
        <v>357</v>
      </c>
      <c r="O468" t="s">
        <v>2098</v>
      </c>
      <c r="P468" t="s">
        <v>2788</v>
      </c>
      <c r="Q468" t="s">
        <v>2281</v>
      </c>
    </row>
    <row r="469" spans="1:17">
      <c r="A469" s="2" t="s">
        <v>2789</v>
      </c>
      <c r="B469" s="2" t="s">
        <v>393</v>
      </c>
      <c r="C469" s="2" t="s">
        <v>420</v>
      </c>
      <c r="D469" s="11">
        <v>45966.625</v>
      </c>
      <c r="E469" s="11">
        <v>45966.625</v>
      </c>
      <c r="F469" s="11">
        <v>45966.708333333336</v>
      </c>
      <c r="G469" s="12">
        <v>8.3333333335758653E-2</v>
      </c>
      <c r="H469" s="2" t="s">
        <v>257</v>
      </c>
      <c r="J469" s="2" t="s">
        <v>258</v>
      </c>
      <c r="K469" s="2" t="s">
        <v>658</v>
      </c>
      <c r="L469" s="2" t="s">
        <v>2759</v>
      </c>
      <c r="M469" t="s">
        <v>260</v>
      </c>
      <c r="N469" t="s">
        <v>357</v>
      </c>
      <c r="O469" t="s">
        <v>2098</v>
      </c>
      <c r="P469" t="s">
        <v>2790</v>
      </c>
      <c r="Q469" t="s">
        <v>2281</v>
      </c>
    </row>
    <row r="470" spans="1:17">
      <c r="A470" s="2" t="s">
        <v>2789</v>
      </c>
      <c r="B470" s="2" t="s">
        <v>393</v>
      </c>
      <c r="C470" s="2" t="s">
        <v>421</v>
      </c>
      <c r="D470" s="11">
        <v>45966.625</v>
      </c>
      <c r="E470" s="11">
        <v>45966.625</v>
      </c>
      <c r="F470" s="11">
        <v>45966.708333333336</v>
      </c>
      <c r="G470" s="12">
        <v>8.3333333335758653E-2</v>
      </c>
      <c r="H470" s="2" t="s">
        <v>257</v>
      </c>
      <c r="J470" s="2" t="s">
        <v>258</v>
      </c>
      <c r="K470" s="2" t="s">
        <v>658</v>
      </c>
      <c r="L470" s="2" t="s">
        <v>2759</v>
      </c>
      <c r="M470" t="s">
        <v>260</v>
      </c>
      <c r="N470" t="s">
        <v>357</v>
      </c>
      <c r="O470" t="s">
        <v>2098</v>
      </c>
      <c r="P470" t="s">
        <v>2791</v>
      </c>
      <c r="Q470" t="s">
        <v>2281</v>
      </c>
    </row>
    <row r="471" spans="1:17">
      <c r="A471" s="2" t="s">
        <v>2789</v>
      </c>
      <c r="B471" s="2" t="s">
        <v>393</v>
      </c>
      <c r="C471" s="2" t="s">
        <v>422</v>
      </c>
      <c r="D471" s="11">
        <v>45966.625</v>
      </c>
      <c r="E471" s="11">
        <v>45966.625</v>
      </c>
      <c r="F471" s="11">
        <v>45966.708333333336</v>
      </c>
      <c r="G471" s="12">
        <v>8.3333333335758653E-2</v>
      </c>
      <c r="H471" s="2" t="s">
        <v>257</v>
      </c>
      <c r="J471" s="2" t="s">
        <v>258</v>
      </c>
      <c r="K471" s="2" t="s">
        <v>658</v>
      </c>
      <c r="L471" s="2" t="s">
        <v>2759</v>
      </c>
      <c r="M471" t="s">
        <v>260</v>
      </c>
      <c r="N471" t="s">
        <v>357</v>
      </c>
      <c r="O471" t="s">
        <v>2098</v>
      </c>
      <c r="P471" t="s">
        <v>2792</v>
      </c>
      <c r="Q471" t="s">
        <v>2281</v>
      </c>
    </row>
    <row r="472" spans="1:17">
      <c r="A472" s="2" t="s">
        <v>2793</v>
      </c>
      <c r="B472" s="2" t="s">
        <v>393</v>
      </c>
      <c r="C472" s="2" t="s">
        <v>423</v>
      </c>
      <c r="D472" s="11">
        <v>45966.625</v>
      </c>
      <c r="E472" s="11">
        <v>45966.625</v>
      </c>
      <c r="F472" s="11">
        <v>45966.708333333336</v>
      </c>
      <c r="G472" s="12">
        <v>8.3333333335758653E-2</v>
      </c>
      <c r="H472" s="2" t="s">
        <v>257</v>
      </c>
      <c r="J472" s="2" t="s">
        <v>258</v>
      </c>
      <c r="K472" s="2" t="s">
        <v>658</v>
      </c>
      <c r="L472" s="2" t="s">
        <v>2759</v>
      </c>
      <c r="M472" t="s">
        <v>260</v>
      </c>
      <c r="N472" t="s">
        <v>357</v>
      </c>
      <c r="O472" t="s">
        <v>2098</v>
      </c>
      <c r="P472" t="s">
        <v>2794</v>
      </c>
      <c r="Q472" t="s">
        <v>2281</v>
      </c>
    </row>
    <row r="473" spans="1:17">
      <c r="A473" s="2" t="s">
        <v>2793</v>
      </c>
      <c r="B473" s="2" t="s">
        <v>393</v>
      </c>
      <c r="C473" s="2" t="s">
        <v>424</v>
      </c>
      <c r="D473" s="11">
        <v>45966.625</v>
      </c>
      <c r="E473" s="11">
        <v>45966.625</v>
      </c>
      <c r="F473" s="11">
        <v>45966.708333333336</v>
      </c>
      <c r="G473" s="12">
        <v>8.3333333335758653E-2</v>
      </c>
      <c r="H473" s="2" t="s">
        <v>257</v>
      </c>
      <c r="J473" s="2" t="s">
        <v>258</v>
      </c>
      <c r="K473" s="2" t="s">
        <v>658</v>
      </c>
      <c r="L473" s="2" t="s">
        <v>2759</v>
      </c>
      <c r="M473" t="s">
        <v>260</v>
      </c>
      <c r="N473" t="s">
        <v>357</v>
      </c>
      <c r="O473" t="s">
        <v>2098</v>
      </c>
      <c r="P473" t="s">
        <v>2795</v>
      </c>
      <c r="Q473" t="s">
        <v>2281</v>
      </c>
    </row>
    <row r="474" spans="1:17">
      <c r="A474" s="2" t="s">
        <v>2793</v>
      </c>
      <c r="B474" s="2" t="s">
        <v>393</v>
      </c>
      <c r="C474" s="2" t="s">
        <v>425</v>
      </c>
      <c r="D474" s="11">
        <v>45966.625</v>
      </c>
      <c r="E474" s="11">
        <v>45966.625</v>
      </c>
      <c r="F474" s="11">
        <v>45966.708333333336</v>
      </c>
      <c r="G474" s="12">
        <v>8.3333333335758653E-2</v>
      </c>
      <c r="H474" s="2" t="s">
        <v>257</v>
      </c>
      <c r="J474" s="2" t="s">
        <v>258</v>
      </c>
      <c r="K474" s="2" t="s">
        <v>658</v>
      </c>
      <c r="L474" s="2" t="s">
        <v>2759</v>
      </c>
      <c r="M474" t="s">
        <v>260</v>
      </c>
      <c r="N474" t="s">
        <v>357</v>
      </c>
      <c r="O474" t="s">
        <v>2098</v>
      </c>
      <c r="P474" t="s">
        <v>2796</v>
      </c>
      <c r="Q474" t="s">
        <v>2281</v>
      </c>
    </row>
    <row r="475" spans="1:17">
      <c r="A475" s="2" t="s">
        <v>2797</v>
      </c>
      <c r="B475" s="2" t="s">
        <v>393</v>
      </c>
      <c r="C475" s="2" t="s">
        <v>426</v>
      </c>
      <c r="D475" s="11">
        <v>45966.625</v>
      </c>
      <c r="E475" s="11">
        <v>45966.625</v>
      </c>
      <c r="F475" s="11">
        <v>45966.708333333336</v>
      </c>
      <c r="G475" s="12">
        <v>8.3333333335758653E-2</v>
      </c>
      <c r="H475" s="2" t="s">
        <v>257</v>
      </c>
      <c r="J475" s="2" t="s">
        <v>258</v>
      </c>
      <c r="K475" s="2" t="s">
        <v>658</v>
      </c>
      <c r="L475" s="2" t="s">
        <v>2759</v>
      </c>
      <c r="M475" t="s">
        <v>260</v>
      </c>
      <c r="N475" t="s">
        <v>357</v>
      </c>
      <c r="O475" t="s">
        <v>2098</v>
      </c>
      <c r="P475" t="s">
        <v>2798</v>
      </c>
      <c r="Q475" t="s">
        <v>2281</v>
      </c>
    </row>
    <row r="476" spans="1:17">
      <c r="A476" s="2" t="s">
        <v>2797</v>
      </c>
      <c r="B476" s="2" t="s">
        <v>393</v>
      </c>
      <c r="C476" s="2" t="s">
        <v>427</v>
      </c>
      <c r="D476" s="11">
        <v>45966.625</v>
      </c>
      <c r="E476" s="11">
        <v>45966.625</v>
      </c>
      <c r="F476" s="11">
        <v>45966.708333333336</v>
      </c>
      <c r="G476" s="12">
        <v>8.3333333335758653E-2</v>
      </c>
      <c r="H476" s="2" t="s">
        <v>257</v>
      </c>
      <c r="J476" s="2" t="s">
        <v>258</v>
      </c>
      <c r="K476" s="2" t="s">
        <v>658</v>
      </c>
      <c r="L476" s="2" t="s">
        <v>2759</v>
      </c>
      <c r="M476" t="s">
        <v>260</v>
      </c>
      <c r="N476" t="s">
        <v>357</v>
      </c>
      <c r="O476" t="s">
        <v>2098</v>
      </c>
      <c r="P476" t="s">
        <v>2799</v>
      </c>
      <c r="Q476" t="s">
        <v>2281</v>
      </c>
    </row>
    <row r="477" spans="1:17">
      <c r="A477" s="2" t="s">
        <v>2797</v>
      </c>
      <c r="B477" s="2" t="s">
        <v>393</v>
      </c>
      <c r="C477" s="2" t="s">
        <v>428</v>
      </c>
      <c r="D477" s="11">
        <v>45966.625</v>
      </c>
      <c r="E477" s="11">
        <v>45966.625</v>
      </c>
      <c r="F477" s="11">
        <v>45966.708333333336</v>
      </c>
      <c r="G477" s="12">
        <v>8.3333333335758653E-2</v>
      </c>
      <c r="H477" s="2" t="s">
        <v>257</v>
      </c>
      <c r="J477" s="2" t="s">
        <v>258</v>
      </c>
      <c r="K477" s="2" t="s">
        <v>658</v>
      </c>
      <c r="L477" s="2" t="s">
        <v>2759</v>
      </c>
      <c r="M477" t="s">
        <v>260</v>
      </c>
      <c r="N477" t="s">
        <v>357</v>
      </c>
      <c r="O477" t="s">
        <v>2098</v>
      </c>
      <c r="P477" t="s">
        <v>2800</v>
      </c>
      <c r="Q477" t="s">
        <v>2281</v>
      </c>
    </row>
    <row r="478" spans="1:17">
      <c r="A478" s="2" t="s">
        <v>2797</v>
      </c>
      <c r="B478" s="2" t="s">
        <v>393</v>
      </c>
      <c r="C478" s="2" t="s">
        <v>429</v>
      </c>
      <c r="D478" s="11">
        <v>45966.625</v>
      </c>
      <c r="E478" s="11">
        <v>45966.625</v>
      </c>
      <c r="F478" s="11">
        <v>45966.708333333336</v>
      </c>
      <c r="G478" s="12">
        <v>8.3333333335758653E-2</v>
      </c>
      <c r="H478" s="2" t="s">
        <v>257</v>
      </c>
      <c r="J478" s="2" t="s">
        <v>258</v>
      </c>
      <c r="K478" s="2" t="s">
        <v>658</v>
      </c>
      <c r="L478" s="2" t="s">
        <v>2759</v>
      </c>
      <c r="M478" t="s">
        <v>260</v>
      </c>
      <c r="N478" t="s">
        <v>357</v>
      </c>
      <c r="O478" t="s">
        <v>2098</v>
      </c>
      <c r="P478" t="s">
        <v>2801</v>
      </c>
      <c r="Q478" t="s">
        <v>2281</v>
      </c>
    </row>
    <row r="479" spans="1:17">
      <c r="A479" s="2" t="s">
        <v>2797</v>
      </c>
      <c r="B479" s="2" t="s">
        <v>393</v>
      </c>
      <c r="C479" s="2" t="s">
        <v>430</v>
      </c>
      <c r="D479" s="11">
        <v>45966.625</v>
      </c>
      <c r="E479" s="11">
        <v>45966.625</v>
      </c>
      <c r="F479" s="11">
        <v>45966.708333333336</v>
      </c>
      <c r="G479" s="12">
        <v>8.3333333335758653E-2</v>
      </c>
      <c r="H479" s="2" t="s">
        <v>257</v>
      </c>
      <c r="J479" s="2" t="s">
        <v>258</v>
      </c>
      <c r="K479" s="2" t="s">
        <v>658</v>
      </c>
      <c r="L479" s="2" t="s">
        <v>2759</v>
      </c>
      <c r="M479" t="s">
        <v>260</v>
      </c>
      <c r="N479" t="s">
        <v>357</v>
      </c>
      <c r="O479" t="s">
        <v>2098</v>
      </c>
      <c r="P479" t="s">
        <v>2802</v>
      </c>
      <c r="Q479" t="s">
        <v>2281</v>
      </c>
    </row>
    <row r="480" spans="1:17">
      <c r="A480" s="2" t="s">
        <v>2797</v>
      </c>
      <c r="B480" s="2" t="s">
        <v>393</v>
      </c>
      <c r="C480" s="2" t="s">
        <v>431</v>
      </c>
      <c r="D480" s="11">
        <v>45966.625</v>
      </c>
      <c r="E480" s="11">
        <v>45966.625</v>
      </c>
      <c r="F480" s="11">
        <v>45966.708333333336</v>
      </c>
      <c r="G480" s="12">
        <v>8.3333333335758653E-2</v>
      </c>
      <c r="H480" s="2" t="s">
        <v>257</v>
      </c>
      <c r="J480" s="2" t="s">
        <v>258</v>
      </c>
      <c r="K480" s="2" t="s">
        <v>658</v>
      </c>
      <c r="L480" s="2" t="s">
        <v>2759</v>
      </c>
      <c r="M480" t="s">
        <v>260</v>
      </c>
      <c r="N480" t="s">
        <v>357</v>
      </c>
      <c r="O480" t="s">
        <v>2098</v>
      </c>
      <c r="P480" t="s">
        <v>2803</v>
      </c>
      <c r="Q480" t="s">
        <v>2281</v>
      </c>
    </row>
    <row r="481" spans="1:17">
      <c r="A481" s="2" t="s">
        <v>2804</v>
      </c>
      <c r="B481" s="2" t="s">
        <v>393</v>
      </c>
      <c r="C481" s="2" t="s">
        <v>432</v>
      </c>
      <c r="D481" s="11">
        <v>45966.625</v>
      </c>
      <c r="E481" s="11">
        <v>45966.625</v>
      </c>
      <c r="F481" s="11">
        <v>45966.708333333336</v>
      </c>
      <c r="G481" s="12">
        <v>8.3333333335758653E-2</v>
      </c>
      <c r="H481" s="2" t="s">
        <v>257</v>
      </c>
      <c r="J481" s="2" t="s">
        <v>258</v>
      </c>
      <c r="K481" s="2" t="s">
        <v>658</v>
      </c>
      <c r="L481" s="2" t="s">
        <v>2759</v>
      </c>
      <c r="M481" t="s">
        <v>260</v>
      </c>
      <c r="N481" t="s">
        <v>357</v>
      </c>
      <c r="O481" t="s">
        <v>2098</v>
      </c>
      <c r="P481" t="s">
        <v>2805</v>
      </c>
      <c r="Q481" t="s">
        <v>2281</v>
      </c>
    </row>
    <row r="482" spans="1:17">
      <c r="A482" s="2" t="s">
        <v>2804</v>
      </c>
      <c r="B482" s="2" t="s">
        <v>393</v>
      </c>
      <c r="C482" s="2" t="s">
        <v>433</v>
      </c>
      <c r="D482" s="11">
        <v>45966.625</v>
      </c>
      <c r="E482" s="11">
        <v>45966.625</v>
      </c>
      <c r="F482" s="11">
        <v>45966.708333333336</v>
      </c>
      <c r="G482" s="12">
        <v>8.3333333335758653E-2</v>
      </c>
      <c r="H482" s="2" t="s">
        <v>257</v>
      </c>
      <c r="J482" s="2" t="s">
        <v>258</v>
      </c>
      <c r="K482" s="2" t="s">
        <v>658</v>
      </c>
      <c r="L482" s="2" t="s">
        <v>2759</v>
      </c>
      <c r="M482" t="s">
        <v>260</v>
      </c>
      <c r="N482" t="s">
        <v>357</v>
      </c>
      <c r="O482" t="s">
        <v>2098</v>
      </c>
      <c r="P482" t="s">
        <v>2806</v>
      </c>
      <c r="Q482" t="s">
        <v>2281</v>
      </c>
    </row>
    <row r="483" spans="1:17">
      <c r="A483" s="2" t="s">
        <v>2804</v>
      </c>
      <c r="B483" s="2" t="s">
        <v>393</v>
      </c>
      <c r="C483" s="2" t="s">
        <v>434</v>
      </c>
      <c r="D483" s="11">
        <v>45966.625</v>
      </c>
      <c r="E483" s="11">
        <v>45966.625</v>
      </c>
      <c r="F483" s="11">
        <v>45966.708333333336</v>
      </c>
      <c r="G483" s="12">
        <v>8.3333333335758653E-2</v>
      </c>
      <c r="H483" s="2" t="s">
        <v>257</v>
      </c>
      <c r="J483" s="2" t="s">
        <v>258</v>
      </c>
      <c r="K483" s="2" t="s">
        <v>658</v>
      </c>
      <c r="L483" s="2" t="s">
        <v>2759</v>
      </c>
      <c r="M483" t="s">
        <v>260</v>
      </c>
      <c r="N483" t="s">
        <v>357</v>
      </c>
      <c r="O483" t="s">
        <v>2098</v>
      </c>
      <c r="P483" t="s">
        <v>2807</v>
      </c>
      <c r="Q483" t="s">
        <v>2281</v>
      </c>
    </row>
    <row r="484" spans="1:17">
      <c r="A484" s="2" t="s">
        <v>2195</v>
      </c>
      <c r="B484" s="2" t="s">
        <v>543</v>
      </c>
      <c r="C484" s="2" t="s">
        <v>2535</v>
      </c>
      <c r="D484" s="11">
        <v>45967.263182870367</v>
      </c>
      <c r="E484" s="11">
        <v>45967.263182870367</v>
      </c>
      <c r="F484" s="11">
        <v>45967.270127314812</v>
      </c>
      <c r="G484" s="12">
        <v>6.9444444452528842E-3</v>
      </c>
      <c r="H484" s="2" t="s">
        <v>257</v>
      </c>
      <c r="J484" s="2" t="s">
        <v>371</v>
      </c>
      <c r="K484" s="2" t="s">
        <v>653</v>
      </c>
      <c r="L484" s="2" t="s">
        <v>861</v>
      </c>
      <c r="M484" t="s">
        <v>252</v>
      </c>
      <c r="N484" t="s">
        <v>631</v>
      </c>
      <c r="P484" t="s">
        <v>2808</v>
      </c>
      <c r="Q484" t="s">
        <v>2537</v>
      </c>
    </row>
    <row r="485" spans="1:17">
      <c r="A485" s="2" t="s">
        <v>2195</v>
      </c>
      <c r="B485" s="2" t="s">
        <v>543</v>
      </c>
      <c r="C485" s="2" t="s">
        <v>2616</v>
      </c>
      <c r="D485" s="11">
        <v>45967.263483796298</v>
      </c>
      <c r="E485" s="11">
        <v>45967.263483796298</v>
      </c>
      <c r="F485" s="11">
        <v>45967.299074074072</v>
      </c>
      <c r="G485" s="12">
        <v>3.5590277773735579E-2</v>
      </c>
      <c r="H485" s="2" t="s">
        <v>257</v>
      </c>
      <c r="J485" s="2" t="s">
        <v>371</v>
      </c>
      <c r="K485" s="2" t="s">
        <v>653</v>
      </c>
      <c r="L485" s="2" t="s">
        <v>861</v>
      </c>
      <c r="M485" t="s">
        <v>252</v>
      </c>
      <c r="N485" t="s">
        <v>631</v>
      </c>
      <c r="P485" t="s">
        <v>2809</v>
      </c>
      <c r="Q485" t="s">
        <v>2537</v>
      </c>
    </row>
    <row r="486" spans="1:17">
      <c r="A486" s="2" t="s">
        <v>2428</v>
      </c>
      <c r="B486" s="2" t="s">
        <v>299</v>
      </c>
      <c r="C486" s="2" t="s">
        <v>303</v>
      </c>
      <c r="D486" s="11">
        <v>45967.268055555556</v>
      </c>
      <c r="E486" s="11">
        <v>45967.268055555556</v>
      </c>
      <c r="F486" s="11">
        <v>45972.232638888891</v>
      </c>
      <c r="G486" s="12">
        <v>4.9645833333343035</v>
      </c>
      <c r="H486" s="2" t="s">
        <v>248</v>
      </c>
      <c r="J486" s="2" t="s">
        <v>258</v>
      </c>
      <c r="K486" s="2" t="s">
        <v>658</v>
      </c>
      <c r="L486" s="2" t="s">
        <v>2810</v>
      </c>
      <c r="M486" t="s">
        <v>260</v>
      </c>
      <c r="N486" t="s">
        <v>357</v>
      </c>
      <c r="O486" t="s">
        <v>2811</v>
      </c>
      <c r="P486" t="s">
        <v>2812</v>
      </c>
      <c r="Q486" t="s">
        <v>2813</v>
      </c>
    </row>
    <row r="487" spans="1:17">
      <c r="A487" s="2" t="s">
        <v>2175</v>
      </c>
      <c r="B487" s="2" t="s">
        <v>299</v>
      </c>
      <c r="C487" s="2" t="s">
        <v>300</v>
      </c>
      <c r="D487" s="11">
        <v>45967.268055555556</v>
      </c>
      <c r="E487" s="11">
        <v>45967.268055555556</v>
      </c>
      <c r="F487" s="11">
        <v>45972.232638888891</v>
      </c>
      <c r="G487" s="12">
        <v>4.9645833333343035</v>
      </c>
      <c r="H487" s="2" t="s">
        <v>248</v>
      </c>
      <c r="J487" s="2" t="s">
        <v>258</v>
      </c>
      <c r="K487" s="2" t="s">
        <v>658</v>
      </c>
      <c r="L487" s="2" t="s">
        <v>2810</v>
      </c>
      <c r="M487" t="s">
        <v>260</v>
      </c>
      <c r="N487" t="s">
        <v>357</v>
      </c>
      <c r="O487" t="s">
        <v>2811</v>
      </c>
      <c r="P487" t="s">
        <v>2814</v>
      </c>
      <c r="Q487" t="s">
        <v>2813</v>
      </c>
    </row>
    <row r="488" spans="1:17">
      <c r="A488" s="2" t="s">
        <v>2431</v>
      </c>
      <c r="B488" s="2" t="s">
        <v>299</v>
      </c>
      <c r="C488" s="2" t="s">
        <v>304</v>
      </c>
      <c r="D488" s="11">
        <v>45967.268055555556</v>
      </c>
      <c r="E488" s="11">
        <v>45967.268055555556</v>
      </c>
      <c r="F488" s="11">
        <v>45972.232638888891</v>
      </c>
      <c r="G488" s="12">
        <v>4.9645833333343035</v>
      </c>
      <c r="H488" s="2" t="s">
        <v>248</v>
      </c>
      <c r="J488" s="2" t="s">
        <v>258</v>
      </c>
      <c r="K488" s="2" t="s">
        <v>658</v>
      </c>
      <c r="L488" s="2" t="s">
        <v>2810</v>
      </c>
      <c r="M488" t="s">
        <v>260</v>
      </c>
      <c r="N488" t="s">
        <v>357</v>
      </c>
      <c r="O488" t="s">
        <v>2811</v>
      </c>
      <c r="P488" t="s">
        <v>2815</v>
      </c>
      <c r="Q488" t="s">
        <v>2813</v>
      </c>
    </row>
    <row r="489" spans="1:17">
      <c r="A489" s="2" t="s">
        <v>2132</v>
      </c>
      <c r="B489" s="2" t="s">
        <v>456</v>
      </c>
      <c r="C489" s="2" t="s">
        <v>457</v>
      </c>
      <c r="D489" s="11">
        <v>45967.272222222222</v>
      </c>
      <c r="E489" s="11">
        <v>45967.272222222222</v>
      </c>
      <c r="F489" s="11">
        <v>45967.302083333336</v>
      </c>
      <c r="G489" s="12">
        <v>2.9861111113859806E-2</v>
      </c>
      <c r="H489" s="2" t="s">
        <v>257</v>
      </c>
      <c r="J489" s="2" t="s">
        <v>258</v>
      </c>
      <c r="K489" s="2" t="s">
        <v>658</v>
      </c>
      <c r="L489" s="2" t="s">
        <v>2816</v>
      </c>
      <c r="M489" t="s">
        <v>260</v>
      </c>
      <c r="N489" t="s">
        <v>357</v>
      </c>
      <c r="O489" t="s">
        <v>632</v>
      </c>
      <c r="P489" t="s">
        <v>2817</v>
      </c>
      <c r="Q489" t="s">
        <v>2281</v>
      </c>
    </row>
    <row r="490" spans="1:17">
      <c r="A490" s="2" t="s">
        <v>2132</v>
      </c>
      <c r="B490" s="2" t="s">
        <v>456</v>
      </c>
      <c r="C490" s="2" t="s">
        <v>459</v>
      </c>
      <c r="D490" s="11">
        <v>45967.272222222222</v>
      </c>
      <c r="E490" s="11">
        <v>45967.272222222222</v>
      </c>
      <c r="F490" s="11">
        <v>45967.302083333336</v>
      </c>
      <c r="G490" s="12">
        <v>2.9861111113859806E-2</v>
      </c>
      <c r="H490" s="2" t="s">
        <v>257</v>
      </c>
      <c r="J490" s="2" t="s">
        <v>258</v>
      </c>
      <c r="K490" s="2" t="s">
        <v>658</v>
      </c>
      <c r="L490" s="2" t="s">
        <v>2816</v>
      </c>
      <c r="M490" t="s">
        <v>260</v>
      </c>
      <c r="N490" t="s">
        <v>357</v>
      </c>
      <c r="O490" t="s">
        <v>632</v>
      </c>
      <c r="P490" t="s">
        <v>2818</v>
      </c>
      <c r="Q490" t="s">
        <v>2281</v>
      </c>
    </row>
    <row r="491" spans="1:17">
      <c r="A491" s="2" t="s">
        <v>2132</v>
      </c>
      <c r="B491" s="2" t="s">
        <v>456</v>
      </c>
      <c r="C491" s="2" t="s">
        <v>460</v>
      </c>
      <c r="D491" s="11">
        <v>45967.272222222222</v>
      </c>
      <c r="E491" s="11">
        <v>45967.272222222222</v>
      </c>
      <c r="F491" s="11">
        <v>45967.302083333336</v>
      </c>
      <c r="G491" s="12">
        <v>2.9861111113859806E-2</v>
      </c>
      <c r="H491" s="2" t="s">
        <v>257</v>
      </c>
      <c r="J491" s="2" t="s">
        <v>258</v>
      </c>
      <c r="K491" s="2" t="s">
        <v>658</v>
      </c>
      <c r="L491" s="2" t="s">
        <v>2816</v>
      </c>
      <c r="M491" t="s">
        <v>260</v>
      </c>
      <c r="N491" t="s">
        <v>357</v>
      </c>
      <c r="O491" t="s">
        <v>632</v>
      </c>
      <c r="P491" t="s">
        <v>2819</v>
      </c>
      <c r="Q491" t="s">
        <v>2281</v>
      </c>
    </row>
    <row r="492" spans="1:17">
      <c r="A492" s="2" t="s">
        <v>2132</v>
      </c>
      <c r="B492" s="2" t="s">
        <v>456</v>
      </c>
      <c r="C492" s="2" t="s">
        <v>461</v>
      </c>
      <c r="D492" s="11">
        <v>45967.272222222222</v>
      </c>
      <c r="E492" s="11">
        <v>45967.272222222222</v>
      </c>
      <c r="F492" s="11">
        <v>45967.302083333336</v>
      </c>
      <c r="G492" s="12">
        <v>2.9861111113859806E-2</v>
      </c>
      <c r="H492" s="2" t="s">
        <v>257</v>
      </c>
      <c r="J492" s="2" t="s">
        <v>258</v>
      </c>
      <c r="K492" s="2" t="s">
        <v>658</v>
      </c>
      <c r="L492" s="2" t="s">
        <v>2816</v>
      </c>
      <c r="M492" t="s">
        <v>260</v>
      </c>
      <c r="N492" t="s">
        <v>357</v>
      </c>
      <c r="O492" t="s">
        <v>632</v>
      </c>
      <c r="P492" t="s">
        <v>2820</v>
      </c>
      <c r="Q492" t="s">
        <v>2281</v>
      </c>
    </row>
    <row r="493" spans="1:17">
      <c r="A493" s="2" t="s">
        <v>2132</v>
      </c>
      <c r="B493" s="2" t="s">
        <v>456</v>
      </c>
      <c r="C493" s="2" t="s">
        <v>462</v>
      </c>
      <c r="D493" s="11">
        <v>45967.272222222222</v>
      </c>
      <c r="E493" s="11">
        <v>45967.272222222222</v>
      </c>
      <c r="F493" s="11">
        <v>45967.302083333336</v>
      </c>
      <c r="G493" s="12">
        <v>2.9861111113859806E-2</v>
      </c>
      <c r="H493" s="2" t="s">
        <v>257</v>
      </c>
      <c r="J493" s="2" t="s">
        <v>258</v>
      </c>
      <c r="K493" s="2" t="s">
        <v>658</v>
      </c>
      <c r="L493" s="2" t="s">
        <v>2816</v>
      </c>
      <c r="M493" t="s">
        <v>260</v>
      </c>
      <c r="N493" t="s">
        <v>357</v>
      </c>
      <c r="O493" t="s">
        <v>632</v>
      </c>
      <c r="P493" t="s">
        <v>2821</v>
      </c>
      <c r="Q493" t="s">
        <v>2281</v>
      </c>
    </row>
    <row r="494" spans="1:17">
      <c r="A494" s="2" t="s">
        <v>2132</v>
      </c>
      <c r="B494" s="2" t="s">
        <v>456</v>
      </c>
      <c r="C494" s="2" t="s">
        <v>463</v>
      </c>
      <c r="D494" s="11">
        <v>45967.272222222222</v>
      </c>
      <c r="E494" s="11">
        <v>45967.272222222222</v>
      </c>
      <c r="F494" s="11">
        <v>45967.302083333336</v>
      </c>
      <c r="G494" s="12">
        <v>2.9861111113859806E-2</v>
      </c>
      <c r="H494" s="2" t="s">
        <v>257</v>
      </c>
      <c r="J494" s="2" t="s">
        <v>258</v>
      </c>
      <c r="K494" s="2" t="s">
        <v>658</v>
      </c>
      <c r="L494" s="2" t="s">
        <v>2816</v>
      </c>
      <c r="M494" t="s">
        <v>260</v>
      </c>
      <c r="N494" t="s">
        <v>357</v>
      </c>
      <c r="O494" t="s">
        <v>632</v>
      </c>
      <c r="P494" t="s">
        <v>2822</v>
      </c>
      <c r="Q494" t="s">
        <v>2281</v>
      </c>
    </row>
    <row r="495" spans="1:17">
      <c r="A495" s="2" t="s">
        <v>2132</v>
      </c>
      <c r="B495" s="2" t="s">
        <v>456</v>
      </c>
      <c r="C495" s="2" t="s">
        <v>464</v>
      </c>
      <c r="D495" s="11">
        <v>45967.272222222222</v>
      </c>
      <c r="E495" s="11">
        <v>45967.272222222222</v>
      </c>
      <c r="F495" s="11">
        <v>45967.302083333336</v>
      </c>
      <c r="G495" s="12">
        <v>2.9861111113859806E-2</v>
      </c>
      <c r="H495" s="2" t="s">
        <v>257</v>
      </c>
      <c r="J495" s="2" t="s">
        <v>258</v>
      </c>
      <c r="K495" s="2" t="s">
        <v>658</v>
      </c>
      <c r="L495" s="2" t="s">
        <v>2816</v>
      </c>
      <c r="M495" t="s">
        <v>260</v>
      </c>
      <c r="N495" t="s">
        <v>357</v>
      </c>
      <c r="O495" t="s">
        <v>632</v>
      </c>
      <c r="P495" t="s">
        <v>2823</v>
      </c>
      <c r="Q495" t="s">
        <v>2281</v>
      </c>
    </row>
    <row r="496" spans="1:17">
      <c r="A496" s="2" t="s">
        <v>2132</v>
      </c>
      <c r="B496" s="2" t="s">
        <v>456</v>
      </c>
      <c r="C496" s="2" t="s">
        <v>465</v>
      </c>
      <c r="D496" s="11">
        <v>45967.272222222222</v>
      </c>
      <c r="E496" s="11">
        <v>45967.272222222222</v>
      </c>
      <c r="F496" s="11">
        <v>45967.302083333336</v>
      </c>
      <c r="G496" s="12">
        <v>2.9861111113859806E-2</v>
      </c>
      <c r="H496" s="2" t="s">
        <v>257</v>
      </c>
      <c r="J496" s="2" t="s">
        <v>258</v>
      </c>
      <c r="K496" s="2" t="s">
        <v>658</v>
      </c>
      <c r="L496" s="2" t="s">
        <v>2816</v>
      </c>
      <c r="M496" t="s">
        <v>260</v>
      </c>
      <c r="N496" t="s">
        <v>357</v>
      </c>
      <c r="O496" t="s">
        <v>632</v>
      </c>
      <c r="P496" t="s">
        <v>2824</v>
      </c>
      <c r="Q496" t="s">
        <v>2281</v>
      </c>
    </row>
    <row r="497" spans="1:17">
      <c r="A497" s="2" t="s">
        <v>2133</v>
      </c>
      <c r="B497" s="2" t="s">
        <v>456</v>
      </c>
      <c r="C497" s="2" t="s">
        <v>466</v>
      </c>
      <c r="D497" s="11">
        <v>45967.272222222222</v>
      </c>
      <c r="E497" s="11">
        <v>45967.272222222222</v>
      </c>
      <c r="F497" s="11">
        <v>45967.302083333336</v>
      </c>
      <c r="G497" s="12">
        <v>2.9861111113859806E-2</v>
      </c>
      <c r="H497" s="2" t="s">
        <v>257</v>
      </c>
      <c r="J497" s="2" t="s">
        <v>258</v>
      </c>
      <c r="K497" s="2" t="s">
        <v>658</v>
      </c>
      <c r="L497" s="2" t="s">
        <v>2816</v>
      </c>
      <c r="M497" t="s">
        <v>260</v>
      </c>
      <c r="N497" t="s">
        <v>357</v>
      </c>
      <c r="O497" t="s">
        <v>632</v>
      </c>
      <c r="P497" t="s">
        <v>2825</v>
      </c>
      <c r="Q497" t="s">
        <v>2281</v>
      </c>
    </row>
    <row r="498" spans="1:17">
      <c r="A498" s="2" t="s">
        <v>2133</v>
      </c>
      <c r="B498" s="2" t="s">
        <v>456</v>
      </c>
      <c r="C498" s="2" t="s">
        <v>467</v>
      </c>
      <c r="D498" s="11">
        <v>45967.272222222222</v>
      </c>
      <c r="E498" s="11">
        <v>45967.272222222222</v>
      </c>
      <c r="F498" s="11">
        <v>45967.302083333336</v>
      </c>
      <c r="G498" s="12">
        <v>2.9861111113859806E-2</v>
      </c>
      <c r="H498" s="2" t="s">
        <v>257</v>
      </c>
      <c r="J498" s="2" t="s">
        <v>258</v>
      </c>
      <c r="K498" s="2" t="s">
        <v>658</v>
      </c>
      <c r="L498" s="2" t="s">
        <v>2816</v>
      </c>
      <c r="M498" t="s">
        <v>260</v>
      </c>
      <c r="N498" t="s">
        <v>357</v>
      </c>
      <c r="O498" t="s">
        <v>632</v>
      </c>
      <c r="P498" t="s">
        <v>2826</v>
      </c>
      <c r="Q498" t="s">
        <v>2281</v>
      </c>
    </row>
    <row r="499" spans="1:17">
      <c r="A499" s="2" t="s">
        <v>2133</v>
      </c>
      <c r="B499" s="2" t="s">
        <v>456</v>
      </c>
      <c r="C499" s="2" t="s">
        <v>468</v>
      </c>
      <c r="D499" s="11">
        <v>45967.272222222222</v>
      </c>
      <c r="E499" s="11">
        <v>45967.272222222222</v>
      </c>
      <c r="F499" s="11">
        <v>45967.302083333336</v>
      </c>
      <c r="G499" s="12">
        <v>2.9861111113859806E-2</v>
      </c>
      <c r="H499" s="2" t="s">
        <v>257</v>
      </c>
      <c r="J499" s="2" t="s">
        <v>258</v>
      </c>
      <c r="K499" s="2" t="s">
        <v>658</v>
      </c>
      <c r="L499" s="2" t="s">
        <v>2816</v>
      </c>
      <c r="M499" t="s">
        <v>260</v>
      </c>
      <c r="N499" t="s">
        <v>357</v>
      </c>
      <c r="O499" t="s">
        <v>632</v>
      </c>
      <c r="P499" t="s">
        <v>2827</v>
      </c>
      <c r="Q499" t="s">
        <v>2281</v>
      </c>
    </row>
    <row r="500" spans="1:17">
      <c r="A500" s="2" t="s">
        <v>2133</v>
      </c>
      <c r="B500" s="2" t="s">
        <v>456</v>
      </c>
      <c r="C500" s="2" t="s">
        <v>469</v>
      </c>
      <c r="D500" s="11">
        <v>45967.272222222222</v>
      </c>
      <c r="E500" s="11">
        <v>45967.272222222222</v>
      </c>
      <c r="F500" s="11">
        <v>45967.302083333336</v>
      </c>
      <c r="G500" s="12">
        <v>2.9861111113859806E-2</v>
      </c>
      <c r="H500" s="2" t="s">
        <v>257</v>
      </c>
      <c r="J500" s="2" t="s">
        <v>258</v>
      </c>
      <c r="K500" s="2" t="s">
        <v>658</v>
      </c>
      <c r="L500" s="2" t="s">
        <v>2816</v>
      </c>
      <c r="M500" t="s">
        <v>260</v>
      </c>
      <c r="N500" t="s">
        <v>357</v>
      </c>
      <c r="O500" t="s">
        <v>632</v>
      </c>
      <c r="P500" t="s">
        <v>2828</v>
      </c>
      <c r="Q500" t="s">
        <v>2281</v>
      </c>
    </row>
    <row r="501" spans="1:17">
      <c r="A501" s="2" t="s">
        <v>2133</v>
      </c>
      <c r="B501" s="2" t="s">
        <v>456</v>
      </c>
      <c r="C501" s="2" t="s">
        <v>470</v>
      </c>
      <c r="D501" s="11">
        <v>45967.272222222222</v>
      </c>
      <c r="E501" s="11">
        <v>45967.272222222222</v>
      </c>
      <c r="F501" s="11">
        <v>45967.302083333336</v>
      </c>
      <c r="G501" s="12">
        <v>2.9861111113859806E-2</v>
      </c>
      <c r="H501" s="2" t="s">
        <v>257</v>
      </c>
      <c r="J501" s="2" t="s">
        <v>258</v>
      </c>
      <c r="K501" s="2" t="s">
        <v>658</v>
      </c>
      <c r="L501" s="2" t="s">
        <v>2816</v>
      </c>
      <c r="M501" t="s">
        <v>260</v>
      </c>
      <c r="N501" t="s">
        <v>357</v>
      </c>
      <c r="O501" t="s">
        <v>632</v>
      </c>
      <c r="P501" t="s">
        <v>2829</v>
      </c>
      <c r="Q501" t="s">
        <v>2281</v>
      </c>
    </row>
    <row r="502" spans="1:17">
      <c r="A502" s="2" t="s">
        <v>2133</v>
      </c>
      <c r="B502" s="2" t="s">
        <v>456</v>
      </c>
      <c r="C502" s="2" t="s">
        <v>471</v>
      </c>
      <c r="D502" s="11">
        <v>45967.272222222222</v>
      </c>
      <c r="E502" s="11">
        <v>45967.272222222222</v>
      </c>
      <c r="F502" s="11">
        <v>45967.302083333336</v>
      </c>
      <c r="G502" s="12">
        <v>2.9861111113859806E-2</v>
      </c>
      <c r="H502" s="2" t="s">
        <v>257</v>
      </c>
      <c r="J502" s="2" t="s">
        <v>258</v>
      </c>
      <c r="K502" s="2" t="s">
        <v>658</v>
      </c>
      <c r="L502" s="2" t="s">
        <v>2816</v>
      </c>
      <c r="M502" t="s">
        <v>260</v>
      </c>
      <c r="N502" t="s">
        <v>357</v>
      </c>
      <c r="O502" t="s">
        <v>632</v>
      </c>
      <c r="P502" t="s">
        <v>2830</v>
      </c>
      <c r="Q502" t="s">
        <v>2281</v>
      </c>
    </row>
    <row r="503" spans="1:17">
      <c r="A503" s="2" t="s">
        <v>2133</v>
      </c>
      <c r="B503" s="2" t="s">
        <v>456</v>
      </c>
      <c r="C503" s="2" t="s">
        <v>472</v>
      </c>
      <c r="D503" s="11">
        <v>45967.272222222222</v>
      </c>
      <c r="E503" s="11">
        <v>45967.272222222222</v>
      </c>
      <c r="F503" s="11">
        <v>45967.302083333336</v>
      </c>
      <c r="G503" s="12">
        <v>2.9861111113859806E-2</v>
      </c>
      <c r="H503" s="2" t="s">
        <v>257</v>
      </c>
      <c r="J503" s="2" t="s">
        <v>258</v>
      </c>
      <c r="K503" s="2" t="s">
        <v>658</v>
      </c>
      <c r="L503" s="2" t="s">
        <v>2816</v>
      </c>
      <c r="M503" t="s">
        <v>260</v>
      </c>
      <c r="N503" t="s">
        <v>357</v>
      </c>
      <c r="O503" t="s">
        <v>632</v>
      </c>
      <c r="P503" t="s">
        <v>2831</v>
      </c>
      <c r="Q503" t="s">
        <v>2281</v>
      </c>
    </row>
    <row r="504" spans="1:17">
      <c r="A504" s="2" t="s">
        <v>2146</v>
      </c>
      <c r="B504" s="2" t="s">
        <v>456</v>
      </c>
      <c r="C504" s="2" t="s">
        <v>473</v>
      </c>
      <c r="D504" s="11">
        <v>45967.272222222222</v>
      </c>
      <c r="E504" s="11">
        <v>45967.272222222222</v>
      </c>
      <c r="F504" s="11">
        <v>45967.302083333336</v>
      </c>
      <c r="G504" s="12">
        <v>2.9861111113859806E-2</v>
      </c>
      <c r="H504" s="2" t="s">
        <v>257</v>
      </c>
      <c r="J504" s="2" t="s">
        <v>258</v>
      </c>
      <c r="K504" s="2" t="s">
        <v>658</v>
      </c>
      <c r="L504" s="2" t="s">
        <v>2816</v>
      </c>
      <c r="M504" t="s">
        <v>260</v>
      </c>
      <c r="N504" t="s">
        <v>357</v>
      </c>
      <c r="O504" t="s">
        <v>632</v>
      </c>
      <c r="P504" t="s">
        <v>2832</v>
      </c>
      <c r="Q504" t="s">
        <v>2281</v>
      </c>
    </row>
    <row r="505" spans="1:17">
      <c r="A505" s="2" t="s">
        <v>2146</v>
      </c>
      <c r="B505" s="2" t="s">
        <v>456</v>
      </c>
      <c r="C505" s="2" t="s">
        <v>474</v>
      </c>
      <c r="D505" s="11">
        <v>45967.272222222222</v>
      </c>
      <c r="E505" s="11">
        <v>45967.272222222222</v>
      </c>
      <c r="F505" s="11">
        <v>45967.302083333336</v>
      </c>
      <c r="G505" s="12">
        <v>2.9861111113859806E-2</v>
      </c>
      <c r="H505" s="2" t="s">
        <v>257</v>
      </c>
      <c r="J505" s="2" t="s">
        <v>258</v>
      </c>
      <c r="K505" s="2" t="s">
        <v>658</v>
      </c>
      <c r="L505" s="2" t="s">
        <v>2816</v>
      </c>
      <c r="M505" t="s">
        <v>260</v>
      </c>
      <c r="N505" t="s">
        <v>357</v>
      </c>
      <c r="O505" t="s">
        <v>632</v>
      </c>
      <c r="P505" t="s">
        <v>2833</v>
      </c>
      <c r="Q505" t="s">
        <v>2281</v>
      </c>
    </row>
    <row r="506" spans="1:17">
      <c r="A506" s="2" t="s">
        <v>2146</v>
      </c>
      <c r="B506" s="2" t="s">
        <v>456</v>
      </c>
      <c r="C506" s="2" t="s">
        <v>475</v>
      </c>
      <c r="D506" s="11">
        <v>45967.272222222222</v>
      </c>
      <c r="E506" s="11">
        <v>45967.272222222222</v>
      </c>
      <c r="F506" s="11">
        <v>45967.302083333336</v>
      </c>
      <c r="G506" s="12">
        <v>2.9861111113859806E-2</v>
      </c>
      <c r="H506" s="2" t="s">
        <v>257</v>
      </c>
      <c r="J506" s="2" t="s">
        <v>258</v>
      </c>
      <c r="K506" s="2" t="s">
        <v>658</v>
      </c>
      <c r="L506" s="2" t="s">
        <v>2816</v>
      </c>
      <c r="M506" t="s">
        <v>260</v>
      </c>
      <c r="N506" t="s">
        <v>357</v>
      </c>
      <c r="O506" t="s">
        <v>632</v>
      </c>
      <c r="P506" t="s">
        <v>2834</v>
      </c>
      <c r="Q506" t="s">
        <v>2281</v>
      </c>
    </row>
    <row r="507" spans="1:17">
      <c r="A507" s="2" t="s">
        <v>2146</v>
      </c>
      <c r="B507" s="2" t="s">
        <v>456</v>
      </c>
      <c r="C507" s="2" t="s">
        <v>476</v>
      </c>
      <c r="D507" s="11">
        <v>45967.272222222222</v>
      </c>
      <c r="E507" s="11">
        <v>45967.272222222222</v>
      </c>
      <c r="F507" s="11">
        <v>45967.302083333336</v>
      </c>
      <c r="G507" s="12">
        <v>2.9861111113859806E-2</v>
      </c>
      <c r="H507" s="2" t="s">
        <v>257</v>
      </c>
      <c r="J507" s="2" t="s">
        <v>258</v>
      </c>
      <c r="K507" s="2" t="s">
        <v>658</v>
      </c>
      <c r="L507" s="2" t="s">
        <v>2816</v>
      </c>
      <c r="M507" t="s">
        <v>260</v>
      </c>
      <c r="N507" t="s">
        <v>357</v>
      </c>
      <c r="O507" t="s">
        <v>632</v>
      </c>
      <c r="P507" t="s">
        <v>2835</v>
      </c>
      <c r="Q507" t="s">
        <v>2281</v>
      </c>
    </row>
    <row r="508" spans="1:17">
      <c r="A508" s="2" t="s">
        <v>2146</v>
      </c>
      <c r="B508" s="2" t="s">
        <v>456</v>
      </c>
      <c r="C508" s="2" t="s">
        <v>477</v>
      </c>
      <c r="D508" s="11">
        <v>45967.272222222222</v>
      </c>
      <c r="E508" s="11">
        <v>45967.272222222222</v>
      </c>
      <c r="F508" s="11">
        <v>45967.302083333336</v>
      </c>
      <c r="G508" s="12">
        <v>2.9861111113859806E-2</v>
      </c>
      <c r="H508" s="2" t="s">
        <v>257</v>
      </c>
      <c r="J508" s="2" t="s">
        <v>258</v>
      </c>
      <c r="K508" s="2" t="s">
        <v>658</v>
      </c>
      <c r="L508" s="2" t="s">
        <v>2816</v>
      </c>
      <c r="M508" t="s">
        <v>260</v>
      </c>
      <c r="N508" t="s">
        <v>357</v>
      </c>
      <c r="O508" t="s">
        <v>632</v>
      </c>
      <c r="P508" t="s">
        <v>2836</v>
      </c>
      <c r="Q508" t="s">
        <v>2281</v>
      </c>
    </row>
    <row r="509" spans="1:17">
      <c r="A509" s="2" t="s">
        <v>2147</v>
      </c>
      <c r="B509" s="2" t="s">
        <v>456</v>
      </c>
      <c r="C509" s="2" t="s">
        <v>478</v>
      </c>
      <c r="D509" s="11">
        <v>45967.272222222222</v>
      </c>
      <c r="E509" s="11">
        <v>45967.272222222222</v>
      </c>
      <c r="F509" s="11">
        <v>45967.302083333336</v>
      </c>
      <c r="G509" s="12">
        <v>2.9861111113859806E-2</v>
      </c>
      <c r="H509" s="2" t="s">
        <v>257</v>
      </c>
      <c r="J509" s="2" t="s">
        <v>258</v>
      </c>
      <c r="K509" s="2" t="s">
        <v>658</v>
      </c>
      <c r="L509" s="2" t="s">
        <v>2816</v>
      </c>
      <c r="M509" t="s">
        <v>260</v>
      </c>
      <c r="N509" t="s">
        <v>357</v>
      </c>
      <c r="O509" t="s">
        <v>632</v>
      </c>
      <c r="P509" t="s">
        <v>2837</v>
      </c>
      <c r="Q509" t="s">
        <v>2281</v>
      </c>
    </row>
    <row r="510" spans="1:17">
      <c r="A510" s="2" t="s">
        <v>2147</v>
      </c>
      <c r="B510" s="2" t="s">
        <v>456</v>
      </c>
      <c r="C510" s="2" t="s">
        <v>479</v>
      </c>
      <c r="D510" s="11">
        <v>45967.272222222222</v>
      </c>
      <c r="E510" s="11">
        <v>45967.272222222222</v>
      </c>
      <c r="F510" s="11">
        <v>45967.302083333336</v>
      </c>
      <c r="G510" s="12">
        <v>2.9861111113859806E-2</v>
      </c>
      <c r="H510" s="2" t="s">
        <v>257</v>
      </c>
      <c r="J510" s="2" t="s">
        <v>258</v>
      </c>
      <c r="K510" s="2" t="s">
        <v>658</v>
      </c>
      <c r="L510" s="2" t="s">
        <v>2816</v>
      </c>
      <c r="M510" t="s">
        <v>260</v>
      </c>
      <c r="N510" t="s">
        <v>357</v>
      </c>
      <c r="O510" t="s">
        <v>632</v>
      </c>
      <c r="P510" t="s">
        <v>2838</v>
      </c>
      <c r="Q510" t="s">
        <v>2281</v>
      </c>
    </row>
    <row r="511" spans="1:17">
      <c r="A511" s="2" t="s">
        <v>2147</v>
      </c>
      <c r="B511" s="2" t="s">
        <v>456</v>
      </c>
      <c r="C511" s="2" t="s">
        <v>480</v>
      </c>
      <c r="D511" s="11">
        <v>45967.272222222222</v>
      </c>
      <c r="E511" s="11">
        <v>45967.272222222222</v>
      </c>
      <c r="F511" s="11">
        <v>45967.302083333336</v>
      </c>
      <c r="G511" s="12">
        <v>2.9861111113859806E-2</v>
      </c>
      <c r="H511" s="2" t="s">
        <v>257</v>
      </c>
      <c r="J511" s="2" t="s">
        <v>258</v>
      </c>
      <c r="K511" s="2" t="s">
        <v>658</v>
      </c>
      <c r="L511" s="2" t="s">
        <v>2816</v>
      </c>
      <c r="M511" t="s">
        <v>260</v>
      </c>
      <c r="N511" t="s">
        <v>357</v>
      </c>
      <c r="O511" t="s">
        <v>632</v>
      </c>
      <c r="P511" t="s">
        <v>2839</v>
      </c>
      <c r="Q511" t="s">
        <v>2281</v>
      </c>
    </row>
    <row r="512" spans="1:17">
      <c r="A512" s="2" t="s">
        <v>2147</v>
      </c>
      <c r="B512" s="2" t="s">
        <v>456</v>
      </c>
      <c r="C512" s="2" t="s">
        <v>481</v>
      </c>
      <c r="D512" s="11">
        <v>45967.272222222222</v>
      </c>
      <c r="E512" s="11">
        <v>45967.272222222222</v>
      </c>
      <c r="F512" s="11">
        <v>45967.302083333336</v>
      </c>
      <c r="G512" s="12">
        <v>2.9861111113859806E-2</v>
      </c>
      <c r="H512" s="2" t="s">
        <v>257</v>
      </c>
      <c r="J512" s="2" t="s">
        <v>258</v>
      </c>
      <c r="K512" s="2" t="s">
        <v>658</v>
      </c>
      <c r="L512" s="2" t="s">
        <v>2816</v>
      </c>
      <c r="M512" t="s">
        <v>260</v>
      </c>
      <c r="N512" t="s">
        <v>357</v>
      </c>
      <c r="O512" t="s">
        <v>632</v>
      </c>
      <c r="P512" t="s">
        <v>2840</v>
      </c>
      <c r="Q512" t="s">
        <v>2281</v>
      </c>
    </row>
    <row r="513" spans="1:17">
      <c r="A513" s="2" t="s">
        <v>2148</v>
      </c>
      <c r="B513" s="2" t="s">
        <v>456</v>
      </c>
      <c r="C513" s="2" t="s">
        <v>482</v>
      </c>
      <c r="D513" s="11">
        <v>45967.272222222222</v>
      </c>
      <c r="E513" s="11">
        <v>45967.272222222222</v>
      </c>
      <c r="F513" s="11">
        <v>45967.302083333336</v>
      </c>
      <c r="G513" s="12">
        <v>2.9861111113859806E-2</v>
      </c>
      <c r="H513" s="2" t="s">
        <v>257</v>
      </c>
      <c r="J513" s="2" t="s">
        <v>258</v>
      </c>
      <c r="K513" s="2" t="s">
        <v>658</v>
      </c>
      <c r="L513" s="2" t="s">
        <v>2816</v>
      </c>
      <c r="M513" t="s">
        <v>260</v>
      </c>
      <c r="N513" t="s">
        <v>357</v>
      </c>
      <c r="O513" t="s">
        <v>632</v>
      </c>
      <c r="P513" t="s">
        <v>2841</v>
      </c>
      <c r="Q513" t="s">
        <v>2281</v>
      </c>
    </row>
    <row r="514" spans="1:17">
      <c r="A514" s="2" t="s">
        <v>2148</v>
      </c>
      <c r="B514" s="2" t="s">
        <v>456</v>
      </c>
      <c r="C514" s="2" t="s">
        <v>483</v>
      </c>
      <c r="D514" s="11">
        <v>45967.272222222222</v>
      </c>
      <c r="E514" s="11">
        <v>45967.272222222222</v>
      </c>
      <c r="F514" s="11">
        <v>45967.302083333336</v>
      </c>
      <c r="G514" s="12">
        <v>2.9861111113859806E-2</v>
      </c>
      <c r="H514" s="2" t="s">
        <v>257</v>
      </c>
      <c r="J514" s="2" t="s">
        <v>258</v>
      </c>
      <c r="K514" s="2" t="s">
        <v>658</v>
      </c>
      <c r="L514" s="2" t="s">
        <v>2816</v>
      </c>
      <c r="M514" t="s">
        <v>260</v>
      </c>
      <c r="N514" t="s">
        <v>357</v>
      </c>
      <c r="O514" t="s">
        <v>632</v>
      </c>
      <c r="P514" t="s">
        <v>2842</v>
      </c>
      <c r="Q514" t="s">
        <v>2281</v>
      </c>
    </row>
    <row r="515" spans="1:17">
      <c r="A515" s="2" t="s">
        <v>2148</v>
      </c>
      <c r="B515" s="2" t="s">
        <v>456</v>
      </c>
      <c r="C515" s="2" t="s">
        <v>484</v>
      </c>
      <c r="D515" s="11">
        <v>45967.272222222222</v>
      </c>
      <c r="E515" s="11">
        <v>45967.272222222222</v>
      </c>
      <c r="F515" s="11">
        <v>45967.302083333336</v>
      </c>
      <c r="G515" s="12">
        <v>2.9861111113859806E-2</v>
      </c>
      <c r="H515" s="2" t="s">
        <v>257</v>
      </c>
      <c r="J515" s="2" t="s">
        <v>258</v>
      </c>
      <c r="K515" s="2" t="s">
        <v>658</v>
      </c>
      <c r="L515" s="2" t="s">
        <v>2816</v>
      </c>
      <c r="M515" t="s">
        <v>260</v>
      </c>
      <c r="N515" t="s">
        <v>357</v>
      </c>
      <c r="O515" t="s">
        <v>632</v>
      </c>
      <c r="P515" t="s">
        <v>2843</v>
      </c>
      <c r="Q515" t="s">
        <v>2281</v>
      </c>
    </row>
    <row r="516" spans="1:17">
      <c r="A516" s="2" t="s">
        <v>2148</v>
      </c>
      <c r="B516" s="2" t="s">
        <v>456</v>
      </c>
      <c r="C516" s="2" t="s">
        <v>485</v>
      </c>
      <c r="D516" s="11">
        <v>45967.272222222222</v>
      </c>
      <c r="E516" s="11">
        <v>45967.272222222222</v>
      </c>
      <c r="F516" s="11">
        <v>45967.302083333336</v>
      </c>
      <c r="G516" s="12">
        <v>2.9861111113859806E-2</v>
      </c>
      <c r="H516" s="2" t="s">
        <v>257</v>
      </c>
      <c r="J516" s="2" t="s">
        <v>258</v>
      </c>
      <c r="K516" s="2" t="s">
        <v>658</v>
      </c>
      <c r="L516" s="2" t="s">
        <v>2816</v>
      </c>
      <c r="M516" t="s">
        <v>260</v>
      </c>
      <c r="N516" t="s">
        <v>357</v>
      </c>
      <c r="O516" t="s">
        <v>632</v>
      </c>
      <c r="P516" t="s">
        <v>2844</v>
      </c>
      <c r="Q516" t="s">
        <v>2281</v>
      </c>
    </row>
    <row r="517" spans="1:17">
      <c r="A517" s="2" t="s">
        <v>2148</v>
      </c>
      <c r="B517" s="2" t="s">
        <v>456</v>
      </c>
      <c r="C517" s="2" t="s">
        <v>486</v>
      </c>
      <c r="D517" s="11">
        <v>45967.272222222222</v>
      </c>
      <c r="E517" s="11">
        <v>45967.272222222222</v>
      </c>
      <c r="F517" s="11">
        <v>45967.302083333336</v>
      </c>
      <c r="G517" s="12">
        <v>2.9861111113859806E-2</v>
      </c>
      <c r="H517" s="2" t="s">
        <v>257</v>
      </c>
      <c r="J517" s="2" t="s">
        <v>258</v>
      </c>
      <c r="K517" s="2" t="s">
        <v>658</v>
      </c>
      <c r="L517" s="2" t="s">
        <v>2816</v>
      </c>
      <c r="M517" t="s">
        <v>260</v>
      </c>
      <c r="N517" t="s">
        <v>357</v>
      </c>
      <c r="O517" t="s">
        <v>632</v>
      </c>
      <c r="P517" t="s">
        <v>2845</v>
      </c>
      <c r="Q517" t="s">
        <v>2281</v>
      </c>
    </row>
    <row r="518" spans="1:17">
      <c r="A518" s="2" t="s">
        <v>2195</v>
      </c>
      <c r="B518" s="2" t="s">
        <v>543</v>
      </c>
      <c r="C518" s="2" t="s">
        <v>2846</v>
      </c>
      <c r="D518" s="11">
        <v>45967.298541666663</v>
      </c>
      <c r="E518" s="11">
        <v>45967.298541666663</v>
      </c>
      <c r="F518" s="11">
        <v>45967.322916666664</v>
      </c>
      <c r="G518" s="12">
        <v>2.4375000000873115E-2</v>
      </c>
      <c r="H518" s="2" t="s">
        <v>257</v>
      </c>
      <c r="J518" s="2" t="s">
        <v>371</v>
      </c>
      <c r="K518" s="2" t="s">
        <v>653</v>
      </c>
      <c r="L518" s="2" t="s">
        <v>861</v>
      </c>
      <c r="M518" t="s">
        <v>252</v>
      </c>
      <c r="N518" t="s">
        <v>631</v>
      </c>
      <c r="P518" t="s">
        <v>2847</v>
      </c>
      <c r="Q518" t="s">
        <v>2537</v>
      </c>
    </row>
    <row r="519" spans="1:17">
      <c r="A519" s="2" t="s">
        <v>2195</v>
      </c>
      <c r="B519" s="2" t="s">
        <v>543</v>
      </c>
      <c r="C519" s="2" t="s">
        <v>2848</v>
      </c>
      <c r="D519" s="11">
        <v>45967.298541666663</v>
      </c>
      <c r="E519" s="11">
        <v>45967.298541666663</v>
      </c>
      <c r="F519" s="11">
        <v>45967.322916666664</v>
      </c>
      <c r="G519" s="12">
        <v>2.4375000000873115E-2</v>
      </c>
      <c r="H519" s="2" t="s">
        <v>257</v>
      </c>
      <c r="J519" s="2" t="s">
        <v>371</v>
      </c>
      <c r="K519" s="2" t="s">
        <v>653</v>
      </c>
      <c r="L519" s="2" t="s">
        <v>861</v>
      </c>
      <c r="M519" t="s">
        <v>252</v>
      </c>
      <c r="N519" t="s">
        <v>631</v>
      </c>
      <c r="P519" t="s">
        <v>2849</v>
      </c>
      <c r="Q519" t="s">
        <v>2537</v>
      </c>
    </row>
    <row r="520" spans="1:17">
      <c r="A520" s="2" t="s">
        <v>2195</v>
      </c>
      <c r="B520" s="2" t="s">
        <v>543</v>
      </c>
      <c r="C520" s="2" t="s">
        <v>2535</v>
      </c>
      <c r="D520" s="11">
        <v>45967.298541666663</v>
      </c>
      <c r="E520" s="11">
        <v>45967.298541666663</v>
      </c>
      <c r="F520" s="11">
        <v>45967.298668981479</v>
      </c>
      <c r="G520" s="12">
        <v>1.273148154723458E-4</v>
      </c>
      <c r="H520" s="2" t="s">
        <v>257</v>
      </c>
      <c r="J520" s="2" t="s">
        <v>371</v>
      </c>
      <c r="K520" s="2" t="s">
        <v>653</v>
      </c>
      <c r="L520" s="2" t="s">
        <v>861</v>
      </c>
      <c r="M520" t="s">
        <v>252</v>
      </c>
      <c r="N520" t="s">
        <v>631</v>
      </c>
      <c r="P520" t="s">
        <v>2850</v>
      </c>
      <c r="Q520" t="s">
        <v>2537</v>
      </c>
    </row>
    <row r="521" spans="1:17">
      <c r="A521" s="2" t="s">
        <v>2195</v>
      </c>
      <c r="B521" s="2" t="s">
        <v>543</v>
      </c>
      <c r="C521" s="2" t="s">
        <v>556</v>
      </c>
      <c r="D521" s="11">
        <v>45967.298541666663</v>
      </c>
      <c r="E521" s="11">
        <v>45967.298541666663</v>
      </c>
      <c r="F521" s="11">
        <v>45967.322916666664</v>
      </c>
      <c r="G521" s="12">
        <v>2.4375000000873115E-2</v>
      </c>
      <c r="H521" s="2" t="s">
        <v>257</v>
      </c>
      <c r="J521" s="2" t="s">
        <v>371</v>
      </c>
      <c r="K521" s="2" t="s">
        <v>653</v>
      </c>
      <c r="L521" s="2" t="s">
        <v>861</v>
      </c>
      <c r="M521" t="s">
        <v>252</v>
      </c>
      <c r="N521" t="s">
        <v>631</v>
      </c>
      <c r="P521" t="s">
        <v>2851</v>
      </c>
      <c r="Q521" t="s">
        <v>2537</v>
      </c>
    </row>
    <row r="522" spans="1:17">
      <c r="A522" s="2" t="s">
        <v>487</v>
      </c>
      <c r="B522" s="2" t="s">
        <v>487</v>
      </c>
      <c r="C522" s="2" t="s">
        <v>377</v>
      </c>
      <c r="D522" s="11">
        <v>45967.336805555555</v>
      </c>
      <c r="E522" s="11">
        <v>45967.336805555555</v>
      </c>
      <c r="F522" s="11">
        <v>45967.45208333333</v>
      </c>
      <c r="G522" s="12">
        <v>0.11527777777519077</v>
      </c>
      <c r="H522" s="2" t="s">
        <v>677</v>
      </c>
      <c r="J522" s="2" t="s">
        <v>230</v>
      </c>
      <c r="K522" s="2" t="s">
        <v>230</v>
      </c>
      <c r="L522" s="2" t="s">
        <v>2852</v>
      </c>
      <c r="M522" t="s">
        <v>663</v>
      </c>
      <c r="N522" t="s">
        <v>672</v>
      </c>
      <c r="O522" t="s">
        <v>2853</v>
      </c>
      <c r="P522" t="s">
        <v>2854</v>
      </c>
      <c r="Q522" t="s">
        <v>2677</v>
      </c>
    </row>
    <row r="523" spans="1:17">
      <c r="A523" s="2" t="s">
        <v>487</v>
      </c>
      <c r="B523" s="2" t="s">
        <v>487</v>
      </c>
      <c r="C523" s="2" t="s">
        <v>378</v>
      </c>
      <c r="D523" s="11">
        <v>45967.336805555555</v>
      </c>
      <c r="E523" s="11">
        <v>45967.336805555555</v>
      </c>
      <c r="F523" s="11">
        <v>45967.45208333333</v>
      </c>
      <c r="G523" s="12">
        <v>0.11527777777519077</v>
      </c>
      <c r="H523" s="2" t="s">
        <v>677</v>
      </c>
      <c r="J523" s="2" t="s">
        <v>230</v>
      </c>
      <c r="K523" s="2" t="s">
        <v>230</v>
      </c>
      <c r="L523" s="2" t="s">
        <v>2852</v>
      </c>
      <c r="M523" t="s">
        <v>663</v>
      </c>
      <c r="N523" t="s">
        <v>672</v>
      </c>
      <c r="O523" t="s">
        <v>2853</v>
      </c>
      <c r="P523" t="s">
        <v>2855</v>
      </c>
      <c r="Q523" t="s">
        <v>2677</v>
      </c>
    </row>
    <row r="524" spans="1:17">
      <c r="A524" s="2" t="s">
        <v>487</v>
      </c>
      <c r="B524" s="2" t="s">
        <v>487</v>
      </c>
      <c r="C524" s="2" t="s">
        <v>382</v>
      </c>
      <c r="D524" s="11">
        <v>45967.336805555555</v>
      </c>
      <c r="E524" s="11">
        <v>45967.336805555555</v>
      </c>
      <c r="F524" s="11">
        <v>45967.45208333333</v>
      </c>
      <c r="G524" s="12">
        <v>0.11527777777519077</v>
      </c>
      <c r="H524" s="2" t="s">
        <v>677</v>
      </c>
      <c r="J524" s="2" t="s">
        <v>230</v>
      </c>
      <c r="K524" s="2" t="s">
        <v>230</v>
      </c>
      <c r="L524" s="2" t="s">
        <v>2852</v>
      </c>
      <c r="M524" t="s">
        <v>663</v>
      </c>
      <c r="N524" t="s">
        <v>672</v>
      </c>
      <c r="O524" t="s">
        <v>2853</v>
      </c>
      <c r="P524" t="s">
        <v>2856</v>
      </c>
      <c r="Q524" t="s">
        <v>2677</v>
      </c>
    </row>
    <row r="525" spans="1:17">
      <c r="A525" s="2" t="s">
        <v>487</v>
      </c>
      <c r="B525" s="2" t="s">
        <v>487</v>
      </c>
      <c r="C525" s="2" t="s">
        <v>380</v>
      </c>
      <c r="D525" s="11">
        <v>45967.336805555555</v>
      </c>
      <c r="E525" s="11">
        <v>45967.336805555555</v>
      </c>
      <c r="F525" s="11">
        <v>45967.45208333333</v>
      </c>
      <c r="G525" s="12">
        <v>0.11527777777519077</v>
      </c>
      <c r="H525" s="2" t="s">
        <v>677</v>
      </c>
      <c r="J525" s="2" t="s">
        <v>230</v>
      </c>
      <c r="K525" s="2" t="s">
        <v>230</v>
      </c>
      <c r="L525" s="2" t="s">
        <v>2852</v>
      </c>
      <c r="M525" t="s">
        <v>663</v>
      </c>
      <c r="N525" t="s">
        <v>672</v>
      </c>
      <c r="O525" t="s">
        <v>2853</v>
      </c>
      <c r="P525" t="s">
        <v>2857</v>
      </c>
      <c r="Q525" t="s">
        <v>2677</v>
      </c>
    </row>
    <row r="526" spans="1:17">
      <c r="A526" s="2" t="s">
        <v>487</v>
      </c>
      <c r="B526" s="2" t="s">
        <v>487</v>
      </c>
      <c r="C526" s="2" t="s">
        <v>379</v>
      </c>
      <c r="D526" s="11">
        <v>45967.336805555555</v>
      </c>
      <c r="E526" s="11">
        <v>45967.336805555555</v>
      </c>
      <c r="F526" s="11">
        <v>45967.45208333333</v>
      </c>
      <c r="G526" s="12">
        <v>0.11527777777519077</v>
      </c>
      <c r="H526" s="2" t="s">
        <v>677</v>
      </c>
      <c r="J526" s="2" t="s">
        <v>230</v>
      </c>
      <c r="K526" s="2" t="s">
        <v>230</v>
      </c>
      <c r="L526" s="2" t="s">
        <v>2852</v>
      </c>
      <c r="M526" t="s">
        <v>663</v>
      </c>
      <c r="N526" t="s">
        <v>672</v>
      </c>
      <c r="O526" t="s">
        <v>2853</v>
      </c>
      <c r="P526" t="s">
        <v>2858</v>
      </c>
      <c r="Q526" t="s">
        <v>2677</v>
      </c>
    </row>
    <row r="527" spans="1:17">
      <c r="A527" s="2" t="s">
        <v>2132</v>
      </c>
      <c r="B527" s="2" t="s">
        <v>456</v>
      </c>
      <c r="C527" s="2" t="s">
        <v>457</v>
      </c>
      <c r="D527" s="11">
        <v>45967.618055555555</v>
      </c>
      <c r="E527" s="11">
        <v>45967.618055555555</v>
      </c>
      <c r="F527" s="11">
        <v>45967.65625</v>
      </c>
      <c r="G527" s="12">
        <v>3.8194444445252884E-2</v>
      </c>
      <c r="H527" s="2" t="s">
        <v>257</v>
      </c>
      <c r="J527" s="2" t="s">
        <v>258</v>
      </c>
      <c r="K527" s="2" t="s">
        <v>658</v>
      </c>
      <c r="L527" s="2" t="s">
        <v>2062</v>
      </c>
      <c r="M527" t="s">
        <v>260</v>
      </c>
      <c r="N527" t="s">
        <v>357</v>
      </c>
      <c r="O527" t="s">
        <v>632</v>
      </c>
      <c r="P527" t="s">
        <v>2859</v>
      </c>
      <c r="Q527" t="s">
        <v>2281</v>
      </c>
    </row>
    <row r="528" spans="1:17">
      <c r="A528" s="2" t="s">
        <v>2132</v>
      </c>
      <c r="B528" s="2" t="s">
        <v>456</v>
      </c>
      <c r="C528" s="2" t="s">
        <v>459</v>
      </c>
      <c r="D528" s="11">
        <v>45967.618055555555</v>
      </c>
      <c r="E528" s="11">
        <v>45967.618055555555</v>
      </c>
      <c r="F528" s="11">
        <v>45967.65625</v>
      </c>
      <c r="G528" s="12">
        <v>3.8194444445252884E-2</v>
      </c>
      <c r="H528" s="2" t="s">
        <v>257</v>
      </c>
      <c r="J528" s="2" t="s">
        <v>258</v>
      </c>
      <c r="K528" s="2" t="s">
        <v>658</v>
      </c>
      <c r="L528" s="2" t="s">
        <v>2062</v>
      </c>
      <c r="M528" t="s">
        <v>260</v>
      </c>
      <c r="N528" t="s">
        <v>357</v>
      </c>
      <c r="O528" t="s">
        <v>632</v>
      </c>
      <c r="P528" t="s">
        <v>2860</v>
      </c>
      <c r="Q528" t="s">
        <v>2281</v>
      </c>
    </row>
    <row r="529" spans="1:17">
      <c r="A529" s="2" t="s">
        <v>2132</v>
      </c>
      <c r="B529" s="2" t="s">
        <v>456</v>
      </c>
      <c r="C529" s="2" t="s">
        <v>460</v>
      </c>
      <c r="D529" s="11">
        <v>45967.618055555555</v>
      </c>
      <c r="E529" s="11">
        <v>45967.618055555555</v>
      </c>
      <c r="F529" s="11">
        <v>45967.65625</v>
      </c>
      <c r="G529" s="12">
        <v>3.8194444445252884E-2</v>
      </c>
      <c r="H529" s="2" t="s">
        <v>257</v>
      </c>
      <c r="J529" s="2" t="s">
        <v>258</v>
      </c>
      <c r="K529" s="2" t="s">
        <v>658</v>
      </c>
      <c r="L529" s="2" t="s">
        <v>2062</v>
      </c>
      <c r="M529" t="s">
        <v>260</v>
      </c>
      <c r="N529" t="s">
        <v>357</v>
      </c>
      <c r="O529" t="s">
        <v>632</v>
      </c>
      <c r="P529" t="s">
        <v>2861</v>
      </c>
      <c r="Q529" t="s">
        <v>2281</v>
      </c>
    </row>
    <row r="530" spans="1:17">
      <c r="A530" s="2" t="s">
        <v>2132</v>
      </c>
      <c r="B530" s="2" t="s">
        <v>456</v>
      </c>
      <c r="C530" s="2" t="s">
        <v>461</v>
      </c>
      <c r="D530" s="11">
        <v>45967.618055555555</v>
      </c>
      <c r="E530" s="11">
        <v>45967.618055555555</v>
      </c>
      <c r="F530" s="11">
        <v>45967.65625</v>
      </c>
      <c r="G530" s="12">
        <v>3.8194444445252884E-2</v>
      </c>
      <c r="H530" s="2" t="s">
        <v>257</v>
      </c>
      <c r="J530" s="2" t="s">
        <v>258</v>
      </c>
      <c r="K530" s="2" t="s">
        <v>658</v>
      </c>
      <c r="L530" s="2" t="s">
        <v>2062</v>
      </c>
      <c r="M530" t="s">
        <v>260</v>
      </c>
      <c r="N530" t="s">
        <v>357</v>
      </c>
      <c r="O530" t="s">
        <v>632</v>
      </c>
      <c r="P530" t="s">
        <v>2862</v>
      </c>
      <c r="Q530" t="s">
        <v>2281</v>
      </c>
    </row>
    <row r="531" spans="1:17">
      <c r="A531" s="2" t="s">
        <v>2132</v>
      </c>
      <c r="B531" s="2" t="s">
        <v>456</v>
      </c>
      <c r="C531" s="2" t="s">
        <v>462</v>
      </c>
      <c r="D531" s="11">
        <v>45967.618055555555</v>
      </c>
      <c r="E531" s="11">
        <v>45967.618055555555</v>
      </c>
      <c r="F531" s="11">
        <v>45967.65625</v>
      </c>
      <c r="G531" s="12">
        <v>3.8194444445252884E-2</v>
      </c>
      <c r="H531" s="2" t="s">
        <v>257</v>
      </c>
      <c r="J531" s="2" t="s">
        <v>258</v>
      </c>
      <c r="K531" s="2" t="s">
        <v>658</v>
      </c>
      <c r="L531" s="2" t="s">
        <v>2062</v>
      </c>
      <c r="M531" t="s">
        <v>260</v>
      </c>
      <c r="N531" t="s">
        <v>357</v>
      </c>
      <c r="O531" t="s">
        <v>632</v>
      </c>
      <c r="P531" t="s">
        <v>2863</v>
      </c>
      <c r="Q531" t="s">
        <v>2281</v>
      </c>
    </row>
    <row r="532" spans="1:17">
      <c r="A532" s="2" t="s">
        <v>2132</v>
      </c>
      <c r="B532" s="2" t="s">
        <v>456</v>
      </c>
      <c r="C532" s="2" t="s">
        <v>463</v>
      </c>
      <c r="D532" s="11">
        <v>45967.618055555555</v>
      </c>
      <c r="E532" s="11">
        <v>45967.618055555555</v>
      </c>
      <c r="F532" s="11">
        <v>45967.65625</v>
      </c>
      <c r="G532" s="12">
        <v>3.8194444445252884E-2</v>
      </c>
      <c r="H532" s="2" t="s">
        <v>257</v>
      </c>
      <c r="J532" s="2" t="s">
        <v>258</v>
      </c>
      <c r="K532" s="2" t="s">
        <v>658</v>
      </c>
      <c r="L532" s="2" t="s">
        <v>2062</v>
      </c>
      <c r="M532" t="s">
        <v>260</v>
      </c>
      <c r="N532" t="s">
        <v>357</v>
      </c>
      <c r="O532" t="s">
        <v>632</v>
      </c>
      <c r="P532" t="s">
        <v>2864</v>
      </c>
      <c r="Q532" t="s">
        <v>2281</v>
      </c>
    </row>
    <row r="533" spans="1:17">
      <c r="A533" s="2" t="s">
        <v>2132</v>
      </c>
      <c r="B533" s="2" t="s">
        <v>456</v>
      </c>
      <c r="C533" s="2" t="s">
        <v>464</v>
      </c>
      <c r="D533" s="11">
        <v>45967.618055555555</v>
      </c>
      <c r="E533" s="11">
        <v>45967.618055555555</v>
      </c>
      <c r="F533" s="11">
        <v>45967.65625</v>
      </c>
      <c r="G533" s="12">
        <v>3.8194444445252884E-2</v>
      </c>
      <c r="H533" s="2" t="s">
        <v>257</v>
      </c>
      <c r="J533" s="2" t="s">
        <v>258</v>
      </c>
      <c r="K533" s="2" t="s">
        <v>658</v>
      </c>
      <c r="L533" s="2" t="s">
        <v>2062</v>
      </c>
      <c r="M533" t="s">
        <v>260</v>
      </c>
      <c r="N533" t="s">
        <v>357</v>
      </c>
      <c r="O533" t="s">
        <v>632</v>
      </c>
      <c r="P533" t="s">
        <v>2865</v>
      </c>
      <c r="Q533" t="s">
        <v>2281</v>
      </c>
    </row>
    <row r="534" spans="1:17">
      <c r="A534" s="2" t="s">
        <v>2132</v>
      </c>
      <c r="B534" s="2" t="s">
        <v>456</v>
      </c>
      <c r="C534" s="2" t="s">
        <v>465</v>
      </c>
      <c r="D534" s="11">
        <v>45967.618055555555</v>
      </c>
      <c r="E534" s="11">
        <v>45967.618055555555</v>
      </c>
      <c r="F534" s="11">
        <v>45967.65625</v>
      </c>
      <c r="G534" s="12">
        <v>3.8194444445252884E-2</v>
      </c>
      <c r="H534" s="2" t="s">
        <v>257</v>
      </c>
      <c r="J534" s="2" t="s">
        <v>258</v>
      </c>
      <c r="K534" s="2" t="s">
        <v>658</v>
      </c>
      <c r="L534" s="2" t="s">
        <v>2062</v>
      </c>
      <c r="M534" t="s">
        <v>260</v>
      </c>
      <c r="N534" t="s">
        <v>357</v>
      </c>
      <c r="O534" t="s">
        <v>632</v>
      </c>
      <c r="P534" t="s">
        <v>2866</v>
      </c>
      <c r="Q534" t="s">
        <v>2281</v>
      </c>
    </row>
    <row r="535" spans="1:17">
      <c r="A535" s="2" t="s">
        <v>2133</v>
      </c>
      <c r="B535" s="2" t="s">
        <v>456</v>
      </c>
      <c r="C535" s="2" t="s">
        <v>466</v>
      </c>
      <c r="D535" s="11">
        <v>45967.618055555555</v>
      </c>
      <c r="E535" s="11">
        <v>45967.618055555555</v>
      </c>
      <c r="F535" s="11">
        <v>45967.65625</v>
      </c>
      <c r="G535" s="12">
        <v>3.8194444445252884E-2</v>
      </c>
      <c r="H535" s="2" t="s">
        <v>257</v>
      </c>
      <c r="J535" s="2" t="s">
        <v>258</v>
      </c>
      <c r="K535" s="2" t="s">
        <v>658</v>
      </c>
      <c r="L535" s="2" t="s">
        <v>2062</v>
      </c>
      <c r="M535" t="s">
        <v>260</v>
      </c>
      <c r="N535" t="s">
        <v>357</v>
      </c>
      <c r="O535" t="s">
        <v>632</v>
      </c>
      <c r="P535" t="s">
        <v>2867</v>
      </c>
      <c r="Q535" t="s">
        <v>2281</v>
      </c>
    </row>
    <row r="536" spans="1:17">
      <c r="A536" s="2" t="s">
        <v>2133</v>
      </c>
      <c r="B536" s="2" t="s">
        <v>456</v>
      </c>
      <c r="C536" s="2" t="s">
        <v>467</v>
      </c>
      <c r="D536" s="11">
        <v>45967.618055555555</v>
      </c>
      <c r="E536" s="11">
        <v>45967.618055555555</v>
      </c>
      <c r="F536" s="11">
        <v>45967.65625</v>
      </c>
      <c r="G536" s="12">
        <v>3.8194444445252884E-2</v>
      </c>
      <c r="H536" s="2" t="s">
        <v>257</v>
      </c>
      <c r="J536" s="2" t="s">
        <v>258</v>
      </c>
      <c r="K536" s="2" t="s">
        <v>658</v>
      </c>
      <c r="L536" s="2" t="s">
        <v>2062</v>
      </c>
      <c r="M536" t="s">
        <v>260</v>
      </c>
      <c r="N536" t="s">
        <v>357</v>
      </c>
      <c r="O536" t="s">
        <v>632</v>
      </c>
      <c r="P536" t="s">
        <v>2868</v>
      </c>
      <c r="Q536" t="s">
        <v>2281</v>
      </c>
    </row>
    <row r="537" spans="1:17">
      <c r="A537" s="2" t="s">
        <v>2133</v>
      </c>
      <c r="B537" s="2" t="s">
        <v>456</v>
      </c>
      <c r="C537" s="2" t="s">
        <v>468</v>
      </c>
      <c r="D537" s="11">
        <v>45967.618055555555</v>
      </c>
      <c r="E537" s="11">
        <v>45967.618055555555</v>
      </c>
      <c r="F537" s="11">
        <v>45967.65625</v>
      </c>
      <c r="G537" s="12">
        <v>3.8194444445252884E-2</v>
      </c>
      <c r="H537" s="2" t="s">
        <v>257</v>
      </c>
      <c r="J537" s="2" t="s">
        <v>258</v>
      </c>
      <c r="K537" s="2" t="s">
        <v>658</v>
      </c>
      <c r="L537" s="2" t="s">
        <v>2062</v>
      </c>
      <c r="M537" t="s">
        <v>260</v>
      </c>
      <c r="N537" t="s">
        <v>357</v>
      </c>
      <c r="O537" t="s">
        <v>632</v>
      </c>
      <c r="P537" t="s">
        <v>2869</v>
      </c>
      <c r="Q537" t="s">
        <v>2281</v>
      </c>
    </row>
    <row r="538" spans="1:17">
      <c r="A538" s="2" t="s">
        <v>2133</v>
      </c>
      <c r="B538" s="2" t="s">
        <v>456</v>
      </c>
      <c r="C538" s="2" t="s">
        <v>469</v>
      </c>
      <c r="D538" s="11">
        <v>45967.618055555555</v>
      </c>
      <c r="E538" s="11">
        <v>45967.618055555555</v>
      </c>
      <c r="F538" s="11">
        <v>45967.65625</v>
      </c>
      <c r="G538" s="12">
        <v>3.8194444445252884E-2</v>
      </c>
      <c r="H538" s="2" t="s">
        <v>257</v>
      </c>
      <c r="J538" s="2" t="s">
        <v>258</v>
      </c>
      <c r="K538" s="2" t="s">
        <v>658</v>
      </c>
      <c r="L538" s="2" t="s">
        <v>2062</v>
      </c>
      <c r="M538" t="s">
        <v>260</v>
      </c>
      <c r="N538" t="s">
        <v>357</v>
      </c>
      <c r="O538" t="s">
        <v>632</v>
      </c>
      <c r="P538" t="s">
        <v>2870</v>
      </c>
      <c r="Q538" t="s">
        <v>2281</v>
      </c>
    </row>
    <row r="539" spans="1:17">
      <c r="A539" s="2" t="s">
        <v>2133</v>
      </c>
      <c r="B539" s="2" t="s">
        <v>456</v>
      </c>
      <c r="C539" s="2" t="s">
        <v>470</v>
      </c>
      <c r="D539" s="11">
        <v>45967.618055555555</v>
      </c>
      <c r="E539" s="11">
        <v>45967.618055555555</v>
      </c>
      <c r="F539" s="11">
        <v>45967.65625</v>
      </c>
      <c r="G539" s="12">
        <v>3.8194444445252884E-2</v>
      </c>
      <c r="H539" s="2" t="s">
        <v>257</v>
      </c>
      <c r="J539" s="2" t="s">
        <v>258</v>
      </c>
      <c r="K539" s="2" t="s">
        <v>658</v>
      </c>
      <c r="L539" s="2" t="s">
        <v>2062</v>
      </c>
      <c r="M539" t="s">
        <v>260</v>
      </c>
      <c r="N539" t="s">
        <v>357</v>
      </c>
      <c r="O539" t="s">
        <v>632</v>
      </c>
      <c r="P539" t="s">
        <v>2871</v>
      </c>
      <c r="Q539" t="s">
        <v>2281</v>
      </c>
    </row>
    <row r="540" spans="1:17">
      <c r="A540" s="2" t="s">
        <v>2133</v>
      </c>
      <c r="B540" s="2" t="s">
        <v>456</v>
      </c>
      <c r="C540" s="2" t="s">
        <v>471</v>
      </c>
      <c r="D540" s="11">
        <v>45967.618055555555</v>
      </c>
      <c r="E540" s="11">
        <v>45967.618055555555</v>
      </c>
      <c r="F540" s="11">
        <v>45967.65625</v>
      </c>
      <c r="G540" s="12">
        <v>3.8194444445252884E-2</v>
      </c>
      <c r="H540" s="2" t="s">
        <v>257</v>
      </c>
      <c r="J540" s="2" t="s">
        <v>258</v>
      </c>
      <c r="K540" s="2" t="s">
        <v>658</v>
      </c>
      <c r="L540" s="2" t="s">
        <v>2062</v>
      </c>
      <c r="M540" t="s">
        <v>260</v>
      </c>
      <c r="N540" t="s">
        <v>357</v>
      </c>
      <c r="O540" t="s">
        <v>632</v>
      </c>
      <c r="P540" t="s">
        <v>2872</v>
      </c>
      <c r="Q540" t="s">
        <v>2281</v>
      </c>
    </row>
    <row r="541" spans="1:17">
      <c r="A541" s="2" t="s">
        <v>2133</v>
      </c>
      <c r="B541" s="2" t="s">
        <v>456</v>
      </c>
      <c r="C541" s="2" t="s">
        <v>472</v>
      </c>
      <c r="D541" s="11">
        <v>45967.618055555555</v>
      </c>
      <c r="E541" s="11">
        <v>45967.618055555555</v>
      </c>
      <c r="F541" s="11">
        <v>45967.65625</v>
      </c>
      <c r="G541" s="12">
        <v>3.8194444445252884E-2</v>
      </c>
      <c r="H541" s="2" t="s">
        <v>257</v>
      </c>
      <c r="J541" s="2" t="s">
        <v>258</v>
      </c>
      <c r="K541" s="2" t="s">
        <v>658</v>
      </c>
      <c r="L541" s="2" t="s">
        <v>2062</v>
      </c>
      <c r="M541" t="s">
        <v>260</v>
      </c>
      <c r="N541" t="s">
        <v>357</v>
      </c>
      <c r="O541" t="s">
        <v>632</v>
      </c>
      <c r="P541" t="s">
        <v>2873</v>
      </c>
      <c r="Q541" t="s">
        <v>2281</v>
      </c>
    </row>
    <row r="542" spans="1:17">
      <c r="A542" s="2" t="s">
        <v>2146</v>
      </c>
      <c r="B542" s="2" t="s">
        <v>456</v>
      </c>
      <c r="C542" s="2" t="s">
        <v>473</v>
      </c>
      <c r="D542" s="11">
        <v>45967.618055555555</v>
      </c>
      <c r="E542" s="11">
        <v>45967.618055555555</v>
      </c>
      <c r="F542" s="11">
        <v>45967.65625</v>
      </c>
      <c r="G542" s="12">
        <v>3.8194444445252884E-2</v>
      </c>
      <c r="H542" s="2" t="s">
        <v>257</v>
      </c>
      <c r="J542" s="2" t="s">
        <v>258</v>
      </c>
      <c r="K542" s="2" t="s">
        <v>658</v>
      </c>
      <c r="L542" s="2" t="s">
        <v>2062</v>
      </c>
      <c r="M542" t="s">
        <v>260</v>
      </c>
      <c r="N542" t="s">
        <v>357</v>
      </c>
      <c r="O542" t="s">
        <v>632</v>
      </c>
      <c r="P542" t="s">
        <v>2874</v>
      </c>
      <c r="Q542" t="s">
        <v>2281</v>
      </c>
    </row>
    <row r="543" spans="1:17">
      <c r="A543" s="2" t="s">
        <v>2146</v>
      </c>
      <c r="B543" s="2" t="s">
        <v>456</v>
      </c>
      <c r="C543" s="2" t="s">
        <v>474</v>
      </c>
      <c r="D543" s="11">
        <v>45967.618055555555</v>
      </c>
      <c r="E543" s="11">
        <v>45967.618055555555</v>
      </c>
      <c r="F543" s="11">
        <v>45967.65625</v>
      </c>
      <c r="G543" s="12">
        <v>3.8194444445252884E-2</v>
      </c>
      <c r="H543" s="2" t="s">
        <v>257</v>
      </c>
      <c r="J543" s="2" t="s">
        <v>258</v>
      </c>
      <c r="K543" s="2" t="s">
        <v>658</v>
      </c>
      <c r="L543" s="2" t="s">
        <v>2062</v>
      </c>
      <c r="M543" t="s">
        <v>260</v>
      </c>
      <c r="N543" t="s">
        <v>357</v>
      </c>
      <c r="O543" t="s">
        <v>632</v>
      </c>
      <c r="P543" t="s">
        <v>2875</v>
      </c>
      <c r="Q543" t="s">
        <v>2281</v>
      </c>
    </row>
    <row r="544" spans="1:17">
      <c r="A544" s="2" t="s">
        <v>2146</v>
      </c>
      <c r="B544" s="2" t="s">
        <v>456</v>
      </c>
      <c r="C544" s="2" t="s">
        <v>475</v>
      </c>
      <c r="D544" s="11">
        <v>45967.618055555555</v>
      </c>
      <c r="E544" s="11">
        <v>45967.618055555555</v>
      </c>
      <c r="F544" s="11">
        <v>45967.65625</v>
      </c>
      <c r="G544" s="12">
        <v>3.8194444445252884E-2</v>
      </c>
      <c r="H544" s="2" t="s">
        <v>257</v>
      </c>
      <c r="J544" s="2" t="s">
        <v>258</v>
      </c>
      <c r="K544" s="2" t="s">
        <v>658</v>
      </c>
      <c r="L544" s="2" t="s">
        <v>2062</v>
      </c>
      <c r="M544" t="s">
        <v>260</v>
      </c>
      <c r="N544" t="s">
        <v>357</v>
      </c>
      <c r="O544" t="s">
        <v>632</v>
      </c>
      <c r="P544" t="s">
        <v>2876</v>
      </c>
      <c r="Q544" t="s">
        <v>2281</v>
      </c>
    </row>
    <row r="545" spans="1:17">
      <c r="A545" s="2" t="s">
        <v>2146</v>
      </c>
      <c r="B545" s="2" t="s">
        <v>456</v>
      </c>
      <c r="C545" s="2" t="s">
        <v>476</v>
      </c>
      <c r="D545" s="11">
        <v>45967.618055555555</v>
      </c>
      <c r="E545" s="11">
        <v>45967.618055555555</v>
      </c>
      <c r="F545" s="11">
        <v>45967.65625</v>
      </c>
      <c r="G545" s="12">
        <v>3.8194444445252884E-2</v>
      </c>
      <c r="H545" s="2" t="s">
        <v>257</v>
      </c>
      <c r="J545" s="2" t="s">
        <v>258</v>
      </c>
      <c r="K545" s="2" t="s">
        <v>658</v>
      </c>
      <c r="L545" s="2" t="s">
        <v>2062</v>
      </c>
      <c r="M545" t="s">
        <v>260</v>
      </c>
      <c r="N545" t="s">
        <v>357</v>
      </c>
      <c r="O545" t="s">
        <v>632</v>
      </c>
      <c r="P545" t="s">
        <v>2877</v>
      </c>
      <c r="Q545" t="s">
        <v>2281</v>
      </c>
    </row>
    <row r="546" spans="1:17">
      <c r="A546" s="2" t="s">
        <v>2146</v>
      </c>
      <c r="B546" s="2" t="s">
        <v>456</v>
      </c>
      <c r="C546" s="2" t="s">
        <v>477</v>
      </c>
      <c r="D546" s="11">
        <v>45967.618055555555</v>
      </c>
      <c r="E546" s="11">
        <v>45967.618055555555</v>
      </c>
      <c r="F546" s="11">
        <v>45967.65625</v>
      </c>
      <c r="G546" s="12">
        <v>3.8194444445252884E-2</v>
      </c>
      <c r="H546" s="2" t="s">
        <v>257</v>
      </c>
      <c r="J546" s="2" t="s">
        <v>258</v>
      </c>
      <c r="K546" s="2" t="s">
        <v>658</v>
      </c>
      <c r="L546" s="2" t="s">
        <v>2062</v>
      </c>
      <c r="M546" t="s">
        <v>260</v>
      </c>
      <c r="N546" t="s">
        <v>357</v>
      </c>
      <c r="O546" t="s">
        <v>632</v>
      </c>
      <c r="P546" t="s">
        <v>2878</v>
      </c>
      <c r="Q546" t="s">
        <v>2281</v>
      </c>
    </row>
    <row r="547" spans="1:17">
      <c r="A547" s="2" t="s">
        <v>2147</v>
      </c>
      <c r="B547" s="2" t="s">
        <v>456</v>
      </c>
      <c r="C547" s="2" t="s">
        <v>478</v>
      </c>
      <c r="D547" s="11">
        <v>45967.618055555555</v>
      </c>
      <c r="E547" s="11">
        <v>45967.618055555555</v>
      </c>
      <c r="F547" s="11">
        <v>45967.65625</v>
      </c>
      <c r="G547" s="12">
        <v>3.8194444445252884E-2</v>
      </c>
      <c r="H547" s="2" t="s">
        <v>257</v>
      </c>
      <c r="J547" s="2" t="s">
        <v>258</v>
      </c>
      <c r="K547" s="2" t="s">
        <v>658</v>
      </c>
      <c r="L547" s="2" t="s">
        <v>2062</v>
      </c>
      <c r="M547" t="s">
        <v>260</v>
      </c>
      <c r="N547" t="s">
        <v>357</v>
      </c>
      <c r="O547" t="s">
        <v>632</v>
      </c>
      <c r="P547" t="s">
        <v>2879</v>
      </c>
      <c r="Q547" t="s">
        <v>2281</v>
      </c>
    </row>
    <row r="548" spans="1:17">
      <c r="A548" s="2" t="s">
        <v>2147</v>
      </c>
      <c r="B548" s="2" t="s">
        <v>456</v>
      </c>
      <c r="C548" s="2" t="s">
        <v>479</v>
      </c>
      <c r="D548" s="11">
        <v>45967.618055555555</v>
      </c>
      <c r="E548" s="11">
        <v>45967.618055555555</v>
      </c>
      <c r="F548" s="11">
        <v>45967.65625</v>
      </c>
      <c r="G548" s="12">
        <v>3.8194444445252884E-2</v>
      </c>
      <c r="H548" s="2" t="s">
        <v>257</v>
      </c>
      <c r="J548" s="2" t="s">
        <v>258</v>
      </c>
      <c r="K548" s="2" t="s">
        <v>658</v>
      </c>
      <c r="L548" s="2" t="s">
        <v>2062</v>
      </c>
      <c r="M548" t="s">
        <v>260</v>
      </c>
      <c r="N548" t="s">
        <v>357</v>
      </c>
      <c r="O548" t="s">
        <v>632</v>
      </c>
      <c r="P548" t="s">
        <v>2880</v>
      </c>
      <c r="Q548" t="s">
        <v>2281</v>
      </c>
    </row>
    <row r="549" spans="1:17">
      <c r="A549" s="2" t="s">
        <v>2147</v>
      </c>
      <c r="B549" s="2" t="s">
        <v>456</v>
      </c>
      <c r="C549" s="2" t="s">
        <v>480</v>
      </c>
      <c r="D549" s="11">
        <v>45967.618055555555</v>
      </c>
      <c r="E549" s="11">
        <v>45967.618055555555</v>
      </c>
      <c r="F549" s="11">
        <v>45967.65625</v>
      </c>
      <c r="G549" s="12">
        <v>3.8194444445252884E-2</v>
      </c>
      <c r="H549" s="2" t="s">
        <v>257</v>
      </c>
      <c r="J549" s="2" t="s">
        <v>258</v>
      </c>
      <c r="K549" s="2" t="s">
        <v>658</v>
      </c>
      <c r="L549" s="2" t="s">
        <v>2062</v>
      </c>
      <c r="M549" t="s">
        <v>260</v>
      </c>
      <c r="N549" t="s">
        <v>357</v>
      </c>
      <c r="O549" t="s">
        <v>632</v>
      </c>
      <c r="P549" t="s">
        <v>2881</v>
      </c>
      <c r="Q549" t="s">
        <v>2281</v>
      </c>
    </row>
    <row r="550" spans="1:17">
      <c r="A550" s="2" t="s">
        <v>2147</v>
      </c>
      <c r="B550" s="2" t="s">
        <v>456</v>
      </c>
      <c r="C550" s="2" t="s">
        <v>481</v>
      </c>
      <c r="D550" s="11">
        <v>45967.618055555555</v>
      </c>
      <c r="E550" s="11">
        <v>45967.618055555555</v>
      </c>
      <c r="F550" s="11">
        <v>45967.65625</v>
      </c>
      <c r="G550" s="12">
        <v>3.8194444445252884E-2</v>
      </c>
      <c r="H550" s="2" t="s">
        <v>257</v>
      </c>
      <c r="J550" s="2" t="s">
        <v>258</v>
      </c>
      <c r="K550" s="2" t="s">
        <v>658</v>
      </c>
      <c r="L550" s="2" t="s">
        <v>2062</v>
      </c>
      <c r="M550" t="s">
        <v>260</v>
      </c>
      <c r="N550" t="s">
        <v>357</v>
      </c>
      <c r="O550" t="s">
        <v>632</v>
      </c>
      <c r="P550" t="s">
        <v>2882</v>
      </c>
      <c r="Q550" t="s">
        <v>2281</v>
      </c>
    </row>
    <row r="551" spans="1:17">
      <c r="A551" s="2" t="s">
        <v>2148</v>
      </c>
      <c r="B551" s="2" t="s">
        <v>456</v>
      </c>
      <c r="C551" s="2" t="s">
        <v>482</v>
      </c>
      <c r="D551" s="11">
        <v>45967.618055555555</v>
      </c>
      <c r="E551" s="11">
        <v>45967.618055555555</v>
      </c>
      <c r="F551" s="11">
        <v>45967.65625</v>
      </c>
      <c r="G551" s="12">
        <v>3.8194444445252884E-2</v>
      </c>
      <c r="H551" s="2" t="s">
        <v>257</v>
      </c>
      <c r="J551" s="2" t="s">
        <v>258</v>
      </c>
      <c r="K551" s="2" t="s">
        <v>658</v>
      </c>
      <c r="L551" s="2" t="s">
        <v>2062</v>
      </c>
      <c r="M551" t="s">
        <v>260</v>
      </c>
      <c r="N551" t="s">
        <v>357</v>
      </c>
      <c r="O551" t="s">
        <v>632</v>
      </c>
      <c r="P551" t="s">
        <v>2883</v>
      </c>
      <c r="Q551" t="s">
        <v>2281</v>
      </c>
    </row>
    <row r="552" spans="1:17">
      <c r="A552" s="2" t="s">
        <v>2148</v>
      </c>
      <c r="B552" s="2" t="s">
        <v>456</v>
      </c>
      <c r="C552" s="2" t="s">
        <v>483</v>
      </c>
      <c r="D552" s="11">
        <v>45967.618055555555</v>
      </c>
      <c r="E552" s="11">
        <v>45967.618055555555</v>
      </c>
      <c r="F552" s="11">
        <v>45967.65625</v>
      </c>
      <c r="G552" s="12">
        <v>3.8194444445252884E-2</v>
      </c>
      <c r="H552" s="2" t="s">
        <v>257</v>
      </c>
      <c r="J552" s="2" t="s">
        <v>258</v>
      </c>
      <c r="K552" s="2" t="s">
        <v>658</v>
      </c>
      <c r="L552" s="2" t="s">
        <v>2062</v>
      </c>
      <c r="M552" t="s">
        <v>260</v>
      </c>
      <c r="N552" t="s">
        <v>357</v>
      </c>
      <c r="O552" t="s">
        <v>632</v>
      </c>
      <c r="P552" t="s">
        <v>2884</v>
      </c>
      <c r="Q552" t="s">
        <v>2281</v>
      </c>
    </row>
    <row r="553" spans="1:17">
      <c r="A553" s="2" t="s">
        <v>2148</v>
      </c>
      <c r="B553" s="2" t="s">
        <v>456</v>
      </c>
      <c r="C553" s="2" t="s">
        <v>484</v>
      </c>
      <c r="D553" s="11">
        <v>45967.618055555555</v>
      </c>
      <c r="E553" s="11">
        <v>45967.618055555555</v>
      </c>
      <c r="F553" s="11">
        <v>45967.65625</v>
      </c>
      <c r="G553" s="12">
        <v>3.8194444445252884E-2</v>
      </c>
      <c r="H553" s="2" t="s">
        <v>257</v>
      </c>
      <c r="J553" s="2" t="s">
        <v>258</v>
      </c>
      <c r="K553" s="2" t="s">
        <v>658</v>
      </c>
      <c r="L553" s="2" t="s">
        <v>2062</v>
      </c>
      <c r="M553" t="s">
        <v>260</v>
      </c>
      <c r="N553" t="s">
        <v>357</v>
      </c>
      <c r="O553" t="s">
        <v>632</v>
      </c>
      <c r="P553" t="s">
        <v>2885</v>
      </c>
      <c r="Q553" t="s">
        <v>2281</v>
      </c>
    </row>
    <row r="554" spans="1:17">
      <c r="A554" s="2" t="s">
        <v>2148</v>
      </c>
      <c r="B554" s="2" t="s">
        <v>456</v>
      </c>
      <c r="C554" s="2" t="s">
        <v>485</v>
      </c>
      <c r="D554" s="11">
        <v>45967.618055555555</v>
      </c>
      <c r="E554" s="11">
        <v>45967.618055555555</v>
      </c>
      <c r="F554" s="11">
        <v>45967.65625</v>
      </c>
      <c r="G554" s="12">
        <v>3.8194444445252884E-2</v>
      </c>
      <c r="H554" s="2" t="s">
        <v>257</v>
      </c>
      <c r="J554" s="2" t="s">
        <v>258</v>
      </c>
      <c r="K554" s="2" t="s">
        <v>658</v>
      </c>
      <c r="L554" s="2" t="s">
        <v>2062</v>
      </c>
      <c r="M554" t="s">
        <v>260</v>
      </c>
      <c r="N554" t="s">
        <v>357</v>
      </c>
      <c r="O554" t="s">
        <v>632</v>
      </c>
      <c r="P554" t="s">
        <v>2886</v>
      </c>
      <c r="Q554" t="s">
        <v>2281</v>
      </c>
    </row>
    <row r="555" spans="1:17">
      <c r="A555" s="2" t="s">
        <v>2148</v>
      </c>
      <c r="B555" s="2" t="s">
        <v>456</v>
      </c>
      <c r="C555" s="2" t="s">
        <v>486</v>
      </c>
      <c r="D555" s="11">
        <v>45967.618055555555</v>
      </c>
      <c r="E555" s="11">
        <v>45967.618055555555</v>
      </c>
      <c r="F555" s="11">
        <v>45967.65625</v>
      </c>
      <c r="G555" s="12">
        <v>3.8194444445252884E-2</v>
      </c>
      <c r="H555" s="2" t="s">
        <v>257</v>
      </c>
      <c r="J555" s="2" t="s">
        <v>258</v>
      </c>
      <c r="K555" s="2" t="s">
        <v>658</v>
      </c>
      <c r="L555" s="2" t="s">
        <v>2062</v>
      </c>
      <c r="M555" t="s">
        <v>260</v>
      </c>
      <c r="N555" t="s">
        <v>357</v>
      </c>
      <c r="O555" t="s">
        <v>632</v>
      </c>
      <c r="P555" t="s">
        <v>2887</v>
      </c>
      <c r="Q555" t="s">
        <v>2281</v>
      </c>
    </row>
    <row r="556" spans="1:17">
      <c r="A556" s="2" t="s">
        <v>487</v>
      </c>
      <c r="B556" s="2" t="s">
        <v>487</v>
      </c>
      <c r="C556" s="2" t="s">
        <v>377</v>
      </c>
      <c r="D556" s="11">
        <v>45967.618055555555</v>
      </c>
      <c r="E556" s="11">
        <v>45967.618055555555</v>
      </c>
      <c r="F556" s="11">
        <v>45967.65625</v>
      </c>
      <c r="G556" s="12">
        <v>3.8194444445252884E-2</v>
      </c>
      <c r="H556" s="2" t="s">
        <v>257</v>
      </c>
      <c r="J556" s="2" t="s">
        <v>258</v>
      </c>
      <c r="K556" s="2" t="s">
        <v>658</v>
      </c>
      <c r="L556" s="2" t="s">
        <v>2062</v>
      </c>
      <c r="M556" t="s">
        <v>260</v>
      </c>
      <c r="N556" t="s">
        <v>357</v>
      </c>
      <c r="O556" t="s">
        <v>632</v>
      </c>
      <c r="P556" t="s">
        <v>2888</v>
      </c>
      <c r="Q556" t="s">
        <v>2281</v>
      </c>
    </row>
    <row r="557" spans="1:17">
      <c r="A557" s="2" t="s">
        <v>487</v>
      </c>
      <c r="B557" s="2" t="s">
        <v>487</v>
      </c>
      <c r="C557" s="2" t="s">
        <v>378</v>
      </c>
      <c r="D557" s="11">
        <v>45967.618055555555</v>
      </c>
      <c r="E557" s="11">
        <v>45967.618055555555</v>
      </c>
      <c r="F557" s="11">
        <v>45967.65625</v>
      </c>
      <c r="G557" s="12">
        <v>3.8194444445252884E-2</v>
      </c>
      <c r="H557" s="2" t="s">
        <v>257</v>
      </c>
      <c r="J557" s="2" t="s">
        <v>258</v>
      </c>
      <c r="K557" s="2" t="s">
        <v>658</v>
      </c>
      <c r="L557" s="2" t="s">
        <v>2062</v>
      </c>
      <c r="M557" t="s">
        <v>260</v>
      </c>
      <c r="N557" t="s">
        <v>357</v>
      </c>
      <c r="O557" t="s">
        <v>632</v>
      </c>
      <c r="P557" t="s">
        <v>2889</v>
      </c>
      <c r="Q557" t="s">
        <v>2281</v>
      </c>
    </row>
    <row r="558" spans="1:17">
      <c r="A558" s="2" t="s">
        <v>487</v>
      </c>
      <c r="B558" s="2" t="s">
        <v>487</v>
      </c>
      <c r="C558" s="2" t="s">
        <v>382</v>
      </c>
      <c r="D558" s="11">
        <v>45967.618055555555</v>
      </c>
      <c r="E558" s="11">
        <v>45967.618055555555</v>
      </c>
      <c r="F558" s="11">
        <v>45967.65625</v>
      </c>
      <c r="G558" s="12">
        <v>3.8194444445252884E-2</v>
      </c>
      <c r="H558" s="2" t="s">
        <v>257</v>
      </c>
      <c r="J558" s="2" t="s">
        <v>258</v>
      </c>
      <c r="K558" s="2" t="s">
        <v>658</v>
      </c>
      <c r="L558" s="2" t="s">
        <v>2062</v>
      </c>
      <c r="M558" t="s">
        <v>260</v>
      </c>
      <c r="N558" t="s">
        <v>357</v>
      </c>
      <c r="O558" t="s">
        <v>632</v>
      </c>
      <c r="P558" t="s">
        <v>2890</v>
      </c>
      <c r="Q558" t="s">
        <v>2281</v>
      </c>
    </row>
    <row r="559" spans="1:17">
      <c r="A559" s="2" t="s">
        <v>487</v>
      </c>
      <c r="B559" s="2" t="s">
        <v>487</v>
      </c>
      <c r="C559" s="2" t="s">
        <v>380</v>
      </c>
      <c r="D559" s="11">
        <v>45967.618055555555</v>
      </c>
      <c r="E559" s="11">
        <v>45967.618055555555</v>
      </c>
      <c r="F559" s="11">
        <v>45967.65625</v>
      </c>
      <c r="G559" s="12">
        <v>3.8194444445252884E-2</v>
      </c>
      <c r="H559" s="2" t="s">
        <v>257</v>
      </c>
      <c r="J559" s="2" t="s">
        <v>258</v>
      </c>
      <c r="K559" s="2" t="s">
        <v>658</v>
      </c>
      <c r="L559" s="2" t="s">
        <v>2062</v>
      </c>
      <c r="M559" t="s">
        <v>260</v>
      </c>
      <c r="N559" t="s">
        <v>357</v>
      </c>
      <c r="O559" t="s">
        <v>632</v>
      </c>
      <c r="P559" t="s">
        <v>2891</v>
      </c>
      <c r="Q559" t="s">
        <v>2281</v>
      </c>
    </row>
    <row r="560" spans="1:17">
      <c r="A560" s="2" t="s">
        <v>487</v>
      </c>
      <c r="B560" s="2" t="s">
        <v>487</v>
      </c>
      <c r="C560" s="2" t="s">
        <v>379</v>
      </c>
      <c r="D560" s="11">
        <v>45967.618055555555</v>
      </c>
      <c r="E560" s="11">
        <v>45967.618055555555</v>
      </c>
      <c r="F560" s="11">
        <v>45967.65625</v>
      </c>
      <c r="G560" s="12">
        <v>3.8194444445252884E-2</v>
      </c>
      <c r="H560" s="2" t="s">
        <v>257</v>
      </c>
      <c r="J560" s="2" t="s">
        <v>258</v>
      </c>
      <c r="K560" s="2" t="s">
        <v>658</v>
      </c>
      <c r="L560" s="2" t="s">
        <v>2062</v>
      </c>
      <c r="M560" t="s">
        <v>260</v>
      </c>
      <c r="N560" t="s">
        <v>357</v>
      </c>
      <c r="O560" t="s">
        <v>632</v>
      </c>
      <c r="P560" t="s">
        <v>2892</v>
      </c>
      <c r="Q560" t="s">
        <v>2281</v>
      </c>
    </row>
    <row r="561" spans="1:17">
      <c r="A561" s="2" t="s">
        <v>583</v>
      </c>
      <c r="B561" s="2" t="s">
        <v>583</v>
      </c>
      <c r="C561" s="2" t="s">
        <v>377</v>
      </c>
      <c r="D561" s="11">
        <v>45967.618055555555</v>
      </c>
      <c r="E561" s="11">
        <v>45967.618055555555</v>
      </c>
      <c r="F561" s="11">
        <v>45967.65625</v>
      </c>
      <c r="G561" s="12">
        <v>3.8194444445252884E-2</v>
      </c>
      <c r="H561" s="2" t="s">
        <v>257</v>
      </c>
      <c r="J561" s="2" t="s">
        <v>258</v>
      </c>
      <c r="K561" s="2" t="s">
        <v>658</v>
      </c>
      <c r="L561" s="2" t="s">
        <v>2062</v>
      </c>
      <c r="M561" t="s">
        <v>260</v>
      </c>
      <c r="N561" t="s">
        <v>357</v>
      </c>
      <c r="O561" t="s">
        <v>632</v>
      </c>
      <c r="P561" t="s">
        <v>2893</v>
      </c>
      <c r="Q561" t="s">
        <v>2281</v>
      </c>
    </row>
    <row r="562" spans="1:17">
      <c r="A562" s="2" t="s">
        <v>583</v>
      </c>
      <c r="B562" s="2" t="s">
        <v>583</v>
      </c>
      <c r="C562" s="2" t="s">
        <v>378</v>
      </c>
      <c r="D562" s="11">
        <v>45967.618055555555</v>
      </c>
      <c r="E562" s="11">
        <v>45967.618055555555</v>
      </c>
      <c r="F562" s="11">
        <v>45967.65625</v>
      </c>
      <c r="G562" s="12">
        <v>3.8194444445252884E-2</v>
      </c>
      <c r="H562" s="2" t="s">
        <v>257</v>
      </c>
      <c r="J562" s="2" t="s">
        <v>258</v>
      </c>
      <c r="K562" s="2" t="s">
        <v>658</v>
      </c>
      <c r="L562" s="2" t="s">
        <v>2062</v>
      </c>
      <c r="M562" t="s">
        <v>260</v>
      </c>
      <c r="N562" t="s">
        <v>357</v>
      </c>
      <c r="O562" t="s">
        <v>632</v>
      </c>
      <c r="P562" t="s">
        <v>2894</v>
      </c>
      <c r="Q562" t="s">
        <v>2281</v>
      </c>
    </row>
    <row r="563" spans="1:17">
      <c r="A563" s="2" t="s">
        <v>583</v>
      </c>
      <c r="B563" s="2" t="s">
        <v>583</v>
      </c>
      <c r="C563" s="2" t="s">
        <v>382</v>
      </c>
      <c r="D563" s="11">
        <v>45967.618055555555</v>
      </c>
      <c r="E563" s="11">
        <v>45967.618055555555</v>
      </c>
      <c r="F563" s="11">
        <v>45967.65625</v>
      </c>
      <c r="G563" s="12">
        <v>3.8194444445252884E-2</v>
      </c>
      <c r="H563" s="2" t="s">
        <v>257</v>
      </c>
      <c r="J563" s="2" t="s">
        <v>258</v>
      </c>
      <c r="K563" s="2" t="s">
        <v>658</v>
      </c>
      <c r="L563" s="2" t="s">
        <v>2062</v>
      </c>
      <c r="M563" t="s">
        <v>260</v>
      </c>
      <c r="N563" t="s">
        <v>357</v>
      </c>
      <c r="O563" t="s">
        <v>632</v>
      </c>
      <c r="P563" t="s">
        <v>2895</v>
      </c>
      <c r="Q563" t="s">
        <v>2281</v>
      </c>
    </row>
    <row r="564" spans="1:17">
      <c r="A564" s="2" t="s">
        <v>583</v>
      </c>
      <c r="B564" s="2" t="s">
        <v>583</v>
      </c>
      <c r="C564" s="2" t="s">
        <v>380</v>
      </c>
      <c r="D564" s="11">
        <v>45967.618055555555</v>
      </c>
      <c r="E564" s="11">
        <v>45967.618055555555</v>
      </c>
      <c r="F564" s="11">
        <v>45967.65625</v>
      </c>
      <c r="G564" s="12">
        <v>3.8194444445252884E-2</v>
      </c>
      <c r="H564" s="2" t="s">
        <v>257</v>
      </c>
      <c r="J564" s="2" t="s">
        <v>258</v>
      </c>
      <c r="K564" s="2" t="s">
        <v>658</v>
      </c>
      <c r="L564" s="2" t="s">
        <v>2062</v>
      </c>
      <c r="M564" t="s">
        <v>260</v>
      </c>
      <c r="N564" t="s">
        <v>357</v>
      </c>
      <c r="O564" t="s">
        <v>632</v>
      </c>
      <c r="P564" t="s">
        <v>2896</v>
      </c>
      <c r="Q564" t="s">
        <v>2281</v>
      </c>
    </row>
    <row r="565" spans="1:17">
      <c r="A565" s="2" t="s">
        <v>583</v>
      </c>
      <c r="B565" s="2" t="s">
        <v>583</v>
      </c>
      <c r="C565" s="2" t="s">
        <v>379</v>
      </c>
      <c r="D565" s="11">
        <v>45967.618055555555</v>
      </c>
      <c r="E565" s="11">
        <v>45967.618055555555</v>
      </c>
      <c r="F565" s="11">
        <v>45967.65625</v>
      </c>
      <c r="G565" s="12">
        <v>3.8194444445252884E-2</v>
      </c>
      <c r="H565" s="2" t="s">
        <v>257</v>
      </c>
      <c r="J565" s="2" t="s">
        <v>258</v>
      </c>
      <c r="K565" s="2" t="s">
        <v>658</v>
      </c>
      <c r="L565" s="2" t="s">
        <v>2062</v>
      </c>
      <c r="M565" t="s">
        <v>260</v>
      </c>
      <c r="N565" t="s">
        <v>357</v>
      </c>
      <c r="O565" t="s">
        <v>632</v>
      </c>
      <c r="P565" t="s">
        <v>2897</v>
      </c>
      <c r="Q565" t="s">
        <v>2281</v>
      </c>
    </row>
    <row r="566" spans="1:17">
      <c r="A566" s="2" t="s">
        <v>584</v>
      </c>
      <c r="B566" s="2" t="s">
        <v>584</v>
      </c>
      <c r="C566" s="2" t="s">
        <v>377</v>
      </c>
      <c r="D566" s="11">
        <v>45967.618055555555</v>
      </c>
      <c r="E566" s="11">
        <v>45967.618055555555</v>
      </c>
      <c r="F566" s="11">
        <v>45967.65625</v>
      </c>
      <c r="G566" s="12">
        <v>3.8194444445252884E-2</v>
      </c>
      <c r="H566" s="2" t="s">
        <v>257</v>
      </c>
      <c r="J566" s="2" t="s">
        <v>258</v>
      </c>
      <c r="K566" s="2" t="s">
        <v>658</v>
      </c>
      <c r="L566" s="2" t="s">
        <v>2062</v>
      </c>
      <c r="M566" t="s">
        <v>260</v>
      </c>
      <c r="N566" t="s">
        <v>357</v>
      </c>
      <c r="O566" t="s">
        <v>632</v>
      </c>
      <c r="P566" t="s">
        <v>2898</v>
      </c>
      <c r="Q566" t="s">
        <v>2281</v>
      </c>
    </row>
    <row r="567" spans="1:17">
      <c r="A567" s="2" t="s">
        <v>584</v>
      </c>
      <c r="B567" s="2" t="s">
        <v>584</v>
      </c>
      <c r="C567" s="2" t="s">
        <v>378</v>
      </c>
      <c r="D567" s="11">
        <v>45967.618055555555</v>
      </c>
      <c r="E567" s="11">
        <v>45967.618055555555</v>
      </c>
      <c r="F567" s="11">
        <v>45967.65625</v>
      </c>
      <c r="G567" s="12">
        <v>3.8194444445252884E-2</v>
      </c>
      <c r="H567" s="2" t="s">
        <v>257</v>
      </c>
      <c r="J567" s="2" t="s">
        <v>258</v>
      </c>
      <c r="K567" s="2" t="s">
        <v>658</v>
      </c>
      <c r="L567" s="2" t="s">
        <v>2062</v>
      </c>
      <c r="M567" t="s">
        <v>260</v>
      </c>
      <c r="N567" t="s">
        <v>357</v>
      </c>
      <c r="O567" t="s">
        <v>632</v>
      </c>
      <c r="P567" t="s">
        <v>2899</v>
      </c>
      <c r="Q567" t="s">
        <v>2281</v>
      </c>
    </row>
    <row r="568" spans="1:17">
      <c r="A568" s="2" t="s">
        <v>584</v>
      </c>
      <c r="B568" s="2" t="s">
        <v>584</v>
      </c>
      <c r="C568" s="2" t="s">
        <v>382</v>
      </c>
      <c r="D568" s="11">
        <v>45967.618055555555</v>
      </c>
      <c r="E568" s="11">
        <v>45967.618055555555</v>
      </c>
      <c r="F568" s="11">
        <v>45967.65625</v>
      </c>
      <c r="G568" s="12">
        <v>3.8194444445252884E-2</v>
      </c>
      <c r="H568" s="2" t="s">
        <v>257</v>
      </c>
      <c r="J568" s="2" t="s">
        <v>258</v>
      </c>
      <c r="K568" s="2" t="s">
        <v>658</v>
      </c>
      <c r="L568" s="2" t="s">
        <v>2062</v>
      </c>
      <c r="M568" t="s">
        <v>260</v>
      </c>
      <c r="N568" t="s">
        <v>357</v>
      </c>
      <c r="O568" t="s">
        <v>632</v>
      </c>
      <c r="P568" t="s">
        <v>2900</v>
      </c>
      <c r="Q568" t="s">
        <v>2281</v>
      </c>
    </row>
    <row r="569" spans="1:17">
      <c r="A569" s="2" t="s">
        <v>584</v>
      </c>
      <c r="B569" s="2" t="s">
        <v>584</v>
      </c>
      <c r="C569" s="2" t="s">
        <v>380</v>
      </c>
      <c r="D569" s="11">
        <v>45967.618055555555</v>
      </c>
      <c r="E569" s="11">
        <v>45967.618055555555</v>
      </c>
      <c r="F569" s="11">
        <v>45967.65625</v>
      </c>
      <c r="G569" s="12">
        <v>3.8194444445252884E-2</v>
      </c>
      <c r="H569" s="2" t="s">
        <v>257</v>
      </c>
      <c r="J569" s="2" t="s">
        <v>258</v>
      </c>
      <c r="K569" s="2" t="s">
        <v>658</v>
      </c>
      <c r="L569" s="2" t="s">
        <v>2062</v>
      </c>
      <c r="M569" t="s">
        <v>260</v>
      </c>
      <c r="N569" t="s">
        <v>357</v>
      </c>
      <c r="O569" t="s">
        <v>632</v>
      </c>
      <c r="P569" t="s">
        <v>2901</v>
      </c>
      <c r="Q569" t="s">
        <v>2281</v>
      </c>
    </row>
    <row r="570" spans="1:17">
      <c r="A570" s="2" t="s">
        <v>584</v>
      </c>
      <c r="B570" s="2" t="s">
        <v>584</v>
      </c>
      <c r="C570" s="2" t="s">
        <v>379</v>
      </c>
      <c r="D570" s="11">
        <v>45967.618055555555</v>
      </c>
      <c r="E570" s="11">
        <v>45967.618055555555</v>
      </c>
      <c r="F570" s="11">
        <v>45967.65625</v>
      </c>
      <c r="G570" s="12">
        <v>3.8194444445252884E-2</v>
      </c>
      <c r="H570" s="2" t="s">
        <v>257</v>
      </c>
      <c r="J570" s="2" t="s">
        <v>258</v>
      </c>
      <c r="K570" s="2" t="s">
        <v>658</v>
      </c>
      <c r="L570" s="2" t="s">
        <v>2062</v>
      </c>
      <c r="M570" t="s">
        <v>260</v>
      </c>
      <c r="N570" t="s">
        <v>357</v>
      </c>
      <c r="O570" t="s">
        <v>632</v>
      </c>
      <c r="P570" t="s">
        <v>2902</v>
      </c>
      <c r="Q570" t="s">
        <v>2281</v>
      </c>
    </row>
    <row r="571" spans="1:17">
      <c r="A571" s="2" t="s">
        <v>2123</v>
      </c>
      <c r="B571" s="2" t="s">
        <v>585</v>
      </c>
      <c r="C571" s="2" t="s">
        <v>602</v>
      </c>
      <c r="D571" s="11">
        <v>45967.618055555555</v>
      </c>
      <c r="E571" s="11">
        <v>45967.618055555555</v>
      </c>
      <c r="F571" s="11">
        <v>45967.702777777777</v>
      </c>
      <c r="G571" s="12">
        <v>8.4722222221898846E-2</v>
      </c>
      <c r="H571" s="2" t="s">
        <v>257</v>
      </c>
      <c r="J571" s="2" t="s">
        <v>258</v>
      </c>
      <c r="K571" s="2" t="s">
        <v>658</v>
      </c>
      <c r="L571" s="2" t="s">
        <v>2286</v>
      </c>
      <c r="M571" t="s">
        <v>260</v>
      </c>
      <c r="N571" t="s">
        <v>357</v>
      </c>
      <c r="O571" t="s">
        <v>632</v>
      </c>
      <c r="P571" t="s">
        <v>2903</v>
      </c>
      <c r="Q571" t="s">
        <v>2281</v>
      </c>
    </row>
    <row r="572" spans="1:17">
      <c r="A572" s="2" t="s">
        <v>2125</v>
      </c>
      <c r="B572" s="2" t="s">
        <v>585</v>
      </c>
      <c r="C572" s="2" t="s">
        <v>595</v>
      </c>
      <c r="D572" s="11">
        <v>45967.618055555555</v>
      </c>
      <c r="E572" s="11">
        <v>45967.618055555555</v>
      </c>
      <c r="F572" s="11">
        <v>45967.702777777777</v>
      </c>
      <c r="G572" s="12">
        <v>8.4722222221898846E-2</v>
      </c>
      <c r="H572" s="2" t="s">
        <v>257</v>
      </c>
      <c r="J572" s="2" t="s">
        <v>258</v>
      </c>
      <c r="K572" s="2" t="s">
        <v>658</v>
      </c>
      <c r="L572" s="2" t="s">
        <v>2286</v>
      </c>
      <c r="M572" t="s">
        <v>260</v>
      </c>
      <c r="N572" t="s">
        <v>357</v>
      </c>
      <c r="O572" t="s">
        <v>632</v>
      </c>
      <c r="P572" t="s">
        <v>2904</v>
      </c>
      <c r="Q572" t="s">
        <v>2281</v>
      </c>
    </row>
    <row r="573" spans="1:17">
      <c r="A573" s="2" t="s">
        <v>2125</v>
      </c>
      <c r="B573" s="2" t="s">
        <v>585</v>
      </c>
      <c r="C573" s="2" t="s">
        <v>592</v>
      </c>
      <c r="D573" s="11">
        <v>45967.618055555555</v>
      </c>
      <c r="E573" s="11">
        <v>45967.618055555555</v>
      </c>
      <c r="F573" s="11">
        <v>45967.702777777777</v>
      </c>
      <c r="G573" s="12">
        <v>8.4722222221898846E-2</v>
      </c>
      <c r="H573" s="2" t="s">
        <v>257</v>
      </c>
      <c r="J573" s="2" t="s">
        <v>258</v>
      </c>
      <c r="K573" s="2" t="s">
        <v>658</v>
      </c>
      <c r="L573" s="2" t="s">
        <v>2286</v>
      </c>
      <c r="M573" t="s">
        <v>260</v>
      </c>
      <c r="N573" t="s">
        <v>357</v>
      </c>
      <c r="O573" t="s">
        <v>632</v>
      </c>
      <c r="P573" t="s">
        <v>2905</v>
      </c>
      <c r="Q573" t="s">
        <v>2281</v>
      </c>
    </row>
    <row r="574" spans="1:17">
      <c r="A574" s="2" t="s">
        <v>2125</v>
      </c>
      <c r="B574" s="2" t="s">
        <v>585</v>
      </c>
      <c r="C574" s="2" t="s">
        <v>589</v>
      </c>
      <c r="D574" s="11">
        <v>45967.618055555555</v>
      </c>
      <c r="E574" s="11">
        <v>45967.618055555555</v>
      </c>
      <c r="F574" s="11">
        <v>45967.702777777777</v>
      </c>
      <c r="G574" s="12">
        <v>8.4722222221898846E-2</v>
      </c>
      <c r="H574" s="2" t="s">
        <v>257</v>
      </c>
      <c r="J574" s="2" t="s">
        <v>258</v>
      </c>
      <c r="K574" s="2" t="s">
        <v>658</v>
      </c>
      <c r="L574" s="2" t="s">
        <v>2286</v>
      </c>
      <c r="M574" t="s">
        <v>260</v>
      </c>
      <c r="N574" t="s">
        <v>357</v>
      </c>
      <c r="O574" t="s">
        <v>632</v>
      </c>
      <c r="P574" t="s">
        <v>2906</v>
      </c>
      <c r="Q574" t="s">
        <v>2281</v>
      </c>
    </row>
    <row r="575" spans="1:17">
      <c r="A575" s="2" t="s">
        <v>2125</v>
      </c>
      <c r="B575" s="2" t="s">
        <v>585</v>
      </c>
      <c r="C575" s="2" t="s">
        <v>593</v>
      </c>
      <c r="D575" s="11">
        <v>45967.618055555555</v>
      </c>
      <c r="E575" s="11">
        <v>45967.618055555555</v>
      </c>
      <c r="F575" s="11">
        <v>45967.702777777777</v>
      </c>
      <c r="G575" s="12">
        <v>8.4722222221898846E-2</v>
      </c>
      <c r="H575" s="2" t="s">
        <v>257</v>
      </c>
      <c r="J575" s="2" t="s">
        <v>258</v>
      </c>
      <c r="K575" s="2" t="s">
        <v>658</v>
      </c>
      <c r="L575" s="2" t="s">
        <v>2286</v>
      </c>
      <c r="M575" t="s">
        <v>260</v>
      </c>
      <c r="N575" t="s">
        <v>357</v>
      </c>
      <c r="O575" t="s">
        <v>632</v>
      </c>
      <c r="P575" t="s">
        <v>2907</v>
      </c>
      <c r="Q575" t="s">
        <v>2281</v>
      </c>
    </row>
    <row r="576" spans="1:17">
      <c r="A576" s="2" t="s">
        <v>2125</v>
      </c>
      <c r="B576" s="2" t="s">
        <v>585</v>
      </c>
      <c r="C576" s="2" t="s">
        <v>591</v>
      </c>
      <c r="D576" s="11">
        <v>45967.618055555555</v>
      </c>
      <c r="E576" s="11">
        <v>45967.618055555555</v>
      </c>
      <c r="F576" s="11">
        <v>45967.702777777777</v>
      </c>
      <c r="G576" s="12">
        <v>8.4722222221898846E-2</v>
      </c>
      <c r="H576" s="2" t="s">
        <v>257</v>
      </c>
      <c r="J576" s="2" t="s">
        <v>258</v>
      </c>
      <c r="K576" s="2" t="s">
        <v>658</v>
      </c>
      <c r="L576" s="2" t="s">
        <v>2286</v>
      </c>
      <c r="M576" t="s">
        <v>260</v>
      </c>
      <c r="N576" t="s">
        <v>357</v>
      </c>
      <c r="O576" t="s">
        <v>632</v>
      </c>
      <c r="P576" t="s">
        <v>2908</v>
      </c>
      <c r="Q576" t="s">
        <v>2281</v>
      </c>
    </row>
    <row r="577" spans="1:17">
      <c r="A577" s="2" t="s">
        <v>2125</v>
      </c>
      <c r="B577" s="2" t="s">
        <v>585</v>
      </c>
      <c r="C577" s="2" t="s">
        <v>2293</v>
      </c>
      <c r="D577" s="11">
        <v>45967.618055555555</v>
      </c>
      <c r="E577" s="11">
        <v>45967.618055555555</v>
      </c>
      <c r="F577" s="11">
        <v>45967.702777777777</v>
      </c>
      <c r="G577" s="12">
        <v>8.4722222221898846E-2</v>
      </c>
      <c r="H577" s="2" t="s">
        <v>257</v>
      </c>
      <c r="J577" s="2" t="s">
        <v>258</v>
      </c>
      <c r="K577" s="2" t="s">
        <v>658</v>
      </c>
      <c r="L577" s="2" t="s">
        <v>2286</v>
      </c>
      <c r="M577" t="s">
        <v>260</v>
      </c>
      <c r="N577" t="s">
        <v>357</v>
      </c>
      <c r="O577" t="s">
        <v>632</v>
      </c>
      <c r="P577" t="s">
        <v>2909</v>
      </c>
      <c r="Q577" t="s">
        <v>2281</v>
      </c>
    </row>
    <row r="578" spans="1:17">
      <c r="A578" s="2" t="s">
        <v>2134</v>
      </c>
      <c r="B578" s="2" t="s">
        <v>585</v>
      </c>
      <c r="C578" s="2" t="s">
        <v>590</v>
      </c>
      <c r="D578" s="11">
        <v>45967.618055555555</v>
      </c>
      <c r="E578" s="11">
        <v>45967.618055555555</v>
      </c>
      <c r="F578" s="11">
        <v>45967.702777777777</v>
      </c>
      <c r="G578" s="12">
        <v>8.4722222221898846E-2</v>
      </c>
      <c r="H578" s="2" t="s">
        <v>257</v>
      </c>
      <c r="J578" s="2" t="s">
        <v>258</v>
      </c>
      <c r="K578" s="2" t="s">
        <v>658</v>
      </c>
      <c r="L578" s="2" t="s">
        <v>2286</v>
      </c>
      <c r="M578" t="s">
        <v>260</v>
      </c>
      <c r="N578" t="s">
        <v>357</v>
      </c>
      <c r="O578" t="s">
        <v>632</v>
      </c>
      <c r="P578" t="s">
        <v>2910</v>
      </c>
      <c r="Q578" t="s">
        <v>2281</v>
      </c>
    </row>
    <row r="579" spans="1:17">
      <c r="A579" s="2" t="s">
        <v>2134</v>
      </c>
      <c r="B579" s="2" t="s">
        <v>585</v>
      </c>
      <c r="C579" s="2" t="s">
        <v>2091</v>
      </c>
      <c r="D579" s="11">
        <v>45967.618055555555</v>
      </c>
      <c r="E579" s="11">
        <v>45967.618055555555</v>
      </c>
      <c r="F579" s="11">
        <v>45967.702777777777</v>
      </c>
      <c r="G579" s="12">
        <v>8.4722222221898846E-2</v>
      </c>
      <c r="H579" s="2" t="s">
        <v>257</v>
      </c>
      <c r="J579" s="2" t="s">
        <v>258</v>
      </c>
      <c r="K579" s="2" t="s">
        <v>658</v>
      </c>
      <c r="L579" s="2" t="s">
        <v>2286</v>
      </c>
      <c r="M579" t="s">
        <v>260</v>
      </c>
      <c r="N579" t="s">
        <v>357</v>
      </c>
      <c r="O579" t="s">
        <v>632</v>
      </c>
      <c r="P579" t="s">
        <v>2911</v>
      </c>
      <c r="Q579" t="s">
        <v>2281</v>
      </c>
    </row>
    <row r="580" spans="1:17">
      <c r="A580" s="2" t="s">
        <v>2134</v>
      </c>
      <c r="B580" s="2" t="s">
        <v>585</v>
      </c>
      <c r="C580" s="2" t="s">
        <v>586</v>
      </c>
      <c r="D580" s="11">
        <v>45967.618055555555</v>
      </c>
      <c r="E580" s="11">
        <v>45967.618055555555</v>
      </c>
      <c r="F580" s="11">
        <v>45967.702777777777</v>
      </c>
      <c r="G580" s="12">
        <v>8.4722222221898846E-2</v>
      </c>
      <c r="H580" s="2" t="s">
        <v>257</v>
      </c>
      <c r="J580" s="2" t="s">
        <v>258</v>
      </c>
      <c r="K580" s="2" t="s">
        <v>658</v>
      </c>
      <c r="L580" s="2" t="s">
        <v>2286</v>
      </c>
      <c r="M580" t="s">
        <v>260</v>
      </c>
      <c r="N580" t="s">
        <v>357</v>
      </c>
      <c r="O580" t="s">
        <v>632</v>
      </c>
      <c r="P580" t="s">
        <v>2912</v>
      </c>
      <c r="Q580" t="s">
        <v>2281</v>
      </c>
    </row>
    <row r="581" spans="1:17">
      <c r="A581" s="2" t="s">
        <v>2134</v>
      </c>
      <c r="B581" s="2" t="s">
        <v>585</v>
      </c>
      <c r="C581" s="2" t="s">
        <v>598</v>
      </c>
      <c r="D581" s="11">
        <v>45967.618055555555</v>
      </c>
      <c r="E581" s="11">
        <v>45967.618055555555</v>
      </c>
      <c r="F581" s="11">
        <v>45967.702777777777</v>
      </c>
      <c r="G581" s="12">
        <v>8.4722222221898846E-2</v>
      </c>
      <c r="H581" s="2" t="s">
        <v>257</v>
      </c>
      <c r="J581" s="2" t="s">
        <v>258</v>
      </c>
      <c r="K581" s="2" t="s">
        <v>658</v>
      </c>
      <c r="L581" s="2" t="s">
        <v>2286</v>
      </c>
      <c r="M581" t="s">
        <v>260</v>
      </c>
      <c r="N581" t="s">
        <v>357</v>
      </c>
      <c r="O581" t="s">
        <v>632</v>
      </c>
      <c r="P581" t="s">
        <v>2913</v>
      </c>
      <c r="Q581" t="s">
        <v>2281</v>
      </c>
    </row>
    <row r="582" spans="1:17">
      <c r="A582" s="2" t="s">
        <v>2134</v>
      </c>
      <c r="B582" s="2" t="s">
        <v>585</v>
      </c>
      <c r="C582" s="2" t="s">
        <v>600</v>
      </c>
      <c r="D582" s="11">
        <v>45967.618055555555</v>
      </c>
      <c r="E582" s="11">
        <v>45967.618055555555</v>
      </c>
      <c r="F582" s="11">
        <v>45967.702777777777</v>
      </c>
      <c r="G582" s="12">
        <v>8.4722222221898846E-2</v>
      </c>
      <c r="H582" s="2" t="s">
        <v>257</v>
      </c>
      <c r="J582" s="2" t="s">
        <v>258</v>
      </c>
      <c r="K582" s="2" t="s">
        <v>658</v>
      </c>
      <c r="L582" s="2" t="s">
        <v>2286</v>
      </c>
      <c r="M582" t="s">
        <v>260</v>
      </c>
      <c r="N582" t="s">
        <v>357</v>
      </c>
      <c r="O582" t="s">
        <v>632</v>
      </c>
      <c r="P582" t="s">
        <v>2914</v>
      </c>
      <c r="Q582" t="s">
        <v>2281</v>
      </c>
    </row>
    <row r="583" spans="1:17">
      <c r="A583" s="2" t="s">
        <v>2134</v>
      </c>
      <c r="B583" s="2" t="s">
        <v>585</v>
      </c>
      <c r="C583" s="2" t="s">
        <v>596</v>
      </c>
      <c r="D583" s="11">
        <v>45967.618055555555</v>
      </c>
      <c r="E583" s="11">
        <v>45967.618055555555</v>
      </c>
      <c r="F583" s="11">
        <v>45967.702777777777</v>
      </c>
      <c r="G583" s="12">
        <v>8.4722222221898846E-2</v>
      </c>
      <c r="H583" s="2" t="s">
        <v>257</v>
      </c>
      <c r="J583" s="2" t="s">
        <v>258</v>
      </c>
      <c r="K583" s="2" t="s">
        <v>658</v>
      </c>
      <c r="L583" s="2" t="s">
        <v>2286</v>
      </c>
      <c r="M583" t="s">
        <v>260</v>
      </c>
      <c r="N583" t="s">
        <v>357</v>
      </c>
      <c r="O583" t="s">
        <v>632</v>
      </c>
      <c r="P583" t="s">
        <v>2915</v>
      </c>
      <c r="Q583" t="s">
        <v>2281</v>
      </c>
    </row>
    <row r="584" spans="1:17">
      <c r="A584" s="2" t="s">
        <v>2134</v>
      </c>
      <c r="B584" s="2" t="s">
        <v>585</v>
      </c>
      <c r="C584" s="2" t="s">
        <v>599</v>
      </c>
      <c r="D584" s="11">
        <v>45967.618055555555</v>
      </c>
      <c r="E584" s="11">
        <v>45967.618055555555</v>
      </c>
      <c r="F584" s="11">
        <v>45967.702777777777</v>
      </c>
      <c r="G584" s="12">
        <v>8.4722222221898846E-2</v>
      </c>
      <c r="H584" s="2" t="s">
        <v>257</v>
      </c>
      <c r="J584" s="2" t="s">
        <v>258</v>
      </c>
      <c r="K584" s="2" t="s">
        <v>658</v>
      </c>
      <c r="L584" s="2" t="s">
        <v>2286</v>
      </c>
      <c r="M584" t="s">
        <v>260</v>
      </c>
      <c r="N584" t="s">
        <v>357</v>
      </c>
      <c r="O584" t="s">
        <v>632</v>
      </c>
      <c r="P584" t="s">
        <v>2916</v>
      </c>
      <c r="Q584" t="s">
        <v>2281</v>
      </c>
    </row>
    <row r="585" spans="1:17">
      <c r="A585" s="2" t="s">
        <v>2134</v>
      </c>
      <c r="B585" s="2" t="s">
        <v>585</v>
      </c>
      <c r="C585" s="2" t="s">
        <v>603</v>
      </c>
      <c r="D585" s="11">
        <v>45967.618055555555</v>
      </c>
      <c r="E585" s="11">
        <v>45967.618055555555</v>
      </c>
      <c r="F585" s="11">
        <v>45967.702777777777</v>
      </c>
      <c r="G585" s="12">
        <v>8.4722222221898846E-2</v>
      </c>
      <c r="H585" s="2" t="s">
        <v>257</v>
      </c>
      <c r="J585" s="2" t="s">
        <v>258</v>
      </c>
      <c r="K585" s="2" t="s">
        <v>658</v>
      </c>
      <c r="L585" s="2" t="s">
        <v>2286</v>
      </c>
      <c r="M585" t="s">
        <v>260</v>
      </c>
      <c r="N585" t="s">
        <v>357</v>
      </c>
      <c r="O585" t="s">
        <v>632</v>
      </c>
      <c r="P585" t="s">
        <v>2917</v>
      </c>
      <c r="Q585" t="s">
        <v>2281</v>
      </c>
    </row>
    <row r="586" spans="1:17">
      <c r="A586" s="2" t="s">
        <v>2134</v>
      </c>
      <c r="B586" s="2" t="s">
        <v>585</v>
      </c>
      <c r="C586" s="2" t="s">
        <v>588</v>
      </c>
      <c r="D586" s="11">
        <v>45967.618055555555</v>
      </c>
      <c r="E586" s="11">
        <v>45967.618055555555</v>
      </c>
      <c r="F586" s="11">
        <v>45967.702777777777</v>
      </c>
      <c r="G586" s="12">
        <v>8.4722222221898846E-2</v>
      </c>
      <c r="H586" s="2" t="s">
        <v>257</v>
      </c>
      <c r="J586" s="2" t="s">
        <v>258</v>
      </c>
      <c r="K586" s="2" t="s">
        <v>658</v>
      </c>
      <c r="L586" s="2" t="s">
        <v>2286</v>
      </c>
      <c r="M586" t="s">
        <v>260</v>
      </c>
      <c r="N586" t="s">
        <v>357</v>
      </c>
      <c r="O586" t="s">
        <v>632</v>
      </c>
      <c r="P586" t="s">
        <v>2918</v>
      </c>
      <c r="Q586" t="s">
        <v>2281</v>
      </c>
    </row>
    <row r="587" spans="1:17">
      <c r="A587" s="2" t="s">
        <v>2134</v>
      </c>
      <c r="B587" s="2" t="s">
        <v>585</v>
      </c>
      <c r="C587" s="2" t="s">
        <v>594</v>
      </c>
      <c r="D587" s="11">
        <v>45967.618055555555</v>
      </c>
      <c r="E587" s="11">
        <v>45967.618055555555</v>
      </c>
      <c r="F587" s="11">
        <v>45967.702777777777</v>
      </c>
      <c r="G587" s="12">
        <v>8.4722222221898846E-2</v>
      </c>
      <c r="H587" s="2" t="s">
        <v>257</v>
      </c>
      <c r="J587" s="2" t="s">
        <v>258</v>
      </c>
      <c r="K587" s="2" t="s">
        <v>658</v>
      </c>
      <c r="L587" s="2" t="s">
        <v>2286</v>
      </c>
      <c r="M587" t="s">
        <v>260</v>
      </c>
      <c r="N587" t="s">
        <v>357</v>
      </c>
      <c r="O587" t="s">
        <v>632</v>
      </c>
      <c r="P587" t="s">
        <v>2919</v>
      </c>
      <c r="Q587" t="s">
        <v>2281</v>
      </c>
    </row>
    <row r="588" spans="1:17">
      <c r="A588" s="2" t="s">
        <v>327</v>
      </c>
      <c r="B588" s="2" t="s">
        <v>327</v>
      </c>
      <c r="C588" s="2" t="s">
        <v>247</v>
      </c>
      <c r="D588" s="11">
        <v>45968.25</v>
      </c>
      <c r="E588" s="11">
        <v>45968.25</v>
      </c>
      <c r="F588" s="11">
        <v>45968.285416666666</v>
      </c>
      <c r="G588" s="12">
        <v>3.5416666665696539E-2</v>
      </c>
      <c r="H588" s="2" t="s">
        <v>257</v>
      </c>
      <c r="J588" s="2" t="s">
        <v>258</v>
      </c>
      <c r="K588" s="2" t="s">
        <v>658</v>
      </c>
      <c r="L588" s="2" t="s">
        <v>1955</v>
      </c>
      <c r="M588" t="s">
        <v>2108</v>
      </c>
      <c r="N588" t="s">
        <v>357</v>
      </c>
      <c r="O588" t="s">
        <v>2111</v>
      </c>
      <c r="P588" t="s">
        <v>2920</v>
      </c>
      <c r="Q588" t="s">
        <v>2281</v>
      </c>
    </row>
    <row r="589" spans="1:17">
      <c r="A589" s="2" t="s">
        <v>246</v>
      </c>
      <c r="B589" s="2" t="s">
        <v>246</v>
      </c>
      <c r="C589" s="2" t="s">
        <v>247</v>
      </c>
      <c r="D589" s="11">
        <v>45968.25</v>
      </c>
      <c r="E589" s="11">
        <v>45968.25</v>
      </c>
      <c r="F589" s="11">
        <v>45968.285416666666</v>
      </c>
      <c r="G589" s="12">
        <v>3.5416666665696539E-2</v>
      </c>
      <c r="H589" s="2" t="s">
        <v>257</v>
      </c>
      <c r="J589" s="2" t="s">
        <v>258</v>
      </c>
      <c r="K589" s="2" t="s">
        <v>658</v>
      </c>
      <c r="L589" s="2" t="s">
        <v>1955</v>
      </c>
      <c r="M589" t="s">
        <v>2108</v>
      </c>
      <c r="N589" t="s">
        <v>357</v>
      </c>
      <c r="O589" t="s">
        <v>2111</v>
      </c>
      <c r="P589" t="s">
        <v>2921</v>
      </c>
      <c r="Q589" t="s">
        <v>2281</v>
      </c>
    </row>
    <row r="590" spans="1:17">
      <c r="A590" s="2" t="s">
        <v>328</v>
      </c>
      <c r="B590" s="2" t="s">
        <v>328</v>
      </c>
      <c r="C590" s="2" t="s">
        <v>247</v>
      </c>
      <c r="D590" s="11">
        <v>45968.25</v>
      </c>
      <c r="E590" s="11">
        <v>45968.25</v>
      </c>
      <c r="F590" s="11">
        <v>45968.285416666666</v>
      </c>
      <c r="G590" s="12">
        <v>3.5416666665696539E-2</v>
      </c>
      <c r="H590" s="2" t="s">
        <v>257</v>
      </c>
      <c r="J590" s="2" t="s">
        <v>258</v>
      </c>
      <c r="K590" s="2" t="s">
        <v>658</v>
      </c>
      <c r="L590" s="2" t="s">
        <v>1955</v>
      </c>
      <c r="M590" t="s">
        <v>2108</v>
      </c>
      <c r="N590" t="s">
        <v>357</v>
      </c>
      <c r="O590" t="s">
        <v>2111</v>
      </c>
      <c r="P590" t="s">
        <v>2922</v>
      </c>
      <c r="Q590" t="s">
        <v>2281</v>
      </c>
    </row>
    <row r="591" spans="1:17">
      <c r="A591" s="2" t="s">
        <v>329</v>
      </c>
      <c r="B591" s="2" t="s">
        <v>329</v>
      </c>
      <c r="C591" s="2" t="s">
        <v>247</v>
      </c>
      <c r="D591" s="11">
        <v>45968.25</v>
      </c>
      <c r="E591" s="11">
        <v>45968.25</v>
      </c>
      <c r="F591" s="11">
        <v>45968.285416666666</v>
      </c>
      <c r="G591" s="12">
        <v>3.5416666665696539E-2</v>
      </c>
      <c r="H591" s="2" t="s">
        <v>257</v>
      </c>
      <c r="J591" s="2" t="s">
        <v>258</v>
      </c>
      <c r="K591" s="2" t="s">
        <v>658</v>
      </c>
      <c r="L591" s="2" t="s">
        <v>1955</v>
      </c>
      <c r="M591" t="s">
        <v>2108</v>
      </c>
      <c r="N591" t="s">
        <v>357</v>
      </c>
      <c r="O591" t="s">
        <v>2111</v>
      </c>
      <c r="P591" t="s">
        <v>2923</v>
      </c>
      <c r="Q591" t="s">
        <v>2281</v>
      </c>
    </row>
    <row r="592" spans="1:17">
      <c r="A592" s="2" t="s">
        <v>330</v>
      </c>
      <c r="B592" s="2" t="s">
        <v>330</v>
      </c>
      <c r="C592" s="2" t="s">
        <v>247</v>
      </c>
      <c r="D592" s="11">
        <v>45968.25</v>
      </c>
      <c r="E592" s="11">
        <v>45968.25</v>
      </c>
      <c r="F592" s="11">
        <v>45968.285416666666</v>
      </c>
      <c r="G592" s="12">
        <v>3.5416666665696539E-2</v>
      </c>
      <c r="H592" s="2" t="s">
        <v>257</v>
      </c>
      <c r="J592" s="2" t="s">
        <v>258</v>
      </c>
      <c r="K592" s="2" t="s">
        <v>658</v>
      </c>
      <c r="L592" s="2" t="s">
        <v>1955</v>
      </c>
      <c r="M592" t="s">
        <v>2108</v>
      </c>
      <c r="N592" t="s">
        <v>357</v>
      </c>
      <c r="O592" t="s">
        <v>2111</v>
      </c>
      <c r="P592" t="s">
        <v>2924</v>
      </c>
      <c r="Q592" t="s">
        <v>2281</v>
      </c>
    </row>
    <row r="593" spans="1:17">
      <c r="A593" s="2" t="s">
        <v>327</v>
      </c>
      <c r="B593" s="2" t="s">
        <v>327</v>
      </c>
      <c r="C593" s="2" t="s">
        <v>247</v>
      </c>
      <c r="D593" s="11">
        <v>45968.37777777778</v>
      </c>
      <c r="E593" s="11">
        <v>45968.37777777778</v>
      </c>
      <c r="F593" s="11">
        <v>45968.384722222225</v>
      </c>
      <c r="G593" s="12">
        <v>6.9444444452528842E-3</v>
      </c>
      <c r="H593" s="2" t="s">
        <v>257</v>
      </c>
      <c r="J593" s="2" t="s">
        <v>258</v>
      </c>
      <c r="K593" s="2" t="s">
        <v>658</v>
      </c>
      <c r="L593" s="2" t="s">
        <v>1955</v>
      </c>
      <c r="M593" t="s">
        <v>2108</v>
      </c>
      <c r="N593" t="s">
        <v>357</v>
      </c>
      <c r="O593" t="s">
        <v>2111</v>
      </c>
      <c r="P593" t="s">
        <v>2925</v>
      </c>
      <c r="Q593" t="s">
        <v>2281</v>
      </c>
    </row>
    <row r="594" spans="1:17">
      <c r="A594" s="2" t="s">
        <v>246</v>
      </c>
      <c r="B594" s="2" t="s">
        <v>246</v>
      </c>
      <c r="C594" s="2" t="s">
        <v>247</v>
      </c>
      <c r="D594" s="11">
        <v>45968.37777777778</v>
      </c>
      <c r="E594" s="11">
        <v>45968.37777777778</v>
      </c>
      <c r="F594" s="11">
        <v>45968.384722222225</v>
      </c>
      <c r="G594" s="12">
        <v>6.9444444452528842E-3</v>
      </c>
      <c r="H594" s="2" t="s">
        <v>257</v>
      </c>
      <c r="J594" s="2" t="s">
        <v>258</v>
      </c>
      <c r="K594" s="2" t="s">
        <v>658</v>
      </c>
      <c r="L594" s="2" t="s">
        <v>1955</v>
      </c>
      <c r="M594" t="s">
        <v>2108</v>
      </c>
      <c r="N594" t="s">
        <v>357</v>
      </c>
      <c r="O594" t="s">
        <v>2111</v>
      </c>
      <c r="P594" t="s">
        <v>2926</v>
      </c>
      <c r="Q594" t="s">
        <v>2281</v>
      </c>
    </row>
    <row r="595" spans="1:17">
      <c r="A595" s="2" t="s">
        <v>328</v>
      </c>
      <c r="B595" s="2" t="s">
        <v>328</v>
      </c>
      <c r="C595" s="2" t="s">
        <v>247</v>
      </c>
      <c r="D595" s="11">
        <v>45968.37777777778</v>
      </c>
      <c r="E595" s="11">
        <v>45968.37777777778</v>
      </c>
      <c r="F595" s="11">
        <v>45968.384722222225</v>
      </c>
      <c r="G595" s="12">
        <v>6.9444444452528842E-3</v>
      </c>
      <c r="H595" s="2" t="s">
        <v>257</v>
      </c>
      <c r="J595" s="2" t="s">
        <v>258</v>
      </c>
      <c r="K595" s="2" t="s">
        <v>658</v>
      </c>
      <c r="L595" s="2" t="s">
        <v>1955</v>
      </c>
      <c r="M595" t="s">
        <v>2108</v>
      </c>
      <c r="N595" t="s">
        <v>357</v>
      </c>
      <c r="O595" t="s">
        <v>2111</v>
      </c>
      <c r="P595" t="s">
        <v>2927</v>
      </c>
      <c r="Q595" t="s">
        <v>2281</v>
      </c>
    </row>
    <row r="596" spans="1:17">
      <c r="A596" s="2" t="s">
        <v>329</v>
      </c>
      <c r="B596" s="2" t="s">
        <v>329</v>
      </c>
      <c r="C596" s="2" t="s">
        <v>247</v>
      </c>
      <c r="D596" s="11">
        <v>45968.37777777778</v>
      </c>
      <c r="E596" s="11">
        <v>45968.37777777778</v>
      </c>
      <c r="F596" s="11">
        <v>45968.384722222225</v>
      </c>
      <c r="G596" s="12">
        <v>6.9444444452528842E-3</v>
      </c>
      <c r="H596" s="2" t="s">
        <v>257</v>
      </c>
      <c r="J596" s="2" t="s">
        <v>258</v>
      </c>
      <c r="K596" s="2" t="s">
        <v>658</v>
      </c>
      <c r="L596" s="2" t="s">
        <v>1955</v>
      </c>
      <c r="M596" t="s">
        <v>2108</v>
      </c>
      <c r="N596" t="s">
        <v>357</v>
      </c>
      <c r="O596" t="s">
        <v>2111</v>
      </c>
      <c r="P596" t="s">
        <v>2928</v>
      </c>
      <c r="Q596" t="s">
        <v>2281</v>
      </c>
    </row>
    <row r="597" spans="1:17">
      <c r="A597" s="2" t="s">
        <v>330</v>
      </c>
      <c r="B597" s="2" t="s">
        <v>330</v>
      </c>
      <c r="C597" s="2" t="s">
        <v>247</v>
      </c>
      <c r="D597" s="11">
        <v>45968.37777777778</v>
      </c>
      <c r="E597" s="11">
        <v>45968.37777777778</v>
      </c>
      <c r="F597" s="11">
        <v>45968.384722222225</v>
      </c>
      <c r="G597" s="12">
        <v>6.9444444452528842E-3</v>
      </c>
      <c r="H597" s="2" t="s">
        <v>257</v>
      </c>
      <c r="J597" s="2" t="s">
        <v>258</v>
      </c>
      <c r="K597" s="2" t="s">
        <v>658</v>
      </c>
      <c r="L597" s="2" t="s">
        <v>1955</v>
      </c>
      <c r="M597" t="s">
        <v>2108</v>
      </c>
      <c r="N597" t="s">
        <v>357</v>
      </c>
      <c r="O597" t="s">
        <v>2111</v>
      </c>
      <c r="P597" t="s">
        <v>2929</v>
      </c>
      <c r="Q597" t="s">
        <v>2281</v>
      </c>
    </row>
    <row r="598" spans="1:17">
      <c r="A598" s="2" t="s">
        <v>444</v>
      </c>
      <c r="B598" s="2" t="s">
        <v>444</v>
      </c>
      <c r="C598" s="2" t="s">
        <v>256</v>
      </c>
      <c r="D598" s="11">
        <v>45968.440972222219</v>
      </c>
      <c r="E598" s="11">
        <v>45968.440972222219</v>
      </c>
      <c r="F598" s="11">
        <v>45968.447916666664</v>
      </c>
      <c r="G598" s="12">
        <v>6.9444444452528842E-3</v>
      </c>
      <c r="H598" s="2" t="s">
        <v>268</v>
      </c>
      <c r="I598" s="2" t="s">
        <v>269</v>
      </c>
      <c r="J598" s="2" t="s">
        <v>270</v>
      </c>
      <c r="K598" s="2" t="s">
        <v>674</v>
      </c>
      <c r="L598" s="2" t="s">
        <v>715</v>
      </c>
      <c r="M598" t="s">
        <v>272</v>
      </c>
      <c r="N598" t="s">
        <v>631</v>
      </c>
      <c r="O598" t="s">
        <v>631</v>
      </c>
      <c r="P598" t="s">
        <v>2930</v>
      </c>
      <c r="Q598" t="s">
        <v>2690</v>
      </c>
    </row>
    <row r="599" spans="1:17">
      <c r="A599" s="2" t="s">
        <v>444</v>
      </c>
      <c r="B599" s="2" t="s">
        <v>444</v>
      </c>
      <c r="C599" s="2" t="s">
        <v>264</v>
      </c>
      <c r="D599" s="11">
        <v>45968.440972222219</v>
      </c>
      <c r="E599" s="11">
        <v>45968.440972222219</v>
      </c>
      <c r="F599" s="11">
        <v>45968.447916666664</v>
      </c>
      <c r="G599" s="12">
        <v>6.9444444452528842E-3</v>
      </c>
      <c r="H599" s="2" t="s">
        <v>268</v>
      </c>
      <c r="I599" s="2" t="s">
        <v>269</v>
      </c>
      <c r="J599" s="2" t="s">
        <v>270</v>
      </c>
      <c r="K599" s="2" t="s">
        <v>674</v>
      </c>
      <c r="L599" s="2" t="s">
        <v>715</v>
      </c>
      <c r="M599" t="s">
        <v>272</v>
      </c>
      <c r="N599" t="s">
        <v>631</v>
      </c>
      <c r="O599" t="s">
        <v>631</v>
      </c>
      <c r="P599" t="s">
        <v>2931</v>
      </c>
      <c r="Q599" t="s">
        <v>2690</v>
      </c>
    </row>
    <row r="600" spans="1:17">
      <c r="A600" s="2" t="s">
        <v>444</v>
      </c>
      <c r="B600" s="2" t="s">
        <v>444</v>
      </c>
      <c r="C600" s="2" t="s">
        <v>2085</v>
      </c>
      <c r="D600" s="11">
        <v>45968.440972222219</v>
      </c>
      <c r="E600" s="11">
        <v>45968.440972222219</v>
      </c>
      <c r="F600" s="11">
        <v>45968.447916666664</v>
      </c>
      <c r="G600" s="12">
        <v>6.9444444452528842E-3</v>
      </c>
      <c r="H600" s="2" t="s">
        <v>268</v>
      </c>
      <c r="I600" s="2" t="s">
        <v>269</v>
      </c>
      <c r="J600" s="2" t="s">
        <v>270</v>
      </c>
      <c r="K600" s="2" t="s">
        <v>674</v>
      </c>
      <c r="L600" s="2" t="s">
        <v>715</v>
      </c>
      <c r="M600" t="s">
        <v>272</v>
      </c>
      <c r="N600" t="s">
        <v>631</v>
      </c>
      <c r="O600" t="s">
        <v>631</v>
      </c>
      <c r="P600" t="s">
        <v>2932</v>
      </c>
      <c r="Q600" t="s">
        <v>2690</v>
      </c>
    </row>
    <row r="601" spans="1:17">
      <c r="A601" s="2" t="s">
        <v>444</v>
      </c>
      <c r="B601" s="2" t="s">
        <v>444</v>
      </c>
      <c r="C601" s="2" t="s">
        <v>2086</v>
      </c>
      <c r="D601" s="11">
        <v>45968.440972222219</v>
      </c>
      <c r="E601" s="11">
        <v>45968.440972222219</v>
      </c>
      <c r="F601" s="11">
        <v>45968.447916666664</v>
      </c>
      <c r="G601" s="12">
        <v>6.9444444452528842E-3</v>
      </c>
      <c r="H601" s="2" t="s">
        <v>268</v>
      </c>
      <c r="I601" s="2" t="s">
        <v>269</v>
      </c>
      <c r="J601" s="2" t="s">
        <v>270</v>
      </c>
      <c r="K601" s="2" t="s">
        <v>674</v>
      </c>
      <c r="L601" s="2" t="s">
        <v>715</v>
      </c>
      <c r="M601" t="s">
        <v>272</v>
      </c>
      <c r="N601" t="s">
        <v>631</v>
      </c>
      <c r="O601" t="s">
        <v>631</v>
      </c>
      <c r="P601" t="s">
        <v>2933</v>
      </c>
      <c r="Q601" t="s">
        <v>2690</v>
      </c>
    </row>
    <row r="602" spans="1:17">
      <c r="A602" s="2" t="s">
        <v>444</v>
      </c>
      <c r="B602" s="2" t="s">
        <v>444</v>
      </c>
      <c r="C602" s="2" t="s">
        <v>390</v>
      </c>
      <c r="D602" s="11">
        <v>45968.440972222219</v>
      </c>
      <c r="E602" s="11">
        <v>45968.440972222219</v>
      </c>
      <c r="F602" s="11">
        <v>45968.447916666664</v>
      </c>
      <c r="G602" s="12">
        <v>6.9444444452528842E-3</v>
      </c>
      <c r="H602" s="2" t="s">
        <v>268</v>
      </c>
      <c r="I602" s="2" t="s">
        <v>269</v>
      </c>
      <c r="J602" s="2" t="s">
        <v>270</v>
      </c>
      <c r="K602" s="2" t="s">
        <v>674</v>
      </c>
      <c r="L602" s="2" t="s">
        <v>715</v>
      </c>
      <c r="M602" t="s">
        <v>272</v>
      </c>
      <c r="N602" t="s">
        <v>631</v>
      </c>
      <c r="O602" t="s">
        <v>631</v>
      </c>
      <c r="P602" t="s">
        <v>2934</v>
      </c>
      <c r="Q602" t="s">
        <v>2690</v>
      </c>
    </row>
    <row r="603" spans="1:17">
      <c r="A603" s="2" t="s">
        <v>446</v>
      </c>
      <c r="B603" s="2" t="s">
        <v>446</v>
      </c>
      <c r="C603" s="2" t="s">
        <v>2087</v>
      </c>
      <c r="D603" s="11">
        <v>45968.440972222219</v>
      </c>
      <c r="E603" s="11">
        <v>45968.440972222219</v>
      </c>
      <c r="F603" s="11">
        <v>45968.447916666664</v>
      </c>
      <c r="G603" s="12">
        <v>6.9444444452528842E-3</v>
      </c>
      <c r="H603" s="2" t="s">
        <v>268</v>
      </c>
      <c r="I603" s="2" t="s">
        <v>269</v>
      </c>
      <c r="J603" s="2" t="s">
        <v>270</v>
      </c>
      <c r="K603" s="2" t="s">
        <v>674</v>
      </c>
      <c r="L603" s="2" t="s">
        <v>715</v>
      </c>
      <c r="M603" t="s">
        <v>272</v>
      </c>
      <c r="N603" t="s">
        <v>631</v>
      </c>
      <c r="O603" t="s">
        <v>631</v>
      </c>
      <c r="P603" t="s">
        <v>2935</v>
      </c>
      <c r="Q603" t="s">
        <v>2690</v>
      </c>
    </row>
    <row r="604" spans="1:17">
      <c r="A604" s="2" t="s">
        <v>446</v>
      </c>
      <c r="B604" s="2" t="s">
        <v>446</v>
      </c>
      <c r="C604" s="2" t="s">
        <v>2088</v>
      </c>
      <c r="D604" s="11">
        <v>45968.440972222219</v>
      </c>
      <c r="E604" s="11">
        <v>45968.440972222219</v>
      </c>
      <c r="F604" s="11">
        <v>45968.447916666664</v>
      </c>
      <c r="G604" s="12">
        <v>6.9444444452528842E-3</v>
      </c>
      <c r="H604" s="2" t="s">
        <v>268</v>
      </c>
      <c r="I604" s="2" t="s">
        <v>269</v>
      </c>
      <c r="J604" s="2" t="s">
        <v>270</v>
      </c>
      <c r="K604" s="2" t="s">
        <v>674</v>
      </c>
      <c r="L604" s="2" t="s">
        <v>715</v>
      </c>
      <c r="M604" t="s">
        <v>272</v>
      </c>
      <c r="N604" t="s">
        <v>631</v>
      </c>
      <c r="O604" t="s">
        <v>631</v>
      </c>
      <c r="P604" t="s">
        <v>2936</v>
      </c>
      <c r="Q604" t="s">
        <v>2690</v>
      </c>
    </row>
    <row r="605" spans="1:17">
      <c r="A605" s="2" t="s">
        <v>446</v>
      </c>
      <c r="B605" s="2" t="s">
        <v>446</v>
      </c>
      <c r="C605" s="2" t="s">
        <v>447</v>
      </c>
      <c r="D605" s="11">
        <v>45968.440972222219</v>
      </c>
      <c r="E605" s="11">
        <v>45968.440972222219</v>
      </c>
      <c r="F605" s="11">
        <v>45968.447916666664</v>
      </c>
      <c r="G605" s="12">
        <v>6.9444444452528842E-3</v>
      </c>
      <c r="H605" s="2" t="s">
        <v>268</v>
      </c>
      <c r="I605" s="2" t="s">
        <v>269</v>
      </c>
      <c r="J605" s="2" t="s">
        <v>270</v>
      </c>
      <c r="K605" s="2" t="s">
        <v>674</v>
      </c>
      <c r="L605" s="2" t="s">
        <v>715</v>
      </c>
      <c r="M605" t="s">
        <v>272</v>
      </c>
      <c r="N605" t="s">
        <v>631</v>
      </c>
      <c r="O605" t="s">
        <v>631</v>
      </c>
      <c r="P605" t="s">
        <v>2937</v>
      </c>
      <c r="Q605" t="s">
        <v>2690</v>
      </c>
    </row>
    <row r="606" spans="1:17">
      <c r="A606" s="2" t="s">
        <v>444</v>
      </c>
      <c r="B606" s="2" t="s">
        <v>444</v>
      </c>
      <c r="C606" s="2" t="s">
        <v>256</v>
      </c>
      <c r="D606" s="11">
        <v>45968.511805555558</v>
      </c>
      <c r="E606" s="11">
        <v>45968.511805555558</v>
      </c>
      <c r="F606" s="11">
        <v>45968.545138888891</v>
      </c>
      <c r="G606" s="12">
        <v>3.3333333332848269E-2</v>
      </c>
      <c r="H606" s="2" t="s">
        <v>268</v>
      </c>
      <c r="I606" s="2" t="s">
        <v>269</v>
      </c>
      <c r="J606" s="2" t="s">
        <v>270</v>
      </c>
      <c r="K606" s="2" t="s">
        <v>674</v>
      </c>
      <c r="L606" s="2" t="s">
        <v>715</v>
      </c>
      <c r="M606" t="s">
        <v>272</v>
      </c>
      <c r="N606" t="s">
        <v>631</v>
      </c>
      <c r="O606" t="s">
        <v>631</v>
      </c>
      <c r="P606" t="s">
        <v>2938</v>
      </c>
      <c r="Q606" t="s">
        <v>2690</v>
      </c>
    </row>
    <row r="607" spans="1:17">
      <c r="A607" s="2" t="s">
        <v>444</v>
      </c>
      <c r="B607" s="2" t="s">
        <v>444</v>
      </c>
      <c r="C607" s="2" t="s">
        <v>264</v>
      </c>
      <c r="D607" s="11">
        <v>45968.511805555558</v>
      </c>
      <c r="E607" s="11">
        <v>45968.511805555558</v>
      </c>
      <c r="F607" s="11">
        <v>45968.545138888891</v>
      </c>
      <c r="G607" s="12">
        <v>3.3333333332848269E-2</v>
      </c>
      <c r="H607" s="2" t="s">
        <v>268</v>
      </c>
      <c r="I607" s="2" t="s">
        <v>269</v>
      </c>
      <c r="J607" s="2" t="s">
        <v>270</v>
      </c>
      <c r="K607" s="2" t="s">
        <v>674</v>
      </c>
      <c r="L607" s="2" t="s">
        <v>715</v>
      </c>
      <c r="M607" t="s">
        <v>272</v>
      </c>
      <c r="N607" t="s">
        <v>631</v>
      </c>
      <c r="O607" t="s">
        <v>631</v>
      </c>
      <c r="P607" t="s">
        <v>2939</v>
      </c>
      <c r="Q607" t="s">
        <v>2690</v>
      </c>
    </row>
    <row r="608" spans="1:17">
      <c r="A608" s="2" t="s">
        <v>444</v>
      </c>
      <c r="B608" s="2" t="s">
        <v>444</v>
      </c>
      <c r="C608" s="2" t="s">
        <v>2085</v>
      </c>
      <c r="D608" s="11">
        <v>45968.511805555558</v>
      </c>
      <c r="E608" s="11">
        <v>45968.511805555558</v>
      </c>
      <c r="F608" s="11">
        <v>45968.545138888891</v>
      </c>
      <c r="G608" s="12">
        <v>3.3333333332848269E-2</v>
      </c>
      <c r="H608" s="2" t="s">
        <v>268</v>
      </c>
      <c r="I608" s="2" t="s">
        <v>269</v>
      </c>
      <c r="J608" s="2" t="s">
        <v>270</v>
      </c>
      <c r="K608" s="2" t="s">
        <v>674</v>
      </c>
      <c r="L608" s="2" t="s">
        <v>715</v>
      </c>
      <c r="M608" t="s">
        <v>272</v>
      </c>
      <c r="N608" t="s">
        <v>631</v>
      </c>
      <c r="O608" t="s">
        <v>631</v>
      </c>
      <c r="P608" t="s">
        <v>2940</v>
      </c>
      <c r="Q608" t="s">
        <v>2690</v>
      </c>
    </row>
    <row r="609" spans="1:17">
      <c r="A609" s="2" t="s">
        <v>444</v>
      </c>
      <c r="B609" s="2" t="s">
        <v>444</v>
      </c>
      <c r="C609" s="2" t="s">
        <v>2086</v>
      </c>
      <c r="D609" s="11">
        <v>45968.511805555558</v>
      </c>
      <c r="E609" s="11">
        <v>45968.511805555558</v>
      </c>
      <c r="F609" s="11">
        <v>45968.545138888891</v>
      </c>
      <c r="G609" s="12">
        <v>3.3333333332848269E-2</v>
      </c>
      <c r="H609" s="2" t="s">
        <v>268</v>
      </c>
      <c r="I609" s="2" t="s">
        <v>269</v>
      </c>
      <c r="J609" s="2" t="s">
        <v>270</v>
      </c>
      <c r="K609" s="2" t="s">
        <v>674</v>
      </c>
      <c r="L609" s="2" t="s">
        <v>715</v>
      </c>
      <c r="M609" t="s">
        <v>272</v>
      </c>
      <c r="N609" t="s">
        <v>631</v>
      </c>
      <c r="O609" t="s">
        <v>631</v>
      </c>
      <c r="P609" t="s">
        <v>2941</v>
      </c>
      <c r="Q609" t="s">
        <v>2690</v>
      </c>
    </row>
    <row r="610" spans="1:17">
      <c r="A610" s="2" t="s">
        <v>444</v>
      </c>
      <c r="B610" s="2" t="s">
        <v>444</v>
      </c>
      <c r="C610" s="2" t="s">
        <v>390</v>
      </c>
      <c r="D610" s="11">
        <v>45968.511805555558</v>
      </c>
      <c r="E610" s="11">
        <v>45968.511805555558</v>
      </c>
      <c r="F610" s="11">
        <v>45968.545138888891</v>
      </c>
      <c r="G610" s="12">
        <v>3.3333333332848269E-2</v>
      </c>
      <c r="H610" s="2" t="s">
        <v>268</v>
      </c>
      <c r="I610" s="2" t="s">
        <v>269</v>
      </c>
      <c r="J610" s="2" t="s">
        <v>270</v>
      </c>
      <c r="K610" s="2" t="s">
        <v>674</v>
      </c>
      <c r="L610" s="2" t="s">
        <v>715</v>
      </c>
      <c r="M610" t="s">
        <v>272</v>
      </c>
      <c r="N610" t="s">
        <v>631</v>
      </c>
      <c r="O610" t="s">
        <v>631</v>
      </c>
      <c r="P610" t="s">
        <v>2942</v>
      </c>
      <c r="Q610" t="s">
        <v>2690</v>
      </c>
    </row>
    <row r="611" spans="1:17">
      <c r="A611" s="2" t="s">
        <v>446</v>
      </c>
      <c r="B611" s="2" t="s">
        <v>446</v>
      </c>
      <c r="C611" s="2" t="s">
        <v>2087</v>
      </c>
      <c r="D611" s="11">
        <v>45968.511805555558</v>
      </c>
      <c r="E611" s="11">
        <v>45968.511805555558</v>
      </c>
      <c r="F611" s="11">
        <v>45968.545138888891</v>
      </c>
      <c r="G611" s="12">
        <v>3.3333333332848269E-2</v>
      </c>
      <c r="H611" s="2" t="s">
        <v>268</v>
      </c>
      <c r="I611" s="2" t="s">
        <v>269</v>
      </c>
      <c r="J611" s="2" t="s">
        <v>270</v>
      </c>
      <c r="K611" s="2" t="s">
        <v>674</v>
      </c>
      <c r="L611" s="2" t="s">
        <v>715</v>
      </c>
      <c r="M611" t="s">
        <v>272</v>
      </c>
      <c r="N611" t="s">
        <v>631</v>
      </c>
      <c r="O611" t="s">
        <v>631</v>
      </c>
      <c r="P611" t="s">
        <v>2943</v>
      </c>
      <c r="Q611" t="s">
        <v>2690</v>
      </c>
    </row>
    <row r="612" spans="1:17">
      <c r="A612" s="2" t="s">
        <v>446</v>
      </c>
      <c r="B612" s="2" t="s">
        <v>446</v>
      </c>
      <c r="C612" s="2" t="s">
        <v>2088</v>
      </c>
      <c r="D612" s="11">
        <v>45968.511805555558</v>
      </c>
      <c r="E612" s="11">
        <v>45968.511805555558</v>
      </c>
      <c r="F612" s="11">
        <v>45968.545138888891</v>
      </c>
      <c r="G612" s="12">
        <v>3.3333333332848269E-2</v>
      </c>
      <c r="H612" s="2" t="s">
        <v>268</v>
      </c>
      <c r="I612" s="2" t="s">
        <v>269</v>
      </c>
      <c r="J612" s="2" t="s">
        <v>270</v>
      </c>
      <c r="K612" s="2" t="s">
        <v>674</v>
      </c>
      <c r="L612" s="2" t="s">
        <v>715</v>
      </c>
      <c r="M612" t="s">
        <v>272</v>
      </c>
      <c r="N612" t="s">
        <v>631</v>
      </c>
      <c r="O612" t="s">
        <v>631</v>
      </c>
      <c r="P612" t="s">
        <v>2944</v>
      </c>
      <c r="Q612" t="s">
        <v>2690</v>
      </c>
    </row>
    <row r="613" spans="1:17">
      <c r="A613" s="2" t="s">
        <v>446</v>
      </c>
      <c r="B613" s="2" t="s">
        <v>446</v>
      </c>
      <c r="C613" s="2" t="s">
        <v>447</v>
      </c>
      <c r="D613" s="11">
        <v>45968.511805555558</v>
      </c>
      <c r="E613" s="11">
        <v>45968.511805555558</v>
      </c>
      <c r="F613" s="11">
        <v>45968.545138888891</v>
      </c>
      <c r="G613" s="12">
        <v>3.3333333332848269E-2</v>
      </c>
      <c r="H613" s="2" t="s">
        <v>268</v>
      </c>
      <c r="I613" s="2" t="s">
        <v>269</v>
      </c>
      <c r="J613" s="2" t="s">
        <v>270</v>
      </c>
      <c r="K613" s="2" t="s">
        <v>674</v>
      </c>
      <c r="L613" s="2" t="s">
        <v>715</v>
      </c>
      <c r="M613" t="s">
        <v>272</v>
      </c>
      <c r="N613" t="s">
        <v>631</v>
      </c>
      <c r="O613" t="s">
        <v>631</v>
      </c>
      <c r="P613" t="s">
        <v>2945</v>
      </c>
      <c r="Q613" t="s">
        <v>2690</v>
      </c>
    </row>
    <row r="614" spans="1:17">
      <c r="A614" s="2" t="s">
        <v>255</v>
      </c>
      <c r="B614" s="2" t="s">
        <v>255</v>
      </c>
      <c r="C614" s="2" t="s">
        <v>256</v>
      </c>
      <c r="D614" s="11">
        <v>45969.506944444445</v>
      </c>
      <c r="E614" s="11">
        <v>45969.506944444445</v>
      </c>
      <c r="F614" s="11">
        <v>45969.60833333333</v>
      </c>
      <c r="G614" s="12">
        <v>0.101388888884685</v>
      </c>
      <c r="H614" s="2" t="s">
        <v>677</v>
      </c>
      <c r="J614" s="2" t="s">
        <v>230</v>
      </c>
      <c r="K614" s="2" t="s">
        <v>230</v>
      </c>
      <c r="L614" s="2" t="s">
        <v>2946</v>
      </c>
      <c r="M614" t="s">
        <v>663</v>
      </c>
      <c r="N614" t="s">
        <v>672</v>
      </c>
      <c r="O614" t="s">
        <v>2947</v>
      </c>
      <c r="P614" t="s">
        <v>2948</v>
      </c>
      <c r="Q614" t="s">
        <v>2677</v>
      </c>
    </row>
    <row r="615" spans="1:17">
      <c r="A615" s="2" t="s">
        <v>255</v>
      </c>
      <c r="B615" s="2" t="s">
        <v>255</v>
      </c>
      <c r="C615" s="2" t="s">
        <v>263</v>
      </c>
      <c r="D615" s="11">
        <v>45969.506944444445</v>
      </c>
      <c r="E615" s="11">
        <v>45969.506944444445</v>
      </c>
      <c r="F615" s="11">
        <v>45969.60833333333</v>
      </c>
      <c r="G615" s="12">
        <v>0.101388888884685</v>
      </c>
      <c r="H615" s="2" t="s">
        <v>677</v>
      </c>
      <c r="J615" s="2" t="s">
        <v>230</v>
      </c>
      <c r="K615" s="2" t="s">
        <v>230</v>
      </c>
      <c r="L615" s="2" t="s">
        <v>2946</v>
      </c>
      <c r="M615" t="s">
        <v>663</v>
      </c>
      <c r="N615" t="s">
        <v>672</v>
      </c>
      <c r="O615" t="s">
        <v>2947</v>
      </c>
      <c r="P615" t="s">
        <v>2949</v>
      </c>
      <c r="Q615" t="s">
        <v>2677</v>
      </c>
    </row>
    <row r="616" spans="1:17">
      <c r="A616" s="2" t="s">
        <v>255</v>
      </c>
      <c r="B616" s="2" t="s">
        <v>255</v>
      </c>
      <c r="C616" s="2" t="s">
        <v>264</v>
      </c>
      <c r="D616" s="11">
        <v>45969.506944444445</v>
      </c>
      <c r="E616" s="11">
        <v>45969.506944444445</v>
      </c>
      <c r="F616" s="11">
        <v>45969.60833333333</v>
      </c>
      <c r="G616" s="12">
        <v>0.101388888884685</v>
      </c>
      <c r="H616" s="2" t="s">
        <v>677</v>
      </c>
      <c r="J616" s="2" t="s">
        <v>230</v>
      </c>
      <c r="K616" s="2" t="s">
        <v>230</v>
      </c>
      <c r="L616" s="2" t="s">
        <v>2946</v>
      </c>
      <c r="M616" t="s">
        <v>663</v>
      </c>
      <c r="N616" t="s">
        <v>672</v>
      </c>
      <c r="O616" t="s">
        <v>2947</v>
      </c>
      <c r="P616" t="s">
        <v>2950</v>
      </c>
      <c r="Q616" t="s">
        <v>2677</v>
      </c>
    </row>
    <row r="617" spans="1:17">
      <c r="A617" s="2" t="s">
        <v>255</v>
      </c>
      <c r="B617" s="2" t="s">
        <v>255</v>
      </c>
      <c r="C617" s="2" t="s">
        <v>247</v>
      </c>
      <c r="D617" s="11">
        <v>45969.506944444445</v>
      </c>
      <c r="E617" s="11">
        <v>45969.506944444445</v>
      </c>
      <c r="F617" s="11">
        <v>45969.60833333333</v>
      </c>
      <c r="G617" s="12">
        <v>0.101388888884685</v>
      </c>
      <c r="H617" s="2" t="s">
        <v>677</v>
      </c>
      <c r="J617" s="2" t="s">
        <v>230</v>
      </c>
      <c r="K617" s="2" t="s">
        <v>230</v>
      </c>
      <c r="L617" s="2" t="s">
        <v>2946</v>
      </c>
      <c r="M617" t="s">
        <v>663</v>
      </c>
      <c r="N617" t="s">
        <v>672</v>
      </c>
      <c r="O617" t="s">
        <v>2947</v>
      </c>
      <c r="P617" t="s">
        <v>2951</v>
      </c>
      <c r="Q617" t="s">
        <v>2677</v>
      </c>
    </row>
    <row r="618" spans="1:17">
      <c r="A618" s="2" t="s">
        <v>265</v>
      </c>
      <c r="B618" s="2" t="s">
        <v>265</v>
      </c>
      <c r="C618" s="2" t="s">
        <v>263</v>
      </c>
      <c r="D618" s="11">
        <v>45969.506944444445</v>
      </c>
      <c r="E618" s="11">
        <v>45969.506944444445</v>
      </c>
      <c r="F618" s="11">
        <v>45969.60833333333</v>
      </c>
      <c r="G618" s="12">
        <v>0.101388888884685</v>
      </c>
      <c r="H618" s="2" t="s">
        <v>677</v>
      </c>
      <c r="J618" s="2" t="s">
        <v>230</v>
      </c>
      <c r="K618" s="2" t="s">
        <v>230</v>
      </c>
      <c r="L618" s="2" t="s">
        <v>2946</v>
      </c>
      <c r="M618" t="s">
        <v>663</v>
      </c>
      <c r="N618" t="s">
        <v>672</v>
      </c>
      <c r="O618" t="s">
        <v>2947</v>
      </c>
      <c r="P618" t="s">
        <v>2952</v>
      </c>
      <c r="Q618" t="s">
        <v>2677</v>
      </c>
    </row>
    <row r="619" spans="1:17">
      <c r="A619" s="2" t="s">
        <v>265</v>
      </c>
      <c r="B619" s="2" t="s">
        <v>265</v>
      </c>
      <c r="C619" s="2" t="s">
        <v>264</v>
      </c>
      <c r="D619" s="11">
        <v>45969.506944444445</v>
      </c>
      <c r="E619" s="11">
        <v>45969.506944444445</v>
      </c>
      <c r="F619" s="11">
        <v>45969.60833333333</v>
      </c>
      <c r="G619" s="12">
        <v>0.101388888884685</v>
      </c>
      <c r="H619" s="2" t="s">
        <v>677</v>
      </c>
      <c r="J619" s="2" t="s">
        <v>230</v>
      </c>
      <c r="K619" s="2" t="s">
        <v>230</v>
      </c>
      <c r="L619" s="2" t="s">
        <v>2946</v>
      </c>
      <c r="M619" t="s">
        <v>663</v>
      </c>
      <c r="N619" t="s">
        <v>672</v>
      </c>
      <c r="O619" t="s">
        <v>2947</v>
      </c>
      <c r="P619" t="s">
        <v>2953</v>
      </c>
      <c r="Q619" t="s">
        <v>2677</v>
      </c>
    </row>
    <row r="620" spans="1:17">
      <c r="A620" s="2" t="s">
        <v>265</v>
      </c>
      <c r="B620" s="2" t="s">
        <v>265</v>
      </c>
      <c r="C620" s="2" t="s">
        <v>256</v>
      </c>
      <c r="D620" s="11">
        <v>45969.506944444445</v>
      </c>
      <c r="E620" s="11">
        <v>45969.506944444445</v>
      </c>
      <c r="F620" s="11">
        <v>45969.60833333333</v>
      </c>
      <c r="G620" s="12">
        <v>0.101388888884685</v>
      </c>
      <c r="H620" s="2" t="s">
        <v>677</v>
      </c>
      <c r="J620" s="2" t="s">
        <v>230</v>
      </c>
      <c r="K620" s="2" t="s">
        <v>230</v>
      </c>
      <c r="L620" s="2" t="s">
        <v>2946</v>
      </c>
      <c r="M620" t="s">
        <v>663</v>
      </c>
      <c r="N620" t="s">
        <v>672</v>
      </c>
      <c r="O620" t="s">
        <v>2947</v>
      </c>
      <c r="P620" t="s">
        <v>2954</v>
      </c>
      <c r="Q620" t="s">
        <v>2677</v>
      </c>
    </row>
    <row r="621" spans="1:17">
      <c r="A621" s="2" t="s">
        <v>265</v>
      </c>
      <c r="B621" s="2" t="s">
        <v>265</v>
      </c>
      <c r="C621" s="2" t="s">
        <v>247</v>
      </c>
      <c r="D621" s="11">
        <v>45969.506944444445</v>
      </c>
      <c r="E621" s="11">
        <v>45969.506944444445</v>
      </c>
      <c r="F621" s="11">
        <v>45969.60833333333</v>
      </c>
      <c r="G621" s="12">
        <v>0.101388888884685</v>
      </c>
      <c r="H621" s="2" t="s">
        <v>677</v>
      </c>
      <c r="J621" s="2" t="s">
        <v>230</v>
      </c>
      <c r="K621" s="2" t="s">
        <v>230</v>
      </c>
      <c r="L621" s="2" t="s">
        <v>2946</v>
      </c>
      <c r="M621" t="s">
        <v>663</v>
      </c>
      <c r="N621" t="s">
        <v>672</v>
      </c>
      <c r="O621" t="s">
        <v>2947</v>
      </c>
      <c r="P621" t="s">
        <v>2955</v>
      </c>
      <c r="Q621" t="s">
        <v>2677</v>
      </c>
    </row>
    <row r="622" spans="1:17">
      <c r="A622" s="2" t="s">
        <v>355</v>
      </c>
      <c r="B622" s="2" t="s">
        <v>355</v>
      </c>
      <c r="C622" s="2" t="s">
        <v>264</v>
      </c>
      <c r="D622" s="11">
        <v>45969.506944444445</v>
      </c>
      <c r="E622" s="11">
        <v>45969.506944444445</v>
      </c>
      <c r="F622" s="11">
        <v>45969.60833333333</v>
      </c>
      <c r="G622" s="12">
        <v>0.101388888884685</v>
      </c>
      <c r="H622" s="2" t="s">
        <v>677</v>
      </c>
      <c r="J622" s="2" t="s">
        <v>230</v>
      </c>
      <c r="K622" s="2" t="s">
        <v>230</v>
      </c>
      <c r="L622" s="2" t="s">
        <v>2946</v>
      </c>
      <c r="M622" t="s">
        <v>663</v>
      </c>
      <c r="N622" t="s">
        <v>672</v>
      </c>
      <c r="O622" t="s">
        <v>2947</v>
      </c>
      <c r="P622" t="s">
        <v>2956</v>
      </c>
      <c r="Q622" t="s">
        <v>2677</v>
      </c>
    </row>
    <row r="623" spans="1:17">
      <c r="A623" s="2" t="s">
        <v>355</v>
      </c>
      <c r="B623" s="2" t="s">
        <v>355</v>
      </c>
      <c r="C623" s="2" t="s">
        <v>256</v>
      </c>
      <c r="D623" s="11">
        <v>45969.506944444445</v>
      </c>
      <c r="E623" s="11">
        <v>45969.506944444445</v>
      </c>
      <c r="F623" s="11">
        <v>45969.60833333333</v>
      </c>
      <c r="G623" s="12">
        <v>0.101388888884685</v>
      </c>
      <c r="H623" s="2" t="s">
        <v>677</v>
      </c>
      <c r="J623" s="2" t="s">
        <v>230</v>
      </c>
      <c r="K623" s="2" t="s">
        <v>230</v>
      </c>
      <c r="L623" s="2" t="s">
        <v>2946</v>
      </c>
      <c r="M623" t="s">
        <v>663</v>
      </c>
      <c r="N623" t="s">
        <v>672</v>
      </c>
      <c r="O623" t="s">
        <v>2947</v>
      </c>
      <c r="P623" t="s">
        <v>2957</v>
      </c>
      <c r="Q623" t="s">
        <v>2677</v>
      </c>
    </row>
    <row r="624" spans="1:17">
      <c r="A624" s="2" t="s">
        <v>698</v>
      </c>
      <c r="B624" s="2" t="s">
        <v>698</v>
      </c>
      <c r="C624" s="2" t="s">
        <v>256</v>
      </c>
      <c r="D624" s="11">
        <v>45969.676388888889</v>
      </c>
      <c r="E624" s="11">
        <v>45969.676388888889</v>
      </c>
      <c r="F624" s="11">
        <v>45970.28125</v>
      </c>
      <c r="G624" s="12">
        <v>0.60486111111094942</v>
      </c>
      <c r="H624" s="2" t="s">
        <v>257</v>
      </c>
      <c r="J624" s="2" t="s">
        <v>258</v>
      </c>
      <c r="K624" s="2" t="s">
        <v>658</v>
      </c>
      <c r="L624" s="2" t="s">
        <v>2958</v>
      </c>
      <c r="M624" t="s">
        <v>2108</v>
      </c>
      <c r="N624" t="s">
        <v>357</v>
      </c>
      <c r="O624" t="s">
        <v>2111</v>
      </c>
      <c r="P624" t="s">
        <v>2959</v>
      </c>
      <c r="Q624" t="s">
        <v>2281</v>
      </c>
    </row>
    <row r="625" spans="1:17">
      <c r="A625" s="2" t="s">
        <v>698</v>
      </c>
      <c r="B625" s="2" t="s">
        <v>698</v>
      </c>
      <c r="C625" s="2" t="s">
        <v>264</v>
      </c>
      <c r="D625" s="11">
        <v>45969.676388888889</v>
      </c>
      <c r="E625" s="11">
        <v>45969.676388888889</v>
      </c>
      <c r="F625" s="11">
        <v>45970.28125</v>
      </c>
      <c r="G625" s="12">
        <v>0.60486111111094942</v>
      </c>
      <c r="H625" s="2" t="s">
        <v>257</v>
      </c>
      <c r="J625" s="2" t="s">
        <v>258</v>
      </c>
      <c r="K625" s="2" t="s">
        <v>658</v>
      </c>
      <c r="L625" s="2" t="s">
        <v>2958</v>
      </c>
      <c r="M625" t="s">
        <v>2108</v>
      </c>
      <c r="N625" t="s">
        <v>357</v>
      </c>
      <c r="O625" t="s">
        <v>2111</v>
      </c>
      <c r="P625" t="s">
        <v>2960</v>
      </c>
      <c r="Q625" t="s">
        <v>2281</v>
      </c>
    </row>
    <row r="626" spans="1:17">
      <c r="A626" s="2" t="s">
        <v>698</v>
      </c>
      <c r="B626" s="2" t="s">
        <v>698</v>
      </c>
      <c r="C626" s="2" t="s">
        <v>263</v>
      </c>
      <c r="D626" s="11">
        <v>45969.676388888889</v>
      </c>
      <c r="E626" s="11">
        <v>45969.676388888889</v>
      </c>
      <c r="F626" s="11">
        <v>45970.28125</v>
      </c>
      <c r="G626" s="12">
        <v>0.60486111111094942</v>
      </c>
      <c r="H626" s="2" t="s">
        <v>257</v>
      </c>
      <c r="J626" s="2" t="s">
        <v>258</v>
      </c>
      <c r="K626" s="2" t="s">
        <v>658</v>
      </c>
      <c r="L626" s="2" t="s">
        <v>2958</v>
      </c>
      <c r="M626" t="s">
        <v>2108</v>
      </c>
      <c r="N626" t="s">
        <v>357</v>
      </c>
      <c r="O626" t="s">
        <v>2111</v>
      </c>
      <c r="P626" t="s">
        <v>2961</v>
      </c>
      <c r="Q626" t="s">
        <v>2281</v>
      </c>
    </row>
    <row r="627" spans="1:17">
      <c r="A627" s="2" t="s">
        <v>698</v>
      </c>
      <c r="B627" s="2" t="s">
        <v>698</v>
      </c>
      <c r="C627" s="2" t="s">
        <v>307</v>
      </c>
      <c r="D627" s="11">
        <v>45969.676388888889</v>
      </c>
      <c r="E627" s="11">
        <v>45969.676388888889</v>
      </c>
      <c r="F627" s="11">
        <v>45970.28125</v>
      </c>
      <c r="G627" s="12">
        <v>0.60486111111094942</v>
      </c>
      <c r="H627" s="2" t="s">
        <v>257</v>
      </c>
      <c r="J627" s="2" t="s">
        <v>258</v>
      </c>
      <c r="K627" s="2" t="s">
        <v>658</v>
      </c>
      <c r="L627" s="2" t="s">
        <v>2958</v>
      </c>
      <c r="M627" t="s">
        <v>2108</v>
      </c>
      <c r="N627" t="s">
        <v>357</v>
      </c>
      <c r="O627" t="s">
        <v>2111</v>
      </c>
      <c r="P627" t="s">
        <v>2962</v>
      </c>
      <c r="Q627" t="s">
        <v>2281</v>
      </c>
    </row>
    <row r="628" spans="1:17">
      <c r="A628" s="2" t="s">
        <v>700</v>
      </c>
      <c r="B628" s="2" t="s">
        <v>700</v>
      </c>
      <c r="C628" s="2" t="s">
        <v>256</v>
      </c>
      <c r="D628" s="11">
        <v>45969.676388888889</v>
      </c>
      <c r="E628" s="11">
        <v>45969.676388888889</v>
      </c>
      <c r="F628" s="11">
        <v>45970.28125</v>
      </c>
      <c r="G628" s="12">
        <v>0.60486111111094942</v>
      </c>
      <c r="H628" s="2" t="s">
        <v>257</v>
      </c>
      <c r="J628" s="2" t="s">
        <v>258</v>
      </c>
      <c r="K628" s="2" t="s">
        <v>658</v>
      </c>
      <c r="L628" s="2" t="s">
        <v>2958</v>
      </c>
      <c r="M628" t="s">
        <v>2108</v>
      </c>
      <c r="N628" t="s">
        <v>357</v>
      </c>
      <c r="O628" t="s">
        <v>2111</v>
      </c>
      <c r="P628" t="s">
        <v>2963</v>
      </c>
      <c r="Q628" t="s">
        <v>2281</v>
      </c>
    </row>
    <row r="629" spans="1:17">
      <c r="A629" s="2" t="s">
        <v>700</v>
      </c>
      <c r="B629" s="2" t="s">
        <v>700</v>
      </c>
      <c r="C629" s="2" t="s">
        <v>264</v>
      </c>
      <c r="D629" s="11">
        <v>45969.676388888889</v>
      </c>
      <c r="E629" s="11">
        <v>45969.676388888889</v>
      </c>
      <c r="F629" s="11">
        <v>45970.28125</v>
      </c>
      <c r="G629" s="12">
        <v>0.60486111111094942</v>
      </c>
      <c r="H629" s="2" t="s">
        <v>257</v>
      </c>
      <c r="J629" s="2" t="s">
        <v>258</v>
      </c>
      <c r="K629" s="2" t="s">
        <v>658</v>
      </c>
      <c r="L629" s="2" t="s">
        <v>2958</v>
      </c>
      <c r="M629" t="s">
        <v>2108</v>
      </c>
      <c r="N629" t="s">
        <v>357</v>
      </c>
      <c r="O629" t="s">
        <v>2111</v>
      </c>
      <c r="P629" t="s">
        <v>2964</v>
      </c>
      <c r="Q629" t="s">
        <v>2281</v>
      </c>
    </row>
    <row r="630" spans="1:17">
      <c r="A630" s="2" t="s">
        <v>700</v>
      </c>
      <c r="B630" s="2" t="s">
        <v>700</v>
      </c>
      <c r="C630" s="2" t="s">
        <v>263</v>
      </c>
      <c r="D630" s="11">
        <v>45969.676388888889</v>
      </c>
      <c r="E630" s="11">
        <v>45969.676388888889</v>
      </c>
      <c r="F630" s="11">
        <v>45970.28125</v>
      </c>
      <c r="G630" s="12">
        <v>0.60486111111094942</v>
      </c>
      <c r="H630" s="2" t="s">
        <v>257</v>
      </c>
      <c r="J630" s="2" t="s">
        <v>258</v>
      </c>
      <c r="K630" s="2" t="s">
        <v>658</v>
      </c>
      <c r="L630" s="2" t="s">
        <v>2958</v>
      </c>
      <c r="M630" t="s">
        <v>2108</v>
      </c>
      <c r="N630" t="s">
        <v>357</v>
      </c>
      <c r="O630" t="s">
        <v>2111</v>
      </c>
      <c r="P630" t="s">
        <v>2965</v>
      </c>
      <c r="Q630" t="s">
        <v>2281</v>
      </c>
    </row>
    <row r="631" spans="1:17">
      <c r="A631" s="2" t="s">
        <v>700</v>
      </c>
      <c r="B631" s="2" t="s">
        <v>700</v>
      </c>
      <c r="C631" s="2" t="s">
        <v>307</v>
      </c>
      <c r="D631" s="11">
        <v>45969.676388888889</v>
      </c>
      <c r="E631" s="11">
        <v>45969.676388888889</v>
      </c>
      <c r="F631" s="11">
        <v>45970.28125</v>
      </c>
      <c r="G631" s="12">
        <v>0.60486111111094942</v>
      </c>
      <c r="H631" s="2" t="s">
        <v>257</v>
      </c>
      <c r="J631" s="2" t="s">
        <v>258</v>
      </c>
      <c r="K631" s="2" t="s">
        <v>658</v>
      </c>
      <c r="L631" s="2" t="s">
        <v>2958</v>
      </c>
      <c r="M631" t="s">
        <v>2108</v>
      </c>
      <c r="N631" t="s">
        <v>357</v>
      </c>
      <c r="O631" t="s">
        <v>2111</v>
      </c>
      <c r="P631" t="s">
        <v>2966</v>
      </c>
      <c r="Q631" t="s">
        <v>2281</v>
      </c>
    </row>
    <row r="632" spans="1:17">
      <c r="A632" s="2" t="s">
        <v>314</v>
      </c>
      <c r="B632" s="2" t="s">
        <v>314</v>
      </c>
      <c r="C632" s="2" t="s">
        <v>247</v>
      </c>
      <c r="D632" s="11">
        <v>45969.676388888889</v>
      </c>
      <c r="E632" s="11">
        <v>45969.676388888889</v>
      </c>
      <c r="F632" s="11">
        <v>45970.28125</v>
      </c>
      <c r="G632" s="12">
        <v>0.60486111111094942</v>
      </c>
      <c r="H632" s="2" t="s">
        <v>257</v>
      </c>
      <c r="J632" s="2" t="s">
        <v>258</v>
      </c>
      <c r="K632" s="2" t="s">
        <v>658</v>
      </c>
      <c r="L632" s="2" t="s">
        <v>2958</v>
      </c>
      <c r="M632" t="s">
        <v>2108</v>
      </c>
      <c r="N632" t="s">
        <v>357</v>
      </c>
      <c r="O632" t="s">
        <v>2111</v>
      </c>
      <c r="P632" t="s">
        <v>2967</v>
      </c>
      <c r="Q632" t="s">
        <v>2281</v>
      </c>
    </row>
    <row r="633" spans="1:17">
      <c r="A633" s="2" t="s">
        <v>314</v>
      </c>
      <c r="B633" s="2" t="s">
        <v>314</v>
      </c>
      <c r="C633" s="2" t="s">
        <v>264</v>
      </c>
      <c r="D633" s="11">
        <v>45969.676388888889</v>
      </c>
      <c r="E633" s="11">
        <v>45969.676388888889</v>
      </c>
      <c r="F633" s="11">
        <v>45970.28125</v>
      </c>
      <c r="G633" s="12">
        <v>0.60486111111094942</v>
      </c>
      <c r="H633" s="2" t="s">
        <v>257</v>
      </c>
      <c r="J633" s="2" t="s">
        <v>258</v>
      </c>
      <c r="K633" s="2" t="s">
        <v>658</v>
      </c>
      <c r="L633" s="2" t="s">
        <v>2958</v>
      </c>
      <c r="M633" t="s">
        <v>2108</v>
      </c>
      <c r="N633" t="s">
        <v>357</v>
      </c>
      <c r="O633" t="s">
        <v>2111</v>
      </c>
      <c r="P633" t="s">
        <v>2968</v>
      </c>
      <c r="Q633" t="s">
        <v>2281</v>
      </c>
    </row>
    <row r="634" spans="1:17">
      <c r="A634" s="2" t="s">
        <v>314</v>
      </c>
      <c r="B634" s="2" t="s">
        <v>314</v>
      </c>
      <c r="C634" s="2" t="s">
        <v>263</v>
      </c>
      <c r="D634" s="11">
        <v>45969.676388888889</v>
      </c>
      <c r="E634" s="11">
        <v>45969.676388888889</v>
      </c>
      <c r="F634" s="11">
        <v>45970.28125</v>
      </c>
      <c r="G634" s="12">
        <v>0.60486111111094942</v>
      </c>
      <c r="H634" s="2" t="s">
        <v>257</v>
      </c>
      <c r="J634" s="2" t="s">
        <v>258</v>
      </c>
      <c r="K634" s="2" t="s">
        <v>658</v>
      </c>
      <c r="L634" s="2" t="s">
        <v>2958</v>
      </c>
      <c r="M634" t="s">
        <v>2108</v>
      </c>
      <c r="N634" t="s">
        <v>357</v>
      </c>
      <c r="O634" t="s">
        <v>2111</v>
      </c>
      <c r="P634" t="s">
        <v>2969</v>
      </c>
      <c r="Q634" t="s">
        <v>2281</v>
      </c>
    </row>
    <row r="635" spans="1:17">
      <c r="A635" s="2" t="s">
        <v>314</v>
      </c>
      <c r="B635" s="2" t="s">
        <v>314</v>
      </c>
      <c r="C635" s="2" t="s">
        <v>307</v>
      </c>
      <c r="D635" s="11">
        <v>45969.676388888889</v>
      </c>
      <c r="E635" s="11">
        <v>45969.676388888889</v>
      </c>
      <c r="F635" s="11">
        <v>45970.28125</v>
      </c>
      <c r="G635" s="12">
        <v>0.60486111111094942</v>
      </c>
      <c r="H635" s="2" t="s">
        <v>257</v>
      </c>
      <c r="J635" s="2" t="s">
        <v>258</v>
      </c>
      <c r="K635" s="2" t="s">
        <v>658</v>
      </c>
      <c r="L635" s="2" t="s">
        <v>2958</v>
      </c>
      <c r="M635" t="s">
        <v>2108</v>
      </c>
      <c r="N635" t="s">
        <v>357</v>
      </c>
      <c r="O635" t="s">
        <v>2111</v>
      </c>
      <c r="P635" t="s">
        <v>2970</v>
      </c>
      <c r="Q635" t="s">
        <v>2281</v>
      </c>
    </row>
    <row r="636" spans="1:17">
      <c r="A636" s="2" t="s">
        <v>701</v>
      </c>
      <c r="B636" s="2" t="s">
        <v>701</v>
      </c>
      <c r="C636" s="2" t="s">
        <v>256</v>
      </c>
      <c r="D636" s="11">
        <v>45969.676388888889</v>
      </c>
      <c r="E636" s="11">
        <v>45969.676388888889</v>
      </c>
      <c r="F636" s="11">
        <v>45970.28125</v>
      </c>
      <c r="G636" s="12">
        <v>0.60486111111094942</v>
      </c>
      <c r="H636" s="2" t="s">
        <v>257</v>
      </c>
      <c r="J636" s="2" t="s">
        <v>258</v>
      </c>
      <c r="K636" s="2" t="s">
        <v>658</v>
      </c>
      <c r="L636" s="2" t="s">
        <v>2958</v>
      </c>
      <c r="M636" t="s">
        <v>2108</v>
      </c>
      <c r="N636" t="s">
        <v>357</v>
      </c>
      <c r="O636" t="s">
        <v>2111</v>
      </c>
      <c r="P636" t="s">
        <v>2971</v>
      </c>
      <c r="Q636" t="s">
        <v>2281</v>
      </c>
    </row>
    <row r="637" spans="1:17">
      <c r="A637" s="2" t="s">
        <v>701</v>
      </c>
      <c r="B637" s="2" t="s">
        <v>701</v>
      </c>
      <c r="C637" s="2" t="s">
        <v>264</v>
      </c>
      <c r="D637" s="11">
        <v>45969.676388888889</v>
      </c>
      <c r="E637" s="11">
        <v>45969.676388888889</v>
      </c>
      <c r="F637" s="11">
        <v>45970.28125</v>
      </c>
      <c r="G637" s="12">
        <v>0.60486111111094942</v>
      </c>
      <c r="H637" s="2" t="s">
        <v>257</v>
      </c>
      <c r="J637" s="2" t="s">
        <v>258</v>
      </c>
      <c r="K637" s="2" t="s">
        <v>658</v>
      </c>
      <c r="L637" s="2" t="s">
        <v>2958</v>
      </c>
      <c r="M637" t="s">
        <v>2108</v>
      </c>
      <c r="N637" t="s">
        <v>357</v>
      </c>
      <c r="O637" t="s">
        <v>2111</v>
      </c>
      <c r="P637" t="s">
        <v>2972</v>
      </c>
      <c r="Q637" t="s">
        <v>2281</v>
      </c>
    </row>
    <row r="638" spans="1:17">
      <c r="A638" s="2" t="s">
        <v>701</v>
      </c>
      <c r="B638" s="2" t="s">
        <v>701</v>
      </c>
      <c r="C638" s="2" t="s">
        <v>263</v>
      </c>
      <c r="D638" s="11">
        <v>45969.676388888889</v>
      </c>
      <c r="E638" s="11">
        <v>45969.676388888889</v>
      </c>
      <c r="F638" s="11">
        <v>45970.28125</v>
      </c>
      <c r="G638" s="12">
        <v>0.60486111111094942</v>
      </c>
      <c r="H638" s="2" t="s">
        <v>257</v>
      </c>
      <c r="J638" s="2" t="s">
        <v>258</v>
      </c>
      <c r="K638" s="2" t="s">
        <v>658</v>
      </c>
      <c r="L638" s="2" t="s">
        <v>2958</v>
      </c>
      <c r="M638" t="s">
        <v>2108</v>
      </c>
      <c r="N638" t="s">
        <v>357</v>
      </c>
      <c r="O638" t="s">
        <v>2111</v>
      </c>
      <c r="P638" t="s">
        <v>2973</v>
      </c>
      <c r="Q638" t="s">
        <v>2281</v>
      </c>
    </row>
    <row r="639" spans="1:17">
      <c r="A639" s="2" t="s">
        <v>701</v>
      </c>
      <c r="B639" s="2" t="s">
        <v>701</v>
      </c>
      <c r="C639" s="2" t="s">
        <v>307</v>
      </c>
      <c r="D639" s="11">
        <v>45969.676388888889</v>
      </c>
      <c r="E639" s="11">
        <v>45969.676388888889</v>
      </c>
      <c r="F639" s="11">
        <v>45970.28125</v>
      </c>
      <c r="G639" s="12">
        <v>0.60486111111094942</v>
      </c>
      <c r="H639" s="2" t="s">
        <v>257</v>
      </c>
      <c r="J639" s="2" t="s">
        <v>258</v>
      </c>
      <c r="K639" s="2" t="s">
        <v>658</v>
      </c>
      <c r="L639" s="2" t="s">
        <v>2958</v>
      </c>
      <c r="M639" t="s">
        <v>2108</v>
      </c>
      <c r="N639" t="s">
        <v>357</v>
      </c>
      <c r="O639" t="s">
        <v>2111</v>
      </c>
      <c r="P639" t="s">
        <v>2974</v>
      </c>
      <c r="Q639" t="s">
        <v>2281</v>
      </c>
    </row>
    <row r="640" spans="1:17">
      <c r="A640" s="2" t="s">
        <v>702</v>
      </c>
      <c r="B640" s="2" t="s">
        <v>702</v>
      </c>
      <c r="C640" s="2" t="s">
        <v>256</v>
      </c>
      <c r="D640" s="11">
        <v>45969.676388888889</v>
      </c>
      <c r="E640" s="11">
        <v>45969.676388888889</v>
      </c>
      <c r="F640" s="11">
        <v>45970.28125</v>
      </c>
      <c r="G640" s="12">
        <v>0.60486111111094942</v>
      </c>
      <c r="H640" s="2" t="s">
        <v>257</v>
      </c>
      <c r="J640" s="2" t="s">
        <v>258</v>
      </c>
      <c r="K640" s="2" t="s">
        <v>658</v>
      </c>
      <c r="L640" s="2" t="s">
        <v>2958</v>
      </c>
      <c r="M640" t="s">
        <v>2108</v>
      </c>
      <c r="N640" t="s">
        <v>357</v>
      </c>
      <c r="O640" t="s">
        <v>2111</v>
      </c>
      <c r="P640" t="s">
        <v>2975</v>
      </c>
      <c r="Q640" t="s">
        <v>2281</v>
      </c>
    </row>
    <row r="641" spans="1:17">
      <c r="A641" s="2" t="s">
        <v>702</v>
      </c>
      <c r="B641" s="2" t="s">
        <v>702</v>
      </c>
      <c r="C641" s="2" t="s">
        <v>264</v>
      </c>
      <c r="D641" s="11">
        <v>45969.676388888889</v>
      </c>
      <c r="E641" s="11">
        <v>45969.676388888889</v>
      </c>
      <c r="F641" s="11">
        <v>45970.28125</v>
      </c>
      <c r="G641" s="12">
        <v>0.60486111111094942</v>
      </c>
      <c r="H641" s="2" t="s">
        <v>257</v>
      </c>
      <c r="J641" s="2" t="s">
        <v>258</v>
      </c>
      <c r="K641" s="2" t="s">
        <v>658</v>
      </c>
      <c r="L641" s="2" t="s">
        <v>2958</v>
      </c>
      <c r="M641" t="s">
        <v>2108</v>
      </c>
      <c r="N641" t="s">
        <v>357</v>
      </c>
      <c r="O641" t="s">
        <v>2111</v>
      </c>
      <c r="P641" t="s">
        <v>2976</v>
      </c>
      <c r="Q641" t="s">
        <v>2281</v>
      </c>
    </row>
    <row r="642" spans="1:17">
      <c r="A642" s="2" t="s">
        <v>702</v>
      </c>
      <c r="B642" s="2" t="s">
        <v>702</v>
      </c>
      <c r="C642" s="2" t="s">
        <v>263</v>
      </c>
      <c r="D642" s="11">
        <v>45969.676388888889</v>
      </c>
      <c r="E642" s="11">
        <v>45969.676388888889</v>
      </c>
      <c r="F642" s="11">
        <v>45970.28125</v>
      </c>
      <c r="G642" s="12">
        <v>0.60486111111094942</v>
      </c>
      <c r="H642" s="2" t="s">
        <v>257</v>
      </c>
      <c r="J642" s="2" t="s">
        <v>258</v>
      </c>
      <c r="K642" s="2" t="s">
        <v>658</v>
      </c>
      <c r="L642" s="2" t="s">
        <v>2958</v>
      </c>
      <c r="M642" t="s">
        <v>2108</v>
      </c>
      <c r="N642" t="s">
        <v>357</v>
      </c>
      <c r="O642" t="s">
        <v>2111</v>
      </c>
      <c r="P642" t="s">
        <v>2977</v>
      </c>
      <c r="Q642" t="s">
        <v>2281</v>
      </c>
    </row>
    <row r="643" spans="1:17">
      <c r="A643" s="2" t="s">
        <v>702</v>
      </c>
      <c r="B643" s="2" t="s">
        <v>702</v>
      </c>
      <c r="C643" s="2" t="s">
        <v>247</v>
      </c>
      <c r="D643" s="11">
        <v>45969.676388888889</v>
      </c>
      <c r="E643" s="11">
        <v>45969.676388888889</v>
      </c>
      <c r="F643" s="11">
        <v>45970.28125</v>
      </c>
      <c r="G643" s="12">
        <v>0.60486111111094942</v>
      </c>
      <c r="H643" s="2" t="s">
        <v>257</v>
      </c>
      <c r="J643" s="2" t="s">
        <v>258</v>
      </c>
      <c r="K643" s="2" t="s">
        <v>658</v>
      </c>
      <c r="L643" s="2" t="s">
        <v>2958</v>
      </c>
      <c r="M643" t="s">
        <v>2108</v>
      </c>
      <c r="N643" t="s">
        <v>357</v>
      </c>
      <c r="O643" t="s">
        <v>2111</v>
      </c>
      <c r="P643" t="s">
        <v>2978</v>
      </c>
      <c r="Q643" t="s">
        <v>2281</v>
      </c>
    </row>
    <row r="644" spans="1:17">
      <c r="A644" s="2" t="s">
        <v>2123</v>
      </c>
      <c r="B644" s="2" t="s">
        <v>585</v>
      </c>
      <c r="C644" s="2" t="s">
        <v>602</v>
      </c>
      <c r="D644" s="11">
        <v>45969.725694444445</v>
      </c>
      <c r="E644" s="11">
        <v>45969.725694444445</v>
      </c>
      <c r="F644" s="11">
        <v>45970.260416666664</v>
      </c>
      <c r="G644" s="12">
        <v>0.53472222221898846</v>
      </c>
      <c r="H644" s="2" t="s">
        <v>257</v>
      </c>
      <c r="J644" s="2" t="s">
        <v>258</v>
      </c>
      <c r="K644" s="2" t="s">
        <v>658</v>
      </c>
      <c r="L644" s="2" t="s">
        <v>2286</v>
      </c>
      <c r="M644" t="s">
        <v>260</v>
      </c>
      <c r="N644" t="s">
        <v>357</v>
      </c>
      <c r="O644" t="s">
        <v>632</v>
      </c>
      <c r="P644" t="s">
        <v>2979</v>
      </c>
      <c r="Q644" t="s">
        <v>2281</v>
      </c>
    </row>
    <row r="645" spans="1:17">
      <c r="A645" s="2" t="s">
        <v>2125</v>
      </c>
      <c r="B645" s="2" t="s">
        <v>585</v>
      </c>
      <c r="C645" s="2" t="s">
        <v>595</v>
      </c>
      <c r="D645" s="11">
        <v>45969.725694444445</v>
      </c>
      <c r="E645" s="11">
        <v>45969.725694444445</v>
      </c>
      <c r="F645" s="11">
        <v>45970.260416666664</v>
      </c>
      <c r="G645" s="12">
        <v>0.53472222221898846</v>
      </c>
      <c r="H645" s="2" t="s">
        <v>257</v>
      </c>
      <c r="J645" s="2" t="s">
        <v>258</v>
      </c>
      <c r="K645" s="2" t="s">
        <v>658</v>
      </c>
      <c r="L645" s="2" t="s">
        <v>2286</v>
      </c>
      <c r="M645" t="s">
        <v>260</v>
      </c>
      <c r="N645" t="s">
        <v>357</v>
      </c>
      <c r="O645" t="s">
        <v>632</v>
      </c>
      <c r="P645" t="s">
        <v>2980</v>
      </c>
      <c r="Q645" t="s">
        <v>2281</v>
      </c>
    </row>
    <row r="646" spans="1:17">
      <c r="A646" s="2" t="s">
        <v>2125</v>
      </c>
      <c r="B646" s="2" t="s">
        <v>585</v>
      </c>
      <c r="C646" s="2" t="s">
        <v>592</v>
      </c>
      <c r="D646" s="11">
        <v>45969.725694444445</v>
      </c>
      <c r="E646" s="11">
        <v>45969.725694444445</v>
      </c>
      <c r="F646" s="11">
        <v>45970.260416666664</v>
      </c>
      <c r="G646" s="12">
        <v>0.53472222221898846</v>
      </c>
      <c r="H646" s="2" t="s">
        <v>257</v>
      </c>
      <c r="J646" s="2" t="s">
        <v>258</v>
      </c>
      <c r="K646" s="2" t="s">
        <v>658</v>
      </c>
      <c r="L646" s="2" t="s">
        <v>2286</v>
      </c>
      <c r="M646" t="s">
        <v>260</v>
      </c>
      <c r="N646" t="s">
        <v>357</v>
      </c>
      <c r="O646" t="s">
        <v>632</v>
      </c>
      <c r="P646" t="s">
        <v>2981</v>
      </c>
      <c r="Q646" t="s">
        <v>2281</v>
      </c>
    </row>
    <row r="647" spans="1:17">
      <c r="A647" s="2" t="s">
        <v>2125</v>
      </c>
      <c r="B647" s="2" t="s">
        <v>585</v>
      </c>
      <c r="C647" s="2" t="s">
        <v>589</v>
      </c>
      <c r="D647" s="11">
        <v>45969.725694444445</v>
      </c>
      <c r="E647" s="11">
        <v>45969.725694444445</v>
      </c>
      <c r="F647" s="11">
        <v>45970.260416666664</v>
      </c>
      <c r="G647" s="12">
        <v>0.53472222221898846</v>
      </c>
      <c r="H647" s="2" t="s">
        <v>257</v>
      </c>
      <c r="J647" s="2" t="s">
        <v>258</v>
      </c>
      <c r="K647" s="2" t="s">
        <v>658</v>
      </c>
      <c r="L647" s="2" t="s">
        <v>2286</v>
      </c>
      <c r="M647" t="s">
        <v>260</v>
      </c>
      <c r="N647" t="s">
        <v>357</v>
      </c>
      <c r="O647" t="s">
        <v>632</v>
      </c>
      <c r="P647" t="s">
        <v>2982</v>
      </c>
      <c r="Q647" t="s">
        <v>2281</v>
      </c>
    </row>
    <row r="648" spans="1:17">
      <c r="A648" s="2" t="s">
        <v>2125</v>
      </c>
      <c r="B648" s="2" t="s">
        <v>585</v>
      </c>
      <c r="C648" s="2" t="s">
        <v>593</v>
      </c>
      <c r="D648" s="11">
        <v>45969.725694444445</v>
      </c>
      <c r="E648" s="11">
        <v>45969.725694444445</v>
      </c>
      <c r="F648" s="11">
        <v>45970.260416666664</v>
      </c>
      <c r="G648" s="12">
        <v>0.53472222221898846</v>
      </c>
      <c r="H648" s="2" t="s">
        <v>257</v>
      </c>
      <c r="J648" s="2" t="s">
        <v>258</v>
      </c>
      <c r="K648" s="2" t="s">
        <v>658</v>
      </c>
      <c r="L648" s="2" t="s">
        <v>2286</v>
      </c>
      <c r="M648" t="s">
        <v>260</v>
      </c>
      <c r="N648" t="s">
        <v>357</v>
      </c>
      <c r="O648" t="s">
        <v>632</v>
      </c>
      <c r="P648" t="s">
        <v>2983</v>
      </c>
      <c r="Q648" t="s">
        <v>2281</v>
      </c>
    </row>
    <row r="649" spans="1:17">
      <c r="A649" s="2" t="s">
        <v>2125</v>
      </c>
      <c r="B649" s="2" t="s">
        <v>585</v>
      </c>
      <c r="C649" s="2" t="s">
        <v>591</v>
      </c>
      <c r="D649" s="11">
        <v>45969.725694444445</v>
      </c>
      <c r="E649" s="11">
        <v>45969.725694444445</v>
      </c>
      <c r="F649" s="11">
        <v>45970.260416666664</v>
      </c>
      <c r="G649" s="12">
        <v>0.53472222221898846</v>
      </c>
      <c r="H649" s="2" t="s">
        <v>257</v>
      </c>
      <c r="J649" s="2" t="s">
        <v>258</v>
      </c>
      <c r="K649" s="2" t="s">
        <v>658</v>
      </c>
      <c r="L649" s="2" t="s">
        <v>2286</v>
      </c>
      <c r="M649" t="s">
        <v>260</v>
      </c>
      <c r="N649" t="s">
        <v>357</v>
      </c>
      <c r="O649" t="s">
        <v>632</v>
      </c>
      <c r="P649" t="s">
        <v>2984</v>
      </c>
      <c r="Q649" t="s">
        <v>2281</v>
      </c>
    </row>
    <row r="650" spans="1:17">
      <c r="A650" s="2" t="s">
        <v>2125</v>
      </c>
      <c r="B650" s="2" t="s">
        <v>585</v>
      </c>
      <c r="C650" s="2" t="s">
        <v>2293</v>
      </c>
      <c r="D650" s="11">
        <v>45969.725694444445</v>
      </c>
      <c r="E650" s="11">
        <v>45969.725694444445</v>
      </c>
      <c r="F650" s="11">
        <v>45970.260416666664</v>
      </c>
      <c r="G650" s="12">
        <v>0.53472222221898846</v>
      </c>
      <c r="H650" s="2" t="s">
        <v>257</v>
      </c>
      <c r="J650" s="2" t="s">
        <v>258</v>
      </c>
      <c r="K650" s="2" t="s">
        <v>658</v>
      </c>
      <c r="L650" s="2" t="s">
        <v>2286</v>
      </c>
      <c r="M650" t="s">
        <v>260</v>
      </c>
      <c r="N650" t="s">
        <v>357</v>
      </c>
      <c r="O650" t="s">
        <v>632</v>
      </c>
      <c r="P650" t="s">
        <v>2985</v>
      </c>
      <c r="Q650" t="s">
        <v>2281</v>
      </c>
    </row>
    <row r="651" spans="1:17">
      <c r="A651" s="2" t="s">
        <v>2134</v>
      </c>
      <c r="B651" s="2" t="s">
        <v>585</v>
      </c>
      <c r="C651" s="2" t="s">
        <v>590</v>
      </c>
      <c r="D651" s="11">
        <v>45969.725694444445</v>
      </c>
      <c r="E651" s="11">
        <v>45969.725694444445</v>
      </c>
      <c r="F651" s="11">
        <v>45970.260416666664</v>
      </c>
      <c r="G651" s="12">
        <v>0.53472222221898846</v>
      </c>
      <c r="H651" s="2" t="s">
        <v>257</v>
      </c>
      <c r="J651" s="2" t="s">
        <v>258</v>
      </c>
      <c r="K651" s="2" t="s">
        <v>658</v>
      </c>
      <c r="L651" s="2" t="s">
        <v>2286</v>
      </c>
      <c r="M651" t="s">
        <v>260</v>
      </c>
      <c r="N651" t="s">
        <v>357</v>
      </c>
      <c r="O651" t="s">
        <v>632</v>
      </c>
      <c r="P651" t="s">
        <v>2986</v>
      </c>
      <c r="Q651" t="s">
        <v>2281</v>
      </c>
    </row>
    <row r="652" spans="1:17">
      <c r="A652" s="2" t="s">
        <v>2134</v>
      </c>
      <c r="B652" s="2" t="s">
        <v>585</v>
      </c>
      <c r="C652" s="2" t="s">
        <v>2091</v>
      </c>
      <c r="D652" s="11">
        <v>45969.725694444445</v>
      </c>
      <c r="E652" s="11">
        <v>45969.725694444445</v>
      </c>
      <c r="F652" s="11">
        <v>45970.260416666664</v>
      </c>
      <c r="G652" s="12">
        <v>0.53472222221898846</v>
      </c>
      <c r="H652" s="2" t="s">
        <v>257</v>
      </c>
      <c r="J652" s="2" t="s">
        <v>258</v>
      </c>
      <c r="K652" s="2" t="s">
        <v>658</v>
      </c>
      <c r="L652" s="2" t="s">
        <v>2286</v>
      </c>
      <c r="M652" t="s">
        <v>260</v>
      </c>
      <c r="N652" t="s">
        <v>357</v>
      </c>
      <c r="O652" t="s">
        <v>632</v>
      </c>
      <c r="P652" t="s">
        <v>2987</v>
      </c>
      <c r="Q652" t="s">
        <v>2281</v>
      </c>
    </row>
    <row r="653" spans="1:17">
      <c r="A653" s="2" t="s">
        <v>2134</v>
      </c>
      <c r="B653" s="2" t="s">
        <v>585</v>
      </c>
      <c r="C653" s="2" t="s">
        <v>586</v>
      </c>
      <c r="D653" s="11">
        <v>45969.725694444445</v>
      </c>
      <c r="E653" s="11">
        <v>45969.725694444445</v>
      </c>
      <c r="F653" s="11">
        <v>45970.260416666664</v>
      </c>
      <c r="G653" s="12">
        <v>0.53472222221898846</v>
      </c>
      <c r="H653" s="2" t="s">
        <v>257</v>
      </c>
      <c r="J653" s="2" t="s">
        <v>258</v>
      </c>
      <c r="K653" s="2" t="s">
        <v>658</v>
      </c>
      <c r="L653" s="2" t="s">
        <v>2286</v>
      </c>
      <c r="M653" t="s">
        <v>260</v>
      </c>
      <c r="N653" t="s">
        <v>357</v>
      </c>
      <c r="O653" t="s">
        <v>632</v>
      </c>
      <c r="P653" t="s">
        <v>2988</v>
      </c>
      <c r="Q653" t="s">
        <v>2281</v>
      </c>
    </row>
    <row r="654" spans="1:17">
      <c r="A654" s="2" t="s">
        <v>2134</v>
      </c>
      <c r="B654" s="2" t="s">
        <v>585</v>
      </c>
      <c r="C654" s="2" t="s">
        <v>598</v>
      </c>
      <c r="D654" s="11">
        <v>45969.725694444445</v>
      </c>
      <c r="E654" s="11">
        <v>45969.725694444445</v>
      </c>
      <c r="F654" s="11">
        <v>45970.260416666664</v>
      </c>
      <c r="G654" s="12">
        <v>0.53472222221898846</v>
      </c>
      <c r="H654" s="2" t="s">
        <v>257</v>
      </c>
      <c r="J654" s="2" t="s">
        <v>258</v>
      </c>
      <c r="K654" s="2" t="s">
        <v>658</v>
      </c>
      <c r="L654" s="2" t="s">
        <v>2286</v>
      </c>
      <c r="M654" t="s">
        <v>260</v>
      </c>
      <c r="N654" t="s">
        <v>357</v>
      </c>
      <c r="O654" t="s">
        <v>632</v>
      </c>
      <c r="P654" t="s">
        <v>2989</v>
      </c>
      <c r="Q654" t="s">
        <v>2281</v>
      </c>
    </row>
    <row r="655" spans="1:17">
      <c r="A655" s="2" t="s">
        <v>2134</v>
      </c>
      <c r="B655" s="2" t="s">
        <v>585</v>
      </c>
      <c r="C655" s="2" t="s">
        <v>600</v>
      </c>
      <c r="D655" s="11">
        <v>45969.725694444445</v>
      </c>
      <c r="E655" s="11">
        <v>45969.725694444445</v>
      </c>
      <c r="F655" s="11">
        <v>45970.260416666664</v>
      </c>
      <c r="G655" s="12">
        <v>0.53472222221898846</v>
      </c>
      <c r="H655" s="2" t="s">
        <v>257</v>
      </c>
      <c r="J655" s="2" t="s">
        <v>258</v>
      </c>
      <c r="K655" s="2" t="s">
        <v>658</v>
      </c>
      <c r="L655" s="2" t="s">
        <v>2286</v>
      </c>
      <c r="M655" t="s">
        <v>260</v>
      </c>
      <c r="N655" t="s">
        <v>357</v>
      </c>
      <c r="O655" t="s">
        <v>632</v>
      </c>
      <c r="P655" t="s">
        <v>2990</v>
      </c>
      <c r="Q655" t="s">
        <v>2281</v>
      </c>
    </row>
    <row r="656" spans="1:17">
      <c r="A656" s="2" t="s">
        <v>2134</v>
      </c>
      <c r="B656" s="2" t="s">
        <v>585</v>
      </c>
      <c r="C656" s="2" t="s">
        <v>596</v>
      </c>
      <c r="D656" s="11">
        <v>45969.725694444445</v>
      </c>
      <c r="E656" s="11">
        <v>45969.725694444445</v>
      </c>
      <c r="F656" s="11">
        <v>45970.260416666664</v>
      </c>
      <c r="G656" s="12">
        <v>0.53472222221898846</v>
      </c>
      <c r="H656" s="2" t="s">
        <v>257</v>
      </c>
      <c r="J656" s="2" t="s">
        <v>258</v>
      </c>
      <c r="K656" s="2" t="s">
        <v>658</v>
      </c>
      <c r="L656" s="2" t="s">
        <v>2286</v>
      </c>
      <c r="M656" t="s">
        <v>260</v>
      </c>
      <c r="N656" t="s">
        <v>357</v>
      </c>
      <c r="O656" t="s">
        <v>632</v>
      </c>
      <c r="P656" t="s">
        <v>2991</v>
      </c>
      <c r="Q656" t="s">
        <v>2281</v>
      </c>
    </row>
    <row r="657" spans="1:17">
      <c r="A657" s="2" t="s">
        <v>2134</v>
      </c>
      <c r="B657" s="2" t="s">
        <v>585</v>
      </c>
      <c r="C657" s="2" t="s">
        <v>599</v>
      </c>
      <c r="D657" s="11">
        <v>45969.725694444445</v>
      </c>
      <c r="E657" s="11">
        <v>45969.725694444445</v>
      </c>
      <c r="F657" s="11">
        <v>45970.260416666664</v>
      </c>
      <c r="G657" s="12">
        <v>0.53472222221898846</v>
      </c>
      <c r="H657" s="2" t="s">
        <v>257</v>
      </c>
      <c r="J657" s="2" t="s">
        <v>258</v>
      </c>
      <c r="K657" s="2" t="s">
        <v>658</v>
      </c>
      <c r="L657" s="2" t="s">
        <v>2286</v>
      </c>
      <c r="M657" t="s">
        <v>260</v>
      </c>
      <c r="N657" t="s">
        <v>357</v>
      </c>
      <c r="O657" t="s">
        <v>632</v>
      </c>
      <c r="P657" t="s">
        <v>2992</v>
      </c>
      <c r="Q657" t="s">
        <v>2281</v>
      </c>
    </row>
    <row r="658" spans="1:17">
      <c r="A658" s="2" t="s">
        <v>2134</v>
      </c>
      <c r="B658" s="2" t="s">
        <v>585</v>
      </c>
      <c r="C658" s="2" t="s">
        <v>603</v>
      </c>
      <c r="D658" s="11">
        <v>45969.725694444445</v>
      </c>
      <c r="E658" s="11">
        <v>45969.725694444445</v>
      </c>
      <c r="F658" s="11">
        <v>45970.260416666664</v>
      </c>
      <c r="G658" s="12">
        <v>0.53472222221898846</v>
      </c>
      <c r="H658" s="2" t="s">
        <v>257</v>
      </c>
      <c r="J658" s="2" t="s">
        <v>258</v>
      </c>
      <c r="K658" s="2" t="s">
        <v>658</v>
      </c>
      <c r="L658" s="2" t="s">
        <v>2286</v>
      </c>
      <c r="M658" t="s">
        <v>260</v>
      </c>
      <c r="N658" t="s">
        <v>357</v>
      </c>
      <c r="O658" t="s">
        <v>632</v>
      </c>
      <c r="P658" t="s">
        <v>2993</v>
      </c>
      <c r="Q658" t="s">
        <v>2281</v>
      </c>
    </row>
    <row r="659" spans="1:17">
      <c r="A659" s="2" t="s">
        <v>2134</v>
      </c>
      <c r="B659" s="2" t="s">
        <v>585</v>
      </c>
      <c r="C659" s="2" t="s">
        <v>588</v>
      </c>
      <c r="D659" s="11">
        <v>45969.725694444445</v>
      </c>
      <c r="E659" s="11">
        <v>45969.725694444445</v>
      </c>
      <c r="F659" s="11">
        <v>45970.260416666664</v>
      </c>
      <c r="G659" s="12">
        <v>0.53472222221898846</v>
      </c>
      <c r="H659" s="2" t="s">
        <v>257</v>
      </c>
      <c r="J659" s="2" t="s">
        <v>258</v>
      </c>
      <c r="K659" s="2" t="s">
        <v>658</v>
      </c>
      <c r="L659" s="2" t="s">
        <v>2286</v>
      </c>
      <c r="M659" t="s">
        <v>260</v>
      </c>
      <c r="N659" t="s">
        <v>357</v>
      </c>
      <c r="O659" t="s">
        <v>632</v>
      </c>
      <c r="P659" t="s">
        <v>2994</v>
      </c>
      <c r="Q659" t="s">
        <v>2281</v>
      </c>
    </row>
    <row r="660" spans="1:17">
      <c r="A660" s="2" t="s">
        <v>2134</v>
      </c>
      <c r="B660" s="2" t="s">
        <v>585</v>
      </c>
      <c r="C660" s="2" t="s">
        <v>594</v>
      </c>
      <c r="D660" s="11">
        <v>45969.725694444445</v>
      </c>
      <c r="E660" s="11">
        <v>45969.725694444445</v>
      </c>
      <c r="F660" s="11">
        <v>45970.260416666664</v>
      </c>
      <c r="G660" s="12">
        <v>0.53472222221898846</v>
      </c>
      <c r="H660" s="2" t="s">
        <v>257</v>
      </c>
      <c r="J660" s="2" t="s">
        <v>258</v>
      </c>
      <c r="K660" s="2" t="s">
        <v>658</v>
      </c>
      <c r="L660" s="2" t="s">
        <v>2286</v>
      </c>
      <c r="M660" t="s">
        <v>260</v>
      </c>
      <c r="N660" t="s">
        <v>357</v>
      </c>
      <c r="O660" t="s">
        <v>632</v>
      </c>
      <c r="P660" t="s">
        <v>2995</v>
      </c>
      <c r="Q660" t="s">
        <v>2281</v>
      </c>
    </row>
    <row r="661" spans="1:17">
      <c r="A661" s="2" t="s">
        <v>725</v>
      </c>
      <c r="B661" s="2" t="s">
        <v>725</v>
      </c>
      <c r="C661" s="2" t="s">
        <v>263</v>
      </c>
      <c r="D661" s="11">
        <v>45970.25</v>
      </c>
      <c r="E661" s="11">
        <v>45970.25</v>
      </c>
      <c r="F661" s="11">
        <v>45970.375</v>
      </c>
      <c r="G661" s="12">
        <v>0.125</v>
      </c>
      <c r="H661" s="2" t="s">
        <v>268</v>
      </c>
      <c r="I661" s="2" t="s">
        <v>269</v>
      </c>
      <c r="J661" s="2" t="s">
        <v>319</v>
      </c>
      <c r="K661" s="2" t="s">
        <v>652</v>
      </c>
      <c r="L661" s="2" t="s">
        <v>2109</v>
      </c>
      <c r="M661" t="s">
        <v>289</v>
      </c>
      <c r="N661" t="s">
        <v>253</v>
      </c>
      <c r="O661" t="s">
        <v>2996</v>
      </c>
      <c r="P661" t="s">
        <v>2997</v>
      </c>
      <c r="Q661" t="s">
        <v>2713</v>
      </c>
    </row>
    <row r="662" spans="1:17">
      <c r="A662" s="2" t="s">
        <v>725</v>
      </c>
      <c r="B662" s="2" t="s">
        <v>725</v>
      </c>
      <c r="C662" s="2" t="s">
        <v>307</v>
      </c>
      <c r="D662" s="11">
        <v>45970.25</v>
      </c>
      <c r="E662" s="11">
        <v>45970.25</v>
      </c>
      <c r="F662" s="11">
        <v>45970.375</v>
      </c>
      <c r="G662" s="12">
        <v>0.125</v>
      </c>
      <c r="H662" s="2" t="s">
        <v>268</v>
      </c>
      <c r="I662" s="2" t="s">
        <v>269</v>
      </c>
      <c r="J662" s="2" t="s">
        <v>319</v>
      </c>
      <c r="K662" s="2" t="s">
        <v>652</v>
      </c>
      <c r="L662" s="2" t="s">
        <v>2109</v>
      </c>
      <c r="M662" t="s">
        <v>289</v>
      </c>
      <c r="N662" t="s">
        <v>253</v>
      </c>
      <c r="O662" t="s">
        <v>2996</v>
      </c>
      <c r="P662" t="s">
        <v>2998</v>
      </c>
      <c r="Q662" t="s">
        <v>2713</v>
      </c>
    </row>
    <row r="663" spans="1:17">
      <c r="A663" s="2" t="s">
        <v>725</v>
      </c>
      <c r="B663" s="2" t="s">
        <v>725</v>
      </c>
      <c r="C663" s="2" t="s">
        <v>390</v>
      </c>
      <c r="D663" s="11">
        <v>45970.25</v>
      </c>
      <c r="E663" s="11">
        <v>45970.25</v>
      </c>
      <c r="F663" s="11">
        <v>45970.375</v>
      </c>
      <c r="G663" s="12">
        <v>0.125</v>
      </c>
      <c r="H663" s="2" t="s">
        <v>268</v>
      </c>
      <c r="I663" s="2" t="s">
        <v>269</v>
      </c>
      <c r="J663" s="2" t="s">
        <v>319</v>
      </c>
      <c r="K663" s="2" t="s">
        <v>652</v>
      </c>
      <c r="L663" s="2" t="s">
        <v>2109</v>
      </c>
      <c r="M663" t="s">
        <v>289</v>
      </c>
      <c r="N663" t="s">
        <v>253</v>
      </c>
      <c r="O663" t="s">
        <v>2996</v>
      </c>
      <c r="P663" t="s">
        <v>2999</v>
      </c>
      <c r="Q663" t="s">
        <v>2713</v>
      </c>
    </row>
    <row r="664" spans="1:17">
      <c r="A664" s="2" t="s">
        <v>725</v>
      </c>
      <c r="B664" s="2" t="s">
        <v>725</v>
      </c>
      <c r="C664" s="2" t="s">
        <v>726</v>
      </c>
      <c r="D664" s="11">
        <v>45970.25</v>
      </c>
      <c r="E664" s="11">
        <v>45970.25</v>
      </c>
      <c r="F664" s="11">
        <v>45970.375</v>
      </c>
      <c r="G664" s="12">
        <v>0.125</v>
      </c>
      <c r="H664" s="2" t="s">
        <v>268</v>
      </c>
      <c r="I664" s="2" t="s">
        <v>269</v>
      </c>
      <c r="J664" s="2" t="s">
        <v>319</v>
      </c>
      <c r="K664" s="2" t="s">
        <v>652</v>
      </c>
      <c r="L664" s="2" t="s">
        <v>2109</v>
      </c>
      <c r="M664" t="s">
        <v>289</v>
      </c>
      <c r="N664" t="s">
        <v>253</v>
      </c>
      <c r="O664" t="s">
        <v>2996</v>
      </c>
      <c r="P664" t="s">
        <v>3000</v>
      </c>
      <c r="Q664" t="s">
        <v>2713</v>
      </c>
    </row>
    <row r="665" spans="1:17">
      <c r="A665" s="2" t="s">
        <v>725</v>
      </c>
      <c r="B665" s="2" t="s">
        <v>725</v>
      </c>
      <c r="C665" s="2" t="s">
        <v>727</v>
      </c>
      <c r="D665" s="11">
        <v>45970.25</v>
      </c>
      <c r="E665" s="11">
        <v>45970.25</v>
      </c>
      <c r="F665" s="11">
        <v>45970.375</v>
      </c>
      <c r="G665" s="12">
        <v>0.125</v>
      </c>
      <c r="H665" s="2" t="s">
        <v>268</v>
      </c>
      <c r="I665" s="2" t="s">
        <v>269</v>
      </c>
      <c r="J665" s="2" t="s">
        <v>319</v>
      </c>
      <c r="K665" s="2" t="s">
        <v>652</v>
      </c>
      <c r="L665" s="2" t="s">
        <v>2109</v>
      </c>
      <c r="M665" t="s">
        <v>289</v>
      </c>
      <c r="N665" t="s">
        <v>253</v>
      </c>
      <c r="O665" t="s">
        <v>2996</v>
      </c>
      <c r="P665" t="s">
        <v>3001</v>
      </c>
      <c r="Q665" t="s">
        <v>2713</v>
      </c>
    </row>
    <row r="666" spans="1:17">
      <c r="A666" s="2" t="s">
        <v>805</v>
      </c>
      <c r="B666" s="2" t="s">
        <v>805</v>
      </c>
      <c r="C666" s="2" t="s">
        <v>264</v>
      </c>
      <c r="D666" s="11">
        <v>45970.253472222219</v>
      </c>
      <c r="E666" s="11">
        <v>45970.253472222219</v>
      </c>
      <c r="F666" s="11">
        <v>45971.559027777781</v>
      </c>
      <c r="G666" s="12">
        <v>1.3055555555620231</v>
      </c>
      <c r="H666" s="2" t="s">
        <v>257</v>
      </c>
      <c r="J666" s="2" t="s">
        <v>230</v>
      </c>
      <c r="K666" s="2" t="s">
        <v>230</v>
      </c>
      <c r="L666" s="2" t="s">
        <v>3002</v>
      </c>
      <c r="M666" t="s">
        <v>663</v>
      </c>
      <c r="N666" t="s">
        <v>364</v>
      </c>
      <c r="O666" t="s">
        <v>3003</v>
      </c>
      <c r="P666" t="s">
        <v>3004</v>
      </c>
      <c r="Q666" t="s">
        <v>3005</v>
      </c>
    </row>
    <row r="667" spans="1:17">
      <c r="A667" s="2" t="s">
        <v>805</v>
      </c>
      <c r="B667" s="2" t="s">
        <v>805</v>
      </c>
      <c r="C667" s="2" t="s">
        <v>256</v>
      </c>
      <c r="D667" s="11">
        <v>45970.253472222219</v>
      </c>
      <c r="E667" s="11">
        <v>45970.253472222219</v>
      </c>
      <c r="F667" s="11">
        <v>45971.559027777781</v>
      </c>
      <c r="G667" s="12">
        <v>1.3055555555620231</v>
      </c>
      <c r="H667" s="2" t="s">
        <v>257</v>
      </c>
      <c r="J667" s="2" t="s">
        <v>230</v>
      </c>
      <c r="K667" s="2" t="s">
        <v>230</v>
      </c>
      <c r="L667" s="2" t="s">
        <v>3002</v>
      </c>
      <c r="M667" t="s">
        <v>663</v>
      </c>
      <c r="N667" t="s">
        <v>364</v>
      </c>
      <c r="O667" t="s">
        <v>3003</v>
      </c>
      <c r="P667" t="s">
        <v>3006</v>
      </c>
      <c r="Q667" t="s">
        <v>3005</v>
      </c>
    </row>
    <row r="668" spans="1:17">
      <c r="A668" s="2" t="s">
        <v>805</v>
      </c>
      <c r="B668" s="2" t="s">
        <v>805</v>
      </c>
      <c r="C668" s="2" t="s">
        <v>307</v>
      </c>
      <c r="D668" s="11">
        <v>45970.253472222219</v>
      </c>
      <c r="E668" s="11">
        <v>45970.253472222219</v>
      </c>
      <c r="F668" s="11">
        <v>45971.559027777781</v>
      </c>
      <c r="G668" s="12">
        <v>1.3055555555620231</v>
      </c>
      <c r="H668" s="2" t="s">
        <v>257</v>
      </c>
      <c r="J668" s="2" t="s">
        <v>230</v>
      </c>
      <c r="K668" s="2" t="s">
        <v>230</v>
      </c>
      <c r="L668" s="2" t="s">
        <v>3002</v>
      </c>
      <c r="M668" t="s">
        <v>663</v>
      </c>
      <c r="N668" t="s">
        <v>364</v>
      </c>
      <c r="O668" t="s">
        <v>3003</v>
      </c>
      <c r="P668" t="s">
        <v>3007</v>
      </c>
      <c r="Q668" t="s">
        <v>3005</v>
      </c>
    </row>
    <row r="669" spans="1:17">
      <c r="A669" s="2" t="s">
        <v>805</v>
      </c>
      <c r="B669" s="2" t="s">
        <v>805</v>
      </c>
      <c r="C669" s="2" t="s">
        <v>263</v>
      </c>
      <c r="D669" s="11">
        <v>45970.253472222219</v>
      </c>
      <c r="E669" s="11">
        <v>45970.253472222219</v>
      </c>
      <c r="F669" s="11">
        <v>45971.559027777781</v>
      </c>
      <c r="G669" s="12">
        <v>1.3055555555620231</v>
      </c>
      <c r="H669" s="2" t="s">
        <v>257</v>
      </c>
      <c r="J669" s="2" t="s">
        <v>230</v>
      </c>
      <c r="K669" s="2" t="s">
        <v>230</v>
      </c>
      <c r="L669" s="2" t="s">
        <v>3002</v>
      </c>
      <c r="M669" t="s">
        <v>663</v>
      </c>
      <c r="N669" t="s">
        <v>364</v>
      </c>
      <c r="O669" t="s">
        <v>3003</v>
      </c>
      <c r="P669" t="s">
        <v>3008</v>
      </c>
      <c r="Q669" t="s">
        <v>3005</v>
      </c>
    </row>
    <row r="670" spans="1:17">
      <c r="A670" s="2" t="s">
        <v>2441</v>
      </c>
      <c r="B670" s="2" t="s">
        <v>642</v>
      </c>
      <c r="C670" s="2" t="s">
        <v>643</v>
      </c>
      <c r="D670" s="11">
        <v>45970.694444444445</v>
      </c>
      <c r="E670" s="11">
        <v>45970.694444444445</v>
      </c>
      <c r="F670" s="11">
        <v>45970.72152777778</v>
      </c>
      <c r="G670" s="12">
        <v>2.7083333334303461E-2</v>
      </c>
      <c r="H670" s="2" t="s">
        <v>268</v>
      </c>
      <c r="I670" s="2" t="s">
        <v>269</v>
      </c>
      <c r="J670" s="2" t="s">
        <v>319</v>
      </c>
      <c r="K670" s="2" t="s">
        <v>652</v>
      </c>
      <c r="L670" s="2" t="s">
        <v>3009</v>
      </c>
      <c r="M670" t="s">
        <v>289</v>
      </c>
      <c r="N670" t="s">
        <v>253</v>
      </c>
      <c r="O670" t="s">
        <v>3010</v>
      </c>
      <c r="P670" t="s">
        <v>3011</v>
      </c>
      <c r="Q670" t="s">
        <v>2713</v>
      </c>
    </row>
    <row r="671" spans="1:17">
      <c r="A671" s="2" t="s">
        <v>2441</v>
      </c>
      <c r="B671" s="2" t="s">
        <v>642</v>
      </c>
      <c r="C671" s="2" t="s">
        <v>646</v>
      </c>
      <c r="D671" s="11">
        <v>45970.694444444445</v>
      </c>
      <c r="E671" s="11">
        <v>45970.694444444445</v>
      </c>
      <c r="F671" s="11">
        <v>45970.72152777778</v>
      </c>
      <c r="G671" s="12">
        <v>2.7083333334303461E-2</v>
      </c>
      <c r="H671" s="2" t="s">
        <v>268</v>
      </c>
      <c r="I671" s="2" t="s">
        <v>269</v>
      </c>
      <c r="J671" s="2" t="s">
        <v>319</v>
      </c>
      <c r="K671" s="2" t="s">
        <v>652</v>
      </c>
      <c r="L671" s="2" t="s">
        <v>3009</v>
      </c>
      <c r="M671" t="s">
        <v>289</v>
      </c>
      <c r="N671" t="s">
        <v>253</v>
      </c>
      <c r="O671" t="s">
        <v>3010</v>
      </c>
      <c r="P671" t="s">
        <v>3012</v>
      </c>
      <c r="Q671" t="s">
        <v>2713</v>
      </c>
    </row>
    <row r="672" spans="1:17">
      <c r="A672" s="2" t="s">
        <v>2441</v>
      </c>
      <c r="B672" s="2" t="s">
        <v>642</v>
      </c>
      <c r="C672" s="2" t="s">
        <v>647</v>
      </c>
      <c r="D672" s="11">
        <v>45970.694444444445</v>
      </c>
      <c r="E672" s="11">
        <v>45970.694444444445</v>
      </c>
      <c r="F672" s="11">
        <v>45970.72152777778</v>
      </c>
      <c r="G672" s="12">
        <v>2.7083333334303461E-2</v>
      </c>
      <c r="H672" s="2" t="s">
        <v>268</v>
      </c>
      <c r="I672" s="2" t="s">
        <v>269</v>
      </c>
      <c r="J672" s="2" t="s">
        <v>319</v>
      </c>
      <c r="K672" s="2" t="s">
        <v>652</v>
      </c>
      <c r="L672" s="2" t="s">
        <v>3009</v>
      </c>
      <c r="M672" t="s">
        <v>289</v>
      </c>
      <c r="N672" t="s">
        <v>253</v>
      </c>
      <c r="O672" t="s">
        <v>3010</v>
      </c>
      <c r="P672" t="s">
        <v>3013</v>
      </c>
      <c r="Q672" t="s">
        <v>2713</v>
      </c>
    </row>
    <row r="673" spans="1:17">
      <c r="A673" s="2" t="s">
        <v>2441</v>
      </c>
      <c r="B673" s="2" t="s">
        <v>642</v>
      </c>
      <c r="C673" s="2" t="s">
        <v>648</v>
      </c>
      <c r="D673" s="11">
        <v>45970.694444444445</v>
      </c>
      <c r="E673" s="11">
        <v>45970.694444444445</v>
      </c>
      <c r="F673" s="11">
        <v>45970.72152777778</v>
      </c>
      <c r="G673" s="12">
        <v>2.7083333334303461E-2</v>
      </c>
      <c r="H673" s="2" t="s">
        <v>268</v>
      </c>
      <c r="I673" s="2" t="s">
        <v>269</v>
      </c>
      <c r="J673" s="2" t="s">
        <v>319</v>
      </c>
      <c r="K673" s="2" t="s">
        <v>652</v>
      </c>
      <c r="L673" s="2" t="s">
        <v>3009</v>
      </c>
      <c r="M673" t="s">
        <v>289</v>
      </c>
      <c r="N673" t="s">
        <v>253</v>
      </c>
      <c r="O673" t="s">
        <v>3010</v>
      </c>
      <c r="P673" t="s">
        <v>3014</v>
      </c>
      <c r="Q673" t="s">
        <v>2713</v>
      </c>
    </row>
    <row r="674" spans="1:17">
      <c r="A674" s="2" t="s">
        <v>2758</v>
      </c>
      <c r="B674" s="2" t="s">
        <v>393</v>
      </c>
      <c r="C674" s="2" t="s">
        <v>396</v>
      </c>
      <c r="D674" s="11">
        <v>45970.982638888891</v>
      </c>
      <c r="E674" s="11">
        <v>45970.982638888891</v>
      </c>
      <c r="F674" s="11">
        <v>45988.739583333336</v>
      </c>
      <c r="G674" s="12">
        <v>17.756944444445253</v>
      </c>
      <c r="H674" s="2" t="s">
        <v>248</v>
      </c>
      <c r="J674" s="2" t="s">
        <v>230</v>
      </c>
      <c r="K674" s="2" t="s">
        <v>230</v>
      </c>
      <c r="L674" s="2" t="s">
        <v>2273</v>
      </c>
      <c r="M674" t="s">
        <v>663</v>
      </c>
      <c r="N674" t="s">
        <v>364</v>
      </c>
      <c r="O674" t="s">
        <v>3015</v>
      </c>
      <c r="P674" t="s">
        <v>3016</v>
      </c>
      <c r="Q674" t="s">
        <v>3017</v>
      </c>
    </row>
    <row r="675" spans="1:17">
      <c r="A675" s="2" t="s">
        <v>2758</v>
      </c>
      <c r="B675" s="2" t="s">
        <v>393</v>
      </c>
      <c r="C675" s="2" t="s">
        <v>397</v>
      </c>
      <c r="D675" s="11">
        <v>45970.982638888891</v>
      </c>
      <c r="E675" s="11">
        <v>45970.982638888891</v>
      </c>
      <c r="F675" s="11">
        <v>45988.739583333336</v>
      </c>
      <c r="G675" s="12">
        <v>17.756944444445253</v>
      </c>
      <c r="H675" s="2" t="s">
        <v>248</v>
      </c>
      <c r="J675" s="2" t="s">
        <v>230</v>
      </c>
      <c r="K675" s="2" t="s">
        <v>230</v>
      </c>
      <c r="L675" s="2" t="s">
        <v>2273</v>
      </c>
      <c r="M675" t="s">
        <v>663</v>
      </c>
      <c r="N675" t="s">
        <v>364</v>
      </c>
      <c r="O675" t="s">
        <v>3015</v>
      </c>
      <c r="P675" t="s">
        <v>3018</v>
      </c>
      <c r="Q675" t="s">
        <v>3017</v>
      </c>
    </row>
    <row r="676" spans="1:17">
      <c r="A676" s="2" t="s">
        <v>2758</v>
      </c>
      <c r="B676" s="2" t="s">
        <v>393</v>
      </c>
      <c r="C676" s="2" t="s">
        <v>398</v>
      </c>
      <c r="D676" s="11">
        <v>45970.982638888891</v>
      </c>
      <c r="E676" s="11">
        <v>45970.982638888891</v>
      </c>
      <c r="F676" s="11">
        <v>45988.739583333336</v>
      </c>
      <c r="G676" s="12">
        <v>17.756944444445253</v>
      </c>
      <c r="H676" s="2" t="s">
        <v>248</v>
      </c>
      <c r="J676" s="2" t="s">
        <v>230</v>
      </c>
      <c r="K676" s="2" t="s">
        <v>230</v>
      </c>
      <c r="L676" s="2" t="s">
        <v>2273</v>
      </c>
      <c r="M676" t="s">
        <v>663</v>
      </c>
      <c r="N676" t="s">
        <v>364</v>
      </c>
      <c r="O676" t="s">
        <v>3015</v>
      </c>
      <c r="P676" t="s">
        <v>3019</v>
      </c>
      <c r="Q676" t="s">
        <v>3017</v>
      </c>
    </row>
    <row r="677" spans="1:17">
      <c r="A677" s="2" t="s">
        <v>2758</v>
      </c>
      <c r="B677" s="2" t="s">
        <v>393</v>
      </c>
      <c r="C677" s="2" t="s">
        <v>399</v>
      </c>
      <c r="D677" s="11">
        <v>45970.982638888891</v>
      </c>
      <c r="E677" s="11">
        <v>45970.982638888891</v>
      </c>
      <c r="F677" s="11">
        <v>45988.739583333336</v>
      </c>
      <c r="G677" s="12">
        <v>17.756944444445253</v>
      </c>
      <c r="H677" s="2" t="s">
        <v>248</v>
      </c>
      <c r="J677" s="2" t="s">
        <v>230</v>
      </c>
      <c r="K677" s="2" t="s">
        <v>230</v>
      </c>
      <c r="L677" s="2" t="s">
        <v>2273</v>
      </c>
      <c r="M677" t="s">
        <v>663</v>
      </c>
      <c r="N677" t="s">
        <v>364</v>
      </c>
      <c r="O677" t="s">
        <v>3015</v>
      </c>
      <c r="P677" t="s">
        <v>3020</v>
      </c>
      <c r="Q677" t="s">
        <v>3017</v>
      </c>
    </row>
    <row r="678" spans="1:17">
      <c r="A678" s="2" t="s">
        <v>2758</v>
      </c>
      <c r="B678" s="2" t="s">
        <v>393</v>
      </c>
      <c r="C678" s="2" t="s">
        <v>400</v>
      </c>
      <c r="D678" s="11">
        <v>45970.982638888891</v>
      </c>
      <c r="E678" s="11">
        <v>45970.982638888891</v>
      </c>
      <c r="F678" s="11">
        <v>45988.739583333336</v>
      </c>
      <c r="G678" s="12">
        <v>17.756944444445253</v>
      </c>
      <c r="H678" s="2" t="s">
        <v>248</v>
      </c>
      <c r="J678" s="2" t="s">
        <v>230</v>
      </c>
      <c r="K678" s="2" t="s">
        <v>230</v>
      </c>
      <c r="L678" s="2" t="s">
        <v>2273</v>
      </c>
      <c r="M678" t="s">
        <v>663</v>
      </c>
      <c r="N678" t="s">
        <v>364</v>
      </c>
      <c r="O678" t="s">
        <v>3015</v>
      </c>
      <c r="P678" t="s">
        <v>3021</v>
      </c>
      <c r="Q678" t="s">
        <v>3017</v>
      </c>
    </row>
    <row r="679" spans="1:17">
      <c r="A679" s="2" t="s">
        <v>2758</v>
      </c>
      <c r="B679" s="2" t="s">
        <v>393</v>
      </c>
      <c r="C679" s="2" t="s">
        <v>401</v>
      </c>
      <c r="D679" s="11">
        <v>45970.982638888891</v>
      </c>
      <c r="E679" s="11">
        <v>45970.982638888891</v>
      </c>
      <c r="F679" s="11">
        <v>45988.739583333336</v>
      </c>
      <c r="G679" s="12">
        <v>17.756944444445253</v>
      </c>
      <c r="H679" s="2" t="s">
        <v>248</v>
      </c>
      <c r="J679" s="2" t="s">
        <v>230</v>
      </c>
      <c r="K679" s="2" t="s">
        <v>230</v>
      </c>
      <c r="L679" s="2" t="s">
        <v>2273</v>
      </c>
      <c r="M679" t="s">
        <v>663</v>
      </c>
      <c r="N679" t="s">
        <v>364</v>
      </c>
      <c r="O679" t="s">
        <v>3015</v>
      </c>
      <c r="P679" t="s">
        <v>3022</v>
      </c>
      <c r="Q679" t="s">
        <v>3017</v>
      </c>
    </row>
    <row r="680" spans="1:17">
      <c r="A680" s="2" t="s">
        <v>2758</v>
      </c>
      <c r="B680" s="2" t="s">
        <v>393</v>
      </c>
      <c r="C680" s="2" t="s">
        <v>402</v>
      </c>
      <c r="D680" s="11">
        <v>45970.982638888891</v>
      </c>
      <c r="E680" s="11">
        <v>45970.982638888891</v>
      </c>
      <c r="F680" s="11">
        <v>45988.739583333336</v>
      </c>
      <c r="G680" s="12">
        <v>17.756944444445253</v>
      </c>
      <c r="H680" s="2" t="s">
        <v>248</v>
      </c>
      <c r="J680" s="2" t="s">
        <v>230</v>
      </c>
      <c r="K680" s="2" t="s">
        <v>230</v>
      </c>
      <c r="L680" s="2" t="s">
        <v>2273</v>
      </c>
      <c r="M680" t="s">
        <v>663</v>
      </c>
      <c r="N680" t="s">
        <v>364</v>
      </c>
      <c r="O680" t="s">
        <v>3015</v>
      </c>
      <c r="P680" t="s">
        <v>3023</v>
      </c>
      <c r="Q680" t="s">
        <v>3017</v>
      </c>
    </row>
    <row r="681" spans="1:17">
      <c r="A681" s="2" t="s">
        <v>2769</v>
      </c>
      <c r="B681" s="2" t="s">
        <v>393</v>
      </c>
      <c r="C681" s="2" t="s">
        <v>403</v>
      </c>
      <c r="D681" s="11">
        <v>45970.982638888891</v>
      </c>
      <c r="E681" s="11">
        <v>45970.982638888891</v>
      </c>
      <c r="F681" s="11">
        <v>45989.635416666664</v>
      </c>
      <c r="G681" s="12">
        <v>18.652777777773736</v>
      </c>
      <c r="H681" s="2" t="s">
        <v>248</v>
      </c>
      <c r="J681" s="2" t="s">
        <v>230</v>
      </c>
      <c r="K681" s="2" t="s">
        <v>230</v>
      </c>
      <c r="L681" s="2" t="s">
        <v>2273</v>
      </c>
      <c r="M681" t="s">
        <v>663</v>
      </c>
      <c r="N681" t="s">
        <v>364</v>
      </c>
      <c r="O681" t="s">
        <v>3015</v>
      </c>
      <c r="P681" t="s">
        <v>3024</v>
      </c>
      <c r="Q681" t="s">
        <v>3017</v>
      </c>
    </row>
    <row r="682" spans="1:17">
      <c r="A682" s="2" t="s">
        <v>2769</v>
      </c>
      <c r="B682" s="2" t="s">
        <v>393</v>
      </c>
      <c r="C682" s="2" t="s">
        <v>404</v>
      </c>
      <c r="D682" s="11">
        <v>45970.982638888891</v>
      </c>
      <c r="E682" s="11">
        <v>45970.982638888891</v>
      </c>
      <c r="F682" s="11">
        <v>45989.635416666664</v>
      </c>
      <c r="G682" s="12">
        <v>18.652777777773736</v>
      </c>
      <c r="H682" s="2" t="s">
        <v>248</v>
      </c>
      <c r="J682" s="2" t="s">
        <v>230</v>
      </c>
      <c r="K682" s="2" t="s">
        <v>230</v>
      </c>
      <c r="L682" s="2" t="s">
        <v>2273</v>
      </c>
      <c r="M682" t="s">
        <v>663</v>
      </c>
      <c r="N682" t="s">
        <v>364</v>
      </c>
      <c r="O682" t="s">
        <v>3015</v>
      </c>
      <c r="P682" t="s">
        <v>3025</v>
      </c>
      <c r="Q682" t="s">
        <v>3017</v>
      </c>
    </row>
    <row r="683" spans="1:17">
      <c r="A683" s="2" t="s">
        <v>2769</v>
      </c>
      <c r="B683" s="2" t="s">
        <v>393</v>
      </c>
      <c r="C683" s="2" t="s">
        <v>405</v>
      </c>
      <c r="D683" s="11">
        <v>45970.982638888891</v>
      </c>
      <c r="E683" s="11">
        <v>45970.982638888891</v>
      </c>
      <c r="F683" s="11">
        <v>45989.635416666664</v>
      </c>
      <c r="G683" s="12">
        <v>18.652777777773736</v>
      </c>
      <c r="H683" s="2" t="s">
        <v>248</v>
      </c>
      <c r="J683" s="2" t="s">
        <v>230</v>
      </c>
      <c r="K683" s="2" t="s">
        <v>230</v>
      </c>
      <c r="L683" s="2" t="s">
        <v>2273</v>
      </c>
      <c r="M683" t="s">
        <v>663</v>
      </c>
      <c r="N683" t="s">
        <v>364</v>
      </c>
      <c r="O683" t="s">
        <v>3015</v>
      </c>
      <c r="P683" t="s">
        <v>3026</v>
      </c>
      <c r="Q683" t="s">
        <v>3017</v>
      </c>
    </row>
    <row r="684" spans="1:17">
      <c r="A684" s="2" t="s">
        <v>2769</v>
      </c>
      <c r="B684" s="2" t="s">
        <v>393</v>
      </c>
      <c r="C684" s="2" t="s">
        <v>406</v>
      </c>
      <c r="D684" s="11">
        <v>45970.982638888891</v>
      </c>
      <c r="E684" s="11">
        <v>45970.982638888891</v>
      </c>
      <c r="F684" s="11">
        <v>45989.635416666664</v>
      </c>
      <c r="G684" s="12">
        <v>18.652777777773736</v>
      </c>
      <c r="H684" s="2" t="s">
        <v>248</v>
      </c>
      <c r="J684" s="2" t="s">
        <v>230</v>
      </c>
      <c r="K684" s="2" t="s">
        <v>230</v>
      </c>
      <c r="L684" s="2" t="s">
        <v>2273</v>
      </c>
      <c r="M684" t="s">
        <v>663</v>
      </c>
      <c r="N684" t="s">
        <v>364</v>
      </c>
      <c r="O684" t="s">
        <v>3015</v>
      </c>
      <c r="P684" t="s">
        <v>3027</v>
      </c>
      <c r="Q684" t="s">
        <v>3017</v>
      </c>
    </row>
    <row r="685" spans="1:17">
      <c r="A685" s="2" t="s">
        <v>2769</v>
      </c>
      <c r="B685" s="2" t="s">
        <v>393</v>
      </c>
      <c r="C685" s="2" t="s">
        <v>407</v>
      </c>
      <c r="D685" s="11">
        <v>45970.982638888891</v>
      </c>
      <c r="E685" s="11">
        <v>45970.982638888891</v>
      </c>
      <c r="F685" s="11">
        <v>45989.635416666664</v>
      </c>
      <c r="G685" s="12">
        <v>18.652777777773736</v>
      </c>
      <c r="H685" s="2" t="s">
        <v>248</v>
      </c>
      <c r="J685" s="2" t="s">
        <v>230</v>
      </c>
      <c r="K685" s="2" t="s">
        <v>230</v>
      </c>
      <c r="L685" s="2" t="s">
        <v>2273</v>
      </c>
      <c r="M685" t="s">
        <v>663</v>
      </c>
      <c r="N685" t="s">
        <v>364</v>
      </c>
      <c r="O685" t="s">
        <v>3015</v>
      </c>
      <c r="P685" t="s">
        <v>3028</v>
      </c>
      <c r="Q685" t="s">
        <v>3017</v>
      </c>
    </row>
    <row r="686" spans="1:17">
      <c r="A686" s="2" t="s">
        <v>2775</v>
      </c>
      <c r="B686" s="2" t="s">
        <v>393</v>
      </c>
      <c r="C686" s="2" t="s">
        <v>408</v>
      </c>
      <c r="D686" s="11">
        <v>45970.982638888891</v>
      </c>
      <c r="E686" s="11">
        <v>45970.982638888891</v>
      </c>
      <c r="F686" s="11">
        <v>45991.999988425923</v>
      </c>
      <c r="G686" s="12">
        <v>21.017349537032715</v>
      </c>
      <c r="H686" s="2" t="s">
        <v>248</v>
      </c>
      <c r="J686" s="2" t="s">
        <v>230</v>
      </c>
      <c r="K686" s="2" t="s">
        <v>230</v>
      </c>
      <c r="L686" s="2" t="s">
        <v>2273</v>
      </c>
      <c r="M686" t="s">
        <v>663</v>
      </c>
      <c r="N686" t="s">
        <v>364</v>
      </c>
      <c r="O686" t="s">
        <v>3015</v>
      </c>
      <c r="P686" t="s">
        <v>3029</v>
      </c>
      <c r="Q686" t="s">
        <v>3017</v>
      </c>
    </row>
    <row r="687" spans="1:17">
      <c r="A687" s="2" t="s">
        <v>2775</v>
      </c>
      <c r="B687" s="2" t="s">
        <v>393</v>
      </c>
      <c r="C687" s="2" t="s">
        <v>409</v>
      </c>
      <c r="D687" s="11">
        <v>45970.982638888891</v>
      </c>
      <c r="E687" s="11">
        <v>45970.982638888891</v>
      </c>
      <c r="F687" s="11">
        <v>45991.999988425923</v>
      </c>
      <c r="G687" s="12">
        <v>21.017349537032715</v>
      </c>
      <c r="H687" s="2" t="s">
        <v>248</v>
      </c>
      <c r="J687" s="2" t="s">
        <v>230</v>
      </c>
      <c r="K687" s="2" t="s">
        <v>230</v>
      </c>
      <c r="L687" s="2" t="s">
        <v>2273</v>
      </c>
      <c r="M687" t="s">
        <v>663</v>
      </c>
      <c r="N687" t="s">
        <v>364</v>
      </c>
      <c r="O687" t="s">
        <v>3015</v>
      </c>
      <c r="P687" t="s">
        <v>3030</v>
      </c>
      <c r="Q687" t="s">
        <v>3017</v>
      </c>
    </row>
    <row r="688" spans="1:17">
      <c r="A688" s="2" t="s">
        <v>2775</v>
      </c>
      <c r="B688" s="2" t="s">
        <v>393</v>
      </c>
      <c r="C688" s="2" t="s">
        <v>410</v>
      </c>
      <c r="D688" s="11">
        <v>45970.982638888891</v>
      </c>
      <c r="E688" s="11">
        <v>45970.982638888891</v>
      </c>
      <c r="F688" s="11">
        <v>45991.999988425923</v>
      </c>
      <c r="G688" s="12">
        <v>21.017349537032715</v>
      </c>
      <c r="H688" s="2" t="s">
        <v>248</v>
      </c>
      <c r="J688" s="2" t="s">
        <v>230</v>
      </c>
      <c r="K688" s="2" t="s">
        <v>230</v>
      </c>
      <c r="L688" s="2" t="s">
        <v>2273</v>
      </c>
      <c r="M688" t="s">
        <v>663</v>
      </c>
      <c r="N688" t="s">
        <v>364</v>
      </c>
      <c r="O688" t="s">
        <v>3015</v>
      </c>
      <c r="P688" t="s">
        <v>3031</v>
      </c>
      <c r="Q688" t="s">
        <v>3017</v>
      </c>
    </row>
    <row r="689" spans="1:17">
      <c r="A689" s="2" t="s">
        <v>2775</v>
      </c>
      <c r="B689" s="2" t="s">
        <v>393</v>
      </c>
      <c r="C689" s="2" t="s">
        <v>411</v>
      </c>
      <c r="D689" s="11">
        <v>45970.982638888891</v>
      </c>
      <c r="E689" s="11">
        <v>45970.982638888891</v>
      </c>
      <c r="F689" s="11">
        <v>45991.999988425923</v>
      </c>
      <c r="G689" s="12">
        <v>21.017349537032715</v>
      </c>
      <c r="H689" s="2" t="s">
        <v>248</v>
      </c>
      <c r="J689" s="2" t="s">
        <v>230</v>
      </c>
      <c r="K689" s="2" t="s">
        <v>230</v>
      </c>
      <c r="L689" s="2" t="s">
        <v>2273</v>
      </c>
      <c r="M689" t="s">
        <v>663</v>
      </c>
      <c r="N689" t="s">
        <v>364</v>
      </c>
      <c r="O689" t="s">
        <v>3015</v>
      </c>
      <c r="P689" t="s">
        <v>3032</v>
      </c>
      <c r="Q689" t="s">
        <v>3017</v>
      </c>
    </row>
    <row r="690" spans="1:17">
      <c r="A690" s="2" t="s">
        <v>2775</v>
      </c>
      <c r="B690" s="2" t="s">
        <v>393</v>
      </c>
      <c r="C690" s="2" t="s">
        <v>412</v>
      </c>
      <c r="D690" s="11">
        <v>45970.982638888891</v>
      </c>
      <c r="E690" s="11">
        <v>45970.982638888891</v>
      </c>
      <c r="F690" s="11">
        <v>45991.999988425923</v>
      </c>
      <c r="G690" s="12">
        <v>21.017349537032715</v>
      </c>
      <c r="H690" s="2" t="s">
        <v>248</v>
      </c>
      <c r="J690" s="2" t="s">
        <v>230</v>
      </c>
      <c r="K690" s="2" t="s">
        <v>230</v>
      </c>
      <c r="L690" s="2" t="s">
        <v>2273</v>
      </c>
      <c r="M690" t="s">
        <v>663</v>
      </c>
      <c r="N690" t="s">
        <v>364</v>
      </c>
      <c r="O690" t="s">
        <v>3015</v>
      </c>
      <c r="P690" t="s">
        <v>3033</v>
      </c>
      <c r="Q690" t="s">
        <v>3017</v>
      </c>
    </row>
    <row r="691" spans="1:17">
      <c r="A691" s="2" t="s">
        <v>2775</v>
      </c>
      <c r="B691" s="2" t="s">
        <v>393</v>
      </c>
      <c r="C691" s="2" t="s">
        <v>413</v>
      </c>
      <c r="D691" s="11">
        <v>45970.982638888891</v>
      </c>
      <c r="E691" s="11">
        <v>45970.982638888891</v>
      </c>
      <c r="F691" s="11">
        <v>45991.999988425923</v>
      </c>
      <c r="G691" s="12">
        <v>21.017349537032715</v>
      </c>
      <c r="H691" s="2" t="s">
        <v>248</v>
      </c>
      <c r="J691" s="2" t="s">
        <v>230</v>
      </c>
      <c r="K691" s="2" t="s">
        <v>230</v>
      </c>
      <c r="L691" s="2" t="s">
        <v>2273</v>
      </c>
      <c r="M691" t="s">
        <v>663</v>
      </c>
      <c r="N691" t="s">
        <v>364</v>
      </c>
      <c r="O691" t="s">
        <v>3015</v>
      </c>
      <c r="P691" t="s">
        <v>3034</v>
      </c>
      <c r="Q691" t="s">
        <v>3017</v>
      </c>
    </row>
    <row r="692" spans="1:17">
      <c r="A692" s="2" t="s">
        <v>2782</v>
      </c>
      <c r="B692" s="2" t="s">
        <v>393</v>
      </c>
      <c r="C692" s="2" t="s">
        <v>414</v>
      </c>
      <c r="D692" s="11">
        <v>45970.982638888891</v>
      </c>
      <c r="E692" s="11">
        <v>45970.982638888891</v>
      </c>
      <c r="F692" s="11">
        <v>45973.333333333336</v>
      </c>
      <c r="G692" s="12">
        <v>2.3506944444452529</v>
      </c>
      <c r="H692" s="2" t="s">
        <v>248</v>
      </c>
      <c r="J692" s="2" t="s">
        <v>230</v>
      </c>
      <c r="K692" s="2" t="s">
        <v>230</v>
      </c>
      <c r="L692" s="2" t="s">
        <v>2273</v>
      </c>
      <c r="M692" t="s">
        <v>663</v>
      </c>
      <c r="N692" t="s">
        <v>364</v>
      </c>
      <c r="O692" t="s">
        <v>3015</v>
      </c>
      <c r="P692" t="s">
        <v>3035</v>
      </c>
      <c r="Q692" t="s">
        <v>3017</v>
      </c>
    </row>
    <row r="693" spans="1:17">
      <c r="A693" s="2" t="s">
        <v>2782</v>
      </c>
      <c r="B693" s="2" t="s">
        <v>393</v>
      </c>
      <c r="C693" s="2" t="s">
        <v>415</v>
      </c>
      <c r="D693" s="11">
        <v>45970.982638888891</v>
      </c>
      <c r="E693" s="11">
        <v>45970.982638888891</v>
      </c>
      <c r="F693" s="11">
        <v>45973.333333333336</v>
      </c>
      <c r="G693" s="12">
        <v>2.3506944444452529</v>
      </c>
      <c r="H693" s="2" t="s">
        <v>248</v>
      </c>
      <c r="J693" s="2" t="s">
        <v>230</v>
      </c>
      <c r="K693" s="2" t="s">
        <v>230</v>
      </c>
      <c r="L693" s="2" t="s">
        <v>2273</v>
      </c>
      <c r="M693" t="s">
        <v>663</v>
      </c>
      <c r="N693" t="s">
        <v>364</v>
      </c>
      <c r="O693" t="s">
        <v>3015</v>
      </c>
      <c r="P693" t="s">
        <v>3036</v>
      </c>
      <c r="Q693" t="s">
        <v>3017</v>
      </c>
    </row>
    <row r="694" spans="1:17">
      <c r="A694" s="2" t="s">
        <v>2782</v>
      </c>
      <c r="B694" s="2" t="s">
        <v>393</v>
      </c>
      <c r="C694" s="2" t="s">
        <v>416</v>
      </c>
      <c r="D694" s="11">
        <v>45970.982638888891</v>
      </c>
      <c r="E694" s="11">
        <v>45970.982638888891</v>
      </c>
      <c r="F694" s="11">
        <v>45973.333333333336</v>
      </c>
      <c r="G694" s="12">
        <v>2.3506944444452529</v>
      </c>
      <c r="H694" s="2" t="s">
        <v>248</v>
      </c>
      <c r="J694" s="2" t="s">
        <v>230</v>
      </c>
      <c r="K694" s="2" t="s">
        <v>230</v>
      </c>
      <c r="L694" s="2" t="s">
        <v>2273</v>
      </c>
      <c r="M694" t="s">
        <v>663</v>
      </c>
      <c r="N694" t="s">
        <v>364</v>
      </c>
      <c r="O694" t="s">
        <v>3015</v>
      </c>
      <c r="P694" t="s">
        <v>3037</v>
      </c>
      <c r="Q694" t="s">
        <v>3017</v>
      </c>
    </row>
    <row r="695" spans="1:17">
      <c r="A695" s="2" t="s">
        <v>2782</v>
      </c>
      <c r="B695" s="2" t="s">
        <v>393</v>
      </c>
      <c r="C695" s="2" t="s">
        <v>417</v>
      </c>
      <c r="D695" s="11">
        <v>45970.982638888891</v>
      </c>
      <c r="E695" s="11">
        <v>45970.982638888891</v>
      </c>
      <c r="F695" s="11">
        <v>45973.333333333336</v>
      </c>
      <c r="G695" s="12">
        <v>2.3506944444452529</v>
      </c>
      <c r="H695" s="2" t="s">
        <v>248</v>
      </c>
      <c r="J695" s="2" t="s">
        <v>230</v>
      </c>
      <c r="K695" s="2" t="s">
        <v>230</v>
      </c>
      <c r="L695" s="2" t="s">
        <v>2273</v>
      </c>
      <c r="M695" t="s">
        <v>663</v>
      </c>
      <c r="N695" t="s">
        <v>364</v>
      </c>
      <c r="O695" t="s">
        <v>3015</v>
      </c>
      <c r="P695" t="s">
        <v>3038</v>
      </c>
      <c r="Q695" t="s">
        <v>3017</v>
      </c>
    </row>
    <row r="696" spans="1:17">
      <c r="A696" s="2" t="s">
        <v>2782</v>
      </c>
      <c r="B696" s="2" t="s">
        <v>393</v>
      </c>
      <c r="C696" s="2" t="s">
        <v>418</v>
      </c>
      <c r="D696" s="11">
        <v>45970.982638888891</v>
      </c>
      <c r="E696" s="11">
        <v>45970.982638888891</v>
      </c>
      <c r="F696" s="11">
        <v>45973.333333333336</v>
      </c>
      <c r="G696" s="12">
        <v>2.3506944444452529</v>
      </c>
      <c r="H696" s="2" t="s">
        <v>248</v>
      </c>
      <c r="J696" s="2" t="s">
        <v>230</v>
      </c>
      <c r="K696" s="2" t="s">
        <v>230</v>
      </c>
      <c r="L696" s="2" t="s">
        <v>2273</v>
      </c>
      <c r="M696" t="s">
        <v>663</v>
      </c>
      <c r="N696" t="s">
        <v>364</v>
      </c>
      <c r="O696" t="s">
        <v>3015</v>
      </c>
      <c r="P696" t="s">
        <v>3039</v>
      </c>
      <c r="Q696" t="s">
        <v>3017</v>
      </c>
    </row>
    <row r="697" spans="1:17">
      <c r="A697" s="2" t="s">
        <v>2782</v>
      </c>
      <c r="B697" s="2" t="s">
        <v>393</v>
      </c>
      <c r="C697" s="2" t="s">
        <v>419</v>
      </c>
      <c r="D697" s="11">
        <v>45970.982638888891</v>
      </c>
      <c r="E697" s="11">
        <v>45970.982638888891</v>
      </c>
      <c r="F697" s="11">
        <v>45973.333333333336</v>
      </c>
      <c r="G697" s="12">
        <v>2.3506944444452529</v>
      </c>
      <c r="H697" s="2" t="s">
        <v>248</v>
      </c>
      <c r="J697" s="2" t="s">
        <v>230</v>
      </c>
      <c r="K697" s="2" t="s">
        <v>230</v>
      </c>
      <c r="L697" s="2" t="s">
        <v>2273</v>
      </c>
      <c r="M697" t="s">
        <v>663</v>
      </c>
      <c r="N697" t="s">
        <v>364</v>
      </c>
      <c r="O697" t="s">
        <v>3015</v>
      </c>
      <c r="P697" t="s">
        <v>3040</v>
      </c>
      <c r="Q697" t="s">
        <v>3017</v>
      </c>
    </row>
    <row r="698" spans="1:17">
      <c r="A698" s="2" t="s">
        <v>2789</v>
      </c>
      <c r="B698" s="2" t="s">
        <v>393</v>
      </c>
      <c r="C698" s="2" t="s">
        <v>420</v>
      </c>
      <c r="D698" s="11">
        <v>45970.982638888891</v>
      </c>
      <c r="E698" s="11">
        <v>45970.982638888891</v>
      </c>
      <c r="F698" s="11">
        <v>45973.333333333336</v>
      </c>
      <c r="G698" s="12">
        <v>2.3506944444452529</v>
      </c>
      <c r="H698" s="2" t="s">
        <v>248</v>
      </c>
      <c r="J698" s="2" t="s">
        <v>230</v>
      </c>
      <c r="K698" s="2" t="s">
        <v>230</v>
      </c>
      <c r="L698" s="2" t="s">
        <v>2273</v>
      </c>
      <c r="M698" t="s">
        <v>663</v>
      </c>
      <c r="N698" t="s">
        <v>364</v>
      </c>
      <c r="O698" t="s">
        <v>3015</v>
      </c>
      <c r="P698" t="s">
        <v>3041</v>
      </c>
      <c r="Q698" t="s">
        <v>3017</v>
      </c>
    </row>
    <row r="699" spans="1:17">
      <c r="A699" s="2" t="s">
        <v>2789</v>
      </c>
      <c r="B699" s="2" t="s">
        <v>393</v>
      </c>
      <c r="C699" s="2" t="s">
        <v>421</v>
      </c>
      <c r="D699" s="11">
        <v>45970.982638888891</v>
      </c>
      <c r="E699" s="11">
        <v>45970.982638888891</v>
      </c>
      <c r="F699" s="11">
        <v>45973.333333333336</v>
      </c>
      <c r="G699" s="12">
        <v>2.3506944444452529</v>
      </c>
      <c r="H699" s="2" t="s">
        <v>248</v>
      </c>
      <c r="J699" s="2" t="s">
        <v>230</v>
      </c>
      <c r="K699" s="2" t="s">
        <v>230</v>
      </c>
      <c r="L699" s="2" t="s">
        <v>2273</v>
      </c>
      <c r="M699" t="s">
        <v>663</v>
      </c>
      <c r="N699" t="s">
        <v>364</v>
      </c>
      <c r="O699" t="s">
        <v>3015</v>
      </c>
      <c r="P699" t="s">
        <v>3042</v>
      </c>
      <c r="Q699" t="s">
        <v>3017</v>
      </c>
    </row>
    <row r="700" spans="1:17">
      <c r="A700" s="2" t="s">
        <v>2789</v>
      </c>
      <c r="B700" s="2" t="s">
        <v>393</v>
      </c>
      <c r="C700" s="2" t="s">
        <v>422</v>
      </c>
      <c r="D700" s="11">
        <v>45970.982638888891</v>
      </c>
      <c r="E700" s="11">
        <v>45970.982638888891</v>
      </c>
      <c r="F700" s="11">
        <v>45973.333333333336</v>
      </c>
      <c r="G700" s="12">
        <v>2.3506944444452529</v>
      </c>
      <c r="H700" s="2" t="s">
        <v>248</v>
      </c>
      <c r="J700" s="2" t="s">
        <v>230</v>
      </c>
      <c r="K700" s="2" t="s">
        <v>230</v>
      </c>
      <c r="L700" s="2" t="s">
        <v>2273</v>
      </c>
      <c r="M700" t="s">
        <v>663</v>
      </c>
      <c r="N700" t="s">
        <v>364</v>
      </c>
      <c r="O700" t="s">
        <v>3015</v>
      </c>
      <c r="P700" t="s">
        <v>3043</v>
      </c>
      <c r="Q700" t="s">
        <v>3017</v>
      </c>
    </row>
    <row r="701" spans="1:17">
      <c r="A701" s="2" t="s">
        <v>2793</v>
      </c>
      <c r="B701" s="2" t="s">
        <v>393</v>
      </c>
      <c r="C701" s="2" t="s">
        <v>423</v>
      </c>
      <c r="D701" s="11">
        <v>45970.982638888891</v>
      </c>
      <c r="E701" s="11">
        <v>45970.982638888891</v>
      </c>
      <c r="F701" s="11">
        <v>45973.333333333336</v>
      </c>
      <c r="G701" s="12">
        <v>2.3506944444452529</v>
      </c>
      <c r="H701" s="2" t="s">
        <v>248</v>
      </c>
      <c r="J701" s="2" t="s">
        <v>230</v>
      </c>
      <c r="K701" s="2" t="s">
        <v>230</v>
      </c>
      <c r="L701" s="2" t="s">
        <v>2273</v>
      </c>
      <c r="M701" t="s">
        <v>663</v>
      </c>
      <c r="N701" t="s">
        <v>364</v>
      </c>
      <c r="O701" t="s">
        <v>3015</v>
      </c>
      <c r="P701" t="s">
        <v>3044</v>
      </c>
      <c r="Q701" t="s">
        <v>3017</v>
      </c>
    </row>
    <row r="702" spans="1:17">
      <c r="A702" s="2" t="s">
        <v>2793</v>
      </c>
      <c r="B702" s="2" t="s">
        <v>393</v>
      </c>
      <c r="C702" s="2" t="s">
        <v>424</v>
      </c>
      <c r="D702" s="11">
        <v>45970.982638888891</v>
      </c>
      <c r="E702" s="11">
        <v>45970.982638888891</v>
      </c>
      <c r="F702" s="11">
        <v>45973.333333333336</v>
      </c>
      <c r="G702" s="12">
        <v>2.3506944444452529</v>
      </c>
      <c r="H702" s="2" t="s">
        <v>248</v>
      </c>
      <c r="J702" s="2" t="s">
        <v>230</v>
      </c>
      <c r="K702" s="2" t="s">
        <v>230</v>
      </c>
      <c r="L702" s="2" t="s">
        <v>2273</v>
      </c>
      <c r="M702" t="s">
        <v>663</v>
      </c>
      <c r="N702" t="s">
        <v>364</v>
      </c>
      <c r="O702" t="s">
        <v>3015</v>
      </c>
      <c r="P702" t="s">
        <v>3045</v>
      </c>
      <c r="Q702" t="s">
        <v>3017</v>
      </c>
    </row>
    <row r="703" spans="1:17">
      <c r="A703" s="2" t="s">
        <v>2793</v>
      </c>
      <c r="B703" s="2" t="s">
        <v>393</v>
      </c>
      <c r="C703" s="2" t="s">
        <v>425</v>
      </c>
      <c r="D703" s="11">
        <v>45970.982638888891</v>
      </c>
      <c r="E703" s="11">
        <v>45970.982638888891</v>
      </c>
      <c r="F703" s="11">
        <v>45973.333333333336</v>
      </c>
      <c r="G703" s="12">
        <v>2.3506944444452529</v>
      </c>
      <c r="H703" s="2" t="s">
        <v>248</v>
      </c>
      <c r="J703" s="2" t="s">
        <v>230</v>
      </c>
      <c r="K703" s="2" t="s">
        <v>230</v>
      </c>
      <c r="L703" s="2" t="s">
        <v>2273</v>
      </c>
      <c r="M703" t="s">
        <v>663</v>
      </c>
      <c r="N703" t="s">
        <v>364</v>
      </c>
      <c r="O703" t="s">
        <v>3015</v>
      </c>
      <c r="P703" t="s">
        <v>3046</v>
      </c>
      <c r="Q703" t="s">
        <v>3017</v>
      </c>
    </row>
    <row r="704" spans="1:17">
      <c r="A704" s="2" t="s">
        <v>2797</v>
      </c>
      <c r="B704" s="2" t="s">
        <v>393</v>
      </c>
      <c r="C704" s="2" t="s">
        <v>426</v>
      </c>
      <c r="D704" s="11">
        <v>45970.982638888891</v>
      </c>
      <c r="E704" s="11">
        <v>45970.982638888891</v>
      </c>
      <c r="F704" s="11">
        <v>45991.999988425923</v>
      </c>
      <c r="G704" s="12">
        <v>21.017349537032715</v>
      </c>
      <c r="H704" s="2" t="s">
        <v>248</v>
      </c>
      <c r="J704" s="2" t="s">
        <v>230</v>
      </c>
      <c r="K704" s="2" t="s">
        <v>230</v>
      </c>
      <c r="L704" s="2" t="s">
        <v>2273</v>
      </c>
      <c r="M704" t="s">
        <v>663</v>
      </c>
      <c r="N704" t="s">
        <v>364</v>
      </c>
      <c r="O704" t="s">
        <v>3015</v>
      </c>
      <c r="P704" t="s">
        <v>3047</v>
      </c>
      <c r="Q704" t="s">
        <v>3017</v>
      </c>
    </row>
    <row r="705" spans="1:17">
      <c r="A705" s="2" t="s">
        <v>2797</v>
      </c>
      <c r="B705" s="2" t="s">
        <v>393</v>
      </c>
      <c r="C705" s="2" t="s">
        <v>427</v>
      </c>
      <c r="D705" s="11">
        <v>45970.982638888891</v>
      </c>
      <c r="E705" s="11">
        <v>45970.982638888891</v>
      </c>
      <c r="F705" s="11">
        <v>45991.999988425923</v>
      </c>
      <c r="G705" s="12">
        <v>21.017349537032715</v>
      </c>
      <c r="H705" s="2" t="s">
        <v>248</v>
      </c>
      <c r="J705" s="2" t="s">
        <v>230</v>
      </c>
      <c r="K705" s="2" t="s">
        <v>230</v>
      </c>
      <c r="L705" s="2" t="s">
        <v>2273</v>
      </c>
      <c r="M705" t="s">
        <v>663</v>
      </c>
      <c r="N705" t="s">
        <v>364</v>
      </c>
      <c r="O705" t="s">
        <v>3015</v>
      </c>
      <c r="P705" t="s">
        <v>3048</v>
      </c>
      <c r="Q705" t="s">
        <v>3017</v>
      </c>
    </row>
    <row r="706" spans="1:17">
      <c r="A706" s="2" t="s">
        <v>2797</v>
      </c>
      <c r="B706" s="2" t="s">
        <v>393</v>
      </c>
      <c r="C706" s="2" t="s">
        <v>428</v>
      </c>
      <c r="D706" s="11">
        <v>45970.982638888891</v>
      </c>
      <c r="E706" s="11">
        <v>45970.982638888891</v>
      </c>
      <c r="F706" s="11">
        <v>45991.999988425923</v>
      </c>
      <c r="G706" s="12">
        <v>21.017349537032715</v>
      </c>
      <c r="H706" s="2" t="s">
        <v>248</v>
      </c>
      <c r="J706" s="2" t="s">
        <v>230</v>
      </c>
      <c r="K706" s="2" t="s">
        <v>230</v>
      </c>
      <c r="L706" s="2" t="s">
        <v>2273</v>
      </c>
      <c r="M706" t="s">
        <v>663</v>
      </c>
      <c r="N706" t="s">
        <v>364</v>
      </c>
      <c r="O706" t="s">
        <v>3015</v>
      </c>
      <c r="P706" t="s">
        <v>3049</v>
      </c>
      <c r="Q706" t="s">
        <v>3017</v>
      </c>
    </row>
    <row r="707" spans="1:17">
      <c r="A707" s="2" t="s">
        <v>2797</v>
      </c>
      <c r="B707" s="2" t="s">
        <v>393</v>
      </c>
      <c r="C707" s="2" t="s">
        <v>429</v>
      </c>
      <c r="D707" s="11">
        <v>45970.982638888891</v>
      </c>
      <c r="E707" s="11">
        <v>45970.982638888891</v>
      </c>
      <c r="F707" s="11">
        <v>45991.999988425923</v>
      </c>
      <c r="G707" s="12">
        <v>21.017349537032715</v>
      </c>
      <c r="H707" s="2" t="s">
        <v>248</v>
      </c>
      <c r="J707" s="2" t="s">
        <v>230</v>
      </c>
      <c r="K707" s="2" t="s">
        <v>230</v>
      </c>
      <c r="L707" s="2" t="s">
        <v>2273</v>
      </c>
      <c r="M707" t="s">
        <v>663</v>
      </c>
      <c r="N707" t="s">
        <v>364</v>
      </c>
      <c r="O707" t="s">
        <v>3015</v>
      </c>
      <c r="P707" t="s">
        <v>3050</v>
      </c>
      <c r="Q707" t="s">
        <v>3017</v>
      </c>
    </row>
    <row r="708" spans="1:17">
      <c r="A708" s="2" t="s">
        <v>2797</v>
      </c>
      <c r="B708" s="2" t="s">
        <v>393</v>
      </c>
      <c r="C708" s="2" t="s">
        <v>430</v>
      </c>
      <c r="D708" s="11">
        <v>45970.982638888891</v>
      </c>
      <c r="E708" s="11">
        <v>45970.982638888891</v>
      </c>
      <c r="F708" s="11">
        <v>45991.999988425923</v>
      </c>
      <c r="G708" s="12">
        <v>21.017349537032715</v>
      </c>
      <c r="H708" s="2" t="s">
        <v>248</v>
      </c>
      <c r="J708" s="2" t="s">
        <v>230</v>
      </c>
      <c r="K708" s="2" t="s">
        <v>230</v>
      </c>
      <c r="L708" s="2" t="s">
        <v>2273</v>
      </c>
      <c r="M708" t="s">
        <v>663</v>
      </c>
      <c r="N708" t="s">
        <v>364</v>
      </c>
      <c r="O708" t="s">
        <v>3015</v>
      </c>
      <c r="P708" t="s">
        <v>3051</v>
      </c>
      <c r="Q708" t="s">
        <v>3017</v>
      </c>
    </row>
    <row r="709" spans="1:17">
      <c r="A709" s="2" t="s">
        <v>2797</v>
      </c>
      <c r="B709" s="2" t="s">
        <v>393</v>
      </c>
      <c r="C709" s="2" t="s">
        <v>431</v>
      </c>
      <c r="D709" s="11">
        <v>45970.982638888891</v>
      </c>
      <c r="E709" s="11">
        <v>45970.982638888891</v>
      </c>
      <c r="F709" s="11">
        <v>45991.999988425923</v>
      </c>
      <c r="G709" s="12">
        <v>21.017349537032715</v>
      </c>
      <c r="H709" s="2" t="s">
        <v>248</v>
      </c>
      <c r="J709" s="2" t="s">
        <v>230</v>
      </c>
      <c r="K709" s="2" t="s">
        <v>230</v>
      </c>
      <c r="L709" s="2" t="s">
        <v>2273</v>
      </c>
      <c r="M709" t="s">
        <v>663</v>
      </c>
      <c r="N709" t="s">
        <v>364</v>
      </c>
      <c r="O709" t="s">
        <v>3015</v>
      </c>
      <c r="P709" t="s">
        <v>3052</v>
      </c>
      <c r="Q709" t="s">
        <v>3017</v>
      </c>
    </row>
    <row r="710" spans="1:17">
      <c r="A710" s="2" t="s">
        <v>2804</v>
      </c>
      <c r="B710" s="2" t="s">
        <v>393</v>
      </c>
      <c r="C710" s="2" t="s">
        <v>432</v>
      </c>
      <c r="D710" s="11">
        <v>45970.982638888891</v>
      </c>
      <c r="E710" s="11">
        <v>45970.982638888891</v>
      </c>
      <c r="F710" s="11">
        <v>45973.333333333336</v>
      </c>
      <c r="G710" s="12">
        <v>2.3506944444452529</v>
      </c>
      <c r="H710" s="2" t="s">
        <v>248</v>
      </c>
      <c r="J710" s="2" t="s">
        <v>230</v>
      </c>
      <c r="K710" s="2" t="s">
        <v>230</v>
      </c>
      <c r="L710" s="2" t="s">
        <v>2273</v>
      </c>
      <c r="M710" t="s">
        <v>663</v>
      </c>
      <c r="N710" t="s">
        <v>364</v>
      </c>
      <c r="O710" t="s">
        <v>3015</v>
      </c>
      <c r="P710" t="s">
        <v>3053</v>
      </c>
      <c r="Q710" t="s">
        <v>3017</v>
      </c>
    </row>
    <row r="711" spans="1:17">
      <c r="A711" s="2" t="s">
        <v>2804</v>
      </c>
      <c r="B711" s="2" t="s">
        <v>393</v>
      </c>
      <c r="C711" s="2" t="s">
        <v>433</v>
      </c>
      <c r="D711" s="11">
        <v>45970.982638888891</v>
      </c>
      <c r="E711" s="11">
        <v>45970.982638888891</v>
      </c>
      <c r="F711" s="11">
        <v>45973.333333333336</v>
      </c>
      <c r="G711" s="12">
        <v>2.3506944444452529</v>
      </c>
      <c r="H711" s="2" t="s">
        <v>248</v>
      </c>
      <c r="J711" s="2" t="s">
        <v>230</v>
      </c>
      <c r="K711" s="2" t="s">
        <v>230</v>
      </c>
      <c r="L711" s="2" t="s">
        <v>2273</v>
      </c>
      <c r="M711" t="s">
        <v>663</v>
      </c>
      <c r="N711" t="s">
        <v>364</v>
      </c>
      <c r="O711" t="s">
        <v>3015</v>
      </c>
      <c r="P711" t="s">
        <v>3054</v>
      </c>
      <c r="Q711" t="s">
        <v>3017</v>
      </c>
    </row>
    <row r="712" spans="1:17">
      <c r="A712" s="2" t="s">
        <v>2804</v>
      </c>
      <c r="B712" s="2" t="s">
        <v>393</v>
      </c>
      <c r="C712" s="2" t="s">
        <v>434</v>
      </c>
      <c r="D712" s="11">
        <v>45970.982638888891</v>
      </c>
      <c r="E712" s="11">
        <v>45970.982638888891</v>
      </c>
      <c r="F712" s="11">
        <v>45973.333333333336</v>
      </c>
      <c r="G712" s="12">
        <v>2.3506944444452529</v>
      </c>
      <c r="H712" s="2" t="s">
        <v>248</v>
      </c>
      <c r="J712" s="2" t="s">
        <v>230</v>
      </c>
      <c r="K712" s="2" t="s">
        <v>230</v>
      </c>
      <c r="L712" s="2" t="s">
        <v>2273</v>
      </c>
      <c r="M712" t="s">
        <v>663</v>
      </c>
      <c r="N712" t="s">
        <v>364</v>
      </c>
      <c r="O712" t="s">
        <v>3015</v>
      </c>
      <c r="P712" t="s">
        <v>3055</v>
      </c>
      <c r="Q712" t="s">
        <v>3017</v>
      </c>
    </row>
    <row r="713" spans="1:17">
      <c r="A713" s="2" t="s">
        <v>2758</v>
      </c>
      <c r="B713" s="2" t="s">
        <v>393</v>
      </c>
      <c r="C713" s="2" t="s">
        <v>394</v>
      </c>
      <c r="D713" s="11">
        <v>45970.982638888891</v>
      </c>
      <c r="E713" s="11">
        <v>45970.982638888891</v>
      </c>
      <c r="F713" s="11">
        <v>45988.739583333336</v>
      </c>
      <c r="G713" s="12">
        <v>17.756944444445253</v>
      </c>
      <c r="H713" s="2" t="s">
        <v>248</v>
      </c>
      <c r="J713" s="2" t="s">
        <v>230</v>
      </c>
      <c r="K713" s="2" t="s">
        <v>230</v>
      </c>
      <c r="L713" s="2" t="s">
        <v>2273</v>
      </c>
      <c r="M713" t="s">
        <v>663</v>
      </c>
      <c r="N713" t="s">
        <v>364</v>
      </c>
      <c r="O713" t="s">
        <v>3015</v>
      </c>
      <c r="P713" t="s">
        <v>3056</v>
      </c>
      <c r="Q713" t="s">
        <v>3017</v>
      </c>
    </row>
    <row r="714" spans="1:17">
      <c r="A714" s="2" t="s">
        <v>2758</v>
      </c>
      <c r="B714" s="2" t="s">
        <v>393</v>
      </c>
      <c r="C714" s="2" t="s">
        <v>395</v>
      </c>
      <c r="D714" s="11">
        <v>45970.982638888891</v>
      </c>
      <c r="E714" s="11">
        <v>45970.982638888891</v>
      </c>
      <c r="F714" s="11">
        <v>45988.739583333336</v>
      </c>
      <c r="G714" s="12">
        <v>17.756944444445253</v>
      </c>
      <c r="H714" s="2" t="s">
        <v>248</v>
      </c>
      <c r="J714" s="2" t="s">
        <v>230</v>
      </c>
      <c r="K714" s="2" t="s">
        <v>230</v>
      </c>
      <c r="L714" s="2" t="s">
        <v>2273</v>
      </c>
      <c r="M714" t="s">
        <v>663</v>
      </c>
      <c r="N714" t="s">
        <v>364</v>
      </c>
      <c r="O714" t="s">
        <v>3015</v>
      </c>
      <c r="P714" t="s">
        <v>3057</v>
      </c>
      <c r="Q714" t="s">
        <v>3017</v>
      </c>
    </row>
    <row r="715" spans="1:17">
      <c r="A715" s="2" t="s">
        <v>2123</v>
      </c>
      <c r="B715" s="2" t="s">
        <v>585</v>
      </c>
      <c r="C715" s="2" t="s">
        <v>602</v>
      </c>
      <c r="D715" s="11">
        <v>45971.255555555559</v>
      </c>
      <c r="E715" s="11">
        <v>45971.255555555559</v>
      </c>
      <c r="F715" s="11">
        <v>45971.385416666664</v>
      </c>
      <c r="G715" s="12">
        <v>0.12986111110512866</v>
      </c>
      <c r="H715" s="2" t="s">
        <v>257</v>
      </c>
      <c r="J715" s="2" t="s">
        <v>258</v>
      </c>
      <c r="K715" s="2" t="s">
        <v>658</v>
      </c>
      <c r="L715" s="2" t="s">
        <v>2286</v>
      </c>
      <c r="M715" t="s">
        <v>260</v>
      </c>
      <c r="N715" t="s">
        <v>357</v>
      </c>
      <c r="O715" t="s">
        <v>632</v>
      </c>
      <c r="P715" t="s">
        <v>3058</v>
      </c>
      <c r="Q715" t="s">
        <v>2281</v>
      </c>
    </row>
    <row r="716" spans="1:17">
      <c r="A716" s="2" t="s">
        <v>2125</v>
      </c>
      <c r="B716" s="2" t="s">
        <v>585</v>
      </c>
      <c r="C716" s="2" t="s">
        <v>595</v>
      </c>
      <c r="D716" s="11">
        <v>45971.255555555559</v>
      </c>
      <c r="E716" s="11">
        <v>45971.255555555559</v>
      </c>
      <c r="F716" s="11">
        <v>45971.385416666664</v>
      </c>
      <c r="G716" s="12">
        <v>0.12986111110512866</v>
      </c>
      <c r="H716" s="2" t="s">
        <v>257</v>
      </c>
      <c r="J716" s="2" t="s">
        <v>258</v>
      </c>
      <c r="K716" s="2" t="s">
        <v>658</v>
      </c>
      <c r="L716" s="2" t="s">
        <v>2286</v>
      </c>
      <c r="M716" t="s">
        <v>260</v>
      </c>
      <c r="N716" t="s">
        <v>357</v>
      </c>
      <c r="O716" t="s">
        <v>632</v>
      </c>
      <c r="P716" t="s">
        <v>3059</v>
      </c>
      <c r="Q716" t="s">
        <v>2281</v>
      </c>
    </row>
    <row r="717" spans="1:17">
      <c r="A717" s="2" t="s">
        <v>2125</v>
      </c>
      <c r="B717" s="2" t="s">
        <v>585</v>
      </c>
      <c r="C717" s="2" t="s">
        <v>592</v>
      </c>
      <c r="D717" s="11">
        <v>45971.255555555559</v>
      </c>
      <c r="E717" s="11">
        <v>45971.255555555559</v>
      </c>
      <c r="F717" s="11">
        <v>45971.385416666664</v>
      </c>
      <c r="G717" s="12">
        <v>0.12986111110512866</v>
      </c>
      <c r="H717" s="2" t="s">
        <v>257</v>
      </c>
      <c r="J717" s="2" t="s">
        <v>258</v>
      </c>
      <c r="K717" s="2" t="s">
        <v>658</v>
      </c>
      <c r="L717" s="2" t="s">
        <v>2286</v>
      </c>
      <c r="M717" t="s">
        <v>260</v>
      </c>
      <c r="N717" t="s">
        <v>357</v>
      </c>
      <c r="O717" t="s">
        <v>632</v>
      </c>
      <c r="P717" t="s">
        <v>3060</v>
      </c>
      <c r="Q717" t="s">
        <v>2281</v>
      </c>
    </row>
    <row r="718" spans="1:17">
      <c r="A718" s="2" t="s">
        <v>2125</v>
      </c>
      <c r="B718" s="2" t="s">
        <v>585</v>
      </c>
      <c r="C718" s="2" t="s">
        <v>589</v>
      </c>
      <c r="D718" s="11">
        <v>45971.255555555559</v>
      </c>
      <c r="E718" s="11">
        <v>45971.255555555559</v>
      </c>
      <c r="F718" s="11">
        <v>45971.385416666664</v>
      </c>
      <c r="G718" s="12">
        <v>0.12986111110512866</v>
      </c>
      <c r="H718" s="2" t="s">
        <v>257</v>
      </c>
      <c r="J718" s="2" t="s">
        <v>258</v>
      </c>
      <c r="K718" s="2" t="s">
        <v>658</v>
      </c>
      <c r="L718" s="2" t="s">
        <v>2286</v>
      </c>
      <c r="M718" t="s">
        <v>260</v>
      </c>
      <c r="N718" t="s">
        <v>357</v>
      </c>
      <c r="O718" t="s">
        <v>632</v>
      </c>
      <c r="P718" t="s">
        <v>3061</v>
      </c>
      <c r="Q718" t="s">
        <v>2281</v>
      </c>
    </row>
    <row r="719" spans="1:17">
      <c r="A719" s="2" t="s">
        <v>2125</v>
      </c>
      <c r="B719" s="2" t="s">
        <v>585</v>
      </c>
      <c r="C719" s="2" t="s">
        <v>593</v>
      </c>
      <c r="D719" s="11">
        <v>45971.255555555559</v>
      </c>
      <c r="E719" s="11">
        <v>45971.255555555559</v>
      </c>
      <c r="F719" s="11">
        <v>45971.385416666664</v>
      </c>
      <c r="G719" s="12">
        <v>0.12986111110512866</v>
      </c>
      <c r="H719" s="2" t="s">
        <v>257</v>
      </c>
      <c r="J719" s="2" t="s">
        <v>258</v>
      </c>
      <c r="K719" s="2" t="s">
        <v>658</v>
      </c>
      <c r="L719" s="2" t="s">
        <v>2286</v>
      </c>
      <c r="M719" t="s">
        <v>260</v>
      </c>
      <c r="N719" t="s">
        <v>357</v>
      </c>
      <c r="O719" t="s">
        <v>632</v>
      </c>
      <c r="P719" t="s">
        <v>3062</v>
      </c>
      <c r="Q719" t="s">
        <v>2281</v>
      </c>
    </row>
    <row r="720" spans="1:17">
      <c r="A720" s="2" t="s">
        <v>2125</v>
      </c>
      <c r="B720" s="2" t="s">
        <v>585</v>
      </c>
      <c r="C720" s="2" t="s">
        <v>591</v>
      </c>
      <c r="D720" s="11">
        <v>45971.255555555559</v>
      </c>
      <c r="E720" s="11">
        <v>45971.255555555559</v>
      </c>
      <c r="F720" s="11">
        <v>45971.385416666664</v>
      </c>
      <c r="G720" s="12">
        <v>0.12986111110512866</v>
      </c>
      <c r="H720" s="2" t="s">
        <v>257</v>
      </c>
      <c r="J720" s="2" t="s">
        <v>258</v>
      </c>
      <c r="K720" s="2" t="s">
        <v>658</v>
      </c>
      <c r="L720" s="2" t="s">
        <v>2286</v>
      </c>
      <c r="M720" t="s">
        <v>260</v>
      </c>
      <c r="N720" t="s">
        <v>357</v>
      </c>
      <c r="O720" t="s">
        <v>632</v>
      </c>
      <c r="P720" t="s">
        <v>3063</v>
      </c>
      <c r="Q720" t="s">
        <v>2281</v>
      </c>
    </row>
    <row r="721" spans="1:17">
      <c r="A721" s="2" t="s">
        <v>2125</v>
      </c>
      <c r="B721" s="2" t="s">
        <v>585</v>
      </c>
      <c r="C721" s="2" t="s">
        <v>2293</v>
      </c>
      <c r="D721" s="11">
        <v>45971.255555555559</v>
      </c>
      <c r="E721" s="11">
        <v>45971.255555555559</v>
      </c>
      <c r="F721" s="11">
        <v>45971.385416666664</v>
      </c>
      <c r="G721" s="12">
        <v>0.12986111110512866</v>
      </c>
      <c r="H721" s="2" t="s">
        <v>257</v>
      </c>
      <c r="J721" s="2" t="s">
        <v>258</v>
      </c>
      <c r="K721" s="2" t="s">
        <v>658</v>
      </c>
      <c r="L721" s="2" t="s">
        <v>2286</v>
      </c>
      <c r="M721" t="s">
        <v>260</v>
      </c>
      <c r="N721" t="s">
        <v>357</v>
      </c>
      <c r="O721" t="s">
        <v>632</v>
      </c>
      <c r="P721" t="s">
        <v>3064</v>
      </c>
      <c r="Q721" t="s">
        <v>2281</v>
      </c>
    </row>
    <row r="722" spans="1:17">
      <c r="A722" s="2" t="s">
        <v>2134</v>
      </c>
      <c r="B722" s="2" t="s">
        <v>585</v>
      </c>
      <c r="C722" s="2" t="s">
        <v>590</v>
      </c>
      <c r="D722" s="11">
        <v>45971.255555555559</v>
      </c>
      <c r="E722" s="11">
        <v>45971.255555555559</v>
      </c>
      <c r="F722" s="11">
        <v>45971.385416666664</v>
      </c>
      <c r="G722" s="12">
        <v>0.12986111110512866</v>
      </c>
      <c r="H722" s="2" t="s">
        <v>257</v>
      </c>
      <c r="J722" s="2" t="s">
        <v>258</v>
      </c>
      <c r="K722" s="2" t="s">
        <v>658</v>
      </c>
      <c r="L722" s="2" t="s">
        <v>2286</v>
      </c>
      <c r="M722" t="s">
        <v>260</v>
      </c>
      <c r="N722" t="s">
        <v>357</v>
      </c>
      <c r="O722" t="s">
        <v>632</v>
      </c>
      <c r="P722" t="s">
        <v>3065</v>
      </c>
      <c r="Q722" t="s">
        <v>2281</v>
      </c>
    </row>
    <row r="723" spans="1:17">
      <c r="A723" s="2" t="s">
        <v>2134</v>
      </c>
      <c r="B723" s="2" t="s">
        <v>585</v>
      </c>
      <c r="C723" s="2" t="s">
        <v>2091</v>
      </c>
      <c r="D723" s="11">
        <v>45971.255555555559</v>
      </c>
      <c r="E723" s="11">
        <v>45971.255555555559</v>
      </c>
      <c r="F723" s="11">
        <v>45971.385416666664</v>
      </c>
      <c r="G723" s="12">
        <v>0.12986111110512866</v>
      </c>
      <c r="H723" s="2" t="s">
        <v>257</v>
      </c>
      <c r="J723" s="2" t="s">
        <v>258</v>
      </c>
      <c r="K723" s="2" t="s">
        <v>658</v>
      </c>
      <c r="L723" s="2" t="s">
        <v>2286</v>
      </c>
      <c r="M723" t="s">
        <v>260</v>
      </c>
      <c r="N723" t="s">
        <v>357</v>
      </c>
      <c r="O723" t="s">
        <v>632</v>
      </c>
      <c r="P723" t="s">
        <v>3066</v>
      </c>
      <c r="Q723" t="s">
        <v>2281</v>
      </c>
    </row>
    <row r="724" spans="1:17">
      <c r="A724" s="2" t="s">
        <v>2134</v>
      </c>
      <c r="B724" s="2" t="s">
        <v>585</v>
      </c>
      <c r="C724" s="2" t="s">
        <v>586</v>
      </c>
      <c r="D724" s="11">
        <v>45971.255555555559</v>
      </c>
      <c r="E724" s="11">
        <v>45971.255555555559</v>
      </c>
      <c r="F724" s="11">
        <v>45971.385416666664</v>
      </c>
      <c r="G724" s="12">
        <v>0.12986111110512866</v>
      </c>
      <c r="H724" s="2" t="s">
        <v>257</v>
      </c>
      <c r="J724" s="2" t="s">
        <v>258</v>
      </c>
      <c r="K724" s="2" t="s">
        <v>658</v>
      </c>
      <c r="L724" s="2" t="s">
        <v>2286</v>
      </c>
      <c r="M724" t="s">
        <v>260</v>
      </c>
      <c r="N724" t="s">
        <v>357</v>
      </c>
      <c r="O724" t="s">
        <v>632</v>
      </c>
      <c r="P724" t="s">
        <v>3067</v>
      </c>
      <c r="Q724" t="s">
        <v>2281</v>
      </c>
    </row>
    <row r="725" spans="1:17">
      <c r="A725" s="2" t="s">
        <v>2134</v>
      </c>
      <c r="B725" s="2" t="s">
        <v>585</v>
      </c>
      <c r="C725" s="2" t="s">
        <v>598</v>
      </c>
      <c r="D725" s="11">
        <v>45971.255555555559</v>
      </c>
      <c r="E725" s="11">
        <v>45971.255555555559</v>
      </c>
      <c r="F725" s="11">
        <v>45971.385416666664</v>
      </c>
      <c r="G725" s="12">
        <v>0.12986111110512866</v>
      </c>
      <c r="H725" s="2" t="s">
        <v>257</v>
      </c>
      <c r="J725" s="2" t="s">
        <v>258</v>
      </c>
      <c r="K725" s="2" t="s">
        <v>658</v>
      </c>
      <c r="L725" s="2" t="s">
        <v>2286</v>
      </c>
      <c r="M725" t="s">
        <v>260</v>
      </c>
      <c r="N725" t="s">
        <v>357</v>
      </c>
      <c r="O725" t="s">
        <v>632</v>
      </c>
      <c r="P725" t="s">
        <v>3068</v>
      </c>
      <c r="Q725" t="s">
        <v>2281</v>
      </c>
    </row>
    <row r="726" spans="1:17">
      <c r="A726" s="2" t="s">
        <v>2134</v>
      </c>
      <c r="B726" s="2" t="s">
        <v>585</v>
      </c>
      <c r="C726" s="2" t="s">
        <v>600</v>
      </c>
      <c r="D726" s="11">
        <v>45971.255555555559</v>
      </c>
      <c r="E726" s="11">
        <v>45971.255555555559</v>
      </c>
      <c r="F726" s="11">
        <v>45971.385416666664</v>
      </c>
      <c r="G726" s="12">
        <v>0.12986111110512866</v>
      </c>
      <c r="H726" s="2" t="s">
        <v>257</v>
      </c>
      <c r="J726" s="2" t="s">
        <v>258</v>
      </c>
      <c r="K726" s="2" t="s">
        <v>658</v>
      </c>
      <c r="L726" s="2" t="s">
        <v>2286</v>
      </c>
      <c r="M726" t="s">
        <v>260</v>
      </c>
      <c r="N726" t="s">
        <v>357</v>
      </c>
      <c r="O726" t="s">
        <v>632</v>
      </c>
      <c r="P726" t="s">
        <v>3069</v>
      </c>
      <c r="Q726" t="s">
        <v>2281</v>
      </c>
    </row>
    <row r="727" spans="1:17">
      <c r="A727" s="2" t="s">
        <v>2134</v>
      </c>
      <c r="B727" s="2" t="s">
        <v>585</v>
      </c>
      <c r="C727" s="2" t="s">
        <v>596</v>
      </c>
      <c r="D727" s="11">
        <v>45971.255555555559</v>
      </c>
      <c r="E727" s="11">
        <v>45971.255555555559</v>
      </c>
      <c r="F727" s="11">
        <v>45971.385416666664</v>
      </c>
      <c r="G727" s="12">
        <v>0.12986111110512866</v>
      </c>
      <c r="H727" s="2" t="s">
        <v>257</v>
      </c>
      <c r="J727" s="2" t="s">
        <v>258</v>
      </c>
      <c r="K727" s="2" t="s">
        <v>658</v>
      </c>
      <c r="L727" s="2" t="s">
        <v>2286</v>
      </c>
      <c r="M727" t="s">
        <v>260</v>
      </c>
      <c r="N727" t="s">
        <v>357</v>
      </c>
      <c r="O727" t="s">
        <v>632</v>
      </c>
      <c r="P727" t="s">
        <v>3070</v>
      </c>
      <c r="Q727" t="s">
        <v>2281</v>
      </c>
    </row>
    <row r="728" spans="1:17">
      <c r="A728" s="2" t="s">
        <v>2134</v>
      </c>
      <c r="B728" s="2" t="s">
        <v>585</v>
      </c>
      <c r="C728" s="2" t="s">
        <v>599</v>
      </c>
      <c r="D728" s="11">
        <v>45971.255555555559</v>
      </c>
      <c r="E728" s="11">
        <v>45971.255555555559</v>
      </c>
      <c r="F728" s="11">
        <v>45971.385416666664</v>
      </c>
      <c r="G728" s="12">
        <v>0.12986111110512866</v>
      </c>
      <c r="H728" s="2" t="s">
        <v>257</v>
      </c>
      <c r="J728" s="2" t="s">
        <v>258</v>
      </c>
      <c r="K728" s="2" t="s">
        <v>658</v>
      </c>
      <c r="L728" s="2" t="s">
        <v>2286</v>
      </c>
      <c r="M728" t="s">
        <v>260</v>
      </c>
      <c r="N728" t="s">
        <v>357</v>
      </c>
      <c r="O728" t="s">
        <v>632</v>
      </c>
      <c r="P728" t="s">
        <v>3071</v>
      </c>
      <c r="Q728" t="s">
        <v>2281</v>
      </c>
    </row>
    <row r="729" spans="1:17">
      <c r="A729" s="2" t="s">
        <v>2134</v>
      </c>
      <c r="B729" s="2" t="s">
        <v>585</v>
      </c>
      <c r="C729" s="2" t="s">
        <v>603</v>
      </c>
      <c r="D729" s="11">
        <v>45971.255555555559</v>
      </c>
      <c r="E729" s="11">
        <v>45971.255555555559</v>
      </c>
      <c r="F729" s="11">
        <v>45971.385416666664</v>
      </c>
      <c r="G729" s="12">
        <v>0.12986111110512866</v>
      </c>
      <c r="H729" s="2" t="s">
        <v>257</v>
      </c>
      <c r="J729" s="2" t="s">
        <v>258</v>
      </c>
      <c r="K729" s="2" t="s">
        <v>658</v>
      </c>
      <c r="L729" s="2" t="s">
        <v>2286</v>
      </c>
      <c r="M729" t="s">
        <v>260</v>
      </c>
      <c r="N729" t="s">
        <v>357</v>
      </c>
      <c r="O729" t="s">
        <v>632</v>
      </c>
      <c r="P729" t="s">
        <v>3072</v>
      </c>
      <c r="Q729" t="s">
        <v>2281</v>
      </c>
    </row>
    <row r="730" spans="1:17">
      <c r="A730" s="2" t="s">
        <v>2134</v>
      </c>
      <c r="B730" s="2" t="s">
        <v>585</v>
      </c>
      <c r="C730" s="2" t="s">
        <v>588</v>
      </c>
      <c r="D730" s="11">
        <v>45971.255555555559</v>
      </c>
      <c r="E730" s="11">
        <v>45971.255555555559</v>
      </c>
      <c r="F730" s="11">
        <v>45971.385416666664</v>
      </c>
      <c r="G730" s="12">
        <v>0.12986111110512866</v>
      </c>
      <c r="H730" s="2" t="s">
        <v>257</v>
      </c>
      <c r="J730" s="2" t="s">
        <v>258</v>
      </c>
      <c r="K730" s="2" t="s">
        <v>658</v>
      </c>
      <c r="L730" s="2" t="s">
        <v>2286</v>
      </c>
      <c r="M730" t="s">
        <v>260</v>
      </c>
      <c r="N730" t="s">
        <v>357</v>
      </c>
      <c r="O730" t="s">
        <v>632</v>
      </c>
      <c r="P730" t="s">
        <v>3073</v>
      </c>
      <c r="Q730" t="s">
        <v>2281</v>
      </c>
    </row>
    <row r="731" spans="1:17">
      <c r="A731" s="2" t="s">
        <v>2134</v>
      </c>
      <c r="B731" s="2" t="s">
        <v>585</v>
      </c>
      <c r="C731" s="2" t="s">
        <v>594</v>
      </c>
      <c r="D731" s="11">
        <v>45971.255555555559</v>
      </c>
      <c r="E731" s="11">
        <v>45971.255555555559</v>
      </c>
      <c r="F731" s="11">
        <v>45971.385416666664</v>
      </c>
      <c r="G731" s="12">
        <v>0.12986111110512866</v>
      </c>
      <c r="H731" s="2" t="s">
        <v>257</v>
      </c>
      <c r="J731" s="2" t="s">
        <v>258</v>
      </c>
      <c r="K731" s="2" t="s">
        <v>658</v>
      </c>
      <c r="L731" s="2" t="s">
        <v>2286</v>
      </c>
      <c r="M731" t="s">
        <v>260</v>
      </c>
      <c r="N731" t="s">
        <v>357</v>
      </c>
      <c r="O731" t="s">
        <v>632</v>
      </c>
      <c r="P731" t="s">
        <v>3074</v>
      </c>
      <c r="Q731" t="s">
        <v>2281</v>
      </c>
    </row>
    <row r="732" spans="1:17">
      <c r="A732" s="2" t="s">
        <v>2132</v>
      </c>
      <c r="B732" s="2" t="s">
        <v>456</v>
      </c>
      <c r="C732" s="2" t="s">
        <v>457</v>
      </c>
      <c r="D732" s="11">
        <v>45971.259027777778</v>
      </c>
      <c r="E732" s="11">
        <v>45971.259027777778</v>
      </c>
      <c r="F732" s="11">
        <v>45971.319444444445</v>
      </c>
      <c r="G732" s="12">
        <v>6.0416666667151731E-2</v>
      </c>
      <c r="H732" s="2" t="s">
        <v>257</v>
      </c>
      <c r="J732" s="2" t="s">
        <v>258</v>
      </c>
      <c r="K732" s="2" t="s">
        <v>658</v>
      </c>
      <c r="L732" s="2" t="s">
        <v>2062</v>
      </c>
      <c r="M732" t="s">
        <v>260</v>
      </c>
      <c r="N732" t="s">
        <v>357</v>
      </c>
      <c r="O732" t="s">
        <v>632</v>
      </c>
      <c r="P732" t="s">
        <v>3075</v>
      </c>
      <c r="Q732" t="s">
        <v>2281</v>
      </c>
    </row>
    <row r="733" spans="1:17">
      <c r="A733" s="2" t="s">
        <v>2132</v>
      </c>
      <c r="B733" s="2" t="s">
        <v>456</v>
      </c>
      <c r="C733" s="2" t="s">
        <v>459</v>
      </c>
      <c r="D733" s="11">
        <v>45971.259027777778</v>
      </c>
      <c r="E733" s="11">
        <v>45971.259027777778</v>
      </c>
      <c r="F733" s="11">
        <v>45971.319444444445</v>
      </c>
      <c r="G733" s="12">
        <v>6.0416666667151731E-2</v>
      </c>
      <c r="H733" s="2" t="s">
        <v>257</v>
      </c>
      <c r="J733" s="2" t="s">
        <v>258</v>
      </c>
      <c r="K733" s="2" t="s">
        <v>658</v>
      </c>
      <c r="L733" s="2" t="s">
        <v>2062</v>
      </c>
      <c r="M733" t="s">
        <v>260</v>
      </c>
      <c r="N733" t="s">
        <v>357</v>
      </c>
      <c r="O733" t="s">
        <v>632</v>
      </c>
      <c r="P733" t="s">
        <v>3076</v>
      </c>
      <c r="Q733" t="s">
        <v>2281</v>
      </c>
    </row>
    <row r="734" spans="1:17">
      <c r="A734" s="2" t="s">
        <v>2132</v>
      </c>
      <c r="B734" s="2" t="s">
        <v>456</v>
      </c>
      <c r="C734" s="2" t="s">
        <v>460</v>
      </c>
      <c r="D734" s="11">
        <v>45971.259027777778</v>
      </c>
      <c r="E734" s="11">
        <v>45971.259027777778</v>
      </c>
      <c r="F734" s="11">
        <v>45971.319444444445</v>
      </c>
      <c r="G734" s="12">
        <v>6.0416666667151731E-2</v>
      </c>
      <c r="H734" s="2" t="s">
        <v>257</v>
      </c>
      <c r="J734" s="2" t="s">
        <v>258</v>
      </c>
      <c r="K734" s="2" t="s">
        <v>658</v>
      </c>
      <c r="L734" s="2" t="s">
        <v>2062</v>
      </c>
      <c r="M734" t="s">
        <v>260</v>
      </c>
      <c r="N734" t="s">
        <v>357</v>
      </c>
      <c r="O734" t="s">
        <v>632</v>
      </c>
      <c r="P734" t="s">
        <v>3077</v>
      </c>
      <c r="Q734" t="s">
        <v>2281</v>
      </c>
    </row>
    <row r="735" spans="1:17">
      <c r="A735" s="2" t="s">
        <v>2132</v>
      </c>
      <c r="B735" s="2" t="s">
        <v>456</v>
      </c>
      <c r="C735" s="2" t="s">
        <v>461</v>
      </c>
      <c r="D735" s="11">
        <v>45971.259027777778</v>
      </c>
      <c r="E735" s="11">
        <v>45971.259027777778</v>
      </c>
      <c r="F735" s="11">
        <v>45971.319444444445</v>
      </c>
      <c r="G735" s="12">
        <v>6.0416666667151731E-2</v>
      </c>
      <c r="H735" s="2" t="s">
        <v>257</v>
      </c>
      <c r="J735" s="2" t="s">
        <v>258</v>
      </c>
      <c r="K735" s="2" t="s">
        <v>658</v>
      </c>
      <c r="L735" s="2" t="s">
        <v>2062</v>
      </c>
      <c r="M735" t="s">
        <v>260</v>
      </c>
      <c r="N735" t="s">
        <v>357</v>
      </c>
      <c r="O735" t="s">
        <v>632</v>
      </c>
      <c r="P735" t="s">
        <v>3078</v>
      </c>
      <c r="Q735" t="s">
        <v>2281</v>
      </c>
    </row>
    <row r="736" spans="1:17">
      <c r="A736" s="2" t="s">
        <v>2132</v>
      </c>
      <c r="B736" s="2" t="s">
        <v>456</v>
      </c>
      <c r="C736" s="2" t="s">
        <v>462</v>
      </c>
      <c r="D736" s="11">
        <v>45971.259027777778</v>
      </c>
      <c r="E736" s="11">
        <v>45971.259027777778</v>
      </c>
      <c r="F736" s="11">
        <v>45971.319444444445</v>
      </c>
      <c r="G736" s="12">
        <v>6.0416666667151731E-2</v>
      </c>
      <c r="H736" s="2" t="s">
        <v>257</v>
      </c>
      <c r="J736" s="2" t="s">
        <v>258</v>
      </c>
      <c r="K736" s="2" t="s">
        <v>658</v>
      </c>
      <c r="L736" s="2" t="s">
        <v>2062</v>
      </c>
      <c r="M736" t="s">
        <v>260</v>
      </c>
      <c r="N736" t="s">
        <v>357</v>
      </c>
      <c r="O736" t="s">
        <v>632</v>
      </c>
      <c r="P736" t="s">
        <v>3079</v>
      </c>
      <c r="Q736" t="s">
        <v>2281</v>
      </c>
    </row>
    <row r="737" spans="1:17">
      <c r="A737" s="2" t="s">
        <v>2132</v>
      </c>
      <c r="B737" s="2" t="s">
        <v>456</v>
      </c>
      <c r="C737" s="2" t="s">
        <v>463</v>
      </c>
      <c r="D737" s="11">
        <v>45971.259027777778</v>
      </c>
      <c r="E737" s="11">
        <v>45971.259027777778</v>
      </c>
      <c r="F737" s="11">
        <v>45971.319444444445</v>
      </c>
      <c r="G737" s="12">
        <v>6.0416666667151731E-2</v>
      </c>
      <c r="H737" s="2" t="s">
        <v>257</v>
      </c>
      <c r="J737" s="2" t="s">
        <v>258</v>
      </c>
      <c r="K737" s="2" t="s">
        <v>658</v>
      </c>
      <c r="L737" s="2" t="s">
        <v>2062</v>
      </c>
      <c r="M737" t="s">
        <v>260</v>
      </c>
      <c r="N737" t="s">
        <v>357</v>
      </c>
      <c r="O737" t="s">
        <v>632</v>
      </c>
      <c r="P737" t="s">
        <v>3080</v>
      </c>
      <c r="Q737" t="s">
        <v>2281</v>
      </c>
    </row>
    <row r="738" spans="1:17">
      <c r="A738" s="2" t="s">
        <v>2132</v>
      </c>
      <c r="B738" s="2" t="s">
        <v>456</v>
      </c>
      <c r="C738" s="2" t="s">
        <v>464</v>
      </c>
      <c r="D738" s="11">
        <v>45971.259027777778</v>
      </c>
      <c r="E738" s="11">
        <v>45971.259027777778</v>
      </c>
      <c r="F738" s="11">
        <v>45971.319444444445</v>
      </c>
      <c r="G738" s="12">
        <v>6.0416666667151731E-2</v>
      </c>
      <c r="H738" s="2" t="s">
        <v>257</v>
      </c>
      <c r="J738" s="2" t="s">
        <v>258</v>
      </c>
      <c r="K738" s="2" t="s">
        <v>658</v>
      </c>
      <c r="L738" s="2" t="s">
        <v>2062</v>
      </c>
      <c r="M738" t="s">
        <v>260</v>
      </c>
      <c r="N738" t="s">
        <v>357</v>
      </c>
      <c r="O738" t="s">
        <v>632</v>
      </c>
      <c r="P738" t="s">
        <v>3081</v>
      </c>
      <c r="Q738" t="s">
        <v>2281</v>
      </c>
    </row>
    <row r="739" spans="1:17">
      <c r="A739" s="2" t="s">
        <v>2132</v>
      </c>
      <c r="B739" s="2" t="s">
        <v>456</v>
      </c>
      <c r="C739" s="2" t="s">
        <v>465</v>
      </c>
      <c r="D739" s="11">
        <v>45971.259027777778</v>
      </c>
      <c r="E739" s="11">
        <v>45971.259027777778</v>
      </c>
      <c r="F739" s="11">
        <v>45971.319444444445</v>
      </c>
      <c r="G739" s="12">
        <v>6.0416666667151731E-2</v>
      </c>
      <c r="H739" s="2" t="s">
        <v>257</v>
      </c>
      <c r="J739" s="2" t="s">
        <v>258</v>
      </c>
      <c r="K739" s="2" t="s">
        <v>658</v>
      </c>
      <c r="L739" s="2" t="s">
        <v>2062</v>
      </c>
      <c r="M739" t="s">
        <v>260</v>
      </c>
      <c r="N739" t="s">
        <v>357</v>
      </c>
      <c r="O739" t="s">
        <v>632</v>
      </c>
      <c r="P739" t="s">
        <v>3082</v>
      </c>
      <c r="Q739" t="s">
        <v>2281</v>
      </c>
    </row>
    <row r="740" spans="1:17">
      <c r="A740" s="2" t="s">
        <v>2133</v>
      </c>
      <c r="B740" s="2" t="s">
        <v>456</v>
      </c>
      <c r="C740" s="2" t="s">
        <v>466</v>
      </c>
      <c r="D740" s="11">
        <v>45971.259027777778</v>
      </c>
      <c r="E740" s="11">
        <v>45971.259027777778</v>
      </c>
      <c r="F740" s="11">
        <v>45971.319444444445</v>
      </c>
      <c r="G740" s="12">
        <v>6.0416666667151731E-2</v>
      </c>
      <c r="H740" s="2" t="s">
        <v>257</v>
      </c>
      <c r="J740" s="2" t="s">
        <v>258</v>
      </c>
      <c r="K740" s="2" t="s">
        <v>658</v>
      </c>
      <c r="L740" s="2" t="s">
        <v>2062</v>
      </c>
      <c r="M740" t="s">
        <v>260</v>
      </c>
      <c r="N740" t="s">
        <v>357</v>
      </c>
      <c r="O740" t="s">
        <v>632</v>
      </c>
      <c r="P740" t="s">
        <v>3083</v>
      </c>
      <c r="Q740" t="s">
        <v>2281</v>
      </c>
    </row>
    <row r="741" spans="1:17">
      <c r="A741" s="2" t="s">
        <v>2133</v>
      </c>
      <c r="B741" s="2" t="s">
        <v>456</v>
      </c>
      <c r="C741" s="2" t="s">
        <v>467</v>
      </c>
      <c r="D741" s="11">
        <v>45971.259027777778</v>
      </c>
      <c r="E741" s="11">
        <v>45971.259027777778</v>
      </c>
      <c r="F741" s="11">
        <v>45971.319444444445</v>
      </c>
      <c r="G741" s="12">
        <v>6.0416666667151731E-2</v>
      </c>
      <c r="H741" s="2" t="s">
        <v>257</v>
      </c>
      <c r="J741" s="2" t="s">
        <v>258</v>
      </c>
      <c r="K741" s="2" t="s">
        <v>658</v>
      </c>
      <c r="L741" s="2" t="s">
        <v>2062</v>
      </c>
      <c r="M741" t="s">
        <v>260</v>
      </c>
      <c r="N741" t="s">
        <v>357</v>
      </c>
      <c r="O741" t="s">
        <v>632</v>
      </c>
      <c r="P741" t="s">
        <v>3084</v>
      </c>
      <c r="Q741" t="s">
        <v>2281</v>
      </c>
    </row>
    <row r="742" spans="1:17">
      <c r="A742" s="2" t="s">
        <v>2133</v>
      </c>
      <c r="B742" s="2" t="s">
        <v>456</v>
      </c>
      <c r="C742" s="2" t="s">
        <v>468</v>
      </c>
      <c r="D742" s="11">
        <v>45971.259027777778</v>
      </c>
      <c r="E742" s="11">
        <v>45971.259027777778</v>
      </c>
      <c r="F742" s="11">
        <v>45971.319444444445</v>
      </c>
      <c r="G742" s="12">
        <v>6.0416666667151731E-2</v>
      </c>
      <c r="H742" s="2" t="s">
        <v>257</v>
      </c>
      <c r="J742" s="2" t="s">
        <v>258</v>
      </c>
      <c r="K742" s="2" t="s">
        <v>658</v>
      </c>
      <c r="L742" s="2" t="s">
        <v>2062</v>
      </c>
      <c r="M742" t="s">
        <v>260</v>
      </c>
      <c r="N742" t="s">
        <v>357</v>
      </c>
      <c r="O742" t="s">
        <v>632</v>
      </c>
      <c r="P742" t="s">
        <v>3085</v>
      </c>
      <c r="Q742" t="s">
        <v>2281</v>
      </c>
    </row>
    <row r="743" spans="1:17">
      <c r="A743" s="2" t="s">
        <v>2133</v>
      </c>
      <c r="B743" s="2" t="s">
        <v>456</v>
      </c>
      <c r="C743" s="2" t="s">
        <v>469</v>
      </c>
      <c r="D743" s="11">
        <v>45971.259027777778</v>
      </c>
      <c r="E743" s="11">
        <v>45971.259027777778</v>
      </c>
      <c r="F743" s="11">
        <v>45971.319444444445</v>
      </c>
      <c r="G743" s="12">
        <v>6.0416666667151731E-2</v>
      </c>
      <c r="H743" s="2" t="s">
        <v>257</v>
      </c>
      <c r="J743" s="2" t="s">
        <v>258</v>
      </c>
      <c r="K743" s="2" t="s">
        <v>658</v>
      </c>
      <c r="L743" s="2" t="s">
        <v>2062</v>
      </c>
      <c r="M743" t="s">
        <v>260</v>
      </c>
      <c r="N743" t="s">
        <v>357</v>
      </c>
      <c r="O743" t="s">
        <v>632</v>
      </c>
      <c r="P743" t="s">
        <v>3086</v>
      </c>
      <c r="Q743" t="s">
        <v>2281</v>
      </c>
    </row>
    <row r="744" spans="1:17">
      <c r="A744" s="2" t="s">
        <v>2133</v>
      </c>
      <c r="B744" s="2" t="s">
        <v>456</v>
      </c>
      <c r="C744" s="2" t="s">
        <v>470</v>
      </c>
      <c r="D744" s="11">
        <v>45971.259027777778</v>
      </c>
      <c r="E744" s="11">
        <v>45971.259027777778</v>
      </c>
      <c r="F744" s="11">
        <v>45971.319444444445</v>
      </c>
      <c r="G744" s="12">
        <v>6.0416666667151731E-2</v>
      </c>
      <c r="H744" s="2" t="s">
        <v>257</v>
      </c>
      <c r="J744" s="2" t="s">
        <v>258</v>
      </c>
      <c r="K744" s="2" t="s">
        <v>658</v>
      </c>
      <c r="L744" s="2" t="s">
        <v>2062</v>
      </c>
      <c r="M744" t="s">
        <v>260</v>
      </c>
      <c r="N744" t="s">
        <v>357</v>
      </c>
      <c r="O744" t="s">
        <v>632</v>
      </c>
      <c r="P744" t="s">
        <v>3087</v>
      </c>
      <c r="Q744" t="s">
        <v>2281</v>
      </c>
    </row>
    <row r="745" spans="1:17">
      <c r="A745" s="2" t="s">
        <v>2133</v>
      </c>
      <c r="B745" s="2" t="s">
        <v>456</v>
      </c>
      <c r="C745" s="2" t="s">
        <v>471</v>
      </c>
      <c r="D745" s="11">
        <v>45971.259027777778</v>
      </c>
      <c r="E745" s="11">
        <v>45971.259027777778</v>
      </c>
      <c r="F745" s="11">
        <v>45971.319444444445</v>
      </c>
      <c r="G745" s="12">
        <v>6.0416666667151731E-2</v>
      </c>
      <c r="H745" s="2" t="s">
        <v>257</v>
      </c>
      <c r="J745" s="2" t="s">
        <v>258</v>
      </c>
      <c r="K745" s="2" t="s">
        <v>658</v>
      </c>
      <c r="L745" s="2" t="s">
        <v>2062</v>
      </c>
      <c r="M745" t="s">
        <v>260</v>
      </c>
      <c r="N745" t="s">
        <v>357</v>
      </c>
      <c r="O745" t="s">
        <v>632</v>
      </c>
      <c r="P745" t="s">
        <v>3088</v>
      </c>
      <c r="Q745" t="s">
        <v>2281</v>
      </c>
    </row>
    <row r="746" spans="1:17">
      <c r="A746" s="2" t="s">
        <v>2133</v>
      </c>
      <c r="B746" s="2" t="s">
        <v>456</v>
      </c>
      <c r="C746" s="2" t="s">
        <v>472</v>
      </c>
      <c r="D746" s="11">
        <v>45971.259027777778</v>
      </c>
      <c r="E746" s="11">
        <v>45971.259027777778</v>
      </c>
      <c r="F746" s="11">
        <v>45971.319444444445</v>
      </c>
      <c r="G746" s="12">
        <v>6.0416666667151731E-2</v>
      </c>
      <c r="H746" s="2" t="s">
        <v>257</v>
      </c>
      <c r="J746" s="2" t="s">
        <v>258</v>
      </c>
      <c r="K746" s="2" t="s">
        <v>658</v>
      </c>
      <c r="L746" s="2" t="s">
        <v>2062</v>
      </c>
      <c r="M746" t="s">
        <v>260</v>
      </c>
      <c r="N746" t="s">
        <v>357</v>
      </c>
      <c r="O746" t="s">
        <v>632</v>
      </c>
      <c r="P746" t="s">
        <v>3089</v>
      </c>
      <c r="Q746" t="s">
        <v>2281</v>
      </c>
    </row>
    <row r="747" spans="1:17">
      <c r="A747" s="2" t="s">
        <v>2146</v>
      </c>
      <c r="B747" s="2" t="s">
        <v>456</v>
      </c>
      <c r="C747" s="2" t="s">
        <v>473</v>
      </c>
      <c r="D747" s="11">
        <v>45971.259027777778</v>
      </c>
      <c r="E747" s="11">
        <v>45971.259027777778</v>
      </c>
      <c r="F747" s="11">
        <v>45971.319444444445</v>
      </c>
      <c r="G747" s="12">
        <v>6.0416666667151731E-2</v>
      </c>
      <c r="H747" s="2" t="s">
        <v>257</v>
      </c>
      <c r="J747" s="2" t="s">
        <v>258</v>
      </c>
      <c r="K747" s="2" t="s">
        <v>658</v>
      </c>
      <c r="L747" s="2" t="s">
        <v>2062</v>
      </c>
      <c r="M747" t="s">
        <v>260</v>
      </c>
      <c r="N747" t="s">
        <v>357</v>
      </c>
      <c r="O747" t="s">
        <v>632</v>
      </c>
      <c r="P747" t="s">
        <v>3090</v>
      </c>
      <c r="Q747" t="s">
        <v>2281</v>
      </c>
    </row>
    <row r="748" spans="1:17">
      <c r="A748" s="2" t="s">
        <v>2146</v>
      </c>
      <c r="B748" s="2" t="s">
        <v>456</v>
      </c>
      <c r="C748" s="2" t="s">
        <v>474</v>
      </c>
      <c r="D748" s="11">
        <v>45971.259027777778</v>
      </c>
      <c r="E748" s="11">
        <v>45971.259027777778</v>
      </c>
      <c r="F748" s="11">
        <v>45971.319444444445</v>
      </c>
      <c r="G748" s="12">
        <v>6.0416666667151731E-2</v>
      </c>
      <c r="H748" s="2" t="s">
        <v>257</v>
      </c>
      <c r="J748" s="2" t="s">
        <v>258</v>
      </c>
      <c r="K748" s="2" t="s">
        <v>658</v>
      </c>
      <c r="L748" s="2" t="s">
        <v>2062</v>
      </c>
      <c r="M748" t="s">
        <v>260</v>
      </c>
      <c r="N748" t="s">
        <v>357</v>
      </c>
      <c r="O748" t="s">
        <v>632</v>
      </c>
      <c r="P748" t="s">
        <v>3091</v>
      </c>
      <c r="Q748" t="s">
        <v>2281</v>
      </c>
    </row>
    <row r="749" spans="1:17">
      <c r="A749" s="2" t="s">
        <v>2146</v>
      </c>
      <c r="B749" s="2" t="s">
        <v>456</v>
      </c>
      <c r="C749" s="2" t="s">
        <v>475</v>
      </c>
      <c r="D749" s="11">
        <v>45971.259027777778</v>
      </c>
      <c r="E749" s="11">
        <v>45971.259027777778</v>
      </c>
      <c r="F749" s="11">
        <v>45971.319444444445</v>
      </c>
      <c r="G749" s="12">
        <v>6.0416666667151731E-2</v>
      </c>
      <c r="H749" s="2" t="s">
        <v>257</v>
      </c>
      <c r="J749" s="2" t="s">
        <v>258</v>
      </c>
      <c r="K749" s="2" t="s">
        <v>658</v>
      </c>
      <c r="L749" s="2" t="s">
        <v>2062</v>
      </c>
      <c r="M749" t="s">
        <v>260</v>
      </c>
      <c r="N749" t="s">
        <v>357</v>
      </c>
      <c r="O749" t="s">
        <v>632</v>
      </c>
      <c r="P749" t="s">
        <v>3092</v>
      </c>
      <c r="Q749" t="s">
        <v>2281</v>
      </c>
    </row>
    <row r="750" spans="1:17">
      <c r="A750" s="2" t="s">
        <v>2146</v>
      </c>
      <c r="B750" s="2" t="s">
        <v>456</v>
      </c>
      <c r="C750" s="2" t="s">
        <v>476</v>
      </c>
      <c r="D750" s="11">
        <v>45971.259027777778</v>
      </c>
      <c r="E750" s="11">
        <v>45971.259027777778</v>
      </c>
      <c r="F750" s="11">
        <v>45971.319444444445</v>
      </c>
      <c r="G750" s="12">
        <v>6.0416666667151731E-2</v>
      </c>
      <c r="H750" s="2" t="s">
        <v>257</v>
      </c>
      <c r="J750" s="2" t="s">
        <v>258</v>
      </c>
      <c r="K750" s="2" t="s">
        <v>658</v>
      </c>
      <c r="L750" s="2" t="s">
        <v>2062</v>
      </c>
      <c r="M750" t="s">
        <v>260</v>
      </c>
      <c r="N750" t="s">
        <v>357</v>
      </c>
      <c r="O750" t="s">
        <v>632</v>
      </c>
      <c r="P750" t="s">
        <v>3093</v>
      </c>
      <c r="Q750" t="s">
        <v>2281</v>
      </c>
    </row>
    <row r="751" spans="1:17">
      <c r="A751" s="2" t="s">
        <v>2146</v>
      </c>
      <c r="B751" s="2" t="s">
        <v>456</v>
      </c>
      <c r="C751" s="2" t="s">
        <v>477</v>
      </c>
      <c r="D751" s="11">
        <v>45971.259027777778</v>
      </c>
      <c r="E751" s="11">
        <v>45971.259027777778</v>
      </c>
      <c r="F751" s="11">
        <v>45971.319444444445</v>
      </c>
      <c r="G751" s="12">
        <v>6.0416666667151731E-2</v>
      </c>
      <c r="H751" s="2" t="s">
        <v>257</v>
      </c>
      <c r="J751" s="2" t="s">
        <v>258</v>
      </c>
      <c r="K751" s="2" t="s">
        <v>658</v>
      </c>
      <c r="L751" s="2" t="s">
        <v>2062</v>
      </c>
      <c r="M751" t="s">
        <v>260</v>
      </c>
      <c r="N751" t="s">
        <v>357</v>
      </c>
      <c r="O751" t="s">
        <v>632</v>
      </c>
      <c r="P751" t="s">
        <v>3094</v>
      </c>
      <c r="Q751" t="s">
        <v>2281</v>
      </c>
    </row>
    <row r="752" spans="1:17">
      <c r="A752" s="2" t="s">
        <v>2147</v>
      </c>
      <c r="B752" s="2" t="s">
        <v>456</v>
      </c>
      <c r="C752" s="2" t="s">
        <v>478</v>
      </c>
      <c r="D752" s="11">
        <v>45971.259027777778</v>
      </c>
      <c r="E752" s="11">
        <v>45971.259027777778</v>
      </c>
      <c r="F752" s="11">
        <v>45971.319444444445</v>
      </c>
      <c r="G752" s="12">
        <v>6.0416666667151731E-2</v>
      </c>
      <c r="H752" s="2" t="s">
        <v>257</v>
      </c>
      <c r="J752" s="2" t="s">
        <v>258</v>
      </c>
      <c r="K752" s="2" t="s">
        <v>658</v>
      </c>
      <c r="L752" s="2" t="s">
        <v>2062</v>
      </c>
      <c r="M752" t="s">
        <v>260</v>
      </c>
      <c r="N752" t="s">
        <v>357</v>
      </c>
      <c r="O752" t="s">
        <v>632</v>
      </c>
      <c r="P752" t="s">
        <v>3095</v>
      </c>
      <c r="Q752" t="s">
        <v>2281</v>
      </c>
    </row>
    <row r="753" spans="1:17">
      <c r="A753" s="2" t="s">
        <v>2147</v>
      </c>
      <c r="B753" s="2" t="s">
        <v>456</v>
      </c>
      <c r="C753" s="2" t="s">
        <v>479</v>
      </c>
      <c r="D753" s="11">
        <v>45971.259027777778</v>
      </c>
      <c r="E753" s="11">
        <v>45971.259027777778</v>
      </c>
      <c r="F753" s="11">
        <v>45971.319444444445</v>
      </c>
      <c r="G753" s="12">
        <v>6.0416666667151731E-2</v>
      </c>
      <c r="H753" s="2" t="s">
        <v>257</v>
      </c>
      <c r="J753" s="2" t="s">
        <v>258</v>
      </c>
      <c r="K753" s="2" t="s">
        <v>658</v>
      </c>
      <c r="L753" s="2" t="s">
        <v>2062</v>
      </c>
      <c r="M753" t="s">
        <v>260</v>
      </c>
      <c r="N753" t="s">
        <v>357</v>
      </c>
      <c r="O753" t="s">
        <v>632</v>
      </c>
      <c r="P753" t="s">
        <v>3096</v>
      </c>
      <c r="Q753" t="s">
        <v>2281</v>
      </c>
    </row>
    <row r="754" spans="1:17">
      <c r="A754" s="2" t="s">
        <v>2147</v>
      </c>
      <c r="B754" s="2" t="s">
        <v>456</v>
      </c>
      <c r="C754" s="2" t="s">
        <v>480</v>
      </c>
      <c r="D754" s="11">
        <v>45971.259027777778</v>
      </c>
      <c r="E754" s="11">
        <v>45971.259027777778</v>
      </c>
      <c r="F754" s="11">
        <v>45971.319444444445</v>
      </c>
      <c r="G754" s="12">
        <v>6.0416666667151731E-2</v>
      </c>
      <c r="H754" s="2" t="s">
        <v>257</v>
      </c>
      <c r="J754" s="2" t="s">
        <v>258</v>
      </c>
      <c r="K754" s="2" t="s">
        <v>658</v>
      </c>
      <c r="L754" s="2" t="s">
        <v>2062</v>
      </c>
      <c r="M754" t="s">
        <v>260</v>
      </c>
      <c r="N754" t="s">
        <v>357</v>
      </c>
      <c r="O754" t="s">
        <v>632</v>
      </c>
      <c r="P754" t="s">
        <v>3097</v>
      </c>
      <c r="Q754" t="s">
        <v>2281</v>
      </c>
    </row>
    <row r="755" spans="1:17">
      <c r="A755" s="2" t="s">
        <v>2147</v>
      </c>
      <c r="B755" s="2" t="s">
        <v>456</v>
      </c>
      <c r="C755" s="2" t="s">
        <v>481</v>
      </c>
      <c r="D755" s="11">
        <v>45971.259027777778</v>
      </c>
      <c r="E755" s="11">
        <v>45971.259027777778</v>
      </c>
      <c r="F755" s="11">
        <v>45971.319444444445</v>
      </c>
      <c r="G755" s="12">
        <v>6.0416666667151731E-2</v>
      </c>
      <c r="H755" s="2" t="s">
        <v>257</v>
      </c>
      <c r="J755" s="2" t="s">
        <v>258</v>
      </c>
      <c r="K755" s="2" t="s">
        <v>658</v>
      </c>
      <c r="L755" s="2" t="s">
        <v>2062</v>
      </c>
      <c r="M755" t="s">
        <v>260</v>
      </c>
      <c r="N755" t="s">
        <v>357</v>
      </c>
      <c r="O755" t="s">
        <v>632</v>
      </c>
      <c r="P755" t="s">
        <v>3098</v>
      </c>
      <c r="Q755" t="s">
        <v>2281</v>
      </c>
    </row>
    <row r="756" spans="1:17">
      <c r="A756" s="2" t="s">
        <v>2148</v>
      </c>
      <c r="B756" s="2" t="s">
        <v>456</v>
      </c>
      <c r="C756" s="2" t="s">
        <v>482</v>
      </c>
      <c r="D756" s="11">
        <v>45971.259027777778</v>
      </c>
      <c r="E756" s="11">
        <v>45971.259027777778</v>
      </c>
      <c r="F756" s="11">
        <v>45971.319444444445</v>
      </c>
      <c r="G756" s="12">
        <v>6.0416666667151731E-2</v>
      </c>
      <c r="H756" s="2" t="s">
        <v>257</v>
      </c>
      <c r="J756" s="2" t="s">
        <v>258</v>
      </c>
      <c r="K756" s="2" t="s">
        <v>658</v>
      </c>
      <c r="L756" s="2" t="s">
        <v>2062</v>
      </c>
      <c r="M756" t="s">
        <v>260</v>
      </c>
      <c r="N756" t="s">
        <v>357</v>
      </c>
      <c r="O756" t="s">
        <v>632</v>
      </c>
      <c r="P756" t="s">
        <v>3099</v>
      </c>
      <c r="Q756" t="s">
        <v>2281</v>
      </c>
    </row>
    <row r="757" spans="1:17">
      <c r="A757" s="2" t="s">
        <v>2148</v>
      </c>
      <c r="B757" s="2" t="s">
        <v>456</v>
      </c>
      <c r="C757" s="2" t="s">
        <v>483</v>
      </c>
      <c r="D757" s="11">
        <v>45971.259027777778</v>
      </c>
      <c r="E757" s="11">
        <v>45971.259027777778</v>
      </c>
      <c r="F757" s="11">
        <v>45971.319444444445</v>
      </c>
      <c r="G757" s="12">
        <v>6.0416666667151731E-2</v>
      </c>
      <c r="H757" s="2" t="s">
        <v>257</v>
      </c>
      <c r="J757" s="2" t="s">
        <v>258</v>
      </c>
      <c r="K757" s="2" t="s">
        <v>658</v>
      </c>
      <c r="L757" s="2" t="s">
        <v>2062</v>
      </c>
      <c r="M757" t="s">
        <v>260</v>
      </c>
      <c r="N757" t="s">
        <v>357</v>
      </c>
      <c r="O757" t="s">
        <v>632</v>
      </c>
      <c r="P757" t="s">
        <v>3100</v>
      </c>
      <c r="Q757" t="s">
        <v>2281</v>
      </c>
    </row>
    <row r="758" spans="1:17">
      <c r="A758" s="2" t="s">
        <v>2148</v>
      </c>
      <c r="B758" s="2" t="s">
        <v>456</v>
      </c>
      <c r="C758" s="2" t="s">
        <v>484</v>
      </c>
      <c r="D758" s="11">
        <v>45971.259027777778</v>
      </c>
      <c r="E758" s="11">
        <v>45971.259027777778</v>
      </c>
      <c r="F758" s="11">
        <v>45971.319444444445</v>
      </c>
      <c r="G758" s="12">
        <v>6.0416666667151731E-2</v>
      </c>
      <c r="H758" s="2" t="s">
        <v>257</v>
      </c>
      <c r="J758" s="2" t="s">
        <v>258</v>
      </c>
      <c r="K758" s="2" t="s">
        <v>658</v>
      </c>
      <c r="L758" s="2" t="s">
        <v>2062</v>
      </c>
      <c r="M758" t="s">
        <v>260</v>
      </c>
      <c r="N758" t="s">
        <v>357</v>
      </c>
      <c r="O758" t="s">
        <v>632</v>
      </c>
      <c r="P758" t="s">
        <v>3101</v>
      </c>
      <c r="Q758" t="s">
        <v>2281</v>
      </c>
    </row>
    <row r="759" spans="1:17">
      <c r="A759" s="2" t="s">
        <v>2148</v>
      </c>
      <c r="B759" s="2" t="s">
        <v>456</v>
      </c>
      <c r="C759" s="2" t="s">
        <v>485</v>
      </c>
      <c r="D759" s="11">
        <v>45971.259027777778</v>
      </c>
      <c r="E759" s="11">
        <v>45971.259027777778</v>
      </c>
      <c r="F759" s="11">
        <v>45971.319444444445</v>
      </c>
      <c r="G759" s="12">
        <v>6.0416666667151731E-2</v>
      </c>
      <c r="H759" s="2" t="s">
        <v>257</v>
      </c>
      <c r="J759" s="2" t="s">
        <v>258</v>
      </c>
      <c r="K759" s="2" t="s">
        <v>658</v>
      </c>
      <c r="L759" s="2" t="s">
        <v>2062</v>
      </c>
      <c r="M759" t="s">
        <v>260</v>
      </c>
      <c r="N759" t="s">
        <v>357</v>
      </c>
      <c r="O759" t="s">
        <v>632</v>
      </c>
      <c r="P759" t="s">
        <v>3102</v>
      </c>
      <c r="Q759" t="s">
        <v>2281</v>
      </c>
    </row>
    <row r="760" spans="1:17">
      <c r="A760" s="2" t="s">
        <v>2148</v>
      </c>
      <c r="B760" s="2" t="s">
        <v>456</v>
      </c>
      <c r="C760" s="2" t="s">
        <v>486</v>
      </c>
      <c r="D760" s="11">
        <v>45971.259027777778</v>
      </c>
      <c r="E760" s="11">
        <v>45971.259027777778</v>
      </c>
      <c r="F760" s="11">
        <v>45971.319444444445</v>
      </c>
      <c r="G760" s="12">
        <v>6.0416666667151731E-2</v>
      </c>
      <c r="H760" s="2" t="s">
        <v>257</v>
      </c>
      <c r="J760" s="2" t="s">
        <v>258</v>
      </c>
      <c r="K760" s="2" t="s">
        <v>658</v>
      </c>
      <c r="L760" s="2" t="s">
        <v>2062</v>
      </c>
      <c r="M760" t="s">
        <v>260</v>
      </c>
      <c r="N760" t="s">
        <v>357</v>
      </c>
      <c r="O760" t="s">
        <v>632</v>
      </c>
      <c r="P760" t="s">
        <v>3103</v>
      </c>
      <c r="Q760" t="s">
        <v>2281</v>
      </c>
    </row>
    <row r="761" spans="1:17">
      <c r="A761" s="2" t="s">
        <v>2195</v>
      </c>
      <c r="B761" s="2" t="s">
        <v>543</v>
      </c>
      <c r="C761" s="2" t="s">
        <v>2618</v>
      </c>
      <c r="D761" s="11">
        <v>45971.262187499997</v>
      </c>
      <c r="E761" s="11">
        <v>45971.262187499997</v>
      </c>
      <c r="F761" s="11">
        <v>45971.266087962962</v>
      </c>
      <c r="G761" s="12">
        <v>3.9004629652481526E-3</v>
      </c>
      <c r="H761" s="2" t="s">
        <v>257</v>
      </c>
      <c r="J761" s="2" t="s">
        <v>371</v>
      </c>
      <c r="K761" s="2" t="s">
        <v>653</v>
      </c>
      <c r="L761" s="2" t="s">
        <v>861</v>
      </c>
      <c r="M761" t="s">
        <v>252</v>
      </c>
      <c r="N761" t="s">
        <v>631</v>
      </c>
      <c r="P761" t="s">
        <v>3104</v>
      </c>
      <c r="Q761" t="s">
        <v>2537</v>
      </c>
    </row>
    <row r="762" spans="1:17">
      <c r="A762" s="2" t="s">
        <v>2195</v>
      </c>
      <c r="B762" s="2" t="s">
        <v>543</v>
      </c>
      <c r="C762" s="2" t="s">
        <v>2535</v>
      </c>
      <c r="D762" s="11">
        <v>45971.262187499997</v>
      </c>
      <c r="E762" s="11">
        <v>45971.262187499997</v>
      </c>
      <c r="F762" s="11">
        <v>45971.265694444446</v>
      </c>
      <c r="G762" s="12">
        <v>3.5069444493274204E-3</v>
      </c>
      <c r="H762" s="2" t="s">
        <v>257</v>
      </c>
      <c r="J762" s="2" t="s">
        <v>371</v>
      </c>
      <c r="K762" s="2" t="s">
        <v>653</v>
      </c>
      <c r="L762" s="2" t="s">
        <v>861</v>
      </c>
      <c r="M762" t="s">
        <v>252</v>
      </c>
      <c r="N762" t="s">
        <v>631</v>
      </c>
      <c r="P762" t="s">
        <v>3105</v>
      </c>
      <c r="Q762" t="s">
        <v>2537</v>
      </c>
    </row>
    <row r="763" spans="1:17">
      <c r="A763" s="2" t="s">
        <v>2195</v>
      </c>
      <c r="B763" s="2" t="s">
        <v>543</v>
      </c>
      <c r="C763" s="2" t="s">
        <v>2719</v>
      </c>
      <c r="D763" s="11">
        <v>45971.262187499997</v>
      </c>
      <c r="E763" s="11">
        <v>45971.262187499997</v>
      </c>
      <c r="F763" s="11">
        <v>45971.266064814816</v>
      </c>
      <c r="G763" s="12">
        <v>3.8773148189648055E-3</v>
      </c>
      <c r="H763" s="2" t="s">
        <v>257</v>
      </c>
      <c r="J763" s="2" t="s">
        <v>371</v>
      </c>
      <c r="K763" s="2" t="s">
        <v>653</v>
      </c>
      <c r="L763" s="2" t="s">
        <v>861</v>
      </c>
      <c r="M763" t="s">
        <v>252</v>
      </c>
      <c r="N763" t="s">
        <v>631</v>
      </c>
      <c r="P763" t="s">
        <v>3106</v>
      </c>
      <c r="Q763" t="s">
        <v>2537</v>
      </c>
    </row>
    <row r="764" spans="1:17">
      <c r="A764" s="2" t="s">
        <v>2195</v>
      </c>
      <c r="B764" s="2" t="s">
        <v>543</v>
      </c>
      <c r="C764" s="2" t="s">
        <v>2616</v>
      </c>
      <c r="D764" s="11">
        <v>45971.262187499997</v>
      </c>
      <c r="E764" s="11">
        <v>45971.262187499997</v>
      </c>
      <c r="F764" s="11">
        <v>45971.266064814816</v>
      </c>
      <c r="G764" s="12">
        <v>3.8773148189648055E-3</v>
      </c>
      <c r="H764" s="2" t="s">
        <v>257</v>
      </c>
      <c r="J764" s="2" t="s">
        <v>371</v>
      </c>
      <c r="K764" s="2" t="s">
        <v>653</v>
      </c>
      <c r="L764" s="2" t="s">
        <v>861</v>
      </c>
      <c r="M764" t="s">
        <v>252</v>
      </c>
      <c r="N764" t="s">
        <v>631</v>
      </c>
      <c r="P764" t="s">
        <v>3107</v>
      </c>
      <c r="Q764" t="s">
        <v>2537</v>
      </c>
    </row>
    <row r="765" spans="1:17">
      <c r="A765" s="2" t="s">
        <v>2195</v>
      </c>
      <c r="B765" s="2" t="s">
        <v>543</v>
      </c>
      <c r="C765" s="2" t="s">
        <v>2848</v>
      </c>
      <c r="D765" s="11">
        <v>45971.262187499997</v>
      </c>
      <c r="E765" s="11">
        <v>45971.262187499997</v>
      </c>
      <c r="F765" s="11">
        <v>45971.266134259262</v>
      </c>
      <c r="G765" s="12">
        <v>3.9467592650908045E-3</v>
      </c>
      <c r="H765" s="2" t="s">
        <v>257</v>
      </c>
      <c r="J765" s="2" t="s">
        <v>371</v>
      </c>
      <c r="K765" s="2" t="s">
        <v>653</v>
      </c>
      <c r="L765" s="2" t="s">
        <v>861</v>
      </c>
      <c r="M765" t="s">
        <v>252</v>
      </c>
      <c r="N765" t="s">
        <v>631</v>
      </c>
      <c r="P765" t="s">
        <v>3108</v>
      </c>
      <c r="Q765" t="s">
        <v>2537</v>
      </c>
    </row>
    <row r="766" spans="1:17">
      <c r="A766" s="2" t="s">
        <v>2195</v>
      </c>
      <c r="B766" s="2" t="s">
        <v>543</v>
      </c>
      <c r="C766" s="2" t="s">
        <v>2846</v>
      </c>
      <c r="D766" s="11">
        <v>45971.262187499997</v>
      </c>
      <c r="E766" s="11">
        <v>45971.262187499997</v>
      </c>
      <c r="F766" s="11">
        <v>45971.266064814816</v>
      </c>
      <c r="G766" s="12">
        <v>3.8773148189648055E-3</v>
      </c>
      <c r="H766" s="2" t="s">
        <v>257</v>
      </c>
      <c r="J766" s="2" t="s">
        <v>371</v>
      </c>
      <c r="K766" s="2" t="s">
        <v>653</v>
      </c>
      <c r="L766" s="2" t="s">
        <v>861</v>
      </c>
      <c r="M766" t="s">
        <v>252</v>
      </c>
      <c r="N766" t="s">
        <v>631</v>
      </c>
      <c r="P766" t="s">
        <v>3109</v>
      </c>
      <c r="Q766" t="s">
        <v>2537</v>
      </c>
    </row>
    <row r="767" spans="1:17">
      <c r="A767" s="2" t="s">
        <v>2195</v>
      </c>
      <c r="B767" s="2" t="s">
        <v>543</v>
      </c>
      <c r="C767" s="2" t="s">
        <v>556</v>
      </c>
      <c r="D767" s="11">
        <v>45971.262187499997</v>
      </c>
      <c r="E767" s="11">
        <v>45971.262187499997</v>
      </c>
      <c r="F767" s="11">
        <v>45971.266111111108</v>
      </c>
      <c r="G767" s="12">
        <v>3.9236111115314998E-3</v>
      </c>
      <c r="H767" s="2" t="s">
        <v>257</v>
      </c>
      <c r="J767" s="2" t="s">
        <v>371</v>
      </c>
      <c r="K767" s="2" t="s">
        <v>653</v>
      </c>
      <c r="L767" s="2" t="s">
        <v>861</v>
      </c>
      <c r="M767" t="s">
        <v>252</v>
      </c>
      <c r="N767" t="s">
        <v>631</v>
      </c>
      <c r="P767" t="s">
        <v>3110</v>
      </c>
      <c r="Q767" t="s">
        <v>2537</v>
      </c>
    </row>
    <row r="768" spans="1:17">
      <c r="A768" s="2" t="s">
        <v>487</v>
      </c>
      <c r="B768" s="2" t="s">
        <v>487</v>
      </c>
      <c r="C768" s="2" t="s">
        <v>377</v>
      </c>
      <c r="D768" s="11">
        <v>45971.263888888891</v>
      </c>
      <c r="E768" s="11">
        <v>45971.263888888891</v>
      </c>
      <c r="F768" s="11">
        <v>45971.322916666664</v>
      </c>
      <c r="G768" s="12">
        <v>5.9027777773735579E-2</v>
      </c>
      <c r="H768" s="2" t="s">
        <v>257</v>
      </c>
      <c r="J768" s="2" t="s">
        <v>258</v>
      </c>
      <c r="K768" s="2" t="s">
        <v>658</v>
      </c>
      <c r="L768" s="2" t="s">
        <v>2062</v>
      </c>
      <c r="M768" t="s">
        <v>260</v>
      </c>
      <c r="N768" t="s">
        <v>357</v>
      </c>
      <c r="O768" t="s">
        <v>632</v>
      </c>
      <c r="P768" t="s">
        <v>3111</v>
      </c>
      <c r="Q768" t="s">
        <v>2281</v>
      </c>
    </row>
    <row r="769" spans="1:17">
      <c r="A769" s="2" t="s">
        <v>487</v>
      </c>
      <c r="B769" s="2" t="s">
        <v>487</v>
      </c>
      <c r="C769" s="2" t="s">
        <v>378</v>
      </c>
      <c r="D769" s="11">
        <v>45971.263888888891</v>
      </c>
      <c r="E769" s="11">
        <v>45971.263888888891</v>
      </c>
      <c r="F769" s="11">
        <v>45971.322916666664</v>
      </c>
      <c r="G769" s="12">
        <v>5.9027777773735579E-2</v>
      </c>
      <c r="H769" s="2" t="s">
        <v>257</v>
      </c>
      <c r="J769" s="2" t="s">
        <v>258</v>
      </c>
      <c r="K769" s="2" t="s">
        <v>658</v>
      </c>
      <c r="L769" s="2" t="s">
        <v>2062</v>
      </c>
      <c r="M769" t="s">
        <v>260</v>
      </c>
      <c r="N769" t="s">
        <v>357</v>
      </c>
      <c r="O769" t="s">
        <v>632</v>
      </c>
      <c r="P769" t="s">
        <v>3112</v>
      </c>
      <c r="Q769" t="s">
        <v>2281</v>
      </c>
    </row>
    <row r="770" spans="1:17">
      <c r="A770" s="2" t="s">
        <v>487</v>
      </c>
      <c r="B770" s="2" t="s">
        <v>487</v>
      </c>
      <c r="C770" s="2" t="s">
        <v>382</v>
      </c>
      <c r="D770" s="11">
        <v>45971.263888888891</v>
      </c>
      <c r="E770" s="11">
        <v>45971.263888888891</v>
      </c>
      <c r="F770" s="11">
        <v>45971.322916666664</v>
      </c>
      <c r="G770" s="12">
        <v>5.9027777773735579E-2</v>
      </c>
      <c r="H770" s="2" t="s">
        <v>257</v>
      </c>
      <c r="J770" s="2" t="s">
        <v>258</v>
      </c>
      <c r="K770" s="2" t="s">
        <v>658</v>
      </c>
      <c r="L770" s="2" t="s">
        <v>2062</v>
      </c>
      <c r="M770" t="s">
        <v>260</v>
      </c>
      <c r="N770" t="s">
        <v>357</v>
      </c>
      <c r="O770" t="s">
        <v>632</v>
      </c>
      <c r="P770" t="s">
        <v>3113</v>
      </c>
      <c r="Q770" t="s">
        <v>2281</v>
      </c>
    </row>
    <row r="771" spans="1:17">
      <c r="A771" s="2" t="s">
        <v>487</v>
      </c>
      <c r="B771" s="2" t="s">
        <v>487</v>
      </c>
      <c r="C771" s="2" t="s">
        <v>380</v>
      </c>
      <c r="D771" s="11">
        <v>45971.263888888891</v>
      </c>
      <c r="E771" s="11">
        <v>45971.263888888891</v>
      </c>
      <c r="F771" s="11">
        <v>45971.322916666664</v>
      </c>
      <c r="G771" s="12">
        <v>5.9027777773735579E-2</v>
      </c>
      <c r="H771" s="2" t="s">
        <v>257</v>
      </c>
      <c r="J771" s="2" t="s">
        <v>258</v>
      </c>
      <c r="K771" s="2" t="s">
        <v>658</v>
      </c>
      <c r="L771" s="2" t="s">
        <v>2062</v>
      </c>
      <c r="M771" t="s">
        <v>260</v>
      </c>
      <c r="N771" t="s">
        <v>357</v>
      </c>
      <c r="O771" t="s">
        <v>632</v>
      </c>
      <c r="P771" t="s">
        <v>3114</v>
      </c>
      <c r="Q771" t="s">
        <v>2281</v>
      </c>
    </row>
    <row r="772" spans="1:17">
      <c r="A772" s="2" t="s">
        <v>487</v>
      </c>
      <c r="B772" s="2" t="s">
        <v>487</v>
      </c>
      <c r="C772" s="2" t="s">
        <v>379</v>
      </c>
      <c r="D772" s="11">
        <v>45971.263888888891</v>
      </c>
      <c r="E772" s="11">
        <v>45971.263888888891</v>
      </c>
      <c r="F772" s="11">
        <v>45971.322916666664</v>
      </c>
      <c r="G772" s="12">
        <v>5.9027777773735579E-2</v>
      </c>
      <c r="H772" s="2" t="s">
        <v>257</v>
      </c>
      <c r="J772" s="2" t="s">
        <v>258</v>
      </c>
      <c r="K772" s="2" t="s">
        <v>658</v>
      </c>
      <c r="L772" s="2" t="s">
        <v>2062</v>
      </c>
      <c r="M772" t="s">
        <v>260</v>
      </c>
      <c r="N772" t="s">
        <v>357</v>
      </c>
      <c r="O772" t="s">
        <v>632</v>
      </c>
      <c r="P772" t="s">
        <v>3115</v>
      </c>
      <c r="Q772" t="s">
        <v>2281</v>
      </c>
    </row>
    <row r="773" spans="1:17">
      <c r="A773" s="2" t="s">
        <v>583</v>
      </c>
      <c r="B773" s="2" t="s">
        <v>583</v>
      </c>
      <c r="C773" s="2" t="s">
        <v>377</v>
      </c>
      <c r="D773" s="11">
        <v>45971.263888888891</v>
      </c>
      <c r="E773" s="11">
        <v>45971.263888888891</v>
      </c>
      <c r="F773" s="11">
        <v>45971.322916666664</v>
      </c>
      <c r="G773" s="12">
        <v>5.9027777773735579E-2</v>
      </c>
      <c r="H773" s="2" t="s">
        <v>257</v>
      </c>
      <c r="J773" s="2" t="s">
        <v>258</v>
      </c>
      <c r="K773" s="2" t="s">
        <v>658</v>
      </c>
      <c r="L773" s="2" t="s">
        <v>2062</v>
      </c>
      <c r="M773" t="s">
        <v>260</v>
      </c>
      <c r="N773" t="s">
        <v>357</v>
      </c>
      <c r="O773" t="s">
        <v>632</v>
      </c>
      <c r="P773" t="s">
        <v>3116</v>
      </c>
      <c r="Q773" t="s">
        <v>2281</v>
      </c>
    </row>
    <row r="774" spans="1:17">
      <c r="A774" s="2" t="s">
        <v>583</v>
      </c>
      <c r="B774" s="2" t="s">
        <v>583</v>
      </c>
      <c r="C774" s="2" t="s">
        <v>378</v>
      </c>
      <c r="D774" s="11">
        <v>45971.263888888891</v>
      </c>
      <c r="E774" s="11">
        <v>45971.263888888891</v>
      </c>
      <c r="F774" s="11">
        <v>45971.322916666664</v>
      </c>
      <c r="G774" s="12">
        <v>5.9027777773735579E-2</v>
      </c>
      <c r="H774" s="2" t="s">
        <v>257</v>
      </c>
      <c r="J774" s="2" t="s">
        <v>258</v>
      </c>
      <c r="K774" s="2" t="s">
        <v>658</v>
      </c>
      <c r="L774" s="2" t="s">
        <v>2062</v>
      </c>
      <c r="M774" t="s">
        <v>260</v>
      </c>
      <c r="N774" t="s">
        <v>357</v>
      </c>
      <c r="O774" t="s">
        <v>632</v>
      </c>
      <c r="P774" t="s">
        <v>3117</v>
      </c>
      <c r="Q774" t="s">
        <v>2281</v>
      </c>
    </row>
    <row r="775" spans="1:17">
      <c r="A775" s="2" t="s">
        <v>583</v>
      </c>
      <c r="B775" s="2" t="s">
        <v>583</v>
      </c>
      <c r="C775" s="2" t="s">
        <v>382</v>
      </c>
      <c r="D775" s="11">
        <v>45971.263888888891</v>
      </c>
      <c r="E775" s="11">
        <v>45971.263888888891</v>
      </c>
      <c r="F775" s="11">
        <v>45971.322916666664</v>
      </c>
      <c r="G775" s="12">
        <v>5.9027777773735579E-2</v>
      </c>
      <c r="H775" s="2" t="s">
        <v>257</v>
      </c>
      <c r="J775" s="2" t="s">
        <v>258</v>
      </c>
      <c r="K775" s="2" t="s">
        <v>658</v>
      </c>
      <c r="L775" s="2" t="s">
        <v>2062</v>
      </c>
      <c r="M775" t="s">
        <v>260</v>
      </c>
      <c r="N775" t="s">
        <v>357</v>
      </c>
      <c r="O775" t="s">
        <v>632</v>
      </c>
      <c r="P775" t="s">
        <v>3118</v>
      </c>
      <c r="Q775" t="s">
        <v>2281</v>
      </c>
    </row>
    <row r="776" spans="1:17">
      <c r="A776" s="2" t="s">
        <v>583</v>
      </c>
      <c r="B776" s="2" t="s">
        <v>583</v>
      </c>
      <c r="C776" s="2" t="s">
        <v>380</v>
      </c>
      <c r="D776" s="11">
        <v>45971.263888888891</v>
      </c>
      <c r="E776" s="11">
        <v>45971.263888888891</v>
      </c>
      <c r="F776" s="11">
        <v>45971.322916666664</v>
      </c>
      <c r="G776" s="12">
        <v>5.9027777773735579E-2</v>
      </c>
      <c r="H776" s="2" t="s">
        <v>257</v>
      </c>
      <c r="J776" s="2" t="s">
        <v>258</v>
      </c>
      <c r="K776" s="2" t="s">
        <v>658</v>
      </c>
      <c r="L776" s="2" t="s">
        <v>2062</v>
      </c>
      <c r="M776" t="s">
        <v>260</v>
      </c>
      <c r="N776" t="s">
        <v>357</v>
      </c>
      <c r="O776" t="s">
        <v>632</v>
      </c>
      <c r="P776" t="s">
        <v>3119</v>
      </c>
      <c r="Q776" t="s">
        <v>2281</v>
      </c>
    </row>
    <row r="777" spans="1:17">
      <c r="A777" s="2" t="s">
        <v>583</v>
      </c>
      <c r="B777" s="2" t="s">
        <v>583</v>
      </c>
      <c r="C777" s="2" t="s">
        <v>379</v>
      </c>
      <c r="D777" s="11">
        <v>45971.263888888891</v>
      </c>
      <c r="E777" s="11">
        <v>45971.263888888891</v>
      </c>
      <c r="F777" s="11">
        <v>45971.322916666664</v>
      </c>
      <c r="G777" s="12">
        <v>5.9027777773735579E-2</v>
      </c>
      <c r="H777" s="2" t="s">
        <v>257</v>
      </c>
      <c r="J777" s="2" t="s">
        <v>258</v>
      </c>
      <c r="K777" s="2" t="s">
        <v>658</v>
      </c>
      <c r="L777" s="2" t="s">
        <v>2062</v>
      </c>
      <c r="M777" t="s">
        <v>260</v>
      </c>
      <c r="N777" t="s">
        <v>357</v>
      </c>
      <c r="O777" t="s">
        <v>632</v>
      </c>
      <c r="P777" t="s">
        <v>3120</v>
      </c>
      <c r="Q777" t="s">
        <v>2281</v>
      </c>
    </row>
    <row r="778" spans="1:17">
      <c r="A778" s="2" t="s">
        <v>584</v>
      </c>
      <c r="B778" s="2" t="s">
        <v>584</v>
      </c>
      <c r="C778" s="2" t="s">
        <v>377</v>
      </c>
      <c r="D778" s="11">
        <v>45971.263888888891</v>
      </c>
      <c r="E778" s="11">
        <v>45971.263888888891</v>
      </c>
      <c r="F778" s="11">
        <v>45971.322916666664</v>
      </c>
      <c r="G778" s="12">
        <v>5.9027777773735579E-2</v>
      </c>
      <c r="H778" s="2" t="s">
        <v>257</v>
      </c>
      <c r="J778" s="2" t="s">
        <v>258</v>
      </c>
      <c r="K778" s="2" t="s">
        <v>658</v>
      </c>
      <c r="L778" s="2" t="s">
        <v>2062</v>
      </c>
      <c r="M778" t="s">
        <v>260</v>
      </c>
      <c r="N778" t="s">
        <v>357</v>
      </c>
      <c r="O778" t="s">
        <v>632</v>
      </c>
      <c r="P778" t="s">
        <v>3121</v>
      </c>
      <c r="Q778" t="s">
        <v>2281</v>
      </c>
    </row>
    <row r="779" spans="1:17">
      <c r="A779" s="2" t="s">
        <v>584</v>
      </c>
      <c r="B779" s="2" t="s">
        <v>584</v>
      </c>
      <c r="C779" s="2" t="s">
        <v>378</v>
      </c>
      <c r="D779" s="11">
        <v>45971.263888888891</v>
      </c>
      <c r="E779" s="11">
        <v>45971.263888888891</v>
      </c>
      <c r="F779" s="11">
        <v>45971.322916666664</v>
      </c>
      <c r="G779" s="12">
        <v>5.9027777773735579E-2</v>
      </c>
      <c r="H779" s="2" t="s">
        <v>257</v>
      </c>
      <c r="J779" s="2" t="s">
        <v>258</v>
      </c>
      <c r="K779" s="2" t="s">
        <v>658</v>
      </c>
      <c r="L779" s="2" t="s">
        <v>2062</v>
      </c>
      <c r="M779" t="s">
        <v>260</v>
      </c>
      <c r="N779" t="s">
        <v>357</v>
      </c>
      <c r="O779" t="s">
        <v>632</v>
      </c>
      <c r="P779" t="s">
        <v>3122</v>
      </c>
      <c r="Q779" t="s">
        <v>2281</v>
      </c>
    </row>
    <row r="780" spans="1:17">
      <c r="A780" s="2" t="s">
        <v>584</v>
      </c>
      <c r="B780" s="2" t="s">
        <v>584</v>
      </c>
      <c r="C780" s="2" t="s">
        <v>382</v>
      </c>
      <c r="D780" s="11">
        <v>45971.263888888891</v>
      </c>
      <c r="E780" s="11">
        <v>45971.263888888891</v>
      </c>
      <c r="F780" s="11">
        <v>45971.322916666664</v>
      </c>
      <c r="G780" s="12">
        <v>5.9027777773735579E-2</v>
      </c>
      <c r="H780" s="2" t="s">
        <v>257</v>
      </c>
      <c r="J780" s="2" t="s">
        <v>258</v>
      </c>
      <c r="K780" s="2" t="s">
        <v>658</v>
      </c>
      <c r="L780" s="2" t="s">
        <v>2062</v>
      </c>
      <c r="M780" t="s">
        <v>260</v>
      </c>
      <c r="N780" t="s">
        <v>357</v>
      </c>
      <c r="O780" t="s">
        <v>632</v>
      </c>
      <c r="P780" t="s">
        <v>3123</v>
      </c>
      <c r="Q780" t="s">
        <v>2281</v>
      </c>
    </row>
    <row r="781" spans="1:17">
      <c r="A781" s="2" t="s">
        <v>584</v>
      </c>
      <c r="B781" s="2" t="s">
        <v>584</v>
      </c>
      <c r="C781" s="2" t="s">
        <v>380</v>
      </c>
      <c r="D781" s="11">
        <v>45971.263888888891</v>
      </c>
      <c r="E781" s="11">
        <v>45971.263888888891</v>
      </c>
      <c r="F781" s="11">
        <v>45971.322916666664</v>
      </c>
      <c r="G781" s="12">
        <v>5.9027777773735579E-2</v>
      </c>
      <c r="H781" s="2" t="s">
        <v>257</v>
      </c>
      <c r="J781" s="2" t="s">
        <v>258</v>
      </c>
      <c r="K781" s="2" t="s">
        <v>658</v>
      </c>
      <c r="L781" s="2" t="s">
        <v>2062</v>
      </c>
      <c r="M781" t="s">
        <v>260</v>
      </c>
      <c r="N781" t="s">
        <v>357</v>
      </c>
      <c r="O781" t="s">
        <v>632</v>
      </c>
      <c r="P781" t="s">
        <v>3124</v>
      </c>
      <c r="Q781" t="s">
        <v>2281</v>
      </c>
    </row>
    <row r="782" spans="1:17">
      <c r="A782" s="2" t="s">
        <v>584</v>
      </c>
      <c r="B782" s="2" t="s">
        <v>584</v>
      </c>
      <c r="C782" s="2" t="s">
        <v>379</v>
      </c>
      <c r="D782" s="11">
        <v>45971.263888888891</v>
      </c>
      <c r="E782" s="11">
        <v>45971.263888888891</v>
      </c>
      <c r="F782" s="11">
        <v>45971.322916666664</v>
      </c>
      <c r="G782" s="12">
        <v>5.9027777773735579E-2</v>
      </c>
      <c r="H782" s="2" t="s">
        <v>257</v>
      </c>
      <c r="J782" s="2" t="s">
        <v>258</v>
      </c>
      <c r="K782" s="2" t="s">
        <v>658</v>
      </c>
      <c r="L782" s="2" t="s">
        <v>2062</v>
      </c>
      <c r="M782" t="s">
        <v>260</v>
      </c>
      <c r="N782" t="s">
        <v>357</v>
      </c>
      <c r="O782" t="s">
        <v>632</v>
      </c>
      <c r="P782" t="s">
        <v>3125</v>
      </c>
      <c r="Q782" t="s">
        <v>2281</v>
      </c>
    </row>
    <row r="783" spans="1:17">
      <c r="A783" s="2" t="s">
        <v>583</v>
      </c>
      <c r="B783" s="2" t="s">
        <v>583</v>
      </c>
      <c r="C783" s="2" t="s">
        <v>378</v>
      </c>
      <c r="D783" s="11">
        <v>45972.25</v>
      </c>
      <c r="E783" s="11">
        <v>45972.25</v>
      </c>
      <c r="F783" s="11">
        <v>45974.638888888891</v>
      </c>
      <c r="G783" s="12">
        <v>2.3888888888905058</v>
      </c>
      <c r="H783" s="2" t="s">
        <v>268</v>
      </c>
      <c r="I783" s="2" t="s">
        <v>269</v>
      </c>
      <c r="J783" s="2" t="s">
        <v>319</v>
      </c>
      <c r="K783" s="2" t="s">
        <v>652</v>
      </c>
      <c r="L783" s="2" t="s">
        <v>3126</v>
      </c>
      <c r="M783" t="s">
        <v>289</v>
      </c>
      <c r="N783" t="s">
        <v>253</v>
      </c>
      <c r="O783" t="s">
        <v>3127</v>
      </c>
      <c r="P783" t="s">
        <v>3128</v>
      </c>
      <c r="Q783" t="s">
        <v>2713</v>
      </c>
    </row>
    <row r="784" spans="1:17">
      <c r="A784" s="2" t="s">
        <v>583</v>
      </c>
      <c r="B784" s="2" t="s">
        <v>583</v>
      </c>
      <c r="C784" s="2" t="s">
        <v>382</v>
      </c>
      <c r="D784" s="11">
        <v>45972.25</v>
      </c>
      <c r="E784" s="11">
        <v>45972.25</v>
      </c>
      <c r="F784" s="11">
        <v>45974.638888888891</v>
      </c>
      <c r="G784" s="12">
        <v>2.3888888888905058</v>
      </c>
      <c r="H784" s="2" t="s">
        <v>268</v>
      </c>
      <c r="I784" s="2" t="s">
        <v>269</v>
      </c>
      <c r="J784" s="2" t="s">
        <v>319</v>
      </c>
      <c r="K784" s="2" t="s">
        <v>652</v>
      </c>
      <c r="L784" s="2" t="s">
        <v>3126</v>
      </c>
      <c r="M784" t="s">
        <v>289</v>
      </c>
      <c r="N784" t="s">
        <v>253</v>
      </c>
      <c r="O784" t="s">
        <v>3127</v>
      </c>
      <c r="P784" t="s">
        <v>3129</v>
      </c>
      <c r="Q784" t="s">
        <v>2713</v>
      </c>
    </row>
    <row r="785" spans="1:17">
      <c r="A785" s="2" t="s">
        <v>583</v>
      </c>
      <c r="B785" s="2" t="s">
        <v>583</v>
      </c>
      <c r="C785" s="2" t="s">
        <v>380</v>
      </c>
      <c r="D785" s="11">
        <v>45972.25</v>
      </c>
      <c r="E785" s="11">
        <v>45972.25</v>
      </c>
      <c r="F785" s="11">
        <v>45974.638888888891</v>
      </c>
      <c r="G785" s="12">
        <v>2.3888888888905058</v>
      </c>
      <c r="H785" s="2" t="s">
        <v>268</v>
      </c>
      <c r="I785" s="2" t="s">
        <v>269</v>
      </c>
      <c r="J785" s="2" t="s">
        <v>319</v>
      </c>
      <c r="K785" s="2" t="s">
        <v>652</v>
      </c>
      <c r="L785" s="2" t="s">
        <v>3126</v>
      </c>
      <c r="M785" t="s">
        <v>289</v>
      </c>
      <c r="N785" t="s">
        <v>253</v>
      </c>
      <c r="O785" t="s">
        <v>3127</v>
      </c>
      <c r="P785" t="s">
        <v>3130</v>
      </c>
      <c r="Q785" t="s">
        <v>2713</v>
      </c>
    </row>
    <row r="786" spans="1:17">
      <c r="A786" s="2" t="s">
        <v>583</v>
      </c>
      <c r="B786" s="2" t="s">
        <v>583</v>
      </c>
      <c r="C786" s="2" t="s">
        <v>377</v>
      </c>
      <c r="D786" s="11">
        <v>45972.25</v>
      </c>
      <c r="E786" s="11">
        <v>45972.25</v>
      </c>
      <c r="F786" s="11">
        <v>45974.638888888891</v>
      </c>
      <c r="G786" s="12">
        <v>2.3888888888905058</v>
      </c>
      <c r="H786" s="2" t="s">
        <v>268</v>
      </c>
      <c r="I786" s="2" t="s">
        <v>269</v>
      </c>
      <c r="J786" s="2" t="s">
        <v>319</v>
      </c>
      <c r="K786" s="2" t="s">
        <v>652</v>
      </c>
      <c r="L786" s="2" t="s">
        <v>3126</v>
      </c>
      <c r="M786" t="s">
        <v>289</v>
      </c>
      <c r="N786" t="s">
        <v>253</v>
      </c>
      <c r="O786" t="s">
        <v>3127</v>
      </c>
      <c r="P786" t="s">
        <v>3131</v>
      </c>
      <c r="Q786" t="s">
        <v>2713</v>
      </c>
    </row>
    <row r="787" spans="1:17">
      <c r="A787" s="2" t="s">
        <v>583</v>
      </c>
      <c r="B787" s="2" t="s">
        <v>583</v>
      </c>
      <c r="C787" s="2" t="s">
        <v>379</v>
      </c>
      <c r="D787" s="11">
        <v>45972.25</v>
      </c>
      <c r="E787" s="11">
        <v>45972.25</v>
      </c>
      <c r="F787" s="11">
        <v>45974.638888888891</v>
      </c>
      <c r="G787" s="12">
        <v>2.3888888888905058</v>
      </c>
      <c r="H787" s="2" t="s">
        <v>268</v>
      </c>
      <c r="I787" s="2" t="s">
        <v>269</v>
      </c>
      <c r="J787" s="2" t="s">
        <v>319</v>
      </c>
      <c r="K787" s="2" t="s">
        <v>652</v>
      </c>
      <c r="L787" s="2" t="s">
        <v>3126</v>
      </c>
      <c r="M787" t="s">
        <v>289</v>
      </c>
      <c r="N787" t="s">
        <v>253</v>
      </c>
      <c r="O787" t="s">
        <v>3127</v>
      </c>
      <c r="P787" t="s">
        <v>3132</v>
      </c>
      <c r="Q787" t="s">
        <v>2713</v>
      </c>
    </row>
    <row r="788" spans="1:17">
      <c r="A788" s="2" t="s">
        <v>805</v>
      </c>
      <c r="B788" s="2" t="s">
        <v>805</v>
      </c>
      <c r="C788" s="2" t="s">
        <v>264</v>
      </c>
      <c r="D788" s="11">
        <v>45972.253472222219</v>
      </c>
      <c r="E788" s="11">
        <v>45972.253472222219</v>
      </c>
      <c r="F788" s="11">
        <v>45972.329861111109</v>
      </c>
      <c r="G788" s="12">
        <v>7.6388888890505768E-2</v>
      </c>
      <c r="H788" s="2" t="s">
        <v>257</v>
      </c>
      <c r="J788" s="2" t="s">
        <v>230</v>
      </c>
      <c r="K788" s="2" t="s">
        <v>230</v>
      </c>
      <c r="L788" s="2" t="s">
        <v>3133</v>
      </c>
      <c r="M788" t="s">
        <v>260</v>
      </c>
      <c r="N788" t="s">
        <v>357</v>
      </c>
      <c r="O788" t="s">
        <v>632</v>
      </c>
      <c r="P788" t="s">
        <v>3134</v>
      </c>
      <c r="Q788" t="s">
        <v>3005</v>
      </c>
    </row>
    <row r="789" spans="1:17">
      <c r="A789" s="2" t="s">
        <v>805</v>
      </c>
      <c r="B789" s="2" t="s">
        <v>805</v>
      </c>
      <c r="C789" s="2" t="s">
        <v>256</v>
      </c>
      <c r="D789" s="11">
        <v>45972.253472222219</v>
      </c>
      <c r="E789" s="11">
        <v>45972.253472222219</v>
      </c>
      <c r="F789" s="11">
        <v>45972.329861111109</v>
      </c>
      <c r="G789" s="12">
        <v>7.6388888890505768E-2</v>
      </c>
      <c r="H789" s="2" t="s">
        <v>257</v>
      </c>
      <c r="J789" s="2" t="s">
        <v>230</v>
      </c>
      <c r="K789" s="2" t="s">
        <v>230</v>
      </c>
      <c r="L789" s="2" t="s">
        <v>3133</v>
      </c>
      <c r="M789" t="s">
        <v>260</v>
      </c>
      <c r="N789" t="s">
        <v>357</v>
      </c>
      <c r="O789" t="s">
        <v>632</v>
      </c>
      <c r="P789" t="s">
        <v>3135</v>
      </c>
      <c r="Q789" t="s">
        <v>3005</v>
      </c>
    </row>
    <row r="790" spans="1:17">
      <c r="A790" s="2" t="s">
        <v>805</v>
      </c>
      <c r="B790" s="2" t="s">
        <v>805</v>
      </c>
      <c r="C790" s="2" t="s">
        <v>307</v>
      </c>
      <c r="D790" s="11">
        <v>45972.253472222219</v>
      </c>
      <c r="E790" s="11">
        <v>45972.253472222219</v>
      </c>
      <c r="F790" s="11">
        <v>45972.329861111109</v>
      </c>
      <c r="G790" s="12">
        <v>7.6388888890505768E-2</v>
      </c>
      <c r="H790" s="2" t="s">
        <v>257</v>
      </c>
      <c r="J790" s="2" t="s">
        <v>230</v>
      </c>
      <c r="K790" s="2" t="s">
        <v>230</v>
      </c>
      <c r="L790" s="2" t="s">
        <v>3133</v>
      </c>
      <c r="M790" t="s">
        <v>260</v>
      </c>
      <c r="N790" t="s">
        <v>357</v>
      </c>
      <c r="O790" t="s">
        <v>632</v>
      </c>
      <c r="P790" t="s">
        <v>3136</v>
      </c>
      <c r="Q790" t="s">
        <v>3005</v>
      </c>
    </row>
    <row r="791" spans="1:17">
      <c r="A791" s="2" t="s">
        <v>805</v>
      </c>
      <c r="B791" s="2" t="s">
        <v>805</v>
      </c>
      <c r="C791" s="2" t="s">
        <v>263</v>
      </c>
      <c r="D791" s="11">
        <v>45972.253472222219</v>
      </c>
      <c r="E791" s="11">
        <v>45972.253472222219</v>
      </c>
      <c r="F791" s="11">
        <v>45972.329861111109</v>
      </c>
      <c r="G791" s="12">
        <v>7.6388888890505768E-2</v>
      </c>
      <c r="H791" s="2" t="s">
        <v>257</v>
      </c>
      <c r="J791" s="2" t="s">
        <v>230</v>
      </c>
      <c r="K791" s="2" t="s">
        <v>230</v>
      </c>
      <c r="L791" s="2" t="s">
        <v>3133</v>
      </c>
      <c r="M791" t="s">
        <v>260</v>
      </c>
      <c r="N791" t="s">
        <v>357</v>
      </c>
      <c r="O791" t="s">
        <v>632</v>
      </c>
      <c r="P791" t="s">
        <v>3137</v>
      </c>
      <c r="Q791" t="s">
        <v>3005</v>
      </c>
    </row>
    <row r="792" spans="1:17">
      <c r="A792" s="2" t="s">
        <v>2195</v>
      </c>
      <c r="B792" s="2" t="s">
        <v>543</v>
      </c>
      <c r="C792" s="2" t="s">
        <v>2535</v>
      </c>
      <c r="D792" s="11">
        <v>45972.254537037035</v>
      </c>
      <c r="E792" s="11">
        <v>45972.254537037035</v>
      </c>
      <c r="F792" s="11">
        <v>45972.261493055557</v>
      </c>
      <c r="G792" s="12">
        <v>6.9560185220325366E-3</v>
      </c>
      <c r="H792" s="2" t="s">
        <v>257</v>
      </c>
      <c r="J792" s="2" t="s">
        <v>371</v>
      </c>
      <c r="K792" s="2" t="s">
        <v>653</v>
      </c>
      <c r="L792" s="2" t="s">
        <v>861</v>
      </c>
      <c r="M792" t="s">
        <v>252</v>
      </c>
      <c r="N792" t="s">
        <v>631</v>
      </c>
      <c r="P792" t="s">
        <v>3138</v>
      </c>
      <c r="Q792" t="s">
        <v>2537</v>
      </c>
    </row>
    <row r="793" spans="1:17">
      <c r="A793" s="2" t="s">
        <v>2195</v>
      </c>
      <c r="B793" s="2" t="s">
        <v>543</v>
      </c>
      <c r="C793" s="2" t="s">
        <v>2618</v>
      </c>
      <c r="D793" s="11">
        <v>45972.254652777781</v>
      </c>
      <c r="E793" s="11">
        <v>45972.254652777781</v>
      </c>
      <c r="F793" s="11">
        <v>45972.261678240742</v>
      </c>
      <c r="G793" s="12">
        <v>7.025462960882578E-3</v>
      </c>
      <c r="H793" s="2" t="s">
        <v>257</v>
      </c>
      <c r="J793" s="2" t="s">
        <v>371</v>
      </c>
      <c r="K793" s="2" t="s">
        <v>653</v>
      </c>
      <c r="L793" s="2" t="s">
        <v>861</v>
      </c>
      <c r="M793" t="s">
        <v>252</v>
      </c>
      <c r="N793" t="s">
        <v>631</v>
      </c>
      <c r="P793" t="s">
        <v>3139</v>
      </c>
      <c r="Q793" t="s">
        <v>2537</v>
      </c>
    </row>
    <row r="794" spans="1:17">
      <c r="A794" s="2" t="s">
        <v>2195</v>
      </c>
      <c r="B794" s="2" t="s">
        <v>543</v>
      </c>
      <c r="C794" s="2" t="s">
        <v>2616</v>
      </c>
      <c r="D794" s="11">
        <v>45972.254687499997</v>
      </c>
      <c r="E794" s="11">
        <v>45972.254687499997</v>
      </c>
      <c r="F794" s="11">
        <v>45972.261701388888</v>
      </c>
      <c r="G794" s="12">
        <v>7.0138888913788833E-3</v>
      </c>
      <c r="H794" s="2" t="s">
        <v>257</v>
      </c>
      <c r="J794" s="2" t="s">
        <v>371</v>
      </c>
      <c r="K794" s="2" t="s">
        <v>653</v>
      </c>
      <c r="L794" s="2" t="s">
        <v>861</v>
      </c>
      <c r="M794" t="s">
        <v>252</v>
      </c>
      <c r="N794" t="s">
        <v>631</v>
      </c>
      <c r="P794" t="s">
        <v>3140</v>
      </c>
      <c r="Q794" t="s">
        <v>2537</v>
      </c>
    </row>
    <row r="795" spans="1:17">
      <c r="A795" s="2" t="s">
        <v>2195</v>
      </c>
      <c r="B795" s="2" t="s">
        <v>543</v>
      </c>
      <c r="C795" s="2" t="s">
        <v>2846</v>
      </c>
      <c r="D795" s="11">
        <v>45972.25476851852</v>
      </c>
      <c r="E795" s="11">
        <v>45972.25476851852</v>
      </c>
      <c r="F795" s="11">
        <v>45972.261712962965</v>
      </c>
      <c r="G795" s="12">
        <v>6.9444444452528842E-3</v>
      </c>
      <c r="H795" s="2" t="s">
        <v>257</v>
      </c>
      <c r="J795" s="2" t="s">
        <v>371</v>
      </c>
      <c r="K795" s="2" t="s">
        <v>653</v>
      </c>
      <c r="L795" s="2" t="s">
        <v>861</v>
      </c>
      <c r="M795" t="s">
        <v>252</v>
      </c>
      <c r="N795" t="s">
        <v>631</v>
      </c>
      <c r="P795" t="s">
        <v>3141</v>
      </c>
      <c r="Q795" t="s">
        <v>2537</v>
      </c>
    </row>
    <row r="796" spans="1:17">
      <c r="A796" s="2" t="s">
        <v>2195</v>
      </c>
      <c r="B796" s="2" t="s">
        <v>543</v>
      </c>
      <c r="C796" s="2" t="s">
        <v>2848</v>
      </c>
      <c r="D796" s="11">
        <v>45972.254837962966</v>
      </c>
      <c r="E796" s="11">
        <v>45972.254837962966</v>
      </c>
      <c r="F796" s="11">
        <v>45972.261874999997</v>
      </c>
      <c r="G796" s="12">
        <v>7.0370370303862728E-3</v>
      </c>
      <c r="H796" s="2" t="s">
        <v>257</v>
      </c>
      <c r="J796" s="2" t="s">
        <v>371</v>
      </c>
      <c r="K796" s="2" t="s">
        <v>653</v>
      </c>
      <c r="L796" s="2" t="s">
        <v>861</v>
      </c>
      <c r="M796" t="s">
        <v>252</v>
      </c>
      <c r="N796" t="s">
        <v>631</v>
      </c>
      <c r="P796" t="s">
        <v>3142</v>
      </c>
      <c r="Q796" t="s">
        <v>2537</v>
      </c>
    </row>
    <row r="797" spans="1:17">
      <c r="A797" s="2" t="s">
        <v>2123</v>
      </c>
      <c r="B797" s="2" t="s">
        <v>585</v>
      </c>
      <c r="C797" s="2" t="s">
        <v>602</v>
      </c>
      <c r="D797" s="11">
        <v>45972.305555555555</v>
      </c>
      <c r="E797" s="11">
        <v>45972.305555555555</v>
      </c>
      <c r="F797" s="11">
        <v>45972.706250000003</v>
      </c>
      <c r="G797" s="12">
        <v>0.40069444444816327</v>
      </c>
      <c r="H797" s="2" t="s">
        <v>677</v>
      </c>
      <c r="J797" s="2" t="s">
        <v>230</v>
      </c>
      <c r="K797" s="2" t="s">
        <v>230</v>
      </c>
      <c r="L797" s="2" t="s">
        <v>3143</v>
      </c>
      <c r="M797" t="s">
        <v>663</v>
      </c>
      <c r="N797" t="s">
        <v>672</v>
      </c>
      <c r="O797" t="s">
        <v>3144</v>
      </c>
      <c r="P797" t="s">
        <v>3145</v>
      </c>
      <c r="Q797" t="s">
        <v>2677</v>
      </c>
    </row>
    <row r="798" spans="1:17">
      <c r="A798" s="2" t="s">
        <v>2125</v>
      </c>
      <c r="B798" s="2" t="s">
        <v>585</v>
      </c>
      <c r="C798" s="2" t="s">
        <v>595</v>
      </c>
      <c r="D798" s="11">
        <v>45972.305555555555</v>
      </c>
      <c r="E798" s="11">
        <v>45972.305555555555</v>
      </c>
      <c r="F798" s="11">
        <v>45972.706250000003</v>
      </c>
      <c r="G798" s="12">
        <v>0.40069444444816327</v>
      </c>
      <c r="H798" s="2" t="s">
        <v>677</v>
      </c>
      <c r="J798" s="2" t="s">
        <v>230</v>
      </c>
      <c r="K798" s="2" t="s">
        <v>230</v>
      </c>
      <c r="L798" s="2" t="s">
        <v>3143</v>
      </c>
      <c r="M798" t="s">
        <v>663</v>
      </c>
      <c r="N798" t="s">
        <v>672</v>
      </c>
      <c r="O798" t="s">
        <v>3144</v>
      </c>
      <c r="P798" t="s">
        <v>3146</v>
      </c>
      <c r="Q798" t="s">
        <v>2677</v>
      </c>
    </row>
    <row r="799" spans="1:17">
      <c r="A799" s="2" t="s">
        <v>2125</v>
      </c>
      <c r="B799" s="2" t="s">
        <v>585</v>
      </c>
      <c r="C799" s="2" t="s">
        <v>592</v>
      </c>
      <c r="D799" s="11">
        <v>45972.305555555555</v>
      </c>
      <c r="E799" s="11">
        <v>45972.305555555555</v>
      </c>
      <c r="F799" s="11">
        <v>45972.706250000003</v>
      </c>
      <c r="G799" s="12">
        <v>0.40069444444816327</v>
      </c>
      <c r="H799" s="2" t="s">
        <v>677</v>
      </c>
      <c r="J799" s="2" t="s">
        <v>230</v>
      </c>
      <c r="K799" s="2" t="s">
        <v>230</v>
      </c>
      <c r="L799" s="2" t="s">
        <v>3143</v>
      </c>
      <c r="M799" t="s">
        <v>663</v>
      </c>
      <c r="N799" t="s">
        <v>672</v>
      </c>
      <c r="O799" t="s">
        <v>3144</v>
      </c>
      <c r="P799" t="s">
        <v>3147</v>
      </c>
      <c r="Q799" t="s">
        <v>2677</v>
      </c>
    </row>
    <row r="800" spans="1:17">
      <c r="A800" s="2" t="s">
        <v>2125</v>
      </c>
      <c r="B800" s="2" t="s">
        <v>585</v>
      </c>
      <c r="C800" s="2" t="s">
        <v>589</v>
      </c>
      <c r="D800" s="11">
        <v>45972.305555555555</v>
      </c>
      <c r="E800" s="11">
        <v>45972.305555555555</v>
      </c>
      <c r="F800" s="11">
        <v>45972.706250000003</v>
      </c>
      <c r="G800" s="12">
        <v>0.40069444444816327</v>
      </c>
      <c r="H800" s="2" t="s">
        <v>677</v>
      </c>
      <c r="J800" s="2" t="s">
        <v>230</v>
      </c>
      <c r="K800" s="2" t="s">
        <v>230</v>
      </c>
      <c r="L800" s="2" t="s">
        <v>3143</v>
      </c>
      <c r="M800" t="s">
        <v>663</v>
      </c>
      <c r="N800" t="s">
        <v>672</v>
      </c>
      <c r="O800" t="s">
        <v>3144</v>
      </c>
      <c r="P800" t="s">
        <v>3148</v>
      </c>
      <c r="Q800" t="s">
        <v>2677</v>
      </c>
    </row>
    <row r="801" spans="1:17">
      <c r="A801" s="2" t="s">
        <v>2125</v>
      </c>
      <c r="B801" s="2" t="s">
        <v>585</v>
      </c>
      <c r="C801" s="2" t="s">
        <v>593</v>
      </c>
      <c r="D801" s="11">
        <v>45972.305555555555</v>
      </c>
      <c r="E801" s="11">
        <v>45972.305555555555</v>
      </c>
      <c r="F801" s="11">
        <v>45972.706250000003</v>
      </c>
      <c r="G801" s="12">
        <v>0.40069444444816327</v>
      </c>
      <c r="H801" s="2" t="s">
        <v>677</v>
      </c>
      <c r="J801" s="2" t="s">
        <v>230</v>
      </c>
      <c r="K801" s="2" t="s">
        <v>230</v>
      </c>
      <c r="L801" s="2" t="s">
        <v>3143</v>
      </c>
      <c r="M801" t="s">
        <v>663</v>
      </c>
      <c r="N801" t="s">
        <v>672</v>
      </c>
      <c r="O801" t="s">
        <v>3144</v>
      </c>
      <c r="P801" t="s">
        <v>3149</v>
      </c>
      <c r="Q801" t="s">
        <v>2677</v>
      </c>
    </row>
    <row r="802" spans="1:17">
      <c r="A802" s="2" t="s">
        <v>2125</v>
      </c>
      <c r="B802" s="2" t="s">
        <v>585</v>
      </c>
      <c r="C802" s="2" t="s">
        <v>591</v>
      </c>
      <c r="D802" s="11">
        <v>45972.305555555555</v>
      </c>
      <c r="E802" s="11">
        <v>45972.305555555555</v>
      </c>
      <c r="F802" s="11">
        <v>45972.706250000003</v>
      </c>
      <c r="G802" s="12">
        <v>0.40069444444816327</v>
      </c>
      <c r="H802" s="2" t="s">
        <v>677</v>
      </c>
      <c r="J802" s="2" t="s">
        <v>230</v>
      </c>
      <c r="K802" s="2" t="s">
        <v>230</v>
      </c>
      <c r="L802" s="2" t="s">
        <v>3143</v>
      </c>
      <c r="M802" t="s">
        <v>663</v>
      </c>
      <c r="N802" t="s">
        <v>672</v>
      </c>
      <c r="O802" t="s">
        <v>3144</v>
      </c>
      <c r="P802" t="s">
        <v>3150</v>
      </c>
      <c r="Q802" t="s">
        <v>2677</v>
      </c>
    </row>
    <row r="803" spans="1:17">
      <c r="A803" s="2" t="s">
        <v>2125</v>
      </c>
      <c r="B803" s="2" t="s">
        <v>585</v>
      </c>
      <c r="C803" s="2" t="s">
        <v>2293</v>
      </c>
      <c r="D803" s="11">
        <v>45972.305555555555</v>
      </c>
      <c r="E803" s="11">
        <v>45972.305555555555</v>
      </c>
      <c r="F803" s="11">
        <v>45972.706250000003</v>
      </c>
      <c r="G803" s="12">
        <v>0.40069444444816327</v>
      </c>
      <c r="H803" s="2" t="s">
        <v>677</v>
      </c>
      <c r="J803" s="2" t="s">
        <v>230</v>
      </c>
      <c r="K803" s="2" t="s">
        <v>230</v>
      </c>
      <c r="L803" s="2" t="s">
        <v>3143</v>
      </c>
      <c r="M803" t="s">
        <v>663</v>
      </c>
      <c r="N803" t="s">
        <v>672</v>
      </c>
      <c r="O803" t="s">
        <v>3144</v>
      </c>
      <c r="P803" t="s">
        <v>3151</v>
      </c>
      <c r="Q803" t="s">
        <v>2677</v>
      </c>
    </row>
    <row r="804" spans="1:17">
      <c r="A804" s="2" t="s">
        <v>2441</v>
      </c>
      <c r="B804" s="2" t="s">
        <v>642</v>
      </c>
      <c r="C804" s="2" t="s">
        <v>643</v>
      </c>
      <c r="D804" s="11">
        <v>45972.470833333333</v>
      </c>
      <c r="E804" s="11">
        <v>45972.470833333333</v>
      </c>
      <c r="F804" s="11">
        <v>45972.690972222219</v>
      </c>
      <c r="G804" s="12">
        <v>0.22013888888614019</v>
      </c>
      <c r="H804" s="2" t="s">
        <v>268</v>
      </c>
      <c r="I804" s="2" t="s">
        <v>269</v>
      </c>
      <c r="J804" s="2" t="s">
        <v>319</v>
      </c>
      <c r="K804" s="2" t="s">
        <v>652</v>
      </c>
      <c r="L804" s="2" t="s">
        <v>3152</v>
      </c>
      <c r="M804" t="s">
        <v>289</v>
      </c>
      <c r="N804" t="s">
        <v>253</v>
      </c>
      <c r="O804" t="s">
        <v>3153</v>
      </c>
      <c r="P804" t="s">
        <v>3154</v>
      </c>
      <c r="Q804" t="s">
        <v>2713</v>
      </c>
    </row>
    <row r="805" spans="1:17">
      <c r="A805" s="2" t="s">
        <v>2441</v>
      </c>
      <c r="B805" s="2" t="s">
        <v>642</v>
      </c>
      <c r="C805" s="2" t="s">
        <v>646</v>
      </c>
      <c r="D805" s="11">
        <v>45972.470833333333</v>
      </c>
      <c r="E805" s="11">
        <v>45972.470833333333</v>
      </c>
      <c r="F805" s="11">
        <v>45972.690972222219</v>
      </c>
      <c r="G805" s="12">
        <v>0.22013888888614019</v>
      </c>
      <c r="H805" s="2" t="s">
        <v>268</v>
      </c>
      <c r="I805" s="2" t="s">
        <v>269</v>
      </c>
      <c r="J805" s="2" t="s">
        <v>319</v>
      </c>
      <c r="K805" s="2" t="s">
        <v>652</v>
      </c>
      <c r="L805" s="2" t="s">
        <v>3152</v>
      </c>
      <c r="M805" t="s">
        <v>289</v>
      </c>
      <c r="N805" t="s">
        <v>253</v>
      </c>
      <c r="O805" t="s">
        <v>3153</v>
      </c>
      <c r="P805" t="s">
        <v>3155</v>
      </c>
      <c r="Q805" t="s">
        <v>2713</v>
      </c>
    </row>
    <row r="806" spans="1:17">
      <c r="A806" s="2" t="s">
        <v>2441</v>
      </c>
      <c r="B806" s="2" t="s">
        <v>642</v>
      </c>
      <c r="C806" s="2" t="s">
        <v>647</v>
      </c>
      <c r="D806" s="11">
        <v>45972.470833333333</v>
      </c>
      <c r="E806" s="11">
        <v>45972.470833333333</v>
      </c>
      <c r="F806" s="11">
        <v>45972.690972222219</v>
      </c>
      <c r="G806" s="12">
        <v>0.22013888888614019</v>
      </c>
      <c r="H806" s="2" t="s">
        <v>268</v>
      </c>
      <c r="I806" s="2" t="s">
        <v>269</v>
      </c>
      <c r="J806" s="2" t="s">
        <v>319</v>
      </c>
      <c r="K806" s="2" t="s">
        <v>652</v>
      </c>
      <c r="L806" s="2" t="s">
        <v>3152</v>
      </c>
      <c r="M806" t="s">
        <v>289</v>
      </c>
      <c r="N806" t="s">
        <v>253</v>
      </c>
      <c r="O806" t="s">
        <v>3153</v>
      </c>
      <c r="P806" t="s">
        <v>3156</v>
      </c>
      <c r="Q806" t="s">
        <v>2713</v>
      </c>
    </row>
    <row r="807" spans="1:17">
      <c r="A807" s="2" t="s">
        <v>2441</v>
      </c>
      <c r="B807" s="2" t="s">
        <v>642</v>
      </c>
      <c r="C807" s="2" t="s">
        <v>648</v>
      </c>
      <c r="D807" s="11">
        <v>45972.470833333333</v>
      </c>
      <c r="E807" s="11">
        <v>45972.470833333333</v>
      </c>
      <c r="F807" s="11">
        <v>45972.690972222219</v>
      </c>
      <c r="G807" s="12">
        <v>0.22013888888614019</v>
      </c>
      <c r="H807" s="2" t="s">
        <v>268</v>
      </c>
      <c r="I807" s="2" t="s">
        <v>269</v>
      </c>
      <c r="J807" s="2" t="s">
        <v>319</v>
      </c>
      <c r="K807" s="2" t="s">
        <v>652</v>
      </c>
      <c r="L807" s="2" t="s">
        <v>3152</v>
      </c>
      <c r="M807" t="s">
        <v>289</v>
      </c>
      <c r="N807" t="s">
        <v>253</v>
      </c>
      <c r="O807" t="s">
        <v>3153</v>
      </c>
      <c r="P807" t="s">
        <v>3157</v>
      </c>
      <c r="Q807" t="s">
        <v>2713</v>
      </c>
    </row>
    <row r="808" spans="1:17">
      <c r="A808" s="2" t="s">
        <v>2123</v>
      </c>
      <c r="B808" s="2" t="s">
        <v>585</v>
      </c>
      <c r="C808" s="2" t="s">
        <v>602</v>
      </c>
      <c r="D808" s="11">
        <v>45972.611805555556</v>
      </c>
      <c r="E808" s="11">
        <v>45972.611805555556</v>
      </c>
      <c r="F808" s="11">
        <v>45973.246527777781</v>
      </c>
      <c r="G808" s="12">
        <v>0.63472222222480923</v>
      </c>
      <c r="H808" s="2" t="s">
        <v>268</v>
      </c>
      <c r="I808" s="2" t="s">
        <v>269</v>
      </c>
      <c r="J808" s="2" t="s">
        <v>319</v>
      </c>
      <c r="K808" s="2" t="s">
        <v>652</v>
      </c>
      <c r="L808" s="2" t="s">
        <v>3158</v>
      </c>
      <c r="M808" t="s">
        <v>289</v>
      </c>
      <c r="N808" t="s">
        <v>2030</v>
      </c>
      <c r="O808" t="s">
        <v>3159</v>
      </c>
      <c r="P808" t="s">
        <v>3160</v>
      </c>
      <c r="Q808" t="s">
        <v>2713</v>
      </c>
    </row>
    <row r="809" spans="1:17">
      <c r="A809" s="2" t="s">
        <v>2125</v>
      </c>
      <c r="B809" s="2" t="s">
        <v>585</v>
      </c>
      <c r="C809" s="2" t="s">
        <v>595</v>
      </c>
      <c r="D809" s="11">
        <v>45972.611805555556</v>
      </c>
      <c r="E809" s="11">
        <v>45972.611805555556</v>
      </c>
      <c r="F809" s="11">
        <v>45973.246527777781</v>
      </c>
      <c r="G809" s="12">
        <v>0.63472222222480923</v>
      </c>
      <c r="H809" s="2" t="s">
        <v>268</v>
      </c>
      <c r="I809" s="2" t="s">
        <v>269</v>
      </c>
      <c r="J809" s="2" t="s">
        <v>319</v>
      </c>
      <c r="K809" s="2" t="s">
        <v>652</v>
      </c>
      <c r="L809" s="2" t="s">
        <v>3158</v>
      </c>
      <c r="M809" t="s">
        <v>289</v>
      </c>
      <c r="N809" t="s">
        <v>2030</v>
      </c>
      <c r="O809" t="s">
        <v>3159</v>
      </c>
      <c r="P809" t="s">
        <v>3161</v>
      </c>
      <c r="Q809" t="s">
        <v>2713</v>
      </c>
    </row>
    <row r="810" spans="1:17">
      <c r="A810" s="2" t="s">
        <v>2125</v>
      </c>
      <c r="B810" s="2" t="s">
        <v>585</v>
      </c>
      <c r="C810" s="2" t="s">
        <v>592</v>
      </c>
      <c r="D810" s="11">
        <v>45972.611805555556</v>
      </c>
      <c r="E810" s="11">
        <v>45972.611805555556</v>
      </c>
      <c r="F810" s="11">
        <v>45973.246527777781</v>
      </c>
      <c r="G810" s="12">
        <v>0.63472222222480923</v>
      </c>
      <c r="H810" s="2" t="s">
        <v>268</v>
      </c>
      <c r="I810" s="2" t="s">
        <v>269</v>
      </c>
      <c r="J810" s="2" t="s">
        <v>319</v>
      </c>
      <c r="K810" s="2" t="s">
        <v>652</v>
      </c>
      <c r="L810" s="2" t="s">
        <v>3158</v>
      </c>
      <c r="M810" t="s">
        <v>289</v>
      </c>
      <c r="N810" t="s">
        <v>2030</v>
      </c>
      <c r="O810" t="s">
        <v>3159</v>
      </c>
      <c r="P810" t="s">
        <v>3162</v>
      </c>
      <c r="Q810" t="s">
        <v>2713</v>
      </c>
    </row>
    <row r="811" spans="1:17">
      <c r="A811" s="2" t="s">
        <v>2125</v>
      </c>
      <c r="B811" s="2" t="s">
        <v>585</v>
      </c>
      <c r="C811" s="2" t="s">
        <v>589</v>
      </c>
      <c r="D811" s="11">
        <v>45972.611805555556</v>
      </c>
      <c r="E811" s="11">
        <v>45972.611805555556</v>
      </c>
      <c r="F811" s="11">
        <v>45973.246527777781</v>
      </c>
      <c r="G811" s="12">
        <v>0.63472222222480923</v>
      </c>
      <c r="H811" s="2" t="s">
        <v>268</v>
      </c>
      <c r="I811" s="2" t="s">
        <v>269</v>
      </c>
      <c r="J811" s="2" t="s">
        <v>319</v>
      </c>
      <c r="K811" s="2" t="s">
        <v>652</v>
      </c>
      <c r="L811" s="2" t="s">
        <v>3158</v>
      </c>
      <c r="M811" t="s">
        <v>289</v>
      </c>
      <c r="N811" t="s">
        <v>2030</v>
      </c>
      <c r="O811" t="s">
        <v>3159</v>
      </c>
      <c r="P811" t="s">
        <v>3163</v>
      </c>
      <c r="Q811" t="s">
        <v>2713</v>
      </c>
    </row>
    <row r="812" spans="1:17">
      <c r="A812" s="2" t="s">
        <v>2125</v>
      </c>
      <c r="B812" s="2" t="s">
        <v>585</v>
      </c>
      <c r="C812" s="2" t="s">
        <v>593</v>
      </c>
      <c r="D812" s="11">
        <v>45972.611805555556</v>
      </c>
      <c r="E812" s="11">
        <v>45972.611805555556</v>
      </c>
      <c r="F812" s="11">
        <v>45973.246527777781</v>
      </c>
      <c r="G812" s="12">
        <v>0.63472222222480923</v>
      </c>
      <c r="H812" s="2" t="s">
        <v>268</v>
      </c>
      <c r="I812" s="2" t="s">
        <v>269</v>
      </c>
      <c r="J812" s="2" t="s">
        <v>319</v>
      </c>
      <c r="K812" s="2" t="s">
        <v>652</v>
      </c>
      <c r="L812" s="2" t="s">
        <v>3158</v>
      </c>
      <c r="M812" t="s">
        <v>289</v>
      </c>
      <c r="N812" t="s">
        <v>2030</v>
      </c>
      <c r="O812" t="s">
        <v>3159</v>
      </c>
      <c r="P812" t="s">
        <v>3164</v>
      </c>
      <c r="Q812" t="s">
        <v>2713</v>
      </c>
    </row>
    <row r="813" spans="1:17">
      <c r="A813" s="2" t="s">
        <v>2125</v>
      </c>
      <c r="B813" s="2" t="s">
        <v>585</v>
      </c>
      <c r="C813" s="2" t="s">
        <v>591</v>
      </c>
      <c r="D813" s="11">
        <v>45972.611805555556</v>
      </c>
      <c r="E813" s="11">
        <v>45972.611805555556</v>
      </c>
      <c r="F813" s="11">
        <v>45973.246527777781</v>
      </c>
      <c r="G813" s="12">
        <v>0.63472222222480923</v>
      </c>
      <c r="H813" s="2" t="s">
        <v>268</v>
      </c>
      <c r="I813" s="2" t="s">
        <v>269</v>
      </c>
      <c r="J813" s="2" t="s">
        <v>319</v>
      </c>
      <c r="K813" s="2" t="s">
        <v>652</v>
      </c>
      <c r="L813" s="2" t="s">
        <v>3158</v>
      </c>
      <c r="M813" t="s">
        <v>289</v>
      </c>
      <c r="N813" t="s">
        <v>2030</v>
      </c>
      <c r="O813" t="s">
        <v>3159</v>
      </c>
      <c r="P813" t="s">
        <v>3165</v>
      </c>
      <c r="Q813" t="s">
        <v>2713</v>
      </c>
    </row>
    <row r="814" spans="1:17">
      <c r="A814" s="2" t="s">
        <v>2125</v>
      </c>
      <c r="B814" s="2" t="s">
        <v>585</v>
      </c>
      <c r="C814" s="2" t="s">
        <v>2293</v>
      </c>
      <c r="D814" s="11">
        <v>45972.611805555556</v>
      </c>
      <c r="E814" s="11">
        <v>45972.611805555556</v>
      </c>
      <c r="F814" s="11">
        <v>45973.246527777781</v>
      </c>
      <c r="G814" s="12">
        <v>0.63472222222480923</v>
      </c>
      <c r="H814" s="2" t="s">
        <v>268</v>
      </c>
      <c r="I814" s="2" t="s">
        <v>269</v>
      </c>
      <c r="J814" s="2" t="s">
        <v>319</v>
      </c>
      <c r="K814" s="2" t="s">
        <v>652</v>
      </c>
      <c r="L814" s="2" t="s">
        <v>3158</v>
      </c>
      <c r="M814" t="s">
        <v>289</v>
      </c>
      <c r="N814" t="s">
        <v>2030</v>
      </c>
      <c r="O814" t="s">
        <v>3159</v>
      </c>
      <c r="P814" t="s">
        <v>3166</v>
      </c>
      <c r="Q814" t="s">
        <v>2713</v>
      </c>
    </row>
    <row r="815" spans="1:17">
      <c r="A815" s="2" t="s">
        <v>2134</v>
      </c>
      <c r="B815" s="2" t="s">
        <v>585</v>
      </c>
      <c r="C815" s="2" t="s">
        <v>590</v>
      </c>
      <c r="D815" s="11">
        <v>45972.611805555556</v>
      </c>
      <c r="E815" s="11">
        <v>45972.611805555556</v>
      </c>
      <c r="F815" s="11">
        <v>45973.246527777781</v>
      </c>
      <c r="G815" s="12">
        <v>0.63472222222480923</v>
      </c>
      <c r="H815" s="2" t="s">
        <v>268</v>
      </c>
      <c r="I815" s="2" t="s">
        <v>269</v>
      </c>
      <c r="J815" s="2" t="s">
        <v>319</v>
      </c>
      <c r="K815" s="2" t="s">
        <v>652</v>
      </c>
      <c r="L815" s="2" t="s">
        <v>3158</v>
      </c>
      <c r="M815" t="s">
        <v>289</v>
      </c>
      <c r="N815" t="s">
        <v>2030</v>
      </c>
      <c r="O815" t="s">
        <v>3159</v>
      </c>
      <c r="P815" t="s">
        <v>3167</v>
      </c>
      <c r="Q815" t="s">
        <v>2713</v>
      </c>
    </row>
    <row r="816" spans="1:17">
      <c r="A816" s="2" t="s">
        <v>2134</v>
      </c>
      <c r="B816" s="2" t="s">
        <v>585</v>
      </c>
      <c r="C816" s="2" t="s">
        <v>2091</v>
      </c>
      <c r="D816" s="11">
        <v>45972.611805555556</v>
      </c>
      <c r="E816" s="11">
        <v>45972.611805555556</v>
      </c>
      <c r="F816" s="11">
        <v>45973.246527777781</v>
      </c>
      <c r="G816" s="12">
        <v>0.63472222222480923</v>
      </c>
      <c r="H816" s="2" t="s">
        <v>268</v>
      </c>
      <c r="I816" s="2" t="s">
        <v>269</v>
      </c>
      <c r="J816" s="2" t="s">
        <v>319</v>
      </c>
      <c r="K816" s="2" t="s">
        <v>652</v>
      </c>
      <c r="L816" s="2" t="s">
        <v>3158</v>
      </c>
      <c r="M816" t="s">
        <v>289</v>
      </c>
      <c r="N816" t="s">
        <v>2030</v>
      </c>
      <c r="O816" t="s">
        <v>3159</v>
      </c>
      <c r="P816" t="s">
        <v>3168</v>
      </c>
      <c r="Q816" t="s">
        <v>2713</v>
      </c>
    </row>
    <row r="817" spans="1:17">
      <c r="A817" s="2" t="s">
        <v>2134</v>
      </c>
      <c r="B817" s="2" t="s">
        <v>585</v>
      </c>
      <c r="C817" s="2" t="s">
        <v>586</v>
      </c>
      <c r="D817" s="11">
        <v>45972.611805555556</v>
      </c>
      <c r="E817" s="11">
        <v>45972.611805555556</v>
      </c>
      <c r="F817" s="11">
        <v>45973.246527777781</v>
      </c>
      <c r="G817" s="12">
        <v>0.63472222222480923</v>
      </c>
      <c r="H817" s="2" t="s">
        <v>268</v>
      </c>
      <c r="I817" s="2" t="s">
        <v>269</v>
      </c>
      <c r="J817" s="2" t="s">
        <v>319</v>
      </c>
      <c r="K817" s="2" t="s">
        <v>652</v>
      </c>
      <c r="L817" s="2" t="s">
        <v>3158</v>
      </c>
      <c r="M817" t="s">
        <v>289</v>
      </c>
      <c r="N817" t="s">
        <v>2030</v>
      </c>
      <c r="O817" t="s">
        <v>3159</v>
      </c>
      <c r="P817" t="s">
        <v>3169</v>
      </c>
      <c r="Q817" t="s">
        <v>2713</v>
      </c>
    </row>
    <row r="818" spans="1:17">
      <c r="A818" s="2" t="s">
        <v>2134</v>
      </c>
      <c r="B818" s="2" t="s">
        <v>585</v>
      </c>
      <c r="C818" s="2" t="s">
        <v>598</v>
      </c>
      <c r="D818" s="11">
        <v>45972.611805555556</v>
      </c>
      <c r="E818" s="11">
        <v>45972.611805555556</v>
      </c>
      <c r="F818" s="11">
        <v>45973.246527777781</v>
      </c>
      <c r="G818" s="12">
        <v>0.63472222222480923</v>
      </c>
      <c r="H818" s="2" t="s">
        <v>268</v>
      </c>
      <c r="I818" s="2" t="s">
        <v>269</v>
      </c>
      <c r="J818" s="2" t="s">
        <v>319</v>
      </c>
      <c r="K818" s="2" t="s">
        <v>652</v>
      </c>
      <c r="L818" s="2" t="s">
        <v>3158</v>
      </c>
      <c r="M818" t="s">
        <v>289</v>
      </c>
      <c r="N818" t="s">
        <v>2030</v>
      </c>
      <c r="O818" t="s">
        <v>3159</v>
      </c>
      <c r="P818" t="s">
        <v>3170</v>
      </c>
      <c r="Q818" t="s">
        <v>2713</v>
      </c>
    </row>
    <row r="819" spans="1:17">
      <c r="A819" s="2" t="s">
        <v>2134</v>
      </c>
      <c r="B819" s="2" t="s">
        <v>585</v>
      </c>
      <c r="C819" s="2" t="s">
        <v>600</v>
      </c>
      <c r="D819" s="11">
        <v>45972.611805555556</v>
      </c>
      <c r="E819" s="11">
        <v>45972.611805555556</v>
      </c>
      <c r="F819" s="11">
        <v>45973.246527777781</v>
      </c>
      <c r="G819" s="12">
        <v>0.63472222222480923</v>
      </c>
      <c r="H819" s="2" t="s">
        <v>268</v>
      </c>
      <c r="I819" s="2" t="s">
        <v>269</v>
      </c>
      <c r="J819" s="2" t="s">
        <v>319</v>
      </c>
      <c r="K819" s="2" t="s">
        <v>652</v>
      </c>
      <c r="L819" s="2" t="s">
        <v>3158</v>
      </c>
      <c r="M819" t="s">
        <v>289</v>
      </c>
      <c r="N819" t="s">
        <v>2030</v>
      </c>
      <c r="O819" t="s">
        <v>3159</v>
      </c>
      <c r="P819" t="s">
        <v>3171</v>
      </c>
      <c r="Q819" t="s">
        <v>2713</v>
      </c>
    </row>
    <row r="820" spans="1:17">
      <c r="A820" s="2" t="s">
        <v>2134</v>
      </c>
      <c r="B820" s="2" t="s">
        <v>585</v>
      </c>
      <c r="C820" s="2" t="s">
        <v>596</v>
      </c>
      <c r="D820" s="11">
        <v>45972.611805555556</v>
      </c>
      <c r="E820" s="11">
        <v>45972.611805555556</v>
      </c>
      <c r="F820" s="11">
        <v>45973.246527777781</v>
      </c>
      <c r="G820" s="12">
        <v>0.63472222222480923</v>
      </c>
      <c r="H820" s="2" t="s">
        <v>268</v>
      </c>
      <c r="I820" s="2" t="s">
        <v>269</v>
      </c>
      <c r="J820" s="2" t="s">
        <v>319</v>
      </c>
      <c r="K820" s="2" t="s">
        <v>652</v>
      </c>
      <c r="L820" s="2" t="s">
        <v>3158</v>
      </c>
      <c r="M820" t="s">
        <v>289</v>
      </c>
      <c r="N820" t="s">
        <v>2030</v>
      </c>
      <c r="O820" t="s">
        <v>3159</v>
      </c>
      <c r="P820" t="s">
        <v>3172</v>
      </c>
      <c r="Q820" t="s">
        <v>2713</v>
      </c>
    </row>
    <row r="821" spans="1:17">
      <c r="A821" s="2" t="s">
        <v>2134</v>
      </c>
      <c r="B821" s="2" t="s">
        <v>585</v>
      </c>
      <c r="C821" s="2" t="s">
        <v>599</v>
      </c>
      <c r="D821" s="11">
        <v>45972.611805555556</v>
      </c>
      <c r="E821" s="11">
        <v>45972.611805555556</v>
      </c>
      <c r="F821" s="11">
        <v>45973.246527777781</v>
      </c>
      <c r="G821" s="12">
        <v>0.63472222222480923</v>
      </c>
      <c r="H821" s="2" t="s">
        <v>268</v>
      </c>
      <c r="I821" s="2" t="s">
        <v>269</v>
      </c>
      <c r="J821" s="2" t="s">
        <v>319</v>
      </c>
      <c r="K821" s="2" t="s">
        <v>652</v>
      </c>
      <c r="L821" s="2" t="s">
        <v>3158</v>
      </c>
      <c r="M821" t="s">
        <v>289</v>
      </c>
      <c r="N821" t="s">
        <v>2030</v>
      </c>
      <c r="O821" t="s">
        <v>3159</v>
      </c>
      <c r="P821" t="s">
        <v>3173</v>
      </c>
      <c r="Q821" t="s">
        <v>2713</v>
      </c>
    </row>
    <row r="822" spans="1:17">
      <c r="A822" s="2" t="s">
        <v>2134</v>
      </c>
      <c r="B822" s="2" t="s">
        <v>585</v>
      </c>
      <c r="C822" s="2" t="s">
        <v>603</v>
      </c>
      <c r="D822" s="11">
        <v>45972.611805555556</v>
      </c>
      <c r="E822" s="11">
        <v>45972.611805555556</v>
      </c>
      <c r="F822" s="11">
        <v>45973.246527777781</v>
      </c>
      <c r="G822" s="12">
        <v>0.63472222222480923</v>
      </c>
      <c r="H822" s="2" t="s">
        <v>268</v>
      </c>
      <c r="I822" s="2" t="s">
        <v>269</v>
      </c>
      <c r="J822" s="2" t="s">
        <v>319</v>
      </c>
      <c r="K822" s="2" t="s">
        <v>652</v>
      </c>
      <c r="L822" s="2" t="s">
        <v>3158</v>
      </c>
      <c r="M822" t="s">
        <v>289</v>
      </c>
      <c r="N822" t="s">
        <v>2030</v>
      </c>
      <c r="O822" t="s">
        <v>3159</v>
      </c>
      <c r="P822" t="s">
        <v>3174</v>
      </c>
      <c r="Q822" t="s">
        <v>2713</v>
      </c>
    </row>
    <row r="823" spans="1:17">
      <c r="A823" s="2" t="s">
        <v>2134</v>
      </c>
      <c r="B823" s="2" t="s">
        <v>585</v>
      </c>
      <c r="C823" s="2" t="s">
        <v>588</v>
      </c>
      <c r="D823" s="11">
        <v>45972.611805555556</v>
      </c>
      <c r="E823" s="11">
        <v>45972.611805555556</v>
      </c>
      <c r="F823" s="11">
        <v>45973.246527777781</v>
      </c>
      <c r="G823" s="12">
        <v>0.63472222222480923</v>
      </c>
      <c r="H823" s="2" t="s">
        <v>268</v>
      </c>
      <c r="I823" s="2" t="s">
        <v>269</v>
      </c>
      <c r="J823" s="2" t="s">
        <v>319</v>
      </c>
      <c r="K823" s="2" t="s">
        <v>652</v>
      </c>
      <c r="L823" s="2" t="s">
        <v>3158</v>
      </c>
      <c r="M823" t="s">
        <v>289</v>
      </c>
      <c r="N823" t="s">
        <v>2030</v>
      </c>
      <c r="O823" t="s">
        <v>3159</v>
      </c>
      <c r="P823" t="s">
        <v>3175</v>
      </c>
      <c r="Q823" t="s">
        <v>2713</v>
      </c>
    </row>
    <row r="824" spans="1:17">
      <c r="A824" s="2" t="s">
        <v>2134</v>
      </c>
      <c r="B824" s="2" t="s">
        <v>585</v>
      </c>
      <c r="C824" s="2" t="s">
        <v>594</v>
      </c>
      <c r="D824" s="11">
        <v>45972.611805555556</v>
      </c>
      <c r="E824" s="11">
        <v>45972.611805555556</v>
      </c>
      <c r="F824" s="11">
        <v>45973.246527777781</v>
      </c>
      <c r="G824" s="12">
        <v>0.63472222222480923</v>
      </c>
      <c r="H824" s="2" t="s">
        <v>268</v>
      </c>
      <c r="I824" s="2" t="s">
        <v>269</v>
      </c>
      <c r="J824" s="2" t="s">
        <v>319</v>
      </c>
      <c r="K824" s="2" t="s">
        <v>652</v>
      </c>
      <c r="L824" s="2" t="s">
        <v>3158</v>
      </c>
      <c r="M824" t="s">
        <v>289</v>
      </c>
      <c r="N824" t="s">
        <v>2030</v>
      </c>
      <c r="O824" t="s">
        <v>3159</v>
      </c>
      <c r="P824" t="s">
        <v>3176</v>
      </c>
      <c r="Q824" t="s">
        <v>2713</v>
      </c>
    </row>
    <row r="825" spans="1:17">
      <c r="A825" s="2" t="s">
        <v>3177</v>
      </c>
      <c r="B825" s="2" t="s">
        <v>568</v>
      </c>
      <c r="C825" s="2" t="s">
        <v>3178</v>
      </c>
      <c r="D825" s="11">
        <v>45972.611805555556</v>
      </c>
      <c r="E825" s="11">
        <v>45972.611805555556</v>
      </c>
      <c r="F825" s="11">
        <v>45973.246527777781</v>
      </c>
      <c r="G825" s="12">
        <v>0.63472222222480923</v>
      </c>
      <c r="H825" s="2" t="s">
        <v>268</v>
      </c>
      <c r="I825" s="2" t="s">
        <v>269</v>
      </c>
      <c r="J825" s="2" t="s">
        <v>319</v>
      </c>
      <c r="K825" s="2" t="s">
        <v>652</v>
      </c>
      <c r="L825" s="2" t="s">
        <v>3179</v>
      </c>
      <c r="M825" t="s">
        <v>289</v>
      </c>
      <c r="N825" t="s">
        <v>2030</v>
      </c>
      <c r="O825" t="s">
        <v>3159</v>
      </c>
      <c r="P825" t="s">
        <v>3180</v>
      </c>
      <c r="Q825" t="s">
        <v>2713</v>
      </c>
    </row>
    <row r="826" spans="1:17">
      <c r="A826" s="2" t="s">
        <v>3181</v>
      </c>
      <c r="B826" s="2" t="s">
        <v>568</v>
      </c>
      <c r="C826" s="2" t="s">
        <v>3182</v>
      </c>
      <c r="D826" s="11">
        <v>45972.611805555556</v>
      </c>
      <c r="E826" s="11">
        <v>45972.611805555556</v>
      </c>
      <c r="F826" s="11">
        <v>45973.246527777781</v>
      </c>
      <c r="G826" s="12">
        <v>0.63472222222480923</v>
      </c>
      <c r="H826" s="2" t="s">
        <v>268</v>
      </c>
      <c r="I826" s="2" t="s">
        <v>269</v>
      </c>
      <c r="J826" s="2" t="s">
        <v>319</v>
      </c>
      <c r="K826" s="2" t="s">
        <v>652</v>
      </c>
      <c r="L826" s="2" t="s">
        <v>3179</v>
      </c>
      <c r="M826" t="s">
        <v>289</v>
      </c>
      <c r="N826" t="s">
        <v>2030</v>
      </c>
      <c r="O826" t="s">
        <v>3159</v>
      </c>
      <c r="P826" t="s">
        <v>3183</v>
      </c>
      <c r="Q826" t="s">
        <v>2713</v>
      </c>
    </row>
    <row r="827" spans="1:17">
      <c r="A827" s="2" t="s">
        <v>3181</v>
      </c>
      <c r="B827" s="2" t="s">
        <v>568</v>
      </c>
      <c r="C827" s="2" t="s">
        <v>3184</v>
      </c>
      <c r="D827" s="11">
        <v>45972.611805555556</v>
      </c>
      <c r="E827" s="11">
        <v>45972.611805555556</v>
      </c>
      <c r="F827" s="11">
        <v>45973.246527777781</v>
      </c>
      <c r="G827" s="12">
        <v>0.63472222222480923</v>
      </c>
      <c r="H827" s="2" t="s">
        <v>268</v>
      </c>
      <c r="I827" s="2" t="s">
        <v>269</v>
      </c>
      <c r="J827" s="2" t="s">
        <v>319</v>
      </c>
      <c r="K827" s="2" t="s">
        <v>652</v>
      </c>
      <c r="L827" s="2" t="s">
        <v>3179</v>
      </c>
      <c r="M827" t="s">
        <v>289</v>
      </c>
      <c r="N827" t="s">
        <v>2030</v>
      </c>
      <c r="O827" t="s">
        <v>3159</v>
      </c>
      <c r="P827" t="s">
        <v>3185</v>
      </c>
      <c r="Q827" t="s">
        <v>2713</v>
      </c>
    </row>
    <row r="828" spans="1:17">
      <c r="A828" s="2" t="s">
        <v>3177</v>
      </c>
      <c r="B828" s="2" t="s">
        <v>568</v>
      </c>
      <c r="C828" s="2" t="s">
        <v>3186</v>
      </c>
      <c r="D828" s="11">
        <v>45972.611805555556</v>
      </c>
      <c r="E828" s="11">
        <v>45972.611805555556</v>
      </c>
      <c r="F828" s="11">
        <v>45973.246527777781</v>
      </c>
      <c r="G828" s="12">
        <v>0.63472222222480923</v>
      </c>
      <c r="H828" s="2" t="s">
        <v>268</v>
      </c>
      <c r="I828" s="2" t="s">
        <v>269</v>
      </c>
      <c r="J828" s="2" t="s">
        <v>319</v>
      </c>
      <c r="K828" s="2" t="s">
        <v>652</v>
      </c>
      <c r="L828" s="2" t="s">
        <v>3179</v>
      </c>
      <c r="M828" t="s">
        <v>289</v>
      </c>
      <c r="N828" t="s">
        <v>2030</v>
      </c>
      <c r="O828" t="s">
        <v>3159</v>
      </c>
      <c r="P828" t="s">
        <v>3187</v>
      </c>
      <c r="Q828" t="s">
        <v>2713</v>
      </c>
    </row>
    <row r="829" spans="1:17">
      <c r="A829" s="2" t="s">
        <v>327</v>
      </c>
      <c r="B829" s="2" t="s">
        <v>327</v>
      </c>
      <c r="C829" s="2" t="s">
        <v>247</v>
      </c>
      <c r="D829" s="11">
        <v>45972.742361111108</v>
      </c>
      <c r="E829" s="11">
        <v>45972.742361111108</v>
      </c>
      <c r="F829" s="11">
        <v>45972.763888888891</v>
      </c>
      <c r="G829" s="12">
        <v>2.1527777782466728E-2</v>
      </c>
      <c r="H829" s="2" t="s">
        <v>257</v>
      </c>
      <c r="J829" s="2" t="s">
        <v>258</v>
      </c>
      <c r="K829" s="2" t="s">
        <v>658</v>
      </c>
      <c r="L829" s="2" t="s">
        <v>3188</v>
      </c>
      <c r="M829" t="s">
        <v>260</v>
      </c>
      <c r="N829" t="s">
        <v>357</v>
      </c>
      <c r="O829" t="s">
        <v>632</v>
      </c>
      <c r="P829" t="s">
        <v>3189</v>
      </c>
      <c r="Q829" t="s">
        <v>2281</v>
      </c>
    </row>
    <row r="830" spans="1:17">
      <c r="A830" s="2" t="s">
        <v>246</v>
      </c>
      <c r="B830" s="2" t="s">
        <v>246</v>
      </c>
      <c r="C830" s="2" t="s">
        <v>247</v>
      </c>
      <c r="D830" s="11">
        <v>45972.742361111108</v>
      </c>
      <c r="E830" s="11">
        <v>45972.742361111108</v>
      </c>
      <c r="F830" s="11">
        <v>45972.763888888891</v>
      </c>
      <c r="G830" s="12">
        <v>2.1527777782466728E-2</v>
      </c>
      <c r="H830" s="2" t="s">
        <v>257</v>
      </c>
      <c r="J830" s="2" t="s">
        <v>258</v>
      </c>
      <c r="K830" s="2" t="s">
        <v>658</v>
      </c>
      <c r="L830" s="2" t="s">
        <v>3188</v>
      </c>
      <c r="M830" t="s">
        <v>260</v>
      </c>
      <c r="N830" t="s">
        <v>357</v>
      </c>
      <c r="O830" t="s">
        <v>632</v>
      </c>
      <c r="P830" t="s">
        <v>3190</v>
      </c>
      <c r="Q830" t="s">
        <v>2281</v>
      </c>
    </row>
    <row r="831" spans="1:17">
      <c r="A831" s="2" t="s">
        <v>328</v>
      </c>
      <c r="B831" s="2" t="s">
        <v>328</v>
      </c>
      <c r="C831" s="2" t="s">
        <v>247</v>
      </c>
      <c r="D831" s="11">
        <v>45972.742361111108</v>
      </c>
      <c r="E831" s="11">
        <v>45972.742361111108</v>
      </c>
      <c r="F831" s="11">
        <v>45972.763888888891</v>
      </c>
      <c r="G831" s="12">
        <v>2.1527777782466728E-2</v>
      </c>
      <c r="H831" s="2" t="s">
        <v>257</v>
      </c>
      <c r="J831" s="2" t="s">
        <v>258</v>
      </c>
      <c r="K831" s="2" t="s">
        <v>658</v>
      </c>
      <c r="L831" s="2" t="s">
        <v>3188</v>
      </c>
      <c r="M831" t="s">
        <v>260</v>
      </c>
      <c r="N831" t="s">
        <v>357</v>
      </c>
      <c r="O831" t="s">
        <v>632</v>
      </c>
      <c r="P831" t="s">
        <v>3191</v>
      </c>
      <c r="Q831" t="s">
        <v>2281</v>
      </c>
    </row>
    <row r="832" spans="1:17">
      <c r="A832" s="2" t="s">
        <v>329</v>
      </c>
      <c r="B832" s="2" t="s">
        <v>329</v>
      </c>
      <c r="C832" s="2" t="s">
        <v>247</v>
      </c>
      <c r="D832" s="11">
        <v>45972.742361111108</v>
      </c>
      <c r="E832" s="11">
        <v>45972.742361111108</v>
      </c>
      <c r="F832" s="11">
        <v>45972.763888888891</v>
      </c>
      <c r="G832" s="12">
        <v>2.1527777782466728E-2</v>
      </c>
      <c r="H832" s="2" t="s">
        <v>257</v>
      </c>
      <c r="J832" s="2" t="s">
        <v>258</v>
      </c>
      <c r="K832" s="2" t="s">
        <v>658</v>
      </c>
      <c r="L832" s="2" t="s">
        <v>3188</v>
      </c>
      <c r="M832" t="s">
        <v>260</v>
      </c>
      <c r="N832" t="s">
        <v>357</v>
      </c>
      <c r="O832" t="s">
        <v>632</v>
      </c>
      <c r="P832" t="s">
        <v>3192</v>
      </c>
      <c r="Q832" t="s">
        <v>2281</v>
      </c>
    </row>
    <row r="833" spans="1:17">
      <c r="A833" s="2" t="s">
        <v>330</v>
      </c>
      <c r="B833" s="2" t="s">
        <v>330</v>
      </c>
      <c r="C833" s="2" t="s">
        <v>247</v>
      </c>
      <c r="D833" s="11">
        <v>45972.742361111108</v>
      </c>
      <c r="E833" s="11">
        <v>45972.742361111108</v>
      </c>
      <c r="F833" s="11">
        <v>45972.763888888891</v>
      </c>
      <c r="G833" s="12">
        <v>2.1527777782466728E-2</v>
      </c>
      <c r="H833" s="2" t="s">
        <v>257</v>
      </c>
      <c r="J833" s="2" t="s">
        <v>258</v>
      </c>
      <c r="K833" s="2" t="s">
        <v>658</v>
      </c>
      <c r="L833" s="2" t="s">
        <v>3188</v>
      </c>
      <c r="M833" t="s">
        <v>260</v>
      </c>
      <c r="N833" t="s">
        <v>357</v>
      </c>
      <c r="O833" t="s">
        <v>632</v>
      </c>
      <c r="P833" t="s">
        <v>3193</v>
      </c>
      <c r="Q833" t="s">
        <v>2281</v>
      </c>
    </row>
    <row r="834" spans="1:17">
      <c r="A834" s="2" t="s">
        <v>265</v>
      </c>
      <c r="B834" s="2" t="s">
        <v>265</v>
      </c>
      <c r="C834" s="2" t="s">
        <v>263</v>
      </c>
      <c r="D834" s="11">
        <v>45972.744444444441</v>
      </c>
      <c r="E834" s="11">
        <v>45972.744444444441</v>
      </c>
      <c r="F834" s="11">
        <v>45972.770833333336</v>
      </c>
      <c r="G834" s="12">
        <v>2.6388888894871343E-2</v>
      </c>
      <c r="H834" s="2" t="s">
        <v>677</v>
      </c>
      <c r="J834" s="2" t="s">
        <v>230</v>
      </c>
      <c r="K834" s="2" t="s">
        <v>230</v>
      </c>
      <c r="L834" s="2" t="s">
        <v>3194</v>
      </c>
      <c r="M834" t="s">
        <v>663</v>
      </c>
      <c r="N834" t="s">
        <v>672</v>
      </c>
      <c r="O834" t="s">
        <v>3195</v>
      </c>
      <c r="P834" t="s">
        <v>3196</v>
      </c>
      <c r="Q834" t="s">
        <v>2677</v>
      </c>
    </row>
    <row r="835" spans="1:17">
      <c r="A835" s="2" t="s">
        <v>265</v>
      </c>
      <c r="B835" s="2" t="s">
        <v>265</v>
      </c>
      <c r="C835" s="2" t="s">
        <v>264</v>
      </c>
      <c r="D835" s="11">
        <v>45972.744444444441</v>
      </c>
      <c r="E835" s="11">
        <v>45972.744444444441</v>
      </c>
      <c r="F835" s="11">
        <v>45972.770833333336</v>
      </c>
      <c r="G835" s="12">
        <v>2.6388888894871343E-2</v>
      </c>
      <c r="H835" s="2" t="s">
        <v>677</v>
      </c>
      <c r="J835" s="2" t="s">
        <v>230</v>
      </c>
      <c r="K835" s="2" t="s">
        <v>230</v>
      </c>
      <c r="L835" s="2" t="s">
        <v>3194</v>
      </c>
      <c r="M835" t="s">
        <v>663</v>
      </c>
      <c r="N835" t="s">
        <v>672</v>
      </c>
      <c r="O835" t="s">
        <v>3195</v>
      </c>
      <c r="P835" t="s">
        <v>3197</v>
      </c>
      <c r="Q835" t="s">
        <v>2677</v>
      </c>
    </row>
    <row r="836" spans="1:17">
      <c r="A836" s="2" t="s">
        <v>265</v>
      </c>
      <c r="B836" s="2" t="s">
        <v>265</v>
      </c>
      <c r="C836" s="2" t="s">
        <v>256</v>
      </c>
      <c r="D836" s="11">
        <v>45972.744444444441</v>
      </c>
      <c r="E836" s="11">
        <v>45972.744444444441</v>
      </c>
      <c r="F836" s="11">
        <v>45972.770833333336</v>
      </c>
      <c r="G836" s="12">
        <v>2.6388888894871343E-2</v>
      </c>
      <c r="H836" s="2" t="s">
        <v>677</v>
      </c>
      <c r="J836" s="2" t="s">
        <v>230</v>
      </c>
      <c r="K836" s="2" t="s">
        <v>230</v>
      </c>
      <c r="L836" s="2" t="s">
        <v>3194</v>
      </c>
      <c r="M836" t="s">
        <v>663</v>
      </c>
      <c r="N836" t="s">
        <v>672</v>
      </c>
      <c r="O836" t="s">
        <v>3195</v>
      </c>
      <c r="P836" t="s">
        <v>3198</v>
      </c>
      <c r="Q836" t="s">
        <v>2677</v>
      </c>
    </row>
    <row r="837" spans="1:17">
      <c r="A837" s="2" t="s">
        <v>265</v>
      </c>
      <c r="B837" s="2" t="s">
        <v>265</v>
      </c>
      <c r="C837" s="2" t="s">
        <v>247</v>
      </c>
      <c r="D837" s="11">
        <v>45972.744444444441</v>
      </c>
      <c r="E837" s="11">
        <v>45972.744444444441</v>
      </c>
      <c r="F837" s="11">
        <v>45972.770833333336</v>
      </c>
      <c r="G837" s="12">
        <v>2.6388888894871343E-2</v>
      </c>
      <c r="H837" s="2" t="s">
        <v>677</v>
      </c>
      <c r="J837" s="2" t="s">
        <v>230</v>
      </c>
      <c r="K837" s="2" t="s">
        <v>230</v>
      </c>
      <c r="L837" s="2" t="s">
        <v>3194</v>
      </c>
      <c r="M837" t="s">
        <v>663</v>
      </c>
      <c r="N837" t="s">
        <v>672</v>
      </c>
      <c r="O837" t="s">
        <v>3195</v>
      </c>
      <c r="P837" t="s">
        <v>3199</v>
      </c>
      <c r="Q837" t="s">
        <v>2677</v>
      </c>
    </row>
    <row r="838" spans="1:17">
      <c r="A838" s="2" t="s">
        <v>355</v>
      </c>
      <c r="B838" s="2" t="s">
        <v>355</v>
      </c>
      <c r="C838" s="2" t="s">
        <v>264</v>
      </c>
      <c r="D838" s="11">
        <v>45972.744444444441</v>
      </c>
      <c r="E838" s="11">
        <v>45972.744444444441</v>
      </c>
      <c r="F838" s="11">
        <v>45972.770833333336</v>
      </c>
      <c r="G838" s="12">
        <v>2.6388888894871343E-2</v>
      </c>
      <c r="H838" s="2" t="s">
        <v>677</v>
      </c>
      <c r="J838" s="2" t="s">
        <v>230</v>
      </c>
      <c r="K838" s="2" t="s">
        <v>230</v>
      </c>
      <c r="L838" s="2" t="s">
        <v>3194</v>
      </c>
      <c r="M838" t="s">
        <v>663</v>
      </c>
      <c r="N838" t="s">
        <v>672</v>
      </c>
      <c r="O838" t="s">
        <v>3195</v>
      </c>
      <c r="P838" t="s">
        <v>3200</v>
      </c>
      <c r="Q838" t="s">
        <v>2677</v>
      </c>
    </row>
    <row r="839" spans="1:17">
      <c r="A839" s="2" t="s">
        <v>355</v>
      </c>
      <c r="B839" s="2" t="s">
        <v>355</v>
      </c>
      <c r="C839" s="2" t="s">
        <v>256</v>
      </c>
      <c r="D839" s="11">
        <v>45972.744444444441</v>
      </c>
      <c r="E839" s="11">
        <v>45972.744444444441</v>
      </c>
      <c r="F839" s="11">
        <v>45972.770833333336</v>
      </c>
      <c r="G839" s="12">
        <v>2.6388888894871343E-2</v>
      </c>
      <c r="H839" s="2" t="s">
        <v>677</v>
      </c>
      <c r="J839" s="2" t="s">
        <v>230</v>
      </c>
      <c r="K839" s="2" t="s">
        <v>230</v>
      </c>
      <c r="L839" s="2" t="s">
        <v>3194</v>
      </c>
      <c r="M839" t="s">
        <v>663</v>
      </c>
      <c r="N839" t="s">
        <v>672</v>
      </c>
      <c r="O839" t="s">
        <v>3195</v>
      </c>
      <c r="P839" t="s">
        <v>3201</v>
      </c>
      <c r="Q839" t="s">
        <v>2677</v>
      </c>
    </row>
    <row r="840" spans="1:17">
      <c r="A840" s="2" t="s">
        <v>255</v>
      </c>
      <c r="B840" s="2" t="s">
        <v>255</v>
      </c>
      <c r="C840" s="2" t="s">
        <v>256</v>
      </c>
      <c r="D840" s="11">
        <v>45972.744444444441</v>
      </c>
      <c r="E840" s="11">
        <v>45972.744444444441</v>
      </c>
      <c r="F840" s="11">
        <v>45973.447916666664</v>
      </c>
      <c r="G840" s="12">
        <v>0.70347222222335404</v>
      </c>
      <c r="H840" s="2" t="s">
        <v>677</v>
      </c>
      <c r="J840" s="2" t="s">
        <v>230</v>
      </c>
      <c r="K840" s="2" t="s">
        <v>230</v>
      </c>
      <c r="L840" s="2" t="s">
        <v>3202</v>
      </c>
      <c r="M840" t="s">
        <v>663</v>
      </c>
      <c r="N840" t="s">
        <v>364</v>
      </c>
      <c r="O840" t="s">
        <v>3203</v>
      </c>
      <c r="P840" t="s">
        <v>3204</v>
      </c>
      <c r="Q840" t="s">
        <v>2677</v>
      </c>
    </row>
    <row r="841" spans="1:17">
      <c r="A841" s="2" t="s">
        <v>255</v>
      </c>
      <c r="B841" s="2" t="s">
        <v>255</v>
      </c>
      <c r="C841" s="2" t="s">
        <v>263</v>
      </c>
      <c r="D841" s="11">
        <v>45972.744444444441</v>
      </c>
      <c r="E841" s="11">
        <v>45972.744444444441</v>
      </c>
      <c r="F841" s="11">
        <v>45973.447916666664</v>
      </c>
      <c r="G841" s="12">
        <v>0.70347222222335404</v>
      </c>
      <c r="H841" s="2" t="s">
        <v>677</v>
      </c>
      <c r="J841" s="2" t="s">
        <v>230</v>
      </c>
      <c r="K841" s="2" t="s">
        <v>230</v>
      </c>
      <c r="L841" s="2" t="s">
        <v>3202</v>
      </c>
      <c r="M841" t="s">
        <v>663</v>
      </c>
      <c r="N841" t="s">
        <v>364</v>
      </c>
      <c r="O841" t="s">
        <v>3203</v>
      </c>
      <c r="P841" t="s">
        <v>3205</v>
      </c>
      <c r="Q841" t="s">
        <v>2677</v>
      </c>
    </row>
    <row r="842" spans="1:17">
      <c r="A842" s="2" t="s">
        <v>255</v>
      </c>
      <c r="B842" s="2" t="s">
        <v>255</v>
      </c>
      <c r="C842" s="2" t="s">
        <v>264</v>
      </c>
      <c r="D842" s="11">
        <v>45972.744444444441</v>
      </c>
      <c r="E842" s="11">
        <v>45972.744444444441</v>
      </c>
      <c r="F842" s="11">
        <v>45973.447916666664</v>
      </c>
      <c r="G842" s="12">
        <v>0.70347222222335404</v>
      </c>
      <c r="H842" s="2" t="s">
        <v>677</v>
      </c>
      <c r="J842" s="2" t="s">
        <v>230</v>
      </c>
      <c r="K842" s="2" t="s">
        <v>230</v>
      </c>
      <c r="L842" s="2" t="s">
        <v>3202</v>
      </c>
      <c r="M842" t="s">
        <v>663</v>
      </c>
      <c r="N842" t="s">
        <v>364</v>
      </c>
      <c r="O842" t="s">
        <v>3203</v>
      </c>
      <c r="P842" t="s">
        <v>3206</v>
      </c>
      <c r="Q842" t="s">
        <v>2677</v>
      </c>
    </row>
    <row r="843" spans="1:17">
      <c r="A843" s="2" t="s">
        <v>255</v>
      </c>
      <c r="B843" s="2" t="s">
        <v>255</v>
      </c>
      <c r="C843" s="2" t="s">
        <v>247</v>
      </c>
      <c r="D843" s="11">
        <v>45972.744444444441</v>
      </c>
      <c r="E843" s="11">
        <v>45972.744444444441</v>
      </c>
      <c r="F843" s="11">
        <v>45973.447916666664</v>
      </c>
      <c r="G843" s="12">
        <v>0.70347222222335404</v>
      </c>
      <c r="H843" s="2" t="s">
        <v>677</v>
      </c>
      <c r="J843" s="2" t="s">
        <v>230</v>
      </c>
      <c r="K843" s="2" t="s">
        <v>230</v>
      </c>
      <c r="L843" s="2" t="s">
        <v>3202</v>
      </c>
      <c r="M843" t="s">
        <v>663</v>
      </c>
      <c r="N843" t="s">
        <v>364</v>
      </c>
      <c r="O843" t="s">
        <v>3203</v>
      </c>
      <c r="P843" t="s">
        <v>3207</v>
      </c>
      <c r="Q843" t="s">
        <v>2677</v>
      </c>
    </row>
    <row r="844" spans="1:17">
      <c r="A844" s="2" t="s">
        <v>2123</v>
      </c>
      <c r="B844" s="2" t="s">
        <v>585</v>
      </c>
      <c r="C844" s="2" t="s">
        <v>602</v>
      </c>
      <c r="D844" s="11">
        <v>45973.25</v>
      </c>
      <c r="E844" s="11">
        <v>45973.25</v>
      </c>
      <c r="F844" s="11">
        <v>45973.290277777778</v>
      </c>
      <c r="G844" s="12">
        <v>4.0277777778101154E-2</v>
      </c>
      <c r="H844" s="2" t="s">
        <v>257</v>
      </c>
      <c r="J844" s="2" t="s">
        <v>258</v>
      </c>
      <c r="K844" s="2" t="s">
        <v>658</v>
      </c>
      <c r="L844" s="2" t="s">
        <v>2089</v>
      </c>
      <c r="M844" t="s">
        <v>260</v>
      </c>
      <c r="N844" t="s">
        <v>357</v>
      </c>
      <c r="O844" t="s">
        <v>632</v>
      </c>
      <c r="P844" t="s">
        <v>3208</v>
      </c>
      <c r="Q844" t="s">
        <v>2281</v>
      </c>
    </row>
    <row r="845" spans="1:17">
      <c r="A845" s="2" t="s">
        <v>2125</v>
      </c>
      <c r="B845" s="2" t="s">
        <v>585</v>
      </c>
      <c r="C845" s="2" t="s">
        <v>595</v>
      </c>
      <c r="D845" s="11">
        <v>45973.25</v>
      </c>
      <c r="E845" s="11">
        <v>45973.25</v>
      </c>
      <c r="F845" s="11">
        <v>45973.290277777778</v>
      </c>
      <c r="G845" s="12">
        <v>4.0277777778101154E-2</v>
      </c>
      <c r="H845" s="2" t="s">
        <v>257</v>
      </c>
      <c r="J845" s="2" t="s">
        <v>258</v>
      </c>
      <c r="K845" s="2" t="s">
        <v>658</v>
      </c>
      <c r="L845" s="2" t="s">
        <v>2089</v>
      </c>
      <c r="M845" t="s">
        <v>260</v>
      </c>
      <c r="N845" t="s">
        <v>357</v>
      </c>
      <c r="O845" t="s">
        <v>632</v>
      </c>
      <c r="P845" t="s">
        <v>3209</v>
      </c>
      <c r="Q845" t="s">
        <v>2281</v>
      </c>
    </row>
    <row r="846" spans="1:17">
      <c r="A846" s="2" t="s">
        <v>2125</v>
      </c>
      <c r="B846" s="2" t="s">
        <v>585</v>
      </c>
      <c r="C846" s="2" t="s">
        <v>592</v>
      </c>
      <c r="D846" s="11">
        <v>45973.25</v>
      </c>
      <c r="E846" s="11">
        <v>45973.25</v>
      </c>
      <c r="F846" s="11">
        <v>45973.290277777778</v>
      </c>
      <c r="G846" s="12">
        <v>4.0277777778101154E-2</v>
      </c>
      <c r="H846" s="2" t="s">
        <v>257</v>
      </c>
      <c r="J846" s="2" t="s">
        <v>258</v>
      </c>
      <c r="K846" s="2" t="s">
        <v>658</v>
      </c>
      <c r="L846" s="2" t="s">
        <v>2089</v>
      </c>
      <c r="M846" t="s">
        <v>260</v>
      </c>
      <c r="N846" t="s">
        <v>357</v>
      </c>
      <c r="O846" t="s">
        <v>632</v>
      </c>
      <c r="P846" t="s">
        <v>3210</v>
      </c>
      <c r="Q846" t="s">
        <v>2281</v>
      </c>
    </row>
    <row r="847" spans="1:17">
      <c r="A847" s="2" t="s">
        <v>2125</v>
      </c>
      <c r="B847" s="2" t="s">
        <v>585</v>
      </c>
      <c r="C847" s="2" t="s">
        <v>589</v>
      </c>
      <c r="D847" s="11">
        <v>45973.25</v>
      </c>
      <c r="E847" s="11">
        <v>45973.25</v>
      </c>
      <c r="F847" s="11">
        <v>45973.290277777778</v>
      </c>
      <c r="G847" s="12">
        <v>4.0277777778101154E-2</v>
      </c>
      <c r="H847" s="2" t="s">
        <v>257</v>
      </c>
      <c r="J847" s="2" t="s">
        <v>258</v>
      </c>
      <c r="K847" s="2" t="s">
        <v>658</v>
      </c>
      <c r="L847" s="2" t="s">
        <v>2089</v>
      </c>
      <c r="M847" t="s">
        <v>260</v>
      </c>
      <c r="N847" t="s">
        <v>357</v>
      </c>
      <c r="O847" t="s">
        <v>632</v>
      </c>
      <c r="P847" t="s">
        <v>3211</v>
      </c>
      <c r="Q847" t="s">
        <v>2281</v>
      </c>
    </row>
    <row r="848" spans="1:17">
      <c r="A848" s="2" t="s">
        <v>2125</v>
      </c>
      <c r="B848" s="2" t="s">
        <v>585</v>
      </c>
      <c r="C848" s="2" t="s">
        <v>593</v>
      </c>
      <c r="D848" s="11">
        <v>45973.25</v>
      </c>
      <c r="E848" s="11">
        <v>45973.25</v>
      </c>
      <c r="F848" s="11">
        <v>45973.290277777778</v>
      </c>
      <c r="G848" s="12">
        <v>4.0277777778101154E-2</v>
      </c>
      <c r="H848" s="2" t="s">
        <v>257</v>
      </c>
      <c r="J848" s="2" t="s">
        <v>258</v>
      </c>
      <c r="K848" s="2" t="s">
        <v>658</v>
      </c>
      <c r="L848" s="2" t="s">
        <v>2089</v>
      </c>
      <c r="M848" t="s">
        <v>260</v>
      </c>
      <c r="N848" t="s">
        <v>357</v>
      </c>
      <c r="O848" t="s">
        <v>632</v>
      </c>
      <c r="P848" t="s">
        <v>3212</v>
      </c>
      <c r="Q848" t="s">
        <v>2281</v>
      </c>
    </row>
    <row r="849" spans="1:17">
      <c r="A849" s="2" t="s">
        <v>2125</v>
      </c>
      <c r="B849" s="2" t="s">
        <v>585</v>
      </c>
      <c r="C849" s="2" t="s">
        <v>591</v>
      </c>
      <c r="D849" s="11">
        <v>45973.25</v>
      </c>
      <c r="E849" s="11">
        <v>45973.25</v>
      </c>
      <c r="F849" s="11">
        <v>45973.290277777778</v>
      </c>
      <c r="G849" s="12">
        <v>4.0277777778101154E-2</v>
      </c>
      <c r="H849" s="2" t="s">
        <v>257</v>
      </c>
      <c r="J849" s="2" t="s">
        <v>258</v>
      </c>
      <c r="K849" s="2" t="s">
        <v>658</v>
      </c>
      <c r="L849" s="2" t="s">
        <v>2089</v>
      </c>
      <c r="M849" t="s">
        <v>260</v>
      </c>
      <c r="N849" t="s">
        <v>357</v>
      </c>
      <c r="O849" t="s">
        <v>632</v>
      </c>
      <c r="P849" t="s">
        <v>3213</v>
      </c>
      <c r="Q849" t="s">
        <v>2281</v>
      </c>
    </row>
    <row r="850" spans="1:17">
      <c r="A850" s="2" t="s">
        <v>2125</v>
      </c>
      <c r="B850" s="2" t="s">
        <v>585</v>
      </c>
      <c r="C850" s="2" t="s">
        <v>2293</v>
      </c>
      <c r="D850" s="11">
        <v>45973.25</v>
      </c>
      <c r="E850" s="11">
        <v>45973.25</v>
      </c>
      <c r="F850" s="11">
        <v>45973.290277777778</v>
      </c>
      <c r="G850" s="12">
        <v>4.0277777778101154E-2</v>
      </c>
      <c r="H850" s="2" t="s">
        <v>257</v>
      </c>
      <c r="J850" s="2" t="s">
        <v>258</v>
      </c>
      <c r="K850" s="2" t="s">
        <v>658</v>
      </c>
      <c r="L850" s="2" t="s">
        <v>2089</v>
      </c>
      <c r="M850" t="s">
        <v>260</v>
      </c>
      <c r="N850" t="s">
        <v>357</v>
      </c>
      <c r="O850" t="s">
        <v>632</v>
      </c>
      <c r="P850" t="s">
        <v>3214</v>
      </c>
      <c r="Q850" t="s">
        <v>2281</v>
      </c>
    </row>
    <row r="851" spans="1:17">
      <c r="A851" s="2" t="s">
        <v>2195</v>
      </c>
      <c r="B851" s="2" t="s">
        <v>543</v>
      </c>
      <c r="C851" s="2" t="s">
        <v>2616</v>
      </c>
      <c r="D851" s="11">
        <v>45973.250532407408</v>
      </c>
      <c r="E851" s="11">
        <v>45973.250532407408</v>
      </c>
      <c r="F851" s="11">
        <v>45973.274305555555</v>
      </c>
      <c r="G851" s="12">
        <v>2.3773148146574385E-2</v>
      </c>
      <c r="H851" s="2" t="s">
        <v>257</v>
      </c>
      <c r="J851" s="2" t="s">
        <v>371</v>
      </c>
      <c r="K851" s="2" t="s">
        <v>653</v>
      </c>
      <c r="L851" s="2" t="s">
        <v>861</v>
      </c>
      <c r="M851" t="s">
        <v>252</v>
      </c>
      <c r="N851" t="s">
        <v>631</v>
      </c>
      <c r="P851" t="s">
        <v>3215</v>
      </c>
      <c r="Q851" t="s">
        <v>2537</v>
      </c>
    </row>
    <row r="852" spans="1:17">
      <c r="A852" s="2" t="s">
        <v>2195</v>
      </c>
      <c r="B852" s="2" t="s">
        <v>543</v>
      </c>
      <c r="C852" s="2" t="s">
        <v>2535</v>
      </c>
      <c r="D852" s="11">
        <v>45973.256886574076</v>
      </c>
      <c r="E852" s="11">
        <v>45973.256886574076</v>
      </c>
      <c r="F852" s="11">
        <v>45973.263807870368</v>
      </c>
      <c r="G852" s="12">
        <v>6.9212962916935794E-3</v>
      </c>
      <c r="H852" s="2" t="s">
        <v>257</v>
      </c>
      <c r="J852" s="2" t="s">
        <v>371</v>
      </c>
      <c r="K852" s="2" t="s">
        <v>653</v>
      </c>
      <c r="L852" s="2" t="s">
        <v>861</v>
      </c>
      <c r="M852" t="s">
        <v>252</v>
      </c>
      <c r="N852" t="s">
        <v>631</v>
      </c>
      <c r="P852" t="s">
        <v>3216</v>
      </c>
      <c r="Q852" t="s">
        <v>2537</v>
      </c>
    </row>
    <row r="853" spans="1:17">
      <c r="A853" s="2" t="s">
        <v>2195</v>
      </c>
      <c r="B853" s="2" t="s">
        <v>543</v>
      </c>
      <c r="C853" s="2" t="s">
        <v>2618</v>
      </c>
      <c r="D853" s="11">
        <v>45973.257002314815</v>
      </c>
      <c r="E853" s="11">
        <v>45973.257002314815</v>
      </c>
      <c r="F853" s="11">
        <v>45973.263923611114</v>
      </c>
      <c r="G853" s="12">
        <v>6.921296298969537E-3</v>
      </c>
      <c r="H853" s="2" t="s">
        <v>257</v>
      </c>
      <c r="J853" s="2" t="s">
        <v>371</v>
      </c>
      <c r="K853" s="2" t="s">
        <v>653</v>
      </c>
      <c r="L853" s="2" t="s">
        <v>861</v>
      </c>
      <c r="M853" t="s">
        <v>252</v>
      </c>
      <c r="N853" t="s">
        <v>631</v>
      </c>
      <c r="P853" t="s">
        <v>3217</v>
      </c>
      <c r="Q853" t="s">
        <v>2537</v>
      </c>
    </row>
    <row r="854" spans="1:17">
      <c r="A854" s="2" t="s">
        <v>2195</v>
      </c>
      <c r="B854" s="2" t="s">
        <v>543</v>
      </c>
      <c r="C854" s="2" t="s">
        <v>2719</v>
      </c>
      <c r="D854" s="11">
        <v>45973.257025462961</v>
      </c>
      <c r="E854" s="11">
        <v>45973.257025462961</v>
      </c>
      <c r="F854" s="11">
        <v>45973.263981481483</v>
      </c>
      <c r="G854" s="12">
        <v>6.9560185220325366E-3</v>
      </c>
      <c r="H854" s="2" t="s">
        <v>257</v>
      </c>
      <c r="J854" s="2" t="s">
        <v>371</v>
      </c>
      <c r="K854" s="2" t="s">
        <v>653</v>
      </c>
      <c r="L854" s="2" t="s">
        <v>861</v>
      </c>
      <c r="M854" t="s">
        <v>252</v>
      </c>
      <c r="N854" t="s">
        <v>631</v>
      </c>
      <c r="P854" t="s">
        <v>3218</v>
      </c>
      <c r="Q854" t="s">
        <v>2537</v>
      </c>
    </row>
    <row r="855" spans="1:17">
      <c r="A855" s="2" t="s">
        <v>2195</v>
      </c>
      <c r="B855" s="2" t="s">
        <v>543</v>
      </c>
      <c r="C855" s="2" t="s">
        <v>2846</v>
      </c>
      <c r="D855" s="11">
        <v>45973.257048611114</v>
      </c>
      <c r="E855" s="11">
        <v>45973.257048611114</v>
      </c>
      <c r="F855" s="11">
        <v>45973.263981481483</v>
      </c>
      <c r="G855" s="12">
        <v>6.9328703684732318E-3</v>
      </c>
      <c r="H855" s="2" t="s">
        <v>257</v>
      </c>
      <c r="J855" s="2" t="s">
        <v>371</v>
      </c>
      <c r="K855" s="2" t="s">
        <v>653</v>
      </c>
      <c r="L855" s="2" t="s">
        <v>861</v>
      </c>
      <c r="M855" t="s">
        <v>252</v>
      </c>
      <c r="N855" t="s">
        <v>631</v>
      </c>
      <c r="P855" t="s">
        <v>3219</v>
      </c>
      <c r="Q855" t="s">
        <v>2537</v>
      </c>
    </row>
    <row r="856" spans="1:17">
      <c r="A856" s="2" t="s">
        <v>2195</v>
      </c>
      <c r="B856" s="2" t="s">
        <v>543</v>
      </c>
      <c r="C856" s="2" t="s">
        <v>2848</v>
      </c>
      <c r="D856" s="11">
        <v>45973.257106481484</v>
      </c>
      <c r="E856" s="11">
        <v>45973.257106481484</v>
      </c>
      <c r="F856" s="11">
        <v>45973.264039351852</v>
      </c>
      <c r="G856" s="12">
        <v>6.9328703684732318E-3</v>
      </c>
      <c r="H856" s="2" t="s">
        <v>257</v>
      </c>
      <c r="J856" s="2" t="s">
        <v>371</v>
      </c>
      <c r="K856" s="2" t="s">
        <v>653</v>
      </c>
      <c r="L856" s="2" t="s">
        <v>861</v>
      </c>
      <c r="M856" t="s">
        <v>252</v>
      </c>
      <c r="N856" t="s">
        <v>631</v>
      </c>
      <c r="P856" t="s">
        <v>3220</v>
      </c>
      <c r="Q856" t="s">
        <v>2537</v>
      </c>
    </row>
    <row r="857" spans="1:17">
      <c r="A857" s="2" t="s">
        <v>2195</v>
      </c>
      <c r="B857" s="2" t="s">
        <v>543</v>
      </c>
      <c r="C857" s="2" t="s">
        <v>556</v>
      </c>
      <c r="D857" s="11">
        <v>45973.257164351853</v>
      </c>
      <c r="E857" s="11">
        <v>45973.257164351853</v>
      </c>
      <c r="F857" s="11">
        <v>45973.264120370368</v>
      </c>
      <c r="G857" s="12">
        <v>6.956018514756579E-3</v>
      </c>
      <c r="H857" s="2" t="s">
        <v>257</v>
      </c>
      <c r="J857" s="2" t="s">
        <v>371</v>
      </c>
      <c r="K857" s="2" t="s">
        <v>653</v>
      </c>
      <c r="L857" s="2" t="s">
        <v>861</v>
      </c>
      <c r="M857" t="s">
        <v>252</v>
      </c>
      <c r="N857" t="s">
        <v>631</v>
      </c>
      <c r="P857" t="s">
        <v>3221</v>
      </c>
      <c r="Q857" t="s">
        <v>2537</v>
      </c>
    </row>
    <row r="858" spans="1:17">
      <c r="A858" s="2" t="s">
        <v>327</v>
      </c>
      <c r="B858" s="2" t="s">
        <v>327</v>
      </c>
      <c r="C858" s="2" t="s">
        <v>247</v>
      </c>
      <c r="D858" s="11">
        <v>45973.263888888891</v>
      </c>
      <c r="E858" s="11">
        <v>45973.263888888891</v>
      </c>
      <c r="F858" s="11">
        <v>45973.283333333333</v>
      </c>
      <c r="G858" s="12">
        <v>1.9444444442342501E-2</v>
      </c>
      <c r="H858" s="2" t="s">
        <v>257</v>
      </c>
      <c r="J858" s="2" t="s">
        <v>258</v>
      </c>
      <c r="K858" s="2" t="s">
        <v>658</v>
      </c>
      <c r="L858" s="2" t="s">
        <v>2198</v>
      </c>
      <c r="M858" t="s">
        <v>260</v>
      </c>
      <c r="N858" t="s">
        <v>357</v>
      </c>
      <c r="O858" t="s">
        <v>632</v>
      </c>
      <c r="P858" t="s">
        <v>3222</v>
      </c>
      <c r="Q858" t="s">
        <v>2281</v>
      </c>
    </row>
    <row r="859" spans="1:17">
      <c r="A859" s="2" t="s">
        <v>246</v>
      </c>
      <c r="B859" s="2" t="s">
        <v>246</v>
      </c>
      <c r="C859" s="2" t="s">
        <v>247</v>
      </c>
      <c r="D859" s="11">
        <v>45973.263888888891</v>
      </c>
      <c r="E859" s="11">
        <v>45973.263888888891</v>
      </c>
      <c r="F859" s="11">
        <v>45973.283333333333</v>
      </c>
      <c r="G859" s="12">
        <v>1.9444444442342501E-2</v>
      </c>
      <c r="H859" s="2" t="s">
        <v>257</v>
      </c>
      <c r="J859" s="2" t="s">
        <v>258</v>
      </c>
      <c r="K859" s="2" t="s">
        <v>658</v>
      </c>
      <c r="L859" s="2" t="s">
        <v>2198</v>
      </c>
      <c r="M859" t="s">
        <v>260</v>
      </c>
      <c r="N859" t="s">
        <v>357</v>
      </c>
      <c r="O859" t="s">
        <v>632</v>
      </c>
      <c r="P859" t="s">
        <v>3223</v>
      </c>
      <c r="Q859" t="s">
        <v>2281</v>
      </c>
    </row>
    <row r="860" spans="1:17">
      <c r="A860" s="2" t="s">
        <v>328</v>
      </c>
      <c r="B860" s="2" t="s">
        <v>328</v>
      </c>
      <c r="C860" s="2" t="s">
        <v>247</v>
      </c>
      <c r="D860" s="11">
        <v>45973.263888888891</v>
      </c>
      <c r="E860" s="11">
        <v>45973.263888888891</v>
      </c>
      <c r="F860" s="11">
        <v>45973.283333333333</v>
      </c>
      <c r="G860" s="12">
        <v>1.9444444442342501E-2</v>
      </c>
      <c r="H860" s="2" t="s">
        <v>257</v>
      </c>
      <c r="J860" s="2" t="s">
        <v>258</v>
      </c>
      <c r="K860" s="2" t="s">
        <v>658</v>
      </c>
      <c r="L860" s="2" t="s">
        <v>2198</v>
      </c>
      <c r="M860" t="s">
        <v>260</v>
      </c>
      <c r="N860" t="s">
        <v>357</v>
      </c>
      <c r="O860" t="s">
        <v>632</v>
      </c>
      <c r="P860" t="s">
        <v>3224</v>
      </c>
      <c r="Q860" t="s">
        <v>2281</v>
      </c>
    </row>
    <row r="861" spans="1:17">
      <c r="A861" s="2" t="s">
        <v>329</v>
      </c>
      <c r="B861" s="2" t="s">
        <v>329</v>
      </c>
      <c r="C861" s="2" t="s">
        <v>247</v>
      </c>
      <c r="D861" s="11">
        <v>45973.263888888891</v>
      </c>
      <c r="E861" s="11">
        <v>45973.263888888891</v>
      </c>
      <c r="F861" s="11">
        <v>45973.283333333333</v>
      </c>
      <c r="G861" s="12">
        <v>1.9444444442342501E-2</v>
      </c>
      <c r="H861" s="2" t="s">
        <v>257</v>
      </c>
      <c r="J861" s="2" t="s">
        <v>258</v>
      </c>
      <c r="K861" s="2" t="s">
        <v>658</v>
      </c>
      <c r="L861" s="2" t="s">
        <v>2198</v>
      </c>
      <c r="M861" t="s">
        <v>260</v>
      </c>
      <c r="N861" t="s">
        <v>357</v>
      </c>
      <c r="O861" t="s">
        <v>632</v>
      </c>
      <c r="P861" t="s">
        <v>3225</v>
      </c>
      <c r="Q861" t="s">
        <v>2281</v>
      </c>
    </row>
    <row r="862" spans="1:17">
      <c r="A862" s="2" t="s">
        <v>330</v>
      </c>
      <c r="B862" s="2" t="s">
        <v>330</v>
      </c>
      <c r="C862" s="2" t="s">
        <v>247</v>
      </c>
      <c r="D862" s="11">
        <v>45973.263888888891</v>
      </c>
      <c r="E862" s="11">
        <v>45973.263888888891</v>
      </c>
      <c r="F862" s="11">
        <v>45973.283333333333</v>
      </c>
      <c r="G862" s="12">
        <v>1.9444444442342501E-2</v>
      </c>
      <c r="H862" s="2" t="s">
        <v>257</v>
      </c>
      <c r="J862" s="2" t="s">
        <v>258</v>
      </c>
      <c r="K862" s="2" t="s">
        <v>658</v>
      </c>
      <c r="L862" s="2" t="s">
        <v>2198</v>
      </c>
      <c r="M862" t="s">
        <v>260</v>
      </c>
      <c r="N862" t="s">
        <v>357</v>
      </c>
      <c r="O862" t="s">
        <v>632</v>
      </c>
      <c r="P862" t="s">
        <v>3226</v>
      </c>
      <c r="Q862" t="s">
        <v>2281</v>
      </c>
    </row>
    <row r="863" spans="1:17">
      <c r="A863" s="2" t="s">
        <v>2209</v>
      </c>
      <c r="B863" s="2" t="s">
        <v>495</v>
      </c>
      <c r="C863" s="2" t="s">
        <v>496</v>
      </c>
      <c r="D863" s="11">
        <v>45973.451388888891</v>
      </c>
      <c r="E863" s="11">
        <v>45973.451388888891</v>
      </c>
      <c r="F863" s="11">
        <v>45973.643750000003</v>
      </c>
      <c r="G863" s="12">
        <v>0.19236111111240461</v>
      </c>
      <c r="H863" s="2" t="s">
        <v>677</v>
      </c>
      <c r="J863" s="2" t="s">
        <v>230</v>
      </c>
      <c r="K863" s="2" t="s">
        <v>230</v>
      </c>
      <c r="L863" s="2" t="s">
        <v>2852</v>
      </c>
      <c r="M863" t="s">
        <v>663</v>
      </c>
      <c r="N863" t="s">
        <v>672</v>
      </c>
      <c r="O863" t="s">
        <v>3227</v>
      </c>
      <c r="P863" t="s">
        <v>3228</v>
      </c>
      <c r="Q863" t="s">
        <v>2677</v>
      </c>
    </row>
    <row r="864" spans="1:17">
      <c r="A864" s="2" t="s">
        <v>2209</v>
      </c>
      <c r="B864" s="2" t="s">
        <v>495</v>
      </c>
      <c r="C864" s="2" t="s">
        <v>501</v>
      </c>
      <c r="D864" s="11">
        <v>45973.451388888891</v>
      </c>
      <c r="E864" s="11">
        <v>45973.451388888891</v>
      </c>
      <c r="F864" s="11">
        <v>45973.643750000003</v>
      </c>
      <c r="G864" s="12">
        <v>0.19236111111240461</v>
      </c>
      <c r="H864" s="2" t="s">
        <v>677</v>
      </c>
      <c r="J864" s="2" t="s">
        <v>230</v>
      </c>
      <c r="K864" s="2" t="s">
        <v>230</v>
      </c>
      <c r="L864" s="2" t="s">
        <v>2852</v>
      </c>
      <c r="M864" t="s">
        <v>663</v>
      </c>
      <c r="N864" t="s">
        <v>672</v>
      </c>
      <c r="O864" t="s">
        <v>3227</v>
      </c>
      <c r="P864" t="s">
        <v>3229</v>
      </c>
      <c r="Q864" t="s">
        <v>2677</v>
      </c>
    </row>
    <row r="865" spans="1:17">
      <c r="A865" s="2" t="s">
        <v>2209</v>
      </c>
      <c r="B865" s="2" t="s">
        <v>495</v>
      </c>
      <c r="C865" s="2" t="s">
        <v>502</v>
      </c>
      <c r="D865" s="11">
        <v>45973.451388888891</v>
      </c>
      <c r="E865" s="11">
        <v>45973.451388888891</v>
      </c>
      <c r="F865" s="11">
        <v>45973.643750000003</v>
      </c>
      <c r="G865" s="12">
        <v>0.19236111111240461</v>
      </c>
      <c r="H865" s="2" t="s">
        <v>677</v>
      </c>
      <c r="J865" s="2" t="s">
        <v>230</v>
      </c>
      <c r="K865" s="2" t="s">
        <v>230</v>
      </c>
      <c r="L865" s="2" t="s">
        <v>2852</v>
      </c>
      <c r="M865" t="s">
        <v>663</v>
      </c>
      <c r="N865" t="s">
        <v>672</v>
      </c>
      <c r="O865" t="s">
        <v>3227</v>
      </c>
      <c r="P865" t="s">
        <v>3230</v>
      </c>
      <c r="Q865" t="s">
        <v>2677</v>
      </c>
    </row>
    <row r="866" spans="1:17">
      <c r="A866" s="2" t="s">
        <v>2209</v>
      </c>
      <c r="B866" s="2" t="s">
        <v>495</v>
      </c>
      <c r="C866" s="2" t="s">
        <v>503</v>
      </c>
      <c r="D866" s="11">
        <v>45973.451388888891</v>
      </c>
      <c r="E866" s="11">
        <v>45973.451388888891</v>
      </c>
      <c r="F866" s="11">
        <v>45973.643750000003</v>
      </c>
      <c r="G866" s="12">
        <v>0.19236111111240461</v>
      </c>
      <c r="H866" s="2" t="s">
        <v>677</v>
      </c>
      <c r="J866" s="2" t="s">
        <v>230</v>
      </c>
      <c r="K866" s="2" t="s">
        <v>230</v>
      </c>
      <c r="L866" s="2" t="s">
        <v>2852</v>
      </c>
      <c r="M866" t="s">
        <v>663</v>
      </c>
      <c r="N866" t="s">
        <v>672</v>
      </c>
      <c r="O866" t="s">
        <v>3227</v>
      </c>
      <c r="P866" t="s">
        <v>3231</v>
      </c>
      <c r="Q866" t="s">
        <v>2677</v>
      </c>
    </row>
    <row r="867" spans="1:17">
      <c r="A867" s="2" t="s">
        <v>2209</v>
      </c>
      <c r="B867" s="2" t="s">
        <v>495</v>
      </c>
      <c r="C867" s="2" t="s">
        <v>504</v>
      </c>
      <c r="D867" s="11">
        <v>45973.451388888891</v>
      </c>
      <c r="E867" s="11">
        <v>45973.451388888891</v>
      </c>
      <c r="F867" s="11">
        <v>45973.643750000003</v>
      </c>
      <c r="G867" s="12">
        <v>0.19236111111240461</v>
      </c>
      <c r="H867" s="2" t="s">
        <v>677</v>
      </c>
      <c r="J867" s="2" t="s">
        <v>230</v>
      </c>
      <c r="K867" s="2" t="s">
        <v>230</v>
      </c>
      <c r="L867" s="2" t="s">
        <v>2852</v>
      </c>
      <c r="M867" t="s">
        <v>663</v>
      </c>
      <c r="N867" t="s">
        <v>672</v>
      </c>
      <c r="O867" t="s">
        <v>3227</v>
      </c>
      <c r="P867" t="s">
        <v>3232</v>
      </c>
      <c r="Q867" t="s">
        <v>2677</v>
      </c>
    </row>
    <row r="868" spans="1:17">
      <c r="A868" s="2" t="s">
        <v>2209</v>
      </c>
      <c r="B868" s="2" t="s">
        <v>495</v>
      </c>
      <c r="C868" s="2" t="s">
        <v>505</v>
      </c>
      <c r="D868" s="11">
        <v>45973.451388888891</v>
      </c>
      <c r="E868" s="11">
        <v>45973.451388888891</v>
      </c>
      <c r="F868" s="11">
        <v>45973.643750000003</v>
      </c>
      <c r="G868" s="12">
        <v>0.19236111111240461</v>
      </c>
      <c r="H868" s="2" t="s">
        <v>677</v>
      </c>
      <c r="J868" s="2" t="s">
        <v>230</v>
      </c>
      <c r="K868" s="2" t="s">
        <v>230</v>
      </c>
      <c r="L868" s="2" t="s">
        <v>2852</v>
      </c>
      <c r="M868" t="s">
        <v>663</v>
      </c>
      <c r="N868" t="s">
        <v>672</v>
      </c>
      <c r="O868" t="s">
        <v>3227</v>
      </c>
      <c r="P868" t="s">
        <v>3233</v>
      </c>
      <c r="Q868" t="s">
        <v>2677</v>
      </c>
    </row>
    <row r="869" spans="1:17">
      <c r="A869" s="2" t="s">
        <v>2209</v>
      </c>
      <c r="B869" s="2" t="s">
        <v>495</v>
      </c>
      <c r="C869" s="2" t="s">
        <v>506</v>
      </c>
      <c r="D869" s="11">
        <v>45973.451388888891</v>
      </c>
      <c r="E869" s="11">
        <v>45973.451388888891</v>
      </c>
      <c r="F869" s="11">
        <v>45973.643750000003</v>
      </c>
      <c r="G869" s="12">
        <v>0.19236111111240461</v>
      </c>
      <c r="H869" s="2" t="s">
        <v>677</v>
      </c>
      <c r="J869" s="2" t="s">
        <v>230</v>
      </c>
      <c r="K869" s="2" t="s">
        <v>230</v>
      </c>
      <c r="L869" s="2" t="s">
        <v>2852</v>
      </c>
      <c r="M869" t="s">
        <v>663</v>
      </c>
      <c r="N869" t="s">
        <v>672</v>
      </c>
      <c r="O869" t="s">
        <v>3227</v>
      </c>
      <c r="P869" t="s">
        <v>3234</v>
      </c>
      <c r="Q869" t="s">
        <v>2677</v>
      </c>
    </row>
    <row r="870" spans="1:17">
      <c r="A870" s="2" t="s">
        <v>2209</v>
      </c>
      <c r="B870" s="2" t="s">
        <v>495</v>
      </c>
      <c r="C870" s="2" t="s">
        <v>507</v>
      </c>
      <c r="D870" s="11">
        <v>45973.451388888891</v>
      </c>
      <c r="E870" s="11">
        <v>45973.451388888891</v>
      </c>
      <c r="F870" s="11">
        <v>45973.643750000003</v>
      </c>
      <c r="G870" s="12">
        <v>0.19236111111240461</v>
      </c>
      <c r="H870" s="2" t="s">
        <v>677</v>
      </c>
      <c r="J870" s="2" t="s">
        <v>230</v>
      </c>
      <c r="K870" s="2" t="s">
        <v>230</v>
      </c>
      <c r="L870" s="2" t="s">
        <v>2852</v>
      </c>
      <c r="M870" t="s">
        <v>663</v>
      </c>
      <c r="N870" t="s">
        <v>672</v>
      </c>
      <c r="O870" t="s">
        <v>3227</v>
      </c>
      <c r="P870" t="s">
        <v>3235</v>
      </c>
      <c r="Q870" t="s">
        <v>2677</v>
      </c>
    </row>
    <row r="871" spans="1:17">
      <c r="A871" s="2" t="s">
        <v>2209</v>
      </c>
      <c r="B871" s="2" t="s">
        <v>495</v>
      </c>
      <c r="C871" s="2" t="s">
        <v>508</v>
      </c>
      <c r="D871" s="11">
        <v>45973.451388888891</v>
      </c>
      <c r="E871" s="11">
        <v>45973.451388888891</v>
      </c>
      <c r="F871" s="11">
        <v>45973.643750000003</v>
      </c>
      <c r="G871" s="12">
        <v>0.19236111111240461</v>
      </c>
      <c r="H871" s="2" t="s">
        <v>677</v>
      </c>
      <c r="J871" s="2" t="s">
        <v>230</v>
      </c>
      <c r="K871" s="2" t="s">
        <v>230</v>
      </c>
      <c r="L871" s="2" t="s">
        <v>2852</v>
      </c>
      <c r="M871" t="s">
        <v>663</v>
      </c>
      <c r="N871" t="s">
        <v>672</v>
      </c>
      <c r="O871" t="s">
        <v>3227</v>
      </c>
      <c r="P871" t="s">
        <v>3236</v>
      </c>
      <c r="Q871" t="s">
        <v>2677</v>
      </c>
    </row>
    <row r="872" spans="1:17">
      <c r="A872" s="2" t="s">
        <v>2209</v>
      </c>
      <c r="B872" s="2" t="s">
        <v>495</v>
      </c>
      <c r="C872" s="2" t="s">
        <v>509</v>
      </c>
      <c r="D872" s="11">
        <v>45973.451388888891</v>
      </c>
      <c r="E872" s="11">
        <v>45973.451388888891</v>
      </c>
      <c r="F872" s="11">
        <v>45973.643750000003</v>
      </c>
      <c r="G872" s="12">
        <v>0.19236111111240461</v>
      </c>
      <c r="H872" s="2" t="s">
        <v>677</v>
      </c>
      <c r="J872" s="2" t="s">
        <v>230</v>
      </c>
      <c r="K872" s="2" t="s">
        <v>230</v>
      </c>
      <c r="L872" s="2" t="s">
        <v>2852</v>
      </c>
      <c r="M872" t="s">
        <v>663</v>
      </c>
      <c r="N872" t="s">
        <v>672</v>
      </c>
      <c r="O872" t="s">
        <v>3227</v>
      </c>
      <c r="P872" t="s">
        <v>3237</v>
      </c>
      <c r="Q872" t="s">
        <v>2677</v>
      </c>
    </row>
    <row r="873" spans="1:17">
      <c r="A873" s="2" t="s">
        <v>2209</v>
      </c>
      <c r="B873" s="2" t="s">
        <v>495</v>
      </c>
      <c r="C873" s="2" t="s">
        <v>510</v>
      </c>
      <c r="D873" s="11">
        <v>45973.451388888891</v>
      </c>
      <c r="E873" s="11">
        <v>45973.451388888891</v>
      </c>
      <c r="F873" s="11">
        <v>45973.643750000003</v>
      </c>
      <c r="G873" s="12">
        <v>0.19236111111240461</v>
      </c>
      <c r="H873" s="2" t="s">
        <v>677</v>
      </c>
      <c r="J873" s="2" t="s">
        <v>230</v>
      </c>
      <c r="K873" s="2" t="s">
        <v>230</v>
      </c>
      <c r="L873" s="2" t="s">
        <v>2852</v>
      </c>
      <c r="M873" t="s">
        <v>663</v>
      </c>
      <c r="N873" t="s">
        <v>672</v>
      </c>
      <c r="O873" t="s">
        <v>3227</v>
      </c>
      <c r="P873" t="s">
        <v>3238</v>
      </c>
      <c r="Q873" t="s">
        <v>2677</v>
      </c>
    </row>
    <row r="874" spans="1:17">
      <c r="A874" s="2" t="s">
        <v>2209</v>
      </c>
      <c r="B874" s="2" t="s">
        <v>495</v>
      </c>
      <c r="C874" s="2" t="s">
        <v>511</v>
      </c>
      <c r="D874" s="11">
        <v>45973.451388888891</v>
      </c>
      <c r="E874" s="11">
        <v>45973.451388888891</v>
      </c>
      <c r="F874" s="11">
        <v>45973.643750000003</v>
      </c>
      <c r="G874" s="12">
        <v>0.19236111111240461</v>
      </c>
      <c r="H874" s="2" t="s">
        <v>677</v>
      </c>
      <c r="J874" s="2" t="s">
        <v>230</v>
      </c>
      <c r="K874" s="2" t="s">
        <v>230</v>
      </c>
      <c r="L874" s="2" t="s">
        <v>2852</v>
      </c>
      <c r="M874" t="s">
        <v>663</v>
      </c>
      <c r="N874" t="s">
        <v>672</v>
      </c>
      <c r="O874" t="s">
        <v>3227</v>
      </c>
      <c r="P874" t="s">
        <v>3239</v>
      </c>
      <c r="Q874" t="s">
        <v>2677</v>
      </c>
    </row>
    <row r="875" spans="1:17">
      <c r="A875" s="2" t="s">
        <v>2209</v>
      </c>
      <c r="B875" s="2" t="s">
        <v>495</v>
      </c>
      <c r="C875" s="2" t="s">
        <v>512</v>
      </c>
      <c r="D875" s="11">
        <v>45973.451388888891</v>
      </c>
      <c r="E875" s="11">
        <v>45973.451388888891</v>
      </c>
      <c r="F875" s="11">
        <v>45973.643750000003</v>
      </c>
      <c r="G875" s="12">
        <v>0.19236111111240461</v>
      </c>
      <c r="H875" s="2" t="s">
        <v>677</v>
      </c>
      <c r="J875" s="2" t="s">
        <v>230</v>
      </c>
      <c r="K875" s="2" t="s">
        <v>230</v>
      </c>
      <c r="L875" s="2" t="s">
        <v>2852</v>
      </c>
      <c r="M875" t="s">
        <v>663</v>
      </c>
      <c r="N875" t="s">
        <v>672</v>
      </c>
      <c r="O875" t="s">
        <v>3227</v>
      </c>
      <c r="P875" t="s">
        <v>3240</v>
      </c>
      <c r="Q875" t="s">
        <v>2677</v>
      </c>
    </row>
    <row r="876" spans="1:17">
      <c r="A876" s="2" t="s">
        <v>2209</v>
      </c>
      <c r="B876" s="2" t="s">
        <v>495</v>
      </c>
      <c r="C876" s="2" t="s">
        <v>513</v>
      </c>
      <c r="D876" s="11">
        <v>45973.451388888891</v>
      </c>
      <c r="E876" s="11">
        <v>45973.451388888891</v>
      </c>
      <c r="F876" s="11">
        <v>45973.643750000003</v>
      </c>
      <c r="G876" s="12">
        <v>0.19236111111240461</v>
      </c>
      <c r="H876" s="2" t="s">
        <v>677</v>
      </c>
      <c r="J876" s="2" t="s">
        <v>230</v>
      </c>
      <c r="K876" s="2" t="s">
        <v>230</v>
      </c>
      <c r="L876" s="2" t="s">
        <v>2852</v>
      </c>
      <c r="M876" t="s">
        <v>663</v>
      </c>
      <c r="N876" t="s">
        <v>672</v>
      </c>
      <c r="O876" t="s">
        <v>3227</v>
      </c>
      <c r="P876" t="s">
        <v>3241</v>
      </c>
      <c r="Q876" t="s">
        <v>2677</v>
      </c>
    </row>
    <row r="877" spans="1:17">
      <c r="A877" s="2" t="s">
        <v>2209</v>
      </c>
      <c r="B877" s="2" t="s">
        <v>495</v>
      </c>
      <c r="C877" s="2" t="s">
        <v>514</v>
      </c>
      <c r="D877" s="11">
        <v>45973.451388888891</v>
      </c>
      <c r="E877" s="11">
        <v>45973.451388888891</v>
      </c>
      <c r="F877" s="11">
        <v>45973.643750000003</v>
      </c>
      <c r="G877" s="12">
        <v>0.19236111111240461</v>
      </c>
      <c r="H877" s="2" t="s">
        <v>677</v>
      </c>
      <c r="J877" s="2" t="s">
        <v>230</v>
      </c>
      <c r="K877" s="2" t="s">
        <v>230</v>
      </c>
      <c r="L877" s="2" t="s">
        <v>2852</v>
      </c>
      <c r="M877" t="s">
        <v>663</v>
      </c>
      <c r="N877" t="s">
        <v>672</v>
      </c>
      <c r="O877" t="s">
        <v>3227</v>
      </c>
      <c r="P877" t="s">
        <v>3242</v>
      </c>
      <c r="Q877" t="s">
        <v>2677</v>
      </c>
    </row>
    <row r="878" spans="1:17">
      <c r="A878" s="2" t="s">
        <v>2209</v>
      </c>
      <c r="B878" s="2" t="s">
        <v>495</v>
      </c>
      <c r="C878" s="2" t="s">
        <v>515</v>
      </c>
      <c r="D878" s="11">
        <v>45973.451388888891</v>
      </c>
      <c r="E878" s="11">
        <v>45973.451388888891</v>
      </c>
      <c r="F878" s="11">
        <v>45973.643750000003</v>
      </c>
      <c r="G878" s="12">
        <v>0.19236111111240461</v>
      </c>
      <c r="H878" s="2" t="s">
        <v>677</v>
      </c>
      <c r="J878" s="2" t="s">
        <v>230</v>
      </c>
      <c r="K878" s="2" t="s">
        <v>230</v>
      </c>
      <c r="L878" s="2" t="s">
        <v>2852</v>
      </c>
      <c r="M878" t="s">
        <v>663</v>
      </c>
      <c r="N878" t="s">
        <v>672</v>
      </c>
      <c r="O878" t="s">
        <v>3227</v>
      </c>
      <c r="P878" t="s">
        <v>3243</v>
      </c>
      <c r="Q878" t="s">
        <v>2677</v>
      </c>
    </row>
    <row r="879" spans="1:17">
      <c r="A879" s="2" t="s">
        <v>2209</v>
      </c>
      <c r="B879" s="2" t="s">
        <v>495</v>
      </c>
      <c r="C879" s="2" t="s">
        <v>516</v>
      </c>
      <c r="D879" s="11">
        <v>45973.451388888891</v>
      </c>
      <c r="E879" s="11">
        <v>45973.451388888891</v>
      </c>
      <c r="F879" s="11">
        <v>45973.643750000003</v>
      </c>
      <c r="G879" s="12">
        <v>0.19236111111240461</v>
      </c>
      <c r="H879" s="2" t="s">
        <v>677</v>
      </c>
      <c r="J879" s="2" t="s">
        <v>230</v>
      </c>
      <c r="K879" s="2" t="s">
        <v>230</v>
      </c>
      <c r="L879" s="2" t="s">
        <v>2852</v>
      </c>
      <c r="M879" t="s">
        <v>663</v>
      </c>
      <c r="N879" t="s">
        <v>672</v>
      </c>
      <c r="O879" t="s">
        <v>3227</v>
      </c>
      <c r="P879" t="s">
        <v>3244</v>
      </c>
      <c r="Q879" t="s">
        <v>2677</v>
      </c>
    </row>
    <row r="880" spans="1:17">
      <c r="A880" s="2" t="s">
        <v>327</v>
      </c>
      <c r="B880" s="2" t="s">
        <v>327</v>
      </c>
      <c r="C880" s="2" t="s">
        <v>247</v>
      </c>
      <c r="D880" s="11">
        <v>45973.556944444441</v>
      </c>
      <c r="E880" s="11">
        <v>45973.556944444441</v>
      </c>
      <c r="F880" s="11">
        <v>45973.560416666667</v>
      </c>
      <c r="G880" s="12">
        <v>3.4722222262644209E-3</v>
      </c>
      <c r="H880" s="2" t="s">
        <v>257</v>
      </c>
      <c r="J880" s="2" t="s">
        <v>258</v>
      </c>
      <c r="K880" s="2" t="s">
        <v>658</v>
      </c>
      <c r="L880" s="2" t="s">
        <v>2198</v>
      </c>
      <c r="M880" t="s">
        <v>260</v>
      </c>
      <c r="N880" t="s">
        <v>357</v>
      </c>
      <c r="O880" t="s">
        <v>632</v>
      </c>
      <c r="P880" t="s">
        <v>3245</v>
      </c>
      <c r="Q880" t="s">
        <v>2281</v>
      </c>
    </row>
    <row r="881" spans="1:17">
      <c r="A881" s="2" t="s">
        <v>246</v>
      </c>
      <c r="B881" s="2" t="s">
        <v>246</v>
      </c>
      <c r="C881" s="2" t="s">
        <v>247</v>
      </c>
      <c r="D881" s="11">
        <v>45973.556944444441</v>
      </c>
      <c r="E881" s="11">
        <v>45973.556944444441</v>
      </c>
      <c r="F881" s="11">
        <v>45973.560416666667</v>
      </c>
      <c r="G881" s="12">
        <v>3.4722222262644209E-3</v>
      </c>
      <c r="H881" s="2" t="s">
        <v>257</v>
      </c>
      <c r="J881" s="2" t="s">
        <v>258</v>
      </c>
      <c r="K881" s="2" t="s">
        <v>658</v>
      </c>
      <c r="L881" s="2" t="s">
        <v>2198</v>
      </c>
      <c r="M881" t="s">
        <v>260</v>
      </c>
      <c r="N881" t="s">
        <v>357</v>
      </c>
      <c r="O881" t="s">
        <v>632</v>
      </c>
      <c r="P881" t="s">
        <v>3246</v>
      </c>
      <c r="Q881" t="s">
        <v>2281</v>
      </c>
    </row>
    <row r="882" spans="1:17">
      <c r="A882" s="2" t="s">
        <v>328</v>
      </c>
      <c r="B882" s="2" t="s">
        <v>328</v>
      </c>
      <c r="C882" s="2" t="s">
        <v>247</v>
      </c>
      <c r="D882" s="11">
        <v>45973.556944444441</v>
      </c>
      <c r="E882" s="11">
        <v>45973.556944444441</v>
      </c>
      <c r="F882" s="11">
        <v>45973.560416666667</v>
      </c>
      <c r="G882" s="12">
        <v>3.4722222262644209E-3</v>
      </c>
      <c r="H882" s="2" t="s">
        <v>257</v>
      </c>
      <c r="J882" s="2" t="s">
        <v>258</v>
      </c>
      <c r="K882" s="2" t="s">
        <v>658</v>
      </c>
      <c r="L882" s="2" t="s">
        <v>2198</v>
      </c>
      <c r="M882" t="s">
        <v>260</v>
      </c>
      <c r="N882" t="s">
        <v>357</v>
      </c>
      <c r="O882" t="s">
        <v>632</v>
      </c>
      <c r="P882" t="s">
        <v>3247</v>
      </c>
      <c r="Q882" t="s">
        <v>2281</v>
      </c>
    </row>
    <row r="883" spans="1:17">
      <c r="A883" s="2" t="s">
        <v>329</v>
      </c>
      <c r="B883" s="2" t="s">
        <v>329</v>
      </c>
      <c r="C883" s="2" t="s">
        <v>247</v>
      </c>
      <c r="D883" s="11">
        <v>45973.556944444441</v>
      </c>
      <c r="E883" s="11">
        <v>45973.556944444441</v>
      </c>
      <c r="F883" s="11">
        <v>45973.560416666667</v>
      </c>
      <c r="G883" s="12">
        <v>3.4722222262644209E-3</v>
      </c>
      <c r="H883" s="2" t="s">
        <v>257</v>
      </c>
      <c r="J883" s="2" t="s">
        <v>258</v>
      </c>
      <c r="K883" s="2" t="s">
        <v>658</v>
      </c>
      <c r="L883" s="2" t="s">
        <v>2198</v>
      </c>
      <c r="M883" t="s">
        <v>260</v>
      </c>
      <c r="N883" t="s">
        <v>357</v>
      </c>
      <c r="O883" t="s">
        <v>632</v>
      </c>
      <c r="P883" t="s">
        <v>3248</v>
      </c>
      <c r="Q883" t="s">
        <v>2281</v>
      </c>
    </row>
    <row r="884" spans="1:17">
      <c r="A884" s="2" t="s">
        <v>330</v>
      </c>
      <c r="B884" s="2" t="s">
        <v>330</v>
      </c>
      <c r="C884" s="2" t="s">
        <v>247</v>
      </c>
      <c r="D884" s="11">
        <v>45973.556944444441</v>
      </c>
      <c r="E884" s="11">
        <v>45973.556944444441</v>
      </c>
      <c r="F884" s="11">
        <v>45973.560416666667</v>
      </c>
      <c r="G884" s="12">
        <v>3.4722222262644209E-3</v>
      </c>
      <c r="H884" s="2" t="s">
        <v>257</v>
      </c>
      <c r="J884" s="2" t="s">
        <v>258</v>
      </c>
      <c r="K884" s="2" t="s">
        <v>658</v>
      </c>
      <c r="L884" s="2" t="s">
        <v>2198</v>
      </c>
      <c r="M884" t="s">
        <v>260</v>
      </c>
      <c r="N884" t="s">
        <v>357</v>
      </c>
      <c r="O884" t="s">
        <v>632</v>
      </c>
      <c r="P884" t="s">
        <v>3249</v>
      </c>
      <c r="Q884" t="s">
        <v>2281</v>
      </c>
    </row>
    <row r="885" spans="1:17">
      <c r="A885" s="2" t="s">
        <v>2441</v>
      </c>
      <c r="B885" s="2" t="s">
        <v>642</v>
      </c>
      <c r="C885" s="2" t="s">
        <v>643</v>
      </c>
      <c r="D885" s="11">
        <v>45973.649305555555</v>
      </c>
      <c r="E885" s="11">
        <v>45973.649305555555</v>
      </c>
      <c r="F885" s="11">
        <v>45973.722916666666</v>
      </c>
      <c r="G885" s="12">
        <v>7.3611111110949423E-2</v>
      </c>
      <c r="H885" s="2" t="s">
        <v>677</v>
      </c>
      <c r="J885" s="2" t="s">
        <v>230</v>
      </c>
      <c r="K885" s="2" t="s">
        <v>230</v>
      </c>
      <c r="L885" s="2" t="s">
        <v>2852</v>
      </c>
      <c r="M885" t="s">
        <v>663</v>
      </c>
      <c r="N885" t="s">
        <v>672</v>
      </c>
      <c r="O885" t="s">
        <v>3227</v>
      </c>
      <c r="P885" t="s">
        <v>3250</v>
      </c>
      <c r="Q885" t="s">
        <v>2677</v>
      </c>
    </row>
    <row r="886" spans="1:17">
      <c r="A886" s="2" t="s">
        <v>2441</v>
      </c>
      <c r="B886" s="2" t="s">
        <v>642</v>
      </c>
      <c r="C886" s="2" t="s">
        <v>646</v>
      </c>
      <c r="D886" s="11">
        <v>45973.649305555555</v>
      </c>
      <c r="E886" s="11">
        <v>45973.649305555555</v>
      </c>
      <c r="F886" s="11">
        <v>45973.722916666666</v>
      </c>
      <c r="G886" s="12">
        <v>7.3611111110949423E-2</v>
      </c>
      <c r="H886" s="2" t="s">
        <v>677</v>
      </c>
      <c r="J886" s="2" t="s">
        <v>230</v>
      </c>
      <c r="K886" s="2" t="s">
        <v>230</v>
      </c>
      <c r="L886" s="2" t="s">
        <v>2852</v>
      </c>
      <c r="M886" t="s">
        <v>663</v>
      </c>
      <c r="N886" t="s">
        <v>672</v>
      </c>
      <c r="O886" t="s">
        <v>3227</v>
      </c>
      <c r="P886" t="s">
        <v>3251</v>
      </c>
      <c r="Q886" t="s">
        <v>2677</v>
      </c>
    </row>
    <row r="887" spans="1:17">
      <c r="A887" s="2" t="s">
        <v>2441</v>
      </c>
      <c r="B887" s="2" t="s">
        <v>642</v>
      </c>
      <c r="C887" s="2" t="s">
        <v>647</v>
      </c>
      <c r="D887" s="11">
        <v>45973.649305555555</v>
      </c>
      <c r="E887" s="11">
        <v>45973.649305555555</v>
      </c>
      <c r="F887" s="11">
        <v>45973.722916666666</v>
      </c>
      <c r="G887" s="12">
        <v>7.3611111110949423E-2</v>
      </c>
      <c r="H887" s="2" t="s">
        <v>677</v>
      </c>
      <c r="J887" s="2" t="s">
        <v>230</v>
      </c>
      <c r="K887" s="2" t="s">
        <v>230</v>
      </c>
      <c r="L887" s="2" t="s">
        <v>2852</v>
      </c>
      <c r="M887" t="s">
        <v>663</v>
      </c>
      <c r="N887" t="s">
        <v>672</v>
      </c>
      <c r="O887" t="s">
        <v>3227</v>
      </c>
      <c r="P887" t="s">
        <v>3252</v>
      </c>
      <c r="Q887" t="s">
        <v>2677</v>
      </c>
    </row>
    <row r="888" spans="1:17">
      <c r="A888" s="2" t="s">
        <v>2441</v>
      </c>
      <c r="B888" s="2" t="s">
        <v>642</v>
      </c>
      <c r="C888" s="2" t="s">
        <v>648</v>
      </c>
      <c r="D888" s="11">
        <v>45973.649305555555</v>
      </c>
      <c r="E888" s="11">
        <v>45973.649305555555</v>
      </c>
      <c r="F888" s="11">
        <v>45973.722916666666</v>
      </c>
      <c r="G888" s="12">
        <v>7.3611111110949423E-2</v>
      </c>
      <c r="H888" s="2" t="s">
        <v>677</v>
      </c>
      <c r="J888" s="2" t="s">
        <v>230</v>
      </c>
      <c r="K888" s="2" t="s">
        <v>230</v>
      </c>
      <c r="L888" s="2" t="s">
        <v>2852</v>
      </c>
      <c r="M888" t="s">
        <v>663</v>
      </c>
      <c r="N888" t="s">
        <v>672</v>
      </c>
      <c r="O888" t="s">
        <v>3227</v>
      </c>
      <c r="P888" t="s">
        <v>3253</v>
      </c>
      <c r="Q888" t="s">
        <v>2677</v>
      </c>
    </row>
    <row r="889" spans="1:17">
      <c r="A889" s="2" t="s">
        <v>2782</v>
      </c>
      <c r="B889" s="2" t="s">
        <v>393</v>
      </c>
      <c r="C889" s="2" t="s">
        <v>414</v>
      </c>
      <c r="D889" s="11">
        <v>45974.09375</v>
      </c>
      <c r="E889" s="11">
        <v>45974.09375</v>
      </c>
      <c r="F889" s="11">
        <v>45974.229166666664</v>
      </c>
      <c r="G889" s="12">
        <v>0.13541666666424135</v>
      </c>
      <c r="H889" s="2" t="s">
        <v>248</v>
      </c>
      <c r="J889" s="2" t="s">
        <v>230</v>
      </c>
      <c r="K889" s="2" t="s">
        <v>230</v>
      </c>
      <c r="L889" s="2" t="s">
        <v>2273</v>
      </c>
      <c r="M889" t="s">
        <v>663</v>
      </c>
      <c r="N889" t="s">
        <v>364</v>
      </c>
      <c r="O889" t="s">
        <v>3015</v>
      </c>
      <c r="P889" t="s">
        <v>3254</v>
      </c>
      <c r="Q889" t="s">
        <v>3017</v>
      </c>
    </row>
    <row r="890" spans="1:17">
      <c r="A890" s="2" t="s">
        <v>2782</v>
      </c>
      <c r="B890" s="2" t="s">
        <v>393</v>
      </c>
      <c r="C890" s="2" t="s">
        <v>415</v>
      </c>
      <c r="D890" s="11">
        <v>45974.09375</v>
      </c>
      <c r="E890" s="11">
        <v>45974.09375</v>
      </c>
      <c r="F890" s="11">
        <v>45974.229166666664</v>
      </c>
      <c r="G890" s="12">
        <v>0.13541666666424135</v>
      </c>
      <c r="H890" s="2" t="s">
        <v>248</v>
      </c>
      <c r="J890" s="2" t="s">
        <v>230</v>
      </c>
      <c r="K890" s="2" t="s">
        <v>230</v>
      </c>
      <c r="L890" s="2" t="s">
        <v>2273</v>
      </c>
      <c r="M890" t="s">
        <v>663</v>
      </c>
      <c r="N890" t="s">
        <v>364</v>
      </c>
      <c r="O890" t="s">
        <v>3015</v>
      </c>
      <c r="P890" t="s">
        <v>3255</v>
      </c>
      <c r="Q890" t="s">
        <v>3017</v>
      </c>
    </row>
    <row r="891" spans="1:17">
      <c r="A891" s="2" t="s">
        <v>2782</v>
      </c>
      <c r="B891" s="2" t="s">
        <v>393</v>
      </c>
      <c r="C891" s="2" t="s">
        <v>416</v>
      </c>
      <c r="D891" s="11">
        <v>45974.09375</v>
      </c>
      <c r="E891" s="11">
        <v>45974.09375</v>
      </c>
      <c r="F891" s="11">
        <v>45974.229166666664</v>
      </c>
      <c r="G891" s="12">
        <v>0.13541666666424135</v>
      </c>
      <c r="H891" s="2" t="s">
        <v>248</v>
      </c>
      <c r="J891" s="2" t="s">
        <v>230</v>
      </c>
      <c r="K891" s="2" t="s">
        <v>230</v>
      </c>
      <c r="L891" s="2" t="s">
        <v>2273</v>
      </c>
      <c r="M891" t="s">
        <v>663</v>
      </c>
      <c r="N891" t="s">
        <v>364</v>
      </c>
      <c r="O891" t="s">
        <v>3015</v>
      </c>
      <c r="P891" t="s">
        <v>3256</v>
      </c>
      <c r="Q891" t="s">
        <v>3017</v>
      </c>
    </row>
    <row r="892" spans="1:17">
      <c r="A892" s="2" t="s">
        <v>2782</v>
      </c>
      <c r="B892" s="2" t="s">
        <v>393</v>
      </c>
      <c r="C892" s="2" t="s">
        <v>417</v>
      </c>
      <c r="D892" s="11">
        <v>45974.09375</v>
      </c>
      <c r="E892" s="11">
        <v>45974.09375</v>
      </c>
      <c r="F892" s="11">
        <v>45974.229166666664</v>
      </c>
      <c r="G892" s="12">
        <v>0.13541666666424135</v>
      </c>
      <c r="H892" s="2" t="s">
        <v>248</v>
      </c>
      <c r="J892" s="2" t="s">
        <v>230</v>
      </c>
      <c r="K892" s="2" t="s">
        <v>230</v>
      </c>
      <c r="L892" s="2" t="s">
        <v>2273</v>
      </c>
      <c r="M892" t="s">
        <v>663</v>
      </c>
      <c r="N892" t="s">
        <v>364</v>
      </c>
      <c r="O892" t="s">
        <v>3015</v>
      </c>
      <c r="P892" t="s">
        <v>3257</v>
      </c>
      <c r="Q892" t="s">
        <v>3017</v>
      </c>
    </row>
    <row r="893" spans="1:17">
      <c r="A893" s="2" t="s">
        <v>2782</v>
      </c>
      <c r="B893" s="2" t="s">
        <v>393</v>
      </c>
      <c r="C893" s="2" t="s">
        <v>418</v>
      </c>
      <c r="D893" s="11">
        <v>45974.09375</v>
      </c>
      <c r="E893" s="11">
        <v>45974.09375</v>
      </c>
      <c r="F893" s="11">
        <v>45974.229166666664</v>
      </c>
      <c r="G893" s="12">
        <v>0.13541666666424135</v>
      </c>
      <c r="H893" s="2" t="s">
        <v>248</v>
      </c>
      <c r="J893" s="2" t="s">
        <v>230</v>
      </c>
      <c r="K893" s="2" t="s">
        <v>230</v>
      </c>
      <c r="L893" s="2" t="s">
        <v>2273</v>
      </c>
      <c r="M893" t="s">
        <v>663</v>
      </c>
      <c r="N893" t="s">
        <v>364</v>
      </c>
      <c r="O893" t="s">
        <v>3015</v>
      </c>
      <c r="P893" t="s">
        <v>3258</v>
      </c>
      <c r="Q893" t="s">
        <v>3017</v>
      </c>
    </row>
    <row r="894" spans="1:17">
      <c r="A894" s="2" t="s">
        <v>2782</v>
      </c>
      <c r="B894" s="2" t="s">
        <v>393</v>
      </c>
      <c r="C894" s="2" t="s">
        <v>419</v>
      </c>
      <c r="D894" s="11">
        <v>45974.09375</v>
      </c>
      <c r="E894" s="11">
        <v>45974.09375</v>
      </c>
      <c r="F894" s="11">
        <v>45974.229166666664</v>
      </c>
      <c r="G894" s="12">
        <v>0.13541666666424135</v>
      </c>
      <c r="H894" s="2" t="s">
        <v>248</v>
      </c>
      <c r="J894" s="2" t="s">
        <v>230</v>
      </c>
      <c r="K894" s="2" t="s">
        <v>230</v>
      </c>
      <c r="L894" s="2" t="s">
        <v>2273</v>
      </c>
      <c r="M894" t="s">
        <v>663</v>
      </c>
      <c r="N894" t="s">
        <v>364</v>
      </c>
      <c r="O894" t="s">
        <v>3015</v>
      </c>
      <c r="P894" t="s">
        <v>3259</v>
      </c>
      <c r="Q894" t="s">
        <v>3017</v>
      </c>
    </row>
    <row r="895" spans="1:17">
      <c r="A895" s="2" t="s">
        <v>2789</v>
      </c>
      <c r="B895" s="2" t="s">
        <v>393</v>
      </c>
      <c r="C895" s="2" t="s">
        <v>420</v>
      </c>
      <c r="D895" s="11">
        <v>45974.09375</v>
      </c>
      <c r="E895" s="11">
        <v>45974.09375</v>
      </c>
      <c r="F895" s="11">
        <v>45974.229166666664</v>
      </c>
      <c r="G895" s="12">
        <v>0.13541666666424135</v>
      </c>
      <c r="H895" s="2" t="s">
        <v>248</v>
      </c>
      <c r="J895" s="2" t="s">
        <v>230</v>
      </c>
      <c r="K895" s="2" t="s">
        <v>230</v>
      </c>
      <c r="L895" s="2" t="s">
        <v>2273</v>
      </c>
      <c r="M895" t="s">
        <v>663</v>
      </c>
      <c r="N895" t="s">
        <v>364</v>
      </c>
      <c r="O895" t="s">
        <v>3015</v>
      </c>
      <c r="P895" t="s">
        <v>3260</v>
      </c>
      <c r="Q895" t="s">
        <v>3017</v>
      </c>
    </row>
    <row r="896" spans="1:17">
      <c r="A896" s="2" t="s">
        <v>2789</v>
      </c>
      <c r="B896" s="2" t="s">
        <v>393</v>
      </c>
      <c r="C896" s="2" t="s">
        <v>421</v>
      </c>
      <c r="D896" s="11">
        <v>45974.09375</v>
      </c>
      <c r="E896" s="11">
        <v>45974.09375</v>
      </c>
      <c r="F896" s="11">
        <v>45974.229166666664</v>
      </c>
      <c r="G896" s="12">
        <v>0.13541666666424135</v>
      </c>
      <c r="H896" s="2" t="s">
        <v>248</v>
      </c>
      <c r="J896" s="2" t="s">
        <v>230</v>
      </c>
      <c r="K896" s="2" t="s">
        <v>230</v>
      </c>
      <c r="L896" s="2" t="s">
        <v>2273</v>
      </c>
      <c r="M896" t="s">
        <v>663</v>
      </c>
      <c r="N896" t="s">
        <v>364</v>
      </c>
      <c r="O896" t="s">
        <v>3015</v>
      </c>
      <c r="P896" t="s">
        <v>3261</v>
      </c>
      <c r="Q896" t="s">
        <v>3017</v>
      </c>
    </row>
    <row r="897" spans="1:17">
      <c r="A897" s="2" t="s">
        <v>2789</v>
      </c>
      <c r="B897" s="2" t="s">
        <v>393</v>
      </c>
      <c r="C897" s="2" t="s">
        <v>422</v>
      </c>
      <c r="D897" s="11">
        <v>45974.09375</v>
      </c>
      <c r="E897" s="11">
        <v>45974.09375</v>
      </c>
      <c r="F897" s="11">
        <v>45974.229166666664</v>
      </c>
      <c r="G897" s="12">
        <v>0.13541666666424135</v>
      </c>
      <c r="H897" s="2" t="s">
        <v>248</v>
      </c>
      <c r="J897" s="2" t="s">
        <v>230</v>
      </c>
      <c r="K897" s="2" t="s">
        <v>230</v>
      </c>
      <c r="L897" s="2" t="s">
        <v>2273</v>
      </c>
      <c r="M897" t="s">
        <v>663</v>
      </c>
      <c r="N897" t="s">
        <v>364</v>
      </c>
      <c r="O897" t="s">
        <v>3015</v>
      </c>
      <c r="P897" t="s">
        <v>3262</v>
      </c>
      <c r="Q897" t="s">
        <v>3017</v>
      </c>
    </row>
    <row r="898" spans="1:17">
      <c r="A898" s="2" t="s">
        <v>2793</v>
      </c>
      <c r="B898" s="2" t="s">
        <v>393</v>
      </c>
      <c r="C898" s="2" t="s">
        <v>423</v>
      </c>
      <c r="D898" s="11">
        <v>45974.09375</v>
      </c>
      <c r="E898" s="11">
        <v>45974.09375</v>
      </c>
      <c r="F898" s="11">
        <v>45974.229166666664</v>
      </c>
      <c r="G898" s="12">
        <v>0.13541666666424135</v>
      </c>
      <c r="H898" s="2" t="s">
        <v>248</v>
      </c>
      <c r="J898" s="2" t="s">
        <v>230</v>
      </c>
      <c r="K898" s="2" t="s">
        <v>230</v>
      </c>
      <c r="L898" s="2" t="s">
        <v>2273</v>
      </c>
      <c r="M898" t="s">
        <v>663</v>
      </c>
      <c r="N898" t="s">
        <v>364</v>
      </c>
      <c r="O898" t="s">
        <v>3015</v>
      </c>
      <c r="P898" t="s">
        <v>3263</v>
      </c>
      <c r="Q898" t="s">
        <v>3017</v>
      </c>
    </row>
    <row r="899" spans="1:17">
      <c r="A899" s="2" t="s">
        <v>2793</v>
      </c>
      <c r="B899" s="2" t="s">
        <v>393</v>
      </c>
      <c r="C899" s="2" t="s">
        <v>424</v>
      </c>
      <c r="D899" s="11">
        <v>45974.09375</v>
      </c>
      <c r="E899" s="11">
        <v>45974.09375</v>
      </c>
      <c r="F899" s="11">
        <v>45974.229166666664</v>
      </c>
      <c r="G899" s="12">
        <v>0.13541666666424135</v>
      </c>
      <c r="H899" s="2" t="s">
        <v>248</v>
      </c>
      <c r="J899" s="2" t="s">
        <v>230</v>
      </c>
      <c r="K899" s="2" t="s">
        <v>230</v>
      </c>
      <c r="L899" s="2" t="s">
        <v>2273</v>
      </c>
      <c r="M899" t="s">
        <v>663</v>
      </c>
      <c r="N899" t="s">
        <v>364</v>
      </c>
      <c r="O899" t="s">
        <v>3015</v>
      </c>
      <c r="P899" t="s">
        <v>3264</v>
      </c>
      <c r="Q899" t="s">
        <v>3017</v>
      </c>
    </row>
    <row r="900" spans="1:17">
      <c r="A900" s="2" t="s">
        <v>2793</v>
      </c>
      <c r="B900" s="2" t="s">
        <v>393</v>
      </c>
      <c r="C900" s="2" t="s">
        <v>425</v>
      </c>
      <c r="D900" s="11">
        <v>45974.09375</v>
      </c>
      <c r="E900" s="11">
        <v>45974.09375</v>
      </c>
      <c r="F900" s="11">
        <v>45974.229166666664</v>
      </c>
      <c r="G900" s="12">
        <v>0.13541666666424135</v>
      </c>
      <c r="H900" s="2" t="s">
        <v>248</v>
      </c>
      <c r="J900" s="2" t="s">
        <v>230</v>
      </c>
      <c r="K900" s="2" t="s">
        <v>230</v>
      </c>
      <c r="L900" s="2" t="s">
        <v>2273</v>
      </c>
      <c r="M900" t="s">
        <v>663</v>
      </c>
      <c r="N900" t="s">
        <v>364</v>
      </c>
      <c r="O900" t="s">
        <v>3015</v>
      </c>
      <c r="P900" t="s">
        <v>3265</v>
      </c>
      <c r="Q900" t="s">
        <v>3017</v>
      </c>
    </row>
    <row r="901" spans="1:17">
      <c r="A901" s="2" t="s">
        <v>2804</v>
      </c>
      <c r="B901" s="2" t="s">
        <v>393</v>
      </c>
      <c r="C901" s="2" t="s">
        <v>432</v>
      </c>
      <c r="D901" s="11">
        <v>45974.09375</v>
      </c>
      <c r="E901" s="11">
        <v>45974.09375</v>
      </c>
      <c r="F901" s="11">
        <v>45974.229166666664</v>
      </c>
      <c r="G901" s="12">
        <v>0.13541666666424135</v>
      </c>
      <c r="H901" s="2" t="s">
        <v>248</v>
      </c>
      <c r="J901" s="2" t="s">
        <v>230</v>
      </c>
      <c r="K901" s="2" t="s">
        <v>230</v>
      </c>
      <c r="L901" s="2" t="s">
        <v>2273</v>
      </c>
      <c r="M901" t="s">
        <v>663</v>
      </c>
      <c r="N901" t="s">
        <v>364</v>
      </c>
      <c r="O901" t="s">
        <v>3015</v>
      </c>
      <c r="P901" t="s">
        <v>3266</v>
      </c>
      <c r="Q901" t="s">
        <v>3017</v>
      </c>
    </row>
    <row r="902" spans="1:17">
      <c r="A902" s="2" t="s">
        <v>2804</v>
      </c>
      <c r="B902" s="2" t="s">
        <v>393</v>
      </c>
      <c r="C902" s="2" t="s">
        <v>433</v>
      </c>
      <c r="D902" s="11">
        <v>45974.09375</v>
      </c>
      <c r="E902" s="11">
        <v>45974.09375</v>
      </c>
      <c r="F902" s="11">
        <v>45974.229166666664</v>
      </c>
      <c r="G902" s="12">
        <v>0.13541666666424135</v>
      </c>
      <c r="H902" s="2" t="s">
        <v>248</v>
      </c>
      <c r="J902" s="2" t="s">
        <v>230</v>
      </c>
      <c r="K902" s="2" t="s">
        <v>230</v>
      </c>
      <c r="L902" s="2" t="s">
        <v>2273</v>
      </c>
      <c r="M902" t="s">
        <v>663</v>
      </c>
      <c r="N902" t="s">
        <v>364</v>
      </c>
      <c r="O902" t="s">
        <v>3015</v>
      </c>
      <c r="P902" t="s">
        <v>3267</v>
      </c>
      <c r="Q902" t="s">
        <v>3017</v>
      </c>
    </row>
    <row r="903" spans="1:17">
      <c r="A903" s="2" t="s">
        <v>2804</v>
      </c>
      <c r="B903" s="2" t="s">
        <v>393</v>
      </c>
      <c r="C903" s="2" t="s">
        <v>434</v>
      </c>
      <c r="D903" s="11">
        <v>45974.09375</v>
      </c>
      <c r="E903" s="11">
        <v>45974.09375</v>
      </c>
      <c r="F903" s="11">
        <v>45974.229166666664</v>
      </c>
      <c r="G903" s="12">
        <v>0.13541666666424135</v>
      </c>
      <c r="H903" s="2" t="s">
        <v>248</v>
      </c>
      <c r="J903" s="2" t="s">
        <v>230</v>
      </c>
      <c r="K903" s="2" t="s">
        <v>230</v>
      </c>
      <c r="L903" s="2" t="s">
        <v>2273</v>
      </c>
      <c r="M903" t="s">
        <v>663</v>
      </c>
      <c r="N903" t="s">
        <v>364</v>
      </c>
      <c r="O903" t="s">
        <v>3015</v>
      </c>
      <c r="P903" t="s">
        <v>3268</v>
      </c>
      <c r="Q903" t="s">
        <v>3017</v>
      </c>
    </row>
    <row r="904" spans="1:17">
      <c r="A904" s="2" t="s">
        <v>2195</v>
      </c>
      <c r="B904" s="2" t="s">
        <v>543</v>
      </c>
      <c r="C904" s="2" t="s">
        <v>2846</v>
      </c>
      <c r="D904" s="11">
        <v>45974.266250000001</v>
      </c>
      <c r="E904" s="11">
        <v>45974.266250000001</v>
      </c>
      <c r="F904" s="11">
        <v>45974.281284722223</v>
      </c>
      <c r="G904" s="12">
        <v>1.5034722222480923E-2</v>
      </c>
      <c r="H904" s="2" t="s">
        <v>257</v>
      </c>
      <c r="J904" s="2" t="s">
        <v>371</v>
      </c>
      <c r="K904" s="2" t="s">
        <v>653</v>
      </c>
      <c r="L904" s="2" t="s">
        <v>861</v>
      </c>
      <c r="M904" t="s">
        <v>252</v>
      </c>
      <c r="N904" t="s">
        <v>631</v>
      </c>
      <c r="P904" t="s">
        <v>3269</v>
      </c>
      <c r="Q904" t="s">
        <v>2537</v>
      </c>
    </row>
    <row r="905" spans="1:17">
      <c r="A905" s="2" t="s">
        <v>2195</v>
      </c>
      <c r="B905" s="2" t="s">
        <v>543</v>
      </c>
      <c r="C905" s="2" t="s">
        <v>556</v>
      </c>
      <c r="D905" s="11">
        <v>45974.266250000001</v>
      </c>
      <c r="E905" s="11">
        <v>45974.266250000001</v>
      </c>
      <c r="F905" s="11">
        <v>45974.281284722223</v>
      </c>
      <c r="G905" s="12">
        <v>1.5034722222480923E-2</v>
      </c>
      <c r="H905" s="2" t="s">
        <v>257</v>
      </c>
      <c r="J905" s="2" t="s">
        <v>371</v>
      </c>
      <c r="K905" s="2" t="s">
        <v>653</v>
      </c>
      <c r="L905" s="2" t="s">
        <v>861</v>
      </c>
      <c r="M905" t="s">
        <v>252</v>
      </c>
      <c r="N905" t="s">
        <v>631</v>
      </c>
      <c r="P905" t="s">
        <v>3270</v>
      </c>
      <c r="Q905" t="s">
        <v>2537</v>
      </c>
    </row>
    <row r="906" spans="1:17">
      <c r="A906" s="2" t="s">
        <v>2195</v>
      </c>
      <c r="B906" s="2" t="s">
        <v>543</v>
      </c>
      <c r="C906" s="2" t="s">
        <v>2719</v>
      </c>
      <c r="D906" s="11">
        <v>45974.266250000001</v>
      </c>
      <c r="E906" s="11">
        <v>45974.266250000001</v>
      </c>
      <c r="F906" s="11">
        <v>45974.281284722223</v>
      </c>
      <c r="G906" s="12">
        <v>1.5034722222480923E-2</v>
      </c>
      <c r="H906" s="2" t="s">
        <v>257</v>
      </c>
      <c r="J906" s="2" t="s">
        <v>371</v>
      </c>
      <c r="K906" s="2" t="s">
        <v>653</v>
      </c>
      <c r="L906" s="2" t="s">
        <v>861</v>
      </c>
      <c r="M906" t="s">
        <v>252</v>
      </c>
      <c r="N906" t="s">
        <v>631</v>
      </c>
      <c r="P906" t="s">
        <v>3271</v>
      </c>
      <c r="Q906" t="s">
        <v>2537</v>
      </c>
    </row>
    <row r="907" spans="1:17">
      <c r="A907" s="2" t="s">
        <v>2195</v>
      </c>
      <c r="B907" s="2" t="s">
        <v>543</v>
      </c>
      <c r="C907" s="2" t="s">
        <v>2535</v>
      </c>
      <c r="D907" s="11">
        <v>45974.266250000001</v>
      </c>
      <c r="E907" s="11">
        <v>45974.266250000001</v>
      </c>
      <c r="F907" s="11">
        <v>45974.267280092594</v>
      </c>
      <c r="G907" s="12">
        <v>1.0300925932824612E-3</v>
      </c>
      <c r="H907" s="2" t="s">
        <v>257</v>
      </c>
      <c r="J907" s="2" t="s">
        <v>371</v>
      </c>
      <c r="K907" s="2" t="s">
        <v>653</v>
      </c>
      <c r="L907" s="2" t="s">
        <v>861</v>
      </c>
      <c r="M907" t="s">
        <v>252</v>
      </c>
      <c r="N907" t="s">
        <v>631</v>
      </c>
      <c r="P907" t="s">
        <v>3272</v>
      </c>
      <c r="Q907" t="s">
        <v>2537</v>
      </c>
    </row>
    <row r="908" spans="1:17">
      <c r="A908" s="2" t="s">
        <v>2195</v>
      </c>
      <c r="B908" s="2" t="s">
        <v>543</v>
      </c>
      <c r="C908" s="2" t="s">
        <v>2616</v>
      </c>
      <c r="D908" s="11">
        <v>45974.266250000001</v>
      </c>
      <c r="E908" s="11">
        <v>45974.266250000001</v>
      </c>
      <c r="F908" s="11">
        <v>45974.281284722223</v>
      </c>
      <c r="G908" s="12">
        <v>1.5034722222480923E-2</v>
      </c>
      <c r="H908" s="2" t="s">
        <v>257</v>
      </c>
      <c r="J908" s="2" t="s">
        <v>371</v>
      </c>
      <c r="K908" s="2" t="s">
        <v>653</v>
      </c>
      <c r="L908" s="2" t="s">
        <v>861</v>
      </c>
      <c r="M908" t="s">
        <v>252</v>
      </c>
      <c r="N908" t="s">
        <v>631</v>
      </c>
      <c r="P908" t="s">
        <v>3273</v>
      </c>
      <c r="Q908" t="s">
        <v>2537</v>
      </c>
    </row>
    <row r="909" spans="1:17">
      <c r="A909" s="2" t="s">
        <v>2195</v>
      </c>
      <c r="B909" s="2" t="s">
        <v>543</v>
      </c>
      <c r="C909" s="2" t="s">
        <v>2618</v>
      </c>
      <c r="D909" s="11">
        <v>45974.266250000001</v>
      </c>
      <c r="E909" s="11">
        <v>45974.266250000001</v>
      </c>
      <c r="F909" s="11">
        <v>45974.281284722223</v>
      </c>
      <c r="G909" s="12">
        <v>1.5034722222480923E-2</v>
      </c>
      <c r="H909" s="2" t="s">
        <v>257</v>
      </c>
      <c r="J909" s="2" t="s">
        <v>371</v>
      </c>
      <c r="K909" s="2" t="s">
        <v>653</v>
      </c>
      <c r="L909" s="2" t="s">
        <v>861</v>
      </c>
      <c r="M909" t="s">
        <v>252</v>
      </c>
      <c r="N909" t="s">
        <v>631</v>
      </c>
      <c r="P909" t="s">
        <v>3274</v>
      </c>
      <c r="Q909" t="s">
        <v>2537</v>
      </c>
    </row>
    <row r="910" spans="1:17">
      <c r="A910" s="2" t="s">
        <v>2195</v>
      </c>
      <c r="B910" s="2" t="s">
        <v>543</v>
      </c>
      <c r="C910" s="2" t="s">
        <v>2848</v>
      </c>
      <c r="D910" s="11">
        <v>45974.266250000001</v>
      </c>
      <c r="E910" s="11">
        <v>45974.266250000001</v>
      </c>
      <c r="F910" s="11">
        <v>45974.281284722223</v>
      </c>
      <c r="G910" s="12">
        <v>1.5034722222480923E-2</v>
      </c>
      <c r="H910" s="2" t="s">
        <v>257</v>
      </c>
      <c r="J910" s="2" t="s">
        <v>371</v>
      </c>
      <c r="K910" s="2" t="s">
        <v>653</v>
      </c>
      <c r="L910" s="2" t="s">
        <v>861</v>
      </c>
      <c r="M910" t="s">
        <v>252</v>
      </c>
      <c r="N910" t="s">
        <v>631</v>
      </c>
      <c r="P910" t="s">
        <v>3275</v>
      </c>
      <c r="Q910" t="s">
        <v>2537</v>
      </c>
    </row>
    <row r="911" spans="1:17">
      <c r="A911" s="2" t="s">
        <v>331</v>
      </c>
      <c r="B911" s="2" t="s">
        <v>331</v>
      </c>
      <c r="C911" s="2" t="s">
        <v>332</v>
      </c>
      <c r="D911" s="11">
        <v>45974.504166666666</v>
      </c>
      <c r="E911" s="11">
        <v>45974.504166666666</v>
      </c>
      <c r="F911" s="11">
        <v>45974.659722222219</v>
      </c>
      <c r="G911" s="12">
        <v>0.15555555555329192</v>
      </c>
      <c r="H911" s="2" t="s">
        <v>677</v>
      </c>
      <c r="J911" s="2" t="s">
        <v>230</v>
      </c>
      <c r="K911" s="2" t="s">
        <v>230</v>
      </c>
      <c r="L911" s="2" t="s">
        <v>3276</v>
      </c>
      <c r="M911" t="s">
        <v>663</v>
      </c>
      <c r="N911" t="s">
        <v>357</v>
      </c>
      <c r="O911" t="s">
        <v>3277</v>
      </c>
      <c r="P911" t="s">
        <v>3278</v>
      </c>
      <c r="Q911" t="s">
        <v>2677</v>
      </c>
    </row>
    <row r="912" spans="1:17">
      <c r="A912" s="2" t="s">
        <v>331</v>
      </c>
      <c r="B912" s="2" t="s">
        <v>331</v>
      </c>
      <c r="C912" s="2" t="s">
        <v>335</v>
      </c>
      <c r="D912" s="11">
        <v>45974.504166666666</v>
      </c>
      <c r="E912" s="11">
        <v>45974.504166666666</v>
      </c>
      <c r="F912" s="11">
        <v>45974.659722222219</v>
      </c>
      <c r="G912" s="12">
        <v>0.15555555555329192</v>
      </c>
      <c r="H912" s="2" t="s">
        <v>677</v>
      </c>
      <c r="J912" s="2" t="s">
        <v>230</v>
      </c>
      <c r="K912" s="2" t="s">
        <v>230</v>
      </c>
      <c r="L912" s="2" t="s">
        <v>3276</v>
      </c>
      <c r="M912" t="s">
        <v>663</v>
      </c>
      <c r="N912" t="s">
        <v>357</v>
      </c>
      <c r="O912" t="s">
        <v>3277</v>
      </c>
      <c r="P912" t="s">
        <v>3279</v>
      </c>
      <c r="Q912" t="s">
        <v>2677</v>
      </c>
    </row>
    <row r="913" spans="1:17">
      <c r="A913" s="2" t="s">
        <v>331</v>
      </c>
      <c r="B913" s="2" t="s">
        <v>331</v>
      </c>
      <c r="C913" s="2" t="s">
        <v>336</v>
      </c>
      <c r="D913" s="11">
        <v>45974.504166666666</v>
      </c>
      <c r="E913" s="11">
        <v>45974.504166666666</v>
      </c>
      <c r="F913" s="11">
        <v>45974.659722222219</v>
      </c>
      <c r="G913" s="12">
        <v>0.15555555555329192</v>
      </c>
      <c r="H913" s="2" t="s">
        <v>677</v>
      </c>
      <c r="J913" s="2" t="s">
        <v>230</v>
      </c>
      <c r="K913" s="2" t="s">
        <v>230</v>
      </c>
      <c r="L913" s="2" t="s">
        <v>3276</v>
      </c>
      <c r="M913" t="s">
        <v>663</v>
      </c>
      <c r="N913" t="s">
        <v>357</v>
      </c>
      <c r="O913" t="s">
        <v>3277</v>
      </c>
      <c r="P913" t="s">
        <v>3280</v>
      </c>
      <c r="Q913" t="s">
        <v>2677</v>
      </c>
    </row>
    <row r="914" spans="1:17">
      <c r="A914" s="2" t="s">
        <v>331</v>
      </c>
      <c r="B914" s="2" t="s">
        <v>331</v>
      </c>
      <c r="C914" s="2" t="s">
        <v>337</v>
      </c>
      <c r="D914" s="11">
        <v>45974.504166666666</v>
      </c>
      <c r="E914" s="11">
        <v>45974.504166666666</v>
      </c>
      <c r="F914" s="11">
        <v>45974.659722222219</v>
      </c>
      <c r="G914" s="12">
        <v>0.15555555555329192</v>
      </c>
      <c r="H914" s="2" t="s">
        <v>677</v>
      </c>
      <c r="J914" s="2" t="s">
        <v>230</v>
      </c>
      <c r="K914" s="2" t="s">
        <v>230</v>
      </c>
      <c r="L914" s="2" t="s">
        <v>3276</v>
      </c>
      <c r="M914" t="s">
        <v>663</v>
      </c>
      <c r="N914" t="s">
        <v>357</v>
      </c>
      <c r="O914" t="s">
        <v>3277</v>
      </c>
      <c r="P914" t="s">
        <v>3281</v>
      </c>
      <c r="Q914" t="s">
        <v>2677</v>
      </c>
    </row>
    <row r="915" spans="1:17">
      <c r="A915" s="2" t="s">
        <v>331</v>
      </c>
      <c r="B915" s="2" t="s">
        <v>331</v>
      </c>
      <c r="C915" s="2" t="s">
        <v>338</v>
      </c>
      <c r="D915" s="11">
        <v>45974.504166666666</v>
      </c>
      <c r="E915" s="11">
        <v>45974.504166666666</v>
      </c>
      <c r="F915" s="11">
        <v>45974.659722222219</v>
      </c>
      <c r="G915" s="12">
        <v>0.15555555555329192</v>
      </c>
      <c r="H915" s="2" t="s">
        <v>677</v>
      </c>
      <c r="J915" s="2" t="s">
        <v>230</v>
      </c>
      <c r="K915" s="2" t="s">
        <v>230</v>
      </c>
      <c r="L915" s="2" t="s">
        <v>3276</v>
      </c>
      <c r="M915" t="s">
        <v>663</v>
      </c>
      <c r="N915" t="s">
        <v>357</v>
      </c>
      <c r="O915" t="s">
        <v>3277</v>
      </c>
      <c r="P915" t="s">
        <v>3282</v>
      </c>
      <c r="Q915" t="s">
        <v>2677</v>
      </c>
    </row>
    <row r="916" spans="1:17">
      <c r="A916" s="2" t="s">
        <v>339</v>
      </c>
      <c r="B916" s="2" t="s">
        <v>339</v>
      </c>
      <c r="C916" s="2" t="s">
        <v>335</v>
      </c>
      <c r="D916" s="11">
        <v>45974.504166666666</v>
      </c>
      <c r="E916" s="11">
        <v>45974.504166666666</v>
      </c>
      <c r="F916" s="11">
        <v>45974.659722222219</v>
      </c>
      <c r="G916" s="12">
        <v>0.15555555555329192</v>
      </c>
      <c r="H916" s="2" t="s">
        <v>677</v>
      </c>
      <c r="J916" s="2" t="s">
        <v>230</v>
      </c>
      <c r="K916" s="2" t="s">
        <v>230</v>
      </c>
      <c r="L916" s="2" t="s">
        <v>3276</v>
      </c>
      <c r="M916" t="s">
        <v>663</v>
      </c>
      <c r="N916" t="s">
        <v>357</v>
      </c>
      <c r="O916" t="s">
        <v>3277</v>
      </c>
      <c r="P916" t="s">
        <v>3283</v>
      </c>
      <c r="Q916" t="s">
        <v>2677</v>
      </c>
    </row>
    <row r="917" spans="1:17">
      <c r="A917" s="2" t="s">
        <v>339</v>
      </c>
      <c r="B917" s="2" t="s">
        <v>339</v>
      </c>
      <c r="C917" s="2" t="s">
        <v>336</v>
      </c>
      <c r="D917" s="11">
        <v>45974.504166666666</v>
      </c>
      <c r="E917" s="11">
        <v>45974.504166666666</v>
      </c>
      <c r="F917" s="11">
        <v>45974.659722222219</v>
      </c>
      <c r="G917" s="12">
        <v>0.15555555555329192</v>
      </c>
      <c r="H917" s="2" t="s">
        <v>677</v>
      </c>
      <c r="J917" s="2" t="s">
        <v>230</v>
      </c>
      <c r="K917" s="2" t="s">
        <v>230</v>
      </c>
      <c r="L917" s="2" t="s">
        <v>3276</v>
      </c>
      <c r="M917" t="s">
        <v>663</v>
      </c>
      <c r="N917" t="s">
        <v>357</v>
      </c>
      <c r="O917" t="s">
        <v>3277</v>
      </c>
      <c r="P917" t="s">
        <v>3284</v>
      </c>
      <c r="Q917" t="s">
        <v>2677</v>
      </c>
    </row>
    <row r="918" spans="1:17">
      <c r="A918" s="2" t="s">
        <v>339</v>
      </c>
      <c r="B918" s="2" t="s">
        <v>339</v>
      </c>
      <c r="C918" s="2" t="s">
        <v>337</v>
      </c>
      <c r="D918" s="11">
        <v>45974.504166666666</v>
      </c>
      <c r="E918" s="11">
        <v>45974.504166666666</v>
      </c>
      <c r="F918" s="11">
        <v>45974.659722222219</v>
      </c>
      <c r="G918" s="12">
        <v>0.15555555555329192</v>
      </c>
      <c r="H918" s="2" t="s">
        <v>677</v>
      </c>
      <c r="J918" s="2" t="s">
        <v>230</v>
      </c>
      <c r="K918" s="2" t="s">
        <v>230</v>
      </c>
      <c r="L918" s="2" t="s">
        <v>3276</v>
      </c>
      <c r="M918" t="s">
        <v>663</v>
      </c>
      <c r="N918" t="s">
        <v>357</v>
      </c>
      <c r="O918" t="s">
        <v>3277</v>
      </c>
      <c r="P918" t="s">
        <v>3285</v>
      </c>
      <c r="Q918" t="s">
        <v>2677</v>
      </c>
    </row>
    <row r="919" spans="1:17">
      <c r="A919" s="2" t="s">
        <v>339</v>
      </c>
      <c r="B919" s="2" t="s">
        <v>339</v>
      </c>
      <c r="C919" s="2" t="s">
        <v>338</v>
      </c>
      <c r="D919" s="11">
        <v>45974.504166666666</v>
      </c>
      <c r="E919" s="11">
        <v>45974.504166666666</v>
      </c>
      <c r="F919" s="11">
        <v>45974.659722222219</v>
      </c>
      <c r="G919" s="12">
        <v>0.15555555555329192</v>
      </c>
      <c r="H919" s="2" t="s">
        <v>677</v>
      </c>
      <c r="J919" s="2" t="s">
        <v>230</v>
      </c>
      <c r="K919" s="2" t="s">
        <v>230</v>
      </c>
      <c r="L919" s="2" t="s">
        <v>3276</v>
      </c>
      <c r="M919" t="s">
        <v>663</v>
      </c>
      <c r="N919" t="s">
        <v>357</v>
      </c>
      <c r="O919" t="s">
        <v>3277</v>
      </c>
      <c r="P919" t="s">
        <v>3286</v>
      </c>
      <c r="Q919" t="s">
        <v>2677</v>
      </c>
    </row>
    <row r="920" spans="1:17">
      <c r="A920" s="2" t="s">
        <v>339</v>
      </c>
      <c r="B920" s="2" t="s">
        <v>339</v>
      </c>
      <c r="C920" s="2" t="s">
        <v>332</v>
      </c>
      <c r="D920" s="11">
        <v>45974.504166666666</v>
      </c>
      <c r="E920" s="11">
        <v>45974.504166666666</v>
      </c>
      <c r="F920" s="11">
        <v>45974.659722222219</v>
      </c>
      <c r="G920" s="12">
        <v>0.15555555555329192</v>
      </c>
      <c r="H920" s="2" t="s">
        <v>677</v>
      </c>
      <c r="J920" s="2" t="s">
        <v>230</v>
      </c>
      <c r="K920" s="2" t="s">
        <v>230</v>
      </c>
      <c r="L920" s="2" t="s">
        <v>3276</v>
      </c>
      <c r="M920" t="s">
        <v>663</v>
      </c>
      <c r="N920" t="s">
        <v>357</v>
      </c>
      <c r="O920" t="s">
        <v>3277</v>
      </c>
      <c r="P920" t="s">
        <v>3287</v>
      </c>
      <c r="Q920" t="s">
        <v>2677</v>
      </c>
    </row>
    <row r="921" spans="1:17">
      <c r="A921" s="2" t="s">
        <v>340</v>
      </c>
      <c r="B921" s="2" t="s">
        <v>340</v>
      </c>
      <c r="C921" s="2" t="s">
        <v>341</v>
      </c>
      <c r="D921" s="11">
        <v>45974.504166666666</v>
      </c>
      <c r="E921" s="11">
        <v>45974.504166666666</v>
      </c>
      <c r="F921" s="11">
        <v>45974.659722222219</v>
      </c>
      <c r="G921" s="12">
        <v>0.15555555555329192</v>
      </c>
      <c r="H921" s="2" t="s">
        <v>677</v>
      </c>
      <c r="J921" s="2" t="s">
        <v>230</v>
      </c>
      <c r="K921" s="2" t="s">
        <v>230</v>
      </c>
      <c r="L921" s="2" t="s">
        <v>3276</v>
      </c>
      <c r="M921" t="s">
        <v>663</v>
      </c>
      <c r="N921" t="s">
        <v>357</v>
      </c>
      <c r="O921" t="s">
        <v>3277</v>
      </c>
      <c r="P921" t="s">
        <v>3288</v>
      </c>
      <c r="Q921" t="s">
        <v>2677</v>
      </c>
    </row>
    <row r="922" spans="1:17">
      <c r="A922" s="2" t="s">
        <v>340</v>
      </c>
      <c r="B922" s="2" t="s">
        <v>340</v>
      </c>
      <c r="C922" s="2" t="s">
        <v>335</v>
      </c>
      <c r="D922" s="11">
        <v>45974.504166666666</v>
      </c>
      <c r="E922" s="11">
        <v>45974.504166666666</v>
      </c>
      <c r="F922" s="11">
        <v>45974.659722222219</v>
      </c>
      <c r="G922" s="12">
        <v>0.15555555555329192</v>
      </c>
      <c r="H922" s="2" t="s">
        <v>677</v>
      </c>
      <c r="J922" s="2" t="s">
        <v>230</v>
      </c>
      <c r="K922" s="2" t="s">
        <v>230</v>
      </c>
      <c r="L922" s="2" t="s">
        <v>3276</v>
      </c>
      <c r="M922" t="s">
        <v>663</v>
      </c>
      <c r="N922" t="s">
        <v>357</v>
      </c>
      <c r="O922" t="s">
        <v>3277</v>
      </c>
      <c r="P922" t="s">
        <v>3289</v>
      </c>
      <c r="Q922" t="s">
        <v>2677</v>
      </c>
    </row>
    <row r="923" spans="1:17">
      <c r="A923" s="2" t="s">
        <v>340</v>
      </c>
      <c r="B923" s="2" t="s">
        <v>340</v>
      </c>
      <c r="C923" s="2" t="s">
        <v>332</v>
      </c>
      <c r="D923" s="11">
        <v>45974.504166666666</v>
      </c>
      <c r="E923" s="11">
        <v>45974.504166666666</v>
      </c>
      <c r="F923" s="11">
        <v>45974.659722222219</v>
      </c>
      <c r="G923" s="12">
        <v>0.15555555555329192</v>
      </c>
      <c r="H923" s="2" t="s">
        <v>677</v>
      </c>
      <c r="J923" s="2" t="s">
        <v>230</v>
      </c>
      <c r="K923" s="2" t="s">
        <v>230</v>
      </c>
      <c r="L923" s="2" t="s">
        <v>3276</v>
      </c>
      <c r="M923" t="s">
        <v>663</v>
      </c>
      <c r="N923" t="s">
        <v>357</v>
      </c>
      <c r="O923" t="s">
        <v>3277</v>
      </c>
      <c r="P923" t="s">
        <v>3290</v>
      </c>
      <c r="Q923" t="s">
        <v>2677</v>
      </c>
    </row>
    <row r="924" spans="1:17">
      <c r="A924" s="2" t="s">
        <v>2195</v>
      </c>
      <c r="B924" s="2" t="s">
        <v>543</v>
      </c>
      <c r="C924" s="2" t="s">
        <v>2535</v>
      </c>
      <c r="D924" s="11">
        <v>45975.255173611113</v>
      </c>
      <c r="E924" s="11">
        <v>45975.255173611113</v>
      </c>
      <c r="F924" s="11">
        <v>45975.270069444443</v>
      </c>
      <c r="G924" s="12">
        <v>1.4895833330228925E-2</v>
      </c>
      <c r="H924" s="2" t="s">
        <v>257</v>
      </c>
      <c r="J924" s="2" t="s">
        <v>371</v>
      </c>
      <c r="K924" s="2" t="s">
        <v>653</v>
      </c>
      <c r="L924" s="2" t="s">
        <v>861</v>
      </c>
      <c r="M924" t="s">
        <v>252</v>
      </c>
      <c r="N924" t="s">
        <v>631</v>
      </c>
      <c r="P924" t="s">
        <v>3291</v>
      </c>
      <c r="Q924" t="s">
        <v>2537</v>
      </c>
    </row>
    <row r="925" spans="1:17">
      <c r="A925" s="2" t="s">
        <v>2195</v>
      </c>
      <c r="B925" s="2" t="s">
        <v>543</v>
      </c>
      <c r="C925" s="2" t="s">
        <v>2618</v>
      </c>
      <c r="D925" s="11">
        <v>45975.255300925928</v>
      </c>
      <c r="E925" s="11">
        <v>45975.255300925928</v>
      </c>
      <c r="F925" s="11">
        <v>45975.270069444443</v>
      </c>
      <c r="G925" s="12">
        <v>1.4768518514756579E-2</v>
      </c>
      <c r="H925" s="2" t="s">
        <v>257</v>
      </c>
      <c r="J925" s="2" t="s">
        <v>371</v>
      </c>
      <c r="K925" s="2" t="s">
        <v>653</v>
      </c>
      <c r="L925" s="2" t="s">
        <v>861</v>
      </c>
      <c r="M925" t="s">
        <v>252</v>
      </c>
      <c r="N925" t="s">
        <v>631</v>
      </c>
      <c r="P925" t="s">
        <v>3292</v>
      </c>
      <c r="Q925" t="s">
        <v>2537</v>
      </c>
    </row>
    <row r="926" spans="1:17">
      <c r="A926" s="2" t="s">
        <v>2195</v>
      </c>
      <c r="B926" s="2" t="s">
        <v>543</v>
      </c>
      <c r="C926" s="2" t="s">
        <v>2719</v>
      </c>
      <c r="D926" s="11">
        <v>45975.255312499998</v>
      </c>
      <c r="E926" s="11">
        <v>45975.255312499998</v>
      </c>
      <c r="F926" s="11">
        <v>45975.270069444443</v>
      </c>
      <c r="G926" s="12">
        <v>1.4756944445252884E-2</v>
      </c>
      <c r="H926" s="2" t="s">
        <v>257</v>
      </c>
      <c r="J926" s="2" t="s">
        <v>371</v>
      </c>
      <c r="K926" s="2" t="s">
        <v>653</v>
      </c>
      <c r="L926" s="2" t="s">
        <v>861</v>
      </c>
      <c r="M926" t="s">
        <v>252</v>
      </c>
      <c r="N926" t="s">
        <v>631</v>
      </c>
      <c r="P926" t="s">
        <v>3293</v>
      </c>
      <c r="Q926" t="s">
        <v>2537</v>
      </c>
    </row>
    <row r="927" spans="1:17">
      <c r="A927" s="2" t="s">
        <v>2195</v>
      </c>
      <c r="B927" s="2" t="s">
        <v>543</v>
      </c>
      <c r="C927" s="2" t="s">
        <v>2616</v>
      </c>
      <c r="D927" s="11">
        <v>45975.255312499998</v>
      </c>
      <c r="E927" s="11">
        <v>45975.255312499998</v>
      </c>
      <c r="F927" s="11">
        <v>45975.270069444443</v>
      </c>
      <c r="G927" s="12">
        <v>1.4756944445252884E-2</v>
      </c>
      <c r="H927" s="2" t="s">
        <v>257</v>
      </c>
      <c r="J927" s="2" t="s">
        <v>371</v>
      </c>
      <c r="K927" s="2" t="s">
        <v>653</v>
      </c>
      <c r="L927" s="2" t="s">
        <v>861</v>
      </c>
      <c r="M927" t="s">
        <v>252</v>
      </c>
      <c r="N927" t="s">
        <v>631</v>
      </c>
      <c r="P927" t="s">
        <v>3294</v>
      </c>
      <c r="Q927" t="s">
        <v>2537</v>
      </c>
    </row>
    <row r="928" spans="1:17">
      <c r="A928" s="2" t="s">
        <v>2195</v>
      </c>
      <c r="B928" s="2" t="s">
        <v>543</v>
      </c>
      <c r="C928" s="2" t="s">
        <v>2846</v>
      </c>
      <c r="D928" s="11">
        <v>45975.255324074074</v>
      </c>
      <c r="E928" s="11">
        <v>45975.255324074074</v>
      </c>
      <c r="F928" s="11">
        <v>45975.270069444443</v>
      </c>
      <c r="G928" s="12">
        <v>1.4745370368473232E-2</v>
      </c>
      <c r="H928" s="2" t="s">
        <v>257</v>
      </c>
      <c r="J928" s="2" t="s">
        <v>371</v>
      </c>
      <c r="K928" s="2" t="s">
        <v>653</v>
      </c>
      <c r="L928" s="2" t="s">
        <v>861</v>
      </c>
      <c r="M928" t="s">
        <v>252</v>
      </c>
      <c r="N928" t="s">
        <v>631</v>
      </c>
      <c r="P928" t="s">
        <v>3295</v>
      </c>
      <c r="Q928" t="s">
        <v>2537</v>
      </c>
    </row>
    <row r="929" spans="1:17">
      <c r="A929" s="2" t="s">
        <v>2195</v>
      </c>
      <c r="B929" s="2" t="s">
        <v>543</v>
      </c>
      <c r="C929" s="2" t="s">
        <v>2848</v>
      </c>
      <c r="D929" s="11">
        <v>45975.255370370367</v>
      </c>
      <c r="E929" s="11">
        <v>45975.255370370367</v>
      </c>
      <c r="F929" s="11">
        <v>45975.270069444443</v>
      </c>
      <c r="G929" s="12">
        <v>1.4699074075906537E-2</v>
      </c>
      <c r="H929" s="2" t="s">
        <v>257</v>
      </c>
      <c r="J929" s="2" t="s">
        <v>371</v>
      </c>
      <c r="K929" s="2" t="s">
        <v>653</v>
      </c>
      <c r="L929" s="2" t="s">
        <v>861</v>
      </c>
      <c r="M929" t="s">
        <v>252</v>
      </c>
      <c r="N929" t="s">
        <v>631</v>
      </c>
      <c r="P929" t="s">
        <v>3296</v>
      </c>
      <c r="Q929" t="s">
        <v>2537</v>
      </c>
    </row>
    <row r="930" spans="1:17">
      <c r="A930" s="2" t="s">
        <v>2195</v>
      </c>
      <c r="B930" s="2" t="s">
        <v>543</v>
      </c>
      <c r="C930" s="2" t="s">
        <v>556</v>
      </c>
      <c r="D930" s="11">
        <v>45975.255439814813</v>
      </c>
      <c r="E930" s="11">
        <v>45975.255439814813</v>
      </c>
      <c r="F930" s="11">
        <v>45975.270069444443</v>
      </c>
      <c r="G930" s="12">
        <v>1.4629629629780538E-2</v>
      </c>
      <c r="H930" s="2" t="s">
        <v>257</v>
      </c>
      <c r="J930" s="2" t="s">
        <v>371</v>
      </c>
      <c r="K930" s="2" t="s">
        <v>653</v>
      </c>
      <c r="L930" s="2" t="s">
        <v>861</v>
      </c>
      <c r="M930" t="s">
        <v>252</v>
      </c>
      <c r="N930" t="s">
        <v>631</v>
      </c>
      <c r="P930" t="s">
        <v>3297</v>
      </c>
      <c r="Q930" t="s">
        <v>2537</v>
      </c>
    </row>
    <row r="931" spans="1:17">
      <c r="A931" s="2" t="s">
        <v>2195</v>
      </c>
      <c r="B931" s="2" t="s">
        <v>543</v>
      </c>
      <c r="C931" s="2" t="s">
        <v>2535</v>
      </c>
      <c r="D931" s="11">
        <v>45975.283796296295</v>
      </c>
      <c r="E931" s="11">
        <v>45975.283796296295</v>
      </c>
      <c r="F931" s="11">
        <v>45975.29074074074</v>
      </c>
      <c r="G931" s="12">
        <v>6.9444444452528842E-3</v>
      </c>
      <c r="H931" s="2" t="s">
        <v>257</v>
      </c>
      <c r="J931" s="2" t="s">
        <v>371</v>
      </c>
      <c r="K931" s="2" t="s">
        <v>653</v>
      </c>
      <c r="L931" s="2" t="s">
        <v>861</v>
      </c>
      <c r="M931" t="s">
        <v>252</v>
      </c>
      <c r="N931" t="s">
        <v>631</v>
      </c>
      <c r="P931" t="s">
        <v>3298</v>
      </c>
      <c r="Q931" t="s">
        <v>2537</v>
      </c>
    </row>
    <row r="932" spans="1:17">
      <c r="A932" s="2" t="s">
        <v>2195</v>
      </c>
      <c r="B932" s="2" t="s">
        <v>543</v>
      </c>
      <c r="C932" s="2" t="s">
        <v>2616</v>
      </c>
      <c r="D932" s="11">
        <v>45975.28392361111</v>
      </c>
      <c r="E932" s="11">
        <v>45975.28392361111</v>
      </c>
      <c r="F932" s="11">
        <v>45975.294108796297</v>
      </c>
      <c r="G932" s="12">
        <v>1.0185185186855961E-2</v>
      </c>
      <c r="H932" s="2" t="s">
        <v>257</v>
      </c>
      <c r="J932" s="2" t="s">
        <v>371</v>
      </c>
      <c r="K932" s="2" t="s">
        <v>653</v>
      </c>
      <c r="L932" s="2" t="s">
        <v>861</v>
      </c>
      <c r="M932" t="s">
        <v>252</v>
      </c>
      <c r="N932" t="s">
        <v>631</v>
      </c>
      <c r="P932" t="s">
        <v>3299</v>
      </c>
      <c r="Q932" t="s">
        <v>2537</v>
      </c>
    </row>
    <row r="933" spans="1:17">
      <c r="A933" s="2" t="s">
        <v>2195</v>
      </c>
      <c r="B933" s="2" t="s">
        <v>543</v>
      </c>
      <c r="C933" s="2" t="s">
        <v>2846</v>
      </c>
      <c r="D933" s="11">
        <v>45975.283946759257</v>
      </c>
      <c r="E933" s="11">
        <v>45975.283946759257</v>
      </c>
      <c r="F933" s="11">
        <v>45975.294108796297</v>
      </c>
      <c r="G933" s="12">
        <v>1.0162037040572613E-2</v>
      </c>
      <c r="H933" s="2" t="s">
        <v>257</v>
      </c>
      <c r="J933" s="2" t="s">
        <v>371</v>
      </c>
      <c r="K933" s="2" t="s">
        <v>653</v>
      </c>
      <c r="L933" s="2" t="s">
        <v>861</v>
      </c>
      <c r="M933" t="s">
        <v>252</v>
      </c>
      <c r="N933" t="s">
        <v>631</v>
      </c>
      <c r="P933" t="s">
        <v>3300</v>
      </c>
      <c r="Q933" t="s">
        <v>2537</v>
      </c>
    </row>
    <row r="934" spans="1:17">
      <c r="A934" s="2" t="s">
        <v>2195</v>
      </c>
      <c r="B934" s="2" t="s">
        <v>543</v>
      </c>
      <c r="C934" s="2" t="s">
        <v>2719</v>
      </c>
      <c r="D934" s="11">
        <v>45975.283946759257</v>
      </c>
      <c r="E934" s="11">
        <v>45975.283946759257</v>
      </c>
      <c r="F934" s="11">
        <v>45975.294108796297</v>
      </c>
      <c r="G934" s="12">
        <v>1.0162037040572613E-2</v>
      </c>
      <c r="H934" s="2" t="s">
        <v>257</v>
      </c>
      <c r="J934" s="2" t="s">
        <v>371</v>
      </c>
      <c r="K934" s="2" t="s">
        <v>653</v>
      </c>
      <c r="L934" s="2" t="s">
        <v>861</v>
      </c>
      <c r="M934" t="s">
        <v>252</v>
      </c>
      <c r="N934" t="s">
        <v>631</v>
      </c>
      <c r="P934" t="s">
        <v>3301</v>
      </c>
      <c r="Q934" t="s">
        <v>2537</v>
      </c>
    </row>
    <row r="935" spans="1:17">
      <c r="A935" s="2" t="s">
        <v>2195</v>
      </c>
      <c r="B935" s="2" t="s">
        <v>543</v>
      </c>
      <c r="C935" s="2" t="s">
        <v>2618</v>
      </c>
      <c r="D935" s="11">
        <v>45975.283958333333</v>
      </c>
      <c r="E935" s="11">
        <v>45975.283958333333</v>
      </c>
      <c r="F935" s="11">
        <v>45975.290844907409</v>
      </c>
      <c r="G935" s="12">
        <v>6.8865740759065375E-3</v>
      </c>
      <c r="H935" s="2" t="s">
        <v>257</v>
      </c>
      <c r="J935" s="2" t="s">
        <v>371</v>
      </c>
      <c r="K935" s="2" t="s">
        <v>653</v>
      </c>
      <c r="L935" s="2" t="s">
        <v>861</v>
      </c>
      <c r="M935" t="s">
        <v>252</v>
      </c>
      <c r="N935" t="s">
        <v>631</v>
      </c>
      <c r="P935" t="s">
        <v>3302</v>
      </c>
      <c r="Q935" t="s">
        <v>2537</v>
      </c>
    </row>
    <row r="936" spans="1:17">
      <c r="A936" s="2" t="s">
        <v>2195</v>
      </c>
      <c r="B936" s="2" t="s">
        <v>543</v>
      </c>
      <c r="C936" s="2" t="s">
        <v>2848</v>
      </c>
      <c r="D936" s="11">
        <v>45975.284050925926</v>
      </c>
      <c r="E936" s="11">
        <v>45975.284050925926</v>
      </c>
      <c r="F936" s="11">
        <v>45975.294108796297</v>
      </c>
      <c r="G936" s="12">
        <v>1.0057870371383615E-2</v>
      </c>
      <c r="H936" s="2" t="s">
        <v>257</v>
      </c>
      <c r="J936" s="2" t="s">
        <v>371</v>
      </c>
      <c r="K936" s="2" t="s">
        <v>653</v>
      </c>
      <c r="L936" s="2" t="s">
        <v>861</v>
      </c>
      <c r="M936" t="s">
        <v>252</v>
      </c>
      <c r="N936" t="s">
        <v>631</v>
      </c>
      <c r="P936" t="s">
        <v>3303</v>
      </c>
      <c r="Q936" t="s">
        <v>2537</v>
      </c>
    </row>
    <row r="937" spans="1:17">
      <c r="A937" s="2" t="s">
        <v>2195</v>
      </c>
      <c r="B937" s="2" t="s">
        <v>543</v>
      </c>
      <c r="C937" s="2" t="s">
        <v>556</v>
      </c>
      <c r="D937" s="11">
        <v>45975.284085648149</v>
      </c>
      <c r="E937" s="11">
        <v>45975.284085648149</v>
      </c>
      <c r="F937" s="11">
        <v>45975.294108796297</v>
      </c>
      <c r="G937" s="12">
        <v>1.0023148148320615E-2</v>
      </c>
      <c r="H937" s="2" t="s">
        <v>257</v>
      </c>
      <c r="J937" s="2" t="s">
        <v>371</v>
      </c>
      <c r="K937" s="2" t="s">
        <v>653</v>
      </c>
      <c r="L937" s="2" t="s">
        <v>861</v>
      </c>
      <c r="M937" t="s">
        <v>252</v>
      </c>
      <c r="N937" t="s">
        <v>631</v>
      </c>
      <c r="P937" t="s">
        <v>3304</v>
      </c>
      <c r="Q937" t="s">
        <v>2537</v>
      </c>
    </row>
    <row r="938" spans="1:17">
      <c r="A938" s="2" t="s">
        <v>2428</v>
      </c>
      <c r="B938" s="2" t="s">
        <v>299</v>
      </c>
      <c r="C938" s="2" t="s">
        <v>303</v>
      </c>
      <c r="D938" s="11">
        <v>45975.447222222225</v>
      </c>
      <c r="E938" s="11">
        <v>45975.447222222225</v>
      </c>
      <c r="F938" s="11">
        <v>45975.625</v>
      </c>
      <c r="G938" s="12">
        <v>0.17777777777519077</v>
      </c>
      <c r="H938" s="2" t="s">
        <v>257</v>
      </c>
      <c r="J938" s="2" t="s">
        <v>258</v>
      </c>
      <c r="K938" s="2" t="s">
        <v>658</v>
      </c>
      <c r="L938" s="2" t="s">
        <v>259</v>
      </c>
      <c r="M938" t="s">
        <v>260</v>
      </c>
      <c r="N938" t="s">
        <v>357</v>
      </c>
      <c r="O938" t="s">
        <v>2199</v>
      </c>
      <c r="P938" t="s">
        <v>3305</v>
      </c>
      <c r="Q938" t="s">
        <v>2281</v>
      </c>
    </row>
    <row r="939" spans="1:17">
      <c r="A939" s="2" t="s">
        <v>2175</v>
      </c>
      <c r="B939" s="2" t="s">
        <v>299</v>
      </c>
      <c r="C939" s="2" t="s">
        <v>300</v>
      </c>
      <c r="D939" s="11">
        <v>45975.447222222225</v>
      </c>
      <c r="E939" s="11">
        <v>45975.447222222225</v>
      </c>
      <c r="F939" s="11">
        <v>45975.625</v>
      </c>
      <c r="G939" s="12">
        <v>0.17777777777519077</v>
      </c>
      <c r="H939" s="2" t="s">
        <v>257</v>
      </c>
      <c r="J939" s="2" t="s">
        <v>258</v>
      </c>
      <c r="K939" s="2" t="s">
        <v>658</v>
      </c>
      <c r="L939" s="2" t="s">
        <v>259</v>
      </c>
      <c r="M939" t="s">
        <v>260</v>
      </c>
      <c r="N939" t="s">
        <v>357</v>
      </c>
      <c r="O939" t="s">
        <v>2199</v>
      </c>
      <c r="P939" t="s">
        <v>3306</v>
      </c>
      <c r="Q939" t="s">
        <v>2281</v>
      </c>
    </row>
    <row r="940" spans="1:17">
      <c r="A940" s="2" t="s">
        <v>2431</v>
      </c>
      <c r="B940" s="2" t="s">
        <v>299</v>
      </c>
      <c r="C940" s="2" t="s">
        <v>304</v>
      </c>
      <c r="D940" s="11">
        <v>45975.447222222225</v>
      </c>
      <c r="E940" s="11">
        <v>45975.447222222225</v>
      </c>
      <c r="F940" s="11">
        <v>45975.625</v>
      </c>
      <c r="G940" s="12">
        <v>0.17777777777519077</v>
      </c>
      <c r="H940" s="2" t="s">
        <v>257</v>
      </c>
      <c r="J940" s="2" t="s">
        <v>258</v>
      </c>
      <c r="K940" s="2" t="s">
        <v>658</v>
      </c>
      <c r="L940" s="2" t="s">
        <v>259</v>
      </c>
      <c r="M940" t="s">
        <v>260</v>
      </c>
      <c r="N940" t="s">
        <v>357</v>
      </c>
      <c r="O940" t="s">
        <v>2199</v>
      </c>
      <c r="P940" t="s">
        <v>3307</v>
      </c>
      <c r="Q940" t="s">
        <v>2281</v>
      </c>
    </row>
    <row r="941" spans="1:17">
      <c r="A941" s="2" t="s">
        <v>2433</v>
      </c>
      <c r="B941" s="2" t="s">
        <v>343</v>
      </c>
      <c r="C941" s="2" t="s">
        <v>345</v>
      </c>
      <c r="D941" s="11">
        <v>45975.447222222225</v>
      </c>
      <c r="E941" s="11">
        <v>45975.447222222225</v>
      </c>
      <c r="F941" s="11">
        <v>45975.625</v>
      </c>
      <c r="G941" s="12">
        <v>0.17777777777519077</v>
      </c>
      <c r="H941" s="2" t="s">
        <v>257</v>
      </c>
      <c r="J941" s="2" t="s">
        <v>258</v>
      </c>
      <c r="K941" s="2" t="s">
        <v>658</v>
      </c>
      <c r="L941" s="2" t="s">
        <v>259</v>
      </c>
      <c r="M941" t="s">
        <v>260</v>
      </c>
      <c r="N941" t="s">
        <v>357</v>
      </c>
      <c r="O941" t="s">
        <v>2199</v>
      </c>
      <c r="P941" t="s">
        <v>3308</v>
      </c>
      <c r="Q941" t="s">
        <v>2281</v>
      </c>
    </row>
    <row r="942" spans="1:17">
      <c r="A942" s="2" t="s">
        <v>2435</v>
      </c>
      <c r="B942" s="2" t="s">
        <v>343</v>
      </c>
      <c r="C942" s="2" t="s">
        <v>346</v>
      </c>
      <c r="D942" s="11">
        <v>45975.447222222225</v>
      </c>
      <c r="E942" s="11">
        <v>45975.447222222225</v>
      </c>
      <c r="F942" s="11">
        <v>45975.625</v>
      </c>
      <c r="G942" s="12">
        <v>0.17777777777519077</v>
      </c>
      <c r="H942" s="2" t="s">
        <v>257</v>
      </c>
      <c r="J942" s="2" t="s">
        <v>258</v>
      </c>
      <c r="K942" s="2" t="s">
        <v>658</v>
      </c>
      <c r="L942" s="2" t="s">
        <v>259</v>
      </c>
      <c r="M942" t="s">
        <v>260</v>
      </c>
      <c r="N942" t="s">
        <v>357</v>
      </c>
      <c r="O942" t="s">
        <v>2199</v>
      </c>
      <c r="P942" t="s">
        <v>3309</v>
      </c>
      <c r="Q942" t="s">
        <v>2281</v>
      </c>
    </row>
    <row r="943" spans="1:17">
      <c r="A943" s="2" t="s">
        <v>2437</v>
      </c>
      <c r="B943" s="2" t="s">
        <v>343</v>
      </c>
      <c r="C943" s="2" t="s">
        <v>344</v>
      </c>
      <c r="D943" s="11">
        <v>45975.447222222225</v>
      </c>
      <c r="E943" s="11">
        <v>45975.447222222225</v>
      </c>
      <c r="F943" s="11">
        <v>45975.625</v>
      </c>
      <c r="G943" s="12">
        <v>0.17777777777519077</v>
      </c>
      <c r="H943" s="2" t="s">
        <v>257</v>
      </c>
      <c r="J943" s="2" t="s">
        <v>258</v>
      </c>
      <c r="K943" s="2" t="s">
        <v>658</v>
      </c>
      <c r="L943" s="2" t="s">
        <v>259</v>
      </c>
      <c r="M943" t="s">
        <v>260</v>
      </c>
      <c r="N943" t="s">
        <v>357</v>
      </c>
      <c r="O943" t="s">
        <v>2199</v>
      </c>
      <c r="P943" t="s">
        <v>3310</v>
      </c>
      <c r="Q943" t="s">
        <v>2281</v>
      </c>
    </row>
    <row r="944" spans="1:17">
      <c r="A944" s="2" t="s">
        <v>2439</v>
      </c>
      <c r="B944" s="2" t="s">
        <v>343</v>
      </c>
      <c r="C944" s="2" t="s">
        <v>347</v>
      </c>
      <c r="D944" s="11">
        <v>45975.447222222225</v>
      </c>
      <c r="E944" s="11">
        <v>45975.447222222225</v>
      </c>
      <c r="F944" s="11">
        <v>45975.625</v>
      </c>
      <c r="G944" s="12">
        <v>0.17777777777519077</v>
      </c>
      <c r="H944" s="2" t="s">
        <v>257</v>
      </c>
      <c r="J944" s="2" t="s">
        <v>258</v>
      </c>
      <c r="K944" s="2" t="s">
        <v>658</v>
      </c>
      <c r="L944" s="2" t="s">
        <v>259</v>
      </c>
      <c r="M944" t="s">
        <v>260</v>
      </c>
      <c r="N944" t="s">
        <v>357</v>
      </c>
      <c r="O944" t="s">
        <v>2199</v>
      </c>
      <c r="P944" t="s">
        <v>3311</v>
      </c>
      <c r="Q944" t="s">
        <v>2281</v>
      </c>
    </row>
    <row r="945" spans="1:17">
      <c r="A945" s="2" t="s">
        <v>327</v>
      </c>
      <c r="B945" s="2" t="s">
        <v>327</v>
      </c>
      <c r="C945" s="2" t="s">
        <v>247</v>
      </c>
      <c r="D945" s="11">
        <v>45976.194444444445</v>
      </c>
      <c r="E945" s="11">
        <v>45976.194444444445</v>
      </c>
      <c r="F945" s="11">
        <v>45976.260416666664</v>
      </c>
      <c r="G945" s="12">
        <v>6.5972222218988463E-2</v>
      </c>
      <c r="H945" s="2" t="s">
        <v>257</v>
      </c>
      <c r="J945" s="2" t="s">
        <v>258</v>
      </c>
      <c r="K945" s="2" t="s">
        <v>658</v>
      </c>
      <c r="L945" s="2" t="s">
        <v>2198</v>
      </c>
      <c r="M945" t="s">
        <v>260</v>
      </c>
      <c r="N945" t="s">
        <v>357</v>
      </c>
      <c r="O945" t="s">
        <v>632</v>
      </c>
      <c r="P945" t="s">
        <v>3312</v>
      </c>
      <c r="Q945" t="s">
        <v>2281</v>
      </c>
    </row>
    <row r="946" spans="1:17">
      <c r="A946" s="2" t="s">
        <v>246</v>
      </c>
      <c r="B946" s="2" t="s">
        <v>246</v>
      </c>
      <c r="C946" s="2" t="s">
        <v>247</v>
      </c>
      <c r="D946" s="11">
        <v>45976.194444444445</v>
      </c>
      <c r="E946" s="11">
        <v>45976.194444444445</v>
      </c>
      <c r="F946" s="11">
        <v>45976.260416666664</v>
      </c>
      <c r="G946" s="12">
        <v>6.5972222218988463E-2</v>
      </c>
      <c r="H946" s="2" t="s">
        <v>257</v>
      </c>
      <c r="J946" s="2" t="s">
        <v>258</v>
      </c>
      <c r="K946" s="2" t="s">
        <v>658</v>
      </c>
      <c r="L946" s="2" t="s">
        <v>2198</v>
      </c>
      <c r="M946" t="s">
        <v>260</v>
      </c>
      <c r="N946" t="s">
        <v>357</v>
      </c>
      <c r="O946" t="s">
        <v>632</v>
      </c>
      <c r="P946" t="s">
        <v>3313</v>
      </c>
      <c r="Q946" t="s">
        <v>2281</v>
      </c>
    </row>
    <row r="947" spans="1:17">
      <c r="A947" s="2" t="s">
        <v>328</v>
      </c>
      <c r="B947" s="2" t="s">
        <v>328</v>
      </c>
      <c r="C947" s="2" t="s">
        <v>247</v>
      </c>
      <c r="D947" s="11">
        <v>45976.194444444445</v>
      </c>
      <c r="E947" s="11">
        <v>45976.194444444445</v>
      </c>
      <c r="F947" s="11">
        <v>45976.260416666664</v>
      </c>
      <c r="G947" s="12">
        <v>6.5972222218988463E-2</v>
      </c>
      <c r="H947" s="2" t="s">
        <v>257</v>
      </c>
      <c r="J947" s="2" t="s">
        <v>258</v>
      </c>
      <c r="K947" s="2" t="s">
        <v>658</v>
      </c>
      <c r="L947" s="2" t="s">
        <v>2198</v>
      </c>
      <c r="M947" t="s">
        <v>260</v>
      </c>
      <c r="N947" t="s">
        <v>357</v>
      </c>
      <c r="O947" t="s">
        <v>632</v>
      </c>
      <c r="P947" t="s">
        <v>3314</v>
      </c>
      <c r="Q947" t="s">
        <v>2281</v>
      </c>
    </row>
    <row r="948" spans="1:17">
      <c r="A948" s="2" t="s">
        <v>329</v>
      </c>
      <c r="B948" s="2" t="s">
        <v>329</v>
      </c>
      <c r="C948" s="2" t="s">
        <v>247</v>
      </c>
      <c r="D948" s="11">
        <v>45976.194444444445</v>
      </c>
      <c r="E948" s="11">
        <v>45976.194444444445</v>
      </c>
      <c r="F948" s="11">
        <v>45976.260416666664</v>
      </c>
      <c r="G948" s="12">
        <v>6.5972222218988463E-2</v>
      </c>
      <c r="H948" s="2" t="s">
        <v>257</v>
      </c>
      <c r="J948" s="2" t="s">
        <v>258</v>
      </c>
      <c r="K948" s="2" t="s">
        <v>658</v>
      </c>
      <c r="L948" s="2" t="s">
        <v>2198</v>
      </c>
      <c r="M948" t="s">
        <v>260</v>
      </c>
      <c r="N948" t="s">
        <v>357</v>
      </c>
      <c r="O948" t="s">
        <v>632</v>
      </c>
      <c r="P948" t="s">
        <v>3315</v>
      </c>
      <c r="Q948" t="s">
        <v>2281</v>
      </c>
    </row>
    <row r="949" spans="1:17">
      <c r="A949" s="2" t="s">
        <v>330</v>
      </c>
      <c r="B949" s="2" t="s">
        <v>330</v>
      </c>
      <c r="C949" s="2" t="s">
        <v>247</v>
      </c>
      <c r="D949" s="11">
        <v>45976.194444444445</v>
      </c>
      <c r="E949" s="11">
        <v>45976.194444444445</v>
      </c>
      <c r="F949" s="11">
        <v>45976.260416666664</v>
      </c>
      <c r="G949" s="12">
        <v>6.5972222218988463E-2</v>
      </c>
      <c r="H949" s="2" t="s">
        <v>257</v>
      </c>
      <c r="J949" s="2" t="s">
        <v>258</v>
      </c>
      <c r="K949" s="2" t="s">
        <v>658</v>
      </c>
      <c r="L949" s="2" t="s">
        <v>2198</v>
      </c>
      <c r="M949" t="s">
        <v>260</v>
      </c>
      <c r="N949" t="s">
        <v>357</v>
      </c>
      <c r="O949" t="s">
        <v>632</v>
      </c>
      <c r="P949" t="s">
        <v>3316</v>
      </c>
      <c r="Q949" t="s">
        <v>2281</v>
      </c>
    </row>
    <row r="950" spans="1:17">
      <c r="A950" s="2" t="s">
        <v>583</v>
      </c>
      <c r="B950" s="2" t="s">
        <v>583</v>
      </c>
      <c r="C950" s="2" t="s">
        <v>378</v>
      </c>
      <c r="D950" s="11">
        <v>45976.270833333336</v>
      </c>
      <c r="E950" s="11">
        <v>45976.270833333336</v>
      </c>
      <c r="F950" s="11">
        <v>45976.380555555559</v>
      </c>
      <c r="G950" s="12">
        <v>0.10972222222335404</v>
      </c>
      <c r="H950" s="2" t="s">
        <v>268</v>
      </c>
      <c r="I950" s="2" t="s">
        <v>269</v>
      </c>
      <c r="J950" s="2" t="s">
        <v>319</v>
      </c>
      <c r="K950" s="2" t="s">
        <v>652</v>
      </c>
      <c r="L950" s="2" t="s">
        <v>3317</v>
      </c>
      <c r="M950" t="s">
        <v>289</v>
      </c>
      <c r="N950" t="s">
        <v>253</v>
      </c>
      <c r="O950" t="s">
        <v>3318</v>
      </c>
      <c r="P950" t="s">
        <v>3319</v>
      </c>
      <c r="Q950" t="s">
        <v>2713</v>
      </c>
    </row>
    <row r="951" spans="1:17">
      <c r="A951" s="2" t="s">
        <v>583</v>
      </c>
      <c r="B951" s="2" t="s">
        <v>583</v>
      </c>
      <c r="C951" s="2" t="s">
        <v>382</v>
      </c>
      <c r="D951" s="11">
        <v>45976.270833333336</v>
      </c>
      <c r="E951" s="11">
        <v>45976.270833333336</v>
      </c>
      <c r="F951" s="11">
        <v>45976.380555555559</v>
      </c>
      <c r="G951" s="12">
        <v>0.10972222222335404</v>
      </c>
      <c r="H951" s="2" t="s">
        <v>268</v>
      </c>
      <c r="I951" s="2" t="s">
        <v>269</v>
      </c>
      <c r="J951" s="2" t="s">
        <v>319</v>
      </c>
      <c r="K951" s="2" t="s">
        <v>652</v>
      </c>
      <c r="L951" s="2" t="s">
        <v>3317</v>
      </c>
      <c r="M951" t="s">
        <v>289</v>
      </c>
      <c r="N951" t="s">
        <v>253</v>
      </c>
      <c r="O951" t="s">
        <v>3318</v>
      </c>
      <c r="P951" t="s">
        <v>3320</v>
      </c>
      <c r="Q951" t="s">
        <v>2713</v>
      </c>
    </row>
    <row r="952" spans="1:17">
      <c r="A952" s="2" t="s">
        <v>583</v>
      </c>
      <c r="B952" s="2" t="s">
        <v>583</v>
      </c>
      <c r="C952" s="2" t="s">
        <v>380</v>
      </c>
      <c r="D952" s="11">
        <v>45976.270833333336</v>
      </c>
      <c r="E952" s="11">
        <v>45976.270833333336</v>
      </c>
      <c r="F952" s="11">
        <v>45976.380555555559</v>
      </c>
      <c r="G952" s="12">
        <v>0.10972222222335404</v>
      </c>
      <c r="H952" s="2" t="s">
        <v>268</v>
      </c>
      <c r="I952" s="2" t="s">
        <v>269</v>
      </c>
      <c r="J952" s="2" t="s">
        <v>319</v>
      </c>
      <c r="K952" s="2" t="s">
        <v>652</v>
      </c>
      <c r="L952" s="2" t="s">
        <v>3317</v>
      </c>
      <c r="M952" t="s">
        <v>289</v>
      </c>
      <c r="N952" t="s">
        <v>253</v>
      </c>
      <c r="O952" t="s">
        <v>3318</v>
      </c>
      <c r="P952" t="s">
        <v>3321</v>
      </c>
      <c r="Q952" t="s">
        <v>2713</v>
      </c>
    </row>
    <row r="953" spans="1:17">
      <c r="A953" s="2" t="s">
        <v>583</v>
      </c>
      <c r="B953" s="2" t="s">
        <v>583</v>
      </c>
      <c r="C953" s="2" t="s">
        <v>377</v>
      </c>
      <c r="D953" s="11">
        <v>45976.270833333336</v>
      </c>
      <c r="E953" s="11">
        <v>45976.270833333336</v>
      </c>
      <c r="F953" s="11">
        <v>45976.380555555559</v>
      </c>
      <c r="G953" s="12">
        <v>0.10972222222335404</v>
      </c>
      <c r="H953" s="2" t="s">
        <v>268</v>
      </c>
      <c r="I953" s="2" t="s">
        <v>269</v>
      </c>
      <c r="J953" s="2" t="s">
        <v>319</v>
      </c>
      <c r="K953" s="2" t="s">
        <v>652</v>
      </c>
      <c r="L953" s="2" t="s">
        <v>3317</v>
      </c>
      <c r="M953" t="s">
        <v>289</v>
      </c>
      <c r="N953" t="s">
        <v>253</v>
      </c>
      <c r="O953" t="s">
        <v>3318</v>
      </c>
      <c r="P953" t="s">
        <v>3322</v>
      </c>
      <c r="Q953" t="s">
        <v>2713</v>
      </c>
    </row>
    <row r="954" spans="1:17">
      <c r="A954" s="2" t="s">
        <v>583</v>
      </c>
      <c r="B954" s="2" t="s">
        <v>583</v>
      </c>
      <c r="C954" s="2" t="s">
        <v>379</v>
      </c>
      <c r="D954" s="11">
        <v>45976.270833333336</v>
      </c>
      <c r="E954" s="11">
        <v>45976.270833333336</v>
      </c>
      <c r="F954" s="11">
        <v>45976.380555555559</v>
      </c>
      <c r="G954" s="12">
        <v>0.10972222222335404</v>
      </c>
      <c r="H954" s="2" t="s">
        <v>268</v>
      </c>
      <c r="I954" s="2" t="s">
        <v>269</v>
      </c>
      <c r="J954" s="2" t="s">
        <v>319</v>
      </c>
      <c r="K954" s="2" t="s">
        <v>652</v>
      </c>
      <c r="L954" s="2" t="s">
        <v>3317</v>
      </c>
      <c r="M954" t="s">
        <v>289</v>
      </c>
      <c r="N954" t="s">
        <v>253</v>
      </c>
      <c r="O954" t="s">
        <v>3318</v>
      </c>
      <c r="P954" t="s">
        <v>3323</v>
      </c>
      <c r="Q954" t="s">
        <v>2713</v>
      </c>
    </row>
    <row r="955" spans="1:17">
      <c r="A955" s="2" t="s">
        <v>444</v>
      </c>
      <c r="B955" s="2" t="s">
        <v>444</v>
      </c>
      <c r="C955" s="2" t="s">
        <v>256</v>
      </c>
      <c r="D955" s="11">
        <v>45976.470833333333</v>
      </c>
      <c r="E955" s="11">
        <v>45976.470833333333</v>
      </c>
      <c r="F955" s="11">
        <v>45976.509027777778</v>
      </c>
      <c r="G955" s="12">
        <v>3.8194444445252884E-2</v>
      </c>
      <c r="H955" s="2" t="s">
        <v>268</v>
      </c>
      <c r="I955" s="2" t="s">
        <v>269</v>
      </c>
      <c r="J955" s="2" t="s">
        <v>270</v>
      </c>
      <c r="K955" s="2" t="s">
        <v>674</v>
      </c>
      <c r="L955" s="2" t="s">
        <v>715</v>
      </c>
      <c r="M955" t="s">
        <v>272</v>
      </c>
      <c r="N955" t="s">
        <v>253</v>
      </c>
      <c r="O955" t="s">
        <v>2112</v>
      </c>
      <c r="P955" t="s">
        <v>3324</v>
      </c>
      <c r="Q955" t="s">
        <v>2690</v>
      </c>
    </row>
    <row r="956" spans="1:17">
      <c r="A956" s="2" t="s">
        <v>444</v>
      </c>
      <c r="B956" s="2" t="s">
        <v>444</v>
      </c>
      <c r="C956" s="2" t="s">
        <v>264</v>
      </c>
      <c r="D956" s="11">
        <v>45976.470833333333</v>
      </c>
      <c r="E956" s="11">
        <v>45976.470833333333</v>
      </c>
      <c r="F956" s="11">
        <v>45976.509027777778</v>
      </c>
      <c r="G956" s="12">
        <v>3.8194444445252884E-2</v>
      </c>
      <c r="H956" s="2" t="s">
        <v>268</v>
      </c>
      <c r="I956" s="2" t="s">
        <v>269</v>
      </c>
      <c r="J956" s="2" t="s">
        <v>270</v>
      </c>
      <c r="K956" s="2" t="s">
        <v>674</v>
      </c>
      <c r="L956" s="2" t="s">
        <v>715</v>
      </c>
      <c r="M956" t="s">
        <v>272</v>
      </c>
      <c r="N956" t="s">
        <v>253</v>
      </c>
      <c r="O956" t="s">
        <v>2112</v>
      </c>
      <c r="P956" t="s">
        <v>3325</v>
      </c>
      <c r="Q956" t="s">
        <v>2690</v>
      </c>
    </row>
    <row r="957" spans="1:17">
      <c r="A957" s="2" t="s">
        <v>444</v>
      </c>
      <c r="B957" s="2" t="s">
        <v>444</v>
      </c>
      <c r="C957" s="2" t="s">
        <v>2085</v>
      </c>
      <c r="D957" s="11">
        <v>45976.470833333333</v>
      </c>
      <c r="E957" s="11">
        <v>45976.470833333333</v>
      </c>
      <c r="F957" s="11">
        <v>45976.509027777778</v>
      </c>
      <c r="G957" s="12">
        <v>3.8194444445252884E-2</v>
      </c>
      <c r="H957" s="2" t="s">
        <v>268</v>
      </c>
      <c r="I957" s="2" t="s">
        <v>269</v>
      </c>
      <c r="J957" s="2" t="s">
        <v>270</v>
      </c>
      <c r="K957" s="2" t="s">
        <v>674</v>
      </c>
      <c r="L957" s="2" t="s">
        <v>715</v>
      </c>
      <c r="M957" t="s">
        <v>272</v>
      </c>
      <c r="N957" t="s">
        <v>253</v>
      </c>
      <c r="O957" t="s">
        <v>2112</v>
      </c>
      <c r="P957" t="s">
        <v>3326</v>
      </c>
      <c r="Q957" t="s">
        <v>2690</v>
      </c>
    </row>
    <row r="958" spans="1:17">
      <c r="A958" s="2" t="s">
        <v>444</v>
      </c>
      <c r="B958" s="2" t="s">
        <v>444</v>
      </c>
      <c r="C958" s="2" t="s">
        <v>2086</v>
      </c>
      <c r="D958" s="11">
        <v>45976.470833333333</v>
      </c>
      <c r="E958" s="11">
        <v>45976.470833333333</v>
      </c>
      <c r="F958" s="11">
        <v>45976.509027777778</v>
      </c>
      <c r="G958" s="12">
        <v>3.8194444445252884E-2</v>
      </c>
      <c r="H958" s="2" t="s">
        <v>268</v>
      </c>
      <c r="I958" s="2" t="s">
        <v>269</v>
      </c>
      <c r="J958" s="2" t="s">
        <v>270</v>
      </c>
      <c r="K958" s="2" t="s">
        <v>674</v>
      </c>
      <c r="L958" s="2" t="s">
        <v>715</v>
      </c>
      <c r="M958" t="s">
        <v>272</v>
      </c>
      <c r="N958" t="s">
        <v>253</v>
      </c>
      <c r="O958" t="s">
        <v>2112</v>
      </c>
      <c r="P958" t="s">
        <v>3327</v>
      </c>
      <c r="Q958" t="s">
        <v>2690</v>
      </c>
    </row>
    <row r="959" spans="1:17">
      <c r="A959" s="2" t="s">
        <v>444</v>
      </c>
      <c r="B959" s="2" t="s">
        <v>444</v>
      </c>
      <c r="C959" s="2" t="s">
        <v>390</v>
      </c>
      <c r="D959" s="11">
        <v>45976.470833333333</v>
      </c>
      <c r="E959" s="11">
        <v>45976.470833333333</v>
      </c>
      <c r="F959" s="11">
        <v>45976.509027777778</v>
      </c>
      <c r="G959" s="12">
        <v>3.8194444445252884E-2</v>
      </c>
      <c r="H959" s="2" t="s">
        <v>268</v>
      </c>
      <c r="I959" s="2" t="s">
        <v>269</v>
      </c>
      <c r="J959" s="2" t="s">
        <v>270</v>
      </c>
      <c r="K959" s="2" t="s">
        <v>674</v>
      </c>
      <c r="L959" s="2" t="s">
        <v>715</v>
      </c>
      <c r="M959" t="s">
        <v>272</v>
      </c>
      <c r="N959" t="s">
        <v>253</v>
      </c>
      <c r="O959" t="s">
        <v>2112</v>
      </c>
      <c r="P959" t="s">
        <v>3328</v>
      </c>
      <c r="Q959" t="s">
        <v>2690</v>
      </c>
    </row>
    <row r="960" spans="1:17">
      <c r="A960" s="2" t="s">
        <v>446</v>
      </c>
      <c r="B960" s="2" t="s">
        <v>446</v>
      </c>
      <c r="C960" s="2" t="s">
        <v>2087</v>
      </c>
      <c r="D960" s="11">
        <v>45976.470833333333</v>
      </c>
      <c r="E960" s="11">
        <v>45976.470833333333</v>
      </c>
      <c r="F960" s="11">
        <v>45976.509027777778</v>
      </c>
      <c r="G960" s="12">
        <v>3.8194444445252884E-2</v>
      </c>
      <c r="H960" s="2" t="s">
        <v>268</v>
      </c>
      <c r="I960" s="2" t="s">
        <v>269</v>
      </c>
      <c r="J960" s="2" t="s">
        <v>270</v>
      </c>
      <c r="K960" s="2" t="s">
        <v>674</v>
      </c>
      <c r="L960" s="2" t="s">
        <v>715</v>
      </c>
      <c r="M960" t="s">
        <v>272</v>
      </c>
      <c r="N960" t="s">
        <v>253</v>
      </c>
      <c r="O960" t="s">
        <v>2112</v>
      </c>
      <c r="P960" t="s">
        <v>3329</v>
      </c>
      <c r="Q960" t="s">
        <v>2690</v>
      </c>
    </row>
    <row r="961" spans="1:17">
      <c r="A961" s="2" t="s">
        <v>446</v>
      </c>
      <c r="B961" s="2" t="s">
        <v>446</v>
      </c>
      <c r="C961" s="2" t="s">
        <v>2088</v>
      </c>
      <c r="D961" s="11">
        <v>45976.470833333333</v>
      </c>
      <c r="E961" s="11">
        <v>45976.470833333333</v>
      </c>
      <c r="F961" s="11">
        <v>45976.509027777778</v>
      </c>
      <c r="G961" s="12">
        <v>3.8194444445252884E-2</v>
      </c>
      <c r="H961" s="2" t="s">
        <v>268</v>
      </c>
      <c r="I961" s="2" t="s">
        <v>269</v>
      </c>
      <c r="J961" s="2" t="s">
        <v>270</v>
      </c>
      <c r="K961" s="2" t="s">
        <v>674</v>
      </c>
      <c r="L961" s="2" t="s">
        <v>715</v>
      </c>
      <c r="M961" t="s">
        <v>272</v>
      </c>
      <c r="N961" t="s">
        <v>253</v>
      </c>
      <c r="O961" t="s">
        <v>2112</v>
      </c>
      <c r="P961" t="s">
        <v>3330</v>
      </c>
      <c r="Q961" t="s">
        <v>2690</v>
      </c>
    </row>
    <row r="962" spans="1:17">
      <c r="A962" s="2" t="s">
        <v>446</v>
      </c>
      <c r="B962" s="2" t="s">
        <v>446</v>
      </c>
      <c r="C962" s="2" t="s">
        <v>447</v>
      </c>
      <c r="D962" s="11">
        <v>45976.470833333333</v>
      </c>
      <c r="E962" s="11">
        <v>45976.470833333333</v>
      </c>
      <c r="F962" s="11">
        <v>45976.509027777778</v>
      </c>
      <c r="G962" s="12">
        <v>3.8194444445252884E-2</v>
      </c>
      <c r="H962" s="2" t="s">
        <v>268</v>
      </c>
      <c r="I962" s="2" t="s">
        <v>269</v>
      </c>
      <c r="J962" s="2" t="s">
        <v>270</v>
      </c>
      <c r="K962" s="2" t="s">
        <v>674</v>
      </c>
      <c r="L962" s="2" t="s">
        <v>715</v>
      </c>
      <c r="M962" t="s">
        <v>272</v>
      </c>
      <c r="N962" t="s">
        <v>253</v>
      </c>
      <c r="O962" t="s">
        <v>2112</v>
      </c>
      <c r="P962" t="s">
        <v>3331</v>
      </c>
      <c r="Q962" t="s">
        <v>2690</v>
      </c>
    </row>
    <row r="963" spans="1:17">
      <c r="A963" s="2" t="s">
        <v>785</v>
      </c>
      <c r="B963" s="2" t="s">
        <v>785</v>
      </c>
      <c r="C963" s="2" t="s">
        <v>247</v>
      </c>
      <c r="D963" s="11">
        <v>45976.555555555555</v>
      </c>
      <c r="E963" s="11">
        <v>45976.555555555555</v>
      </c>
      <c r="F963" s="11">
        <v>45976.694444444445</v>
      </c>
      <c r="G963" s="12">
        <v>0.13888888889050577</v>
      </c>
      <c r="H963" s="2" t="s">
        <v>268</v>
      </c>
      <c r="I963" s="2" t="s">
        <v>269</v>
      </c>
      <c r="J963" s="2" t="s">
        <v>270</v>
      </c>
      <c r="K963" s="2" t="s">
        <v>674</v>
      </c>
      <c r="L963" s="2" t="s">
        <v>3332</v>
      </c>
      <c r="M963" t="s">
        <v>272</v>
      </c>
      <c r="N963" t="s">
        <v>253</v>
      </c>
      <c r="O963" t="s">
        <v>3333</v>
      </c>
      <c r="P963" t="s">
        <v>3334</v>
      </c>
      <c r="Q963" t="s">
        <v>2690</v>
      </c>
    </row>
    <row r="964" spans="1:17">
      <c r="A964" s="2" t="s">
        <v>785</v>
      </c>
      <c r="B964" s="2" t="s">
        <v>785</v>
      </c>
      <c r="C964" s="2" t="s">
        <v>790</v>
      </c>
      <c r="D964" s="11">
        <v>45976.555555555555</v>
      </c>
      <c r="E964" s="11">
        <v>45976.555555555555</v>
      </c>
      <c r="F964" s="11">
        <v>45976.694444444445</v>
      </c>
      <c r="G964" s="12">
        <v>0.13888888889050577</v>
      </c>
      <c r="H964" s="2" t="s">
        <v>268</v>
      </c>
      <c r="I964" s="2" t="s">
        <v>269</v>
      </c>
      <c r="J964" s="2" t="s">
        <v>270</v>
      </c>
      <c r="K964" s="2" t="s">
        <v>674</v>
      </c>
      <c r="L964" s="2" t="s">
        <v>3332</v>
      </c>
      <c r="M964" t="s">
        <v>272</v>
      </c>
      <c r="N964" t="s">
        <v>253</v>
      </c>
      <c r="O964" t="s">
        <v>3333</v>
      </c>
      <c r="P964" t="s">
        <v>3335</v>
      </c>
      <c r="Q964" t="s">
        <v>2690</v>
      </c>
    </row>
    <row r="965" spans="1:17">
      <c r="A965" s="2" t="s">
        <v>785</v>
      </c>
      <c r="B965" s="2" t="s">
        <v>785</v>
      </c>
      <c r="C965" s="2" t="s">
        <v>3336</v>
      </c>
      <c r="D965" s="11">
        <v>45976.555555555555</v>
      </c>
      <c r="E965" s="11">
        <v>45976.555555555555</v>
      </c>
      <c r="F965" s="11">
        <v>45976.694444444445</v>
      </c>
      <c r="G965" s="12">
        <v>0.13888888889050577</v>
      </c>
      <c r="H965" s="2" t="s">
        <v>268</v>
      </c>
      <c r="I965" s="2" t="s">
        <v>269</v>
      </c>
      <c r="J965" s="2" t="s">
        <v>270</v>
      </c>
      <c r="K965" s="2" t="s">
        <v>674</v>
      </c>
      <c r="L965" s="2" t="s">
        <v>3332</v>
      </c>
      <c r="M965" t="s">
        <v>272</v>
      </c>
      <c r="N965" t="s">
        <v>253</v>
      </c>
      <c r="O965" t="s">
        <v>3333</v>
      </c>
      <c r="P965" t="s">
        <v>3337</v>
      </c>
      <c r="Q965" t="s">
        <v>2690</v>
      </c>
    </row>
    <row r="966" spans="1:17">
      <c r="A966" s="2" t="s">
        <v>785</v>
      </c>
      <c r="B966" s="2" t="s">
        <v>785</v>
      </c>
      <c r="C966" s="2" t="s">
        <v>3338</v>
      </c>
      <c r="D966" s="11">
        <v>45976.555555555555</v>
      </c>
      <c r="E966" s="11">
        <v>45976.555555555555</v>
      </c>
      <c r="F966" s="11">
        <v>45976.694444444445</v>
      </c>
      <c r="G966" s="12">
        <v>0.13888888889050577</v>
      </c>
      <c r="H966" s="2" t="s">
        <v>268</v>
      </c>
      <c r="I966" s="2" t="s">
        <v>269</v>
      </c>
      <c r="J966" s="2" t="s">
        <v>270</v>
      </c>
      <c r="K966" s="2" t="s">
        <v>674</v>
      </c>
      <c r="L966" s="2" t="s">
        <v>3332</v>
      </c>
      <c r="M966" t="s">
        <v>272</v>
      </c>
      <c r="N966" t="s">
        <v>253</v>
      </c>
      <c r="O966" t="s">
        <v>3333</v>
      </c>
      <c r="P966" t="s">
        <v>3339</v>
      </c>
      <c r="Q966" t="s">
        <v>2690</v>
      </c>
    </row>
    <row r="967" spans="1:17">
      <c r="A967" s="2" t="s">
        <v>785</v>
      </c>
      <c r="B967" s="2" t="s">
        <v>785</v>
      </c>
      <c r="C967" s="2" t="s">
        <v>3340</v>
      </c>
      <c r="D967" s="11">
        <v>45976.555555555555</v>
      </c>
      <c r="E967" s="11">
        <v>45976.555555555555</v>
      </c>
      <c r="F967" s="11">
        <v>45976.694444444445</v>
      </c>
      <c r="G967" s="12">
        <v>0.13888888889050577</v>
      </c>
      <c r="H967" s="2" t="s">
        <v>268</v>
      </c>
      <c r="I967" s="2" t="s">
        <v>269</v>
      </c>
      <c r="J967" s="2" t="s">
        <v>270</v>
      </c>
      <c r="K967" s="2" t="s">
        <v>674</v>
      </c>
      <c r="L967" s="2" t="s">
        <v>3332</v>
      </c>
      <c r="M967" t="s">
        <v>272</v>
      </c>
      <c r="N967" t="s">
        <v>253</v>
      </c>
      <c r="O967" t="s">
        <v>3333</v>
      </c>
      <c r="P967" t="s">
        <v>3341</v>
      </c>
      <c r="Q967" t="s">
        <v>2690</v>
      </c>
    </row>
    <row r="968" spans="1:17">
      <c r="A968" s="2" t="s">
        <v>619</v>
      </c>
      <c r="B968" s="2" t="s">
        <v>619</v>
      </c>
      <c r="C968" s="2" t="s">
        <v>3342</v>
      </c>
      <c r="D968" s="11">
        <v>45976.555555555555</v>
      </c>
      <c r="E968" s="11">
        <v>45976.555555555555</v>
      </c>
      <c r="F968" s="11">
        <v>45976.694444444445</v>
      </c>
      <c r="G968" s="12">
        <v>0.13888888889050577</v>
      </c>
      <c r="H968" s="2" t="s">
        <v>268</v>
      </c>
      <c r="I968" s="2" t="s">
        <v>269</v>
      </c>
      <c r="J968" s="2" t="s">
        <v>270</v>
      </c>
      <c r="K968" s="2" t="s">
        <v>674</v>
      </c>
      <c r="L968" s="2" t="s">
        <v>3332</v>
      </c>
      <c r="M968" t="s">
        <v>272</v>
      </c>
      <c r="N968" t="s">
        <v>253</v>
      </c>
      <c r="O968" t="s">
        <v>3333</v>
      </c>
      <c r="P968" t="s">
        <v>3343</v>
      </c>
      <c r="Q968" t="s">
        <v>2690</v>
      </c>
    </row>
    <row r="969" spans="1:17">
      <c r="A969" s="2" t="s">
        <v>619</v>
      </c>
      <c r="B969" s="2" t="s">
        <v>619</v>
      </c>
      <c r="C969" s="2" t="s">
        <v>3344</v>
      </c>
      <c r="D969" s="11">
        <v>45976.555555555555</v>
      </c>
      <c r="E969" s="11">
        <v>45976.555555555555</v>
      </c>
      <c r="F969" s="11">
        <v>45976.694444444445</v>
      </c>
      <c r="G969" s="12">
        <v>0.13888888889050577</v>
      </c>
      <c r="H969" s="2" t="s">
        <v>268</v>
      </c>
      <c r="I969" s="2" t="s">
        <v>269</v>
      </c>
      <c r="J969" s="2" t="s">
        <v>270</v>
      </c>
      <c r="K969" s="2" t="s">
        <v>674</v>
      </c>
      <c r="L969" s="2" t="s">
        <v>3332</v>
      </c>
      <c r="M969" t="s">
        <v>272</v>
      </c>
      <c r="N969" t="s">
        <v>253</v>
      </c>
      <c r="O969" t="s">
        <v>3333</v>
      </c>
      <c r="P969" t="s">
        <v>3345</v>
      </c>
      <c r="Q969" t="s">
        <v>2690</v>
      </c>
    </row>
    <row r="970" spans="1:17">
      <c r="A970" s="2" t="s">
        <v>619</v>
      </c>
      <c r="B970" s="2" t="s">
        <v>619</v>
      </c>
      <c r="C970" s="2" t="s">
        <v>3346</v>
      </c>
      <c r="D970" s="11">
        <v>45976.555555555555</v>
      </c>
      <c r="E970" s="11">
        <v>45976.555555555555</v>
      </c>
      <c r="F970" s="11">
        <v>45976.694444444445</v>
      </c>
      <c r="G970" s="12">
        <v>0.13888888889050577</v>
      </c>
      <c r="H970" s="2" t="s">
        <v>268</v>
      </c>
      <c r="I970" s="2" t="s">
        <v>269</v>
      </c>
      <c r="J970" s="2" t="s">
        <v>270</v>
      </c>
      <c r="K970" s="2" t="s">
        <v>674</v>
      </c>
      <c r="L970" s="2" t="s">
        <v>3332</v>
      </c>
      <c r="M970" t="s">
        <v>272</v>
      </c>
      <c r="N970" t="s">
        <v>253</v>
      </c>
      <c r="O970" t="s">
        <v>3333</v>
      </c>
      <c r="P970" t="s">
        <v>3347</v>
      </c>
      <c r="Q970" t="s">
        <v>2690</v>
      </c>
    </row>
    <row r="971" spans="1:17">
      <c r="A971" s="2" t="s">
        <v>619</v>
      </c>
      <c r="B971" s="2" t="s">
        <v>619</v>
      </c>
      <c r="C971" s="2" t="s">
        <v>3348</v>
      </c>
      <c r="D971" s="11">
        <v>45976.555555555555</v>
      </c>
      <c r="E971" s="11">
        <v>45976.555555555555</v>
      </c>
      <c r="F971" s="11">
        <v>45976.694444444445</v>
      </c>
      <c r="G971" s="12">
        <v>0.13888888889050577</v>
      </c>
      <c r="H971" s="2" t="s">
        <v>268</v>
      </c>
      <c r="I971" s="2" t="s">
        <v>269</v>
      </c>
      <c r="J971" s="2" t="s">
        <v>270</v>
      </c>
      <c r="K971" s="2" t="s">
        <v>674</v>
      </c>
      <c r="L971" s="2" t="s">
        <v>3332</v>
      </c>
      <c r="M971" t="s">
        <v>272</v>
      </c>
      <c r="N971" t="s">
        <v>253</v>
      </c>
      <c r="O971" t="s">
        <v>3333</v>
      </c>
      <c r="P971" t="s">
        <v>3349</v>
      </c>
      <c r="Q971" t="s">
        <v>2690</v>
      </c>
    </row>
    <row r="972" spans="1:17">
      <c r="A972" s="2" t="s">
        <v>619</v>
      </c>
      <c r="B972" s="2" t="s">
        <v>619</v>
      </c>
      <c r="C972" s="2" t="s">
        <v>3350</v>
      </c>
      <c r="D972" s="11">
        <v>45976.555555555555</v>
      </c>
      <c r="E972" s="11">
        <v>45976.555555555555</v>
      </c>
      <c r="F972" s="11">
        <v>45976.694444444445</v>
      </c>
      <c r="G972" s="12">
        <v>0.13888888889050577</v>
      </c>
      <c r="H972" s="2" t="s">
        <v>268</v>
      </c>
      <c r="I972" s="2" t="s">
        <v>269</v>
      </c>
      <c r="J972" s="2" t="s">
        <v>270</v>
      </c>
      <c r="K972" s="2" t="s">
        <v>674</v>
      </c>
      <c r="L972" s="2" t="s">
        <v>3332</v>
      </c>
      <c r="M972" t="s">
        <v>272</v>
      </c>
      <c r="N972" t="s">
        <v>253</v>
      </c>
      <c r="O972" t="s">
        <v>3333</v>
      </c>
      <c r="P972" t="s">
        <v>3351</v>
      </c>
      <c r="Q972" t="s">
        <v>2690</v>
      </c>
    </row>
    <row r="973" spans="1:17">
      <c r="A973" s="2" t="s">
        <v>573</v>
      </c>
      <c r="B973" s="2" t="s">
        <v>573</v>
      </c>
      <c r="C973" s="2" t="s">
        <v>3352</v>
      </c>
      <c r="D973" s="11">
        <v>45976.555555555555</v>
      </c>
      <c r="E973" s="11">
        <v>45976.555555555555</v>
      </c>
      <c r="F973" s="11">
        <v>45976.694444444445</v>
      </c>
      <c r="G973" s="12">
        <v>0.13888888889050577</v>
      </c>
      <c r="H973" s="2" t="s">
        <v>268</v>
      </c>
      <c r="I973" s="2" t="s">
        <v>269</v>
      </c>
      <c r="J973" s="2" t="s">
        <v>270</v>
      </c>
      <c r="K973" s="2" t="s">
        <v>674</v>
      </c>
      <c r="L973" s="2" t="s">
        <v>3332</v>
      </c>
      <c r="M973" t="s">
        <v>272</v>
      </c>
      <c r="N973" t="s">
        <v>253</v>
      </c>
      <c r="O973" t="s">
        <v>3333</v>
      </c>
      <c r="P973" t="s">
        <v>3353</v>
      </c>
      <c r="Q973" t="s">
        <v>2690</v>
      </c>
    </row>
    <row r="974" spans="1:17">
      <c r="A974" s="2" t="s">
        <v>573</v>
      </c>
      <c r="B974" s="2" t="s">
        <v>573</v>
      </c>
      <c r="C974" s="2" t="s">
        <v>3340</v>
      </c>
      <c r="D974" s="11">
        <v>45976.555555555555</v>
      </c>
      <c r="E974" s="11">
        <v>45976.555555555555</v>
      </c>
      <c r="F974" s="11">
        <v>45976.694444444445</v>
      </c>
      <c r="G974" s="12">
        <v>0.13888888889050577</v>
      </c>
      <c r="H974" s="2" t="s">
        <v>268</v>
      </c>
      <c r="I974" s="2" t="s">
        <v>269</v>
      </c>
      <c r="J974" s="2" t="s">
        <v>270</v>
      </c>
      <c r="K974" s="2" t="s">
        <v>674</v>
      </c>
      <c r="L974" s="2" t="s">
        <v>3332</v>
      </c>
      <c r="M974" t="s">
        <v>272</v>
      </c>
      <c r="N974" t="s">
        <v>253</v>
      </c>
      <c r="O974" t="s">
        <v>3333</v>
      </c>
      <c r="P974" t="s">
        <v>3354</v>
      </c>
      <c r="Q974" t="s">
        <v>2690</v>
      </c>
    </row>
    <row r="975" spans="1:17">
      <c r="A975" s="2" t="s">
        <v>573</v>
      </c>
      <c r="B975" s="2" t="s">
        <v>573</v>
      </c>
      <c r="C975" s="2" t="s">
        <v>3355</v>
      </c>
      <c r="D975" s="11">
        <v>45976.555555555555</v>
      </c>
      <c r="E975" s="11">
        <v>45976.555555555555</v>
      </c>
      <c r="F975" s="11">
        <v>45976.694444444445</v>
      </c>
      <c r="G975" s="12">
        <v>0.13888888889050577</v>
      </c>
      <c r="H975" s="2" t="s">
        <v>268</v>
      </c>
      <c r="I975" s="2" t="s">
        <v>269</v>
      </c>
      <c r="J975" s="2" t="s">
        <v>270</v>
      </c>
      <c r="K975" s="2" t="s">
        <v>674</v>
      </c>
      <c r="L975" s="2" t="s">
        <v>3332</v>
      </c>
      <c r="M975" t="s">
        <v>272</v>
      </c>
      <c r="N975" t="s">
        <v>253</v>
      </c>
      <c r="O975" t="s">
        <v>3333</v>
      </c>
      <c r="P975" t="s">
        <v>3356</v>
      </c>
      <c r="Q975" t="s">
        <v>2690</v>
      </c>
    </row>
    <row r="976" spans="1:17">
      <c r="A976" s="2" t="s">
        <v>327</v>
      </c>
      <c r="B976" s="2" t="s">
        <v>327</v>
      </c>
      <c r="C976" s="2" t="s">
        <v>247</v>
      </c>
      <c r="D976" s="11">
        <v>45976.726388888892</v>
      </c>
      <c r="E976" s="11">
        <v>45976.726388888892</v>
      </c>
      <c r="F976" s="11">
        <v>45977.253472222219</v>
      </c>
      <c r="G976" s="12">
        <v>0.5270833333270275</v>
      </c>
      <c r="H976" s="2" t="s">
        <v>257</v>
      </c>
      <c r="J976" s="2" t="s">
        <v>258</v>
      </c>
      <c r="K976" s="2" t="s">
        <v>658</v>
      </c>
      <c r="L976" s="2" t="s">
        <v>2198</v>
      </c>
      <c r="M976" t="s">
        <v>260</v>
      </c>
      <c r="N976" t="s">
        <v>357</v>
      </c>
      <c r="O976" t="s">
        <v>632</v>
      </c>
      <c r="P976" t="s">
        <v>3357</v>
      </c>
      <c r="Q976" t="s">
        <v>2281</v>
      </c>
    </row>
    <row r="977" spans="1:17">
      <c r="A977" s="2" t="s">
        <v>246</v>
      </c>
      <c r="B977" s="2" t="s">
        <v>246</v>
      </c>
      <c r="C977" s="2" t="s">
        <v>247</v>
      </c>
      <c r="D977" s="11">
        <v>45976.726388888892</v>
      </c>
      <c r="E977" s="11">
        <v>45976.726388888892</v>
      </c>
      <c r="F977" s="11">
        <v>45977.253472222219</v>
      </c>
      <c r="G977" s="12">
        <v>0.5270833333270275</v>
      </c>
      <c r="H977" s="2" t="s">
        <v>257</v>
      </c>
      <c r="J977" s="2" t="s">
        <v>258</v>
      </c>
      <c r="K977" s="2" t="s">
        <v>658</v>
      </c>
      <c r="L977" s="2" t="s">
        <v>2198</v>
      </c>
      <c r="M977" t="s">
        <v>260</v>
      </c>
      <c r="N977" t="s">
        <v>357</v>
      </c>
      <c r="O977" t="s">
        <v>632</v>
      </c>
      <c r="P977" t="s">
        <v>3358</v>
      </c>
      <c r="Q977" t="s">
        <v>2281</v>
      </c>
    </row>
    <row r="978" spans="1:17">
      <c r="A978" s="2" t="s">
        <v>328</v>
      </c>
      <c r="B978" s="2" t="s">
        <v>328</v>
      </c>
      <c r="C978" s="2" t="s">
        <v>247</v>
      </c>
      <c r="D978" s="11">
        <v>45976.726388888892</v>
      </c>
      <c r="E978" s="11">
        <v>45976.726388888892</v>
      </c>
      <c r="F978" s="11">
        <v>45977.253472222219</v>
      </c>
      <c r="G978" s="12">
        <v>0.5270833333270275</v>
      </c>
      <c r="H978" s="2" t="s">
        <v>257</v>
      </c>
      <c r="J978" s="2" t="s">
        <v>258</v>
      </c>
      <c r="K978" s="2" t="s">
        <v>658</v>
      </c>
      <c r="L978" s="2" t="s">
        <v>2198</v>
      </c>
      <c r="M978" t="s">
        <v>260</v>
      </c>
      <c r="N978" t="s">
        <v>357</v>
      </c>
      <c r="O978" t="s">
        <v>632</v>
      </c>
      <c r="P978" t="s">
        <v>3359</v>
      </c>
      <c r="Q978" t="s">
        <v>2281</v>
      </c>
    </row>
    <row r="979" spans="1:17">
      <c r="A979" s="2" t="s">
        <v>329</v>
      </c>
      <c r="B979" s="2" t="s">
        <v>329</v>
      </c>
      <c r="C979" s="2" t="s">
        <v>247</v>
      </c>
      <c r="D979" s="11">
        <v>45976.726388888892</v>
      </c>
      <c r="E979" s="11">
        <v>45976.726388888892</v>
      </c>
      <c r="F979" s="11">
        <v>45977.253472222219</v>
      </c>
      <c r="G979" s="12">
        <v>0.5270833333270275</v>
      </c>
      <c r="H979" s="2" t="s">
        <v>257</v>
      </c>
      <c r="J979" s="2" t="s">
        <v>258</v>
      </c>
      <c r="K979" s="2" t="s">
        <v>658</v>
      </c>
      <c r="L979" s="2" t="s">
        <v>2198</v>
      </c>
      <c r="M979" t="s">
        <v>260</v>
      </c>
      <c r="N979" t="s">
        <v>357</v>
      </c>
      <c r="O979" t="s">
        <v>632</v>
      </c>
      <c r="P979" t="s">
        <v>3360</v>
      </c>
      <c r="Q979" t="s">
        <v>2281</v>
      </c>
    </row>
    <row r="980" spans="1:17">
      <c r="A980" s="2" t="s">
        <v>330</v>
      </c>
      <c r="B980" s="2" t="s">
        <v>330</v>
      </c>
      <c r="C980" s="2" t="s">
        <v>247</v>
      </c>
      <c r="D980" s="11">
        <v>45976.726388888892</v>
      </c>
      <c r="E980" s="11">
        <v>45976.726388888892</v>
      </c>
      <c r="F980" s="11">
        <v>45977.253472222219</v>
      </c>
      <c r="G980" s="12">
        <v>0.5270833333270275</v>
      </c>
      <c r="H980" s="2" t="s">
        <v>257</v>
      </c>
      <c r="J980" s="2" t="s">
        <v>258</v>
      </c>
      <c r="K980" s="2" t="s">
        <v>658</v>
      </c>
      <c r="L980" s="2" t="s">
        <v>2198</v>
      </c>
      <c r="M980" t="s">
        <v>260</v>
      </c>
      <c r="N980" t="s">
        <v>357</v>
      </c>
      <c r="O980" t="s">
        <v>632</v>
      </c>
      <c r="P980" t="s">
        <v>3361</v>
      </c>
      <c r="Q980" t="s">
        <v>2281</v>
      </c>
    </row>
    <row r="981" spans="1:17">
      <c r="A981" s="2" t="s">
        <v>785</v>
      </c>
      <c r="B981" s="2" t="s">
        <v>785</v>
      </c>
      <c r="C981" s="2" t="s">
        <v>247</v>
      </c>
      <c r="D981" s="11">
        <v>45976.731944444444</v>
      </c>
      <c r="E981" s="11">
        <v>45976.731944444444</v>
      </c>
      <c r="F981" s="11">
        <v>45977.486111111109</v>
      </c>
      <c r="G981" s="12">
        <v>0.75416666666569654</v>
      </c>
      <c r="H981" s="2" t="s">
        <v>268</v>
      </c>
      <c r="I981" s="2" t="s">
        <v>269</v>
      </c>
      <c r="J981" s="2" t="s">
        <v>319</v>
      </c>
      <c r="K981" s="2" t="s">
        <v>652</v>
      </c>
      <c r="L981" s="2" t="s">
        <v>3362</v>
      </c>
      <c r="M981" t="s">
        <v>289</v>
      </c>
      <c r="N981" t="s">
        <v>253</v>
      </c>
      <c r="O981" t="s">
        <v>3363</v>
      </c>
      <c r="P981" t="s">
        <v>3364</v>
      </c>
      <c r="Q981" t="s">
        <v>2713</v>
      </c>
    </row>
    <row r="982" spans="1:17">
      <c r="A982" s="2" t="s">
        <v>785</v>
      </c>
      <c r="B982" s="2" t="s">
        <v>785</v>
      </c>
      <c r="C982" s="2" t="s">
        <v>790</v>
      </c>
      <c r="D982" s="11">
        <v>45976.731944444444</v>
      </c>
      <c r="E982" s="11">
        <v>45976.731944444444</v>
      </c>
      <c r="F982" s="11">
        <v>45977.486111111109</v>
      </c>
      <c r="G982" s="12">
        <v>0.75416666666569654</v>
      </c>
      <c r="H982" s="2" t="s">
        <v>268</v>
      </c>
      <c r="I982" s="2" t="s">
        <v>269</v>
      </c>
      <c r="J982" s="2" t="s">
        <v>319</v>
      </c>
      <c r="K982" s="2" t="s">
        <v>652</v>
      </c>
      <c r="L982" s="2" t="s">
        <v>3362</v>
      </c>
      <c r="M982" t="s">
        <v>289</v>
      </c>
      <c r="N982" t="s">
        <v>253</v>
      </c>
      <c r="O982" t="s">
        <v>3363</v>
      </c>
      <c r="P982" t="s">
        <v>3365</v>
      </c>
      <c r="Q982" t="s">
        <v>2713</v>
      </c>
    </row>
    <row r="983" spans="1:17">
      <c r="A983" s="2" t="s">
        <v>785</v>
      </c>
      <c r="B983" s="2" t="s">
        <v>785</v>
      </c>
      <c r="C983" s="2" t="s">
        <v>3336</v>
      </c>
      <c r="D983" s="11">
        <v>45976.731944444444</v>
      </c>
      <c r="E983" s="11">
        <v>45976.731944444444</v>
      </c>
      <c r="F983" s="11">
        <v>45977.486111111109</v>
      </c>
      <c r="G983" s="12">
        <v>0.75416666666569654</v>
      </c>
      <c r="H983" s="2" t="s">
        <v>268</v>
      </c>
      <c r="I983" s="2" t="s">
        <v>269</v>
      </c>
      <c r="J983" s="2" t="s">
        <v>319</v>
      </c>
      <c r="K983" s="2" t="s">
        <v>652</v>
      </c>
      <c r="L983" s="2" t="s">
        <v>3362</v>
      </c>
      <c r="M983" t="s">
        <v>289</v>
      </c>
      <c r="N983" t="s">
        <v>253</v>
      </c>
      <c r="O983" t="s">
        <v>3363</v>
      </c>
      <c r="P983" t="s">
        <v>3366</v>
      </c>
      <c r="Q983" t="s">
        <v>2713</v>
      </c>
    </row>
    <row r="984" spans="1:17">
      <c r="A984" s="2" t="s">
        <v>785</v>
      </c>
      <c r="B984" s="2" t="s">
        <v>785</v>
      </c>
      <c r="C984" s="2" t="s">
        <v>3338</v>
      </c>
      <c r="D984" s="11">
        <v>45976.731944444444</v>
      </c>
      <c r="E984" s="11">
        <v>45976.731944444444</v>
      </c>
      <c r="F984" s="11">
        <v>45977.486111111109</v>
      </c>
      <c r="G984" s="12">
        <v>0.75416666666569654</v>
      </c>
      <c r="H984" s="2" t="s">
        <v>268</v>
      </c>
      <c r="I984" s="2" t="s">
        <v>269</v>
      </c>
      <c r="J984" s="2" t="s">
        <v>319</v>
      </c>
      <c r="K984" s="2" t="s">
        <v>652</v>
      </c>
      <c r="L984" s="2" t="s">
        <v>3362</v>
      </c>
      <c r="M984" t="s">
        <v>289</v>
      </c>
      <c r="N984" t="s">
        <v>253</v>
      </c>
      <c r="O984" t="s">
        <v>3363</v>
      </c>
      <c r="P984" t="s">
        <v>3367</v>
      </c>
      <c r="Q984" t="s">
        <v>2713</v>
      </c>
    </row>
    <row r="985" spans="1:17">
      <c r="A985" s="2" t="s">
        <v>785</v>
      </c>
      <c r="B985" s="2" t="s">
        <v>785</v>
      </c>
      <c r="C985" s="2" t="s">
        <v>3340</v>
      </c>
      <c r="D985" s="11">
        <v>45976.731944444444</v>
      </c>
      <c r="E985" s="11">
        <v>45976.731944444444</v>
      </c>
      <c r="F985" s="11">
        <v>45977.486111111109</v>
      </c>
      <c r="G985" s="12">
        <v>0.75416666666569654</v>
      </c>
      <c r="H985" s="2" t="s">
        <v>268</v>
      </c>
      <c r="I985" s="2" t="s">
        <v>269</v>
      </c>
      <c r="J985" s="2" t="s">
        <v>319</v>
      </c>
      <c r="K985" s="2" t="s">
        <v>652</v>
      </c>
      <c r="L985" s="2" t="s">
        <v>3362</v>
      </c>
      <c r="M985" t="s">
        <v>289</v>
      </c>
      <c r="N985" t="s">
        <v>253</v>
      </c>
      <c r="O985" t="s">
        <v>3363</v>
      </c>
      <c r="P985" t="s">
        <v>3368</v>
      </c>
      <c r="Q985" t="s">
        <v>2713</v>
      </c>
    </row>
    <row r="986" spans="1:17">
      <c r="A986" s="2" t="s">
        <v>619</v>
      </c>
      <c r="B986" s="2" t="s">
        <v>619</v>
      </c>
      <c r="C986" s="2" t="s">
        <v>3342</v>
      </c>
      <c r="D986" s="11">
        <v>45976.731944444444</v>
      </c>
      <c r="E986" s="11">
        <v>45976.731944444444</v>
      </c>
      <c r="F986" s="11">
        <v>45977.486111111109</v>
      </c>
      <c r="G986" s="12">
        <v>0.75416666666569654</v>
      </c>
      <c r="H986" s="2" t="s">
        <v>268</v>
      </c>
      <c r="I986" s="2" t="s">
        <v>269</v>
      </c>
      <c r="J986" s="2" t="s">
        <v>319</v>
      </c>
      <c r="K986" s="2" t="s">
        <v>652</v>
      </c>
      <c r="L986" s="2" t="s">
        <v>3362</v>
      </c>
      <c r="M986" t="s">
        <v>289</v>
      </c>
      <c r="N986" t="s">
        <v>253</v>
      </c>
      <c r="O986" t="s">
        <v>3363</v>
      </c>
      <c r="P986" t="s">
        <v>3369</v>
      </c>
      <c r="Q986" t="s">
        <v>2713</v>
      </c>
    </row>
    <row r="987" spans="1:17">
      <c r="A987" s="2" t="s">
        <v>619</v>
      </c>
      <c r="B987" s="2" t="s">
        <v>619</v>
      </c>
      <c r="C987" s="2" t="s">
        <v>3344</v>
      </c>
      <c r="D987" s="11">
        <v>45976.731944444444</v>
      </c>
      <c r="E987" s="11">
        <v>45976.731944444444</v>
      </c>
      <c r="F987" s="11">
        <v>45977.486111111109</v>
      </c>
      <c r="G987" s="12">
        <v>0.75416666666569654</v>
      </c>
      <c r="H987" s="2" t="s">
        <v>268</v>
      </c>
      <c r="I987" s="2" t="s">
        <v>269</v>
      </c>
      <c r="J987" s="2" t="s">
        <v>319</v>
      </c>
      <c r="K987" s="2" t="s">
        <v>652</v>
      </c>
      <c r="L987" s="2" t="s">
        <v>3362</v>
      </c>
      <c r="M987" t="s">
        <v>289</v>
      </c>
      <c r="N987" t="s">
        <v>253</v>
      </c>
      <c r="O987" t="s">
        <v>3363</v>
      </c>
      <c r="P987" t="s">
        <v>3370</v>
      </c>
      <c r="Q987" t="s">
        <v>2713</v>
      </c>
    </row>
    <row r="988" spans="1:17">
      <c r="A988" s="2" t="s">
        <v>619</v>
      </c>
      <c r="B988" s="2" t="s">
        <v>619</v>
      </c>
      <c r="C988" s="2" t="s">
        <v>3346</v>
      </c>
      <c r="D988" s="11">
        <v>45976.731944444444</v>
      </c>
      <c r="E988" s="11">
        <v>45976.731944444444</v>
      </c>
      <c r="F988" s="11">
        <v>45977.486111111109</v>
      </c>
      <c r="G988" s="12">
        <v>0.75416666666569654</v>
      </c>
      <c r="H988" s="2" t="s">
        <v>268</v>
      </c>
      <c r="I988" s="2" t="s">
        <v>269</v>
      </c>
      <c r="J988" s="2" t="s">
        <v>319</v>
      </c>
      <c r="K988" s="2" t="s">
        <v>652</v>
      </c>
      <c r="L988" s="2" t="s">
        <v>3362</v>
      </c>
      <c r="M988" t="s">
        <v>289</v>
      </c>
      <c r="N988" t="s">
        <v>253</v>
      </c>
      <c r="O988" t="s">
        <v>3363</v>
      </c>
      <c r="P988" t="s">
        <v>3371</v>
      </c>
      <c r="Q988" t="s">
        <v>2713</v>
      </c>
    </row>
    <row r="989" spans="1:17">
      <c r="A989" s="2" t="s">
        <v>619</v>
      </c>
      <c r="B989" s="2" t="s">
        <v>619</v>
      </c>
      <c r="C989" s="2" t="s">
        <v>3348</v>
      </c>
      <c r="D989" s="11">
        <v>45976.731944444444</v>
      </c>
      <c r="E989" s="11">
        <v>45976.731944444444</v>
      </c>
      <c r="F989" s="11">
        <v>45977.486111111109</v>
      </c>
      <c r="G989" s="12">
        <v>0.75416666666569654</v>
      </c>
      <c r="H989" s="2" t="s">
        <v>268</v>
      </c>
      <c r="I989" s="2" t="s">
        <v>269</v>
      </c>
      <c r="J989" s="2" t="s">
        <v>319</v>
      </c>
      <c r="K989" s="2" t="s">
        <v>652</v>
      </c>
      <c r="L989" s="2" t="s">
        <v>3362</v>
      </c>
      <c r="M989" t="s">
        <v>289</v>
      </c>
      <c r="N989" t="s">
        <v>253</v>
      </c>
      <c r="O989" t="s">
        <v>3363</v>
      </c>
      <c r="P989" t="s">
        <v>3372</v>
      </c>
      <c r="Q989" t="s">
        <v>2713</v>
      </c>
    </row>
    <row r="990" spans="1:17">
      <c r="A990" s="2" t="s">
        <v>619</v>
      </c>
      <c r="B990" s="2" t="s">
        <v>619</v>
      </c>
      <c r="C990" s="2" t="s">
        <v>3350</v>
      </c>
      <c r="D990" s="11">
        <v>45976.731944444444</v>
      </c>
      <c r="E990" s="11">
        <v>45976.731944444444</v>
      </c>
      <c r="F990" s="11">
        <v>45977.486111111109</v>
      </c>
      <c r="G990" s="12">
        <v>0.75416666666569654</v>
      </c>
      <c r="H990" s="2" t="s">
        <v>268</v>
      </c>
      <c r="I990" s="2" t="s">
        <v>269</v>
      </c>
      <c r="J990" s="2" t="s">
        <v>319</v>
      </c>
      <c r="K990" s="2" t="s">
        <v>652</v>
      </c>
      <c r="L990" s="2" t="s">
        <v>3362</v>
      </c>
      <c r="M990" t="s">
        <v>289</v>
      </c>
      <c r="N990" t="s">
        <v>253</v>
      </c>
      <c r="O990" t="s">
        <v>3363</v>
      </c>
      <c r="P990" t="s">
        <v>3373</v>
      </c>
      <c r="Q990" t="s">
        <v>2713</v>
      </c>
    </row>
    <row r="991" spans="1:17">
      <c r="A991" s="2" t="s">
        <v>573</v>
      </c>
      <c r="B991" s="2" t="s">
        <v>573</v>
      </c>
      <c r="C991" s="2" t="s">
        <v>3352</v>
      </c>
      <c r="D991" s="11">
        <v>45976.731944444444</v>
      </c>
      <c r="E991" s="11">
        <v>45976.731944444444</v>
      </c>
      <c r="F991" s="11">
        <v>45977.486111111109</v>
      </c>
      <c r="G991" s="12">
        <v>0.75416666666569654</v>
      </c>
      <c r="H991" s="2" t="s">
        <v>268</v>
      </c>
      <c r="I991" s="2" t="s">
        <v>269</v>
      </c>
      <c r="J991" s="2" t="s">
        <v>319</v>
      </c>
      <c r="K991" s="2" t="s">
        <v>652</v>
      </c>
      <c r="L991" s="2" t="s">
        <v>3362</v>
      </c>
      <c r="M991" t="s">
        <v>289</v>
      </c>
      <c r="N991" t="s">
        <v>253</v>
      </c>
      <c r="O991" t="s">
        <v>3363</v>
      </c>
      <c r="P991" t="s">
        <v>3374</v>
      </c>
      <c r="Q991" t="s">
        <v>2713</v>
      </c>
    </row>
    <row r="992" spans="1:17">
      <c r="A992" s="2" t="s">
        <v>573</v>
      </c>
      <c r="B992" s="2" t="s">
        <v>573</v>
      </c>
      <c r="C992" s="2" t="s">
        <v>3340</v>
      </c>
      <c r="D992" s="11">
        <v>45976.731944444444</v>
      </c>
      <c r="E992" s="11">
        <v>45976.731944444444</v>
      </c>
      <c r="F992" s="11">
        <v>45977.486111111109</v>
      </c>
      <c r="G992" s="12">
        <v>0.75416666666569654</v>
      </c>
      <c r="H992" s="2" t="s">
        <v>268</v>
      </c>
      <c r="I992" s="2" t="s">
        <v>269</v>
      </c>
      <c r="J992" s="2" t="s">
        <v>319</v>
      </c>
      <c r="K992" s="2" t="s">
        <v>652</v>
      </c>
      <c r="L992" s="2" t="s">
        <v>3362</v>
      </c>
      <c r="M992" t="s">
        <v>289</v>
      </c>
      <c r="N992" t="s">
        <v>253</v>
      </c>
      <c r="O992" t="s">
        <v>3363</v>
      </c>
      <c r="P992" t="s">
        <v>3375</v>
      </c>
      <c r="Q992" t="s">
        <v>2713</v>
      </c>
    </row>
    <row r="993" spans="1:17">
      <c r="A993" s="2" t="s">
        <v>573</v>
      </c>
      <c r="B993" s="2" t="s">
        <v>573</v>
      </c>
      <c r="C993" s="2" t="s">
        <v>3355</v>
      </c>
      <c r="D993" s="11">
        <v>45976.731944444444</v>
      </c>
      <c r="E993" s="11">
        <v>45976.731944444444</v>
      </c>
      <c r="F993" s="11">
        <v>45977.486111111109</v>
      </c>
      <c r="G993" s="12">
        <v>0.75416666666569654</v>
      </c>
      <c r="H993" s="2" t="s">
        <v>268</v>
      </c>
      <c r="I993" s="2" t="s">
        <v>269</v>
      </c>
      <c r="J993" s="2" t="s">
        <v>319</v>
      </c>
      <c r="K993" s="2" t="s">
        <v>652</v>
      </c>
      <c r="L993" s="2" t="s">
        <v>3362</v>
      </c>
      <c r="M993" t="s">
        <v>289</v>
      </c>
      <c r="N993" t="s">
        <v>253</v>
      </c>
      <c r="O993" t="s">
        <v>3363</v>
      </c>
      <c r="P993" t="s">
        <v>3376</v>
      </c>
      <c r="Q993" t="s">
        <v>2713</v>
      </c>
    </row>
    <row r="994" spans="1:17">
      <c r="A994" s="2" t="s">
        <v>2132</v>
      </c>
      <c r="B994" s="2" t="s">
        <v>456</v>
      </c>
      <c r="C994" s="2" t="s">
        <v>460</v>
      </c>
      <c r="D994" s="11">
        <v>45977.215972164355</v>
      </c>
      <c r="E994" s="11">
        <v>45977.215972164355</v>
      </c>
      <c r="F994" s="11">
        <v>45977.359722222223</v>
      </c>
      <c r="G994" s="12">
        <v>0.14375005786860129</v>
      </c>
      <c r="H994" s="2" t="s">
        <v>257</v>
      </c>
      <c r="J994" s="2" t="s">
        <v>258</v>
      </c>
      <c r="K994" s="2" t="s">
        <v>658</v>
      </c>
      <c r="L994" s="2" t="s">
        <v>2286</v>
      </c>
      <c r="M994" t="s">
        <v>260</v>
      </c>
      <c r="N994" t="s">
        <v>357</v>
      </c>
      <c r="O994" t="s">
        <v>632</v>
      </c>
      <c r="P994" t="s">
        <v>3377</v>
      </c>
      <c r="Q994" t="s">
        <v>2281</v>
      </c>
    </row>
    <row r="995" spans="1:17">
      <c r="A995" s="2" t="s">
        <v>2132</v>
      </c>
      <c r="B995" s="2" t="s">
        <v>456</v>
      </c>
      <c r="C995" s="2" t="s">
        <v>461</v>
      </c>
      <c r="D995" s="11">
        <v>45977.215972164355</v>
      </c>
      <c r="E995" s="11">
        <v>45977.215972164355</v>
      </c>
      <c r="F995" s="11">
        <v>45977.359722222223</v>
      </c>
      <c r="G995" s="12">
        <v>0.14375005786860129</v>
      </c>
      <c r="H995" s="2" t="s">
        <v>257</v>
      </c>
      <c r="J995" s="2" t="s">
        <v>258</v>
      </c>
      <c r="K995" s="2" t="s">
        <v>658</v>
      </c>
      <c r="L995" s="2" t="s">
        <v>2286</v>
      </c>
      <c r="M995" t="s">
        <v>260</v>
      </c>
      <c r="N995" t="s">
        <v>357</v>
      </c>
      <c r="O995" t="s">
        <v>632</v>
      </c>
      <c r="P995" t="s">
        <v>3378</v>
      </c>
      <c r="Q995" t="s">
        <v>2281</v>
      </c>
    </row>
    <row r="996" spans="1:17">
      <c r="A996" s="2" t="s">
        <v>2132</v>
      </c>
      <c r="B996" s="2" t="s">
        <v>456</v>
      </c>
      <c r="C996" s="2" t="s">
        <v>462</v>
      </c>
      <c r="D996" s="11">
        <v>45977.215972164355</v>
      </c>
      <c r="E996" s="11">
        <v>45977.215972164355</v>
      </c>
      <c r="F996" s="11">
        <v>45977.359722222223</v>
      </c>
      <c r="G996" s="12">
        <v>0.14375005786860129</v>
      </c>
      <c r="H996" s="2" t="s">
        <v>257</v>
      </c>
      <c r="J996" s="2" t="s">
        <v>258</v>
      </c>
      <c r="K996" s="2" t="s">
        <v>658</v>
      </c>
      <c r="L996" s="2" t="s">
        <v>2286</v>
      </c>
      <c r="M996" t="s">
        <v>260</v>
      </c>
      <c r="N996" t="s">
        <v>357</v>
      </c>
      <c r="O996" t="s">
        <v>632</v>
      </c>
      <c r="P996" t="s">
        <v>3379</v>
      </c>
      <c r="Q996" t="s">
        <v>2281</v>
      </c>
    </row>
    <row r="997" spans="1:17">
      <c r="A997" s="2" t="s">
        <v>2132</v>
      </c>
      <c r="B997" s="2" t="s">
        <v>456</v>
      </c>
      <c r="C997" s="2" t="s">
        <v>463</v>
      </c>
      <c r="D997" s="11">
        <v>45977.215972164355</v>
      </c>
      <c r="E997" s="11">
        <v>45977.215972164355</v>
      </c>
      <c r="F997" s="11">
        <v>45977.359722222223</v>
      </c>
      <c r="G997" s="12">
        <v>0.14375005786860129</v>
      </c>
      <c r="H997" s="2" t="s">
        <v>257</v>
      </c>
      <c r="J997" s="2" t="s">
        <v>258</v>
      </c>
      <c r="K997" s="2" t="s">
        <v>658</v>
      </c>
      <c r="L997" s="2" t="s">
        <v>2286</v>
      </c>
      <c r="M997" t="s">
        <v>260</v>
      </c>
      <c r="N997" t="s">
        <v>357</v>
      </c>
      <c r="O997" t="s">
        <v>632</v>
      </c>
      <c r="P997" t="s">
        <v>3380</v>
      </c>
      <c r="Q997" t="s">
        <v>2281</v>
      </c>
    </row>
    <row r="998" spans="1:17">
      <c r="A998" s="2" t="s">
        <v>2132</v>
      </c>
      <c r="B998" s="2" t="s">
        <v>456</v>
      </c>
      <c r="C998" s="2" t="s">
        <v>464</v>
      </c>
      <c r="D998" s="11">
        <v>45977.215972164355</v>
      </c>
      <c r="E998" s="11">
        <v>45977.215972164355</v>
      </c>
      <c r="F998" s="11">
        <v>45977.359722222223</v>
      </c>
      <c r="G998" s="12">
        <v>0.14375005786860129</v>
      </c>
      <c r="H998" s="2" t="s">
        <v>257</v>
      </c>
      <c r="J998" s="2" t="s">
        <v>258</v>
      </c>
      <c r="K998" s="2" t="s">
        <v>658</v>
      </c>
      <c r="L998" s="2" t="s">
        <v>2286</v>
      </c>
      <c r="M998" t="s">
        <v>260</v>
      </c>
      <c r="N998" t="s">
        <v>357</v>
      </c>
      <c r="O998" t="s">
        <v>632</v>
      </c>
      <c r="P998" t="s">
        <v>3381</v>
      </c>
      <c r="Q998" t="s">
        <v>2281</v>
      </c>
    </row>
    <row r="999" spans="1:17">
      <c r="A999" s="2" t="s">
        <v>2132</v>
      </c>
      <c r="B999" s="2" t="s">
        <v>456</v>
      </c>
      <c r="C999" s="2" t="s">
        <v>465</v>
      </c>
      <c r="D999" s="11">
        <v>45977.215972164355</v>
      </c>
      <c r="E999" s="11">
        <v>45977.215972164355</v>
      </c>
      <c r="F999" s="11">
        <v>45977.359722222223</v>
      </c>
      <c r="G999" s="12">
        <v>0.14375005786860129</v>
      </c>
      <c r="H999" s="2" t="s">
        <v>257</v>
      </c>
      <c r="J999" s="2" t="s">
        <v>258</v>
      </c>
      <c r="K999" s="2" t="s">
        <v>658</v>
      </c>
      <c r="L999" s="2" t="s">
        <v>2286</v>
      </c>
      <c r="M999" t="s">
        <v>260</v>
      </c>
      <c r="N999" t="s">
        <v>357</v>
      </c>
      <c r="O999" t="s">
        <v>632</v>
      </c>
      <c r="P999" t="s">
        <v>3382</v>
      </c>
      <c r="Q999" t="s">
        <v>2281</v>
      </c>
    </row>
    <row r="1000" spans="1:17">
      <c r="A1000" s="2" t="s">
        <v>2133</v>
      </c>
      <c r="B1000" s="2" t="s">
        <v>456</v>
      </c>
      <c r="C1000" s="2" t="s">
        <v>466</v>
      </c>
      <c r="D1000" s="11">
        <v>45977.215972164355</v>
      </c>
      <c r="E1000" s="11">
        <v>45977.215972164355</v>
      </c>
      <c r="F1000" s="11">
        <v>45977.359722222223</v>
      </c>
      <c r="G1000" s="12">
        <v>0.14375005786860129</v>
      </c>
      <c r="H1000" s="2" t="s">
        <v>257</v>
      </c>
      <c r="J1000" s="2" t="s">
        <v>258</v>
      </c>
      <c r="K1000" s="2" t="s">
        <v>658</v>
      </c>
      <c r="L1000" s="2" t="s">
        <v>2286</v>
      </c>
      <c r="M1000" t="s">
        <v>260</v>
      </c>
      <c r="N1000" t="s">
        <v>357</v>
      </c>
      <c r="O1000" t="s">
        <v>632</v>
      </c>
      <c r="P1000" t="s">
        <v>3383</v>
      </c>
      <c r="Q1000" t="s">
        <v>2281</v>
      </c>
    </row>
    <row r="1001" spans="1:17">
      <c r="A1001" s="2" t="s">
        <v>2133</v>
      </c>
      <c r="B1001" s="2" t="s">
        <v>456</v>
      </c>
      <c r="C1001" s="2" t="s">
        <v>467</v>
      </c>
      <c r="D1001" s="11">
        <v>45977.215972164355</v>
      </c>
      <c r="E1001" s="11">
        <v>45977.215972164355</v>
      </c>
      <c r="F1001" s="11">
        <v>45977.359722222223</v>
      </c>
      <c r="G1001" s="12">
        <v>0.14375005786860129</v>
      </c>
      <c r="H1001" s="2" t="s">
        <v>257</v>
      </c>
      <c r="J1001" s="2" t="s">
        <v>258</v>
      </c>
      <c r="K1001" s="2" t="s">
        <v>658</v>
      </c>
      <c r="L1001" s="2" t="s">
        <v>2286</v>
      </c>
      <c r="M1001" t="s">
        <v>260</v>
      </c>
      <c r="N1001" t="s">
        <v>357</v>
      </c>
      <c r="O1001" t="s">
        <v>632</v>
      </c>
      <c r="P1001" t="s">
        <v>3384</v>
      </c>
      <c r="Q1001" t="s">
        <v>2281</v>
      </c>
    </row>
    <row r="1002" spans="1:17">
      <c r="A1002" s="2" t="s">
        <v>2133</v>
      </c>
      <c r="B1002" s="2" t="s">
        <v>456</v>
      </c>
      <c r="C1002" s="2" t="s">
        <v>468</v>
      </c>
      <c r="D1002" s="11">
        <v>45977.215972164355</v>
      </c>
      <c r="E1002" s="11">
        <v>45977.215972164355</v>
      </c>
      <c r="F1002" s="11">
        <v>45977.359722222223</v>
      </c>
      <c r="G1002" s="12">
        <v>0.14375005786860129</v>
      </c>
      <c r="H1002" s="2" t="s">
        <v>257</v>
      </c>
      <c r="J1002" s="2" t="s">
        <v>258</v>
      </c>
      <c r="K1002" s="2" t="s">
        <v>658</v>
      </c>
      <c r="L1002" s="2" t="s">
        <v>2286</v>
      </c>
      <c r="M1002" t="s">
        <v>260</v>
      </c>
      <c r="N1002" t="s">
        <v>357</v>
      </c>
      <c r="O1002" t="s">
        <v>632</v>
      </c>
      <c r="P1002" t="s">
        <v>3385</v>
      </c>
      <c r="Q1002" t="s">
        <v>2281</v>
      </c>
    </row>
    <row r="1003" spans="1:17">
      <c r="A1003" s="2" t="s">
        <v>2133</v>
      </c>
      <c r="B1003" s="2" t="s">
        <v>456</v>
      </c>
      <c r="C1003" s="2" t="s">
        <v>469</v>
      </c>
      <c r="D1003" s="11">
        <v>45977.215972164355</v>
      </c>
      <c r="E1003" s="11">
        <v>45977.215972164355</v>
      </c>
      <c r="F1003" s="11">
        <v>45977.359722222223</v>
      </c>
      <c r="G1003" s="12">
        <v>0.14375005786860129</v>
      </c>
      <c r="H1003" s="2" t="s">
        <v>257</v>
      </c>
      <c r="J1003" s="2" t="s">
        <v>258</v>
      </c>
      <c r="K1003" s="2" t="s">
        <v>658</v>
      </c>
      <c r="L1003" s="2" t="s">
        <v>2286</v>
      </c>
      <c r="M1003" t="s">
        <v>260</v>
      </c>
      <c r="N1003" t="s">
        <v>357</v>
      </c>
      <c r="O1003" t="s">
        <v>632</v>
      </c>
      <c r="P1003" t="s">
        <v>3386</v>
      </c>
      <c r="Q1003" t="s">
        <v>2281</v>
      </c>
    </row>
    <row r="1004" spans="1:17">
      <c r="A1004" s="2" t="s">
        <v>2133</v>
      </c>
      <c r="B1004" s="2" t="s">
        <v>456</v>
      </c>
      <c r="C1004" s="2" t="s">
        <v>470</v>
      </c>
      <c r="D1004" s="11">
        <v>45977.215972164355</v>
      </c>
      <c r="E1004" s="11">
        <v>45977.215972164355</v>
      </c>
      <c r="F1004" s="11">
        <v>45977.359722222223</v>
      </c>
      <c r="G1004" s="12">
        <v>0.14375005786860129</v>
      </c>
      <c r="H1004" s="2" t="s">
        <v>257</v>
      </c>
      <c r="J1004" s="2" t="s">
        <v>258</v>
      </c>
      <c r="K1004" s="2" t="s">
        <v>658</v>
      </c>
      <c r="L1004" s="2" t="s">
        <v>2286</v>
      </c>
      <c r="M1004" t="s">
        <v>260</v>
      </c>
      <c r="N1004" t="s">
        <v>357</v>
      </c>
      <c r="O1004" t="s">
        <v>632</v>
      </c>
      <c r="P1004" t="s">
        <v>3387</v>
      </c>
      <c r="Q1004" t="s">
        <v>2281</v>
      </c>
    </row>
    <row r="1005" spans="1:17">
      <c r="A1005" s="2" t="s">
        <v>2133</v>
      </c>
      <c r="B1005" s="2" t="s">
        <v>456</v>
      </c>
      <c r="C1005" s="2" t="s">
        <v>471</v>
      </c>
      <c r="D1005" s="11">
        <v>45977.215972164355</v>
      </c>
      <c r="E1005" s="11">
        <v>45977.215972164355</v>
      </c>
      <c r="F1005" s="11">
        <v>45977.359722222223</v>
      </c>
      <c r="G1005" s="12">
        <v>0.14375005786860129</v>
      </c>
      <c r="H1005" s="2" t="s">
        <v>257</v>
      </c>
      <c r="J1005" s="2" t="s">
        <v>258</v>
      </c>
      <c r="K1005" s="2" t="s">
        <v>658</v>
      </c>
      <c r="L1005" s="2" t="s">
        <v>2286</v>
      </c>
      <c r="M1005" t="s">
        <v>260</v>
      </c>
      <c r="N1005" t="s">
        <v>357</v>
      </c>
      <c r="O1005" t="s">
        <v>632</v>
      </c>
      <c r="P1005" t="s">
        <v>3388</v>
      </c>
      <c r="Q1005" t="s">
        <v>2281</v>
      </c>
    </row>
    <row r="1006" spans="1:17">
      <c r="A1006" s="2" t="s">
        <v>2133</v>
      </c>
      <c r="B1006" s="2" t="s">
        <v>456</v>
      </c>
      <c r="C1006" s="2" t="s">
        <v>472</v>
      </c>
      <c r="D1006" s="11">
        <v>45977.215972164355</v>
      </c>
      <c r="E1006" s="11">
        <v>45977.215972164355</v>
      </c>
      <c r="F1006" s="11">
        <v>45977.359722222223</v>
      </c>
      <c r="G1006" s="12">
        <v>0.14375005786860129</v>
      </c>
      <c r="H1006" s="2" t="s">
        <v>257</v>
      </c>
      <c r="J1006" s="2" t="s">
        <v>258</v>
      </c>
      <c r="K1006" s="2" t="s">
        <v>658</v>
      </c>
      <c r="L1006" s="2" t="s">
        <v>2286</v>
      </c>
      <c r="M1006" t="s">
        <v>260</v>
      </c>
      <c r="N1006" t="s">
        <v>357</v>
      </c>
      <c r="O1006" t="s">
        <v>632</v>
      </c>
      <c r="P1006" t="s">
        <v>3389</v>
      </c>
      <c r="Q1006" t="s">
        <v>2281</v>
      </c>
    </row>
    <row r="1007" spans="1:17">
      <c r="A1007" s="2" t="s">
        <v>2146</v>
      </c>
      <c r="B1007" s="2" t="s">
        <v>456</v>
      </c>
      <c r="C1007" s="2" t="s">
        <v>473</v>
      </c>
      <c r="D1007" s="11">
        <v>45977.215972164355</v>
      </c>
      <c r="E1007" s="11">
        <v>45977.215972164355</v>
      </c>
      <c r="F1007" s="11">
        <v>45977.359722222223</v>
      </c>
      <c r="G1007" s="12">
        <v>0.14375005786860129</v>
      </c>
      <c r="H1007" s="2" t="s">
        <v>257</v>
      </c>
      <c r="J1007" s="2" t="s">
        <v>258</v>
      </c>
      <c r="K1007" s="2" t="s">
        <v>658</v>
      </c>
      <c r="L1007" s="2" t="s">
        <v>2286</v>
      </c>
      <c r="M1007" t="s">
        <v>260</v>
      </c>
      <c r="N1007" t="s">
        <v>357</v>
      </c>
      <c r="O1007" t="s">
        <v>632</v>
      </c>
      <c r="P1007" t="s">
        <v>3390</v>
      </c>
      <c r="Q1007" t="s">
        <v>2281</v>
      </c>
    </row>
    <row r="1008" spans="1:17">
      <c r="A1008" s="2" t="s">
        <v>2146</v>
      </c>
      <c r="B1008" s="2" t="s">
        <v>456</v>
      </c>
      <c r="C1008" s="2" t="s">
        <v>474</v>
      </c>
      <c r="D1008" s="11">
        <v>45977.215972164355</v>
      </c>
      <c r="E1008" s="11">
        <v>45977.215972164355</v>
      </c>
      <c r="F1008" s="11">
        <v>45977.359722222223</v>
      </c>
      <c r="G1008" s="12">
        <v>0.14375005786860129</v>
      </c>
      <c r="H1008" s="2" t="s">
        <v>257</v>
      </c>
      <c r="J1008" s="2" t="s">
        <v>258</v>
      </c>
      <c r="K1008" s="2" t="s">
        <v>658</v>
      </c>
      <c r="L1008" s="2" t="s">
        <v>2286</v>
      </c>
      <c r="M1008" t="s">
        <v>260</v>
      </c>
      <c r="N1008" t="s">
        <v>357</v>
      </c>
      <c r="O1008" t="s">
        <v>632</v>
      </c>
      <c r="P1008" t="s">
        <v>3391</v>
      </c>
      <c r="Q1008" t="s">
        <v>2281</v>
      </c>
    </row>
    <row r="1009" spans="1:17">
      <c r="A1009" s="2" t="s">
        <v>2146</v>
      </c>
      <c r="B1009" s="2" t="s">
        <v>456</v>
      </c>
      <c r="C1009" s="2" t="s">
        <v>475</v>
      </c>
      <c r="D1009" s="11">
        <v>45977.215972164355</v>
      </c>
      <c r="E1009" s="11">
        <v>45977.215972164355</v>
      </c>
      <c r="F1009" s="11">
        <v>45977.359722222223</v>
      </c>
      <c r="G1009" s="12">
        <v>0.14375005786860129</v>
      </c>
      <c r="H1009" s="2" t="s">
        <v>257</v>
      </c>
      <c r="J1009" s="2" t="s">
        <v>258</v>
      </c>
      <c r="K1009" s="2" t="s">
        <v>658</v>
      </c>
      <c r="L1009" s="2" t="s">
        <v>2286</v>
      </c>
      <c r="M1009" t="s">
        <v>260</v>
      </c>
      <c r="N1009" t="s">
        <v>357</v>
      </c>
      <c r="O1009" t="s">
        <v>632</v>
      </c>
      <c r="P1009" t="s">
        <v>3392</v>
      </c>
      <c r="Q1009" t="s">
        <v>2281</v>
      </c>
    </row>
    <row r="1010" spans="1:17">
      <c r="A1010" s="2" t="s">
        <v>2146</v>
      </c>
      <c r="B1010" s="2" t="s">
        <v>456</v>
      </c>
      <c r="C1010" s="2" t="s">
        <v>476</v>
      </c>
      <c r="D1010" s="11">
        <v>45977.215972164355</v>
      </c>
      <c r="E1010" s="11">
        <v>45977.215972164355</v>
      </c>
      <c r="F1010" s="11">
        <v>45977.359722222223</v>
      </c>
      <c r="G1010" s="12">
        <v>0.14375005786860129</v>
      </c>
      <c r="H1010" s="2" t="s">
        <v>257</v>
      </c>
      <c r="J1010" s="2" t="s">
        <v>258</v>
      </c>
      <c r="K1010" s="2" t="s">
        <v>658</v>
      </c>
      <c r="L1010" s="2" t="s">
        <v>2286</v>
      </c>
      <c r="M1010" t="s">
        <v>260</v>
      </c>
      <c r="N1010" t="s">
        <v>357</v>
      </c>
      <c r="O1010" t="s">
        <v>632</v>
      </c>
      <c r="P1010" t="s">
        <v>3393</v>
      </c>
      <c r="Q1010" t="s">
        <v>2281</v>
      </c>
    </row>
    <row r="1011" spans="1:17">
      <c r="A1011" s="2" t="s">
        <v>2146</v>
      </c>
      <c r="B1011" s="2" t="s">
        <v>456</v>
      </c>
      <c r="C1011" s="2" t="s">
        <v>477</v>
      </c>
      <c r="D1011" s="11">
        <v>45977.215972164355</v>
      </c>
      <c r="E1011" s="11">
        <v>45977.215972164355</v>
      </c>
      <c r="F1011" s="11">
        <v>45977.359722222223</v>
      </c>
      <c r="G1011" s="12">
        <v>0.14375005786860129</v>
      </c>
      <c r="H1011" s="2" t="s">
        <v>257</v>
      </c>
      <c r="J1011" s="2" t="s">
        <v>258</v>
      </c>
      <c r="K1011" s="2" t="s">
        <v>658</v>
      </c>
      <c r="L1011" s="2" t="s">
        <v>2286</v>
      </c>
      <c r="M1011" t="s">
        <v>260</v>
      </c>
      <c r="N1011" t="s">
        <v>357</v>
      </c>
      <c r="O1011" t="s">
        <v>632</v>
      </c>
      <c r="P1011" t="s">
        <v>3394</v>
      </c>
      <c r="Q1011" t="s">
        <v>2281</v>
      </c>
    </row>
    <row r="1012" spans="1:17">
      <c r="A1012" s="2" t="s">
        <v>2147</v>
      </c>
      <c r="B1012" s="2" t="s">
        <v>456</v>
      </c>
      <c r="C1012" s="2" t="s">
        <v>478</v>
      </c>
      <c r="D1012" s="11">
        <v>45977.215972164355</v>
      </c>
      <c r="E1012" s="11">
        <v>45977.215972164355</v>
      </c>
      <c r="F1012" s="11">
        <v>45977.359722222223</v>
      </c>
      <c r="G1012" s="12">
        <v>0.14375005786860129</v>
      </c>
      <c r="H1012" s="2" t="s">
        <v>257</v>
      </c>
      <c r="J1012" s="2" t="s">
        <v>258</v>
      </c>
      <c r="K1012" s="2" t="s">
        <v>658</v>
      </c>
      <c r="L1012" s="2" t="s">
        <v>2286</v>
      </c>
      <c r="M1012" t="s">
        <v>260</v>
      </c>
      <c r="N1012" t="s">
        <v>357</v>
      </c>
      <c r="O1012" t="s">
        <v>632</v>
      </c>
      <c r="P1012" t="s">
        <v>3395</v>
      </c>
      <c r="Q1012" t="s">
        <v>2281</v>
      </c>
    </row>
    <row r="1013" spans="1:17">
      <c r="A1013" s="2" t="s">
        <v>2147</v>
      </c>
      <c r="B1013" s="2" t="s">
        <v>456</v>
      </c>
      <c r="C1013" s="2" t="s">
        <v>479</v>
      </c>
      <c r="D1013" s="11">
        <v>45977.215972164355</v>
      </c>
      <c r="E1013" s="11">
        <v>45977.215972164355</v>
      </c>
      <c r="F1013" s="11">
        <v>45977.359722222223</v>
      </c>
      <c r="G1013" s="12">
        <v>0.14375005786860129</v>
      </c>
      <c r="H1013" s="2" t="s">
        <v>257</v>
      </c>
      <c r="J1013" s="2" t="s">
        <v>258</v>
      </c>
      <c r="K1013" s="2" t="s">
        <v>658</v>
      </c>
      <c r="L1013" s="2" t="s">
        <v>2286</v>
      </c>
      <c r="M1013" t="s">
        <v>260</v>
      </c>
      <c r="N1013" t="s">
        <v>357</v>
      </c>
      <c r="O1013" t="s">
        <v>632</v>
      </c>
      <c r="P1013" t="s">
        <v>3396</v>
      </c>
      <c r="Q1013" t="s">
        <v>2281</v>
      </c>
    </row>
    <row r="1014" spans="1:17">
      <c r="A1014" s="2" t="s">
        <v>2147</v>
      </c>
      <c r="B1014" s="2" t="s">
        <v>456</v>
      </c>
      <c r="C1014" s="2" t="s">
        <v>480</v>
      </c>
      <c r="D1014" s="11">
        <v>45977.215972164355</v>
      </c>
      <c r="E1014" s="11">
        <v>45977.215972164355</v>
      </c>
      <c r="F1014" s="11">
        <v>45977.359722222223</v>
      </c>
      <c r="G1014" s="12">
        <v>0.14375005786860129</v>
      </c>
      <c r="H1014" s="2" t="s">
        <v>257</v>
      </c>
      <c r="J1014" s="2" t="s">
        <v>258</v>
      </c>
      <c r="K1014" s="2" t="s">
        <v>658</v>
      </c>
      <c r="L1014" s="2" t="s">
        <v>2286</v>
      </c>
      <c r="M1014" t="s">
        <v>260</v>
      </c>
      <c r="N1014" t="s">
        <v>357</v>
      </c>
      <c r="O1014" t="s">
        <v>632</v>
      </c>
      <c r="P1014" t="s">
        <v>3397</v>
      </c>
      <c r="Q1014" t="s">
        <v>2281</v>
      </c>
    </row>
    <row r="1015" spans="1:17">
      <c r="A1015" s="2" t="s">
        <v>2147</v>
      </c>
      <c r="B1015" s="2" t="s">
        <v>456</v>
      </c>
      <c r="C1015" s="2" t="s">
        <v>481</v>
      </c>
      <c r="D1015" s="11">
        <v>45977.215972164355</v>
      </c>
      <c r="E1015" s="11">
        <v>45977.215972164355</v>
      </c>
      <c r="F1015" s="11">
        <v>45977.359722222223</v>
      </c>
      <c r="G1015" s="12">
        <v>0.14375005786860129</v>
      </c>
      <c r="H1015" s="2" t="s">
        <v>257</v>
      </c>
      <c r="J1015" s="2" t="s">
        <v>258</v>
      </c>
      <c r="K1015" s="2" t="s">
        <v>658</v>
      </c>
      <c r="L1015" s="2" t="s">
        <v>2286</v>
      </c>
      <c r="M1015" t="s">
        <v>260</v>
      </c>
      <c r="N1015" t="s">
        <v>357</v>
      </c>
      <c r="O1015" t="s">
        <v>632</v>
      </c>
      <c r="P1015" t="s">
        <v>3398</v>
      </c>
      <c r="Q1015" t="s">
        <v>2281</v>
      </c>
    </row>
    <row r="1016" spans="1:17">
      <c r="A1016" s="2" t="s">
        <v>2148</v>
      </c>
      <c r="B1016" s="2" t="s">
        <v>456</v>
      </c>
      <c r="C1016" s="2" t="s">
        <v>482</v>
      </c>
      <c r="D1016" s="11">
        <v>45977.215972164355</v>
      </c>
      <c r="E1016" s="11">
        <v>45977.215972164355</v>
      </c>
      <c r="F1016" s="11">
        <v>45977.359722222223</v>
      </c>
      <c r="G1016" s="12">
        <v>0.14375005786860129</v>
      </c>
      <c r="H1016" s="2" t="s">
        <v>257</v>
      </c>
      <c r="J1016" s="2" t="s">
        <v>258</v>
      </c>
      <c r="K1016" s="2" t="s">
        <v>658</v>
      </c>
      <c r="L1016" s="2" t="s">
        <v>2286</v>
      </c>
      <c r="M1016" t="s">
        <v>260</v>
      </c>
      <c r="N1016" t="s">
        <v>357</v>
      </c>
      <c r="O1016" t="s">
        <v>632</v>
      </c>
      <c r="P1016" t="s">
        <v>3399</v>
      </c>
      <c r="Q1016" t="s">
        <v>2281</v>
      </c>
    </row>
    <row r="1017" spans="1:17">
      <c r="A1017" s="2" t="s">
        <v>2148</v>
      </c>
      <c r="B1017" s="2" t="s">
        <v>456</v>
      </c>
      <c r="C1017" s="2" t="s">
        <v>483</v>
      </c>
      <c r="D1017" s="11">
        <v>45977.215972164355</v>
      </c>
      <c r="E1017" s="11">
        <v>45977.215972164355</v>
      </c>
      <c r="F1017" s="11">
        <v>45977.359722222223</v>
      </c>
      <c r="G1017" s="12">
        <v>0.14375005786860129</v>
      </c>
      <c r="H1017" s="2" t="s">
        <v>257</v>
      </c>
      <c r="J1017" s="2" t="s">
        <v>258</v>
      </c>
      <c r="K1017" s="2" t="s">
        <v>658</v>
      </c>
      <c r="L1017" s="2" t="s">
        <v>2286</v>
      </c>
      <c r="M1017" t="s">
        <v>260</v>
      </c>
      <c r="N1017" t="s">
        <v>357</v>
      </c>
      <c r="O1017" t="s">
        <v>632</v>
      </c>
      <c r="P1017" t="s">
        <v>3400</v>
      </c>
      <c r="Q1017" t="s">
        <v>2281</v>
      </c>
    </row>
    <row r="1018" spans="1:17">
      <c r="A1018" s="2" t="s">
        <v>2148</v>
      </c>
      <c r="B1018" s="2" t="s">
        <v>456</v>
      </c>
      <c r="C1018" s="2" t="s">
        <v>484</v>
      </c>
      <c r="D1018" s="11">
        <v>45977.215972164355</v>
      </c>
      <c r="E1018" s="11">
        <v>45977.215972164355</v>
      </c>
      <c r="F1018" s="11">
        <v>45977.359722222223</v>
      </c>
      <c r="G1018" s="12">
        <v>0.14375005786860129</v>
      </c>
      <c r="H1018" s="2" t="s">
        <v>257</v>
      </c>
      <c r="J1018" s="2" t="s">
        <v>258</v>
      </c>
      <c r="K1018" s="2" t="s">
        <v>658</v>
      </c>
      <c r="L1018" s="2" t="s">
        <v>2286</v>
      </c>
      <c r="M1018" t="s">
        <v>260</v>
      </c>
      <c r="N1018" t="s">
        <v>357</v>
      </c>
      <c r="O1018" t="s">
        <v>632</v>
      </c>
      <c r="P1018" t="s">
        <v>3401</v>
      </c>
      <c r="Q1018" t="s">
        <v>2281</v>
      </c>
    </row>
    <row r="1019" spans="1:17">
      <c r="A1019" s="2" t="s">
        <v>2148</v>
      </c>
      <c r="B1019" s="2" t="s">
        <v>456</v>
      </c>
      <c r="C1019" s="2" t="s">
        <v>485</v>
      </c>
      <c r="D1019" s="11">
        <v>45977.215972164355</v>
      </c>
      <c r="E1019" s="11">
        <v>45977.215972164355</v>
      </c>
      <c r="F1019" s="11">
        <v>45977.359722222223</v>
      </c>
      <c r="G1019" s="12">
        <v>0.14375005786860129</v>
      </c>
      <c r="H1019" s="2" t="s">
        <v>257</v>
      </c>
      <c r="J1019" s="2" t="s">
        <v>258</v>
      </c>
      <c r="K1019" s="2" t="s">
        <v>658</v>
      </c>
      <c r="L1019" s="2" t="s">
        <v>2286</v>
      </c>
      <c r="M1019" t="s">
        <v>260</v>
      </c>
      <c r="N1019" t="s">
        <v>357</v>
      </c>
      <c r="O1019" t="s">
        <v>632</v>
      </c>
      <c r="P1019" t="s">
        <v>3402</v>
      </c>
      <c r="Q1019" t="s">
        <v>2281</v>
      </c>
    </row>
    <row r="1020" spans="1:17">
      <c r="A1020" s="2" t="s">
        <v>2148</v>
      </c>
      <c r="B1020" s="2" t="s">
        <v>456</v>
      </c>
      <c r="C1020" s="2" t="s">
        <v>486</v>
      </c>
      <c r="D1020" s="11">
        <v>45977.215972164355</v>
      </c>
      <c r="E1020" s="11">
        <v>45977.215972164355</v>
      </c>
      <c r="F1020" s="11">
        <v>45977.359722222223</v>
      </c>
      <c r="G1020" s="12">
        <v>0.14375005786860129</v>
      </c>
      <c r="H1020" s="2" t="s">
        <v>257</v>
      </c>
      <c r="J1020" s="2" t="s">
        <v>258</v>
      </c>
      <c r="K1020" s="2" t="s">
        <v>658</v>
      </c>
      <c r="L1020" s="2" t="s">
        <v>2286</v>
      </c>
      <c r="M1020" t="s">
        <v>260</v>
      </c>
      <c r="N1020" t="s">
        <v>357</v>
      </c>
      <c r="O1020" t="s">
        <v>632</v>
      </c>
      <c r="P1020" t="s">
        <v>3403</v>
      </c>
      <c r="Q1020" t="s">
        <v>2281</v>
      </c>
    </row>
    <row r="1021" spans="1:17">
      <c r="A1021" s="2" t="s">
        <v>487</v>
      </c>
      <c r="B1021" s="2" t="s">
        <v>487</v>
      </c>
      <c r="C1021" s="2" t="s">
        <v>377</v>
      </c>
      <c r="D1021" s="11">
        <v>45977.215972164355</v>
      </c>
      <c r="E1021" s="11">
        <v>45977.215972164355</v>
      </c>
      <c r="F1021" s="11">
        <v>45977.359722222223</v>
      </c>
      <c r="G1021" s="12">
        <v>0.14375005786860129</v>
      </c>
      <c r="H1021" s="2" t="s">
        <v>257</v>
      </c>
      <c r="J1021" s="2" t="s">
        <v>258</v>
      </c>
      <c r="K1021" s="2" t="s">
        <v>658</v>
      </c>
      <c r="L1021" s="2" t="s">
        <v>2286</v>
      </c>
      <c r="M1021" t="s">
        <v>260</v>
      </c>
      <c r="N1021" t="s">
        <v>357</v>
      </c>
      <c r="O1021" t="s">
        <v>632</v>
      </c>
      <c r="P1021" t="s">
        <v>3404</v>
      </c>
      <c r="Q1021" t="s">
        <v>2281</v>
      </c>
    </row>
    <row r="1022" spans="1:17">
      <c r="A1022" s="2" t="s">
        <v>487</v>
      </c>
      <c r="B1022" s="2" t="s">
        <v>487</v>
      </c>
      <c r="C1022" s="2" t="s">
        <v>378</v>
      </c>
      <c r="D1022" s="11">
        <v>45977.215972164355</v>
      </c>
      <c r="E1022" s="11">
        <v>45977.215972164355</v>
      </c>
      <c r="F1022" s="11">
        <v>45977.359722222223</v>
      </c>
      <c r="G1022" s="12">
        <v>0.14375005786860129</v>
      </c>
      <c r="H1022" s="2" t="s">
        <v>257</v>
      </c>
      <c r="J1022" s="2" t="s">
        <v>258</v>
      </c>
      <c r="K1022" s="2" t="s">
        <v>658</v>
      </c>
      <c r="L1022" s="2" t="s">
        <v>2286</v>
      </c>
      <c r="M1022" t="s">
        <v>260</v>
      </c>
      <c r="N1022" t="s">
        <v>357</v>
      </c>
      <c r="O1022" t="s">
        <v>632</v>
      </c>
      <c r="P1022" t="s">
        <v>3405</v>
      </c>
      <c r="Q1022" t="s">
        <v>2281</v>
      </c>
    </row>
    <row r="1023" spans="1:17">
      <c r="A1023" s="2" t="s">
        <v>487</v>
      </c>
      <c r="B1023" s="2" t="s">
        <v>487</v>
      </c>
      <c r="C1023" s="2" t="s">
        <v>382</v>
      </c>
      <c r="D1023" s="11">
        <v>45977.215972164355</v>
      </c>
      <c r="E1023" s="11">
        <v>45977.215972164355</v>
      </c>
      <c r="F1023" s="11">
        <v>45977.359722222223</v>
      </c>
      <c r="G1023" s="12">
        <v>0.14375005786860129</v>
      </c>
      <c r="H1023" s="2" t="s">
        <v>257</v>
      </c>
      <c r="J1023" s="2" t="s">
        <v>258</v>
      </c>
      <c r="K1023" s="2" t="s">
        <v>658</v>
      </c>
      <c r="L1023" s="2" t="s">
        <v>2286</v>
      </c>
      <c r="M1023" t="s">
        <v>260</v>
      </c>
      <c r="N1023" t="s">
        <v>357</v>
      </c>
      <c r="O1023" t="s">
        <v>632</v>
      </c>
      <c r="P1023" t="s">
        <v>3406</v>
      </c>
      <c r="Q1023" t="s">
        <v>2281</v>
      </c>
    </row>
    <row r="1024" spans="1:17">
      <c r="A1024" s="2" t="s">
        <v>487</v>
      </c>
      <c r="B1024" s="2" t="s">
        <v>487</v>
      </c>
      <c r="C1024" s="2" t="s">
        <v>380</v>
      </c>
      <c r="D1024" s="11">
        <v>45977.215972164355</v>
      </c>
      <c r="E1024" s="11">
        <v>45977.215972164355</v>
      </c>
      <c r="F1024" s="11">
        <v>45977.359722222223</v>
      </c>
      <c r="G1024" s="12">
        <v>0.14375005786860129</v>
      </c>
      <c r="H1024" s="2" t="s">
        <v>257</v>
      </c>
      <c r="J1024" s="2" t="s">
        <v>258</v>
      </c>
      <c r="K1024" s="2" t="s">
        <v>658</v>
      </c>
      <c r="L1024" s="2" t="s">
        <v>2286</v>
      </c>
      <c r="M1024" t="s">
        <v>260</v>
      </c>
      <c r="N1024" t="s">
        <v>357</v>
      </c>
      <c r="O1024" t="s">
        <v>632</v>
      </c>
      <c r="P1024" t="s">
        <v>3407</v>
      </c>
      <c r="Q1024" t="s">
        <v>2281</v>
      </c>
    </row>
    <row r="1025" spans="1:17">
      <c r="A1025" s="2" t="s">
        <v>487</v>
      </c>
      <c r="B1025" s="2" t="s">
        <v>487</v>
      </c>
      <c r="C1025" s="2" t="s">
        <v>379</v>
      </c>
      <c r="D1025" s="11">
        <v>45977.215972164355</v>
      </c>
      <c r="E1025" s="11">
        <v>45977.215972164355</v>
      </c>
      <c r="F1025" s="11">
        <v>45977.359722222223</v>
      </c>
      <c r="G1025" s="12">
        <v>0.14375005786860129</v>
      </c>
      <c r="H1025" s="2" t="s">
        <v>257</v>
      </c>
      <c r="J1025" s="2" t="s">
        <v>258</v>
      </c>
      <c r="K1025" s="2" t="s">
        <v>658</v>
      </c>
      <c r="L1025" s="2" t="s">
        <v>2286</v>
      </c>
      <c r="M1025" t="s">
        <v>260</v>
      </c>
      <c r="N1025" t="s">
        <v>357</v>
      </c>
      <c r="O1025" t="s">
        <v>632</v>
      </c>
      <c r="P1025" t="s">
        <v>3408</v>
      </c>
      <c r="Q1025" t="s">
        <v>2281</v>
      </c>
    </row>
    <row r="1026" spans="1:17">
      <c r="A1026" s="2" t="s">
        <v>583</v>
      </c>
      <c r="B1026" s="2" t="s">
        <v>583</v>
      </c>
      <c r="C1026" s="2" t="s">
        <v>377</v>
      </c>
      <c r="D1026" s="11">
        <v>45977.215972164355</v>
      </c>
      <c r="E1026" s="11">
        <v>45977.215972164355</v>
      </c>
      <c r="F1026" s="11">
        <v>45977.359722222223</v>
      </c>
      <c r="G1026" s="12">
        <v>0.14375005786860129</v>
      </c>
      <c r="H1026" s="2" t="s">
        <v>257</v>
      </c>
      <c r="J1026" s="2" t="s">
        <v>258</v>
      </c>
      <c r="K1026" s="2" t="s">
        <v>658</v>
      </c>
      <c r="L1026" s="2" t="s">
        <v>2286</v>
      </c>
      <c r="M1026" t="s">
        <v>260</v>
      </c>
      <c r="N1026" t="s">
        <v>357</v>
      </c>
      <c r="O1026" t="s">
        <v>632</v>
      </c>
      <c r="P1026" t="s">
        <v>3409</v>
      </c>
      <c r="Q1026" t="s">
        <v>2281</v>
      </c>
    </row>
    <row r="1027" spans="1:17">
      <c r="A1027" s="2" t="s">
        <v>583</v>
      </c>
      <c r="B1027" s="2" t="s">
        <v>583</v>
      </c>
      <c r="C1027" s="2" t="s">
        <v>378</v>
      </c>
      <c r="D1027" s="11">
        <v>45977.215972164355</v>
      </c>
      <c r="E1027" s="11">
        <v>45977.215972164355</v>
      </c>
      <c r="F1027" s="11">
        <v>45977.359722222223</v>
      </c>
      <c r="G1027" s="12">
        <v>0.14375005786860129</v>
      </c>
      <c r="H1027" s="2" t="s">
        <v>257</v>
      </c>
      <c r="J1027" s="2" t="s">
        <v>258</v>
      </c>
      <c r="K1027" s="2" t="s">
        <v>658</v>
      </c>
      <c r="L1027" s="2" t="s">
        <v>2286</v>
      </c>
      <c r="M1027" t="s">
        <v>260</v>
      </c>
      <c r="N1027" t="s">
        <v>357</v>
      </c>
      <c r="O1027" t="s">
        <v>632</v>
      </c>
      <c r="P1027" t="s">
        <v>3410</v>
      </c>
      <c r="Q1027" t="s">
        <v>2281</v>
      </c>
    </row>
    <row r="1028" spans="1:17">
      <c r="A1028" s="2" t="s">
        <v>583</v>
      </c>
      <c r="B1028" s="2" t="s">
        <v>583</v>
      </c>
      <c r="C1028" s="2" t="s">
        <v>382</v>
      </c>
      <c r="D1028" s="11">
        <v>45977.215972164355</v>
      </c>
      <c r="E1028" s="11">
        <v>45977.215972164355</v>
      </c>
      <c r="F1028" s="11">
        <v>45977.359722222223</v>
      </c>
      <c r="G1028" s="12">
        <v>0.14375005786860129</v>
      </c>
      <c r="H1028" s="2" t="s">
        <v>257</v>
      </c>
      <c r="J1028" s="2" t="s">
        <v>258</v>
      </c>
      <c r="K1028" s="2" t="s">
        <v>658</v>
      </c>
      <c r="L1028" s="2" t="s">
        <v>2286</v>
      </c>
      <c r="M1028" t="s">
        <v>260</v>
      </c>
      <c r="N1028" t="s">
        <v>357</v>
      </c>
      <c r="O1028" t="s">
        <v>632</v>
      </c>
      <c r="P1028" t="s">
        <v>3411</v>
      </c>
      <c r="Q1028" t="s">
        <v>2281</v>
      </c>
    </row>
    <row r="1029" spans="1:17">
      <c r="A1029" s="2" t="s">
        <v>583</v>
      </c>
      <c r="B1029" s="2" t="s">
        <v>583</v>
      </c>
      <c r="C1029" s="2" t="s">
        <v>380</v>
      </c>
      <c r="D1029" s="11">
        <v>45977.215972164355</v>
      </c>
      <c r="E1029" s="11">
        <v>45977.215972164355</v>
      </c>
      <c r="F1029" s="11">
        <v>45977.359722222223</v>
      </c>
      <c r="G1029" s="12">
        <v>0.14375005786860129</v>
      </c>
      <c r="H1029" s="2" t="s">
        <v>257</v>
      </c>
      <c r="J1029" s="2" t="s">
        <v>258</v>
      </c>
      <c r="K1029" s="2" t="s">
        <v>658</v>
      </c>
      <c r="L1029" s="2" t="s">
        <v>2286</v>
      </c>
      <c r="M1029" t="s">
        <v>260</v>
      </c>
      <c r="N1029" t="s">
        <v>357</v>
      </c>
      <c r="O1029" t="s">
        <v>632</v>
      </c>
      <c r="P1029" t="s">
        <v>3412</v>
      </c>
      <c r="Q1029" t="s">
        <v>2281</v>
      </c>
    </row>
    <row r="1030" spans="1:17">
      <c r="A1030" s="2" t="s">
        <v>583</v>
      </c>
      <c r="B1030" s="2" t="s">
        <v>583</v>
      </c>
      <c r="C1030" s="2" t="s">
        <v>379</v>
      </c>
      <c r="D1030" s="11">
        <v>45977.215972164355</v>
      </c>
      <c r="E1030" s="11">
        <v>45977.215972164355</v>
      </c>
      <c r="F1030" s="11">
        <v>45977.359722222223</v>
      </c>
      <c r="G1030" s="12">
        <v>0.14375005786860129</v>
      </c>
      <c r="H1030" s="2" t="s">
        <v>257</v>
      </c>
      <c r="J1030" s="2" t="s">
        <v>258</v>
      </c>
      <c r="K1030" s="2" t="s">
        <v>658</v>
      </c>
      <c r="L1030" s="2" t="s">
        <v>2286</v>
      </c>
      <c r="M1030" t="s">
        <v>260</v>
      </c>
      <c r="N1030" t="s">
        <v>357</v>
      </c>
      <c r="O1030" t="s">
        <v>632</v>
      </c>
      <c r="P1030" t="s">
        <v>3413</v>
      </c>
      <c r="Q1030" t="s">
        <v>2281</v>
      </c>
    </row>
    <row r="1031" spans="1:17">
      <c r="A1031" s="2" t="s">
        <v>584</v>
      </c>
      <c r="B1031" s="2" t="s">
        <v>584</v>
      </c>
      <c r="C1031" s="2" t="s">
        <v>377</v>
      </c>
      <c r="D1031" s="11">
        <v>45977.215972164355</v>
      </c>
      <c r="E1031" s="11">
        <v>45977.215972164355</v>
      </c>
      <c r="F1031" s="11">
        <v>45977.359722222223</v>
      </c>
      <c r="G1031" s="12">
        <v>0.14375005786860129</v>
      </c>
      <c r="H1031" s="2" t="s">
        <v>257</v>
      </c>
      <c r="J1031" s="2" t="s">
        <v>258</v>
      </c>
      <c r="K1031" s="2" t="s">
        <v>658</v>
      </c>
      <c r="L1031" s="2" t="s">
        <v>2286</v>
      </c>
      <c r="M1031" t="s">
        <v>260</v>
      </c>
      <c r="N1031" t="s">
        <v>357</v>
      </c>
      <c r="O1031" t="s">
        <v>632</v>
      </c>
      <c r="P1031" t="s">
        <v>3414</v>
      </c>
      <c r="Q1031" t="s">
        <v>2281</v>
      </c>
    </row>
    <row r="1032" spans="1:17">
      <c r="A1032" s="2" t="s">
        <v>584</v>
      </c>
      <c r="B1032" s="2" t="s">
        <v>584</v>
      </c>
      <c r="C1032" s="2" t="s">
        <v>378</v>
      </c>
      <c r="D1032" s="11">
        <v>45977.215972164355</v>
      </c>
      <c r="E1032" s="11">
        <v>45977.215972164355</v>
      </c>
      <c r="F1032" s="11">
        <v>45977.359722222223</v>
      </c>
      <c r="G1032" s="12">
        <v>0.14375005786860129</v>
      </c>
      <c r="H1032" s="2" t="s">
        <v>257</v>
      </c>
      <c r="J1032" s="2" t="s">
        <v>258</v>
      </c>
      <c r="K1032" s="2" t="s">
        <v>658</v>
      </c>
      <c r="L1032" s="2" t="s">
        <v>2286</v>
      </c>
      <c r="M1032" t="s">
        <v>260</v>
      </c>
      <c r="N1032" t="s">
        <v>357</v>
      </c>
      <c r="O1032" t="s">
        <v>632</v>
      </c>
      <c r="P1032" t="s">
        <v>3415</v>
      </c>
      <c r="Q1032" t="s">
        <v>2281</v>
      </c>
    </row>
    <row r="1033" spans="1:17">
      <c r="A1033" s="2" t="s">
        <v>584</v>
      </c>
      <c r="B1033" s="2" t="s">
        <v>584</v>
      </c>
      <c r="C1033" s="2" t="s">
        <v>382</v>
      </c>
      <c r="D1033" s="11">
        <v>45977.215972164355</v>
      </c>
      <c r="E1033" s="11">
        <v>45977.215972164355</v>
      </c>
      <c r="F1033" s="11">
        <v>45977.359722222223</v>
      </c>
      <c r="G1033" s="12">
        <v>0.14375005786860129</v>
      </c>
      <c r="H1033" s="2" t="s">
        <v>257</v>
      </c>
      <c r="J1033" s="2" t="s">
        <v>258</v>
      </c>
      <c r="K1033" s="2" t="s">
        <v>658</v>
      </c>
      <c r="L1033" s="2" t="s">
        <v>2286</v>
      </c>
      <c r="M1033" t="s">
        <v>260</v>
      </c>
      <c r="N1033" t="s">
        <v>357</v>
      </c>
      <c r="O1033" t="s">
        <v>632</v>
      </c>
      <c r="P1033" t="s">
        <v>3416</v>
      </c>
      <c r="Q1033" t="s">
        <v>2281</v>
      </c>
    </row>
    <row r="1034" spans="1:17">
      <c r="A1034" s="2" t="s">
        <v>584</v>
      </c>
      <c r="B1034" s="2" t="s">
        <v>584</v>
      </c>
      <c r="C1034" s="2" t="s">
        <v>380</v>
      </c>
      <c r="D1034" s="11">
        <v>45977.215972164355</v>
      </c>
      <c r="E1034" s="11">
        <v>45977.215972164355</v>
      </c>
      <c r="F1034" s="11">
        <v>45977.359722222223</v>
      </c>
      <c r="G1034" s="12">
        <v>0.14375005786860129</v>
      </c>
      <c r="H1034" s="2" t="s">
        <v>257</v>
      </c>
      <c r="J1034" s="2" t="s">
        <v>258</v>
      </c>
      <c r="K1034" s="2" t="s">
        <v>658</v>
      </c>
      <c r="L1034" s="2" t="s">
        <v>2286</v>
      </c>
      <c r="M1034" t="s">
        <v>260</v>
      </c>
      <c r="N1034" t="s">
        <v>357</v>
      </c>
      <c r="O1034" t="s">
        <v>632</v>
      </c>
      <c r="P1034" t="s">
        <v>3417</v>
      </c>
      <c r="Q1034" t="s">
        <v>2281</v>
      </c>
    </row>
    <row r="1035" spans="1:17">
      <c r="A1035" s="2" t="s">
        <v>584</v>
      </c>
      <c r="B1035" s="2" t="s">
        <v>584</v>
      </c>
      <c r="C1035" s="2" t="s">
        <v>379</v>
      </c>
      <c r="D1035" s="11">
        <v>45977.215972164355</v>
      </c>
      <c r="E1035" s="11">
        <v>45977.215972164355</v>
      </c>
      <c r="F1035" s="11">
        <v>45977.359722222223</v>
      </c>
      <c r="G1035" s="12">
        <v>0.14375005786860129</v>
      </c>
      <c r="H1035" s="2" t="s">
        <v>257</v>
      </c>
      <c r="J1035" s="2" t="s">
        <v>258</v>
      </c>
      <c r="K1035" s="2" t="s">
        <v>658</v>
      </c>
      <c r="L1035" s="2" t="s">
        <v>2286</v>
      </c>
      <c r="M1035" t="s">
        <v>260</v>
      </c>
      <c r="N1035" t="s">
        <v>357</v>
      </c>
      <c r="O1035" t="s">
        <v>632</v>
      </c>
      <c r="P1035" t="s">
        <v>3418</v>
      </c>
      <c r="Q1035" t="s">
        <v>2281</v>
      </c>
    </row>
    <row r="1036" spans="1:17">
      <c r="A1036" s="2" t="s">
        <v>2132</v>
      </c>
      <c r="B1036" s="2" t="s">
        <v>456</v>
      </c>
      <c r="C1036" s="2" t="s">
        <v>457</v>
      </c>
      <c r="D1036" s="11">
        <v>45977.21597222222</v>
      </c>
      <c r="E1036" s="11">
        <v>45977.21597222222</v>
      </c>
      <c r="F1036" s="11">
        <v>45977.359722222223</v>
      </c>
      <c r="G1036" s="12">
        <v>0.14375000000291038</v>
      </c>
      <c r="H1036" s="2" t="s">
        <v>257</v>
      </c>
      <c r="J1036" s="2" t="s">
        <v>258</v>
      </c>
      <c r="K1036" s="2" t="s">
        <v>658</v>
      </c>
      <c r="L1036" s="2" t="s">
        <v>2286</v>
      </c>
      <c r="M1036" t="s">
        <v>260</v>
      </c>
      <c r="N1036" t="s">
        <v>357</v>
      </c>
      <c r="O1036" t="s">
        <v>632</v>
      </c>
      <c r="P1036" t="s">
        <v>3419</v>
      </c>
      <c r="Q1036" t="s">
        <v>2281</v>
      </c>
    </row>
    <row r="1037" spans="1:17">
      <c r="A1037" s="2" t="s">
        <v>2132</v>
      </c>
      <c r="B1037" s="2" t="s">
        <v>456</v>
      </c>
      <c r="C1037" s="2" t="s">
        <v>459</v>
      </c>
      <c r="D1037" s="11">
        <v>45977.21597222222</v>
      </c>
      <c r="E1037" s="11">
        <v>45977.21597222222</v>
      </c>
      <c r="F1037" s="11">
        <v>45977.359722222223</v>
      </c>
      <c r="G1037" s="12">
        <v>0.14375000000291038</v>
      </c>
      <c r="H1037" s="2" t="s">
        <v>257</v>
      </c>
      <c r="J1037" s="2" t="s">
        <v>258</v>
      </c>
      <c r="K1037" s="2" t="s">
        <v>658</v>
      </c>
      <c r="L1037" s="2" t="s">
        <v>2286</v>
      </c>
      <c r="M1037" t="s">
        <v>260</v>
      </c>
      <c r="N1037" t="s">
        <v>357</v>
      </c>
      <c r="O1037" t="s">
        <v>632</v>
      </c>
      <c r="P1037" t="s">
        <v>3420</v>
      </c>
      <c r="Q1037" t="s">
        <v>2281</v>
      </c>
    </row>
    <row r="1038" spans="1:17">
      <c r="A1038" s="2" t="s">
        <v>2441</v>
      </c>
      <c r="B1038" s="2" t="s">
        <v>642</v>
      </c>
      <c r="C1038" s="2" t="s">
        <v>643</v>
      </c>
      <c r="D1038" s="11">
        <v>45977.545138888891</v>
      </c>
      <c r="E1038" s="11">
        <v>45977.545138888891</v>
      </c>
      <c r="F1038" s="11">
        <v>45977.751388888886</v>
      </c>
      <c r="G1038" s="12">
        <v>0.20624999999563443</v>
      </c>
      <c r="H1038" s="2" t="s">
        <v>257</v>
      </c>
      <c r="J1038" s="2" t="s">
        <v>258</v>
      </c>
      <c r="K1038" s="2" t="s">
        <v>658</v>
      </c>
      <c r="L1038" s="2" t="s">
        <v>2286</v>
      </c>
      <c r="M1038" t="s">
        <v>260</v>
      </c>
      <c r="N1038" t="s">
        <v>357</v>
      </c>
      <c r="O1038" t="s">
        <v>632</v>
      </c>
      <c r="P1038" t="s">
        <v>3421</v>
      </c>
      <c r="Q1038" t="s">
        <v>2281</v>
      </c>
    </row>
    <row r="1039" spans="1:17">
      <c r="A1039" s="2" t="s">
        <v>2441</v>
      </c>
      <c r="B1039" s="2" t="s">
        <v>642</v>
      </c>
      <c r="C1039" s="2" t="s">
        <v>646</v>
      </c>
      <c r="D1039" s="11">
        <v>45977.545138888891</v>
      </c>
      <c r="E1039" s="11">
        <v>45977.545138888891</v>
      </c>
      <c r="F1039" s="11">
        <v>45977.751388888886</v>
      </c>
      <c r="G1039" s="12">
        <v>0.20624999999563443</v>
      </c>
      <c r="H1039" s="2" t="s">
        <v>257</v>
      </c>
      <c r="J1039" s="2" t="s">
        <v>258</v>
      </c>
      <c r="K1039" s="2" t="s">
        <v>658</v>
      </c>
      <c r="L1039" s="2" t="s">
        <v>2286</v>
      </c>
      <c r="M1039" t="s">
        <v>260</v>
      </c>
      <c r="N1039" t="s">
        <v>357</v>
      </c>
      <c r="O1039" t="s">
        <v>632</v>
      </c>
      <c r="P1039" t="s">
        <v>3422</v>
      </c>
      <c r="Q1039" t="s">
        <v>2281</v>
      </c>
    </row>
    <row r="1040" spans="1:17">
      <c r="A1040" s="2" t="s">
        <v>2441</v>
      </c>
      <c r="B1040" s="2" t="s">
        <v>642</v>
      </c>
      <c r="C1040" s="2" t="s">
        <v>647</v>
      </c>
      <c r="D1040" s="11">
        <v>45977.545138888891</v>
      </c>
      <c r="E1040" s="11">
        <v>45977.545138888891</v>
      </c>
      <c r="F1040" s="11">
        <v>45977.751388888886</v>
      </c>
      <c r="G1040" s="12">
        <v>0.20624999999563443</v>
      </c>
      <c r="H1040" s="2" t="s">
        <v>257</v>
      </c>
      <c r="J1040" s="2" t="s">
        <v>258</v>
      </c>
      <c r="K1040" s="2" t="s">
        <v>658</v>
      </c>
      <c r="L1040" s="2" t="s">
        <v>2286</v>
      </c>
      <c r="M1040" t="s">
        <v>260</v>
      </c>
      <c r="N1040" t="s">
        <v>357</v>
      </c>
      <c r="O1040" t="s">
        <v>632</v>
      </c>
      <c r="P1040" t="s">
        <v>3423</v>
      </c>
      <c r="Q1040" t="s">
        <v>2281</v>
      </c>
    </row>
    <row r="1041" spans="1:17">
      <c r="A1041" s="2" t="s">
        <v>2441</v>
      </c>
      <c r="B1041" s="2" t="s">
        <v>642</v>
      </c>
      <c r="C1041" s="2" t="s">
        <v>648</v>
      </c>
      <c r="D1041" s="11">
        <v>45977.545138888891</v>
      </c>
      <c r="E1041" s="11">
        <v>45977.545138888891</v>
      </c>
      <c r="F1041" s="11">
        <v>45977.751388888886</v>
      </c>
      <c r="G1041" s="12">
        <v>0.20624999999563443</v>
      </c>
      <c r="H1041" s="2" t="s">
        <v>257</v>
      </c>
      <c r="J1041" s="2" t="s">
        <v>258</v>
      </c>
      <c r="K1041" s="2" t="s">
        <v>658</v>
      </c>
      <c r="L1041" s="2" t="s">
        <v>2286</v>
      </c>
      <c r="M1041" t="s">
        <v>260</v>
      </c>
      <c r="N1041" t="s">
        <v>357</v>
      </c>
      <c r="O1041" t="s">
        <v>632</v>
      </c>
      <c r="P1041" t="s">
        <v>3424</v>
      </c>
      <c r="Q1041" t="s">
        <v>2281</v>
      </c>
    </row>
    <row r="1042" spans="1:17">
      <c r="A1042" s="2" t="s">
        <v>2209</v>
      </c>
      <c r="B1042" s="2" t="s">
        <v>495</v>
      </c>
      <c r="C1042" s="2" t="s">
        <v>496</v>
      </c>
      <c r="D1042" s="11">
        <v>45977.545138888891</v>
      </c>
      <c r="E1042" s="11">
        <v>45977.545138888891</v>
      </c>
      <c r="F1042" s="11">
        <v>45977.751388888886</v>
      </c>
      <c r="G1042" s="12">
        <v>0.20624999999563443</v>
      </c>
      <c r="H1042" s="2" t="s">
        <v>257</v>
      </c>
      <c r="J1042" s="2" t="s">
        <v>258</v>
      </c>
      <c r="K1042" s="2" t="s">
        <v>658</v>
      </c>
      <c r="L1042" s="2" t="s">
        <v>2286</v>
      </c>
      <c r="M1042" t="s">
        <v>260</v>
      </c>
      <c r="N1042" t="s">
        <v>357</v>
      </c>
      <c r="O1042" t="s">
        <v>632</v>
      </c>
      <c r="P1042" t="s">
        <v>3425</v>
      </c>
      <c r="Q1042" t="s">
        <v>2281</v>
      </c>
    </row>
    <row r="1043" spans="1:17">
      <c r="A1043" s="2" t="s">
        <v>2209</v>
      </c>
      <c r="B1043" s="2" t="s">
        <v>495</v>
      </c>
      <c r="C1043" s="2" t="s">
        <v>501</v>
      </c>
      <c r="D1043" s="11">
        <v>45977.545138888891</v>
      </c>
      <c r="E1043" s="11">
        <v>45977.545138888891</v>
      </c>
      <c r="F1043" s="11">
        <v>45977.751388888886</v>
      </c>
      <c r="G1043" s="12">
        <v>0.20624999999563443</v>
      </c>
      <c r="H1043" s="2" t="s">
        <v>257</v>
      </c>
      <c r="J1043" s="2" t="s">
        <v>258</v>
      </c>
      <c r="K1043" s="2" t="s">
        <v>658</v>
      </c>
      <c r="L1043" s="2" t="s">
        <v>2286</v>
      </c>
      <c r="M1043" t="s">
        <v>260</v>
      </c>
      <c r="N1043" t="s">
        <v>357</v>
      </c>
      <c r="O1043" t="s">
        <v>632</v>
      </c>
      <c r="P1043" t="s">
        <v>3426</v>
      </c>
      <c r="Q1043" t="s">
        <v>2281</v>
      </c>
    </row>
    <row r="1044" spans="1:17">
      <c r="A1044" s="2" t="s">
        <v>2209</v>
      </c>
      <c r="B1044" s="2" t="s">
        <v>495</v>
      </c>
      <c r="C1044" s="2" t="s">
        <v>502</v>
      </c>
      <c r="D1044" s="11">
        <v>45977.545138888891</v>
      </c>
      <c r="E1044" s="11">
        <v>45977.545138888891</v>
      </c>
      <c r="F1044" s="11">
        <v>45977.751388888886</v>
      </c>
      <c r="G1044" s="12">
        <v>0.20624999999563443</v>
      </c>
      <c r="H1044" s="2" t="s">
        <v>257</v>
      </c>
      <c r="J1044" s="2" t="s">
        <v>258</v>
      </c>
      <c r="K1044" s="2" t="s">
        <v>658</v>
      </c>
      <c r="L1044" s="2" t="s">
        <v>2286</v>
      </c>
      <c r="M1044" t="s">
        <v>260</v>
      </c>
      <c r="N1044" t="s">
        <v>357</v>
      </c>
      <c r="O1044" t="s">
        <v>632</v>
      </c>
      <c r="P1044" t="s">
        <v>3427</v>
      </c>
      <c r="Q1044" t="s">
        <v>2281</v>
      </c>
    </row>
    <row r="1045" spans="1:17">
      <c r="A1045" s="2" t="s">
        <v>2209</v>
      </c>
      <c r="B1045" s="2" t="s">
        <v>495</v>
      </c>
      <c r="C1045" s="2" t="s">
        <v>503</v>
      </c>
      <c r="D1045" s="11">
        <v>45977.545138888891</v>
      </c>
      <c r="E1045" s="11">
        <v>45977.545138888891</v>
      </c>
      <c r="F1045" s="11">
        <v>45977.751388888886</v>
      </c>
      <c r="G1045" s="12">
        <v>0.20624999999563443</v>
      </c>
      <c r="H1045" s="2" t="s">
        <v>257</v>
      </c>
      <c r="J1045" s="2" t="s">
        <v>258</v>
      </c>
      <c r="K1045" s="2" t="s">
        <v>658</v>
      </c>
      <c r="L1045" s="2" t="s">
        <v>2286</v>
      </c>
      <c r="M1045" t="s">
        <v>260</v>
      </c>
      <c r="N1045" t="s">
        <v>357</v>
      </c>
      <c r="O1045" t="s">
        <v>632</v>
      </c>
      <c r="P1045" t="s">
        <v>3428</v>
      </c>
      <c r="Q1045" t="s">
        <v>2281</v>
      </c>
    </row>
    <row r="1046" spans="1:17">
      <c r="A1046" s="2" t="s">
        <v>2209</v>
      </c>
      <c r="B1046" s="2" t="s">
        <v>495</v>
      </c>
      <c r="C1046" s="2" t="s">
        <v>504</v>
      </c>
      <c r="D1046" s="11">
        <v>45977.545138888891</v>
      </c>
      <c r="E1046" s="11">
        <v>45977.545138888891</v>
      </c>
      <c r="F1046" s="11">
        <v>45977.751388888886</v>
      </c>
      <c r="G1046" s="12">
        <v>0.20624999999563443</v>
      </c>
      <c r="H1046" s="2" t="s">
        <v>257</v>
      </c>
      <c r="J1046" s="2" t="s">
        <v>258</v>
      </c>
      <c r="K1046" s="2" t="s">
        <v>658</v>
      </c>
      <c r="L1046" s="2" t="s">
        <v>2286</v>
      </c>
      <c r="M1046" t="s">
        <v>260</v>
      </c>
      <c r="N1046" t="s">
        <v>357</v>
      </c>
      <c r="O1046" t="s">
        <v>632</v>
      </c>
      <c r="P1046" t="s">
        <v>3429</v>
      </c>
      <c r="Q1046" t="s">
        <v>2281</v>
      </c>
    </row>
    <row r="1047" spans="1:17">
      <c r="A1047" s="2" t="s">
        <v>2209</v>
      </c>
      <c r="B1047" s="2" t="s">
        <v>495</v>
      </c>
      <c r="C1047" s="2" t="s">
        <v>505</v>
      </c>
      <c r="D1047" s="11">
        <v>45977.545138888891</v>
      </c>
      <c r="E1047" s="11">
        <v>45977.545138888891</v>
      </c>
      <c r="F1047" s="11">
        <v>45977.751388888886</v>
      </c>
      <c r="G1047" s="12">
        <v>0.20624999999563443</v>
      </c>
      <c r="H1047" s="2" t="s">
        <v>257</v>
      </c>
      <c r="J1047" s="2" t="s">
        <v>258</v>
      </c>
      <c r="K1047" s="2" t="s">
        <v>658</v>
      </c>
      <c r="L1047" s="2" t="s">
        <v>2286</v>
      </c>
      <c r="M1047" t="s">
        <v>260</v>
      </c>
      <c r="N1047" t="s">
        <v>357</v>
      </c>
      <c r="O1047" t="s">
        <v>632</v>
      </c>
      <c r="P1047" t="s">
        <v>3430</v>
      </c>
      <c r="Q1047" t="s">
        <v>2281</v>
      </c>
    </row>
    <row r="1048" spans="1:17">
      <c r="A1048" s="2" t="s">
        <v>2209</v>
      </c>
      <c r="B1048" s="2" t="s">
        <v>495</v>
      </c>
      <c r="C1048" s="2" t="s">
        <v>506</v>
      </c>
      <c r="D1048" s="11">
        <v>45977.545138888891</v>
      </c>
      <c r="E1048" s="11">
        <v>45977.545138888891</v>
      </c>
      <c r="F1048" s="11">
        <v>45977.751388888886</v>
      </c>
      <c r="G1048" s="12">
        <v>0.20624999999563443</v>
      </c>
      <c r="H1048" s="2" t="s">
        <v>257</v>
      </c>
      <c r="J1048" s="2" t="s">
        <v>258</v>
      </c>
      <c r="K1048" s="2" t="s">
        <v>658</v>
      </c>
      <c r="L1048" s="2" t="s">
        <v>2286</v>
      </c>
      <c r="M1048" t="s">
        <v>260</v>
      </c>
      <c r="N1048" t="s">
        <v>357</v>
      </c>
      <c r="O1048" t="s">
        <v>632</v>
      </c>
      <c r="P1048" t="s">
        <v>3431</v>
      </c>
      <c r="Q1048" t="s">
        <v>2281</v>
      </c>
    </row>
    <row r="1049" spans="1:17">
      <c r="A1049" s="2" t="s">
        <v>2209</v>
      </c>
      <c r="B1049" s="2" t="s">
        <v>495</v>
      </c>
      <c r="C1049" s="2" t="s">
        <v>507</v>
      </c>
      <c r="D1049" s="11">
        <v>45977.545138888891</v>
      </c>
      <c r="E1049" s="11">
        <v>45977.545138888891</v>
      </c>
      <c r="F1049" s="11">
        <v>45977.751388888886</v>
      </c>
      <c r="G1049" s="12">
        <v>0.20624999999563443</v>
      </c>
      <c r="H1049" s="2" t="s">
        <v>257</v>
      </c>
      <c r="J1049" s="2" t="s">
        <v>258</v>
      </c>
      <c r="K1049" s="2" t="s">
        <v>658</v>
      </c>
      <c r="L1049" s="2" t="s">
        <v>2286</v>
      </c>
      <c r="M1049" t="s">
        <v>260</v>
      </c>
      <c r="N1049" t="s">
        <v>357</v>
      </c>
      <c r="O1049" t="s">
        <v>632</v>
      </c>
      <c r="P1049" t="s">
        <v>3432</v>
      </c>
      <c r="Q1049" t="s">
        <v>2281</v>
      </c>
    </row>
    <row r="1050" spans="1:17">
      <c r="A1050" s="2" t="s">
        <v>2209</v>
      </c>
      <c r="B1050" s="2" t="s">
        <v>495</v>
      </c>
      <c r="C1050" s="2" t="s">
        <v>508</v>
      </c>
      <c r="D1050" s="11">
        <v>45977.545138888891</v>
      </c>
      <c r="E1050" s="11">
        <v>45977.545138888891</v>
      </c>
      <c r="F1050" s="11">
        <v>45977.751388888886</v>
      </c>
      <c r="G1050" s="12">
        <v>0.20624999999563443</v>
      </c>
      <c r="H1050" s="2" t="s">
        <v>257</v>
      </c>
      <c r="J1050" s="2" t="s">
        <v>258</v>
      </c>
      <c r="K1050" s="2" t="s">
        <v>658</v>
      </c>
      <c r="L1050" s="2" t="s">
        <v>2286</v>
      </c>
      <c r="M1050" t="s">
        <v>260</v>
      </c>
      <c r="N1050" t="s">
        <v>357</v>
      </c>
      <c r="O1050" t="s">
        <v>632</v>
      </c>
      <c r="P1050" t="s">
        <v>3433</v>
      </c>
      <c r="Q1050" t="s">
        <v>2281</v>
      </c>
    </row>
    <row r="1051" spans="1:17">
      <c r="A1051" s="2" t="s">
        <v>2209</v>
      </c>
      <c r="B1051" s="2" t="s">
        <v>495</v>
      </c>
      <c r="C1051" s="2" t="s">
        <v>509</v>
      </c>
      <c r="D1051" s="11">
        <v>45977.545138888891</v>
      </c>
      <c r="E1051" s="11">
        <v>45977.545138888891</v>
      </c>
      <c r="F1051" s="11">
        <v>45977.751388888886</v>
      </c>
      <c r="G1051" s="12">
        <v>0.20624999999563443</v>
      </c>
      <c r="H1051" s="2" t="s">
        <v>257</v>
      </c>
      <c r="J1051" s="2" t="s">
        <v>258</v>
      </c>
      <c r="K1051" s="2" t="s">
        <v>658</v>
      </c>
      <c r="L1051" s="2" t="s">
        <v>2286</v>
      </c>
      <c r="M1051" t="s">
        <v>260</v>
      </c>
      <c r="N1051" t="s">
        <v>357</v>
      </c>
      <c r="O1051" t="s">
        <v>632</v>
      </c>
      <c r="P1051" t="s">
        <v>3434</v>
      </c>
      <c r="Q1051" t="s">
        <v>2281</v>
      </c>
    </row>
    <row r="1052" spans="1:17">
      <c r="A1052" s="2" t="s">
        <v>2209</v>
      </c>
      <c r="B1052" s="2" t="s">
        <v>495</v>
      </c>
      <c r="C1052" s="2" t="s">
        <v>510</v>
      </c>
      <c r="D1052" s="11">
        <v>45977.545138888891</v>
      </c>
      <c r="E1052" s="11">
        <v>45977.545138888891</v>
      </c>
      <c r="F1052" s="11">
        <v>45977.751388888886</v>
      </c>
      <c r="G1052" s="12">
        <v>0.20624999999563443</v>
      </c>
      <c r="H1052" s="2" t="s">
        <v>257</v>
      </c>
      <c r="J1052" s="2" t="s">
        <v>258</v>
      </c>
      <c r="K1052" s="2" t="s">
        <v>658</v>
      </c>
      <c r="L1052" s="2" t="s">
        <v>2286</v>
      </c>
      <c r="M1052" t="s">
        <v>260</v>
      </c>
      <c r="N1052" t="s">
        <v>357</v>
      </c>
      <c r="O1052" t="s">
        <v>632</v>
      </c>
      <c r="P1052" t="s">
        <v>3435</v>
      </c>
      <c r="Q1052" t="s">
        <v>2281</v>
      </c>
    </row>
    <row r="1053" spans="1:17">
      <c r="A1053" s="2" t="s">
        <v>2209</v>
      </c>
      <c r="B1053" s="2" t="s">
        <v>495</v>
      </c>
      <c r="C1053" s="2" t="s">
        <v>511</v>
      </c>
      <c r="D1053" s="11">
        <v>45977.545138888891</v>
      </c>
      <c r="E1053" s="11">
        <v>45977.545138888891</v>
      </c>
      <c r="F1053" s="11">
        <v>45977.751388888886</v>
      </c>
      <c r="G1053" s="12">
        <v>0.20624999999563443</v>
      </c>
      <c r="H1053" s="2" t="s">
        <v>257</v>
      </c>
      <c r="J1053" s="2" t="s">
        <v>258</v>
      </c>
      <c r="K1053" s="2" t="s">
        <v>658</v>
      </c>
      <c r="L1053" s="2" t="s">
        <v>2286</v>
      </c>
      <c r="M1053" t="s">
        <v>260</v>
      </c>
      <c r="N1053" t="s">
        <v>357</v>
      </c>
      <c r="O1053" t="s">
        <v>632</v>
      </c>
      <c r="P1053" t="s">
        <v>3436</v>
      </c>
      <c r="Q1053" t="s">
        <v>2281</v>
      </c>
    </row>
    <row r="1054" spans="1:17">
      <c r="A1054" s="2" t="s">
        <v>2209</v>
      </c>
      <c r="B1054" s="2" t="s">
        <v>495</v>
      </c>
      <c r="C1054" s="2" t="s">
        <v>512</v>
      </c>
      <c r="D1054" s="11">
        <v>45977.545138888891</v>
      </c>
      <c r="E1054" s="11">
        <v>45977.545138888891</v>
      </c>
      <c r="F1054" s="11">
        <v>45977.751388888886</v>
      </c>
      <c r="G1054" s="12">
        <v>0.20624999999563443</v>
      </c>
      <c r="H1054" s="2" t="s">
        <v>257</v>
      </c>
      <c r="J1054" s="2" t="s">
        <v>258</v>
      </c>
      <c r="K1054" s="2" t="s">
        <v>658</v>
      </c>
      <c r="L1054" s="2" t="s">
        <v>2286</v>
      </c>
      <c r="M1054" t="s">
        <v>260</v>
      </c>
      <c r="N1054" t="s">
        <v>357</v>
      </c>
      <c r="O1054" t="s">
        <v>632</v>
      </c>
      <c r="P1054" t="s">
        <v>3437</v>
      </c>
      <c r="Q1054" t="s">
        <v>2281</v>
      </c>
    </row>
    <row r="1055" spans="1:17">
      <c r="A1055" s="2" t="s">
        <v>2209</v>
      </c>
      <c r="B1055" s="2" t="s">
        <v>495</v>
      </c>
      <c r="C1055" s="2" t="s">
        <v>513</v>
      </c>
      <c r="D1055" s="11">
        <v>45977.545138888891</v>
      </c>
      <c r="E1055" s="11">
        <v>45977.545138888891</v>
      </c>
      <c r="F1055" s="11">
        <v>45977.751388888886</v>
      </c>
      <c r="G1055" s="12">
        <v>0.20624999999563443</v>
      </c>
      <c r="H1055" s="2" t="s">
        <v>257</v>
      </c>
      <c r="J1055" s="2" t="s">
        <v>258</v>
      </c>
      <c r="K1055" s="2" t="s">
        <v>658</v>
      </c>
      <c r="L1055" s="2" t="s">
        <v>2286</v>
      </c>
      <c r="M1055" t="s">
        <v>260</v>
      </c>
      <c r="N1055" t="s">
        <v>357</v>
      </c>
      <c r="O1055" t="s">
        <v>632</v>
      </c>
      <c r="P1055" t="s">
        <v>3438</v>
      </c>
      <c r="Q1055" t="s">
        <v>2281</v>
      </c>
    </row>
    <row r="1056" spans="1:17">
      <c r="A1056" s="2" t="s">
        <v>2209</v>
      </c>
      <c r="B1056" s="2" t="s">
        <v>495</v>
      </c>
      <c r="C1056" s="2" t="s">
        <v>514</v>
      </c>
      <c r="D1056" s="11">
        <v>45977.545138888891</v>
      </c>
      <c r="E1056" s="11">
        <v>45977.545138888891</v>
      </c>
      <c r="F1056" s="11">
        <v>45977.751388888886</v>
      </c>
      <c r="G1056" s="12">
        <v>0.20624999999563443</v>
      </c>
      <c r="H1056" s="2" t="s">
        <v>257</v>
      </c>
      <c r="J1056" s="2" t="s">
        <v>258</v>
      </c>
      <c r="K1056" s="2" t="s">
        <v>658</v>
      </c>
      <c r="L1056" s="2" t="s">
        <v>2286</v>
      </c>
      <c r="M1056" t="s">
        <v>260</v>
      </c>
      <c r="N1056" t="s">
        <v>357</v>
      </c>
      <c r="O1056" t="s">
        <v>632</v>
      </c>
      <c r="P1056" t="s">
        <v>3439</v>
      </c>
      <c r="Q1056" t="s">
        <v>2281</v>
      </c>
    </row>
    <row r="1057" spans="1:17">
      <c r="A1057" s="2" t="s">
        <v>2209</v>
      </c>
      <c r="B1057" s="2" t="s">
        <v>495</v>
      </c>
      <c r="C1057" s="2" t="s">
        <v>515</v>
      </c>
      <c r="D1057" s="11">
        <v>45977.545138888891</v>
      </c>
      <c r="E1057" s="11">
        <v>45977.545138888891</v>
      </c>
      <c r="F1057" s="11">
        <v>45977.751388888886</v>
      </c>
      <c r="G1057" s="12">
        <v>0.20624999999563443</v>
      </c>
      <c r="H1057" s="2" t="s">
        <v>257</v>
      </c>
      <c r="J1057" s="2" t="s">
        <v>258</v>
      </c>
      <c r="K1057" s="2" t="s">
        <v>658</v>
      </c>
      <c r="L1057" s="2" t="s">
        <v>2286</v>
      </c>
      <c r="M1057" t="s">
        <v>260</v>
      </c>
      <c r="N1057" t="s">
        <v>357</v>
      </c>
      <c r="O1057" t="s">
        <v>632</v>
      </c>
      <c r="P1057" t="s">
        <v>3440</v>
      </c>
      <c r="Q1057" t="s">
        <v>2281</v>
      </c>
    </row>
    <row r="1058" spans="1:17">
      <c r="A1058" s="2" t="s">
        <v>2209</v>
      </c>
      <c r="B1058" s="2" t="s">
        <v>495</v>
      </c>
      <c r="C1058" s="2" t="s">
        <v>516</v>
      </c>
      <c r="D1058" s="11">
        <v>45977.545138888891</v>
      </c>
      <c r="E1058" s="11">
        <v>45977.545138888891</v>
      </c>
      <c r="F1058" s="11">
        <v>45977.751388888886</v>
      </c>
      <c r="G1058" s="12">
        <v>0.20624999999563443</v>
      </c>
      <c r="H1058" s="2" t="s">
        <v>257</v>
      </c>
      <c r="J1058" s="2" t="s">
        <v>258</v>
      </c>
      <c r="K1058" s="2" t="s">
        <v>658</v>
      </c>
      <c r="L1058" s="2" t="s">
        <v>2286</v>
      </c>
      <c r="M1058" t="s">
        <v>260</v>
      </c>
      <c r="N1058" t="s">
        <v>357</v>
      </c>
      <c r="O1058" t="s">
        <v>632</v>
      </c>
      <c r="P1058" t="s">
        <v>3441</v>
      </c>
      <c r="Q1058" t="s">
        <v>2281</v>
      </c>
    </row>
    <row r="1059" spans="1:17">
      <c r="A1059" s="2" t="s">
        <v>2123</v>
      </c>
      <c r="B1059" s="2" t="s">
        <v>585</v>
      </c>
      <c r="C1059" s="2" t="s">
        <v>602</v>
      </c>
      <c r="D1059" s="11">
        <v>45977.9375</v>
      </c>
      <c r="E1059" s="11">
        <v>45977.9375</v>
      </c>
      <c r="F1059" s="11">
        <v>45978.260416666664</v>
      </c>
      <c r="G1059" s="12">
        <v>0.32291666666424135</v>
      </c>
      <c r="H1059" s="2" t="s">
        <v>257</v>
      </c>
      <c r="J1059" s="2" t="s">
        <v>258</v>
      </c>
      <c r="K1059" s="2" t="s">
        <v>658</v>
      </c>
      <c r="L1059" s="2" t="s">
        <v>2286</v>
      </c>
      <c r="M1059" t="s">
        <v>260</v>
      </c>
      <c r="N1059" t="s">
        <v>357</v>
      </c>
      <c r="O1059" t="s">
        <v>632</v>
      </c>
      <c r="P1059" t="s">
        <v>3442</v>
      </c>
      <c r="Q1059" t="s">
        <v>2281</v>
      </c>
    </row>
    <row r="1060" spans="1:17">
      <c r="A1060" s="2" t="s">
        <v>2125</v>
      </c>
      <c r="B1060" s="2" t="s">
        <v>585</v>
      </c>
      <c r="C1060" s="2" t="s">
        <v>595</v>
      </c>
      <c r="D1060" s="11">
        <v>45977.9375</v>
      </c>
      <c r="E1060" s="11">
        <v>45977.9375</v>
      </c>
      <c r="F1060" s="11">
        <v>45978.260416666664</v>
      </c>
      <c r="G1060" s="12">
        <v>0.32291666666424135</v>
      </c>
      <c r="H1060" s="2" t="s">
        <v>257</v>
      </c>
      <c r="J1060" s="2" t="s">
        <v>258</v>
      </c>
      <c r="K1060" s="2" t="s">
        <v>658</v>
      </c>
      <c r="L1060" s="2" t="s">
        <v>2286</v>
      </c>
      <c r="M1060" t="s">
        <v>260</v>
      </c>
      <c r="N1060" t="s">
        <v>357</v>
      </c>
      <c r="O1060" t="s">
        <v>632</v>
      </c>
      <c r="P1060" t="s">
        <v>3443</v>
      </c>
      <c r="Q1060" t="s">
        <v>2281</v>
      </c>
    </row>
    <row r="1061" spans="1:17">
      <c r="A1061" s="2" t="s">
        <v>2125</v>
      </c>
      <c r="B1061" s="2" t="s">
        <v>585</v>
      </c>
      <c r="C1061" s="2" t="s">
        <v>592</v>
      </c>
      <c r="D1061" s="11">
        <v>45977.9375</v>
      </c>
      <c r="E1061" s="11">
        <v>45977.9375</v>
      </c>
      <c r="F1061" s="11">
        <v>45978.260416666664</v>
      </c>
      <c r="G1061" s="12">
        <v>0.32291666666424135</v>
      </c>
      <c r="H1061" s="2" t="s">
        <v>257</v>
      </c>
      <c r="J1061" s="2" t="s">
        <v>258</v>
      </c>
      <c r="K1061" s="2" t="s">
        <v>658</v>
      </c>
      <c r="L1061" s="2" t="s">
        <v>2286</v>
      </c>
      <c r="M1061" t="s">
        <v>260</v>
      </c>
      <c r="N1061" t="s">
        <v>357</v>
      </c>
      <c r="O1061" t="s">
        <v>632</v>
      </c>
      <c r="P1061" t="s">
        <v>3444</v>
      </c>
      <c r="Q1061" t="s">
        <v>2281</v>
      </c>
    </row>
    <row r="1062" spans="1:17">
      <c r="A1062" s="2" t="s">
        <v>2125</v>
      </c>
      <c r="B1062" s="2" t="s">
        <v>585</v>
      </c>
      <c r="C1062" s="2" t="s">
        <v>589</v>
      </c>
      <c r="D1062" s="11">
        <v>45977.9375</v>
      </c>
      <c r="E1062" s="11">
        <v>45977.9375</v>
      </c>
      <c r="F1062" s="11">
        <v>45978.260416666664</v>
      </c>
      <c r="G1062" s="12">
        <v>0.32291666666424135</v>
      </c>
      <c r="H1062" s="2" t="s">
        <v>257</v>
      </c>
      <c r="J1062" s="2" t="s">
        <v>258</v>
      </c>
      <c r="K1062" s="2" t="s">
        <v>658</v>
      </c>
      <c r="L1062" s="2" t="s">
        <v>2286</v>
      </c>
      <c r="M1062" t="s">
        <v>260</v>
      </c>
      <c r="N1062" t="s">
        <v>357</v>
      </c>
      <c r="O1062" t="s">
        <v>632</v>
      </c>
      <c r="P1062" t="s">
        <v>3445</v>
      </c>
      <c r="Q1062" t="s">
        <v>2281</v>
      </c>
    </row>
    <row r="1063" spans="1:17">
      <c r="A1063" s="2" t="s">
        <v>2125</v>
      </c>
      <c r="B1063" s="2" t="s">
        <v>585</v>
      </c>
      <c r="C1063" s="2" t="s">
        <v>593</v>
      </c>
      <c r="D1063" s="11">
        <v>45977.9375</v>
      </c>
      <c r="E1063" s="11">
        <v>45977.9375</v>
      </c>
      <c r="F1063" s="11">
        <v>45978.260416666664</v>
      </c>
      <c r="G1063" s="12">
        <v>0.32291666666424135</v>
      </c>
      <c r="H1063" s="2" t="s">
        <v>257</v>
      </c>
      <c r="J1063" s="2" t="s">
        <v>258</v>
      </c>
      <c r="K1063" s="2" t="s">
        <v>658</v>
      </c>
      <c r="L1063" s="2" t="s">
        <v>2286</v>
      </c>
      <c r="M1063" t="s">
        <v>260</v>
      </c>
      <c r="N1063" t="s">
        <v>357</v>
      </c>
      <c r="O1063" t="s">
        <v>632</v>
      </c>
      <c r="P1063" t="s">
        <v>3446</v>
      </c>
      <c r="Q1063" t="s">
        <v>2281</v>
      </c>
    </row>
    <row r="1064" spans="1:17">
      <c r="A1064" s="2" t="s">
        <v>2125</v>
      </c>
      <c r="B1064" s="2" t="s">
        <v>585</v>
      </c>
      <c r="C1064" s="2" t="s">
        <v>591</v>
      </c>
      <c r="D1064" s="11">
        <v>45977.9375</v>
      </c>
      <c r="E1064" s="11">
        <v>45977.9375</v>
      </c>
      <c r="F1064" s="11">
        <v>45978.260416666664</v>
      </c>
      <c r="G1064" s="12">
        <v>0.32291666666424135</v>
      </c>
      <c r="H1064" s="2" t="s">
        <v>257</v>
      </c>
      <c r="J1064" s="2" t="s">
        <v>258</v>
      </c>
      <c r="K1064" s="2" t="s">
        <v>658</v>
      </c>
      <c r="L1064" s="2" t="s">
        <v>2286</v>
      </c>
      <c r="M1064" t="s">
        <v>260</v>
      </c>
      <c r="N1064" t="s">
        <v>357</v>
      </c>
      <c r="O1064" t="s">
        <v>632</v>
      </c>
      <c r="P1064" t="s">
        <v>3447</v>
      </c>
      <c r="Q1064" t="s">
        <v>2281</v>
      </c>
    </row>
    <row r="1065" spans="1:17">
      <c r="A1065" s="2" t="s">
        <v>2125</v>
      </c>
      <c r="B1065" s="2" t="s">
        <v>585</v>
      </c>
      <c r="C1065" s="2" t="s">
        <v>2293</v>
      </c>
      <c r="D1065" s="11">
        <v>45977.9375</v>
      </c>
      <c r="E1065" s="11">
        <v>45977.9375</v>
      </c>
      <c r="F1065" s="11">
        <v>45978.260416666664</v>
      </c>
      <c r="G1065" s="12">
        <v>0.32291666666424135</v>
      </c>
      <c r="H1065" s="2" t="s">
        <v>257</v>
      </c>
      <c r="J1065" s="2" t="s">
        <v>258</v>
      </c>
      <c r="K1065" s="2" t="s">
        <v>658</v>
      </c>
      <c r="L1065" s="2" t="s">
        <v>2286</v>
      </c>
      <c r="M1065" t="s">
        <v>260</v>
      </c>
      <c r="N1065" t="s">
        <v>357</v>
      </c>
      <c r="O1065" t="s">
        <v>632</v>
      </c>
      <c r="P1065" t="s">
        <v>3448</v>
      </c>
      <c r="Q1065" t="s">
        <v>2281</v>
      </c>
    </row>
    <row r="1066" spans="1:17">
      <c r="A1066" s="2" t="s">
        <v>2134</v>
      </c>
      <c r="B1066" s="2" t="s">
        <v>585</v>
      </c>
      <c r="C1066" s="2" t="s">
        <v>590</v>
      </c>
      <c r="D1066" s="11">
        <v>45977.9375</v>
      </c>
      <c r="E1066" s="11">
        <v>45977.9375</v>
      </c>
      <c r="F1066" s="11">
        <v>45978.260416666664</v>
      </c>
      <c r="G1066" s="12">
        <v>0.32291666666424135</v>
      </c>
      <c r="H1066" s="2" t="s">
        <v>257</v>
      </c>
      <c r="J1066" s="2" t="s">
        <v>258</v>
      </c>
      <c r="K1066" s="2" t="s">
        <v>658</v>
      </c>
      <c r="L1066" s="2" t="s">
        <v>2286</v>
      </c>
      <c r="M1066" t="s">
        <v>260</v>
      </c>
      <c r="N1066" t="s">
        <v>357</v>
      </c>
      <c r="O1066" t="s">
        <v>632</v>
      </c>
      <c r="P1066" t="s">
        <v>3449</v>
      </c>
      <c r="Q1066" t="s">
        <v>2281</v>
      </c>
    </row>
    <row r="1067" spans="1:17">
      <c r="A1067" s="2" t="s">
        <v>2134</v>
      </c>
      <c r="B1067" s="2" t="s">
        <v>585</v>
      </c>
      <c r="C1067" s="2" t="s">
        <v>2091</v>
      </c>
      <c r="D1067" s="11">
        <v>45977.9375</v>
      </c>
      <c r="E1067" s="11">
        <v>45977.9375</v>
      </c>
      <c r="F1067" s="11">
        <v>45978.260416666664</v>
      </c>
      <c r="G1067" s="12">
        <v>0.32291666666424135</v>
      </c>
      <c r="H1067" s="2" t="s">
        <v>257</v>
      </c>
      <c r="J1067" s="2" t="s">
        <v>258</v>
      </c>
      <c r="K1067" s="2" t="s">
        <v>658</v>
      </c>
      <c r="L1067" s="2" t="s">
        <v>2286</v>
      </c>
      <c r="M1067" t="s">
        <v>260</v>
      </c>
      <c r="N1067" t="s">
        <v>357</v>
      </c>
      <c r="O1067" t="s">
        <v>632</v>
      </c>
      <c r="P1067" t="s">
        <v>3450</v>
      </c>
      <c r="Q1067" t="s">
        <v>2281</v>
      </c>
    </row>
    <row r="1068" spans="1:17">
      <c r="A1068" s="2" t="s">
        <v>2134</v>
      </c>
      <c r="B1068" s="2" t="s">
        <v>585</v>
      </c>
      <c r="C1068" s="2" t="s">
        <v>586</v>
      </c>
      <c r="D1068" s="11">
        <v>45977.9375</v>
      </c>
      <c r="E1068" s="11">
        <v>45977.9375</v>
      </c>
      <c r="F1068" s="11">
        <v>45978.260416666664</v>
      </c>
      <c r="G1068" s="12">
        <v>0.32291666666424135</v>
      </c>
      <c r="H1068" s="2" t="s">
        <v>257</v>
      </c>
      <c r="J1068" s="2" t="s">
        <v>258</v>
      </c>
      <c r="K1068" s="2" t="s">
        <v>658</v>
      </c>
      <c r="L1068" s="2" t="s">
        <v>2286</v>
      </c>
      <c r="M1068" t="s">
        <v>260</v>
      </c>
      <c r="N1068" t="s">
        <v>357</v>
      </c>
      <c r="O1068" t="s">
        <v>632</v>
      </c>
      <c r="P1068" t="s">
        <v>3451</v>
      </c>
      <c r="Q1068" t="s">
        <v>2281</v>
      </c>
    </row>
    <row r="1069" spans="1:17">
      <c r="A1069" s="2" t="s">
        <v>2134</v>
      </c>
      <c r="B1069" s="2" t="s">
        <v>585</v>
      </c>
      <c r="C1069" s="2" t="s">
        <v>598</v>
      </c>
      <c r="D1069" s="11">
        <v>45977.9375</v>
      </c>
      <c r="E1069" s="11">
        <v>45977.9375</v>
      </c>
      <c r="F1069" s="11">
        <v>45978.260416666664</v>
      </c>
      <c r="G1069" s="12">
        <v>0.32291666666424135</v>
      </c>
      <c r="H1069" s="2" t="s">
        <v>257</v>
      </c>
      <c r="J1069" s="2" t="s">
        <v>258</v>
      </c>
      <c r="K1069" s="2" t="s">
        <v>658</v>
      </c>
      <c r="L1069" s="2" t="s">
        <v>2286</v>
      </c>
      <c r="M1069" t="s">
        <v>260</v>
      </c>
      <c r="N1069" t="s">
        <v>357</v>
      </c>
      <c r="O1069" t="s">
        <v>632</v>
      </c>
      <c r="P1069" t="s">
        <v>3452</v>
      </c>
      <c r="Q1069" t="s">
        <v>2281</v>
      </c>
    </row>
    <row r="1070" spans="1:17">
      <c r="A1070" s="2" t="s">
        <v>2134</v>
      </c>
      <c r="B1070" s="2" t="s">
        <v>585</v>
      </c>
      <c r="C1070" s="2" t="s">
        <v>600</v>
      </c>
      <c r="D1070" s="11">
        <v>45977.9375</v>
      </c>
      <c r="E1070" s="11">
        <v>45977.9375</v>
      </c>
      <c r="F1070" s="11">
        <v>45978.260416666664</v>
      </c>
      <c r="G1070" s="12">
        <v>0.32291666666424135</v>
      </c>
      <c r="H1070" s="2" t="s">
        <v>257</v>
      </c>
      <c r="J1070" s="2" t="s">
        <v>258</v>
      </c>
      <c r="K1070" s="2" t="s">
        <v>658</v>
      </c>
      <c r="L1070" s="2" t="s">
        <v>2286</v>
      </c>
      <c r="M1070" t="s">
        <v>260</v>
      </c>
      <c r="N1070" t="s">
        <v>357</v>
      </c>
      <c r="O1070" t="s">
        <v>632</v>
      </c>
      <c r="P1070" t="s">
        <v>3453</v>
      </c>
      <c r="Q1070" t="s">
        <v>2281</v>
      </c>
    </row>
    <row r="1071" spans="1:17">
      <c r="A1071" s="2" t="s">
        <v>2134</v>
      </c>
      <c r="B1071" s="2" t="s">
        <v>585</v>
      </c>
      <c r="C1071" s="2" t="s">
        <v>596</v>
      </c>
      <c r="D1071" s="11">
        <v>45977.9375</v>
      </c>
      <c r="E1071" s="11">
        <v>45977.9375</v>
      </c>
      <c r="F1071" s="11">
        <v>45978.260416666664</v>
      </c>
      <c r="G1071" s="12">
        <v>0.32291666666424135</v>
      </c>
      <c r="H1071" s="2" t="s">
        <v>257</v>
      </c>
      <c r="J1071" s="2" t="s">
        <v>258</v>
      </c>
      <c r="K1071" s="2" t="s">
        <v>658</v>
      </c>
      <c r="L1071" s="2" t="s">
        <v>2286</v>
      </c>
      <c r="M1071" t="s">
        <v>260</v>
      </c>
      <c r="N1071" t="s">
        <v>357</v>
      </c>
      <c r="O1071" t="s">
        <v>632</v>
      </c>
      <c r="P1071" t="s">
        <v>3454</v>
      </c>
      <c r="Q1071" t="s">
        <v>2281</v>
      </c>
    </row>
    <row r="1072" spans="1:17">
      <c r="A1072" s="2" t="s">
        <v>2134</v>
      </c>
      <c r="B1072" s="2" t="s">
        <v>585</v>
      </c>
      <c r="C1072" s="2" t="s">
        <v>599</v>
      </c>
      <c r="D1072" s="11">
        <v>45977.9375</v>
      </c>
      <c r="E1072" s="11">
        <v>45977.9375</v>
      </c>
      <c r="F1072" s="11">
        <v>45978.260416666664</v>
      </c>
      <c r="G1072" s="12">
        <v>0.32291666666424135</v>
      </c>
      <c r="H1072" s="2" t="s">
        <v>257</v>
      </c>
      <c r="J1072" s="2" t="s">
        <v>258</v>
      </c>
      <c r="K1072" s="2" t="s">
        <v>658</v>
      </c>
      <c r="L1072" s="2" t="s">
        <v>2286</v>
      </c>
      <c r="M1072" t="s">
        <v>260</v>
      </c>
      <c r="N1072" t="s">
        <v>357</v>
      </c>
      <c r="O1072" t="s">
        <v>632</v>
      </c>
      <c r="P1072" t="s">
        <v>3455</v>
      </c>
      <c r="Q1072" t="s">
        <v>2281</v>
      </c>
    </row>
    <row r="1073" spans="1:17">
      <c r="A1073" s="2" t="s">
        <v>2134</v>
      </c>
      <c r="B1073" s="2" t="s">
        <v>585</v>
      </c>
      <c r="C1073" s="2" t="s">
        <v>603</v>
      </c>
      <c r="D1073" s="11">
        <v>45977.9375</v>
      </c>
      <c r="E1073" s="11">
        <v>45977.9375</v>
      </c>
      <c r="F1073" s="11">
        <v>45978.260416666664</v>
      </c>
      <c r="G1073" s="12">
        <v>0.32291666666424135</v>
      </c>
      <c r="H1073" s="2" t="s">
        <v>257</v>
      </c>
      <c r="J1073" s="2" t="s">
        <v>258</v>
      </c>
      <c r="K1073" s="2" t="s">
        <v>658</v>
      </c>
      <c r="L1073" s="2" t="s">
        <v>2286</v>
      </c>
      <c r="M1073" t="s">
        <v>260</v>
      </c>
      <c r="N1073" t="s">
        <v>357</v>
      </c>
      <c r="O1073" t="s">
        <v>632</v>
      </c>
      <c r="P1073" t="s">
        <v>3456</v>
      </c>
      <c r="Q1073" t="s">
        <v>2281</v>
      </c>
    </row>
    <row r="1074" spans="1:17">
      <c r="A1074" s="2" t="s">
        <v>2134</v>
      </c>
      <c r="B1074" s="2" t="s">
        <v>585</v>
      </c>
      <c r="C1074" s="2" t="s">
        <v>588</v>
      </c>
      <c r="D1074" s="11">
        <v>45977.9375</v>
      </c>
      <c r="E1074" s="11">
        <v>45977.9375</v>
      </c>
      <c r="F1074" s="11">
        <v>45978.260416666664</v>
      </c>
      <c r="G1074" s="12">
        <v>0.32291666666424135</v>
      </c>
      <c r="H1074" s="2" t="s">
        <v>257</v>
      </c>
      <c r="J1074" s="2" t="s">
        <v>258</v>
      </c>
      <c r="K1074" s="2" t="s">
        <v>658</v>
      </c>
      <c r="L1074" s="2" t="s">
        <v>2286</v>
      </c>
      <c r="M1074" t="s">
        <v>260</v>
      </c>
      <c r="N1074" t="s">
        <v>357</v>
      </c>
      <c r="O1074" t="s">
        <v>632</v>
      </c>
      <c r="P1074" t="s">
        <v>3457</v>
      </c>
      <c r="Q1074" t="s">
        <v>2281</v>
      </c>
    </row>
    <row r="1075" spans="1:17">
      <c r="A1075" s="2" t="s">
        <v>2134</v>
      </c>
      <c r="B1075" s="2" t="s">
        <v>585</v>
      </c>
      <c r="C1075" s="2" t="s">
        <v>594</v>
      </c>
      <c r="D1075" s="11">
        <v>45977.9375</v>
      </c>
      <c r="E1075" s="11">
        <v>45977.9375</v>
      </c>
      <c r="F1075" s="11">
        <v>45978.260416666664</v>
      </c>
      <c r="G1075" s="12">
        <f>F1075-E1075</f>
        <v>0.32291666666424135</v>
      </c>
      <c r="H1075" s="2" t="s">
        <v>257</v>
      </c>
      <c r="J1075" s="2" t="s">
        <v>258</v>
      </c>
      <c r="K1075" s="2" t="s">
        <v>658</v>
      </c>
      <c r="L1075" s="2" t="s">
        <v>2286</v>
      </c>
      <c r="M1075" t="s">
        <v>260</v>
      </c>
      <c r="N1075" t="s">
        <v>357</v>
      </c>
      <c r="O1075" t="s">
        <v>632</v>
      </c>
      <c r="P1075" t="s">
        <v>3458</v>
      </c>
      <c r="Q1075" t="s">
        <v>2281</v>
      </c>
    </row>
    <row r="1076" spans="1:17">
      <c r="A1076" s="2" t="s">
        <v>2132</v>
      </c>
      <c r="B1076" s="2" t="s">
        <v>456</v>
      </c>
      <c r="C1076" s="2" t="s">
        <v>457</v>
      </c>
      <c r="D1076" s="11">
        <v>45977.9375</v>
      </c>
      <c r="E1076" s="11">
        <v>45977.9375</v>
      </c>
      <c r="F1076" s="11">
        <v>45978.319444444445</v>
      </c>
      <c r="G1076" s="12">
        <v>0.38194444444525288</v>
      </c>
      <c r="H1076" s="2" t="s">
        <v>257</v>
      </c>
      <c r="J1076" s="2" t="s">
        <v>258</v>
      </c>
      <c r="K1076" s="2" t="s">
        <v>658</v>
      </c>
      <c r="L1076" s="2" t="s">
        <v>2286</v>
      </c>
      <c r="M1076" t="s">
        <v>260</v>
      </c>
      <c r="N1076" t="s">
        <v>357</v>
      </c>
      <c r="O1076" t="s">
        <v>632</v>
      </c>
      <c r="P1076" t="s">
        <v>3459</v>
      </c>
      <c r="Q1076" t="s">
        <v>2281</v>
      </c>
    </row>
    <row r="1077" spans="1:17">
      <c r="A1077" s="2" t="s">
        <v>2132</v>
      </c>
      <c r="B1077" s="2" t="s">
        <v>456</v>
      </c>
      <c r="C1077" s="2" t="s">
        <v>459</v>
      </c>
      <c r="D1077" s="11">
        <v>45977.9375</v>
      </c>
      <c r="E1077" s="11">
        <v>45977.9375</v>
      </c>
      <c r="F1077" s="11">
        <v>45978.319444444445</v>
      </c>
      <c r="G1077" s="12">
        <v>0.38194444444525288</v>
      </c>
      <c r="H1077" s="2" t="s">
        <v>257</v>
      </c>
      <c r="J1077" s="2" t="s">
        <v>258</v>
      </c>
      <c r="K1077" s="2" t="s">
        <v>658</v>
      </c>
      <c r="L1077" s="2" t="s">
        <v>2286</v>
      </c>
      <c r="M1077" t="s">
        <v>260</v>
      </c>
      <c r="N1077" t="s">
        <v>357</v>
      </c>
      <c r="O1077" t="s">
        <v>632</v>
      </c>
      <c r="P1077" t="s">
        <v>3460</v>
      </c>
      <c r="Q1077" t="s">
        <v>2281</v>
      </c>
    </row>
    <row r="1078" spans="1:17">
      <c r="A1078" s="2" t="s">
        <v>2132</v>
      </c>
      <c r="B1078" s="2" t="s">
        <v>456</v>
      </c>
      <c r="C1078" s="2" t="s">
        <v>460</v>
      </c>
      <c r="D1078" s="11">
        <v>45977.9375</v>
      </c>
      <c r="E1078" s="11">
        <v>45977.9375</v>
      </c>
      <c r="F1078" s="11">
        <v>45978.319444444445</v>
      </c>
      <c r="G1078" s="12">
        <v>0.38194444444525288</v>
      </c>
      <c r="H1078" s="2" t="s">
        <v>257</v>
      </c>
      <c r="J1078" s="2" t="s">
        <v>258</v>
      </c>
      <c r="K1078" s="2" t="s">
        <v>658</v>
      </c>
      <c r="L1078" s="2" t="s">
        <v>2286</v>
      </c>
      <c r="M1078" t="s">
        <v>260</v>
      </c>
      <c r="N1078" t="s">
        <v>357</v>
      </c>
      <c r="O1078" t="s">
        <v>632</v>
      </c>
      <c r="P1078" t="s">
        <v>3461</v>
      </c>
      <c r="Q1078" t="s">
        <v>2281</v>
      </c>
    </row>
    <row r="1079" spans="1:17">
      <c r="A1079" s="2" t="s">
        <v>2132</v>
      </c>
      <c r="B1079" s="2" t="s">
        <v>456</v>
      </c>
      <c r="C1079" s="2" t="s">
        <v>461</v>
      </c>
      <c r="D1079" s="11">
        <v>45977.9375</v>
      </c>
      <c r="E1079" s="11">
        <v>45977.9375</v>
      </c>
      <c r="F1079" s="11">
        <v>45978.319444444445</v>
      </c>
      <c r="G1079" s="12">
        <v>0.38194444444525288</v>
      </c>
      <c r="H1079" s="2" t="s">
        <v>257</v>
      </c>
      <c r="J1079" s="2" t="s">
        <v>258</v>
      </c>
      <c r="K1079" s="2" t="s">
        <v>658</v>
      </c>
      <c r="L1079" s="2" t="s">
        <v>2286</v>
      </c>
      <c r="M1079" t="s">
        <v>260</v>
      </c>
      <c r="N1079" t="s">
        <v>357</v>
      </c>
      <c r="O1079" t="s">
        <v>632</v>
      </c>
      <c r="P1079" t="s">
        <v>3462</v>
      </c>
      <c r="Q1079" t="s">
        <v>2281</v>
      </c>
    </row>
    <row r="1080" spans="1:17">
      <c r="A1080" s="2" t="s">
        <v>2132</v>
      </c>
      <c r="B1080" s="2" t="s">
        <v>456</v>
      </c>
      <c r="C1080" s="2" t="s">
        <v>462</v>
      </c>
      <c r="D1080" s="11">
        <v>45977.9375</v>
      </c>
      <c r="E1080" s="11">
        <v>45977.9375</v>
      </c>
      <c r="F1080" s="11">
        <v>45978.319444444445</v>
      </c>
      <c r="G1080" s="12">
        <v>0.38194444444525288</v>
      </c>
      <c r="H1080" s="2" t="s">
        <v>257</v>
      </c>
      <c r="J1080" s="2" t="s">
        <v>258</v>
      </c>
      <c r="K1080" s="2" t="s">
        <v>658</v>
      </c>
      <c r="L1080" s="2" t="s">
        <v>2286</v>
      </c>
      <c r="M1080" t="s">
        <v>260</v>
      </c>
      <c r="N1080" t="s">
        <v>357</v>
      </c>
      <c r="O1080" t="s">
        <v>632</v>
      </c>
      <c r="P1080" t="s">
        <v>3463</v>
      </c>
      <c r="Q1080" t="s">
        <v>2281</v>
      </c>
    </row>
    <row r="1081" spans="1:17">
      <c r="A1081" s="2" t="s">
        <v>2132</v>
      </c>
      <c r="B1081" s="2" t="s">
        <v>456</v>
      </c>
      <c r="C1081" s="2" t="s">
        <v>463</v>
      </c>
      <c r="D1081" s="11">
        <v>45977.9375</v>
      </c>
      <c r="E1081" s="11">
        <v>45977.9375</v>
      </c>
      <c r="F1081" s="11">
        <v>45978.319444444445</v>
      </c>
      <c r="G1081" s="12">
        <v>0.38194444444525288</v>
      </c>
      <c r="H1081" s="2" t="s">
        <v>257</v>
      </c>
      <c r="J1081" s="2" t="s">
        <v>258</v>
      </c>
      <c r="K1081" s="2" t="s">
        <v>658</v>
      </c>
      <c r="L1081" s="2" t="s">
        <v>2286</v>
      </c>
      <c r="M1081" t="s">
        <v>260</v>
      </c>
      <c r="N1081" t="s">
        <v>357</v>
      </c>
      <c r="O1081" t="s">
        <v>632</v>
      </c>
      <c r="P1081" t="s">
        <v>3464</v>
      </c>
      <c r="Q1081" t="s">
        <v>2281</v>
      </c>
    </row>
    <row r="1082" spans="1:17">
      <c r="A1082" s="2" t="s">
        <v>2132</v>
      </c>
      <c r="B1082" s="2" t="s">
        <v>456</v>
      </c>
      <c r="C1082" s="2" t="s">
        <v>464</v>
      </c>
      <c r="D1082" s="11">
        <v>45977.9375</v>
      </c>
      <c r="E1082" s="11">
        <v>45977.9375</v>
      </c>
      <c r="F1082" s="11">
        <v>45978.319444444445</v>
      </c>
      <c r="G1082" s="12">
        <v>0.38194444444525288</v>
      </c>
      <c r="H1082" s="2" t="s">
        <v>257</v>
      </c>
      <c r="J1082" s="2" t="s">
        <v>258</v>
      </c>
      <c r="K1082" s="2" t="s">
        <v>658</v>
      </c>
      <c r="L1082" s="2" t="s">
        <v>2286</v>
      </c>
      <c r="M1082" t="s">
        <v>260</v>
      </c>
      <c r="N1082" t="s">
        <v>357</v>
      </c>
      <c r="O1082" t="s">
        <v>632</v>
      </c>
      <c r="P1082" t="s">
        <v>3465</v>
      </c>
      <c r="Q1082" t="s">
        <v>2281</v>
      </c>
    </row>
    <row r="1083" spans="1:17">
      <c r="A1083" s="2" t="s">
        <v>2132</v>
      </c>
      <c r="B1083" s="2" t="s">
        <v>456</v>
      </c>
      <c r="C1083" s="2" t="s">
        <v>465</v>
      </c>
      <c r="D1083" s="11">
        <v>45977.9375</v>
      </c>
      <c r="E1083" s="11">
        <v>45977.9375</v>
      </c>
      <c r="F1083" s="11">
        <v>45978.319444444445</v>
      </c>
      <c r="G1083" s="12">
        <v>0.38194444444525288</v>
      </c>
      <c r="H1083" s="2" t="s">
        <v>257</v>
      </c>
      <c r="J1083" s="2" t="s">
        <v>258</v>
      </c>
      <c r="K1083" s="2" t="s">
        <v>658</v>
      </c>
      <c r="L1083" s="2" t="s">
        <v>2286</v>
      </c>
      <c r="M1083" t="s">
        <v>260</v>
      </c>
      <c r="N1083" t="s">
        <v>357</v>
      </c>
      <c r="O1083" t="s">
        <v>632</v>
      </c>
      <c r="P1083" t="s">
        <v>3466</v>
      </c>
      <c r="Q1083" t="s">
        <v>2281</v>
      </c>
    </row>
    <row r="1084" spans="1:17">
      <c r="A1084" s="2" t="s">
        <v>2133</v>
      </c>
      <c r="B1084" s="2" t="s">
        <v>456</v>
      </c>
      <c r="C1084" s="2" t="s">
        <v>466</v>
      </c>
      <c r="D1084" s="11">
        <v>45977.9375</v>
      </c>
      <c r="E1084" s="11">
        <v>45977.9375</v>
      </c>
      <c r="F1084" s="11">
        <v>45978.319444444445</v>
      </c>
      <c r="G1084" s="12">
        <v>0.38194444444525288</v>
      </c>
      <c r="H1084" s="2" t="s">
        <v>257</v>
      </c>
      <c r="J1084" s="2" t="s">
        <v>258</v>
      </c>
      <c r="K1084" s="2" t="s">
        <v>658</v>
      </c>
      <c r="L1084" s="2" t="s">
        <v>2286</v>
      </c>
      <c r="M1084" t="s">
        <v>260</v>
      </c>
      <c r="N1084" t="s">
        <v>357</v>
      </c>
      <c r="O1084" t="s">
        <v>632</v>
      </c>
      <c r="P1084" t="s">
        <v>3467</v>
      </c>
      <c r="Q1084" t="s">
        <v>2281</v>
      </c>
    </row>
    <row r="1085" spans="1:17">
      <c r="A1085" s="2" t="s">
        <v>2133</v>
      </c>
      <c r="B1085" s="2" t="s">
        <v>456</v>
      </c>
      <c r="C1085" s="2" t="s">
        <v>467</v>
      </c>
      <c r="D1085" s="11">
        <v>45977.9375</v>
      </c>
      <c r="E1085" s="11">
        <v>45977.9375</v>
      </c>
      <c r="F1085" s="11">
        <v>45978.319444444445</v>
      </c>
      <c r="G1085" s="12">
        <v>0.38194444444525288</v>
      </c>
      <c r="H1085" s="2" t="s">
        <v>257</v>
      </c>
      <c r="J1085" s="2" t="s">
        <v>258</v>
      </c>
      <c r="K1085" s="2" t="s">
        <v>658</v>
      </c>
      <c r="L1085" s="2" t="s">
        <v>2286</v>
      </c>
      <c r="M1085" t="s">
        <v>260</v>
      </c>
      <c r="N1085" t="s">
        <v>357</v>
      </c>
      <c r="O1085" t="s">
        <v>632</v>
      </c>
      <c r="P1085" t="s">
        <v>3468</v>
      </c>
      <c r="Q1085" t="s">
        <v>2281</v>
      </c>
    </row>
    <row r="1086" spans="1:17">
      <c r="A1086" s="2" t="s">
        <v>2133</v>
      </c>
      <c r="B1086" s="2" t="s">
        <v>456</v>
      </c>
      <c r="C1086" s="2" t="s">
        <v>468</v>
      </c>
      <c r="D1086" s="11">
        <v>45977.9375</v>
      </c>
      <c r="E1086" s="11">
        <v>45977.9375</v>
      </c>
      <c r="F1086" s="11">
        <v>45978.319444444445</v>
      </c>
      <c r="G1086" s="12">
        <v>0.38194444444525288</v>
      </c>
      <c r="H1086" s="2" t="s">
        <v>257</v>
      </c>
      <c r="J1086" s="2" t="s">
        <v>258</v>
      </c>
      <c r="K1086" s="2" t="s">
        <v>658</v>
      </c>
      <c r="L1086" s="2" t="s">
        <v>2286</v>
      </c>
      <c r="M1086" t="s">
        <v>260</v>
      </c>
      <c r="N1086" t="s">
        <v>357</v>
      </c>
      <c r="O1086" t="s">
        <v>632</v>
      </c>
      <c r="P1086" t="s">
        <v>3469</v>
      </c>
      <c r="Q1086" t="s">
        <v>2281</v>
      </c>
    </row>
    <row r="1087" spans="1:17">
      <c r="A1087" s="2" t="s">
        <v>2133</v>
      </c>
      <c r="B1087" s="2" t="s">
        <v>456</v>
      </c>
      <c r="C1087" s="2" t="s">
        <v>469</v>
      </c>
      <c r="D1087" s="11">
        <v>45977.9375</v>
      </c>
      <c r="E1087" s="11">
        <v>45977.9375</v>
      </c>
      <c r="F1087" s="11">
        <v>45978.319444444445</v>
      </c>
      <c r="G1087" s="12">
        <v>0.38194444444525288</v>
      </c>
      <c r="H1087" s="2" t="s">
        <v>257</v>
      </c>
      <c r="J1087" s="2" t="s">
        <v>258</v>
      </c>
      <c r="K1087" s="2" t="s">
        <v>658</v>
      </c>
      <c r="L1087" s="2" t="s">
        <v>2286</v>
      </c>
      <c r="M1087" t="s">
        <v>260</v>
      </c>
      <c r="N1087" t="s">
        <v>357</v>
      </c>
      <c r="O1087" t="s">
        <v>632</v>
      </c>
      <c r="P1087" t="s">
        <v>3470</v>
      </c>
      <c r="Q1087" t="s">
        <v>2281</v>
      </c>
    </row>
    <row r="1088" spans="1:17">
      <c r="A1088" s="2" t="s">
        <v>2133</v>
      </c>
      <c r="B1088" s="2" t="s">
        <v>456</v>
      </c>
      <c r="C1088" s="2" t="s">
        <v>470</v>
      </c>
      <c r="D1088" s="11">
        <v>45977.9375</v>
      </c>
      <c r="E1088" s="11">
        <v>45977.9375</v>
      </c>
      <c r="F1088" s="11">
        <v>45978.319444444445</v>
      </c>
      <c r="G1088" s="12">
        <v>0.38194444444525288</v>
      </c>
      <c r="H1088" s="2" t="s">
        <v>257</v>
      </c>
      <c r="J1088" s="2" t="s">
        <v>258</v>
      </c>
      <c r="K1088" s="2" t="s">
        <v>658</v>
      </c>
      <c r="L1088" s="2" t="s">
        <v>2286</v>
      </c>
      <c r="M1088" t="s">
        <v>260</v>
      </c>
      <c r="N1088" t="s">
        <v>357</v>
      </c>
      <c r="O1088" t="s">
        <v>632</v>
      </c>
      <c r="P1088" t="s">
        <v>3471</v>
      </c>
      <c r="Q1088" t="s">
        <v>2281</v>
      </c>
    </row>
    <row r="1089" spans="1:17">
      <c r="A1089" s="2" t="s">
        <v>2133</v>
      </c>
      <c r="B1089" s="2" t="s">
        <v>456</v>
      </c>
      <c r="C1089" s="2" t="s">
        <v>471</v>
      </c>
      <c r="D1089" s="11">
        <v>45977.9375</v>
      </c>
      <c r="E1089" s="11">
        <v>45977.9375</v>
      </c>
      <c r="F1089" s="11">
        <v>45978.319444444445</v>
      </c>
      <c r="G1089" s="12">
        <v>0.38194444444525288</v>
      </c>
      <c r="H1089" s="2" t="s">
        <v>257</v>
      </c>
      <c r="J1089" s="2" t="s">
        <v>258</v>
      </c>
      <c r="K1089" s="2" t="s">
        <v>658</v>
      </c>
      <c r="L1089" s="2" t="s">
        <v>2286</v>
      </c>
      <c r="M1089" t="s">
        <v>260</v>
      </c>
      <c r="N1089" t="s">
        <v>357</v>
      </c>
      <c r="O1089" t="s">
        <v>632</v>
      </c>
      <c r="P1089" t="s">
        <v>3472</v>
      </c>
      <c r="Q1089" t="s">
        <v>2281</v>
      </c>
    </row>
    <row r="1090" spans="1:17">
      <c r="A1090" s="2" t="s">
        <v>2133</v>
      </c>
      <c r="B1090" s="2" t="s">
        <v>456</v>
      </c>
      <c r="C1090" s="2" t="s">
        <v>472</v>
      </c>
      <c r="D1090" s="11">
        <v>45977.9375</v>
      </c>
      <c r="E1090" s="11">
        <v>45977.9375</v>
      </c>
      <c r="F1090" s="11">
        <v>45978.319444444445</v>
      </c>
      <c r="G1090" s="12">
        <v>0.38194444444525288</v>
      </c>
      <c r="H1090" s="2" t="s">
        <v>257</v>
      </c>
      <c r="J1090" s="2" t="s">
        <v>258</v>
      </c>
      <c r="K1090" s="2" t="s">
        <v>658</v>
      </c>
      <c r="L1090" s="2" t="s">
        <v>2286</v>
      </c>
      <c r="M1090" t="s">
        <v>260</v>
      </c>
      <c r="N1090" t="s">
        <v>357</v>
      </c>
      <c r="O1090" t="s">
        <v>632</v>
      </c>
      <c r="P1090" t="s">
        <v>3473</v>
      </c>
      <c r="Q1090" t="s">
        <v>2281</v>
      </c>
    </row>
    <row r="1091" spans="1:17">
      <c r="A1091" s="2" t="s">
        <v>2146</v>
      </c>
      <c r="B1091" s="2" t="s">
        <v>456</v>
      </c>
      <c r="C1091" s="2" t="s">
        <v>473</v>
      </c>
      <c r="D1091" s="11">
        <v>45977.9375</v>
      </c>
      <c r="E1091" s="11">
        <v>45977.9375</v>
      </c>
      <c r="F1091" s="11">
        <v>45978.319444444445</v>
      </c>
      <c r="G1091" s="12">
        <v>0.38194444444525288</v>
      </c>
      <c r="H1091" s="2" t="s">
        <v>257</v>
      </c>
      <c r="J1091" s="2" t="s">
        <v>258</v>
      </c>
      <c r="K1091" s="2" t="s">
        <v>658</v>
      </c>
      <c r="L1091" s="2" t="s">
        <v>2286</v>
      </c>
      <c r="M1091" t="s">
        <v>260</v>
      </c>
      <c r="N1091" t="s">
        <v>357</v>
      </c>
      <c r="O1091" t="s">
        <v>632</v>
      </c>
      <c r="P1091" t="s">
        <v>3474</v>
      </c>
      <c r="Q1091" t="s">
        <v>2281</v>
      </c>
    </row>
    <row r="1092" spans="1:17">
      <c r="A1092" s="2" t="s">
        <v>2146</v>
      </c>
      <c r="B1092" s="2" t="s">
        <v>456</v>
      </c>
      <c r="C1092" s="2" t="s">
        <v>474</v>
      </c>
      <c r="D1092" s="11">
        <v>45977.9375</v>
      </c>
      <c r="E1092" s="11">
        <v>45977.9375</v>
      </c>
      <c r="F1092" s="11">
        <v>45978.319444444445</v>
      </c>
      <c r="G1092" s="12">
        <v>0.38194444444525288</v>
      </c>
      <c r="H1092" s="2" t="s">
        <v>257</v>
      </c>
      <c r="J1092" s="2" t="s">
        <v>258</v>
      </c>
      <c r="K1092" s="2" t="s">
        <v>658</v>
      </c>
      <c r="L1092" s="2" t="s">
        <v>2286</v>
      </c>
      <c r="M1092" t="s">
        <v>260</v>
      </c>
      <c r="N1092" t="s">
        <v>357</v>
      </c>
      <c r="O1092" t="s">
        <v>632</v>
      </c>
      <c r="P1092" t="s">
        <v>3475</v>
      </c>
      <c r="Q1092" t="s">
        <v>2281</v>
      </c>
    </row>
    <row r="1093" spans="1:17">
      <c r="A1093" s="2" t="s">
        <v>2146</v>
      </c>
      <c r="B1093" s="2" t="s">
        <v>456</v>
      </c>
      <c r="C1093" s="2" t="s">
        <v>475</v>
      </c>
      <c r="D1093" s="11">
        <v>45977.9375</v>
      </c>
      <c r="E1093" s="11">
        <v>45977.9375</v>
      </c>
      <c r="F1093" s="11">
        <v>45978.319444444445</v>
      </c>
      <c r="G1093" s="12">
        <v>0.38194444444525288</v>
      </c>
      <c r="H1093" s="2" t="s">
        <v>257</v>
      </c>
      <c r="J1093" s="2" t="s">
        <v>258</v>
      </c>
      <c r="K1093" s="2" t="s">
        <v>658</v>
      </c>
      <c r="L1093" s="2" t="s">
        <v>2286</v>
      </c>
      <c r="M1093" t="s">
        <v>260</v>
      </c>
      <c r="N1093" t="s">
        <v>357</v>
      </c>
      <c r="O1093" t="s">
        <v>632</v>
      </c>
      <c r="P1093" t="s">
        <v>3476</v>
      </c>
      <c r="Q1093" t="s">
        <v>2281</v>
      </c>
    </row>
    <row r="1094" spans="1:17">
      <c r="A1094" s="2" t="s">
        <v>2146</v>
      </c>
      <c r="B1094" s="2" t="s">
        <v>456</v>
      </c>
      <c r="C1094" s="2" t="s">
        <v>476</v>
      </c>
      <c r="D1094" s="11">
        <v>45977.9375</v>
      </c>
      <c r="E1094" s="11">
        <v>45977.9375</v>
      </c>
      <c r="F1094" s="11">
        <v>45978.319444444445</v>
      </c>
      <c r="G1094" s="12">
        <v>0.38194444444525288</v>
      </c>
      <c r="H1094" s="2" t="s">
        <v>257</v>
      </c>
      <c r="J1094" s="2" t="s">
        <v>258</v>
      </c>
      <c r="K1094" s="2" t="s">
        <v>658</v>
      </c>
      <c r="L1094" s="2" t="s">
        <v>2286</v>
      </c>
      <c r="M1094" t="s">
        <v>260</v>
      </c>
      <c r="N1094" t="s">
        <v>357</v>
      </c>
      <c r="O1094" t="s">
        <v>632</v>
      </c>
      <c r="P1094" t="s">
        <v>3477</v>
      </c>
      <c r="Q1094" t="s">
        <v>2281</v>
      </c>
    </row>
    <row r="1095" spans="1:17">
      <c r="A1095" s="2" t="s">
        <v>2146</v>
      </c>
      <c r="B1095" s="2" t="s">
        <v>456</v>
      </c>
      <c r="C1095" s="2" t="s">
        <v>477</v>
      </c>
      <c r="D1095" s="11">
        <v>45977.9375</v>
      </c>
      <c r="E1095" s="11">
        <v>45977.9375</v>
      </c>
      <c r="F1095" s="11">
        <v>45978.319444444445</v>
      </c>
      <c r="G1095" s="12">
        <v>0.38194444444525288</v>
      </c>
      <c r="H1095" s="2" t="s">
        <v>257</v>
      </c>
      <c r="J1095" s="2" t="s">
        <v>258</v>
      </c>
      <c r="K1095" s="2" t="s">
        <v>658</v>
      </c>
      <c r="L1095" s="2" t="s">
        <v>2286</v>
      </c>
      <c r="M1095" t="s">
        <v>260</v>
      </c>
      <c r="N1095" t="s">
        <v>357</v>
      </c>
      <c r="O1095" t="s">
        <v>632</v>
      </c>
      <c r="P1095" t="s">
        <v>3478</v>
      </c>
      <c r="Q1095" t="s">
        <v>2281</v>
      </c>
    </row>
    <row r="1096" spans="1:17">
      <c r="A1096" s="2" t="s">
        <v>2147</v>
      </c>
      <c r="B1096" s="2" t="s">
        <v>456</v>
      </c>
      <c r="C1096" s="2" t="s">
        <v>478</v>
      </c>
      <c r="D1096" s="11">
        <v>45977.9375</v>
      </c>
      <c r="E1096" s="11">
        <v>45977.9375</v>
      </c>
      <c r="F1096" s="11">
        <v>45978.319444444445</v>
      </c>
      <c r="G1096" s="12">
        <v>0.38194444444525288</v>
      </c>
      <c r="H1096" s="2" t="s">
        <v>257</v>
      </c>
      <c r="J1096" s="2" t="s">
        <v>258</v>
      </c>
      <c r="K1096" s="2" t="s">
        <v>658</v>
      </c>
      <c r="L1096" s="2" t="s">
        <v>2286</v>
      </c>
      <c r="M1096" t="s">
        <v>260</v>
      </c>
      <c r="N1096" t="s">
        <v>357</v>
      </c>
      <c r="O1096" t="s">
        <v>632</v>
      </c>
      <c r="P1096" t="s">
        <v>3479</v>
      </c>
      <c r="Q1096" t="s">
        <v>2281</v>
      </c>
    </row>
    <row r="1097" spans="1:17">
      <c r="A1097" s="2" t="s">
        <v>2147</v>
      </c>
      <c r="B1097" s="2" t="s">
        <v>456</v>
      </c>
      <c r="C1097" s="2" t="s">
        <v>479</v>
      </c>
      <c r="D1097" s="11">
        <v>45977.9375</v>
      </c>
      <c r="E1097" s="11">
        <v>45977.9375</v>
      </c>
      <c r="F1097" s="11">
        <v>45978.319444444445</v>
      </c>
      <c r="G1097" s="12">
        <v>0.38194444444525288</v>
      </c>
      <c r="H1097" s="2" t="s">
        <v>257</v>
      </c>
      <c r="J1097" s="2" t="s">
        <v>258</v>
      </c>
      <c r="K1097" s="2" t="s">
        <v>658</v>
      </c>
      <c r="L1097" s="2" t="s">
        <v>2286</v>
      </c>
      <c r="M1097" t="s">
        <v>260</v>
      </c>
      <c r="N1097" t="s">
        <v>357</v>
      </c>
      <c r="O1097" t="s">
        <v>632</v>
      </c>
      <c r="P1097" t="s">
        <v>3480</v>
      </c>
      <c r="Q1097" t="s">
        <v>2281</v>
      </c>
    </row>
    <row r="1098" spans="1:17">
      <c r="A1098" s="2" t="s">
        <v>2147</v>
      </c>
      <c r="B1098" s="2" t="s">
        <v>456</v>
      </c>
      <c r="C1098" s="2" t="s">
        <v>480</v>
      </c>
      <c r="D1098" s="11">
        <v>45977.9375</v>
      </c>
      <c r="E1098" s="11">
        <v>45977.9375</v>
      </c>
      <c r="F1098" s="11">
        <v>45978.319444444445</v>
      </c>
      <c r="G1098" s="12">
        <v>0.38194444444525288</v>
      </c>
      <c r="H1098" s="2" t="s">
        <v>257</v>
      </c>
      <c r="J1098" s="2" t="s">
        <v>258</v>
      </c>
      <c r="K1098" s="2" t="s">
        <v>658</v>
      </c>
      <c r="L1098" s="2" t="s">
        <v>2286</v>
      </c>
      <c r="M1098" t="s">
        <v>260</v>
      </c>
      <c r="N1098" t="s">
        <v>357</v>
      </c>
      <c r="O1098" t="s">
        <v>632</v>
      </c>
      <c r="P1098" t="s">
        <v>3481</v>
      </c>
      <c r="Q1098" t="s">
        <v>2281</v>
      </c>
    </row>
    <row r="1099" spans="1:17">
      <c r="A1099" s="2" t="s">
        <v>2147</v>
      </c>
      <c r="B1099" s="2" t="s">
        <v>456</v>
      </c>
      <c r="C1099" s="2" t="s">
        <v>481</v>
      </c>
      <c r="D1099" s="11">
        <v>45977.9375</v>
      </c>
      <c r="E1099" s="11">
        <v>45977.9375</v>
      </c>
      <c r="F1099" s="11">
        <v>45978.319444444445</v>
      </c>
      <c r="G1099" s="12">
        <v>0.38194444444525288</v>
      </c>
      <c r="H1099" s="2" t="s">
        <v>257</v>
      </c>
      <c r="J1099" s="2" t="s">
        <v>258</v>
      </c>
      <c r="K1099" s="2" t="s">
        <v>658</v>
      </c>
      <c r="L1099" s="2" t="s">
        <v>2286</v>
      </c>
      <c r="M1099" t="s">
        <v>260</v>
      </c>
      <c r="N1099" t="s">
        <v>357</v>
      </c>
      <c r="O1099" t="s">
        <v>632</v>
      </c>
      <c r="P1099" t="s">
        <v>3482</v>
      </c>
      <c r="Q1099" t="s">
        <v>2281</v>
      </c>
    </row>
    <row r="1100" spans="1:17">
      <c r="A1100" s="2" t="s">
        <v>2148</v>
      </c>
      <c r="B1100" s="2" t="s">
        <v>456</v>
      </c>
      <c r="C1100" s="2" t="s">
        <v>482</v>
      </c>
      <c r="D1100" s="11">
        <v>45977.9375</v>
      </c>
      <c r="E1100" s="11">
        <v>45977.9375</v>
      </c>
      <c r="F1100" s="11">
        <v>45978.319444444445</v>
      </c>
      <c r="G1100" s="12">
        <v>0.38194444444525288</v>
      </c>
      <c r="H1100" s="2" t="s">
        <v>257</v>
      </c>
      <c r="J1100" s="2" t="s">
        <v>258</v>
      </c>
      <c r="K1100" s="2" t="s">
        <v>658</v>
      </c>
      <c r="L1100" s="2" t="s">
        <v>2286</v>
      </c>
      <c r="M1100" t="s">
        <v>260</v>
      </c>
      <c r="N1100" t="s">
        <v>357</v>
      </c>
      <c r="O1100" t="s">
        <v>632</v>
      </c>
      <c r="P1100" t="s">
        <v>3483</v>
      </c>
      <c r="Q1100" t="s">
        <v>2281</v>
      </c>
    </row>
    <row r="1101" spans="1:17">
      <c r="A1101" s="2" t="s">
        <v>2148</v>
      </c>
      <c r="B1101" s="2" t="s">
        <v>456</v>
      </c>
      <c r="C1101" s="2" t="s">
        <v>483</v>
      </c>
      <c r="D1101" s="11">
        <v>45977.9375</v>
      </c>
      <c r="E1101" s="11">
        <v>45977.9375</v>
      </c>
      <c r="F1101" s="11">
        <v>45978.319444444445</v>
      </c>
      <c r="G1101" s="12">
        <v>0.38194444444525288</v>
      </c>
      <c r="H1101" s="2" t="s">
        <v>257</v>
      </c>
      <c r="J1101" s="2" t="s">
        <v>258</v>
      </c>
      <c r="K1101" s="2" t="s">
        <v>658</v>
      </c>
      <c r="L1101" s="2" t="s">
        <v>2286</v>
      </c>
      <c r="M1101" t="s">
        <v>260</v>
      </c>
      <c r="N1101" t="s">
        <v>357</v>
      </c>
      <c r="O1101" t="s">
        <v>632</v>
      </c>
      <c r="P1101" t="s">
        <v>3484</v>
      </c>
      <c r="Q1101" t="s">
        <v>2281</v>
      </c>
    </row>
    <row r="1102" spans="1:17">
      <c r="A1102" s="2" t="s">
        <v>2148</v>
      </c>
      <c r="B1102" s="2" t="s">
        <v>456</v>
      </c>
      <c r="C1102" s="2" t="s">
        <v>484</v>
      </c>
      <c r="D1102" s="11">
        <v>45977.9375</v>
      </c>
      <c r="E1102" s="11">
        <v>45977.9375</v>
      </c>
      <c r="F1102" s="11">
        <v>45978.319444444445</v>
      </c>
      <c r="G1102" s="12">
        <v>0.38194444444525288</v>
      </c>
      <c r="H1102" s="2" t="s">
        <v>257</v>
      </c>
      <c r="J1102" s="2" t="s">
        <v>258</v>
      </c>
      <c r="K1102" s="2" t="s">
        <v>658</v>
      </c>
      <c r="L1102" s="2" t="s">
        <v>2286</v>
      </c>
      <c r="M1102" t="s">
        <v>260</v>
      </c>
      <c r="N1102" t="s">
        <v>357</v>
      </c>
      <c r="O1102" t="s">
        <v>632</v>
      </c>
      <c r="P1102" t="s">
        <v>3485</v>
      </c>
      <c r="Q1102" t="s">
        <v>2281</v>
      </c>
    </row>
    <row r="1103" spans="1:17">
      <c r="A1103" s="2" t="s">
        <v>2148</v>
      </c>
      <c r="B1103" s="2" t="s">
        <v>456</v>
      </c>
      <c r="C1103" s="2" t="s">
        <v>485</v>
      </c>
      <c r="D1103" s="11">
        <v>45977.9375</v>
      </c>
      <c r="E1103" s="11">
        <v>45977.9375</v>
      </c>
      <c r="F1103" s="11">
        <v>45978.319444444445</v>
      </c>
      <c r="G1103" s="12">
        <v>0.38194444444525288</v>
      </c>
      <c r="H1103" s="2" t="s">
        <v>257</v>
      </c>
      <c r="J1103" s="2" t="s">
        <v>258</v>
      </c>
      <c r="K1103" s="2" t="s">
        <v>658</v>
      </c>
      <c r="L1103" s="2" t="s">
        <v>2286</v>
      </c>
      <c r="M1103" t="s">
        <v>260</v>
      </c>
      <c r="N1103" t="s">
        <v>357</v>
      </c>
      <c r="O1103" t="s">
        <v>632</v>
      </c>
      <c r="P1103" t="s">
        <v>3486</v>
      </c>
      <c r="Q1103" t="s">
        <v>2281</v>
      </c>
    </row>
    <row r="1104" spans="1:17">
      <c r="A1104" s="2" t="s">
        <v>2148</v>
      </c>
      <c r="B1104" s="2" t="s">
        <v>456</v>
      </c>
      <c r="C1104" s="2" t="s">
        <v>486</v>
      </c>
      <c r="D1104" s="11">
        <v>45977.9375</v>
      </c>
      <c r="E1104" s="11">
        <v>45977.9375</v>
      </c>
      <c r="F1104" s="11">
        <v>45978.319444444445</v>
      </c>
      <c r="G1104" s="12">
        <v>0.38194444444525288</v>
      </c>
      <c r="H1104" s="2" t="s">
        <v>257</v>
      </c>
      <c r="J1104" s="2" t="s">
        <v>258</v>
      </c>
      <c r="K1104" s="2" t="s">
        <v>658</v>
      </c>
      <c r="L1104" s="2" t="s">
        <v>2286</v>
      </c>
      <c r="M1104" t="s">
        <v>260</v>
      </c>
      <c r="N1104" t="s">
        <v>357</v>
      </c>
      <c r="O1104" t="s">
        <v>632</v>
      </c>
      <c r="P1104" t="s">
        <v>3487</v>
      </c>
      <c r="Q1104" t="s">
        <v>2281</v>
      </c>
    </row>
    <row r="1105" spans="1:17">
      <c r="A1105" s="2" t="s">
        <v>487</v>
      </c>
      <c r="B1105" s="2" t="s">
        <v>487</v>
      </c>
      <c r="C1105" s="2" t="s">
        <v>377</v>
      </c>
      <c r="D1105" s="11">
        <v>45977.9375</v>
      </c>
      <c r="E1105" s="11">
        <v>45977.9375</v>
      </c>
      <c r="F1105" s="11">
        <v>45978.319444444445</v>
      </c>
      <c r="G1105" s="12">
        <v>0.38194444444525288</v>
      </c>
      <c r="H1105" s="2" t="s">
        <v>257</v>
      </c>
      <c r="J1105" s="2" t="s">
        <v>258</v>
      </c>
      <c r="K1105" s="2" t="s">
        <v>658</v>
      </c>
      <c r="L1105" s="2" t="s">
        <v>2286</v>
      </c>
      <c r="M1105" t="s">
        <v>260</v>
      </c>
      <c r="N1105" t="s">
        <v>357</v>
      </c>
      <c r="O1105" t="s">
        <v>632</v>
      </c>
      <c r="P1105" t="s">
        <v>3488</v>
      </c>
      <c r="Q1105" t="s">
        <v>2281</v>
      </c>
    </row>
    <row r="1106" spans="1:17">
      <c r="A1106" s="2" t="s">
        <v>487</v>
      </c>
      <c r="B1106" s="2" t="s">
        <v>487</v>
      </c>
      <c r="C1106" s="2" t="s">
        <v>378</v>
      </c>
      <c r="D1106" s="11">
        <v>45977.9375</v>
      </c>
      <c r="E1106" s="11">
        <v>45977.9375</v>
      </c>
      <c r="F1106" s="11">
        <v>45978.319444444445</v>
      </c>
      <c r="G1106" s="12">
        <v>0.38194444444525288</v>
      </c>
      <c r="H1106" s="2" t="s">
        <v>257</v>
      </c>
      <c r="J1106" s="2" t="s">
        <v>258</v>
      </c>
      <c r="K1106" s="2" t="s">
        <v>658</v>
      </c>
      <c r="L1106" s="2" t="s">
        <v>2286</v>
      </c>
      <c r="M1106" t="s">
        <v>260</v>
      </c>
      <c r="N1106" t="s">
        <v>357</v>
      </c>
      <c r="O1106" t="s">
        <v>632</v>
      </c>
      <c r="P1106" t="s">
        <v>3489</v>
      </c>
      <c r="Q1106" t="s">
        <v>2281</v>
      </c>
    </row>
    <row r="1107" spans="1:17">
      <c r="A1107" s="2" t="s">
        <v>487</v>
      </c>
      <c r="B1107" s="2" t="s">
        <v>487</v>
      </c>
      <c r="C1107" s="2" t="s">
        <v>382</v>
      </c>
      <c r="D1107" s="11">
        <v>45977.9375</v>
      </c>
      <c r="E1107" s="11">
        <v>45977.9375</v>
      </c>
      <c r="F1107" s="11">
        <v>45978.319444444445</v>
      </c>
      <c r="G1107" s="12">
        <v>0.38194444444525288</v>
      </c>
      <c r="H1107" s="2" t="s">
        <v>257</v>
      </c>
      <c r="J1107" s="2" t="s">
        <v>258</v>
      </c>
      <c r="K1107" s="2" t="s">
        <v>658</v>
      </c>
      <c r="L1107" s="2" t="s">
        <v>2286</v>
      </c>
      <c r="M1107" t="s">
        <v>260</v>
      </c>
      <c r="N1107" t="s">
        <v>357</v>
      </c>
      <c r="O1107" t="s">
        <v>632</v>
      </c>
      <c r="P1107" t="s">
        <v>3490</v>
      </c>
      <c r="Q1107" t="s">
        <v>2281</v>
      </c>
    </row>
    <row r="1108" spans="1:17">
      <c r="A1108" s="2" t="s">
        <v>487</v>
      </c>
      <c r="B1108" s="2" t="s">
        <v>487</v>
      </c>
      <c r="C1108" s="2" t="s">
        <v>380</v>
      </c>
      <c r="D1108" s="11">
        <v>45977.9375</v>
      </c>
      <c r="E1108" s="11">
        <v>45977.9375</v>
      </c>
      <c r="F1108" s="11">
        <v>45978.319444444445</v>
      </c>
      <c r="G1108" s="12">
        <v>0.38194444444525288</v>
      </c>
      <c r="H1108" s="2" t="s">
        <v>257</v>
      </c>
      <c r="J1108" s="2" t="s">
        <v>258</v>
      </c>
      <c r="K1108" s="2" t="s">
        <v>658</v>
      </c>
      <c r="L1108" s="2" t="s">
        <v>2286</v>
      </c>
      <c r="M1108" t="s">
        <v>260</v>
      </c>
      <c r="N1108" t="s">
        <v>357</v>
      </c>
      <c r="O1108" t="s">
        <v>632</v>
      </c>
      <c r="P1108" t="s">
        <v>3491</v>
      </c>
      <c r="Q1108" t="s">
        <v>2281</v>
      </c>
    </row>
    <row r="1109" spans="1:17">
      <c r="A1109" s="2" t="s">
        <v>487</v>
      </c>
      <c r="B1109" s="2" t="s">
        <v>487</v>
      </c>
      <c r="C1109" s="2" t="s">
        <v>379</v>
      </c>
      <c r="D1109" s="11">
        <v>45977.9375</v>
      </c>
      <c r="E1109" s="11">
        <v>45977.9375</v>
      </c>
      <c r="F1109" s="11">
        <v>45978.319444444445</v>
      </c>
      <c r="G1109" s="12">
        <v>0.38194444444525288</v>
      </c>
      <c r="H1109" s="2" t="s">
        <v>257</v>
      </c>
      <c r="J1109" s="2" t="s">
        <v>258</v>
      </c>
      <c r="K1109" s="2" t="s">
        <v>658</v>
      </c>
      <c r="L1109" s="2" t="s">
        <v>2286</v>
      </c>
      <c r="M1109" t="s">
        <v>260</v>
      </c>
      <c r="N1109" t="s">
        <v>357</v>
      </c>
      <c r="O1109" t="s">
        <v>632</v>
      </c>
      <c r="P1109" t="s">
        <v>3492</v>
      </c>
      <c r="Q1109" t="s">
        <v>2281</v>
      </c>
    </row>
    <row r="1110" spans="1:17">
      <c r="A1110" s="2" t="s">
        <v>583</v>
      </c>
      <c r="B1110" s="2" t="s">
        <v>583</v>
      </c>
      <c r="C1110" s="2" t="s">
        <v>377</v>
      </c>
      <c r="D1110" s="11">
        <v>45977.9375</v>
      </c>
      <c r="E1110" s="11">
        <v>45977.9375</v>
      </c>
      <c r="F1110" s="11">
        <v>45978.319444444445</v>
      </c>
      <c r="G1110" s="12">
        <v>0.38194444444525288</v>
      </c>
      <c r="H1110" s="2" t="s">
        <v>257</v>
      </c>
      <c r="J1110" s="2" t="s">
        <v>258</v>
      </c>
      <c r="K1110" s="2" t="s">
        <v>658</v>
      </c>
      <c r="L1110" s="2" t="s">
        <v>2286</v>
      </c>
      <c r="M1110" t="s">
        <v>260</v>
      </c>
      <c r="N1110" t="s">
        <v>357</v>
      </c>
      <c r="O1110" t="s">
        <v>632</v>
      </c>
      <c r="P1110" t="s">
        <v>3493</v>
      </c>
      <c r="Q1110" t="s">
        <v>2281</v>
      </c>
    </row>
    <row r="1111" spans="1:17">
      <c r="A1111" s="2" t="s">
        <v>583</v>
      </c>
      <c r="B1111" s="2" t="s">
        <v>583</v>
      </c>
      <c r="C1111" s="2" t="s">
        <v>378</v>
      </c>
      <c r="D1111" s="11">
        <v>45977.9375</v>
      </c>
      <c r="E1111" s="11">
        <v>45977.9375</v>
      </c>
      <c r="F1111" s="11">
        <v>45978.319444444445</v>
      </c>
      <c r="G1111" s="12">
        <v>0.38194444444525288</v>
      </c>
      <c r="H1111" s="2" t="s">
        <v>257</v>
      </c>
      <c r="J1111" s="2" t="s">
        <v>258</v>
      </c>
      <c r="K1111" s="2" t="s">
        <v>658</v>
      </c>
      <c r="L1111" s="2" t="s">
        <v>2286</v>
      </c>
      <c r="M1111" t="s">
        <v>260</v>
      </c>
      <c r="N1111" t="s">
        <v>357</v>
      </c>
      <c r="O1111" t="s">
        <v>632</v>
      </c>
      <c r="P1111" t="s">
        <v>3494</v>
      </c>
      <c r="Q1111" t="s">
        <v>2281</v>
      </c>
    </row>
    <row r="1112" spans="1:17">
      <c r="A1112" s="2" t="s">
        <v>583</v>
      </c>
      <c r="B1112" s="2" t="s">
        <v>583</v>
      </c>
      <c r="C1112" s="2" t="s">
        <v>382</v>
      </c>
      <c r="D1112" s="11">
        <v>45977.9375</v>
      </c>
      <c r="E1112" s="11">
        <v>45977.9375</v>
      </c>
      <c r="F1112" s="11">
        <v>45978.319444444445</v>
      </c>
      <c r="G1112" s="12">
        <v>0.38194444444525288</v>
      </c>
      <c r="H1112" s="2" t="s">
        <v>257</v>
      </c>
      <c r="J1112" s="2" t="s">
        <v>258</v>
      </c>
      <c r="K1112" s="2" t="s">
        <v>658</v>
      </c>
      <c r="L1112" s="2" t="s">
        <v>2286</v>
      </c>
      <c r="M1112" t="s">
        <v>260</v>
      </c>
      <c r="N1112" t="s">
        <v>357</v>
      </c>
      <c r="O1112" t="s">
        <v>632</v>
      </c>
      <c r="P1112" t="s">
        <v>3495</v>
      </c>
      <c r="Q1112" t="s">
        <v>2281</v>
      </c>
    </row>
    <row r="1113" spans="1:17">
      <c r="A1113" s="2" t="s">
        <v>583</v>
      </c>
      <c r="B1113" s="2" t="s">
        <v>583</v>
      </c>
      <c r="C1113" s="2" t="s">
        <v>380</v>
      </c>
      <c r="D1113" s="11">
        <v>45977.9375</v>
      </c>
      <c r="E1113" s="11">
        <v>45977.9375</v>
      </c>
      <c r="F1113" s="11">
        <v>45978.319444444445</v>
      </c>
      <c r="G1113" s="12">
        <v>0.38194444444525288</v>
      </c>
      <c r="H1113" s="2" t="s">
        <v>257</v>
      </c>
      <c r="J1113" s="2" t="s">
        <v>258</v>
      </c>
      <c r="K1113" s="2" t="s">
        <v>658</v>
      </c>
      <c r="L1113" s="2" t="s">
        <v>2286</v>
      </c>
      <c r="M1113" t="s">
        <v>260</v>
      </c>
      <c r="N1113" t="s">
        <v>357</v>
      </c>
      <c r="O1113" t="s">
        <v>632</v>
      </c>
      <c r="P1113" t="s">
        <v>3496</v>
      </c>
      <c r="Q1113" t="s">
        <v>2281</v>
      </c>
    </row>
    <row r="1114" spans="1:17">
      <c r="A1114" s="2" t="s">
        <v>583</v>
      </c>
      <c r="B1114" s="2" t="s">
        <v>583</v>
      </c>
      <c r="C1114" s="2" t="s">
        <v>379</v>
      </c>
      <c r="D1114" s="11">
        <v>45977.9375</v>
      </c>
      <c r="E1114" s="11">
        <v>45977.9375</v>
      </c>
      <c r="F1114" s="11">
        <v>45978.319444444445</v>
      </c>
      <c r="G1114" s="12">
        <v>0.38194444444525288</v>
      </c>
      <c r="H1114" s="2" t="s">
        <v>257</v>
      </c>
      <c r="J1114" s="2" t="s">
        <v>258</v>
      </c>
      <c r="K1114" s="2" t="s">
        <v>658</v>
      </c>
      <c r="L1114" s="2" t="s">
        <v>2286</v>
      </c>
      <c r="M1114" t="s">
        <v>260</v>
      </c>
      <c r="N1114" t="s">
        <v>357</v>
      </c>
      <c r="O1114" t="s">
        <v>632</v>
      </c>
      <c r="P1114" t="s">
        <v>3497</v>
      </c>
      <c r="Q1114" t="s">
        <v>2281</v>
      </c>
    </row>
    <row r="1115" spans="1:17">
      <c r="A1115" s="2" t="s">
        <v>584</v>
      </c>
      <c r="B1115" s="2" t="s">
        <v>584</v>
      </c>
      <c r="C1115" s="2" t="s">
        <v>377</v>
      </c>
      <c r="D1115" s="11">
        <v>45977.9375</v>
      </c>
      <c r="E1115" s="11">
        <v>45977.9375</v>
      </c>
      <c r="F1115" s="11">
        <v>45978.319444444445</v>
      </c>
      <c r="G1115" s="12">
        <v>0.38194444444525288</v>
      </c>
      <c r="H1115" s="2" t="s">
        <v>257</v>
      </c>
      <c r="J1115" s="2" t="s">
        <v>258</v>
      </c>
      <c r="K1115" s="2" t="s">
        <v>658</v>
      </c>
      <c r="L1115" s="2" t="s">
        <v>2286</v>
      </c>
      <c r="M1115" t="s">
        <v>260</v>
      </c>
      <c r="N1115" t="s">
        <v>357</v>
      </c>
      <c r="O1115" t="s">
        <v>632</v>
      </c>
      <c r="P1115" t="s">
        <v>3498</v>
      </c>
      <c r="Q1115" t="s">
        <v>2281</v>
      </c>
    </row>
    <row r="1116" spans="1:17">
      <c r="A1116" s="2" t="s">
        <v>584</v>
      </c>
      <c r="B1116" s="2" t="s">
        <v>584</v>
      </c>
      <c r="C1116" s="2" t="s">
        <v>378</v>
      </c>
      <c r="D1116" s="11">
        <v>45977.9375</v>
      </c>
      <c r="E1116" s="11">
        <v>45977.9375</v>
      </c>
      <c r="F1116" s="11">
        <v>45978.319444444445</v>
      </c>
      <c r="G1116" s="12">
        <v>0.38194444444525288</v>
      </c>
      <c r="H1116" s="2" t="s">
        <v>257</v>
      </c>
      <c r="J1116" s="2" t="s">
        <v>258</v>
      </c>
      <c r="K1116" s="2" t="s">
        <v>658</v>
      </c>
      <c r="L1116" s="2" t="s">
        <v>2286</v>
      </c>
      <c r="M1116" t="s">
        <v>260</v>
      </c>
      <c r="N1116" t="s">
        <v>357</v>
      </c>
      <c r="O1116" t="s">
        <v>632</v>
      </c>
      <c r="P1116" t="s">
        <v>3499</v>
      </c>
      <c r="Q1116" t="s">
        <v>2281</v>
      </c>
    </row>
    <row r="1117" spans="1:17">
      <c r="A1117" s="2" t="s">
        <v>584</v>
      </c>
      <c r="B1117" s="2" t="s">
        <v>584</v>
      </c>
      <c r="C1117" s="2" t="s">
        <v>382</v>
      </c>
      <c r="D1117" s="11">
        <v>45977.9375</v>
      </c>
      <c r="E1117" s="11">
        <v>45977.9375</v>
      </c>
      <c r="F1117" s="11">
        <v>45978.319444444445</v>
      </c>
      <c r="G1117" s="12">
        <v>0.38194444444525288</v>
      </c>
      <c r="H1117" s="2" t="s">
        <v>257</v>
      </c>
      <c r="J1117" s="2" t="s">
        <v>258</v>
      </c>
      <c r="K1117" s="2" t="s">
        <v>658</v>
      </c>
      <c r="L1117" s="2" t="s">
        <v>2286</v>
      </c>
      <c r="M1117" t="s">
        <v>260</v>
      </c>
      <c r="N1117" t="s">
        <v>357</v>
      </c>
      <c r="O1117" t="s">
        <v>632</v>
      </c>
      <c r="P1117" t="s">
        <v>3500</v>
      </c>
      <c r="Q1117" t="s">
        <v>2281</v>
      </c>
    </row>
    <row r="1118" spans="1:17">
      <c r="A1118" s="2" t="s">
        <v>584</v>
      </c>
      <c r="B1118" s="2" t="s">
        <v>584</v>
      </c>
      <c r="C1118" s="2" t="s">
        <v>380</v>
      </c>
      <c r="D1118" s="11">
        <v>45977.9375</v>
      </c>
      <c r="E1118" s="11">
        <v>45977.9375</v>
      </c>
      <c r="F1118" s="11">
        <v>45978.319444444445</v>
      </c>
      <c r="G1118" s="12">
        <v>0.38194444444525288</v>
      </c>
      <c r="H1118" s="2" t="s">
        <v>257</v>
      </c>
      <c r="J1118" s="2" t="s">
        <v>258</v>
      </c>
      <c r="K1118" s="2" t="s">
        <v>658</v>
      </c>
      <c r="L1118" s="2" t="s">
        <v>2286</v>
      </c>
      <c r="M1118" t="s">
        <v>260</v>
      </c>
      <c r="N1118" t="s">
        <v>357</v>
      </c>
      <c r="O1118" t="s">
        <v>632</v>
      </c>
      <c r="P1118" t="s">
        <v>3501</v>
      </c>
      <c r="Q1118" t="s">
        <v>2281</v>
      </c>
    </row>
    <row r="1119" spans="1:17">
      <c r="A1119" s="2" t="s">
        <v>584</v>
      </c>
      <c r="B1119" s="2" t="s">
        <v>584</v>
      </c>
      <c r="C1119" s="2" t="s">
        <v>379</v>
      </c>
      <c r="D1119" s="11">
        <v>45977.9375</v>
      </c>
      <c r="E1119" s="11">
        <v>45977.9375</v>
      </c>
      <c r="F1119" s="11">
        <v>45978.319444444445</v>
      </c>
      <c r="G1119" s="12">
        <v>0.38194444444525288</v>
      </c>
      <c r="H1119" s="2" t="s">
        <v>257</v>
      </c>
      <c r="J1119" s="2" t="s">
        <v>258</v>
      </c>
      <c r="K1119" s="2" t="s">
        <v>658</v>
      </c>
      <c r="L1119" s="2" t="s">
        <v>2286</v>
      </c>
      <c r="M1119" t="s">
        <v>260</v>
      </c>
      <c r="N1119" t="s">
        <v>357</v>
      </c>
      <c r="O1119" t="s">
        <v>632</v>
      </c>
      <c r="P1119" t="s">
        <v>3502</v>
      </c>
      <c r="Q1119" t="s">
        <v>2281</v>
      </c>
    </row>
    <row r="1120" spans="1:17">
      <c r="A1120" s="2" t="s">
        <v>2195</v>
      </c>
      <c r="B1120" s="2" t="s">
        <v>543</v>
      </c>
      <c r="C1120" s="2" t="s">
        <v>2535</v>
      </c>
      <c r="D1120" s="11">
        <v>45978.261354166665</v>
      </c>
      <c r="E1120" s="11">
        <v>45978.261354166665</v>
      </c>
      <c r="F1120" s="11">
        <v>45978.268275462964</v>
      </c>
      <c r="G1120" s="12">
        <v>6.921296298969537E-3</v>
      </c>
      <c r="H1120" s="2" t="s">
        <v>257</v>
      </c>
      <c r="J1120" s="2" t="s">
        <v>371</v>
      </c>
      <c r="K1120" s="2" t="s">
        <v>653</v>
      </c>
      <c r="L1120" s="2" t="s">
        <v>861</v>
      </c>
      <c r="M1120" t="s">
        <v>252</v>
      </c>
      <c r="N1120" t="s">
        <v>631</v>
      </c>
      <c r="P1120" t="s">
        <v>3503</v>
      </c>
      <c r="Q1120" t="s">
        <v>2537</v>
      </c>
    </row>
    <row r="1121" spans="1:17">
      <c r="A1121" s="2" t="s">
        <v>2195</v>
      </c>
      <c r="B1121" s="2" t="s">
        <v>543</v>
      </c>
      <c r="C1121" s="2" t="s">
        <v>2616</v>
      </c>
      <c r="D1121" s="11">
        <v>45978.261550925927</v>
      </c>
      <c r="E1121" s="11">
        <v>45978.261550925927</v>
      </c>
      <c r="F1121" s="11">
        <v>45978.268495370372</v>
      </c>
      <c r="G1121" s="12">
        <v>6.9444444452528842E-3</v>
      </c>
      <c r="H1121" s="2" t="s">
        <v>257</v>
      </c>
      <c r="J1121" s="2" t="s">
        <v>371</v>
      </c>
      <c r="K1121" s="2" t="s">
        <v>653</v>
      </c>
      <c r="L1121" s="2" t="s">
        <v>861</v>
      </c>
      <c r="M1121" t="s">
        <v>252</v>
      </c>
      <c r="N1121" t="s">
        <v>631</v>
      </c>
      <c r="P1121" t="s">
        <v>3504</v>
      </c>
      <c r="Q1121" t="s">
        <v>2537</v>
      </c>
    </row>
    <row r="1122" spans="1:17">
      <c r="A1122" s="2" t="s">
        <v>2195</v>
      </c>
      <c r="B1122" s="2" t="s">
        <v>543</v>
      </c>
      <c r="C1122" s="2" t="s">
        <v>2618</v>
      </c>
      <c r="D1122" s="11">
        <v>45978.261620370373</v>
      </c>
      <c r="E1122" s="11">
        <v>45978.261620370373</v>
      </c>
      <c r="F1122" s="11">
        <v>45978.268518518518</v>
      </c>
      <c r="G1122" s="12">
        <v>6.8981481454102322E-3</v>
      </c>
      <c r="H1122" s="2" t="s">
        <v>257</v>
      </c>
      <c r="J1122" s="2" t="s">
        <v>371</v>
      </c>
      <c r="K1122" s="2" t="s">
        <v>653</v>
      </c>
      <c r="L1122" s="2" t="s">
        <v>861</v>
      </c>
      <c r="M1122" t="s">
        <v>252</v>
      </c>
      <c r="N1122" t="s">
        <v>631</v>
      </c>
      <c r="P1122" t="s">
        <v>3505</v>
      </c>
      <c r="Q1122" t="s">
        <v>2537</v>
      </c>
    </row>
    <row r="1123" spans="1:17">
      <c r="A1123" s="2" t="s">
        <v>2195</v>
      </c>
      <c r="B1123" s="2" t="s">
        <v>543</v>
      </c>
      <c r="C1123" s="2" t="s">
        <v>2719</v>
      </c>
      <c r="D1123" s="11">
        <v>45978.261643518519</v>
      </c>
      <c r="E1123" s="11">
        <v>45978.261643518519</v>
      </c>
      <c r="F1123" s="11">
        <v>45978.268541666665</v>
      </c>
      <c r="G1123" s="12">
        <v>6.8981481454102322E-3</v>
      </c>
      <c r="H1123" s="2" t="s">
        <v>257</v>
      </c>
      <c r="J1123" s="2" t="s">
        <v>371</v>
      </c>
      <c r="K1123" s="2" t="s">
        <v>653</v>
      </c>
      <c r="L1123" s="2" t="s">
        <v>861</v>
      </c>
      <c r="M1123" t="s">
        <v>252</v>
      </c>
      <c r="N1123" t="s">
        <v>631</v>
      </c>
      <c r="P1123" t="s">
        <v>3506</v>
      </c>
      <c r="Q1123" t="s">
        <v>2537</v>
      </c>
    </row>
    <row r="1124" spans="1:17">
      <c r="A1124" s="2" t="s">
        <v>2195</v>
      </c>
      <c r="B1124" s="2" t="s">
        <v>543</v>
      </c>
      <c r="C1124" s="2" t="s">
        <v>2846</v>
      </c>
      <c r="D1124" s="11">
        <v>45978.261643518519</v>
      </c>
      <c r="E1124" s="11">
        <v>45978.261643518519</v>
      </c>
      <c r="F1124" s="11">
        <v>45978.268611111111</v>
      </c>
      <c r="G1124" s="12">
        <v>6.9675925915362313E-3</v>
      </c>
      <c r="H1124" s="2" t="s">
        <v>257</v>
      </c>
      <c r="J1124" s="2" t="s">
        <v>371</v>
      </c>
      <c r="K1124" s="2" t="s">
        <v>653</v>
      </c>
      <c r="L1124" s="2" t="s">
        <v>861</v>
      </c>
      <c r="M1124" t="s">
        <v>252</v>
      </c>
      <c r="N1124" t="s">
        <v>631</v>
      </c>
      <c r="P1124" t="s">
        <v>3507</v>
      </c>
      <c r="Q1124" t="s">
        <v>2537</v>
      </c>
    </row>
    <row r="1125" spans="1:17">
      <c r="A1125" s="2" t="s">
        <v>2195</v>
      </c>
      <c r="B1125" s="2" t="s">
        <v>543</v>
      </c>
      <c r="C1125" s="2" t="s">
        <v>2848</v>
      </c>
      <c r="D1125" s="11">
        <v>45978.261712962965</v>
      </c>
      <c r="E1125" s="11">
        <v>45978.261712962965</v>
      </c>
      <c r="F1125" s="11">
        <v>45978.268657407411</v>
      </c>
      <c r="G1125" s="12">
        <v>6.9444444452528842E-3</v>
      </c>
      <c r="H1125" s="2" t="s">
        <v>257</v>
      </c>
      <c r="J1125" s="2" t="s">
        <v>371</v>
      </c>
      <c r="K1125" s="2" t="s">
        <v>653</v>
      </c>
      <c r="L1125" s="2" t="s">
        <v>861</v>
      </c>
      <c r="M1125" t="s">
        <v>252</v>
      </c>
      <c r="N1125" t="s">
        <v>631</v>
      </c>
      <c r="P1125" t="s">
        <v>3508</v>
      </c>
      <c r="Q1125" t="s">
        <v>2537</v>
      </c>
    </row>
    <row r="1126" spans="1:17">
      <c r="A1126" s="2" t="s">
        <v>2195</v>
      </c>
      <c r="B1126" s="2" t="s">
        <v>543</v>
      </c>
      <c r="C1126" s="2" t="s">
        <v>556</v>
      </c>
      <c r="D1126" s="11">
        <v>45978.261805555558</v>
      </c>
      <c r="E1126" s="11">
        <v>45978.261805555558</v>
      </c>
      <c r="F1126" s="11">
        <v>45978.268761574072</v>
      </c>
      <c r="G1126" s="12">
        <v>6.956018514756579E-3</v>
      </c>
      <c r="H1126" s="2" t="s">
        <v>257</v>
      </c>
      <c r="J1126" s="2" t="s">
        <v>371</v>
      </c>
      <c r="K1126" s="2" t="s">
        <v>653</v>
      </c>
      <c r="L1126" s="2" t="s">
        <v>861</v>
      </c>
      <c r="M1126" t="s">
        <v>252</v>
      </c>
      <c r="N1126" t="s">
        <v>631</v>
      </c>
      <c r="P1126" t="s">
        <v>3509</v>
      </c>
      <c r="Q1126" t="s">
        <v>2537</v>
      </c>
    </row>
    <row r="1127" spans="1:17">
      <c r="A1127" s="2" t="s">
        <v>2195</v>
      </c>
      <c r="B1127" s="2" t="s">
        <v>543</v>
      </c>
      <c r="C1127" s="2" t="s">
        <v>2535</v>
      </c>
      <c r="D1127" s="11">
        <v>45978.289942129632</v>
      </c>
      <c r="E1127" s="11">
        <v>45978.289942129632</v>
      </c>
      <c r="F1127" s="11">
        <v>45978.296932870369</v>
      </c>
      <c r="G1127" s="12">
        <v>6.9907407378195785E-3</v>
      </c>
      <c r="H1127" s="2" t="s">
        <v>257</v>
      </c>
      <c r="J1127" s="2" t="s">
        <v>371</v>
      </c>
      <c r="K1127" s="2" t="s">
        <v>653</v>
      </c>
      <c r="L1127" s="2" t="s">
        <v>861</v>
      </c>
      <c r="M1127" t="s">
        <v>252</v>
      </c>
      <c r="N1127" t="s">
        <v>631</v>
      </c>
      <c r="P1127" t="s">
        <v>3510</v>
      </c>
      <c r="Q1127" t="s">
        <v>2537</v>
      </c>
    </row>
    <row r="1128" spans="1:17">
      <c r="A1128" s="2" t="s">
        <v>2195</v>
      </c>
      <c r="B1128" s="2" t="s">
        <v>543</v>
      </c>
      <c r="C1128" s="2" t="s">
        <v>2618</v>
      </c>
      <c r="D1128" s="11">
        <v>45978.290162037039</v>
      </c>
      <c r="E1128" s="11">
        <v>45978.290162037039</v>
      </c>
      <c r="F1128" s="11">
        <v>45978.297129629631</v>
      </c>
      <c r="G1128" s="12">
        <v>6.9675925915362313E-3</v>
      </c>
      <c r="H1128" s="2" t="s">
        <v>257</v>
      </c>
      <c r="J1128" s="2" t="s">
        <v>371</v>
      </c>
      <c r="K1128" s="2" t="s">
        <v>653</v>
      </c>
      <c r="L1128" s="2" t="s">
        <v>861</v>
      </c>
      <c r="M1128" t="s">
        <v>252</v>
      </c>
      <c r="N1128" t="s">
        <v>631</v>
      </c>
      <c r="P1128" t="s">
        <v>3511</v>
      </c>
      <c r="Q1128" t="s">
        <v>2537</v>
      </c>
    </row>
    <row r="1129" spans="1:17">
      <c r="A1129" s="2" t="s">
        <v>2195</v>
      </c>
      <c r="B1129" s="2" t="s">
        <v>543</v>
      </c>
      <c r="C1129" s="2" t="s">
        <v>2616</v>
      </c>
      <c r="D1129" s="11">
        <v>45978.290173611109</v>
      </c>
      <c r="E1129" s="11">
        <v>45978.290173611109</v>
      </c>
      <c r="F1129" s="11">
        <v>45978.2971412037</v>
      </c>
      <c r="G1129" s="12">
        <v>6.9675925915362313E-3</v>
      </c>
      <c r="H1129" s="2" t="s">
        <v>257</v>
      </c>
      <c r="J1129" s="2" t="s">
        <v>371</v>
      </c>
      <c r="K1129" s="2" t="s">
        <v>653</v>
      </c>
      <c r="L1129" s="2" t="s">
        <v>861</v>
      </c>
      <c r="M1129" t="s">
        <v>252</v>
      </c>
      <c r="N1129" t="s">
        <v>631</v>
      </c>
      <c r="P1129" t="s">
        <v>3512</v>
      </c>
      <c r="Q1129" t="s">
        <v>2537</v>
      </c>
    </row>
    <row r="1130" spans="1:17">
      <c r="A1130" s="2" t="s">
        <v>2195</v>
      </c>
      <c r="B1130" s="2" t="s">
        <v>543</v>
      </c>
      <c r="C1130" s="2" t="s">
        <v>2719</v>
      </c>
      <c r="D1130" s="11">
        <v>45978.290185185186</v>
      </c>
      <c r="E1130" s="11">
        <v>45978.290185185186</v>
      </c>
      <c r="F1130" s="11">
        <v>45978.2971412037</v>
      </c>
      <c r="G1130" s="12">
        <v>6.956018514756579E-3</v>
      </c>
      <c r="H1130" s="2" t="s">
        <v>257</v>
      </c>
      <c r="J1130" s="2" t="s">
        <v>371</v>
      </c>
      <c r="K1130" s="2" t="s">
        <v>653</v>
      </c>
      <c r="L1130" s="2" t="s">
        <v>861</v>
      </c>
      <c r="M1130" t="s">
        <v>252</v>
      </c>
      <c r="N1130" t="s">
        <v>631</v>
      </c>
      <c r="P1130" t="s">
        <v>3513</v>
      </c>
      <c r="Q1130" t="s">
        <v>2537</v>
      </c>
    </row>
    <row r="1131" spans="1:17">
      <c r="A1131" s="2" t="s">
        <v>2195</v>
      </c>
      <c r="B1131" s="2" t="s">
        <v>543</v>
      </c>
      <c r="C1131" s="2" t="s">
        <v>2846</v>
      </c>
      <c r="D1131" s="11">
        <v>45978.290277777778</v>
      </c>
      <c r="E1131" s="11">
        <v>45978.290277777778</v>
      </c>
      <c r="F1131" s="11">
        <v>45978.297222222223</v>
      </c>
      <c r="G1131" s="12">
        <v>6.9444444452528842E-3</v>
      </c>
      <c r="H1131" s="2" t="s">
        <v>257</v>
      </c>
      <c r="J1131" s="2" t="s">
        <v>371</v>
      </c>
      <c r="K1131" s="2" t="s">
        <v>653</v>
      </c>
      <c r="L1131" s="2" t="s">
        <v>861</v>
      </c>
      <c r="M1131" t="s">
        <v>252</v>
      </c>
      <c r="N1131" t="s">
        <v>631</v>
      </c>
      <c r="P1131" t="s">
        <v>3514</v>
      </c>
      <c r="Q1131" t="s">
        <v>2537</v>
      </c>
    </row>
    <row r="1132" spans="1:17">
      <c r="A1132" s="2" t="s">
        <v>2195</v>
      </c>
      <c r="B1132" s="2" t="s">
        <v>543</v>
      </c>
      <c r="C1132" s="2" t="s">
        <v>2848</v>
      </c>
      <c r="D1132" s="11">
        <v>45978.290347222224</v>
      </c>
      <c r="E1132" s="11">
        <v>45978.290347222224</v>
      </c>
      <c r="F1132" s="11">
        <v>45978.297291666669</v>
      </c>
      <c r="G1132" s="12">
        <v>6.9444444452528842E-3</v>
      </c>
      <c r="H1132" s="2" t="s">
        <v>257</v>
      </c>
      <c r="J1132" s="2" t="s">
        <v>371</v>
      </c>
      <c r="K1132" s="2" t="s">
        <v>653</v>
      </c>
      <c r="L1132" s="2" t="s">
        <v>861</v>
      </c>
      <c r="M1132" t="s">
        <v>252</v>
      </c>
      <c r="N1132" t="s">
        <v>631</v>
      </c>
      <c r="P1132" t="s">
        <v>3515</v>
      </c>
      <c r="Q1132" t="s">
        <v>2537</v>
      </c>
    </row>
    <row r="1133" spans="1:17">
      <c r="A1133" s="2" t="s">
        <v>2195</v>
      </c>
      <c r="B1133" s="2" t="s">
        <v>543</v>
      </c>
      <c r="C1133" s="2" t="s">
        <v>556</v>
      </c>
      <c r="D1133" s="11">
        <v>45978.290405092594</v>
      </c>
      <c r="E1133" s="11">
        <v>45978.290405092594</v>
      </c>
      <c r="F1133" s="11">
        <v>45978.297372685185</v>
      </c>
      <c r="G1133" s="12">
        <v>6.9675925915362313E-3</v>
      </c>
      <c r="H1133" s="2" t="s">
        <v>257</v>
      </c>
      <c r="J1133" s="2" t="s">
        <v>371</v>
      </c>
      <c r="K1133" s="2" t="s">
        <v>653</v>
      </c>
      <c r="L1133" s="2" t="s">
        <v>861</v>
      </c>
      <c r="M1133" t="s">
        <v>252</v>
      </c>
      <c r="N1133" t="s">
        <v>631</v>
      </c>
      <c r="P1133" t="s">
        <v>3516</v>
      </c>
      <c r="Q1133" t="s">
        <v>2537</v>
      </c>
    </row>
    <row r="1134" spans="1:17">
      <c r="A1134" s="2" t="s">
        <v>619</v>
      </c>
      <c r="B1134" s="2" t="s">
        <v>619</v>
      </c>
      <c r="C1134" s="2" t="s">
        <v>3342</v>
      </c>
      <c r="D1134" s="11">
        <v>45978.363194444442</v>
      </c>
      <c r="E1134" s="11">
        <v>45978.363194444442</v>
      </c>
      <c r="F1134" s="11">
        <v>45978.430555555555</v>
      </c>
      <c r="G1134" s="12">
        <v>6.7361111112404615E-2</v>
      </c>
      <c r="H1134" s="2" t="s">
        <v>268</v>
      </c>
      <c r="I1134" s="2" t="s">
        <v>269</v>
      </c>
      <c r="J1134" s="2" t="s">
        <v>319</v>
      </c>
      <c r="K1134" s="2" t="s">
        <v>652</v>
      </c>
      <c r="L1134" s="2" t="s">
        <v>3362</v>
      </c>
      <c r="M1134" t="s">
        <v>289</v>
      </c>
      <c r="N1134" t="s">
        <v>253</v>
      </c>
      <c r="O1134" t="s">
        <v>3517</v>
      </c>
      <c r="P1134" t="s">
        <v>3518</v>
      </c>
      <c r="Q1134" t="s">
        <v>2713</v>
      </c>
    </row>
    <row r="1135" spans="1:17">
      <c r="A1135" s="2" t="s">
        <v>619</v>
      </c>
      <c r="B1135" s="2" t="s">
        <v>619</v>
      </c>
      <c r="C1135" s="2" t="s">
        <v>3344</v>
      </c>
      <c r="D1135" s="11">
        <v>45978.363194444442</v>
      </c>
      <c r="E1135" s="11">
        <v>45978.363194444442</v>
      </c>
      <c r="F1135" s="11">
        <v>45978.430555555555</v>
      </c>
      <c r="G1135" s="12">
        <v>6.7361111112404615E-2</v>
      </c>
      <c r="H1135" s="2" t="s">
        <v>268</v>
      </c>
      <c r="I1135" s="2" t="s">
        <v>269</v>
      </c>
      <c r="J1135" s="2" t="s">
        <v>319</v>
      </c>
      <c r="K1135" s="2" t="s">
        <v>652</v>
      </c>
      <c r="L1135" s="2" t="s">
        <v>3362</v>
      </c>
      <c r="M1135" t="s">
        <v>289</v>
      </c>
      <c r="N1135" t="s">
        <v>253</v>
      </c>
      <c r="O1135" t="s">
        <v>3517</v>
      </c>
      <c r="P1135" t="s">
        <v>3519</v>
      </c>
      <c r="Q1135" t="s">
        <v>2713</v>
      </c>
    </row>
    <row r="1136" spans="1:17">
      <c r="A1136" s="2" t="s">
        <v>619</v>
      </c>
      <c r="B1136" s="2" t="s">
        <v>619</v>
      </c>
      <c r="C1136" s="2" t="s">
        <v>3346</v>
      </c>
      <c r="D1136" s="11">
        <v>45978.363194444442</v>
      </c>
      <c r="E1136" s="11">
        <v>45978.363194444442</v>
      </c>
      <c r="F1136" s="11">
        <v>45978.430555555555</v>
      </c>
      <c r="G1136" s="12">
        <v>6.7361111112404615E-2</v>
      </c>
      <c r="H1136" s="2" t="s">
        <v>268</v>
      </c>
      <c r="I1136" s="2" t="s">
        <v>269</v>
      </c>
      <c r="J1136" s="2" t="s">
        <v>319</v>
      </c>
      <c r="K1136" s="2" t="s">
        <v>652</v>
      </c>
      <c r="L1136" s="2" t="s">
        <v>3362</v>
      </c>
      <c r="M1136" t="s">
        <v>289</v>
      </c>
      <c r="N1136" t="s">
        <v>253</v>
      </c>
      <c r="O1136" t="s">
        <v>3517</v>
      </c>
      <c r="P1136" t="s">
        <v>3520</v>
      </c>
      <c r="Q1136" t="s">
        <v>2713</v>
      </c>
    </row>
    <row r="1137" spans="1:17">
      <c r="A1137" s="2" t="s">
        <v>619</v>
      </c>
      <c r="B1137" s="2" t="s">
        <v>619</v>
      </c>
      <c r="C1137" s="2" t="s">
        <v>3348</v>
      </c>
      <c r="D1137" s="11">
        <v>45978.363194444442</v>
      </c>
      <c r="E1137" s="11">
        <v>45978.363194444442</v>
      </c>
      <c r="F1137" s="11">
        <v>45978.430555555555</v>
      </c>
      <c r="G1137" s="12">
        <v>6.7361111112404615E-2</v>
      </c>
      <c r="H1137" s="2" t="s">
        <v>268</v>
      </c>
      <c r="I1137" s="2" t="s">
        <v>269</v>
      </c>
      <c r="J1137" s="2" t="s">
        <v>319</v>
      </c>
      <c r="K1137" s="2" t="s">
        <v>652</v>
      </c>
      <c r="L1137" s="2" t="s">
        <v>3362</v>
      </c>
      <c r="M1137" t="s">
        <v>289</v>
      </c>
      <c r="N1137" t="s">
        <v>253</v>
      </c>
      <c r="O1137" t="s">
        <v>3517</v>
      </c>
      <c r="P1137" t="s">
        <v>3521</v>
      </c>
      <c r="Q1137" t="s">
        <v>2713</v>
      </c>
    </row>
    <row r="1138" spans="1:17">
      <c r="A1138" s="2" t="s">
        <v>619</v>
      </c>
      <c r="B1138" s="2" t="s">
        <v>619</v>
      </c>
      <c r="C1138" s="2" t="s">
        <v>3350</v>
      </c>
      <c r="D1138" s="11">
        <v>45978.363194444442</v>
      </c>
      <c r="E1138" s="11">
        <v>45978.363194444442</v>
      </c>
      <c r="F1138" s="11">
        <v>45978.430555555555</v>
      </c>
      <c r="G1138" s="12">
        <v>6.7361111112404615E-2</v>
      </c>
      <c r="H1138" s="2" t="s">
        <v>268</v>
      </c>
      <c r="I1138" s="2" t="s">
        <v>269</v>
      </c>
      <c r="J1138" s="2" t="s">
        <v>319</v>
      </c>
      <c r="K1138" s="2" t="s">
        <v>652</v>
      </c>
      <c r="L1138" s="2" t="s">
        <v>3362</v>
      </c>
      <c r="M1138" t="s">
        <v>289</v>
      </c>
      <c r="N1138" t="s">
        <v>253</v>
      </c>
      <c r="O1138" t="s">
        <v>3517</v>
      </c>
      <c r="P1138" t="s">
        <v>3522</v>
      </c>
      <c r="Q1138" t="s">
        <v>2713</v>
      </c>
    </row>
    <row r="1139" spans="1:17">
      <c r="A1139" s="2" t="s">
        <v>2132</v>
      </c>
      <c r="B1139" s="2" t="s">
        <v>456</v>
      </c>
      <c r="C1139" s="2" t="s">
        <v>457</v>
      </c>
      <c r="D1139" s="11">
        <v>45978.520833333336</v>
      </c>
      <c r="E1139" s="11">
        <v>45978.520833333336</v>
      </c>
      <c r="F1139" s="11">
        <v>45978.638888888891</v>
      </c>
      <c r="G1139" s="12">
        <v>0.11805555555474712</v>
      </c>
      <c r="H1139" s="2" t="s">
        <v>257</v>
      </c>
      <c r="J1139" s="2" t="s">
        <v>258</v>
      </c>
      <c r="K1139" s="2" t="s">
        <v>658</v>
      </c>
      <c r="L1139" s="2" t="s">
        <v>2286</v>
      </c>
      <c r="M1139" t="s">
        <v>260</v>
      </c>
      <c r="N1139" t="s">
        <v>357</v>
      </c>
      <c r="O1139" t="s">
        <v>632</v>
      </c>
      <c r="P1139" t="s">
        <v>3523</v>
      </c>
      <c r="Q1139" t="s">
        <v>2281</v>
      </c>
    </row>
    <row r="1140" spans="1:17">
      <c r="A1140" s="2" t="s">
        <v>2132</v>
      </c>
      <c r="B1140" s="2" t="s">
        <v>456</v>
      </c>
      <c r="C1140" s="2" t="s">
        <v>459</v>
      </c>
      <c r="D1140" s="11">
        <v>45978.520833333336</v>
      </c>
      <c r="E1140" s="11">
        <v>45978.520833333336</v>
      </c>
      <c r="F1140" s="11">
        <v>45978.638888888891</v>
      </c>
      <c r="G1140" s="12">
        <v>0.11805555555474712</v>
      </c>
      <c r="H1140" s="2" t="s">
        <v>257</v>
      </c>
      <c r="J1140" s="2" t="s">
        <v>258</v>
      </c>
      <c r="K1140" s="2" t="s">
        <v>658</v>
      </c>
      <c r="L1140" s="2" t="s">
        <v>2286</v>
      </c>
      <c r="M1140" t="s">
        <v>260</v>
      </c>
      <c r="N1140" t="s">
        <v>357</v>
      </c>
      <c r="O1140" t="s">
        <v>632</v>
      </c>
      <c r="P1140" t="s">
        <v>3524</v>
      </c>
      <c r="Q1140" t="s">
        <v>2281</v>
      </c>
    </row>
    <row r="1141" spans="1:17">
      <c r="A1141" s="2" t="s">
        <v>2132</v>
      </c>
      <c r="B1141" s="2" t="s">
        <v>456</v>
      </c>
      <c r="C1141" s="2" t="s">
        <v>460</v>
      </c>
      <c r="D1141" s="11">
        <v>45978.520833333336</v>
      </c>
      <c r="E1141" s="11">
        <v>45978.520833333336</v>
      </c>
      <c r="F1141" s="11">
        <v>45978.638888888891</v>
      </c>
      <c r="G1141" s="12">
        <v>0.11805555555474712</v>
      </c>
      <c r="H1141" s="2" t="s">
        <v>257</v>
      </c>
      <c r="J1141" s="2" t="s">
        <v>258</v>
      </c>
      <c r="K1141" s="2" t="s">
        <v>658</v>
      </c>
      <c r="L1141" s="2" t="s">
        <v>2286</v>
      </c>
      <c r="M1141" t="s">
        <v>260</v>
      </c>
      <c r="N1141" t="s">
        <v>357</v>
      </c>
      <c r="O1141" t="s">
        <v>632</v>
      </c>
      <c r="P1141" t="s">
        <v>3525</v>
      </c>
      <c r="Q1141" t="s">
        <v>2281</v>
      </c>
    </row>
    <row r="1142" spans="1:17">
      <c r="A1142" s="2" t="s">
        <v>2132</v>
      </c>
      <c r="B1142" s="2" t="s">
        <v>456</v>
      </c>
      <c r="C1142" s="2" t="s">
        <v>461</v>
      </c>
      <c r="D1142" s="11">
        <v>45978.520833333336</v>
      </c>
      <c r="E1142" s="11">
        <v>45978.520833333336</v>
      </c>
      <c r="F1142" s="11">
        <v>45978.638888888891</v>
      </c>
      <c r="G1142" s="12">
        <v>0.11805555555474712</v>
      </c>
      <c r="H1142" s="2" t="s">
        <v>257</v>
      </c>
      <c r="J1142" s="2" t="s">
        <v>258</v>
      </c>
      <c r="K1142" s="2" t="s">
        <v>658</v>
      </c>
      <c r="L1142" s="2" t="s">
        <v>2286</v>
      </c>
      <c r="M1142" t="s">
        <v>260</v>
      </c>
      <c r="N1142" t="s">
        <v>357</v>
      </c>
      <c r="O1142" t="s">
        <v>632</v>
      </c>
      <c r="P1142" t="s">
        <v>3526</v>
      </c>
      <c r="Q1142" t="s">
        <v>2281</v>
      </c>
    </row>
    <row r="1143" spans="1:17">
      <c r="A1143" s="2" t="s">
        <v>2132</v>
      </c>
      <c r="B1143" s="2" t="s">
        <v>456</v>
      </c>
      <c r="C1143" s="2" t="s">
        <v>462</v>
      </c>
      <c r="D1143" s="11">
        <v>45978.520833333336</v>
      </c>
      <c r="E1143" s="11">
        <v>45978.520833333336</v>
      </c>
      <c r="F1143" s="11">
        <v>45978.638888888891</v>
      </c>
      <c r="G1143" s="12">
        <v>0.11805555555474712</v>
      </c>
      <c r="H1143" s="2" t="s">
        <v>257</v>
      </c>
      <c r="J1143" s="2" t="s">
        <v>258</v>
      </c>
      <c r="K1143" s="2" t="s">
        <v>658</v>
      </c>
      <c r="L1143" s="2" t="s">
        <v>2286</v>
      </c>
      <c r="M1143" t="s">
        <v>260</v>
      </c>
      <c r="N1143" t="s">
        <v>357</v>
      </c>
      <c r="O1143" t="s">
        <v>632</v>
      </c>
      <c r="P1143" t="s">
        <v>3527</v>
      </c>
      <c r="Q1143" t="s">
        <v>2281</v>
      </c>
    </row>
    <row r="1144" spans="1:17">
      <c r="A1144" s="2" t="s">
        <v>2132</v>
      </c>
      <c r="B1144" s="2" t="s">
        <v>456</v>
      </c>
      <c r="C1144" s="2" t="s">
        <v>463</v>
      </c>
      <c r="D1144" s="11">
        <v>45978.520833333336</v>
      </c>
      <c r="E1144" s="11">
        <v>45978.520833333336</v>
      </c>
      <c r="F1144" s="11">
        <v>45978.638888888891</v>
      </c>
      <c r="G1144" s="12">
        <v>0.11805555555474712</v>
      </c>
      <c r="H1144" s="2" t="s">
        <v>257</v>
      </c>
      <c r="J1144" s="2" t="s">
        <v>258</v>
      </c>
      <c r="K1144" s="2" t="s">
        <v>658</v>
      </c>
      <c r="L1144" s="2" t="s">
        <v>2286</v>
      </c>
      <c r="M1144" t="s">
        <v>260</v>
      </c>
      <c r="N1144" t="s">
        <v>357</v>
      </c>
      <c r="O1144" t="s">
        <v>632</v>
      </c>
      <c r="P1144" t="s">
        <v>3528</v>
      </c>
      <c r="Q1144" t="s">
        <v>2281</v>
      </c>
    </row>
    <row r="1145" spans="1:17">
      <c r="A1145" s="2" t="s">
        <v>2132</v>
      </c>
      <c r="B1145" s="2" t="s">
        <v>456</v>
      </c>
      <c r="C1145" s="2" t="s">
        <v>464</v>
      </c>
      <c r="D1145" s="11">
        <v>45978.520833333336</v>
      </c>
      <c r="E1145" s="11">
        <v>45978.520833333336</v>
      </c>
      <c r="F1145" s="11">
        <v>45978.638888888891</v>
      </c>
      <c r="G1145" s="12">
        <v>0.11805555555474712</v>
      </c>
      <c r="H1145" s="2" t="s">
        <v>257</v>
      </c>
      <c r="J1145" s="2" t="s">
        <v>258</v>
      </c>
      <c r="K1145" s="2" t="s">
        <v>658</v>
      </c>
      <c r="L1145" s="2" t="s">
        <v>2286</v>
      </c>
      <c r="M1145" t="s">
        <v>260</v>
      </c>
      <c r="N1145" t="s">
        <v>357</v>
      </c>
      <c r="O1145" t="s">
        <v>632</v>
      </c>
      <c r="P1145" t="s">
        <v>3529</v>
      </c>
      <c r="Q1145" t="s">
        <v>2281</v>
      </c>
    </row>
    <row r="1146" spans="1:17">
      <c r="A1146" s="2" t="s">
        <v>2132</v>
      </c>
      <c r="B1146" s="2" t="s">
        <v>456</v>
      </c>
      <c r="C1146" s="2" t="s">
        <v>465</v>
      </c>
      <c r="D1146" s="11">
        <v>45978.520833333336</v>
      </c>
      <c r="E1146" s="11">
        <v>45978.520833333336</v>
      </c>
      <c r="F1146" s="11">
        <v>45978.638888888891</v>
      </c>
      <c r="G1146" s="12">
        <v>0.11805555555474712</v>
      </c>
      <c r="H1146" s="2" t="s">
        <v>257</v>
      </c>
      <c r="J1146" s="2" t="s">
        <v>258</v>
      </c>
      <c r="K1146" s="2" t="s">
        <v>658</v>
      </c>
      <c r="L1146" s="2" t="s">
        <v>2286</v>
      </c>
      <c r="M1146" t="s">
        <v>260</v>
      </c>
      <c r="N1146" t="s">
        <v>357</v>
      </c>
      <c r="O1146" t="s">
        <v>632</v>
      </c>
      <c r="P1146" t="s">
        <v>3530</v>
      </c>
      <c r="Q1146" t="s">
        <v>2281</v>
      </c>
    </row>
    <row r="1147" spans="1:17">
      <c r="A1147" s="2" t="s">
        <v>2133</v>
      </c>
      <c r="B1147" s="2" t="s">
        <v>456</v>
      </c>
      <c r="C1147" s="2" t="s">
        <v>466</v>
      </c>
      <c r="D1147" s="11">
        <v>45978.520833333336</v>
      </c>
      <c r="E1147" s="11">
        <v>45978.520833333336</v>
      </c>
      <c r="F1147" s="11">
        <v>45978.638888888891</v>
      </c>
      <c r="G1147" s="12">
        <v>0.11805555555474712</v>
      </c>
      <c r="H1147" s="2" t="s">
        <v>257</v>
      </c>
      <c r="J1147" s="2" t="s">
        <v>258</v>
      </c>
      <c r="K1147" s="2" t="s">
        <v>658</v>
      </c>
      <c r="L1147" s="2" t="s">
        <v>2286</v>
      </c>
      <c r="M1147" t="s">
        <v>260</v>
      </c>
      <c r="N1147" t="s">
        <v>357</v>
      </c>
      <c r="O1147" t="s">
        <v>632</v>
      </c>
      <c r="P1147" t="s">
        <v>3531</v>
      </c>
      <c r="Q1147" t="s">
        <v>2281</v>
      </c>
    </row>
    <row r="1148" spans="1:17">
      <c r="A1148" s="2" t="s">
        <v>2133</v>
      </c>
      <c r="B1148" s="2" t="s">
        <v>456</v>
      </c>
      <c r="C1148" s="2" t="s">
        <v>467</v>
      </c>
      <c r="D1148" s="11">
        <v>45978.520833333336</v>
      </c>
      <c r="E1148" s="11">
        <v>45978.520833333336</v>
      </c>
      <c r="F1148" s="11">
        <v>45978.638888888891</v>
      </c>
      <c r="G1148" s="12">
        <v>0.11805555555474712</v>
      </c>
      <c r="H1148" s="2" t="s">
        <v>257</v>
      </c>
      <c r="J1148" s="2" t="s">
        <v>258</v>
      </c>
      <c r="K1148" s="2" t="s">
        <v>658</v>
      </c>
      <c r="L1148" s="2" t="s">
        <v>2286</v>
      </c>
      <c r="M1148" t="s">
        <v>260</v>
      </c>
      <c r="N1148" t="s">
        <v>357</v>
      </c>
      <c r="O1148" t="s">
        <v>632</v>
      </c>
      <c r="P1148" t="s">
        <v>3532</v>
      </c>
      <c r="Q1148" t="s">
        <v>2281</v>
      </c>
    </row>
    <row r="1149" spans="1:17">
      <c r="A1149" s="2" t="s">
        <v>2133</v>
      </c>
      <c r="B1149" s="2" t="s">
        <v>456</v>
      </c>
      <c r="C1149" s="2" t="s">
        <v>468</v>
      </c>
      <c r="D1149" s="11">
        <v>45978.520833333336</v>
      </c>
      <c r="E1149" s="11">
        <v>45978.520833333336</v>
      </c>
      <c r="F1149" s="11">
        <v>45978.638888888891</v>
      </c>
      <c r="G1149" s="12">
        <v>0.11805555555474712</v>
      </c>
      <c r="H1149" s="2" t="s">
        <v>257</v>
      </c>
      <c r="J1149" s="2" t="s">
        <v>258</v>
      </c>
      <c r="K1149" s="2" t="s">
        <v>658</v>
      </c>
      <c r="L1149" s="2" t="s">
        <v>2286</v>
      </c>
      <c r="M1149" t="s">
        <v>260</v>
      </c>
      <c r="N1149" t="s">
        <v>357</v>
      </c>
      <c r="O1149" t="s">
        <v>632</v>
      </c>
      <c r="P1149" t="s">
        <v>3533</v>
      </c>
      <c r="Q1149" t="s">
        <v>2281</v>
      </c>
    </row>
    <row r="1150" spans="1:17">
      <c r="A1150" s="2" t="s">
        <v>2133</v>
      </c>
      <c r="B1150" s="2" t="s">
        <v>456</v>
      </c>
      <c r="C1150" s="2" t="s">
        <v>469</v>
      </c>
      <c r="D1150" s="11">
        <v>45978.520833333336</v>
      </c>
      <c r="E1150" s="11">
        <v>45978.520833333336</v>
      </c>
      <c r="F1150" s="11">
        <v>45978.638888888891</v>
      </c>
      <c r="G1150" s="12">
        <v>0.11805555555474712</v>
      </c>
      <c r="H1150" s="2" t="s">
        <v>257</v>
      </c>
      <c r="J1150" s="2" t="s">
        <v>258</v>
      </c>
      <c r="K1150" s="2" t="s">
        <v>658</v>
      </c>
      <c r="L1150" s="2" t="s">
        <v>2286</v>
      </c>
      <c r="M1150" t="s">
        <v>260</v>
      </c>
      <c r="N1150" t="s">
        <v>357</v>
      </c>
      <c r="O1150" t="s">
        <v>632</v>
      </c>
      <c r="P1150" t="s">
        <v>3534</v>
      </c>
      <c r="Q1150" t="s">
        <v>2281</v>
      </c>
    </row>
    <row r="1151" spans="1:17">
      <c r="A1151" s="2" t="s">
        <v>2133</v>
      </c>
      <c r="B1151" s="2" t="s">
        <v>456</v>
      </c>
      <c r="C1151" s="2" t="s">
        <v>470</v>
      </c>
      <c r="D1151" s="11">
        <v>45978.520833333336</v>
      </c>
      <c r="E1151" s="11">
        <v>45978.520833333336</v>
      </c>
      <c r="F1151" s="11">
        <v>45978.638888888891</v>
      </c>
      <c r="G1151" s="12">
        <v>0.11805555555474712</v>
      </c>
      <c r="H1151" s="2" t="s">
        <v>257</v>
      </c>
      <c r="J1151" s="2" t="s">
        <v>258</v>
      </c>
      <c r="K1151" s="2" t="s">
        <v>658</v>
      </c>
      <c r="L1151" s="2" t="s">
        <v>2286</v>
      </c>
      <c r="M1151" t="s">
        <v>260</v>
      </c>
      <c r="N1151" t="s">
        <v>357</v>
      </c>
      <c r="O1151" t="s">
        <v>632</v>
      </c>
      <c r="P1151" t="s">
        <v>3535</v>
      </c>
      <c r="Q1151" t="s">
        <v>2281</v>
      </c>
    </row>
    <row r="1152" spans="1:17">
      <c r="A1152" s="2" t="s">
        <v>2133</v>
      </c>
      <c r="B1152" s="2" t="s">
        <v>456</v>
      </c>
      <c r="C1152" s="2" t="s">
        <v>471</v>
      </c>
      <c r="D1152" s="11">
        <v>45978.520833333336</v>
      </c>
      <c r="E1152" s="11">
        <v>45978.520833333336</v>
      </c>
      <c r="F1152" s="11">
        <v>45978.638888888891</v>
      </c>
      <c r="G1152" s="12">
        <v>0.11805555555474712</v>
      </c>
      <c r="H1152" s="2" t="s">
        <v>257</v>
      </c>
      <c r="J1152" s="2" t="s">
        <v>258</v>
      </c>
      <c r="K1152" s="2" t="s">
        <v>658</v>
      </c>
      <c r="L1152" s="2" t="s">
        <v>2286</v>
      </c>
      <c r="M1152" t="s">
        <v>260</v>
      </c>
      <c r="N1152" t="s">
        <v>357</v>
      </c>
      <c r="O1152" t="s">
        <v>632</v>
      </c>
      <c r="P1152" t="s">
        <v>3536</v>
      </c>
      <c r="Q1152" t="s">
        <v>2281</v>
      </c>
    </row>
    <row r="1153" spans="1:17">
      <c r="A1153" s="2" t="s">
        <v>2133</v>
      </c>
      <c r="B1153" s="2" t="s">
        <v>456</v>
      </c>
      <c r="C1153" s="2" t="s">
        <v>472</v>
      </c>
      <c r="D1153" s="11">
        <v>45978.520833333336</v>
      </c>
      <c r="E1153" s="11">
        <v>45978.520833333336</v>
      </c>
      <c r="F1153" s="11">
        <v>45978.638888888891</v>
      </c>
      <c r="G1153" s="12">
        <v>0.11805555555474712</v>
      </c>
      <c r="H1153" s="2" t="s">
        <v>257</v>
      </c>
      <c r="J1153" s="2" t="s">
        <v>258</v>
      </c>
      <c r="K1153" s="2" t="s">
        <v>658</v>
      </c>
      <c r="L1153" s="2" t="s">
        <v>2286</v>
      </c>
      <c r="M1153" t="s">
        <v>260</v>
      </c>
      <c r="N1153" t="s">
        <v>357</v>
      </c>
      <c r="O1153" t="s">
        <v>632</v>
      </c>
      <c r="P1153" t="s">
        <v>3537</v>
      </c>
      <c r="Q1153" t="s">
        <v>2281</v>
      </c>
    </row>
    <row r="1154" spans="1:17">
      <c r="A1154" s="2" t="s">
        <v>2146</v>
      </c>
      <c r="B1154" s="2" t="s">
        <v>456</v>
      </c>
      <c r="C1154" s="2" t="s">
        <v>473</v>
      </c>
      <c r="D1154" s="11">
        <v>45978.520833333336</v>
      </c>
      <c r="E1154" s="11">
        <v>45978.520833333336</v>
      </c>
      <c r="F1154" s="11">
        <v>45978.638888888891</v>
      </c>
      <c r="G1154" s="12">
        <v>0.11805555555474712</v>
      </c>
      <c r="H1154" s="2" t="s">
        <v>257</v>
      </c>
      <c r="J1154" s="2" t="s">
        <v>258</v>
      </c>
      <c r="K1154" s="2" t="s">
        <v>658</v>
      </c>
      <c r="L1154" s="2" t="s">
        <v>2286</v>
      </c>
      <c r="M1154" t="s">
        <v>260</v>
      </c>
      <c r="N1154" t="s">
        <v>357</v>
      </c>
      <c r="O1154" t="s">
        <v>632</v>
      </c>
      <c r="P1154" t="s">
        <v>3538</v>
      </c>
      <c r="Q1154" t="s">
        <v>2281</v>
      </c>
    </row>
    <row r="1155" spans="1:17">
      <c r="A1155" s="2" t="s">
        <v>2146</v>
      </c>
      <c r="B1155" s="2" t="s">
        <v>456</v>
      </c>
      <c r="C1155" s="2" t="s">
        <v>474</v>
      </c>
      <c r="D1155" s="11">
        <v>45978.520833333336</v>
      </c>
      <c r="E1155" s="11">
        <v>45978.520833333336</v>
      </c>
      <c r="F1155" s="11">
        <v>45978.638888888891</v>
      </c>
      <c r="G1155" s="12">
        <v>0.11805555555474712</v>
      </c>
      <c r="H1155" s="2" t="s">
        <v>257</v>
      </c>
      <c r="J1155" s="2" t="s">
        <v>258</v>
      </c>
      <c r="K1155" s="2" t="s">
        <v>658</v>
      </c>
      <c r="L1155" s="2" t="s">
        <v>2286</v>
      </c>
      <c r="M1155" t="s">
        <v>260</v>
      </c>
      <c r="N1155" t="s">
        <v>357</v>
      </c>
      <c r="O1155" t="s">
        <v>632</v>
      </c>
      <c r="P1155" t="s">
        <v>3539</v>
      </c>
      <c r="Q1155" t="s">
        <v>2281</v>
      </c>
    </row>
    <row r="1156" spans="1:17">
      <c r="A1156" s="2" t="s">
        <v>2146</v>
      </c>
      <c r="B1156" s="2" t="s">
        <v>456</v>
      </c>
      <c r="C1156" s="2" t="s">
        <v>475</v>
      </c>
      <c r="D1156" s="11">
        <v>45978.520833333336</v>
      </c>
      <c r="E1156" s="11">
        <v>45978.520833333336</v>
      </c>
      <c r="F1156" s="11">
        <v>45978.638888888891</v>
      </c>
      <c r="G1156" s="12">
        <v>0.11805555555474712</v>
      </c>
      <c r="H1156" s="2" t="s">
        <v>257</v>
      </c>
      <c r="J1156" s="2" t="s">
        <v>258</v>
      </c>
      <c r="K1156" s="2" t="s">
        <v>658</v>
      </c>
      <c r="L1156" s="2" t="s">
        <v>2286</v>
      </c>
      <c r="M1156" t="s">
        <v>260</v>
      </c>
      <c r="N1156" t="s">
        <v>357</v>
      </c>
      <c r="O1156" t="s">
        <v>632</v>
      </c>
      <c r="P1156" t="s">
        <v>3540</v>
      </c>
      <c r="Q1156" t="s">
        <v>2281</v>
      </c>
    </row>
    <row r="1157" spans="1:17">
      <c r="A1157" s="2" t="s">
        <v>2146</v>
      </c>
      <c r="B1157" s="2" t="s">
        <v>456</v>
      </c>
      <c r="C1157" s="2" t="s">
        <v>476</v>
      </c>
      <c r="D1157" s="11">
        <v>45978.520833333336</v>
      </c>
      <c r="E1157" s="11">
        <v>45978.520833333336</v>
      </c>
      <c r="F1157" s="11">
        <v>45978.638888888891</v>
      </c>
      <c r="G1157" s="12">
        <v>0.11805555555474712</v>
      </c>
      <c r="H1157" s="2" t="s">
        <v>257</v>
      </c>
      <c r="J1157" s="2" t="s">
        <v>258</v>
      </c>
      <c r="K1157" s="2" t="s">
        <v>658</v>
      </c>
      <c r="L1157" s="2" t="s">
        <v>2286</v>
      </c>
      <c r="M1157" t="s">
        <v>260</v>
      </c>
      <c r="N1157" t="s">
        <v>357</v>
      </c>
      <c r="O1157" t="s">
        <v>632</v>
      </c>
      <c r="P1157" t="s">
        <v>3541</v>
      </c>
      <c r="Q1157" t="s">
        <v>2281</v>
      </c>
    </row>
    <row r="1158" spans="1:17">
      <c r="A1158" s="2" t="s">
        <v>2146</v>
      </c>
      <c r="B1158" s="2" t="s">
        <v>456</v>
      </c>
      <c r="C1158" s="2" t="s">
        <v>477</v>
      </c>
      <c r="D1158" s="11">
        <v>45978.520833333336</v>
      </c>
      <c r="E1158" s="11">
        <v>45978.520833333336</v>
      </c>
      <c r="F1158" s="11">
        <v>45978.638888888891</v>
      </c>
      <c r="G1158" s="12">
        <v>0.11805555555474712</v>
      </c>
      <c r="H1158" s="2" t="s">
        <v>257</v>
      </c>
      <c r="J1158" s="2" t="s">
        <v>258</v>
      </c>
      <c r="K1158" s="2" t="s">
        <v>658</v>
      </c>
      <c r="L1158" s="2" t="s">
        <v>2286</v>
      </c>
      <c r="M1158" t="s">
        <v>260</v>
      </c>
      <c r="N1158" t="s">
        <v>357</v>
      </c>
      <c r="O1158" t="s">
        <v>632</v>
      </c>
      <c r="P1158" t="s">
        <v>3542</v>
      </c>
      <c r="Q1158" t="s">
        <v>2281</v>
      </c>
    </row>
    <row r="1159" spans="1:17">
      <c r="A1159" s="2" t="s">
        <v>2147</v>
      </c>
      <c r="B1159" s="2" t="s">
        <v>456</v>
      </c>
      <c r="C1159" s="2" t="s">
        <v>478</v>
      </c>
      <c r="D1159" s="11">
        <v>45978.520833333336</v>
      </c>
      <c r="E1159" s="11">
        <v>45978.520833333336</v>
      </c>
      <c r="F1159" s="11">
        <v>45978.638888888891</v>
      </c>
      <c r="G1159" s="12">
        <v>0.11805555555474712</v>
      </c>
      <c r="H1159" s="2" t="s">
        <v>257</v>
      </c>
      <c r="J1159" s="2" t="s">
        <v>258</v>
      </c>
      <c r="K1159" s="2" t="s">
        <v>658</v>
      </c>
      <c r="L1159" s="2" t="s">
        <v>2286</v>
      </c>
      <c r="M1159" t="s">
        <v>260</v>
      </c>
      <c r="N1159" t="s">
        <v>357</v>
      </c>
      <c r="O1159" t="s">
        <v>632</v>
      </c>
      <c r="P1159" t="s">
        <v>3543</v>
      </c>
      <c r="Q1159" t="s">
        <v>2281</v>
      </c>
    </row>
    <row r="1160" spans="1:17">
      <c r="A1160" s="2" t="s">
        <v>2147</v>
      </c>
      <c r="B1160" s="2" t="s">
        <v>456</v>
      </c>
      <c r="C1160" s="2" t="s">
        <v>479</v>
      </c>
      <c r="D1160" s="11">
        <v>45978.520833333336</v>
      </c>
      <c r="E1160" s="11">
        <v>45978.520833333336</v>
      </c>
      <c r="F1160" s="11">
        <v>45978.638888888891</v>
      </c>
      <c r="G1160" s="12">
        <v>0.11805555555474712</v>
      </c>
      <c r="H1160" s="2" t="s">
        <v>257</v>
      </c>
      <c r="J1160" s="2" t="s">
        <v>258</v>
      </c>
      <c r="K1160" s="2" t="s">
        <v>658</v>
      </c>
      <c r="L1160" s="2" t="s">
        <v>2286</v>
      </c>
      <c r="M1160" t="s">
        <v>260</v>
      </c>
      <c r="N1160" t="s">
        <v>357</v>
      </c>
      <c r="O1160" t="s">
        <v>632</v>
      </c>
      <c r="P1160" t="s">
        <v>3544</v>
      </c>
      <c r="Q1160" t="s">
        <v>2281</v>
      </c>
    </row>
    <row r="1161" spans="1:17">
      <c r="A1161" s="2" t="s">
        <v>2147</v>
      </c>
      <c r="B1161" s="2" t="s">
        <v>456</v>
      </c>
      <c r="C1161" s="2" t="s">
        <v>480</v>
      </c>
      <c r="D1161" s="11">
        <v>45978.520833333336</v>
      </c>
      <c r="E1161" s="11">
        <v>45978.520833333336</v>
      </c>
      <c r="F1161" s="11">
        <v>45978.638888888891</v>
      </c>
      <c r="G1161" s="12">
        <v>0.11805555555474712</v>
      </c>
      <c r="H1161" s="2" t="s">
        <v>257</v>
      </c>
      <c r="J1161" s="2" t="s">
        <v>258</v>
      </c>
      <c r="K1161" s="2" t="s">
        <v>658</v>
      </c>
      <c r="L1161" s="2" t="s">
        <v>2286</v>
      </c>
      <c r="M1161" t="s">
        <v>260</v>
      </c>
      <c r="N1161" t="s">
        <v>357</v>
      </c>
      <c r="O1161" t="s">
        <v>632</v>
      </c>
      <c r="P1161" t="s">
        <v>3545</v>
      </c>
      <c r="Q1161" t="s">
        <v>2281</v>
      </c>
    </row>
    <row r="1162" spans="1:17">
      <c r="A1162" s="2" t="s">
        <v>2147</v>
      </c>
      <c r="B1162" s="2" t="s">
        <v>456</v>
      </c>
      <c r="C1162" s="2" t="s">
        <v>481</v>
      </c>
      <c r="D1162" s="11">
        <v>45978.520833333336</v>
      </c>
      <c r="E1162" s="11">
        <v>45978.520833333336</v>
      </c>
      <c r="F1162" s="11">
        <v>45978.638888888891</v>
      </c>
      <c r="G1162" s="12">
        <v>0.11805555555474712</v>
      </c>
      <c r="H1162" s="2" t="s">
        <v>257</v>
      </c>
      <c r="J1162" s="2" t="s">
        <v>258</v>
      </c>
      <c r="K1162" s="2" t="s">
        <v>658</v>
      </c>
      <c r="L1162" s="2" t="s">
        <v>2286</v>
      </c>
      <c r="M1162" t="s">
        <v>260</v>
      </c>
      <c r="N1162" t="s">
        <v>357</v>
      </c>
      <c r="O1162" t="s">
        <v>632</v>
      </c>
      <c r="P1162" t="s">
        <v>3546</v>
      </c>
      <c r="Q1162" t="s">
        <v>2281</v>
      </c>
    </row>
    <row r="1163" spans="1:17">
      <c r="A1163" s="2" t="s">
        <v>2148</v>
      </c>
      <c r="B1163" s="2" t="s">
        <v>456</v>
      </c>
      <c r="C1163" s="2" t="s">
        <v>482</v>
      </c>
      <c r="D1163" s="11">
        <v>45978.520833333336</v>
      </c>
      <c r="E1163" s="11">
        <v>45978.520833333336</v>
      </c>
      <c r="F1163" s="11">
        <v>45978.638888888891</v>
      </c>
      <c r="G1163" s="12">
        <v>0.11805555555474712</v>
      </c>
      <c r="H1163" s="2" t="s">
        <v>257</v>
      </c>
      <c r="J1163" s="2" t="s">
        <v>258</v>
      </c>
      <c r="K1163" s="2" t="s">
        <v>658</v>
      </c>
      <c r="L1163" s="2" t="s">
        <v>2286</v>
      </c>
      <c r="M1163" t="s">
        <v>260</v>
      </c>
      <c r="N1163" t="s">
        <v>357</v>
      </c>
      <c r="O1163" t="s">
        <v>632</v>
      </c>
      <c r="P1163" t="s">
        <v>3547</v>
      </c>
      <c r="Q1163" t="s">
        <v>2281</v>
      </c>
    </row>
    <row r="1164" spans="1:17">
      <c r="A1164" s="2" t="s">
        <v>2148</v>
      </c>
      <c r="B1164" s="2" t="s">
        <v>456</v>
      </c>
      <c r="C1164" s="2" t="s">
        <v>483</v>
      </c>
      <c r="D1164" s="11">
        <v>45978.520833333336</v>
      </c>
      <c r="E1164" s="11">
        <v>45978.520833333336</v>
      </c>
      <c r="F1164" s="11">
        <v>45978.638888888891</v>
      </c>
      <c r="G1164" s="12">
        <v>0.11805555555474712</v>
      </c>
      <c r="H1164" s="2" t="s">
        <v>257</v>
      </c>
      <c r="J1164" s="2" t="s">
        <v>258</v>
      </c>
      <c r="K1164" s="2" t="s">
        <v>658</v>
      </c>
      <c r="L1164" s="2" t="s">
        <v>2286</v>
      </c>
      <c r="M1164" t="s">
        <v>260</v>
      </c>
      <c r="N1164" t="s">
        <v>357</v>
      </c>
      <c r="O1164" t="s">
        <v>632</v>
      </c>
      <c r="P1164" t="s">
        <v>3548</v>
      </c>
      <c r="Q1164" t="s">
        <v>2281</v>
      </c>
    </row>
    <row r="1165" spans="1:17">
      <c r="A1165" s="2" t="s">
        <v>2148</v>
      </c>
      <c r="B1165" s="2" t="s">
        <v>456</v>
      </c>
      <c r="C1165" s="2" t="s">
        <v>484</v>
      </c>
      <c r="D1165" s="11">
        <v>45978.520833333336</v>
      </c>
      <c r="E1165" s="11">
        <v>45978.520833333336</v>
      </c>
      <c r="F1165" s="11">
        <v>45978.638888888891</v>
      </c>
      <c r="G1165" s="12">
        <v>0.11805555555474712</v>
      </c>
      <c r="H1165" s="2" t="s">
        <v>257</v>
      </c>
      <c r="J1165" s="2" t="s">
        <v>258</v>
      </c>
      <c r="K1165" s="2" t="s">
        <v>658</v>
      </c>
      <c r="L1165" s="2" t="s">
        <v>2286</v>
      </c>
      <c r="M1165" t="s">
        <v>260</v>
      </c>
      <c r="N1165" t="s">
        <v>357</v>
      </c>
      <c r="O1165" t="s">
        <v>632</v>
      </c>
      <c r="P1165" t="s">
        <v>3549</v>
      </c>
      <c r="Q1165" t="s">
        <v>2281</v>
      </c>
    </row>
    <row r="1166" spans="1:17">
      <c r="A1166" s="2" t="s">
        <v>2148</v>
      </c>
      <c r="B1166" s="2" t="s">
        <v>456</v>
      </c>
      <c r="C1166" s="2" t="s">
        <v>485</v>
      </c>
      <c r="D1166" s="11">
        <v>45978.520833333336</v>
      </c>
      <c r="E1166" s="11">
        <v>45978.520833333336</v>
      </c>
      <c r="F1166" s="11">
        <v>45978.638888888891</v>
      </c>
      <c r="G1166" s="12">
        <v>0.11805555555474712</v>
      </c>
      <c r="H1166" s="2" t="s">
        <v>257</v>
      </c>
      <c r="J1166" s="2" t="s">
        <v>258</v>
      </c>
      <c r="K1166" s="2" t="s">
        <v>658</v>
      </c>
      <c r="L1166" s="2" t="s">
        <v>2286</v>
      </c>
      <c r="M1166" t="s">
        <v>260</v>
      </c>
      <c r="N1166" t="s">
        <v>357</v>
      </c>
      <c r="O1166" t="s">
        <v>632</v>
      </c>
      <c r="P1166" t="s">
        <v>3550</v>
      </c>
      <c r="Q1166" t="s">
        <v>2281</v>
      </c>
    </row>
    <row r="1167" spans="1:17">
      <c r="A1167" s="2" t="s">
        <v>2148</v>
      </c>
      <c r="B1167" s="2" t="s">
        <v>456</v>
      </c>
      <c r="C1167" s="2" t="s">
        <v>486</v>
      </c>
      <c r="D1167" s="11">
        <v>45978.520833333336</v>
      </c>
      <c r="E1167" s="11">
        <v>45978.520833333336</v>
      </c>
      <c r="F1167" s="11">
        <v>45978.638888888891</v>
      </c>
      <c r="G1167" s="12">
        <v>0.11805555555474712</v>
      </c>
      <c r="H1167" s="2" t="s">
        <v>257</v>
      </c>
      <c r="J1167" s="2" t="s">
        <v>258</v>
      </c>
      <c r="K1167" s="2" t="s">
        <v>658</v>
      </c>
      <c r="L1167" s="2" t="s">
        <v>2286</v>
      </c>
      <c r="M1167" t="s">
        <v>260</v>
      </c>
      <c r="N1167" t="s">
        <v>357</v>
      </c>
      <c r="O1167" t="s">
        <v>632</v>
      </c>
      <c r="P1167" t="s">
        <v>3551</v>
      </c>
      <c r="Q1167" t="s">
        <v>2281</v>
      </c>
    </row>
    <row r="1168" spans="1:17">
      <c r="A1168" s="2" t="s">
        <v>487</v>
      </c>
      <c r="B1168" s="2" t="s">
        <v>487</v>
      </c>
      <c r="C1168" s="2" t="s">
        <v>377</v>
      </c>
      <c r="D1168" s="11">
        <v>45978.520833333336</v>
      </c>
      <c r="E1168" s="11">
        <v>45978.520833333336</v>
      </c>
      <c r="F1168" s="11">
        <v>45978.638888888891</v>
      </c>
      <c r="G1168" s="12">
        <v>0.11805555555474712</v>
      </c>
      <c r="H1168" s="2" t="s">
        <v>257</v>
      </c>
      <c r="J1168" s="2" t="s">
        <v>258</v>
      </c>
      <c r="K1168" s="2" t="s">
        <v>658</v>
      </c>
      <c r="L1168" s="2" t="s">
        <v>2286</v>
      </c>
      <c r="M1168" t="s">
        <v>260</v>
      </c>
      <c r="N1168" t="s">
        <v>357</v>
      </c>
      <c r="O1168" t="s">
        <v>632</v>
      </c>
      <c r="P1168" t="s">
        <v>3552</v>
      </c>
      <c r="Q1168" t="s">
        <v>2281</v>
      </c>
    </row>
    <row r="1169" spans="1:17">
      <c r="A1169" s="2" t="s">
        <v>487</v>
      </c>
      <c r="B1169" s="2" t="s">
        <v>487</v>
      </c>
      <c r="C1169" s="2" t="s">
        <v>378</v>
      </c>
      <c r="D1169" s="11">
        <v>45978.520833333336</v>
      </c>
      <c r="E1169" s="11">
        <v>45978.520833333336</v>
      </c>
      <c r="F1169" s="11">
        <v>45978.638888888891</v>
      </c>
      <c r="G1169" s="12">
        <v>0.11805555555474712</v>
      </c>
      <c r="H1169" s="2" t="s">
        <v>257</v>
      </c>
      <c r="J1169" s="2" t="s">
        <v>258</v>
      </c>
      <c r="K1169" s="2" t="s">
        <v>658</v>
      </c>
      <c r="L1169" s="2" t="s">
        <v>2286</v>
      </c>
      <c r="M1169" t="s">
        <v>260</v>
      </c>
      <c r="N1169" t="s">
        <v>357</v>
      </c>
      <c r="O1169" t="s">
        <v>632</v>
      </c>
      <c r="P1169" t="s">
        <v>3553</v>
      </c>
      <c r="Q1169" t="s">
        <v>2281</v>
      </c>
    </row>
    <row r="1170" spans="1:17">
      <c r="A1170" s="2" t="s">
        <v>487</v>
      </c>
      <c r="B1170" s="2" t="s">
        <v>487</v>
      </c>
      <c r="C1170" s="2" t="s">
        <v>382</v>
      </c>
      <c r="D1170" s="11">
        <v>45978.520833333336</v>
      </c>
      <c r="E1170" s="11">
        <v>45978.520833333336</v>
      </c>
      <c r="F1170" s="11">
        <v>45978.638888888891</v>
      </c>
      <c r="G1170" s="12">
        <v>0.11805555555474712</v>
      </c>
      <c r="H1170" s="2" t="s">
        <v>257</v>
      </c>
      <c r="J1170" s="2" t="s">
        <v>258</v>
      </c>
      <c r="K1170" s="2" t="s">
        <v>658</v>
      </c>
      <c r="L1170" s="2" t="s">
        <v>2286</v>
      </c>
      <c r="M1170" t="s">
        <v>260</v>
      </c>
      <c r="N1170" t="s">
        <v>357</v>
      </c>
      <c r="O1170" t="s">
        <v>632</v>
      </c>
      <c r="P1170" t="s">
        <v>3554</v>
      </c>
      <c r="Q1170" t="s">
        <v>2281</v>
      </c>
    </row>
    <row r="1171" spans="1:17">
      <c r="A1171" s="2" t="s">
        <v>487</v>
      </c>
      <c r="B1171" s="2" t="s">
        <v>487</v>
      </c>
      <c r="C1171" s="2" t="s">
        <v>380</v>
      </c>
      <c r="D1171" s="11">
        <v>45978.520833333336</v>
      </c>
      <c r="E1171" s="11">
        <v>45978.520833333336</v>
      </c>
      <c r="F1171" s="11">
        <v>45978.638888888891</v>
      </c>
      <c r="G1171" s="12">
        <v>0.11805555555474712</v>
      </c>
      <c r="H1171" s="2" t="s">
        <v>257</v>
      </c>
      <c r="J1171" s="2" t="s">
        <v>258</v>
      </c>
      <c r="K1171" s="2" t="s">
        <v>658</v>
      </c>
      <c r="L1171" s="2" t="s">
        <v>2286</v>
      </c>
      <c r="M1171" t="s">
        <v>260</v>
      </c>
      <c r="N1171" t="s">
        <v>357</v>
      </c>
      <c r="O1171" t="s">
        <v>632</v>
      </c>
      <c r="P1171" t="s">
        <v>3555</v>
      </c>
      <c r="Q1171" t="s">
        <v>2281</v>
      </c>
    </row>
    <row r="1172" spans="1:17">
      <c r="A1172" s="2" t="s">
        <v>487</v>
      </c>
      <c r="B1172" s="2" t="s">
        <v>487</v>
      </c>
      <c r="C1172" s="2" t="s">
        <v>379</v>
      </c>
      <c r="D1172" s="11">
        <v>45978.520833333336</v>
      </c>
      <c r="E1172" s="11">
        <v>45978.520833333336</v>
      </c>
      <c r="F1172" s="11">
        <v>45978.638888888891</v>
      </c>
      <c r="G1172" s="12">
        <v>0.11805555555474712</v>
      </c>
      <c r="H1172" s="2" t="s">
        <v>257</v>
      </c>
      <c r="J1172" s="2" t="s">
        <v>258</v>
      </c>
      <c r="K1172" s="2" t="s">
        <v>658</v>
      </c>
      <c r="L1172" s="2" t="s">
        <v>2286</v>
      </c>
      <c r="M1172" t="s">
        <v>260</v>
      </c>
      <c r="N1172" t="s">
        <v>357</v>
      </c>
      <c r="O1172" t="s">
        <v>632</v>
      </c>
      <c r="P1172" t="s">
        <v>3556</v>
      </c>
      <c r="Q1172" t="s">
        <v>2281</v>
      </c>
    </row>
    <row r="1173" spans="1:17">
      <c r="A1173" s="2" t="s">
        <v>583</v>
      </c>
      <c r="B1173" s="2" t="s">
        <v>583</v>
      </c>
      <c r="C1173" s="2" t="s">
        <v>377</v>
      </c>
      <c r="D1173" s="11">
        <v>45978.520833333336</v>
      </c>
      <c r="E1173" s="11">
        <v>45978.520833333336</v>
      </c>
      <c r="F1173" s="11">
        <v>45978.638888888891</v>
      </c>
      <c r="G1173" s="12">
        <v>0.11805555555474712</v>
      </c>
      <c r="H1173" s="2" t="s">
        <v>257</v>
      </c>
      <c r="J1173" s="2" t="s">
        <v>258</v>
      </c>
      <c r="K1173" s="2" t="s">
        <v>658</v>
      </c>
      <c r="L1173" s="2" t="s">
        <v>2286</v>
      </c>
      <c r="M1173" t="s">
        <v>260</v>
      </c>
      <c r="N1173" t="s">
        <v>357</v>
      </c>
      <c r="O1173" t="s">
        <v>632</v>
      </c>
      <c r="P1173" t="s">
        <v>3557</v>
      </c>
      <c r="Q1173" t="s">
        <v>2281</v>
      </c>
    </row>
    <row r="1174" spans="1:17">
      <c r="A1174" s="2" t="s">
        <v>583</v>
      </c>
      <c r="B1174" s="2" t="s">
        <v>583</v>
      </c>
      <c r="C1174" s="2" t="s">
        <v>378</v>
      </c>
      <c r="D1174" s="11">
        <v>45978.520833333336</v>
      </c>
      <c r="E1174" s="11">
        <v>45978.520833333336</v>
      </c>
      <c r="F1174" s="11">
        <v>45978.638888888891</v>
      </c>
      <c r="G1174" s="12">
        <v>0.11805555555474712</v>
      </c>
      <c r="H1174" s="2" t="s">
        <v>257</v>
      </c>
      <c r="J1174" s="2" t="s">
        <v>258</v>
      </c>
      <c r="K1174" s="2" t="s">
        <v>658</v>
      </c>
      <c r="L1174" s="2" t="s">
        <v>2286</v>
      </c>
      <c r="M1174" t="s">
        <v>260</v>
      </c>
      <c r="N1174" t="s">
        <v>357</v>
      </c>
      <c r="O1174" t="s">
        <v>632</v>
      </c>
      <c r="P1174" t="s">
        <v>3558</v>
      </c>
      <c r="Q1174" t="s">
        <v>2281</v>
      </c>
    </row>
    <row r="1175" spans="1:17">
      <c r="A1175" s="2" t="s">
        <v>583</v>
      </c>
      <c r="B1175" s="2" t="s">
        <v>583</v>
      </c>
      <c r="C1175" s="2" t="s">
        <v>382</v>
      </c>
      <c r="D1175" s="11">
        <v>45978.520833333336</v>
      </c>
      <c r="E1175" s="11">
        <v>45978.520833333336</v>
      </c>
      <c r="F1175" s="11">
        <v>45978.638888888891</v>
      </c>
      <c r="G1175" s="12">
        <v>0.11805555555474712</v>
      </c>
      <c r="H1175" s="2" t="s">
        <v>257</v>
      </c>
      <c r="J1175" s="2" t="s">
        <v>258</v>
      </c>
      <c r="K1175" s="2" t="s">
        <v>658</v>
      </c>
      <c r="L1175" s="2" t="s">
        <v>2286</v>
      </c>
      <c r="M1175" t="s">
        <v>260</v>
      </c>
      <c r="N1175" t="s">
        <v>357</v>
      </c>
      <c r="O1175" t="s">
        <v>632</v>
      </c>
      <c r="P1175" t="s">
        <v>3559</v>
      </c>
      <c r="Q1175" t="s">
        <v>2281</v>
      </c>
    </row>
    <row r="1176" spans="1:17">
      <c r="A1176" s="2" t="s">
        <v>583</v>
      </c>
      <c r="B1176" s="2" t="s">
        <v>583</v>
      </c>
      <c r="C1176" s="2" t="s">
        <v>380</v>
      </c>
      <c r="D1176" s="11">
        <v>45978.520833333336</v>
      </c>
      <c r="E1176" s="11">
        <v>45978.520833333336</v>
      </c>
      <c r="F1176" s="11">
        <v>45978.638888888891</v>
      </c>
      <c r="G1176" s="12">
        <v>0.11805555555474712</v>
      </c>
      <c r="H1176" s="2" t="s">
        <v>257</v>
      </c>
      <c r="J1176" s="2" t="s">
        <v>258</v>
      </c>
      <c r="K1176" s="2" t="s">
        <v>658</v>
      </c>
      <c r="L1176" s="2" t="s">
        <v>2286</v>
      </c>
      <c r="M1176" t="s">
        <v>260</v>
      </c>
      <c r="N1176" t="s">
        <v>357</v>
      </c>
      <c r="O1176" t="s">
        <v>632</v>
      </c>
      <c r="P1176" t="s">
        <v>3560</v>
      </c>
      <c r="Q1176" t="s">
        <v>2281</v>
      </c>
    </row>
    <row r="1177" spans="1:17">
      <c r="A1177" s="2" t="s">
        <v>583</v>
      </c>
      <c r="B1177" s="2" t="s">
        <v>583</v>
      </c>
      <c r="C1177" s="2" t="s">
        <v>379</v>
      </c>
      <c r="D1177" s="11">
        <v>45978.520833333336</v>
      </c>
      <c r="E1177" s="11">
        <v>45978.520833333336</v>
      </c>
      <c r="F1177" s="11">
        <v>45978.638888888891</v>
      </c>
      <c r="G1177" s="12">
        <v>0.11805555555474712</v>
      </c>
      <c r="H1177" s="2" t="s">
        <v>257</v>
      </c>
      <c r="J1177" s="2" t="s">
        <v>258</v>
      </c>
      <c r="K1177" s="2" t="s">
        <v>658</v>
      </c>
      <c r="L1177" s="2" t="s">
        <v>2286</v>
      </c>
      <c r="M1177" t="s">
        <v>260</v>
      </c>
      <c r="N1177" t="s">
        <v>357</v>
      </c>
      <c r="O1177" t="s">
        <v>632</v>
      </c>
      <c r="P1177" t="s">
        <v>3561</v>
      </c>
      <c r="Q1177" t="s">
        <v>2281</v>
      </c>
    </row>
    <row r="1178" spans="1:17">
      <c r="A1178" s="2" t="s">
        <v>584</v>
      </c>
      <c r="B1178" s="2" t="s">
        <v>584</v>
      </c>
      <c r="C1178" s="2" t="s">
        <v>377</v>
      </c>
      <c r="D1178" s="11">
        <v>45978.520833333336</v>
      </c>
      <c r="E1178" s="11">
        <v>45978.520833333336</v>
      </c>
      <c r="F1178" s="11">
        <v>45978.638888888891</v>
      </c>
      <c r="G1178" s="12">
        <v>0.11805555555474712</v>
      </c>
      <c r="H1178" s="2" t="s">
        <v>257</v>
      </c>
      <c r="J1178" s="2" t="s">
        <v>258</v>
      </c>
      <c r="K1178" s="2" t="s">
        <v>658</v>
      </c>
      <c r="L1178" s="2" t="s">
        <v>2286</v>
      </c>
      <c r="M1178" t="s">
        <v>260</v>
      </c>
      <c r="N1178" t="s">
        <v>357</v>
      </c>
      <c r="O1178" t="s">
        <v>632</v>
      </c>
      <c r="P1178" t="s">
        <v>3562</v>
      </c>
      <c r="Q1178" t="s">
        <v>2281</v>
      </c>
    </row>
    <row r="1179" spans="1:17">
      <c r="A1179" s="2" t="s">
        <v>584</v>
      </c>
      <c r="B1179" s="2" t="s">
        <v>584</v>
      </c>
      <c r="C1179" s="2" t="s">
        <v>378</v>
      </c>
      <c r="D1179" s="11">
        <v>45978.520833333336</v>
      </c>
      <c r="E1179" s="11">
        <v>45978.520833333336</v>
      </c>
      <c r="F1179" s="11">
        <v>45978.638888888891</v>
      </c>
      <c r="G1179" s="12">
        <v>0.11805555555474712</v>
      </c>
      <c r="H1179" s="2" t="s">
        <v>257</v>
      </c>
      <c r="J1179" s="2" t="s">
        <v>258</v>
      </c>
      <c r="K1179" s="2" t="s">
        <v>658</v>
      </c>
      <c r="L1179" s="2" t="s">
        <v>2286</v>
      </c>
      <c r="M1179" t="s">
        <v>260</v>
      </c>
      <c r="N1179" t="s">
        <v>357</v>
      </c>
      <c r="O1179" t="s">
        <v>632</v>
      </c>
      <c r="P1179" t="s">
        <v>3563</v>
      </c>
      <c r="Q1179" t="s">
        <v>2281</v>
      </c>
    </row>
    <row r="1180" spans="1:17">
      <c r="A1180" s="2" t="s">
        <v>584</v>
      </c>
      <c r="B1180" s="2" t="s">
        <v>584</v>
      </c>
      <c r="C1180" s="2" t="s">
        <v>382</v>
      </c>
      <c r="D1180" s="11">
        <v>45978.520833333336</v>
      </c>
      <c r="E1180" s="11">
        <v>45978.520833333336</v>
      </c>
      <c r="F1180" s="11">
        <v>45978.638888888891</v>
      </c>
      <c r="G1180" s="12">
        <v>0.11805555555474712</v>
      </c>
      <c r="H1180" s="2" t="s">
        <v>257</v>
      </c>
      <c r="J1180" s="2" t="s">
        <v>258</v>
      </c>
      <c r="K1180" s="2" t="s">
        <v>658</v>
      </c>
      <c r="L1180" s="2" t="s">
        <v>2286</v>
      </c>
      <c r="M1180" t="s">
        <v>260</v>
      </c>
      <c r="N1180" t="s">
        <v>357</v>
      </c>
      <c r="O1180" t="s">
        <v>632</v>
      </c>
      <c r="P1180" t="s">
        <v>3564</v>
      </c>
      <c r="Q1180" t="s">
        <v>2281</v>
      </c>
    </row>
    <row r="1181" spans="1:17">
      <c r="A1181" s="2" t="s">
        <v>584</v>
      </c>
      <c r="B1181" s="2" t="s">
        <v>584</v>
      </c>
      <c r="C1181" s="2" t="s">
        <v>380</v>
      </c>
      <c r="D1181" s="11">
        <v>45978.520833333336</v>
      </c>
      <c r="E1181" s="11">
        <v>45978.520833333336</v>
      </c>
      <c r="F1181" s="11">
        <v>45978.638888888891</v>
      </c>
      <c r="G1181" s="12">
        <v>0.11805555555474712</v>
      </c>
      <c r="H1181" s="2" t="s">
        <v>257</v>
      </c>
      <c r="J1181" s="2" t="s">
        <v>258</v>
      </c>
      <c r="K1181" s="2" t="s">
        <v>658</v>
      </c>
      <c r="L1181" s="2" t="s">
        <v>2286</v>
      </c>
      <c r="M1181" t="s">
        <v>260</v>
      </c>
      <c r="N1181" t="s">
        <v>357</v>
      </c>
      <c r="O1181" t="s">
        <v>632</v>
      </c>
      <c r="P1181" t="s">
        <v>3565</v>
      </c>
      <c r="Q1181" t="s">
        <v>2281</v>
      </c>
    </row>
    <row r="1182" spans="1:17">
      <c r="A1182" s="2" t="s">
        <v>584</v>
      </c>
      <c r="B1182" s="2" t="s">
        <v>584</v>
      </c>
      <c r="C1182" s="2" t="s">
        <v>379</v>
      </c>
      <c r="D1182" s="11">
        <v>45978.520833333336</v>
      </c>
      <c r="E1182" s="11">
        <v>45978.520833333336</v>
      </c>
      <c r="F1182" s="11">
        <v>45978.638888888891</v>
      </c>
      <c r="G1182" s="12">
        <v>0.11805555555474712</v>
      </c>
      <c r="H1182" s="2" t="s">
        <v>257</v>
      </c>
      <c r="J1182" s="2" t="s">
        <v>258</v>
      </c>
      <c r="K1182" s="2" t="s">
        <v>658</v>
      </c>
      <c r="L1182" s="2" t="s">
        <v>2286</v>
      </c>
      <c r="M1182" t="s">
        <v>260</v>
      </c>
      <c r="N1182" t="s">
        <v>357</v>
      </c>
      <c r="O1182" t="s">
        <v>632</v>
      </c>
      <c r="P1182" t="s">
        <v>3566</v>
      </c>
      <c r="Q1182" t="s">
        <v>2281</v>
      </c>
    </row>
    <row r="1183" spans="1:17">
      <c r="A1183" s="2" t="s">
        <v>619</v>
      </c>
      <c r="B1183" s="2" t="s">
        <v>619</v>
      </c>
      <c r="C1183" s="2" t="s">
        <v>3342</v>
      </c>
      <c r="D1183" s="11">
        <v>45978.554861111108</v>
      </c>
      <c r="E1183" s="11">
        <v>45978.554861111108</v>
      </c>
      <c r="F1183" s="11">
        <v>45979.291666666664</v>
      </c>
      <c r="G1183" s="12">
        <v>0.73680555555620231</v>
      </c>
      <c r="H1183" s="2" t="s">
        <v>268</v>
      </c>
      <c r="I1183" s="2" t="s">
        <v>269</v>
      </c>
      <c r="J1183" s="2" t="s">
        <v>319</v>
      </c>
      <c r="K1183" s="2" t="s">
        <v>652</v>
      </c>
      <c r="L1183" s="2" t="s">
        <v>3332</v>
      </c>
      <c r="M1183" t="s">
        <v>289</v>
      </c>
      <c r="N1183" t="s">
        <v>253</v>
      </c>
      <c r="O1183" t="s">
        <v>3567</v>
      </c>
      <c r="P1183" t="s">
        <v>3568</v>
      </c>
      <c r="Q1183" t="s">
        <v>2713</v>
      </c>
    </row>
    <row r="1184" spans="1:17">
      <c r="A1184" s="2" t="s">
        <v>619</v>
      </c>
      <c r="B1184" s="2" t="s">
        <v>619</v>
      </c>
      <c r="C1184" s="2" t="s">
        <v>3344</v>
      </c>
      <c r="D1184" s="11">
        <v>45978.554861111108</v>
      </c>
      <c r="E1184" s="11">
        <v>45978.554861111108</v>
      </c>
      <c r="F1184" s="11">
        <v>45979.291666666664</v>
      </c>
      <c r="G1184" s="12">
        <v>0.73680555555620231</v>
      </c>
      <c r="H1184" s="2" t="s">
        <v>268</v>
      </c>
      <c r="I1184" s="2" t="s">
        <v>269</v>
      </c>
      <c r="J1184" s="2" t="s">
        <v>319</v>
      </c>
      <c r="K1184" s="2" t="s">
        <v>652</v>
      </c>
      <c r="L1184" s="2" t="s">
        <v>3332</v>
      </c>
      <c r="M1184" t="s">
        <v>289</v>
      </c>
      <c r="N1184" t="s">
        <v>253</v>
      </c>
      <c r="O1184" t="s">
        <v>3567</v>
      </c>
      <c r="P1184" t="s">
        <v>3569</v>
      </c>
      <c r="Q1184" t="s">
        <v>2713</v>
      </c>
    </row>
    <row r="1185" spans="1:17">
      <c r="A1185" s="2" t="s">
        <v>619</v>
      </c>
      <c r="B1185" s="2" t="s">
        <v>619</v>
      </c>
      <c r="C1185" s="2" t="s">
        <v>3346</v>
      </c>
      <c r="D1185" s="11">
        <v>45978.554861111108</v>
      </c>
      <c r="E1185" s="11">
        <v>45978.554861111108</v>
      </c>
      <c r="F1185" s="11">
        <v>45979.291666666664</v>
      </c>
      <c r="G1185" s="12">
        <v>0.73680555555620231</v>
      </c>
      <c r="H1185" s="2" t="s">
        <v>268</v>
      </c>
      <c r="I1185" s="2" t="s">
        <v>269</v>
      </c>
      <c r="J1185" s="2" t="s">
        <v>319</v>
      </c>
      <c r="K1185" s="2" t="s">
        <v>652</v>
      </c>
      <c r="L1185" s="2" t="s">
        <v>3332</v>
      </c>
      <c r="M1185" t="s">
        <v>289</v>
      </c>
      <c r="N1185" t="s">
        <v>253</v>
      </c>
      <c r="O1185" t="s">
        <v>3567</v>
      </c>
      <c r="P1185" t="s">
        <v>3570</v>
      </c>
      <c r="Q1185" t="s">
        <v>2713</v>
      </c>
    </row>
    <row r="1186" spans="1:17">
      <c r="A1186" s="2" t="s">
        <v>619</v>
      </c>
      <c r="B1186" s="2" t="s">
        <v>619</v>
      </c>
      <c r="C1186" s="2" t="s">
        <v>3348</v>
      </c>
      <c r="D1186" s="11">
        <v>45978.554861111108</v>
      </c>
      <c r="E1186" s="11">
        <v>45978.554861111108</v>
      </c>
      <c r="F1186" s="11">
        <v>45979.291666666664</v>
      </c>
      <c r="G1186" s="12">
        <v>0.73680555555620231</v>
      </c>
      <c r="H1186" s="2" t="s">
        <v>268</v>
      </c>
      <c r="I1186" s="2" t="s">
        <v>269</v>
      </c>
      <c r="J1186" s="2" t="s">
        <v>319</v>
      </c>
      <c r="K1186" s="2" t="s">
        <v>652</v>
      </c>
      <c r="L1186" s="2" t="s">
        <v>3332</v>
      </c>
      <c r="M1186" t="s">
        <v>289</v>
      </c>
      <c r="N1186" t="s">
        <v>253</v>
      </c>
      <c r="O1186" t="s">
        <v>3567</v>
      </c>
      <c r="P1186" t="s">
        <v>3571</v>
      </c>
      <c r="Q1186" t="s">
        <v>2713</v>
      </c>
    </row>
    <row r="1187" spans="1:17">
      <c r="A1187" s="2" t="s">
        <v>619</v>
      </c>
      <c r="B1187" s="2" t="s">
        <v>619</v>
      </c>
      <c r="C1187" s="2" t="s">
        <v>3350</v>
      </c>
      <c r="D1187" s="11">
        <v>45978.554861111108</v>
      </c>
      <c r="E1187" s="11">
        <v>45978.554861111108</v>
      </c>
      <c r="F1187" s="11">
        <v>45979.291666666664</v>
      </c>
      <c r="G1187" s="12">
        <v>0.73680555555620231</v>
      </c>
      <c r="H1187" s="2" t="s">
        <v>268</v>
      </c>
      <c r="I1187" s="2" t="s">
        <v>269</v>
      </c>
      <c r="J1187" s="2" t="s">
        <v>319</v>
      </c>
      <c r="K1187" s="2" t="s">
        <v>652</v>
      </c>
      <c r="L1187" s="2" t="s">
        <v>3332</v>
      </c>
      <c r="M1187" t="s">
        <v>289</v>
      </c>
      <c r="N1187" t="s">
        <v>253</v>
      </c>
      <c r="O1187" t="s">
        <v>3567</v>
      </c>
      <c r="P1187" t="s">
        <v>3572</v>
      </c>
      <c r="Q1187" t="s">
        <v>2713</v>
      </c>
    </row>
    <row r="1188" spans="1:17">
      <c r="A1188" s="2" t="s">
        <v>327</v>
      </c>
      <c r="B1188" s="2" t="s">
        <v>327</v>
      </c>
      <c r="C1188" s="2" t="s">
        <v>247</v>
      </c>
      <c r="D1188" s="11">
        <v>45978.616666666669</v>
      </c>
      <c r="E1188" s="11">
        <v>45978.616666666669</v>
      </c>
      <c r="F1188" s="11">
        <v>45978.624305555553</v>
      </c>
      <c r="G1188" s="12">
        <v>7.6388888846850023E-3</v>
      </c>
      <c r="H1188" s="2" t="s">
        <v>257</v>
      </c>
      <c r="J1188" s="2" t="s">
        <v>258</v>
      </c>
      <c r="K1188" s="2" t="s">
        <v>658</v>
      </c>
      <c r="L1188" s="2" t="s">
        <v>2198</v>
      </c>
      <c r="M1188" t="s">
        <v>260</v>
      </c>
      <c r="N1188" t="s">
        <v>357</v>
      </c>
      <c r="O1188" t="s">
        <v>632</v>
      </c>
      <c r="P1188" t="s">
        <v>3573</v>
      </c>
      <c r="Q1188" t="s">
        <v>2281</v>
      </c>
    </row>
    <row r="1189" spans="1:17">
      <c r="A1189" s="2" t="s">
        <v>246</v>
      </c>
      <c r="B1189" s="2" t="s">
        <v>246</v>
      </c>
      <c r="C1189" s="2" t="s">
        <v>247</v>
      </c>
      <c r="D1189" s="11">
        <v>45978.616666666669</v>
      </c>
      <c r="E1189" s="11">
        <v>45978.616666666669</v>
      </c>
      <c r="F1189" s="11">
        <v>45978.624305555553</v>
      </c>
      <c r="G1189" s="12">
        <v>7.6388888846850023E-3</v>
      </c>
      <c r="H1189" s="2" t="s">
        <v>257</v>
      </c>
      <c r="J1189" s="2" t="s">
        <v>258</v>
      </c>
      <c r="K1189" s="2" t="s">
        <v>658</v>
      </c>
      <c r="L1189" s="2" t="s">
        <v>2198</v>
      </c>
      <c r="M1189" t="s">
        <v>260</v>
      </c>
      <c r="N1189" t="s">
        <v>357</v>
      </c>
      <c r="O1189" t="s">
        <v>632</v>
      </c>
      <c r="P1189" t="s">
        <v>3574</v>
      </c>
      <c r="Q1189" t="s">
        <v>2281</v>
      </c>
    </row>
    <row r="1190" spans="1:17">
      <c r="A1190" s="2" t="s">
        <v>328</v>
      </c>
      <c r="B1190" s="2" t="s">
        <v>328</v>
      </c>
      <c r="C1190" s="2" t="s">
        <v>247</v>
      </c>
      <c r="D1190" s="11">
        <v>45978.616666666669</v>
      </c>
      <c r="E1190" s="11">
        <v>45978.616666666669</v>
      </c>
      <c r="F1190" s="11">
        <v>45978.624305555553</v>
      </c>
      <c r="G1190" s="12">
        <v>7.6388888846850023E-3</v>
      </c>
      <c r="H1190" s="2" t="s">
        <v>257</v>
      </c>
      <c r="J1190" s="2" t="s">
        <v>258</v>
      </c>
      <c r="K1190" s="2" t="s">
        <v>658</v>
      </c>
      <c r="L1190" s="2" t="s">
        <v>2198</v>
      </c>
      <c r="M1190" t="s">
        <v>260</v>
      </c>
      <c r="N1190" t="s">
        <v>357</v>
      </c>
      <c r="O1190" t="s">
        <v>632</v>
      </c>
      <c r="P1190" t="s">
        <v>3575</v>
      </c>
      <c r="Q1190" t="s">
        <v>2281</v>
      </c>
    </row>
    <row r="1191" spans="1:17">
      <c r="A1191" s="2" t="s">
        <v>329</v>
      </c>
      <c r="B1191" s="2" t="s">
        <v>329</v>
      </c>
      <c r="C1191" s="2" t="s">
        <v>247</v>
      </c>
      <c r="D1191" s="11">
        <v>45978.616666666669</v>
      </c>
      <c r="E1191" s="11">
        <v>45978.616666666669</v>
      </c>
      <c r="F1191" s="11">
        <v>45978.624305555553</v>
      </c>
      <c r="G1191" s="12">
        <v>7.6388888846850023E-3</v>
      </c>
      <c r="H1191" s="2" t="s">
        <v>257</v>
      </c>
      <c r="J1191" s="2" t="s">
        <v>258</v>
      </c>
      <c r="K1191" s="2" t="s">
        <v>658</v>
      </c>
      <c r="L1191" s="2" t="s">
        <v>2198</v>
      </c>
      <c r="M1191" t="s">
        <v>260</v>
      </c>
      <c r="N1191" t="s">
        <v>357</v>
      </c>
      <c r="O1191" t="s">
        <v>632</v>
      </c>
      <c r="P1191" t="s">
        <v>3576</v>
      </c>
      <c r="Q1191" t="s">
        <v>2281</v>
      </c>
    </row>
    <row r="1192" spans="1:17">
      <c r="A1192" s="2" t="s">
        <v>330</v>
      </c>
      <c r="B1192" s="2" t="s">
        <v>330</v>
      </c>
      <c r="C1192" s="2" t="s">
        <v>247</v>
      </c>
      <c r="D1192" s="11">
        <v>45978.616666666669</v>
      </c>
      <c r="E1192" s="11">
        <v>45978.616666666669</v>
      </c>
      <c r="F1192" s="11">
        <v>45978.624305555553</v>
      </c>
      <c r="G1192" s="12">
        <v>7.6388888846850023E-3</v>
      </c>
      <c r="H1192" s="2" t="s">
        <v>257</v>
      </c>
      <c r="J1192" s="2" t="s">
        <v>258</v>
      </c>
      <c r="K1192" s="2" t="s">
        <v>658</v>
      </c>
      <c r="L1192" s="2" t="s">
        <v>2198</v>
      </c>
      <c r="M1192" t="s">
        <v>260</v>
      </c>
      <c r="N1192" t="s">
        <v>357</v>
      </c>
      <c r="O1192" t="s">
        <v>632</v>
      </c>
      <c r="P1192" t="s">
        <v>3577</v>
      </c>
      <c r="Q1192" t="s">
        <v>2281</v>
      </c>
    </row>
    <row r="1193" spans="1:17">
      <c r="A1193" s="2" t="s">
        <v>2196</v>
      </c>
      <c r="B1193" s="2" t="s">
        <v>358</v>
      </c>
      <c r="C1193" s="2" t="s">
        <v>553</v>
      </c>
      <c r="D1193" s="11">
        <v>45978.638194444444</v>
      </c>
      <c r="E1193" s="11">
        <v>45978.638194444444</v>
      </c>
      <c r="F1193" s="11">
        <v>45986.635416666664</v>
      </c>
      <c r="G1193" s="12">
        <v>7.9972222222204437</v>
      </c>
      <c r="H1193" s="2" t="s">
        <v>257</v>
      </c>
      <c r="J1193" s="2" t="s">
        <v>371</v>
      </c>
      <c r="K1193" s="2" t="s">
        <v>653</v>
      </c>
      <c r="L1193" s="2" t="s">
        <v>3578</v>
      </c>
      <c r="M1193" t="s">
        <v>663</v>
      </c>
      <c r="N1193" t="s">
        <v>364</v>
      </c>
      <c r="O1193" t="s">
        <v>2230</v>
      </c>
      <c r="P1193" t="s">
        <v>3579</v>
      </c>
      <c r="Q1193" t="s">
        <v>2537</v>
      </c>
    </row>
    <row r="1194" spans="1:17">
      <c r="A1194" s="2" t="s">
        <v>360</v>
      </c>
      <c r="B1194" s="2" t="s">
        <v>360</v>
      </c>
      <c r="C1194" s="2" t="s">
        <v>720</v>
      </c>
      <c r="D1194" s="11">
        <v>45978.916666666664</v>
      </c>
      <c r="E1194" s="11">
        <v>45978.916666666664</v>
      </c>
      <c r="F1194" s="11">
        <v>45978.944444444445</v>
      </c>
      <c r="G1194" s="12">
        <v>2.7777777781011537E-2</v>
      </c>
      <c r="H1194" s="2" t="s">
        <v>257</v>
      </c>
      <c r="J1194" s="2" t="s">
        <v>258</v>
      </c>
      <c r="K1194" s="2" t="s">
        <v>658</v>
      </c>
      <c r="L1194" s="2" t="s">
        <v>2057</v>
      </c>
      <c r="M1194" t="s">
        <v>260</v>
      </c>
      <c r="N1194" t="s">
        <v>357</v>
      </c>
      <c r="O1194" t="s">
        <v>2058</v>
      </c>
      <c r="P1194" t="s">
        <v>3580</v>
      </c>
      <c r="Q1194" t="s">
        <v>2281</v>
      </c>
    </row>
    <row r="1195" spans="1:17">
      <c r="A1195" s="2" t="s">
        <v>360</v>
      </c>
      <c r="B1195" s="2" t="s">
        <v>360</v>
      </c>
      <c r="C1195" s="2" t="s">
        <v>721</v>
      </c>
      <c r="D1195" s="11">
        <v>45978.916666666664</v>
      </c>
      <c r="E1195" s="11">
        <v>45978.916666666664</v>
      </c>
      <c r="F1195" s="11">
        <v>45978.944444444445</v>
      </c>
      <c r="G1195" s="12">
        <v>2.7777777781011537E-2</v>
      </c>
      <c r="H1195" s="2" t="s">
        <v>257</v>
      </c>
      <c r="J1195" s="2" t="s">
        <v>258</v>
      </c>
      <c r="K1195" s="2" t="s">
        <v>658</v>
      </c>
      <c r="L1195" s="2" t="s">
        <v>2057</v>
      </c>
      <c r="M1195" t="s">
        <v>260</v>
      </c>
      <c r="N1195" t="s">
        <v>357</v>
      </c>
      <c r="O1195" t="s">
        <v>2058</v>
      </c>
      <c r="P1195" t="s">
        <v>3581</v>
      </c>
      <c r="Q1195" t="s">
        <v>2281</v>
      </c>
    </row>
    <row r="1196" spans="1:17">
      <c r="A1196" s="2" t="s">
        <v>360</v>
      </c>
      <c r="B1196" s="2" t="s">
        <v>360</v>
      </c>
      <c r="C1196" s="2" t="s">
        <v>722</v>
      </c>
      <c r="D1196" s="11">
        <v>45978.916666666664</v>
      </c>
      <c r="E1196" s="11">
        <v>45978.916666666664</v>
      </c>
      <c r="F1196" s="11">
        <v>45978.944444444445</v>
      </c>
      <c r="G1196" s="12">
        <v>2.7777777781011537E-2</v>
      </c>
      <c r="H1196" s="2" t="s">
        <v>257</v>
      </c>
      <c r="J1196" s="2" t="s">
        <v>258</v>
      </c>
      <c r="K1196" s="2" t="s">
        <v>658</v>
      </c>
      <c r="L1196" s="2" t="s">
        <v>2057</v>
      </c>
      <c r="M1196" t="s">
        <v>260</v>
      </c>
      <c r="N1196" t="s">
        <v>357</v>
      </c>
      <c r="O1196" t="s">
        <v>2058</v>
      </c>
      <c r="P1196" t="s">
        <v>3582</v>
      </c>
      <c r="Q1196" t="s">
        <v>2281</v>
      </c>
    </row>
    <row r="1197" spans="1:17">
      <c r="A1197" s="2" t="s">
        <v>360</v>
      </c>
      <c r="B1197" s="2" t="s">
        <v>360</v>
      </c>
      <c r="C1197" s="2" t="s">
        <v>361</v>
      </c>
      <c r="D1197" s="11">
        <v>45978.916666666664</v>
      </c>
      <c r="E1197" s="11">
        <v>45978.916666666664</v>
      </c>
      <c r="F1197" s="11">
        <v>45978.944444444445</v>
      </c>
      <c r="G1197" s="12">
        <v>2.7777777781011537E-2</v>
      </c>
      <c r="H1197" s="2" t="s">
        <v>257</v>
      </c>
      <c r="J1197" s="2" t="s">
        <v>258</v>
      </c>
      <c r="K1197" s="2" t="s">
        <v>658</v>
      </c>
      <c r="L1197" s="2" t="s">
        <v>2057</v>
      </c>
      <c r="M1197" t="s">
        <v>260</v>
      </c>
      <c r="N1197" t="s">
        <v>357</v>
      </c>
      <c r="O1197" t="s">
        <v>2058</v>
      </c>
      <c r="P1197" t="s">
        <v>3583</v>
      </c>
      <c r="Q1197" t="s">
        <v>2281</v>
      </c>
    </row>
    <row r="1198" spans="1:17">
      <c r="A1198" s="2" t="s">
        <v>360</v>
      </c>
      <c r="B1198" s="2" t="s">
        <v>360</v>
      </c>
      <c r="C1198" s="2" t="s">
        <v>366</v>
      </c>
      <c r="D1198" s="11">
        <v>45978.916666666664</v>
      </c>
      <c r="E1198" s="11">
        <v>45978.916666666664</v>
      </c>
      <c r="F1198" s="11">
        <v>45978.944444444445</v>
      </c>
      <c r="G1198" s="12">
        <v>2.7777777781011537E-2</v>
      </c>
      <c r="H1198" s="2" t="s">
        <v>257</v>
      </c>
      <c r="J1198" s="2" t="s">
        <v>258</v>
      </c>
      <c r="K1198" s="2" t="s">
        <v>658</v>
      </c>
      <c r="L1198" s="2" t="s">
        <v>2057</v>
      </c>
      <c r="M1198" t="s">
        <v>260</v>
      </c>
      <c r="N1198" t="s">
        <v>357</v>
      </c>
      <c r="O1198" t="s">
        <v>2058</v>
      </c>
      <c r="P1198" t="s">
        <v>3584</v>
      </c>
      <c r="Q1198" t="s">
        <v>2281</v>
      </c>
    </row>
    <row r="1199" spans="1:17">
      <c r="A1199" s="2" t="s">
        <v>367</v>
      </c>
      <c r="B1199" s="2" t="s">
        <v>367</v>
      </c>
      <c r="C1199" s="2" t="s">
        <v>292</v>
      </c>
      <c r="D1199" s="11">
        <v>45978.916666666664</v>
      </c>
      <c r="E1199" s="11">
        <v>45978.916666666664</v>
      </c>
      <c r="F1199" s="11">
        <v>45978.944444444445</v>
      </c>
      <c r="G1199" s="12">
        <v>2.7777777781011537E-2</v>
      </c>
      <c r="H1199" s="2" t="s">
        <v>257</v>
      </c>
      <c r="J1199" s="2" t="s">
        <v>258</v>
      </c>
      <c r="K1199" s="2" t="s">
        <v>658</v>
      </c>
      <c r="L1199" s="2" t="s">
        <v>2057</v>
      </c>
      <c r="M1199" t="s">
        <v>260</v>
      </c>
      <c r="N1199" t="s">
        <v>357</v>
      </c>
      <c r="O1199" t="s">
        <v>2058</v>
      </c>
      <c r="P1199" t="s">
        <v>3585</v>
      </c>
      <c r="Q1199" t="s">
        <v>2281</v>
      </c>
    </row>
    <row r="1200" spans="1:17">
      <c r="A1200" s="2" t="s">
        <v>367</v>
      </c>
      <c r="B1200" s="2" t="s">
        <v>367</v>
      </c>
      <c r="C1200" s="2" t="s">
        <v>287</v>
      </c>
      <c r="D1200" s="11">
        <v>45978.916666666664</v>
      </c>
      <c r="E1200" s="11">
        <v>45978.916666666664</v>
      </c>
      <c r="F1200" s="11">
        <v>45978.944444444445</v>
      </c>
      <c r="G1200" s="12">
        <v>2.7777777781011537E-2</v>
      </c>
      <c r="H1200" s="2" t="s">
        <v>257</v>
      </c>
      <c r="J1200" s="2" t="s">
        <v>258</v>
      </c>
      <c r="K1200" s="2" t="s">
        <v>658</v>
      </c>
      <c r="L1200" s="2" t="s">
        <v>2057</v>
      </c>
      <c r="M1200" t="s">
        <v>260</v>
      </c>
      <c r="N1200" t="s">
        <v>357</v>
      </c>
      <c r="O1200" t="s">
        <v>2058</v>
      </c>
      <c r="P1200" t="s">
        <v>3586</v>
      </c>
      <c r="Q1200" t="s">
        <v>2281</v>
      </c>
    </row>
    <row r="1201" spans="1:17">
      <c r="A1201" s="2" t="s">
        <v>367</v>
      </c>
      <c r="B1201" s="2" t="s">
        <v>367</v>
      </c>
      <c r="C1201" s="2" t="s">
        <v>293</v>
      </c>
      <c r="D1201" s="11">
        <v>45978.916666666664</v>
      </c>
      <c r="E1201" s="11">
        <v>45978.916666666664</v>
      </c>
      <c r="F1201" s="11">
        <v>45978.944444444445</v>
      </c>
      <c r="G1201" s="12">
        <v>2.7777777781011537E-2</v>
      </c>
      <c r="H1201" s="2" t="s">
        <v>257</v>
      </c>
      <c r="J1201" s="2" t="s">
        <v>258</v>
      </c>
      <c r="K1201" s="2" t="s">
        <v>658</v>
      </c>
      <c r="L1201" s="2" t="s">
        <v>2057</v>
      </c>
      <c r="M1201" t="s">
        <v>260</v>
      </c>
      <c r="N1201" t="s">
        <v>357</v>
      </c>
      <c r="O1201" t="s">
        <v>2058</v>
      </c>
      <c r="P1201" t="s">
        <v>3587</v>
      </c>
      <c r="Q1201" t="s">
        <v>2281</v>
      </c>
    </row>
    <row r="1202" spans="1:17">
      <c r="A1202" s="2" t="s">
        <v>367</v>
      </c>
      <c r="B1202" s="2" t="s">
        <v>367</v>
      </c>
      <c r="C1202" s="2" t="s">
        <v>295</v>
      </c>
      <c r="D1202" s="11">
        <v>45978.916666666664</v>
      </c>
      <c r="E1202" s="11">
        <v>45978.916666666664</v>
      </c>
      <c r="F1202" s="11">
        <v>45978.944444444445</v>
      </c>
      <c r="G1202" s="12">
        <v>2.7777777781011537E-2</v>
      </c>
      <c r="H1202" s="2" t="s">
        <v>257</v>
      </c>
      <c r="J1202" s="2" t="s">
        <v>258</v>
      </c>
      <c r="K1202" s="2" t="s">
        <v>658</v>
      </c>
      <c r="L1202" s="2" t="s">
        <v>2057</v>
      </c>
      <c r="M1202" t="s">
        <v>260</v>
      </c>
      <c r="N1202" t="s">
        <v>357</v>
      </c>
      <c r="O1202" t="s">
        <v>2058</v>
      </c>
      <c r="P1202" t="s">
        <v>3588</v>
      </c>
      <c r="Q1202" t="s">
        <v>2281</v>
      </c>
    </row>
    <row r="1203" spans="1:17">
      <c r="A1203" s="2" t="s">
        <v>367</v>
      </c>
      <c r="B1203" s="2" t="s">
        <v>367</v>
      </c>
      <c r="C1203" s="2" t="s">
        <v>294</v>
      </c>
      <c r="D1203" s="11">
        <v>45978.916666666664</v>
      </c>
      <c r="E1203" s="11">
        <v>45978.916666666664</v>
      </c>
      <c r="F1203" s="11">
        <v>45978.944444444445</v>
      </c>
      <c r="G1203" s="12">
        <v>2.7777777781011537E-2</v>
      </c>
      <c r="H1203" s="2" t="s">
        <v>257</v>
      </c>
      <c r="J1203" s="2" t="s">
        <v>258</v>
      </c>
      <c r="K1203" s="2" t="s">
        <v>658</v>
      </c>
      <c r="L1203" s="2" t="s">
        <v>2057</v>
      </c>
      <c r="M1203" t="s">
        <v>260</v>
      </c>
      <c r="N1203" t="s">
        <v>357</v>
      </c>
      <c r="O1203" t="s">
        <v>2058</v>
      </c>
      <c r="P1203" t="s">
        <v>3589</v>
      </c>
      <c r="Q1203" t="s">
        <v>2281</v>
      </c>
    </row>
    <row r="1204" spans="1:17">
      <c r="A1204" s="2" t="s">
        <v>724</v>
      </c>
      <c r="B1204" s="2" t="s">
        <v>724</v>
      </c>
      <c r="C1204" s="2" t="s">
        <v>608</v>
      </c>
      <c r="D1204" s="11">
        <v>45978.916666666664</v>
      </c>
      <c r="E1204" s="11">
        <v>45978.916666666664</v>
      </c>
      <c r="F1204" s="11">
        <v>45978.944444444445</v>
      </c>
      <c r="G1204" s="12">
        <v>2.7777777781011537E-2</v>
      </c>
      <c r="H1204" s="2" t="s">
        <v>257</v>
      </c>
      <c r="J1204" s="2" t="s">
        <v>258</v>
      </c>
      <c r="K1204" s="2" t="s">
        <v>658</v>
      </c>
      <c r="L1204" s="2" t="s">
        <v>2057</v>
      </c>
      <c r="M1204" t="s">
        <v>260</v>
      </c>
      <c r="N1204" t="s">
        <v>357</v>
      </c>
      <c r="O1204" t="s">
        <v>2058</v>
      </c>
      <c r="P1204" t="s">
        <v>3590</v>
      </c>
      <c r="Q1204" t="s">
        <v>2281</v>
      </c>
    </row>
    <row r="1205" spans="1:17">
      <c r="A1205" s="2" t="s">
        <v>724</v>
      </c>
      <c r="B1205" s="2" t="s">
        <v>724</v>
      </c>
      <c r="C1205" s="2" t="s">
        <v>536</v>
      </c>
      <c r="D1205" s="11">
        <v>45978.916666666664</v>
      </c>
      <c r="E1205" s="11">
        <v>45978.916666666664</v>
      </c>
      <c r="F1205" s="11">
        <v>45978.944444444445</v>
      </c>
      <c r="G1205" s="12">
        <v>2.7777777781011537E-2</v>
      </c>
      <c r="H1205" s="2" t="s">
        <v>257</v>
      </c>
      <c r="J1205" s="2" t="s">
        <v>258</v>
      </c>
      <c r="K1205" s="2" t="s">
        <v>658</v>
      </c>
      <c r="L1205" s="2" t="s">
        <v>2057</v>
      </c>
      <c r="M1205" t="s">
        <v>260</v>
      </c>
      <c r="N1205" t="s">
        <v>357</v>
      </c>
      <c r="O1205" t="s">
        <v>2058</v>
      </c>
      <c r="P1205" t="s">
        <v>3591</v>
      </c>
      <c r="Q1205" t="s">
        <v>2281</v>
      </c>
    </row>
    <row r="1206" spans="1:17">
      <c r="A1206" s="2" t="s">
        <v>724</v>
      </c>
      <c r="B1206" s="2" t="s">
        <v>724</v>
      </c>
      <c r="C1206" s="2" t="s">
        <v>611</v>
      </c>
      <c r="D1206" s="11">
        <v>45978.916666666664</v>
      </c>
      <c r="E1206" s="11">
        <v>45978.916666666664</v>
      </c>
      <c r="F1206" s="11">
        <v>45978.944444444445</v>
      </c>
      <c r="G1206" s="12">
        <v>2.7777777781011537E-2</v>
      </c>
      <c r="H1206" s="2" t="s">
        <v>257</v>
      </c>
      <c r="J1206" s="2" t="s">
        <v>258</v>
      </c>
      <c r="K1206" s="2" t="s">
        <v>658</v>
      </c>
      <c r="L1206" s="2" t="s">
        <v>2057</v>
      </c>
      <c r="M1206" t="s">
        <v>260</v>
      </c>
      <c r="N1206" t="s">
        <v>357</v>
      </c>
      <c r="O1206" t="s">
        <v>2058</v>
      </c>
      <c r="P1206" t="s">
        <v>3592</v>
      </c>
      <c r="Q1206" t="s">
        <v>2281</v>
      </c>
    </row>
    <row r="1207" spans="1:17">
      <c r="A1207" s="2" t="s">
        <v>725</v>
      </c>
      <c r="B1207" s="2" t="s">
        <v>725</v>
      </c>
      <c r="C1207" s="2" t="s">
        <v>726</v>
      </c>
      <c r="D1207" s="11">
        <v>45978.916666666664</v>
      </c>
      <c r="E1207" s="11">
        <v>45978.916666666664</v>
      </c>
      <c r="F1207" s="11">
        <v>45978.944444444445</v>
      </c>
      <c r="G1207" s="12">
        <v>2.7777777781011537E-2</v>
      </c>
      <c r="H1207" s="2" t="s">
        <v>257</v>
      </c>
      <c r="J1207" s="2" t="s">
        <v>258</v>
      </c>
      <c r="K1207" s="2" t="s">
        <v>658</v>
      </c>
      <c r="L1207" s="2" t="s">
        <v>2057</v>
      </c>
      <c r="M1207" t="s">
        <v>260</v>
      </c>
      <c r="N1207" t="s">
        <v>357</v>
      </c>
      <c r="O1207" t="s">
        <v>2058</v>
      </c>
      <c r="P1207" t="s">
        <v>3593</v>
      </c>
      <c r="Q1207" t="s">
        <v>2281</v>
      </c>
    </row>
    <row r="1208" spans="1:17">
      <c r="A1208" s="2" t="s">
        <v>725</v>
      </c>
      <c r="B1208" s="2" t="s">
        <v>725</v>
      </c>
      <c r="C1208" s="2" t="s">
        <v>263</v>
      </c>
      <c r="D1208" s="11">
        <v>45978.916666666664</v>
      </c>
      <c r="E1208" s="11">
        <v>45978.916666666664</v>
      </c>
      <c r="F1208" s="11">
        <v>45978.944444444445</v>
      </c>
      <c r="G1208" s="12">
        <v>2.7777777781011537E-2</v>
      </c>
      <c r="H1208" s="2" t="s">
        <v>257</v>
      </c>
      <c r="J1208" s="2" t="s">
        <v>258</v>
      </c>
      <c r="K1208" s="2" t="s">
        <v>658</v>
      </c>
      <c r="L1208" s="2" t="s">
        <v>2057</v>
      </c>
      <c r="M1208" t="s">
        <v>260</v>
      </c>
      <c r="N1208" t="s">
        <v>357</v>
      </c>
      <c r="O1208" t="s">
        <v>2058</v>
      </c>
      <c r="P1208" t="s">
        <v>3594</v>
      </c>
      <c r="Q1208" t="s">
        <v>2281</v>
      </c>
    </row>
    <row r="1209" spans="1:17">
      <c r="A1209" s="2" t="s">
        <v>725</v>
      </c>
      <c r="B1209" s="2" t="s">
        <v>725</v>
      </c>
      <c r="C1209" s="2" t="s">
        <v>390</v>
      </c>
      <c r="D1209" s="11">
        <v>45978.916666666664</v>
      </c>
      <c r="E1209" s="11">
        <v>45978.916666666664</v>
      </c>
      <c r="F1209" s="11">
        <v>45978.944444444445</v>
      </c>
      <c r="G1209" s="12">
        <v>2.7777777781011537E-2</v>
      </c>
      <c r="H1209" s="2" t="s">
        <v>257</v>
      </c>
      <c r="J1209" s="2" t="s">
        <v>258</v>
      </c>
      <c r="K1209" s="2" t="s">
        <v>658</v>
      </c>
      <c r="L1209" s="2" t="s">
        <v>2057</v>
      </c>
      <c r="M1209" t="s">
        <v>260</v>
      </c>
      <c r="N1209" t="s">
        <v>357</v>
      </c>
      <c r="O1209" t="s">
        <v>2058</v>
      </c>
      <c r="P1209" t="s">
        <v>3595</v>
      </c>
      <c r="Q1209" t="s">
        <v>2281</v>
      </c>
    </row>
    <row r="1210" spans="1:17">
      <c r="A1210" s="2" t="s">
        <v>725</v>
      </c>
      <c r="B1210" s="2" t="s">
        <v>725</v>
      </c>
      <c r="C1210" s="2" t="s">
        <v>727</v>
      </c>
      <c r="D1210" s="11">
        <v>45978.916666666664</v>
      </c>
      <c r="E1210" s="11">
        <v>45978.916666666664</v>
      </c>
      <c r="F1210" s="11">
        <v>45978.944444444445</v>
      </c>
      <c r="G1210" s="12">
        <v>2.7777777781011537E-2</v>
      </c>
      <c r="H1210" s="2" t="s">
        <v>257</v>
      </c>
      <c r="J1210" s="2" t="s">
        <v>258</v>
      </c>
      <c r="K1210" s="2" t="s">
        <v>658</v>
      </c>
      <c r="L1210" s="2" t="s">
        <v>2057</v>
      </c>
      <c r="M1210" t="s">
        <v>260</v>
      </c>
      <c r="N1210" t="s">
        <v>357</v>
      </c>
      <c r="O1210" t="s">
        <v>2058</v>
      </c>
      <c r="P1210" t="s">
        <v>3596</v>
      </c>
      <c r="Q1210" t="s">
        <v>2281</v>
      </c>
    </row>
    <row r="1211" spans="1:17">
      <c r="A1211" s="2" t="s">
        <v>725</v>
      </c>
      <c r="B1211" s="2" t="s">
        <v>725</v>
      </c>
      <c r="C1211" s="2" t="s">
        <v>307</v>
      </c>
      <c r="D1211" s="11">
        <v>45978.916666666664</v>
      </c>
      <c r="E1211" s="11">
        <v>45978.916666666664</v>
      </c>
      <c r="F1211" s="11">
        <v>45978.944444444445</v>
      </c>
      <c r="G1211" s="12">
        <v>2.7777777781011537E-2</v>
      </c>
      <c r="H1211" s="2" t="s">
        <v>257</v>
      </c>
      <c r="J1211" s="2" t="s">
        <v>258</v>
      </c>
      <c r="K1211" s="2" t="s">
        <v>658</v>
      </c>
      <c r="L1211" s="2" t="s">
        <v>2057</v>
      </c>
      <c r="M1211" t="s">
        <v>260</v>
      </c>
      <c r="N1211" t="s">
        <v>357</v>
      </c>
      <c r="O1211" t="s">
        <v>2058</v>
      </c>
      <c r="P1211" t="s">
        <v>3597</v>
      </c>
      <c r="Q1211" t="s">
        <v>2281</v>
      </c>
    </row>
    <row r="1212" spans="1:17">
      <c r="A1212" s="2" t="s">
        <v>286</v>
      </c>
      <c r="B1212" s="2" t="s">
        <v>286</v>
      </c>
      <c r="C1212" s="2" t="s">
        <v>294</v>
      </c>
      <c r="D1212" s="11">
        <v>45978.916666666664</v>
      </c>
      <c r="E1212" s="11">
        <v>45978.916666666664</v>
      </c>
      <c r="F1212" s="11">
        <v>45978.944444444445</v>
      </c>
      <c r="G1212" s="12">
        <v>2.7777777781011537E-2</v>
      </c>
      <c r="H1212" s="2" t="s">
        <v>257</v>
      </c>
      <c r="J1212" s="2" t="s">
        <v>258</v>
      </c>
      <c r="K1212" s="2" t="s">
        <v>658</v>
      </c>
      <c r="L1212" s="2" t="s">
        <v>2057</v>
      </c>
      <c r="M1212" t="s">
        <v>260</v>
      </c>
      <c r="N1212" t="s">
        <v>357</v>
      </c>
      <c r="O1212" t="s">
        <v>2058</v>
      </c>
      <c r="P1212" t="s">
        <v>3598</v>
      </c>
      <c r="Q1212" t="s">
        <v>2281</v>
      </c>
    </row>
    <row r="1213" spans="1:17">
      <c r="A1213" s="2" t="s">
        <v>286</v>
      </c>
      <c r="B1213" s="2" t="s">
        <v>286</v>
      </c>
      <c r="C1213" s="2" t="s">
        <v>295</v>
      </c>
      <c r="D1213" s="11">
        <v>45978.916666666664</v>
      </c>
      <c r="E1213" s="11">
        <v>45978.916666666664</v>
      </c>
      <c r="F1213" s="11">
        <v>45978.944444444445</v>
      </c>
      <c r="G1213" s="12">
        <v>2.7777777781011537E-2</v>
      </c>
      <c r="H1213" s="2" t="s">
        <v>257</v>
      </c>
      <c r="J1213" s="2" t="s">
        <v>258</v>
      </c>
      <c r="K1213" s="2" t="s">
        <v>658</v>
      </c>
      <c r="L1213" s="2" t="s">
        <v>2057</v>
      </c>
      <c r="M1213" t="s">
        <v>260</v>
      </c>
      <c r="N1213" t="s">
        <v>357</v>
      </c>
      <c r="O1213" t="s">
        <v>2058</v>
      </c>
      <c r="P1213" t="s">
        <v>3599</v>
      </c>
      <c r="Q1213" t="s">
        <v>2281</v>
      </c>
    </row>
    <row r="1214" spans="1:17">
      <c r="A1214" s="2" t="s">
        <v>286</v>
      </c>
      <c r="B1214" s="2" t="s">
        <v>286</v>
      </c>
      <c r="C1214" s="2" t="s">
        <v>293</v>
      </c>
      <c r="D1214" s="11">
        <v>45978.916666666664</v>
      </c>
      <c r="E1214" s="11">
        <v>45978.916666666664</v>
      </c>
      <c r="F1214" s="11">
        <v>45978.944444444445</v>
      </c>
      <c r="G1214" s="12">
        <v>2.7777777781011537E-2</v>
      </c>
      <c r="H1214" s="2" t="s">
        <v>257</v>
      </c>
      <c r="J1214" s="2" t="s">
        <v>258</v>
      </c>
      <c r="K1214" s="2" t="s">
        <v>658</v>
      </c>
      <c r="L1214" s="2" t="s">
        <v>2057</v>
      </c>
      <c r="M1214" t="s">
        <v>260</v>
      </c>
      <c r="N1214" t="s">
        <v>357</v>
      </c>
      <c r="O1214" t="s">
        <v>2058</v>
      </c>
      <c r="P1214" t="s">
        <v>3600</v>
      </c>
      <c r="Q1214" t="s">
        <v>2281</v>
      </c>
    </row>
    <row r="1215" spans="1:17">
      <c r="A1215" s="2" t="s">
        <v>286</v>
      </c>
      <c r="B1215" s="2" t="s">
        <v>286</v>
      </c>
      <c r="C1215" s="2" t="s">
        <v>287</v>
      </c>
      <c r="D1215" s="11">
        <v>45978.916666666664</v>
      </c>
      <c r="E1215" s="11">
        <v>45978.916666666664</v>
      </c>
      <c r="F1215" s="11">
        <v>45978.944444444445</v>
      </c>
      <c r="G1215" s="12">
        <v>2.7777777781011537E-2</v>
      </c>
      <c r="H1215" s="2" t="s">
        <v>257</v>
      </c>
      <c r="J1215" s="2" t="s">
        <v>258</v>
      </c>
      <c r="K1215" s="2" t="s">
        <v>658</v>
      </c>
      <c r="L1215" s="2" t="s">
        <v>2057</v>
      </c>
      <c r="M1215" t="s">
        <v>260</v>
      </c>
      <c r="N1215" t="s">
        <v>357</v>
      </c>
      <c r="O1215" t="s">
        <v>2058</v>
      </c>
      <c r="P1215" t="s">
        <v>3601</v>
      </c>
      <c r="Q1215" t="s">
        <v>2281</v>
      </c>
    </row>
    <row r="1216" spans="1:17">
      <c r="A1216" s="2" t="s">
        <v>286</v>
      </c>
      <c r="B1216" s="2" t="s">
        <v>286</v>
      </c>
      <c r="C1216" s="2" t="s">
        <v>292</v>
      </c>
      <c r="D1216" s="11">
        <v>45978.916666666664</v>
      </c>
      <c r="E1216" s="11">
        <v>45978.916666666664</v>
      </c>
      <c r="F1216" s="11">
        <v>45978.944444444445</v>
      </c>
      <c r="G1216" s="12">
        <v>2.7777777781011537E-2</v>
      </c>
      <c r="H1216" s="2" t="s">
        <v>257</v>
      </c>
      <c r="J1216" s="2" t="s">
        <v>258</v>
      </c>
      <c r="K1216" s="2" t="s">
        <v>658</v>
      </c>
      <c r="L1216" s="2" t="s">
        <v>2057</v>
      </c>
      <c r="M1216" t="s">
        <v>260</v>
      </c>
      <c r="N1216" t="s">
        <v>357</v>
      </c>
      <c r="O1216" t="s">
        <v>2058</v>
      </c>
      <c r="P1216" t="s">
        <v>3602</v>
      </c>
      <c r="Q1216" t="s">
        <v>2281</v>
      </c>
    </row>
    <row r="1217" spans="1:17">
      <c r="A1217" s="2" t="s">
        <v>535</v>
      </c>
      <c r="B1217" s="2" t="s">
        <v>535</v>
      </c>
      <c r="C1217" s="2" t="s">
        <v>536</v>
      </c>
      <c r="D1217" s="11">
        <v>45978.916666666664</v>
      </c>
      <c r="E1217" s="11">
        <v>45978.916666666664</v>
      </c>
      <c r="F1217" s="11">
        <v>45978.944444444445</v>
      </c>
      <c r="G1217" s="12">
        <v>2.7777777781011537E-2</v>
      </c>
      <c r="H1217" s="2" t="s">
        <v>257</v>
      </c>
      <c r="J1217" s="2" t="s">
        <v>258</v>
      </c>
      <c r="K1217" s="2" t="s">
        <v>658</v>
      </c>
      <c r="L1217" s="2" t="s">
        <v>2057</v>
      </c>
      <c r="M1217" t="s">
        <v>260</v>
      </c>
      <c r="N1217" t="s">
        <v>357</v>
      </c>
      <c r="O1217" t="s">
        <v>2058</v>
      </c>
      <c r="P1217" t="s">
        <v>3603</v>
      </c>
      <c r="Q1217" t="s">
        <v>2281</v>
      </c>
    </row>
    <row r="1218" spans="1:17">
      <c r="A1218" s="2" t="s">
        <v>535</v>
      </c>
      <c r="B1218" s="2" t="s">
        <v>535</v>
      </c>
      <c r="C1218" s="2" t="s">
        <v>611</v>
      </c>
      <c r="D1218" s="11">
        <v>45978.916666666664</v>
      </c>
      <c r="E1218" s="11">
        <v>45978.916666666664</v>
      </c>
      <c r="F1218" s="11">
        <v>45978.944444444445</v>
      </c>
      <c r="G1218" s="12">
        <v>2.7777777781011537E-2</v>
      </c>
      <c r="H1218" s="2" t="s">
        <v>257</v>
      </c>
      <c r="J1218" s="2" t="s">
        <v>258</v>
      </c>
      <c r="K1218" s="2" t="s">
        <v>658</v>
      </c>
      <c r="L1218" s="2" t="s">
        <v>2057</v>
      </c>
      <c r="M1218" t="s">
        <v>260</v>
      </c>
      <c r="N1218" t="s">
        <v>357</v>
      </c>
      <c r="O1218" t="s">
        <v>2058</v>
      </c>
      <c r="P1218" t="s">
        <v>3604</v>
      </c>
      <c r="Q1218" t="s">
        <v>2281</v>
      </c>
    </row>
    <row r="1219" spans="1:17">
      <c r="A1219" s="2" t="s">
        <v>535</v>
      </c>
      <c r="B1219" s="2" t="s">
        <v>535</v>
      </c>
      <c r="C1219" s="2" t="s">
        <v>608</v>
      </c>
      <c r="D1219" s="11">
        <v>45978.916666666664</v>
      </c>
      <c r="E1219" s="11">
        <v>45978.916666666664</v>
      </c>
      <c r="F1219" s="11">
        <v>45978.944444444445</v>
      </c>
      <c r="G1219" s="12">
        <v>2.7777777781011537E-2</v>
      </c>
      <c r="H1219" s="2" t="s">
        <v>257</v>
      </c>
      <c r="J1219" s="2" t="s">
        <v>258</v>
      </c>
      <c r="K1219" s="2" t="s">
        <v>658</v>
      </c>
      <c r="L1219" s="2" t="s">
        <v>2057</v>
      </c>
      <c r="M1219" t="s">
        <v>260</v>
      </c>
      <c r="N1219" t="s">
        <v>357</v>
      </c>
      <c r="O1219" t="s">
        <v>2058</v>
      </c>
      <c r="P1219" t="s">
        <v>3605</v>
      </c>
      <c r="Q1219" t="s">
        <v>2281</v>
      </c>
    </row>
    <row r="1220" spans="1:17">
      <c r="A1220" s="2" t="s">
        <v>444</v>
      </c>
      <c r="B1220" s="2" t="s">
        <v>444</v>
      </c>
      <c r="C1220" s="2" t="s">
        <v>256</v>
      </c>
      <c r="D1220" s="11">
        <v>45979.206250000003</v>
      </c>
      <c r="E1220" s="11">
        <v>45979.206250000003</v>
      </c>
      <c r="F1220" s="11">
        <v>45979.279166666667</v>
      </c>
      <c r="G1220" s="12">
        <v>7.2916666664241347E-2</v>
      </c>
      <c r="H1220" s="2" t="s">
        <v>268</v>
      </c>
      <c r="I1220" s="2" t="s">
        <v>269</v>
      </c>
      <c r="J1220" s="2" t="s">
        <v>270</v>
      </c>
      <c r="K1220" s="2" t="s">
        <v>674</v>
      </c>
      <c r="L1220" s="2" t="s">
        <v>715</v>
      </c>
      <c r="M1220" t="s">
        <v>272</v>
      </c>
      <c r="N1220" t="s">
        <v>253</v>
      </c>
      <c r="O1220" t="s">
        <v>2112</v>
      </c>
      <c r="P1220" t="s">
        <v>3606</v>
      </c>
      <c r="Q1220" t="s">
        <v>2690</v>
      </c>
    </row>
    <row r="1221" spans="1:17">
      <c r="A1221" s="2" t="s">
        <v>444</v>
      </c>
      <c r="B1221" s="2" t="s">
        <v>444</v>
      </c>
      <c r="C1221" s="2" t="s">
        <v>264</v>
      </c>
      <c r="D1221" s="11">
        <v>45979.206250000003</v>
      </c>
      <c r="E1221" s="11">
        <v>45979.206250000003</v>
      </c>
      <c r="F1221" s="11">
        <v>45979.279166666667</v>
      </c>
      <c r="G1221" s="12">
        <v>7.2916666664241347E-2</v>
      </c>
      <c r="H1221" s="2" t="s">
        <v>268</v>
      </c>
      <c r="I1221" s="2" t="s">
        <v>269</v>
      </c>
      <c r="J1221" s="2" t="s">
        <v>270</v>
      </c>
      <c r="K1221" s="2" t="s">
        <v>674</v>
      </c>
      <c r="L1221" s="2" t="s">
        <v>715</v>
      </c>
      <c r="M1221" t="s">
        <v>272</v>
      </c>
      <c r="N1221" t="s">
        <v>253</v>
      </c>
      <c r="O1221" t="s">
        <v>2112</v>
      </c>
      <c r="P1221" t="s">
        <v>3607</v>
      </c>
      <c r="Q1221" t="s">
        <v>2690</v>
      </c>
    </row>
    <row r="1222" spans="1:17">
      <c r="A1222" s="2" t="s">
        <v>444</v>
      </c>
      <c r="B1222" s="2" t="s">
        <v>444</v>
      </c>
      <c r="C1222" s="2" t="s">
        <v>2085</v>
      </c>
      <c r="D1222" s="11">
        <v>45979.206250000003</v>
      </c>
      <c r="E1222" s="11">
        <v>45979.206250000003</v>
      </c>
      <c r="F1222" s="11">
        <v>45979.279166666667</v>
      </c>
      <c r="G1222" s="12">
        <v>7.2916666664241347E-2</v>
      </c>
      <c r="H1222" s="2" t="s">
        <v>268</v>
      </c>
      <c r="I1222" s="2" t="s">
        <v>269</v>
      </c>
      <c r="J1222" s="2" t="s">
        <v>270</v>
      </c>
      <c r="K1222" s="2" t="s">
        <v>674</v>
      </c>
      <c r="L1222" s="2" t="s">
        <v>715</v>
      </c>
      <c r="M1222" t="s">
        <v>272</v>
      </c>
      <c r="N1222" t="s">
        <v>253</v>
      </c>
      <c r="O1222" t="s">
        <v>2112</v>
      </c>
      <c r="P1222" t="s">
        <v>3608</v>
      </c>
      <c r="Q1222" t="s">
        <v>2690</v>
      </c>
    </row>
    <row r="1223" spans="1:17">
      <c r="A1223" s="2" t="s">
        <v>444</v>
      </c>
      <c r="B1223" s="2" t="s">
        <v>444</v>
      </c>
      <c r="C1223" s="2" t="s">
        <v>2086</v>
      </c>
      <c r="D1223" s="11">
        <v>45979.206250000003</v>
      </c>
      <c r="E1223" s="11">
        <v>45979.206250000003</v>
      </c>
      <c r="F1223" s="11">
        <v>45979.279166666667</v>
      </c>
      <c r="G1223" s="12">
        <v>7.2916666664241347E-2</v>
      </c>
      <c r="H1223" s="2" t="s">
        <v>268</v>
      </c>
      <c r="I1223" s="2" t="s">
        <v>269</v>
      </c>
      <c r="J1223" s="2" t="s">
        <v>270</v>
      </c>
      <c r="K1223" s="2" t="s">
        <v>674</v>
      </c>
      <c r="L1223" s="2" t="s">
        <v>715</v>
      </c>
      <c r="M1223" t="s">
        <v>272</v>
      </c>
      <c r="N1223" t="s">
        <v>253</v>
      </c>
      <c r="O1223" t="s">
        <v>2112</v>
      </c>
      <c r="P1223" t="s">
        <v>3609</v>
      </c>
      <c r="Q1223" t="s">
        <v>2690</v>
      </c>
    </row>
    <row r="1224" spans="1:17">
      <c r="A1224" s="2" t="s">
        <v>444</v>
      </c>
      <c r="B1224" s="2" t="s">
        <v>444</v>
      </c>
      <c r="C1224" s="2" t="s">
        <v>390</v>
      </c>
      <c r="D1224" s="11">
        <v>45979.206250000003</v>
      </c>
      <c r="E1224" s="11">
        <v>45979.206250000003</v>
      </c>
      <c r="F1224" s="11">
        <v>45979.279166666667</v>
      </c>
      <c r="G1224" s="12">
        <v>7.2916666664241347E-2</v>
      </c>
      <c r="H1224" s="2" t="s">
        <v>268</v>
      </c>
      <c r="I1224" s="2" t="s">
        <v>269</v>
      </c>
      <c r="J1224" s="2" t="s">
        <v>270</v>
      </c>
      <c r="K1224" s="2" t="s">
        <v>674</v>
      </c>
      <c r="L1224" s="2" t="s">
        <v>715</v>
      </c>
      <c r="M1224" t="s">
        <v>272</v>
      </c>
      <c r="N1224" t="s">
        <v>253</v>
      </c>
      <c r="O1224" t="s">
        <v>2112</v>
      </c>
      <c r="P1224" t="s">
        <v>3610</v>
      </c>
      <c r="Q1224" t="s">
        <v>2690</v>
      </c>
    </row>
    <row r="1225" spans="1:17">
      <c r="A1225" s="2" t="s">
        <v>446</v>
      </c>
      <c r="B1225" s="2" t="s">
        <v>446</v>
      </c>
      <c r="C1225" s="2" t="s">
        <v>2087</v>
      </c>
      <c r="D1225" s="11">
        <v>45979.206250000003</v>
      </c>
      <c r="E1225" s="11">
        <v>45979.206250000003</v>
      </c>
      <c r="F1225" s="11">
        <v>45979.279166666667</v>
      </c>
      <c r="G1225" s="12">
        <v>7.2916666664241347E-2</v>
      </c>
      <c r="H1225" s="2" t="s">
        <v>268</v>
      </c>
      <c r="I1225" s="2" t="s">
        <v>269</v>
      </c>
      <c r="J1225" s="2" t="s">
        <v>270</v>
      </c>
      <c r="K1225" s="2" t="s">
        <v>674</v>
      </c>
      <c r="L1225" s="2" t="s">
        <v>715</v>
      </c>
      <c r="M1225" t="s">
        <v>272</v>
      </c>
      <c r="N1225" t="s">
        <v>253</v>
      </c>
      <c r="O1225" t="s">
        <v>2112</v>
      </c>
      <c r="P1225" t="s">
        <v>3611</v>
      </c>
      <c r="Q1225" t="s">
        <v>2690</v>
      </c>
    </row>
    <row r="1226" spans="1:17">
      <c r="A1226" s="2" t="s">
        <v>446</v>
      </c>
      <c r="B1226" s="2" t="s">
        <v>446</v>
      </c>
      <c r="C1226" s="2" t="s">
        <v>2088</v>
      </c>
      <c r="D1226" s="11">
        <v>45979.206250000003</v>
      </c>
      <c r="E1226" s="11">
        <v>45979.206250000003</v>
      </c>
      <c r="F1226" s="11">
        <v>45979.279166666667</v>
      </c>
      <c r="G1226" s="12">
        <v>7.2916666664241347E-2</v>
      </c>
      <c r="H1226" s="2" t="s">
        <v>268</v>
      </c>
      <c r="I1226" s="2" t="s">
        <v>269</v>
      </c>
      <c r="J1226" s="2" t="s">
        <v>270</v>
      </c>
      <c r="K1226" s="2" t="s">
        <v>674</v>
      </c>
      <c r="L1226" s="2" t="s">
        <v>715</v>
      </c>
      <c r="M1226" t="s">
        <v>272</v>
      </c>
      <c r="N1226" t="s">
        <v>253</v>
      </c>
      <c r="O1226" t="s">
        <v>2112</v>
      </c>
      <c r="P1226" t="s">
        <v>3612</v>
      </c>
      <c r="Q1226" t="s">
        <v>2690</v>
      </c>
    </row>
    <row r="1227" spans="1:17">
      <c r="A1227" s="2" t="s">
        <v>446</v>
      </c>
      <c r="B1227" s="2" t="s">
        <v>446</v>
      </c>
      <c r="C1227" s="2" t="s">
        <v>447</v>
      </c>
      <c r="D1227" s="11">
        <v>45979.206250000003</v>
      </c>
      <c r="E1227" s="11">
        <v>45979.206250000003</v>
      </c>
      <c r="F1227" s="11">
        <v>45979.279166666667</v>
      </c>
      <c r="G1227" s="12">
        <v>7.2916666664241347E-2</v>
      </c>
      <c r="H1227" s="2" t="s">
        <v>268</v>
      </c>
      <c r="I1227" s="2" t="s">
        <v>269</v>
      </c>
      <c r="J1227" s="2" t="s">
        <v>270</v>
      </c>
      <c r="K1227" s="2" t="s">
        <v>674</v>
      </c>
      <c r="L1227" s="2" t="s">
        <v>715</v>
      </c>
      <c r="M1227" t="s">
        <v>272</v>
      </c>
      <c r="N1227" t="s">
        <v>253</v>
      </c>
      <c r="O1227" t="s">
        <v>2112</v>
      </c>
      <c r="P1227" t="s">
        <v>3613</v>
      </c>
      <c r="Q1227" t="s">
        <v>2690</v>
      </c>
    </row>
    <row r="1228" spans="1:17">
      <c r="A1228" s="2" t="s">
        <v>375</v>
      </c>
      <c r="B1228" s="2" t="s">
        <v>375</v>
      </c>
      <c r="C1228" s="2" t="s">
        <v>247</v>
      </c>
      <c r="D1228" s="11">
        <v>45979.3125</v>
      </c>
      <c r="E1228" s="11">
        <v>45979.3125</v>
      </c>
      <c r="F1228" s="11">
        <v>45979.486111111109</v>
      </c>
      <c r="G1228" s="12">
        <v>0.17361111110949423</v>
      </c>
      <c r="H1228" s="2" t="s">
        <v>257</v>
      </c>
      <c r="J1228" s="2" t="s">
        <v>258</v>
      </c>
      <c r="K1228" s="2" t="s">
        <v>658</v>
      </c>
      <c r="L1228" s="2" t="s">
        <v>3614</v>
      </c>
      <c r="M1228" t="s">
        <v>260</v>
      </c>
      <c r="N1228" t="s">
        <v>357</v>
      </c>
      <c r="O1228" t="s">
        <v>2058</v>
      </c>
      <c r="P1228" t="s">
        <v>3615</v>
      </c>
      <c r="Q1228" t="s">
        <v>2281</v>
      </c>
    </row>
    <row r="1229" spans="1:17">
      <c r="A1229" s="2" t="s">
        <v>375</v>
      </c>
      <c r="B1229" s="2" t="s">
        <v>375</v>
      </c>
      <c r="C1229" s="2" t="s">
        <v>377</v>
      </c>
      <c r="D1229" s="11">
        <v>45979.3125</v>
      </c>
      <c r="E1229" s="11">
        <v>45979.3125</v>
      </c>
      <c r="F1229" s="11">
        <v>45979.486111111109</v>
      </c>
      <c r="G1229" s="12">
        <v>0.17361111110949423</v>
      </c>
      <c r="H1229" s="2" t="s">
        <v>257</v>
      </c>
      <c r="J1229" s="2" t="s">
        <v>258</v>
      </c>
      <c r="K1229" s="2" t="s">
        <v>658</v>
      </c>
      <c r="L1229" s="2" t="s">
        <v>3614</v>
      </c>
      <c r="M1229" t="s">
        <v>260</v>
      </c>
      <c r="N1229" t="s">
        <v>357</v>
      </c>
      <c r="O1229" t="s">
        <v>2058</v>
      </c>
      <c r="P1229" t="s">
        <v>3616</v>
      </c>
      <c r="Q1229" t="s">
        <v>2281</v>
      </c>
    </row>
    <row r="1230" spans="1:17">
      <c r="A1230" s="2" t="s">
        <v>375</v>
      </c>
      <c r="B1230" s="2" t="s">
        <v>375</v>
      </c>
      <c r="C1230" s="2" t="s">
        <v>378</v>
      </c>
      <c r="D1230" s="11">
        <v>45979.3125</v>
      </c>
      <c r="E1230" s="11">
        <v>45979.3125</v>
      </c>
      <c r="F1230" s="11">
        <v>45979.486111111109</v>
      </c>
      <c r="G1230" s="12">
        <v>0.17361111110949423</v>
      </c>
      <c r="H1230" s="2" t="s">
        <v>257</v>
      </c>
      <c r="J1230" s="2" t="s">
        <v>258</v>
      </c>
      <c r="K1230" s="2" t="s">
        <v>658</v>
      </c>
      <c r="L1230" s="2" t="s">
        <v>3614</v>
      </c>
      <c r="M1230" t="s">
        <v>260</v>
      </c>
      <c r="N1230" t="s">
        <v>357</v>
      </c>
      <c r="O1230" t="s">
        <v>2058</v>
      </c>
      <c r="P1230" t="s">
        <v>3617</v>
      </c>
      <c r="Q1230" t="s">
        <v>2281</v>
      </c>
    </row>
    <row r="1231" spans="1:17">
      <c r="A1231" s="2" t="s">
        <v>375</v>
      </c>
      <c r="B1231" s="2" t="s">
        <v>375</v>
      </c>
      <c r="C1231" s="2" t="s">
        <v>379</v>
      </c>
      <c r="D1231" s="11">
        <v>45979.3125</v>
      </c>
      <c r="E1231" s="11">
        <v>45979.3125</v>
      </c>
      <c r="F1231" s="11">
        <v>45979.486111111109</v>
      </c>
      <c r="G1231" s="12">
        <v>0.17361111110949423</v>
      </c>
      <c r="H1231" s="2" t="s">
        <v>257</v>
      </c>
      <c r="J1231" s="2" t="s">
        <v>258</v>
      </c>
      <c r="K1231" s="2" t="s">
        <v>658</v>
      </c>
      <c r="L1231" s="2" t="s">
        <v>3614</v>
      </c>
      <c r="M1231" t="s">
        <v>260</v>
      </c>
      <c r="N1231" t="s">
        <v>357</v>
      </c>
      <c r="O1231" t="s">
        <v>2058</v>
      </c>
      <c r="P1231" t="s">
        <v>3618</v>
      </c>
      <c r="Q1231" t="s">
        <v>2281</v>
      </c>
    </row>
    <row r="1232" spans="1:17">
      <c r="A1232" s="2" t="s">
        <v>375</v>
      </c>
      <c r="B1232" s="2" t="s">
        <v>375</v>
      </c>
      <c r="C1232" s="2" t="s">
        <v>380</v>
      </c>
      <c r="D1232" s="11">
        <v>45979.3125</v>
      </c>
      <c r="E1232" s="11">
        <v>45979.3125</v>
      </c>
      <c r="F1232" s="11">
        <v>45979.486111111109</v>
      </c>
      <c r="G1232" s="12">
        <v>0.17361111110949423</v>
      </c>
      <c r="H1232" s="2" t="s">
        <v>257</v>
      </c>
      <c r="J1232" s="2" t="s">
        <v>258</v>
      </c>
      <c r="K1232" s="2" t="s">
        <v>658</v>
      </c>
      <c r="L1232" s="2" t="s">
        <v>3614</v>
      </c>
      <c r="M1232" t="s">
        <v>260</v>
      </c>
      <c r="N1232" t="s">
        <v>357</v>
      </c>
      <c r="O1232" t="s">
        <v>2058</v>
      </c>
      <c r="P1232" t="s">
        <v>3619</v>
      </c>
      <c r="Q1232" t="s">
        <v>2281</v>
      </c>
    </row>
    <row r="1233" spans="1:17">
      <c r="A1233" s="2" t="s">
        <v>387</v>
      </c>
      <c r="B1233" s="2" t="s">
        <v>387</v>
      </c>
      <c r="C1233" s="2" t="s">
        <v>389</v>
      </c>
      <c r="D1233" s="11">
        <v>45979.3125</v>
      </c>
      <c r="E1233" s="11">
        <v>45979.3125</v>
      </c>
      <c r="F1233" s="11">
        <v>45979.486111111109</v>
      </c>
      <c r="G1233" s="12">
        <v>0.17361111110949423</v>
      </c>
      <c r="H1233" s="2" t="s">
        <v>257</v>
      </c>
      <c r="J1233" s="2" t="s">
        <v>258</v>
      </c>
      <c r="K1233" s="2" t="s">
        <v>658</v>
      </c>
      <c r="L1233" s="2" t="s">
        <v>3614</v>
      </c>
      <c r="M1233" t="s">
        <v>260</v>
      </c>
      <c r="N1233" t="s">
        <v>357</v>
      </c>
      <c r="O1233" t="s">
        <v>2058</v>
      </c>
      <c r="P1233" t="s">
        <v>3620</v>
      </c>
      <c r="Q1233" t="s">
        <v>2281</v>
      </c>
    </row>
    <row r="1234" spans="1:17">
      <c r="A1234" s="2" t="s">
        <v>387</v>
      </c>
      <c r="B1234" s="2" t="s">
        <v>387</v>
      </c>
      <c r="C1234" s="2" t="s">
        <v>390</v>
      </c>
      <c r="D1234" s="11">
        <v>45979.3125</v>
      </c>
      <c r="E1234" s="11">
        <v>45979.3125</v>
      </c>
      <c r="F1234" s="11">
        <v>45979.486111111109</v>
      </c>
      <c r="G1234" s="12">
        <v>0.17361111110949423</v>
      </c>
      <c r="H1234" s="2" t="s">
        <v>257</v>
      </c>
      <c r="J1234" s="2" t="s">
        <v>258</v>
      </c>
      <c r="K1234" s="2" t="s">
        <v>658</v>
      </c>
      <c r="L1234" s="2" t="s">
        <v>3614</v>
      </c>
      <c r="M1234" t="s">
        <v>260</v>
      </c>
      <c r="N1234" t="s">
        <v>357</v>
      </c>
      <c r="O1234" t="s">
        <v>2058</v>
      </c>
      <c r="P1234" t="s">
        <v>3621</v>
      </c>
      <c r="Q1234" t="s">
        <v>2281</v>
      </c>
    </row>
    <row r="1235" spans="1:17">
      <c r="A1235" s="2" t="s">
        <v>387</v>
      </c>
      <c r="B1235" s="2" t="s">
        <v>387</v>
      </c>
      <c r="C1235" s="2" t="s">
        <v>256</v>
      </c>
      <c r="D1235" s="11">
        <v>45979.3125</v>
      </c>
      <c r="E1235" s="11">
        <v>45979.3125</v>
      </c>
      <c r="F1235" s="11">
        <v>45979.486111111109</v>
      </c>
      <c r="G1235" s="12">
        <v>0.17361111110949423</v>
      </c>
      <c r="H1235" s="2" t="s">
        <v>257</v>
      </c>
      <c r="J1235" s="2" t="s">
        <v>258</v>
      </c>
      <c r="K1235" s="2" t="s">
        <v>658</v>
      </c>
      <c r="L1235" s="2" t="s">
        <v>3614</v>
      </c>
      <c r="M1235" t="s">
        <v>260</v>
      </c>
      <c r="N1235" t="s">
        <v>357</v>
      </c>
      <c r="O1235" t="s">
        <v>2058</v>
      </c>
      <c r="P1235" t="s">
        <v>3622</v>
      </c>
      <c r="Q1235" t="s">
        <v>2281</v>
      </c>
    </row>
    <row r="1236" spans="1:17">
      <c r="A1236" s="2" t="s">
        <v>387</v>
      </c>
      <c r="B1236" s="2" t="s">
        <v>387</v>
      </c>
      <c r="C1236" s="2" t="s">
        <v>388</v>
      </c>
      <c r="D1236" s="11">
        <v>45979.3125</v>
      </c>
      <c r="E1236" s="11">
        <v>45979.3125</v>
      </c>
      <c r="F1236" s="11">
        <v>45979.486111111109</v>
      </c>
      <c r="G1236" s="12">
        <v>0.17361111110949423</v>
      </c>
      <c r="H1236" s="2" t="s">
        <v>257</v>
      </c>
      <c r="J1236" s="2" t="s">
        <v>258</v>
      </c>
      <c r="K1236" s="2" t="s">
        <v>658</v>
      </c>
      <c r="L1236" s="2" t="s">
        <v>3614</v>
      </c>
      <c r="M1236" t="s">
        <v>260</v>
      </c>
      <c r="N1236" t="s">
        <v>357</v>
      </c>
      <c r="O1236" t="s">
        <v>2058</v>
      </c>
      <c r="P1236" t="s">
        <v>3623</v>
      </c>
      <c r="Q1236" t="s">
        <v>2281</v>
      </c>
    </row>
    <row r="1237" spans="1:17">
      <c r="A1237" s="2" t="s">
        <v>387</v>
      </c>
      <c r="B1237" s="2" t="s">
        <v>387</v>
      </c>
      <c r="C1237" s="2" t="s">
        <v>247</v>
      </c>
      <c r="D1237" s="11">
        <v>45979.3125</v>
      </c>
      <c r="E1237" s="11">
        <v>45979.3125</v>
      </c>
      <c r="F1237" s="11">
        <v>45979.486111111109</v>
      </c>
      <c r="G1237" s="12">
        <v>0.17361111110949423</v>
      </c>
      <c r="H1237" s="2" t="s">
        <v>257</v>
      </c>
      <c r="J1237" s="2" t="s">
        <v>258</v>
      </c>
      <c r="K1237" s="2" t="s">
        <v>658</v>
      </c>
      <c r="L1237" s="2" t="s">
        <v>3614</v>
      </c>
      <c r="M1237" t="s">
        <v>260</v>
      </c>
      <c r="N1237" t="s">
        <v>357</v>
      </c>
      <c r="O1237" t="s">
        <v>2058</v>
      </c>
      <c r="P1237" t="s">
        <v>3624</v>
      </c>
      <c r="Q1237" t="s">
        <v>2281</v>
      </c>
    </row>
    <row r="1238" spans="1:17">
      <c r="A1238" s="2" t="s">
        <v>381</v>
      </c>
      <c r="B1238" s="2" t="s">
        <v>381</v>
      </c>
      <c r="C1238" s="2" t="s">
        <v>379</v>
      </c>
      <c r="D1238" s="11">
        <v>45979.3125</v>
      </c>
      <c r="E1238" s="11">
        <v>45979.3125</v>
      </c>
      <c r="F1238" s="11">
        <v>45979.486111111109</v>
      </c>
      <c r="G1238" s="12">
        <v>0.17361111110949423</v>
      </c>
      <c r="H1238" s="2" t="s">
        <v>257</v>
      </c>
      <c r="J1238" s="2" t="s">
        <v>258</v>
      </c>
      <c r="K1238" s="2" t="s">
        <v>658</v>
      </c>
      <c r="L1238" s="2" t="s">
        <v>3614</v>
      </c>
      <c r="M1238" t="s">
        <v>260</v>
      </c>
      <c r="N1238" t="s">
        <v>357</v>
      </c>
      <c r="O1238" t="s">
        <v>2058</v>
      </c>
      <c r="P1238" t="s">
        <v>3625</v>
      </c>
      <c r="Q1238" t="s">
        <v>2281</v>
      </c>
    </row>
    <row r="1239" spans="1:17">
      <c r="A1239" s="2" t="s">
        <v>381</v>
      </c>
      <c r="B1239" s="2" t="s">
        <v>381</v>
      </c>
      <c r="C1239" s="2" t="s">
        <v>382</v>
      </c>
      <c r="D1239" s="11">
        <v>45979.3125</v>
      </c>
      <c r="E1239" s="11">
        <v>45979.3125</v>
      </c>
      <c r="F1239" s="11">
        <v>45979.486111111109</v>
      </c>
      <c r="G1239" s="12">
        <v>0.17361111110949423</v>
      </c>
      <c r="H1239" s="2" t="s">
        <v>257</v>
      </c>
      <c r="J1239" s="2" t="s">
        <v>258</v>
      </c>
      <c r="K1239" s="2" t="s">
        <v>658</v>
      </c>
      <c r="L1239" s="2" t="s">
        <v>3614</v>
      </c>
      <c r="M1239" t="s">
        <v>260</v>
      </c>
      <c r="N1239" t="s">
        <v>357</v>
      </c>
      <c r="O1239" t="s">
        <v>2058</v>
      </c>
      <c r="P1239" t="s">
        <v>3626</v>
      </c>
      <c r="Q1239" t="s">
        <v>2281</v>
      </c>
    </row>
    <row r="1240" spans="1:17">
      <c r="A1240" s="2" t="s">
        <v>381</v>
      </c>
      <c r="B1240" s="2" t="s">
        <v>381</v>
      </c>
      <c r="C1240" s="2" t="s">
        <v>380</v>
      </c>
      <c r="D1240" s="11">
        <v>45979.3125</v>
      </c>
      <c r="E1240" s="11">
        <v>45979.3125</v>
      </c>
      <c r="F1240" s="11">
        <v>45979.486111111109</v>
      </c>
      <c r="G1240" s="12">
        <v>0.17361111110949423</v>
      </c>
      <c r="H1240" s="2" t="s">
        <v>257</v>
      </c>
      <c r="J1240" s="2" t="s">
        <v>258</v>
      </c>
      <c r="K1240" s="2" t="s">
        <v>658</v>
      </c>
      <c r="L1240" s="2" t="s">
        <v>3614</v>
      </c>
      <c r="M1240" t="s">
        <v>260</v>
      </c>
      <c r="N1240" t="s">
        <v>357</v>
      </c>
      <c r="O1240" t="s">
        <v>2058</v>
      </c>
      <c r="P1240" t="s">
        <v>3627</v>
      </c>
      <c r="Q1240" t="s">
        <v>2281</v>
      </c>
    </row>
    <row r="1241" spans="1:17">
      <c r="A1241" s="2" t="s">
        <v>381</v>
      </c>
      <c r="B1241" s="2" t="s">
        <v>381</v>
      </c>
      <c r="C1241" s="2" t="s">
        <v>377</v>
      </c>
      <c r="D1241" s="11">
        <v>45979.3125</v>
      </c>
      <c r="E1241" s="11">
        <v>45979.3125</v>
      </c>
      <c r="F1241" s="11">
        <v>45979.486111111109</v>
      </c>
      <c r="G1241" s="12">
        <v>0.17361111110949423</v>
      </c>
      <c r="H1241" s="2" t="s">
        <v>257</v>
      </c>
      <c r="J1241" s="2" t="s">
        <v>258</v>
      </c>
      <c r="K1241" s="2" t="s">
        <v>658</v>
      </c>
      <c r="L1241" s="2" t="s">
        <v>3614</v>
      </c>
      <c r="M1241" t="s">
        <v>260</v>
      </c>
      <c r="N1241" t="s">
        <v>357</v>
      </c>
      <c r="O1241" t="s">
        <v>2058</v>
      </c>
      <c r="P1241" t="s">
        <v>3628</v>
      </c>
      <c r="Q1241" t="s">
        <v>2281</v>
      </c>
    </row>
    <row r="1242" spans="1:17">
      <c r="A1242" s="2" t="s">
        <v>381</v>
      </c>
      <c r="B1242" s="2" t="s">
        <v>381</v>
      </c>
      <c r="C1242" s="2" t="s">
        <v>378</v>
      </c>
      <c r="D1242" s="11">
        <v>45979.3125</v>
      </c>
      <c r="E1242" s="11">
        <v>45979.3125</v>
      </c>
      <c r="F1242" s="11">
        <v>45979.486111111109</v>
      </c>
      <c r="G1242" s="12">
        <v>0.17361111110949423</v>
      </c>
      <c r="H1242" s="2" t="s">
        <v>257</v>
      </c>
      <c r="J1242" s="2" t="s">
        <v>258</v>
      </c>
      <c r="K1242" s="2" t="s">
        <v>658</v>
      </c>
      <c r="L1242" s="2" t="s">
        <v>3614</v>
      </c>
      <c r="M1242" t="s">
        <v>260</v>
      </c>
      <c r="N1242" t="s">
        <v>357</v>
      </c>
      <c r="O1242" t="s">
        <v>2058</v>
      </c>
      <c r="P1242" t="s">
        <v>3629</v>
      </c>
      <c r="Q1242" t="s">
        <v>2281</v>
      </c>
    </row>
    <row r="1243" spans="1:17">
      <c r="A1243" s="2" t="s">
        <v>391</v>
      </c>
      <c r="B1243" s="2" t="s">
        <v>391</v>
      </c>
      <c r="C1243" s="2" t="s">
        <v>2059</v>
      </c>
      <c r="D1243" s="11">
        <v>45979.3125</v>
      </c>
      <c r="E1243" s="11">
        <v>45979.3125</v>
      </c>
      <c r="F1243" s="11">
        <v>45979.486111111109</v>
      </c>
      <c r="G1243" s="12">
        <v>0.17361111110949423</v>
      </c>
      <c r="H1243" s="2" t="s">
        <v>257</v>
      </c>
      <c r="J1243" s="2" t="s">
        <v>258</v>
      </c>
      <c r="K1243" s="2" t="s">
        <v>658</v>
      </c>
      <c r="L1243" s="2" t="s">
        <v>3614</v>
      </c>
      <c r="M1243" t="s">
        <v>260</v>
      </c>
      <c r="N1243" t="s">
        <v>357</v>
      </c>
      <c r="O1243" t="s">
        <v>2058</v>
      </c>
      <c r="P1243" t="s">
        <v>3630</v>
      </c>
      <c r="Q1243" t="s">
        <v>2281</v>
      </c>
    </row>
    <row r="1244" spans="1:17">
      <c r="A1244" s="2" t="s">
        <v>391</v>
      </c>
      <c r="B1244" s="2" t="s">
        <v>391</v>
      </c>
      <c r="C1244" s="2" t="s">
        <v>382</v>
      </c>
      <c r="D1244" s="11">
        <v>45979.3125</v>
      </c>
      <c r="E1244" s="11">
        <v>45979.3125</v>
      </c>
      <c r="F1244" s="11">
        <v>45979.486111111109</v>
      </c>
      <c r="G1244" s="12">
        <v>0.17361111110949423</v>
      </c>
      <c r="H1244" s="2" t="s">
        <v>257</v>
      </c>
      <c r="J1244" s="2" t="s">
        <v>258</v>
      </c>
      <c r="K1244" s="2" t="s">
        <v>658</v>
      </c>
      <c r="L1244" s="2" t="s">
        <v>3614</v>
      </c>
      <c r="M1244" t="s">
        <v>260</v>
      </c>
      <c r="N1244" t="s">
        <v>357</v>
      </c>
      <c r="O1244" t="s">
        <v>2058</v>
      </c>
      <c r="P1244" t="s">
        <v>3631</v>
      </c>
      <c r="Q1244" t="s">
        <v>2281</v>
      </c>
    </row>
    <row r="1245" spans="1:17">
      <c r="A1245" s="2" t="s">
        <v>391</v>
      </c>
      <c r="B1245" s="2" t="s">
        <v>391</v>
      </c>
      <c r="C1245" s="2" t="s">
        <v>378</v>
      </c>
      <c r="D1245" s="11">
        <v>45979.3125</v>
      </c>
      <c r="E1245" s="11">
        <v>45979.3125</v>
      </c>
      <c r="F1245" s="11">
        <v>45979.486111111109</v>
      </c>
      <c r="G1245" s="12">
        <v>0.17361111110949423</v>
      </c>
      <c r="H1245" s="2" t="s">
        <v>257</v>
      </c>
      <c r="J1245" s="2" t="s">
        <v>258</v>
      </c>
      <c r="K1245" s="2" t="s">
        <v>658</v>
      </c>
      <c r="L1245" s="2" t="s">
        <v>3614</v>
      </c>
      <c r="M1245" t="s">
        <v>260</v>
      </c>
      <c r="N1245" t="s">
        <v>357</v>
      </c>
      <c r="O1245" t="s">
        <v>2058</v>
      </c>
      <c r="P1245" t="s">
        <v>3632</v>
      </c>
      <c r="Q1245" t="s">
        <v>2281</v>
      </c>
    </row>
    <row r="1246" spans="1:17">
      <c r="A1246" s="2" t="s">
        <v>391</v>
      </c>
      <c r="B1246" s="2" t="s">
        <v>391</v>
      </c>
      <c r="C1246" s="2" t="s">
        <v>379</v>
      </c>
      <c r="D1246" s="11">
        <v>45979.3125</v>
      </c>
      <c r="E1246" s="11">
        <v>45979.3125</v>
      </c>
      <c r="F1246" s="11">
        <v>45979.486111111109</v>
      </c>
      <c r="G1246" s="12">
        <v>0.17361111110949423</v>
      </c>
      <c r="H1246" s="2" t="s">
        <v>257</v>
      </c>
      <c r="J1246" s="2" t="s">
        <v>258</v>
      </c>
      <c r="K1246" s="2" t="s">
        <v>658</v>
      </c>
      <c r="L1246" s="2" t="s">
        <v>3614</v>
      </c>
      <c r="M1246" t="s">
        <v>260</v>
      </c>
      <c r="N1246" t="s">
        <v>357</v>
      </c>
      <c r="O1246" t="s">
        <v>2058</v>
      </c>
      <c r="P1246" t="s">
        <v>3633</v>
      </c>
      <c r="Q1246" t="s">
        <v>2281</v>
      </c>
    </row>
    <row r="1247" spans="1:17">
      <c r="A1247" s="2" t="s">
        <v>391</v>
      </c>
      <c r="B1247" s="2" t="s">
        <v>391</v>
      </c>
      <c r="C1247" s="2" t="s">
        <v>380</v>
      </c>
      <c r="D1247" s="11">
        <v>45979.3125</v>
      </c>
      <c r="E1247" s="11">
        <v>45979.3125</v>
      </c>
      <c r="F1247" s="11">
        <v>45979.486111111109</v>
      </c>
      <c r="G1247" s="12">
        <v>0.17361111110949423</v>
      </c>
      <c r="H1247" s="2" t="s">
        <v>257</v>
      </c>
      <c r="J1247" s="2" t="s">
        <v>258</v>
      </c>
      <c r="K1247" s="2" t="s">
        <v>658</v>
      </c>
      <c r="L1247" s="2" t="s">
        <v>3614</v>
      </c>
      <c r="M1247" t="s">
        <v>260</v>
      </c>
      <c r="N1247" t="s">
        <v>357</v>
      </c>
      <c r="O1247" t="s">
        <v>2058</v>
      </c>
      <c r="P1247" t="s">
        <v>3634</v>
      </c>
      <c r="Q1247" t="s">
        <v>2281</v>
      </c>
    </row>
    <row r="1248" spans="1:17">
      <c r="A1248" s="2" t="s">
        <v>519</v>
      </c>
      <c r="B1248" s="2" t="s">
        <v>519</v>
      </c>
      <c r="C1248" s="2" t="s">
        <v>380</v>
      </c>
      <c r="D1248" s="11">
        <v>45979.3125</v>
      </c>
      <c r="E1248" s="11">
        <v>45979.3125</v>
      </c>
      <c r="F1248" s="11">
        <v>45979.486111111109</v>
      </c>
      <c r="G1248" s="12">
        <v>0.17361111110949423</v>
      </c>
      <c r="H1248" s="2" t="s">
        <v>257</v>
      </c>
      <c r="J1248" s="2" t="s">
        <v>258</v>
      </c>
      <c r="K1248" s="2" t="s">
        <v>658</v>
      </c>
      <c r="L1248" s="2" t="s">
        <v>3614</v>
      </c>
      <c r="M1248" t="s">
        <v>260</v>
      </c>
      <c r="N1248" t="s">
        <v>357</v>
      </c>
      <c r="O1248" t="s">
        <v>2058</v>
      </c>
      <c r="P1248" t="s">
        <v>3635</v>
      </c>
      <c r="Q1248" t="s">
        <v>2281</v>
      </c>
    </row>
    <row r="1249" spans="1:17">
      <c r="A1249" s="2" t="s">
        <v>519</v>
      </c>
      <c r="B1249" s="2" t="s">
        <v>519</v>
      </c>
      <c r="C1249" s="2" t="s">
        <v>247</v>
      </c>
      <c r="D1249" s="11">
        <v>45979.3125</v>
      </c>
      <c r="E1249" s="11">
        <v>45979.3125</v>
      </c>
      <c r="F1249" s="11">
        <v>45979.486111111109</v>
      </c>
      <c r="G1249" s="12">
        <v>0.17361111110949423</v>
      </c>
      <c r="H1249" s="2" t="s">
        <v>257</v>
      </c>
      <c r="J1249" s="2" t="s">
        <v>258</v>
      </c>
      <c r="K1249" s="2" t="s">
        <v>658</v>
      </c>
      <c r="L1249" s="2" t="s">
        <v>3614</v>
      </c>
      <c r="M1249" t="s">
        <v>260</v>
      </c>
      <c r="N1249" t="s">
        <v>357</v>
      </c>
      <c r="O1249" t="s">
        <v>2058</v>
      </c>
      <c r="P1249" t="s">
        <v>3636</v>
      </c>
      <c r="Q1249" t="s">
        <v>2281</v>
      </c>
    </row>
    <row r="1250" spans="1:17">
      <c r="A1250" s="2" t="s">
        <v>519</v>
      </c>
      <c r="B1250" s="2" t="s">
        <v>519</v>
      </c>
      <c r="C1250" s="2" t="s">
        <v>378</v>
      </c>
      <c r="D1250" s="11">
        <v>45979.3125</v>
      </c>
      <c r="E1250" s="11">
        <v>45979.3125</v>
      </c>
      <c r="F1250" s="11">
        <v>45979.486111111109</v>
      </c>
      <c r="G1250" s="12">
        <v>0.17361111110949423</v>
      </c>
      <c r="H1250" s="2" t="s">
        <v>257</v>
      </c>
      <c r="J1250" s="2" t="s">
        <v>258</v>
      </c>
      <c r="K1250" s="2" t="s">
        <v>658</v>
      </c>
      <c r="L1250" s="2" t="s">
        <v>3614</v>
      </c>
      <c r="M1250" t="s">
        <v>260</v>
      </c>
      <c r="N1250" t="s">
        <v>357</v>
      </c>
      <c r="O1250" t="s">
        <v>2058</v>
      </c>
      <c r="P1250" t="s">
        <v>3637</v>
      </c>
      <c r="Q1250" t="s">
        <v>2281</v>
      </c>
    </row>
    <row r="1251" spans="1:17">
      <c r="A1251" s="2" t="s">
        <v>519</v>
      </c>
      <c r="B1251" s="2" t="s">
        <v>519</v>
      </c>
      <c r="C1251" s="2" t="s">
        <v>377</v>
      </c>
      <c r="D1251" s="11">
        <v>45979.3125</v>
      </c>
      <c r="E1251" s="11">
        <v>45979.3125</v>
      </c>
      <c r="F1251" s="11">
        <v>45979.486111111109</v>
      </c>
      <c r="G1251" s="12">
        <v>0.17361111110949423</v>
      </c>
      <c r="H1251" s="2" t="s">
        <v>257</v>
      </c>
      <c r="J1251" s="2" t="s">
        <v>258</v>
      </c>
      <c r="K1251" s="2" t="s">
        <v>658</v>
      </c>
      <c r="L1251" s="2" t="s">
        <v>3614</v>
      </c>
      <c r="M1251" t="s">
        <v>260</v>
      </c>
      <c r="N1251" t="s">
        <v>357</v>
      </c>
      <c r="O1251" t="s">
        <v>2058</v>
      </c>
      <c r="P1251" t="s">
        <v>3638</v>
      </c>
      <c r="Q1251" t="s">
        <v>2281</v>
      </c>
    </row>
    <row r="1252" spans="1:17">
      <c r="A1252" s="2" t="s">
        <v>519</v>
      </c>
      <c r="B1252" s="2" t="s">
        <v>519</v>
      </c>
      <c r="C1252" s="2" t="s">
        <v>263</v>
      </c>
      <c r="D1252" s="11">
        <v>45979.3125</v>
      </c>
      <c r="E1252" s="11">
        <v>45979.3125</v>
      </c>
      <c r="F1252" s="11">
        <v>45979.486111111109</v>
      </c>
      <c r="G1252" s="12">
        <v>0.17361111110949423</v>
      </c>
      <c r="H1252" s="2" t="s">
        <v>257</v>
      </c>
      <c r="J1252" s="2" t="s">
        <v>258</v>
      </c>
      <c r="K1252" s="2" t="s">
        <v>658</v>
      </c>
      <c r="L1252" s="2" t="s">
        <v>3614</v>
      </c>
      <c r="M1252" t="s">
        <v>260</v>
      </c>
      <c r="N1252" t="s">
        <v>357</v>
      </c>
      <c r="O1252" t="s">
        <v>2058</v>
      </c>
      <c r="P1252" t="s">
        <v>3639</v>
      </c>
      <c r="Q1252" t="s">
        <v>2281</v>
      </c>
    </row>
    <row r="1253" spans="1:17">
      <c r="A1253" s="2" t="s">
        <v>487</v>
      </c>
      <c r="B1253" s="2" t="s">
        <v>487</v>
      </c>
      <c r="C1253" s="2" t="s">
        <v>377</v>
      </c>
      <c r="D1253" s="11">
        <v>45979.396527777775</v>
      </c>
      <c r="E1253" s="11">
        <v>45979.396527777775</v>
      </c>
      <c r="F1253" s="11">
        <v>45979.498611111114</v>
      </c>
      <c r="G1253" s="12">
        <v>0.10208333333866904</v>
      </c>
      <c r="H1253" s="2" t="s">
        <v>257</v>
      </c>
      <c r="J1253" s="2" t="s">
        <v>258</v>
      </c>
      <c r="K1253" s="2" t="s">
        <v>658</v>
      </c>
      <c r="L1253" s="2" t="s">
        <v>2286</v>
      </c>
      <c r="M1253" t="s">
        <v>260</v>
      </c>
      <c r="N1253" t="s">
        <v>357</v>
      </c>
      <c r="O1253" t="s">
        <v>632</v>
      </c>
      <c r="P1253" t="s">
        <v>3640</v>
      </c>
      <c r="Q1253" t="s">
        <v>2281</v>
      </c>
    </row>
    <row r="1254" spans="1:17">
      <c r="A1254" s="2" t="s">
        <v>487</v>
      </c>
      <c r="B1254" s="2" t="s">
        <v>487</v>
      </c>
      <c r="C1254" s="2" t="s">
        <v>378</v>
      </c>
      <c r="D1254" s="11">
        <v>45979.396527777775</v>
      </c>
      <c r="E1254" s="11">
        <v>45979.396527777775</v>
      </c>
      <c r="F1254" s="11">
        <v>45979.498611111114</v>
      </c>
      <c r="G1254" s="12">
        <v>0.10208333333866904</v>
      </c>
      <c r="H1254" s="2" t="s">
        <v>257</v>
      </c>
      <c r="J1254" s="2" t="s">
        <v>258</v>
      </c>
      <c r="K1254" s="2" t="s">
        <v>658</v>
      </c>
      <c r="L1254" s="2" t="s">
        <v>2286</v>
      </c>
      <c r="M1254" t="s">
        <v>260</v>
      </c>
      <c r="N1254" t="s">
        <v>357</v>
      </c>
      <c r="O1254" t="s">
        <v>632</v>
      </c>
      <c r="P1254" t="s">
        <v>3641</v>
      </c>
      <c r="Q1254" t="s">
        <v>2281</v>
      </c>
    </row>
    <row r="1255" spans="1:17">
      <c r="A1255" s="2" t="s">
        <v>487</v>
      </c>
      <c r="B1255" s="2" t="s">
        <v>487</v>
      </c>
      <c r="C1255" s="2" t="s">
        <v>382</v>
      </c>
      <c r="D1255" s="11">
        <v>45979.396527777775</v>
      </c>
      <c r="E1255" s="11">
        <v>45979.396527777775</v>
      </c>
      <c r="F1255" s="11">
        <v>45979.498611111114</v>
      </c>
      <c r="G1255" s="12">
        <v>0.10208333333866904</v>
      </c>
      <c r="H1255" s="2" t="s">
        <v>257</v>
      </c>
      <c r="J1255" s="2" t="s">
        <v>258</v>
      </c>
      <c r="K1255" s="2" t="s">
        <v>658</v>
      </c>
      <c r="L1255" s="2" t="s">
        <v>2286</v>
      </c>
      <c r="M1255" t="s">
        <v>260</v>
      </c>
      <c r="N1255" t="s">
        <v>357</v>
      </c>
      <c r="O1255" t="s">
        <v>632</v>
      </c>
      <c r="P1255" t="s">
        <v>3642</v>
      </c>
      <c r="Q1255" t="s">
        <v>2281</v>
      </c>
    </row>
    <row r="1256" spans="1:17">
      <c r="A1256" s="2" t="s">
        <v>487</v>
      </c>
      <c r="B1256" s="2" t="s">
        <v>487</v>
      </c>
      <c r="C1256" s="2" t="s">
        <v>380</v>
      </c>
      <c r="D1256" s="11">
        <v>45979.396527777775</v>
      </c>
      <c r="E1256" s="11">
        <v>45979.396527777775</v>
      </c>
      <c r="F1256" s="11">
        <v>45979.498611111114</v>
      </c>
      <c r="G1256" s="12">
        <v>0.10208333333866904</v>
      </c>
      <c r="H1256" s="2" t="s">
        <v>257</v>
      </c>
      <c r="J1256" s="2" t="s">
        <v>258</v>
      </c>
      <c r="K1256" s="2" t="s">
        <v>658</v>
      </c>
      <c r="L1256" s="2" t="s">
        <v>2286</v>
      </c>
      <c r="M1256" t="s">
        <v>260</v>
      </c>
      <c r="N1256" t="s">
        <v>357</v>
      </c>
      <c r="O1256" t="s">
        <v>632</v>
      </c>
      <c r="P1256" t="s">
        <v>3643</v>
      </c>
      <c r="Q1256" t="s">
        <v>2281</v>
      </c>
    </row>
    <row r="1257" spans="1:17">
      <c r="A1257" s="2" t="s">
        <v>487</v>
      </c>
      <c r="B1257" s="2" t="s">
        <v>487</v>
      </c>
      <c r="C1257" s="2" t="s">
        <v>379</v>
      </c>
      <c r="D1257" s="11">
        <v>45979.396527777775</v>
      </c>
      <c r="E1257" s="11">
        <v>45979.396527777775</v>
      </c>
      <c r="F1257" s="11">
        <v>45979.498611111114</v>
      </c>
      <c r="G1257" s="12">
        <v>0.10208333333866904</v>
      </c>
      <c r="H1257" s="2" t="s">
        <v>257</v>
      </c>
      <c r="J1257" s="2" t="s">
        <v>258</v>
      </c>
      <c r="K1257" s="2" t="s">
        <v>658</v>
      </c>
      <c r="L1257" s="2" t="s">
        <v>2286</v>
      </c>
      <c r="M1257" t="s">
        <v>260</v>
      </c>
      <c r="N1257" t="s">
        <v>357</v>
      </c>
      <c r="O1257" t="s">
        <v>632</v>
      </c>
      <c r="P1257" t="s">
        <v>3644</v>
      </c>
      <c r="Q1257" t="s">
        <v>2281</v>
      </c>
    </row>
    <row r="1258" spans="1:17">
      <c r="A1258" s="2" t="s">
        <v>327</v>
      </c>
      <c r="B1258" s="2" t="s">
        <v>327</v>
      </c>
      <c r="C1258" s="2" t="s">
        <v>247</v>
      </c>
      <c r="D1258" s="11">
        <v>45979.543055555558</v>
      </c>
      <c r="E1258" s="11">
        <v>45979.543055555558</v>
      </c>
      <c r="F1258" s="11">
        <v>45979.555555555555</v>
      </c>
      <c r="G1258" s="12">
        <v>1.2499999997089617E-2</v>
      </c>
      <c r="H1258" s="2" t="s">
        <v>257</v>
      </c>
      <c r="J1258" s="2" t="s">
        <v>258</v>
      </c>
      <c r="K1258" s="2" t="s">
        <v>658</v>
      </c>
      <c r="L1258" s="2" t="s">
        <v>2198</v>
      </c>
      <c r="M1258" t="s">
        <v>260</v>
      </c>
      <c r="N1258" t="s">
        <v>357</v>
      </c>
      <c r="O1258" t="s">
        <v>632</v>
      </c>
      <c r="P1258" t="s">
        <v>3645</v>
      </c>
      <c r="Q1258" t="s">
        <v>2281</v>
      </c>
    </row>
    <row r="1259" spans="1:17">
      <c r="A1259" s="2" t="s">
        <v>246</v>
      </c>
      <c r="B1259" s="2" t="s">
        <v>246</v>
      </c>
      <c r="C1259" s="2" t="s">
        <v>247</v>
      </c>
      <c r="D1259" s="11">
        <v>45979.543055555558</v>
      </c>
      <c r="E1259" s="11">
        <v>45979.543055555558</v>
      </c>
      <c r="F1259" s="11">
        <v>45979.555555555555</v>
      </c>
      <c r="G1259" s="12">
        <v>1.2499999997089617E-2</v>
      </c>
      <c r="H1259" s="2" t="s">
        <v>257</v>
      </c>
      <c r="J1259" s="2" t="s">
        <v>258</v>
      </c>
      <c r="K1259" s="2" t="s">
        <v>658</v>
      </c>
      <c r="L1259" s="2" t="s">
        <v>2198</v>
      </c>
      <c r="M1259" t="s">
        <v>260</v>
      </c>
      <c r="N1259" t="s">
        <v>357</v>
      </c>
      <c r="O1259" t="s">
        <v>632</v>
      </c>
      <c r="P1259" t="s">
        <v>3646</v>
      </c>
      <c r="Q1259" t="s">
        <v>2281</v>
      </c>
    </row>
    <row r="1260" spans="1:17">
      <c r="A1260" s="2" t="s">
        <v>328</v>
      </c>
      <c r="B1260" s="2" t="s">
        <v>328</v>
      </c>
      <c r="C1260" s="2" t="s">
        <v>247</v>
      </c>
      <c r="D1260" s="11">
        <v>45979.543055555558</v>
      </c>
      <c r="E1260" s="11">
        <v>45979.543055555558</v>
      </c>
      <c r="F1260" s="11">
        <v>45979.555555555555</v>
      </c>
      <c r="G1260" s="12">
        <v>1.2499999997089617E-2</v>
      </c>
      <c r="H1260" s="2" t="s">
        <v>257</v>
      </c>
      <c r="J1260" s="2" t="s">
        <v>258</v>
      </c>
      <c r="K1260" s="2" t="s">
        <v>658</v>
      </c>
      <c r="L1260" s="2" t="s">
        <v>2198</v>
      </c>
      <c r="M1260" t="s">
        <v>260</v>
      </c>
      <c r="N1260" t="s">
        <v>357</v>
      </c>
      <c r="O1260" t="s">
        <v>632</v>
      </c>
      <c r="P1260" t="s">
        <v>3647</v>
      </c>
      <c r="Q1260" t="s">
        <v>2281</v>
      </c>
    </row>
    <row r="1261" spans="1:17">
      <c r="A1261" s="2" t="s">
        <v>329</v>
      </c>
      <c r="B1261" s="2" t="s">
        <v>329</v>
      </c>
      <c r="C1261" s="2" t="s">
        <v>247</v>
      </c>
      <c r="D1261" s="11">
        <v>45979.543055555558</v>
      </c>
      <c r="E1261" s="11">
        <v>45979.543055555558</v>
      </c>
      <c r="F1261" s="11">
        <v>45979.555555555555</v>
      </c>
      <c r="G1261" s="12">
        <v>1.2499999997089617E-2</v>
      </c>
      <c r="H1261" s="2" t="s">
        <v>257</v>
      </c>
      <c r="J1261" s="2" t="s">
        <v>258</v>
      </c>
      <c r="K1261" s="2" t="s">
        <v>658</v>
      </c>
      <c r="L1261" s="2" t="s">
        <v>2198</v>
      </c>
      <c r="M1261" t="s">
        <v>260</v>
      </c>
      <c r="N1261" t="s">
        <v>357</v>
      </c>
      <c r="O1261" t="s">
        <v>632</v>
      </c>
      <c r="P1261" t="s">
        <v>3648</v>
      </c>
      <c r="Q1261" t="s">
        <v>2281</v>
      </c>
    </row>
    <row r="1262" spans="1:17">
      <c r="A1262" s="2" t="s">
        <v>330</v>
      </c>
      <c r="B1262" s="2" t="s">
        <v>330</v>
      </c>
      <c r="C1262" s="2" t="s">
        <v>247</v>
      </c>
      <c r="D1262" s="11">
        <v>45979.543055555558</v>
      </c>
      <c r="E1262" s="11">
        <v>45979.543055555558</v>
      </c>
      <c r="F1262" s="11">
        <v>45979.555555555555</v>
      </c>
      <c r="G1262" s="12">
        <v>1.2499999997089617E-2</v>
      </c>
      <c r="H1262" s="2" t="s">
        <v>257</v>
      </c>
      <c r="J1262" s="2" t="s">
        <v>258</v>
      </c>
      <c r="K1262" s="2" t="s">
        <v>658</v>
      </c>
      <c r="L1262" s="2" t="s">
        <v>2198</v>
      </c>
      <c r="M1262" t="s">
        <v>260</v>
      </c>
      <c r="N1262" t="s">
        <v>357</v>
      </c>
      <c r="O1262" t="s">
        <v>632</v>
      </c>
      <c r="P1262" t="s">
        <v>3649</v>
      </c>
      <c r="Q1262" t="s">
        <v>2281</v>
      </c>
    </row>
    <row r="1263" spans="1:17">
      <c r="A1263" s="2" t="s">
        <v>2241</v>
      </c>
      <c r="B1263" s="2" t="s">
        <v>2063</v>
      </c>
      <c r="C1263" s="2" t="s">
        <v>2064</v>
      </c>
      <c r="D1263" s="11">
        <v>45979.554166666669</v>
      </c>
      <c r="E1263" s="11">
        <v>45979.554166666669</v>
      </c>
      <c r="F1263" s="11">
        <v>45979.569444444445</v>
      </c>
      <c r="G1263" s="12">
        <v>1.5277777776645962E-2</v>
      </c>
      <c r="H1263" s="2" t="s">
        <v>268</v>
      </c>
      <c r="I1263" s="2" t="s">
        <v>269</v>
      </c>
      <c r="J1263" s="2" t="s">
        <v>319</v>
      </c>
      <c r="K1263" s="2" t="s">
        <v>652</v>
      </c>
      <c r="L1263" s="2" t="s">
        <v>3650</v>
      </c>
      <c r="M1263" t="s">
        <v>289</v>
      </c>
      <c r="N1263" t="s">
        <v>253</v>
      </c>
      <c r="O1263" t="s">
        <v>1956</v>
      </c>
      <c r="P1263" t="s">
        <v>3651</v>
      </c>
      <c r="Q1263" t="s">
        <v>2713</v>
      </c>
    </row>
    <row r="1264" spans="1:17">
      <c r="A1264" s="2" t="s">
        <v>2241</v>
      </c>
      <c r="B1264" s="2" t="s">
        <v>2063</v>
      </c>
      <c r="C1264" s="2" t="s">
        <v>2067</v>
      </c>
      <c r="D1264" s="11">
        <v>45979.554166666669</v>
      </c>
      <c r="E1264" s="11">
        <v>45979.554166666669</v>
      </c>
      <c r="F1264" s="11">
        <v>45979.569444444445</v>
      </c>
      <c r="G1264" s="12">
        <v>1.5277777776645962E-2</v>
      </c>
      <c r="H1264" s="2" t="s">
        <v>268</v>
      </c>
      <c r="I1264" s="2" t="s">
        <v>269</v>
      </c>
      <c r="J1264" s="2" t="s">
        <v>319</v>
      </c>
      <c r="K1264" s="2" t="s">
        <v>652</v>
      </c>
      <c r="L1264" s="2" t="s">
        <v>3650</v>
      </c>
      <c r="M1264" t="s">
        <v>289</v>
      </c>
      <c r="N1264" t="s">
        <v>253</v>
      </c>
      <c r="O1264" t="s">
        <v>1956</v>
      </c>
      <c r="P1264" t="s">
        <v>3652</v>
      </c>
      <c r="Q1264" t="s">
        <v>2713</v>
      </c>
    </row>
    <row r="1265" spans="1:17">
      <c r="A1265" s="2" t="s">
        <v>2241</v>
      </c>
      <c r="B1265" s="2" t="s">
        <v>2063</v>
      </c>
      <c r="C1265" s="2" t="s">
        <v>2068</v>
      </c>
      <c r="D1265" s="11">
        <v>45979.554166666669</v>
      </c>
      <c r="E1265" s="11">
        <v>45979.554166666669</v>
      </c>
      <c r="F1265" s="11">
        <v>45979.569444444445</v>
      </c>
      <c r="G1265" s="12">
        <v>1.5277777776645962E-2</v>
      </c>
      <c r="H1265" s="2" t="s">
        <v>268</v>
      </c>
      <c r="I1265" s="2" t="s">
        <v>269</v>
      </c>
      <c r="J1265" s="2" t="s">
        <v>319</v>
      </c>
      <c r="K1265" s="2" t="s">
        <v>652</v>
      </c>
      <c r="L1265" s="2" t="s">
        <v>3650</v>
      </c>
      <c r="M1265" t="s">
        <v>289</v>
      </c>
      <c r="N1265" t="s">
        <v>253</v>
      </c>
      <c r="O1265" t="s">
        <v>1956</v>
      </c>
      <c r="P1265" t="s">
        <v>3653</v>
      </c>
      <c r="Q1265" t="s">
        <v>2713</v>
      </c>
    </row>
    <row r="1266" spans="1:17">
      <c r="A1266" s="2" t="s">
        <v>2241</v>
      </c>
      <c r="B1266" s="2" t="s">
        <v>2063</v>
      </c>
      <c r="C1266" s="2" t="s">
        <v>2069</v>
      </c>
      <c r="D1266" s="11">
        <v>45979.554166666669</v>
      </c>
      <c r="E1266" s="11">
        <v>45979.554166666669</v>
      </c>
      <c r="F1266" s="11">
        <v>45979.569444444445</v>
      </c>
      <c r="G1266" s="12">
        <v>1.5277777776645962E-2</v>
      </c>
      <c r="H1266" s="2" t="s">
        <v>268</v>
      </c>
      <c r="I1266" s="2" t="s">
        <v>269</v>
      </c>
      <c r="J1266" s="2" t="s">
        <v>319</v>
      </c>
      <c r="K1266" s="2" t="s">
        <v>652</v>
      </c>
      <c r="L1266" s="2" t="s">
        <v>3650</v>
      </c>
      <c r="M1266" t="s">
        <v>289</v>
      </c>
      <c r="N1266" t="s">
        <v>253</v>
      </c>
      <c r="O1266" t="s">
        <v>1956</v>
      </c>
      <c r="P1266" t="s">
        <v>3654</v>
      </c>
      <c r="Q1266" t="s">
        <v>2713</v>
      </c>
    </row>
    <row r="1267" spans="1:17">
      <c r="A1267" s="2" t="s">
        <v>2241</v>
      </c>
      <c r="B1267" s="2" t="s">
        <v>2063</v>
      </c>
      <c r="C1267" s="2" t="s">
        <v>2070</v>
      </c>
      <c r="D1267" s="11">
        <v>45979.554166666669</v>
      </c>
      <c r="E1267" s="11">
        <v>45979.554166666669</v>
      </c>
      <c r="F1267" s="11">
        <v>45979.569444444445</v>
      </c>
      <c r="G1267" s="12">
        <v>1.5277777776645962E-2</v>
      </c>
      <c r="H1267" s="2" t="s">
        <v>268</v>
      </c>
      <c r="I1267" s="2" t="s">
        <v>269</v>
      </c>
      <c r="J1267" s="2" t="s">
        <v>319</v>
      </c>
      <c r="K1267" s="2" t="s">
        <v>652</v>
      </c>
      <c r="L1267" s="2" t="s">
        <v>3650</v>
      </c>
      <c r="M1267" t="s">
        <v>289</v>
      </c>
      <c r="N1267" t="s">
        <v>253</v>
      </c>
      <c r="O1267" t="s">
        <v>1956</v>
      </c>
      <c r="P1267" t="s">
        <v>3655</v>
      </c>
      <c r="Q1267" t="s">
        <v>2713</v>
      </c>
    </row>
    <row r="1268" spans="1:17">
      <c r="A1268" s="2" t="s">
        <v>2241</v>
      </c>
      <c r="B1268" s="2" t="s">
        <v>2063</v>
      </c>
      <c r="C1268" s="2" t="s">
        <v>2071</v>
      </c>
      <c r="D1268" s="11">
        <v>45979.554166666669</v>
      </c>
      <c r="E1268" s="11">
        <v>45979.554166666669</v>
      </c>
      <c r="F1268" s="11">
        <v>45979.569444444445</v>
      </c>
      <c r="G1268" s="12">
        <v>1.5277777776645962E-2</v>
      </c>
      <c r="H1268" s="2" t="s">
        <v>268</v>
      </c>
      <c r="I1268" s="2" t="s">
        <v>269</v>
      </c>
      <c r="J1268" s="2" t="s">
        <v>319</v>
      </c>
      <c r="K1268" s="2" t="s">
        <v>652</v>
      </c>
      <c r="L1268" s="2" t="s">
        <v>3650</v>
      </c>
      <c r="M1268" t="s">
        <v>289</v>
      </c>
      <c r="N1268" t="s">
        <v>253</v>
      </c>
      <c r="O1268" t="s">
        <v>1956</v>
      </c>
      <c r="P1268" t="s">
        <v>3656</v>
      </c>
      <c r="Q1268" t="s">
        <v>2713</v>
      </c>
    </row>
    <row r="1269" spans="1:17">
      <c r="A1269" s="2" t="s">
        <v>2241</v>
      </c>
      <c r="B1269" s="2" t="s">
        <v>2063</v>
      </c>
      <c r="C1269" s="2" t="s">
        <v>2072</v>
      </c>
      <c r="D1269" s="11">
        <v>45979.554166666669</v>
      </c>
      <c r="E1269" s="11">
        <v>45979.554166666669</v>
      </c>
      <c r="F1269" s="11">
        <v>45979.569444444445</v>
      </c>
      <c r="G1269" s="12">
        <v>1.5277777776645962E-2</v>
      </c>
      <c r="H1269" s="2" t="s">
        <v>268</v>
      </c>
      <c r="I1269" s="2" t="s">
        <v>269</v>
      </c>
      <c r="J1269" s="2" t="s">
        <v>319</v>
      </c>
      <c r="K1269" s="2" t="s">
        <v>652</v>
      </c>
      <c r="L1269" s="2" t="s">
        <v>3650</v>
      </c>
      <c r="M1269" t="s">
        <v>289</v>
      </c>
      <c r="N1269" t="s">
        <v>253</v>
      </c>
      <c r="O1269" t="s">
        <v>1956</v>
      </c>
      <c r="P1269" t="s">
        <v>3657</v>
      </c>
      <c r="Q1269" t="s">
        <v>2713</v>
      </c>
    </row>
    <row r="1270" spans="1:17">
      <c r="A1270" s="2" t="s">
        <v>2241</v>
      </c>
      <c r="B1270" s="2" t="s">
        <v>2063</v>
      </c>
      <c r="C1270" s="2" t="s">
        <v>2073</v>
      </c>
      <c r="D1270" s="11">
        <v>45979.554166666669</v>
      </c>
      <c r="E1270" s="11">
        <v>45979.554166666669</v>
      </c>
      <c r="F1270" s="11">
        <v>45979.569444444445</v>
      </c>
      <c r="G1270" s="12">
        <v>1.5277777776645962E-2</v>
      </c>
      <c r="H1270" s="2" t="s">
        <v>268</v>
      </c>
      <c r="I1270" s="2" t="s">
        <v>269</v>
      </c>
      <c r="J1270" s="2" t="s">
        <v>319</v>
      </c>
      <c r="K1270" s="2" t="s">
        <v>652</v>
      </c>
      <c r="L1270" s="2" t="s">
        <v>3650</v>
      </c>
      <c r="M1270" t="s">
        <v>289</v>
      </c>
      <c r="N1270" t="s">
        <v>253</v>
      </c>
      <c r="O1270" t="s">
        <v>1956</v>
      </c>
      <c r="P1270" t="s">
        <v>3658</v>
      </c>
      <c r="Q1270" t="s">
        <v>2713</v>
      </c>
    </row>
    <row r="1271" spans="1:17">
      <c r="A1271" s="2" t="s">
        <v>2241</v>
      </c>
      <c r="B1271" s="2" t="s">
        <v>2063</v>
      </c>
      <c r="C1271" s="2" t="s">
        <v>2074</v>
      </c>
      <c r="D1271" s="11">
        <v>45979.554166666669</v>
      </c>
      <c r="E1271" s="11">
        <v>45979.554166666669</v>
      </c>
      <c r="F1271" s="11">
        <v>45979.569444444445</v>
      </c>
      <c r="G1271" s="12">
        <v>1.5277777776645962E-2</v>
      </c>
      <c r="H1271" s="2" t="s">
        <v>268</v>
      </c>
      <c r="I1271" s="2" t="s">
        <v>269</v>
      </c>
      <c r="J1271" s="2" t="s">
        <v>319</v>
      </c>
      <c r="K1271" s="2" t="s">
        <v>652</v>
      </c>
      <c r="L1271" s="2" t="s">
        <v>3650</v>
      </c>
      <c r="M1271" t="s">
        <v>289</v>
      </c>
      <c r="N1271" t="s">
        <v>253</v>
      </c>
      <c r="O1271" t="s">
        <v>1956</v>
      </c>
      <c r="P1271" t="s">
        <v>3659</v>
      </c>
      <c r="Q1271" t="s">
        <v>2713</v>
      </c>
    </row>
    <row r="1272" spans="1:17">
      <c r="A1272" s="2" t="s">
        <v>2241</v>
      </c>
      <c r="B1272" s="2" t="s">
        <v>2063</v>
      </c>
      <c r="C1272" s="2" t="s">
        <v>2075</v>
      </c>
      <c r="D1272" s="11">
        <v>45979.554166666669</v>
      </c>
      <c r="E1272" s="11">
        <v>45979.554166666669</v>
      </c>
      <c r="F1272" s="11">
        <v>45979.569444444445</v>
      </c>
      <c r="G1272" s="12">
        <v>1.5277777776645962E-2</v>
      </c>
      <c r="H1272" s="2" t="s">
        <v>268</v>
      </c>
      <c r="I1272" s="2" t="s">
        <v>269</v>
      </c>
      <c r="J1272" s="2" t="s">
        <v>319</v>
      </c>
      <c r="K1272" s="2" t="s">
        <v>652</v>
      </c>
      <c r="L1272" s="2" t="s">
        <v>3650</v>
      </c>
      <c r="M1272" t="s">
        <v>289</v>
      </c>
      <c r="N1272" t="s">
        <v>253</v>
      </c>
      <c r="O1272" t="s">
        <v>1956</v>
      </c>
      <c r="P1272" t="s">
        <v>3660</v>
      </c>
      <c r="Q1272" t="s">
        <v>2713</v>
      </c>
    </row>
    <row r="1273" spans="1:17">
      <c r="A1273" s="2" t="s">
        <v>2241</v>
      </c>
      <c r="B1273" s="2" t="s">
        <v>2063</v>
      </c>
      <c r="C1273" s="2" t="s">
        <v>2076</v>
      </c>
      <c r="D1273" s="11">
        <v>45979.554166666669</v>
      </c>
      <c r="E1273" s="11">
        <v>45979.554166666669</v>
      </c>
      <c r="F1273" s="11">
        <v>45979.569444444445</v>
      </c>
      <c r="G1273" s="12">
        <v>1.5277777776645962E-2</v>
      </c>
      <c r="H1273" s="2" t="s">
        <v>268</v>
      </c>
      <c r="I1273" s="2" t="s">
        <v>269</v>
      </c>
      <c r="J1273" s="2" t="s">
        <v>319</v>
      </c>
      <c r="K1273" s="2" t="s">
        <v>652</v>
      </c>
      <c r="L1273" s="2" t="s">
        <v>3650</v>
      </c>
      <c r="M1273" t="s">
        <v>289</v>
      </c>
      <c r="N1273" t="s">
        <v>253</v>
      </c>
      <c r="O1273" t="s">
        <v>1956</v>
      </c>
      <c r="P1273" t="s">
        <v>3661</v>
      </c>
      <c r="Q1273" t="s">
        <v>2713</v>
      </c>
    </row>
    <row r="1274" spans="1:17">
      <c r="A1274" s="2" t="s">
        <v>2241</v>
      </c>
      <c r="B1274" s="2" t="s">
        <v>2063</v>
      </c>
      <c r="C1274" s="2" t="s">
        <v>622</v>
      </c>
      <c r="D1274" s="11">
        <v>45979.554166666669</v>
      </c>
      <c r="E1274" s="11">
        <v>45979.554166666669</v>
      </c>
      <c r="F1274" s="11">
        <v>45979.569444444445</v>
      </c>
      <c r="G1274" s="12">
        <v>1.5277777776645962E-2</v>
      </c>
      <c r="H1274" s="2" t="s">
        <v>268</v>
      </c>
      <c r="I1274" s="2" t="s">
        <v>269</v>
      </c>
      <c r="J1274" s="2" t="s">
        <v>319</v>
      </c>
      <c r="K1274" s="2" t="s">
        <v>652</v>
      </c>
      <c r="L1274" s="2" t="s">
        <v>3650</v>
      </c>
      <c r="M1274" t="s">
        <v>289</v>
      </c>
      <c r="N1274" t="s">
        <v>253</v>
      </c>
      <c r="O1274" t="s">
        <v>1956</v>
      </c>
      <c r="P1274" t="s">
        <v>3662</v>
      </c>
      <c r="Q1274" t="s">
        <v>2713</v>
      </c>
    </row>
    <row r="1275" spans="1:17">
      <c r="A1275" s="2" t="s">
        <v>2241</v>
      </c>
      <c r="B1275" s="2" t="s">
        <v>2063</v>
      </c>
      <c r="C1275" s="2" t="s">
        <v>613</v>
      </c>
      <c r="D1275" s="11">
        <v>45979.554166666669</v>
      </c>
      <c r="E1275" s="11">
        <v>45979.554166666669</v>
      </c>
      <c r="F1275" s="11">
        <v>45979.569444444445</v>
      </c>
      <c r="G1275" s="12">
        <v>1.5277777776645962E-2</v>
      </c>
      <c r="H1275" s="2" t="s">
        <v>268</v>
      </c>
      <c r="I1275" s="2" t="s">
        <v>269</v>
      </c>
      <c r="J1275" s="2" t="s">
        <v>319</v>
      </c>
      <c r="K1275" s="2" t="s">
        <v>652</v>
      </c>
      <c r="L1275" s="2" t="s">
        <v>3650</v>
      </c>
      <c r="M1275" t="s">
        <v>289</v>
      </c>
      <c r="N1275" t="s">
        <v>253</v>
      </c>
      <c r="O1275" t="s">
        <v>1956</v>
      </c>
      <c r="P1275" t="s">
        <v>3663</v>
      </c>
      <c r="Q1275" t="s">
        <v>2713</v>
      </c>
    </row>
    <row r="1276" spans="1:17">
      <c r="A1276" s="2" t="s">
        <v>2241</v>
      </c>
      <c r="B1276" s="2" t="s">
        <v>2063</v>
      </c>
      <c r="C1276" s="2" t="s">
        <v>2077</v>
      </c>
      <c r="D1276" s="11">
        <v>45979.554166666669</v>
      </c>
      <c r="E1276" s="11">
        <v>45979.554166666669</v>
      </c>
      <c r="F1276" s="11">
        <v>45979.569444444445</v>
      </c>
      <c r="G1276" s="12">
        <v>1.5277777776645962E-2</v>
      </c>
      <c r="H1276" s="2" t="s">
        <v>268</v>
      </c>
      <c r="I1276" s="2" t="s">
        <v>269</v>
      </c>
      <c r="J1276" s="2" t="s">
        <v>319</v>
      </c>
      <c r="K1276" s="2" t="s">
        <v>652</v>
      </c>
      <c r="L1276" s="2" t="s">
        <v>3650</v>
      </c>
      <c r="M1276" t="s">
        <v>289</v>
      </c>
      <c r="N1276" t="s">
        <v>253</v>
      </c>
      <c r="O1276" t="s">
        <v>1956</v>
      </c>
      <c r="P1276" t="s">
        <v>3664</v>
      </c>
      <c r="Q1276" t="s">
        <v>2713</v>
      </c>
    </row>
    <row r="1277" spans="1:17">
      <c r="A1277" s="2" t="s">
        <v>2241</v>
      </c>
      <c r="B1277" s="2" t="s">
        <v>2063</v>
      </c>
      <c r="C1277" s="2" t="s">
        <v>2078</v>
      </c>
      <c r="D1277" s="11">
        <v>45979.554166666669</v>
      </c>
      <c r="E1277" s="11">
        <v>45979.554166666669</v>
      </c>
      <c r="F1277" s="11">
        <v>45979.569444444445</v>
      </c>
      <c r="G1277" s="12">
        <v>1.5277777776645962E-2</v>
      </c>
      <c r="H1277" s="2" t="s">
        <v>268</v>
      </c>
      <c r="I1277" s="2" t="s">
        <v>269</v>
      </c>
      <c r="J1277" s="2" t="s">
        <v>319</v>
      </c>
      <c r="K1277" s="2" t="s">
        <v>652</v>
      </c>
      <c r="L1277" s="2" t="s">
        <v>3650</v>
      </c>
      <c r="M1277" t="s">
        <v>289</v>
      </c>
      <c r="N1277" t="s">
        <v>253</v>
      </c>
      <c r="O1277" t="s">
        <v>1956</v>
      </c>
      <c r="P1277" t="s">
        <v>3665</v>
      </c>
      <c r="Q1277" t="s">
        <v>2713</v>
      </c>
    </row>
    <row r="1278" spans="1:17">
      <c r="A1278" s="2" t="s">
        <v>2241</v>
      </c>
      <c r="B1278" s="2" t="s">
        <v>2063</v>
      </c>
      <c r="C1278" s="2" t="s">
        <v>2079</v>
      </c>
      <c r="D1278" s="11">
        <v>45979.554166666669</v>
      </c>
      <c r="E1278" s="11">
        <v>45979.554166666669</v>
      </c>
      <c r="F1278" s="11">
        <v>45979.569444444445</v>
      </c>
      <c r="G1278" s="12">
        <v>1.5277777776645962E-2</v>
      </c>
      <c r="H1278" s="2" t="s">
        <v>268</v>
      </c>
      <c r="I1278" s="2" t="s">
        <v>269</v>
      </c>
      <c r="J1278" s="2" t="s">
        <v>319</v>
      </c>
      <c r="K1278" s="2" t="s">
        <v>652</v>
      </c>
      <c r="L1278" s="2" t="s">
        <v>3650</v>
      </c>
      <c r="M1278" t="s">
        <v>289</v>
      </c>
      <c r="N1278" t="s">
        <v>253</v>
      </c>
      <c r="O1278" t="s">
        <v>1956</v>
      </c>
      <c r="P1278" t="s">
        <v>3666</v>
      </c>
      <c r="Q1278" t="s">
        <v>2713</v>
      </c>
    </row>
    <row r="1279" spans="1:17">
      <c r="A1279" s="2" t="s">
        <v>2241</v>
      </c>
      <c r="B1279" s="2" t="s">
        <v>2063</v>
      </c>
      <c r="C1279" s="2" t="s">
        <v>2080</v>
      </c>
      <c r="D1279" s="11">
        <v>45979.554166666669</v>
      </c>
      <c r="E1279" s="11">
        <v>45979.554166666669</v>
      </c>
      <c r="F1279" s="11">
        <v>45979.569444444445</v>
      </c>
      <c r="G1279" s="12">
        <v>1.5277777776645962E-2</v>
      </c>
      <c r="H1279" s="2" t="s">
        <v>268</v>
      </c>
      <c r="I1279" s="2" t="s">
        <v>269</v>
      </c>
      <c r="J1279" s="2" t="s">
        <v>319</v>
      </c>
      <c r="K1279" s="2" t="s">
        <v>652</v>
      </c>
      <c r="L1279" s="2" t="s">
        <v>3650</v>
      </c>
      <c r="M1279" t="s">
        <v>289</v>
      </c>
      <c r="N1279" t="s">
        <v>253</v>
      </c>
      <c r="O1279" t="s">
        <v>1956</v>
      </c>
      <c r="P1279" t="s">
        <v>3667</v>
      </c>
      <c r="Q1279" t="s">
        <v>2713</v>
      </c>
    </row>
    <row r="1280" spans="1:17">
      <c r="A1280" s="2" t="s">
        <v>2244</v>
      </c>
      <c r="B1280" s="2" t="s">
        <v>349</v>
      </c>
      <c r="C1280" s="2" t="s">
        <v>760</v>
      </c>
      <c r="D1280" s="11">
        <v>45979.554166666669</v>
      </c>
      <c r="E1280" s="11">
        <v>45979.554166666669</v>
      </c>
      <c r="F1280" s="11">
        <v>45979.569444444445</v>
      </c>
      <c r="G1280" s="12">
        <v>1.5277777776645962E-2</v>
      </c>
      <c r="H1280" s="2" t="s">
        <v>268</v>
      </c>
      <c r="I1280" s="2" t="s">
        <v>269</v>
      </c>
      <c r="J1280" s="2" t="s">
        <v>319</v>
      </c>
      <c r="K1280" s="2" t="s">
        <v>652</v>
      </c>
      <c r="L1280" s="2" t="s">
        <v>3650</v>
      </c>
      <c r="M1280" t="s">
        <v>289</v>
      </c>
      <c r="N1280" t="s">
        <v>253</v>
      </c>
      <c r="O1280" t="s">
        <v>1956</v>
      </c>
      <c r="P1280" t="s">
        <v>3668</v>
      </c>
      <c r="Q1280" t="s">
        <v>2713</v>
      </c>
    </row>
    <row r="1281" spans="1:17">
      <c r="A1281" s="2" t="s">
        <v>2244</v>
      </c>
      <c r="B1281" s="2" t="s">
        <v>349</v>
      </c>
      <c r="C1281" s="2" t="s">
        <v>762</v>
      </c>
      <c r="D1281" s="11">
        <v>45979.554166666669</v>
      </c>
      <c r="E1281" s="11">
        <v>45979.554166666669</v>
      </c>
      <c r="F1281" s="11">
        <v>45979.569444444445</v>
      </c>
      <c r="G1281" s="12">
        <v>1.5277777776645962E-2</v>
      </c>
      <c r="H1281" s="2" t="s">
        <v>268</v>
      </c>
      <c r="I1281" s="2" t="s">
        <v>269</v>
      </c>
      <c r="J1281" s="2" t="s">
        <v>319</v>
      </c>
      <c r="K1281" s="2" t="s">
        <v>652</v>
      </c>
      <c r="L1281" s="2" t="s">
        <v>3650</v>
      </c>
      <c r="M1281" t="s">
        <v>289</v>
      </c>
      <c r="N1281" t="s">
        <v>253</v>
      </c>
      <c r="O1281" t="s">
        <v>1956</v>
      </c>
      <c r="P1281" t="s">
        <v>3669</v>
      </c>
      <c r="Q1281" t="s">
        <v>2713</v>
      </c>
    </row>
    <row r="1282" spans="1:17">
      <c r="A1282" s="2" t="s">
        <v>2244</v>
      </c>
      <c r="B1282" s="2" t="s">
        <v>349</v>
      </c>
      <c r="C1282" s="2" t="s">
        <v>763</v>
      </c>
      <c r="D1282" s="11">
        <v>45979.554166666669</v>
      </c>
      <c r="E1282" s="11">
        <v>45979.554166666669</v>
      </c>
      <c r="F1282" s="11">
        <v>45979.569444444445</v>
      </c>
      <c r="G1282" s="12">
        <v>1.5277777776645962E-2</v>
      </c>
      <c r="H1282" s="2" t="s">
        <v>268</v>
      </c>
      <c r="I1282" s="2" t="s">
        <v>269</v>
      </c>
      <c r="J1282" s="2" t="s">
        <v>319</v>
      </c>
      <c r="K1282" s="2" t="s">
        <v>652</v>
      </c>
      <c r="L1282" s="2" t="s">
        <v>3650</v>
      </c>
      <c r="M1282" t="s">
        <v>289</v>
      </c>
      <c r="N1282" t="s">
        <v>253</v>
      </c>
      <c r="O1282" t="s">
        <v>1956</v>
      </c>
      <c r="P1282" t="s">
        <v>3670</v>
      </c>
      <c r="Q1282" t="s">
        <v>2713</v>
      </c>
    </row>
    <row r="1283" spans="1:17">
      <c r="A1283" s="2" t="s">
        <v>2244</v>
      </c>
      <c r="B1283" s="2" t="s">
        <v>349</v>
      </c>
      <c r="C1283" s="2" t="s">
        <v>764</v>
      </c>
      <c r="D1283" s="11">
        <v>45979.554166666669</v>
      </c>
      <c r="E1283" s="11">
        <v>45979.554166666669</v>
      </c>
      <c r="F1283" s="11">
        <v>45979.569444444445</v>
      </c>
      <c r="G1283" s="12">
        <v>1.5277777776645962E-2</v>
      </c>
      <c r="H1283" s="2" t="s">
        <v>268</v>
      </c>
      <c r="I1283" s="2" t="s">
        <v>269</v>
      </c>
      <c r="J1283" s="2" t="s">
        <v>319</v>
      </c>
      <c r="K1283" s="2" t="s">
        <v>652</v>
      </c>
      <c r="L1283" s="2" t="s">
        <v>3650</v>
      </c>
      <c r="M1283" t="s">
        <v>289</v>
      </c>
      <c r="N1283" t="s">
        <v>253</v>
      </c>
      <c r="O1283" t="s">
        <v>1956</v>
      </c>
      <c r="P1283" t="s">
        <v>3671</v>
      </c>
      <c r="Q1283" t="s">
        <v>2713</v>
      </c>
    </row>
    <row r="1284" spans="1:17">
      <c r="A1284" s="2" t="s">
        <v>2244</v>
      </c>
      <c r="B1284" s="2" t="s">
        <v>349</v>
      </c>
      <c r="C1284" s="2" t="s">
        <v>765</v>
      </c>
      <c r="D1284" s="11">
        <v>45979.554166666669</v>
      </c>
      <c r="E1284" s="11">
        <v>45979.554166666669</v>
      </c>
      <c r="F1284" s="11">
        <v>45979.569444444445</v>
      </c>
      <c r="G1284" s="12">
        <v>1.5277777776645962E-2</v>
      </c>
      <c r="H1284" s="2" t="s">
        <v>268</v>
      </c>
      <c r="I1284" s="2" t="s">
        <v>269</v>
      </c>
      <c r="J1284" s="2" t="s">
        <v>319</v>
      </c>
      <c r="K1284" s="2" t="s">
        <v>652</v>
      </c>
      <c r="L1284" s="2" t="s">
        <v>3650</v>
      </c>
      <c r="M1284" t="s">
        <v>289</v>
      </c>
      <c r="N1284" t="s">
        <v>253</v>
      </c>
      <c r="O1284" t="s">
        <v>1956</v>
      </c>
      <c r="P1284" t="s">
        <v>3672</v>
      </c>
      <c r="Q1284" t="s">
        <v>2713</v>
      </c>
    </row>
    <row r="1285" spans="1:17">
      <c r="A1285" s="2" t="s">
        <v>2244</v>
      </c>
      <c r="B1285" s="2" t="s">
        <v>349</v>
      </c>
      <c r="C1285" s="2" t="s">
        <v>766</v>
      </c>
      <c r="D1285" s="11">
        <v>45979.554166666669</v>
      </c>
      <c r="E1285" s="11">
        <v>45979.554166666669</v>
      </c>
      <c r="F1285" s="11">
        <v>45979.569444444445</v>
      </c>
      <c r="G1285" s="12">
        <v>1.5277777776645962E-2</v>
      </c>
      <c r="H1285" s="2" t="s">
        <v>268</v>
      </c>
      <c r="I1285" s="2" t="s">
        <v>269</v>
      </c>
      <c r="J1285" s="2" t="s">
        <v>319</v>
      </c>
      <c r="K1285" s="2" t="s">
        <v>652</v>
      </c>
      <c r="L1285" s="2" t="s">
        <v>3650</v>
      </c>
      <c r="M1285" t="s">
        <v>289</v>
      </c>
      <c r="N1285" t="s">
        <v>253</v>
      </c>
      <c r="O1285" t="s">
        <v>1956</v>
      </c>
      <c r="P1285" t="s">
        <v>3673</v>
      </c>
      <c r="Q1285" t="s">
        <v>2713</v>
      </c>
    </row>
    <row r="1286" spans="1:17">
      <c r="A1286" s="2" t="s">
        <v>2244</v>
      </c>
      <c r="B1286" s="2" t="s">
        <v>349</v>
      </c>
      <c r="C1286" s="2" t="s">
        <v>767</v>
      </c>
      <c r="D1286" s="11">
        <v>45979.554166666669</v>
      </c>
      <c r="E1286" s="11">
        <v>45979.554166666669</v>
      </c>
      <c r="F1286" s="11">
        <v>45979.569444444445</v>
      </c>
      <c r="G1286" s="12">
        <v>1.5277777776645962E-2</v>
      </c>
      <c r="H1286" s="2" t="s">
        <v>268</v>
      </c>
      <c r="I1286" s="2" t="s">
        <v>269</v>
      </c>
      <c r="J1286" s="2" t="s">
        <v>319</v>
      </c>
      <c r="K1286" s="2" t="s">
        <v>652</v>
      </c>
      <c r="L1286" s="2" t="s">
        <v>3650</v>
      </c>
      <c r="M1286" t="s">
        <v>289</v>
      </c>
      <c r="N1286" t="s">
        <v>253</v>
      </c>
      <c r="O1286" t="s">
        <v>1956</v>
      </c>
      <c r="P1286" t="s">
        <v>3674</v>
      </c>
      <c r="Q1286" t="s">
        <v>2713</v>
      </c>
    </row>
    <row r="1287" spans="1:17">
      <c r="A1287" s="2" t="s">
        <v>2244</v>
      </c>
      <c r="B1287" s="2" t="s">
        <v>349</v>
      </c>
      <c r="C1287" s="2" t="s">
        <v>768</v>
      </c>
      <c r="D1287" s="11">
        <v>45979.554166666669</v>
      </c>
      <c r="E1287" s="11">
        <v>45979.554166666669</v>
      </c>
      <c r="F1287" s="11">
        <v>45979.569444444445</v>
      </c>
      <c r="G1287" s="12">
        <v>1.5277777776645962E-2</v>
      </c>
      <c r="H1287" s="2" t="s">
        <v>268</v>
      </c>
      <c r="I1287" s="2" t="s">
        <v>269</v>
      </c>
      <c r="J1287" s="2" t="s">
        <v>319</v>
      </c>
      <c r="K1287" s="2" t="s">
        <v>652</v>
      </c>
      <c r="L1287" s="2" t="s">
        <v>3650</v>
      </c>
      <c r="M1287" t="s">
        <v>289</v>
      </c>
      <c r="N1287" t="s">
        <v>253</v>
      </c>
      <c r="O1287" t="s">
        <v>1956</v>
      </c>
      <c r="P1287" t="s">
        <v>3675</v>
      </c>
      <c r="Q1287" t="s">
        <v>2713</v>
      </c>
    </row>
    <row r="1288" spans="1:17">
      <c r="A1288" s="2" t="s">
        <v>2244</v>
      </c>
      <c r="B1288" s="2" t="s">
        <v>349</v>
      </c>
      <c r="C1288" s="2" t="s">
        <v>769</v>
      </c>
      <c r="D1288" s="11">
        <v>45979.554166666669</v>
      </c>
      <c r="E1288" s="11">
        <v>45979.554166666669</v>
      </c>
      <c r="F1288" s="11">
        <v>45979.569444444445</v>
      </c>
      <c r="G1288" s="12">
        <v>1.5277777776645962E-2</v>
      </c>
      <c r="H1288" s="2" t="s">
        <v>268</v>
      </c>
      <c r="I1288" s="2" t="s">
        <v>269</v>
      </c>
      <c r="J1288" s="2" t="s">
        <v>319</v>
      </c>
      <c r="K1288" s="2" t="s">
        <v>652</v>
      </c>
      <c r="L1288" s="2" t="s">
        <v>3650</v>
      </c>
      <c r="M1288" t="s">
        <v>289</v>
      </c>
      <c r="N1288" t="s">
        <v>253</v>
      </c>
      <c r="O1288" t="s">
        <v>1956</v>
      </c>
      <c r="P1288" t="s">
        <v>3676</v>
      </c>
      <c r="Q1288" t="s">
        <v>2713</v>
      </c>
    </row>
    <row r="1289" spans="1:17">
      <c r="A1289" s="2" t="s">
        <v>2244</v>
      </c>
      <c r="B1289" s="2" t="s">
        <v>349</v>
      </c>
      <c r="C1289" s="2" t="s">
        <v>770</v>
      </c>
      <c r="D1289" s="11">
        <v>45979.554166666669</v>
      </c>
      <c r="E1289" s="11">
        <v>45979.554166666669</v>
      </c>
      <c r="F1289" s="11">
        <v>45979.569444444445</v>
      </c>
      <c r="G1289" s="12">
        <v>1.5277777776645962E-2</v>
      </c>
      <c r="H1289" s="2" t="s">
        <v>268</v>
      </c>
      <c r="I1289" s="2" t="s">
        <v>269</v>
      </c>
      <c r="J1289" s="2" t="s">
        <v>319</v>
      </c>
      <c r="K1289" s="2" t="s">
        <v>652</v>
      </c>
      <c r="L1289" s="2" t="s">
        <v>3650</v>
      </c>
      <c r="M1289" t="s">
        <v>289</v>
      </c>
      <c r="N1289" t="s">
        <v>253</v>
      </c>
      <c r="O1289" t="s">
        <v>1956</v>
      </c>
      <c r="P1289" t="s">
        <v>3677</v>
      </c>
      <c r="Q1289" t="s">
        <v>2713</v>
      </c>
    </row>
    <row r="1290" spans="1:17">
      <c r="A1290" s="2" t="s">
        <v>2244</v>
      </c>
      <c r="B1290" s="2" t="s">
        <v>349</v>
      </c>
      <c r="C1290" s="2" t="s">
        <v>771</v>
      </c>
      <c r="D1290" s="11">
        <v>45979.554166666669</v>
      </c>
      <c r="E1290" s="11">
        <v>45979.554166666669</v>
      </c>
      <c r="F1290" s="11">
        <v>45979.569444444445</v>
      </c>
      <c r="G1290" s="12">
        <v>1.5277777776645962E-2</v>
      </c>
      <c r="H1290" s="2" t="s">
        <v>268</v>
      </c>
      <c r="I1290" s="2" t="s">
        <v>269</v>
      </c>
      <c r="J1290" s="2" t="s">
        <v>319</v>
      </c>
      <c r="K1290" s="2" t="s">
        <v>652</v>
      </c>
      <c r="L1290" s="2" t="s">
        <v>3650</v>
      </c>
      <c r="M1290" t="s">
        <v>289</v>
      </c>
      <c r="N1290" t="s">
        <v>253</v>
      </c>
      <c r="O1290" t="s">
        <v>1956</v>
      </c>
      <c r="P1290" t="s">
        <v>3678</v>
      </c>
      <c r="Q1290" t="s">
        <v>2713</v>
      </c>
    </row>
    <row r="1291" spans="1:17">
      <c r="A1291" s="2" t="s">
        <v>2244</v>
      </c>
      <c r="B1291" s="2" t="s">
        <v>349</v>
      </c>
      <c r="C1291" s="2" t="s">
        <v>772</v>
      </c>
      <c r="D1291" s="11">
        <v>45979.554166666669</v>
      </c>
      <c r="E1291" s="11">
        <v>45979.554166666669</v>
      </c>
      <c r="F1291" s="11">
        <v>45979.569444444445</v>
      </c>
      <c r="G1291" s="12">
        <v>1.5277777776645962E-2</v>
      </c>
      <c r="H1291" s="2" t="s">
        <v>268</v>
      </c>
      <c r="I1291" s="2" t="s">
        <v>269</v>
      </c>
      <c r="J1291" s="2" t="s">
        <v>319</v>
      </c>
      <c r="K1291" s="2" t="s">
        <v>652</v>
      </c>
      <c r="L1291" s="2" t="s">
        <v>3650</v>
      </c>
      <c r="M1291" t="s">
        <v>289</v>
      </c>
      <c r="N1291" t="s">
        <v>253</v>
      </c>
      <c r="O1291" t="s">
        <v>1956</v>
      </c>
      <c r="P1291" t="s">
        <v>3679</v>
      </c>
      <c r="Q1291" t="s">
        <v>2713</v>
      </c>
    </row>
    <row r="1292" spans="1:17">
      <c r="A1292" s="2" t="s">
        <v>2244</v>
      </c>
      <c r="B1292" s="2" t="s">
        <v>349</v>
      </c>
      <c r="C1292" s="2" t="s">
        <v>773</v>
      </c>
      <c r="D1292" s="11">
        <v>45979.554166666669</v>
      </c>
      <c r="E1292" s="11">
        <v>45979.554166666669</v>
      </c>
      <c r="F1292" s="11">
        <v>45979.569444444445</v>
      </c>
      <c r="G1292" s="12">
        <v>1.5277777776645962E-2</v>
      </c>
      <c r="H1292" s="2" t="s">
        <v>268</v>
      </c>
      <c r="I1292" s="2" t="s">
        <v>269</v>
      </c>
      <c r="J1292" s="2" t="s">
        <v>319</v>
      </c>
      <c r="K1292" s="2" t="s">
        <v>652</v>
      </c>
      <c r="L1292" s="2" t="s">
        <v>3650</v>
      </c>
      <c r="M1292" t="s">
        <v>289</v>
      </c>
      <c r="N1292" t="s">
        <v>253</v>
      </c>
      <c r="O1292" t="s">
        <v>1956</v>
      </c>
      <c r="P1292" t="s">
        <v>3680</v>
      </c>
      <c r="Q1292" t="s">
        <v>2713</v>
      </c>
    </row>
    <row r="1293" spans="1:17">
      <c r="A1293" s="2" t="s">
        <v>2244</v>
      </c>
      <c r="B1293" s="2" t="s">
        <v>349</v>
      </c>
      <c r="C1293" s="2" t="s">
        <v>774</v>
      </c>
      <c r="D1293" s="11">
        <v>45979.554166666669</v>
      </c>
      <c r="E1293" s="11">
        <v>45979.554166666669</v>
      </c>
      <c r="F1293" s="11">
        <v>45979.569444444445</v>
      </c>
      <c r="G1293" s="12">
        <v>1.5277777776645962E-2</v>
      </c>
      <c r="H1293" s="2" t="s">
        <v>268</v>
      </c>
      <c r="I1293" s="2" t="s">
        <v>269</v>
      </c>
      <c r="J1293" s="2" t="s">
        <v>319</v>
      </c>
      <c r="K1293" s="2" t="s">
        <v>652</v>
      </c>
      <c r="L1293" s="2" t="s">
        <v>3650</v>
      </c>
      <c r="M1293" t="s">
        <v>289</v>
      </c>
      <c r="N1293" t="s">
        <v>253</v>
      </c>
      <c r="O1293" t="s">
        <v>1956</v>
      </c>
      <c r="P1293" t="s">
        <v>3681</v>
      </c>
      <c r="Q1293" t="s">
        <v>2713</v>
      </c>
    </row>
    <row r="1294" spans="1:17">
      <c r="A1294" s="2" t="s">
        <v>2244</v>
      </c>
      <c r="B1294" s="2" t="s">
        <v>349</v>
      </c>
      <c r="C1294" s="2" t="s">
        <v>775</v>
      </c>
      <c r="D1294" s="11">
        <v>45979.554166666669</v>
      </c>
      <c r="E1294" s="11">
        <v>45979.554166666669</v>
      </c>
      <c r="F1294" s="11">
        <v>45979.569444444445</v>
      </c>
      <c r="G1294" s="12">
        <v>1.5277777776645962E-2</v>
      </c>
      <c r="H1294" s="2" t="s">
        <v>268</v>
      </c>
      <c r="I1294" s="2" t="s">
        <v>269</v>
      </c>
      <c r="J1294" s="2" t="s">
        <v>319</v>
      </c>
      <c r="K1294" s="2" t="s">
        <v>652</v>
      </c>
      <c r="L1294" s="2" t="s">
        <v>3650</v>
      </c>
      <c r="M1294" t="s">
        <v>289</v>
      </c>
      <c r="N1294" t="s">
        <v>253</v>
      </c>
      <c r="O1294" t="s">
        <v>1956</v>
      </c>
      <c r="P1294" t="s">
        <v>3682</v>
      </c>
      <c r="Q1294" t="s">
        <v>2713</v>
      </c>
    </row>
    <row r="1295" spans="1:17">
      <c r="A1295" s="2" t="s">
        <v>2244</v>
      </c>
      <c r="B1295" s="2" t="s">
        <v>349</v>
      </c>
      <c r="C1295" s="2" t="s">
        <v>350</v>
      </c>
      <c r="D1295" s="11">
        <v>45979.554166666669</v>
      </c>
      <c r="E1295" s="11">
        <v>45979.554166666669</v>
      </c>
      <c r="F1295" s="11">
        <v>45979.569444444445</v>
      </c>
      <c r="G1295" s="12">
        <v>1.5277777776645962E-2</v>
      </c>
      <c r="H1295" s="2" t="s">
        <v>268</v>
      </c>
      <c r="I1295" s="2" t="s">
        <v>269</v>
      </c>
      <c r="J1295" s="2" t="s">
        <v>319</v>
      </c>
      <c r="K1295" s="2" t="s">
        <v>652</v>
      </c>
      <c r="L1295" s="2" t="s">
        <v>3650</v>
      </c>
      <c r="M1295" t="s">
        <v>289</v>
      </c>
      <c r="N1295" t="s">
        <v>253</v>
      </c>
      <c r="O1295" t="s">
        <v>1956</v>
      </c>
      <c r="P1295" t="s">
        <v>3683</v>
      </c>
      <c r="Q1295" t="s">
        <v>2713</v>
      </c>
    </row>
    <row r="1296" spans="1:17">
      <c r="A1296" s="2" t="s">
        <v>2244</v>
      </c>
      <c r="B1296" s="2" t="s">
        <v>349</v>
      </c>
      <c r="C1296" s="2" t="s">
        <v>776</v>
      </c>
      <c r="D1296" s="11">
        <v>45979.554166666669</v>
      </c>
      <c r="E1296" s="11">
        <v>45979.554166666669</v>
      </c>
      <c r="F1296" s="11">
        <v>45979.569444444445</v>
      </c>
      <c r="G1296" s="12">
        <v>1.5277777776645962E-2</v>
      </c>
      <c r="H1296" s="2" t="s">
        <v>268</v>
      </c>
      <c r="I1296" s="2" t="s">
        <v>269</v>
      </c>
      <c r="J1296" s="2" t="s">
        <v>319</v>
      </c>
      <c r="K1296" s="2" t="s">
        <v>652</v>
      </c>
      <c r="L1296" s="2" t="s">
        <v>3650</v>
      </c>
      <c r="M1296" t="s">
        <v>289</v>
      </c>
      <c r="N1296" t="s">
        <v>253</v>
      </c>
      <c r="O1296" t="s">
        <v>1956</v>
      </c>
      <c r="P1296" t="s">
        <v>3684</v>
      </c>
      <c r="Q1296" t="s">
        <v>2713</v>
      </c>
    </row>
    <row r="1297" spans="1:17">
      <c r="A1297" s="2" t="s">
        <v>375</v>
      </c>
      <c r="B1297" s="2" t="s">
        <v>375</v>
      </c>
      <c r="C1297" s="2" t="s">
        <v>247</v>
      </c>
      <c r="D1297" s="11">
        <v>45980.246527777781</v>
      </c>
      <c r="E1297" s="11">
        <v>45980.246527777781</v>
      </c>
      <c r="F1297" s="11">
        <v>45980.3125</v>
      </c>
      <c r="G1297" s="12">
        <v>6.5972222218988463E-2</v>
      </c>
      <c r="H1297" s="2" t="s">
        <v>257</v>
      </c>
      <c r="J1297" s="2" t="s">
        <v>258</v>
      </c>
      <c r="K1297" s="2" t="s">
        <v>658</v>
      </c>
      <c r="L1297" s="2" t="s">
        <v>2057</v>
      </c>
      <c r="M1297" t="s">
        <v>260</v>
      </c>
      <c r="N1297" t="s">
        <v>357</v>
      </c>
      <c r="O1297" t="s">
        <v>2058</v>
      </c>
      <c r="P1297" t="s">
        <v>3685</v>
      </c>
      <c r="Q1297" t="s">
        <v>2281</v>
      </c>
    </row>
    <row r="1298" spans="1:17">
      <c r="A1298" s="2" t="s">
        <v>375</v>
      </c>
      <c r="B1298" s="2" t="s">
        <v>375</v>
      </c>
      <c r="C1298" s="2" t="s">
        <v>377</v>
      </c>
      <c r="D1298" s="11">
        <v>45980.246527777781</v>
      </c>
      <c r="E1298" s="11">
        <v>45980.246527777781</v>
      </c>
      <c r="F1298" s="11">
        <v>45980.3125</v>
      </c>
      <c r="G1298" s="12">
        <v>6.5972222218988463E-2</v>
      </c>
      <c r="H1298" s="2" t="s">
        <v>257</v>
      </c>
      <c r="J1298" s="2" t="s">
        <v>258</v>
      </c>
      <c r="K1298" s="2" t="s">
        <v>658</v>
      </c>
      <c r="L1298" s="2" t="s">
        <v>2057</v>
      </c>
      <c r="M1298" t="s">
        <v>260</v>
      </c>
      <c r="N1298" t="s">
        <v>357</v>
      </c>
      <c r="O1298" t="s">
        <v>2058</v>
      </c>
      <c r="P1298" t="s">
        <v>3686</v>
      </c>
      <c r="Q1298" t="s">
        <v>2281</v>
      </c>
    </row>
    <row r="1299" spans="1:17">
      <c r="A1299" s="2" t="s">
        <v>375</v>
      </c>
      <c r="B1299" s="2" t="s">
        <v>375</v>
      </c>
      <c r="C1299" s="2" t="s">
        <v>378</v>
      </c>
      <c r="D1299" s="11">
        <v>45980.246527777781</v>
      </c>
      <c r="E1299" s="11">
        <v>45980.246527777781</v>
      </c>
      <c r="F1299" s="11">
        <v>45980.3125</v>
      </c>
      <c r="G1299" s="12">
        <v>6.5972222218988463E-2</v>
      </c>
      <c r="H1299" s="2" t="s">
        <v>257</v>
      </c>
      <c r="J1299" s="2" t="s">
        <v>258</v>
      </c>
      <c r="K1299" s="2" t="s">
        <v>658</v>
      </c>
      <c r="L1299" s="2" t="s">
        <v>2057</v>
      </c>
      <c r="M1299" t="s">
        <v>260</v>
      </c>
      <c r="N1299" t="s">
        <v>357</v>
      </c>
      <c r="O1299" t="s">
        <v>2058</v>
      </c>
      <c r="P1299" t="s">
        <v>3687</v>
      </c>
      <c r="Q1299" t="s">
        <v>2281</v>
      </c>
    </row>
    <row r="1300" spans="1:17">
      <c r="A1300" s="2" t="s">
        <v>375</v>
      </c>
      <c r="B1300" s="2" t="s">
        <v>375</v>
      </c>
      <c r="C1300" s="2" t="s">
        <v>379</v>
      </c>
      <c r="D1300" s="11">
        <v>45980.246527777781</v>
      </c>
      <c r="E1300" s="11">
        <v>45980.246527777781</v>
      </c>
      <c r="F1300" s="11">
        <v>45980.3125</v>
      </c>
      <c r="G1300" s="12">
        <v>6.5972222218988463E-2</v>
      </c>
      <c r="H1300" s="2" t="s">
        <v>257</v>
      </c>
      <c r="J1300" s="2" t="s">
        <v>258</v>
      </c>
      <c r="K1300" s="2" t="s">
        <v>658</v>
      </c>
      <c r="L1300" s="2" t="s">
        <v>2057</v>
      </c>
      <c r="M1300" t="s">
        <v>260</v>
      </c>
      <c r="N1300" t="s">
        <v>357</v>
      </c>
      <c r="O1300" t="s">
        <v>2058</v>
      </c>
      <c r="P1300" t="s">
        <v>3688</v>
      </c>
      <c r="Q1300" t="s">
        <v>2281</v>
      </c>
    </row>
    <row r="1301" spans="1:17">
      <c r="A1301" s="2" t="s">
        <v>375</v>
      </c>
      <c r="B1301" s="2" t="s">
        <v>375</v>
      </c>
      <c r="C1301" s="2" t="s">
        <v>380</v>
      </c>
      <c r="D1301" s="11">
        <v>45980.246527777781</v>
      </c>
      <c r="E1301" s="11">
        <v>45980.246527777781</v>
      </c>
      <c r="F1301" s="11">
        <v>45980.3125</v>
      </c>
      <c r="G1301" s="12">
        <v>6.5972222218988463E-2</v>
      </c>
      <c r="H1301" s="2" t="s">
        <v>257</v>
      </c>
      <c r="J1301" s="2" t="s">
        <v>258</v>
      </c>
      <c r="K1301" s="2" t="s">
        <v>658</v>
      </c>
      <c r="L1301" s="2" t="s">
        <v>2057</v>
      </c>
      <c r="M1301" t="s">
        <v>260</v>
      </c>
      <c r="N1301" t="s">
        <v>357</v>
      </c>
      <c r="O1301" t="s">
        <v>2058</v>
      </c>
      <c r="P1301" t="s">
        <v>3689</v>
      </c>
      <c r="Q1301" t="s">
        <v>2281</v>
      </c>
    </row>
    <row r="1302" spans="1:17">
      <c r="A1302" s="2" t="s">
        <v>387</v>
      </c>
      <c r="B1302" s="2" t="s">
        <v>387</v>
      </c>
      <c r="C1302" s="2" t="s">
        <v>389</v>
      </c>
      <c r="D1302" s="11">
        <v>45980.246527777781</v>
      </c>
      <c r="E1302" s="11">
        <v>45980.246527777781</v>
      </c>
      <c r="F1302" s="11">
        <v>45980.3125</v>
      </c>
      <c r="G1302" s="12">
        <v>6.5972222218988463E-2</v>
      </c>
      <c r="H1302" s="2" t="s">
        <v>257</v>
      </c>
      <c r="J1302" s="2" t="s">
        <v>258</v>
      </c>
      <c r="K1302" s="2" t="s">
        <v>658</v>
      </c>
      <c r="L1302" s="2" t="s">
        <v>2057</v>
      </c>
      <c r="M1302" t="s">
        <v>260</v>
      </c>
      <c r="N1302" t="s">
        <v>357</v>
      </c>
      <c r="O1302" t="s">
        <v>2058</v>
      </c>
      <c r="P1302" t="s">
        <v>3690</v>
      </c>
      <c r="Q1302" t="s">
        <v>2281</v>
      </c>
    </row>
    <row r="1303" spans="1:17">
      <c r="A1303" s="2" t="s">
        <v>387</v>
      </c>
      <c r="B1303" s="2" t="s">
        <v>387</v>
      </c>
      <c r="C1303" s="2" t="s">
        <v>390</v>
      </c>
      <c r="D1303" s="11">
        <v>45980.246527777781</v>
      </c>
      <c r="E1303" s="11">
        <v>45980.246527777781</v>
      </c>
      <c r="F1303" s="11">
        <v>45980.3125</v>
      </c>
      <c r="G1303" s="12">
        <v>6.5972222218988463E-2</v>
      </c>
      <c r="H1303" s="2" t="s">
        <v>257</v>
      </c>
      <c r="J1303" s="2" t="s">
        <v>258</v>
      </c>
      <c r="K1303" s="2" t="s">
        <v>658</v>
      </c>
      <c r="L1303" s="2" t="s">
        <v>2057</v>
      </c>
      <c r="M1303" t="s">
        <v>260</v>
      </c>
      <c r="N1303" t="s">
        <v>357</v>
      </c>
      <c r="O1303" t="s">
        <v>2058</v>
      </c>
      <c r="P1303" t="s">
        <v>3691</v>
      </c>
      <c r="Q1303" t="s">
        <v>2281</v>
      </c>
    </row>
    <row r="1304" spans="1:17">
      <c r="A1304" s="2" t="s">
        <v>387</v>
      </c>
      <c r="B1304" s="2" t="s">
        <v>387</v>
      </c>
      <c r="C1304" s="2" t="s">
        <v>256</v>
      </c>
      <c r="D1304" s="11">
        <v>45980.246527777781</v>
      </c>
      <c r="E1304" s="11">
        <v>45980.246527777781</v>
      </c>
      <c r="F1304" s="11">
        <v>45980.3125</v>
      </c>
      <c r="G1304" s="12">
        <v>6.5972222218988463E-2</v>
      </c>
      <c r="H1304" s="2" t="s">
        <v>257</v>
      </c>
      <c r="J1304" s="2" t="s">
        <v>258</v>
      </c>
      <c r="K1304" s="2" t="s">
        <v>658</v>
      </c>
      <c r="L1304" s="2" t="s">
        <v>2057</v>
      </c>
      <c r="M1304" t="s">
        <v>260</v>
      </c>
      <c r="N1304" t="s">
        <v>357</v>
      </c>
      <c r="O1304" t="s">
        <v>2058</v>
      </c>
      <c r="P1304" t="s">
        <v>3692</v>
      </c>
      <c r="Q1304" t="s">
        <v>2281</v>
      </c>
    </row>
    <row r="1305" spans="1:17">
      <c r="A1305" s="2" t="s">
        <v>387</v>
      </c>
      <c r="B1305" s="2" t="s">
        <v>387</v>
      </c>
      <c r="C1305" s="2" t="s">
        <v>388</v>
      </c>
      <c r="D1305" s="11">
        <v>45980.246527777781</v>
      </c>
      <c r="E1305" s="11">
        <v>45980.246527777781</v>
      </c>
      <c r="F1305" s="11">
        <v>45980.3125</v>
      </c>
      <c r="G1305" s="12">
        <v>6.5972222218988463E-2</v>
      </c>
      <c r="H1305" s="2" t="s">
        <v>257</v>
      </c>
      <c r="J1305" s="2" t="s">
        <v>258</v>
      </c>
      <c r="K1305" s="2" t="s">
        <v>658</v>
      </c>
      <c r="L1305" s="2" t="s">
        <v>2057</v>
      </c>
      <c r="M1305" t="s">
        <v>260</v>
      </c>
      <c r="N1305" t="s">
        <v>357</v>
      </c>
      <c r="O1305" t="s">
        <v>2058</v>
      </c>
      <c r="P1305" t="s">
        <v>3693</v>
      </c>
      <c r="Q1305" t="s">
        <v>2281</v>
      </c>
    </row>
    <row r="1306" spans="1:17">
      <c r="A1306" s="2" t="s">
        <v>387</v>
      </c>
      <c r="B1306" s="2" t="s">
        <v>387</v>
      </c>
      <c r="C1306" s="2" t="s">
        <v>247</v>
      </c>
      <c r="D1306" s="11">
        <v>45980.246527777781</v>
      </c>
      <c r="E1306" s="11">
        <v>45980.246527777781</v>
      </c>
      <c r="F1306" s="11">
        <v>45980.3125</v>
      </c>
      <c r="G1306" s="12">
        <v>6.5972222218988463E-2</v>
      </c>
      <c r="H1306" s="2" t="s">
        <v>257</v>
      </c>
      <c r="J1306" s="2" t="s">
        <v>258</v>
      </c>
      <c r="K1306" s="2" t="s">
        <v>658</v>
      </c>
      <c r="L1306" s="2" t="s">
        <v>2057</v>
      </c>
      <c r="M1306" t="s">
        <v>260</v>
      </c>
      <c r="N1306" t="s">
        <v>357</v>
      </c>
      <c r="O1306" t="s">
        <v>2058</v>
      </c>
      <c r="P1306" t="s">
        <v>3694</v>
      </c>
      <c r="Q1306" t="s">
        <v>2281</v>
      </c>
    </row>
    <row r="1307" spans="1:17">
      <c r="A1307" s="2" t="s">
        <v>381</v>
      </c>
      <c r="B1307" s="2" t="s">
        <v>381</v>
      </c>
      <c r="C1307" s="2" t="s">
        <v>379</v>
      </c>
      <c r="D1307" s="11">
        <v>45980.246527777781</v>
      </c>
      <c r="E1307" s="11">
        <v>45980.246527777781</v>
      </c>
      <c r="F1307" s="11">
        <v>45980.3125</v>
      </c>
      <c r="G1307" s="12">
        <v>6.5972222218988463E-2</v>
      </c>
      <c r="H1307" s="2" t="s">
        <v>257</v>
      </c>
      <c r="J1307" s="2" t="s">
        <v>258</v>
      </c>
      <c r="K1307" s="2" t="s">
        <v>658</v>
      </c>
      <c r="L1307" s="2" t="s">
        <v>2057</v>
      </c>
      <c r="M1307" t="s">
        <v>260</v>
      </c>
      <c r="N1307" t="s">
        <v>357</v>
      </c>
      <c r="O1307" t="s">
        <v>2058</v>
      </c>
      <c r="P1307" t="s">
        <v>3695</v>
      </c>
      <c r="Q1307" t="s">
        <v>2281</v>
      </c>
    </row>
    <row r="1308" spans="1:17">
      <c r="A1308" s="2" t="s">
        <v>381</v>
      </c>
      <c r="B1308" s="2" t="s">
        <v>381</v>
      </c>
      <c r="C1308" s="2" t="s">
        <v>382</v>
      </c>
      <c r="D1308" s="11">
        <v>45980.246527777781</v>
      </c>
      <c r="E1308" s="11">
        <v>45980.246527777781</v>
      </c>
      <c r="F1308" s="11">
        <v>45980.3125</v>
      </c>
      <c r="G1308" s="12">
        <v>6.5972222218988463E-2</v>
      </c>
      <c r="H1308" s="2" t="s">
        <v>257</v>
      </c>
      <c r="J1308" s="2" t="s">
        <v>258</v>
      </c>
      <c r="K1308" s="2" t="s">
        <v>658</v>
      </c>
      <c r="L1308" s="2" t="s">
        <v>2057</v>
      </c>
      <c r="M1308" t="s">
        <v>260</v>
      </c>
      <c r="N1308" t="s">
        <v>357</v>
      </c>
      <c r="O1308" t="s">
        <v>2058</v>
      </c>
      <c r="P1308" t="s">
        <v>3696</v>
      </c>
      <c r="Q1308" t="s">
        <v>2281</v>
      </c>
    </row>
    <row r="1309" spans="1:17">
      <c r="A1309" s="2" t="s">
        <v>381</v>
      </c>
      <c r="B1309" s="2" t="s">
        <v>381</v>
      </c>
      <c r="C1309" s="2" t="s">
        <v>380</v>
      </c>
      <c r="D1309" s="11">
        <v>45980.246527777781</v>
      </c>
      <c r="E1309" s="11">
        <v>45980.246527777781</v>
      </c>
      <c r="F1309" s="11">
        <v>45980.3125</v>
      </c>
      <c r="G1309" s="12">
        <v>6.5972222218988463E-2</v>
      </c>
      <c r="H1309" s="2" t="s">
        <v>257</v>
      </c>
      <c r="J1309" s="2" t="s">
        <v>258</v>
      </c>
      <c r="K1309" s="2" t="s">
        <v>658</v>
      </c>
      <c r="L1309" s="2" t="s">
        <v>2057</v>
      </c>
      <c r="M1309" t="s">
        <v>260</v>
      </c>
      <c r="N1309" t="s">
        <v>357</v>
      </c>
      <c r="O1309" t="s">
        <v>2058</v>
      </c>
      <c r="P1309" t="s">
        <v>3697</v>
      </c>
      <c r="Q1309" t="s">
        <v>2281</v>
      </c>
    </row>
    <row r="1310" spans="1:17">
      <c r="A1310" s="2" t="s">
        <v>381</v>
      </c>
      <c r="B1310" s="2" t="s">
        <v>381</v>
      </c>
      <c r="C1310" s="2" t="s">
        <v>377</v>
      </c>
      <c r="D1310" s="11">
        <v>45980.246527777781</v>
      </c>
      <c r="E1310" s="11">
        <v>45980.246527777781</v>
      </c>
      <c r="F1310" s="11">
        <v>45980.3125</v>
      </c>
      <c r="G1310" s="12">
        <v>6.5972222218988463E-2</v>
      </c>
      <c r="H1310" s="2" t="s">
        <v>257</v>
      </c>
      <c r="J1310" s="2" t="s">
        <v>258</v>
      </c>
      <c r="K1310" s="2" t="s">
        <v>658</v>
      </c>
      <c r="L1310" s="2" t="s">
        <v>2057</v>
      </c>
      <c r="M1310" t="s">
        <v>260</v>
      </c>
      <c r="N1310" t="s">
        <v>357</v>
      </c>
      <c r="O1310" t="s">
        <v>2058</v>
      </c>
      <c r="P1310" t="s">
        <v>3698</v>
      </c>
      <c r="Q1310" t="s">
        <v>2281</v>
      </c>
    </row>
    <row r="1311" spans="1:17">
      <c r="A1311" s="2" t="s">
        <v>381</v>
      </c>
      <c r="B1311" s="2" t="s">
        <v>381</v>
      </c>
      <c r="C1311" s="2" t="s">
        <v>378</v>
      </c>
      <c r="D1311" s="11">
        <v>45980.246527777781</v>
      </c>
      <c r="E1311" s="11">
        <v>45980.246527777781</v>
      </c>
      <c r="F1311" s="11">
        <v>45980.3125</v>
      </c>
      <c r="G1311" s="12">
        <v>6.5972222218988463E-2</v>
      </c>
      <c r="H1311" s="2" t="s">
        <v>257</v>
      </c>
      <c r="J1311" s="2" t="s">
        <v>258</v>
      </c>
      <c r="K1311" s="2" t="s">
        <v>658</v>
      </c>
      <c r="L1311" s="2" t="s">
        <v>2057</v>
      </c>
      <c r="M1311" t="s">
        <v>260</v>
      </c>
      <c r="N1311" t="s">
        <v>357</v>
      </c>
      <c r="O1311" t="s">
        <v>2058</v>
      </c>
      <c r="P1311" t="s">
        <v>3699</v>
      </c>
      <c r="Q1311" t="s">
        <v>2281</v>
      </c>
    </row>
    <row r="1312" spans="1:17">
      <c r="A1312" s="2" t="s">
        <v>391</v>
      </c>
      <c r="B1312" s="2" t="s">
        <v>391</v>
      </c>
      <c r="C1312" s="2" t="s">
        <v>2059</v>
      </c>
      <c r="D1312" s="11">
        <v>45980.246527777781</v>
      </c>
      <c r="E1312" s="11">
        <v>45980.246527777781</v>
      </c>
      <c r="F1312" s="11">
        <v>45980.3125</v>
      </c>
      <c r="G1312" s="12">
        <v>6.5972222218988463E-2</v>
      </c>
      <c r="H1312" s="2" t="s">
        <v>257</v>
      </c>
      <c r="J1312" s="2" t="s">
        <v>258</v>
      </c>
      <c r="K1312" s="2" t="s">
        <v>658</v>
      </c>
      <c r="L1312" s="2" t="s">
        <v>2057</v>
      </c>
      <c r="M1312" t="s">
        <v>260</v>
      </c>
      <c r="N1312" t="s">
        <v>357</v>
      </c>
      <c r="O1312" t="s">
        <v>2058</v>
      </c>
      <c r="P1312" t="s">
        <v>3700</v>
      </c>
      <c r="Q1312" t="s">
        <v>2281</v>
      </c>
    </row>
    <row r="1313" spans="1:17">
      <c r="A1313" s="2" t="s">
        <v>391</v>
      </c>
      <c r="B1313" s="2" t="s">
        <v>391</v>
      </c>
      <c r="C1313" s="2" t="s">
        <v>382</v>
      </c>
      <c r="D1313" s="11">
        <v>45980.246527777781</v>
      </c>
      <c r="E1313" s="11">
        <v>45980.246527777781</v>
      </c>
      <c r="F1313" s="11">
        <v>45980.3125</v>
      </c>
      <c r="G1313" s="12">
        <v>6.5972222218988463E-2</v>
      </c>
      <c r="H1313" s="2" t="s">
        <v>257</v>
      </c>
      <c r="J1313" s="2" t="s">
        <v>258</v>
      </c>
      <c r="K1313" s="2" t="s">
        <v>658</v>
      </c>
      <c r="L1313" s="2" t="s">
        <v>2057</v>
      </c>
      <c r="M1313" t="s">
        <v>260</v>
      </c>
      <c r="N1313" t="s">
        <v>357</v>
      </c>
      <c r="O1313" t="s">
        <v>2058</v>
      </c>
      <c r="P1313" t="s">
        <v>3701</v>
      </c>
      <c r="Q1313" t="s">
        <v>2281</v>
      </c>
    </row>
    <row r="1314" spans="1:17">
      <c r="A1314" s="2" t="s">
        <v>391</v>
      </c>
      <c r="B1314" s="2" t="s">
        <v>391</v>
      </c>
      <c r="C1314" s="2" t="s">
        <v>378</v>
      </c>
      <c r="D1314" s="11">
        <v>45980.246527777781</v>
      </c>
      <c r="E1314" s="11">
        <v>45980.246527777781</v>
      </c>
      <c r="F1314" s="11">
        <v>45980.3125</v>
      </c>
      <c r="G1314" s="12">
        <v>6.5972222218988463E-2</v>
      </c>
      <c r="H1314" s="2" t="s">
        <v>257</v>
      </c>
      <c r="J1314" s="2" t="s">
        <v>258</v>
      </c>
      <c r="K1314" s="2" t="s">
        <v>658</v>
      </c>
      <c r="L1314" s="2" t="s">
        <v>2057</v>
      </c>
      <c r="M1314" t="s">
        <v>260</v>
      </c>
      <c r="N1314" t="s">
        <v>357</v>
      </c>
      <c r="O1314" t="s">
        <v>2058</v>
      </c>
      <c r="P1314" t="s">
        <v>3702</v>
      </c>
      <c r="Q1314" t="s">
        <v>2281</v>
      </c>
    </row>
    <row r="1315" spans="1:17">
      <c r="A1315" s="2" t="s">
        <v>391</v>
      </c>
      <c r="B1315" s="2" t="s">
        <v>391</v>
      </c>
      <c r="C1315" s="2" t="s">
        <v>379</v>
      </c>
      <c r="D1315" s="11">
        <v>45980.246527777781</v>
      </c>
      <c r="E1315" s="11">
        <v>45980.246527777781</v>
      </c>
      <c r="F1315" s="11">
        <v>45980.3125</v>
      </c>
      <c r="G1315" s="12">
        <v>6.5972222218988463E-2</v>
      </c>
      <c r="H1315" s="2" t="s">
        <v>257</v>
      </c>
      <c r="J1315" s="2" t="s">
        <v>258</v>
      </c>
      <c r="K1315" s="2" t="s">
        <v>658</v>
      </c>
      <c r="L1315" s="2" t="s">
        <v>2057</v>
      </c>
      <c r="M1315" t="s">
        <v>260</v>
      </c>
      <c r="N1315" t="s">
        <v>357</v>
      </c>
      <c r="O1315" t="s">
        <v>2058</v>
      </c>
      <c r="P1315" t="s">
        <v>3703</v>
      </c>
      <c r="Q1315" t="s">
        <v>2281</v>
      </c>
    </row>
    <row r="1316" spans="1:17">
      <c r="A1316" s="2" t="s">
        <v>391</v>
      </c>
      <c r="B1316" s="2" t="s">
        <v>391</v>
      </c>
      <c r="C1316" s="2" t="s">
        <v>380</v>
      </c>
      <c r="D1316" s="11">
        <v>45980.246527777781</v>
      </c>
      <c r="E1316" s="11">
        <v>45980.246527777781</v>
      </c>
      <c r="F1316" s="11">
        <v>45980.3125</v>
      </c>
      <c r="G1316" s="12">
        <v>6.5972222218988463E-2</v>
      </c>
      <c r="H1316" s="2" t="s">
        <v>257</v>
      </c>
      <c r="J1316" s="2" t="s">
        <v>258</v>
      </c>
      <c r="K1316" s="2" t="s">
        <v>658</v>
      </c>
      <c r="L1316" s="2" t="s">
        <v>2057</v>
      </c>
      <c r="M1316" t="s">
        <v>260</v>
      </c>
      <c r="N1316" t="s">
        <v>357</v>
      </c>
      <c r="O1316" t="s">
        <v>2058</v>
      </c>
      <c r="P1316" t="s">
        <v>3704</v>
      </c>
      <c r="Q1316" t="s">
        <v>2281</v>
      </c>
    </row>
    <row r="1317" spans="1:17">
      <c r="A1317" s="2" t="s">
        <v>519</v>
      </c>
      <c r="B1317" s="2" t="s">
        <v>519</v>
      </c>
      <c r="C1317" s="2" t="s">
        <v>380</v>
      </c>
      <c r="D1317" s="11">
        <v>45980.246527777781</v>
      </c>
      <c r="E1317" s="11">
        <v>45980.246527777781</v>
      </c>
      <c r="F1317" s="11">
        <v>45980.3125</v>
      </c>
      <c r="G1317" s="12">
        <v>6.5972222218988463E-2</v>
      </c>
      <c r="H1317" s="2" t="s">
        <v>257</v>
      </c>
      <c r="J1317" s="2" t="s">
        <v>258</v>
      </c>
      <c r="K1317" s="2" t="s">
        <v>658</v>
      </c>
      <c r="L1317" s="2" t="s">
        <v>2057</v>
      </c>
      <c r="M1317" t="s">
        <v>260</v>
      </c>
      <c r="N1317" t="s">
        <v>357</v>
      </c>
      <c r="O1317" t="s">
        <v>2058</v>
      </c>
      <c r="P1317" t="s">
        <v>3705</v>
      </c>
      <c r="Q1317" t="s">
        <v>2281</v>
      </c>
    </row>
    <row r="1318" spans="1:17">
      <c r="A1318" s="2" t="s">
        <v>519</v>
      </c>
      <c r="B1318" s="2" t="s">
        <v>519</v>
      </c>
      <c r="C1318" s="2" t="s">
        <v>247</v>
      </c>
      <c r="D1318" s="11">
        <v>45980.246527777781</v>
      </c>
      <c r="E1318" s="11">
        <v>45980.246527777781</v>
      </c>
      <c r="F1318" s="11">
        <v>45980.3125</v>
      </c>
      <c r="G1318" s="12">
        <v>6.5972222218988463E-2</v>
      </c>
      <c r="H1318" s="2" t="s">
        <v>257</v>
      </c>
      <c r="J1318" s="2" t="s">
        <v>258</v>
      </c>
      <c r="K1318" s="2" t="s">
        <v>658</v>
      </c>
      <c r="L1318" s="2" t="s">
        <v>2057</v>
      </c>
      <c r="M1318" t="s">
        <v>260</v>
      </c>
      <c r="N1318" t="s">
        <v>357</v>
      </c>
      <c r="O1318" t="s">
        <v>2058</v>
      </c>
      <c r="P1318" t="s">
        <v>3706</v>
      </c>
      <c r="Q1318" t="s">
        <v>2281</v>
      </c>
    </row>
    <row r="1319" spans="1:17">
      <c r="A1319" s="2" t="s">
        <v>519</v>
      </c>
      <c r="B1319" s="2" t="s">
        <v>519</v>
      </c>
      <c r="C1319" s="2" t="s">
        <v>378</v>
      </c>
      <c r="D1319" s="11">
        <v>45980.246527777781</v>
      </c>
      <c r="E1319" s="11">
        <v>45980.246527777781</v>
      </c>
      <c r="F1319" s="11">
        <v>45980.3125</v>
      </c>
      <c r="G1319" s="12">
        <v>6.5972222218988463E-2</v>
      </c>
      <c r="H1319" s="2" t="s">
        <v>257</v>
      </c>
      <c r="J1319" s="2" t="s">
        <v>258</v>
      </c>
      <c r="K1319" s="2" t="s">
        <v>658</v>
      </c>
      <c r="L1319" s="2" t="s">
        <v>2057</v>
      </c>
      <c r="M1319" t="s">
        <v>260</v>
      </c>
      <c r="N1319" t="s">
        <v>357</v>
      </c>
      <c r="O1319" t="s">
        <v>2058</v>
      </c>
      <c r="P1319" t="s">
        <v>3707</v>
      </c>
      <c r="Q1319" t="s">
        <v>2281</v>
      </c>
    </row>
    <row r="1320" spans="1:17">
      <c r="A1320" s="2" t="s">
        <v>519</v>
      </c>
      <c r="B1320" s="2" t="s">
        <v>519</v>
      </c>
      <c r="C1320" s="2" t="s">
        <v>377</v>
      </c>
      <c r="D1320" s="11">
        <v>45980.246527777781</v>
      </c>
      <c r="E1320" s="11">
        <v>45980.246527777781</v>
      </c>
      <c r="F1320" s="11">
        <v>45980.3125</v>
      </c>
      <c r="G1320" s="12">
        <v>6.5972222218988463E-2</v>
      </c>
      <c r="H1320" s="2" t="s">
        <v>257</v>
      </c>
      <c r="J1320" s="2" t="s">
        <v>258</v>
      </c>
      <c r="K1320" s="2" t="s">
        <v>658</v>
      </c>
      <c r="L1320" s="2" t="s">
        <v>2057</v>
      </c>
      <c r="M1320" t="s">
        <v>260</v>
      </c>
      <c r="N1320" t="s">
        <v>357</v>
      </c>
      <c r="O1320" t="s">
        <v>2058</v>
      </c>
      <c r="P1320" t="s">
        <v>3708</v>
      </c>
      <c r="Q1320" t="s">
        <v>2281</v>
      </c>
    </row>
    <row r="1321" spans="1:17">
      <c r="A1321" s="2" t="s">
        <v>519</v>
      </c>
      <c r="B1321" s="2" t="s">
        <v>519</v>
      </c>
      <c r="C1321" s="2" t="s">
        <v>263</v>
      </c>
      <c r="D1321" s="11">
        <v>45980.246527777781</v>
      </c>
      <c r="E1321" s="11">
        <v>45980.246527777781</v>
      </c>
      <c r="F1321" s="11">
        <v>45980.3125</v>
      </c>
      <c r="G1321" s="12">
        <v>6.5972222218988463E-2</v>
      </c>
      <c r="H1321" s="2" t="s">
        <v>257</v>
      </c>
      <c r="J1321" s="2" t="s">
        <v>258</v>
      </c>
      <c r="K1321" s="2" t="s">
        <v>658</v>
      </c>
      <c r="L1321" s="2" t="s">
        <v>2057</v>
      </c>
      <c r="M1321" t="s">
        <v>260</v>
      </c>
      <c r="N1321" t="s">
        <v>357</v>
      </c>
      <c r="O1321" t="s">
        <v>2058</v>
      </c>
      <c r="P1321" t="s">
        <v>3709</v>
      </c>
      <c r="Q1321" t="s">
        <v>2281</v>
      </c>
    </row>
    <row r="1322" spans="1:17">
      <c r="A1322" s="2" t="s">
        <v>2195</v>
      </c>
      <c r="B1322" s="2" t="s">
        <v>543</v>
      </c>
      <c r="C1322" s="2" t="s">
        <v>2535</v>
      </c>
      <c r="D1322" s="11">
        <v>45980.255231481482</v>
      </c>
      <c r="E1322" s="11">
        <v>45980.255231481482</v>
      </c>
      <c r="F1322" s="11">
        <v>45980.262175925927</v>
      </c>
      <c r="G1322" s="12">
        <v>6.9444444452528842E-3</v>
      </c>
      <c r="H1322" s="2" t="s">
        <v>257</v>
      </c>
      <c r="J1322" s="2" t="s">
        <v>371</v>
      </c>
      <c r="K1322" s="2" t="s">
        <v>653</v>
      </c>
      <c r="L1322" s="2" t="s">
        <v>861</v>
      </c>
      <c r="M1322" t="s">
        <v>252</v>
      </c>
      <c r="N1322" t="s">
        <v>631</v>
      </c>
      <c r="P1322" t="s">
        <v>3710</v>
      </c>
      <c r="Q1322" t="s">
        <v>2537</v>
      </c>
    </row>
    <row r="1323" spans="1:17">
      <c r="A1323" s="2" t="s">
        <v>2195</v>
      </c>
      <c r="B1323" s="2" t="s">
        <v>543</v>
      </c>
      <c r="C1323" s="2" t="s">
        <v>2616</v>
      </c>
      <c r="D1323" s="11">
        <v>45980.255462962959</v>
      </c>
      <c r="E1323" s="11">
        <v>45980.255462962959</v>
      </c>
      <c r="F1323" s="11">
        <v>45980.28197916667</v>
      </c>
      <c r="G1323" s="12">
        <v>2.6516203710343689E-2</v>
      </c>
      <c r="H1323" s="2" t="s">
        <v>257</v>
      </c>
      <c r="J1323" s="2" t="s">
        <v>371</v>
      </c>
      <c r="K1323" s="2" t="s">
        <v>653</v>
      </c>
      <c r="L1323" s="2" t="s">
        <v>861</v>
      </c>
      <c r="M1323" t="s">
        <v>252</v>
      </c>
      <c r="N1323" t="s">
        <v>631</v>
      </c>
      <c r="P1323" t="s">
        <v>3711</v>
      </c>
      <c r="Q1323" t="s">
        <v>2537</v>
      </c>
    </row>
    <row r="1324" spans="1:17">
      <c r="A1324" s="2" t="s">
        <v>2195</v>
      </c>
      <c r="B1324" s="2" t="s">
        <v>543</v>
      </c>
      <c r="C1324" s="2" t="s">
        <v>2719</v>
      </c>
      <c r="D1324" s="11">
        <v>45980.255486111113</v>
      </c>
      <c r="E1324" s="11">
        <v>45980.255486111113</v>
      </c>
      <c r="F1324" s="11">
        <v>45980.28197916667</v>
      </c>
      <c r="G1324" s="12">
        <v>2.6493055556784384E-2</v>
      </c>
      <c r="H1324" s="2" t="s">
        <v>257</v>
      </c>
      <c r="J1324" s="2" t="s">
        <v>371</v>
      </c>
      <c r="K1324" s="2" t="s">
        <v>653</v>
      </c>
      <c r="L1324" s="2" t="s">
        <v>861</v>
      </c>
      <c r="M1324" t="s">
        <v>252</v>
      </c>
      <c r="N1324" t="s">
        <v>631</v>
      </c>
      <c r="P1324" t="s">
        <v>3712</v>
      </c>
      <c r="Q1324" t="s">
        <v>2537</v>
      </c>
    </row>
    <row r="1325" spans="1:17">
      <c r="A1325" s="2" t="s">
        <v>2195</v>
      </c>
      <c r="B1325" s="2" t="s">
        <v>543</v>
      </c>
      <c r="C1325" s="2" t="s">
        <v>2618</v>
      </c>
      <c r="D1325" s="11">
        <v>45980.255520833336</v>
      </c>
      <c r="E1325" s="11">
        <v>45980.255520833336</v>
      </c>
      <c r="F1325" s="11">
        <v>45980.28197916667</v>
      </c>
      <c r="G1325" s="12">
        <v>2.6458333333721384E-2</v>
      </c>
      <c r="H1325" s="2" t="s">
        <v>257</v>
      </c>
      <c r="J1325" s="2" t="s">
        <v>371</v>
      </c>
      <c r="K1325" s="2" t="s">
        <v>653</v>
      </c>
      <c r="L1325" s="2" t="s">
        <v>861</v>
      </c>
      <c r="M1325" t="s">
        <v>252</v>
      </c>
      <c r="N1325" t="s">
        <v>631</v>
      </c>
      <c r="P1325" t="s">
        <v>3713</v>
      </c>
      <c r="Q1325" t="s">
        <v>2537</v>
      </c>
    </row>
    <row r="1326" spans="1:17">
      <c r="A1326" s="2" t="s">
        <v>2195</v>
      </c>
      <c r="B1326" s="2" t="s">
        <v>543</v>
      </c>
      <c r="C1326" s="2" t="s">
        <v>2846</v>
      </c>
      <c r="D1326" s="11">
        <v>45980.255567129629</v>
      </c>
      <c r="E1326" s="11">
        <v>45980.255567129629</v>
      </c>
      <c r="F1326" s="11">
        <v>45980.28197916667</v>
      </c>
      <c r="G1326" s="12">
        <v>2.641203704115469E-2</v>
      </c>
      <c r="H1326" s="2" t="s">
        <v>257</v>
      </c>
      <c r="J1326" s="2" t="s">
        <v>371</v>
      </c>
      <c r="K1326" s="2" t="s">
        <v>653</v>
      </c>
      <c r="L1326" s="2" t="s">
        <v>861</v>
      </c>
      <c r="M1326" t="s">
        <v>252</v>
      </c>
      <c r="N1326" t="s">
        <v>631</v>
      </c>
      <c r="P1326" t="s">
        <v>3714</v>
      </c>
      <c r="Q1326" t="s">
        <v>2537</v>
      </c>
    </row>
    <row r="1327" spans="1:17">
      <c r="A1327" s="2" t="s">
        <v>305</v>
      </c>
      <c r="B1327" s="2" t="s">
        <v>305</v>
      </c>
      <c r="C1327" s="2" t="s">
        <v>256</v>
      </c>
      <c r="D1327" s="11">
        <v>45980.277777777781</v>
      </c>
      <c r="E1327" s="11">
        <v>45980.277777777781</v>
      </c>
      <c r="F1327" s="11">
        <v>45980.319444444445</v>
      </c>
      <c r="G1327" s="12">
        <v>4.1666666664241347E-2</v>
      </c>
      <c r="H1327" s="2" t="s">
        <v>257</v>
      </c>
      <c r="J1327" s="2" t="s">
        <v>258</v>
      </c>
      <c r="K1327" s="2" t="s">
        <v>658</v>
      </c>
      <c r="L1327" s="2" t="s">
        <v>3715</v>
      </c>
      <c r="M1327" t="s">
        <v>2108</v>
      </c>
      <c r="N1327" t="s">
        <v>357</v>
      </c>
      <c r="O1327" t="s">
        <v>3716</v>
      </c>
      <c r="P1327" t="s">
        <v>3717</v>
      </c>
      <c r="Q1327" t="s">
        <v>2281</v>
      </c>
    </row>
    <row r="1328" spans="1:17">
      <c r="A1328" s="2" t="s">
        <v>305</v>
      </c>
      <c r="B1328" s="2" t="s">
        <v>305</v>
      </c>
      <c r="C1328" s="2" t="s">
        <v>264</v>
      </c>
      <c r="D1328" s="11">
        <v>45980.277777777781</v>
      </c>
      <c r="E1328" s="11">
        <v>45980.277777777781</v>
      </c>
      <c r="F1328" s="11">
        <v>45980.319444444445</v>
      </c>
      <c r="G1328" s="12">
        <v>4.1666666664241347E-2</v>
      </c>
      <c r="H1328" s="2" t="s">
        <v>257</v>
      </c>
      <c r="J1328" s="2" t="s">
        <v>258</v>
      </c>
      <c r="K1328" s="2" t="s">
        <v>658</v>
      </c>
      <c r="L1328" s="2" t="s">
        <v>3715</v>
      </c>
      <c r="M1328" t="s">
        <v>2108</v>
      </c>
      <c r="N1328" t="s">
        <v>357</v>
      </c>
      <c r="O1328" t="s">
        <v>3716</v>
      </c>
      <c r="P1328" t="s">
        <v>3718</v>
      </c>
      <c r="Q1328" t="s">
        <v>2281</v>
      </c>
    </row>
    <row r="1329" spans="1:17">
      <c r="A1329" s="2" t="s">
        <v>305</v>
      </c>
      <c r="B1329" s="2" t="s">
        <v>305</v>
      </c>
      <c r="C1329" s="2" t="s">
        <v>263</v>
      </c>
      <c r="D1329" s="11">
        <v>45980.277777777781</v>
      </c>
      <c r="E1329" s="11">
        <v>45980.277777777781</v>
      </c>
      <c r="F1329" s="11">
        <v>45980.319444444445</v>
      </c>
      <c r="G1329" s="12">
        <v>4.1666666664241347E-2</v>
      </c>
      <c r="H1329" s="2" t="s">
        <v>257</v>
      </c>
      <c r="J1329" s="2" t="s">
        <v>258</v>
      </c>
      <c r="K1329" s="2" t="s">
        <v>658</v>
      </c>
      <c r="L1329" s="2" t="s">
        <v>3715</v>
      </c>
      <c r="M1329" t="s">
        <v>2108</v>
      </c>
      <c r="N1329" t="s">
        <v>357</v>
      </c>
      <c r="O1329" t="s">
        <v>3716</v>
      </c>
      <c r="P1329" t="s">
        <v>3719</v>
      </c>
      <c r="Q1329" t="s">
        <v>2281</v>
      </c>
    </row>
    <row r="1330" spans="1:17">
      <c r="A1330" s="2" t="s">
        <v>305</v>
      </c>
      <c r="B1330" s="2" t="s">
        <v>305</v>
      </c>
      <c r="C1330" s="2" t="s">
        <v>307</v>
      </c>
      <c r="D1330" s="11">
        <v>45980.277777777781</v>
      </c>
      <c r="E1330" s="11">
        <v>45980.277777777781</v>
      </c>
      <c r="F1330" s="11">
        <v>45980.319444444445</v>
      </c>
      <c r="G1330" s="12">
        <v>4.1666666664241347E-2</v>
      </c>
      <c r="H1330" s="2" t="s">
        <v>257</v>
      </c>
      <c r="J1330" s="2" t="s">
        <v>258</v>
      </c>
      <c r="K1330" s="2" t="s">
        <v>658</v>
      </c>
      <c r="L1330" s="2" t="s">
        <v>3715</v>
      </c>
      <c r="M1330" t="s">
        <v>2108</v>
      </c>
      <c r="N1330" t="s">
        <v>357</v>
      </c>
      <c r="O1330" t="s">
        <v>3716</v>
      </c>
      <c r="P1330" t="s">
        <v>3720</v>
      </c>
      <c r="Q1330" t="s">
        <v>2281</v>
      </c>
    </row>
    <row r="1331" spans="1:17">
      <c r="A1331" s="2" t="s">
        <v>308</v>
      </c>
      <c r="B1331" s="2" t="s">
        <v>308</v>
      </c>
      <c r="C1331" s="2" t="s">
        <v>256</v>
      </c>
      <c r="D1331" s="11">
        <v>45980.277777777781</v>
      </c>
      <c r="E1331" s="11">
        <v>45980.277777777781</v>
      </c>
      <c r="F1331" s="11">
        <v>45980.319444444445</v>
      </c>
      <c r="G1331" s="12">
        <v>4.1666666664241347E-2</v>
      </c>
      <c r="H1331" s="2" t="s">
        <v>257</v>
      </c>
      <c r="J1331" s="2" t="s">
        <v>258</v>
      </c>
      <c r="K1331" s="2" t="s">
        <v>658</v>
      </c>
      <c r="L1331" s="2" t="s">
        <v>3715</v>
      </c>
      <c r="M1331" t="s">
        <v>2108</v>
      </c>
      <c r="N1331" t="s">
        <v>357</v>
      </c>
      <c r="O1331" t="s">
        <v>3716</v>
      </c>
      <c r="P1331" t="s">
        <v>3721</v>
      </c>
      <c r="Q1331" t="s">
        <v>2281</v>
      </c>
    </row>
    <row r="1332" spans="1:17">
      <c r="A1332" s="2" t="s">
        <v>308</v>
      </c>
      <c r="B1332" s="2" t="s">
        <v>308</v>
      </c>
      <c r="C1332" s="2" t="s">
        <v>264</v>
      </c>
      <c r="D1332" s="11">
        <v>45980.277777777781</v>
      </c>
      <c r="E1332" s="11">
        <v>45980.277777777781</v>
      </c>
      <c r="F1332" s="11">
        <v>45980.319444444445</v>
      </c>
      <c r="G1332" s="12">
        <v>4.1666666664241347E-2</v>
      </c>
      <c r="H1332" s="2" t="s">
        <v>257</v>
      </c>
      <c r="J1332" s="2" t="s">
        <v>258</v>
      </c>
      <c r="K1332" s="2" t="s">
        <v>658</v>
      </c>
      <c r="L1332" s="2" t="s">
        <v>3715</v>
      </c>
      <c r="M1332" t="s">
        <v>2108</v>
      </c>
      <c r="N1332" t="s">
        <v>357</v>
      </c>
      <c r="O1332" t="s">
        <v>3716</v>
      </c>
      <c r="P1332" t="s">
        <v>3722</v>
      </c>
      <c r="Q1332" t="s">
        <v>2281</v>
      </c>
    </row>
    <row r="1333" spans="1:17">
      <c r="A1333" s="2" t="s">
        <v>308</v>
      </c>
      <c r="B1333" s="2" t="s">
        <v>308</v>
      </c>
      <c r="C1333" s="2" t="s">
        <v>263</v>
      </c>
      <c r="D1333" s="11">
        <v>45980.277777777781</v>
      </c>
      <c r="E1333" s="11">
        <v>45980.277777777781</v>
      </c>
      <c r="F1333" s="11">
        <v>45980.319444444445</v>
      </c>
      <c r="G1333" s="12">
        <v>4.1666666664241347E-2</v>
      </c>
      <c r="H1333" s="2" t="s">
        <v>257</v>
      </c>
      <c r="J1333" s="2" t="s">
        <v>258</v>
      </c>
      <c r="K1333" s="2" t="s">
        <v>658</v>
      </c>
      <c r="L1333" s="2" t="s">
        <v>3715</v>
      </c>
      <c r="M1333" t="s">
        <v>2108</v>
      </c>
      <c r="N1333" t="s">
        <v>357</v>
      </c>
      <c r="O1333" t="s">
        <v>3716</v>
      </c>
      <c r="P1333" t="s">
        <v>3723</v>
      </c>
      <c r="Q1333" t="s">
        <v>2281</v>
      </c>
    </row>
    <row r="1334" spans="1:17">
      <c r="A1334" s="2" t="s">
        <v>308</v>
      </c>
      <c r="B1334" s="2" t="s">
        <v>308</v>
      </c>
      <c r="C1334" s="2" t="s">
        <v>307</v>
      </c>
      <c r="D1334" s="11">
        <v>45980.277777777781</v>
      </c>
      <c r="E1334" s="11">
        <v>45980.277777777781</v>
      </c>
      <c r="F1334" s="11">
        <v>45980.319444444445</v>
      </c>
      <c r="G1334" s="12">
        <v>4.1666666664241347E-2</v>
      </c>
      <c r="H1334" s="2" t="s">
        <v>257</v>
      </c>
      <c r="J1334" s="2" t="s">
        <v>258</v>
      </c>
      <c r="K1334" s="2" t="s">
        <v>658</v>
      </c>
      <c r="L1334" s="2" t="s">
        <v>3715</v>
      </c>
      <c r="M1334" t="s">
        <v>2108</v>
      </c>
      <c r="N1334" t="s">
        <v>357</v>
      </c>
      <c r="O1334" t="s">
        <v>3716</v>
      </c>
      <c r="P1334" t="s">
        <v>3724</v>
      </c>
      <c r="Q1334" t="s">
        <v>2281</v>
      </c>
    </row>
    <row r="1335" spans="1:17">
      <c r="A1335" s="2" t="s">
        <v>309</v>
      </c>
      <c r="B1335" s="2" t="s">
        <v>309</v>
      </c>
      <c r="C1335" s="2" t="s">
        <v>310</v>
      </c>
      <c r="D1335" s="11">
        <v>45980.277777777781</v>
      </c>
      <c r="E1335" s="11">
        <v>45980.277777777781</v>
      </c>
      <c r="F1335" s="11">
        <v>45980.319444444445</v>
      </c>
      <c r="G1335" s="12">
        <v>4.1666666664241347E-2</v>
      </c>
      <c r="H1335" s="2" t="s">
        <v>257</v>
      </c>
      <c r="J1335" s="2" t="s">
        <v>258</v>
      </c>
      <c r="K1335" s="2" t="s">
        <v>658</v>
      </c>
      <c r="L1335" s="2" t="s">
        <v>3715</v>
      </c>
      <c r="M1335" t="s">
        <v>2108</v>
      </c>
      <c r="N1335" t="s">
        <v>357</v>
      </c>
      <c r="O1335" t="s">
        <v>3716</v>
      </c>
      <c r="P1335" t="s">
        <v>3725</v>
      </c>
      <c r="Q1335" t="s">
        <v>2281</v>
      </c>
    </row>
    <row r="1336" spans="1:17">
      <c r="A1336" s="2" t="s">
        <v>309</v>
      </c>
      <c r="B1336" s="2" t="s">
        <v>309</v>
      </c>
      <c r="C1336" s="2" t="s">
        <v>247</v>
      </c>
      <c r="D1336" s="11">
        <v>45980.277777777781</v>
      </c>
      <c r="E1336" s="11">
        <v>45980.277777777781</v>
      </c>
      <c r="F1336" s="11">
        <v>45980.319444444445</v>
      </c>
      <c r="G1336" s="12">
        <v>4.1666666664241347E-2</v>
      </c>
      <c r="H1336" s="2" t="s">
        <v>257</v>
      </c>
      <c r="J1336" s="2" t="s">
        <v>258</v>
      </c>
      <c r="K1336" s="2" t="s">
        <v>658</v>
      </c>
      <c r="L1336" s="2" t="s">
        <v>3715</v>
      </c>
      <c r="M1336" t="s">
        <v>2108</v>
      </c>
      <c r="N1336" t="s">
        <v>357</v>
      </c>
      <c r="O1336" t="s">
        <v>3716</v>
      </c>
      <c r="P1336" t="s">
        <v>3726</v>
      </c>
      <c r="Q1336" t="s">
        <v>2281</v>
      </c>
    </row>
    <row r="1337" spans="1:17">
      <c r="A1337" s="2" t="s">
        <v>2195</v>
      </c>
      <c r="B1337" s="2" t="s">
        <v>543</v>
      </c>
      <c r="C1337" s="2" t="s">
        <v>2535</v>
      </c>
      <c r="D1337" s="11">
        <v>45980.283865740741</v>
      </c>
      <c r="E1337" s="11">
        <v>45980.283865740741</v>
      </c>
      <c r="F1337" s="11">
        <v>45980.29078703704</v>
      </c>
      <c r="G1337" s="12">
        <v>6.921296298969537E-3</v>
      </c>
      <c r="H1337" s="2" t="s">
        <v>257</v>
      </c>
      <c r="J1337" s="2" t="s">
        <v>371</v>
      </c>
      <c r="K1337" s="2" t="s">
        <v>653</v>
      </c>
      <c r="L1337" s="2" t="s">
        <v>861</v>
      </c>
      <c r="M1337" t="s">
        <v>252</v>
      </c>
      <c r="N1337" t="s">
        <v>631</v>
      </c>
      <c r="P1337" t="s">
        <v>3727</v>
      </c>
      <c r="Q1337" t="s">
        <v>2537</v>
      </c>
    </row>
    <row r="1338" spans="1:17">
      <c r="A1338" s="2" t="s">
        <v>2195</v>
      </c>
      <c r="B1338" s="2" t="s">
        <v>543</v>
      </c>
      <c r="C1338" s="2" t="s">
        <v>2618</v>
      </c>
      <c r="D1338" s="11">
        <v>45980.284074074072</v>
      </c>
      <c r="E1338" s="11">
        <v>45980.284074074072</v>
      </c>
      <c r="F1338" s="11">
        <v>45980.291006944448</v>
      </c>
      <c r="G1338" s="12">
        <v>6.9328703757491894E-3</v>
      </c>
      <c r="H1338" s="2" t="s">
        <v>257</v>
      </c>
      <c r="J1338" s="2" t="s">
        <v>371</v>
      </c>
      <c r="K1338" s="2" t="s">
        <v>653</v>
      </c>
      <c r="L1338" s="2" t="s">
        <v>861</v>
      </c>
      <c r="M1338" t="s">
        <v>252</v>
      </c>
      <c r="N1338" t="s">
        <v>631</v>
      </c>
      <c r="P1338" t="s">
        <v>3728</v>
      </c>
      <c r="Q1338" t="s">
        <v>2537</v>
      </c>
    </row>
    <row r="1339" spans="1:17">
      <c r="A1339" s="2" t="s">
        <v>2195</v>
      </c>
      <c r="B1339" s="2" t="s">
        <v>543</v>
      </c>
      <c r="C1339" s="2" t="s">
        <v>2616</v>
      </c>
      <c r="D1339" s="11">
        <v>45980.284085648149</v>
      </c>
      <c r="E1339" s="11">
        <v>45980.284085648149</v>
      </c>
      <c r="F1339" s="11">
        <v>45980.291030092594</v>
      </c>
      <c r="G1339" s="12">
        <v>6.9444444452528842E-3</v>
      </c>
      <c r="H1339" s="2" t="s">
        <v>257</v>
      </c>
      <c r="J1339" s="2" t="s">
        <v>371</v>
      </c>
      <c r="K1339" s="2" t="s">
        <v>653</v>
      </c>
      <c r="L1339" s="2" t="s">
        <v>861</v>
      </c>
      <c r="M1339" t="s">
        <v>252</v>
      </c>
      <c r="N1339" t="s">
        <v>631</v>
      </c>
      <c r="P1339" t="s">
        <v>3729</v>
      </c>
      <c r="Q1339" t="s">
        <v>2537</v>
      </c>
    </row>
    <row r="1340" spans="1:17">
      <c r="A1340" s="2" t="s">
        <v>2195</v>
      </c>
      <c r="B1340" s="2" t="s">
        <v>543</v>
      </c>
      <c r="C1340" s="2" t="s">
        <v>2846</v>
      </c>
      <c r="D1340" s="11">
        <v>45980.284131944441</v>
      </c>
      <c r="E1340" s="11">
        <v>45980.284131944441</v>
      </c>
      <c r="F1340" s="11">
        <v>45980.291087962964</v>
      </c>
      <c r="G1340" s="12">
        <v>6.9560185220325366E-3</v>
      </c>
      <c r="H1340" s="2" t="s">
        <v>257</v>
      </c>
      <c r="J1340" s="2" t="s">
        <v>371</v>
      </c>
      <c r="K1340" s="2" t="s">
        <v>653</v>
      </c>
      <c r="L1340" s="2" t="s">
        <v>861</v>
      </c>
      <c r="M1340" t="s">
        <v>252</v>
      </c>
      <c r="N1340" t="s">
        <v>631</v>
      </c>
      <c r="P1340" t="s">
        <v>3730</v>
      </c>
      <c r="Q1340" t="s">
        <v>2537</v>
      </c>
    </row>
    <row r="1341" spans="1:17">
      <c r="A1341" s="2" t="s">
        <v>2195</v>
      </c>
      <c r="B1341" s="2" t="s">
        <v>543</v>
      </c>
      <c r="C1341" s="2" t="s">
        <v>2719</v>
      </c>
      <c r="D1341" s="11">
        <v>45980.284131944441</v>
      </c>
      <c r="E1341" s="11">
        <v>45980.284131944441</v>
      </c>
      <c r="F1341" s="11">
        <v>45980.291064814817</v>
      </c>
      <c r="G1341" s="12">
        <v>6.9328703757491894E-3</v>
      </c>
      <c r="H1341" s="2" t="s">
        <v>257</v>
      </c>
      <c r="J1341" s="2" t="s">
        <v>371</v>
      </c>
      <c r="K1341" s="2" t="s">
        <v>653</v>
      </c>
      <c r="L1341" s="2" t="s">
        <v>861</v>
      </c>
      <c r="M1341" t="s">
        <v>252</v>
      </c>
      <c r="N1341" t="s">
        <v>631</v>
      </c>
      <c r="P1341" t="s">
        <v>3731</v>
      </c>
      <c r="Q1341" t="s">
        <v>2537</v>
      </c>
    </row>
    <row r="1342" spans="1:17">
      <c r="A1342" s="2" t="s">
        <v>2195</v>
      </c>
      <c r="B1342" s="2" t="s">
        <v>543</v>
      </c>
      <c r="C1342" s="2" t="s">
        <v>2848</v>
      </c>
      <c r="D1342" s="11">
        <v>45980.284247685187</v>
      </c>
      <c r="E1342" s="11">
        <v>45980.284247685187</v>
      </c>
      <c r="F1342" s="11">
        <v>45980.291215277779</v>
      </c>
      <c r="G1342" s="12">
        <v>6.9675925915362313E-3</v>
      </c>
      <c r="H1342" s="2" t="s">
        <v>257</v>
      </c>
      <c r="J1342" s="2" t="s">
        <v>371</v>
      </c>
      <c r="K1342" s="2" t="s">
        <v>653</v>
      </c>
      <c r="L1342" s="2" t="s">
        <v>861</v>
      </c>
      <c r="M1342" t="s">
        <v>252</v>
      </c>
      <c r="N1342" t="s">
        <v>631</v>
      </c>
      <c r="P1342" t="s">
        <v>3732</v>
      </c>
      <c r="Q1342" t="s">
        <v>2537</v>
      </c>
    </row>
    <row r="1343" spans="1:17">
      <c r="A1343" s="2" t="s">
        <v>2195</v>
      </c>
      <c r="B1343" s="2" t="s">
        <v>543</v>
      </c>
      <c r="C1343" s="2" t="s">
        <v>556</v>
      </c>
      <c r="D1343" s="11">
        <v>45980.284259259257</v>
      </c>
      <c r="E1343" s="11">
        <v>45980.284259259257</v>
      </c>
      <c r="F1343" s="11">
        <v>45980.291238425925</v>
      </c>
      <c r="G1343" s="12">
        <v>6.9791666683158837E-3</v>
      </c>
      <c r="H1343" s="2" t="s">
        <v>257</v>
      </c>
      <c r="J1343" s="2" t="s">
        <v>371</v>
      </c>
      <c r="K1343" s="2" t="s">
        <v>653</v>
      </c>
      <c r="L1343" s="2" t="s">
        <v>861</v>
      </c>
      <c r="M1343" t="s">
        <v>252</v>
      </c>
      <c r="N1343" t="s">
        <v>631</v>
      </c>
      <c r="P1343" t="s">
        <v>3733</v>
      </c>
      <c r="Q1343" t="s">
        <v>2537</v>
      </c>
    </row>
    <row r="1344" spans="1:17">
      <c r="A1344" s="2" t="s">
        <v>2195</v>
      </c>
      <c r="B1344" s="2" t="s">
        <v>543</v>
      </c>
      <c r="C1344" s="2" t="s">
        <v>2535</v>
      </c>
      <c r="D1344" s="11">
        <v>45981.259456018517</v>
      </c>
      <c r="E1344" s="11">
        <v>45981.259456018517</v>
      </c>
      <c r="F1344" s="11">
        <v>45981.266400462962</v>
      </c>
      <c r="G1344" s="12">
        <v>6.9444444452528842E-3</v>
      </c>
      <c r="H1344" s="2" t="s">
        <v>257</v>
      </c>
      <c r="J1344" s="2" t="s">
        <v>371</v>
      </c>
      <c r="K1344" s="2" t="s">
        <v>653</v>
      </c>
      <c r="L1344" s="2" t="s">
        <v>861</v>
      </c>
      <c r="M1344" t="s">
        <v>252</v>
      </c>
      <c r="N1344" t="s">
        <v>631</v>
      </c>
      <c r="P1344" t="s">
        <v>3734</v>
      </c>
      <c r="Q1344" t="s">
        <v>2537</v>
      </c>
    </row>
    <row r="1345" spans="1:17">
      <c r="A1345" s="2" t="s">
        <v>2195</v>
      </c>
      <c r="B1345" s="2" t="s">
        <v>543</v>
      </c>
      <c r="C1345" s="2" t="s">
        <v>2616</v>
      </c>
      <c r="D1345" s="11">
        <v>45981.259502314817</v>
      </c>
      <c r="E1345" s="11">
        <v>45981.259502314817</v>
      </c>
      <c r="F1345" s="11">
        <v>45981.266481481478</v>
      </c>
      <c r="G1345" s="12">
        <v>6.9791666610399261E-3</v>
      </c>
      <c r="H1345" s="2" t="s">
        <v>257</v>
      </c>
      <c r="J1345" s="2" t="s">
        <v>371</v>
      </c>
      <c r="K1345" s="2" t="s">
        <v>653</v>
      </c>
      <c r="L1345" s="2" t="s">
        <v>861</v>
      </c>
      <c r="M1345" t="s">
        <v>252</v>
      </c>
      <c r="N1345" t="s">
        <v>631</v>
      </c>
      <c r="P1345" t="s">
        <v>3735</v>
      </c>
      <c r="Q1345" t="s">
        <v>2537</v>
      </c>
    </row>
    <row r="1346" spans="1:17">
      <c r="A1346" s="2" t="s">
        <v>2195</v>
      </c>
      <c r="B1346" s="2" t="s">
        <v>543</v>
      </c>
      <c r="C1346" s="2" t="s">
        <v>2618</v>
      </c>
      <c r="D1346" s="11">
        <v>45981.259965277779</v>
      </c>
      <c r="E1346" s="11">
        <v>45981.259965277779</v>
      </c>
      <c r="F1346" s="11">
        <v>45981.282002314816</v>
      </c>
      <c r="G1346" s="12">
        <v>2.2037037037080154E-2</v>
      </c>
      <c r="H1346" s="2" t="s">
        <v>257</v>
      </c>
      <c r="J1346" s="2" t="s">
        <v>371</v>
      </c>
      <c r="K1346" s="2" t="s">
        <v>653</v>
      </c>
      <c r="L1346" s="2" t="s">
        <v>861</v>
      </c>
      <c r="M1346" t="s">
        <v>252</v>
      </c>
      <c r="N1346" t="s">
        <v>631</v>
      </c>
      <c r="P1346" t="s">
        <v>3736</v>
      </c>
      <c r="Q1346" t="s">
        <v>2537</v>
      </c>
    </row>
    <row r="1347" spans="1:17">
      <c r="A1347" s="2" t="s">
        <v>2195</v>
      </c>
      <c r="B1347" s="2" t="s">
        <v>543</v>
      </c>
      <c r="C1347" s="2" t="s">
        <v>2848</v>
      </c>
      <c r="D1347" s="11">
        <v>45981.260150462964</v>
      </c>
      <c r="E1347" s="11">
        <v>45981.260150462964</v>
      </c>
      <c r="F1347" s="11">
        <v>45981.282002314816</v>
      </c>
      <c r="G1347" s="12">
        <v>2.1851851852261461E-2</v>
      </c>
      <c r="H1347" s="2" t="s">
        <v>257</v>
      </c>
      <c r="J1347" s="2" t="s">
        <v>371</v>
      </c>
      <c r="K1347" s="2" t="s">
        <v>653</v>
      </c>
      <c r="L1347" s="2" t="s">
        <v>861</v>
      </c>
      <c r="M1347" t="s">
        <v>252</v>
      </c>
      <c r="N1347" t="s">
        <v>631</v>
      </c>
      <c r="P1347" t="s">
        <v>3737</v>
      </c>
      <c r="Q1347" t="s">
        <v>2537</v>
      </c>
    </row>
    <row r="1348" spans="1:17">
      <c r="A1348" s="2" t="s">
        <v>2195</v>
      </c>
      <c r="B1348" s="2" t="s">
        <v>543</v>
      </c>
      <c r="C1348" s="2" t="s">
        <v>2719</v>
      </c>
      <c r="D1348" s="11">
        <v>45981.260196759256</v>
      </c>
      <c r="E1348" s="11">
        <v>45981.260196759256</v>
      </c>
      <c r="F1348" s="11">
        <v>45981.282002314816</v>
      </c>
      <c r="G1348" s="12">
        <v>2.1805555559694767E-2</v>
      </c>
      <c r="H1348" s="2" t="s">
        <v>257</v>
      </c>
      <c r="J1348" s="2" t="s">
        <v>371</v>
      </c>
      <c r="K1348" s="2" t="s">
        <v>653</v>
      </c>
      <c r="L1348" s="2" t="s">
        <v>861</v>
      </c>
      <c r="M1348" t="s">
        <v>252</v>
      </c>
      <c r="N1348" t="s">
        <v>631</v>
      </c>
      <c r="P1348" t="s">
        <v>3738</v>
      </c>
      <c r="Q1348" t="s">
        <v>2537</v>
      </c>
    </row>
    <row r="1349" spans="1:17">
      <c r="A1349" s="2" t="s">
        <v>2195</v>
      </c>
      <c r="B1349" s="2" t="s">
        <v>543</v>
      </c>
      <c r="C1349" s="2" t="s">
        <v>2846</v>
      </c>
      <c r="D1349" s="11">
        <v>45981.260254629633</v>
      </c>
      <c r="E1349" s="11">
        <v>45981.260254629633</v>
      </c>
      <c r="F1349" s="11">
        <v>45981.282002314816</v>
      </c>
      <c r="G1349" s="12">
        <v>2.1747685183072463E-2</v>
      </c>
      <c r="H1349" s="2" t="s">
        <v>257</v>
      </c>
      <c r="J1349" s="2" t="s">
        <v>371</v>
      </c>
      <c r="K1349" s="2" t="s">
        <v>653</v>
      </c>
      <c r="L1349" s="2" t="s">
        <v>861</v>
      </c>
      <c r="M1349" t="s">
        <v>252</v>
      </c>
      <c r="N1349" t="s">
        <v>631</v>
      </c>
      <c r="P1349" t="s">
        <v>3739</v>
      </c>
      <c r="Q1349" t="s">
        <v>2537</v>
      </c>
    </row>
    <row r="1350" spans="1:17">
      <c r="A1350" s="2" t="s">
        <v>2195</v>
      </c>
      <c r="B1350" s="2" t="s">
        <v>543</v>
      </c>
      <c r="C1350" s="2" t="s">
        <v>2848</v>
      </c>
      <c r="D1350" s="11">
        <v>45981.288819444446</v>
      </c>
      <c r="E1350" s="11">
        <v>45981.288819444446</v>
      </c>
      <c r="F1350" s="11">
        <v>45981.29583333333</v>
      </c>
      <c r="G1350" s="12">
        <v>7.0138888841029257E-3</v>
      </c>
      <c r="H1350" s="2" t="s">
        <v>257</v>
      </c>
      <c r="J1350" s="2" t="s">
        <v>371</v>
      </c>
      <c r="K1350" s="2" t="s">
        <v>653</v>
      </c>
      <c r="L1350" s="2" t="s">
        <v>861</v>
      </c>
      <c r="M1350" t="s">
        <v>252</v>
      </c>
      <c r="N1350" t="s">
        <v>631</v>
      </c>
      <c r="P1350" t="s">
        <v>3740</v>
      </c>
      <c r="Q1350" t="s">
        <v>2537</v>
      </c>
    </row>
    <row r="1351" spans="1:17">
      <c r="A1351" s="2" t="s">
        <v>2195</v>
      </c>
      <c r="B1351" s="2" t="s">
        <v>543</v>
      </c>
      <c r="C1351" s="2" t="s">
        <v>2846</v>
      </c>
      <c r="D1351" s="11">
        <v>45981.288900462961</v>
      </c>
      <c r="E1351" s="11">
        <v>45981.288900462961</v>
      </c>
      <c r="F1351" s="11">
        <v>45981.295798611114</v>
      </c>
      <c r="G1351" s="12">
        <v>6.8981481526861899E-3</v>
      </c>
      <c r="H1351" s="2" t="s">
        <v>257</v>
      </c>
      <c r="J1351" s="2" t="s">
        <v>371</v>
      </c>
      <c r="K1351" s="2" t="s">
        <v>653</v>
      </c>
      <c r="L1351" s="2" t="s">
        <v>861</v>
      </c>
      <c r="M1351" t="s">
        <v>252</v>
      </c>
      <c r="N1351" t="s">
        <v>631</v>
      </c>
      <c r="P1351" t="s">
        <v>3741</v>
      </c>
      <c r="Q1351" t="s">
        <v>2537</v>
      </c>
    </row>
    <row r="1352" spans="1:17">
      <c r="A1352" s="2" t="s">
        <v>265</v>
      </c>
      <c r="B1352" s="2" t="s">
        <v>265</v>
      </c>
      <c r="C1352" s="2" t="s">
        <v>263</v>
      </c>
      <c r="D1352" s="11">
        <v>45982.239583333336</v>
      </c>
      <c r="E1352" s="11">
        <v>45982.239583333336</v>
      </c>
      <c r="F1352" s="11">
        <v>45982.3125</v>
      </c>
      <c r="G1352" s="12">
        <v>7.2916666664241347E-2</v>
      </c>
      <c r="H1352" s="2" t="s">
        <v>257</v>
      </c>
      <c r="J1352" s="2" t="s">
        <v>230</v>
      </c>
      <c r="K1352" s="2" t="s">
        <v>230</v>
      </c>
      <c r="L1352" s="2" t="s">
        <v>3742</v>
      </c>
      <c r="M1352" t="s">
        <v>499</v>
      </c>
      <c r="N1352" t="s">
        <v>253</v>
      </c>
      <c r="O1352" t="s">
        <v>3716</v>
      </c>
      <c r="P1352" t="s">
        <v>3743</v>
      </c>
      <c r="Q1352" t="s">
        <v>3005</v>
      </c>
    </row>
    <row r="1353" spans="1:17">
      <c r="A1353" s="2" t="s">
        <v>265</v>
      </c>
      <c r="B1353" s="2" t="s">
        <v>265</v>
      </c>
      <c r="C1353" s="2" t="s">
        <v>264</v>
      </c>
      <c r="D1353" s="11">
        <v>45982.239583333336</v>
      </c>
      <c r="E1353" s="11">
        <v>45982.239583333336</v>
      </c>
      <c r="F1353" s="11">
        <v>45982.3125</v>
      </c>
      <c r="G1353" s="12">
        <v>7.2916666664241347E-2</v>
      </c>
      <c r="H1353" s="2" t="s">
        <v>257</v>
      </c>
      <c r="J1353" s="2" t="s">
        <v>230</v>
      </c>
      <c r="K1353" s="2" t="s">
        <v>230</v>
      </c>
      <c r="L1353" s="2" t="s">
        <v>3742</v>
      </c>
      <c r="M1353" t="s">
        <v>499</v>
      </c>
      <c r="N1353" t="s">
        <v>253</v>
      </c>
      <c r="O1353" t="s">
        <v>3716</v>
      </c>
      <c r="P1353" t="s">
        <v>3744</v>
      </c>
      <c r="Q1353" t="s">
        <v>3005</v>
      </c>
    </row>
    <row r="1354" spans="1:17">
      <c r="A1354" s="2" t="s">
        <v>265</v>
      </c>
      <c r="B1354" s="2" t="s">
        <v>265</v>
      </c>
      <c r="C1354" s="2" t="s">
        <v>256</v>
      </c>
      <c r="D1354" s="11">
        <v>45982.239583333336</v>
      </c>
      <c r="E1354" s="11">
        <v>45982.239583333336</v>
      </c>
      <c r="F1354" s="11">
        <v>45982.3125</v>
      </c>
      <c r="G1354" s="12">
        <v>7.2916666664241347E-2</v>
      </c>
      <c r="H1354" s="2" t="s">
        <v>257</v>
      </c>
      <c r="J1354" s="2" t="s">
        <v>230</v>
      </c>
      <c r="K1354" s="2" t="s">
        <v>230</v>
      </c>
      <c r="L1354" s="2" t="s">
        <v>3742</v>
      </c>
      <c r="M1354" t="s">
        <v>499</v>
      </c>
      <c r="N1354" t="s">
        <v>253</v>
      </c>
      <c r="O1354" t="s">
        <v>3716</v>
      </c>
      <c r="P1354" t="s">
        <v>3745</v>
      </c>
      <c r="Q1354" t="s">
        <v>3005</v>
      </c>
    </row>
    <row r="1355" spans="1:17">
      <c r="A1355" s="2" t="s">
        <v>265</v>
      </c>
      <c r="B1355" s="2" t="s">
        <v>265</v>
      </c>
      <c r="C1355" s="2" t="s">
        <v>247</v>
      </c>
      <c r="D1355" s="11">
        <v>45982.239583333336</v>
      </c>
      <c r="E1355" s="11">
        <v>45982.239583333336</v>
      </c>
      <c r="F1355" s="11">
        <v>45982.3125</v>
      </c>
      <c r="G1355" s="12">
        <v>7.2916666664241347E-2</v>
      </c>
      <c r="H1355" s="2" t="s">
        <v>257</v>
      </c>
      <c r="J1355" s="2" t="s">
        <v>230</v>
      </c>
      <c r="K1355" s="2" t="s">
        <v>230</v>
      </c>
      <c r="L1355" s="2" t="s">
        <v>3742</v>
      </c>
      <c r="M1355" t="s">
        <v>499</v>
      </c>
      <c r="N1355" t="s">
        <v>253</v>
      </c>
      <c r="O1355" t="s">
        <v>3716</v>
      </c>
      <c r="P1355" t="s">
        <v>3746</v>
      </c>
      <c r="Q1355" t="s">
        <v>3005</v>
      </c>
    </row>
    <row r="1356" spans="1:17">
      <c r="A1356" s="2" t="s">
        <v>286</v>
      </c>
      <c r="B1356" s="2" t="s">
        <v>286</v>
      </c>
      <c r="C1356" s="2" t="s">
        <v>294</v>
      </c>
      <c r="D1356" s="11">
        <v>45982.35833333333</v>
      </c>
      <c r="E1356" s="11">
        <v>45982.35833333333</v>
      </c>
      <c r="F1356" s="11">
        <v>45982.359027777777</v>
      </c>
      <c r="G1356" s="12">
        <v>6.944444467080757E-4</v>
      </c>
      <c r="H1356" s="2" t="s">
        <v>268</v>
      </c>
      <c r="I1356" s="2" t="s">
        <v>269</v>
      </c>
      <c r="J1356" s="2" t="s">
        <v>319</v>
      </c>
      <c r="K1356" s="2" t="s">
        <v>652</v>
      </c>
      <c r="L1356" s="2" t="s">
        <v>3747</v>
      </c>
      <c r="M1356" t="s">
        <v>289</v>
      </c>
      <c r="N1356" t="s">
        <v>253</v>
      </c>
      <c r="O1356" t="s">
        <v>1956</v>
      </c>
      <c r="P1356" t="s">
        <v>3748</v>
      </c>
      <c r="Q1356" t="s">
        <v>2713</v>
      </c>
    </row>
    <row r="1357" spans="1:17">
      <c r="A1357" s="2" t="s">
        <v>286</v>
      </c>
      <c r="B1357" s="2" t="s">
        <v>286</v>
      </c>
      <c r="C1357" s="2" t="s">
        <v>295</v>
      </c>
      <c r="D1357" s="11">
        <v>45982.35833333333</v>
      </c>
      <c r="E1357" s="11">
        <v>45982.35833333333</v>
      </c>
      <c r="F1357" s="11">
        <v>45982.359027777777</v>
      </c>
      <c r="G1357" s="12">
        <v>6.944444467080757E-4</v>
      </c>
      <c r="H1357" s="2" t="s">
        <v>268</v>
      </c>
      <c r="I1357" s="2" t="s">
        <v>269</v>
      </c>
      <c r="J1357" s="2" t="s">
        <v>319</v>
      </c>
      <c r="K1357" s="2" t="s">
        <v>652</v>
      </c>
      <c r="L1357" s="2" t="s">
        <v>3747</v>
      </c>
      <c r="M1357" t="s">
        <v>289</v>
      </c>
      <c r="N1357" t="s">
        <v>253</v>
      </c>
      <c r="O1357" t="s">
        <v>1956</v>
      </c>
      <c r="P1357" t="s">
        <v>3749</v>
      </c>
      <c r="Q1357" t="s">
        <v>2713</v>
      </c>
    </row>
    <row r="1358" spans="1:17">
      <c r="A1358" s="2" t="s">
        <v>286</v>
      </c>
      <c r="B1358" s="2" t="s">
        <v>286</v>
      </c>
      <c r="C1358" s="2" t="s">
        <v>293</v>
      </c>
      <c r="D1358" s="11">
        <v>45982.35833333333</v>
      </c>
      <c r="E1358" s="11">
        <v>45982.35833333333</v>
      </c>
      <c r="F1358" s="11">
        <v>45982.359027777777</v>
      </c>
      <c r="G1358" s="12">
        <v>6.944444467080757E-4</v>
      </c>
      <c r="H1358" s="2" t="s">
        <v>268</v>
      </c>
      <c r="I1358" s="2" t="s">
        <v>269</v>
      </c>
      <c r="J1358" s="2" t="s">
        <v>319</v>
      </c>
      <c r="K1358" s="2" t="s">
        <v>652</v>
      </c>
      <c r="L1358" s="2" t="s">
        <v>3747</v>
      </c>
      <c r="M1358" t="s">
        <v>289</v>
      </c>
      <c r="N1358" t="s">
        <v>253</v>
      </c>
      <c r="O1358" t="s">
        <v>1956</v>
      </c>
      <c r="P1358" t="s">
        <v>3750</v>
      </c>
      <c r="Q1358" t="s">
        <v>2713</v>
      </c>
    </row>
    <row r="1359" spans="1:17">
      <c r="A1359" s="2" t="s">
        <v>286</v>
      </c>
      <c r="B1359" s="2" t="s">
        <v>286</v>
      </c>
      <c r="C1359" s="2" t="s">
        <v>287</v>
      </c>
      <c r="D1359" s="11">
        <v>45982.35833333333</v>
      </c>
      <c r="E1359" s="11">
        <v>45982.35833333333</v>
      </c>
      <c r="F1359" s="11">
        <v>45982.359027777777</v>
      </c>
      <c r="G1359" s="12">
        <v>6.944444467080757E-4</v>
      </c>
      <c r="H1359" s="2" t="s">
        <v>268</v>
      </c>
      <c r="I1359" s="2" t="s">
        <v>269</v>
      </c>
      <c r="J1359" s="2" t="s">
        <v>319</v>
      </c>
      <c r="K1359" s="2" t="s">
        <v>652</v>
      </c>
      <c r="L1359" s="2" t="s">
        <v>3747</v>
      </c>
      <c r="M1359" t="s">
        <v>289</v>
      </c>
      <c r="N1359" t="s">
        <v>253</v>
      </c>
      <c r="O1359" t="s">
        <v>1956</v>
      </c>
      <c r="P1359" t="s">
        <v>3751</v>
      </c>
      <c r="Q1359" t="s">
        <v>2713</v>
      </c>
    </row>
    <row r="1360" spans="1:17">
      <c r="A1360" s="2" t="s">
        <v>286</v>
      </c>
      <c r="B1360" s="2" t="s">
        <v>286</v>
      </c>
      <c r="C1360" s="2" t="s">
        <v>292</v>
      </c>
      <c r="D1360" s="11">
        <v>45982.35833333333</v>
      </c>
      <c r="E1360" s="11">
        <v>45982.35833333333</v>
      </c>
      <c r="F1360" s="11">
        <v>45982.359027777777</v>
      </c>
      <c r="G1360" s="12">
        <v>6.944444467080757E-4</v>
      </c>
      <c r="H1360" s="2" t="s">
        <v>268</v>
      </c>
      <c r="I1360" s="2" t="s">
        <v>269</v>
      </c>
      <c r="J1360" s="2" t="s">
        <v>319</v>
      </c>
      <c r="K1360" s="2" t="s">
        <v>652</v>
      </c>
      <c r="L1360" s="2" t="s">
        <v>3747</v>
      </c>
      <c r="M1360" t="s">
        <v>289</v>
      </c>
      <c r="N1360" t="s">
        <v>253</v>
      </c>
      <c r="O1360" t="s">
        <v>1956</v>
      </c>
      <c r="P1360" t="s">
        <v>3752</v>
      </c>
      <c r="Q1360" t="s">
        <v>2713</v>
      </c>
    </row>
    <row r="1361" spans="1:17">
      <c r="A1361" s="2" t="s">
        <v>442</v>
      </c>
      <c r="B1361" s="2" t="s">
        <v>442</v>
      </c>
      <c r="C1361" s="2" t="s">
        <v>256</v>
      </c>
      <c r="D1361" s="11">
        <v>45982.4375</v>
      </c>
      <c r="E1361" s="11">
        <v>45982.4375</v>
      </c>
      <c r="F1361" s="11">
        <v>45982.5</v>
      </c>
      <c r="G1361" s="12">
        <v>6.25E-2</v>
      </c>
      <c r="H1361" s="2" t="s">
        <v>677</v>
      </c>
      <c r="J1361" s="2" t="s">
        <v>230</v>
      </c>
      <c r="K1361" s="2" t="s">
        <v>230</v>
      </c>
      <c r="L1361" s="2" t="s">
        <v>3753</v>
      </c>
      <c r="M1361" t="s">
        <v>260</v>
      </c>
      <c r="N1361" t="s">
        <v>357</v>
      </c>
      <c r="O1361" t="s">
        <v>3754</v>
      </c>
      <c r="P1361" t="s">
        <v>3755</v>
      </c>
      <c r="Q1361" t="s">
        <v>2677</v>
      </c>
    </row>
    <row r="1362" spans="1:17">
      <c r="A1362" s="2" t="s">
        <v>442</v>
      </c>
      <c r="B1362" s="2" t="s">
        <v>442</v>
      </c>
      <c r="C1362" s="2" t="s">
        <v>264</v>
      </c>
      <c r="D1362" s="11">
        <v>45982.4375</v>
      </c>
      <c r="E1362" s="11">
        <v>45982.4375</v>
      </c>
      <c r="F1362" s="11">
        <v>45982.5</v>
      </c>
      <c r="G1362" s="12">
        <v>6.25E-2</v>
      </c>
      <c r="H1362" s="2" t="s">
        <v>677</v>
      </c>
      <c r="J1362" s="2" t="s">
        <v>230</v>
      </c>
      <c r="K1362" s="2" t="s">
        <v>230</v>
      </c>
      <c r="L1362" s="2" t="s">
        <v>3753</v>
      </c>
      <c r="M1362" t="s">
        <v>260</v>
      </c>
      <c r="N1362" t="s">
        <v>357</v>
      </c>
      <c r="O1362" t="s">
        <v>3754</v>
      </c>
      <c r="P1362" t="s">
        <v>3756</v>
      </c>
      <c r="Q1362" t="s">
        <v>2677</v>
      </c>
    </row>
    <row r="1363" spans="1:17">
      <c r="A1363" s="2" t="s">
        <v>442</v>
      </c>
      <c r="B1363" s="2" t="s">
        <v>442</v>
      </c>
      <c r="C1363" s="2" t="s">
        <v>263</v>
      </c>
      <c r="D1363" s="11">
        <v>45982.4375</v>
      </c>
      <c r="E1363" s="11">
        <v>45982.4375</v>
      </c>
      <c r="F1363" s="11">
        <v>45982.5</v>
      </c>
      <c r="G1363" s="12">
        <v>6.25E-2</v>
      </c>
      <c r="H1363" s="2" t="s">
        <v>677</v>
      </c>
      <c r="J1363" s="2" t="s">
        <v>230</v>
      </c>
      <c r="K1363" s="2" t="s">
        <v>230</v>
      </c>
      <c r="L1363" s="2" t="s">
        <v>3753</v>
      </c>
      <c r="M1363" t="s">
        <v>260</v>
      </c>
      <c r="N1363" t="s">
        <v>357</v>
      </c>
      <c r="O1363" t="s">
        <v>3754</v>
      </c>
      <c r="P1363" t="s">
        <v>3757</v>
      </c>
      <c r="Q1363" t="s">
        <v>2677</v>
      </c>
    </row>
    <row r="1364" spans="1:17">
      <c r="A1364" s="2" t="s">
        <v>442</v>
      </c>
      <c r="B1364" s="2" t="s">
        <v>442</v>
      </c>
      <c r="C1364" s="2" t="s">
        <v>307</v>
      </c>
      <c r="D1364" s="11">
        <v>45982.4375</v>
      </c>
      <c r="E1364" s="11">
        <v>45982.4375</v>
      </c>
      <c r="F1364" s="11">
        <v>45982.5</v>
      </c>
      <c r="G1364" s="12">
        <v>6.25E-2</v>
      </c>
      <c r="H1364" s="2" t="s">
        <v>677</v>
      </c>
      <c r="J1364" s="2" t="s">
        <v>230</v>
      </c>
      <c r="K1364" s="2" t="s">
        <v>230</v>
      </c>
      <c r="L1364" s="2" t="s">
        <v>3753</v>
      </c>
      <c r="M1364" t="s">
        <v>260</v>
      </c>
      <c r="N1364" t="s">
        <v>357</v>
      </c>
      <c r="O1364" t="s">
        <v>3754</v>
      </c>
      <c r="P1364" t="s">
        <v>3758</v>
      </c>
      <c r="Q1364" t="s">
        <v>2677</v>
      </c>
    </row>
    <row r="1365" spans="1:17">
      <c r="A1365" s="2" t="s">
        <v>442</v>
      </c>
      <c r="B1365" s="2" t="s">
        <v>442</v>
      </c>
      <c r="C1365" s="2" t="s">
        <v>256</v>
      </c>
      <c r="D1365" s="11">
        <v>45983.270833333336</v>
      </c>
      <c r="E1365" s="11">
        <v>45983.270833333336</v>
      </c>
      <c r="F1365" s="11">
        <v>45983.430555555555</v>
      </c>
      <c r="G1365" s="12">
        <v>0.15972222221898846</v>
      </c>
      <c r="H1365" s="2" t="s">
        <v>677</v>
      </c>
      <c r="J1365" s="2" t="s">
        <v>230</v>
      </c>
      <c r="K1365" s="2" t="s">
        <v>230</v>
      </c>
      <c r="L1365" s="2" t="s">
        <v>3759</v>
      </c>
      <c r="M1365" t="s">
        <v>260</v>
      </c>
      <c r="N1365" t="s">
        <v>357</v>
      </c>
      <c r="O1365" t="s">
        <v>3754</v>
      </c>
      <c r="P1365" t="s">
        <v>3760</v>
      </c>
      <c r="Q1365" t="s">
        <v>2677</v>
      </c>
    </row>
    <row r="1366" spans="1:17">
      <c r="A1366" s="2" t="s">
        <v>442</v>
      </c>
      <c r="B1366" s="2" t="s">
        <v>442</v>
      </c>
      <c r="C1366" s="2" t="s">
        <v>264</v>
      </c>
      <c r="D1366" s="11">
        <v>45983.270833333336</v>
      </c>
      <c r="E1366" s="11">
        <v>45983.270833333336</v>
      </c>
      <c r="F1366" s="11">
        <v>45983.430555555555</v>
      </c>
      <c r="G1366" s="12">
        <v>0.15972222221898846</v>
      </c>
      <c r="H1366" s="2" t="s">
        <v>677</v>
      </c>
      <c r="J1366" s="2" t="s">
        <v>230</v>
      </c>
      <c r="K1366" s="2" t="s">
        <v>230</v>
      </c>
      <c r="L1366" s="2" t="s">
        <v>3759</v>
      </c>
      <c r="M1366" t="s">
        <v>260</v>
      </c>
      <c r="N1366" t="s">
        <v>357</v>
      </c>
      <c r="O1366" t="s">
        <v>3754</v>
      </c>
      <c r="P1366" t="s">
        <v>3761</v>
      </c>
      <c r="Q1366" t="s">
        <v>2677</v>
      </c>
    </row>
    <row r="1367" spans="1:17">
      <c r="A1367" s="2" t="s">
        <v>442</v>
      </c>
      <c r="B1367" s="2" t="s">
        <v>442</v>
      </c>
      <c r="C1367" s="2" t="s">
        <v>263</v>
      </c>
      <c r="D1367" s="11">
        <v>45983.270833333336</v>
      </c>
      <c r="E1367" s="11">
        <v>45983.270833333336</v>
      </c>
      <c r="F1367" s="11">
        <v>45983.430555555555</v>
      </c>
      <c r="G1367" s="12">
        <v>0.15972222221898846</v>
      </c>
      <c r="H1367" s="2" t="s">
        <v>677</v>
      </c>
      <c r="J1367" s="2" t="s">
        <v>230</v>
      </c>
      <c r="K1367" s="2" t="s">
        <v>230</v>
      </c>
      <c r="L1367" s="2" t="s">
        <v>3759</v>
      </c>
      <c r="M1367" t="s">
        <v>260</v>
      </c>
      <c r="N1367" t="s">
        <v>357</v>
      </c>
      <c r="O1367" t="s">
        <v>3754</v>
      </c>
      <c r="P1367" t="s">
        <v>3762</v>
      </c>
      <c r="Q1367" t="s">
        <v>2677</v>
      </c>
    </row>
    <row r="1368" spans="1:17">
      <c r="A1368" s="2" t="s">
        <v>442</v>
      </c>
      <c r="B1368" s="2" t="s">
        <v>442</v>
      </c>
      <c r="C1368" s="2" t="s">
        <v>307</v>
      </c>
      <c r="D1368" s="11">
        <v>45983.270833333336</v>
      </c>
      <c r="E1368" s="11">
        <v>45983.270833333336</v>
      </c>
      <c r="F1368" s="11">
        <v>45983.430555555555</v>
      </c>
      <c r="G1368" s="12">
        <v>0.15972222221898846</v>
      </c>
      <c r="H1368" s="2" t="s">
        <v>677</v>
      </c>
      <c r="J1368" s="2" t="s">
        <v>230</v>
      </c>
      <c r="K1368" s="2" t="s">
        <v>230</v>
      </c>
      <c r="L1368" s="2" t="s">
        <v>3759</v>
      </c>
      <c r="M1368" t="s">
        <v>260</v>
      </c>
      <c r="N1368" t="s">
        <v>357</v>
      </c>
      <c r="O1368" t="s">
        <v>3754</v>
      </c>
      <c r="P1368" t="s">
        <v>3763</v>
      </c>
      <c r="Q1368" t="s">
        <v>2677</v>
      </c>
    </row>
    <row r="1369" spans="1:17">
      <c r="A1369" s="2" t="s">
        <v>313</v>
      </c>
      <c r="B1369" s="2" t="s">
        <v>313</v>
      </c>
      <c r="C1369" s="2" t="s">
        <v>256</v>
      </c>
      <c r="D1369" s="11">
        <v>45983.413194444445</v>
      </c>
      <c r="E1369" s="11">
        <v>45983.413194444445</v>
      </c>
      <c r="F1369" s="11">
        <v>45983.447222222225</v>
      </c>
      <c r="G1369" s="12">
        <v>3.4027777779556345E-2</v>
      </c>
      <c r="H1369" s="2" t="s">
        <v>268</v>
      </c>
      <c r="I1369" s="2" t="s">
        <v>269</v>
      </c>
      <c r="J1369" s="2" t="s">
        <v>319</v>
      </c>
      <c r="K1369" s="2" t="s">
        <v>652</v>
      </c>
      <c r="L1369" s="2" t="s">
        <v>3747</v>
      </c>
      <c r="M1369" t="s">
        <v>289</v>
      </c>
      <c r="N1369" t="s">
        <v>253</v>
      </c>
      <c r="O1369" t="s">
        <v>1956</v>
      </c>
      <c r="P1369" t="s">
        <v>3764</v>
      </c>
      <c r="Q1369" t="s">
        <v>2713</v>
      </c>
    </row>
    <row r="1370" spans="1:17">
      <c r="A1370" s="2" t="s">
        <v>313</v>
      </c>
      <c r="B1370" s="2" t="s">
        <v>313</v>
      </c>
      <c r="C1370" s="2" t="s">
        <v>264</v>
      </c>
      <c r="D1370" s="11">
        <v>45983.413194444445</v>
      </c>
      <c r="E1370" s="11">
        <v>45983.413194444445</v>
      </c>
      <c r="F1370" s="11">
        <v>45983.447222222225</v>
      </c>
      <c r="G1370" s="12">
        <v>3.4027777779556345E-2</v>
      </c>
      <c r="H1370" s="2" t="s">
        <v>268</v>
      </c>
      <c r="I1370" s="2" t="s">
        <v>269</v>
      </c>
      <c r="J1370" s="2" t="s">
        <v>319</v>
      </c>
      <c r="K1370" s="2" t="s">
        <v>652</v>
      </c>
      <c r="L1370" s="2" t="s">
        <v>3747</v>
      </c>
      <c r="M1370" t="s">
        <v>289</v>
      </c>
      <c r="N1370" t="s">
        <v>253</v>
      </c>
      <c r="O1370" t="s">
        <v>1956</v>
      </c>
      <c r="P1370" t="s">
        <v>3765</v>
      </c>
      <c r="Q1370" t="s">
        <v>2713</v>
      </c>
    </row>
    <row r="1371" spans="1:17">
      <c r="A1371" s="2" t="s">
        <v>2195</v>
      </c>
      <c r="B1371" s="2" t="s">
        <v>543</v>
      </c>
      <c r="C1371" s="2" t="s">
        <v>2535</v>
      </c>
      <c r="D1371" s="11">
        <v>45984.273182870369</v>
      </c>
      <c r="E1371" s="11">
        <v>45984.273182870369</v>
      </c>
      <c r="F1371" s="11">
        <v>45984.280115740738</v>
      </c>
      <c r="G1371" s="12">
        <v>6.9328703684732318E-3</v>
      </c>
      <c r="H1371" s="2" t="s">
        <v>257</v>
      </c>
      <c r="J1371" s="2" t="s">
        <v>371</v>
      </c>
      <c r="K1371" s="2" t="s">
        <v>653</v>
      </c>
      <c r="L1371" s="2" t="s">
        <v>861</v>
      </c>
      <c r="M1371" t="s">
        <v>252</v>
      </c>
      <c r="N1371" t="s">
        <v>631</v>
      </c>
      <c r="P1371" t="s">
        <v>3766</v>
      </c>
      <c r="Q1371" t="s">
        <v>2537</v>
      </c>
    </row>
    <row r="1372" spans="1:17">
      <c r="A1372" s="2" t="s">
        <v>2195</v>
      </c>
      <c r="B1372" s="2" t="s">
        <v>543</v>
      </c>
      <c r="C1372" s="2" t="s">
        <v>2616</v>
      </c>
      <c r="D1372" s="11">
        <v>45984.2737037037</v>
      </c>
      <c r="E1372" s="11">
        <v>45984.2737037037</v>
      </c>
      <c r="F1372" s="11">
        <v>45984.331597222219</v>
      </c>
      <c r="G1372" s="12">
        <v>5.7893518518540077E-2</v>
      </c>
      <c r="H1372" s="2" t="s">
        <v>257</v>
      </c>
      <c r="J1372" s="2" t="s">
        <v>371</v>
      </c>
      <c r="K1372" s="2" t="s">
        <v>653</v>
      </c>
      <c r="L1372" s="2" t="s">
        <v>861</v>
      </c>
      <c r="M1372" t="s">
        <v>252</v>
      </c>
      <c r="N1372" t="s">
        <v>631</v>
      </c>
      <c r="P1372" t="s">
        <v>3767</v>
      </c>
      <c r="Q1372" t="s">
        <v>2537</v>
      </c>
    </row>
    <row r="1373" spans="1:17">
      <c r="A1373" s="2" t="s">
        <v>2195</v>
      </c>
      <c r="B1373" s="2" t="s">
        <v>543</v>
      </c>
      <c r="C1373" s="2" t="s">
        <v>2719</v>
      </c>
      <c r="D1373" s="11">
        <v>45984.273784722223</v>
      </c>
      <c r="E1373" s="11">
        <v>45984.273784722223</v>
      </c>
      <c r="F1373" s="11">
        <v>45984.331597222219</v>
      </c>
      <c r="G1373" s="12">
        <v>5.7812499995634425E-2</v>
      </c>
      <c r="H1373" s="2" t="s">
        <v>257</v>
      </c>
      <c r="J1373" s="2" t="s">
        <v>371</v>
      </c>
      <c r="K1373" s="2" t="s">
        <v>653</v>
      </c>
      <c r="L1373" s="2" t="s">
        <v>861</v>
      </c>
      <c r="M1373" t="s">
        <v>252</v>
      </c>
      <c r="N1373" t="s">
        <v>631</v>
      </c>
      <c r="P1373" t="s">
        <v>3768</v>
      </c>
      <c r="Q1373" t="s">
        <v>2537</v>
      </c>
    </row>
    <row r="1374" spans="1:17">
      <c r="A1374" s="2" t="s">
        <v>2195</v>
      </c>
      <c r="B1374" s="2" t="s">
        <v>543</v>
      </c>
      <c r="C1374" s="2" t="s">
        <v>2846</v>
      </c>
      <c r="D1374" s="11">
        <v>45984.273819444446</v>
      </c>
      <c r="E1374" s="11">
        <v>45984.273819444446</v>
      </c>
      <c r="F1374" s="11">
        <v>45984.331597222219</v>
      </c>
      <c r="G1374" s="12">
        <v>5.7777777772571426E-2</v>
      </c>
      <c r="H1374" s="2" t="s">
        <v>257</v>
      </c>
      <c r="J1374" s="2" t="s">
        <v>371</v>
      </c>
      <c r="K1374" s="2" t="s">
        <v>653</v>
      </c>
      <c r="L1374" s="2" t="s">
        <v>861</v>
      </c>
      <c r="M1374" t="s">
        <v>252</v>
      </c>
      <c r="N1374" t="s">
        <v>631</v>
      </c>
      <c r="P1374" t="s">
        <v>3769</v>
      </c>
      <c r="Q1374" t="s">
        <v>2537</v>
      </c>
    </row>
    <row r="1375" spans="1:17">
      <c r="A1375" s="2" t="s">
        <v>2195</v>
      </c>
      <c r="B1375" s="2" t="s">
        <v>543</v>
      </c>
      <c r="C1375" s="2" t="s">
        <v>2618</v>
      </c>
      <c r="D1375" s="11">
        <v>45984.273831018516</v>
      </c>
      <c r="E1375" s="11">
        <v>45984.273831018516</v>
      </c>
      <c r="F1375" s="11">
        <v>45984.331597222219</v>
      </c>
      <c r="G1375" s="12">
        <v>5.7766203703067731E-2</v>
      </c>
      <c r="H1375" s="2" t="s">
        <v>257</v>
      </c>
      <c r="J1375" s="2" t="s">
        <v>371</v>
      </c>
      <c r="K1375" s="2" t="s">
        <v>653</v>
      </c>
      <c r="L1375" s="2" t="s">
        <v>861</v>
      </c>
      <c r="M1375" t="s">
        <v>252</v>
      </c>
      <c r="N1375" t="s">
        <v>631</v>
      </c>
      <c r="P1375" t="s">
        <v>3770</v>
      </c>
      <c r="Q1375" t="s">
        <v>2537</v>
      </c>
    </row>
    <row r="1376" spans="1:17">
      <c r="A1376" s="2" t="s">
        <v>2195</v>
      </c>
      <c r="B1376" s="2" t="s">
        <v>543</v>
      </c>
      <c r="C1376" s="2" t="s">
        <v>2848</v>
      </c>
      <c r="D1376" s="11">
        <v>45984.273900462962</v>
      </c>
      <c r="E1376" s="11">
        <v>45984.273900462962</v>
      </c>
      <c r="F1376" s="11">
        <v>45984.331597222219</v>
      </c>
      <c r="G1376" s="12">
        <v>5.7696759256941732E-2</v>
      </c>
      <c r="H1376" s="2" t="s">
        <v>257</v>
      </c>
      <c r="J1376" s="2" t="s">
        <v>371</v>
      </c>
      <c r="K1376" s="2" t="s">
        <v>653</v>
      </c>
      <c r="L1376" s="2" t="s">
        <v>861</v>
      </c>
      <c r="M1376" t="s">
        <v>252</v>
      </c>
      <c r="N1376" t="s">
        <v>631</v>
      </c>
      <c r="P1376" t="s">
        <v>3771</v>
      </c>
      <c r="Q1376" t="s">
        <v>2537</v>
      </c>
    </row>
    <row r="1377" spans="1:17">
      <c r="A1377" s="2" t="s">
        <v>2195</v>
      </c>
      <c r="B1377" s="2" t="s">
        <v>543</v>
      </c>
      <c r="C1377" s="2" t="s">
        <v>2535</v>
      </c>
      <c r="D1377" s="11">
        <v>45984.302245370367</v>
      </c>
      <c r="E1377" s="11">
        <v>45984.302245370367</v>
      </c>
      <c r="F1377" s="11">
        <v>45984.308738425927</v>
      </c>
      <c r="G1377" s="12">
        <v>6.4930555599858053E-3</v>
      </c>
      <c r="H1377" s="2" t="s">
        <v>257</v>
      </c>
      <c r="J1377" s="2" t="s">
        <v>371</v>
      </c>
      <c r="K1377" s="2" t="s">
        <v>653</v>
      </c>
      <c r="L1377" s="2" t="s">
        <v>861</v>
      </c>
      <c r="M1377" t="s">
        <v>252</v>
      </c>
      <c r="N1377" t="s">
        <v>631</v>
      </c>
      <c r="P1377" t="s">
        <v>3772</v>
      </c>
      <c r="Q1377" t="s">
        <v>2537</v>
      </c>
    </row>
    <row r="1378" spans="1:17">
      <c r="A1378" s="2" t="s">
        <v>803</v>
      </c>
      <c r="B1378" s="2" t="s">
        <v>803</v>
      </c>
      <c r="C1378" s="2" t="s">
        <v>264</v>
      </c>
      <c r="D1378" s="11">
        <v>45985.19027777778</v>
      </c>
      <c r="E1378" s="11">
        <v>45985.19027777778</v>
      </c>
      <c r="F1378" s="11">
        <v>45985.322916666664</v>
      </c>
      <c r="G1378" s="12">
        <v>0.132638888884685</v>
      </c>
      <c r="H1378" s="2" t="s">
        <v>268</v>
      </c>
      <c r="I1378" s="2" t="s">
        <v>269</v>
      </c>
      <c r="J1378" s="2" t="s">
        <v>319</v>
      </c>
      <c r="K1378" s="2" t="s">
        <v>652</v>
      </c>
      <c r="L1378" s="2" t="s">
        <v>3773</v>
      </c>
      <c r="M1378" t="s">
        <v>289</v>
      </c>
      <c r="N1378" t="s">
        <v>253</v>
      </c>
      <c r="O1378" t="s">
        <v>3774</v>
      </c>
      <c r="P1378" t="s">
        <v>3775</v>
      </c>
      <c r="Q1378" t="s">
        <v>2713</v>
      </c>
    </row>
    <row r="1379" spans="1:17">
      <c r="A1379" s="2" t="s">
        <v>803</v>
      </c>
      <c r="B1379" s="2" t="s">
        <v>803</v>
      </c>
      <c r="C1379" s="2" t="s">
        <v>256</v>
      </c>
      <c r="D1379" s="11">
        <v>45985.19027777778</v>
      </c>
      <c r="E1379" s="11">
        <v>45985.19027777778</v>
      </c>
      <c r="F1379" s="11">
        <v>45985.322916666664</v>
      </c>
      <c r="G1379" s="12">
        <v>0.132638888884685</v>
      </c>
      <c r="H1379" s="2" t="s">
        <v>268</v>
      </c>
      <c r="I1379" s="2" t="s">
        <v>269</v>
      </c>
      <c r="J1379" s="2" t="s">
        <v>319</v>
      </c>
      <c r="K1379" s="2" t="s">
        <v>652</v>
      </c>
      <c r="L1379" s="2" t="s">
        <v>3773</v>
      </c>
      <c r="M1379" t="s">
        <v>289</v>
      </c>
      <c r="N1379" t="s">
        <v>253</v>
      </c>
      <c r="O1379" t="s">
        <v>3774</v>
      </c>
      <c r="P1379" t="s">
        <v>3776</v>
      </c>
      <c r="Q1379" t="s">
        <v>2713</v>
      </c>
    </row>
    <row r="1380" spans="1:17">
      <c r="A1380" s="2" t="s">
        <v>803</v>
      </c>
      <c r="B1380" s="2" t="s">
        <v>803</v>
      </c>
      <c r="C1380" s="2" t="s">
        <v>307</v>
      </c>
      <c r="D1380" s="11">
        <v>45985.19027777778</v>
      </c>
      <c r="E1380" s="11">
        <v>45985.19027777778</v>
      </c>
      <c r="F1380" s="11">
        <v>45985.322916666664</v>
      </c>
      <c r="G1380" s="12">
        <v>0.132638888884685</v>
      </c>
      <c r="H1380" s="2" t="s">
        <v>268</v>
      </c>
      <c r="I1380" s="2" t="s">
        <v>269</v>
      </c>
      <c r="J1380" s="2" t="s">
        <v>319</v>
      </c>
      <c r="K1380" s="2" t="s">
        <v>652</v>
      </c>
      <c r="L1380" s="2" t="s">
        <v>3773</v>
      </c>
      <c r="M1380" t="s">
        <v>289</v>
      </c>
      <c r="N1380" t="s">
        <v>253</v>
      </c>
      <c r="O1380" t="s">
        <v>3774</v>
      </c>
      <c r="P1380" t="s">
        <v>3777</v>
      </c>
      <c r="Q1380" t="s">
        <v>2713</v>
      </c>
    </row>
    <row r="1381" spans="1:17">
      <c r="A1381" s="2" t="s">
        <v>803</v>
      </c>
      <c r="B1381" s="2" t="s">
        <v>803</v>
      </c>
      <c r="C1381" s="2" t="s">
        <v>263</v>
      </c>
      <c r="D1381" s="11">
        <v>45985.19027777778</v>
      </c>
      <c r="E1381" s="11">
        <v>45985.19027777778</v>
      </c>
      <c r="F1381" s="11">
        <v>45985.322916666664</v>
      </c>
      <c r="G1381" s="12">
        <v>0.132638888884685</v>
      </c>
      <c r="H1381" s="2" t="s">
        <v>268</v>
      </c>
      <c r="I1381" s="2" t="s">
        <v>269</v>
      </c>
      <c r="J1381" s="2" t="s">
        <v>319</v>
      </c>
      <c r="K1381" s="2" t="s">
        <v>652</v>
      </c>
      <c r="L1381" s="2" t="s">
        <v>3773</v>
      </c>
      <c r="M1381" t="s">
        <v>289</v>
      </c>
      <c r="N1381" t="s">
        <v>253</v>
      </c>
      <c r="O1381" t="s">
        <v>3774</v>
      </c>
      <c r="P1381" t="s">
        <v>3778</v>
      </c>
      <c r="Q1381" t="s">
        <v>2713</v>
      </c>
    </row>
    <row r="1382" spans="1:17">
      <c r="A1382" s="2" t="s">
        <v>2209</v>
      </c>
      <c r="B1382" s="2" t="s">
        <v>495</v>
      </c>
      <c r="C1382" s="2" t="s">
        <v>496</v>
      </c>
      <c r="D1382" s="11">
        <v>45985.209722222222</v>
      </c>
      <c r="E1382" s="11">
        <v>45985.209722222222</v>
      </c>
      <c r="F1382" s="11">
        <v>45985.222222222219</v>
      </c>
      <c r="G1382" s="12">
        <v>1.2499999997089617E-2</v>
      </c>
      <c r="H1382" s="2" t="s">
        <v>257</v>
      </c>
      <c r="J1382" s="2" t="s">
        <v>258</v>
      </c>
      <c r="K1382" s="2" t="s">
        <v>658</v>
      </c>
      <c r="L1382" s="2" t="s">
        <v>2286</v>
      </c>
      <c r="M1382" t="s">
        <v>260</v>
      </c>
      <c r="N1382" t="s">
        <v>357</v>
      </c>
      <c r="O1382" t="s">
        <v>632</v>
      </c>
      <c r="P1382" t="s">
        <v>3779</v>
      </c>
      <c r="Q1382" t="s">
        <v>2281</v>
      </c>
    </row>
    <row r="1383" spans="1:17">
      <c r="A1383" s="2" t="s">
        <v>2209</v>
      </c>
      <c r="B1383" s="2" t="s">
        <v>495</v>
      </c>
      <c r="C1383" s="2" t="s">
        <v>501</v>
      </c>
      <c r="D1383" s="11">
        <v>45985.209722222222</v>
      </c>
      <c r="E1383" s="11">
        <v>45985.209722222222</v>
      </c>
      <c r="F1383" s="11">
        <v>45985.222222222219</v>
      </c>
      <c r="G1383" s="12">
        <v>1.2499999997089617E-2</v>
      </c>
      <c r="H1383" s="2" t="s">
        <v>257</v>
      </c>
      <c r="J1383" s="2" t="s">
        <v>258</v>
      </c>
      <c r="K1383" s="2" t="s">
        <v>658</v>
      </c>
      <c r="L1383" s="2" t="s">
        <v>2286</v>
      </c>
      <c r="M1383" t="s">
        <v>260</v>
      </c>
      <c r="N1383" t="s">
        <v>357</v>
      </c>
      <c r="O1383" t="s">
        <v>632</v>
      </c>
      <c r="P1383" t="s">
        <v>3780</v>
      </c>
      <c r="Q1383" t="s">
        <v>2281</v>
      </c>
    </row>
    <row r="1384" spans="1:17">
      <c r="A1384" s="2" t="s">
        <v>2209</v>
      </c>
      <c r="B1384" s="2" t="s">
        <v>495</v>
      </c>
      <c r="C1384" s="2" t="s">
        <v>502</v>
      </c>
      <c r="D1384" s="11">
        <v>45985.209722222222</v>
      </c>
      <c r="E1384" s="11">
        <v>45985.209722222222</v>
      </c>
      <c r="F1384" s="11">
        <v>45985.222222222219</v>
      </c>
      <c r="G1384" s="12">
        <v>1.2499999997089617E-2</v>
      </c>
      <c r="H1384" s="2" t="s">
        <v>257</v>
      </c>
      <c r="J1384" s="2" t="s">
        <v>258</v>
      </c>
      <c r="K1384" s="2" t="s">
        <v>658</v>
      </c>
      <c r="L1384" s="2" t="s">
        <v>2286</v>
      </c>
      <c r="M1384" t="s">
        <v>260</v>
      </c>
      <c r="N1384" t="s">
        <v>357</v>
      </c>
      <c r="O1384" t="s">
        <v>632</v>
      </c>
      <c r="P1384" t="s">
        <v>3781</v>
      </c>
      <c r="Q1384" t="s">
        <v>2281</v>
      </c>
    </row>
    <row r="1385" spans="1:17">
      <c r="A1385" s="2" t="s">
        <v>2209</v>
      </c>
      <c r="B1385" s="2" t="s">
        <v>495</v>
      </c>
      <c r="C1385" s="2" t="s">
        <v>503</v>
      </c>
      <c r="D1385" s="11">
        <v>45985.209722222222</v>
      </c>
      <c r="E1385" s="11">
        <v>45985.209722222222</v>
      </c>
      <c r="F1385" s="11">
        <v>45985.222222222219</v>
      </c>
      <c r="G1385" s="12">
        <v>1.2499999997089617E-2</v>
      </c>
      <c r="H1385" s="2" t="s">
        <v>257</v>
      </c>
      <c r="J1385" s="2" t="s">
        <v>258</v>
      </c>
      <c r="K1385" s="2" t="s">
        <v>658</v>
      </c>
      <c r="L1385" s="2" t="s">
        <v>2286</v>
      </c>
      <c r="M1385" t="s">
        <v>260</v>
      </c>
      <c r="N1385" t="s">
        <v>357</v>
      </c>
      <c r="O1385" t="s">
        <v>632</v>
      </c>
      <c r="P1385" t="s">
        <v>3782</v>
      </c>
      <c r="Q1385" t="s">
        <v>2281</v>
      </c>
    </row>
    <row r="1386" spans="1:17">
      <c r="A1386" s="2" t="s">
        <v>2209</v>
      </c>
      <c r="B1386" s="2" t="s">
        <v>495</v>
      </c>
      <c r="C1386" s="2" t="s">
        <v>504</v>
      </c>
      <c r="D1386" s="11">
        <v>45985.209722222222</v>
      </c>
      <c r="E1386" s="11">
        <v>45985.209722222222</v>
      </c>
      <c r="F1386" s="11">
        <v>45985.222222222219</v>
      </c>
      <c r="G1386" s="12">
        <v>1.2499999997089617E-2</v>
      </c>
      <c r="H1386" s="2" t="s">
        <v>257</v>
      </c>
      <c r="J1386" s="2" t="s">
        <v>258</v>
      </c>
      <c r="K1386" s="2" t="s">
        <v>658</v>
      </c>
      <c r="L1386" s="2" t="s">
        <v>2286</v>
      </c>
      <c r="M1386" t="s">
        <v>260</v>
      </c>
      <c r="N1386" t="s">
        <v>357</v>
      </c>
      <c r="O1386" t="s">
        <v>632</v>
      </c>
      <c r="P1386" t="s">
        <v>3783</v>
      </c>
      <c r="Q1386" t="s">
        <v>2281</v>
      </c>
    </row>
    <row r="1387" spans="1:17">
      <c r="A1387" s="2" t="s">
        <v>2209</v>
      </c>
      <c r="B1387" s="2" t="s">
        <v>495</v>
      </c>
      <c r="C1387" s="2" t="s">
        <v>505</v>
      </c>
      <c r="D1387" s="11">
        <v>45985.209722222222</v>
      </c>
      <c r="E1387" s="11">
        <v>45985.209722222222</v>
      </c>
      <c r="F1387" s="11">
        <v>45985.222222222219</v>
      </c>
      <c r="G1387" s="12">
        <v>1.2499999997089617E-2</v>
      </c>
      <c r="H1387" s="2" t="s">
        <v>257</v>
      </c>
      <c r="J1387" s="2" t="s">
        <v>258</v>
      </c>
      <c r="K1387" s="2" t="s">
        <v>658</v>
      </c>
      <c r="L1387" s="2" t="s">
        <v>2286</v>
      </c>
      <c r="M1387" t="s">
        <v>260</v>
      </c>
      <c r="N1387" t="s">
        <v>357</v>
      </c>
      <c r="O1387" t="s">
        <v>632</v>
      </c>
      <c r="P1387" t="s">
        <v>3784</v>
      </c>
      <c r="Q1387" t="s">
        <v>2281</v>
      </c>
    </row>
    <row r="1388" spans="1:17">
      <c r="A1388" s="2" t="s">
        <v>2209</v>
      </c>
      <c r="B1388" s="2" t="s">
        <v>495</v>
      </c>
      <c r="C1388" s="2" t="s">
        <v>506</v>
      </c>
      <c r="D1388" s="11">
        <v>45985.209722222222</v>
      </c>
      <c r="E1388" s="11">
        <v>45985.209722222222</v>
      </c>
      <c r="F1388" s="11">
        <v>45985.222222222219</v>
      </c>
      <c r="G1388" s="12">
        <v>1.2499999997089617E-2</v>
      </c>
      <c r="H1388" s="2" t="s">
        <v>257</v>
      </c>
      <c r="J1388" s="2" t="s">
        <v>258</v>
      </c>
      <c r="K1388" s="2" t="s">
        <v>658</v>
      </c>
      <c r="L1388" s="2" t="s">
        <v>2286</v>
      </c>
      <c r="M1388" t="s">
        <v>260</v>
      </c>
      <c r="N1388" t="s">
        <v>357</v>
      </c>
      <c r="O1388" t="s">
        <v>632</v>
      </c>
      <c r="P1388" t="s">
        <v>3785</v>
      </c>
      <c r="Q1388" t="s">
        <v>2281</v>
      </c>
    </row>
    <row r="1389" spans="1:17">
      <c r="A1389" s="2" t="s">
        <v>2209</v>
      </c>
      <c r="B1389" s="2" t="s">
        <v>495</v>
      </c>
      <c r="C1389" s="2" t="s">
        <v>507</v>
      </c>
      <c r="D1389" s="11">
        <v>45985.209722222222</v>
      </c>
      <c r="E1389" s="11">
        <v>45985.209722222222</v>
      </c>
      <c r="F1389" s="11">
        <v>45985.222222222219</v>
      </c>
      <c r="G1389" s="12">
        <v>1.2499999997089617E-2</v>
      </c>
      <c r="H1389" s="2" t="s">
        <v>257</v>
      </c>
      <c r="J1389" s="2" t="s">
        <v>258</v>
      </c>
      <c r="K1389" s="2" t="s">
        <v>658</v>
      </c>
      <c r="L1389" s="2" t="s">
        <v>2286</v>
      </c>
      <c r="M1389" t="s">
        <v>260</v>
      </c>
      <c r="N1389" t="s">
        <v>357</v>
      </c>
      <c r="O1389" t="s">
        <v>632</v>
      </c>
      <c r="P1389" t="s">
        <v>3786</v>
      </c>
      <c r="Q1389" t="s">
        <v>2281</v>
      </c>
    </row>
    <row r="1390" spans="1:17">
      <c r="A1390" s="2" t="s">
        <v>2209</v>
      </c>
      <c r="B1390" s="2" t="s">
        <v>495</v>
      </c>
      <c r="C1390" s="2" t="s">
        <v>508</v>
      </c>
      <c r="D1390" s="11">
        <v>45985.209722222222</v>
      </c>
      <c r="E1390" s="11">
        <v>45985.209722222222</v>
      </c>
      <c r="F1390" s="11">
        <v>45985.222222222219</v>
      </c>
      <c r="G1390" s="12">
        <v>1.2499999997089617E-2</v>
      </c>
      <c r="H1390" s="2" t="s">
        <v>257</v>
      </c>
      <c r="J1390" s="2" t="s">
        <v>258</v>
      </c>
      <c r="K1390" s="2" t="s">
        <v>658</v>
      </c>
      <c r="L1390" s="2" t="s">
        <v>2286</v>
      </c>
      <c r="M1390" t="s">
        <v>260</v>
      </c>
      <c r="N1390" t="s">
        <v>357</v>
      </c>
      <c r="O1390" t="s">
        <v>632</v>
      </c>
      <c r="P1390" t="s">
        <v>3787</v>
      </c>
      <c r="Q1390" t="s">
        <v>2281</v>
      </c>
    </row>
    <row r="1391" spans="1:17">
      <c r="A1391" s="2" t="s">
        <v>2209</v>
      </c>
      <c r="B1391" s="2" t="s">
        <v>495</v>
      </c>
      <c r="C1391" s="2" t="s">
        <v>509</v>
      </c>
      <c r="D1391" s="11">
        <v>45985.209722222222</v>
      </c>
      <c r="E1391" s="11">
        <v>45985.209722222222</v>
      </c>
      <c r="F1391" s="11">
        <v>45985.222222222219</v>
      </c>
      <c r="G1391" s="12">
        <v>1.2499999997089617E-2</v>
      </c>
      <c r="H1391" s="2" t="s">
        <v>257</v>
      </c>
      <c r="J1391" s="2" t="s">
        <v>258</v>
      </c>
      <c r="K1391" s="2" t="s">
        <v>658</v>
      </c>
      <c r="L1391" s="2" t="s">
        <v>2286</v>
      </c>
      <c r="M1391" t="s">
        <v>260</v>
      </c>
      <c r="N1391" t="s">
        <v>357</v>
      </c>
      <c r="O1391" t="s">
        <v>632</v>
      </c>
      <c r="P1391" t="s">
        <v>3788</v>
      </c>
      <c r="Q1391" t="s">
        <v>2281</v>
      </c>
    </row>
    <row r="1392" spans="1:17">
      <c r="A1392" s="2" t="s">
        <v>2209</v>
      </c>
      <c r="B1392" s="2" t="s">
        <v>495</v>
      </c>
      <c r="C1392" s="2" t="s">
        <v>510</v>
      </c>
      <c r="D1392" s="11">
        <v>45985.209722222222</v>
      </c>
      <c r="E1392" s="11">
        <v>45985.209722222222</v>
      </c>
      <c r="F1392" s="11">
        <v>45985.222222222219</v>
      </c>
      <c r="G1392" s="12">
        <v>1.2499999997089617E-2</v>
      </c>
      <c r="H1392" s="2" t="s">
        <v>257</v>
      </c>
      <c r="J1392" s="2" t="s">
        <v>258</v>
      </c>
      <c r="K1392" s="2" t="s">
        <v>658</v>
      </c>
      <c r="L1392" s="2" t="s">
        <v>2286</v>
      </c>
      <c r="M1392" t="s">
        <v>260</v>
      </c>
      <c r="N1392" t="s">
        <v>357</v>
      </c>
      <c r="O1392" t="s">
        <v>632</v>
      </c>
      <c r="P1392" t="s">
        <v>3789</v>
      </c>
      <c r="Q1392" t="s">
        <v>2281</v>
      </c>
    </row>
    <row r="1393" spans="1:17">
      <c r="A1393" s="2" t="s">
        <v>2209</v>
      </c>
      <c r="B1393" s="2" t="s">
        <v>495</v>
      </c>
      <c r="C1393" s="2" t="s">
        <v>511</v>
      </c>
      <c r="D1393" s="11">
        <v>45985.209722222222</v>
      </c>
      <c r="E1393" s="11">
        <v>45985.209722222222</v>
      </c>
      <c r="F1393" s="11">
        <v>45985.222222222219</v>
      </c>
      <c r="G1393" s="12">
        <v>1.2499999997089617E-2</v>
      </c>
      <c r="H1393" s="2" t="s">
        <v>257</v>
      </c>
      <c r="J1393" s="2" t="s">
        <v>258</v>
      </c>
      <c r="K1393" s="2" t="s">
        <v>658</v>
      </c>
      <c r="L1393" s="2" t="s">
        <v>2286</v>
      </c>
      <c r="M1393" t="s">
        <v>260</v>
      </c>
      <c r="N1393" t="s">
        <v>357</v>
      </c>
      <c r="O1393" t="s">
        <v>632</v>
      </c>
      <c r="P1393" t="s">
        <v>3790</v>
      </c>
      <c r="Q1393" t="s">
        <v>2281</v>
      </c>
    </row>
    <row r="1394" spans="1:17">
      <c r="A1394" s="2" t="s">
        <v>2209</v>
      </c>
      <c r="B1394" s="2" t="s">
        <v>495</v>
      </c>
      <c r="C1394" s="2" t="s">
        <v>512</v>
      </c>
      <c r="D1394" s="11">
        <v>45985.209722222222</v>
      </c>
      <c r="E1394" s="11">
        <v>45985.209722222222</v>
      </c>
      <c r="F1394" s="11">
        <v>45985.222222222219</v>
      </c>
      <c r="G1394" s="12">
        <v>1.2499999997089617E-2</v>
      </c>
      <c r="H1394" s="2" t="s">
        <v>257</v>
      </c>
      <c r="J1394" s="2" t="s">
        <v>258</v>
      </c>
      <c r="K1394" s="2" t="s">
        <v>658</v>
      </c>
      <c r="L1394" s="2" t="s">
        <v>2286</v>
      </c>
      <c r="M1394" t="s">
        <v>260</v>
      </c>
      <c r="N1394" t="s">
        <v>357</v>
      </c>
      <c r="O1394" t="s">
        <v>632</v>
      </c>
      <c r="P1394" t="s">
        <v>3791</v>
      </c>
      <c r="Q1394" t="s">
        <v>2281</v>
      </c>
    </row>
    <row r="1395" spans="1:17">
      <c r="A1395" s="2" t="s">
        <v>2209</v>
      </c>
      <c r="B1395" s="2" t="s">
        <v>495</v>
      </c>
      <c r="C1395" s="2" t="s">
        <v>513</v>
      </c>
      <c r="D1395" s="11">
        <v>45985.209722222222</v>
      </c>
      <c r="E1395" s="11">
        <v>45985.209722222222</v>
      </c>
      <c r="F1395" s="11">
        <v>45985.222222222219</v>
      </c>
      <c r="G1395" s="12">
        <v>1.2499999997089617E-2</v>
      </c>
      <c r="H1395" s="2" t="s">
        <v>257</v>
      </c>
      <c r="J1395" s="2" t="s">
        <v>258</v>
      </c>
      <c r="K1395" s="2" t="s">
        <v>658</v>
      </c>
      <c r="L1395" s="2" t="s">
        <v>2286</v>
      </c>
      <c r="M1395" t="s">
        <v>260</v>
      </c>
      <c r="N1395" t="s">
        <v>357</v>
      </c>
      <c r="O1395" t="s">
        <v>632</v>
      </c>
      <c r="P1395" t="s">
        <v>3792</v>
      </c>
      <c r="Q1395" t="s">
        <v>2281</v>
      </c>
    </row>
    <row r="1396" spans="1:17">
      <c r="A1396" s="2" t="s">
        <v>2209</v>
      </c>
      <c r="B1396" s="2" t="s">
        <v>495</v>
      </c>
      <c r="C1396" s="2" t="s">
        <v>514</v>
      </c>
      <c r="D1396" s="11">
        <v>45985.209722222222</v>
      </c>
      <c r="E1396" s="11">
        <v>45985.209722222222</v>
      </c>
      <c r="F1396" s="11">
        <v>45985.222222222219</v>
      </c>
      <c r="G1396" s="12">
        <v>1.2499999997089617E-2</v>
      </c>
      <c r="H1396" s="2" t="s">
        <v>257</v>
      </c>
      <c r="J1396" s="2" t="s">
        <v>258</v>
      </c>
      <c r="K1396" s="2" t="s">
        <v>658</v>
      </c>
      <c r="L1396" s="2" t="s">
        <v>2286</v>
      </c>
      <c r="M1396" t="s">
        <v>260</v>
      </c>
      <c r="N1396" t="s">
        <v>357</v>
      </c>
      <c r="O1396" t="s">
        <v>632</v>
      </c>
      <c r="P1396" t="s">
        <v>3793</v>
      </c>
      <c r="Q1396" t="s">
        <v>2281</v>
      </c>
    </row>
    <row r="1397" spans="1:17">
      <c r="A1397" s="2" t="s">
        <v>2209</v>
      </c>
      <c r="B1397" s="2" t="s">
        <v>495</v>
      </c>
      <c r="C1397" s="2" t="s">
        <v>515</v>
      </c>
      <c r="D1397" s="11">
        <v>45985.209722222222</v>
      </c>
      <c r="E1397" s="11">
        <v>45985.209722222222</v>
      </c>
      <c r="F1397" s="11">
        <v>45985.222222222219</v>
      </c>
      <c r="G1397" s="12">
        <v>1.2499999997089617E-2</v>
      </c>
      <c r="H1397" s="2" t="s">
        <v>257</v>
      </c>
      <c r="J1397" s="2" t="s">
        <v>258</v>
      </c>
      <c r="K1397" s="2" t="s">
        <v>658</v>
      </c>
      <c r="L1397" s="2" t="s">
        <v>2286</v>
      </c>
      <c r="M1397" t="s">
        <v>260</v>
      </c>
      <c r="N1397" t="s">
        <v>357</v>
      </c>
      <c r="O1397" t="s">
        <v>632</v>
      </c>
      <c r="P1397" t="s">
        <v>3794</v>
      </c>
      <c r="Q1397" t="s">
        <v>2281</v>
      </c>
    </row>
    <row r="1398" spans="1:17">
      <c r="A1398" s="2" t="s">
        <v>2209</v>
      </c>
      <c r="B1398" s="2" t="s">
        <v>495</v>
      </c>
      <c r="C1398" s="2" t="s">
        <v>516</v>
      </c>
      <c r="D1398" s="11">
        <v>45985.209722222222</v>
      </c>
      <c r="E1398" s="11">
        <v>45985.209722222222</v>
      </c>
      <c r="F1398" s="11">
        <v>45985.222222222219</v>
      </c>
      <c r="G1398" s="12">
        <v>1.2499999997089617E-2</v>
      </c>
      <c r="H1398" s="2" t="s">
        <v>257</v>
      </c>
      <c r="J1398" s="2" t="s">
        <v>258</v>
      </c>
      <c r="K1398" s="2" t="s">
        <v>658</v>
      </c>
      <c r="L1398" s="2" t="s">
        <v>2286</v>
      </c>
      <c r="M1398" t="s">
        <v>260</v>
      </c>
      <c r="N1398" t="s">
        <v>357</v>
      </c>
      <c r="O1398" t="s">
        <v>632</v>
      </c>
      <c r="P1398" t="s">
        <v>3795</v>
      </c>
      <c r="Q1398" t="s">
        <v>2281</v>
      </c>
    </row>
    <row r="1399" spans="1:17">
      <c r="A1399" s="2" t="s">
        <v>2195</v>
      </c>
      <c r="B1399" s="2" t="s">
        <v>543</v>
      </c>
      <c r="C1399" s="2" t="s">
        <v>2535</v>
      </c>
      <c r="D1399" s="11">
        <v>45985.255648148152</v>
      </c>
      <c r="E1399" s="11">
        <v>45985.255648148152</v>
      </c>
      <c r="F1399" s="11">
        <v>45985.26284722222</v>
      </c>
      <c r="G1399" s="12">
        <v>7.1990740689216182E-3</v>
      </c>
      <c r="H1399" s="2" t="s">
        <v>257</v>
      </c>
      <c r="J1399" s="2" t="s">
        <v>371</v>
      </c>
      <c r="K1399" s="2" t="s">
        <v>653</v>
      </c>
      <c r="L1399" s="2" t="s">
        <v>861</v>
      </c>
      <c r="M1399" t="s">
        <v>252</v>
      </c>
      <c r="N1399" t="s">
        <v>631</v>
      </c>
      <c r="P1399" t="s">
        <v>3796</v>
      </c>
      <c r="Q1399" t="s">
        <v>2537</v>
      </c>
    </row>
    <row r="1400" spans="1:17">
      <c r="A1400" s="2" t="s">
        <v>327</v>
      </c>
      <c r="B1400" s="2" t="s">
        <v>327</v>
      </c>
      <c r="C1400" s="2" t="s">
        <v>247</v>
      </c>
      <c r="D1400" s="11">
        <v>45985.355555555558</v>
      </c>
      <c r="E1400" s="11">
        <v>45985.355555555558</v>
      </c>
      <c r="F1400" s="11">
        <v>45985.35833333333</v>
      </c>
      <c r="G1400" s="12">
        <v>2.7777777722803876E-3</v>
      </c>
      <c r="H1400" s="2" t="s">
        <v>257</v>
      </c>
      <c r="J1400" s="2" t="s">
        <v>258</v>
      </c>
      <c r="K1400" s="2" t="s">
        <v>658</v>
      </c>
      <c r="L1400" s="2" t="s">
        <v>2198</v>
      </c>
      <c r="M1400" t="s">
        <v>260</v>
      </c>
      <c r="N1400" t="s">
        <v>357</v>
      </c>
      <c r="O1400" t="s">
        <v>632</v>
      </c>
      <c r="P1400" t="s">
        <v>3797</v>
      </c>
      <c r="Q1400" t="s">
        <v>2281</v>
      </c>
    </row>
    <row r="1401" spans="1:17">
      <c r="A1401" s="2" t="s">
        <v>246</v>
      </c>
      <c r="B1401" s="2" t="s">
        <v>246</v>
      </c>
      <c r="C1401" s="2" t="s">
        <v>247</v>
      </c>
      <c r="D1401" s="11">
        <v>45985.355555555558</v>
      </c>
      <c r="E1401" s="11">
        <v>45985.355555555558</v>
      </c>
      <c r="F1401" s="11">
        <v>45985.35833333333</v>
      </c>
      <c r="G1401" s="12">
        <v>2.7777777722803876E-3</v>
      </c>
      <c r="H1401" s="2" t="s">
        <v>257</v>
      </c>
      <c r="J1401" s="2" t="s">
        <v>258</v>
      </c>
      <c r="K1401" s="2" t="s">
        <v>658</v>
      </c>
      <c r="L1401" s="2" t="s">
        <v>2198</v>
      </c>
      <c r="M1401" t="s">
        <v>260</v>
      </c>
      <c r="N1401" t="s">
        <v>357</v>
      </c>
      <c r="O1401" t="s">
        <v>632</v>
      </c>
      <c r="P1401" t="s">
        <v>3798</v>
      </c>
      <c r="Q1401" t="s">
        <v>2281</v>
      </c>
    </row>
    <row r="1402" spans="1:17">
      <c r="A1402" s="2" t="s">
        <v>328</v>
      </c>
      <c r="B1402" s="2" t="s">
        <v>328</v>
      </c>
      <c r="C1402" s="2" t="s">
        <v>247</v>
      </c>
      <c r="D1402" s="11">
        <v>45985.355555555558</v>
      </c>
      <c r="E1402" s="11">
        <v>45985.355555555558</v>
      </c>
      <c r="F1402" s="11">
        <v>45985.35833333333</v>
      </c>
      <c r="G1402" s="12">
        <v>2.7777777722803876E-3</v>
      </c>
      <c r="H1402" s="2" t="s">
        <v>257</v>
      </c>
      <c r="J1402" s="2" t="s">
        <v>258</v>
      </c>
      <c r="K1402" s="2" t="s">
        <v>658</v>
      </c>
      <c r="L1402" s="2" t="s">
        <v>2198</v>
      </c>
      <c r="M1402" t="s">
        <v>260</v>
      </c>
      <c r="N1402" t="s">
        <v>357</v>
      </c>
      <c r="O1402" t="s">
        <v>632</v>
      </c>
      <c r="P1402" t="s">
        <v>3799</v>
      </c>
      <c r="Q1402" t="s">
        <v>2281</v>
      </c>
    </row>
    <row r="1403" spans="1:17">
      <c r="A1403" s="2" t="s">
        <v>329</v>
      </c>
      <c r="B1403" s="2" t="s">
        <v>329</v>
      </c>
      <c r="C1403" s="2" t="s">
        <v>247</v>
      </c>
      <c r="D1403" s="11">
        <v>45985.355555555558</v>
      </c>
      <c r="E1403" s="11">
        <v>45985.355555555558</v>
      </c>
      <c r="F1403" s="11">
        <v>45985.35833333333</v>
      </c>
      <c r="G1403" s="12">
        <v>2.7777777722803876E-3</v>
      </c>
      <c r="H1403" s="2" t="s">
        <v>257</v>
      </c>
      <c r="J1403" s="2" t="s">
        <v>258</v>
      </c>
      <c r="K1403" s="2" t="s">
        <v>658</v>
      </c>
      <c r="L1403" s="2" t="s">
        <v>2198</v>
      </c>
      <c r="M1403" t="s">
        <v>260</v>
      </c>
      <c r="N1403" t="s">
        <v>357</v>
      </c>
      <c r="O1403" t="s">
        <v>632</v>
      </c>
      <c r="P1403" t="s">
        <v>3800</v>
      </c>
      <c r="Q1403" t="s">
        <v>2281</v>
      </c>
    </row>
    <row r="1404" spans="1:17">
      <c r="A1404" s="2" t="s">
        <v>330</v>
      </c>
      <c r="B1404" s="2" t="s">
        <v>330</v>
      </c>
      <c r="C1404" s="2" t="s">
        <v>247</v>
      </c>
      <c r="D1404" s="11">
        <v>45985.355555555558</v>
      </c>
      <c r="E1404" s="11">
        <v>45985.355555555558</v>
      </c>
      <c r="F1404" s="11">
        <v>45985.35833333333</v>
      </c>
      <c r="G1404" s="12">
        <v>2.7777777722803876E-3</v>
      </c>
      <c r="H1404" s="2" t="s">
        <v>257</v>
      </c>
      <c r="J1404" s="2" t="s">
        <v>258</v>
      </c>
      <c r="K1404" s="2" t="s">
        <v>658</v>
      </c>
      <c r="L1404" s="2" t="s">
        <v>2198</v>
      </c>
      <c r="M1404" t="s">
        <v>260</v>
      </c>
      <c r="N1404" t="s">
        <v>357</v>
      </c>
      <c r="O1404" t="s">
        <v>632</v>
      </c>
      <c r="P1404" t="s">
        <v>3801</v>
      </c>
      <c r="Q1404" t="s">
        <v>2281</v>
      </c>
    </row>
    <row r="1405" spans="1:17">
      <c r="A1405" s="2" t="s">
        <v>3177</v>
      </c>
      <c r="B1405" s="2" t="s">
        <v>568</v>
      </c>
      <c r="C1405" s="2" t="s">
        <v>3178</v>
      </c>
      <c r="D1405" s="11">
        <v>45985.590277777781</v>
      </c>
      <c r="E1405" s="11">
        <v>45985.590277777781</v>
      </c>
      <c r="F1405" s="11">
        <v>45985.722222222219</v>
      </c>
      <c r="G1405" s="12">
        <v>0.13194444443797693</v>
      </c>
      <c r="H1405" s="2" t="s">
        <v>268</v>
      </c>
      <c r="I1405" s="2" t="s">
        <v>269</v>
      </c>
      <c r="J1405" s="2" t="s">
        <v>319</v>
      </c>
      <c r="K1405" s="2" t="s">
        <v>652</v>
      </c>
      <c r="L1405" s="2" t="s">
        <v>3802</v>
      </c>
      <c r="M1405" t="s">
        <v>663</v>
      </c>
      <c r="N1405" t="s">
        <v>672</v>
      </c>
      <c r="O1405" t="s">
        <v>3803</v>
      </c>
      <c r="P1405" t="s">
        <v>3804</v>
      </c>
      <c r="Q1405" t="s">
        <v>2713</v>
      </c>
    </row>
    <row r="1406" spans="1:17">
      <c r="A1406" s="2" t="s">
        <v>3181</v>
      </c>
      <c r="B1406" s="2" t="s">
        <v>568</v>
      </c>
      <c r="C1406" s="2" t="s">
        <v>3182</v>
      </c>
      <c r="D1406" s="11">
        <v>45985.590277777781</v>
      </c>
      <c r="E1406" s="11">
        <v>45985.590277777781</v>
      </c>
      <c r="F1406" s="11">
        <v>45985.722222222219</v>
      </c>
      <c r="G1406" s="12">
        <v>0.13194444443797693</v>
      </c>
      <c r="H1406" s="2" t="s">
        <v>268</v>
      </c>
      <c r="I1406" s="2" t="s">
        <v>269</v>
      </c>
      <c r="J1406" s="2" t="s">
        <v>319</v>
      </c>
      <c r="K1406" s="2" t="s">
        <v>652</v>
      </c>
      <c r="L1406" s="2" t="s">
        <v>3802</v>
      </c>
      <c r="M1406" t="s">
        <v>663</v>
      </c>
      <c r="N1406" t="s">
        <v>672</v>
      </c>
      <c r="O1406" t="s">
        <v>3803</v>
      </c>
      <c r="P1406" t="s">
        <v>3805</v>
      </c>
      <c r="Q1406" t="s">
        <v>2713</v>
      </c>
    </row>
    <row r="1407" spans="1:17">
      <c r="A1407" s="2" t="s">
        <v>3181</v>
      </c>
      <c r="B1407" s="2" t="s">
        <v>568</v>
      </c>
      <c r="C1407" s="2" t="s">
        <v>3184</v>
      </c>
      <c r="D1407" s="11">
        <v>45985.590277777781</v>
      </c>
      <c r="E1407" s="11">
        <v>45985.590277777781</v>
      </c>
      <c r="F1407" s="11">
        <v>45985.722222222219</v>
      </c>
      <c r="G1407" s="12">
        <v>0.13194444443797693</v>
      </c>
      <c r="H1407" s="2" t="s">
        <v>268</v>
      </c>
      <c r="I1407" s="2" t="s">
        <v>269</v>
      </c>
      <c r="J1407" s="2" t="s">
        <v>319</v>
      </c>
      <c r="K1407" s="2" t="s">
        <v>652</v>
      </c>
      <c r="L1407" s="2" t="s">
        <v>3802</v>
      </c>
      <c r="M1407" t="s">
        <v>663</v>
      </c>
      <c r="N1407" t="s">
        <v>672</v>
      </c>
      <c r="O1407" t="s">
        <v>3803</v>
      </c>
      <c r="P1407" t="s">
        <v>3806</v>
      </c>
      <c r="Q1407" t="s">
        <v>2713</v>
      </c>
    </row>
    <row r="1408" spans="1:17">
      <c r="A1408" s="2" t="s">
        <v>3177</v>
      </c>
      <c r="B1408" s="2" t="s">
        <v>568</v>
      </c>
      <c r="C1408" s="2" t="s">
        <v>3186</v>
      </c>
      <c r="D1408" s="11">
        <v>45985.590277777781</v>
      </c>
      <c r="E1408" s="11">
        <v>45985.590277777781</v>
      </c>
      <c r="F1408" s="11">
        <v>45985.722222222219</v>
      </c>
      <c r="G1408" s="12">
        <v>0.13194444443797693</v>
      </c>
      <c r="H1408" s="2" t="s">
        <v>268</v>
      </c>
      <c r="I1408" s="2" t="s">
        <v>269</v>
      </c>
      <c r="J1408" s="2" t="s">
        <v>319</v>
      </c>
      <c r="K1408" s="2" t="s">
        <v>652</v>
      </c>
      <c r="L1408" s="2" t="s">
        <v>3802</v>
      </c>
      <c r="M1408" t="s">
        <v>663</v>
      </c>
      <c r="N1408" t="s">
        <v>672</v>
      </c>
      <c r="O1408" t="s">
        <v>3803</v>
      </c>
      <c r="P1408" t="s">
        <v>3807</v>
      </c>
      <c r="Q1408" t="s">
        <v>2713</v>
      </c>
    </row>
    <row r="1409" spans="1:17">
      <c r="A1409" s="2" t="s">
        <v>255</v>
      </c>
      <c r="B1409" s="2" t="s">
        <v>255</v>
      </c>
      <c r="C1409" s="2" t="s">
        <v>256</v>
      </c>
      <c r="D1409" s="11">
        <v>45986.229166666664</v>
      </c>
      <c r="E1409" s="11">
        <v>45986.229166666664</v>
      </c>
      <c r="F1409" s="11">
        <v>45986.329861111109</v>
      </c>
      <c r="G1409" s="12">
        <v>0.10069444444525288</v>
      </c>
      <c r="H1409" s="2" t="s">
        <v>257</v>
      </c>
      <c r="J1409" s="2" t="s">
        <v>258</v>
      </c>
      <c r="K1409" s="2" t="s">
        <v>658</v>
      </c>
      <c r="L1409" s="2" t="s">
        <v>3808</v>
      </c>
      <c r="M1409" t="s">
        <v>260</v>
      </c>
      <c r="N1409" t="s">
        <v>253</v>
      </c>
      <c r="O1409" t="s">
        <v>2061</v>
      </c>
      <c r="P1409" t="s">
        <v>3809</v>
      </c>
      <c r="Q1409" t="s">
        <v>2281</v>
      </c>
    </row>
    <row r="1410" spans="1:17">
      <c r="A1410" s="2" t="s">
        <v>255</v>
      </c>
      <c r="B1410" s="2" t="s">
        <v>255</v>
      </c>
      <c r="C1410" s="2" t="s">
        <v>263</v>
      </c>
      <c r="D1410" s="11">
        <v>45986.229166666664</v>
      </c>
      <c r="E1410" s="11">
        <v>45986.229166666664</v>
      </c>
      <c r="F1410" s="11">
        <v>45986.329861111109</v>
      </c>
      <c r="G1410" s="12">
        <v>0.10069444444525288</v>
      </c>
      <c r="H1410" s="2" t="s">
        <v>257</v>
      </c>
      <c r="J1410" s="2" t="s">
        <v>258</v>
      </c>
      <c r="K1410" s="2" t="s">
        <v>658</v>
      </c>
      <c r="L1410" s="2" t="s">
        <v>3808</v>
      </c>
      <c r="M1410" t="s">
        <v>260</v>
      </c>
      <c r="N1410" t="s">
        <v>253</v>
      </c>
      <c r="O1410" t="s">
        <v>2061</v>
      </c>
      <c r="P1410" t="s">
        <v>3810</v>
      </c>
      <c r="Q1410" t="s">
        <v>2281</v>
      </c>
    </row>
    <row r="1411" spans="1:17">
      <c r="A1411" s="2" t="s">
        <v>255</v>
      </c>
      <c r="B1411" s="2" t="s">
        <v>255</v>
      </c>
      <c r="C1411" s="2" t="s">
        <v>264</v>
      </c>
      <c r="D1411" s="11">
        <v>45986.229166666664</v>
      </c>
      <c r="E1411" s="11">
        <v>45986.229166666664</v>
      </c>
      <c r="F1411" s="11">
        <v>45986.329861111109</v>
      </c>
      <c r="G1411" s="12">
        <v>0.10069444444525288</v>
      </c>
      <c r="H1411" s="2" t="s">
        <v>257</v>
      </c>
      <c r="J1411" s="2" t="s">
        <v>258</v>
      </c>
      <c r="K1411" s="2" t="s">
        <v>658</v>
      </c>
      <c r="L1411" s="2" t="s">
        <v>3808</v>
      </c>
      <c r="M1411" t="s">
        <v>260</v>
      </c>
      <c r="N1411" t="s">
        <v>253</v>
      </c>
      <c r="O1411" t="s">
        <v>2061</v>
      </c>
      <c r="P1411" t="s">
        <v>3811</v>
      </c>
      <c r="Q1411" t="s">
        <v>2281</v>
      </c>
    </row>
    <row r="1412" spans="1:17">
      <c r="A1412" s="2" t="s">
        <v>255</v>
      </c>
      <c r="B1412" s="2" t="s">
        <v>255</v>
      </c>
      <c r="C1412" s="2" t="s">
        <v>247</v>
      </c>
      <c r="D1412" s="11">
        <v>45986.229166666664</v>
      </c>
      <c r="E1412" s="11">
        <v>45986.229166666664</v>
      </c>
      <c r="F1412" s="11">
        <v>45986.329861111109</v>
      </c>
      <c r="G1412" s="12">
        <v>0.10069444444525288</v>
      </c>
      <c r="H1412" s="2" t="s">
        <v>257</v>
      </c>
      <c r="J1412" s="2" t="s">
        <v>258</v>
      </c>
      <c r="K1412" s="2" t="s">
        <v>658</v>
      </c>
      <c r="L1412" s="2" t="s">
        <v>3808</v>
      </c>
      <c r="M1412" t="s">
        <v>260</v>
      </c>
      <c r="N1412" t="s">
        <v>253</v>
      </c>
      <c r="O1412" t="s">
        <v>2061</v>
      </c>
      <c r="P1412" t="s">
        <v>3812</v>
      </c>
      <c r="Q1412" t="s">
        <v>2281</v>
      </c>
    </row>
    <row r="1413" spans="1:17">
      <c r="A1413" s="2" t="s">
        <v>265</v>
      </c>
      <c r="B1413" s="2" t="s">
        <v>265</v>
      </c>
      <c r="C1413" s="2" t="s">
        <v>263</v>
      </c>
      <c r="D1413" s="11">
        <v>45986.229166666664</v>
      </c>
      <c r="E1413" s="11">
        <v>45986.229166666664</v>
      </c>
      <c r="F1413" s="11">
        <v>45986.329861111109</v>
      </c>
      <c r="G1413" s="12">
        <v>0.10069444444525288</v>
      </c>
      <c r="H1413" s="2" t="s">
        <v>257</v>
      </c>
      <c r="J1413" s="2" t="s">
        <v>258</v>
      </c>
      <c r="K1413" s="2" t="s">
        <v>658</v>
      </c>
      <c r="L1413" s="2" t="s">
        <v>3808</v>
      </c>
      <c r="M1413" t="s">
        <v>260</v>
      </c>
      <c r="N1413" t="s">
        <v>253</v>
      </c>
      <c r="O1413" t="s">
        <v>2061</v>
      </c>
      <c r="P1413" t="s">
        <v>3813</v>
      </c>
      <c r="Q1413" t="s">
        <v>2281</v>
      </c>
    </row>
    <row r="1414" spans="1:17">
      <c r="A1414" s="2" t="s">
        <v>265</v>
      </c>
      <c r="B1414" s="2" t="s">
        <v>265</v>
      </c>
      <c r="C1414" s="2" t="s">
        <v>264</v>
      </c>
      <c r="D1414" s="11">
        <v>45986.229166666664</v>
      </c>
      <c r="E1414" s="11">
        <v>45986.229166666664</v>
      </c>
      <c r="F1414" s="11">
        <v>45986.329861111109</v>
      </c>
      <c r="G1414" s="12">
        <v>0.10069444444525288</v>
      </c>
      <c r="H1414" s="2" t="s">
        <v>257</v>
      </c>
      <c r="J1414" s="2" t="s">
        <v>258</v>
      </c>
      <c r="K1414" s="2" t="s">
        <v>658</v>
      </c>
      <c r="L1414" s="2" t="s">
        <v>3808</v>
      </c>
      <c r="M1414" t="s">
        <v>260</v>
      </c>
      <c r="N1414" t="s">
        <v>253</v>
      </c>
      <c r="O1414" t="s">
        <v>2061</v>
      </c>
      <c r="P1414" t="s">
        <v>3814</v>
      </c>
      <c r="Q1414" t="s">
        <v>2281</v>
      </c>
    </row>
    <row r="1415" spans="1:17">
      <c r="A1415" s="2" t="s">
        <v>265</v>
      </c>
      <c r="B1415" s="2" t="s">
        <v>265</v>
      </c>
      <c r="C1415" s="2" t="s">
        <v>256</v>
      </c>
      <c r="D1415" s="11">
        <v>45986.229166666664</v>
      </c>
      <c r="E1415" s="11">
        <v>45986.229166666664</v>
      </c>
      <c r="F1415" s="11">
        <v>45986.329861111109</v>
      </c>
      <c r="G1415" s="12">
        <v>0.10069444444525288</v>
      </c>
      <c r="H1415" s="2" t="s">
        <v>257</v>
      </c>
      <c r="J1415" s="2" t="s">
        <v>258</v>
      </c>
      <c r="K1415" s="2" t="s">
        <v>658</v>
      </c>
      <c r="L1415" s="2" t="s">
        <v>3808</v>
      </c>
      <c r="M1415" t="s">
        <v>260</v>
      </c>
      <c r="N1415" t="s">
        <v>253</v>
      </c>
      <c r="O1415" t="s">
        <v>2061</v>
      </c>
      <c r="P1415" t="s">
        <v>3815</v>
      </c>
      <c r="Q1415" t="s">
        <v>2281</v>
      </c>
    </row>
    <row r="1416" spans="1:17">
      <c r="A1416" s="2" t="s">
        <v>265</v>
      </c>
      <c r="B1416" s="2" t="s">
        <v>265</v>
      </c>
      <c r="C1416" s="2" t="s">
        <v>247</v>
      </c>
      <c r="D1416" s="11">
        <v>45986.229166666664</v>
      </c>
      <c r="E1416" s="11">
        <v>45986.229166666664</v>
      </c>
      <c r="F1416" s="11">
        <v>45986.329861111109</v>
      </c>
      <c r="G1416" s="12">
        <v>0.10069444444525288</v>
      </c>
      <c r="H1416" s="2" t="s">
        <v>257</v>
      </c>
      <c r="J1416" s="2" t="s">
        <v>258</v>
      </c>
      <c r="K1416" s="2" t="s">
        <v>658</v>
      </c>
      <c r="L1416" s="2" t="s">
        <v>3808</v>
      </c>
      <c r="M1416" t="s">
        <v>260</v>
      </c>
      <c r="N1416" t="s">
        <v>253</v>
      </c>
      <c r="O1416" t="s">
        <v>2061</v>
      </c>
      <c r="P1416" t="s">
        <v>3816</v>
      </c>
      <c r="Q1416" t="s">
        <v>2281</v>
      </c>
    </row>
    <row r="1417" spans="1:17">
      <c r="A1417" s="2" t="s">
        <v>355</v>
      </c>
      <c r="B1417" s="2" t="s">
        <v>355</v>
      </c>
      <c r="C1417" s="2" t="s">
        <v>264</v>
      </c>
      <c r="D1417" s="11">
        <v>45986.229166666664</v>
      </c>
      <c r="E1417" s="11">
        <v>45986.229166666664</v>
      </c>
      <c r="F1417" s="11">
        <v>45986.329861111109</v>
      </c>
      <c r="G1417" s="12">
        <v>0.10069444444525288</v>
      </c>
      <c r="H1417" s="2" t="s">
        <v>257</v>
      </c>
      <c r="J1417" s="2" t="s">
        <v>258</v>
      </c>
      <c r="K1417" s="2" t="s">
        <v>658</v>
      </c>
      <c r="L1417" s="2" t="s">
        <v>3808</v>
      </c>
      <c r="M1417" t="s">
        <v>260</v>
      </c>
      <c r="N1417" t="s">
        <v>253</v>
      </c>
      <c r="O1417" t="s">
        <v>2061</v>
      </c>
      <c r="P1417" t="s">
        <v>3817</v>
      </c>
      <c r="Q1417" t="s">
        <v>2281</v>
      </c>
    </row>
    <row r="1418" spans="1:17">
      <c r="A1418" s="2" t="s">
        <v>355</v>
      </c>
      <c r="B1418" s="2" t="s">
        <v>355</v>
      </c>
      <c r="C1418" s="2" t="s">
        <v>256</v>
      </c>
      <c r="D1418" s="11">
        <v>45986.229166666664</v>
      </c>
      <c r="E1418" s="11">
        <v>45986.229166666664</v>
      </c>
      <c r="F1418" s="11">
        <v>45986.329861111109</v>
      </c>
      <c r="G1418" s="12">
        <v>0.10069444444525288</v>
      </c>
      <c r="H1418" s="2" t="s">
        <v>257</v>
      </c>
      <c r="J1418" s="2" t="s">
        <v>258</v>
      </c>
      <c r="K1418" s="2" t="s">
        <v>658</v>
      </c>
      <c r="L1418" s="2" t="s">
        <v>3808</v>
      </c>
      <c r="M1418" t="s">
        <v>260</v>
      </c>
      <c r="N1418" t="s">
        <v>253</v>
      </c>
      <c r="O1418" t="s">
        <v>2061</v>
      </c>
      <c r="P1418" t="s">
        <v>3818</v>
      </c>
      <c r="Q1418" t="s">
        <v>2281</v>
      </c>
    </row>
    <row r="1419" spans="1:17">
      <c r="A1419" s="2" t="s">
        <v>803</v>
      </c>
      <c r="B1419" s="2" t="s">
        <v>803</v>
      </c>
      <c r="C1419" s="2" t="s">
        <v>264</v>
      </c>
      <c r="D1419" s="11">
        <v>45986.229166666664</v>
      </c>
      <c r="E1419" s="11">
        <v>45986.229166666664</v>
      </c>
      <c r="F1419" s="11">
        <v>45986.329861111109</v>
      </c>
      <c r="G1419" s="12">
        <v>0.10069444444525288</v>
      </c>
      <c r="H1419" s="2" t="s">
        <v>257</v>
      </c>
      <c r="J1419" s="2" t="s">
        <v>258</v>
      </c>
      <c r="K1419" s="2" t="s">
        <v>658</v>
      </c>
      <c r="L1419" s="2" t="s">
        <v>3808</v>
      </c>
      <c r="M1419" t="s">
        <v>260</v>
      </c>
      <c r="N1419" t="s">
        <v>253</v>
      </c>
      <c r="O1419" t="s">
        <v>2061</v>
      </c>
      <c r="P1419" t="s">
        <v>3819</v>
      </c>
      <c r="Q1419" t="s">
        <v>2281</v>
      </c>
    </row>
    <row r="1420" spans="1:17">
      <c r="A1420" s="2" t="s">
        <v>803</v>
      </c>
      <c r="B1420" s="2" t="s">
        <v>803</v>
      </c>
      <c r="C1420" s="2" t="s">
        <v>256</v>
      </c>
      <c r="D1420" s="11">
        <v>45986.229166666664</v>
      </c>
      <c r="E1420" s="11">
        <v>45986.229166666664</v>
      </c>
      <c r="F1420" s="11">
        <v>45986.329861111109</v>
      </c>
      <c r="G1420" s="12">
        <v>0.10069444444525288</v>
      </c>
      <c r="H1420" s="2" t="s">
        <v>257</v>
      </c>
      <c r="J1420" s="2" t="s">
        <v>258</v>
      </c>
      <c r="K1420" s="2" t="s">
        <v>658</v>
      </c>
      <c r="L1420" s="2" t="s">
        <v>3808</v>
      </c>
      <c r="M1420" t="s">
        <v>260</v>
      </c>
      <c r="N1420" t="s">
        <v>253</v>
      </c>
      <c r="O1420" t="s">
        <v>2061</v>
      </c>
      <c r="P1420" t="s">
        <v>3820</v>
      </c>
      <c r="Q1420" t="s">
        <v>2281</v>
      </c>
    </row>
    <row r="1421" spans="1:17">
      <c r="A1421" s="2" t="s">
        <v>803</v>
      </c>
      <c r="B1421" s="2" t="s">
        <v>803</v>
      </c>
      <c r="C1421" s="2" t="s">
        <v>307</v>
      </c>
      <c r="D1421" s="11">
        <v>45986.229166666664</v>
      </c>
      <c r="E1421" s="11">
        <v>45986.229166666664</v>
      </c>
      <c r="F1421" s="11">
        <v>45986.329861111109</v>
      </c>
      <c r="G1421" s="12">
        <v>0.10069444444525288</v>
      </c>
      <c r="H1421" s="2" t="s">
        <v>257</v>
      </c>
      <c r="J1421" s="2" t="s">
        <v>258</v>
      </c>
      <c r="K1421" s="2" t="s">
        <v>658</v>
      </c>
      <c r="L1421" s="2" t="s">
        <v>3808</v>
      </c>
      <c r="M1421" t="s">
        <v>260</v>
      </c>
      <c r="N1421" t="s">
        <v>253</v>
      </c>
      <c r="O1421" t="s">
        <v>2061</v>
      </c>
      <c r="P1421" t="s">
        <v>3821</v>
      </c>
      <c r="Q1421" t="s">
        <v>2281</v>
      </c>
    </row>
    <row r="1422" spans="1:17">
      <c r="A1422" s="2" t="s">
        <v>803</v>
      </c>
      <c r="B1422" s="2" t="s">
        <v>803</v>
      </c>
      <c r="C1422" s="2" t="s">
        <v>263</v>
      </c>
      <c r="D1422" s="11">
        <v>45986.229166666664</v>
      </c>
      <c r="E1422" s="11">
        <v>45986.229166666664</v>
      </c>
      <c r="F1422" s="11">
        <v>45986.329861111109</v>
      </c>
      <c r="G1422" s="12">
        <v>0.10069444444525288</v>
      </c>
      <c r="H1422" s="2" t="s">
        <v>257</v>
      </c>
      <c r="J1422" s="2" t="s">
        <v>258</v>
      </c>
      <c r="K1422" s="2" t="s">
        <v>658</v>
      </c>
      <c r="L1422" s="2" t="s">
        <v>3808</v>
      </c>
      <c r="M1422" t="s">
        <v>260</v>
      </c>
      <c r="N1422" t="s">
        <v>253</v>
      </c>
      <c r="O1422" t="s">
        <v>2061</v>
      </c>
      <c r="P1422" t="s">
        <v>3822</v>
      </c>
      <c r="Q1422" t="s">
        <v>2281</v>
      </c>
    </row>
    <row r="1423" spans="1:17">
      <c r="A1423" s="2" t="s">
        <v>805</v>
      </c>
      <c r="B1423" s="2" t="s">
        <v>805</v>
      </c>
      <c r="C1423" s="2" t="s">
        <v>264</v>
      </c>
      <c r="D1423" s="11">
        <v>45986.229166666664</v>
      </c>
      <c r="E1423" s="11">
        <v>45986.229166666664</v>
      </c>
      <c r="F1423" s="11">
        <v>45986.329861111109</v>
      </c>
      <c r="G1423" s="12">
        <v>0.10069444444525288</v>
      </c>
      <c r="H1423" s="2" t="s">
        <v>257</v>
      </c>
      <c r="J1423" s="2" t="s">
        <v>258</v>
      </c>
      <c r="K1423" s="2" t="s">
        <v>658</v>
      </c>
      <c r="L1423" s="2" t="s">
        <v>3808</v>
      </c>
      <c r="M1423" t="s">
        <v>260</v>
      </c>
      <c r="N1423" t="s">
        <v>253</v>
      </c>
      <c r="O1423" t="s">
        <v>2061</v>
      </c>
      <c r="P1423" t="s">
        <v>3823</v>
      </c>
      <c r="Q1423" t="s">
        <v>2281</v>
      </c>
    </row>
    <row r="1424" spans="1:17">
      <c r="A1424" s="2" t="s">
        <v>805</v>
      </c>
      <c r="B1424" s="2" t="s">
        <v>805</v>
      </c>
      <c r="C1424" s="2" t="s">
        <v>256</v>
      </c>
      <c r="D1424" s="11">
        <v>45986.229166666664</v>
      </c>
      <c r="E1424" s="11">
        <v>45986.229166666664</v>
      </c>
      <c r="F1424" s="11">
        <v>45986.329861111109</v>
      </c>
      <c r="G1424" s="12">
        <v>0.10069444444525288</v>
      </c>
      <c r="H1424" s="2" t="s">
        <v>257</v>
      </c>
      <c r="J1424" s="2" t="s">
        <v>258</v>
      </c>
      <c r="K1424" s="2" t="s">
        <v>658</v>
      </c>
      <c r="L1424" s="2" t="s">
        <v>3808</v>
      </c>
      <c r="M1424" t="s">
        <v>260</v>
      </c>
      <c r="N1424" t="s">
        <v>253</v>
      </c>
      <c r="O1424" t="s">
        <v>2061</v>
      </c>
      <c r="P1424" t="s">
        <v>3824</v>
      </c>
      <c r="Q1424" t="s">
        <v>2281</v>
      </c>
    </row>
    <row r="1425" spans="1:17">
      <c r="A1425" s="2" t="s">
        <v>805</v>
      </c>
      <c r="B1425" s="2" t="s">
        <v>805</v>
      </c>
      <c r="C1425" s="2" t="s">
        <v>307</v>
      </c>
      <c r="D1425" s="11">
        <v>45986.229166666664</v>
      </c>
      <c r="E1425" s="11">
        <v>45986.229166666664</v>
      </c>
      <c r="F1425" s="11">
        <v>45986.329861111109</v>
      </c>
      <c r="G1425" s="12">
        <v>0.10069444444525288</v>
      </c>
      <c r="H1425" s="2" t="s">
        <v>257</v>
      </c>
      <c r="J1425" s="2" t="s">
        <v>258</v>
      </c>
      <c r="K1425" s="2" t="s">
        <v>658</v>
      </c>
      <c r="L1425" s="2" t="s">
        <v>3808</v>
      </c>
      <c r="M1425" t="s">
        <v>260</v>
      </c>
      <c r="N1425" t="s">
        <v>253</v>
      </c>
      <c r="O1425" t="s">
        <v>2061</v>
      </c>
      <c r="P1425" t="s">
        <v>3825</v>
      </c>
      <c r="Q1425" t="s">
        <v>2281</v>
      </c>
    </row>
    <row r="1426" spans="1:17">
      <c r="A1426" s="2" t="s">
        <v>805</v>
      </c>
      <c r="B1426" s="2" t="s">
        <v>805</v>
      </c>
      <c r="C1426" s="2" t="s">
        <v>263</v>
      </c>
      <c r="D1426" s="11">
        <v>45986.229166666664</v>
      </c>
      <c r="E1426" s="11">
        <v>45986.229166666664</v>
      </c>
      <c r="F1426" s="11">
        <v>45986.329861111109</v>
      </c>
      <c r="G1426" s="12">
        <v>0.10069444444525288</v>
      </c>
      <c r="H1426" s="2" t="s">
        <v>257</v>
      </c>
      <c r="J1426" s="2" t="s">
        <v>258</v>
      </c>
      <c r="K1426" s="2" t="s">
        <v>658</v>
      </c>
      <c r="L1426" s="2" t="s">
        <v>3808</v>
      </c>
      <c r="M1426" t="s">
        <v>260</v>
      </c>
      <c r="N1426" t="s">
        <v>253</v>
      </c>
      <c r="O1426" t="s">
        <v>2061</v>
      </c>
      <c r="P1426" t="s">
        <v>3826</v>
      </c>
      <c r="Q1426" t="s">
        <v>2281</v>
      </c>
    </row>
    <row r="1427" spans="1:17">
      <c r="A1427" s="2" t="s">
        <v>806</v>
      </c>
      <c r="B1427" s="2" t="s">
        <v>806</v>
      </c>
      <c r="C1427" s="2" t="s">
        <v>264</v>
      </c>
      <c r="D1427" s="11">
        <v>45986.229166666664</v>
      </c>
      <c r="E1427" s="11">
        <v>45986.229166666664</v>
      </c>
      <c r="F1427" s="11">
        <v>45986.329861111109</v>
      </c>
      <c r="G1427" s="12">
        <v>0.10069444444525288</v>
      </c>
      <c r="H1427" s="2" t="s">
        <v>257</v>
      </c>
      <c r="J1427" s="2" t="s">
        <v>258</v>
      </c>
      <c r="K1427" s="2" t="s">
        <v>658</v>
      </c>
      <c r="L1427" s="2" t="s">
        <v>3808</v>
      </c>
      <c r="M1427" t="s">
        <v>260</v>
      </c>
      <c r="N1427" t="s">
        <v>253</v>
      </c>
      <c r="O1427" t="s">
        <v>2061</v>
      </c>
      <c r="P1427" t="s">
        <v>3827</v>
      </c>
      <c r="Q1427" t="s">
        <v>2281</v>
      </c>
    </row>
    <row r="1428" spans="1:17">
      <c r="A1428" s="2" t="s">
        <v>806</v>
      </c>
      <c r="B1428" s="2" t="s">
        <v>806</v>
      </c>
      <c r="C1428" s="2" t="s">
        <v>256</v>
      </c>
      <c r="D1428" s="11">
        <v>45986.229166666664</v>
      </c>
      <c r="E1428" s="11">
        <v>45986.229166666664</v>
      </c>
      <c r="F1428" s="11">
        <v>45986.329861111109</v>
      </c>
      <c r="G1428" s="12">
        <v>0.10069444444525288</v>
      </c>
      <c r="H1428" s="2" t="s">
        <v>257</v>
      </c>
      <c r="J1428" s="2" t="s">
        <v>258</v>
      </c>
      <c r="K1428" s="2" t="s">
        <v>658</v>
      </c>
      <c r="L1428" s="2" t="s">
        <v>3808</v>
      </c>
      <c r="M1428" t="s">
        <v>260</v>
      </c>
      <c r="N1428" t="s">
        <v>253</v>
      </c>
      <c r="O1428" t="s">
        <v>2061</v>
      </c>
      <c r="P1428" t="s">
        <v>3828</v>
      </c>
      <c r="Q1428" t="s">
        <v>2281</v>
      </c>
    </row>
    <row r="1429" spans="1:17">
      <c r="A1429" s="2" t="s">
        <v>2123</v>
      </c>
      <c r="B1429" s="2" t="s">
        <v>585</v>
      </c>
      <c r="C1429" s="2" t="s">
        <v>602</v>
      </c>
      <c r="D1429" s="11">
        <v>45986.239583333336</v>
      </c>
      <c r="E1429" s="11">
        <v>45986.239583333336</v>
      </c>
      <c r="F1429" s="11">
        <v>45986.336805555555</v>
      </c>
      <c r="G1429" s="12">
        <f>F1429-E1429</f>
        <v>9.7222222218988463E-2</v>
      </c>
      <c r="H1429" s="2" t="s">
        <v>257</v>
      </c>
      <c r="J1429" s="2" t="s">
        <v>258</v>
      </c>
      <c r="K1429" s="2" t="s">
        <v>658</v>
      </c>
      <c r="L1429" s="2" t="s">
        <v>2286</v>
      </c>
      <c r="M1429" t="s">
        <v>260</v>
      </c>
      <c r="N1429" t="s">
        <v>357</v>
      </c>
      <c r="O1429" t="s">
        <v>632</v>
      </c>
      <c r="P1429" t="s">
        <v>3829</v>
      </c>
      <c r="Q1429" t="s">
        <v>2281</v>
      </c>
    </row>
    <row r="1430" spans="1:17">
      <c r="A1430" s="2" t="s">
        <v>2125</v>
      </c>
      <c r="B1430" s="2" t="s">
        <v>585</v>
      </c>
      <c r="C1430" s="2" t="s">
        <v>595</v>
      </c>
      <c r="D1430" s="11">
        <v>45986.239583333336</v>
      </c>
      <c r="E1430" s="11">
        <v>45986.239583333336</v>
      </c>
      <c r="F1430" s="11">
        <v>45986.336805555555</v>
      </c>
      <c r="G1430" s="12">
        <f>F1430-E1430</f>
        <v>9.7222222218988463E-2</v>
      </c>
      <c r="H1430" s="2" t="s">
        <v>257</v>
      </c>
      <c r="J1430" s="2" t="s">
        <v>258</v>
      </c>
      <c r="K1430" s="2" t="s">
        <v>658</v>
      </c>
      <c r="L1430" s="2" t="s">
        <v>2286</v>
      </c>
      <c r="M1430" t="s">
        <v>260</v>
      </c>
      <c r="N1430" t="s">
        <v>357</v>
      </c>
      <c r="O1430" t="s">
        <v>632</v>
      </c>
      <c r="P1430" t="s">
        <v>3830</v>
      </c>
      <c r="Q1430" t="s">
        <v>2281</v>
      </c>
    </row>
    <row r="1431" spans="1:17">
      <c r="A1431" s="2" t="s">
        <v>2125</v>
      </c>
      <c r="B1431" s="2" t="s">
        <v>585</v>
      </c>
      <c r="C1431" s="2" t="s">
        <v>592</v>
      </c>
      <c r="D1431" s="11">
        <v>45986.239583333336</v>
      </c>
      <c r="E1431" s="11">
        <v>45986.239583333336</v>
      </c>
      <c r="F1431" s="11">
        <v>45986.336805555555</v>
      </c>
      <c r="G1431" s="12">
        <f>F1431-E1431</f>
        <v>9.7222222218988463E-2</v>
      </c>
      <c r="H1431" s="2" t="s">
        <v>257</v>
      </c>
      <c r="J1431" s="2" t="s">
        <v>258</v>
      </c>
      <c r="K1431" s="2" t="s">
        <v>658</v>
      </c>
      <c r="L1431" s="2" t="s">
        <v>2286</v>
      </c>
      <c r="M1431" t="s">
        <v>260</v>
      </c>
      <c r="N1431" t="s">
        <v>357</v>
      </c>
      <c r="O1431" t="s">
        <v>632</v>
      </c>
      <c r="P1431" t="s">
        <v>3831</v>
      </c>
      <c r="Q1431" t="s">
        <v>2281</v>
      </c>
    </row>
    <row r="1432" spans="1:17">
      <c r="A1432" s="2" t="s">
        <v>2125</v>
      </c>
      <c r="B1432" s="2" t="s">
        <v>585</v>
      </c>
      <c r="C1432" s="2" t="s">
        <v>589</v>
      </c>
      <c r="D1432" s="11">
        <v>45986.239583333336</v>
      </c>
      <c r="E1432" s="11">
        <v>45986.239583333336</v>
      </c>
      <c r="F1432" s="11">
        <v>45986.336805555555</v>
      </c>
      <c r="G1432" s="12">
        <f>F1432-E1432</f>
        <v>9.7222222218988463E-2</v>
      </c>
      <c r="H1432" s="2" t="s">
        <v>257</v>
      </c>
      <c r="J1432" s="2" t="s">
        <v>258</v>
      </c>
      <c r="K1432" s="2" t="s">
        <v>658</v>
      </c>
      <c r="L1432" s="2" t="s">
        <v>2286</v>
      </c>
      <c r="M1432" t="s">
        <v>260</v>
      </c>
      <c r="N1432" t="s">
        <v>357</v>
      </c>
      <c r="O1432" t="s">
        <v>632</v>
      </c>
      <c r="P1432" t="s">
        <v>3832</v>
      </c>
      <c r="Q1432" t="s">
        <v>2281</v>
      </c>
    </row>
    <row r="1433" spans="1:17">
      <c r="A1433" s="2" t="s">
        <v>2125</v>
      </c>
      <c r="B1433" s="2" t="s">
        <v>585</v>
      </c>
      <c r="C1433" s="2" t="s">
        <v>593</v>
      </c>
      <c r="D1433" s="11">
        <v>45986.239583333336</v>
      </c>
      <c r="E1433" s="11">
        <v>45986.239583333336</v>
      </c>
      <c r="F1433" s="11">
        <v>45986.336805555555</v>
      </c>
      <c r="G1433" s="12">
        <f>F1433-E1433</f>
        <v>9.7222222218988463E-2</v>
      </c>
      <c r="H1433" s="2" t="s">
        <v>257</v>
      </c>
      <c r="J1433" s="2" t="s">
        <v>258</v>
      </c>
      <c r="K1433" s="2" t="s">
        <v>658</v>
      </c>
      <c r="L1433" s="2" t="s">
        <v>2286</v>
      </c>
      <c r="M1433" t="s">
        <v>260</v>
      </c>
      <c r="N1433" t="s">
        <v>357</v>
      </c>
      <c r="O1433" t="s">
        <v>632</v>
      </c>
      <c r="P1433" t="s">
        <v>3833</v>
      </c>
      <c r="Q1433" t="s">
        <v>2281</v>
      </c>
    </row>
    <row r="1434" spans="1:17">
      <c r="A1434" s="2" t="s">
        <v>2125</v>
      </c>
      <c r="B1434" s="2" t="s">
        <v>585</v>
      </c>
      <c r="C1434" s="2" t="s">
        <v>591</v>
      </c>
      <c r="D1434" s="11">
        <v>45986.239583333336</v>
      </c>
      <c r="E1434" s="11">
        <v>45986.239583333336</v>
      </c>
      <c r="F1434" s="11">
        <v>45986.336805555555</v>
      </c>
      <c r="G1434" s="12">
        <f>F1434-E1434</f>
        <v>9.7222222218988463E-2</v>
      </c>
      <c r="H1434" s="2" t="s">
        <v>257</v>
      </c>
      <c r="J1434" s="2" t="s">
        <v>258</v>
      </c>
      <c r="K1434" s="2" t="s">
        <v>658</v>
      </c>
      <c r="L1434" s="2" t="s">
        <v>2286</v>
      </c>
      <c r="M1434" t="s">
        <v>260</v>
      </c>
      <c r="N1434" t="s">
        <v>357</v>
      </c>
      <c r="O1434" t="s">
        <v>632</v>
      </c>
      <c r="P1434" t="s">
        <v>3834</v>
      </c>
      <c r="Q1434" t="s">
        <v>2281</v>
      </c>
    </row>
    <row r="1435" spans="1:17">
      <c r="A1435" s="2" t="s">
        <v>2125</v>
      </c>
      <c r="B1435" s="2" t="s">
        <v>585</v>
      </c>
      <c r="C1435" s="2" t="s">
        <v>2293</v>
      </c>
      <c r="D1435" s="11">
        <v>45986.239583333336</v>
      </c>
      <c r="E1435" s="11">
        <v>45986.239583333336</v>
      </c>
      <c r="F1435" s="11">
        <v>45986.336805555555</v>
      </c>
      <c r="G1435" s="12">
        <f>F1435-E1435</f>
        <v>9.7222222218988463E-2</v>
      </c>
      <c r="H1435" s="2" t="s">
        <v>257</v>
      </c>
      <c r="J1435" s="2" t="s">
        <v>258</v>
      </c>
      <c r="K1435" s="2" t="s">
        <v>658</v>
      </c>
      <c r="L1435" s="2" t="s">
        <v>2286</v>
      </c>
      <c r="M1435" t="s">
        <v>260</v>
      </c>
      <c r="N1435" t="s">
        <v>357</v>
      </c>
      <c r="O1435" t="s">
        <v>632</v>
      </c>
      <c r="P1435" t="s">
        <v>3835</v>
      </c>
      <c r="Q1435" t="s">
        <v>2281</v>
      </c>
    </row>
    <row r="1436" spans="1:17">
      <c r="A1436" s="2" t="s">
        <v>2134</v>
      </c>
      <c r="B1436" s="2" t="s">
        <v>585</v>
      </c>
      <c r="C1436" s="2" t="s">
        <v>590</v>
      </c>
      <c r="D1436" s="11">
        <v>45986.239583333336</v>
      </c>
      <c r="E1436" s="11">
        <v>45986.239583333336</v>
      </c>
      <c r="F1436" s="11">
        <v>45986.336805555555</v>
      </c>
      <c r="G1436" s="12">
        <f>F1436-E1436</f>
        <v>9.7222222218988463E-2</v>
      </c>
      <c r="H1436" s="2" t="s">
        <v>257</v>
      </c>
      <c r="J1436" s="2" t="s">
        <v>258</v>
      </c>
      <c r="K1436" s="2" t="s">
        <v>658</v>
      </c>
      <c r="L1436" s="2" t="s">
        <v>2286</v>
      </c>
      <c r="M1436" t="s">
        <v>260</v>
      </c>
      <c r="N1436" t="s">
        <v>357</v>
      </c>
      <c r="O1436" t="s">
        <v>632</v>
      </c>
      <c r="P1436" t="s">
        <v>3836</v>
      </c>
      <c r="Q1436" t="s">
        <v>2281</v>
      </c>
    </row>
    <row r="1437" spans="1:17">
      <c r="A1437" s="2" t="s">
        <v>2134</v>
      </c>
      <c r="B1437" s="2" t="s">
        <v>585</v>
      </c>
      <c r="C1437" s="2" t="s">
        <v>2091</v>
      </c>
      <c r="D1437" s="11">
        <v>45986.239583333336</v>
      </c>
      <c r="E1437" s="11">
        <v>45986.239583333336</v>
      </c>
      <c r="F1437" s="11">
        <v>45986.336805555555</v>
      </c>
      <c r="G1437" s="12">
        <f>F1437-E1437</f>
        <v>9.7222222218988463E-2</v>
      </c>
      <c r="H1437" s="2" t="s">
        <v>257</v>
      </c>
      <c r="J1437" s="2" t="s">
        <v>258</v>
      </c>
      <c r="K1437" s="2" t="s">
        <v>658</v>
      </c>
      <c r="L1437" s="2" t="s">
        <v>2286</v>
      </c>
      <c r="M1437" t="s">
        <v>260</v>
      </c>
      <c r="N1437" t="s">
        <v>357</v>
      </c>
      <c r="O1437" t="s">
        <v>632</v>
      </c>
      <c r="P1437" t="s">
        <v>3837</v>
      </c>
      <c r="Q1437" t="s">
        <v>2281</v>
      </c>
    </row>
    <row r="1438" spans="1:17">
      <c r="A1438" s="2" t="s">
        <v>2134</v>
      </c>
      <c r="B1438" s="2" t="s">
        <v>585</v>
      </c>
      <c r="C1438" s="2" t="s">
        <v>586</v>
      </c>
      <c r="D1438" s="11">
        <v>45986.239583333336</v>
      </c>
      <c r="E1438" s="11">
        <v>45986.239583333336</v>
      </c>
      <c r="F1438" s="11">
        <v>45986.336805555555</v>
      </c>
      <c r="G1438" s="12">
        <f>F1438-E1438</f>
        <v>9.7222222218988463E-2</v>
      </c>
      <c r="H1438" s="2" t="s">
        <v>257</v>
      </c>
      <c r="J1438" s="2" t="s">
        <v>258</v>
      </c>
      <c r="K1438" s="2" t="s">
        <v>658</v>
      </c>
      <c r="L1438" s="2" t="s">
        <v>2286</v>
      </c>
      <c r="M1438" t="s">
        <v>260</v>
      </c>
      <c r="N1438" t="s">
        <v>357</v>
      </c>
      <c r="O1438" t="s">
        <v>632</v>
      </c>
      <c r="P1438" t="s">
        <v>3838</v>
      </c>
      <c r="Q1438" t="s">
        <v>2281</v>
      </c>
    </row>
    <row r="1439" spans="1:17">
      <c r="A1439" s="2" t="s">
        <v>2134</v>
      </c>
      <c r="B1439" s="2" t="s">
        <v>585</v>
      </c>
      <c r="C1439" s="2" t="s">
        <v>598</v>
      </c>
      <c r="D1439" s="11">
        <v>45986.239583333336</v>
      </c>
      <c r="E1439" s="11">
        <v>45986.239583333336</v>
      </c>
      <c r="F1439" s="11">
        <v>45986.336805555555</v>
      </c>
      <c r="G1439" s="12">
        <f>F1439-E1439</f>
        <v>9.7222222218988463E-2</v>
      </c>
      <c r="H1439" s="2" t="s">
        <v>257</v>
      </c>
      <c r="J1439" s="2" t="s">
        <v>258</v>
      </c>
      <c r="K1439" s="2" t="s">
        <v>658</v>
      </c>
      <c r="L1439" s="2" t="s">
        <v>2286</v>
      </c>
      <c r="M1439" t="s">
        <v>260</v>
      </c>
      <c r="N1439" t="s">
        <v>357</v>
      </c>
      <c r="O1439" t="s">
        <v>632</v>
      </c>
      <c r="P1439" t="s">
        <v>3839</v>
      </c>
      <c r="Q1439" t="s">
        <v>2281</v>
      </c>
    </row>
    <row r="1440" spans="1:17">
      <c r="A1440" s="2" t="s">
        <v>2134</v>
      </c>
      <c r="B1440" s="2" t="s">
        <v>585</v>
      </c>
      <c r="C1440" s="2" t="s">
        <v>600</v>
      </c>
      <c r="D1440" s="11">
        <v>45986.239583333336</v>
      </c>
      <c r="E1440" s="11">
        <v>45986.239583333336</v>
      </c>
      <c r="F1440" s="11">
        <v>45986.336805555555</v>
      </c>
      <c r="G1440" s="12">
        <f>F1440-E1440</f>
        <v>9.7222222218988463E-2</v>
      </c>
      <c r="H1440" s="2" t="s">
        <v>257</v>
      </c>
      <c r="J1440" s="2" t="s">
        <v>258</v>
      </c>
      <c r="K1440" s="2" t="s">
        <v>658</v>
      </c>
      <c r="L1440" s="2" t="s">
        <v>2286</v>
      </c>
      <c r="M1440" t="s">
        <v>260</v>
      </c>
      <c r="N1440" t="s">
        <v>357</v>
      </c>
      <c r="O1440" t="s">
        <v>632</v>
      </c>
      <c r="P1440" t="s">
        <v>3840</v>
      </c>
      <c r="Q1440" t="s">
        <v>2281</v>
      </c>
    </row>
    <row r="1441" spans="1:17">
      <c r="A1441" s="2" t="s">
        <v>2134</v>
      </c>
      <c r="B1441" s="2" t="s">
        <v>585</v>
      </c>
      <c r="C1441" s="2" t="s">
        <v>596</v>
      </c>
      <c r="D1441" s="11">
        <v>45986.239583333336</v>
      </c>
      <c r="E1441" s="11">
        <v>45986.239583333336</v>
      </c>
      <c r="F1441" s="11">
        <v>45986.336805555555</v>
      </c>
      <c r="G1441" s="12">
        <f>F1441-E1441</f>
        <v>9.7222222218988463E-2</v>
      </c>
      <c r="H1441" s="2" t="s">
        <v>257</v>
      </c>
      <c r="J1441" s="2" t="s">
        <v>258</v>
      </c>
      <c r="K1441" s="2" t="s">
        <v>658</v>
      </c>
      <c r="L1441" s="2" t="s">
        <v>2286</v>
      </c>
      <c r="M1441" t="s">
        <v>260</v>
      </c>
      <c r="N1441" t="s">
        <v>357</v>
      </c>
      <c r="O1441" t="s">
        <v>632</v>
      </c>
      <c r="P1441" t="s">
        <v>3841</v>
      </c>
      <c r="Q1441" t="s">
        <v>2281</v>
      </c>
    </row>
    <row r="1442" spans="1:17">
      <c r="A1442" s="2" t="s">
        <v>2134</v>
      </c>
      <c r="B1442" s="2" t="s">
        <v>585</v>
      </c>
      <c r="C1442" s="2" t="s">
        <v>599</v>
      </c>
      <c r="D1442" s="11">
        <v>45986.239583333336</v>
      </c>
      <c r="E1442" s="11">
        <v>45986.239583333336</v>
      </c>
      <c r="F1442" s="11">
        <v>45986.336805555555</v>
      </c>
      <c r="G1442" s="12">
        <f>F1442-E1442</f>
        <v>9.7222222218988463E-2</v>
      </c>
      <c r="H1442" s="2" t="s">
        <v>257</v>
      </c>
      <c r="J1442" s="2" t="s">
        <v>258</v>
      </c>
      <c r="K1442" s="2" t="s">
        <v>658</v>
      </c>
      <c r="L1442" s="2" t="s">
        <v>2286</v>
      </c>
      <c r="M1442" t="s">
        <v>260</v>
      </c>
      <c r="N1442" t="s">
        <v>357</v>
      </c>
      <c r="O1442" t="s">
        <v>632</v>
      </c>
      <c r="P1442" t="s">
        <v>3842</v>
      </c>
      <c r="Q1442" t="s">
        <v>2281</v>
      </c>
    </row>
    <row r="1443" spans="1:17">
      <c r="A1443" s="2" t="s">
        <v>2134</v>
      </c>
      <c r="B1443" s="2" t="s">
        <v>585</v>
      </c>
      <c r="C1443" s="2" t="s">
        <v>603</v>
      </c>
      <c r="D1443" s="11">
        <v>45986.239583333336</v>
      </c>
      <c r="E1443" s="11">
        <v>45986.239583333336</v>
      </c>
      <c r="F1443" s="11">
        <v>45986.336805555555</v>
      </c>
      <c r="G1443" s="12">
        <f>F1443-E1443</f>
        <v>9.7222222218988463E-2</v>
      </c>
      <c r="H1443" s="2" t="s">
        <v>257</v>
      </c>
      <c r="J1443" s="2" t="s">
        <v>258</v>
      </c>
      <c r="K1443" s="2" t="s">
        <v>658</v>
      </c>
      <c r="L1443" s="2" t="s">
        <v>2286</v>
      </c>
      <c r="M1443" t="s">
        <v>260</v>
      </c>
      <c r="N1443" t="s">
        <v>357</v>
      </c>
      <c r="O1443" t="s">
        <v>632</v>
      </c>
      <c r="P1443" t="s">
        <v>3843</v>
      </c>
      <c r="Q1443" t="s">
        <v>2281</v>
      </c>
    </row>
    <row r="1444" spans="1:17">
      <c r="A1444" s="2" t="s">
        <v>2134</v>
      </c>
      <c r="B1444" s="2" t="s">
        <v>585</v>
      </c>
      <c r="C1444" s="2" t="s">
        <v>588</v>
      </c>
      <c r="D1444" s="11">
        <v>45986.239583333336</v>
      </c>
      <c r="E1444" s="11">
        <v>45986.239583333336</v>
      </c>
      <c r="F1444" s="11">
        <v>45986.336805555555</v>
      </c>
      <c r="G1444" s="12">
        <f>F1444-E1444</f>
        <v>9.7222222218988463E-2</v>
      </c>
      <c r="H1444" s="2" t="s">
        <v>257</v>
      </c>
      <c r="J1444" s="2" t="s">
        <v>258</v>
      </c>
      <c r="K1444" s="2" t="s">
        <v>658</v>
      </c>
      <c r="L1444" s="2" t="s">
        <v>2286</v>
      </c>
      <c r="M1444" t="s">
        <v>260</v>
      </c>
      <c r="N1444" t="s">
        <v>357</v>
      </c>
      <c r="O1444" t="s">
        <v>632</v>
      </c>
      <c r="P1444" t="s">
        <v>3844</v>
      </c>
      <c r="Q1444" t="s">
        <v>2281</v>
      </c>
    </row>
    <row r="1445" spans="1:17">
      <c r="A1445" s="2" t="s">
        <v>2134</v>
      </c>
      <c r="B1445" s="2" t="s">
        <v>585</v>
      </c>
      <c r="C1445" s="2" t="s">
        <v>594</v>
      </c>
      <c r="D1445" s="11">
        <v>45986.239583333336</v>
      </c>
      <c r="E1445" s="11">
        <v>45986.239583333336</v>
      </c>
      <c r="F1445" s="11">
        <v>45986.336805555555</v>
      </c>
      <c r="G1445" s="12">
        <f>F1445-E1445</f>
        <v>9.7222222218988463E-2</v>
      </c>
      <c r="H1445" s="2" t="s">
        <v>257</v>
      </c>
      <c r="J1445" s="2" t="s">
        <v>258</v>
      </c>
      <c r="K1445" s="2" t="s">
        <v>658</v>
      </c>
      <c r="L1445" s="2" t="s">
        <v>2286</v>
      </c>
      <c r="M1445" t="s">
        <v>260</v>
      </c>
      <c r="N1445" t="s">
        <v>357</v>
      </c>
      <c r="O1445" t="s">
        <v>632</v>
      </c>
      <c r="P1445" t="s">
        <v>3845</v>
      </c>
      <c r="Q1445" t="s">
        <v>2281</v>
      </c>
    </row>
    <row r="1446" spans="1:17">
      <c r="A1446" s="2" t="s">
        <v>2132</v>
      </c>
      <c r="B1446" s="2" t="s">
        <v>456</v>
      </c>
      <c r="C1446" s="2" t="s">
        <v>457</v>
      </c>
      <c r="D1446" s="11">
        <v>45986.239583333336</v>
      </c>
      <c r="E1446" s="11">
        <v>45986.239583333336</v>
      </c>
      <c r="F1446" s="11">
        <v>45986.315972222219</v>
      </c>
      <c r="G1446" s="12">
        <v>0.11805555555474712</v>
      </c>
      <c r="H1446" s="2" t="s">
        <v>257</v>
      </c>
      <c r="J1446" s="2" t="s">
        <v>258</v>
      </c>
      <c r="K1446" s="2" t="s">
        <v>658</v>
      </c>
      <c r="L1446" s="2" t="s">
        <v>2286</v>
      </c>
      <c r="M1446" t="s">
        <v>260</v>
      </c>
      <c r="N1446" t="s">
        <v>357</v>
      </c>
      <c r="O1446" t="s">
        <v>632</v>
      </c>
      <c r="P1446" t="s">
        <v>3846</v>
      </c>
      <c r="Q1446" t="s">
        <v>2281</v>
      </c>
    </row>
    <row r="1447" spans="1:17">
      <c r="A1447" s="2" t="s">
        <v>2132</v>
      </c>
      <c r="B1447" s="2" t="s">
        <v>456</v>
      </c>
      <c r="C1447" s="2" t="s">
        <v>459</v>
      </c>
      <c r="D1447" s="11">
        <v>45986.239583333336</v>
      </c>
      <c r="E1447" s="11">
        <v>45986.239583333336</v>
      </c>
      <c r="F1447" s="11">
        <v>45986.315972222219</v>
      </c>
      <c r="G1447" s="12">
        <v>0.11805555555474712</v>
      </c>
      <c r="H1447" s="2" t="s">
        <v>257</v>
      </c>
      <c r="J1447" s="2" t="s">
        <v>258</v>
      </c>
      <c r="K1447" s="2" t="s">
        <v>658</v>
      </c>
      <c r="L1447" s="2" t="s">
        <v>2286</v>
      </c>
      <c r="M1447" t="s">
        <v>260</v>
      </c>
      <c r="N1447" t="s">
        <v>357</v>
      </c>
      <c r="O1447" t="s">
        <v>632</v>
      </c>
      <c r="P1447" t="s">
        <v>3847</v>
      </c>
      <c r="Q1447" t="s">
        <v>2281</v>
      </c>
    </row>
    <row r="1448" spans="1:17">
      <c r="A1448" s="2" t="s">
        <v>2132</v>
      </c>
      <c r="B1448" s="2" t="s">
        <v>456</v>
      </c>
      <c r="C1448" s="2" t="s">
        <v>460</v>
      </c>
      <c r="D1448" s="11">
        <v>45986.239583333336</v>
      </c>
      <c r="E1448" s="11">
        <v>45986.239583333336</v>
      </c>
      <c r="F1448" s="11">
        <v>45986.315972222219</v>
      </c>
      <c r="G1448" s="12">
        <v>0.11805555555474712</v>
      </c>
      <c r="H1448" s="2" t="s">
        <v>257</v>
      </c>
      <c r="J1448" s="2" t="s">
        <v>258</v>
      </c>
      <c r="K1448" s="2" t="s">
        <v>658</v>
      </c>
      <c r="L1448" s="2" t="s">
        <v>2286</v>
      </c>
      <c r="M1448" t="s">
        <v>260</v>
      </c>
      <c r="N1448" t="s">
        <v>357</v>
      </c>
      <c r="O1448" t="s">
        <v>632</v>
      </c>
      <c r="P1448" t="s">
        <v>3848</v>
      </c>
      <c r="Q1448" t="s">
        <v>2281</v>
      </c>
    </row>
    <row r="1449" spans="1:17">
      <c r="A1449" s="2" t="s">
        <v>2132</v>
      </c>
      <c r="B1449" s="2" t="s">
        <v>456</v>
      </c>
      <c r="C1449" s="2" t="s">
        <v>461</v>
      </c>
      <c r="D1449" s="11">
        <v>45986.239583333336</v>
      </c>
      <c r="E1449" s="11">
        <v>45986.239583333336</v>
      </c>
      <c r="F1449" s="11">
        <v>45986.315972222219</v>
      </c>
      <c r="G1449" s="12">
        <v>0.11805555555474712</v>
      </c>
      <c r="H1449" s="2" t="s">
        <v>257</v>
      </c>
      <c r="J1449" s="2" t="s">
        <v>258</v>
      </c>
      <c r="K1449" s="2" t="s">
        <v>658</v>
      </c>
      <c r="L1449" s="2" t="s">
        <v>2286</v>
      </c>
      <c r="M1449" t="s">
        <v>260</v>
      </c>
      <c r="N1449" t="s">
        <v>357</v>
      </c>
      <c r="O1449" t="s">
        <v>632</v>
      </c>
      <c r="P1449" t="s">
        <v>3849</v>
      </c>
      <c r="Q1449" t="s">
        <v>2281</v>
      </c>
    </row>
    <row r="1450" spans="1:17">
      <c r="A1450" s="2" t="s">
        <v>2132</v>
      </c>
      <c r="B1450" s="2" t="s">
        <v>456</v>
      </c>
      <c r="C1450" s="2" t="s">
        <v>462</v>
      </c>
      <c r="D1450" s="11">
        <v>45986.239583333336</v>
      </c>
      <c r="E1450" s="11">
        <v>45986.239583333336</v>
      </c>
      <c r="F1450" s="11">
        <v>45986.315972222219</v>
      </c>
      <c r="G1450" s="12">
        <v>0.11805555555474712</v>
      </c>
      <c r="H1450" s="2" t="s">
        <v>257</v>
      </c>
      <c r="J1450" s="2" t="s">
        <v>258</v>
      </c>
      <c r="K1450" s="2" t="s">
        <v>658</v>
      </c>
      <c r="L1450" s="2" t="s">
        <v>2286</v>
      </c>
      <c r="M1450" t="s">
        <v>260</v>
      </c>
      <c r="N1450" t="s">
        <v>357</v>
      </c>
      <c r="O1450" t="s">
        <v>632</v>
      </c>
      <c r="P1450" t="s">
        <v>3850</v>
      </c>
      <c r="Q1450" t="s">
        <v>2281</v>
      </c>
    </row>
    <row r="1451" spans="1:17">
      <c r="A1451" s="2" t="s">
        <v>2132</v>
      </c>
      <c r="B1451" s="2" t="s">
        <v>456</v>
      </c>
      <c r="C1451" s="2" t="s">
        <v>463</v>
      </c>
      <c r="D1451" s="11">
        <v>45986.239583333336</v>
      </c>
      <c r="E1451" s="11">
        <v>45986.239583333336</v>
      </c>
      <c r="F1451" s="11">
        <v>45986.315972222219</v>
      </c>
      <c r="G1451" s="12">
        <v>0.11805555555474712</v>
      </c>
      <c r="H1451" s="2" t="s">
        <v>257</v>
      </c>
      <c r="J1451" s="2" t="s">
        <v>258</v>
      </c>
      <c r="K1451" s="2" t="s">
        <v>658</v>
      </c>
      <c r="L1451" s="2" t="s">
        <v>2286</v>
      </c>
      <c r="M1451" t="s">
        <v>260</v>
      </c>
      <c r="N1451" t="s">
        <v>357</v>
      </c>
      <c r="O1451" t="s">
        <v>632</v>
      </c>
      <c r="P1451" t="s">
        <v>3851</v>
      </c>
      <c r="Q1451" t="s">
        <v>2281</v>
      </c>
    </row>
    <row r="1452" spans="1:17">
      <c r="A1452" s="2" t="s">
        <v>2132</v>
      </c>
      <c r="B1452" s="2" t="s">
        <v>456</v>
      </c>
      <c r="C1452" s="2" t="s">
        <v>464</v>
      </c>
      <c r="D1452" s="11">
        <v>45986.239583333336</v>
      </c>
      <c r="E1452" s="11">
        <v>45986.239583333336</v>
      </c>
      <c r="F1452" s="11">
        <v>45986.315972222219</v>
      </c>
      <c r="G1452" s="12">
        <v>0.11805555555474712</v>
      </c>
      <c r="H1452" s="2" t="s">
        <v>257</v>
      </c>
      <c r="J1452" s="2" t="s">
        <v>258</v>
      </c>
      <c r="K1452" s="2" t="s">
        <v>658</v>
      </c>
      <c r="L1452" s="2" t="s">
        <v>2286</v>
      </c>
      <c r="M1452" t="s">
        <v>260</v>
      </c>
      <c r="N1452" t="s">
        <v>357</v>
      </c>
      <c r="O1452" t="s">
        <v>632</v>
      </c>
      <c r="P1452" t="s">
        <v>3852</v>
      </c>
      <c r="Q1452" t="s">
        <v>2281</v>
      </c>
    </row>
    <row r="1453" spans="1:17">
      <c r="A1453" s="2" t="s">
        <v>2132</v>
      </c>
      <c r="B1453" s="2" t="s">
        <v>456</v>
      </c>
      <c r="C1453" s="2" t="s">
        <v>465</v>
      </c>
      <c r="D1453" s="11">
        <v>45986.239583333336</v>
      </c>
      <c r="E1453" s="11">
        <v>45986.239583333336</v>
      </c>
      <c r="F1453" s="11">
        <v>45986.315972222219</v>
      </c>
      <c r="G1453" s="12">
        <v>0.11805555555474712</v>
      </c>
      <c r="H1453" s="2" t="s">
        <v>257</v>
      </c>
      <c r="J1453" s="2" t="s">
        <v>258</v>
      </c>
      <c r="K1453" s="2" t="s">
        <v>658</v>
      </c>
      <c r="L1453" s="2" t="s">
        <v>2286</v>
      </c>
      <c r="M1453" t="s">
        <v>260</v>
      </c>
      <c r="N1453" t="s">
        <v>357</v>
      </c>
      <c r="O1453" t="s">
        <v>632</v>
      </c>
      <c r="P1453" t="s">
        <v>3853</v>
      </c>
      <c r="Q1453" t="s">
        <v>2281</v>
      </c>
    </row>
    <row r="1454" spans="1:17">
      <c r="A1454" s="2" t="s">
        <v>2133</v>
      </c>
      <c r="B1454" s="2" t="s">
        <v>456</v>
      </c>
      <c r="C1454" s="2" t="s">
        <v>466</v>
      </c>
      <c r="D1454" s="11">
        <v>45986.239583333336</v>
      </c>
      <c r="E1454" s="11">
        <v>45986.239583333336</v>
      </c>
      <c r="F1454" s="11">
        <v>45986.315972222219</v>
      </c>
      <c r="G1454" s="12">
        <v>0.11805555555474712</v>
      </c>
      <c r="H1454" s="2" t="s">
        <v>257</v>
      </c>
      <c r="J1454" s="2" t="s">
        <v>258</v>
      </c>
      <c r="K1454" s="2" t="s">
        <v>658</v>
      </c>
      <c r="L1454" s="2" t="s">
        <v>2286</v>
      </c>
      <c r="M1454" t="s">
        <v>260</v>
      </c>
      <c r="N1454" t="s">
        <v>357</v>
      </c>
      <c r="O1454" t="s">
        <v>632</v>
      </c>
      <c r="P1454" t="s">
        <v>3854</v>
      </c>
      <c r="Q1454" t="s">
        <v>2281</v>
      </c>
    </row>
    <row r="1455" spans="1:17">
      <c r="A1455" s="2" t="s">
        <v>2133</v>
      </c>
      <c r="B1455" s="2" t="s">
        <v>456</v>
      </c>
      <c r="C1455" s="2" t="s">
        <v>467</v>
      </c>
      <c r="D1455" s="11">
        <v>45986.239583333336</v>
      </c>
      <c r="E1455" s="11">
        <v>45986.239583333336</v>
      </c>
      <c r="F1455" s="11">
        <v>45986.315972222219</v>
      </c>
      <c r="G1455" s="12">
        <v>0.11805555555474712</v>
      </c>
      <c r="H1455" s="2" t="s">
        <v>257</v>
      </c>
      <c r="J1455" s="2" t="s">
        <v>258</v>
      </c>
      <c r="K1455" s="2" t="s">
        <v>658</v>
      </c>
      <c r="L1455" s="2" t="s">
        <v>2286</v>
      </c>
      <c r="M1455" t="s">
        <v>260</v>
      </c>
      <c r="N1455" t="s">
        <v>357</v>
      </c>
      <c r="O1455" t="s">
        <v>632</v>
      </c>
      <c r="P1455" t="s">
        <v>3855</v>
      </c>
      <c r="Q1455" t="s">
        <v>2281</v>
      </c>
    </row>
    <row r="1456" spans="1:17">
      <c r="A1456" s="2" t="s">
        <v>2133</v>
      </c>
      <c r="B1456" s="2" t="s">
        <v>456</v>
      </c>
      <c r="C1456" s="2" t="s">
        <v>468</v>
      </c>
      <c r="D1456" s="11">
        <v>45986.239583333336</v>
      </c>
      <c r="E1456" s="11">
        <v>45986.239583333336</v>
      </c>
      <c r="F1456" s="11">
        <v>45986.315972222219</v>
      </c>
      <c r="G1456" s="12">
        <v>0.11805555555474712</v>
      </c>
      <c r="H1456" s="2" t="s">
        <v>257</v>
      </c>
      <c r="J1456" s="2" t="s">
        <v>258</v>
      </c>
      <c r="K1456" s="2" t="s">
        <v>658</v>
      </c>
      <c r="L1456" s="2" t="s">
        <v>2286</v>
      </c>
      <c r="M1456" t="s">
        <v>260</v>
      </c>
      <c r="N1456" t="s">
        <v>357</v>
      </c>
      <c r="O1456" t="s">
        <v>632</v>
      </c>
      <c r="P1456" t="s">
        <v>3856</v>
      </c>
      <c r="Q1456" t="s">
        <v>2281</v>
      </c>
    </row>
    <row r="1457" spans="1:17">
      <c r="A1457" s="2" t="s">
        <v>2133</v>
      </c>
      <c r="B1457" s="2" t="s">
        <v>456</v>
      </c>
      <c r="C1457" s="2" t="s">
        <v>469</v>
      </c>
      <c r="D1457" s="11">
        <v>45986.239583333336</v>
      </c>
      <c r="E1457" s="11">
        <v>45986.239583333336</v>
      </c>
      <c r="F1457" s="11">
        <v>45986.315972222219</v>
      </c>
      <c r="G1457" s="12">
        <v>0.11805555555474712</v>
      </c>
      <c r="H1457" s="2" t="s">
        <v>257</v>
      </c>
      <c r="J1457" s="2" t="s">
        <v>258</v>
      </c>
      <c r="K1457" s="2" t="s">
        <v>658</v>
      </c>
      <c r="L1457" s="2" t="s">
        <v>2286</v>
      </c>
      <c r="M1457" t="s">
        <v>260</v>
      </c>
      <c r="N1457" t="s">
        <v>357</v>
      </c>
      <c r="O1457" t="s">
        <v>632</v>
      </c>
      <c r="P1457" t="s">
        <v>3857</v>
      </c>
      <c r="Q1457" t="s">
        <v>2281</v>
      </c>
    </row>
    <row r="1458" spans="1:17">
      <c r="A1458" s="2" t="s">
        <v>2133</v>
      </c>
      <c r="B1458" s="2" t="s">
        <v>456</v>
      </c>
      <c r="C1458" s="2" t="s">
        <v>470</v>
      </c>
      <c r="D1458" s="11">
        <v>45986.239583333336</v>
      </c>
      <c r="E1458" s="11">
        <v>45986.239583333336</v>
      </c>
      <c r="F1458" s="11">
        <v>45986.315972222219</v>
      </c>
      <c r="G1458" s="12">
        <v>0.11805555555474712</v>
      </c>
      <c r="H1458" s="2" t="s">
        <v>257</v>
      </c>
      <c r="J1458" s="2" t="s">
        <v>258</v>
      </c>
      <c r="K1458" s="2" t="s">
        <v>658</v>
      </c>
      <c r="L1458" s="2" t="s">
        <v>2286</v>
      </c>
      <c r="M1458" t="s">
        <v>260</v>
      </c>
      <c r="N1458" t="s">
        <v>357</v>
      </c>
      <c r="O1458" t="s">
        <v>632</v>
      </c>
      <c r="P1458" t="s">
        <v>3858</v>
      </c>
      <c r="Q1458" t="s">
        <v>2281</v>
      </c>
    </row>
    <row r="1459" spans="1:17">
      <c r="A1459" s="2" t="s">
        <v>2133</v>
      </c>
      <c r="B1459" s="2" t="s">
        <v>456</v>
      </c>
      <c r="C1459" s="2" t="s">
        <v>471</v>
      </c>
      <c r="D1459" s="11">
        <v>45986.239583333336</v>
      </c>
      <c r="E1459" s="11">
        <v>45986.239583333336</v>
      </c>
      <c r="F1459" s="11">
        <v>45986.315972222219</v>
      </c>
      <c r="G1459" s="12">
        <v>0.11805555555474712</v>
      </c>
      <c r="H1459" s="2" t="s">
        <v>257</v>
      </c>
      <c r="J1459" s="2" t="s">
        <v>258</v>
      </c>
      <c r="K1459" s="2" t="s">
        <v>658</v>
      </c>
      <c r="L1459" s="2" t="s">
        <v>2286</v>
      </c>
      <c r="M1459" t="s">
        <v>260</v>
      </c>
      <c r="N1459" t="s">
        <v>357</v>
      </c>
      <c r="O1459" t="s">
        <v>632</v>
      </c>
      <c r="P1459" t="s">
        <v>3859</v>
      </c>
      <c r="Q1459" t="s">
        <v>2281</v>
      </c>
    </row>
    <row r="1460" spans="1:17">
      <c r="A1460" s="2" t="s">
        <v>2133</v>
      </c>
      <c r="B1460" s="2" t="s">
        <v>456</v>
      </c>
      <c r="C1460" s="2" t="s">
        <v>472</v>
      </c>
      <c r="D1460" s="11">
        <v>45986.239583333336</v>
      </c>
      <c r="E1460" s="11">
        <v>45986.239583333336</v>
      </c>
      <c r="F1460" s="11">
        <v>45986.315972222219</v>
      </c>
      <c r="G1460" s="12">
        <v>0.11805555555474712</v>
      </c>
      <c r="H1460" s="2" t="s">
        <v>257</v>
      </c>
      <c r="J1460" s="2" t="s">
        <v>258</v>
      </c>
      <c r="K1460" s="2" t="s">
        <v>658</v>
      </c>
      <c r="L1460" s="2" t="s">
        <v>2286</v>
      </c>
      <c r="M1460" t="s">
        <v>260</v>
      </c>
      <c r="N1460" t="s">
        <v>357</v>
      </c>
      <c r="O1460" t="s">
        <v>632</v>
      </c>
      <c r="P1460" t="s">
        <v>3860</v>
      </c>
      <c r="Q1460" t="s">
        <v>2281</v>
      </c>
    </row>
    <row r="1461" spans="1:17">
      <c r="A1461" s="2" t="s">
        <v>2146</v>
      </c>
      <c r="B1461" s="2" t="s">
        <v>456</v>
      </c>
      <c r="C1461" s="2" t="s">
        <v>473</v>
      </c>
      <c r="D1461" s="11">
        <v>45986.239583333336</v>
      </c>
      <c r="E1461" s="11">
        <v>45986.239583333336</v>
      </c>
      <c r="F1461" s="11">
        <v>45986.315972222219</v>
      </c>
      <c r="G1461" s="12">
        <v>0.11805555555474712</v>
      </c>
      <c r="H1461" s="2" t="s">
        <v>257</v>
      </c>
      <c r="J1461" s="2" t="s">
        <v>258</v>
      </c>
      <c r="K1461" s="2" t="s">
        <v>658</v>
      </c>
      <c r="L1461" s="2" t="s">
        <v>2286</v>
      </c>
      <c r="M1461" t="s">
        <v>260</v>
      </c>
      <c r="N1461" t="s">
        <v>357</v>
      </c>
      <c r="O1461" t="s">
        <v>632</v>
      </c>
      <c r="P1461" t="s">
        <v>3861</v>
      </c>
      <c r="Q1461" t="s">
        <v>2281</v>
      </c>
    </row>
    <row r="1462" spans="1:17">
      <c r="A1462" s="2" t="s">
        <v>2146</v>
      </c>
      <c r="B1462" s="2" t="s">
        <v>456</v>
      </c>
      <c r="C1462" s="2" t="s">
        <v>474</v>
      </c>
      <c r="D1462" s="11">
        <v>45986.239583333336</v>
      </c>
      <c r="E1462" s="11">
        <v>45986.239583333336</v>
      </c>
      <c r="F1462" s="11">
        <v>45986.315972222219</v>
      </c>
      <c r="G1462" s="12">
        <v>0.11805555555474712</v>
      </c>
      <c r="H1462" s="2" t="s">
        <v>257</v>
      </c>
      <c r="J1462" s="2" t="s">
        <v>258</v>
      </c>
      <c r="K1462" s="2" t="s">
        <v>658</v>
      </c>
      <c r="L1462" s="2" t="s">
        <v>2286</v>
      </c>
      <c r="M1462" t="s">
        <v>260</v>
      </c>
      <c r="N1462" t="s">
        <v>357</v>
      </c>
      <c r="O1462" t="s">
        <v>632</v>
      </c>
      <c r="P1462" t="s">
        <v>3862</v>
      </c>
      <c r="Q1462" t="s">
        <v>2281</v>
      </c>
    </row>
    <row r="1463" spans="1:17">
      <c r="A1463" s="2" t="s">
        <v>2146</v>
      </c>
      <c r="B1463" s="2" t="s">
        <v>456</v>
      </c>
      <c r="C1463" s="2" t="s">
        <v>475</v>
      </c>
      <c r="D1463" s="11">
        <v>45986.239583333336</v>
      </c>
      <c r="E1463" s="11">
        <v>45986.239583333336</v>
      </c>
      <c r="F1463" s="11">
        <v>45986.315972222219</v>
      </c>
      <c r="G1463" s="12">
        <v>0.11805555555474712</v>
      </c>
      <c r="H1463" s="2" t="s">
        <v>257</v>
      </c>
      <c r="J1463" s="2" t="s">
        <v>258</v>
      </c>
      <c r="K1463" s="2" t="s">
        <v>658</v>
      </c>
      <c r="L1463" s="2" t="s">
        <v>2286</v>
      </c>
      <c r="M1463" t="s">
        <v>260</v>
      </c>
      <c r="N1463" t="s">
        <v>357</v>
      </c>
      <c r="O1463" t="s">
        <v>632</v>
      </c>
      <c r="P1463" t="s">
        <v>3863</v>
      </c>
      <c r="Q1463" t="s">
        <v>2281</v>
      </c>
    </row>
    <row r="1464" spans="1:17">
      <c r="A1464" s="2" t="s">
        <v>2146</v>
      </c>
      <c r="B1464" s="2" t="s">
        <v>456</v>
      </c>
      <c r="C1464" s="2" t="s">
        <v>476</v>
      </c>
      <c r="D1464" s="11">
        <v>45986.239583333336</v>
      </c>
      <c r="E1464" s="11">
        <v>45986.239583333336</v>
      </c>
      <c r="F1464" s="11">
        <v>45986.315972222219</v>
      </c>
      <c r="G1464" s="12">
        <v>0.11805555555474712</v>
      </c>
      <c r="H1464" s="2" t="s">
        <v>257</v>
      </c>
      <c r="J1464" s="2" t="s">
        <v>258</v>
      </c>
      <c r="K1464" s="2" t="s">
        <v>658</v>
      </c>
      <c r="L1464" s="2" t="s">
        <v>2286</v>
      </c>
      <c r="M1464" t="s">
        <v>260</v>
      </c>
      <c r="N1464" t="s">
        <v>357</v>
      </c>
      <c r="O1464" t="s">
        <v>632</v>
      </c>
      <c r="P1464" t="s">
        <v>3864</v>
      </c>
      <c r="Q1464" t="s">
        <v>2281</v>
      </c>
    </row>
    <row r="1465" spans="1:17">
      <c r="A1465" s="2" t="s">
        <v>2146</v>
      </c>
      <c r="B1465" s="2" t="s">
        <v>456</v>
      </c>
      <c r="C1465" s="2" t="s">
        <v>477</v>
      </c>
      <c r="D1465" s="11">
        <v>45986.239583333336</v>
      </c>
      <c r="E1465" s="11">
        <v>45986.239583333336</v>
      </c>
      <c r="F1465" s="11">
        <v>45986.315972222219</v>
      </c>
      <c r="G1465" s="12">
        <v>0.11805555555474712</v>
      </c>
      <c r="H1465" s="2" t="s">
        <v>257</v>
      </c>
      <c r="J1465" s="2" t="s">
        <v>258</v>
      </c>
      <c r="K1465" s="2" t="s">
        <v>658</v>
      </c>
      <c r="L1465" s="2" t="s">
        <v>2286</v>
      </c>
      <c r="M1465" t="s">
        <v>260</v>
      </c>
      <c r="N1465" t="s">
        <v>357</v>
      </c>
      <c r="O1465" t="s">
        <v>632</v>
      </c>
      <c r="P1465" t="s">
        <v>3865</v>
      </c>
      <c r="Q1465" t="s">
        <v>2281</v>
      </c>
    </row>
    <row r="1466" spans="1:17">
      <c r="A1466" s="2" t="s">
        <v>2147</v>
      </c>
      <c r="B1466" s="2" t="s">
        <v>456</v>
      </c>
      <c r="C1466" s="2" t="s">
        <v>478</v>
      </c>
      <c r="D1466" s="11">
        <v>45986.239583333336</v>
      </c>
      <c r="E1466" s="11">
        <v>45986.239583333336</v>
      </c>
      <c r="F1466" s="11">
        <v>45986.315972222219</v>
      </c>
      <c r="G1466" s="12">
        <v>0.11805555555474712</v>
      </c>
      <c r="H1466" s="2" t="s">
        <v>257</v>
      </c>
      <c r="J1466" s="2" t="s">
        <v>258</v>
      </c>
      <c r="K1466" s="2" t="s">
        <v>658</v>
      </c>
      <c r="L1466" s="2" t="s">
        <v>2286</v>
      </c>
      <c r="M1466" t="s">
        <v>260</v>
      </c>
      <c r="N1466" t="s">
        <v>357</v>
      </c>
      <c r="O1466" t="s">
        <v>632</v>
      </c>
      <c r="P1466" t="s">
        <v>3866</v>
      </c>
      <c r="Q1466" t="s">
        <v>2281</v>
      </c>
    </row>
    <row r="1467" spans="1:17">
      <c r="A1467" s="2" t="s">
        <v>2147</v>
      </c>
      <c r="B1467" s="2" t="s">
        <v>456</v>
      </c>
      <c r="C1467" s="2" t="s">
        <v>479</v>
      </c>
      <c r="D1467" s="11">
        <v>45986.239583333336</v>
      </c>
      <c r="E1467" s="11">
        <v>45986.239583333336</v>
      </c>
      <c r="F1467" s="11">
        <v>45986.315972222219</v>
      </c>
      <c r="G1467" s="12">
        <v>0.11805555555474712</v>
      </c>
      <c r="H1467" s="2" t="s">
        <v>257</v>
      </c>
      <c r="J1467" s="2" t="s">
        <v>258</v>
      </c>
      <c r="K1467" s="2" t="s">
        <v>658</v>
      </c>
      <c r="L1467" s="2" t="s">
        <v>2286</v>
      </c>
      <c r="M1467" t="s">
        <v>260</v>
      </c>
      <c r="N1467" t="s">
        <v>357</v>
      </c>
      <c r="O1467" t="s">
        <v>632</v>
      </c>
      <c r="P1467" t="s">
        <v>3867</v>
      </c>
      <c r="Q1467" t="s">
        <v>2281</v>
      </c>
    </row>
    <row r="1468" spans="1:17">
      <c r="A1468" s="2" t="s">
        <v>2147</v>
      </c>
      <c r="B1468" s="2" t="s">
        <v>456</v>
      </c>
      <c r="C1468" s="2" t="s">
        <v>480</v>
      </c>
      <c r="D1468" s="11">
        <v>45986.239583333336</v>
      </c>
      <c r="E1468" s="11">
        <v>45986.239583333336</v>
      </c>
      <c r="F1468" s="11">
        <v>45986.315972222219</v>
      </c>
      <c r="G1468" s="12">
        <v>0.11805555555474712</v>
      </c>
      <c r="H1468" s="2" t="s">
        <v>257</v>
      </c>
      <c r="J1468" s="2" t="s">
        <v>258</v>
      </c>
      <c r="K1468" s="2" t="s">
        <v>658</v>
      </c>
      <c r="L1468" s="2" t="s">
        <v>2286</v>
      </c>
      <c r="M1468" t="s">
        <v>260</v>
      </c>
      <c r="N1468" t="s">
        <v>357</v>
      </c>
      <c r="O1468" t="s">
        <v>632</v>
      </c>
      <c r="P1468" t="s">
        <v>3868</v>
      </c>
      <c r="Q1468" t="s">
        <v>2281</v>
      </c>
    </row>
    <row r="1469" spans="1:17">
      <c r="A1469" s="2" t="s">
        <v>2147</v>
      </c>
      <c r="B1469" s="2" t="s">
        <v>456</v>
      </c>
      <c r="C1469" s="2" t="s">
        <v>481</v>
      </c>
      <c r="D1469" s="11">
        <v>45986.239583333336</v>
      </c>
      <c r="E1469" s="11">
        <v>45986.239583333336</v>
      </c>
      <c r="F1469" s="11">
        <v>45986.315972222219</v>
      </c>
      <c r="G1469" s="12">
        <v>0.11805555555474712</v>
      </c>
      <c r="H1469" s="2" t="s">
        <v>257</v>
      </c>
      <c r="J1469" s="2" t="s">
        <v>258</v>
      </c>
      <c r="K1469" s="2" t="s">
        <v>658</v>
      </c>
      <c r="L1469" s="2" t="s">
        <v>2286</v>
      </c>
      <c r="M1469" t="s">
        <v>260</v>
      </c>
      <c r="N1469" t="s">
        <v>357</v>
      </c>
      <c r="O1469" t="s">
        <v>632</v>
      </c>
      <c r="P1469" t="s">
        <v>3869</v>
      </c>
      <c r="Q1469" t="s">
        <v>2281</v>
      </c>
    </row>
    <row r="1470" spans="1:17">
      <c r="A1470" s="2" t="s">
        <v>2148</v>
      </c>
      <c r="B1470" s="2" t="s">
        <v>456</v>
      </c>
      <c r="C1470" s="2" t="s">
        <v>482</v>
      </c>
      <c r="D1470" s="11">
        <v>45986.239583333336</v>
      </c>
      <c r="E1470" s="11">
        <v>45986.239583333336</v>
      </c>
      <c r="F1470" s="11">
        <v>45986.315972222219</v>
      </c>
      <c r="G1470" s="12">
        <v>0.11805555555474712</v>
      </c>
      <c r="H1470" s="2" t="s">
        <v>257</v>
      </c>
      <c r="J1470" s="2" t="s">
        <v>258</v>
      </c>
      <c r="K1470" s="2" t="s">
        <v>658</v>
      </c>
      <c r="L1470" s="2" t="s">
        <v>2286</v>
      </c>
      <c r="M1470" t="s">
        <v>260</v>
      </c>
      <c r="N1470" t="s">
        <v>357</v>
      </c>
      <c r="O1470" t="s">
        <v>632</v>
      </c>
      <c r="P1470" t="s">
        <v>3870</v>
      </c>
      <c r="Q1470" t="s">
        <v>2281</v>
      </c>
    </row>
    <row r="1471" spans="1:17">
      <c r="A1471" s="2" t="s">
        <v>2148</v>
      </c>
      <c r="B1471" s="2" t="s">
        <v>456</v>
      </c>
      <c r="C1471" s="2" t="s">
        <v>483</v>
      </c>
      <c r="D1471" s="11">
        <v>45986.239583333336</v>
      </c>
      <c r="E1471" s="11">
        <v>45986.239583333336</v>
      </c>
      <c r="F1471" s="11">
        <v>45986.315972222219</v>
      </c>
      <c r="G1471" s="12">
        <v>0.11805555555474712</v>
      </c>
      <c r="H1471" s="2" t="s">
        <v>257</v>
      </c>
      <c r="J1471" s="2" t="s">
        <v>258</v>
      </c>
      <c r="K1471" s="2" t="s">
        <v>658</v>
      </c>
      <c r="L1471" s="2" t="s">
        <v>2286</v>
      </c>
      <c r="M1471" t="s">
        <v>260</v>
      </c>
      <c r="N1471" t="s">
        <v>357</v>
      </c>
      <c r="O1471" t="s">
        <v>632</v>
      </c>
      <c r="P1471" t="s">
        <v>3871</v>
      </c>
      <c r="Q1471" t="s">
        <v>2281</v>
      </c>
    </row>
    <row r="1472" spans="1:17">
      <c r="A1472" s="2" t="s">
        <v>2148</v>
      </c>
      <c r="B1472" s="2" t="s">
        <v>456</v>
      </c>
      <c r="C1472" s="2" t="s">
        <v>484</v>
      </c>
      <c r="D1472" s="11">
        <v>45986.239583333336</v>
      </c>
      <c r="E1472" s="11">
        <v>45986.239583333336</v>
      </c>
      <c r="F1472" s="11">
        <v>45986.315972222219</v>
      </c>
      <c r="G1472" s="12">
        <v>0.11805555555474712</v>
      </c>
      <c r="H1472" s="2" t="s">
        <v>257</v>
      </c>
      <c r="J1472" s="2" t="s">
        <v>258</v>
      </c>
      <c r="K1472" s="2" t="s">
        <v>658</v>
      </c>
      <c r="L1472" s="2" t="s">
        <v>2286</v>
      </c>
      <c r="M1472" t="s">
        <v>260</v>
      </c>
      <c r="N1472" t="s">
        <v>357</v>
      </c>
      <c r="O1472" t="s">
        <v>632</v>
      </c>
      <c r="P1472" t="s">
        <v>3872</v>
      </c>
      <c r="Q1472" t="s">
        <v>2281</v>
      </c>
    </row>
    <row r="1473" spans="1:17">
      <c r="A1473" s="2" t="s">
        <v>2148</v>
      </c>
      <c r="B1473" s="2" t="s">
        <v>456</v>
      </c>
      <c r="C1473" s="2" t="s">
        <v>485</v>
      </c>
      <c r="D1473" s="11">
        <v>45986.239583333336</v>
      </c>
      <c r="E1473" s="11">
        <v>45986.239583333336</v>
      </c>
      <c r="F1473" s="11">
        <v>45986.315972222219</v>
      </c>
      <c r="G1473" s="12">
        <v>0.11805555555474712</v>
      </c>
      <c r="H1473" s="2" t="s">
        <v>257</v>
      </c>
      <c r="J1473" s="2" t="s">
        <v>258</v>
      </c>
      <c r="K1473" s="2" t="s">
        <v>658</v>
      </c>
      <c r="L1473" s="2" t="s">
        <v>2286</v>
      </c>
      <c r="M1473" t="s">
        <v>260</v>
      </c>
      <c r="N1473" t="s">
        <v>357</v>
      </c>
      <c r="O1473" t="s">
        <v>632</v>
      </c>
      <c r="P1473" t="s">
        <v>3873</v>
      </c>
      <c r="Q1473" t="s">
        <v>2281</v>
      </c>
    </row>
    <row r="1474" spans="1:17">
      <c r="A1474" s="2" t="s">
        <v>2148</v>
      </c>
      <c r="B1474" s="2" t="s">
        <v>456</v>
      </c>
      <c r="C1474" s="2" t="s">
        <v>486</v>
      </c>
      <c r="D1474" s="11">
        <v>45986.239583333336</v>
      </c>
      <c r="E1474" s="11">
        <v>45986.239583333336</v>
      </c>
      <c r="F1474" s="11">
        <v>45986.315972222219</v>
      </c>
      <c r="G1474" s="12">
        <v>0.11805555555474712</v>
      </c>
      <c r="H1474" s="2" t="s">
        <v>257</v>
      </c>
      <c r="J1474" s="2" t="s">
        <v>258</v>
      </c>
      <c r="K1474" s="2" t="s">
        <v>658</v>
      </c>
      <c r="L1474" s="2" t="s">
        <v>2286</v>
      </c>
      <c r="M1474" t="s">
        <v>260</v>
      </c>
      <c r="N1474" t="s">
        <v>357</v>
      </c>
      <c r="O1474" t="s">
        <v>632</v>
      </c>
      <c r="P1474" t="s">
        <v>3874</v>
      </c>
      <c r="Q1474" t="s">
        <v>2281</v>
      </c>
    </row>
    <row r="1475" spans="1:17">
      <c r="A1475" s="2" t="s">
        <v>487</v>
      </c>
      <c r="B1475" s="2" t="s">
        <v>487</v>
      </c>
      <c r="C1475" s="2" t="s">
        <v>377</v>
      </c>
      <c r="D1475" s="11">
        <v>45986.239583333336</v>
      </c>
      <c r="E1475" s="11">
        <v>45986.239583333336</v>
      </c>
      <c r="F1475" s="11">
        <v>45986.315972222219</v>
      </c>
      <c r="G1475" s="12">
        <v>0.11805555555474712</v>
      </c>
      <c r="H1475" s="2" t="s">
        <v>257</v>
      </c>
      <c r="J1475" s="2" t="s">
        <v>258</v>
      </c>
      <c r="K1475" s="2" t="s">
        <v>658</v>
      </c>
      <c r="L1475" s="2" t="s">
        <v>2286</v>
      </c>
      <c r="M1475" t="s">
        <v>260</v>
      </c>
      <c r="N1475" t="s">
        <v>357</v>
      </c>
      <c r="O1475" t="s">
        <v>632</v>
      </c>
      <c r="P1475" t="s">
        <v>3875</v>
      </c>
      <c r="Q1475" t="s">
        <v>2281</v>
      </c>
    </row>
    <row r="1476" spans="1:17">
      <c r="A1476" s="2" t="s">
        <v>487</v>
      </c>
      <c r="B1476" s="2" t="s">
        <v>487</v>
      </c>
      <c r="C1476" s="2" t="s">
        <v>378</v>
      </c>
      <c r="D1476" s="11">
        <v>45986.239583333336</v>
      </c>
      <c r="E1476" s="11">
        <v>45986.239583333336</v>
      </c>
      <c r="F1476" s="11">
        <v>45986.315972222219</v>
      </c>
      <c r="G1476" s="12">
        <v>0.11805555555474712</v>
      </c>
      <c r="H1476" s="2" t="s">
        <v>257</v>
      </c>
      <c r="J1476" s="2" t="s">
        <v>258</v>
      </c>
      <c r="K1476" s="2" t="s">
        <v>658</v>
      </c>
      <c r="L1476" s="2" t="s">
        <v>2286</v>
      </c>
      <c r="M1476" t="s">
        <v>260</v>
      </c>
      <c r="N1476" t="s">
        <v>357</v>
      </c>
      <c r="O1476" t="s">
        <v>632</v>
      </c>
      <c r="P1476" t="s">
        <v>3876</v>
      </c>
      <c r="Q1476" t="s">
        <v>2281</v>
      </c>
    </row>
    <row r="1477" spans="1:17">
      <c r="A1477" s="2" t="s">
        <v>487</v>
      </c>
      <c r="B1477" s="2" t="s">
        <v>487</v>
      </c>
      <c r="C1477" s="2" t="s">
        <v>382</v>
      </c>
      <c r="D1477" s="11">
        <v>45986.239583333336</v>
      </c>
      <c r="E1477" s="11">
        <v>45986.239583333336</v>
      </c>
      <c r="F1477" s="11">
        <v>45986.315972222219</v>
      </c>
      <c r="G1477" s="12">
        <v>0.11805555555474712</v>
      </c>
      <c r="H1477" s="2" t="s">
        <v>257</v>
      </c>
      <c r="J1477" s="2" t="s">
        <v>258</v>
      </c>
      <c r="K1477" s="2" t="s">
        <v>658</v>
      </c>
      <c r="L1477" s="2" t="s">
        <v>2286</v>
      </c>
      <c r="M1477" t="s">
        <v>260</v>
      </c>
      <c r="N1477" t="s">
        <v>357</v>
      </c>
      <c r="O1477" t="s">
        <v>632</v>
      </c>
      <c r="P1477" t="s">
        <v>3877</v>
      </c>
      <c r="Q1477" t="s">
        <v>2281</v>
      </c>
    </row>
    <row r="1478" spans="1:17">
      <c r="A1478" s="2" t="s">
        <v>487</v>
      </c>
      <c r="B1478" s="2" t="s">
        <v>487</v>
      </c>
      <c r="C1478" s="2" t="s">
        <v>380</v>
      </c>
      <c r="D1478" s="11">
        <v>45986.239583333336</v>
      </c>
      <c r="E1478" s="11">
        <v>45986.239583333336</v>
      </c>
      <c r="F1478" s="11">
        <v>45986.315972222219</v>
      </c>
      <c r="G1478" s="12">
        <v>0.11805555555474712</v>
      </c>
      <c r="H1478" s="2" t="s">
        <v>257</v>
      </c>
      <c r="J1478" s="2" t="s">
        <v>258</v>
      </c>
      <c r="K1478" s="2" t="s">
        <v>658</v>
      </c>
      <c r="L1478" s="2" t="s">
        <v>2286</v>
      </c>
      <c r="M1478" t="s">
        <v>260</v>
      </c>
      <c r="N1478" t="s">
        <v>357</v>
      </c>
      <c r="O1478" t="s">
        <v>632</v>
      </c>
      <c r="P1478" t="s">
        <v>3878</v>
      </c>
      <c r="Q1478" t="s">
        <v>2281</v>
      </c>
    </row>
    <row r="1479" spans="1:17">
      <c r="A1479" s="2" t="s">
        <v>487</v>
      </c>
      <c r="B1479" s="2" t="s">
        <v>487</v>
      </c>
      <c r="C1479" s="2" t="s">
        <v>379</v>
      </c>
      <c r="D1479" s="11">
        <v>45986.239583333336</v>
      </c>
      <c r="E1479" s="11">
        <v>45986.239583333336</v>
      </c>
      <c r="F1479" s="11">
        <v>45986.315972222219</v>
      </c>
      <c r="G1479" s="12">
        <v>0.11805555555474712</v>
      </c>
      <c r="H1479" s="2" t="s">
        <v>257</v>
      </c>
      <c r="J1479" s="2" t="s">
        <v>258</v>
      </c>
      <c r="K1479" s="2" t="s">
        <v>658</v>
      </c>
      <c r="L1479" s="2" t="s">
        <v>2286</v>
      </c>
      <c r="M1479" t="s">
        <v>260</v>
      </c>
      <c r="N1479" t="s">
        <v>357</v>
      </c>
      <c r="O1479" t="s">
        <v>632</v>
      </c>
      <c r="P1479" t="s">
        <v>3879</v>
      </c>
      <c r="Q1479" t="s">
        <v>2281</v>
      </c>
    </row>
    <row r="1480" spans="1:17">
      <c r="A1480" s="2" t="s">
        <v>583</v>
      </c>
      <c r="B1480" s="2" t="s">
        <v>583</v>
      </c>
      <c r="C1480" s="2" t="s">
        <v>377</v>
      </c>
      <c r="D1480" s="11">
        <v>45986.239583333336</v>
      </c>
      <c r="E1480" s="11">
        <v>45986.239583333336</v>
      </c>
      <c r="F1480" s="11">
        <v>45986.315972222219</v>
      </c>
      <c r="G1480" s="12">
        <v>0.11805555555474712</v>
      </c>
      <c r="H1480" s="2" t="s">
        <v>257</v>
      </c>
      <c r="J1480" s="2" t="s">
        <v>258</v>
      </c>
      <c r="K1480" s="2" t="s">
        <v>658</v>
      </c>
      <c r="L1480" s="2" t="s">
        <v>2286</v>
      </c>
      <c r="M1480" t="s">
        <v>260</v>
      </c>
      <c r="N1480" t="s">
        <v>357</v>
      </c>
      <c r="O1480" t="s">
        <v>632</v>
      </c>
      <c r="P1480" t="s">
        <v>3880</v>
      </c>
      <c r="Q1480" t="s">
        <v>2281</v>
      </c>
    </row>
    <row r="1481" spans="1:17">
      <c r="A1481" s="2" t="s">
        <v>583</v>
      </c>
      <c r="B1481" s="2" t="s">
        <v>583</v>
      </c>
      <c r="C1481" s="2" t="s">
        <v>378</v>
      </c>
      <c r="D1481" s="11">
        <v>45986.239583333336</v>
      </c>
      <c r="E1481" s="11">
        <v>45986.239583333336</v>
      </c>
      <c r="F1481" s="11">
        <v>45986.315972222219</v>
      </c>
      <c r="G1481" s="12">
        <v>0.11805555555474712</v>
      </c>
      <c r="H1481" s="2" t="s">
        <v>257</v>
      </c>
      <c r="J1481" s="2" t="s">
        <v>258</v>
      </c>
      <c r="K1481" s="2" t="s">
        <v>658</v>
      </c>
      <c r="L1481" s="2" t="s">
        <v>2286</v>
      </c>
      <c r="M1481" t="s">
        <v>260</v>
      </c>
      <c r="N1481" t="s">
        <v>357</v>
      </c>
      <c r="O1481" t="s">
        <v>632</v>
      </c>
      <c r="P1481" t="s">
        <v>3881</v>
      </c>
      <c r="Q1481" t="s">
        <v>2281</v>
      </c>
    </row>
    <row r="1482" spans="1:17">
      <c r="A1482" s="2" t="s">
        <v>583</v>
      </c>
      <c r="B1482" s="2" t="s">
        <v>583</v>
      </c>
      <c r="C1482" s="2" t="s">
        <v>382</v>
      </c>
      <c r="D1482" s="11">
        <v>45986.239583333336</v>
      </c>
      <c r="E1482" s="11">
        <v>45986.239583333336</v>
      </c>
      <c r="F1482" s="11">
        <v>45986.315972222219</v>
      </c>
      <c r="G1482" s="12">
        <v>0.11805555555474712</v>
      </c>
      <c r="H1482" s="2" t="s">
        <v>257</v>
      </c>
      <c r="J1482" s="2" t="s">
        <v>258</v>
      </c>
      <c r="K1482" s="2" t="s">
        <v>658</v>
      </c>
      <c r="L1482" s="2" t="s">
        <v>2286</v>
      </c>
      <c r="M1482" t="s">
        <v>260</v>
      </c>
      <c r="N1482" t="s">
        <v>357</v>
      </c>
      <c r="O1482" t="s">
        <v>632</v>
      </c>
      <c r="P1482" t="s">
        <v>3882</v>
      </c>
      <c r="Q1482" t="s">
        <v>2281</v>
      </c>
    </row>
    <row r="1483" spans="1:17">
      <c r="A1483" s="2" t="s">
        <v>583</v>
      </c>
      <c r="B1483" s="2" t="s">
        <v>583</v>
      </c>
      <c r="C1483" s="2" t="s">
        <v>380</v>
      </c>
      <c r="D1483" s="11">
        <v>45986.239583333336</v>
      </c>
      <c r="E1483" s="11">
        <v>45986.239583333336</v>
      </c>
      <c r="F1483" s="11">
        <v>45986.315972222219</v>
      </c>
      <c r="G1483" s="12">
        <v>0.11805555555474712</v>
      </c>
      <c r="H1483" s="2" t="s">
        <v>257</v>
      </c>
      <c r="J1483" s="2" t="s">
        <v>258</v>
      </c>
      <c r="K1483" s="2" t="s">
        <v>658</v>
      </c>
      <c r="L1483" s="2" t="s">
        <v>2286</v>
      </c>
      <c r="M1483" t="s">
        <v>260</v>
      </c>
      <c r="N1483" t="s">
        <v>357</v>
      </c>
      <c r="O1483" t="s">
        <v>632</v>
      </c>
      <c r="P1483" t="s">
        <v>3883</v>
      </c>
      <c r="Q1483" t="s">
        <v>2281</v>
      </c>
    </row>
    <row r="1484" spans="1:17">
      <c r="A1484" s="2" t="s">
        <v>583</v>
      </c>
      <c r="B1484" s="2" t="s">
        <v>583</v>
      </c>
      <c r="C1484" s="2" t="s">
        <v>379</v>
      </c>
      <c r="D1484" s="11">
        <v>45986.239583333336</v>
      </c>
      <c r="E1484" s="11">
        <v>45986.239583333336</v>
      </c>
      <c r="F1484" s="11">
        <v>45986.315972222219</v>
      </c>
      <c r="G1484" s="12">
        <v>0.11805555555474712</v>
      </c>
      <c r="H1484" s="2" t="s">
        <v>257</v>
      </c>
      <c r="J1484" s="2" t="s">
        <v>258</v>
      </c>
      <c r="K1484" s="2" t="s">
        <v>658</v>
      </c>
      <c r="L1484" s="2" t="s">
        <v>2286</v>
      </c>
      <c r="M1484" t="s">
        <v>260</v>
      </c>
      <c r="N1484" t="s">
        <v>357</v>
      </c>
      <c r="O1484" t="s">
        <v>632</v>
      </c>
      <c r="P1484" t="s">
        <v>3884</v>
      </c>
      <c r="Q1484" t="s">
        <v>2281</v>
      </c>
    </row>
    <row r="1485" spans="1:17">
      <c r="A1485" s="2" t="s">
        <v>584</v>
      </c>
      <c r="B1485" s="2" t="s">
        <v>584</v>
      </c>
      <c r="C1485" s="2" t="s">
        <v>377</v>
      </c>
      <c r="D1485" s="11">
        <v>45986.239583333336</v>
      </c>
      <c r="E1485" s="11">
        <v>45986.239583333336</v>
      </c>
      <c r="F1485" s="11">
        <v>45986.315972222219</v>
      </c>
      <c r="G1485" s="12">
        <v>0.11805555555474712</v>
      </c>
      <c r="H1485" s="2" t="s">
        <v>257</v>
      </c>
      <c r="J1485" s="2" t="s">
        <v>258</v>
      </c>
      <c r="K1485" s="2" t="s">
        <v>658</v>
      </c>
      <c r="L1485" s="2" t="s">
        <v>2286</v>
      </c>
      <c r="M1485" t="s">
        <v>260</v>
      </c>
      <c r="N1485" t="s">
        <v>357</v>
      </c>
      <c r="O1485" t="s">
        <v>632</v>
      </c>
      <c r="P1485" t="s">
        <v>3885</v>
      </c>
      <c r="Q1485" t="s">
        <v>2281</v>
      </c>
    </row>
    <row r="1486" spans="1:17">
      <c r="A1486" s="2" t="s">
        <v>584</v>
      </c>
      <c r="B1486" s="2" t="s">
        <v>584</v>
      </c>
      <c r="C1486" s="2" t="s">
        <v>378</v>
      </c>
      <c r="D1486" s="11">
        <v>45986.239583333336</v>
      </c>
      <c r="E1486" s="11">
        <v>45986.239583333336</v>
      </c>
      <c r="F1486" s="11">
        <v>45986.315972222219</v>
      </c>
      <c r="G1486" s="12">
        <v>0.11805555555474712</v>
      </c>
      <c r="H1486" s="2" t="s">
        <v>257</v>
      </c>
      <c r="J1486" s="2" t="s">
        <v>258</v>
      </c>
      <c r="K1486" s="2" t="s">
        <v>658</v>
      </c>
      <c r="L1486" s="2" t="s">
        <v>2286</v>
      </c>
      <c r="M1486" t="s">
        <v>260</v>
      </c>
      <c r="N1486" t="s">
        <v>357</v>
      </c>
      <c r="O1486" t="s">
        <v>632</v>
      </c>
      <c r="P1486" t="s">
        <v>3886</v>
      </c>
      <c r="Q1486" t="s">
        <v>2281</v>
      </c>
    </row>
    <row r="1487" spans="1:17">
      <c r="A1487" s="2" t="s">
        <v>584</v>
      </c>
      <c r="B1487" s="2" t="s">
        <v>584</v>
      </c>
      <c r="C1487" s="2" t="s">
        <v>382</v>
      </c>
      <c r="D1487" s="11">
        <v>45986.239583333336</v>
      </c>
      <c r="E1487" s="11">
        <v>45986.239583333336</v>
      </c>
      <c r="F1487" s="11">
        <v>45986.315972222219</v>
      </c>
      <c r="G1487" s="12">
        <v>0.11805555555474712</v>
      </c>
      <c r="H1487" s="2" t="s">
        <v>257</v>
      </c>
      <c r="J1487" s="2" t="s">
        <v>258</v>
      </c>
      <c r="K1487" s="2" t="s">
        <v>658</v>
      </c>
      <c r="L1487" s="2" t="s">
        <v>2286</v>
      </c>
      <c r="M1487" t="s">
        <v>260</v>
      </c>
      <c r="N1487" t="s">
        <v>357</v>
      </c>
      <c r="O1487" t="s">
        <v>632</v>
      </c>
      <c r="P1487" t="s">
        <v>3887</v>
      </c>
      <c r="Q1487" t="s">
        <v>2281</v>
      </c>
    </row>
    <row r="1488" spans="1:17">
      <c r="A1488" s="2" t="s">
        <v>584</v>
      </c>
      <c r="B1488" s="2" t="s">
        <v>584</v>
      </c>
      <c r="C1488" s="2" t="s">
        <v>380</v>
      </c>
      <c r="D1488" s="11">
        <v>45986.239583333336</v>
      </c>
      <c r="E1488" s="11">
        <v>45986.239583333336</v>
      </c>
      <c r="F1488" s="11">
        <v>45986.315972222219</v>
      </c>
      <c r="G1488" s="12">
        <v>0.11805555555474712</v>
      </c>
      <c r="H1488" s="2" t="s">
        <v>257</v>
      </c>
      <c r="J1488" s="2" t="s">
        <v>258</v>
      </c>
      <c r="K1488" s="2" t="s">
        <v>658</v>
      </c>
      <c r="L1488" s="2" t="s">
        <v>2286</v>
      </c>
      <c r="M1488" t="s">
        <v>260</v>
      </c>
      <c r="N1488" t="s">
        <v>357</v>
      </c>
      <c r="O1488" t="s">
        <v>632</v>
      </c>
      <c r="P1488" t="s">
        <v>3888</v>
      </c>
      <c r="Q1488" t="s">
        <v>2281</v>
      </c>
    </row>
    <row r="1489" spans="1:17">
      <c r="A1489" s="2" t="s">
        <v>584</v>
      </c>
      <c r="B1489" s="2" t="s">
        <v>584</v>
      </c>
      <c r="C1489" s="2" t="s">
        <v>379</v>
      </c>
      <c r="D1489" s="11">
        <v>45986.239583333336</v>
      </c>
      <c r="E1489" s="11">
        <v>45986.239583333336</v>
      </c>
      <c r="F1489" s="11">
        <v>45986.315972222219</v>
      </c>
      <c r="G1489" s="12">
        <v>0.11805555555474712</v>
      </c>
      <c r="H1489" s="2" t="s">
        <v>257</v>
      </c>
      <c r="J1489" s="2" t="s">
        <v>258</v>
      </c>
      <c r="K1489" s="2" t="s">
        <v>658</v>
      </c>
      <c r="L1489" s="2" t="s">
        <v>2286</v>
      </c>
      <c r="M1489" t="s">
        <v>260</v>
      </c>
      <c r="N1489" t="s">
        <v>357</v>
      </c>
      <c r="O1489" t="s">
        <v>632</v>
      </c>
      <c r="P1489" t="s">
        <v>3889</v>
      </c>
      <c r="Q1489" t="s">
        <v>2281</v>
      </c>
    </row>
    <row r="1490" spans="1:17">
      <c r="A1490" s="2" t="s">
        <v>2195</v>
      </c>
      <c r="B1490" s="2" t="s">
        <v>543</v>
      </c>
      <c r="C1490" s="2" t="s">
        <v>2535</v>
      </c>
      <c r="D1490" s="11">
        <v>45986.272465277776</v>
      </c>
      <c r="E1490" s="11">
        <v>45986.272465277776</v>
      </c>
      <c r="F1490" s="11">
        <v>45986.279409722221</v>
      </c>
      <c r="G1490" s="12">
        <v>6.9444444452528842E-3</v>
      </c>
      <c r="H1490" s="2" t="s">
        <v>257</v>
      </c>
      <c r="J1490" s="2" t="s">
        <v>371</v>
      </c>
      <c r="K1490" s="2" t="s">
        <v>653</v>
      </c>
      <c r="L1490" s="2" t="s">
        <v>861</v>
      </c>
      <c r="M1490" t="s">
        <v>252</v>
      </c>
      <c r="N1490" t="s">
        <v>631</v>
      </c>
      <c r="P1490" t="s">
        <v>3890</v>
      </c>
      <c r="Q1490" t="s">
        <v>2537</v>
      </c>
    </row>
    <row r="1491" spans="1:17">
      <c r="A1491" s="2" t="s">
        <v>2125</v>
      </c>
      <c r="B1491" s="2" t="s">
        <v>585</v>
      </c>
      <c r="C1491" s="2" t="s">
        <v>595</v>
      </c>
      <c r="D1491" s="11">
        <v>45986.350694444445</v>
      </c>
      <c r="E1491" s="11">
        <v>45986.350694444445</v>
      </c>
      <c r="F1491" s="11">
        <v>45986.399305555555</v>
      </c>
      <c r="G1491" s="12">
        <f>F1491-E1491</f>
        <v>4.8611111109494232E-2</v>
      </c>
      <c r="H1491" s="2" t="s">
        <v>677</v>
      </c>
      <c r="J1491" s="2" t="s">
        <v>371</v>
      </c>
      <c r="K1491" s="2" t="s">
        <v>653</v>
      </c>
      <c r="L1491" s="2" t="s">
        <v>3891</v>
      </c>
      <c r="M1491" t="s">
        <v>663</v>
      </c>
      <c r="N1491" t="s">
        <v>364</v>
      </c>
      <c r="O1491" t="s">
        <v>3892</v>
      </c>
      <c r="P1491" t="s">
        <v>3893</v>
      </c>
      <c r="Q1491" t="s">
        <v>3894</v>
      </c>
    </row>
    <row r="1492" spans="1:17">
      <c r="A1492" s="2" t="s">
        <v>2125</v>
      </c>
      <c r="B1492" s="2" t="s">
        <v>585</v>
      </c>
      <c r="C1492" s="2" t="s">
        <v>592</v>
      </c>
      <c r="D1492" s="11">
        <v>45986.350694444445</v>
      </c>
      <c r="E1492" s="11">
        <v>45986.350694444445</v>
      </c>
      <c r="F1492" s="11">
        <v>45986.399305555555</v>
      </c>
      <c r="G1492" s="12">
        <f>F1492-E1492</f>
        <v>4.8611111109494232E-2</v>
      </c>
      <c r="H1492" s="2" t="s">
        <v>677</v>
      </c>
      <c r="J1492" s="2" t="s">
        <v>371</v>
      </c>
      <c r="K1492" s="2" t="s">
        <v>653</v>
      </c>
      <c r="L1492" s="2" t="s">
        <v>3891</v>
      </c>
      <c r="M1492" t="s">
        <v>663</v>
      </c>
      <c r="N1492" t="s">
        <v>364</v>
      </c>
      <c r="O1492" t="s">
        <v>3892</v>
      </c>
      <c r="P1492" t="s">
        <v>3895</v>
      </c>
      <c r="Q1492" t="s">
        <v>3894</v>
      </c>
    </row>
    <row r="1493" spans="1:17">
      <c r="A1493" s="2" t="s">
        <v>2125</v>
      </c>
      <c r="B1493" s="2" t="s">
        <v>585</v>
      </c>
      <c r="C1493" s="2" t="s">
        <v>589</v>
      </c>
      <c r="D1493" s="11">
        <v>45986.350694444445</v>
      </c>
      <c r="E1493" s="11">
        <v>45986.350694444445</v>
      </c>
      <c r="F1493" s="11">
        <v>45986.399305555555</v>
      </c>
      <c r="G1493" s="12">
        <f>F1493-E1493</f>
        <v>4.8611111109494232E-2</v>
      </c>
      <c r="H1493" s="2" t="s">
        <v>677</v>
      </c>
      <c r="J1493" s="2" t="s">
        <v>371</v>
      </c>
      <c r="K1493" s="2" t="s">
        <v>653</v>
      </c>
      <c r="L1493" s="2" t="s">
        <v>3891</v>
      </c>
      <c r="M1493" t="s">
        <v>663</v>
      </c>
      <c r="N1493" t="s">
        <v>364</v>
      </c>
      <c r="O1493" t="s">
        <v>3892</v>
      </c>
      <c r="P1493" t="s">
        <v>3896</v>
      </c>
      <c r="Q1493" t="s">
        <v>3894</v>
      </c>
    </row>
    <row r="1494" spans="1:17">
      <c r="A1494" s="2" t="s">
        <v>2125</v>
      </c>
      <c r="B1494" s="2" t="s">
        <v>585</v>
      </c>
      <c r="C1494" s="2" t="s">
        <v>593</v>
      </c>
      <c r="D1494" s="11">
        <v>45986.350694444445</v>
      </c>
      <c r="E1494" s="11">
        <v>45986.350694444445</v>
      </c>
      <c r="F1494" s="11">
        <v>45986.399305555555</v>
      </c>
      <c r="G1494" s="12">
        <f>F1494-E1494</f>
        <v>4.8611111109494232E-2</v>
      </c>
      <c r="H1494" s="2" t="s">
        <v>677</v>
      </c>
      <c r="J1494" s="2" t="s">
        <v>371</v>
      </c>
      <c r="K1494" s="2" t="s">
        <v>653</v>
      </c>
      <c r="L1494" s="2" t="s">
        <v>3891</v>
      </c>
      <c r="M1494" t="s">
        <v>663</v>
      </c>
      <c r="N1494" t="s">
        <v>364</v>
      </c>
      <c r="O1494" t="s">
        <v>3892</v>
      </c>
      <c r="P1494" t="s">
        <v>3897</v>
      </c>
      <c r="Q1494" t="s">
        <v>3894</v>
      </c>
    </row>
    <row r="1495" spans="1:17">
      <c r="A1495" s="2" t="s">
        <v>2125</v>
      </c>
      <c r="B1495" s="2" t="s">
        <v>585</v>
      </c>
      <c r="C1495" s="2" t="s">
        <v>591</v>
      </c>
      <c r="D1495" s="11">
        <v>45986.350694444445</v>
      </c>
      <c r="E1495" s="11">
        <v>45986.350694444445</v>
      </c>
      <c r="F1495" s="11">
        <v>45986.399305555555</v>
      </c>
      <c r="G1495" s="12">
        <f>F1495-E1495</f>
        <v>4.8611111109494232E-2</v>
      </c>
      <c r="H1495" s="2" t="s">
        <v>677</v>
      </c>
      <c r="J1495" s="2" t="s">
        <v>371</v>
      </c>
      <c r="K1495" s="2" t="s">
        <v>653</v>
      </c>
      <c r="L1495" s="2" t="s">
        <v>3891</v>
      </c>
      <c r="M1495" t="s">
        <v>663</v>
      </c>
      <c r="N1495" t="s">
        <v>364</v>
      </c>
      <c r="O1495" t="s">
        <v>3892</v>
      </c>
      <c r="P1495" t="s">
        <v>3898</v>
      </c>
      <c r="Q1495" t="s">
        <v>3894</v>
      </c>
    </row>
    <row r="1496" spans="1:17">
      <c r="A1496" s="2" t="s">
        <v>2125</v>
      </c>
      <c r="B1496" s="2" t="s">
        <v>585</v>
      </c>
      <c r="C1496" s="2" t="s">
        <v>2293</v>
      </c>
      <c r="D1496" s="11">
        <v>45986.350694444445</v>
      </c>
      <c r="E1496" s="11">
        <v>45986.350694444445</v>
      </c>
      <c r="F1496" s="11">
        <v>45986.399305555555</v>
      </c>
      <c r="G1496" s="12">
        <f>F1496-E1496</f>
        <v>4.8611111109494232E-2</v>
      </c>
      <c r="H1496" s="2" t="s">
        <v>677</v>
      </c>
      <c r="J1496" s="2" t="s">
        <v>371</v>
      </c>
      <c r="K1496" s="2" t="s">
        <v>653</v>
      </c>
      <c r="L1496" s="2" t="s">
        <v>3891</v>
      </c>
      <c r="M1496" t="s">
        <v>663</v>
      </c>
      <c r="N1496" t="s">
        <v>364</v>
      </c>
      <c r="O1496" t="s">
        <v>3892</v>
      </c>
      <c r="P1496" t="s">
        <v>3899</v>
      </c>
      <c r="Q1496" t="s">
        <v>3894</v>
      </c>
    </row>
    <row r="1497" spans="1:17">
      <c r="A1497" s="2" t="s">
        <v>2134</v>
      </c>
      <c r="B1497" s="2" t="s">
        <v>585</v>
      </c>
      <c r="C1497" s="2" t="s">
        <v>590</v>
      </c>
      <c r="D1497" s="11">
        <v>45986.350694444445</v>
      </c>
      <c r="E1497" s="11">
        <v>45986.350694444445</v>
      </c>
      <c r="F1497" s="11">
        <v>45986.399305555555</v>
      </c>
      <c r="G1497" s="12">
        <f>F1497-E1497</f>
        <v>4.8611111109494232E-2</v>
      </c>
      <c r="H1497" s="2" t="s">
        <v>677</v>
      </c>
      <c r="J1497" s="2" t="s">
        <v>371</v>
      </c>
      <c r="K1497" s="2" t="s">
        <v>653</v>
      </c>
      <c r="L1497" s="2" t="s">
        <v>3891</v>
      </c>
      <c r="M1497" t="s">
        <v>663</v>
      </c>
      <c r="N1497" t="s">
        <v>364</v>
      </c>
      <c r="O1497" t="s">
        <v>3892</v>
      </c>
      <c r="P1497" t="s">
        <v>3900</v>
      </c>
      <c r="Q1497" t="s">
        <v>3894</v>
      </c>
    </row>
    <row r="1498" spans="1:17">
      <c r="A1498" s="2" t="s">
        <v>2134</v>
      </c>
      <c r="B1498" s="2" t="s">
        <v>585</v>
      </c>
      <c r="C1498" s="2" t="s">
        <v>2091</v>
      </c>
      <c r="D1498" s="11">
        <v>45986.350694444445</v>
      </c>
      <c r="E1498" s="11">
        <v>45986.350694444445</v>
      </c>
      <c r="F1498" s="11">
        <v>45986.399305555555</v>
      </c>
      <c r="G1498" s="12">
        <f>F1498-E1498</f>
        <v>4.8611111109494232E-2</v>
      </c>
      <c r="H1498" s="2" t="s">
        <v>677</v>
      </c>
      <c r="J1498" s="2" t="s">
        <v>371</v>
      </c>
      <c r="K1498" s="2" t="s">
        <v>653</v>
      </c>
      <c r="L1498" s="2" t="s">
        <v>3891</v>
      </c>
      <c r="M1498" t="s">
        <v>663</v>
      </c>
      <c r="N1498" t="s">
        <v>364</v>
      </c>
      <c r="O1498" t="s">
        <v>3892</v>
      </c>
      <c r="P1498" t="s">
        <v>3901</v>
      </c>
      <c r="Q1498" t="s">
        <v>3894</v>
      </c>
    </row>
    <row r="1499" spans="1:17">
      <c r="A1499" s="2" t="s">
        <v>2134</v>
      </c>
      <c r="B1499" s="2" t="s">
        <v>585</v>
      </c>
      <c r="C1499" s="2" t="s">
        <v>586</v>
      </c>
      <c r="D1499" s="11">
        <v>45986.350694444445</v>
      </c>
      <c r="E1499" s="11">
        <v>45986.350694444445</v>
      </c>
      <c r="F1499" s="11">
        <v>45986.399305555555</v>
      </c>
      <c r="G1499" s="12">
        <f>F1499-E1499</f>
        <v>4.8611111109494232E-2</v>
      </c>
      <c r="H1499" s="2" t="s">
        <v>677</v>
      </c>
      <c r="J1499" s="2" t="s">
        <v>371</v>
      </c>
      <c r="K1499" s="2" t="s">
        <v>653</v>
      </c>
      <c r="L1499" s="2" t="s">
        <v>3891</v>
      </c>
      <c r="M1499" t="s">
        <v>663</v>
      </c>
      <c r="N1499" t="s">
        <v>364</v>
      </c>
      <c r="O1499" t="s">
        <v>3892</v>
      </c>
      <c r="P1499" t="s">
        <v>3902</v>
      </c>
      <c r="Q1499" t="s">
        <v>3894</v>
      </c>
    </row>
    <row r="1500" spans="1:17">
      <c r="A1500" s="2" t="s">
        <v>2134</v>
      </c>
      <c r="B1500" s="2" t="s">
        <v>585</v>
      </c>
      <c r="C1500" s="2" t="s">
        <v>598</v>
      </c>
      <c r="D1500" s="11">
        <v>45986.350694444445</v>
      </c>
      <c r="E1500" s="11">
        <v>45986.350694444445</v>
      </c>
      <c r="F1500" s="11">
        <v>45986.399305555555</v>
      </c>
      <c r="G1500" s="12">
        <f>F1500-E1500</f>
        <v>4.8611111109494232E-2</v>
      </c>
      <c r="H1500" s="2" t="s">
        <v>677</v>
      </c>
      <c r="J1500" s="2" t="s">
        <v>371</v>
      </c>
      <c r="K1500" s="2" t="s">
        <v>653</v>
      </c>
      <c r="L1500" s="2" t="s">
        <v>3891</v>
      </c>
      <c r="M1500" t="s">
        <v>663</v>
      </c>
      <c r="N1500" t="s">
        <v>364</v>
      </c>
      <c r="O1500" t="s">
        <v>3892</v>
      </c>
      <c r="P1500" t="s">
        <v>3903</v>
      </c>
      <c r="Q1500" t="s">
        <v>3894</v>
      </c>
    </row>
    <row r="1501" spans="1:17">
      <c r="A1501" s="2" t="s">
        <v>2134</v>
      </c>
      <c r="B1501" s="2" t="s">
        <v>585</v>
      </c>
      <c r="C1501" s="2" t="s">
        <v>600</v>
      </c>
      <c r="D1501" s="11">
        <v>45986.350694444445</v>
      </c>
      <c r="E1501" s="11">
        <v>45986.350694444445</v>
      </c>
      <c r="F1501" s="11">
        <v>45986.399305555555</v>
      </c>
      <c r="G1501" s="12">
        <f>F1501-E1501</f>
        <v>4.8611111109494232E-2</v>
      </c>
      <c r="H1501" s="2" t="s">
        <v>677</v>
      </c>
      <c r="J1501" s="2" t="s">
        <v>371</v>
      </c>
      <c r="K1501" s="2" t="s">
        <v>653</v>
      </c>
      <c r="L1501" s="2" t="s">
        <v>3891</v>
      </c>
      <c r="M1501" t="s">
        <v>663</v>
      </c>
      <c r="N1501" t="s">
        <v>364</v>
      </c>
      <c r="O1501" t="s">
        <v>3892</v>
      </c>
      <c r="P1501" t="s">
        <v>3904</v>
      </c>
      <c r="Q1501" t="s">
        <v>3894</v>
      </c>
    </row>
    <row r="1502" spans="1:17">
      <c r="A1502" s="2" t="s">
        <v>2134</v>
      </c>
      <c r="B1502" s="2" t="s">
        <v>585</v>
      </c>
      <c r="C1502" s="2" t="s">
        <v>596</v>
      </c>
      <c r="D1502" s="11">
        <v>45986.350694444445</v>
      </c>
      <c r="E1502" s="11">
        <v>45986.350694444445</v>
      </c>
      <c r="F1502" s="11">
        <v>45986.399305555555</v>
      </c>
      <c r="G1502" s="12">
        <f>F1502-E1502</f>
        <v>4.8611111109494232E-2</v>
      </c>
      <c r="H1502" s="2" t="s">
        <v>677</v>
      </c>
      <c r="J1502" s="2" t="s">
        <v>371</v>
      </c>
      <c r="K1502" s="2" t="s">
        <v>653</v>
      </c>
      <c r="L1502" s="2" t="s">
        <v>3891</v>
      </c>
      <c r="M1502" t="s">
        <v>663</v>
      </c>
      <c r="N1502" t="s">
        <v>364</v>
      </c>
      <c r="O1502" t="s">
        <v>3892</v>
      </c>
      <c r="P1502" t="s">
        <v>3905</v>
      </c>
      <c r="Q1502" t="s">
        <v>3894</v>
      </c>
    </row>
    <row r="1503" spans="1:17">
      <c r="A1503" s="2" t="s">
        <v>2134</v>
      </c>
      <c r="B1503" s="2" t="s">
        <v>585</v>
      </c>
      <c r="C1503" s="2" t="s">
        <v>599</v>
      </c>
      <c r="D1503" s="11">
        <v>45986.350694444445</v>
      </c>
      <c r="E1503" s="11">
        <v>45986.350694444445</v>
      </c>
      <c r="F1503" s="11">
        <v>45986.399305555555</v>
      </c>
      <c r="G1503" s="12">
        <f>F1503-E1503</f>
        <v>4.8611111109494232E-2</v>
      </c>
      <c r="H1503" s="2" t="s">
        <v>677</v>
      </c>
      <c r="J1503" s="2" t="s">
        <v>371</v>
      </c>
      <c r="K1503" s="2" t="s">
        <v>653</v>
      </c>
      <c r="L1503" s="2" t="s">
        <v>3891</v>
      </c>
      <c r="M1503" t="s">
        <v>663</v>
      </c>
      <c r="N1503" t="s">
        <v>364</v>
      </c>
      <c r="O1503" t="s">
        <v>3892</v>
      </c>
      <c r="P1503" t="s">
        <v>3906</v>
      </c>
      <c r="Q1503" t="s">
        <v>3894</v>
      </c>
    </row>
    <row r="1504" spans="1:17">
      <c r="A1504" s="2" t="s">
        <v>2134</v>
      </c>
      <c r="B1504" s="2" t="s">
        <v>585</v>
      </c>
      <c r="C1504" s="2" t="s">
        <v>603</v>
      </c>
      <c r="D1504" s="11">
        <v>45986.350694444445</v>
      </c>
      <c r="E1504" s="11">
        <v>45986.350694444445</v>
      </c>
      <c r="F1504" s="11">
        <v>45986.399305555555</v>
      </c>
      <c r="G1504" s="12">
        <f>F1504-E1504</f>
        <v>4.8611111109494232E-2</v>
      </c>
      <c r="H1504" s="2" t="s">
        <v>677</v>
      </c>
      <c r="J1504" s="2" t="s">
        <v>371</v>
      </c>
      <c r="K1504" s="2" t="s">
        <v>653</v>
      </c>
      <c r="L1504" s="2" t="s">
        <v>3891</v>
      </c>
      <c r="M1504" t="s">
        <v>663</v>
      </c>
      <c r="N1504" t="s">
        <v>364</v>
      </c>
      <c r="O1504" t="s">
        <v>3892</v>
      </c>
      <c r="P1504" t="s">
        <v>3907</v>
      </c>
      <c r="Q1504" t="s">
        <v>3894</v>
      </c>
    </row>
    <row r="1505" spans="1:17">
      <c r="A1505" s="2" t="s">
        <v>2134</v>
      </c>
      <c r="B1505" s="2" t="s">
        <v>585</v>
      </c>
      <c r="C1505" s="2" t="s">
        <v>588</v>
      </c>
      <c r="D1505" s="11">
        <v>45986.350694444445</v>
      </c>
      <c r="E1505" s="11">
        <v>45986.350694444445</v>
      </c>
      <c r="F1505" s="11">
        <v>45986.399305555555</v>
      </c>
      <c r="G1505" s="12">
        <f>F1505-E1505</f>
        <v>4.8611111109494232E-2</v>
      </c>
      <c r="H1505" s="2" t="s">
        <v>677</v>
      </c>
      <c r="J1505" s="2" t="s">
        <v>371</v>
      </c>
      <c r="K1505" s="2" t="s">
        <v>653</v>
      </c>
      <c r="L1505" s="2" t="s">
        <v>3891</v>
      </c>
      <c r="M1505" t="s">
        <v>663</v>
      </c>
      <c r="N1505" t="s">
        <v>364</v>
      </c>
      <c r="O1505" t="s">
        <v>3892</v>
      </c>
      <c r="P1505" t="s">
        <v>3908</v>
      </c>
      <c r="Q1505" t="s">
        <v>3894</v>
      </c>
    </row>
    <row r="1506" spans="1:17">
      <c r="A1506" s="2" t="s">
        <v>2134</v>
      </c>
      <c r="B1506" s="2" t="s">
        <v>585</v>
      </c>
      <c r="C1506" s="2" t="s">
        <v>594</v>
      </c>
      <c r="D1506" s="11">
        <v>45986.350694444445</v>
      </c>
      <c r="E1506" s="11">
        <v>45986.350694444445</v>
      </c>
      <c r="F1506" s="11">
        <v>45986.399305555555</v>
      </c>
      <c r="G1506" s="12">
        <f>F1506-E1506</f>
        <v>4.8611111109494232E-2</v>
      </c>
      <c r="H1506" s="2" t="s">
        <v>677</v>
      </c>
      <c r="J1506" s="2" t="s">
        <v>371</v>
      </c>
      <c r="K1506" s="2" t="s">
        <v>653</v>
      </c>
      <c r="L1506" s="2" t="s">
        <v>3891</v>
      </c>
      <c r="M1506" t="s">
        <v>663</v>
      </c>
      <c r="N1506" t="s">
        <v>364</v>
      </c>
      <c r="O1506" t="s">
        <v>3892</v>
      </c>
      <c r="P1506" t="s">
        <v>3909</v>
      </c>
      <c r="Q1506" t="s">
        <v>3894</v>
      </c>
    </row>
    <row r="1507" spans="1:17">
      <c r="A1507" s="2" t="s">
        <v>2441</v>
      </c>
      <c r="B1507" s="2" t="s">
        <v>642</v>
      </c>
      <c r="C1507" s="2" t="s">
        <v>643</v>
      </c>
      <c r="D1507" s="11">
        <v>45987.234722222223</v>
      </c>
      <c r="E1507" s="11">
        <v>45987.234722222223</v>
      </c>
      <c r="F1507" s="11">
        <v>45987.395833333336</v>
      </c>
      <c r="G1507" s="12">
        <v>0.16111111111240461</v>
      </c>
      <c r="H1507" s="2" t="s">
        <v>257</v>
      </c>
      <c r="J1507" s="2" t="s">
        <v>258</v>
      </c>
      <c r="K1507" s="2" t="s">
        <v>658</v>
      </c>
      <c r="L1507" s="2" t="s">
        <v>2286</v>
      </c>
      <c r="M1507" t="s">
        <v>260</v>
      </c>
      <c r="N1507" t="s">
        <v>357</v>
      </c>
      <c r="O1507" t="s">
        <v>632</v>
      </c>
      <c r="P1507" t="s">
        <v>3910</v>
      </c>
      <c r="Q1507" t="s">
        <v>2281</v>
      </c>
    </row>
    <row r="1508" spans="1:17">
      <c r="A1508" s="2" t="s">
        <v>2441</v>
      </c>
      <c r="B1508" s="2" t="s">
        <v>642</v>
      </c>
      <c r="C1508" s="2" t="s">
        <v>646</v>
      </c>
      <c r="D1508" s="11">
        <v>45987.234722222223</v>
      </c>
      <c r="E1508" s="11">
        <v>45987.234722222223</v>
      </c>
      <c r="F1508" s="11">
        <v>45987.395833333336</v>
      </c>
      <c r="G1508" s="12">
        <v>0.16111111111240461</v>
      </c>
      <c r="H1508" s="2" t="s">
        <v>257</v>
      </c>
      <c r="J1508" s="2" t="s">
        <v>258</v>
      </c>
      <c r="K1508" s="2" t="s">
        <v>658</v>
      </c>
      <c r="L1508" s="2" t="s">
        <v>2286</v>
      </c>
      <c r="M1508" t="s">
        <v>260</v>
      </c>
      <c r="N1508" t="s">
        <v>357</v>
      </c>
      <c r="O1508" t="s">
        <v>632</v>
      </c>
      <c r="P1508" t="s">
        <v>3911</v>
      </c>
      <c r="Q1508" t="s">
        <v>2281</v>
      </c>
    </row>
    <row r="1509" spans="1:17">
      <c r="A1509" s="2" t="s">
        <v>2441</v>
      </c>
      <c r="B1509" s="2" t="s">
        <v>642</v>
      </c>
      <c r="C1509" s="2" t="s">
        <v>647</v>
      </c>
      <c r="D1509" s="11">
        <v>45987.234722222223</v>
      </c>
      <c r="E1509" s="11">
        <v>45987.234722222223</v>
      </c>
      <c r="F1509" s="11">
        <v>45987.395833333336</v>
      </c>
      <c r="G1509" s="12">
        <v>0.16111111111240461</v>
      </c>
      <c r="H1509" s="2" t="s">
        <v>257</v>
      </c>
      <c r="J1509" s="2" t="s">
        <v>258</v>
      </c>
      <c r="K1509" s="2" t="s">
        <v>658</v>
      </c>
      <c r="L1509" s="2" t="s">
        <v>2286</v>
      </c>
      <c r="M1509" t="s">
        <v>260</v>
      </c>
      <c r="N1509" t="s">
        <v>357</v>
      </c>
      <c r="O1509" t="s">
        <v>632</v>
      </c>
      <c r="P1509" t="s">
        <v>3912</v>
      </c>
      <c r="Q1509" t="s">
        <v>2281</v>
      </c>
    </row>
    <row r="1510" spans="1:17">
      <c r="A1510" s="2" t="s">
        <v>2441</v>
      </c>
      <c r="B1510" s="2" t="s">
        <v>642</v>
      </c>
      <c r="C1510" s="2" t="s">
        <v>648</v>
      </c>
      <c r="D1510" s="11">
        <v>45987.234722222223</v>
      </c>
      <c r="E1510" s="11">
        <v>45987.234722222223</v>
      </c>
      <c r="F1510" s="11">
        <v>45987.395833333336</v>
      </c>
      <c r="G1510" s="12">
        <v>0.16111111111240461</v>
      </c>
      <c r="H1510" s="2" t="s">
        <v>257</v>
      </c>
      <c r="J1510" s="2" t="s">
        <v>258</v>
      </c>
      <c r="K1510" s="2" t="s">
        <v>658</v>
      </c>
      <c r="L1510" s="2" t="s">
        <v>2286</v>
      </c>
      <c r="M1510" t="s">
        <v>260</v>
      </c>
      <c r="N1510" t="s">
        <v>357</v>
      </c>
      <c r="O1510" t="s">
        <v>632</v>
      </c>
      <c r="P1510" t="s">
        <v>3913</v>
      </c>
      <c r="Q1510" t="s">
        <v>2281</v>
      </c>
    </row>
    <row r="1511" spans="1:17">
      <c r="A1511" s="2" t="s">
        <v>2209</v>
      </c>
      <c r="B1511" s="2" t="s">
        <v>495</v>
      </c>
      <c r="C1511" s="2" t="s">
        <v>496</v>
      </c>
      <c r="D1511" s="11">
        <v>45987.234722222223</v>
      </c>
      <c r="E1511" s="11">
        <v>45987.234722222223</v>
      </c>
      <c r="F1511" s="11">
        <v>45987.395833333336</v>
      </c>
      <c r="G1511" s="12">
        <v>0.16111111111240461</v>
      </c>
      <c r="H1511" s="2" t="s">
        <v>257</v>
      </c>
      <c r="J1511" s="2" t="s">
        <v>258</v>
      </c>
      <c r="K1511" s="2" t="s">
        <v>658</v>
      </c>
      <c r="L1511" s="2" t="s">
        <v>2286</v>
      </c>
      <c r="M1511" t="s">
        <v>260</v>
      </c>
      <c r="N1511" t="s">
        <v>357</v>
      </c>
      <c r="O1511" t="s">
        <v>632</v>
      </c>
      <c r="P1511" t="s">
        <v>3914</v>
      </c>
      <c r="Q1511" t="s">
        <v>2281</v>
      </c>
    </row>
    <row r="1512" spans="1:17">
      <c r="A1512" s="2" t="s">
        <v>2209</v>
      </c>
      <c r="B1512" s="2" t="s">
        <v>495</v>
      </c>
      <c r="C1512" s="2" t="s">
        <v>501</v>
      </c>
      <c r="D1512" s="11">
        <v>45987.234722222223</v>
      </c>
      <c r="E1512" s="11">
        <v>45987.234722222223</v>
      </c>
      <c r="F1512" s="11">
        <v>45987.395833333336</v>
      </c>
      <c r="G1512" s="12">
        <v>0.16111111111240461</v>
      </c>
      <c r="H1512" s="2" t="s">
        <v>257</v>
      </c>
      <c r="J1512" s="2" t="s">
        <v>258</v>
      </c>
      <c r="K1512" s="2" t="s">
        <v>658</v>
      </c>
      <c r="L1512" s="2" t="s">
        <v>2286</v>
      </c>
      <c r="M1512" t="s">
        <v>260</v>
      </c>
      <c r="N1512" t="s">
        <v>357</v>
      </c>
      <c r="O1512" t="s">
        <v>632</v>
      </c>
      <c r="P1512" t="s">
        <v>3915</v>
      </c>
      <c r="Q1512" t="s">
        <v>2281</v>
      </c>
    </row>
    <row r="1513" spans="1:17">
      <c r="A1513" s="2" t="s">
        <v>2209</v>
      </c>
      <c r="B1513" s="2" t="s">
        <v>495</v>
      </c>
      <c r="C1513" s="2" t="s">
        <v>502</v>
      </c>
      <c r="D1513" s="11">
        <v>45987.234722222223</v>
      </c>
      <c r="E1513" s="11">
        <v>45987.234722222223</v>
      </c>
      <c r="F1513" s="11">
        <v>45987.395833333336</v>
      </c>
      <c r="G1513" s="12">
        <v>0.16111111111240461</v>
      </c>
      <c r="H1513" s="2" t="s">
        <v>257</v>
      </c>
      <c r="J1513" s="2" t="s">
        <v>258</v>
      </c>
      <c r="K1513" s="2" t="s">
        <v>658</v>
      </c>
      <c r="L1513" s="2" t="s">
        <v>2286</v>
      </c>
      <c r="M1513" t="s">
        <v>260</v>
      </c>
      <c r="N1513" t="s">
        <v>357</v>
      </c>
      <c r="O1513" t="s">
        <v>632</v>
      </c>
      <c r="P1513" t="s">
        <v>3916</v>
      </c>
      <c r="Q1513" t="s">
        <v>2281</v>
      </c>
    </row>
    <row r="1514" spans="1:17">
      <c r="A1514" s="2" t="s">
        <v>2209</v>
      </c>
      <c r="B1514" s="2" t="s">
        <v>495</v>
      </c>
      <c r="C1514" s="2" t="s">
        <v>503</v>
      </c>
      <c r="D1514" s="11">
        <v>45987.234722222223</v>
      </c>
      <c r="E1514" s="11">
        <v>45987.234722222223</v>
      </c>
      <c r="F1514" s="11">
        <v>45987.395833333336</v>
      </c>
      <c r="G1514" s="12">
        <v>0.16111111111240461</v>
      </c>
      <c r="H1514" s="2" t="s">
        <v>257</v>
      </c>
      <c r="J1514" s="2" t="s">
        <v>258</v>
      </c>
      <c r="K1514" s="2" t="s">
        <v>658</v>
      </c>
      <c r="L1514" s="2" t="s">
        <v>2286</v>
      </c>
      <c r="M1514" t="s">
        <v>260</v>
      </c>
      <c r="N1514" t="s">
        <v>357</v>
      </c>
      <c r="O1514" t="s">
        <v>632</v>
      </c>
      <c r="P1514" t="s">
        <v>3917</v>
      </c>
      <c r="Q1514" t="s">
        <v>2281</v>
      </c>
    </row>
    <row r="1515" spans="1:17">
      <c r="A1515" s="2" t="s">
        <v>2209</v>
      </c>
      <c r="B1515" s="2" t="s">
        <v>495</v>
      </c>
      <c r="C1515" s="2" t="s">
        <v>504</v>
      </c>
      <c r="D1515" s="11">
        <v>45987.234722222223</v>
      </c>
      <c r="E1515" s="11">
        <v>45987.234722222223</v>
      </c>
      <c r="F1515" s="11">
        <v>45987.395833333336</v>
      </c>
      <c r="G1515" s="12">
        <v>0.16111111111240461</v>
      </c>
      <c r="H1515" s="2" t="s">
        <v>257</v>
      </c>
      <c r="J1515" s="2" t="s">
        <v>258</v>
      </c>
      <c r="K1515" s="2" t="s">
        <v>658</v>
      </c>
      <c r="L1515" s="2" t="s">
        <v>2286</v>
      </c>
      <c r="M1515" t="s">
        <v>260</v>
      </c>
      <c r="N1515" t="s">
        <v>357</v>
      </c>
      <c r="O1515" t="s">
        <v>632</v>
      </c>
      <c r="P1515" t="s">
        <v>3918</v>
      </c>
      <c r="Q1515" t="s">
        <v>2281</v>
      </c>
    </row>
    <row r="1516" spans="1:17">
      <c r="A1516" s="2" t="s">
        <v>2209</v>
      </c>
      <c r="B1516" s="2" t="s">
        <v>495</v>
      </c>
      <c r="C1516" s="2" t="s">
        <v>505</v>
      </c>
      <c r="D1516" s="11">
        <v>45987.234722222223</v>
      </c>
      <c r="E1516" s="11">
        <v>45987.234722222223</v>
      </c>
      <c r="F1516" s="11">
        <v>45987.395833333336</v>
      </c>
      <c r="G1516" s="12">
        <v>0.16111111111240461</v>
      </c>
      <c r="H1516" s="2" t="s">
        <v>257</v>
      </c>
      <c r="J1516" s="2" t="s">
        <v>258</v>
      </c>
      <c r="K1516" s="2" t="s">
        <v>658</v>
      </c>
      <c r="L1516" s="2" t="s">
        <v>2286</v>
      </c>
      <c r="M1516" t="s">
        <v>260</v>
      </c>
      <c r="N1516" t="s">
        <v>357</v>
      </c>
      <c r="O1516" t="s">
        <v>632</v>
      </c>
      <c r="P1516" t="s">
        <v>3919</v>
      </c>
      <c r="Q1516" t="s">
        <v>2281</v>
      </c>
    </row>
    <row r="1517" spans="1:17">
      <c r="A1517" s="2" t="s">
        <v>2209</v>
      </c>
      <c r="B1517" s="2" t="s">
        <v>495</v>
      </c>
      <c r="C1517" s="2" t="s">
        <v>506</v>
      </c>
      <c r="D1517" s="11">
        <v>45987.234722222223</v>
      </c>
      <c r="E1517" s="11">
        <v>45987.234722222223</v>
      </c>
      <c r="F1517" s="11">
        <v>45987.395833333336</v>
      </c>
      <c r="G1517" s="12">
        <v>0.16111111111240461</v>
      </c>
      <c r="H1517" s="2" t="s">
        <v>257</v>
      </c>
      <c r="J1517" s="2" t="s">
        <v>258</v>
      </c>
      <c r="K1517" s="2" t="s">
        <v>658</v>
      </c>
      <c r="L1517" s="2" t="s">
        <v>2286</v>
      </c>
      <c r="M1517" t="s">
        <v>260</v>
      </c>
      <c r="N1517" t="s">
        <v>357</v>
      </c>
      <c r="O1517" t="s">
        <v>632</v>
      </c>
      <c r="P1517" t="s">
        <v>3920</v>
      </c>
      <c r="Q1517" t="s">
        <v>2281</v>
      </c>
    </row>
    <row r="1518" spans="1:17">
      <c r="A1518" s="2" t="s">
        <v>2209</v>
      </c>
      <c r="B1518" s="2" t="s">
        <v>495</v>
      </c>
      <c r="C1518" s="2" t="s">
        <v>507</v>
      </c>
      <c r="D1518" s="11">
        <v>45987.234722222223</v>
      </c>
      <c r="E1518" s="11">
        <v>45987.234722222223</v>
      </c>
      <c r="F1518" s="11">
        <v>45987.395833333336</v>
      </c>
      <c r="G1518" s="12">
        <v>0.16111111111240461</v>
      </c>
      <c r="H1518" s="2" t="s">
        <v>257</v>
      </c>
      <c r="J1518" s="2" t="s">
        <v>258</v>
      </c>
      <c r="K1518" s="2" t="s">
        <v>658</v>
      </c>
      <c r="L1518" s="2" t="s">
        <v>2286</v>
      </c>
      <c r="M1518" t="s">
        <v>260</v>
      </c>
      <c r="N1518" t="s">
        <v>357</v>
      </c>
      <c r="O1518" t="s">
        <v>632</v>
      </c>
      <c r="P1518" t="s">
        <v>3921</v>
      </c>
      <c r="Q1518" t="s">
        <v>2281</v>
      </c>
    </row>
    <row r="1519" spans="1:17">
      <c r="A1519" s="2" t="s">
        <v>2209</v>
      </c>
      <c r="B1519" s="2" t="s">
        <v>495</v>
      </c>
      <c r="C1519" s="2" t="s">
        <v>508</v>
      </c>
      <c r="D1519" s="11">
        <v>45987.234722222223</v>
      </c>
      <c r="E1519" s="11">
        <v>45987.234722222223</v>
      </c>
      <c r="F1519" s="11">
        <v>45987.395833333336</v>
      </c>
      <c r="G1519" s="12">
        <v>0.16111111111240461</v>
      </c>
      <c r="H1519" s="2" t="s">
        <v>257</v>
      </c>
      <c r="J1519" s="2" t="s">
        <v>258</v>
      </c>
      <c r="K1519" s="2" t="s">
        <v>658</v>
      </c>
      <c r="L1519" s="2" t="s">
        <v>2286</v>
      </c>
      <c r="M1519" t="s">
        <v>260</v>
      </c>
      <c r="N1519" t="s">
        <v>357</v>
      </c>
      <c r="O1519" t="s">
        <v>632</v>
      </c>
      <c r="P1519" t="s">
        <v>3922</v>
      </c>
      <c r="Q1519" t="s">
        <v>2281</v>
      </c>
    </row>
    <row r="1520" spans="1:17">
      <c r="A1520" s="2" t="s">
        <v>2209</v>
      </c>
      <c r="B1520" s="2" t="s">
        <v>495</v>
      </c>
      <c r="C1520" s="2" t="s">
        <v>509</v>
      </c>
      <c r="D1520" s="11">
        <v>45987.234722222223</v>
      </c>
      <c r="E1520" s="11">
        <v>45987.234722222223</v>
      </c>
      <c r="F1520" s="11">
        <v>45987.395833333336</v>
      </c>
      <c r="G1520" s="12">
        <v>0.16111111111240461</v>
      </c>
      <c r="H1520" s="2" t="s">
        <v>257</v>
      </c>
      <c r="J1520" s="2" t="s">
        <v>258</v>
      </c>
      <c r="K1520" s="2" t="s">
        <v>658</v>
      </c>
      <c r="L1520" s="2" t="s">
        <v>2286</v>
      </c>
      <c r="M1520" t="s">
        <v>260</v>
      </c>
      <c r="N1520" t="s">
        <v>357</v>
      </c>
      <c r="O1520" t="s">
        <v>632</v>
      </c>
      <c r="P1520" t="s">
        <v>3923</v>
      </c>
      <c r="Q1520" t="s">
        <v>2281</v>
      </c>
    </row>
    <row r="1521" spans="1:17">
      <c r="A1521" s="2" t="s">
        <v>2209</v>
      </c>
      <c r="B1521" s="2" t="s">
        <v>495</v>
      </c>
      <c r="C1521" s="2" t="s">
        <v>510</v>
      </c>
      <c r="D1521" s="11">
        <v>45987.234722222223</v>
      </c>
      <c r="E1521" s="11">
        <v>45987.234722222223</v>
      </c>
      <c r="F1521" s="11">
        <v>45987.395833333336</v>
      </c>
      <c r="G1521" s="12">
        <v>0.16111111111240461</v>
      </c>
      <c r="H1521" s="2" t="s">
        <v>257</v>
      </c>
      <c r="J1521" s="2" t="s">
        <v>258</v>
      </c>
      <c r="K1521" s="2" t="s">
        <v>658</v>
      </c>
      <c r="L1521" s="2" t="s">
        <v>2286</v>
      </c>
      <c r="M1521" t="s">
        <v>260</v>
      </c>
      <c r="N1521" t="s">
        <v>357</v>
      </c>
      <c r="O1521" t="s">
        <v>632</v>
      </c>
      <c r="P1521" t="s">
        <v>3924</v>
      </c>
      <c r="Q1521" t="s">
        <v>2281</v>
      </c>
    </row>
    <row r="1522" spans="1:17">
      <c r="A1522" s="2" t="s">
        <v>2209</v>
      </c>
      <c r="B1522" s="2" t="s">
        <v>495</v>
      </c>
      <c r="C1522" s="2" t="s">
        <v>511</v>
      </c>
      <c r="D1522" s="11">
        <v>45987.234722222223</v>
      </c>
      <c r="E1522" s="11">
        <v>45987.234722222223</v>
      </c>
      <c r="F1522" s="11">
        <v>45987.395833333336</v>
      </c>
      <c r="G1522" s="12">
        <v>0.16111111111240461</v>
      </c>
      <c r="H1522" s="2" t="s">
        <v>257</v>
      </c>
      <c r="J1522" s="2" t="s">
        <v>258</v>
      </c>
      <c r="K1522" s="2" t="s">
        <v>658</v>
      </c>
      <c r="L1522" s="2" t="s">
        <v>2286</v>
      </c>
      <c r="M1522" t="s">
        <v>260</v>
      </c>
      <c r="N1522" t="s">
        <v>357</v>
      </c>
      <c r="O1522" t="s">
        <v>632</v>
      </c>
      <c r="P1522" t="s">
        <v>3925</v>
      </c>
      <c r="Q1522" t="s">
        <v>2281</v>
      </c>
    </row>
    <row r="1523" spans="1:17">
      <c r="A1523" s="2" t="s">
        <v>2209</v>
      </c>
      <c r="B1523" s="2" t="s">
        <v>495</v>
      </c>
      <c r="C1523" s="2" t="s">
        <v>512</v>
      </c>
      <c r="D1523" s="11">
        <v>45987.234722222223</v>
      </c>
      <c r="E1523" s="11">
        <v>45987.234722222223</v>
      </c>
      <c r="F1523" s="11">
        <v>45987.395833333336</v>
      </c>
      <c r="G1523" s="12">
        <v>0.16111111111240461</v>
      </c>
      <c r="H1523" s="2" t="s">
        <v>257</v>
      </c>
      <c r="J1523" s="2" t="s">
        <v>258</v>
      </c>
      <c r="K1523" s="2" t="s">
        <v>658</v>
      </c>
      <c r="L1523" s="2" t="s">
        <v>2286</v>
      </c>
      <c r="M1523" t="s">
        <v>260</v>
      </c>
      <c r="N1523" t="s">
        <v>357</v>
      </c>
      <c r="O1523" t="s">
        <v>632</v>
      </c>
      <c r="P1523" t="s">
        <v>3926</v>
      </c>
      <c r="Q1523" t="s">
        <v>2281</v>
      </c>
    </row>
    <row r="1524" spans="1:17">
      <c r="A1524" s="2" t="s">
        <v>2209</v>
      </c>
      <c r="B1524" s="2" t="s">
        <v>495</v>
      </c>
      <c r="C1524" s="2" t="s">
        <v>513</v>
      </c>
      <c r="D1524" s="11">
        <v>45987.234722222223</v>
      </c>
      <c r="E1524" s="11">
        <v>45987.234722222223</v>
      </c>
      <c r="F1524" s="11">
        <v>45987.395833333336</v>
      </c>
      <c r="G1524" s="12">
        <v>0.16111111111240461</v>
      </c>
      <c r="H1524" s="2" t="s">
        <v>257</v>
      </c>
      <c r="J1524" s="2" t="s">
        <v>258</v>
      </c>
      <c r="K1524" s="2" t="s">
        <v>658</v>
      </c>
      <c r="L1524" s="2" t="s">
        <v>2286</v>
      </c>
      <c r="M1524" t="s">
        <v>260</v>
      </c>
      <c r="N1524" t="s">
        <v>357</v>
      </c>
      <c r="O1524" t="s">
        <v>632</v>
      </c>
      <c r="P1524" t="s">
        <v>3927</v>
      </c>
      <c r="Q1524" t="s">
        <v>2281</v>
      </c>
    </row>
    <row r="1525" spans="1:17">
      <c r="A1525" s="2" t="s">
        <v>2209</v>
      </c>
      <c r="B1525" s="2" t="s">
        <v>495</v>
      </c>
      <c r="C1525" s="2" t="s">
        <v>514</v>
      </c>
      <c r="D1525" s="11">
        <v>45987.234722222223</v>
      </c>
      <c r="E1525" s="11">
        <v>45987.234722222223</v>
      </c>
      <c r="F1525" s="11">
        <v>45987.395833333336</v>
      </c>
      <c r="G1525" s="12">
        <v>0.16111111111240461</v>
      </c>
      <c r="H1525" s="2" t="s">
        <v>257</v>
      </c>
      <c r="J1525" s="2" t="s">
        <v>258</v>
      </c>
      <c r="K1525" s="2" t="s">
        <v>658</v>
      </c>
      <c r="L1525" s="2" t="s">
        <v>2286</v>
      </c>
      <c r="M1525" t="s">
        <v>260</v>
      </c>
      <c r="N1525" t="s">
        <v>357</v>
      </c>
      <c r="O1525" t="s">
        <v>632</v>
      </c>
      <c r="P1525" t="s">
        <v>3928</v>
      </c>
      <c r="Q1525" t="s">
        <v>2281</v>
      </c>
    </row>
    <row r="1526" spans="1:17">
      <c r="A1526" s="2" t="s">
        <v>2209</v>
      </c>
      <c r="B1526" s="2" t="s">
        <v>495</v>
      </c>
      <c r="C1526" s="2" t="s">
        <v>515</v>
      </c>
      <c r="D1526" s="11">
        <v>45987.234722222223</v>
      </c>
      <c r="E1526" s="11">
        <v>45987.234722222223</v>
      </c>
      <c r="F1526" s="11">
        <v>45987.395833333336</v>
      </c>
      <c r="G1526" s="12">
        <v>0.16111111111240461</v>
      </c>
      <c r="H1526" s="2" t="s">
        <v>257</v>
      </c>
      <c r="J1526" s="2" t="s">
        <v>258</v>
      </c>
      <c r="K1526" s="2" t="s">
        <v>658</v>
      </c>
      <c r="L1526" s="2" t="s">
        <v>2286</v>
      </c>
      <c r="M1526" t="s">
        <v>260</v>
      </c>
      <c r="N1526" t="s">
        <v>357</v>
      </c>
      <c r="O1526" t="s">
        <v>632</v>
      </c>
      <c r="P1526" t="s">
        <v>3929</v>
      </c>
      <c r="Q1526" t="s">
        <v>2281</v>
      </c>
    </row>
    <row r="1527" spans="1:17">
      <c r="A1527" s="2" t="s">
        <v>2209</v>
      </c>
      <c r="B1527" s="2" t="s">
        <v>495</v>
      </c>
      <c r="C1527" s="2" t="s">
        <v>516</v>
      </c>
      <c r="D1527" s="11">
        <v>45987.234722222223</v>
      </c>
      <c r="E1527" s="11">
        <v>45987.234722222223</v>
      </c>
      <c r="F1527" s="11">
        <v>45987.395833333336</v>
      </c>
      <c r="G1527" s="12">
        <v>0.16111111111240461</v>
      </c>
      <c r="H1527" s="2" t="s">
        <v>257</v>
      </c>
      <c r="J1527" s="2" t="s">
        <v>258</v>
      </c>
      <c r="K1527" s="2" t="s">
        <v>658</v>
      </c>
      <c r="L1527" s="2" t="s">
        <v>2286</v>
      </c>
      <c r="M1527" t="s">
        <v>260</v>
      </c>
      <c r="N1527" t="s">
        <v>357</v>
      </c>
      <c r="O1527" t="s">
        <v>632</v>
      </c>
      <c r="P1527" t="s">
        <v>3930</v>
      </c>
      <c r="Q1527" t="s">
        <v>2281</v>
      </c>
    </row>
    <row r="1528" spans="1:17">
      <c r="A1528" s="2" t="s">
        <v>487</v>
      </c>
      <c r="B1528" s="2" t="s">
        <v>487</v>
      </c>
      <c r="C1528" s="2" t="s">
        <v>378</v>
      </c>
      <c r="D1528" s="11">
        <v>45987.543055555558</v>
      </c>
      <c r="E1528" s="11">
        <v>45987.543055555558</v>
      </c>
      <c r="F1528" s="11">
        <v>45987.559027777781</v>
      </c>
      <c r="G1528" s="12">
        <v>1.5972222223354038E-2</v>
      </c>
      <c r="H1528" s="2" t="s">
        <v>677</v>
      </c>
      <c r="J1528" s="2" t="s">
        <v>230</v>
      </c>
      <c r="K1528" s="2" t="s">
        <v>230</v>
      </c>
      <c r="L1528" s="2" t="s">
        <v>2852</v>
      </c>
      <c r="M1528" t="s">
        <v>663</v>
      </c>
      <c r="N1528" t="s">
        <v>672</v>
      </c>
      <c r="O1528" t="s">
        <v>3931</v>
      </c>
      <c r="P1528" t="s">
        <v>3932</v>
      </c>
      <c r="Q1528" t="s">
        <v>2677</v>
      </c>
    </row>
    <row r="1529" spans="1:17">
      <c r="A1529" s="2" t="s">
        <v>487</v>
      </c>
      <c r="B1529" s="2" t="s">
        <v>487</v>
      </c>
      <c r="C1529" s="2" t="s">
        <v>382</v>
      </c>
      <c r="D1529" s="11">
        <v>45987.543055555558</v>
      </c>
      <c r="E1529" s="11">
        <v>45987.543055555558</v>
      </c>
      <c r="F1529" s="11">
        <v>45987.559027777781</v>
      </c>
      <c r="G1529" s="12">
        <v>1.5972222223354038E-2</v>
      </c>
      <c r="H1529" s="2" t="s">
        <v>677</v>
      </c>
      <c r="J1529" s="2" t="s">
        <v>230</v>
      </c>
      <c r="K1529" s="2" t="s">
        <v>230</v>
      </c>
      <c r="L1529" s="2" t="s">
        <v>2852</v>
      </c>
      <c r="M1529" t="s">
        <v>663</v>
      </c>
      <c r="N1529" t="s">
        <v>672</v>
      </c>
      <c r="O1529" t="s">
        <v>3931</v>
      </c>
      <c r="P1529" t="s">
        <v>3933</v>
      </c>
      <c r="Q1529" t="s">
        <v>2677</v>
      </c>
    </row>
    <row r="1530" spans="1:17">
      <c r="A1530" s="2" t="s">
        <v>487</v>
      </c>
      <c r="B1530" s="2" t="s">
        <v>487</v>
      </c>
      <c r="C1530" s="2" t="s">
        <v>380</v>
      </c>
      <c r="D1530" s="11">
        <v>45987.543055555558</v>
      </c>
      <c r="E1530" s="11">
        <v>45987.543055555558</v>
      </c>
      <c r="F1530" s="11">
        <v>45987.559027777781</v>
      </c>
      <c r="G1530" s="12">
        <v>1.5972222223354038E-2</v>
      </c>
      <c r="H1530" s="2" t="s">
        <v>677</v>
      </c>
      <c r="J1530" s="2" t="s">
        <v>230</v>
      </c>
      <c r="K1530" s="2" t="s">
        <v>230</v>
      </c>
      <c r="L1530" s="2" t="s">
        <v>2852</v>
      </c>
      <c r="M1530" t="s">
        <v>663</v>
      </c>
      <c r="N1530" t="s">
        <v>672</v>
      </c>
      <c r="O1530" t="s">
        <v>3931</v>
      </c>
      <c r="P1530" t="s">
        <v>3934</v>
      </c>
      <c r="Q1530" t="s">
        <v>2677</v>
      </c>
    </row>
    <row r="1531" spans="1:17">
      <c r="A1531" s="2" t="s">
        <v>487</v>
      </c>
      <c r="B1531" s="2" t="s">
        <v>487</v>
      </c>
      <c r="C1531" s="2" t="s">
        <v>377</v>
      </c>
      <c r="D1531" s="11">
        <v>45987.543055555558</v>
      </c>
      <c r="E1531" s="11">
        <v>45987.543055555558</v>
      </c>
      <c r="F1531" s="11">
        <v>45987.559027777781</v>
      </c>
      <c r="G1531" s="12">
        <v>1.5972222223354038E-2</v>
      </c>
      <c r="H1531" s="2" t="s">
        <v>677</v>
      </c>
      <c r="J1531" s="2" t="s">
        <v>230</v>
      </c>
      <c r="K1531" s="2" t="s">
        <v>230</v>
      </c>
      <c r="L1531" s="2" t="s">
        <v>2852</v>
      </c>
      <c r="M1531" t="s">
        <v>663</v>
      </c>
      <c r="N1531" t="s">
        <v>672</v>
      </c>
      <c r="O1531" t="s">
        <v>3931</v>
      </c>
      <c r="P1531" t="s">
        <v>3935</v>
      </c>
      <c r="Q1531" t="s">
        <v>2677</v>
      </c>
    </row>
    <row r="1532" spans="1:17">
      <c r="A1532" s="2" t="s">
        <v>487</v>
      </c>
      <c r="B1532" s="2" t="s">
        <v>487</v>
      </c>
      <c r="C1532" s="2" t="s">
        <v>379</v>
      </c>
      <c r="D1532" s="11">
        <v>45987.543055555558</v>
      </c>
      <c r="E1532" s="11">
        <v>45987.543055555558</v>
      </c>
      <c r="F1532" s="11">
        <v>45987.559027777781</v>
      </c>
      <c r="G1532" s="12">
        <v>1.5972222223354038E-2</v>
      </c>
      <c r="H1532" s="2" t="s">
        <v>677</v>
      </c>
      <c r="J1532" s="2" t="s">
        <v>230</v>
      </c>
      <c r="K1532" s="2" t="s">
        <v>230</v>
      </c>
      <c r="L1532" s="2" t="s">
        <v>2852</v>
      </c>
      <c r="M1532" t="s">
        <v>663</v>
      </c>
      <c r="N1532" t="s">
        <v>672</v>
      </c>
      <c r="O1532" t="s">
        <v>3931</v>
      </c>
      <c r="P1532" t="s">
        <v>3936</v>
      </c>
      <c r="Q1532" t="s">
        <v>2677</v>
      </c>
    </row>
    <row r="1533" spans="1:17">
      <c r="A1533" s="2" t="s">
        <v>698</v>
      </c>
      <c r="B1533" s="2" t="s">
        <v>698</v>
      </c>
      <c r="C1533" s="2" t="s">
        <v>256</v>
      </c>
      <c r="D1533" s="11">
        <v>45988.215277777781</v>
      </c>
      <c r="E1533" s="11">
        <v>45988.215277777781</v>
      </c>
      <c r="F1533" s="11">
        <v>45989.625</v>
      </c>
      <c r="G1533" s="12">
        <v>1.4097222222189885</v>
      </c>
      <c r="H1533" s="2" t="s">
        <v>257</v>
      </c>
      <c r="J1533" s="2" t="s">
        <v>249</v>
      </c>
      <c r="K1533" s="2" t="s">
        <v>250</v>
      </c>
      <c r="L1533" s="2" t="s">
        <v>3937</v>
      </c>
      <c r="M1533" t="s">
        <v>663</v>
      </c>
      <c r="N1533" t="s">
        <v>364</v>
      </c>
      <c r="O1533" t="s">
        <v>3938</v>
      </c>
      <c r="P1533" t="s">
        <v>3939</v>
      </c>
      <c r="Q1533" t="s">
        <v>3940</v>
      </c>
    </row>
    <row r="1534" spans="1:17">
      <c r="A1534" s="2" t="s">
        <v>698</v>
      </c>
      <c r="B1534" s="2" t="s">
        <v>698</v>
      </c>
      <c r="C1534" s="2" t="s">
        <v>264</v>
      </c>
      <c r="D1534" s="11">
        <v>45988.215277777781</v>
      </c>
      <c r="E1534" s="11">
        <v>45988.215277777781</v>
      </c>
      <c r="F1534" s="11">
        <v>45989.625</v>
      </c>
      <c r="G1534" s="12">
        <v>1.4097222222189885</v>
      </c>
      <c r="H1534" s="2" t="s">
        <v>257</v>
      </c>
      <c r="J1534" s="2" t="s">
        <v>249</v>
      </c>
      <c r="K1534" s="2" t="s">
        <v>250</v>
      </c>
      <c r="L1534" s="2" t="s">
        <v>3937</v>
      </c>
      <c r="M1534" t="s">
        <v>663</v>
      </c>
      <c r="N1534" t="s">
        <v>364</v>
      </c>
      <c r="O1534" t="s">
        <v>3938</v>
      </c>
      <c r="P1534" t="s">
        <v>3941</v>
      </c>
      <c r="Q1534" t="s">
        <v>3940</v>
      </c>
    </row>
    <row r="1535" spans="1:17">
      <c r="A1535" s="2" t="s">
        <v>698</v>
      </c>
      <c r="B1535" s="2" t="s">
        <v>698</v>
      </c>
      <c r="C1535" s="2" t="s">
        <v>263</v>
      </c>
      <c r="D1535" s="11">
        <v>45988.215277777781</v>
      </c>
      <c r="E1535" s="11">
        <v>45988.215277777781</v>
      </c>
      <c r="F1535" s="11">
        <v>45989.625</v>
      </c>
      <c r="G1535" s="12">
        <v>1.4097222222189885</v>
      </c>
      <c r="H1535" s="2" t="s">
        <v>257</v>
      </c>
      <c r="J1535" s="2" t="s">
        <v>249</v>
      </c>
      <c r="K1535" s="2" t="s">
        <v>250</v>
      </c>
      <c r="L1535" s="2" t="s">
        <v>3937</v>
      </c>
      <c r="M1535" t="s">
        <v>663</v>
      </c>
      <c r="N1535" t="s">
        <v>364</v>
      </c>
      <c r="O1535" t="s">
        <v>3938</v>
      </c>
      <c r="P1535" t="s">
        <v>3942</v>
      </c>
      <c r="Q1535" t="s">
        <v>3940</v>
      </c>
    </row>
    <row r="1536" spans="1:17">
      <c r="A1536" s="2" t="s">
        <v>698</v>
      </c>
      <c r="B1536" s="2" t="s">
        <v>698</v>
      </c>
      <c r="C1536" s="2" t="s">
        <v>307</v>
      </c>
      <c r="D1536" s="11">
        <v>45988.215277777781</v>
      </c>
      <c r="E1536" s="11">
        <v>45988.215277777781</v>
      </c>
      <c r="F1536" s="11">
        <v>45989.625</v>
      </c>
      <c r="G1536" s="12">
        <v>1.4097222222189885</v>
      </c>
      <c r="H1536" s="2" t="s">
        <v>257</v>
      </c>
      <c r="J1536" s="2" t="s">
        <v>249</v>
      </c>
      <c r="K1536" s="2" t="s">
        <v>250</v>
      </c>
      <c r="L1536" s="2" t="s">
        <v>3937</v>
      </c>
      <c r="M1536" t="s">
        <v>663</v>
      </c>
      <c r="N1536" t="s">
        <v>364</v>
      </c>
      <c r="O1536" t="s">
        <v>3938</v>
      </c>
      <c r="P1536" t="s">
        <v>3943</v>
      </c>
      <c r="Q1536" t="s">
        <v>3940</v>
      </c>
    </row>
    <row r="1537" spans="1:17">
      <c r="A1537" s="2" t="s">
        <v>700</v>
      </c>
      <c r="B1537" s="2" t="s">
        <v>700</v>
      </c>
      <c r="C1537" s="2" t="s">
        <v>256</v>
      </c>
      <c r="D1537" s="11">
        <v>45988.215277777781</v>
      </c>
      <c r="E1537" s="11">
        <v>45988.215277777781</v>
      </c>
      <c r="F1537" s="11">
        <v>45989.625</v>
      </c>
      <c r="G1537" s="12">
        <v>1.4097222222189885</v>
      </c>
      <c r="H1537" s="2" t="s">
        <v>268</v>
      </c>
      <c r="I1537" s="2" t="s">
        <v>269</v>
      </c>
      <c r="J1537" s="2" t="s">
        <v>319</v>
      </c>
      <c r="K1537" s="2" t="s">
        <v>652</v>
      </c>
      <c r="L1537" s="2" t="s">
        <v>3937</v>
      </c>
      <c r="M1537" t="s">
        <v>663</v>
      </c>
      <c r="N1537" t="s">
        <v>364</v>
      </c>
      <c r="O1537" t="s">
        <v>3938</v>
      </c>
      <c r="P1537" t="s">
        <v>3944</v>
      </c>
      <c r="Q1537" t="s">
        <v>2713</v>
      </c>
    </row>
    <row r="1538" spans="1:17">
      <c r="A1538" s="2" t="s">
        <v>700</v>
      </c>
      <c r="B1538" s="2" t="s">
        <v>700</v>
      </c>
      <c r="C1538" s="2" t="s">
        <v>264</v>
      </c>
      <c r="D1538" s="11">
        <v>45988.215277777781</v>
      </c>
      <c r="E1538" s="11">
        <v>45988.215277777781</v>
      </c>
      <c r="F1538" s="11">
        <v>45989.625</v>
      </c>
      <c r="G1538" s="12">
        <v>1.4097222222189885</v>
      </c>
      <c r="H1538" s="2" t="s">
        <v>268</v>
      </c>
      <c r="I1538" s="2" t="s">
        <v>269</v>
      </c>
      <c r="J1538" s="2" t="s">
        <v>319</v>
      </c>
      <c r="K1538" s="2" t="s">
        <v>652</v>
      </c>
      <c r="L1538" s="2" t="s">
        <v>3937</v>
      </c>
      <c r="M1538" t="s">
        <v>289</v>
      </c>
      <c r="N1538" t="s">
        <v>253</v>
      </c>
      <c r="O1538" t="s">
        <v>3938</v>
      </c>
      <c r="P1538" t="s">
        <v>3945</v>
      </c>
      <c r="Q1538" t="s">
        <v>2713</v>
      </c>
    </row>
    <row r="1539" spans="1:17">
      <c r="A1539" s="2" t="s">
        <v>700</v>
      </c>
      <c r="B1539" s="2" t="s">
        <v>700</v>
      </c>
      <c r="C1539" s="2" t="s">
        <v>263</v>
      </c>
      <c r="D1539" s="11">
        <v>45988.215277777781</v>
      </c>
      <c r="E1539" s="11">
        <v>45988.215277777781</v>
      </c>
      <c r="F1539" s="11">
        <v>45989.625</v>
      </c>
      <c r="G1539" s="12">
        <v>1.4097222222189885</v>
      </c>
      <c r="H1539" s="2" t="s">
        <v>268</v>
      </c>
      <c r="I1539" s="2" t="s">
        <v>269</v>
      </c>
      <c r="J1539" s="2" t="s">
        <v>319</v>
      </c>
      <c r="K1539" s="2" t="s">
        <v>652</v>
      </c>
      <c r="L1539" s="2" t="s">
        <v>3937</v>
      </c>
      <c r="M1539" t="s">
        <v>289</v>
      </c>
      <c r="N1539" t="s">
        <v>253</v>
      </c>
      <c r="O1539" t="s">
        <v>3938</v>
      </c>
      <c r="P1539" t="s">
        <v>3946</v>
      </c>
      <c r="Q1539" t="s">
        <v>2713</v>
      </c>
    </row>
    <row r="1540" spans="1:17">
      <c r="A1540" s="2" t="s">
        <v>700</v>
      </c>
      <c r="B1540" s="2" t="s">
        <v>700</v>
      </c>
      <c r="C1540" s="2" t="s">
        <v>307</v>
      </c>
      <c r="D1540" s="11">
        <v>45988.215277777781</v>
      </c>
      <c r="E1540" s="11">
        <v>45988.215277777781</v>
      </c>
      <c r="F1540" s="11">
        <v>45989.625</v>
      </c>
      <c r="G1540" s="12">
        <v>1.4097222222189885</v>
      </c>
      <c r="H1540" s="2" t="s">
        <v>268</v>
      </c>
      <c r="I1540" s="2" t="s">
        <v>269</v>
      </c>
      <c r="J1540" s="2" t="s">
        <v>319</v>
      </c>
      <c r="K1540" s="2" t="s">
        <v>652</v>
      </c>
      <c r="L1540" s="2" t="s">
        <v>3937</v>
      </c>
      <c r="M1540" t="s">
        <v>289</v>
      </c>
      <c r="N1540" t="s">
        <v>253</v>
      </c>
      <c r="O1540" t="s">
        <v>3938</v>
      </c>
      <c r="P1540" t="s">
        <v>3947</v>
      </c>
      <c r="Q1540" t="s">
        <v>2713</v>
      </c>
    </row>
    <row r="1541" spans="1:17">
      <c r="A1541" s="2" t="s">
        <v>314</v>
      </c>
      <c r="B1541" s="2" t="s">
        <v>314</v>
      </c>
      <c r="C1541" s="2" t="s">
        <v>247</v>
      </c>
      <c r="D1541" s="11">
        <v>45988.215277777781</v>
      </c>
      <c r="E1541" s="11">
        <v>45988.215277777781</v>
      </c>
      <c r="F1541" s="11">
        <v>45989.625</v>
      </c>
      <c r="G1541" s="12">
        <v>1.4097222222189885</v>
      </c>
      <c r="H1541" s="2" t="s">
        <v>268</v>
      </c>
      <c r="I1541" s="2" t="s">
        <v>269</v>
      </c>
      <c r="J1541" s="2" t="s">
        <v>319</v>
      </c>
      <c r="K1541" s="2" t="s">
        <v>652</v>
      </c>
      <c r="L1541" s="2" t="s">
        <v>3937</v>
      </c>
      <c r="M1541" t="s">
        <v>289</v>
      </c>
      <c r="N1541" t="s">
        <v>253</v>
      </c>
      <c r="O1541" t="s">
        <v>3938</v>
      </c>
      <c r="P1541" t="s">
        <v>3948</v>
      </c>
      <c r="Q1541" t="s">
        <v>2713</v>
      </c>
    </row>
    <row r="1542" spans="1:17">
      <c r="A1542" s="2" t="s">
        <v>314</v>
      </c>
      <c r="B1542" s="2" t="s">
        <v>314</v>
      </c>
      <c r="C1542" s="2" t="s">
        <v>264</v>
      </c>
      <c r="D1542" s="11">
        <v>45988.215277777781</v>
      </c>
      <c r="E1542" s="11">
        <v>45988.215277777781</v>
      </c>
      <c r="F1542" s="11">
        <v>45989.625</v>
      </c>
      <c r="G1542" s="12">
        <v>1.4097222222189885</v>
      </c>
      <c r="H1542" s="2" t="s">
        <v>268</v>
      </c>
      <c r="I1542" s="2" t="s">
        <v>269</v>
      </c>
      <c r="J1542" s="2" t="s">
        <v>319</v>
      </c>
      <c r="K1542" s="2" t="s">
        <v>652</v>
      </c>
      <c r="L1542" s="2" t="s">
        <v>3937</v>
      </c>
      <c r="M1542" t="s">
        <v>289</v>
      </c>
      <c r="N1542" t="s">
        <v>253</v>
      </c>
      <c r="O1542" t="s">
        <v>3938</v>
      </c>
      <c r="P1542" t="s">
        <v>3949</v>
      </c>
      <c r="Q1542" t="s">
        <v>2713</v>
      </c>
    </row>
    <row r="1543" spans="1:17">
      <c r="A1543" s="2" t="s">
        <v>314</v>
      </c>
      <c r="B1543" s="2" t="s">
        <v>314</v>
      </c>
      <c r="C1543" s="2" t="s">
        <v>263</v>
      </c>
      <c r="D1543" s="11">
        <v>45988.215277777781</v>
      </c>
      <c r="E1543" s="11">
        <v>45988.215277777781</v>
      </c>
      <c r="F1543" s="11">
        <v>45989.625</v>
      </c>
      <c r="G1543" s="12">
        <v>1.4097222222189885</v>
      </c>
      <c r="H1543" s="2" t="s">
        <v>268</v>
      </c>
      <c r="I1543" s="2" t="s">
        <v>269</v>
      </c>
      <c r="J1543" s="2" t="s">
        <v>319</v>
      </c>
      <c r="K1543" s="2" t="s">
        <v>652</v>
      </c>
      <c r="L1543" s="2" t="s">
        <v>3937</v>
      </c>
      <c r="M1543" t="s">
        <v>289</v>
      </c>
      <c r="N1543" t="s">
        <v>253</v>
      </c>
      <c r="O1543" t="s">
        <v>3938</v>
      </c>
      <c r="P1543" t="s">
        <v>3950</v>
      </c>
      <c r="Q1543" t="s">
        <v>2713</v>
      </c>
    </row>
    <row r="1544" spans="1:17">
      <c r="A1544" s="2" t="s">
        <v>314</v>
      </c>
      <c r="B1544" s="2" t="s">
        <v>314</v>
      </c>
      <c r="C1544" s="2" t="s">
        <v>307</v>
      </c>
      <c r="D1544" s="11">
        <v>45988.215277777781</v>
      </c>
      <c r="E1544" s="11">
        <v>45988.215277777781</v>
      </c>
      <c r="F1544" s="11">
        <v>45989.625</v>
      </c>
      <c r="G1544" s="12">
        <v>1.4097222222189885</v>
      </c>
      <c r="H1544" s="2" t="s">
        <v>268</v>
      </c>
      <c r="I1544" s="2" t="s">
        <v>269</v>
      </c>
      <c r="J1544" s="2" t="s">
        <v>319</v>
      </c>
      <c r="K1544" s="2" t="s">
        <v>652</v>
      </c>
      <c r="L1544" s="2" t="s">
        <v>3937</v>
      </c>
      <c r="M1544" t="s">
        <v>289</v>
      </c>
      <c r="N1544" t="s">
        <v>253</v>
      </c>
      <c r="O1544" t="s">
        <v>3938</v>
      </c>
      <c r="P1544" t="s">
        <v>3951</v>
      </c>
      <c r="Q1544" t="s">
        <v>2713</v>
      </c>
    </row>
    <row r="1545" spans="1:17">
      <c r="A1545" s="2" t="s">
        <v>701</v>
      </c>
      <c r="B1545" s="2" t="s">
        <v>701</v>
      </c>
      <c r="C1545" s="2" t="s">
        <v>256</v>
      </c>
      <c r="D1545" s="11">
        <v>45988.215277777781</v>
      </c>
      <c r="E1545" s="11">
        <v>45988.215277777781</v>
      </c>
      <c r="F1545" s="11">
        <v>45989.625</v>
      </c>
      <c r="G1545" s="12">
        <v>1.4097222222189885</v>
      </c>
      <c r="H1545" s="2" t="s">
        <v>268</v>
      </c>
      <c r="I1545" s="2" t="s">
        <v>269</v>
      </c>
      <c r="J1545" s="2" t="s">
        <v>319</v>
      </c>
      <c r="K1545" s="2" t="s">
        <v>652</v>
      </c>
      <c r="L1545" s="2" t="s">
        <v>3937</v>
      </c>
      <c r="M1545" t="s">
        <v>289</v>
      </c>
      <c r="N1545" t="s">
        <v>253</v>
      </c>
      <c r="O1545" t="s">
        <v>3938</v>
      </c>
      <c r="P1545" t="s">
        <v>3952</v>
      </c>
      <c r="Q1545" t="s">
        <v>2713</v>
      </c>
    </row>
    <row r="1546" spans="1:17">
      <c r="A1546" s="2" t="s">
        <v>701</v>
      </c>
      <c r="B1546" s="2" t="s">
        <v>701</v>
      </c>
      <c r="C1546" s="2" t="s">
        <v>264</v>
      </c>
      <c r="D1546" s="11">
        <v>45988.215277777781</v>
      </c>
      <c r="E1546" s="11">
        <v>45988.215277777781</v>
      </c>
      <c r="F1546" s="11">
        <v>45989.625</v>
      </c>
      <c r="G1546" s="12">
        <v>1.4097222222189885</v>
      </c>
      <c r="H1546" s="2" t="s">
        <v>268</v>
      </c>
      <c r="I1546" s="2" t="s">
        <v>269</v>
      </c>
      <c r="J1546" s="2" t="s">
        <v>319</v>
      </c>
      <c r="K1546" s="2" t="s">
        <v>652</v>
      </c>
      <c r="L1546" s="2" t="s">
        <v>3937</v>
      </c>
      <c r="M1546" t="s">
        <v>289</v>
      </c>
      <c r="N1546" t="s">
        <v>253</v>
      </c>
      <c r="O1546" t="s">
        <v>3938</v>
      </c>
      <c r="P1546" t="s">
        <v>3953</v>
      </c>
      <c r="Q1546" t="s">
        <v>2713</v>
      </c>
    </row>
    <row r="1547" spans="1:17">
      <c r="A1547" s="2" t="s">
        <v>701</v>
      </c>
      <c r="B1547" s="2" t="s">
        <v>701</v>
      </c>
      <c r="C1547" s="2" t="s">
        <v>263</v>
      </c>
      <c r="D1547" s="11">
        <v>45988.215277777781</v>
      </c>
      <c r="E1547" s="11">
        <v>45988.215277777781</v>
      </c>
      <c r="F1547" s="11">
        <v>45989.625</v>
      </c>
      <c r="G1547" s="12">
        <v>1.4097222222189885</v>
      </c>
      <c r="H1547" s="2" t="s">
        <v>268</v>
      </c>
      <c r="I1547" s="2" t="s">
        <v>269</v>
      </c>
      <c r="J1547" s="2" t="s">
        <v>319</v>
      </c>
      <c r="K1547" s="2" t="s">
        <v>652</v>
      </c>
      <c r="L1547" s="2" t="s">
        <v>3937</v>
      </c>
      <c r="M1547" t="s">
        <v>289</v>
      </c>
      <c r="N1547" t="s">
        <v>253</v>
      </c>
      <c r="O1547" t="s">
        <v>3938</v>
      </c>
      <c r="P1547" t="s">
        <v>3954</v>
      </c>
      <c r="Q1547" t="s">
        <v>2713</v>
      </c>
    </row>
    <row r="1548" spans="1:17">
      <c r="A1548" s="2" t="s">
        <v>701</v>
      </c>
      <c r="B1548" s="2" t="s">
        <v>701</v>
      </c>
      <c r="C1548" s="2" t="s">
        <v>307</v>
      </c>
      <c r="D1548" s="11">
        <v>45988.215277777781</v>
      </c>
      <c r="E1548" s="11">
        <v>45988.215277777781</v>
      </c>
      <c r="F1548" s="11">
        <v>45989.625</v>
      </c>
      <c r="G1548" s="12">
        <v>1.4097222222189885</v>
      </c>
      <c r="H1548" s="2" t="s">
        <v>268</v>
      </c>
      <c r="I1548" s="2" t="s">
        <v>269</v>
      </c>
      <c r="J1548" s="2" t="s">
        <v>319</v>
      </c>
      <c r="K1548" s="2" t="s">
        <v>652</v>
      </c>
      <c r="L1548" s="2" t="s">
        <v>3937</v>
      </c>
      <c r="M1548" t="s">
        <v>289</v>
      </c>
      <c r="N1548" t="s">
        <v>253</v>
      </c>
      <c r="O1548" t="s">
        <v>3938</v>
      </c>
      <c r="P1548" t="s">
        <v>3955</v>
      </c>
      <c r="Q1548" t="s">
        <v>2713</v>
      </c>
    </row>
    <row r="1549" spans="1:17">
      <c r="A1549" s="2" t="s">
        <v>702</v>
      </c>
      <c r="B1549" s="2" t="s">
        <v>702</v>
      </c>
      <c r="C1549" s="2" t="s">
        <v>256</v>
      </c>
      <c r="D1549" s="11">
        <v>45988.215277777781</v>
      </c>
      <c r="E1549" s="11">
        <v>45988.215277777781</v>
      </c>
      <c r="F1549" s="11">
        <v>45989.625</v>
      </c>
      <c r="G1549" s="12">
        <v>1.4097222222189885</v>
      </c>
      <c r="H1549" s="2" t="s">
        <v>268</v>
      </c>
      <c r="I1549" s="2" t="s">
        <v>269</v>
      </c>
      <c r="J1549" s="2" t="s">
        <v>319</v>
      </c>
      <c r="K1549" s="2" t="s">
        <v>652</v>
      </c>
      <c r="L1549" s="2" t="s">
        <v>3937</v>
      </c>
      <c r="M1549" t="s">
        <v>289</v>
      </c>
      <c r="N1549" t="s">
        <v>253</v>
      </c>
      <c r="O1549" t="s">
        <v>3938</v>
      </c>
      <c r="P1549" t="s">
        <v>3956</v>
      </c>
      <c r="Q1549" t="s">
        <v>2713</v>
      </c>
    </row>
    <row r="1550" spans="1:17">
      <c r="A1550" s="2" t="s">
        <v>702</v>
      </c>
      <c r="B1550" s="2" t="s">
        <v>702</v>
      </c>
      <c r="C1550" s="2" t="s">
        <v>264</v>
      </c>
      <c r="D1550" s="11">
        <v>45988.215277777781</v>
      </c>
      <c r="E1550" s="11">
        <v>45988.215277777781</v>
      </c>
      <c r="F1550" s="11">
        <v>45989.625</v>
      </c>
      <c r="G1550" s="12">
        <v>1.4097222222189885</v>
      </c>
      <c r="H1550" s="2" t="s">
        <v>268</v>
      </c>
      <c r="I1550" s="2" t="s">
        <v>269</v>
      </c>
      <c r="J1550" s="2" t="s">
        <v>319</v>
      </c>
      <c r="K1550" s="2" t="s">
        <v>652</v>
      </c>
      <c r="L1550" s="2" t="s">
        <v>3937</v>
      </c>
      <c r="M1550" t="s">
        <v>289</v>
      </c>
      <c r="N1550" t="s">
        <v>253</v>
      </c>
      <c r="O1550" t="s">
        <v>3938</v>
      </c>
      <c r="P1550" t="s">
        <v>3957</v>
      </c>
      <c r="Q1550" t="s">
        <v>2713</v>
      </c>
    </row>
    <row r="1551" spans="1:17">
      <c r="A1551" s="2" t="s">
        <v>702</v>
      </c>
      <c r="B1551" s="2" t="s">
        <v>702</v>
      </c>
      <c r="C1551" s="2" t="s">
        <v>263</v>
      </c>
      <c r="D1551" s="11">
        <v>45988.215277777781</v>
      </c>
      <c r="E1551" s="11">
        <v>45988.215277777781</v>
      </c>
      <c r="F1551" s="11">
        <v>45989.625</v>
      </c>
      <c r="G1551" s="12">
        <v>1.4097222222189885</v>
      </c>
      <c r="H1551" s="2" t="s">
        <v>268</v>
      </c>
      <c r="I1551" s="2" t="s">
        <v>269</v>
      </c>
      <c r="J1551" s="2" t="s">
        <v>319</v>
      </c>
      <c r="K1551" s="2" t="s">
        <v>652</v>
      </c>
      <c r="L1551" s="2" t="s">
        <v>3937</v>
      </c>
      <c r="M1551" t="s">
        <v>289</v>
      </c>
      <c r="N1551" t="s">
        <v>253</v>
      </c>
      <c r="O1551" t="s">
        <v>3938</v>
      </c>
      <c r="P1551" t="s">
        <v>3958</v>
      </c>
      <c r="Q1551" t="s">
        <v>2713</v>
      </c>
    </row>
    <row r="1552" spans="1:17">
      <c r="A1552" s="2" t="s">
        <v>702</v>
      </c>
      <c r="B1552" s="2" t="s">
        <v>702</v>
      </c>
      <c r="C1552" s="2" t="s">
        <v>247</v>
      </c>
      <c r="D1552" s="11">
        <v>45988.215277777781</v>
      </c>
      <c r="E1552" s="11">
        <v>45988.215277777781</v>
      </c>
      <c r="F1552" s="11">
        <v>45989.625</v>
      </c>
      <c r="G1552" s="12">
        <v>1.4097222222189885</v>
      </c>
      <c r="H1552" s="2" t="s">
        <v>268</v>
      </c>
      <c r="I1552" s="2" t="s">
        <v>269</v>
      </c>
      <c r="J1552" s="2" t="s">
        <v>319</v>
      </c>
      <c r="K1552" s="2" t="s">
        <v>652</v>
      </c>
      <c r="L1552" s="2" t="s">
        <v>3937</v>
      </c>
      <c r="M1552" t="s">
        <v>289</v>
      </c>
      <c r="N1552" t="s">
        <v>253</v>
      </c>
      <c r="O1552" t="s">
        <v>3938</v>
      </c>
      <c r="P1552" t="s">
        <v>3959</v>
      </c>
      <c r="Q1552" t="s">
        <v>2713</v>
      </c>
    </row>
    <row r="1553" spans="1:17">
      <c r="A1553" s="2" t="s">
        <v>444</v>
      </c>
      <c r="B1553" s="2" t="s">
        <v>444</v>
      </c>
      <c r="C1553" s="2" t="s">
        <v>256</v>
      </c>
      <c r="D1553" s="11">
        <v>45988.404166666667</v>
      </c>
      <c r="E1553" s="11">
        <v>45988.404166666667</v>
      </c>
      <c r="F1553" s="11">
        <v>45988.408333333333</v>
      </c>
      <c r="G1553" s="12">
        <v>4.166666665696539E-3</v>
      </c>
      <c r="H1553" s="2" t="s">
        <v>268</v>
      </c>
      <c r="I1553" s="2" t="s">
        <v>269</v>
      </c>
      <c r="J1553" s="2" t="s">
        <v>270</v>
      </c>
      <c r="K1553" s="2" t="s">
        <v>674</v>
      </c>
      <c r="L1553" s="2" t="s">
        <v>715</v>
      </c>
      <c r="M1553" t="s">
        <v>272</v>
      </c>
      <c r="N1553" t="s">
        <v>253</v>
      </c>
      <c r="O1553" t="s">
        <v>2112</v>
      </c>
      <c r="P1553" t="s">
        <v>3960</v>
      </c>
      <c r="Q1553" t="s">
        <v>2690</v>
      </c>
    </row>
    <row r="1554" spans="1:17">
      <c r="A1554" s="2" t="s">
        <v>444</v>
      </c>
      <c r="B1554" s="2" t="s">
        <v>444</v>
      </c>
      <c r="C1554" s="2" t="s">
        <v>264</v>
      </c>
      <c r="D1554" s="11">
        <v>45988.404166666667</v>
      </c>
      <c r="E1554" s="11">
        <v>45988.404166666667</v>
      </c>
      <c r="F1554" s="11">
        <v>45988.408333333333</v>
      </c>
      <c r="G1554" s="12">
        <v>4.166666665696539E-3</v>
      </c>
      <c r="H1554" s="2" t="s">
        <v>268</v>
      </c>
      <c r="I1554" s="2" t="s">
        <v>269</v>
      </c>
      <c r="J1554" s="2" t="s">
        <v>270</v>
      </c>
      <c r="K1554" s="2" t="s">
        <v>674</v>
      </c>
      <c r="L1554" s="2" t="s">
        <v>715</v>
      </c>
      <c r="M1554" t="s">
        <v>272</v>
      </c>
      <c r="N1554" t="s">
        <v>253</v>
      </c>
      <c r="O1554" t="s">
        <v>2112</v>
      </c>
      <c r="P1554" t="s">
        <v>3961</v>
      </c>
      <c r="Q1554" t="s">
        <v>2690</v>
      </c>
    </row>
    <row r="1555" spans="1:17">
      <c r="A1555" s="2" t="s">
        <v>444</v>
      </c>
      <c r="B1555" s="2" t="s">
        <v>444</v>
      </c>
      <c r="C1555" s="2" t="s">
        <v>2085</v>
      </c>
      <c r="D1555" s="11">
        <v>45988.404166666667</v>
      </c>
      <c r="E1555" s="11">
        <v>45988.404166666667</v>
      </c>
      <c r="F1555" s="11">
        <v>45988.408333333333</v>
      </c>
      <c r="G1555" s="12">
        <v>4.166666665696539E-3</v>
      </c>
      <c r="H1555" s="2" t="s">
        <v>268</v>
      </c>
      <c r="I1555" s="2" t="s">
        <v>269</v>
      </c>
      <c r="J1555" s="2" t="s">
        <v>270</v>
      </c>
      <c r="K1555" s="2" t="s">
        <v>674</v>
      </c>
      <c r="L1555" s="2" t="s">
        <v>715</v>
      </c>
      <c r="M1555" t="s">
        <v>272</v>
      </c>
      <c r="N1555" t="s">
        <v>253</v>
      </c>
      <c r="O1555" t="s">
        <v>2112</v>
      </c>
      <c r="P1555" t="s">
        <v>3962</v>
      </c>
      <c r="Q1555" t="s">
        <v>2690</v>
      </c>
    </row>
    <row r="1556" spans="1:17">
      <c r="A1556" s="2" t="s">
        <v>444</v>
      </c>
      <c r="B1556" s="2" t="s">
        <v>444</v>
      </c>
      <c r="C1556" s="2" t="s">
        <v>2086</v>
      </c>
      <c r="D1556" s="11">
        <v>45988.404166666667</v>
      </c>
      <c r="E1556" s="11">
        <v>45988.404166666667</v>
      </c>
      <c r="F1556" s="11">
        <v>45988.408333333333</v>
      </c>
      <c r="G1556" s="12">
        <v>4.166666665696539E-3</v>
      </c>
      <c r="H1556" s="2" t="s">
        <v>268</v>
      </c>
      <c r="I1556" s="2" t="s">
        <v>269</v>
      </c>
      <c r="J1556" s="2" t="s">
        <v>270</v>
      </c>
      <c r="K1556" s="2" t="s">
        <v>674</v>
      </c>
      <c r="L1556" s="2" t="s">
        <v>715</v>
      </c>
      <c r="M1556" t="s">
        <v>272</v>
      </c>
      <c r="N1556" t="s">
        <v>253</v>
      </c>
      <c r="O1556" t="s">
        <v>2112</v>
      </c>
      <c r="P1556" t="s">
        <v>3963</v>
      </c>
      <c r="Q1556" t="s">
        <v>2690</v>
      </c>
    </row>
    <row r="1557" spans="1:17">
      <c r="A1557" s="2" t="s">
        <v>444</v>
      </c>
      <c r="B1557" s="2" t="s">
        <v>444</v>
      </c>
      <c r="C1557" s="2" t="s">
        <v>390</v>
      </c>
      <c r="D1557" s="11">
        <v>45988.404166666667</v>
      </c>
      <c r="E1557" s="11">
        <v>45988.404166666667</v>
      </c>
      <c r="F1557" s="11">
        <v>45988.408333333333</v>
      </c>
      <c r="G1557" s="12">
        <v>4.166666665696539E-3</v>
      </c>
      <c r="H1557" s="2" t="s">
        <v>268</v>
      </c>
      <c r="I1557" s="2" t="s">
        <v>269</v>
      </c>
      <c r="J1557" s="2" t="s">
        <v>270</v>
      </c>
      <c r="K1557" s="2" t="s">
        <v>674</v>
      </c>
      <c r="L1557" s="2" t="s">
        <v>715</v>
      </c>
      <c r="M1557" t="s">
        <v>272</v>
      </c>
      <c r="N1557" t="s">
        <v>253</v>
      </c>
      <c r="O1557" t="s">
        <v>2112</v>
      </c>
      <c r="P1557" t="s">
        <v>3964</v>
      </c>
      <c r="Q1557" t="s">
        <v>2690</v>
      </c>
    </row>
    <row r="1558" spans="1:17">
      <c r="A1558" s="2" t="s">
        <v>446</v>
      </c>
      <c r="B1558" s="2" t="s">
        <v>446</v>
      </c>
      <c r="C1558" s="2" t="s">
        <v>2087</v>
      </c>
      <c r="D1558" s="11">
        <v>45988.404166666667</v>
      </c>
      <c r="E1558" s="11">
        <v>45988.404166666667</v>
      </c>
      <c r="F1558" s="11">
        <v>45988.408333333333</v>
      </c>
      <c r="G1558" s="12">
        <v>4.166666665696539E-3</v>
      </c>
      <c r="H1558" s="2" t="s">
        <v>268</v>
      </c>
      <c r="I1558" s="2" t="s">
        <v>269</v>
      </c>
      <c r="J1558" s="2" t="s">
        <v>270</v>
      </c>
      <c r="K1558" s="2" t="s">
        <v>674</v>
      </c>
      <c r="L1558" s="2" t="s">
        <v>715</v>
      </c>
      <c r="M1558" t="s">
        <v>272</v>
      </c>
      <c r="N1558" t="s">
        <v>253</v>
      </c>
      <c r="O1558" t="s">
        <v>2112</v>
      </c>
      <c r="P1558" t="s">
        <v>3965</v>
      </c>
      <c r="Q1558" t="s">
        <v>2690</v>
      </c>
    </row>
    <row r="1559" spans="1:17">
      <c r="A1559" s="2" t="s">
        <v>446</v>
      </c>
      <c r="B1559" s="2" t="s">
        <v>446</v>
      </c>
      <c r="C1559" s="2" t="s">
        <v>2088</v>
      </c>
      <c r="D1559" s="11">
        <v>45988.404166666667</v>
      </c>
      <c r="E1559" s="11">
        <v>45988.404166666667</v>
      </c>
      <c r="F1559" s="11">
        <v>45988.408333333333</v>
      </c>
      <c r="G1559" s="12">
        <v>4.166666665696539E-3</v>
      </c>
      <c r="H1559" s="2" t="s">
        <v>268</v>
      </c>
      <c r="I1559" s="2" t="s">
        <v>269</v>
      </c>
      <c r="J1559" s="2" t="s">
        <v>270</v>
      </c>
      <c r="K1559" s="2" t="s">
        <v>674</v>
      </c>
      <c r="L1559" s="2" t="s">
        <v>715</v>
      </c>
      <c r="M1559" t="s">
        <v>272</v>
      </c>
      <c r="N1559" t="s">
        <v>253</v>
      </c>
      <c r="O1559" t="s">
        <v>2112</v>
      </c>
      <c r="P1559" t="s">
        <v>3966</v>
      </c>
      <c r="Q1559" t="s">
        <v>2690</v>
      </c>
    </row>
    <row r="1560" spans="1:17">
      <c r="A1560" s="2" t="s">
        <v>446</v>
      </c>
      <c r="B1560" s="2" t="s">
        <v>446</v>
      </c>
      <c r="C1560" s="2" t="s">
        <v>447</v>
      </c>
      <c r="D1560" s="11">
        <v>45988.404166666667</v>
      </c>
      <c r="E1560" s="11">
        <v>45988.404166666667</v>
      </c>
      <c r="F1560" s="11">
        <v>45988.408333333333</v>
      </c>
      <c r="G1560" s="12">
        <v>4.166666665696539E-3</v>
      </c>
      <c r="H1560" s="2" t="s">
        <v>268</v>
      </c>
      <c r="I1560" s="2" t="s">
        <v>269</v>
      </c>
      <c r="J1560" s="2" t="s">
        <v>270</v>
      </c>
      <c r="K1560" s="2" t="s">
        <v>674</v>
      </c>
      <c r="L1560" s="2" t="s">
        <v>715</v>
      </c>
      <c r="M1560" t="s">
        <v>272</v>
      </c>
      <c r="N1560" t="s">
        <v>253</v>
      </c>
      <c r="O1560" t="s">
        <v>2112</v>
      </c>
      <c r="P1560" t="s">
        <v>3967</v>
      </c>
      <c r="Q1560" t="s">
        <v>2690</v>
      </c>
    </row>
    <row r="1561" spans="1:17">
      <c r="A1561" s="2" t="s">
        <v>331</v>
      </c>
      <c r="B1561" s="2" t="s">
        <v>331</v>
      </c>
      <c r="C1561" s="2" t="s">
        <v>332</v>
      </c>
      <c r="D1561" s="11">
        <v>45988.495138888888</v>
      </c>
      <c r="E1561" s="11">
        <v>45988.495138888888</v>
      </c>
      <c r="F1561" s="11">
        <v>45988.517361111109</v>
      </c>
      <c r="G1561" s="12">
        <v>2.2222222221898846E-2</v>
      </c>
      <c r="H1561" s="2" t="s">
        <v>257</v>
      </c>
      <c r="J1561" s="2" t="s">
        <v>258</v>
      </c>
      <c r="K1561" s="2" t="s">
        <v>658</v>
      </c>
      <c r="L1561" s="2" t="s">
        <v>3968</v>
      </c>
      <c r="M1561" t="s">
        <v>260</v>
      </c>
      <c r="N1561" t="s">
        <v>357</v>
      </c>
      <c r="O1561" t="s">
        <v>632</v>
      </c>
      <c r="P1561" t="s">
        <v>3969</v>
      </c>
      <c r="Q1561" t="s">
        <v>2281</v>
      </c>
    </row>
    <row r="1562" spans="1:17">
      <c r="A1562" s="2" t="s">
        <v>331</v>
      </c>
      <c r="B1562" s="2" t="s">
        <v>331</v>
      </c>
      <c r="C1562" s="2" t="s">
        <v>335</v>
      </c>
      <c r="D1562" s="11">
        <v>45988.495138888888</v>
      </c>
      <c r="E1562" s="11">
        <v>45988.495138888888</v>
      </c>
      <c r="F1562" s="11">
        <v>45988.517361111109</v>
      </c>
      <c r="G1562" s="12">
        <v>2.2222222221898846E-2</v>
      </c>
      <c r="H1562" s="2" t="s">
        <v>257</v>
      </c>
      <c r="J1562" s="2" t="s">
        <v>258</v>
      </c>
      <c r="K1562" s="2" t="s">
        <v>658</v>
      </c>
      <c r="L1562" s="2" t="s">
        <v>3968</v>
      </c>
      <c r="M1562" t="s">
        <v>260</v>
      </c>
      <c r="N1562" t="s">
        <v>357</v>
      </c>
      <c r="O1562" t="s">
        <v>632</v>
      </c>
      <c r="P1562" t="s">
        <v>3970</v>
      </c>
      <c r="Q1562" t="s">
        <v>2281</v>
      </c>
    </row>
    <row r="1563" spans="1:17">
      <c r="A1563" s="2" t="s">
        <v>331</v>
      </c>
      <c r="B1563" s="2" t="s">
        <v>331</v>
      </c>
      <c r="C1563" s="2" t="s">
        <v>336</v>
      </c>
      <c r="D1563" s="11">
        <v>45988.495138888888</v>
      </c>
      <c r="E1563" s="11">
        <v>45988.495138888888</v>
      </c>
      <c r="F1563" s="11">
        <v>45988.517361111109</v>
      </c>
      <c r="G1563" s="12">
        <v>2.2222222221898846E-2</v>
      </c>
      <c r="H1563" s="2" t="s">
        <v>257</v>
      </c>
      <c r="J1563" s="2" t="s">
        <v>258</v>
      </c>
      <c r="K1563" s="2" t="s">
        <v>658</v>
      </c>
      <c r="L1563" s="2" t="s">
        <v>3968</v>
      </c>
      <c r="M1563" t="s">
        <v>260</v>
      </c>
      <c r="N1563" t="s">
        <v>357</v>
      </c>
      <c r="O1563" t="s">
        <v>632</v>
      </c>
      <c r="P1563" t="s">
        <v>3971</v>
      </c>
      <c r="Q1563" t="s">
        <v>2281</v>
      </c>
    </row>
    <row r="1564" spans="1:17">
      <c r="A1564" s="2" t="s">
        <v>331</v>
      </c>
      <c r="B1564" s="2" t="s">
        <v>331</v>
      </c>
      <c r="C1564" s="2" t="s">
        <v>337</v>
      </c>
      <c r="D1564" s="11">
        <v>45988.495138888888</v>
      </c>
      <c r="E1564" s="11">
        <v>45988.495138888888</v>
      </c>
      <c r="F1564" s="11">
        <v>45988.517361111109</v>
      </c>
      <c r="G1564" s="12">
        <v>2.2222222221898846E-2</v>
      </c>
      <c r="H1564" s="2" t="s">
        <v>257</v>
      </c>
      <c r="J1564" s="2" t="s">
        <v>258</v>
      </c>
      <c r="K1564" s="2" t="s">
        <v>658</v>
      </c>
      <c r="L1564" s="2" t="s">
        <v>3968</v>
      </c>
      <c r="M1564" t="s">
        <v>260</v>
      </c>
      <c r="N1564" t="s">
        <v>357</v>
      </c>
      <c r="O1564" t="s">
        <v>632</v>
      </c>
      <c r="P1564" t="s">
        <v>3972</v>
      </c>
      <c r="Q1564" t="s">
        <v>2281</v>
      </c>
    </row>
    <row r="1565" spans="1:17">
      <c r="A1565" s="2" t="s">
        <v>331</v>
      </c>
      <c r="B1565" s="2" t="s">
        <v>331</v>
      </c>
      <c r="C1565" s="2" t="s">
        <v>338</v>
      </c>
      <c r="D1565" s="11">
        <v>45988.495138888888</v>
      </c>
      <c r="E1565" s="11">
        <v>45988.495138888888</v>
      </c>
      <c r="F1565" s="11">
        <v>45988.517361111109</v>
      </c>
      <c r="G1565" s="12">
        <v>2.2222222221898846E-2</v>
      </c>
      <c r="H1565" s="2" t="s">
        <v>257</v>
      </c>
      <c r="J1565" s="2" t="s">
        <v>258</v>
      </c>
      <c r="K1565" s="2" t="s">
        <v>658</v>
      </c>
      <c r="L1565" s="2" t="s">
        <v>3968</v>
      </c>
      <c r="M1565" t="s">
        <v>260</v>
      </c>
      <c r="N1565" t="s">
        <v>357</v>
      </c>
      <c r="O1565" t="s">
        <v>632</v>
      </c>
      <c r="P1565" t="s">
        <v>3973</v>
      </c>
      <c r="Q1565" t="s">
        <v>2281</v>
      </c>
    </row>
    <row r="1566" spans="1:17">
      <c r="A1566" s="2" t="s">
        <v>305</v>
      </c>
      <c r="B1566" s="2" t="s">
        <v>305</v>
      </c>
      <c r="C1566" s="2" t="s">
        <v>256</v>
      </c>
      <c r="D1566" s="11">
        <v>45988.652777777781</v>
      </c>
      <c r="E1566" s="11">
        <v>45988.652777777781</v>
      </c>
      <c r="F1566" s="11">
        <v>45988.682638888888</v>
      </c>
      <c r="G1566" s="12">
        <v>2.9861111106583849E-2</v>
      </c>
      <c r="H1566" s="2" t="s">
        <v>257</v>
      </c>
      <c r="J1566" s="2" t="s">
        <v>258</v>
      </c>
      <c r="K1566" s="2" t="s">
        <v>658</v>
      </c>
      <c r="L1566" s="2" t="s">
        <v>3968</v>
      </c>
      <c r="M1566" t="s">
        <v>2108</v>
      </c>
      <c r="N1566" t="s">
        <v>357</v>
      </c>
      <c r="O1566" t="s">
        <v>632</v>
      </c>
      <c r="P1566" t="s">
        <v>3974</v>
      </c>
      <c r="Q1566" t="s">
        <v>2281</v>
      </c>
    </row>
    <row r="1567" spans="1:17">
      <c r="A1567" s="2" t="s">
        <v>305</v>
      </c>
      <c r="B1567" s="2" t="s">
        <v>305</v>
      </c>
      <c r="C1567" s="2" t="s">
        <v>264</v>
      </c>
      <c r="D1567" s="11">
        <v>45988.652777777781</v>
      </c>
      <c r="E1567" s="11">
        <v>45988.652777777781</v>
      </c>
      <c r="F1567" s="11">
        <v>45988.682638888888</v>
      </c>
      <c r="G1567" s="12">
        <v>2.9861111106583849E-2</v>
      </c>
      <c r="H1567" s="2" t="s">
        <v>257</v>
      </c>
      <c r="J1567" s="2" t="s">
        <v>258</v>
      </c>
      <c r="K1567" s="2" t="s">
        <v>658</v>
      </c>
      <c r="L1567" s="2" t="s">
        <v>3968</v>
      </c>
      <c r="M1567" t="s">
        <v>2108</v>
      </c>
      <c r="N1567" t="s">
        <v>357</v>
      </c>
      <c r="O1567" t="s">
        <v>632</v>
      </c>
      <c r="P1567" t="s">
        <v>3975</v>
      </c>
      <c r="Q1567" t="s">
        <v>2281</v>
      </c>
    </row>
    <row r="1568" spans="1:17">
      <c r="A1568" s="2" t="s">
        <v>305</v>
      </c>
      <c r="B1568" s="2" t="s">
        <v>305</v>
      </c>
      <c r="C1568" s="2" t="s">
        <v>263</v>
      </c>
      <c r="D1568" s="11">
        <v>45988.652777777781</v>
      </c>
      <c r="E1568" s="11">
        <v>45988.652777777781</v>
      </c>
      <c r="F1568" s="11">
        <v>45988.682638888888</v>
      </c>
      <c r="G1568" s="12">
        <v>2.9861111106583849E-2</v>
      </c>
      <c r="H1568" s="2" t="s">
        <v>257</v>
      </c>
      <c r="J1568" s="2" t="s">
        <v>258</v>
      </c>
      <c r="K1568" s="2" t="s">
        <v>658</v>
      </c>
      <c r="L1568" s="2" t="s">
        <v>3968</v>
      </c>
      <c r="M1568" t="s">
        <v>2108</v>
      </c>
      <c r="N1568" t="s">
        <v>357</v>
      </c>
      <c r="O1568" t="s">
        <v>632</v>
      </c>
      <c r="P1568" t="s">
        <v>3976</v>
      </c>
      <c r="Q1568" t="s">
        <v>2281</v>
      </c>
    </row>
    <row r="1569" spans="1:17">
      <c r="A1569" s="2" t="s">
        <v>305</v>
      </c>
      <c r="B1569" s="2" t="s">
        <v>305</v>
      </c>
      <c r="C1569" s="2" t="s">
        <v>307</v>
      </c>
      <c r="D1569" s="11">
        <v>45988.652777777781</v>
      </c>
      <c r="E1569" s="11">
        <v>45988.652777777781</v>
      </c>
      <c r="F1569" s="11">
        <v>45988.682638888888</v>
      </c>
      <c r="G1569" s="12">
        <v>2.9861111106583849E-2</v>
      </c>
      <c r="H1569" s="2" t="s">
        <v>257</v>
      </c>
      <c r="J1569" s="2" t="s">
        <v>258</v>
      </c>
      <c r="K1569" s="2" t="s">
        <v>658</v>
      </c>
      <c r="L1569" s="2" t="s">
        <v>3968</v>
      </c>
      <c r="M1569" t="s">
        <v>2108</v>
      </c>
      <c r="N1569" t="s">
        <v>357</v>
      </c>
      <c r="O1569" t="s">
        <v>632</v>
      </c>
      <c r="P1569" t="s">
        <v>3977</v>
      </c>
      <c r="Q1569" t="s">
        <v>2281</v>
      </c>
    </row>
    <row r="1570" spans="1:17">
      <c r="A1570" s="2" t="s">
        <v>308</v>
      </c>
      <c r="B1570" s="2" t="s">
        <v>308</v>
      </c>
      <c r="C1570" s="2" t="s">
        <v>256</v>
      </c>
      <c r="D1570" s="11">
        <v>45988.652777777781</v>
      </c>
      <c r="E1570" s="11">
        <v>45988.652777777781</v>
      </c>
      <c r="F1570" s="11">
        <v>45988.682638888888</v>
      </c>
      <c r="G1570" s="12">
        <v>2.9861111106583849E-2</v>
      </c>
      <c r="H1570" s="2" t="s">
        <v>257</v>
      </c>
      <c r="J1570" s="2" t="s">
        <v>258</v>
      </c>
      <c r="K1570" s="2" t="s">
        <v>658</v>
      </c>
      <c r="L1570" s="2" t="s">
        <v>3968</v>
      </c>
      <c r="M1570" t="s">
        <v>2108</v>
      </c>
      <c r="N1570" t="s">
        <v>357</v>
      </c>
      <c r="O1570" t="s">
        <v>632</v>
      </c>
      <c r="P1570" t="s">
        <v>3978</v>
      </c>
      <c r="Q1570" t="s">
        <v>2281</v>
      </c>
    </row>
    <row r="1571" spans="1:17">
      <c r="A1571" s="2" t="s">
        <v>308</v>
      </c>
      <c r="B1571" s="2" t="s">
        <v>308</v>
      </c>
      <c r="C1571" s="2" t="s">
        <v>264</v>
      </c>
      <c r="D1571" s="11">
        <v>45988.652777777781</v>
      </c>
      <c r="E1571" s="11">
        <v>45988.652777777781</v>
      </c>
      <c r="F1571" s="11">
        <v>45988.682638888888</v>
      </c>
      <c r="G1571" s="12">
        <v>2.9861111106583849E-2</v>
      </c>
      <c r="H1571" s="2" t="s">
        <v>257</v>
      </c>
      <c r="J1571" s="2" t="s">
        <v>258</v>
      </c>
      <c r="K1571" s="2" t="s">
        <v>658</v>
      </c>
      <c r="L1571" s="2" t="s">
        <v>3968</v>
      </c>
      <c r="M1571" t="s">
        <v>2108</v>
      </c>
      <c r="N1571" t="s">
        <v>357</v>
      </c>
      <c r="O1571" t="s">
        <v>632</v>
      </c>
      <c r="P1571" t="s">
        <v>3979</v>
      </c>
      <c r="Q1571" t="s">
        <v>2281</v>
      </c>
    </row>
    <row r="1572" spans="1:17">
      <c r="A1572" s="2" t="s">
        <v>308</v>
      </c>
      <c r="B1572" s="2" t="s">
        <v>308</v>
      </c>
      <c r="C1572" s="2" t="s">
        <v>263</v>
      </c>
      <c r="D1572" s="11">
        <v>45988.652777777781</v>
      </c>
      <c r="E1572" s="11">
        <v>45988.652777777781</v>
      </c>
      <c r="F1572" s="11">
        <v>45988.682638888888</v>
      </c>
      <c r="G1572" s="12">
        <v>2.9861111106583849E-2</v>
      </c>
      <c r="H1572" s="2" t="s">
        <v>257</v>
      </c>
      <c r="J1572" s="2" t="s">
        <v>258</v>
      </c>
      <c r="K1572" s="2" t="s">
        <v>658</v>
      </c>
      <c r="L1572" s="2" t="s">
        <v>3968</v>
      </c>
      <c r="M1572" t="s">
        <v>2108</v>
      </c>
      <c r="N1572" t="s">
        <v>357</v>
      </c>
      <c r="O1572" t="s">
        <v>632</v>
      </c>
      <c r="P1572" t="s">
        <v>3980</v>
      </c>
      <c r="Q1572" t="s">
        <v>2281</v>
      </c>
    </row>
    <row r="1573" spans="1:17">
      <c r="A1573" s="2" t="s">
        <v>308</v>
      </c>
      <c r="B1573" s="2" t="s">
        <v>308</v>
      </c>
      <c r="C1573" s="2" t="s">
        <v>307</v>
      </c>
      <c r="D1573" s="11">
        <v>45988.652777777781</v>
      </c>
      <c r="E1573" s="11">
        <v>45988.652777777781</v>
      </c>
      <c r="F1573" s="11">
        <v>45988.682638888888</v>
      </c>
      <c r="G1573" s="12">
        <v>2.9861111106583849E-2</v>
      </c>
      <c r="H1573" s="2" t="s">
        <v>257</v>
      </c>
      <c r="J1573" s="2" t="s">
        <v>258</v>
      </c>
      <c r="K1573" s="2" t="s">
        <v>658</v>
      </c>
      <c r="L1573" s="2" t="s">
        <v>3968</v>
      </c>
      <c r="M1573" t="s">
        <v>2108</v>
      </c>
      <c r="N1573" t="s">
        <v>357</v>
      </c>
      <c r="O1573" t="s">
        <v>632</v>
      </c>
      <c r="P1573" t="s">
        <v>3981</v>
      </c>
      <c r="Q1573" t="s">
        <v>2281</v>
      </c>
    </row>
    <row r="1574" spans="1:17">
      <c r="A1574" s="2" t="s">
        <v>309</v>
      </c>
      <c r="B1574" s="2" t="s">
        <v>309</v>
      </c>
      <c r="C1574" s="2" t="s">
        <v>310</v>
      </c>
      <c r="D1574" s="11">
        <v>45988.652777777781</v>
      </c>
      <c r="E1574" s="11">
        <v>45988.652777777781</v>
      </c>
      <c r="F1574" s="11">
        <v>45988.682638888888</v>
      </c>
      <c r="G1574" s="12">
        <v>2.9861111106583849E-2</v>
      </c>
      <c r="H1574" s="2" t="s">
        <v>257</v>
      </c>
      <c r="J1574" s="2" t="s">
        <v>258</v>
      </c>
      <c r="K1574" s="2" t="s">
        <v>658</v>
      </c>
      <c r="L1574" s="2" t="s">
        <v>3968</v>
      </c>
      <c r="M1574" t="s">
        <v>2108</v>
      </c>
      <c r="N1574" t="s">
        <v>357</v>
      </c>
      <c r="O1574" t="s">
        <v>632</v>
      </c>
      <c r="P1574" t="s">
        <v>3982</v>
      </c>
      <c r="Q1574" t="s">
        <v>2281</v>
      </c>
    </row>
    <row r="1575" spans="1:17">
      <c r="A1575" s="2" t="s">
        <v>309</v>
      </c>
      <c r="B1575" s="2" t="s">
        <v>309</v>
      </c>
      <c r="C1575" s="2" t="s">
        <v>247</v>
      </c>
      <c r="D1575" s="11">
        <v>45988.652777777781</v>
      </c>
      <c r="E1575" s="11">
        <v>45988.652777777781</v>
      </c>
      <c r="F1575" s="11">
        <v>45988.682638888888</v>
      </c>
      <c r="G1575" s="12">
        <v>2.9861111106583849E-2</v>
      </c>
      <c r="H1575" s="2" t="s">
        <v>257</v>
      </c>
      <c r="J1575" s="2" t="s">
        <v>258</v>
      </c>
      <c r="K1575" s="2" t="s">
        <v>658</v>
      </c>
      <c r="L1575" s="2" t="s">
        <v>3968</v>
      </c>
      <c r="M1575" t="s">
        <v>2108</v>
      </c>
      <c r="N1575" t="s">
        <v>357</v>
      </c>
      <c r="O1575" t="s">
        <v>632</v>
      </c>
      <c r="P1575" t="s">
        <v>3983</v>
      </c>
      <c r="Q1575" t="s">
        <v>2281</v>
      </c>
    </row>
    <row r="1576" spans="1:17">
      <c r="A1576" s="2" t="s">
        <v>311</v>
      </c>
      <c r="B1576" s="2" t="s">
        <v>311</v>
      </c>
      <c r="C1576" s="2" t="s">
        <v>264</v>
      </c>
      <c r="D1576" s="11">
        <v>45988.652777777781</v>
      </c>
      <c r="E1576" s="11">
        <v>45988.652777777781</v>
      </c>
      <c r="F1576" s="11">
        <v>45988.682638888888</v>
      </c>
      <c r="G1576" s="12">
        <v>2.9861111106583849E-2</v>
      </c>
      <c r="H1576" s="2" t="s">
        <v>257</v>
      </c>
      <c r="J1576" s="2" t="s">
        <v>258</v>
      </c>
      <c r="K1576" s="2" t="s">
        <v>658</v>
      </c>
      <c r="L1576" s="2" t="s">
        <v>3968</v>
      </c>
      <c r="M1576" t="s">
        <v>2108</v>
      </c>
      <c r="N1576" t="s">
        <v>357</v>
      </c>
      <c r="O1576" t="s">
        <v>632</v>
      </c>
      <c r="P1576" t="s">
        <v>3984</v>
      </c>
      <c r="Q1576" t="s">
        <v>2281</v>
      </c>
    </row>
    <row r="1577" spans="1:17">
      <c r="A1577" s="2" t="s">
        <v>311</v>
      </c>
      <c r="B1577" s="2" t="s">
        <v>311</v>
      </c>
      <c r="C1577" s="2" t="s">
        <v>256</v>
      </c>
      <c r="D1577" s="11">
        <v>45988.652777777781</v>
      </c>
      <c r="E1577" s="11">
        <v>45988.652777777781</v>
      </c>
      <c r="F1577" s="11">
        <v>45988.682638888888</v>
      </c>
      <c r="G1577" s="12">
        <v>2.9861111106583849E-2</v>
      </c>
      <c r="H1577" s="2" t="s">
        <v>257</v>
      </c>
      <c r="J1577" s="2" t="s">
        <v>258</v>
      </c>
      <c r="K1577" s="2" t="s">
        <v>658</v>
      </c>
      <c r="L1577" s="2" t="s">
        <v>3968</v>
      </c>
      <c r="M1577" t="s">
        <v>2108</v>
      </c>
      <c r="N1577" t="s">
        <v>357</v>
      </c>
      <c r="O1577" t="s">
        <v>632</v>
      </c>
      <c r="P1577" t="s">
        <v>3985</v>
      </c>
      <c r="Q1577" t="s">
        <v>2281</v>
      </c>
    </row>
    <row r="1578" spans="1:17">
      <c r="A1578" s="2" t="s">
        <v>311</v>
      </c>
      <c r="B1578" s="2" t="s">
        <v>311</v>
      </c>
      <c r="C1578" s="2" t="s">
        <v>307</v>
      </c>
      <c r="D1578" s="11">
        <v>45988.652777777781</v>
      </c>
      <c r="E1578" s="11">
        <v>45988.652777777781</v>
      </c>
      <c r="F1578" s="11">
        <v>45988.682638888888</v>
      </c>
      <c r="G1578" s="12">
        <v>2.9861111106583849E-2</v>
      </c>
      <c r="H1578" s="2" t="s">
        <v>257</v>
      </c>
      <c r="J1578" s="2" t="s">
        <v>258</v>
      </c>
      <c r="K1578" s="2" t="s">
        <v>658</v>
      </c>
      <c r="L1578" s="2" t="s">
        <v>3968</v>
      </c>
      <c r="M1578" t="s">
        <v>2108</v>
      </c>
      <c r="N1578" t="s">
        <v>357</v>
      </c>
      <c r="O1578" t="s">
        <v>632</v>
      </c>
      <c r="P1578" t="s">
        <v>3986</v>
      </c>
      <c r="Q1578" t="s">
        <v>2281</v>
      </c>
    </row>
    <row r="1579" spans="1:17">
      <c r="A1579" s="2" t="s">
        <v>311</v>
      </c>
      <c r="B1579" s="2" t="s">
        <v>311</v>
      </c>
      <c r="C1579" s="2" t="s">
        <v>263</v>
      </c>
      <c r="D1579" s="11">
        <v>45988.652777777781</v>
      </c>
      <c r="E1579" s="11">
        <v>45988.652777777781</v>
      </c>
      <c r="F1579" s="11">
        <v>45988.682638888888</v>
      </c>
      <c r="G1579" s="12">
        <v>2.9861111106583849E-2</v>
      </c>
      <c r="H1579" s="2" t="s">
        <v>257</v>
      </c>
      <c r="J1579" s="2" t="s">
        <v>258</v>
      </c>
      <c r="K1579" s="2" t="s">
        <v>658</v>
      </c>
      <c r="L1579" s="2" t="s">
        <v>3968</v>
      </c>
      <c r="M1579" t="s">
        <v>2108</v>
      </c>
      <c r="N1579" t="s">
        <v>357</v>
      </c>
      <c r="O1579" t="s">
        <v>632</v>
      </c>
      <c r="P1579" t="s">
        <v>3987</v>
      </c>
      <c r="Q1579" t="s">
        <v>2281</v>
      </c>
    </row>
    <row r="1580" spans="1:17">
      <c r="A1580" s="2" t="s">
        <v>312</v>
      </c>
      <c r="B1580" s="2" t="s">
        <v>312</v>
      </c>
      <c r="C1580" s="2" t="s">
        <v>307</v>
      </c>
      <c r="D1580" s="11">
        <v>45988.652777777781</v>
      </c>
      <c r="E1580" s="11">
        <v>45988.652777777781</v>
      </c>
      <c r="F1580" s="11">
        <v>45988.682638888888</v>
      </c>
      <c r="G1580" s="12">
        <v>2.9861111106583849E-2</v>
      </c>
      <c r="H1580" s="2" t="s">
        <v>257</v>
      </c>
      <c r="J1580" s="2" t="s">
        <v>258</v>
      </c>
      <c r="K1580" s="2" t="s">
        <v>658</v>
      </c>
      <c r="L1580" s="2" t="s">
        <v>3968</v>
      </c>
      <c r="M1580" t="s">
        <v>2108</v>
      </c>
      <c r="N1580" t="s">
        <v>357</v>
      </c>
      <c r="O1580" t="s">
        <v>632</v>
      </c>
      <c r="P1580" t="s">
        <v>3988</v>
      </c>
      <c r="Q1580" t="s">
        <v>2281</v>
      </c>
    </row>
    <row r="1581" spans="1:17">
      <c r="A1581" s="2" t="s">
        <v>312</v>
      </c>
      <c r="B1581" s="2" t="s">
        <v>312</v>
      </c>
      <c r="C1581" s="2" t="s">
        <v>264</v>
      </c>
      <c r="D1581" s="11">
        <v>45988.652777777781</v>
      </c>
      <c r="E1581" s="11">
        <v>45988.652777777781</v>
      </c>
      <c r="F1581" s="11">
        <v>45988.682638888888</v>
      </c>
      <c r="G1581" s="12">
        <v>2.9861111106583849E-2</v>
      </c>
      <c r="H1581" s="2" t="s">
        <v>257</v>
      </c>
      <c r="J1581" s="2" t="s">
        <v>258</v>
      </c>
      <c r="K1581" s="2" t="s">
        <v>658</v>
      </c>
      <c r="L1581" s="2" t="s">
        <v>3968</v>
      </c>
      <c r="M1581" t="s">
        <v>2108</v>
      </c>
      <c r="N1581" t="s">
        <v>357</v>
      </c>
      <c r="O1581" t="s">
        <v>632</v>
      </c>
      <c r="P1581" t="s">
        <v>3989</v>
      </c>
      <c r="Q1581" t="s">
        <v>2281</v>
      </c>
    </row>
    <row r="1582" spans="1:17">
      <c r="A1582" s="2" t="s">
        <v>312</v>
      </c>
      <c r="B1582" s="2" t="s">
        <v>312</v>
      </c>
      <c r="C1582" s="2" t="s">
        <v>263</v>
      </c>
      <c r="D1582" s="11">
        <v>45988.652777777781</v>
      </c>
      <c r="E1582" s="11">
        <v>45988.652777777781</v>
      </c>
      <c r="F1582" s="11">
        <v>45988.682638888888</v>
      </c>
      <c r="G1582" s="12">
        <v>2.9861111106583849E-2</v>
      </c>
      <c r="H1582" s="2" t="s">
        <v>257</v>
      </c>
      <c r="J1582" s="2" t="s">
        <v>258</v>
      </c>
      <c r="K1582" s="2" t="s">
        <v>658</v>
      </c>
      <c r="L1582" s="2" t="s">
        <v>3968</v>
      </c>
      <c r="M1582" t="s">
        <v>2108</v>
      </c>
      <c r="N1582" t="s">
        <v>357</v>
      </c>
      <c r="O1582" t="s">
        <v>632</v>
      </c>
      <c r="P1582" t="s">
        <v>3990</v>
      </c>
      <c r="Q1582" t="s">
        <v>2281</v>
      </c>
    </row>
    <row r="1583" spans="1:17">
      <c r="A1583" s="2" t="s">
        <v>312</v>
      </c>
      <c r="B1583" s="2" t="s">
        <v>312</v>
      </c>
      <c r="C1583" s="2" t="s">
        <v>256</v>
      </c>
      <c r="D1583" s="11">
        <v>45988.652777777781</v>
      </c>
      <c r="E1583" s="11">
        <v>45988.652777777781</v>
      </c>
      <c r="F1583" s="11">
        <v>45988.682638888888</v>
      </c>
      <c r="G1583" s="12">
        <v>2.9861111106583849E-2</v>
      </c>
      <c r="H1583" s="2" t="s">
        <v>257</v>
      </c>
      <c r="J1583" s="2" t="s">
        <v>258</v>
      </c>
      <c r="K1583" s="2" t="s">
        <v>658</v>
      </c>
      <c r="L1583" s="2" t="s">
        <v>3968</v>
      </c>
      <c r="M1583" t="s">
        <v>2108</v>
      </c>
      <c r="N1583" t="s">
        <v>357</v>
      </c>
      <c r="O1583" t="s">
        <v>632</v>
      </c>
      <c r="P1583" t="s">
        <v>3991</v>
      </c>
      <c r="Q1583" t="s">
        <v>2281</v>
      </c>
    </row>
    <row r="1584" spans="1:17">
      <c r="A1584" s="2" t="s">
        <v>313</v>
      </c>
      <c r="B1584" s="2" t="s">
        <v>313</v>
      </c>
      <c r="C1584" s="2" t="s">
        <v>256</v>
      </c>
      <c r="D1584" s="11">
        <v>45988.652777777781</v>
      </c>
      <c r="E1584" s="11">
        <v>45988.652777777781</v>
      </c>
      <c r="F1584" s="11">
        <v>45988.682638888888</v>
      </c>
      <c r="G1584" s="12">
        <v>2.9861111106583849E-2</v>
      </c>
      <c r="H1584" s="2" t="s">
        <v>257</v>
      </c>
      <c r="J1584" s="2" t="s">
        <v>258</v>
      </c>
      <c r="K1584" s="2" t="s">
        <v>658</v>
      </c>
      <c r="L1584" s="2" t="s">
        <v>3968</v>
      </c>
      <c r="M1584" t="s">
        <v>2108</v>
      </c>
      <c r="N1584" t="s">
        <v>357</v>
      </c>
      <c r="O1584" t="s">
        <v>632</v>
      </c>
      <c r="P1584" t="s">
        <v>3992</v>
      </c>
      <c r="Q1584" t="s">
        <v>2281</v>
      </c>
    </row>
    <row r="1585" spans="1:17">
      <c r="A1585" s="2" t="s">
        <v>313</v>
      </c>
      <c r="B1585" s="2" t="s">
        <v>313</v>
      </c>
      <c r="C1585" s="2" t="s">
        <v>264</v>
      </c>
      <c r="D1585" s="11">
        <v>45988.652777777781</v>
      </c>
      <c r="E1585" s="11">
        <v>45988.652777777781</v>
      </c>
      <c r="F1585" s="11">
        <v>45988.682638888888</v>
      </c>
      <c r="G1585" s="12">
        <v>2.9861111106583849E-2</v>
      </c>
      <c r="H1585" s="2" t="s">
        <v>257</v>
      </c>
      <c r="J1585" s="2" t="s">
        <v>258</v>
      </c>
      <c r="K1585" s="2" t="s">
        <v>658</v>
      </c>
      <c r="L1585" s="2" t="s">
        <v>3968</v>
      </c>
      <c r="M1585" t="s">
        <v>2108</v>
      </c>
      <c r="N1585" t="s">
        <v>357</v>
      </c>
      <c r="O1585" t="s">
        <v>632</v>
      </c>
      <c r="P1585" t="s">
        <v>3993</v>
      </c>
      <c r="Q1585" t="s">
        <v>2281</v>
      </c>
    </row>
    <row r="1586" spans="1:17">
      <c r="A1586" s="2" t="s">
        <v>305</v>
      </c>
      <c r="B1586" s="2" t="s">
        <v>305</v>
      </c>
      <c r="C1586" s="2" t="s">
        <v>256</v>
      </c>
      <c r="D1586" s="11">
        <v>45989.649305555555</v>
      </c>
      <c r="E1586" s="11">
        <v>45989.649305555555</v>
      </c>
      <c r="F1586" s="11">
        <v>45989.679166666669</v>
      </c>
      <c r="G1586" s="12">
        <v>2.9861111113859806E-2</v>
      </c>
      <c r="H1586" s="2" t="s">
        <v>257</v>
      </c>
      <c r="J1586" s="2" t="s">
        <v>258</v>
      </c>
      <c r="K1586" s="2" t="s">
        <v>658</v>
      </c>
      <c r="L1586" s="2" t="s">
        <v>3994</v>
      </c>
      <c r="M1586" t="s">
        <v>2108</v>
      </c>
      <c r="N1586" t="s">
        <v>357</v>
      </c>
      <c r="O1586" t="s">
        <v>632</v>
      </c>
      <c r="P1586" t="s">
        <v>3995</v>
      </c>
      <c r="Q1586" t="s">
        <v>2281</v>
      </c>
    </row>
    <row r="1587" spans="1:17">
      <c r="A1587" s="2" t="s">
        <v>305</v>
      </c>
      <c r="B1587" s="2" t="s">
        <v>305</v>
      </c>
      <c r="C1587" s="2" t="s">
        <v>264</v>
      </c>
      <c r="D1587" s="11">
        <v>45989.649305555555</v>
      </c>
      <c r="E1587" s="11">
        <v>45989.649305555555</v>
      </c>
      <c r="F1587" s="11">
        <v>45989.679166666669</v>
      </c>
      <c r="G1587" s="12">
        <v>2.9861111113859806E-2</v>
      </c>
      <c r="H1587" s="2" t="s">
        <v>257</v>
      </c>
      <c r="J1587" s="2" t="s">
        <v>258</v>
      </c>
      <c r="K1587" s="2" t="s">
        <v>658</v>
      </c>
      <c r="L1587" s="2" t="s">
        <v>3994</v>
      </c>
      <c r="M1587" t="s">
        <v>2108</v>
      </c>
      <c r="N1587" t="s">
        <v>357</v>
      </c>
      <c r="O1587" t="s">
        <v>632</v>
      </c>
      <c r="P1587" t="s">
        <v>3996</v>
      </c>
      <c r="Q1587" t="s">
        <v>2281</v>
      </c>
    </row>
    <row r="1588" spans="1:17">
      <c r="A1588" s="2" t="s">
        <v>305</v>
      </c>
      <c r="B1588" s="2" t="s">
        <v>305</v>
      </c>
      <c r="C1588" s="2" t="s">
        <v>263</v>
      </c>
      <c r="D1588" s="11">
        <v>45989.649305555555</v>
      </c>
      <c r="E1588" s="11">
        <v>45989.649305555555</v>
      </c>
      <c r="F1588" s="11">
        <v>45989.679166666669</v>
      </c>
      <c r="G1588" s="12">
        <v>2.9861111113859806E-2</v>
      </c>
      <c r="H1588" s="2" t="s">
        <v>257</v>
      </c>
      <c r="J1588" s="2" t="s">
        <v>258</v>
      </c>
      <c r="K1588" s="2" t="s">
        <v>658</v>
      </c>
      <c r="L1588" s="2" t="s">
        <v>3994</v>
      </c>
      <c r="M1588" t="s">
        <v>2108</v>
      </c>
      <c r="N1588" t="s">
        <v>357</v>
      </c>
      <c r="O1588" t="s">
        <v>632</v>
      </c>
      <c r="P1588" t="s">
        <v>3997</v>
      </c>
      <c r="Q1588" t="s">
        <v>2281</v>
      </c>
    </row>
    <row r="1589" spans="1:17">
      <c r="A1589" s="2" t="s">
        <v>305</v>
      </c>
      <c r="B1589" s="2" t="s">
        <v>305</v>
      </c>
      <c r="C1589" s="2" t="s">
        <v>307</v>
      </c>
      <c r="D1589" s="11">
        <v>45989.649305555555</v>
      </c>
      <c r="E1589" s="11">
        <v>45989.649305555555</v>
      </c>
      <c r="F1589" s="11">
        <v>45989.679166666669</v>
      </c>
      <c r="G1589" s="12">
        <v>2.9861111113859806E-2</v>
      </c>
      <c r="H1589" s="2" t="s">
        <v>257</v>
      </c>
      <c r="J1589" s="2" t="s">
        <v>258</v>
      </c>
      <c r="K1589" s="2" t="s">
        <v>658</v>
      </c>
      <c r="L1589" s="2" t="s">
        <v>3994</v>
      </c>
      <c r="M1589" t="s">
        <v>2108</v>
      </c>
      <c r="N1589" t="s">
        <v>357</v>
      </c>
      <c r="O1589" t="s">
        <v>632</v>
      </c>
      <c r="P1589" t="s">
        <v>3998</v>
      </c>
      <c r="Q1589" t="s">
        <v>2281</v>
      </c>
    </row>
    <row r="1590" spans="1:17">
      <c r="A1590" s="2" t="s">
        <v>308</v>
      </c>
      <c r="B1590" s="2" t="s">
        <v>308</v>
      </c>
      <c r="C1590" s="2" t="s">
        <v>256</v>
      </c>
      <c r="D1590" s="11">
        <v>45989.649305555555</v>
      </c>
      <c r="E1590" s="11">
        <v>45989.649305555555</v>
      </c>
      <c r="F1590" s="11">
        <v>45989.679166666669</v>
      </c>
      <c r="G1590" s="12">
        <v>2.9861111113859806E-2</v>
      </c>
      <c r="H1590" s="2" t="s">
        <v>257</v>
      </c>
      <c r="J1590" s="2" t="s">
        <v>258</v>
      </c>
      <c r="K1590" s="2" t="s">
        <v>658</v>
      </c>
      <c r="L1590" s="2" t="s">
        <v>3994</v>
      </c>
      <c r="M1590" t="s">
        <v>2108</v>
      </c>
      <c r="N1590" t="s">
        <v>357</v>
      </c>
      <c r="O1590" t="s">
        <v>632</v>
      </c>
      <c r="P1590" t="s">
        <v>3999</v>
      </c>
      <c r="Q1590" t="s">
        <v>2281</v>
      </c>
    </row>
    <row r="1591" spans="1:17">
      <c r="A1591" s="2" t="s">
        <v>308</v>
      </c>
      <c r="B1591" s="2" t="s">
        <v>308</v>
      </c>
      <c r="C1591" s="2" t="s">
        <v>264</v>
      </c>
      <c r="D1591" s="11">
        <v>45989.649305555555</v>
      </c>
      <c r="E1591" s="11">
        <v>45989.649305555555</v>
      </c>
      <c r="F1591" s="11">
        <v>45989.679166666669</v>
      </c>
      <c r="G1591" s="12">
        <v>2.9861111113859806E-2</v>
      </c>
      <c r="H1591" s="2" t="s">
        <v>257</v>
      </c>
      <c r="J1591" s="2" t="s">
        <v>258</v>
      </c>
      <c r="K1591" s="2" t="s">
        <v>658</v>
      </c>
      <c r="L1591" s="2" t="s">
        <v>3994</v>
      </c>
      <c r="M1591" t="s">
        <v>2108</v>
      </c>
      <c r="N1591" t="s">
        <v>357</v>
      </c>
      <c r="O1591" t="s">
        <v>632</v>
      </c>
      <c r="P1591" t="s">
        <v>4000</v>
      </c>
      <c r="Q1591" t="s">
        <v>2281</v>
      </c>
    </row>
    <row r="1592" spans="1:17">
      <c r="A1592" s="2" t="s">
        <v>308</v>
      </c>
      <c r="B1592" s="2" t="s">
        <v>308</v>
      </c>
      <c r="C1592" s="2" t="s">
        <v>263</v>
      </c>
      <c r="D1592" s="11">
        <v>45989.649305555555</v>
      </c>
      <c r="E1592" s="11">
        <v>45989.649305555555</v>
      </c>
      <c r="F1592" s="11">
        <v>45989.679166666669</v>
      </c>
      <c r="G1592" s="12">
        <v>2.9861111113859806E-2</v>
      </c>
      <c r="H1592" s="2" t="s">
        <v>257</v>
      </c>
      <c r="J1592" s="2" t="s">
        <v>258</v>
      </c>
      <c r="K1592" s="2" t="s">
        <v>658</v>
      </c>
      <c r="L1592" s="2" t="s">
        <v>3994</v>
      </c>
      <c r="M1592" t="s">
        <v>2108</v>
      </c>
      <c r="N1592" t="s">
        <v>357</v>
      </c>
      <c r="O1592" t="s">
        <v>632</v>
      </c>
      <c r="P1592" t="s">
        <v>4001</v>
      </c>
      <c r="Q1592" t="s">
        <v>2281</v>
      </c>
    </row>
    <row r="1593" spans="1:17">
      <c r="A1593" s="2" t="s">
        <v>308</v>
      </c>
      <c r="B1593" s="2" t="s">
        <v>308</v>
      </c>
      <c r="C1593" s="2" t="s">
        <v>307</v>
      </c>
      <c r="D1593" s="11">
        <v>45989.649305555555</v>
      </c>
      <c r="E1593" s="11">
        <v>45989.649305555555</v>
      </c>
      <c r="F1593" s="11">
        <v>45989.679166666669</v>
      </c>
      <c r="G1593" s="12">
        <v>2.9861111113859806E-2</v>
      </c>
      <c r="H1593" s="2" t="s">
        <v>257</v>
      </c>
      <c r="J1593" s="2" t="s">
        <v>258</v>
      </c>
      <c r="K1593" s="2" t="s">
        <v>658</v>
      </c>
      <c r="L1593" s="2" t="s">
        <v>3994</v>
      </c>
      <c r="M1593" t="s">
        <v>2108</v>
      </c>
      <c r="N1593" t="s">
        <v>357</v>
      </c>
      <c r="O1593" t="s">
        <v>632</v>
      </c>
      <c r="P1593" t="s">
        <v>4002</v>
      </c>
      <c r="Q1593" t="s">
        <v>2281</v>
      </c>
    </row>
    <row r="1594" spans="1:17">
      <c r="A1594" s="2" t="s">
        <v>309</v>
      </c>
      <c r="B1594" s="2" t="s">
        <v>309</v>
      </c>
      <c r="C1594" s="2" t="s">
        <v>310</v>
      </c>
      <c r="D1594" s="11">
        <v>45989.649305555555</v>
      </c>
      <c r="E1594" s="11">
        <v>45989.649305555555</v>
      </c>
      <c r="F1594" s="11">
        <v>45989.679166666669</v>
      </c>
      <c r="G1594" s="12">
        <v>2.9861111113859806E-2</v>
      </c>
      <c r="H1594" s="2" t="s">
        <v>257</v>
      </c>
      <c r="J1594" s="2" t="s">
        <v>258</v>
      </c>
      <c r="K1594" s="2" t="s">
        <v>658</v>
      </c>
      <c r="L1594" s="2" t="s">
        <v>3994</v>
      </c>
      <c r="M1594" t="s">
        <v>2108</v>
      </c>
      <c r="N1594" t="s">
        <v>357</v>
      </c>
      <c r="O1594" t="s">
        <v>632</v>
      </c>
      <c r="P1594" t="s">
        <v>4003</v>
      </c>
      <c r="Q1594" t="s">
        <v>2281</v>
      </c>
    </row>
    <row r="1595" spans="1:17">
      <c r="A1595" s="2" t="s">
        <v>309</v>
      </c>
      <c r="B1595" s="2" t="s">
        <v>309</v>
      </c>
      <c r="C1595" s="2" t="s">
        <v>247</v>
      </c>
      <c r="D1595" s="11">
        <v>45989.649305555555</v>
      </c>
      <c r="E1595" s="11">
        <v>45989.649305555555</v>
      </c>
      <c r="F1595" s="11">
        <v>45989.679166666669</v>
      </c>
      <c r="G1595" s="12">
        <v>2.9861111113859806E-2</v>
      </c>
      <c r="H1595" s="2" t="s">
        <v>257</v>
      </c>
      <c r="J1595" s="2" t="s">
        <v>258</v>
      </c>
      <c r="K1595" s="2" t="s">
        <v>658</v>
      </c>
      <c r="L1595" s="2" t="s">
        <v>3994</v>
      </c>
      <c r="M1595" t="s">
        <v>2108</v>
      </c>
      <c r="N1595" t="s">
        <v>357</v>
      </c>
      <c r="O1595" t="s">
        <v>632</v>
      </c>
      <c r="P1595" t="s">
        <v>4004</v>
      </c>
      <c r="Q1595" t="s">
        <v>2281</v>
      </c>
    </row>
    <row r="1596" spans="1:17">
      <c r="A1596" s="2" t="s">
        <v>311</v>
      </c>
      <c r="B1596" s="2" t="s">
        <v>311</v>
      </c>
      <c r="C1596" s="2" t="s">
        <v>264</v>
      </c>
      <c r="D1596" s="11">
        <v>45989.649305555555</v>
      </c>
      <c r="E1596" s="11">
        <v>45989.649305555555</v>
      </c>
      <c r="F1596" s="11">
        <v>45989.679166666669</v>
      </c>
      <c r="G1596" s="12">
        <v>2.9861111113859806E-2</v>
      </c>
      <c r="H1596" s="2" t="s">
        <v>257</v>
      </c>
      <c r="J1596" s="2" t="s">
        <v>258</v>
      </c>
      <c r="K1596" s="2" t="s">
        <v>658</v>
      </c>
      <c r="L1596" s="2" t="s">
        <v>3994</v>
      </c>
      <c r="M1596" t="s">
        <v>2108</v>
      </c>
      <c r="N1596" t="s">
        <v>357</v>
      </c>
      <c r="O1596" t="s">
        <v>632</v>
      </c>
      <c r="P1596" t="s">
        <v>4005</v>
      </c>
      <c r="Q1596" t="s">
        <v>2281</v>
      </c>
    </row>
    <row r="1597" spans="1:17">
      <c r="A1597" s="2" t="s">
        <v>311</v>
      </c>
      <c r="B1597" s="2" t="s">
        <v>311</v>
      </c>
      <c r="C1597" s="2" t="s">
        <v>256</v>
      </c>
      <c r="D1597" s="11">
        <v>45989.649305555555</v>
      </c>
      <c r="E1597" s="11">
        <v>45989.649305555555</v>
      </c>
      <c r="F1597" s="11">
        <v>45989.679166666669</v>
      </c>
      <c r="G1597" s="12">
        <v>2.9861111113859806E-2</v>
      </c>
      <c r="H1597" s="2" t="s">
        <v>257</v>
      </c>
      <c r="J1597" s="2" t="s">
        <v>258</v>
      </c>
      <c r="K1597" s="2" t="s">
        <v>658</v>
      </c>
      <c r="L1597" s="2" t="s">
        <v>3994</v>
      </c>
      <c r="M1597" t="s">
        <v>2108</v>
      </c>
      <c r="N1597" t="s">
        <v>357</v>
      </c>
      <c r="O1597" t="s">
        <v>632</v>
      </c>
      <c r="P1597" t="s">
        <v>4006</v>
      </c>
      <c r="Q1597" t="s">
        <v>2281</v>
      </c>
    </row>
    <row r="1598" spans="1:17">
      <c r="A1598" s="2" t="s">
        <v>311</v>
      </c>
      <c r="B1598" s="2" t="s">
        <v>311</v>
      </c>
      <c r="C1598" s="2" t="s">
        <v>307</v>
      </c>
      <c r="D1598" s="11">
        <v>45989.649305555555</v>
      </c>
      <c r="E1598" s="11">
        <v>45989.649305555555</v>
      </c>
      <c r="F1598" s="11">
        <v>45989.679166666669</v>
      </c>
      <c r="G1598" s="12">
        <v>2.9861111113859806E-2</v>
      </c>
      <c r="H1598" s="2" t="s">
        <v>257</v>
      </c>
      <c r="J1598" s="2" t="s">
        <v>258</v>
      </c>
      <c r="K1598" s="2" t="s">
        <v>658</v>
      </c>
      <c r="L1598" s="2" t="s">
        <v>3994</v>
      </c>
      <c r="M1598" t="s">
        <v>2108</v>
      </c>
      <c r="N1598" t="s">
        <v>357</v>
      </c>
      <c r="O1598" t="s">
        <v>632</v>
      </c>
      <c r="P1598" t="s">
        <v>4007</v>
      </c>
      <c r="Q1598" t="s">
        <v>2281</v>
      </c>
    </row>
    <row r="1599" spans="1:17">
      <c r="A1599" s="2" t="s">
        <v>311</v>
      </c>
      <c r="B1599" s="2" t="s">
        <v>311</v>
      </c>
      <c r="C1599" s="2" t="s">
        <v>263</v>
      </c>
      <c r="D1599" s="11">
        <v>45989.649305555555</v>
      </c>
      <c r="E1599" s="11">
        <v>45989.649305555555</v>
      </c>
      <c r="F1599" s="11">
        <v>45989.679166666669</v>
      </c>
      <c r="G1599" s="12">
        <v>2.9861111113859806E-2</v>
      </c>
      <c r="H1599" s="2" t="s">
        <v>257</v>
      </c>
      <c r="J1599" s="2" t="s">
        <v>258</v>
      </c>
      <c r="K1599" s="2" t="s">
        <v>658</v>
      </c>
      <c r="L1599" s="2" t="s">
        <v>3994</v>
      </c>
      <c r="M1599" t="s">
        <v>2108</v>
      </c>
      <c r="N1599" t="s">
        <v>357</v>
      </c>
      <c r="O1599" t="s">
        <v>632</v>
      </c>
      <c r="P1599" t="s">
        <v>4008</v>
      </c>
      <c r="Q1599" t="s">
        <v>2281</v>
      </c>
    </row>
    <row r="1600" spans="1:17">
      <c r="A1600" s="2" t="s">
        <v>312</v>
      </c>
      <c r="B1600" s="2" t="s">
        <v>312</v>
      </c>
      <c r="C1600" s="2" t="s">
        <v>307</v>
      </c>
      <c r="D1600" s="11">
        <v>45989.649305555555</v>
      </c>
      <c r="E1600" s="11">
        <v>45989.649305555555</v>
      </c>
      <c r="F1600" s="11">
        <v>45989.679166666669</v>
      </c>
      <c r="G1600" s="12">
        <v>2.9861111113859806E-2</v>
      </c>
      <c r="H1600" s="2" t="s">
        <v>257</v>
      </c>
      <c r="J1600" s="2" t="s">
        <v>258</v>
      </c>
      <c r="K1600" s="2" t="s">
        <v>658</v>
      </c>
      <c r="L1600" s="2" t="s">
        <v>3994</v>
      </c>
      <c r="M1600" t="s">
        <v>2108</v>
      </c>
      <c r="N1600" t="s">
        <v>357</v>
      </c>
      <c r="O1600" t="s">
        <v>632</v>
      </c>
      <c r="P1600" t="s">
        <v>4009</v>
      </c>
      <c r="Q1600" t="s">
        <v>2281</v>
      </c>
    </row>
    <row r="1601" spans="1:17">
      <c r="A1601" s="2" t="s">
        <v>312</v>
      </c>
      <c r="B1601" s="2" t="s">
        <v>312</v>
      </c>
      <c r="C1601" s="2" t="s">
        <v>264</v>
      </c>
      <c r="D1601" s="11">
        <v>45989.649305555555</v>
      </c>
      <c r="E1601" s="11">
        <v>45989.649305555555</v>
      </c>
      <c r="F1601" s="11">
        <v>45989.679166666669</v>
      </c>
      <c r="G1601" s="12">
        <v>2.9861111113859806E-2</v>
      </c>
      <c r="H1601" s="2" t="s">
        <v>257</v>
      </c>
      <c r="J1601" s="2" t="s">
        <v>258</v>
      </c>
      <c r="K1601" s="2" t="s">
        <v>658</v>
      </c>
      <c r="L1601" s="2" t="s">
        <v>3994</v>
      </c>
      <c r="M1601" t="s">
        <v>2108</v>
      </c>
      <c r="N1601" t="s">
        <v>357</v>
      </c>
      <c r="O1601" t="s">
        <v>632</v>
      </c>
      <c r="P1601" t="s">
        <v>4010</v>
      </c>
      <c r="Q1601" t="s">
        <v>2281</v>
      </c>
    </row>
    <row r="1602" spans="1:17">
      <c r="A1602" s="2" t="s">
        <v>312</v>
      </c>
      <c r="B1602" s="2" t="s">
        <v>312</v>
      </c>
      <c r="C1602" s="2" t="s">
        <v>263</v>
      </c>
      <c r="D1602" s="11">
        <v>45989.649305555555</v>
      </c>
      <c r="E1602" s="11">
        <v>45989.649305555555</v>
      </c>
      <c r="F1602" s="11">
        <v>45989.679166666669</v>
      </c>
      <c r="G1602" s="12">
        <v>2.9861111113859806E-2</v>
      </c>
      <c r="H1602" s="2" t="s">
        <v>257</v>
      </c>
      <c r="J1602" s="2" t="s">
        <v>258</v>
      </c>
      <c r="K1602" s="2" t="s">
        <v>658</v>
      </c>
      <c r="L1602" s="2" t="s">
        <v>3994</v>
      </c>
      <c r="M1602" t="s">
        <v>2108</v>
      </c>
      <c r="N1602" t="s">
        <v>357</v>
      </c>
      <c r="O1602" t="s">
        <v>632</v>
      </c>
      <c r="P1602" t="s">
        <v>4011</v>
      </c>
      <c r="Q1602" t="s">
        <v>2281</v>
      </c>
    </row>
    <row r="1603" spans="1:17">
      <c r="A1603" s="2" t="s">
        <v>312</v>
      </c>
      <c r="B1603" s="2" t="s">
        <v>312</v>
      </c>
      <c r="C1603" s="2" t="s">
        <v>256</v>
      </c>
      <c r="D1603" s="11">
        <v>45989.649305555555</v>
      </c>
      <c r="E1603" s="11">
        <v>45989.649305555555</v>
      </c>
      <c r="F1603" s="11">
        <v>45989.679166666669</v>
      </c>
      <c r="G1603" s="12">
        <v>2.9861111113859806E-2</v>
      </c>
      <c r="H1603" s="2" t="s">
        <v>257</v>
      </c>
      <c r="J1603" s="2" t="s">
        <v>258</v>
      </c>
      <c r="K1603" s="2" t="s">
        <v>658</v>
      </c>
      <c r="L1603" s="2" t="s">
        <v>3994</v>
      </c>
      <c r="M1603" t="s">
        <v>2108</v>
      </c>
      <c r="N1603" t="s">
        <v>357</v>
      </c>
      <c r="O1603" t="s">
        <v>632</v>
      </c>
      <c r="P1603" t="s">
        <v>4012</v>
      </c>
      <c r="Q1603" t="s">
        <v>2281</v>
      </c>
    </row>
    <row r="1604" spans="1:17">
      <c r="A1604" s="2" t="s">
        <v>313</v>
      </c>
      <c r="B1604" s="2" t="s">
        <v>313</v>
      </c>
      <c r="C1604" s="2" t="s">
        <v>256</v>
      </c>
      <c r="D1604" s="11">
        <v>45989.649305555555</v>
      </c>
      <c r="E1604" s="11">
        <v>45989.649305555555</v>
      </c>
      <c r="F1604" s="11">
        <v>45989.679166666669</v>
      </c>
      <c r="G1604" s="12">
        <v>2.9861111113859806E-2</v>
      </c>
      <c r="H1604" s="2" t="s">
        <v>257</v>
      </c>
      <c r="J1604" s="2" t="s">
        <v>258</v>
      </c>
      <c r="K1604" s="2" t="s">
        <v>658</v>
      </c>
      <c r="L1604" s="2" t="s">
        <v>3994</v>
      </c>
      <c r="M1604" t="s">
        <v>2108</v>
      </c>
      <c r="N1604" t="s">
        <v>357</v>
      </c>
      <c r="O1604" t="s">
        <v>632</v>
      </c>
      <c r="P1604" t="s">
        <v>4013</v>
      </c>
      <c r="Q1604" t="s">
        <v>2281</v>
      </c>
    </row>
    <row r="1605" spans="1:17">
      <c r="A1605" s="2" t="s">
        <v>313</v>
      </c>
      <c r="B1605" s="2" t="s">
        <v>313</v>
      </c>
      <c r="C1605" s="2" t="s">
        <v>264</v>
      </c>
      <c r="D1605" s="11">
        <v>45989.649305555555</v>
      </c>
      <c r="E1605" s="11">
        <v>45989.649305555555</v>
      </c>
      <c r="F1605" s="11">
        <v>45989.679166666669</v>
      </c>
      <c r="G1605" s="12">
        <v>2.9861111113859806E-2</v>
      </c>
      <c r="H1605" s="2" t="s">
        <v>257</v>
      </c>
      <c r="J1605" s="2" t="s">
        <v>258</v>
      </c>
      <c r="K1605" s="2" t="s">
        <v>658</v>
      </c>
      <c r="L1605" s="2" t="s">
        <v>3994</v>
      </c>
      <c r="M1605" t="s">
        <v>2108</v>
      </c>
      <c r="N1605" t="s">
        <v>357</v>
      </c>
      <c r="O1605" t="s">
        <v>632</v>
      </c>
      <c r="P1605" t="s">
        <v>4014</v>
      </c>
      <c r="Q1605" t="s">
        <v>2281</v>
      </c>
    </row>
    <row r="1606" spans="1:17">
      <c r="A1606" s="2" t="s">
        <v>698</v>
      </c>
      <c r="B1606" s="2" t="s">
        <v>698</v>
      </c>
      <c r="C1606" s="2" t="s">
        <v>263</v>
      </c>
      <c r="D1606" s="11">
        <v>45989.695833275466</v>
      </c>
      <c r="E1606" s="11">
        <v>45989.695833275466</v>
      </c>
      <c r="F1606" s="11">
        <v>45989.708333333336</v>
      </c>
      <c r="G1606" s="12">
        <v>1.250005787005648E-2</v>
      </c>
      <c r="H1606" s="2" t="s">
        <v>257</v>
      </c>
      <c r="J1606" s="2" t="s">
        <v>258</v>
      </c>
      <c r="K1606" s="2" t="s">
        <v>658</v>
      </c>
      <c r="L1606" s="2" t="s">
        <v>4015</v>
      </c>
      <c r="M1606" t="s">
        <v>2108</v>
      </c>
      <c r="N1606" t="s">
        <v>357</v>
      </c>
      <c r="O1606" t="s">
        <v>4016</v>
      </c>
      <c r="P1606" t="s">
        <v>4017</v>
      </c>
      <c r="Q1606" t="s">
        <v>2281</v>
      </c>
    </row>
    <row r="1607" spans="1:17">
      <c r="A1607" s="2" t="s">
        <v>698</v>
      </c>
      <c r="B1607" s="2" t="s">
        <v>698</v>
      </c>
      <c r="C1607" s="2" t="s">
        <v>307</v>
      </c>
      <c r="D1607" s="11">
        <v>45989.695833275466</v>
      </c>
      <c r="E1607" s="11">
        <v>45989.695833275466</v>
      </c>
      <c r="F1607" s="11">
        <v>45989.708333333336</v>
      </c>
      <c r="G1607" s="12">
        <v>1.250005787005648E-2</v>
      </c>
      <c r="H1607" s="2" t="s">
        <v>257</v>
      </c>
      <c r="J1607" s="2" t="s">
        <v>258</v>
      </c>
      <c r="K1607" s="2" t="s">
        <v>658</v>
      </c>
      <c r="L1607" s="2" t="s">
        <v>4015</v>
      </c>
      <c r="M1607" t="s">
        <v>2108</v>
      </c>
      <c r="N1607" t="s">
        <v>357</v>
      </c>
      <c r="O1607" t="s">
        <v>4016</v>
      </c>
      <c r="P1607" t="s">
        <v>4018</v>
      </c>
      <c r="Q1607" t="s">
        <v>2281</v>
      </c>
    </row>
    <row r="1608" spans="1:17">
      <c r="A1608" s="2" t="s">
        <v>700</v>
      </c>
      <c r="B1608" s="2" t="s">
        <v>700</v>
      </c>
      <c r="C1608" s="2" t="s">
        <v>256</v>
      </c>
      <c r="D1608" s="11">
        <v>45989.695833275466</v>
      </c>
      <c r="E1608" s="11">
        <v>45989.695833275466</v>
      </c>
      <c r="F1608" s="11">
        <v>45989.708333333336</v>
      </c>
      <c r="G1608" s="12">
        <v>1.250005787005648E-2</v>
      </c>
      <c r="H1608" s="2" t="s">
        <v>257</v>
      </c>
      <c r="J1608" s="2" t="s">
        <v>258</v>
      </c>
      <c r="K1608" s="2" t="s">
        <v>658</v>
      </c>
      <c r="L1608" s="2" t="s">
        <v>4015</v>
      </c>
      <c r="M1608" t="s">
        <v>2108</v>
      </c>
      <c r="N1608" t="s">
        <v>357</v>
      </c>
      <c r="O1608" t="s">
        <v>4016</v>
      </c>
      <c r="P1608" t="s">
        <v>4019</v>
      </c>
      <c r="Q1608" t="s">
        <v>2281</v>
      </c>
    </row>
    <row r="1609" spans="1:17">
      <c r="A1609" s="2" t="s">
        <v>700</v>
      </c>
      <c r="B1609" s="2" t="s">
        <v>700</v>
      </c>
      <c r="C1609" s="2" t="s">
        <v>264</v>
      </c>
      <c r="D1609" s="11">
        <v>45989.695833275466</v>
      </c>
      <c r="E1609" s="11">
        <v>45989.695833275466</v>
      </c>
      <c r="F1609" s="11">
        <v>45989.708333333336</v>
      </c>
      <c r="G1609" s="12">
        <v>1.250005787005648E-2</v>
      </c>
      <c r="H1609" s="2" t="s">
        <v>257</v>
      </c>
      <c r="J1609" s="2" t="s">
        <v>258</v>
      </c>
      <c r="K1609" s="2" t="s">
        <v>658</v>
      </c>
      <c r="L1609" s="2" t="s">
        <v>4015</v>
      </c>
      <c r="M1609" t="s">
        <v>2108</v>
      </c>
      <c r="N1609" t="s">
        <v>357</v>
      </c>
      <c r="O1609" t="s">
        <v>4016</v>
      </c>
      <c r="P1609" t="s">
        <v>4020</v>
      </c>
      <c r="Q1609" t="s">
        <v>2281</v>
      </c>
    </row>
    <row r="1610" spans="1:17">
      <c r="A1610" s="2" t="s">
        <v>700</v>
      </c>
      <c r="B1610" s="2" t="s">
        <v>700</v>
      </c>
      <c r="C1610" s="2" t="s">
        <v>263</v>
      </c>
      <c r="D1610" s="11">
        <v>45989.695833275466</v>
      </c>
      <c r="E1610" s="11">
        <v>45989.695833275466</v>
      </c>
      <c r="F1610" s="11">
        <v>45989.708333333336</v>
      </c>
      <c r="G1610" s="12">
        <v>1.250005787005648E-2</v>
      </c>
      <c r="H1610" s="2" t="s">
        <v>257</v>
      </c>
      <c r="J1610" s="2" t="s">
        <v>258</v>
      </c>
      <c r="K1610" s="2" t="s">
        <v>658</v>
      </c>
      <c r="L1610" s="2" t="s">
        <v>4015</v>
      </c>
      <c r="M1610" t="s">
        <v>2108</v>
      </c>
      <c r="N1610" t="s">
        <v>357</v>
      </c>
      <c r="O1610" t="s">
        <v>4016</v>
      </c>
      <c r="P1610" t="s">
        <v>4021</v>
      </c>
      <c r="Q1610" t="s">
        <v>2281</v>
      </c>
    </row>
    <row r="1611" spans="1:17">
      <c r="A1611" s="2" t="s">
        <v>700</v>
      </c>
      <c r="B1611" s="2" t="s">
        <v>700</v>
      </c>
      <c r="C1611" s="2" t="s">
        <v>307</v>
      </c>
      <c r="D1611" s="11">
        <v>45989.695833275466</v>
      </c>
      <c r="E1611" s="11">
        <v>45989.695833275466</v>
      </c>
      <c r="F1611" s="11">
        <v>45989.708333333336</v>
      </c>
      <c r="G1611" s="12">
        <v>1.250005787005648E-2</v>
      </c>
      <c r="H1611" s="2" t="s">
        <v>257</v>
      </c>
      <c r="J1611" s="2" t="s">
        <v>258</v>
      </c>
      <c r="K1611" s="2" t="s">
        <v>658</v>
      </c>
      <c r="L1611" s="2" t="s">
        <v>4015</v>
      </c>
      <c r="M1611" t="s">
        <v>2108</v>
      </c>
      <c r="N1611" t="s">
        <v>357</v>
      </c>
      <c r="O1611" t="s">
        <v>4016</v>
      </c>
      <c r="P1611" t="s">
        <v>4022</v>
      </c>
      <c r="Q1611" t="s">
        <v>2281</v>
      </c>
    </row>
    <row r="1612" spans="1:17">
      <c r="A1612" s="2" t="s">
        <v>314</v>
      </c>
      <c r="B1612" s="2" t="s">
        <v>314</v>
      </c>
      <c r="C1612" s="2" t="s">
        <v>247</v>
      </c>
      <c r="D1612" s="11">
        <v>45989.695833275466</v>
      </c>
      <c r="E1612" s="11">
        <v>45989.695833275466</v>
      </c>
      <c r="F1612" s="11">
        <v>45989.708333333336</v>
      </c>
      <c r="G1612" s="12">
        <v>1.250005787005648E-2</v>
      </c>
      <c r="H1612" s="2" t="s">
        <v>257</v>
      </c>
      <c r="J1612" s="2" t="s">
        <v>258</v>
      </c>
      <c r="K1612" s="2" t="s">
        <v>658</v>
      </c>
      <c r="L1612" s="2" t="s">
        <v>4015</v>
      </c>
      <c r="M1612" t="s">
        <v>2108</v>
      </c>
      <c r="N1612" t="s">
        <v>357</v>
      </c>
      <c r="O1612" t="s">
        <v>4016</v>
      </c>
      <c r="P1612" t="s">
        <v>4023</v>
      </c>
      <c r="Q1612" t="s">
        <v>2281</v>
      </c>
    </row>
    <row r="1613" spans="1:17">
      <c r="A1613" s="2" t="s">
        <v>314</v>
      </c>
      <c r="B1613" s="2" t="s">
        <v>314</v>
      </c>
      <c r="C1613" s="2" t="s">
        <v>264</v>
      </c>
      <c r="D1613" s="11">
        <v>45989.695833275466</v>
      </c>
      <c r="E1613" s="11">
        <v>45989.695833275466</v>
      </c>
      <c r="F1613" s="11">
        <v>45989.708333333336</v>
      </c>
      <c r="G1613" s="12">
        <v>1.250005787005648E-2</v>
      </c>
      <c r="H1613" s="2" t="s">
        <v>257</v>
      </c>
      <c r="J1613" s="2" t="s">
        <v>258</v>
      </c>
      <c r="K1613" s="2" t="s">
        <v>658</v>
      </c>
      <c r="L1613" s="2" t="s">
        <v>4015</v>
      </c>
      <c r="M1613" t="s">
        <v>2108</v>
      </c>
      <c r="N1613" t="s">
        <v>357</v>
      </c>
      <c r="O1613" t="s">
        <v>4016</v>
      </c>
      <c r="P1613" t="s">
        <v>4024</v>
      </c>
      <c r="Q1613" t="s">
        <v>2281</v>
      </c>
    </row>
    <row r="1614" spans="1:17">
      <c r="A1614" s="2" t="s">
        <v>314</v>
      </c>
      <c r="B1614" s="2" t="s">
        <v>314</v>
      </c>
      <c r="C1614" s="2" t="s">
        <v>263</v>
      </c>
      <c r="D1614" s="11">
        <v>45989.695833275466</v>
      </c>
      <c r="E1614" s="11">
        <v>45989.695833275466</v>
      </c>
      <c r="F1614" s="11">
        <v>45989.708333333336</v>
      </c>
      <c r="G1614" s="12">
        <v>1.250005787005648E-2</v>
      </c>
      <c r="H1614" s="2" t="s">
        <v>257</v>
      </c>
      <c r="J1614" s="2" t="s">
        <v>258</v>
      </c>
      <c r="K1614" s="2" t="s">
        <v>658</v>
      </c>
      <c r="L1614" s="2" t="s">
        <v>4015</v>
      </c>
      <c r="M1614" t="s">
        <v>2108</v>
      </c>
      <c r="N1614" t="s">
        <v>357</v>
      </c>
      <c r="O1614" t="s">
        <v>4016</v>
      </c>
      <c r="P1614" t="s">
        <v>4025</v>
      </c>
      <c r="Q1614" t="s">
        <v>2281</v>
      </c>
    </row>
    <row r="1615" spans="1:17">
      <c r="A1615" s="2" t="s">
        <v>314</v>
      </c>
      <c r="B1615" s="2" t="s">
        <v>314</v>
      </c>
      <c r="C1615" s="2" t="s">
        <v>307</v>
      </c>
      <c r="D1615" s="11">
        <v>45989.695833275466</v>
      </c>
      <c r="E1615" s="11">
        <v>45989.695833275466</v>
      </c>
      <c r="F1615" s="11">
        <v>45989.708333333336</v>
      </c>
      <c r="G1615" s="12">
        <v>1.250005787005648E-2</v>
      </c>
      <c r="H1615" s="2" t="s">
        <v>257</v>
      </c>
      <c r="J1615" s="2" t="s">
        <v>258</v>
      </c>
      <c r="K1615" s="2" t="s">
        <v>658</v>
      </c>
      <c r="L1615" s="2" t="s">
        <v>4015</v>
      </c>
      <c r="M1615" t="s">
        <v>2108</v>
      </c>
      <c r="N1615" t="s">
        <v>357</v>
      </c>
      <c r="O1615" t="s">
        <v>4016</v>
      </c>
      <c r="P1615" t="s">
        <v>4026</v>
      </c>
      <c r="Q1615" t="s">
        <v>2281</v>
      </c>
    </row>
    <row r="1616" spans="1:17">
      <c r="A1616" s="2" t="s">
        <v>701</v>
      </c>
      <c r="B1616" s="2" t="s">
        <v>701</v>
      </c>
      <c r="C1616" s="2" t="s">
        <v>256</v>
      </c>
      <c r="D1616" s="11">
        <v>45989.695833275466</v>
      </c>
      <c r="E1616" s="11">
        <v>45989.695833275466</v>
      </c>
      <c r="F1616" s="11">
        <v>45989.708333333336</v>
      </c>
      <c r="G1616" s="12">
        <v>1.250005787005648E-2</v>
      </c>
      <c r="H1616" s="2" t="s">
        <v>257</v>
      </c>
      <c r="J1616" s="2" t="s">
        <v>258</v>
      </c>
      <c r="K1616" s="2" t="s">
        <v>658</v>
      </c>
      <c r="L1616" s="2" t="s">
        <v>4015</v>
      </c>
      <c r="M1616" t="s">
        <v>2108</v>
      </c>
      <c r="N1616" t="s">
        <v>357</v>
      </c>
      <c r="O1616" t="s">
        <v>4016</v>
      </c>
      <c r="P1616" t="s">
        <v>4027</v>
      </c>
      <c r="Q1616" t="s">
        <v>2281</v>
      </c>
    </row>
    <row r="1617" spans="1:17">
      <c r="A1617" s="2" t="s">
        <v>701</v>
      </c>
      <c r="B1617" s="2" t="s">
        <v>701</v>
      </c>
      <c r="C1617" s="2" t="s">
        <v>264</v>
      </c>
      <c r="D1617" s="11">
        <v>45989.695833275466</v>
      </c>
      <c r="E1617" s="11">
        <v>45989.695833275466</v>
      </c>
      <c r="F1617" s="11">
        <v>45989.708333333336</v>
      </c>
      <c r="G1617" s="12">
        <v>1.250005787005648E-2</v>
      </c>
      <c r="H1617" s="2" t="s">
        <v>257</v>
      </c>
      <c r="J1617" s="2" t="s">
        <v>258</v>
      </c>
      <c r="K1617" s="2" t="s">
        <v>658</v>
      </c>
      <c r="L1617" s="2" t="s">
        <v>4015</v>
      </c>
      <c r="M1617" t="s">
        <v>2108</v>
      </c>
      <c r="N1617" t="s">
        <v>357</v>
      </c>
      <c r="O1617" t="s">
        <v>4016</v>
      </c>
      <c r="P1617" t="s">
        <v>4028</v>
      </c>
      <c r="Q1617" t="s">
        <v>2281</v>
      </c>
    </row>
    <row r="1618" spans="1:17">
      <c r="A1618" s="2" t="s">
        <v>701</v>
      </c>
      <c r="B1618" s="2" t="s">
        <v>701</v>
      </c>
      <c r="C1618" s="2" t="s">
        <v>263</v>
      </c>
      <c r="D1618" s="11">
        <v>45989.695833275466</v>
      </c>
      <c r="E1618" s="11">
        <v>45989.695833275466</v>
      </c>
      <c r="F1618" s="11">
        <v>45989.708333333336</v>
      </c>
      <c r="G1618" s="12">
        <v>1.250005787005648E-2</v>
      </c>
      <c r="H1618" s="2" t="s">
        <v>257</v>
      </c>
      <c r="J1618" s="2" t="s">
        <v>258</v>
      </c>
      <c r="K1618" s="2" t="s">
        <v>658</v>
      </c>
      <c r="L1618" s="2" t="s">
        <v>4015</v>
      </c>
      <c r="M1618" t="s">
        <v>2108</v>
      </c>
      <c r="N1618" t="s">
        <v>357</v>
      </c>
      <c r="O1618" t="s">
        <v>4016</v>
      </c>
      <c r="P1618" t="s">
        <v>4029</v>
      </c>
      <c r="Q1618" t="s">
        <v>2281</v>
      </c>
    </row>
    <row r="1619" spans="1:17">
      <c r="A1619" s="2" t="s">
        <v>701</v>
      </c>
      <c r="B1619" s="2" t="s">
        <v>701</v>
      </c>
      <c r="C1619" s="2" t="s">
        <v>307</v>
      </c>
      <c r="D1619" s="11">
        <v>45989.695833275466</v>
      </c>
      <c r="E1619" s="11">
        <v>45989.695833275466</v>
      </c>
      <c r="F1619" s="11">
        <v>45989.708333333336</v>
      </c>
      <c r="G1619" s="12">
        <v>1.250005787005648E-2</v>
      </c>
      <c r="H1619" s="2" t="s">
        <v>257</v>
      </c>
      <c r="J1619" s="2" t="s">
        <v>258</v>
      </c>
      <c r="K1619" s="2" t="s">
        <v>658</v>
      </c>
      <c r="L1619" s="2" t="s">
        <v>4015</v>
      </c>
      <c r="M1619" t="s">
        <v>2108</v>
      </c>
      <c r="N1619" t="s">
        <v>357</v>
      </c>
      <c r="O1619" t="s">
        <v>4016</v>
      </c>
      <c r="P1619" t="s">
        <v>4030</v>
      </c>
      <c r="Q1619" t="s">
        <v>2281</v>
      </c>
    </row>
    <row r="1620" spans="1:17">
      <c r="A1620" s="2" t="s">
        <v>702</v>
      </c>
      <c r="B1620" s="2" t="s">
        <v>702</v>
      </c>
      <c r="C1620" s="2" t="s">
        <v>256</v>
      </c>
      <c r="D1620" s="11">
        <v>45989.695833275466</v>
      </c>
      <c r="E1620" s="11">
        <v>45989.695833275466</v>
      </c>
      <c r="F1620" s="11">
        <v>45989.708333333336</v>
      </c>
      <c r="G1620" s="12">
        <v>1.250005787005648E-2</v>
      </c>
      <c r="H1620" s="2" t="s">
        <v>257</v>
      </c>
      <c r="J1620" s="2" t="s">
        <v>258</v>
      </c>
      <c r="K1620" s="2" t="s">
        <v>658</v>
      </c>
      <c r="L1620" s="2" t="s">
        <v>4015</v>
      </c>
      <c r="M1620" t="s">
        <v>2108</v>
      </c>
      <c r="N1620" t="s">
        <v>357</v>
      </c>
      <c r="O1620" t="s">
        <v>4016</v>
      </c>
      <c r="P1620" t="s">
        <v>4031</v>
      </c>
      <c r="Q1620" t="s">
        <v>2281</v>
      </c>
    </row>
    <row r="1621" spans="1:17">
      <c r="A1621" s="2" t="s">
        <v>702</v>
      </c>
      <c r="B1621" s="2" t="s">
        <v>702</v>
      </c>
      <c r="C1621" s="2" t="s">
        <v>264</v>
      </c>
      <c r="D1621" s="11">
        <v>45989.695833275466</v>
      </c>
      <c r="E1621" s="11">
        <v>45989.695833275466</v>
      </c>
      <c r="F1621" s="11">
        <v>45989.708333333336</v>
      </c>
      <c r="G1621" s="12">
        <v>1.250005787005648E-2</v>
      </c>
      <c r="H1621" s="2" t="s">
        <v>257</v>
      </c>
      <c r="J1621" s="2" t="s">
        <v>258</v>
      </c>
      <c r="K1621" s="2" t="s">
        <v>658</v>
      </c>
      <c r="L1621" s="2" t="s">
        <v>4015</v>
      </c>
      <c r="M1621" t="s">
        <v>2108</v>
      </c>
      <c r="N1621" t="s">
        <v>357</v>
      </c>
      <c r="O1621" t="s">
        <v>4016</v>
      </c>
      <c r="P1621" t="s">
        <v>4032</v>
      </c>
      <c r="Q1621" t="s">
        <v>2281</v>
      </c>
    </row>
    <row r="1622" spans="1:17">
      <c r="A1622" s="2" t="s">
        <v>702</v>
      </c>
      <c r="B1622" s="2" t="s">
        <v>702</v>
      </c>
      <c r="C1622" s="2" t="s">
        <v>263</v>
      </c>
      <c r="D1622" s="11">
        <v>45989.695833275466</v>
      </c>
      <c r="E1622" s="11">
        <v>45989.695833275466</v>
      </c>
      <c r="F1622" s="11">
        <v>45989.708333333336</v>
      </c>
      <c r="G1622" s="12">
        <v>1.250005787005648E-2</v>
      </c>
      <c r="H1622" s="2" t="s">
        <v>257</v>
      </c>
      <c r="J1622" s="2" t="s">
        <v>258</v>
      </c>
      <c r="K1622" s="2" t="s">
        <v>658</v>
      </c>
      <c r="L1622" s="2" t="s">
        <v>4015</v>
      </c>
      <c r="M1622" t="s">
        <v>2108</v>
      </c>
      <c r="N1622" t="s">
        <v>357</v>
      </c>
      <c r="O1622" t="s">
        <v>4016</v>
      </c>
      <c r="P1622" t="s">
        <v>4033</v>
      </c>
      <c r="Q1622" t="s">
        <v>2281</v>
      </c>
    </row>
    <row r="1623" spans="1:17">
      <c r="A1623" s="2" t="s">
        <v>702</v>
      </c>
      <c r="B1623" s="2" t="s">
        <v>702</v>
      </c>
      <c r="C1623" s="2" t="s">
        <v>247</v>
      </c>
      <c r="D1623" s="11">
        <v>45989.695833275466</v>
      </c>
      <c r="E1623" s="11">
        <v>45989.695833275466</v>
      </c>
      <c r="F1623" s="11">
        <v>45989.708333333336</v>
      </c>
      <c r="G1623" s="12">
        <v>1.250005787005648E-2</v>
      </c>
      <c r="H1623" s="2" t="s">
        <v>257</v>
      </c>
      <c r="J1623" s="2" t="s">
        <v>258</v>
      </c>
      <c r="K1623" s="2" t="s">
        <v>658</v>
      </c>
      <c r="L1623" s="2" t="s">
        <v>4015</v>
      </c>
      <c r="M1623" t="s">
        <v>2108</v>
      </c>
      <c r="N1623" t="s">
        <v>357</v>
      </c>
      <c r="O1623" t="s">
        <v>4016</v>
      </c>
      <c r="P1623" t="s">
        <v>4034</v>
      </c>
      <c r="Q1623" t="s">
        <v>2281</v>
      </c>
    </row>
    <row r="1624" spans="1:17">
      <c r="A1624" s="2" t="s">
        <v>698</v>
      </c>
      <c r="B1624" s="2" t="s">
        <v>698</v>
      </c>
      <c r="C1624" s="2" t="s">
        <v>256</v>
      </c>
      <c r="D1624" s="11">
        <v>45989.695833333331</v>
      </c>
      <c r="E1624" s="11">
        <v>45989.695833333331</v>
      </c>
      <c r="F1624" s="11">
        <v>45989.708333333336</v>
      </c>
      <c r="G1624" s="12">
        <v>1.2500000004365575E-2</v>
      </c>
      <c r="H1624" s="2" t="s">
        <v>257</v>
      </c>
      <c r="J1624" s="2" t="s">
        <v>258</v>
      </c>
      <c r="K1624" s="2" t="s">
        <v>658</v>
      </c>
      <c r="L1624" s="2" t="s">
        <v>4015</v>
      </c>
      <c r="M1624" t="s">
        <v>2108</v>
      </c>
      <c r="N1624" t="s">
        <v>357</v>
      </c>
      <c r="O1624" t="s">
        <v>4016</v>
      </c>
      <c r="P1624" t="s">
        <v>4035</v>
      </c>
      <c r="Q1624" t="s">
        <v>2281</v>
      </c>
    </row>
    <row r="1625" spans="1:17">
      <c r="A1625" s="2" t="s">
        <v>698</v>
      </c>
      <c r="B1625" s="2" t="s">
        <v>698</v>
      </c>
      <c r="C1625" s="2" t="s">
        <v>264</v>
      </c>
      <c r="D1625" s="11">
        <v>45989.695833333331</v>
      </c>
      <c r="E1625" s="11">
        <v>45989.695833333331</v>
      </c>
      <c r="F1625" s="11">
        <v>45989.708333333336</v>
      </c>
      <c r="G1625" s="12">
        <v>1.2500000004365575E-2</v>
      </c>
      <c r="H1625" s="2" t="s">
        <v>257</v>
      </c>
      <c r="J1625" s="2" t="s">
        <v>258</v>
      </c>
      <c r="K1625" s="2" t="s">
        <v>658</v>
      </c>
      <c r="L1625" s="2" t="s">
        <v>4015</v>
      </c>
      <c r="M1625" t="s">
        <v>2108</v>
      </c>
      <c r="N1625" t="s">
        <v>357</v>
      </c>
      <c r="O1625" t="s">
        <v>4016</v>
      </c>
      <c r="P1625" t="s">
        <v>4036</v>
      </c>
      <c r="Q1625" t="s">
        <v>2281</v>
      </c>
    </row>
    <row r="1626" spans="1:17">
      <c r="A1626" s="2" t="s">
        <v>305</v>
      </c>
      <c r="B1626" s="2" t="s">
        <v>305</v>
      </c>
      <c r="C1626" s="2" t="s">
        <v>256</v>
      </c>
      <c r="D1626" s="11">
        <v>45989.833333333336</v>
      </c>
      <c r="E1626" s="11">
        <v>45989.833333333336</v>
      </c>
      <c r="F1626" s="11">
        <v>45990.285416666666</v>
      </c>
      <c r="G1626" s="12">
        <v>0.45208333332993789</v>
      </c>
      <c r="H1626" s="2" t="s">
        <v>257</v>
      </c>
      <c r="J1626" s="2" t="s">
        <v>258</v>
      </c>
      <c r="K1626" s="2" t="s">
        <v>658</v>
      </c>
      <c r="L1626" s="2" t="s">
        <v>3994</v>
      </c>
      <c r="M1626" t="s">
        <v>2108</v>
      </c>
      <c r="N1626" t="s">
        <v>357</v>
      </c>
      <c r="O1626" t="s">
        <v>632</v>
      </c>
      <c r="P1626" t="s">
        <v>4037</v>
      </c>
      <c r="Q1626" t="s">
        <v>2281</v>
      </c>
    </row>
    <row r="1627" spans="1:17">
      <c r="A1627" s="2" t="s">
        <v>305</v>
      </c>
      <c r="B1627" s="2" t="s">
        <v>305</v>
      </c>
      <c r="C1627" s="2" t="s">
        <v>264</v>
      </c>
      <c r="D1627" s="11">
        <v>45989.833333333336</v>
      </c>
      <c r="E1627" s="11">
        <v>45989.833333333336</v>
      </c>
      <c r="F1627" s="11">
        <v>45990.285416666666</v>
      </c>
      <c r="G1627" s="12">
        <v>0.45208333332993789</v>
      </c>
      <c r="H1627" s="2" t="s">
        <v>257</v>
      </c>
      <c r="J1627" s="2" t="s">
        <v>258</v>
      </c>
      <c r="K1627" s="2" t="s">
        <v>658</v>
      </c>
      <c r="L1627" s="2" t="s">
        <v>3994</v>
      </c>
      <c r="M1627" t="s">
        <v>2108</v>
      </c>
      <c r="N1627" t="s">
        <v>357</v>
      </c>
      <c r="O1627" t="s">
        <v>632</v>
      </c>
      <c r="P1627" t="s">
        <v>4038</v>
      </c>
      <c r="Q1627" t="s">
        <v>2281</v>
      </c>
    </row>
    <row r="1628" spans="1:17">
      <c r="A1628" s="2" t="s">
        <v>305</v>
      </c>
      <c r="B1628" s="2" t="s">
        <v>305</v>
      </c>
      <c r="C1628" s="2" t="s">
        <v>263</v>
      </c>
      <c r="D1628" s="11">
        <v>45989.833333333336</v>
      </c>
      <c r="E1628" s="11">
        <v>45989.833333333336</v>
      </c>
      <c r="F1628" s="11">
        <v>45990.285416666666</v>
      </c>
      <c r="G1628" s="12">
        <v>0.45208333332993789</v>
      </c>
      <c r="H1628" s="2" t="s">
        <v>257</v>
      </c>
      <c r="J1628" s="2" t="s">
        <v>258</v>
      </c>
      <c r="K1628" s="2" t="s">
        <v>658</v>
      </c>
      <c r="L1628" s="2" t="s">
        <v>3994</v>
      </c>
      <c r="M1628" t="s">
        <v>2108</v>
      </c>
      <c r="N1628" t="s">
        <v>357</v>
      </c>
      <c r="O1628" t="s">
        <v>632</v>
      </c>
      <c r="P1628" t="s">
        <v>4039</v>
      </c>
      <c r="Q1628" t="s">
        <v>2281</v>
      </c>
    </row>
    <row r="1629" spans="1:17">
      <c r="A1629" s="2" t="s">
        <v>305</v>
      </c>
      <c r="B1629" s="2" t="s">
        <v>305</v>
      </c>
      <c r="C1629" s="2" t="s">
        <v>307</v>
      </c>
      <c r="D1629" s="11">
        <v>45989.833333333336</v>
      </c>
      <c r="E1629" s="11">
        <v>45989.833333333336</v>
      </c>
      <c r="F1629" s="11">
        <v>45990.285416666666</v>
      </c>
      <c r="G1629" s="12">
        <v>0.45208333332993789</v>
      </c>
      <c r="H1629" s="2" t="s">
        <v>257</v>
      </c>
      <c r="J1629" s="2" t="s">
        <v>258</v>
      </c>
      <c r="K1629" s="2" t="s">
        <v>658</v>
      </c>
      <c r="L1629" s="2" t="s">
        <v>3994</v>
      </c>
      <c r="M1629" t="s">
        <v>2108</v>
      </c>
      <c r="N1629" t="s">
        <v>357</v>
      </c>
      <c r="O1629" t="s">
        <v>632</v>
      </c>
      <c r="P1629" t="s">
        <v>4040</v>
      </c>
      <c r="Q1629" t="s">
        <v>2281</v>
      </c>
    </row>
    <row r="1630" spans="1:17">
      <c r="A1630" s="2" t="s">
        <v>308</v>
      </c>
      <c r="B1630" s="2" t="s">
        <v>308</v>
      </c>
      <c r="C1630" s="2" t="s">
        <v>256</v>
      </c>
      <c r="D1630" s="11">
        <v>45989.833333333336</v>
      </c>
      <c r="E1630" s="11">
        <v>45989.833333333336</v>
      </c>
      <c r="F1630" s="11">
        <v>45990.285416666666</v>
      </c>
      <c r="G1630" s="12">
        <v>0.45208333332993789</v>
      </c>
      <c r="H1630" s="2" t="s">
        <v>257</v>
      </c>
      <c r="J1630" s="2" t="s">
        <v>258</v>
      </c>
      <c r="K1630" s="2" t="s">
        <v>658</v>
      </c>
      <c r="L1630" s="2" t="s">
        <v>3994</v>
      </c>
      <c r="M1630" t="s">
        <v>2108</v>
      </c>
      <c r="N1630" t="s">
        <v>357</v>
      </c>
      <c r="O1630" t="s">
        <v>632</v>
      </c>
      <c r="P1630" t="s">
        <v>4041</v>
      </c>
      <c r="Q1630" t="s">
        <v>2281</v>
      </c>
    </row>
    <row r="1631" spans="1:17">
      <c r="A1631" s="2" t="s">
        <v>308</v>
      </c>
      <c r="B1631" s="2" t="s">
        <v>308</v>
      </c>
      <c r="C1631" s="2" t="s">
        <v>264</v>
      </c>
      <c r="D1631" s="11">
        <v>45989.833333333336</v>
      </c>
      <c r="E1631" s="11">
        <v>45989.833333333336</v>
      </c>
      <c r="F1631" s="11">
        <v>45990.285416666666</v>
      </c>
      <c r="G1631" s="12">
        <v>0.45208333332993789</v>
      </c>
      <c r="H1631" s="2" t="s">
        <v>257</v>
      </c>
      <c r="J1631" s="2" t="s">
        <v>258</v>
      </c>
      <c r="K1631" s="2" t="s">
        <v>658</v>
      </c>
      <c r="L1631" s="2" t="s">
        <v>3994</v>
      </c>
      <c r="M1631" t="s">
        <v>2108</v>
      </c>
      <c r="N1631" t="s">
        <v>357</v>
      </c>
      <c r="O1631" t="s">
        <v>632</v>
      </c>
      <c r="P1631" t="s">
        <v>4042</v>
      </c>
      <c r="Q1631" t="s">
        <v>2281</v>
      </c>
    </row>
    <row r="1632" spans="1:17">
      <c r="A1632" s="2" t="s">
        <v>308</v>
      </c>
      <c r="B1632" s="2" t="s">
        <v>308</v>
      </c>
      <c r="C1632" s="2" t="s">
        <v>263</v>
      </c>
      <c r="D1632" s="11">
        <v>45989.833333333336</v>
      </c>
      <c r="E1632" s="11">
        <v>45989.833333333336</v>
      </c>
      <c r="F1632" s="11">
        <v>45990.285416666666</v>
      </c>
      <c r="G1632" s="12">
        <v>0.45208333332993789</v>
      </c>
      <c r="H1632" s="2" t="s">
        <v>257</v>
      </c>
      <c r="J1632" s="2" t="s">
        <v>258</v>
      </c>
      <c r="K1632" s="2" t="s">
        <v>658</v>
      </c>
      <c r="L1632" s="2" t="s">
        <v>3994</v>
      </c>
      <c r="M1632" t="s">
        <v>2108</v>
      </c>
      <c r="N1632" t="s">
        <v>357</v>
      </c>
      <c r="O1632" t="s">
        <v>632</v>
      </c>
      <c r="P1632" t="s">
        <v>4043</v>
      </c>
      <c r="Q1632" t="s">
        <v>2281</v>
      </c>
    </row>
    <row r="1633" spans="1:17">
      <c r="A1633" s="2" t="s">
        <v>308</v>
      </c>
      <c r="B1633" s="2" t="s">
        <v>308</v>
      </c>
      <c r="C1633" s="2" t="s">
        <v>307</v>
      </c>
      <c r="D1633" s="11">
        <v>45989.833333333336</v>
      </c>
      <c r="E1633" s="11">
        <v>45989.833333333336</v>
      </c>
      <c r="F1633" s="11">
        <v>45990.285416666666</v>
      </c>
      <c r="G1633" s="12">
        <v>0.45208333332993789</v>
      </c>
      <c r="H1633" s="2" t="s">
        <v>257</v>
      </c>
      <c r="J1633" s="2" t="s">
        <v>258</v>
      </c>
      <c r="K1633" s="2" t="s">
        <v>658</v>
      </c>
      <c r="L1633" s="2" t="s">
        <v>3994</v>
      </c>
      <c r="M1633" t="s">
        <v>2108</v>
      </c>
      <c r="N1633" t="s">
        <v>357</v>
      </c>
      <c r="O1633" t="s">
        <v>632</v>
      </c>
      <c r="P1633" t="s">
        <v>4044</v>
      </c>
      <c r="Q1633" t="s">
        <v>2281</v>
      </c>
    </row>
    <row r="1634" spans="1:17">
      <c r="A1634" s="2" t="s">
        <v>309</v>
      </c>
      <c r="B1634" s="2" t="s">
        <v>309</v>
      </c>
      <c r="C1634" s="2" t="s">
        <v>310</v>
      </c>
      <c r="D1634" s="11">
        <v>45989.833333333336</v>
      </c>
      <c r="E1634" s="11">
        <v>45989.833333333336</v>
      </c>
      <c r="F1634" s="11">
        <v>45990.285416666666</v>
      </c>
      <c r="G1634" s="12">
        <v>0.45208333332993789</v>
      </c>
      <c r="H1634" s="2" t="s">
        <v>257</v>
      </c>
      <c r="J1634" s="2" t="s">
        <v>258</v>
      </c>
      <c r="K1634" s="2" t="s">
        <v>658</v>
      </c>
      <c r="L1634" s="2" t="s">
        <v>3994</v>
      </c>
      <c r="M1634" t="s">
        <v>2108</v>
      </c>
      <c r="N1634" t="s">
        <v>357</v>
      </c>
      <c r="O1634" t="s">
        <v>632</v>
      </c>
      <c r="P1634" t="s">
        <v>4045</v>
      </c>
      <c r="Q1634" t="s">
        <v>2281</v>
      </c>
    </row>
    <row r="1635" spans="1:17">
      <c r="A1635" s="2" t="s">
        <v>309</v>
      </c>
      <c r="B1635" s="2" t="s">
        <v>309</v>
      </c>
      <c r="C1635" s="2" t="s">
        <v>247</v>
      </c>
      <c r="D1635" s="11">
        <v>45989.833333333336</v>
      </c>
      <c r="E1635" s="11">
        <v>45989.833333333336</v>
      </c>
      <c r="F1635" s="11">
        <v>45990.285416666666</v>
      </c>
      <c r="G1635" s="12">
        <v>0.45208333332993789</v>
      </c>
      <c r="H1635" s="2" t="s">
        <v>257</v>
      </c>
      <c r="J1635" s="2" t="s">
        <v>258</v>
      </c>
      <c r="K1635" s="2" t="s">
        <v>658</v>
      </c>
      <c r="L1635" s="2" t="s">
        <v>3994</v>
      </c>
      <c r="M1635" t="s">
        <v>2108</v>
      </c>
      <c r="N1635" t="s">
        <v>357</v>
      </c>
      <c r="O1635" t="s">
        <v>632</v>
      </c>
      <c r="P1635" t="s">
        <v>4046</v>
      </c>
      <c r="Q1635" t="s">
        <v>2281</v>
      </c>
    </row>
    <row r="1636" spans="1:17">
      <c r="A1636" s="2" t="s">
        <v>805</v>
      </c>
      <c r="B1636" s="2" t="s">
        <v>805</v>
      </c>
      <c r="C1636" s="2" t="s">
        <v>264</v>
      </c>
      <c r="D1636" s="11">
        <v>45990.477777777778</v>
      </c>
      <c r="E1636" s="11">
        <v>45990.477777777778</v>
      </c>
      <c r="F1636" s="11">
        <v>45990.5</v>
      </c>
      <c r="G1636" s="12">
        <v>2.2222222221898846E-2</v>
      </c>
      <c r="H1636" s="2" t="s">
        <v>257</v>
      </c>
      <c r="J1636" s="2" t="s">
        <v>258</v>
      </c>
      <c r="K1636" s="2" t="s">
        <v>658</v>
      </c>
      <c r="L1636" s="2" t="s">
        <v>4047</v>
      </c>
      <c r="M1636" t="s">
        <v>260</v>
      </c>
      <c r="N1636" t="s">
        <v>253</v>
      </c>
      <c r="O1636" t="s">
        <v>2061</v>
      </c>
      <c r="P1636" t="s">
        <v>4048</v>
      </c>
      <c r="Q1636" t="s">
        <v>2281</v>
      </c>
    </row>
    <row r="1637" spans="1:17">
      <c r="A1637" s="2" t="s">
        <v>805</v>
      </c>
      <c r="B1637" s="2" t="s">
        <v>805</v>
      </c>
      <c r="C1637" s="2" t="s">
        <v>256</v>
      </c>
      <c r="D1637" s="11">
        <v>45990.477777777778</v>
      </c>
      <c r="E1637" s="11">
        <v>45990.477777777778</v>
      </c>
      <c r="F1637" s="11">
        <v>45990.5</v>
      </c>
      <c r="G1637" s="12">
        <v>2.2222222221898846E-2</v>
      </c>
      <c r="H1637" s="2" t="s">
        <v>257</v>
      </c>
      <c r="J1637" s="2" t="s">
        <v>258</v>
      </c>
      <c r="K1637" s="2" t="s">
        <v>658</v>
      </c>
      <c r="L1637" s="2" t="s">
        <v>4047</v>
      </c>
      <c r="M1637" t="s">
        <v>260</v>
      </c>
      <c r="N1637" t="s">
        <v>253</v>
      </c>
      <c r="O1637" t="s">
        <v>2061</v>
      </c>
      <c r="P1637" t="s">
        <v>4049</v>
      </c>
      <c r="Q1637" t="s">
        <v>2281</v>
      </c>
    </row>
    <row r="1638" spans="1:17">
      <c r="A1638" s="2" t="s">
        <v>805</v>
      </c>
      <c r="B1638" s="2" t="s">
        <v>805</v>
      </c>
      <c r="C1638" s="2" t="s">
        <v>307</v>
      </c>
      <c r="D1638" s="11">
        <v>45990.477777777778</v>
      </c>
      <c r="E1638" s="11">
        <v>45990.477777777778</v>
      </c>
      <c r="F1638" s="11">
        <v>45990.5</v>
      </c>
      <c r="G1638" s="12">
        <v>2.2222222221898846E-2</v>
      </c>
      <c r="H1638" s="2" t="s">
        <v>257</v>
      </c>
      <c r="J1638" s="2" t="s">
        <v>258</v>
      </c>
      <c r="K1638" s="2" t="s">
        <v>658</v>
      </c>
      <c r="L1638" s="2" t="s">
        <v>4047</v>
      </c>
      <c r="M1638" t="s">
        <v>260</v>
      </c>
      <c r="N1638" t="s">
        <v>253</v>
      </c>
      <c r="O1638" t="s">
        <v>2061</v>
      </c>
      <c r="P1638" t="s">
        <v>4050</v>
      </c>
      <c r="Q1638" t="s">
        <v>2281</v>
      </c>
    </row>
    <row r="1639" spans="1:17">
      <c r="A1639" s="2" t="s">
        <v>805</v>
      </c>
      <c r="B1639" s="2" t="s">
        <v>805</v>
      </c>
      <c r="C1639" s="2" t="s">
        <v>263</v>
      </c>
      <c r="D1639" s="11">
        <v>45990.477777777778</v>
      </c>
      <c r="E1639" s="11">
        <v>45990.477777777778</v>
      </c>
      <c r="F1639" s="11">
        <v>45990.5</v>
      </c>
      <c r="G1639" s="12">
        <v>2.2222222221898846E-2</v>
      </c>
      <c r="H1639" s="2" t="s">
        <v>257</v>
      </c>
      <c r="J1639" s="2" t="s">
        <v>258</v>
      </c>
      <c r="K1639" s="2" t="s">
        <v>658</v>
      </c>
      <c r="L1639" s="2" t="s">
        <v>4047</v>
      </c>
      <c r="M1639" t="s">
        <v>260</v>
      </c>
      <c r="N1639" t="s">
        <v>253</v>
      </c>
      <c r="O1639" t="s">
        <v>2061</v>
      </c>
      <c r="P1639" t="s">
        <v>4051</v>
      </c>
      <c r="Q1639" t="s">
        <v>2281</v>
      </c>
    </row>
    <row r="1640" spans="1:17">
      <c r="A1640" s="2" t="s">
        <v>265</v>
      </c>
      <c r="B1640" s="2" t="s">
        <v>265</v>
      </c>
      <c r="C1640" s="2" t="s">
        <v>263</v>
      </c>
      <c r="D1640" s="11">
        <v>45991.25277777778</v>
      </c>
      <c r="E1640" s="11">
        <v>45991.25277777778</v>
      </c>
      <c r="F1640" s="11">
        <v>45991.388888888891</v>
      </c>
      <c r="G1640" s="12">
        <v>0.13611111111094942</v>
      </c>
      <c r="H1640" s="2" t="s">
        <v>257</v>
      </c>
      <c r="J1640" s="2" t="s">
        <v>258</v>
      </c>
      <c r="K1640" s="2" t="s">
        <v>658</v>
      </c>
      <c r="L1640" s="2" t="s">
        <v>4052</v>
      </c>
      <c r="M1640" t="s">
        <v>260</v>
      </c>
      <c r="N1640" t="s">
        <v>253</v>
      </c>
      <c r="O1640" t="s">
        <v>2061</v>
      </c>
      <c r="P1640" t="s">
        <v>4053</v>
      </c>
      <c r="Q1640" t="s">
        <v>2281</v>
      </c>
    </row>
    <row r="1641" spans="1:17">
      <c r="A1641" s="2" t="s">
        <v>265</v>
      </c>
      <c r="B1641" s="2" t="s">
        <v>265</v>
      </c>
      <c r="C1641" s="2" t="s">
        <v>264</v>
      </c>
      <c r="D1641" s="11">
        <v>45991.25277777778</v>
      </c>
      <c r="E1641" s="11">
        <v>45991.25277777778</v>
      </c>
      <c r="F1641" s="11">
        <v>45991.388888888891</v>
      </c>
      <c r="G1641" s="12">
        <v>0.13611111111094942</v>
      </c>
      <c r="H1641" s="2" t="s">
        <v>257</v>
      </c>
      <c r="J1641" s="2" t="s">
        <v>258</v>
      </c>
      <c r="K1641" s="2" t="s">
        <v>658</v>
      </c>
      <c r="L1641" s="2" t="s">
        <v>4052</v>
      </c>
      <c r="M1641" t="s">
        <v>260</v>
      </c>
      <c r="N1641" t="s">
        <v>253</v>
      </c>
      <c r="O1641" t="s">
        <v>2061</v>
      </c>
      <c r="P1641" t="s">
        <v>4054</v>
      </c>
      <c r="Q1641" t="s">
        <v>2281</v>
      </c>
    </row>
    <row r="1642" spans="1:17">
      <c r="A1642" s="2" t="s">
        <v>265</v>
      </c>
      <c r="B1642" s="2" t="s">
        <v>265</v>
      </c>
      <c r="C1642" s="2" t="s">
        <v>256</v>
      </c>
      <c r="D1642" s="11">
        <v>45991.25277777778</v>
      </c>
      <c r="E1642" s="11">
        <v>45991.25277777778</v>
      </c>
      <c r="F1642" s="11">
        <v>45991.388888888891</v>
      </c>
      <c r="G1642" s="12">
        <v>0.13611111111094942</v>
      </c>
      <c r="H1642" s="2" t="s">
        <v>257</v>
      </c>
      <c r="J1642" s="2" t="s">
        <v>258</v>
      </c>
      <c r="K1642" s="2" t="s">
        <v>658</v>
      </c>
      <c r="L1642" s="2" t="s">
        <v>4052</v>
      </c>
      <c r="M1642" t="s">
        <v>260</v>
      </c>
      <c r="N1642" t="s">
        <v>253</v>
      </c>
      <c r="O1642" t="s">
        <v>2061</v>
      </c>
      <c r="P1642" t="s">
        <v>4055</v>
      </c>
      <c r="Q1642" t="s">
        <v>2281</v>
      </c>
    </row>
    <row r="1643" spans="1:17">
      <c r="A1643" s="2" t="s">
        <v>265</v>
      </c>
      <c r="B1643" s="2" t="s">
        <v>265</v>
      </c>
      <c r="C1643" s="2" t="s">
        <v>247</v>
      </c>
      <c r="D1643" s="11">
        <v>45991.25277777778</v>
      </c>
      <c r="E1643" s="11">
        <v>45991.25277777778</v>
      </c>
      <c r="F1643" s="11">
        <v>45991.388888888891</v>
      </c>
      <c r="G1643" s="12">
        <v>0.13611111111094942</v>
      </c>
      <c r="H1643" s="2" t="s">
        <v>257</v>
      </c>
      <c r="J1643" s="2" t="s">
        <v>258</v>
      </c>
      <c r="K1643" s="2" t="s">
        <v>658</v>
      </c>
      <c r="L1643" s="2" t="s">
        <v>4052</v>
      </c>
      <c r="M1643" t="s">
        <v>260</v>
      </c>
      <c r="N1643" t="s">
        <v>253</v>
      </c>
      <c r="O1643" t="s">
        <v>2061</v>
      </c>
      <c r="P1643" t="s">
        <v>4056</v>
      </c>
      <c r="Q1643" t="s">
        <v>2281</v>
      </c>
    </row>
    <row r="1644" spans="1:17">
      <c r="A1644" s="2" t="s">
        <v>305</v>
      </c>
      <c r="B1644" s="2" t="s">
        <v>305</v>
      </c>
      <c r="C1644" s="2" t="s">
        <v>256</v>
      </c>
      <c r="D1644" s="11">
        <v>45991.435416666667</v>
      </c>
      <c r="E1644" s="11">
        <v>45991.435416666667</v>
      </c>
      <c r="F1644" s="11">
        <v>45991.465277777781</v>
      </c>
      <c r="G1644" s="12">
        <v>2.9861111113859806E-2</v>
      </c>
      <c r="H1644" s="2" t="s">
        <v>268</v>
      </c>
      <c r="I1644" s="2" t="s">
        <v>269</v>
      </c>
      <c r="J1644" s="2" t="s">
        <v>319</v>
      </c>
      <c r="K1644" s="2" t="s">
        <v>652</v>
      </c>
      <c r="L1644" s="2" t="s">
        <v>4057</v>
      </c>
      <c r="M1644" t="s">
        <v>289</v>
      </c>
      <c r="N1644" t="s">
        <v>253</v>
      </c>
      <c r="O1644" t="s">
        <v>4058</v>
      </c>
      <c r="P1644" t="s">
        <v>4059</v>
      </c>
      <c r="Q1644" t="s">
        <v>2713</v>
      </c>
    </row>
    <row r="1645" spans="1:17">
      <c r="A1645" s="2" t="s">
        <v>305</v>
      </c>
      <c r="B1645" s="2" t="s">
        <v>305</v>
      </c>
      <c r="C1645" s="2" t="s">
        <v>264</v>
      </c>
      <c r="D1645" s="11">
        <v>45991.435416666667</v>
      </c>
      <c r="E1645" s="11">
        <v>45991.435416666667</v>
      </c>
      <c r="F1645" s="11">
        <v>45991.465277777781</v>
      </c>
      <c r="G1645" s="12">
        <v>2.9861111113859806E-2</v>
      </c>
      <c r="H1645" s="2" t="s">
        <v>268</v>
      </c>
      <c r="I1645" s="2" t="s">
        <v>269</v>
      </c>
      <c r="J1645" s="2" t="s">
        <v>319</v>
      </c>
      <c r="K1645" s="2" t="s">
        <v>652</v>
      </c>
      <c r="L1645" s="2" t="s">
        <v>4057</v>
      </c>
      <c r="M1645" t="s">
        <v>289</v>
      </c>
      <c r="N1645" t="s">
        <v>253</v>
      </c>
      <c r="O1645" t="s">
        <v>4058</v>
      </c>
      <c r="P1645" t="s">
        <v>4060</v>
      </c>
      <c r="Q1645" t="s">
        <v>2713</v>
      </c>
    </row>
    <row r="1646" spans="1:17">
      <c r="A1646" s="2" t="s">
        <v>305</v>
      </c>
      <c r="B1646" s="2" t="s">
        <v>305</v>
      </c>
      <c r="C1646" s="2" t="s">
        <v>263</v>
      </c>
      <c r="D1646" s="11">
        <v>45991.435416666667</v>
      </c>
      <c r="E1646" s="11">
        <v>45991.435416666667</v>
      </c>
      <c r="F1646" s="11">
        <v>45991.465277777781</v>
      </c>
      <c r="G1646" s="12">
        <v>2.9861111113859806E-2</v>
      </c>
      <c r="H1646" s="2" t="s">
        <v>268</v>
      </c>
      <c r="I1646" s="2" t="s">
        <v>269</v>
      </c>
      <c r="J1646" s="2" t="s">
        <v>319</v>
      </c>
      <c r="K1646" s="2" t="s">
        <v>652</v>
      </c>
      <c r="L1646" s="2" t="s">
        <v>4057</v>
      </c>
      <c r="M1646" t="s">
        <v>289</v>
      </c>
      <c r="N1646" t="s">
        <v>253</v>
      </c>
      <c r="O1646" t="s">
        <v>4058</v>
      </c>
      <c r="P1646" t="s">
        <v>4061</v>
      </c>
      <c r="Q1646" t="s">
        <v>2713</v>
      </c>
    </row>
    <row r="1647" spans="1:17">
      <c r="A1647" s="2" t="s">
        <v>305</v>
      </c>
      <c r="B1647" s="2" t="s">
        <v>305</v>
      </c>
      <c r="C1647" s="2" t="s">
        <v>307</v>
      </c>
      <c r="D1647" s="11">
        <v>45991.435416666667</v>
      </c>
      <c r="E1647" s="11">
        <v>45991.435416666667</v>
      </c>
      <c r="F1647" s="11">
        <v>45991.465277777781</v>
      </c>
      <c r="G1647" s="12">
        <v>2.9861111113859806E-2</v>
      </c>
      <c r="H1647" s="2" t="s">
        <v>268</v>
      </c>
      <c r="I1647" s="2" t="s">
        <v>269</v>
      </c>
      <c r="J1647" s="2" t="s">
        <v>319</v>
      </c>
      <c r="K1647" s="2" t="s">
        <v>652</v>
      </c>
      <c r="L1647" s="2" t="s">
        <v>4057</v>
      </c>
      <c r="M1647" t="s">
        <v>289</v>
      </c>
      <c r="N1647" t="s">
        <v>253</v>
      </c>
      <c r="O1647" t="s">
        <v>4058</v>
      </c>
      <c r="P1647" t="s">
        <v>4062</v>
      </c>
      <c r="Q1647" t="s">
        <v>2713</v>
      </c>
    </row>
    <row r="1648" spans="1:17">
      <c r="A1648" s="2" t="s">
        <v>308</v>
      </c>
      <c r="B1648" s="2" t="s">
        <v>308</v>
      </c>
      <c r="C1648" s="2" t="s">
        <v>256</v>
      </c>
      <c r="D1648" s="11">
        <v>45991.435416666667</v>
      </c>
      <c r="E1648" s="11">
        <v>45991.435416666667</v>
      </c>
      <c r="F1648" s="11">
        <v>45991.465277777781</v>
      </c>
      <c r="G1648" s="12">
        <v>2.9861111113859806E-2</v>
      </c>
      <c r="H1648" s="2" t="s">
        <v>268</v>
      </c>
      <c r="I1648" s="2" t="s">
        <v>269</v>
      </c>
      <c r="J1648" s="2" t="s">
        <v>319</v>
      </c>
      <c r="K1648" s="2" t="s">
        <v>652</v>
      </c>
      <c r="L1648" s="2" t="s">
        <v>4057</v>
      </c>
      <c r="M1648" t="s">
        <v>289</v>
      </c>
      <c r="N1648" t="s">
        <v>253</v>
      </c>
      <c r="O1648" t="s">
        <v>4058</v>
      </c>
      <c r="P1648" t="s">
        <v>4063</v>
      </c>
      <c r="Q1648" t="s">
        <v>2713</v>
      </c>
    </row>
    <row r="1649" spans="1:17">
      <c r="A1649" s="2" t="s">
        <v>308</v>
      </c>
      <c r="B1649" s="2" t="s">
        <v>308</v>
      </c>
      <c r="C1649" s="2" t="s">
        <v>264</v>
      </c>
      <c r="D1649" s="11">
        <v>45991.435416666667</v>
      </c>
      <c r="E1649" s="11">
        <v>45991.435416666667</v>
      </c>
      <c r="F1649" s="11">
        <v>45991.465277777781</v>
      </c>
      <c r="G1649" s="12">
        <v>2.9861111113859806E-2</v>
      </c>
      <c r="H1649" s="2" t="s">
        <v>268</v>
      </c>
      <c r="I1649" s="2" t="s">
        <v>269</v>
      </c>
      <c r="J1649" s="2" t="s">
        <v>319</v>
      </c>
      <c r="K1649" s="2" t="s">
        <v>652</v>
      </c>
      <c r="L1649" s="2" t="s">
        <v>4057</v>
      </c>
      <c r="M1649" t="s">
        <v>289</v>
      </c>
      <c r="N1649" t="s">
        <v>253</v>
      </c>
      <c r="O1649" t="s">
        <v>4058</v>
      </c>
      <c r="P1649" t="s">
        <v>4064</v>
      </c>
      <c r="Q1649" t="s">
        <v>2713</v>
      </c>
    </row>
    <row r="1650" spans="1:17">
      <c r="A1650" s="2" t="s">
        <v>308</v>
      </c>
      <c r="B1650" s="2" t="s">
        <v>308</v>
      </c>
      <c r="C1650" s="2" t="s">
        <v>263</v>
      </c>
      <c r="D1650" s="11">
        <v>45991.435416666667</v>
      </c>
      <c r="E1650" s="11">
        <v>45991.435416666667</v>
      </c>
      <c r="F1650" s="11">
        <v>45991.465277777781</v>
      </c>
      <c r="G1650" s="12">
        <v>2.9861111113859806E-2</v>
      </c>
      <c r="H1650" s="2" t="s">
        <v>268</v>
      </c>
      <c r="I1650" s="2" t="s">
        <v>269</v>
      </c>
      <c r="J1650" s="2" t="s">
        <v>319</v>
      </c>
      <c r="K1650" s="2" t="s">
        <v>652</v>
      </c>
      <c r="L1650" s="2" t="s">
        <v>4057</v>
      </c>
      <c r="M1650" t="s">
        <v>289</v>
      </c>
      <c r="N1650" t="s">
        <v>253</v>
      </c>
      <c r="O1650" t="s">
        <v>4058</v>
      </c>
      <c r="P1650" t="s">
        <v>4065</v>
      </c>
      <c r="Q1650" t="s">
        <v>2713</v>
      </c>
    </row>
    <row r="1651" spans="1:17">
      <c r="A1651" s="2" t="s">
        <v>308</v>
      </c>
      <c r="B1651" s="2" t="s">
        <v>308</v>
      </c>
      <c r="C1651" s="2" t="s">
        <v>307</v>
      </c>
      <c r="D1651" s="11">
        <v>45991.435416666667</v>
      </c>
      <c r="E1651" s="11">
        <v>45991.435416666667</v>
      </c>
      <c r="F1651" s="11">
        <v>45991.465277777781</v>
      </c>
      <c r="G1651" s="12">
        <v>2.9861111113859806E-2</v>
      </c>
      <c r="H1651" s="2" t="s">
        <v>268</v>
      </c>
      <c r="I1651" s="2" t="s">
        <v>269</v>
      </c>
      <c r="J1651" s="2" t="s">
        <v>319</v>
      </c>
      <c r="K1651" s="2" t="s">
        <v>652</v>
      </c>
      <c r="L1651" s="2" t="s">
        <v>4057</v>
      </c>
      <c r="M1651" t="s">
        <v>289</v>
      </c>
      <c r="N1651" t="s">
        <v>253</v>
      </c>
      <c r="O1651" t="s">
        <v>4058</v>
      </c>
      <c r="P1651" t="s">
        <v>4066</v>
      </c>
      <c r="Q1651" t="s">
        <v>2713</v>
      </c>
    </row>
    <row r="1652" spans="1:17">
      <c r="A1652" s="2" t="s">
        <v>309</v>
      </c>
      <c r="B1652" s="2" t="s">
        <v>309</v>
      </c>
      <c r="C1652" s="2" t="s">
        <v>310</v>
      </c>
      <c r="D1652" s="11">
        <v>45991.435416666667</v>
      </c>
      <c r="E1652" s="11">
        <v>45991.435416666667</v>
      </c>
      <c r="F1652" s="11">
        <v>45991.465277777781</v>
      </c>
      <c r="G1652" s="12">
        <v>2.9861111113859806E-2</v>
      </c>
      <c r="H1652" s="2" t="s">
        <v>268</v>
      </c>
      <c r="I1652" s="2" t="s">
        <v>269</v>
      </c>
      <c r="J1652" s="2" t="s">
        <v>319</v>
      </c>
      <c r="K1652" s="2" t="s">
        <v>652</v>
      </c>
      <c r="L1652" s="2" t="s">
        <v>4057</v>
      </c>
      <c r="M1652" t="s">
        <v>289</v>
      </c>
      <c r="N1652" t="s">
        <v>253</v>
      </c>
      <c r="O1652" t="s">
        <v>4058</v>
      </c>
      <c r="P1652" t="s">
        <v>4067</v>
      </c>
      <c r="Q1652" t="s">
        <v>2713</v>
      </c>
    </row>
    <row r="1653" spans="1:17">
      <c r="A1653" s="2" t="s">
        <v>309</v>
      </c>
      <c r="B1653" s="2" t="s">
        <v>309</v>
      </c>
      <c r="C1653" s="2" t="s">
        <v>247</v>
      </c>
      <c r="D1653" s="11">
        <v>45991.435416666667</v>
      </c>
      <c r="E1653" s="11">
        <v>45991.435416666667</v>
      </c>
      <c r="F1653" s="11">
        <v>45991.465277777781</v>
      </c>
      <c r="G1653" s="12">
        <v>2.9861111113859806E-2</v>
      </c>
      <c r="H1653" s="2" t="s">
        <v>268</v>
      </c>
      <c r="I1653" s="2" t="s">
        <v>269</v>
      </c>
      <c r="J1653" s="2" t="s">
        <v>319</v>
      </c>
      <c r="K1653" s="2" t="s">
        <v>652</v>
      </c>
      <c r="L1653" s="2" t="s">
        <v>4057</v>
      </c>
      <c r="M1653" t="s">
        <v>289</v>
      </c>
      <c r="N1653" t="s">
        <v>253</v>
      </c>
      <c r="O1653" t="s">
        <v>4058</v>
      </c>
      <c r="P1653" t="s">
        <v>4068</v>
      </c>
      <c r="Q1653" t="s">
        <v>2713</v>
      </c>
    </row>
    <row r="1654" spans="1:17">
      <c r="A1654" s="2" t="s">
        <v>311</v>
      </c>
      <c r="B1654" s="2" t="s">
        <v>311</v>
      </c>
      <c r="C1654" s="2" t="s">
        <v>264</v>
      </c>
      <c r="D1654" s="11">
        <v>45991.435416666667</v>
      </c>
      <c r="E1654" s="11">
        <v>45991.435416666667</v>
      </c>
      <c r="F1654" s="11">
        <v>45991.465277777781</v>
      </c>
      <c r="G1654" s="12">
        <v>2.9861111113859806E-2</v>
      </c>
      <c r="H1654" s="2" t="s">
        <v>268</v>
      </c>
      <c r="I1654" s="2" t="s">
        <v>269</v>
      </c>
      <c r="J1654" s="2" t="s">
        <v>319</v>
      </c>
      <c r="K1654" s="2" t="s">
        <v>652</v>
      </c>
      <c r="L1654" s="2" t="s">
        <v>4057</v>
      </c>
      <c r="M1654" t="s">
        <v>289</v>
      </c>
      <c r="N1654" t="s">
        <v>253</v>
      </c>
      <c r="O1654" t="s">
        <v>4058</v>
      </c>
      <c r="P1654" t="s">
        <v>4069</v>
      </c>
      <c r="Q1654" t="s">
        <v>2713</v>
      </c>
    </row>
    <row r="1655" spans="1:17">
      <c r="A1655" s="2" t="s">
        <v>311</v>
      </c>
      <c r="B1655" s="2" t="s">
        <v>311</v>
      </c>
      <c r="C1655" s="2" t="s">
        <v>256</v>
      </c>
      <c r="D1655" s="11">
        <v>45991.435416666667</v>
      </c>
      <c r="E1655" s="11">
        <v>45991.435416666667</v>
      </c>
      <c r="F1655" s="11">
        <v>45991.465277777781</v>
      </c>
      <c r="G1655" s="12">
        <v>2.9861111113859806E-2</v>
      </c>
      <c r="H1655" s="2" t="s">
        <v>268</v>
      </c>
      <c r="I1655" s="2" t="s">
        <v>269</v>
      </c>
      <c r="J1655" s="2" t="s">
        <v>319</v>
      </c>
      <c r="K1655" s="2" t="s">
        <v>652</v>
      </c>
      <c r="L1655" s="2" t="s">
        <v>4057</v>
      </c>
      <c r="M1655" t="s">
        <v>289</v>
      </c>
      <c r="N1655" t="s">
        <v>253</v>
      </c>
      <c r="O1655" t="s">
        <v>4058</v>
      </c>
      <c r="P1655" t="s">
        <v>4070</v>
      </c>
      <c r="Q1655" t="s">
        <v>2713</v>
      </c>
    </row>
    <row r="1656" spans="1:17">
      <c r="A1656" s="2" t="s">
        <v>311</v>
      </c>
      <c r="B1656" s="2" t="s">
        <v>311</v>
      </c>
      <c r="C1656" s="2" t="s">
        <v>307</v>
      </c>
      <c r="D1656" s="11">
        <v>45991.435416666667</v>
      </c>
      <c r="E1656" s="11">
        <v>45991.435416666667</v>
      </c>
      <c r="F1656" s="11">
        <v>45991.465277777781</v>
      </c>
      <c r="G1656" s="12">
        <v>2.9861111113859806E-2</v>
      </c>
      <c r="H1656" s="2" t="s">
        <v>268</v>
      </c>
      <c r="I1656" s="2" t="s">
        <v>269</v>
      </c>
      <c r="J1656" s="2" t="s">
        <v>319</v>
      </c>
      <c r="K1656" s="2" t="s">
        <v>652</v>
      </c>
      <c r="L1656" s="2" t="s">
        <v>4057</v>
      </c>
      <c r="M1656" t="s">
        <v>289</v>
      </c>
      <c r="N1656" t="s">
        <v>253</v>
      </c>
      <c r="O1656" t="s">
        <v>4058</v>
      </c>
      <c r="P1656" t="s">
        <v>4071</v>
      </c>
      <c r="Q1656" t="s">
        <v>2713</v>
      </c>
    </row>
    <row r="1657" spans="1:17">
      <c r="A1657" s="2" t="s">
        <v>311</v>
      </c>
      <c r="B1657" s="2" t="s">
        <v>311</v>
      </c>
      <c r="C1657" s="2" t="s">
        <v>263</v>
      </c>
      <c r="D1657" s="11">
        <v>45991.435416666667</v>
      </c>
      <c r="E1657" s="11">
        <v>45991.435416666667</v>
      </c>
      <c r="F1657" s="11">
        <v>45991.465277777781</v>
      </c>
      <c r="G1657" s="12">
        <v>2.9861111113859806E-2</v>
      </c>
      <c r="H1657" s="2" t="s">
        <v>268</v>
      </c>
      <c r="I1657" s="2" t="s">
        <v>269</v>
      </c>
      <c r="J1657" s="2" t="s">
        <v>319</v>
      </c>
      <c r="K1657" s="2" t="s">
        <v>652</v>
      </c>
      <c r="L1657" s="2" t="s">
        <v>4057</v>
      </c>
      <c r="M1657" t="s">
        <v>289</v>
      </c>
      <c r="N1657" t="s">
        <v>253</v>
      </c>
      <c r="O1657" t="s">
        <v>4058</v>
      </c>
      <c r="P1657" t="s">
        <v>4072</v>
      </c>
      <c r="Q1657" t="s">
        <v>2713</v>
      </c>
    </row>
    <row r="1658" spans="1:17">
      <c r="A1658" s="2" t="s">
        <v>312</v>
      </c>
      <c r="B1658" s="2" t="s">
        <v>312</v>
      </c>
      <c r="C1658" s="2" t="s">
        <v>307</v>
      </c>
      <c r="D1658" s="11">
        <v>45991.435416666667</v>
      </c>
      <c r="E1658" s="11">
        <v>45991.435416666667</v>
      </c>
      <c r="F1658" s="11">
        <v>45991.465277777781</v>
      </c>
      <c r="G1658" s="12">
        <v>2.9861111113859806E-2</v>
      </c>
      <c r="H1658" s="2" t="s">
        <v>268</v>
      </c>
      <c r="I1658" s="2" t="s">
        <v>269</v>
      </c>
      <c r="J1658" s="2" t="s">
        <v>319</v>
      </c>
      <c r="K1658" s="2" t="s">
        <v>652</v>
      </c>
      <c r="L1658" s="2" t="s">
        <v>4057</v>
      </c>
      <c r="M1658" t="s">
        <v>289</v>
      </c>
      <c r="N1658" t="s">
        <v>253</v>
      </c>
      <c r="O1658" t="s">
        <v>4058</v>
      </c>
      <c r="P1658" t="s">
        <v>4073</v>
      </c>
      <c r="Q1658" t="s">
        <v>2713</v>
      </c>
    </row>
    <row r="1659" spans="1:17">
      <c r="A1659" s="2" t="s">
        <v>312</v>
      </c>
      <c r="B1659" s="2" t="s">
        <v>312</v>
      </c>
      <c r="C1659" s="2" t="s">
        <v>264</v>
      </c>
      <c r="D1659" s="11">
        <v>45991.435416666667</v>
      </c>
      <c r="E1659" s="11">
        <v>45991.435416666667</v>
      </c>
      <c r="F1659" s="11">
        <v>45991.465277777781</v>
      </c>
      <c r="G1659" s="12">
        <v>2.9861111113859806E-2</v>
      </c>
      <c r="H1659" s="2" t="s">
        <v>268</v>
      </c>
      <c r="I1659" s="2" t="s">
        <v>269</v>
      </c>
      <c r="J1659" s="2" t="s">
        <v>319</v>
      </c>
      <c r="K1659" s="2" t="s">
        <v>652</v>
      </c>
      <c r="L1659" s="2" t="s">
        <v>4057</v>
      </c>
      <c r="M1659" t="s">
        <v>289</v>
      </c>
      <c r="N1659" t="s">
        <v>253</v>
      </c>
      <c r="O1659" t="s">
        <v>4058</v>
      </c>
      <c r="P1659" t="s">
        <v>4074</v>
      </c>
      <c r="Q1659" t="s">
        <v>2713</v>
      </c>
    </row>
    <row r="1660" spans="1:17">
      <c r="A1660" s="2" t="s">
        <v>312</v>
      </c>
      <c r="B1660" s="2" t="s">
        <v>312</v>
      </c>
      <c r="C1660" s="2" t="s">
        <v>263</v>
      </c>
      <c r="D1660" s="11">
        <v>45991.435416666667</v>
      </c>
      <c r="E1660" s="11">
        <v>45991.435416666667</v>
      </c>
      <c r="F1660" s="11">
        <v>45991.465277777781</v>
      </c>
      <c r="G1660" s="12">
        <v>2.9861111113859806E-2</v>
      </c>
      <c r="H1660" s="2" t="s">
        <v>268</v>
      </c>
      <c r="I1660" s="2" t="s">
        <v>269</v>
      </c>
      <c r="J1660" s="2" t="s">
        <v>319</v>
      </c>
      <c r="K1660" s="2" t="s">
        <v>652</v>
      </c>
      <c r="L1660" s="2" t="s">
        <v>4057</v>
      </c>
      <c r="M1660" t="s">
        <v>289</v>
      </c>
      <c r="N1660" t="s">
        <v>253</v>
      </c>
      <c r="O1660" t="s">
        <v>4058</v>
      </c>
      <c r="P1660" t="s">
        <v>4075</v>
      </c>
      <c r="Q1660" t="s">
        <v>2713</v>
      </c>
    </row>
    <row r="1661" spans="1:17">
      <c r="A1661" s="2" t="s">
        <v>312</v>
      </c>
      <c r="B1661" s="2" t="s">
        <v>312</v>
      </c>
      <c r="C1661" s="2" t="s">
        <v>256</v>
      </c>
      <c r="D1661" s="11">
        <v>45991.435416666667</v>
      </c>
      <c r="E1661" s="11">
        <v>45991.435416666667</v>
      </c>
      <c r="F1661" s="11">
        <v>45991.465277777781</v>
      </c>
      <c r="G1661" s="12">
        <v>2.9861111113859806E-2</v>
      </c>
      <c r="H1661" s="2" t="s">
        <v>268</v>
      </c>
      <c r="I1661" s="2" t="s">
        <v>269</v>
      </c>
      <c r="J1661" s="2" t="s">
        <v>319</v>
      </c>
      <c r="K1661" s="2" t="s">
        <v>652</v>
      </c>
      <c r="L1661" s="2" t="s">
        <v>4057</v>
      </c>
      <c r="M1661" t="s">
        <v>289</v>
      </c>
      <c r="N1661" t="s">
        <v>253</v>
      </c>
      <c r="O1661" t="s">
        <v>4058</v>
      </c>
      <c r="P1661" t="s">
        <v>4076</v>
      </c>
      <c r="Q1661" t="s">
        <v>2713</v>
      </c>
    </row>
    <row r="1662" spans="1:17">
      <c r="A1662" s="2" t="s">
        <v>313</v>
      </c>
      <c r="B1662" s="2" t="s">
        <v>313</v>
      </c>
      <c r="C1662" s="2" t="s">
        <v>256</v>
      </c>
      <c r="D1662" s="11">
        <v>45991.435416666667</v>
      </c>
      <c r="E1662" s="11">
        <v>45991.435416666667</v>
      </c>
      <c r="F1662" s="11">
        <v>45991.465277777781</v>
      </c>
      <c r="G1662" s="12">
        <v>2.9861111113859806E-2</v>
      </c>
      <c r="H1662" s="2" t="s">
        <v>268</v>
      </c>
      <c r="I1662" s="2" t="s">
        <v>269</v>
      </c>
      <c r="J1662" s="2" t="s">
        <v>319</v>
      </c>
      <c r="K1662" s="2" t="s">
        <v>652</v>
      </c>
      <c r="L1662" s="2" t="s">
        <v>4057</v>
      </c>
      <c r="M1662" t="s">
        <v>289</v>
      </c>
      <c r="N1662" t="s">
        <v>253</v>
      </c>
      <c r="O1662" t="s">
        <v>4058</v>
      </c>
      <c r="P1662" t="s">
        <v>4077</v>
      </c>
      <c r="Q1662" t="s">
        <v>2713</v>
      </c>
    </row>
    <row r="1663" spans="1:17">
      <c r="A1663" s="2" t="s">
        <v>313</v>
      </c>
      <c r="B1663" s="2" t="s">
        <v>313</v>
      </c>
      <c r="C1663" s="2" t="s">
        <v>264</v>
      </c>
      <c r="D1663" s="11">
        <v>45991.435416666667</v>
      </c>
      <c r="E1663" s="11">
        <v>45991.435416666667</v>
      </c>
      <c r="F1663" s="11">
        <v>45991.465277777781</v>
      </c>
      <c r="G1663" s="12">
        <v>2.9861111113859806E-2</v>
      </c>
      <c r="H1663" s="2" t="s">
        <v>268</v>
      </c>
      <c r="I1663" s="2" t="s">
        <v>269</v>
      </c>
      <c r="J1663" s="2" t="s">
        <v>319</v>
      </c>
      <c r="K1663" s="2" t="s">
        <v>652</v>
      </c>
      <c r="L1663" s="2" t="s">
        <v>4057</v>
      </c>
      <c r="M1663" t="s">
        <v>289</v>
      </c>
      <c r="N1663" t="s">
        <v>253</v>
      </c>
      <c r="O1663" t="s">
        <v>4058</v>
      </c>
      <c r="P1663" t="s">
        <v>4078</v>
      </c>
      <c r="Q1663" t="s">
        <v>2713</v>
      </c>
    </row>
    <row r="1664" spans="1:17">
      <c r="A1664" s="2" t="s">
        <v>331</v>
      </c>
      <c r="B1664" s="2" t="s">
        <v>331</v>
      </c>
      <c r="C1664" s="2" t="s">
        <v>332</v>
      </c>
      <c r="D1664" s="11">
        <v>45991.660416666666</v>
      </c>
      <c r="E1664" s="11">
        <v>45991.660416666666</v>
      </c>
      <c r="F1664" s="11">
        <v>45991.663194444445</v>
      </c>
      <c r="G1664" s="12">
        <v>2.7777777795563452E-3</v>
      </c>
      <c r="H1664" s="2" t="s">
        <v>257</v>
      </c>
      <c r="J1664" s="2" t="s">
        <v>371</v>
      </c>
      <c r="K1664" s="2" t="s">
        <v>653</v>
      </c>
      <c r="L1664" s="2" t="s">
        <v>2042</v>
      </c>
      <c r="M1664" t="s">
        <v>252</v>
      </c>
      <c r="N1664" t="s">
        <v>631</v>
      </c>
      <c r="O1664" t="s">
        <v>631</v>
      </c>
      <c r="P1664" t="s">
        <v>4079</v>
      </c>
      <c r="Q1664" t="s">
        <v>2537</v>
      </c>
    </row>
    <row r="1665" spans="1:17">
      <c r="A1665" s="2" t="s">
        <v>2113</v>
      </c>
      <c r="B1665" s="2" t="s">
        <v>358</v>
      </c>
      <c r="C1665" s="2" t="s">
        <v>560</v>
      </c>
      <c r="D1665" s="11" t="s">
        <v>4080</v>
      </c>
      <c r="E1665" s="11" t="s">
        <v>4080</v>
      </c>
      <c r="F1665" s="11" t="s">
        <v>4081</v>
      </c>
      <c r="G1665" s="12">
        <v>2.0717592633445747E-3</v>
      </c>
      <c r="H1665" s="2" t="s">
        <v>257</v>
      </c>
      <c r="J1665" s="2" t="s">
        <v>371</v>
      </c>
      <c r="K1665" s="2" t="s">
        <v>653</v>
      </c>
      <c r="L1665" s="2" t="s">
        <v>4082</v>
      </c>
      <c r="M1665" t="s">
        <v>252</v>
      </c>
      <c r="N1665" t="s">
        <v>631</v>
      </c>
      <c r="O1665" t="s">
        <v>631</v>
      </c>
      <c r="P1665" t="s">
        <v>4083</v>
      </c>
      <c r="Q1665" t="s">
        <v>2537</v>
      </c>
    </row>
    <row r="1666" spans="1:17">
      <c r="A1666" s="2" t="s">
        <v>2113</v>
      </c>
      <c r="B1666" s="2" t="s">
        <v>358</v>
      </c>
      <c r="C1666" s="2" t="s">
        <v>560</v>
      </c>
      <c r="D1666" s="11" t="s">
        <v>4084</v>
      </c>
      <c r="E1666" s="11" t="s">
        <v>4084</v>
      </c>
      <c r="F1666" s="11" t="s">
        <v>4085</v>
      </c>
      <c r="G1666" s="12">
        <v>3.0439814800047316E-3</v>
      </c>
      <c r="H1666" s="2" t="s">
        <v>257</v>
      </c>
      <c r="J1666" s="2" t="s">
        <v>371</v>
      </c>
      <c r="K1666" s="2" t="s">
        <v>653</v>
      </c>
      <c r="L1666" s="2" t="s">
        <v>4082</v>
      </c>
      <c r="M1666" t="s">
        <v>252</v>
      </c>
      <c r="N1666" t="s">
        <v>631</v>
      </c>
      <c r="O1666" t="s">
        <v>631</v>
      </c>
      <c r="P1666" t="s">
        <v>4086</v>
      </c>
      <c r="Q1666" t="s">
        <v>2537</v>
      </c>
    </row>
    <row r="1667" spans="1:17">
      <c r="A1667" s="2" t="s">
        <v>2196</v>
      </c>
      <c r="B1667" s="2" t="s">
        <v>358</v>
      </c>
      <c r="C1667" s="2" t="s">
        <v>554</v>
      </c>
      <c r="D1667" s="11" t="s">
        <v>4087</v>
      </c>
      <c r="E1667" s="11" t="s">
        <v>4087</v>
      </c>
      <c r="F1667" s="11" t="s">
        <v>4088</v>
      </c>
      <c r="G1667" s="12">
        <v>2.0370370402815752E-3</v>
      </c>
      <c r="H1667" s="2" t="s">
        <v>257</v>
      </c>
      <c r="J1667" s="2" t="s">
        <v>371</v>
      </c>
      <c r="K1667" s="2" t="s">
        <v>653</v>
      </c>
      <c r="L1667" s="2" t="s">
        <v>1944</v>
      </c>
      <c r="M1667" t="s">
        <v>252</v>
      </c>
      <c r="N1667" t="s">
        <v>631</v>
      </c>
      <c r="O1667" t="s">
        <v>631</v>
      </c>
      <c r="P1667" t="s">
        <v>4089</v>
      </c>
      <c r="Q1667" t="s">
        <v>2537</v>
      </c>
    </row>
    <row r="1668" spans="1:17">
      <c r="A1668" s="2" t="s">
        <v>2196</v>
      </c>
      <c r="B1668" s="2" t="s">
        <v>358</v>
      </c>
      <c r="C1668" s="2" t="s">
        <v>554</v>
      </c>
      <c r="D1668" s="11" t="s">
        <v>4090</v>
      </c>
      <c r="E1668" s="11" t="s">
        <v>4090</v>
      </c>
      <c r="F1668" s="11" t="s">
        <v>4091</v>
      </c>
      <c r="G1668" s="12">
        <v>2.0717592560686171E-3</v>
      </c>
      <c r="H1668" s="2" t="s">
        <v>257</v>
      </c>
      <c r="J1668" s="2" t="s">
        <v>371</v>
      </c>
      <c r="K1668" s="2" t="s">
        <v>653</v>
      </c>
      <c r="L1668" s="2" t="s">
        <v>1944</v>
      </c>
      <c r="M1668" t="s">
        <v>252</v>
      </c>
      <c r="N1668" t="s">
        <v>631</v>
      </c>
      <c r="O1668" t="s">
        <v>631</v>
      </c>
      <c r="P1668" t="s">
        <v>4092</v>
      </c>
      <c r="Q1668" t="s">
        <v>2537</v>
      </c>
    </row>
    <row r="1669" spans="1:17">
      <c r="A1669" s="2" t="s">
        <v>2196</v>
      </c>
      <c r="B1669" s="2" t="s">
        <v>358</v>
      </c>
      <c r="C1669" s="2" t="s">
        <v>554</v>
      </c>
      <c r="D1669" s="11" t="s">
        <v>4093</v>
      </c>
      <c r="E1669" s="11" t="s">
        <v>4093</v>
      </c>
      <c r="F1669" s="11" t="s">
        <v>4094</v>
      </c>
      <c r="G1669" s="12">
        <v>2.0949074096279219E-3</v>
      </c>
      <c r="H1669" s="2" t="s">
        <v>257</v>
      </c>
      <c r="J1669" s="2" t="s">
        <v>371</v>
      </c>
      <c r="K1669" s="2" t="s">
        <v>653</v>
      </c>
      <c r="L1669" s="2" t="s">
        <v>1944</v>
      </c>
      <c r="M1669" t="s">
        <v>252</v>
      </c>
      <c r="N1669" t="s">
        <v>631</v>
      </c>
      <c r="O1669" t="s">
        <v>631</v>
      </c>
      <c r="P1669" t="s">
        <v>4095</v>
      </c>
      <c r="Q1669" t="s">
        <v>2537</v>
      </c>
    </row>
    <row r="1670" spans="1:17">
      <c r="A1670" s="2" t="s">
        <v>2196</v>
      </c>
      <c r="B1670" s="2" t="s">
        <v>358</v>
      </c>
      <c r="C1670" s="2" t="s">
        <v>554</v>
      </c>
      <c r="D1670" s="11" t="s">
        <v>4096</v>
      </c>
      <c r="E1670" s="11" t="s">
        <v>4096</v>
      </c>
      <c r="F1670" s="11" t="s">
        <v>4097</v>
      </c>
      <c r="G1670" s="12">
        <v>2.0486111097852699E-3</v>
      </c>
      <c r="H1670" s="2" t="s">
        <v>257</v>
      </c>
      <c r="J1670" s="2" t="s">
        <v>371</v>
      </c>
      <c r="K1670" s="2" t="s">
        <v>653</v>
      </c>
      <c r="L1670" s="2" t="s">
        <v>1944</v>
      </c>
      <c r="M1670" t="s">
        <v>252</v>
      </c>
      <c r="N1670" t="s">
        <v>631</v>
      </c>
      <c r="O1670" t="s">
        <v>631</v>
      </c>
      <c r="P1670" t="s">
        <v>4098</v>
      </c>
      <c r="Q1670" t="s">
        <v>2537</v>
      </c>
    </row>
    <row r="1671" spans="1:17">
      <c r="A1671" s="2" t="s">
        <v>2113</v>
      </c>
      <c r="B1671" s="2" t="s">
        <v>358</v>
      </c>
      <c r="C1671" s="2" t="s">
        <v>560</v>
      </c>
      <c r="D1671" s="11" t="s">
        <v>4099</v>
      </c>
      <c r="E1671" s="11" t="s">
        <v>4099</v>
      </c>
      <c r="F1671" s="11" t="s">
        <v>4100</v>
      </c>
      <c r="G1671" s="12">
        <v>5.6828703745850362E-3</v>
      </c>
      <c r="H1671" s="2" t="s">
        <v>257</v>
      </c>
      <c r="J1671" s="2" t="s">
        <v>371</v>
      </c>
      <c r="K1671" s="2" t="s">
        <v>653</v>
      </c>
      <c r="L1671" s="2" t="s">
        <v>4082</v>
      </c>
      <c r="M1671" t="s">
        <v>252</v>
      </c>
      <c r="N1671" t="s">
        <v>631</v>
      </c>
      <c r="O1671" t="s">
        <v>631</v>
      </c>
      <c r="P1671" t="s">
        <v>4101</v>
      </c>
      <c r="Q1671" t="s">
        <v>2537</v>
      </c>
    </row>
    <row r="1672" spans="1:17">
      <c r="A1672" s="2" t="s">
        <v>2196</v>
      </c>
      <c r="B1672" s="2" t="s">
        <v>358</v>
      </c>
      <c r="C1672" s="2" t="s">
        <v>554</v>
      </c>
      <c r="D1672" s="11" t="s">
        <v>4102</v>
      </c>
      <c r="E1672" s="11" t="s">
        <v>4102</v>
      </c>
      <c r="F1672" s="11" t="s">
        <v>4103</v>
      </c>
      <c r="G1672" s="12">
        <v>2.0601851792889647E-3</v>
      </c>
      <c r="H1672" s="2" t="s">
        <v>257</v>
      </c>
      <c r="J1672" s="2" t="s">
        <v>371</v>
      </c>
      <c r="K1672" s="2" t="s">
        <v>653</v>
      </c>
      <c r="L1672" s="2" t="s">
        <v>1944</v>
      </c>
      <c r="M1672" t="s">
        <v>252</v>
      </c>
      <c r="N1672" t="s">
        <v>631</v>
      </c>
      <c r="O1672" t="s">
        <v>631</v>
      </c>
      <c r="P1672" t="s">
        <v>4104</v>
      </c>
      <c r="Q1672" t="s">
        <v>2537</v>
      </c>
    </row>
    <row r="1673" spans="1:17">
      <c r="A1673" s="2" t="s">
        <v>2196</v>
      </c>
      <c r="B1673" s="2" t="s">
        <v>358</v>
      </c>
      <c r="C1673" s="2" t="s">
        <v>554</v>
      </c>
      <c r="D1673" s="11" t="s">
        <v>4105</v>
      </c>
      <c r="E1673" s="11" t="s">
        <v>4105</v>
      </c>
      <c r="F1673" s="11" t="s">
        <v>4106</v>
      </c>
      <c r="G1673" s="12">
        <v>9.5520833332557231E-2</v>
      </c>
      <c r="H1673" s="2" t="s">
        <v>257</v>
      </c>
      <c r="J1673" s="2" t="s">
        <v>371</v>
      </c>
      <c r="K1673" s="2" t="s">
        <v>653</v>
      </c>
      <c r="L1673" s="2" t="s">
        <v>4107</v>
      </c>
      <c r="M1673" t="s">
        <v>252</v>
      </c>
      <c r="N1673" t="s">
        <v>253</v>
      </c>
      <c r="O1673" t="s">
        <v>4108</v>
      </c>
      <c r="P1673" t="s">
        <v>4109</v>
      </c>
      <c r="Q1673" t="s">
        <v>2537</v>
      </c>
    </row>
    <row r="1674" spans="1:17">
      <c r="A1674" s="2" t="s">
        <v>2196</v>
      </c>
      <c r="B1674" s="2" t="s">
        <v>358</v>
      </c>
      <c r="C1674" s="2" t="s">
        <v>555</v>
      </c>
      <c r="D1674" s="11" t="s">
        <v>4110</v>
      </c>
      <c r="E1674" s="11" t="s">
        <v>4110</v>
      </c>
      <c r="F1674" s="11" t="s">
        <v>4111</v>
      </c>
      <c r="G1674" s="12">
        <v>9.5613425924966577E-2</v>
      </c>
      <c r="H1674" s="2" t="s">
        <v>257</v>
      </c>
      <c r="J1674" s="2" t="s">
        <v>371</v>
      </c>
      <c r="K1674" s="2" t="s">
        <v>653</v>
      </c>
      <c r="L1674" s="2" t="s">
        <v>4107</v>
      </c>
      <c r="M1674" t="s">
        <v>252</v>
      </c>
      <c r="N1674" t="s">
        <v>253</v>
      </c>
      <c r="O1674" t="s">
        <v>4108</v>
      </c>
      <c r="P1674" t="s">
        <v>4112</v>
      </c>
      <c r="Q1674" t="s">
        <v>2537</v>
      </c>
    </row>
    <row r="1675" spans="1:17">
      <c r="A1675" s="2" t="s">
        <v>2113</v>
      </c>
      <c r="B1675" s="2" t="s">
        <v>358</v>
      </c>
      <c r="C1675" s="2" t="s">
        <v>560</v>
      </c>
      <c r="D1675" s="11" t="s">
        <v>4113</v>
      </c>
      <c r="E1675" s="11" t="s">
        <v>4113</v>
      </c>
      <c r="F1675" s="11" t="s">
        <v>4114</v>
      </c>
      <c r="G1675" s="12">
        <v>4.4675925892079249E-3</v>
      </c>
      <c r="H1675" s="2" t="s">
        <v>257</v>
      </c>
      <c r="J1675" s="2" t="s">
        <v>371</v>
      </c>
      <c r="K1675" s="2" t="s">
        <v>653</v>
      </c>
      <c r="L1675" s="2" t="s">
        <v>4082</v>
      </c>
      <c r="M1675" t="s">
        <v>252</v>
      </c>
      <c r="N1675" t="s">
        <v>631</v>
      </c>
      <c r="O1675" t="s">
        <v>631</v>
      </c>
      <c r="P1675" t="s">
        <v>4115</v>
      </c>
      <c r="Q1675" t="s">
        <v>2537</v>
      </c>
    </row>
    <row r="1676" spans="1:17">
      <c r="A1676" s="2" t="s">
        <v>2113</v>
      </c>
      <c r="B1676" s="2" t="s">
        <v>358</v>
      </c>
      <c r="C1676" s="2" t="s">
        <v>560</v>
      </c>
      <c r="D1676" s="11" t="s">
        <v>4116</v>
      </c>
      <c r="E1676" s="11" t="s">
        <v>4116</v>
      </c>
      <c r="F1676" s="11" t="s">
        <v>4117</v>
      </c>
      <c r="G1676" s="12">
        <v>9.4097222172422335E-3</v>
      </c>
      <c r="H1676" s="2" t="s">
        <v>257</v>
      </c>
      <c r="J1676" s="2" t="s">
        <v>371</v>
      </c>
      <c r="K1676" s="2" t="s">
        <v>653</v>
      </c>
      <c r="L1676" s="2" t="s">
        <v>4082</v>
      </c>
      <c r="M1676" t="s">
        <v>252</v>
      </c>
      <c r="N1676" t="s">
        <v>631</v>
      </c>
      <c r="O1676" t="s">
        <v>631</v>
      </c>
      <c r="P1676" t="s">
        <v>4118</v>
      </c>
      <c r="Q1676" t="s">
        <v>2537</v>
      </c>
    </row>
    <row r="1677" spans="1:17">
      <c r="A1677" s="2" t="s">
        <v>2113</v>
      </c>
      <c r="B1677" s="2" t="s">
        <v>358</v>
      </c>
      <c r="C1677" s="2" t="s">
        <v>560</v>
      </c>
      <c r="D1677" s="11" t="s">
        <v>4119</v>
      </c>
      <c r="E1677" s="11" t="s">
        <v>4119</v>
      </c>
      <c r="F1677" s="11" t="s">
        <v>4120</v>
      </c>
      <c r="G1677" s="12">
        <v>5.9918981474766042E-2</v>
      </c>
      <c r="H1677" s="2" t="s">
        <v>257</v>
      </c>
      <c r="J1677" s="2" t="s">
        <v>371</v>
      </c>
      <c r="K1677" s="2" t="s">
        <v>653</v>
      </c>
      <c r="L1677" s="2" t="s">
        <v>4082</v>
      </c>
      <c r="M1677" t="s">
        <v>252</v>
      </c>
      <c r="N1677" t="s">
        <v>631</v>
      </c>
      <c r="O1677" t="s">
        <v>631</v>
      </c>
      <c r="P1677" t="s">
        <v>4121</v>
      </c>
      <c r="Q1677" t="s">
        <v>2537</v>
      </c>
    </row>
    <row r="1678" spans="1:17">
      <c r="A1678" s="2" t="s">
        <v>2113</v>
      </c>
      <c r="B1678" s="2" t="s">
        <v>358</v>
      </c>
      <c r="C1678" s="2" t="s">
        <v>560</v>
      </c>
      <c r="D1678" s="11" t="s">
        <v>4122</v>
      </c>
      <c r="E1678" s="11" t="s">
        <v>4122</v>
      </c>
      <c r="F1678" s="11" t="s">
        <v>4123</v>
      </c>
      <c r="G1678" s="12">
        <v>5.7349537040863652E-2</v>
      </c>
      <c r="H1678" s="2" t="s">
        <v>257</v>
      </c>
      <c r="J1678" s="2" t="s">
        <v>371</v>
      </c>
      <c r="K1678" s="2" t="s">
        <v>653</v>
      </c>
      <c r="L1678" s="2" t="s">
        <v>4082</v>
      </c>
      <c r="M1678" t="s">
        <v>252</v>
      </c>
      <c r="N1678" t="s">
        <v>631</v>
      </c>
      <c r="O1678" t="s">
        <v>631</v>
      </c>
      <c r="P1678" t="s">
        <v>4124</v>
      </c>
      <c r="Q1678" t="s">
        <v>2537</v>
      </c>
    </row>
    <row r="1679" spans="1:17">
      <c r="A1679" s="2" t="s">
        <v>2113</v>
      </c>
      <c r="B1679" s="2" t="s">
        <v>358</v>
      </c>
      <c r="C1679" s="2" t="s">
        <v>560</v>
      </c>
      <c r="D1679" s="11" t="s">
        <v>4125</v>
      </c>
      <c r="E1679" s="11" t="s">
        <v>4125</v>
      </c>
      <c r="F1679" s="11" t="s">
        <v>4126</v>
      </c>
      <c r="G1679" s="12">
        <v>6.3425925909541547E-3</v>
      </c>
      <c r="H1679" s="2" t="s">
        <v>257</v>
      </c>
      <c r="J1679" s="2" t="s">
        <v>371</v>
      </c>
      <c r="K1679" s="2" t="s">
        <v>653</v>
      </c>
      <c r="L1679" s="2" t="s">
        <v>4082</v>
      </c>
      <c r="M1679" t="s">
        <v>252</v>
      </c>
      <c r="N1679" t="s">
        <v>631</v>
      </c>
      <c r="O1679" t="s">
        <v>631</v>
      </c>
      <c r="P1679" t="s">
        <v>4127</v>
      </c>
      <c r="Q1679" t="s">
        <v>2537</v>
      </c>
    </row>
    <row r="1680" spans="1:17">
      <c r="A1680" s="2" t="s">
        <v>2196</v>
      </c>
      <c r="B1680" s="2" t="s">
        <v>358</v>
      </c>
      <c r="C1680" s="2" t="s">
        <v>554</v>
      </c>
      <c r="D1680" s="11" t="s">
        <v>4128</v>
      </c>
      <c r="E1680" s="11" t="s">
        <v>4128</v>
      </c>
      <c r="F1680" s="11" t="s">
        <v>4129</v>
      </c>
      <c r="G1680" s="12">
        <v>2.1064814791316167E-3</v>
      </c>
      <c r="H1680" s="2" t="s">
        <v>257</v>
      </c>
      <c r="J1680" s="2" t="s">
        <v>371</v>
      </c>
      <c r="K1680" s="2" t="s">
        <v>653</v>
      </c>
      <c r="L1680" s="2" t="s">
        <v>1944</v>
      </c>
      <c r="M1680" t="s">
        <v>252</v>
      </c>
      <c r="N1680" t="s">
        <v>631</v>
      </c>
      <c r="O1680" t="s">
        <v>631</v>
      </c>
      <c r="P1680" t="s">
        <v>4130</v>
      </c>
      <c r="Q1680" t="s">
        <v>2537</v>
      </c>
    </row>
    <row r="1681" spans="1:17">
      <c r="A1681" s="2" t="s">
        <v>2113</v>
      </c>
      <c r="B1681" s="2" t="s">
        <v>358</v>
      </c>
      <c r="C1681" s="2" t="s">
        <v>560</v>
      </c>
      <c r="D1681" s="11" t="s">
        <v>4131</v>
      </c>
      <c r="E1681" s="11" t="s">
        <v>4131</v>
      </c>
      <c r="F1681" s="11" t="s">
        <v>4132</v>
      </c>
      <c r="G1681" s="12">
        <v>1.0567129633272998E-2</v>
      </c>
      <c r="H1681" s="2" t="s">
        <v>257</v>
      </c>
      <c r="J1681" s="2" t="s">
        <v>371</v>
      </c>
      <c r="K1681" s="2" t="s">
        <v>653</v>
      </c>
      <c r="L1681" s="2" t="s">
        <v>4082</v>
      </c>
      <c r="M1681" t="s">
        <v>252</v>
      </c>
      <c r="N1681" t="s">
        <v>631</v>
      </c>
      <c r="O1681" t="s">
        <v>631</v>
      </c>
      <c r="P1681" t="s">
        <v>4133</v>
      </c>
      <c r="Q1681" t="s">
        <v>2537</v>
      </c>
    </row>
    <row r="1682" spans="1:17">
      <c r="A1682" s="2" t="s">
        <v>2113</v>
      </c>
      <c r="B1682" s="2" t="s">
        <v>358</v>
      </c>
      <c r="C1682" s="2" t="s">
        <v>560</v>
      </c>
      <c r="D1682" s="11" t="s">
        <v>4134</v>
      </c>
      <c r="E1682" s="11" t="s">
        <v>4134</v>
      </c>
      <c r="F1682" s="11" t="s">
        <v>4135</v>
      </c>
      <c r="G1682" s="12">
        <v>5.3240740817273036E-4</v>
      </c>
      <c r="H1682" s="2" t="s">
        <v>257</v>
      </c>
      <c r="J1682" s="2" t="s">
        <v>371</v>
      </c>
      <c r="K1682" s="2" t="s">
        <v>653</v>
      </c>
      <c r="L1682" s="2" t="s">
        <v>4082</v>
      </c>
      <c r="M1682" t="s">
        <v>252</v>
      </c>
      <c r="N1682" t="s">
        <v>631</v>
      </c>
      <c r="O1682" t="s">
        <v>631</v>
      </c>
      <c r="P1682" t="s">
        <v>4136</v>
      </c>
      <c r="Q1682" t="s">
        <v>2537</v>
      </c>
    </row>
    <row r="1683" spans="1:17">
      <c r="A1683" s="2" t="s">
        <v>2196</v>
      </c>
      <c r="B1683" s="2" t="s">
        <v>358</v>
      </c>
      <c r="C1683" s="2" t="s">
        <v>554</v>
      </c>
      <c r="D1683" s="11" t="s">
        <v>4137</v>
      </c>
      <c r="E1683" s="11" t="s">
        <v>4137</v>
      </c>
      <c r="F1683" s="11" t="s">
        <v>4138</v>
      </c>
      <c r="G1683" s="12">
        <v>2.0138888867222704E-3</v>
      </c>
      <c r="H1683" s="2" t="s">
        <v>257</v>
      </c>
      <c r="J1683" s="2" t="s">
        <v>371</v>
      </c>
      <c r="K1683" s="2" t="s">
        <v>653</v>
      </c>
      <c r="L1683" s="2" t="s">
        <v>1944</v>
      </c>
      <c r="M1683" t="s">
        <v>252</v>
      </c>
      <c r="N1683" t="s">
        <v>631</v>
      </c>
      <c r="O1683" t="s">
        <v>631</v>
      </c>
      <c r="P1683" t="s">
        <v>4139</v>
      </c>
      <c r="Q1683" t="s">
        <v>2537</v>
      </c>
    </row>
    <row r="1685" spans="1:17">
      <c r="G1685" s="13"/>
    </row>
  </sheetData>
  <autoFilter ref="A1:Q1683" xr:uid="{79DC4CCA-9A61-4806-8E56-EE96087CE65F}">
    <sortState xmlns:xlrd2="http://schemas.microsoft.com/office/spreadsheetml/2017/richdata2" ref="A2:Q1683">
      <sortCondition ref="D1"/>
    </sortState>
  </autoFilter>
  <conditionalFormatting sqref="P1">
    <cfRule type="duplicateValues" dxfId="2" priority="2"/>
    <cfRule type="duplicateValues" dxfId="1" priority="3"/>
  </conditionalFormatting>
  <conditionalFormatting sqref="P1:P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962F-720E-4BCB-BF2C-8FF221510918}">
  <dimension ref="A1:L141"/>
  <sheetViews>
    <sheetView topLeftCell="A134" workbookViewId="0">
      <selection activeCell="A135" sqref="A135"/>
    </sheetView>
  </sheetViews>
  <sheetFormatPr defaultRowHeight="15"/>
  <cols>
    <col min="2" max="2" width="14.7109375" customWidth="1"/>
    <col min="9" max="9" width="44.85546875" customWidth="1"/>
    <col min="10" max="10" width="30.42578125" customWidth="1"/>
    <col min="12" max="12" width="18.28515625" customWidth="1"/>
  </cols>
  <sheetData>
    <row r="1" spans="1:12" ht="45.75">
      <c r="A1" s="14" t="s">
        <v>4140</v>
      </c>
      <c r="B1" s="14" t="s">
        <v>4141</v>
      </c>
      <c r="C1" s="14" t="s">
        <v>4142</v>
      </c>
      <c r="D1" s="14" t="s">
        <v>4143</v>
      </c>
      <c r="E1" s="14" t="s">
        <v>4144</v>
      </c>
      <c r="F1" s="14" t="s">
        <v>4145</v>
      </c>
      <c r="G1" s="14" t="s">
        <v>4146</v>
      </c>
      <c r="H1" s="14" t="s">
        <v>4147</v>
      </c>
      <c r="I1" s="14" t="s">
        <v>4148</v>
      </c>
      <c r="J1" s="14" t="s">
        <v>4149</v>
      </c>
      <c r="K1" s="14" t="s">
        <v>4150</v>
      </c>
      <c r="L1" s="14" t="s">
        <v>4151</v>
      </c>
    </row>
    <row r="2" spans="1:12" ht="152.25">
      <c r="A2" s="14" t="s">
        <v>4152</v>
      </c>
      <c r="B2" s="16">
        <v>45992</v>
      </c>
      <c r="C2" s="17">
        <v>0.125</v>
      </c>
      <c r="D2" s="17">
        <v>0.125</v>
      </c>
      <c r="E2" s="15" t="s">
        <v>4153</v>
      </c>
      <c r="F2" s="15" t="s">
        <v>4154</v>
      </c>
      <c r="G2" s="15" t="s">
        <v>4155</v>
      </c>
      <c r="H2" s="15">
        <v>2025121</v>
      </c>
      <c r="I2" s="15" t="s">
        <v>4156</v>
      </c>
      <c r="J2" s="15" t="s">
        <v>4157</v>
      </c>
      <c r="K2" s="17">
        <v>0.30208333333333331</v>
      </c>
      <c r="L2" s="16">
        <v>45992</v>
      </c>
    </row>
    <row r="3" spans="1:12" ht="351">
      <c r="A3" s="18" t="s">
        <v>4158</v>
      </c>
      <c r="B3" s="20">
        <v>45992</v>
      </c>
      <c r="C3" s="21">
        <v>0.28472222222222221</v>
      </c>
      <c r="D3" s="21">
        <v>0.28472222222222221</v>
      </c>
      <c r="E3" s="19" t="s">
        <v>230</v>
      </c>
      <c r="F3" s="19" t="s">
        <v>4159</v>
      </c>
      <c r="G3" s="19" t="s">
        <v>4160</v>
      </c>
      <c r="H3" s="19">
        <v>2025122</v>
      </c>
      <c r="I3" s="19" t="s">
        <v>4161</v>
      </c>
      <c r="J3" s="19" t="s">
        <v>4162</v>
      </c>
      <c r="K3" s="19" t="s">
        <v>2257</v>
      </c>
      <c r="L3" s="19" t="s">
        <v>2257</v>
      </c>
    </row>
    <row r="4" spans="1:12" ht="121.5">
      <c r="A4" s="14" t="s">
        <v>4163</v>
      </c>
      <c r="B4" s="16">
        <v>45992</v>
      </c>
      <c r="C4" s="17">
        <v>0.39583333333333331</v>
      </c>
      <c r="D4" s="17">
        <v>0.39583333333333331</v>
      </c>
      <c r="E4" s="15" t="s">
        <v>4164</v>
      </c>
      <c r="F4" s="15" t="s">
        <v>4165</v>
      </c>
      <c r="G4" s="15" t="s">
        <v>4160</v>
      </c>
      <c r="H4" s="15">
        <v>2025123</v>
      </c>
      <c r="I4" s="15" t="s">
        <v>4166</v>
      </c>
      <c r="J4" s="15" t="s">
        <v>4167</v>
      </c>
      <c r="K4" s="15"/>
      <c r="L4" s="15"/>
    </row>
    <row r="5" spans="1:12" ht="259.5">
      <c r="A5" s="14" t="s">
        <v>4168</v>
      </c>
      <c r="B5" s="16">
        <v>45992</v>
      </c>
      <c r="C5" s="15" t="s">
        <v>4169</v>
      </c>
      <c r="D5" s="15" t="s">
        <v>4169</v>
      </c>
      <c r="E5" s="15" t="s">
        <v>4170</v>
      </c>
      <c r="F5" s="15" t="s">
        <v>4171</v>
      </c>
      <c r="G5" s="15" t="s">
        <v>4160</v>
      </c>
      <c r="H5" s="15">
        <v>8307396</v>
      </c>
      <c r="I5" s="15" t="s">
        <v>4172</v>
      </c>
      <c r="J5" s="15" t="s">
        <v>4173</v>
      </c>
      <c r="K5" s="15" t="s">
        <v>4174</v>
      </c>
      <c r="L5" s="16">
        <v>45992</v>
      </c>
    </row>
    <row r="6" spans="1:12" ht="229.5">
      <c r="A6" s="22" t="s">
        <v>39</v>
      </c>
      <c r="B6" s="24">
        <v>45992</v>
      </c>
      <c r="C6" s="25">
        <v>0.72916666666666663</v>
      </c>
      <c r="D6" s="25">
        <v>0.72916666666666663</v>
      </c>
      <c r="E6" s="23" t="s">
        <v>4175</v>
      </c>
      <c r="F6" s="23" t="s">
        <v>4165</v>
      </c>
      <c r="G6" s="23" t="s">
        <v>4176</v>
      </c>
      <c r="H6" s="23">
        <v>2025124</v>
      </c>
      <c r="I6" s="23" t="s">
        <v>2045</v>
      </c>
      <c r="J6" s="23" t="s">
        <v>697</v>
      </c>
      <c r="K6" s="25">
        <v>0.83333333333333337</v>
      </c>
      <c r="L6" s="24">
        <v>45992</v>
      </c>
    </row>
    <row r="7" spans="1:12" ht="167.25">
      <c r="A7" s="22" t="s">
        <v>4177</v>
      </c>
      <c r="B7" s="24">
        <v>45992</v>
      </c>
      <c r="C7" s="25">
        <v>0.75</v>
      </c>
      <c r="D7" s="25">
        <v>0.75</v>
      </c>
      <c r="E7" s="23" t="s">
        <v>230</v>
      </c>
      <c r="F7" s="23" t="s">
        <v>4178</v>
      </c>
      <c r="G7" s="23" t="s">
        <v>4176</v>
      </c>
      <c r="H7" s="23">
        <v>2025125</v>
      </c>
      <c r="I7" s="23" t="s">
        <v>4179</v>
      </c>
      <c r="J7" s="23" t="s">
        <v>4180</v>
      </c>
      <c r="K7" s="25">
        <v>0.8125</v>
      </c>
      <c r="L7" s="24">
        <v>46012</v>
      </c>
    </row>
    <row r="8" spans="1:12" ht="290.25">
      <c r="A8" s="14" t="s">
        <v>4181</v>
      </c>
      <c r="B8" s="16">
        <v>45992</v>
      </c>
      <c r="C8" s="17">
        <v>0.76041666666666663</v>
      </c>
      <c r="D8" s="17">
        <v>0.76041666666666663</v>
      </c>
      <c r="E8" s="15" t="s">
        <v>4164</v>
      </c>
      <c r="F8" s="15" t="s">
        <v>4165</v>
      </c>
      <c r="G8" s="15" t="s">
        <v>4155</v>
      </c>
      <c r="H8" s="15">
        <v>2025126</v>
      </c>
      <c r="I8" s="15" t="s">
        <v>4182</v>
      </c>
      <c r="J8" s="15" t="s">
        <v>4183</v>
      </c>
      <c r="K8" s="17">
        <v>0.76736111111111116</v>
      </c>
      <c r="L8" s="16">
        <v>45992</v>
      </c>
    </row>
    <row r="9" spans="1:12" ht="91.5">
      <c r="A9" s="22" t="s">
        <v>4184</v>
      </c>
      <c r="B9" s="24">
        <v>45262</v>
      </c>
      <c r="C9" s="25">
        <v>0.24722222222222223</v>
      </c>
      <c r="D9" s="25">
        <v>0.24722222222222223</v>
      </c>
      <c r="E9" s="23" t="s">
        <v>230</v>
      </c>
      <c r="F9" s="23" t="s">
        <v>4185</v>
      </c>
      <c r="G9" s="23" t="s">
        <v>4155</v>
      </c>
      <c r="H9" s="23">
        <v>8371356</v>
      </c>
      <c r="I9" s="23" t="s">
        <v>4186</v>
      </c>
      <c r="J9" s="23" t="s">
        <v>4187</v>
      </c>
      <c r="K9" s="25">
        <v>0.30833333333333335</v>
      </c>
      <c r="L9" s="24">
        <v>45993</v>
      </c>
    </row>
    <row r="10" spans="1:12" ht="198">
      <c r="A10" s="14" t="s">
        <v>4188</v>
      </c>
      <c r="B10" s="16">
        <v>45993</v>
      </c>
      <c r="C10" s="17">
        <v>0.28402777777777777</v>
      </c>
      <c r="D10" s="17">
        <v>0.28402777777777777</v>
      </c>
      <c r="E10" s="15" t="s">
        <v>4175</v>
      </c>
      <c r="F10" s="15" t="s">
        <v>4189</v>
      </c>
      <c r="G10" s="15" t="s">
        <v>4155</v>
      </c>
      <c r="H10" s="15">
        <v>2025128</v>
      </c>
      <c r="I10" s="15" t="s">
        <v>4190</v>
      </c>
      <c r="J10" s="15" t="s">
        <v>4191</v>
      </c>
      <c r="K10" s="17">
        <v>0.33541666666666664</v>
      </c>
      <c r="L10" s="16">
        <v>45993</v>
      </c>
    </row>
    <row r="11" spans="1:12" ht="259.5">
      <c r="A11" s="14" t="s">
        <v>4192</v>
      </c>
      <c r="B11" s="16">
        <v>45993</v>
      </c>
      <c r="C11" s="17">
        <v>0.3125</v>
      </c>
      <c r="D11" s="17">
        <v>0.3125</v>
      </c>
      <c r="E11" s="15" t="s">
        <v>4175</v>
      </c>
      <c r="F11" s="15" t="s">
        <v>4193</v>
      </c>
      <c r="G11" s="15" t="s">
        <v>4176</v>
      </c>
      <c r="H11" s="15">
        <v>8371490</v>
      </c>
      <c r="I11" s="15" t="s">
        <v>4194</v>
      </c>
      <c r="J11" s="15" t="s">
        <v>4195</v>
      </c>
      <c r="K11" s="17">
        <v>0.75694444444444442</v>
      </c>
      <c r="L11" s="16">
        <v>45993</v>
      </c>
    </row>
    <row r="12" spans="1:12" ht="76.5">
      <c r="A12" s="14" t="s">
        <v>4196</v>
      </c>
      <c r="B12" s="16">
        <v>45993</v>
      </c>
      <c r="C12" s="17">
        <v>0.46666666666666667</v>
      </c>
      <c r="D12" s="17">
        <v>0.46666666666666667</v>
      </c>
      <c r="E12" s="15" t="s">
        <v>230</v>
      </c>
      <c r="F12" s="15" t="s">
        <v>4185</v>
      </c>
      <c r="G12" s="15" t="s">
        <v>4155</v>
      </c>
      <c r="H12" s="15">
        <v>2025129</v>
      </c>
      <c r="I12" s="15" t="s">
        <v>4197</v>
      </c>
      <c r="J12" s="15" t="s">
        <v>4198</v>
      </c>
      <c r="K12" s="17">
        <v>0.47222222222222221</v>
      </c>
      <c r="L12" s="16">
        <v>45993</v>
      </c>
    </row>
    <row r="13" spans="1:12" ht="167.25">
      <c r="A13" s="14" t="s">
        <v>4199</v>
      </c>
      <c r="B13" s="16">
        <v>45993</v>
      </c>
      <c r="C13" s="17">
        <v>0.59027777777777779</v>
      </c>
      <c r="D13" s="17">
        <v>0.59027777777777779</v>
      </c>
      <c r="E13" s="15" t="s">
        <v>4200</v>
      </c>
      <c r="F13" s="15" t="s">
        <v>4201</v>
      </c>
      <c r="G13" s="15" t="s">
        <v>4176</v>
      </c>
      <c r="H13" s="15">
        <v>8350930</v>
      </c>
      <c r="I13" s="15" t="s">
        <v>2081</v>
      </c>
      <c r="J13" s="15" t="s">
        <v>4202</v>
      </c>
      <c r="K13" s="17">
        <v>0.70902777777777781</v>
      </c>
      <c r="L13" s="16">
        <v>45993</v>
      </c>
    </row>
    <row r="14" spans="1:12" ht="198">
      <c r="A14" s="14" t="s">
        <v>4163</v>
      </c>
      <c r="B14" s="16">
        <v>45993</v>
      </c>
      <c r="C14" s="17">
        <v>0.60416666666666663</v>
      </c>
      <c r="D14" s="17">
        <v>0.60416666666666663</v>
      </c>
      <c r="E14" s="15" t="s">
        <v>230</v>
      </c>
      <c r="F14" s="15" t="s">
        <v>1957</v>
      </c>
      <c r="G14" s="15" t="s">
        <v>4155</v>
      </c>
      <c r="H14" s="15"/>
      <c r="I14" s="15" t="s">
        <v>2083</v>
      </c>
      <c r="J14" s="15" t="s">
        <v>4203</v>
      </c>
      <c r="K14" s="17">
        <v>0.69444444444444442</v>
      </c>
      <c r="L14" s="16">
        <v>45993</v>
      </c>
    </row>
    <row r="15" spans="1:12" ht="45.75">
      <c r="A15" s="14" t="s">
        <v>4204</v>
      </c>
      <c r="B15" s="16">
        <v>45993</v>
      </c>
      <c r="C15" s="17">
        <v>0.97569444444444442</v>
      </c>
      <c r="D15" s="17">
        <v>0.97569444444444442</v>
      </c>
      <c r="E15" s="15" t="s">
        <v>4153</v>
      </c>
      <c r="F15" s="15" t="s">
        <v>4205</v>
      </c>
      <c r="G15" s="15" t="s">
        <v>4155</v>
      </c>
      <c r="H15" s="15">
        <v>20251210</v>
      </c>
      <c r="I15" s="15" t="s">
        <v>4206</v>
      </c>
      <c r="J15" s="15" t="s">
        <v>4207</v>
      </c>
      <c r="K15" s="17">
        <v>0.29166666666666669</v>
      </c>
      <c r="L15" s="16">
        <v>45994</v>
      </c>
    </row>
    <row r="16" spans="1:12" ht="106.5">
      <c r="A16" s="14" t="s">
        <v>4208</v>
      </c>
      <c r="B16" s="16">
        <v>45994</v>
      </c>
      <c r="C16" s="17">
        <v>0.27083333333333331</v>
      </c>
      <c r="D16" s="17">
        <v>0.27083333333333331</v>
      </c>
      <c r="E16" s="15" t="s">
        <v>230</v>
      </c>
      <c r="F16" s="15" t="s">
        <v>4209</v>
      </c>
      <c r="G16" s="15" t="s">
        <v>4176</v>
      </c>
      <c r="H16" s="15">
        <v>20251211</v>
      </c>
      <c r="I16" s="15" t="s">
        <v>4210</v>
      </c>
      <c r="J16" s="15" t="s">
        <v>4211</v>
      </c>
      <c r="K16" s="17">
        <v>0.27777777777777779</v>
      </c>
      <c r="L16" s="16">
        <v>45994</v>
      </c>
    </row>
    <row r="17" spans="1:12" ht="167.25">
      <c r="A17" s="14" t="s">
        <v>4168</v>
      </c>
      <c r="B17" s="16">
        <v>45994</v>
      </c>
      <c r="C17" s="15" t="s">
        <v>4212</v>
      </c>
      <c r="D17" s="15" t="s">
        <v>4212</v>
      </c>
      <c r="E17" s="15" t="s">
        <v>230</v>
      </c>
      <c r="F17" s="15" t="s">
        <v>4209</v>
      </c>
      <c r="G17" s="15" t="s">
        <v>4160</v>
      </c>
      <c r="H17" s="15">
        <v>8378189</v>
      </c>
      <c r="I17" s="15" t="s">
        <v>4213</v>
      </c>
      <c r="J17" s="15" t="s">
        <v>4214</v>
      </c>
      <c r="K17" s="15" t="s">
        <v>4215</v>
      </c>
      <c r="L17" s="16">
        <v>45994</v>
      </c>
    </row>
    <row r="18" spans="1:12" ht="198">
      <c r="A18" s="14" t="s">
        <v>4216</v>
      </c>
      <c r="B18" s="16">
        <v>45994</v>
      </c>
      <c r="C18" s="17">
        <v>0.30208333333333331</v>
      </c>
      <c r="D18" s="17">
        <v>0.30208333333333331</v>
      </c>
      <c r="E18" s="15" t="s">
        <v>4175</v>
      </c>
      <c r="F18" s="15" t="s">
        <v>4217</v>
      </c>
      <c r="G18" s="15" t="s">
        <v>4160</v>
      </c>
      <c r="H18" s="15">
        <v>8371490</v>
      </c>
      <c r="I18" s="15" t="s">
        <v>4194</v>
      </c>
      <c r="J18" s="15" t="s">
        <v>4218</v>
      </c>
      <c r="K18" s="15"/>
      <c r="L18" s="15"/>
    </row>
    <row r="19" spans="1:12" ht="167.25">
      <c r="A19" s="14" t="s">
        <v>4219</v>
      </c>
      <c r="B19" s="16">
        <v>45994</v>
      </c>
      <c r="C19" s="17">
        <v>0.33333333333333331</v>
      </c>
      <c r="D19" s="17">
        <v>0.33333333333333331</v>
      </c>
      <c r="E19" s="15" t="s">
        <v>4200</v>
      </c>
      <c r="F19" s="15" t="s">
        <v>4217</v>
      </c>
      <c r="G19" s="15" t="s">
        <v>4160</v>
      </c>
      <c r="H19" s="15"/>
      <c r="I19" s="15" t="s">
        <v>2081</v>
      </c>
      <c r="J19" s="15" t="s">
        <v>4220</v>
      </c>
      <c r="K19" s="15"/>
      <c r="L19" s="15"/>
    </row>
    <row r="20" spans="1:12" ht="183">
      <c r="A20" s="14" t="s">
        <v>4221</v>
      </c>
      <c r="B20" s="16">
        <v>45994</v>
      </c>
      <c r="C20" s="17">
        <v>0.39583333333333331</v>
      </c>
      <c r="D20" s="17">
        <v>0.39583333333333331</v>
      </c>
      <c r="E20" s="15" t="s">
        <v>4153</v>
      </c>
      <c r="F20" s="15" t="s">
        <v>4222</v>
      </c>
      <c r="G20" s="15" t="s">
        <v>4155</v>
      </c>
      <c r="H20" s="15">
        <v>20251212</v>
      </c>
      <c r="I20" s="15" t="s">
        <v>4223</v>
      </c>
      <c r="J20" s="15" t="s">
        <v>4224</v>
      </c>
      <c r="K20" s="17">
        <v>0.41666666666666669</v>
      </c>
      <c r="L20" s="16">
        <v>45994</v>
      </c>
    </row>
    <row r="21" spans="1:12" ht="259.5">
      <c r="A21" s="14" t="s">
        <v>4199</v>
      </c>
      <c r="B21" s="16">
        <v>45994</v>
      </c>
      <c r="C21" s="15" t="s">
        <v>4225</v>
      </c>
      <c r="D21" s="17">
        <v>0.54861111111111116</v>
      </c>
      <c r="E21" s="15" t="s">
        <v>230</v>
      </c>
      <c r="F21" s="15" t="s">
        <v>4226</v>
      </c>
      <c r="G21" s="15" t="s">
        <v>4176</v>
      </c>
      <c r="H21" s="15">
        <v>8350930</v>
      </c>
      <c r="I21" s="15" t="s">
        <v>4194</v>
      </c>
      <c r="J21" s="15" t="s">
        <v>4195</v>
      </c>
      <c r="K21" s="17">
        <v>0.68055555555555558</v>
      </c>
      <c r="L21" s="16">
        <v>45994</v>
      </c>
    </row>
    <row r="22" spans="1:12" ht="76.5">
      <c r="A22" s="14" t="s">
        <v>4227</v>
      </c>
      <c r="B22" s="16">
        <v>45994</v>
      </c>
      <c r="C22" s="17">
        <v>0.6875</v>
      </c>
      <c r="D22" s="17">
        <v>0.6875</v>
      </c>
      <c r="E22" s="15" t="s">
        <v>230</v>
      </c>
      <c r="F22" s="15" t="s">
        <v>4228</v>
      </c>
      <c r="G22" s="15" t="s">
        <v>4155</v>
      </c>
      <c r="H22" s="15">
        <v>8371491</v>
      </c>
      <c r="I22" s="15" t="s">
        <v>4229</v>
      </c>
      <c r="J22" s="15" t="s">
        <v>4230</v>
      </c>
      <c r="K22" s="17">
        <v>0.33333333333333331</v>
      </c>
      <c r="L22" s="16">
        <v>45995</v>
      </c>
    </row>
    <row r="23" spans="1:12" ht="229.5">
      <c r="A23" s="14" t="s">
        <v>4231</v>
      </c>
      <c r="B23" s="16">
        <v>45995</v>
      </c>
      <c r="C23" s="17">
        <v>0.29166666666666669</v>
      </c>
      <c r="D23" s="17">
        <v>0.29166666666666669</v>
      </c>
      <c r="E23" s="15" t="s">
        <v>230</v>
      </c>
      <c r="F23" s="15" t="s">
        <v>4232</v>
      </c>
      <c r="G23" s="15" t="s">
        <v>4176</v>
      </c>
      <c r="H23" s="15">
        <v>20251215</v>
      </c>
      <c r="I23" s="15" t="s">
        <v>2057</v>
      </c>
      <c r="J23" s="15" t="s">
        <v>4233</v>
      </c>
      <c r="K23" s="17">
        <v>0.30208333333333331</v>
      </c>
      <c r="L23" s="16">
        <v>45995</v>
      </c>
    </row>
    <row r="24" spans="1:12" ht="137.25">
      <c r="A24" s="14" t="s">
        <v>4234</v>
      </c>
      <c r="B24" s="16">
        <v>45995</v>
      </c>
      <c r="C24" s="17">
        <v>0.39374999999999999</v>
      </c>
      <c r="D24" s="17">
        <v>0.39374999999999999</v>
      </c>
      <c r="E24" s="15" t="s">
        <v>230</v>
      </c>
      <c r="F24" s="15" t="s">
        <v>4185</v>
      </c>
      <c r="G24" s="15" t="s">
        <v>4155</v>
      </c>
      <c r="H24" s="15">
        <v>20251216</v>
      </c>
      <c r="I24" s="15" t="s">
        <v>4235</v>
      </c>
      <c r="J24" s="15" t="s">
        <v>4236</v>
      </c>
      <c r="K24" s="17">
        <v>0.41319444444444442</v>
      </c>
      <c r="L24" s="16">
        <v>45995</v>
      </c>
    </row>
    <row r="25" spans="1:12" ht="167.25">
      <c r="A25" s="14" t="s">
        <v>4237</v>
      </c>
      <c r="B25" s="16">
        <v>45995</v>
      </c>
      <c r="C25" s="17">
        <v>0.40625</v>
      </c>
      <c r="D25" s="17">
        <v>0.40625</v>
      </c>
      <c r="E25" s="15" t="s">
        <v>4238</v>
      </c>
      <c r="F25" s="15" t="s">
        <v>4239</v>
      </c>
      <c r="G25" s="15" t="s">
        <v>4176</v>
      </c>
      <c r="H25" s="15">
        <v>8350901</v>
      </c>
      <c r="I25" s="15" t="s">
        <v>4240</v>
      </c>
      <c r="J25" s="15" t="s">
        <v>4241</v>
      </c>
      <c r="K25" s="17">
        <v>0.4861111111111111</v>
      </c>
      <c r="L25" s="16">
        <v>45995</v>
      </c>
    </row>
    <row r="26" spans="1:12" ht="229.5">
      <c r="A26" s="14" t="s">
        <v>4242</v>
      </c>
      <c r="B26" s="16">
        <v>45995</v>
      </c>
      <c r="C26" s="17">
        <v>0.40972222222222221</v>
      </c>
      <c r="D26" s="17">
        <v>0.40972222222222221</v>
      </c>
      <c r="E26" s="15" t="s">
        <v>230</v>
      </c>
      <c r="F26" s="15" t="s">
        <v>248</v>
      </c>
      <c r="G26" s="15" t="s">
        <v>4243</v>
      </c>
      <c r="H26" s="15">
        <v>8384935</v>
      </c>
      <c r="I26" s="15" t="s">
        <v>2100</v>
      </c>
      <c r="J26" s="15" t="s">
        <v>2101</v>
      </c>
      <c r="K26" s="17">
        <v>0.625</v>
      </c>
      <c r="L26" s="16">
        <v>45996</v>
      </c>
    </row>
    <row r="27" spans="1:12" ht="213">
      <c r="A27" s="14" t="s">
        <v>4219</v>
      </c>
      <c r="B27" s="16">
        <v>45995</v>
      </c>
      <c r="C27" s="15" t="s">
        <v>4244</v>
      </c>
      <c r="D27" s="15" t="s">
        <v>4244</v>
      </c>
      <c r="E27" s="15" t="s">
        <v>4238</v>
      </c>
      <c r="F27" s="15" t="s">
        <v>4178</v>
      </c>
      <c r="G27" s="15" t="s">
        <v>4176</v>
      </c>
      <c r="H27" s="15">
        <v>8350930</v>
      </c>
      <c r="I27" s="15" t="s">
        <v>4245</v>
      </c>
      <c r="J27" s="15" t="s">
        <v>4246</v>
      </c>
      <c r="K27" s="15" t="s">
        <v>4247</v>
      </c>
      <c r="L27" s="16">
        <v>45995</v>
      </c>
    </row>
    <row r="28" spans="1:12" ht="167.25">
      <c r="A28" s="14" t="s">
        <v>4248</v>
      </c>
      <c r="B28" s="16">
        <v>45995</v>
      </c>
      <c r="C28" s="17">
        <v>0.54513888888888884</v>
      </c>
      <c r="D28" s="17">
        <v>0.54513888888888884</v>
      </c>
      <c r="E28" s="15" t="s">
        <v>4238</v>
      </c>
      <c r="F28" s="15" t="s">
        <v>4239</v>
      </c>
      <c r="G28" s="15" t="s">
        <v>4155</v>
      </c>
      <c r="H28" s="15">
        <v>8350901</v>
      </c>
      <c r="I28" s="15" t="s">
        <v>4240</v>
      </c>
      <c r="J28" s="15" t="s">
        <v>4241</v>
      </c>
      <c r="K28" s="17">
        <v>0.60416666666666663</v>
      </c>
      <c r="L28" s="16">
        <v>45995</v>
      </c>
    </row>
    <row r="29" spans="1:12" ht="167.25">
      <c r="A29" s="14" t="s">
        <v>4249</v>
      </c>
      <c r="B29" s="16">
        <v>45995</v>
      </c>
      <c r="C29" s="17">
        <v>0.60555555555555551</v>
      </c>
      <c r="D29" s="17">
        <v>0.60555555555555551</v>
      </c>
      <c r="E29" s="15" t="s">
        <v>4238</v>
      </c>
      <c r="F29" s="15" t="s">
        <v>4239</v>
      </c>
      <c r="G29" s="15" t="s">
        <v>4176</v>
      </c>
      <c r="H29" s="15">
        <v>8350901</v>
      </c>
      <c r="I29" s="15" t="s">
        <v>4240</v>
      </c>
      <c r="J29" s="15" t="s">
        <v>4241</v>
      </c>
      <c r="K29" s="17">
        <v>0.65625</v>
      </c>
      <c r="L29" s="16">
        <v>45995</v>
      </c>
    </row>
    <row r="30" spans="1:12" ht="198">
      <c r="A30" s="14" t="s">
        <v>4250</v>
      </c>
      <c r="B30" s="16">
        <v>45995</v>
      </c>
      <c r="C30" s="17">
        <v>0.7006944444444444</v>
      </c>
      <c r="D30" s="17">
        <v>0.7006944444444444</v>
      </c>
      <c r="E30" s="15" t="s">
        <v>4238</v>
      </c>
      <c r="F30" s="15" t="s">
        <v>4251</v>
      </c>
      <c r="G30" s="15" t="s">
        <v>4176</v>
      </c>
      <c r="H30" s="15">
        <v>8386000</v>
      </c>
      <c r="I30" s="15" t="s">
        <v>4252</v>
      </c>
      <c r="J30" s="15" t="s">
        <v>4253</v>
      </c>
      <c r="K30" s="15"/>
      <c r="L30" s="15"/>
    </row>
    <row r="31" spans="1:12" ht="152.25">
      <c r="A31" s="14" t="s">
        <v>4254</v>
      </c>
      <c r="B31" s="16">
        <v>45995</v>
      </c>
      <c r="C31" s="17">
        <v>0.92361111111111116</v>
      </c>
      <c r="D31" s="17">
        <v>0.92361111111111116</v>
      </c>
      <c r="E31" s="15" t="s">
        <v>230</v>
      </c>
      <c r="F31" s="15" t="s">
        <v>4255</v>
      </c>
      <c r="G31" s="15" t="s">
        <v>4160</v>
      </c>
      <c r="H31" s="15">
        <v>20251217</v>
      </c>
      <c r="I31" s="15" t="s">
        <v>4209</v>
      </c>
      <c r="J31" s="15" t="s">
        <v>4256</v>
      </c>
      <c r="K31" s="17">
        <v>0.30208333333333331</v>
      </c>
      <c r="L31" s="16">
        <v>45996</v>
      </c>
    </row>
    <row r="32" spans="1:12" ht="290.25">
      <c r="A32" s="14" t="s">
        <v>4257</v>
      </c>
      <c r="B32" s="16">
        <v>45996</v>
      </c>
      <c r="C32" s="17">
        <v>0.2673611111111111</v>
      </c>
      <c r="D32" s="17">
        <v>0.2673611111111111</v>
      </c>
      <c r="E32" s="15" t="s">
        <v>230</v>
      </c>
      <c r="F32" s="15" t="s">
        <v>4226</v>
      </c>
      <c r="G32" s="15" t="s">
        <v>4176</v>
      </c>
      <c r="H32" s="15">
        <v>20251219</v>
      </c>
      <c r="I32" s="15" t="s">
        <v>4258</v>
      </c>
      <c r="J32" s="15" t="s">
        <v>742</v>
      </c>
      <c r="K32" s="15" t="s">
        <v>4259</v>
      </c>
      <c r="L32" s="16">
        <v>45996</v>
      </c>
    </row>
    <row r="33" spans="1:12" ht="137.25">
      <c r="A33" s="14" t="s">
        <v>4208</v>
      </c>
      <c r="B33" s="16">
        <v>45996</v>
      </c>
      <c r="C33" s="17">
        <v>0.25694444444444442</v>
      </c>
      <c r="D33" s="17">
        <v>0.25694444444444442</v>
      </c>
      <c r="E33" s="15" t="s">
        <v>230</v>
      </c>
      <c r="F33" s="15" t="s">
        <v>4255</v>
      </c>
      <c r="G33" s="15" t="s">
        <v>4155</v>
      </c>
      <c r="H33" s="15">
        <v>20251218</v>
      </c>
      <c r="I33" s="15" t="s">
        <v>4260</v>
      </c>
      <c r="J33" s="15" t="s">
        <v>4261</v>
      </c>
      <c r="K33" s="17">
        <v>0.38333333333333336</v>
      </c>
      <c r="L33" s="16">
        <v>45996</v>
      </c>
    </row>
    <row r="34" spans="1:12" ht="167.25">
      <c r="A34" s="14" t="s">
        <v>4262</v>
      </c>
      <c r="B34" s="16">
        <v>45996</v>
      </c>
      <c r="C34" s="17">
        <v>0.31388888888888888</v>
      </c>
      <c r="D34" s="17">
        <v>0.31388888888888888</v>
      </c>
      <c r="E34" s="15" t="s">
        <v>4238</v>
      </c>
      <c r="F34" s="15" t="s">
        <v>4239</v>
      </c>
      <c r="G34" s="15" t="s">
        <v>4155</v>
      </c>
      <c r="H34" s="15">
        <v>8350915</v>
      </c>
      <c r="I34" s="15" t="s">
        <v>4240</v>
      </c>
      <c r="J34" s="15" t="s">
        <v>4241</v>
      </c>
      <c r="K34" s="17">
        <v>0.36458333333333331</v>
      </c>
      <c r="L34" s="16">
        <v>45996</v>
      </c>
    </row>
    <row r="35" spans="1:12" ht="167.25">
      <c r="A35" s="14" t="s">
        <v>4263</v>
      </c>
      <c r="B35" s="16">
        <v>45996</v>
      </c>
      <c r="C35" s="17">
        <v>0.36527777777777776</v>
      </c>
      <c r="D35" s="17">
        <v>0.36527777777777776</v>
      </c>
      <c r="E35" s="15" t="s">
        <v>4238</v>
      </c>
      <c r="F35" s="15" t="s">
        <v>4239</v>
      </c>
      <c r="G35" s="15" t="s">
        <v>4176</v>
      </c>
      <c r="H35" s="15">
        <v>8350915</v>
      </c>
      <c r="I35" s="15" t="s">
        <v>4240</v>
      </c>
      <c r="J35" s="15" t="s">
        <v>4241</v>
      </c>
      <c r="K35" s="17">
        <v>0.40694444444444444</v>
      </c>
      <c r="L35" s="16">
        <v>45996</v>
      </c>
    </row>
    <row r="36" spans="1:12" ht="121.5">
      <c r="A36" s="14" t="s">
        <v>4264</v>
      </c>
      <c r="B36" s="16">
        <v>45996</v>
      </c>
      <c r="C36" s="17">
        <v>0.36805555555555558</v>
      </c>
      <c r="D36" s="17">
        <v>0.36805555555555558</v>
      </c>
      <c r="E36" s="15" t="s">
        <v>230</v>
      </c>
      <c r="F36" s="15" t="s">
        <v>4255</v>
      </c>
      <c r="G36" s="15" t="s">
        <v>4160</v>
      </c>
      <c r="H36" s="15">
        <v>20251220</v>
      </c>
      <c r="I36" s="15" t="s">
        <v>4209</v>
      </c>
      <c r="J36" s="15" t="s">
        <v>4265</v>
      </c>
      <c r="K36" s="15"/>
      <c r="L36" s="15"/>
    </row>
    <row r="37" spans="1:12" ht="167.25">
      <c r="A37" s="14" t="s">
        <v>4266</v>
      </c>
      <c r="B37" s="16">
        <v>45996</v>
      </c>
      <c r="C37" s="17">
        <v>0.40972222222222221</v>
      </c>
      <c r="D37" s="17">
        <v>0.40972222222222221</v>
      </c>
      <c r="E37" s="15" t="s">
        <v>4238</v>
      </c>
      <c r="F37" s="15" t="s">
        <v>4239</v>
      </c>
      <c r="G37" s="15" t="s">
        <v>4176</v>
      </c>
      <c r="H37" s="15">
        <v>8350915</v>
      </c>
      <c r="I37" s="15" t="s">
        <v>4240</v>
      </c>
      <c r="J37" s="15" t="s">
        <v>4241</v>
      </c>
      <c r="K37" s="17">
        <v>0.45833333333333331</v>
      </c>
      <c r="L37" s="16">
        <v>45996</v>
      </c>
    </row>
    <row r="38" spans="1:12" ht="121.5">
      <c r="A38" s="14" t="s">
        <v>4208</v>
      </c>
      <c r="B38" s="16">
        <v>45996</v>
      </c>
      <c r="C38" s="17">
        <v>0.47152777777777777</v>
      </c>
      <c r="D38" s="17">
        <v>0.47152777777777777</v>
      </c>
      <c r="E38" s="15" t="s">
        <v>230</v>
      </c>
      <c r="F38" s="15" t="s">
        <v>4255</v>
      </c>
      <c r="G38" s="15" t="s">
        <v>4155</v>
      </c>
      <c r="H38" s="15">
        <v>8392759</v>
      </c>
      <c r="I38" s="15" t="s">
        <v>4267</v>
      </c>
      <c r="J38" s="15" t="s">
        <v>4268</v>
      </c>
      <c r="K38" s="17">
        <v>0.54097222222222219</v>
      </c>
      <c r="L38" s="16">
        <v>45996</v>
      </c>
    </row>
    <row r="39" spans="1:12" ht="121.5">
      <c r="A39" s="14" t="s">
        <v>4264</v>
      </c>
      <c r="B39" s="16">
        <v>45997</v>
      </c>
      <c r="C39" s="17">
        <v>0.35833333333333334</v>
      </c>
      <c r="D39" s="17">
        <v>0.35833333333333334</v>
      </c>
      <c r="E39" s="15" t="s">
        <v>230</v>
      </c>
      <c r="F39" s="15" t="s">
        <v>4255</v>
      </c>
      <c r="G39" s="15" t="s">
        <v>4160</v>
      </c>
      <c r="H39" s="15">
        <v>20251222</v>
      </c>
      <c r="I39" s="15" t="s">
        <v>4209</v>
      </c>
      <c r="J39" s="15" t="s">
        <v>4265</v>
      </c>
      <c r="K39" s="15"/>
      <c r="L39" s="15"/>
    </row>
    <row r="40" spans="1:12" ht="275.25">
      <c r="A40" s="14" t="s">
        <v>4257</v>
      </c>
      <c r="B40" s="16">
        <v>45997</v>
      </c>
      <c r="C40" s="17">
        <v>0.36180555555555555</v>
      </c>
      <c r="D40" s="17">
        <v>0.36180555555555555</v>
      </c>
      <c r="E40" s="15" t="s">
        <v>230</v>
      </c>
      <c r="F40" s="15" t="s">
        <v>4226</v>
      </c>
      <c r="G40" s="15" t="s">
        <v>4176</v>
      </c>
      <c r="H40" s="15">
        <v>20251223</v>
      </c>
      <c r="I40" s="15" t="s">
        <v>4269</v>
      </c>
      <c r="J40" s="15" t="s">
        <v>2996</v>
      </c>
      <c r="K40" s="17">
        <v>0.41666666666666669</v>
      </c>
      <c r="L40" s="16">
        <v>45997</v>
      </c>
    </row>
    <row r="41" spans="1:12" ht="137.25">
      <c r="A41" s="14" t="s">
        <v>4270</v>
      </c>
      <c r="B41" s="16">
        <v>45997</v>
      </c>
      <c r="C41" s="17">
        <v>0.40277777777777779</v>
      </c>
      <c r="D41" s="17">
        <v>0.40277777777777779</v>
      </c>
      <c r="E41" s="15" t="s">
        <v>230</v>
      </c>
      <c r="F41" s="15" t="s">
        <v>4255</v>
      </c>
      <c r="G41" s="15" t="s">
        <v>4271</v>
      </c>
      <c r="H41" s="15">
        <v>20251224</v>
      </c>
      <c r="I41" s="15" t="s">
        <v>4272</v>
      </c>
      <c r="J41" s="15" t="s">
        <v>4273</v>
      </c>
      <c r="K41" s="17">
        <v>0.69444444444444442</v>
      </c>
      <c r="L41" s="16">
        <v>45997</v>
      </c>
    </row>
    <row r="42" spans="1:12" ht="121.5">
      <c r="A42" s="14" t="s">
        <v>4274</v>
      </c>
      <c r="B42" s="16">
        <v>45997</v>
      </c>
      <c r="C42" s="17">
        <v>0.42708333333333331</v>
      </c>
      <c r="D42" s="17">
        <v>0.42708333333333331</v>
      </c>
      <c r="E42" s="15" t="s">
        <v>4275</v>
      </c>
      <c r="F42" s="15" t="s">
        <v>4276</v>
      </c>
      <c r="G42" s="15" t="s">
        <v>4155</v>
      </c>
      <c r="H42" s="15">
        <v>20251225</v>
      </c>
      <c r="I42" s="15" t="s">
        <v>4277</v>
      </c>
      <c r="J42" s="15" t="s">
        <v>4278</v>
      </c>
      <c r="K42" s="17">
        <v>0.53819444444444442</v>
      </c>
      <c r="L42" s="16">
        <v>45997</v>
      </c>
    </row>
    <row r="43" spans="1:12" ht="76.5">
      <c r="A43" s="14" t="s">
        <v>4279</v>
      </c>
      <c r="B43" s="16">
        <v>45997</v>
      </c>
      <c r="C43" s="17">
        <v>0.46111111111111114</v>
      </c>
      <c r="D43" s="17">
        <v>0.46111111111111114</v>
      </c>
      <c r="E43" s="15" t="s">
        <v>4153</v>
      </c>
      <c r="F43" s="15" t="s">
        <v>4280</v>
      </c>
      <c r="G43" s="15" t="s">
        <v>4155</v>
      </c>
      <c r="H43" s="15">
        <v>20251226</v>
      </c>
      <c r="I43" s="15" t="s">
        <v>4281</v>
      </c>
      <c r="J43" s="15" t="s">
        <v>4282</v>
      </c>
      <c r="K43" s="17">
        <v>0.51736111111111116</v>
      </c>
      <c r="L43" s="16">
        <v>45997</v>
      </c>
    </row>
    <row r="44" spans="1:12" ht="213">
      <c r="A44" s="14" t="s">
        <v>4283</v>
      </c>
      <c r="B44" s="16">
        <v>45997</v>
      </c>
      <c r="C44" s="17">
        <v>0.53194444444444444</v>
      </c>
      <c r="D44" s="17">
        <v>0.53194444444444444</v>
      </c>
      <c r="E44" s="15" t="s">
        <v>4164</v>
      </c>
      <c r="F44" s="15" t="s">
        <v>4280</v>
      </c>
      <c r="G44" s="15" t="s">
        <v>4176</v>
      </c>
      <c r="H44" s="15">
        <v>20251227</v>
      </c>
      <c r="I44" s="15" t="s">
        <v>4284</v>
      </c>
      <c r="J44" s="15" t="s">
        <v>4285</v>
      </c>
      <c r="K44" s="17">
        <v>0.57986111111111116</v>
      </c>
      <c r="L44" s="16">
        <v>45997</v>
      </c>
    </row>
    <row r="45" spans="1:12" ht="91.5">
      <c r="A45" s="14" t="s">
        <v>4286</v>
      </c>
      <c r="B45" s="16">
        <v>45997</v>
      </c>
      <c r="C45" s="17">
        <v>0.93402777777777779</v>
      </c>
      <c r="D45" s="17">
        <v>0.93402777777777779</v>
      </c>
      <c r="E45" s="15" t="s">
        <v>4153</v>
      </c>
      <c r="F45" s="15" t="s">
        <v>4287</v>
      </c>
      <c r="G45" s="15" t="s">
        <v>4160</v>
      </c>
      <c r="H45" s="15">
        <v>20251228</v>
      </c>
      <c r="I45" s="15" t="s">
        <v>4166</v>
      </c>
      <c r="J45" s="15" t="s">
        <v>4288</v>
      </c>
      <c r="K45" s="15"/>
      <c r="L45" s="15"/>
    </row>
    <row r="46" spans="1:12" ht="121.5">
      <c r="A46" s="14" t="s">
        <v>4257</v>
      </c>
      <c r="B46" s="16">
        <v>45998</v>
      </c>
      <c r="C46" s="17">
        <v>0.25347222222222221</v>
      </c>
      <c r="D46" s="17">
        <v>0.25347222222222221</v>
      </c>
      <c r="E46" s="15" t="s">
        <v>230</v>
      </c>
      <c r="F46" s="15" t="s">
        <v>4289</v>
      </c>
      <c r="G46" s="15" t="s">
        <v>4160</v>
      </c>
      <c r="H46" s="15">
        <v>20251229</v>
      </c>
      <c r="I46" s="15" t="s">
        <v>4166</v>
      </c>
      <c r="J46" s="15" t="s">
        <v>4290</v>
      </c>
      <c r="K46" s="15"/>
      <c r="L46" s="15"/>
    </row>
    <row r="47" spans="1:12" ht="106.5">
      <c r="A47" s="14" t="s">
        <v>4208</v>
      </c>
      <c r="B47" s="16">
        <v>45998</v>
      </c>
      <c r="C47" s="17">
        <v>0.27777777777777779</v>
      </c>
      <c r="D47" s="17">
        <v>0.27777777777777779</v>
      </c>
      <c r="E47" s="15" t="s">
        <v>230</v>
      </c>
      <c r="F47" s="15" t="s">
        <v>4291</v>
      </c>
      <c r="G47" s="15" t="s">
        <v>4176</v>
      </c>
      <c r="H47" s="15">
        <v>20251230</v>
      </c>
      <c r="I47" s="15" t="s">
        <v>4292</v>
      </c>
      <c r="J47" s="15" t="s">
        <v>4293</v>
      </c>
      <c r="K47" s="17">
        <v>0.2902777777777778</v>
      </c>
      <c r="L47" s="16">
        <v>45998</v>
      </c>
    </row>
    <row r="48" spans="1:12" ht="259.5">
      <c r="A48" s="14" t="s">
        <v>4294</v>
      </c>
      <c r="B48" s="16">
        <v>45998</v>
      </c>
      <c r="C48" s="17">
        <v>0.28472222222222221</v>
      </c>
      <c r="D48" s="17">
        <v>0.28472222222222221</v>
      </c>
      <c r="E48" s="15" t="s">
        <v>230</v>
      </c>
      <c r="F48" s="15" t="s">
        <v>4295</v>
      </c>
      <c r="G48" s="15" t="s">
        <v>4155</v>
      </c>
      <c r="H48" s="15">
        <v>20251231</v>
      </c>
      <c r="I48" s="15" t="s">
        <v>4296</v>
      </c>
      <c r="J48" s="15" t="s">
        <v>4297</v>
      </c>
      <c r="K48" s="17">
        <v>0.39583333333333331</v>
      </c>
      <c r="L48" s="16">
        <v>45815</v>
      </c>
    </row>
    <row r="49" spans="1:12" ht="91.5">
      <c r="A49" s="14" t="s">
        <v>4298</v>
      </c>
      <c r="B49" s="16">
        <v>45998</v>
      </c>
      <c r="C49" s="17">
        <v>0.2951388888888889</v>
      </c>
      <c r="D49" s="17">
        <v>0.2951388888888889</v>
      </c>
      <c r="E49" s="15" t="s">
        <v>230</v>
      </c>
      <c r="F49" s="15" t="s">
        <v>4291</v>
      </c>
      <c r="G49" s="15" t="s">
        <v>4176</v>
      </c>
      <c r="H49" s="15">
        <v>20251232</v>
      </c>
      <c r="I49" s="15" t="s">
        <v>4299</v>
      </c>
      <c r="J49" s="15" t="s">
        <v>4300</v>
      </c>
      <c r="K49" s="17">
        <v>0.35138888888888886</v>
      </c>
      <c r="L49" s="16">
        <v>45998</v>
      </c>
    </row>
    <row r="50" spans="1:12" ht="152.25">
      <c r="A50" s="14" t="s">
        <v>4301</v>
      </c>
      <c r="B50" s="16">
        <v>45998</v>
      </c>
      <c r="C50" s="17">
        <v>0.37847222222222221</v>
      </c>
      <c r="D50" s="17">
        <v>0.37847222222222221</v>
      </c>
      <c r="E50" s="15" t="s">
        <v>4153</v>
      </c>
      <c r="F50" s="15" t="s">
        <v>4287</v>
      </c>
      <c r="G50" s="15" t="s">
        <v>4155</v>
      </c>
      <c r="H50" s="15">
        <v>20251229</v>
      </c>
      <c r="I50" s="15" t="s">
        <v>4302</v>
      </c>
      <c r="J50" s="15" t="s">
        <v>4157</v>
      </c>
      <c r="K50" s="17">
        <v>0.69374999999999998</v>
      </c>
      <c r="L50" s="16">
        <v>45968</v>
      </c>
    </row>
    <row r="51" spans="1:12" ht="121.5">
      <c r="A51" s="14" t="s">
        <v>4204</v>
      </c>
      <c r="B51" s="16">
        <v>45998</v>
      </c>
      <c r="C51" s="17">
        <v>0.56597222222222221</v>
      </c>
      <c r="D51" s="17">
        <v>0.56597222222222221</v>
      </c>
      <c r="E51" s="15" t="s">
        <v>4153</v>
      </c>
      <c r="F51" s="15" t="s">
        <v>4287</v>
      </c>
      <c r="G51" s="15" t="s">
        <v>4303</v>
      </c>
      <c r="H51" s="15">
        <v>20251230</v>
      </c>
      <c r="I51" s="15" t="s">
        <v>4304</v>
      </c>
      <c r="J51" s="15" t="s">
        <v>4305</v>
      </c>
      <c r="K51" s="17">
        <v>0.625</v>
      </c>
      <c r="L51" s="16">
        <v>45998</v>
      </c>
    </row>
    <row r="52" spans="1:12" ht="213">
      <c r="A52" s="14" t="s">
        <v>39</v>
      </c>
      <c r="B52" s="16">
        <v>45998</v>
      </c>
      <c r="C52" s="17">
        <v>0.625</v>
      </c>
      <c r="D52" s="17">
        <v>0.625</v>
      </c>
      <c r="E52" s="15" t="s">
        <v>230</v>
      </c>
      <c r="F52" s="15" t="s">
        <v>4178</v>
      </c>
      <c r="G52" s="15" t="s">
        <v>4176</v>
      </c>
      <c r="H52" s="15">
        <v>20251233</v>
      </c>
      <c r="I52" s="15" t="s">
        <v>2263</v>
      </c>
      <c r="J52" s="15" t="s">
        <v>4306</v>
      </c>
      <c r="K52" s="17">
        <v>0.48958333333333331</v>
      </c>
      <c r="L52" s="16">
        <v>45999</v>
      </c>
    </row>
    <row r="53" spans="1:12" ht="121.5">
      <c r="A53" s="14" t="s">
        <v>4307</v>
      </c>
      <c r="B53" s="16">
        <v>45998</v>
      </c>
      <c r="C53" s="17">
        <v>0.6875</v>
      </c>
      <c r="D53" s="17">
        <v>0.6875</v>
      </c>
      <c r="E53" s="15" t="s">
        <v>230</v>
      </c>
      <c r="F53" s="15" t="s">
        <v>4209</v>
      </c>
      <c r="G53" s="15" t="s">
        <v>4160</v>
      </c>
      <c r="H53" s="15">
        <v>20251234</v>
      </c>
      <c r="I53" s="15" t="s">
        <v>4308</v>
      </c>
      <c r="J53" s="15" t="s">
        <v>4290</v>
      </c>
      <c r="K53" s="15"/>
      <c r="L53" s="15"/>
    </row>
    <row r="54" spans="1:12" ht="106.5">
      <c r="A54" s="14" t="s">
        <v>4309</v>
      </c>
      <c r="B54" s="16">
        <v>45998</v>
      </c>
      <c r="C54" s="17">
        <v>0.96736111111111112</v>
      </c>
      <c r="D54" s="17">
        <v>0.96736111111111112</v>
      </c>
      <c r="E54" s="15" t="s">
        <v>4153</v>
      </c>
      <c r="F54" s="15" t="s">
        <v>4310</v>
      </c>
      <c r="G54" s="15" t="s">
        <v>4311</v>
      </c>
      <c r="H54" s="15">
        <v>202511</v>
      </c>
      <c r="I54" s="15" t="s">
        <v>4312</v>
      </c>
      <c r="J54" s="15" t="s">
        <v>4313</v>
      </c>
      <c r="K54" s="15"/>
      <c r="L54" s="15"/>
    </row>
    <row r="55" spans="1:12" ht="106.5">
      <c r="A55" s="14" t="s">
        <v>4314</v>
      </c>
      <c r="B55" s="16">
        <v>45999</v>
      </c>
      <c r="C55" s="17">
        <v>0.22083333333333333</v>
      </c>
      <c r="D55" s="17">
        <v>0.22083333333333333</v>
      </c>
      <c r="E55" s="15" t="s">
        <v>4153</v>
      </c>
      <c r="F55" s="15" t="s">
        <v>4315</v>
      </c>
      <c r="G55" s="15" t="s">
        <v>4311</v>
      </c>
      <c r="H55" s="15">
        <v>20251137</v>
      </c>
      <c r="I55" s="15" t="s">
        <v>4312</v>
      </c>
      <c r="J55" s="15" t="s">
        <v>4313</v>
      </c>
      <c r="K55" s="15"/>
      <c r="L55" s="15"/>
    </row>
    <row r="56" spans="1:12" ht="183">
      <c r="A56" s="14" t="s">
        <v>4316</v>
      </c>
      <c r="B56" s="16">
        <v>45999</v>
      </c>
      <c r="C56" s="17">
        <v>0.24097222222222223</v>
      </c>
      <c r="D56" s="17">
        <v>0.24097222222222223</v>
      </c>
      <c r="E56" s="15" t="s">
        <v>230</v>
      </c>
      <c r="F56" s="15" t="s">
        <v>4185</v>
      </c>
      <c r="G56" s="15" t="s">
        <v>4243</v>
      </c>
      <c r="H56" s="15">
        <v>20251138</v>
      </c>
      <c r="I56" s="15" t="s">
        <v>4292</v>
      </c>
      <c r="J56" s="15" t="s">
        <v>4317</v>
      </c>
      <c r="K56" s="17">
        <v>0.24652777777777779</v>
      </c>
      <c r="L56" s="26">
        <v>45999</v>
      </c>
    </row>
    <row r="57" spans="1:12" ht="60.75">
      <c r="A57" s="14" t="s">
        <v>4318</v>
      </c>
      <c r="B57" s="16">
        <v>45999</v>
      </c>
      <c r="C57" s="17">
        <v>0.2722222222222222</v>
      </c>
      <c r="D57" s="17">
        <v>0.2722222222222222</v>
      </c>
      <c r="E57" s="15" t="s">
        <v>230</v>
      </c>
      <c r="F57" s="15" t="s">
        <v>4185</v>
      </c>
      <c r="G57" s="15" t="s">
        <v>4243</v>
      </c>
      <c r="H57" s="15">
        <v>20251239</v>
      </c>
      <c r="I57" s="15" t="s">
        <v>4319</v>
      </c>
      <c r="J57" s="15" t="s">
        <v>4320</v>
      </c>
      <c r="K57" s="17">
        <v>0.3215277777777778</v>
      </c>
      <c r="L57" s="16">
        <v>45999</v>
      </c>
    </row>
    <row r="58" spans="1:12" ht="121.5">
      <c r="A58" s="14" t="s">
        <v>4321</v>
      </c>
      <c r="B58" s="16">
        <v>45999</v>
      </c>
      <c r="C58" s="17">
        <v>0.2986111111111111</v>
      </c>
      <c r="D58" s="17">
        <v>0.2986111111111111</v>
      </c>
      <c r="E58" s="15" t="s">
        <v>230</v>
      </c>
      <c r="F58" s="15" t="s">
        <v>4185</v>
      </c>
      <c r="G58" s="15" t="s">
        <v>4155</v>
      </c>
      <c r="H58" s="15">
        <v>8405182</v>
      </c>
      <c r="I58" s="15" t="s">
        <v>4322</v>
      </c>
      <c r="J58" s="15" t="s">
        <v>4323</v>
      </c>
      <c r="K58" s="17">
        <v>0.57916666666666672</v>
      </c>
      <c r="L58" s="16">
        <v>45999</v>
      </c>
    </row>
    <row r="59" spans="1:12" ht="183">
      <c r="A59" s="14" t="s">
        <v>4219</v>
      </c>
      <c r="B59" s="16">
        <v>45999</v>
      </c>
      <c r="C59" s="15" t="s">
        <v>4324</v>
      </c>
      <c r="D59" s="15" t="s">
        <v>4324</v>
      </c>
      <c r="E59" s="15" t="s">
        <v>230</v>
      </c>
      <c r="F59" s="15" t="s">
        <v>1957</v>
      </c>
      <c r="G59" s="15" t="s">
        <v>4325</v>
      </c>
      <c r="H59" s="15">
        <v>8405459</v>
      </c>
      <c r="I59" s="15" t="s">
        <v>4326</v>
      </c>
      <c r="J59" s="15" t="s">
        <v>4327</v>
      </c>
      <c r="K59" s="15"/>
      <c r="L59" s="15"/>
    </row>
    <row r="60" spans="1:12" ht="152.25">
      <c r="A60" s="14" t="s">
        <v>4328</v>
      </c>
      <c r="B60" s="16">
        <v>45999</v>
      </c>
      <c r="C60" s="17">
        <v>0.47083333333333333</v>
      </c>
      <c r="D60" s="17">
        <v>0.47083333333333333</v>
      </c>
      <c r="E60" s="15" t="s">
        <v>4275</v>
      </c>
      <c r="F60" s="15" t="s">
        <v>4329</v>
      </c>
      <c r="G60" s="15" t="s">
        <v>4155</v>
      </c>
      <c r="H60" s="15">
        <v>20251240</v>
      </c>
      <c r="I60" s="15" t="s">
        <v>4277</v>
      </c>
      <c r="J60" s="15" t="s">
        <v>4157</v>
      </c>
      <c r="K60" s="17">
        <v>0.47638888888888886</v>
      </c>
      <c r="L60" s="16">
        <v>45999</v>
      </c>
    </row>
    <row r="61" spans="1:12" ht="60.75">
      <c r="A61" s="14" t="s">
        <v>4330</v>
      </c>
      <c r="B61" s="16">
        <v>45999</v>
      </c>
      <c r="C61" s="17">
        <v>0.55833333333333335</v>
      </c>
      <c r="D61" s="17">
        <v>0.55833333333333335</v>
      </c>
      <c r="E61" s="15" t="s">
        <v>4153</v>
      </c>
      <c r="F61" s="15" t="s">
        <v>4329</v>
      </c>
      <c r="G61" s="15" t="s">
        <v>4155</v>
      </c>
      <c r="H61" s="15">
        <v>20251241</v>
      </c>
      <c r="I61" s="15" t="s">
        <v>4331</v>
      </c>
      <c r="J61" s="15" t="s">
        <v>4332</v>
      </c>
      <c r="K61" s="17">
        <v>0.58333333333333337</v>
      </c>
      <c r="L61" s="16">
        <v>45999</v>
      </c>
    </row>
    <row r="62" spans="1:12" ht="167.25">
      <c r="A62" s="14" t="s">
        <v>4286</v>
      </c>
      <c r="B62" s="16">
        <v>45999</v>
      </c>
      <c r="C62" s="17">
        <v>0.98958333333333337</v>
      </c>
      <c r="D62" s="17">
        <v>0.98958333333333337</v>
      </c>
      <c r="E62" s="15" t="s">
        <v>4153</v>
      </c>
      <c r="F62" s="15" t="s">
        <v>4333</v>
      </c>
      <c r="G62" s="15" t="s">
        <v>4155</v>
      </c>
      <c r="H62" s="15">
        <v>20251242</v>
      </c>
      <c r="I62" s="15" t="s">
        <v>4334</v>
      </c>
      <c r="J62" s="15" t="s">
        <v>4335</v>
      </c>
      <c r="K62" s="17">
        <v>0.25</v>
      </c>
      <c r="L62" s="16">
        <v>46000</v>
      </c>
    </row>
    <row r="63" spans="1:12" ht="121.5">
      <c r="A63" s="14" t="s">
        <v>4336</v>
      </c>
      <c r="B63" s="16">
        <v>46000</v>
      </c>
      <c r="C63" s="17">
        <v>0.2673611111111111</v>
      </c>
      <c r="D63" s="17">
        <v>0.2673611111111111</v>
      </c>
      <c r="E63" s="15" t="s">
        <v>230</v>
      </c>
      <c r="F63" s="15" t="s">
        <v>4209</v>
      </c>
      <c r="G63" s="15" t="s">
        <v>4155</v>
      </c>
      <c r="H63" s="15">
        <v>20251243</v>
      </c>
      <c r="I63" s="15" t="s">
        <v>4337</v>
      </c>
      <c r="J63" s="15" t="s">
        <v>4338</v>
      </c>
      <c r="K63" s="17">
        <v>0.36458333333333331</v>
      </c>
      <c r="L63" s="16">
        <v>46000</v>
      </c>
    </row>
    <row r="64" spans="1:12" ht="121.5">
      <c r="A64" s="14" t="s">
        <v>4339</v>
      </c>
      <c r="B64" s="16">
        <v>46000</v>
      </c>
      <c r="C64" s="17">
        <v>0.33333333333333331</v>
      </c>
      <c r="D64" s="17">
        <v>0.33333333333333331</v>
      </c>
      <c r="E64" s="15" t="s">
        <v>4238</v>
      </c>
      <c r="F64" s="15" t="s">
        <v>4251</v>
      </c>
      <c r="G64" s="15" t="s">
        <v>4160</v>
      </c>
      <c r="H64" s="15">
        <v>8350915</v>
      </c>
      <c r="I64" s="15" t="s">
        <v>4340</v>
      </c>
      <c r="J64" s="15" t="s">
        <v>4341</v>
      </c>
      <c r="K64" s="15"/>
      <c r="L64" s="15"/>
    </row>
    <row r="65" spans="1:12" ht="137.25">
      <c r="A65" s="14" t="s">
        <v>4342</v>
      </c>
      <c r="B65" s="16">
        <v>46000</v>
      </c>
      <c r="C65" s="17">
        <v>0.33333333333333331</v>
      </c>
      <c r="D65" s="17">
        <v>0.33333333333333331</v>
      </c>
      <c r="E65" s="15" t="s">
        <v>4238</v>
      </c>
      <c r="F65" s="15" t="s">
        <v>4251</v>
      </c>
      <c r="G65" s="15" t="s">
        <v>4176</v>
      </c>
      <c r="H65" s="15">
        <v>8350915</v>
      </c>
      <c r="I65" s="15" t="s">
        <v>4340</v>
      </c>
      <c r="J65" s="15" t="s">
        <v>2180</v>
      </c>
      <c r="K65" s="17">
        <v>0.43055555555555558</v>
      </c>
      <c r="L65" s="16">
        <v>46000</v>
      </c>
    </row>
    <row r="66" spans="1:12" ht="106.5">
      <c r="A66" s="14" t="s">
        <v>4343</v>
      </c>
      <c r="B66" s="16">
        <v>45970</v>
      </c>
      <c r="C66" s="17">
        <v>0.34513888888888888</v>
      </c>
      <c r="D66" s="17">
        <v>0.34513888888888888</v>
      </c>
      <c r="E66" s="15" t="s">
        <v>230</v>
      </c>
      <c r="F66" s="15" t="s">
        <v>4344</v>
      </c>
      <c r="G66" s="15" t="s">
        <v>4160</v>
      </c>
      <c r="H66" s="15">
        <v>20251244</v>
      </c>
      <c r="I66" s="15" t="s">
        <v>4345</v>
      </c>
      <c r="J66" s="15" t="s">
        <v>4346</v>
      </c>
      <c r="K66" s="15"/>
      <c r="L66" s="15"/>
    </row>
    <row r="67" spans="1:12" ht="137.25">
      <c r="A67" s="14" t="s">
        <v>4347</v>
      </c>
      <c r="B67" s="16">
        <v>46000</v>
      </c>
      <c r="C67" s="17">
        <v>0.43402777777777779</v>
      </c>
      <c r="D67" s="17">
        <v>0.43402777777777779</v>
      </c>
      <c r="E67" s="15" t="s">
        <v>4238</v>
      </c>
      <c r="F67" s="15" t="s">
        <v>4251</v>
      </c>
      <c r="G67" s="15" t="s">
        <v>4176</v>
      </c>
      <c r="H67" s="15">
        <v>8350915</v>
      </c>
      <c r="I67" s="15" t="s">
        <v>4340</v>
      </c>
      <c r="J67" s="15" t="s">
        <v>2180</v>
      </c>
      <c r="K67" s="17">
        <v>0.49305555555555558</v>
      </c>
      <c r="L67" s="16">
        <v>46000</v>
      </c>
    </row>
    <row r="68" spans="1:12" ht="106.5">
      <c r="A68" s="14" t="s">
        <v>4348</v>
      </c>
      <c r="B68" s="16">
        <v>45970</v>
      </c>
      <c r="C68" s="17">
        <v>0.4375</v>
      </c>
      <c r="D68" s="17">
        <v>0.4375</v>
      </c>
      <c r="E68" s="15" t="s">
        <v>4164</v>
      </c>
      <c r="F68" s="15" t="s">
        <v>4349</v>
      </c>
      <c r="G68" s="15" t="s">
        <v>4155</v>
      </c>
      <c r="H68" s="15">
        <v>20251245</v>
      </c>
      <c r="I68" s="15" t="s">
        <v>2265</v>
      </c>
      <c r="J68" s="15" t="s">
        <v>4346</v>
      </c>
      <c r="K68" s="17">
        <v>0.44444444444444442</v>
      </c>
      <c r="L68" s="16">
        <v>46000</v>
      </c>
    </row>
    <row r="69" spans="1:12" ht="137.25">
      <c r="A69" s="14" t="s">
        <v>4336</v>
      </c>
      <c r="B69" s="16">
        <v>46000</v>
      </c>
      <c r="C69" s="17">
        <v>0.50902777777777775</v>
      </c>
      <c r="D69" s="17">
        <v>0.50902777777777775</v>
      </c>
      <c r="E69" s="15" t="s">
        <v>230</v>
      </c>
      <c r="F69" s="15" t="s">
        <v>4209</v>
      </c>
      <c r="G69" s="15" t="s">
        <v>4155</v>
      </c>
      <c r="H69" s="15">
        <v>20251246</v>
      </c>
      <c r="I69" s="15" t="s">
        <v>4337</v>
      </c>
      <c r="J69" s="15" t="s">
        <v>4350</v>
      </c>
      <c r="K69" s="17">
        <v>0.62708333333333333</v>
      </c>
      <c r="L69" s="16">
        <v>46000</v>
      </c>
    </row>
    <row r="70" spans="1:12" ht="137.25">
      <c r="A70" s="14" t="s">
        <v>4181</v>
      </c>
      <c r="B70" s="16">
        <v>46000</v>
      </c>
      <c r="C70" s="17">
        <v>0.54861111111111116</v>
      </c>
      <c r="D70" s="17">
        <v>0.54861111111111116</v>
      </c>
      <c r="E70" s="15" t="s">
        <v>230</v>
      </c>
      <c r="F70" s="15" t="s">
        <v>4209</v>
      </c>
      <c r="G70" s="15" t="s">
        <v>4160</v>
      </c>
      <c r="H70" s="15">
        <v>20251247</v>
      </c>
      <c r="I70" s="15" t="s">
        <v>4351</v>
      </c>
      <c r="J70" s="15" t="s">
        <v>4352</v>
      </c>
      <c r="K70" s="15"/>
      <c r="L70" s="15"/>
    </row>
    <row r="71" spans="1:12" ht="137.25">
      <c r="A71" s="14" t="s">
        <v>4353</v>
      </c>
      <c r="B71" s="16">
        <v>46000</v>
      </c>
      <c r="C71" s="17">
        <v>0.55902777777777779</v>
      </c>
      <c r="D71" s="17">
        <v>0.55902777777777779</v>
      </c>
      <c r="E71" s="15" t="s">
        <v>4238</v>
      </c>
      <c r="F71" s="15" t="s">
        <v>4251</v>
      </c>
      <c r="G71" s="15" t="s">
        <v>4176</v>
      </c>
      <c r="H71" s="15">
        <v>8350915</v>
      </c>
      <c r="I71" s="15" t="s">
        <v>4340</v>
      </c>
      <c r="J71" s="15" t="s">
        <v>2180</v>
      </c>
      <c r="K71" s="17">
        <v>0.63888888888888884</v>
      </c>
      <c r="L71" s="16">
        <v>46000</v>
      </c>
    </row>
    <row r="72" spans="1:12" ht="229.5">
      <c r="A72" s="14" t="s">
        <v>4354</v>
      </c>
      <c r="B72" s="16">
        <v>46001</v>
      </c>
      <c r="C72" s="17">
        <v>0.25416666666666665</v>
      </c>
      <c r="D72" s="17">
        <v>0.25416666666666665</v>
      </c>
      <c r="E72" s="15" t="s">
        <v>4175</v>
      </c>
      <c r="F72" s="15" t="s">
        <v>4355</v>
      </c>
      <c r="G72" s="15" t="s">
        <v>4176</v>
      </c>
      <c r="H72" s="15">
        <v>20251248</v>
      </c>
      <c r="I72" s="15" t="s">
        <v>2057</v>
      </c>
      <c r="J72" s="15" t="s">
        <v>4356</v>
      </c>
      <c r="K72" s="17">
        <v>0.30416666666666664</v>
      </c>
      <c r="L72" s="16">
        <v>46001</v>
      </c>
    </row>
    <row r="73" spans="1:12" ht="137.25">
      <c r="A73" s="14" t="s">
        <v>4357</v>
      </c>
      <c r="B73" s="16">
        <v>46001</v>
      </c>
      <c r="C73" s="17">
        <v>0.34166666666666667</v>
      </c>
      <c r="D73" s="17">
        <v>0.34166666666666667</v>
      </c>
      <c r="E73" s="15" t="s">
        <v>4238</v>
      </c>
      <c r="F73" s="15" t="s">
        <v>4251</v>
      </c>
      <c r="G73" s="15" t="s">
        <v>4176</v>
      </c>
      <c r="H73" s="15">
        <v>8350901</v>
      </c>
      <c r="I73" s="15" t="s">
        <v>4340</v>
      </c>
      <c r="J73" s="15" t="s">
        <v>2180</v>
      </c>
      <c r="K73" s="17">
        <v>0.41319444444444442</v>
      </c>
      <c r="L73" s="16">
        <v>46001</v>
      </c>
    </row>
    <row r="74" spans="1:12" ht="137.25">
      <c r="A74" s="14" t="s">
        <v>4339</v>
      </c>
      <c r="B74" s="16">
        <v>46001</v>
      </c>
      <c r="C74" s="17">
        <v>0.41458333333333336</v>
      </c>
      <c r="D74" s="17">
        <v>0.41458333333333336</v>
      </c>
      <c r="E74" s="15" t="s">
        <v>4238</v>
      </c>
      <c r="F74" s="15" t="s">
        <v>4251</v>
      </c>
      <c r="G74" s="15" t="s">
        <v>4176</v>
      </c>
      <c r="H74" s="15">
        <v>8350901</v>
      </c>
      <c r="I74" s="15" t="s">
        <v>4340</v>
      </c>
      <c r="J74" s="15" t="s">
        <v>2180</v>
      </c>
      <c r="K74" s="17">
        <v>0.49166666666666664</v>
      </c>
      <c r="L74" s="16">
        <v>46001</v>
      </c>
    </row>
    <row r="75" spans="1:12" ht="76.5">
      <c r="A75" s="14" t="s">
        <v>4336</v>
      </c>
      <c r="B75" s="16">
        <v>46001</v>
      </c>
      <c r="C75" s="17">
        <v>0.50694444444444442</v>
      </c>
      <c r="D75" s="17">
        <v>0.50694444444444442</v>
      </c>
      <c r="E75" s="15" t="s">
        <v>230</v>
      </c>
      <c r="F75" s="15" t="s">
        <v>4209</v>
      </c>
      <c r="G75" s="15" t="s">
        <v>4358</v>
      </c>
      <c r="H75" s="15">
        <v>8417202</v>
      </c>
      <c r="I75" s="15" t="s">
        <v>4359</v>
      </c>
      <c r="J75" s="15" t="s">
        <v>4360</v>
      </c>
      <c r="K75" s="15"/>
      <c r="L75" s="15"/>
    </row>
    <row r="76" spans="1:12" ht="137.25">
      <c r="A76" s="14" t="s">
        <v>4361</v>
      </c>
      <c r="B76" s="16">
        <v>46001</v>
      </c>
      <c r="C76" s="17">
        <v>0.56944444444444442</v>
      </c>
      <c r="D76" s="17">
        <v>0.56944444444444442</v>
      </c>
      <c r="E76" s="15" t="s">
        <v>4238</v>
      </c>
      <c r="F76" s="15" t="s">
        <v>4251</v>
      </c>
      <c r="G76" s="15" t="s">
        <v>4176</v>
      </c>
      <c r="H76" s="15">
        <v>8350901</v>
      </c>
      <c r="I76" s="15" t="s">
        <v>4340</v>
      </c>
      <c r="J76" s="15" t="s">
        <v>2180</v>
      </c>
      <c r="K76" s="17">
        <v>0.64583333333333337</v>
      </c>
      <c r="L76" s="16">
        <v>46001</v>
      </c>
    </row>
    <row r="77" spans="1:12" ht="213">
      <c r="A77" s="14" t="s">
        <v>442</v>
      </c>
      <c r="B77" s="16">
        <v>46001</v>
      </c>
      <c r="C77" s="17">
        <v>0.58333333333333337</v>
      </c>
      <c r="D77" s="17">
        <v>0.58333333333333337</v>
      </c>
      <c r="E77" s="15" t="s">
        <v>230</v>
      </c>
      <c r="F77" s="15" t="s">
        <v>4362</v>
      </c>
      <c r="G77" s="15" t="s">
        <v>4176</v>
      </c>
      <c r="H77" s="15"/>
      <c r="I77" s="15" t="s">
        <v>4363</v>
      </c>
      <c r="J77" s="15" t="s">
        <v>4364</v>
      </c>
      <c r="K77" s="17">
        <v>0.75</v>
      </c>
      <c r="L77" s="16">
        <v>46001</v>
      </c>
    </row>
    <row r="78" spans="1:12" ht="167.25">
      <c r="A78" s="14" t="s">
        <v>4365</v>
      </c>
      <c r="B78" s="16">
        <v>46001</v>
      </c>
      <c r="C78" s="17">
        <v>0.59722222222222221</v>
      </c>
      <c r="D78" s="17">
        <v>0.59722222222222221</v>
      </c>
      <c r="E78" s="15" t="s">
        <v>4238</v>
      </c>
      <c r="F78" s="15" t="s">
        <v>4251</v>
      </c>
      <c r="G78" s="15" t="s">
        <v>4155</v>
      </c>
      <c r="H78" s="15">
        <v>8417247</v>
      </c>
      <c r="I78" s="15" t="s">
        <v>4366</v>
      </c>
      <c r="J78" s="15" t="s">
        <v>4367</v>
      </c>
      <c r="K78" s="17">
        <v>0.71875</v>
      </c>
      <c r="L78" s="16">
        <v>46001</v>
      </c>
    </row>
    <row r="79" spans="1:12" ht="106.5">
      <c r="A79" s="14" t="s">
        <v>4368</v>
      </c>
      <c r="B79" s="16">
        <v>46001</v>
      </c>
      <c r="C79" s="17">
        <v>0.70486111111111116</v>
      </c>
      <c r="D79" s="17">
        <v>0.70486111111111116</v>
      </c>
      <c r="E79" s="15" t="s">
        <v>4153</v>
      </c>
      <c r="F79" s="15" t="s">
        <v>4154</v>
      </c>
      <c r="G79" s="15" t="s">
        <v>4311</v>
      </c>
      <c r="H79" s="15">
        <v>20251249</v>
      </c>
      <c r="I79" s="15" t="s">
        <v>4312</v>
      </c>
      <c r="J79" s="15" t="s">
        <v>4313</v>
      </c>
      <c r="K79" s="15"/>
      <c r="L79" s="15"/>
    </row>
    <row r="80" spans="1:12" ht="137.25">
      <c r="A80" s="14" t="s">
        <v>4369</v>
      </c>
      <c r="B80" s="16">
        <v>46001</v>
      </c>
      <c r="C80" s="17">
        <v>0.75069444444444444</v>
      </c>
      <c r="D80" s="17">
        <v>0.75069444444444444</v>
      </c>
      <c r="E80" s="15" t="s">
        <v>4175</v>
      </c>
      <c r="F80" s="15" t="s">
        <v>4154</v>
      </c>
      <c r="G80" s="15" t="s">
        <v>4176</v>
      </c>
      <c r="H80" s="15">
        <v>20251250</v>
      </c>
      <c r="I80" s="15" t="s">
        <v>4370</v>
      </c>
      <c r="J80" s="15" t="s">
        <v>4371</v>
      </c>
      <c r="K80" s="17">
        <v>0.5</v>
      </c>
      <c r="L80" s="16">
        <v>45941</v>
      </c>
    </row>
    <row r="81" spans="1:12" ht="152.25">
      <c r="A81" s="14" t="s">
        <v>4372</v>
      </c>
      <c r="B81" s="16">
        <v>46002</v>
      </c>
      <c r="C81" s="17">
        <v>6.9444444444444447E-4</v>
      </c>
      <c r="D81" s="17">
        <v>6.9444444444444447E-4</v>
      </c>
      <c r="E81" s="15" t="s">
        <v>4175</v>
      </c>
      <c r="F81" s="15" t="s">
        <v>4154</v>
      </c>
      <c r="G81" s="15" t="s">
        <v>4155</v>
      </c>
      <c r="H81" s="15">
        <v>20251251</v>
      </c>
      <c r="I81" s="15" t="s">
        <v>4373</v>
      </c>
      <c r="J81" s="15" t="s">
        <v>4374</v>
      </c>
      <c r="K81" s="17">
        <v>0.3125</v>
      </c>
      <c r="L81" s="16">
        <v>46002</v>
      </c>
    </row>
    <row r="82" spans="1:12" ht="91.5">
      <c r="A82" s="14" t="s">
        <v>4375</v>
      </c>
      <c r="B82" s="16">
        <v>46002</v>
      </c>
      <c r="C82" s="17">
        <v>0.25694444444444442</v>
      </c>
      <c r="D82" s="17">
        <v>0.25694444444444442</v>
      </c>
      <c r="E82" s="15" t="s">
        <v>230</v>
      </c>
      <c r="F82" s="15" t="s">
        <v>4154</v>
      </c>
      <c r="G82" s="15" t="s">
        <v>4155</v>
      </c>
      <c r="H82" s="15">
        <v>20251252</v>
      </c>
      <c r="I82" s="15" t="s">
        <v>4322</v>
      </c>
      <c r="J82" s="15" t="s">
        <v>4376</v>
      </c>
      <c r="K82" s="17">
        <v>0.51041666666666663</v>
      </c>
      <c r="L82" s="16">
        <v>46002</v>
      </c>
    </row>
    <row r="83" spans="1:12" ht="152.25">
      <c r="A83" s="14" t="s">
        <v>4377</v>
      </c>
      <c r="B83" s="16">
        <v>46002</v>
      </c>
      <c r="C83" s="17">
        <v>0.2638888888888889</v>
      </c>
      <c r="D83" s="17">
        <v>0.2638888888888889</v>
      </c>
      <c r="E83" s="15" t="s">
        <v>230</v>
      </c>
      <c r="F83" s="15" t="s">
        <v>4154</v>
      </c>
      <c r="G83" s="15" t="s">
        <v>4155</v>
      </c>
      <c r="H83" s="15">
        <v>20251253</v>
      </c>
      <c r="I83" s="15" t="s">
        <v>4378</v>
      </c>
      <c r="J83" s="15" t="s">
        <v>4379</v>
      </c>
      <c r="K83" s="17">
        <v>0.39583333333333331</v>
      </c>
      <c r="L83" s="16">
        <v>46002</v>
      </c>
    </row>
    <row r="84" spans="1:12" ht="167.25">
      <c r="A84" s="14" t="s">
        <v>4380</v>
      </c>
      <c r="B84" s="16">
        <v>46002</v>
      </c>
      <c r="C84" s="17">
        <v>0.34027777777777779</v>
      </c>
      <c r="D84" s="17">
        <v>0.34027777777777779</v>
      </c>
      <c r="E84" s="15" t="s">
        <v>4238</v>
      </c>
      <c r="F84" s="15" t="s">
        <v>4251</v>
      </c>
      <c r="G84" s="15" t="s">
        <v>4155</v>
      </c>
      <c r="H84" s="15">
        <v>8417247</v>
      </c>
      <c r="I84" s="15" t="s">
        <v>4366</v>
      </c>
      <c r="J84" s="15" t="s">
        <v>4367</v>
      </c>
      <c r="K84" s="17">
        <v>0.46527777777777779</v>
      </c>
      <c r="L84" s="16">
        <v>46002</v>
      </c>
    </row>
    <row r="85" spans="1:12" ht="106.5">
      <c r="A85" s="14" t="s">
        <v>4381</v>
      </c>
      <c r="B85" s="16">
        <v>46002</v>
      </c>
      <c r="C85" s="17">
        <v>0.46527777777777779</v>
      </c>
      <c r="D85" s="17">
        <v>0.46527777777777779</v>
      </c>
      <c r="E85" s="15" t="s">
        <v>4153</v>
      </c>
      <c r="F85" s="15" t="s">
        <v>4154</v>
      </c>
      <c r="G85" s="15" t="s">
        <v>4311</v>
      </c>
      <c r="H85" s="15">
        <v>20251252</v>
      </c>
      <c r="I85" s="15" t="s">
        <v>4312</v>
      </c>
      <c r="J85" s="15" t="s">
        <v>4313</v>
      </c>
      <c r="K85" s="15"/>
      <c r="L85" s="15"/>
    </row>
    <row r="86" spans="1:12" ht="167.25">
      <c r="A86" s="14" t="s">
        <v>4382</v>
      </c>
      <c r="B86" s="16">
        <v>46002</v>
      </c>
      <c r="C86" s="17">
        <v>0.56180555555555556</v>
      </c>
      <c r="D86" s="17">
        <v>0.56180555555555556</v>
      </c>
      <c r="E86" s="15" t="s">
        <v>4238</v>
      </c>
      <c r="F86" s="15" t="s">
        <v>4251</v>
      </c>
      <c r="G86" s="15" t="s">
        <v>4155</v>
      </c>
      <c r="H86" s="15">
        <v>18376</v>
      </c>
      <c r="I86" s="15" t="s">
        <v>4366</v>
      </c>
      <c r="J86" s="15" t="s">
        <v>4367</v>
      </c>
      <c r="K86" s="17">
        <v>0.78472222222222221</v>
      </c>
      <c r="L86" s="16">
        <v>46002</v>
      </c>
    </row>
    <row r="87" spans="1:12" ht="152.25">
      <c r="A87" s="14" t="s">
        <v>4383</v>
      </c>
      <c r="B87" s="16">
        <v>46002</v>
      </c>
      <c r="C87" s="17">
        <v>0.76388888888888884</v>
      </c>
      <c r="D87" s="17">
        <v>0.76388888888888884</v>
      </c>
      <c r="E87" s="15" t="s">
        <v>4175</v>
      </c>
      <c r="F87" s="15" t="s">
        <v>4154</v>
      </c>
      <c r="G87" s="15" t="s">
        <v>4176</v>
      </c>
      <c r="H87" s="15">
        <v>20251254</v>
      </c>
      <c r="I87" s="15" t="s">
        <v>4384</v>
      </c>
      <c r="J87" s="15" t="s">
        <v>4385</v>
      </c>
      <c r="K87" s="17">
        <v>0.36805555555555558</v>
      </c>
      <c r="L87" s="16">
        <v>46003</v>
      </c>
    </row>
    <row r="88" spans="1:12" ht="152.25">
      <c r="A88" s="14" t="s">
        <v>4386</v>
      </c>
      <c r="B88" s="16">
        <v>46002</v>
      </c>
      <c r="C88" s="17">
        <v>0.90763888888888888</v>
      </c>
      <c r="D88" s="17">
        <v>0.90763888888888888</v>
      </c>
      <c r="E88" s="15" t="s">
        <v>4175</v>
      </c>
      <c r="F88" s="15" t="s">
        <v>4387</v>
      </c>
      <c r="G88" s="15" t="s">
        <v>4176</v>
      </c>
      <c r="H88" s="15">
        <v>20251255</v>
      </c>
      <c r="I88" s="15" t="s">
        <v>4388</v>
      </c>
      <c r="J88" s="15" t="s">
        <v>4389</v>
      </c>
      <c r="K88" s="17">
        <v>0.94166666666666665</v>
      </c>
      <c r="L88" s="16">
        <v>46002</v>
      </c>
    </row>
    <row r="89" spans="1:12" ht="167.25">
      <c r="A89" s="14" t="s">
        <v>4390</v>
      </c>
      <c r="B89" s="16">
        <v>46003</v>
      </c>
      <c r="C89" s="17">
        <v>0.17083333333333334</v>
      </c>
      <c r="D89" s="17">
        <v>0.17083333333333334</v>
      </c>
      <c r="E89" s="15" t="s">
        <v>230</v>
      </c>
      <c r="F89" s="15" t="s">
        <v>4185</v>
      </c>
      <c r="G89" s="15" t="s">
        <v>4176</v>
      </c>
      <c r="H89" s="15">
        <v>20251256</v>
      </c>
      <c r="I89" s="15" t="s">
        <v>4391</v>
      </c>
      <c r="J89" s="15" t="s">
        <v>4392</v>
      </c>
      <c r="K89" s="17">
        <v>0.30972222222222223</v>
      </c>
      <c r="L89" s="16">
        <v>46003</v>
      </c>
    </row>
    <row r="90" spans="1:12" ht="183">
      <c r="A90" s="14" t="s">
        <v>4393</v>
      </c>
      <c r="B90" s="16">
        <v>46003</v>
      </c>
      <c r="C90" s="17">
        <v>0.22222222222222221</v>
      </c>
      <c r="D90" s="17">
        <v>0.22222222222222221</v>
      </c>
      <c r="E90" s="15" t="s">
        <v>4175</v>
      </c>
      <c r="F90" s="15" t="s">
        <v>4394</v>
      </c>
      <c r="G90" s="15" t="s">
        <v>4176</v>
      </c>
      <c r="H90" s="15">
        <v>20251257</v>
      </c>
      <c r="I90" s="15" t="s">
        <v>4395</v>
      </c>
      <c r="J90" s="15" t="s">
        <v>4396</v>
      </c>
      <c r="K90" s="17">
        <v>0.34652777777777777</v>
      </c>
      <c r="L90" s="16">
        <v>46003</v>
      </c>
    </row>
    <row r="91" spans="1:12" ht="167.25">
      <c r="A91" s="14" t="s">
        <v>4397</v>
      </c>
      <c r="B91" s="16">
        <v>46003</v>
      </c>
      <c r="C91" s="17">
        <v>0.35069444444444442</v>
      </c>
      <c r="D91" s="17">
        <v>0.35069444444444442</v>
      </c>
      <c r="E91" s="15" t="s">
        <v>4175</v>
      </c>
      <c r="F91" s="15" t="s">
        <v>4329</v>
      </c>
      <c r="G91" s="15" t="s">
        <v>4243</v>
      </c>
      <c r="H91" s="15">
        <v>20251258</v>
      </c>
      <c r="I91" s="15" t="s">
        <v>3332</v>
      </c>
      <c r="J91" s="15" t="s">
        <v>4398</v>
      </c>
      <c r="K91" s="17">
        <v>0.39930555555555558</v>
      </c>
      <c r="L91" s="16">
        <v>46003</v>
      </c>
    </row>
    <row r="92" spans="1:12" ht="167.25">
      <c r="A92" s="14" t="s">
        <v>4399</v>
      </c>
      <c r="B92" s="16">
        <v>46003</v>
      </c>
      <c r="C92" s="17">
        <v>0.50694444444444442</v>
      </c>
      <c r="D92" s="17">
        <v>0.50694444444444442</v>
      </c>
      <c r="E92" s="15" t="s">
        <v>4175</v>
      </c>
      <c r="F92" s="15" t="s">
        <v>4329</v>
      </c>
      <c r="G92" s="15" t="s">
        <v>4155</v>
      </c>
      <c r="H92" s="15">
        <v>8428320</v>
      </c>
      <c r="I92" s="15" t="s">
        <v>4400</v>
      </c>
      <c r="J92" s="15" t="s">
        <v>4401</v>
      </c>
      <c r="K92" s="17">
        <v>0.55902777777777779</v>
      </c>
      <c r="L92" s="16">
        <v>46003</v>
      </c>
    </row>
    <row r="93" spans="1:12" ht="121.5">
      <c r="A93" s="14" t="s">
        <v>4380</v>
      </c>
      <c r="B93" s="16">
        <v>46003</v>
      </c>
      <c r="C93" s="17">
        <v>0.50694444444444442</v>
      </c>
      <c r="D93" s="17">
        <v>0.50694444444444442</v>
      </c>
      <c r="E93" s="15" t="s">
        <v>230</v>
      </c>
      <c r="F93" s="15" t="s">
        <v>4329</v>
      </c>
      <c r="G93" s="15" t="s">
        <v>4155</v>
      </c>
      <c r="H93" s="15">
        <v>8428321</v>
      </c>
      <c r="I93" s="15" t="s">
        <v>4322</v>
      </c>
      <c r="J93" s="15" t="s">
        <v>4402</v>
      </c>
      <c r="K93" s="17">
        <v>0.60416666666666663</v>
      </c>
      <c r="L93" s="16">
        <v>46003</v>
      </c>
    </row>
    <row r="94" spans="1:12" ht="152.25">
      <c r="A94" s="14" t="s">
        <v>4403</v>
      </c>
      <c r="B94" s="16">
        <v>46003</v>
      </c>
      <c r="C94" s="17">
        <v>0.53680555555555554</v>
      </c>
      <c r="D94" s="17">
        <v>0.53680555555555554</v>
      </c>
      <c r="E94" s="15" t="s">
        <v>4275</v>
      </c>
      <c r="F94" s="15" t="s">
        <v>4329</v>
      </c>
      <c r="G94" s="15" t="s">
        <v>4155</v>
      </c>
      <c r="H94" s="15">
        <v>20251259</v>
      </c>
      <c r="I94" s="15" t="s">
        <v>4404</v>
      </c>
      <c r="J94" s="15" t="s">
        <v>4157</v>
      </c>
      <c r="K94" s="17">
        <v>0.55486111111111114</v>
      </c>
      <c r="L94" s="16">
        <v>46003</v>
      </c>
    </row>
    <row r="95" spans="1:12" ht="91.5">
      <c r="A95" s="14" t="s">
        <v>4393</v>
      </c>
      <c r="B95" s="16">
        <v>46003</v>
      </c>
      <c r="C95" s="17">
        <v>0.56319444444444444</v>
      </c>
      <c r="D95" s="17">
        <v>0.56319444444444444</v>
      </c>
      <c r="E95" s="15" t="s">
        <v>4175</v>
      </c>
      <c r="F95" s="15" t="s">
        <v>4394</v>
      </c>
      <c r="G95" s="15" t="s">
        <v>4176</v>
      </c>
      <c r="H95" s="15">
        <v>8428521</v>
      </c>
      <c r="I95" s="15" t="s">
        <v>4405</v>
      </c>
      <c r="J95" s="15" t="s">
        <v>4300</v>
      </c>
      <c r="K95" s="17">
        <v>0.60763888888888884</v>
      </c>
      <c r="L95" s="16">
        <v>46003</v>
      </c>
    </row>
    <row r="96" spans="1:12" ht="152.25">
      <c r="A96" s="14" t="s">
        <v>4406</v>
      </c>
      <c r="B96" s="16">
        <v>46003</v>
      </c>
      <c r="C96" s="17">
        <v>0.60486111111111107</v>
      </c>
      <c r="D96" s="17">
        <v>0.60486111111111107</v>
      </c>
      <c r="E96" s="15" t="s">
        <v>230</v>
      </c>
      <c r="F96" s="15" t="s">
        <v>677</v>
      </c>
      <c r="G96" s="15" t="s">
        <v>4311</v>
      </c>
      <c r="H96" s="15"/>
      <c r="I96" s="15" t="s">
        <v>4407</v>
      </c>
      <c r="J96" s="15" t="s">
        <v>4407</v>
      </c>
      <c r="K96" s="15"/>
      <c r="L96" s="15"/>
    </row>
    <row r="97" spans="1:12" ht="121.5">
      <c r="A97" s="14" t="s">
        <v>4408</v>
      </c>
      <c r="B97" s="16">
        <v>46003</v>
      </c>
      <c r="C97" s="17">
        <v>0.6166666666666667</v>
      </c>
      <c r="D97" s="17">
        <v>0.6166666666666667</v>
      </c>
      <c r="E97" s="15" t="s">
        <v>230</v>
      </c>
      <c r="F97" s="15" t="s">
        <v>4329</v>
      </c>
      <c r="G97" s="15" t="s">
        <v>4176</v>
      </c>
      <c r="H97" s="15">
        <v>20251260</v>
      </c>
      <c r="I97" s="15" t="s">
        <v>4409</v>
      </c>
      <c r="J97" s="15" t="s">
        <v>4410</v>
      </c>
      <c r="K97" s="17">
        <v>0.63194444444444442</v>
      </c>
      <c r="L97" s="16">
        <v>46003</v>
      </c>
    </row>
    <row r="98" spans="1:12" ht="121.5">
      <c r="A98" s="14" t="s">
        <v>4411</v>
      </c>
      <c r="B98" s="16">
        <v>46003</v>
      </c>
      <c r="C98" s="17">
        <v>0.75</v>
      </c>
      <c r="D98" s="17">
        <v>0.75</v>
      </c>
      <c r="E98" s="15" t="s">
        <v>230</v>
      </c>
      <c r="F98" s="15" t="s">
        <v>4329</v>
      </c>
      <c r="G98" s="15" t="s">
        <v>4176</v>
      </c>
      <c r="H98" s="15">
        <v>20251261</v>
      </c>
      <c r="I98" s="15" t="s">
        <v>4412</v>
      </c>
      <c r="J98" s="15" t="s">
        <v>4413</v>
      </c>
      <c r="K98" s="17">
        <v>0.88888888888888884</v>
      </c>
      <c r="L98" s="16">
        <v>46003</v>
      </c>
    </row>
    <row r="99" spans="1:12" ht="76.5">
      <c r="A99" s="14" t="s">
        <v>4414</v>
      </c>
      <c r="B99" s="16">
        <v>46003</v>
      </c>
      <c r="C99" s="17">
        <v>0.94444444444444442</v>
      </c>
      <c r="D99" s="17">
        <v>0.94444444444444442</v>
      </c>
      <c r="E99" s="15" t="s">
        <v>4153</v>
      </c>
      <c r="F99" s="15" t="s">
        <v>4154</v>
      </c>
      <c r="G99" s="15" t="s">
        <v>4176</v>
      </c>
      <c r="H99" s="15">
        <v>20251262</v>
      </c>
      <c r="I99" s="15" t="s">
        <v>4057</v>
      </c>
      <c r="J99" s="15" t="s">
        <v>4415</v>
      </c>
      <c r="K99" s="17">
        <v>0.9770833333333333</v>
      </c>
      <c r="L99" s="16">
        <v>45638</v>
      </c>
    </row>
    <row r="100" spans="1:12" ht="91.5">
      <c r="A100" s="14" t="s">
        <v>4414</v>
      </c>
      <c r="B100" s="16">
        <v>46003</v>
      </c>
      <c r="C100" s="17">
        <v>0.98263888888888884</v>
      </c>
      <c r="D100" s="17">
        <v>0.98263888888888884</v>
      </c>
      <c r="E100" s="15" t="s">
        <v>230</v>
      </c>
      <c r="F100" s="15" t="s">
        <v>4416</v>
      </c>
      <c r="G100" s="15" t="s">
        <v>4176</v>
      </c>
      <c r="H100" s="15">
        <v>8429385</v>
      </c>
      <c r="I100" s="15" t="s">
        <v>4417</v>
      </c>
      <c r="J100" s="15" t="s">
        <v>4418</v>
      </c>
      <c r="K100" s="17">
        <v>3.472222222222222E-3</v>
      </c>
      <c r="L100" s="16">
        <v>46004</v>
      </c>
    </row>
    <row r="101" spans="1:12" ht="106.5">
      <c r="A101" s="14" t="s">
        <v>4414</v>
      </c>
      <c r="B101" s="16">
        <v>46004</v>
      </c>
      <c r="C101" s="17">
        <v>0.11805555555555555</v>
      </c>
      <c r="D101" s="17">
        <v>0.11805555555555555</v>
      </c>
      <c r="E101" s="15" t="s">
        <v>4153</v>
      </c>
      <c r="F101" s="15" t="s">
        <v>4154</v>
      </c>
      <c r="G101" s="15" t="s">
        <v>4160</v>
      </c>
      <c r="H101" s="15">
        <v>20251263</v>
      </c>
      <c r="I101" s="15" t="s">
        <v>4057</v>
      </c>
      <c r="J101" s="15" t="s">
        <v>4419</v>
      </c>
      <c r="K101" s="15"/>
      <c r="L101" s="15"/>
    </row>
    <row r="102" spans="1:12" ht="152.25">
      <c r="A102" s="14" t="s">
        <v>4420</v>
      </c>
      <c r="B102" s="16">
        <v>46004</v>
      </c>
      <c r="C102" s="17">
        <v>0.2673611111111111</v>
      </c>
      <c r="D102" s="17">
        <v>0.2673611111111111</v>
      </c>
      <c r="E102" s="15" t="s">
        <v>230</v>
      </c>
      <c r="F102" s="15" t="s">
        <v>4154</v>
      </c>
      <c r="G102" s="15" t="s">
        <v>4155</v>
      </c>
      <c r="H102" s="15">
        <v>20251264</v>
      </c>
      <c r="I102" s="15" t="s">
        <v>4337</v>
      </c>
      <c r="J102" s="15" t="s">
        <v>4421</v>
      </c>
      <c r="K102" s="17">
        <v>0.33055555555555555</v>
      </c>
      <c r="L102" s="16">
        <v>46004</v>
      </c>
    </row>
    <row r="103" spans="1:12" ht="351">
      <c r="A103" s="14" t="s">
        <v>4422</v>
      </c>
      <c r="B103" s="16">
        <v>46004</v>
      </c>
      <c r="C103" s="17">
        <v>0.2986111111111111</v>
      </c>
      <c r="D103" s="17">
        <v>0.2986111111111111</v>
      </c>
      <c r="E103" s="15" t="s">
        <v>4175</v>
      </c>
      <c r="F103" s="15" t="s">
        <v>4154</v>
      </c>
      <c r="G103" s="15" t="s">
        <v>4176</v>
      </c>
      <c r="H103" s="15">
        <v>20251265</v>
      </c>
      <c r="I103" s="15" t="s">
        <v>4423</v>
      </c>
      <c r="J103" s="15" t="s">
        <v>4424</v>
      </c>
      <c r="K103" s="17">
        <v>0.71180555555555558</v>
      </c>
      <c r="L103" s="16">
        <v>46006</v>
      </c>
    </row>
    <row r="104" spans="1:12" ht="91.5">
      <c r="A104" s="14" t="s">
        <v>4425</v>
      </c>
      <c r="B104" s="16">
        <v>46004</v>
      </c>
      <c r="C104" s="17">
        <v>0.34791666666666665</v>
      </c>
      <c r="D104" s="17">
        <v>0.34791666666666665</v>
      </c>
      <c r="E104" s="15" t="s">
        <v>230</v>
      </c>
      <c r="F104" s="15" t="s">
        <v>4426</v>
      </c>
      <c r="G104" s="15" t="s">
        <v>4176</v>
      </c>
      <c r="H104" s="15">
        <v>20251266</v>
      </c>
      <c r="I104" s="15" t="s">
        <v>4427</v>
      </c>
      <c r="J104" s="15" t="s">
        <v>4428</v>
      </c>
      <c r="K104" s="17">
        <v>0.66736111111111107</v>
      </c>
      <c r="L104" s="16">
        <v>46006</v>
      </c>
    </row>
    <row r="105" spans="1:12" ht="91.5">
      <c r="A105" s="14" t="s">
        <v>4420</v>
      </c>
      <c r="B105" s="16">
        <v>46004</v>
      </c>
      <c r="C105" s="17">
        <v>0.67986111111111114</v>
      </c>
      <c r="D105" s="17">
        <v>0.67986111111111114</v>
      </c>
      <c r="E105" s="15" t="s">
        <v>230</v>
      </c>
      <c r="F105" s="15" t="s">
        <v>4154</v>
      </c>
      <c r="G105" s="15" t="s">
        <v>4155</v>
      </c>
      <c r="H105" s="15">
        <v>20251267</v>
      </c>
      <c r="I105" s="15" t="s">
        <v>4322</v>
      </c>
      <c r="J105" s="15" t="s">
        <v>4429</v>
      </c>
      <c r="K105" s="17">
        <v>0.44444444444444442</v>
      </c>
      <c r="L105" s="16">
        <v>46005</v>
      </c>
    </row>
    <row r="106" spans="1:12" ht="106.5">
      <c r="A106" s="14" t="s">
        <v>4430</v>
      </c>
      <c r="B106" s="16">
        <v>46005</v>
      </c>
      <c r="C106" s="17">
        <v>0.23541666666666666</v>
      </c>
      <c r="D106" s="17">
        <v>0.23541666666666666</v>
      </c>
      <c r="E106" s="15" t="s">
        <v>230</v>
      </c>
      <c r="F106" s="15" t="s">
        <v>4185</v>
      </c>
      <c r="G106" s="15" t="s">
        <v>4176</v>
      </c>
      <c r="H106" s="15">
        <v>20251268</v>
      </c>
      <c r="I106" s="15" t="s">
        <v>4391</v>
      </c>
      <c r="J106" s="15" t="s">
        <v>4431</v>
      </c>
      <c r="K106" s="17">
        <v>0.43055555555555558</v>
      </c>
      <c r="L106" s="16">
        <v>46005</v>
      </c>
    </row>
    <row r="107" spans="1:12" ht="152.25">
      <c r="A107" s="14" t="s">
        <v>4274</v>
      </c>
      <c r="B107" s="16">
        <v>46005</v>
      </c>
      <c r="C107" s="17">
        <v>0.45347222222222222</v>
      </c>
      <c r="D107" s="17">
        <v>0.45347222222222222</v>
      </c>
      <c r="E107" s="15" t="s">
        <v>4275</v>
      </c>
      <c r="F107" s="15" t="s">
        <v>4329</v>
      </c>
      <c r="G107" s="15" t="s">
        <v>4155</v>
      </c>
      <c r="H107" s="15">
        <v>20251269</v>
      </c>
      <c r="I107" s="15" t="s">
        <v>4404</v>
      </c>
      <c r="J107" s="15" t="s">
        <v>4157</v>
      </c>
      <c r="K107" s="17">
        <v>0.61250000000000004</v>
      </c>
      <c r="L107" s="16">
        <v>46005</v>
      </c>
    </row>
    <row r="108" spans="1:12" ht="76.5">
      <c r="A108" s="14" t="s">
        <v>4432</v>
      </c>
      <c r="B108" s="16">
        <v>46005</v>
      </c>
      <c r="C108" s="17">
        <v>0.55902777777777779</v>
      </c>
      <c r="D108" s="17">
        <v>0.55902777777777779</v>
      </c>
      <c r="E108" s="15" t="s">
        <v>4164</v>
      </c>
      <c r="F108" s="15" t="s">
        <v>4329</v>
      </c>
      <c r="G108" s="15" t="s">
        <v>4271</v>
      </c>
      <c r="H108" s="15">
        <v>20251270</v>
      </c>
      <c r="I108" s="15" t="s">
        <v>538</v>
      </c>
      <c r="J108" s="15" t="s">
        <v>4433</v>
      </c>
      <c r="K108" s="17">
        <v>0.60416666666666663</v>
      </c>
      <c r="L108" s="16">
        <v>46005</v>
      </c>
    </row>
    <row r="109" spans="1:12" ht="198">
      <c r="A109" s="14" t="s">
        <v>4434</v>
      </c>
      <c r="B109" s="16">
        <v>46005</v>
      </c>
      <c r="C109" s="17">
        <v>0.62638888888888888</v>
      </c>
      <c r="D109" s="17">
        <v>0.62638888888888888</v>
      </c>
      <c r="E109" s="15" t="s">
        <v>4164</v>
      </c>
      <c r="F109" s="15" t="s">
        <v>4329</v>
      </c>
      <c r="G109" s="15" t="s">
        <v>4155</v>
      </c>
      <c r="H109" s="15">
        <v>8434306</v>
      </c>
      <c r="I109" s="15" t="s">
        <v>4435</v>
      </c>
      <c r="J109" s="15" t="s">
        <v>4436</v>
      </c>
      <c r="K109" s="17">
        <v>0.625</v>
      </c>
      <c r="L109" s="16">
        <v>46007</v>
      </c>
    </row>
    <row r="110" spans="1:12" ht="106.5">
      <c r="A110" s="14" t="s">
        <v>4382</v>
      </c>
      <c r="B110" s="16">
        <v>46005</v>
      </c>
      <c r="C110" s="17">
        <v>0.95833333333333337</v>
      </c>
      <c r="D110" s="17">
        <v>0.91666666666666663</v>
      </c>
      <c r="E110" s="15" t="s">
        <v>4153</v>
      </c>
      <c r="F110" s="15" t="s">
        <v>4154</v>
      </c>
      <c r="G110" s="15" t="s">
        <v>4325</v>
      </c>
      <c r="H110" s="15">
        <v>20251272</v>
      </c>
      <c r="I110" s="15" t="s">
        <v>4166</v>
      </c>
      <c r="J110" s="15" t="s">
        <v>4437</v>
      </c>
      <c r="K110" s="15"/>
      <c r="L110" s="15"/>
    </row>
    <row r="111" spans="1:12" ht="183">
      <c r="A111" s="14" t="s">
        <v>4438</v>
      </c>
      <c r="B111" s="16">
        <v>46006</v>
      </c>
      <c r="C111" s="17">
        <v>0.125</v>
      </c>
      <c r="D111" s="17">
        <v>0.125</v>
      </c>
      <c r="E111" s="15" t="s">
        <v>230</v>
      </c>
      <c r="F111" s="15" t="s">
        <v>4154</v>
      </c>
      <c r="G111" s="15" t="s">
        <v>4176</v>
      </c>
      <c r="H111" s="15">
        <v>20251273</v>
      </c>
      <c r="I111" s="15" t="s">
        <v>4439</v>
      </c>
      <c r="J111" s="15" t="s">
        <v>4440</v>
      </c>
      <c r="K111" s="17">
        <v>0.32291666666666669</v>
      </c>
      <c r="L111" s="16">
        <v>46006</v>
      </c>
    </row>
    <row r="112" spans="1:12" ht="137.25">
      <c r="A112" s="14" t="s">
        <v>4441</v>
      </c>
      <c r="B112" s="16">
        <v>46006</v>
      </c>
      <c r="C112" s="17">
        <v>0.35416666666666669</v>
      </c>
      <c r="D112" s="17">
        <v>0.35416666666666669</v>
      </c>
      <c r="E112" s="15" t="s">
        <v>230</v>
      </c>
      <c r="F112" s="15" t="s">
        <v>4154</v>
      </c>
      <c r="G112" s="15" t="s">
        <v>4176</v>
      </c>
      <c r="H112" s="15">
        <v>20251274</v>
      </c>
      <c r="I112" s="15" t="s">
        <v>4442</v>
      </c>
      <c r="J112" s="15" t="s">
        <v>4443</v>
      </c>
      <c r="K112" s="17">
        <v>0.35972222222222222</v>
      </c>
      <c r="L112" s="16">
        <v>46006</v>
      </c>
    </row>
    <row r="113" spans="1:12" ht="167.25">
      <c r="A113" s="14" t="s">
        <v>4444</v>
      </c>
      <c r="B113" s="16">
        <v>46007</v>
      </c>
      <c r="C113" s="17">
        <v>0.24652777777777779</v>
      </c>
      <c r="D113" s="17">
        <v>0.24652777777777779</v>
      </c>
      <c r="E113" s="15" t="s">
        <v>4445</v>
      </c>
      <c r="F113" s="15" t="s">
        <v>4446</v>
      </c>
      <c r="G113" s="15" t="s">
        <v>4155</v>
      </c>
      <c r="H113" s="15">
        <v>20251275</v>
      </c>
      <c r="I113" s="15" t="s">
        <v>4447</v>
      </c>
      <c r="J113" s="15" t="s">
        <v>4282</v>
      </c>
      <c r="K113" s="17">
        <v>0.58333333333333337</v>
      </c>
      <c r="L113" s="16">
        <v>46007</v>
      </c>
    </row>
    <row r="114" spans="1:12" ht="106.5">
      <c r="A114" s="14" t="s">
        <v>4448</v>
      </c>
      <c r="B114" s="16">
        <v>46007</v>
      </c>
      <c r="C114" s="17">
        <v>0.32847222222222222</v>
      </c>
      <c r="D114" s="17">
        <v>0.32847222222222222</v>
      </c>
      <c r="E114" s="15" t="s">
        <v>230</v>
      </c>
      <c r="F114" s="15" t="s">
        <v>4185</v>
      </c>
      <c r="G114" s="15" t="s">
        <v>4311</v>
      </c>
      <c r="H114" s="15">
        <v>20251276</v>
      </c>
      <c r="I114" s="15" t="s">
        <v>4312</v>
      </c>
      <c r="J114" s="15" t="s">
        <v>4313</v>
      </c>
      <c r="K114" s="15"/>
      <c r="L114" s="15"/>
    </row>
    <row r="115" spans="1:12" ht="91.5">
      <c r="A115" s="14" t="s">
        <v>4449</v>
      </c>
      <c r="B115" s="16">
        <v>46007</v>
      </c>
      <c r="C115" s="17">
        <v>0.6875</v>
      </c>
      <c r="D115" s="17">
        <v>0.6875</v>
      </c>
      <c r="E115" s="15" t="s">
        <v>230</v>
      </c>
      <c r="F115" s="15" t="s">
        <v>4426</v>
      </c>
      <c r="G115" s="15" t="s">
        <v>4176</v>
      </c>
      <c r="H115" s="15">
        <v>8446891</v>
      </c>
      <c r="I115" s="15" t="s">
        <v>4450</v>
      </c>
      <c r="J115" s="15" t="s">
        <v>4451</v>
      </c>
      <c r="K115" s="17">
        <v>0.71875</v>
      </c>
      <c r="L115" s="16">
        <v>46007</v>
      </c>
    </row>
    <row r="116" spans="1:12" ht="137.25">
      <c r="A116" s="14" t="s">
        <v>4452</v>
      </c>
      <c r="B116" s="16">
        <v>46008</v>
      </c>
      <c r="C116" s="17">
        <v>0.28888888888888886</v>
      </c>
      <c r="D116" s="17">
        <v>0.28888888888888886</v>
      </c>
      <c r="E116" s="15" t="s">
        <v>230</v>
      </c>
      <c r="F116" s="15" t="s">
        <v>4178</v>
      </c>
      <c r="G116" s="15" t="s">
        <v>4176</v>
      </c>
      <c r="H116" s="15">
        <v>20251277</v>
      </c>
      <c r="I116" s="15" t="s">
        <v>259</v>
      </c>
      <c r="J116" s="15" t="s">
        <v>4453</v>
      </c>
      <c r="K116" s="17">
        <v>0.30902777777777779</v>
      </c>
      <c r="L116" s="16">
        <v>46008</v>
      </c>
    </row>
    <row r="117" spans="1:12" ht="121.5">
      <c r="A117" s="14" t="s">
        <v>4454</v>
      </c>
      <c r="B117" s="16">
        <v>46007</v>
      </c>
      <c r="C117" s="17">
        <v>0.83333333333333337</v>
      </c>
      <c r="D117" s="17">
        <v>0.83333333333333337</v>
      </c>
      <c r="E117" s="15" t="s">
        <v>230</v>
      </c>
      <c r="F117" s="15" t="s">
        <v>4426</v>
      </c>
      <c r="G117" s="15" t="s">
        <v>4176</v>
      </c>
      <c r="H117" s="15">
        <v>8451617</v>
      </c>
      <c r="I117" s="15" t="s">
        <v>4455</v>
      </c>
      <c r="J117" s="15" t="s">
        <v>4456</v>
      </c>
      <c r="K117" s="17">
        <v>0.32569444444444445</v>
      </c>
      <c r="L117" s="16">
        <v>46008</v>
      </c>
    </row>
    <row r="118" spans="1:12" ht="152.25">
      <c r="A118" s="14" t="s">
        <v>4457</v>
      </c>
      <c r="B118" s="16">
        <v>46008</v>
      </c>
      <c r="C118" s="17">
        <v>0.4861111111111111</v>
      </c>
      <c r="D118" s="17">
        <v>0.4861111111111111</v>
      </c>
      <c r="E118" s="15" t="s">
        <v>4153</v>
      </c>
      <c r="F118" s="15" t="s">
        <v>4333</v>
      </c>
      <c r="G118" s="15" t="s">
        <v>4155</v>
      </c>
      <c r="H118" s="15">
        <v>20251278</v>
      </c>
      <c r="I118" s="15" t="s">
        <v>4404</v>
      </c>
      <c r="J118" s="15" t="s">
        <v>4157</v>
      </c>
      <c r="K118" s="17">
        <v>0.50347222222222221</v>
      </c>
      <c r="L118" s="16">
        <v>46008</v>
      </c>
    </row>
    <row r="119" spans="1:12" ht="91.5">
      <c r="A119" s="14" t="s">
        <v>4458</v>
      </c>
      <c r="B119" s="16">
        <v>46008</v>
      </c>
      <c r="C119" s="17">
        <v>0.58750000000000002</v>
      </c>
      <c r="D119" s="17">
        <v>0.58750000000000002</v>
      </c>
      <c r="E119" s="15" t="s">
        <v>230</v>
      </c>
      <c r="F119" s="15" t="s">
        <v>4459</v>
      </c>
      <c r="G119" s="15" t="s">
        <v>4176</v>
      </c>
      <c r="H119" s="15" t="s">
        <v>4460</v>
      </c>
      <c r="I119" s="15" t="s">
        <v>4461</v>
      </c>
      <c r="J119" s="15" t="s">
        <v>4462</v>
      </c>
      <c r="K119" s="17">
        <v>0.66666666666666663</v>
      </c>
      <c r="L119" s="16">
        <v>46008</v>
      </c>
    </row>
    <row r="120" spans="1:12" ht="183">
      <c r="A120" s="14" t="s">
        <v>4457</v>
      </c>
      <c r="B120" s="16">
        <v>46008</v>
      </c>
      <c r="C120" s="17">
        <v>0.73611111111111116</v>
      </c>
      <c r="D120" s="17">
        <v>0.73611111111111116</v>
      </c>
      <c r="E120" s="15" t="s">
        <v>4153</v>
      </c>
      <c r="F120" s="15" t="s">
        <v>4333</v>
      </c>
      <c r="G120" s="15" t="s">
        <v>4155</v>
      </c>
      <c r="H120" s="15">
        <v>20251279</v>
      </c>
      <c r="I120" s="15" t="s">
        <v>4463</v>
      </c>
      <c r="J120" s="15" t="s">
        <v>4464</v>
      </c>
      <c r="K120" s="17">
        <v>0.76388888888888884</v>
      </c>
      <c r="L120" s="16">
        <v>46008</v>
      </c>
    </row>
    <row r="121" spans="1:12" ht="183">
      <c r="A121" s="14" t="s">
        <v>358</v>
      </c>
      <c r="B121" s="16">
        <v>46008</v>
      </c>
      <c r="C121" s="17">
        <v>0.72916666666666663</v>
      </c>
      <c r="D121" s="17">
        <v>0.72916666666666663</v>
      </c>
      <c r="E121" s="15" t="s">
        <v>230</v>
      </c>
      <c r="F121" s="15" t="s">
        <v>4178</v>
      </c>
      <c r="G121" s="15" t="s">
        <v>4155</v>
      </c>
      <c r="H121" s="15"/>
      <c r="I121" s="15" t="s">
        <v>4463</v>
      </c>
      <c r="J121" s="15" t="s">
        <v>4465</v>
      </c>
      <c r="K121" s="17">
        <v>0.76388888888888884</v>
      </c>
      <c r="L121" s="16">
        <v>46008</v>
      </c>
    </row>
    <row r="122" spans="1:12" ht="167.25">
      <c r="A122" s="14" t="s">
        <v>4466</v>
      </c>
      <c r="B122" s="16">
        <v>46008</v>
      </c>
      <c r="C122" s="17">
        <v>0.74652777777777779</v>
      </c>
      <c r="D122" s="17">
        <v>0.74652777777777779</v>
      </c>
      <c r="E122" s="15" t="s">
        <v>4153</v>
      </c>
      <c r="F122" s="15" t="s">
        <v>4333</v>
      </c>
      <c r="G122" s="15" t="s">
        <v>4155</v>
      </c>
      <c r="H122" s="15">
        <v>20251280</v>
      </c>
      <c r="I122" s="15" t="s">
        <v>4463</v>
      </c>
      <c r="J122" s="15" t="s">
        <v>4467</v>
      </c>
      <c r="K122" s="17">
        <v>0.76388888888888884</v>
      </c>
      <c r="L122" s="16">
        <v>46008</v>
      </c>
    </row>
    <row r="123" spans="1:12" ht="229.5">
      <c r="A123" s="14" t="s">
        <v>4468</v>
      </c>
      <c r="B123" s="16">
        <v>46009</v>
      </c>
      <c r="C123" s="17">
        <v>2.4305555555555556E-2</v>
      </c>
      <c r="D123" s="17">
        <v>2.4305555555555556E-2</v>
      </c>
      <c r="E123" s="15" t="s">
        <v>230</v>
      </c>
      <c r="F123" s="15" t="s">
        <v>4178</v>
      </c>
      <c r="G123" s="15" t="s">
        <v>4176</v>
      </c>
      <c r="H123" s="15">
        <v>20251281</v>
      </c>
      <c r="I123" s="15" t="s">
        <v>4469</v>
      </c>
      <c r="J123" s="15" t="s">
        <v>4470</v>
      </c>
      <c r="K123" s="17">
        <v>0.45833333333333331</v>
      </c>
      <c r="L123" s="16">
        <v>46009</v>
      </c>
    </row>
    <row r="124" spans="1:12" ht="121.5">
      <c r="A124" s="14" t="s">
        <v>4471</v>
      </c>
      <c r="B124" s="16">
        <v>46009</v>
      </c>
      <c r="C124" s="17">
        <v>0.36458333333333331</v>
      </c>
      <c r="D124" s="17">
        <v>0.36458333333333331</v>
      </c>
      <c r="E124" s="15" t="s">
        <v>230</v>
      </c>
      <c r="F124" s="15" t="s">
        <v>4185</v>
      </c>
      <c r="G124" s="15" t="s">
        <v>4243</v>
      </c>
      <c r="H124" s="15">
        <v>20251282</v>
      </c>
      <c r="I124" s="15" t="s">
        <v>2206</v>
      </c>
      <c r="J124" s="15" t="s">
        <v>4472</v>
      </c>
      <c r="K124" s="17">
        <v>0.38958333333333334</v>
      </c>
      <c r="L124" s="16">
        <v>46009</v>
      </c>
    </row>
    <row r="125" spans="1:12" ht="259.5">
      <c r="A125" s="14" t="s">
        <v>4473</v>
      </c>
      <c r="B125" s="16">
        <v>46009</v>
      </c>
      <c r="C125" s="17">
        <v>0.86111111111111116</v>
      </c>
      <c r="D125" s="17">
        <v>0.86111111111111116</v>
      </c>
      <c r="E125" s="15" t="s">
        <v>230</v>
      </c>
      <c r="F125" s="15" t="s">
        <v>4178</v>
      </c>
      <c r="G125" s="15" t="s">
        <v>4176</v>
      </c>
      <c r="H125" s="15">
        <v>20251283</v>
      </c>
      <c r="I125" s="15" t="s">
        <v>4474</v>
      </c>
      <c r="J125" s="15" t="s">
        <v>4475</v>
      </c>
      <c r="K125" s="17">
        <v>0.56944444444444442</v>
      </c>
      <c r="L125" s="16">
        <v>46010</v>
      </c>
    </row>
    <row r="126" spans="1:12" ht="106.5">
      <c r="A126" s="14" t="s">
        <v>4476</v>
      </c>
      <c r="B126" s="16">
        <v>46009</v>
      </c>
      <c r="C126" s="17">
        <v>0.875</v>
      </c>
      <c r="D126" s="17">
        <v>0.875</v>
      </c>
      <c r="E126" s="15" t="s">
        <v>230</v>
      </c>
      <c r="F126" s="15" t="s">
        <v>4209</v>
      </c>
      <c r="G126" s="15" t="s">
        <v>4176</v>
      </c>
      <c r="H126" s="15">
        <v>20251284</v>
      </c>
      <c r="I126" s="15" t="s">
        <v>4477</v>
      </c>
      <c r="J126" s="15" t="s">
        <v>4478</v>
      </c>
      <c r="K126" s="17">
        <v>0.30555555555555558</v>
      </c>
      <c r="L126" s="16">
        <v>46010</v>
      </c>
    </row>
    <row r="127" spans="1:12" ht="137.25">
      <c r="A127" s="14" t="s">
        <v>4479</v>
      </c>
      <c r="B127" s="16">
        <v>46010</v>
      </c>
      <c r="C127" s="17">
        <v>0.41666666666666669</v>
      </c>
      <c r="D127" s="17">
        <v>0.41666666666666669</v>
      </c>
      <c r="E127" s="15" t="s">
        <v>230</v>
      </c>
      <c r="F127" s="15" t="s">
        <v>4480</v>
      </c>
      <c r="G127" s="15" t="s">
        <v>4243</v>
      </c>
      <c r="H127" s="15" t="s">
        <v>4460</v>
      </c>
      <c r="I127" s="15" t="s">
        <v>4481</v>
      </c>
      <c r="J127" s="15" t="s">
        <v>4482</v>
      </c>
      <c r="K127" s="17">
        <v>0.44097222222222221</v>
      </c>
      <c r="L127" s="16">
        <v>46010</v>
      </c>
    </row>
    <row r="128" spans="1:12" ht="137.25">
      <c r="A128" s="14" t="s">
        <v>4458</v>
      </c>
      <c r="B128" s="16">
        <v>46010</v>
      </c>
      <c r="C128" s="17">
        <v>0.45</v>
      </c>
      <c r="D128" s="17">
        <v>0.45</v>
      </c>
      <c r="E128" s="15" t="s">
        <v>230</v>
      </c>
      <c r="F128" s="15" t="s">
        <v>4480</v>
      </c>
      <c r="G128" s="15" t="s">
        <v>4243</v>
      </c>
      <c r="H128" s="15" t="s">
        <v>4460</v>
      </c>
      <c r="I128" s="15" t="s">
        <v>4481</v>
      </c>
      <c r="J128" s="15" t="s">
        <v>4482</v>
      </c>
      <c r="K128" s="17">
        <v>0.47361111111111109</v>
      </c>
      <c r="L128" s="16">
        <v>46010</v>
      </c>
    </row>
    <row r="129" spans="1:12" ht="106.5">
      <c r="A129" s="14" t="s">
        <v>4425</v>
      </c>
      <c r="B129" s="16">
        <v>46010</v>
      </c>
      <c r="C129" s="17">
        <v>0.46527777777777779</v>
      </c>
      <c r="D129" s="17">
        <v>0.46527777777777779</v>
      </c>
      <c r="E129" s="15" t="s">
        <v>230</v>
      </c>
      <c r="F129" s="15" t="s">
        <v>4426</v>
      </c>
      <c r="G129" s="15" t="s">
        <v>4176</v>
      </c>
      <c r="H129" s="15">
        <v>8462940</v>
      </c>
      <c r="I129" s="15" t="s">
        <v>4483</v>
      </c>
      <c r="J129" s="15" t="s">
        <v>4484</v>
      </c>
      <c r="K129" s="17">
        <v>0.47569444444444442</v>
      </c>
      <c r="L129" s="16">
        <v>46010</v>
      </c>
    </row>
    <row r="130" spans="1:12" ht="137.25">
      <c r="A130" s="14" t="s">
        <v>4485</v>
      </c>
      <c r="B130" s="16">
        <v>46010</v>
      </c>
      <c r="C130" s="17">
        <v>0.47499999999999998</v>
      </c>
      <c r="D130" s="17">
        <v>0.47499999999999998</v>
      </c>
      <c r="E130" s="15" t="s">
        <v>230</v>
      </c>
      <c r="F130" s="15" t="s">
        <v>4480</v>
      </c>
      <c r="G130" s="15" t="s">
        <v>4243</v>
      </c>
      <c r="H130" s="15" t="s">
        <v>4460</v>
      </c>
      <c r="I130" s="15" t="s">
        <v>4481</v>
      </c>
      <c r="J130" s="15" t="s">
        <v>4482</v>
      </c>
      <c r="K130" s="17">
        <v>0.49930555555555556</v>
      </c>
      <c r="L130" s="16">
        <v>46010</v>
      </c>
    </row>
    <row r="131" spans="1:12" ht="244.5">
      <c r="A131" s="14" t="s">
        <v>4486</v>
      </c>
      <c r="B131" s="16">
        <v>46010</v>
      </c>
      <c r="C131" s="17">
        <v>0.56319444444444444</v>
      </c>
      <c r="D131" s="17">
        <v>0.56319444444444444</v>
      </c>
      <c r="E131" s="15" t="s">
        <v>230</v>
      </c>
      <c r="F131" s="15" t="s">
        <v>4487</v>
      </c>
      <c r="G131" s="15" t="s">
        <v>4155</v>
      </c>
      <c r="H131" s="15">
        <v>8434306</v>
      </c>
      <c r="I131" s="15" t="s">
        <v>4488</v>
      </c>
      <c r="J131" s="15" t="s">
        <v>4489</v>
      </c>
      <c r="K131" s="17">
        <v>0.64583333333333337</v>
      </c>
      <c r="L131" s="16">
        <v>46010</v>
      </c>
    </row>
    <row r="132" spans="1:12" ht="91.5">
      <c r="A132" s="14" t="s">
        <v>4490</v>
      </c>
      <c r="B132" s="16">
        <v>46010</v>
      </c>
      <c r="C132" s="17">
        <v>0.65555555555555556</v>
      </c>
      <c r="D132" s="17">
        <v>0.65555555555555556</v>
      </c>
      <c r="E132" s="15" t="s">
        <v>230</v>
      </c>
      <c r="F132" s="15" t="s">
        <v>4426</v>
      </c>
      <c r="G132" s="15" t="s">
        <v>4176</v>
      </c>
      <c r="H132" s="15">
        <v>20251287</v>
      </c>
      <c r="I132" s="15" t="s">
        <v>4491</v>
      </c>
      <c r="J132" s="15" t="s">
        <v>4492</v>
      </c>
      <c r="K132" s="17">
        <v>0.68680555555555556</v>
      </c>
      <c r="L132" s="16">
        <v>46010</v>
      </c>
    </row>
    <row r="133" spans="1:12" ht="106.5">
      <c r="A133" s="14" t="s">
        <v>4493</v>
      </c>
      <c r="B133" s="16">
        <v>46010</v>
      </c>
      <c r="C133" s="17">
        <v>0.97638888888888886</v>
      </c>
      <c r="D133" s="17">
        <v>0.97638888888888886</v>
      </c>
      <c r="E133" s="15" t="s">
        <v>4153</v>
      </c>
      <c r="F133" s="15" t="s">
        <v>4494</v>
      </c>
      <c r="G133" s="15" t="s">
        <v>4311</v>
      </c>
      <c r="H133" s="15">
        <v>20251288</v>
      </c>
      <c r="I133" s="15" t="s">
        <v>4312</v>
      </c>
      <c r="J133" s="15" t="s">
        <v>4313</v>
      </c>
      <c r="K133" s="15"/>
      <c r="L133" s="15"/>
    </row>
    <row r="134" spans="1:12" ht="121.5">
      <c r="A134" s="14" t="s">
        <v>4495</v>
      </c>
      <c r="B134" s="16">
        <v>46011</v>
      </c>
      <c r="C134" s="17">
        <v>8.4027777777777785E-2</v>
      </c>
      <c r="D134" s="17">
        <v>8.4027777777777785E-2</v>
      </c>
      <c r="E134" s="15" t="s">
        <v>230</v>
      </c>
      <c r="F134" s="15" t="s">
        <v>4185</v>
      </c>
      <c r="G134" s="15" t="s">
        <v>4176</v>
      </c>
      <c r="H134" s="15">
        <v>20251289</v>
      </c>
      <c r="I134" s="15" t="s">
        <v>4496</v>
      </c>
      <c r="J134" s="15" t="s">
        <v>4497</v>
      </c>
      <c r="K134" s="17">
        <v>0.34375</v>
      </c>
      <c r="L134" s="16">
        <v>46011</v>
      </c>
    </row>
    <row r="135" spans="1:12" ht="259.5">
      <c r="A135" s="31" t="s">
        <v>4498</v>
      </c>
      <c r="B135" s="32">
        <v>46011</v>
      </c>
      <c r="C135" s="33">
        <v>0.16666666666666666</v>
      </c>
      <c r="D135" s="33">
        <v>0.16666666666666666</v>
      </c>
      <c r="E135" s="34" t="s">
        <v>230</v>
      </c>
      <c r="F135" s="34" t="s">
        <v>4185</v>
      </c>
      <c r="G135" s="34" t="s">
        <v>4176</v>
      </c>
      <c r="H135" s="34">
        <v>20251290</v>
      </c>
      <c r="I135" s="34" t="s">
        <v>4499</v>
      </c>
      <c r="J135" s="34" t="s">
        <v>4500</v>
      </c>
      <c r="K135" s="33">
        <v>0.35069444444444442</v>
      </c>
      <c r="L135" s="32">
        <v>46011</v>
      </c>
    </row>
    <row r="136" spans="1:12" ht="76.5">
      <c r="A136" s="14" t="s">
        <v>4501</v>
      </c>
      <c r="B136" s="16">
        <v>46011</v>
      </c>
      <c r="C136" s="17">
        <v>0.2361111111111111</v>
      </c>
      <c r="D136" s="17">
        <v>0.2361111111111111</v>
      </c>
      <c r="E136" s="15" t="s">
        <v>4153</v>
      </c>
      <c r="F136" s="15" t="s">
        <v>4502</v>
      </c>
      <c r="G136" s="15" t="s">
        <v>4155</v>
      </c>
      <c r="H136" s="15">
        <v>20251291</v>
      </c>
      <c r="I136" s="15" t="s">
        <v>4503</v>
      </c>
      <c r="J136" s="15" t="s">
        <v>4504</v>
      </c>
      <c r="K136" s="17">
        <v>0.31944444444444442</v>
      </c>
      <c r="L136" s="16">
        <v>46011</v>
      </c>
    </row>
    <row r="137" spans="1:12" ht="106.5">
      <c r="A137" s="14" t="s">
        <v>4505</v>
      </c>
      <c r="B137" s="16">
        <v>46011</v>
      </c>
      <c r="C137" s="17">
        <v>0.45069444444444445</v>
      </c>
      <c r="D137" s="17">
        <v>0.45069444444444445</v>
      </c>
      <c r="E137" s="15" t="s">
        <v>230</v>
      </c>
      <c r="F137" s="15" t="s">
        <v>4154</v>
      </c>
      <c r="G137" s="15" t="s">
        <v>4311</v>
      </c>
      <c r="H137" s="15">
        <v>20251292</v>
      </c>
      <c r="I137" s="15" t="s">
        <v>4312</v>
      </c>
      <c r="J137" s="15" t="s">
        <v>4313</v>
      </c>
      <c r="K137" s="15"/>
      <c r="L137" s="15"/>
    </row>
    <row r="138" spans="1:12" ht="106.5">
      <c r="A138" s="14" t="s">
        <v>4506</v>
      </c>
      <c r="B138" s="16">
        <v>46012</v>
      </c>
      <c r="C138" s="17">
        <v>0.28472222222222221</v>
      </c>
      <c r="D138" s="17">
        <v>0.28472222222222221</v>
      </c>
      <c r="E138" s="15" t="s">
        <v>230</v>
      </c>
      <c r="F138" s="15" t="s">
        <v>4154</v>
      </c>
      <c r="G138" s="15" t="s">
        <v>4160</v>
      </c>
      <c r="H138" s="15">
        <v>20251293</v>
      </c>
      <c r="I138" s="15" t="s">
        <v>4308</v>
      </c>
      <c r="J138" s="15" t="s">
        <v>4313</v>
      </c>
      <c r="K138" s="15"/>
      <c r="L138" s="15"/>
    </row>
    <row r="139" spans="1:12" ht="106.5">
      <c r="A139" s="14" t="s">
        <v>4507</v>
      </c>
      <c r="B139" s="16">
        <v>46012</v>
      </c>
      <c r="C139" s="17">
        <v>0.45833333333333331</v>
      </c>
      <c r="D139" s="17">
        <v>0.45833333333333331</v>
      </c>
      <c r="E139" s="15" t="s">
        <v>230</v>
      </c>
      <c r="F139" s="15" t="s">
        <v>4178</v>
      </c>
      <c r="G139" s="15" t="s">
        <v>4311</v>
      </c>
      <c r="H139" s="15">
        <v>20251294</v>
      </c>
      <c r="I139" s="15" t="s">
        <v>4312</v>
      </c>
      <c r="J139" s="15" t="s">
        <v>4313</v>
      </c>
      <c r="K139" s="15"/>
      <c r="L139" s="15"/>
    </row>
    <row r="140" spans="1:12" ht="152.25">
      <c r="A140" s="31" t="s">
        <v>4508</v>
      </c>
      <c r="B140" s="32">
        <v>46012</v>
      </c>
      <c r="C140" s="33">
        <v>0.52083333333333337</v>
      </c>
      <c r="D140" s="33">
        <v>0.52083333333333337</v>
      </c>
      <c r="E140" s="34" t="s">
        <v>230</v>
      </c>
      <c r="F140" s="34" t="s">
        <v>4178</v>
      </c>
      <c r="G140" s="34" t="s">
        <v>4155</v>
      </c>
      <c r="H140" s="34">
        <v>20251295</v>
      </c>
      <c r="I140" s="34" t="s">
        <v>4400</v>
      </c>
      <c r="J140" s="34" t="s">
        <v>4509</v>
      </c>
      <c r="K140" s="33">
        <v>0.58402777777777781</v>
      </c>
      <c r="L140" s="32">
        <v>46012</v>
      </c>
    </row>
    <row r="141" spans="1:12" ht="106.5">
      <c r="A141" s="31" t="s">
        <v>4506</v>
      </c>
      <c r="B141" s="32">
        <v>46012</v>
      </c>
      <c r="C141" s="33">
        <v>0.58333333333333337</v>
      </c>
      <c r="D141" s="33">
        <v>0.58333333333333337</v>
      </c>
      <c r="E141" s="34" t="s">
        <v>230</v>
      </c>
      <c r="F141" s="34" t="s">
        <v>4178</v>
      </c>
      <c r="G141" s="34" t="s">
        <v>4176</v>
      </c>
      <c r="H141" s="34">
        <v>20251296</v>
      </c>
      <c r="I141" s="34" t="s">
        <v>4510</v>
      </c>
      <c r="J141" s="34" t="s">
        <v>4511</v>
      </c>
      <c r="K141" s="33">
        <v>0.65972222222222221</v>
      </c>
      <c r="L141" s="32">
        <v>46012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5E17-5EFA-44A3-B131-4314E88999D0}">
  <sheetPr codeName="Planilha3"/>
  <dimension ref="A1:D86"/>
  <sheetViews>
    <sheetView workbookViewId="0">
      <selection activeCell="E7" sqref="E7"/>
    </sheetView>
  </sheetViews>
  <sheetFormatPr defaultRowHeight="14.45"/>
  <cols>
    <col min="1" max="1" width="16.7109375" bestFit="1" customWidth="1"/>
    <col min="2" max="2" width="38.85546875" bestFit="1" customWidth="1"/>
  </cols>
  <sheetData>
    <row r="1" spans="1:2">
      <c r="A1" t="s">
        <v>4512</v>
      </c>
      <c r="B1" t="s">
        <v>4513</v>
      </c>
    </row>
    <row r="2" spans="1:2">
      <c r="A2" t="s">
        <v>2195</v>
      </c>
      <c r="B2" s="3" t="s">
        <v>10</v>
      </c>
    </row>
    <row r="3" spans="1:2">
      <c r="A3" t="s">
        <v>2156</v>
      </c>
      <c r="B3" s="3" t="s">
        <v>13</v>
      </c>
    </row>
    <row r="4" spans="1:2">
      <c r="A4" t="s">
        <v>2196</v>
      </c>
      <c r="B4" s="3" t="s">
        <v>16</v>
      </c>
    </row>
    <row r="5" spans="1:2">
      <c r="A5" t="s">
        <v>2113</v>
      </c>
      <c r="B5" s="3" t="s">
        <v>18</v>
      </c>
    </row>
    <row r="6" spans="1:2">
      <c r="A6" t="s">
        <v>4514</v>
      </c>
      <c r="B6" s="3" t="s">
        <v>20</v>
      </c>
    </row>
    <row r="7" spans="1:2">
      <c r="A7" t="s">
        <v>3181</v>
      </c>
      <c r="B7" s="3" t="s">
        <v>22</v>
      </c>
    </row>
    <row r="8" spans="1:2">
      <c r="A8" t="s">
        <v>3177</v>
      </c>
      <c r="B8" s="3" t="s">
        <v>25</v>
      </c>
    </row>
    <row r="9" spans="1:2">
      <c r="A9" t="s">
        <v>2220</v>
      </c>
      <c r="B9" s="3" t="s">
        <v>27</v>
      </c>
    </row>
    <row r="10" spans="1:2">
      <c r="A10" t="s">
        <v>2210</v>
      </c>
      <c r="B10" s="3" t="s">
        <v>31</v>
      </c>
    </row>
    <row r="11" spans="1:2">
      <c r="A11" t="s">
        <v>2211</v>
      </c>
      <c r="B11" s="3" t="s">
        <v>35</v>
      </c>
    </row>
    <row r="12" spans="1:2">
      <c r="A12" t="s">
        <v>2212</v>
      </c>
      <c r="B12" s="3" t="s">
        <v>38</v>
      </c>
    </row>
    <row r="13" spans="1:2">
      <c r="A13" t="s">
        <v>327</v>
      </c>
      <c r="B13" s="3" t="s">
        <v>174</v>
      </c>
    </row>
    <row r="14" spans="1:2">
      <c r="A14" t="s">
        <v>246</v>
      </c>
      <c r="B14" s="3" t="s">
        <v>177</v>
      </c>
    </row>
    <row r="15" spans="1:2">
      <c r="A15" t="s">
        <v>328</v>
      </c>
      <c r="B15" s="3" t="s">
        <v>179</v>
      </c>
    </row>
    <row r="16" spans="1:2">
      <c r="A16" t="s">
        <v>329</v>
      </c>
      <c r="B16" s="3" t="s">
        <v>181</v>
      </c>
    </row>
    <row r="17" spans="1:4">
      <c r="A17" t="s">
        <v>330</v>
      </c>
      <c r="B17" s="3" t="s">
        <v>183</v>
      </c>
    </row>
    <row r="18" spans="1:4">
      <c r="A18" t="s">
        <v>2044</v>
      </c>
      <c r="B18" s="3" t="s">
        <v>40</v>
      </c>
    </row>
    <row r="19" spans="1:4">
      <c r="A19" t="s">
        <v>487</v>
      </c>
      <c r="B19" s="3" t="s">
        <v>54</v>
      </c>
    </row>
    <row r="20" spans="1:4">
      <c r="A20" t="s">
        <v>583</v>
      </c>
      <c r="B20" s="3" t="s">
        <v>57</v>
      </c>
    </row>
    <row r="21" spans="1:4">
      <c r="A21" t="s">
        <v>584</v>
      </c>
      <c r="B21" s="3" t="s">
        <v>59</v>
      </c>
    </row>
    <row r="22" spans="1:4">
      <c r="A22" t="s">
        <v>375</v>
      </c>
      <c r="B22" s="3" t="s">
        <v>61</v>
      </c>
      <c r="D22" s="3"/>
    </row>
    <row r="23" spans="1:4">
      <c r="A23" t="s">
        <v>387</v>
      </c>
      <c r="B23" s="3" t="s">
        <v>64</v>
      </c>
      <c r="D23" s="3"/>
    </row>
    <row r="24" spans="1:4">
      <c r="A24" t="s">
        <v>381</v>
      </c>
      <c r="B24" s="3" t="s">
        <v>66</v>
      </c>
      <c r="D24" s="3"/>
    </row>
    <row r="25" spans="1:4">
      <c r="A25" t="s">
        <v>391</v>
      </c>
      <c r="B25" s="3" t="s">
        <v>68</v>
      </c>
      <c r="D25" s="3"/>
    </row>
    <row r="26" spans="1:4">
      <c r="A26" t="s">
        <v>519</v>
      </c>
      <c r="B26" s="3" t="s">
        <v>70</v>
      </c>
      <c r="D26" s="3"/>
    </row>
    <row r="27" spans="1:4">
      <c r="A27" t="s">
        <v>444</v>
      </c>
      <c r="B27" s="3" t="s">
        <v>72</v>
      </c>
    </row>
    <row r="28" spans="1:4">
      <c r="A28" t="s">
        <v>446</v>
      </c>
      <c r="B28" s="3" t="s">
        <v>75</v>
      </c>
    </row>
    <row r="29" spans="1:4">
      <c r="A29" t="s">
        <v>360</v>
      </c>
      <c r="B29" s="3" t="s">
        <v>77</v>
      </c>
    </row>
    <row r="30" spans="1:4">
      <c r="A30" t="s">
        <v>367</v>
      </c>
      <c r="B30" s="3" t="s">
        <v>80</v>
      </c>
    </row>
    <row r="31" spans="1:4">
      <c r="A31" t="s">
        <v>724</v>
      </c>
      <c r="B31" s="3" t="s">
        <v>82</v>
      </c>
    </row>
    <row r="32" spans="1:4">
      <c r="A32" t="s">
        <v>725</v>
      </c>
      <c r="B32" s="3" t="s">
        <v>84</v>
      </c>
    </row>
    <row r="33" spans="1:2">
      <c r="A33" t="s">
        <v>286</v>
      </c>
      <c r="B33" s="3" t="s">
        <v>87</v>
      </c>
    </row>
    <row r="34" spans="1:2">
      <c r="A34" t="s">
        <v>535</v>
      </c>
      <c r="B34" s="3" t="s">
        <v>89</v>
      </c>
    </row>
    <row r="35" spans="1:2">
      <c r="A35" t="s">
        <v>803</v>
      </c>
      <c r="B35" s="3" t="s">
        <v>196</v>
      </c>
    </row>
    <row r="36" spans="1:2">
      <c r="A36" t="s">
        <v>805</v>
      </c>
      <c r="B36" s="3" t="s">
        <v>199</v>
      </c>
    </row>
    <row r="37" spans="1:2">
      <c r="A37" t="s">
        <v>806</v>
      </c>
      <c r="B37" s="3" t="s">
        <v>201</v>
      </c>
    </row>
    <row r="38" spans="1:2">
      <c r="A38" t="s">
        <v>255</v>
      </c>
      <c r="B38" s="3" t="s">
        <v>203</v>
      </c>
    </row>
    <row r="39" spans="1:2">
      <c r="A39" t="s">
        <v>265</v>
      </c>
      <c r="B39" s="3" t="s">
        <v>206</v>
      </c>
    </row>
    <row r="40" spans="1:2">
      <c r="A40" t="s">
        <v>355</v>
      </c>
      <c r="B40" s="3" t="s">
        <v>208</v>
      </c>
    </row>
    <row r="41" spans="1:2">
      <c r="A41" t="s">
        <v>442</v>
      </c>
      <c r="B41" s="3" t="s">
        <v>172</v>
      </c>
    </row>
    <row r="42" spans="1:2">
      <c r="A42" t="s">
        <v>698</v>
      </c>
      <c r="B42" s="3" t="s">
        <v>185</v>
      </c>
    </row>
    <row r="43" spans="1:2">
      <c r="A43" t="s">
        <v>700</v>
      </c>
      <c r="B43" s="3" t="s">
        <v>188</v>
      </c>
    </row>
    <row r="44" spans="1:2">
      <c r="A44" t="s">
        <v>314</v>
      </c>
      <c r="B44" s="3" t="s">
        <v>190</v>
      </c>
    </row>
    <row r="45" spans="1:2">
      <c r="A45" t="s">
        <v>701</v>
      </c>
      <c r="B45" s="3" t="s">
        <v>192</v>
      </c>
    </row>
    <row r="46" spans="1:2">
      <c r="A46" t="s">
        <v>702</v>
      </c>
      <c r="B46" s="3" t="s">
        <v>194</v>
      </c>
    </row>
    <row r="47" spans="1:2">
      <c r="A47" t="s">
        <v>729</v>
      </c>
      <c r="B47" s="3" t="s">
        <v>144</v>
      </c>
    </row>
    <row r="48" spans="1:2">
      <c r="A48" t="s">
        <v>736</v>
      </c>
      <c r="B48" s="3" t="s">
        <v>147</v>
      </c>
    </row>
    <row r="49" spans="1:2">
      <c r="A49" t="s">
        <v>667</v>
      </c>
      <c r="B49" s="3" t="s">
        <v>149</v>
      </c>
    </row>
    <row r="50" spans="1:2">
      <c r="A50" t="s">
        <v>331</v>
      </c>
      <c r="B50" s="3" t="s">
        <v>151</v>
      </c>
    </row>
    <row r="51" spans="1:2">
      <c r="A51" t="s">
        <v>339</v>
      </c>
      <c r="B51" s="3" t="s">
        <v>154</v>
      </c>
    </row>
    <row r="52" spans="1:2">
      <c r="A52" t="s">
        <v>340</v>
      </c>
      <c r="B52" s="3" t="s">
        <v>156</v>
      </c>
    </row>
    <row r="53" spans="1:2">
      <c r="A53" t="s">
        <v>385</v>
      </c>
      <c r="B53" s="3" t="s">
        <v>163</v>
      </c>
    </row>
    <row r="54" spans="1:2">
      <c r="A54" t="s">
        <v>619</v>
      </c>
      <c r="B54" s="3" t="s">
        <v>168</v>
      </c>
    </row>
    <row r="55" spans="1:2">
      <c r="A55" t="s">
        <v>573</v>
      </c>
      <c r="B55" s="3" t="s">
        <v>170</v>
      </c>
    </row>
    <row r="56" spans="1:2">
      <c r="A56" t="s">
        <v>2132</v>
      </c>
      <c r="B56" s="3" t="s">
        <v>43</v>
      </c>
    </row>
    <row r="57" spans="1:2">
      <c r="A57" t="s">
        <v>2133</v>
      </c>
      <c r="B57" s="3" t="s">
        <v>46</v>
      </c>
    </row>
    <row r="58" spans="1:2">
      <c r="A58" t="s">
        <v>2146</v>
      </c>
      <c r="B58" s="3" t="s">
        <v>48</v>
      </c>
    </row>
    <row r="59" spans="1:2">
      <c r="A59" t="s">
        <v>2147</v>
      </c>
      <c r="B59" s="3" t="s">
        <v>50</v>
      </c>
    </row>
    <row r="60" spans="1:2">
      <c r="A60" t="s">
        <v>2148</v>
      </c>
      <c r="B60" s="3" t="s">
        <v>52</v>
      </c>
    </row>
    <row r="61" spans="1:2">
      <c r="A61" t="s">
        <v>2175</v>
      </c>
      <c r="B61" s="3" t="s">
        <v>91</v>
      </c>
    </row>
    <row r="62" spans="1:2">
      <c r="A62" t="s">
        <v>2428</v>
      </c>
      <c r="B62" s="3" t="s">
        <v>94</v>
      </c>
    </row>
    <row r="63" spans="1:2">
      <c r="A63" t="s">
        <v>2431</v>
      </c>
      <c r="B63" s="3" t="s">
        <v>96</v>
      </c>
    </row>
    <row r="64" spans="1:2">
      <c r="A64" t="s">
        <v>2437</v>
      </c>
      <c r="B64" s="3" t="s">
        <v>98</v>
      </c>
    </row>
    <row r="65" spans="1:2">
      <c r="A65" t="s">
        <v>2433</v>
      </c>
      <c r="B65" s="3" t="s">
        <v>100</v>
      </c>
    </row>
    <row r="66" spans="1:2">
      <c r="A66" t="s">
        <v>2435</v>
      </c>
      <c r="B66" s="3" t="s">
        <v>102</v>
      </c>
    </row>
    <row r="67" spans="1:2">
      <c r="A67" t="s">
        <v>2439</v>
      </c>
      <c r="B67" s="3" t="s">
        <v>104</v>
      </c>
    </row>
    <row r="68" spans="1:2">
      <c r="A68" t="s">
        <v>2758</v>
      </c>
      <c r="B68" s="3" t="s">
        <v>107</v>
      </c>
    </row>
    <row r="69" spans="1:2">
      <c r="A69" t="s">
        <v>2769</v>
      </c>
      <c r="B69" s="3" t="s">
        <v>111</v>
      </c>
    </row>
    <row r="70" spans="1:2">
      <c r="A70" t="s">
        <v>2775</v>
      </c>
      <c r="B70" s="3" t="s">
        <v>114</v>
      </c>
    </row>
    <row r="71" spans="1:2">
      <c r="A71" t="s">
        <v>2782</v>
      </c>
      <c r="B71" s="3" t="s">
        <v>117</v>
      </c>
    </row>
    <row r="72" spans="1:2">
      <c r="A72" t="s">
        <v>2789</v>
      </c>
      <c r="B72" s="3" t="s">
        <v>120</v>
      </c>
    </row>
    <row r="73" spans="1:2">
      <c r="A73" t="s">
        <v>2793</v>
      </c>
      <c r="B73" s="3" t="s">
        <v>123</v>
      </c>
    </row>
    <row r="74" spans="1:2">
      <c r="A74" t="s">
        <v>2797</v>
      </c>
      <c r="B74" s="3" t="s">
        <v>126</v>
      </c>
    </row>
    <row r="75" spans="1:2">
      <c r="A75" t="s">
        <v>2804</v>
      </c>
      <c r="B75" s="3" t="s">
        <v>129</v>
      </c>
    </row>
    <row r="76" spans="1:2">
      <c r="A76" t="s">
        <v>2209</v>
      </c>
      <c r="B76" s="3" t="s">
        <v>131</v>
      </c>
    </row>
    <row r="77" spans="1:2">
      <c r="A77" t="s">
        <v>2441</v>
      </c>
      <c r="B77" s="3" t="s">
        <v>134</v>
      </c>
    </row>
    <row r="78" spans="1:2">
      <c r="A78" t="s">
        <v>2123</v>
      </c>
      <c r="B78" s="3" t="s">
        <v>137</v>
      </c>
    </row>
    <row r="79" spans="1:2">
      <c r="A79" t="s">
        <v>2125</v>
      </c>
      <c r="B79" s="3" t="s">
        <v>140</v>
      </c>
    </row>
    <row r="80" spans="1:2">
      <c r="A80" t="s">
        <v>2134</v>
      </c>
      <c r="B80" s="3" t="s">
        <v>142</v>
      </c>
    </row>
    <row r="81" spans="1:2">
      <c r="A81" t="s">
        <v>305</v>
      </c>
      <c r="B81" s="3" t="s">
        <v>210</v>
      </c>
    </row>
    <row r="82" spans="1:2">
      <c r="A82" t="s">
        <v>308</v>
      </c>
      <c r="B82" s="3" t="s">
        <v>213</v>
      </c>
    </row>
    <row r="83" spans="1:2">
      <c r="A83" t="s">
        <v>309</v>
      </c>
      <c r="B83" s="3" t="s">
        <v>215</v>
      </c>
    </row>
    <row r="84" spans="1:2">
      <c r="A84" t="s">
        <v>311</v>
      </c>
      <c r="B84" s="3" t="s">
        <v>217</v>
      </c>
    </row>
    <row r="85" spans="1:2">
      <c r="A85" t="s">
        <v>312</v>
      </c>
      <c r="B85" s="3" t="s">
        <v>220</v>
      </c>
    </row>
    <row r="86" spans="1:2">
      <c r="A86" t="s">
        <v>313</v>
      </c>
      <c r="B86" s="3" t="s">
        <v>222</v>
      </c>
    </row>
  </sheetData>
  <autoFilter ref="A1:B80" xr:uid="{553D5E17-5EFA-44A3-B131-4314E88999D0}">
    <sortState xmlns:xlrd2="http://schemas.microsoft.com/office/spreadsheetml/2017/richdata2" ref="A2:B80">
      <sortCondition ref="A1:A80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FAEFA65429324B8E1F72AB29DFF588" ma:contentTypeVersion="3" ma:contentTypeDescription="Crie um novo documento." ma:contentTypeScope="" ma:versionID="056437b4d016783cc5b38c4f23864ff9">
  <xsd:schema xmlns:xsd="http://www.w3.org/2001/XMLSchema" xmlns:xs="http://www.w3.org/2001/XMLSchema" xmlns:p="http://schemas.microsoft.com/office/2006/metadata/properties" xmlns:ns2="694463bc-8964-4e86-a898-7b5053b66bb7" targetNamespace="http://schemas.microsoft.com/office/2006/metadata/properties" ma:root="true" ma:fieldsID="ab719b78047fe0490b779fd26eeb68b7" ns2:_="">
    <xsd:import namespace="694463bc-8964-4e86-a898-7b5053b66b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4463bc-8964-4e86-a898-7b5053b66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C3770B-87DC-4EE1-B26B-319DDE8B516F}"/>
</file>

<file path=customXml/itemProps2.xml><?xml version="1.0" encoding="utf-8"?>
<ds:datastoreItem xmlns:ds="http://schemas.openxmlformats.org/officeDocument/2006/customXml" ds:itemID="{439DA2E1-D978-4593-90E1-165F8CBDC3C1}"/>
</file>

<file path=customXml/itemProps3.xml><?xml version="1.0" encoding="utf-8"?>
<ds:datastoreItem xmlns:ds="http://schemas.openxmlformats.org/officeDocument/2006/customXml" ds:itemID="{BB8B7179-627A-475A-AF6B-ADB7BE839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Gabrielle Silva Sales</dc:creator>
  <cp:keywords/>
  <dc:description/>
  <cp:lastModifiedBy/>
  <cp:revision/>
  <dcterms:created xsi:type="dcterms:W3CDTF">2015-06-05T18:19:34Z</dcterms:created>
  <dcterms:modified xsi:type="dcterms:W3CDTF">2026-03-23T13:26:11Z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0x010100D4FAEFA65429324B8E1F72AB29DFF588</vt:lpwstr>
  </property>
  <property fmtid="{D5CDD505-2E9C-101B-9397-08002B2CF9AE}" pid="3" name="MediaServiceImageTags">
    <vt:lpwstr/>
  </property>
</Properties>
</file>